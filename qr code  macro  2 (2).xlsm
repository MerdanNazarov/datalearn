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lan Pharmacy\YandexDisk-aamfys\OPERATION-\"/>
    </mc:Choice>
  </mc:AlternateContent>
  <xr:revisionPtr revIDLastSave="0" documentId="13_ncr:1_{FE55F2AC-6EB0-45B6-B337-41A53B5C112F}" xr6:coauthVersionLast="47" xr6:coauthVersionMax="47" xr10:uidLastSave="{00000000-0000-0000-0000-000000000000}"/>
  <bookViews>
    <workbookView minimized="1" xWindow="38520" yWindow="3870" windowWidth="5670" windowHeight="2940" xr2:uid="{C76FB0D4-9EF6-48A6-B438-D9BBF3DD1BD6}"/>
  </bookViews>
  <sheets>
    <sheet name="MAIN" sheetId="1" r:id="rId1"/>
    <sheet name="ILACLISTE" sheetId="3" r:id="rId2"/>
    <sheet name="GIZLI" sheetId="2" r:id="rId3"/>
  </sheets>
  <definedNames>
    <definedName name="_xlnm._FilterDatabase" localSheetId="0" hidden="1">MAIN!$C$6:$D$4000</definedName>
    <definedName name="_xlnm.Criteria" localSheetId="0">MAIN!$D$2:$D$3</definedName>
    <definedName name="_xlnm.Extract" localSheetId="0">MAIN!$G$6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L530" i="2" l="1"/>
  <c r="L531" i="2"/>
  <c r="L532" i="2"/>
  <c r="L533" i="2"/>
  <c r="L534" i="2"/>
  <c r="L537" i="2"/>
  <c r="L538" i="2"/>
  <c r="L539" i="2"/>
  <c r="L540" i="2"/>
  <c r="L541" i="2"/>
  <c r="L542" i="2"/>
  <c r="L544" i="2"/>
  <c r="L546" i="2"/>
  <c r="L547" i="2"/>
  <c r="L548" i="2"/>
  <c r="L549" i="2"/>
  <c r="L550" i="2"/>
  <c r="L552" i="2"/>
  <c r="L553" i="2"/>
  <c r="L554" i="2"/>
  <c r="L556" i="2"/>
  <c r="L557" i="2"/>
  <c r="L558" i="2"/>
  <c r="L560" i="2"/>
  <c r="L561" i="2"/>
  <c r="L562" i="2"/>
  <c r="L563" i="2"/>
  <c r="L564" i="2"/>
  <c r="L565" i="2"/>
  <c r="L566" i="2"/>
  <c r="L569" i="2"/>
  <c r="L571" i="2"/>
  <c r="L572" i="2"/>
  <c r="L573" i="2"/>
  <c r="L574" i="2"/>
  <c r="L576" i="2"/>
  <c r="L577" i="2"/>
  <c r="L578" i="2"/>
  <c r="L579" i="2"/>
  <c r="L580" i="2"/>
  <c r="L581" i="2"/>
  <c r="L582" i="2"/>
  <c r="L584" i="2"/>
  <c r="L585" i="2"/>
  <c r="L586" i="2"/>
  <c r="L587" i="2"/>
  <c r="L588" i="2"/>
  <c r="L589" i="2"/>
  <c r="L590" i="2"/>
  <c r="L592" i="2"/>
  <c r="L593" i="2"/>
  <c r="L594" i="2"/>
  <c r="L595" i="2"/>
  <c r="L596" i="2"/>
  <c r="L597" i="2"/>
  <c r="L598" i="2"/>
  <c r="L600" i="2"/>
  <c r="L601" i="2"/>
  <c r="L602" i="2"/>
  <c r="L603" i="2"/>
  <c r="L604" i="2"/>
  <c r="L605" i="2"/>
  <c r="L606" i="2"/>
  <c r="L609" i="2"/>
  <c r="L610" i="2"/>
  <c r="L611" i="2"/>
  <c r="L612" i="2"/>
  <c r="L613" i="2"/>
  <c r="L614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3" i="2"/>
  <c r="L634" i="2"/>
  <c r="L635" i="2"/>
  <c r="L636" i="2"/>
  <c r="L637" i="2"/>
  <c r="L638" i="2"/>
  <c r="L640" i="2"/>
  <c r="L641" i="2"/>
  <c r="L642" i="2"/>
  <c r="L643" i="2"/>
  <c r="L644" i="2"/>
  <c r="L645" i="2"/>
  <c r="L646" i="2"/>
  <c r="L648" i="2"/>
  <c r="L649" i="2"/>
  <c r="L650" i="2"/>
  <c r="L651" i="2"/>
  <c r="L652" i="2"/>
  <c r="L653" i="2"/>
  <c r="L654" i="2"/>
  <c r="L657" i="2"/>
  <c r="L658" i="2"/>
  <c r="L659" i="2"/>
  <c r="L660" i="2"/>
  <c r="L661" i="2"/>
  <c r="L662" i="2"/>
  <c r="L664" i="2"/>
  <c r="L666" i="2"/>
  <c r="L667" i="2"/>
  <c r="L668" i="2"/>
  <c r="L669" i="2"/>
  <c r="L670" i="2"/>
  <c r="L672" i="2"/>
  <c r="L673" i="2"/>
  <c r="L674" i="2"/>
  <c r="L675" i="2"/>
  <c r="L676" i="2"/>
  <c r="L677" i="2"/>
  <c r="L678" i="2"/>
  <c r="L680" i="2"/>
  <c r="L681" i="2"/>
  <c r="L682" i="2"/>
  <c r="L683" i="2"/>
  <c r="L684" i="2"/>
  <c r="L685" i="2"/>
  <c r="L686" i="2"/>
  <c r="L688" i="2"/>
  <c r="L689" i="2"/>
  <c r="L690" i="2"/>
  <c r="L692" i="2"/>
  <c r="L693" i="2"/>
  <c r="L694" i="2"/>
  <c r="L697" i="2"/>
  <c r="L698" i="2"/>
  <c r="L699" i="2"/>
  <c r="L700" i="2"/>
  <c r="L701" i="2"/>
  <c r="L702" i="2"/>
  <c r="L704" i="2"/>
  <c r="L705" i="2"/>
  <c r="L706" i="2"/>
  <c r="L707" i="2"/>
  <c r="L708" i="2"/>
  <c r="L709" i="2"/>
  <c r="L710" i="2"/>
  <c r="L712" i="2"/>
  <c r="L713" i="2"/>
  <c r="L714" i="2"/>
  <c r="L715" i="2"/>
  <c r="L716" i="2"/>
  <c r="L717" i="2"/>
  <c r="L718" i="2"/>
  <c r="L721" i="2"/>
  <c r="L722" i="2"/>
  <c r="L723" i="2"/>
  <c r="L724" i="2"/>
  <c r="L725" i="2"/>
  <c r="L726" i="2"/>
  <c r="L728" i="2"/>
  <c r="L729" i="2"/>
  <c r="L730" i="2"/>
  <c r="L731" i="2"/>
  <c r="L732" i="2"/>
  <c r="L733" i="2"/>
  <c r="L734" i="2"/>
  <c r="L736" i="2"/>
  <c r="L737" i="2"/>
  <c r="L738" i="2"/>
  <c r="L739" i="2"/>
  <c r="L740" i="2"/>
  <c r="L741" i="2"/>
  <c r="L742" i="2"/>
  <c r="L745" i="2"/>
  <c r="L746" i="2"/>
  <c r="L747" i="2"/>
  <c r="L748" i="2"/>
  <c r="L749" i="2"/>
  <c r="L750" i="2"/>
  <c r="L752" i="2"/>
  <c r="L753" i="2"/>
  <c r="L754" i="2"/>
  <c r="L755" i="2"/>
  <c r="L756" i="2"/>
  <c r="L757" i="2"/>
  <c r="L758" i="2"/>
  <c r="L760" i="2"/>
  <c r="L761" i="2"/>
  <c r="L762" i="2"/>
  <c r="L763" i="2"/>
  <c r="L764" i="2"/>
  <c r="L765" i="2"/>
  <c r="L766" i="2"/>
  <c r="L769" i="2"/>
  <c r="L770" i="2"/>
  <c r="L771" i="2"/>
  <c r="L772" i="2"/>
  <c r="L773" i="2"/>
  <c r="L774" i="2"/>
  <c r="L776" i="2"/>
  <c r="L777" i="2"/>
  <c r="L778" i="2"/>
  <c r="L779" i="2"/>
  <c r="L780" i="2"/>
  <c r="L781" i="2"/>
  <c r="L782" i="2"/>
  <c r="L785" i="2"/>
  <c r="L786" i="2"/>
  <c r="L787" i="2"/>
  <c r="L788" i="2"/>
  <c r="L789" i="2"/>
  <c r="L790" i="2"/>
  <c r="L792" i="2"/>
  <c r="L794" i="2"/>
  <c r="L795" i="2"/>
  <c r="L796" i="2"/>
  <c r="L797" i="2"/>
  <c r="L798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7" i="2"/>
  <c r="L818" i="2"/>
  <c r="L819" i="2"/>
  <c r="L820" i="2"/>
  <c r="L821" i="2"/>
  <c r="L822" i="2"/>
  <c r="L824" i="2"/>
  <c r="L825" i="2"/>
  <c r="L827" i="2"/>
  <c r="L828" i="2"/>
  <c r="L829" i="2"/>
  <c r="L830" i="2"/>
  <c r="L833" i="2"/>
  <c r="L834" i="2"/>
  <c r="L835" i="2"/>
  <c r="L836" i="2"/>
  <c r="L837" i="2"/>
  <c r="L838" i="2"/>
  <c r="L840" i="2"/>
  <c r="L842" i="2"/>
  <c r="L843" i="2"/>
  <c r="L844" i="2"/>
  <c r="L845" i="2"/>
  <c r="L846" i="2"/>
  <c r="L849" i="2"/>
  <c r="L850" i="2"/>
  <c r="L851" i="2"/>
  <c r="L852" i="2"/>
  <c r="L853" i="2"/>
  <c r="L854" i="2"/>
  <c r="L856" i="2"/>
  <c r="L857" i="2"/>
  <c r="L858" i="2"/>
  <c r="L859" i="2"/>
  <c r="L860" i="2"/>
  <c r="L861" i="2"/>
  <c r="L862" i="2"/>
  <c r="L864" i="2"/>
  <c r="L865" i="2"/>
  <c r="L866" i="2"/>
  <c r="L867" i="2"/>
  <c r="L868" i="2"/>
  <c r="L869" i="2"/>
  <c r="L870" i="2"/>
  <c r="L872" i="2"/>
  <c r="L873" i="2"/>
  <c r="L874" i="2"/>
  <c r="L876" i="2"/>
  <c r="L877" i="2"/>
  <c r="L878" i="2"/>
  <c r="L879" i="2"/>
  <c r="L880" i="2"/>
  <c r="L882" i="2"/>
  <c r="L883" i="2"/>
  <c r="L884" i="2"/>
  <c r="L885" i="2"/>
  <c r="L886" i="2"/>
  <c r="L888" i="2"/>
  <c r="L889" i="2"/>
  <c r="L890" i="2"/>
  <c r="L891" i="2"/>
  <c r="L892" i="2"/>
  <c r="L893" i="2"/>
  <c r="L894" i="2"/>
  <c r="L896" i="2"/>
  <c r="L897" i="2"/>
  <c r="L898" i="2"/>
  <c r="L899" i="2"/>
  <c r="L900" i="2"/>
  <c r="L901" i="2"/>
  <c r="L902" i="2"/>
  <c r="L904" i="2"/>
  <c r="L905" i="2"/>
  <c r="L906" i="2"/>
  <c r="L907" i="2"/>
  <c r="L908" i="2"/>
  <c r="L909" i="2"/>
  <c r="L910" i="2"/>
  <c r="L912" i="2"/>
  <c r="L913" i="2"/>
  <c r="L914" i="2"/>
  <c r="L915" i="2"/>
  <c r="L916" i="2"/>
  <c r="L917" i="2"/>
  <c r="L918" i="2"/>
  <c r="L920" i="2"/>
  <c r="L921" i="2"/>
  <c r="L922" i="2"/>
  <c r="L923" i="2"/>
  <c r="L924" i="2"/>
  <c r="L925" i="2"/>
  <c r="L926" i="2"/>
  <c r="L928" i="2"/>
  <c r="L929" i="2"/>
  <c r="L930" i="2"/>
  <c r="L931" i="2"/>
  <c r="L932" i="2"/>
  <c r="L933" i="2"/>
  <c r="L934" i="2"/>
  <c r="L936" i="2"/>
  <c r="L937" i="2"/>
  <c r="L938" i="2"/>
  <c r="L939" i="2"/>
  <c r="L940" i="2"/>
  <c r="L941" i="2"/>
  <c r="L942" i="2"/>
  <c r="L944" i="2"/>
  <c r="L945" i="2"/>
  <c r="L947" i="2"/>
  <c r="L948" i="2"/>
  <c r="L949" i="2"/>
  <c r="L950" i="2"/>
  <c r="L953" i="2"/>
  <c r="L954" i="2"/>
  <c r="L955" i="2"/>
  <c r="L956" i="2"/>
  <c r="L957" i="2"/>
  <c r="L958" i="2"/>
  <c r="L960" i="2"/>
  <c r="L961" i="2"/>
  <c r="L962" i="2"/>
  <c r="L963" i="2"/>
  <c r="L964" i="2"/>
  <c r="L965" i="2"/>
  <c r="L966" i="2"/>
  <c r="L968" i="2"/>
  <c r="L969" i="2"/>
  <c r="L970" i="2"/>
  <c r="L971" i="2"/>
  <c r="L972" i="2"/>
  <c r="L973" i="2"/>
  <c r="L974" i="2"/>
  <c r="L976" i="2"/>
  <c r="L977" i="2"/>
  <c r="L978" i="2"/>
  <c r="L979" i="2"/>
  <c r="L980" i="2"/>
  <c r="L981" i="2"/>
  <c r="L982" i="2"/>
  <c r="L984" i="2"/>
  <c r="L985" i="2"/>
  <c r="L986" i="2"/>
  <c r="L987" i="2"/>
  <c r="L988" i="2"/>
  <c r="L989" i="2"/>
  <c r="L990" i="2"/>
  <c r="L992" i="2"/>
  <c r="L993" i="2"/>
  <c r="L994" i="2"/>
  <c r="L995" i="2"/>
  <c r="L996" i="2"/>
  <c r="L997" i="2"/>
  <c r="L998" i="2"/>
  <c r="L1000" i="2"/>
  <c r="L1001" i="2"/>
  <c r="L1002" i="2"/>
  <c r="L1003" i="2"/>
  <c r="L1004" i="2"/>
  <c r="L1005" i="2"/>
  <c r="L1006" i="2"/>
  <c r="L1008" i="2"/>
  <c r="L1009" i="2"/>
  <c r="L1010" i="2"/>
  <c r="L1011" i="2"/>
  <c r="L1012" i="2"/>
  <c r="L1013" i="2"/>
  <c r="L1014" i="2"/>
  <c r="L1016" i="2"/>
  <c r="L1017" i="2"/>
  <c r="L1018" i="2"/>
  <c r="L1019" i="2"/>
  <c r="L1020" i="2"/>
  <c r="L1021" i="2"/>
  <c r="L1022" i="2"/>
  <c r="L1024" i="2"/>
  <c r="L1025" i="2"/>
  <c r="L1026" i="2"/>
  <c r="L1027" i="2"/>
  <c r="L1028" i="2"/>
  <c r="L1029" i="2"/>
  <c r="L1030" i="2"/>
  <c r="L1032" i="2"/>
  <c r="L1033" i="2"/>
  <c r="L1034" i="2"/>
  <c r="L1035" i="2"/>
  <c r="L1036" i="2"/>
  <c r="L1037" i="2"/>
  <c r="L1038" i="2"/>
  <c r="L1040" i="2"/>
  <c r="L1041" i="2"/>
  <c r="L1042" i="2"/>
  <c r="L1043" i="2"/>
  <c r="L1044" i="2"/>
  <c r="L1045" i="2"/>
  <c r="L1046" i="2"/>
  <c r="L1049" i="2"/>
  <c r="L1050" i="2"/>
  <c r="L1051" i="2"/>
  <c r="L1052" i="2"/>
  <c r="L1053" i="2"/>
  <c r="L1054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2" i="2"/>
  <c r="L1073" i="2"/>
  <c r="L1074" i="2"/>
  <c r="L1075" i="2"/>
  <c r="L1076" i="2"/>
  <c r="L1077" i="2"/>
  <c r="L1078" i="2"/>
  <c r="L1080" i="2"/>
  <c r="L1081" i="2"/>
  <c r="L1082" i="2"/>
  <c r="L1083" i="2"/>
  <c r="L1084" i="2"/>
  <c r="L1085" i="2"/>
  <c r="L1086" i="2"/>
  <c r="L1088" i="2"/>
  <c r="L1089" i="2"/>
  <c r="L1090" i="2"/>
  <c r="L1091" i="2"/>
  <c r="L1092" i="2"/>
  <c r="L1093" i="2"/>
  <c r="L1094" i="2"/>
  <c r="L1096" i="2"/>
  <c r="L1097" i="2"/>
  <c r="L1098" i="2"/>
  <c r="L1099" i="2"/>
  <c r="L1100" i="2"/>
  <c r="L1101" i="2"/>
  <c r="L1102" i="2"/>
  <c r="L1104" i="2"/>
  <c r="L1105" i="2"/>
  <c r="L1106" i="2"/>
  <c r="L1107" i="2"/>
  <c r="L1108" i="2"/>
  <c r="L1109" i="2"/>
  <c r="L1110" i="2"/>
  <c r="L1112" i="2"/>
  <c r="L1113" i="2"/>
  <c r="L1114" i="2"/>
  <c r="L1115" i="2"/>
  <c r="L1116" i="2"/>
  <c r="L1117" i="2"/>
  <c r="L1118" i="2"/>
  <c r="L1120" i="2"/>
  <c r="L1121" i="2"/>
  <c r="L1122" i="2"/>
  <c r="L1123" i="2"/>
  <c r="L1124" i="2"/>
  <c r="L1125" i="2"/>
  <c r="L1126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5" i="2"/>
  <c r="L1146" i="2"/>
  <c r="L1147" i="2"/>
  <c r="L1148" i="2"/>
  <c r="L1149" i="2"/>
  <c r="L1150" i="2"/>
  <c r="L1152" i="2"/>
  <c r="L1153" i="2"/>
  <c r="L1154" i="2"/>
  <c r="L1155" i="2"/>
  <c r="L1156" i="2"/>
  <c r="L1157" i="2"/>
  <c r="L1158" i="2"/>
  <c r="L1160" i="2"/>
  <c r="L1161" i="2"/>
  <c r="L1162" i="2"/>
  <c r="L1163" i="2"/>
  <c r="L1164" i="2"/>
  <c r="L1165" i="2"/>
  <c r="L1166" i="2"/>
  <c r="L1168" i="2"/>
  <c r="L1169" i="2"/>
  <c r="L1170" i="2"/>
  <c r="L1171" i="2"/>
  <c r="L1172" i="2"/>
  <c r="L1173" i="2"/>
  <c r="L1174" i="2"/>
  <c r="L1176" i="2"/>
  <c r="L1177" i="2"/>
  <c r="L1178" i="2"/>
  <c r="L1179" i="2"/>
  <c r="L1180" i="2"/>
  <c r="L1181" i="2"/>
  <c r="L1182" i="2"/>
  <c r="L1184" i="2"/>
  <c r="L1185" i="2"/>
  <c r="L1186" i="2"/>
  <c r="L1187" i="2"/>
  <c r="L1188" i="2"/>
  <c r="L1189" i="2"/>
  <c r="L1190" i="2"/>
  <c r="L1192" i="2"/>
  <c r="L1193" i="2"/>
  <c r="L1194" i="2"/>
  <c r="L1195" i="2"/>
  <c r="L1196" i="2"/>
  <c r="L1197" i="2"/>
  <c r="L1198" i="2"/>
  <c r="L1200" i="2"/>
  <c r="L1201" i="2"/>
  <c r="L1202" i="2"/>
  <c r="L1203" i="2"/>
  <c r="L1204" i="2"/>
  <c r="L1205" i="2"/>
  <c r="L1206" i="2"/>
  <c r="L1208" i="2"/>
  <c r="L1209" i="2"/>
  <c r="L1210" i="2"/>
  <c r="L1211" i="2"/>
  <c r="L1212" i="2"/>
  <c r="L1213" i="2"/>
  <c r="L1214" i="2"/>
  <c r="L1216" i="2"/>
  <c r="L1217" i="2"/>
  <c r="L1218" i="2"/>
  <c r="L1219" i="2"/>
  <c r="L1220" i="2"/>
  <c r="L1221" i="2"/>
  <c r="L1222" i="2"/>
  <c r="L1224" i="2"/>
  <c r="L1225" i="2"/>
  <c r="L1226" i="2"/>
  <c r="L1227" i="2"/>
  <c r="L1228" i="2"/>
  <c r="L1229" i="2"/>
  <c r="L1230" i="2"/>
  <c r="L1232" i="2"/>
  <c r="L1233" i="2"/>
  <c r="L1234" i="2"/>
  <c r="L1235" i="2"/>
  <c r="L1236" i="2"/>
  <c r="L1237" i="2"/>
  <c r="L1238" i="2"/>
  <c r="L1240" i="2"/>
  <c r="L1242" i="2"/>
  <c r="L1243" i="2"/>
  <c r="L1244" i="2"/>
  <c r="L1245" i="2"/>
  <c r="L1246" i="2"/>
  <c r="L1248" i="2"/>
  <c r="L1249" i="2"/>
  <c r="L1250" i="2"/>
  <c r="L1251" i="2"/>
  <c r="L1252" i="2"/>
  <c r="L1253" i="2"/>
  <c r="L1254" i="2"/>
  <c r="L1256" i="2"/>
  <c r="L1257" i="2"/>
  <c r="L1258" i="2"/>
  <c r="L1259" i="2"/>
  <c r="L1260" i="2"/>
  <c r="L1261" i="2"/>
  <c r="L1262" i="2"/>
  <c r="L1264" i="2"/>
  <c r="L1265" i="2"/>
  <c r="L1266" i="2"/>
  <c r="L1267" i="2"/>
  <c r="L1268" i="2"/>
  <c r="L1269" i="2"/>
  <c r="L1270" i="2"/>
  <c r="L1273" i="2"/>
  <c r="L1274" i="2"/>
  <c r="L1275" i="2"/>
  <c r="L1276" i="2"/>
  <c r="L1277" i="2"/>
  <c r="L1278" i="2"/>
  <c r="L1280" i="2"/>
  <c r="L1281" i="2"/>
  <c r="L1282" i="2"/>
  <c r="L1283" i="2"/>
  <c r="L1284" i="2"/>
  <c r="L1285" i="2"/>
  <c r="L1286" i="2"/>
  <c r="L1288" i="2"/>
  <c r="L1289" i="2"/>
  <c r="L1290" i="2"/>
  <c r="L1291" i="2"/>
  <c r="L1292" i="2"/>
  <c r="L1293" i="2"/>
  <c r="L1294" i="2"/>
  <c r="L1296" i="2"/>
  <c r="L1298" i="2"/>
  <c r="L1299" i="2"/>
  <c r="L1300" i="2"/>
  <c r="L1301" i="2"/>
  <c r="L1302" i="2"/>
  <c r="L1304" i="2"/>
  <c r="L1305" i="2"/>
  <c r="L1306" i="2"/>
  <c r="L1307" i="2"/>
  <c r="L1308" i="2"/>
  <c r="L1309" i="2"/>
  <c r="L1310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8" i="2"/>
  <c r="L1329" i="2"/>
  <c r="L1330" i="2"/>
  <c r="L1331" i="2"/>
  <c r="L1332" i="2"/>
  <c r="L1333" i="2"/>
  <c r="L1334" i="2"/>
  <c r="L1336" i="2"/>
  <c r="L1337" i="2"/>
  <c r="L1338" i="2"/>
  <c r="L1339" i="2"/>
  <c r="L1340" i="2"/>
  <c r="L1341" i="2"/>
  <c r="L1342" i="2"/>
  <c r="L1344" i="2"/>
  <c r="L1345" i="2"/>
  <c r="L1346" i="2"/>
  <c r="L1347" i="2"/>
  <c r="L1348" i="2"/>
  <c r="L1349" i="2"/>
  <c r="L1350" i="2"/>
  <c r="L1352" i="2"/>
  <c r="L1353" i="2"/>
  <c r="L1354" i="2"/>
  <c r="L1355" i="2"/>
  <c r="L1356" i="2"/>
  <c r="L1357" i="2"/>
  <c r="L1358" i="2"/>
  <c r="L1360" i="2"/>
  <c r="L1361" i="2"/>
  <c r="L1362" i="2"/>
  <c r="L1363" i="2"/>
  <c r="L1364" i="2"/>
  <c r="L1365" i="2"/>
  <c r="L1366" i="2"/>
  <c r="L1368" i="2"/>
  <c r="L1369" i="2"/>
  <c r="L1371" i="2"/>
  <c r="L1372" i="2"/>
  <c r="L1373" i="2"/>
  <c r="L1374" i="2"/>
  <c r="L1377" i="2"/>
  <c r="L1378" i="2"/>
  <c r="L1379" i="2"/>
  <c r="L1380" i="2"/>
  <c r="L1381" i="2"/>
  <c r="L1382" i="2"/>
  <c r="L1384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400" i="2"/>
  <c r="L1401" i="2"/>
  <c r="L1402" i="2"/>
  <c r="L1403" i="2"/>
  <c r="L1404" i="2"/>
  <c r="L1405" i="2"/>
  <c r="L1406" i="2"/>
  <c r="L1408" i="2"/>
  <c r="L1409" i="2"/>
  <c r="L1410" i="2"/>
  <c r="L1411" i="2"/>
  <c r="L1412" i="2"/>
  <c r="L1413" i="2"/>
  <c r="L1414" i="2"/>
  <c r="L1416" i="2"/>
  <c r="L1417" i="2"/>
  <c r="L1418" i="2"/>
  <c r="L1419" i="2"/>
  <c r="L1420" i="2"/>
  <c r="L1421" i="2"/>
  <c r="L1422" i="2"/>
  <c r="L1424" i="2"/>
  <c r="L1425" i="2"/>
  <c r="L1426" i="2"/>
  <c r="L1427" i="2"/>
  <c r="L1428" i="2"/>
  <c r="L1429" i="2"/>
  <c r="L1430" i="2"/>
  <c r="L1432" i="2"/>
  <c r="L1433" i="2"/>
  <c r="L1434" i="2"/>
  <c r="L1435" i="2"/>
  <c r="L1436" i="2"/>
  <c r="L1437" i="2"/>
  <c r="L1438" i="2"/>
  <c r="L1440" i="2"/>
  <c r="L1441" i="2"/>
  <c r="L1442" i="2"/>
  <c r="L1443" i="2"/>
  <c r="L1444" i="2"/>
  <c r="L1445" i="2"/>
  <c r="L1446" i="2"/>
  <c r="L1448" i="2"/>
  <c r="L1449" i="2"/>
  <c r="L1450" i="2"/>
  <c r="L1451" i="2"/>
  <c r="L1452" i="2"/>
  <c r="L1453" i="2"/>
  <c r="L1454" i="2"/>
  <c r="L1456" i="2"/>
  <c r="L1457" i="2"/>
  <c r="L1458" i="2"/>
  <c r="L1459" i="2"/>
  <c r="L1460" i="2"/>
  <c r="L1461" i="2"/>
  <c r="L1462" i="2"/>
  <c r="L1464" i="2"/>
  <c r="L1465" i="2"/>
  <c r="L1466" i="2"/>
  <c r="L1467" i="2"/>
  <c r="L1468" i="2"/>
  <c r="L1469" i="2"/>
  <c r="L1470" i="2"/>
  <c r="L1472" i="2"/>
  <c r="L1473" i="2"/>
  <c r="L1474" i="2"/>
  <c r="L1475" i="2"/>
  <c r="L1476" i="2"/>
  <c r="L1477" i="2"/>
  <c r="L1478" i="2"/>
  <c r="L1480" i="2"/>
  <c r="L1481" i="2"/>
  <c r="L1482" i="2"/>
  <c r="L1483" i="2"/>
  <c r="L1484" i="2"/>
  <c r="L1485" i="2"/>
  <c r="L1486" i="2"/>
  <c r="L1488" i="2"/>
  <c r="L1489" i="2"/>
  <c r="L1490" i="2"/>
  <c r="L1491" i="2"/>
  <c r="L1492" i="2"/>
  <c r="L1493" i="2"/>
  <c r="L1494" i="2"/>
  <c r="L1496" i="2"/>
  <c r="L1497" i="2"/>
  <c r="L1498" i="2"/>
  <c r="L1499" i="2"/>
  <c r="L1500" i="2"/>
  <c r="L1501" i="2"/>
  <c r="L1502" i="2"/>
  <c r="L1504" i="2"/>
  <c r="L1505" i="2"/>
  <c r="L1506" i="2"/>
  <c r="L1507" i="2"/>
  <c r="L1508" i="2"/>
  <c r="L1509" i="2"/>
  <c r="L1510" i="2"/>
  <c r="L1512" i="2"/>
  <c r="L1513" i="2"/>
  <c r="L1514" i="2"/>
  <c r="L1516" i="2"/>
  <c r="L1517" i="2"/>
  <c r="L1518" i="2"/>
  <c r="L1520" i="2"/>
  <c r="L1521" i="2"/>
  <c r="L1522" i="2"/>
  <c r="L1523" i="2"/>
  <c r="L1524" i="2"/>
  <c r="L1525" i="2"/>
  <c r="L1526" i="2"/>
  <c r="L1528" i="2"/>
  <c r="L1529" i="2"/>
  <c r="L1530" i="2"/>
  <c r="L1531" i="2"/>
  <c r="L1532" i="2"/>
  <c r="L1533" i="2"/>
  <c r="L1534" i="2"/>
  <c r="L1536" i="2"/>
  <c r="L1537" i="2"/>
  <c r="L1538" i="2"/>
  <c r="L1539" i="2"/>
  <c r="L1540" i="2"/>
  <c r="L1541" i="2"/>
  <c r="L1542" i="2"/>
  <c r="L1544" i="2"/>
  <c r="L1545" i="2"/>
  <c r="L1546" i="2"/>
  <c r="L1547" i="2"/>
  <c r="L1548" i="2"/>
  <c r="L1549" i="2"/>
  <c r="L1550" i="2"/>
  <c r="L1552" i="2"/>
  <c r="L1553" i="2"/>
  <c r="L1554" i="2"/>
  <c r="L1555" i="2"/>
  <c r="L1556" i="2"/>
  <c r="L1557" i="2"/>
  <c r="L1558" i="2"/>
  <c r="L1560" i="2"/>
  <c r="L1561" i="2"/>
  <c r="L1562" i="2"/>
  <c r="L1563" i="2"/>
  <c r="L1564" i="2"/>
  <c r="L1565" i="2"/>
  <c r="L1566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4" i="2"/>
  <c r="L1585" i="2"/>
  <c r="L1586" i="2"/>
  <c r="L1587" i="2"/>
  <c r="L1588" i="2"/>
  <c r="L1589" i="2"/>
  <c r="L1590" i="2"/>
  <c r="L1592" i="2"/>
  <c r="L1593" i="2"/>
  <c r="L1594" i="2"/>
  <c r="L1595" i="2"/>
  <c r="L1596" i="2"/>
  <c r="L1597" i="2"/>
  <c r="L1598" i="2"/>
  <c r="L1601" i="2"/>
  <c r="L1602" i="2"/>
  <c r="L1603" i="2"/>
  <c r="L1604" i="2"/>
  <c r="L1605" i="2"/>
  <c r="L1606" i="2"/>
  <c r="L1608" i="2"/>
  <c r="L1609" i="2"/>
  <c r="L1611" i="2"/>
  <c r="L1612" i="2"/>
  <c r="L1613" i="2"/>
  <c r="L1614" i="2"/>
  <c r="L1616" i="2"/>
  <c r="L1617" i="2"/>
  <c r="L1618" i="2"/>
  <c r="L1619" i="2"/>
  <c r="L1620" i="2"/>
  <c r="L1621" i="2"/>
  <c r="L1622" i="2"/>
  <c r="L1624" i="2"/>
  <c r="L1625" i="2"/>
  <c r="L1626" i="2"/>
  <c r="L1627" i="2"/>
  <c r="L1628" i="2"/>
  <c r="L1629" i="2"/>
  <c r="L1630" i="2"/>
  <c r="L1632" i="2"/>
  <c r="L1633" i="2"/>
  <c r="L1634" i="2"/>
  <c r="L1635" i="2"/>
  <c r="L1636" i="2"/>
  <c r="L1637" i="2"/>
  <c r="L1638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6" i="2"/>
  <c r="L1657" i="2"/>
  <c r="L1658" i="2"/>
  <c r="L1659" i="2"/>
  <c r="L1660" i="2"/>
  <c r="L1661" i="2"/>
  <c r="L1662" i="2"/>
  <c r="L1664" i="2"/>
  <c r="L1665" i="2"/>
  <c r="L1666" i="2"/>
  <c r="L1667" i="2"/>
  <c r="L1668" i="2"/>
  <c r="L1669" i="2"/>
  <c r="L1670" i="2"/>
  <c r="L1672" i="2"/>
  <c r="L1673" i="2"/>
  <c r="L1674" i="2"/>
  <c r="L1675" i="2"/>
  <c r="L1676" i="2"/>
  <c r="L1677" i="2"/>
  <c r="L1678" i="2"/>
  <c r="L1680" i="2"/>
  <c r="L1681" i="2"/>
  <c r="L1682" i="2"/>
  <c r="L1683" i="2"/>
  <c r="L1684" i="2"/>
  <c r="L1685" i="2"/>
  <c r="L1686" i="2"/>
  <c r="L1688" i="2"/>
  <c r="L1689" i="2"/>
  <c r="L1690" i="2"/>
  <c r="L1691" i="2"/>
  <c r="L1692" i="2"/>
  <c r="L1693" i="2"/>
  <c r="L1694" i="2"/>
  <c r="L1696" i="2"/>
  <c r="L1697" i="2"/>
  <c r="L1698" i="2"/>
  <c r="L1699" i="2"/>
  <c r="L1700" i="2"/>
  <c r="L1701" i="2"/>
  <c r="L1702" i="2"/>
  <c r="L1704" i="2"/>
  <c r="L1705" i="2"/>
  <c r="L1706" i="2"/>
  <c r="L1707" i="2"/>
  <c r="L1708" i="2"/>
  <c r="L1709" i="2"/>
  <c r="L1710" i="2"/>
  <c r="L1712" i="2"/>
  <c r="L1713" i="2"/>
  <c r="L1714" i="2"/>
  <c r="L1715" i="2"/>
  <c r="L1716" i="2"/>
  <c r="L1717" i="2"/>
  <c r="L1718" i="2"/>
  <c r="L1720" i="2"/>
  <c r="L1721" i="2"/>
  <c r="L1722" i="2"/>
  <c r="L1723" i="2"/>
  <c r="L1724" i="2"/>
  <c r="L1725" i="2"/>
  <c r="L1726" i="2"/>
  <c r="L1728" i="2"/>
  <c r="L1729" i="2"/>
  <c r="L1730" i="2"/>
  <c r="L1731" i="2"/>
  <c r="L1732" i="2"/>
  <c r="L1733" i="2"/>
  <c r="L1734" i="2"/>
  <c r="L1736" i="2"/>
  <c r="L1737" i="2"/>
  <c r="L1738" i="2"/>
  <c r="L1739" i="2"/>
  <c r="L1740" i="2"/>
  <c r="L1741" i="2"/>
  <c r="L1742" i="2"/>
  <c r="L1744" i="2"/>
  <c r="L1745" i="2"/>
  <c r="L1746" i="2"/>
  <c r="L1747" i="2"/>
  <c r="L1748" i="2"/>
  <c r="L1749" i="2"/>
  <c r="L1750" i="2"/>
  <c r="L1752" i="2"/>
  <c r="L1753" i="2"/>
  <c r="L1754" i="2"/>
  <c r="L1755" i="2"/>
  <c r="L1756" i="2"/>
  <c r="L1757" i="2"/>
  <c r="L1758" i="2"/>
  <c r="L1760" i="2"/>
  <c r="L1761" i="2"/>
  <c r="L1762" i="2"/>
  <c r="L1763" i="2"/>
  <c r="L1764" i="2"/>
  <c r="L1765" i="2"/>
  <c r="L1766" i="2"/>
  <c r="L1768" i="2"/>
  <c r="L1769" i="2"/>
  <c r="L1770" i="2"/>
  <c r="L1771" i="2"/>
  <c r="L1772" i="2"/>
  <c r="L1773" i="2"/>
  <c r="L1774" i="2"/>
  <c r="L1776" i="2"/>
  <c r="L1777" i="2"/>
  <c r="L1778" i="2"/>
  <c r="L1779" i="2"/>
  <c r="L1780" i="2"/>
  <c r="L1781" i="2"/>
  <c r="L1782" i="2"/>
  <c r="L1784" i="2"/>
  <c r="L1785" i="2"/>
  <c r="L1786" i="2"/>
  <c r="L1787" i="2"/>
  <c r="L1788" i="2"/>
  <c r="L1789" i="2"/>
  <c r="L1790" i="2"/>
  <c r="L1792" i="2"/>
  <c r="L1793" i="2"/>
  <c r="L1794" i="2"/>
  <c r="L1795" i="2"/>
  <c r="L1796" i="2"/>
  <c r="L1797" i="2"/>
  <c r="L1798" i="2"/>
  <c r="L1800" i="2"/>
  <c r="L1801" i="2"/>
  <c r="L1802" i="2"/>
  <c r="L1803" i="2"/>
  <c r="L1804" i="2"/>
  <c r="L1805" i="2"/>
  <c r="L1806" i="2"/>
  <c r="L1808" i="2"/>
  <c r="L1809" i="2"/>
  <c r="L1810" i="2"/>
  <c r="L1811" i="2"/>
  <c r="L1812" i="2"/>
  <c r="L1813" i="2"/>
  <c r="L1814" i="2"/>
  <c r="L1816" i="2"/>
  <c r="L1817" i="2"/>
  <c r="L1818" i="2"/>
  <c r="L1819" i="2"/>
  <c r="L1820" i="2"/>
  <c r="L1821" i="2"/>
  <c r="L1822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40" i="2"/>
  <c r="L1841" i="2"/>
  <c r="L1842" i="2"/>
  <c r="L1843" i="2"/>
  <c r="L1844" i="2"/>
  <c r="L1845" i="2"/>
  <c r="L1846" i="2"/>
  <c r="L1848" i="2"/>
  <c r="L1849" i="2"/>
  <c r="L1850" i="2"/>
  <c r="L1851" i="2"/>
  <c r="L1852" i="2"/>
  <c r="L1853" i="2"/>
  <c r="L1854" i="2"/>
  <c r="L1856" i="2"/>
  <c r="L1857" i="2"/>
  <c r="L1858" i="2"/>
  <c r="L1859" i="2"/>
  <c r="L1860" i="2"/>
  <c r="L1861" i="2"/>
  <c r="L1862" i="2"/>
  <c r="L1864" i="2"/>
  <c r="L1865" i="2"/>
  <c r="L1866" i="2"/>
  <c r="L1867" i="2"/>
  <c r="L1868" i="2"/>
  <c r="L1869" i="2"/>
  <c r="L1870" i="2"/>
  <c r="L1872" i="2"/>
  <c r="L1873" i="2"/>
  <c r="L1874" i="2"/>
  <c r="L1875" i="2"/>
  <c r="L1876" i="2"/>
  <c r="L1877" i="2"/>
  <c r="L1878" i="2"/>
  <c r="L1880" i="2"/>
  <c r="L1881" i="2"/>
  <c r="L1882" i="2"/>
  <c r="L1883" i="2"/>
  <c r="L1884" i="2"/>
  <c r="L1885" i="2"/>
  <c r="L1886" i="2"/>
  <c r="L1888" i="2"/>
  <c r="L1889" i="2"/>
  <c r="L1890" i="2"/>
  <c r="L1891" i="2"/>
  <c r="L1892" i="2"/>
  <c r="L1893" i="2"/>
  <c r="L1894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2" i="2"/>
  <c r="L1913" i="2"/>
  <c r="L1914" i="2"/>
  <c r="L1915" i="2"/>
  <c r="L1916" i="2"/>
  <c r="L1917" i="2"/>
  <c r="L1918" i="2"/>
  <c r="L1920" i="2"/>
  <c r="L1921" i="2"/>
  <c r="L1922" i="2"/>
  <c r="L1923" i="2"/>
  <c r="L1924" i="2"/>
  <c r="L1925" i="2"/>
  <c r="L1926" i="2"/>
  <c r="L1928" i="2"/>
  <c r="L1929" i="2"/>
  <c r="L1930" i="2"/>
  <c r="L1931" i="2"/>
  <c r="L1932" i="2"/>
  <c r="L1933" i="2"/>
  <c r="L1934" i="2"/>
  <c r="L1936" i="2"/>
  <c r="L1937" i="2"/>
  <c r="L1938" i="2"/>
  <c r="L1939" i="2"/>
  <c r="L1940" i="2"/>
  <c r="L1941" i="2"/>
  <c r="L1942" i="2"/>
  <c r="L1944" i="2"/>
  <c r="L1945" i="2"/>
  <c r="L1946" i="2"/>
  <c r="L1947" i="2"/>
  <c r="L1948" i="2"/>
  <c r="L1949" i="2"/>
  <c r="L1950" i="2"/>
  <c r="L1952" i="2"/>
  <c r="L1953" i="2"/>
  <c r="L1954" i="2"/>
  <c r="L1955" i="2"/>
  <c r="L1956" i="2"/>
  <c r="L1957" i="2"/>
  <c r="L1958" i="2"/>
  <c r="L1960" i="2"/>
  <c r="L1961" i="2"/>
  <c r="L1962" i="2"/>
  <c r="L1963" i="2"/>
  <c r="L1964" i="2"/>
  <c r="L1965" i="2"/>
  <c r="L1966" i="2"/>
  <c r="L1968" i="2"/>
  <c r="L1969" i="2"/>
  <c r="L1970" i="2"/>
  <c r="L1971" i="2"/>
  <c r="L1972" i="2"/>
  <c r="L1973" i="2"/>
  <c r="L1974" i="2"/>
  <c r="L1976" i="2"/>
  <c r="L1977" i="2"/>
  <c r="L1978" i="2"/>
  <c r="L1979" i="2"/>
  <c r="L1980" i="2"/>
  <c r="L1981" i="2"/>
  <c r="L1982" i="2"/>
  <c r="L1984" i="2"/>
  <c r="L1985" i="2"/>
  <c r="L1987" i="2"/>
  <c r="L1988" i="2"/>
  <c r="L1989" i="2"/>
  <c r="L1990" i="2"/>
  <c r="L1992" i="2"/>
  <c r="L1993" i="2"/>
  <c r="L1994" i="2"/>
  <c r="L1995" i="2"/>
  <c r="L1996" i="2"/>
  <c r="L1997" i="2"/>
  <c r="L1998" i="2"/>
  <c r="L2000" i="2"/>
  <c r="L2001" i="2"/>
  <c r="L2002" i="2"/>
  <c r="L2003" i="2"/>
  <c r="L2004" i="2"/>
  <c r="L2005" i="2"/>
  <c r="L2006" i="2"/>
  <c r="L2008" i="2"/>
  <c r="L2009" i="2"/>
  <c r="L2010" i="2"/>
  <c r="L2011" i="2"/>
  <c r="L2012" i="2"/>
  <c r="L2013" i="2"/>
  <c r="L2014" i="2"/>
  <c r="L2016" i="2"/>
  <c r="L2017" i="2"/>
  <c r="L2018" i="2"/>
  <c r="L2019" i="2"/>
  <c r="L2020" i="2"/>
  <c r="L2021" i="2"/>
  <c r="L2022" i="2"/>
  <c r="L2024" i="2"/>
  <c r="L2025" i="2"/>
  <c r="L2026" i="2"/>
  <c r="L2027" i="2"/>
  <c r="L2028" i="2"/>
  <c r="L2029" i="2"/>
  <c r="L2030" i="2"/>
  <c r="L2032" i="2"/>
  <c r="L2033" i="2"/>
  <c r="L2034" i="2"/>
  <c r="L2035" i="2"/>
  <c r="L2036" i="2"/>
  <c r="L2037" i="2"/>
  <c r="L2038" i="2"/>
  <c r="L2040" i="2"/>
  <c r="L2041" i="2"/>
  <c r="L2042" i="2"/>
  <c r="L2043" i="2"/>
  <c r="L2044" i="2"/>
  <c r="L2045" i="2"/>
  <c r="L2046" i="2"/>
  <c r="L2048" i="2"/>
  <c r="L2049" i="2"/>
  <c r="L2050" i="2"/>
  <c r="L2051" i="2"/>
  <c r="L2052" i="2"/>
  <c r="L2053" i="2"/>
  <c r="L2054" i="2"/>
  <c r="L2056" i="2"/>
  <c r="L2057" i="2"/>
  <c r="L2058" i="2"/>
  <c r="L2059" i="2"/>
  <c r="L2060" i="2"/>
  <c r="L2061" i="2"/>
  <c r="L2062" i="2"/>
  <c r="L2064" i="2"/>
  <c r="L2065" i="2"/>
  <c r="L2066" i="2"/>
  <c r="L2067" i="2"/>
  <c r="L2068" i="2"/>
  <c r="L2069" i="2"/>
  <c r="L2070" i="2"/>
  <c r="L2072" i="2"/>
  <c r="L2073" i="2"/>
  <c r="L2074" i="2"/>
  <c r="L2075" i="2"/>
  <c r="L2076" i="2"/>
  <c r="L2077" i="2"/>
  <c r="L2078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6" i="2"/>
  <c r="L2097" i="2"/>
  <c r="L2098" i="2"/>
  <c r="L2099" i="2"/>
  <c r="L2100" i="2"/>
  <c r="L2101" i="2"/>
  <c r="L2102" i="2"/>
  <c r="L2104" i="2"/>
  <c r="L2105" i="2"/>
  <c r="L2106" i="2"/>
  <c r="L2107" i="2"/>
  <c r="L2108" i="2"/>
  <c r="L2109" i="2"/>
  <c r="L2110" i="2"/>
  <c r="L2112" i="2"/>
  <c r="L2113" i="2"/>
  <c r="L2114" i="2"/>
  <c r="L2115" i="2"/>
  <c r="L2116" i="2"/>
  <c r="L2117" i="2"/>
  <c r="L2118" i="2"/>
  <c r="L2120" i="2"/>
  <c r="L2121" i="2"/>
  <c r="L2122" i="2"/>
  <c r="L2123" i="2"/>
  <c r="L2124" i="2"/>
  <c r="L2125" i="2"/>
  <c r="L2126" i="2"/>
  <c r="L2128" i="2"/>
  <c r="L2129" i="2"/>
  <c r="L2130" i="2"/>
  <c r="L2131" i="2"/>
  <c r="L2132" i="2"/>
  <c r="L2133" i="2"/>
  <c r="L2134" i="2"/>
  <c r="L2136" i="2"/>
  <c r="L2137" i="2"/>
  <c r="L2138" i="2"/>
  <c r="L2139" i="2"/>
  <c r="L2140" i="2"/>
  <c r="L2141" i="2"/>
  <c r="L2142" i="2"/>
  <c r="L2144" i="2"/>
  <c r="L2145" i="2"/>
  <c r="L2146" i="2"/>
  <c r="L2147" i="2"/>
  <c r="L2148" i="2"/>
  <c r="L2149" i="2"/>
  <c r="L2150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8" i="2"/>
  <c r="L2169" i="2"/>
  <c r="L2170" i="2"/>
  <c r="L2171" i="2"/>
  <c r="L2172" i="2"/>
  <c r="L2173" i="2"/>
  <c r="L2174" i="2"/>
  <c r="L2176" i="2"/>
  <c r="L2177" i="2"/>
  <c r="L2178" i="2"/>
  <c r="L2179" i="2"/>
  <c r="L2180" i="2"/>
  <c r="L2181" i="2"/>
  <c r="L2182" i="2"/>
  <c r="L2184" i="2"/>
  <c r="L2185" i="2"/>
  <c r="L2186" i="2"/>
  <c r="L2187" i="2"/>
  <c r="L2188" i="2"/>
  <c r="L2189" i="2"/>
  <c r="L2190" i="2"/>
  <c r="L2192" i="2"/>
  <c r="L2193" i="2"/>
  <c r="L2194" i="2"/>
  <c r="L2195" i="2"/>
  <c r="L2196" i="2"/>
  <c r="L2197" i="2"/>
  <c r="L2198" i="2"/>
  <c r="L2200" i="2"/>
  <c r="L2201" i="2"/>
  <c r="L2202" i="2"/>
  <c r="L2203" i="2"/>
  <c r="L2204" i="2"/>
  <c r="L2205" i="2"/>
  <c r="L2206" i="2"/>
  <c r="L2208" i="2"/>
  <c r="L2209" i="2"/>
  <c r="L2210" i="2"/>
  <c r="L2211" i="2"/>
  <c r="L2212" i="2"/>
  <c r="L2213" i="2"/>
  <c r="L2214" i="2"/>
  <c r="L2216" i="2"/>
  <c r="L2217" i="2"/>
  <c r="L2218" i="2"/>
  <c r="L2219" i="2"/>
  <c r="L2220" i="2"/>
  <c r="L2221" i="2"/>
  <c r="L2222" i="2"/>
  <c r="L2224" i="2"/>
  <c r="L2225" i="2"/>
  <c r="L2226" i="2"/>
  <c r="L2227" i="2"/>
  <c r="L2228" i="2"/>
  <c r="L2229" i="2"/>
  <c r="L2230" i="2"/>
  <c r="L2232" i="2"/>
  <c r="L2233" i="2"/>
  <c r="L2234" i="2"/>
  <c r="L2235" i="2"/>
  <c r="L2236" i="2"/>
  <c r="L2237" i="2"/>
  <c r="L2238" i="2"/>
  <c r="L2240" i="2"/>
  <c r="L2241" i="2"/>
  <c r="L2242" i="2"/>
  <c r="L2243" i="2"/>
  <c r="L2244" i="2"/>
  <c r="L2245" i="2"/>
  <c r="L2246" i="2"/>
  <c r="L2248" i="2"/>
  <c r="L2249" i="2"/>
  <c r="L2250" i="2"/>
  <c r="L2251" i="2"/>
  <c r="L2252" i="2"/>
  <c r="L2253" i="2"/>
  <c r="L2254" i="2"/>
  <c r="L2256" i="2"/>
  <c r="L2257" i="2"/>
  <c r="L2258" i="2"/>
  <c r="L2259" i="2"/>
  <c r="L2260" i="2"/>
  <c r="L2261" i="2"/>
  <c r="L2262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2" i="2"/>
  <c r="L2473" i="2"/>
  <c r="L2474" i="2"/>
  <c r="L2475" i="2"/>
  <c r="L2476" i="2"/>
  <c r="L2477" i="2"/>
  <c r="L2478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6" i="2"/>
  <c r="L2537" i="2"/>
  <c r="L2538" i="2"/>
  <c r="L2539" i="2"/>
  <c r="L2540" i="2"/>
  <c r="L2541" i="2"/>
  <c r="L2542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8" i="2"/>
  <c r="L2729" i="2"/>
  <c r="L2730" i="2"/>
  <c r="L2731" i="2"/>
  <c r="L2732" i="2"/>
  <c r="L2733" i="2"/>
  <c r="L2734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2" i="2"/>
  <c r="L2793" i="2"/>
  <c r="L2794" i="2"/>
  <c r="L2795" i="2"/>
  <c r="L2796" i="2"/>
  <c r="L2797" i="2"/>
  <c r="L2798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4" i="2"/>
  <c r="L2985" i="2"/>
  <c r="L2986" i="2"/>
  <c r="L2987" i="2"/>
  <c r="L2988" i="2"/>
  <c r="L2989" i="2"/>
  <c r="L2990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8" i="2"/>
  <c r="L3049" i="2"/>
  <c r="L3050" i="2"/>
  <c r="L3051" i="2"/>
  <c r="L3052" i="2"/>
  <c r="L3053" i="2"/>
  <c r="L3054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40" i="2"/>
  <c r="L3241" i="2"/>
  <c r="L3242" i="2"/>
  <c r="L3243" i="2"/>
  <c r="L3244" i="2"/>
  <c r="L3245" i="2"/>
  <c r="L3246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4" i="2"/>
  <c r="L3305" i="2"/>
  <c r="L3306" i="2"/>
  <c r="L3307" i="2"/>
  <c r="L3308" i="2"/>
  <c r="L3309" i="2"/>
  <c r="L3310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6" i="2"/>
  <c r="L3497" i="2"/>
  <c r="L3498" i="2"/>
  <c r="L3499" i="2"/>
  <c r="L3500" i="2"/>
  <c r="L3501" i="2"/>
  <c r="L3502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60" i="2"/>
  <c r="L3561" i="2"/>
  <c r="L3562" i="2"/>
  <c r="L3563" i="2"/>
  <c r="L3564" i="2"/>
  <c r="L3565" i="2"/>
  <c r="L3566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2" i="2"/>
  <c r="L3753" i="2"/>
  <c r="L3754" i="2"/>
  <c r="L3755" i="2"/>
  <c r="L3756" i="2"/>
  <c r="L3757" i="2"/>
  <c r="L3758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6" i="2"/>
  <c r="L3817" i="2"/>
  <c r="L3818" i="2"/>
  <c r="L3819" i="2"/>
  <c r="L3820" i="2"/>
  <c r="L3821" i="2"/>
  <c r="L3822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545" i="2"/>
  <c r="L656" i="2"/>
  <c r="L720" i="2"/>
  <c r="L768" i="2"/>
  <c r="L793" i="2"/>
  <c r="L832" i="2"/>
  <c r="L1297" i="2"/>
  <c r="L1376" i="2"/>
  <c r="L1515" i="2"/>
  <c r="L1600" i="2"/>
  <c r="K3996" i="2"/>
  <c r="K3997" i="2"/>
  <c r="K3998" i="2"/>
  <c r="E3998" i="2" s="1"/>
  <c r="K3999" i="2"/>
  <c r="D3999" i="2" s="1"/>
  <c r="K4000" i="2"/>
  <c r="K4001" i="2"/>
  <c r="D4001" i="2" s="1"/>
  <c r="K4002" i="2"/>
  <c r="D4002" i="2" s="1"/>
  <c r="K4003" i="2"/>
  <c r="K4004" i="2"/>
  <c r="E4004" i="2" s="1"/>
  <c r="K4005" i="2"/>
  <c r="K4006" i="2"/>
  <c r="D4006" i="2" s="1"/>
  <c r="E3997" i="2"/>
  <c r="E4000" i="2"/>
  <c r="D3996" i="2"/>
  <c r="E3996" i="2"/>
  <c r="D3997" i="2"/>
  <c r="D3998" i="2"/>
  <c r="E3999" i="2"/>
  <c r="D4000" i="2"/>
  <c r="D4003" i="2"/>
  <c r="E4003" i="2"/>
  <c r="D4004" i="2"/>
  <c r="D4005" i="2"/>
  <c r="E4005" i="2"/>
  <c r="D4007" i="2"/>
  <c r="E4007" i="2"/>
  <c r="L3996" i="2"/>
  <c r="L3997" i="2"/>
  <c r="L3998" i="2"/>
  <c r="L3999" i="2"/>
  <c r="L4000" i="2"/>
  <c r="L4001" i="2"/>
  <c r="L4002" i="2"/>
  <c r="L4003" i="2"/>
  <c r="L4004" i="2"/>
  <c r="L4005" i="2"/>
  <c r="L4006" i="2"/>
  <c r="J3" i="2"/>
  <c r="K3" i="2" s="1"/>
  <c r="J4" i="2"/>
  <c r="J5" i="2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J13" i="2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J21" i="2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J29" i="2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J62" i="2"/>
  <c r="K62" i="2" s="1"/>
  <c r="J63" i="2"/>
  <c r="K63" i="2" s="1"/>
  <c r="J64" i="2"/>
  <c r="K64" i="2" s="1"/>
  <c r="J65" i="2"/>
  <c r="K65" i="2" s="1"/>
  <c r="J66" i="2"/>
  <c r="K66" i="2" s="1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K99" i="2" s="1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K107" i="2" s="1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K115" i="2" s="1"/>
  <c r="J116" i="2"/>
  <c r="K116" i="2" s="1"/>
  <c r="J117" i="2"/>
  <c r="K117" i="2" s="1"/>
  <c r="J118" i="2"/>
  <c r="K118" i="2" s="1"/>
  <c r="J119" i="2"/>
  <c r="K119" i="2" s="1"/>
  <c r="J120" i="2"/>
  <c r="K120" i="2" s="1"/>
  <c r="J121" i="2"/>
  <c r="K121" i="2" s="1"/>
  <c r="J122" i="2"/>
  <c r="K122" i="2" s="1"/>
  <c r="J123" i="2"/>
  <c r="K123" i="2" s="1"/>
  <c r="J124" i="2"/>
  <c r="K124" i="2" s="1"/>
  <c r="J125" i="2"/>
  <c r="K125" i="2" s="1"/>
  <c r="J126" i="2"/>
  <c r="K126" i="2" s="1"/>
  <c r="J127" i="2"/>
  <c r="K127" i="2" s="1"/>
  <c r="J128" i="2"/>
  <c r="K128" i="2" s="1"/>
  <c r="J129" i="2"/>
  <c r="K129" i="2" s="1"/>
  <c r="J130" i="2"/>
  <c r="J131" i="2"/>
  <c r="K131" i="2" s="1"/>
  <c r="J132" i="2"/>
  <c r="K132" i="2" s="1"/>
  <c r="J133" i="2"/>
  <c r="K133" i="2" s="1"/>
  <c r="J134" i="2"/>
  <c r="K134" i="2" s="1"/>
  <c r="J135" i="2"/>
  <c r="K135" i="2" s="1"/>
  <c r="J136" i="2"/>
  <c r="K136" i="2" s="1"/>
  <c r="J137" i="2"/>
  <c r="K137" i="2" s="1"/>
  <c r="J138" i="2"/>
  <c r="K138" i="2" s="1"/>
  <c r="J139" i="2"/>
  <c r="K139" i="2" s="1"/>
  <c r="J140" i="2"/>
  <c r="K140" i="2" s="1"/>
  <c r="J141" i="2"/>
  <c r="K141" i="2" s="1"/>
  <c r="J142" i="2"/>
  <c r="K142" i="2" s="1"/>
  <c r="J143" i="2"/>
  <c r="K143" i="2" s="1"/>
  <c r="J144" i="2"/>
  <c r="K144" i="2" s="1"/>
  <c r="J145" i="2"/>
  <c r="K145" i="2" s="1"/>
  <c r="J146" i="2"/>
  <c r="K146" i="2" s="1"/>
  <c r="J147" i="2"/>
  <c r="K147" i="2" s="1"/>
  <c r="J148" i="2"/>
  <c r="K148" i="2" s="1"/>
  <c r="J149" i="2"/>
  <c r="K149" i="2" s="1"/>
  <c r="J150" i="2"/>
  <c r="K150" i="2" s="1"/>
  <c r="J151" i="2"/>
  <c r="K151" i="2" s="1"/>
  <c r="J152" i="2"/>
  <c r="K152" i="2" s="1"/>
  <c r="J153" i="2"/>
  <c r="K153" i="2" s="1"/>
  <c r="J154" i="2"/>
  <c r="K154" i="2" s="1"/>
  <c r="J155" i="2"/>
  <c r="K155" i="2" s="1"/>
  <c r="J156" i="2"/>
  <c r="K156" i="2" s="1"/>
  <c r="J157" i="2"/>
  <c r="K157" i="2" s="1"/>
  <c r="J158" i="2"/>
  <c r="K158" i="2" s="1"/>
  <c r="J159" i="2"/>
  <c r="K159" i="2" s="1"/>
  <c r="J160" i="2"/>
  <c r="K160" i="2" s="1"/>
  <c r="J161" i="2"/>
  <c r="K161" i="2" s="1"/>
  <c r="J162" i="2"/>
  <c r="K162" i="2" s="1"/>
  <c r="J163" i="2"/>
  <c r="K163" i="2" s="1"/>
  <c r="J164" i="2"/>
  <c r="K164" i="2" s="1"/>
  <c r="J165" i="2"/>
  <c r="K165" i="2" s="1"/>
  <c r="J166" i="2"/>
  <c r="K166" i="2" s="1"/>
  <c r="J167" i="2"/>
  <c r="K167" i="2" s="1"/>
  <c r="J168" i="2"/>
  <c r="K168" i="2" s="1"/>
  <c r="J169" i="2"/>
  <c r="K169" i="2" s="1"/>
  <c r="J170" i="2"/>
  <c r="K170" i="2" s="1"/>
  <c r="J171" i="2"/>
  <c r="K171" i="2" s="1"/>
  <c r="J172" i="2"/>
  <c r="K172" i="2" s="1"/>
  <c r="J173" i="2"/>
  <c r="K173" i="2" s="1"/>
  <c r="J174" i="2"/>
  <c r="K174" i="2" s="1"/>
  <c r="J175" i="2"/>
  <c r="K175" i="2" s="1"/>
  <c r="J176" i="2"/>
  <c r="K176" i="2" s="1"/>
  <c r="J177" i="2"/>
  <c r="K177" i="2" s="1"/>
  <c r="J178" i="2"/>
  <c r="K178" i="2" s="1"/>
  <c r="J179" i="2"/>
  <c r="K179" i="2" s="1"/>
  <c r="J180" i="2"/>
  <c r="K180" i="2" s="1"/>
  <c r="J181" i="2"/>
  <c r="K181" i="2" s="1"/>
  <c r="J182" i="2"/>
  <c r="K182" i="2" s="1"/>
  <c r="J183" i="2"/>
  <c r="K183" i="2" s="1"/>
  <c r="J184" i="2"/>
  <c r="K184" i="2" s="1"/>
  <c r="J185" i="2"/>
  <c r="K185" i="2" s="1"/>
  <c r="J186" i="2"/>
  <c r="K186" i="2" s="1"/>
  <c r="J187" i="2"/>
  <c r="K187" i="2" s="1"/>
  <c r="J188" i="2"/>
  <c r="K188" i="2" s="1"/>
  <c r="J189" i="2"/>
  <c r="K189" i="2" s="1"/>
  <c r="J190" i="2"/>
  <c r="K190" i="2" s="1"/>
  <c r="J191" i="2"/>
  <c r="K191" i="2" s="1"/>
  <c r="J192" i="2"/>
  <c r="K192" i="2" s="1"/>
  <c r="J193" i="2"/>
  <c r="K193" i="2" s="1"/>
  <c r="J194" i="2"/>
  <c r="K194" i="2" s="1"/>
  <c r="J195" i="2"/>
  <c r="K195" i="2" s="1"/>
  <c r="J196" i="2"/>
  <c r="K196" i="2" s="1"/>
  <c r="J197" i="2"/>
  <c r="K197" i="2" s="1"/>
  <c r="J198" i="2"/>
  <c r="K198" i="2" s="1"/>
  <c r="J199" i="2"/>
  <c r="K199" i="2" s="1"/>
  <c r="J200" i="2"/>
  <c r="K200" i="2" s="1"/>
  <c r="J201" i="2"/>
  <c r="K201" i="2" s="1"/>
  <c r="J202" i="2"/>
  <c r="K202" i="2" s="1"/>
  <c r="J203" i="2"/>
  <c r="K203" i="2" s="1"/>
  <c r="J204" i="2"/>
  <c r="K204" i="2" s="1"/>
  <c r="J205" i="2"/>
  <c r="K205" i="2" s="1"/>
  <c r="J206" i="2"/>
  <c r="K206" i="2" s="1"/>
  <c r="J207" i="2"/>
  <c r="K207" i="2" s="1"/>
  <c r="J208" i="2"/>
  <c r="K208" i="2" s="1"/>
  <c r="J209" i="2"/>
  <c r="K209" i="2" s="1"/>
  <c r="J210" i="2"/>
  <c r="K210" i="2" s="1"/>
  <c r="J211" i="2"/>
  <c r="K211" i="2" s="1"/>
  <c r="J212" i="2"/>
  <c r="K212" i="2" s="1"/>
  <c r="J213" i="2"/>
  <c r="K213" i="2" s="1"/>
  <c r="J214" i="2"/>
  <c r="K214" i="2" s="1"/>
  <c r="J215" i="2"/>
  <c r="K215" i="2" s="1"/>
  <c r="J216" i="2"/>
  <c r="K216" i="2" s="1"/>
  <c r="J217" i="2"/>
  <c r="K217" i="2" s="1"/>
  <c r="J218" i="2"/>
  <c r="K218" i="2" s="1"/>
  <c r="J219" i="2"/>
  <c r="K219" i="2" s="1"/>
  <c r="J220" i="2"/>
  <c r="K220" i="2" s="1"/>
  <c r="J221" i="2"/>
  <c r="K221" i="2" s="1"/>
  <c r="J222" i="2"/>
  <c r="K222" i="2" s="1"/>
  <c r="J223" i="2"/>
  <c r="K223" i="2" s="1"/>
  <c r="J224" i="2"/>
  <c r="K224" i="2" s="1"/>
  <c r="J225" i="2"/>
  <c r="K225" i="2" s="1"/>
  <c r="J226" i="2"/>
  <c r="K226" i="2" s="1"/>
  <c r="J227" i="2"/>
  <c r="K227" i="2" s="1"/>
  <c r="J228" i="2"/>
  <c r="K228" i="2" s="1"/>
  <c r="J229" i="2"/>
  <c r="K229" i="2" s="1"/>
  <c r="J230" i="2"/>
  <c r="K230" i="2" s="1"/>
  <c r="J231" i="2"/>
  <c r="K231" i="2" s="1"/>
  <c r="J232" i="2"/>
  <c r="K232" i="2" s="1"/>
  <c r="J233" i="2"/>
  <c r="K233" i="2" s="1"/>
  <c r="J234" i="2"/>
  <c r="K234" i="2" s="1"/>
  <c r="J235" i="2"/>
  <c r="K235" i="2" s="1"/>
  <c r="J236" i="2"/>
  <c r="K236" i="2" s="1"/>
  <c r="J237" i="2"/>
  <c r="K237" i="2" s="1"/>
  <c r="J238" i="2"/>
  <c r="K238" i="2" s="1"/>
  <c r="J239" i="2"/>
  <c r="K239" i="2" s="1"/>
  <c r="J240" i="2"/>
  <c r="K240" i="2" s="1"/>
  <c r="J241" i="2"/>
  <c r="K241" i="2" s="1"/>
  <c r="J242" i="2"/>
  <c r="K242" i="2" s="1"/>
  <c r="J243" i="2"/>
  <c r="K243" i="2" s="1"/>
  <c r="J244" i="2"/>
  <c r="K244" i="2" s="1"/>
  <c r="J245" i="2"/>
  <c r="K245" i="2" s="1"/>
  <c r="J246" i="2"/>
  <c r="K246" i="2" s="1"/>
  <c r="J247" i="2"/>
  <c r="K247" i="2" s="1"/>
  <c r="J248" i="2"/>
  <c r="K248" i="2" s="1"/>
  <c r="J249" i="2"/>
  <c r="K249" i="2" s="1"/>
  <c r="J250" i="2"/>
  <c r="K250" i="2" s="1"/>
  <c r="J251" i="2"/>
  <c r="K251" i="2" s="1"/>
  <c r="J252" i="2"/>
  <c r="K252" i="2" s="1"/>
  <c r="J253" i="2"/>
  <c r="K253" i="2" s="1"/>
  <c r="J254" i="2"/>
  <c r="K254" i="2" s="1"/>
  <c r="J255" i="2"/>
  <c r="K255" i="2" s="1"/>
  <c r="J256" i="2"/>
  <c r="K256" i="2" s="1"/>
  <c r="J257" i="2"/>
  <c r="K257" i="2" s="1"/>
  <c r="J258" i="2"/>
  <c r="K258" i="2" s="1"/>
  <c r="J259" i="2"/>
  <c r="K259" i="2" s="1"/>
  <c r="J260" i="2"/>
  <c r="K260" i="2" s="1"/>
  <c r="J261" i="2"/>
  <c r="K261" i="2" s="1"/>
  <c r="J262" i="2"/>
  <c r="K262" i="2" s="1"/>
  <c r="J263" i="2"/>
  <c r="K263" i="2" s="1"/>
  <c r="J264" i="2"/>
  <c r="K264" i="2" s="1"/>
  <c r="J265" i="2"/>
  <c r="K265" i="2" s="1"/>
  <c r="J266" i="2"/>
  <c r="K266" i="2" s="1"/>
  <c r="J267" i="2"/>
  <c r="K267" i="2" s="1"/>
  <c r="J268" i="2"/>
  <c r="K268" i="2" s="1"/>
  <c r="J269" i="2"/>
  <c r="K269" i="2" s="1"/>
  <c r="J270" i="2"/>
  <c r="K270" i="2" s="1"/>
  <c r="J271" i="2"/>
  <c r="K271" i="2" s="1"/>
  <c r="J272" i="2"/>
  <c r="K272" i="2" s="1"/>
  <c r="J273" i="2"/>
  <c r="K273" i="2" s="1"/>
  <c r="J274" i="2"/>
  <c r="K274" i="2" s="1"/>
  <c r="J275" i="2"/>
  <c r="K275" i="2" s="1"/>
  <c r="J276" i="2"/>
  <c r="K276" i="2" s="1"/>
  <c r="J277" i="2"/>
  <c r="K277" i="2" s="1"/>
  <c r="J278" i="2"/>
  <c r="K278" i="2" s="1"/>
  <c r="J279" i="2"/>
  <c r="K279" i="2" s="1"/>
  <c r="J280" i="2"/>
  <c r="K280" i="2" s="1"/>
  <c r="J281" i="2"/>
  <c r="K281" i="2" s="1"/>
  <c r="J282" i="2"/>
  <c r="K282" i="2" s="1"/>
  <c r="J283" i="2"/>
  <c r="K283" i="2" s="1"/>
  <c r="J284" i="2"/>
  <c r="K284" i="2" s="1"/>
  <c r="J285" i="2"/>
  <c r="K285" i="2" s="1"/>
  <c r="J286" i="2"/>
  <c r="K286" i="2" s="1"/>
  <c r="J287" i="2"/>
  <c r="K287" i="2" s="1"/>
  <c r="J288" i="2"/>
  <c r="K288" i="2" s="1"/>
  <c r="J289" i="2"/>
  <c r="K289" i="2" s="1"/>
  <c r="J290" i="2"/>
  <c r="K290" i="2" s="1"/>
  <c r="J291" i="2"/>
  <c r="K291" i="2" s="1"/>
  <c r="J292" i="2"/>
  <c r="K292" i="2" s="1"/>
  <c r="J293" i="2"/>
  <c r="K293" i="2" s="1"/>
  <c r="J294" i="2"/>
  <c r="K294" i="2" s="1"/>
  <c r="J295" i="2"/>
  <c r="K295" i="2" s="1"/>
  <c r="J296" i="2"/>
  <c r="K296" i="2" s="1"/>
  <c r="J297" i="2"/>
  <c r="K297" i="2" s="1"/>
  <c r="J298" i="2"/>
  <c r="K298" i="2" s="1"/>
  <c r="J299" i="2"/>
  <c r="K299" i="2" s="1"/>
  <c r="J300" i="2"/>
  <c r="K300" i="2" s="1"/>
  <c r="J301" i="2"/>
  <c r="K301" i="2" s="1"/>
  <c r="J302" i="2"/>
  <c r="K302" i="2" s="1"/>
  <c r="J303" i="2"/>
  <c r="K303" i="2" s="1"/>
  <c r="J304" i="2"/>
  <c r="K304" i="2" s="1"/>
  <c r="J305" i="2"/>
  <c r="K305" i="2" s="1"/>
  <c r="J306" i="2"/>
  <c r="K306" i="2" s="1"/>
  <c r="J307" i="2"/>
  <c r="K307" i="2" s="1"/>
  <c r="J308" i="2"/>
  <c r="K308" i="2" s="1"/>
  <c r="J309" i="2"/>
  <c r="K309" i="2" s="1"/>
  <c r="J310" i="2"/>
  <c r="K310" i="2" s="1"/>
  <c r="J311" i="2"/>
  <c r="K311" i="2" s="1"/>
  <c r="J312" i="2"/>
  <c r="K312" i="2" s="1"/>
  <c r="J313" i="2"/>
  <c r="K313" i="2" s="1"/>
  <c r="J314" i="2"/>
  <c r="K314" i="2" s="1"/>
  <c r="J315" i="2"/>
  <c r="K315" i="2" s="1"/>
  <c r="J316" i="2"/>
  <c r="K316" i="2" s="1"/>
  <c r="J317" i="2"/>
  <c r="K317" i="2" s="1"/>
  <c r="J318" i="2"/>
  <c r="K318" i="2" s="1"/>
  <c r="J319" i="2"/>
  <c r="K319" i="2" s="1"/>
  <c r="J320" i="2"/>
  <c r="K320" i="2" s="1"/>
  <c r="J321" i="2"/>
  <c r="K321" i="2" s="1"/>
  <c r="J322" i="2"/>
  <c r="K322" i="2" s="1"/>
  <c r="J323" i="2"/>
  <c r="K323" i="2" s="1"/>
  <c r="J324" i="2"/>
  <c r="K324" i="2" s="1"/>
  <c r="J325" i="2"/>
  <c r="K325" i="2" s="1"/>
  <c r="J326" i="2"/>
  <c r="K326" i="2" s="1"/>
  <c r="J327" i="2"/>
  <c r="K327" i="2" s="1"/>
  <c r="J328" i="2"/>
  <c r="K328" i="2" s="1"/>
  <c r="J329" i="2"/>
  <c r="K329" i="2" s="1"/>
  <c r="J330" i="2"/>
  <c r="K330" i="2" s="1"/>
  <c r="J331" i="2"/>
  <c r="K331" i="2" s="1"/>
  <c r="J332" i="2"/>
  <c r="K332" i="2" s="1"/>
  <c r="J333" i="2"/>
  <c r="K333" i="2" s="1"/>
  <c r="J334" i="2"/>
  <c r="K334" i="2" s="1"/>
  <c r="J335" i="2"/>
  <c r="K335" i="2" s="1"/>
  <c r="J336" i="2"/>
  <c r="K336" i="2" s="1"/>
  <c r="J337" i="2"/>
  <c r="K337" i="2" s="1"/>
  <c r="J338" i="2"/>
  <c r="K338" i="2" s="1"/>
  <c r="J339" i="2"/>
  <c r="K339" i="2" s="1"/>
  <c r="J340" i="2"/>
  <c r="K340" i="2" s="1"/>
  <c r="J341" i="2"/>
  <c r="K341" i="2" s="1"/>
  <c r="J342" i="2"/>
  <c r="K342" i="2" s="1"/>
  <c r="J343" i="2"/>
  <c r="K343" i="2" s="1"/>
  <c r="J344" i="2"/>
  <c r="K344" i="2" s="1"/>
  <c r="J345" i="2"/>
  <c r="K345" i="2" s="1"/>
  <c r="J346" i="2"/>
  <c r="K346" i="2" s="1"/>
  <c r="J347" i="2"/>
  <c r="K347" i="2" s="1"/>
  <c r="J348" i="2"/>
  <c r="K348" i="2" s="1"/>
  <c r="J349" i="2"/>
  <c r="K349" i="2" s="1"/>
  <c r="J350" i="2"/>
  <c r="K350" i="2" s="1"/>
  <c r="J351" i="2"/>
  <c r="K351" i="2" s="1"/>
  <c r="J352" i="2"/>
  <c r="K352" i="2" s="1"/>
  <c r="J353" i="2"/>
  <c r="K353" i="2" s="1"/>
  <c r="J354" i="2"/>
  <c r="K354" i="2" s="1"/>
  <c r="J355" i="2"/>
  <c r="K355" i="2" s="1"/>
  <c r="J356" i="2"/>
  <c r="K356" i="2" s="1"/>
  <c r="J357" i="2"/>
  <c r="K357" i="2" s="1"/>
  <c r="J358" i="2"/>
  <c r="K358" i="2" s="1"/>
  <c r="J359" i="2"/>
  <c r="K359" i="2" s="1"/>
  <c r="J360" i="2"/>
  <c r="K360" i="2" s="1"/>
  <c r="J361" i="2"/>
  <c r="K361" i="2" s="1"/>
  <c r="J362" i="2"/>
  <c r="K362" i="2" s="1"/>
  <c r="J363" i="2"/>
  <c r="K363" i="2" s="1"/>
  <c r="J364" i="2"/>
  <c r="K364" i="2" s="1"/>
  <c r="J365" i="2"/>
  <c r="K365" i="2" s="1"/>
  <c r="J366" i="2"/>
  <c r="K366" i="2" s="1"/>
  <c r="J367" i="2"/>
  <c r="K367" i="2" s="1"/>
  <c r="J368" i="2"/>
  <c r="K368" i="2" s="1"/>
  <c r="J369" i="2"/>
  <c r="K369" i="2" s="1"/>
  <c r="J370" i="2"/>
  <c r="K370" i="2" s="1"/>
  <c r="J371" i="2"/>
  <c r="K371" i="2" s="1"/>
  <c r="J372" i="2"/>
  <c r="K372" i="2" s="1"/>
  <c r="J373" i="2"/>
  <c r="K373" i="2" s="1"/>
  <c r="J374" i="2"/>
  <c r="K374" i="2" s="1"/>
  <c r="J375" i="2"/>
  <c r="K375" i="2" s="1"/>
  <c r="J376" i="2"/>
  <c r="K376" i="2" s="1"/>
  <c r="J377" i="2"/>
  <c r="K377" i="2" s="1"/>
  <c r="J378" i="2"/>
  <c r="K378" i="2" s="1"/>
  <c r="J379" i="2"/>
  <c r="K379" i="2" s="1"/>
  <c r="J380" i="2"/>
  <c r="K380" i="2" s="1"/>
  <c r="J381" i="2"/>
  <c r="K381" i="2" s="1"/>
  <c r="J382" i="2"/>
  <c r="K382" i="2" s="1"/>
  <c r="J383" i="2"/>
  <c r="K383" i="2" s="1"/>
  <c r="J384" i="2"/>
  <c r="K384" i="2" s="1"/>
  <c r="J385" i="2"/>
  <c r="K385" i="2" s="1"/>
  <c r="J386" i="2"/>
  <c r="K386" i="2" s="1"/>
  <c r="J387" i="2"/>
  <c r="K387" i="2" s="1"/>
  <c r="J388" i="2"/>
  <c r="K388" i="2" s="1"/>
  <c r="J389" i="2"/>
  <c r="K389" i="2" s="1"/>
  <c r="J390" i="2"/>
  <c r="K390" i="2" s="1"/>
  <c r="J391" i="2"/>
  <c r="K391" i="2" s="1"/>
  <c r="J392" i="2"/>
  <c r="K392" i="2" s="1"/>
  <c r="J393" i="2"/>
  <c r="K393" i="2" s="1"/>
  <c r="J394" i="2"/>
  <c r="K394" i="2" s="1"/>
  <c r="J395" i="2"/>
  <c r="K395" i="2" s="1"/>
  <c r="J396" i="2"/>
  <c r="K396" i="2" s="1"/>
  <c r="J397" i="2"/>
  <c r="K397" i="2" s="1"/>
  <c r="J398" i="2"/>
  <c r="K398" i="2" s="1"/>
  <c r="J399" i="2"/>
  <c r="K399" i="2" s="1"/>
  <c r="J400" i="2"/>
  <c r="K400" i="2" s="1"/>
  <c r="J401" i="2"/>
  <c r="K401" i="2" s="1"/>
  <c r="J402" i="2"/>
  <c r="K402" i="2" s="1"/>
  <c r="J403" i="2"/>
  <c r="K403" i="2" s="1"/>
  <c r="J404" i="2"/>
  <c r="K404" i="2" s="1"/>
  <c r="J405" i="2"/>
  <c r="K405" i="2" s="1"/>
  <c r="J406" i="2"/>
  <c r="K406" i="2" s="1"/>
  <c r="J407" i="2"/>
  <c r="K407" i="2" s="1"/>
  <c r="J408" i="2"/>
  <c r="K408" i="2" s="1"/>
  <c r="J409" i="2"/>
  <c r="K409" i="2" s="1"/>
  <c r="J410" i="2"/>
  <c r="K410" i="2" s="1"/>
  <c r="J411" i="2"/>
  <c r="K411" i="2" s="1"/>
  <c r="J412" i="2"/>
  <c r="K412" i="2" s="1"/>
  <c r="J413" i="2"/>
  <c r="K413" i="2" s="1"/>
  <c r="J414" i="2"/>
  <c r="K414" i="2" s="1"/>
  <c r="J415" i="2"/>
  <c r="K415" i="2" s="1"/>
  <c r="J416" i="2"/>
  <c r="K416" i="2" s="1"/>
  <c r="J417" i="2"/>
  <c r="K417" i="2" s="1"/>
  <c r="J418" i="2"/>
  <c r="K418" i="2" s="1"/>
  <c r="J419" i="2"/>
  <c r="K419" i="2" s="1"/>
  <c r="J420" i="2"/>
  <c r="K420" i="2" s="1"/>
  <c r="J421" i="2"/>
  <c r="K421" i="2" s="1"/>
  <c r="J422" i="2"/>
  <c r="K422" i="2" s="1"/>
  <c r="J423" i="2"/>
  <c r="K423" i="2" s="1"/>
  <c r="J424" i="2"/>
  <c r="K424" i="2" s="1"/>
  <c r="J425" i="2"/>
  <c r="K425" i="2" s="1"/>
  <c r="J426" i="2"/>
  <c r="K426" i="2" s="1"/>
  <c r="J427" i="2"/>
  <c r="K427" i="2" s="1"/>
  <c r="J428" i="2"/>
  <c r="K428" i="2" s="1"/>
  <c r="J429" i="2"/>
  <c r="K429" i="2" s="1"/>
  <c r="J430" i="2"/>
  <c r="K430" i="2" s="1"/>
  <c r="J431" i="2"/>
  <c r="K431" i="2" s="1"/>
  <c r="J432" i="2"/>
  <c r="K432" i="2" s="1"/>
  <c r="J433" i="2"/>
  <c r="K433" i="2" s="1"/>
  <c r="J434" i="2"/>
  <c r="K434" i="2" s="1"/>
  <c r="J435" i="2"/>
  <c r="K435" i="2" s="1"/>
  <c r="J436" i="2"/>
  <c r="K436" i="2" s="1"/>
  <c r="J437" i="2"/>
  <c r="K437" i="2" s="1"/>
  <c r="J438" i="2"/>
  <c r="K438" i="2" s="1"/>
  <c r="J439" i="2"/>
  <c r="K439" i="2" s="1"/>
  <c r="J440" i="2"/>
  <c r="K440" i="2" s="1"/>
  <c r="J441" i="2"/>
  <c r="K441" i="2" s="1"/>
  <c r="J442" i="2"/>
  <c r="K442" i="2" s="1"/>
  <c r="J443" i="2"/>
  <c r="K443" i="2" s="1"/>
  <c r="J444" i="2"/>
  <c r="K444" i="2" s="1"/>
  <c r="J445" i="2"/>
  <c r="K445" i="2" s="1"/>
  <c r="J446" i="2"/>
  <c r="K446" i="2" s="1"/>
  <c r="J447" i="2"/>
  <c r="K447" i="2" s="1"/>
  <c r="J448" i="2"/>
  <c r="K448" i="2" s="1"/>
  <c r="J449" i="2"/>
  <c r="K449" i="2" s="1"/>
  <c r="J450" i="2"/>
  <c r="K450" i="2" s="1"/>
  <c r="J451" i="2"/>
  <c r="K451" i="2" s="1"/>
  <c r="J452" i="2"/>
  <c r="K452" i="2" s="1"/>
  <c r="J453" i="2"/>
  <c r="K453" i="2" s="1"/>
  <c r="J454" i="2"/>
  <c r="K454" i="2" s="1"/>
  <c r="J455" i="2"/>
  <c r="K455" i="2" s="1"/>
  <c r="J456" i="2"/>
  <c r="K456" i="2" s="1"/>
  <c r="J457" i="2"/>
  <c r="K457" i="2" s="1"/>
  <c r="J458" i="2"/>
  <c r="K458" i="2" s="1"/>
  <c r="J459" i="2"/>
  <c r="K459" i="2" s="1"/>
  <c r="J460" i="2"/>
  <c r="K460" i="2" s="1"/>
  <c r="J461" i="2"/>
  <c r="K461" i="2" s="1"/>
  <c r="J462" i="2"/>
  <c r="K462" i="2" s="1"/>
  <c r="J463" i="2"/>
  <c r="K463" i="2" s="1"/>
  <c r="J464" i="2"/>
  <c r="K464" i="2" s="1"/>
  <c r="J465" i="2"/>
  <c r="K465" i="2" s="1"/>
  <c r="J466" i="2"/>
  <c r="K466" i="2" s="1"/>
  <c r="J467" i="2"/>
  <c r="K467" i="2" s="1"/>
  <c r="J468" i="2"/>
  <c r="K468" i="2" s="1"/>
  <c r="J469" i="2"/>
  <c r="K469" i="2" s="1"/>
  <c r="J470" i="2"/>
  <c r="K470" i="2" s="1"/>
  <c r="J471" i="2"/>
  <c r="K471" i="2" s="1"/>
  <c r="J472" i="2"/>
  <c r="K472" i="2" s="1"/>
  <c r="J473" i="2"/>
  <c r="K473" i="2" s="1"/>
  <c r="J474" i="2"/>
  <c r="K474" i="2" s="1"/>
  <c r="J475" i="2"/>
  <c r="K475" i="2" s="1"/>
  <c r="J476" i="2"/>
  <c r="K476" i="2" s="1"/>
  <c r="J477" i="2"/>
  <c r="K477" i="2" s="1"/>
  <c r="J478" i="2"/>
  <c r="K478" i="2" s="1"/>
  <c r="J479" i="2"/>
  <c r="K479" i="2" s="1"/>
  <c r="J480" i="2"/>
  <c r="K480" i="2" s="1"/>
  <c r="J481" i="2"/>
  <c r="K481" i="2" s="1"/>
  <c r="J482" i="2"/>
  <c r="K482" i="2" s="1"/>
  <c r="J483" i="2"/>
  <c r="K483" i="2" s="1"/>
  <c r="J484" i="2"/>
  <c r="K484" i="2" s="1"/>
  <c r="J485" i="2"/>
  <c r="K485" i="2" s="1"/>
  <c r="J486" i="2"/>
  <c r="K486" i="2" s="1"/>
  <c r="J487" i="2"/>
  <c r="K487" i="2" s="1"/>
  <c r="J488" i="2"/>
  <c r="K488" i="2" s="1"/>
  <c r="J489" i="2"/>
  <c r="K489" i="2" s="1"/>
  <c r="J490" i="2"/>
  <c r="K490" i="2" s="1"/>
  <c r="J491" i="2"/>
  <c r="K491" i="2" s="1"/>
  <c r="J492" i="2"/>
  <c r="K492" i="2" s="1"/>
  <c r="J493" i="2"/>
  <c r="K493" i="2" s="1"/>
  <c r="J494" i="2"/>
  <c r="K494" i="2" s="1"/>
  <c r="J495" i="2"/>
  <c r="K495" i="2" s="1"/>
  <c r="J496" i="2"/>
  <c r="K496" i="2" s="1"/>
  <c r="J497" i="2"/>
  <c r="K497" i="2" s="1"/>
  <c r="J498" i="2"/>
  <c r="K498" i="2" s="1"/>
  <c r="J499" i="2"/>
  <c r="K499" i="2" s="1"/>
  <c r="J500" i="2"/>
  <c r="K500" i="2" s="1"/>
  <c r="J501" i="2"/>
  <c r="K501" i="2" s="1"/>
  <c r="J502" i="2"/>
  <c r="K502" i="2" s="1"/>
  <c r="J503" i="2"/>
  <c r="K503" i="2" s="1"/>
  <c r="J504" i="2"/>
  <c r="K504" i="2" s="1"/>
  <c r="J505" i="2"/>
  <c r="K505" i="2" s="1"/>
  <c r="J506" i="2"/>
  <c r="K506" i="2" s="1"/>
  <c r="J507" i="2"/>
  <c r="K507" i="2" s="1"/>
  <c r="J508" i="2"/>
  <c r="K508" i="2" s="1"/>
  <c r="J509" i="2"/>
  <c r="K509" i="2" s="1"/>
  <c r="J510" i="2"/>
  <c r="K510" i="2" s="1"/>
  <c r="J511" i="2"/>
  <c r="K511" i="2" s="1"/>
  <c r="J512" i="2"/>
  <c r="K512" i="2" s="1"/>
  <c r="J513" i="2"/>
  <c r="K513" i="2" s="1"/>
  <c r="J514" i="2"/>
  <c r="K514" i="2" s="1"/>
  <c r="J515" i="2"/>
  <c r="K515" i="2" s="1"/>
  <c r="J516" i="2"/>
  <c r="K516" i="2" s="1"/>
  <c r="J517" i="2"/>
  <c r="K517" i="2" s="1"/>
  <c r="J518" i="2"/>
  <c r="K518" i="2" s="1"/>
  <c r="J519" i="2"/>
  <c r="K519" i="2" s="1"/>
  <c r="J520" i="2"/>
  <c r="K520" i="2" s="1"/>
  <c r="J521" i="2"/>
  <c r="K521" i="2" s="1"/>
  <c r="J522" i="2"/>
  <c r="K522" i="2" s="1"/>
  <c r="J523" i="2"/>
  <c r="K523" i="2" s="1"/>
  <c r="J524" i="2"/>
  <c r="K524" i="2" s="1"/>
  <c r="J525" i="2"/>
  <c r="K525" i="2" s="1"/>
  <c r="J526" i="2"/>
  <c r="K526" i="2" s="1"/>
  <c r="J527" i="2"/>
  <c r="K527" i="2" s="1"/>
  <c r="J528" i="2"/>
  <c r="K528" i="2" s="1"/>
  <c r="J529" i="2"/>
  <c r="K529" i="2" s="1"/>
  <c r="J530" i="2"/>
  <c r="K530" i="2" s="1"/>
  <c r="J531" i="2"/>
  <c r="K531" i="2" s="1"/>
  <c r="J532" i="2"/>
  <c r="K532" i="2" s="1"/>
  <c r="J533" i="2"/>
  <c r="K533" i="2" s="1"/>
  <c r="J534" i="2"/>
  <c r="K534" i="2" s="1"/>
  <c r="J535" i="2"/>
  <c r="K535" i="2" s="1"/>
  <c r="J536" i="2"/>
  <c r="K536" i="2" s="1"/>
  <c r="J537" i="2"/>
  <c r="K537" i="2" s="1"/>
  <c r="J538" i="2"/>
  <c r="K538" i="2" s="1"/>
  <c r="J539" i="2"/>
  <c r="K539" i="2" s="1"/>
  <c r="J540" i="2"/>
  <c r="K540" i="2" s="1"/>
  <c r="J541" i="2"/>
  <c r="K541" i="2" s="1"/>
  <c r="J542" i="2"/>
  <c r="K542" i="2" s="1"/>
  <c r="J543" i="2"/>
  <c r="K543" i="2" s="1"/>
  <c r="J544" i="2"/>
  <c r="K544" i="2" s="1"/>
  <c r="J545" i="2"/>
  <c r="K545" i="2" s="1"/>
  <c r="J546" i="2"/>
  <c r="K546" i="2" s="1"/>
  <c r="J547" i="2"/>
  <c r="K547" i="2" s="1"/>
  <c r="J548" i="2"/>
  <c r="K548" i="2" s="1"/>
  <c r="J549" i="2"/>
  <c r="K549" i="2" s="1"/>
  <c r="J550" i="2"/>
  <c r="K550" i="2" s="1"/>
  <c r="J551" i="2"/>
  <c r="K551" i="2" s="1"/>
  <c r="J552" i="2"/>
  <c r="K552" i="2" s="1"/>
  <c r="J553" i="2"/>
  <c r="K553" i="2" s="1"/>
  <c r="J554" i="2"/>
  <c r="K554" i="2" s="1"/>
  <c r="J555" i="2"/>
  <c r="K555" i="2" s="1"/>
  <c r="J556" i="2"/>
  <c r="K556" i="2" s="1"/>
  <c r="J557" i="2"/>
  <c r="K557" i="2" s="1"/>
  <c r="J558" i="2"/>
  <c r="K558" i="2" s="1"/>
  <c r="J559" i="2"/>
  <c r="K559" i="2" s="1"/>
  <c r="J560" i="2"/>
  <c r="K560" i="2" s="1"/>
  <c r="J561" i="2"/>
  <c r="K561" i="2" s="1"/>
  <c r="J562" i="2"/>
  <c r="K562" i="2" s="1"/>
  <c r="J563" i="2"/>
  <c r="K563" i="2" s="1"/>
  <c r="J564" i="2"/>
  <c r="K564" i="2" s="1"/>
  <c r="J565" i="2"/>
  <c r="K565" i="2" s="1"/>
  <c r="J566" i="2"/>
  <c r="K566" i="2" s="1"/>
  <c r="J567" i="2"/>
  <c r="K567" i="2" s="1"/>
  <c r="J568" i="2"/>
  <c r="K568" i="2" s="1"/>
  <c r="J569" i="2"/>
  <c r="K569" i="2" s="1"/>
  <c r="J570" i="2"/>
  <c r="K570" i="2" s="1"/>
  <c r="J571" i="2"/>
  <c r="K571" i="2" s="1"/>
  <c r="J572" i="2"/>
  <c r="K572" i="2" s="1"/>
  <c r="J573" i="2"/>
  <c r="K573" i="2" s="1"/>
  <c r="J574" i="2"/>
  <c r="K574" i="2" s="1"/>
  <c r="J575" i="2"/>
  <c r="K575" i="2" s="1"/>
  <c r="J576" i="2"/>
  <c r="K576" i="2" s="1"/>
  <c r="J577" i="2"/>
  <c r="K577" i="2" s="1"/>
  <c r="J578" i="2"/>
  <c r="K578" i="2" s="1"/>
  <c r="J579" i="2"/>
  <c r="K579" i="2" s="1"/>
  <c r="J580" i="2"/>
  <c r="K580" i="2" s="1"/>
  <c r="J581" i="2"/>
  <c r="K581" i="2" s="1"/>
  <c r="J582" i="2"/>
  <c r="K582" i="2" s="1"/>
  <c r="J583" i="2"/>
  <c r="K583" i="2" s="1"/>
  <c r="J584" i="2"/>
  <c r="K584" i="2" s="1"/>
  <c r="J585" i="2"/>
  <c r="K585" i="2" s="1"/>
  <c r="J586" i="2"/>
  <c r="K586" i="2" s="1"/>
  <c r="J587" i="2"/>
  <c r="K587" i="2" s="1"/>
  <c r="J588" i="2"/>
  <c r="K588" i="2" s="1"/>
  <c r="J589" i="2"/>
  <c r="K589" i="2" s="1"/>
  <c r="J590" i="2"/>
  <c r="K590" i="2" s="1"/>
  <c r="J591" i="2"/>
  <c r="K591" i="2" s="1"/>
  <c r="J592" i="2"/>
  <c r="K592" i="2" s="1"/>
  <c r="J593" i="2"/>
  <c r="K593" i="2" s="1"/>
  <c r="J594" i="2"/>
  <c r="K594" i="2" s="1"/>
  <c r="J595" i="2"/>
  <c r="K595" i="2" s="1"/>
  <c r="J596" i="2"/>
  <c r="K596" i="2" s="1"/>
  <c r="J597" i="2"/>
  <c r="K597" i="2" s="1"/>
  <c r="J598" i="2"/>
  <c r="K598" i="2" s="1"/>
  <c r="J599" i="2"/>
  <c r="K599" i="2" s="1"/>
  <c r="J600" i="2"/>
  <c r="K600" i="2" s="1"/>
  <c r="J601" i="2"/>
  <c r="K601" i="2" s="1"/>
  <c r="J602" i="2"/>
  <c r="K602" i="2" s="1"/>
  <c r="J603" i="2"/>
  <c r="K603" i="2" s="1"/>
  <c r="J604" i="2"/>
  <c r="K604" i="2" s="1"/>
  <c r="J605" i="2"/>
  <c r="K605" i="2" s="1"/>
  <c r="J606" i="2"/>
  <c r="K606" i="2" s="1"/>
  <c r="J607" i="2"/>
  <c r="K607" i="2" s="1"/>
  <c r="J608" i="2"/>
  <c r="K608" i="2" s="1"/>
  <c r="J609" i="2"/>
  <c r="K609" i="2" s="1"/>
  <c r="J610" i="2"/>
  <c r="K610" i="2" s="1"/>
  <c r="J611" i="2"/>
  <c r="K611" i="2" s="1"/>
  <c r="J612" i="2"/>
  <c r="K612" i="2" s="1"/>
  <c r="J613" i="2"/>
  <c r="K613" i="2" s="1"/>
  <c r="J614" i="2"/>
  <c r="K614" i="2" s="1"/>
  <c r="J615" i="2"/>
  <c r="K615" i="2" s="1"/>
  <c r="J616" i="2"/>
  <c r="K616" i="2" s="1"/>
  <c r="J617" i="2"/>
  <c r="K617" i="2" s="1"/>
  <c r="J618" i="2"/>
  <c r="K618" i="2" s="1"/>
  <c r="J619" i="2"/>
  <c r="K619" i="2" s="1"/>
  <c r="J620" i="2"/>
  <c r="K620" i="2" s="1"/>
  <c r="J621" i="2"/>
  <c r="K621" i="2" s="1"/>
  <c r="J622" i="2"/>
  <c r="K622" i="2" s="1"/>
  <c r="J623" i="2"/>
  <c r="K623" i="2" s="1"/>
  <c r="J624" i="2"/>
  <c r="K624" i="2" s="1"/>
  <c r="J625" i="2"/>
  <c r="K625" i="2" s="1"/>
  <c r="J626" i="2"/>
  <c r="K626" i="2" s="1"/>
  <c r="J627" i="2"/>
  <c r="K627" i="2" s="1"/>
  <c r="J628" i="2"/>
  <c r="K628" i="2" s="1"/>
  <c r="J629" i="2"/>
  <c r="K629" i="2" s="1"/>
  <c r="J630" i="2"/>
  <c r="K630" i="2" s="1"/>
  <c r="J631" i="2"/>
  <c r="K631" i="2" s="1"/>
  <c r="J632" i="2"/>
  <c r="K632" i="2" s="1"/>
  <c r="J633" i="2"/>
  <c r="K633" i="2" s="1"/>
  <c r="J634" i="2"/>
  <c r="K634" i="2" s="1"/>
  <c r="J635" i="2"/>
  <c r="K635" i="2" s="1"/>
  <c r="J636" i="2"/>
  <c r="K636" i="2" s="1"/>
  <c r="J637" i="2"/>
  <c r="K637" i="2" s="1"/>
  <c r="J638" i="2"/>
  <c r="K638" i="2" s="1"/>
  <c r="J639" i="2"/>
  <c r="K639" i="2" s="1"/>
  <c r="J640" i="2"/>
  <c r="K640" i="2" s="1"/>
  <c r="J641" i="2"/>
  <c r="K641" i="2" s="1"/>
  <c r="J642" i="2"/>
  <c r="K642" i="2" s="1"/>
  <c r="J643" i="2"/>
  <c r="K643" i="2" s="1"/>
  <c r="J644" i="2"/>
  <c r="K644" i="2" s="1"/>
  <c r="J645" i="2"/>
  <c r="K645" i="2" s="1"/>
  <c r="J646" i="2"/>
  <c r="K646" i="2" s="1"/>
  <c r="J647" i="2"/>
  <c r="K647" i="2" s="1"/>
  <c r="J648" i="2"/>
  <c r="K648" i="2" s="1"/>
  <c r="J649" i="2"/>
  <c r="K649" i="2" s="1"/>
  <c r="J650" i="2"/>
  <c r="K650" i="2" s="1"/>
  <c r="J651" i="2"/>
  <c r="K651" i="2" s="1"/>
  <c r="J652" i="2"/>
  <c r="K652" i="2" s="1"/>
  <c r="J653" i="2"/>
  <c r="K653" i="2" s="1"/>
  <c r="J654" i="2"/>
  <c r="K654" i="2" s="1"/>
  <c r="J655" i="2"/>
  <c r="K655" i="2" s="1"/>
  <c r="J656" i="2"/>
  <c r="K656" i="2" s="1"/>
  <c r="J657" i="2"/>
  <c r="K657" i="2" s="1"/>
  <c r="J658" i="2"/>
  <c r="K658" i="2" s="1"/>
  <c r="J659" i="2"/>
  <c r="K659" i="2" s="1"/>
  <c r="J660" i="2"/>
  <c r="K660" i="2" s="1"/>
  <c r="J661" i="2"/>
  <c r="K661" i="2" s="1"/>
  <c r="J662" i="2"/>
  <c r="K662" i="2" s="1"/>
  <c r="J663" i="2"/>
  <c r="K663" i="2" s="1"/>
  <c r="J664" i="2"/>
  <c r="K664" i="2" s="1"/>
  <c r="J665" i="2"/>
  <c r="K665" i="2" s="1"/>
  <c r="J666" i="2"/>
  <c r="K666" i="2" s="1"/>
  <c r="J667" i="2"/>
  <c r="K667" i="2" s="1"/>
  <c r="J668" i="2"/>
  <c r="K668" i="2" s="1"/>
  <c r="J669" i="2"/>
  <c r="K669" i="2" s="1"/>
  <c r="J670" i="2"/>
  <c r="K670" i="2" s="1"/>
  <c r="J671" i="2"/>
  <c r="K671" i="2" s="1"/>
  <c r="J672" i="2"/>
  <c r="K672" i="2" s="1"/>
  <c r="J673" i="2"/>
  <c r="K673" i="2" s="1"/>
  <c r="J674" i="2"/>
  <c r="K674" i="2" s="1"/>
  <c r="J675" i="2"/>
  <c r="K675" i="2" s="1"/>
  <c r="J676" i="2"/>
  <c r="K676" i="2" s="1"/>
  <c r="J677" i="2"/>
  <c r="K677" i="2" s="1"/>
  <c r="J678" i="2"/>
  <c r="K678" i="2" s="1"/>
  <c r="J679" i="2"/>
  <c r="K679" i="2" s="1"/>
  <c r="J680" i="2"/>
  <c r="K680" i="2" s="1"/>
  <c r="J681" i="2"/>
  <c r="K681" i="2" s="1"/>
  <c r="J682" i="2"/>
  <c r="K682" i="2" s="1"/>
  <c r="J683" i="2"/>
  <c r="K683" i="2" s="1"/>
  <c r="J684" i="2"/>
  <c r="K684" i="2" s="1"/>
  <c r="J685" i="2"/>
  <c r="K685" i="2" s="1"/>
  <c r="J686" i="2"/>
  <c r="K686" i="2" s="1"/>
  <c r="J687" i="2"/>
  <c r="K687" i="2" s="1"/>
  <c r="J688" i="2"/>
  <c r="K688" i="2" s="1"/>
  <c r="J689" i="2"/>
  <c r="K689" i="2" s="1"/>
  <c r="J690" i="2"/>
  <c r="K690" i="2" s="1"/>
  <c r="J691" i="2"/>
  <c r="K691" i="2" s="1"/>
  <c r="J692" i="2"/>
  <c r="K692" i="2" s="1"/>
  <c r="J693" i="2"/>
  <c r="K693" i="2" s="1"/>
  <c r="J694" i="2"/>
  <c r="K694" i="2" s="1"/>
  <c r="J695" i="2"/>
  <c r="K695" i="2" s="1"/>
  <c r="J696" i="2"/>
  <c r="K696" i="2" s="1"/>
  <c r="J697" i="2"/>
  <c r="K697" i="2" s="1"/>
  <c r="J698" i="2"/>
  <c r="K698" i="2" s="1"/>
  <c r="J699" i="2"/>
  <c r="K699" i="2" s="1"/>
  <c r="J700" i="2"/>
  <c r="K700" i="2" s="1"/>
  <c r="J701" i="2"/>
  <c r="K701" i="2" s="1"/>
  <c r="J702" i="2"/>
  <c r="K702" i="2" s="1"/>
  <c r="J703" i="2"/>
  <c r="K703" i="2" s="1"/>
  <c r="J704" i="2"/>
  <c r="K704" i="2" s="1"/>
  <c r="J705" i="2"/>
  <c r="K705" i="2" s="1"/>
  <c r="J706" i="2"/>
  <c r="K706" i="2" s="1"/>
  <c r="J707" i="2"/>
  <c r="K707" i="2" s="1"/>
  <c r="J708" i="2"/>
  <c r="K708" i="2" s="1"/>
  <c r="J709" i="2"/>
  <c r="K709" i="2" s="1"/>
  <c r="J710" i="2"/>
  <c r="K710" i="2" s="1"/>
  <c r="J711" i="2"/>
  <c r="K711" i="2" s="1"/>
  <c r="J712" i="2"/>
  <c r="K712" i="2" s="1"/>
  <c r="J713" i="2"/>
  <c r="K713" i="2" s="1"/>
  <c r="J714" i="2"/>
  <c r="K714" i="2" s="1"/>
  <c r="J715" i="2"/>
  <c r="K715" i="2" s="1"/>
  <c r="J716" i="2"/>
  <c r="K716" i="2" s="1"/>
  <c r="J717" i="2"/>
  <c r="K717" i="2" s="1"/>
  <c r="J718" i="2"/>
  <c r="K718" i="2" s="1"/>
  <c r="J719" i="2"/>
  <c r="K719" i="2" s="1"/>
  <c r="J720" i="2"/>
  <c r="K720" i="2" s="1"/>
  <c r="J721" i="2"/>
  <c r="K721" i="2" s="1"/>
  <c r="J722" i="2"/>
  <c r="K722" i="2" s="1"/>
  <c r="J723" i="2"/>
  <c r="K723" i="2" s="1"/>
  <c r="J724" i="2"/>
  <c r="K724" i="2" s="1"/>
  <c r="J725" i="2"/>
  <c r="K725" i="2" s="1"/>
  <c r="J726" i="2"/>
  <c r="K726" i="2" s="1"/>
  <c r="J727" i="2"/>
  <c r="K727" i="2" s="1"/>
  <c r="J728" i="2"/>
  <c r="K728" i="2" s="1"/>
  <c r="J729" i="2"/>
  <c r="K729" i="2" s="1"/>
  <c r="J730" i="2"/>
  <c r="K730" i="2" s="1"/>
  <c r="J731" i="2"/>
  <c r="K731" i="2" s="1"/>
  <c r="J732" i="2"/>
  <c r="K732" i="2" s="1"/>
  <c r="J733" i="2"/>
  <c r="K733" i="2" s="1"/>
  <c r="J734" i="2"/>
  <c r="K734" i="2" s="1"/>
  <c r="J735" i="2"/>
  <c r="K735" i="2" s="1"/>
  <c r="J736" i="2"/>
  <c r="K736" i="2" s="1"/>
  <c r="J737" i="2"/>
  <c r="K737" i="2" s="1"/>
  <c r="J738" i="2"/>
  <c r="K738" i="2" s="1"/>
  <c r="J739" i="2"/>
  <c r="K739" i="2" s="1"/>
  <c r="J740" i="2"/>
  <c r="K740" i="2" s="1"/>
  <c r="J741" i="2"/>
  <c r="K741" i="2" s="1"/>
  <c r="J742" i="2"/>
  <c r="K742" i="2" s="1"/>
  <c r="J743" i="2"/>
  <c r="K743" i="2" s="1"/>
  <c r="J744" i="2"/>
  <c r="K744" i="2" s="1"/>
  <c r="J745" i="2"/>
  <c r="K745" i="2" s="1"/>
  <c r="J746" i="2"/>
  <c r="K746" i="2" s="1"/>
  <c r="J747" i="2"/>
  <c r="K747" i="2" s="1"/>
  <c r="J748" i="2"/>
  <c r="K748" i="2" s="1"/>
  <c r="J749" i="2"/>
  <c r="K749" i="2" s="1"/>
  <c r="J750" i="2"/>
  <c r="K750" i="2" s="1"/>
  <c r="J751" i="2"/>
  <c r="K751" i="2" s="1"/>
  <c r="J752" i="2"/>
  <c r="K752" i="2" s="1"/>
  <c r="J753" i="2"/>
  <c r="K753" i="2" s="1"/>
  <c r="J754" i="2"/>
  <c r="K754" i="2" s="1"/>
  <c r="J755" i="2"/>
  <c r="K755" i="2" s="1"/>
  <c r="J756" i="2"/>
  <c r="K756" i="2" s="1"/>
  <c r="J757" i="2"/>
  <c r="K757" i="2" s="1"/>
  <c r="J758" i="2"/>
  <c r="K758" i="2" s="1"/>
  <c r="J759" i="2"/>
  <c r="K759" i="2" s="1"/>
  <c r="J760" i="2"/>
  <c r="K760" i="2" s="1"/>
  <c r="J761" i="2"/>
  <c r="K761" i="2" s="1"/>
  <c r="J762" i="2"/>
  <c r="K762" i="2" s="1"/>
  <c r="J763" i="2"/>
  <c r="K763" i="2" s="1"/>
  <c r="J764" i="2"/>
  <c r="K764" i="2" s="1"/>
  <c r="J765" i="2"/>
  <c r="K765" i="2" s="1"/>
  <c r="J766" i="2"/>
  <c r="K766" i="2" s="1"/>
  <c r="J767" i="2"/>
  <c r="K767" i="2" s="1"/>
  <c r="J768" i="2"/>
  <c r="K768" i="2" s="1"/>
  <c r="J769" i="2"/>
  <c r="K769" i="2" s="1"/>
  <c r="J770" i="2"/>
  <c r="K770" i="2" s="1"/>
  <c r="J771" i="2"/>
  <c r="K771" i="2" s="1"/>
  <c r="J772" i="2"/>
  <c r="K772" i="2" s="1"/>
  <c r="J773" i="2"/>
  <c r="K773" i="2" s="1"/>
  <c r="J774" i="2"/>
  <c r="K774" i="2" s="1"/>
  <c r="J775" i="2"/>
  <c r="K775" i="2" s="1"/>
  <c r="J776" i="2"/>
  <c r="K776" i="2" s="1"/>
  <c r="J777" i="2"/>
  <c r="K777" i="2" s="1"/>
  <c r="J778" i="2"/>
  <c r="K778" i="2" s="1"/>
  <c r="J779" i="2"/>
  <c r="K779" i="2" s="1"/>
  <c r="J780" i="2"/>
  <c r="K780" i="2" s="1"/>
  <c r="J781" i="2"/>
  <c r="K781" i="2" s="1"/>
  <c r="J782" i="2"/>
  <c r="K782" i="2" s="1"/>
  <c r="J783" i="2"/>
  <c r="K783" i="2" s="1"/>
  <c r="J784" i="2"/>
  <c r="K784" i="2" s="1"/>
  <c r="J785" i="2"/>
  <c r="K785" i="2" s="1"/>
  <c r="J786" i="2"/>
  <c r="K786" i="2" s="1"/>
  <c r="J787" i="2"/>
  <c r="K787" i="2" s="1"/>
  <c r="J788" i="2"/>
  <c r="K788" i="2" s="1"/>
  <c r="J789" i="2"/>
  <c r="K789" i="2" s="1"/>
  <c r="J790" i="2"/>
  <c r="K790" i="2" s="1"/>
  <c r="J791" i="2"/>
  <c r="K791" i="2" s="1"/>
  <c r="J792" i="2"/>
  <c r="K792" i="2" s="1"/>
  <c r="J793" i="2"/>
  <c r="K793" i="2" s="1"/>
  <c r="J794" i="2"/>
  <c r="K794" i="2" s="1"/>
  <c r="J795" i="2"/>
  <c r="K795" i="2" s="1"/>
  <c r="J796" i="2"/>
  <c r="K796" i="2" s="1"/>
  <c r="J797" i="2"/>
  <c r="K797" i="2" s="1"/>
  <c r="J798" i="2"/>
  <c r="K798" i="2" s="1"/>
  <c r="J799" i="2"/>
  <c r="K799" i="2" s="1"/>
  <c r="J800" i="2"/>
  <c r="K800" i="2" s="1"/>
  <c r="J801" i="2"/>
  <c r="K801" i="2" s="1"/>
  <c r="J802" i="2"/>
  <c r="K802" i="2" s="1"/>
  <c r="J803" i="2"/>
  <c r="K803" i="2" s="1"/>
  <c r="J804" i="2"/>
  <c r="K804" i="2" s="1"/>
  <c r="J805" i="2"/>
  <c r="K805" i="2" s="1"/>
  <c r="J806" i="2"/>
  <c r="K806" i="2" s="1"/>
  <c r="J807" i="2"/>
  <c r="K807" i="2" s="1"/>
  <c r="J808" i="2"/>
  <c r="K808" i="2" s="1"/>
  <c r="J809" i="2"/>
  <c r="K809" i="2" s="1"/>
  <c r="J810" i="2"/>
  <c r="K810" i="2" s="1"/>
  <c r="J811" i="2"/>
  <c r="K811" i="2" s="1"/>
  <c r="J812" i="2"/>
  <c r="K812" i="2" s="1"/>
  <c r="J813" i="2"/>
  <c r="K813" i="2" s="1"/>
  <c r="J814" i="2"/>
  <c r="K814" i="2" s="1"/>
  <c r="J815" i="2"/>
  <c r="K815" i="2" s="1"/>
  <c r="J816" i="2"/>
  <c r="K816" i="2" s="1"/>
  <c r="J817" i="2"/>
  <c r="K817" i="2" s="1"/>
  <c r="J818" i="2"/>
  <c r="K818" i="2" s="1"/>
  <c r="J819" i="2"/>
  <c r="K819" i="2" s="1"/>
  <c r="J820" i="2"/>
  <c r="K820" i="2" s="1"/>
  <c r="J821" i="2"/>
  <c r="K821" i="2" s="1"/>
  <c r="J822" i="2"/>
  <c r="K822" i="2" s="1"/>
  <c r="J823" i="2"/>
  <c r="K823" i="2" s="1"/>
  <c r="J824" i="2"/>
  <c r="K824" i="2" s="1"/>
  <c r="J825" i="2"/>
  <c r="K825" i="2" s="1"/>
  <c r="J826" i="2"/>
  <c r="K826" i="2" s="1"/>
  <c r="J827" i="2"/>
  <c r="K827" i="2" s="1"/>
  <c r="J828" i="2"/>
  <c r="K828" i="2" s="1"/>
  <c r="J829" i="2"/>
  <c r="K829" i="2" s="1"/>
  <c r="J830" i="2"/>
  <c r="K830" i="2" s="1"/>
  <c r="J831" i="2"/>
  <c r="K831" i="2" s="1"/>
  <c r="J832" i="2"/>
  <c r="K832" i="2" s="1"/>
  <c r="J833" i="2"/>
  <c r="K833" i="2" s="1"/>
  <c r="J834" i="2"/>
  <c r="K834" i="2" s="1"/>
  <c r="J835" i="2"/>
  <c r="K835" i="2" s="1"/>
  <c r="J836" i="2"/>
  <c r="K836" i="2" s="1"/>
  <c r="J837" i="2"/>
  <c r="K837" i="2" s="1"/>
  <c r="J838" i="2"/>
  <c r="K838" i="2" s="1"/>
  <c r="J839" i="2"/>
  <c r="K839" i="2" s="1"/>
  <c r="J840" i="2"/>
  <c r="K840" i="2" s="1"/>
  <c r="J841" i="2"/>
  <c r="K841" i="2" s="1"/>
  <c r="J842" i="2"/>
  <c r="K842" i="2" s="1"/>
  <c r="J843" i="2"/>
  <c r="K843" i="2" s="1"/>
  <c r="J844" i="2"/>
  <c r="K844" i="2" s="1"/>
  <c r="J845" i="2"/>
  <c r="K845" i="2" s="1"/>
  <c r="J846" i="2"/>
  <c r="K846" i="2" s="1"/>
  <c r="J847" i="2"/>
  <c r="K847" i="2" s="1"/>
  <c r="J848" i="2"/>
  <c r="K848" i="2" s="1"/>
  <c r="J849" i="2"/>
  <c r="K849" i="2" s="1"/>
  <c r="J850" i="2"/>
  <c r="K850" i="2" s="1"/>
  <c r="J851" i="2"/>
  <c r="K851" i="2" s="1"/>
  <c r="J852" i="2"/>
  <c r="K852" i="2" s="1"/>
  <c r="J853" i="2"/>
  <c r="K853" i="2" s="1"/>
  <c r="J854" i="2"/>
  <c r="K854" i="2" s="1"/>
  <c r="J855" i="2"/>
  <c r="K855" i="2" s="1"/>
  <c r="J856" i="2"/>
  <c r="K856" i="2" s="1"/>
  <c r="J857" i="2"/>
  <c r="K857" i="2" s="1"/>
  <c r="J858" i="2"/>
  <c r="K858" i="2" s="1"/>
  <c r="J859" i="2"/>
  <c r="K859" i="2" s="1"/>
  <c r="J860" i="2"/>
  <c r="K860" i="2" s="1"/>
  <c r="J861" i="2"/>
  <c r="K861" i="2" s="1"/>
  <c r="J862" i="2"/>
  <c r="K862" i="2" s="1"/>
  <c r="J863" i="2"/>
  <c r="K863" i="2" s="1"/>
  <c r="J864" i="2"/>
  <c r="K864" i="2" s="1"/>
  <c r="J865" i="2"/>
  <c r="K865" i="2" s="1"/>
  <c r="J866" i="2"/>
  <c r="K866" i="2" s="1"/>
  <c r="J867" i="2"/>
  <c r="K867" i="2" s="1"/>
  <c r="J868" i="2"/>
  <c r="K868" i="2" s="1"/>
  <c r="J869" i="2"/>
  <c r="K869" i="2" s="1"/>
  <c r="J870" i="2"/>
  <c r="K870" i="2" s="1"/>
  <c r="J871" i="2"/>
  <c r="K871" i="2" s="1"/>
  <c r="J872" i="2"/>
  <c r="K872" i="2" s="1"/>
  <c r="J873" i="2"/>
  <c r="K873" i="2" s="1"/>
  <c r="J874" i="2"/>
  <c r="K874" i="2" s="1"/>
  <c r="J875" i="2"/>
  <c r="K875" i="2" s="1"/>
  <c r="J876" i="2"/>
  <c r="K876" i="2" s="1"/>
  <c r="J877" i="2"/>
  <c r="K877" i="2" s="1"/>
  <c r="J878" i="2"/>
  <c r="K878" i="2" s="1"/>
  <c r="J879" i="2"/>
  <c r="K879" i="2" s="1"/>
  <c r="J880" i="2"/>
  <c r="K880" i="2" s="1"/>
  <c r="J881" i="2"/>
  <c r="K881" i="2" s="1"/>
  <c r="J882" i="2"/>
  <c r="K882" i="2" s="1"/>
  <c r="J883" i="2"/>
  <c r="K883" i="2" s="1"/>
  <c r="J884" i="2"/>
  <c r="K884" i="2" s="1"/>
  <c r="J885" i="2"/>
  <c r="K885" i="2" s="1"/>
  <c r="J886" i="2"/>
  <c r="K886" i="2" s="1"/>
  <c r="J887" i="2"/>
  <c r="K887" i="2" s="1"/>
  <c r="J888" i="2"/>
  <c r="K888" i="2" s="1"/>
  <c r="J889" i="2"/>
  <c r="K889" i="2" s="1"/>
  <c r="J890" i="2"/>
  <c r="K890" i="2" s="1"/>
  <c r="J891" i="2"/>
  <c r="K891" i="2" s="1"/>
  <c r="J892" i="2"/>
  <c r="K892" i="2" s="1"/>
  <c r="J893" i="2"/>
  <c r="K893" i="2" s="1"/>
  <c r="J894" i="2"/>
  <c r="K894" i="2" s="1"/>
  <c r="J895" i="2"/>
  <c r="K895" i="2" s="1"/>
  <c r="J896" i="2"/>
  <c r="K896" i="2" s="1"/>
  <c r="J897" i="2"/>
  <c r="K897" i="2" s="1"/>
  <c r="J898" i="2"/>
  <c r="K898" i="2" s="1"/>
  <c r="J899" i="2"/>
  <c r="K899" i="2" s="1"/>
  <c r="J900" i="2"/>
  <c r="K900" i="2" s="1"/>
  <c r="J901" i="2"/>
  <c r="K901" i="2" s="1"/>
  <c r="J902" i="2"/>
  <c r="K902" i="2" s="1"/>
  <c r="J903" i="2"/>
  <c r="K903" i="2" s="1"/>
  <c r="J904" i="2"/>
  <c r="K904" i="2" s="1"/>
  <c r="J905" i="2"/>
  <c r="K905" i="2" s="1"/>
  <c r="J906" i="2"/>
  <c r="K906" i="2" s="1"/>
  <c r="J907" i="2"/>
  <c r="K907" i="2" s="1"/>
  <c r="J908" i="2"/>
  <c r="K908" i="2" s="1"/>
  <c r="J909" i="2"/>
  <c r="K909" i="2" s="1"/>
  <c r="J910" i="2"/>
  <c r="K910" i="2" s="1"/>
  <c r="J911" i="2"/>
  <c r="K911" i="2" s="1"/>
  <c r="J912" i="2"/>
  <c r="K912" i="2" s="1"/>
  <c r="J913" i="2"/>
  <c r="K913" i="2" s="1"/>
  <c r="J914" i="2"/>
  <c r="K914" i="2" s="1"/>
  <c r="J915" i="2"/>
  <c r="K915" i="2" s="1"/>
  <c r="J916" i="2"/>
  <c r="K916" i="2" s="1"/>
  <c r="J917" i="2"/>
  <c r="K917" i="2" s="1"/>
  <c r="J918" i="2"/>
  <c r="K918" i="2" s="1"/>
  <c r="J919" i="2"/>
  <c r="K919" i="2" s="1"/>
  <c r="J920" i="2"/>
  <c r="K920" i="2" s="1"/>
  <c r="J921" i="2"/>
  <c r="K921" i="2" s="1"/>
  <c r="J922" i="2"/>
  <c r="K922" i="2" s="1"/>
  <c r="J923" i="2"/>
  <c r="K923" i="2" s="1"/>
  <c r="J924" i="2"/>
  <c r="K924" i="2" s="1"/>
  <c r="J925" i="2"/>
  <c r="K925" i="2" s="1"/>
  <c r="J926" i="2"/>
  <c r="K926" i="2" s="1"/>
  <c r="J927" i="2"/>
  <c r="K927" i="2" s="1"/>
  <c r="J928" i="2"/>
  <c r="K928" i="2" s="1"/>
  <c r="J929" i="2"/>
  <c r="K929" i="2" s="1"/>
  <c r="J930" i="2"/>
  <c r="K930" i="2" s="1"/>
  <c r="J931" i="2"/>
  <c r="K931" i="2" s="1"/>
  <c r="J932" i="2"/>
  <c r="K932" i="2" s="1"/>
  <c r="J933" i="2"/>
  <c r="K933" i="2" s="1"/>
  <c r="J934" i="2"/>
  <c r="K934" i="2" s="1"/>
  <c r="J935" i="2"/>
  <c r="K935" i="2" s="1"/>
  <c r="J936" i="2"/>
  <c r="K936" i="2" s="1"/>
  <c r="J937" i="2"/>
  <c r="K937" i="2" s="1"/>
  <c r="J938" i="2"/>
  <c r="K938" i="2" s="1"/>
  <c r="J939" i="2"/>
  <c r="K939" i="2" s="1"/>
  <c r="J940" i="2"/>
  <c r="K940" i="2" s="1"/>
  <c r="J941" i="2"/>
  <c r="K941" i="2" s="1"/>
  <c r="J942" i="2"/>
  <c r="K942" i="2" s="1"/>
  <c r="J943" i="2"/>
  <c r="K943" i="2" s="1"/>
  <c r="J944" i="2"/>
  <c r="K944" i="2" s="1"/>
  <c r="J945" i="2"/>
  <c r="K945" i="2" s="1"/>
  <c r="J946" i="2"/>
  <c r="K946" i="2" s="1"/>
  <c r="J947" i="2"/>
  <c r="K947" i="2" s="1"/>
  <c r="J948" i="2"/>
  <c r="K948" i="2" s="1"/>
  <c r="J949" i="2"/>
  <c r="K949" i="2" s="1"/>
  <c r="J950" i="2"/>
  <c r="K950" i="2" s="1"/>
  <c r="J951" i="2"/>
  <c r="K951" i="2" s="1"/>
  <c r="J952" i="2"/>
  <c r="K952" i="2" s="1"/>
  <c r="J953" i="2"/>
  <c r="K953" i="2" s="1"/>
  <c r="J954" i="2"/>
  <c r="K954" i="2" s="1"/>
  <c r="J955" i="2"/>
  <c r="K955" i="2" s="1"/>
  <c r="J956" i="2"/>
  <c r="K956" i="2" s="1"/>
  <c r="J957" i="2"/>
  <c r="K957" i="2" s="1"/>
  <c r="J958" i="2"/>
  <c r="K958" i="2" s="1"/>
  <c r="J959" i="2"/>
  <c r="K959" i="2" s="1"/>
  <c r="J960" i="2"/>
  <c r="K960" i="2" s="1"/>
  <c r="J961" i="2"/>
  <c r="K961" i="2" s="1"/>
  <c r="J962" i="2"/>
  <c r="K962" i="2" s="1"/>
  <c r="J963" i="2"/>
  <c r="K963" i="2" s="1"/>
  <c r="J964" i="2"/>
  <c r="K964" i="2" s="1"/>
  <c r="J965" i="2"/>
  <c r="K965" i="2" s="1"/>
  <c r="J966" i="2"/>
  <c r="K966" i="2" s="1"/>
  <c r="J967" i="2"/>
  <c r="K967" i="2" s="1"/>
  <c r="J968" i="2"/>
  <c r="K968" i="2" s="1"/>
  <c r="J969" i="2"/>
  <c r="K969" i="2" s="1"/>
  <c r="J970" i="2"/>
  <c r="K970" i="2" s="1"/>
  <c r="J971" i="2"/>
  <c r="K971" i="2" s="1"/>
  <c r="J972" i="2"/>
  <c r="K972" i="2" s="1"/>
  <c r="J973" i="2"/>
  <c r="K973" i="2" s="1"/>
  <c r="J974" i="2"/>
  <c r="K974" i="2" s="1"/>
  <c r="J975" i="2"/>
  <c r="K975" i="2" s="1"/>
  <c r="J976" i="2"/>
  <c r="K976" i="2" s="1"/>
  <c r="J977" i="2"/>
  <c r="K977" i="2" s="1"/>
  <c r="J978" i="2"/>
  <c r="K978" i="2" s="1"/>
  <c r="J979" i="2"/>
  <c r="K979" i="2" s="1"/>
  <c r="J980" i="2"/>
  <c r="K980" i="2" s="1"/>
  <c r="J981" i="2"/>
  <c r="K981" i="2" s="1"/>
  <c r="J982" i="2"/>
  <c r="K982" i="2" s="1"/>
  <c r="J983" i="2"/>
  <c r="K983" i="2" s="1"/>
  <c r="J984" i="2"/>
  <c r="K984" i="2" s="1"/>
  <c r="J985" i="2"/>
  <c r="K985" i="2" s="1"/>
  <c r="J986" i="2"/>
  <c r="K986" i="2" s="1"/>
  <c r="J987" i="2"/>
  <c r="K987" i="2" s="1"/>
  <c r="J988" i="2"/>
  <c r="K988" i="2" s="1"/>
  <c r="J989" i="2"/>
  <c r="K989" i="2" s="1"/>
  <c r="J990" i="2"/>
  <c r="K990" i="2" s="1"/>
  <c r="J991" i="2"/>
  <c r="K991" i="2" s="1"/>
  <c r="J992" i="2"/>
  <c r="K992" i="2" s="1"/>
  <c r="J993" i="2"/>
  <c r="K993" i="2" s="1"/>
  <c r="J994" i="2"/>
  <c r="K994" i="2" s="1"/>
  <c r="J995" i="2"/>
  <c r="K995" i="2" s="1"/>
  <c r="J996" i="2"/>
  <c r="K996" i="2" s="1"/>
  <c r="J997" i="2"/>
  <c r="K997" i="2" s="1"/>
  <c r="J998" i="2"/>
  <c r="K998" i="2" s="1"/>
  <c r="J999" i="2"/>
  <c r="K999" i="2" s="1"/>
  <c r="J1000" i="2"/>
  <c r="K1000" i="2" s="1"/>
  <c r="J1001" i="2"/>
  <c r="K1001" i="2" s="1"/>
  <c r="J1002" i="2"/>
  <c r="K1002" i="2" s="1"/>
  <c r="J1003" i="2"/>
  <c r="K1003" i="2" s="1"/>
  <c r="J1004" i="2"/>
  <c r="K1004" i="2" s="1"/>
  <c r="J1005" i="2"/>
  <c r="K1005" i="2" s="1"/>
  <c r="J1006" i="2"/>
  <c r="K1006" i="2" s="1"/>
  <c r="J1007" i="2"/>
  <c r="K1007" i="2" s="1"/>
  <c r="J1008" i="2"/>
  <c r="K1008" i="2" s="1"/>
  <c r="J1009" i="2"/>
  <c r="K1009" i="2" s="1"/>
  <c r="J1010" i="2"/>
  <c r="K1010" i="2" s="1"/>
  <c r="J1011" i="2"/>
  <c r="K1011" i="2" s="1"/>
  <c r="J1012" i="2"/>
  <c r="K1012" i="2" s="1"/>
  <c r="J1013" i="2"/>
  <c r="K1013" i="2" s="1"/>
  <c r="J1014" i="2"/>
  <c r="K1014" i="2" s="1"/>
  <c r="J1015" i="2"/>
  <c r="K1015" i="2" s="1"/>
  <c r="J1016" i="2"/>
  <c r="K1016" i="2" s="1"/>
  <c r="J1017" i="2"/>
  <c r="K1017" i="2" s="1"/>
  <c r="J1018" i="2"/>
  <c r="K1018" i="2" s="1"/>
  <c r="J1019" i="2"/>
  <c r="K1019" i="2" s="1"/>
  <c r="J1020" i="2"/>
  <c r="K1020" i="2" s="1"/>
  <c r="J1021" i="2"/>
  <c r="K1021" i="2" s="1"/>
  <c r="J1022" i="2"/>
  <c r="K1022" i="2" s="1"/>
  <c r="J1023" i="2"/>
  <c r="K1023" i="2" s="1"/>
  <c r="J1024" i="2"/>
  <c r="K1024" i="2" s="1"/>
  <c r="J1025" i="2"/>
  <c r="K1025" i="2" s="1"/>
  <c r="J1026" i="2"/>
  <c r="K1026" i="2" s="1"/>
  <c r="J1027" i="2"/>
  <c r="K1027" i="2" s="1"/>
  <c r="J1028" i="2"/>
  <c r="K1028" i="2" s="1"/>
  <c r="J1029" i="2"/>
  <c r="K1029" i="2" s="1"/>
  <c r="J1030" i="2"/>
  <c r="K1030" i="2" s="1"/>
  <c r="J1031" i="2"/>
  <c r="K1031" i="2" s="1"/>
  <c r="J1032" i="2"/>
  <c r="K1032" i="2" s="1"/>
  <c r="J1033" i="2"/>
  <c r="K1033" i="2" s="1"/>
  <c r="J1034" i="2"/>
  <c r="K1034" i="2" s="1"/>
  <c r="J1035" i="2"/>
  <c r="K1035" i="2" s="1"/>
  <c r="J1036" i="2"/>
  <c r="K1036" i="2" s="1"/>
  <c r="J1037" i="2"/>
  <c r="K1037" i="2" s="1"/>
  <c r="J1038" i="2"/>
  <c r="K1038" i="2" s="1"/>
  <c r="J1039" i="2"/>
  <c r="K1039" i="2" s="1"/>
  <c r="J1040" i="2"/>
  <c r="K1040" i="2" s="1"/>
  <c r="J1041" i="2"/>
  <c r="K1041" i="2" s="1"/>
  <c r="J1042" i="2"/>
  <c r="K1042" i="2" s="1"/>
  <c r="J1043" i="2"/>
  <c r="K1043" i="2" s="1"/>
  <c r="J1044" i="2"/>
  <c r="K1044" i="2" s="1"/>
  <c r="J1045" i="2"/>
  <c r="K1045" i="2" s="1"/>
  <c r="J1046" i="2"/>
  <c r="K1046" i="2" s="1"/>
  <c r="J1047" i="2"/>
  <c r="K1047" i="2" s="1"/>
  <c r="J1048" i="2"/>
  <c r="K1048" i="2" s="1"/>
  <c r="J1049" i="2"/>
  <c r="K1049" i="2" s="1"/>
  <c r="J1050" i="2"/>
  <c r="K1050" i="2" s="1"/>
  <c r="J1051" i="2"/>
  <c r="K1051" i="2" s="1"/>
  <c r="J1052" i="2"/>
  <c r="K1052" i="2" s="1"/>
  <c r="J1053" i="2"/>
  <c r="K1053" i="2" s="1"/>
  <c r="J1054" i="2"/>
  <c r="K1054" i="2" s="1"/>
  <c r="J1055" i="2"/>
  <c r="K1055" i="2" s="1"/>
  <c r="J1056" i="2"/>
  <c r="K1056" i="2" s="1"/>
  <c r="J1057" i="2"/>
  <c r="K1057" i="2" s="1"/>
  <c r="J1058" i="2"/>
  <c r="K1058" i="2" s="1"/>
  <c r="J1059" i="2"/>
  <c r="K1059" i="2" s="1"/>
  <c r="J1060" i="2"/>
  <c r="K1060" i="2" s="1"/>
  <c r="J1061" i="2"/>
  <c r="K1061" i="2" s="1"/>
  <c r="J1062" i="2"/>
  <c r="K1062" i="2" s="1"/>
  <c r="J1063" i="2"/>
  <c r="K1063" i="2" s="1"/>
  <c r="J1064" i="2"/>
  <c r="K1064" i="2" s="1"/>
  <c r="J1065" i="2"/>
  <c r="K1065" i="2" s="1"/>
  <c r="J1066" i="2"/>
  <c r="K1066" i="2" s="1"/>
  <c r="J1067" i="2"/>
  <c r="K1067" i="2" s="1"/>
  <c r="J1068" i="2"/>
  <c r="K1068" i="2" s="1"/>
  <c r="J1069" i="2"/>
  <c r="K1069" i="2" s="1"/>
  <c r="J1070" i="2"/>
  <c r="K1070" i="2" s="1"/>
  <c r="J1071" i="2"/>
  <c r="K1071" i="2" s="1"/>
  <c r="J1072" i="2"/>
  <c r="K1072" i="2" s="1"/>
  <c r="J1073" i="2"/>
  <c r="K1073" i="2" s="1"/>
  <c r="J1074" i="2"/>
  <c r="K1074" i="2" s="1"/>
  <c r="J1075" i="2"/>
  <c r="K1075" i="2" s="1"/>
  <c r="J1076" i="2"/>
  <c r="K1076" i="2" s="1"/>
  <c r="J1077" i="2"/>
  <c r="K1077" i="2" s="1"/>
  <c r="J1078" i="2"/>
  <c r="K1078" i="2" s="1"/>
  <c r="J1079" i="2"/>
  <c r="K1079" i="2" s="1"/>
  <c r="J1080" i="2"/>
  <c r="K1080" i="2" s="1"/>
  <c r="J1081" i="2"/>
  <c r="K1081" i="2" s="1"/>
  <c r="J1082" i="2"/>
  <c r="K1082" i="2" s="1"/>
  <c r="J1083" i="2"/>
  <c r="K1083" i="2" s="1"/>
  <c r="J1084" i="2"/>
  <c r="K1084" i="2" s="1"/>
  <c r="J1085" i="2"/>
  <c r="K1085" i="2" s="1"/>
  <c r="J1086" i="2"/>
  <c r="K1086" i="2" s="1"/>
  <c r="J1087" i="2"/>
  <c r="K1087" i="2" s="1"/>
  <c r="J1088" i="2"/>
  <c r="K1088" i="2" s="1"/>
  <c r="J1089" i="2"/>
  <c r="K1089" i="2" s="1"/>
  <c r="J1090" i="2"/>
  <c r="K1090" i="2" s="1"/>
  <c r="J1091" i="2"/>
  <c r="K1091" i="2" s="1"/>
  <c r="J1092" i="2"/>
  <c r="K1092" i="2" s="1"/>
  <c r="J1093" i="2"/>
  <c r="K1093" i="2" s="1"/>
  <c r="J1094" i="2"/>
  <c r="K1094" i="2" s="1"/>
  <c r="J1095" i="2"/>
  <c r="K1095" i="2" s="1"/>
  <c r="J1096" i="2"/>
  <c r="K1096" i="2" s="1"/>
  <c r="J1097" i="2"/>
  <c r="K1097" i="2" s="1"/>
  <c r="J1098" i="2"/>
  <c r="K1098" i="2" s="1"/>
  <c r="J1099" i="2"/>
  <c r="K1099" i="2" s="1"/>
  <c r="J1100" i="2"/>
  <c r="K1100" i="2" s="1"/>
  <c r="J1101" i="2"/>
  <c r="K1101" i="2" s="1"/>
  <c r="J1102" i="2"/>
  <c r="K1102" i="2" s="1"/>
  <c r="J1103" i="2"/>
  <c r="K1103" i="2" s="1"/>
  <c r="J1104" i="2"/>
  <c r="K1104" i="2" s="1"/>
  <c r="J1105" i="2"/>
  <c r="K1105" i="2" s="1"/>
  <c r="J1106" i="2"/>
  <c r="K1106" i="2" s="1"/>
  <c r="J1107" i="2"/>
  <c r="K1107" i="2" s="1"/>
  <c r="J1108" i="2"/>
  <c r="K1108" i="2" s="1"/>
  <c r="J1109" i="2"/>
  <c r="K1109" i="2" s="1"/>
  <c r="J1110" i="2"/>
  <c r="K1110" i="2" s="1"/>
  <c r="J1111" i="2"/>
  <c r="K1111" i="2" s="1"/>
  <c r="J1112" i="2"/>
  <c r="K1112" i="2" s="1"/>
  <c r="J1113" i="2"/>
  <c r="K1113" i="2" s="1"/>
  <c r="J1114" i="2"/>
  <c r="K1114" i="2" s="1"/>
  <c r="J1115" i="2"/>
  <c r="K1115" i="2" s="1"/>
  <c r="J1116" i="2"/>
  <c r="K1116" i="2" s="1"/>
  <c r="J1117" i="2"/>
  <c r="K1117" i="2" s="1"/>
  <c r="J1118" i="2"/>
  <c r="K1118" i="2" s="1"/>
  <c r="J1119" i="2"/>
  <c r="K1119" i="2" s="1"/>
  <c r="J1120" i="2"/>
  <c r="K1120" i="2" s="1"/>
  <c r="J1121" i="2"/>
  <c r="K1121" i="2" s="1"/>
  <c r="J1122" i="2"/>
  <c r="K1122" i="2" s="1"/>
  <c r="J1123" i="2"/>
  <c r="K1123" i="2" s="1"/>
  <c r="J1124" i="2"/>
  <c r="K1124" i="2" s="1"/>
  <c r="J1125" i="2"/>
  <c r="K1125" i="2" s="1"/>
  <c r="J1126" i="2"/>
  <c r="K1126" i="2" s="1"/>
  <c r="J1127" i="2"/>
  <c r="K1127" i="2" s="1"/>
  <c r="J1128" i="2"/>
  <c r="K1128" i="2" s="1"/>
  <c r="J1129" i="2"/>
  <c r="K1129" i="2" s="1"/>
  <c r="J1130" i="2"/>
  <c r="K1130" i="2" s="1"/>
  <c r="J1131" i="2"/>
  <c r="K1131" i="2" s="1"/>
  <c r="J1132" i="2"/>
  <c r="K1132" i="2" s="1"/>
  <c r="J1133" i="2"/>
  <c r="K1133" i="2" s="1"/>
  <c r="J1134" i="2"/>
  <c r="K1134" i="2" s="1"/>
  <c r="J1135" i="2"/>
  <c r="K1135" i="2" s="1"/>
  <c r="J1136" i="2"/>
  <c r="K1136" i="2" s="1"/>
  <c r="J1137" i="2"/>
  <c r="K1137" i="2" s="1"/>
  <c r="J1138" i="2"/>
  <c r="K1138" i="2" s="1"/>
  <c r="J1139" i="2"/>
  <c r="K1139" i="2" s="1"/>
  <c r="J1140" i="2"/>
  <c r="K1140" i="2" s="1"/>
  <c r="J1141" i="2"/>
  <c r="K1141" i="2" s="1"/>
  <c r="J1142" i="2"/>
  <c r="K1142" i="2" s="1"/>
  <c r="J1143" i="2"/>
  <c r="K1143" i="2" s="1"/>
  <c r="J1144" i="2"/>
  <c r="K1144" i="2" s="1"/>
  <c r="J1145" i="2"/>
  <c r="K1145" i="2" s="1"/>
  <c r="J1146" i="2"/>
  <c r="K1146" i="2" s="1"/>
  <c r="J1147" i="2"/>
  <c r="K1147" i="2" s="1"/>
  <c r="J1148" i="2"/>
  <c r="K1148" i="2" s="1"/>
  <c r="J1149" i="2"/>
  <c r="K1149" i="2" s="1"/>
  <c r="J1150" i="2"/>
  <c r="K1150" i="2" s="1"/>
  <c r="J1151" i="2"/>
  <c r="K1151" i="2" s="1"/>
  <c r="J1152" i="2"/>
  <c r="K1152" i="2" s="1"/>
  <c r="J1153" i="2"/>
  <c r="K1153" i="2" s="1"/>
  <c r="J1154" i="2"/>
  <c r="K1154" i="2" s="1"/>
  <c r="J1155" i="2"/>
  <c r="K1155" i="2" s="1"/>
  <c r="J1156" i="2"/>
  <c r="K1156" i="2" s="1"/>
  <c r="J1157" i="2"/>
  <c r="K1157" i="2" s="1"/>
  <c r="J1158" i="2"/>
  <c r="K1158" i="2" s="1"/>
  <c r="J1159" i="2"/>
  <c r="K1159" i="2" s="1"/>
  <c r="J1160" i="2"/>
  <c r="K1160" i="2" s="1"/>
  <c r="J1161" i="2"/>
  <c r="K1161" i="2" s="1"/>
  <c r="J1162" i="2"/>
  <c r="K1162" i="2" s="1"/>
  <c r="J1163" i="2"/>
  <c r="K1163" i="2" s="1"/>
  <c r="J1164" i="2"/>
  <c r="K1164" i="2" s="1"/>
  <c r="J1165" i="2"/>
  <c r="K1165" i="2" s="1"/>
  <c r="J1166" i="2"/>
  <c r="K1166" i="2" s="1"/>
  <c r="J1167" i="2"/>
  <c r="K1167" i="2" s="1"/>
  <c r="J1168" i="2"/>
  <c r="K1168" i="2" s="1"/>
  <c r="J1169" i="2"/>
  <c r="K1169" i="2" s="1"/>
  <c r="J1170" i="2"/>
  <c r="K1170" i="2" s="1"/>
  <c r="J1171" i="2"/>
  <c r="K1171" i="2" s="1"/>
  <c r="J1172" i="2"/>
  <c r="K1172" i="2" s="1"/>
  <c r="J1173" i="2"/>
  <c r="K1173" i="2" s="1"/>
  <c r="J1174" i="2"/>
  <c r="K1174" i="2" s="1"/>
  <c r="J1175" i="2"/>
  <c r="K1175" i="2" s="1"/>
  <c r="J1176" i="2"/>
  <c r="K1176" i="2" s="1"/>
  <c r="J1177" i="2"/>
  <c r="K1177" i="2" s="1"/>
  <c r="J1178" i="2"/>
  <c r="K1178" i="2" s="1"/>
  <c r="J1179" i="2"/>
  <c r="K1179" i="2" s="1"/>
  <c r="J1180" i="2"/>
  <c r="K1180" i="2" s="1"/>
  <c r="J1181" i="2"/>
  <c r="K1181" i="2" s="1"/>
  <c r="J1182" i="2"/>
  <c r="K1182" i="2" s="1"/>
  <c r="J1183" i="2"/>
  <c r="K1183" i="2" s="1"/>
  <c r="J1184" i="2"/>
  <c r="K1184" i="2" s="1"/>
  <c r="J1185" i="2"/>
  <c r="K1185" i="2" s="1"/>
  <c r="J1186" i="2"/>
  <c r="K1186" i="2" s="1"/>
  <c r="J1187" i="2"/>
  <c r="K1187" i="2" s="1"/>
  <c r="J1188" i="2"/>
  <c r="K1188" i="2" s="1"/>
  <c r="J1189" i="2"/>
  <c r="K1189" i="2" s="1"/>
  <c r="J1190" i="2"/>
  <c r="K1190" i="2" s="1"/>
  <c r="J1191" i="2"/>
  <c r="K1191" i="2" s="1"/>
  <c r="J1192" i="2"/>
  <c r="K1192" i="2" s="1"/>
  <c r="J1193" i="2"/>
  <c r="K1193" i="2" s="1"/>
  <c r="J1194" i="2"/>
  <c r="K1194" i="2" s="1"/>
  <c r="J1195" i="2"/>
  <c r="K1195" i="2" s="1"/>
  <c r="J1196" i="2"/>
  <c r="K1196" i="2" s="1"/>
  <c r="J1197" i="2"/>
  <c r="K1197" i="2" s="1"/>
  <c r="J1198" i="2"/>
  <c r="K1198" i="2" s="1"/>
  <c r="J1199" i="2"/>
  <c r="K1199" i="2" s="1"/>
  <c r="J1200" i="2"/>
  <c r="K1200" i="2" s="1"/>
  <c r="J1201" i="2"/>
  <c r="K1201" i="2" s="1"/>
  <c r="J1202" i="2"/>
  <c r="K1202" i="2" s="1"/>
  <c r="J1203" i="2"/>
  <c r="K1203" i="2" s="1"/>
  <c r="J1204" i="2"/>
  <c r="K1204" i="2" s="1"/>
  <c r="J1205" i="2"/>
  <c r="K1205" i="2" s="1"/>
  <c r="J1206" i="2"/>
  <c r="K1206" i="2" s="1"/>
  <c r="J1207" i="2"/>
  <c r="K1207" i="2" s="1"/>
  <c r="J1208" i="2"/>
  <c r="K1208" i="2" s="1"/>
  <c r="J1209" i="2"/>
  <c r="K1209" i="2" s="1"/>
  <c r="J1210" i="2"/>
  <c r="K1210" i="2" s="1"/>
  <c r="J1211" i="2"/>
  <c r="K1211" i="2" s="1"/>
  <c r="J1212" i="2"/>
  <c r="K1212" i="2" s="1"/>
  <c r="J1213" i="2"/>
  <c r="K1213" i="2" s="1"/>
  <c r="J1214" i="2"/>
  <c r="K1214" i="2" s="1"/>
  <c r="J1215" i="2"/>
  <c r="K1215" i="2" s="1"/>
  <c r="J1216" i="2"/>
  <c r="K1216" i="2" s="1"/>
  <c r="J1217" i="2"/>
  <c r="K1217" i="2" s="1"/>
  <c r="J1218" i="2"/>
  <c r="K1218" i="2" s="1"/>
  <c r="J1219" i="2"/>
  <c r="K1219" i="2" s="1"/>
  <c r="J1220" i="2"/>
  <c r="K1220" i="2" s="1"/>
  <c r="J1221" i="2"/>
  <c r="K1221" i="2" s="1"/>
  <c r="J1222" i="2"/>
  <c r="K1222" i="2" s="1"/>
  <c r="J1223" i="2"/>
  <c r="K1223" i="2" s="1"/>
  <c r="J1224" i="2"/>
  <c r="K1224" i="2" s="1"/>
  <c r="J1225" i="2"/>
  <c r="K1225" i="2" s="1"/>
  <c r="J1226" i="2"/>
  <c r="K1226" i="2" s="1"/>
  <c r="J1227" i="2"/>
  <c r="K1227" i="2" s="1"/>
  <c r="J1228" i="2"/>
  <c r="K1228" i="2" s="1"/>
  <c r="J1229" i="2"/>
  <c r="K1229" i="2" s="1"/>
  <c r="J1230" i="2"/>
  <c r="K1230" i="2" s="1"/>
  <c r="J1231" i="2"/>
  <c r="K1231" i="2" s="1"/>
  <c r="J1232" i="2"/>
  <c r="K1232" i="2" s="1"/>
  <c r="J1233" i="2"/>
  <c r="K1233" i="2" s="1"/>
  <c r="J1234" i="2"/>
  <c r="K1234" i="2" s="1"/>
  <c r="J1235" i="2"/>
  <c r="K1235" i="2" s="1"/>
  <c r="J1236" i="2"/>
  <c r="K1236" i="2" s="1"/>
  <c r="J1237" i="2"/>
  <c r="K1237" i="2" s="1"/>
  <c r="J1238" i="2"/>
  <c r="K1238" i="2" s="1"/>
  <c r="J1239" i="2"/>
  <c r="K1239" i="2" s="1"/>
  <c r="J1240" i="2"/>
  <c r="K1240" i="2" s="1"/>
  <c r="J1241" i="2"/>
  <c r="K1241" i="2" s="1"/>
  <c r="J1242" i="2"/>
  <c r="K1242" i="2" s="1"/>
  <c r="J1243" i="2"/>
  <c r="K1243" i="2" s="1"/>
  <c r="J1244" i="2"/>
  <c r="K1244" i="2" s="1"/>
  <c r="J1245" i="2"/>
  <c r="K1245" i="2" s="1"/>
  <c r="J1246" i="2"/>
  <c r="K1246" i="2" s="1"/>
  <c r="J1247" i="2"/>
  <c r="K1247" i="2" s="1"/>
  <c r="J1248" i="2"/>
  <c r="K1248" i="2" s="1"/>
  <c r="J1249" i="2"/>
  <c r="K1249" i="2" s="1"/>
  <c r="J1250" i="2"/>
  <c r="K1250" i="2" s="1"/>
  <c r="J1251" i="2"/>
  <c r="K1251" i="2" s="1"/>
  <c r="J1252" i="2"/>
  <c r="K1252" i="2" s="1"/>
  <c r="J1253" i="2"/>
  <c r="K1253" i="2" s="1"/>
  <c r="J1254" i="2"/>
  <c r="K1254" i="2" s="1"/>
  <c r="J1255" i="2"/>
  <c r="K1255" i="2" s="1"/>
  <c r="J1256" i="2"/>
  <c r="K1256" i="2" s="1"/>
  <c r="J1257" i="2"/>
  <c r="K1257" i="2" s="1"/>
  <c r="J1258" i="2"/>
  <c r="K1258" i="2" s="1"/>
  <c r="J1259" i="2"/>
  <c r="K1259" i="2" s="1"/>
  <c r="J1260" i="2"/>
  <c r="K1260" i="2" s="1"/>
  <c r="J1261" i="2"/>
  <c r="K1261" i="2" s="1"/>
  <c r="J1262" i="2"/>
  <c r="K1262" i="2" s="1"/>
  <c r="J1263" i="2"/>
  <c r="K1263" i="2" s="1"/>
  <c r="J1264" i="2"/>
  <c r="K1264" i="2" s="1"/>
  <c r="J1265" i="2"/>
  <c r="K1265" i="2" s="1"/>
  <c r="J1266" i="2"/>
  <c r="K1266" i="2" s="1"/>
  <c r="J1267" i="2"/>
  <c r="K1267" i="2" s="1"/>
  <c r="J1268" i="2"/>
  <c r="K1268" i="2" s="1"/>
  <c r="J1269" i="2"/>
  <c r="K1269" i="2" s="1"/>
  <c r="J1270" i="2"/>
  <c r="K1270" i="2" s="1"/>
  <c r="J1271" i="2"/>
  <c r="K1271" i="2" s="1"/>
  <c r="J1272" i="2"/>
  <c r="K1272" i="2" s="1"/>
  <c r="J1273" i="2"/>
  <c r="K1273" i="2" s="1"/>
  <c r="J1274" i="2"/>
  <c r="K1274" i="2" s="1"/>
  <c r="J1275" i="2"/>
  <c r="K1275" i="2" s="1"/>
  <c r="J1276" i="2"/>
  <c r="K1276" i="2" s="1"/>
  <c r="J1277" i="2"/>
  <c r="K1277" i="2" s="1"/>
  <c r="J1278" i="2"/>
  <c r="K1278" i="2" s="1"/>
  <c r="J1279" i="2"/>
  <c r="K1279" i="2" s="1"/>
  <c r="J1280" i="2"/>
  <c r="K1280" i="2" s="1"/>
  <c r="J1281" i="2"/>
  <c r="K1281" i="2" s="1"/>
  <c r="J1282" i="2"/>
  <c r="K1282" i="2" s="1"/>
  <c r="J1283" i="2"/>
  <c r="K1283" i="2" s="1"/>
  <c r="J1284" i="2"/>
  <c r="K1284" i="2" s="1"/>
  <c r="J1285" i="2"/>
  <c r="K1285" i="2" s="1"/>
  <c r="J1286" i="2"/>
  <c r="K1286" i="2" s="1"/>
  <c r="J1287" i="2"/>
  <c r="K1287" i="2" s="1"/>
  <c r="J1288" i="2"/>
  <c r="K1288" i="2" s="1"/>
  <c r="J1289" i="2"/>
  <c r="K1289" i="2" s="1"/>
  <c r="J1290" i="2"/>
  <c r="K1290" i="2" s="1"/>
  <c r="J1291" i="2"/>
  <c r="K1291" i="2" s="1"/>
  <c r="J1292" i="2"/>
  <c r="K1292" i="2" s="1"/>
  <c r="J1293" i="2"/>
  <c r="K1293" i="2" s="1"/>
  <c r="J1294" i="2"/>
  <c r="K1294" i="2" s="1"/>
  <c r="J1295" i="2"/>
  <c r="K1295" i="2" s="1"/>
  <c r="J1296" i="2"/>
  <c r="K1296" i="2" s="1"/>
  <c r="J1297" i="2"/>
  <c r="K1297" i="2" s="1"/>
  <c r="J1298" i="2"/>
  <c r="K1298" i="2" s="1"/>
  <c r="J1299" i="2"/>
  <c r="K1299" i="2" s="1"/>
  <c r="J1300" i="2"/>
  <c r="K1300" i="2" s="1"/>
  <c r="J1301" i="2"/>
  <c r="K1301" i="2" s="1"/>
  <c r="J1302" i="2"/>
  <c r="K1302" i="2" s="1"/>
  <c r="J1303" i="2"/>
  <c r="K1303" i="2" s="1"/>
  <c r="J1304" i="2"/>
  <c r="K1304" i="2" s="1"/>
  <c r="J1305" i="2"/>
  <c r="K1305" i="2" s="1"/>
  <c r="J1306" i="2"/>
  <c r="K1306" i="2" s="1"/>
  <c r="J1307" i="2"/>
  <c r="K1307" i="2" s="1"/>
  <c r="J1308" i="2"/>
  <c r="K1308" i="2" s="1"/>
  <c r="J1309" i="2"/>
  <c r="K1309" i="2" s="1"/>
  <c r="J1310" i="2"/>
  <c r="K1310" i="2" s="1"/>
  <c r="J1311" i="2"/>
  <c r="K1311" i="2" s="1"/>
  <c r="J1312" i="2"/>
  <c r="K1312" i="2" s="1"/>
  <c r="J1313" i="2"/>
  <c r="K1313" i="2" s="1"/>
  <c r="J1314" i="2"/>
  <c r="K1314" i="2" s="1"/>
  <c r="J1315" i="2"/>
  <c r="K1315" i="2" s="1"/>
  <c r="J1316" i="2"/>
  <c r="K1316" i="2" s="1"/>
  <c r="J1317" i="2"/>
  <c r="K1317" i="2" s="1"/>
  <c r="J1318" i="2"/>
  <c r="K1318" i="2" s="1"/>
  <c r="J1319" i="2"/>
  <c r="K1319" i="2" s="1"/>
  <c r="J1320" i="2"/>
  <c r="K1320" i="2" s="1"/>
  <c r="J1321" i="2"/>
  <c r="K1321" i="2" s="1"/>
  <c r="J1322" i="2"/>
  <c r="K1322" i="2" s="1"/>
  <c r="J1323" i="2"/>
  <c r="K1323" i="2" s="1"/>
  <c r="J1324" i="2"/>
  <c r="K1324" i="2" s="1"/>
  <c r="J1325" i="2"/>
  <c r="K1325" i="2" s="1"/>
  <c r="J1326" i="2"/>
  <c r="K1326" i="2" s="1"/>
  <c r="J1327" i="2"/>
  <c r="K1327" i="2" s="1"/>
  <c r="J1328" i="2"/>
  <c r="K1328" i="2" s="1"/>
  <c r="J1329" i="2"/>
  <c r="K1329" i="2" s="1"/>
  <c r="J1330" i="2"/>
  <c r="K1330" i="2" s="1"/>
  <c r="J1331" i="2"/>
  <c r="K1331" i="2" s="1"/>
  <c r="J1332" i="2"/>
  <c r="K1332" i="2" s="1"/>
  <c r="J1333" i="2"/>
  <c r="K1333" i="2" s="1"/>
  <c r="J1334" i="2"/>
  <c r="K1334" i="2" s="1"/>
  <c r="J1335" i="2"/>
  <c r="K1335" i="2" s="1"/>
  <c r="J1336" i="2"/>
  <c r="K1336" i="2" s="1"/>
  <c r="J1337" i="2"/>
  <c r="K1337" i="2" s="1"/>
  <c r="J1338" i="2"/>
  <c r="K1338" i="2" s="1"/>
  <c r="J1339" i="2"/>
  <c r="K1339" i="2" s="1"/>
  <c r="J1340" i="2"/>
  <c r="K1340" i="2" s="1"/>
  <c r="J1341" i="2"/>
  <c r="K1341" i="2" s="1"/>
  <c r="J1342" i="2"/>
  <c r="K1342" i="2" s="1"/>
  <c r="J1343" i="2"/>
  <c r="K1343" i="2" s="1"/>
  <c r="J1344" i="2"/>
  <c r="K1344" i="2" s="1"/>
  <c r="J1345" i="2"/>
  <c r="K1345" i="2" s="1"/>
  <c r="J1346" i="2"/>
  <c r="K1346" i="2" s="1"/>
  <c r="J1347" i="2"/>
  <c r="K1347" i="2" s="1"/>
  <c r="J1348" i="2"/>
  <c r="K1348" i="2" s="1"/>
  <c r="J1349" i="2"/>
  <c r="K1349" i="2" s="1"/>
  <c r="J1350" i="2"/>
  <c r="K1350" i="2" s="1"/>
  <c r="J1351" i="2"/>
  <c r="K1351" i="2" s="1"/>
  <c r="J1352" i="2"/>
  <c r="K1352" i="2" s="1"/>
  <c r="J1353" i="2"/>
  <c r="K1353" i="2" s="1"/>
  <c r="J1354" i="2"/>
  <c r="K1354" i="2" s="1"/>
  <c r="J1355" i="2"/>
  <c r="K1355" i="2" s="1"/>
  <c r="J1356" i="2"/>
  <c r="K1356" i="2" s="1"/>
  <c r="J1357" i="2"/>
  <c r="K1357" i="2" s="1"/>
  <c r="J1358" i="2"/>
  <c r="K1358" i="2" s="1"/>
  <c r="J1359" i="2"/>
  <c r="K1359" i="2" s="1"/>
  <c r="J1360" i="2"/>
  <c r="K1360" i="2" s="1"/>
  <c r="J1361" i="2"/>
  <c r="K1361" i="2" s="1"/>
  <c r="J1362" i="2"/>
  <c r="K1362" i="2" s="1"/>
  <c r="J1363" i="2"/>
  <c r="K1363" i="2" s="1"/>
  <c r="J1364" i="2"/>
  <c r="K1364" i="2" s="1"/>
  <c r="J1365" i="2"/>
  <c r="K1365" i="2" s="1"/>
  <c r="J1366" i="2"/>
  <c r="K1366" i="2" s="1"/>
  <c r="J1367" i="2"/>
  <c r="K1367" i="2" s="1"/>
  <c r="J1368" i="2"/>
  <c r="K1368" i="2" s="1"/>
  <c r="J1369" i="2"/>
  <c r="K1369" i="2" s="1"/>
  <c r="J1370" i="2"/>
  <c r="K1370" i="2" s="1"/>
  <c r="J1371" i="2"/>
  <c r="K1371" i="2" s="1"/>
  <c r="J1372" i="2"/>
  <c r="K1372" i="2" s="1"/>
  <c r="J1373" i="2"/>
  <c r="K1373" i="2" s="1"/>
  <c r="J1374" i="2"/>
  <c r="K1374" i="2" s="1"/>
  <c r="J1375" i="2"/>
  <c r="K1375" i="2" s="1"/>
  <c r="J1376" i="2"/>
  <c r="K1376" i="2" s="1"/>
  <c r="J1377" i="2"/>
  <c r="K1377" i="2" s="1"/>
  <c r="J1378" i="2"/>
  <c r="K1378" i="2" s="1"/>
  <c r="J1379" i="2"/>
  <c r="K1379" i="2" s="1"/>
  <c r="J1380" i="2"/>
  <c r="K1380" i="2" s="1"/>
  <c r="J1381" i="2"/>
  <c r="K1381" i="2" s="1"/>
  <c r="J1382" i="2"/>
  <c r="K1382" i="2" s="1"/>
  <c r="J1383" i="2"/>
  <c r="K1383" i="2" s="1"/>
  <c r="J1384" i="2"/>
  <c r="K1384" i="2" s="1"/>
  <c r="J1385" i="2"/>
  <c r="K1385" i="2" s="1"/>
  <c r="J1386" i="2"/>
  <c r="K1386" i="2" s="1"/>
  <c r="J1387" i="2"/>
  <c r="K1387" i="2" s="1"/>
  <c r="J1388" i="2"/>
  <c r="K1388" i="2" s="1"/>
  <c r="J1389" i="2"/>
  <c r="K1389" i="2" s="1"/>
  <c r="J1390" i="2"/>
  <c r="K1390" i="2" s="1"/>
  <c r="J1391" i="2"/>
  <c r="K1391" i="2" s="1"/>
  <c r="J1392" i="2"/>
  <c r="K1392" i="2" s="1"/>
  <c r="J1393" i="2"/>
  <c r="K1393" i="2" s="1"/>
  <c r="J1394" i="2"/>
  <c r="K1394" i="2" s="1"/>
  <c r="J1395" i="2"/>
  <c r="K1395" i="2" s="1"/>
  <c r="J1396" i="2"/>
  <c r="K1396" i="2" s="1"/>
  <c r="J1397" i="2"/>
  <c r="K1397" i="2" s="1"/>
  <c r="J1398" i="2"/>
  <c r="K1398" i="2" s="1"/>
  <c r="J1399" i="2"/>
  <c r="K1399" i="2" s="1"/>
  <c r="J1400" i="2"/>
  <c r="K1400" i="2" s="1"/>
  <c r="J1401" i="2"/>
  <c r="K1401" i="2" s="1"/>
  <c r="J1402" i="2"/>
  <c r="K1402" i="2" s="1"/>
  <c r="J1403" i="2"/>
  <c r="K1403" i="2" s="1"/>
  <c r="J1404" i="2"/>
  <c r="K1404" i="2" s="1"/>
  <c r="J1405" i="2"/>
  <c r="K1405" i="2" s="1"/>
  <c r="J1406" i="2"/>
  <c r="K1406" i="2" s="1"/>
  <c r="J1407" i="2"/>
  <c r="K1407" i="2" s="1"/>
  <c r="J1408" i="2"/>
  <c r="K1408" i="2" s="1"/>
  <c r="J1409" i="2"/>
  <c r="K1409" i="2" s="1"/>
  <c r="J1410" i="2"/>
  <c r="K1410" i="2" s="1"/>
  <c r="J1411" i="2"/>
  <c r="K1411" i="2" s="1"/>
  <c r="J1412" i="2"/>
  <c r="K1412" i="2" s="1"/>
  <c r="J1413" i="2"/>
  <c r="K1413" i="2" s="1"/>
  <c r="J1414" i="2"/>
  <c r="K1414" i="2" s="1"/>
  <c r="J1415" i="2"/>
  <c r="K1415" i="2" s="1"/>
  <c r="J1416" i="2"/>
  <c r="K1416" i="2" s="1"/>
  <c r="J1417" i="2"/>
  <c r="K1417" i="2" s="1"/>
  <c r="J1418" i="2"/>
  <c r="K1418" i="2" s="1"/>
  <c r="J1419" i="2"/>
  <c r="K1419" i="2" s="1"/>
  <c r="J1420" i="2"/>
  <c r="K1420" i="2" s="1"/>
  <c r="J1421" i="2"/>
  <c r="K1421" i="2" s="1"/>
  <c r="J1422" i="2"/>
  <c r="K1422" i="2" s="1"/>
  <c r="J1423" i="2"/>
  <c r="K1423" i="2" s="1"/>
  <c r="J1424" i="2"/>
  <c r="K1424" i="2" s="1"/>
  <c r="J1425" i="2"/>
  <c r="K1425" i="2" s="1"/>
  <c r="J1426" i="2"/>
  <c r="K1426" i="2" s="1"/>
  <c r="J1427" i="2"/>
  <c r="K1427" i="2" s="1"/>
  <c r="J1428" i="2"/>
  <c r="K1428" i="2" s="1"/>
  <c r="J1429" i="2"/>
  <c r="K1429" i="2" s="1"/>
  <c r="J1430" i="2"/>
  <c r="K1430" i="2" s="1"/>
  <c r="J1431" i="2"/>
  <c r="K1431" i="2" s="1"/>
  <c r="J1432" i="2"/>
  <c r="K1432" i="2" s="1"/>
  <c r="J1433" i="2"/>
  <c r="K1433" i="2" s="1"/>
  <c r="J1434" i="2"/>
  <c r="K1434" i="2" s="1"/>
  <c r="J1435" i="2"/>
  <c r="K1435" i="2" s="1"/>
  <c r="J1436" i="2"/>
  <c r="K1436" i="2" s="1"/>
  <c r="J1437" i="2"/>
  <c r="K1437" i="2" s="1"/>
  <c r="J1438" i="2"/>
  <c r="K1438" i="2" s="1"/>
  <c r="J1439" i="2"/>
  <c r="K1439" i="2" s="1"/>
  <c r="J1440" i="2"/>
  <c r="K1440" i="2" s="1"/>
  <c r="J1441" i="2"/>
  <c r="K1441" i="2" s="1"/>
  <c r="J1442" i="2"/>
  <c r="K1442" i="2" s="1"/>
  <c r="J1443" i="2"/>
  <c r="K1443" i="2" s="1"/>
  <c r="J1444" i="2"/>
  <c r="K1444" i="2" s="1"/>
  <c r="J1445" i="2"/>
  <c r="K1445" i="2" s="1"/>
  <c r="J1446" i="2"/>
  <c r="K1446" i="2" s="1"/>
  <c r="J1447" i="2"/>
  <c r="K1447" i="2" s="1"/>
  <c r="J1448" i="2"/>
  <c r="K1448" i="2" s="1"/>
  <c r="J1449" i="2"/>
  <c r="K1449" i="2" s="1"/>
  <c r="J1450" i="2"/>
  <c r="K1450" i="2" s="1"/>
  <c r="J1451" i="2"/>
  <c r="K1451" i="2" s="1"/>
  <c r="J1452" i="2"/>
  <c r="K1452" i="2" s="1"/>
  <c r="J1453" i="2"/>
  <c r="K1453" i="2" s="1"/>
  <c r="J1454" i="2"/>
  <c r="K1454" i="2" s="1"/>
  <c r="J1455" i="2"/>
  <c r="K1455" i="2" s="1"/>
  <c r="J1456" i="2"/>
  <c r="K1456" i="2" s="1"/>
  <c r="J1457" i="2"/>
  <c r="K1457" i="2" s="1"/>
  <c r="J1458" i="2"/>
  <c r="K1458" i="2" s="1"/>
  <c r="J1459" i="2"/>
  <c r="K1459" i="2" s="1"/>
  <c r="J1460" i="2"/>
  <c r="K1460" i="2" s="1"/>
  <c r="J1461" i="2"/>
  <c r="K1461" i="2" s="1"/>
  <c r="J1462" i="2"/>
  <c r="K1462" i="2" s="1"/>
  <c r="J1463" i="2"/>
  <c r="K1463" i="2" s="1"/>
  <c r="J1464" i="2"/>
  <c r="K1464" i="2" s="1"/>
  <c r="J1465" i="2"/>
  <c r="K1465" i="2" s="1"/>
  <c r="J1466" i="2"/>
  <c r="K1466" i="2" s="1"/>
  <c r="J1467" i="2"/>
  <c r="K1467" i="2" s="1"/>
  <c r="J1468" i="2"/>
  <c r="K1468" i="2" s="1"/>
  <c r="J1469" i="2"/>
  <c r="K1469" i="2" s="1"/>
  <c r="J1470" i="2"/>
  <c r="K1470" i="2" s="1"/>
  <c r="J1471" i="2"/>
  <c r="K1471" i="2" s="1"/>
  <c r="J1472" i="2"/>
  <c r="K1472" i="2" s="1"/>
  <c r="J1473" i="2"/>
  <c r="K1473" i="2" s="1"/>
  <c r="J1474" i="2"/>
  <c r="K1474" i="2" s="1"/>
  <c r="J1475" i="2"/>
  <c r="K1475" i="2" s="1"/>
  <c r="J1476" i="2"/>
  <c r="K1476" i="2" s="1"/>
  <c r="J1477" i="2"/>
  <c r="K1477" i="2" s="1"/>
  <c r="J1478" i="2"/>
  <c r="K1478" i="2" s="1"/>
  <c r="J1479" i="2"/>
  <c r="K1479" i="2" s="1"/>
  <c r="J1480" i="2"/>
  <c r="K1480" i="2" s="1"/>
  <c r="J1481" i="2"/>
  <c r="K1481" i="2" s="1"/>
  <c r="J1482" i="2"/>
  <c r="K1482" i="2" s="1"/>
  <c r="J1483" i="2"/>
  <c r="K1483" i="2" s="1"/>
  <c r="J1484" i="2"/>
  <c r="K1484" i="2" s="1"/>
  <c r="J1485" i="2"/>
  <c r="K1485" i="2" s="1"/>
  <c r="J1486" i="2"/>
  <c r="K1486" i="2" s="1"/>
  <c r="J1487" i="2"/>
  <c r="K1487" i="2" s="1"/>
  <c r="J1488" i="2"/>
  <c r="K1488" i="2" s="1"/>
  <c r="J1489" i="2"/>
  <c r="K1489" i="2" s="1"/>
  <c r="J1490" i="2"/>
  <c r="K1490" i="2" s="1"/>
  <c r="J1491" i="2"/>
  <c r="K1491" i="2" s="1"/>
  <c r="J1492" i="2"/>
  <c r="K1492" i="2" s="1"/>
  <c r="J1493" i="2"/>
  <c r="K1493" i="2" s="1"/>
  <c r="J1494" i="2"/>
  <c r="K1494" i="2" s="1"/>
  <c r="J1495" i="2"/>
  <c r="K1495" i="2" s="1"/>
  <c r="J1496" i="2"/>
  <c r="K1496" i="2" s="1"/>
  <c r="J1497" i="2"/>
  <c r="K1497" i="2" s="1"/>
  <c r="J1498" i="2"/>
  <c r="K1498" i="2" s="1"/>
  <c r="J1499" i="2"/>
  <c r="K1499" i="2" s="1"/>
  <c r="J1500" i="2"/>
  <c r="K1500" i="2" s="1"/>
  <c r="J1501" i="2"/>
  <c r="K1501" i="2" s="1"/>
  <c r="J1502" i="2"/>
  <c r="K1502" i="2" s="1"/>
  <c r="J1503" i="2"/>
  <c r="K1503" i="2" s="1"/>
  <c r="J1504" i="2"/>
  <c r="K1504" i="2" s="1"/>
  <c r="J1505" i="2"/>
  <c r="K1505" i="2" s="1"/>
  <c r="J1506" i="2"/>
  <c r="K1506" i="2" s="1"/>
  <c r="J1507" i="2"/>
  <c r="K1507" i="2" s="1"/>
  <c r="J1508" i="2"/>
  <c r="K1508" i="2" s="1"/>
  <c r="J1509" i="2"/>
  <c r="K1509" i="2" s="1"/>
  <c r="J1510" i="2"/>
  <c r="K1510" i="2" s="1"/>
  <c r="J1511" i="2"/>
  <c r="K1511" i="2" s="1"/>
  <c r="J1512" i="2"/>
  <c r="K1512" i="2" s="1"/>
  <c r="J1513" i="2"/>
  <c r="K1513" i="2" s="1"/>
  <c r="J1514" i="2"/>
  <c r="K1514" i="2" s="1"/>
  <c r="J1515" i="2"/>
  <c r="K1515" i="2" s="1"/>
  <c r="J1516" i="2"/>
  <c r="K1516" i="2" s="1"/>
  <c r="J1517" i="2"/>
  <c r="K1517" i="2" s="1"/>
  <c r="J1518" i="2"/>
  <c r="K1518" i="2" s="1"/>
  <c r="J1519" i="2"/>
  <c r="K1519" i="2" s="1"/>
  <c r="J1520" i="2"/>
  <c r="K1520" i="2" s="1"/>
  <c r="J1521" i="2"/>
  <c r="K1521" i="2" s="1"/>
  <c r="J1522" i="2"/>
  <c r="K1522" i="2" s="1"/>
  <c r="J1523" i="2"/>
  <c r="K1523" i="2" s="1"/>
  <c r="J1524" i="2"/>
  <c r="K1524" i="2" s="1"/>
  <c r="J1525" i="2"/>
  <c r="K1525" i="2" s="1"/>
  <c r="J1526" i="2"/>
  <c r="K1526" i="2" s="1"/>
  <c r="J1527" i="2"/>
  <c r="K1527" i="2" s="1"/>
  <c r="J1528" i="2"/>
  <c r="K1528" i="2" s="1"/>
  <c r="J1529" i="2"/>
  <c r="K1529" i="2" s="1"/>
  <c r="J1530" i="2"/>
  <c r="K1530" i="2" s="1"/>
  <c r="J1531" i="2"/>
  <c r="K1531" i="2" s="1"/>
  <c r="J1532" i="2"/>
  <c r="K1532" i="2" s="1"/>
  <c r="J1533" i="2"/>
  <c r="K1533" i="2" s="1"/>
  <c r="J1534" i="2"/>
  <c r="K1534" i="2" s="1"/>
  <c r="J1535" i="2"/>
  <c r="K1535" i="2" s="1"/>
  <c r="J1536" i="2"/>
  <c r="K1536" i="2" s="1"/>
  <c r="J1537" i="2"/>
  <c r="K1537" i="2" s="1"/>
  <c r="J1538" i="2"/>
  <c r="K1538" i="2" s="1"/>
  <c r="J1539" i="2"/>
  <c r="K1539" i="2" s="1"/>
  <c r="J1540" i="2"/>
  <c r="K1540" i="2" s="1"/>
  <c r="J1541" i="2"/>
  <c r="K1541" i="2" s="1"/>
  <c r="J1542" i="2"/>
  <c r="K1542" i="2" s="1"/>
  <c r="J1543" i="2"/>
  <c r="K1543" i="2" s="1"/>
  <c r="J1544" i="2"/>
  <c r="K1544" i="2" s="1"/>
  <c r="J1545" i="2"/>
  <c r="K1545" i="2" s="1"/>
  <c r="J1546" i="2"/>
  <c r="K1546" i="2" s="1"/>
  <c r="J1547" i="2"/>
  <c r="K1547" i="2" s="1"/>
  <c r="J1548" i="2"/>
  <c r="K1548" i="2" s="1"/>
  <c r="J1549" i="2"/>
  <c r="K1549" i="2" s="1"/>
  <c r="J1550" i="2"/>
  <c r="K1550" i="2" s="1"/>
  <c r="J1551" i="2"/>
  <c r="K1551" i="2" s="1"/>
  <c r="J1552" i="2"/>
  <c r="K1552" i="2" s="1"/>
  <c r="J1553" i="2"/>
  <c r="K1553" i="2" s="1"/>
  <c r="J1554" i="2"/>
  <c r="K1554" i="2" s="1"/>
  <c r="J1555" i="2"/>
  <c r="K1555" i="2" s="1"/>
  <c r="J1556" i="2"/>
  <c r="K1556" i="2" s="1"/>
  <c r="J1557" i="2"/>
  <c r="K1557" i="2" s="1"/>
  <c r="J1558" i="2"/>
  <c r="K1558" i="2" s="1"/>
  <c r="J1559" i="2"/>
  <c r="K1559" i="2" s="1"/>
  <c r="J1560" i="2"/>
  <c r="K1560" i="2" s="1"/>
  <c r="J1561" i="2"/>
  <c r="K1561" i="2" s="1"/>
  <c r="J1562" i="2"/>
  <c r="K1562" i="2" s="1"/>
  <c r="J1563" i="2"/>
  <c r="K1563" i="2" s="1"/>
  <c r="J1564" i="2"/>
  <c r="K1564" i="2" s="1"/>
  <c r="J1565" i="2"/>
  <c r="K1565" i="2" s="1"/>
  <c r="J1566" i="2"/>
  <c r="K1566" i="2" s="1"/>
  <c r="J1567" i="2"/>
  <c r="K1567" i="2" s="1"/>
  <c r="J1568" i="2"/>
  <c r="K1568" i="2" s="1"/>
  <c r="J1569" i="2"/>
  <c r="K1569" i="2" s="1"/>
  <c r="J1570" i="2"/>
  <c r="K1570" i="2" s="1"/>
  <c r="J1571" i="2"/>
  <c r="K1571" i="2" s="1"/>
  <c r="J1572" i="2"/>
  <c r="K1572" i="2" s="1"/>
  <c r="J1573" i="2"/>
  <c r="K1573" i="2" s="1"/>
  <c r="J1574" i="2"/>
  <c r="K1574" i="2" s="1"/>
  <c r="J1575" i="2"/>
  <c r="K1575" i="2" s="1"/>
  <c r="J1576" i="2"/>
  <c r="K1576" i="2" s="1"/>
  <c r="J1577" i="2"/>
  <c r="K1577" i="2" s="1"/>
  <c r="J1578" i="2"/>
  <c r="K1578" i="2" s="1"/>
  <c r="J1579" i="2"/>
  <c r="K1579" i="2" s="1"/>
  <c r="J1580" i="2"/>
  <c r="K1580" i="2" s="1"/>
  <c r="J1581" i="2"/>
  <c r="K1581" i="2" s="1"/>
  <c r="J1582" i="2"/>
  <c r="K1582" i="2" s="1"/>
  <c r="J1583" i="2"/>
  <c r="K1583" i="2" s="1"/>
  <c r="J1584" i="2"/>
  <c r="K1584" i="2" s="1"/>
  <c r="J1585" i="2"/>
  <c r="K1585" i="2" s="1"/>
  <c r="J1586" i="2"/>
  <c r="K1586" i="2" s="1"/>
  <c r="J1587" i="2"/>
  <c r="K1587" i="2" s="1"/>
  <c r="J1588" i="2"/>
  <c r="K1588" i="2" s="1"/>
  <c r="J1589" i="2"/>
  <c r="K1589" i="2" s="1"/>
  <c r="J1590" i="2"/>
  <c r="K1590" i="2" s="1"/>
  <c r="J1591" i="2"/>
  <c r="K1591" i="2" s="1"/>
  <c r="J1592" i="2"/>
  <c r="K1592" i="2" s="1"/>
  <c r="J1593" i="2"/>
  <c r="K1593" i="2" s="1"/>
  <c r="J1594" i="2"/>
  <c r="K1594" i="2" s="1"/>
  <c r="J1595" i="2"/>
  <c r="K1595" i="2" s="1"/>
  <c r="J1596" i="2"/>
  <c r="K1596" i="2" s="1"/>
  <c r="J1597" i="2"/>
  <c r="K1597" i="2" s="1"/>
  <c r="J1598" i="2"/>
  <c r="K1598" i="2" s="1"/>
  <c r="J1599" i="2"/>
  <c r="K1599" i="2" s="1"/>
  <c r="J1600" i="2"/>
  <c r="K1600" i="2" s="1"/>
  <c r="J1601" i="2"/>
  <c r="K1601" i="2" s="1"/>
  <c r="J1602" i="2"/>
  <c r="K1602" i="2" s="1"/>
  <c r="J1603" i="2"/>
  <c r="K1603" i="2" s="1"/>
  <c r="J1604" i="2"/>
  <c r="K1604" i="2" s="1"/>
  <c r="J1605" i="2"/>
  <c r="K1605" i="2" s="1"/>
  <c r="J1606" i="2"/>
  <c r="K1606" i="2" s="1"/>
  <c r="J1607" i="2"/>
  <c r="K1607" i="2" s="1"/>
  <c r="J1608" i="2"/>
  <c r="K1608" i="2" s="1"/>
  <c r="J1609" i="2"/>
  <c r="K1609" i="2" s="1"/>
  <c r="J1610" i="2"/>
  <c r="K1610" i="2" s="1"/>
  <c r="J1611" i="2"/>
  <c r="K1611" i="2" s="1"/>
  <c r="J1612" i="2"/>
  <c r="K1612" i="2" s="1"/>
  <c r="J1613" i="2"/>
  <c r="K1613" i="2" s="1"/>
  <c r="J1614" i="2"/>
  <c r="K1614" i="2" s="1"/>
  <c r="J1615" i="2"/>
  <c r="K1615" i="2" s="1"/>
  <c r="J1616" i="2"/>
  <c r="K1616" i="2" s="1"/>
  <c r="J1617" i="2"/>
  <c r="K1617" i="2" s="1"/>
  <c r="J1618" i="2"/>
  <c r="K1618" i="2" s="1"/>
  <c r="J1619" i="2"/>
  <c r="K1619" i="2" s="1"/>
  <c r="J1620" i="2"/>
  <c r="K1620" i="2" s="1"/>
  <c r="J1621" i="2"/>
  <c r="K1621" i="2" s="1"/>
  <c r="J1622" i="2"/>
  <c r="K1622" i="2" s="1"/>
  <c r="J1623" i="2"/>
  <c r="K1623" i="2" s="1"/>
  <c r="J1624" i="2"/>
  <c r="K1624" i="2" s="1"/>
  <c r="J1625" i="2"/>
  <c r="K1625" i="2" s="1"/>
  <c r="J1626" i="2"/>
  <c r="K1626" i="2" s="1"/>
  <c r="J1627" i="2"/>
  <c r="K1627" i="2" s="1"/>
  <c r="J1628" i="2"/>
  <c r="K1628" i="2" s="1"/>
  <c r="J1629" i="2"/>
  <c r="K1629" i="2" s="1"/>
  <c r="J1630" i="2"/>
  <c r="K1630" i="2" s="1"/>
  <c r="J1631" i="2"/>
  <c r="K1631" i="2" s="1"/>
  <c r="J1632" i="2"/>
  <c r="K1632" i="2" s="1"/>
  <c r="J1633" i="2"/>
  <c r="K1633" i="2" s="1"/>
  <c r="J1634" i="2"/>
  <c r="K1634" i="2" s="1"/>
  <c r="J1635" i="2"/>
  <c r="K1635" i="2" s="1"/>
  <c r="J1636" i="2"/>
  <c r="K1636" i="2" s="1"/>
  <c r="J1637" i="2"/>
  <c r="K1637" i="2" s="1"/>
  <c r="J1638" i="2"/>
  <c r="K1638" i="2" s="1"/>
  <c r="J1639" i="2"/>
  <c r="K1639" i="2" s="1"/>
  <c r="J1640" i="2"/>
  <c r="K1640" i="2" s="1"/>
  <c r="J1641" i="2"/>
  <c r="K1641" i="2" s="1"/>
  <c r="J1642" i="2"/>
  <c r="K1642" i="2" s="1"/>
  <c r="J1643" i="2"/>
  <c r="K1643" i="2" s="1"/>
  <c r="J1644" i="2"/>
  <c r="K1644" i="2" s="1"/>
  <c r="J1645" i="2"/>
  <c r="K1645" i="2" s="1"/>
  <c r="J1646" i="2"/>
  <c r="K1646" i="2" s="1"/>
  <c r="J1647" i="2"/>
  <c r="K1647" i="2" s="1"/>
  <c r="J1648" i="2"/>
  <c r="K1648" i="2" s="1"/>
  <c r="J1649" i="2"/>
  <c r="K1649" i="2" s="1"/>
  <c r="J1650" i="2"/>
  <c r="K1650" i="2" s="1"/>
  <c r="J1651" i="2"/>
  <c r="K1651" i="2" s="1"/>
  <c r="J1652" i="2"/>
  <c r="K1652" i="2" s="1"/>
  <c r="J1653" i="2"/>
  <c r="K1653" i="2" s="1"/>
  <c r="J1654" i="2"/>
  <c r="K1654" i="2" s="1"/>
  <c r="J1655" i="2"/>
  <c r="K1655" i="2" s="1"/>
  <c r="J1656" i="2"/>
  <c r="K1656" i="2" s="1"/>
  <c r="J1657" i="2"/>
  <c r="K1657" i="2" s="1"/>
  <c r="J1658" i="2"/>
  <c r="K1658" i="2" s="1"/>
  <c r="J1659" i="2"/>
  <c r="K1659" i="2" s="1"/>
  <c r="J1660" i="2"/>
  <c r="K1660" i="2" s="1"/>
  <c r="J1661" i="2"/>
  <c r="K1661" i="2" s="1"/>
  <c r="J1662" i="2"/>
  <c r="K1662" i="2" s="1"/>
  <c r="J1663" i="2"/>
  <c r="K1663" i="2" s="1"/>
  <c r="J1664" i="2"/>
  <c r="K1664" i="2" s="1"/>
  <c r="J1665" i="2"/>
  <c r="K1665" i="2" s="1"/>
  <c r="J1666" i="2"/>
  <c r="K1666" i="2" s="1"/>
  <c r="J1667" i="2"/>
  <c r="K1667" i="2" s="1"/>
  <c r="J1668" i="2"/>
  <c r="K1668" i="2" s="1"/>
  <c r="J1669" i="2"/>
  <c r="K1669" i="2" s="1"/>
  <c r="J1670" i="2"/>
  <c r="K1670" i="2" s="1"/>
  <c r="J1671" i="2"/>
  <c r="K1671" i="2" s="1"/>
  <c r="J1672" i="2"/>
  <c r="K1672" i="2" s="1"/>
  <c r="J1673" i="2"/>
  <c r="K1673" i="2" s="1"/>
  <c r="J1674" i="2"/>
  <c r="K1674" i="2" s="1"/>
  <c r="J1675" i="2"/>
  <c r="K1675" i="2" s="1"/>
  <c r="J1676" i="2"/>
  <c r="K1676" i="2" s="1"/>
  <c r="J1677" i="2"/>
  <c r="K1677" i="2" s="1"/>
  <c r="J1678" i="2"/>
  <c r="K1678" i="2" s="1"/>
  <c r="J1679" i="2"/>
  <c r="K1679" i="2" s="1"/>
  <c r="J1680" i="2"/>
  <c r="K1680" i="2" s="1"/>
  <c r="J1681" i="2"/>
  <c r="K1681" i="2" s="1"/>
  <c r="J1682" i="2"/>
  <c r="K1682" i="2" s="1"/>
  <c r="J1683" i="2"/>
  <c r="K1683" i="2" s="1"/>
  <c r="J1684" i="2"/>
  <c r="K1684" i="2" s="1"/>
  <c r="J1685" i="2"/>
  <c r="K1685" i="2" s="1"/>
  <c r="J1686" i="2"/>
  <c r="K1686" i="2" s="1"/>
  <c r="J1687" i="2"/>
  <c r="K1687" i="2" s="1"/>
  <c r="J1688" i="2"/>
  <c r="K1688" i="2" s="1"/>
  <c r="J1689" i="2"/>
  <c r="K1689" i="2" s="1"/>
  <c r="J1690" i="2"/>
  <c r="K1690" i="2" s="1"/>
  <c r="J1691" i="2"/>
  <c r="K1691" i="2" s="1"/>
  <c r="J1692" i="2"/>
  <c r="K1692" i="2" s="1"/>
  <c r="J1693" i="2"/>
  <c r="K1693" i="2" s="1"/>
  <c r="J1694" i="2"/>
  <c r="K1694" i="2" s="1"/>
  <c r="J1695" i="2"/>
  <c r="K1695" i="2" s="1"/>
  <c r="J1696" i="2"/>
  <c r="K1696" i="2" s="1"/>
  <c r="J1697" i="2"/>
  <c r="K1697" i="2" s="1"/>
  <c r="J1698" i="2"/>
  <c r="K1698" i="2" s="1"/>
  <c r="J1699" i="2"/>
  <c r="K1699" i="2" s="1"/>
  <c r="J1700" i="2"/>
  <c r="K1700" i="2" s="1"/>
  <c r="J1701" i="2"/>
  <c r="K1701" i="2" s="1"/>
  <c r="J1702" i="2"/>
  <c r="K1702" i="2" s="1"/>
  <c r="J1703" i="2"/>
  <c r="K1703" i="2" s="1"/>
  <c r="J1704" i="2"/>
  <c r="K1704" i="2" s="1"/>
  <c r="J1705" i="2"/>
  <c r="K1705" i="2" s="1"/>
  <c r="J1706" i="2"/>
  <c r="K1706" i="2" s="1"/>
  <c r="J1707" i="2"/>
  <c r="K1707" i="2" s="1"/>
  <c r="J1708" i="2"/>
  <c r="K1708" i="2" s="1"/>
  <c r="J1709" i="2"/>
  <c r="K1709" i="2" s="1"/>
  <c r="J1710" i="2"/>
  <c r="K1710" i="2" s="1"/>
  <c r="J1711" i="2"/>
  <c r="K1711" i="2" s="1"/>
  <c r="J1712" i="2"/>
  <c r="K1712" i="2" s="1"/>
  <c r="J1713" i="2"/>
  <c r="K1713" i="2" s="1"/>
  <c r="J1714" i="2"/>
  <c r="K1714" i="2" s="1"/>
  <c r="J1715" i="2"/>
  <c r="K1715" i="2" s="1"/>
  <c r="J1716" i="2"/>
  <c r="K1716" i="2" s="1"/>
  <c r="J1717" i="2"/>
  <c r="K1717" i="2" s="1"/>
  <c r="J1718" i="2"/>
  <c r="K1718" i="2" s="1"/>
  <c r="J1719" i="2"/>
  <c r="K1719" i="2" s="1"/>
  <c r="J1720" i="2"/>
  <c r="K1720" i="2" s="1"/>
  <c r="J1721" i="2"/>
  <c r="K1721" i="2" s="1"/>
  <c r="J1722" i="2"/>
  <c r="K1722" i="2" s="1"/>
  <c r="J1723" i="2"/>
  <c r="K1723" i="2" s="1"/>
  <c r="J1724" i="2"/>
  <c r="K1724" i="2" s="1"/>
  <c r="J1725" i="2"/>
  <c r="K1725" i="2" s="1"/>
  <c r="J1726" i="2"/>
  <c r="K1726" i="2" s="1"/>
  <c r="J1727" i="2"/>
  <c r="K1727" i="2" s="1"/>
  <c r="J1728" i="2"/>
  <c r="K1728" i="2" s="1"/>
  <c r="J1729" i="2"/>
  <c r="K1729" i="2" s="1"/>
  <c r="J1730" i="2"/>
  <c r="K1730" i="2" s="1"/>
  <c r="J1731" i="2"/>
  <c r="K1731" i="2" s="1"/>
  <c r="J1732" i="2"/>
  <c r="K1732" i="2" s="1"/>
  <c r="J1733" i="2"/>
  <c r="K1733" i="2" s="1"/>
  <c r="J1734" i="2"/>
  <c r="K1734" i="2" s="1"/>
  <c r="J1735" i="2"/>
  <c r="K1735" i="2" s="1"/>
  <c r="J1736" i="2"/>
  <c r="K1736" i="2" s="1"/>
  <c r="J1737" i="2"/>
  <c r="K1737" i="2" s="1"/>
  <c r="J1738" i="2"/>
  <c r="K1738" i="2" s="1"/>
  <c r="J1739" i="2"/>
  <c r="K1739" i="2" s="1"/>
  <c r="J1740" i="2"/>
  <c r="K1740" i="2" s="1"/>
  <c r="J1741" i="2"/>
  <c r="K1741" i="2" s="1"/>
  <c r="J1742" i="2"/>
  <c r="K1742" i="2" s="1"/>
  <c r="J1743" i="2"/>
  <c r="K1743" i="2" s="1"/>
  <c r="J1744" i="2"/>
  <c r="K1744" i="2" s="1"/>
  <c r="J1745" i="2"/>
  <c r="K1745" i="2" s="1"/>
  <c r="J1746" i="2"/>
  <c r="K1746" i="2" s="1"/>
  <c r="J1747" i="2"/>
  <c r="K1747" i="2" s="1"/>
  <c r="J1748" i="2"/>
  <c r="K1748" i="2" s="1"/>
  <c r="J1749" i="2"/>
  <c r="K1749" i="2" s="1"/>
  <c r="J1750" i="2"/>
  <c r="K1750" i="2" s="1"/>
  <c r="J1751" i="2"/>
  <c r="K1751" i="2" s="1"/>
  <c r="J1752" i="2"/>
  <c r="K1752" i="2" s="1"/>
  <c r="J1753" i="2"/>
  <c r="K1753" i="2" s="1"/>
  <c r="J1754" i="2"/>
  <c r="K1754" i="2" s="1"/>
  <c r="J1755" i="2"/>
  <c r="K1755" i="2" s="1"/>
  <c r="J1756" i="2"/>
  <c r="K1756" i="2" s="1"/>
  <c r="J1757" i="2"/>
  <c r="K1757" i="2" s="1"/>
  <c r="J1758" i="2"/>
  <c r="K1758" i="2" s="1"/>
  <c r="J1759" i="2"/>
  <c r="K1759" i="2" s="1"/>
  <c r="J1760" i="2"/>
  <c r="K1760" i="2" s="1"/>
  <c r="J1761" i="2"/>
  <c r="K1761" i="2" s="1"/>
  <c r="J1762" i="2"/>
  <c r="K1762" i="2" s="1"/>
  <c r="J1763" i="2"/>
  <c r="K1763" i="2" s="1"/>
  <c r="J1764" i="2"/>
  <c r="K1764" i="2" s="1"/>
  <c r="J1765" i="2"/>
  <c r="K1765" i="2" s="1"/>
  <c r="J1766" i="2"/>
  <c r="K1766" i="2" s="1"/>
  <c r="J1767" i="2"/>
  <c r="K1767" i="2" s="1"/>
  <c r="J1768" i="2"/>
  <c r="K1768" i="2" s="1"/>
  <c r="J1769" i="2"/>
  <c r="K1769" i="2" s="1"/>
  <c r="J1770" i="2"/>
  <c r="K1770" i="2" s="1"/>
  <c r="J1771" i="2"/>
  <c r="K1771" i="2" s="1"/>
  <c r="J1772" i="2"/>
  <c r="K1772" i="2" s="1"/>
  <c r="J1773" i="2"/>
  <c r="K1773" i="2" s="1"/>
  <c r="J1774" i="2"/>
  <c r="K1774" i="2" s="1"/>
  <c r="J1775" i="2"/>
  <c r="K1775" i="2" s="1"/>
  <c r="J1776" i="2"/>
  <c r="K1776" i="2" s="1"/>
  <c r="J1777" i="2"/>
  <c r="K1777" i="2" s="1"/>
  <c r="J1778" i="2"/>
  <c r="K1778" i="2" s="1"/>
  <c r="J1779" i="2"/>
  <c r="K1779" i="2" s="1"/>
  <c r="J1780" i="2"/>
  <c r="K1780" i="2" s="1"/>
  <c r="J1781" i="2"/>
  <c r="K1781" i="2" s="1"/>
  <c r="J1782" i="2"/>
  <c r="K1782" i="2" s="1"/>
  <c r="J1783" i="2"/>
  <c r="K1783" i="2" s="1"/>
  <c r="J1784" i="2"/>
  <c r="K1784" i="2" s="1"/>
  <c r="J1785" i="2"/>
  <c r="K1785" i="2" s="1"/>
  <c r="J1786" i="2"/>
  <c r="K1786" i="2" s="1"/>
  <c r="J1787" i="2"/>
  <c r="K1787" i="2" s="1"/>
  <c r="J1788" i="2"/>
  <c r="K1788" i="2" s="1"/>
  <c r="J1789" i="2"/>
  <c r="K1789" i="2" s="1"/>
  <c r="J1790" i="2"/>
  <c r="K1790" i="2" s="1"/>
  <c r="J1791" i="2"/>
  <c r="K1791" i="2" s="1"/>
  <c r="J1792" i="2"/>
  <c r="K1792" i="2" s="1"/>
  <c r="J1793" i="2"/>
  <c r="K1793" i="2" s="1"/>
  <c r="J1794" i="2"/>
  <c r="K1794" i="2" s="1"/>
  <c r="J1795" i="2"/>
  <c r="K1795" i="2" s="1"/>
  <c r="J1796" i="2"/>
  <c r="K1796" i="2" s="1"/>
  <c r="J1797" i="2"/>
  <c r="K1797" i="2" s="1"/>
  <c r="J1798" i="2"/>
  <c r="K1798" i="2" s="1"/>
  <c r="J1799" i="2"/>
  <c r="K1799" i="2" s="1"/>
  <c r="J1800" i="2"/>
  <c r="K1800" i="2" s="1"/>
  <c r="J1801" i="2"/>
  <c r="K1801" i="2" s="1"/>
  <c r="J1802" i="2"/>
  <c r="K1802" i="2" s="1"/>
  <c r="J1803" i="2"/>
  <c r="K1803" i="2" s="1"/>
  <c r="J1804" i="2"/>
  <c r="K1804" i="2" s="1"/>
  <c r="J1805" i="2"/>
  <c r="K1805" i="2" s="1"/>
  <c r="J1806" i="2"/>
  <c r="K1806" i="2" s="1"/>
  <c r="J1807" i="2"/>
  <c r="K1807" i="2" s="1"/>
  <c r="J1808" i="2"/>
  <c r="K1808" i="2" s="1"/>
  <c r="J1809" i="2"/>
  <c r="K1809" i="2" s="1"/>
  <c r="J1810" i="2"/>
  <c r="K1810" i="2" s="1"/>
  <c r="J1811" i="2"/>
  <c r="K1811" i="2" s="1"/>
  <c r="J1812" i="2"/>
  <c r="K1812" i="2" s="1"/>
  <c r="J1813" i="2"/>
  <c r="K1813" i="2" s="1"/>
  <c r="J1814" i="2"/>
  <c r="K1814" i="2" s="1"/>
  <c r="J1815" i="2"/>
  <c r="K1815" i="2" s="1"/>
  <c r="J1816" i="2"/>
  <c r="K1816" i="2" s="1"/>
  <c r="J1817" i="2"/>
  <c r="K1817" i="2" s="1"/>
  <c r="J1818" i="2"/>
  <c r="K1818" i="2" s="1"/>
  <c r="J1819" i="2"/>
  <c r="K1819" i="2" s="1"/>
  <c r="J1820" i="2"/>
  <c r="K1820" i="2" s="1"/>
  <c r="J1821" i="2"/>
  <c r="K1821" i="2" s="1"/>
  <c r="J1822" i="2"/>
  <c r="K1822" i="2" s="1"/>
  <c r="J1823" i="2"/>
  <c r="K1823" i="2" s="1"/>
  <c r="J1824" i="2"/>
  <c r="K1824" i="2" s="1"/>
  <c r="J1825" i="2"/>
  <c r="K1825" i="2" s="1"/>
  <c r="J1826" i="2"/>
  <c r="K1826" i="2" s="1"/>
  <c r="J1827" i="2"/>
  <c r="K1827" i="2" s="1"/>
  <c r="J1828" i="2"/>
  <c r="K1828" i="2" s="1"/>
  <c r="J1829" i="2"/>
  <c r="K1829" i="2" s="1"/>
  <c r="J1830" i="2"/>
  <c r="K1830" i="2" s="1"/>
  <c r="J1831" i="2"/>
  <c r="K1831" i="2" s="1"/>
  <c r="J1832" i="2"/>
  <c r="K1832" i="2" s="1"/>
  <c r="J1833" i="2"/>
  <c r="K1833" i="2" s="1"/>
  <c r="J1834" i="2"/>
  <c r="K1834" i="2" s="1"/>
  <c r="J1835" i="2"/>
  <c r="K1835" i="2" s="1"/>
  <c r="J1836" i="2"/>
  <c r="K1836" i="2" s="1"/>
  <c r="J1837" i="2"/>
  <c r="K1837" i="2" s="1"/>
  <c r="J1838" i="2"/>
  <c r="K1838" i="2" s="1"/>
  <c r="J1839" i="2"/>
  <c r="K1839" i="2" s="1"/>
  <c r="J1840" i="2"/>
  <c r="K1840" i="2" s="1"/>
  <c r="J1841" i="2"/>
  <c r="K1841" i="2" s="1"/>
  <c r="J1842" i="2"/>
  <c r="K1842" i="2" s="1"/>
  <c r="J1843" i="2"/>
  <c r="K1843" i="2" s="1"/>
  <c r="J1844" i="2"/>
  <c r="K1844" i="2" s="1"/>
  <c r="J1845" i="2"/>
  <c r="K1845" i="2" s="1"/>
  <c r="J1846" i="2"/>
  <c r="K1846" i="2" s="1"/>
  <c r="J1847" i="2"/>
  <c r="K1847" i="2" s="1"/>
  <c r="J1848" i="2"/>
  <c r="K1848" i="2" s="1"/>
  <c r="J1849" i="2"/>
  <c r="K1849" i="2" s="1"/>
  <c r="J1850" i="2"/>
  <c r="K1850" i="2" s="1"/>
  <c r="J1851" i="2"/>
  <c r="K1851" i="2" s="1"/>
  <c r="J1852" i="2"/>
  <c r="K1852" i="2" s="1"/>
  <c r="J1853" i="2"/>
  <c r="K1853" i="2" s="1"/>
  <c r="J1854" i="2"/>
  <c r="K1854" i="2" s="1"/>
  <c r="J1855" i="2"/>
  <c r="K1855" i="2" s="1"/>
  <c r="J1856" i="2"/>
  <c r="K1856" i="2" s="1"/>
  <c r="J1857" i="2"/>
  <c r="K1857" i="2" s="1"/>
  <c r="J1858" i="2"/>
  <c r="K1858" i="2" s="1"/>
  <c r="J1859" i="2"/>
  <c r="K1859" i="2" s="1"/>
  <c r="J1860" i="2"/>
  <c r="K1860" i="2" s="1"/>
  <c r="J1861" i="2"/>
  <c r="K1861" i="2" s="1"/>
  <c r="J1862" i="2"/>
  <c r="K1862" i="2" s="1"/>
  <c r="J1863" i="2"/>
  <c r="K1863" i="2" s="1"/>
  <c r="J1864" i="2"/>
  <c r="K1864" i="2" s="1"/>
  <c r="J1865" i="2"/>
  <c r="K1865" i="2" s="1"/>
  <c r="J1866" i="2"/>
  <c r="K1866" i="2" s="1"/>
  <c r="J1867" i="2"/>
  <c r="K1867" i="2" s="1"/>
  <c r="J1868" i="2"/>
  <c r="K1868" i="2" s="1"/>
  <c r="J1869" i="2"/>
  <c r="K1869" i="2" s="1"/>
  <c r="J1870" i="2"/>
  <c r="K1870" i="2" s="1"/>
  <c r="J1871" i="2"/>
  <c r="K1871" i="2" s="1"/>
  <c r="J1872" i="2"/>
  <c r="K1872" i="2" s="1"/>
  <c r="J1873" i="2"/>
  <c r="K1873" i="2" s="1"/>
  <c r="J1874" i="2"/>
  <c r="K1874" i="2" s="1"/>
  <c r="J1875" i="2"/>
  <c r="K1875" i="2" s="1"/>
  <c r="J1876" i="2"/>
  <c r="K1876" i="2" s="1"/>
  <c r="J1877" i="2"/>
  <c r="K1877" i="2" s="1"/>
  <c r="J1878" i="2"/>
  <c r="K1878" i="2" s="1"/>
  <c r="J1879" i="2"/>
  <c r="K1879" i="2" s="1"/>
  <c r="J1880" i="2"/>
  <c r="K1880" i="2" s="1"/>
  <c r="J1881" i="2"/>
  <c r="K1881" i="2" s="1"/>
  <c r="J1882" i="2"/>
  <c r="K1882" i="2" s="1"/>
  <c r="J1883" i="2"/>
  <c r="K1883" i="2" s="1"/>
  <c r="J1884" i="2"/>
  <c r="K1884" i="2" s="1"/>
  <c r="J1885" i="2"/>
  <c r="K1885" i="2" s="1"/>
  <c r="J1886" i="2"/>
  <c r="K1886" i="2" s="1"/>
  <c r="J1887" i="2"/>
  <c r="K1887" i="2" s="1"/>
  <c r="J1888" i="2"/>
  <c r="K1888" i="2" s="1"/>
  <c r="J1889" i="2"/>
  <c r="K1889" i="2" s="1"/>
  <c r="J1890" i="2"/>
  <c r="K1890" i="2" s="1"/>
  <c r="J1891" i="2"/>
  <c r="K1891" i="2" s="1"/>
  <c r="J1892" i="2"/>
  <c r="K1892" i="2" s="1"/>
  <c r="J1893" i="2"/>
  <c r="K1893" i="2" s="1"/>
  <c r="J1894" i="2"/>
  <c r="K1894" i="2" s="1"/>
  <c r="J1895" i="2"/>
  <c r="K1895" i="2" s="1"/>
  <c r="J1896" i="2"/>
  <c r="K1896" i="2" s="1"/>
  <c r="J1897" i="2"/>
  <c r="K1897" i="2" s="1"/>
  <c r="J1898" i="2"/>
  <c r="K1898" i="2" s="1"/>
  <c r="J1899" i="2"/>
  <c r="K1899" i="2" s="1"/>
  <c r="J1900" i="2"/>
  <c r="K1900" i="2" s="1"/>
  <c r="J1901" i="2"/>
  <c r="K1901" i="2" s="1"/>
  <c r="J1902" i="2"/>
  <c r="K1902" i="2" s="1"/>
  <c r="J1903" i="2"/>
  <c r="K1903" i="2" s="1"/>
  <c r="J1904" i="2"/>
  <c r="K1904" i="2" s="1"/>
  <c r="J1905" i="2"/>
  <c r="K1905" i="2" s="1"/>
  <c r="J1906" i="2"/>
  <c r="K1906" i="2" s="1"/>
  <c r="J1907" i="2"/>
  <c r="K1907" i="2" s="1"/>
  <c r="J1908" i="2"/>
  <c r="K1908" i="2" s="1"/>
  <c r="J1909" i="2"/>
  <c r="K1909" i="2" s="1"/>
  <c r="J1910" i="2"/>
  <c r="K1910" i="2" s="1"/>
  <c r="J1911" i="2"/>
  <c r="K1911" i="2" s="1"/>
  <c r="J1912" i="2"/>
  <c r="K1912" i="2" s="1"/>
  <c r="J1913" i="2"/>
  <c r="K1913" i="2" s="1"/>
  <c r="J1914" i="2"/>
  <c r="K1914" i="2" s="1"/>
  <c r="J1915" i="2"/>
  <c r="K1915" i="2" s="1"/>
  <c r="J1916" i="2"/>
  <c r="K1916" i="2" s="1"/>
  <c r="J1917" i="2"/>
  <c r="K1917" i="2" s="1"/>
  <c r="J1918" i="2"/>
  <c r="K1918" i="2" s="1"/>
  <c r="J1919" i="2"/>
  <c r="K1919" i="2" s="1"/>
  <c r="J1920" i="2"/>
  <c r="K1920" i="2" s="1"/>
  <c r="J1921" i="2"/>
  <c r="K1921" i="2" s="1"/>
  <c r="J1922" i="2"/>
  <c r="K1922" i="2" s="1"/>
  <c r="J1923" i="2"/>
  <c r="K1923" i="2" s="1"/>
  <c r="J1924" i="2"/>
  <c r="K1924" i="2" s="1"/>
  <c r="J1925" i="2"/>
  <c r="K1925" i="2" s="1"/>
  <c r="J1926" i="2"/>
  <c r="K1926" i="2" s="1"/>
  <c r="J1927" i="2"/>
  <c r="K1927" i="2" s="1"/>
  <c r="J1928" i="2"/>
  <c r="K1928" i="2" s="1"/>
  <c r="J1929" i="2"/>
  <c r="K1929" i="2" s="1"/>
  <c r="J1930" i="2"/>
  <c r="K1930" i="2" s="1"/>
  <c r="J1931" i="2"/>
  <c r="K1931" i="2" s="1"/>
  <c r="J1932" i="2"/>
  <c r="K1932" i="2" s="1"/>
  <c r="J1933" i="2"/>
  <c r="K1933" i="2" s="1"/>
  <c r="J1934" i="2"/>
  <c r="K1934" i="2" s="1"/>
  <c r="J1935" i="2"/>
  <c r="K1935" i="2" s="1"/>
  <c r="J1936" i="2"/>
  <c r="K1936" i="2" s="1"/>
  <c r="J1937" i="2"/>
  <c r="K1937" i="2" s="1"/>
  <c r="J1938" i="2"/>
  <c r="K1938" i="2" s="1"/>
  <c r="J1939" i="2"/>
  <c r="K1939" i="2" s="1"/>
  <c r="J1940" i="2"/>
  <c r="K1940" i="2" s="1"/>
  <c r="J1941" i="2"/>
  <c r="K1941" i="2" s="1"/>
  <c r="J1942" i="2"/>
  <c r="K1942" i="2" s="1"/>
  <c r="J1943" i="2"/>
  <c r="K1943" i="2" s="1"/>
  <c r="J1944" i="2"/>
  <c r="K1944" i="2" s="1"/>
  <c r="J1945" i="2"/>
  <c r="K1945" i="2" s="1"/>
  <c r="J1946" i="2"/>
  <c r="K1946" i="2" s="1"/>
  <c r="J1947" i="2"/>
  <c r="K1947" i="2" s="1"/>
  <c r="J1948" i="2"/>
  <c r="K1948" i="2" s="1"/>
  <c r="J1949" i="2"/>
  <c r="K1949" i="2" s="1"/>
  <c r="J1950" i="2"/>
  <c r="K1950" i="2" s="1"/>
  <c r="J1951" i="2"/>
  <c r="K1951" i="2" s="1"/>
  <c r="J1952" i="2"/>
  <c r="K1952" i="2" s="1"/>
  <c r="J1953" i="2"/>
  <c r="K1953" i="2" s="1"/>
  <c r="J1954" i="2"/>
  <c r="K1954" i="2" s="1"/>
  <c r="J1955" i="2"/>
  <c r="K1955" i="2" s="1"/>
  <c r="J1956" i="2"/>
  <c r="K1956" i="2" s="1"/>
  <c r="J1957" i="2"/>
  <c r="K1957" i="2" s="1"/>
  <c r="J1958" i="2"/>
  <c r="K1958" i="2" s="1"/>
  <c r="J1959" i="2"/>
  <c r="K1959" i="2" s="1"/>
  <c r="J1960" i="2"/>
  <c r="K1960" i="2" s="1"/>
  <c r="J1961" i="2"/>
  <c r="K1961" i="2" s="1"/>
  <c r="J1962" i="2"/>
  <c r="K1962" i="2" s="1"/>
  <c r="J1963" i="2"/>
  <c r="K1963" i="2" s="1"/>
  <c r="J1964" i="2"/>
  <c r="K1964" i="2" s="1"/>
  <c r="J1965" i="2"/>
  <c r="K1965" i="2" s="1"/>
  <c r="J1966" i="2"/>
  <c r="K1966" i="2" s="1"/>
  <c r="J1967" i="2"/>
  <c r="K1967" i="2" s="1"/>
  <c r="J1968" i="2"/>
  <c r="K1968" i="2" s="1"/>
  <c r="J1969" i="2"/>
  <c r="K1969" i="2" s="1"/>
  <c r="J1970" i="2"/>
  <c r="K1970" i="2" s="1"/>
  <c r="J1971" i="2"/>
  <c r="K1971" i="2" s="1"/>
  <c r="J1972" i="2"/>
  <c r="K1972" i="2" s="1"/>
  <c r="J1973" i="2"/>
  <c r="K1973" i="2" s="1"/>
  <c r="J1974" i="2"/>
  <c r="K1974" i="2" s="1"/>
  <c r="J1975" i="2"/>
  <c r="K1975" i="2" s="1"/>
  <c r="J1976" i="2"/>
  <c r="K1976" i="2" s="1"/>
  <c r="J1977" i="2"/>
  <c r="K1977" i="2" s="1"/>
  <c r="J1978" i="2"/>
  <c r="K1978" i="2" s="1"/>
  <c r="J1979" i="2"/>
  <c r="K1979" i="2" s="1"/>
  <c r="J1980" i="2"/>
  <c r="K1980" i="2" s="1"/>
  <c r="J1981" i="2"/>
  <c r="K1981" i="2" s="1"/>
  <c r="J1982" i="2"/>
  <c r="K1982" i="2" s="1"/>
  <c r="J1983" i="2"/>
  <c r="K1983" i="2" s="1"/>
  <c r="J1984" i="2"/>
  <c r="K1984" i="2" s="1"/>
  <c r="J1985" i="2"/>
  <c r="K1985" i="2" s="1"/>
  <c r="J1986" i="2"/>
  <c r="K1986" i="2" s="1"/>
  <c r="J1987" i="2"/>
  <c r="K1987" i="2" s="1"/>
  <c r="J1988" i="2"/>
  <c r="K1988" i="2" s="1"/>
  <c r="J1989" i="2"/>
  <c r="K1989" i="2" s="1"/>
  <c r="J1990" i="2"/>
  <c r="K1990" i="2" s="1"/>
  <c r="J1991" i="2"/>
  <c r="K1991" i="2" s="1"/>
  <c r="J1992" i="2"/>
  <c r="K1992" i="2" s="1"/>
  <c r="J1993" i="2"/>
  <c r="K1993" i="2" s="1"/>
  <c r="J1994" i="2"/>
  <c r="K1994" i="2" s="1"/>
  <c r="J1995" i="2"/>
  <c r="K1995" i="2" s="1"/>
  <c r="J1996" i="2"/>
  <c r="K1996" i="2" s="1"/>
  <c r="J1997" i="2"/>
  <c r="K1997" i="2" s="1"/>
  <c r="J1998" i="2"/>
  <c r="K1998" i="2" s="1"/>
  <c r="J1999" i="2"/>
  <c r="K1999" i="2" s="1"/>
  <c r="J2000" i="2"/>
  <c r="K2000" i="2" s="1"/>
  <c r="J2001" i="2"/>
  <c r="K2001" i="2" s="1"/>
  <c r="J2002" i="2"/>
  <c r="K2002" i="2" s="1"/>
  <c r="J2003" i="2"/>
  <c r="K2003" i="2" s="1"/>
  <c r="J2004" i="2"/>
  <c r="K2004" i="2" s="1"/>
  <c r="J2005" i="2"/>
  <c r="K2005" i="2" s="1"/>
  <c r="J2006" i="2"/>
  <c r="K2006" i="2" s="1"/>
  <c r="J2007" i="2"/>
  <c r="K2007" i="2" s="1"/>
  <c r="J2008" i="2"/>
  <c r="K2008" i="2" s="1"/>
  <c r="J2009" i="2"/>
  <c r="K2009" i="2" s="1"/>
  <c r="J2010" i="2"/>
  <c r="K2010" i="2" s="1"/>
  <c r="J2011" i="2"/>
  <c r="K2011" i="2" s="1"/>
  <c r="J2012" i="2"/>
  <c r="K2012" i="2" s="1"/>
  <c r="J2013" i="2"/>
  <c r="K2013" i="2" s="1"/>
  <c r="J2014" i="2"/>
  <c r="K2014" i="2" s="1"/>
  <c r="J2015" i="2"/>
  <c r="K2015" i="2" s="1"/>
  <c r="J2016" i="2"/>
  <c r="K2016" i="2" s="1"/>
  <c r="J2017" i="2"/>
  <c r="K2017" i="2" s="1"/>
  <c r="J2018" i="2"/>
  <c r="K2018" i="2" s="1"/>
  <c r="J2019" i="2"/>
  <c r="K2019" i="2" s="1"/>
  <c r="J2020" i="2"/>
  <c r="K2020" i="2" s="1"/>
  <c r="J2021" i="2"/>
  <c r="K2021" i="2" s="1"/>
  <c r="J2022" i="2"/>
  <c r="K2022" i="2" s="1"/>
  <c r="J2023" i="2"/>
  <c r="K2023" i="2" s="1"/>
  <c r="J2024" i="2"/>
  <c r="K2024" i="2" s="1"/>
  <c r="J2025" i="2"/>
  <c r="K2025" i="2" s="1"/>
  <c r="J2026" i="2"/>
  <c r="K2026" i="2" s="1"/>
  <c r="J2027" i="2"/>
  <c r="K2027" i="2" s="1"/>
  <c r="J2028" i="2"/>
  <c r="K2028" i="2" s="1"/>
  <c r="J2029" i="2"/>
  <c r="K2029" i="2" s="1"/>
  <c r="J2030" i="2"/>
  <c r="K2030" i="2" s="1"/>
  <c r="J2031" i="2"/>
  <c r="K2031" i="2" s="1"/>
  <c r="J2032" i="2"/>
  <c r="K2032" i="2" s="1"/>
  <c r="J2033" i="2"/>
  <c r="K2033" i="2" s="1"/>
  <c r="J2034" i="2"/>
  <c r="K2034" i="2" s="1"/>
  <c r="J2035" i="2"/>
  <c r="K2035" i="2" s="1"/>
  <c r="J2036" i="2"/>
  <c r="K2036" i="2" s="1"/>
  <c r="J2037" i="2"/>
  <c r="K2037" i="2" s="1"/>
  <c r="J2038" i="2"/>
  <c r="K2038" i="2" s="1"/>
  <c r="J2039" i="2"/>
  <c r="K2039" i="2" s="1"/>
  <c r="J2040" i="2"/>
  <c r="K2040" i="2" s="1"/>
  <c r="J2041" i="2"/>
  <c r="K2041" i="2" s="1"/>
  <c r="J2042" i="2"/>
  <c r="K2042" i="2" s="1"/>
  <c r="J2043" i="2"/>
  <c r="K2043" i="2" s="1"/>
  <c r="J2044" i="2"/>
  <c r="K2044" i="2" s="1"/>
  <c r="J2045" i="2"/>
  <c r="K2045" i="2" s="1"/>
  <c r="J2046" i="2"/>
  <c r="K2046" i="2" s="1"/>
  <c r="J2047" i="2"/>
  <c r="K2047" i="2" s="1"/>
  <c r="J2048" i="2"/>
  <c r="K2048" i="2" s="1"/>
  <c r="J2049" i="2"/>
  <c r="K2049" i="2" s="1"/>
  <c r="J2050" i="2"/>
  <c r="K2050" i="2" s="1"/>
  <c r="J2051" i="2"/>
  <c r="K2051" i="2" s="1"/>
  <c r="J2052" i="2"/>
  <c r="K2052" i="2" s="1"/>
  <c r="J2053" i="2"/>
  <c r="K2053" i="2" s="1"/>
  <c r="J2054" i="2"/>
  <c r="K2054" i="2" s="1"/>
  <c r="J2055" i="2"/>
  <c r="K2055" i="2" s="1"/>
  <c r="J2056" i="2"/>
  <c r="K2056" i="2" s="1"/>
  <c r="J2057" i="2"/>
  <c r="K2057" i="2" s="1"/>
  <c r="J2058" i="2"/>
  <c r="K2058" i="2" s="1"/>
  <c r="J2059" i="2"/>
  <c r="K2059" i="2" s="1"/>
  <c r="J2060" i="2"/>
  <c r="K2060" i="2" s="1"/>
  <c r="J2061" i="2"/>
  <c r="K2061" i="2" s="1"/>
  <c r="J2062" i="2"/>
  <c r="K2062" i="2" s="1"/>
  <c r="J2063" i="2"/>
  <c r="K2063" i="2" s="1"/>
  <c r="J2064" i="2"/>
  <c r="K2064" i="2" s="1"/>
  <c r="J2065" i="2"/>
  <c r="K2065" i="2" s="1"/>
  <c r="J2066" i="2"/>
  <c r="K2066" i="2" s="1"/>
  <c r="J2067" i="2"/>
  <c r="K2067" i="2" s="1"/>
  <c r="J2068" i="2"/>
  <c r="K2068" i="2" s="1"/>
  <c r="J2069" i="2"/>
  <c r="K2069" i="2" s="1"/>
  <c r="J2070" i="2"/>
  <c r="K2070" i="2" s="1"/>
  <c r="J2071" i="2"/>
  <c r="K2071" i="2" s="1"/>
  <c r="J2072" i="2"/>
  <c r="K2072" i="2" s="1"/>
  <c r="J2073" i="2"/>
  <c r="K2073" i="2" s="1"/>
  <c r="J2074" i="2"/>
  <c r="K2074" i="2" s="1"/>
  <c r="J2075" i="2"/>
  <c r="K2075" i="2" s="1"/>
  <c r="J2076" i="2"/>
  <c r="K2076" i="2" s="1"/>
  <c r="J2077" i="2"/>
  <c r="K2077" i="2" s="1"/>
  <c r="J2078" i="2"/>
  <c r="K2078" i="2" s="1"/>
  <c r="J2079" i="2"/>
  <c r="K2079" i="2" s="1"/>
  <c r="J2080" i="2"/>
  <c r="K2080" i="2" s="1"/>
  <c r="J2081" i="2"/>
  <c r="K2081" i="2" s="1"/>
  <c r="J2082" i="2"/>
  <c r="K2082" i="2" s="1"/>
  <c r="J2083" i="2"/>
  <c r="K2083" i="2" s="1"/>
  <c r="J2084" i="2"/>
  <c r="K2084" i="2" s="1"/>
  <c r="J2085" i="2"/>
  <c r="K2085" i="2" s="1"/>
  <c r="J2086" i="2"/>
  <c r="K2086" i="2" s="1"/>
  <c r="J2087" i="2"/>
  <c r="K2087" i="2" s="1"/>
  <c r="J2088" i="2"/>
  <c r="K2088" i="2" s="1"/>
  <c r="J2089" i="2"/>
  <c r="K2089" i="2" s="1"/>
  <c r="J2090" i="2"/>
  <c r="K2090" i="2" s="1"/>
  <c r="J2091" i="2"/>
  <c r="K2091" i="2" s="1"/>
  <c r="J2092" i="2"/>
  <c r="K2092" i="2" s="1"/>
  <c r="J2093" i="2"/>
  <c r="K2093" i="2" s="1"/>
  <c r="J2094" i="2"/>
  <c r="K2094" i="2" s="1"/>
  <c r="J2095" i="2"/>
  <c r="K2095" i="2" s="1"/>
  <c r="J2096" i="2"/>
  <c r="K2096" i="2" s="1"/>
  <c r="J2097" i="2"/>
  <c r="K2097" i="2" s="1"/>
  <c r="J2098" i="2"/>
  <c r="K2098" i="2" s="1"/>
  <c r="J2099" i="2"/>
  <c r="K2099" i="2" s="1"/>
  <c r="J2100" i="2"/>
  <c r="K2100" i="2" s="1"/>
  <c r="J2101" i="2"/>
  <c r="K2101" i="2" s="1"/>
  <c r="J2102" i="2"/>
  <c r="K2102" i="2" s="1"/>
  <c r="J2103" i="2"/>
  <c r="K2103" i="2" s="1"/>
  <c r="J2104" i="2"/>
  <c r="K2104" i="2" s="1"/>
  <c r="J2105" i="2"/>
  <c r="K2105" i="2" s="1"/>
  <c r="J2106" i="2"/>
  <c r="K2106" i="2" s="1"/>
  <c r="J2107" i="2"/>
  <c r="K2107" i="2" s="1"/>
  <c r="J2108" i="2"/>
  <c r="K2108" i="2" s="1"/>
  <c r="J2109" i="2"/>
  <c r="K2109" i="2" s="1"/>
  <c r="J2110" i="2"/>
  <c r="K2110" i="2" s="1"/>
  <c r="J2111" i="2"/>
  <c r="K2111" i="2" s="1"/>
  <c r="J2112" i="2"/>
  <c r="K2112" i="2" s="1"/>
  <c r="J2113" i="2"/>
  <c r="K2113" i="2" s="1"/>
  <c r="J2114" i="2"/>
  <c r="K2114" i="2" s="1"/>
  <c r="J2115" i="2"/>
  <c r="K2115" i="2" s="1"/>
  <c r="J2116" i="2"/>
  <c r="K2116" i="2" s="1"/>
  <c r="J2117" i="2"/>
  <c r="K2117" i="2" s="1"/>
  <c r="J2118" i="2"/>
  <c r="K2118" i="2" s="1"/>
  <c r="J2119" i="2"/>
  <c r="K2119" i="2" s="1"/>
  <c r="J2120" i="2"/>
  <c r="K2120" i="2" s="1"/>
  <c r="J2121" i="2"/>
  <c r="K2121" i="2" s="1"/>
  <c r="J2122" i="2"/>
  <c r="K2122" i="2" s="1"/>
  <c r="J2123" i="2"/>
  <c r="K2123" i="2" s="1"/>
  <c r="J2124" i="2"/>
  <c r="K2124" i="2" s="1"/>
  <c r="J2125" i="2"/>
  <c r="K2125" i="2" s="1"/>
  <c r="J2126" i="2"/>
  <c r="K2126" i="2" s="1"/>
  <c r="J2127" i="2"/>
  <c r="K2127" i="2" s="1"/>
  <c r="J2128" i="2"/>
  <c r="K2128" i="2" s="1"/>
  <c r="J2129" i="2"/>
  <c r="K2129" i="2" s="1"/>
  <c r="J2130" i="2"/>
  <c r="K2130" i="2" s="1"/>
  <c r="J2131" i="2"/>
  <c r="K2131" i="2" s="1"/>
  <c r="J2132" i="2"/>
  <c r="K2132" i="2" s="1"/>
  <c r="J2133" i="2"/>
  <c r="K2133" i="2" s="1"/>
  <c r="J2134" i="2"/>
  <c r="K2134" i="2" s="1"/>
  <c r="J2135" i="2"/>
  <c r="K2135" i="2" s="1"/>
  <c r="J2136" i="2"/>
  <c r="K2136" i="2" s="1"/>
  <c r="J2137" i="2"/>
  <c r="K2137" i="2" s="1"/>
  <c r="J2138" i="2"/>
  <c r="K2138" i="2" s="1"/>
  <c r="J2139" i="2"/>
  <c r="K2139" i="2" s="1"/>
  <c r="J2140" i="2"/>
  <c r="K2140" i="2" s="1"/>
  <c r="J2141" i="2"/>
  <c r="K2141" i="2" s="1"/>
  <c r="J2142" i="2"/>
  <c r="K2142" i="2" s="1"/>
  <c r="J2143" i="2"/>
  <c r="K2143" i="2" s="1"/>
  <c r="J2144" i="2"/>
  <c r="K2144" i="2" s="1"/>
  <c r="J2145" i="2"/>
  <c r="K2145" i="2" s="1"/>
  <c r="J2146" i="2"/>
  <c r="K2146" i="2" s="1"/>
  <c r="J2147" i="2"/>
  <c r="K2147" i="2" s="1"/>
  <c r="J2148" i="2"/>
  <c r="K2148" i="2" s="1"/>
  <c r="J2149" i="2"/>
  <c r="K2149" i="2" s="1"/>
  <c r="J2150" i="2"/>
  <c r="K2150" i="2" s="1"/>
  <c r="J2151" i="2"/>
  <c r="K2151" i="2" s="1"/>
  <c r="J2152" i="2"/>
  <c r="K2152" i="2" s="1"/>
  <c r="J2153" i="2"/>
  <c r="K2153" i="2" s="1"/>
  <c r="J2154" i="2"/>
  <c r="K2154" i="2" s="1"/>
  <c r="J2155" i="2"/>
  <c r="K2155" i="2" s="1"/>
  <c r="J2156" i="2"/>
  <c r="K2156" i="2" s="1"/>
  <c r="J2157" i="2"/>
  <c r="K2157" i="2" s="1"/>
  <c r="J2158" i="2"/>
  <c r="K2158" i="2" s="1"/>
  <c r="J2159" i="2"/>
  <c r="K2159" i="2" s="1"/>
  <c r="J2160" i="2"/>
  <c r="K2160" i="2" s="1"/>
  <c r="J2161" i="2"/>
  <c r="K2161" i="2" s="1"/>
  <c r="J2162" i="2"/>
  <c r="K2162" i="2" s="1"/>
  <c r="J2163" i="2"/>
  <c r="K2163" i="2" s="1"/>
  <c r="J2164" i="2"/>
  <c r="K2164" i="2" s="1"/>
  <c r="J2165" i="2"/>
  <c r="K2165" i="2" s="1"/>
  <c r="J2166" i="2"/>
  <c r="K2166" i="2" s="1"/>
  <c r="J2167" i="2"/>
  <c r="K2167" i="2" s="1"/>
  <c r="J2168" i="2"/>
  <c r="K2168" i="2" s="1"/>
  <c r="J2169" i="2"/>
  <c r="K2169" i="2" s="1"/>
  <c r="J2170" i="2"/>
  <c r="K2170" i="2" s="1"/>
  <c r="J2171" i="2"/>
  <c r="K2171" i="2" s="1"/>
  <c r="J2172" i="2"/>
  <c r="K2172" i="2" s="1"/>
  <c r="J2173" i="2"/>
  <c r="K2173" i="2" s="1"/>
  <c r="J2174" i="2"/>
  <c r="K2174" i="2" s="1"/>
  <c r="J2175" i="2"/>
  <c r="K2175" i="2" s="1"/>
  <c r="J2176" i="2"/>
  <c r="K2176" i="2" s="1"/>
  <c r="J2177" i="2"/>
  <c r="K2177" i="2" s="1"/>
  <c r="J2178" i="2"/>
  <c r="K2178" i="2" s="1"/>
  <c r="J2179" i="2"/>
  <c r="K2179" i="2" s="1"/>
  <c r="J2180" i="2"/>
  <c r="K2180" i="2" s="1"/>
  <c r="J2181" i="2"/>
  <c r="K2181" i="2" s="1"/>
  <c r="J2182" i="2"/>
  <c r="K2182" i="2" s="1"/>
  <c r="J2183" i="2"/>
  <c r="K2183" i="2" s="1"/>
  <c r="J2184" i="2"/>
  <c r="K2184" i="2" s="1"/>
  <c r="J2185" i="2"/>
  <c r="K2185" i="2" s="1"/>
  <c r="J2186" i="2"/>
  <c r="K2186" i="2" s="1"/>
  <c r="J2187" i="2"/>
  <c r="K2187" i="2" s="1"/>
  <c r="J2188" i="2"/>
  <c r="K2188" i="2" s="1"/>
  <c r="J2189" i="2"/>
  <c r="K2189" i="2" s="1"/>
  <c r="J2190" i="2"/>
  <c r="K2190" i="2" s="1"/>
  <c r="J2191" i="2"/>
  <c r="K2191" i="2" s="1"/>
  <c r="J2192" i="2"/>
  <c r="K2192" i="2" s="1"/>
  <c r="J2193" i="2"/>
  <c r="K2193" i="2" s="1"/>
  <c r="J2194" i="2"/>
  <c r="K2194" i="2" s="1"/>
  <c r="J2195" i="2"/>
  <c r="K2195" i="2" s="1"/>
  <c r="J2196" i="2"/>
  <c r="K2196" i="2" s="1"/>
  <c r="J2197" i="2"/>
  <c r="K2197" i="2" s="1"/>
  <c r="J2198" i="2"/>
  <c r="K2198" i="2" s="1"/>
  <c r="J2199" i="2"/>
  <c r="K2199" i="2" s="1"/>
  <c r="J2200" i="2"/>
  <c r="K2200" i="2" s="1"/>
  <c r="J2201" i="2"/>
  <c r="K2201" i="2" s="1"/>
  <c r="J2202" i="2"/>
  <c r="K2202" i="2" s="1"/>
  <c r="J2203" i="2"/>
  <c r="K2203" i="2" s="1"/>
  <c r="J2204" i="2"/>
  <c r="K2204" i="2" s="1"/>
  <c r="J2205" i="2"/>
  <c r="K2205" i="2" s="1"/>
  <c r="J2206" i="2"/>
  <c r="K2206" i="2" s="1"/>
  <c r="J2207" i="2"/>
  <c r="K2207" i="2" s="1"/>
  <c r="J2208" i="2"/>
  <c r="K2208" i="2" s="1"/>
  <c r="J2209" i="2"/>
  <c r="K2209" i="2" s="1"/>
  <c r="J2210" i="2"/>
  <c r="K2210" i="2" s="1"/>
  <c r="J2211" i="2"/>
  <c r="K2211" i="2" s="1"/>
  <c r="J2212" i="2"/>
  <c r="K2212" i="2" s="1"/>
  <c r="J2213" i="2"/>
  <c r="K2213" i="2" s="1"/>
  <c r="J2214" i="2"/>
  <c r="K2214" i="2" s="1"/>
  <c r="J2215" i="2"/>
  <c r="K2215" i="2" s="1"/>
  <c r="J2216" i="2"/>
  <c r="K2216" i="2" s="1"/>
  <c r="J2217" i="2"/>
  <c r="K2217" i="2" s="1"/>
  <c r="J2218" i="2"/>
  <c r="K2218" i="2" s="1"/>
  <c r="J2219" i="2"/>
  <c r="K2219" i="2" s="1"/>
  <c r="J2220" i="2"/>
  <c r="K2220" i="2" s="1"/>
  <c r="J2221" i="2"/>
  <c r="K2221" i="2" s="1"/>
  <c r="J2222" i="2"/>
  <c r="K2222" i="2" s="1"/>
  <c r="J2223" i="2"/>
  <c r="K2223" i="2" s="1"/>
  <c r="J2224" i="2"/>
  <c r="K2224" i="2" s="1"/>
  <c r="J2225" i="2"/>
  <c r="K2225" i="2" s="1"/>
  <c r="J2226" i="2"/>
  <c r="K2226" i="2" s="1"/>
  <c r="J2227" i="2"/>
  <c r="K2227" i="2" s="1"/>
  <c r="J2228" i="2"/>
  <c r="K2228" i="2" s="1"/>
  <c r="J2229" i="2"/>
  <c r="K2229" i="2" s="1"/>
  <c r="J2230" i="2"/>
  <c r="K2230" i="2" s="1"/>
  <c r="J2231" i="2"/>
  <c r="K2231" i="2" s="1"/>
  <c r="J2232" i="2"/>
  <c r="K2232" i="2" s="1"/>
  <c r="J2233" i="2"/>
  <c r="K2233" i="2" s="1"/>
  <c r="J2234" i="2"/>
  <c r="K2234" i="2" s="1"/>
  <c r="J2235" i="2"/>
  <c r="K2235" i="2" s="1"/>
  <c r="J2236" i="2"/>
  <c r="K2236" i="2" s="1"/>
  <c r="J2237" i="2"/>
  <c r="K2237" i="2" s="1"/>
  <c r="J2238" i="2"/>
  <c r="K2238" i="2" s="1"/>
  <c r="J2239" i="2"/>
  <c r="K2239" i="2" s="1"/>
  <c r="J2240" i="2"/>
  <c r="K2240" i="2" s="1"/>
  <c r="J2241" i="2"/>
  <c r="K2241" i="2" s="1"/>
  <c r="J2242" i="2"/>
  <c r="K2242" i="2" s="1"/>
  <c r="J2243" i="2"/>
  <c r="K2243" i="2" s="1"/>
  <c r="J2244" i="2"/>
  <c r="K2244" i="2" s="1"/>
  <c r="J2245" i="2"/>
  <c r="K2245" i="2" s="1"/>
  <c r="J2246" i="2"/>
  <c r="K2246" i="2" s="1"/>
  <c r="J2247" i="2"/>
  <c r="K2247" i="2" s="1"/>
  <c r="J2248" i="2"/>
  <c r="K2248" i="2" s="1"/>
  <c r="J2249" i="2"/>
  <c r="K2249" i="2" s="1"/>
  <c r="J2250" i="2"/>
  <c r="K2250" i="2" s="1"/>
  <c r="J2251" i="2"/>
  <c r="K2251" i="2" s="1"/>
  <c r="J2252" i="2"/>
  <c r="K2252" i="2" s="1"/>
  <c r="J2253" i="2"/>
  <c r="K2253" i="2" s="1"/>
  <c r="J2254" i="2"/>
  <c r="K2254" i="2" s="1"/>
  <c r="J2255" i="2"/>
  <c r="K2255" i="2" s="1"/>
  <c r="J2256" i="2"/>
  <c r="K2256" i="2" s="1"/>
  <c r="J2257" i="2"/>
  <c r="K2257" i="2" s="1"/>
  <c r="J2258" i="2"/>
  <c r="K2258" i="2" s="1"/>
  <c r="J2259" i="2"/>
  <c r="K2259" i="2" s="1"/>
  <c r="J2260" i="2"/>
  <c r="K2260" i="2" s="1"/>
  <c r="J2261" i="2"/>
  <c r="K2261" i="2" s="1"/>
  <c r="J2262" i="2"/>
  <c r="K2262" i="2" s="1"/>
  <c r="J2263" i="2"/>
  <c r="K2263" i="2" s="1"/>
  <c r="J2264" i="2"/>
  <c r="K2264" i="2" s="1"/>
  <c r="J2265" i="2"/>
  <c r="K2265" i="2" s="1"/>
  <c r="J2266" i="2"/>
  <c r="K2266" i="2" s="1"/>
  <c r="J2267" i="2"/>
  <c r="K2267" i="2" s="1"/>
  <c r="J2268" i="2"/>
  <c r="K2268" i="2" s="1"/>
  <c r="J2269" i="2"/>
  <c r="K2269" i="2" s="1"/>
  <c r="J2270" i="2"/>
  <c r="K2270" i="2" s="1"/>
  <c r="J2271" i="2"/>
  <c r="K2271" i="2" s="1"/>
  <c r="J2272" i="2"/>
  <c r="K2272" i="2" s="1"/>
  <c r="J2273" i="2"/>
  <c r="K2273" i="2" s="1"/>
  <c r="J2274" i="2"/>
  <c r="K2274" i="2" s="1"/>
  <c r="J2275" i="2"/>
  <c r="K2275" i="2" s="1"/>
  <c r="J2276" i="2"/>
  <c r="K2276" i="2" s="1"/>
  <c r="J2277" i="2"/>
  <c r="K2277" i="2" s="1"/>
  <c r="J2278" i="2"/>
  <c r="K2278" i="2" s="1"/>
  <c r="J2279" i="2"/>
  <c r="K2279" i="2" s="1"/>
  <c r="J2280" i="2"/>
  <c r="K2280" i="2" s="1"/>
  <c r="J2281" i="2"/>
  <c r="K2281" i="2" s="1"/>
  <c r="J2282" i="2"/>
  <c r="K2282" i="2" s="1"/>
  <c r="J2283" i="2"/>
  <c r="K2283" i="2" s="1"/>
  <c r="J2284" i="2"/>
  <c r="K2284" i="2" s="1"/>
  <c r="J2285" i="2"/>
  <c r="K2285" i="2" s="1"/>
  <c r="J2286" i="2"/>
  <c r="K2286" i="2" s="1"/>
  <c r="J2287" i="2"/>
  <c r="K2287" i="2" s="1"/>
  <c r="J2288" i="2"/>
  <c r="K2288" i="2" s="1"/>
  <c r="J2289" i="2"/>
  <c r="K2289" i="2" s="1"/>
  <c r="J2290" i="2"/>
  <c r="K2290" i="2" s="1"/>
  <c r="J2291" i="2"/>
  <c r="K2291" i="2" s="1"/>
  <c r="J2292" i="2"/>
  <c r="K2292" i="2" s="1"/>
  <c r="J2293" i="2"/>
  <c r="K2293" i="2" s="1"/>
  <c r="J2294" i="2"/>
  <c r="K2294" i="2" s="1"/>
  <c r="J2295" i="2"/>
  <c r="K2295" i="2" s="1"/>
  <c r="J2296" i="2"/>
  <c r="K2296" i="2" s="1"/>
  <c r="J2297" i="2"/>
  <c r="K2297" i="2" s="1"/>
  <c r="J2298" i="2"/>
  <c r="K2298" i="2" s="1"/>
  <c r="J2299" i="2"/>
  <c r="K2299" i="2" s="1"/>
  <c r="J2300" i="2"/>
  <c r="K2300" i="2" s="1"/>
  <c r="J2301" i="2"/>
  <c r="K2301" i="2" s="1"/>
  <c r="J2302" i="2"/>
  <c r="K2302" i="2" s="1"/>
  <c r="J2303" i="2"/>
  <c r="K2303" i="2" s="1"/>
  <c r="J2304" i="2"/>
  <c r="K2304" i="2" s="1"/>
  <c r="J2305" i="2"/>
  <c r="K2305" i="2" s="1"/>
  <c r="J2306" i="2"/>
  <c r="K2306" i="2" s="1"/>
  <c r="J2307" i="2"/>
  <c r="K2307" i="2" s="1"/>
  <c r="J2308" i="2"/>
  <c r="K2308" i="2" s="1"/>
  <c r="J2309" i="2"/>
  <c r="K2309" i="2" s="1"/>
  <c r="J2310" i="2"/>
  <c r="K2310" i="2" s="1"/>
  <c r="J2311" i="2"/>
  <c r="K2311" i="2" s="1"/>
  <c r="J2312" i="2"/>
  <c r="K2312" i="2" s="1"/>
  <c r="J2313" i="2"/>
  <c r="K2313" i="2" s="1"/>
  <c r="J2314" i="2"/>
  <c r="K2314" i="2" s="1"/>
  <c r="J2315" i="2"/>
  <c r="K2315" i="2" s="1"/>
  <c r="J2316" i="2"/>
  <c r="K2316" i="2" s="1"/>
  <c r="J2317" i="2"/>
  <c r="K2317" i="2" s="1"/>
  <c r="J2318" i="2"/>
  <c r="K2318" i="2" s="1"/>
  <c r="J2319" i="2"/>
  <c r="K2319" i="2" s="1"/>
  <c r="J2320" i="2"/>
  <c r="K2320" i="2" s="1"/>
  <c r="J2321" i="2"/>
  <c r="K2321" i="2" s="1"/>
  <c r="J2322" i="2"/>
  <c r="K2322" i="2" s="1"/>
  <c r="J2323" i="2"/>
  <c r="K2323" i="2" s="1"/>
  <c r="J2324" i="2"/>
  <c r="K2324" i="2" s="1"/>
  <c r="J2325" i="2"/>
  <c r="K2325" i="2" s="1"/>
  <c r="J2326" i="2"/>
  <c r="K2326" i="2" s="1"/>
  <c r="J2327" i="2"/>
  <c r="K2327" i="2" s="1"/>
  <c r="J2328" i="2"/>
  <c r="K2328" i="2" s="1"/>
  <c r="J2329" i="2"/>
  <c r="K2329" i="2" s="1"/>
  <c r="J2330" i="2"/>
  <c r="K2330" i="2" s="1"/>
  <c r="J2331" i="2"/>
  <c r="K2331" i="2" s="1"/>
  <c r="J2332" i="2"/>
  <c r="K2332" i="2" s="1"/>
  <c r="J2333" i="2"/>
  <c r="K2333" i="2" s="1"/>
  <c r="J2334" i="2"/>
  <c r="K2334" i="2" s="1"/>
  <c r="J2335" i="2"/>
  <c r="K2335" i="2" s="1"/>
  <c r="J2336" i="2"/>
  <c r="K2336" i="2" s="1"/>
  <c r="J2337" i="2"/>
  <c r="K2337" i="2" s="1"/>
  <c r="J2338" i="2"/>
  <c r="K2338" i="2" s="1"/>
  <c r="J2339" i="2"/>
  <c r="K2339" i="2" s="1"/>
  <c r="J2340" i="2"/>
  <c r="K2340" i="2" s="1"/>
  <c r="J2341" i="2"/>
  <c r="K2341" i="2" s="1"/>
  <c r="J2342" i="2"/>
  <c r="K2342" i="2" s="1"/>
  <c r="J2343" i="2"/>
  <c r="K2343" i="2" s="1"/>
  <c r="J2344" i="2"/>
  <c r="K2344" i="2" s="1"/>
  <c r="J2345" i="2"/>
  <c r="K2345" i="2" s="1"/>
  <c r="J2346" i="2"/>
  <c r="K2346" i="2" s="1"/>
  <c r="J2347" i="2"/>
  <c r="K2347" i="2" s="1"/>
  <c r="J2348" i="2"/>
  <c r="K2348" i="2" s="1"/>
  <c r="J2349" i="2"/>
  <c r="K2349" i="2" s="1"/>
  <c r="J2350" i="2"/>
  <c r="K2350" i="2" s="1"/>
  <c r="J2351" i="2"/>
  <c r="K2351" i="2" s="1"/>
  <c r="J2352" i="2"/>
  <c r="K2352" i="2" s="1"/>
  <c r="J2353" i="2"/>
  <c r="K2353" i="2" s="1"/>
  <c r="J2354" i="2"/>
  <c r="K2354" i="2" s="1"/>
  <c r="J2355" i="2"/>
  <c r="K2355" i="2" s="1"/>
  <c r="J2356" i="2"/>
  <c r="K2356" i="2" s="1"/>
  <c r="J2357" i="2"/>
  <c r="K2357" i="2" s="1"/>
  <c r="J2358" i="2"/>
  <c r="K2358" i="2" s="1"/>
  <c r="J2359" i="2"/>
  <c r="K2359" i="2" s="1"/>
  <c r="J2360" i="2"/>
  <c r="K2360" i="2" s="1"/>
  <c r="J2361" i="2"/>
  <c r="K2361" i="2" s="1"/>
  <c r="J2362" i="2"/>
  <c r="K2362" i="2" s="1"/>
  <c r="J2363" i="2"/>
  <c r="K2363" i="2" s="1"/>
  <c r="J2364" i="2"/>
  <c r="K2364" i="2" s="1"/>
  <c r="J2365" i="2"/>
  <c r="K2365" i="2" s="1"/>
  <c r="J2366" i="2"/>
  <c r="K2366" i="2" s="1"/>
  <c r="J2367" i="2"/>
  <c r="K2367" i="2" s="1"/>
  <c r="J2368" i="2"/>
  <c r="K2368" i="2" s="1"/>
  <c r="J2369" i="2"/>
  <c r="K2369" i="2" s="1"/>
  <c r="J2370" i="2"/>
  <c r="K2370" i="2" s="1"/>
  <c r="J2371" i="2"/>
  <c r="K2371" i="2" s="1"/>
  <c r="J2372" i="2"/>
  <c r="K2372" i="2" s="1"/>
  <c r="J2373" i="2"/>
  <c r="K2373" i="2" s="1"/>
  <c r="J2374" i="2"/>
  <c r="K2374" i="2" s="1"/>
  <c r="J2375" i="2"/>
  <c r="K2375" i="2" s="1"/>
  <c r="J2376" i="2"/>
  <c r="K2376" i="2" s="1"/>
  <c r="J2377" i="2"/>
  <c r="K2377" i="2" s="1"/>
  <c r="J2378" i="2"/>
  <c r="K2378" i="2" s="1"/>
  <c r="J2379" i="2"/>
  <c r="K2379" i="2" s="1"/>
  <c r="J2380" i="2"/>
  <c r="K2380" i="2" s="1"/>
  <c r="J2381" i="2"/>
  <c r="K2381" i="2" s="1"/>
  <c r="J2382" i="2"/>
  <c r="K2382" i="2" s="1"/>
  <c r="J2383" i="2"/>
  <c r="K2383" i="2" s="1"/>
  <c r="J2384" i="2"/>
  <c r="K2384" i="2" s="1"/>
  <c r="J2385" i="2"/>
  <c r="K2385" i="2" s="1"/>
  <c r="J2386" i="2"/>
  <c r="K2386" i="2" s="1"/>
  <c r="J2387" i="2"/>
  <c r="K2387" i="2" s="1"/>
  <c r="J2388" i="2"/>
  <c r="K2388" i="2" s="1"/>
  <c r="J2389" i="2"/>
  <c r="K2389" i="2" s="1"/>
  <c r="J2390" i="2"/>
  <c r="K2390" i="2" s="1"/>
  <c r="J2391" i="2"/>
  <c r="K2391" i="2" s="1"/>
  <c r="J2392" i="2"/>
  <c r="K2392" i="2" s="1"/>
  <c r="J2393" i="2"/>
  <c r="K2393" i="2" s="1"/>
  <c r="J2394" i="2"/>
  <c r="K2394" i="2" s="1"/>
  <c r="J2395" i="2"/>
  <c r="K2395" i="2" s="1"/>
  <c r="J2396" i="2"/>
  <c r="K2396" i="2" s="1"/>
  <c r="J2397" i="2"/>
  <c r="K2397" i="2" s="1"/>
  <c r="J2398" i="2"/>
  <c r="K2398" i="2" s="1"/>
  <c r="J2399" i="2"/>
  <c r="K2399" i="2" s="1"/>
  <c r="J2400" i="2"/>
  <c r="K2400" i="2" s="1"/>
  <c r="J2401" i="2"/>
  <c r="K2401" i="2" s="1"/>
  <c r="J2402" i="2"/>
  <c r="K2402" i="2" s="1"/>
  <c r="J2403" i="2"/>
  <c r="K2403" i="2" s="1"/>
  <c r="J2404" i="2"/>
  <c r="K2404" i="2" s="1"/>
  <c r="J2405" i="2"/>
  <c r="K2405" i="2" s="1"/>
  <c r="J2406" i="2"/>
  <c r="K2406" i="2" s="1"/>
  <c r="J2407" i="2"/>
  <c r="K2407" i="2" s="1"/>
  <c r="J2408" i="2"/>
  <c r="K2408" i="2" s="1"/>
  <c r="J2409" i="2"/>
  <c r="K2409" i="2" s="1"/>
  <c r="J2410" i="2"/>
  <c r="K2410" i="2" s="1"/>
  <c r="J2411" i="2"/>
  <c r="K2411" i="2" s="1"/>
  <c r="J2412" i="2"/>
  <c r="K2412" i="2" s="1"/>
  <c r="J2413" i="2"/>
  <c r="K2413" i="2" s="1"/>
  <c r="J2414" i="2"/>
  <c r="K2414" i="2" s="1"/>
  <c r="J2415" i="2"/>
  <c r="K2415" i="2" s="1"/>
  <c r="J2416" i="2"/>
  <c r="K2416" i="2" s="1"/>
  <c r="J2417" i="2"/>
  <c r="K2417" i="2" s="1"/>
  <c r="J2418" i="2"/>
  <c r="K2418" i="2" s="1"/>
  <c r="J2419" i="2"/>
  <c r="K2419" i="2" s="1"/>
  <c r="J2420" i="2"/>
  <c r="K2420" i="2" s="1"/>
  <c r="J2421" i="2"/>
  <c r="K2421" i="2" s="1"/>
  <c r="J2422" i="2"/>
  <c r="K2422" i="2" s="1"/>
  <c r="J2423" i="2"/>
  <c r="K2423" i="2" s="1"/>
  <c r="J2424" i="2"/>
  <c r="K2424" i="2" s="1"/>
  <c r="J2425" i="2"/>
  <c r="K2425" i="2" s="1"/>
  <c r="J2426" i="2"/>
  <c r="K2426" i="2" s="1"/>
  <c r="J2427" i="2"/>
  <c r="K2427" i="2" s="1"/>
  <c r="J2428" i="2"/>
  <c r="K2428" i="2" s="1"/>
  <c r="J2429" i="2"/>
  <c r="K2429" i="2" s="1"/>
  <c r="J2430" i="2"/>
  <c r="K2430" i="2" s="1"/>
  <c r="J2431" i="2"/>
  <c r="K2431" i="2" s="1"/>
  <c r="J2432" i="2"/>
  <c r="K2432" i="2" s="1"/>
  <c r="J2433" i="2"/>
  <c r="K2433" i="2" s="1"/>
  <c r="J2434" i="2"/>
  <c r="K2434" i="2" s="1"/>
  <c r="J2435" i="2"/>
  <c r="K2435" i="2" s="1"/>
  <c r="J2436" i="2"/>
  <c r="K2436" i="2" s="1"/>
  <c r="J2437" i="2"/>
  <c r="K2437" i="2" s="1"/>
  <c r="J2438" i="2"/>
  <c r="K2438" i="2" s="1"/>
  <c r="J2439" i="2"/>
  <c r="K2439" i="2" s="1"/>
  <c r="J2440" i="2"/>
  <c r="K2440" i="2" s="1"/>
  <c r="J2441" i="2"/>
  <c r="K2441" i="2" s="1"/>
  <c r="J2442" i="2"/>
  <c r="K2442" i="2" s="1"/>
  <c r="J2443" i="2"/>
  <c r="K2443" i="2" s="1"/>
  <c r="J2444" i="2"/>
  <c r="K2444" i="2" s="1"/>
  <c r="J2445" i="2"/>
  <c r="K2445" i="2" s="1"/>
  <c r="J2446" i="2"/>
  <c r="K2446" i="2" s="1"/>
  <c r="J2447" i="2"/>
  <c r="K2447" i="2" s="1"/>
  <c r="J2448" i="2"/>
  <c r="K2448" i="2" s="1"/>
  <c r="J2449" i="2"/>
  <c r="K2449" i="2" s="1"/>
  <c r="J2450" i="2"/>
  <c r="K2450" i="2" s="1"/>
  <c r="J2451" i="2"/>
  <c r="K2451" i="2" s="1"/>
  <c r="J2452" i="2"/>
  <c r="K2452" i="2" s="1"/>
  <c r="J2453" i="2"/>
  <c r="K2453" i="2" s="1"/>
  <c r="J2454" i="2"/>
  <c r="K2454" i="2" s="1"/>
  <c r="J2455" i="2"/>
  <c r="K2455" i="2" s="1"/>
  <c r="J2456" i="2"/>
  <c r="K2456" i="2" s="1"/>
  <c r="J2457" i="2"/>
  <c r="K2457" i="2" s="1"/>
  <c r="J2458" i="2"/>
  <c r="K2458" i="2" s="1"/>
  <c r="J2459" i="2"/>
  <c r="K2459" i="2" s="1"/>
  <c r="J2460" i="2"/>
  <c r="K2460" i="2" s="1"/>
  <c r="J2461" i="2"/>
  <c r="K2461" i="2" s="1"/>
  <c r="J2462" i="2"/>
  <c r="K2462" i="2" s="1"/>
  <c r="J2463" i="2"/>
  <c r="K2463" i="2" s="1"/>
  <c r="J2464" i="2"/>
  <c r="K2464" i="2" s="1"/>
  <c r="J2465" i="2"/>
  <c r="K2465" i="2" s="1"/>
  <c r="J2466" i="2"/>
  <c r="K2466" i="2" s="1"/>
  <c r="J2467" i="2"/>
  <c r="K2467" i="2" s="1"/>
  <c r="J2468" i="2"/>
  <c r="K2468" i="2" s="1"/>
  <c r="J2469" i="2"/>
  <c r="K2469" i="2" s="1"/>
  <c r="J2470" i="2"/>
  <c r="K2470" i="2" s="1"/>
  <c r="J2471" i="2"/>
  <c r="K2471" i="2" s="1"/>
  <c r="J2472" i="2"/>
  <c r="K2472" i="2" s="1"/>
  <c r="J2473" i="2"/>
  <c r="K2473" i="2" s="1"/>
  <c r="J2474" i="2"/>
  <c r="K2474" i="2" s="1"/>
  <c r="J2475" i="2"/>
  <c r="K2475" i="2" s="1"/>
  <c r="J2476" i="2"/>
  <c r="K2476" i="2" s="1"/>
  <c r="J2477" i="2"/>
  <c r="K2477" i="2" s="1"/>
  <c r="J2478" i="2"/>
  <c r="K2478" i="2" s="1"/>
  <c r="J2479" i="2"/>
  <c r="K2479" i="2" s="1"/>
  <c r="J2480" i="2"/>
  <c r="K2480" i="2" s="1"/>
  <c r="J2481" i="2"/>
  <c r="K2481" i="2" s="1"/>
  <c r="J2482" i="2"/>
  <c r="K2482" i="2" s="1"/>
  <c r="J2483" i="2"/>
  <c r="K2483" i="2" s="1"/>
  <c r="J2484" i="2"/>
  <c r="K2484" i="2" s="1"/>
  <c r="J2485" i="2"/>
  <c r="K2485" i="2" s="1"/>
  <c r="J2486" i="2"/>
  <c r="K2486" i="2" s="1"/>
  <c r="J2487" i="2"/>
  <c r="K2487" i="2" s="1"/>
  <c r="J2488" i="2"/>
  <c r="K2488" i="2" s="1"/>
  <c r="J2489" i="2"/>
  <c r="K2489" i="2" s="1"/>
  <c r="J2490" i="2"/>
  <c r="K2490" i="2" s="1"/>
  <c r="J2491" i="2"/>
  <c r="K2491" i="2" s="1"/>
  <c r="J2492" i="2"/>
  <c r="K2492" i="2" s="1"/>
  <c r="J2493" i="2"/>
  <c r="K2493" i="2" s="1"/>
  <c r="J2494" i="2"/>
  <c r="K2494" i="2" s="1"/>
  <c r="J2495" i="2"/>
  <c r="K2495" i="2" s="1"/>
  <c r="J2496" i="2"/>
  <c r="K2496" i="2" s="1"/>
  <c r="J2497" i="2"/>
  <c r="K2497" i="2" s="1"/>
  <c r="J2498" i="2"/>
  <c r="K2498" i="2" s="1"/>
  <c r="J2499" i="2"/>
  <c r="K2499" i="2" s="1"/>
  <c r="J2500" i="2"/>
  <c r="K2500" i="2" s="1"/>
  <c r="J2501" i="2"/>
  <c r="K2501" i="2" s="1"/>
  <c r="J2502" i="2"/>
  <c r="K2502" i="2" s="1"/>
  <c r="J2503" i="2"/>
  <c r="K2503" i="2" s="1"/>
  <c r="J2504" i="2"/>
  <c r="K2504" i="2" s="1"/>
  <c r="J2505" i="2"/>
  <c r="K2505" i="2" s="1"/>
  <c r="J2506" i="2"/>
  <c r="K2506" i="2" s="1"/>
  <c r="J2507" i="2"/>
  <c r="K2507" i="2" s="1"/>
  <c r="J2508" i="2"/>
  <c r="K2508" i="2" s="1"/>
  <c r="J2509" i="2"/>
  <c r="K2509" i="2" s="1"/>
  <c r="J2510" i="2"/>
  <c r="K2510" i="2" s="1"/>
  <c r="J2511" i="2"/>
  <c r="K2511" i="2" s="1"/>
  <c r="J2512" i="2"/>
  <c r="K2512" i="2" s="1"/>
  <c r="J2513" i="2"/>
  <c r="K2513" i="2" s="1"/>
  <c r="J2514" i="2"/>
  <c r="K2514" i="2" s="1"/>
  <c r="J2515" i="2"/>
  <c r="K2515" i="2" s="1"/>
  <c r="J2516" i="2"/>
  <c r="K2516" i="2" s="1"/>
  <c r="J2517" i="2"/>
  <c r="K2517" i="2" s="1"/>
  <c r="J2518" i="2"/>
  <c r="K2518" i="2" s="1"/>
  <c r="J2519" i="2"/>
  <c r="K2519" i="2" s="1"/>
  <c r="J2520" i="2"/>
  <c r="K2520" i="2" s="1"/>
  <c r="J2521" i="2"/>
  <c r="K2521" i="2" s="1"/>
  <c r="J2522" i="2"/>
  <c r="K2522" i="2" s="1"/>
  <c r="J2523" i="2"/>
  <c r="K2523" i="2" s="1"/>
  <c r="J2524" i="2"/>
  <c r="K2524" i="2" s="1"/>
  <c r="J2525" i="2"/>
  <c r="K2525" i="2" s="1"/>
  <c r="J2526" i="2"/>
  <c r="K2526" i="2" s="1"/>
  <c r="J2527" i="2"/>
  <c r="K2527" i="2" s="1"/>
  <c r="J2528" i="2"/>
  <c r="K2528" i="2" s="1"/>
  <c r="J2529" i="2"/>
  <c r="K2529" i="2" s="1"/>
  <c r="J2530" i="2"/>
  <c r="K2530" i="2" s="1"/>
  <c r="J2531" i="2"/>
  <c r="K2531" i="2" s="1"/>
  <c r="J2532" i="2"/>
  <c r="K2532" i="2" s="1"/>
  <c r="J2533" i="2"/>
  <c r="K2533" i="2" s="1"/>
  <c r="J2534" i="2"/>
  <c r="K2534" i="2" s="1"/>
  <c r="J2535" i="2"/>
  <c r="K2535" i="2" s="1"/>
  <c r="J2536" i="2"/>
  <c r="K2536" i="2" s="1"/>
  <c r="J2537" i="2"/>
  <c r="K2537" i="2" s="1"/>
  <c r="J2538" i="2"/>
  <c r="K2538" i="2" s="1"/>
  <c r="J2539" i="2"/>
  <c r="K2539" i="2" s="1"/>
  <c r="J2540" i="2"/>
  <c r="K2540" i="2" s="1"/>
  <c r="J2541" i="2"/>
  <c r="K2541" i="2" s="1"/>
  <c r="J2542" i="2"/>
  <c r="K2542" i="2" s="1"/>
  <c r="J2543" i="2"/>
  <c r="K2543" i="2" s="1"/>
  <c r="J2544" i="2"/>
  <c r="K2544" i="2" s="1"/>
  <c r="J2545" i="2"/>
  <c r="K2545" i="2" s="1"/>
  <c r="J2546" i="2"/>
  <c r="K2546" i="2" s="1"/>
  <c r="J2547" i="2"/>
  <c r="K2547" i="2" s="1"/>
  <c r="J2548" i="2"/>
  <c r="K2548" i="2" s="1"/>
  <c r="J2549" i="2"/>
  <c r="K2549" i="2" s="1"/>
  <c r="J2550" i="2"/>
  <c r="K2550" i="2" s="1"/>
  <c r="J2551" i="2"/>
  <c r="K2551" i="2" s="1"/>
  <c r="J2552" i="2"/>
  <c r="K2552" i="2" s="1"/>
  <c r="J2553" i="2"/>
  <c r="K2553" i="2" s="1"/>
  <c r="J2554" i="2"/>
  <c r="K2554" i="2" s="1"/>
  <c r="J2555" i="2"/>
  <c r="K2555" i="2" s="1"/>
  <c r="J2556" i="2"/>
  <c r="K2556" i="2" s="1"/>
  <c r="J2557" i="2"/>
  <c r="K2557" i="2" s="1"/>
  <c r="J2558" i="2"/>
  <c r="K2558" i="2" s="1"/>
  <c r="J2559" i="2"/>
  <c r="K2559" i="2" s="1"/>
  <c r="J2560" i="2"/>
  <c r="K2560" i="2" s="1"/>
  <c r="J2561" i="2"/>
  <c r="K2561" i="2" s="1"/>
  <c r="J2562" i="2"/>
  <c r="K2562" i="2" s="1"/>
  <c r="J2563" i="2"/>
  <c r="K2563" i="2" s="1"/>
  <c r="J2564" i="2"/>
  <c r="K2564" i="2" s="1"/>
  <c r="J2565" i="2"/>
  <c r="K2565" i="2" s="1"/>
  <c r="J2566" i="2"/>
  <c r="K2566" i="2" s="1"/>
  <c r="J2567" i="2"/>
  <c r="K2567" i="2" s="1"/>
  <c r="J2568" i="2"/>
  <c r="K2568" i="2" s="1"/>
  <c r="J2569" i="2"/>
  <c r="K2569" i="2" s="1"/>
  <c r="J2570" i="2"/>
  <c r="K2570" i="2" s="1"/>
  <c r="J2571" i="2"/>
  <c r="K2571" i="2" s="1"/>
  <c r="J2572" i="2"/>
  <c r="K2572" i="2" s="1"/>
  <c r="J2573" i="2"/>
  <c r="K2573" i="2" s="1"/>
  <c r="J2574" i="2"/>
  <c r="K2574" i="2" s="1"/>
  <c r="J2575" i="2"/>
  <c r="K2575" i="2" s="1"/>
  <c r="J2576" i="2"/>
  <c r="K2576" i="2" s="1"/>
  <c r="J2577" i="2"/>
  <c r="K2577" i="2" s="1"/>
  <c r="J2578" i="2"/>
  <c r="K2578" i="2" s="1"/>
  <c r="J2579" i="2"/>
  <c r="K2579" i="2" s="1"/>
  <c r="J2580" i="2"/>
  <c r="K2580" i="2" s="1"/>
  <c r="J2581" i="2"/>
  <c r="K2581" i="2" s="1"/>
  <c r="J2582" i="2"/>
  <c r="K2582" i="2" s="1"/>
  <c r="J2583" i="2"/>
  <c r="K2583" i="2" s="1"/>
  <c r="J2584" i="2"/>
  <c r="K2584" i="2" s="1"/>
  <c r="J2585" i="2"/>
  <c r="K2585" i="2" s="1"/>
  <c r="J2586" i="2"/>
  <c r="K2586" i="2" s="1"/>
  <c r="J2587" i="2"/>
  <c r="K2587" i="2" s="1"/>
  <c r="J2588" i="2"/>
  <c r="K2588" i="2" s="1"/>
  <c r="J2589" i="2"/>
  <c r="K2589" i="2" s="1"/>
  <c r="J2590" i="2"/>
  <c r="K2590" i="2" s="1"/>
  <c r="J2591" i="2"/>
  <c r="K2591" i="2" s="1"/>
  <c r="J2592" i="2"/>
  <c r="K2592" i="2" s="1"/>
  <c r="J2593" i="2"/>
  <c r="K2593" i="2" s="1"/>
  <c r="J2594" i="2"/>
  <c r="K2594" i="2" s="1"/>
  <c r="J2595" i="2"/>
  <c r="K2595" i="2" s="1"/>
  <c r="J2596" i="2"/>
  <c r="K2596" i="2" s="1"/>
  <c r="J2597" i="2"/>
  <c r="K2597" i="2" s="1"/>
  <c r="J2598" i="2"/>
  <c r="K2598" i="2" s="1"/>
  <c r="J2599" i="2"/>
  <c r="K2599" i="2" s="1"/>
  <c r="J2600" i="2"/>
  <c r="K2600" i="2" s="1"/>
  <c r="J2601" i="2"/>
  <c r="K2601" i="2" s="1"/>
  <c r="J2602" i="2"/>
  <c r="K2602" i="2" s="1"/>
  <c r="J2603" i="2"/>
  <c r="K2603" i="2" s="1"/>
  <c r="J2604" i="2"/>
  <c r="K2604" i="2" s="1"/>
  <c r="J2605" i="2"/>
  <c r="K2605" i="2" s="1"/>
  <c r="J2606" i="2"/>
  <c r="K2606" i="2" s="1"/>
  <c r="J2607" i="2"/>
  <c r="K2607" i="2" s="1"/>
  <c r="J2608" i="2"/>
  <c r="K2608" i="2" s="1"/>
  <c r="J2609" i="2"/>
  <c r="K2609" i="2" s="1"/>
  <c r="J2610" i="2"/>
  <c r="K2610" i="2" s="1"/>
  <c r="J2611" i="2"/>
  <c r="K2611" i="2" s="1"/>
  <c r="J2612" i="2"/>
  <c r="K2612" i="2" s="1"/>
  <c r="J2613" i="2"/>
  <c r="K2613" i="2" s="1"/>
  <c r="J2614" i="2"/>
  <c r="K2614" i="2" s="1"/>
  <c r="J2615" i="2"/>
  <c r="K2615" i="2" s="1"/>
  <c r="J2616" i="2"/>
  <c r="K2616" i="2" s="1"/>
  <c r="J2617" i="2"/>
  <c r="K2617" i="2" s="1"/>
  <c r="J2618" i="2"/>
  <c r="K2618" i="2" s="1"/>
  <c r="J2619" i="2"/>
  <c r="K2619" i="2" s="1"/>
  <c r="J2620" i="2"/>
  <c r="K2620" i="2" s="1"/>
  <c r="J2621" i="2"/>
  <c r="K2621" i="2" s="1"/>
  <c r="J2622" i="2"/>
  <c r="K2622" i="2" s="1"/>
  <c r="J2623" i="2"/>
  <c r="K2623" i="2" s="1"/>
  <c r="J2624" i="2"/>
  <c r="K2624" i="2" s="1"/>
  <c r="J2625" i="2"/>
  <c r="K2625" i="2" s="1"/>
  <c r="J2626" i="2"/>
  <c r="K2626" i="2" s="1"/>
  <c r="J2627" i="2"/>
  <c r="K2627" i="2" s="1"/>
  <c r="J2628" i="2"/>
  <c r="K2628" i="2" s="1"/>
  <c r="J2629" i="2"/>
  <c r="K2629" i="2" s="1"/>
  <c r="J2630" i="2"/>
  <c r="K2630" i="2" s="1"/>
  <c r="J2631" i="2"/>
  <c r="K2631" i="2" s="1"/>
  <c r="J2632" i="2"/>
  <c r="K2632" i="2" s="1"/>
  <c r="J2633" i="2"/>
  <c r="K2633" i="2" s="1"/>
  <c r="J2634" i="2"/>
  <c r="K2634" i="2" s="1"/>
  <c r="J2635" i="2"/>
  <c r="K2635" i="2" s="1"/>
  <c r="J2636" i="2"/>
  <c r="K2636" i="2" s="1"/>
  <c r="J2637" i="2"/>
  <c r="K2637" i="2" s="1"/>
  <c r="J2638" i="2"/>
  <c r="K2638" i="2" s="1"/>
  <c r="J2639" i="2"/>
  <c r="K2639" i="2" s="1"/>
  <c r="J2640" i="2"/>
  <c r="K2640" i="2" s="1"/>
  <c r="J2641" i="2"/>
  <c r="K2641" i="2" s="1"/>
  <c r="J2642" i="2"/>
  <c r="K2642" i="2" s="1"/>
  <c r="J2643" i="2"/>
  <c r="K2643" i="2" s="1"/>
  <c r="J2644" i="2"/>
  <c r="K2644" i="2" s="1"/>
  <c r="J2645" i="2"/>
  <c r="K2645" i="2" s="1"/>
  <c r="J2646" i="2"/>
  <c r="K2646" i="2" s="1"/>
  <c r="J2647" i="2"/>
  <c r="K2647" i="2" s="1"/>
  <c r="J2648" i="2"/>
  <c r="K2648" i="2" s="1"/>
  <c r="J2649" i="2"/>
  <c r="K2649" i="2" s="1"/>
  <c r="J2650" i="2"/>
  <c r="K2650" i="2" s="1"/>
  <c r="J2651" i="2"/>
  <c r="K2651" i="2" s="1"/>
  <c r="J2652" i="2"/>
  <c r="K2652" i="2" s="1"/>
  <c r="J2653" i="2"/>
  <c r="K2653" i="2" s="1"/>
  <c r="J2654" i="2"/>
  <c r="K2654" i="2" s="1"/>
  <c r="J2655" i="2"/>
  <c r="K2655" i="2" s="1"/>
  <c r="J2656" i="2"/>
  <c r="K2656" i="2" s="1"/>
  <c r="J2657" i="2"/>
  <c r="K2657" i="2" s="1"/>
  <c r="J2658" i="2"/>
  <c r="K2658" i="2" s="1"/>
  <c r="J2659" i="2"/>
  <c r="K2659" i="2" s="1"/>
  <c r="J2660" i="2"/>
  <c r="K2660" i="2" s="1"/>
  <c r="J2661" i="2"/>
  <c r="K2661" i="2" s="1"/>
  <c r="J2662" i="2"/>
  <c r="K2662" i="2" s="1"/>
  <c r="J2663" i="2"/>
  <c r="K2663" i="2" s="1"/>
  <c r="J2664" i="2"/>
  <c r="K2664" i="2" s="1"/>
  <c r="J2665" i="2"/>
  <c r="K2665" i="2" s="1"/>
  <c r="J2666" i="2"/>
  <c r="K2666" i="2" s="1"/>
  <c r="J2667" i="2"/>
  <c r="K2667" i="2" s="1"/>
  <c r="J2668" i="2"/>
  <c r="K2668" i="2" s="1"/>
  <c r="J2669" i="2"/>
  <c r="K2669" i="2" s="1"/>
  <c r="J2670" i="2"/>
  <c r="K2670" i="2" s="1"/>
  <c r="J2671" i="2"/>
  <c r="K2671" i="2" s="1"/>
  <c r="J2672" i="2"/>
  <c r="K2672" i="2" s="1"/>
  <c r="J2673" i="2"/>
  <c r="K2673" i="2" s="1"/>
  <c r="J2674" i="2"/>
  <c r="K2674" i="2" s="1"/>
  <c r="J2675" i="2"/>
  <c r="K2675" i="2" s="1"/>
  <c r="J2676" i="2"/>
  <c r="K2676" i="2" s="1"/>
  <c r="J2677" i="2"/>
  <c r="K2677" i="2" s="1"/>
  <c r="J2678" i="2"/>
  <c r="K2678" i="2" s="1"/>
  <c r="J2679" i="2"/>
  <c r="K2679" i="2" s="1"/>
  <c r="J2680" i="2"/>
  <c r="K2680" i="2" s="1"/>
  <c r="J2681" i="2"/>
  <c r="K2681" i="2" s="1"/>
  <c r="J2682" i="2"/>
  <c r="K2682" i="2" s="1"/>
  <c r="J2683" i="2"/>
  <c r="K2683" i="2" s="1"/>
  <c r="J2684" i="2"/>
  <c r="K2684" i="2" s="1"/>
  <c r="J2685" i="2"/>
  <c r="K2685" i="2" s="1"/>
  <c r="J2686" i="2"/>
  <c r="K2686" i="2" s="1"/>
  <c r="J2687" i="2"/>
  <c r="K2687" i="2" s="1"/>
  <c r="J2688" i="2"/>
  <c r="K2688" i="2" s="1"/>
  <c r="J2689" i="2"/>
  <c r="K2689" i="2" s="1"/>
  <c r="J2690" i="2"/>
  <c r="K2690" i="2" s="1"/>
  <c r="J2691" i="2"/>
  <c r="K2691" i="2" s="1"/>
  <c r="J2692" i="2"/>
  <c r="K2692" i="2" s="1"/>
  <c r="J2693" i="2"/>
  <c r="K2693" i="2" s="1"/>
  <c r="J2694" i="2"/>
  <c r="K2694" i="2" s="1"/>
  <c r="J2695" i="2"/>
  <c r="K2695" i="2" s="1"/>
  <c r="J2696" i="2"/>
  <c r="K2696" i="2" s="1"/>
  <c r="J2697" i="2"/>
  <c r="K2697" i="2" s="1"/>
  <c r="J2698" i="2"/>
  <c r="K2698" i="2" s="1"/>
  <c r="J2699" i="2"/>
  <c r="K2699" i="2" s="1"/>
  <c r="J2700" i="2"/>
  <c r="K2700" i="2" s="1"/>
  <c r="J2701" i="2"/>
  <c r="K2701" i="2" s="1"/>
  <c r="J2702" i="2"/>
  <c r="K2702" i="2" s="1"/>
  <c r="J2703" i="2"/>
  <c r="K2703" i="2" s="1"/>
  <c r="J2704" i="2"/>
  <c r="K2704" i="2" s="1"/>
  <c r="J2705" i="2"/>
  <c r="K2705" i="2" s="1"/>
  <c r="J2706" i="2"/>
  <c r="K2706" i="2" s="1"/>
  <c r="J2707" i="2"/>
  <c r="K2707" i="2" s="1"/>
  <c r="J2708" i="2"/>
  <c r="K2708" i="2" s="1"/>
  <c r="J2709" i="2"/>
  <c r="K2709" i="2" s="1"/>
  <c r="J2710" i="2"/>
  <c r="K2710" i="2" s="1"/>
  <c r="J2711" i="2"/>
  <c r="K2711" i="2" s="1"/>
  <c r="J2712" i="2"/>
  <c r="K2712" i="2" s="1"/>
  <c r="J2713" i="2"/>
  <c r="K2713" i="2" s="1"/>
  <c r="J2714" i="2"/>
  <c r="K2714" i="2" s="1"/>
  <c r="J2715" i="2"/>
  <c r="K2715" i="2" s="1"/>
  <c r="J2716" i="2"/>
  <c r="K2716" i="2" s="1"/>
  <c r="J2717" i="2"/>
  <c r="K2717" i="2" s="1"/>
  <c r="J2718" i="2"/>
  <c r="K2718" i="2" s="1"/>
  <c r="J2719" i="2"/>
  <c r="K2719" i="2" s="1"/>
  <c r="J2720" i="2"/>
  <c r="K2720" i="2" s="1"/>
  <c r="J2721" i="2"/>
  <c r="K2721" i="2" s="1"/>
  <c r="J2722" i="2"/>
  <c r="K2722" i="2" s="1"/>
  <c r="J2723" i="2"/>
  <c r="K2723" i="2" s="1"/>
  <c r="J2724" i="2"/>
  <c r="K2724" i="2" s="1"/>
  <c r="J2725" i="2"/>
  <c r="K2725" i="2" s="1"/>
  <c r="J2726" i="2"/>
  <c r="K2726" i="2" s="1"/>
  <c r="J2727" i="2"/>
  <c r="K2727" i="2" s="1"/>
  <c r="J2728" i="2"/>
  <c r="K2728" i="2" s="1"/>
  <c r="J2729" i="2"/>
  <c r="K2729" i="2" s="1"/>
  <c r="J2730" i="2"/>
  <c r="K2730" i="2" s="1"/>
  <c r="J2731" i="2"/>
  <c r="K2731" i="2" s="1"/>
  <c r="J2732" i="2"/>
  <c r="K2732" i="2" s="1"/>
  <c r="J2733" i="2"/>
  <c r="K2733" i="2" s="1"/>
  <c r="J2734" i="2"/>
  <c r="K2734" i="2" s="1"/>
  <c r="J2735" i="2"/>
  <c r="K2735" i="2" s="1"/>
  <c r="J2736" i="2"/>
  <c r="K2736" i="2" s="1"/>
  <c r="J2737" i="2"/>
  <c r="K2737" i="2" s="1"/>
  <c r="J2738" i="2"/>
  <c r="K2738" i="2" s="1"/>
  <c r="J2739" i="2"/>
  <c r="K2739" i="2" s="1"/>
  <c r="J2740" i="2"/>
  <c r="K2740" i="2" s="1"/>
  <c r="J2741" i="2"/>
  <c r="K2741" i="2" s="1"/>
  <c r="J2742" i="2"/>
  <c r="K2742" i="2" s="1"/>
  <c r="J2743" i="2"/>
  <c r="K2743" i="2" s="1"/>
  <c r="J2744" i="2"/>
  <c r="K2744" i="2" s="1"/>
  <c r="J2745" i="2"/>
  <c r="K2745" i="2" s="1"/>
  <c r="J2746" i="2"/>
  <c r="K2746" i="2" s="1"/>
  <c r="J2747" i="2"/>
  <c r="K2747" i="2" s="1"/>
  <c r="J2748" i="2"/>
  <c r="K2748" i="2" s="1"/>
  <c r="J2749" i="2"/>
  <c r="K2749" i="2" s="1"/>
  <c r="J2750" i="2"/>
  <c r="K2750" i="2" s="1"/>
  <c r="J2751" i="2"/>
  <c r="K2751" i="2" s="1"/>
  <c r="J2752" i="2"/>
  <c r="K2752" i="2" s="1"/>
  <c r="J2753" i="2"/>
  <c r="K2753" i="2" s="1"/>
  <c r="J2754" i="2"/>
  <c r="K2754" i="2" s="1"/>
  <c r="J2755" i="2"/>
  <c r="K2755" i="2" s="1"/>
  <c r="J2756" i="2"/>
  <c r="K2756" i="2" s="1"/>
  <c r="J2757" i="2"/>
  <c r="K2757" i="2" s="1"/>
  <c r="J2758" i="2"/>
  <c r="K2758" i="2" s="1"/>
  <c r="J2759" i="2"/>
  <c r="K2759" i="2" s="1"/>
  <c r="J2760" i="2"/>
  <c r="K2760" i="2" s="1"/>
  <c r="J2761" i="2"/>
  <c r="K2761" i="2" s="1"/>
  <c r="J2762" i="2"/>
  <c r="K2762" i="2" s="1"/>
  <c r="J2763" i="2"/>
  <c r="K2763" i="2" s="1"/>
  <c r="J2764" i="2"/>
  <c r="K2764" i="2" s="1"/>
  <c r="J2765" i="2"/>
  <c r="K2765" i="2" s="1"/>
  <c r="J2766" i="2"/>
  <c r="K2766" i="2" s="1"/>
  <c r="J2767" i="2"/>
  <c r="K2767" i="2" s="1"/>
  <c r="J2768" i="2"/>
  <c r="K2768" i="2" s="1"/>
  <c r="J2769" i="2"/>
  <c r="K2769" i="2" s="1"/>
  <c r="J2770" i="2"/>
  <c r="K2770" i="2" s="1"/>
  <c r="J2771" i="2"/>
  <c r="K2771" i="2" s="1"/>
  <c r="J2772" i="2"/>
  <c r="K2772" i="2" s="1"/>
  <c r="J2773" i="2"/>
  <c r="K2773" i="2" s="1"/>
  <c r="J2774" i="2"/>
  <c r="K2774" i="2" s="1"/>
  <c r="J2775" i="2"/>
  <c r="K2775" i="2" s="1"/>
  <c r="J2776" i="2"/>
  <c r="K2776" i="2" s="1"/>
  <c r="J2777" i="2"/>
  <c r="K2777" i="2" s="1"/>
  <c r="J2778" i="2"/>
  <c r="K2778" i="2" s="1"/>
  <c r="J2779" i="2"/>
  <c r="K2779" i="2" s="1"/>
  <c r="J2780" i="2"/>
  <c r="K2780" i="2" s="1"/>
  <c r="J2781" i="2"/>
  <c r="K2781" i="2" s="1"/>
  <c r="J2782" i="2"/>
  <c r="K2782" i="2" s="1"/>
  <c r="J2783" i="2"/>
  <c r="K2783" i="2" s="1"/>
  <c r="J2784" i="2"/>
  <c r="K2784" i="2" s="1"/>
  <c r="J2785" i="2"/>
  <c r="K2785" i="2" s="1"/>
  <c r="J2786" i="2"/>
  <c r="K2786" i="2" s="1"/>
  <c r="J2787" i="2"/>
  <c r="K2787" i="2" s="1"/>
  <c r="J2788" i="2"/>
  <c r="K2788" i="2" s="1"/>
  <c r="J2789" i="2"/>
  <c r="K2789" i="2" s="1"/>
  <c r="J2790" i="2"/>
  <c r="K2790" i="2" s="1"/>
  <c r="J2791" i="2"/>
  <c r="K2791" i="2" s="1"/>
  <c r="J2792" i="2"/>
  <c r="K2792" i="2" s="1"/>
  <c r="J2793" i="2"/>
  <c r="K2793" i="2" s="1"/>
  <c r="J2794" i="2"/>
  <c r="K2794" i="2" s="1"/>
  <c r="J2795" i="2"/>
  <c r="K2795" i="2" s="1"/>
  <c r="J2796" i="2"/>
  <c r="K2796" i="2" s="1"/>
  <c r="J2797" i="2"/>
  <c r="K2797" i="2" s="1"/>
  <c r="J2798" i="2"/>
  <c r="K2798" i="2" s="1"/>
  <c r="J2799" i="2"/>
  <c r="K2799" i="2" s="1"/>
  <c r="J2800" i="2"/>
  <c r="K2800" i="2" s="1"/>
  <c r="J2801" i="2"/>
  <c r="K2801" i="2" s="1"/>
  <c r="J2802" i="2"/>
  <c r="K2802" i="2" s="1"/>
  <c r="J2803" i="2"/>
  <c r="K2803" i="2" s="1"/>
  <c r="J2804" i="2"/>
  <c r="K2804" i="2" s="1"/>
  <c r="J2805" i="2"/>
  <c r="K2805" i="2" s="1"/>
  <c r="J2806" i="2"/>
  <c r="K2806" i="2" s="1"/>
  <c r="J2807" i="2"/>
  <c r="K2807" i="2" s="1"/>
  <c r="J2808" i="2"/>
  <c r="K2808" i="2" s="1"/>
  <c r="J2809" i="2"/>
  <c r="K2809" i="2" s="1"/>
  <c r="J2810" i="2"/>
  <c r="K2810" i="2" s="1"/>
  <c r="J2811" i="2"/>
  <c r="K2811" i="2" s="1"/>
  <c r="J2812" i="2"/>
  <c r="K2812" i="2" s="1"/>
  <c r="J2813" i="2"/>
  <c r="K2813" i="2" s="1"/>
  <c r="J2814" i="2"/>
  <c r="K2814" i="2" s="1"/>
  <c r="J2815" i="2"/>
  <c r="K2815" i="2" s="1"/>
  <c r="J2816" i="2"/>
  <c r="K2816" i="2" s="1"/>
  <c r="J2817" i="2"/>
  <c r="K2817" i="2" s="1"/>
  <c r="J2818" i="2"/>
  <c r="K2818" i="2" s="1"/>
  <c r="J2819" i="2"/>
  <c r="K2819" i="2" s="1"/>
  <c r="J2820" i="2"/>
  <c r="K2820" i="2" s="1"/>
  <c r="J2821" i="2"/>
  <c r="K2821" i="2" s="1"/>
  <c r="J2822" i="2"/>
  <c r="K2822" i="2" s="1"/>
  <c r="J2823" i="2"/>
  <c r="K2823" i="2" s="1"/>
  <c r="J2824" i="2"/>
  <c r="K2824" i="2" s="1"/>
  <c r="J2825" i="2"/>
  <c r="K2825" i="2" s="1"/>
  <c r="J2826" i="2"/>
  <c r="K2826" i="2" s="1"/>
  <c r="J2827" i="2"/>
  <c r="K2827" i="2" s="1"/>
  <c r="J2828" i="2"/>
  <c r="K2828" i="2" s="1"/>
  <c r="J2829" i="2"/>
  <c r="K2829" i="2" s="1"/>
  <c r="J2830" i="2"/>
  <c r="K2830" i="2" s="1"/>
  <c r="J2831" i="2"/>
  <c r="K2831" i="2" s="1"/>
  <c r="J2832" i="2"/>
  <c r="K2832" i="2" s="1"/>
  <c r="J2833" i="2"/>
  <c r="K2833" i="2" s="1"/>
  <c r="J2834" i="2"/>
  <c r="K2834" i="2" s="1"/>
  <c r="J2835" i="2"/>
  <c r="K2835" i="2" s="1"/>
  <c r="J2836" i="2"/>
  <c r="K2836" i="2" s="1"/>
  <c r="J2837" i="2"/>
  <c r="K2837" i="2" s="1"/>
  <c r="J2838" i="2"/>
  <c r="K2838" i="2" s="1"/>
  <c r="J2839" i="2"/>
  <c r="K2839" i="2" s="1"/>
  <c r="J2840" i="2"/>
  <c r="K2840" i="2" s="1"/>
  <c r="J2841" i="2"/>
  <c r="K2841" i="2" s="1"/>
  <c r="J2842" i="2"/>
  <c r="K2842" i="2" s="1"/>
  <c r="J2843" i="2"/>
  <c r="K2843" i="2" s="1"/>
  <c r="J2844" i="2"/>
  <c r="K2844" i="2" s="1"/>
  <c r="J2845" i="2"/>
  <c r="K2845" i="2" s="1"/>
  <c r="J2846" i="2"/>
  <c r="K2846" i="2" s="1"/>
  <c r="J2847" i="2"/>
  <c r="K2847" i="2" s="1"/>
  <c r="J2848" i="2"/>
  <c r="K2848" i="2" s="1"/>
  <c r="J2849" i="2"/>
  <c r="K2849" i="2" s="1"/>
  <c r="J2850" i="2"/>
  <c r="K2850" i="2" s="1"/>
  <c r="J2851" i="2"/>
  <c r="K2851" i="2" s="1"/>
  <c r="J2852" i="2"/>
  <c r="K2852" i="2" s="1"/>
  <c r="J2853" i="2"/>
  <c r="K2853" i="2" s="1"/>
  <c r="J2854" i="2"/>
  <c r="K2854" i="2" s="1"/>
  <c r="J2855" i="2"/>
  <c r="K2855" i="2" s="1"/>
  <c r="J2856" i="2"/>
  <c r="K2856" i="2" s="1"/>
  <c r="J2857" i="2"/>
  <c r="K2857" i="2" s="1"/>
  <c r="J2858" i="2"/>
  <c r="K2858" i="2" s="1"/>
  <c r="J2859" i="2"/>
  <c r="K2859" i="2" s="1"/>
  <c r="J2860" i="2"/>
  <c r="K2860" i="2" s="1"/>
  <c r="J2861" i="2"/>
  <c r="K2861" i="2" s="1"/>
  <c r="J2862" i="2"/>
  <c r="K2862" i="2" s="1"/>
  <c r="J2863" i="2"/>
  <c r="K2863" i="2" s="1"/>
  <c r="J2864" i="2"/>
  <c r="K2864" i="2" s="1"/>
  <c r="J2865" i="2"/>
  <c r="K2865" i="2" s="1"/>
  <c r="J2866" i="2"/>
  <c r="K2866" i="2" s="1"/>
  <c r="J2867" i="2"/>
  <c r="K2867" i="2" s="1"/>
  <c r="J2868" i="2"/>
  <c r="K2868" i="2" s="1"/>
  <c r="J2869" i="2"/>
  <c r="K2869" i="2" s="1"/>
  <c r="J2870" i="2"/>
  <c r="K2870" i="2" s="1"/>
  <c r="J2871" i="2"/>
  <c r="K2871" i="2" s="1"/>
  <c r="J2872" i="2"/>
  <c r="K2872" i="2" s="1"/>
  <c r="J2873" i="2"/>
  <c r="K2873" i="2" s="1"/>
  <c r="J2874" i="2"/>
  <c r="K2874" i="2" s="1"/>
  <c r="J2875" i="2"/>
  <c r="K2875" i="2" s="1"/>
  <c r="J2876" i="2"/>
  <c r="K2876" i="2" s="1"/>
  <c r="J2877" i="2"/>
  <c r="K2877" i="2" s="1"/>
  <c r="J2878" i="2"/>
  <c r="K2878" i="2" s="1"/>
  <c r="J2879" i="2"/>
  <c r="K2879" i="2" s="1"/>
  <c r="J2880" i="2"/>
  <c r="K2880" i="2" s="1"/>
  <c r="J2881" i="2"/>
  <c r="K2881" i="2" s="1"/>
  <c r="J2882" i="2"/>
  <c r="K2882" i="2" s="1"/>
  <c r="J2883" i="2"/>
  <c r="K2883" i="2" s="1"/>
  <c r="J2884" i="2"/>
  <c r="K2884" i="2" s="1"/>
  <c r="J2885" i="2"/>
  <c r="K2885" i="2" s="1"/>
  <c r="J2886" i="2"/>
  <c r="K2886" i="2" s="1"/>
  <c r="J2887" i="2"/>
  <c r="K2887" i="2" s="1"/>
  <c r="J2888" i="2"/>
  <c r="K2888" i="2" s="1"/>
  <c r="J2889" i="2"/>
  <c r="K2889" i="2" s="1"/>
  <c r="J2890" i="2"/>
  <c r="K2890" i="2" s="1"/>
  <c r="J2891" i="2"/>
  <c r="K2891" i="2" s="1"/>
  <c r="J2892" i="2"/>
  <c r="K2892" i="2" s="1"/>
  <c r="J2893" i="2"/>
  <c r="K2893" i="2" s="1"/>
  <c r="J2894" i="2"/>
  <c r="K2894" i="2" s="1"/>
  <c r="J2895" i="2"/>
  <c r="K2895" i="2" s="1"/>
  <c r="J2896" i="2"/>
  <c r="K2896" i="2" s="1"/>
  <c r="J2897" i="2"/>
  <c r="K2897" i="2" s="1"/>
  <c r="J2898" i="2"/>
  <c r="K2898" i="2" s="1"/>
  <c r="J2899" i="2"/>
  <c r="K2899" i="2" s="1"/>
  <c r="J2900" i="2"/>
  <c r="K2900" i="2" s="1"/>
  <c r="J2901" i="2"/>
  <c r="K2901" i="2" s="1"/>
  <c r="J2902" i="2"/>
  <c r="K2902" i="2" s="1"/>
  <c r="J2903" i="2"/>
  <c r="K2903" i="2" s="1"/>
  <c r="J2904" i="2"/>
  <c r="K2904" i="2" s="1"/>
  <c r="J2905" i="2"/>
  <c r="K2905" i="2" s="1"/>
  <c r="J2906" i="2"/>
  <c r="K2906" i="2" s="1"/>
  <c r="J2907" i="2"/>
  <c r="K2907" i="2" s="1"/>
  <c r="J2908" i="2"/>
  <c r="K2908" i="2" s="1"/>
  <c r="J2909" i="2"/>
  <c r="K2909" i="2" s="1"/>
  <c r="J2910" i="2"/>
  <c r="K2910" i="2" s="1"/>
  <c r="J2911" i="2"/>
  <c r="K2911" i="2" s="1"/>
  <c r="J2912" i="2"/>
  <c r="K2912" i="2" s="1"/>
  <c r="J2913" i="2"/>
  <c r="K2913" i="2" s="1"/>
  <c r="J2914" i="2"/>
  <c r="K2914" i="2" s="1"/>
  <c r="J2915" i="2"/>
  <c r="K2915" i="2" s="1"/>
  <c r="J2916" i="2"/>
  <c r="K2916" i="2" s="1"/>
  <c r="J2917" i="2"/>
  <c r="K2917" i="2" s="1"/>
  <c r="J2918" i="2"/>
  <c r="K2918" i="2" s="1"/>
  <c r="J2919" i="2"/>
  <c r="K2919" i="2" s="1"/>
  <c r="J2920" i="2"/>
  <c r="K2920" i="2" s="1"/>
  <c r="J2921" i="2"/>
  <c r="K2921" i="2" s="1"/>
  <c r="J2922" i="2"/>
  <c r="K2922" i="2" s="1"/>
  <c r="J2923" i="2"/>
  <c r="K2923" i="2" s="1"/>
  <c r="J2924" i="2"/>
  <c r="K2924" i="2" s="1"/>
  <c r="J2925" i="2"/>
  <c r="K2925" i="2" s="1"/>
  <c r="J2926" i="2"/>
  <c r="K2926" i="2" s="1"/>
  <c r="J2927" i="2"/>
  <c r="K2927" i="2" s="1"/>
  <c r="J2928" i="2"/>
  <c r="K2928" i="2" s="1"/>
  <c r="J2929" i="2"/>
  <c r="K2929" i="2" s="1"/>
  <c r="J2930" i="2"/>
  <c r="K2930" i="2" s="1"/>
  <c r="J2931" i="2"/>
  <c r="K2931" i="2" s="1"/>
  <c r="J2932" i="2"/>
  <c r="K2932" i="2" s="1"/>
  <c r="J2933" i="2"/>
  <c r="K2933" i="2" s="1"/>
  <c r="J2934" i="2"/>
  <c r="K2934" i="2" s="1"/>
  <c r="J2935" i="2"/>
  <c r="K2935" i="2" s="1"/>
  <c r="J2936" i="2"/>
  <c r="K2936" i="2" s="1"/>
  <c r="J2937" i="2"/>
  <c r="K2937" i="2" s="1"/>
  <c r="J2938" i="2"/>
  <c r="K2938" i="2" s="1"/>
  <c r="J2939" i="2"/>
  <c r="K2939" i="2" s="1"/>
  <c r="J2940" i="2"/>
  <c r="K2940" i="2" s="1"/>
  <c r="J2941" i="2"/>
  <c r="K2941" i="2" s="1"/>
  <c r="J2942" i="2"/>
  <c r="K2942" i="2" s="1"/>
  <c r="J2943" i="2"/>
  <c r="K2943" i="2" s="1"/>
  <c r="J2944" i="2"/>
  <c r="K2944" i="2" s="1"/>
  <c r="J2945" i="2"/>
  <c r="K2945" i="2" s="1"/>
  <c r="J2946" i="2"/>
  <c r="K2946" i="2" s="1"/>
  <c r="J2947" i="2"/>
  <c r="K2947" i="2" s="1"/>
  <c r="J2948" i="2"/>
  <c r="K2948" i="2" s="1"/>
  <c r="J2949" i="2"/>
  <c r="K2949" i="2" s="1"/>
  <c r="J2950" i="2"/>
  <c r="K2950" i="2" s="1"/>
  <c r="J2951" i="2"/>
  <c r="K2951" i="2" s="1"/>
  <c r="J2952" i="2"/>
  <c r="K2952" i="2" s="1"/>
  <c r="J2953" i="2"/>
  <c r="K2953" i="2" s="1"/>
  <c r="J2954" i="2"/>
  <c r="K2954" i="2" s="1"/>
  <c r="J2955" i="2"/>
  <c r="K2955" i="2" s="1"/>
  <c r="J2956" i="2"/>
  <c r="K2956" i="2" s="1"/>
  <c r="J2957" i="2"/>
  <c r="K2957" i="2" s="1"/>
  <c r="J2958" i="2"/>
  <c r="K2958" i="2" s="1"/>
  <c r="J2959" i="2"/>
  <c r="K2959" i="2" s="1"/>
  <c r="J2960" i="2"/>
  <c r="K2960" i="2" s="1"/>
  <c r="J2961" i="2"/>
  <c r="K2961" i="2" s="1"/>
  <c r="J2962" i="2"/>
  <c r="K2962" i="2" s="1"/>
  <c r="J2963" i="2"/>
  <c r="K2963" i="2" s="1"/>
  <c r="J2964" i="2"/>
  <c r="K2964" i="2" s="1"/>
  <c r="J2965" i="2"/>
  <c r="K2965" i="2" s="1"/>
  <c r="J2966" i="2"/>
  <c r="K2966" i="2" s="1"/>
  <c r="J2967" i="2"/>
  <c r="K2967" i="2" s="1"/>
  <c r="J2968" i="2"/>
  <c r="K2968" i="2" s="1"/>
  <c r="J2969" i="2"/>
  <c r="K2969" i="2" s="1"/>
  <c r="J2970" i="2"/>
  <c r="K2970" i="2" s="1"/>
  <c r="J2971" i="2"/>
  <c r="K2971" i="2" s="1"/>
  <c r="J2972" i="2"/>
  <c r="K2972" i="2" s="1"/>
  <c r="J2973" i="2"/>
  <c r="K2973" i="2" s="1"/>
  <c r="J2974" i="2"/>
  <c r="K2974" i="2" s="1"/>
  <c r="J2975" i="2"/>
  <c r="K2975" i="2" s="1"/>
  <c r="J2976" i="2"/>
  <c r="K2976" i="2" s="1"/>
  <c r="J2977" i="2"/>
  <c r="K2977" i="2" s="1"/>
  <c r="J2978" i="2"/>
  <c r="K2978" i="2" s="1"/>
  <c r="J2979" i="2"/>
  <c r="K2979" i="2" s="1"/>
  <c r="J2980" i="2"/>
  <c r="K2980" i="2" s="1"/>
  <c r="J2981" i="2"/>
  <c r="K2981" i="2" s="1"/>
  <c r="J2982" i="2"/>
  <c r="K2982" i="2" s="1"/>
  <c r="J2983" i="2"/>
  <c r="K2983" i="2" s="1"/>
  <c r="J2984" i="2"/>
  <c r="K2984" i="2" s="1"/>
  <c r="J2985" i="2"/>
  <c r="K2985" i="2" s="1"/>
  <c r="J2986" i="2"/>
  <c r="K2986" i="2" s="1"/>
  <c r="J2987" i="2"/>
  <c r="K2987" i="2" s="1"/>
  <c r="J2988" i="2"/>
  <c r="K2988" i="2" s="1"/>
  <c r="J2989" i="2"/>
  <c r="K2989" i="2" s="1"/>
  <c r="J2990" i="2"/>
  <c r="K2990" i="2" s="1"/>
  <c r="J2991" i="2"/>
  <c r="K2991" i="2" s="1"/>
  <c r="J2992" i="2"/>
  <c r="K2992" i="2" s="1"/>
  <c r="J2993" i="2"/>
  <c r="K2993" i="2" s="1"/>
  <c r="J2994" i="2"/>
  <c r="K2994" i="2" s="1"/>
  <c r="J2995" i="2"/>
  <c r="K2995" i="2" s="1"/>
  <c r="J2996" i="2"/>
  <c r="K2996" i="2" s="1"/>
  <c r="J2997" i="2"/>
  <c r="K2997" i="2" s="1"/>
  <c r="J2998" i="2"/>
  <c r="K2998" i="2" s="1"/>
  <c r="J2999" i="2"/>
  <c r="K2999" i="2" s="1"/>
  <c r="J3000" i="2"/>
  <c r="K3000" i="2" s="1"/>
  <c r="J3001" i="2"/>
  <c r="K3001" i="2" s="1"/>
  <c r="J3002" i="2"/>
  <c r="K3002" i="2" s="1"/>
  <c r="J3003" i="2"/>
  <c r="K3003" i="2" s="1"/>
  <c r="J3004" i="2"/>
  <c r="K3004" i="2" s="1"/>
  <c r="J3005" i="2"/>
  <c r="K3005" i="2" s="1"/>
  <c r="J3006" i="2"/>
  <c r="K3006" i="2" s="1"/>
  <c r="J3007" i="2"/>
  <c r="K3007" i="2" s="1"/>
  <c r="J3008" i="2"/>
  <c r="K3008" i="2" s="1"/>
  <c r="J3009" i="2"/>
  <c r="K3009" i="2" s="1"/>
  <c r="J3010" i="2"/>
  <c r="K3010" i="2" s="1"/>
  <c r="J3011" i="2"/>
  <c r="K3011" i="2" s="1"/>
  <c r="J3012" i="2"/>
  <c r="K3012" i="2" s="1"/>
  <c r="J3013" i="2"/>
  <c r="K3013" i="2" s="1"/>
  <c r="J3014" i="2"/>
  <c r="K3014" i="2" s="1"/>
  <c r="J3015" i="2"/>
  <c r="K3015" i="2" s="1"/>
  <c r="J3016" i="2"/>
  <c r="K3016" i="2" s="1"/>
  <c r="J3017" i="2"/>
  <c r="K3017" i="2" s="1"/>
  <c r="J3018" i="2"/>
  <c r="K3018" i="2" s="1"/>
  <c r="J3019" i="2"/>
  <c r="K3019" i="2" s="1"/>
  <c r="J3020" i="2"/>
  <c r="K3020" i="2" s="1"/>
  <c r="J3021" i="2"/>
  <c r="K3021" i="2" s="1"/>
  <c r="J3022" i="2"/>
  <c r="K3022" i="2" s="1"/>
  <c r="J3023" i="2"/>
  <c r="K3023" i="2" s="1"/>
  <c r="J3024" i="2"/>
  <c r="K3024" i="2" s="1"/>
  <c r="J3025" i="2"/>
  <c r="K3025" i="2" s="1"/>
  <c r="J3026" i="2"/>
  <c r="K3026" i="2" s="1"/>
  <c r="J3027" i="2"/>
  <c r="K3027" i="2" s="1"/>
  <c r="J3028" i="2"/>
  <c r="K3028" i="2" s="1"/>
  <c r="J3029" i="2"/>
  <c r="K3029" i="2" s="1"/>
  <c r="J3030" i="2"/>
  <c r="K3030" i="2" s="1"/>
  <c r="J3031" i="2"/>
  <c r="K3031" i="2" s="1"/>
  <c r="J3032" i="2"/>
  <c r="K3032" i="2" s="1"/>
  <c r="J3033" i="2"/>
  <c r="K3033" i="2" s="1"/>
  <c r="J3034" i="2"/>
  <c r="K3034" i="2" s="1"/>
  <c r="J3035" i="2"/>
  <c r="K3035" i="2" s="1"/>
  <c r="J3036" i="2"/>
  <c r="K3036" i="2" s="1"/>
  <c r="J3037" i="2"/>
  <c r="K3037" i="2" s="1"/>
  <c r="J3038" i="2"/>
  <c r="K3038" i="2" s="1"/>
  <c r="J3039" i="2"/>
  <c r="K3039" i="2" s="1"/>
  <c r="J3040" i="2"/>
  <c r="K3040" i="2" s="1"/>
  <c r="J3041" i="2"/>
  <c r="K3041" i="2" s="1"/>
  <c r="J3042" i="2"/>
  <c r="K3042" i="2" s="1"/>
  <c r="J3043" i="2"/>
  <c r="K3043" i="2" s="1"/>
  <c r="J3044" i="2"/>
  <c r="K3044" i="2" s="1"/>
  <c r="J3045" i="2"/>
  <c r="J3046" i="2"/>
  <c r="K3046" i="2" s="1"/>
  <c r="J3047" i="2"/>
  <c r="K3047" i="2" s="1"/>
  <c r="J3048" i="2"/>
  <c r="K3048" i="2" s="1"/>
  <c r="J3049" i="2"/>
  <c r="K3049" i="2" s="1"/>
  <c r="J3050" i="2"/>
  <c r="K3050" i="2" s="1"/>
  <c r="J3051" i="2"/>
  <c r="K3051" i="2" s="1"/>
  <c r="J3052" i="2"/>
  <c r="K3052" i="2" s="1"/>
  <c r="J3053" i="2"/>
  <c r="K3053" i="2" s="1"/>
  <c r="J3054" i="2"/>
  <c r="K3054" i="2" s="1"/>
  <c r="J3055" i="2"/>
  <c r="K3055" i="2" s="1"/>
  <c r="J3056" i="2"/>
  <c r="K3056" i="2" s="1"/>
  <c r="J3057" i="2"/>
  <c r="K3057" i="2" s="1"/>
  <c r="J3058" i="2"/>
  <c r="K3058" i="2" s="1"/>
  <c r="J3059" i="2"/>
  <c r="K3059" i="2" s="1"/>
  <c r="J3060" i="2"/>
  <c r="K3060" i="2" s="1"/>
  <c r="J3061" i="2"/>
  <c r="K3061" i="2" s="1"/>
  <c r="J3062" i="2"/>
  <c r="K3062" i="2" s="1"/>
  <c r="J3063" i="2"/>
  <c r="K3063" i="2" s="1"/>
  <c r="J3064" i="2"/>
  <c r="K3064" i="2" s="1"/>
  <c r="J3065" i="2"/>
  <c r="K3065" i="2" s="1"/>
  <c r="J3066" i="2"/>
  <c r="K3066" i="2" s="1"/>
  <c r="J3067" i="2"/>
  <c r="K3067" i="2" s="1"/>
  <c r="J3068" i="2"/>
  <c r="K3068" i="2" s="1"/>
  <c r="J3069" i="2"/>
  <c r="K3069" i="2" s="1"/>
  <c r="J3070" i="2"/>
  <c r="K3070" i="2" s="1"/>
  <c r="J3071" i="2"/>
  <c r="K3071" i="2" s="1"/>
  <c r="J3072" i="2"/>
  <c r="K3072" i="2" s="1"/>
  <c r="J3073" i="2"/>
  <c r="K3073" i="2" s="1"/>
  <c r="J3074" i="2"/>
  <c r="K3074" i="2" s="1"/>
  <c r="J3075" i="2"/>
  <c r="K3075" i="2" s="1"/>
  <c r="J3076" i="2"/>
  <c r="K3076" i="2" s="1"/>
  <c r="J3077" i="2"/>
  <c r="K3077" i="2" s="1"/>
  <c r="J3078" i="2"/>
  <c r="K3078" i="2" s="1"/>
  <c r="J3079" i="2"/>
  <c r="K3079" i="2" s="1"/>
  <c r="J3080" i="2"/>
  <c r="K3080" i="2" s="1"/>
  <c r="J3081" i="2"/>
  <c r="K3081" i="2" s="1"/>
  <c r="J3082" i="2"/>
  <c r="K3082" i="2" s="1"/>
  <c r="J3083" i="2"/>
  <c r="K3083" i="2" s="1"/>
  <c r="J3084" i="2"/>
  <c r="K3084" i="2" s="1"/>
  <c r="J3085" i="2"/>
  <c r="K3085" i="2" s="1"/>
  <c r="J3086" i="2"/>
  <c r="K3086" i="2" s="1"/>
  <c r="J3087" i="2"/>
  <c r="K3087" i="2" s="1"/>
  <c r="J3088" i="2"/>
  <c r="K3088" i="2" s="1"/>
  <c r="J3089" i="2"/>
  <c r="K3089" i="2" s="1"/>
  <c r="J3090" i="2"/>
  <c r="K3090" i="2" s="1"/>
  <c r="J3091" i="2"/>
  <c r="K3091" i="2" s="1"/>
  <c r="J3092" i="2"/>
  <c r="K3092" i="2" s="1"/>
  <c r="J3093" i="2"/>
  <c r="K3093" i="2" s="1"/>
  <c r="J3094" i="2"/>
  <c r="K3094" i="2" s="1"/>
  <c r="J3095" i="2"/>
  <c r="K3095" i="2" s="1"/>
  <c r="J3096" i="2"/>
  <c r="K3096" i="2" s="1"/>
  <c r="J3097" i="2"/>
  <c r="K3097" i="2" s="1"/>
  <c r="J3098" i="2"/>
  <c r="K3098" i="2" s="1"/>
  <c r="J3099" i="2"/>
  <c r="K3099" i="2" s="1"/>
  <c r="J3100" i="2"/>
  <c r="K3100" i="2" s="1"/>
  <c r="J3101" i="2"/>
  <c r="K3101" i="2" s="1"/>
  <c r="J3102" i="2"/>
  <c r="K3102" i="2" s="1"/>
  <c r="J3103" i="2"/>
  <c r="K3103" i="2" s="1"/>
  <c r="J3104" i="2"/>
  <c r="K3104" i="2" s="1"/>
  <c r="J3105" i="2"/>
  <c r="K3105" i="2" s="1"/>
  <c r="J3106" i="2"/>
  <c r="K3106" i="2" s="1"/>
  <c r="J3107" i="2"/>
  <c r="K3107" i="2" s="1"/>
  <c r="J3108" i="2"/>
  <c r="K3108" i="2" s="1"/>
  <c r="J3109" i="2"/>
  <c r="K3109" i="2" s="1"/>
  <c r="J3110" i="2"/>
  <c r="K3110" i="2" s="1"/>
  <c r="J3111" i="2"/>
  <c r="K3111" i="2" s="1"/>
  <c r="J3112" i="2"/>
  <c r="K3112" i="2" s="1"/>
  <c r="J3113" i="2"/>
  <c r="K3113" i="2" s="1"/>
  <c r="J3114" i="2"/>
  <c r="K3114" i="2" s="1"/>
  <c r="J3115" i="2"/>
  <c r="K3115" i="2" s="1"/>
  <c r="J3116" i="2"/>
  <c r="K3116" i="2" s="1"/>
  <c r="J3117" i="2"/>
  <c r="K3117" i="2" s="1"/>
  <c r="J3118" i="2"/>
  <c r="K3118" i="2" s="1"/>
  <c r="J3119" i="2"/>
  <c r="K3119" i="2" s="1"/>
  <c r="J3120" i="2"/>
  <c r="K3120" i="2" s="1"/>
  <c r="J3121" i="2"/>
  <c r="K3121" i="2" s="1"/>
  <c r="J3122" i="2"/>
  <c r="K3122" i="2" s="1"/>
  <c r="J3123" i="2"/>
  <c r="K3123" i="2" s="1"/>
  <c r="J3124" i="2"/>
  <c r="K3124" i="2" s="1"/>
  <c r="J3125" i="2"/>
  <c r="K3125" i="2" s="1"/>
  <c r="J3126" i="2"/>
  <c r="K3126" i="2" s="1"/>
  <c r="J3127" i="2"/>
  <c r="K3127" i="2" s="1"/>
  <c r="J3128" i="2"/>
  <c r="K3128" i="2" s="1"/>
  <c r="J3129" i="2"/>
  <c r="K3129" i="2" s="1"/>
  <c r="J3130" i="2"/>
  <c r="K3130" i="2" s="1"/>
  <c r="J3131" i="2"/>
  <c r="K3131" i="2" s="1"/>
  <c r="J3132" i="2"/>
  <c r="K3132" i="2" s="1"/>
  <c r="J3133" i="2"/>
  <c r="K3133" i="2" s="1"/>
  <c r="J3134" i="2"/>
  <c r="K3134" i="2" s="1"/>
  <c r="J3135" i="2"/>
  <c r="K3135" i="2" s="1"/>
  <c r="J3136" i="2"/>
  <c r="K3136" i="2" s="1"/>
  <c r="J3137" i="2"/>
  <c r="K3137" i="2" s="1"/>
  <c r="J3138" i="2"/>
  <c r="K3138" i="2" s="1"/>
  <c r="J3139" i="2"/>
  <c r="K3139" i="2" s="1"/>
  <c r="J3140" i="2"/>
  <c r="K3140" i="2" s="1"/>
  <c r="J3141" i="2"/>
  <c r="K3141" i="2" s="1"/>
  <c r="J3142" i="2"/>
  <c r="K3142" i="2" s="1"/>
  <c r="J3143" i="2"/>
  <c r="K3143" i="2" s="1"/>
  <c r="J3144" i="2"/>
  <c r="K3144" i="2" s="1"/>
  <c r="J3145" i="2"/>
  <c r="K3145" i="2" s="1"/>
  <c r="J3146" i="2"/>
  <c r="K3146" i="2" s="1"/>
  <c r="J3147" i="2"/>
  <c r="K3147" i="2" s="1"/>
  <c r="J3148" i="2"/>
  <c r="K3148" i="2" s="1"/>
  <c r="J3149" i="2"/>
  <c r="K3149" i="2" s="1"/>
  <c r="J3150" i="2"/>
  <c r="K3150" i="2" s="1"/>
  <c r="J3151" i="2"/>
  <c r="K3151" i="2" s="1"/>
  <c r="J3152" i="2"/>
  <c r="K3152" i="2" s="1"/>
  <c r="J3153" i="2"/>
  <c r="K3153" i="2" s="1"/>
  <c r="J3154" i="2"/>
  <c r="K3154" i="2" s="1"/>
  <c r="J3155" i="2"/>
  <c r="K3155" i="2" s="1"/>
  <c r="J3156" i="2"/>
  <c r="K3156" i="2" s="1"/>
  <c r="J3157" i="2"/>
  <c r="K3157" i="2" s="1"/>
  <c r="J3158" i="2"/>
  <c r="K3158" i="2" s="1"/>
  <c r="J3159" i="2"/>
  <c r="K3159" i="2" s="1"/>
  <c r="J3160" i="2"/>
  <c r="K3160" i="2" s="1"/>
  <c r="J3161" i="2"/>
  <c r="K3161" i="2" s="1"/>
  <c r="J3162" i="2"/>
  <c r="K3162" i="2" s="1"/>
  <c r="J3163" i="2"/>
  <c r="K3163" i="2" s="1"/>
  <c r="J3164" i="2"/>
  <c r="K3164" i="2" s="1"/>
  <c r="J3165" i="2"/>
  <c r="K3165" i="2" s="1"/>
  <c r="J3166" i="2"/>
  <c r="K3166" i="2" s="1"/>
  <c r="J3167" i="2"/>
  <c r="K3167" i="2" s="1"/>
  <c r="J3168" i="2"/>
  <c r="K3168" i="2" s="1"/>
  <c r="J3169" i="2"/>
  <c r="K3169" i="2" s="1"/>
  <c r="J3170" i="2"/>
  <c r="K3170" i="2" s="1"/>
  <c r="J3171" i="2"/>
  <c r="K3171" i="2" s="1"/>
  <c r="J3172" i="2"/>
  <c r="K3172" i="2" s="1"/>
  <c r="J3173" i="2"/>
  <c r="J3174" i="2"/>
  <c r="K3174" i="2" s="1"/>
  <c r="J3175" i="2"/>
  <c r="K3175" i="2" s="1"/>
  <c r="J3176" i="2"/>
  <c r="K3176" i="2" s="1"/>
  <c r="J3177" i="2"/>
  <c r="K3177" i="2" s="1"/>
  <c r="J3178" i="2"/>
  <c r="K3178" i="2" s="1"/>
  <c r="J3179" i="2"/>
  <c r="K3179" i="2" s="1"/>
  <c r="J3180" i="2"/>
  <c r="K3180" i="2" s="1"/>
  <c r="J3181" i="2"/>
  <c r="K3181" i="2" s="1"/>
  <c r="J3182" i="2"/>
  <c r="K3182" i="2" s="1"/>
  <c r="J3183" i="2"/>
  <c r="K3183" i="2" s="1"/>
  <c r="J3184" i="2"/>
  <c r="K3184" i="2" s="1"/>
  <c r="J3185" i="2"/>
  <c r="K3185" i="2" s="1"/>
  <c r="J3186" i="2"/>
  <c r="K3186" i="2" s="1"/>
  <c r="J3187" i="2"/>
  <c r="K3187" i="2" s="1"/>
  <c r="J3188" i="2"/>
  <c r="K3188" i="2" s="1"/>
  <c r="J3189" i="2"/>
  <c r="K3189" i="2" s="1"/>
  <c r="J3190" i="2"/>
  <c r="K3190" i="2" s="1"/>
  <c r="J3191" i="2"/>
  <c r="K3191" i="2" s="1"/>
  <c r="J3192" i="2"/>
  <c r="K3192" i="2" s="1"/>
  <c r="J3193" i="2"/>
  <c r="K3193" i="2" s="1"/>
  <c r="J3194" i="2"/>
  <c r="K3194" i="2" s="1"/>
  <c r="J3195" i="2"/>
  <c r="K3195" i="2" s="1"/>
  <c r="J3196" i="2"/>
  <c r="K3196" i="2" s="1"/>
  <c r="J3197" i="2"/>
  <c r="K3197" i="2" s="1"/>
  <c r="J3198" i="2"/>
  <c r="K3198" i="2" s="1"/>
  <c r="J3199" i="2"/>
  <c r="K3199" i="2" s="1"/>
  <c r="J3200" i="2"/>
  <c r="K3200" i="2" s="1"/>
  <c r="J3201" i="2"/>
  <c r="K3201" i="2" s="1"/>
  <c r="J3202" i="2"/>
  <c r="K3202" i="2" s="1"/>
  <c r="J3203" i="2"/>
  <c r="K3203" i="2" s="1"/>
  <c r="J3204" i="2"/>
  <c r="K3204" i="2" s="1"/>
  <c r="J3205" i="2"/>
  <c r="K3205" i="2" s="1"/>
  <c r="J3206" i="2"/>
  <c r="K3206" i="2" s="1"/>
  <c r="J3207" i="2"/>
  <c r="K3207" i="2" s="1"/>
  <c r="J3208" i="2"/>
  <c r="K3208" i="2" s="1"/>
  <c r="J3209" i="2"/>
  <c r="K3209" i="2" s="1"/>
  <c r="J3210" i="2"/>
  <c r="K3210" i="2" s="1"/>
  <c r="J3211" i="2"/>
  <c r="K3211" i="2" s="1"/>
  <c r="J3212" i="2"/>
  <c r="K3212" i="2" s="1"/>
  <c r="J3213" i="2"/>
  <c r="K3213" i="2" s="1"/>
  <c r="J3214" i="2"/>
  <c r="K3214" i="2" s="1"/>
  <c r="J3215" i="2"/>
  <c r="K3215" i="2" s="1"/>
  <c r="J3216" i="2"/>
  <c r="K3216" i="2" s="1"/>
  <c r="J3217" i="2"/>
  <c r="K3217" i="2" s="1"/>
  <c r="J3218" i="2"/>
  <c r="K3218" i="2" s="1"/>
  <c r="J3219" i="2"/>
  <c r="K3219" i="2" s="1"/>
  <c r="J3220" i="2"/>
  <c r="K3220" i="2" s="1"/>
  <c r="J3221" i="2"/>
  <c r="K3221" i="2" s="1"/>
  <c r="J3222" i="2"/>
  <c r="K3222" i="2" s="1"/>
  <c r="J3223" i="2"/>
  <c r="K3223" i="2" s="1"/>
  <c r="J3224" i="2"/>
  <c r="K3224" i="2" s="1"/>
  <c r="J3225" i="2"/>
  <c r="K3225" i="2" s="1"/>
  <c r="J3226" i="2"/>
  <c r="K3226" i="2" s="1"/>
  <c r="J3227" i="2"/>
  <c r="K3227" i="2" s="1"/>
  <c r="J3228" i="2"/>
  <c r="K3228" i="2" s="1"/>
  <c r="J3229" i="2"/>
  <c r="K3229" i="2" s="1"/>
  <c r="J3230" i="2"/>
  <c r="K3230" i="2" s="1"/>
  <c r="J3231" i="2"/>
  <c r="K3231" i="2" s="1"/>
  <c r="J3232" i="2"/>
  <c r="K3232" i="2" s="1"/>
  <c r="J3233" i="2"/>
  <c r="K3233" i="2" s="1"/>
  <c r="J3234" i="2"/>
  <c r="K3234" i="2" s="1"/>
  <c r="J3235" i="2"/>
  <c r="K3235" i="2" s="1"/>
  <c r="J3236" i="2"/>
  <c r="K3236" i="2" s="1"/>
  <c r="J3237" i="2"/>
  <c r="K3237" i="2" s="1"/>
  <c r="J3238" i="2"/>
  <c r="K3238" i="2" s="1"/>
  <c r="J3239" i="2"/>
  <c r="K3239" i="2" s="1"/>
  <c r="J3240" i="2"/>
  <c r="K3240" i="2" s="1"/>
  <c r="J3241" i="2"/>
  <c r="K3241" i="2" s="1"/>
  <c r="J3242" i="2"/>
  <c r="K3242" i="2" s="1"/>
  <c r="J3243" i="2"/>
  <c r="K3243" i="2" s="1"/>
  <c r="J3244" i="2"/>
  <c r="K3244" i="2" s="1"/>
  <c r="J3245" i="2"/>
  <c r="K3245" i="2" s="1"/>
  <c r="J3246" i="2"/>
  <c r="K3246" i="2" s="1"/>
  <c r="J3247" i="2"/>
  <c r="K3247" i="2" s="1"/>
  <c r="J3248" i="2"/>
  <c r="K3248" i="2" s="1"/>
  <c r="J3249" i="2"/>
  <c r="K3249" i="2" s="1"/>
  <c r="J3250" i="2"/>
  <c r="K3250" i="2" s="1"/>
  <c r="J3251" i="2"/>
  <c r="K3251" i="2" s="1"/>
  <c r="J3252" i="2"/>
  <c r="K3252" i="2" s="1"/>
  <c r="J3253" i="2"/>
  <c r="K3253" i="2" s="1"/>
  <c r="J3254" i="2"/>
  <c r="K3254" i="2" s="1"/>
  <c r="J3255" i="2"/>
  <c r="K3255" i="2" s="1"/>
  <c r="J3256" i="2"/>
  <c r="K3256" i="2" s="1"/>
  <c r="J3257" i="2"/>
  <c r="K3257" i="2" s="1"/>
  <c r="J3258" i="2"/>
  <c r="K3258" i="2" s="1"/>
  <c r="J3259" i="2"/>
  <c r="K3259" i="2" s="1"/>
  <c r="J3260" i="2"/>
  <c r="K3260" i="2" s="1"/>
  <c r="J3261" i="2"/>
  <c r="K3261" i="2" s="1"/>
  <c r="J3262" i="2"/>
  <c r="K3262" i="2" s="1"/>
  <c r="J3263" i="2"/>
  <c r="K3263" i="2" s="1"/>
  <c r="J3264" i="2"/>
  <c r="K3264" i="2" s="1"/>
  <c r="J3265" i="2"/>
  <c r="K3265" i="2" s="1"/>
  <c r="J3266" i="2"/>
  <c r="K3266" i="2" s="1"/>
  <c r="J3267" i="2"/>
  <c r="K3267" i="2" s="1"/>
  <c r="J3268" i="2"/>
  <c r="K3268" i="2" s="1"/>
  <c r="J3269" i="2"/>
  <c r="K3269" i="2" s="1"/>
  <c r="J3270" i="2"/>
  <c r="K3270" i="2" s="1"/>
  <c r="J3271" i="2"/>
  <c r="K3271" i="2" s="1"/>
  <c r="J3272" i="2"/>
  <c r="K3272" i="2" s="1"/>
  <c r="J3273" i="2"/>
  <c r="K3273" i="2" s="1"/>
  <c r="J3274" i="2"/>
  <c r="K3274" i="2" s="1"/>
  <c r="J3275" i="2"/>
  <c r="K3275" i="2" s="1"/>
  <c r="J3276" i="2"/>
  <c r="K3276" i="2" s="1"/>
  <c r="J3277" i="2"/>
  <c r="K3277" i="2" s="1"/>
  <c r="J3278" i="2"/>
  <c r="K3278" i="2" s="1"/>
  <c r="J3279" i="2"/>
  <c r="K3279" i="2" s="1"/>
  <c r="J3280" i="2"/>
  <c r="K3280" i="2" s="1"/>
  <c r="J3281" i="2"/>
  <c r="K3281" i="2" s="1"/>
  <c r="J3282" i="2"/>
  <c r="K3282" i="2" s="1"/>
  <c r="J3283" i="2"/>
  <c r="K3283" i="2" s="1"/>
  <c r="J3284" i="2"/>
  <c r="K3284" i="2" s="1"/>
  <c r="J3285" i="2"/>
  <c r="K3285" i="2" s="1"/>
  <c r="J3286" i="2"/>
  <c r="K3286" i="2" s="1"/>
  <c r="J3287" i="2"/>
  <c r="K3287" i="2" s="1"/>
  <c r="J3288" i="2"/>
  <c r="K3288" i="2" s="1"/>
  <c r="J3289" i="2"/>
  <c r="K3289" i="2" s="1"/>
  <c r="J3290" i="2"/>
  <c r="K3290" i="2" s="1"/>
  <c r="J3291" i="2"/>
  <c r="K3291" i="2" s="1"/>
  <c r="J3292" i="2"/>
  <c r="K3292" i="2" s="1"/>
  <c r="J3293" i="2"/>
  <c r="K3293" i="2" s="1"/>
  <c r="J3294" i="2"/>
  <c r="K3294" i="2" s="1"/>
  <c r="J3295" i="2"/>
  <c r="K3295" i="2" s="1"/>
  <c r="J3296" i="2"/>
  <c r="K3296" i="2" s="1"/>
  <c r="J3297" i="2"/>
  <c r="K3297" i="2" s="1"/>
  <c r="J3298" i="2"/>
  <c r="K3298" i="2" s="1"/>
  <c r="J3299" i="2"/>
  <c r="K3299" i="2" s="1"/>
  <c r="J3300" i="2"/>
  <c r="K3300" i="2" s="1"/>
  <c r="J3301" i="2"/>
  <c r="K3301" i="2" s="1"/>
  <c r="J3302" i="2"/>
  <c r="K3302" i="2" s="1"/>
  <c r="J3303" i="2"/>
  <c r="K3303" i="2" s="1"/>
  <c r="J3304" i="2"/>
  <c r="K3304" i="2" s="1"/>
  <c r="J3305" i="2"/>
  <c r="K3305" i="2" s="1"/>
  <c r="J3306" i="2"/>
  <c r="K3306" i="2" s="1"/>
  <c r="J3307" i="2"/>
  <c r="K3307" i="2" s="1"/>
  <c r="J3308" i="2"/>
  <c r="K3308" i="2" s="1"/>
  <c r="J3309" i="2"/>
  <c r="K3309" i="2" s="1"/>
  <c r="J3310" i="2"/>
  <c r="K3310" i="2" s="1"/>
  <c r="J3311" i="2"/>
  <c r="K3311" i="2" s="1"/>
  <c r="J3312" i="2"/>
  <c r="K3312" i="2" s="1"/>
  <c r="J3313" i="2"/>
  <c r="K3313" i="2" s="1"/>
  <c r="J3314" i="2"/>
  <c r="K3314" i="2" s="1"/>
  <c r="J3315" i="2"/>
  <c r="K3315" i="2" s="1"/>
  <c r="J3316" i="2"/>
  <c r="K3316" i="2" s="1"/>
  <c r="J3317" i="2"/>
  <c r="K3317" i="2" s="1"/>
  <c r="J3318" i="2"/>
  <c r="K3318" i="2" s="1"/>
  <c r="J3319" i="2"/>
  <c r="K3319" i="2" s="1"/>
  <c r="J3320" i="2"/>
  <c r="K3320" i="2" s="1"/>
  <c r="J3321" i="2"/>
  <c r="K3321" i="2" s="1"/>
  <c r="J3322" i="2"/>
  <c r="K3322" i="2" s="1"/>
  <c r="J3323" i="2"/>
  <c r="K3323" i="2" s="1"/>
  <c r="J3324" i="2"/>
  <c r="K3324" i="2" s="1"/>
  <c r="J3325" i="2"/>
  <c r="K3325" i="2" s="1"/>
  <c r="J3326" i="2"/>
  <c r="K3326" i="2" s="1"/>
  <c r="J3327" i="2"/>
  <c r="K3327" i="2" s="1"/>
  <c r="J3328" i="2"/>
  <c r="K3328" i="2" s="1"/>
  <c r="J3329" i="2"/>
  <c r="K3329" i="2" s="1"/>
  <c r="J3330" i="2"/>
  <c r="K3330" i="2" s="1"/>
  <c r="J3331" i="2"/>
  <c r="K3331" i="2" s="1"/>
  <c r="J3332" i="2"/>
  <c r="K3332" i="2" s="1"/>
  <c r="J3333" i="2"/>
  <c r="K3333" i="2" s="1"/>
  <c r="J3334" i="2"/>
  <c r="K3334" i="2" s="1"/>
  <c r="J3335" i="2"/>
  <c r="K3335" i="2" s="1"/>
  <c r="J3336" i="2"/>
  <c r="K3336" i="2" s="1"/>
  <c r="J3337" i="2"/>
  <c r="K3337" i="2" s="1"/>
  <c r="J3338" i="2"/>
  <c r="K3338" i="2" s="1"/>
  <c r="J3339" i="2"/>
  <c r="K3339" i="2" s="1"/>
  <c r="J3340" i="2"/>
  <c r="K3340" i="2" s="1"/>
  <c r="J3341" i="2"/>
  <c r="K3341" i="2" s="1"/>
  <c r="J3342" i="2"/>
  <c r="K3342" i="2" s="1"/>
  <c r="J3343" i="2"/>
  <c r="K3343" i="2" s="1"/>
  <c r="J3344" i="2"/>
  <c r="K3344" i="2" s="1"/>
  <c r="J3345" i="2"/>
  <c r="K3345" i="2" s="1"/>
  <c r="J3346" i="2"/>
  <c r="K3346" i="2" s="1"/>
  <c r="J3347" i="2"/>
  <c r="K3347" i="2" s="1"/>
  <c r="J3348" i="2"/>
  <c r="K3348" i="2" s="1"/>
  <c r="J3349" i="2"/>
  <c r="K3349" i="2" s="1"/>
  <c r="J3350" i="2"/>
  <c r="K3350" i="2" s="1"/>
  <c r="J3351" i="2"/>
  <c r="K3351" i="2" s="1"/>
  <c r="J3352" i="2"/>
  <c r="K3352" i="2" s="1"/>
  <c r="J3353" i="2"/>
  <c r="K3353" i="2" s="1"/>
  <c r="J3354" i="2"/>
  <c r="K3354" i="2" s="1"/>
  <c r="J3355" i="2"/>
  <c r="K3355" i="2" s="1"/>
  <c r="J3356" i="2"/>
  <c r="K3356" i="2" s="1"/>
  <c r="J3357" i="2"/>
  <c r="K3357" i="2" s="1"/>
  <c r="J3358" i="2"/>
  <c r="K3358" i="2" s="1"/>
  <c r="J3359" i="2"/>
  <c r="K3359" i="2" s="1"/>
  <c r="J3360" i="2"/>
  <c r="K3360" i="2" s="1"/>
  <c r="J3361" i="2"/>
  <c r="K3361" i="2" s="1"/>
  <c r="J3362" i="2"/>
  <c r="K3362" i="2" s="1"/>
  <c r="J3363" i="2"/>
  <c r="K3363" i="2" s="1"/>
  <c r="J3364" i="2"/>
  <c r="K3364" i="2" s="1"/>
  <c r="J3365" i="2"/>
  <c r="K3365" i="2" s="1"/>
  <c r="J3366" i="2"/>
  <c r="K3366" i="2" s="1"/>
  <c r="J3367" i="2"/>
  <c r="K3367" i="2" s="1"/>
  <c r="J3368" i="2"/>
  <c r="K3368" i="2" s="1"/>
  <c r="J3369" i="2"/>
  <c r="K3369" i="2" s="1"/>
  <c r="J3370" i="2"/>
  <c r="K3370" i="2" s="1"/>
  <c r="J3371" i="2"/>
  <c r="K3371" i="2" s="1"/>
  <c r="J3372" i="2"/>
  <c r="K3372" i="2" s="1"/>
  <c r="J3373" i="2"/>
  <c r="K3373" i="2" s="1"/>
  <c r="J3374" i="2"/>
  <c r="K3374" i="2" s="1"/>
  <c r="J3375" i="2"/>
  <c r="K3375" i="2" s="1"/>
  <c r="J3376" i="2"/>
  <c r="K3376" i="2" s="1"/>
  <c r="J3377" i="2"/>
  <c r="K3377" i="2" s="1"/>
  <c r="J3378" i="2"/>
  <c r="K3378" i="2" s="1"/>
  <c r="J3379" i="2"/>
  <c r="K3379" i="2" s="1"/>
  <c r="J3380" i="2"/>
  <c r="K3380" i="2" s="1"/>
  <c r="J3381" i="2"/>
  <c r="K3381" i="2" s="1"/>
  <c r="J3382" i="2"/>
  <c r="K3382" i="2" s="1"/>
  <c r="J3383" i="2"/>
  <c r="K3383" i="2" s="1"/>
  <c r="J3384" i="2"/>
  <c r="K3384" i="2" s="1"/>
  <c r="J3385" i="2"/>
  <c r="K3385" i="2" s="1"/>
  <c r="J3386" i="2"/>
  <c r="K3386" i="2" s="1"/>
  <c r="J3387" i="2"/>
  <c r="K3387" i="2" s="1"/>
  <c r="J3388" i="2"/>
  <c r="K3388" i="2" s="1"/>
  <c r="J3389" i="2"/>
  <c r="K3389" i="2" s="1"/>
  <c r="J3390" i="2"/>
  <c r="K3390" i="2" s="1"/>
  <c r="J3391" i="2"/>
  <c r="K3391" i="2" s="1"/>
  <c r="J3392" i="2"/>
  <c r="K3392" i="2" s="1"/>
  <c r="J3393" i="2"/>
  <c r="K3393" i="2" s="1"/>
  <c r="J3394" i="2"/>
  <c r="K3394" i="2" s="1"/>
  <c r="J3395" i="2"/>
  <c r="K3395" i="2" s="1"/>
  <c r="J3396" i="2"/>
  <c r="K3396" i="2" s="1"/>
  <c r="J3397" i="2"/>
  <c r="K3397" i="2" s="1"/>
  <c r="J3398" i="2"/>
  <c r="K3398" i="2" s="1"/>
  <c r="J3399" i="2"/>
  <c r="K3399" i="2" s="1"/>
  <c r="J3400" i="2"/>
  <c r="K3400" i="2" s="1"/>
  <c r="J3401" i="2"/>
  <c r="K3401" i="2" s="1"/>
  <c r="J3402" i="2"/>
  <c r="K3402" i="2" s="1"/>
  <c r="J3403" i="2"/>
  <c r="K3403" i="2" s="1"/>
  <c r="J3404" i="2"/>
  <c r="K3404" i="2" s="1"/>
  <c r="J3405" i="2"/>
  <c r="K3405" i="2" s="1"/>
  <c r="J3406" i="2"/>
  <c r="K3406" i="2" s="1"/>
  <c r="J3407" i="2"/>
  <c r="K3407" i="2" s="1"/>
  <c r="J3408" i="2"/>
  <c r="K3408" i="2" s="1"/>
  <c r="J3409" i="2"/>
  <c r="K3409" i="2" s="1"/>
  <c r="J3410" i="2"/>
  <c r="K3410" i="2" s="1"/>
  <c r="J3411" i="2"/>
  <c r="K3411" i="2" s="1"/>
  <c r="J3412" i="2"/>
  <c r="K3412" i="2" s="1"/>
  <c r="J3413" i="2"/>
  <c r="K3413" i="2" s="1"/>
  <c r="J3414" i="2"/>
  <c r="K3414" i="2" s="1"/>
  <c r="J3415" i="2"/>
  <c r="K3415" i="2" s="1"/>
  <c r="J3416" i="2"/>
  <c r="K3416" i="2" s="1"/>
  <c r="J3417" i="2"/>
  <c r="K3417" i="2" s="1"/>
  <c r="J3418" i="2"/>
  <c r="K3418" i="2" s="1"/>
  <c r="J3419" i="2"/>
  <c r="K3419" i="2" s="1"/>
  <c r="J3420" i="2"/>
  <c r="K3420" i="2" s="1"/>
  <c r="J3421" i="2"/>
  <c r="K3421" i="2" s="1"/>
  <c r="J3422" i="2"/>
  <c r="K3422" i="2" s="1"/>
  <c r="J3423" i="2"/>
  <c r="K3423" i="2" s="1"/>
  <c r="J3424" i="2"/>
  <c r="K3424" i="2" s="1"/>
  <c r="J3425" i="2"/>
  <c r="K3425" i="2" s="1"/>
  <c r="J3426" i="2"/>
  <c r="K3426" i="2" s="1"/>
  <c r="J3427" i="2"/>
  <c r="K3427" i="2" s="1"/>
  <c r="J3428" i="2"/>
  <c r="K3428" i="2" s="1"/>
  <c r="J3429" i="2"/>
  <c r="K3429" i="2" s="1"/>
  <c r="J3430" i="2"/>
  <c r="K3430" i="2" s="1"/>
  <c r="J3431" i="2"/>
  <c r="K3431" i="2" s="1"/>
  <c r="J3432" i="2"/>
  <c r="K3432" i="2" s="1"/>
  <c r="J3433" i="2"/>
  <c r="K3433" i="2" s="1"/>
  <c r="J3434" i="2"/>
  <c r="K3434" i="2" s="1"/>
  <c r="J3435" i="2"/>
  <c r="K3435" i="2" s="1"/>
  <c r="J3436" i="2"/>
  <c r="K3436" i="2" s="1"/>
  <c r="J3437" i="2"/>
  <c r="K3437" i="2" s="1"/>
  <c r="J3438" i="2"/>
  <c r="K3438" i="2" s="1"/>
  <c r="J3439" i="2"/>
  <c r="K3439" i="2" s="1"/>
  <c r="J3440" i="2"/>
  <c r="K3440" i="2" s="1"/>
  <c r="J3441" i="2"/>
  <c r="K3441" i="2" s="1"/>
  <c r="J3442" i="2"/>
  <c r="K3442" i="2" s="1"/>
  <c r="J3443" i="2"/>
  <c r="K3443" i="2" s="1"/>
  <c r="J3444" i="2"/>
  <c r="K3444" i="2" s="1"/>
  <c r="J3445" i="2"/>
  <c r="K3445" i="2" s="1"/>
  <c r="J3446" i="2"/>
  <c r="K3446" i="2" s="1"/>
  <c r="J3447" i="2"/>
  <c r="K3447" i="2" s="1"/>
  <c r="J3448" i="2"/>
  <c r="K3448" i="2" s="1"/>
  <c r="J3449" i="2"/>
  <c r="K3449" i="2" s="1"/>
  <c r="J3450" i="2"/>
  <c r="K3450" i="2" s="1"/>
  <c r="J3451" i="2"/>
  <c r="K3451" i="2" s="1"/>
  <c r="J3452" i="2"/>
  <c r="K3452" i="2" s="1"/>
  <c r="J3453" i="2"/>
  <c r="K3453" i="2" s="1"/>
  <c r="J3454" i="2"/>
  <c r="K3454" i="2" s="1"/>
  <c r="J3455" i="2"/>
  <c r="K3455" i="2" s="1"/>
  <c r="J3456" i="2"/>
  <c r="K3456" i="2" s="1"/>
  <c r="J3457" i="2"/>
  <c r="K3457" i="2" s="1"/>
  <c r="J3458" i="2"/>
  <c r="K3458" i="2" s="1"/>
  <c r="J3459" i="2"/>
  <c r="K3459" i="2" s="1"/>
  <c r="J3460" i="2"/>
  <c r="K3460" i="2" s="1"/>
  <c r="J3461" i="2"/>
  <c r="K3461" i="2" s="1"/>
  <c r="J3462" i="2"/>
  <c r="K3462" i="2" s="1"/>
  <c r="J3463" i="2"/>
  <c r="K3463" i="2" s="1"/>
  <c r="J3464" i="2"/>
  <c r="K3464" i="2" s="1"/>
  <c r="J3465" i="2"/>
  <c r="K3465" i="2" s="1"/>
  <c r="J3466" i="2"/>
  <c r="K3466" i="2" s="1"/>
  <c r="J3467" i="2"/>
  <c r="K3467" i="2" s="1"/>
  <c r="J3468" i="2"/>
  <c r="K3468" i="2" s="1"/>
  <c r="J3469" i="2"/>
  <c r="K3469" i="2" s="1"/>
  <c r="J3470" i="2"/>
  <c r="K3470" i="2" s="1"/>
  <c r="J3471" i="2"/>
  <c r="K3471" i="2" s="1"/>
  <c r="J3472" i="2"/>
  <c r="K3472" i="2" s="1"/>
  <c r="J3473" i="2"/>
  <c r="K3473" i="2" s="1"/>
  <c r="J3474" i="2"/>
  <c r="K3474" i="2" s="1"/>
  <c r="J3475" i="2"/>
  <c r="K3475" i="2" s="1"/>
  <c r="J3476" i="2"/>
  <c r="K3476" i="2" s="1"/>
  <c r="J3477" i="2"/>
  <c r="K3477" i="2" s="1"/>
  <c r="J3478" i="2"/>
  <c r="K3478" i="2" s="1"/>
  <c r="J3479" i="2"/>
  <c r="K3479" i="2" s="1"/>
  <c r="J3480" i="2"/>
  <c r="K3480" i="2" s="1"/>
  <c r="J3481" i="2"/>
  <c r="K3481" i="2" s="1"/>
  <c r="J3482" i="2"/>
  <c r="K3482" i="2" s="1"/>
  <c r="J3483" i="2"/>
  <c r="K3483" i="2" s="1"/>
  <c r="J3484" i="2"/>
  <c r="K3484" i="2" s="1"/>
  <c r="J3485" i="2"/>
  <c r="K3485" i="2" s="1"/>
  <c r="J3486" i="2"/>
  <c r="K3486" i="2" s="1"/>
  <c r="J3487" i="2"/>
  <c r="K3487" i="2" s="1"/>
  <c r="J3488" i="2"/>
  <c r="K3488" i="2" s="1"/>
  <c r="J3489" i="2"/>
  <c r="K3489" i="2" s="1"/>
  <c r="J3490" i="2"/>
  <c r="K3490" i="2" s="1"/>
  <c r="J3491" i="2"/>
  <c r="K3491" i="2" s="1"/>
  <c r="J3492" i="2"/>
  <c r="K3492" i="2" s="1"/>
  <c r="J3493" i="2"/>
  <c r="K3493" i="2" s="1"/>
  <c r="J3494" i="2"/>
  <c r="K3494" i="2" s="1"/>
  <c r="J3495" i="2"/>
  <c r="K3495" i="2" s="1"/>
  <c r="J3496" i="2"/>
  <c r="K3496" i="2" s="1"/>
  <c r="J3497" i="2"/>
  <c r="K3497" i="2" s="1"/>
  <c r="J3498" i="2"/>
  <c r="K3498" i="2" s="1"/>
  <c r="J3499" i="2"/>
  <c r="K3499" i="2" s="1"/>
  <c r="J3500" i="2"/>
  <c r="K3500" i="2" s="1"/>
  <c r="J3501" i="2"/>
  <c r="K3501" i="2" s="1"/>
  <c r="J3502" i="2"/>
  <c r="K3502" i="2" s="1"/>
  <c r="J3503" i="2"/>
  <c r="K3503" i="2" s="1"/>
  <c r="J3504" i="2"/>
  <c r="K3504" i="2" s="1"/>
  <c r="J3505" i="2"/>
  <c r="K3505" i="2" s="1"/>
  <c r="J3506" i="2"/>
  <c r="K3506" i="2" s="1"/>
  <c r="J3507" i="2"/>
  <c r="K3507" i="2" s="1"/>
  <c r="J3508" i="2"/>
  <c r="K3508" i="2" s="1"/>
  <c r="J3509" i="2"/>
  <c r="K3509" i="2" s="1"/>
  <c r="J3510" i="2"/>
  <c r="K3510" i="2" s="1"/>
  <c r="J3511" i="2"/>
  <c r="K3511" i="2" s="1"/>
  <c r="J3512" i="2"/>
  <c r="K3512" i="2" s="1"/>
  <c r="J3513" i="2"/>
  <c r="K3513" i="2" s="1"/>
  <c r="J3514" i="2"/>
  <c r="K3514" i="2" s="1"/>
  <c r="J3515" i="2"/>
  <c r="K3515" i="2" s="1"/>
  <c r="J3516" i="2"/>
  <c r="K3516" i="2" s="1"/>
  <c r="J3517" i="2"/>
  <c r="K3517" i="2" s="1"/>
  <c r="J3518" i="2"/>
  <c r="K3518" i="2" s="1"/>
  <c r="J3519" i="2"/>
  <c r="K3519" i="2" s="1"/>
  <c r="J3520" i="2"/>
  <c r="K3520" i="2" s="1"/>
  <c r="J3521" i="2"/>
  <c r="K3521" i="2" s="1"/>
  <c r="J3522" i="2"/>
  <c r="K3522" i="2" s="1"/>
  <c r="J3523" i="2"/>
  <c r="K3523" i="2" s="1"/>
  <c r="J3524" i="2"/>
  <c r="K3524" i="2" s="1"/>
  <c r="J3525" i="2"/>
  <c r="K3525" i="2" s="1"/>
  <c r="J3526" i="2"/>
  <c r="K3526" i="2" s="1"/>
  <c r="J3527" i="2"/>
  <c r="K3527" i="2" s="1"/>
  <c r="J3528" i="2"/>
  <c r="K3528" i="2" s="1"/>
  <c r="J3529" i="2"/>
  <c r="K3529" i="2" s="1"/>
  <c r="J3530" i="2"/>
  <c r="K3530" i="2" s="1"/>
  <c r="J3531" i="2"/>
  <c r="K3531" i="2" s="1"/>
  <c r="J3532" i="2"/>
  <c r="K3532" i="2" s="1"/>
  <c r="J3533" i="2"/>
  <c r="K3533" i="2" s="1"/>
  <c r="J3534" i="2"/>
  <c r="K3534" i="2" s="1"/>
  <c r="J3535" i="2"/>
  <c r="K3535" i="2" s="1"/>
  <c r="J3536" i="2"/>
  <c r="K3536" i="2" s="1"/>
  <c r="J3537" i="2"/>
  <c r="K3537" i="2" s="1"/>
  <c r="J3538" i="2"/>
  <c r="K3538" i="2" s="1"/>
  <c r="J3539" i="2"/>
  <c r="K3539" i="2" s="1"/>
  <c r="J3540" i="2"/>
  <c r="K3540" i="2" s="1"/>
  <c r="J3541" i="2"/>
  <c r="K3541" i="2" s="1"/>
  <c r="J3542" i="2"/>
  <c r="K3542" i="2" s="1"/>
  <c r="J3543" i="2"/>
  <c r="K3543" i="2" s="1"/>
  <c r="J3544" i="2"/>
  <c r="K3544" i="2" s="1"/>
  <c r="J3545" i="2"/>
  <c r="K3545" i="2" s="1"/>
  <c r="J3546" i="2"/>
  <c r="K3546" i="2" s="1"/>
  <c r="J3547" i="2"/>
  <c r="K3547" i="2" s="1"/>
  <c r="J3548" i="2"/>
  <c r="K3548" i="2" s="1"/>
  <c r="J3549" i="2"/>
  <c r="K3549" i="2" s="1"/>
  <c r="J3550" i="2"/>
  <c r="K3550" i="2" s="1"/>
  <c r="J3551" i="2"/>
  <c r="K3551" i="2" s="1"/>
  <c r="J3552" i="2"/>
  <c r="K3552" i="2" s="1"/>
  <c r="J3553" i="2"/>
  <c r="K3553" i="2" s="1"/>
  <c r="J3554" i="2"/>
  <c r="K3554" i="2" s="1"/>
  <c r="J3555" i="2"/>
  <c r="K3555" i="2" s="1"/>
  <c r="J3556" i="2"/>
  <c r="K3556" i="2" s="1"/>
  <c r="J3557" i="2"/>
  <c r="K3557" i="2" s="1"/>
  <c r="J3558" i="2"/>
  <c r="K3558" i="2" s="1"/>
  <c r="J3559" i="2"/>
  <c r="K3559" i="2" s="1"/>
  <c r="J3560" i="2"/>
  <c r="K3560" i="2" s="1"/>
  <c r="J3561" i="2"/>
  <c r="K3561" i="2" s="1"/>
  <c r="J3562" i="2"/>
  <c r="K3562" i="2" s="1"/>
  <c r="J3563" i="2"/>
  <c r="K3563" i="2" s="1"/>
  <c r="J3564" i="2"/>
  <c r="K3564" i="2" s="1"/>
  <c r="J3565" i="2"/>
  <c r="K3565" i="2" s="1"/>
  <c r="J3566" i="2"/>
  <c r="K3566" i="2" s="1"/>
  <c r="J3567" i="2"/>
  <c r="K3567" i="2" s="1"/>
  <c r="J3568" i="2"/>
  <c r="K3568" i="2" s="1"/>
  <c r="J3569" i="2"/>
  <c r="K3569" i="2" s="1"/>
  <c r="J3570" i="2"/>
  <c r="K3570" i="2" s="1"/>
  <c r="J3571" i="2"/>
  <c r="K3571" i="2" s="1"/>
  <c r="J3572" i="2"/>
  <c r="K3572" i="2" s="1"/>
  <c r="J3573" i="2"/>
  <c r="K3573" i="2" s="1"/>
  <c r="J3574" i="2"/>
  <c r="K3574" i="2" s="1"/>
  <c r="J3575" i="2"/>
  <c r="K3575" i="2" s="1"/>
  <c r="J3576" i="2"/>
  <c r="K3576" i="2" s="1"/>
  <c r="J3577" i="2"/>
  <c r="K3577" i="2" s="1"/>
  <c r="J3578" i="2"/>
  <c r="K3578" i="2" s="1"/>
  <c r="J3579" i="2"/>
  <c r="K3579" i="2" s="1"/>
  <c r="J3580" i="2"/>
  <c r="K3580" i="2" s="1"/>
  <c r="J3581" i="2"/>
  <c r="K3581" i="2" s="1"/>
  <c r="J3582" i="2"/>
  <c r="K3582" i="2" s="1"/>
  <c r="J3583" i="2"/>
  <c r="K3583" i="2" s="1"/>
  <c r="J3584" i="2"/>
  <c r="K3584" i="2" s="1"/>
  <c r="J3585" i="2"/>
  <c r="K3585" i="2" s="1"/>
  <c r="J3586" i="2"/>
  <c r="K3586" i="2" s="1"/>
  <c r="J3587" i="2"/>
  <c r="K3587" i="2" s="1"/>
  <c r="J3588" i="2"/>
  <c r="K3588" i="2" s="1"/>
  <c r="J3589" i="2"/>
  <c r="K3589" i="2" s="1"/>
  <c r="J3590" i="2"/>
  <c r="K3590" i="2" s="1"/>
  <c r="J3591" i="2"/>
  <c r="K3591" i="2" s="1"/>
  <c r="J3592" i="2"/>
  <c r="K3592" i="2" s="1"/>
  <c r="J3593" i="2"/>
  <c r="K3593" i="2" s="1"/>
  <c r="J3594" i="2"/>
  <c r="K3594" i="2" s="1"/>
  <c r="J3595" i="2"/>
  <c r="K3595" i="2" s="1"/>
  <c r="J3596" i="2"/>
  <c r="K3596" i="2" s="1"/>
  <c r="J3597" i="2"/>
  <c r="K3597" i="2" s="1"/>
  <c r="J3598" i="2"/>
  <c r="K3598" i="2" s="1"/>
  <c r="J3599" i="2"/>
  <c r="K3599" i="2" s="1"/>
  <c r="J3600" i="2"/>
  <c r="K3600" i="2" s="1"/>
  <c r="J3601" i="2"/>
  <c r="K3601" i="2" s="1"/>
  <c r="J3602" i="2"/>
  <c r="K3602" i="2" s="1"/>
  <c r="J3603" i="2"/>
  <c r="K3603" i="2" s="1"/>
  <c r="J3604" i="2"/>
  <c r="K3604" i="2" s="1"/>
  <c r="J3605" i="2"/>
  <c r="K3605" i="2" s="1"/>
  <c r="J3606" i="2"/>
  <c r="K3606" i="2" s="1"/>
  <c r="J3607" i="2"/>
  <c r="K3607" i="2" s="1"/>
  <c r="J3608" i="2"/>
  <c r="K3608" i="2" s="1"/>
  <c r="J3609" i="2"/>
  <c r="K3609" i="2" s="1"/>
  <c r="J3610" i="2"/>
  <c r="K3610" i="2" s="1"/>
  <c r="J3611" i="2"/>
  <c r="K3611" i="2" s="1"/>
  <c r="J3612" i="2"/>
  <c r="K3612" i="2" s="1"/>
  <c r="J3613" i="2"/>
  <c r="K3613" i="2" s="1"/>
  <c r="J3614" i="2"/>
  <c r="K3614" i="2" s="1"/>
  <c r="J3615" i="2"/>
  <c r="K3615" i="2" s="1"/>
  <c r="J3616" i="2"/>
  <c r="K3616" i="2" s="1"/>
  <c r="J3617" i="2"/>
  <c r="K3617" i="2" s="1"/>
  <c r="J3618" i="2"/>
  <c r="K3618" i="2" s="1"/>
  <c r="J3619" i="2"/>
  <c r="K3619" i="2" s="1"/>
  <c r="J3620" i="2"/>
  <c r="K3620" i="2" s="1"/>
  <c r="J3621" i="2"/>
  <c r="K3621" i="2" s="1"/>
  <c r="J3622" i="2"/>
  <c r="K3622" i="2" s="1"/>
  <c r="J3623" i="2"/>
  <c r="K3623" i="2" s="1"/>
  <c r="J3624" i="2"/>
  <c r="K3624" i="2" s="1"/>
  <c r="J3625" i="2"/>
  <c r="K3625" i="2" s="1"/>
  <c r="J3626" i="2"/>
  <c r="K3626" i="2" s="1"/>
  <c r="J3627" i="2"/>
  <c r="K3627" i="2" s="1"/>
  <c r="J3628" i="2"/>
  <c r="K3628" i="2" s="1"/>
  <c r="J3629" i="2"/>
  <c r="K3629" i="2" s="1"/>
  <c r="J3630" i="2"/>
  <c r="K3630" i="2" s="1"/>
  <c r="J3631" i="2"/>
  <c r="K3631" i="2" s="1"/>
  <c r="J3632" i="2"/>
  <c r="K3632" i="2" s="1"/>
  <c r="J3633" i="2"/>
  <c r="K3633" i="2" s="1"/>
  <c r="J3634" i="2"/>
  <c r="K3634" i="2" s="1"/>
  <c r="J3635" i="2"/>
  <c r="K3635" i="2" s="1"/>
  <c r="J3636" i="2"/>
  <c r="K3636" i="2" s="1"/>
  <c r="J3637" i="2"/>
  <c r="K3637" i="2" s="1"/>
  <c r="J3638" i="2"/>
  <c r="K3638" i="2" s="1"/>
  <c r="J3639" i="2"/>
  <c r="K3639" i="2" s="1"/>
  <c r="J3640" i="2"/>
  <c r="K3640" i="2" s="1"/>
  <c r="J3641" i="2"/>
  <c r="K3641" i="2" s="1"/>
  <c r="J3642" i="2"/>
  <c r="K3642" i="2" s="1"/>
  <c r="J3643" i="2"/>
  <c r="K3643" i="2" s="1"/>
  <c r="J3644" i="2"/>
  <c r="K3644" i="2" s="1"/>
  <c r="J3645" i="2"/>
  <c r="K3645" i="2" s="1"/>
  <c r="J3646" i="2"/>
  <c r="K3646" i="2" s="1"/>
  <c r="J3647" i="2"/>
  <c r="K3647" i="2" s="1"/>
  <c r="J3648" i="2"/>
  <c r="K3648" i="2" s="1"/>
  <c r="J3649" i="2"/>
  <c r="K3649" i="2" s="1"/>
  <c r="J3650" i="2"/>
  <c r="K3650" i="2" s="1"/>
  <c r="J3651" i="2"/>
  <c r="K3651" i="2" s="1"/>
  <c r="J3652" i="2"/>
  <c r="K3652" i="2" s="1"/>
  <c r="J3653" i="2"/>
  <c r="K3653" i="2" s="1"/>
  <c r="J3654" i="2"/>
  <c r="K3654" i="2" s="1"/>
  <c r="J3655" i="2"/>
  <c r="K3655" i="2" s="1"/>
  <c r="J3656" i="2"/>
  <c r="K3656" i="2" s="1"/>
  <c r="J3657" i="2"/>
  <c r="K3657" i="2" s="1"/>
  <c r="J3658" i="2"/>
  <c r="K3658" i="2" s="1"/>
  <c r="J3659" i="2"/>
  <c r="K3659" i="2" s="1"/>
  <c r="J3660" i="2"/>
  <c r="K3660" i="2" s="1"/>
  <c r="J3661" i="2"/>
  <c r="K3661" i="2" s="1"/>
  <c r="J3662" i="2"/>
  <c r="K3662" i="2" s="1"/>
  <c r="J3663" i="2"/>
  <c r="K3663" i="2" s="1"/>
  <c r="J3664" i="2"/>
  <c r="K3664" i="2" s="1"/>
  <c r="J3665" i="2"/>
  <c r="K3665" i="2" s="1"/>
  <c r="J3666" i="2"/>
  <c r="K3666" i="2" s="1"/>
  <c r="J3667" i="2"/>
  <c r="K3667" i="2" s="1"/>
  <c r="J3668" i="2"/>
  <c r="K3668" i="2" s="1"/>
  <c r="J3669" i="2"/>
  <c r="K3669" i="2" s="1"/>
  <c r="J3670" i="2"/>
  <c r="K3670" i="2" s="1"/>
  <c r="D3670" i="2" s="1"/>
  <c r="J3671" i="2"/>
  <c r="K3671" i="2" s="1"/>
  <c r="J3672" i="2"/>
  <c r="K3672" i="2" s="1"/>
  <c r="J3673" i="2"/>
  <c r="K3673" i="2" s="1"/>
  <c r="J3674" i="2"/>
  <c r="K3674" i="2" s="1"/>
  <c r="J3675" i="2"/>
  <c r="K3675" i="2" s="1"/>
  <c r="J3676" i="2"/>
  <c r="K3676" i="2" s="1"/>
  <c r="J3677" i="2"/>
  <c r="K3677" i="2" s="1"/>
  <c r="J3678" i="2"/>
  <c r="K3678" i="2" s="1"/>
  <c r="J3679" i="2"/>
  <c r="K3679" i="2" s="1"/>
  <c r="J3680" i="2"/>
  <c r="K3680" i="2" s="1"/>
  <c r="J3681" i="2"/>
  <c r="K3681" i="2" s="1"/>
  <c r="J3682" i="2"/>
  <c r="K3682" i="2" s="1"/>
  <c r="J3683" i="2"/>
  <c r="K3683" i="2" s="1"/>
  <c r="J3684" i="2"/>
  <c r="K3684" i="2" s="1"/>
  <c r="J3685" i="2"/>
  <c r="K3685" i="2" s="1"/>
  <c r="J3686" i="2"/>
  <c r="K3686" i="2" s="1"/>
  <c r="J3687" i="2"/>
  <c r="K3687" i="2" s="1"/>
  <c r="J3688" i="2"/>
  <c r="K3688" i="2" s="1"/>
  <c r="J3689" i="2"/>
  <c r="K3689" i="2" s="1"/>
  <c r="J3690" i="2"/>
  <c r="K3690" i="2" s="1"/>
  <c r="J3691" i="2"/>
  <c r="K3691" i="2" s="1"/>
  <c r="J3692" i="2"/>
  <c r="K3692" i="2" s="1"/>
  <c r="J3693" i="2"/>
  <c r="K3693" i="2" s="1"/>
  <c r="J3694" i="2"/>
  <c r="K3694" i="2" s="1"/>
  <c r="J3695" i="2"/>
  <c r="K3695" i="2" s="1"/>
  <c r="J3696" i="2"/>
  <c r="K3696" i="2" s="1"/>
  <c r="J3697" i="2"/>
  <c r="K3697" i="2" s="1"/>
  <c r="J3698" i="2"/>
  <c r="K3698" i="2" s="1"/>
  <c r="J3699" i="2"/>
  <c r="K3699" i="2" s="1"/>
  <c r="J3700" i="2"/>
  <c r="K3700" i="2" s="1"/>
  <c r="J3701" i="2"/>
  <c r="K3701" i="2" s="1"/>
  <c r="J3702" i="2"/>
  <c r="K3702" i="2" s="1"/>
  <c r="J3703" i="2"/>
  <c r="K3703" i="2" s="1"/>
  <c r="J3704" i="2"/>
  <c r="K3704" i="2" s="1"/>
  <c r="J3705" i="2"/>
  <c r="K3705" i="2" s="1"/>
  <c r="J3706" i="2"/>
  <c r="K3706" i="2" s="1"/>
  <c r="J3707" i="2"/>
  <c r="K3707" i="2" s="1"/>
  <c r="J3708" i="2"/>
  <c r="K3708" i="2" s="1"/>
  <c r="J3709" i="2"/>
  <c r="K3709" i="2" s="1"/>
  <c r="J3710" i="2"/>
  <c r="K3710" i="2" s="1"/>
  <c r="J3711" i="2"/>
  <c r="K3711" i="2" s="1"/>
  <c r="J3712" i="2"/>
  <c r="K3712" i="2" s="1"/>
  <c r="J3713" i="2"/>
  <c r="K3713" i="2" s="1"/>
  <c r="J3714" i="2"/>
  <c r="K3714" i="2" s="1"/>
  <c r="J3715" i="2"/>
  <c r="K3715" i="2" s="1"/>
  <c r="J3716" i="2"/>
  <c r="K3716" i="2" s="1"/>
  <c r="J3717" i="2"/>
  <c r="K3717" i="2" s="1"/>
  <c r="J3718" i="2"/>
  <c r="K3718" i="2" s="1"/>
  <c r="J3719" i="2"/>
  <c r="K3719" i="2" s="1"/>
  <c r="J3720" i="2"/>
  <c r="K3720" i="2" s="1"/>
  <c r="J3721" i="2"/>
  <c r="K3721" i="2" s="1"/>
  <c r="J3722" i="2"/>
  <c r="K3722" i="2" s="1"/>
  <c r="J3723" i="2"/>
  <c r="K3723" i="2" s="1"/>
  <c r="J3724" i="2"/>
  <c r="K3724" i="2" s="1"/>
  <c r="J3725" i="2"/>
  <c r="K3725" i="2" s="1"/>
  <c r="J3726" i="2"/>
  <c r="K3726" i="2" s="1"/>
  <c r="J3727" i="2"/>
  <c r="K3727" i="2" s="1"/>
  <c r="J3728" i="2"/>
  <c r="K3728" i="2" s="1"/>
  <c r="J3729" i="2"/>
  <c r="K3729" i="2" s="1"/>
  <c r="J3730" i="2"/>
  <c r="K3730" i="2" s="1"/>
  <c r="J3731" i="2"/>
  <c r="K3731" i="2" s="1"/>
  <c r="J3732" i="2"/>
  <c r="K3732" i="2" s="1"/>
  <c r="J3733" i="2"/>
  <c r="K3733" i="2" s="1"/>
  <c r="J3734" i="2"/>
  <c r="K3734" i="2" s="1"/>
  <c r="J3735" i="2"/>
  <c r="K3735" i="2" s="1"/>
  <c r="J3736" i="2"/>
  <c r="K3736" i="2" s="1"/>
  <c r="J3737" i="2"/>
  <c r="K3737" i="2" s="1"/>
  <c r="J3738" i="2"/>
  <c r="K3738" i="2" s="1"/>
  <c r="J3739" i="2"/>
  <c r="K3739" i="2" s="1"/>
  <c r="J3740" i="2"/>
  <c r="K3740" i="2" s="1"/>
  <c r="J3741" i="2"/>
  <c r="K3741" i="2" s="1"/>
  <c r="J3742" i="2"/>
  <c r="K3742" i="2" s="1"/>
  <c r="J3743" i="2"/>
  <c r="K3743" i="2" s="1"/>
  <c r="J3744" i="2"/>
  <c r="K3744" i="2" s="1"/>
  <c r="J3745" i="2"/>
  <c r="K3745" i="2" s="1"/>
  <c r="J3746" i="2"/>
  <c r="K3746" i="2" s="1"/>
  <c r="J3747" i="2"/>
  <c r="K3747" i="2" s="1"/>
  <c r="J3748" i="2"/>
  <c r="K3748" i="2" s="1"/>
  <c r="J3749" i="2"/>
  <c r="K3749" i="2" s="1"/>
  <c r="J3750" i="2"/>
  <c r="K3750" i="2" s="1"/>
  <c r="J3751" i="2"/>
  <c r="K3751" i="2" s="1"/>
  <c r="J3752" i="2"/>
  <c r="K3752" i="2" s="1"/>
  <c r="J3753" i="2"/>
  <c r="K3753" i="2" s="1"/>
  <c r="J3754" i="2"/>
  <c r="K3754" i="2" s="1"/>
  <c r="J3755" i="2"/>
  <c r="K3755" i="2" s="1"/>
  <c r="J3756" i="2"/>
  <c r="K3756" i="2" s="1"/>
  <c r="J3757" i="2"/>
  <c r="K3757" i="2" s="1"/>
  <c r="J3758" i="2"/>
  <c r="K3758" i="2" s="1"/>
  <c r="J3759" i="2"/>
  <c r="K3759" i="2" s="1"/>
  <c r="J3760" i="2"/>
  <c r="K3760" i="2" s="1"/>
  <c r="J3761" i="2"/>
  <c r="K3761" i="2" s="1"/>
  <c r="J3762" i="2"/>
  <c r="K3762" i="2" s="1"/>
  <c r="J3763" i="2"/>
  <c r="K3763" i="2" s="1"/>
  <c r="J3764" i="2"/>
  <c r="K3764" i="2" s="1"/>
  <c r="J3765" i="2"/>
  <c r="K3765" i="2" s="1"/>
  <c r="J3766" i="2"/>
  <c r="K3766" i="2" s="1"/>
  <c r="J3767" i="2"/>
  <c r="K3767" i="2" s="1"/>
  <c r="J3768" i="2"/>
  <c r="K3768" i="2" s="1"/>
  <c r="J3769" i="2"/>
  <c r="K3769" i="2" s="1"/>
  <c r="J3770" i="2"/>
  <c r="K3770" i="2" s="1"/>
  <c r="J3771" i="2"/>
  <c r="K3771" i="2" s="1"/>
  <c r="J3772" i="2"/>
  <c r="K3772" i="2" s="1"/>
  <c r="J3773" i="2"/>
  <c r="K3773" i="2" s="1"/>
  <c r="J3774" i="2"/>
  <c r="K3774" i="2" s="1"/>
  <c r="J3775" i="2"/>
  <c r="K3775" i="2" s="1"/>
  <c r="J3776" i="2"/>
  <c r="K3776" i="2" s="1"/>
  <c r="J3777" i="2"/>
  <c r="K3777" i="2" s="1"/>
  <c r="J3778" i="2"/>
  <c r="K3778" i="2" s="1"/>
  <c r="J3779" i="2"/>
  <c r="K3779" i="2" s="1"/>
  <c r="J3780" i="2"/>
  <c r="K3780" i="2" s="1"/>
  <c r="J3781" i="2"/>
  <c r="K3781" i="2" s="1"/>
  <c r="J3782" i="2"/>
  <c r="K3782" i="2" s="1"/>
  <c r="J3783" i="2"/>
  <c r="K3783" i="2" s="1"/>
  <c r="J3784" i="2"/>
  <c r="K3784" i="2" s="1"/>
  <c r="J3785" i="2"/>
  <c r="K3785" i="2" s="1"/>
  <c r="J3786" i="2"/>
  <c r="K3786" i="2" s="1"/>
  <c r="J3787" i="2"/>
  <c r="K3787" i="2" s="1"/>
  <c r="J3788" i="2"/>
  <c r="K3788" i="2" s="1"/>
  <c r="J3789" i="2"/>
  <c r="K3789" i="2" s="1"/>
  <c r="J3790" i="2"/>
  <c r="K3790" i="2" s="1"/>
  <c r="J3791" i="2"/>
  <c r="K3791" i="2" s="1"/>
  <c r="J3792" i="2"/>
  <c r="K3792" i="2" s="1"/>
  <c r="J3793" i="2"/>
  <c r="K3793" i="2" s="1"/>
  <c r="J3794" i="2"/>
  <c r="K3794" i="2" s="1"/>
  <c r="J3795" i="2"/>
  <c r="K3795" i="2" s="1"/>
  <c r="J3796" i="2"/>
  <c r="K3796" i="2" s="1"/>
  <c r="J3797" i="2"/>
  <c r="K3797" i="2" s="1"/>
  <c r="J3798" i="2"/>
  <c r="K3798" i="2" s="1"/>
  <c r="J3799" i="2"/>
  <c r="K3799" i="2" s="1"/>
  <c r="J3800" i="2"/>
  <c r="K3800" i="2" s="1"/>
  <c r="J3801" i="2"/>
  <c r="K3801" i="2" s="1"/>
  <c r="J3802" i="2"/>
  <c r="K3802" i="2" s="1"/>
  <c r="J3803" i="2"/>
  <c r="K3803" i="2" s="1"/>
  <c r="J3804" i="2"/>
  <c r="K3804" i="2" s="1"/>
  <c r="J3805" i="2"/>
  <c r="K3805" i="2" s="1"/>
  <c r="J3806" i="2"/>
  <c r="K3806" i="2" s="1"/>
  <c r="J3807" i="2"/>
  <c r="K3807" i="2" s="1"/>
  <c r="J3808" i="2"/>
  <c r="K3808" i="2" s="1"/>
  <c r="J3809" i="2"/>
  <c r="K3809" i="2" s="1"/>
  <c r="J3810" i="2"/>
  <c r="K3810" i="2" s="1"/>
  <c r="J3811" i="2"/>
  <c r="K3811" i="2" s="1"/>
  <c r="J3812" i="2"/>
  <c r="K3812" i="2" s="1"/>
  <c r="J3813" i="2"/>
  <c r="K3813" i="2" s="1"/>
  <c r="J3814" i="2"/>
  <c r="K3814" i="2" s="1"/>
  <c r="J3815" i="2"/>
  <c r="K3815" i="2" s="1"/>
  <c r="J3816" i="2"/>
  <c r="K3816" i="2" s="1"/>
  <c r="J3817" i="2"/>
  <c r="K3817" i="2" s="1"/>
  <c r="J3818" i="2"/>
  <c r="K3818" i="2" s="1"/>
  <c r="J3819" i="2"/>
  <c r="K3819" i="2" s="1"/>
  <c r="J3820" i="2"/>
  <c r="K3820" i="2" s="1"/>
  <c r="J3821" i="2"/>
  <c r="K3821" i="2" s="1"/>
  <c r="J3822" i="2"/>
  <c r="K3822" i="2" s="1"/>
  <c r="J3823" i="2"/>
  <c r="K3823" i="2" s="1"/>
  <c r="J3824" i="2"/>
  <c r="K3824" i="2" s="1"/>
  <c r="J3825" i="2"/>
  <c r="K3825" i="2" s="1"/>
  <c r="J3826" i="2"/>
  <c r="K3826" i="2" s="1"/>
  <c r="J3827" i="2"/>
  <c r="K3827" i="2" s="1"/>
  <c r="J3828" i="2"/>
  <c r="K3828" i="2" s="1"/>
  <c r="J3829" i="2"/>
  <c r="K3829" i="2" s="1"/>
  <c r="J3830" i="2"/>
  <c r="K3830" i="2" s="1"/>
  <c r="J3831" i="2"/>
  <c r="K3831" i="2" s="1"/>
  <c r="J3832" i="2"/>
  <c r="K3832" i="2" s="1"/>
  <c r="J3833" i="2"/>
  <c r="K3833" i="2" s="1"/>
  <c r="J3834" i="2"/>
  <c r="K3834" i="2" s="1"/>
  <c r="J3835" i="2"/>
  <c r="K3835" i="2" s="1"/>
  <c r="J3836" i="2"/>
  <c r="K3836" i="2" s="1"/>
  <c r="J3837" i="2"/>
  <c r="K3837" i="2" s="1"/>
  <c r="J3838" i="2"/>
  <c r="K3838" i="2" s="1"/>
  <c r="J3839" i="2"/>
  <c r="K3839" i="2" s="1"/>
  <c r="J3840" i="2"/>
  <c r="K3840" i="2" s="1"/>
  <c r="J3841" i="2"/>
  <c r="K3841" i="2" s="1"/>
  <c r="J3842" i="2"/>
  <c r="K3842" i="2" s="1"/>
  <c r="J3843" i="2"/>
  <c r="K3843" i="2" s="1"/>
  <c r="J3844" i="2"/>
  <c r="K3844" i="2" s="1"/>
  <c r="J3845" i="2"/>
  <c r="K3845" i="2" s="1"/>
  <c r="J3846" i="2"/>
  <c r="K3846" i="2" s="1"/>
  <c r="J3847" i="2"/>
  <c r="K3847" i="2" s="1"/>
  <c r="J3848" i="2"/>
  <c r="K3848" i="2" s="1"/>
  <c r="J3849" i="2"/>
  <c r="K3849" i="2" s="1"/>
  <c r="J3850" i="2"/>
  <c r="K3850" i="2" s="1"/>
  <c r="J3851" i="2"/>
  <c r="K3851" i="2" s="1"/>
  <c r="J3852" i="2"/>
  <c r="K3852" i="2" s="1"/>
  <c r="J3853" i="2"/>
  <c r="K3853" i="2" s="1"/>
  <c r="J3854" i="2"/>
  <c r="K3854" i="2" s="1"/>
  <c r="J3855" i="2"/>
  <c r="K3855" i="2" s="1"/>
  <c r="J3856" i="2"/>
  <c r="K3856" i="2" s="1"/>
  <c r="J3857" i="2"/>
  <c r="K3857" i="2" s="1"/>
  <c r="J3858" i="2"/>
  <c r="K3858" i="2" s="1"/>
  <c r="J3859" i="2"/>
  <c r="K3859" i="2" s="1"/>
  <c r="J3860" i="2"/>
  <c r="K3860" i="2" s="1"/>
  <c r="J3861" i="2"/>
  <c r="K3861" i="2" s="1"/>
  <c r="J3862" i="2"/>
  <c r="K3862" i="2" s="1"/>
  <c r="J3863" i="2"/>
  <c r="K3863" i="2" s="1"/>
  <c r="J3864" i="2"/>
  <c r="K3864" i="2" s="1"/>
  <c r="J3865" i="2"/>
  <c r="K3865" i="2" s="1"/>
  <c r="J3866" i="2"/>
  <c r="K3866" i="2" s="1"/>
  <c r="J3867" i="2"/>
  <c r="K3867" i="2" s="1"/>
  <c r="J3868" i="2"/>
  <c r="K3868" i="2" s="1"/>
  <c r="J3869" i="2"/>
  <c r="K3869" i="2" s="1"/>
  <c r="J3870" i="2"/>
  <c r="K3870" i="2" s="1"/>
  <c r="J3871" i="2"/>
  <c r="K3871" i="2" s="1"/>
  <c r="J3872" i="2"/>
  <c r="K3872" i="2" s="1"/>
  <c r="J3873" i="2"/>
  <c r="K3873" i="2" s="1"/>
  <c r="J3874" i="2"/>
  <c r="K3874" i="2" s="1"/>
  <c r="J3875" i="2"/>
  <c r="K3875" i="2" s="1"/>
  <c r="J3876" i="2"/>
  <c r="K3876" i="2" s="1"/>
  <c r="J3877" i="2"/>
  <c r="K3877" i="2" s="1"/>
  <c r="J3878" i="2"/>
  <c r="K3878" i="2" s="1"/>
  <c r="J3879" i="2"/>
  <c r="K3879" i="2" s="1"/>
  <c r="J3880" i="2"/>
  <c r="K3880" i="2" s="1"/>
  <c r="J3881" i="2"/>
  <c r="K3881" i="2" s="1"/>
  <c r="J3882" i="2"/>
  <c r="K3882" i="2" s="1"/>
  <c r="J3883" i="2"/>
  <c r="K3883" i="2" s="1"/>
  <c r="J3884" i="2"/>
  <c r="K3884" i="2" s="1"/>
  <c r="J3885" i="2"/>
  <c r="K3885" i="2" s="1"/>
  <c r="J3886" i="2"/>
  <c r="K3886" i="2" s="1"/>
  <c r="J3887" i="2"/>
  <c r="K3887" i="2" s="1"/>
  <c r="J3888" i="2"/>
  <c r="K3888" i="2" s="1"/>
  <c r="J3889" i="2"/>
  <c r="K3889" i="2" s="1"/>
  <c r="J3890" i="2"/>
  <c r="K3890" i="2" s="1"/>
  <c r="J3891" i="2"/>
  <c r="K3891" i="2" s="1"/>
  <c r="J3892" i="2"/>
  <c r="K3892" i="2" s="1"/>
  <c r="J3893" i="2"/>
  <c r="K3893" i="2" s="1"/>
  <c r="J3894" i="2"/>
  <c r="K3894" i="2" s="1"/>
  <c r="J3895" i="2"/>
  <c r="K3895" i="2" s="1"/>
  <c r="J3896" i="2"/>
  <c r="K3896" i="2" s="1"/>
  <c r="J3897" i="2"/>
  <c r="K3897" i="2" s="1"/>
  <c r="J3898" i="2"/>
  <c r="K3898" i="2" s="1"/>
  <c r="J3899" i="2"/>
  <c r="K3899" i="2" s="1"/>
  <c r="J3900" i="2"/>
  <c r="K3900" i="2" s="1"/>
  <c r="J3901" i="2"/>
  <c r="K3901" i="2" s="1"/>
  <c r="J3902" i="2"/>
  <c r="K3902" i="2" s="1"/>
  <c r="J3903" i="2"/>
  <c r="K3903" i="2" s="1"/>
  <c r="J3904" i="2"/>
  <c r="K3904" i="2" s="1"/>
  <c r="J3905" i="2"/>
  <c r="K3905" i="2" s="1"/>
  <c r="J3906" i="2"/>
  <c r="K3906" i="2" s="1"/>
  <c r="J3907" i="2"/>
  <c r="K3907" i="2" s="1"/>
  <c r="J3908" i="2"/>
  <c r="K3908" i="2" s="1"/>
  <c r="J3909" i="2"/>
  <c r="K3909" i="2" s="1"/>
  <c r="J3910" i="2"/>
  <c r="K3910" i="2" s="1"/>
  <c r="J3911" i="2"/>
  <c r="K3911" i="2" s="1"/>
  <c r="J3912" i="2"/>
  <c r="K3912" i="2" s="1"/>
  <c r="J3913" i="2"/>
  <c r="K3913" i="2" s="1"/>
  <c r="J3914" i="2"/>
  <c r="K3914" i="2" s="1"/>
  <c r="J3915" i="2"/>
  <c r="K3915" i="2" s="1"/>
  <c r="J3916" i="2"/>
  <c r="K3916" i="2" s="1"/>
  <c r="J3917" i="2"/>
  <c r="K3917" i="2" s="1"/>
  <c r="J3918" i="2"/>
  <c r="K3918" i="2" s="1"/>
  <c r="J3919" i="2"/>
  <c r="K3919" i="2" s="1"/>
  <c r="J3920" i="2"/>
  <c r="K3920" i="2" s="1"/>
  <c r="J3921" i="2"/>
  <c r="K3921" i="2" s="1"/>
  <c r="J3922" i="2"/>
  <c r="K3922" i="2" s="1"/>
  <c r="J3923" i="2"/>
  <c r="K3923" i="2" s="1"/>
  <c r="J3924" i="2"/>
  <c r="K3924" i="2" s="1"/>
  <c r="J3925" i="2"/>
  <c r="K3925" i="2" s="1"/>
  <c r="J3926" i="2"/>
  <c r="K3926" i="2" s="1"/>
  <c r="J3927" i="2"/>
  <c r="K3927" i="2" s="1"/>
  <c r="J3928" i="2"/>
  <c r="K3928" i="2" s="1"/>
  <c r="J3929" i="2"/>
  <c r="K3929" i="2" s="1"/>
  <c r="J3930" i="2"/>
  <c r="K3930" i="2" s="1"/>
  <c r="J3931" i="2"/>
  <c r="K3931" i="2" s="1"/>
  <c r="J3932" i="2"/>
  <c r="K3932" i="2" s="1"/>
  <c r="J3933" i="2"/>
  <c r="K3933" i="2" s="1"/>
  <c r="J3934" i="2"/>
  <c r="K3934" i="2" s="1"/>
  <c r="J3935" i="2"/>
  <c r="K3935" i="2" s="1"/>
  <c r="J3936" i="2"/>
  <c r="K3936" i="2" s="1"/>
  <c r="J3937" i="2"/>
  <c r="K3937" i="2" s="1"/>
  <c r="J3938" i="2"/>
  <c r="K3938" i="2" s="1"/>
  <c r="J3939" i="2"/>
  <c r="K3939" i="2" s="1"/>
  <c r="J3940" i="2"/>
  <c r="K3940" i="2" s="1"/>
  <c r="J3941" i="2"/>
  <c r="K3941" i="2" s="1"/>
  <c r="J3942" i="2"/>
  <c r="K3942" i="2" s="1"/>
  <c r="J3943" i="2"/>
  <c r="K3943" i="2" s="1"/>
  <c r="J3944" i="2"/>
  <c r="K3944" i="2" s="1"/>
  <c r="J3945" i="2"/>
  <c r="K3945" i="2" s="1"/>
  <c r="J3946" i="2"/>
  <c r="K3946" i="2" s="1"/>
  <c r="J3947" i="2"/>
  <c r="K3947" i="2" s="1"/>
  <c r="J3948" i="2"/>
  <c r="K3948" i="2" s="1"/>
  <c r="J3949" i="2"/>
  <c r="K3949" i="2" s="1"/>
  <c r="J3950" i="2"/>
  <c r="K3950" i="2" s="1"/>
  <c r="J3951" i="2"/>
  <c r="K3951" i="2" s="1"/>
  <c r="J3952" i="2"/>
  <c r="K3952" i="2" s="1"/>
  <c r="J3953" i="2"/>
  <c r="K3953" i="2" s="1"/>
  <c r="J3954" i="2"/>
  <c r="K3954" i="2" s="1"/>
  <c r="J3955" i="2"/>
  <c r="K3955" i="2" s="1"/>
  <c r="J3956" i="2"/>
  <c r="K3956" i="2" s="1"/>
  <c r="J3957" i="2"/>
  <c r="K3957" i="2" s="1"/>
  <c r="J3958" i="2"/>
  <c r="K3958" i="2" s="1"/>
  <c r="J3959" i="2"/>
  <c r="K3959" i="2" s="1"/>
  <c r="J3960" i="2"/>
  <c r="K3960" i="2" s="1"/>
  <c r="J3961" i="2"/>
  <c r="K3961" i="2" s="1"/>
  <c r="J3962" i="2"/>
  <c r="K3962" i="2" s="1"/>
  <c r="J3963" i="2"/>
  <c r="K3963" i="2" s="1"/>
  <c r="J3964" i="2"/>
  <c r="K3964" i="2" s="1"/>
  <c r="J3965" i="2"/>
  <c r="K3965" i="2" s="1"/>
  <c r="J3966" i="2"/>
  <c r="K3966" i="2" s="1"/>
  <c r="J3967" i="2"/>
  <c r="K3967" i="2" s="1"/>
  <c r="J3968" i="2"/>
  <c r="K3968" i="2" s="1"/>
  <c r="J3969" i="2"/>
  <c r="K3969" i="2" s="1"/>
  <c r="J3970" i="2"/>
  <c r="K3970" i="2" s="1"/>
  <c r="J3971" i="2"/>
  <c r="K3971" i="2" s="1"/>
  <c r="J3972" i="2"/>
  <c r="K3972" i="2" s="1"/>
  <c r="J3973" i="2"/>
  <c r="K3973" i="2" s="1"/>
  <c r="J3974" i="2"/>
  <c r="K3974" i="2" s="1"/>
  <c r="J3975" i="2"/>
  <c r="K3975" i="2" s="1"/>
  <c r="J3976" i="2"/>
  <c r="K3976" i="2" s="1"/>
  <c r="J3977" i="2"/>
  <c r="K3977" i="2" s="1"/>
  <c r="J3978" i="2"/>
  <c r="K3978" i="2" s="1"/>
  <c r="J3979" i="2"/>
  <c r="K3979" i="2" s="1"/>
  <c r="J3980" i="2"/>
  <c r="K3980" i="2" s="1"/>
  <c r="J3981" i="2"/>
  <c r="K3981" i="2" s="1"/>
  <c r="J3982" i="2"/>
  <c r="K3982" i="2" s="1"/>
  <c r="J3983" i="2"/>
  <c r="K3983" i="2" s="1"/>
  <c r="J3984" i="2"/>
  <c r="K3984" i="2" s="1"/>
  <c r="J3985" i="2"/>
  <c r="K3985" i="2" s="1"/>
  <c r="J3986" i="2"/>
  <c r="K3986" i="2" s="1"/>
  <c r="J3987" i="2"/>
  <c r="K3987" i="2" s="1"/>
  <c r="J3988" i="2"/>
  <c r="K3988" i="2" s="1"/>
  <c r="J3989" i="2"/>
  <c r="K3989" i="2" s="1"/>
  <c r="J3990" i="2"/>
  <c r="K3990" i="2" s="1"/>
  <c r="J3991" i="2"/>
  <c r="K3991" i="2" s="1"/>
  <c r="J3992" i="2"/>
  <c r="K3992" i="2" s="1"/>
  <c r="J3993" i="2"/>
  <c r="K3993" i="2" s="1"/>
  <c r="J3994" i="2"/>
  <c r="K3994" i="2" s="1"/>
  <c r="J3995" i="2"/>
  <c r="K3995" i="2" s="1"/>
  <c r="J3996" i="2"/>
  <c r="J3997" i="2"/>
  <c r="J3998" i="2"/>
  <c r="J3999" i="2"/>
  <c r="J4000" i="2"/>
  <c r="J4001" i="2"/>
  <c r="J4002" i="2"/>
  <c r="J4003" i="2"/>
  <c r="J4004" i="2"/>
  <c r="J4005" i="2"/>
  <c r="J4006" i="2"/>
  <c r="J2" i="2"/>
  <c r="K2" i="2" s="1"/>
  <c r="L415" i="2"/>
  <c r="L416" i="2"/>
  <c r="L424" i="2"/>
  <c r="L431" i="2"/>
  <c r="L432" i="2"/>
  <c r="L438" i="2"/>
  <c r="L439" i="2"/>
  <c r="L440" i="2"/>
  <c r="L447" i="2"/>
  <c r="L448" i="2"/>
  <c r="L455" i="2"/>
  <c r="L456" i="2"/>
  <c r="L464" i="2"/>
  <c r="L472" i="2"/>
  <c r="L480" i="2"/>
  <c r="L488" i="2"/>
  <c r="L496" i="2"/>
  <c r="L504" i="2"/>
  <c r="L512" i="2"/>
  <c r="L520" i="2"/>
  <c r="L528" i="2"/>
  <c r="L536" i="2"/>
  <c r="L568" i="2"/>
  <c r="L608" i="2"/>
  <c r="L616" i="2"/>
  <c r="L632" i="2"/>
  <c r="L696" i="2"/>
  <c r="L744" i="2"/>
  <c r="L784" i="2"/>
  <c r="L816" i="2"/>
  <c r="L848" i="2"/>
  <c r="L952" i="2"/>
  <c r="L1048" i="2"/>
  <c r="L1128" i="2"/>
  <c r="L1144" i="2"/>
  <c r="L1272" i="2"/>
  <c r="L410" i="2"/>
  <c r="L411" i="2"/>
  <c r="L412" i="2"/>
  <c r="L413" i="2"/>
  <c r="L414" i="2"/>
  <c r="L417" i="2"/>
  <c r="L418" i="2"/>
  <c r="L419" i="2"/>
  <c r="L420" i="2"/>
  <c r="L421" i="2"/>
  <c r="L422" i="2"/>
  <c r="L423" i="2"/>
  <c r="L425" i="2"/>
  <c r="L426" i="2"/>
  <c r="L427" i="2"/>
  <c r="L428" i="2"/>
  <c r="L429" i="2"/>
  <c r="L430" i="2"/>
  <c r="L433" i="2"/>
  <c r="L434" i="2"/>
  <c r="L435" i="2"/>
  <c r="L436" i="2"/>
  <c r="L437" i="2"/>
  <c r="L441" i="2"/>
  <c r="L442" i="2"/>
  <c r="L443" i="2"/>
  <c r="L444" i="2"/>
  <c r="L445" i="2"/>
  <c r="L446" i="2"/>
  <c r="L449" i="2"/>
  <c r="L450" i="2"/>
  <c r="L451" i="2"/>
  <c r="L452" i="2"/>
  <c r="L453" i="2"/>
  <c r="L454" i="2"/>
  <c r="L457" i="2"/>
  <c r="L458" i="2"/>
  <c r="L459" i="2"/>
  <c r="L460" i="2"/>
  <c r="L461" i="2"/>
  <c r="L462" i="2"/>
  <c r="L465" i="2"/>
  <c r="L466" i="2"/>
  <c r="L467" i="2"/>
  <c r="L468" i="2"/>
  <c r="L469" i="2"/>
  <c r="L470" i="2"/>
  <c r="L473" i="2"/>
  <c r="L474" i="2"/>
  <c r="L475" i="2"/>
  <c r="L476" i="2"/>
  <c r="L477" i="2"/>
  <c r="L478" i="2"/>
  <c r="L481" i="2"/>
  <c r="L482" i="2"/>
  <c r="L483" i="2"/>
  <c r="L484" i="2"/>
  <c r="L485" i="2"/>
  <c r="L486" i="2"/>
  <c r="L487" i="2"/>
  <c r="L489" i="2"/>
  <c r="L490" i="2"/>
  <c r="L491" i="2"/>
  <c r="L492" i="2"/>
  <c r="L493" i="2"/>
  <c r="L494" i="2"/>
  <c r="L497" i="2"/>
  <c r="L498" i="2"/>
  <c r="L499" i="2"/>
  <c r="L500" i="2"/>
  <c r="L501" i="2"/>
  <c r="L502" i="2"/>
  <c r="L505" i="2"/>
  <c r="L506" i="2"/>
  <c r="L507" i="2"/>
  <c r="L508" i="2"/>
  <c r="L509" i="2"/>
  <c r="L510" i="2"/>
  <c r="L513" i="2"/>
  <c r="L514" i="2"/>
  <c r="L515" i="2"/>
  <c r="L516" i="2"/>
  <c r="L517" i="2"/>
  <c r="L518" i="2"/>
  <c r="L521" i="2"/>
  <c r="L522" i="2"/>
  <c r="L523" i="2"/>
  <c r="L524" i="2"/>
  <c r="L525" i="2"/>
  <c r="L526" i="2"/>
  <c r="L529" i="2"/>
  <c r="L555" i="2"/>
  <c r="L570" i="2"/>
  <c r="L665" i="2"/>
  <c r="L691" i="2"/>
  <c r="L826" i="2"/>
  <c r="L841" i="2"/>
  <c r="L875" i="2"/>
  <c r="L881" i="2"/>
  <c r="L946" i="2"/>
  <c r="L1241" i="2"/>
  <c r="L1370" i="2"/>
  <c r="L1385" i="2"/>
  <c r="L1610" i="2"/>
  <c r="L1986" i="2"/>
  <c r="K3173" i="2" l="1"/>
  <c r="E3173" i="2" s="1"/>
  <c r="K3045" i="2"/>
  <c r="E3045" i="2" s="1"/>
  <c r="K29" i="2"/>
  <c r="D29" i="2" s="1"/>
  <c r="K21" i="2"/>
  <c r="D21" i="2" s="1"/>
  <c r="K13" i="2"/>
  <c r="D13" i="2" s="1"/>
  <c r="K5" i="2"/>
  <c r="D5" i="2" s="1"/>
  <c r="K28" i="2"/>
  <c r="D28" i="2" s="1"/>
  <c r="K20" i="2"/>
  <c r="D20" i="2" s="1"/>
  <c r="K12" i="2"/>
  <c r="D12" i="2" s="1"/>
  <c r="K4" i="2"/>
  <c r="D4" i="2" s="1"/>
  <c r="E4006" i="2"/>
  <c r="E4001" i="2"/>
  <c r="E4002" i="2"/>
  <c r="L2263" i="2"/>
  <c r="L2255" i="2"/>
  <c r="L2247" i="2"/>
  <c r="L2239" i="2"/>
  <c r="L2231" i="2"/>
  <c r="L2207" i="2"/>
  <c r="L2199" i="2"/>
  <c r="L2191" i="2"/>
  <c r="L2183" i="2"/>
  <c r="L2175" i="2"/>
  <c r="L2167" i="2"/>
  <c r="L2143" i="2"/>
  <c r="L2135" i="2"/>
  <c r="L2127" i="2"/>
  <c r="L2119" i="2"/>
  <c r="L2111" i="2"/>
  <c r="L2103" i="2"/>
  <c r="L2079" i="2"/>
  <c r="L2071" i="2"/>
  <c r="L2063" i="2"/>
  <c r="L2055" i="2"/>
  <c r="L2047" i="2"/>
  <c r="L2039" i="2"/>
  <c r="L2015" i="2"/>
  <c r="L2007" i="2"/>
  <c r="L1999" i="2"/>
  <c r="L1991" i="2"/>
  <c r="L1983" i="2"/>
  <c r="L1975" i="2"/>
  <c r="L1951" i="2"/>
  <c r="L1943" i="2"/>
  <c r="L1935" i="2"/>
  <c r="L1927" i="2"/>
  <c r="L1919" i="2"/>
  <c r="L1911" i="2"/>
  <c r="L1887" i="2"/>
  <c r="L1879" i="2"/>
  <c r="L1871" i="2"/>
  <c r="L1863" i="2"/>
  <c r="L1855" i="2"/>
  <c r="L1847" i="2"/>
  <c r="L1823" i="2"/>
  <c r="L1815" i="2"/>
  <c r="L1807" i="2"/>
  <c r="L1799" i="2"/>
  <c r="L1791" i="2"/>
  <c r="L1783" i="2"/>
  <c r="L1759" i="2"/>
  <c r="L1751" i="2"/>
  <c r="L1743" i="2"/>
  <c r="L1735" i="2"/>
  <c r="L1727" i="2"/>
  <c r="L1719" i="2"/>
  <c r="L1695" i="2"/>
  <c r="L1687" i="2"/>
  <c r="L1679" i="2"/>
  <c r="L1671" i="2"/>
  <c r="L1663" i="2"/>
  <c r="L1655" i="2"/>
  <c r="L1631" i="2"/>
  <c r="L1623" i="2"/>
  <c r="L1615" i="2"/>
  <c r="L1607" i="2"/>
  <c r="L1599" i="2"/>
  <c r="L1591" i="2"/>
  <c r="L1567" i="2"/>
  <c r="L1559" i="2"/>
  <c r="L1551" i="2"/>
  <c r="L1543" i="2"/>
  <c r="L1535" i="2"/>
  <c r="L1527" i="2"/>
  <c r="L1503" i="2"/>
  <c r="L1495" i="2"/>
  <c r="L1487" i="2"/>
  <c r="L1479" i="2"/>
  <c r="L1471" i="2"/>
  <c r="L1463" i="2"/>
  <c r="L1439" i="2"/>
  <c r="L1431" i="2"/>
  <c r="L1423" i="2"/>
  <c r="L1415" i="2"/>
  <c r="L1407" i="2"/>
  <c r="L1399" i="2"/>
  <c r="L1375" i="2"/>
  <c r="L1367" i="2"/>
  <c r="L1359" i="2"/>
  <c r="L1351" i="2"/>
  <c r="L1343" i="2"/>
  <c r="L1335" i="2"/>
  <c r="L1311" i="2"/>
  <c r="L1303" i="2"/>
  <c r="L1295" i="2"/>
  <c r="L1287" i="2"/>
  <c r="L1279" i="2"/>
  <c r="L1271" i="2"/>
  <c r="L1247" i="2"/>
  <c r="L1239" i="2"/>
  <c r="L1231" i="2"/>
  <c r="L1223" i="2"/>
  <c r="L1215" i="2"/>
  <c r="L1207" i="2"/>
  <c r="L1183" i="2"/>
  <c r="L1175" i="2"/>
  <c r="L1167" i="2"/>
  <c r="L1159" i="2"/>
  <c r="L1151" i="2"/>
  <c r="L1143" i="2"/>
  <c r="L1119" i="2"/>
  <c r="L1111" i="2"/>
  <c r="L1103" i="2"/>
  <c r="L1095" i="2"/>
  <c r="L1087" i="2"/>
  <c r="L1079" i="2"/>
  <c r="L1055" i="2"/>
  <c r="L1047" i="2"/>
  <c r="L1039" i="2"/>
  <c r="L1031" i="2"/>
  <c r="L1023" i="2"/>
  <c r="L1015" i="2"/>
  <c r="L991" i="2"/>
  <c r="L983" i="2"/>
  <c r="L975" i="2"/>
  <c r="L967" i="2"/>
  <c r="L959" i="2"/>
  <c r="L951" i="2"/>
  <c r="L927" i="2"/>
  <c r="L919" i="2"/>
  <c r="L911" i="2"/>
  <c r="L903" i="2"/>
  <c r="L895" i="2"/>
  <c r="L887" i="2"/>
  <c r="L863" i="2"/>
  <c r="L855" i="2"/>
  <c r="L847" i="2"/>
  <c r="L839" i="2"/>
  <c r="L831" i="2"/>
  <c r="L823" i="2"/>
  <c r="L799" i="2"/>
  <c r="L791" i="2"/>
  <c r="L783" i="2"/>
  <c r="L775" i="2"/>
  <c r="L767" i="2"/>
  <c r="L759" i="2"/>
  <c r="L735" i="2"/>
  <c r="L727" i="2"/>
  <c r="L719" i="2"/>
  <c r="L711" i="2"/>
  <c r="L703" i="2"/>
  <c r="L695" i="2"/>
  <c r="L671" i="2"/>
  <c r="L663" i="2"/>
  <c r="L655" i="2"/>
  <c r="L647" i="2"/>
  <c r="L639" i="2"/>
  <c r="L631" i="2"/>
  <c r="L607" i="2"/>
  <c r="L599" i="2"/>
  <c r="L591" i="2"/>
  <c r="L583" i="2"/>
  <c r="L575" i="2"/>
  <c r="L567" i="2"/>
  <c r="L559" i="2"/>
  <c r="L551" i="2"/>
  <c r="L543" i="2"/>
  <c r="L535" i="2"/>
  <c r="L527" i="2"/>
  <c r="L519" i="2"/>
  <c r="L511" i="2"/>
  <c r="L503" i="2"/>
  <c r="L479" i="2"/>
  <c r="L471" i="2"/>
  <c r="L463" i="2"/>
  <c r="L3887" i="2"/>
  <c r="L3631" i="2"/>
  <c r="L3375" i="2"/>
  <c r="L3119" i="2"/>
  <c r="L2863" i="2"/>
  <c r="L2607" i="2"/>
  <c r="L2095" i="2"/>
  <c r="L1839" i="2"/>
  <c r="L1583" i="2"/>
  <c r="L1327" i="2"/>
  <c r="L1071" i="2"/>
  <c r="L815" i="2"/>
  <c r="L495" i="2"/>
  <c r="L3815" i="2"/>
  <c r="L3559" i="2"/>
  <c r="L3303" i="2"/>
  <c r="L3047" i="2"/>
  <c r="L2791" i="2"/>
  <c r="L2535" i="2"/>
  <c r="L2279" i="2"/>
  <c r="L2023" i="2"/>
  <c r="L1767" i="2"/>
  <c r="L1511" i="2"/>
  <c r="L1255" i="2"/>
  <c r="L999" i="2"/>
  <c r="L743" i="2"/>
  <c r="L3823" i="2"/>
  <c r="L3567" i="2"/>
  <c r="L3311" i="2"/>
  <c r="L3055" i="2"/>
  <c r="L2799" i="2"/>
  <c r="L2543" i="2"/>
  <c r="L2031" i="2"/>
  <c r="L1775" i="2"/>
  <c r="L1519" i="2"/>
  <c r="L1263" i="2"/>
  <c r="L1007" i="2"/>
  <c r="L751" i="2"/>
  <c r="L3751" i="2"/>
  <c r="L3495" i="2"/>
  <c r="L3239" i="2"/>
  <c r="L2983" i="2"/>
  <c r="L2727" i="2"/>
  <c r="L2471" i="2"/>
  <c r="L2215" i="2"/>
  <c r="L1959" i="2"/>
  <c r="L1703" i="2"/>
  <c r="L1447" i="2"/>
  <c r="L1191" i="2"/>
  <c r="L935" i="2"/>
  <c r="L679" i="2"/>
  <c r="L3759" i="2"/>
  <c r="L3503" i="2"/>
  <c r="L3247" i="2"/>
  <c r="L2991" i="2"/>
  <c r="L2735" i="2"/>
  <c r="L2479" i="2"/>
  <c r="L2223" i="2"/>
  <c r="L1967" i="2"/>
  <c r="L1711" i="2"/>
  <c r="L1455" i="2"/>
  <c r="L1199" i="2"/>
  <c r="L943" i="2"/>
  <c r="L687" i="2"/>
  <c r="L2919" i="2"/>
  <c r="L2407" i="2"/>
  <c r="L2151" i="2"/>
  <c r="L1895" i="2"/>
  <c r="L1639" i="2"/>
  <c r="L1383" i="2"/>
  <c r="L1127" i="2"/>
  <c r="L871" i="2"/>
  <c r="L615" i="2"/>
  <c r="D3989" i="2"/>
  <c r="E3989" i="2"/>
  <c r="D3981" i="2"/>
  <c r="E3981" i="2"/>
  <c r="D3973" i="2"/>
  <c r="E3973" i="2"/>
  <c r="D3965" i="2"/>
  <c r="E3965" i="2"/>
  <c r="D3957" i="2"/>
  <c r="E3957" i="2"/>
  <c r="D3949" i="2"/>
  <c r="E3949" i="2"/>
  <c r="D3941" i="2"/>
  <c r="E3941" i="2"/>
  <c r="D3933" i="2"/>
  <c r="E3933" i="2"/>
  <c r="D3925" i="2"/>
  <c r="E3925" i="2"/>
  <c r="D3917" i="2"/>
  <c r="E3917" i="2"/>
  <c r="D3909" i="2"/>
  <c r="E3909" i="2"/>
  <c r="D3901" i="2"/>
  <c r="E3901" i="2"/>
  <c r="D3893" i="2"/>
  <c r="E3893" i="2"/>
  <c r="D3885" i="2"/>
  <c r="E3885" i="2"/>
  <c r="D3877" i="2"/>
  <c r="E3877" i="2"/>
  <c r="D3869" i="2"/>
  <c r="E3869" i="2"/>
  <c r="D3861" i="2"/>
  <c r="E3861" i="2"/>
  <c r="D3853" i="2"/>
  <c r="E3853" i="2"/>
  <c r="D3845" i="2"/>
  <c r="E3845" i="2"/>
  <c r="D3837" i="2"/>
  <c r="E3837" i="2"/>
  <c r="D3829" i="2"/>
  <c r="E3829" i="2"/>
  <c r="D3821" i="2"/>
  <c r="E3821" i="2"/>
  <c r="D3813" i="2"/>
  <c r="E3813" i="2"/>
  <c r="D3805" i="2"/>
  <c r="E3805" i="2"/>
  <c r="D3797" i="2"/>
  <c r="E3797" i="2"/>
  <c r="D3789" i="2"/>
  <c r="E3789" i="2"/>
  <c r="D3781" i="2"/>
  <c r="E3781" i="2"/>
  <c r="D3773" i="2"/>
  <c r="E3773" i="2"/>
  <c r="D3765" i="2"/>
  <c r="E3765" i="2"/>
  <c r="D3757" i="2"/>
  <c r="E3757" i="2"/>
  <c r="D3749" i="2"/>
  <c r="E3749" i="2"/>
  <c r="D3741" i="2"/>
  <c r="E3741" i="2"/>
  <c r="D3733" i="2"/>
  <c r="E3733" i="2"/>
  <c r="D3725" i="2"/>
  <c r="E3725" i="2"/>
  <c r="D3717" i="2"/>
  <c r="E3717" i="2"/>
  <c r="D3709" i="2"/>
  <c r="E3709" i="2"/>
  <c r="D3701" i="2"/>
  <c r="E3701" i="2"/>
  <c r="D3693" i="2"/>
  <c r="E3693" i="2"/>
  <c r="D3685" i="2"/>
  <c r="E3685" i="2"/>
  <c r="D3677" i="2"/>
  <c r="E3677" i="2"/>
  <c r="D3669" i="2"/>
  <c r="E3669" i="2"/>
  <c r="D3661" i="2"/>
  <c r="E3661" i="2"/>
  <c r="D3653" i="2"/>
  <c r="E3653" i="2"/>
  <c r="D3645" i="2"/>
  <c r="E3645" i="2"/>
  <c r="D3637" i="2"/>
  <c r="E3637" i="2"/>
  <c r="D3629" i="2"/>
  <c r="E3629" i="2"/>
  <c r="D3621" i="2"/>
  <c r="E3621" i="2"/>
  <c r="D3613" i="2"/>
  <c r="E3613" i="2"/>
  <c r="E3605" i="2"/>
  <c r="D3605" i="2"/>
  <c r="D3597" i="2"/>
  <c r="E3597" i="2"/>
  <c r="E3589" i="2"/>
  <c r="D3589" i="2"/>
  <c r="E3581" i="2"/>
  <c r="D3581" i="2"/>
  <c r="E3573" i="2"/>
  <c r="D3573" i="2"/>
  <c r="E3565" i="2"/>
  <c r="D3565" i="2"/>
  <c r="E3557" i="2"/>
  <c r="D3557" i="2"/>
  <c r="E3549" i="2"/>
  <c r="D3549" i="2"/>
  <c r="E3541" i="2"/>
  <c r="D3541" i="2"/>
  <c r="E3533" i="2"/>
  <c r="D3533" i="2"/>
  <c r="E3525" i="2"/>
  <c r="D3525" i="2"/>
  <c r="E3517" i="2"/>
  <c r="D3517" i="2"/>
  <c r="E3509" i="2"/>
  <c r="D3509" i="2"/>
  <c r="E3501" i="2"/>
  <c r="D3501" i="2"/>
  <c r="E3493" i="2"/>
  <c r="D3493" i="2"/>
  <c r="E3485" i="2"/>
  <c r="D3485" i="2"/>
  <c r="E3477" i="2"/>
  <c r="D3477" i="2"/>
  <c r="E3469" i="2"/>
  <c r="D3469" i="2"/>
  <c r="E3461" i="2"/>
  <c r="D3461" i="2"/>
  <c r="E3453" i="2"/>
  <c r="D3453" i="2"/>
  <c r="E3445" i="2"/>
  <c r="D3445" i="2"/>
  <c r="E3437" i="2"/>
  <c r="D3437" i="2"/>
  <c r="E3429" i="2"/>
  <c r="D3429" i="2"/>
  <c r="E3421" i="2"/>
  <c r="D3421" i="2"/>
  <c r="E3413" i="2"/>
  <c r="D3413" i="2"/>
  <c r="E3405" i="2"/>
  <c r="D3405" i="2"/>
  <c r="E3397" i="2"/>
  <c r="D3397" i="2"/>
  <c r="E3389" i="2"/>
  <c r="D3389" i="2"/>
  <c r="E3381" i="2"/>
  <c r="D3381" i="2"/>
  <c r="E3373" i="2"/>
  <c r="D3373" i="2"/>
  <c r="E3365" i="2"/>
  <c r="D3365" i="2"/>
  <c r="E3357" i="2"/>
  <c r="D3357" i="2"/>
  <c r="E3349" i="2"/>
  <c r="D3349" i="2"/>
  <c r="E3341" i="2"/>
  <c r="D3341" i="2"/>
  <c r="E3333" i="2"/>
  <c r="D3333" i="2"/>
  <c r="E3325" i="2"/>
  <c r="D3325" i="2"/>
  <c r="E3317" i="2"/>
  <c r="D3317" i="2"/>
  <c r="E3309" i="2"/>
  <c r="D3309" i="2"/>
  <c r="E3301" i="2"/>
  <c r="D3301" i="2"/>
  <c r="E3293" i="2"/>
  <c r="D3293" i="2"/>
  <c r="E3285" i="2"/>
  <c r="D3285" i="2"/>
  <c r="E3277" i="2"/>
  <c r="D3277" i="2"/>
  <c r="D1813" i="2"/>
  <c r="E1813" i="2"/>
  <c r="D1749" i="2"/>
  <c r="E1749" i="2"/>
  <c r="D1685" i="2"/>
  <c r="E1685" i="2"/>
  <c r="D1621" i="2"/>
  <c r="E1621" i="2"/>
  <c r="E1557" i="2"/>
  <c r="D1557" i="2"/>
  <c r="D1493" i="2"/>
  <c r="E1493" i="2"/>
  <c r="D1429" i="2"/>
  <c r="E1429" i="2"/>
  <c r="D1365" i="2"/>
  <c r="E1365" i="2"/>
  <c r="D1301" i="2"/>
  <c r="E1301" i="2"/>
  <c r="D1237" i="2"/>
  <c r="E1237" i="2"/>
  <c r="D1173" i="2"/>
  <c r="E1173" i="2"/>
  <c r="D1109" i="2"/>
  <c r="E1109" i="2"/>
  <c r="D1045" i="2"/>
  <c r="E1045" i="2"/>
  <c r="D981" i="2"/>
  <c r="E981" i="2"/>
  <c r="D917" i="2"/>
  <c r="E917" i="2"/>
  <c r="D853" i="2"/>
  <c r="E853" i="2"/>
  <c r="D3995" i="2"/>
  <c r="E3995" i="2"/>
  <c r="D3987" i="2"/>
  <c r="E3987" i="2"/>
  <c r="D3979" i="2"/>
  <c r="E3979" i="2"/>
  <c r="D3971" i="2"/>
  <c r="E3971" i="2"/>
  <c r="D3963" i="2"/>
  <c r="E3963" i="2"/>
  <c r="D3955" i="2"/>
  <c r="E3955" i="2"/>
  <c r="D3947" i="2"/>
  <c r="E3947" i="2"/>
  <c r="D3939" i="2"/>
  <c r="E3939" i="2"/>
  <c r="D3931" i="2"/>
  <c r="E3931" i="2"/>
  <c r="D3923" i="2"/>
  <c r="E3923" i="2"/>
  <c r="D3915" i="2"/>
  <c r="E3915" i="2"/>
  <c r="D3907" i="2"/>
  <c r="E3907" i="2"/>
  <c r="D3899" i="2"/>
  <c r="E3899" i="2"/>
  <c r="D3891" i="2"/>
  <c r="E3891" i="2"/>
  <c r="D3883" i="2"/>
  <c r="E3883" i="2"/>
  <c r="D3875" i="2"/>
  <c r="E3875" i="2"/>
  <c r="D3867" i="2"/>
  <c r="E3867" i="2"/>
  <c r="D3859" i="2"/>
  <c r="E3859" i="2"/>
  <c r="D3851" i="2"/>
  <c r="E3851" i="2"/>
  <c r="D3843" i="2"/>
  <c r="E3843" i="2"/>
  <c r="D3835" i="2"/>
  <c r="E3835" i="2"/>
  <c r="D3827" i="2"/>
  <c r="E3827" i="2"/>
  <c r="D3819" i="2"/>
  <c r="E3819" i="2"/>
  <c r="D3811" i="2"/>
  <c r="E3811" i="2"/>
  <c r="D3803" i="2"/>
  <c r="E3803" i="2"/>
  <c r="D3795" i="2"/>
  <c r="E3795" i="2"/>
  <c r="D3787" i="2"/>
  <c r="E3787" i="2"/>
  <c r="D3779" i="2"/>
  <c r="E3779" i="2"/>
  <c r="D3771" i="2"/>
  <c r="E3771" i="2"/>
  <c r="D3763" i="2"/>
  <c r="E3763" i="2"/>
  <c r="D3755" i="2"/>
  <c r="E3755" i="2"/>
  <c r="D3747" i="2"/>
  <c r="E3747" i="2"/>
  <c r="D3739" i="2"/>
  <c r="E3739" i="2"/>
  <c r="D3731" i="2"/>
  <c r="E3731" i="2"/>
  <c r="D3723" i="2"/>
  <c r="E3723" i="2"/>
  <c r="D3715" i="2"/>
  <c r="E3715" i="2"/>
  <c r="D3707" i="2"/>
  <c r="E3707" i="2"/>
  <c r="D3699" i="2"/>
  <c r="E3699" i="2"/>
  <c r="D3691" i="2"/>
  <c r="E3691" i="2"/>
  <c r="D3683" i="2"/>
  <c r="E3683" i="2"/>
  <c r="D3675" i="2"/>
  <c r="E3675" i="2"/>
  <c r="D3667" i="2"/>
  <c r="E3667" i="2"/>
  <c r="D3659" i="2"/>
  <c r="E3659" i="2"/>
  <c r="D3651" i="2"/>
  <c r="E3651" i="2"/>
  <c r="D3635" i="2"/>
  <c r="E3635" i="2"/>
  <c r="D3627" i="2"/>
  <c r="E3627" i="2"/>
  <c r="D3619" i="2"/>
  <c r="E3619" i="2"/>
  <c r="D3611" i="2"/>
  <c r="E3611" i="2"/>
  <c r="E3603" i="2"/>
  <c r="D3603" i="2"/>
  <c r="E3595" i="2"/>
  <c r="D3595" i="2"/>
  <c r="E3587" i="2"/>
  <c r="D3587" i="2"/>
  <c r="E3571" i="2"/>
  <c r="D3571" i="2"/>
  <c r="D3563" i="2"/>
  <c r="E3563" i="2"/>
  <c r="D3555" i="2"/>
  <c r="E3555" i="2"/>
  <c r="D3547" i="2"/>
  <c r="E3547" i="2"/>
  <c r="D3539" i="2"/>
  <c r="E3539" i="2"/>
  <c r="D3531" i="2"/>
  <c r="E3531" i="2"/>
  <c r="D3523" i="2"/>
  <c r="E3523" i="2"/>
  <c r="D3515" i="2"/>
  <c r="E3515" i="2"/>
  <c r="D3507" i="2"/>
  <c r="E3507" i="2"/>
  <c r="D3499" i="2"/>
  <c r="E3499" i="2"/>
  <c r="D3491" i="2"/>
  <c r="E3491" i="2"/>
  <c r="D3483" i="2"/>
  <c r="E3483" i="2"/>
  <c r="D3475" i="2"/>
  <c r="E3475" i="2"/>
  <c r="D3467" i="2"/>
  <c r="E3467" i="2"/>
  <c r="D3459" i="2"/>
  <c r="E3459" i="2"/>
  <c r="D3451" i="2"/>
  <c r="E3451" i="2"/>
  <c r="D3443" i="2"/>
  <c r="E3443" i="2"/>
  <c r="D3435" i="2"/>
  <c r="E3435" i="2"/>
  <c r="D3427" i="2"/>
  <c r="E3427" i="2"/>
  <c r="D3419" i="2"/>
  <c r="E3419" i="2"/>
  <c r="D3411" i="2"/>
  <c r="E3411" i="2"/>
  <c r="D3403" i="2"/>
  <c r="E3403" i="2"/>
  <c r="D3387" i="2"/>
  <c r="E3387" i="2"/>
  <c r="D3379" i="2"/>
  <c r="E3379" i="2"/>
  <c r="D3371" i="2"/>
  <c r="E3371" i="2"/>
  <c r="D3363" i="2"/>
  <c r="E3363" i="2"/>
  <c r="D3355" i="2"/>
  <c r="E3355" i="2"/>
  <c r="D3347" i="2"/>
  <c r="E3347" i="2"/>
  <c r="D3339" i="2"/>
  <c r="E3339" i="2"/>
  <c r="D3323" i="2"/>
  <c r="E3323" i="2"/>
  <c r="D3315" i="2"/>
  <c r="E3315" i="2"/>
  <c r="D3307" i="2"/>
  <c r="E3307" i="2"/>
  <c r="D3299" i="2"/>
  <c r="E3299" i="2"/>
  <c r="D3291" i="2"/>
  <c r="E3291" i="2"/>
  <c r="D3283" i="2"/>
  <c r="E3283" i="2"/>
  <c r="D3275" i="2"/>
  <c r="E3275" i="2"/>
  <c r="D3259" i="2"/>
  <c r="E3259" i="2"/>
  <c r="D3251" i="2"/>
  <c r="E3251" i="2"/>
  <c r="D3243" i="2"/>
  <c r="E3243" i="2"/>
  <c r="D3235" i="2"/>
  <c r="E3235" i="2"/>
  <c r="D3227" i="2"/>
  <c r="E3227" i="2"/>
  <c r="D3219" i="2"/>
  <c r="E3219" i="2"/>
  <c r="D3211" i="2"/>
  <c r="E3211" i="2"/>
  <c r="D3195" i="2"/>
  <c r="E3195" i="2"/>
  <c r="D3187" i="2"/>
  <c r="E3187" i="2"/>
  <c r="D3179" i="2"/>
  <c r="E3179" i="2"/>
  <c r="D3171" i="2"/>
  <c r="E3171" i="2"/>
  <c r="D3163" i="2"/>
  <c r="E3163" i="2"/>
  <c r="D3155" i="2"/>
  <c r="E3155" i="2"/>
  <c r="D3147" i="2"/>
  <c r="E3147" i="2"/>
  <c r="D3131" i="2"/>
  <c r="E3131" i="2"/>
  <c r="D3123" i="2"/>
  <c r="E3123" i="2"/>
  <c r="D3115" i="2"/>
  <c r="E3115" i="2"/>
  <c r="D3107" i="2"/>
  <c r="E3107" i="2"/>
  <c r="D3099" i="2"/>
  <c r="E3099" i="2"/>
  <c r="D3091" i="2"/>
  <c r="E3091" i="2"/>
  <c r="D3083" i="2"/>
  <c r="E3083" i="2"/>
  <c r="D3067" i="2"/>
  <c r="E3067" i="2"/>
  <c r="D3059" i="2"/>
  <c r="E3059" i="2"/>
  <c r="D3051" i="2"/>
  <c r="E3051" i="2"/>
  <c r="D3043" i="2"/>
  <c r="E3043" i="2"/>
  <c r="D3035" i="2"/>
  <c r="E3035" i="2"/>
  <c r="D3027" i="2"/>
  <c r="E3027" i="2"/>
  <c r="D3019" i="2"/>
  <c r="E3019" i="2"/>
  <c r="D3003" i="2"/>
  <c r="E3003" i="2"/>
  <c r="D2995" i="2"/>
  <c r="E2995" i="2"/>
  <c r="D2987" i="2"/>
  <c r="E2987" i="2"/>
  <c r="D2979" i="2"/>
  <c r="E2979" i="2"/>
  <c r="D2971" i="2"/>
  <c r="E2971" i="2"/>
  <c r="D2963" i="2"/>
  <c r="E2963" i="2"/>
  <c r="D2955" i="2"/>
  <c r="E2955" i="2"/>
  <c r="D2939" i="2"/>
  <c r="E2939" i="2"/>
  <c r="D2931" i="2"/>
  <c r="E2931" i="2"/>
  <c r="D2923" i="2"/>
  <c r="E2923" i="2"/>
  <c r="D2915" i="2"/>
  <c r="E2915" i="2"/>
  <c r="D2907" i="2"/>
  <c r="E2907" i="2"/>
  <c r="D2899" i="2"/>
  <c r="E2899" i="2"/>
  <c r="D2891" i="2"/>
  <c r="E2891" i="2"/>
  <c r="D2875" i="2"/>
  <c r="E2875" i="2"/>
  <c r="D2867" i="2"/>
  <c r="E2867" i="2"/>
  <c r="D2859" i="2"/>
  <c r="E2859" i="2"/>
  <c r="D2851" i="2"/>
  <c r="E2851" i="2"/>
  <c r="D2843" i="2"/>
  <c r="E2843" i="2"/>
  <c r="D2835" i="2"/>
  <c r="E2835" i="2"/>
  <c r="D2827" i="2"/>
  <c r="E2827" i="2"/>
  <c r="D2811" i="2"/>
  <c r="E2811" i="2"/>
  <c r="D2803" i="2"/>
  <c r="E2803" i="2"/>
  <c r="D2795" i="2"/>
  <c r="E2795" i="2"/>
  <c r="D2787" i="2"/>
  <c r="E2787" i="2"/>
  <c r="D2779" i="2"/>
  <c r="E2779" i="2"/>
  <c r="D2771" i="2"/>
  <c r="E2771" i="2"/>
  <c r="D2763" i="2"/>
  <c r="E2763" i="2"/>
  <c r="D2747" i="2"/>
  <c r="E2747" i="2"/>
  <c r="D2739" i="2"/>
  <c r="E2739" i="2"/>
  <c r="D2731" i="2"/>
  <c r="E2731" i="2"/>
  <c r="D2723" i="2"/>
  <c r="E2723" i="2"/>
  <c r="D2715" i="2"/>
  <c r="E2715" i="2"/>
  <c r="D2707" i="2"/>
  <c r="E2707" i="2"/>
  <c r="D2699" i="2"/>
  <c r="E2699" i="2"/>
  <c r="D2683" i="2"/>
  <c r="E2683" i="2"/>
  <c r="D2675" i="2"/>
  <c r="E2675" i="2"/>
  <c r="D2667" i="2"/>
  <c r="E2667" i="2"/>
  <c r="D2659" i="2"/>
  <c r="E2659" i="2"/>
  <c r="D2651" i="2"/>
  <c r="E2651" i="2"/>
  <c r="D2643" i="2"/>
  <c r="E2643" i="2"/>
  <c r="D2635" i="2"/>
  <c r="E2635" i="2"/>
  <c r="D2619" i="2"/>
  <c r="E2619" i="2"/>
  <c r="D2611" i="2"/>
  <c r="E2611" i="2"/>
  <c r="D2603" i="2"/>
  <c r="E2603" i="2"/>
  <c r="D2595" i="2"/>
  <c r="E2595" i="2"/>
  <c r="D2587" i="2"/>
  <c r="E2587" i="2"/>
  <c r="D2579" i="2"/>
  <c r="E2579" i="2"/>
  <c r="D2571" i="2"/>
  <c r="E2571" i="2"/>
  <c r="D2563" i="2"/>
  <c r="E2563" i="2"/>
  <c r="D2555" i="2"/>
  <c r="E2555" i="2"/>
  <c r="D2547" i="2"/>
  <c r="E2547" i="2"/>
  <c r="D2539" i="2"/>
  <c r="E2539" i="2"/>
  <c r="D2531" i="2"/>
  <c r="E2531" i="2"/>
  <c r="D2523" i="2"/>
  <c r="E2523" i="2"/>
  <c r="D2515" i="2"/>
  <c r="E2515" i="2"/>
  <c r="D2507" i="2"/>
  <c r="E2507" i="2"/>
  <c r="D2499" i="2"/>
  <c r="E2499" i="2"/>
  <c r="D2491" i="2"/>
  <c r="E2491" i="2"/>
  <c r="D2483" i="2"/>
  <c r="E2483" i="2"/>
  <c r="D2475" i="2"/>
  <c r="E2475" i="2"/>
  <c r="D2467" i="2"/>
  <c r="E2467" i="2"/>
  <c r="D2459" i="2"/>
  <c r="E2459" i="2"/>
  <c r="D2451" i="2"/>
  <c r="E2451" i="2"/>
  <c r="D2443" i="2"/>
  <c r="E2443" i="2"/>
  <c r="D2435" i="2"/>
  <c r="E2435" i="2"/>
  <c r="D2427" i="2"/>
  <c r="E2427" i="2"/>
  <c r="D2419" i="2"/>
  <c r="E2419" i="2"/>
  <c r="D2411" i="2"/>
  <c r="E2411" i="2"/>
  <c r="D2403" i="2"/>
  <c r="E2403" i="2"/>
  <c r="D2395" i="2"/>
  <c r="E2395" i="2"/>
  <c r="D3994" i="2"/>
  <c r="E3994" i="2"/>
  <c r="D3986" i="2"/>
  <c r="E3986" i="2"/>
  <c r="D3978" i="2"/>
  <c r="E3978" i="2"/>
  <c r="D3970" i="2"/>
  <c r="E3970" i="2"/>
  <c r="D3962" i="2"/>
  <c r="E3962" i="2"/>
  <c r="D3954" i="2"/>
  <c r="E3954" i="2"/>
  <c r="D3946" i="2"/>
  <c r="E3946" i="2"/>
  <c r="D3938" i="2"/>
  <c r="E3938" i="2"/>
  <c r="D3930" i="2"/>
  <c r="E3930" i="2"/>
  <c r="D3922" i="2"/>
  <c r="E3922" i="2"/>
  <c r="D3914" i="2"/>
  <c r="E3914" i="2"/>
  <c r="D3906" i="2"/>
  <c r="E3906" i="2"/>
  <c r="D3898" i="2"/>
  <c r="E3898" i="2"/>
  <c r="D3890" i="2"/>
  <c r="E3890" i="2"/>
  <c r="D3882" i="2"/>
  <c r="E3882" i="2"/>
  <c r="D3874" i="2"/>
  <c r="E3874" i="2"/>
  <c r="D3866" i="2"/>
  <c r="E3866" i="2"/>
  <c r="D3858" i="2"/>
  <c r="E3858" i="2"/>
  <c r="D3850" i="2"/>
  <c r="E3850" i="2"/>
  <c r="D3842" i="2"/>
  <c r="E3842" i="2"/>
  <c r="D3834" i="2"/>
  <c r="E3834" i="2"/>
  <c r="D3826" i="2"/>
  <c r="E3826" i="2"/>
  <c r="D3818" i="2"/>
  <c r="E3818" i="2"/>
  <c r="D3993" i="2"/>
  <c r="E3993" i="2"/>
  <c r="D3985" i="2"/>
  <c r="E3985" i="2"/>
  <c r="D3977" i="2"/>
  <c r="E3977" i="2"/>
  <c r="D3969" i="2"/>
  <c r="E3969" i="2"/>
  <c r="D3961" i="2"/>
  <c r="E3961" i="2"/>
  <c r="D3953" i="2"/>
  <c r="E3953" i="2"/>
  <c r="D3945" i="2"/>
  <c r="E3945" i="2"/>
  <c r="D3937" i="2"/>
  <c r="E3937" i="2"/>
  <c r="D3929" i="2"/>
  <c r="E3929" i="2"/>
  <c r="D3921" i="2"/>
  <c r="E3921" i="2"/>
  <c r="D3913" i="2"/>
  <c r="E3913" i="2"/>
  <c r="D3905" i="2"/>
  <c r="E3905" i="2"/>
  <c r="D3897" i="2"/>
  <c r="E3897" i="2"/>
  <c r="D3889" i="2"/>
  <c r="E3889" i="2"/>
  <c r="D3881" i="2"/>
  <c r="E3881" i="2"/>
  <c r="D3873" i="2"/>
  <c r="E3873" i="2"/>
  <c r="D3865" i="2"/>
  <c r="E3865" i="2"/>
  <c r="D3857" i="2"/>
  <c r="E3857" i="2"/>
  <c r="D3849" i="2"/>
  <c r="E3849" i="2"/>
  <c r="D3841" i="2"/>
  <c r="E3841" i="2"/>
  <c r="D3833" i="2"/>
  <c r="E3833" i="2"/>
  <c r="D3825" i="2"/>
  <c r="E3825" i="2"/>
  <c r="D3817" i="2"/>
  <c r="E3817" i="2"/>
  <c r="D3809" i="2"/>
  <c r="E3809" i="2"/>
  <c r="D3793" i="2"/>
  <c r="E3793" i="2"/>
  <c r="D3785" i="2"/>
  <c r="E3785" i="2"/>
  <c r="D3777" i="2"/>
  <c r="E3777" i="2"/>
  <c r="D3761" i="2"/>
  <c r="E3761" i="2"/>
  <c r="D3753" i="2"/>
  <c r="E3753" i="2"/>
  <c r="D3745" i="2"/>
  <c r="E3745" i="2"/>
  <c r="D3729" i="2"/>
  <c r="E3729" i="2"/>
  <c r="D3721" i="2"/>
  <c r="E3721" i="2"/>
  <c r="D3713" i="2"/>
  <c r="E3713" i="2"/>
  <c r="D3697" i="2"/>
  <c r="E3697" i="2"/>
  <c r="D3689" i="2"/>
  <c r="E3689" i="2"/>
  <c r="D3673" i="2"/>
  <c r="E3673" i="2"/>
  <c r="D3665" i="2"/>
  <c r="E3665" i="2"/>
  <c r="D3657" i="2"/>
  <c r="E3657" i="2"/>
  <c r="D3649" i="2"/>
  <c r="E3649" i="2"/>
  <c r="D3641" i="2"/>
  <c r="E3641" i="2"/>
  <c r="D3633" i="2"/>
  <c r="E3633" i="2"/>
  <c r="D3625" i="2"/>
  <c r="E3625" i="2"/>
  <c r="D3609" i="2"/>
  <c r="E3609" i="2"/>
  <c r="D3601" i="2"/>
  <c r="E3601" i="2"/>
  <c r="D3593" i="2"/>
  <c r="E3593" i="2"/>
  <c r="E3585" i="2"/>
  <c r="D3585" i="2"/>
  <c r="E3577" i="2"/>
  <c r="D3577" i="2"/>
  <c r="E3569" i="2"/>
  <c r="D3569" i="2"/>
  <c r="E3561" i="2"/>
  <c r="D3561" i="2"/>
  <c r="E3545" i="2"/>
  <c r="D3545" i="2"/>
  <c r="E3537" i="2"/>
  <c r="D3537" i="2"/>
  <c r="E3529" i="2"/>
  <c r="D3529" i="2"/>
  <c r="E3521" i="2"/>
  <c r="D3521" i="2"/>
  <c r="E3513" i="2"/>
  <c r="D3513" i="2"/>
  <c r="E3505" i="2"/>
  <c r="D3505" i="2"/>
  <c r="E3497" i="2"/>
  <c r="D3497" i="2"/>
  <c r="E3489" i="2"/>
  <c r="D3489" i="2"/>
  <c r="E3481" i="2"/>
  <c r="D3481" i="2"/>
  <c r="E3473" i="2"/>
  <c r="D3473" i="2"/>
  <c r="E3465" i="2"/>
  <c r="D3465" i="2"/>
  <c r="E3457" i="2"/>
  <c r="D3457" i="2"/>
  <c r="E3449" i="2"/>
  <c r="D3449" i="2"/>
  <c r="E3441" i="2"/>
  <c r="D3441" i="2"/>
  <c r="E3433" i="2"/>
  <c r="D3433" i="2"/>
  <c r="E3425" i="2"/>
  <c r="D3425" i="2"/>
  <c r="E3417" i="2"/>
  <c r="D3417" i="2"/>
  <c r="E3409" i="2"/>
  <c r="D3409" i="2"/>
  <c r="E3401" i="2"/>
  <c r="D3401" i="2"/>
  <c r="E3393" i="2"/>
  <c r="D3393" i="2"/>
  <c r="E3385" i="2"/>
  <c r="D3385" i="2"/>
  <c r="E3377" i="2"/>
  <c r="D3377" i="2"/>
  <c r="E3369" i="2"/>
  <c r="D3369" i="2"/>
  <c r="E3361" i="2"/>
  <c r="D3361" i="2"/>
  <c r="E3345" i="2"/>
  <c r="D3345" i="2"/>
  <c r="E3337" i="2"/>
  <c r="D3337" i="2"/>
  <c r="E3329" i="2"/>
  <c r="D3329" i="2"/>
  <c r="E3321" i="2"/>
  <c r="D3321" i="2"/>
  <c r="E3313" i="2"/>
  <c r="D3313" i="2"/>
  <c r="E3305" i="2"/>
  <c r="D3305" i="2"/>
  <c r="E3297" i="2"/>
  <c r="D3297" i="2"/>
  <c r="E3281" i="2"/>
  <c r="D3281" i="2"/>
  <c r="E3273" i="2"/>
  <c r="D3273" i="2"/>
  <c r="E3265" i="2"/>
  <c r="D3265" i="2"/>
  <c r="E3257" i="2"/>
  <c r="D3257" i="2"/>
  <c r="E3249" i="2"/>
  <c r="D3249" i="2"/>
  <c r="E3241" i="2"/>
  <c r="D3241" i="2"/>
  <c r="E3233" i="2"/>
  <c r="D3233" i="2"/>
  <c r="E3217" i="2"/>
  <c r="D3217" i="2"/>
  <c r="E3209" i="2"/>
  <c r="D3209" i="2"/>
  <c r="E3201" i="2"/>
  <c r="D3201" i="2"/>
  <c r="E3193" i="2"/>
  <c r="D3193" i="2"/>
  <c r="E3185" i="2"/>
  <c r="D3185" i="2"/>
  <c r="E3177" i="2"/>
  <c r="D3177" i="2"/>
  <c r="E3169" i="2"/>
  <c r="D3169" i="2"/>
  <c r="E3153" i="2"/>
  <c r="D3153" i="2"/>
  <c r="E3145" i="2"/>
  <c r="D3145" i="2"/>
  <c r="E3137" i="2"/>
  <c r="D3137" i="2"/>
  <c r="E3129" i="2"/>
  <c r="D3129" i="2"/>
  <c r="E3121" i="2"/>
  <c r="D3121" i="2"/>
  <c r="E3113" i="2"/>
  <c r="D3113" i="2"/>
  <c r="E3105" i="2"/>
  <c r="D3105" i="2"/>
  <c r="E3089" i="2"/>
  <c r="D3089" i="2"/>
  <c r="E3081" i="2"/>
  <c r="D3081" i="2"/>
  <c r="E3073" i="2"/>
  <c r="D3073" i="2"/>
  <c r="E3065" i="2"/>
  <c r="D3065" i="2"/>
  <c r="E3057" i="2"/>
  <c r="D3057" i="2"/>
  <c r="E3049" i="2"/>
  <c r="D3049" i="2"/>
  <c r="E3041" i="2"/>
  <c r="D3041" i="2"/>
  <c r="D3025" i="2"/>
  <c r="E3025" i="2"/>
  <c r="D3017" i="2"/>
  <c r="E3017" i="2"/>
  <c r="D3009" i="2"/>
  <c r="E3009" i="2"/>
  <c r="D3001" i="2"/>
  <c r="E3001" i="2"/>
  <c r="D2993" i="2"/>
  <c r="E2993" i="2"/>
  <c r="D2985" i="2"/>
  <c r="E2985" i="2"/>
  <c r="D2977" i="2"/>
  <c r="E2977" i="2"/>
  <c r="D2961" i="2"/>
  <c r="E2961" i="2"/>
  <c r="D2953" i="2"/>
  <c r="E2953" i="2"/>
  <c r="D2945" i="2"/>
  <c r="E2945" i="2"/>
  <c r="D2937" i="2"/>
  <c r="E2937" i="2"/>
  <c r="D2929" i="2"/>
  <c r="E2929" i="2"/>
  <c r="D2921" i="2"/>
  <c r="E2921" i="2"/>
  <c r="D2913" i="2"/>
  <c r="E2913" i="2"/>
  <c r="D2897" i="2"/>
  <c r="E2897" i="2"/>
  <c r="D2889" i="2"/>
  <c r="E2889" i="2"/>
  <c r="D2881" i="2"/>
  <c r="E2881" i="2"/>
  <c r="D2873" i="2"/>
  <c r="E2873" i="2"/>
  <c r="D2865" i="2"/>
  <c r="E2865" i="2"/>
  <c r="D2857" i="2"/>
  <c r="E2857" i="2"/>
  <c r="D2849" i="2"/>
  <c r="E2849" i="2"/>
  <c r="D2833" i="2"/>
  <c r="E2833" i="2"/>
  <c r="D2825" i="2"/>
  <c r="E2825" i="2"/>
  <c r="D2817" i="2"/>
  <c r="E2817" i="2"/>
  <c r="D2809" i="2"/>
  <c r="E2809" i="2"/>
  <c r="D2801" i="2"/>
  <c r="E2801" i="2"/>
  <c r="D2793" i="2"/>
  <c r="E2793" i="2"/>
  <c r="D2785" i="2"/>
  <c r="E2785" i="2"/>
  <c r="D2769" i="2"/>
  <c r="E2769" i="2"/>
  <c r="D2761" i="2"/>
  <c r="E2761" i="2"/>
  <c r="D2753" i="2"/>
  <c r="E2753" i="2"/>
  <c r="D2745" i="2"/>
  <c r="E2745" i="2"/>
  <c r="D2737" i="2"/>
  <c r="E2737" i="2"/>
  <c r="D2729" i="2"/>
  <c r="E2729" i="2"/>
  <c r="D2721" i="2"/>
  <c r="E2721" i="2"/>
  <c r="D2705" i="2"/>
  <c r="E2705" i="2"/>
  <c r="D2697" i="2"/>
  <c r="E2697" i="2"/>
  <c r="D2689" i="2"/>
  <c r="E2689" i="2"/>
  <c r="D2681" i="2"/>
  <c r="E2681" i="2"/>
  <c r="D2673" i="2"/>
  <c r="E2673" i="2"/>
  <c r="D2665" i="2"/>
  <c r="E2665" i="2"/>
  <c r="D2657" i="2"/>
  <c r="E2657" i="2"/>
  <c r="D2641" i="2"/>
  <c r="E2641" i="2"/>
  <c r="D2633" i="2"/>
  <c r="E2633" i="2"/>
  <c r="D2625" i="2"/>
  <c r="E2625" i="2"/>
  <c r="D2617" i="2"/>
  <c r="E2617" i="2"/>
  <c r="D2609" i="2"/>
  <c r="E2609" i="2"/>
  <c r="D2593" i="2"/>
  <c r="E2593" i="2"/>
  <c r="D2585" i="2"/>
  <c r="E2585" i="2"/>
  <c r="D2577" i="2"/>
  <c r="E2577" i="2"/>
  <c r="D2561" i="2"/>
  <c r="E2561" i="2"/>
  <c r="D2553" i="2"/>
  <c r="E2553" i="2"/>
  <c r="D2545" i="2"/>
  <c r="E2545" i="2"/>
  <c r="D2529" i="2"/>
  <c r="E2529" i="2"/>
  <c r="D2521" i="2"/>
  <c r="E2521" i="2"/>
  <c r="D2513" i="2"/>
  <c r="E2513" i="2"/>
  <c r="D2497" i="2"/>
  <c r="E2497" i="2"/>
  <c r="D2489" i="2"/>
  <c r="E2489" i="2"/>
  <c r="D2481" i="2"/>
  <c r="E2481" i="2"/>
  <c r="D2465" i="2"/>
  <c r="E2465" i="2"/>
  <c r="D2457" i="2"/>
  <c r="E2457" i="2"/>
  <c r="D2449" i="2"/>
  <c r="E2449" i="2"/>
  <c r="D2433" i="2"/>
  <c r="E2433" i="2"/>
  <c r="D2425" i="2"/>
  <c r="E2425" i="2"/>
  <c r="D2417" i="2"/>
  <c r="E2417" i="2"/>
  <c r="D2401" i="2"/>
  <c r="E2401" i="2"/>
  <c r="D2393" i="2"/>
  <c r="E2393" i="2"/>
  <c r="D2385" i="2"/>
  <c r="E2385" i="2"/>
  <c r="D2377" i="2"/>
  <c r="E2377" i="2"/>
  <c r="D2369" i="2"/>
  <c r="E2369" i="2"/>
  <c r="D2353" i="2"/>
  <c r="E2353" i="2"/>
  <c r="D2345" i="2"/>
  <c r="E2345" i="2"/>
  <c r="D2337" i="2"/>
  <c r="E2337" i="2"/>
  <c r="D2329" i="2"/>
  <c r="E2329" i="2"/>
  <c r="D2321" i="2"/>
  <c r="E2321" i="2"/>
  <c r="D2313" i="2"/>
  <c r="E2313" i="2"/>
  <c r="D2305" i="2"/>
  <c r="E2305" i="2"/>
  <c r="D2289" i="2"/>
  <c r="E2289" i="2"/>
  <c r="D2281" i="2"/>
  <c r="E2281" i="2"/>
  <c r="D2273" i="2"/>
  <c r="E2273" i="2"/>
  <c r="D2265" i="2"/>
  <c r="E2265" i="2"/>
  <c r="D2257" i="2"/>
  <c r="E2257" i="2"/>
  <c r="D2249" i="2"/>
  <c r="E2249" i="2"/>
  <c r="D2241" i="2"/>
  <c r="E2241" i="2"/>
  <c r="D2225" i="2"/>
  <c r="E2225" i="2"/>
  <c r="D2217" i="2"/>
  <c r="E2217" i="2"/>
  <c r="D2209" i="2"/>
  <c r="E2209" i="2"/>
  <c r="D2201" i="2"/>
  <c r="E2201" i="2"/>
  <c r="D2193" i="2"/>
  <c r="E2193" i="2"/>
  <c r="D2185" i="2"/>
  <c r="E2185" i="2"/>
  <c r="D2177" i="2"/>
  <c r="E2177" i="2"/>
  <c r="D2161" i="2"/>
  <c r="E2161" i="2"/>
  <c r="D2153" i="2"/>
  <c r="E2153" i="2"/>
  <c r="D2145" i="2"/>
  <c r="E2145" i="2"/>
  <c r="D2137" i="2"/>
  <c r="E2137" i="2"/>
  <c r="D2129" i="2"/>
  <c r="E2129" i="2"/>
  <c r="D2121" i="2"/>
  <c r="E2121" i="2"/>
  <c r="D2113" i="2"/>
  <c r="E2113" i="2"/>
  <c r="D2097" i="2"/>
  <c r="E2097" i="2"/>
  <c r="D2089" i="2"/>
  <c r="E2089" i="2"/>
  <c r="D2081" i="2"/>
  <c r="E2081" i="2"/>
  <c r="D2073" i="2"/>
  <c r="E2073" i="2"/>
  <c r="D2065" i="2"/>
  <c r="E2065" i="2"/>
  <c r="D2057" i="2"/>
  <c r="E2057" i="2"/>
  <c r="D2049" i="2"/>
  <c r="E2049" i="2"/>
  <c r="D2033" i="2"/>
  <c r="E2033" i="2"/>
  <c r="D2025" i="2"/>
  <c r="E2025" i="2"/>
  <c r="D2017" i="2"/>
  <c r="E2017" i="2"/>
  <c r="D2009" i="2"/>
  <c r="E2009" i="2"/>
  <c r="D2001" i="2"/>
  <c r="E2001" i="2"/>
  <c r="D1993" i="2"/>
  <c r="E1993" i="2"/>
  <c r="D1985" i="2"/>
  <c r="E1985" i="2"/>
  <c r="D1969" i="2"/>
  <c r="E1969" i="2"/>
  <c r="D1961" i="2"/>
  <c r="E1961" i="2"/>
  <c r="D1953" i="2"/>
  <c r="E1953" i="2"/>
  <c r="D1945" i="2"/>
  <c r="E1945" i="2"/>
  <c r="D1937" i="2"/>
  <c r="E1937" i="2"/>
  <c r="E1929" i="2"/>
  <c r="D1929" i="2"/>
  <c r="D1921" i="2"/>
  <c r="E1921" i="2"/>
  <c r="D3992" i="2"/>
  <c r="E3992" i="2"/>
  <c r="D3984" i="2"/>
  <c r="E3984" i="2"/>
  <c r="D3976" i="2"/>
  <c r="E3976" i="2"/>
  <c r="D3968" i="2"/>
  <c r="E3968" i="2"/>
  <c r="D3960" i="2"/>
  <c r="E3960" i="2"/>
  <c r="D3952" i="2"/>
  <c r="E3952" i="2"/>
  <c r="D3944" i="2"/>
  <c r="E3944" i="2"/>
  <c r="D3936" i="2"/>
  <c r="E3936" i="2"/>
  <c r="D3928" i="2"/>
  <c r="E3928" i="2"/>
  <c r="D3920" i="2"/>
  <c r="E3920" i="2"/>
  <c r="D3912" i="2"/>
  <c r="E3912" i="2"/>
  <c r="D3904" i="2"/>
  <c r="E3904" i="2"/>
  <c r="D3896" i="2"/>
  <c r="E3896" i="2"/>
  <c r="D3888" i="2"/>
  <c r="E3888" i="2"/>
  <c r="D3880" i="2"/>
  <c r="E3880" i="2"/>
  <c r="D3872" i="2"/>
  <c r="E3872" i="2"/>
  <c r="D3864" i="2"/>
  <c r="E3864" i="2"/>
  <c r="D3856" i="2"/>
  <c r="E3856" i="2"/>
  <c r="D3848" i="2"/>
  <c r="E3848" i="2"/>
  <c r="D3840" i="2"/>
  <c r="E3840" i="2"/>
  <c r="D3832" i="2"/>
  <c r="E3832" i="2"/>
  <c r="D3824" i="2"/>
  <c r="E3824" i="2"/>
  <c r="D3816" i="2"/>
  <c r="E3816" i="2"/>
  <c r="D3808" i="2"/>
  <c r="E3808" i="2"/>
  <c r="D3800" i="2"/>
  <c r="E3800" i="2"/>
  <c r="D3792" i="2"/>
  <c r="E3792" i="2"/>
  <c r="D3784" i="2"/>
  <c r="E3784" i="2"/>
  <c r="D3776" i="2"/>
  <c r="E3776" i="2"/>
  <c r="D3768" i="2"/>
  <c r="E3768" i="2"/>
  <c r="D3760" i="2"/>
  <c r="E3760" i="2"/>
  <c r="D3752" i="2"/>
  <c r="E3752" i="2"/>
  <c r="D3744" i="2"/>
  <c r="E3744" i="2"/>
  <c r="D3736" i="2"/>
  <c r="E3736" i="2"/>
  <c r="D3728" i="2"/>
  <c r="E3728" i="2"/>
  <c r="D3720" i="2"/>
  <c r="E3720" i="2"/>
  <c r="D3712" i="2"/>
  <c r="E3712" i="2"/>
  <c r="D3704" i="2"/>
  <c r="E3704" i="2"/>
  <c r="D3696" i="2"/>
  <c r="E3696" i="2"/>
  <c r="D3688" i="2"/>
  <c r="E3688" i="2"/>
  <c r="D3680" i="2"/>
  <c r="E3680" i="2"/>
  <c r="D3672" i="2"/>
  <c r="E3672" i="2"/>
  <c r="D3664" i="2"/>
  <c r="E3664" i="2"/>
  <c r="D3648" i="2"/>
  <c r="E3648" i="2"/>
  <c r="D3640" i="2"/>
  <c r="E3640" i="2"/>
  <c r="D3632" i="2"/>
  <c r="E3632" i="2"/>
  <c r="D3624" i="2"/>
  <c r="E3624" i="2"/>
  <c r="D3616" i="2"/>
  <c r="E3616" i="2"/>
  <c r="D3608" i="2"/>
  <c r="E3608" i="2"/>
  <c r="D3600" i="2"/>
  <c r="E3600" i="2"/>
  <c r="D3584" i="2"/>
  <c r="E3584" i="2"/>
  <c r="D3576" i="2"/>
  <c r="E3576" i="2"/>
  <c r="D3568" i="2"/>
  <c r="E3568" i="2"/>
  <c r="D3560" i="2"/>
  <c r="E3560" i="2"/>
  <c r="D3552" i="2"/>
  <c r="E3552" i="2"/>
  <c r="D3544" i="2"/>
  <c r="E3544" i="2"/>
  <c r="D3536" i="2"/>
  <c r="E3536" i="2"/>
  <c r="D3528" i="2"/>
  <c r="E3528" i="2"/>
  <c r="D3520" i="2"/>
  <c r="E3520" i="2"/>
  <c r="D3512" i="2"/>
  <c r="E3512" i="2"/>
  <c r="D3504" i="2"/>
  <c r="E3504" i="2"/>
  <c r="D3496" i="2"/>
  <c r="E3496" i="2"/>
  <c r="D3488" i="2"/>
  <c r="E3488" i="2"/>
  <c r="D3480" i="2"/>
  <c r="E3480" i="2"/>
  <c r="D3472" i="2"/>
  <c r="E3472" i="2"/>
  <c r="D3464" i="2"/>
  <c r="E3464" i="2"/>
  <c r="D3456" i="2"/>
  <c r="E3456" i="2"/>
  <c r="D3448" i="2"/>
  <c r="E3448" i="2"/>
  <c r="D3440" i="2"/>
  <c r="E3440" i="2"/>
  <c r="D3432" i="2"/>
  <c r="E3432" i="2"/>
  <c r="D3424" i="2"/>
  <c r="E3424" i="2"/>
  <c r="D3416" i="2"/>
  <c r="E3416" i="2"/>
  <c r="D3408" i="2"/>
  <c r="E3408" i="2"/>
  <c r="D3400" i="2"/>
  <c r="E3400" i="2"/>
  <c r="D3392" i="2"/>
  <c r="E3392" i="2"/>
  <c r="D3384" i="2"/>
  <c r="E3384" i="2"/>
  <c r="D3368" i="2"/>
  <c r="E3368" i="2"/>
  <c r="D3360" i="2"/>
  <c r="E3360" i="2"/>
  <c r="D3352" i="2"/>
  <c r="E3352" i="2"/>
  <c r="D3344" i="2"/>
  <c r="E3344" i="2"/>
  <c r="D3336" i="2"/>
  <c r="E3336" i="2"/>
  <c r="D3328" i="2"/>
  <c r="E3328" i="2"/>
  <c r="D3320" i="2"/>
  <c r="E3320" i="2"/>
  <c r="D3304" i="2"/>
  <c r="E3304" i="2"/>
  <c r="D3296" i="2"/>
  <c r="E3296" i="2"/>
  <c r="D3288" i="2"/>
  <c r="E3288" i="2"/>
  <c r="D3280" i="2"/>
  <c r="E3280" i="2"/>
  <c r="D3272" i="2"/>
  <c r="E3272" i="2"/>
  <c r="D3264" i="2"/>
  <c r="E3264" i="2"/>
  <c r="D3256" i="2"/>
  <c r="E3256" i="2"/>
  <c r="D3240" i="2"/>
  <c r="E3240" i="2"/>
  <c r="D3232" i="2"/>
  <c r="E3232" i="2"/>
  <c r="D3224" i="2"/>
  <c r="E3224" i="2"/>
  <c r="D3216" i="2"/>
  <c r="E3216" i="2"/>
  <c r="D3208" i="2"/>
  <c r="E3208" i="2"/>
  <c r="D3200" i="2"/>
  <c r="E3200" i="2"/>
  <c r="D3192" i="2"/>
  <c r="E3192" i="2"/>
  <c r="D3176" i="2"/>
  <c r="E3176" i="2"/>
  <c r="D3168" i="2"/>
  <c r="E3168" i="2"/>
  <c r="D3160" i="2"/>
  <c r="E3160" i="2"/>
  <c r="D3152" i="2"/>
  <c r="E3152" i="2"/>
  <c r="D3144" i="2"/>
  <c r="E3144" i="2"/>
  <c r="D3136" i="2"/>
  <c r="E3136" i="2"/>
  <c r="D3128" i="2"/>
  <c r="E3128" i="2"/>
  <c r="D3112" i="2"/>
  <c r="E3112" i="2"/>
  <c r="D3104" i="2"/>
  <c r="E3104" i="2"/>
  <c r="D3096" i="2"/>
  <c r="E3096" i="2"/>
  <c r="D3088" i="2"/>
  <c r="E3088" i="2"/>
  <c r="D3080" i="2"/>
  <c r="E3080" i="2"/>
  <c r="D3072" i="2"/>
  <c r="E3072" i="2"/>
  <c r="D3064" i="2"/>
  <c r="E3064" i="2"/>
  <c r="D3048" i="2"/>
  <c r="E3048" i="2"/>
  <c r="D3040" i="2"/>
  <c r="E3040" i="2"/>
  <c r="E3032" i="2"/>
  <c r="D3032" i="2"/>
  <c r="E3024" i="2"/>
  <c r="D3024" i="2"/>
  <c r="E3016" i="2"/>
  <c r="D3016" i="2"/>
  <c r="E3008" i="2"/>
  <c r="D3008" i="2"/>
  <c r="E3000" i="2"/>
  <c r="D3000" i="2"/>
  <c r="E2984" i="2"/>
  <c r="D2984" i="2"/>
  <c r="E2976" i="2"/>
  <c r="D2976" i="2"/>
  <c r="E2968" i="2"/>
  <c r="D2968" i="2"/>
  <c r="E2960" i="2"/>
  <c r="D2960" i="2"/>
  <c r="E2952" i="2"/>
  <c r="D2952" i="2"/>
  <c r="E2944" i="2"/>
  <c r="D2944" i="2"/>
  <c r="E2936" i="2"/>
  <c r="D2936" i="2"/>
  <c r="E2920" i="2"/>
  <c r="D2920" i="2"/>
  <c r="E2912" i="2"/>
  <c r="D2912" i="2"/>
  <c r="E2904" i="2"/>
  <c r="D2904" i="2"/>
  <c r="E2896" i="2"/>
  <c r="D2896" i="2"/>
  <c r="E2888" i="2"/>
  <c r="D2888" i="2"/>
  <c r="E2880" i="2"/>
  <c r="D2880" i="2"/>
  <c r="E2872" i="2"/>
  <c r="D2872" i="2"/>
  <c r="E2856" i="2"/>
  <c r="D2856" i="2"/>
  <c r="E2848" i="2"/>
  <c r="D2848" i="2"/>
  <c r="E2840" i="2"/>
  <c r="D2840" i="2"/>
  <c r="E2832" i="2"/>
  <c r="D2832" i="2"/>
  <c r="E2824" i="2"/>
  <c r="D2824" i="2"/>
  <c r="E2816" i="2"/>
  <c r="D2816" i="2"/>
  <c r="E2808" i="2"/>
  <c r="D2808" i="2"/>
  <c r="E2792" i="2"/>
  <c r="D2792" i="2"/>
  <c r="E2784" i="2"/>
  <c r="D2784" i="2"/>
  <c r="E2776" i="2"/>
  <c r="D2776" i="2"/>
  <c r="E2768" i="2"/>
  <c r="D2768" i="2"/>
  <c r="E2760" i="2"/>
  <c r="D2760" i="2"/>
  <c r="E2752" i="2"/>
  <c r="D2752" i="2"/>
  <c r="E2744" i="2"/>
  <c r="D2744" i="2"/>
  <c r="E2728" i="2"/>
  <c r="D2728" i="2"/>
  <c r="E2720" i="2"/>
  <c r="D2720" i="2"/>
  <c r="E2712" i="2"/>
  <c r="D2712" i="2"/>
  <c r="E2704" i="2"/>
  <c r="D2704" i="2"/>
  <c r="E2696" i="2"/>
  <c r="D2696" i="2"/>
  <c r="E2688" i="2"/>
  <c r="D2688" i="2"/>
  <c r="E2680" i="2"/>
  <c r="D2680" i="2"/>
  <c r="E2664" i="2"/>
  <c r="D2664" i="2"/>
  <c r="E2656" i="2"/>
  <c r="D2656" i="2"/>
  <c r="E2648" i="2"/>
  <c r="D2648" i="2"/>
  <c r="E2640" i="2"/>
  <c r="D2640" i="2"/>
  <c r="E2632" i="2"/>
  <c r="D2632" i="2"/>
  <c r="E2624" i="2"/>
  <c r="D2624" i="2"/>
  <c r="D3991" i="2"/>
  <c r="E3991" i="2"/>
  <c r="D3983" i="2"/>
  <c r="E3983" i="2"/>
  <c r="D3975" i="2"/>
  <c r="E3975" i="2"/>
  <c r="D3967" i="2"/>
  <c r="E3967" i="2"/>
  <c r="D3959" i="2"/>
  <c r="E3959" i="2"/>
  <c r="D3951" i="2"/>
  <c r="E3951" i="2"/>
  <c r="D3943" i="2"/>
  <c r="E3943" i="2"/>
  <c r="D3935" i="2"/>
  <c r="E3935" i="2"/>
  <c r="D3927" i="2"/>
  <c r="E3927" i="2"/>
  <c r="D3919" i="2"/>
  <c r="E3919" i="2"/>
  <c r="D3911" i="2"/>
  <c r="E3911" i="2"/>
  <c r="D3903" i="2"/>
  <c r="E3903" i="2"/>
  <c r="D3895" i="2"/>
  <c r="E3895" i="2"/>
  <c r="D3887" i="2"/>
  <c r="E3887" i="2"/>
  <c r="D3879" i="2"/>
  <c r="E3879" i="2"/>
  <c r="D3871" i="2"/>
  <c r="E3871" i="2"/>
  <c r="D3863" i="2"/>
  <c r="E3863" i="2"/>
  <c r="D3855" i="2"/>
  <c r="E3855" i="2"/>
  <c r="D3847" i="2"/>
  <c r="E3847" i="2"/>
  <c r="D3839" i="2"/>
  <c r="E3839" i="2"/>
  <c r="D3831" i="2"/>
  <c r="E3831" i="2"/>
  <c r="D3823" i="2"/>
  <c r="E3823" i="2"/>
  <c r="D3815" i="2"/>
  <c r="E3815" i="2"/>
  <c r="D3807" i="2"/>
  <c r="E3807" i="2"/>
  <c r="D3799" i="2"/>
  <c r="E3799" i="2"/>
  <c r="D3783" i="2"/>
  <c r="E3783" i="2"/>
  <c r="D3775" i="2"/>
  <c r="E3775" i="2"/>
  <c r="D3767" i="2"/>
  <c r="E3767" i="2"/>
  <c r="D3751" i="2"/>
  <c r="E3751" i="2"/>
  <c r="D3743" i="2"/>
  <c r="E3743" i="2"/>
  <c r="D3735" i="2"/>
  <c r="E3735" i="2"/>
  <c r="D3719" i="2"/>
  <c r="E3719" i="2"/>
  <c r="D3711" i="2"/>
  <c r="E3711" i="2"/>
  <c r="D3703" i="2"/>
  <c r="E3703" i="2"/>
  <c r="D3687" i="2"/>
  <c r="E3687" i="2"/>
  <c r="D3679" i="2"/>
  <c r="E3679" i="2"/>
  <c r="D3671" i="2"/>
  <c r="E3671" i="2"/>
  <c r="D3663" i="2"/>
  <c r="E3663" i="2"/>
  <c r="D3655" i="2"/>
  <c r="E3655" i="2"/>
  <c r="D3647" i="2"/>
  <c r="E3647" i="2"/>
  <c r="D3639" i="2"/>
  <c r="E3639" i="2"/>
  <c r="D3623" i="2"/>
  <c r="E3623" i="2"/>
  <c r="D3615" i="2"/>
  <c r="E3615" i="2"/>
  <c r="E3607" i="2"/>
  <c r="D3607" i="2"/>
  <c r="E3599" i="2"/>
  <c r="D3599" i="2"/>
  <c r="E3591" i="2"/>
  <c r="D3591" i="2"/>
  <c r="E3583" i="2"/>
  <c r="D3583" i="2"/>
  <c r="E3575" i="2"/>
  <c r="D3575" i="2"/>
  <c r="D3559" i="2"/>
  <c r="E3559" i="2"/>
  <c r="D3551" i="2"/>
  <c r="E3551" i="2"/>
  <c r="D3543" i="2"/>
  <c r="E3543" i="2"/>
  <c r="D3535" i="2"/>
  <c r="E3535" i="2"/>
  <c r="D3519" i="2"/>
  <c r="E3519" i="2"/>
  <c r="D3503" i="2"/>
  <c r="E3503" i="2"/>
  <c r="D3487" i="2"/>
  <c r="E3487" i="2"/>
  <c r="D3471" i="2"/>
  <c r="E3471" i="2"/>
  <c r="D3455" i="2"/>
  <c r="E3455" i="2"/>
  <c r="D3439" i="2"/>
  <c r="E3439" i="2"/>
  <c r="D3423" i="2"/>
  <c r="E3423" i="2"/>
  <c r="D3407" i="2"/>
  <c r="E3407" i="2"/>
  <c r="E1887" i="2"/>
  <c r="D1887" i="2"/>
  <c r="E1871" i="2"/>
  <c r="D1871" i="2"/>
  <c r="D1831" i="2"/>
  <c r="E1831" i="2"/>
  <c r="D1703" i="2"/>
  <c r="E1703" i="2"/>
  <c r="D1639" i="2"/>
  <c r="E1639" i="2"/>
  <c r="D1575" i="2"/>
  <c r="E1575" i="2"/>
  <c r="E1511" i="2"/>
  <c r="D1511" i="2"/>
  <c r="E1447" i="2"/>
  <c r="D1447" i="2"/>
  <c r="E1383" i="2"/>
  <c r="D1383" i="2"/>
  <c r="E1319" i="2"/>
  <c r="D1319" i="2"/>
  <c r="E1191" i="2"/>
  <c r="D1191" i="2"/>
  <c r="E1127" i="2"/>
  <c r="D1127" i="2"/>
  <c r="D1063" i="2"/>
  <c r="E1063" i="2"/>
  <c r="D999" i="2"/>
  <c r="E999" i="2"/>
  <c r="D935" i="2"/>
  <c r="E935" i="2"/>
  <c r="D871" i="2"/>
  <c r="E871" i="2"/>
  <c r="D3990" i="2"/>
  <c r="E3990" i="2"/>
  <c r="D3982" i="2"/>
  <c r="E3982" i="2"/>
  <c r="D3974" i="2"/>
  <c r="E3974" i="2"/>
  <c r="D3966" i="2"/>
  <c r="E3966" i="2"/>
  <c r="D3958" i="2"/>
  <c r="E3958" i="2"/>
  <c r="D3950" i="2"/>
  <c r="E3950" i="2"/>
  <c r="D3942" i="2"/>
  <c r="E3942" i="2"/>
  <c r="D3934" i="2"/>
  <c r="E3934" i="2"/>
  <c r="D3926" i="2"/>
  <c r="E3926" i="2"/>
  <c r="D3918" i="2"/>
  <c r="E3918" i="2"/>
  <c r="D3910" i="2"/>
  <c r="E3910" i="2"/>
  <c r="D3902" i="2"/>
  <c r="E3902" i="2"/>
  <c r="D3894" i="2"/>
  <c r="E3894" i="2"/>
  <c r="D3886" i="2"/>
  <c r="E3886" i="2"/>
  <c r="D3878" i="2"/>
  <c r="E3878" i="2"/>
  <c r="D3870" i="2"/>
  <c r="E3870" i="2"/>
  <c r="D3862" i="2"/>
  <c r="E3862" i="2"/>
  <c r="D3854" i="2"/>
  <c r="E3854" i="2"/>
  <c r="D3846" i="2"/>
  <c r="E3846" i="2"/>
  <c r="D3838" i="2"/>
  <c r="E3838" i="2"/>
  <c r="D3830" i="2"/>
  <c r="E3830" i="2"/>
  <c r="D3822" i="2"/>
  <c r="E3822" i="2"/>
  <c r="D3814" i="2"/>
  <c r="E3814" i="2"/>
  <c r="D3806" i="2"/>
  <c r="E3806" i="2"/>
  <c r="D3798" i="2"/>
  <c r="E3798" i="2"/>
  <c r="D3790" i="2"/>
  <c r="E3790" i="2"/>
  <c r="D3782" i="2"/>
  <c r="E3782" i="2"/>
  <c r="D3774" i="2"/>
  <c r="E3774" i="2"/>
  <c r="D3766" i="2"/>
  <c r="E3766" i="2"/>
  <c r="D3758" i="2"/>
  <c r="E3758" i="2"/>
  <c r="D3750" i="2"/>
  <c r="E3750" i="2"/>
  <c r="D3742" i="2"/>
  <c r="E3742" i="2"/>
  <c r="D3734" i="2"/>
  <c r="E3734" i="2"/>
  <c r="D3726" i="2"/>
  <c r="E3726" i="2"/>
  <c r="D3718" i="2"/>
  <c r="E3718" i="2"/>
  <c r="D3710" i="2"/>
  <c r="E3710" i="2"/>
  <c r="D3702" i="2"/>
  <c r="E3702" i="2"/>
  <c r="D3694" i="2"/>
  <c r="E3694" i="2"/>
  <c r="D3686" i="2"/>
  <c r="E3686" i="2"/>
  <c r="D3678" i="2"/>
  <c r="E3678" i="2"/>
  <c r="D3662" i="2"/>
  <c r="E3662" i="2"/>
  <c r="D3654" i="2"/>
  <c r="E3654" i="2"/>
  <c r="D3646" i="2"/>
  <c r="E3646" i="2"/>
  <c r="D3638" i="2"/>
  <c r="E3638" i="2"/>
  <c r="D3630" i="2"/>
  <c r="E3630" i="2"/>
  <c r="D3622" i="2"/>
  <c r="E3622" i="2"/>
  <c r="D3614" i="2"/>
  <c r="E3614" i="2"/>
  <c r="D3598" i="2"/>
  <c r="E3598" i="2"/>
  <c r="D3590" i="2"/>
  <c r="E3590" i="2"/>
  <c r="D3582" i="2"/>
  <c r="E3582" i="2"/>
  <c r="D3574" i="2"/>
  <c r="E3574" i="2"/>
  <c r="D3566" i="2"/>
  <c r="E3566" i="2"/>
  <c r="D3558" i="2"/>
  <c r="E3558" i="2"/>
  <c r="D3550" i="2"/>
  <c r="E3550" i="2"/>
  <c r="D1902" i="2"/>
  <c r="E1902" i="2"/>
  <c r="D1854" i="2"/>
  <c r="E1854" i="2"/>
  <c r="D1790" i="2"/>
  <c r="E1790" i="2"/>
  <c r="D1726" i="2"/>
  <c r="E1726" i="2"/>
  <c r="D1662" i="2"/>
  <c r="E1662" i="2"/>
  <c r="D1534" i="2"/>
  <c r="E1534" i="2"/>
  <c r="D1470" i="2"/>
  <c r="E1470" i="2"/>
  <c r="D1406" i="2"/>
  <c r="E1406" i="2"/>
  <c r="D1342" i="2"/>
  <c r="E1342" i="2"/>
  <c r="D1278" i="2"/>
  <c r="E1278" i="2"/>
  <c r="D1214" i="2"/>
  <c r="E1214" i="2"/>
  <c r="D1150" i="2"/>
  <c r="E1150" i="2"/>
  <c r="D1022" i="2"/>
  <c r="E1022" i="2"/>
  <c r="D958" i="2"/>
  <c r="E958" i="2"/>
  <c r="D894" i="2"/>
  <c r="E894" i="2"/>
  <c r="D830" i="2"/>
  <c r="E830" i="2"/>
  <c r="D806" i="2"/>
  <c r="E806" i="2"/>
  <c r="D774" i="2"/>
  <c r="E774" i="2"/>
  <c r="D742" i="2"/>
  <c r="E742" i="2"/>
  <c r="D678" i="2"/>
  <c r="E678" i="2"/>
  <c r="D646" i="2"/>
  <c r="E646" i="2"/>
  <c r="D614" i="2"/>
  <c r="E614" i="2"/>
  <c r="D582" i="2"/>
  <c r="E582" i="2"/>
  <c r="D550" i="2"/>
  <c r="E550" i="2"/>
  <c r="D518" i="2"/>
  <c r="E518" i="2"/>
  <c r="D486" i="2"/>
  <c r="E486" i="2"/>
  <c r="D422" i="2"/>
  <c r="E422" i="2"/>
  <c r="D390" i="2"/>
  <c r="E390" i="2"/>
  <c r="D358" i="2"/>
  <c r="E358" i="2"/>
  <c r="D326" i="2"/>
  <c r="E326" i="2"/>
  <c r="D294" i="2"/>
  <c r="E294" i="2"/>
  <c r="D262" i="2"/>
  <c r="E262" i="2"/>
  <c r="D230" i="2"/>
  <c r="E230" i="2"/>
  <c r="E134" i="2"/>
  <c r="D134" i="2"/>
  <c r="E3269" i="2"/>
  <c r="D3269" i="2"/>
  <c r="E3261" i="2"/>
  <c r="D3261" i="2"/>
  <c r="E3253" i="2"/>
  <c r="D3253" i="2"/>
  <c r="E3245" i="2"/>
  <c r="D3245" i="2"/>
  <c r="E3237" i="2"/>
  <c r="D3237" i="2"/>
  <c r="E3229" i="2"/>
  <c r="D3229" i="2"/>
  <c r="E3221" i="2"/>
  <c r="D3221" i="2"/>
  <c r="E3213" i="2"/>
  <c r="D3213" i="2"/>
  <c r="E3205" i="2"/>
  <c r="D3205" i="2"/>
  <c r="E3197" i="2"/>
  <c r="D3197" i="2"/>
  <c r="E3189" i="2"/>
  <c r="D3189" i="2"/>
  <c r="E3181" i="2"/>
  <c r="D3181" i="2"/>
  <c r="E3165" i="2"/>
  <c r="D3165" i="2"/>
  <c r="E3157" i="2"/>
  <c r="D3157" i="2"/>
  <c r="E3149" i="2"/>
  <c r="D3149" i="2"/>
  <c r="E3141" i="2"/>
  <c r="D3141" i="2"/>
  <c r="E3133" i="2"/>
  <c r="D3133" i="2"/>
  <c r="E3125" i="2"/>
  <c r="D3125" i="2"/>
  <c r="E3117" i="2"/>
  <c r="D3117" i="2"/>
  <c r="E3109" i="2"/>
  <c r="D3109" i="2"/>
  <c r="E3101" i="2"/>
  <c r="D3101" i="2"/>
  <c r="E3093" i="2"/>
  <c r="D3093" i="2"/>
  <c r="E3085" i="2"/>
  <c r="D3085" i="2"/>
  <c r="E3077" i="2"/>
  <c r="D3077" i="2"/>
  <c r="E3069" i="2"/>
  <c r="D3069" i="2"/>
  <c r="E3061" i="2"/>
  <c r="D3061" i="2"/>
  <c r="E3053" i="2"/>
  <c r="D3053" i="2"/>
  <c r="E3037" i="2"/>
  <c r="D3037" i="2"/>
  <c r="D3029" i="2"/>
  <c r="E3029" i="2"/>
  <c r="D3021" i="2"/>
  <c r="E3021" i="2"/>
  <c r="D3013" i="2"/>
  <c r="E3013" i="2"/>
  <c r="D3005" i="2"/>
  <c r="E3005" i="2"/>
  <c r="D2997" i="2"/>
  <c r="E2997" i="2"/>
  <c r="D2989" i="2"/>
  <c r="E2989" i="2"/>
  <c r="D2981" i="2"/>
  <c r="E2981" i="2"/>
  <c r="D2973" i="2"/>
  <c r="E2973" i="2"/>
  <c r="D2965" i="2"/>
  <c r="E2965" i="2"/>
  <c r="D2957" i="2"/>
  <c r="E2957" i="2"/>
  <c r="D2949" i="2"/>
  <c r="E2949" i="2"/>
  <c r="D2941" i="2"/>
  <c r="E2941" i="2"/>
  <c r="D2933" i="2"/>
  <c r="E2933" i="2"/>
  <c r="D2925" i="2"/>
  <c r="E2925" i="2"/>
  <c r="D2917" i="2"/>
  <c r="E2917" i="2"/>
  <c r="D2909" i="2"/>
  <c r="E2909" i="2"/>
  <c r="D2901" i="2"/>
  <c r="E2901" i="2"/>
  <c r="D2893" i="2"/>
  <c r="E2893" i="2"/>
  <c r="D2885" i="2"/>
  <c r="E2885" i="2"/>
  <c r="D2877" i="2"/>
  <c r="E2877" i="2"/>
  <c r="D2869" i="2"/>
  <c r="E2869" i="2"/>
  <c r="D2861" i="2"/>
  <c r="E2861" i="2"/>
  <c r="D2853" i="2"/>
  <c r="E2853" i="2"/>
  <c r="D2845" i="2"/>
  <c r="E2845" i="2"/>
  <c r="D2837" i="2"/>
  <c r="E2837" i="2"/>
  <c r="D2829" i="2"/>
  <c r="E2829" i="2"/>
  <c r="D2821" i="2"/>
  <c r="E2821" i="2"/>
  <c r="D2813" i="2"/>
  <c r="E2813" i="2"/>
  <c r="D2805" i="2"/>
  <c r="E2805" i="2"/>
  <c r="D2797" i="2"/>
  <c r="E2797" i="2"/>
  <c r="D2789" i="2"/>
  <c r="E2789" i="2"/>
  <c r="D2781" i="2"/>
  <c r="E2781" i="2"/>
  <c r="D2773" i="2"/>
  <c r="E2773" i="2"/>
  <c r="D2765" i="2"/>
  <c r="E2765" i="2"/>
  <c r="D2757" i="2"/>
  <c r="E2757" i="2"/>
  <c r="D2749" i="2"/>
  <c r="E2749" i="2"/>
  <c r="D2741" i="2"/>
  <c r="E2741" i="2"/>
  <c r="D2733" i="2"/>
  <c r="E2733" i="2"/>
  <c r="D2725" i="2"/>
  <c r="E2725" i="2"/>
  <c r="D2717" i="2"/>
  <c r="E2717" i="2"/>
  <c r="D2709" i="2"/>
  <c r="E2709" i="2"/>
  <c r="D2701" i="2"/>
  <c r="E2701" i="2"/>
  <c r="D2693" i="2"/>
  <c r="E2693" i="2"/>
  <c r="D2685" i="2"/>
  <c r="E2685" i="2"/>
  <c r="D2677" i="2"/>
  <c r="E2677" i="2"/>
  <c r="D2669" i="2"/>
  <c r="E2669" i="2"/>
  <c r="D2661" i="2"/>
  <c r="E2661" i="2"/>
  <c r="D2653" i="2"/>
  <c r="E2653" i="2"/>
  <c r="D2645" i="2"/>
  <c r="E2645" i="2"/>
  <c r="D2637" i="2"/>
  <c r="E2637" i="2"/>
  <c r="D2629" i="2"/>
  <c r="E2629" i="2"/>
  <c r="D2621" i="2"/>
  <c r="E2621" i="2"/>
  <c r="D2613" i="2"/>
  <c r="E2613" i="2"/>
  <c r="D2605" i="2"/>
  <c r="E2605" i="2"/>
  <c r="D2597" i="2"/>
  <c r="E2597" i="2"/>
  <c r="D2589" i="2"/>
  <c r="E2589" i="2"/>
  <c r="D2581" i="2"/>
  <c r="E2581" i="2"/>
  <c r="D2573" i="2"/>
  <c r="E2573" i="2"/>
  <c r="D2565" i="2"/>
  <c r="E2565" i="2"/>
  <c r="D2557" i="2"/>
  <c r="E2557" i="2"/>
  <c r="D2549" i="2"/>
  <c r="E2549" i="2"/>
  <c r="D2541" i="2"/>
  <c r="E2541" i="2"/>
  <c r="D2533" i="2"/>
  <c r="E2533" i="2"/>
  <c r="D2525" i="2"/>
  <c r="E2525" i="2"/>
  <c r="D2517" i="2"/>
  <c r="E2517" i="2"/>
  <c r="D2509" i="2"/>
  <c r="E2509" i="2"/>
  <c r="D2501" i="2"/>
  <c r="E2501" i="2"/>
  <c r="D2493" i="2"/>
  <c r="E2493" i="2"/>
  <c r="D2485" i="2"/>
  <c r="E2485" i="2"/>
  <c r="D2477" i="2"/>
  <c r="E2477" i="2"/>
  <c r="D2469" i="2"/>
  <c r="E2469" i="2"/>
  <c r="D2461" i="2"/>
  <c r="E2461" i="2"/>
  <c r="D2453" i="2"/>
  <c r="E2453" i="2"/>
  <c r="D2445" i="2"/>
  <c r="E2445" i="2"/>
  <c r="D2437" i="2"/>
  <c r="E2437" i="2"/>
  <c r="D2429" i="2"/>
  <c r="E2429" i="2"/>
  <c r="D2421" i="2"/>
  <c r="E2421" i="2"/>
  <c r="D2413" i="2"/>
  <c r="E2413" i="2"/>
  <c r="D2405" i="2"/>
  <c r="E2405" i="2"/>
  <c r="D2397" i="2"/>
  <c r="E2397" i="2"/>
  <c r="D2389" i="2"/>
  <c r="E2389" i="2"/>
  <c r="D2381" i="2"/>
  <c r="E2381" i="2"/>
  <c r="D2373" i="2"/>
  <c r="E2373" i="2"/>
  <c r="D2365" i="2"/>
  <c r="E2365" i="2"/>
  <c r="D2357" i="2"/>
  <c r="E2357" i="2"/>
  <c r="D2349" i="2"/>
  <c r="E2349" i="2"/>
  <c r="D2341" i="2"/>
  <c r="E2341" i="2"/>
  <c r="D2333" i="2"/>
  <c r="E2333" i="2"/>
  <c r="D2325" i="2"/>
  <c r="E2325" i="2"/>
  <c r="D2317" i="2"/>
  <c r="E2317" i="2"/>
  <c r="D2309" i="2"/>
  <c r="E2309" i="2"/>
  <c r="D2301" i="2"/>
  <c r="E2301" i="2"/>
  <c r="D2293" i="2"/>
  <c r="E2293" i="2"/>
  <c r="D2285" i="2"/>
  <c r="E2285" i="2"/>
  <c r="D2277" i="2"/>
  <c r="E2277" i="2"/>
  <c r="D2269" i="2"/>
  <c r="E2269" i="2"/>
  <c r="D2261" i="2"/>
  <c r="E2261" i="2"/>
  <c r="D2253" i="2"/>
  <c r="E2253" i="2"/>
  <c r="D2245" i="2"/>
  <c r="E2245" i="2"/>
  <c r="D2237" i="2"/>
  <c r="E2237" i="2"/>
  <c r="D2229" i="2"/>
  <c r="E2229" i="2"/>
  <c r="D2221" i="2"/>
  <c r="E2221" i="2"/>
  <c r="D2213" i="2"/>
  <c r="E2213" i="2"/>
  <c r="D2205" i="2"/>
  <c r="E2205" i="2"/>
  <c r="D2197" i="2"/>
  <c r="E2197" i="2"/>
  <c r="D2189" i="2"/>
  <c r="E2189" i="2"/>
  <c r="D2181" i="2"/>
  <c r="E2181" i="2"/>
  <c r="D2173" i="2"/>
  <c r="E2173" i="2"/>
  <c r="D2165" i="2"/>
  <c r="E2165" i="2"/>
  <c r="D2157" i="2"/>
  <c r="E2157" i="2"/>
  <c r="D2149" i="2"/>
  <c r="E2149" i="2"/>
  <c r="D2141" i="2"/>
  <c r="E2141" i="2"/>
  <c r="D2133" i="2"/>
  <c r="E2133" i="2"/>
  <c r="D2125" i="2"/>
  <c r="E2125" i="2"/>
  <c r="D2117" i="2"/>
  <c r="E2117" i="2"/>
  <c r="D2109" i="2"/>
  <c r="E2109" i="2"/>
  <c r="D2101" i="2"/>
  <c r="E2101" i="2"/>
  <c r="D2093" i="2"/>
  <c r="E2093" i="2"/>
  <c r="D2085" i="2"/>
  <c r="E2085" i="2"/>
  <c r="D2077" i="2"/>
  <c r="E2077" i="2"/>
  <c r="D2069" i="2"/>
  <c r="E2069" i="2"/>
  <c r="D2061" i="2"/>
  <c r="E2061" i="2"/>
  <c r="D2053" i="2"/>
  <c r="E2053" i="2"/>
  <c r="D2045" i="2"/>
  <c r="E2045" i="2"/>
  <c r="D2037" i="2"/>
  <c r="E2037" i="2"/>
  <c r="D2029" i="2"/>
  <c r="E2029" i="2"/>
  <c r="D2021" i="2"/>
  <c r="E2021" i="2"/>
  <c r="D2013" i="2"/>
  <c r="E2013" i="2"/>
  <c r="D2005" i="2"/>
  <c r="E2005" i="2"/>
  <c r="D1997" i="2"/>
  <c r="E1997" i="2"/>
  <c r="D1989" i="2"/>
  <c r="E1989" i="2"/>
  <c r="D1981" i="2"/>
  <c r="E1981" i="2"/>
  <c r="D1973" i="2"/>
  <c r="E1973" i="2"/>
  <c r="D1965" i="2"/>
  <c r="E1965" i="2"/>
  <c r="D1957" i="2"/>
  <c r="E1957" i="2"/>
  <c r="D1949" i="2"/>
  <c r="E1949" i="2"/>
  <c r="D1941" i="2"/>
  <c r="E1941" i="2"/>
  <c r="D1933" i="2"/>
  <c r="E1933" i="2"/>
  <c r="D1925" i="2"/>
  <c r="E1925" i="2"/>
  <c r="D1917" i="2"/>
  <c r="E1917" i="2"/>
  <c r="D1909" i="2"/>
  <c r="E1909" i="2"/>
  <c r="D1901" i="2"/>
  <c r="E1901" i="2"/>
  <c r="D1893" i="2"/>
  <c r="E1893" i="2"/>
  <c r="D1885" i="2"/>
  <c r="E1885" i="2"/>
  <c r="D1877" i="2"/>
  <c r="E1877" i="2"/>
  <c r="D1869" i="2"/>
  <c r="E1869" i="2"/>
  <c r="D1861" i="2"/>
  <c r="E1861" i="2"/>
  <c r="D1853" i="2"/>
  <c r="E1853" i="2"/>
  <c r="D1845" i="2"/>
  <c r="E1845" i="2"/>
  <c r="E1837" i="2"/>
  <c r="D1837" i="2"/>
  <c r="D1829" i="2"/>
  <c r="E1829" i="2"/>
  <c r="E1821" i="2"/>
  <c r="D1821" i="2"/>
  <c r="E1805" i="2"/>
  <c r="D1805" i="2"/>
  <c r="D1797" i="2"/>
  <c r="E1797" i="2"/>
  <c r="E1789" i="2"/>
  <c r="D1789" i="2"/>
  <c r="D1781" i="2"/>
  <c r="E1781" i="2"/>
  <c r="E1773" i="2"/>
  <c r="D1773" i="2"/>
  <c r="D1765" i="2"/>
  <c r="E1765" i="2"/>
  <c r="E1757" i="2"/>
  <c r="D1757" i="2"/>
  <c r="E1741" i="2"/>
  <c r="D1741" i="2"/>
  <c r="D1733" i="2"/>
  <c r="E1733" i="2"/>
  <c r="E1725" i="2"/>
  <c r="D1725" i="2"/>
  <c r="D1717" i="2"/>
  <c r="E1717" i="2"/>
  <c r="E1709" i="2"/>
  <c r="D1709" i="2"/>
  <c r="D1701" i="2"/>
  <c r="E1701" i="2"/>
  <c r="E1693" i="2"/>
  <c r="D1693" i="2"/>
  <c r="E1677" i="2"/>
  <c r="D1677" i="2"/>
  <c r="D1669" i="2"/>
  <c r="E1669" i="2"/>
  <c r="E1661" i="2"/>
  <c r="D1661" i="2"/>
  <c r="D1653" i="2"/>
  <c r="E1653" i="2"/>
  <c r="E1645" i="2"/>
  <c r="D1645" i="2"/>
  <c r="D1637" i="2"/>
  <c r="E1637" i="2"/>
  <c r="E1629" i="2"/>
  <c r="D1629" i="2"/>
  <c r="E1613" i="2"/>
  <c r="D1613" i="2"/>
  <c r="D1605" i="2"/>
  <c r="E1605" i="2"/>
  <c r="E1597" i="2"/>
  <c r="D1597" i="2"/>
  <c r="D1589" i="2"/>
  <c r="E1589" i="2"/>
  <c r="E1581" i="2"/>
  <c r="D1581" i="2"/>
  <c r="D1573" i="2"/>
  <c r="E1573" i="2"/>
  <c r="E1565" i="2"/>
  <c r="D1565" i="2"/>
  <c r="D1549" i="2"/>
  <c r="E1549" i="2"/>
  <c r="D1541" i="2"/>
  <c r="E1541" i="2"/>
  <c r="D1533" i="2"/>
  <c r="E1533" i="2"/>
  <c r="D1525" i="2"/>
  <c r="E1525" i="2"/>
  <c r="D1517" i="2"/>
  <c r="E1517" i="2"/>
  <c r="D1509" i="2"/>
  <c r="E1509" i="2"/>
  <c r="D1501" i="2"/>
  <c r="E1501" i="2"/>
  <c r="D1485" i="2"/>
  <c r="E1485" i="2"/>
  <c r="D1477" i="2"/>
  <c r="E1477" i="2"/>
  <c r="D1469" i="2"/>
  <c r="E1469" i="2"/>
  <c r="D1461" i="2"/>
  <c r="E1461" i="2"/>
  <c r="D1453" i="2"/>
  <c r="E1453" i="2"/>
  <c r="D1445" i="2"/>
  <c r="E1445" i="2"/>
  <c r="D1437" i="2"/>
  <c r="E1437" i="2"/>
  <c r="D1421" i="2"/>
  <c r="E1421" i="2"/>
  <c r="D1413" i="2"/>
  <c r="E1413" i="2"/>
  <c r="D1405" i="2"/>
  <c r="E1405" i="2"/>
  <c r="D1397" i="2"/>
  <c r="E1397" i="2"/>
  <c r="D1389" i="2"/>
  <c r="E1389" i="2"/>
  <c r="D1381" i="2"/>
  <c r="E1381" i="2"/>
  <c r="D1373" i="2"/>
  <c r="E1373" i="2"/>
  <c r="D1357" i="2"/>
  <c r="E1357" i="2"/>
  <c r="D1349" i="2"/>
  <c r="E1349" i="2"/>
  <c r="D1341" i="2"/>
  <c r="E1341" i="2"/>
  <c r="D1333" i="2"/>
  <c r="E1333" i="2"/>
  <c r="D1325" i="2"/>
  <c r="E1325" i="2"/>
  <c r="D1317" i="2"/>
  <c r="E1317" i="2"/>
  <c r="D1309" i="2"/>
  <c r="E1309" i="2"/>
  <c r="D1293" i="2"/>
  <c r="E1293" i="2"/>
  <c r="D1285" i="2"/>
  <c r="E1285" i="2"/>
  <c r="D1277" i="2"/>
  <c r="E1277" i="2"/>
  <c r="D1269" i="2"/>
  <c r="E1269" i="2"/>
  <c r="D1261" i="2"/>
  <c r="E1261" i="2"/>
  <c r="D1253" i="2"/>
  <c r="E1253" i="2"/>
  <c r="D1245" i="2"/>
  <c r="E1245" i="2"/>
  <c r="D1229" i="2"/>
  <c r="E1229" i="2"/>
  <c r="D1221" i="2"/>
  <c r="E1221" i="2"/>
  <c r="D1213" i="2"/>
  <c r="E1213" i="2"/>
  <c r="D1205" i="2"/>
  <c r="E1205" i="2"/>
  <c r="D1197" i="2"/>
  <c r="E1197" i="2"/>
  <c r="D1189" i="2"/>
  <c r="E1189" i="2"/>
  <c r="D1181" i="2"/>
  <c r="E1181" i="2"/>
  <c r="D1165" i="2"/>
  <c r="E1165" i="2"/>
  <c r="D1157" i="2"/>
  <c r="E1157" i="2"/>
  <c r="D1149" i="2"/>
  <c r="E1149" i="2"/>
  <c r="D1141" i="2"/>
  <c r="E1141" i="2"/>
  <c r="D1133" i="2"/>
  <c r="E1133" i="2"/>
  <c r="D1125" i="2"/>
  <c r="E1125" i="2"/>
  <c r="D1117" i="2"/>
  <c r="E1117" i="2"/>
  <c r="D1101" i="2"/>
  <c r="E1101" i="2"/>
  <c r="D1093" i="2"/>
  <c r="E1093" i="2"/>
  <c r="D1085" i="2"/>
  <c r="E1085" i="2"/>
  <c r="D1077" i="2"/>
  <c r="E1077" i="2"/>
  <c r="D1069" i="2"/>
  <c r="E1069" i="2"/>
  <c r="D1061" i="2"/>
  <c r="E1061" i="2"/>
  <c r="D1053" i="2"/>
  <c r="E1053" i="2"/>
  <c r="D1037" i="2"/>
  <c r="E1037" i="2"/>
  <c r="D1029" i="2"/>
  <c r="E1029" i="2"/>
  <c r="D1021" i="2"/>
  <c r="E1021" i="2"/>
  <c r="D1013" i="2"/>
  <c r="E1013" i="2"/>
  <c r="D1005" i="2"/>
  <c r="E1005" i="2"/>
  <c r="D997" i="2"/>
  <c r="E997" i="2"/>
  <c r="D989" i="2"/>
  <c r="E989" i="2"/>
  <c r="D973" i="2"/>
  <c r="E973" i="2"/>
  <c r="D965" i="2"/>
  <c r="E965" i="2"/>
  <c r="D957" i="2"/>
  <c r="E957" i="2"/>
  <c r="D949" i="2"/>
  <c r="E949" i="2"/>
  <c r="D941" i="2"/>
  <c r="E941" i="2"/>
  <c r="D933" i="2"/>
  <c r="E933" i="2"/>
  <c r="D925" i="2"/>
  <c r="E925" i="2"/>
  <c r="D909" i="2"/>
  <c r="E909" i="2"/>
  <c r="D901" i="2"/>
  <c r="E901" i="2"/>
  <c r="D893" i="2"/>
  <c r="E893" i="2"/>
  <c r="D885" i="2"/>
  <c r="E885" i="2"/>
  <c r="D877" i="2"/>
  <c r="E877" i="2"/>
  <c r="D869" i="2"/>
  <c r="E869" i="2"/>
  <c r="D861" i="2"/>
  <c r="E861" i="2"/>
  <c r="D845" i="2"/>
  <c r="E845" i="2"/>
  <c r="D837" i="2"/>
  <c r="E837" i="2"/>
  <c r="D829" i="2"/>
  <c r="E829" i="2"/>
  <c r="D821" i="2"/>
  <c r="E821" i="2"/>
  <c r="D813" i="2"/>
  <c r="E813" i="2"/>
  <c r="D805" i="2"/>
  <c r="E805" i="2"/>
  <c r="D797" i="2"/>
  <c r="E797" i="2"/>
  <c r="D789" i="2"/>
  <c r="E789" i="2"/>
  <c r="D781" i="2"/>
  <c r="E781" i="2"/>
  <c r="D773" i="2"/>
  <c r="E773" i="2"/>
  <c r="D765" i="2"/>
  <c r="E765" i="2"/>
  <c r="D757" i="2"/>
  <c r="E757" i="2"/>
  <c r="D749" i="2"/>
  <c r="E749" i="2"/>
  <c r="D741" i="2"/>
  <c r="E741" i="2"/>
  <c r="D733" i="2"/>
  <c r="E733" i="2"/>
  <c r="D725" i="2"/>
  <c r="E725" i="2"/>
  <c r="D717" i="2"/>
  <c r="E717" i="2"/>
  <c r="D709" i="2"/>
  <c r="E709" i="2"/>
  <c r="D701" i="2"/>
  <c r="E701" i="2"/>
  <c r="D693" i="2"/>
  <c r="E693" i="2"/>
  <c r="D685" i="2"/>
  <c r="E685" i="2"/>
  <c r="D677" i="2"/>
  <c r="E677" i="2"/>
  <c r="D669" i="2"/>
  <c r="E669" i="2"/>
  <c r="D661" i="2"/>
  <c r="E661" i="2"/>
  <c r="D653" i="2"/>
  <c r="E653" i="2"/>
  <c r="D645" i="2"/>
  <c r="E645" i="2"/>
  <c r="D637" i="2"/>
  <c r="E637" i="2"/>
  <c r="D629" i="2"/>
  <c r="E629" i="2"/>
  <c r="D621" i="2"/>
  <c r="E621" i="2"/>
  <c r="D613" i="2"/>
  <c r="E613" i="2"/>
  <c r="D605" i="2"/>
  <c r="E605" i="2"/>
  <c r="D597" i="2"/>
  <c r="E597" i="2"/>
  <c r="D589" i="2"/>
  <c r="E589" i="2"/>
  <c r="D581" i="2"/>
  <c r="E581" i="2"/>
  <c r="D573" i="2"/>
  <c r="E573" i="2"/>
  <c r="D565" i="2"/>
  <c r="E565" i="2"/>
  <c r="D557" i="2"/>
  <c r="E557" i="2"/>
  <c r="D549" i="2"/>
  <c r="E549" i="2"/>
  <c r="D541" i="2"/>
  <c r="E541" i="2"/>
  <c r="D533" i="2"/>
  <c r="E533" i="2"/>
  <c r="D525" i="2"/>
  <c r="E525" i="2"/>
  <c r="D517" i="2"/>
  <c r="E517" i="2"/>
  <c r="D509" i="2"/>
  <c r="E509" i="2"/>
  <c r="D501" i="2"/>
  <c r="E501" i="2"/>
  <c r="D493" i="2"/>
  <c r="E493" i="2"/>
  <c r="D485" i="2"/>
  <c r="E485" i="2"/>
  <c r="D477" i="2"/>
  <c r="E477" i="2"/>
  <c r="D469" i="2"/>
  <c r="E469" i="2"/>
  <c r="D461" i="2"/>
  <c r="E461" i="2"/>
  <c r="D453" i="2"/>
  <c r="E453" i="2"/>
  <c r="D445" i="2"/>
  <c r="E445" i="2"/>
  <c r="D437" i="2"/>
  <c r="E437" i="2"/>
  <c r="D429" i="2"/>
  <c r="E429" i="2"/>
  <c r="D421" i="2"/>
  <c r="E421" i="2"/>
  <c r="D413" i="2"/>
  <c r="E413" i="2"/>
  <c r="D405" i="2"/>
  <c r="E405" i="2"/>
  <c r="D397" i="2"/>
  <c r="E397" i="2"/>
  <c r="D389" i="2"/>
  <c r="E389" i="2"/>
  <c r="D381" i="2"/>
  <c r="E381" i="2"/>
  <c r="D373" i="2"/>
  <c r="E373" i="2"/>
  <c r="D365" i="2"/>
  <c r="E365" i="2"/>
  <c r="D357" i="2"/>
  <c r="E357" i="2"/>
  <c r="D349" i="2"/>
  <c r="E349" i="2"/>
  <c r="D341" i="2"/>
  <c r="E341" i="2"/>
  <c r="D333" i="2"/>
  <c r="E333" i="2"/>
  <c r="D325" i="2"/>
  <c r="E325" i="2"/>
  <c r="D317" i="2"/>
  <c r="E317" i="2"/>
  <c r="D309" i="2"/>
  <c r="E309" i="2"/>
  <c r="D301" i="2"/>
  <c r="E301" i="2"/>
  <c r="D293" i="2"/>
  <c r="E293" i="2"/>
  <c r="D285" i="2"/>
  <c r="E285" i="2"/>
  <c r="D277" i="2"/>
  <c r="E277" i="2"/>
  <c r="D269" i="2"/>
  <c r="E269" i="2"/>
  <c r="D261" i="2"/>
  <c r="E261" i="2"/>
  <c r="D253" i="2"/>
  <c r="E253" i="2"/>
  <c r="D245" i="2"/>
  <c r="E245" i="2"/>
  <c r="D237" i="2"/>
  <c r="E237" i="2"/>
  <c r="D229" i="2"/>
  <c r="E229" i="2"/>
  <c r="D221" i="2"/>
  <c r="E221" i="2"/>
  <c r="D213" i="2"/>
  <c r="E213" i="2"/>
  <c r="D205" i="2"/>
  <c r="E205" i="2"/>
  <c r="D197" i="2"/>
  <c r="E197" i="2"/>
  <c r="D189" i="2"/>
  <c r="E189" i="2"/>
  <c r="D181" i="2"/>
  <c r="E181" i="2"/>
  <c r="D173" i="2"/>
  <c r="E173" i="2"/>
  <c r="D165" i="2"/>
  <c r="E165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D3988" i="2"/>
  <c r="E3988" i="2"/>
  <c r="D3980" i="2"/>
  <c r="E3980" i="2"/>
  <c r="D3972" i="2"/>
  <c r="E3972" i="2"/>
  <c r="D3964" i="2"/>
  <c r="E3964" i="2"/>
  <c r="D3956" i="2"/>
  <c r="E3956" i="2"/>
  <c r="D3948" i="2"/>
  <c r="E3948" i="2"/>
  <c r="D3940" i="2"/>
  <c r="E3940" i="2"/>
  <c r="D3932" i="2"/>
  <c r="E3932" i="2"/>
  <c r="D3924" i="2"/>
  <c r="E3924" i="2"/>
  <c r="D3916" i="2"/>
  <c r="E3916" i="2"/>
  <c r="D3908" i="2"/>
  <c r="E3908" i="2"/>
  <c r="D3900" i="2"/>
  <c r="E3900" i="2"/>
  <c r="D3892" i="2"/>
  <c r="E3892" i="2"/>
  <c r="D3884" i="2"/>
  <c r="E3884" i="2"/>
  <c r="D3876" i="2"/>
  <c r="E3876" i="2"/>
  <c r="D3868" i="2"/>
  <c r="E3868" i="2"/>
  <c r="D3860" i="2"/>
  <c r="E3860" i="2"/>
  <c r="D3852" i="2"/>
  <c r="E3852" i="2"/>
  <c r="D3844" i="2"/>
  <c r="E3844" i="2"/>
  <c r="D3836" i="2"/>
  <c r="E3836" i="2"/>
  <c r="D3828" i="2"/>
  <c r="E3828" i="2"/>
  <c r="D3820" i="2"/>
  <c r="E3820" i="2"/>
  <c r="D3812" i="2"/>
  <c r="E3812" i="2"/>
  <c r="D3801" i="2"/>
  <c r="E3801" i="2"/>
  <c r="D3791" i="2"/>
  <c r="E3791" i="2"/>
  <c r="D3769" i="2"/>
  <c r="E3769" i="2"/>
  <c r="D3759" i="2"/>
  <c r="E3759" i="2"/>
  <c r="D3737" i="2"/>
  <c r="E3737" i="2"/>
  <c r="D3727" i="2"/>
  <c r="E3727" i="2"/>
  <c r="D3705" i="2"/>
  <c r="E3705" i="2"/>
  <c r="D3695" i="2"/>
  <c r="E3695" i="2"/>
  <c r="D3681" i="2"/>
  <c r="E3681" i="2"/>
  <c r="D3656" i="2"/>
  <c r="E3656" i="2"/>
  <c r="D3643" i="2"/>
  <c r="E3643" i="2"/>
  <c r="D3631" i="2"/>
  <c r="E3631" i="2"/>
  <c r="D3617" i="2"/>
  <c r="E3617" i="2"/>
  <c r="D3606" i="2"/>
  <c r="E3606" i="2"/>
  <c r="D3592" i="2"/>
  <c r="E3592" i="2"/>
  <c r="E3579" i="2"/>
  <c r="D3579" i="2"/>
  <c r="D3567" i="2"/>
  <c r="E3567" i="2"/>
  <c r="E3553" i="2"/>
  <c r="D3553" i="2"/>
  <c r="D3542" i="2"/>
  <c r="E3542" i="2"/>
  <c r="D3527" i="2"/>
  <c r="E3527" i="2"/>
  <c r="D3511" i="2"/>
  <c r="E3511" i="2"/>
  <c r="D3495" i="2"/>
  <c r="E3495" i="2"/>
  <c r="D3479" i="2"/>
  <c r="E3479" i="2"/>
  <c r="D3463" i="2"/>
  <c r="E3463" i="2"/>
  <c r="D3447" i="2"/>
  <c r="E3447" i="2"/>
  <c r="D3431" i="2"/>
  <c r="E3431" i="2"/>
  <c r="D3415" i="2"/>
  <c r="E3415" i="2"/>
  <c r="D3395" i="2"/>
  <c r="E3395" i="2"/>
  <c r="D3376" i="2"/>
  <c r="E3376" i="2"/>
  <c r="E3353" i="2"/>
  <c r="D3353" i="2"/>
  <c r="D3331" i="2"/>
  <c r="E3331" i="2"/>
  <c r="D3312" i="2"/>
  <c r="E3312" i="2"/>
  <c r="E3289" i="2"/>
  <c r="D3289" i="2"/>
  <c r="D3267" i="2"/>
  <c r="E3267" i="2"/>
  <c r="D3248" i="2"/>
  <c r="E3248" i="2"/>
  <c r="E3225" i="2"/>
  <c r="D3225" i="2"/>
  <c r="D3203" i="2"/>
  <c r="E3203" i="2"/>
  <c r="D3184" i="2"/>
  <c r="E3184" i="2"/>
  <c r="E3161" i="2"/>
  <c r="D3161" i="2"/>
  <c r="D3139" i="2"/>
  <c r="E3139" i="2"/>
  <c r="D3120" i="2"/>
  <c r="E3120" i="2"/>
  <c r="E3097" i="2"/>
  <c r="D3097" i="2"/>
  <c r="D3075" i="2"/>
  <c r="E3075" i="2"/>
  <c r="D3056" i="2"/>
  <c r="E3056" i="2"/>
  <c r="D3033" i="2"/>
  <c r="E3033" i="2"/>
  <c r="D3011" i="2"/>
  <c r="E3011" i="2"/>
  <c r="E2992" i="2"/>
  <c r="D2992" i="2"/>
  <c r="D2969" i="2"/>
  <c r="E2969" i="2"/>
  <c r="D2947" i="2"/>
  <c r="E2947" i="2"/>
  <c r="E2928" i="2"/>
  <c r="D2928" i="2"/>
  <c r="D2905" i="2"/>
  <c r="E2905" i="2"/>
  <c r="D2883" i="2"/>
  <c r="E2883" i="2"/>
  <c r="E2864" i="2"/>
  <c r="D2864" i="2"/>
  <c r="D2841" i="2"/>
  <c r="E2841" i="2"/>
  <c r="D2819" i="2"/>
  <c r="E2819" i="2"/>
  <c r="E2800" i="2"/>
  <c r="D2800" i="2"/>
  <c r="D2777" i="2"/>
  <c r="E2777" i="2"/>
  <c r="D2755" i="2"/>
  <c r="E2755" i="2"/>
  <c r="E2736" i="2"/>
  <c r="D2736" i="2"/>
  <c r="D2713" i="2"/>
  <c r="E2713" i="2"/>
  <c r="D2691" i="2"/>
  <c r="E2691" i="2"/>
  <c r="E2672" i="2"/>
  <c r="D2672" i="2"/>
  <c r="D2649" i="2"/>
  <c r="E2649" i="2"/>
  <c r="D2627" i="2"/>
  <c r="E2627" i="2"/>
  <c r="D2601" i="2"/>
  <c r="E2601" i="2"/>
  <c r="D2569" i="2"/>
  <c r="E2569" i="2"/>
  <c r="D2537" i="2"/>
  <c r="E2537" i="2"/>
  <c r="D2505" i="2"/>
  <c r="E2505" i="2"/>
  <c r="D2473" i="2"/>
  <c r="E2473" i="2"/>
  <c r="D2441" i="2"/>
  <c r="E2441" i="2"/>
  <c r="D2409" i="2"/>
  <c r="E2409" i="2"/>
  <c r="D2361" i="2"/>
  <c r="E2361" i="2"/>
  <c r="D2297" i="2"/>
  <c r="E2297" i="2"/>
  <c r="D2233" i="2"/>
  <c r="E2233" i="2"/>
  <c r="D2169" i="2"/>
  <c r="E2169" i="2"/>
  <c r="D2105" i="2"/>
  <c r="E2105" i="2"/>
  <c r="D2041" i="2"/>
  <c r="E2041" i="2"/>
  <c r="D1977" i="2"/>
  <c r="E1977" i="2"/>
  <c r="D1913" i="2"/>
  <c r="E1913" i="2"/>
  <c r="D1767" i="2"/>
  <c r="E1767" i="2"/>
  <c r="D1598" i="2"/>
  <c r="E1598" i="2"/>
  <c r="E1255" i="2"/>
  <c r="D1255" i="2"/>
  <c r="D1086" i="2"/>
  <c r="E1086" i="2"/>
  <c r="D710" i="2"/>
  <c r="E710" i="2"/>
  <c r="D454" i="2"/>
  <c r="E454" i="2"/>
  <c r="E198" i="2"/>
  <c r="D198" i="2"/>
  <c r="D3804" i="2"/>
  <c r="E3804" i="2"/>
  <c r="D3796" i="2"/>
  <c r="E3796" i="2"/>
  <c r="D3788" i="2"/>
  <c r="E3788" i="2"/>
  <c r="D3780" i="2"/>
  <c r="E3780" i="2"/>
  <c r="D3772" i="2"/>
  <c r="E3772" i="2"/>
  <c r="D3764" i="2"/>
  <c r="E3764" i="2"/>
  <c r="D3756" i="2"/>
  <c r="E3756" i="2"/>
  <c r="D3748" i="2"/>
  <c r="E3748" i="2"/>
  <c r="D3740" i="2"/>
  <c r="E3740" i="2"/>
  <c r="D3732" i="2"/>
  <c r="E3732" i="2"/>
  <c r="D3724" i="2"/>
  <c r="E3724" i="2"/>
  <c r="D3716" i="2"/>
  <c r="E3716" i="2"/>
  <c r="D3708" i="2"/>
  <c r="E3708" i="2"/>
  <c r="D3700" i="2"/>
  <c r="E3700" i="2"/>
  <c r="D3692" i="2"/>
  <c r="E3692" i="2"/>
  <c r="D3684" i="2"/>
  <c r="E3684" i="2"/>
  <c r="D3676" i="2"/>
  <c r="E3676" i="2"/>
  <c r="D3668" i="2"/>
  <c r="E3668" i="2"/>
  <c r="D3660" i="2"/>
  <c r="E3660" i="2"/>
  <c r="D3652" i="2"/>
  <c r="E3652" i="2"/>
  <c r="D3644" i="2"/>
  <c r="E3644" i="2"/>
  <c r="D3636" i="2"/>
  <c r="E3636" i="2"/>
  <c r="D3628" i="2"/>
  <c r="E3628" i="2"/>
  <c r="D3620" i="2"/>
  <c r="E3620" i="2"/>
  <c r="D3612" i="2"/>
  <c r="E3612" i="2"/>
  <c r="D3604" i="2"/>
  <c r="E3604" i="2"/>
  <c r="D3596" i="2"/>
  <c r="E3596" i="2"/>
  <c r="D3588" i="2"/>
  <c r="E3588" i="2"/>
  <c r="D3580" i="2"/>
  <c r="E3580" i="2"/>
  <c r="D3572" i="2"/>
  <c r="E3572" i="2"/>
  <c r="D3564" i="2"/>
  <c r="E3564" i="2"/>
  <c r="D3556" i="2"/>
  <c r="E3556" i="2"/>
  <c r="D3548" i="2"/>
  <c r="E3548" i="2"/>
  <c r="D3540" i="2"/>
  <c r="E3540" i="2"/>
  <c r="D3532" i="2"/>
  <c r="E3532" i="2"/>
  <c r="D3524" i="2"/>
  <c r="E3524" i="2"/>
  <c r="D3516" i="2"/>
  <c r="E3516" i="2"/>
  <c r="D3508" i="2"/>
  <c r="E3508" i="2"/>
  <c r="D3500" i="2"/>
  <c r="E3500" i="2"/>
  <c r="D3492" i="2"/>
  <c r="E3492" i="2"/>
  <c r="D3484" i="2"/>
  <c r="E3484" i="2"/>
  <c r="D3476" i="2"/>
  <c r="E3476" i="2"/>
  <c r="D3468" i="2"/>
  <c r="E3468" i="2"/>
  <c r="D3460" i="2"/>
  <c r="E3460" i="2"/>
  <c r="D3452" i="2"/>
  <c r="E3452" i="2"/>
  <c r="D3444" i="2"/>
  <c r="E3444" i="2"/>
  <c r="D3436" i="2"/>
  <c r="E3436" i="2"/>
  <c r="D3428" i="2"/>
  <c r="E3428" i="2"/>
  <c r="D3420" i="2"/>
  <c r="E3420" i="2"/>
  <c r="D3412" i="2"/>
  <c r="E3412" i="2"/>
  <c r="D3404" i="2"/>
  <c r="E3404" i="2"/>
  <c r="D3396" i="2"/>
  <c r="E3396" i="2"/>
  <c r="D3388" i="2"/>
  <c r="E3388" i="2"/>
  <c r="D3380" i="2"/>
  <c r="E3380" i="2"/>
  <c r="D3372" i="2"/>
  <c r="E3372" i="2"/>
  <c r="D3364" i="2"/>
  <c r="E3364" i="2"/>
  <c r="D3356" i="2"/>
  <c r="E3356" i="2"/>
  <c r="D3348" i="2"/>
  <c r="E3348" i="2"/>
  <c r="D3340" i="2"/>
  <c r="E3340" i="2"/>
  <c r="D3332" i="2"/>
  <c r="E3332" i="2"/>
  <c r="D3324" i="2"/>
  <c r="E3324" i="2"/>
  <c r="D3316" i="2"/>
  <c r="E3316" i="2"/>
  <c r="D3308" i="2"/>
  <c r="E3308" i="2"/>
  <c r="D3300" i="2"/>
  <c r="E3300" i="2"/>
  <c r="D3292" i="2"/>
  <c r="E3292" i="2"/>
  <c r="D3284" i="2"/>
  <c r="E3284" i="2"/>
  <c r="D3276" i="2"/>
  <c r="E3276" i="2"/>
  <c r="D3268" i="2"/>
  <c r="E3268" i="2"/>
  <c r="D3260" i="2"/>
  <c r="E3260" i="2"/>
  <c r="D3252" i="2"/>
  <c r="E3252" i="2"/>
  <c r="D3244" i="2"/>
  <c r="E3244" i="2"/>
  <c r="D3236" i="2"/>
  <c r="E3236" i="2"/>
  <c r="D3228" i="2"/>
  <c r="E3228" i="2"/>
  <c r="D3220" i="2"/>
  <c r="E3220" i="2"/>
  <c r="D3212" i="2"/>
  <c r="E3212" i="2"/>
  <c r="D3204" i="2"/>
  <c r="E3204" i="2"/>
  <c r="D3196" i="2"/>
  <c r="E3196" i="2"/>
  <c r="D3188" i="2"/>
  <c r="E3188" i="2"/>
  <c r="D3180" i="2"/>
  <c r="E3180" i="2"/>
  <c r="D3172" i="2"/>
  <c r="E3172" i="2"/>
  <c r="D3164" i="2"/>
  <c r="E3164" i="2"/>
  <c r="D3156" i="2"/>
  <c r="E3156" i="2"/>
  <c r="D3148" i="2"/>
  <c r="E3148" i="2"/>
  <c r="D3140" i="2"/>
  <c r="E3140" i="2"/>
  <c r="D3132" i="2"/>
  <c r="E3132" i="2"/>
  <c r="D3124" i="2"/>
  <c r="E3124" i="2"/>
  <c r="D3116" i="2"/>
  <c r="E3116" i="2"/>
  <c r="D3108" i="2"/>
  <c r="E3108" i="2"/>
  <c r="D3100" i="2"/>
  <c r="E3100" i="2"/>
  <c r="D3092" i="2"/>
  <c r="E3092" i="2"/>
  <c r="D3084" i="2"/>
  <c r="E3084" i="2"/>
  <c r="D3076" i="2"/>
  <c r="E3076" i="2"/>
  <c r="D3068" i="2"/>
  <c r="E3068" i="2"/>
  <c r="D3060" i="2"/>
  <c r="E3060" i="2"/>
  <c r="D3052" i="2"/>
  <c r="E3052" i="2"/>
  <c r="D3044" i="2"/>
  <c r="E3044" i="2"/>
  <c r="D3036" i="2"/>
  <c r="E3036" i="2"/>
  <c r="E3028" i="2"/>
  <c r="D3028" i="2"/>
  <c r="E3020" i="2"/>
  <c r="D3020" i="2"/>
  <c r="E3012" i="2"/>
  <c r="D3012" i="2"/>
  <c r="E3004" i="2"/>
  <c r="D3004" i="2"/>
  <c r="E2996" i="2"/>
  <c r="D2996" i="2"/>
  <c r="E2988" i="2"/>
  <c r="D2988" i="2"/>
  <c r="E2980" i="2"/>
  <c r="D2980" i="2"/>
  <c r="E2972" i="2"/>
  <c r="D2972" i="2"/>
  <c r="E2964" i="2"/>
  <c r="D2964" i="2"/>
  <c r="E2956" i="2"/>
  <c r="D2956" i="2"/>
  <c r="E2948" i="2"/>
  <c r="D2948" i="2"/>
  <c r="E2940" i="2"/>
  <c r="D2940" i="2"/>
  <c r="E2932" i="2"/>
  <c r="D2932" i="2"/>
  <c r="E2924" i="2"/>
  <c r="D2924" i="2"/>
  <c r="E2916" i="2"/>
  <c r="D2916" i="2"/>
  <c r="E2908" i="2"/>
  <c r="D2908" i="2"/>
  <c r="E2900" i="2"/>
  <c r="D2900" i="2"/>
  <c r="E2892" i="2"/>
  <c r="D2892" i="2"/>
  <c r="E2884" i="2"/>
  <c r="D2884" i="2"/>
  <c r="E2876" i="2"/>
  <c r="D2876" i="2"/>
  <c r="E2868" i="2"/>
  <c r="D2868" i="2"/>
  <c r="E2860" i="2"/>
  <c r="D2860" i="2"/>
  <c r="E2852" i="2"/>
  <c r="D2852" i="2"/>
  <c r="E2844" i="2"/>
  <c r="D2844" i="2"/>
  <c r="E2836" i="2"/>
  <c r="D2836" i="2"/>
  <c r="E2828" i="2"/>
  <c r="D2828" i="2"/>
  <c r="E2820" i="2"/>
  <c r="D2820" i="2"/>
  <c r="E2812" i="2"/>
  <c r="D2812" i="2"/>
  <c r="E2804" i="2"/>
  <c r="D2804" i="2"/>
  <c r="E2796" i="2"/>
  <c r="D2796" i="2"/>
  <c r="E2788" i="2"/>
  <c r="D2788" i="2"/>
  <c r="E2780" i="2"/>
  <c r="D2780" i="2"/>
  <c r="E2772" i="2"/>
  <c r="D2772" i="2"/>
  <c r="E2764" i="2"/>
  <c r="D2764" i="2"/>
  <c r="E2756" i="2"/>
  <c r="D2756" i="2"/>
  <c r="E2748" i="2"/>
  <c r="D2748" i="2"/>
  <c r="E2740" i="2"/>
  <c r="D2740" i="2"/>
  <c r="E2732" i="2"/>
  <c r="D2732" i="2"/>
  <c r="E2724" i="2"/>
  <c r="D2724" i="2"/>
  <c r="E2716" i="2"/>
  <c r="D2716" i="2"/>
  <c r="E2708" i="2"/>
  <c r="D2708" i="2"/>
  <c r="E2700" i="2"/>
  <c r="D2700" i="2"/>
  <c r="E2692" i="2"/>
  <c r="D2692" i="2"/>
  <c r="E2684" i="2"/>
  <c r="D2684" i="2"/>
  <c r="E2676" i="2"/>
  <c r="D2676" i="2"/>
  <c r="E2668" i="2"/>
  <c r="D2668" i="2"/>
  <c r="E2660" i="2"/>
  <c r="D2660" i="2"/>
  <c r="E2652" i="2"/>
  <c r="D2652" i="2"/>
  <c r="E2644" i="2"/>
  <c r="D2644" i="2"/>
  <c r="E2636" i="2"/>
  <c r="D2636" i="2"/>
  <c r="E2628" i="2"/>
  <c r="D2628" i="2"/>
  <c r="E2620" i="2"/>
  <c r="D2620" i="2"/>
  <c r="E2612" i="2"/>
  <c r="D2612" i="2"/>
  <c r="E2604" i="2"/>
  <c r="D2604" i="2"/>
  <c r="E2596" i="2"/>
  <c r="D2596" i="2"/>
  <c r="E2588" i="2"/>
  <c r="D2588" i="2"/>
  <c r="E2580" i="2"/>
  <c r="D2580" i="2"/>
  <c r="E2572" i="2"/>
  <c r="D2572" i="2"/>
  <c r="E2564" i="2"/>
  <c r="D2564" i="2"/>
  <c r="E2556" i="2"/>
  <c r="D2556" i="2"/>
  <c r="E2548" i="2"/>
  <c r="D2548" i="2"/>
  <c r="E2540" i="2"/>
  <c r="D2540" i="2"/>
  <c r="E2532" i="2"/>
  <c r="D2532" i="2"/>
  <c r="E2524" i="2"/>
  <c r="D2524" i="2"/>
  <c r="E2516" i="2"/>
  <c r="D2516" i="2"/>
  <c r="E2508" i="2"/>
  <c r="D2508" i="2"/>
  <c r="E2500" i="2"/>
  <c r="D2500" i="2"/>
  <c r="E2492" i="2"/>
  <c r="D2492" i="2"/>
  <c r="E2484" i="2"/>
  <c r="D2484" i="2"/>
  <c r="E2476" i="2"/>
  <c r="D2476" i="2"/>
  <c r="E2468" i="2"/>
  <c r="D2468" i="2"/>
  <c r="E2460" i="2"/>
  <c r="D2460" i="2"/>
  <c r="E2452" i="2"/>
  <c r="D2452" i="2"/>
  <c r="E2444" i="2"/>
  <c r="D2444" i="2"/>
  <c r="E2436" i="2"/>
  <c r="D2436" i="2"/>
  <c r="E2428" i="2"/>
  <c r="D2428" i="2"/>
  <c r="E2420" i="2"/>
  <c r="D2420" i="2"/>
  <c r="E2412" i="2"/>
  <c r="D2412" i="2"/>
  <c r="E2404" i="2"/>
  <c r="D2404" i="2"/>
  <c r="E2396" i="2"/>
  <c r="D2396" i="2"/>
  <c r="E2388" i="2"/>
  <c r="D2388" i="2"/>
  <c r="E2380" i="2"/>
  <c r="D2380" i="2"/>
  <c r="E2372" i="2"/>
  <c r="D2372" i="2"/>
  <c r="D2364" i="2"/>
  <c r="E2364" i="2"/>
  <c r="D2356" i="2"/>
  <c r="E2356" i="2"/>
  <c r="D2348" i="2"/>
  <c r="E2348" i="2"/>
  <c r="D2340" i="2"/>
  <c r="E2340" i="2"/>
  <c r="D2332" i="2"/>
  <c r="E2332" i="2"/>
  <c r="D2324" i="2"/>
  <c r="E2324" i="2"/>
  <c r="D2316" i="2"/>
  <c r="E2316" i="2"/>
  <c r="D2308" i="2"/>
  <c r="E2308" i="2"/>
  <c r="D2300" i="2"/>
  <c r="E2300" i="2"/>
  <c r="D2292" i="2"/>
  <c r="E2292" i="2"/>
  <c r="D2284" i="2"/>
  <c r="E2284" i="2"/>
  <c r="D2276" i="2"/>
  <c r="E2276" i="2"/>
  <c r="D2268" i="2"/>
  <c r="E2268" i="2"/>
  <c r="D2260" i="2"/>
  <c r="E2260" i="2"/>
  <c r="D2252" i="2"/>
  <c r="E2252" i="2"/>
  <c r="D2244" i="2"/>
  <c r="E2244" i="2"/>
  <c r="D2236" i="2"/>
  <c r="E2236" i="2"/>
  <c r="D2228" i="2"/>
  <c r="E2228" i="2"/>
  <c r="D2220" i="2"/>
  <c r="E2220" i="2"/>
  <c r="D2212" i="2"/>
  <c r="E2212" i="2"/>
  <c r="D2204" i="2"/>
  <c r="E2204" i="2"/>
  <c r="D2196" i="2"/>
  <c r="E2196" i="2"/>
  <c r="D2188" i="2"/>
  <c r="E2188" i="2"/>
  <c r="D2180" i="2"/>
  <c r="E2180" i="2"/>
  <c r="D2172" i="2"/>
  <c r="E2172" i="2"/>
  <c r="D2164" i="2"/>
  <c r="E2164" i="2"/>
  <c r="D2156" i="2"/>
  <c r="E2156" i="2"/>
  <c r="D2148" i="2"/>
  <c r="E2148" i="2"/>
  <c r="D2140" i="2"/>
  <c r="E2140" i="2"/>
  <c r="D2132" i="2"/>
  <c r="E2132" i="2"/>
  <c r="D2124" i="2"/>
  <c r="E2124" i="2"/>
  <c r="D2116" i="2"/>
  <c r="E2116" i="2"/>
  <c r="D2108" i="2"/>
  <c r="E2108" i="2"/>
  <c r="D2100" i="2"/>
  <c r="E2100" i="2"/>
  <c r="D2092" i="2"/>
  <c r="E2092" i="2"/>
  <c r="D2084" i="2"/>
  <c r="E2084" i="2"/>
  <c r="D2076" i="2"/>
  <c r="E2076" i="2"/>
  <c r="D2068" i="2"/>
  <c r="E2068" i="2"/>
  <c r="D2060" i="2"/>
  <c r="E2060" i="2"/>
  <c r="D2052" i="2"/>
  <c r="E2052" i="2"/>
  <c r="D2044" i="2"/>
  <c r="E2044" i="2"/>
  <c r="D2036" i="2"/>
  <c r="E2036" i="2"/>
  <c r="D2028" i="2"/>
  <c r="E2028" i="2"/>
  <c r="D2020" i="2"/>
  <c r="E2020" i="2"/>
  <c r="D2012" i="2"/>
  <c r="E2012" i="2"/>
  <c r="D2004" i="2"/>
  <c r="E2004" i="2"/>
  <c r="D1996" i="2"/>
  <c r="E1996" i="2"/>
  <c r="D1988" i="2"/>
  <c r="E1988" i="2"/>
  <c r="D1980" i="2"/>
  <c r="E1980" i="2"/>
  <c r="D1972" i="2"/>
  <c r="E1972" i="2"/>
  <c r="D1964" i="2"/>
  <c r="E1964" i="2"/>
  <c r="D1956" i="2"/>
  <c r="E1956" i="2"/>
  <c r="D1948" i="2"/>
  <c r="E1948" i="2"/>
  <c r="D1940" i="2"/>
  <c r="E1940" i="2"/>
  <c r="E1932" i="2"/>
  <c r="D1932" i="2"/>
  <c r="D1924" i="2"/>
  <c r="E1924" i="2"/>
  <c r="D1916" i="2"/>
  <c r="E1916" i="2"/>
  <c r="D1908" i="2"/>
  <c r="E1908" i="2"/>
  <c r="D1900" i="2"/>
  <c r="E1900" i="2"/>
  <c r="D1892" i="2"/>
  <c r="E1892" i="2"/>
  <c r="D1884" i="2"/>
  <c r="E1884" i="2"/>
  <c r="D1876" i="2"/>
  <c r="E1876" i="2"/>
  <c r="D1868" i="2"/>
  <c r="E1868" i="2"/>
  <c r="D1860" i="2"/>
  <c r="E1860" i="2"/>
  <c r="D1852" i="2"/>
  <c r="E1852" i="2"/>
  <c r="D1844" i="2"/>
  <c r="E1844" i="2"/>
  <c r="D1836" i="2"/>
  <c r="E1836" i="2"/>
  <c r="D1828" i="2"/>
  <c r="E1828" i="2"/>
  <c r="D1820" i="2"/>
  <c r="E1820" i="2"/>
  <c r="D1812" i="2"/>
  <c r="E1812" i="2"/>
  <c r="D1804" i="2"/>
  <c r="E1804" i="2"/>
  <c r="D1796" i="2"/>
  <c r="E1796" i="2"/>
  <c r="D1788" i="2"/>
  <c r="E1788" i="2"/>
  <c r="D1780" i="2"/>
  <c r="E1780" i="2"/>
  <c r="D1772" i="2"/>
  <c r="E1772" i="2"/>
  <c r="D1764" i="2"/>
  <c r="E1764" i="2"/>
  <c r="D1756" i="2"/>
  <c r="E1756" i="2"/>
  <c r="D1748" i="2"/>
  <c r="E1748" i="2"/>
  <c r="D1740" i="2"/>
  <c r="E1740" i="2"/>
  <c r="D1732" i="2"/>
  <c r="E1732" i="2"/>
  <c r="D1724" i="2"/>
  <c r="E1724" i="2"/>
  <c r="D1716" i="2"/>
  <c r="E1716" i="2"/>
  <c r="D1708" i="2"/>
  <c r="E1708" i="2"/>
  <c r="D1700" i="2"/>
  <c r="E1700" i="2"/>
  <c r="D1692" i="2"/>
  <c r="E1692" i="2"/>
  <c r="D1684" i="2"/>
  <c r="E1684" i="2"/>
  <c r="D1676" i="2"/>
  <c r="E1676" i="2"/>
  <c r="D1668" i="2"/>
  <c r="E1668" i="2"/>
  <c r="D1660" i="2"/>
  <c r="E1660" i="2"/>
  <c r="D1652" i="2"/>
  <c r="E1652" i="2"/>
  <c r="D1644" i="2"/>
  <c r="E1644" i="2"/>
  <c r="D1636" i="2"/>
  <c r="E1636" i="2"/>
  <c r="D1628" i="2"/>
  <c r="E1628" i="2"/>
  <c r="D1620" i="2"/>
  <c r="E1620" i="2"/>
  <c r="D1612" i="2"/>
  <c r="E1612" i="2"/>
  <c r="D1604" i="2"/>
  <c r="E1604" i="2"/>
  <c r="D1596" i="2"/>
  <c r="E1596" i="2"/>
  <c r="D1588" i="2"/>
  <c r="E1588" i="2"/>
  <c r="D1580" i="2"/>
  <c r="E1580" i="2"/>
  <c r="D1572" i="2"/>
  <c r="E1572" i="2"/>
  <c r="D1564" i="2"/>
  <c r="E1564" i="2"/>
  <c r="D1556" i="2"/>
  <c r="E1556" i="2"/>
  <c r="D1548" i="2"/>
  <c r="E1548" i="2"/>
  <c r="D1540" i="2"/>
  <c r="E1540" i="2"/>
  <c r="D1532" i="2"/>
  <c r="E1532" i="2"/>
  <c r="D1524" i="2"/>
  <c r="E1524" i="2"/>
  <c r="D1516" i="2"/>
  <c r="E1516" i="2"/>
  <c r="D1508" i="2"/>
  <c r="E1508" i="2"/>
  <c r="D1500" i="2"/>
  <c r="E1500" i="2"/>
  <c r="D1492" i="2"/>
  <c r="E1492" i="2"/>
  <c r="D1484" i="2"/>
  <c r="E1484" i="2"/>
  <c r="D1476" i="2"/>
  <c r="E1476" i="2"/>
  <c r="D1468" i="2"/>
  <c r="E1468" i="2"/>
  <c r="D1460" i="2"/>
  <c r="E1460" i="2"/>
  <c r="D1452" i="2"/>
  <c r="E1452" i="2"/>
  <c r="D1444" i="2"/>
  <c r="E1444" i="2"/>
  <c r="D1436" i="2"/>
  <c r="E1436" i="2"/>
  <c r="D1428" i="2"/>
  <c r="E1428" i="2"/>
  <c r="D1420" i="2"/>
  <c r="E1420" i="2"/>
  <c r="D1412" i="2"/>
  <c r="E1412" i="2"/>
  <c r="D1404" i="2"/>
  <c r="E1404" i="2"/>
  <c r="D1396" i="2"/>
  <c r="E1396" i="2"/>
  <c r="D1388" i="2"/>
  <c r="E1388" i="2"/>
  <c r="D1380" i="2"/>
  <c r="E1380" i="2"/>
  <c r="D1372" i="2"/>
  <c r="E1372" i="2"/>
  <c r="D1364" i="2"/>
  <c r="E1364" i="2"/>
  <c r="D1356" i="2"/>
  <c r="E1356" i="2"/>
  <c r="D1348" i="2"/>
  <c r="E1348" i="2"/>
  <c r="D1340" i="2"/>
  <c r="E1340" i="2"/>
  <c r="D1332" i="2"/>
  <c r="E1332" i="2"/>
  <c r="D1324" i="2"/>
  <c r="E1324" i="2"/>
  <c r="D1316" i="2"/>
  <c r="E1316" i="2"/>
  <c r="D1308" i="2"/>
  <c r="E1308" i="2"/>
  <c r="D1300" i="2"/>
  <c r="E1300" i="2"/>
  <c r="D1292" i="2"/>
  <c r="E1292" i="2"/>
  <c r="D1284" i="2"/>
  <c r="E1284" i="2"/>
  <c r="D1276" i="2"/>
  <c r="E1276" i="2"/>
  <c r="D1268" i="2"/>
  <c r="E1268" i="2"/>
  <c r="D1260" i="2"/>
  <c r="E1260" i="2"/>
  <c r="D1252" i="2"/>
  <c r="E1252" i="2"/>
  <c r="D1244" i="2"/>
  <c r="E1244" i="2"/>
  <c r="D1236" i="2"/>
  <c r="E1236" i="2"/>
  <c r="D1228" i="2"/>
  <c r="E1228" i="2"/>
  <c r="D1220" i="2"/>
  <c r="E1220" i="2"/>
  <c r="D1212" i="2"/>
  <c r="E1212" i="2"/>
  <c r="D1204" i="2"/>
  <c r="E1204" i="2"/>
  <c r="D1196" i="2"/>
  <c r="E1196" i="2"/>
  <c r="D1188" i="2"/>
  <c r="E1188" i="2"/>
  <c r="D1180" i="2"/>
  <c r="E1180" i="2"/>
  <c r="D1172" i="2"/>
  <c r="E1172" i="2"/>
  <c r="D1164" i="2"/>
  <c r="E1164" i="2"/>
  <c r="D1156" i="2"/>
  <c r="E1156" i="2"/>
  <c r="D1148" i="2"/>
  <c r="E1148" i="2"/>
  <c r="D1140" i="2"/>
  <c r="E1140" i="2"/>
  <c r="D1132" i="2"/>
  <c r="E1132" i="2"/>
  <c r="D1124" i="2"/>
  <c r="E1124" i="2"/>
  <c r="D1116" i="2"/>
  <c r="E1116" i="2"/>
  <c r="D1108" i="2"/>
  <c r="E1108" i="2"/>
  <c r="D1100" i="2"/>
  <c r="E1100" i="2"/>
  <c r="D1092" i="2"/>
  <c r="E1092" i="2"/>
  <c r="D1084" i="2"/>
  <c r="E1084" i="2"/>
  <c r="D1076" i="2"/>
  <c r="E1076" i="2"/>
  <c r="D1068" i="2"/>
  <c r="E1068" i="2"/>
  <c r="D1060" i="2"/>
  <c r="E1060" i="2"/>
  <c r="D1052" i="2"/>
  <c r="E1052" i="2"/>
  <c r="D1044" i="2"/>
  <c r="E1044" i="2"/>
  <c r="D1036" i="2"/>
  <c r="E1036" i="2"/>
  <c r="D1028" i="2"/>
  <c r="E1028" i="2"/>
  <c r="D1020" i="2"/>
  <c r="E1020" i="2"/>
  <c r="D1012" i="2"/>
  <c r="E1012" i="2"/>
  <c r="D1004" i="2"/>
  <c r="E1004" i="2"/>
  <c r="D996" i="2"/>
  <c r="E996" i="2"/>
  <c r="D988" i="2"/>
  <c r="E988" i="2"/>
  <c r="D980" i="2"/>
  <c r="E980" i="2"/>
  <c r="D972" i="2"/>
  <c r="E972" i="2"/>
  <c r="D964" i="2"/>
  <c r="E964" i="2"/>
  <c r="D956" i="2"/>
  <c r="E956" i="2"/>
  <c r="D948" i="2"/>
  <c r="E948" i="2"/>
  <c r="D940" i="2"/>
  <c r="E940" i="2"/>
  <c r="D932" i="2"/>
  <c r="E932" i="2"/>
  <c r="D924" i="2"/>
  <c r="E924" i="2"/>
  <c r="D916" i="2"/>
  <c r="E916" i="2"/>
  <c r="D908" i="2"/>
  <c r="E908" i="2"/>
  <c r="D900" i="2"/>
  <c r="E900" i="2"/>
  <c r="D892" i="2"/>
  <c r="E892" i="2"/>
  <c r="D884" i="2"/>
  <c r="E884" i="2"/>
  <c r="D876" i="2"/>
  <c r="E876" i="2"/>
  <c r="D868" i="2"/>
  <c r="E868" i="2"/>
  <c r="D860" i="2"/>
  <c r="E860" i="2"/>
  <c r="D852" i="2"/>
  <c r="E852" i="2"/>
  <c r="D844" i="2"/>
  <c r="E844" i="2"/>
  <c r="D836" i="2"/>
  <c r="E836" i="2"/>
  <c r="D828" i="2"/>
  <c r="E828" i="2"/>
  <c r="D820" i="2"/>
  <c r="E820" i="2"/>
  <c r="D812" i="2"/>
  <c r="E812" i="2"/>
  <c r="D804" i="2"/>
  <c r="E804" i="2"/>
  <c r="D796" i="2"/>
  <c r="E796" i="2"/>
  <c r="D788" i="2"/>
  <c r="E788" i="2"/>
  <c r="D780" i="2"/>
  <c r="E780" i="2"/>
  <c r="D772" i="2"/>
  <c r="E772" i="2"/>
  <c r="D764" i="2"/>
  <c r="E764" i="2"/>
  <c r="D756" i="2"/>
  <c r="E756" i="2"/>
  <c r="D748" i="2"/>
  <c r="E748" i="2"/>
  <c r="D740" i="2"/>
  <c r="E740" i="2"/>
  <c r="D732" i="2"/>
  <c r="E732" i="2"/>
  <c r="D724" i="2"/>
  <c r="E724" i="2"/>
  <c r="D716" i="2"/>
  <c r="E716" i="2"/>
  <c r="D708" i="2"/>
  <c r="E708" i="2"/>
  <c r="D700" i="2"/>
  <c r="E700" i="2"/>
  <c r="D692" i="2"/>
  <c r="E692" i="2"/>
  <c r="D684" i="2"/>
  <c r="E684" i="2"/>
  <c r="D676" i="2"/>
  <c r="E676" i="2"/>
  <c r="D668" i="2"/>
  <c r="E668" i="2"/>
  <c r="D660" i="2"/>
  <c r="E660" i="2"/>
  <c r="D652" i="2"/>
  <c r="E652" i="2"/>
  <c r="D644" i="2"/>
  <c r="E644" i="2"/>
  <c r="D636" i="2"/>
  <c r="E636" i="2"/>
  <c r="D628" i="2"/>
  <c r="E628" i="2"/>
  <c r="D620" i="2"/>
  <c r="E620" i="2"/>
  <c r="D612" i="2"/>
  <c r="E612" i="2"/>
  <c r="D604" i="2"/>
  <c r="E604" i="2"/>
  <c r="D596" i="2"/>
  <c r="E596" i="2"/>
  <c r="D588" i="2"/>
  <c r="E588" i="2"/>
  <c r="D580" i="2"/>
  <c r="E580" i="2"/>
  <c r="D572" i="2"/>
  <c r="E572" i="2"/>
  <c r="D564" i="2"/>
  <c r="E564" i="2"/>
  <c r="D556" i="2"/>
  <c r="E556" i="2"/>
  <c r="D548" i="2"/>
  <c r="E548" i="2"/>
  <c r="D540" i="2"/>
  <c r="E540" i="2"/>
  <c r="D532" i="2"/>
  <c r="E532" i="2"/>
  <c r="D524" i="2"/>
  <c r="E524" i="2"/>
  <c r="D516" i="2"/>
  <c r="E516" i="2"/>
  <c r="D508" i="2"/>
  <c r="E508" i="2"/>
  <c r="D500" i="2"/>
  <c r="E500" i="2"/>
  <c r="D492" i="2"/>
  <c r="E492" i="2"/>
  <c r="D484" i="2"/>
  <c r="E484" i="2"/>
  <c r="D476" i="2"/>
  <c r="E476" i="2"/>
  <c r="D468" i="2"/>
  <c r="E468" i="2"/>
  <c r="D460" i="2"/>
  <c r="E460" i="2"/>
  <c r="D452" i="2"/>
  <c r="E452" i="2"/>
  <c r="D444" i="2"/>
  <c r="E444" i="2"/>
  <c r="D436" i="2"/>
  <c r="E436" i="2"/>
  <c r="D428" i="2"/>
  <c r="E428" i="2"/>
  <c r="D420" i="2"/>
  <c r="E420" i="2"/>
  <c r="D412" i="2"/>
  <c r="E412" i="2"/>
  <c r="D404" i="2"/>
  <c r="E404" i="2"/>
  <c r="D396" i="2"/>
  <c r="E396" i="2"/>
  <c r="D388" i="2"/>
  <c r="E388" i="2"/>
  <c r="D380" i="2"/>
  <c r="E380" i="2"/>
  <c r="D372" i="2"/>
  <c r="E372" i="2"/>
  <c r="D364" i="2"/>
  <c r="E364" i="2"/>
  <c r="D356" i="2"/>
  <c r="E356" i="2"/>
  <c r="D348" i="2"/>
  <c r="E348" i="2"/>
  <c r="D340" i="2"/>
  <c r="E340" i="2"/>
  <c r="D332" i="2"/>
  <c r="E332" i="2"/>
  <c r="D324" i="2"/>
  <c r="E324" i="2"/>
  <c r="D316" i="2"/>
  <c r="E316" i="2"/>
  <c r="D308" i="2"/>
  <c r="E308" i="2"/>
  <c r="D300" i="2"/>
  <c r="E300" i="2"/>
  <c r="D292" i="2"/>
  <c r="E292" i="2"/>
  <c r="D284" i="2"/>
  <c r="E284" i="2"/>
  <c r="D276" i="2"/>
  <c r="E276" i="2"/>
  <c r="D268" i="2"/>
  <c r="E268" i="2"/>
  <c r="D260" i="2"/>
  <c r="E260" i="2"/>
  <c r="D252" i="2"/>
  <c r="E252" i="2"/>
  <c r="D244" i="2"/>
  <c r="E244" i="2"/>
  <c r="D236" i="2"/>
  <c r="E236" i="2"/>
  <c r="D228" i="2"/>
  <c r="E228" i="2"/>
  <c r="D220" i="2"/>
  <c r="E220" i="2"/>
  <c r="D212" i="2"/>
  <c r="E212" i="2"/>
  <c r="D204" i="2"/>
  <c r="E204" i="2"/>
  <c r="D196" i="2"/>
  <c r="E196" i="2"/>
  <c r="D188" i="2"/>
  <c r="E188" i="2"/>
  <c r="D180" i="2"/>
  <c r="E180" i="2"/>
  <c r="D172" i="2"/>
  <c r="E172" i="2"/>
  <c r="D164" i="2"/>
  <c r="E164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66" i="2"/>
  <c r="D166" i="2"/>
  <c r="D2387" i="2"/>
  <c r="E2387" i="2"/>
  <c r="D2379" i="2"/>
  <c r="E2379" i="2"/>
  <c r="D2371" i="2"/>
  <c r="E2371" i="2"/>
  <c r="D2363" i="2"/>
  <c r="E2363" i="2"/>
  <c r="D2355" i="2"/>
  <c r="E2355" i="2"/>
  <c r="D2347" i="2"/>
  <c r="E2347" i="2"/>
  <c r="D2339" i="2"/>
  <c r="E2339" i="2"/>
  <c r="D2331" i="2"/>
  <c r="E2331" i="2"/>
  <c r="D2323" i="2"/>
  <c r="E2323" i="2"/>
  <c r="D2315" i="2"/>
  <c r="E2315" i="2"/>
  <c r="D2307" i="2"/>
  <c r="E2307" i="2"/>
  <c r="D2299" i="2"/>
  <c r="E2299" i="2"/>
  <c r="D2291" i="2"/>
  <c r="E2291" i="2"/>
  <c r="D2283" i="2"/>
  <c r="E2283" i="2"/>
  <c r="D2275" i="2"/>
  <c r="E2275" i="2"/>
  <c r="D2267" i="2"/>
  <c r="E2267" i="2"/>
  <c r="D2259" i="2"/>
  <c r="E2259" i="2"/>
  <c r="D2251" i="2"/>
  <c r="E2251" i="2"/>
  <c r="D2243" i="2"/>
  <c r="E2243" i="2"/>
  <c r="D2235" i="2"/>
  <c r="E2235" i="2"/>
  <c r="D2227" i="2"/>
  <c r="E2227" i="2"/>
  <c r="D2219" i="2"/>
  <c r="E2219" i="2"/>
  <c r="D2211" i="2"/>
  <c r="E2211" i="2"/>
  <c r="D2203" i="2"/>
  <c r="E2203" i="2"/>
  <c r="D2195" i="2"/>
  <c r="E2195" i="2"/>
  <c r="D2187" i="2"/>
  <c r="E2187" i="2"/>
  <c r="D2179" i="2"/>
  <c r="E2179" i="2"/>
  <c r="D2171" i="2"/>
  <c r="E2171" i="2"/>
  <c r="D2163" i="2"/>
  <c r="E2163" i="2"/>
  <c r="D2155" i="2"/>
  <c r="E2155" i="2"/>
  <c r="D2147" i="2"/>
  <c r="E2147" i="2"/>
  <c r="D2139" i="2"/>
  <c r="E2139" i="2"/>
  <c r="D2131" i="2"/>
  <c r="E2131" i="2"/>
  <c r="D2123" i="2"/>
  <c r="E2123" i="2"/>
  <c r="D2115" i="2"/>
  <c r="E2115" i="2"/>
  <c r="D2107" i="2"/>
  <c r="E2107" i="2"/>
  <c r="D2099" i="2"/>
  <c r="E2099" i="2"/>
  <c r="D2091" i="2"/>
  <c r="E2091" i="2"/>
  <c r="D2083" i="2"/>
  <c r="E2083" i="2"/>
  <c r="D2075" i="2"/>
  <c r="E2075" i="2"/>
  <c r="D2067" i="2"/>
  <c r="E2067" i="2"/>
  <c r="D2059" i="2"/>
  <c r="E2059" i="2"/>
  <c r="D2051" i="2"/>
  <c r="E2051" i="2"/>
  <c r="D2043" i="2"/>
  <c r="E2043" i="2"/>
  <c r="D2035" i="2"/>
  <c r="E2035" i="2"/>
  <c r="D2027" i="2"/>
  <c r="E2027" i="2"/>
  <c r="D2019" i="2"/>
  <c r="E2019" i="2"/>
  <c r="D2011" i="2"/>
  <c r="E2011" i="2"/>
  <c r="D2003" i="2"/>
  <c r="E2003" i="2"/>
  <c r="D1995" i="2"/>
  <c r="E1995" i="2"/>
  <c r="D1987" i="2"/>
  <c r="E1987" i="2"/>
  <c r="D1979" i="2"/>
  <c r="E1979" i="2"/>
  <c r="D1971" i="2"/>
  <c r="E1971" i="2"/>
  <c r="D1963" i="2"/>
  <c r="E1963" i="2"/>
  <c r="D1955" i="2"/>
  <c r="E1955" i="2"/>
  <c r="D1947" i="2"/>
  <c r="E1947" i="2"/>
  <c r="D1939" i="2"/>
  <c r="E1939" i="2"/>
  <c r="D1931" i="2"/>
  <c r="E1931" i="2"/>
  <c r="E1923" i="2"/>
  <c r="D1923" i="2"/>
  <c r="E1915" i="2"/>
  <c r="D1915" i="2"/>
  <c r="E1907" i="2"/>
  <c r="D1907" i="2"/>
  <c r="E1899" i="2"/>
  <c r="D1899" i="2"/>
  <c r="E1891" i="2"/>
  <c r="D1891" i="2"/>
  <c r="E1883" i="2"/>
  <c r="D1883" i="2"/>
  <c r="E1875" i="2"/>
  <c r="D1875" i="2"/>
  <c r="E1867" i="2"/>
  <c r="D1867" i="2"/>
  <c r="E1859" i="2"/>
  <c r="D1859" i="2"/>
  <c r="E1851" i="2"/>
  <c r="D1851" i="2"/>
  <c r="D1843" i="2"/>
  <c r="E1843" i="2"/>
  <c r="D1835" i="2"/>
  <c r="E1835" i="2"/>
  <c r="D1827" i="2"/>
  <c r="E1827" i="2"/>
  <c r="D1819" i="2"/>
  <c r="E1819" i="2"/>
  <c r="D1811" i="2"/>
  <c r="E1811" i="2"/>
  <c r="D1803" i="2"/>
  <c r="E1803" i="2"/>
  <c r="D1795" i="2"/>
  <c r="E1795" i="2"/>
  <c r="D1787" i="2"/>
  <c r="E1787" i="2"/>
  <c r="D1779" i="2"/>
  <c r="E1779" i="2"/>
  <c r="D1771" i="2"/>
  <c r="E1771" i="2"/>
  <c r="D1763" i="2"/>
  <c r="E1763" i="2"/>
  <c r="D1755" i="2"/>
  <c r="E1755" i="2"/>
  <c r="D1747" i="2"/>
  <c r="E1747" i="2"/>
  <c r="D1739" i="2"/>
  <c r="E1739" i="2"/>
  <c r="D1731" i="2"/>
  <c r="E1731" i="2"/>
  <c r="D1723" i="2"/>
  <c r="E1723" i="2"/>
  <c r="D1715" i="2"/>
  <c r="E1715" i="2"/>
  <c r="D1707" i="2"/>
  <c r="E1707" i="2"/>
  <c r="D1699" i="2"/>
  <c r="E1699" i="2"/>
  <c r="D1691" i="2"/>
  <c r="E1691" i="2"/>
  <c r="D1683" i="2"/>
  <c r="E1683" i="2"/>
  <c r="D1675" i="2"/>
  <c r="E1675" i="2"/>
  <c r="D1667" i="2"/>
  <c r="E1667" i="2"/>
  <c r="D1659" i="2"/>
  <c r="E1659" i="2"/>
  <c r="D1651" i="2"/>
  <c r="E1651" i="2"/>
  <c r="D1643" i="2"/>
  <c r="E1643" i="2"/>
  <c r="D1635" i="2"/>
  <c r="E1635" i="2"/>
  <c r="D1627" i="2"/>
  <c r="E1627" i="2"/>
  <c r="D1619" i="2"/>
  <c r="E1619" i="2"/>
  <c r="D1611" i="2"/>
  <c r="E1611" i="2"/>
  <c r="D1603" i="2"/>
  <c r="E1603" i="2"/>
  <c r="D1595" i="2"/>
  <c r="E1595" i="2"/>
  <c r="D1587" i="2"/>
  <c r="E1587" i="2"/>
  <c r="D1579" i="2"/>
  <c r="E1579" i="2"/>
  <c r="D1571" i="2"/>
  <c r="E1571" i="2"/>
  <c r="D1563" i="2"/>
  <c r="E1563" i="2"/>
  <c r="D1555" i="2"/>
  <c r="E1555" i="2"/>
  <c r="E1547" i="2"/>
  <c r="D1547" i="2"/>
  <c r="E1539" i="2"/>
  <c r="D1539" i="2"/>
  <c r="E1531" i="2"/>
  <c r="D1531" i="2"/>
  <c r="E1523" i="2"/>
  <c r="D1523" i="2"/>
  <c r="E1515" i="2"/>
  <c r="D1515" i="2"/>
  <c r="E1507" i="2"/>
  <c r="D1507" i="2"/>
  <c r="E1499" i="2"/>
  <c r="D1499" i="2"/>
  <c r="E1491" i="2"/>
  <c r="D1491" i="2"/>
  <c r="E1483" i="2"/>
  <c r="D1483" i="2"/>
  <c r="E1475" i="2"/>
  <c r="D1475" i="2"/>
  <c r="E1467" i="2"/>
  <c r="D1467" i="2"/>
  <c r="E1459" i="2"/>
  <c r="D1459" i="2"/>
  <c r="E1451" i="2"/>
  <c r="D1451" i="2"/>
  <c r="E1443" i="2"/>
  <c r="D1443" i="2"/>
  <c r="E1435" i="2"/>
  <c r="D1435" i="2"/>
  <c r="E1427" i="2"/>
  <c r="D1427" i="2"/>
  <c r="E1419" i="2"/>
  <c r="D1419" i="2"/>
  <c r="E1411" i="2"/>
  <c r="D1411" i="2"/>
  <c r="E1403" i="2"/>
  <c r="D1403" i="2"/>
  <c r="E1395" i="2"/>
  <c r="D1395" i="2"/>
  <c r="E1387" i="2"/>
  <c r="D1387" i="2"/>
  <c r="E1379" i="2"/>
  <c r="D1379" i="2"/>
  <c r="E1371" i="2"/>
  <c r="D1371" i="2"/>
  <c r="E1363" i="2"/>
  <c r="D1363" i="2"/>
  <c r="E1355" i="2"/>
  <c r="D1355" i="2"/>
  <c r="E1347" i="2"/>
  <c r="D1347" i="2"/>
  <c r="E1339" i="2"/>
  <c r="D1339" i="2"/>
  <c r="E1331" i="2"/>
  <c r="D1331" i="2"/>
  <c r="E1323" i="2"/>
  <c r="D1323" i="2"/>
  <c r="E1315" i="2"/>
  <c r="D1315" i="2"/>
  <c r="E1307" i="2"/>
  <c r="D1307" i="2"/>
  <c r="E1299" i="2"/>
  <c r="D1299" i="2"/>
  <c r="E1291" i="2"/>
  <c r="D1291" i="2"/>
  <c r="E1283" i="2"/>
  <c r="D1283" i="2"/>
  <c r="E1275" i="2"/>
  <c r="D1275" i="2"/>
  <c r="E1267" i="2"/>
  <c r="D1267" i="2"/>
  <c r="E1259" i="2"/>
  <c r="D1259" i="2"/>
  <c r="E1251" i="2"/>
  <c r="D1251" i="2"/>
  <c r="E1243" i="2"/>
  <c r="D1243" i="2"/>
  <c r="E1235" i="2"/>
  <c r="D1235" i="2"/>
  <c r="E1227" i="2"/>
  <c r="D1227" i="2"/>
  <c r="E1219" i="2"/>
  <c r="D1219" i="2"/>
  <c r="E1211" i="2"/>
  <c r="D1211" i="2"/>
  <c r="E1203" i="2"/>
  <c r="D1203" i="2"/>
  <c r="E1195" i="2"/>
  <c r="D1195" i="2"/>
  <c r="E1187" i="2"/>
  <c r="D1187" i="2"/>
  <c r="E1179" i="2"/>
  <c r="D1179" i="2"/>
  <c r="E1171" i="2"/>
  <c r="D1171" i="2"/>
  <c r="E1163" i="2"/>
  <c r="D1163" i="2"/>
  <c r="E1155" i="2"/>
  <c r="D1155" i="2"/>
  <c r="E1147" i="2"/>
  <c r="D1147" i="2"/>
  <c r="E1139" i="2"/>
  <c r="D1139" i="2"/>
  <c r="E1131" i="2"/>
  <c r="D1131" i="2"/>
  <c r="E1123" i="2"/>
  <c r="D1123" i="2"/>
  <c r="E1115" i="2"/>
  <c r="D1115" i="2"/>
  <c r="E1107" i="2"/>
  <c r="D1107" i="2"/>
  <c r="E1099" i="2"/>
  <c r="D1099" i="2"/>
  <c r="E1091" i="2"/>
  <c r="D1091" i="2"/>
  <c r="E1083" i="2"/>
  <c r="D1083" i="2"/>
  <c r="E1075" i="2"/>
  <c r="D1075" i="2"/>
  <c r="E1067" i="2"/>
  <c r="D1067" i="2"/>
  <c r="D1059" i="2"/>
  <c r="E1059" i="2"/>
  <c r="D1051" i="2"/>
  <c r="E1051" i="2"/>
  <c r="D1043" i="2"/>
  <c r="E1043" i="2"/>
  <c r="D1035" i="2"/>
  <c r="E1035" i="2"/>
  <c r="D1027" i="2"/>
  <c r="E1027" i="2"/>
  <c r="D1019" i="2"/>
  <c r="E1019" i="2"/>
  <c r="D1011" i="2"/>
  <c r="E1011" i="2"/>
  <c r="D1003" i="2"/>
  <c r="E1003" i="2"/>
  <c r="D995" i="2"/>
  <c r="E995" i="2"/>
  <c r="D987" i="2"/>
  <c r="E987" i="2"/>
  <c r="D979" i="2"/>
  <c r="E979" i="2"/>
  <c r="D971" i="2"/>
  <c r="E971" i="2"/>
  <c r="D963" i="2"/>
  <c r="E963" i="2"/>
  <c r="D955" i="2"/>
  <c r="E955" i="2"/>
  <c r="D947" i="2"/>
  <c r="E947" i="2"/>
  <c r="D939" i="2"/>
  <c r="E939" i="2"/>
  <c r="D931" i="2"/>
  <c r="E931" i="2"/>
  <c r="D923" i="2"/>
  <c r="E923" i="2"/>
  <c r="D915" i="2"/>
  <c r="E915" i="2"/>
  <c r="D907" i="2"/>
  <c r="E907" i="2"/>
  <c r="D899" i="2"/>
  <c r="E899" i="2"/>
  <c r="D891" i="2"/>
  <c r="E891" i="2"/>
  <c r="D883" i="2"/>
  <c r="E883" i="2"/>
  <c r="D875" i="2"/>
  <c r="E875" i="2"/>
  <c r="D867" i="2"/>
  <c r="E867" i="2"/>
  <c r="D859" i="2"/>
  <c r="E859" i="2"/>
  <c r="D851" i="2"/>
  <c r="E851" i="2"/>
  <c r="D843" i="2"/>
  <c r="E843" i="2"/>
  <c r="D835" i="2"/>
  <c r="E835" i="2"/>
  <c r="D827" i="2"/>
  <c r="E827" i="2"/>
  <c r="D819" i="2"/>
  <c r="E819" i="2"/>
  <c r="D811" i="2"/>
  <c r="E811" i="2"/>
  <c r="D803" i="2"/>
  <c r="E803" i="2"/>
  <c r="D795" i="2"/>
  <c r="E795" i="2"/>
  <c r="D787" i="2"/>
  <c r="E787" i="2"/>
  <c r="D779" i="2"/>
  <c r="E779" i="2"/>
  <c r="D771" i="2"/>
  <c r="E771" i="2"/>
  <c r="D763" i="2"/>
  <c r="E763" i="2"/>
  <c r="D755" i="2"/>
  <c r="E755" i="2"/>
  <c r="D747" i="2"/>
  <c r="E747" i="2"/>
  <c r="D739" i="2"/>
  <c r="E739" i="2"/>
  <c r="D731" i="2"/>
  <c r="E731" i="2"/>
  <c r="D723" i="2"/>
  <c r="E723" i="2"/>
  <c r="D715" i="2"/>
  <c r="E715" i="2"/>
  <c r="D707" i="2"/>
  <c r="E707" i="2"/>
  <c r="D699" i="2"/>
  <c r="E699" i="2"/>
  <c r="D691" i="2"/>
  <c r="E691" i="2"/>
  <c r="D683" i="2"/>
  <c r="E683" i="2"/>
  <c r="D675" i="2"/>
  <c r="E675" i="2"/>
  <c r="D667" i="2"/>
  <c r="E667" i="2"/>
  <c r="D659" i="2"/>
  <c r="E659" i="2"/>
  <c r="D651" i="2"/>
  <c r="E651" i="2"/>
  <c r="D643" i="2"/>
  <c r="E643" i="2"/>
  <c r="D635" i="2"/>
  <c r="E635" i="2"/>
  <c r="D627" i="2"/>
  <c r="E627" i="2"/>
  <c r="D619" i="2"/>
  <c r="E619" i="2"/>
  <c r="D611" i="2"/>
  <c r="E611" i="2"/>
  <c r="D603" i="2"/>
  <c r="E603" i="2"/>
  <c r="D595" i="2"/>
  <c r="E595" i="2"/>
  <c r="D587" i="2"/>
  <c r="E587" i="2"/>
  <c r="D579" i="2"/>
  <c r="E579" i="2"/>
  <c r="D571" i="2"/>
  <c r="E571" i="2"/>
  <c r="D563" i="2"/>
  <c r="E563" i="2"/>
  <c r="D555" i="2"/>
  <c r="E555" i="2"/>
  <c r="D547" i="2"/>
  <c r="E547" i="2"/>
  <c r="D539" i="2"/>
  <c r="E539" i="2"/>
  <c r="D531" i="2"/>
  <c r="E531" i="2"/>
  <c r="D523" i="2"/>
  <c r="E523" i="2"/>
  <c r="D515" i="2"/>
  <c r="E515" i="2"/>
  <c r="D507" i="2"/>
  <c r="E507" i="2"/>
  <c r="D499" i="2"/>
  <c r="E499" i="2"/>
  <c r="D491" i="2"/>
  <c r="E491" i="2"/>
  <c r="D483" i="2"/>
  <c r="E483" i="2"/>
  <c r="D475" i="2"/>
  <c r="E475" i="2"/>
  <c r="D467" i="2"/>
  <c r="E467" i="2"/>
  <c r="D459" i="2"/>
  <c r="E459" i="2"/>
  <c r="D451" i="2"/>
  <c r="E451" i="2"/>
  <c r="D443" i="2"/>
  <c r="E443" i="2"/>
  <c r="D435" i="2"/>
  <c r="E435" i="2"/>
  <c r="D427" i="2"/>
  <c r="E427" i="2"/>
  <c r="D419" i="2"/>
  <c r="E419" i="2"/>
  <c r="D411" i="2"/>
  <c r="E411" i="2"/>
  <c r="D403" i="2"/>
  <c r="E403" i="2"/>
  <c r="D395" i="2"/>
  <c r="E395" i="2"/>
  <c r="D387" i="2"/>
  <c r="E387" i="2"/>
  <c r="D379" i="2"/>
  <c r="E379" i="2"/>
  <c r="D371" i="2"/>
  <c r="E371" i="2"/>
  <c r="D363" i="2"/>
  <c r="E363" i="2"/>
  <c r="D355" i="2"/>
  <c r="E355" i="2"/>
  <c r="D347" i="2"/>
  <c r="E347" i="2"/>
  <c r="D339" i="2"/>
  <c r="E339" i="2"/>
  <c r="D331" i="2"/>
  <c r="E331" i="2"/>
  <c r="D323" i="2"/>
  <c r="E323" i="2"/>
  <c r="D315" i="2"/>
  <c r="E315" i="2"/>
  <c r="D307" i="2"/>
  <c r="E307" i="2"/>
  <c r="D299" i="2"/>
  <c r="E299" i="2"/>
  <c r="D291" i="2"/>
  <c r="E291" i="2"/>
  <c r="D283" i="2"/>
  <c r="E283" i="2"/>
  <c r="D275" i="2"/>
  <c r="E275" i="2"/>
  <c r="D267" i="2"/>
  <c r="E267" i="2"/>
  <c r="D259" i="2"/>
  <c r="E259" i="2"/>
  <c r="D251" i="2"/>
  <c r="E251" i="2"/>
  <c r="D243" i="2"/>
  <c r="E243" i="2"/>
  <c r="D235" i="2"/>
  <c r="E235" i="2"/>
  <c r="D227" i="2"/>
  <c r="E227" i="2"/>
  <c r="D219" i="2"/>
  <c r="E219" i="2"/>
  <c r="D211" i="2"/>
  <c r="E211" i="2"/>
  <c r="D203" i="2"/>
  <c r="E203" i="2"/>
  <c r="D195" i="2"/>
  <c r="E195" i="2"/>
  <c r="D187" i="2"/>
  <c r="E187" i="2"/>
  <c r="D179" i="2"/>
  <c r="E179" i="2"/>
  <c r="D171" i="2"/>
  <c r="E171" i="2"/>
  <c r="D163" i="2"/>
  <c r="E163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3810" i="2"/>
  <c r="E3810" i="2"/>
  <c r="D3802" i="2"/>
  <c r="E3802" i="2"/>
  <c r="D3794" i="2"/>
  <c r="E3794" i="2"/>
  <c r="D3786" i="2"/>
  <c r="E3786" i="2"/>
  <c r="D3778" i="2"/>
  <c r="E3778" i="2"/>
  <c r="D3770" i="2"/>
  <c r="E3770" i="2"/>
  <c r="D3762" i="2"/>
  <c r="E3762" i="2"/>
  <c r="D3754" i="2"/>
  <c r="E3754" i="2"/>
  <c r="D3746" i="2"/>
  <c r="E3746" i="2"/>
  <c r="D3738" i="2"/>
  <c r="E3738" i="2"/>
  <c r="D3730" i="2"/>
  <c r="E3730" i="2"/>
  <c r="D3722" i="2"/>
  <c r="E3722" i="2"/>
  <c r="D3714" i="2"/>
  <c r="E3714" i="2"/>
  <c r="D3706" i="2"/>
  <c r="E3706" i="2"/>
  <c r="D3698" i="2"/>
  <c r="E3698" i="2"/>
  <c r="D3690" i="2"/>
  <c r="E3690" i="2"/>
  <c r="D3682" i="2"/>
  <c r="E3682" i="2"/>
  <c r="D3674" i="2"/>
  <c r="E3674" i="2"/>
  <c r="D3666" i="2"/>
  <c r="E3666" i="2"/>
  <c r="D3658" i="2"/>
  <c r="E3658" i="2"/>
  <c r="D3650" i="2"/>
  <c r="E3650" i="2"/>
  <c r="D3642" i="2"/>
  <c r="E3642" i="2"/>
  <c r="D3634" i="2"/>
  <c r="E3634" i="2"/>
  <c r="D3626" i="2"/>
  <c r="E3626" i="2"/>
  <c r="D3618" i="2"/>
  <c r="E3618" i="2"/>
  <c r="D3610" i="2"/>
  <c r="E3610" i="2"/>
  <c r="D3602" i="2"/>
  <c r="E3602" i="2"/>
  <c r="D3594" i="2"/>
  <c r="E3594" i="2"/>
  <c r="D3586" i="2"/>
  <c r="E3586" i="2"/>
  <c r="D3578" i="2"/>
  <c r="E3578" i="2"/>
  <c r="D3570" i="2"/>
  <c r="E3570" i="2"/>
  <c r="D3562" i="2"/>
  <c r="E3562" i="2"/>
  <c r="D3554" i="2"/>
  <c r="E3554" i="2"/>
  <c r="D3546" i="2"/>
  <c r="E3546" i="2"/>
  <c r="D3538" i="2"/>
  <c r="E3538" i="2"/>
  <c r="D3530" i="2"/>
  <c r="E3530" i="2"/>
  <c r="D3522" i="2"/>
  <c r="E3522" i="2"/>
  <c r="D3514" i="2"/>
  <c r="E3514" i="2"/>
  <c r="D3506" i="2"/>
  <c r="E3506" i="2"/>
  <c r="D3498" i="2"/>
  <c r="E3498" i="2"/>
  <c r="D3490" i="2"/>
  <c r="E3490" i="2"/>
  <c r="D3482" i="2"/>
  <c r="E3482" i="2"/>
  <c r="D3474" i="2"/>
  <c r="E3474" i="2"/>
  <c r="D3466" i="2"/>
  <c r="E3466" i="2"/>
  <c r="D3458" i="2"/>
  <c r="E3458" i="2"/>
  <c r="D3450" i="2"/>
  <c r="E3450" i="2"/>
  <c r="D3442" i="2"/>
  <c r="E3442" i="2"/>
  <c r="D3434" i="2"/>
  <c r="E3434" i="2"/>
  <c r="D3426" i="2"/>
  <c r="E3426" i="2"/>
  <c r="D3418" i="2"/>
  <c r="E3418" i="2"/>
  <c r="D3410" i="2"/>
  <c r="E3410" i="2"/>
  <c r="D3402" i="2"/>
  <c r="E3402" i="2"/>
  <c r="D3394" i="2"/>
  <c r="E3394" i="2"/>
  <c r="D3386" i="2"/>
  <c r="E3386" i="2"/>
  <c r="D3378" i="2"/>
  <c r="E3378" i="2"/>
  <c r="D3370" i="2"/>
  <c r="E3370" i="2"/>
  <c r="D3362" i="2"/>
  <c r="E3362" i="2"/>
  <c r="D3354" i="2"/>
  <c r="E3354" i="2"/>
  <c r="D3346" i="2"/>
  <c r="E3346" i="2"/>
  <c r="D3338" i="2"/>
  <c r="E3338" i="2"/>
  <c r="D3330" i="2"/>
  <c r="E3330" i="2"/>
  <c r="D3322" i="2"/>
  <c r="E3322" i="2"/>
  <c r="D3314" i="2"/>
  <c r="E3314" i="2"/>
  <c r="D3306" i="2"/>
  <c r="E3306" i="2"/>
  <c r="D3298" i="2"/>
  <c r="E3298" i="2"/>
  <c r="D3290" i="2"/>
  <c r="E3290" i="2"/>
  <c r="D3282" i="2"/>
  <c r="E3282" i="2"/>
  <c r="D3274" i="2"/>
  <c r="E3274" i="2"/>
  <c r="D3266" i="2"/>
  <c r="E3266" i="2"/>
  <c r="D3258" i="2"/>
  <c r="E3258" i="2"/>
  <c r="D3250" i="2"/>
  <c r="E3250" i="2"/>
  <c r="D3242" i="2"/>
  <c r="E3242" i="2"/>
  <c r="D3234" i="2"/>
  <c r="E3234" i="2"/>
  <c r="D3226" i="2"/>
  <c r="E3226" i="2"/>
  <c r="D3218" i="2"/>
  <c r="E3218" i="2"/>
  <c r="D3210" i="2"/>
  <c r="E3210" i="2"/>
  <c r="D3202" i="2"/>
  <c r="E3202" i="2"/>
  <c r="D3194" i="2"/>
  <c r="E3194" i="2"/>
  <c r="D3186" i="2"/>
  <c r="E3186" i="2"/>
  <c r="D3178" i="2"/>
  <c r="E3178" i="2"/>
  <c r="D3170" i="2"/>
  <c r="E3170" i="2"/>
  <c r="D3162" i="2"/>
  <c r="E3162" i="2"/>
  <c r="D3154" i="2"/>
  <c r="E3154" i="2"/>
  <c r="D3146" i="2"/>
  <c r="E3146" i="2"/>
  <c r="D3138" i="2"/>
  <c r="E3138" i="2"/>
  <c r="D3130" i="2"/>
  <c r="E3130" i="2"/>
  <c r="D3122" i="2"/>
  <c r="E3122" i="2"/>
  <c r="D3114" i="2"/>
  <c r="E3114" i="2"/>
  <c r="D3106" i="2"/>
  <c r="E3106" i="2"/>
  <c r="D3098" i="2"/>
  <c r="E3098" i="2"/>
  <c r="D3090" i="2"/>
  <c r="E3090" i="2"/>
  <c r="D3082" i="2"/>
  <c r="E3082" i="2"/>
  <c r="D3074" i="2"/>
  <c r="E3074" i="2"/>
  <c r="D3066" i="2"/>
  <c r="E3066" i="2"/>
  <c r="D3058" i="2"/>
  <c r="E3058" i="2"/>
  <c r="D3050" i="2"/>
  <c r="E3050" i="2"/>
  <c r="D3042" i="2"/>
  <c r="E3042" i="2"/>
  <c r="E3034" i="2"/>
  <c r="D3034" i="2"/>
  <c r="D3026" i="2"/>
  <c r="E3026" i="2"/>
  <c r="D3018" i="2"/>
  <c r="E3018" i="2"/>
  <c r="D3010" i="2"/>
  <c r="E3010" i="2"/>
  <c r="D3002" i="2"/>
  <c r="E3002" i="2"/>
  <c r="D2994" i="2"/>
  <c r="E2994" i="2"/>
  <c r="D2986" i="2"/>
  <c r="E2986" i="2"/>
  <c r="D2978" i="2"/>
  <c r="E2978" i="2"/>
  <c r="D2970" i="2"/>
  <c r="E2970" i="2"/>
  <c r="D2962" i="2"/>
  <c r="E2962" i="2"/>
  <c r="D2954" i="2"/>
  <c r="E2954" i="2"/>
  <c r="D2946" i="2"/>
  <c r="E2946" i="2"/>
  <c r="D2938" i="2"/>
  <c r="E2938" i="2"/>
  <c r="D2930" i="2"/>
  <c r="E2930" i="2"/>
  <c r="D2922" i="2"/>
  <c r="E2922" i="2"/>
  <c r="D2914" i="2"/>
  <c r="E2914" i="2"/>
  <c r="D2906" i="2"/>
  <c r="E2906" i="2"/>
  <c r="D2898" i="2"/>
  <c r="E2898" i="2"/>
  <c r="D2890" i="2"/>
  <c r="E2890" i="2"/>
  <c r="D2882" i="2"/>
  <c r="E2882" i="2"/>
  <c r="D2874" i="2"/>
  <c r="E2874" i="2"/>
  <c r="D2866" i="2"/>
  <c r="E2866" i="2"/>
  <c r="D2858" i="2"/>
  <c r="E2858" i="2"/>
  <c r="D2850" i="2"/>
  <c r="E2850" i="2"/>
  <c r="D2842" i="2"/>
  <c r="E2842" i="2"/>
  <c r="D2834" i="2"/>
  <c r="E2834" i="2"/>
  <c r="D2826" i="2"/>
  <c r="E2826" i="2"/>
  <c r="D2818" i="2"/>
  <c r="E2818" i="2"/>
  <c r="D2810" i="2"/>
  <c r="E2810" i="2"/>
  <c r="D2802" i="2"/>
  <c r="E2802" i="2"/>
  <c r="D2794" i="2"/>
  <c r="E2794" i="2"/>
  <c r="D2786" i="2"/>
  <c r="E2786" i="2"/>
  <c r="D2778" i="2"/>
  <c r="E2778" i="2"/>
  <c r="D2770" i="2"/>
  <c r="E2770" i="2"/>
  <c r="D2762" i="2"/>
  <c r="E2762" i="2"/>
  <c r="D2754" i="2"/>
  <c r="E2754" i="2"/>
  <c r="D2746" i="2"/>
  <c r="E2746" i="2"/>
  <c r="D2738" i="2"/>
  <c r="E2738" i="2"/>
  <c r="D2730" i="2"/>
  <c r="E2730" i="2"/>
  <c r="D2722" i="2"/>
  <c r="E2722" i="2"/>
  <c r="D2714" i="2"/>
  <c r="E2714" i="2"/>
  <c r="D2706" i="2"/>
  <c r="E2706" i="2"/>
  <c r="D2698" i="2"/>
  <c r="E2698" i="2"/>
  <c r="D2690" i="2"/>
  <c r="E2690" i="2"/>
  <c r="D2682" i="2"/>
  <c r="E2682" i="2"/>
  <c r="D2674" i="2"/>
  <c r="E2674" i="2"/>
  <c r="D2666" i="2"/>
  <c r="E2666" i="2"/>
  <c r="D2658" i="2"/>
  <c r="E2658" i="2"/>
  <c r="D2650" i="2"/>
  <c r="E2650" i="2"/>
  <c r="D2642" i="2"/>
  <c r="E2642" i="2"/>
  <c r="D2634" i="2"/>
  <c r="E2634" i="2"/>
  <c r="D2626" i="2"/>
  <c r="E2626" i="2"/>
  <c r="D2618" i="2"/>
  <c r="E2618" i="2"/>
  <c r="D2610" i="2"/>
  <c r="E2610" i="2"/>
  <c r="D2602" i="2"/>
  <c r="E2602" i="2"/>
  <c r="D2594" i="2"/>
  <c r="E2594" i="2"/>
  <c r="D2586" i="2"/>
  <c r="E2586" i="2"/>
  <c r="D2578" i="2"/>
  <c r="E2578" i="2"/>
  <c r="D2570" i="2"/>
  <c r="E2570" i="2"/>
  <c r="D2562" i="2"/>
  <c r="E2562" i="2"/>
  <c r="D2554" i="2"/>
  <c r="E2554" i="2"/>
  <c r="D2546" i="2"/>
  <c r="E2546" i="2"/>
  <c r="D2538" i="2"/>
  <c r="E2538" i="2"/>
  <c r="D2530" i="2"/>
  <c r="E2530" i="2"/>
  <c r="D2522" i="2"/>
  <c r="E2522" i="2"/>
  <c r="D2514" i="2"/>
  <c r="E2514" i="2"/>
  <c r="D2506" i="2"/>
  <c r="E2506" i="2"/>
  <c r="D2498" i="2"/>
  <c r="E2498" i="2"/>
  <c r="D2490" i="2"/>
  <c r="E2490" i="2"/>
  <c r="D2482" i="2"/>
  <c r="E2482" i="2"/>
  <c r="D2474" i="2"/>
  <c r="E2474" i="2"/>
  <c r="D2466" i="2"/>
  <c r="E2466" i="2"/>
  <c r="D2458" i="2"/>
  <c r="E2458" i="2"/>
  <c r="D2450" i="2"/>
  <c r="E2450" i="2"/>
  <c r="D2442" i="2"/>
  <c r="E2442" i="2"/>
  <c r="D2434" i="2"/>
  <c r="E2434" i="2"/>
  <c r="D2426" i="2"/>
  <c r="E2426" i="2"/>
  <c r="D2418" i="2"/>
  <c r="E2418" i="2"/>
  <c r="D2410" i="2"/>
  <c r="E2410" i="2"/>
  <c r="D2402" i="2"/>
  <c r="E2402" i="2"/>
  <c r="D2394" i="2"/>
  <c r="E2394" i="2"/>
  <c r="D2386" i="2"/>
  <c r="E2386" i="2"/>
  <c r="D2378" i="2"/>
  <c r="E2378" i="2"/>
  <c r="D2370" i="2"/>
  <c r="E2370" i="2"/>
  <c r="D2362" i="2"/>
  <c r="E2362" i="2"/>
  <c r="D2354" i="2"/>
  <c r="E2354" i="2"/>
  <c r="D2346" i="2"/>
  <c r="E2346" i="2"/>
  <c r="D2338" i="2"/>
  <c r="E2338" i="2"/>
  <c r="D2330" i="2"/>
  <c r="E2330" i="2"/>
  <c r="D2322" i="2"/>
  <c r="E2322" i="2"/>
  <c r="D2314" i="2"/>
  <c r="E2314" i="2"/>
  <c r="D2306" i="2"/>
  <c r="E2306" i="2"/>
  <c r="D2298" i="2"/>
  <c r="E2298" i="2"/>
  <c r="D2290" i="2"/>
  <c r="E2290" i="2"/>
  <c r="D2282" i="2"/>
  <c r="E2282" i="2"/>
  <c r="D2274" i="2"/>
  <c r="E2274" i="2"/>
  <c r="D2266" i="2"/>
  <c r="E2266" i="2"/>
  <c r="D2258" i="2"/>
  <c r="E2258" i="2"/>
  <c r="D2250" i="2"/>
  <c r="E2250" i="2"/>
  <c r="D2242" i="2"/>
  <c r="E2242" i="2"/>
  <c r="D2234" i="2"/>
  <c r="E2234" i="2"/>
  <c r="D2226" i="2"/>
  <c r="E2226" i="2"/>
  <c r="D2218" i="2"/>
  <c r="E2218" i="2"/>
  <c r="D2210" i="2"/>
  <c r="E2210" i="2"/>
  <c r="D2202" i="2"/>
  <c r="E2202" i="2"/>
  <c r="D2194" i="2"/>
  <c r="E2194" i="2"/>
  <c r="D2186" i="2"/>
  <c r="E2186" i="2"/>
  <c r="D2178" i="2"/>
  <c r="E2178" i="2"/>
  <c r="D2170" i="2"/>
  <c r="E2170" i="2"/>
  <c r="D2162" i="2"/>
  <c r="E2162" i="2"/>
  <c r="D2154" i="2"/>
  <c r="E2154" i="2"/>
  <c r="D2146" i="2"/>
  <c r="E2146" i="2"/>
  <c r="D2138" i="2"/>
  <c r="E2138" i="2"/>
  <c r="D2130" i="2"/>
  <c r="E2130" i="2"/>
  <c r="D2122" i="2"/>
  <c r="E2122" i="2"/>
  <c r="D2114" i="2"/>
  <c r="E2114" i="2"/>
  <c r="D2106" i="2"/>
  <c r="E2106" i="2"/>
  <c r="D2098" i="2"/>
  <c r="E2098" i="2"/>
  <c r="D2090" i="2"/>
  <c r="E2090" i="2"/>
  <c r="D2082" i="2"/>
  <c r="E2082" i="2"/>
  <c r="D2074" i="2"/>
  <c r="E2074" i="2"/>
  <c r="D2066" i="2"/>
  <c r="E2066" i="2"/>
  <c r="D2058" i="2"/>
  <c r="E2058" i="2"/>
  <c r="D2050" i="2"/>
  <c r="E2050" i="2"/>
  <c r="D2042" i="2"/>
  <c r="E2042" i="2"/>
  <c r="D2034" i="2"/>
  <c r="E2034" i="2"/>
  <c r="D2026" i="2"/>
  <c r="E2026" i="2"/>
  <c r="D2018" i="2"/>
  <c r="E2018" i="2"/>
  <c r="D2010" i="2"/>
  <c r="E2010" i="2"/>
  <c r="D2002" i="2"/>
  <c r="E2002" i="2"/>
  <c r="D1994" i="2"/>
  <c r="E1994" i="2"/>
  <c r="D1986" i="2"/>
  <c r="E1986" i="2"/>
  <c r="D1978" i="2"/>
  <c r="E1978" i="2"/>
  <c r="D1970" i="2"/>
  <c r="E1970" i="2"/>
  <c r="D1962" i="2"/>
  <c r="E1962" i="2"/>
  <c r="D1954" i="2"/>
  <c r="E1954" i="2"/>
  <c r="D1946" i="2"/>
  <c r="E1946" i="2"/>
  <c r="D1938" i="2"/>
  <c r="E1938" i="2"/>
  <c r="D1930" i="2"/>
  <c r="E1930" i="2"/>
  <c r="E1922" i="2"/>
  <c r="D1922" i="2"/>
  <c r="D1914" i="2"/>
  <c r="E1914" i="2"/>
  <c r="D1906" i="2"/>
  <c r="E1906" i="2"/>
  <c r="D1898" i="2"/>
  <c r="E1898" i="2"/>
  <c r="D1890" i="2"/>
  <c r="E1890" i="2"/>
  <c r="D1882" i="2"/>
  <c r="E1882" i="2"/>
  <c r="D1874" i="2"/>
  <c r="E1874" i="2"/>
  <c r="D1866" i="2"/>
  <c r="E1866" i="2"/>
  <c r="D1858" i="2"/>
  <c r="E1858" i="2"/>
  <c r="D1850" i="2"/>
  <c r="E1850" i="2"/>
  <c r="D1842" i="2"/>
  <c r="E1842" i="2"/>
  <c r="D1834" i="2"/>
  <c r="E1834" i="2"/>
  <c r="D1826" i="2"/>
  <c r="E1826" i="2"/>
  <c r="D1818" i="2"/>
  <c r="E1818" i="2"/>
  <c r="D1810" i="2"/>
  <c r="E1810" i="2"/>
  <c r="D1802" i="2"/>
  <c r="E1802" i="2"/>
  <c r="D1794" i="2"/>
  <c r="E1794" i="2"/>
  <c r="D1786" i="2"/>
  <c r="E1786" i="2"/>
  <c r="D1778" i="2"/>
  <c r="E1778" i="2"/>
  <c r="D1770" i="2"/>
  <c r="E1770" i="2"/>
  <c r="D1762" i="2"/>
  <c r="E1762" i="2"/>
  <c r="D1754" i="2"/>
  <c r="E1754" i="2"/>
  <c r="D1746" i="2"/>
  <c r="E1746" i="2"/>
  <c r="D1738" i="2"/>
  <c r="E1738" i="2"/>
  <c r="D1730" i="2"/>
  <c r="E1730" i="2"/>
  <c r="D1722" i="2"/>
  <c r="E1722" i="2"/>
  <c r="D1714" i="2"/>
  <c r="E1714" i="2"/>
  <c r="D1706" i="2"/>
  <c r="E1706" i="2"/>
  <c r="D1698" i="2"/>
  <c r="E1698" i="2"/>
  <c r="D1690" i="2"/>
  <c r="E1690" i="2"/>
  <c r="D1682" i="2"/>
  <c r="E1682" i="2"/>
  <c r="D1674" i="2"/>
  <c r="E1674" i="2"/>
  <c r="D1666" i="2"/>
  <c r="E1666" i="2"/>
  <c r="D1658" i="2"/>
  <c r="E1658" i="2"/>
  <c r="D1650" i="2"/>
  <c r="E1650" i="2"/>
  <c r="D1642" i="2"/>
  <c r="E1642" i="2"/>
  <c r="D1634" i="2"/>
  <c r="E1634" i="2"/>
  <c r="D1626" i="2"/>
  <c r="E1626" i="2"/>
  <c r="D1618" i="2"/>
  <c r="E1618" i="2"/>
  <c r="D1610" i="2"/>
  <c r="E1610" i="2"/>
  <c r="D1602" i="2"/>
  <c r="E1602" i="2"/>
  <c r="D1594" i="2"/>
  <c r="E1594" i="2"/>
  <c r="D1586" i="2"/>
  <c r="E1586" i="2"/>
  <c r="D1578" i="2"/>
  <c r="E1578" i="2"/>
  <c r="D1570" i="2"/>
  <c r="E1570" i="2"/>
  <c r="D1562" i="2"/>
  <c r="E1562" i="2"/>
  <c r="D1554" i="2"/>
  <c r="E1554" i="2"/>
  <c r="D1546" i="2"/>
  <c r="E1546" i="2"/>
  <c r="D1538" i="2"/>
  <c r="E1538" i="2"/>
  <c r="E1530" i="2"/>
  <c r="D1530" i="2"/>
  <c r="D1522" i="2"/>
  <c r="E1522" i="2"/>
  <c r="D1514" i="2"/>
  <c r="E1514" i="2"/>
  <c r="D1506" i="2"/>
  <c r="E1506" i="2"/>
  <c r="E1498" i="2"/>
  <c r="D1498" i="2"/>
  <c r="D1490" i="2"/>
  <c r="E1490" i="2"/>
  <c r="D1482" i="2"/>
  <c r="E1482" i="2"/>
  <c r="D1474" i="2"/>
  <c r="E1474" i="2"/>
  <c r="E1466" i="2"/>
  <c r="D1466" i="2"/>
  <c r="D1458" i="2"/>
  <c r="E1458" i="2"/>
  <c r="D1450" i="2"/>
  <c r="E1450" i="2"/>
  <c r="D1442" i="2"/>
  <c r="E1442" i="2"/>
  <c r="E1434" i="2"/>
  <c r="D1434" i="2"/>
  <c r="D1426" i="2"/>
  <c r="E1426" i="2"/>
  <c r="D1418" i="2"/>
  <c r="E1418" i="2"/>
  <c r="D1410" i="2"/>
  <c r="E1410" i="2"/>
  <c r="E1402" i="2"/>
  <c r="D1402" i="2"/>
  <c r="D1394" i="2"/>
  <c r="E1394" i="2"/>
  <c r="D1386" i="2"/>
  <c r="E1386" i="2"/>
  <c r="D1378" i="2"/>
  <c r="E1378" i="2"/>
  <c r="E1370" i="2"/>
  <c r="D1370" i="2"/>
  <c r="D1362" i="2"/>
  <c r="E1362" i="2"/>
  <c r="D1354" i="2"/>
  <c r="E1354" i="2"/>
  <c r="D1346" i="2"/>
  <c r="E1346" i="2"/>
  <c r="E1338" i="2"/>
  <c r="D1338" i="2"/>
  <c r="D1330" i="2"/>
  <c r="E1330" i="2"/>
  <c r="D1322" i="2"/>
  <c r="E1322" i="2"/>
  <c r="D1314" i="2"/>
  <c r="E1314" i="2"/>
  <c r="E1306" i="2"/>
  <c r="D1306" i="2"/>
  <c r="D1298" i="2"/>
  <c r="E1298" i="2"/>
  <c r="D1290" i="2"/>
  <c r="E1290" i="2"/>
  <c r="D1282" i="2"/>
  <c r="E1282" i="2"/>
  <c r="E1274" i="2"/>
  <c r="D1274" i="2"/>
  <c r="D1266" i="2"/>
  <c r="E1266" i="2"/>
  <c r="D1258" i="2"/>
  <c r="E1258" i="2"/>
  <c r="D1250" i="2"/>
  <c r="E1250" i="2"/>
  <c r="E1242" i="2"/>
  <c r="D1242" i="2"/>
  <c r="D1234" i="2"/>
  <c r="E1234" i="2"/>
  <c r="D1226" i="2"/>
  <c r="E1226" i="2"/>
  <c r="D1218" i="2"/>
  <c r="E1218" i="2"/>
  <c r="D1210" i="2"/>
  <c r="E1210" i="2"/>
  <c r="D1202" i="2"/>
  <c r="E1202" i="2"/>
  <c r="D1194" i="2"/>
  <c r="E1194" i="2"/>
  <c r="D1186" i="2"/>
  <c r="E1186" i="2"/>
  <c r="D1178" i="2"/>
  <c r="E1178" i="2"/>
  <c r="D1170" i="2"/>
  <c r="E1170" i="2"/>
  <c r="D1162" i="2"/>
  <c r="E1162" i="2"/>
  <c r="D1154" i="2"/>
  <c r="E1154" i="2"/>
  <c r="D1146" i="2"/>
  <c r="E1146" i="2"/>
  <c r="D1138" i="2"/>
  <c r="E1138" i="2"/>
  <c r="D1130" i="2"/>
  <c r="E1130" i="2"/>
  <c r="D1122" i="2"/>
  <c r="E1122" i="2"/>
  <c r="D1114" i="2"/>
  <c r="E1114" i="2"/>
  <c r="D1106" i="2"/>
  <c r="E1106" i="2"/>
  <c r="D1098" i="2"/>
  <c r="E1098" i="2"/>
  <c r="D1090" i="2"/>
  <c r="E1090" i="2"/>
  <c r="D1082" i="2"/>
  <c r="E1082" i="2"/>
  <c r="D1074" i="2"/>
  <c r="E1074" i="2"/>
  <c r="D1066" i="2"/>
  <c r="E1066" i="2"/>
  <c r="D1058" i="2"/>
  <c r="E1058" i="2"/>
  <c r="D1050" i="2"/>
  <c r="E1050" i="2"/>
  <c r="D1042" i="2"/>
  <c r="E1042" i="2"/>
  <c r="D1034" i="2"/>
  <c r="E1034" i="2"/>
  <c r="D1026" i="2"/>
  <c r="E1026" i="2"/>
  <c r="D1018" i="2"/>
  <c r="E1018" i="2"/>
  <c r="D1010" i="2"/>
  <c r="E1010" i="2"/>
  <c r="D1002" i="2"/>
  <c r="E1002" i="2"/>
  <c r="D994" i="2"/>
  <c r="E994" i="2"/>
  <c r="D986" i="2"/>
  <c r="E986" i="2"/>
  <c r="D978" i="2"/>
  <c r="E978" i="2"/>
  <c r="D970" i="2"/>
  <c r="E970" i="2"/>
  <c r="D962" i="2"/>
  <c r="E962" i="2"/>
  <c r="D954" i="2"/>
  <c r="E954" i="2"/>
  <c r="D946" i="2"/>
  <c r="E946" i="2"/>
  <c r="D938" i="2"/>
  <c r="E938" i="2"/>
  <c r="D930" i="2"/>
  <c r="E930" i="2"/>
  <c r="D922" i="2"/>
  <c r="E922" i="2"/>
  <c r="D914" i="2"/>
  <c r="E914" i="2"/>
  <c r="D906" i="2"/>
  <c r="E906" i="2"/>
  <c r="D898" i="2"/>
  <c r="E898" i="2"/>
  <c r="D890" i="2"/>
  <c r="E890" i="2"/>
  <c r="D882" i="2"/>
  <c r="E882" i="2"/>
  <c r="D874" i="2"/>
  <c r="E874" i="2"/>
  <c r="D866" i="2"/>
  <c r="E866" i="2"/>
  <c r="D858" i="2"/>
  <c r="E858" i="2"/>
  <c r="D850" i="2"/>
  <c r="E850" i="2"/>
  <c r="D842" i="2"/>
  <c r="E842" i="2"/>
  <c r="D834" i="2"/>
  <c r="E834" i="2"/>
  <c r="D826" i="2"/>
  <c r="E826" i="2"/>
  <c r="D818" i="2"/>
  <c r="E818" i="2"/>
  <c r="D810" i="2"/>
  <c r="E810" i="2"/>
  <c r="D802" i="2"/>
  <c r="E802" i="2"/>
  <c r="D794" i="2"/>
  <c r="E794" i="2"/>
  <c r="D786" i="2"/>
  <c r="E786" i="2"/>
  <c r="D778" i="2"/>
  <c r="E778" i="2"/>
  <c r="D770" i="2"/>
  <c r="E770" i="2"/>
  <c r="D762" i="2"/>
  <c r="E762" i="2"/>
  <c r="D754" i="2"/>
  <c r="E754" i="2"/>
  <c r="D746" i="2"/>
  <c r="E746" i="2"/>
  <c r="D738" i="2"/>
  <c r="E738" i="2"/>
  <c r="D730" i="2"/>
  <c r="E730" i="2"/>
  <c r="D722" i="2"/>
  <c r="E722" i="2"/>
  <c r="D714" i="2"/>
  <c r="E714" i="2"/>
  <c r="D706" i="2"/>
  <c r="E706" i="2"/>
  <c r="D698" i="2"/>
  <c r="E698" i="2"/>
  <c r="D690" i="2"/>
  <c r="E690" i="2"/>
  <c r="D682" i="2"/>
  <c r="E682" i="2"/>
  <c r="D674" i="2"/>
  <c r="E674" i="2"/>
  <c r="D666" i="2"/>
  <c r="E666" i="2"/>
  <c r="D658" i="2"/>
  <c r="E658" i="2"/>
  <c r="D650" i="2"/>
  <c r="E650" i="2"/>
  <c r="D642" i="2"/>
  <c r="E642" i="2"/>
  <c r="D634" i="2"/>
  <c r="E634" i="2"/>
  <c r="D626" i="2"/>
  <c r="E626" i="2"/>
  <c r="D618" i="2"/>
  <c r="E618" i="2"/>
  <c r="D610" i="2"/>
  <c r="E610" i="2"/>
  <c r="D602" i="2"/>
  <c r="E602" i="2"/>
  <c r="D594" i="2"/>
  <c r="E594" i="2"/>
  <c r="D586" i="2"/>
  <c r="E586" i="2"/>
  <c r="D578" i="2"/>
  <c r="E578" i="2"/>
  <c r="D570" i="2"/>
  <c r="E570" i="2"/>
  <c r="D562" i="2"/>
  <c r="E562" i="2"/>
  <c r="D554" i="2"/>
  <c r="E554" i="2"/>
  <c r="D546" i="2"/>
  <c r="E546" i="2"/>
  <c r="D538" i="2"/>
  <c r="E538" i="2"/>
  <c r="D530" i="2"/>
  <c r="E530" i="2"/>
  <c r="D522" i="2"/>
  <c r="E522" i="2"/>
  <c r="D514" i="2"/>
  <c r="E514" i="2"/>
  <c r="D506" i="2"/>
  <c r="E506" i="2"/>
  <c r="D498" i="2"/>
  <c r="E498" i="2"/>
  <c r="D490" i="2"/>
  <c r="E490" i="2"/>
  <c r="D482" i="2"/>
  <c r="E482" i="2"/>
  <c r="D474" i="2"/>
  <c r="E474" i="2"/>
  <c r="D466" i="2"/>
  <c r="E466" i="2"/>
  <c r="D458" i="2"/>
  <c r="E458" i="2"/>
  <c r="D450" i="2"/>
  <c r="E450" i="2"/>
  <c r="D442" i="2"/>
  <c r="E442" i="2"/>
  <c r="D434" i="2"/>
  <c r="E434" i="2"/>
  <c r="D426" i="2"/>
  <c r="E426" i="2"/>
  <c r="D418" i="2"/>
  <c r="E418" i="2"/>
  <c r="D410" i="2"/>
  <c r="E410" i="2"/>
  <c r="D402" i="2"/>
  <c r="E402" i="2"/>
  <c r="D394" i="2"/>
  <c r="E394" i="2"/>
  <c r="D386" i="2"/>
  <c r="E386" i="2"/>
  <c r="D378" i="2"/>
  <c r="E378" i="2"/>
  <c r="D370" i="2"/>
  <c r="E370" i="2"/>
  <c r="D362" i="2"/>
  <c r="E362" i="2"/>
  <c r="D354" i="2"/>
  <c r="E354" i="2"/>
  <c r="D346" i="2"/>
  <c r="E346" i="2"/>
  <c r="D338" i="2"/>
  <c r="E338" i="2"/>
  <c r="D330" i="2"/>
  <c r="E330" i="2"/>
  <c r="D322" i="2"/>
  <c r="E322" i="2"/>
  <c r="D314" i="2"/>
  <c r="E314" i="2"/>
  <c r="D306" i="2"/>
  <c r="E306" i="2"/>
  <c r="D298" i="2"/>
  <c r="E298" i="2"/>
  <c r="D290" i="2"/>
  <c r="E290" i="2"/>
  <c r="D282" i="2"/>
  <c r="E282" i="2"/>
  <c r="D274" i="2"/>
  <c r="E274" i="2"/>
  <c r="D266" i="2"/>
  <c r="E266" i="2"/>
  <c r="D258" i="2"/>
  <c r="E258" i="2"/>
  <c r="D250" i="2"/>
  <c r="E250" i="2"/>
  <c r="D242" i="2"/>
  <c r="E242" i="2"/>
  <c r="D234" i="2"/>
  <c r="E234" i="2"/>
  <c r="E226" i="2"/>
  <c r="D226" i="2"/>
  <c r="E218" i="2"/>
  <c r="D218" i="2"/>
  <c r="E210" i="2"/>
  <c r="D210" i="2"/>
  <c r="E202" i="2"/>
  <c r="D202" i="2"/>
  <c r="E194" i="2"/>
  <c r="D194" i="2"/>
  <c r="E186" i="2"/>
  <c r="D186" i="2"/>
  <c r="E178" i="2"/>
  <c r="D178" i="2"/>
  <c r="E170" i="2"/>
  <c r="D170" i="2"/>
  <c r="E162" i="2"/>
  <c r="D162" i="2"/>
  <c r="E154" i="2"/>
  <c r="D154" i="2"/>
  <c r="E146" i="2"/>
  <c r="D146" i="2"/>
  <c r="E138" i="2"/>
  <c r="D138" i="2"/>
  <c r="E130" i="2"/>
  <c r="D130" i="2"/>
  <c r="E122" i="2"/>
  <c r="D122" i="2"/>
  <c r="E114" i="2"/>
  <c r="D114" i="2"/>
  <c r="E1905" i="2"/>
  <c r="D1905" i="2"/>
  <c r="D1897" i="2"/>
  <c r="E1897" i="2"/>
  <c r="D1889" i="2"/>
  <c r="E1889" i="2"/>
  <c r="D1881" i="2"/>
  <c r="E1881" i="2"/>
  <c r="E1873" i="2"/>
  <c r="D1873" i="2"/>
  <c r="D1865" i="2"/>
  <c r="E1865" i="2"/>
  <c r="D1857" i="2"/>
  <c r="E1857" i="2"/>
  <c r="D1849" i="2"/>
  <c r="E1849" i="2"/>
  <c r="D1841" i="2"/>
  <c r="E1841" i="2"/>
  <c r="D1833" i="2"/>
  <c r="E1833" i="2"/>
  <c r="D1825" i="2"/>
  <c r="E1825" i="2"/>
  <c r="D1817" i="2"/>
  <c r="E1817" i="2"/>
  <c r="D1809" i="2"/>
  <c r="E1809" i="2"/>
  <c r="D1801" i="2"/>
  <c r="E1801" i="2"/>
  <c r="D1793" i="2"/>
  <c r="E1793" i="2"/>
  <c r="D1785" i="2"/>
  <c r="E1785" i="2"/>
  <c r="D1777" i="2"/>
  <c r="E1777" i="2"/>
  <c r="D1769" i="2"/>
  <c r="E1769" i="2"/>
  <c r="D1761" i="2"/>
  <c r="E1761" i="2"/>
  <c r="D1753" i="2"/>
  <c r="E1753" i="2"/>
  <c r="D1745" i="2"/>
  <c r="E1745" i="2"/>
  <c r="D1737" i="2"/>
  <c r="E1737" i="2"/>
  <c r="D1729" i="2"/>
  <c r="E1729" i="2"/>
  <c r="D1721" i="2"/>
  <c r="E1721" i="2"/>
  <c r="D1713" i="2"/>
  <c r="E1713" i="2"/>
  <c r="D1705" i="2"/>
  <c r="E1705" i="2"/>
  <c r="D1697" i="2"/>
  <c r="E1697" i="2"/>
  <c r="D1689" i="2"/>
  <c r="E1689" i="2"/>
  <c r="D1681" i="2"/>
  <c r="E1681" i="2"/>
  <c r="D1673" i="2"/>
  <c r="E1673" i="2"/>
  <c r="D1665" i="2"/>
  <c r="E1665" i="2"/>
  <c r="D1657" i="2"/>
  <c r="E1657" i="2"/>
  <c r="D1649" i="2"/>
  <c r="E1649" i="2"/>
  <c r="D1641" i="2"/>
  <c r="E1641" i="2"/>
  <c r="D1633" i="2"/>
  <c r="E1633" i="2"/>
  <c r="D1625" i="2"/>
  <c r="E1625" i="2"/>
  <c r="D1617" i="2"/>
  <c r="E1617" i="2"/>
  <c r="D1609" i="2"/>
  <c r="E1609" i="2"/>
  <c r="D1601" i="2"/>
  <c r="E1601" i="2"/>
  <c r="D1593" i="2"/>
  <c r="E1593" i="2"/>
  <c r="D1585" i="2"/>
  <c r="E1585" i="2"/>
  <c r="D1577" i="2"/>
  <c r="E1577" i="2"/>
  <c r="D1569" i="2"/>
  <c r="E1569" i="2"/>
  <c r="D1561" i="2"/>
  <c r="E1561" i="2"/>
  <c r="E1553" i="2"/>
  <c r="D1553" i="2"/>
  <c r="D1545" i="2"/>
  <c r="E1545" i="2"/>
  <c r="D1537" i="2"/>
  <c r="E1537" i="2"/>
  <c r="D1529" i="2"/>
  <c r="E1529" i="2"/>
  <c r="D1521" i="2"/>
  <c r="E1521" i="2"/>
  <c r="D1513" i="2"/>
  <c r="E1513" i="2"/>
  <c r="D1505" i="2"/>
  <c r="E1505" i="2"/>
  <c r="D1497" i="2"/>
  <c r="E1497" i="2"/>
  <c r="D1489" i="2"/>
  <c r="E1489" i="2"/>
  <c r="D1481" i="2"/>
  <c r="E1481" i="2"/>
  <c r="D1473" i="2"/>
  <c r="E1473" i="2"/>
  <c r="D1465" i="2"/>
  <c r="E1465" i="2"/>
  <c r="D1457" i="2"/>
  <c r="E1457" i="2"/>
  <c r="D1449" i="2"/>
  <c r="E1449" i="2"/>
  <c r="D1441" i="2"/>
  <c r="E1441" i="2"/>
  <c r="D1433" i="2"/>
  <c r="E1433" i="2"/>
  <c r="D1425" i="2"/>
  <c r="E1425" i="2"/>
  <c r="D1417" i="2"/>
  <c r="E1417" i="2"/>
  <c r="D1409" i="2"/>
  <c r="E1409" i="2"/>
  <c r="D1401" i="2"/>
  <c r="E1401" i="2"/>
  <c r="D1393" i="2"/>
  <c r="E1393" i="2"/>
  <c r="D1385" i="2"/>
  <c r="E1385" i="2"/>
  <c r="D1377" i="2"/>
  <c r="E1377" i="2"/>
  <c r="D1369" i="2"/>
  <c r="E1369" i="2"/>
  <c r="D1361" i="2"/>
  <c r="E1361" i="2"/>
  <c r="D1353" i="2"/>
  <c r="E1353" i="2"/>
  <c r="D1345" i="2"/>
  <c r="E1345" i="2"/>
  <c r="D1337" i="2"/>
  <c r="E1337" i="2"/>
  <c r="D1329" i="2"/>
  <c r="E1329" i="2"/>
  <c r="D1321" i="2"/>
  <c r="E1321" i="2"/>
  <c r="D1313" i="2"/>
  <c r="E1313" i="2"/>
  <c r="D1305" i="2"/>
  <c r="E1305" i="2"/>
  <c r="D1297" i="2"/>
  <c r="E1297" i="2"/>
  <c r="D1289" i="2"/>
  <c r="E1289" i="2"/>
  <c r="D1281" i="2"/>
  <c r="E1281" i="2"/>
  <c r="D1273" i="2"/>
  <c r="E1273" i="2"/>
  <c r="D1265" i="2"/>
  <c r="E1265" i="2"/>
  <c r="D1257" i="2"/>
  <c r="E1257" i="2"/>
  <c r="D1249" i="2"/>
  <c r="E1249" i="2"/>
  <c r="D1241" i="2"/>
  <c r="E1241" i="2"/>
  <c r="D1233" i="2"/>
  <c r="E1233" i="2"/>
  <c r="D1225" i="2"/>
  <c r="E1225" i="2"/>
  <c r="D1217" i="2"/>
  <c r="E1217" i="2"/>
  <c r="D1209" i="2"/>
  <c r="E1209" i="2"/>
  <c r="D1201" i="2"/>
  <c r="E1201" i="2"/>
  <c r="D1193" i="2"/>
  <c r="E1193" i="2"/>
  <c r="D1185" i="2"/>
  <c r="E1185" i="2"/>
  <c r="D1177" i="2"/>
  <c r="E1177" i="2"/>
  <c r="D1169" i="2"/>
  <c r="E1169" i="2"/>
  <c r="D1161" i="2"/>
  <c r="E1161" i="2"/>
  <c r="D1153" i="2"/>
  <c r="E1153" i="2"/>
  <c r="D1145" i="2"/>
  <c r="E1145" i="2"/>
  <c r="D1137" i="2"/>
  <c r="E1137" i="2"/>
  <c r="D1129" i="2"/>
  <c r="E1129" i="2"/>
  <c r="D1121" i="2"/>
  <c r="E1121" i="2"/>
  <c r="D1113" i="2"/>
  <c r="E1113" i="2"/>
  <c r="D1105" i="2"/>
  <c r="E1105" i="2"/>
  <c r="D1097" i="2"/>
  <c r="E1097" i="2"/>
  <c r="D1089" i="2"/>
  <c r="E1089" i="2"/>
  <c r="D1081" i="2"/>
  <c r="E1081" i="2"/>
  <c r="D1073" i="2"/>
  <c r="E1073" i="2"/>
  <c r="D1065" i="2"/>
  <c r="E1065" i="2"/>
  <c r="D1057" i="2"/>
  <c r="E1057" i="2"/>
  <c r="D1049" i="2"/>
  <c r="E1049" i="2"/>
  <c r="D1041" i="2"/>
  <c r="E1041" i="2"/>
  <c r="D1033" i="2"/>
  <c r="E1033" i="2"/>
  <c r="D1025" i="2"/>
  <c r="E1025" i="2"/>
  <c r="D1017" i="2"/>
  <c r="E1017" i="2"/>
  <c r="D1009" i="2"/>
  <c r="E1009" i="2"/>
  <c r="D1001" i="2"/>
  <c r="E1001" i="2"/>
  <c r="D993" i="2"/>
  <c r="E993" i="2"/>
  <c r="D985" i="2"/>
  <c r="E985" i="2"/>
  <c r="D977" i="2"/>
  <c r="E977" i="2"/>
  <c r="D969" i="2"/>
  <c r="E969" i="2"/>
  <c r="D961" i="2"/>
  <c r="E961" i="2"/>
  <c r="D953" i="2"/>
  <c r="E953" i="2"/>
  <c r="D945" i="2"/>
  <c r="E945" i="2"/>
  <c r="D937" i="2"/>
  <c r="E937" i="2"/>
  <c r="D929" i="2"/>
  <c r="E929" i="2"/>
  <c r="D921" i="2"/>
  <c r="E921" i="2"/>
  <c r="D913" i="2"/>
  <c r="E913" i="2"/>
  <c r="D905" i="2"/>
  <c r="E905" i="2"/>
  <c r="D897" i="2"/>
  <c r="E897" i="2"/>
  <c r="D889" i="2"/>
  <c r="E889" i="2"/>
  <c r="D881" i="2"/>
  <c r="E881" i="2"/>
  <c r="D873" i="2"/>
  <c r="E873" i="2"/>
  <c r="D865" i="2"/>
  <c r="E865" i="2"/>
  <c r="D857" i="2"/>
  <c r="E857" i="2"/>
  <c r="D849" i="2"/>
  <c r="E849" i="2"/>
  <c r="D841" i="2"/>
  <c r="E841" i="2"/>
  <c r="D833" i="2"/>
  <c r="E833" i="2"/>
  <c r="D825" i="2"/>
  <c r="E825" i="2"/>
  <c r="D817" i="2"/>
  <c r="E817" i="2"/>
  <c r="D809" i="2"/>
  <c r="E809" i="2"/>
  <c r="D801" i="2"/>
  <c r="E801" i="2"/>
  <c r="D793" i="2"/>
  <c r="E793" i="2"/>
  <c r="D785" i="2"/>
  <c r="E785" i="2"/>
  <c r="D777" i="2"/>
  <c r="E777" i="2"/>
  <c r="D769" i="2"/>
  <c r="E769" i="2"/>
  <c r="D761" i="2"/>
  <c r="E761" i="2"/>
  <c r="D753" i="2"/>
  <c r="E753" i="2"/>
  <c r="D745" i="2"/>
  <c r="E745" i="2"/>
  <c r="D737" i="2"/>
  <c r="E737" i="2"/>
  <c r="D729" i="2"/>
  <c r="E729" i="2"/>
  <c r="D721" i="2"/>
  <c r="E721" i="2"/>
  <c r="D713" i="2"/>
  <c r="E713" i="2"/>
  <c r="D705" i="2"/>
  <c r="E705" i="2"/>
  <c r="D697" i="2"/>
  <c r="E697" i="2"/>
  <c r="D689" i="2"/>
  <c r="E689" i="2"/>
  <c r="D681" i="2"/>
  <c r="E681" i="2"/>
  <c r="D673" i="2"/>
  <c r="E673" i="2"/>
  <c r="D665" i="2"/>
  <c r="E665" i="2"/>
  <c r="D657" i="2"/>
  <c r="E657" i="2"/>
  <c r="D649" i="2"/>
  <c r="E649" i="2"/>
  <c r="D641" i="2"/>
  <c r="E641" i="2"/>
  <c r="D633" i="2"/>
  <c r="E633" i="2"/>
  <c r="D625" i="2"/>
  <c r="E625" i="2"/>
  <c r="D617" i="2"/>
  <c r="E617" i="2"/>
  <c r="D609" i="2"/>
  <c r="E609" i="2"/>
  <c r="D601" i="2"/>
  <c r="E601" i="2"/>
  <c r="D593" i="2"/>
  <c r="E593" i="2"/>
  <c r="D585" i="2"/>
  <c r="E585" i="2"/>
  <c r="D577" i="2"/>
  <c r="E577" i="2"/>
  <c r="D569" i="2"/>
  <c r="E569" i="2"/>
  <c r="D561" i="2"/>
  <c r="E561" i="2"/>
  <c r="D553" i="2"/>
  <c r="E553" i="2"/>
  <c r="D545" i="2"/>
  <c r="E545" i="2"/>
  <c r="D537" i="2"/>
  <c r="E537" i="2"/>
  <c r="D529" i="2"/>
  <c r="E529" i="2"/>
  <c r="D521" i="2"/>
  <c r="E521" i="2"/>
  <c r="D513" i="2"/>
  <c r="E513" i="2"/>
  <c r="D505" i="2"/>
  <c r="E505" i="2"/>
  <c r="D497" i="2"/>
  <c r="E497" i="2"/>
  <c r="D489" i="2"/>
  <c r="E489" i="2"/>
  <c r="D481" i="2"/>
  <c r="E481" i="2"/>
  <c r="D473" i="2"/>
  <c r="E473" i="2"/>
  <c r="D465" i="2"/>
  <c r="E465" i="2"/>
  <c r="D457" i="2"/>
  <c r="E457" i="2"/>
  <c r="D449" i="2"/>
  <c r="E449" i="2"/>
  <c r="D441" i="2"/>
  <c r="E441" i="2"/>
  <c r="D433" i="2"/>
  <c r="E433" i="2"/>
  <c r="D425" i="2"/>
  <c r="E425" i="2"/>
  <c r="D417" i="2"/>
  <c r="E417" i="2"/>
  <c r="D409" i="2"/>
  <c r="E409" i="2"/>
  <c r="D401" i="2"/>
  <c r="E401" i="2"/>
  <c r="D393" i="2"/>
  <c r="E393" i="2"/>
  <c r="D385" i="2"/>
  <c r="E385" i="2"/>
  <c r="D377" i="2"/>
  <c r="E377" i="2"/>
  <c r="D369" i="2"/>
  <c r="E369" i="2"/>
  <c r="D361" i="2"/>
  <c r="E361" i="2"/>
  <c r="D353" i="2"/>
  <c r="E353" i="2"/>
  <c r="D345" i="2"/>
  <c r="E345" i="2"/>
  <c r="D337" i="2"/>
  <c r="E337" i="2"/>
  <c r="D329" i="2"/>
  <c r="E329" i="2"/>
  <c r="D321" i="2"/>
  <c r="E321" i="2"/>
  <c r="D313" i="2"/>
  <c r="E313" i="2"/>
  <c r="D305" i="2"/>
  <c r="E305" i="2"/>
  <c r="D297" i="2"/>
  <c r="E297" i="2"/>
  <c r="D289" i="2"/>
  <c r="E289" i="2"/>
  <c r="D281" i="2"/>
  <c r="E281" i="2"/>
  <c r="D273" i="2"/>
  <c r="E273" i="2"/>
  <c r="D265" i="2"/>
  <c r="E265" i="2"/>
  <c r="D257" i="2"/>
  <c r="E257" i="2"/>
  <c r="D249" i="2"/>
  <c r="E249" i="2"/>
  <c r="D241" i="2"/>
  <c r="E241" i="2"/>
  <c r="D233" i="2"/>
  <c r="E233" i="2"/>
  <c r="D225" i="2"/>
  <c r="E225" i="2"/>
  <c r="D217" i="2"/>
  <c r="E217" i="2"/>
  <c r="D209" i="2"/>
  <c r="E209" i="2"/>
  <c r="D201" i="2"/>
  <c r="E201" i="2"/>
  <c r="D193" i="2"/>
  <c r="E193" i="2"/>
  <c r="D185" i="2"/>
  <c r="E185" i="2"/>
  <c r="D177" i="2"/>
  <c r="E177" i="2"/>
  <c r="D169" i="2"/>
  <c r="E169" i="2"/>
  <c r="D161" i="2"/>
  <c r="E161" i="2"/>
  <c r="D153" i="2"/>
  <c r="E153" i="2"/>
  <c r="D145" i="2"/>
  <c r="E145" i="2"/>
  <c r="D137" i="2"/>
  <c r="E137" i="2"/>
  <c r="D129" i="2"/>
  <c r="E129" i="2"/>
  <c r="D121" i="2"/>
  <c r="E121" i="2"/>
  <c r="E2616" i="2"/>
  <c r="D2616" i="2"/>
  <c r="E2608" i="2"/>
  <c r="D2608" i="2"/>
  <c r="E2600" i="2"/>
  <c r="D2600" i="2"/>
  <c r="E2592" i="2"/>
  <c r="D2592" i="2"/>
  <c r="E2584" i="2"/>
  <c r="D2584" i="2"/>
  <c r="E2576" i="2"/>
  <c r="D2576" i="2"/>
  <c r="E2568" i="2"/>
  <c r="D2568" i="2"/>
  <c r="E2560" i="2"/>
  <c r="D2560" i="2"/>
  <c r="E2552" i="2"/>
  <c r="D2552" i="2"/>
  <c r="E2544" i="2"/>
  <c r="D2544" i="2"/>
  <c r="E2536" i="2"/>
  <c r="D2536" i="2"/>
  <c r="E2528" i="2"/>
  <c r="D2528" i="2"/>
  <c r="E2520" i="2"/>
  <c r="D2520" i="2"/>
  <c r="E2512" i="2"/>
  <c r="D2512" i="2"/>
  <c r="E2504" i="2"/>
  <c r="D2504" i="2"/>
  <c r="E2496" i="2"/>
  <c r="D2496" i="2"/>
  <c r="E2488" i="2"/>
  <c r="D2488" i="2"/>
  <c r="E2480" i="2"/>
  <c r="D2480" i="2"/>
  <c r="E2472" i="2"/>
  <c r="D2472" i="2"/>
  <c r="E2464" i="2"/>
  <c r="D2464" i="2"/>
  <c r="E2456" i="2"/>
  <c r="D2456" i="2"/>
  <c r="E2448" i="2"/>
  <c r="D2448" i="2"/>
  <c r="E2440" i="2"/>
  <c r="D2440" i="2"/>
  <c r="E2432" i="2"/>
  <c r="D2432" i="2"/>
  <c r="E2424" i="2"/>
  <c r="D2424" i="2"/>
  <c r="E2416" i="2"/>
  <c r="D2416" i="2"/>
  <c r="E2408" i="2"/>
  <c r="D2408" i="2"/>
  <c r="E2400" i="2"/>
  <c r="D2400" i="2"/>
  <c r="E2392" i="2"/>
  <c r="D2392" i="2"/>
  <c r="E2384" i="2"/>
  <c r="D2384" i="2"/>
  <c r="E2376" i="2"/>
  <c r="D2376" i="2"/>
  <c r="D2368" i="2"/>
  <c r="E2368" i="2"/>
  <c r="D2360" i="2"/>
  <c r="E2360" i="2"/>
  <c r="D2352" i="2"/>
  <c r="E2352" i="2"/>
  <c r="D2344" i="2"/>
  <c r="E2344" i="2"/>
  <c r="D2336" i="2"/>
  <c r="E2336" i="2"/>
  <c r="D2328" i="2"/>
  <c r="E2328" i="2"/>
  <c r="D2320" i="2"/>
  <c r="E2320" i="2"/>
  <c r="D2312" i="2"/>
  <c r="E2312" i="2"/>
  <c r="D2304" i="2"/>
  <c r="E2304" i="2"/>
  <c r="D2296" i="2"/>
  <c r="E2296" i="2"/>
  <c r="D2288" i="2"/>
  <c r="E2288" i="2"/>
  <c r="D2280" i="2"/>
  <c r="E2280" i="2"/>
  <c r="D2272" i="2"/>
  <c r="E2272" i="2"/>
  <c r="D2264" i="2"/>
  <c r="E2264" i="2"/>
  <c r="D2256" i="2"/>
  <c r="E2256" i="2"/>
  <c r="D2248" i="2"/>
  <c r="E2248" i="2"/>
  <c r="D2240" i="2"/>
  <c r="E2240" i="2"/>
  <c r="D2232" i="2"/>
  <c r="E2232" i="2"/>
  <c r="D2224" i="2"/>
  <c r="E2224" i="2"/>
  <c r="D2216" i="2"/>
  <c r="E2216" i="2"/>
  <c r="D2208" i="2"/>
  <c r="E2208" i="2"/>
  <c r="D2200" i="2"/>
  <c r="E2200" i="2"/>
  <c r="D2192" i="2"/>
  <c r="E2192" i="2"/>
  <c r="D2184" i="2"/>
  <c r="E2184" i="2"/>
  <c r="D2176" i="2"/>
  <c r="E2176" i="2"/>
  <c r="D2168" i="2"/>
  <c r="E2168" i="2"/>
  <c r="D2160" i="2"/>
  <c r="E2160" i="2"/>
  <c r="D2152" i="2"/>
  <c r="E2152" i="2"/>
  <c r="D2144" i="2"/>
  <c r="E2144" i="2"/>
  <c r="D2136" i="2"/>
  <c r="E2136" i="2"/>
  <c r="D2128" i="2"/>
  <c r="E2128" i="2"/>
  <c r="D2120" i="2"/>
  <c r="E2120" i="2"/>
  <c r="D2112" i="2"/>
  <c r="E2112" i="2"/>
  <c r="D2104" i="2"/>
  <c r="E2104" i="2"/>
  <c r="D2096" i="2"/>
  <c r="E2096" i="2"/>
  <c r="D2088" i="2"/>
  <c r="E2088" i="2"/>
  <c r="D2080" i="2"/>
  <c r="E2080" i="2"/>
  <c r="D2072" i="2"/>
  <c r="E2072" i="2"/>
  <c r="D2064" i="2"/>
  <c r="E2064" i="2"/>
  <c r="D2056" i="2"/>
  <c r="E2056" i="2"/>
  <c r="D2048" i="2"/>
  <c r="E2048" i="2"/>
  <c r="D2040" i="2"/>
  <c r="E2040" i="2"/>
  <c r="D2032" i="2"/>
  <c r="E2032" i="2"/>
  <c r="D2024" i="2"/>
  <c r="E2024" i="2"/>
  <c r="D2016" i="2"/>
  <c r="E2016" i="2"/>
  <c r="D2008" i="2"/>
  <c r="E2008" i="2"/>
  <c r="D2000" i="2"/>
  <c r="E2000" i="2"/>
  <c r="D1992" i="2"/>
  <c r="E1992" i="2"/>
  <c r="D1984" i="2"/>
  <c r="E1984" i="2"/>
  <c r="D1976" i="2"/>
  <c r="E1976" i="2"/>
  <c r="D1968" i="2"/>
  <c r="E1968" i="2"/>
  <c r="D1960" i="2"/>
  <c r="E1960" i="2"/>
  <c r="D1952" i="2"/>
  <c r="E1952" i="2"/>
  <c r="D1944" i="2"/>
  <c r="E1944" i="2"/>
  <c r="D1936" i="2"/>
  <c r="E1936" i="2"/>
  <c r="D1928" i="2"/>
  <c r="E1928" i="2"/>
  <c r="D1920" i="2"/>
  <c r="E1920" i="2"/>
  <c r="D1912" i="2"/>
  <c r="E1912" i="2"/>
  <c r="D1904" i="2"/>
  <c r="E1904" i="2"/>
  <c r="D1896" i="2"/>
  <c r="E1896" i="2"/>
  <c r="D1888" i="2"/>
  <c r="E1888" i="2"/>
  <c r="D1880" i="2"/>
  <c r="E1880" i="2"/>
  <c r="D1872" i="2"/>
  <c r="E1872" i="2"/>
  <c r="D1864" i="2"/>
  <c r="E1864" i="2"/>
  <c r="D1856" i="2"/>
  <c r="E1856" i="2"/>
  <c r="D1848" i="2"/>
  <c r="E1848" i="2"/>
  <c r="D1840" i="2"/>
  <c r="E1840" i="2"/>
  <c r="D1832" i="2"/>
  <c r="E1832" i="2"/>
  <c r="D1824" i="2"/>
  <c r="E1824" i="2"/>
  <c r="D1816" i="2"/>
  <c r="E1816" i="2"/>
  <c r="D1808" i="2"/>
  <c r="E1808" i="2"/>
  <c r="D1800" i="2"/>
  <c r="E1800" i="2"/>
  <c r="D1792" i="2"/>
  <c r="E1792" i="2"/>
  <c r="D1784" i="2"/>
  <c r="E1784" i="2"/>
  <c r="D1776" i="2"/>
  <c r="E1776" i="2"/>
  <c r="D1768" i="2"/>
  <c r="E1768" i="2"/>
  <c r="D1760" i="2"/>
  <c r="E1760" i="2"/>
  <c r="D1752" i="2"/>
  <c r="E1752" i="2"/>
  <c r="D1744" i="2"/>
  <c r="E1744" i="2"/>
  <c r="D1736" i="2"/>
  <c r="E1736" i="2"/>
  <c r="D1728" i="2"/>
  <c r="E1728" i="2"/>
  <c r="D1720" i="2"/>
  <c r="E1720" i="2"/>
  <c r="D1712" i="2"/>
  <c r="E1712" i="2"/>
  <c r="D1704" i="2"/>
  <c r="E1704" i="2"/>
  <c r="D1696" i="2"/>
  <c r="E1696" i="2"/>
  <c r="D1688" i="2"/>
  <c r="E1688" i="2"/>
  <c r="D1680" i="2"/>
  <c r="E1680" i="2"/>
  <c r="D1672" i="2"/>
  <c r="E1672" i="2"/>
  <c r="D1664" i="2"/>
  <c r="E1664" i="2"/>
  <c r="D1656" i="2"/>
  <c r="E1656" i="2"/>
  <c r="D1648" i="2"/>
  <c r="E1648" i="2"/>
  <c r="D1640" i="2"/>
  <c r="E1640" i="2"/>
  <c r="D1632" i="2"/>
  <c r="E1632" i="2"/>
  <c r="D1624" i="2"/>
  <c r="E1624" i="2"/>
  <c r="D1616" i="2"/>
  <c r="E1616" i="2"/>
  <c r="D1608" i="2"/>
  <c r="E1608" i="2"/>
  <c r="D1600" i="2"/>
  <c r="E1600" i="2"/>
  <c r="D1592" i="2"/>
  <c r="E1592" i="2"/>
  <c r="D1584" i="2"/>
  <c r="E1584" i="2"/>
  <c r="D1576" i="2"/>
  <c r="E1576" i="2"/>
  <c r="D1568" i="2"/>
  <c r="E1568" i="2"/>
  <c r="D1560" i="2"/>
  <c r="E1560" i="2"/>
  <c r="D1552" i="2"/>
  <c r="E1552" i="2"/>
  <c r="D1544" i="2"/>
  <c r="E1544" i="2"/>
  <c r="D1536" i="2"/>
  <c r="E1536" i="2"/>
  <c r="D1528" i="2"/>
  <c r="E1528" i="2"/>
  <c r="D1520" i="2"/>
  <c r="E1520" i="2"/>
  <c r="D1512" i="2"/>
  <c r="E1512" i="2"/>
  <c r="D1504" i="2"/>
  <c r="E1504" i="2"/>
  <c r="D1496" i="2"/>
  <c r="E1496" i="2"/>
  <c r="D1488" i="2"/>
  <c r="E1488" i="2"/>
  <c r="D1480" i="2"/>
  <c r="E1480" i="2"/>
  <c r="D1472" i="2"/>
  <c r="E1472" i="2"/>
  <c r="D1464" i="2"/>
  <c r="E1464" i="2"/>
  <c r="D1456" i="2"/>
  <c r="E1456" i="2"/>
  <c r="D1448" i="2"/>
  <c r="E1448" i="2"/>
  <c r="D1440" i="2"/>
  <c r="E1440" i="2"/>
  <c r="D1432" i="2"/>
  <c r="E1432" i="2"/>
  <c r="D1424" i="2"/>
  <c r="E1424" i="2"/>
  <c r="D1416" i="2"/>
  <c r="E1416" i="2"/>
  <c r="D1408" i="2"/>
  <c r="E1408" i="2"/>
  <c r="D1400" i="2"/>
  <c r="E1400" i="2"/>
  <c r="D1392" i="2"/>
  <c r="E1392" i="2"/>
  <c r="D1384" i="2"/>
  <c r="E1384" i="2"/>
  <c r="D1376" i="2"/>
  <c r="E1376" i="2"/>
  <c r="D1368" i="2"/>
  <c r="E1368" i="2"/>
  <c r="D1360" i="2"/>
  <c r="E1360" i="2"/>
  <c r="D1352" i="2"/>
  <c r="E1352" i="2"/>
  <c r="D1344" i="2"/>
  <c r="E1344" i="2"/>
  <c r="D1336" i="2"/>
  <c r="E1336" i="2"/>
  <c r="D1328" i="2"/>
  <c r="E1328" i="2"/>
  <c r="D1320" i="2"/>
  <c r="E1320" i="2"/>
  <c r="D1312" i="2"/>
  <c r="E1312" i="2"/>
  <c r="D1304" i="2"/>
  <c r="E1304" i="2"/>
  <c r="D1296" i="2"/>
  <c r="E1296" i="2"/>
  <c r="D1288" i="2"/>
  <c r="E1288" i="2"/>
  <c r="D1280" i="2"/>
  <c r="E1280" i="2"/>
  <c r="D1272" i="2"/>
  <c r="E1272" i="2"/>
  <c r="D1264" i="2"/>
  <c r="E1264" i="2"/>
  <c r="D1256" i="2"/>
  <c r="E1256" i="2"/>
  <c r="D1248" i="2"/>
  <c r="E1248" i="2"/>
  <c r="D1240" i="2"/>
  <c r="E1240" i="2"/>
  <c r="D1232" i="2"/>
  <c r="E1232" i="2"/>
  <c r="D1224" i="2"/>
  <c r="E1224" i="2"/>
  <c r="D1216" i="2"/>
  <c r="E1216" i="2"/>
  <c r="D1208" i="2"/>
  <c r="E1208" i="2"/>
  <c r="D1200" i="2"/>
  <c r="E1200" i="2"/>
  <c r="D1192" i="2"/>
  <c r="E1192" i="2"/>
  <c r="D1184" i="2"/>
  <c r="E1184" i="2"/>
  <c r="D1176" i="2"/>
  <c r="E1176" i="2"/>
  <c r="D1168" i="2"/>
  <c r="E1168" i="2"/>
  <c r="D1160" i="2"/>
  <c r="E1160" i="2"/>
  <c r="D1152" i="2"/>
  <c r="E1152" i="2"/>
  <c r="D1144" i="2"/>
  <c r="E1144" i="2"/>
  <c r="D1136" i="2"/>
  <c r="E1136" i="2"/>
  <c r="D1128" i="2"/>
  <c r="E1128" i="2"/>
  <c r="D1120" i="2"/>
  <c r="E1120" i="2"/>
  <c r="D1112" i="2"/>
  <c r="E1112" i="2"/>
  <c r="D1104" i="2"/>
  <c r="E1104" i="2"/>
  <c r="D1096" i="2"/>
  <c r="E1096" i="2"/>
  <c r="D1088" i="2"/>
  <c r="E1088" i="2"/>
  <c r="D1080" i="2"/>
  <c r="E1080" i="2"/>
  <c r="D1072" i="2"/>
  <c r="E1072" i="2"/>
  <c r="D1064" i="2"/>
  <c r="E1064" i="2"/>
  <c r="D1056" i="2"/>
  <c r="E1056" i="2"/>
  <c r="D1048" i="2"/>
  <c r="E1048" i="2"/>
  <c r="D1040" i="2"/>
  <c r="E1040" i="2"/>
  <c r="D1032" i="2"/>
  <c r="E1032" i="2"/>
  <c r="D1024" i="2"/>
  <c r="E1024" i="2"/>
  <c r="D1016" i="2"/>
  <c r="E1016" i="2"/>
  <c r="D1008" i="2"/>
  <c r="E1008" i="2"/>
  <c r="D1000" i="2"/>
  <c r="E1000" i="2"/>
  <c r="D992" i="2"/>
  <c r="E992" i="2"/>
  <c r="D984" i="2"/>
  <c r="E984" i="2"/>
  <c r="D976" i="2"/>
  <c r="E976" i="2"/>
  <c r="D968" i="2"/>
  <c r="E968" i="2"/>
  <c r="D960" i="2"/>
  <c r="E960" i="2"/>
  <c r="D952" i="2"/>
  <c r="E952" i="2"/>
  <c r="D944" i="2"/>
  <c r="E944" i="2"/>
  <c r="D936" i="2"/>
  <c r="E936" i="2"/>
  <c r="D928" i="2"/>
  <c r="E928" i="2"/>
  <c r="D920" i="2"/>
  <c r="E920" i="2"/>
  <c r="D912" i="2"/>
  <c r="E912" i="2"/>
  <c r="D904" i="2"/>
  <c r="E904" i="2"/>
  <c r="D896" i="2"/>
  <c r="E896" i="2"/>
  <c r="D888" i="2"/>
  <c r="E888" i="2"/>
  <c r="D880" i="2"/>
  <c r="E880" i="2"/>
  <c r="D872" i="2"/>
  <c r="E872" i="2"/>
  <c r="D864" i="2"/>
  <c r="E864" i="2"/>
  <c r="D856" i="2"/>
  <c r="E856" i="2"/>
  <c r="D848" i="2"/>
  <c r="E848" i="2"/>
  <c r="D840" i="2"/>
  <c r="E840" i="2"/>
  <c r="D832" i="2"/>
  <c r="E832" i="2"/>
  <c r="D824" i="2"/>
  <c r="E824" i="2"/>
  <c r="D816" i="2"/>
  <c r="E816" i="2"/>
  <c r="D808" i="2"/>
  <c r="E808" i="2"/>
  <c r="D800" i="2"/>
  <c r="E800" i="2"/>
  <c r="D792" i="2"/>
  <c r="E792" i="2"/>
  <c r="D784" i="2"/>
  <c r="E784" i="2"/>
  <c r="D776" i="2"/>
  <c r="E776" i="2"/>
  <c r="D768" i="2"/>
  <c r="E768" i="2"/>
  <c r="D760" i="2"/>
  <c r="E760" i="2"/>
  <c r="D752" i="2"/>
  <c r="E752" i="2"/>
  <c r="D744" i="2"/>
  <c r="E744" i="2"/>
  <c r="D736" i="2"/>
  <c r="E736" i="2"/>
  <c r="D728" i="2"/>
  <c r="E728" i="2"/>
  <c r="D720" i="2"/>
  <c r="E720" i="2"/>
  <c r="D712" i="2"/>
  <c r="E712" i="2"/>
  <c r="D704" i="2"/>
  <c r="E704" i="2"/>
  <c r="D696" i="2"/>
  <c r="E696" i="2"/>
  <c r="D688" i="2"/>
  <c r="E688" i="2"/>
  <c r="D680" i="2"/>
  <c r="E680" i="2"/>
  <c r="D672" i="2"/>
  <c r="E672" i="2"/>
  <c r="D664" i="2"/>
  <c r="E664" i="2"/>
  <c r="D656" i="2"/>
  <c r="E656" i="2"/>
  <c r="D648" i="2"/>
  <c r="E648" i="2"/>
  <c r="D640" i="2"/>
  <c r="E640" i="2"/>
  <c r="D632" i="2"/>
  <c r="E632" i="2"/>
  <c r="D624" i="2"/>
  <c r="E624" i="2"/>
  <c r="D616" i="2"/>
  <c r="E616" i="2"/>
  <c r="D608" i="2"/>
  <c r="E608" i="2"/>
  <c r="D600" i="2"/>
  <c r="E600" i="2"/>
  <c r="D592" i="2"/>
  <c r="E592" i="2"/>
  <c r="D584" i="2"/>
  <c r="E584" i="2"/>
  <c r="D576" i="2"/>
  <c r="E576" i="2"/>
  <c r="D568" i="2"/>
  <c r="E568" i="2"/>
  <c r="D560" i="2"/>
  <c r="E560" i="2"/>
  <c r="D552" i="2"/>
  <c r="E552" i="2"/>
  <c r="D544" i="2"/>
  <c r="E544" i="2"/>
  <c r="D536" i="2"/>
  <c r="E536" i="2"/>
  <c r="D528" i="2"/>
  <c r="E528" i="2"/>
  <c r="D520" i="2"/>
  <c r="E520" i="2"/>
  <c r="D512" i="2"/>
  <c r="E512" i="2"/>
  <c r="D504" i="2"/>
  <c r="E504" i="2"/>
  <c r="D496" i="2"/>
  <c r="E496" i="2"/>
  <c r="D488" i="2"/>
  <c r="E488" i="2"/>
  <c r="D480" i="2"/>
  <c r="E480" i="2"/>
  <c r="D472" i="2"/>
  <c r="E472" i="2"/>
  <c r="D464" i="2"/>
  <c r="E464" i="2"/>
  <c r="D456" i="2"/>
  <c r="E456" i="2"/>
  <c r="D448" i="2"/>
  <c r="E448" i="2"/>
  <c r="D440" i="2"/>
  <c r="E440" i="2"/>
  <c r="D432" i="2"/>
  <c r="E432" i="2"/>
  <c r="D424" i="2"/>
  <c r="E424" i="2"/>
  <c r="D416" i="2"/>
  <c r="E416" i="2"/>
  <c r="D408" i="2"/>
  <c r="E408" i="2"/>
  <c r="D400" i="2"/>
  <c r="E400" i="2"/>
  <c r="D392" i="2"/>
  <c r="E392" i="2"/>
  <c r="D384" i="2"/>
  <c r="E384" i="2"/>
  <c r="D376" i="2"/>
  <c r="E376" i="2"/>
  <c r="D368" i="2"/>
  <c r="E368" i="2"/>
  <c r="D360" i="2"/>
  <c r="E360" i="2"/>
  <c r="D352" i="2"/>
  <c r="E352" i="2"/>
  <c r="D344" i="2"/>
  <c r="E344" i="2"/>
  <c r="D336" i="2"/>
  <c r="E336" i="2"/>
  <c r="D328" i="2"/>
  <c r="E328" i="2"/>
  <c r="D320" i="2"/>
  <c r="E320" i="2"/>
  <c r="D312" i="2"/>
  <c r="E312" i="2"/>
  <c r="D304" i="2"/>
  <c r="E304" i="2"/>
  <c r="D296" i="2"/>
  <c r="E296" i="2"/>
  <c r="D288" i="2"/>
  <c r="E288" i="2"/>
  <c r="D280" i="2"/>
  <c r="E280" i="2"/>
  <c r="D272" i="2"/>
  <c r="E272" i="2"/>
  <c r="D264" i="2"/>
  <c r="E264" i="2"/>
  <c r="D256" i="2"/>
  <c r="E256" i="2"/>
  <c r="D248" i="2"/>
  <c r="E248" i="2"/>
  <c r="D240" i="2"/>
  <c r="E240" i="2"/>
  <c r="D232" i="2"/>
  <c r="E232" i="2"/>
  <c r="D224" i="2"/>
  <c r="E224" i="2"/>
  <c r="D216" i="2"/>
  <c r="E216" i="2"/>
  <c r="D208" i="2"/>
  <c r="E208" i="2"/>
  <c r="D200" i="2"/>
  <c r="E200" i="2"/>
  <c r="D192" i="2"/>
  <c r="E192" i="2"/>
  <c r="D184" i="2"/>
  <c r="E184" i="2"/>
  <c r="D176" i="2"/>
  <c r="E176" i="2"/>
  <c r="D168" i="2"/>
  <c r="E168" i="2"/>
  <c r="D160" i="2"/>
  <c r="E160" i="2"/>
  <c r="D152" i="2"/>
  <c r="E152" i="2"/>
  <c r="D144" i="2"/>
  <c r="E144" i="2"/>
  <c r="D136" i="2"/>
  <c r="E136" i="2"/>
  <c r="D128" i="2"/>
  <c r="E128" i="2"/>
  <c r="D120" i="2"/>
  <c r="E120" i="2"/>
  <c r="D3399" i="2"/>
  <c r="E3399" i="2"/>
  <c r="D3391" i="2"/>
  <c r="E3391" i="2"/>
  <c r="D3383" i="2"/>
  <c r="E3383" i="2"/>
  <c r="D3375" i="2"/>
  <c r="E3375" i="2"/>
  <c r="D3367" i="2"/>
  <c r="E3367" i="2"/>
  <c r="D3359" i="2"/>
  <c r="E3359" i="2"/>
  <c r="D3351" i="2"/>
  <c r="E3351" i="2"/>
  <c r="D3343" i="2"/>
  <c r="E3343" i="2"/>
  <c r="D3335" i="2"/>
  <c r="E3335" i="2"/>
  <c r="D3327" i="2"/>
  <c r="E3327" i="2"/>
  <c r="D3319" i="2"/>
  <c r="E3319" i="2"/>
  <c r="D3311" i="2"/>
  <c r="E3311" i="2"/>
  <c r="D3303" i="2"/>
  <c r="E3303" i="2"/>
  <c r="D3295" i="2"/>
  <c r="E3295" i="2"/>
  <c r="D3287" i="2"/>
  <c r="E3287" i="2"/>
  <c r="D3279" i="2"/>
  <c r="E3279" i="2"/>
  <c r="D3271" i="2"/>
  <c r="E3271" i="2"/>
  <c r="D3263" i="2"/>
  <c r="E3263" i="2"/>
  <c r="D3255" i="2"/>
  <c r="E3255" i="2"/>
  <c r="D3247" i="2"/>
  <c r="E3247" i="2"/>
  <c r="D3239" i="2"/>
  <c r="E3239" i="2"/>
  <c r="D3231" i="2"/>
  <c r="E3231" i="2"/>
  <c r="D3223" i="2"/>
  <c r="E3223" i="2"/>
  <c r="D3215" i="2"/>
  <c r="E3215" i="2"/>
  <c r="D3207" i="2"/>
  <c r="E3207" i="2"/>
  <c r="D3199" i="2"/>
  <c r="E3199" i="2"/>
  <c r="D3191" i="2"/>
  <c r="E3191" i="2"/>
  <c r="D3183" i="2"/>
  <c r="E3183" i="2"/>
  <c r="D3175" i="2"/>
  <c r="E3175" i="2"/>
  <c r="D3167" i="2"/>
  <c r="E3167" i="2"/>
  <c r="D3159" i="2"/>
  <c r="E3159" i="2"/>
  <c r="D3151" i="2"/>
  <c r="E3151" i="2"/>
  <c r="D3143" i="2"/>
  <c r="E3143" i="2"/>
  <c r="D3135" i="2"/>
  <c r="E3135" i="2"/>
  <c r="D3127" i="2"/>
  <c r="E3127" i="2"/>
  <c r="D3119" i="2"/>
  <c r="E3119" i="2"/>
  <c r="D3111" i="2"/>
  <c r="E3111" i="2"/>
  <c r="D3103" i="2"/>
  <c r="E3103" i="2"/>
  <c r="D3095" i="2"/>
  <c r="E3095" i="2"/>
  <c r="D3087" i="2"/>
  <c r="E3087" i="2"/>
  <c r="D3079" i="2"/>
  <c r="E3079" i="2"/>
  <c r="D3071" i="2"/>
  <c r="E3071" i="2"/>
  <c r="D3063" i="2"/>
  <c r="E3063" i="2"/>
  <c r="D3055" i="2"/>
  <c r="E3055" i="2"/>
  <c r="D3047" i="2"/>
  <c r="E3047" i="2"/>
  <c r="D3039" i="2"/>
  <c r="E3039" i="2"/>
  <c r="D3031" i="2"/>
  <c r="E3031" i="2"/>
  <c r="D3023" i="2"/>
  <c r="E3023" i="2"/>
  <c r="D3015" i="2"/>
  <c r="E3015" i="2"/>
  <c r="D3007" i="2"/>
  <c r="E3007" i="2"/>
  <c r="D2999" i="2"/>
  <c r="E2999" i="2"/>
  <c r="D2991" i="2"/>
  <c r="E2991" i="2"/>
  <c r="D2983" i="2"/>
  <c r="E2983" i="2"/>
  <c r="D2975" i="2"/>
  <c r="E2975" i="2"/>
  <c r="D2967" i="2"/>
  <c r="E2967" i="2"/>
  <c r="D2959" i="2"/>
  <c r="E2959" i="2"/>
  <c r="D2951" i="2"/>
  <c r="E2951" i="2"/>
  <c r="D2943" i="2"/>
  <c r="E2943" i="2"/>
  <c r="D2935" i="2"/>
  <c r="E2935" i="2"/>
  <c r="D2927" i="2"/>
  <c r="E2927" i="2"/>
  <c r="D2919" i="2"/>
  <c r="E2919" i="2"/>
  <c r="D2911" i="2"/>
  <c r="E2911" i="2"/>
  <c r="D2903" i="2"/>
  <c r="E2903" i="2"/>
  <c r="D2895" i="2"/>
  <c r="E2895" i="2"/>
  <c r="D2887" i="2"/>
  <c r="E2887" i="2"/>
  <c r="D2879" i="2"/>
  <c r="E2879" i="2"/>
  <c r="D2871" i="2"/>
  <c r="E2871" i="2"/>
  <c r="D2863" i="2"/>
  <c r="E2863" i="2"/>
  <c r="D2855" i="2"/>
  <c r="E2855" i="2"/>
  <c r="D2847" i="2"/>
  <c r="E2847" i="2"/>
  <c r="D2839" i="2"/>
  <c r="E2839" i="2"/>
  <c r="D2831" i="2"/>
  <c r="E2831" i="2"/>
  <c r="D2823" i="2"/>
  <c r="E2823" i="2"/>
  <c r="D2815" i="2"/>
  <c r="E2815" i="2"/>
  <c r="D2807" i="2"/>
  <c r="E2807" i="2"/>
  <c r="D2799" i="2"/>
  <c r="E2799" i="2"/>
  <c r="D2791" i="2"/>
  <c r="E2791" i="2"/>
  <c r="D2783" i="2"/>
  <c r="E2783" i="2"/>
  <c r="D2775" i="2"/>
  <c r="E2775" i="2"/>
  <c r="D2767" i="2"/>
  <c r="E2767" i="2"/>
  <c r="D2759" i="2"/>
  <c r="E2759" i="2"/>
  <c r="D2751" i="2"/>
  <c r="E2751" i="2"/>
  <c r="D2743" i="2"/>
  <c r="E2743" i="2"/>
  <c r="D2735" i="2"/>
  <c r="E2735" i="2"/>
  <c r="D2727" i="2"/>
  <c r="E2727" i="2"/>
  <c r="D2719" i="2"/>
  <c r="E2719" i="2"/>
  <c r="D2711" i="2"/>
  <c r="E2711" i="2"/>
  <c r="D2703" i="2"/>
  <c r="E2703" i="2"/>
  <c r="D2695" i="2"/>
  <c r="E2695" i="2"/>
  <c r="D2687" i="2"/>
  <c r="E2687" i="2"/>
  <c r="D2679" i="2"/>
  <c r="E2679" i="2"/>
  <c r="D2671" i="2"/>
  <c r="E2671" i="2"/>
  <c r="D2663" i="2"/>
  <c r="E2663" i="2"/>
  <c r="D2655" i="2"/>
  <c r="E2655" i="2"/>
  <c r="D2647" i="2"/>
  <c r="E2647" i="2"/>
  <c r="D2639" i="2"/>
  <c r="E2639" i="2"/>
  <c r="D2631" i="2"/>
  <c r="E2631" i="2"/>
  <c r="D2623" i="2"/>
  <c r="E2623" i="2"/>
  <c r="D2615" i="2"/>
  <c r="E2615" i="2"/>
  <c r="D2607" i="2"/>
  <c r="E2607" i="2"/>
  <c r="D2599" i="2"/>
  <c r="E2599" i="2"/>
  <c r="D2591" i="2"/>
  <c r="E2591" i="2"/>
  <c r="D2583" i="2"/>
  <c r="E2583" i="2"/>
  <c r="D2575" i="2"/>
  <c r="E2575" i="2"/>
  <c r="D2567" i="2"/>
  <c r="E2567" i="2"/>
  <c r="D2559" i="2"/>
  <c r="E2559" i="2"/>
  <c r="D2551" i="2"/>
  <c r="E2551" i="2"/>
  <c r="D2543" i="2"/>
  <c r="E2543" i="2"/>
  <c r="D2535" i="2"/>
  <c r="E2535" i="2"/>
  <c r="D2527" i="2"/>
  <c r="E2527" i="2"/>
  <c r="D2519" i="2"/>
  <c r="E2519" i="2"/>
  <c r="D2511" i="2"/>
  <c r="E2511" i="2"/>
  <c r="D2503" i="2"/>
  <c r="E2503" i="2"/>
  <c r="D2495" i="2"/>
  <c r="E2495" i="2"/>
  <c r="D2487" i="2"/>
  <c r="E2487" i="2"/>
  <c r="D2479" i="2"/>
  <c r="E2479" i="2"/>
  <c r="D2471" i="2"/>
  <c r="E2471" i="2"/>
  <c r="D2463" i="2"/>
  <c r="E2463" i="2"/>
  <c r="D2455" i="2"/>
  <c r="E2455" i="2"/>
  <c r="D2447" i="2"/>
  <c r="E2447" i="2"/>
  <c r="D2439" i="2"/>
  <c r="E2439" i="2"/>
  <c r="D2431" i="2"/>
  <c r="E2431" i="2"/>
  <c r="D2423" i="2"/>
  <c r="E2423" i="2"/>
  <c r="D2415" i="2"/>
  <c r="E2415" i="2"/>
  <c r="D2407" i="2"/>
  <c r="E2407" i="2"/>
  <c r="D2399" i="2"/>
  <c r="E2399" i="2"/>
  <c r="D2391" i="2"/>
  <c r="E2391" i="2"/>
  <c r="D2383" i="2"/>
  <c r="E2383" i="2"/>
  <c r="D2375" i="2"/>
  <c r="E2375" i="2"/>
  <c r="D2367" i="2"/>
  <c r="E2367" i="2"/>
  <c r="D2359" i="2"/>
  <c r="E2359" i="2"/>
  <c r="D2351" i="2"/>
  <c r="E2351" i="2"/>
  <c r="D2343" i="2"/>
  <c r="E2343" i="2"/>
  <c r="D2335" i="2"/>
  <c r="E2335" i="2"/>
  <c r="D2327" i="2"/>
  <c r="E2327" i="2"/>
  <c r="D2319" i="2"/>
  <c r="E2319" i="2"/>
  <c r="D2311" i="2"/>
  <c r="E2311" i="2"/>
  <c r="D2303" i="2"/>
  <c r="E2303" i="2"/>
  <c r="D2295" i="2"/>
  <c r="E2295" i="2"/>
  <c r="D2287" i="2"/>
  <c r="E2287" i="2"/>
  <c r="D2279" i="2"/>
  <c r="E2279" i="2"/>
  <c r="D2271" i="2"/>
  <c r="E2271" i="2"/>
  <c r="D2263" i="2"/>
  <c r="E2263" i="2"/>
  <c r="D2255" i="2"/>
  <c r="E2255" i="2"/>
  <c r="D2247" i="2"/>
  <c r="E2247" i="2"/>
  <c r="D2239" i="2"/>
  <c r="E2239" i="2"/>
  <c r="D2231" i="2"/>
  <c r="E2231" i="2"/>
  <c r="D2223" i="2"/>
  <c r="E2223" i="2"/>
  <c r="D2215" i="2"/>
  <c r="E2215" i="2"/>
  <c r="D2207" i="2"/>
  <c r="E2207" i="2"/>
  <c r="D2199" i="2"/>
  <c r="E2199" i="2"/>
  <c r="D2191" i="2"/>
  <c r="E2191" i="2"/>
  <c r="D2183" i="2"/>
  <c r="E2183" i="2"/>
  <c r="D2175" i="2"/>
  <c r="E2175" i="2"/>
  <c r="D2167" i="2"/>
  <c r="E2167" i="2"/>
  <c r="D2159" i="2"/>
  <c r="E2159" i="2"/>
  <c r="D2151" i="2"/>
  <c r="E2151" i="2"/>
  <c r="D2143" i="2"/>
  <c r="E2143" i="2"/>
  <c r="D2135" i="2"/>
  <c r="E2135" i="2"/>
  <c r="D2127" i="2"/>
  <c r="E2127" i="2"/>
  <c r="D2119" i="2"/>
  <c r="E2119" i="2"/>
  <c r="D2111" i="2"/>
  <c r="E2111" i="2"/>
  <c r="D2103" i="2"/>
  <c r="E2103" i="2"/>
  <c r="D2095" i="2"/>
  <c r="E2095" i="2"/>
  <c r="D2087" i="2"/>
  <c r="E2087" i="2"/>
  <c r="D2079" i="2"/>
  <c r="E2079" i="2"/>
  <c r="D2071" i="2"/>
  <c r="E2071" i="2"/>
  <c r="D2063" i="2"/>
  <c r="E2063" i="2"/>
  <c r="D2055" i="2"/>
  <c r="E2055" i="2"/>
  <c r="D2047" i="2"/>
  <c r="E2047" i="2"/>
  <c r="D2039" i="2"/>
  <c r="E2039" i="2"/>
  <c r="D2031" i="2"/>
  <c r="E2031" i="2"/>
  <c r="D2023" i="2"/>
  <c r="E2023" i="2"/>
  <c r="D2015" i="2"/>
  <c r="E2015" i="2"/>
  <c r="D2007" i="2"/>
  <c r="E2007" i="2"/>
  <c r="D1999" i="2"/>
  <c r="E1999" i="2"/>
  <c r="D1991" i="2"/>
  <c r="E1991" i="2"/>
  <c r="D1983" i="2"/>
  <c r="E1983" i="2"/>
  <c r="D1975" i="2"/>
  <c r="E1975" i="2"/>
  <c r="D1967" i="2"/>
  <c r="E1967" i="2"/>
  <c r="D1959" i="2"/>
  <c r="E1959" i="2"/>
  <c r="D1951" i="2"/>
  <c r="E1951" i="2"/>
  <c r="D1943" i="2"/>
  <c r="E1943" i="2"/>
  <c r="D1935" i="2"/>
  <c r="E1935" i="2"/>
  <c r="E1927" i="2"/>
  <c r="D1927" i="2"/>
  <c r="E1919" i="2"/>
  <c r="D1919" i="2"/>
  <c r="E1911" i="2"/>
  <c r="D1911" i="2"/>
  <c r="E1903" i="2"/>
  <c r="D1903" i="2"/>
  <c r="E1895" i="2"/>
  <c r="D1895" i="2"/>
  <c r="E1879" i="2"/>
  <c r="D1879" i="2"/>
  <c r="E1863" i="2"/>
  <c r="D1863" i="2"/>
  <c r="E1855" i="2"/>
  <c r="D1855" i="2"/>
  <c r="D1847" i="2"/>
  <c r="E1847" i="2"/>
  <c r="D1839" i="2"/>
  <c r="E1839" i="2"/>
  <c r="D1823" i="2"/>
  <c r="E1823" i="2"/>
  <c r="D1815" i="2"/>
  <c r="E1815" i="2"/>
  <c r="D1807" i="2"/>
  <c r="E1807" i="2"/>
  <c r="D1799" i="2"/>
  <c r="E1799" i="2"/>
  <c r="D1791" i="2"/>
  <c r="E1791" i="2"/>
  <c r="D1783" i="2"/>
  <c r="E1783" i="2"/>
  <c r="D1775" i="2"/>
  <c r="E1775" i="2"/>
  <c r="D1759" i="2"/>
  <c r="E1759" i="2"/>
  <c r="D1751" i="2"/>
  <c r="E1751" i="2"/>
  <c r="D1743" i="2"/>
  <c r="E1743" i="2"/>
  <c r="D1735" i="2"/>
  <c r="E1735" i="2"/>
  <c r="D1727" i="2"/>
  <c r="E1727" i="2"/>
  <c r="D1719" i="2"/>
  <c r="E1719" i="2"/>
  <c r="D1711" i="2"/>
  <c r="E1711" i="2"/>
  <c r="D1695" i="2"/>
  <c r="E1695" i="2"/>
  <c r="D1687" i="2"/>
  <c r="E1687" i="2"/>
  <c r="D1679" i="2"/>
  <c r="E1679" i="2"/>
  <c r="D1671" i="2"/>
  <c r="E1671" i="2"/>
  <c r="D1663" i="2"/>
  <c r="E1663" i="2"/>
  <c r="D1655" i="2"/>
  <c r="E1655" i="2"/>
  <c r="D1647" i="2"/>
  <c r="E1647" i="2"/>
  <c r="D1631" i="2"/>
  <c r="E1631" i="2"/>
  <c r="D1623" i="2"/>
  <c r="E1623" i="2"/>
  <c r="D1615" i="2"/>
  <c r="E1615" i="2"/>
  <c r="D1607" i="2"/>
  <c r="E1607" i="2"/>
  <c r="D1599" i="2"/>
  <c r="E1599" i="2"/>
  <c r="D1591" i="2"/>
  <c r="E1591" i="2"/>
  <c r="D1583" i="2"/>
  <c r="E1583" i="2"/>
  <c r="D1567" i="2"/>
  <c r="E1567" i="2"/>
  <c r="D1559" i="2"/>
  <c r="E1559" i="2"/>
  <c r="D1551" i="2"/>
  <c r="E1551" i="2"/>
  <c r="E1543" i="2"/>
  <c r="D1543" i="2"/>
  <c r="E1535" i="2"/>
  <c r="D1535" i="2"/>
  <c r="E1527" i="2"/>
  <c r="D1527" i="2"/>
  <c r="E1519" i="2"/>
  <c r="D1519" i="2"/>
  <c r="E1503" i="2"/>
  <c r="D1503" i="2"/>
  <c r="E1495" i="2"/>
  <c r="D1495" i="2"/>
  <c r="E1487" i="2"/>
  <c r="D1487" i="2"/>
  <c r="E1479" i="2"/>
  <c r="D1479" i="2"/>
  <c r="E1471" i="2"/>
  <c r="D1471" i="2"/>
  <c r="E1463" i="2"/>
  <c r="D1463" i="2"/>
  <c r="E1455" i="2"/>
  <c r="D1455" i="2"/>
  <c r="E1439" i="2"/>
  <c r="D1439" i="2"/>
  <c r="E1431" i="2"/>
  <c r="D1431" i="2"/>
  <c r="E1423" i="2"/>
  <c r="D1423" i="2"/>
  <c r="E1415" i="2"/>
  <c r="D1415" i="2"/>
  <c r="E1407" i="2"/>
  <c r="D1407" i="2"/>
  <c r="E1399" i="2"/>
  <c r="D1399" i="2"/>
  <c r="E1391" i="2"/>
  <c r="D1391" i="2"/>
  <c r="E1375" i="2"/>
  <c r="D1375" i="2"/>
  <c r="E1367" i="2"/>
  <c r="D1367" i="2"/>
  <c r="E1359" i="2"/>
  <c r="D1359" i="2"/>
  <c r="E1351" i="2"/>
  <c r="D1351" i="2"/>
  <c r="E1343" i="2"/>
  <c r="D1343" i="2"/>
  <c r="E1335" i="2"/>
  <c r="D1335" i="2"/>
  <c r="E1327" i="2"/>
  <c r="D1327" i="2"/>
  <c r="E1311" i="2"/>
  <c r="D1311" i="2"/>
  <c r="E1303" i="2"/>
  <c r="D1303" i="2"/>
  <c r="E1295" i="2"/>
  <c r="D1295" i="2"/>
  <c r="E1287" i="2"/>
  <c r="D1287" i="2"/>
  <c r="E1279" i="2"/>
  <c r="D1279" i="2"/>
  <c r="E1271" i="2"/>
  <c r="D1271" i="2"/>
  <c r="E1263" i="2"/>
  <c r="D1263" i="2"/>
  <c r="E1247" i="2"/>
  <c r="D1247" i="2"/>
  <c r="E1239" i="2"/>
  <c r="D1239" i="2"/>
  <c r="E1231" i="2"/>
  <c r="D1231" i="2"/>
  <c r="E1223" i="2"/>
  <c r="D1223" i="2"/>
  <c r="E1215" i="2"/>
  <c r="D1215" i="2"/>
  <c r="E1207" i="2"/>
  <c r="D1207" i="2"/>
  <c r="E1199" i="2"/>
  <c r="D1199" i="2"/>
  <c r="E1183" i="2"/>
  <c r="D1183" i="2"/>
  <c r="E1175" i="2"/>
  <c r="D1175" i="2"/>
  <c r="E1167" i="2"/>
  <c r="D1167" i="2"/>
  <c r="E1159" i="2"/>
  <c r="D1159" i="2"/>
  <c r="E1151" i="2"/>
  <c r="D1151" i="2"/>
  <c r="E1143" i="2"/>
  <c r="D1143" i="2"/>
  <c r="E1135" i="2"/>
  <c r="D1135" i="2"/>
  <c r="E1119" i="2"/>
  <c r="D1119" i="2"/>
  <c r="E1111" i="2"/>
  <c r="D1111" i="2"/>
  <c r="E1103" i="2"/>
  <c r="D1103" i="2"/>
  <c r="E1095" i="2"/>
  <c r="D1095" i="2"/>
  <c r="E1087" i="2"/>
  <c r="D1087" i="2"/>
  <c r="E1079" i="2"/>
  <c r="D1079" i="2"/>
  <c r="E1071" i="2"/>
  <c r="D1071" i="2"/>
  <c r="D1055" i="2"/>
  <c r="E1055" i="2"/>
  <c r="D1047" i="2"/>
  <c r="E1047" i="2"/>
  <c r="D1039" i="2"/>
  <c r="E1039" i="2"/>
  <c r="D1031" i="2"/>
  <c r="E1031" i="2"/>
  <c r="D1023" i="2"/>
  <c r="E1023" i="2"/>
  <c r="D1015" i="2"/>
  <c r="E1015" i="2"/>
  <c r="D1007" i="2"/>
  <c r="E1007" i="2"/>
  <c r="D991" i="2"/>
  <c r="E991" i="2"/>
  <c r="D983" i="2"/>
  <c r="E983" i="2"/>
  <c r="D975" i="2"/>
  <c r="E975" i="2"/>
  <c r="D967" i="2"/>
  <c r="E967" i="2"/>
  <c r="D959" i="2"/>
  <c r="E959" i="2"/>
  <c r="D951" i="2"/>
  <c r="E951" i="2"/>
  <c r="D943" i="2"/>
  <c r="E943" i="2"/>
  <c r="D927" i="2"/>
  <c r="E927" i="2"/>
  <c r="D919" i="2"/>
  <c r="E919" i="2"/>
  <c r="D911" i="2"/>
  <c r="E911" i="2"/>
  <c r="D903" i="2"/>
  <c r="E903" i="2"/>
  <c r="D895" i="2"/>
  <c r="E895" i="2"/>
  <c r="D887" i="2"/>
  <c r="E887" i="2"/>
  <c r="D879" i="2"/>
  <c r="E879" i="2"/>
  <c r="D863" i="2"/>
  <c r="E863" i="2"/>
  <c r="D855" i="2"/>
  <c r="E855" i="2"/>
  <c r="D847" i="2"/>
  <c r="E847" i="2"/>
  <c r="D839" i="2"/>
  <c r="E839" i="2"/>
  <c r="D831" i="2"/>
  <c r="E831" i="2"/>
  <c r="D823" i="2"/>
  <c r="E823" i="2"/>
  <c r="D815" i="2"/>
  <c r="E815" i="2"/>
  <c r="D807" i="2"/>
  <c r="E807" i="2"/>
  <c r="D799" i="2"/>
  <c r="E799" i="2"/>
  <c r="D791" i="2"/>
  <c r="E791" i="2"/>
  <c r="D783" i="2"/>
  <c r="E783" i="2"/>
  <c r="D775" i="2"/>
  <c r="E775" i="2"/>
  <c r="D767" i="2"/>
  <c r="E767" i="2"/>
  <c r="D759" i="2"/>
  <c r="E759" i="2"/>
  <c r="D751" i="2"/>
  <c r="E751" i="2"/>
  <c r="D743" i="2"/>
  <c r="E743" i="2"/>
  <c r="D735" i="2"/>
  <c r="E735" i="2"/>
  <c r="D727" i="2"/>
  <c r="E727" i="2"/>
  <c r="D719" i="2"/>
  <c r="E719" i="2"/>
  <c r="D711" i="2"/>
  <c r="E711" i="2"/>
  <c r="D703" i="2"/>
  <c r="E703" i="2"/>
  <c r="D695" i="2"/>
  <c r="E695" i="2"/>
  <c r="D687" i="2"/>
  <c r="E687" i="2"/>
  <c r="D679" i="2"/>
  <c r="E679" i="2"/>
  <c r="D671" i="2"/>
  <c r="E671" i="2"/>
  <c r="D663" i="2"/>
  <c r="E663" i="2"/>
  <c r="D655" i="2"/>
  <c r="E655" i="2"/>
  <c r="D647" i="2"/>
  <c r="E647" i="2"/>
  <c r="D639" i="2"/>
  <c r="E639" i="2"/>
  <c r="D631" i="2"/>
  <c r="E631" i="2"/>
  <c r="D623" i="2"/>
  <c r="E623" i="2"/>
  <c r="D615" i="2"/>
  <c r="E615" i="2"/>
  <c r="D607" i="2"/>
  <c r="E607" i="2"/>
  <c r="D599" i="2"/>
  <c r="E599" i="2"/>
  <c r="D591" i="2"/>
  <c r="E591" i="2"/>
  <c r="D583" i="2"/>
  <c r="E583" i="2"/>
  <c r="D575" i="2"/>
  <c r="E575" i="2"/>
  <c r="D567" i="2"/>
  <c r="E567" i="2"/>
  <c r="D559" i="2"/>
  <c r="E559" i="2"/>
  <c r="D551" i="2"/>
  <c r="E551" i="2"/>
  <c r="D543" i="2"/>
  <c r="E543" i="2"/>
  <c r="D535" i="2"/>
  <c r="E535" i="2"/>
  <c r="D527" i="2"/>
  <c r="E527" i="2"/>
  <c r="D519" i="2"/>
  <c r="E519" i="2"/>
  <c r="D511" i="2"/>
  <c r="E511" i="2"/>
  <c r="D503" i="2"/>
  <c r="E503" i="2"/>
  <c r="D495" i="2"/>
  <c r="E495" i="2"/>
  <c r="D487" i="2"/>
  <c r="E487" i="2"/>
  <c r="D479" i="2"/>
  <c r="E479" i="2"/>
  <c r="D471" i="2"/>
  <c r="E471" i="2"/>
  <c r="D463" i="2"/>
  <c r="E463" i="2"/>
  <c r="D455" i="2"/>
  <c r="E455" i="2"/>
  <c r="D447" i="2"/>
  <c r="E447" i="2"/>
  <c r="D439" i="2"/>
  <c r="E439" i="2"/>
  <c r="D431" i="2"/>
  <c r="E431" i="2"/>
  <c r="D423" i="2"/>
  <c r="E423" i="2"/>
  <c r="D415" i="2"/>
  <c r="E415" i="2"/>
  <c r="D407" i="2"/>
  <c r="E407" i="2"/>
  <c r="D399" i="2"/>
  <c r="E399" i="2"/>
  <c r="D391" i="2"/>
  <c r="E391" i="2"/>
  <c r="D383" i="2"/>
  <c r="E383" i="2"/>
  <c r="D375" i="2"/>
  <c r="E375" i="2"/>
  <c r="D367" i="2"/>
  <c r="E367" i="2"/>
  <c r="D359" i="2"/>
  <c r="E359" i="2"/>
  <c r="D351" i="2"/>
  <c r="E351" i="2"/>
  <c r="D343" i="2"/>
  <c r="E343" i="2"/>
  <c r="D335" i="2"/>
  <c r="E335" i="2"/>
  <c r="D327" i="2"/>
  <c r="E327" i="2"/>
  <c r="D319" i="2"/>
  <c r="E319" i="2"/>
  <c r="D311" i="2"/>
  <c r="E311" i="2"/>
  <c r="D303" i="2"/>
  <c r="E303" i="2"/>
  <c r="D295" i="2"/>
  <c r="E295" i="2"/>
  <c r="D287" i="2"/>
  <c r="E287" i="2"/>
  <c r="D279" i="2"/>
  <c r="E279" i="2"/>
  <c r="D271" i="2"/>
  <c r="E271" i="2"/>
  <c r="D263" i="2"/>
  <c r="E263" i="2"/>
  <c r="D255" i="2"/>
  <c r="E255" i="2"/>
  <c r="D247" i="2"/>
  <c r="E247" i="2"/>
  <c r="D239" i="2"/>
  <c r="E239" i="2"/>
  <c r="D231" i="2"/>
  <c r="E231" i="2"/>
  <c r="D223" i="2"/>
  <c r="E223" i="2"/>
  <c r="D215" i="2"/>
  <c r="E215" i="2"/>
  <c r="D207" i="2"/>
  <c r="E207" i="2"/>
  <c r="D199" i="2"/>
  <c r="E199" i="2"/>
  <c r="D191" i="2"/>
  <c r="E191" i="2"/>
  <c r="D183" i="2"/>
  <c r="E183" i="2"/>
  <c r="D175" i="2"/>
  <c r="E175" i="2"/>
  <c r="D167" i="2"/>
  <c r="E167" i="2"/>
  <c r="D159" i="2"/>
  <c r="E159" i="2"/>
  <c r="D151" i="2"/>
  <c r="E151" i="2"/>
  <c r="D143" i="2"/>
  <c r="E143" i="2"/>
  <c r="D135" i="2"/>
  <c r="E135" i="2"/>
  <c r="D127" i="2"/>
  <c r="E127" i="2"/>
  <c r="D119" i="2"/>
  <c r="E119" i="2"/>
  <c r="D3173" i="2"/>
  <c r="D3534" i="2"/>
  <c r="E3534" i="2"/>
  <c r="D3526" i="2"/>
  <c r="E3526" i="2"/>
  <c r="D3518" i="2"/>
  <c r="E3518" i="2"/>
  <c r="D3510" i="2"/>
  <c r="E3510" i="2"/>
  <c r="D3502" i="2"/>
  <c r="E3502" i="2"/>
  <c r="D3494" i="2"/>
  <c r="E3494" i="2"/>
  <c r="D3486" i="2"/>
  <c r="E3486" i="2"/>
  <c r="D3478" i="2"/>
  <c r="E3478" i="2"/>
  <c r="D3470" i="2"/>
  <c r="E3470" i="2"/>
  <c r="D3462" i="2"/>
  <c r="E3462" i="2"/>
  <c r="D3454" i="2"/>
  <c r="E3454" i="2"/>
  <c r="D3446" i="2"/>
  <c r="E3446" i="2"/>
  <c r="D3438" i="2"/>
  <c r="E3438" i="2"/>
  <c r="D3430" i="2"/>
  <c r="E3430" i="2"/>
  <c r="D3422" i="2"/>
  <c r="E3422" i="2"/>
  <c r="D3414" i="2"/>
  <c r="E3414" i="2"/>
  <c r="D3406" i="2"/>
  <c r="E3406" i="2"/>
  <c r="D3398" i="2"/>
  <c r="E3398" i="2"/>
  <c r="D3390" i="2"/>
  <c r="E3390" i="2"/>
  <c r="D3382" i="2"/>
  <c r="E3382" i="2"/>
  <c r="D3374" i="2"/>
  <c r="E3374" i="2"/>
  <c r="D3366" i="2"/>
  <c r="E3366" i="2"/>
  <c r="D3358" i="2"/>
  <c r="E3358" i="2"/>
  <c r="D3350" i="2"/>
  <c r="E3350" i="2"/>
  <c r="D3342" i="2"/>
  <c r="E3342" i="2"/>
  <c r="D3334" i="2"/>
  <c r="E3334" i="2"/>
  <c r="D3326" i="2"/>
  <c r="E3326" i="2"/>
  <c r="D3318" i="2"/>
  <c r="E3318" i="2"/>
  <c r="D3310" i="2"/>
  <c r="E3310" i="2"/>
  <c r="D3302" i="2"/>
  <c r="E3302" i="2"/>
  <c r="D3294" i="2"/>
  <c r="E3294" i="2"/>
  <c r="D3286" i="2"/>
  <c r="E3286" i="2"/>
  <c r="D3278" i="2"/>
  <c r="E3278" i="2"/>
  <c r="D3270" i="2"/>
  <c r="E3270" i="2"/>
  <c r="D3262" i="2"/>
  <c r="E3262" i="2"/>
  <c r="D3254" i="2"/>
  <c r="E3254" i="2"/>
  <c r="D3246" i="2"/>
  <c r="E3246" i="2"/>
  <c r="D3238" i="2"/>
  <c r="E3238" i="2"/>
  <c r="D3230" i="2"/>
  <c r="E3230" i="2"/>
  <c r="D3222" i="2"/>
  <c r="E3222" i="2"/>
  <c r="D3214" i="2"/>
  <c r="E3214" i="2"/>
  <c r="D3206" i="2"/>
  <c r="E3206" i="2"/>
  <c r="D3198" i="2"/>
  <c r="E3198" i="2"/>
  <c r="D3190" i="2"/>
  <c r="E3190" i="2"/>
  <c r="D3182" i="2"/>
  <c r="E3182" i="2"/>
  <c r="D3174" i="2"/>
  <c r="E3174" i="2"/>
  <c r="D3166" i="2"/>
  <c r="E3166" i="2"/>
  <c r="D3158" i="2"/>
  <c r="E3158" i="2"/>
  <c r="D3150" i="2"/>
  <c r="E3150" i="2"/>
  <c r="D3142" i="2"/>
  <c r="E3142" i="2"/>
  <c r="D3134" i="2"/>
  <c r="E3134" i="2"/>
  <c r="D3126" i="2"/>
  <c r="E3126" i="2"/>
  <c r="D3118" i="2"/>
  <c r="E3118" i="2"/>
  <c r="D3110" i="2"/>
  <c r="E3110" i="2"/>
  <c r="D3102" i="2"/>
  <c r="E3102" i="2"/>
  <c r="D3094" i="2"/>
  <c r="E3094" i="2"/>
  <c r="D3086" i="2"/>
  <c r="E3086" i="2"/>
  <c r="D3078" i="2"/>
  <c r="E3078" i="2"/>
  <c r="D3070" i="2"/>
  <c r="E3070" i="2"/>
  <c r="D3062" i="2"/>
  <c r="E3062" i="2"/>
  <c r="D3054" i="2"/>
  <c r="E3054" i="2"/>
  <c r="D3046" i="2"/>
  <c r="E3046" i="2"/>
  <c r="D3038" i="2"/>
  <c r="E3038" i="2"/>
  <c r="D3030" i="2"/>
  <c r="E3030" i="2"/>
  <c r="D3022" i="2"/>
  <c r="E3022" i="2"/>
  <c r="D3014" i="2"/>
  <c r="E3014" i="2"/>
  <c r="D3006" i="2"/>
  <c r="E3006" i="2"/>
  <c r="D2998" i="2"/>
  <c r="E2998" i="2"/>
  <c r="D2990" i="2"/>
  <c r="E2990" i="2"/>
  <c r="D2982" i="2"/>
  <c r="E2982" i="2"/>
  <c r="D2974" i="2"/>
  <c r="E2974" i="2"/>
  <c r="D2966" i="2"/>
  <c r="E2966" i="2"/>
  <c r="D2958" i="2"/>
  <c r="E2958" i="2"/>
  <c r="D2950" i="2"/>
  <c r="E2950" i="2"/>
  <c r="D2942" i="2"/>
  <c r="E2942" i="2"/>
  <c r="D2934" i="2"/>
  <c r="E2934" i="2"/>
  <c r="D2926" i="2"/>
  <c r="E2926" i="2"/>
  <c r="D2918" i="2"/>
  <c r="E2918" i="2"/>
  <c r="D2910" i="2"/>
  <c r="E2910" i="2"/>
  <c r="D2902" i="2"/>
  <c r="E2902" i="2"/>
  <c r="D2894" i="2"/>
  <c r="E2894" i="2"/>
  <c r="D2886" i="2"/>
  <c r="E2886" i="2"/>
  <c r="D2878" i="2"/>
  <c r="E2878" i="2"/>
  <c r="D2870" i="2"/>
  <c r="E2870" i="2"/>
  <c r="D2862" i="2"/>
  <c r="E2862" i="2"/>
  <c r="D2854" i="2"/>
  <c r="E2854" i="2"/>
  <c r="D2846" i="2"/>
  <c r="E2846" i="2"/>
  <c r="D2838" i="2"/>
  <c r="E2838" i="2"/>
  <c r="D2830" i="2"/>
  <c r="E2830" i="2"/>
  <c r="D2822" i="2"/>
  <c r="E2822" i="2"/>
  <c r="D2814" i="2"/>
  <c r="E2814" i="2"/>
  <c r="D2806" i="2"/>
  <c r="E2806" i="2"/>
  <c r="D2798" i="2"/>
  <c r="E2798" i="2"/>
  <c r="D2790" i="2"/>
  <c r="E2790" i="2"/>
  <c r="D2782" i="2"/>
  <c r="E2782" i="2"/>
  <c r="D2774" i="2"/>
  <c r="E2774" i="2"/>
  <c r="D2766" i="2"/>
  <c r="E2766" i="2"/>
  <c r="D2758" i="2"/>
  <c r="E2758" i="2"/>
  <c r="D2750" i="2"/>
  <c r="E2750" i="2"/>
  <c r="D2742" i="2"/>
  <c r="E2742" i="2"/>
  <c r="D2734" i="2"/>
  <c r="E2734" i="2"/>
  <c r="D2726" i="2"/>
  <c r="E2726" i="2"/>
  <c r="D2718" i="2"/>
  <c r="E2718" i="2"/>
  <c r="D2710" i="2"/>
  <c r="E2710" i="2"/>
  <c r="D2702" i="2"/>
  <c r="E2702" i="2"/>
  <c r="D2694" i="2"/>
  <c r="E2694" i="2"/>
  <c r="D2686" i="2"/>
  <c r="E2686" i="2"/>
  <c r="D2678" i="2"/>
  <c r="E2678" i="2"/>
  <c r="D2670" i="2"/>
  <c r="E2670" i="2"/>
  <c r="D2662" i="2"/>
  <c r="E2662" i="2"/>
  <c r="D2654" i="2"/>
  <c r="E2654" i="2"/>
  <c r="D2646" i="2"/>
  <c r="E2646" i="2"/>
  <c r="D2638" i="2"/>
  <c r="E2638" i="2"/>
  <c r="D2630" i="2"/>
  <c r="E2630" i="2"/>
  <c r="D2622" i="2"/>
  <c r="E2622" i="2"/>
  <c r="D2614" i="2"/>
  <c r="E2614" i="2"/>
  <c r="D2606" i="2"/>
  <c r="E2606" i="2"/>
  <c r="D2598" i="2"/>
  <c r="E2598" i="2"/>
  <c r="D2590" i="2"/>
  <c r="E2590" i="2"/>
  <c r="D2582" i="2"/>
  <c r="E2582" i="2"/>
  <c r="D2574" i="2"/>
  <c r="E2574" i="2"/>
  <c r="D2566" i="2"/>
  <c r="E2566" i="2"/>
  <c r="D2558" i="2"/>
  <c r="E2558" i="2"/>
  <c r="D2550" i="2"/>
  <c r="E2550" i="2"/>
  <c r="D2542" i="2"/>
  <c r="E2542" i="2"/>
  <c r="D2534" i="2"/>
  <c r="E2534" i="2"/>
  <c r="D2526" i="2"/>
  <c r="E2526" i="2"/>
  <c r="D2518" i="2"/>
  <c r="E2518" i="2"/>
  <c r="D2510" i="2"/>
  <c r="E2510" i="2"/>
  <c r="D2502" i="2"/>
  <c r="E2502" i="2"/>
  <c r="D2494" i="2"/>
  <c r="E2494" i="2"/>
  <c r="D2486" i="2"/>
  <c r="E2486" i="2"/>
  <c r="D2478" i="2"/>
  <c r="E2478" i="2"/>
  <c r="D2470" i="2"/>
  <c r="E2470" i="2"/>
  <c r="D2462" i="2"/>
  <c r="E2462" i="2"/>
  <c r="D2454" i="2"/>
  <c r="E2454" i="2"/>
  <c r="D2446" i="2"/>
  <c r="E2446" i="2"/>
  <c r="D2438" i="2"/>
  <c r="E2438" i="2"/>
  <c r="D2430" i="2"/>
  <c r="E2430" i="2"/>
  <c r="D2422" i="2"/>
  <c r="E2422" i="2"/>
  <c r="D2414" i="2"/>
  <c r="E2414" i="2"/>
  <c r="D2406" i="2"/>
  <c r="E2406" i="2"/>
  <c r="D2398" i="2"/>
  <c r="E2398" i="2"/>
  <c r="D2390" i="2"/>
  <c r="E2390" i="2"/>
  <c r="D2382" i="2"/>
  <c r="E2382" i="2"/>
  <c r="D2374" i="2"/>
  <c r="E2374" i="2"/>
  <c r="D2366" i="2"/>
  <c r="E2366" i="2"/>
  <c r="D2358" i="2"/>
  <c r="E2358" i="2"/>
  <c r="D2350" i="2"/>
  <c r="E2350" i="2"/>
  <c r="D2342" i="2"/>
  <c r="E2342" i="2"/>
  <c r="D2334" i="2"/>
  <c r="E2334" i="2"/>
  <c r="D2326" i="2"/>
  <c r="E2326" i="2"/>
  <c r="D2318" i="2"/>
  <c r="E2318" i="2"/>
  <c r="D2310" i="2"/>
  <c r="E2310" i="2"/>
  <c r="D2302" i="2"/>
  <c r="E2302" i="2"/>
  <c r="D2294" i="2"/>
  <c r="E2294" i="2"/>
  <c r="D2286" i="2"/>
  <c r="E2286" i="2"/>
  <c r="D2278" i="2"/>
  <c r="E2278" i="2"/>
  <c r="D2270" i="2"/>
  <c r="E2270" i="2"/>
  <c r="D2262" i="2"/>
  <c r="E2262" i="2"/>
  <c r="D2254" i="2"/>
  <c r="E2254" i="2"/>
  <c r="D2246" i="2"/>
  <c r="E2246" i="2"/>
  <c r="D2238" i="2"/>
  <c r="E2238" i="2"/>
  <c r="D2230" i="2"/>
  <c r="E2230" i="2"/>
  <c r="D2222" i="2"/>
  <c r="E2222" i="2"/>
  <c r="D2214" i="2"/>
  <c r="E2214" i="2"/>
  <c r="D2206" i="2"/>
  <c r="E2206" i="2"/>
  <c r="D2198" i="2"/>
  <c r="E2198" i="2"/>
  <c r="D2190" i="2"/>
  <c r="E2190" i="2"/>
  <c r="D2182" i="2"/>
  <c r="E2182" i="2"/>
  <c r="D2174" i="2"/>
  <c r="E2174" i="2"/>
  <c r="D2166" i="2"/>
  <c r="E2166" i="2"/>
  <c r="D2158" i="2"/>
  <c r="E2158" i="2"/>
  <c r="D2150" i="2"/>
  <c r="E2150" i="2"/>
  <c r="D2142" i="2"/>
  <c r="E2142" i="2"/>
  <c r="D2134" i="2"/>
  <c r="E2134" i="2"/>
  <c r="D2126" i="2"/>
  <c r="E2126" i="2"/>
  <c r="D2118" i="2"/>
  <c r="E2118" i="2"/>
  <c r="D2110" i="2"/>
  <c r="E2110" i="2"/>
  <c r="D2102" i="2"/>
  <c r="E2102" i="2"/>
  <c r="D2094" i="2"/>
  <c r="E2094" i="2"/>
  <c r="D2086" i="2"/>
  <c r="E2086" i="2"/>
  <c r="D2078" i="2"/>
  <c r="E2078" i="2"/>
  <c r="D2070" i="2"/>
  <c r="E2070" i="2"/>
  <c r="D2062" i="2"/>
  <c r="E2062" i="2"/>
  <c r="D2054" i="2"/>
  <c r="E2054" i="2"/>
  <c r="D2046" i="2"/>
  <c r="E2046" i="2"/>
  <c r="D2038" i="2"/>
  <c r="E2038" i="2"/>
  <c r="D2030" i="2"/>
  <c r="E2030" i="2"/>
  <c r="D2022" i="2"/>
  <c r="E2022" i="2"/>
  <c r="D2014" i="2"/>
  <c r="E2014" i="2"/>
  <c r="D2006" i="2"/>
  <c r="E2006" i="2"/>
  <c r="D1998" i="2"/>
  <c r="E1998" i="2"/>
  <c r="D1990" i="2"/>
  <c r="E1990" i="2"/>
  <c r="D1982" i="2"/>
  <c r="E1982" i="2"/>
  <c r="D1974" i="2"/>
  <c r="E1974" i="2"/>
  <c r="D1966" i="2"/>
  <c r="E1966" i="2"/>
  <c r="D1958" i="2"/>
  <c r="E1958" i="2"/>
  <c r="D1950" i="2"/>
  <c r="E1950" i="2"/>
  <c r="D1942" i="2"/>
  <c r="E1942" i="2"/>
  <c r="D1934" i="2"/>
  <c r="E1934" i="2"/>
  <c r="D1926" i="2"/>
  <c r="E1926" i="2"/>
  <c r="D1918" i="2"/>
  <c r="E1918" i="2"/>
  <c r="D1910" i="2"/>
  <c r="E1910" i="2"/>
  <c r="D1894" i="2"/>
  <c r="E1894" i="2"/>
  <c r="D1886" i="2"/>
  <c r="E1886" i="2"/>
  <c r="D1878" i="2"/>
  <c r="E1878" i="2"/>
  <c r="D1870" i="2"/>
  <c r="E1870" i="2"/>
  <c r="D1862" i="2"/>
  <c r="E1862" i="2"/>
  <c r="D1846" i="2"/>
  <c r="E1846" i="2"/>
  <c r="D1838" i="2"/>
  <c r="E1838" i="2"/>
  <c r="D1830" i="2"/>
  <c r="E1830" i="2"/>
  <c r="D1822" i="2"/>
  <c r="E1822" i="2"/>
  <c r="D1814" i="2"/>
  <c r="E1814" i="2"/>
  <c r="D1806" i="2"/>
  <c r="E1806" i="2"/>
  <c r="D1798" i="2"/>
  <c r="E1798" i="2"/>
  <c r="D1782" i="2"/>
  <c r="E1782" i="2"/>
  <c r="D1774" i="2"/>
  <c r="E1774" i="2"/>
  <c r="D1766" i="2"/>
  <c r="E1766" i="2"/>
  <c r="D1758" i="2"/>
  <c r="E1758" i="2"/>
  <c r="D1750" i="2"/>
  <c r="E1750" i="2"/>
  <c r="D1742" i="2"/>
  <c r="E1742" i="2"/>
  <c r="D1734" i="2"/>
  <c r="E1734" i="2"/>
  <c r="D1718" i="2"/>
  <c r="E1718" i="2"/>
  <c r="D1710" i="2"/>
  <c r="E1710" i="2"/>
  <c r="D1702" i="2"/>
  <c r="E1702" i="2"/>
  <c r="D1694" i="2"/>
  <c r="E1694" i="2"/>
  <c r="D1686" i="2"/>
  <c r="E1686" i="2"/>
  <c r="D1678" i="2"/>
  <c r="E1678" i="2"/>
  <c r="D1670" i="2"/>
  <c r="E1670" i="2"/>
  <c r="D1654" i="2"/>
  <c r="E1654" i="2"/>
  <c r="D1646" i="2"/>
  <c r="E1646" i="2"/>
  <c r="D1638" i="2"/>
  <c r="E1638" i="2"/>
  <c r="D1630" i="2"/>
  <c r="E1630" i="2"/>
  <c r="D1622" i="2"/>
  <c r="E1622" i="2"/>
  <c r="D1614" i="2"/>
  <c r="E1614" i="2"/>
  <c r="D1606" i="2"/>
  <c r="E1606" i="2"/>
  <c r="D1590" i="2"/>
  <c r="E1590" i="2"/>
  <c r="D1582" i="2"/>
  <c r="E1582" i="2"/>
  <c r="D1574" i="2"/>
  <c r="E1574" i="2"/>
  <c r="D1566" i="2"/>
  <c r="E1566" i="2"/>
  <c r="D1558" i="2"/>
  <c r="E1558" i="2"/>
  <c r="D1550" i="2"/>
  <c r="E1550" i="2"/>
  <c r="D1542" i="2"/>
  <c r="E1542" i="2"/>
  <c r="D1526" i="2"/>
  <c r="E1526" i="2"/>
  <c r="D1518" i="2"/>
  <c r="E1518" i="2"/>
  <c r="D1510" i="2"/>
  <c r="E1510" i="2"/>
  <c r="D1502" i="2"/>
  <c r="E1502" i="2"/>
  <c r="D1494" i="2"/>
  <c r="E1494" i="2"/>
  <c r="D1486" i="2"/>
  <c r="E1486" i="2"/>
  <c r="D1478" i="2"/>
  <c r="E1478" i="2"/>
  <c r="D1462" i="2"/>
  <c r="E1462" i="2"/>
  <c r="D1454" i="2"/>
  <c r="E1454" i="2"/>
  <c r="D1446" i="2"/>
  <c r="E1446" i="2"/>
  <c r="D1438" i="2"/>
  <c r="E1438" i="2"/>
  <c r="D1430" i="2"/>
  <c r="E1430" i="2"/>
  <c r="D1422" i="2"/>
  <c r="E1422" i="2"/>
  <c r="D1414" i="2"/>
  <c r="E1414" i="2"/>
  <c r="D1398" i="2"/>
  <c r="E1398" i="2"/>
  <c r="D1390" i="2"/>
  <c r="E1390" i="2"/>
  <c r="D1382" i="2"/>
  <c r="E1382" i="2"/>
  <c r="D1374" i="2"/>
  <c r="E1374" i="2"/>
  <c r="D1366" i="2"/>
  <c r="E1366" i="2"/>
  <c r="D1358" i="2"/>
  <c r="E1358" i="2"/>
  <c r="D1350" i="2"/>
  <c r="E1350" i="2"/>
  <c r="D1334" i="2"/>
  <c r="E1334" i="2"/>
  <c r="D1326" i="2"/>
  <c r="E1326" i="2"/>
  <c r="D1318" i="2"/>
  <c r="E1318" i="2"/>
  <c r="D1310" i="2"/>
  <c r="E1310" i="2"/>
  <c r="D1302" i="2"/>
  <c r="E1302" i="2"/>
  <c r="D1294" i="2"/>
  <c r="E1294" i="2"/>
  <c r="D1286" i="2"/>
  <c r="E1286" i="2"/>
  <c r="D1270" i="2"/>
  <c r="E1270" i="2"/>
  <c r="D1262" i="2"/>
  <c r="E1262" i="2"/>
  <c r="D1254" i="2"/>
  <c r="E1254" i="2"/>
  <c r="D1246" i="2"/>
  <c r="E1246" i="2"/>
  <c r="D1238" i="2"/>
  <c r="E1238" i="2"/>
  <c r="D1230" i="2"/>
  <c r="E1230" i="2"/>
  <c r="D1222" i="2"/>
  <c r="E1222" i="2"/>
  <c r="D1206" i="2"/>
  <c r="E1206" i="2"/>
  <c r="D1198" i="2"/>
  <c r="E1198" i="2"/>
  <c r="D1190" i="2"/>
  <c r="E1190" i="2"/>
  <c r="D1182" i="2"/>
  <c r="E1182" i="2"/>
  <c r="D1174" i="2"/>
  <c r="E1174" i="2"/>
  <c r="D1166" i="2"/>
  <c r="E1166" i="2"/>
  <c r="D1158" i="2"/>
  <c r="E1158" i="2"/>
  <c r="D1142" i="2"/>
  <c r="E1142" i="2"/>
  <c r="D1134" i="2"/>
  <c r="E1134" i="2"/>
  <c r="D1126" i="2"/>
  <c r="E1126" i="2"/>
  <c r="D1118" i="2"/>
  <c r="E1118" i="2"/>
  <c r="D1110" i="2"/>
  <c r="E1110" i="2"/>
  <c r="D1102" i="2"/>
  <c r="E1102" i="2"/>
  <c r="D1094" i="2"/>
  <c r="E1094" i="2"/>
  <c r="D1078" i="2"/>
  <c r="E1078" i="2"/>
  <c r="D1070" i="2"/>
  <c r="E1070" i="2"/>
  <c r="D1062" i="2"/>
  <c r="E1062" i="2"/>
  <c r="D1054" i="2"/>
  <c r="E1054" i="2"/>
  <c r="D1046" i="2"/>
  <c r="E1046" i="2"/>
  <c r="D1038" i="2"/>
  <c r="E1038" i="2"/>
  <c r="D1030" i="2"/>
  <c r="E1030" i="2"/>
  <c r="D1014" i="2"/>
  <c r="E1014" i="2"/>
  <c r="D1006" i="2"/>
  <c r="E1006" i="2"/>
  <c r="D998" i="2"/>
  <c r="E998" i="2"/>
  <c r="D990" i="2"/>
  <c r="E990" i="2"/>
  <c r="D982" i="2"/>
  <c r="E982" i="2"/>
  <c r="D974" i="2"/>
  <c r="E974" i="2"/>
  <c r="D966" i="2"/>
  <c r="E966" i="2"/>
  <c r="D950" i="2"/>
  <c r="E950" i="2"/>
  <c r="D942" i="2"/>
  <c r="E942" i="2"/>
  <c r="D934" i="2"/>
  <c r="E934" i="2"/>
  <c r="D926" i="2"/>
  <c r="E926" i="2"/>
  <c r="D918" i="2"/>
  <c r="E918" i="2"/>
  <c r="D910" i="2"/>
  <c r="E910" i="2"/>
  <c r="D902" i="2"/>
  <c r="E902" i="2"/>
  <c r="D886" i="2"/>
  <c r="E886" i="2"/>
  <c r="D878" i="2"/>
  <c r="E878" i="2"/>
  <c r="D870" i="2"/>
  <c r="E870" i="2"/>
  <c r="D862" i="2"/>
  <c r="E862" i="2"/>
  <c r="D854" i="2"/>
  <c r="E854" i="2"/>
  <c r="D846" i="2"/>
  <c r="E846" i="2"/>
  <c r="D838" i="2"/>
  <c r="E838" i="2"/>
  <c r="D822" i="2"/>
  <c r="E822" i="2"/>
  <c r="D814" i="2"/>
  <c r="E814" i="2"/>
  <c r="D798" i="2"/>
  <c r="E798" i="2"/>
  <c r="D790" i="2"/>
  <c r="E790" i="2"/>
  <c r="D782" i="2"/>
  <c r="E782" i="2"/>
  <c r="D766" i="2"/>
  <c r="E766" i="2"/>
  <c r="D758" i="2"/>
  <c r="E758" i="2"/>
  <c r="D750" i="2"/>
  <c r="E750" i="2"/>
  <c r="D734" i="2"/>
  <c r="E734" i="2"/>
  <c r="D726" i="2"/>
  <c r="E726" i="2"/>
  <c r="D718" i="2"/>
  <c r="E718" i="2"/>
  <c r="D702" i="2"/>
  <c r="E702" i="2"/>
  <c r="D694" i="2"/>
  <c r="E694" i="2"/>
  <c r="D686" i="2"/>
  <c r="E686" i="2"/>
  <c r="D670" i="2"/>
  <c r="E670" i="2"/>
  <c r="D662" i="2"/>
  <c r="E662" i="2"/>
  <c r="D654" i="2"/>
  <c r="E654" i="2"/>
  <c r="D638" i="2"/>
  <c r="E638" i="2"/>
  <c r="D630" i="2"/>
  <c r="E630" i="2"/>
  <c r="D622" i="2"/>
  <c r="E622" i="2"/>
  <c r="D606" i="2"/>
  <c r="E606" i="2"/>
  <c r="D598" i="2"/>
  <c r="E598" i="2"/>
  <c r="D590" i="2"/>
  <c r="E590" i="2"/>
  <c r="D574" i="2"/>
  <c r="E574" i="2"/>
  <c r="D566" i="2"/>
  <c r="E566" i="2"/>
  <c r="D558" i="2"/>
  <c r="E558" i="2"/>
  <c r="D542" i="2"/>
  <c r="E542" i="2"/>
  <c r="D534" i="2"/>
  <c r="E534" i="2"/>
  <c r="D526" i="2"/>
  <c r="E526" i="2"/>
  <c r="D510" i="2"/>
  <c r="E510" i="2"/>
  <c r="D502" i="2"/>
  <c r="E502" i="2"/>
  <c r="D494" i="2"/>
  <c r="E494" i="2"/>
  <c r="D478" i="2"/>
  <c r="E478" i="2"/>
  <c r="D470" i="2"/>
  <c r="E470" i="2"/>
  <c r="D462" i="2"/>
  <c r="E462" i="2"/>
  <c r="D446" i="2"/>
  <c r="E446" i="2"/>
  <c r="D438" i="2"/>
  <c r="E438" i="2"/>
  <c r="D430" i="2"/>
  <c r="E430" i="2"/>
  <c r="D414" i="2"/>
  <c r="E414" i="2"/>
  <c r="D406" i="2"/>
  <c r="E406" i="2"/>
  <c r="D398" i="2"/>
  <c r="E398" i="2"/>
  <c r="D382" i="2"/>
  <c r="E382" i="2"/>
  <c r="D374" i="2"/>
  <c r="E374" i="2"/>
  <c r="D366" i="2"/>
  <c r="E366" i="2"/>
  <c r="D350" i="2"/>
  <c r="E350" i="2"/>
  <c r="D342" i="2"/>
  <c r="E342" i="2"/>
  <c r="D334" i="2"/>
  <c r="E334" i="2"/>
  <c r="D318" i="2"/>
  <c r="E318" i="2"/>
  <c r="D310" i="2"/>
  <c r="E310" i="2"/>
  <c r="D302" i="2"/>
  <c r="E302" i="2"/>
  <c r="D286" i="2"/>
  <c r="E286" i="2"/>
  <c r="D278" i="2"/>
  <c r="E278" i="2"/>
  <c r="D270" i="2"/>
  <c r="E270" i="2"/>
  <c r="D254" i="2"/>
  <c r="E254" i="2"/>
  <c r="D246" i="2"/>
  <c r="E246" i="2"/>
  <c r="D238" i="2"/>
  <c r="E238" i="2"/>
  <c r="E222" i="2"/>
  <c r="D222" i="2"/>
  <c r="E214" i="2"/>
  <c r="D214" i="2"/>
  <c r="E206" i="2"/>
  <c r="D206" i="2"/>
  <c r="E190" i="2"/>
  <c r="D190" i="2"/>
  <c r="E182" i="2"/>
  <c r="D182" i="2"/>
  <c r="E174" i="2"/>
  <c r="D174" i="2"/>
  <c r="E158" i="2"/>
  <c r="D158" i="2"/>
  <c r="E150" i="2"/>
  <c r="D150" i="2"/>
  <c r="E142" i="2"/>
  <c r="D142" i="2"/>
  <c r="E126" i="2"/>
  <c r="D126" i="2"/>
  <c r="E118" i="2"/>
  <c r="D118" i="2"/>
  <c r="E3670" i="2"/>
  <c r="D3045" i="2"/>
  <c r="D110" i="2"/>
  <c r="E110" i="2"/>
  <c r="D86" i="2"/>
  <c r="E86" i="2"/>
  <c r="D62" i="2"/>
  <c r="E62" i="2"/>
  <c r="D46" i="2"/>
  <c r="E46" i="2"/>
  <c r="D14" i="2"/>
  <c r="E14" i="2"/>
  <c r="D109" i="2"/>
  <c r="E109" i="2"/>
  <c r="D101" i="2"/>
  <c r="E101" i="2"/>
  <c r="D93" i="2"/>
  <c r="E93" i="2"/>
  <c r="D85" i="2"/>
  <c r="E85" i="2"/>
  <c r="D77" i="2"/>
  <c r="E77" i="2"/>
  <c r="D69" i="2"/>
  <c r="E69" i="2"/>
  <c r="D61" i="2"/>
  <c r="E61" i="2"/>
  <c r="D53" i="2"/>
  <c r="E53" i="2"/>
  <c r="D45" i="2"/>
  <c r="E45" i="2"/>
  <c r="D37" i="2"/>
  <c r="E37" i="2"/>
  <c r="D94" i="2"/>
  <c r="E94" i="2"/>
  <c r="D70" i="2"/>
  <c r="E70" i="2"/>
  <c r="D38" i="2"/>
  <c r="E38" i="2"/>
  <c r="D6" i="2"/>
  <c r="E6" i="2"/>
  <c r="D108" i="2"/>
  <c r="E108" i="2"/>
  <c r="D100" i="2"/>
  <c r="E100" i="2"/>
  <c r="D92" i="2"/>
  <c r="E92" i="2"/>
  <c r="D84" i="2"/>
  <c r="E84" i="2"/>
  <c r="D76" i="2"/>
  <c r="E76" i="2"/>
  <c r="D68" i="2"/>
  <c r="E68" i="2"/>
  <c r="D60" i="2"/>
  <c r="E60" i="2"/>
  <c r="D52" i="2"/>
  <c r="E52" i="2"/>
  <c r="D44" i="2"/>
  <c r="E44" i="2"/>
  <c r="D36" i="2"/>
  <c r="E36" i="2"/>
  <c r="D102" i="2"/>
  <c r="E102" i="2"/>
  <c r="D78" i="2"/>
  <c r="E78" i="2"/>
  <c r="D54" i="2"/>
  <c r="E54" i="2"/>
  <c r="D30" i="2"/>
  <c r="E30" i="2"/>
  <c r="D22" i="2"/>
  <c r="E22" i="2"/>
  <c r="D107" i="2"/>
  <c r="E107" i="2"/>
  <c r="D99" i="2"/>
  <c r="E99" i="2"/>
  <c r="D91" i="2"/>
  <c r="E91" i="2"/>
  <c r="D83" i="2"/>
  <c r="E83" i="2"/>
  <c r="D75" i="2"/>
  <c r="E75" i="2"/>
  <c r="D67" i="2"/>
  <c r="E67" i="2"/>
  <c r="D59" i="2"/>
  <c r="E59" i="2"/>
  <c r="D51" i="2"/>
  <c r="E51" i="2"/>
  <c r="D43" i="2"/>
  <c r="E43" i="2"/>
  <c r="D35" i="2"/>
  <c r="E35" i="2"/>
  <c r="D27" i="2"/>
  <c r="E27" i="2"/>
  <c r="D19" i="2"/>
  <c r="E19" i="2"/>
  <c r="D11" i="2"/>
  <c r="E11" i="2"/>
  <c r="D3" i="2"/>
  <c r="E3" i="2"/>
  <c r="D106" i="2"/>
  <c r="E106" i="2"/>
  <c r="D98" i="2"/>
  <c r="E98" i="2"/>
  <c r="D90" i="2"/>
  <c r="E90" i="2"/>
  <c r="D82" i="2"/>
  <c r="E82" i="2"/>
  <c r="D74" i="2"/>
  <c r="E74" i="2"/>
  <c r="D66" i="2"/>
  <c r="E66" i="2"/>
  <c r="D58" i="2"/>
  <c r="E58" i="2"/>
  <c r="D50" i="2"/>
  <c r="E50" i="2"/>
  <c r="D42" i="2"/>
  <c r="E42" i="2"/>
  <c r="D34" i="2"/>
  <c r="E34" i="2"/>
  <c r="D26" i="2"/>
  <c r="E26" i="2"/>
  <c r="D18" i="2"/>
  <c r="E18" i="2"/>
  <c r="D10" i="2"/>
  <c r="E10" i="2"/>
  <c r="D113" i="2"/>
  <c r="E113" i="2"/>
  <c r="D105" i="2"/>
  <c r="E105" i="2"/>
  <c r="D97" i="2"/>
  <c r="E97" i="2"/>
  <c r="D89" i="2"/>
  <c r="E89" i="2"/>
  <c r="D81" i="2"/>
  <c r="E81" i="2"/>
  <c r="D73" i="2"/>
  <c r="E73" i="2"/>
  <c r="D65" i="2"/>
  <c r="E65" i="2"/>
  <c r="D57" i="2"/>
  <c r="E57" i="2"/>
  <c r="D49" i="2"/>
  <c r="E49" i="2"/>
  <c r="D41" i="2"/>
  <c r="E41" i="2"/>
  <c r="D33" i="2"/>
  <c r="E33" i="2"/>
  <c r="D25" i="2"/>
  <c r="E25" i="2"/>
  <c r="D17" i="2"/>
  <c r="E17" i="2"/>
  <c r="D9" i="2"/>
  <c r="E9" i="2"/>
  <c r="D112" i="2"/>
  <c r="E112" i="2"/>
  <c r="D104" i="2"/>
  <c r="E104" i="2"/>
  <c r="D96" i="2"/>
  <c r="E96" i="2"/>
  <c r="D88" i="2"/>
  <c r="E88" i="2"/>
  <c r="D80" i="2"/>
  <c r="E80" i="2"/>
  <c r="D72" i="2"/>
  <c r="E72" i="2"/>
  <c r="D64" i="2"/>
  <c r="E64" i="2"/>
  <c r="D56" i="2"/>
  <c r="E56" i="2"/>
  <c r="D48" i="2"/>
  <c r="E48" i="2"/>
  <c r="D40" i="2"/>
  <c r="E40" i="2"/>
  <c r="D32" i="2"/>
  <c r="E32" i="2"/>
  <c r="D24" i="2"/>
  <c r="E24" i="2"/>
  <c r="D16" i="2"/>
  <c r="E16" i="2"/>
  <c r="D8" i="2"/>
  <c r="E8" i="2"/>
  <c r="E2" i="2"/>
  <c r="D2" i="2"/>
  <c r="D111" i="2"/>
  <c r="E111" i="2"/>
  <c r="D103" i="2"/>
  <c r="E103" i="2"/>
  <c r="D95" i="2"/>
  <c r="E95" i="2"/>
  <c r="D87" i="2"/>
  <c r="E87" i="2"/>
  <c r="D79" i="2"/>
  <c r="E79" i="2"/>
  <c r="D71" i="2"/>
  <c r="E71" i="2"/>
  <c r="D63" i="2"/>
  <c r="E63" i="2"/>
  <c r="D55" i="2"/>
  <c r="E55" i="2"/>
  <c r="D47" i="2"/>
  <c r="E47" i="2"/>
  <c r="D39" i="2"/>
  <c r="E39" i="2"/>
  <c r="D31" i="2"/>
  <c r="E31" i="2"/>
  <c r="D23" i="2"/>
  <c r="E23" i="2"/>
  <c r="D15" i="2"/>
  <c r="E15" i="2"/>
  <c r="D7" i="2"/>
  <c r="E7" i="2"/>
  <c r="E29" i="2"/>
  <c r="E21" i="2"/>
  <c r="E13" i="2"/>
  <c r="E5" i="2"/>
  <c r="E28" i="2"/>
  <c r="E12" i="2"/>
  <c r="E4" i="2"/>
  <c r="E20" i="2" l="1"/>
  <c r="L9" i="2" l="1"/>
  <c r="L12" i="2"/>
  <c r="L17" i="2"/>
  <c r="L20" i="2"/>
  <c r="L25" i="2"/>
  <c r="L28" i="2"/>
  <c r="L33" i="2"/>
  <c r="L36" i="2"/>
  <c r="L41" i="2"/>
  <c r="L49" i="2"/>
  <c r="L57" i="2"/>
  <c r="L65" i="2"/>
  <c r="L73" i="2"/>
  <c r="L81" i="2"/>
  <c r="L89" i="2"/>
  <c r="L92" i="2"/>
  <c r="L97" i="2"/>
  <c r="L105" i="2"/>
  <c r="L113" i="2"/>
  <c r="L116" i="2"/>
  <c r="L121" i="2"/>
  <c r="L124" i="2"/>
  <c r="L129" i="2"/>
  <c r="L156" i="2"/>
  <c r="L172" i="2"/>
  <c r="L180" i="2"/>
  <c r="L188" i="2"/>
  <c r="L236" i="2"/>
  <c r="L244" i="2"/>
  <c r="L252" i="2"/>
  <c r="L308" i="2"/>
  <c r="L316" i="2"/>
  <c r="L356" i="2"/>
  <c r="L372" i="2"/>
  <c r="L380" i="2"/>
  <c r="L5" i="2"/>
  <c r="L6" i="2"/>
  <c r="L7" i="2"/>
  <c r="L8" i="2"/>
  <c r="L10" i="2"/>
  <c r="L11" i="2"/>
  <c r="L13" i="2"/>
  <c r="L14" i="2"/>
  <c r="L15" i="2"/>
  <c r="L16" i="2"/>
  <c r="L18" i="2"/>
  <c r="L19" i="2"/>
  <c r="L21" i="2"/>
  <c r="L22" i="2"/>
  <c r="L23" i="2"/>
  <c r="L24" i="2"/>
  <c r="L26" i="2"/>
  <c r="L27" i="2"/>
  <c r="L29" i="2"/>
  <c r="L30" i="2"/>
  <c r="L31" i="2"/>
  <c r="L32" i="2"/>
  <c r="L34" i="2"/>
  <c r="L35" i="2"/>
  <c r="L37" i="2"/>
  <c r="L38" i="2"/>
  <c r="L39" i="2"/>
  <c r="L40" i="2"/>
  <c r="L42" i="2"/>
  <c r="L43" i="2"/>
  <c r="L45" i="2"/>
  <c r="L46" i="2"/>
  <c r="L47" i="2"/>
  <c r="L48" i="2"/>
  <c r="L50" i="2"/>
  <c r="L51" i="2"/>
  <c r="L53" i="2"/>
  <c r="L54" i="2"/>
  <c r="L55" i="2"/>
  <c r="L56" i="2"/>
  <c r="L58" i="2"/>
  <c r="L59" i="2"/>
  <c r="L61" i="2"/>
  <c r="L62" i="2"/>
  <c r="L63" i="2"/>
  <c r="L64" i="2"/>
  <c r="L66" i="2"/>
  <c r="L67" i="2"/>
  <c r="L69" i="2"/>
  <c r="L70" i="2"/>
  <c r="L71" i="2"/>
  <c r="L72" i="2"/>
  <c r="L74" i="2"/>
  <c r="L75" i="2"/>
  <c r="L77" i="2"/>
  <c r="L78" i="2"/>
  <c r="L79" i="2"/>
  <c r="L80" i="2"/>
  <c r="L82" i="2"/>
  <c r="L83" i="2"/>
  <c r="L85" i="2"/>
  <c r="L86" i="2"/>
  <c r="L87" i="2"/>
  <c r="L88" i="2"/>
  <c r="L90" i="2"/>
  <c r="L91" i="2"/>
  <c r="L93" i="2"/>
  <c r="L94" i="2"/>
  <c r="L95" i="2"/>
  <c r="L96" i="2"/>
  <c r="L98" i="2"/>
  <c r="L99" i="2"/>
  <c r="L101" i="2"/>
  <c r="L102" i="2"/>
  <c r="L103" i="2"/>
  <c r="L104" i="2"/>
  <c r="L106" i="2"/>
  <c r="L107" i="2"/>
  <c r="L109" i="2"/>
  <c r="L110" i="2"/>
  <c r="L111" i="2"/>
  <c r="L112" i="2"/>
  <c r="L114" i="2"/>
  <c r="L115" i="2"/>
  <c r="L117" i="2"/>
  <c r="L118" i="2"/>
  <c r="L119" i="2"/>
  <c r="L120" i="2"/>
  <c r="L122" i="2"/>
  <c r="L123" i="2"/>
  <c r="L125" i="2"/>
  <c r="L126" i="2"/>
  <c r="L127" i="2"/>
  <c r="L128" i="2"/>
  <c r="L130" i="2"/>
  <c r="L131" i="2"/>
  <c r="L132" i="2"/>
  <c r="L133" i="2"/>
  <c r="L134" i="2"/>
  <c r="L135" i="2"/>
  <c r="L136" i="2"/>
  <c r="L138" i="2"/>
  <c r="L139" i="2"/>
  <c r="L141" i="2"/>
  <c r="L142" i="2"/>
  <c r="L143" i="2"/>
  <c r="L144" i="2"/>
  <c r="L146" i="2"/>
  <c r="L147" i="2"/>
  <c r="L149" i="2"/>
  <c r="L150" i="2"/>
  <c r="L151" i="2"/>
  <c r="L152" i="2"/>
  <c r="L154" i="2"/>
  <c r="L155" i="2"/>
  <c r="L157" i="2"/>
  <c r="L158" i="2"/>
  <c r="L159" i="2"/>
  <c r="L160" i="2"/>
  <c r="L162" i="2"/>
  <c r="L163" i="2"/>
  <c r="L165" i="2"/>
  <c r="L166" i="2"/>
  <c r="L167" i="2"/>
  <c r="L168" i="2"/>
  <c r="L170" i="2"/>
  <c r="L171" i="2"/>
  <c r="L173" i="2"/>
  <c r="L174" i="2"/>
  <c r="L175" i="2"/>
  <c r="L176" i="2"/>
  <c r="L178" i="2"/>
  <c r="L179" i="2"/>
  <c r="L181" i="2"/>
  <c r="L182" i="2"/>
  <c r="L183" i="2"/>
  <c r="L184" i="2"/>
  <c r="L186" i="2"/>
  <c r="L187" i="2"/>
  <c r="L189" i="2"/>
  <c r="L190" i="2"/>
  <c r="L191" i="2"/>
  <c r="L192" i="2"/>
  <c r="L194" i="2"/>
  <c r="L195" i="2"/>
  <c r="L196" i="2"/>
  <c r="L197" i="2"/>
  <c r="L198" i="2"/>
  <c r="L199" i="2"/>
  <c r="L200" i="2"/>
  <c r="L202" i="2"/>
  <c r="L203" i="2"/>
  <c r="L205" i="2"/>
  <c r="L206" i="2"/>
  <c r="L207" i="2"/>
  <c r="L208" i="2"/>
  <c r="L210" i="2"/>
  <c r="L211" i="2"/>
  <c r="L213" i="2"/>
  <c r="L214" i="2"/>
  <c r="L215" i="2"/>
  <c r="L216" i="2"/>
  <c r="L218" i="2"/>
  <c r="L219" i="2"/>
  <c r="L221" i="2"/>
  <c r="L222" i="2"/>
  <c r="L223" i="2"/>
  <c r="L224" i="2"/>
  <c r="L226" i="2"/>
  <c r="L227" i="2"/>
  <c r="L229" i="2"/>
  <c r="L230" i="2"/>
  <c r="L231" i="2"/>
  <c r="L232" i="2"/>
  <c r="L234" i="2"/>
  <c r="L235" i="2"/>
  <c r="L237" i="2"/>
  <c r="L238" i="2"/>
  <c r="L239" i="2"/>
  <c r="L240" i="2"/>
  <c r="L242" i="2"/>
  <c r="L243" i="2"/>
  <c r="L245" i="2"/>
  <c r="L246" i="2"/>
  <c r="L247" i="2"/>
  <c r="L248" i="2"/>
  <c r="L250" i="2"/>
  <c r="L251" i="2"/>
  <c r="L253" i="2"/>
  <c r="L254" i="2"/>
  <c r="L255" i="2"/>
  <c r="L256" i="2"/>
  <c r="L258" i="2"/>
  <c r="L259" i="2"/>
  <c r="L260" i="2"/>
  <c r="L261" i="2"/>
  <c r="L262" i="2"/>
  <c r="L263" i="2"/>
  <c r="L264" i="2"/>
  <c r="L266" i="2"/>
  <c r="L267" i="2"/>
  <c r="L269" i="2"/>
  <c r="L270" i="2"/>
  <c r="L271" i="2"/>
  <c r="L272" i="2"/>
  <c r="L274" i="2"/>
  <c r="L275" i="2"/>
  <c r="L277" i="2"/>
  <c r="L278" i="2"/>
  <c r="L279" i="2"/>
  <c r="L280" i="2"/>
  <c r="L282" i="2"/>
  <c r="L283" i="2"/>
  <c r="L285" i="2"/>
  <c r="L286" i="2"/>
  <c r="L287" i="2"/>
  <c r="L288" i="2"/>
  <c r="L290" i="2"/>
  <c r="L291" i="2"/>
  <c r="L293" i="2"/>
  <c r="L294" i="2"/>
  <c r="L295" i="2"/>
  <c r="L296" i="2"/>
  <c r="L298" i="2"/>
  <c r="L299" i="2"/>
  <c r="L301" i="2"/>
  <c r="L302" i="2"/>
  <c r="L303" i="2"/>
  <c r="L304" i="2"/>
  <c r="L306" i="2"/>
  <c r="L307" i="2"/>
  <c r="L309" i="2"/>
  <c r="L310" i="2"/>
  <c r="L311" i="2"/>
  <c r="L312" i="2"/>
  <c r="L314" i="2"/>
  <c r="L315" i="2"/>
  <c r="L317" i="2"/>
  <c r="L318" i="2"/>
  <c r="L319" i="2"/>
  <c r="L320" i="2"/>
  <c r="L322" i="2"/>
  <c r="L323" i="2"/>
  <c r="L324" i="2"/>
  <c r="L325" i="2"/>
  <c r="L326" i="2"/>
  <c r="L327" i="2"/>
  <c r="L328" i="2"/>
  <c r="L330" i="2"/>
  <c r="L331" i="2"/>
  <c r="L333" i="2"/>
  <c r="L334" i="2"/>
  <c r="L335" i="2"/>
  <c r="L336" i="2"/>
  <c r="L338" i="2"/>
  <c r="L339" i="2"/>
  <c r="L341" i="2"/>
  <c r="L342" i="2"/>
  <c r="L343" i="2"/>
  <c r="L344" i="2"/>
  <c r="L346" i="2"/>
  <c r="L347" i="2"/>
  <c r="L349" i="2"/>
  <c r="L350" i="2"/>
  <c r="L351" i="2"/>
  <c r="L352" i="2"/>
  <c r="L354" i="2"/>
  <c r="L355" i="2"/>
  <c r="L357" i="2"/>
  <c r="L358" i="2"/>
  <c r="L359" i="2"/>
  <c r="L360" i="2"/>
  <c r="L362" i="2"/>
  <c r="L363" i="2"/>
  <c r="L365" i="2"/>
  <c r="L366" i="2"/>
  <c r="L367" i="2"/>
  <c r="L368" i="2"/>
  <c r="L370" i="2"/>
  <c r="L371" i="2"/>
  <c r="L373" i="2"/>
  <c r="L374" i="2"/>
  <c r="L375" i="2"/>
  <c r="L376" i="2"/>
  <c r="L378" i="2"/>
  <c r="L379" i="2"/>
  <c r="L381" i="2"/>
  <c r="L382" i="2"/>
  <c r="L383" i="2"/>
  <c r="L384" i="2"/>
  <c r="L386" i="2"/>
  <c r="L387" i="2"/>
  <c r="L389" i="2"/>
  <c r="L390" i="2"/>
  <c r="L391" i="2"/>
  <c r="L392" i="2"/>
  <c r="L394" i="2"/>
  <c r="L395" i="2"/>
  <c r="L397" i="2"/>
  <c r="L398" i="2"/>
  <c r="L399" i="2"/>
  <c r="L400" i="2"/>
  <c r="L402" i="2"/>
  <c r="L403" i="2"/>
  <c r="L405" i="2"/>
  <c r="L406" i="2"/>
  <c r="L407" i="2"/>
  <c r="L408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L348" i="2" l="1"/>
  <c r="L388" i="2"/>
  <c r="L396" i="2"/>
  <c r="L332" i="2"/>
  <c r="L268" i="2"/>
  <c r="L204" i="2"/>
  <c r="L140" i="2"/>
  <c r="L404" i="2"/>
  <c r="L340" i="2"/>
  <c r="L276" i="2"/>
  <c r="L212" i="2"/>
  <c r="L148" i="2"/>
  <c r="L284" i="2"/>
  <c r="L220" i="2"/>
  <c r="L292" i="2"/>
  <c r="L228" i="2"/>
  <c r="L164" i="2"/>
  <c r="L364" i="2"/>
  <c r="L300" i="2"/>
  <c r="L100" i="2"/>
  <c r="L108" i="2"/>
  <c r="L44" i="2"/>
  <c r="L52" i="2"/>
  <c r="L60" i="2"/>
  <c r="L68" i="2"/>
  <c r="L76" i="2"/>
  <c r="L84" i="2"/>
  <c r="L409" i="2"/>
  <c r="L401" i="2"/>
  <c r="L393" i="2"/>
  <c r="L385" i="2"/>
  <c r="L377" i="2"/>
  <c r="L369" i="2"/>
  <c r="L361" i="2"/>
  <c r="L353" i="2"/>
  <c r="L345" i="2"/>
  <c r="L337" i="2"/>
  <c r="L329" i="2"/>
  <c r="L321" i="2"/>
  <c r="L313" i="2"/>
  <c r="L305" i="2"/>
  <c r="L297" i="2"/>
  <c r="L289" i="2"/>
  <c r="L281" i="2"/>
  <c r="L273" i="2"/>
  <c r="L265" i="2"/>
  <c r="L257" i="2"/>
  <c r="L249" i="2"/>
  <c r="L241" i="2"/>
  <c r="L233" i="2"/>
  <c r="L225" i="2"/>
  <c r="L217" i="2"/>
  <c r="L209" i="2"/>
  <c r="L201" i="2"/>
  <c r="L193" i="2"/>
  <c r="L185" i="2"/>
  <c r="L177" i="2"/>
  <c r="L169" i="2"/>
  <c r="L161" i="2"/>
  <c r="L153" i="2"/>
  <c r="L145" i="2"/>
  <c r="L137" i="2"/>
  <c r="L4" i="2"/>
  <c r="A3996" i="2"/>
  <c r="A3997" i="2"/>
  <c r="A3998" i="2"/>
  <c r="A3999" i="2"/>
  <c r="A4000" i="2"/>
  <c r="A4001" i="2"/>
  <c r="A4002" i="2"/>
  <c r="A4003" i="2"/>
  <c r="A4004" i="2"/>
  <c r="A4005" i="2"/>
  <c r="A4006" i="2"/>
  <c r="L3" i="2" l="1"/>
  <c r="B2" i="2"/>
  <c r="C2" i="2" s="1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F4001" i="2" l="1"/>
  <c r="G4001" i="2" s="1"/>
  <c r="F4000" i="2"/>
  <c r="G4000" i="2" s="1"/>
  <c r="F4007" i="2"/>
  <c r="G4007" i="2" s="1"/>
  <c r="F3999" i="2"/>
  <c r="G3999" i="2" s="1"/>
  <c r="F4006" i="2"/>
  <c r="G4006" i="2" s="1"/>
  <c r="F3998" i="2"/>
  <c r="G3998" i="2" s="1"/>
  <c r="F4005" i="2"/>
  <c r="G4005" i="2" s="1"/>
  <c r="F3997" i="2"/>
  <c r="G3997" i="2" s="1"/>
  <c r="F4004" i="2"/>
  <c r="G4004" i="2" s="1"/>
  <c r="F3996" i="2"/>
  <c r="G3996" i="2" s="1"/>
  <c r="F4003" i="2"/>
  <c r="G4003" i="2" s="1"/>
  <c r="F4002" i="2"/>
  <c r="G4002" i="2" s="1"/>
  <c r="A3207" i="2"/>
  <c r="B3207" i="2"/>
  <c r="C3207" i="2" s="1"/>
  <c r="F3207" i="2" s="1"/>
  <c r="G3207" i="2" s="1"/>
  <c r="E3212" i="1" s="1"/>
  <c r="A3151" i="2"/>
  <c r="B3151" i="2"/>
  <c r="C3151" i="2" s="1"/>
  <c r="F3151" i="2" s="1"/>
  <c r="G3151" i="2" s="1"/>
  <c r="E3156" i="1" s="1"/>
  <c r="A3111" i="2"/>
  <c r="B3111" i="2"/>
  <c r="C3111" i="2" s="1"/>
  <c r="F3111" i="2" s="1"/>
  <c r="G3111" i="2" s="1"/>
  <c r="E3116" i="1" s="1"/>
  <c r="A3055" i="2"/>
  <c r="B3055" i="2"/>
  <c r="C3055" i="2" s="1"/>
  <c r="F3055" i="2" s="1"/>
  <c r="G3055" i="2" s="1"/>
  <c r="E3060" i="1" s="1"/>
  <c r="A2999" i="2"/>
  <c r="B2999" i="2"/>
  <c r="C2999" i="2" s="1"/>
  <c r="F2999" i="2" s="1"/>
  <c r="G2999" i="2" s="1"/>
  <c r="E3004" i="1" s="1"/>
  <c r="A2951" i="2"/>
  <c r="B2951" i="2"/>
  <c r="C2951" i="2" s="1"/>
  <c r="F2951" i="2" s="1"/>
  <c r="G2951" i="2" s="1"/>
  <c r="E2956" i="1" s="1"/>
  <c r="A2847" i="2"/>
  <c r="B2847" i="2"/>
  <c r="C2847" i="2" s="1"/>
  <c r="F2847" i="2" s="1"/>
  <c r="G2847" i="2" s="1"/>
  <c r="E2852" i="1" s="1"/>
  <c r="A2990" i="2"/>
  <c r="B2990" i="2"/>
  <c r="C2990" i="2" s="1"/>
  <c r="F2990" i="2" s="1"/>
  <c r="G2990" i="2" s="1"/>
  <c r="E2995" i="1" s="1"/>
  <c r="A2950" i="2"/>
  <c r="B2950" i="2"/>
  <c r="C2950" i="2" s="1"/>
  <c r="F2950" i="2" s="1"/>
  <c r="G2950" i="2" s="1"/>
  <c r="E2955" i="1" s="1"/>
  <c r="A2894" i="2"/>
  <c r="B2894" i="2"/>
  <c r="C2894" i="2" s="1"/>
  <c r="F2894" i="2" s="1"/>
  <c r="G2894" i="2" s="1"/>
  <c r="E2899" i="1" s="1"/>
  <c r="A2846" i="2"/>
  <c r="B2846" i="2"/>
  <c r="C2846" i="2" s="1"/>
  <c r="F2846" i="2" s="1"/>
  <c r="G2846" i="2" s="1"/>
  <c r="E2851" i="1" s="1"/>
  <c r="A2806" i="2"/>
  <c r="B2806" i="2"/>
  <c r="C2806" i="2" s="1"/>
  <c r="F2806" i="2" s="1"/>
  <c r="G2806" i="2" s="1"/>
  <c r="E2811" i="1" s="1"/>
  <c r="A2766" i="2"/>
  <c r="B2766" i="2"/>
  <c r="C2766" i="2" s="1"/>
  <c r="F2766" i="2" s="1"/>
  <c r="G2766" i="2" s="1"/>
  <c r="E2771" i="1" s="1"/>
  <c r="A2718" i="2"/>
  <c r="B2718" i="2"/>
  <c r="C2718" i="2" s="1"/>
  <c r="F2718" i="2" s="1"/>
  <c r="G2718" i="2" s="1"/>
  <c r="E2723" i="1" s="1"/>
  <c r="A2670" i="2"/>
  <c r="B2670" i="2"/>
  <c r="C2670" i="2" s="1"/>
  <c r="F2670" i="2" s="1"/>
  <c r="G2670" i="2" s="1"/>
  <c r="E2675" i="1" s="1"/>
  <c r="A2622" i="2"/>
  <c r="B2622" i="2"/>
  <c r="C2622" i="2" s="1"/>
  <c r="F2622" i="2" s="1"/>
  <c r="G2622" i="2" s="1"/>
  <c r="E2627" i="1" s="1"/>
  <c r="A2574" i="2"/>
  <c r="B2574" i="2"/>
  <c r="C2574" i="2" s="1"/>
  <c r="F2574" i="2" s="1"/>
  <c r="G2574" i="2" s="1"/>
  <c r="E2579" i="1" s="1"/>
  <c r="A2526" i="2"/>
  <c r="B2526" i="2"/>
  <c r="C2526" i="2" s="1"/>
  <c r="F2526" i="2" s="1"/>
  <c r="G2526" i="2" s="1"/>
  <c r="E2531" i="1" s="1"/>
  <c r="A2478" i="2"/>
  <c r="B2478" i="2"/>
  <c r="C2478" i="2" s="1"/>
  <c r="F2478" i="2" s="1"/>
  <c r="G2478" i="2" s="1"/>
  <c r="E2483" i="1" s="1"/>
  <c r="A2430" i="2"/>
  <c r="B2430" i="2"/>
  <c r="C2430" i="2" s="1"/>
  <c r="F2430" i="2" s="1"/>
  <c r="G2430" i="2" s="1"/>
  <c r="E2435" i="1" s="1"/>
  <c r="A2390" i="2"/>
  <c r="B2390" i="2"/>
  <c r="C2390" i="2" s="1"/>
  <c r="F2390" i="2" s="1"/>
  <c r="G2390" i="2" s="1"/>
  <c r="E2395" i="1" s="1"/>
  <c r="A2342" i="2"/>
  <c r="B2342" i="2"/>
  <c r="C2342" i="2" s="1"/>
  <c r="F2342" i="2" s="1"/>
  <c r="G2342" i="2" s="1"/>
  <c r="E2347" i="1" s="1"/>
  <c r="A2294" i="2"/>
  <c r="B2294" i="2"/>
  <c r="C2294" i="2" s="1"/>
  <c r="F2294" i="2" s="1"/>
  <c r="G2294" i="2" s="1"/>
  <c r="E2299" i="1" s="1"/>
  <c r="A2254" i="2"/>
  <c r="B2254" i="2"/>
  <c r="C2254" i="2" s="1"/>
  <c r="F2254" i="2" s="1"/>
  <c r="G2254" i="2" s="1"/>
  <c r="E2259" i="1" s="1"/>
  <c r="A2206" i="2"/>
  <c r="B2206" i="2"/>
  <c r="C2206" i="2" s="1"/>
  <c r="F2206" i="2" s="1"/>
  <c r="G2206" i="2" s="1"/>
  <c r="E2211" i="1" s="1"/>
  <c r="A2158" i="2"/>
  <c r="B2158" i="2"/>
  <c r="C2158" i="2" s="1"/>
  <c r="F2158" i="2" s="1"/>
  <c r="G2158" i="2" s="1"/>
  <c r="E2163" i="1" s="1"/>
  <c r="A2110" i="2"/>
  <c r="B2110" i="2"/>
  <c r="C2110" i="2" s="1"/>
  <c r="F2110" i="2" s="1"/>
  <c r="G2110" i="2" s="1"/>
  <c r="E2115" i="1" s="1"/>
  <c r="A2062" i="2"/>
  <c r="B2062" i="2"/>
  <c r="C2062" i="2" s="1"/>
  <c r="F2062" i="2" s="1"/>
  <c r="G2062" i="2" s="1"/>
  <c r="E2067" i="1" s="1"/>
  <c r="A2006" i="2"/>
  <c r="B2006" i="2"/>
  <c r="C2006" i="2" s="1"/>
  <c r="F2006" i="2" s="1"/>
  <c r="G2006" i="2" s="1"/>
  <c r="E2011" i="1" s="1"/>
  <c r="A1950" i="2"/>
  <c r="B1950" i="2"/>
  <c r="C1950" i="2" s="1"/>
  <c r="F1950" i="2" s="1"/>
  <c r="G1950" i="2" s="1"/>
  <c r="E1955" i="1" s="1"/>
  <c r="A1894" i="2"/>
  <c r="B1894" i="2"/>
  <c r="C1894" i="2" s="1"/>
  <c r="F1894" i="2" s="1"/>
  <c r="G1894" i="2" s="1"/>
  <c r="E1899" i="1" s="1"/>
  <c r="A1814" i="2"/>
  <c r="B1814" i="2"/>
  <c r="C1814" i="2" s="1"/>
  <c r="F1814" i="2" s="1"/>
  <c r="G1814" i="2" s="1"/>
  <c r="E1819" i="1" s="1"/>
  <c r="A1606" i="2"/>
  <c r="B1606" i="2"/>
  <c r="C1606" i="2" s="1"/>
  <c r="F1606" i="2" s="1"/>
  <c r="G1606" i="2" s="1"/>
  <c r="E1611" i="1" s="1"/>
  <c r="A3975" i="2"/>
  <c r="B3975" i="2"/>
  <c r="C3975" i="2" s="1"/>
  <c r="F3975" i="2" s="1"/>
  <c r="G3975" i="2" s="1"/>
  <c r="E3980" i="1" s="1"/>
  <c r="A3919" i="2"/>
  <c r="B3919" i="2"/>
  <c r="C3919" i="2" s="1"/>
  <c r="F3919" i="2" s="1"/>
  <c r="G3919" i="2" s="1"/>
  <c r="E3924" i="1" s="1"/>
  <c r="A3871" i="2"/>
  <c r="B3871" i="2"/>
  <c r="C3871" i="2" s="1"/>
  <c r="F3871" i="2" s="1"/>
  <c r="G3871" i="2" s="1"/>
  <c r="E3876" i="1" s="1"/>
  <c r="A3815" i="2"/>
  <c r="B3815" i="2"/>
  <c r="C3815" i="2" s="1"/>
  <c r="F3815" i="2" s="1"/>
  <c r="G3815" i="2" s="1"/>
  <c r="E3820" i="1" s="1"/>
  <c r="A3759" i="2"/>
  <c r="B3759" i="2"/>
  <c r="C3759" i="2" s="1"/>
  <c r="F3759" i="2" s="1"/>
  <c r="G3759" i="2" s="1"/>
  <c r="E3764" i="1" s="1"/>
  <c r="A3695" i="2"/>
  <c r="B3695" i="2"/>
  <c r="C3695" i="2" s="1"/>
  <c r="F3695" i="2" s="1"/>
  <c r="G3695" i="2" s="1"/>
  <c r="E3700" i="1" s="1"/>
  <c r="A3647" i="2"/>
  <c r="B3647" i="2"/>
  <c r="C3647" i="2" s="1"/>
  <c r="F3647" i="2" s="1"/>
  <c r="G3647" i="2" s="1"/>
  <c r="E3652" i="1" s="1"/>
  <c r="A3599" i="2"/>
  <c r="B3599" i="2"/>
  <c r="C3599" i="2" s="1"/>
  <c r="F3599" i="2" s="1"/>
  <c r="G3599" i="2" s="1"/>
  <c r="E3604" i="1" s="1"/>
  <c r="A3535" i="2"/>
  <c r="B3535" i="2"/>
  <c r="C3535" i="2" s="1"/>
  <c r="F3535" i="2" s="1"/>
  <c r="G3535" i="2" s="1"/>
  <c r="E3540" i="1" s="1"/>
  <c r="A3479" i="2"/>
  <c r="B3479" i="2"/>
  <c r="C3479" i="2" s="1"/>
  <c r="F3479" i="2" s="1"/>
  <c r="G3479" i="2" s="1"/>
  <c r="E3484" i="1" s="1"/>
  <c r="A3423" i="2"/>
  <c r="B3423" i="2"/>
  <c r="C3423" i="2" s="1"/>
  <c r="F3423" i="2" s="1"/>
  <c r="G3423" i="2" s="1"/>
  <c r="E3428" i="1" s="1"/>
  <c r="A3375" i="2"/>
  <c r="B3375" i="2"/>
  <c r="C3375" i="2" s="1"/>
  <c r="F3375" i="2" s="1"/>
  <c r="G3375" i="2" s="1"/>
  <c r="E3380" i="1" s="1"/>
  <c r="A3319" i="2"/>
  <c r="B3319" i="2"/>
  <c r="C3319" i="2" s="1"/>
  <c r="F3319" i="2" s="1"/>
  <c r="G3319" i="2" s="1"/>
  <c r="E3324" i="1" s="1"/>
  <c r="A3271" i="2"/>
  <c r="B3271" i="2"/>
  <c r="C3271" i="2" s="1"/>
  <c r="F3271" i="2" s="1"/>
  <c r="G3271" i="2" s="1"/>
  <c r="E3276" i="1" s="1"/>
  <c r="A3223" i="2"/>
  <c r="B3223" i="2"/>
  <c r="C3223" i="2" s="1"/>
  <c r="F3223" i="2" s="1"/>
  <c r="G3223" i="2" s="1"/>
  <c r="E3228" i="1" s="1"/>
  <c r="A3167" i="2"/>
  <c r="B3167" i="2"/>
  <c r="C3167" i="2" s="1"/>
  <c r="F3167" i="2" s="1"/>
  <c r="G3167" i="2" s="1"/>
  <c r="E3172" i="1" s="1"/>
  <c r="A3119" i="2"/>
  <c r="B3119" i="2"/>
  <c r="C3119" i="2" s="1"/>
  <c r="F3119" i="2" s="1"/>
  <c r="G3119" i="2" s="1"/>
  <c r="E3124" i="1" s="1"/>
  <c r="A3063" i="2"/>
  <c r="B3063" i="2"/>
  <c r="C3063" i="2" s="1"/>
  <c r="F3063" i="2" s="1"/>
  <c r="G3063" i="2" s="1"/>
  <c r="E3068" i="1" s="1"/>
  <c r="A3015" i="2"/>
  <c r="B3015" i="2"/>
  <c r="C3015" i="2" s="1"/>
  <c r="F3015" i="2" s="1"/>
  <c r="G3015" i="2" s="1"/>
  <c r="E3020" i="1" s="1"/>
  <c r="A2967" i="2"/>
  <c r="B2967" i="2"/>
  <c r="C2967" i="2" s="1"/>
  <c r="F2967" i="2" s="1"/>
  <c r="G2967" i="2" s="1"/>
  <c r="E2972" i="1" s="1"/>
  <c r="A2855" i="2"/>
  <c r="B2855" i="2"/>
  <c r="C2855" i="2" s="1"/>
  <c r="F2855" i="2" s="1"/>
  <c r="G2855" i="2" s="1"/>
  <c r="E2860" i="1" s="1"/>
  <c r="A3958" i="2"/>
  <c r="B3958" i="2"/>
  <c r="C3958" i="2" s="1"/>
  <c r="F3958" i="2" s="1"/>
  <c r="G3958" i="2" s="1"/>
  <c r="E3963" i="1" s="1"/>
  <c r="A3910" i="2"/>
  <c r="B3910" i="2"/>
  <c r="C3910" i="2" s="1"/>
  <c r="F3910" i="2" s="1"/>
  <c r="G3910" i="2" s="1"/>
  <c r="E3915" i="1" s="1"/>
  <c r="A3862" i="2"/>
  <c r="B3862" i="2"/>
  <c r="C3862" i="2" s="1"/>
  <c r="F3862" i="2" s="1"/>
  <c r="G3862" i="2" s="1"/>
  <c r="E3867" i="1" s="1"/>
  <c r="A3822" i="2"/>
  <c r="B3822" i="2"/>
  <c r="C3822" i="2" s="1"/>
  <c r="F3822" i="2" s="1"/>
  <c r="G3822" i="2" s="1"/>
  <c r="E3827" i="1" s="1"/>
  <c r="A3766" i="2"/>
  <c r="B3766" i="2"/>
  <c r="C3766" i="2" s="1"/>
  <c r="F3766" i="2" s="1"/>
  <c r="G3766" i="2" s="1"/>
  <c r="E3771" i="1" s="1"/>
  <c r="A3718" i="2"/>
  <c r="B3718" i="2"/>
  <c r="C3718" i="2" s="1"/>
  <c r="F3718" i="2" s="1"/>
  <c r="G3718" i="2" s="1"/>
  <c r="E3723" i="1" s="1"/>
  <c r="A3686" i="2"/>
  <c r="B3686" i="2"/>
  <c r="C3686" i="2" s="1"/>
  <c r="F3686" i="2" s="1"/>
  <c r="G3686" i="2" s="1"/>
  <c r="E3691" i="1" s="1"/>
  <c r="A3630" i="2"/>
  <c r="B3630" i="2"/>
  <c r="C3630" i="2" s="1"/>
  <c r="F3630" i="2" s="1"/>
  <c r="G3630" i="2" s="1"/>
  <c r="E3635" i="1" s="1"/>
  <c r="A3590" i="2"/>
  <c r="B3590" i="2"/>
  <c r="C3590" i="2" s="1"/>
  <c r="F3590" i="2" s="1"/>
  <c r="G3590" i="2" s="1"/>
  <c r="E3595" i="1" s="1"/>
  <c r="A3534" i="2"/>
  <c r="B3534" i="2"/>
  <c r="C3534" i="2" s="1"/>
  <c r="F3534" i="2" s="1"/>
  <c r="G3534" i="2" s="1"/>
  <c r="E3539" i="1" s="1"/>
  <c r="A3478" i="2"/>
  <c r="B3478" i="2"/>
  <c r="C3478" i="2" s="1"/>
  <c r="F3478" i="2" s="1"/>
  <c r="G3478" i="2" s="1"/>
  <c r="E3483" i="1" s="1"/>
  <c r="A3446" i="2"/>
  <c r="B3446" i="2"/>
  <c r="C3446" i="2" s="1"/>
  <c r="F3446" i="2" s="1"/>
  <c r="G3446" i="2" s="1"/>
  <c r="E3451" i="1" s="1"/>
  <c r="A3382" i="2"/>
  <c r="B3382" i="2"/>
  <c r="C3382" i="2" s="1"/>
  <c r="F3382" i="2" s="1"/>
  <c r="G3382" i="2" s="1"/>
  <c r="E3387" i="1" s="1"/>
  <c r="A3334" i="2"/>
  <c r="B3334" i="2"/>
  <c r="C3334" i="2" s="1"/>
  <c r="F3334" i="2" s="1"/>
  <c r="G3334" i="2" s="1"/>
  <c r="E3339" i="1" s="1"/>
  <c r="A3294" i="2"/>
  <c r="B3294" i="2"/>
  <c r="C3294" i="2" s="1"/>
  <c r="F3294" i="2" s="1"/>
  <c r="G3294" i="2" s="1"/>
  <c r="E3299" i="1" s="1"/>
  <c r="A3246" i="2"/>
  <c r="B3246" i="2"/>
  <c r="C3246" i="2" s="1"/>
  <c r="F3246" i="2" s="1"/>
  <c r="G3246" i="2" s="1"/>
  <c r="E3251" i="1" s="1"/>
  <c r="A3190" i="2"/>
  <c r="B3190" i="2"/>
  <c r="C3190" i="2" s="1"/>
  <c r="F3190" i="2" s="1"/>
  <c r="G3190" i="2" s="1"/>
  <c r="E3195" i="1" s="1"/>
  <c r="A3150" i="2"/>
  <c r="B3150" i="2"/>
  <c r="C3150" i="2" s="1"/>
  <c r="F3150" i="2" s="1"/>
  <c r="G3150" i="2" s="1"/>
  <c r="E3155" i="1" s="1"/>
  <c r="A3102" i="2"/>
  <c r="B3102" i="2"/>
  <c r="C3102" i="2" s="1"/>
  <c r="F3102" i="2" s="1"/>
  <c r="G3102" i="2" s="1"/>
  <c r="E3107" i="1" s="1"/>
  <c r="A3054" i="2"/>
  <c r="B3054" i="2"/>
  <c r="C3054" i="2" s="1"/>
  <c r="F3054" i="2" s="1"/>
  <c r="G3054" i="2" s="1"/>
  <c r="E3059" i="1" s="1"/>
  <c r="A3006" i="2"/>
  <c r="B3006" i="2"/>
  <c r="C3006" i="2" s="1"/>
  <c r="F3006" i="2" s="1"/>
  <c r="G3006" i="2" s="1"/>
  <c r="E3011" i="1" s="1"/>
  <c r="A2974" i="2"/>
  <c r="B2974" i="2"/>
  <c r="C2974" i="2" s="1"/>
  <c r="F2974" i="2" s="1"/>
  <c r="G2974" i="2" s="1"/>
  <c r="E2979" i="1" s="1"/>
  <c r="A2926" i="2"/>
  <c r="B2926" i="2"/>
  <c r="C2926" i="2" s="1"/>
  <c r="F2926" i="2" s="1"/>
  <c r="G2926" i="2" s="1"/>
  <c r="E2931" i="1" s="1"/>
  <c r="A2870" i="2"/>
  <c r="B2870" i="2"/>
  <c r="C2870" i="2" s="1"/>
  <c r="F2870" i="2" s="1"/>
  <c r="G2870" i="2" s="1"/>
  <c r="E2875" i="1" s="1"/>
  <c r="A2838" i="2"/>
  <c r="B2838" i="2"/>
  <c r="C2838" i="2" s="1"/>
  <c r="F2838" i="2" s="1"/>
  <c r="G2838" i="2" s="1"/>
  <c r="E2843" i="1" s="1"/>
  <c r="A2782" i="2"/>
  <c r="B2782" i="2"/>
  <c r="C2782" i="2" s="1"/>
  <c r="F2782" i="2" s="1"/>
  <c r="G2782" i="2" s="1"/>
  <c r="E2787" i="1" s="1"/>
  <c r="A2742" i="2"/>
  <c r="B2742" i="2"/>
  <c r="C2742" i="2" s="1"/>
  <c r="F2742" i="2" s="1"/>
  <c r="G2742" i="2" s="1"/>
  <c r="E2747" i="1" s="1"/>
  <c r="A2694" i="2"/>
  <c r="B2694" i="2"/>
  <c r="C2694" i="2" s="1"/>
  <c r="F2694" i="2" s="1"/>
  <c r="G2694" i="2" s="1"/>
  <c r="E2699" i="1" s="1"/>
  <c r="A2638" i="2"/>
  <c r="B2638" i="2"/>
  <c r="C2638" i="2" s="1"/>
  <c r="F2638" i="2" s="1"/>
  <c r="G2638" i="2" s="1"/>
  <c r="E2643" i="1" s="1"/>
  <c r="A2582" i="2"/>
  <c r="B2582" i="2"/>
  <c r="C2582" i="2" s="1"/>
  <c r="F2582" i="2" s="1"/>
  <c r="G2582" i="2" s="1"/>
  <c r="E2587" i="1" s="1"/>
  <c r="A2534" i="2"/>
  <c r="B2534" i="2"/>
  <c r="C2534" i="2" s="1"/>
  <c r="F2534" i="2" s="1"/>
  <c r="G2534" i="2" s="1"/>
  <c r="E2539" i="1" s="1"/>
  <c r="A2502" i="2"/>
  <c r="B2502" i="2"/>
  <c r="C2502" i="2" s="1"/>
  <c r="F2502" i="2" s="1"/>
  <c r="G2502" i="2" s="1"/>
  <c r="E2507" i="1" s="1"/>
  <c r="A2454" i="2"/>
  <c r="B2454" i="2"/>
  <c r="C2454" i="2" s="1"/>
  <c r="F2454" i="2" s="1"/>
  <c r="G2454" i="2" s="1"/>
  <c r="E2459" i="1" s="1"/>
  <c r="A2414" i="2"/>
  <c r="B2414" i="2"/>
  <c r="C2414" i="2" s="1"/>
  <c r="F2414" i="2" s="1"/>
  <c r="G2414" i="2" s="1"/>
  <c r="E2419" i="1" s="1"/>
  <c r="A2358" i="2"/>
  <c r="B2358" i="2"/>
  <c r="C2358" i="2" s="1"/>
  <c r="F2358" i="2" s="1"/>
  <c r="G2358" i="2" s="1"/>
  <c r="E2363" i="1" s="1"/>
  <c r="A2326" i="2"/>
  <c r="B2326" i="2"/>
  <c r="C2326" i="2" s="1"/>
  <c r="F2326" i="2" s="1"/>
  <c r="G2326" i="2" s="1"/>
  <c r="E2331" i="1" s="1"/>
  <c r="A2270" i="2"/>
  <c r="B2270" i="2"/>
  <c r="C2270" i="2" s="1"/>
  <c r="F2270" i="2" s="1"/>
  <c r="G2270" i="2" s="1"/>
  <c r="E2275" i="1" s="1"/>
  <c r="A2214" i="2"/>
  <c r="B2214" i="2"/>
  <c r="C2214" i="2" s="1"/>
  <c r="F2214" i="2" s="1"/>
  <c r="G2214" i="2" s="1"/>
  <c r="E2219" i="1" s="1"/>
  <c r="A2174" i="2"/>
  <c r="B2174" i="2"/>
  <c r="C2174" i="2" s="1"/>
  <c r="F2174" i="2" s="1"/>
  <c r="G2174" i="2" s="1"/>
  <c r="E2179" i="1" s="1"/>
  <c r="A2126" i="2"/>
  <c r="B2126" i="2"/>
  <c r="C2126" i="2" s="1"/>
  <c r="F2126" i="2" s="1"/>
  <c r="G2126" i="2" s="1"/>
  <c r="E2131" i="1" s="1"/>
  <c r="A2078" i="2"/>
  <c r="B2078" i="2"/>
  <c r="C2078" i="2" s="1"/>
  <c r="F2078" i="2" s="1"/>
  <c r="G2078" i="2" s="1"/>
  <c r="E2083" i="1" s="1"/>
  <c r="A2014" i="2"/>
  <c r="B2014" i="2"/>
  <c r="C2014" i="2" s="1"/>
  <c r="F2014" i="2" s="1"/>
  <c r="G2014" i="2" s="1"/>
  <c r="E2019" i="1" s="1"/>
  <c r="A1958" i="2"/>
  <c r="B1958" i="2"/>
  <c r="C1958" i="2" s="1"/>
  <c r="F1958" i="2" s="1"/>
  <c r="G1958" i="2" s="1"/>
  <c r="E1963" i="1" s="1"/>
  <c r="A1902" i="2"/>
  <c r="B1902" i="2"/>
  <c r="C1902" i="2" s="1"/>
  <c r="F1902" i="2" s="1"/>
  <c r="G1902" i="2" s="1"/>
  <c r="E1907" i="1" s="1"/>
  <c r="A1846" i="2"/>
  <c r="B1846" i="2"/>
  <c r="C1846" i="2" s="1"/>
  <c r="F1846" i="2" s="1"/>
  <c r="G1846" i="2" s="1"/>
  <c r="E1851" i="1" s="1"/>
  <c r="A1790" i="2"/>
  <c r="B1790" i="2"/>
  <c r="C1790" i="2" s="1"/>
  <c r="F1790" i="2" s="1"/>
  <c r="G1790" i="2" s="1"/>
  <c r="E1795" i="1" s="1"/>
  <c r="A1750" i="2"/>
  <c r="B1750" i="2"/>
  <c r="C1750" i="2" s="1"/>
  <c r="F1750" i="2" s="1"/>
  <c r="G1750" i="2" s="1"/>
  <c r="E1755" i="1" s="1"/>
  <c r="A1710" i="2"/>
  <c r="B1710" i="2"/>
  <c r="C1710" i="2" s="1"/>
  <c r="F1710" i="2" s="1"/>
  <c r="G1710" i="2" s="1"/>
  <c r="E1715" i="1" s="1"/>
  <c r="A1670" i="2"/>
  <c r="B1670" i="2"/>
  <c r="C1670" i="2" s="1"/>
  <c r="F1670" i="2" s="1"/>
  <c r="G1670" i="2" s="1"/>
  <c r="E1675" i="1" s="1"/>
  <c r="A1614" i="2"/>
  <c r="B1614" i="2"/>
  <c r="C1614" i="2" s="1"/>
  <c r="F1614" i="2" s="1"/>
  <c r="G1614" i="2" s="1"/>
  <c r="E1619" i="1" s="1"/>
  <c r="A1558" i="2"/>
  <c r="B1558" i="2"/>
  <c r="C1558" i="2" s="1"/>
  <c r="F1558" i="2" s="1"/>
  <c r="G1558" i="2" s="1"/>
  <c r="E1563" i="1" s="1"/>
  <c r="A1510" i="2"/>
  <c r="B1510" i="2"/>
  <c r="C1510" i="2" s="1"/>
  <c r="F1510" i="2" s="1"/>
  <c r="G1510" i="2" s="1"/>
  <c r="E1515" i="1" s="1"/>
  <c r="A1462" i="2"/>
  <c r="B1462" i="2"/>
  <c r="C1462" i="2" s="1"/>
  <c r="F1462" i="2" s="1"/>
  <c r="G1462" i="2" s="1"/>
  <c r="E1467" i="1" s="1"/>
  <c r="A1422" i="2"/>
  <c r="B1422" i="2"/>
  <c r="C1422" i="2" s="1"/>
  <c r="F1422" i="2" s="1"/>
  <c r="G1422" i="2" s="1"/>
  <c r="E1427" i="1" s="1"/>
  <c r="A1366" i="2"/>
  <c r="B1366" i="2"/>
  <c r="C1366" i="2" s="1"/>
  <c r="F1366" i="2" s="1"/>
  <c r="G1366" i="2" s="1"/>
  <c r="E1371" i="1" s="1"/>
  <c r="A1318" i="2"/>
  <c r="B1318" i="2"/>
  <c r="C1318" i="2" s="1"/>
  <c r="F1318" i="2" s="1"/>
  <c r="G1318" i="2" s="1"/>
  <c r="E1323" i="1" s="1"/>
  <c r="A1278" i="2"/>
  <c r="B1278" i="2"/>
  <c r="C1278" i="2" s="1"/>
  <c r="F1278" i="2" s="1"/>
  <c r="G1278" i="2" s="1"/>
  <c r="E1283" i="1" s="1"/>
  <c r="A1230" i="2"/>
  <c r="B1230" i="2"/>
  <c r="C1230" i="2" s="1"/>
  <c r="F1230" i="2" s="1"/>
  <c r="G1230" i="2" s="1"/>
  <c r="E1235" i="1" s="1"/>
  <c r="A1182" i="2"/>
  <c r="B1182" i="2"/>
  <c r="C1182" i="2" s="1"/>
  <c r="F1182" i="2" s="1"/>
  <c r="G1182" i="2" s="1"/>
  <c r="E1187" i="1" s="1"/>
  <c r="A1150" i="2"/>
  <c r="B1150" i="2"/>
  <c r="C1150" i="2" s="1"/>
  <c r="F1150" i="2" s="1"/>
  <c r="G1150" i="2" s="1"/>
  <c r="E1155" i="1" s="1"/>
  <c r="A1110" i="2"/>
  <c r="B1110" i="2"/>
  <c r="C1110" i="2" s="1"/>
  <c r="F1110" i="2" s="1"/>
  <c r="G1110" i="2" s="1"/>
  <c r="E1115" i="1" s="1"/>
  <c r="A1070" i="2"/>
  <c r="B1070" i="2"/>
  <c r="C1070" i="2" s="1"/>
  <c r="F1070" i="2" s="1"/>
  <c r="G1070" i="2" s="1"/>
  <c r="E1075" i="1" s="1"/>
  <c r="A974" i="2"/>
  <c r="B974" i="2"/>
  <c r="C974" i="2" s="1"/>
  <c r="F974" i="2" s="1"/>
  <c r="G974" i="2" s="1"/>
  <c r="E979" i="1" s="1"/>
  <c r="A3991" i="2"/>
  <c r="B3991" i="2"/>
  <c r="C3991" i="2" s="1"/>
  <c r="F3991" i="2" s="1"/>
  <c r="G3991" i="2" s="1"/>
  <c r="E3996" i="1" s="1"/>
  <c r="A3935" i="2"/>
  <c r="B3935" i="2"/>
  <c r="C3935" i="2" s="1"/>
  <c r="F3935" i="2" s="1"/>
  <c r="G3935" i="2" s="1"/>
  <c r="E3940" i="1" s="1"/>
  <c r="A3879" i="2"/>
  <c r="B3879" i="2"/>
  <c r="C3879" i="2" s="1"/>
  <c r="F3879" i="2" s="1"/>
  <c r="G3879" i="2" s="1"/>
  <c r="E3884" i="1" s="1"/>
  <c r="A3831" i="2"/>
  <c r="B3831" i="2"/>
  <c r="C3831" i="2" s="1"/>
  <c r="F3831" i="2" s="1"/>
  <c r="G3831" i="2" s="1"/>
  <c r="E3836" i="1" s="1"/>
  <c r="A3775" i="2"/>
  <c r="B3775" i="2"/>
  <c r="C3775" i="2" s="1"/>
  <c r="F3775" i="2" s="1"/>
  <c r="G3775" i="2" s="1"/>
  <c r="E3780" i="1" s="1"/>
  <c r="A3719" i="2"/>
  <c r="B3719" i="2"/>
  <c r="C3719" i="2" s="1"/>
  <c r="F3719" i="2" s="1"/>
  <c r="G3719" i="2" s="1"/>
  <c r="E3724" i="1" s="1"/>
  <c r="A3663" i="2"/>
  <c r="B3663" i="2"/>
  <c r="C3663" i="2" s="1"/>
  <c r="F3663" i="2" s="1"/>
  <c r="G3663" i="2" s="1"/>
  <c r="E3668" i="1" s="1"/>
  <c r="A3607" i="2"/>
  <c r="B3607" i="2"/>
  <c r="C3607" i="2" s="1"/>
  <c r="F3607" i="2" s="1"/>
  <c r="G3607" i="2" s="1"/>
  <c r="E3612" i="1" s="1"/>
  <c r="A3551" i="2"/>
  <c r="B3551" i="2"/>
  <c r="C3551" i="2" s="1"/>
  <c r="F3551" i="2" s="1"/>
  <c r="G3551" i="2" s="1"/>
  <c r="E3556" i="1" s="1"/>
  <c r="A3511" i="2"/>
  <c r="B3511" i="2"/>
  <c r="C3511" i="2" s="1"/>
  <c r="F3511" i="2" s="1"/>
  <c r="G3511" i="2" s="1"/>
  <c r="E3516" i="1" s="1"/>
  <c r="A3447" i="2"/>
  <c r="B3447" i="2"/>
  <c r="C3447" i="2" s="1"/>
  <c r="F3447" i="2" s="1"/>
  <c r="G3447" i="2" s="1"/>
  <c r="E3452" i="1" s="1"/>
  <c r="A3399" i="2"/>
  <c r="B3399" i="2"/>
  <c r="C3399" i="2" s="1"/>
  <c r="F3399" i="2" s="1"/>
  <c r="G3399" i="2" s="1"/>
  <c r="E3404" i="1" s="1"/>
  <c r="A3343" i="2"/>
  <c r="B3343" i="2"/>
  <c r="C3343" i="2" s="1"/>
  <c r="F3343" i="2" s="1"/>
  <c r="G3343" i="2" s="1"/>
  <c r="E3348" i="1" s="1"/>
  <c r="A3279" i="2"/>
  <c r="B3279" i="2"/>
  <c r="C3279" i="2" s="1"/>
  <c r="F3279" i="2" s="1"/>
  <c r="G3279" i="2" s="1"/>
  <c r="E3284" i="1" s="1"/>
  <c r="A3231" i="2"/>
  <c r="B3231" i="2"/>
  <c r="C3231" i="2" s="1"/>
  <c r="F3231" i="2" s="1"/>
  <c r="G3231" i="2" s="1"/>
  <c r="E3236" i="1" s="1"/>
  <c r="A3183" i="2"/>
  <c r="B3183" i="2"/>
  <c r="C3183" i="2" s="1"/>
  <c r="F3183" i="2" s="1"/>
  <c r="G3183" i="2" s="1"/>
  <c r="E3188" i="1" s="1"/>
  <c r="A3135" i="2"/>
  <c r="B3135" i="2"/>
  <c r="C3135" i="2" s="1"/>
  <c r="F3135" i="2" s="1"/>
  <c r="G3135" i="2" s="1"/>
  <c r="E3140" i="1" s="1"/>
  <c r="A3087" i="2"/>
  <c r="B3087" i="2"/>
  <c r="C3087" i="2" s="1"/>
  <c r="F3087" i="2" s="1"/>
  <c r="G3087" i="2" s="1"/>
  <c r="E3092" i="1" s="1"/>
  <c r="A3031" i="2"/>
  <c r="B3031" i="2"/>
  <c r="C3031" i="2" s="1"/>
  <c r="F3031" i="2" s="1"/>
  <c r="G3031" i="2" s="1"/>
  <c r="E3036" i="1" s="1"/>
  <c r="A2991" i="2"/>
  <c r="B2991" i="2"/>
  <c r="C2991" i="2" s="1"/>
  <c r="F2991" i="2" s="1"/>
  <c r="G2991" i="2" s="1"/>
  <c r="E2996" i="1" s="1"/>
  <c r="A2823" i="2"/>
  <c r="B2823" i="2"/>
  <c r="C2823" i="2" s="1"/>
  <c r="F2823" i="2" s="1"/>
  <c r="G2823" i="2" s="1"/>
  <c r="E2828" i="1" s="1"/>
  <c r="A3942" i="2"/>
  <c r="B3942" i="2"/>
  <c r="C3942" i="2" s="1"/>
  <c r="F3942" i="2" s="1"/>
  <c r="G3942" i="2" s="1"/>
  <c r="E3947" i="1" s="1"/>
  <c r="A3894" i="2"/>
  <c r="B3894" i="2"/>
  <c r="C3894" i="2" s="1"/>
  <c r="F3894" i="2" s="1"/>
  <c r="G3894" i="2" s="1"/>
  <c r="E3899" i="1" s="1"/>
  <c r="A3846" i="2"/>
  <c r="B3846" i="2"/>
  <c r="C3846" i="2" s="1"/>
  <c r="F3846" i="2" s="1"/>
  <c r="G3846" i="2" s="1"/>
  <c r="E3851" i="1" s="1"/>
  <c r="A3798" i="2"/>
  <c r="B3798" i="2"/>
  <c r="C3798" i="2" s="1"/>
  <c r="F3798" i="2" s="1"/>
  <c r="G3798" i="2" s="1"/>
  <c r="E3803" i="1" s="1"/>
  <c r="A3750" i="2"/>
  <c r="B3750" i="2"/>
  <c r="C3750" i="2" s="1"/>
  <c r="F3750" i="2" s="1"/>
  <c r="G3750" i="2" s="1"/>
  <c r="E3755" i="1" s="1"/>
  <c r="A3702" i="2"/>
  <c r="B3702" i="2"/>
  <c r="C3702" i="2" s="1"/>
  <c r="F3702" i="2" s="1"/>
  <c r="G3702" i="2" s="1"/>
  <c r="E3707" i="1" s="1"/>
  <c r="A3654" i="2"/>
  <c r="B3654" i="2"/>
  <c r="C3654" i="2" s="1"/>
  <c r="F3654" i="2" s="1"/>
  <c r="G3654" i="2" s="1"/>
  <c r="E3659" i="1" s="1"/>
  <c r="A3606" i="2"/>
  <c r="B3606" i="2"/>
  <c r="C3606" i="2" s="1"/>
  <c r="F3606" i="2" s="1"/>
  <c r="G3606" i="2" s="1"/>
  <c r="E3611" i="1" s="1"/>
  <c r="A3558" i="2"/>
  <c r="B3558" i="2"/>
  <c r="C3558" i="2" s="1"/>
  <c r="F3558" i="2" s="1"/>
  <c r="G3558" i="2" s="1"/>
  <c r="E3563" i="1" s="1"/>
  <c r="A3510" i="2"/>
  <c r="B3510" i="2"/>
  <c r="C3510" i="2" s="1"/>
  <c r="F3510" i="2" s="1"/>
  <c r="G3510" i="2" s="1"/>
  <c r="E3515" i="1" s="1"/>
  <c r="A3462" i="2"/>
  <c r="B3462" i="2"/>
  <c r="C3462" i="2" s="1"/>
  <c r="F3462" i="2" s="1"/>
  <c r="G3462" i="2" s="1"/>
  <c r="E3467" i="1" s="1"/>
  <c r="A3422" i="2"/>
  <c r="B3422" i="2"/>
  <c r="C3422" i="2" s="1"/>
  <c r="F3422" i="2" s="1"/>
  <c r="G3422" i="2" s="1"/>
  <c r="E3427" i="1" s="1"/>
  <c r="A3366" i="2"/>
  <c r="B3366" i="2"/>
  <c r="C3366" i="2" s="1"/>
  <c r="F3366" i="2" s="1"/>
  <c r="G3366" i="2" s="1"/>
  <c r="E3371" i="1" s="1"/>
  <c r="A3318" i="2"/>
  <c r="B3318" i="2"/>
  <c r="C3318" i="2" s="1"/>
  <c r="F3318" i="2" s="1"/>
  <c r="G3318" i="2" s="1"/>
  <c r="E3323" i="1" s="1"/>
  <c r="A3278" i="2"/>
  <c r="B3278" i="2"/>
  <c r="C3278" i="2" s="1"/>
  <c r="F3278" i="2" s="1"/>
  <c r="G3278" i="2" s="1"/>
  <c r="E3283" i="1" s="1"/>
  <c r="A3230" i="2"/>
  <c r="B3230" i="2"/>
  <c r="C3230" i="2" s="1"/>
  <c r="F3230" i="2" s="1"/>
  <c r="G3230" i="2" s="1"/>
  <c r="E3235" i="1" s="1"/>
  <c r="A3166" i="2"/>
  <c r="B3166" i="2"/>
  <c r="C3166" i="2" s="1"/>
  <c r="F3166" i="2" s="1"/>
  <c r="G3166" i="2" s="1"/>
  <c r="E3171" i="1" s="1"/>
  <c r="A3118" i="2"/>
  <c r="B3118" i="2"/>
  <c r="C3118" i="2" s="1"/>
  <c r="F3118" i="2" s="1"/>
  <c r="G3118" i="2" s="1"/>
  <c r="E3123" i="1" s="1"/>
  <c r="A3070" i="2"/>
  <c r="B3070" i="2"/>
  <c r="C3070" i="2" s="1"/>
  <c r="F3070" i="2" s="1"/>
  <c r="G3070" i="2" s="1"/>
  <c r="E3075" i="1" s="1"/>
  <c r="A3030" i="2"/>
  <c r="B3030" i="2"/>
  <c r="C3030" i="2" s="1"/>
  <c r="F3030" i="2" s="1"/>
  <c r="G3030" i="2" s="1"/>
  <c r="E3035" i="1" s="1"/>
  <c r="A2982" i="2"/>
  <c r="B2982" i="2"/>
  <c r="C2982" i="2" s="1"/>
  <c r="F2982" i="2" s="1"/>
  <c r="G2982" i="2" s="1"/>
  <c r="E2987" i="1" s="1"/>
  <c r="A2942" i="2"/>
  <c r="B2942" i="2"/>
  <c r="C2942" i="2" s="1"/>
  <c r="F2942" i="2" s="1"/>
  <c r="G2942" i="2" s="1"/>
  <c r="E2947" i="1" s="1"/>
  <c r="A2910" i="2"/>
  <c r="B2910" i="2"/>
  <c r="C2910" i="2" s="1"/>
  <c r="F2910" i="2" s="1"/>
  <c r="G2910" i="2" s="1"/>
  <c r="E2915" i="1" s="1"/>
  <c r="A2862" i="2"/>
  <c r="B2862" i="2"/>
  <c r="C2862" i="2" s="1"/>
  <c r="F2862" i="2" s="1"/>
  <c r="G2862" i="2" s="1"/>
  <c r="E2867" i="1" s="1"/>
  <c r="A2822" i="2"/>
  <c r="B2822" i="2"/>
  <c r="C2822" i="2" s="1"/>
  <c r="F2822" i="2" s="1"/>
  <c r="G2822" i="2" s="1"/>
  <c r="E2827" i="1" s="1"/>
  <c r="A2774" i="2"/>
  <c r="B2774" i="2"/>
  <c r="C2774" i="2" s="1"/>
  <c r="F2774" i="2" s="1"/>
  <c r="G2774" i="2" s="1"/>
  <c r="E2779" i="1" s="1"/>
  <c r="A2726" i="2"/>
  <c r="B2726" i="2"/>
  <c r="C2726" i="2" s="1"/>
  <c r="F2726" i="2" s="1"/>
  <c r="G2726" i="2" s="1"/>
  <c r="E2731" i="1" s="1"/>
  <c r="A2686" i="2"/>
  <c r="B2686" i="2"/>
  <c r="C2686" i="2" s="1"/>
  <c r="F2686" i="2" s="1"/>
  <c r="G2686" i="2" s="1"/>
  <c r="E2691" i="1" s="1"/>
  <c r="A2646" i="2"/>
  <c r="B2646" i="2"/>
  <c r="C2646" i="2" s="1"/>
  <c r="F2646" i="2" s="1"/>
  <c r="G2646" i="2" s="1"/>
  <c r="E2651" i="1" s="1"/>
  <c r="A2598" i="2"/>
  <c r="B2598" i="2"/>
  <c r="C2598" i="2" s="1"/>
  <c r="F2598" i="2" s="1"/>
  <c r="G2598" i="2" s="1"/>
  <c r="E2603" i="1" s="1"/>
  <c r="A2550" i="2"/>
  <c r="B2550" i="2"/>
  <c r="C2550" i="2" s="1"/>
  <c r="F2550" i="2" s="1"/>
  <c r="G2550" i="2" s="1"/>
  <c r="E2555" i="1" s="1"/>
  <c r="A2510" i="2"/>
  <c r="B2510" i="2"/>
  <c r="C2510" i="2" s="1"/>
  <c r="F2510" i="2" s="1"/>
  <c r="G2510" i="2" s="1"/>
  <c r="E2515" i="1" s="1"/>
  <c r="A2462" i="2"/>
  <c r="B2462" i="2"/>
  <c r="C2462" i="2" s="1"/>
  <c r="F2462" i="2" s="1"/>
  <c r="G2462" i="2" s="1"/>
  <c r="E2467" i="1" s="1"/>
  <c r="A2422" i="2"/>
  <c r="B2422" i="2"/>
  <c r="C2422" i="2" s="1"/>
  <c r="F2422" i="2" s="1"/>
  <c r="G2422" i="2" s="1"/>
  <c r="E2427" i="1" s="1"/>
  <c r="A2398" i="2"/>
  <c r="B2398" i="2"/>
  <c r="C2398" i="2" s="1"/>
  <c r="F2398" i="2" s="1"/>
  <c r="G2398" i="2" s="1"/>
  <c r="E2403" i="1" s="1"/>
  <c r="A2350" i="2"/>
  <c r="B2350" i="2"/>
  <c r="C2350" i="2" s="1"/>
  <c r="F2350" i="2" s="1"/>
  <c r="G2350" i="2" s="1"/>
  <c r="E2355" i="1" s="1"/>
  <c r="A2310" i="2"/>
  <c r="B2310" i="2"/>
  <c r="C2310" i="2" s="1"/>
  <c r="F2310" i="2" s="1"/>
  <c r="G2310" i="2" s="1"/>
  <c r="E2315" i="1" s="1"/>
  <c r="A2262" i="2"/>
  <c r="B2262" i="2"/>
  <c r="C2262" i="2" s="1"/>
  <c r="F2262" i="2" s="1"/>
  <c r="G2262" i="2" s="1"/>
  <c r="E2267" i="1" s="1"/>
  <c r="A2230" i="2"/>
  <c r="B2230" i="2"/>
  <c r="C2230" i="2" s="1"/>
  <c r="F2230" i="2" s="1"/>
  <c r="G2230" i="2" s="1"/>
  <c r="E2235" i="1" s="1"/>
  <c r="A2190" i="2"/>
  <c r="B2190" i="2"/>
  <c r="C2190" i="2" s="1"/>
  <c r="F2190" i="2" s="1"/>
  <c r="G2190" i="2" s="1"/>
  <c r="E2195" i="1" s="1"/>
  <c r="A2142" i="2"/>
  <c r="B2142" i="2"/>
  <c r="C2142" i="2" s="1"/>
  <c r="F2142" i="2" s="1"/>
  <c r="G2142" i="2" s="1"/>
  <c r="E2147" i="1" s="1"/>
  <c r="A2094" i="2"/>
  <c r="B2094" i="2"/>
  <c r="C2094" i="2" s="1"/>
  <c r="F2094" i="2" s="1"/>
  <c r="G2094" i="2" s="1"/>
  <c r="E2099" i="1" s="1"/>
  <c r="A2046" i="2"/>
  <c r="B2046" i="2"/>
  <c r="C2046" i="2" s="1"/>
  <c r="F2046" i="2" s="1"/>
  <c r="G2046" i="2" s="1"/>
  <c r="E2051" i="1" s="1"/>
  <c r="A1982" i="2"/>
  <c r="B1982" i="2"/>
  <c r="C1982" i="2" s="1"/>
  <c r="F1982" i="2" s="1"/>
  <c r="G1982" i="2" s="1"/>
  <c r="E1987" i="1" s="1"/>
  <c r="A1926" i="2"/>
  <c r="B1926" i="2"/>
  <c r="C1926" i="2" s="1"/>
  <c r="F1926" i="2" s="1"/>
  <c r="G1926" i="2" s="1"/>
  <c r="E1931" i="1" s="1"/>
  <c r="A1870" i="2"/>
  <c r="B1870" i="2"/>
  <c r="C1870" i="2" s="1"/>
  <c r="F1870" i="2" s="1"/>
  <c r="G1870" i="2" s="1"/>
  <c r="E1875" i="1" s="1"/>
  <c r="A1822" i="2"/>
  <c r="B1822" i="2"/>
  <c r="C1822" i="2" s="1"/>
  <c r="F1822" i="2" s="1"/>
  <c r="G1822" i="2" s="1"/>
  <c r="E1827" i="1" s="1"/>
  <c r="A1774" i="2"/>
  <c r="B1774" i="2"/>
  <c r="C1774" i="2" s="1"/>
  <c r="F1774" i="2" s="1"/>
  <c r="G1774" i="2" s="1"/>
  <c r="E1779" i="1" s="1"/>
  <c r="A1726" i="2"/>
  <c r="B1726" i="2"/>
  <c r="C1726" i="2" s="1"/>
  <c r="F1726" i="2" s="1"/>
  <c r="G1726" i="2" s="1"/>
  <c r="E1731" i="1" s="1"/>
  <c r="A1678" i="2"/>
  <c r="B1678" i="2"/>
  <c r="C1678" i="2" s="1"/>
  <c r="F1678" i="2" s="1"/>
  <c r="G1678" i="2" s="1"/>
  <c r="E1683" i="1" s="1"/>
  <c r="A1630" i="2"/>
  <c r="B1630" i="2"/>
  <c r="C1630" i="2" s="1"/>
  <c r="F1630" i="2" s="1"/>
  <c r="G1630" i="2" s="1"/>
  <c r="E1635" i="1" s="1"/>
  <c r="A1582" i="2"/>
  <c r="B1582" i="2"/>
  <c r="C1582" i="2" s="1"/>
  <c r="F1582" i="2" s="1"/>
  <c r="G1582" i="2" s="1"/>
  <c r="E1587" i="1" s="1"/>
  <c r="A1526" i="2"/>
  <c r="B1526" i="2"/>
  <c r="C1526" i="2" s="1"/>
  <c r="F1526" i="2" s="1"/>
  <c r="G1526" i="2" s="1"/>
  <c r="E1531" i="1" s="1"/>
  <c r="A1486" i="2"/>
  <c r="B1486" i="2"/>
  <c r="C1486" i="2" s="1"/>
  <c r="F1486" i="2" s="1"/>
  <c r="G1486" i="2" s="1"/>
  <c r="E1491" i="1" s="1"/>
  <c r="A1430" i="2"/>
  <c r="B1430" i="2"/>
  <c r="C1430" i="2" s="1"/>
  <c r="F1430" i="2" s="1"/>
  <c r="G1430" i="2" s="1"/>
  <c r="E1435" i="1" s="1"/>
  <c r="A1382" i="2"/>
  <c r="B1382" i="2"/>
  <c r="C1382" i="2" s="1"/>
  <c r="F1382" i="2" s="1"/>
  <c r="G1382" i="2" s="1"/>
  <c r="E1387" i="1" s="1"/>
  <c r="A1342" i="2"/>
  <c r="B1342" i="2"/>
  <c r="C1342" i="2" s="1"/>
  <c r="F1342" i="2" s="1"/>
  <c r="G1342" i="2" s="1"/>
  <c r="E1347" i="1" s="1"/>
  <c r="A1302" i="2"/>
  <c r="B1302" i="2"/>
  <c r="C1302" i="2" s="1"/>
  <c r="F1302" i="2" s="1"/>
  <c r="G1302" i="2" s="1"/>
  <c r="E1307" i="1" s="1"/>
  <c r="A1246" i="2"/>
  <c r="B1246" i="2"/>
  <c r="C1246" i="2" s="1"/>
  <c r="F1246" i="2" s="1"/>
  <c r="G1246" i="2" s="1"/>
  <c r="E1251" i="1" s="1"/>
  <c r="A1198" i="2"/>
  <c r="B1198" i="2"/>
  <c r="C1198" i="2" s="1"/>
  <c r="F1198" i="2" s="1"/>
  <c r="G1198" i="2" s="1"/>
  <c r="E1203" i="1" s="1"/>
  <c r="A1134" i="2"/>
  <c r="B1134" i="2"/>
  <c r="C1134" i="2" s="1"/>
  <c r="F1134" i="2" s="1"/>
  <c r="G1134" i="2" s="1"/>
  <c r="E1139" i="1" s="1"/>
  <c r="A1094" i="2"/>
  <c r="B1094" i="2"/>
  <c r="C1094" i="2" s="1"/>
  <c r="F1094" i="2" s="1"/>
  <c r="G1094" i="2" s="1"/>
  <c r="E1099" i="1" s="1"/>
  <c r="A1038" i="2"/>
  <c r="B1038" i="2"/>
  <c r="C1038" i="2" s="1"/>
  <c r="F1038" i="2" s="1"/>
  <c r="G1038" i="2" s="1"/>
  <c r="E1043" i="1" s="1"/>
  <c r="A3959" i="2"/>
  <c r="B3959" i="2"/>
  <c r="C3959" i="2" s="1"/>
  <c r="F3959" i="2" s="1"/>
  <c r="G3959" i="2" s="1"/>
  <c r="E3964" i="1" s="1"/>
  <c r="A3903" i="2"/>
  <c r="B3903" i="2"/>
  <c r="C3903" i="2" s="1"/>
  <c r="F3903" i="2" s="1"/>
  <c r="G3903" i="2" s="1"/>
  <c r="E3908" i="1" s="1"/>
  <c r="A3847" i="2"/>
  <c r="B3847" i="2"/>
  <c r="C3847" i="2" s="1"/>
  <c r="F3847" i="2" s="1"/>
  <c r="G3847" i="2" s="1"/>
  <c r="E3852" i="1" s="1"/>
  <c r="A3791" i="2"/>
  <c r="B3791" i="2"/>
  <c r="C3791" i="2" s="1"/>
  <c r="F3791" i="2" s="1"/>
  <c r="G3791" i="2" s="1"/>
  <c r="E3796" i="1" s="1"/>
  <c r="A3743" i="2"/>
  <c r="B3743" i="2"/>
  <c r="C3743" i="2" s="1"/>
  <c r="F3743" i="2" s="1"/>
  <c r="G3743" i="2" s="1"/>
  <c r="E3748" i="1" s="1"/>
  <c r="A3687" i="2"/>
  <c r="B3687" i="2"/>
  <c r="C3687" i="2" s="1"/>
  <c r="F3687" i="2" s="1"/>
  <c r="G3687" i="2" s="1"/>
  <c r="E3692" i="1" s="1"/>
  <c r="A3631" i="2"/>
  <c r="B3631" i="2"/>
  <c r="C3631" i="2" s="1"/>
  <c r="F3631" i="2" s="1"/>
  <c r="G3631" i="2" s="1"/>
  <c r="E3636" i="1" s="1"/>
  <c r="A3575" i="2"/>
  <c r="B3575" i="2"/>
  <c r="C3575" i="2" s="1"/>
  <c r="F3575" i="2" s="1"/>
  <c r="G3575" i="2" s="1"/>
  <c r="E3580" i="1" s="1"/>
  <c r="A3519" i="2"/>
  <c r="B3519" i="2"/>
  <c r="C3519" i="2" s="1"/>
  <c r="F3519" i="2" s="1"/>
  <c r="G3519" i="2" s="1"/>
  <c r="E3524" i="1" s="1"/>
  <c r="A3471" i="2"/>
  <c r="B3471" i="2"/>
  <c r="C3471" i="2" s="1"/>
  <c r="F3471" i="2" s="1"/>
  <c r="G3471" i="2" s="1"/>
  <c r="E3476" i="1" s="1"/>
  <c r="A3415" i="2"/>
  <c r="B3415" i="2"/>
  <c r="C3415" i="2" s="1"/>
  <c r="F3415" i="2" s="1"/>
  <c r="G3415" i="2" s="1"/>
  <c r="E3420" i="1" s="1"/>
  <c r="A3359" i="2"/>
  <c r="B3359" i="2"/>
  <c r="C3359" i="2" s="1"/>
  <c r="F3359" i="2" s="1"/>
  <c r="G3359" i="2" s="1"/>
  <c r="E3364" i="1" s="1"/>
  <c r="A3311" i="2"/>
  <c r="B3311" i="2"/>
  <c r="C3311" i="2" s="1"/>
  <c r="F3311" i="2" s="1"/>
  <c r="G3311" i="2" s="1"/>
  <c r="E3316" i="1" s="1"/>
  <c r="A3239" i="2"/>
  <c r="B3239" i="2"/>
  <c r="C3239" i="2" s="1"/>
  <c r="F3239" i="2" s="1"/>
  <c r="G3239" i="2" s="1"/>
  <c r="E3244" i="1" s="1"/>
  <c r="A3095" i="2"/>
  <c r="B3095" i="2"/>
  <c r="C3095" i="2" s="1"/>
  <c r="F3095" i="2" s="1"/>
  <c r="G3095" i="2" s="1"/>
  <c r="E3100" i="1" s="1"/>
  <c r="A2871" i="2"/>
  <c r="B2871" i="2"/>
  <c r="C2871" i="2" s="1"/>
  <c r="F2871" i="2" s="1"/>
  <c r="G2871" i="2" s="1"/>
  <c r="E2876" i="1" s="1"/>
  <c r="A3982" i="2"/>
  <c r="B3982" i="2"/>
  <c r="C3982" i="2" s="1"/>
  <c r="F3982" i="2" s="1"/>
  <c r="G3982" i="2" s="1"/>
  <c r="E3987" i="1" s="1"/>
  <c r="A3934" i="2"/>
  <c r="B3934" i="2"/>
  <c r="C3934" i="2" s="1"/>
  <c r="F3934" i="2" s="1"/>
  <c r="G3934" i="2" s="1"/>
  <c r="E3939" i="1" s="1"/>
  <c r="A3886" i="2"/>
  <c r="B3886" i="2"/>
  <c r="C3886" i="2" s="1"/>
  <c r="F3886" i="2" s="1"/>
  <c r="G3886" i="2" s="1"/>
  <c r="E3891" i="1" s="1"/>
  <c r="A3838" i="2"/>
  <c r="B3838" i="2"/>
  <c r="C3838" i="2" s="1"/>
  <c r="F3838" i="2" s="1"/>
  <c r="G3838" i="2" s="1"/>
  <c r="E3843" i="1" s="1"/>
  <c r="A3782" i="2"/>
  <c r="B3782" i="2"/>
  <c r="C3782" i="2" s="1"/>
  <c r="F3782" i="2" s="1"/>
  <c r="G3782" i="2" s="1"/>
  <c r="E3787" i="1" s="1"/>
  <c r="A3742" i="2"/>
  <c r="B3742" i="2"/>
  <c r="C3742" i="2" s="1"/>
  <c r="F3742" i="2" s="1"/>
  <c r="G3742" i="2" s="1"/>
  <c r="E3747" i="1" s="1"/>
  <c r="A3694" i="2"/>
  <c r="B3694" i="2"/>
  <c r="C3694" i="2" s="1"/>
  <c r="F3694" i="2" s="1"/>
  <c r="G3694" i="2" s="1"/>
  <c r="E3699" i="1" s="1"/>
  <c r="A3646" i="2"/>
  <c r="B3646" i="2"/>
  <c r="C3646" i="2" s="1"/>
  <c r="F3646" i="2" s="1"/>
  <c r="G3646" i="2" s="1"/>
  <c r="E3651" i="1" s="1"/>
  <c r="A3598" i="2"/>
  <c r="B3598" i="2"/>
  <c r="C3598" i="2" s="1"/>
  <c r="F3598" i="2" s="1"/>
  <c r="G3598" i="2" s="1"/>
  <c r="E3603" i="1" s="1"/>
  <c r="A3550" i="2"/>
  <c r="B3550" i="2"/>
  <c r="C3550" i="2" s="1"/>
  <c r="F3550" i="2" s="1"/>
  <c r="G3550" i="2" s="1"/>
  <c r="E3555" i="1" s="1"/>
  <c r="A3502" i="2"/>
  <c r="B3502" i="2"/>
  <c r="C3502" i="2" s="1"/>
  <c r="F3502" i="2" s="1"/>
  <c r="G3502" i="2" s="1"/>
  <c r="E3507" i="1" s="1"/>
  <c r="A3454" i="2"/>
  <c r="B3454" i="2"/>
  <c r="C3454" i="2" s="1"/>
  <c r="F3454" i="2" s="1"/>
  <c r="G3454" i="2" s="1"/>
  <c r="E3459" i="1" s="1"/>
  <c r="A3406" i="2"/>
  <c r="B3406" i="2"/>
  <c r="C3406" i="2" s="1"/>
  <c r="F3406" i="2" s="1"/>
  <c r="G3406" i="2" s="1"/>
  <c r="E3411" i="1" s="1"/>
  <c r="A3358" i="2"/>
  <c r="B3358" i="2"/>
  <c r="C3358" i="2" s="1"/>
  <c r="F3358" i="2" s="1"/>
  <c r="G3358" i="2" s="1"/>
  <c r="E3363" i="1" s="1"/>
  <c r="A3302" i="2"/>
  <c r="B3302" i="2"/>
  <c r="C3302" i="2" s="1"/>
  <c r="F3302" i="2" s="1"/>
  <c r="G3302" i="2" s="1"/>
  <c r="E3307" i="1" s="1"/>
  <c r="A3254" i="2"/>
  <c r="B3254" i="2"/>
  <c r="C3254" i="2" s="1"/>
  <c r="F3254" i="2" s="1"/>
  <c r="G3254" i="2" s="1"/>
  <c r="E3259" i="1" s="1"/>
  <c r="A3206" i="2"/>
  <c r="B3206" i="2"/>
  <c r="C3206" i="2" s="1"/>
  <c r="F3206" i="2" s="1"/>
  <c r="G3206" i="2" s="1"/>
  <c r="E3211" i="1" s="1"/>
  <c r="A3158" i="2"/>
  <c r="B3158" i="2"/>
  <c r="C3158" i="2" s="1"/>
  <c r="F3158" i="2" s="1"/>
  <c r="G3158" i="2" s="1"/>
  <c r="E3163" i="1" s="1"/>
  <c r="A3110" i="2"/>
  <c r="B3110" i="2"/>
  <c r="C3110" i="2" s="1"/>
  <c r="F3110" i="2" s="1"/>
  <c r="G3110" i="2" s="1"/>
  <c r="E3115" i="1" s="1"/>
  <c r="A3046" i="2"/>
  <c r="B3046" i="2"/>
  <c r="C3046" i="2" s="1"/>
  <c r="F3046" i="2" s="1"/>
  <c r="G3046" i="2" s="1"/>
  <c r="E3051" i="1" s="1"/>
  <c r="A2934" i="2"/>
  <c r="B2934" i="2"/>
  <c r="C2934" i="2" s="1"/>
  <c r="F2934" i="2" s="1"/>
  <c r="G2934" i="2" s="1"/>
  <c r="E2939" i="1" s="1"/>
  <c r="A2814" i="2"/>
  <c r="B2814" i="2"/>
  <c r="C2814" i="2" s="1"/>
  <c r="F2814" i="2" s="1"/>
  <c r="G2814" i="2" s="1"/>
  <c r="E2819" i="1" s="1"/>
  <c r="A2750" i="2"/>
  <c r="B2750" i="2"/>
  <c r="C2750" i="2" s="1"/>
  <c r="F2750" i="2" s="1"/>
  <c r="G2750" i="2" s="1"/>
  <c r="E2755" i="1" s="1"/>
  <c r="A2702" i="2"/>
  <c r="B2702" i="2"/>
  <c r="C2702" i="2" s="1"/>
  <c r="F2702" i="2" s="1"/>
  <c r="G2702" i="2" s="1"/>
  <c r="E2707" i="1" s="1"/>
  <c r="A2654" i="2"/>
  <c r="B2654" i="2"/>
  <c r="C2654" i="2" s="1"/>
  <c r="F2654" i="2" s="1"/>
  <c r="G2654" i="2" s="1"/>
  <c r="E2659" i="1" s="1"/>
  <c r="A2606" i="2"/>
  <c r="B2606" i="2"/>
  <c r="C2606" i="2" s="1"/>
  <c r="F2606" i="2" s="1"/>
  <c r="G2606" i="2" s="1"/>
  <c r="E2611" i="1" s="1"/>
  <c r="A2558" i="2"/>
  <c r="B2558" i="2"/>
  <c r="C2558" i="2" s="1"/>
  <c r="F2558" i="2" s="1"/>
  <c r="G2558" i="2" s="1"/>
  <c r="E2563" i="1" s="1"/>
  <c r="A2486" i="2"/>
  <c r="B2486" i="2"/>
  <c r="C2486" i="2" s="1"/>
  <c r="F2486" i="2" s="1"/>
  <c r="G2486" i="2" s="1"/>
  <c r="E2491" i="1" s="1"/>
  <c r="A2374" i="2"/>
  <c r="B2374" i="2"/>
  <c r="C2374" i="2" s="1"/>
  <c r="F2374" i="2" s="1"/>
  <c r="G2374" i="2" s="1"/>
  <c r="E2379" i="1" s="1"/>
  <c r="A2286" i="2"/>
  <c r="B2286" i="2"/>
  <c r="C2286" i="2" s="1"/>
  <c r="F2286" i="2" s="1"/>
  <c r="G2286" i="2" s="1"/>
  <c r="E2291" i="1" s="1"/>
  <c r="A2238" i="2"/>
  <c r="B2238" i="2"/>
  <c r="C2238" i="2" s="1"/>
  <c r="F2238" i="2" s="1"/>
  <c r="G2238" i="2" s="1"/>
  <c r="E2243" i="1" s="1"/>
  <c r="A2182" i="2"/>
  <c r="B2182" i="2"/>
  <c r="C2182" i="2" s="1"/>
  <c r="F2182" i="2" s="1"/>
  <c r="G2182" i="2" s="1"/>
  <c r="E2187" i="1" s="1"/>
  <c r="A2134" i="2"/>
  <c r="B2134" i="2"/>
  <c r="C2134" i="2" s="1"/>
  <c r="F2134" i="2" s="1"/>
  <c r="G2134" i="2" s="1"/>
  <c r="E2139" i="1" s="1"/>
  <c r="A2086" i="2"/>
  <c r="B2086" i="2"/>
  <c r="C2086" i="2" s="1"/>
  <c r="F2086" i="2" s="1"/>
  <c r="G2086" i="2" s="1"/>
  <c r="E2091" i="1" s="1"/>
  <c r="A2030" i="2"/>
  <c r="B2030" i="2"/>
  <c r="C2030" i="2" s="1"/>
  <c r="F2030" i="2" s="1"/>
  <c r="G2030" i="2" s="1"/>
  <c r="E2035" i="1" s="1"/>
  <c r="A1974" i="2"/>
  <c r="B1974" i="2"/>
  <c r="C1974" i="2" s="1"/>
  <c r="F1974" i="2" s="1"/>
  <c r="G1974" i="2" s="1"/>
  <c r="E1979" i="1" s="1"/>
  <c r="A1918" i="2"/>
  <c r="B1918" i="2"/>
  <c r="C1918" i="2" s="1"/>
  <c r="F1918" i="2" s="1"/>
  <c r="G1918" i="2" s="1"/>
  <c r="E1923" i="1" s="1"/>
  <c r="A1862" i="2"/>
  <c r="B1862" i="2"/>
  <c r="C1862" i="2" s="1"/>
  <c r="F1862" i="2" s="1"/>
  <c r="G1862" i="2" s="1"/>
  <c r="E1867" i="1" s="1"/>
  <c r="A1806" i="2"/>
  <c r="B1806" i="2"/>
  <c r="C1806" i="2" s="1"/>
  <c r="F1806" i="2" s="1"/>
  <c r="G1806" i="2" s="1"/>
  <c r="E1811" i="1" s="1"/>
  <c r="A1742" i="2"/>
  <c r="B1742" i="2"/>
  <c r="C1742" i="2" s="1"/>
  <c r="F1742" i="2" s="1"/>
  <c r="G1742" i="2" s="1"/>
  <c r="E1747" i="1" s="1"/>
  <c r="A1654" i="2"/>
  <c r="B1654" i="2"/>
  <c r="C1654" i="2" s="1"/>
  <c r="F1654" i="2" s="1"/>
  <c r="G1654" i="2" s="1"/>
  <c r="E1659" i="1" s="1"/>
  <c r="A1598" i="2"/>
  <c r="B1598" i="2"/>
  <c r="C1598" i="2" s="1"/>
  <c r="F1598" i="2" s="1"/>
  <c r="G1598" i="2" s="1"/>
  <c r="E1603" i="1" s="1"/>
  <c r="A1550" i="2"/>
  <c r="B1550" i="2"/>
  <c r="C1550" i="2" s="1"/>
  <c r="F1550" i="2" s="1"/>
  <c r="G1550" i="2" s="1"/>
  <c r="E1555" i="1" s="1"/>
  <c r="A1502" i="2"/>
  <c r="B1502" i="2"/>
  <c r="C1502" i="2" s="1"/>
  <c r="F1502" i="2" s="1"/>
  <c r="G1502" i="2" s="1"/>
  <c r="E1507" i="1" s="1"/>
  <c r="A1454" i="2"/>
  <c r="B1454" i="2"/>
  <c r="C1454" i="2" s="1"/>
  <c r="F1454" i="2" s="1"/>
  <c r="G1454" i="2" s="1"/>
  <c r="E1459" i="1" s="1"/>
  <c r="A1406" i="2"/>
  <c r="B1406" i="2"/>
  <c r="C1406" i="2" s="1"/>
  <c r="F1406" i="2" s="1"/>
  <c r="G1406" i="2" s="1"/>
  <c r="E1411" i="1" s="1"/>
  <c r="A1358" i="2"/>
  <c r="B1358" i="2"/>
  <c r="C1358" i="2" s="1"/>
  <c r="F1358" i="2" s="1"/>
  <c r="G1358" i="2" s="1"/>
  <c r="E1363" i="1" s="1"/>
  <c r="A1270" i="2"/>
  <c r="B1270" i="2"/>
  <c r="C1270" i="2" s="1"/>
  <c r="F1270" i="2" s="1"/>
  <c r="G1270" i="2" s="1"/>
  <c r="E1275" i="1" s="1"/>
  <c r="A1214" i="2"/>
  <c r="B1214" i="2"/>
  <c r="C1214" i="2" s="1"/>
  <c r="F1214" i="2" s="1"/>
  <c r="G1214" i="2" s="1"/>
  <c r="E1219" i="1" s="1"/>
  <c r="A1166" i="2"/>
  <c r="B1166" i="2"/>
  <c r="C1166" i="2" s="1"/>
  <c r="F1166" i="2" s="1"/>
  <c r="G1166" i="2" s="1"/>
  <c r="E1171" i="1" s="1"/>
  <c r="A1102" i="2"/>
  <c r="B1102" i="2"/>
  <c r="C1102" i="2" s="1"/>
  <c r="F1102" i="2" s="1"/>
  <c r="G1102" i="2" s="1"/>
  <c r="E1107" i="1" s="1"/>
  <c r="A1062" i="2"/>
  <c r="B1062" i="2"/>
  <c r="C1062" i="2" s="1"/>
  <c r="F1062" i="2" s="1"/>
  <c r="G1062" i="2" s="1"/>
  <c r="E1067" i="1" s="1"/>
  <c r="A3983" i="2"/>
  <c r="B3983" i="2"/>
  <c r="C3983" i="2" s="1"/>
  <c r="F3983" i="2" s="1"/>
  <c r="G3983" i="2" s="1"/>
  <c r="E3988" i="1" s="1"/>
  <c r="A3927" i="2"/>
  <c r="B3927" i="2"/>
  <c r="C3927" i="2" s="1"/>
  <c r="F3927" i="2" s="1"/>
  <c r="G3927" i="2" s="1"/>
  <c r="E3932" i="1" s="1"/>
  <c r="A3863" i="2"/>
  <c r="B3863" i="2"/>
  <c r="C3863" i="2" s="1"/>
  <c r="F3863" i="2" s="1"/>
  <c r="G3863" i="2" s="1"/>
  <c r="E3868" i="1" s="1"/>
  <c r="A3807" i="2"/>
  <c r="B3807" i="2"/>
  <c r="C3807" i="2" s="1"/>
  <c r="F3807" i="2" s="1"/>
  <c r="G3807" i="2" s="1"/>
  <c r="E3812" i="1" s="1"/>
  <c r="A3751" i="2"/>
  <c r="B3751" i="2"/>
  <c r="C3751" i="2" s="1"/>
  <c r="F3751" i="2" s="1"/>
  <c r="G3751" i="2" s="1"/>
  <c r="E3756" i="1" s="1"/>
  <c r="A3703" i="2"/>
  <c r="B3703" i="2"/>
  <c r="C3703" i="2" s="1"/>
  <c r="F3703" i="2" s="1"/>
  <c r="G3703" i="2" s="1"/>
  <c r="E3708" i="1" s="1"/>
  <c r="A3639" i="2"/>
  <c r="B3639" i="2"/>
  <c r="C3639" i="2" s="1"/>
  <c r="F3639" i="2" s="1"/>
  <c r="G3639" i="2" s="1"/>
  <c r="E3644" i="1" s="1"/>
  <c r="A3591" i="2"/>
  <c r="B3591" i="2"/>
  <c r="C3591" i="2" s="1"/>
  <c r="F3591" i="2" s="1"/>
  <c r="G3591" i="2" s="1"/>
  <c r="E3596" i="1" s="1"/>
  <c r="A3543" i="2"/>
  <c r="B3543" i="2"/>
  <c r="C3543" i="2" s="1"/>
  <c r="F3543" i="2" s="1"/>
  <c r="G3543" i="2" s="1"/>
  <c r="E3548" i="1" s="1"/>
  <c r="A3487" i="2"/>
  <c r="B3487" i="2"/>
  <c r="C3487" i="2" s="1"/>
  <c r="F3487" i="2" s="1"/>
  <c r="G3487" i="2" s="1"/>
  <c r="E3492" i="1" s="1"/>
  <c r="A3431" i="2"/>
  <c r="B3431" i="2"/>
  <c r="C3431" i="2" s="1"/>
  <c r="F3431" i="2" s="1"/>
  <c r="G3431" i="2" s="1"/>
  <c r="E3436" i="1" s="1"/>
  <c r="A3367" i="2"/>
  <c r="B3367" i="2"/>
  <c r="C3367" i="2" s="1"/>
  <c r="F3367" i="2" s="1"/>
  <c r="G3367" i="2" s="1"/>
  <c r="E3372" i="1" s="1"/>
  <c r="A3327" i="2"/>
  <c r="B3327" i="2"/>
  <c r="C3327" i="2" s="1"/>
  <c r="F3327" i="2" s="1"/>
  <c r="G3327" i="2" s="1"/>
  <c r="E3332" i="1" s="1"/>
  <c r="A3263" i="2"/>
  <c r="B3263" i="2"/>
  <c r="C3263" i="2" s="1"/>
  <c r="F3263" i="2" s="1"/>
  <c r="G3263" i="2" s="1"/>
  <c r="E3268" i="1" s="1"/>
  <c r="A3215" i="2"/>
  <c r="B3215" i="2"/>
  <c r="C3215" i="2" s="1"/>
  <c r="F3215" i="2" s="1"/>
  <c r="G3215" i="2" s="1"/>
  <c r="E3220" i="1" s="1"/>
  <c r="A3175" i="2"/>
  <c r="B3175" i="2"/>
  <c r="C3175" i="2" s="1"/>
  <c r="F3175" i="2" s="1"/>
  <c r="G3175" i="2" s="1"/>
  <c r="E3180" i="1" s="1"/>
  <c r="A3127" i="2"/>
  <c r="B3127" i="2"/>
  <c r="C3127" i="2" s="1"/>
  <c r="F3127" i="2" s="1"/>
  <c r="G3127" i="2" s="1"/>
  <c r="E3132" i="1" s="1"/>
  <c r="A3071" i="2"/>
  <c r="B3071" i="2"/>
  <c r="C3071" i="2" s="1"/>
  <c r="F3071" i="2" s="1"/>
  <c r="G3071" i="2" s="1"/>
  <c r="E3076" i="1" s="1"/>
  <c r="A3023" i="2"/>
  <c r="B3023" i="2"/>
  <c r="C3023" i="2" s="1"/>
  <c r="F3023" i="2" s="1"/>
  <c r="G3023" i="2" s="1"/>
  <c r="E3028" i="1" s="1"/>
  <c r="A2975" i="2"/>
  <c r="B2975" i="2"/>
  <c r="C2975" i="2" s="1"/>
  <c r="F2975" i="2" s="1"/>
  <c r="G2975" i="2" s="1"/>
  <c r="E2980" i="1" s="1"/>
  <c r="A2863" i="2"/>
  <c r="B2863" i="2"/>
  <c r="C2863" i="2" s="1"/>
  <c r="F2863" i="2" s="1"/>
  <c r="G2863" i="2" s="1"/>
  <c r="E2868" i="1" s="1"/>
  <c r="A3966" i="2"/>
  <c r="B3966" i="2"/>
  <c r="C3966" i="2" s="1"/>
  <c r="F3966" i="2" s="1"/>
  <c r="G3966" i="2" s="1"/>
  <c r="E3971" i="1" s="1"/>
  <c r="A3918" i="2"/>
  <c r="B3918" i="2"/>
  <c r="C3918" i="2" s="1"/>
  <c r="F3918" i="2" s="1"/>
  <c r="G3918" i="2" s="1"/>
  <c r="E3923" i="1" s="1"/>
  <c r="A3878" i="2"/>
  <c r="B3878" i="2"/>
  <c r="C3878" i="2" s="1"/>
  <c r="F3878" i="2" s="1"/>
  <c r="G3878" i="2" s="1"/>
  <c r="E3883" i="1" s="1"/>
  <c r="A3814" i="2"/>
  <c r="B3814" i="2"/>
  <c r="C3814" i="2" s="1"/>
  <c r="F3814" i="2" s="1"/>
  <c r="G3814" i="2" s="1"/>
  <c r="E3819" i="1" s="1"/>
  <c r="A3774" i="2"/>
  <c r="B3774" i="2"/>
  <c r="C3774" i="2" s="1"/>
  <c r="F3774" i="2" s="1"/>
  <c r="G3774" i="2" s="1"/>
  <c r="E3779" i="1" s="1"/>
  <c r="A3726" i="2"/>
  <c r="B3726" i="2"/>
  <c r="C3726" i="2" s="1"/>
  <c r="F3726" i="2" s="1"/>
  <c r="G3726" i="2" s="1"/>
  <c r="E3731" i="1" s="1"/>
  <c r="A3678" i="2"/>
  <c r="B3678" i="2"/>
  <c r="C3678" i="2" s="1"/>
  <c r="F3678" i="2" s="1"/>
  <c r="G3678" i="2" s="1"/>
  <c r="E3683" i="1" s="1"/>
  <c r="A3638" i="2"/>
  <c r="B3638" i="2"/>
  <c r="C3638" i="2" s="1"/>
  <c r="F3638" i="2" s="1"/>
  <c r="G3638" i="2" s="1"/>
  <c r="E3643" i="1" s="1"/>
  <c r="A3582" i="2"/>
  <c r="B3582" i="2"/>
  <c r="C3582" i="2" s="1"/>
  <c r="F3582" i="2" s="1"/>
  <c r="G3582" i="2" s="1"/>
  <c r="E3587" i="1" s="1"/>
  <c r="A3542" i="2"/>
  <c r="B3542" i="2"/>
  <c r="C3542" i="2" s="1"/>
  <c r="F3542" i="2" s="1"/>
  <c r="G3542" i="2" s="1"/>
  <c r="E3547" i="1" s="1"/>
  <c r="A3494" i="2"/>
  <c r="B3494" i="2"/>
  <c r="C3494" i="2" s="1"/>
  <c r="F3494" i="2" s="1"/>
  <c r="G3494" i="2" s="1"/>
  <c r="E3499" i="1" s="1"/>
  <c r="A3438" i="2"/>
  <c r="B3438" i="2"/>
  <c r="C3438" i="2" s="1"/>
  <c r="F3438" i="2" s="1"/>
  <c r="G3438" i="2" s="1"/>
  <c r="E3443" i="1" s="1"/>
  <c r="A3390" i="2"/>
  <c r="B3390" i="2"/>
  <c r="C3390" i="2" s="1"/>
  <c r="F3390" i="2" s="1"/>
  <c r="G3390" i="2" s="1"/>
  <c r="E3395" i="1" s="1"/>
  <c r="A3342" i="2"/>
  <c r="B3342" i="2"/>
  <c r="C3342" i="2" s="1"/>
  <c r="F3342" i="2" s="1"/>
  <c r="G3342" i="2" s="1"/>
  <c r="E3347" i="1" s="1"/>
  <c r="A3286" i="2"/>
  <c r="B3286" i="2"/>
  <c r="C3286" i="2" s="1"/>
  <c r="F3286" i="2" s="1"/>
  <c r="G3286" i="2" s="1"/>
  <c r="E3291" i="1" s="1"/>
  <c r="A3238" i="2"/>
  <c r="B3238" i="2"/>
  <c r="C3238" i="2" s="1"/>
  <c r="F3238" i="2" s="1"/>
  <c r="G3238" i="2" s="1"/>
  <c r="E3243" i="1" s="1"/>
  <c r="A3198" i="2"/>
  <c r="B3198" i="2"/>
  <c r="C3198" i="2" s="1"/>
  <c r="F3198" i="2" s="1"/>
  <c r="G3198" i="2" s="1"/>
  <c r="E3203" i="1" s="1"/>
  <c r="A3142" i="2"/>
  <c r="B3142" i="2"/>
  <c r="C3142" i="2" s="1"/>
  <c r="F3142" i="2" s="1"/>
  <c r="G3142" i="2" s="1"/>
  <c r="E3147" i="1" s="1"/>
  <c r="A3094" i="2"/>
  <c r="B3094" i="2"/>
  <c r="C3094" i="2" s="1"/>
  <c r="F3094" i="2" s="1"/>
  <c r="G3094" i="2" s="1"/>
  <c r="E3099" i="1" s="1"/>
  <c r="A3062" i="2"/>
  <c r="B3062" i="2"/>
  <c r="C3062" i="2" s="1"/>
  <c r="F3062" i="2" s="1"/>
  <c r="G3062" i="2" s="1"/>
  <c r="E3067" i="1" s="1"/>
  <c r="A3014" i="2"/>
  <c r="B3014" i="2"/>
  <c r="C3014" i="2" s="1"/>
  <c r="F3014" i="2" s="1"/>
  <c r="G3014" i="2" s="1"/>
  <c r="E3019" i="1" s="1"/>
  <c r="A2966" i="2"/>
  <c r="B2966" i="2"/>
  <c r="C2966" i="2" s="1"/>
  <c r="F2966" i="2" s="1"/>
  <c r="G2966" i="2" s="1"/>
  <c r="E2971" i="1" s="1"/>
  <c r="A2918" i="2"/>
  <c r="B2918" i="2"/>
  <c r="C2918" i="2" s="1"/>
  <c r="F2918" i="2" s="1"/>
  <c r="G2918" i="2" s="1"/>
  <c r="E2923" i="1" s="1"/>
  <c r="A2878" i="2"/>
  <c r="B2878" i="2"/>
  <c r="C2878" i="2" s="1"/>
  <c r="F2878" i="2" s="1"/>
  <c r="G2878" i="2" s="1"/>
  <c r="E2883" i="1" s="1"/>
  <c r="A2830" i="2"/>
  <c r="B2830" i="2"/>
  <c r="C2830" i="2" s="1"/>
  <c r="F2830" i="2" s="1"/>
  <c r="G2830" i="2" s="1"/>
  <c r="E2835" i="1" s="1"/>
  <c r="A2790" i="2"/>
  <c r="B2790" i="2"/>
  <c r="C2790" i="2" s="1"/>
  <c r="F2790" i="2" s="1"/>
  <c r="G2790" i="2" s="1"/>
  <c r="E2795" i="1" s="1"/>
  <c r="A2734" i="2"/>
  <c r="B2734" i="2"/>
  <c r="C2734" i="2" s="1"/>
  <c r="F2734" i="2" s="1"/>
  <c r="G2734" i="2" s="1"/>
  <c r="E2739" i="1" s="1"/>
  <c r="A2678" i="2"/>
  <c r="B2678" i="2"/>
  <c r="C2678" i="2" s="1"/>
  <c r="F2678" i="2" s="1"/>
  <c r="G2678" i="2" s="1"/>
  <c r="E2683" i="1" s="1"/>
  <c r="A2630" i="2"/>
  <c r="B2630" i="2"/>
  <c r="C2630" i="2" s="1"/>
  <c r="F2630" i="2" s="1"/>
  <c r="G2630" i="2" s="1"/>
  <c r="E2635" i="1" s="1"/>
  <c r="A2590" i="2"/>
  <c r="B2590" i="2"/>
  <c r="C2590" i="2" s="1"/>
  <c r="F2590" i="2" s="1"/>
  <c r="G2590" i="2" s="1"/>
  <c r="E2595" i="1" s="1"/>
  <c r="A2542" i="2"/>
  <c r="B2542" i="2"/>
  <c r="C2542" i="2" s="1"/>
  <c r="F2542" i="2" s="1"/>
  <c r="G2542" i="2" s="1"/>
  <c r="E2547" i="1" s="1"/>
  <c r="A2494" i="2"/>
  <c r="B2494" i="2"/>
  <c r="C2494" i="2" s="1"/>
  <c r="F2494" i="2" s="1"/>
  <c r="G2494" i="2" s="1"/>
  <c r="E2499" i="1" s="1"/>
  <c r="A2446" i="2"/>
  <c r="B2446" i="2"/>
  <c r="C2446" i="2" s="1"/>
  <c r="F2446" i="2" s="1"/>
  <c r="G2446" i="2" s="1"/>
  <c r="E2451" i="1" s="1"/>
  <c r="A2406" i="2"/>
  <c r="B2406" i="2"/>
  <c r="C2406" i="2" s="1"/>
  <c r="F2406" i="2" s="1"/>
  <c r="G2406" i="2" s="1"/>
  <c r="E2411" i="1" s="1"/>
  <c r="A2366" i="2"/>
  <c r="B2366" i="2"/>
  <c r="C2366" i="2" s="1"/>
  <c r="F2366" i="2" s="1"/>
  <c r="G2366" i="2" s="1"/>
  <c r="E2371" i="1" s="1"/>
  <c r="A2318" i="2"/>
  <c r="B2318" i="2"/>
  <c r="C2318" i="2" s="1"/>
  <c r="F2318" i="2" s="1"/>
  <c r="G2318" i="2" s="1"/>
  <c r="E2323" i="1" s="1"/>
  <c r="A2278" i="2"/>
  <c r="B2278" i="2"/>
  <c r="C2278" i="2" s="1"/>
  <c r="F2278" i="2" s="1"/>
  <c r="G2278" i="2" s="1"/>
  <c r="E2283" i="1" s="1"/>
  <c r="A2222" i="2"/>
  <c r="B2222" i="2"/>
  <c r="C2222" i="2" s="1"/>
  <c r="F2222" i="2" s="1"/>
  <c r="G2222" i="2" s="1"/>
  <c r="E2227" i="1" s="1"/>
  <c r="A2166" i="2"/>
  <c r="B2166" i="2"/>
  <c r="C2166" i="2" s="1"/>
  <c r="F2166" i="2" s="1"/>
  <c r="G2166" i="2" s="1"/>
  <c r="E2171" i="1" s="1"/>
  <c r="A2118" i="2"/>
  <c r="B2118" i="2"/>
  <c r="C2118" i="2" s="1"/>
  <c r="F2118" i="2" s="1"/>
  <c r="G2118" i="2" s="1"/>
  <c r="E2123" i="1" s="1"/>
  <c r="A2070" i="2"/>
  <c r="B2070" i="2"/>
  <c r="C2070" i="2" s="1"/>
  <c r="F2070" i="2" s="1"/>
  <c r="G2070" i="2" s="1"/>
  <c r="E2075" i="1" s="1"/>
  <c r="A2022" i="2"/>
  <c r="B2022" i="2"/>
  <c r="C2022" i="2" s="1"/>
  <c r="F2022" i="2" s="1"/>
  <c r="G2022" i="2" s="1"/>
  <c r="E2027" i="1" s="1"/>
  <c r="A1966" i="2"/>
  <c r="B1966" i="2"/>
  <c r="C1966" i="2" s="1"/>
  <c r="F1966" i="2" s="1"/>
  <c r="G1966" i="2" s="1"/>
  <c r="E1971" i="1" s="1"/>
  <c r="A1910" i="2"/>
  <c r="B1910" i="2"/>
  <c r="C1910" i="2" s="1"/>
  <c r="F1910" i="2" s="1"/>
  <c r="G1910" i="2" s="1"/>
  <c r="E1915" i="1" s="1"/>
  <c r="A1854" i="2"/>
  <c r="B1854" i="2"/>
  <c r="C1854" i="2" s="1"/>
  <c r="F1854" i="2" s="1"/>
  <c r="G1854" i="2" s="1"/>
  <c r="E1859" i="1" s="1"/>
  <c r="A1798" i="2"/>
  <c r="B1798" i="2"/>
  <c r="C1798" i="2" s="1"/>
  <c r="F1798" i="2" s="1"/>
  <c r="G1798" i="2" s="1"/>
  <c r="E1803" i="1" s="1"/>
  <c r="A1758" i="2"/>
  <c r="B1758" i="2"/>
  <c r="C1758" i="2" s="1"/>
  <c r="F1758" i="2" s="1"/>
  <c r="G1758" i="2" s="1"/>
  <c r="E1763" i="1" s="1"/>
  <c r="A1702" i="2"/>
  <c r="B1702" i="2"/>
  <c r="C1702" i="2" s="1"/>
  <c r="F1702" i="2" s="1"/>
  <c r="G1702" i="2" s="1"/>
  <c r="E1707" i="1" s="1"/>
  <c r="A1662" i="2"/>
  <c r="B1662" i="2"/>
  <c r="C1662" i="2" s="1"/>
  <c r="F1662" i="2" s="1"/>
  <c r="G1662" i="2" s="1"/>
  <c r="E1667" i="1" s="1"/>
  <c r="A1622" i="2"/>
  <c r="B1622" i="2"/>
  <c r="C1622" i="2" s="1"/>
  <c r="F1622" i="2" s="1"/>
  <c r="G1622" i="2" s="1"/>
  <c r="E1627" i="1" s="1"/>
  <c r="A1566" i="2"/>
  <c r="B1566" i="2"/>
  <c r="C1566" i="2" s="1"/>
  <c r="F1566" i="2" s="1"/>
  <c r="G1566" i="2" s="1"/>
  <c r="E1571" i="1" s="1"/>
  <c r="A1518" i="2"/>
  <c r="B1518" i="2"/>
  <c r="C1518" i="2" s="1"/>
  <c r="F1518" i="2" s="1"/>
  <c r="G1518" i="2" s="1"/>
  <c r="E1523" i="1" s="1"/>
  <c r="A1470" i="2"/>
  <c r="B1470" i="2"/>
  <c r="C1470" i="2" s="1"/>
  <c r="F1470" i="2" s="1"/>
  <c r="G1470" i="2" s="1"/>
  <c r="E1475" i="1" s="1"/>
  <c r="A1414" i="2"/>
  <c r="B1414" i="2"/>
  <c r="C1414" i="2" s="1"/>
  <c r="F1414" i="2" s="1"/>
  <c r="G1414" i="2" s="1"/>
  <c r="E1419" i="1" s="1"/>
  <c r="A1374" i="2"/>
  <c r="B1374" i="2"/>
  <c r="C1374" i="2" s="1"/>
  <c r="F1374" i="2" s="1"/>
  <c r="G1374" i="2" s="1"/>
  <c r="E1379" i="1" s="1"/>
  <c r="A1326" i="2"/>
  <c r="B1326" i="2"/>
  <c r="C1326" i="2" s="1"/>
  <c r="F1326" i="2" s="1"/>
  <c r="G1326" i="2" s="1"/>
  <c r="E1331" i="1" s="1"/>
  <c r="A1286" i="2"/>
  <c r="B1286" i="2"/>
  <c r="C1286" i="2" s="1"/>
  <c r="F1286" i="2" s="1"/>
  <c r="G1286" i="2" s="1"/>
  <c r="E1291" i="1" s="1"/>
  <c r="A1238" i="2"/>
  <c r="B1238" i="2"/>
  <c r="C1238" i="2" s="1"/>
  <c r="F1238" i="2" s="1"/>
  <c r="G1238" i="2" s="1"/>
  <c r="E1243" i="1" s="1"/>
  <c r="A1190" i="2"/>
  <c r="B1190" i="2"/>
  <c r="C1190" i="2" s="1"/>
  <c r="F1190" i="2" s="1"/>
  <c r="G1190" i="2" s="1"/>
  <c r="E1195" i="1" s="1"/>
  <c r="A1158" i="2"/>
  <c r="B1158" i="2"/>
  <c r="C1158" i="2" s="1"/>
  <c r="F1158" i="2" s="1"/>
  <c r="G1158" i="2" s="1"/>
  <c r="E1163" i="1" s="1"/>
  <c r="A1118" i="2"/>
  <c r="B1118" i="2"/>
  <c r="C1118" i="2" s="1"/>
  <c r="F1118" i="2" s="1"/>
  <c r="G1118" i="2" s="1"/>
  <c r="E1123" i="1" s="1"/>
  <c r="A1078" i="2"/>
  <c r="B1078" i="2"/>
  <c r="C1078" i="2" s="1"/>
  <c r="F1078" i="2" s="1"/>
  <c r="G1078" i="2" s="1"/>
  <c r="E1083" i="1" s="1"/>
  <c r="A1046" i="2"/>
  <c r="B1046" i="2"/>
  <c r="C1046" i="2" s="1"/>
  <c r="F1046" i="2" s="1"/>
  <c r="G1046" i="2" s="1"/>
  <c r="E1051" i="1" s="1"/>
  <c r="A3" i="2"/>
  <c r="B3" i="2"/>
  <c r="C3" i="2" s="1"/>
  <c r="F3" i="2" s="1"/>
  <c r="G3" i="2" s="1"/>
  <c r="E8" i="1" s="1"/>
  <c r="A3951" i="2"/>
  <c r="B3951" i="2"/>
  <c r="C3951" i="2" s="1"/>
  <c r="F3951" i="2" s="1"/>
  <c r="G3951" i="2" s="1"/>
  <c r="E3956" i="1" s="1"/>
  <c r="A3895" i="2"/>
  <c r="B3895" i="2"/>
  <c r="C3895" i="2" s="1"/>
  <c r="F3895" i="2" s="1"/>
  <c r="G3895" i="2" s="1"/>
  <c r="E3900" i="1" s="1"/>
  <c r="A3839" i="2"/>
  <c r="B3839" i="2"/>
  <c r="C3839" i="2" s="1"/>
  <c r="F3839" i="2" s="1"/>
  <c r="G3839" i="2" s="1"/>
  <c r="E3844" i="1" s="1"/>
  <c r="A3767" i="2"/>
  <c r="B3767" i="2"/>
  <c r="C3767" i="2" s="1"/>
  <c r="F3767" i="2" s="1"/>
  <c r="G3767" i="2" s="1"/>
  <c r="E3772" i="1" s="1"/>
  <c r="A3711" i="2"/>
  <c r="B3711" i="2"/>
  <c r="C3711" i="2" s="1"/>
  <c r="F3711" i="2" s="1"/>
  <c r="G3711" i="2" s="1"/>
  <c r="E3716" i="1" s="1"/>
  <c r="A3655" i="2"/>
  <c r="B3655" i="2"/>
  <c r="C3655" i="2" s="1"/>
  <c r="F3655" i="2" s="1"/>
  <c r="G3655" i="2" s="1"/>
  <c r="E3660" i="1" s="1"/>
  <c r="A3583" i="2"/>
  <c r="B3583" i="2"/>
  <c r="C3583" i="2" s="1"/>
  <c r="F3583" i="2" s="1"/>
  <c r="G3583" i="2" s="1"/>
  <c r="E3588" i="1" s="1"/>
  <c r="A3527" i="2"/>
  <c r="B3527" i="2"/>
  <c r="C3527" i="2" s="1"/>
  <c r="F3527" i="2" s="1"/>
  <c r="G3527" i="2" s="1"/>
  <c r="E3532" i="1" s="1"/>
  <c r="A3463" i="2"/>
  <c r="B3463" i="2"/>
  <c r="C3463" i="2" s="1"/>
  <c r="F3463" i="2" s="1"/>
  <c r="G3463" i="2" s="1"/>
  <c r="E3468" i="1" s="1"/>
  <c r="A3407" i="2"/>
  <c r="B3407" i="2"/>
  <c r="C3407" i="2" s="1"/>
  <c r="F3407" i="2" s="1"/>
  <c r="G3407" i="2" s="1"/>
  <c r="E3412" i="1" s="1"/>
  <c r="A3351" i="2"/>
  <c r="B3351" i="2"/>
  <c r="C3351" i="2" s="1"/>
  <c r="F3351" i="2" s="1"/>
  <c r="G3351" i="2" s="1"/>
  <c r="E3356" i="1" s="1"/>
  <c r="A3303" i="2"/>
  <c r="B3303" i="2"/>
  <c r="C3303" i="2" s="1"/>
  <c r="F3303" i="2" s="1"/>
  <c r="G3303" i="2" s="1"/>
  <c r="E3308" i="1" s="1"/>
  <c r="A3255" i="2"/>
  <c r="B3255" i="2"/>
  <c r="C3255" i="2" s="1"/>
  <c r="F3255" i="2" s="1"/>
  <c r="G3255" i="2" s="1"/>
  <c r="E3260" i="1" s="1"/>
  <c r="A3199" i="2"/>
  <c r="B3199" i="2"/>
  <c r="C3199" i="2" s="1"/>
  <c r="F3199" i="2" s="1"/>
  <c r="G3199" i="2" s="1"/>
  <c r="E3204" i="1" s="1"/>
  <c r="A3159" i="2"/>
  <c r="B3159" i="2"/>
  <c r="C3159" i="2" s="1"/>
  <c r="F3159" i="2" s="1"/>
  <c r="G3159" i="2" s="1"/>
  <c r="E3164" i="1" s="1"/>
  <c r="A3103" i="2"/>
  <c r="B3103" i="2"/>
  <c r="C3103" i="2" s="1"/>
  <c r="F3103" i="2" s="1"/>
  <c r="G3103" i="2" s="1"/>
  <c r="E3108" i="1" s="1"/>
  <c r="A3047" i="2"/>
  <c r="B3047" i="2"/>
  <c r="C3047" i="2" s="1"/>
  <c r="F3047" i="2" s="1"/>
  <c r="G3047" i="2" s="1"/>
  <c r="E3052" i="1" s="1"/>
  <c r="A3007" i="2"/>
  <c r="B3007" i="2"/>
  <c r="C3007" i="2" s="1"/>
  <c r="F3007" i="2" s="1"/>
  <c r="G3007" i="2" s="1"/>
  <c r="E3012" i="1" s="1"/>
  <c r="A2959" i="2"/>
  <c r="B2959" i="2"/>
  <c r="C2959" i="2" s="1"/>
  <c r="F2959" i="2" s="1"/>
  <c r="G2959" i="2" s="1"/>
  <c r="E2964" i="1" s="1"/>
  <c r="A2839" i="2"/>
  <c r="B2839" i="2"/>
  <c r="C2839" i="2" s="1"/>
  <c r="F2839" i="2" s="1"/>
  <c r="G2839" i="2" s="1"/>
  <c r="E2844" i="1" s="1"/>
  <c r="A3974" i="2"/>
  <c r="B3974" i="2"/>
  <c r="C3974" i="2" s="1"/>
  <c r="F3974" i="2" s="1"/>
  <c r="G3974" i="2" s="1"/>
  <c r="E3979" i="1" s="1"/>
  <c r="A3926" i="2"/>
  <c r="B3926" i="2"/>
  <c r="C3926" i="2" s="1"/>
  <c r="F3926" i="2" s="1"/>
  <c r="G3926" i="2" s="1"/>
  <c r="E3931" i="1" s="1"/>
  <c r="A3870" i="2"/>
  <c r="B3870" i="2"/>
  <c r="C3870" i="2" s="1"/>
  <c r="F3870" i="2" s="1"/>
  <c r="G3870" i="2" s="1"/>
  <c r="E3875" i="1" s="1"/>
  <c r="A3830" i="2"/>
  <c r="B3830" i="2"/>
  <c r="C3830" i="2" s="1"/>
  <c r="F3830" i="2" s="1"/>
  <c r="G3830" i="2" s="1"/>
  <c r="E3835" i="1" s="1"/>
  <c r="A3790" i="2"/>
  <c r="B3790" i="2"/>
  <c r="C3790" i="2" s="1"/>
  <c r="F3790" i="2" s="1"/>
  <c r="G3790" i="2" s="1"/>
  <c r="E3795" i="1" s="1"/>
  <c r="A3734" i="2"/>
  <c r="B3734" i="2"/>
  <c r="C3734" i="2" s="1"/>
  <c r="F3734" i="2" s="1"/>
  <c r="G3734" i="2" s="1"/>
  <c r="E3739" i="1" s="1"/>
  <c r="A3670" i="2"/>
  <c r="B3670" i="2"/>
  <c r="C3670" i="2" s="1"/>
  <c r="F3670" i="2" s="1"/>
  <c r="G3670" i="2" s="1"/>
  <c r="E3675" i="1" s="1"/>
  <c r="A3622" i="2"/>
  <c r="B3622" i="2"/>
  <c r="C3622" i="2" s="1"/>
  <c r="F3622" i="2" s="1"/>
  <c r="G3622" i="2" s="1"/>
  <c r="E3627" i="1" s="1"/>
  <c r="A3574" i="2"/>
  <c r="B3574" i="2"/>
  <c r="C3574" i="2" s="1"/>
  <c r="F3574" i="2" s="1"/>
  <c r="G3574" i="2" s="1"/>
  <c r="E3579" i="1" s="1"/>
  <c r="A3526" i="2"/>
  <c r="B3526" i="2"/>
  <c r="C3526" i="2" s="1"/>
  <c r="F3526" i="2" s="1"/>
  <c r="G3526" i="2" s="1"/>
  <c r="E3531" i="1" s="1"/>
  <c r="A3486" i="2"/>
  <c r="B3486" i="2"/>
  <c r="C3486" i="2" s="1"/>
  <c r="F3486" i="2" s="1"/>
  <c r="G3486" i="2" s="1"/>
  <c r="E3491" i="1" s="1"/>
  <c r="A3430" i="2"/>
  <c r="B3430" i="2"/>
  <c r="C3430" i="2" s="1"/>
  <c r="F3430" i="2" s="1"/>
  <c r="G3430" i="2" s="1"/>
  <c r="E3435" i="1" s="1"/>
  <c r="A3398" i="2"/>
  <c r="B3398" i="2"/>
  <c r="C3398" i="2" s="1"/>
  <c r="F3398" i="2" s="1"/>
  <c r="G3398" i="2" s="1"/>
  <c r="E3403" i="1" s="1"/>
  <c r="A3350" i="2"/>
  <c r="B3350" i="2"/>
  <c r="C3350" i="2" s="1"/>
  <c r="F3350" i="2" s="1"/>
  <c r="G3350" i="2" s="1"/>
  <c r="E3355" i="1" s="1"/>
  <c r="A3310" i="2"/>
  <c r="B3310" i="2"/>
  <c r="C3310" i="2" s="1"/>
  <c r="F3310" i="2" s="1"/>
  <c r="G3310" i="2" s="1"/>
  <c r="E3315" i="1" s="1"/>
  <c r="A3262" i="2"/>
  <c r="B3262" i="2"/>
  <c r="C3262" i="2" s="1"/>
  <c r="F3262" i="2" s="1"/>
  <c r="G3262" i="2" s="1"/>
  <c r="E3267" i="1" s="1"/>
  <c r="A3214" i="2"/>
  <c r="B3214" i="2"/>
  <c r="C3214" i="2" s="1"/>
  <c r="F3214" i="2" s="1"/>
  <c r="G3214" i="2" s="1"/>
  <c r="E3219" i="1" s="1"/>
  <c r="A3182" i="2"/>
  <c r="B3182" i="2"/>
  <c r="C3182" i="2" s="1"/>
  <c r="F3182" i="2" s="1"/>
  <c r="G3182" i="2" s="1"/>
  <c r="E3187" i="1" s="1"/>
  <c r="A3134" i="2"/>
  <c r="B3134" i="2"/>
  <c r="C3134" i="2" s="1"/>
  <c r="F3134" i="2" s="1"/>
  <c r="G3134" i="2" s="1"/>
  <c r="E3139" i="1" s="1"/>
  <c r="A3086" i="2"/>
  <c r="B3086" i="2"/>
  <c r="C3086" i="2" s="1"/>
  <c r="F3086" i="2" s="1"/>
  <c r="G3086" i="2" s="1"/>
  <c r="E3091" i="1" s="1"/>
  <c r="A3038" i="2"/>
  <c r="B3038" i="2"/>
  <c r="C3038" i="2" s="1"/>
  <c r="F3038" i="2" s="1"/>
  <c r="G3038" i="2" s="1"/>
  <c r="E3043" i="1" s="1"/>
  <c r="A2998" i="2"/>
  <c r="B2998" i="2"/>
  <c r="C2998" i="2" s="1"/>
  <c r="F2998" i="2" s="1"/>
  <c r="G2998" i="2" s="1"/>
  <c r="E3003" i="1" s="1"/>
  <c r="A2958" i="2"/>
  <c r="B2958" i="2"/>
  <c r="C2958" i="2" s="1"/>
  <c r="F2958" i="2" s="1"/>
  <c r="G2958" i="2" s="1"/>
  <c r="E2963" i="1" s="1"/>
  <c r="A2902" i="2"/>
  <c r="B2902" i="2"/>
  <c r="C2902" i="2" s="1"/>
  <c r="F2902" i="2" s="1"/>
  <c r="G2902" i="2" s="1"/>
  <c r="E2907" i="1" s="1"/>
  <c r="A2854" i="2"/>
  <c r="B2854" i="2"/>
  <c r="C2854" i="2" s="1"/>
  <c r="F2854" i="2" s="1"/>
  <c r="G2854" i="2" s="1"/>
  <c r="E2859" i="1" s="1"/>
  <c r="A2798" i="2"/>
  <c r="B2798" i="2"/>
  <c r="C2798" i="2" s="1"/>
  <c r="F2798" i="2" s="1"/>
  <c r="G2798" i="2" s="1"/>
  <c r="E2803" i="1" s="1"/>
  <c r="A2758" i="2"/>
  <c r="B2758" i="2"/>
  <c r="C2758" i="2" s="1"/>
  <c r="F2758" i="2" s="1"/>
  <c r="G2758" i="2" s="1"/>
  <c r="E2763" i="1" s="1"/>
  <c r="A2710" i="2"/>
  <c r="B2710" i="2"/>
  <c r="C2710" i="2" s="1"/>
  <c r="F2710" i="2" s="1"/>
  <c r="G2710" i="2" s="1"/>
  <c r="E2715" i="1" s="1"/>
  <c r="A2662" i="2"/>
  <c r="B2662" i="2"/>
  <c r="C2662" i="2" s="1"/>
  <c r="F2662" i="2" s="1"/>
  <c r="G2662" i="2" s="1"/>
  <c r="E2667" i="1" s="1"/>
  <c r="A2614" i="2"/>
  <c r="B2614" i="2"/>
  <c r="C2614" i="2" s="1"/>
  <c r="F2614" i="2" s="1"/>
  <c r="G2614" i="2" s="1"/>
  <c r="E2619" i="1" s="1"/>
  <c r="A2566" i="2"/>
  <c r="B2566" i="2"/>
  <c r="C2566" i="2" s="1"/>
  <c r="F2566" i="2" s="1"/>
  <c r="G2566" i="2" s="1"/>
  <c r="E2571" i="1" s="1"/>
  <c r="A2518" i="2"/>
  <c r="B2518" i="2"/>
  <c r="C2518" i="2" s="1"/>
  <c r="F2518" i="2" s="1"/>
  <c r="G2518" i="2" s="1"/>
  <c r="E2523" i="1" s="1"/>
  <c r="A2470" i="2"/>
  <c r="B2470" i="2"/>
  <c r="C2470" i="2" s="1"/>
  <c r="F2470" i="2" s="1"/>
  <c r="G2470" i="2" s="1"/>
  <c r="E2475" i="1" s="1"/>
  <c r="A2438" i="2"/>
  <c r="B2438" i="2"/>
  <c r="C2438" i="2" s="1"/>
  <c r="F2438" i="2" s="1"/>
  <c r="G2438" i="2" s="1"/>
  <c r="E2443" i="1" s="1"/>
  <c r="A2382" i="2"/>
  <c r="B2382" i="2"/>
  <c r="C2382" i="2" s="1"/>
  <c r="F2382" i="2" s="1"/>
  <c r="G2382" i="2" s="1"/>
  <c r="E2387" i="1" s="1"/>
  <c r="A2334" i="2"/>
  <c r="B2334" i="2"/>
  <c r="C2334" i="2" s="1"/>
  <c r="F2334" i="2" s="1"/>
  <c r="G2334" i="2" s="1"/>
  <c r="E2339" i="1" s="1"/>
  <c r="A2302" i="2"/>
  <c r="B2302" i="2"/>
  <c r="C2302" i="2" s="1"/>
  <c r="F2302" i="2" s="1"/>
  <c r="G2302" i="2" s="1"/>
  <c r="E2307" i="1" s="1"/>
  <c r="A2246" i="2"/>
  <c r="B2246" i="2"/>
  <c r="C2246" i="2" s="1"/>
  <c r="F2246" i="2" s="1"/>
  <c r="G2246" i="2" s="1"/>
  <c r="E2251" i="1" s="1"/>
  <c r="A2198" i="2"/>
  <c r="B2198" i="2"/>
  <c r="C2198" i="2" s="1"/>
  <c r="F2198" i="2" s="1"/>
  <c r="G2198" i="2" s="1"/>
  <c r="E2203" i="1" s="1"/>
  <c r="A2150" i="2"/>
  <c r="B2150" i="2"/>
  <c r="C2150" i="2" s="1"/>
  <c r="F2150" i="2" s="1"/>
  <c r="G2150" i="2" s="1"/>
  <c r="E2155" i="1" s="1"/>
  <c r="A2102" i="2"/>
  <c r="B2102" i="2"/>
  <c r="C2102" i="2" s="1"/>
  <c r="F2102" i="2" s="1"/>
  <c r="G2102" i="2" s="1"/>
  <c r="E2107" i="1" s="1"/>
  <c r="A2054" i="2"/>
  <c r="B2054" i="2"/>
  <c r="C2054" i="2" s="1"/>
  <c r="F2054" i="2" s="1"/>
  <c r="G2054" i="2" s="1"/>
  <c r="E2059" i="1" s="1"/>
  <c r="A1998" i="2"/>
  <c r="B1998" i="2"/>
  <c r="C1998" i="2" s="1"/>
  <c r="F1998" i="2" s="1"/>
  <c r="G1998" i="2" s="1"/>
  <c r="E2003" i="1" s="1"/>
  <c r="A1942" i="2"/>
  <c r="B1942" i="2"/>
  <c r="C1942" i="2" s="1"/>
  <c r="F1942" i="2" s="1"/>
  <c r="G1942" i="2" s="1"/>
  <c r="E1947" i="1" s="1"/>
  <c r="A1886" i="2"/>
  <c r="B1886" i="2"/>
  <c r="C1886" i="2" s="1"/>
  <c r="F1886" i="2" s="1"/>
  <c r="G1886" i="2" s="1"/>
  <c r="E1891" i="1" s="1"/>
  <c r="A1838" i="2"/>
  <c r="B1838" i="2"/>
  <c r="C1838" i="2" s="1"/>
  <c r="F1838" i="2" s="1"/>
  <c r="G1838" i="2" s="1"/>
  <c r="E1843" i="1" s="1"/>
  <c r="A1782" i="2"/>
  <c r="B1782" i="2"/>
  <c r="C1782" i="2" s="1"/>
  <c r="F1782" i="2" s="1"/>
  <c r="G1782" i="2" s="1"/>
  <c r="E1787" i="1" s="1"/>
  <c r="A1734" i="2"/>
  <c r="B1734" i="2"/>
  <c r="C1734" i="2" s="1"/>
  <c r="F1734" i="2" s="1"/>
  <c r="G1734" i="2" s="1"/>
  <c r="E1739" i="1" s="1"/>
  <c r="A1694" i="2"/>
  <c r="B1694" i="2"/>
  <c r="C1694" i="2" s="1"/>
  <c r="F1694" i="2" s="1"/>
  <c r="G1694" i="2" s="1"/>
  <c r="E1699" i="1" s="1"/>
  <c r="A1646" i="2"/>
  <c r="B1646" i="2"/>
  <c r="C1646" i="2" s="1"/>
  <c r="F1646" i="2" s="1"/>
  <c r="G1646" i="2" s="1"/>
  <c r="E1651" i="1" s="1"/>
  <c r="A1590" i="2"/>
  <c r="B1590" i="2"/>
  <c r="C1590" i="2" s="1"/>
  <c r="F1590" i="2" s="1"/>
  <c r="G1590" i="2" s="1"/>
  <c r="E1595" i="1" s="1"/>
  <c r="A1542" i="2"/>
  <c r="B1542" i="2"/>
  <c r="C1542" i="2" s="1"/>
  <c r="F1542" i="2" s="1"/>
  <c r="G1542" i="2" s="1"/>
  <c r="E1547" i="1" s="1"/>
  <c r="A1494" i="2"/>
  <c r="B1494" i="2"/>
  <c r="C1494" i="2" s="1"/>
  <c r="F1494" i="2" s="1"/>
  <c r="G1494" i="2" s="1"/>
  <c r="E1499" i="1" s="1"/>
  <c r="A1446" i="2"/>
  <c r="B1446" i="2"/>
  <c r="C1446" i="2" s="1"/>
  <c r="F1446" i="2" s="1"/>
  <c r="G1446" i="2" s="1"/>
  <c r="E1451" i="1" s="1"/>
  <c r="A1398" i="2"/>
  <c r="B1398" i="2"/>
  <c r="C1398" i="2" s="1"/>
  <c r="F1398" i="2" s="1"/>
  <c r="G1398" i="2" s="1"/>
  <c r="E1403" i="1" s="1"/>
  <c r="A1350" i="2"/>
  <c r="B1350" i="2"/>
  <c r="C1350" i="2" s="1"/>
  <c r="F1350" i="2" s="1"/>
  <c r="G1350" i="2" s="1"/>
  <c r="E1355" i="1" s="1"/>
  <c r="A1310" i="2"/>
  <c r="B1310" i="2"/>
  <c r="C1310" i="2" s="1"/>
  <c r="F1310" i="2" s="1"/>
  <c r="G1310" i="2" s="1"/>
  <c r="E1315" i="1" s="1"/>
  <c r="A1262" i="2"/>
  <c r="B1262" i="2"/>
  <c r="C1262" i="2" s="1"/>
  <c r="F1262" i="2" s="1"/>
  <c r="G1262" i="2" s="1"/>
  <c r="E1267" i="1" s="1"/>
  <c r="A1222" i="2"/>
  <c r="B1222" i="2"/>
  <c r="C1222" i="2" s="1"/>
  <c r="F1222" i="2" s="1"/>
  <c r="G1222" i="2" s="1"/>
  <c r="E1227" i="1" s="1"/>
  <c r="A1174" i="2"/>
  <c r="B1174" i="2"/>
  <c r="C1174" i="2" s="1"/>
  <c r="F1174" i="2" s="1"/>
  <c r="G1174" i="2" s="1"/>
  <c r="E1179" i="1" s="1"/>
  <c r="A1126" i="2"/>
  <c r="B1126" i="2"/>
  <c r="C1126" i="2" s="1"/>
  <c r="F1126" i="2" s="1"/>
  <c r="G1126" i="2" s="1"/>
  <c r="E1131" i="1" s="1"/>
  <c r="A1054" i="2"/>
  <c r="B1054" i="2"/>
  <c r="C1054" i="2" s="1"/>
  <c r="F1054" i="2" s="1"/>
  <c r="G1054" i="2" s="1"/>
  <c r="E1059" i="1" s="1"/>
  <c r="A3943" i="2"/>
  <c r="B3943" i="2"/>
  <c r="C3943" i="2" s="1"/>
  <c r="F3943" i="2" s="1"/>
  <c r="G3943" i="2" s="1"/>
  <c r="E3948" i="1" s="1"/>
  <c r="A3887" i="2"/>
  <c r="B3887" i="2"/>
  <c r="C3887" i="2" s="1"/>
  <c r="F3887" i="2" s="1"/>
  <c r="G3887" i="2" s="1"/>
  <c r="E3892" i="1" s="1"/>
  <c r="A3823" i="2"/>
  <c r="B3823" i="2"/>
  <c r="C3823" i="2" s="1"/>
  <c r="F3823" i="2" s="1"/>
  <c r="G3823" i="2" s="1"/>
  <c r="E3828" i="1" s="1"/>
  <c r="A3783" i="2"/>
  <c r="B3783" i="2"/>
  <c r="C3783" i="2" s="1"/>
  <c r="F3783" i="2" s="1"/>
  <c r="G3783" i="2" s="1"/>
  <c r="E3788" i="1" s="1"/>
  <c r="A3727" i="2"/>
  <c r="B3727" i="2"/>
  <c r="C3727" i="2" s="1"/>
  <c r="F3727" i="2" s="1"/>
  <c r="G3727" i="2" s="1"/>
  <c r="E3732" i="1" s="1"/>
  <c r="A3671" i="2"/>
  <c r="B3671" i="2"/>
  <c r="C3671" i="2" s="1"/>
  <c r="F3671" i="2" s="1"/>
  <c r="G3671" i="2" s="1"/>
  <c r="E3676" i="1" s="1"/>
  <c r="A3615" i="2"/>
  <c r="B3615" i="2"/>
  <c r="C3615" i="2" s="1"/>
  <c r="F3615" i="2" s="1"/>
  <c r="G3615" i="2" s="1"/>
  <c r="E3620" i="1" s="1"/>
  <c r="A3559" i="2"/>
  <c r="B3559" i="2"/>
  <c r="C3559" i="2" s="1"/>
  <c r="F3559" i="2" s="1"/>
  <c r="G3559" i="2" s="1"/>
  <c r="E3564" i="1" s="1"/>
  <c r="A3503" i="2"/>
  <c r="B3503" i="2"/>
  <c r="C3503" i="2" s="1"/>
  <c r="F3503" i="2" s="1"/>
  <c r="G3503" i="2" s="1"/>
  <c r="E3508" i="1" s="1"/>
  <c r="A3455" i="2"/>
  <c r="B3455" i="2"/>
  <c r="C3455" i="2" s="1"/>
  <c r="F3455" i="2" s="1"/>
  <c r="G3455" i="2" s="1"/>
  <c r="E3460" i="1" s="1"/>
  <c r="A3391" i="2"/>
  <c r="B3391" i="2"/>
  <c r="C3391" i="2" s="1"/>
  <c r="F3391" i="2" s="1"/>
  <c r="G3391" i="2" s="1"/>
  <c r="E3396" i="1" s="1"/>
  <c r="A3335" i="2"/>
  <c r="B3335" i="2"/>
  <c r="C3335" i="2" s="1"/>
  <c r="F3335" i="2" s="1"/>
  <c r="G3335" i="2" s="1"/>
  <c r="E3340" i="1" s="1"/>
  <c r="A3287" i="2"/>
  <c r="B3287" i="2"/>
  <c r="C3287" i="2" s="1"/>
  <c r="F3287" i="2" s="1"/>
  <c r="G3287" i="2" s="1"/>
  <c r="E3292" i="1" s="1"/>
  <c r="A3247" i="2"/>
  <c r="B3247" i="2"/>
  <c r="C3247" i="2" s="1"/>
  <c r="F3247" i="2" s="1"/>
  <c r="G3247" i="2" s="1"/>
  <c r="E3252" i="1" s="1"/>
  <c r="A3191" i="2"/>
  <c r="B3191" i="2"/>
  <c r="C3191" i="2" s="1"/>
  <c r="F3191" i="2" s="1"/>
  <c r="G3191" i="2" s="1"/>
  <c r="E3196" i="1" s="1"/>
  <c r="A3143" i="2"/>
  <c r="B3143" i="2"/>
  <c r="C3143" i="2" s="1"/>
  <c r="F3143" i="2" s="1"/>
  <c r="G3143" i="2" s="1"/>
  <c r="E3148" i="1" s="1"/>
  <c r="A3079" i="2"/>
  <c r="B3079" i="2"/>
  <c r="C3079" i="2" s="1"/>
  <c r="F3079" i="2" s="1"/>
  <c r="G3079" i="2" s="1"/>
  <c r="E3084" i="1" s="1"/>
  <c r="A3039" i="2"/>
  <c r="B3039" i="2"/>
  <c r="C3039" i="2" s="1"/>
  <c r="F3039" i="2" s="1"/>
  <c r="G3039" i="2" s="1"/>
  <c r="E3044" i="1" s="1"/>
  <c r="A2983" i="2"/>
  <c r="B2983" i="2"/>
  <c r="C2983" i="2" s="1"/>
  <c r="F2983" i="2" s="1"/>
  <c r="G2983" i="2" s="1"/>
  <c r="E2988" i="1" s="1"/>
  <c r="A2831" i="2"/>
  <c r="B2831" i="2"/>
  <c r="C2831" i="2" s="1"/>
  <c r="F2831" i="2" s="1"/>
  <c r="G2831" i="2" s="1"/>
  <c r="E2836" i="1" s="1"/>
  <c r="A3990" i="2"/>
  <c r="B3990" i="2"/>
  <c r="C3990" i="2" s="1"/>
  <c r="F3990" i="2" s="1"/>
  <c r="G3990" i="2" s="1"/>
  <c r="E3995" i="1" s="1"/>
  <c r="A3950" i="2"/>
  <c r="B3950" i="2"/>
  <c r="C3950" i="2" s="1"/>
  <c r="F3950" i="2" s="1"/>
  <c r="G3950" i="2" s="1"/>
  <c r="E3955" i="1" s="1"/>
  <c r="A3902" i="2"/>
  <c r="B3902" i="2"/>
  <c r="C3902" i="2" s="1"/>
  <c r="F3902" i="2" s="1"/>
  <c r="G3902" i="2" s="1"/>
  <c r="E3907" i="1" s="1"/>
  <c r="A3854" i="2"/>
  <c r="B3854" i="2"/>
  <c r="C3854" i="2" s="1"/>
  <c r="F3854" i="2" s="1"/>
  <c r="G3854" i="2" s="1"/>
  <c r="E3859" i="1" s="1"/>
  <c r="A3806" i="2"/>
  <c r="B3806" i="2"/>
  <c r="C3806" i="2" s="1"/>
  <c r="F3806" i="2" s="1"/>
  <c r="G3806" i="2" s="1"/>
  <c r="E3811" i="1" s="1"/>
  <c r="A3758" i="2"/>
  <c r="B3758" i="2"/>
  <c r="C3758" i="2" s="1"/>
  <c r="F3758" i="2" s="1"/>
  <c r="G3758" i="2" s="1"/>
  <c r="E3763" i="1" s="1"/>
  <c r="A3710" i="2"/>
  <c r="B3710" i="2"/>
  <c r="C3710" i="2" s="1"/>
  <c r="F3710" i="2" s="1"/>
  <c r="G3710" i="2" s="1"/>
  <c r="E3715" i="1" s="1"/>
  <c r="A3662" i="2"/>
  <c r="B3662" i="2"/>
  <c r="C3662" i="2" s="1"/>
  <c r="F3662" i="2" s="1"/>
  <c r="G3662" i="2" s="1"/>
  <c r="E3667" i="1" s="1"/>
  <c r="A3614" i="2"/>
  <c r="B3614" i="2"/>
  <c r="C3614" i="2" s="1"/>
  <c r="F3614" i="2" s="1"/>
  <c r="G3614" i="2" s="1"/>
  <c r="E3619" i="1" s="1"/>
  <c r="A3566" i="2"/>
  <c r="B3566" i="2"/>
  <c r="C3566" i="2" s="1"/>
  <c r="F3566" i="2" s="1"/>
  <c r="G3566" i="2" s="1"/>
  <c r="E3571" i="1" s="1"/>
  <c r="A3518" i="2"/>
  <c r="B3518" i="2"/>
  <c r="C3518" i="2" s="1"/>
  <c r="F3518" i="2" s="1"/>
  <c r="G3518" i="2" s="1"/>
  <c r="E3523" i="1" s="1"/>
  <c r="A3470" i="2"/>
  <c r="B3470" i="2"/>
  <c r="C3470" i="2" s="1"/>
  <c r="F3470" i="2" s="1"/>
  <c r="G3470" i="2" s="1"/>
  <c r="E3475" i="1" s="1"/>
  <c r="A3414" i="2"/>
  <c r="B3414" i="2"/>
  <c r="C3414" i="2" s="1"/>
  <c r="F3414" i="2" s="1"/>
  <c r="G3414" i="2" s="1"/>
  <c r="E3419" i="1" s="1"/>
  <c r="A3374" i="2"/>
  <c r="B3374" i="2"/>
  <c r="C3374" i="2" s="1"/>
  <c r="F3374" i="2" s="1"/>
  <c r="G3374" i="2" s="1"/>
  <c r="E3379" i="1" s="1"/>
  <c r="A3326" i="2"/>
  <c r="B3326" i="2"/>
  <c r="C3326" i="2" s="1"/>
  <c r="F3326" i="2" s="1"/>
  <c r="G3326" i="2" s="1"/>
  <c r="E3331" i="1" s="1"/>
  <c r="A3270" i="2"/>
  <c r="B3270" i="2"/>
  <c r="C3270" i="2" s="1"/>
  <c r="F3270" i="2" s="1"/>
  <c r="G3270" i="2" s="1"/>
  <c r="E3275" i="1" s="1"/>
  <c r="A3222" i="2"/>
  <c r="B3222" i="2"/>
  <c r="C3222" i="2" s="1"/>
  <c r="F3222" i="2" s="1"/>
  <c r="G3222" i="2" s="1"/>
  <c r="E3227" i="1" s="1"/>
  <c r="A3174" i="2"/>
  <c r="B3174" i="2"/>
  <c r="C3174" i="2" s="1"/>
  <c r="F3174" i="2" s="1"/>
  <c r="G3174" i="2" s="1"/>
  <c r="E3179" i="1" s="1"/>
  <c r="A3126" i="2"/>
  <c r="B3126" i="2"/>
  <c r="C3126" i="2" s="1"/>
  <c r="F3126" i="2" s="1"/>
  <c r="G3126" i="2" s="1"/>
  <c r="E3131" i="1" s="1"/>
  <c r="A3078" i="2"/>
  <c r="B3078" i="2"/>
  <c r="C3078" i="2" s="1"/>
  <c r="F3078" i="2" s="1"/>
  <c r="G3078" i="2" s="1"/>
  <c r="E3083" i="1" s="1"/>
  <c r="A3022" i="2"/>
  <c r="B3022" i="2"/>
  <c r="C3022" i="2" s="1"/>
  <c r="F3022" i="2" s="1"/>
  <c r="G3022" i="2" s="1"/>
  <c r="E3027" i="1" s="1"/>
  <c r="A2886" i="2"/>
  <c r="B2886" i="2"/>
  <c r="C2886" i="2" s="1"/>
  <c r="F2886" i="2" s="1"/>
  <c r="G2886" i="2" s="1"/>
  <c r="E2891" i="1" s="1"/>
  <c r="A2038" i="2"/>
  <c r="B2038" i="2"/>
  <c r="C2038" i="2" s="1"/>
  <c r="F2038" i="2" s="1"/>
  <c r="G2038" i="2" s="1"/>
  <c r="E2043" i="1" s="1"/>
  <c r="A1990" i="2"/>
  <c r="B1990" i="2"/>
  <c r="C1990" i="2" s="1"/>
  <c r="F1990" i="2" s="1"/>
  <c r="G1990" i="2" s="1"/>
  <c r="E1995" i="1" s="1"/>
  <c r="A1934" i="2"/>
  <c r="B1934" i="2"/>
  <c r="C1934" i="2" s="1"/>
  <c r="F1934" i="2" s="1"/>
  <c r="G1934" i="2" s="1"/>
  <c r="E1939" i="1" s="1"/>
  <c r="A1878" i="2"/>
  <c r="B1878" i="2"/>
  <c r="C1878" i="2" s="1"/>
  <c r="F1878" i="2" s="1"/>
  <c r="G1878" i="2" s="1"/>
  <c r="E1883" i="1" s="1"/>
  <c r="A1830" i="2"/>
  <c r="B1830" i="2"/>
  <c r="C1830" i="2" s="1"/>
  <c r="F1830" i="2" s="1"/>
  <c r="G1830" i="2" s="1"/>
  <c r="E1835" i="1" s="1"/>
  <c r="A1766" i="2"/>
  <c r="B1766" i="2"/>
  <c r="C1766" i="2" s="1"/>
  <c r="F1766" i="2" s="1"/>
  <c r="G1766" i="2" s="1"/>
  <c r="E1771" i="1" s="1"/>
  <c r="A1718" i="2"/>
  <c r="B1718" i="2"/>
  <c r="C1718" i="2" s="1"/>
  <c r="F1718" i="2" s="1"/>
  <c r="G1718" i="2" s="1"/>
  <c r="E1723" i="1" s="1"/>
  <c r="A1686" i="2"/>
  <c r="B1686" i="2"/>
  <c r="C1686" i="2" s="1"/>
  <c r="F1686" i="2" s="1"/>
  <c r="G1686" i="2" s="1"/>
  <c r="E1691" i="1" s="1"/>
  <c r="A1638" i="2"/>
  <c r="B1638" i="2"/>
  <c r="C1638" i="2" s="1"/>
  <c r="F1638" i="2" s="1"/>
  <c r="G1638" i="2" s="1"/>
  <c r="E1643" i="1" s="1"/>
  <c r="A1574" i="2"/>
  <c r="B1574" i="2"/>
  <c r="C1574" i="2" s="1"/>
  <c r="F1574" i="2" s="1"/>
  <c r="G1574" i="2" s="1"/>
  <c r="E1579" i="1" s="1"/>
  <c r="A1534" i="2"/>
  <c r="B1534" i="2"/>
  <c r="C1534" i="2" s="1"/>
  <c r="F1534" i="2" s="1"/>
  <c r="G1534" i="2" s="1"/>
  <c r="E1539" i="1" s="1"/>
  <c r="A1478" i="2"/>
  <c r="B1478" i="2"/>
  <c r="C1478" i="2" s="1"/>
  <c r="F1478" i="2" s="1"/>
  <c r="G1478" i="2" s="1"/>
  <c r="E1483" i="1" s="1"/>
  <c r="A1438" i="2"/>
  <c r="B1438" i="2"/>
  <c r="C1438" i="2" s="1"/>
  <c r="F1438" i="2" s="1"/>
  <c r="G1438" i="2" s="1"/>
  <c r="E1443" i="1" s="1"/>
  <c r="A1390" i="2"/>
  <c r="B1390" i="2"/>
  <c r="C1390" i="2" s="1"/>
  <c r="F1390" i="2" s="1"/>
  <c r="G1390" i="2" s="1"/>
  <c r="E1395" i="1" s="1"/>
  <c r="A1334" i="2"/>
  <c r="B1334" i="2"/>
  <c r="C1334" i="2" s="1"/>
  <c r="F1334" i="2" s="1"/>
  <c r="G1334" i="2" s="1"/>
  <c r="E1339" i="1" s="1"/>
  <c r="A1294" i="2"/>
  <c r="B1294" i="2"/>
  <c r="C1294" i="2" s="1"/>
  <c r="F1294" i="2" s="1"/>
  <c r="G1294" i="2" s="1"/>
  <c r="E1299" i="1" s="1"/>
  <c r="A1254" i="2"/>
  <c r="B1254" i="2"/>
  <c r="C1254" i="2" s="1"/>
  <c r="F1254" i="2" s="1"/>
  <c r="G1254" i="2" s="1"/>
  <c r="E1259" i="1" s="1"/>
  <c r="A1206" i="2"/>
  <c r="B1206" i="2"/>
  <c r="C1206" i="2" s="1"/>
  <c r="F1206" i="2" s="1"/>
  <c r="G1206" i="2" s="1"/>
  <c r="E1211" i="1" s="1"/>
  <c r="A1142" i="2"/>
  <c r="B1142" i="2"/>
  <c r="C1142" i="2" s="1"/>
  <c r="F1142" i="2" s="1"/>
  <c r="G1142" i="2" s="1"/>
  <c r="E1147" i="1" s="1"/>
  <c r="A1086" i="2"/>
  <c r="B1086" i="2"/>
  <c r="C1086" i="2" s="1"/>
  <c r="F1086" i="2" s="1"/>
  <c r="G1086" i="2" s="1"/>
  <c r="E1091" i="1" s="1"/>
  <c r="A1030" i="2"/>
  <c r="B1030" i="2"/>
  <c r="C1030" i="2" s="1"/>
  <c r="F1030" i="2" s="1"/>
  <c r="G1030" i="2" s="1"/>
  <c r="E1035" i="1" s="1"/>
  <c r="A3967" i="2"/>
  <c r="B3967" i="2"/>
  <c r="C3967" i="2" s="1"/>
  <c r="F3967" i="2" s="1"/>
  <c r="G3967" i="2" s="1"/>
  <c r="E3972" i="1" s="1"/>
  <c r="A3911" i="2"/>
  <c r="B3911" i="2"/>
  <c r="C3911" i="2" s="1"/>
  <c r="F3911" i="2" s="1"/>
  <c r="G3911" i="2" s="1"/>
  <c r="E3916" i="1" s="1"/>
  <c r="A3855" i="2"/>
  <c r="B3855" i="2"/>
  <c r="C3855" i="2" s="1"/>
  <c r="F3855" i="2" s="1"/>
  <c r="G3855" i="2" s="1"/>
  <c r="E3860" i="1" s="1"/>
  <c r="A3799" i="2"/>
  <c r="B3799" i="2"/>
  <c r="C3799" i="2" s="1"/>
  <c r="F3799" i="2" s="1"/>
  <c r="G3799" i="2" s="1"/>
  <c r="E3804" i="1" s="1"/>
  <c r="A3735" i="2"/>
  <c r="B3735" i="2"/>
  <c r="C3735" i="2" s="1"/>
  <c r="F3735" i="2" s="1"/>
  <c r="G3735" i="2" s="1"/>
  <c r="E3740" i="1" s="1"/>
  <c r="A3679" i="2"/>
  <c r="B3679" i="2"/>
  <c r="C3679" i="2" s="1"/>
  <c r="F3679" i="2" s="1"/>
  <c r="G3679" i="2" s="1"/>
  <c r="E3684" i="1" s="1"/>
  <c r="A3623" i="2"/>
  <c r="B3623" i="2"/>
  <c r="C3623" i="2" s="1"/>
  <c r="F3623" i="2" s="1"/>
  <c r="G3623" i="2" s="1"/>
  <c r="E3628" i="1" s="1"/>
  <c r="A3567" i="2"/>
  <c r="B3567" i="2"/>
  <c r="C3567" i="2" s="1"/>
  <c r="F3567" i="2" s="1"/>
  <c r="G3567" i="2" s="1"/>
  <c r="E3572" i="1" s="1"/>
  <c r="A3495" i="2"/>
  <c r="B3495" i="2"/>
  <c r="C3495" i="2" s="1"/>
  <c r="F3495" i="2" s="1"/>
  <c r="G3495" i="2" s="1"/>
  <c r="E3500" i="1" s="1"/>
  <c r="A3439" i="2"/>
  <c r="B3439" i="2"/>
  <c r="C3439" i="2" s="1"/>
  <c r="F3439" i="2" s="1"/>
  <c r="G3439" i="2" s="1"/>
  <c r="E3444" i="1" s="1"/>
  <c r="A3383" i="2"/>
  <c r="B3383" i="2"/>
  <c r="C3383" i="2" s="1"/>
  <c r="F3383" i="2" s="1"/>
  <c r="G3383" i="2" s="1"/>
  <c r="E3388" i="1" s="1"/>
  <c r="A3295" i="2"/>
  <c r="B3295" i="2"/>
  <c r="C3295" i="2" s="1"/>
  <c r="F3295" i="2" s="1"/>
  <c r="G3295" i="2" s="1"/>
  <c r="E3300" i="1" s="1"/>
  <c r="A2943" i="2"/>
  <c r="B2943" i="2"/>
  <c r="C2943" i="2" s="1"/>
  <c r="F2943" i="2" s="1"/>
  <c r="G2943" i="2" s="1"/>
  <c r="E2948" i="1" s="1"/>
  <c r="A2935" i="2"/>
  <c r="B2935" i="2"/>
  <c r="C2935" i="2" s="1"/>
  <c r="F2935" i="2" s="1"/>
  <c r="G2935" i="2" s="1"/>
  <c r="E2940" i="1" s="1"/>
  <c r="A2927" i="2"/>
  <c r="B2927" i="2"/>
  <c r="C2927" i="2" s="1"/>
  <c r="F2927" i="2" s="1"/>
  <c r="G2927" i="2" s="1"/>
  <c r="E2932" i="1" s="1"/>
  <c r="A2919" i="2"/>
  <c r="B2919" i="2"/>
  <c r="C2919" i="2" s="1"/>
  <c r="F2919" i="2" s="1"/>
  <c r="G2919" i="2" s="1"/>
  <c r="E2924" i="1" s="1"/>
  <c r="A2911" i="2"/>
  <c r="B2911" i="2"/>
  <c r="C2911" i="2" s="1"/>
  <c r="F2911" i="2" s="1"/>
  <c r="G2911" i="2" s="1"/>
  <c r="E2916" i="1" s="1"/>
  <c r="A2903" i="2"/>
  <c r="B2903" i="2"/>
  <c r="C2903" i="2" s="1"/>
  <c r="F2903" i="2" s="1"/>
  <c r="G2903" i="2" s="1"/>
  <c r="E2908" i="1" s="1"/>
  <c r="A2895" i="2"/>
  <c r="B2895" i="2"/>
  <c r="C2895" i="2" s="1"/>
  <c r="F2895" i="2" s="1"/>
  <c r="G2895" i="2" s="1"/>
  <c r="E2900" i="1" s="1"/>
  <c r="A2887" i="2"/>
  <c r="B2887" i="2"/>
  <c r="C2887" i="2" s="1"/>
  <c r="F2887" i="2" s="1"/>
  <c r="G2887" i="2" s="1"/>
  <c r="E2892" i="1" s="1"/>
  <c r="A2879" i="2"/>
  <c r="B2879" i="2"/>
  <c r="C2879" i="2" s="1"/>
  <c r="F2879" i="2" s="1"/>
  <c r="G2879" i="2" s="1"/>
  <c r="E2884" i="1" s="1"/>
  <c r="A2815" i="2"/>
  <c r="B2815" i="2"/>
  <c r="C2815" i="2" s="1"/>
  <c r="F2815" i="2" s="1"/>
  <c r="G2815" i="2" s="1"/>
  <c r="E2820" i="1" s="1"/>
  <c r="A2807" i="2"/>
  <c r="B2807" i="2"/>
  <c r="C2807" i="2" s="1"/>
  <c r="F2807" i="2" s="1"/>
  <c r="G2807" i="2" s="1"/>
  <c r="E2812" i="1" s="1"/>
  <c r="A2799" i="2"/>
  <c r="B2799" i="2"/>
  <c r="C2799" i="2" s="1"/>
  <c r="F2799" i="2" s="1"/>
  <c r="G2799" i="2" s="1"/>
  <c r="E2804" i="1" s="1"/>
  <c r="A2791" i="2"/>
  <c r="B2791" i="2"/>
  <c r="C2791" i="2" s="1"/>
  <c r="F2791" i="2" s="1"/>
  <c r="G2791" i="2" s="1"/>
  <c r="E2796" i="1" s="1"/>
  <c r="A2783" i="2"/>
  <c r="B2783" i="2"/>
  <c r="C2783" i="2" s="1"/>
  <c r="F2783" i="2" s="1"/>
  <c r="G2783" i="2" s="1"/>
  <c r="E2788" i="1" s="1"/>
  <c r="A2775" i="2"/>
  <c r="B2775" i="2"/>
  <c r="C2775" i="2" s="1"/>
  <c r="F2775" i="2" s="1"/>
  <c r="G2775" i="2" s="1"/>
  <c r="E2780" i="1" s="1"/>
  <c r="A2767" i="2"/>
  <c r="B2767" i="2"/>
  <c r="C2767" i="2" s="1"/>
  <c r="F2767" i="2" s="1"/>
  <c r="G2767" i="2" s="1"/>
  <c r="E2772" i="1" s="1"/>
  <c r="A2759" i="2"/>
  <c r="B2759" i="2"/>
  <c r="C2759" i="2" s="1"/>
  <c r="F2759" i="2" s="1"/>
  <c r="G2759" i="2" s="1"/>
  <c r="E2764" i="1" s="1"/>
  <c r="A2751" i="2"/>
  <c r="B2751" i="2"/>
  <c r="C2751" i="2" s="1"/>
  <c r="F2751" i="2" s="1"/>
  <c r="G2751" i="2" s="1"/>
  <c r="E2756" i="1" s="1"/>
  <c r="A2743" i="2"/>
  <c r="B2743" i="2"/>
  <c r="C2743" i="2" s="1"/>
  <c r="F2743" i="2" s="1"/>
  <c r="G2743" i="2" s="1"/>
  <c r="E2748" i="1" s="1"/>
  <c r="A2735" i="2"/>
  <c r="B2735" i="2"/>
  <c r="C2735" i="2" s="1"/>
  <c r="F2735" i="2" s="1"/>
  <c r="G2735" i="2" s="1"/>
  <c r="E2740" i="1" s="1"/>
  <c r="A2727" i="2"/>
  <c r="B2727" i="2"/>
  <c r="C2727" i="2" s="1"/>
  <c r="F2727" i="2" s="1"/>
  <c r="G2727" i="2" s="1"/>
  <c r="E2732" i="1" s="1"/>
  <c r="A2719" i="2"/>
  <c r="B2719" i="2"/>
  <c r="C2719" i="2" s="1"/>
  <c r="F2719" i="2" s="1"/>
  <c r="G2719" i="2" s="1"/>
  <c r="E2724" i="1" s="1"/>
  <c r="A2711" i="2"/>
  <c r="B2711" i="2"/>
  <c r="C2711" i="2" s="1"/>
  <c r="F2711" i="2" s="1"/>
  <c r="G2711" i="2" s="1"/>
  <c r="E2716" i="1" s="1"/>
  <c r="A2703" i="2"/>
  <c r="B2703" i="2"/>
  <c r="C2703" i="2" s="1"/>
  <c r="F2703" i="2" s="1"/>
  <c r="G2703" i="2" s="1"/>
  <c r="E2708" i="1" s="1"/>
  <c r="A2695" i="2"/>
  <c r="B2695" i="2"/>
  <c r="C2695" i="2" s="1"/>
  <c r="F2695" i="2" s="1"/>
  <c r="G2695" i="2" s="1"/>
  <c r="E2700" i="1" s="1"/>
  <c r="A2687" i="2"/>
  <c r="B2687" i="2"/>
  <c r="C2687" i="2" s="1"/>
  <c r="F2687" i="2" s="1"/>
  <c r="G2687" i="2" s="1"/>
  <c r="E2692" i="1" s="1"/>
  <c r="A2679" i="2"/>
  <c r="B2679" i="2"/>
  <c r="C2679" i="2" s="1"/>
  <c r="F2679" i="2" s="1"/>
  <c r="G2679" i="2" s="1"/>
  <c r="E2684" i="1" s="1"/>
  <c r="A2671" i="2"/>
  <c r="B2671" i="2"/>
  <c r="C2671" i="2" s="1"/>
  <c r="F2671" i="2" s="1"/>
  <c r="G2671" i="2" s="1"/>
  <c r="E2676" i="1" s="1"/>
  <c r="A2663" i="2"/>
  <c r="B2663" i="2"/>
  <c r="C2663" i="2" s="1"/>
  <c r="F2663" i="2" s="1"/>
  <c r="G2663" i="2" s="1"/>
  <c r="E2668" i="1" s="1"/>
  <c r="A2655" i="2"/>
  <c r="B2655" i="2"/>
  <c r="C2655" i="2" s="1"/>
  <c r="F2655" i="2" s="1"/>
  <c r="G2655" i="2" s="1"/>
  <c r="E2660" i="1" s="1"/>
  <c r="A2647" i="2"/>
  <c r="B2647" i="2"/>
  <c r="C2647" i="2" s="1"/>
  <c r="F2647" i="2" s="1"/>
  <c r="G2647" i="2" s="1"/>
  <c r="E2652" i="1" s="1"/>
  <c r="A2639" i="2"/>
  <c r="B2639" i="2"/>
  <c r="C2639" i="2" s="1"/>
  <c r="F2639" i="2" s="1"/>
  <c r="G2639" i="2" s="1"/>
  <c r="E2644" i="1" s="1"/>
  <c r="A2631" i="2"/>
  <c r="B2631" i="2"/>
  <c r="C2631" i="2" s="1"/>
  <c r="F2631" i="2" s="1"/>
  <c r="G2631" i="2" s="1"/>
  <c r="E2636" i="1" s="1"/>
  <c r="A2623" i="2"/>
  <c r="B2623" i="2"/>
  <c r="C2623" i="2" s="1"/>
  <c r="F2623" i="2" s="1"/>
  <c r="G2623" i="2" s="1"/>
  <c r="E2628" i="1" s="1"/>
  <c r="A2615" i="2"/>
  <c r="B2615" i="2"/>
  <c r="C2615" i="2" s="1"/>
  <c r="F2615" i="2" s="1"/>
  <c r="G2615" i="2" s="1"/>
  <c r="E2620" i="1" s="1"/>
  <c r="A2607" i="2"/>
  <c r="B2607" i="2"/>
  <c r="C2607" i="2" s="1"/>
  <c r="F2607" i="2" s="1"/>
  <c r="G2607" i="2" s="1"/>
  <c r="E2612" i="1" s="1"/>
  <c r="A2599" i="2"/>
  <c r="B2599" i="2"/>
  <c r="C2599" i="2" s="1"/>
  <c r="F2599" i="2" s="1"/>
  <c r="G2599" i="2" s="1"/>
  <c r="E2604" i="1" s="1"/>
  <c r="A2591" i="2"/>
  <c r="B2591" i="2"/>
  <c r="C2591" i="2" s="1"/>
  <c r="F2591" i="2" s="1"/>
  <c r="G2591" i="2" s="1"/>
  <c r="E2596" i="1" s="1"/>
  <c r="A2583" i="2"/>
  <c r="B2583" i="2"/>
  <c r="C2583" i="2" s="1"/>
  <c r="F2583" i="2" s="1"/>
  <c r="G2583" i="2" s="1"/>
  <c r="E2588" i="1" s="1"/>
  <c r="A2575" i="2"/>
  <c r="B2575" i="2"/>
  <c r="C2575" i="2" s="1"/>
  <c r="F2575" i="2" s="1"/>
  <c r="G2575" i="2" s="1"/>
  <c r="E2580" i="1" s="1"/>
  <c r="A2567" i="2"/>
  <c r="B2567" i="2"/>
  <c r="C2567" i="2" s="1"/>
  <c r="F2567" i="2" s="1"/>
  <c r="G2567" i="2" s="1"/>
  <c r="E2572" i="1" s="1"/>
  <c r="A2559" i="2"/>
  <c r="B2559" i="2"/>
  <c r="C2559" i="2" s="1"/>
  <c r="F2559" i="2" s="1"/>
  <c r="G2559" i="2" s="1"/>
  <c r="E2564" i="1" s="1"/>
  <c r="A2551" i="2"/>
  <c r="B2551" i="2"/>
  <c r="C2551" i="2" s="1"/>
  <c r="F2551" i="2" s="1"/>
  <c r="G2551" i="2" s="1"/>
  <c r="E2556" i="1" s="1"/>
  <c r="A2543" i="2"/>
  <c r="B2543" i="2"/>
  <c r="C2543" i="2" s="1"/>
  <c r="F2543" i="2" s="1"/>
  <c r="G2543" i="2" s="1"/>
  <c r="E2548" i="1" s="1"/>
  <c r="A2535" i="2"/>
  <c r="B2535" i="2"/>
  <c r="C2535" i="2" s="1"/>
  <c r="F2535" i="2" s="1"/>
  <c r="G2535" i="2" s="1"/>
  <c r="E2540" i="1" s="1"/>
  <c r="A2527" i="2"/>
  <c r="B2527" i="2"/>
  <c r="C2527" i="2" s="1"/>
  <c r="F2527" i="2" s="1"/>
  <c r="G2527" i="2" s="1"/>
  <c r="E2532" i="1" s="1"/>
  <c r="A2519" i="2"/>
  <c r="B2519" i="2"/>
  <c r="C2519" i="2" s="1"/>
  <c r="F2519" i="2" s="1"/>
  <c r="G2519" i="2" s="1"/>
  <c r="E2524" i="1" s="1"/>
  <c r="A2511" i="2"/>
  <c r="B2511" i="2"/>
  <c r="C2511" i="2" s="1"/>
  <c r="F2511" i="2" s="1"/>
  <c r="G2511" i="2" s="1"/>
  <c r="E2516" i="1" s="1"/>
  <c r="A2503" i="2"/>
  <c r="B2503" i="2"/>
  <c r="C2503" i="2" s="1"/>
  <c r="F2503" i="2" s="1"/>
  <c r="G2503" i="2" s="1"/>
  <c r="E2508" i="1" s="1"/>
  <c r="A2495" i="2"/>
  <c r="B2495" i="2"/>
  <c r="C2495" i="2" s="1"/>
  <c r="F2495" i="2" s="1"/>
  <c r="G2495" i="2" s="1"/>
  <c r="E2500" i="1" s="1"/>
  <c r="A2487" i="2"/>
  <c r="B2487" i="2"/>
  <c r="C2487" i="2" s="1"/>
  <c r="F2487" i="2" s="1"/>
  <c r="G2487" i="2" s="1"/>
  <c r="E2492" i="1" s="1"/>
  <c r="A2479" i="2"/>
  <c r="B2479" i="2"/>
  <c r="C2479" i="2" s="1"/>
  <c r="F2479" i="2" s="1"/>
  <c r="G2479" i="2" s="1"/>
  <c r="E2484" i="1" s="1"/>
  <c r="A2471" i="2"/>
  <c r="B2471" i="2"/>
  <c r="C2471" i="2" s="1"/>
  <c r="F2471" i="2" s="1"/>
  <c r="G2471" i="2" s="1"/>
  <c r="E2476" i="1" s="1"/>
  <c r="A2463" i="2"/>
  <c r="B2463" i="2"/>
  <c r="C2463" i="2" s="1"/>
  <c r="F2463" i="2" s="1"/>
  <c r="G2463" i="2" s="1"/>
  <c r="E2468" i="1" s="1"/>
  <c r="A2455" i="2"/>
  <c r="B2455" i="2"/>
  <c r="C2455" i="2" s="1"/>
  <c r="F2455" i="2" s="1"/>
  <c r="G2455" i="2" s="1"/>
  <c r="E2460" i="1" s="1"/>
  <c r="A2447" i="2"/>
  <c r="B2447" i="2"/>
  <c r="C2447" i="2" s="1"/>
  <c r="F2447" i="2" s="1"/>
  <c r="G2447" i="2" s="1"/>
  <c r="E2452" i="1" s="1"/>
  <c r="A2439" i="2"/>
  <c r="B2439" i="2"/>
  <c r="C2439" i="2" s="1"/>
  <c r="F2439" i="2" s="1"/>
  <c r="G2439" i="2" s="1"/>
  <c r="E2444" i="1" s="1"/>
  <c r="A2431" i="2"/>
  <c r="B2431" i="2"/>
  <c r="C2431" i="2" s="1"/>
  <c r="F2431" i="2" s="1"/>
  <c r="G2431" i="2" s="1"/>
  <c r="E2436" i="1" s="1"/>
  <c r="A2423" i="2"/>
  <c r="B2423" i="2"/>
  <c r="C2423" i="2" s="1"/>
  <c r="F2423" i="2" s="1"/>
  <c r="G2423" i="2" s="1"/>
  <c r="E2428" i="1" s="1"/>
  <c r="A2415" i="2"/>
  <c r="B2415" i="2"/>
  <c r="C2415" i="2" s="1"/>
  <c r="F2415" i="2" s="1"/>
  <c r="G2415" i="2" s="1"/>
  <c r="E2420" i="1" s="1"/>
  <c r="A2407" i="2"/>
  <c r="B2407" i="2"/>
  <c r="C2407" i="2" s="1"/>
  <c r="F2407" i="2" s="1"/>
  <c r="G2407" i="2" s="1"/>
  <c r="E2412" i="1" s="1"/>
  <c r="A2399" i="2"/>
  <c r="B2399" i="2"/>
  <c r="C2399" i="2" s="1"/>
  <c r="F2399" i="2" s="1"/>
  <c r="G2399" i="2" s="1"/>
  <c r="E2404" i="1" s="1"/>
  <c r="A2391" i="2"/>
  <c r="B2391" i="2"/>
  <c r="C2391" i="2" s="1"/>
  <c r="F2391" i="2" s="1"/>
  <c r="G2391" i="2" s="1"/>
  <c r="E2396" i="1" s="1"/>
  <c r="A2383" i="2"/>
  <c r="B2383" i="2"/>
  <c r="C2383" i="2" s="1"/>
  <c r="F2383" i="2" s="1"/>
  <c r="G2383" i="2" s="1"/>
  <c r="E2388" i="1" s="1"/>
  <c r="A2375" i="2"/>
  <c r="B2375" i="2"/>
  <c r="C2375" i="2" s="1"/>
  <c r="F2375" i="2" s="1"/>
  <c r="G2375" i="2" s="1"/>
  <c r="E2380" i="1" s="1"/>
  <c r="A2367" i="2"/>
  <c r="B2367" i="2"/>
  <c r="C2367" i="2" s="1"/>
  <c r="F2367" i="2" s="1"/>
  <c r="G2367" i="2" s="1"/>
  <c r="E2372" i="1" s="1"/>
  <c r="A2359" i="2"/>
  <c r="B2359" i="2"/>
  <c r="C2359" i="2" s="1"/>
  <c r="F2359" i="2" s="1"/>
  <c r="G2359" i="2" s="1"/>
  <c r="E2364" i="1" s="1"/>
  <c r="A2351" i="2"/>
  <c r="B2351" i="2"/>
  <c r="C2351" i="2" s="1"/>
  <c r="F2351" i="2" s="1"/>
  <c r="G2351" i="2" s="1"/>
  <c r="E2356" i="1" s="1"/>
  <c r="A2343" i="2"/>
  <c r="B2343" i="2"/>
  <c r="C2343" i="2" s="1"/>
  <c r="F2343" i="2" s="1"/>
  <c r="G2343" i="2" s="1"/>
  <c r="E2348" i="1" s="1"/>
  <c r="A2335" i="2"/>
  <c r="B2335" i="2"/>
  <c r="C2335" i="2" s="1"/>
  <c r="F2335" i="2" s="1"/>
  <c r="G2335" i="2" s="1"/>
  <c r="E2340" i="1" s="1"/>
  <c r="A2327" i="2"/>
  <c r="B2327" i="2"/>
  <c r="C2327" i="2" s="1"/>
  <c r="F2327" i="2" s="1"/>
  <c r="G2327" i="2" s="1"/>
  <c r="E2332" i="1" s="1"/>
  <c r="A2319" i="2"/>
  <c r="B2319" i="2"/>
  <c r="C2319" i="2" s="1"/>
  <c r="F2319" i="2" s="1"/>
  <c r="G2319" i="2" s="1"/>
  <c r="E2324" i="1" s="1"/>
  <c r="A2311" i="2"/>
  <c r="B2311" i="2"/>
  <c r="C2311" i="2" s="1"/>
  <c r="F2311" i="2" s="1"/>
  <c r="G2311" i="2" s="1"/>
  <c r="E2316" i="1" s="1"/>
  <c r="A2303" i="2"/>
  <c r="B2303" i="2"/>
  <c r="C2303" i="2" s="1"/>
  <c r="F2303" i="2" s="1"/>
  <c r="G2303" i="2" s="1"/>
  <c r="E2308" i="1" s="1"/>
  <c r="A2295" i="2"/>
  <c r="B2295" i="2"/>
  <c r="C2295" i="2" s="1"/>
  <c r="F2295" i="2" s="1"/>
  <c r="G2295" i="2" s="1"/>
  <c r="E2300" i="1" s="1"/>
  <c r="A2287" i="2"/>
  <c r="B2287" i="2"/>
  <c r="C2287" i="2" s="1"/>
  <c r="F2287" i="2" s="1"/>
  <c r="G2287" i="2" s="1"/>
  <c r="E2292" i="1" s="1"/>
  <c r="A2279" i="2"/>
  <c r="B2279" i="2"/>
  <c r="C2279" i="2" s="1"/>
  <c r="F2279" i="2" s="1"/>
  <c r="G2279" i="2" s="1"/>
  <c r="E2284" i="1" s="1"/>
  <c r="A2271" i="2"/>
  <c r="B2271" i="2"/>
  <c r="C2271" i="2" s="1"/>
  <c r="F2271" i="2" s="1"/>
  <c r="G2271" i="2" s="1"/>
  <c r="E2276" i="1" s="1"/>
  <c r="A2263" i="2"/>
  <c r="B2263" i="2"/>
  <c r="C2263" i="2" s="1"/>
  <c r="F2263" i="2" s="1"/>
  <c r="G2263" i="2" s="1"/>
  <c r="E2268" i="1" s="1"/>
  <c r="A2255" i="2"/>
  <c r="B2255" i="2"/>
  <c r="C2255" i="2" s="1"/>
  <c r="F2255" i="2" s="1"/>
  <c r="G2255" i="2" s="1"/>
  <c r="E2260" i="1" s="1"/>
  <c r="A2247" i="2"/>
  <c r="B2247" i="2"/>
  <c r="C2247" i="2" s="1"/>
  <c r="F2247" i="2" s="1"/>
  <c r="G2247" i="2" s="1"/>
  <c r="E2252" i="1" s="1"/>
  <c r="A2239" i="2"/>
  <c r="B2239" i="2"/>
  <c r="C2239" i="2" s="1"/>
  <c r="F2239" i="2" s="1"/>
  <c r="G2239" i="2" s="1"/>
  <c r="E2244" i="1" s="1"/>
  <c r="A2231" i="2"/>
  <c r="B2231" i="2"/>
  <c r="C2231" i="2" s="1"/>
  <c r="F2231" i="2" s="1"/>
  <c r="G2231" i="2" s="1"/>
  <c r="E2236" i="1" s="1"/>
  <c r="A2223" i="2"/>
  <c r="B2223" i="2"/>
  <c r="C2223" i="2" s="1"/>
  <c r="F2223" i="2" s="1"/>
  <c r="G2223" i="2" s="1"/>
  <c r="E2228" i="1" s="1"/>
  <c r="A2215" i="2"/>
  <c r="B2215" i="2"/>
  <c r="C2215" i="2" s="1"/>
  <c r="F2215" i="2" s="1"/>
  <c r="G2215" i="2" s="1"/>
  <c r="E2220" i="1" s="1"/>
  <c r="A2207" i="2"/>
  <c r="B2207" i="2"/>
  <c r="C2207" i="2" s="1"/>
  <c r="F2207" i="2" s="1"/>
  <c r="G2207" i="2" s="1"/>
  <c r="E2212" i="1" s="1"/>
  <c r="A2199" i="2"/>
  <c r="B2199" i="2"/>
  <c r="C2199" i="2" s="1"/>
  <c r="F2199" i="2" s="1"/>
  <c r="G2199" i="2" s="1"/>
  <c r="E2204" i="1" s="1"/>
  <c r="A2191" i="2"/>
  <c r="B2191" i="2"/>
  <c r="C2191" i="2" s="1"/>
  <c r="F2191" i="2" s="1"/>
  <c r="G2191" i="2" s="1"/>
  <c r="E2196" i="1" s="1"/>
  <c r="A2183" i="2"/>
  <c r="B2183" i="2"/>
  <c r="C2183" i="2" s="1"/>
  <c r="F2183" i="2" s="1"/>
  <c r="G2183" i="2" s="1"/>
  <c r="E2188" i="1" s="1"/>
  <c r="A2175" i="2"/>
  <c r="B2175" i="2"/>
  <c r="C2175" i="2" s="1"/>
  <c r="F2175" i="2" s="1"/>
  <c r="G2175" i="2" s="1"/>
  <c r="E2180" i="1" s="1"/>
  <c r="A2167" i="2"/>
  <c r="B2167" i="2"/>
  <c r="C2167" i="2" s="1"/>
  <c r="F2167" i="2" s="1"/>
  <c r="G2167" i="2" s="1"/>
  <c r="E2172" i="1" s="1"/>
  <c r="A2159" i="2"/>
  <c r="B2159" i="2"/>
  <c r="C2159" i="2" s="1"/>
  <c r="F2159" i="2" s="1"/>
  <c r="G2159" i="2" s="1"/>
  <c r="E2164" i="1" s="1"/>
  <c r="A2151" i="2"/>
  <c r="B2151" i="2"/>
  <c r="C2151" i="2" s="1"/>
  <c r="F2151" i="2" s="1"/>
  <c r="G2151" i="2" s="1"/>
  <c r="E2156" i="1" s="1"/>
  <c r="A2143" i="2"/>
  <c r="B2143" i="2"/>
  <c r="C2143" i="2" s="1"/>
  <c r="F2143" i="2" s="1"/>
  <c r="G2143" i="2" s="1"/>
  <c r="E2148" i="1" s="1"/>
  <c r="A2135" i="2"/>
  <c r="B2135" i="2"/>
  <c r="C2135" i="2" s="1"/>
  <c r="F2135" i="2" s="1"/>
  <c r="G2135" i="2" s="1"/>
  <c r="E2140" i="1" s="1"/>
  <c r="A2127" i="2"/>
  <c r="B2127" i="2"/>
  <c r="C2127" i="2" s="1"/>
  <c r="F2127" i="2" s="1"/>
  <c r="G2127" i="2" s="1"/>
  <c r="E2132" i="1" s="1"/>
  <c r="A2119" i="2"/>
  <c r="B2119" i="2"/>
  <c r="C2119" i="2" s="1"/>
  <c r="F2119" i="2" s="1"/>
  <c r="G2119" i="2" s="1"/>
  <c r="E2124" i="1" s="1"/>
  <c r="A2111" i="2"/>
  <c r="B2111" i="2"/>
  <c r="C2111" i="2" s="1"/>
  <c r="F2111" i="2" s="1"/>
  <c r="G2111" i="2" s="1"/>
  <c r="E2116" i="1" s="1"/>
  <c r="A2103" i="2"/>
  <c r="B2103" i="2"/>
  <c r="C2103" i="2" s="1"/>
  <c r="F2103" i="2" s="1"/>
  <c r="G2103" i="2" s="1"/>
  <c r="E2108" i="1" s="1"/>
  <c r="A2095" i="2"/>
  <c r="B2095" i="2"/>
  <c r="C2095" i="2" s="1"/>
  <c r="F2095" i="2" s="1"/>
  <c r="G2095" i="2" s="1"/>
  <c r="E2100" i="1" s="1"/>
  <c r="A2087" i="2"/>
  <c r="B2087" i="2"/>
  <c r="C2087" i="2" s="1"/>
  <c r="F2087" i="2" s="1"/>
  <c r="G2087" i="2" s="1"/>
  <c r="E2092" i="1" s="1"/>
  <c r="A2079" i="2"/>
  <c r="B2079" i="2"/>
  <c r="C2079" i="2" s="1"/>
  <c r="F2079" i="2" s="1"/>
  <c r="G2079" i="2" s="1"/>
  <c r="E2084" i="1" s="1"/>
  <c r="A2071" i="2"/>
  <c r="B2071" i="2"/>
  <c r="C2071" i="2" s="1"/>
  <c r="F2071" i="2" s="1"/>
  <c r="G2071" i="2" s="1"/>
  <c r="E2076" i="1" s="1"/>
  <c r="A2063" i="2"/>
  <c r="B2063" i="2"/>
  <c r="C2063" i="2" s="1"/>
  <c r="F2063" i="2" s="1"/>
  <c r="G2063" i="2" s="1"/>
  <c r="E2068" i="1" s="1"/>
  <c r="A2055" i="2"/>
  <c r="B2055" i="2"/>
  <c r="C2055" i="2" s="1"/>
  <c r="F2055" i="2" s="1"/>
  <c r="G2055" i="2" s="1"/>
  <c r="E2060" i="1" s="1"/>
  <c r="A2047" i="2"/>
  <c r="B2047" i="2"/>
  <c r="C2047" i="2" s="1"/>
  <c r="F2047" i="2" s="1"/>
  <c r="G2047" i="2" s="1"/>
  <c r="E2052" i="1" s="1"/>
  <c r="A2039" i="2"/>
  <c r="B2039" i="2"/>
  <c r="C2039" i="2" s="1"/>
  <c r="F2039" i="2" s="1"/>
  <c r="G2039" i="2" s="1"/>
  <c r="E2044" i="1" s="1"/>
  <c r="A2031" i="2"/>
  <c r="B2031" i="2"/>
  <c r="C2031" i="2" s="1"/>
  <c r="F2031" i="2" s="1"/>
  <c r="G2031" i="2" s="1"/>
  <c r="E2036" i="1" s="1"/>
  <c r="A2023" i="2"/>
  <c r="B2023" i="2"/>
  <c r="C2023" i="2" s="1"/>
  <c r="F2023" i="2" s="1"/>
  <c r="G2023" i="2" s="1"/>
  <c r="E2028" i="1" s="1"/>
  <c r="A2015" i="2"/>
  <c r="B2015" i="2"/>
  <c r="C2015" i="2" s="1"/>
  <c r="F2015" i="2" s="1"/>
  <c r="G2015" i="2" s="1"/>
  <c r="E2020" i="1" s="1"/>
  <c r="A2007" i="2"/>
  <c r="B2007" i="2"/>
  <c r="C2007" i="2" s="1"/>
  <c r="F2007" i="2" s="1"/>
  <c r="G2007" i="2" s="1"/>
  <c r="E2012" i="1" s="1"/>
  <c r="A1999" i="2"/>
  <c r="B1999" i="2"/>
  <c r="C1999" i="2" s="1"/>
  <c r="F1999" i="2" s="1"/>
  <c r="G1999" i="2" s="1"/>
  <c r="E2004" i="1" s="1"/>
  <c r="A1991" i="2"/>
  <c r="B1991" i="2"/>
  <c r="C1991" i="2" s="1"/>
  <c r="F1991" i="2" s="1"/>
  <c r="G1991" i="2" s="1"/>
  <c r="E1996" i="1" s="1"/>
  <c r="A1983" i="2"/>
  <c r="B1983" i="2"/>
  <c r="C1983" i="2" s="1"/>
  <c r="F1983" i="2" s="1"/>
  <c r="G1983" i="2" s="1"/>
  <c r="E1988" i="1" s="1"/>
  <c r="A1975" i="2"/>
  <c r="B1975" i="2"/>
  <c r="C1975" i="2" s="1"/>
  <c r="F1975" i="2" s="1"/>
  <c r="G1975" i="2" s="1"/>
  <c r="E1980" i="1" s="1"/>
  <c r="A1967" i="2"/>
  <c r="B1967" i="2"/>
  <c r="C1967" i="2" s="1"/>
  <c r="F1967" i="2" s="1"/>
  <c r="G1967" i="2" s="1"/>
  <c r="E1972" i="1" s="1"/>
  <c r="A1959" i="2"/>
  <c r="B1959" i="2"/>
  <c r="C1959" i="2" s="1"/>
  <c r="F1959" i="2" s="1"/>
  <c r="G1959" i="2" s="1"/>
  <c r="E1964" i="1" s="1"/>
  <c r="A1951" i="2"/>
  <c r="B1951" i="2"/>
  <c r="C1951" i="2" s="1"/>
  <c r="F1951" i="2" s="1"/>
  <c r="G1951" i="2" s="1"/>
  <c r="E1956" i="1" s="1"/>
  <c r="A1943" i="2"/>
  <c r="B1943" i="2"/>
  <c r="C1943" i="2" s="1"/>
  <c r="F1943" i="2" s="1"/>
  <c r="G1943" i="2" s="1"/>
  <c r="E1948" i="1" s="1"/>
  <c r="A1935" i="2"/>
  <c r="B1935" i="2"/>
  <c r="C1935" i="2" s="1"/>
  <c r="F1935" i="2" s="1"/>
  <c r="G1935" i="2" s="1"/>
  <c r="E1940" i="1" s="1"/>
  <c r="A1927" i="2"/>
  <c r="B1927" i="2"/>
  <c r="C1927" i="2" s="1"/>
  <c r="F1927" i="2" s="1"/>
  <c r="G1927" i="2" s="1"/>
  <c r="E1932" i="1" s="1"/>
  <c r="A1919" i="2"/>
  <c r="B1919" i="2"/>
  <c r="C1919" i="2" s="1"/>
  <c r="F1919" i="2" s="1"/>
  <c r="G1919" i="2" s="1"/>
  <c r="E1924" i="1" s="1"/>
  <c r="A1911" i="2"/>
  <c r="B1911" i="2"/>
  <c r="C1911" i="2" s="1"/>
  <c r="F1911" i="2" s="1"/>
  <c r="G1911" i="2" s="1"/>
  <c r="E1916" i="1" s="1"/>
  <c r="A1903" i="2"/>
  <c r="B1903" i="2"/>
  <c r="C1903" i="2" s="1"/>
  <c r="F1903" i="2" s="1"/>
  <c r="G1903" i="2" s="1"/>
  <c r="E1908" i="1" s="1"/>
  <c r="A1895" i="2"/>
  <c r="B1895" i="2"/>
  <c r="C1895" i="2" s="1"/>
  <c r="F1895" i="2" s="1"/>
  <c r="G1895" i="2" s="1"/>
  <c r="E1900" i="1" s="1"/>
  <c r="A1887" i="2"/>
  <c r="B1887" i="2"/>
  <c r="C1887" i="2" s="1"/>
  <c r="F1887" i="2" s="1"/>
  <c r="G1887" i="2" s="1"/>
  <c r="E1892" i="1" s="1"/>
  <c r="A1879" i="2"/>
  <c r="B1879" i="2"/>
  <c r="C1879" i="2" s="1"/>
  <c r="F1879" i="2" s="1"/>
  <c r="G1879" i="2" s="1"/>
  <c r="E1884" i="1" s="1"/>
  <c r="A1871" i="2"/>
  <c r="B1871" i="2"/>
  <c r="C1871" i="2" s="1"/>
  <c r="F1871" i="2" s="1"/>
  <c r="G1871" i="2" s="1"/>
  <c r="E1876" i="1" s="1"/>
  <c r="A1863" i="2"/>
  <c r="B1863" i="2"/>
  <c r="C1863" i="2" s="1"/>
  <c r="F1863" i="2" s="1"/>
  <c r="G1863" i="2" s="1"/>
  <c r="E1868" i="1" s="1"/>
  <c r="A1855" i="2"/>
  <c r="B1855" i="2"/>
  <c r="C1855" i="2" s="1"/>
  <c r="F1855" i="2" s="1"/>
  <c r="G1855" i="2" s="1"/>
  <c r="E1860" i="1" s="1"/>
  <c r="A1847" i="2"/>
  <c r="B1847" i="2"/>
  <c r="C1847" i="2" s="1"/>
  <c r="F1847" i="2" s="1"/>
  <c r="G1847" i="2" s="1"/>
  <c r="E1852" i="1" s="1"/>
  <c r="A1839" i="2"/>
  <c r="B1839" i="2"/>
  <c r="C1839" i="2" s="1"/>
  <c r="F1839" i="2" s="1"/>
  <c r="G1839" i="2" s="1"/>
  <c r="E1844" i="1" s="1"/>
  <c r="A1831" i="2"/>
  <c r="B1831" i="2"/>
  <c r="C1831" i="2" s="1"/>
  <c r="F1831" i="2" s="1"/>
  <c r="G1831" i="2" s="1"/>
  <c r="E1836" i="1" s="1"/>
  <c r="A1823" i="2"/>
  <c r="B1823" i="2"/>
  <c r="C1823" i="2" s="1"/>
  <c r="F1823" i="2" s="1"/>
  <c r="G1823" i="2" s="1"/>
  <c r="E1828" i="1" s="1"/>
  <c r="A1815" i="2"/>
  <c r="B1815" i="2"/>
  <c r="C1815" i="2" s="1"/>
  <c r="F1815" i="2" s="1"/>
  <c r="G1815" i="2" s="1"/>
  <c r="E1820" i="1" s="1"/>
  <c r="A1807" i="2"/>
  <c r="B1807" i="2"/>
  <c r="C1807" i="2" s="1"/>
  <c r="F1807" i="2" s="1"/>
  <c r="G1807" i="2" s="1"/>
  <c r="E1812" i="1" s="1"/>
  <c r="A1799" i="2"/>
  <c r="B1799" i="2"/>
  <c r="C1799" i="2" s="1"/>
  <c r="F1799" i="2" s="1"/>
  <c r="G1799" i="2" s="1"/>
  <c r="E1804" i="1" s="1"/>
  <c r="A1791" i="2"/>
  <c r="B1791" i="2"/>
  <c r="C1791" i="2" s="1"/>
  <c r="F1791" i="2" s="1"/>
  <c r="G1791" i="2" s="1"/>
  <c r="E1796" i="1" s="1"/>
  <c r="A1783" i="2"/>
  <c r="B1783" i="2"/>
  <c r="C1783" i="2" s="1"/>
  <c r="F1783" i="2" s="1"/>
  <c r="G1783" i="2" s="1"/>
  <c r="E1788" i="1" s="1"/>
  <c r="A1775" i="2"/>
  <c r="B1775" i="2"/>
  <c r="C1775" i="2" s="1"/>
  <c r="F1775" i="2" s="1"/>
  <c r="G1775" i="2" s="1"/>
  <c r="E1780" i="1" s="1"/>
  <c r="A1767" i="2"/>
  <c r="B1767" i="2"/>
  <c r="C1767" i="2" s="1"/>
  <c r="F1767" i="2" s="1"/>
  <c r="G1767" i="2" s="1"/>
  <c r="E1772" i="1" s="1"/>
  <c r="A1759" i="2"/>
  <c r="B1759" i="2"/>
  <c r="C1759" i="2" s="1"/>
  <c r="F1759" i="2" s="1"/>
  <c r="G1759" i="2" s="1"/>
  <c r="E1764" i="1" s="1"/>
  <c r="A1751" i="2"/>
  <c r="B1751" i="2"/>
  <c r="C1751" i="2" s="1"/>
  <c r="F1751" i="2" s="1"/>
  <c r="G1751" i="2" s="1"/>
  <c r="E1756" i="1" s="1"/>
  <c r="A1743" i="2"/>
  <c r="B1743" i="2"/>
  <c r="C1743" i="2" s="1"/>
  <c r="F1743" i="2" s="1"/>
  <c r="G1743" i="2" s="1"/>
  <c r="E1748" i="1" s="1"/>
  <c r="A1735" i="2"/>
  <c r="B1735" i="2"/>
  <c r="C1735" i="2" s="1"/>
  <c r="F1735" i="2" s="1"/>
  <c r="G1735" i="2" s="1"/>
  <c r="E1740" i="1" s="1"/>
  <c r="A1727" i="2"/>
  <c r="B1727" i="2"/>
  <c r="C1727" i="2" s="1"/>
  <c r="F1727" i="2" s="1"/>
  <c r="G1727" i="2" s="1"/>
  <c r="E1732" i="1" s="1"/>
  <c r="A1719" i="2"/>
  <c r="B1719" i="2"/>
  <c r="C1719" i="2" s="1"/>
  <c r="F1719" i="2" s="1"/>
  <c r="G1719" i="2" s="1"/>
  <c r="E1724" i="1" s="1"/>
  <c r="A1711" i="2"/>
  <c r="B1711" i="2"/>
  <c r="C1711" i="2" s="1"/>
  <c r="F1711" i="2" s="1"/>
  <c r="G1711" i="2" s="1"/>
  <c r="E1716" i="1" s="1"/>
  <c r="A1703" i="2"/>
  <c r="B1703" i="2"/>
  <c r="C1703" i="2" s="1"/>
  <c r="F1703" i="2" s="1"/>
  <c r="G1703" i="2" s="1"/>
  <c r="E1708" i="1" s="1"/>
  <c r="A1695" i="2"/>
  <c r="B1695" i="2"/>
  <c r="C1695" i="2" s="1"/>
  <c r="F1695" i="2" s="1"/>
  <c r="G1695" i="2" s="1"/>
  <c r="E1700" i="1" s="1"/>
  <c r="A1687" i="2"/>
  <c r="B1687" i="2"/>
  <c r="C1687" i="2" s="1"/>
  <c r="F1687" i="2" s="1"/>
  <c r="G1687" i="2" s="1"/>
  <c r="E1692" i="1" s="1"/>
  <c r="A1679" i="2"/>
  <c r="B1679" i="2"/>
  <c r="C1679" i="2" s="1"/>
  <c r="F1679" i="2" s="1"/>
  <c r="G1679" i="2" s="1"/>
  <c r="E1684" i="1" s="1"/>
  <c r="A1671" i="2"/>
  <c r="B1671" i="2"/>
  <c r="C1671" i="2" s="1"/>
  <c r="F1671" i="2" s="1"/>
  <c r="G1671" i="2" s="1"/>
  <c r="E1676" i="1" s="1"/>
  <c r="A1663" i="2"/>
  <c r="B1663" i="2"/>
  <c r="C1663" i="2" s="1"/>
  <c r="F1663" i="2" s="1"/>
  <c r="G1663" i="2" s="1"/>
  <c r="E1668" i="1" s="1"/>
  <c r="A1655" i="2"/>
  <c r="B1655" i="2"/>
  <c r="C1655" i="2" s="1"/>
  <c r="F1655" i="2" s="1"/>
  <c r="G1655" i="2" s="1"/>
  <c r="E1660" i="1" s="1"/>
  <c r="A1647" i="2"/>
  <c r="B1647" i="2"/>
  <c r="C1647" i="2" s="1"/>
  <c r="F1647" i="2" s="1"/>
  <c r="G1647" i="2" s="1"/>
  <c r="E1652" i="1" s="1"/>
  <c r="A1639" i="2"/>
  <c r="B1639" i="2"/>
  <c r="C1639" i="2" s="1"/>
  <c r="F1639" i="2" s="1"/>
  <c r="G1639" i="2" s="1"/>
  <c r="E1644" i="1" s="1"/>
  <c r="A1631" i="2"/>
  <c r="B1631" i="2"/>
  <c r="C1631" i="2" s="1"/>
  <c r="F1631" i="2" s="1"/>
  <c r="G1631" i="2" s="1"/>
  <c r="E1636" i="1" s="1"/>
  <c r="A1623" i="2"/>
  <c r="B1623" i="2"/>
  <c r="C1623" i="2" s="1"/>
  <c r="F1623" i="2" s="1"/>
  <c r="G1623" i="2" s="1"/>
  <c r="E1628" i="1" s="1"/>
  <c r="A1615" i="2"/>
  <c r="B1615" i="2"/>
  <c r="C1615" i="2" s="1"/>
  <c r="F1615" i="2" s="1"/>
  <c r="G1615" i="2" s="1"/>
  <c r="E1620" i="1" s="1"/>
  <c r="A1607" i="2"/>
  <c r="B1607" i="2"/>
  <c r="C1607" i="2" s="1"/>
  <c r="F1607" i="2" s="1"/>
  <c r="G1607" i="2" s="1"/>
  <c r="E1612" i="1" s="1"/>
  <c r="A1599" i="2"/>
  <c r="B1599" i="2"/>
  <c r="C1599" i="2" s="1"/>
  <c r="F1599" i="2" s="1"/>
  <c r="G1599" i="2" s="1"/>
  <c r="E1604" i="1" s="1"/>
  <c r="A1591" i="2"/>
  <c r="B1591" i="2"/>
  <c r="C1591" i="2" s="1"/>
  <c r="F1591" i="2" s="1"/>
  <c r="G1591" i="2" s="1"/>
  <c r="E1596" i="1" s="1"/>
  <c r="A1583" i="2"/>
  <c r="B1583" i="2"/>
  <c r="C1583" i="2" s="1"/>
  <c r="F1583" i="2" s="1"/>
  <c r="G1583" i="2" s="1"/>
  <c r="E1588" i="1" s="1"/>
  <c r="A1575" i="2"/>
  <c r="B1575" i="2"/>
  <c r="C1575" i="2" s="1"/>
  <c r="F1575" i="2" s="1"/>
  <c r="G1575" i="2" s="1"/>
  <c r="E1580" i="1" s="1"/>
  <c r="A1567" i="2"/>
  <c r="B1567" i="2"/>
  <c r="C1567" i="2" s="1"/>
  <c r="F1567" i="2" s="1"/>
  <c r="G1567" i="2" s="1"/>
  <c r="E1572" i="1" s="1"/>
  <c r="A1559" i="2"/>
  <c r="B1559" i="2"/>
  <c r="C1559" i="2" s="1"/>
  <c r="F1559" i="2" s="1"/>
  <c r="G1559" i="2" s="1"/>
  <c r="E1564" i="1" s="1"/>
  <c r="A1551" i="2"/>
  <c r="B1551" i="2"/>
  <c r="C1551" i="2" s="1"/>
  <c r="F1551" i="2" s="1"/>
  <c r="G1551" i="2" s="1"/>
  <c r="E1556" i="1" s="1"/>
  <c r="A1022" i="2"/>
  <c r="B1022" i="2"/>
  <c r="C1022" i="2" s="1"/>
  <c r="F1022" i="2" s="1"/>
  <c r="G1022" i="2" s="1"/>
  <c r="E1027" i="1" s="1"/>
  <c r="A1014" i="2"/>
  <c r="B1014" i="2"/>
  <c r="C1014" i="2" s="1"/>
  <c r="F1014" i="2" s="1"/>
  <c r="G1014" i="2" s="1"/>
  <c r="E1019" i="1" s="1"/>
  <c r="A1006" i="2"/>
  <c r="B1006" i="2"/>
  <c r="C1006" i="2" s="1"/>
  <c r="F1006" i="2" s="1"/>
  <c r="G1006" i="2" s="1"/>
  <c r="E1011" i="1" s="1"/>
  <c r="A998" i="2"/>
  <c r="B998" i="2"/>
  <c r="C998" i="2" s="1"/>
  <c r="F998" i="2" s="1"/>
  <c r="G998" i="2" s="1"/>
  <c r="E1003" i="1" s="1"/>
  <c r="A990" i="2"/>
  <c r="B990" i="2"/>
  <c r="C990" i="2" s="1"/>
  <c r="F990" i="2" s="1"/>
  <c r="G990" i="2" s="1"/>
  <c r="E995" i="1" s="1"/>
  <c r="A982" i="2"/>
  <c r="B982" i="2"/>
  <c r="C982" i="2" s="1"/>
  <c r="F982" i="2" s="1"/>
  <c r="G982" i="2" s="1"/>
  <c r="E987" i="1" s="1"/>
  <c r="A966" i="2"/>
  <c r="B966" i="2"/>
  <c r="C966" i="2" s="1"/>
  <c r="F966" i="2" s="1"/>
  <c r="G966" i="2" s="1"/>
  <c r="E971" i="1" s="1"/>
  <c r="A958" i="2"/>
  <c r="B958" i="2"/>
  <c r="C958" i="2" s="1"/>
  <c r="F958" i="2" s="1"/>
  <c r="G958" i="2" s="1"/>
  <c r="E963" i="1" s="1"/>
  <c r="A950" i="2"/>
  <c r="B950" i="2"/>
  <c r="C950" i="2" s="1"/>
  <c r="F950" i="2" s="1"/>
  <c r="G950" i="2" s="1"/>
  <c r="E955" i="1" s="1"/>
  <c r="A942" i="2"/>
  <c r="B942" i="2"/>
  <c r="C942" i="2" s="1"/>
  <c r="F942" i="2" s="1"/>
  <c r="G942" i="2" s="1"/>
  <c r="E947" i="1" s="1"/>
  <c r="A934" i="2"/>
  <c r="B934" i="2"/>
  <c r="C934" i="2" s="1"/>
  <c r="F934" i="2" s="1"/>
  <c r="G934" i="2" s="1"/>
  <c r="E939" i="1" s="1"/>
  <c r="A926" i="2"/>
  <c r="B926" i="2"/>
  <c r="C926" i="2" s="1"/>
  <c r="F926" i="2" s="1"/>
  <c r="G926" i="2" s="1"/>
  <c r="E931" i="1" s="1"/>
  <c r="A918" i="2"/>
  <c r="B918" i="2"/>
  <c r="C918" i="2" s="1"/>
  <c r="F918" i="2" s="1"/>
  <c r="G918" i="2" s="1"/>
  <c r="E923" i="1" s="1"/>
  <c r="A910" i="2"/>
  <c r="B910" i="2"/>
  <c r="C910" i="2" s="1"/>
  <c r="F910" i="2" s="1"/>
  <c r="G910" i="2" s="1"/>
  <c r="E915" i="1" s="1"/>
  <c r="A902" i="2"/>
  <c r="B902" i="2"/>
  <c r="C902" i="2" s="1"/>
  <c r="F902" i="2" s="1"/>
  <c r="G902" i="2" s="1"/>
  <c r="E907" i="1" s="1"/>
  <c r="A894" i="2"/>
  <c r="B894" i="2"/>
  <c r="C894" i="2" s="1"/>
  <c r="F894" i="2" s="1"/>
  <c r="G894" i="2" s="1"/>
  <c r="E899" i="1" s="1"/>
  <c r="A886" i="2"/>
  <c r="B886" i="2"/>
  <c r="C886" i="2" s="1"/>
  <c r="F886" i="2" s="1"/>
  <c r="G886" i="2" s="1"/>
  <c r="E891" i="1" s="1"/>
  <c r="A878" i="2"/>
  <c r="B878" i="2"/>
  <c r="C878" i="2" s="1"/>
  <c r="F878" i="2" s="1"/>
  <c r="G878" i="2" s="1"/>
  <c r="E883" i="1" s="1"/>
  <c r="A870" i="2"/>
  <c r="B870" i="2"/>
  <c r="C870" i="2" s="1"/>
  <c r="F870" i="2" s="1"/>
  <c r="G870" i="2" s="1"/>
  <c r="E875" i="1" s="1"/>
  <c r="A862" i="2"/>
  <c r="B862" i="2"/>
  <c r="C862" i="2" s="1"/>
  <c r="F862" i="2" s="1"/>
  <c r="G862" i="2" s="1"/>
  <c r="E867" i="1" s="1"/>
  <c r="A854" i="2"/>
  <c r="B854" i="2"/>
  <c r="C854" i="2" s="1"/>
  <c r="F854" i="2" s="1"/>
  <c r="G854" i="2" s="1"/>
  <c r="E859" i="1" s="1"/>
  <c r="A846" i="2"/>
  <c r="B846" i="2"/>
  <c r="C846" i="2" s="1"/>
  <c r="F846" i="2" s="1"/>
  <c r="G846" i="2" s="1"/>
  <c r="E851" i="1" s="1"/>
  <c r="A838" i="2"/>
  <c r="B838" i="2"/>
  <c r="C838" i="2" s="1"/>
  <c r="F838" i="2" s="1"/>
  <c r="G838" i="2" s="1"/>
  <c r="E843" i="1" s="1"/>
  <c r="A830" i="2"/>
  <c r="B830" i="2"/>
  <c r="C830" i="2" s="1"/>
  <c r="F830" i="2" s="1"/>
  <c r="G830" i="2" s="1"/>
  <c r="E835" i="1" s="1"/>
  <c r="A822" i="2"/>
  <c r="B822" i="2"/>
  <c r="C822" i="2" s="1"/>
  <c r="F822" i="2" s="1"/>
  <c r="G822" i="2" s="1"/>
  <c r="E827" i="1" s="1"/>
  <c r="A814" i="2"/>
  <c r="B814" i="2"/>
  <c r="C814" i="2" s="1"/>
  <c r="F814" i="2" s="1"/>
  <c r="G814" i="2" s="1"/>
  <c r="E819" i="1" s="1"/>
  <c r="A806" i="2"/>
  <c r="B806" i="2"/>
  <c r="C806" i="2" s="1"/>
  <c r="F806" i="2" s="1"/>
  <c r="G806" i="2" s="1"/>
  <c r="E811" i="1" s="1"/>
  <c r="A798" i="2"/>
  <c r="B798" i="2"/>
  <c r="C798" i="2" s="1"/>
  <c r="F798" i="2" s="1"/>
  <c r="G798" i="2" s="1"/>
  <c r="E803" i="1" s="1"/>
  <c r="A790" i="2"/>
  <c r="B790" i="2"/>
  <c r="C790" i="2" s="1"/>
  <c r="F790" i="2" s="1"/>
  <c r="G790" i="2" s="1"/>
  <c r="E795" i="1" s="1"/>
  <c r="A782" i="2"/>
  <c r="B782" i="2"/>
  <c r="C782" i="2" s="1"/>
  <c r="F782" i="2" s="1"/>
  <c r="G782" i="2" s="1"/>
  <c r="E787" i="1" s="1"/>
  <c r="A774" i="2"/>
  <c r="B774" i="2"/>
  <c r="C774" i="2" s="1"/>
  <c r="F774" i="2" s="1"/>
  <c r="G774" i="2" s="1"/>
  <c r="E779" i="1" s="1"/>
  <c r="A766" i="2"/>
  <c r="B766" i="2"/>
  <c r="C766" i="2" s="1"/>
  <c r="F766" i="2" s="1"/>
  <c r="G766" i="2" s="1"/>
  <c r="E771" i="1" s="1"/>
  <c r="A758" i="2"/>
  <c r="B758" i="2"/>
  <c r="C758" i="2" s="1"/>
  <c r="F758" i="2" s="1"/>
  <c r="G758" i="2" s="1"/>
  <c r="E763" i="1" s="1"/>
  <c r="A750" i="2"/>
  <c r="B750" i="2"/>
  <c r="C750" i="2" s="1"/>
  <c r="F750" i="2" s="1"/>
  <c r="G750" i="2" s="1"/>
  <c r="E755" i="1" s="1"/>
  <c r="A742" i="2"/>
  <c r="B742" i="2"/>
  <c r="C742" i="2" s="1"/>
  <c r="F742" i="2" s="1"/>
  <c r="G742" i="2" s="1"/>
  <c r="E747" i="1" s="1"/>
  <c r="A734" i="2"/>
  <c r="B734" i="2"/>
  <c r="C734" i="2" s="1"/>
  <c r="F734" i="2" s="1"/>
  <c r="G734" i="2" s="1"/>
  <c r="E739" i="1" s="1"/>
  <c r="A726" i="2"/>
  <c r="B726" i="2"/>
  <c r="C726" i="2" s="1"/>
  <c r="F726" i="2" s="1"/>
  <c r="G726" i="2" s="1"/>
  <c r="E731" i="1" s="1"/>
  <c r="A718" i="2"/>
  <c r="B718" i="2"/>
  <c r="C718" i="2" s="1"/>
  <c r="F718" i="2" s="1"/>
  <c r="G718" i="2" s="1"/>
  <c r="E723" i="1" s="1"/>
  <c r="A710" i="2"/>
  <c r="B710" i="2"/>
  <c r="C710" i="2" s="1"/>
  <c r="F710" i="2" s="1"/>
  <c r="G710" i="2" s="1"/>
  <c r="E715" i="1" s="1"/>
  <c r="A702" i="2"/>
  <c r="B702" i="2"/>
  <c r="C702" i="2" s="1"/>
  <c r="F702" i="2" s="1"/>
  <c r="G702" i="2" s="1"/>
  <c r="E707" i="1" s="1"/>
  <c r="A694" i="2"/>
  <c r="B694" i="2"/>
  <c r="C694" i="2" s="1"/>
  <c r="F694" i="2" s="1"/>
  <c r="G694" i="2" s="1"/>
  <c r="E699" i="1" s="1"/>
  <c r="A686" i="2"/>
  <c r="B686" i="2"/>
  <c r="C686" i="2" s="1"/>
  <c r="F686" i="2" s="1"/>
  <c r="G686" i="2" s="1"/>
  <c r="E691" i="1" s="1"/>
  <c r="A678" i="2"/>
  <c r="B678" i="2"/>
  <c r="C678" i="2" s="1"/>
  <c r="F678" i="2" s="1"/>
  <c r="G678" i="2" s="1"/>
  <c r="E683" i="1" s="1"/>
  <c r="A670" i="2"/>
  <c r="B670" i="2"/>
  <c r="C670" i="2" s="1"/>
  <c r="F670" i="2" s="1"/>
  <c r="G670" i="2" s="1"/>
  <c r="E675" i="1" s="1"/>
  <c r="A662" i="2"/>
  <c r="B662" i="2"/>
  <c r="C662" i="2" s="1"/>
  <c r="F662" i="2" s="1"/>
  <c r="G662" i="2" s="1"/>
  <c r="E667" i="1" s="1"/>
  <c r="A654" i="2"/>
  <c r="B654" i="2"/>
  <c r="C654" i="2" s="1"/>
  <c r="F654" i="2" s="1"/>
  <c r="G654" i="2" s="1"/>
  <c r="E659" i="1" s="1"/>
  <c r="A646" i="2"/>
  <c r="B646" i="2"/>
  <c r="C646" i="2" s="1"/>
  <c r="F646" i="2" s="1"/>
  <c r="G646" i="2" s="1"/>
  <c r="E651" i="1" s="1"/>
  <c r="A638" i="2"/>
  <c r="B638" i="2"/>
  <c r="C638" i="2" s="1"/>
  <c r="F638" i="2" s="1"/>
  <c r="G638" i="2" s="1"/>
  <c r="E643" i="1" s="1"/>
  <c r="A630" i="2"/>
  <c r="B630" i="2"/>
  <c r="C630" i="2" s="1"/>
  <c r="F630" i="2" s="1"/>
  <c r="G630" i="2" s="1"/>
  <c r="E635" i="1" s="1"/>
  <c r="A622" i="2"/>
  <c r="B622" i="2"/>
  <c r="C622" i="2" s="1"/>
  <c r="F622" i="2" s="1"/>
  <c r="G622" i="2" s="1"/>
  <c r="E627" i="1" s="1"/>
  <c r="A614" i="2"/>
  <c r="B614" i="2"/>
  <c r="C614" i="2" s="1"/>
  <c r="F614" i="2" s="1"/>
  <c r="G614" i="2" s="1"/>
  <c r="E619" i="1" s="1"/>
  <c r="A606" i="2"/>
  <c r="B606" i="2"/>
  <c r="C606" i="2" s="1"/>
  <c r="F606" i="2" s="1"/>
  <c r="G606" i="2" s="1"/>
  <c r="E611" i="1" s="1"/>
  <c r="A598" i="2"/>
  <c r="B598" i="2"/>
  <c r="C598" i="2" s="1"/>
  <c r="F598" i="2" s="1"/>
  <c r="G598" i="2" s="1"/>
  <c r="E603" i="1" s="1"/>
  <c r="A590" i="2"/>
  <c r="B590" i="2"/>
  <c r="C590" i="2" s="1"/>
  <c r="F590" i="2" s="1"/>
  <c r="G590" i="2" s="1"/>
  <c r="E595" i="1" s="1"/>
  <c r="A582" i="2"/>
  <c r="B582" i="2"/>
  <c r="C582" i="2" s="1"/>
  <c r="F582" i="2" s="1"/>
  <c r="G582" i="2" s="1"/>
  <c r="E587" i="1" s="1"/>
  <c r="A574" i="2"/>
  <c r="B574" i="2"/>
  <c r="C574" i="2" s="1"/>
  <c r="F574" i="2" s="1"/>
  <c r="G574" i="2" s="1"/>
  <c r="E579" i="1" s="1"/>
  <c r="A566" i="2"/>
  <c r="B566" i="2"/>
  <c r="C566" i="2" s="1"/>
  <c r="F566" i="2" s="1"/>
  <c r="G566" i="2" s="1"/>
  <c r="E571" i="1" s="1"/>
  <c r="A558" i="2"/>
  <c r="B558" i="2"/>
  <c r="C558" i="2" s="1"/>
  <c r="F558" i="2" s="1"/>
  <c r="G558" i="2" s="1"/>
  <c r="E563" i="1" s="1"/>
  <c r="A550" i="2"/>
  <c r="B550" i="2"/>
  <c r="C550" i="2" s="1"/>
  <c r="F550" i="2" s="1"/>
  <c r="G550" i="2" s="1"/>
  <c r="E555" i="1" s="1"/>
  <c r="A542" i="2"/>
  <c r="B542" i="2"/>
  <c r="C542" i="2" s="1"/>
  <c r="F542" i="2" s="1"/>
  <c r="G542" i="2" s="1"/>
  <c r="E547" i="1" s="1"/>
  <c r="A1543" i="2"/>
  <c r="B1543" i="2"/>
  <c r="C1543" i="2" s="1"/>
  <c r="F1543" i="2" s="1"/>
  <c r="G1543" i="2" s="1"/>
  <c r="E1548" i="1" s="1"/>
  <c r="A1535" i="2"/>
  <c r="B1535" i="2"/>
  <c r="C1535" i="2" s="1"/>
  <c r="F1535" i="2" s="1"/>
  <c r="G1535" i="2" s="1"/>
  <c r="E1540" i="1" s="1"/>
  <c r="A1527" i="2"/>
  <c r="B1527" i="2"/>
  <c r="C1527" i="2" s="1"/>
  <c r="F1527" i="2" s="1"/>
  <c r="G1527" i="2" s="1"/>
  <c r="E1532" i="1" s="1"/>
  <c r="A1519" i="2"/>
  <c r="B1519" i="2"/>
  <c r="C1519" i="2" s="1"/>
  <c r="F1519" i="2" s="1"/>
  <c r="G1519" i="2" s="1"/>
  <c r="E1524" i="1" s="1"/>
  <c r="A1511" i="2"/>
  <c r="B1511" i="2"/>
  <c r="C1511" i="2" s="1"/>
  <c r="F1511" i="2" s="1"/>
  <c r="G1511" i="2" s="1"/>
  <c r="E1516" i="1" s="1"/>
  <c r="A1503" i="2"/>
  <c r="B1503" i="2"/>
  <c r="C1503" i="2" s="1"/>
  <c r="F1503" i="2" s="1"/>
  <c r="G1503" i="2" s="1"/>
  <c r="E1508" i="1" s="1"/>
  <c r="A1495" i="2"/>
  <c r="B1495" i="2"/>
  <c r="C1495" i="2" s="1"/>
  <c r="F1495" i="2" s="1"/>
  <c r="G1495" i="2" s="1"/>
  <c r="E1500" i="1" s="1"/>
  <c r="A1487" i="2"/>
  <c r="B1487" i="2"/>
  <c r="C1487" i="2" s="1"/>
  <c r="F1487" i="2" s="1"/>
  <c r="G1487" i="2" s="1"/>
  <c r="E1492" i="1" s="1"/>
  <c r="A1479" i="2"/>
  <c r="B1479" i="2"/>
  <c r="C1479" i="2" s="1"/>
  <c r="F1479" i="2" s="1"/>
  <c r="G1479" i="2" s="1"/>
  <c r="E1484" i="1" s="1"/>
  <c r="A1471" i="2"/>
  <c r="B1471" i="2"/>
  <c r="C1471" i="2" s="1"/>
  <c r="F1471" i="2" s="1"/>
  <c r="G1471" i="2" s="1"/>
  <c r="E1476" i="1" s="1"/>
  <c r="A1463" i="2"/>
  <c r="B1463" i="2"/>
  <c r="C1463" i="2" s="1"/>
  <c r="F1463" i="2" s="1"/>
  <c r="G1463" i="2" s="1"/>
  <c r="E1468" i="1" s="1"/>
  <c r="A1455" i="2"/>
  <c r="B1455" i="2"/>
  <c r="C1455" i="2" s="1"/>
  <c r="F1455" i="2" s="1"/>
  <c r="G1455" i="2" s="1"/>
  <c r="E1460" i="1" s="1"/>
  <c r="A1447" i="2"/>
  <c r="B1447" i="2"/>
  <c r="C1447" i="2" s="1"/>
  <c r="F1447" i="2" s="1"/>
  <c r="G1447" i="2" s="1"/>
  <c r="E1452" i="1" s="1"/>
  <c r="A1439" i="2"/>
  <c r="B1439" i="2"/>
  <c r="C1439" i="2" s="1"/>
  <c r="F1439" i="2" s="1"/>
  <c r="G1439" i="2" s="1"/>
  <c r="E1444" i="1" s="1"/>
  <c r="A1431" i="2"/>
  <c r="B1431" i="2"/>
  <c r="C1431" i="2" s="1"/>
  <c r="F1431" i="2" s="1"/>
  <c r="G1431" i="2" s="1"/>
  <c r="E1436" i="1" s="1"/>
  <c r="A1423" i="2"/>
  <c r="B1423" i="2"/>
  <c r="C1423" i="2" s="1"/>
  <c r="F1423" i="2" s="1"/>
  <c r="G1423" i="2" s="1"/>
  <c r="E1428" i="1" s="1"/>
  <c r="A1415" i="2"/>
  <c r="B1415" i="2"/>
  <c r="C1415" i="2" s="1"/>
  <c r="F1415" i="2" s="1"/>
  <c r="G1415" i="2" s="1"/>
  <c r="E1420" i="1" s="1"/>
  <c r="A1407" i="2"/>
  <c r="B1407" i="2"/>
  <c r="C1407" i="2" s="1"/>
  <c r="F1407" i="2" s="1"/>
  <c r="G1407" i="2" s="1"/>
  <c r="E1412" i="1" s="1"/>
  <c r="A1399" i="2"/>
  <c r="B1399" i="2"/>
  <c r="C1399" i="2" s="1"/>
  <c r="F1399" i="2" s="1"/>
  <c r="G1399" i="2" s="1"/>
  <c r="E1404" i="1" s="1"/>
  <c r="A1391" i="2"/>
  <c r="B1391" i="2"/>
  <c r="C1391" i="2" s="1"/>
  <c r="F1391" i="2" s="1"/>
  <c r="G1391" i="2" s="1"/>
  <c r="E1396" i="1" s="1"/>
  <c r="A1383" i="2"/>
  <c r="B1383" i="2"/>
  <c r="C1383" i="2" s="1"/>
  <c r="F1383" i="2" s="1"/>
  <c r="G1383" i="2" s="1"/>
  <c r="E1388" i="1" s="1"/>
  <c r="A1375" i="2"/>
  <c r="B1375" i="2"/>
  <c r="C1375" i="2" s="1"/>
  <c r="F1375" i="2" s="1"/>
  <c r="G1375" i="2" s="1"/>
  <c r="E1380" i="1" s="1"/>
  <c r="A1367" i="2"/>
  <c r="B1367" i="2"/>
  <c r="C1367" i="2" s="1"/>
  <c r="F1367" i="2" s="1"/>
  <c r="G1367" i="2" s="1"/>
  <c r="E1372" i="1" s="1"/>
  <c r="A1359" i="2"/>
  <c r="B1359" i="2"/>
  <c r="C1359" i="2" s="1"/>
  <c r="F1359" i="2" s="1"/>
  <c r="G1359" i="2" s="1"/>
  <c r="E1364" i="1" s="1"/>
  <c r="A1351" i="2"/>
  <c r="B1351" i="2"/>
  <c r="C1351" i="2" s="1"/>
  <c r="F1351" i="2" s="1"/>
  <c r="G1351" i="2" s="1"/>
  <c r="E1356" i="1" s="1"/>
  <c r="A1343" i="2"/>
  <c r="B1343" i="2"/>
  <c r="C1343" i="2" s="1"/>
  <c r="F1343" i="2" s="1"/>
  <c r="G1343" i="2" s="1"/>
  <c r="E1348" i="1" s="1"/>
  <c r="A1335" i="2"/>
  <c r="B1335" i="2"/>
  <c r="C1335" i="2" s="1"/>
  <c r="F1335" i="2" s="1"/>
  <c r="G1335" i="2" s="1"/>
  <c r="E1340" i="1" s="1"/>
  <c r="A1327" i="2"/>
  <c r="B1327" i="2"/>
  <c r="C1327" i="2" s="1"/>
  <c r="F1327" i="2" s="1"/>
  <c r="G1327" i="2" s="1"/>
  <c r="E1332" i="1" s="1"/>
  <c r="A1319" i="2"/>
  <c r="B1319" i="2"/>
  <c r="C1319" i="2" s="1"/>
  <c r="F1319" i="2" s="1"/>
  <c r="G1319" i="2" s="1"/>
  <c r="E1324" i="1" s="1"/>
  <c r="A1311" i="2"/>
  <c r="B1311" i="2"/>
  <c r="C1311" i="2" s="1"/>
  <c r="F1311" i="2" s="1"/>
  <c r="G1311" i="2" s="1"/>
  <c r="E1316" i="1" s="1"/>
  <c r="A1303" i="2"/>
  <c r="B1303" i="2"/>
  <c r="C1303" i="2" s="1"/>
  <c r="F1303" i="2" s="1"/>
  <c r="G1303" i="2" s="1"/>
  <c r="E1308" i="1" s="1"/>
  <c r="A1295" i="2"/>
  <c r="B1295" i="2"/>
  <c r="C1295" i="2" s="1"/>
  <c r="F1295" i="2" s="1"/>
  <c r="G1295" i="2" s="1"/>
  <c r="E1300" i="1" s="1"/>
  <c r="A1287" i="2"/>
  <c r="B1287" i="2"/>
  <c r="C1287" i="2" s="1"/>
  <c r="F1287" i="2" s="1"/>
  <c r="G1287" i="2" s="1"/>
  <c r="E1292" i="1" s="1"/>
  <c r="A1279" i="2"/>
  <c r="B1279" i="2"/>
  <c r="C1279" i="2" s="1"/>
  <c r="F1279" i="2" s="1"/>
  <c r="G1279" i="2" s="1"/>
  <c r="E1284" i="1" s="1"/>
  <c r="A1271" i="2"/>
  <c r="B1271" i="2"/>
  <c r="C1271" i="2" s="1"/>
  <c r="F1271" i="2" s="1"/>
  <c r="G1271" i="2" s="1"/>
  <c r="E1276" i="1" s="1"/>
  <c r="A1263" i="2"/>
  <c r="B1263" i="2"/>
  <c r="C1263" i="2" s="1"/>
  <c r="F1263" i="2" s="1"/>
  <c r="G1263" i="2" s="1"/>
  <c r="E1268" i="1" s="1"/>
  <c r="A1255" i="2"/>
  <c r="B1255" i="2"/>
  <c r="C1255" i="2" s="1"/>
  <c r="F1255" i="2" s="1"/>
  <c r="G1255" i="2" s="1"/>
  <c r="E1260" i="1" s="1"/>
  <c r="A1247" i="2"/>
  <c r="B1247" i="2"/>
  <c r="C1247" i="2" s="1"/>
  <c r="F1247" i="2" s="1"/>
  <c r="G1247" i="2" s="1"/>
  <c r="E1252" i="1" s="1"/>
  <c r="A1239" i="2"/>
  <c r="B1239" i="2"/>
  <c r="C1239" i="2" s="1"/>
  <c r="F1239" i="2" s="1"/>
  <c r="G1239" i="2" s="1"/>
  <c r="E1244" i="1" s="1"/>
  <c r="A1231" i="2"/>
  <c r="B1231" i="2"/>
  <c r="C1231" i="2" s="1"/>
  <c r="F1231" i="2" s="1"/>
  <c r="G1231" i="2" s="1"/>
  <c r="E1236" i="1" s="1"/>
  <c r="A1223" i="2"/>
  <c r="B1223" i="2"/>
  <c r="C1223" i="2" s="1"/>
  <c r="F1223" i="2" s="1"/>
  <c r="G1223" i="2" s="1"/>
  <c r="E1228" i="1" s="1"/>
  <c r="A1215" i="2"/>
  <c r="B1215" i="2"/>
  <c r="C1215" i="2" s="1"/>
  <c r="F1215" i="2" s="1"/>
  <c r="G1215" i="2" s="1"/>
  <c r="E1220" i="1" s="1"/>
  <c r="A1207" i="2"/>
  <c r="B1207" i="2"/>
  <c r="C1207" i="2" s="1"/>
  <c r="F1207" i="2" s="1"/>
  <c r="G1207" i="2" s="1"/>
  <c r="E1212" i="1" s="1"/>
  <c r="A1199" i="2"/>
  <c r="B1199" i="2"/>
  <c r="C1199" i="2" s="1"/>
  <c r="F1199" i="2" s="1"/>
  <c r="G1199" i="2" s="1"/>
  <c r="E1204" i="1" s="1"/>
  <c r="A1191" i="2"/>
  <c r="B1191" i="2"/>
  <c r="C1191" i="2" s="1"/>
  <c r="F1191" i="2" s="1"/>
  <c r="G1191" i="2" s="1"/>
  <c r="E1196" i="1" s="1"/>
  <c r="A1183" i="2"/>
  <c r="B1183" i="2"/>
  <c r="C1183" i="2" s="1"/>
  <c r="F1183" i="2" s="1"/>
  <c r="G1183" i="2" s="1"/>
  <c r="E1188" i="1" s="1"/>
  <c r="A1175" i="2"/>
  <c r="B1175" i="2"/>
  <c r="C1175" i="2" s="1"/>
  <c r="F1175" i="2" s="1"/>
  <c r="G1175" i="2" s="1"/>
  <c r="E1180" i="1" s="1"/>
  <c r="A1167" i="2"/>
  <c r="B1167" i="2"/>
  <c r="C1167" i="2" s="1"/>
  <c r="F1167" i="2" s="1"/>
  <c r="G1167" i="2" s="1"/>
  <c r="E1172" i="1" s="1"/>
  <c r="A1159" i="2"/>
  <c r="B1159" i="2"/>
  <c r="C1159" i="2" s="1"/>
  <c r="F1159" i="2" s="1"/>
  <c r="G1159" i="2" s="1"/>
  <c r="E1164" i="1" s="1"/>
  <c r="A1151" i="2"/>
  <c r="B1151" i="2"/>
  <c r="C1151" i="2" s="1"/>
  <c r="F1151" i="2" s="1"/>
  <c r="G1151" i="2" s="1"/>
  <c r="E1156" i="1" s="1"/>
  <c r="A1143" i="2"/>
  <c r="B1143" i="2"/>
  <c r="C1143" i="2" s="1"/>
  <c r="F1143" i="2" s="1"/>
  <c r="G1143" i="2" s="1"/>
  <c r="E1148" i="1" s="1"/>
  <c r="A1135" i="2"/>
  <c r="B1135" i="2"/>
  <c r="C1135" i="2" s="1"/>
  <c r="F1135" i="2" s="1"/>
  <c r="G1135" i="2" s="1"/>
  <c r="E1140" i="1" s="1"/>
  <c r="A1127" i="2"/>
  <c r="B1127" i="2"/>
  <c r="C1127" i="2" s="1"/>
  <c r="F1127" i="2" s="1"/>
  <c r="G1127" i="2" s="1"/>
  <c r="E1132" i="1" s="1"/>
  <c r="A1119" i="2"/>
  <c r="B1119" i="2"/>
  <c r="C1119" i="2" s="1"/>
  <c r="F1119" i="2" s="1"/>
  <c r="G1119" i="2" s="1"/>
  <c r="E1124" i="1" s="1"/>
  <c r="A1111" i="2"/>
  <c r="B1111" i="2"/>
  <c r="C1111" i="2" s="1"/>
  <c r="F1111" i="2" s="1"/>
  <c r="G1111" i="2" s="1"/>
  <c r="E1116" i="1" s="1"/>
  <c r="A1103" i="2"/>
  <c r="B1103" i="2"/>
  <c r="C1103" i="2" s="1"/>
  <c r="F1103" i="2" s="1"/>
  <c r="G1103" i="2" s="1"/>
  <c r="E1108" i="1" s="1"/>
  <c r="A1095" i="2"/>
  <c r="B1095" i="2"/>
  <c r="C1095" i="2" s="1"/>
  <c r="F1095" i="2" s="1"/>
  <c r="G1095" i="2" s="1"/>
  <c r="E1100" i="1" s="1"/>
  <c r="A1087" i="2"/>
  <c r="B1087" i="2"/>
  <c r="C1087" i="2" s="1"/>
  <c r="F1087" i="2" s="1"/>
  <c r="G1087" i="2" s="1"/>
  <c r="E1092" i="1" s="1"/>
  <c r="A1079" i="2"/>
  <c r="B1079" i="2"/>
  <c r="C1079" i="2" s="1"/>
  <c r="F1079" i="2" s="1"/>
  <c r="G1079" i="2" s="1"/>
  <c r="E1084" i="1" s="1"/>
  <c r="A1071" i="2"/>
  <c r="B1071" i="2"/>
  <c r="C1071" i="2" s="1"/>
  <c r="F1071" i="2" s="1"/>
  <c r="G1071" i="2" s="1"/>
  <c r="E1076" i="1" s="1"/>
  <c r="A1063" i="2"/>
  <c r="B1063" i="2"/>
  <c r="C1063" i="2" s="1"/>
  <c r="F1063" i="2" s="1"/>
  <c r="G1063" i="2" s="1"/>
  <c r="E1068" i="1" s="1"/>
  <c r="A1055" i="2"/>
  <c r="B1055" i="2"/>
  <c r="C1055" i="2" s="1"/>
  <c r="F1055" i="2" s="1"/>
  <c r="G1055" i="2" s="1"/>
  <c r="E1060" i="1" s="1"/>
  <c r="A534" i="2"/>
  <c r="B534" i="2"/>
  <c r="C534" i="2" s="1"/>
  <c r="F534" i="2" s="1"/>
  <c r="G534" i="2" s="1"/>
  <c r="E539" i="1" s="1"/>
  <c r="A526" i="2"/>
  <c r="B526" i="2"/>
  <c r="C526" i="2" s="1"/>
  <c r="F526" i="2" s="1"/>
  <c r="G526" i="2" s="1"/>
  <c r="E531" i="1" s="1"/>
  <c r="A518" i="2"/>
  <c r="B518" i="2"/>
  <c r="C518" i="2" s="1"/>
  <c r="F518" i="2" s="1"/>
  <c r="G518" i="2" s="1"/>
  <c r="E523" i="1" s="1"/>
  <c r="A510" i="2"/>
  <c r="B510" i="2"/>
  <c r="C510" i="2" s="1"/>
  <c r="F510" i="2" s="1"/>
  <c r="G510" i="2" s="1"/>
  <c r="E515" i="1" s="1"/>
  <c r="A502" i="2"/>
  <c r="B502" i="2"/>
  <c r="C502" i="2" s="1"/>
  <c r="F502" i="2" s="1"/>
  <c r="G502" i="2" s="1"/>
  <c r="E507" i="1" s="1"/>
  <c r="A494" i="2"/>
  <c r="B494" i="2"/>
  <c r="C494" i="2" s="1"/>
  <c r="F494" i="2" s="1"/>
  <c r="G494" i="2" s="1"/>
  <c r="E499" i="1" s="1"/>
  <c r="A486" i="2"/>
  <c r="B486" i="2"/>
  <c r="C486" i="2" s="1"/>
  <c r="F486" i="2" s="1"/>
  <c r="G486" i="2" s="1"/>
  <c r="E491" i="1" s="1"/>
  <c r="A478" i="2"/>
  <c r="B478" i="2"/>
  <c r="C478" i="2" s="1"/>
  <c r="F478" i="2" s="1"/>
  <c r="G478" i="2" s="1"/>
  <c r="E483" i="1" s="1"/>
  <c r="A470" i="2"/>
  <c r="B470" i="2"/>
  <c r="C470" i="2" s="1"/>
  <c r="F470" i="2" s="1"/>
  <c r="G470" i="2" s="1"/>
  <c r="E475" i="1" s="1"/>
  <c r="A462" i="2"/>
  <c r="B462" i="2"/>
  <c r="C462" i="2" s="1"/>
  <c r="F462" i="2" s="1"/>
  <c r="G462" i="2" s="1"/>
  <c r="E467" i="1" s="1"/>
  <c r="A454" i="2"/>
  <c r="B454" i="2"/>
  <c r="C454" i="2" s="1"/>
  <c r="F454" i="2" s="1"/>
  <c r="G454" i="2" s="1"/>
  <c r="E459" i="1" s="1"/>
  <c r="A446" i="2"/>
  <c r="B446" i="2"/>
  <c r="C446" i="2" s="1"/>
  <c r="F446" i="2" s="1"/>
  <c r="G446" i="2" s="1"/>
  <c r="E451" i="1" s="1"/>
  <c r="A438" i="2"/>
  <c r="B438" i="2"/>
  <c r="C438" i="2" s="1"/>
  <c r="F438" i="2" s="1"/>
  <c r="G438" i="2" s="1"/>
  <c r="E443" i="1" s="1"/>
  <c r="A430" i="2"/>
  <c r="B430" i="2"/>
  <c r="C430" i="2" s="1"/>
  <c r="F430" i="2" s="1"/>
  <c r="G430" i="2" s="1"/>
  <c r="E435" i="1" s="1"/>
  <c r="A422" i="2"/>
  <c r="B422" i="2"/>
  <c r="C422" i="2" s="1"/>
  <c r="F422" i="2" s="1"/>
  <c r="G422" i="2" s="1"/>
  <c r="E427" i="1" s="1"/>
  <c r="A414" i="2"/>
  <c r="B414" i="2"/>
  <c r="C414" i="2" s="1"/>
  <c r="F414" i="2" s="1"/>
  <c r="G414" i="2" s="1"/>
  <c r="E419" i="1" s="1"/>
  <c r="A406" i="2"/>
  <c r="B406" i="2"/>
  <c r="C406" i="2" s="1"/>
  <c r="F406" i="2" s="1"/>
  <c r="G406" i="2" s="1"/>
  <c r="E411" i="1" s="1"/>
  <c r="A398" i="2"/>
  <c r="B398" i="2"/>
  <c r="C398" i="2" s="1"/>
  <c r="F398" i="2" s="1"/>
  <c r="G398" i="2" s="1"/>
  <c r="E403" i="1" s="1"/>
  <c r="A390" i="2"/>
  <c r="B390" i="2"/>
  <c r="C390" i="2" s="1"/>
  <c r="F390" i="2" s="1"/>
  <c r="G390" i="2" s="1"/>
  <c r="E395" i="1" s="1"/>
  <c r="A382" i="2"/>
  <c r="B382" i="2"/>
  <c r="C382" i="2" s="1"/>
  <c r="F382" i="2" s="1"/>
  <c r="G382" i="2" s="1"/>
  <c r="E387" i="1" s="1"/>
  <c r="A374" i="2"/>
  <c r="B374" i="2"/>
  <c r="C374" i="2" s="1"/>
  <c r="F374" i="2" s="1"/>
  <c r="G374" i="2" s="1"/>
  <c r="E379" i="1" s="1"/>
  <c r="A366" i="2"/>
  <c r="B366" i="2"/>
  <c r="C366" i="2" s="1"/>
  <c r="F366" i="2" s="1"/>
  <c r="G366" i="2" s="1"/>
  <c r="E371" i="1" s="1"/>
  <c r="A358" i="2"/>
  <c r="B358" i="2"/>
  <c r="C358" i="2" s="1"/>
  <c r="F358" i="2" s="1"/>
  <c r="G358" i="2" s="1"/>
  <c r="E363" i="1" s="1"/>
  <c r="A350" i="2"/>
  <c r="B350" i="2"/>
  <c r="C350" i="2" s="1"/>
  <c r="F350" i="2" s="1"/>
  <c r="G350" i="2" s="1"/>
  <c r="E355" i="1" s="1"/>
  <c r="A342" i="2"/>
  <c r="B342" i="2"/>
  <c r="C342" i="2" s="1"/>
  <c r="F342" i="2" s="1"/>
  <c r="G342" i="2" s="1"/>
  <c r="E347" i="1" s="1"/>
  <c r="A334" i="2"/>
  <c r="B334" i="2"/>
  <c r="C334" i="2" s="1"/>
  <c r="F334" i="2" s="1"/>
  <c r="G334" i="2" s="1"/>
  <c r="E339" i="1" s="1"/>
  <c r="A326" i="2"/>
  <c r="B326" i="2"/>
  <c r="C326" i="2" s="1"/>
  <c r="F326" i="2" s="1"/>
  <c r="G326" i="2" s="1"/>
  <c r="E331" i="1" s="1"/>
  <c r="A318" i="2"/>
  <c r="B318" i="2"/>
  <c r="C318" i="2" s="1"/>
  <c r="F318" i="2" s="1"/>
  <c r="G318" i="2" s="1"/>
  <c r="E323" i="1" s="1"/>
  <c r="A310" i="2"/>
  <c r="B310" i="2"/>
  <c r="C310" i="2" s="1"/>
  <c r="F310" i="2" s="1"/>
  <c r="G310" i="2" s="1"/>
  <c r="E315" i="1" s="1"/>
  <c r="A302" i="2"/>
  <c r="B302" i="2"/>
  <c r="C302" i="2" s="1"/>
  <c r="F302" i="2" s="1"/>
  <c r="G302" i="2" s="1"/>
  <c r="E307" i="1" s="1"/>
  <c r="A294" i="2"/>
  <c r="B294" i="2"/>
  <c r="C294" i="2" s="1"/>
  <c r="F294" i="2" s="1"/>
  <c r="G294" i="2" s="1"/>
  <c r="E299" i="1" s="1"/>
  <c r="A286" i="2"/>
  <c r="B286" i="2"/>
  <c r="C286" i="2" s="1"/>
  <c r="F286" i="2" s="1"/>
  <c r="G286" i="2" s="1"/>
  <c r="E291" i="1" s="1"/>
  <c r="A278" i="2"/>
  <c r="B278" i="2"/>
  <c r="C278" i="2" s="1"/>
  <c r="F278" i="2" s="1"/>
  <c r="G278" i="2" s="1"/>
  <c r="E283" i="1" s="1"/>
  <c r="A270" i="2"/>
  <c r="B270" i="2"/>
  <c r="C270" i="2" s="1"/>
  <c r="F270" i="2" s="1"/>
  <c r="G270" i="2" s="1"/>
  <c r="E275" i="1" s="1"/>
  <c r="A262" i="2"/>
  <c r="B262" i="2"/>
  <c r="C262" i="2" s="1"/>
  <c r="F262" i="2" s="1"/>
  <c r="G262" i="2" s="1"/>
  <c r="E267" i="1" s="1"/>
  <c r="A254" i="2"/>
  <c r="B254" i="2"/>
  <c r="C254" i="2" s="1"/>
  <c r="F254" i="2" s="1"/>
  <c r="G254" i="2" s="1"/>
  <c r="E259" i="1" s="1"/>
  <c r="A246" i="2"/>
  <c r="B246" i="2"/>
  <c r="C246" i="2" s="1"/>
  <c r="F246" i="2" s="1"/>
  <c r="G246" i="2" s="1"/>
  <c r="E251" i="1" s="1"/>
  <c r="A238" i="2"/>
  <c r="B238" i="2"/>
  <c r="C238" i="2" s="1"/>
  <c r="F238" i="2" s="1"/>
  <c r="G238" i="2" s="1"/>
  <c r="E243" i="1" s="1"/>
  <c r="A230" i="2"/>
  <c r="B230" i="2"/>
  <c r="C230" i="2" s="1"/>
  <c r="F230" i="2" s="1"/>
  <c r="G230" i="2" s="1"/>
  <c r="E235" i="1" s="1"/>
  <c r="A222" i="2"/>
  <c r="B222" i="2"/>
  <c r="C222" i="2" s="1"/>
  <c r="F222" i="2" s="1"/>
  <c r="G222" i="2" s="1"/>
  <c r="E227" i="1" s="1"/>
  <c r="A214" i="2"/>
  <c r="B214" i="2"/>
  <c r="C214" i="2" s="1"/>
  <c r="F214" i="2" s="1"/>
  <c r="G214" i="2" s="1"/>
  <c r="E219" i="1" s="1"/>
  <c r="A206" i="2"/>
  <c r="B206" i="2"/>
  <c r="C206" i="2" s="1"/>
  <c r="F206" i="2" s="1"/>
  <c r="G206" i="2" s="1"/>
  <c r="E211" i="1" s="1"/>
  <c r="A198" i="2"/>
  <c r="B198" i="2"/>
  <c r="C198" i="2" s="1"/>
  <c r="F198" i="2" s="1"/>
  <c r="G198" i="2" s="1"/>
  <c r="E203" i="1" s="1"/>
  <c r="A190" i="2"/>
  <c r="B190" i="2"/>
  <c r="C190" i="2" s="1"/>
  <c r="F190" i="2" s="1"/>
  <c r="G190" i="2" s="1"/>
  <c r="E195" i="1" s="1"/>
  <c r="A182" i="2"/>
  <c r="B182" i="2"/>
  <c r="C182" i="2" s="1"/>
  <c r="F182" i="2" s="1"/>
  <c r="G182" i="2" s="1"/>
  <c r="E187" i="1" s="1"/>
  <c r="A174" i="2"/>
  <c r="B174" i="2"/>
  <c r="C174" i="2" s="1"/>
  <c r="F174" i="2" s="1"/>
  <c r="G174" i="2" s="1"/>
  <c r="E179" i="1" s="1"/>
  <c r="A166" i="2"/>
  <c r="B166" i="2"/>
  <c r="C166" i="2" s="1"/>
  <c r="F166" i="2" s="1"/>
  <c r="G166" i="2" s="1"/>
  <c r="E171" i="1" s="1"/>
  <c r="A158" i="2"/>
  <c r="B158" i="2"/>
  <c r="C158" i="2" s="1"/>
  <c r="F158" i="2" s="1"/>
  <c r="G158" i="2" s="1"/>
  <c r="E163" i="1" s="1"/>
  <c r="A150" i="2"/>
  <c r="B150" i="2"/>
  <c r="C150" i="2" s="1"/>
  <c r="F150" i="2" s="1"/>
  <c r="G150" i="2" s="1"/>
  <c r="E155" i="1" s="1"/>
  <c r="A142" i="2"/>
  <c r="B142" i="2"/>
  <c r="C142" i="2" s="1"/>
  <c r="F142" i="2" s="1"/>
  <c r="G142" i="2" s="1"/>
  <c r="E147" i="1" s="1"/>
  <c r="A134" i="2"/>
  <c r="B134" i="2"/>
  <c r="C134" i="2" s="1"/>
  <c r="F134" i="2" s="1"/>
  <c r="G134" i="2" s="1"/>
  <c r="E139" i="1" s="1"/>
  <c r="A126" i="2"/>
  <c r="B126" i="2"/>
  <c r="C126" i="2" s="1"/>
  <c r="F126" i="2" s="1"/>
  <c r="G126" i="2" s="1"/>
  <c r="E131" i="1" s="1"/>
  <c r="A118" i="2"/>
  <c r="B118" i="2"/>
  <c r="C118" i="2" s="1"/>
  <c r="F118" i="2" s="1"/>
  <c r="G118" i="2" s="1"/>
  <c r="E123" i="1" s="1"/>
  <c r="A110" i="2"/>
  <c r="B110" i="2"/>
  <c r="C110" i="2" s="1"/>
  <c r="A102" i="2"/>
  <c r="B102" i="2"/>
  <c r="C102" i="2" s="1"/>
  <c r="A94" i="2"/>
  <c r="B94" i="2"/>
  <c r="C94" i="2" s="1"/>
  <c r="A86" i="2"/>
  <c r="B86" i="2"/>
  <c r="C86" i="2" s="1"/>
  <c r="A78" i="2"/>
  <c r="B78" i="2"/>
  <c r="C78" i="2" s="1"/>
  <c r="A70" i="2"/>
  <c r="B70" i="2"/>
  <c r="C70" i="2" s="1"/>
  <c r="A62" i="2"/>
  <c r="B62" i="2"/>
  <c r="C62" i="2" s="1"/>
  <c r="A54" i="2"/>
  <c r="B54" i="2"/>
  <c r="C54" i="2" s="1"/>
  <c r="A46" i="2"/>
  <c r="B46" i="2"/>
  <c r="C46" i="2" s="1"/>
  <c r="A38" i="2"/>
  <c r="B38" i="2"/>
  <c r="C38" i="2" s="1"/>
  <c r="A30" i="2"/>
  <c r="B30" i="2"/>
  <c r="C30" i="2" s="1"/>
  <c r="A22" i="2"/>
  <c r="B22" i="2"/>
  <c r="C22" i="2" s="1"/>
  <c r="A14" i="2"/>
  <c r="B14" i="2"/>
  <c r="C14" i="2" s="1"/>
  <c r="A1047" i="2"/>
  <c r="B1047" i="2"/>
  <c r="C1047" i="2" s="1"/>
  <c r="F1047" i="2" s="1"/>
  <c r="G1047" i="2" s="1"/>
  <c r="E1052" i="1" s="1"/>
  <c r="A1039" i="2"/>
  <c r="B1039" i="2"/>
  <c r="C1039" i="2" s="1"/>
  <c r="F1039" i="2" s="1"/>
  <c r="G1039" i="2" s="1"/>
  <c r="E1044" i="1" s="1"/>
  <c r="A1031" i="2"/>
  <c r="B1031" i="2"/>
  <c r="C1031" i="2" s="1"/>
  <c r="F1031" i="2" s="1"/>
  <c r="G1031" i="2" s="1"/>
  <c r="E1036" i="1" s="1"/>
  <c r="A1023" i="2"/>
  <c r="B1023" i="2"/>
  <c r="C1023" i="2" s="1"/>
  <c r="F1023" i="2" s="1"/>
  <c r="G1023" i="2" s="1"/>
  <c r="E1028" i="1" s="1"/>
  <c r="A1015" i="2"/>
  <c r="B1015" i="2"/>
  <c r="C1015" i="2" s="1"/>
  <c r="F1015" i="2" s="1"/>
  <c r="G1015" i="2" s="1"/>
  <c r="E1020" i="1" s="1"/>
  <c r="A1007" i="2"/>
  <c r="B1007" i="2"/>
  <c r="C1007" i="2" s="1"/>
  <c r="F1007" i="2" s="1"/>
  <c r="G1007" i="2" s="1"/>
  <c r="E1012" i="1" s="1"/>
  <c r="A999" i="2"/>
  <c r="B999" i="2"/>
  <c r="C999" i="2" s="1"/>
  <c r="F999" i="2" s="1"/>
  <c r="G999" i="2" s="1"/>
  <c r="E1004" i="1" s="1"/>
  <c r="A991" i="2"/>
  <c r="B991" i="2"/>
  <c r="C991" i="2" s="1"/>
  <c r="F991" i="2" s="1"/>
  <c r="G991" i="2" s="1"/>
  <c r="E996" i="1" s="1"/>
  <c r="A983" i="2"/>
  <c r="B983" i="2"/>
  <c r="C983" i="2" s="1"/>
  <c r="F983" i="2" s="1"/>
  <c r="G983" i="2" s="1"/>
  <c r="E988" i="1" s="1"/>
  <c r="A975" i="2"/>
  <c r="B975" i="2"/>
  <c r="C975" i="2" s="1"/>
  <c r="F975" i="2" s="1"/>
  <c r="G975" i="2" s="1"/>
  <c r="E980" i="1" s="1"/>
  <c r="A967" i="2"/>
  <c r="B967" i="2"/>
  <c r="C967" i="2" s="1"/>
  <c r="F967" i="2" s="1"/>
  <c r="G967" i="2" s="1"/>
  <c r="E972" i="1" s="1"/>
  <c r="A959" i="2"/>
  <c r="B959" i="2"/>
  <c r="C959" i="2" s="1"/>
  <c r="F959" i="2" s="1"/>
  <c r="G959" i="2" s="1"/>
  <c r="E964" i="1" s="1"/>
  <c r="A951" i="2"/>
  <c r="B951" i="2"/>
  <c r="C951" i="2" s="1"/>
  <c r="F951" i="2" s="1"/>
  <c r="G951" i="2" s="1"/>
  <c r="E956" i="1" s="1"/>
  <c r="A943" i="2"/>
  <c r="B943" i="2"/>
  <c r="C943" i="2" s="1"/>
  <c r="F943" i="2" s="1"/>
  <c r="G943" i="2" s="1"/>
  <c r="E948" i="1" s="1"/>
  <c r="A935" i="2"/>
  <c r="B935" i="2"/>
  <c r="C935" i="2" s="1"/>
  <c r="F935" i="2" s="1"/>
  <c r="G935" i="2" s="1"/>
  <c r="E940" i="1" s="1"/>
  <c r="A927" i="2"/>
  <c r="B927" i="2"/>
  <c r="C927" i="2" s="1"/>
  <c r="F927" i="2" s="1"/>
  <c r="G927" i="2" s="1"/>
  <c r="E932" i="1" s="1"/>
  <c r="A919" i="2"/>
  <c r="B919" i="2"/>
  <c r="C919" i="2" s="1"/>
  <c r="F919" i="2" s="1"/>
  <c r="G919" i="2" s="1"/>
  <c r="E924" i="1" s="1"/>
  <c r="A911" i="2"/>
  <c r="B911" i="2"/>
  <c r="C911" i="2" s="1"/>
  <c r="F911" i="2" s="1"/>
  <c r="G911" i="2" s="1"/>
  <c r="E916" i="1" s="1"/>
  <c r="A903" i="2"/>
  <c r="B903" i="2"/>
  <c r="C903" i="2" s="1"/>
  <c r="F903" i="2" s="1"/>
  <c r="G903" i="2" s="1"/>
  <c r="E908" i="1" s="1"/>
  <c r="A895" i="2"/>
  <c r="B895" i="2"/>
  <c r="C895" i="2" s="1"/>
  <c r="F895" i="2" s="1"/>
  <c r="G895" i="2" s="1"/>
  <c r="E900" i="1" s="1"/>
  <c r="A887" i="2"/>
  <c r="B887" i="2"/>
  <c r="C887" i="2" s="1"/>
  <c r="F887" i="2" s="1"/>
  <c r="G887" i="2" s="1"/>
  <c r="E892" i="1" s="1"/>
  <c r="A879" i="2"/>
  <c r="B879" i="2"/>
  <c r="C879" i="2" s="1"/>
  <c r="F879" i="2" s="1"/>
  <c r="G879" i="2" s="1"/>
  <c r="E884" i="1" s="1"/>
  <c r="A871" i="2"/>
  <c r="B871" i="2"/>
  <c r="C871" i="2" s="1"/>
  <c r="F871" i="2" s="1"/>
  <c r="G871" i="2" s="1"/>
  <c r="E876" i="1" s="1"/>
  <c r="A863" i="2"/>
  <c r="B863" i="2"/>
  <c r="C863" i="2" s="1"/>
  <c r="F863" i="2" s="1"/>
  <c r="G863" i="2" s="1"/>
  <c r="E868" i="1" s="1"/>
  <c r="A855" i="2"/>
  <c r="B855" i="2"/>
  <c r="C855" i="2" s="1"/>
  <c r="F855" i="2" s="1"/>
  <c r="G855" i="2" s="1"/>
  <c r="E860" i="1" s="1"/>
  <c r="A847" i="2"/>
  <c r="B847" i="2"/>
  <c r="C847" i="2" s="1"/>
  <c r="F847" i="2" s="1"/>
  <c r="G847" i="2" s="1"/>
  <c r="E852" i="1" s="1"/>
  <c r="A839" i="2"/>
  <c r="B839" i="2"/>
  <c r="C839" i="2" s="1"/>
  <c r="F839" i="2" s="1"/>
  <c r="G839" i="2" s="1"/>
  <c r="E844" i="1" s="1"/>
  <c r="A831" i="2"/>
  <c r="B831" i="2"/>
  <c r="C831" i="2" s="1"/>
  <c r="F831" i="2" s="1"/>
  <c r="G831" i="2" s="1"/>
  <c r="E836" i="1" s="1"/>
  <c r="A823" i="2"/>
  <c r="B823" i="2"/>
  <c r="C823" i="2" s="1"/>
  <c r="F823" i="2" s="1"/>
  <c r="G823" i="2" s="1"/>
  <c r="E828" i="1" s="1"/>
  <c r="A815" i="2"/>
  <c r="B815" i="2"/>
  <c r="C815" i="2" s="1"/>
  <c r="F815" i="2" s="1"/>
  <c r="G815" i="2" s="1"/>
  <c r="E820" i="1" s="1"/>
  <c r="A807" i="2"/>
  <c r="B807" i="2"/>
  <c r="C807" i="2" s="1"/>
  <c r="F807" i="2" s="1"/>
  <c r="G807" i="2" s="1"/>
  <c r="E812" i="1" s="1"/>
  <c r="A799" i="2"/>
  <c r="B799" i="2"/>
  <c r="C799" i="2" s="1"/>
  <c r="F799" i="2" s="1"/>
  <c r="G799" i="2" s="1"/>
  <c r="E804" i="1" s="1"/>
  <c r="A791" i="2"/>
  <c r="B791" i="2"/>
  <c r="C791" i="2" s="1"/>
  <c r="F791" i="2" s="1"/>
  <c r="G791" i="2" s="1"/>
  <c r="E796" i="1" s="1"/>
  <c r="A783" i="2"/>
  <c r="B783" i="2"/>
  <c r="C783" i="2" s="1"/>
  <c r="F783" i="2" s="1"/>
  <c r="G783" i="2" s="1"/>
  <c r="E788" i="1" s="1"/>
  <c r="A775" i="2"/>
  <c r="B775" i="2"/>
  <c r="C775" i="2" s="1"/>
  <c r="F775" i="2" s="1"/>
  <c r="G775" i="2" s="1"/>
  <c r="E780" i="1" s="1"/>
  <c r="A767" i="2"/>
  <c r="B767" i="2"/>
  <c r="C767" i="2" s="1"/>
  <c r="F767" i="2" s="1"/>
  <c r="G767" i="2" s="1"/>
  <c r="E772" i="1" s="1"/>
  <c r="A759" i="2"/>
  <c r="B759" i="2"/>
  <c r="C759" i="2" s="1"/>
  <c r="F759" i="2" s="1"/>
  <c r="G759" i="2" s="1"/>
  <c r="E764" i="1" s="1"/>
  <c r="A751" i="2"/>
  <c r="B751" i="2"/>
  <c r="C751" i="2" s="1"/>
  <c r="F751" i="2" s="1"/>
  <c r="G751" i="2" s="1"/>
  <c r="E756" i="1" s="1"/>
  <c r="A743" i="2"/>
  <c r="B743" i="2"/>
  <c r="C743" i="2" s="1"/>
  <c r="F743" i="2" s="1"/>
  <c r="G743" i="2" s="1"/>
  <c r="E748" i="1" s="1"/>
  <c r="A735" i="2"/>
  <c r="B735" i="2"/>
  <c r="C735" i="2" s="1"/>
  <c r="F735" i="2" s="1"/>
  <c r="G735" i="2" s="1"/>
  <c r="E740" i="1" s="1"/>
  <c r="A727" i="2"/>
  <c r="B727" i="2"/>
  <c r="C727" i="2" s="1"/>
  <c r="F727" i="2" s="1"/>
  <c r="G727" i="2" s="1"/>
  <c r="E732" i="1" s="1"/>
  <c r="A719" i="2"/>
  <c r="B719" i="2"/>
  <c r="C719" i="2" s="1"/>
  <c r="F719" i="2" s="1"/>
  <c r="G719" i="2" s="1"/>
  <c r="E724" i="1" s="1"/>
  <c r="A711" i="2"/>
  <c r="B711" i="2"/>
  <c r="C711" i="2" s="1"/>
  <c r="F711" i="2" s="1"/>
  <c r="G711" i="2" s="1"/>
  <c r="E716" i="1" s="1"/>
  <c r="A703" i="2"/>
  <c r="B703" i="2"/>
  <c r="C703" i="2" s="1"/>
  <c r="F703" i="2" s="1"/>
  <c r="G703" i="2" s="1"/>
  <c r="E708" i="1" s="1"/>
  <c r="A695" i="2"/>
  <c r="B695" i="2"/>
  <c r="C695" i="2" s="1"/>
  <c r="F695" i="2" s="1"/>
  <c r="G695" i="2" s="1"/>
  <c r="E700" i="1" s="1"/>
  <c r="A687" i="2"/>
  <c r="B687" i="2"/>
  <c r="C687" i="2" s="1"/>
  <c r="F687" i="2" s="1"/>
  <c r="G687" i="2" s="1"/>
  <c r="E692" i="1" s="1"/>
  <c r="A679" i="2"/>
  <c r="B679" i="2"/>
  <c r="C679" i="2" s="1"/>
  <c r="F679" i="2" s="1"/>
  <c r="G679" i="2" s="1"/>
  <c r="E684" i="1" s="1"/>
  <c r="A671" i="2"/>
  <c r="B671" i="2"/>
  <c r="C671" i="2" s="1"/>
  <c r="F671" i="2" s="1"/>
  <c r="G671" i="2" s="1"/>
  <c r="E676" i="1" s="1"/>
  <c r="A663" i="2"/>
  <c r="B663" i="2"/>
  <c r="C663" i="2" s="1"/>
  <c r="F663" i="2" s="1"/>
  <c r="G663" i="2" s="1"/>
  <c r="E668" i="1" s="1"/>
  <c r="A655" i="2"/>
  <c r="B655" i="2"/>
  <c r="C655" i="2" s="1"/>
  <c r="F655" i="2" s="1"/>
  <c r="G655" i="2" s="1"/>
  <c r="E660" i="1" s="1"/>
  <c r="A647" i="2"/>
  <c r="B647" i="2"/>
  <c r="C647" i="2" s="1"/>
  <c r="F647" i="2" s="1"/>
  <c r="G647" i="2" s="1"/>
  <c r="E652" i="1" s="1"/>
  <c r="A639" i="2"/>
  <c r="B639" i="2"/>
  <c r="C639" i="2" s="1"/>
  <c r="F639" i="2" s="1"/>
  <c r="G639" i="2" s="1"/>
  <c r="E644" i="1" s="1"/>
  <c r="A631" i="2"/>
  <c r="B631" i="2"/>
  <c r="C631" i="2" s="1"/>
  <c r="F631" i="2" s="1"/>
  <c r="G631" i="2" s="1"/>
  <c r="E636" i="1" s="1"/>
  <c r="A623" i="2"/>
  <c r="B623" i="2"/>
  <c r="C623" i="2" s="1"/>
  <c r="F623" i="2" s="1"/>
  <c r="G623" i="2" s="1"/>
  <c r="E628" i="1" s="1"/>
  <c r="A615" i="2"/>
  <c r="B615" i="2"/>
  <c r="C615" i="2" s="1"/>
  <c r="F615" i="2" s="1"/>
  <c r="G615" i="2" s="1"/>
  <c r="E620" i="1" s="1"/>
  <c r="A607" i="2"/>
  <c r="B607" i="2"/>
  <c r="C607" i="2" s="1"/>
  <c r="F607" i="2" s="1"/>
  <c r="G607" i="2" s="1"/>
  <c r="E612" i="1" s="1"/>
  <c r="A599" i="2"/>
  <c r="B599" i="2"/>
  <c r="C599" i="2" s="1"/>
  <c r="F599" i="2" s="1"/>
  <c r="G599" i="2" s="1"/>
  <c r="E604" i="1" s="1"/>
  <c r="A591" i="2"/>
  <c r="B591" i="2"/>
  <c r="C591" i="2" s="1"/>
  <c r="F591" i="2" s="1"/>
  <c r="G591" i="2" s="1"/>
  <c r="E596" i="1" s="1"/>
  <c r="A583" i="2"/>
  <c r="B583" i="2"/>
  <c r="C583" i="2" s="1"/>
  <c r="F583" i="2" s="1"/>
  <c r="G583" i="2" s="1"/>
  <c r="E588" i="1" s="1"/>
  <c r="A575" i="2"/>
  <c r="B575" i="2"/>
  <c r="C575" i="2" s="1"/>
  <c r="F575" i="2" s="1"/>
  <c r="G575" i="2" s="1"/>
  <c r="E580" i="1" s="1"/>
  <c r="A567" i="2"/>
  <c r="B567" i="2"/>
  <c r="C567" i="2" s="1"/>
  <c r="F567" i="2" s="1"/>
  <c r="G567" i="2" s="1"/>
  <c r="E572" i="1" s="1"/>
  <c r="A559" i="2"/>
  <c r="B559" i="2"/>
  <c r="C559" i="2" s="1"/>
  <c r="F559" i="2" s="1"/>
  <c r="G559" i="2" s="1"/>
  <c r="E564" i="1" s="1"/>
  <c r="A551" i="2"/>
  <c r="B551" i="2"/>
  <c r="C551" i="2" s="1"/>
  <c r="F551" i="2" s="1"/>
  <c r="G551" i="2" s="1"/>
  <c r="E556" i="1" s="1"/>
  <c r="A543" i="2"/>
  <c r="B543" i="2"/>
  <c r="C543" i="2" s="1"/>
  <c r="F543" i="2" s="1"/>
  <c r="G543" i="2" s="1"/>
  <c r="E548" i="1" s="1"/>
  <c r="A535" i="2"/>
  <c r="B535" i="2"/>
  <c r="C535" i="2" s="1"/>
  <c r="F535" i="2" s="1"/>
  <c r="G535" i="2" s="1"/>
  <c r="E540" i="1" s="1"/>
  <c r="A527" i="2"/>
  <c r="B527" i="2"/>
  <c r="C527" i="2" s="1"/>
  <c r="F527" i="2" s="1"/>
  <c r="G527" i="2" s="1"/>
  <c r="E532" i="1" s="1"/>
  <c r="A519" i="2"/>
  <c r="B519" i="2"/>
  <c r="C519" i="2" s="1"/>
  <c r="F519" i="2" s="1"/>
  <c r="G519" i="2" s="1"/>
  <c r="E524" i="1" s="1"/>
  <c r="A511" i="2"/>
  <c r="B511" i="2"/>
  <c r="C511" i="2" s="1"/>
  <c r="F511" i="2" s="1"/>
  <c r="G511" i="2" s="1"/>
  <c r="E516" i="1" s="1"/>
  <c r="A503" i="2"/>
  <c r="B503" i="2"/>
  <c r="C503" i="2" s="1"/>
  <c r="F503" i="2" s="1"/>
  <c r="G503" i="2" s="1"/>
  <c r="E508" i="1" s="1"/>
  <c r="A495" i="2"/>
  <c r="B495" i="2"/>
  <c r="C495" i="2" s="1"/>
  <c r="F495" i="2" s="1"/>
  <c r="G495" i="2" s="1"/>
  <c r="E500" i="1" s="1"/>
  <c r="A487" i="2"/>
  <c r="B487" i="2"/>
  <c r="C487" i="2" s="1"/>
  <c r="F487" i="2" s="1"/>
  <c r="G487" i="2" s="1"/>
  <c r="E492" i="1" s="1"/>
  <c r="A479" i="2"/>
  <c r="B479" i="2"/>
  <c r="C479" i="2" s="1"/>
  <c r="F479" i="2" s="1"/>
  <c r="G479" i="2" s="1"/>
  <c r="E484" i="1" s="1"/>
  <c r="A471" i="2"/>
  <c r="B471" i="2"/>
  <c r="C471" i="2" s="1"/>
  <c r="F471" i="2" s="1"/>
  <c r="G471" i="2" s="1"/>
  <c r="E476" i="1" s="1"/>
  <c r="A463" i="2"/>
  <c r="B463" i="2"/>
  <c r="C463" i="2" s="1"/>
  <c r="F463" i="2" s="1"/>
  <c r="G463" i="2" s="1"/>
  <c r="E468" i="1" s="1"/>
  <c r="A455" i="2"/>
  <c r="B455" i="2"/>
  <c r="C455" i="2" s="1"/>
  <c r="F455" i="2" s="1"/>
  <c r="G455" i="2" s="1"/>
  <c r="E460" i="1" s="1"/>
  <c r="A447" i="2"/>
  <c r="B447" i="2"/>
  <c r="C447" i="2" s="1"/>
  <c r="F447" i="2" s="1"/>
  <c r="G447" i="2" s="1"/>
  <c r="E452" i="1" s="1"/>
  <c r="A439" i="2"/>
  <c r="B439" i="2"/>
  <c r="C439" i="2" s="1"/>
  <c r="F439" i="2" s="1"/>
  <c r="G439" i="2" s="1"/>
  <c r="E444" i="1" s="1"/>
  <c r="A431" i="2"/>
  <c r="B431" i="2"/>
  <c r="C431" i="2" s="1"/>
  <c r="F431" i="2" s="1"/>
  <c r="G431" i="2" s="1"/>
  <c r="E436" i="1" s="1"/>
  <c r="A423" i="2"/>
  <c r="B423" i="2"/>
  <c r="C423" i="2" s="1"/>
  <c r="F423" i="2" s="1"/>
  <c r="G423" i="2" s="1"/>
  <c r="E428" i="1" s="1"/>
  <c r="A415" i="2"/>
  <c r="B415" i="2"/>
  <c r="C415" i="2" s="1"/>
  <c r="F415" i="2" s="1"/>
  <c r="G415" i="2" s="1"/>
  <c r="E420" i="1" s="1"/>
  <c r="A407" i="2"/>
  <c r="B407" i="2"/>
  <c r="C407" i="2" s="1"/>
  <c r="F407" i="2" s="1"/>
  <c r="G407" i="2" s="1"/>
  <c r="E412" i="1" s="1"/>
  <c r="A399" i="2"/>
  <c r="B399" i="2"/>
  <c r="C399" i="2" s="1"/>
  <c r="F399" i="2" s="1"/>
  <c r="G399" i="2" s="1"/>
  <c r="E404" i="1" s="1"/>
  <c r="A391" i="2"/>
  <c r="B391" i="2"/>
  <c r="C391" i="2" s="1"/>
  <c r="F391" i="2" s="1"/>
  <c r="G391" i="2" s="1"/>
  <c r="E396" i="1" s="1"/>
  <c r="A383" i="2"/>
  <c r="B383" i="2"/>
  <c r="C383" i="2" s="1"/>
  <c r="F383" i="2" s="1"/>
  <c r="G383" i="2" s="1"/>
  <c r="E388" i="1" s="1"/>
  <c r="A375" i="2"/>
  <c r="B375" i="2"/>
  <c r="C375" i="2" s="1"/>
  <c r="F375" i="2" s="1"/>
  <c r="G375" i="2" s="1"/>
  <c r="E380" i="1" s="1"/>
  <c r="A367" i="2"/>
  <c r="B367" i="2"/>
  <c r="C367" i="2" s="1"/>
  <c r="F367" i="2" s="1"/>
  <c r="G367" i="2" s="1"/>
  <c r="E372" i="1" s="1"/>
  <c r="A359" i="2"/>
  <c r="B359" i="2"/>
  <c r="C359" i="2" s="1"/>
  <c r="F359" i="2" s="1"/>
  <c r="G359" i="2" s="1"/>
  <c r="E364" i="1" s="1"/>
  <c r="A351" i="2"/>
  <c r="B351" i="2"/>
  <c r="C351" i="2" s="1"/>
  <c r="F351" i="2" s="1"/>
  <c r="G351" i="2" s="1"/>
  <c r="E356" i="1" s="1"/>
  <c r="A343" i="2"/>
  <c r="B343" i="2"/>
  <c r="C343" i="2" s="1"/>
  <c r="F343" i="2" s="1"/>
  <c r="G343" i="2" s="1"/>
  <c r="E348" i="1" s="1"/>
  <c r="A335" i="2"/>
  <c r="B335" i="2"/>
  <c r="C335" i="2" s="1"/>
  <c r="F335" i="2" s="1"/>
  <c r="G335" i="2" s="1"/>
  <c r="E340" i="1" s="1"/>
  <c r="A327" i="2"/>
  <c r="B327" i="2"/>
  <c r="C327" i="2" s="1"/>
  <c r="F327" i="2" s="1"/>
  <c r="G327" i="2" s="1"/>
  <c r="E332" i="1" s="1"/>
  <c r="A319" i="2"/>
  <c r="B319" i="2"/>
  <c r="C319" i="2" s="1"/>
  <c r="F319" i="2" s="1"/>
  <c r="G319" i="2" s="1"/>
  <c r="E324" i="1" s="1"/>
  <c r="A311" i="2"/>
  <c r="B311" i="2"/>
  <c r="C311" i="2" s="1"/>
  <c r="F311" i="2" s="1"/>
  <c r="G311" i="2" s="1"/>
  <c r="E316" i="1" s="1"/>
  <c r="A303" i="2"/>
  <c r="B303" i="2"/>
  <c r="C303" i="2" s="1"/>
  <c r="F303" i="2" s="1"/>
  <c r="G303" i="2" s="1"/>
  <c r="E308" i="1" s="1"/>
  <c r="A295" i="2"/>
  <c r="B295" i="2"/>
  <c r="C295" i="2" s="1"/>
  <c r="F295" i="2" s="1"/>
  <c r="G295" i="2" s="1"/>
  <c r="E300" i="1" s="1"/>
  <c r="A287" i="2"/>
  <c r="B287" i="2"/>
  <c r="C287" i="2" s="1"/>
  <c r="F287" i="2" s="1"/>
  <c r="G287" i="2" s="1"/>
  <c r="E292" i="1" s="1"/>
  <c r="A279" i="2"/>
  <c r="B279" i="2"/>
  <c r="C279" i="2" s="1"/>
  <c r="F279" i="2" s="1"/>
  <c r="G279" i="2" s="1"/>
  <c r="E284" i="1" s="1"/>
  <c r="A271" i="2"/>
  <c r="B271" i="2"/>
  <c r="C271" i="2" s="1"/>
  <c r="F271" i="2" s="1"/>
  <c r="G271" i="2" s="1"/>
  <c r="E276" i="1" s="1"/>
  <c r="A263" i="2"/>
  <c r="B263" i="2"/>
  <c r="C263" i="2" s="1"/>
  <c r="F263" i="2" s="1"/>
  <c r="G263" i="2" s="1"/>
  <c r="E268" i="1" s="1"/>
  <c r="A255" i="2"/>
  <c r="B255" i="2"/>
  <c r="C255" i="2" s="1"/>
  <c r="F255" i="2" s="1"/>
  <c r="G255" i="2" s="1"/>
  <c r="E260" i="1" s="1"/>
  <c r="A247" i="2"/>
  <c r="B247" i="2"/>
  <c r="C247" i="2" s="1"/>
  <c r="F247" i="2" s="1"/>
  <c r="G247" i="2" s="1"/>
  <c r="E252" i="1" s="1"/>
  <c r="A239" i="2"/>
  <c r="B239" i="2"/>
  <c r="C239" i="2" s="1"/>
  <c r="F239" i="2" s="1"/>
  <c r="G239" i="2" s="1"/>
  <c r="E244" i="1" s="1"/>
  <c r="A231" i="2"/>
  <c r="B231" i="2"/>
  <c r="C231" i="2" s="1"/>
  <c r="F231" i="2" s="1"/>
  <c r="G231" i="2" s="1"/>
  <c r="E236" i="1" s="1"/>
  <c r="A223" i="2"/>
  <c r="B223" i="2"/>
  <c r="C223" i="2" s="1"/>
  <c r="F223" i="2" s="1"/>
  <c r="G223" i="2" s="1"/>
  <c r="E228" i="1" s="1"/>
  <c r="A215" i="2"/>
  <c r="B215" i="2"/>
  <c r="C215" i="2" s="1"/>
  <c r="F215" i="2" s="1"/>
  <c r="G215" i="2" s="1"/>
  <c r="E220" i="1" s="1"/>
  <c r="A207" i="2"/>
  <c r="B207" i="2"/>
  <c r="C207" i="2" s="1"/>
  <c r="F207" i="2" s="1"/>
  <c r="G207" i="2" s="1"/>
  <c r="E212" i="1" s="1"/>
  <c r="A199" i="2"/>
  <c r="B199" i="2"/>
  <c r="C199" i="2" s="1"/>
  <c r="F199" i="2" s="1"/>
  <c r="G199" i="2" s="1"/>
  <c r="E204" i="1" s="1"/>
  <c r="A191" i="2"/>
  <c r="B191" i="2"/>
  <c r="C191" i="2" s="1"/>
  <c r="F191" i="2" s="1"/>
  <c r="G191" i="2" s="1"/>
  <c r="E196" i="1" s="1"/>
  <c r="A183" i="2"/>
  <c r="B183" i="2"/>
  <c r="C183" i="2" s="1"/>
  <c r="F183" i="2" s="1"/>
  <c r="G183" i="2" s="1"/>
  <c r="E188" i="1" s="1"/>
  <c r="A175" i="2"/>
  <c r="B175" i="2"/>
  <c r="C175" i="2" s="1"/>
  <c r="F175" i="2" s="1"/>
  <c r="G175" i="2" s="1"/>
  <c r="E180" i="1" s="1"/>
  <c r="A167" i="2"/>
  <c r="B167" i="2"/>
  <c r="C167" i="2" s="1"/>
  <c r="F167" i="2" s="1"/>
  <c r="G167" i="2" s="1"/>
  <c r="E172" i="1" s="1"/>
  <c r="A159" i="2"/>
  <c r="B159" i="2"/>
  <c r="C159" i="2" s="1"/>
  <c r="F159" i="2" s="1"/>
  <c r="G159" i="2" s="1"/>
  <c r="E164" i="1" s="1"/>
  <c r="A151" i="2"/>
  <c r="B151" i="2"/>
  <c r="C151" i="2" s="1"/>
  <c r="F151" i="2" s="1"/>
  <c r="G151" i="2" s="1"/>
  <c r="E156" i="1" s="1"/>
  <c r="A143" i="2"/>
  <c r="B143" i="2"/>
  <c r="C143" i="2" s="1"/>
  <c r="F143" i="2" s="1"/>
  <c r="G143" i="2" s="1"/>
  <c r="E148" i="1" s="1"/>
  <c r="A135" i="2"/>
  <c r="B135" i="2"/>
  <c r="C135" i="2" s="1"/>
  <c r="F135" i="2" s="1"/>
  <c r="G135" i="2" s="1"/>
  <c r="E140" i="1" s="1"/>
  <c r="A127" i="2"/>
  <c r="B127" i="2"/>
  <c r="C127" i="2" s="1"/>
  <c r="F127" i="2" s="1"/>
  <c r="G127" i="2" s="1"/>
  <c r="E132" i="1" s="1"/>
  <c r="A119" i="2"/>
  <c r="B119" i="2"/>
  <c r="C119" i="2" s="1"/>
  <c r="F119" i="2" s="1"/>
  <c r="G119" i="2" s="1"/>
  <c r="E124" i="1" s="1"/>
  <c r="A111" i="2"/>
  <c r="B111" i="2"/>
  <c r="C111" i="2" s="1"/>
  <c r="A103" i="2"/>
  <c r="B103" i="2"/>
  <c r="C103" i="2" s="1"/>
  <c r="A95" i="2"/>
  <c r="B95" i="2"/>
  <c r="C95" i="2" s="1"/>
  <c r="A87" i="2"/>
  <c r="B87" i="2"/>
  <c r="C87" i="2" s="1"/>
  <c r="A79" i="2"/>
  <c r="B79" i="2"/>
  <c r="C79" i="2" s="1"/>
  <c r="A71" i="2"/>
  <c r="B71" i="2"/>
  <c r="C71" i="2" s="1"/>
  <c r="A63" i="2"/>
  <c r="B63" i="2"/>
  <c r="C63" i="2" s="1"/>
  <c r="A55" i="2"/>
  <c r="B55" i="2"/>
  <c r="C55" i="2" s="1"/>
  <c r="A47" i="2"/>
  <c r="B47" i="2"/>
  <c r="C47" i="2" s="1"/>
  <c r="A39" i="2"/>
  <c r="B39" i="2"/>
  <c r="C39" i="2" s="1"/>
  <c r="A31" i="2"/>
  <c r="B31" i="2"/>
  <c r="C31" i="2" s="1"/>
  <c r="A23" i="2"/>
  <c r="B23" i="2"/>
  <c r="C23" i="2" s="1"/>
  <c r="A15" i="2"/>
  <c r="B15" i="2"/>
  <c r="C15" i="2" s="1"/>
  <c r="A3989" i="2"/>
  <c r="B3989" i="2"/>
  <c r="C3989" i="2" s="1"/>
  <c r="F3989" i="2" s="1"/>
  <c r="G3989" i="2" s="1"/>
  <c r="E3994" i="1" s="1"/>
  <c r="A3981" i="2"/>
  <c r="B3981" i="2"/>
  <c r="C3981" i="2" s="1"/>
  <c r="F3981" i="2" s="1"/>
  <c r="G3981" i="2" s="1"/>
  <c r="E3986" i="1" s="1"/>
  <c r="A3973" i="2"/>
  <c r="B3973" i="2"/>
  <c r="C3973" i="2" s="1"/>
  <c r="F3973" i="2" s="1"/>
  <c r="G3973" i="2" s="1"/>
  <c r="E3978" i="1" s="1"/>
  <c r="A3965" i="2"/>
  <c r="B3965" i="2"/>
  <c r="C3965" i="2" s="1"/>
  <c r="F3965" i="2" s="1"/>
  <c r="G3965" i="2" s="1"/>
  <c r="E3970" i="1" s="1"/>
  <c r="A3957" i="2"/>
  <c r="B3957" i="2"/>
  <c r="C3957" i="2" s="1"/>
  <c r="F3957" i="2" s="1"/>
  <c r="G3957" i="2" s="1"/>
  <c r="E3962" i="1" s="1"/>
  <c r="A3949" i="2"/>
  <c r="B3949" i="2"/>
  <c r="C3949" i="2" s="1"/>
  <c r="F3949" i="2" s="1"/>
  <c r="G3949" i="2" s="1"/>
  <c r="E3954" i="1" s="1"/>
  <c r="A3941" i="2"/>
  <c r="B3941" i="2"/>
  <c r="C3941" i="2" s="1"/>
  <c r="F3941" i="2" s="1"/>
  <c r="G3941" i="2" s="1"/>
  <c r="E3946" i="1" s="1"/>
  <c r="A3933" i="2"/>
  <c r="B3933" i="2"/>
  <c r="C3933" i="2" s="1"/>
  <c r="F3933" i="2" s="1"/>
  <c r="G3933" i="2" s="1"/>
  <c r="E3938" i="1" s="1"/>
  <c r="A3925" i="2"/>
  <c r="B3925" i="2"/>
  <c r="C3925" i="2" s="1"/>
  <c r="F3925" i="2" s="1"/>
  <c r="G3925" i="2" s="1"/>
  <c r="E3930" i="1" s="1"/>
  <c r="A3917" i="2"/>
  <c r="B3917" i="2"/>
  <c r="C3917" i="2" s="1"/>
  <c r="F3917" i="2" s="1"/>
  <c r="G3917" i="2" s="1"/>
  <c r="E3922" i="1" s="1"/>
  <c r="A3909" i="2"/>
  <c r="B3909" i="2"/>
  <c r="C3909" i="2" s="1"/>
  <c r="F3909" i="2" s="1"/>
  <c r="G3909" i="2" s="1"/>
  <c r="E3914" i="1" s="1"/>
  <c r="A3901" i="2"/>
  <c r="B3901" i="2"/>
  <c r="C3901" i="2" s="1"/>
  <c r="F3901" i="2" s="1"/>
  <c r="G3901" i="2" s="1"/>
  <c r="E3906" i="1" s="1"/>
  <c r="A3893" i="2"/>
  <c r="B3893" i="2"/>
  <c r="C3893" i="2" s="1"/>
  <c r="F3893" i="2" s="1"/>
  <c r="G3893" i="2" s="1"/>
  <c r="E3898" i="1" s="1"/>
  <c r="A3885" i="2"/>
  <c r="B3885" i="2"/>
  <c r="C3885" i="2" s="1"/>
  <c r="F3885" i="2" s="1"/>
  <c r="G3885" i="2" s="1"/>
  <c r="E3890" i="1" s="1"/>
  <c r="A3877" i="2"/>
  <c r="B3877" i="2"/>
  <c r="C3877" i="2" s="1"/>
  <c r="F3877" i="2" s="1"/>
  <c r="G3877" i="2" s="1"/>
  <c r="E3882" i="1" s="1"/>
  <c r="A3869" i="2"/>
  <c r="B3869" i="2"/>
  <c r="C3869" i="2" s="1"/>
  <c r="F3869" i="2" s="1"/>
  <c r="G3869" i="2" s="1"/>
  <c r="E3874" i="1" s="1"/>
  <c r="A3861" i="2"/>
  <c r="B3861" i="2"/>
  <c r="C3861" i="2" s="1"/>
  <c r="F3861" i="2" s="1"/>
  <c r="G3861" i="2" s="1"/>
  <c r="E3866" i="1" s="1"/>
  <c r="A3853" i="2"/>
  <c r="B3853" i="2"/>
  <c r="C3853" i="2" s="1"/>
  <c r="F3853" i="2" s="1"/>
  <c r="G3853" i="2" s="1"/>
  <c r="E3858" i="1" s="1"/>
  <c r="A3845" i="2"/>
  <c r="B3845" i="2"/>
  <c r="C3845" i="2" s="1"/>
  <c r="F3845" i="2" s="1"/>
  <c r="G3845" i="2" s="1"/>
  <c r="E3850" i="1" s="1"/>
  <c r="A3837" i="2"/>
  <c r="B3837" i="2"/>
  <c r="C3837" i="2" s="1"/>
  <c r="F3837" i="2" s="1"/>
  <c r="G3837" i="2" s="1"/>
  <c r="E3842" i="1" s="1"/>
  <c r="A3829" i="2"/>
  <c r="B3829" i="2"/>
  <c r="C3829" i="2" s="1"/>
  <c r="F3829" i="2" s="1"/>
  <c r="G3829" i="2" s="1"/>
  <c r="E3834" i="1" s="1"/>
  <c r="A3821" i="2"/>
  <c r="B3821" i="2"/>
  <c r="C3821" i="2" s="1"/>
  <c r="F3821" i="2" s="1"/>
  <c r="G3821" i="2" s="1"/>
  <c r="E3826" i="1" s="1"/>
  <c r="A3813" i="2"/>
  <c r="B3813" i="2"/>
  <c r="C3813" i="2" s="1"/>
  <c r="F3813" i="2" s="1"/>
  <c r="G3813" i="2" s="1"/>
  <c r="E3818" i="1" s="1"/>
  <c r="A3805" i="2"/>
  <c r="B3805" i="2"/>
  <c r="C3805" i="2" s="1"/>
  <c r="F3805" i="2" s="1"/>
  <c r="G3805" i="2" s="1"/>
  <c r="E3810" i="1" s="1"/>
  <c r="A3797" i="2"/>
  <c r="B3797" i="2"/>
  <c r="C3797" i="2" s="1"/>
  <c r="F3797" i="2" s="1"/>
  <c r="G3797" i="2" s="1"/>
  <c r="E3802" i="1" s="1"/>
  <c r="A3789" i="2"/>
  <c r="B3789" i="2"/>
  <c r="C3789" i="2" s="1"/>
  <c r="F3789" i="2" s="1"/>
  <c r="G3789" i="2" s="1"/>
  <c r="E3794" i="1" s="1"/>
  <c r="A3781" i="2"/>
  <c r="B3781" i="2"/>
  <c r="C3781" i="2" s="1"/>
  <c r="F3781" i="2" s="1"/>
  <c r="G3781" i="2" s="1"/>
  <c r="E3786" i="1" s="1"/>
  <c r="A3773" i="2"/>
  <c r="B3773" i="2"/>
  <c r="C3773" i="2" s="1"/>
  <c r="F3773" i="2" s="1"/>
  <c r="G3773" i="2" s="1"/>
  <c r="E3778" i="1" s="1"/>
  <c r="A3765" i="2"/>
  <c r="B3765" i="2"/>
  <c r="C3765" i="2" s="1"/>
  <c r="F3765" i="2" s="1"/>
  <c r="G3765" i="2" s="1"/>
  <c r="E3770" i="1" s="1"/>
  <c r="A3757" i="2"/>
  <c r="B3757" i="2"/>
  <c r="C3757" i="2" s="1"/>
  <c r="F3757" i="2" s="1"/>
  <c r="G3757" i="2" s="1"/>
  <c r="E3762" i="1" s="1"/>
  <c r="A3749" i="2"/>
  <c r="B3749" i="2"/>
  <c r="C3749" i="2" s="1"/>
  <c r="F3749" i="2" s="1"/>
  <c r="G3749" i="2" s="1"/>
  <c r="E3754" i="1" s="1"/>
  <c r="A3741" i="2"/>
  <c r="B3741" i="2"/>
  <c r="C3741" i="2" s="1"/>
  <c r="F3741" i="2" s="1"/>
  <c r="G3741" i="2" s="1"/>
  <c r="E3746" i="1" s="1"/>
  <c r="A3733" i="2"/>
  <c r="B3733" i="2"/>
  <c r="C3733" i="2" s="1"/>
  <c r="F3733" i="2" s="1"/>
  <c r="G3733" i="2" s="1"/>
  <c r="E3738" i="1" s="1"/>
  <c r="A3725" i="2"/>
  <c r="B3725" i="2"/>
  <c r="C3725" i="2" s="1"/>
  <c r="F3725" i="2" s="1"/>
  <c r="G3725" i="2" s="1"/>
  <c r="E3730" i="1" s="1"/>
  <c r="A3717" i="2"/>
  <c r="B3717" i="2"/>
  <c r="C3717" i="2" s="1"/>
  <c r="F3717" i="2" s="1"/>
  <c r="G3717" i="2" s="1"/>
  <c r="E3722" i="1" s="1"/>
  <c r="A3709" i="2"/>
  <c r="B3709" i="2"/>
  <c r="C3709" i="2" s="1"/>
  <c r="F3709" i="2" s="1"/>
  <c r="G3709" i="2" s="1"/>
  <c r="E3714" i="1" s="1"/>
  <c r="A3701" i="2"/>
  <c r="B3701" i="2"/>
  <c r="C3701" i="2" s="1"/>
  <c r="F3701" i="2" s="1"/>
  <c r="G3701" i="2" s="1"/>
  <c r="E3706" i="1" s="1"/>
  <c r="A3693" i="2"/>
  <c r="B3693" i="2"/>
  <c r="C3693" i="2" s="1"/>
  <c r="F3693" i="2" s="1"/>
  <c r="G3693" i="2" s="1"/>
  <c r="E3698" i="1" s="1"/>
  <c r="A3685" i="2"/>
  <c r="B3685" i="2"/>
  <c r="C3685" i="2" s="1"/>
  <c r="F3685" i="2" s="1"/>
  <c r="G3685" i="2" s="1"/>
  <c r="E3690" i="1" s="1"/>
  <c r="A3677" i="2"/>
  <c r="B3677" i="2"/>
  <c r="C3677" i="2" s="1"/>
  <c r="F3677" i="2" s="1"/>
  <c r="G3677" i="2" s="1"/>
  <c r="E3682" i="1" s="1"/>
  <c r="A3669" i="2"/>
  <c r="B3669" i="2"/>
  <c r="C3669" i="2" s="1"/>
  <c r="F3669" i="2" s="1"/>
  <c r="G3669" i="2" s="1"/>
  <c r="E3674" i="1" s="1"/>
  <c r="A3661" i="2"/>
  <c r="B3661" i="2"/>
  <c r="C3661" i="2" s="1"/>
  <c r="F3661" i="2" s="1"/>
  <c r="G3661" i="2" s="1"/>
  <c r="E3666" i="1" s="1"/>
  <c r="A3653" i="2"/>
  <c r="B3653" i="2"/>
  <c r="C3653" i="2" s="1"/>
  <c r="F3653" i="2" s="1"/>
  <c r="G3653" i="2" s="1"/>
  <c r="E3658" i="1" s="1"/>
  <c r="A3645" i="2"/>
  <c r="B3645" i="2"/>
  <c r="C3645" i="2" s="1"/>
  <c r="F3645" i="2" s="1"/>
  <c r="G3645" i="2" s="1"/>
  <c r="E3650" i="1" s="1"/>
  <c r="A3637" i="2"/>
  <c r="B3637" i="2"/>
  <c r="C3637" i="2" s="1"/>
  <c r="F3637" i="2" s="1"/>
  <c r="G3637" i="2" s="1"/>
  <c r="E3642" i="1" s="1"/>
  <c r="A3629" i="2"/>
  <c r="B3629" i="2"/>
  <c r="C3629" i="2" s="1"/>
  <c r="F3629" i="2" s="1"/>
  <c r="G3629" i="2" s="1"/>
  <c r="E3634" i="1" s="1"/>
  <c r="A3621" i="2"/>
  <c r="B3621" i="2"/>
  <c r="C3621" i="2" s="1"/>
  <c r="F3621" i="2" s="1"/>
  <c r="G3621" i="2" s="1"/>
  <c r="E3626" i="1" s="1"/>
  <c r="A3613" i="2"/>
  <c r="B3613" i="2"/>
  <c r="C3613" i="2" s="1"/>
  <c r="F3613" i="2" s="1"/>
  <c r="G3613" i="2" s="1"/>
  <c r="E3618" i="1" s="1"/>
  <c r="A3605" i="2"/>
  <c r="B3605" i="2"/>
  <c r="C3605" i="2" s="1"/>
  <c r="F3605" i="2" s="1"/>
  <c r="G3605" i="2" s="1"/>
  <c r="E3610" i="1" s="1"/>
  <c r="A3597" i="2"/>
  <c r="B3597" i="2"/>
  <c r="C3597" i="2" s="1"/>
  <c r="F3597" i="2" s="1"/>
  <c r="G3597" i="2" s="1"/>
  <c r="E3602" i="1" s="1"/>
  <c r="A3589" i="2"/>
  <c r="B3589" i="2"/>
  <c r="C3589" i="2" s="1"/>
  <c r="F3589" i="2" s="1"/>
  <c r="G3589" i="2" s="1"/>
  <c r="E3594" i="1" s="1"/>
  <c r="A3581" i="2"/>
  <c r="B3581" i="2"/>
  <c r="C3581" i="2" s="1"/>
  <c r="F3581" i="2" s="1"/>
  <c r="G3581" i="2" s="1"/>
  <c r="E3586" i="1" s="1"/>
  <c r="A3573" i="2"/>
  <c r="B3573" i="2"/>
  <c r="C3573" i="2" s="1"/>
  <c r="F3573" i="2" s="1"/>
  <c r="G3573" i="2" s="1"/>
  <c r="E3578" i="1" s="1"/>
  <c r="A3565" i="2"/>
  <c r="B3565" i="2"/>
  <c r="C3565" i="2" s="1"/>
  <c r="F3565" i="2" s="1"/>
  <c r="G3565" i="2" s="1"/>
  <c r="E3570" i="1" s="1"/>
  <c r="A3557" i="2"/>
  <c r="B3557" i="2"/>
  <c r="C3557" i="2" s="1"/>
  <c r="F3557" i="2" s="1"/>
  <c r="G3557" i="2" s="1"/>
  <c r="E3562" i="1" s="1"/>
  <c r="A3549" i="2"/>
  <c r="B3549" i="2"/>
  <c r="C3549" i="2" s="1"/>
  <c r="F3549" i="2" s="1"/>
  <c r="G3549" i="2" s="1"/>
  <c r="E3554" i="1" s="1"/>
  <c r="A3541" i="2"/>
  <c r="B3541" i="2"/>
  <c r="C3541" i="2" s="1"/>
  <c r="F3541" i="2" s="1"/>
  <c r="G3541" i="2" s="1"/>
  <c r="E3546" i="1" s="1"/>
  <c r="A3533" i="2"/>
  <c r="B3533" i="2"/>
  <c r="C3533" i="2" s="1"/>
  <c r="F3533" i="2" s="1"/>
  <c r="G3533" i="2" s="1"/>
  <c r="E3538" i="1" s="1"/>
  <c r="A3525" i="2"/>
  <c r="B3525" i="2"/>
  <c r="C3525" i="2" s="1"/>
  <c r="F3525" i="2" s="1"/>
  <c r="G3525" i="2" s="1"/>
  <c r="E3530" i="1" s="1"/>
  <c r="A3517" i="2"/>
  <c r="B3517" i="2"/>
  <c r="C3517" i="2" s="1"/>
  <c r="F3517" i="2" s="1"/>
  <c r="G3517" i="2" s="1"/>
  <c r="E3522" i="1" s="1"/>
  <c r="A3509" i="2"/>
  <c r="B3509" i="2"/>
  <c r="C3509" i="2" s="1"/>
  <c r="F3509" i="2" s="1"/>
  <c r="G3509" i="2" s="1"/>
  <c r="E3514" i="1" s="1"/>
  <c r="A3501" i="2"/>
  <c r="B3501" i="2"/>
  <c r="C3501" i="2" s="1"/>
  <c r="F3501" i="2" s="1"/>
  <c r="G3501" i="2" s="1"/>
  <c r="E3506" i="1" s="1"/>
  <c r="A3493" i="2"/>
  <c r="B3493" i="2"/>
  <c r="C3493" i="2" s="1"/>
  <c r="F3493" i="2" s="1"/>
  <c r="G3493" i="2" s="1"/>
  <c r="E3498" i="1" s="1"/>
  <c r="A3485" i="2"/>
  <c r="B3485" i="2"/>
  <c r="C3485" i="2" s="1"/>
  <c r="F3485" i="2" s="1"/>
  <c r="G3485" i="2" s="1"/>
  <c r="E3490" i="1" s="1"/>
  <c r="A3477" i="2"/>
  <c r="B3477" i="2"/>
  <c r="C3477" i="2" s="1"/>
  <c r="F3477" i="2" s="1"/>
  <c r="G3477" i="2" s="1"/>
  <c r="E3482" i="1" s="1"/>
  <c r="A3469" i="2"/>
  <c r="B3469" i="2"/>
  <c r="C3469" i="2" s="1"/>
  <c r="F3469" i="2" s="1"/>
  <c r="G3469" i="2" s="1"/>
  <c r="E3474" i="1" s="1"/>
  <c r="A3461" i="2"/>
  <c r="B3461" i="2"/>
  <c r="C3461" i="2" s="1"/>
  <c r="F3461" i="2" s="1"/>
  <c r="G3461" i="2" s="1"/>
  <c r="E3466" i="1" s="1"/>
  <c r="A3453" i="2"/>
  <c r="B3453" i="2"/>
  <c r="C3453" i="2" s="1"/>
  <c r="F3453" i="2" s="1"/>
  <c r="G3453" i="2" s="1"/>
  <c r="E3458" i="1" s="1"/>
  <c r="A3445" i="2"/>
  <c r="B3445" i="2"/>
  <c r="C3445" i="2" s="1"/>
  <c r="F3445" i="2" s="1"/>
  <c r="G3445" i="2" s="1"/>
  <c r="E3450" i="1" s="1"/>
  <c r="A3437" i="2"/>
  <c r="B3437" i="2"/>
  <c r="C3437" i="2" s="1"/>
  <c r="F3437" i="2" s="1"/>
  <c r="G3437" i="2" s="1"/>
  <c r="E3442" i="1" s="1"/>
  <c r="A3429" i="2"/>
  <c r="B3429" i="2"/>
  <c r="C3429" i="2" s="1"/>
  <c r="F3429" i="2" s="1"/>
  <c r="G3429" i="2" s="1"/>
  <c r="E3434" i="1" s="1"/>
  <c r="A3421" i="2"/>
  <c r="B3421" i="2"/>
  <c r="C3421" i="2" s="1"/>
  <c r="F3421" i="2" s="1"/>
  <c r="G3421" i="2" s="1"/>
  <c r="E3426" i="1" s="1"/>
  <c r="A3413" i="2"/>
  <c r="B3413" i="2"/>
  <c r="C3413" i="2" s="1"/>
  <c r="F3413" i="2" s="1"/>
  <c r="G3413" i="2" s="1"/>
  <c r="E3418" i="1" s="1"/>
  <c r="A3405" i="2"/>
  <c r="B3405" i="2"/>
  <c r="C3405" i="2" s="1"/>
  <c r="F3405" i="2" s="1"/>
  <c r="G3405" i="2" s="1"/>
  <c r="E3410" i="1" s="1"/>
  <c r="A3397" i="2"/>
  <c r="B3397" i="2"/>
  <c r="C3397" i="2" s="1"/>
  <c r="F3397" i="2" s="1"/>
  <c r="G3397" i="2" s="1"/>
  <c r="E3402" i="1" s="1"/>
  <c r="A3389" i="2"/>
  <c r="B3389" i="2"/>
  <c r="C3389" i="2" s="1"/>
  <c r="F3389" i="2" s="1"/>
  <c r="G3389" i="2" s="1"/>
  <c r="E3394" i="1" s="1"/>
  <c r="A3381" i="2"/>
  <c r="B3381" i="2"/>
  <c r="C3381" i="2" s="1"/>
  <c r="F3381" i="2" s="1"/>
  <c r="G3381" i="2" s="1"/>
  <c r="E3386" i="1" s="1"/>
  <c r="A3373" i="2"/>
  <c r="B3373" i="2"/>
  <c r="C3373" i="2" s="1"/>
  <c r="F3373" i="2" s="1"/>
  <c r="G3373" i="2" s="1"/>
  <c r="E3378" i="1" s="1"/>
  <c r="A3365" i="2"/>
  <c r="B3365" i="2"/>
  <c r="C3365" i="2" s="1"/>
  <c r="F3365" i="2" s="1"/>
  <c r="G3365" i="2" s="1"/>
  <c r="E3370" i="1" s="1"/>
  <c r="A3357" i="2"/>
  <c r="B3357" i="2"/>
  <c r="C3357" i="2" s="1"/>
  <c r="F3357" i="2" s="1"/>
  <c r="G3357" i="2" s="1"/>
  <c r="E3362" i="1" s="1"/>
  <c r="A3349" i="2"/>
  <c r="B3349" i="2"/>
  <c r="C3349" i="2" s="1"/>
  <c r="F3349" i="2" s="1"/>
  <c r="G3349" i="2" s="1"/>
  <c r="E3354" i="1" s="1"/>
  <c r="A3341" i="2"/>
  <c r="B3341" i="2"/>
  <c r="C3341" i="2" s="1"/>
  <c r="F3341" i="2" s="1"/>
  <c r="G3341" i="2" s="1"/>
  <c r="E3346" i="1" s="1"/>
  <c r="A3333" i="2"/>
  <c r="B3333" i="2"/>
  <c r="C3333" i="2" s="1"/>
  <c r="F3333" i="2" s="1"/>
  <c r="G3333" i="2" s="1"/>
  <c r="E3338" i="1" s="1"/>
  <c r="A3325" i="2"/>
  <c r="B3325" i="2"/>
  <c r="C3325" i="2" s="1"/>
  <c r="F3325" i="2" s="1"/>
  <c r="G3325" i="2" s="1"/>
  <c r="E3330" i="1" s="1"/>
  <c r="A3317" i="2"/>
  <c r="B3317" i="2"/>
  <c r="C3317" i="2" s="1"/>
  <c r="F3317" i="2" s="1"/>
  <c r="G3317" i="2" s="1"/>
  <c r="E3322" i="1" s="1"/>
  <c r="A3309" i="2"/>
  <c r="B3309" i="2"/>
  <c r="C3309" i="2" s="1"/>
  <c r="F3309" i="2" s="1"/>
  <c r="G3309" i="2" s="1"/>
  <c r="E3314" i="1" s="1"/>
  <c r="A3301" i="2"/>
  <c r="B3301" i="2"/>
  <c r="C3301" i="2" s="1"/>
  <c r="F3301" i="2" s="1"/>
  <c r="G3301" i="2" s="1"/>
  <c r="E3306" i="1" s="1"/>
  <c r="A3293" i="2"/>
  <c r="B3293" i="2"/>
  <c r="C3293" i="2" s="1"/>
  <c r="F3293" i="2" s="1"/>
  <c r="G3293" i="2" s="1"/>
  <c r="E3298" i="1" s="1"/>
  <c r="A3285" i="2"/>
  <c r="B3285" i="2"/>
  <c r="C3285" i="2" s="1"/>
  <c r="F3285" i="2" s="1"/>
  <c r="G3285" i="2" s="1"/>
  <c r="E3290" i="1" s="1"/>
  <c r="A3277" i="2"/>
  <c r="B3277" i="2"/>
  <c r="C3277" i="2" s="1"/>
  <c r="F3277" i="2" s="1"/>
  <c r="G3277" i="2" s="1"/>
  <c r="E3282" i="1" s="1"/>
  <c r="A3269" i="2"/>
  <c r="B3269" i="2"/>
  <c r="C3269" i="2" s="1"/>
  <c r="F3269" i="2" s="1"/>
  <c r="G3269" i="2" s="1"/>
  <c r="E3274" i="1" s="1"/>
  <c r="A3261" i="2"/>
  <c r="B3261" i="2"/>
  <c r="C3261" i="2" s="1"/>
  <c r="F3261" i="2" s="1"/>
  <c r="G3261" i="2" s="1"/>
  <c r="E3266" i="1" s="1"/>
  <c r="A3253" i="2"/>
  <c r="B3253" i="2"/>
  <c r="C3253" i="2" s="1"/>
  <c r="F3253" i="2" s="1"/>
  <c r="G3253" i="2" s="1"/>
  <c r="E3258" i="1" s="1"/>
  <c r="A3245" i="2"/>
  <c r="B3245" i="2"/>
  <c r="C3245" i="2" s="1"/>
  <c r="F3245" i="2" s="1"/>
  <c r="G3245" i="2" s="1"/>
  <c r="E3250" i="1" s="1"/>
  <c r="A3237" i="2"/>
  <c r="B3237" i="2"/>
  <c r="C3237" i="2" s="1"/>
  <c r="F3237" i="2" s="1"/>
  <c r="G3237" i="2" s="1"/>
  <c r="E3242" i="1" s="1"/>
  <c r="A3229" i="2"/>
  <c r="B3229" i="2"/>
  <c r="C3229" i="2" s="1"/>
  <c r="F3229" i="2" s="1"/>
  <c r="G3229" i="2" s="1"/>
  <c r="E3234" i="1" s="1"/>
  <c r="A3221" i="2"/>
  <c r="B3221" i="2"/>
  <c r="C3221" i="2" s="1"/>
  <c r="F3221" i="2" s="1"/>
  <c r="G3221" i="2" s="1"/>
  <c r="E3226" i="1" s="1"/>
  <c r="A3213" i="2"/>
  <c r="B3213" i="2"/>
  <c r="C3213" i="2" s="1"/>
  <c r="F3213" i="2" s="1"/>
  <c r="G3213" i="2" s="1"/>
  <c r="E3218" i="1" s="1"/>
  <c r="A3205" i="2"/>
  <c r="B3205" i="2"/>
  <c r="C3205" i="2" s="1"/>
  <c r="F3205" i="2" s="1"/>
  <c r="G3205" i="2" s="1"/>
  <c r="E3210" i="1" s="1"/>
  <c r="A3197" i="2"/>
  <c r="B3197" i="2"/>
  <c r="C3197" i="2" s="1"/>
  <c r="F3197" i="2" s="1"/>
  <c r="G3197" i="2" s="1"/>
  <c r="E3202" i="1" s="1"/>
  <c r="A3189" i="2"/>
  <c r="B3189" i="2"/>
  <c r="C3189" i="2" s="1"/>
  <c r="F3189" i="2" s="1"/>
  <c r="G3189" i="2" s="1"/>
  <c r="E3194" i="1" s="1"/>
  <c r="A3181" i="2"/>
  <c r="B3181" i="2"/>
  <c r="C3181" i="2" s="1"/>
  <c r="F3181" i="2" s="1"/>
  <c r="G3181" i="2" s="1"/>
  <c r="E3186" i="1" s="1"/>
  <c r="A3173" i="2"/>
  <c r="B3173" i="2"/>
  <c r="C3173" i="2" s="1"/>
  <c r="F3173" i="2" s="1"/>
  <c r="G3173" i="2" s="1"/>
  <c r="E3178" i="1" s="1"/>
  <c r="A3165" i="2"/>
  <c r="B3165" i="2"/>
  <c r="C3165" i="2" s="1"/>
  <c r="F3165" i="2" s="1"/>
  <c r="G3165" i="2" s="1"/>
  <c r="E3170" i="1" s="1"/>
  <c r="A3157" i="2"/>
  <c r="B3157" i="2"/>
  <c r="C3157" i="2" s="1"/>
  <c r="F3157" i="2" s="1"/>
  <c r="G3157" i="2" s="1"/>
  <c r="E3162" i="1" s="1"/>
  <c r="A3149" i="2"/>
  <c r="B3149" i="2"/>
  <c r="C3149" i="2" s="1"/>
  <c r="F3149" i="2" s="1"/>
  <c r="G3149" i="2" s="1"/>
  <c r="E3154" i="1" s="1"/>
  <c r="A3141" i="2"/>
  <c r="B3141" i="2"/>
  <c r="C3141" i="2" s="1"/>
  <c r="F3141" i="2" s="1"/>
  <c r="G3141" i="2" s="1"/>
  <c r="E3146" i="1" s="1"/>
  <c r="A3133" i="2"/>
  <c r="B3133" i="2"/>
  <c r="C3133" i="2" s="1"/>
  <c r="F3133" i="2" s="1"/>
  <c r="G3133" i="2" s="1"/>
  <c r="E3138" i="1" s="1"/>
  <c r="A3125" i="2"/>
  <c r="B3125" i="2"/>
  <c r="C3125" i="2" s="1"/>
  <c r="F3125" i="2" s="1"/>
  <c r="G3125" i="2" s="1"/>
  <c r="E3130" i="1" s="1"/>
  <c r="A3117" i="2"/>
  <c r="B3117" i="2"/>
  <c r="C3117" i="2" s="1"/>
  <c r="F3117" i="2" s="1"/>
  <c r="G3117" i="2" s="1"/>
  <c r="E3122" i="1" s="1"/>
  <c r="A3109" i="2"/>
  <c r="B3109" i="2"/>
  <c r="C3109" i="2" s="1"/>
  <c r="F3109" i="2" s="1"/>
  <c r="G3109" i="2" s="1"/>
  <c r="E3114" i="1" s="1"/>
  <c r="A3101" i="2"/>
  <c r="B3101" i="2"/>
  <c r="C3101" i="2" s="1"/>
  <c r="F3101" i="2" s="1"/>
  <c r="G3101" i="2" s="1"/>
  <c r="E3106" i="1" s="1"/>
  <c r="A3093" i="2"/>
  <c r="B3093" i="2"/>
  <c r="C3093" i="2" s="1"/>
  <c r="F3093" i="2" s="1"/>
  <c r="G3093" i="2" s="1"/>
  <c r="E3098" i="1" s="1"/>
  <c r="A3085" i="2"/>
  <c r="B3085" i="2"/>
  <c r="C3085" i="2" s="1"/>
  <c r="F3085" i="2" s="1"/>
  <c r="G3085" i="2" s="1"/>
  <c r="E3090" i="1" s="1"/>
  <c r="A3077" i="2"/>
  <c r="B3077" i="2"/>
  <c r="C3077" i="2" s="1"/>
  <c r="F3077" i="2" s="1"/>
  <c r="G3077" i="2" s="1"/>
  <c r="E3082" i="1" s="1"/>
  <c r="A3069" i="2"/>
  <c r="B3069" i="2"/>
  <c r="C3069" i="2" s="1"/>
  <c r="F3069" i="2" s="1"/>
  <c r="G3069" i="2" s="1"/>
  <c r="E3074" i="1" s="1"/>
  <c r="A3061" i="2"/>
  <c r="B3061" i="2"/>
  <c r="C3061" i="2" s="1"/>
  <c r="F3061" i="2" s="1"/>
  <c r="G3061" i="2" s="1"/>
  <c r="E3066" i="1" s="1"/>
  <c r="A3053" i="2"/>
  <c r="B3053" i="2"/>
  <c r="C3053" i="2" s="1"/>
  <c r="F3053" i="2" s="1"/>
  <c r="G3053" i="2" s="1"/>
  <c r="E3058" i="1" s="1"/>
  <c r="A3045" i="2"/>
  <c r="B3045" i="2"/>
  <c r="C3045" i="2" s="1"/>
  <c r="F3045" i="2" s="1"/>
  <c r="G3045" i="2" s="1"/>
  <c r="E3050" i="1" s="1"/>
  <c r="A3037" i="2"/>
  <c r="B3037" i="2"/>
  <c r="C3037" i="2" s="1"/>
  <c r="F3037" i="2" s="1"/>
  <c r="G3037" i="2" s="1"/>
  <c r="E3042" i="1" s="1"/>
  <c r="A3029" i="2"/>
  <c r="B3029" i="2"/>
  <c r="C3029" i="2" s="1"/>
  <c r="F3029" i="2" s="1"/>
  <c r="G3029" i="2" s="1"/>
  <c r="E3034" i="1" s="1"/>
  <c r="A3021" i="2"/>
  <c r="B3021" i="2"/>
  <c r="C3021" i="2" s="1"/>
  <c r="F3021" i="2" s="1"/>
  <c r="G3021" i="2" s="1"/>
  <c r="E3026" i="1" s="1"/>
  <c r="A3013" i="2"/>
  <c r="B3013" i="2"/>
  <c r="C3013" i="2" s="1"/>
  <c r="F3013" i="2" s="1"/>
  <c r="G3013" i="2" s="1"/>
  <c r="E3018" i="1" s="1"/>
  <c r="A3005" i="2"/>
  <c r="B3005" i="2"/>
  <c r="C3005" i="2" s="1"/>
  <c r="F3005" i="2" s="1"/>
  <c r="G3005" i="2" s="1"/>
  <c r="E3010" i="1" s="1"/>
  <c r="A2997" i="2"/>
  <c r="B2997" i="2"/>
  <c r="C2997" i="2" s="1"/>
  <c r="F2997" i="2" s="1"/>
  <c r="G2997" i="2" s="1"/>
  <c r="E3002" i="1" s="1"/>
  <c r="A2989" i="2"/>
  <c r="B2989" i="2"/>
  <c r="C2989" i="2" s="1"/>
  <c r="F2989" i="2" s="1"/>
  <c r="G2989" i="2" s="1"/>
  <c r="E2994" i="1" s="1"/>
  <c r="A2981" i="2"/>
  <c r="B2981" i="2"/>
  <c r="C2981" i="2" s="1"/>
  <c r="F2981" i="2" s="1"/>
  <c r="G2981" i="2" s="1"/>
  <c r="E2986" i="1" s="1"/>
  <c r="A2973" i="2"/>
  <c r="B2973" i="2"/>
  <c r="C2973" i="2" s="1"/>
  <c r="F2973" i="2" s="1"/>
  <c r="G2973" i="2" s="1"/>
  <c r="E2978" i="1" s="1"/>
  <c r="A2965" i="2"/>
  <c r="B2965" i="2"/>
  <c r="C2965" i="2" s="1"/>
  <c r="F2965" i="2" s="1"/>
  <c r="G2965" i="2" s="1"/>
  <c r="E2970" i="1" s="1"/>
  <c r="A2957" i="2"/>
  <c r="B2957" i="2"/>
  <c r="C2957" i="2" s="1"/>
  <c r="F2957" i="2" s="1"/>
  <c r="G2957" i="2" s="1"/>
  <c r="E2962" i="1" s="1"/>
  <c r="A2949" i="2"/>
  <c r="B2949" i="2"/>
  <c r="C2949" i="2" s="1"/>
  <c r="F2949" i="2" s="1"/>
  <c r="G2949" i="2" s="1"/>
  <c r="E2954" i="1" s="1"/>
  <c r="A2941" i="2"/>
  <c r="B2941" i="2"/>
  <c r="C2941" i="2" s="1"/>
  <c r="F2941" i="2" s="1"/>
  <c r="G2941" i="2" s="1"/>
  <c r="E2946" i="1" s="1"/>
  <c r="A2933" i="2"/>
  <c r="B2933" i="2"/>
  <c r="C2933" i="2" s="1"/>
  <c r="F2933" i="2" s="1"/>
  <c r="G2933" i="2" s="1"/>
  <c r="E2938" i="1" s="1"/>
  <c r="A2925" i="2"/>
  <c r="B2925" i="2"/>
  <c r="C2925" i="2" s="1"/>
  <c r="F2925" i="2" s="1"/>
  <c r="G2925" i="2" s="1"/>
  <c r="E2930" i="1" s="1"/>
  <c r="A2917" i="2"/>
  <c r="B2917" i="2"/>
  <c r="C2917" i="2" s="1"/>
  <c r="F2917" i="2" s="1"/>
  <c r="G2917" i="2" s="1"/>
  <c r="E2922" i="1" s="1"/>
  <c r="A2909" i="2"/>
  <c r="B2909" i="2"/>
  <c r="C2909" i="2" s="1"/>
  <c r="F2909" i="2" s="1"/>
  <c r="G2909" i="2" s="1"/>
  <c r="E2914" i="1" s="1"/>
  <c r="A2901" i="2"/>
  <c r="B2901" i="2"/>
  <c r="C2901" i="2" s="1"/>
  <c r="F2901" i="2" s="1"/>
  <c r="G2901" i="2" s="1"/>
  <c r="E2906" i="1" s="1"/>
  <c r="A2893" i="2"/>
  <c r="B2893" i="2"/>
  <c r="C2893" i="2" s="1"/>
  <c r="F2893" i="2" s="1"/>
  <c r="G2893" i="2" s="1"/>
  <c r="E2898" i="1" s="1"/>
  <c r="A2885" i="2"/>
  <c r="B2885" i="2"/>
  <c r="C2885" i="2" s="1"/>
  <c r="F2885" i="2" s="1"/>
  <c r="G2885" i="2" s="1"/>
  <c r="E2890" i="1" s="1"/>
  <c r="A2877" i="2"/>
  <c r="B2877" i="2"/>
  <c r="C2877" i="2" s="1"/>
  <c r="F2877" i="2" s="1"/>
  <c r="G2877" i="2" s="1"/>
  <c r="E2882" i="1" s="1"/>
  <c r="A2869" i="2"/>
  <c r="B2869" i="2"/>
  <c r="C2869" i="2" s="1"/>
  <c r="F2869" i="2" s="1"/>
  <c r="G2869" i="2" s="1"/>
  <c r="E2874" i="1" s="1"/>
  <c r="A2861" i="2"/>
  <c r="B2861" i="2"/>
  <c r="C2861" i="2" s="1"/>
  <c r="F2861" i="2" s="1"/>
  <c r="G2861" i="2" s="1"/>
  <c r="E2866" i="1" s="1"/>
  <c r="A2853" i="2"/>
  <c r="B2853" i="2"/>
  <c r="C2853" i="2" s="1"/>
  <c r="F2853" i="2" s="1"/>
  <c r="G2853" i="2" s="1"/>
  <c r="E2858" i="1" s="1"/>
  <c r="A2845" i="2"/>
  <c r="B2845" i="2"/>
  <c r="C2845" i="2" s="1"/>
  <c r="F2845" i="2" s="1"/>
  <c r="G2845" i="2" s="1"/>
  <c r="E2850" i="1" s="1"/>
  <c r="A2837" i="2"/>
  <c r="B2837" i="2"/>
  <c r="C2837" i="2" s="1"/>
  <c r="F2837" i="2" s="1"/>
  <c r="G2837" i="2" s="1"/>
  <c r="E2842" i="1" s="1"/>
  <c r="A2829" i="2"/>
  <c r="B2829" i="2"/>
  <c r="C2829" i="2" s="1"/>
  <c r="F2829" i="2" s="1"/>
  <c r="G2829" i="2" s="1"/>
  <c r="E2834" i="1" s="1"/>
  <c r="A2821" i="2"/>
  <c r="B2821" i="2"/>
  <c r="C2821" i="2" s="1"/>
  <c r="F2821" i="2" s="1"/>
  <c r="G2821" i="2" s="1"/>
  <c r="E2826" i="1" s="1"/>
  <c r="A2813" i="2"/>
  <c r="B2813" i="2"/>
  <c r="C2813" i="2" s="1"/>
  <c r="F2813" i="2" s="1"/>
  <c r="G2813" i="2" s="1"/>
  <c r="E2818" i="1" s="1"/>
  <c r="A2805" i="2"/>
  <c r="B2805" i="2"/>
  <c r="C2805" i="2" s="1"/>
  <c r="F2805" i="2" s="1"/>
  <c r="G2805" i="2" s="1"/>
  <c r="E2810" i="1" s="1"/>
  <c r="A2797" i="2"/>
  <c r="B2797" i="2"/>
  <c r="C2797" i="2" s="1"/>
  <c r="F2797" i="2" s="1"/>
  <c r="G2797" i="2" s="1"/>
  <c r="E2802" i="1" s="1"/>
  <c r="A2789" i="2"/>
  <c r="B2789" i="2"/>
  <c r="C2789" i="2" s="1"/>
  <c r="F2789" i="2" s="1"/>
  <c r="G2789" i="2" s="1"/>
  <c r="E2794" i="1" s="1"/>
  <c r="A2781" i="2"/>
  <c r="B2781" i="2"/>
  <c r="C2781" i="2" s="1"/>
  <c r="F2781" i="2" s="1"/>
  <c r="G2781" i="2" s="1"/>
  <c r="E2786" i="1" s="1"/>
  <c r="A2773" i="2"/>
  <c r="B2773" i="2"/>
  <c r="C2773" i="2" s="1"/>
  <c r="F2773" i="2" s="1"/>
  <c r="G2773" i="2" s="1"/>
  <c r="E2778" i="1" s="1"/>
  <c r="A2765" i="2"/>
  <c r="B2765" i="2"/>
  <c r="C2765" i="2" s="1"/>
  <c r="F2765" i="2" s="1"/>
  <c r="G2765" i="2" s="1"/>
  <c r="E2770" i="1" s="1"/>
  <c r="A2757" i="2"/>
  <c r="B2757" i="2"/>
  <c r="C2757" i="2" s="1"/>
  <c r="F2757" i="2" s="1"/>
  <c r="G2757" i="2" s="1"/>
  <c r="E2762" i="1" s="1"/>
  <c r="A2749" i="2"/>
  <c r="B2749" i="2"/>
  <c r="C2749" i="2" s="1"/>
  <c r="F2749" i="2" s="1"/>
  <c r="G2749" i="2" s="1"/>
  <c r="E2754" i="1" s="1"/>
  <c r="A2741" i="2"/>
  <c r="B2741" i="2"/>
  <c r="C2741" i="2" s="1"/>
  <c r="F2741" i="2" s="1"/>
  <c r="G2741" i="2" s="1"/>
  <c r="E2746" i="1" s="1"/>
  <c r="A2733" i="2"/>
  <c r="B2733" i="2"/>
  <c r="C2733" i="2" s="1"/>
  <c r="F2733" i="2" s="1"/>
  <c r="G2733" i="2" s="1"/>
  <c r="E2738" i="1" s="1"/>
  <c r="A2725" i="2"/>
  <c r="B2725" i="2"/>
  <c r="C2725" i="2" s="1"/>
  <c r="F2725" i="2" s="1"/>
  <c r="G2725" i="2" s="1"/>
  <c r="E2730" i="1" s="1"/>
  <c r="A2717" i="2"/>
  <c r="B2717" i="2"/>
  <c r="C2717" i="2" s="1"/>
  <c r="F2717" i="2" s="1"/>
  <c r="G2717" i="2" s="1"/>
  <c r="E2722" i="1" s="1"/>
  <c r="A2709" i="2"/>
  <c r="B2709" i="2"/>
  <c r="C2709" i="2" s="1"/>
  <c r="F2709" i="2" s="1"/>
  <c r="G2709" i="2" s="1"/>
  <c r="E2714" i="1" s="1"/>
  <c r="A2701" i="2"/>
  <c r="B2701" i="2"/>
  <c r="C2701" i="2" s="1"/>
  <c r="F2701" i="2" s="1"/>
  <c r="G2701" i="2" s="1"/>
  <c r="E2706" i="1" s="1"/>
  <c r="A2693" i="2"/>
  <c r="B2693" i="2"/>
  <c r="C2693" i="2" s="1"/>
  <c r="F2693" i="2" s="1"/>
  <c r="G2693" i="2" s="1"/>
  <c r="E2698" i="1" s="1"/>
  <c r="A2685" i="2"/>
  <c r="B2685" i="2"/>
  <c r="C2685" i="2" s="1"/>
  <c r="F2685" i="2" s="1"/>
  <c r="G2685" i="2" s="1"/>
  <c r="E2690" i="1" s="1"/>
  <c r="A2677" i="2"/>
  <c r="B2677" i="2"/>
  <c r="C2677" i="2" s="1"/>
  <c r="F2677" i="2" s="1"/>
  <c r="G2677" i="2" s="1"/>
  <c r="E2682" i="1" s="1"/>
  <c r="A2669" i="2"/>
  <c r="B2669" i="2"/>
  <c r="C2669" i="2" s="1"/>
  <c r="F2669" i="2" s="1"/>
  <c r="G2669" i="2" s="1"/>
  <c r="E2674" i="1" s="1"/>
  <c r="A2661" i="2"/>
  <c r="B2661" i="2"/>
  <c r="C2661" i="2" s="1"/>
  <c r="F2661" i="2" s="1"/>
  <c r="G2661" i="2" s="1"/>
  <c r="E2666" i="1" s="1"/>
  <c r="A2653" i="2"/>
  <c r="B2653" i="2"/>
  <c r="C2653" i="2" s="1"/>
  <c r="F2653" i="2" s="1"/>
  <c r="G2653" i="2" s="1"/>
  <c r="E2658" i="1" s="1"/>
  <c r="A2645" i="2"/>
  <c r="B2645" i="2"/>
  <c r="C2645" i="2" s="1"/>
  <c r="F2645" i="2" s="1"/>
  <c r="G2645" i="2" s="1"/>
  <c r="E2650" i="1" s="1"/>
  <c r="A2637" i="2"/>
  <c r="B2637" i="2"/>
  <c r="C2637" i="2" s="1"/>
  <c r="F2637" i="2" s="1"/>
  <c r="G2637" i="2" s="1"/>
  <c r="E2642" i="1" s="1"/>
  <c r="A2629" i="2"/>
  <c r="B2629" i="2"/>
  <c r="C2629" i="2" s="1"/>
  <c r="F2629" i="2" s="1"/>
  <c r="G2629" i="2" s="1"/>
  <c r="E2634" i="1" s="1"/>
  <c r="A2621" i="2"/>
  <c r="B2621" i="2"/>
  <c r="C2621" i="2" s="1"/>
  <c r="F2621" i="2" s="1"/>
  <c r="G2621" i="2" s="1"/>
  <c r="E2626" i="1" s="1"/>
  <c r="A2613" i="2"/>
  <c r="B2613" i="2"/>
  <c r="C2613" i="2" s="1"/>
  <c r="F2613" i="2" s="1"/>
  <c r="G2613" i="2" s="1"/>
  <c r="E2618" i="1" s="1"/>
  <c r="A2605" i="2"/>
  <c r="B2605" i="2"/>
  <c r="C2605" i="2" s="1"/>
  <c r="F2605" i="2" s="1"/>
  <c r="G2605" i="2" s="1"/>
  <c r="E2610" i="1" s="1"/>
  <c r="A2597" i="2"/>
  <c r="B2597" i="2"/>
  <c r="C2597" i="2" s="1"/>
  <c r="F2597" i="2" s="1"/>
  <c r="G2597" i="2" s="1"/>
  <c r="E2602" i="1" s="1"/>
  <c r="A2589" i="2"/>
  <c r="B2589" i="2"/>
  <c r="C2589" i="2" s="1"/>
  <c r="F2589" i="2" s="1"/>
  <c r="G2589" i="2" s="1"/>
  <c r="E2594" i="1" s="1"/>
  <c r="A2581" i="2"/>
  <c r="B2581" i="2"/>
  <c r="C2581" i="2" s="1"/>
  <c r="F2581" i="2" s="1"/>
  <c r="G2581" i="2" s="1"/>
  <c r="E2586" i="1" s="1"/>
  <c r="A2573" i="2"/>
  <c r="B2573" i="2"/>
  <c r="C2573" i="2" s="1"/>
  <c r="F2573" i="2" s="1"/>
  <c r="G2573" i="2" s="1"/>
  <c r="E2578" i="1" s="1"/>
  <c r="A2565" i="2"/>
  <c r="B2565" i="2"/>
  <c r="C2565" i="2" s="1"/>
  <c r="F2565" i="2" s="1"/>
  <c r="G2565" i="2" s="1"/>
  <c r="E2570" i="1" s="1"/>
  <c r="A2557" i="2"/>
  <c r="B2557" i="2"/>
  <c r="C2557" i="2" s="1"/>
  <c r="F2557" i="2" s="1"/>
  <c r="G2557" i="2" s="1"/>
  <c r="E2562" i="1" s="1"/>
  <c r="A2549" i="2"/>
  <c r="B2549" i="2"/>
  <c r="C2549" i="2" s="1"/>
  <c r="F2549" i="2" s="1"/>
  <c r="G2549" i="2" s="1"/>
  <c r="E2554" i="1" s="1"/>
  <c r="A2541" i="2"/>
  <c r="B2541" i="2"/>
  <c r="C2541" i="2" s="1"/>
  <c r="F2541" i="2" s="1"/>
  <c r="G2541" i="2" s="1"/>
  <c r="E2546" i="1" s="1"/>
  <c r="A2533" i="2"/>
  <c r="B2533" i="2"/>
  <c r="C2533" i="2" s="1"/>
  <c r="F2533" i="2" s="1"/>
  <c r="G2533" i="2" s="1"/>
  <c r="E2538" i="1" s="1"/>
  <c r="A2525" i="2"/>
  <c r="B2525" i="2"/>
  <c r="C2525" i="2" s="1"/>
  <c r="F2525" i="2" s="1"/>
  <c r="G2525" i="2" s="1"/>
  <c r="E2530" i="1" s="1"/>
  <c r="A2517" i="2"/>
  <c r="B2517" i="2"/>
  <c r="C2517" i="2" s="1"/>
  <c r="F2517" i="2" s="1"/>
  <c r="G2517" i="2" s="1"/>
  <c r="E2522" i="1" s="1"/>
  <c r="A2509" i="2"/>
  <c r="B2509" i="2"/>
  <c r="C2509" i="2" s="1"/>
  <c r="F2509" i="2" s="1"/>
  <c r="G2509" i="2" s="1"/>
  <c r="E2514" i="1" s="1"/>
  <c r="A2501" i="2"/>
  <c r="B2501" i="2"/>
  <c r="C2501" i="2" s="1"/>
  <c r="F2501" i="2" s="1"/>
  <c r="G2501" i="2" s="1"/>
  <c r="E2506" i="1" s="1"/>
  <c r="A2493" i="2"/>
  <c r="B2493" i="2"/>
  <c r="C2493" i="2" s="1"/>
  <c r="F2493" i="2" s="1"/>
  <c r="G2493" i="2" s="1"/>
  <c r="E2498" i="1" s="1"/>
  <c r="A2485" i="2"/>
  <c r="B2485" i="2"/>
  <c r="C2485" i="2" s="1"/>
  <c r="F2485" i="2" s="1"/>
  <c r="G2485" i="2" s="1"/>
  <c r="E2490" i="1" s="1"/>
  <c r="A2477" i="2"/>
  <c r="B2477" i="2"/>
  <c r="C2477" i="2" s="1"/>
  <c r="F2477" i="2" s="1"/>
  <c r="G2477" i="2" s="1"/>
  <c r="E2482" i="1" s="1"/>
  <c r="A2469" i="2"/>
  <c r="B2469" i="2"/>
  <c r="C2469" i="2" s="1"/>
  <c r="F2469" i="2" s="1"/>
  <c r="G2469" i="2" s="1"/>
  <c r="E2474" i="1" s="1"/>
  <c r="A2461" i="2"/>
  <c r="B2461" i="2"/>
  <c r="C2461" i="2" s="1"/>
  <c r="F2461" i="2" s="1"/>
  <c r="G2461" i="2" s="1"/>
  <c r="E2466" i="1" s="1"/>
  <c r="A2453" i="2"/>
  <c r="B2453" i="2"/>
  <c r="C2453" i="2" s="1"/>
  <c r="F2453" i="2" s="1"/>
  <c r="G2453" i="2" s="1"/>
  <c r="E2458" i="1" s="1"/>
  <c r="A2445" i="2"/>
  <c r="B2445" i="2"/>
  <c r="C2445" i="2" s="1"/>
  <c r="F2445" i="2" s="1"/>
  <c r="G2445" i="2" s="1"/>
  <c r="E2450" i="1" s="1"/>
  <c r="A2437" i="2"/>
  <c r="B2437" i="2"/>
  <c r="C2437" i="2" s="1"/>
  <c r="F2437" i="2" s="1"/>
  <c r="G2437" i="2" s="1"/>
  <c r="E2442" i="1" s="1"/>
  <c r="A2429" i="2"/>
  <c r="B2429" i="2"/>
  <c r="C2429" i="2" s="1"/>
  <c r="F2429" i="2" s="1"/>
  <c r="G2429" i="2" s="1"/>
  <c r="E2434" i="1" s="1"/>
  <c r="A2421" i="2"/>
  <c r="B2421" i="2"/>
  <c r="C2421" i="2" s="1"/>
  <c r="F2421" i="2" s="1"/>
  <c r="G2421" i="2" s="1"/>
  <c r="E2426" i="1" s="1"/>
  <c r="A2413" i="2"/>
  <c r="B2413" i="2"/>
  <c r="C2413" i="2" s="1"/>
  <c r="F2413" i="2" s="1"/>
  <c r="G2413" i="2" s="1"/>
  <c r="E2418" i="1" s="1"/>
  <c r="A2405" i="2"/>
  <c r="B2405" i="2"/>
  <c r="C2405" i="2" s="1"/>
  <c r="F2405" i="2" s="1"/>
  <c r="G2405" i="2" s="1"/>
  <c r="E2410" i="1" s="1"/>
  <c r="A2397" i="2"/>
  <c r="B2397" i="2"/>
  <c r="C2397" i="2" s="1"/>
  <c r="F2397" i="2" s="1"/>
  <c r="G2397" i="2" s="1"/>
  <c r="E2402" i="1" s="1"/>
  <c r="A2389" i="2"/>
  <c r="B2389" i="2"/>
  <c r="C2389" i="2" s="1"/>
  <c r="F2389" i="2" s="1"/>
  <c r="G2389" i="2" s="1"/>
  <c r="E2394" i="1" s="1"/>
  <c r="A2381" i="2"/>
  <c r="B2381" i="2"/>
  <c r="C2381" i="2" s="1"/>
  <c r="F2381" i="2" s="1"/>
  <c r="G2381" i="2" s="1"/>
  <c r="E2386" i="1" s="1"/>
  <c r="A2373" i="2"/>
  <c r="B2373" i="2"/>
  <c r="C2373" i="2" s="1"/>
  <c r="F2373" i="2" s="1"/>
  <c r="G2373" i="2" s="1"/>
  <c r="E2378" i="1" s="1"/>
  <c r="A2365" i="2"/>
  <c r="B2365" i="2"/>
  <c r="C2365" i="2" s="1"/>
  <c r="F2365" i="2" s="1"/>
  <c r="G2365" i="2" s="1"/>
  <c r="E2370" i="1" s="1"/>
  <c r="A2357" i="2"/>
  <c r="B2357" i="2"/>
  <c r="C2357" i="2" s="1"/>
  <c r="F2357" i="2" s="1"/>
  <c r="G2357" i="2" s="1"/>
  <c r="E2362" i="1" s="1"/>
  <c r="A2349" i="2"/>
  <c r="B2349" i="2"/>
  <c r="C2349" i="2" s="1"/>
  <c r="F2349" i="2" s="1"/>
  <c r="G2349" i="2" s="1"/>
  <c r="E2354" i="1" s="1"/>
  <c r="A2341" i="2"/>
  <c r="B2341" i="2"/>
  <c r="C2341" i="2" s="1"/>
  <c r="F2341" i="2" s="1"/>
  <c r="G2341" i="2" s="1"/>
  <c r="E2346" i="1" s="1"/>
  <c r="A2333" i="2"/>
  <c r="B2333" i="2"/>
  <c r="C2333" i="2" s="1"/>
  <c r="F2333" i="2" s="1"/>
  <c r="G2333" i="2" s="1"/>
  <c r="E2338" i="1" s="1"/>
  <c r="A2325" i="2"/>
  <c r="B2325" i="2"/>
  <c r="C2325" i="2" s="1"/>
  <c r="F2325" i="2" s="1"/>
  <c r="G2325" i="2" s="1"/>
  <c r="E2330" i="1" s="1"/>
  <c r="A2317" i="2"/>
  <c r="B2317" i="2"/>
  <c r="C2317" i="2" s="1"/>
  <c r="F2317" i="2" s="1"/>
  <c r="G2317" i="2" s="1"/>
  <c r="E2322" i="1" s="1"/>
  <c r="A2309" i="2"/>
  <c r="B2309" i="2"/>
  <c r="C2309" i="2" s="1"/>
  <c r="F2309" i="2" s="1"/>
  <c r="G2309" i="2" s="1"/>
  <c r="E2314" i="1" s="1"/>
  <c r="A2301" i="2"/>
  <c r="B2301" i="2"/>
  <c r="C2301" i="2" s="1"/>
  <c r="F2301" i="2" s="1"/>
  <c r="G2301" i="2" s="1"/>
  <c r="E2306" i="1" s="1"/>
  <c r="A2293" i="2"/>
  <c r="B2293" i="2"/>
  <c r="C2293" i="2" s="1"/>
  <c r="F2293" i="2" s="1"/>
  <c r="G2293" i="2" s="1"/>
  <c r="E2298" i="1" s="1"/>
  <c r="A2285" i="2"/>
  <c r="B2285" i="2"/>
  <c r="C2285" i="2" s="1"/>
  <c r="F2285" i="2" s="1"/>
  <c r="G2285" i="2" s="1"/>
  <c r="E2290" i="1" s="1"/>
  <c r="A2277" i="2"/>
  <c r="B2277" i="2"/>
  <c r="C2277" i="2" s="1"/>
  <c r="F2277" i="2" s="1"/>
  <c r="G2277" i="2" s="1"/>
  <c r="E2282" i="1" s="1"/>
  <c r="A2269" i="2"/>
  <c r="B2269" i="2"/>
  <c r="C2269" i="2" s="1"/>
  <c r="F2269" i="2" s="1"/>
  <c r="G2269" i="2" s="1"/>
  <c r="E2274" i="1" s="1"/>
  <c r="A2261" i="2"/>
  <c r="B2261" i="2"/>
  <c r="C2261" i="2" s="1"/>
  <c r="F2261" i="2" s="1"/>
  <c r="G2261" i="2" s="1"/>
  <c r="E2266" i="1" s="1"/>
  <c r="A2253" i="2"/>
  <c r="B2253" i="2"/>
  <c r="C2253" i="2" s="1"/>
  <c r="F2253" i="2" s="1"/>
  <c r="G2253" i="2" s="1"/>
  <c r="E2258" i="1" s="1"/>
  <c r="A2245" i="2"/>
  <c r="B2245" i="2"/>
  <c r="C2245" i="2" s="1"/>
  <c r="F2245" i="2" s="1"/>
  <c r="G2245" i="2" s="1"/>
  <c r="E2250" i="1" s="1"/>
  <c r="A2237" i="2"/>
  <c r="B2237" i="2"/>
  <c r="C2237" i="2" s="1"/>
  <c r="F2237" i="2" s="1"/>
  <c r="G2237" i="2" s="1"/>
  <c r="E2242" i="1" s="1"/>
  <c r="A2229" i="2"/>
  <c r="B2229" i="2"/>
  <c r="C2229" i="2" s="1"/>
  <c r="F2229" i="2" s="1"/>
  <c r="G2229" i="2" s="1"/>
  <c r="E2234" i="1" s="1"/>
  <c r="A2221" i="2"/>
  <c r="B2221" i="2"/>
  <c r="C2221" i="2" s="1"/>
  <c r="F2221" i="2" s="1"/>
  <c r="G2221" i="2" s="1"/>
  <c r="E2226" i="1" s="1"/>
  <c r="A2213" i="2"/>
  <c r="B2213" i="2"/>
  <c r="C2213" i="2" s="1"/>
  <c r="F2213" i="2" s="1"/>
  <c r="G2213" i="2" s="1"/>
  <c r="E2218" i="1" s="1"/>
  <c r="A2205" i="2"/>
  <c r="B2205" i="2"/>
  <c r="C2205" i="2" s="1"/>
  <c r="F2205" i="2" s="1"/>
  <c r="G2205" i="2" s="1"/>
  <c r="E2210" i="1" s="1"/>
  <c r="A2197" i="2"/>
  <c r="B2197" i="2"/>
  <c r="C2197" i="2" s="1"/>
  <c r="F2197" i="2" s="1"/>
  <c r="G2197" i="2" s="1"/>
  <c r="E2202" i="1" s="1"/>
  <c r="A2189" i="2"/>
  <c r="B2189" i="2"/>
  <c r="C2189" i="2" s="1"/>
  <c r="F2189" i="2" s="1"/>
  <c r="G2189" i="2" s="1"/>
  <c r="E2194" i="1" s="1"/>
  <c r="A2181" i="2"/>
  <c r="B2181" i="2"/>
  <c r="C2181" i="2" s="1"/>
  <c r="F2181" i="2" s="1"/>
  <c r="G2181" i="2" s="1"/>
  <c r="E2186" i="1" s="1"/>
  <c r="A2173" i="2"/>
  <c r="B2173" i="2"/>
  <c r="C2173" i="2" s="1"/>
  <c r="F2173" i="2" s="1"/>
  <c r="G2173" i="2" s="1"/>
  <c r="E2178" i="1" s="1"/>
  <c r="A2165" i="2"/>
  <c r="B2165" i="2"/>
  <c r="C2165" i="2" s="1"/>
  <c r="F2165" i="2" s="1"/>
  <c r="G2165" i="2" s="1"/>
  <c r="E2170" i="1" s="1"/>
  <c r="A2157" i="2"/>
  <c r="B2157" i="2"/>
  <c r="C2157" i="2" s="1"/>
  <c r="F2157" i="2" s="1"/>
  <c r="G2157" i="2" s="1"/>
  <c r="E2162" i="1" s="1"/>
  <c r="A2149" i="2"/>
  <c r="B2149" i="2"/>
  <c r="C2149" i="2" s="1"/>
  <c r="F2149" i="2" s="1"/>
  <c r="G2149" i="2" s="1"/>
  <c r="E2154" i="1" s="1"/>
  <c r="A2141" i="2"/>
  <c r="B2141" i="2"/>
  <c r="C2141" i="2" s="1"/>
  <c r="F2141" i="2" s="1"/>
  <c r="G2141" i="2" s="1"/>
  <c r="E2146" i="1" s="1"/>
  <c r="A2133" i="2"/>
  <c r="B2133" i="2"/>
  <c r="C2133" i="2" s="1"/>
  <c r="F2133" i="2" s="1"/>
  <c r="G2133" i="2" s="1"/>
  <c r="E2138" i="1" s="1"/>
  <c r="A2125" i="2"/>
  <c r="B2125" i="2"/>
  <c r="C2125" i="2" s="1"/>
  <c r="F2125" i="2" s="1"/>
  <c r="G2125" i="2" s="1"/>
  <c r="E2130" i="1" s="1"/>
  <c r="A2117" i="2"/>
  <c r="B2117" i="2"/>
  <c r="C2117" i="2" s="1"/>
  <c r="F2117" i="2" s="1"/>
  <c r="G2117" i="2" s="1"/>
  <c r="E2122" i="1" s="1"/>
  <c r="A2109" i="2"/>
  <c r="B2109" i="2"/>
  <c r="C2109" i="2" s="1"/>
  <c r="F2109" i="2" s="1"/>
  <c r="G2109" i="2" s="1"/>
  <c r="E2114" i="1" s="1"/>
  <c r="A2101" i="2"/>
  <c r="B2101" i="2"/>
  <c r="C2101" i="2" s="1"/>
  <c r="F2101" i="2" s="1"/>
  <c r="G2101" i="2" s="1"/>
  <c r="E2106" i="1" s="1"/>
  <c r="A2093" i="2"/>
  <c r="B2093" i="2"/>
  <c r="C2093" i="2" s="1"/>
  <c r="F2093" i="2" s="1"/>
  <c r="G2093" i="2" s="1"/>
  <c r="E2098" i="1" s="1"/>
  <c r="A2085" i="2"/>
  <c r="B2085" i="2"/>
  <c r="C2085" i="2" s="1"/>
  <c r="F2085" i="2" s="1"/>
  <c r="G2085" i="2" s="1"/>
  <c r="E2090" i="1" s="1"/>
  <c r="A2077" i="2"/>
  <c r="B2077" i="2"/>
  <c r="C2077" i="2" s="1"/>
  <c r="F2077" i="2" s="1"/>
  <c r="G2077" i="2" s="1"/>
  <c r="E2082" i="1" s="1"/>
  <c r="A2069" i="2"/>
  <c r="B2069" i="2"/>
  <c r="C2069" i="2" s="1"/>
  <c r="F2069" i="2" s="1"/>
  <c r="G2069" i="2" s="1"/>
  <c r="E2074" i="1" s="1"/>
  <c r="A2061" i="2"/>
  <c r="B2061" i="2"/>
  <c r="C2061" i="2" s="1"/>
  <c r="F2061" i="2" s="1"/>
  <c r="G2061" i="2" s="1"/>
  <c r="E2066" i="1" s="1"/>
  <c r="A2053" i="2"/>
  <c r="B2053" i="2"/>
  <c r="C2053" i="2" s="1"/>
  <c r="F2053" i="2" s="1"/>
  <c r="G2053" i="2" s="1"/>
  <c r="E2058" i="1" s="1"/>
  <c r="A2045" i="2"/>
  <c r="B2045" i="2"/>
  <c r="C2045" i="2" s="1"/>
  <c r="F2045" i="2" s="1"/>
  <c r="G2045" i="2" s="1"/>
  <c r="E2050" i="1" s="1"/>
  <c r="A2037" i="2"/>
  <c r="B2037" i="2"/>
  <c r="C2037" i="2" s="1"/>
  <c r="F2037" i="2" s="1"/>
  <c r="G2037" i="2" s="1"/>
  <c r="E2042" i="1" s="1"/>
  <c r="A2029" i="2"/>
  <c r="B2029" i="2"/>
  <c r="C2029" i="2" s="1"/>
  <c r="F2029" i="2" s="1"/>
  <c r="G2029" i="2" s="1"/>
  <c r="E2034" i="1" s="1"/>
  <c r="A2021" i="2"/>
  <c r="B2021" i="2"/>
  <c r="C2021" i="2" s="1"/>
  <c r="F2021" i="2" s="1"/>
  <c r="G2021" i="2" s="1"/>
  <c r="E2026" i="1" s="1"/>
  <c r="A2013" i="2"/>
  <c r="B2013" i="2"/>
  <c r="C2013" i="2" s="1"/>
  <c r="F2013" i="2" s="1"/>
  <c r="G2013" i="2" s="1"/>
  <c r="E2018" i="1" s="1"/>
  <c r="A2005" i="2"/>
  <c r="B2005" i="2"/>
  <c r="C2005" i="2" s="1"/>
  <c r="F2005" i="2" s="1"/>
  <c r="G2005" i="2" s="1"/>
  <c r="E2010" i="1" s="1"/>
  <c r="A1997" i="2"/>
  <c r="B1997" i="2"/>
  <c r="C1997" i="2" s="1"/>
  <c r="F1997" i="2" s="1"/>
  <c r="G1997" i="2" s="1"/>
  <c r="E2002" i="1" s="1"/>
  <c r="A1989" i="2"/>
  <c r="B1989" i="2"/>
  <c r="C1989" i="2" s="1"/>
  <c r="F1989" i="2" s="1"/>
  <c r="G1989" i="2" s="1"/>
  <c r="E1994" i="1" s="1"/>
  <c r="A1981" i="2"/>
  <c r="B1981" i="2"/>
  <c r="C1981" i="2" s="1"/>
  <c r="F1981" i="2" s="1"/>
  <c r="G1981" i="2" s="1"/>
  <c r="E1986" i="1" s="1"/>
  <c r="A1973" i="2"/>
  <c r="B1973" i="2"/>
  <c r="C1973" i="2" s="1"/>
  <c r="F1973" i="2" s="1"/>
  <c r="G1973" i="2" s="1"/>
  <c r="E1978" i="1" s="1"/>
  <c r="A1965" i="2"/>
  <c r="B1965" i="2"/>
  <c r="C1965" i="2" s="1"/>
  <c r="F1965" i="2" s="1"/>
  <c r="G1965" i="2" s="1"/>
  <c r="E1970" i="1" s="1"/>
  <c r="A1957" i="2"/>
  <c r="B1957" i="2"/>
  <c r="C1957" i="2" s="1"/>
  <c r="F1957" i="2" s="1"/>
  <c r="G1957" i="2" s="1"/>
  <c r="E1962" i="1" s="1"/>
  <c r="A1949" i="2"/>
  <c r="B1949" i="2"/>
  <c r="C1949" i="2" s="1"/>
  <c r="F1949" i="2" s="1"/>
  <c r="G1949" i="2" s="1"/>
  <c r="E1954" i="1" s="1"/>
  <c r="A1941" i="2"/>
  <c r="B1941" i="2"/>
  <c r="C1941" i="2" s="1"/>
  <c r="F1941" i="2" s="1"/>
  <c r="G1941" i="2" s="1"/>
  <c r="E1946" i="1" s="1"/>
  <c r="A1933" i="2"/>
  <c r="B1933" i="2"/>
  <c r="C1933" i="2" s="1"/>
  <c r="F1933" i="2" s="1"/>
  <c r="G1933" i="2" s="1"/>
  <c r="E1938" i="1" s="1"/>
  <c r="A1925" i="2"/>
  <c r="B1925" i="2"/>
  <c r="C1925" i="2" s="1"/>
  <c r="F1925" i="2" s="1"/>
  <c r="G1925" i="2" s="1"/>
  <c r="E1930" i="1" s="1"/>
  <c r="A1917" i="2"/>
  <c r="B1917" i="2"/>
  <c r="C1917" i="2" s="1"/>
  <c r="F1917" i="2" s="1"/>
  <c r="G1917" i="2" s="1"/>
  <c r="E1922" i="1" s="1"/>
  <c r="A1909" i="2"/>
  <c r="B1909" i="2"/>
  <c r="C1909" i="2" s="1"/>
  <c r="F1909" i="2" s="1"/>
  <c r="G1909" i="2" s="1"/>
  <c r="E1914" i="1" s="1"/>
  <c r="A1901" i="2"/>
  <c r="B1901" i="2"/>
  <c r="C1901" i="2" s="1"/>
  <c r="F1901" i="2" s="1"/>
  <c r="G1901" i="2" s="1"/>
  <c r="E1906" i="1" s="1"/>
  <c r="A1893" i="2"/>
  <c r="B1893" i="2"/>
  <c r="C1893" i="2" s="1"/>
  <c r="F1893" i="2" s="1"/>
  <c r="G1893" i="2" s="1"/>
  <c r="E1898" i="1" s="1"/>
  <c r="A1885" i="2"/>
  <c r="B1885" i="2"/>
  <c r="C1885" i="2" s="1"/>
  <c r="F1885" i="2" s="1"/>
  <c r="G1885" i="2" s="1"/>
  <c r="E1890" i="1" s="1"/>
  <c r="A1877" i="2"/>
  <c r="B1877" i="2"/>
  <c r="C1877" i="2" s="1"/>
  <c r="F1877" i="2" s="1"/>
  <c r="G1877" i="2" s="1"/>
  <c r="E1882" i="1" s="1"/>
  <c r="A1869" i="2"/>
  <c r="B1869" i="2"/>
  <c r="C1869" i="2" s="1"/>
  <c r="F1869" i="2" s="1"/>
  <c r="G1869" i="2" s="1"/>
  <c r="E1874" i="1" s="1"/>
  <c r="A1861" i="2"/>
  <c r="B1861" i="2"/>
  <c r="C1861" i="2" s="1"/>
  <c r="F1861" i="2" s="1"/>
  <c r="G1861" i="2" s="1"/>
  <c r="E1866" i="1" s="1"/>
  <c r="A1853" i="2"/>
  <c r="B1853" i="2"/>
  <c r="C1853" i="2" s="1"/>
  <c r="F1853" i="2" s="1"/>
  <c r="G1853" i="2" s="1"/>
  <c r="E1858" i="1" s="1"/>
  <c r="A1845" i="2"/>
  <c r="B1845" i="2"/>
  <c r="C1845" i="2" s="1"/>
  <c r="F1845" i="2" s="1"/>
  <c r="G1845" i="2" s="1"/>
  <c r="E1850" i="1" s="1"/>
  <c r="A1837" i="2"/>
  <c r="B1837" i="2"/>
  <c r="C1837" i="2" s="1"/>
  <c r="F1837" i="2" s="1"/>
  <c r="G1837" i="2" s="1"/>
  <c r="E1842" i="1" s="1"/>
  <c r="A1829" i="2"/>
  <c r="B1829" i="2"/>
  <c r="C1829" i="2" s="1"/>
  <c r="F1829" i="2" s="1"/>
  <c r="G1829" i="2" s="1"/>
  <c r="E1834" i="1" s="1"/>
  <c r="A1821" i="2"/>
  <c r="B1821" i="2"/>
  <c r="C1821" i="2" s="1"/>
  <c r="F1821" i="2" s="1"/>
  <c r="G1821" i="2" s="1"/>
  <c r="E1826" i="1" s="1"/>
  <c r="A1813" i="2"/>
  <c r="B1813" i="2"/>
  <c r="C1813" i="2" s="1"/>
  <c r="F1813" i="2" s="1"/>
  <c r="G1813" i="2" s="1"/>
  <c r="E1818" i="1" s="1"/>
  <c r="A1805" i="2"/>
  <c r="B1805" i="2"/>
  <c r="C1805" i="2" s="1"/>
  <c r="F1805" i="2" s="1"/>
  <c r="G1805" i="2" s="1"/>
  <c r="E1810" i="1" s="1"/>
  <c r="A1797" i="2"/>
  <c r="B1797" i="2"/>
  <c r="C1797" i="2" s="1"/>
  <c r="F1797" i="2" s="1"/>
  <c r="G1797" i="2" s="1"/>
  <c r="E1802" i="1" s="1"/>
  <c r="A1789" i="2"/>
  <c r="B1789" i="2"/>
  <c r="C1789" i="2" s="1"/>
  <c r="F1789" i="2" s="1"/>
  <c r="G1789" i="2" s="1"/>
  <c r="E1794" i="1" s="1"/>
  <c r="A1781" i="2"/>
  <c r="B1781" i="2"/>
  <c r="C1781" i="2" s="1"/>
  <c r="F1781" i="2" s="1"/>
  <c r="G1781" i="2" s="1"/>
  <c r="E1786" i="1" s="1"/>
  <c r="A1773" i="2"/>
  <c r="B1773" i="2"/>
  <c r="C1773" i="2" s="1"/>
  <c r="F1773" i="2" s="1"/>
  <c r="G1773" i="2" s="1"/>
  <c r="E1778" i="1" s="1"/>
  <c r="A1765" i="2"/>
  <c r="B1765" i="2"/>
  <c r="C1765" i="2" s="1"/>
  <c r="F1765" i="2" s="1"/>
  <c r="G1765" i="2" s="1"/>
  <c r="E1770" i="1" s="1"/>
  <c r="A1757" i="2"/>
  <c r="B1757" i="2"/>
  <c r="C1757" i="2" s="1"/>
  <c r="F1757" i="2" s="1"/>
  <c r="G1757" i="2" s="1"/>
  <c r="E1762" i="1" s="1"/>
  <c r="A1749" i="2"/>
  <c r="B1749" i="2"/>
  <c r="C1749" i="2" s="1"/>
  <c r="F1749" i="2" s="1"/>
  <c r="G1749" i="2" s="1"/>
  <c r="E1754" i="1" s="1"/>
  <c r="A1741" i="2"/>
  <c r="B1741" i="2"/>
  <c r="C1741" i="2" s="1"/>
  <c r="F1741" i="2" s="1"/>
  <c r="G1741" i="2" s="1"/>
  <c r="E1746" i="1" s="1"/>
  <c r="A1733" i="2"/>
  <c r="B1733" i="2"/>
  <c r="C1733" i="2" s="1"/>
  <c r="F1733" i="2" s="1"/>
  <c r="G1733" i="2" s="1"/>
  <c r="E1738" i="1" s="1"/>
  <c r="A1725" i="2"/>
  <c r="B1725" i="2"/>
  <c r="C1725" i="2" s="1"/>
  <c r="F1725" i="2" s="1"/>
  <c r="G1725" i="2" s="1"/>
  <c r="E1730" i="1" s="1"/>
  <c r="A1717" i="2"/>
  <c r="B1717" i="2"/>
  <c r="C1717" i="2" s="1"/>
  <c r="F1717" i="2" s="1"/>
  <c r="G1717" i="2" s="1"/>
  <c r="E1722" i="1" s="1"/>
  <c r="A1709" i="2"/>
  <c r="B1709" i="2"/>
  <c r="C1709" i="2" s="1"/>
  <c r="F1709" i="2" s="1"/>
  <c r="G1709" i="2" s="1"/>
  <c r="E1714" i="1" s="1"/>
  <c r="A1701" i="2"/>
  <c r="B1701" i="2"/>
  <c r="C1701" i="2" s="1"/>
  <c r="F1701" i="2" s="1"/>
  <c r="G1701" i="2" s="1"/>
  <c r="E1706" i="1" s="1"/>
  <c r="A1693" i="2"/>
  <c r="B1693" i="2"/>
  <c r="C1693" i="2" s="1"/>
  <c r="F1693" i="2" s="1"/>
  <c r="G1693" i="2" s="1"/>
  <c r="E1698" i="1" s="1"/>
  <c r="A1685" i="2"/>
  <c r="B1685" i="2"/>
  <c r="C1685" i="2" s="1"/>
  <c r="F1685" i="2" s="1"/>
  <c r="G1685" i="2" s="1"/>
  <c r="E1690" i="1" s="1"/>
  <c r="A1677" i="2"/>
  <c r="B1677" i="2"/>
  <c r="C1677" i="2" s="1"/>
  <c r="F1677" i="2" s="1"/>
  <c r="G1677" i="2" s="1"/>
  <c r="E1682" i="1" s="1"/>
  <c r="A1669" i="2"/>
  <c r="B1669" i="2"/>
  <c r="C1669" i="2" s="1"/>
  <c r="F1669" i="2" s="1"/>
  <c r="G1669" i="2" s="1"/>
  <c r="E1674" i="1" s="1"/>
  <c r="A1661" i="2"/>
  <c r="B1661" i="2"/>
  <c r="C1661" i="2" s="1"/>
  <c r="F1661" i="2" s="1"/>
  <c r="G1661" i="2" s="1"/>
  <c r="E1666" i="1" s="1"/>
  <c r="A1653" i="2"/>
  <c r="B1653" i="2"/>
  <c r="C1653" i="2" s="1"/>
  <c r="F1653" i="2" s="1"/>
  <c r="G1653" i="2" s="1"/>
  <c r="E1658" i="1" s="1"/>
  <c r="A1645" i="2"/>
  <c r="B1645" i="2"/>
  <c r="C1645" i="2" s="1"/>
  <c r="F1645" i="2" s="1"/>
  <c r="G1645" i="2" s="1"/>
  <c r="E1650" i="1" s="1"/>
  <c r="A1637" i="2"/>
  <c r="B1637" i="2"/>
  <c r="C1637" i="2" s="1"/>
  <c r="F1637" i="2" s="1"/>
  <c r="G1637" i="2" s="1"/>
  <c r="E1642" i="1" s="1"/>
  <c r="A1629" i="2"/>
  <c r="B1629" i="2"/>
  <c r="C1629" i="2" s="1"/>
  <c r="F1629" i="2" s="1"/>
  <c r="G1629" i="2" s="1"/>
  <c r="E1634" i="1" s="1"/>
  <c r="A1621" i="2"/>
  <c r="B1621" i="2"/>
  <c r="C1621" i="2" s="1"/>
  <c r="F1621" i="2" s="1"/>
  <c r="G1621" i="2" s="1"/>
  <c r="E1626" i="1" s="1"/>
  <c r="A1613" i="2"/>
  <c r="B1613" i="2"/>
  <c r="C1613" i="2" s="1"/>
  <c r="F1613" i="2" s="1"/>
  <c r="G1613" i="2" s="1"/>
  <c r="E1618" i="1" s="1"/>
  <c r="A1605" i="2"/>
  <c r="B1605" i="2"/>
  <c r="C1605" i="2" s="1"/>
  <c r="F1605" i="2" s="1"/>
  <c r="G1605" i="2" s="1"/>
  <c r="E1610" i="1" s="1"/>
  <c r="A1597" i="2"/>
  <c r="B1597" i="2"/>
  <c r="C1597" i="2" s="1"/>
  <c r="F1597" i="2" s="1"/>
  <c r="G1597" i="2" s="1"/>
  <c r="E1602" i="1" s="1"/>
  <c r="A1589" i="2"/>
  <c r="B1589" i="2"/>
  <c r="C1589" i="2" s="1"/>
  <c r="F1589" i="2" s="1"/>
  <c r="G1589" i="2" s="1"/>
  <c r="E1594" i="1" s="1"/>
  <c r="A1581" i="2"/>
  <c r="B1581" i="2"/>
  <c r="C1581" i="2" s="1"/>
  <c r="F1581" i="2" s="1"/>
  <c r="G1581" i="2" s="1"/>
  <c r="E1586" i="1" s="1"/>
  <c r="A1573" i="2"/>
  <c r="B1573" i="2"/>
  <c r="C1573" i="2" s="1"/>
  <c r="F1573" i="2" s="1"/>
  <c r="G1573" i="2" s="1"/>
  <c r="E1578" i="1" s="1"/>
  <c r="A1565" i="2"/>
  <c r="B1565" i="2"/>
  <c r="C1565" i="2" s="1"/>
  <c r="F1565" i="2" s="1"/>
  <c r="G1565" i="2" s="1"/>
  <c r="E1570" i="1" s="1"/>
  <c r="A1557" i="2"/>
  <c r="B1557" i="2"/>
  <c r="C1557" i="2" s="1"/>
  <c r="F1557" i="2" s="1"/>
  <c r="G1557" i="2" s="1"/>
  <c r="E1562" i="1" s="1"/>
  <c r="A1549" i="2"/>
  <c r="B1549" i="2"/>
  <c r="C1549" i="2" s="1"/>
  <c r="F1549" i="2" s="1"/>
  <c r="G1549" i="2" s="1"/>
  <c r="E1554" i="1" s="1"/>
  <c r="A1541" i="2"/>
  <c r="B1541" i="2"/>
  <c r="C1541" i="2" s="1"/>
  <c r="F1541" i="2" s="1"/>
  <c r="G1541" i="2" s="1"/>
  <c r="E1546" i="1" s="1"/>
  <c r="A1533" i="2"/>
  <c r="B1533" i="2"/>
  <c r="C1533" i="2" s="1"/>
  <c r="F1533" i="2" s="1"/>
  <c r="G1533" i="2" s="1"/>
  <c r="E1538" i="1" s="1"/>
  <c r="A1525" i="2"/>
  <c r="B1525" i="2"/>
  <c r="C1525" i="2" s="1"/>
  <c r="F1525" i="2" s="1"/>
  <c r="G1525" i="2" s="1"/>
  <c r="E1530" i="1" s="1"/>
  <c r="A1517" i="2"/>
  <c r="B1517" i="2"/>
  <c r="C1517" i="2" s="1"/>
  <c r="F1517" i="2" s="1"/>
  <c r="G1517" i="2" s="1"/>
  <c r="E1522" i="1" s="1"/>
  <c r="A1509" i="2"/>
  <c r="B1509" i="2"/>
  <c r="C1509" i="2" s="1"/>
  <c r="F1509" i="2" s="1"/>
  <c r="G1509" i="2" s="1"/>
  <c r="E1514" i="1" s="1"/>
  <c r="A1501" i="2"/>
  <c r="B1501" i="2"/>
  <c r="C1501" i="2" s="1"/>
  <c r="F1501" i="2" s="1"/>
  <c r="G1501" i="2" s="1"/>
  <c r="E1506" i="1" s="1"/>
  <c r="A1493" i="2"/>
  <c r="B1493" i="2"/>
  <c r="C1493" i="2" s="1"/>
  <c r="F1493" i="2" s="1"/>
  <c r="G1493" i="2" s="1"/>
  <c r="E1498" i="1" s="1"/>
  <c r="A1485" i="2"/>
  <c r="B1485" i="2"/>
  <c r="C1485" i="2" s="1"/>
  <c r="F1485" i="2" s="1"/>
  <c r="G1485" i="2" s="1"/>
  <c r="E1490" i="1" s="1"/>
  <c r="A1477" i="2"/>
  <c r="B1477" i="2"/>
  <c r="C1477" i="2" s="1"/>
  <c r="F1477" i="2" s="1"/>
  <c r="G1477" i="2" s="1"/>
  <c r="E1482" i="1" s="1"/>
  <c r="A1469" i="2"/>
  <c r="B1469" i="2"/>
  <c r="C1469" i="2" s="1"/>
  <c r="F1469" i="2" s="1"/>
  <c r="G1469" i="2" s="1"/>
  <c r="E1474" i="1" s="1"/>
  <c r="A1461" i="2"/>
  <c r="B1461" i="2"/>
  <c r="C1461" i="2" s="1"/>
  <c r="F1461" i="2" s="1"/>
  <c r="G1461" i="2" s="1"/>
  <c r="E1466" i="1" s="1"/>
  <c r="A1453" i="2"/>
  <c r="B1453" i="2"/>
  <c r="C1453" i="2" s="1"/>
  <c r="F1453" i="2" s="1"/>
  <c r="G1453" i="2" s="1"/>
  <c r="E1458" i="1" s="1"/>
  <c r="A1445" i="2"/>
  <c r="B1445" i="2"/>
  <c r="C1445" i="2" s="1"/>
  <c r="F1445" i="2" s="1"/>
  <c r="G1445" i="2" s="1"/>
  <c r="E1450" i="1" s="1"/>
  <c r="A1437" i="2"/>
  <c r="B1437" i="2"/>
  <c r="C1437" i="2" s="1"/>
  <c r="F1437" i="2" s="1"/>
  <c r="G1437" i="2" s="1"/>
  <c r="E1442" i="1" s="1"/>
  <c r="A1429" i="2"/>
  <c r="B1429" i="2"/>
  <c r="C1429" i="2" s="1"/>
  <c r="F1429" i="2" s="1"/>
  <c r="G1429" i="2" s="1"/>
  <c r="E1434" i="1" s="1"/>
  <c r="A1421" i="2"/>
  <c r="B1421" i="2"/>
  <c r="C1421" i="2" s="1"/>
  <c r="F1421" i="2" s="1"/>
  <c r="G1421" i="2" s="1"/>
  <c r="E1426" i="1" s="1"/>
  <c r="A1413" i="2"/>
  <c r="B1413" i="2"/>
  <c r="C1413" i="2" s="1"/>
  <c r="F1413" i="2" s="1"/>
  <c r="G1413" i="2" s="1"/>
  <c r="E1418" i="1" s="1"/>
  <c r="A1405" i="2"/>
  <c r="B1405" i="2"/>
  <c r="C1405" i="2" s="1"/>
  <c r="F1405" i="2" s="1"/>
  <c r="G1405" i="2" s="1"/>
  <c r="E1410" i="1" s="1"/>
  <c r="A1397" i="2"/>
  <c r="B1397" i="2"/>
  <c r="C1397" i="2" s="1"/>
  <c r="F1397" i="2" s="1"/>
  <c r="G1397" i="2" s="1"/>
  <c r="E1402" i="1" s="1"/>
  <c r="A1389" i="2"/>
  <c r="B1389" i="2"/>
  <c r="C1389" i="2" s="1"/>
  <c r="F1389" i="2" s="1"/>
  <c r="G1389" i="2" s="1"/>
  <c r="E1394" i="1" s="1"/>
  <c r="A1381" i="2"/>
  <c r="B1381" i="2"/>
  <c r="C1381" i="2" s="1"/>
  <c r="F1381" i="2" s="1"/>
  <c r="G1381" i="2" s="1"/>
  <c r="E1386" i="1" s="1"/>
  <c r="A1373" i="2"/>
  <c r="B1373" i="2"/>
  <c r="C1373" i="2" s="1"/>
  <c r="F1373" i="2" s="1"/>
  <c r="G1373" i="2" s="1"/>
  <c r="E1378" i="1" s="1"/>
  <c r="A1365" i="2"/>
  <c r="B1365" i="2"/>
  <c r="C1365" i="2" s="1"/>
  <c r="F1365" i="2" s="1"/>
  <c r="G1365" i="2" s="1"/>
  <c r="E1370" i="1" s="1"/>
  <c r="A1357" i="2"/>
  <c r="B1357" i="2"/>
  <c r="C1357" i="2" s="1"/>
  <c r="F1357" i="2" s="1"/>
  <c r="G1357" i="2" s="1"/>
  <c r="E1362" i="1" s="1"/>
  <c r="A1349" i="2"/>
  <c r="B1349" i="2"/>
  <c r="C1349" i="2" s="1"/>
  <c r="F1349" i="2" s="1"/>
  <c r="G1349" i="2" s="1"/>
  <c r="E1354" i="1" s="1"/>
  <c r="A1341" i="2"/>
  <c r="B1341" i="2"/>
  <c r="C1341" i="2" s="1"/>
  <c r="F1341" i="2" s="1"/>
  <c r="G1341" i="2" s="1"/>
  <c r="E1346" i="1" s="1"/>
  <c r="A1333" i="2"/>
  <c r="B1333" i="2"/>
  <c r="C1333" i="2" s="1"/>
  <c r="F1333" i="2" s="1"/>
  <c r="G1333" i="2" s="1"/>
  <c r="E1338" i="1" s="1"/>
  <c r="A1325" i="2"/>
  <c r="B1325" i="2"/>
  <c r="C1325" i="2" s="1"/>
  <c r="F1325" i="2" s="1"/>
  <c r="G1325" i="2" s="1"/>
  <c r="E1330" i="1" s="1"/>
  <c r="A1317" i="2"/>
  <c r="B1317" i="2"/>
  <c r="C1317" i="2" s="1"/>
  <c r="F1317" i="2" s="1"/>
  <c r="G1317" i="2" s="1"/>
  <c r="E1322" i="1" s="1"/>
  <c r="A1309" i="2"/>
  <c r="B1309" i="2"/>
  <c r="C1309" i="2" s="1"/>
  <c r="F1309" i="2" s="1"/>
  <c r="G1309" i="2" s="1"/>
  <c r="E1314" i="1" s="1"/>
  <c r="A1301" i="2"/>
  <c r="B1301" i="2"/>
  <c r="C1301" i="2" s="1"/>
  <c r="F1301" i="2" s="1"/>
  <c r="G1301" i="2" s="1"/>
  <c r="E1306" i="1" s="1"/>
  <c r="A1293" i="2"/>
  <c r="B1293" i="2"/>
  <c r="C1293" i="2" s="1"/>
  <c r="F1293" i="2" s="1"/>
  <c r="G1293" i="2" s="1"/>
  <c r="E1298" i="1" s="1"/>
  <c r="A1285" i="2"/>
  <c r="B1285" i="2"/>
  <c r="C1285" i="2" s="1"/>
  <c r="F1285" i="2" s="1"/>
  <c r="G1285" i="2" s="1"/>
  <c r="E1290" i="1" s="1"/>
  <c r="A1277" i="2"/>
  <c r="B1277" i="2"/>
  <c r="C1277" i="2" s="1"/>
  <c r="F1277" i="2" s="1"/>
  <c r="G1277" i="2" s="1"/>
  <c r="E1282" i="1" s="1"/>
  <c r="A1269" i="2"/>
  <c r="B1269" i="2"/>
  <c r="C1269" i="2" s="1"/>
  <c r="F1269" i="2" s="1"/>
  <c r="G1269" i="2" s="1"/>
  <c r="E1274" i="1" s="1"/>
  <c r="A1261" i="2"/>
  <c r="B1261" i="2"/>
  <c r="C1261" i="2" s="1"/>
  <c r="F1261" i="2" s="1"/>
  <c r="G1261" i="2" s="1"/>
  <c r="E1266" i="1" s="1"/>
  <c r="A1253" i="2"/>
  <c r="B1253" i="2"/>
  <c r="C1253" i="2" s="1"/>
  <c r="F1253" i="2" s="1"/>
  <c r="G1253" i="2" s="1"/>
  <c r="E1258" i="1" s="1"/>
  <c r="A1245" i="2"/>
  <c r="B1245" i="2"/>
  <c r="C1245" i="2" s="1"/>
  <c r="F1245" i="2" s="1"/>
  <c r="G1245" i="2" s="1"/>
  <c r="E1250" i="1" s="1"/>
  <c r="A1237" i="2"/>
  <c r="B1237" i="2"/>
  <c r="C1237" i="2" s="1"/>
  <c r="F1237" i="2" s="1"/>
  <c r="G1237" i="2" s="1"/>
  <c r="E1242" i="1" s="1"/>
  <c r="A1229" i="2"/>
  <c r="B1229" i="2"/>
  <c r="C1229" i="2" s="1"/>
  <c r="F1229" i="2" s="1"/>
  <c r="G1229" i="2" s="1"/>
  <c r="E1234" i="1" s="1"/>
  <c r="A1221" i="2"/>
  <c r="B1221" i="2"/>
  <c r="C1221" i="2" s="1"/>
  <c r="F1221" i="2" s="1"/>
  <c r="G1221" i="2" s="1"/>
  <c r="E1226" i="1" s="1"/>
  <c r="A1213" i="2"/>
  <c r="B1213" i="2"/>
  <c r="C1213" i="2" s="1"/>
  <c r="F1213" i="2" s="1"/>
  <c r="G1213" i="2" s="1"/>
  <c r="E1218" i="1" s="1"/>
  <c r="A1205" i="2"/>
  <c r="B1205" i="2"/>
  <c r="C1205" i="2" s="1"/>
  <c r="F1205" i="2" s="1"/>
  <c r="G1205" i="2" s="1"/>
  <c r="E1210" i="1" s="1"/>
  <c r="A1197" i="2"/>
  <c r="B1197" i="2"/>
  <c r="C1197" i="2" s="1"/>
  <c r="F1197" i="2" s="1"/>
  <c r="G1197" i="2" s="1"/>
  <c r="E1202" i="1" s="1"/>
  <c r="A1189" i="2"/>
  <c r="B1189" i="2"/>
  <c r="C1189" i="2" s="1"/>
  <c r="F1189" i="2" s="1"/>
  <c r="G1189" i="2" s="1"/>
  <c r="E1194" i="1" s="1"/>
  <c r="A1181" i="2"/>
  <c r="B1181" i="2"/>
  <c r="C1181" i="2" s="1"/>
  <c r="F1181" i="2" s="1"/>
  <c r="G1181" i="2" s="1"/>
  <c r="E1186" i="1" s="1"/>
  <c r="A1173" i="2"/>
  <c r="B1173" i="2"/>
  <c r="C1173" i="2" s="1"/>
  <c r="F1173" i="2" s="1"/>
  <c r="G1173" i="2" s="1"/>
  <c r="E1178" i="1" s="1"/>
  <c r="A1165" i="2"/>
  <c r="B1165" i="2"/>
  <c r="C1165" i="2" s="1"/>
  <c r="F1165" i="2" s="1"/>
  <c r="G1165" i="2" s="1"/>
  <c r="E1170" i="1" s="1"/>
  <c r="A1157" i="2"/>
  <c r="B1157" i="2"/>
  <c r="C1157" i="2" s="1"/>
  <c r="F1157" i="2" s="1"/>
  <c r="G1157" i="2" s="1"/>
  <c r="E1162" i="1" s="1"/>
  <c r="A1149" i="2"/>
  <c r="B1149" i="2"/>
  <c r="C1149" i="2" s="1"/>
  <c r="F1149" i="2" s="1"/>
  <c r="G1149" i="2" s="1"/>
  <c r="E1154" i="1" s="1"/>
  <c r="A1141" i="2"/>
  <c r="B1141" i="2"/>
  <c r="C1141" i="2" s="1"/>
  <c r="F1141" i="2" s="1"/>
  <c r="G1141" i="2" s="1"/>
  <c r="E1146" i="1" s="1"/>
  <c r="A1133" i="2"/>
  <c r="B1133" i="2"/>
  <c r="C1133" i="2" s="1"/>
  <c r="F1133" i="2" s="1"/>
  <c r="G1133" i="2" s="1"/>
  <c r="E1138" i="1" s="1"/>
  <c r="A1125" i="2"/>
  <c r="B1125" i="2"/>
  <c r="C1125" i="2" s="1"/>
  <c r="F1125" i="2" s="1"/>
  <c r="G1125" i="2" s="1"/>
  <c r="E1130" i="1" s="1"/>
  <c r="A1117" i="2"/>
  <c r="B1117" i="2"/>
  <c r="C1117" i="2" s="1"/>
  <c r="F1117" i="2" s="1"/>
  <c r="G1117" i="2" s="1"/>
  <c r="E1122" i="1" s="1"/>
  <c r="A1109" i="2"/>
  <c r="B1109" i="2"/>
  <c r="C1109" i="2" s="1"/>
  <c r="F1109" i="2" s="1"/>
  <c r="G1109" i="2" s="1"/>
  <c r="E1114" i="1" s="1"/>
  <c r="A1101" i="2"/>
  <c r="B1101" i="2"/>
  <c r="C1101" i="2" s="1"/>
  <c r="F1101" i="2" s="1"/>
  <c r="G1101" i="2" s="1"/>
  <c r="E1106" i="1" s="1"/>
  <c r="A1093" i="2"/>
  <c r="B1093" i="2"/>
  <c r="C1093" i="2" s="1"/>
  <c r="F1093" i="2" s="1"/>
  <c r="G1093" i="2" s="1"/>
  <c r="E1098" i="1" s="1"/>
  <c r="A1085" i="2"/>
  <c r="B1085" i="2"/>
  <c r="C1085" i="2" s="1"/>
  <c r="F1085" i="2" s="1"/>
  <c r="G1085" i="2" s="1"/>
  <c r="E1090" i="1" s="1"/>
  <c r="A1077" i="2"/>
  <c r="B1077" i="2"/>
  <c r="C1077" i="2" s="1"/>
  <c r="F1077" i="2" s="1"/>
  <c r="G1077" i="2" s="1"/>
  <c r="E1082" i="1" s="1"/>
  <c r="A1069" i="2"/>
  <c r="B1069" i="2"/>
  <c r="C1069" i="2" s="1"/>
  <c r="F1069" i="2" s="1"/>
  <c r="G1069" i="2" s="1"/>
  <c r="E1074" i="1" s="1"/>
  <c r="A1061" i="2"/>
  <c r="B1061" i="2"/>
  <c r="C1061" i="2" s="1"/>
  <c r="F1061" i="2" s="1"/>
  <c r="G1061" i="2" s="1"/>
  <c r="E1066" i="1" s="1"/>
  <c r="A1053" i="2"/>
  <c r="B1053" i="2"/>
  <c r="C1053" i="2" s="1"/>
  <c r="F1053" i="2" s="1"/>
  <c r="G1053" i="2" s="1"/>
  <c r="E1058" i="1" s="1"/>
  <c r="A1045" i="2"/>
  <c r="B1045" i="2"/>
  <c r="C1045" i="2" s="1"/>
  <c r="F1045" i="2" s="1"/>
  <c r="G1045" i="2" s="1"/>
  <c r="E1050" i="1" s="1"/>
  <c r="A1037" i="2"/>
  <c r="B1037" i="2"/>
  <c r="C1037" i="2" s="1"/>
  <c r="F1037" i="2" s="1"/>
  <c r="G1037" i="2" s="1"/>
  <c r="E1042" i="1" s="1"/>
  <c r="A1029" i="2"/>
  <c r="B1029" i="2"/>
  <c r="C1029" i="2" s="1"/>
  <c r="F1029" i="2" s="1"/>
  <c r="G1029" i="2" s="1"/>
  <c r="E1034" i="1" s="1"/>
  <c r="A1021" i="2"/>
  <c r="B1021" i="2"/>
  <c r="C1021" i="2" s="1"/>
  <c r="F1021" i="2" s="1"/>
  <c r="G1021" i="2" s="1"/>
  <c r="E1026" i="1" s="1"/>
  <c r="A1013" i="2"/>
  <c r="B1013" i="2"/>
  <c r="C1013" i="2" s="1"/>
  <c r="F1013" i="2" s="1"/>
  <c r="G1013" i="2" s="1"/>
  <c r="E1018" i="1" s="1"/>
  <c r="A1005" i="2"/>
  <c r="B1005" i="2"/>
  <c r="C1005" i="2" s="1"/>
  <c r="F1005" i="2" s="1"/>
  <c r="G1005" i="2" s="1"/>
  <c r="E1010" i="1" s="1"/>
  <c r="A997" i="2"/>
  <c r="B997" i="2"/>
  <c r="C997" i="2" s="1"/>
  <c r="F997" i="2" s="1"/>
  <c r="G997" i="2" s="1"/>
  <c r="E1002" i="1" s="1"/>
  <c r="A989" i="2"/>
  <c r="B989" i="2"/>
  <c r="C989" i="2" s="1"/>
  <c r="F989" i="2" s="1"/>
  <c r="G989" i="2" s="1"/>
  <c r="E994" i="1" s="1"/>
  <c r="A981" i="2"/>
  <c r="B981" i="2"/>
  <c r="C981" i="2" s="1"/>
  <c r="F981" i="2" s="1"/>
  <c r="G981" i="2" s="1"/>
  <c r="E986" i="1" s="1"/>
  <c r="A973" i="2"/>
  <c r="B973" i="2"/>
  <c r="C973" i="2" s="1"/>
  <c r="F973" i="2" s="1"/>
  <c r="G973" i="2" s="1"/>
  <c r="E978" i="1" s="1"/>
  <c r="A965" i="2"/>
  <c r="B965" i="2"/>
  <c r="C965" i="2" s="1"/>
  <c r="F965" i="2" s="1"/>
  <c r="G965" i="2" s="1"/>
  <c r="E970" i="1" s="1"/>
  <c r="A957" i="2"/>
  <c r="B957" i="2"/>
  <c r="C957" i="2" s="1"/>
  <c r="F957" i="2" s="1"/>
  <c r="G957" i="2" s="1"/>
  <c r="E962" i="1" s="1"/>
  <c r="A949" i="2"/>
  <c r="B949" i="2"/>
  <c r="C949" i="2" s="1"/>
  <c r="F949" i="2" s="1"/>
  <c r="G949" i="2" s="1"/>
  <c r="E954" i="1" s="1"/>
  <c r="A941" i="2"/>
  <c r="B941" i="2"/>
  <c r="C941" i="2" s="1"/>
  <c r="F941" i="2" s="1"/>
  <c r="G941" i="2" s="1"/>
  <c r="E946" i="1" s="1"/>
  <c r="A933" i="2"/>
  <c r="B933" i="2"/>
  <c r="C933" i="2" s="1"/>
  <c r="F933" i="2" s="1"/>
  <c r="G933" i="2" s="1"/>
  <c r="E938" i="1" s="1"/>
  <c r="A925" i="2"/>
  <c r="B925" i="2"/>
  <c r="C925" i="2" s="1"/>
  <c r="F925" i="2" s="1"/>
  <c r="G925" i="2" s="1"/>
  <c r="E930" i="1" s="1"/>
  <c r="A917" i="2"/>
  <c r="B917" i="2"/>
  <c r="C917" i="2" s="1"/>
  <c r="F917" i="2" s="1"/>
  <c r="G917" i="2" s="1"/>
  <c r="E922" i="1" s="1"/>
  <c r="A909" i="2"/>
  <c r="B909" i="2"/>
  <c r="C909" i="2" s="1"/>
  <c r="F909" i="2" s="1"/>
  <c r="G909" i="2" s="1"/>
  <c r="E914" i="1" s="1"/>
  <c r="A901" i="2"/>
  <c r="B901" i="2"/>
  <c r="C901" i="2" s="1"/>
  <c r="F901" i="2" s="1"/>
  <c r="G901" i="2" s="1"/>
  <c r="E906" i="1" s="1"/>
  <c r="A893" i="2"/>
  <c r="B893" i="2"/>
  <c r="C893" i="2" s="1"/>
  <c r="F893" i="2" s="1"/>
  <c r="G893" i="2" s="1"/>
  <c r="E898" i="1" s="1"/>
  <c r="A885" i="2"/>
  <c r="B885" i="2"/>
  <c r="C885" i="2" s="1"/>
  <c r="F885" i="2" s="1"/>
  <c r="G885" i="2" s="1"/>
  <c r="E890" i="1" s="1"/>
  <c r="A877" i="2"/>
  <c r="B877" i="2"/>
  <c r="C877" i="2" s="1"/>
  <c r="F877" i="2" s="1"/>
  <c r="G877" i="2" s="1"/>
  <c r="E882" i="1" s="1"/>
  <c r="A869" i="2"/>
  <c r="B869" i="2"/>
  <c r="C869" i="2" s="1"/>
  <c r="F869" i="2" s="1"/>
  <c r="G869" i="2" s="1"/>
  <c r="E874" i="1" s="1"/>
  <c r="A861" i="2"/>
  <c r="B861" i="2"/>
  <c r="C861" i="2" s="1"/>
  <c r="F861" i="2" s="1"/>
  <c r="G861" i="2" s="1"/>
  <c r="E866" i="1" s="1"/>
  <c r="A853" i="2"/>
  <c r="B853" i="2"/>
  <c r="C853" i="2" s="1"/>
  <c r="F853" i="2" s="1"/>
  <c r="G853" i="2" s="1"/>
  <c r="E858" i="1" s="1"/>
  <c r="A845" i="2"/>
  <c r="B845" i="2"/>
  <c r="C845" i="2" s="1"/>
  <c r="F845" i="2" s="1"/>
  <c r="G845" i="2" s="1"/>
  <c r="E850" i="1" s="1"/>
  <c r="A837" i="2"/>
  <c r="B837" i="2"/>
  <c r="C837" i="2" s="1"/>
  <c r="F837" i="2" s="1"/>
  <c r="G837" i="2" s="1"/>
  <c r="E842" i="1" s="1"/>
  <c r="A829" i="2"/>
  <c r="B829" i="2"/>
  <c r="C829" i="2" s="1"/>
  <c r="F829" i="2" s="1"/>
  <c r="G829" i="2" s="1"/>
  <c r="E834" i="1" s="1"/>
  <c r="A821" i="2"/>
  <c r="B821" i="2"/>
  <c r="C821" i="2" s="1"/>
  <c r="F821" i="2" s="1"/>
  <c r="G821" i="2" s="1"/>
  <c r="E826" i="1" s="1"/>
  <c r="A813" i="2"/>
  <c r="B813" i="2"/>
  <c r="C813" i="2" s="1"/>
  <c r="F813" i="2" s="1"/>
  <c r="G813" i="2" s="1"/>
  <c r="E818" i="1" s="1"/>
  <c r="A805" i="2"/>
  <c r="B805" i="2"/>
  <c r="C805" i="2" s="1"/>
  <c r="F805" i="2" s="1"/>
  <c r="G805" i="2" s="1"/>
  <c r="E810" i="1" s="1"/>
  <c r="A797" i="2"/>
  <c r="B797" i="2"/>
  <c r="C797" i="2" s="1"/>
  <c r="F797" i="2" s="1"/>
  <c r="G797" i="2" s="1"/>
  <c r="E802" i="1" s="1"/>
  <c r="A789" i="2"/>
  <c r="B789" i="2"/>
  <c r="C789" i="2" s="1"/>
  <c r="F789" i="2" s="1"/>
  <c r="G789" i="2" s="1"/>
  <c r="E794" i="1" s="1"/>
  <c r="A781" i="2"/>
  <c r="B781" i="2"/>
  <c r="C781" i="2" s="1"/>
  <c r="F781" i="2" s="1"/>
  <c r="G781" i="2" s="1"/>
  <c r="E786" i="1" s="1"/>
  <c r="A773" i="2"/>
  <c r="B773" i="2"/>
  <c r="C773" i="2" s="1"/>
  <c r="F773" i="2" s="1"/>
  <c r="G773" i="2" s="1"/>
  <c r="E778" i="1" s="1"/>
  <c r="A765" i="2"/>
  <c r="B765" i="2"/>
  <c r="C765" i="2" s="1"/>
  <c r="F765" i="2" s="1"/>
  <c r="G765" i="2" s="1"/>
  <c r="E770" i="1" s="1"/>
  <c r="A757" i="2"/>
  <c r="B757" i="2"/>
  <c r="C757" i="2" s="1"/>
  <c r="F757" i="2" s="1"/>
  <c r="G757" i="2" s="1"/>
  <c r="E762" i="1" s="1"/>
  <c r="A749" i="2"/>
  <c r="B749" i="2"/>
  <c r="C749" i="2" s="1"/>
  <c r="F749" i="2" s="1"/>
  <c r="G749" i="2" s="1"/>
  <c r="E754" i="1" s="1"/>
  <c r="A741" i="2"/>
  <c r="B741" i="2"/>
  <c r="C741" i="2" s="1"/>
  <c r="F741" i="2" s="1"/>
  <c r="G741" i="2" s="1"/>
  <c r="E746" i="1" s="1"/>
  <c r="A733" i="2"/>
  <c r="B733" i="2"/>
  <c r="C733" i="2" s="1"/>
  <c r="F733" i="2" s="1"/>
  <c r="G733" i="2" s="1"/>
  <c r="E738" i="1" s="1"/>
  <c r="A725" i="2"/>
  <c r="B725" i="2"/>
  <c r="C725" i="2" s="1"/>
  <c r="F725" i="2" s="1"/>
  <c r="G725" i="2" s="1"/>
  <c r="E730" i="1" s="1"/>
  <c r="A717" i="2"/>
  <c r="B717" i="2"/>
  <c r="C717" i="2" s="1"/>
  <c r="F717" i="2" s="1"/>
  <c r="G717" i="2" s="1"/>
  <c r="E722" i="1" s="1"/>
  <c r="A709" i="2"/>
  <c r="B709" i="2"/>
  <c r="C709" i="2" s="1"/>
  <c r="F709" i="2" s="1"/>
  <c r="G709" i="2" s="1"/>
  <c r="E714" i="1" s="1"/>
  <c r="A701" i="2"/>
  <c r="B701" i="2"/>
  <c r="C701" i="2" s="1"/>
  <c r="F701" i="2" s="1"/>
  <c r="G701" i="2" s="1"/>
  <c r="E706" i="1" s="1"/>
  <c r="A693" i="2"/>
  <c r="B693" i="2"/>
  <c r="C693" i="2" s="1"/>
  <c r="F693" i="2" s="1"/>
  <c r="G693" i="2" s="1"/>
  <c r="E698" i="1" s="1"/>
  <c r="A685" i="2"/>
  <c r="B685" i="2"/>
  <c r="C685" i="2" s="1"/>
  <c r="F685" i="2" s="1"/>
  <c r="G685" i="2" s="1"/>
  <c r="E690" i="1" s="1"/>
  <c r="A677" i="2"/>
  <c r="B677" i="2"/>
  <c r="C677" i="2" s="1"/>
  <c r="F677" i="2" s="1"/>
  <c r="G677" i="2" s="1"/>
  <c r="E682" i="1" s="1"/>
  <c r="A669" i="2"/>
  <c r="B669" i="2"/>
  <c r="C669" i="2" s="1"/>
  <c r="F669" i="2" s="1"/>
  <c r="G669" i="2" s="1"/>
  <c r="E674" i="1" s="1"/>
  <c r="A661" i="2"/>
  <c r="B661" i="2"/>
  <c r="C661" i="2" s="1"/>
  <c r="F661" i="2" s="1"/>
  <c r="G661" i="2" s="1"/>
  <c r="E666" i="1" s="1"/>
  <c r="A653" i="2"/>
  <c r="B653" i="2"/>
  <c r="C653" i="2" s="1"/>
  <c r="F653" i="2" s="1"/>
  <c r="G653" i="2" s="1"/>
  <c r="E658" i="1" s="1"/>
  <c r="A645" i="2"/>
  <c r="B645" i="2"/>
  <c r="C645" i="2" s="1"/>
  <c r="F645" i="2" s="1"/>
  <c r="G645" i="2" s="1"/>
  <c r="E650" i="1" s="1"/>
  <c r="A637" i="2"/>
  <c r="B637" i="2"/>
  <c r="C637" i="2" s="1"/>
  <c r="F637" i="2" s="1"/>
  <c r="G637" i="2" s="1"/>
  <c r="E642" i="1" s="1"/>
  <c r="A629" i="2"/>
  <c r="B629" i="2"/>
  <c r="C629" i="2" s="1"/>
  <c r="F629" i="2" s="1"/>
  <c r="G629" i="2" s="1"/>
  <c r="E634" i="1" s="1"/>
  <c r="A621" i="2"/>
  <c r="B621" i="2"/>
  <c r="C621" i="2" s="1"/>
  <c r="F621" i="2" s="1"/>
  <c r="G621" i="2" s="1"/>
  <c r="E626" i="1" s="1"/>
  <c r="A613" i="2"/>
  <c r="B613" i="2"/>
  <c r="C613" i="2" s="1"/>
  <c r="F613" i="2" s="1"/>
  <c r="G613" i="2" s="1"/>
  <c r="E618" i="1" s="1"/>
  <c r="A605" i="2"/>
  <c r="B605" i="2"/>
  <c r="C605" i="2" s="1"/>
  <c r="F605" i="2" s="1"/>
  <c r="G605" i="2" s="1"/>
  <c r="E610" i="1" s="1"/>
  <c r="A597" i="2"/>
  <c r="B597" i="2"/>
  <c r="C597" i="2" s="1"/>
  <c r="F597" i="2" s="1"/>
  <c r="G597" i="2" s="1"/>
  <c r="E602" i="1" s="1"/>
  <c r="A589" i="2"/>
  <c r="B589" i="2"/>
  <c r="C589" i="2" s="1"/>
  <c r="F589" i="2" s="1"/>
  <c r="G589" i="2" s="1"/>
  <c r="E594" i="1" s="1"/>
  <c r="A581" i="2"/>
  <c r="B581" i="2"/>
  <c r="C581" i="2" s="1"/>
  <c r="F581" i="2" s="1"/>
  <c r="G581" i="2" s="1"/>
  <c r="E586" i="1" s="1"/>
  <c r="A573" i="2"/>
  <c r="B573" i="2"/>
  <c r="C573" i="2" s="1"/>
  <c r="F573" i="2" s="1"/>
  <c r="G573" i="2" s="1"/>
  <c r="E578" i="1" s="1"/>
  <c r="A565" i="2"/>
  <c r="B565" i="2"/>
  <c r="C565" i="2" s="1"/>
  <c r="F565" i="2" s="1"/>
  <c r="G565" i="2" s="1"/>
  <c r="E570" i="1" s="1"/>
  <c r="A557" i="2"/>
  <c r="B557" i="2"/>
  <c r="C557" i="2" s="1"/>
  <c r="F557" i="2" s="1"/>
  <c r="G557" i="2" s="1"/>
  <c r="E562" i="1" s="1"/>
  <c r="A549" i="2"/>
  <c r="B549" i="2"/>
  <c r="C549" i="2" s="1"/>
  <c r="F549" i="2" s="1"/>
  <c r="G549" i="2" s="1"/>
  <c r="E554" i="1" s="1"/>
  <c r="A541" i="2"/>
  <c r="B541" i="2"/>
  <c r="C541" i="2" s="1"/>
  <c r="F541" i="2" s="1"/>
  <c r="G541" i="2" s="1"/>
  <c r="E546" i="1" s="1"/>
  <c r="A533" i="2"/>
  <c r="B533" i="2"/>
  <c r="C533" i="2" s="1"/>
  <c r="F533" i="2" s="1"/>
  <c r="G533" i="2" s="1"/>
  <c r="E538" i="1" s="1"/>
  <c r="A525" i="2"/>
  <c r="B525" i="2"/>
  <c r="C525" i="2" s="1"/>
  <c r="F525" i="2" s="1"/>
  <c r="G525" i="2" s="1"/>
  <c r="E530" i="1" s="1"/>
  <c r="A517" i="2"/>
  <c r="B517" i="2"/>
  <c r="C517" i="2" s="1"/>
  <c r="F517" i="2" s="1"/>
  <c r="G517" i="2" s="1"/>
  <c r="E522" i="1" s="1"/>
  <c r="A509" i="2"/>
  <c r="B509" i="2"/>
  <c r="C509" i="2" s="1"/>
  <c r="F509" i="2" s="1"/>
  <c r="G509" i="2" s="1"/>
  <c r="E514" i="1" s="1"/>
  <c r="A501" i="2"/>
  <c r="B501" i="2"/>
  <c r="C501" i="2" s="1"/>
  <c r="F501" i="2" s="1"/>
  <c r="G501" i="2" s="1"/>
  <c r="E506" i="1" s="1"/>
  <c r="A493" i="2"/>
  <c r="B493" i="2"/>
  <c r="C493" i="2" s="1"/>
  <c r="F493" i="2" s="1"/>
  <c r="G493" i="2" s="1"/>
  <c r="E498" i="1" s="1"/>
  <c r="A485" i="2"/>
  <c r="B485" i="2"/>
  <c r="C485" i="2" s="1"/>
  <c r="F485" i="2" s="1"/>
  <c r="G485" i="2" s="1"/>
  <c r="E490" i="1" s="1"/>
  <c r="A477" i="2"/>
  <c r="B477" i="2"/>
  <c r="C477" i="2" s="1"/>
  <c r="F477" i="2" s="1"/>
  <c r="G477" i="2" s="1"/>
  <c r="E482" i="1" s="1"/>
  <c r="A469" i="2"/>
  <c r="B469" i="2"/>
  <c r="C469" i="2" s="1"/>
  <c r="F469" i="2" s="1"/>
  <c r="G469" i="2" s="1"/>
  <c r="E474" i="1" s="1"/>
  <c r="A461" i="2"/>
  <c r="B461" i="2"/>
  <c r="C461" i="2" s="1"/>
  <c r="F461" i="2" s="1"/>
  <c r="G461" i="2" s="1"/>
  <c r="E466" i="1" s="1"/>
  <c r="A453" i="2"/>
  <c r="B453" i="2"/>
  <c r="C453" i="2" s="1"/>
  <c r="F453" i="2" s="1"/>
  <c r="G453" i="2" s="1"/>
  <c r="E458" i="1" s="1"/>
  <c r="A445" i="2"/>
  <c r="B445" i="2"/>
  <c r="C445" i="2" s="1"/>
  <c r="F445" i="2" s="1"/>
  <c r="G445" i="2" s="1"/>
  <c r="E450" i="1" s="1"/>
  <c r="A437" i="2"/>
  <c r="B437" i="2"/>
  <c r="C437" i="2" s="1"/>
  <c r="F437" i="2" s="1"/>
  <c r="G437" i="2" s="1"/>
  <c r="E442" i="1" s="1"/>
  <c r="A429" i="2"/>
  <c r="B429" i="2"/>
  <c r="C429" i="2" s="1"/>
  <c r="F429" i="2" s="1"/>
  <c r="G429" i="2" s="1"/>
  <c r="E434" i="1" s="1"/>
  <c r="A421" i="2"/>
  <c r="B421" i="2"/>
  <c r="C421" i="2" s="1"/>
  <c r="F421" i="2" s="1"/>
  <c r="G421" i="2" s="1"/>
  <c r="E426" i="1" s="1"/>
  <c r="A413" i="2"/>
  <c r="B413" i="2"/>
  <c r="C413" i="2" s="1"/>
  <c r="F413" i="2" s="1"/>
  <c r="G413" i="2" s="1"/>
  <c r="E418" i="1" s="1"/>
  <c r="A405" i="2"/>
  <c r="B405" i="2"/>
  <c r="C405" i="2" s="1"/>
  <c r="F405" i="2" s="1"/>
  <c r="G405" i="2" s="1"/>
  <c r="E410" i="1" s="1"/>
  <c r="A397" i="2"/>
  <c r="B397" i="2"/>
  <c r="C397" i="2" s="1"/>
  <c r="F397" i="2" s="1"/>
  <c r="G397" i="2" s="1"/>
  <c r="E402" i="1" s="1"/>
  <c r="A389" i="2"/>
  <c r="B389" i="2"/>
  <c r="C389" i="2" s="1"/>
  <c r="F389" i="2" s="1"/>
  <c r="G389" i="2" s="1"/>
  <c r="E394" i="1" s="1"/>
  <c r="A381" i="2"/>
  <c r="B381" i="2"/>
  <c r="C381" i="2" s="1"/>
  <c r="F381" i="2" s="1"/>
  <c r="G381" i="2" s="1"/>
  <c r="E386" i="1" s="1"/>
  <c r="A373" i="2"/>
  <c r="B373" i="2"/>
  <c r="C373" i="2" s="1"/>
  <c r="F373" i="2" s="1"/>
  <c r="G373" i="2" s="1"/>
  <c r="E378" i="1" s="1"/>
  <c r="A365" i="2"/>
  <c r="B365" i="2"/>
  <c r="C365" i="2" s="1"/>
  <c r="F365" i="2" s="1"/>
  <c r="G365" i="2" s="1"/>
  <c r="E370" i="1" s="1"/>
  <c r="A357" i="2"/>
  <c r="B357" i="2"/>
  <c r="C357" i="2" s="1"/>
  <c r="F357" i="2" s="1"/>
  <c r="G357" i="2" s="1"/>
  <c r="E362" i="1" s="1"/>
  <c r="A349" i="2"/>
  <c r="B349" i="2"/>
  <c r="C349" i="2" s="1"/>
  <c r="F349" i="2" s="1"/>
  <c r="G349" i="2" s="1"/>
  <c r="E354" i="1" s="1"/>
  <c r="A341" i="2"/>
  <c r="B341" i="2"/>
  <c r="C341" i="2" s="1"/>
  <c r="F341" i="2" s="1"/>
  <c r="G341" i="2" s="1"/>
  <c r="E346" i="1" s="1"/>
  <c r="A333" i="2"/>
  <c r="B333" i="2"/>
  <c r="C333" i="2" s="1"/>
  <c r="F333" i="2" s="1"/>
  <c r="G333" i="2" s="1"/>
  <c r="E338" i="1" s="1"/>
  <c r="A325" i="2"/>
  <c r="B325" i="2"/>
  <c r="C325" i="2" s="1"/>
  <c r="F325" i="2" s="1"/>
  <c r="G325" i="2" s="1"/>
  <c r="E330" i="1" s="1"/>
  <c r="A317" i="2"/>
  <c r="B317" i="2"/>
  <c r="C317" i="2" s="1"/>
  <c r="F317" i="2" s="1"/>
  <c r="G317" i="2" s="1"/>
  <c r="E322" i="1" s="1"/>
  <c r="A309" i="2"/>
  <c r="B309" i="2"/>
  <c r="C309" i="2" s="1"/>
  <c r="F309" i="2" s="1"/>
  <c r="G309" i="2" s="1"/>
  <c r="E314" i="1" s="1"/>
  <c r="A301" i="2"/>
  <c r="B301" i="2"/>
  <c r="C301" i="2" s="1"/>
  <c r="F301" i="2" s="1"/>
  <c r="G301" i="2" s="1"/>
  <c r="E306" i="1" s="1"/>
  <c r="A293" i="2"/>
  <c r="B293" i="2"/>
  <c r="C293" i="2" s="1"/>
  <c r="F293" i="2" s="1"/>
  <c r="G293" i="2" s="1"/>
  <c r="E298" i="1" s="1"/>
  <c r="A285" i="2"/>
  <c r="B285" i="2"/>
  <c r="C285" i="2" s="1"/>
  <c r="F285" i="2" s="1"/>
  <c r="G285" i="2" s="1"/>
  <c r="E290" i="1" s="1"/>
  <c r="A277" i="2"/>
  <c r="B277" i="2"/>
  <c r="C277" i="2" s="1"/>
  <c r="F277" i="2" s="1"/>
  <c r="G277" i="2" s="1"/>
  <c r="E282" i="1" s="1"/>
  <c r="A269" i="2"/>
  <c r="B269" i="2"/>
  <c r="C269" i="2" s="1"/>
  <c r="F269" i="2" s="1"/>
  <c r="G269" i="2" s="1"/>
  <c r="E274" i="1" s="1"/>
  <c r="A261" i="2"/>
  <c r="B261" i="2"/>
  <c r="C261" i="2" s="1"/>
  <c r="F261" i="2" s="1"/>
  <c r="G261" i="2" s="1"/>
  <c r="E266" i="1" s="1"/>
  <c r="A253" i="2"/>
  <c r="B253" i="2"/>
  <c r="C253" i="2" s="1"/>
  <c r="F253" i="2" s="1"/>
  <c r="G253" i="2" s="1"/>
  <c r="E258" i="1" s="1"/>
  <c r="A245" i="2"/>
  <c r="B245" i="2"/>
  <c r="C245" i="2" s="1"/>
  <c r="F245" i="2" s="1"/>
  <c r="G245" i="2" s="1"/>
  <c r="E250" i="1" s="1"/>
  <c r="A237" i="2"/>
  <c r="B237" i="2"/>
  <c r="C237" i="2" s="1"/>
  <c r="F237" i="2" s="1"/>
  <c r="G237" i="2" s="1"/>
  <c r="E242" i="1" s="1"/>
  <c r="A229" i="2"/>
  <c r="B229" i="2"/>
  <c r="C229" i="2" s="1"/>
  <c r="F229" i="2" s="1"/>
  <c r="G229" i="2" s="1"/>
  <c r="E234" i="1" s="1"/>
  <c r="A221" i="2"/>
  <c r="B221" i="2"/>
  <c r="C221" i="2" s="1"/>
  <c r="F221" i="2" s="1"/>
  <c r="G221" i="2" s="1"/>
  <c r="E226" i="1" s="1"/>
  <c r="A213" i="2"/>
  <c r="B213" i="2"/>
  <c r="C213" i="2" s="1"/>
  <c r="F213" i="2" s="1"/>
  <c r="G213" i="2" s="1"/>
  <c r="E218" i="1" s="1"/>
  <c r="A205" i="2"/>
  <c r="B205" i="2"/>
  <c r="C205" i="2" s="1"/>
  <c r="F205" i="2" s="1"/>
  <c r="G205" i="2" s="1"/>
  <c r="E210" i="1" s="1"/>
  <c r="A197" i="2"/>
  <c r="B197" i="2"/>
  <c r="C197" i="2" s="1"/>
  <c r="F197" i="2" s="1"/>
  <c r="G197" i="2" s="1"/>
  <c r="E202" i="1" s="1"/>
  <c r="A189" i="2"/>
  <c r="B189" i="2"/>
  <c r="C189" i="2" s="1"/>
  <c r="F189" i="2" s="1"/>
  <c r="G189" i="2" s="1"/>
  <c r="E194" i="1" s="1"/>
  <c r="A181" i="2"/>
  <c r="B181" i="2"/>
  <c r="C181" i="2" s="1"/>
  <c r="F181" i="2" s="1"/>
  <c r="G181" i="2" s="1"/>
  <c r="E186" i="1" s="1"/>
  <c r="A173" i="2"/>
  <c r="B173" i="2"/>
  <c r="C173" i="2" s="1"/>
  <c r="F173" i="2" s="1"/>
  <c r="G173" i="2" s="1"/>
  <c r="E178" i="1" s="1"/>
  <c r="A165" i="2"/>
  <c r="B165" i="2"/>
  <c r="C165" i="2" s="1"/>
  <c r="F165" i="2" s="1"/>
  <c r="G165" i="2" s="1"/>
  <c r="E170" i="1" s="1"/>
  <c r="A157" i="2"/>
  <c r="B157" i="2"/>
  <c r="C157" i="2" s="1"/>
  <c r="F157" i="2" s="1"/>
  <c r="G157" i="2" s="1"/>
  <c r="E162" i="1" s="1"/>
  <c r="A149" i="2"/>
  <c r="B149" i="2"/>
  <c r="C149" i="2" s="1"/>
  <c r="F149" i="2" s="1"/>
  <c r="G149" i="2" s="1"/>
  <c r="E154" i="1" s="1"/>
  <c r="A141" i="2"/>
  <c r="B141" i="2"/>
  <c r="C141" i="2" s="1"/>
  <c r="F141" i="2" s="1"/>
  <c r="G141" i="2" s="1"/>
  <c r="E146" i="1" s="1"/>
  <c r="A133" i="2"/>
  <c r="B133" i="2"/>
  <c r="C133" i="2" s="1"/>
  <c r="F133" i="2" s="1"/>
  <c r="G133" i="2" s="1"/>
  <c r="E138" i="1" s="1"/>
  <c r="A125" i="2"/>
  <c r="B125" i="2"/>
  <c r="C125" i="2" s="1"/>
  <c r="F125" i="2" s="1"/>
  <c r="G125" i="2" s="1"/>
  <c r="E130" i="1" s="1"/>
  <c r="A117" i="2"/>
  <c r="B117" i="2"/>
  <c r="C117" i="2" s="1"/>
  <c r="F117" i="2" s="1"/>
  <c r="G117" i="2" s="1"/>
  <c r="E122" i="1" s="1"/>
  <c r="A109" i="2"/>
  <c r="B109" i="2"/>
  <c r="C109" i="2" s="1"/>
  <c r="A101" i="2"/>
  <c r="B101" i="2"/>
  <c r="C101" i="2" s="1"/>
  <c r="A93" i="2"/>
  <c r="B93" i="2"/>
  <c r="C93" i="2" s="1"/>
  <c r="A85" i="2"/>
  <c r="B85" i="2"/>
  <c r="C85" i="2" s="1"/>
  <c r="A77" i="2"/>
  <c r="B77" i="2"/>
  <c r="C77" i="2" s="1"/>
  <c r="A69" i="2"/>
  <c r="B69" i="2"/>
  <c r="C69" i="2" s="1"/>
  <c r="A61" i="2"/>
  <c r="B61" i="2"/>
  <c r="C61" i="2" s="1"/>
  <c r="A53" i="2"/>
  <c r="B53" i="2"/>
  <c r="C53" i="2" s="1"/>
  <c r="A45" i="2"/>
  <c r="B45" i="2"/>
  <c r="C45" i="2" s="1"/>
  <c r="A37" i="2"/>
  <c r="B37" i="2"/>
  <c r="C37" i="2" s="1"/>
  <c r="A29" i="2"/>
  <c r="B29" i="2"/>
  <c r="C29" i="2" s="1"/>
  <c r="A21" i="2"/>
  <c r="B21" i="2"/>
  <c r="C21" i="2" s="1"/>
  <c r="A13" i="2"/>
  <c r="B13" i="2"/>
  <c r="C13" i="2" s="1"/>
  <c r="A3988" i="2"/>
  <c r="B3988" i="2"/>
  <c r="C3988" i="2" s="1"/>
  <c r="F3988" i="2" s="1"/>
  <c r="G3988" i="2" s="1"/>
  <c r="E3993" i="1" s="1"/>
  <c r="A3980" i="2"/>
  <c r="B3980" i="2"/>
  <c r="C3980" i="2" s="1"/>
  <c r="F3980" i="2" s="1"/>
  <c r="G3980" i="2" s="1"/>
  <c r="E3985" i="1" s="1"/>
  <c r="A3972" i="2"/>
  <c r="B3972" i="2"/>
  <c r="C3972" i="2" s="1"/>
  <c r="F3972" i="2" s="1"/>
  <c r="G3972" i="2" s="1"/>
  <c r="E3977" i="1" s="1"/>
  <c r="A3964" i="2"/>
  <c r="B3964" i="2"/>
  <c r="C3964" i="2" s="1"/>
  <c r="F3964" i="2" s="1"/>
  <c r="G3964" i="2" s="1"/>
  <c r="E3969" i="1" s="1"/>
  <c r="A3956" i="2"/>
  <c r="B3956" i="2"/>
  <c r="C3956" i="2" s="1"/>
  <c r="F3956" i="2" s="1"/>
  <c r="G3956" i="2" s="1"/>
  <c r="E3961" i="1" s="1"/>
  <c r="A3948" i="2"/>
  <c r="B3948" i="2"/>
  <c r="C3948" i="2" s="1"/>
  <c r="F3948" i="2" s="1"/>
  <c r="G3948" i="2" s="1"/>
  <c r="E3953" i="1" s="1"/>
  <c r="A3940" i="2"/>
  <c r="B3940" i="2"/>
  <c r="C3940" i="2" s="1"/>
  <c r="F3940" i="2" s="1"/>
  <c r="G3940" i="2" s="1"/>
  <c r="E3945" i="1" s="1"/>
  <c r="A3932" i="2"/>
  <c r="B3932" i="2"/>
  <c r="C3932" i="2" s="1"/>
  <c r="F3932" i="2" s="1"/>
  <c r="G3932" i="2" s="1"/>
  <c r="E3937" i="1" s="1"/>
  <c r="A3924" i="2"/>
  <c r="B3924" i="2"/>
  <c r="C3924" i="2" s="1"/>
  <c r="F3924" i="2" s="1"/>
  <c r="G3924" i="2" s="1"/>
  <c r="E3929" i="1" s="1"/>
  <c r="A3916" i="2"/>
  <c r="B3916" i="2"/>
  <c r="C3916" i="2" s="1"/>
  <c r="F3916" i="2" s="1"/>
  <c r="G3916" i="2" s="1"/>
  <c r="E3921" i="1" s="1"/>
  <c r="A3908" i="2"/>
  <c r="B3908" i="2"/>
  <c r="C3908" i="2" s="1"/>
  <c r="F3908" i="2" s="1"/>
  <c r="G3908" i="2" s="1"/>
  <c r="E3913" i="1" s="1"/>
  <c r="A3900" i="2"/>
  <c r="B3900" i="2"/>
  <c r="C3900" i="2" s="1"/>
  <c r="F3900" i="2" s="1"/>
  <c r="G3900" i="2" s="1"/>
  <c r="E3905" i="1" s="1"/>
  <c r="A3892" i="2"/>
  <c r="B3892" i="2"/>
  <c r="C3892" i="2" s="1"/>
  <c r="F3892" i="2" s="1"/>
  <c r="G3892" i="2" s="1"/>
  <c r="E3897" i="1" s="1"/>
  <c r="A3884" i="2"/>
  <c r="B3884" i="2"/>
  <c r="C3884" i="2" s="1"/>
  <c r="F3884" i="2" s="1"/>
  <c r="G3884" i="2" s="1"/>
  <c r="E3889" i="1" s="1"/>
  <c r="A3876" i="2"/>
  <c r="B3876" i="2"/>
  <c r="C3876" i="2" s="1"/>
  <c r="F3876" i="2" s="1"/>
  <c r="G3876" i="2" s="1"/>
  <c r="E3881" i="1" s="1"/>
  <c r="A3868" i="2"/>
  <c r="B3868" i="2"/>
  <c r="C3868" i="2" s="1"/>
  <c r="F3868" i="2" s="1"/>
  <c r="G3868" i="2" s="1"/>
  <c r="E3873" i="1" s="1"/>
  <c r="A3860" i="2"/>
  <c r="B3860" i="2"/>
  <c r="C3860" i="2" s="1"/>
  <c r="F3860" i="2" s="1"/>
  <c r="G3860" i="2" s="1"/>
  <c r="E3865" i="1" s="1"/>
  <c r="A3852" i="2"/>
  <c r="B3852" i="2"/>
  <c r="C3852" i="2" s="1"/>
  <c r="F3852" i="2" s="1"/>
  <c r="G3852" i="2" s="1"/>
  <c r="E3857" i="1" s="1"/>
  <c r="A3844" i="2"/>
  <c r="B3844" i="2"/>
  <c r="C3844" i="2" s="1"/>
  <c r="F3844" i="2" s="1"/>
  <c r="G3844" i="2" s="1"/>
  <c r="E3849" i="1" s="1"/>
  <c r="A3836" i="2"/>
  <c r="B3836" i="2"/>
  <c r="C3836" i="2" s="1"/>
  <c r="F3836" i="2" s="1"/>
  <c r="G3836" i="2" s="1"/>
  <c r="E3841" i="1" s="1"/>
  <c r="A3828" i="2"/>
  <c r="B3828" i="2"/>
  <c r="C3828" i="2" s="1"/>
  <c r="F3828" i="2" s="1"/>
  <c r="G3828" i="2" s="1"/>
  <c r="E3833" i="1" s="1"/>
  <c r="A3820" i="2"/>
  <c r="B3820" i="2"/>
  <c r="C3820" i="2" s="1"/>
  <c r="F3820" i="2" s="1"/>
  <c r="G3820" i="2" s="1"/>
  <c r="E3825" i="1" s="1"/>
  <c r="A3812" i="2"/>
  <c r="B3812" i="2"/>
  <c r="C3812" i="2" s="1"/>
  <c r="F3812" i="2" s="1"/>
  <c r="G3812" i="2" s="1"/>
  <c r="E3817" i="1" s="1"/>
  <c r="A3804" i="2"/>
  <c r="B3804" i="2"/>
  <c r="C3804" i="2" s="1"/>
  <c r="F3804" i="2" s="1"/>
  <c r="G3804" i="2" s="1"/>
  <c r="E3809" i="1" s="1"/>
  <c r="A3796" i="2"/>
  <c r="B3796" i="2"/>
  <c r="C3796" i="2" s="1"/>
  <c r="F3796" i="2" s="1"/>
  <c r="G3796" i="2" s="1"/>
  <c r="E3801" i="1" s="1"/>
  <c r="A3788" i="2"/>
  <c r="B3788" i="2"/>
  <c r="C3788" i="2" s="1"/>
  <c r="F3788" i="2" s="1"/>
  <c r="G3788" i="2" s="1"/>
  <c r="E3793" i="1" s="1"/>
  <c r="A3780" i="2"/>
  <c r="B3780" i="2"/>
  <c r="C3780" i="2" s="1"/>
  <c r="F3780" i="2" s="1"/>
  <c r="G3780" i="2" s="1"/>
  <c r="E3785" i="1" s="1"/>
  <c r="A3772" i="2"/>
  <c r="B3772" i="2"/>
  <c r="C3772" i="2" s="1"/>
  <c r="F3772" i="2" s="1"/>
  <c r="G3772" i="2" s="1"/>
  <c r="E3777" i="1" s="1"/>
  <c r="A3764" i="2"/>
  <c r="B3764" i="2"/>
  <c r="C3764" i="2" s="1"/>
  <c r="F3764" i="2" s="1"/>
  <c r="G3764" i="2" s="1"/>
  <c r="E3769" i="1" s="1"/>
  <c r="A3756" i="2"/>
  <c r="B3756" i="2"/>
  <c r="C3756" i="2" s="1"/>
  <c r="F3756" i="2" s="1"/>
  <c r="G3756" i="2" s="1"/>
  <c r="E3761" i="1" s="1"/>
  <c r="A3748" i="2"/>
  <c r="B3748" i="2"/>
  <c r="C3748" i="2" s="1"/>
  <c r="F3748" i="2" s="1"/>
  <c r="G3748" i="2" s="1"/>
  <c r="E3753" i="1" s="1"/>
  <c r="A3740" i="2"/>
  <c r="B3740" i="2"/>
  <c r="C3740" i="2" s="1"/>
  <c r="F3740" i="2" s="1"/>
  <c r="G3740" i="2" s="1"/>
  <c r="E3745" i="1" s="1"/>
  <c r="A3732" i="2"/>
  <c r="B3732" i="2"/>
  <c r="C3732" i="2" s="1"/>
  <c r="F3732" i="2" s="1"/>
  <c r="G3732" i="2" s="1"/>
  <c r="E3737" i="1" s="1"/>
  <c r="A3724" i="2"/>
  <c r="B3724" i="2"/>
  <c r="C3724" i="2" s="1"/>
  <c r="F3724" i="2" s="1"/>
  <c r="G3724" i="2" s="1"/>
  <c r="E3729" i="1" s="1"/>
  <c r="A3716" i="2"/>
  <c r="B3716" i="2"/>
  <c r="C3716" i="2" s="1"/>
  <c r="F3716" i="2" s="1"/>
  <c r="G3716" i="2" s="1"/>
  <c r="E3721" i="1" s="1"/>
  <c r="A3708" i="2"/>
  <c r="B3708" i="2"/>
  <c r="C3708" i="2" s="1"/>
  <c r="F3708" i="2" s="1"/>
  <c r="G3708" i="2" s="1"/>
  <c r="E3713" i="1" s="1"/>
  <c r="A3700" i="2"/>
  <c r="B3700" i="2"/>
  <c r="C3700" i="2" s="1"/>
  <c r="F3700" i="2" s="1"/>
  <c r="G3700" i="2" s="1"/>
  <c r="E3705" i="1" s="1"/>
  <c r="A3692" i="2"/>
  <c r="B3692" i="2"/>
  <c r="C3692" i="2" s="1"/>
  <c r="F3692" i="2" s="1"/>
  <c r="G3692" i="2" s="1"/>
  <c r="E3697" i="1" s="1"/>
  <c r="A3684" i="2"/>
  <c r="B3684" i="2"/>
  <c r="C3684" i="2" s="1"/>
  <c r="F3684" i="2" s="1"/>
  <c r="G3684" i="2" s="1"/>
  <c r="E3689" i="1" s="1"/>
  <c r="A3676" i="2"/>
  <c r="B3676" i="2"/>
  <c r="C3676" i="2" s="1"/>
  <c r="F3676" i="2" s="1"/>
  <c r="G3676" i="2" s="1"/>
  <c r="E3681" i="1" s="1"/>
  <c r="A3668" i="2"/>
  <c r="B3668" i="2"/>
  <c r="C3668" i="2" s="1"/>
  <c r="F3668" i="2" s="1"/>
  <c r="G3668" i="2" s="1"/>
  <c r="E3673" i="1" s="1"/>
  <c r="A3660" i="2"/>
  <c r="B3660" i="2"/>
  <c r="C3660" i="2" s="1"/>
  <c r="F3660" i="2" s="1"/>
  <c r="G3660" i="2" s="1"/>
  <c r="E3665" i="1" s="1"/>
  <c r="A3652" i="2"/>
  <c r="B3652" i="2"/>
  <c r="C3652" i="2" s="1"/>
  <c r="F3652" i="2" s="1"/>
  <c r="G3652" i="2" s="1"/>
  <c r="E3657" i="1" s="1"/>
  <c r="A3644" i="2"/>
  <c r="B3644" i="2"/>
  <c r="C3644" i="2" s="1"/>
  <c r="F3644" i="2" s="1"/>
  <c r="G3644" i="2" s="1"/>
  <c r="E3649" i="1" s="1"/>
  <c r="A3636" i="2"/>
  <c r="B3636" i="2"/>
  <c r="C3636" i="2" s="1"/>
  <c r="F3636" i="2" s="1"/>
  <c r="G3636" i="2" s="1"/>
  <c r="E3641" i="1" s="1"/>
  <c r="A3628" i="2"/>
  <c r="B3628" i="2"/>
  <c r="C3628" i="2" s="1"/>
  <c r="F3628" i="2" s="1"/>
  <c r="G3628" i="2" s="1"/>
  <c r="E3633" i="1" s="1"/>
  <c r="A3620" i="2"/>
  <c r="B3620" i="2"/>
  <c r="C3620" i="2" s="1"/>
  <c r="F3620" i="2" s="1"/>
  <c r="G3620" i="2" s="1"/>
  <c r="E3625" i="1" s="1"/>
  <c r="A3612" i="2"/>
  <c r="B3612" i="2"/>
  <c r="C3612" i="2" s="1"/>
  <c r="F3612" i="2" s="1"/>
  <c r="G3612" i="2" s="1"/>
  <c r="E3617" i="1" s="1"/>
  <c r="A3604" i="2"/>
  <c r="B3604" i="2"/>
  <c r="C3604" i="2" s="1"/>
  <c r="F3604" i="2" s="1"/>
  <c r="G3604" i="2" s="1"/>
  <c r="E3609" i="1" s="1"/>
  <c r="A3596" i="2"/>
  <c r="B3596" i="2"/>
  <c r="C3596" i="2" s="1"/>
  <c r="F3596" i="2" s="1"/>
  <c r="G3596" i="2" s="1"/>
  <c r="E3601" i="1" s="1"/>
  <c r="A3588" i="2"/>
  <c r="B3588" i="2"/>
  <c r="C3588" i="2" s="1"/>
  <c r="F3588" i="2" s="1"/>
  <c r="G3588" i="2" s="1"/>
  <c r="E3593" i="1" s="1"/>
  <c r="A3580" i="2"/>
  <c r="B3580" i="2"/>
  <c r="C3580" i="2" s="1"/>
  <c r="F3580" i="2" s="1"/>
  <c r="G3580" i="2" s="1"/>
  <c r="E3585" i="1" s="1"/>
  <c r="A3572" i="2"/>
  <c r="B3572" i="2"/>
  <c r="C3572" i="2" s="1"/>
  <c r="F3572" i="2" s="1"/>
  <c r="G3572" i="2" s="1"/>
  <c r="E3577" i="1" s="1"/>
  <c r="A3564" i="2"/>
  <c r="B3564" i="2"/>
  <c r="C3564" i="2" s="1"/>
  <c r="F3564" i="2" s="1"/>
  <c r="G3564" i="2" s="1"/>
  <c r="E3569" i="1" s="1"/>
  <c r="A3556" i="2"/>
  <c r="B3556" i="2"/>
  <c r="C3556" i="2" s="1"/>
  <c r="F3556" i="2" s="1"/>
  <c r="G3556" i="2" s="1"/>
  <c r="E3561" i="1" s="1"/>
  <c r="A3548" i="2"/>
  <c r="B3548" i="2"/>
  <c r="C3548" i="2" s="1"/>
  <c r="F3548" i="2" s="1"/>
  <c r="G3548" i="2" s="1"/>
  <c r="E3553" i="1" s="1"/>
  <c r="A3540" i="2"/>
  <c r="B3540" i="2"/>
  <c r="C3540" i="2" s="1"/>
  <c r="F3540" i="2" s="1"/>
  <c r="G3540" i="2" s="1"/>
  <c r="E3545" i="1" s="1"/>
  <c r="A3532" i="2"/>
  <c r="B3532" i="2"/>
  <c r="C3532" i="2" s="1"/>
  <c r="F3532" i="2" s="1"/>
  <c r="G3532" i="2" s="1"/>
  <c r="E3537" i="1" s="1"/>
  <c r="A3524" i="2"/>
  <c r="B3524" i="2"/>
  <c r="C3524" i="2" s="1"/>
  <c r="F3524" i="2" s="1"/>
  <c r="G3524" i="2" s="1"/>
  <c r="E3529" i="1" s="1"/>
  <c r="A3516" i="2"/>
  <c r="B3516" i="2"/>
  <c r="C3516" i="2" s="1"/>
  <c r="F3516" i="2" s="1"/>
  <c r="G3516" i="2" s="1"/>
  <c r="E3521" i="1" s="1"/>
  <c r="A3508" i="2"/>
  <c r="B3508" i="2"/>
  <c r="C3508" i="2" s="1"/>
  <c r="F3508" i="2" s="1"/>
  <c r="G3508" i="2" s="1"/>
  <c r="E3513" i="1" s="1"/>
  <c r="A3500" i="2"/>
  <c r="B3500" i="2"/>
  <c r="C3500" i="2" s="1"/>
  <c r="F3500" i="2" s="1"/>
  <c r="G3500" i="2" s="1"/>
  <c r="E3505" i="1" s="1"/>
  <c r="A3492" i="2"/>
  <c r="B3492" i="2"/>
  <c r="C3492" i="2" s="1"/>
  <c r="F3492" i="2" s="1"/>
  <c r="G3492" i="2" s="1"/>
  <c r="E3497" i="1" s="1"/>
  <c r="A3484" i="2"/>
  <c r="B3484" i="2"/>
  <c r="C3484" i="2" s="1"/>
  <c r="F3484" i="2" s="1"/>
  <c r="G3484" i="2" s="1"/>
  <c r="E3489" i="1" s="1"/>
  <c r="A3476" i="2"/>
  <c r="B3476" i="2"/>
  <c r="C3476" i="2" s="1"/>
  <c r="F3476" i="2" s="1"/>
  <c r="G3476" i="2" s="1"/>
  <c r="E3481" i="1" s="1"/>
  <c r="A3468" i="2"/>
  <c r="B3468" i="2"/>
  <c r="C3468" i="2" s="1"/>
  <c r="F3468" i="2" s="1"/>
  <c r="G3468" i="2" s="1"/>
  <c r="E3473" i="1" s="1"/>
  <c r="A3460" i="2"/>
  <c r="B3460" i="2"/>
  <c r="C3460" i="2" s="1"/>
  <c r="F3460" i="2" s="1"/>
  <c r="G3460" i="2" s="1"/>
  <c r="E3465" i="1" s="1"/>
  <c r="A3452" i="2"/>
  <c r="B3452" i="2"/>
  <c r="C3452" i="2" s="1"/>
  <c r="F3452" i="2" s="1"/>
  <c r="G3452" i="2" s="1"/>
  <c r="E3457" i="1" s="1"/>
  <c r="A3444" i="2"/>
  <c r="B3444" i="2"/>
  <c r="C3444" i="2" s="1"/>
  <c r="F3444" i="2" s="1"/>
  <c r="G3444" i="2" s="1"/>
  <c r="E3449" i="1" s="1"/>
  <c r="A3436" i="2"/>
  <c r="B3436" i="2"/>
  <c r="C3436" i="2" s="1"/>
  <c r="F3436" i="2" s="1"/>
  <c r="G3436" i="2" s="1"/>
  <c r="E3441" i="1" s="1"/>
  <c r="A3428" i="2"/>
  <c r="B3428" i="2"/>
  <c r="C3428" i="2" s="1"/>
  <c r="F3428" i="2" s="1"/>
  <c r="G3428" i="2" s="1"/>
  <c r="E3433" i="1" s="1"/>
  <c r="A3420" i="2"/>
  <c r="B3420" i="2"/>
  <c r="C3420" i="2" s="1"/>
  <c r="F3420" i="2" s="1"/>
  <c r="G3420" i="2" s="1"/>
  <c r="E3425" i="1" s="1"/>
  <c r="A3412" i="2"/>
  <c r="B3412" i="2"/>
  <c r="C3412" i="2" s="1"/>
  <c r="F3412" i="2" s="1"/>
  <c r="G3412" i="2" s="1"/>
  <c r="E3417" i="1" s="1"/>
  <c r="A3404" i="2"/>
  <c r="B3404" i="2"/>
  <c r="C3404" i="2" s="1"/>
  <c r="F3404" i="2" s="1"/>
  <c r="G3404" i="2" s="1"/>
  <c r="E3409" i="1" s="1"/>
  <c r="A3396" i="2"/>
  <c r="B3396" i="2"/>
  <c r="C3396" i="2" s="1"/>
  <c r="F3396" i="2" s="1"/>
  <c r="G3396" i="2" s="1"/>
  <c r="E3401" i="1" s="1"/>
  <c r="A3388" i="2"/>
  <c r="B3388" i="2"/>
  <c r="C3388" i="2" s="1"/>
  <c r="F3388" i="2" s="1"/>
  <c r="G3388" i="2" s="1"/>
  <c r="E3393" i="1" s="1"/>
  <c r="A3380" i="2"/>
  <c r="B3380" i="2"/>
  <c r="C3380" i="2" s="1"/>
  <c r="F3380" i="2" s="1"/>
  <c r="G3380" i="2" s="1"/>
  <c r="E3385" i="1" s="1"/>
  <c r="A3372" i="2"/>
  <c r="B3372" i="2"/>
  <c r="C3372" i="2" s="1"/>
  <c r="F3372" i="2" s="1"/>
  <c r="G3372" i="2" s="1"/>
  <c r="E3377" i="1" s="1"/>
  <c r="A3364" i="2"/>
  <c r="B3364" i="2"/>
  <c r="C3364" i="2" s="1"/>
  <c r="F3364" i="2" s="1"/>
  <c r="G3364" i="2" s="1"/>
  <c r="E3369" i="1" s="1"/>
  <c r="A3356" i="2"/>
  <c r="B3356" i="2"/>
  <c r="C3356" i="2" s="1"/>
  <c r="F3356" i="2" s="1"/>
  <c r="G3356" i="2" s="1"/>
  <c r="E3361" i="1" s="1"/>
  <c r="A3348" i="2"/>
  <c r="B3348" i="2"/>
  <c r="C3348" i="2" s="1"/>
  <c r="F3348" i="2" s="1"/>
  <c r="G3348" i="2" s="1"/>
  <c r="E3353" i="1" s="1"/>
  <c r="A3340" i="2"/>
  <c r="B3340" i="2"/>
  <c r="C3340" i="2" s="1"/>
  <c r="F3340" i="2" s="1"/>
  <c r="G3340" i="2" s="1"/>
  <c r="E3345" i="1" s="1"/>
  <c r="A3332" i="2"/>
  <c r="B3332" i="2"/>
  <c r="C3332" i="2" s="1"/>
  <c r="F3332" i="2" s="1"/>
  <c r="G3332" i="2" s="1"/>
  <c r="E3337" i="1" s="1"/>
  <c r="A3324" i="2"/>
  <c r="B3324" i="2"/>
  <c r="C3324" i="2" s="1"/>
  <c r="F3324" i="2" s="1"/>
  <c r="G3324" i="2" s="1"/>
  <c r="E3329" i="1" s="1"/>
  <c r="A3316" i="2"/>
  <c r="B3316" i="2"/>
  <c r="C3316" i="2" s="1"/>
  <c r="F3316" i="2" s="1"/>
  <c r="G3316" i="2" s="1"/>
  <c r="E3321" i="1" s="1"/>
  <c r="A3308" i="2"/>
  <c r="B3308" i="2"/>
  <c r="C3308" i="2" s="1"/>
  <c r="F3308" i="2" s="1"/>
  <c r="G3308" i="2" s="1"/>
  <c r="E3313" i="1" s="1"/>
  <c r="A3300" i="2"/>
  <c r="B3300" i="2"/>
  <c r="C3300" i="2" s="1"/>
  <c r="F3300" i="2" s="1"/>
  <c r="G3300" i="2" s="1"/>
  <c r="E3305" i="1" s="1"/>
  <c r="A3292" i="2"/>
  <c r="B3292" i="2"/>
  <c r="C3292" i="2" s="1"/>
  <c r="F3292" i="2" s="1"/>
  <c r="G3292" i="2" s="1"/>
  <c r="E3297" i="1" s="1"/>
  <c r="A3284" i="2"/>
  <c r="B3284" i="2"/>
  <c r="C3284" i="2" s="1"/>
  <c r="F3284" i="2" s="1"/>
  <c r="G3284" i="2" s="1"/>
  <c r="E3289" i="1" s="1"/>
  <c r="A3276" i="2"/>
  <c r="B3276" i="2"/>
  <c r="C3276" i="2" s="1"/>
  <c r="F3276" i="2" s="1"/>
  <c r="G3276" i="2" s="1"/>
  <c r="E3281" i="1" s="1"/>
  <c r="A3268" i="2"/>
  <c r="B3268" i="2"/>
  <c r="C3268" i="2" s="1"/>
  <c r="F3268" i="2" s="1"/>
  <c r="G3268" i="2" s="1"/>
  <c r="E3273" i="1" s="1"/>
  <c r="A3260" i="2"/>
  <c r="B3260" i="2"/>
  <c r="C3260" i="2" s="1"/>
  <c r="F3260" i="2" s="1"/>
  <c r="G3260" i="2" s="1"/>
  <c r="E3265" i="1" s="1"/>
  <c r="A3252" i="2"/>
  <c r="B3252" i="2"/>
  <c r="C3252" i="2" s="1"/>
  <c r="F3252" i="2" s="1"/>
  <c r="G3252" i="2" s="1"/>
  <c r="E3257" i="1" s="1"/>
  <c r="A3244" i="2"/>
  <c r="B3244" i="2"/>
  <c r="C3244" i="2" s="1"/>
  <c r="F3244" i="2" s="1"/>
  <c r="G3244" i="2" s="1"/>
  <c r="E3249" i="1" s="1"/>
  <c r="A3236" i="2"/>
  <c r="B3236" i="2"/>
  <c r="C3236" i="2" s="1"/>
  <c r="F3236" i="2" s="1"/>
  <c r="G3236" i="2" s="1"/>
  <c r="E3241" i="1" s="1"/>
  <c r="A3228" i="2"/>
  <c r="B3228" i="2"/>
  <c r="C3228" i="2" s="1"/>
  <c r="F3228" i="2" s="1"/>
  <c r="G3228" i="2" s="1"/>
  <c r="E3233" i="1" s="1"/>
  <c r="A3220" i="2"/>
  <c r="B3220" i="2"/>
  <c r="C3220" i="2" s="1"/>
  <c r="F3220" i="2" s="1"/>
  <c r="G3220" i="2" s="1"/>
  <c r="E3225" i="1" s="1"/>
  <c r="A3212" i="2"/>
  <c r="B3212" i="2"/>
  <c r="C3212" i="2" s="1"/>
  <c r="F3212" i="2" s="1"/>
  <c r="G3212" i="2" s="1"/>
  <c r="E3217" i="1" s="1"/>
  <c r="A3204" i="2"/>
  <c r="B3204" i="2"/>
  <c r="C3204" i="2" s="1"/>
  <c r="F3204" i="2" s="1"/>
  <c r="G3204" i="2" s="1"/>
  <c r="E3209" i="1" s="1"/>
  <c r="A3196" i="2"/>
  <c r="B3196" i="2"/>
  <c r="C3196" i="2" s="1"/>
  <c r="F3196" i="2" s="1"/>
  <c r="G3196" i="2" s="1"/>
  <c r="E3201" i="1" s="1"/>
  <c r="A3188" i="2"/>
  <c r="B3188" i="2"/>
  <c r="C3188" i="2" s="1"/>
  <c r="F3188" i="2" s="1"/>
  <c r="G3188" i="2" s="1"/>
  <c r="E3193" i="1" s="1"/>
  <c r="A3180" i="2"/>
  <c r="B3180" i="2"/>
  <c r="C3180" i="2" s="1"/>
  <c r="F3180" i="2" s="1"/>
  <c r="G3180" i="2" s="1"/>
  <c r="E3185" i="1" s="1"/>
  <c r="A3172" i="2"/>
  <c r="B3172" i="2"/>
  <c r="C3172" i="2" s="1"/>
  <c r="F3172" i="2" s="1"/>
  <c r="G3172" i="2" s="1"/>
  <c r="E3177" i="1" s="1"/>
  <c r="A3164" i="2"/>
  <c r="B3164" i="2"/>
  <c r="C3164" i="2" s="1"/>
  <c r="F3164" i="2" s="1"/>
  <c r="G3164" i="2" s="1"/>
  <c r="E3169" i="1" s="1"/>
  <c r="A3156" i="2"/>
  <c r="B3156" i="2"/>
  <c r="C3156" i="2" s="1"/>
  <c r="F3156" i="2" s="1"/>
  <c r="G3156" i="2" s="1"/>
  <c r="E3161" i="1" s="1"/>
  <c r="A3148" i="2"/>
  <c r="B3148" i="2"/>
  <c r="C3148" i="2" s="1"/>
  <c r="F3148" i="2" s="1"/>
  <c r="G3148" i="2" s="1"/>
  <c r="E3153" i="1" s="1"/>
  <c r="A3140" i="2"/>
  <c r="B3140" i="2"/>
  <c r="C3140" i="2" s="1"/>
  <c r="F3140" i="2" s="1"/>
  <c r="G3140" i="2" s="1"/>
  <c r="E3145" i="1" s="1"/>
  <c r="A3132" i="2"/>
  <c r="B3132" i="2"/>
  <c r="C3132" i="2" s="1"/>
  <c r="F3132" i="2" s="1"/>
  <c r="G3132" i="2" s="1"/>
  <c r="E3137" i="1" s="1"/>
  <c r="A3124" i="2"/>
  <c r="B3124" i="2"/>
  <c r="C3124" i="2" s="1"/>
  <c r="F3124" i="2" s="1"/>
  <c r="G3124" i="2" s="1"/>
  <c r="E3129" i="1" s="1"/>
  <c r="A3116" i="2"/>
  <c r="B3116" i="2"/>
  <c r="C3116" i="2" s="1"/>
  <c r="F3116" i="2" s="1"/>
  <c r="G3116" i="2" s="1"/>
  <c r="E3121" i="1" s="1"/>
  <c r="A3108" i="2"/>
  <c r="B3108" i="2"/>
  <c r="C3108" i="2" s="1"/>
  <c r="F3108" i="2" s="1"/>
  <c r="G3108" i="2" s="1"/>
  <c r="E3113" i="1" s="1"/>
  <c r="A3100" i="2"/>
  <c r="B3100" i="2"/>
  <c r="C3100" i="2" s="1"/>
  <c r="F3100" i="2" s="1"/>
  <c r="G3100" i="2" s="1"/>
  <c r="E3105" i="1" s="1"/>
  <c r="A3092" i="2"/>
  <c r="B3092" i="2"/>
  <c r="C3092" i="2" s="1"/>
  <c r="F3092" i="2" s="1"/>
  <c r="G3092" i="2" s="1"/>
  <c r="E3097" i="1" s="1"/>
  <c r="A3084" i="2"/>
  <c r="B3084" i="2"/>
  <c r="C3084" i="2" s="1"/>
  <c r="F3084" i="2" s="1"/>
  <c r="G3084" i="2" s="1"/>
  <c r="E3089" i="1" s="1"/>
  <c r="A3076" i="2"/>
  <c r="B3076" i="2"/>
  <c r="C3076" i="2" s="1"/>
  <c r="F3076" i="2" s="1"/>
  <c r="G3076" i="2" s="1"/>
  <c r="E3081" i="1" s="1"/>
  <c r="A3068" i="2"/>
  <c r="B3068" i="2"/>
  <c r="C3068" i="2" s="1"/>
  <c r="F3068" i="2" s="1"/>
  <c r="G3068" i="2" s="1"/>
  <c r="E3073" i="1" s="1"/>
  <c r="A3060" i="2"/>
  <c r="B3060" i="2"/>
  <c r="C3060" i="2" s="1"/>
  <c r="F3060" i="2" s="1"/>
  <c r="G3060" i="2" s="1"/>
  <c r="E3065" i="1" s="1"/>
  <c r="A3052" i="2"/>
  <c r="B3052" i="2"/>
  <c r="C3052" i="2" s="1"/>
  <c r="F3052" i="2" s="1"/>
  <c r="G3052" i="2" s="1"/>
  <c r="E3057" i="1" s="1"/>
  <c r="A3044" i="2"/>
  <c r="B3044" i="2"/>
  <c r="C3044" i="2" s="1"/>
  <c r="F3044" i="2" s="1"/>
  <c r="G3044" i="2" s="1"/>
  <c r="E3049" i="1" s="1"/>
  <c r="A3036" i="2"/>
  <c r="B3036" i="2"/>
  <c r="C3036" i="2" s="1"/>
  <c r="F3036" i="2" s="1"/>
  <c r="G3036" i="2" s="1"/>
  <c r="E3041" i="1" s="1"/>
  <c r="A3028" i="2"/>
  <c r="B3028" i="2"/>
  <c r="C3028" i="2" s="1"/>
  <c r="F3028" i="2" s="1"/>
  <c r="G3028" i="2" s="1"/>
  <c r="E3033" i="1" s="1"/>
  <c r="A3020" i="2"/>
  <c r="B3020" i="2"/>
  <c r="C3020" i="2" s="1"/>
  <c r="F3020" i="2" s="1"/>
  <c r="G3020" i="2" s="1"/>
  <c r="E3025" i="1" s="1"/>
  <c r="A3012" i="2"/>
  <c r="B3012" i="2"/>
  <c r="C3012" i="2" s="1"/>
  <c r="F3012" i="2" s="1"/>
  <c r="G3012" i="2" s="1"/>
  <c r="E3017" i="1" s="1"/>
  <c r="A3004" i="2"/>
  <c r="B3004" i="2"/>
  <c r="C3004" i="2" s="1"/>
  <c r="F3004" i="2" s="1"/>
  <c r="G3004" i="2" s="1"/>
  <c r="E3009" i="1" s="1"/>
  <c r="A2996" i="2"/>
  <c r="B2996" i="2"/>
  <c r="C2996" i="2" s="1"/>
  <c r="F2996" i="2" s="1"/>
  <c r="G2996" i="2" s="1"/>
  <c r="E3001" i="1" s="1"/>
  <c r="A2988" i="2"/>
  <c r="B2988" i="2"/>
  <c r="C2988" i="2" s="1"/>
  <c r="F2988" i="2" s="1"/>
  <c r="G2988" i="2" s="1"/>
  <c r="E2993" i="1" s="1"/>
  <c r="A2980" i="2"/>
  <c r="B2980" i="2"/>
  <c r="C2980" i="2" s="1"/>
  <c r="F2980" i="2" s="1"/>
  <c r="G2980" i="2" s="1"/>
  <c r="E2985" i="1" s="1"/>
  <c r="A2972" i="2"/>
  <c r="B2972" i="2"/>
  <c r="C2972" i="2" s="1"/>
  <c r="F2972" i="2" s="1"/>
  <c r="G2972" i="2" s="1"/>
  <c r="E2977" i="1" s="1"/>
  <c r="A2964" i="2"/>
  <c r="B2964" i="2"/>
  <c r="C2964" i="2" s="1"/>
  <c r="F2964" i="2" s="1"/>
  <c r="G2964" i="2" s="1"/>
  <c r="E2969" i="1" s="1"/>
  <c r="A2956" i="2"/>
  <c r="B2956" i="2"/>
  <c r="C2956" i="2" s="1"/>
  <c r="F2956" i="2" s="1"/>
  <c r="G2956" i="2" s="1"/>
  <c r="E2961" i="1" s="1"/>
  <c r="A2948" i="2"/>
  <c r="B2948" i="2"/>
  <c r="C2948" i="2" s="1"/>
  <c r="F2948" i="2" s="1"/>
  <c r="G2948" i="2" s="1"/>
  <c r="E2953" i="1" s="1"/>
  <c r="A2940" i="2"/>
  <c r="B2940" i="2"/>
  <c r="C2940" i="2" s="1"/>
  <c r="F2940" i="2" s="1"/>
  <c r="G2940" i="2" s="1"/>
  <c r="E2945" i="1" s="1"/>
  <c r="A2932" i="2"/>
  <c r="B2932" i="2"/>
  <c r="C2932" i="2" s="1"/>
  <c r="F2932" i="2" s="1"/>
  <c r="G2932" i="2" s="1"/>
  <c r="E2937" i="1" s="1"/>
  <c r="A2924" i="2"/>
  <c r="B2924" i="2"/>
  <c r="C2924" i="2" s="1"/>
  <c r="F2924" i="2" s="1"/>
  <c r="G2924" i="2" s="1"/>
  <c r="E2929" i="1" s="1"/>
  <c r="A2916" i="2"/>
  <c r="B2916" i="2"/>
  <c r="C2916" i="2" s="1"/>
  <c r="F2916" i="2" s="1"/>
  <c r="G2916" i="2" s="1"/>
  <c r="E2921" i="1" s="1"/>
  <c r="A2908" i="2"/>
  <c r="B2908" i="2"/>
  <c r="C2908" i="2" s="1"/>
  <c r="F2908" i="2" s="1"/>
  <c r="G2908" i="2" s="1"/>
  <c r="E2913" i="1" s="1"/>
  <c r="A2900" i="2"/>
  <c r="B2900" i="2"/>
  <c r="C2900" i="2" s="1"/>
  <c r="F2900" i="2" s="1"/>
  <c r="G2900" i="2" s="1"/>
  <c r="E2905" i="1" s="1"/>
  <c r="A2892" i="2"/>
  <c r="B2892" i="2"/>
  <c r="C2892" i="2" s="1"/>
  <c r="F2892" i="2" s="1"/>
  <c r="G2892" i="2" s="1"/>
  <c r="E2897" i="1" s="1"/>
  <c r="A2884" i="2"/>
  <c r="B2884" i="2"/>
  <c r="C2884" i="2" s="1"/>
  <c r="F2884" i="2" s="1"/>
  <c r="G2884" i="2" s="1"/>
  <c r="E2889" i="1" s="1"/>
  <c r="A2876" i="2"/>
  <c r="B2876" i="2"/>
  <c r="C2876" i="2" s="1"/>
  <c r="F2876" i="2" s="1"/>
  <c r="G2876" i="2" s="1"/>
  <c r="E2881" i="1" s="1"/>
  <c r="A2868" i="2"/>
  <c r="B2868" i="2"/>
  <c r="C2868" i="2" s="1"/>
  <c r="F2868" i="2" s="1"/>
  <c r="G2868" i="2" s="1"/>
  <c r="E2873" i="1" s="1"/>
  <c r="A2860" i="2"/>
  <c r="B2860" i="2"/>
  <c r="C2860" i="2" s="1"/>
  <c r="F2860" i="2" s="1"/>
  <c r="G2860" i="2" s="1"/>
  <c r="E2865" i="1" s="1"/>
  <c r="A2852" i="2"/>
  <c r="B2852" i="2"/>
  <c r="C2852" i="2" s="1"/>
  <c r="F2852" i="2" s="1"/>
  <c r="G2852" i="2" s="1"/>
  <c r="E2857" i="1" s="1"/>
  <c r="A2844" i="2"/>
  <c r="B2844" i="2"/>
  <c r="C2844" i="2" s="1"/>
  <c r="F2844" i="2" s="1"/>
  <c r="G2844" i="2" s="1"/>
  <c r="E2849" i="1" s="1"/>
  <c r="A2836" i="2"/>
  <c r="B2836" i="2"/>
  <c r="C2836" i="2" s="1"/>
  <c r="F2836" i="2" s="1"/>
  <c r="G2836" i="2" s="1"/>
  <c r="E2841" i="1" s="1"/>
  <c r="A2828" i="2"/>
  <c r="B2828" i="2"/>
  <c r="C2828" i="2" s="1"/>
  <c r="F2828" i="2" s="1"/>
  <c r="G2828" i="2" s="1"/>
  <c r="E2833" i="1" s="1"/>
  <c r="A2820" i="2"/>
  <c r="B2820" i="2"/>
  <c r="C2820" i="2" s="1"/>
  <c r="F2820" i="2" s="1"/>
  <c r="G2820" i="2" s="1"/>
  <c r="E2825" i="1" s="1"/>
  <c r="A2812" i="2"/>
  <c r="B2812" i="2"/>
  <c r="C2812" i="2" s="1"/>
  <c r="F2812" i="2" s="1"/>
  <c r="G2812" i="2" s="1"/>
  <c r="E2817" i="1" s="1"/>
  <c r="A2804" i="2"/>
  <c r="B2804" i="2"/>
  <c r="C2804" i="2" s="1"/>
  <c r="F2804" i="2" s="1"/>
  <c r="G2804" i="2" s="1"/>
  <c r="E2809" i="1" s="1"/>
  <c r="A2796" i="2"/>
  <c r="B2796" i="2"/>
  <c r="C2796" i="2" s="1"/>
  <c r="F2796" i="2" s="1"/>
  <c r="G2796" i="2" s="1"/>
  <c r="E2801" i="1" s="1"/>
  <c r="A2788" i="2"/>
  <c r="B2788" i="2"/>
  <c r="C2788" i="2" s="1"/>
  <c r="F2788" i="2" s="1"/>
  <c r="G2788" i="2" s="1"/>
  <c r="E2793" i="1" s="1"/>
  <c r="A2780" i="2"/>
  <c r="B2780" i="2"/>
  <c r="C2780" i="2" s="1"/>
  <c r="F2780" i="2" s="1"/>
  <c r="G2780" i="2" s="1"/>
  <c r="E2785" i="1" s="1"/>
  <c r="A2772" i="2"/>
  <c r="B2772" i="2"/>
  <c r="C2772" i="2" s="1"/>
  <c r="F2772" i="2" s="1"/>
  <c r="G2772" i="2" s="1"/>
  <c r="E2777" i="1" s="1"/>
  <c r="A2764" i="2"/>
  <c r="B2764" i="2"/>
  <c r="C2764" i="2" s="1"/>
  <c r="F2764" i="2" s="1"/>
  <c r="G2764" i="2" s="1"/>
  <c r="E2769" i="1" s="1"/>
  <c r="A2756" i="2"/>
  <c r="B2756" i="2"/>
  <c r="C2756" i="2" s="1"/>
  <c r="F2756" i="2" s="1"/>
  <c r="G2756" i="2" s="1"/>
  <c r="E2761" i="1" s="1"/>
  <c r="A2748" i="2"/>
  <c r="B2748" i="2"/>
  <c r="C2748" i="2" s="1"/>
  <c r="F2748" i="2" s="1"/>
  <c r="G2748" i="2" s="1"/>
  <c r="E2753" i="1" s="1"/>
  <c r="A2740" i="2"/>
  <c r="B2740" i="2"/>
  <c r="C2740" i="2" s="1"/>
  <c r="F2740" i="2" s="1"/>
  <c r="G2740" i="2" s="1"/>
  <c r="E2745" i="1" s="1"/>
  <c r="A2732" i="2"/>
  <c r="B2732" i="2"/>
  <c r="C2732" i="2" s="1"/>
  <c r="F2732" i="2" s="1"/>
  <c r="G2732" i="2" s="1"/>
  <c r="E2737" i="1" s="1"/>
  <c r="A2724" i="2"/>
  <c r="B2724" i="2"/>
  <c r="C2724" i="2" s="1"/>
  <c r="F2724" i="2" s="1"/>
  <c r="G2724" i="2" s="1"/>
  <c r="E2729" i="1" s="1"/>
  <c r="A2716" i="2"/>
  <c r="B2716" i="2"/>
  <c r="C2716" i="2" s="1"/>
  <c r="F2716" i="2" s="1"/>
  <c r="G2716" i="2" s="1"/>
  <c r="E2721" i="1" s="1"/>
  <c r="A2708" i="2"/>
  <c r="B2708" i="2"/>
  <c r="C2708" i="2" s="1"/>
  <c r="F2708" i="2" s="1"/>
  <c r="G2708" i="2" s="1"/>
  <c r="E2713" i="1" s="1"/>
  <c r="A2700" i="2"/>
  <c r="B2700" i="2"/>
  <c r="C2700" i="2" s="1"/>
  <c r="F2700" i="2" s="1"/>
  <c r="G2700" i="2" s="1"/>
  <c r="E2705" i="1" s="1"/>
  <c r="A2692" i="2"/>
  <c r="B2692" i="2"/>
  <c r="C2692" i="2" s="1"/>
  <c r="F2692" i="2" s="1"/>
  <c r="G2692" i="2" s="1"/>
  <c r="E2697" i="1" s="1"/>
  <c r="A2684" i="2"/>
  <c r="B2684" i="2"/>
  <c r="C2684" i="2" s="1"/>
  <c r="F2684" i="2" s="1"/>
  <c r="G2684" i="2" s="1"/>
  <c r="E2689" i="1" s="1"/>
  <c r="A2676" i="2"/>
  <c r="B2676" i="2"/>
  <c r="C2676" i="2" s="1"/>
  <c r="F2676" i="2" s="1"/>
  <c r="G2676" i="2" s="1"/>
  <c r="E2681" i="1" s="1"/>
  <c r="A2668" i="2"/>
  <c r="B2668" i="2"/>
  <c r="C2668" i="2" s="1"/>
  <c r="F2668" i="2" s="1"/>
  <c r="G2668" i="2" s="1"/>
  <c r="E2673" i="1" s="1"/>
  <c r="A2660" i="2"/>
  <c r="B2660" i="2"/>
  <c r="C2660" i="2" s="1"/>
  <c r="F2660" i="2" s="1"/>
  <c r="G2660" i="2" s="1"/>
  <c r="E2665" i="1" s="1"/>
  <c r="A2652" i="2"/>
  <c r="B2652" i="2"/>
  <c r="C2652" i="2" s="1"/>
  <c r="F2652" i="2" s="1"/>
  <c r="G2652" i="2" s="1"/>
  <c r="E2657" i="1" s="1"/>
  <c r="A2644" i="2"/>
  <c r="B2644" i="2"/>
  <c r="C2644" i="2" s="1"/>
  <c r="F2644" i="2" s="1"/>
  <c r="G2644" i="2" s="1"/>
  <c r="E2649" i="1" s="1"/>
  <c r="A2636" i="2"/>
  <c r="B2636" i="2"/>
  <c r="C2636" i="2" s="1"/>
  <c r="F2636" i="2" s="1"/>
  <c r="G2636" i="2" s="1"/>
  <c r="E2641" i="1" s="1"/>
  <c r="A2628" i="2"/>
  <c r="B2628" i="2"/>
  <c r="C2628" i="2" s="1"/>
  <c r="F2628" i="2" s="1"/>
  <c r="G2628" i="2" s="1"/>
  <c r="E2633" i="1" s="1"/>
  <c r="A2620" i="2"/>
  <c r="B2620" i="2"/>
  <c r="C2620" i="2" s="1"/>
  <c r="F2620" i="2" s="1"/>
  <c r="G2620" i="2" s="1"/>
  <c r="E2625" i="1" s="1"/>
  <c r="A2612" i="2"/>
  <c r="B2612" i="2"/>
  <c r="C2612" i="2" s="1"/>
  <c r="F2612" i="2" s="1"/>
  <c r="G2612" i="2" s="1"/>
  <c r="E2617" i="1" s="1"/>
  <c r="A2604" i="2"/>
  <c r="B2604" i="2"/>
  <c r="C2604" i="2" s="1"/>
  <c r="F2604" i="2" s="1"/>
  <c r="G2604" i="2" s="1"/>
  <c r="E2609" i="1" s="1"/>
  <c r="A2596" i="2"/>
  <c r="B2596" i="2"/>
  <c r="C2596" i="2" s="1"/>
  <c r="F2596" i="2" s="1"/>
  <c r="G2596" i="2" s="1"/>
  <c r="E2601" i="1" s="1"/>
  <c r="A2588" i="2"/>
  <c r="B2588" i="2"/>
  <c r="C2588" i="2" s="1"/>
  <c r="F2588" i="2" s="1"/>
  <c r="G2588" i="2" s="1"/>
  <c r="E2593" i="1" s="1"/>
  <c r="A2580" i="2"/>
  <c r="B2580" i="2"/>
  <c r="C2580" i="2" s="1"/>
  <c r="F2580" i="2" s="1"/>
  <c r="G2580" i="2" s="1"/>
  <c r="E2585" i="1" s="1"/>
  <c r="A2572" i="2"/>
  <c r="B2572" i="2"/>
  <c r="C2572" i="2" s="1"/>
  <c r="F2572" i="2" s="1"/>
  <c r="G2572" i="2" s="1"/>
  <c r="E2577" i="1" s="1"/>
  <c r="A2564" i="2"/>
  <c r="B2564" i="2"/>
  <c r="C2564" i="2" s="1"/>
  <c r="F2564" i="2" s="1"/>
  <c r="G2564" i="2" s="1"/>
  <c r="E2569" i="1" s="1"/>
  <c r="A2556" i="2"/>
  <c r="B2556" i="2"/>
  <c r="C2556" i="2" s="1"/>
  <c r="F2556" i="2" s="1"/>
  <c r="G2556" i="2" s="1"/>
  <c r="E2561" i="1" s="1"/>
  <c r="A2548" i="2"/>
  <c r="B2548" i="2"/>
  <c r="C2548" i="2" s="1"/>
  <c r="F2548" i="2" s="1"/>
  <c r="G2548" i="2" s="1"/>
  <c r="E2553" i="1" s="1"/>
  <c r="A2540" i="2"/>
  <c r="B2540" i="2"/>
  <c r="C2540" i="2" s="1"/>
  <c r="F2540" i="2" s="1"/>
  <c r="G2540" i="2" s="1"/>
  <c r="E2545" i="1" s="1"/>
  <c r="A2532" i="2"/>
  <c r="B2532" i="2"/>
  <c r="C2532" i="2" s="1"/>
  <c r="F2532" i="2" s="1"/>
  <c r="G2532" i="2" s="1"/>
  <c r="E2537" i="1" s="1"/>
  <c r="A2524" i="2"/>
  <c r="B2524" i="2"/>
  <c r="C2524" i="2" s="1"/>
  <c r="F2524" i="2" s="1"/>
  <c r="G2524" i="2" s="1"/>
  <c r="E2529" i="1" s="1"/>
  <c r="A2516" i="2"/>
  <c r="B2516" i="2"/>
  <c r="C2516" i="2" s="1"/>
  <c r="F2516" i="2" s="1"/>
  <c r="G2516" i="2" s="1"/>
  <c r="E2521" i="1" s="1"/>
  <c r="A2508" i="2"/>
  <c r="B2508" i="2"/>
  <c r="C2508" i="2" s="1"/>
  <c r="F2508" i="2" s="1"/>
  <c r="G2508" i="2" s="1"/>
  <c r="E2513" i="1" s="1"/>
  <c r="A2500" i="2"/>
  <c r="B2500" i="2"/>
  <c r="C2500" i="2" s="1"/>
  <c r="F2500" i="2" s="1"/>
  <c r="G2500" i="2" s="1"/>
  <c r="E2505" i="1" s="1"/>
  <c r="A2492" i="2"/>
  <c r="B2492" i="2"/>
  <c r="C2492" i="2" s="1"/>
  <c r="F2492" i="2" s="1"/>
  <c r="G2492" i="2" s="1"/>
  <c r="E2497" i="1" s="1"/>
  <c r="A2484" i="2"/>
  <c r="B2484" i="2"/>
  <c r="C2484" i="2" s="1"/>
  <c r="F2484" i="2" s="1"/>
  <c r="G2484" i="2" s="1"/>
  <c r="E2489" i="1" s="1"/>
  <c r="A2476" i="2"/>
  <c r="B2476" i="2"/>
  <c r="C2476" i="2" s="1"/>
  <c r="F2476" i="2" s="1"/>
  <c r="G2476" i="2" s="1"/>
  <c r="E2481" i="1" s="1"/>
  <c r="A2468" i="2"/>
  <c r="B2468" i="2"/>
  <c r="C2468" i="2" s="1"/>
  <c r="F2468" i="2" s="1"/>
  <c r="G2468" i="2" s="1"/>
  <c r="E2473" i="1" s="1"/>
  <c r="A2460" i="2"/>
  <c r="B2460" i="2"/>
  <c r="C2460" i="2" s="1"/>
  <c r="F2460" i="2" s="1"/>
  <c r="G2460" i="2" s="1"/>
  <c r="E2465" i="1" s="1"/>
  <c r="A2452" i="2"/>
  <c r="B2452" i="2"/>
  <c r="C2452" i="2" s="1"/>
  <c r="F2452" i="2" s="1"/>
  <c r="G2452" i="2" s="1"/>
  <c r="E2457" i="1" s="1"/>
  <c r="A2444" i="2"/>
  <c r="B2444" i="2"/>
  <c r="C2444" i="2" s="1"/>
  <c r="F2444" i="2" s="1"/>
  <c r="G2444" i="2" s="1"/>
  <c r="E2449" i="1" s="1"/>
  <c r="A2436" i="2"/>
  <c r="B2436" i="2"/>
  <c r="C2436" i="2" s="1"/>
  <c r="F2436" i="2" s="1"/>
  <c r="G2436" i="2" s="1"/>
  <c r="E2441" i="1" s="1"/>
  <c r="A2428" i="2"/>
  <c r="B2428" i="2"/>
  <c r="C2428" i="2" s="1"/>
  <c r="F2428" i="2" s="1"/>
  <c r="G2428" i="2" s="1"/>
  <c r="E2433" i="1" s="1"/>
  <c r="A2420" i="2"/>
  <c r="B2420" i="2"/>
  <c r="C2420" i="2" s="1"/>
  <c r="F2420" i="2" s="1"/>
  <c r="G2420" i="2" s="1"/>
  <c r="E2425" i="1" s="1"/>
  <c r="A2412" i="2"/>
  <c r="B2412" i="2"/>
  <c r="C2412" i="2" s="1"/>
  <c r="F2412" i="2" s="1"/>
  <c r="G2412" i="2" s="1"/>
  <c r="E2417" i="1" s="1"/>
  <c r="A2404" i="2"/>
  <c r="B2404" i="2"/>
  <c r="C2404" i="2" s="1"/>
  <c r="F2404" i="2" s="1"/>
  <c r="G2404" i="2" s="1"/>
  <c r="E2409" i="1" s="1"/>
  <c r="A2396" i="2"/>
  <c r="B2396" i="2"/>
  <c r="C2396" i="2" s="1"/>
  <c r="F2396" i="2" s="1"/>
  <c r="G2396" i="2" s="1"/>
  <c r="E2401" i="1" s="1"/>
  <c r="A2388" i="2"/>
  <c r="B2388" i="2"/>
  <c r="C2388" i="2" s="1"/>
  <c r="F2388" i="2" s="1"/>
  <c r="G2388" i="2" s="1"/>
  <c r="E2393" i="1" s="1"/>
  <c r="A2380" i="2"/>
  <c r="B2380" i="2"/>
  <c r="C2380" i="2" s="1"/>
  <c r="F2380" i="2" s="1"/>
  <c r="G2380" i="2" s="1"/>
  <c r="E2385" i="1" s="1"/>
  <c r="A2372" i="2"/>
  <c r="B2372" i="2"/>
  <c r="C2372" i="2" s="1"/>
  <c r="F2372" i="2" s="1"/>
  <c r="G2372" i="2" s="1"/>
  <c r="E2377" i="1" s="1"/>
  <c r="A2364" i="2"/>
  <c r="B2364" i="2"/>
  <c r="C2364" i="2" s="1"/>
  <c r="F2364" i="2" s="1"/>
  <c r="G2364" i="2" s="1"/>
  <c r="E2369" i="1" s="1"/>
  <c r="A2356" i="2"/>
  <c r="B2356" i="2"/>
  <c r="C2356" i="2" s="1"/>
  <c r="F2356" i="2" s="1"/>
  <c r="G2356" i="2" s="1"/>
  <c r="E2361" i="1" s="1"/>
  <c r="A2348" i="2"/>
  <c r="B2348" i="2"/>
  <c r="C2348" i="2" s="1"/>
  <c r="F2348" i="2" s="1"/>
  <c r="G2348" i="2" s="1"/>
  <c r="E2353" i="1" s="1"/>
  <c r="A2340" i="2"/>
  <c r="B2340" i="2"/>
  <c r="C2340" i="2" s="1"/>
  <c r="F2340" i="2" s="1"/>
  <c r="G2340" i="2" s="1"/>
  <c r="E2345" i="1" s="1"/>
  <c r="A2332" i="2"/>
  <c r="B2332" i="2"/>
  <c r="C2332" i="2" s="1"/>
  <c r="F2332" i="2" s="1"/>
  <c r="G2332" i="2" s="1"/>
  <c r="E2337" i="1" s="1"/>
  <c r="A2324" i="2"/>
  <c r="B2324" i="2"/>
  <c r="C2324" i="2" s="1"/>
  <c r="F2324" i="2" s="1"/>
  <c r="G2324" i="2" s="1"/>
  <c r="E2329" i="1" s="1"/>
  <c r="A2316" i="2"/>
  <c r="B2316" i="2"/>
  <c r="C2316" i="2" s="1"/>
  <c r="F2316" i="2" s="1"/>
  <c r="G2316" i="2" s="1"/>
  <c r="E2321" i="1" s="1"/>
  <c r="A2308" i="2"/>
  <c r="B2308" i="2"/>
  <c r="C2308" i="2" s="1"/>
  <c r="F2308" i="2" s="1"/>
  <c r="G2308" i="2" s="1"/>
  <c r="E2313" i="1" s="1"/>
  <c r="A2300" i="2"/>
  <c r="B2300" i="2"/>
  <c r="C2300" i="2" s="1"/>
  <c r="F2300" i="2" s="1"/>
  <c r="G2300" i="2" s="1"/>
  <c r="E2305" i="1" s="1"/>
  <c r="A2292" i="2"/>
  <c r="B2292" i="2"/>
  <c r="C2292" i="2" s="1"/>
  <c r="F2292" i="2" s="1"/>
  <c r="G2292" i="2" s="1"/>
  <c r="E2297" i="1" s="1"/>
  <c r="A2284" i="2"/>
  <c r="B2284" i="2"/>
  <c r="C2284" i="2" s="1"/>
  <c r="F2284" i="2" s="1"/>
  <c r="G2284" i="2" s="1"/>
  <c r="E2289" i="1" s="1"/>
  <c r="A2276" i="2"/>
  <c r="B2276" i="2"/>
  <c r="C2276" i="2" s="1"/>
  <c r="F2276" i="2" s="1"/>
  <c r="G2276" i="2" s="1"/>
  <c r="E2281" i="1" s="1"/>
  <c r="A2268" i="2"/>
  <c r="B2268" i="2"/>
  <c r="C2268" i="2" s="1"/>
  <c r="F2268" i="2" s="1"/>
  <c r="G2268" i="2" s="1"/>
  <c r="E2273" i="1" s="1"/>
  <c r="A2260" i="2"/>
  <c r="B2260" i="2"/>
  <c r="C2260" i="2" s="1"/>
  <c r="F2260" i="2" s="1"/>
  <c r="G2260" i="2" s="1"/>
  <c r="E2265" i="1" s="1"/>
  <c r="A2252" i="2"/>
  <c r="B2252" i="2"/>
  <c r="C2252" i="2" s="1"/>
  <c r="F2252" i="2" s="1"/>
  <c r="G2252" i="2" s="1"/>
  <c r="E2257" i="1" s="1"/>
  <c r="A2244" i="2"/>
  <c r="B2244" i="2"/>
  <c r="C2244" i="2" s="1"/>
  <c r="F2244" i="2" s="1"/>
  <c r="G2244" i="2" s="1"/>
  <c r="E2249" i="1" s="1"/>
  <c r="A2236" i="2"/>
  <c r="B2236" i="2"/>
  <c r="C2236" i="2" s="1"/>
  <c r="F2236" i="2" s="1"/>
  <c r="G2236" i="2" s="1"/>
  <c r="E2241" i="1" s="1"/>
  <c r="A2228" i="2"/>
  <c r="B2228" i="2"/>
  <c r="C2228" i="2" s="1"/>
  <c r="F2228" i="2" s="1"/>
  <c r="G2228" i="2" s="1"/>
  <c r="E2233" i="1" s="1"/>
  <c r="A2220" i="2"/>
  <c r="B2220" i="2"/>
  <c r="C2220" i="2" s="1"/>
  <c r="F2220" i="2" s="1"/>
  <c r="G2220" i="2" s="1"/>
  <c r="E2225" i="1" s="1"/>
  <c r="A2212" i="2"/>
  <c r="B2212" i="2"/>
  <c r="C2212" i="2" s="1"/>
  <c r="F2212" i="2" s="1"/>
  <c r="G2212" i="2" s="1"/>
  <c r="E2217" i="1" s="1"/>
  <c r="A2204" i="2"/>
  <c r="B2204" i="2"/>
  <c r="C2204" i="2" s="1"/>
  <c r="F2204" i="2" s="1"/>
  <c r="G2204" i="2" s="1"/>
  <c r="E2209" i="1" s="1"/>
  <c r="A2196" i="2"/>
  <c r="B2196" i="2"/>
  <c r="C2196" i="2" s="1"/>
  <c r="F2196" i="2" s="1"/>
  <c r="G2196" i="2" s="1"/>
  <c r="E2201" i="1" s="1"/>
  <c r="A2188" i="2"/>
  <c r="B2188" i="2"/>
  <c r="C2188" i="2" s="1"/>
  <c r="F2188" i="2" s="1"/>
  <c r="G2188" i="2" s="1"/>
  <c r="E2193" i="1" s="1"/>
  <c r="A2180" i="2"/>
  <c r="B2180" i="2"/>
  <c r="C2180" i="2" s="1"/>
  <c r="F2180" i="2" s="1"/>
  <c r="G2180" i="2" s="1"/>
  <c r="E2185" i="1" s="1"/>
  <c r="A2172" i="2"/>
  <c r="B2172" i="2"/>
  <c r="C2172" i="2" s="1"/>
  <c r="F2172" i="2" s="1"/>
  <c r="G2172" i="2" s="1"/>
  <c r="E2177" i="1" s="1"/>
  <c r="A2164" i="2"/>
  <c r="B2164" i="2"/>
  <c r="C2164" i="2" s="1"/>
  <c r="F2164" i="2" s="1"/>
  <c r="G2164" i="2" s="1"/>
  <c r="E2169" i="1" s="1"/>
  <c r="A2156" i="2"/>
  <c r="B2156" i="2"/>
  <c r="C2156" i="2" s="1"/>
  <c r="F2156" i="2" s="1"/>
  <c r="G2156" i="2" s="1"/>
  <c r="E2161" i="1" s="1"/>
  <c r="A2148" i="2"/>
  <c r="B2148" i="2"/>
  <c r="C2148" i="2" s="1"/>
  <c r="F2148" i="2" s="1"/>
  <c r="G2148" i="2" s="1"/>
  <c r="E2153" i="1" s="1"/>
  <c r="A2140" i="2"/>
  <c r="B2140" i="2"/>
  <c r="C2140" i="2" s="1"/>
  <c r="F2140" i="2" s="1"/>
  <c r="G2140" i="2" s="1"/>
  <c r="E2145" i="1" s="1"/>
  <c r="A2132" i="2"/>
  <c r="B2132" i="2"/>
  <c r="C2132" i="2" s="1"/>
  <c r="F2132" i="2" s="1"/>
  <c r="G2132" i="2" s="1"/>
  <c r="E2137" i="1" s="1"/>
  <c r="A2124" i="2"/>
  <c r="B2124" i="2"/>
  <c r="C2124" i="2" s="1"/>
  <c r="F2124" i="2" s="1"/>
  <c r="G2124" i="2" s="1"/>
  <c r="E2129" i="1" s="1"/>
  <c r="A2116" i="2"/>
  <c r="B2116" i="2"/>
  <c r="C2116" i="2" s="1"/>
  <c r="F2116" i="2" s="1"/>
  <c r="G2116" i="2" s="1"/>
  <c r="E2121" i="1" s="1"/>
  <c r="A2108" i="2"/>
  <c r="B2108" i="2"/>
  <c r="C2108" i="2" s="1"/>
  <c r="F2108" i="2" s="1"/>
  <c r="G2108" i="2" s="1"/>
  <c r="E2113" i="1" s="1"/>
  <c r="A2100" i="2"/>
  <c r="B2100" i="2"/>
  <c r="C2100" i="2" s="1"/>
  <c r="F2100" i="2" s="1"/>
  <c r="G2100" i="2" s="1"/>
  <c r="E2105" i="1" s="1"/>
  <c r="A2092" i="2"/>
  <c r="B2092" i="2"/>
  <c r="C2092" i="2" s="1"/>
  <c r="F2092" i="2" s="1"/>
  <c r="G2092" i="2" s="1"/>
  <c r="E2097" i="1" s="1"/>
  <c r="A2084" i="2"/>
  <c r="B2084" i="2"/>
  <c r="C2084" i="2" s="1"/>
  <c r="F2084" i="2" s="1"/>
  <c r="G2084" i="2" s="1"/>
  <c r="E2089" i="1" s="1"/>
  <c r="A2076" i="2"/>
  <c r="B2076" i="2"/>
  <c r="C2076" i="2" s="1"/>
  <c r="F2076" i="2" s="1"/>
  <c r="G2076" i="2" s="1"/>
  <c r="E2081" i="1" s="1"/>
  <c r="A2068" i="2"/>
  <c r="B2068" i="2"/>
  <c r="C2068" i="2" s="1"/>
  <c r="F2068" i="2" s="1"/>
  <c r="G2068" i="2" s="1"/>
  <c r="E2073" i="1" s="1"/>
  <c r="A2060" i="2"/>
  <c r="B2060" i="2"/>
  <c r="C2060" i="2" s="1"/>
  <c r="F2060" i="2" s="1"/>
  <c r="G2060" i="2" s="1"/>
  <c r="E2065" i="1" s="1"/>
  <c r="A2052" i="2"/>
  <c r="B2052" i="2"/>
  <c r="C2052" i="2" s="1"/>
  <c r="F2052" i="2" s="1"/>
  <c r="G2052" i="2" s="1"/>
  <c r="E2057" i="1" s="1"/>
  <c r="A2044" i="2"/>
  <c r="B2044" i="2"/>
  <c r="C2044" i="2" s="1"/>
  <c r="F2044" i="2" s="1"/>
  <c r="G2044" i="2" s="1"/>
  <c r="E2049" i="1" s="1"/>
  <c r="A2036" i="2"/>
  <c r="B2036" i="2"/>
  <c r="C2036" i="2" s="1"/>
  <c r="F2036" i="2" s="1"/>
  <c r="G2036" i="2" s="1"/>
  <c r="E2041" i="1" s="1"/>
  <c r="A2028" i="2"/>
  <c r="B2028" i="2"/>
  <c r="C2028" i="2" s="1"/>
  <c r="F2028" i="2" s="1"/>
  <c r="G2028" i="2" s="1"/>
  <c r="E2033" i="1" s="1"/>
  <c r="A2020" i="2"/>
  <c r="B2020" i="2"/>
  <c r="C2020" i="2" s="1"/>
  <c r="F2020" i="2" s="1"/>
  <c r="G2020" i="2" s="1"/>
  <c r="E2025" i="1" s="1"/>
  <c r="A2012" i="2"/>
  <c r="B2012" i="2"/>
  <c r="C2012" i="2" s="1"/>
  <c r="F2012" i="2" s="1"/>
  <c r="G2012" i="2" s="1"/>
  <c r="E2017" i="1" s="1"/>
  <c r="A2004" i="2"/>
  <c r="B2004" i="2"/>
  <c r="C2004" i="2" s="1"/>
  <c r="F2004" i="2" s="1"/>
  <c r="G2004" i="2" s="1"/>
  <c r="E2009" i="1" s="1"/>
  <c r="A1996" i="2"/>
  <c r="B1996" i="2"/>
  <c r="C1996" i="2" s="1"/>
  <c r="F1996" i="2" s="1"/>
  <c r="G1996" i="2" s="1"/>
  <c r="E2001" i="1" s="1"/>
  <c r="A1988" i="2"/>
  <c r="B1988" i="2"/>
  <c r="C1988" i="2" s="1"/>
  <c r="F1988" i="2" s="1"/>
  <c r="G1988" i="2" s="1"/>
  <c r="E1993" i="1" s="1"/>
  <c r="A1980" i="2"/>
  <c r="B1980" i="2"/>
  <c r="C1980" i="2" s="1"/>
  <c r="F1980" i="2" s="1"/>
  <c r="G1980" i="2" s="1"/>
  <c r="E1985" i="1" s="1"/>
  <c r="A1972" i="2"/>
  <c r="B1972" i="2"/>
  <c r="C1972" i="2" s="1"/>
  <c r="F1972" i="2" s="1"/>
  <c r="G1972" i="2" s="1"/>
  <c r="E1977" i="1" s="1"/>
  <c r="A1964" i="2"/>
  <c r="B1964" i="2"/>
  <c r="C1964" i="2" s="1"/>
  <c r="F1964" i="2" s="1"/>
  <c r="G1964" i="2" s="1"/>
  <c r="E1969" i="1" s="1"/>
  <c r="A1956" i="2"/>
  <c r="B1956" i="2"/>
  <c r="C1956" i="2" s="1"/>
  <c r="F1956" i="2" s="1"/>
  <c r="G1956" i="2" s="1"/>
  <c r="E1961" i="1" s="1"/>
  <c r="A1948" i="2"/>
  <c r="B1948" i="2"/>
  <c r="C1948" i="2" s="1"/>
  <c r="F1948" i="2" s="1"/>
  <c r="G1948" i="2" s="1"/>
  <c r="E1953" i="1" s="1"/>
  <c r="A1940" i="2"/>
  <c r="B1940" i="2"/>
  <c r="C1940" i="2" s="1"/>
  <c r="F1940" i="2" s="1"/>
  <c r="G1940" i="2" s="1"/>
  <c r="E1945" i="1" s="1"/>
  <c r="A1932" i="2"/>
  <c r="B1932" i="2"/>
  <c r="C1932" i="2" s="1"/>
  <c r="F1932" i="2" s="1"/>
  <c r="G1932" i="2" s="1"/>
  <c r="E1937" i="1" s="1"/>
  <c r="A1924" i="2"/>
  <c r="B1924" i="2"/>
  <c r="C1924" i="2" s="1"/>
  <c r="F1924" i="2" s="1"/>
  <c r="G1924" i="2" s="1"/>
  <c r="E1929" i="1" s="1"/>
  <c r="A1916" i="2"/>
  <c r="B1916" i="2"/>
  <c r="C1916" i="2" s="1"/>
  <c r="F1916" i="2" s="1"/>
  <c r="G1916" i="2" s="1"/>
  <c r="E1921" i="1" s="1"/>
  <c r="A1908" i="2"/>
  <c r="B1908" i="2"/>
  <c r="C1908" i="2" s="1"/>
  <c r="F1908" i="2" s="1"/>
  <c r="G1908" i="2" s="1"/>
  <c r="E1913" i="1" s="1"/>
  <c r="A1900" i="2"/>
  <c r="B1900" i="2"/>
  <c r="C1900" i="2" s="1"/>
  <c r="F1900" i="2" s="1"/>
  <c r="G1900" i="2" s="1"/>
  <c r="E1905" i="1" s="1"/>
  <c r="A1892" i="2"/>
  <c r="B1892" i="2"/>
  <c r="C1892" i="2" s="1"/>
  <c r="F1892" i="2" s="1"/>
  <c r="G1892" i="2" s="1"/>
  <c r="E1897" i="1" s="1"/>
  <c r="A1884" i="2"/>
  <c r="B1884" i="2"/>
  <c r="C1884" i="2" s="1"/>
  <c r="F1884" i="2" s="1"/>
  <c r="G1884" i="2" s="1"/>
  <c r="E1889" i="1" s="1"/>
  <c r="A1876" i="2"/>
  <c r="B1876" i="2"/>
  <c r="C1876" i="2" s="1"/>
  <c r="F1876" i="2" s="1"/>
  <c r="G1876" i="2" s="1"/>
  <c r="E1881" i="1" s="1"/>
  <c r="A1868" i="2"/>
  <c r="B1868" i="2"/>
  <c r="C1868" i="2" s="1"/>
  <c r="F1868" i="2" s="1"/>
  <c r="G1868" i="2" s="1"/>
  <c r="E1873" i="1" s="1"/>
  <c r="A1860" i="2"/>
  <c r="B1860" i="2"/>
  <c r="C1860" i="2" s="1"/>
  <c r="F1860" i="2" s="1"/>
  <c r="G1860" i="2" s="1"/>
  <c r="E1865" i="1" s="1"/>
  <c r="A1852" i="2"/>
  <c r="B1852" i="2"/>
  <c r="C1852" i="2" s="1"/>
  <c r="F1852" i="2" s="1"/>
  <c r="G1852" i="2" s="1"/>
  <c r="E1857" i="1" s="1"/>
  <c r="A1844" i="2"/>
  <c r="B1844" i="2"/>
  <c r="C1844" i="2" s="1"/>
  <c r="F1844" i="2" s="1"/>
  <c r="G1844" i="2" s="1"/>
  <c r="E1849" i="1" s="1"/>
  <c r="A1836" i="2"/>
  <c r="B1836" i="2"/>
  <c r="C1836" i="2" s="1"/>
  <c r="F1836" i="2" s="1"/>
  <c r="G1836" i="2" s="1"/>
  <c r="E1841" i="1" s="1"/>
  <c r="A1828" i="2"/>
  <c r="B1828" i="2"/>
  <c r="C1828" i="2" s="1"/>
  <c r="F1828" i="2" s="1"/>
  <c r="G1828" i="2" s="1"/>
  <c r="E1833" i="1" s="1"/>
  <c r="A1820" i="2"/>
  <c r="B1820" i="2"/>
  <c r="C1820" i="2" s="1"/>
  <c r="F1820" i="2" s="1"/>
  <c r="G1820" i="2" s="1"/>
  <c r="E1825" i="1" s="1"/>
  <c r="A1812" i="2"/>
  <c r="B1812" i="2"/>
  <c r="C1812" i="2" s="1"/>
  <c r="F1812" i="2" s="1"/>
  <c r="G1812" i="2" s="1"/>
  <c r="E1817" i="1" s="1"/>
  <c r="A1804" i="2"/>
  <c r="B1804" i="2"/>
  <c r="C1804" i="2" s="1"/>
  <c r="F1804" i="2" s="1"/>
  <c r="G1804" i="2" s="1"/>
  <c r="E1809" i="1" s="1"/>
  <c r="A1796" i="2"/>
  <c r="B1796" i="2"/>
  <c r="C1796" i="2" s="1"/>
  <c r="F1796" i="2" s="1"/>
  <c r="G1796" i="2" s="1"/>
  <c r="E1801" i="1" s="1"/>
  <c r="A1788" i="2"/>
  <c r="B1788" i="2"/>
  <c r="C1788" i="2" s="1"/>
  <c r="F1788" i="2" s="1"/>
  <c r="G1788" i="2" s="1"/>
  <c r="E1793" i="1" s="1"/>
  <c r="A1780" i="2"/>
  <c r="B1780" i="2"/>
  <c r="C1780" i="2" s="1"/>
  <c r="F1780" i="2" s="1"/>
  <c r="G1780" i="2" s="1"/>
  <c r="E1785" i="1" s="1"/>
  <c r="A1772" i="2"/>
  <c r="B1772" i="2"/>
  <c r="C1772" i="2" s="1"/>
  <c r="F1772" i="2" s="1"/>
  <c r="G1772" i="2" s="1"/>
  <c r="E1777" i="1" s="1"/>
  <c r="A1764" i="2"/>
  <c r="B1764" i="2"/>
  <c r="C1764" i="2" s="1"/>
  <c r="F1764" i="2" s="1"/>
  <c r="G1764" i="2" s="1"/>
  <c r="E1769" i="1" s="1"/>
  <c r="A1756" i="2"/>
  <c r="B1756" i="2"/>
  <c r="C1756" i="2" s="1"/>
  <c r="F1756" i="2" s="1"/>
  <c r="G1756" i="2" s="1"/>
  <c r="E1761" i="1" s="1"/>
  <c r="A1748" i="2"/>
  <c r="B1748" i="2"/>
  <c r="C1748" i="2" s="1"/>
  <c r="F1748" i="2" s="1"/>
  <c r="G1748" i="2" s="1"/>
  <c r="E1753" i="1" s="1"/>
  <c r="A1740" i="2"/>
  <c r="B1740" i="2"/>
  <c r="C1740" i="2" s="1"/>
  <c r="F1740" i="2" s="1"/>
  <c r="G1740" i="2" s="1"/>
  <c r="E1745" i="1" s="1"/>
  <c r="A1732" i="2"/>
  <c r="B1732" i="2"/>
  <c r="C1732" i="2" s="1"/>
  <c r="F1732" i="2" s="1"/>
  <c r="G1732" i="2" s="1"/>
  <c r="E1737" i="1" s="1"/>
  <c r="A1724" i="2"/>
  <c r="B1724" i="2"/>
  <c r="C1724" i="2" s="1"/>
  <c r="F1724" i="2" s="1"/>
  <c r="G1724" i="2" s="1"/>
  <c r="E1729" i="1" s="1"/>
  <c r="A1716" i="2"/>
  <c r="B1716" i="2"/>
  <c r="C1716" i="2" s="1"/>
  <c r="F1716" i="2" s="1"/>
  <c r="G1716" i="2" s="1"/>
  <c r="E1721" i="1" s="1"/>
  <c r="A1708" i="2"/>
  <c r="B1708" i="2"/>
  <c r="C1708" i="2" s="1"/>
  <c r="F1708" i="2" s="1"/>
  <c r="G1708" i="2" s="1"/>
  <c r="E1713" i="1" s="1"/>
  <c r="A1700" i="2"/>
  <c r="B1700" i="2"/>
  <c r="C1700" i="2" s="1"/>
  <c r="F1700" i="2" s="1"/>
  <c r="G1700" i="2" s="1"/>
  <c r="E1705" i="1" s="1"/>
  <c r="A1692" i="2"/>
  <c r="B1692" i="2"/>
  <c r="C1692" i="2" s="1"/>
  <c r="F1692" i="2" s="1"/>
  <c r="G1692" i="2" s="1"/>
  <c r="E1697" i="1" s="1"/>
  <c r="A1684" i="2"/>
  <c r="B1684" i="2"/>
  <c r="C1684" i="2" s="1"/>
  <c r="F1684" i="2" s="1"/>
  <c r="G1684" i="2" s="1"/>
  <c r="E1689" i="1" s="1"/>
  <c r="A1676" i="2"/>
  <c r="B1676" i="2"/>
  <c r="C1676" i="2" s="1"/>
  <c r="F1676" i="2" s="1"/>
  <c r="G1676" i="2" s="1"/>
  <c r="E1681" i="1" s="1"/>
  <c r="A1668" i="2"/>
  <c r="B1668" i="2"/>
  <c r="C1668" i="2" s="1"/>
  <c r="F1668" i="2" s="1"/>
  <c r="G1668" i="2" s="1"/>
  <c r="E1673" i="1" s="1"/>
  <c r="A1660" i="2"/>
  <c r="B1660" i="2"/>
  <c r="C1660" i="2" s="1"/>
  <c r="F1660" i="2" s="1"/>
  <c r="G1660" i="2" s="1"/>
  <c r="E1665" i="1" s="1"/>
  <c r="A1652" i="2"/>
  <c r="B1652" i="2"/>
  <c r="C1652" i="2" s="1"/>
  <c r="F1652" i="2" s="1"/>
  <c r="G1652" i="2" s="1"/>
  <c r="E1657" i="1" s="1"/>
  <c r="A1644" i="2"/>
  <c r="B1644" i="2"/>
  <c r="C1644" i="2" s="1"/>
  <c r="F1644" i="2" s="1"/>
  <c r="G1644" i="2" s="1"/>
  <c r="E1649" i="1" s="1"/>
  <c r="A1636" i="2"/>
  <c r="B1636" i="2"/>
  <c r="C1636" i="2" s="1"/>
  <c r="F1636" i="2" s="1"/>
  <c r="G1636" i="2" s="1"/>
  <c r="E1641" i="1" s="1"/>
  <c r="A1628" i="2"/>
  <c r="B1628" i="2"/>
  <c r="C1628" i="2" s="1"/>
  <c r="F1628" i="2" s="1"/>
  <c r="G1628" i="2" s="1"/>
  <c r="E1633" i="1" s="1"/>
  <c r="A1620" i="2"/>
  <c r="B1620" i="2"/>
  <c r="C1620" i="2" s="1"/>
  <c r="F1620" i="2" s="1"/>
  <c r="G1620" i="2" s="1"/>
  <c r="E1625" i="1" s="1"/>
  <c r="A1612" i="2"/>
  <c r="B1612" i="2"/>
  <c r="C1612" i="2" s="1"/>
  <c r="F1612" i="2" s="1"/>
  <c r="G1612" i="2" s="1"/>
  <c r="E1617" i="1" s="1"/>
  <c r="A1604" i="2"/>
  <c r="B1604" i="2"/>
  <c r="C1604" i="2" s="1"/>
  <c r="F1604" i="2" s="1"/>
  <c r="G1604" i="2" s="1"/>
  <c r="E1609" i="1" s="1"/>
  <c r="A1596" i="2"/>
  <c r="B1596" i="2"/>
  <c r="C1596" i="2" s="1"/>
  <c r="F1596" i="2" s="1"/>
  <c r="G1596" i="2" s="1"/>
  <c r="E1601" i="1" s="1"/>
  <c r="A1588" i="2"/>
  <c r="B1588" i="2"/>
  <c r="C1588" i="2" s="1"/>
  <c r="F1588" i="2" s="1"/>
  <c r="G1588" i="2" s="1"/>
  <c r="E1593" i="1" s="1"/>
  <c r="A1580" i="2"/>
  <c r="B1580" i="2"/>
  <c r="C1580" i="2" s="1"/>
  <c r="F1580" i="2" s="1"/>
  <c r="G1580" i="2" s="1"/>
  <c r="E1585" i="1" s="1"/>
  <c r="A1572" i="2"/>
  <c r="B1572" i="2"/>
  <c r="C1572" i="2" s="1"/>
  <c r="F1572" i="2" s="1"/>
  <c r="G1572" i="2" s="1"/>
  <c r="E1577" i="1" s="1"/>
  <c r="A1564" i="2"/>
  <c r="B1564" i="2"/>
  <c r="C1564" i="2" s="1"/>
  <c r="F1564" i="2" s="1"/>
  <c r="G1564" i="2" s="1"/>
  <c r="E1569" i="1" s="1"/>
  <c r="A1556" i="2"/>
  <c r="B1556" i="2"/>
  <c r="C1556" i="2" s="1"/>
  <c r="F1556" i="2" s="1"/>
  <c r="G1556" i="2" s="1"/>
  <c r="E1561" i="1" s="1"/>
  <c r="A1548" i="2"/>
  <c r="B1548" i="2"/>
  <c r="C1548" i="2" s="1"/>
  <c r="F1548" i="2" s="1"/>
  <c r="G1548" i="2" s="1"/>
  <c r="E1553" i="1" s="1"/>
  <c r="A1540" i="2"/>
  <c r="B1540" i="2"/>
  <c r="C1540" i="2" s="1"/>
  <c r="F1540" i="2" s="1"/>
  <c r="G1540" i="2" s="1"/>
  <c r="E1545" i="1" s="1"/>
  <c r="A1532" i="2"/>
  <c r="B1532" i="2"/>
  <c r="C1532" i="2" s="1"/>
  <c r="F1532" i="2" s="1"/>
  <c r="G1532" i="2" s="1"/>
  <c r="E1537" i="1" s="1"/>
  <c r="A1524" i="2"/>
  <c r="B1524" i="2"/>
  <c r="C1524" i="2" s="1"/>
  <c r="F1524" i="2" s="1"/>
  <c r="G1524" i="2" s="1"/>
  <c r="E1529" i="1" s="1"/>
  <c r="A1516" i="2"/>
  <c r="B1516" i="2"/>
  <c r="C1516" i="2" s="1"/>
  <c r="F1516" i="2" s="1"/>
  <c r="G1516" i="2" s="1"/>
  <c r="E1521" i="1" s="1"/>
  <c r="A1508" i="2"/>
  <c r="B1508" i="2"/>
  <c r="C1508" i="2" s="1"/>
  <c r="F1508" i="2" s="1"/>
  <c r="G1508" i="2" s="1"/>
  <c r="E1513" i="1" s="1"/>
  <c r="A1500" i="2"/>
  <c r="B1500" i="2"/>
  <c r="C1500" i="2" s="1"/>
  <c r="F1500" i="2" s="1"/>
  <c r="G1500" i="2" s="1"/>
  <c r="E1505" i="1" s="1"/>
  <c r="A1492" i="2"/>
  <c r="B1492" i="2"/>
  <c r="C1492" i="2" s="1"/>
  <c r="F1492" i="2" s="1"/>
  <c r="G1492" i="2" s="1"/>
  <c r="E1497" i="1" s="1"/>
  <c r="A1484" i="2"/>
  <c r="B1484" i="2"/>
  <c r="C1484" i="2" s="1"/>
  <c r="F1484" i="2" s="1"/>
  <c r="G1484" i="2" s="1"/>
  <c r="E1489" i="1" s="1"/>
  <c r="A1476" i="2"/>
  <c r="B1476" i="2"/>
  <c r="C1476" i="2" s="1"/>
  <c r="F1476" i="2" s="1"/>
  <c r="G1476" i="2" s="1"/>
  <c r="E1481" i="1" s="1"/>
  <c r="A1468" i="2"/>
  <c r="B1468" i="2"/>
  <c r="C1468" i="2" s="1"/>
  <c r="F1468" i="2" s="1"/>
  <c r="G1468" i="2" s="1"/>
  <c r="E1473" i="1" s="1"/>
  <c r="A1460" i="2"/>
  <c r="B1460" i="2"/>
  <c r="C1460" i="2" s="1"/>
  <c r="F1460" i="2" s="1"/>
  <c r="G1460" i="2" s="1"/>
  <c r="E1465" i="1" s="1"/>
  <c r="A1452" i="2"/>
  <c r="B1452" i="2"/>
  <c r="C1452" i="2" s="1"/>
  <c r="F1452" i="2" s="1"/>
  <c r="G1452" i="2" s="1"/>
  <c r="E1457" i="1" s="1"/>
  <c r="A1444" i="2"/>
  <c r="B1444" i="2"/>
  <c r="C1444" i="2" s="1"/>
  <c r="F1444" i="2" s="1"/>
  <c r="G1444" i="2" s="1"/>
  <c r="E1449" i="1" s="1"/>
  <c r="A1436" i="2"/>
  <c r="B1436" i="2"/>
  <c r="C1436" i="2" s="1"/>
  <c r="F1436" i="2" s="1"/>
  <c r="G1436" i="2" s="1"/>
  <c r="E1441" i="1" s="1"/>
  <c r="A1428" i="2"/>
  <c r="B1428" i="2"/>
  <c r="C1428" i="2" s="1"/>
  <c r="F1428" i="2" s="1"/>
  <c r="G1428" i="2" s="1"/>
  <c r="E1433" i="1" s="1"/>
  <c r="A1420" i="2"/>
  <c r="B1420" i="2"/>
  <c r="C1420" i="2" s="1"/>
  <c r="F1420" i="2" s="1"/>
  <c r="G1420" i="2" s="1"/>
  <c r="E1425" i="1" s="1"/>
  <c r="A1412" i="2"/>
  <c r="B1412" i="2"/>
  <c r="C1412" i="2" s="1"/>
  <c r="F1412" i="2" s="1"/>
  <c r="G1412" i="2" s="1"/>
  <c r="E1417" i="1" s="1"/>
  <c r="A1404" i="2"/>
  <c r="B1404" i="2"/>
  <c r="C1404" i="2" s="1"/>
  <c r="F1404" i="2" s="1"/>
  <c r="G1404" i="2" s="1"/>
  <c r="E1409" i="1" s="1"/>
  <c r="A1396" i="2"/>
  <c r="B1396" i="2"/>
  <c r="C1396" i="2" s="1"/>
  <c r="F1396" i="2" s="1"/>
  <c r="G1396" i="2" s="1"/>
  <c r="E1401" i="1" s="1"/>
  <c r="A1388" i="2"/>
  <c r="B1388" i="2"/>
  <c r="C1388" i="2" s="1"/>
  <c r="F1388" i="2" s="1"/>
  <c r="G1388" i="2" s="1"/>
  <c r="E1393" i="1" s="1"/>
  <c r="A1380" i="2"/>
  <c r="B1380" i="2"/>
  <c r="C1380" i="2" s="1"/>
  <c r="F1380" i="2" s="1"/>
  <c r="G1380" i="2" s="1"/>
  <c r="E1385" i="1" s="1"/>
  <c r="A1372" i="2"/>
  <c r="B1372" i="2"/>
  <c r="C1372" i="2" s="1"/>
  <c r="F1372" i="2" s="1"/>
  <c r="G1372" i="2" s="1"/>
  <c r="E1377" i="1" s="1"/>
  <c r="A1364" i="2"/>
  <c r="B1364" i="2"/>
  <c r="C1364" i="2" s="1"/>
  <c r="F1364" i="2" s="1"/>
  <c r="G1364" i="2" s="1"/>
  <c r="E1369" i="1" s="1"/>
  <c r="A1356" i="2"/>
  <c r="B1356" i="2"/>
  <c r="C1356" i="2" s="1"/>
  <c r="F1356" i="2" s="1"/>
  <c r="G1356" i="2" s="1"/>
  <c r="E1361" i="1" s="1"/>
  <c r="A1348" i="2"/>
  <c r="B1348" i="2"/>
  <c r="C1348" i="2" s="1"/>
  <c r="F1348" i="2" s="1"/>
  <c r="G1348" i="2" s="1"/>
  <c r="E1353" i="1" s="1"/>
  <c r="A1340" i="2"/>
  <c r="B1340" i="2"/>
  <c r="C1340" i="2" s="1"/>
  <c r="F1340" i="2" s="1"/>
  <c r="G1340" i="2" s="1"/>
  <c r="E1345" i="1" s="1"/>
  <c r="A1332" i="2"/>
  <c r="B1332" i="2"/>
  <c r="C1332" i="2" s="1"/>
  <c r="F1332" i="2" s="1"/>
  <c r="G1332" i="2" s="1"/>
  <c r="E1337" i="1" s="1"/>
  <c r="A1324" i="2"/>
  <c r="B1324" i="2"/>
  <c r="C1324" i="2" s="1"/>
  <c r="F1324" i="2" s="1"/>
  <c r="G1324" i="2" s="1"/>
  <c r="E1329" i="1" s="1"/>
  <c r="A1316" i="2"/>
  <c r="B1316" i="2"/>
  <c r="C1316" i="2" s="1"/>
  <c r="F1316" i="2" s="1"/>
  <c r="G1316" i="2" s="1"/>
  <c r="E1321" i="1" s="1"/>
  <c r="A1308" i="2"/>
  <c r="B1308" i="2"/>
  <c r="C1308" i="2" s="1"/>
  <c r="F1308" i="2" s="1"/>
  <c r="G1308" i="2" s="1"/>
  <c r="E1313" i="1" s="1"/>
  <c r="A1300" i="2"/>
  <c r="B1300" i="2"/>
  <c r="C1300" i="2" s="1"/>
  <c r="F1300" i="2" s="1"/>
  <c r="G1300" i="2" s="1"/>
  <c r="E1305" i="1" s="1"/>
  <c r="A1292" i="2"/>
  <c r="B1292" i="2"/>
  <c r="C1292" i="2" s="1"/>
  <c r="F1292" i="2" s="1"/>
  <c r="G1292" i="2" s="1"/>
  <c r="E1297" i="1" s="1"/>
  <c r="A1284" i="2"/>
  <c r="B1284" i="2"/>
  <c r="C1284" i="2" s="1"/>
  <c r="F1284" i="2" s="1"/>
  <c r="G1284" i="2" s="1"/>
  <c r="E1289" i="1" s="1"/>
  <c r="A1276" i="2"/>
  <c r="B1276" i="2"/>
  <c r="C1276" i="2" s="1"/>
  <c r="F1276" i="2" s="1"/>
  <c r="G1276" i="2" s="1"/>
  <c r="E1281" i="1" s="1"/>
  <c r="A1268" i="2"/>
  <c r="B1268" i="2"/>
  <c r="C1268" i="2" s="1"/>
  <c r="F1268" i="2" s="1"/>
  <c r="G1268" i="2" s="1"/>
  <c r="E1273" i="1" s="1"/>
  <c r="A1260" i="2"/>
  <c r="B1260" i="2"/>
  <c r="C1260" i="2" s="1"/>
  <c r="F1260" i="2" s="1"/>
  <c r="G1260" i="2" s="1"/>
  <c r="E1265" i="1" s="1"/>
  <c r="A1252" i="2"/>
  <c r="B1252" i="2"/>
  <c r="C1252" i="2" s="1"/>
  <c r="F1252" i="2" s="1"/>
  <c r="G1252" i="2" s="1"/>
  <c r="E1257" i="1" s="1"/>
  <c r="A1244" i="2"/>
  <c r="B1244" i="2"/>
  <c r="C1244" i="2" s="1"/>
  <c r="F1244" i="2" s="1"/>
  <c r="G1244" i="2" s="1"/>
  <c r="E1249" i="1" s="1"/>
  <c r="A1236" i="2"/>
  <c r="B1236" i="2"/>
  <c r="C1236" i="2" s="1"/>
  <c r="F1236" i="2" s="1"/>
  <c r="G1236" i="2" s="1"/>
  <c r="E1241" i="1" s="1"/>
  <c r="A1228" i="2"/>
  <c r="B1228" i="2"/>
  <c r="C1228" i="2" s="1"/>
  <c r="F1228" i="2" s="1"/>
  <c r="G1228" i="2" s="1"/>
  <c r="E1233" i="1" s="1"/>
  <c r="A1220" i="2"/>
  <c r="B1220" i="2"/>
  <c r="C1220" i="2" s="1"/>
  <c r="F1220" i="2" s="1"/>
  <c r="G1220" i="2" s="1"/>
  <c r="E1225" i="1" s="1"/>
  <c r="A1212" i="2"/>
  <c r="B1212" i="2"/>
  <c r="C1212" i="2" s="1"/>
  <c r="F1212" i="2" s="1"/>
  <c r="G1212" i="2" s="1"/>
  <c r="E1217" i="1" s="1"/>
  <c r="A1204" i="2"/>
  <c r="B1204" i="2"/>
  <c r="C1204" i="2" s="1"/>
  <c r="F1204" i="2" s="1"/>
  <c r="G1204" i="2" s="1"/>
  <c r="E1209" i="1" s="1"/>
  <c r="A1196" i="2"/>
  <c r="B1196" i="2"/>
  <c r="C1196" i="2" s="1"/>
  <c r="F1196" i="2" s="1"/>
  <c r="G1196" i="2" s="1"/>
  <c r="E1201" i="1" s="1"/>
  <c r="A1188" i="2"/>
  <c r="B1188" i="2"/>
  <c r="C1188" i="2" s="1"/>
  <c r="F1188" i="2" s="1"/>
  <c r="G1188" i="2" s="1"/>
  <c r="E1193" i="1" s="1"/>
  <c r="A1180" i="2"/>
  <c r="B1180" i="2"/>
  <c r="C1180" i="2" s="1"/>
  <c r="F1180" i="2" s="1"/>
  <c r="G1180" i="2" s="1"/>
  <c r="E1185" i="1" s="1"/>
  <c r="A1172" i="2"/>
  <c r="B1172" i="2"/>
  <c r="C1172" i="2" s="1"/>
  <c r="F1172" i="2" s="1"/>
  <c r="G1172" i="2" s="1"/>
  <c r="E1177" i="1" s="1"/>
  <c r="A1164" i="2"/>
  <c r="B1164" i="2"/>
  <c r="C1164" i="2" s="1"/>
  <c r="F1164" i="2" s="1"/>
  <c r="G1164" i="2" s="1"/>
  <c r="E1169" i="1" s="1"/>
  <c r="A1156" i="2"/>
  <c r="B1156" i="2"/>
  <c r="C1156" i="2" s="1"/>
  <c r="F1156" i="2" s="1"/>
  <c r="G1156" i="2" s="1"/>
  <c r="E1161" i="1" s="1"/>
  <c r="A1148" i="2"/>
  <c r="B1148" i="2"/>
  <c r="C1148" i="2" s="1"/>
  <c r="F1148" i="2" s="1"/>
  <c r="G1148" i="2" s="1"/>
  <c r="E1153" i="1" s="1"/>
  <c r="A1140" i="2"/>
  <c r="B1140" i="2"/>
  <c r="C1140" i="2" s="1"/>
  <c r="F1140" i="2" s="1"/>
  <c r="G1140" i="2" s="1"/>
  <c r="E1145" i="1" s="1"/>
  <c r="A1132" i="2"/>
  <c r="B1132" i="2"/>
  <c r="C1132" i="2" s="1"/>
  <c r="F1132" i="2" s="1"/>
  <c r="G1132" i="2" s="1"/>
  <c r="E1137" i="1" s="1"/>
  <c r="A1124" i="2"/>
  <c r="B1124" i="2"/>
  <c r="C1124" i="2" s="1"/>
  <c r="F1124" i="2" s="1"/>
  <c r="G1124" i="2" s="1"/>
  <c r="E1129" i="1" s="1"/>
  <c r="A1116" i="2"/>
  <c r="B1116" i="2"/>
  <c r="C1116" i="2" s="1"/>
  <c r="F1116" i="2" s="1"/>
  <c r="G1116" i="2" s="1"/>
  <c r="E1121" i="1" s="1"/>
  <c r="A1108" i="2"/>
  <c r="B1108" i="2"/>
  <c r="C1108" i="2" s="1"/>
  <c r="F1108" i="2" s="1"/>
  <c r="G1108" i="2" s="1"/>
  <c r="E1113" i="1" s="1"/>
  <c r="A1100" i="2"/>
  <c r="B1100" i="2"/>
  <c r="C1100" i="2" s="1"/>
  <c r="F1100" i="2" s="1"/>
  <c r="G1100" i="2" s="1"/>
  <c r="E1105" i="1" s="1"/>
  <c r="A1092" i="2"/>
  <c r="B1092" i="2"/>
  <c r="C1092" i="2" s="1"/>
  <c r="F1092" i="2" s="1"/>
  <c r="G1092" i="2" s="1"/>
  <c r="E1097" i="1" s="1"/>
  <c r="A1084" i="2"/>
  <c r="B1084" i="2"/>
  <c r="C1084" i="2" s="1"/>
  <c r="F1084" i="2" s="1"/>
  <c r="G1084" i="2" s="1"/>
  <c r="E1089" i="1" s="1"/>
  <c r="A1076" i="2"/>
  <c r="B1076" i="2"/>
  <c r="C1076" i="2" s="1"/>
  <c r="F1076" i="2" s="1"/>
  <c r="G1076" i="2" s="1"/>
  <c r="E1081" i="1" s="1"/>
  <c r="A1068" i="2"/>
  <c r="B1068" i="2"/>
  <c r="C1068" i="2" s="1"/>
  <c r="F1068" i="2" s="1"/>
  <c r="G1068" i="2" s="1"/>
  <c r="E1073" i="1" s="1"/>
  <c r="A1060" i="2"/>
  <c r="B1060" i="2"/>
  <c r="C1060" i="2" s="1"/>
  <c r="F1060" i="2" s="1"/>
  <c r="G1060" i="2" s="1"/>
  <c r="E1065" i="1" s="1"/>
  <c r="A1052" i="2"/>
  <c r="B1052" i="2"/>
  <c r="C1052" i="2" s="1"/>
  <c r="F1052" i="2" s="1"/>
  <c r="G1052" i="2" s="1"/>
  <c r="E1057" i="1" s="1"/>
  <c r="A1044" i="2"/>
  <c r="B1044" i="2"/>
  <c r="C1044" i="2" s="1"/>
  <c r="F1044" i="2" s="1"/>
  <c r="G1044" i="2" s="1"/>
  <c r="E1049" i="1" s="1"/>
  <c r="A1036" i="2"/>
  <c r="B1036" i="2"/>
  <c r="C1036" i="2" s="1"/>
  <c r="F1036" i="2" s="1"/>
  <c r="G1036" i="2" s="1"/>
  <c r="E1041" i="1" s="1"/>
  <c r="A1028" i="2"/>
  <c r="B1028" i="2"/>
  <c r="C1028" i="2" s="1"/>
  <c r="F1028" i="2" s="1"/>
  <c r="G1028" i="2" s="1"/>
  <c r="E1033" i="1" s="1"/>
  <c r="A1020" i="2"/>
  <c r="B1020" i="2"/>
  <c r="C1020" i="2" s="1"/>
  <c r="F1020" i="2" s="1"/>
  <c r="G1020" i="2" s="1"/>
  <c r="E1025" i="1" s="1"/>
  <c r="A1012" i="2"/>
  <c r="B1012" i="2"/>
  <c r="C1012" i="2" s="1"/>
  <c r="F1012" i="2" s="1"/>
  <c r="G1012" i="2" s="1"/>
  <c r="E1017" i="1" s="1"/>
  <c r="A1004" i="2"/>
  <c r="B1004" i="2"/>
  <c r="C1004" i="2" s="1"/>
  <c r="F1004" i="2" s="1"/>
  <c r="G1004" i="2" s="1"/>
  <c r="E1009" i="1" s="1"/>
  <c r="A996" i="2"/>
  <c r="B996" i="2"/>
  <c r="C996" i="2" s="1"/>
  <c r="F996" i="2" s="1"/>
  <c r="G996" i="2" s="1"/>
  <c r="E1001" i="1" s="1"/>
  <c r="A988" i="2"/>
  <c r="B988" i="2"/>
  <c r="C988" i="2" s="1"/>
  <c r="F988" i="2" s="1"/>
  <c r="G988" i="2" s="1"/>
  <c r="E993" i="1" s="1"/>
  <c r="A980" i="2"/>
  <c r="B980" i="2"/>
  <c r="C980" i="2" s="1"/>
  <c r="F980" i="2" s="1"/>
  <c r="G980" i="2" s="1"/>
  <c r="E985" i="1" s="1"/>
  <c r="A972" i="2"/>
  <c r="B972" i="2"/>
  <c r="C972" i="2" s="1"/>
  <c r="F972" i="2" s="1"/>
  <c r="G972" i="2" s="1"/>
  <c r="E977" i="1" s="1"/>
  <c r="A964" i="2"/>
  <c r="B964" i="2"/>
  <c r="C964" i="2" s="1"/>
  <c r="F964" i="2" s="1"/>
  <c r="G964" i="2" s="1"/>
  <c r="E969" i="1" s="1"/>
  <c r="A956" i="2"/>
  <c r="B956" i="2"/>
  <c r="C956" i="2" s="1"/>
  <c r="F956" i="2" s="1"/>
  <c r="G956" i="2" s="1"/>
  <c r="E961" i="1" s="1"/>
  <c r="A948" i="2"/>
  <c r="B948" i="2"/>
  <c r="C948" i="2" s="1"/>
  <c r="F948" i="2" s="1"/>
  <c r="G948" i="2" s="1"/>
  <c r="E953" i="1" s="1"/>
  <c r="A940" i="2"/>
  <c r="B940" i="2"/>
  <c r="C940" i="2" s="1"/>
  <c r="F940" i="2" s="1"/>
  <c r="G940" i="2" s="1"/>
  <c r="E945" i="1" s="1"/>
  <c r="A932" i="2"/>
  <c r="B932" i="2"/>
  <c r="C932" i="2" s="1"/>
  <c r="F932" i="2" s="1"/>
  <c r="G932" i="2" s="1"/>
  <c r="E937" i="1" s="1"/>
  <c r="A924" i="2"/>
  <c r="B924" i="2"/>
  <c r="C924" i="2" s="1"/>
  <c r="F924" i="2" s="1"/>
  <c r="G924" i="2" s="1"/>
  <c r="E929" i="1" s="1"/>
  <c r="A916" i="2"/>
  <c r="B916" i="2"/>
  <c r="C916" i="2" s="1"/>
  <c r="F916" i="2" s="1"/>
  <c r="G916" i="2" s="1"/>
  <c r="E921" i="1" s="1"/>
  <c r="A908" i="2"/>
  <c r="B908" i="2"/>
  <c r="C908" i="2" s="1"/>
  <c r="F908" i="2" s="1"/>
  <c r="G908" i="2" s="1"/>
  <c r="E913" i="1" s="1"/>
  <c r="A900" i="2"/>
  <c r="B900" i="2"/>
  <c r="C900" i="2" s="1"/>
  <c r="F900" i="2" s="1"/>
  <c r="G900" i="2" s="1"/>
  <c r="E905" i="1" s="1"/>
  <c r="A892" i="2"/>
  <c r="B892" i="2"/>
  <c r="C892" i="2" s="1"/>
  <c r="F892" i="2" s="1"/>
  <c r="G892" i="2" s="1"/>
  <c r="E897" i="1" s="1"/>
  <c r="A884" i="2"/>
  <c r="B884" i="2"/>
  <c r="C884" i="2" s="1"/>
  <c r="F884" i="2" s="1"/>
  <c r="G884" i="2" s="1"/>
  <c r="E889" i="1" s="1"/>
  <c r="A876" i="2"/>
  <c r="B876" i="2"/>
  <c r="C876" i="2" s="1"/>
  <c r="F876" i="2" s="1"/>
  <c r="G876" i="2" s="1"/>
  <c r="E881" i="1" s="1"/>
  <c r="A868" i="2"/>
  <c r="B868" i="2"/>
  <c r="C868" i="2" s="1"/>
  <c r="F868" i="2" s="1"/>
  <c r="G868" i="2" s="1"/>
  <c r="E873" i="1" s="1"/>
  <c r="A860" i="2"/>
  <c r="B860" i="2"/>
  <c r="C860" i="2" s="1"/>
  <c r="F860" i="2" s="1"/>
  <c r="G860" i="2" s="1"/>
  <c r="E865" i="1" s="1"/>
  <c r="A852" i="2"/>
  <c r="B852" i="2"/>
  <c r="C852" i="2" s="1"/>
  <c r="F852" i="2" s="1"/>
  <c r="G852" i="2" s="1"/>
  <c r="E857" i="1" s="1"/>
  <c r="A844" i="2"/>
  <c r="B844" i="2"/>
  <c r="C844" i="2" s="1"/>
  <c r="F844" i="2" s="1"/>
  <c r="G844" i="2" s="1"/>
  <c r="E849" i="1" s="1"/>
  <c r="A836" i="2"/>
  <c r="B836" i="2"/>
  <c r="C836" i="2" s="1"/>
  <c r="F836" i="2" s="1"/>
  <c r="G836" i="2" s="1"/>
  <c r="E841" i="1" s="1"/>
  <c r="A828" i="2"/>
  <c r="B828" i="2"/>
  <c r="C828" i="2" s="1"/>
  <c r="F828" i="2" s="1"/>
  <c r="G828" i="2" s="1"/>
  <c r="E833" i="1" s="1"/>
  <c r="A820" i="2"/>
  <c r="B820" i="2"/>
  <c r="C820" i="2" s="1"/>
  <c r="F820" i="2" s="1"/>
  <c r="G820" i="2" s="1"/>
  <c r="E825" i="1" s="1"/>
  <c r="A812" i="2"/>
  <c r="B812" i="2"/>
  <c r="C812" i="2" s="1"/>
  <c r="F812" i="2" s="1"/>
  <c r="G812" i="2" s="1"/>
  <c r="E817" i="1" s="1"/>
  <c r="A804" i="2"/>
  <c r="B804" i="2"/>
  <c r="C804" i="2" s="1"/>
  <c r="F804" i="2" s="1"/>
  <c r="G804" i="2" s="1"/>
  <c r="E809" i="1" s="1"/>
  <c r="A796" i="2"/>
  <c r="B796" i="2"/>
  <c r="C796" i="2" s="1"/>
  <c r="F796" i="2" s="1"/>
  <c r="G796" i="2" s="1"/>
  <c r="E801" i="1" s="1"/>
  <c r="A788" i="2"/>
  <c r="B788" i="2"/>
  <c r="C788" i="2" s="1"/>
  <c r="F788" i="2" s="1"/>
  <c r="G788" i="2" s="1"/>
  <c r="E793" i="1" s="1"/>
  <c r="A780" i="2"/>
  <c r="B780" i="2"/>
  <c r="C780" i="2" s="1"/>
  <c r="F780" i="2" s="1"/>
  <c r="G780" i="2" s="1"/>
  <c r="E785" i="1" s="1"/>
  <c r="A772" i="2"/>
  <c r="B772" i="2"/>
  <c r="C772" i="2" s="1"/>
  <c r="F772" i="2" s="1"/>
  <c r="G772" i="2" s="1"/>
  <c r="E777" i="1" s="1"/>
  <c r="A764" i="2"/>
  <c r="B764" i="2"/>
  <c r="C764" i="2" s="1"/>
  <c r="F764" i="2" s="1"/>
  <c r="G764" i="2" s="1"/>
  <c r="E769" i="1" s="1"/>
  <c r="A756" i="2"/>
  <c r="B756" i="2"/>
  <c r="C756" i="2" s="1"/>
  <c r="F756" i="2" s="1"/>
  <c r="G756" i="2" s="1"/>
  <c r="E761" i="1" s="1"/>
  <c r="A748" i="2"/>
  <c r="B748" i="2"/>
  <c r="C748" i="2" s="1"/>
  <c r="F748" i="2" s="1"/>
  <c r="G748" i="2" s="1"/>
  <c r="E753" i="1" s="1"/>
  <c r="A740" i="2"/>
  <c r="B740" i="2"/>
  <c r="C740" i="2" s="1"/>
  <c r="F740" i="2" s="1"/>
  <c r="G740" i="2" s="1"/>
  <c r="E745" i="1" s="1"/>
  <c r="A732" i="2"/>
  <c r="B732" i="2"/>
  <c r="C732" i="2" s="1"/>
  <c r="F732" i="2" s="1"/>
  <c r="G732" i="2" s="1"/>
  <c r="E737" i="1" s="1"/>
  <c r="A724" i="2"/>
  <c r="B724" i="2"/>
  <c r="C724" i="2" s="1"/>
  <c r="F724" i="2" s="1"/>
  <c r="G724" i="2" s="1"/>
  <c r="E729" i="1" s="1"/>
  <c r="A716" i="2"/>
  <c r="B716" i="2"/>
  <c r="C716" i="2" s="1"/>
  <c r="F716" i="2" s="1"/>
  <c r="G716" i="2" s="1"/>
  <c r="E721" i="1" s="1"/>
  <c r="A708" i="2"/>
  <c r="B708" i="2"/>
  <c r="C708" i="2" s="1"/>
  <c r="F708" i="2" s="1"/>
  <c r="G708" i="2" s="1"/>
  <c r="E713" i="1" s="1"/>
  <c r="A700" i="2"/>
  <c r="B700" i="2"/>
  <c r="C700" i="2" s="1"/>
  <c r="F700" i="2" s="1"/>
  <c r="G700" i="2" s="1"/>
  <c r="E705" i="1" s="1"/>
  <c r="A692" i="2"/>
  <c r="B692" i="2"/>
  <c r="C692" i="2" s="1"/>
  <c r="F692" i="2" s="1"/>
  <c r="G692" i="2" s="1"/>
  <c r="E697" i="1" s="1"/>
  <c r="A684" i="2"/>
  <c r="B684" i="2"/>
  <c r="C684" i="2" s="1"/>
  <c r="F684" i="2" s="1"/>
  <c r="G684" i="2" s="1"/>
  <c r="E689" i="1" s="1"/>
  <c r="A676" i="2"/>
  <c r="B676" i="2"/>
  <c r="C676" i="2" s="1"/>
  <c r="F676" i="2" s="1"/>
  <c r="G676" i="2" s="1"/>
  <c r="E681" i="1" s="1"/>
  <c r="A668" i="2"/>
  <c r="B668" i="2"/>
  <c r="C668" i="2" s="1"/>
  <c r="F668" i="2" s="1"/>
  <c r="G668" i="2" s="1"/>
  <c r="E673" i="1" s="1"/>
  <c r="A660" i="2"/>
  <c r="B660" i="2"/>
  <c r="C660" i="2" s="1"/>
  <c r="F660" i="2" s="1"/>
  <c r="G660" i="2" s="1"/>
  <c r="E665" i="1" s="1"/>
  <c r="A652" i="2"/>
  <c r="B652" i="2"/>
  <c r="C652" i="2" s="1"/>
  <c r="F652" i="2" s="1"/>
  <c r="G652" i="2" s="1"/>
  <c r="E657" i="1" s="1"/>
  <c r="A644" i="2"/>
  <c r="B644" i="2"/>
  <c r="C644" i="2" s="1"/>
  <c r="F644" i="2" s="1"/>
  <c r="G644" i="2" s="1"/>
  <c r="E649" i="1" s="1"/>
  <c r="A636" i="2"/>
  <c r="B636" i="2"/>
  <c r="C636" i="2" s="1"/>
  <c r="F636" i="2" s="1"/>
  <c r="G636" i="2" s="1"/>
  <c r="E641" i="1" s="1"/>
  <c r="A628" i="2"/>
  <c r="B628" i="2"/>
  <c r="C628" i="2" s="1"/>
  <c r="F628" i="2" s="1"/>
  <c r="G628" i="2" s="1"/>
  <c r="E633" i="1" s="1"/>
  <c r="A620" i="2"/>
  <c r="B620" i="2"/>
  <c r="C620" i="2" s="1"/>
  <c r="F620" i="2" s="1"/>
  <c r="G620" i="2" s="1"/>
  <c r="E625" i="1" s="1"/>
  <c r="A612" i="2"/>
  <c r="B612" i="2"/>
  <c r="C612" i="2" s="1"/>
  <c r="F612" i="2" s="1"/>
  <c r="G612" i="2" s="1"/>
  <c r="E617" i="1" s="1"/>
  <c r="A604" i="2"/>
  <c r="B604" i="2"/>
  <c r="C604" i="2" s="1"/>
  <c r="F604" i="2" s="1"/>
  <c r="G604" i="2" s="1"/>
  <c r="E609" i="1" s="1"/>
  <c r="A596" i="2"/>
  <c r="B596" i="2"/>
  <c r="C596" i="2" s="1"/>
  <c r="F596" i="2" s="1"/>
  <c r="G596" i="2" s="1"/>
  <c r="E601" i="1" s="1"/>
  <c r="A588" i="2"/>
  <c r="B588" i="2"/>
  <c r="C588" i="2" s="1"/>
  <c r="F588" i="2" s="1"/>
  <c r="G588" i="2" s="1"/>
  <c r="E593" i="1" s="1"/>
  <c r="A580" i="2"/>
  <c r="B580" i="2"/>
  <c r="C580" i="2" s="1"/>
  <c r="F580" i="2" s="1"/>
  <c r="G580" i="2" s="1"/>
  <c r="E585" i="1" s="1"/>
  <c r="A572" i="2"/>
  <c r="B572" i="2"/>
  <c r="C572" i="2" s="1"/>
  <c r="F572" i="2" s="1"/>
  <c r="G572" i="2" s="1"/>
  <c r="E577" i="1" s="1"/>
  <c r="A564" i="2"/>
  <c r="B564" i="2"/>
  <c r="C564" i="2" s="1"/>
  <c r="F564" i="2" s="1"/>
  <c r="G564" i="2" s="1"/>
  <c r="E569" i="1" s="1"/>
  <c r="A556" i="2"/>
  <c r="B556" i="2"/>
  <c r="C556" i="2" s="1"/>
  <c r="F556" i="2" s="1"/>
  <c r="G556" i="2" s="1"/>
  <c r="E561" i="1" s="1"/>
  <c r="A548" i="2"/>
  <c r="B548" i="2"/>
  <c r="C548" i="2" s="1"/>
  <c r="F548" i="2" s="1"/>
  <c r="G548" i="2" s="1"/>
  <c r="E553" i="1" s="1"/>
  <c r="A540" i="2"/>
  <c r="B540" i="2"/>
  <c r="C540" i="2" s="1"/>
  <c r="F540" i="2" s="1"/>
  <c r="G540" i="2" s="1"/>
  <c r="E545" i="1" s="1"/>
  <c r="A532" i="2"/>
  <c r="B532" i="2"/>
  <c r="C532" i="2" s="1"/>
  <c r="F532" i="2" s="1"/>
  <c r="G532" i="2" s="1"/>
  <c r="E537" i="1" s="1"/>
  <c r="A524" i="2"/>
  <c r="B524" i="2"/>
  <c r="C524" i="2" s="1"/>
  <c r="F524" i="2" s="1"/>
  <c r="G524" i="2" s="1"/>
  <c r="E529" i="1" s="1"/>
  <c r="A516" i="2"/>
  <c r="B516" i="2"/>
  <c r="C516" i="2" s="1"/>
  <c r="F516" i="2" s="1"/>
  <c r="G516" i="2" s="1"/>
  <c r="E521" i="1" s="1"/>
  <c r="A508" i="2"/>
  <c r="B508" i="2"/>
  <c r="C508" i="2" s="1"/>
  <c r="F508" i="2" s="1"/>
  <c r="G508" i="2" s="1"/>
  <c r="E513" i="1" s="1"/>
  <c r="A500" i="2"/>
  <c r="B500" i="2"/>
  <c r="C500" i="2" s="1"/>
  <c r="F500" i="2" s="1"/>
  <c r="G500" i="2" s="1"/>
  <c r="E505" i="1" s="1"/>
  <c r="A492" i="2"/>
  <c r="B492" i="2"/>
  <c r="C492" i="2" s="1"/>
  <c r="F492" i="2" s="1"/>
  <c r="G492" i="2" s="1"/>
  <c r="E497" i="1" s="1"/>
  <c r="A484" i="2"/>
  <c r="B484" i="2"/>
  <c r="C484" i="2" s="1"/>
  <c r="F484" i="2" s="1"/>
  <c r="G484" i="2" s="1"/>
  <c r="E489" i="1" s="1"/>
  <c r="A476" i="2"/>
  <c r="B476" i="2"/>
  <c r="C476" i="2" s="1"/>
  <c r="F476" i="2" s="1"/>
  <c r="G476" i="2" s="1"/>
  <c r="E481" i="1" s="1"/>
  <c r="A468" i="2"/>
  <c r="B468" i="2"/>
  <c r="C468" i="2" s="1"/>
  <c r="F468" i="2" s="1"/>
  <c r="G468" i="2" s="1"/>
  <c r="E473" i="1" s="1"/>
  <c r="A460" i="2"/>
  <c r="B460" i="2"/>
  <c r="C460" i="2" s="1"/>
  <c r="F460" i="2" s="1"/>
  <c r="G460" i="2" s="1"/>
  <c r="E465" i="1" s="1"/>
  <c r="A452" i="2"/>
  <c r="B452" i="2"/>
  <c r="C452" i="2" s="1"/>
  <c r="F452" i="2" s="1"/>
  <c r="G452" i="2" s="1"/>
  <c r="E457" i="1" s="1"/>
  <c r="A444" i="2"/>
  <c r="B444" i="2"/>
  <c r="C444" i="2" s="1"/>
  <c r="F444" i="2" s="1"/>
  <c r="G444" i="2" s="1"/>
  <c r="E449" i="1" s="1"/>
  <c r="A436" i="2"/>
  <c r="B436" i="2"/>
  <c r="C436" i="2" s="1"/>
  <c r="F436" i="2" s="1"/>
  <c r="G436" i="2" s="1"/>
  <c r="E441" i="1" s="1"/>
  <c r="A428" i="2"/>
  <c r="B428" i="2"/>
  <c r="C428" i="2" s="1"/>
  <c r="F428" i="2" s="1"/>
  <c r="G428" i="2" s="1"/>
  <c r="E433" i="1" s="1"/>
  <c r="A420" i="2"/>
  <c r="B420" i="2"/>
  <c r="C420" i="2" s="1"/>
  <c r="F420" i="2" s="1"/>
  <c r="G420" i="2" s="1"/>
  <c r="E425" i="1" s="1"/>
  <c r="A412" i="2"/>
  <c r="B412" i="2"/>
  <c r="C412" i="2" s="1"/>
  <c r="F412" i="2" s="1"/>
  <c r="G412" i="2" s="1"/>
  <c r="E417" i="1" s="1"/>
  <c r="A404" i="2"/>
  <c r="B404" i="2"/>
  <c r="C404" i="2" s="1"/>
  <c r="F404" i="2" s="1"/>
  <c r="G404" i="2" s="1"/>
  <c r="E409" i="1" s="1"/>
  <c r="A396" i="2"/>
  <c r="B396" i="2"/>
  <c r="C396" i="2" s="1"/>
  <c r="F396" i="2" s="1"/>
  <c r="G396" i="2" s="1"/>
  <c r="E401" i="1" s="1"/>
  <c r="A388" i="2"/>
  <c r="B388" i="2"/>
  <c r="C388" i="2" s="1"/>
  <c r="F388" i="2" s="1"/>
  <c r="G388" i="2" s="1"/>
  <c r="E393" i="1" s="1"/>
  <c r="A380" i="2"/>
  <c r="B380" i="2"/>
  <c r="C380" i="2" s="1"/>
  <c r="F380" i="2" s="1"/>
  <c r="G380" i="2" s="1"/>
  <c r="E385" i="1" s="1"/>
  <c r="A372" i="2"/>
  <c r="B372" i="2"/>
  <c r="C372" i="2" s="1"/>
  <c r="F372" i="2" s="1"/>
  <c r="G372" i="2" s="1"/>
  <c r="E377" i="1" s="1"/>
  <c r="A364" i="2"/>
  <c r="B364" i="2"/>
  <c r="C364" i="2" s="1"/>
  <c r="F364" i="2" s="1"/>
  <c r="G364" i="2" s="1"/>
  <c r="E369" i="1" s="1"/>
  <c r="A356" i="2"/>
  <c r="B356" i="2"/>
  <c r="C356" i="2" s="1"/>
  <c r="F356" i="2" s="1"/>
  <c r="G356" i="2" s="1"/>
  <c r="E361" i="1" s="1"/>
  <c r="A348" i="2"/>
  <c r="B348" i="2"/>
  <c r="C348" i="2" s="1"/>
  <c r="F348" i="2" s="1"/>
  <c r="G348" i="2" s="1"/>
  <c r="E353" i="1" s="1"/>
  <c r="A340" i="2"/>
  <c r="B340" i="2"/>
  <c r="C340" i="2" s="1"/>
  <c r="F340" i="2" s="1"/>
  <c r="G340" i="2" s="1"/>
  <c r="E345" i="1" s="1"/>
  <c r="A332" i="2"/>
  <c r="B332" i="2"/>
  <c r="C332" i="2" s="1"/>
  <c r="F332" i="2" s="1"/>
  <c r="G332" i="2" s="1"/>
  <c r="E337" i="1" s="1"/>
  <c r="A324" i="2"/>
  <c r="B324" i="2"/>
  <c r="C324" i="2" s="1"/>
  <c r="F324" i="2" s="1"/>
  <c r="G324" i="2" s="1"/>
  <c r="E329" i="1" s="1"/>
  <c r="A316" i="2"/>
  <c r="B316" i="2"/>
  <c r="C316" i="2" s="1"/>
  <c r="F316" i="2" s="1"/>
  <c r="G316" i="2" s="1"/>
  <c r="E321" i="1" s="1"/>
  <c r="A308" i="2"/>
  <c r="B308" i="2"/>
  <c r="C308" i="2" s="1"/>
  <c r="F308" i="2" s="1"/>
  <c r="G308" i="2" s="1"/>
  <c r="E313" i="1" s="1"/>
  <c r="A300" i="2"/>
  <c r="B300" i="2"/>
  <c r="C300" i="2" s="1"/>
  <c r="F300" i="2" s="1"/>
  <c r="G300" i="2" s="1"/>
  <c r="E305" i="1" s="1"/>
  <c r="A292" i="2"/>
  <c r="B292" i="2"/>
  <c r="C292" i="2" s="1"/>
  <c r="F292" i="2" s="1"/>
  <c r="G292" i="2" s="1"/>
  <c r="E297" i="1" s="1"/>
  <c r="A284" i="2"/>
  <c r="B284" i="2"/>
  <c r="C284" i="2" s="1"/>
  <c r="F284" i="2" s="1"/>
  <c r="G284" i="2" s="1"/>
  <c r="E289" i="1" s="1"/>
  <c r="A276" i="2"/>
  <c r="B276" i="2"/>
  <c r="C276" i="2" s="1"/>
  <c r="F276" i="2" s="1"/>
  <c r="G276" i="2" s="1"/>
  <c r="E281" i="1" s="1"/>
  <c r="A268" i="2"/>
  <c r="B268" i="2"/>
  <c r="C268" i="2" s="1"/>
  <c r="F268" i="2" s="1"/>
  <c r="G268" i="2" s="1"/>
  <c r="E273" i="1" s="1"/>
  <c r="A260" i="2"/>
  <c r="B260" i="2"/>
  <c r="C260" i="2" s="1"/>
  <c r="F260" i="2" s="1"/>
  <c r="G260" i="2" s="1"/>
  <c r="E265" i="1" s="1"/>
  <c r="A252" i="2"/>
  <c r="B252" i="2"/>
  <c r="C252" i="2" s="1"/>
  <c r="F252" i="2" s="1"/>
  <c r="G252" i="2" s="1"/>
  <c r="E257" i="1" s="1"/>
  <c r="A244" i="2"/>
  <c r="B244" i="2"/>
  <c r="C244" i="2" s="1"/>
  <c r="F244" i="2" s="1"/>
  <c r="G244" i="2" s="1"/>
  <c r="E249" i="1" s="1"/>
  <c r="A236" i="2"/>
  <c r="B236" i="2"/>
  <c r="C236" i="2" s="1"/>
  <c r="F236" i="2" s="1"/>
  <c r="G236" i="2" s="1"/>
  <c r="E241" i="1" s="1"/>
  <c r="A228" i="2"/>
  <c r="B228" i="2"/>
  <c r="C228" i="2" s="1"/>
  <c r="F228" i="2" s="1"/>
  <c r="G228" i="2" s="1"/>
  <c r="E233" i="1" s="1"/>
  <c r="A220" i="2"/>
  <c r="B220" i="2"/>
  <c r="C220" i="2" s="1"/>
  <c r="F220" i="2" s="1"/>
  <c r="G220" i="2" s="1"/>
  <c r="E225" i="1" s="1"/>
  <c r="A212" i="2"/>
  <c r="B212" i="2"/>
  <c r="C212" i="2" s="1"/>
  <c r="F212" i="2" s="1"/>
  <c r="G212" i="2" s="1"/>
  <c r="E217" i="1" s="1"/>
  <c r="A204" i="2"/>
  <c r="B204" i="2"/>
  <c r="C204" i="2" s="1"/>
  <c r="F204" i="2" s="1"/>
  <c r="G204" i="2" s="1"/>
  <c r="E209" i="1" s="1"/>
  <c r="A196" i="2"/>
  <c r="B196" i="2"/>
  <c r="C196" i="2" s="1"/>
  <c r="F196" i="2" s="1"/>
  <c r="G196" i="2" s="1"/>
  <c r="E201" i="1" s="1"/>
  <c r="A188" i="2"/>
  <c r="B188" i="2"/>
  <c r="C188" i="2" s="1"/>
  <c r="F188" i="2" s="1"/>
  <c r="G188" i="2" s="1"/>
  <c r="E193" i="1" s="1"/>
  <c r="A180" i="2"/>
  <c r="B180" i="2"/>
  <c r="C180" i="2" s="1"/>
  <c r="F180" i="2" s="1"/>
  <c r="G180" i="2" s="1"/>
  <c r="E185" i="1" s="1"/>
  <c r="A172" i="2"/>
  <c r="B172" i="2"/>
  <c r="C172" i="2" s="1"/>
  <c r="F172" i="2" s="1"/>
  <c r="G172" i="2" s="1"/>
  <c r="E177" i="1" s="1"/>
  <c r="A164" i="2"/>
  <c r="B164" i="2"/>
  <c r="C164" i="2" s="1"/>
  <c r="F164" i="2" s="1"/>
  <c r="G164" i="2" s="1"/>
  <c r="E169" i="1" s="1"/>
  <c r="A156" i="2"/>
  <c r="B156" i="2"/>
  <c r="C156" i="2" s="1"/>
  <c r="F156" i="2" s="1"/>
  <c r="G156" i="2" s="1"/>
  <c r="E161" i="1" s="1"/>
  <c r="A148" i="2"/>
  <c r="B148" i="2"/>
  <c r="C148" i="2" s="1"/>
  <c r="F148" i="2" s="1"/>
  <c r="G148" i="2" s="1"/>
  <c r="E153" i="1" s="1"/>
  <c r="A140" i="2"/>
  <c r="B140" i="2"/>
  <c r="C140" i="2" s="1"/>
  <c r="F140" i="2" s="1"/>
  <c r="G140" i="2" s="1"/>
  <c r="E145" i="1" s="1"/>
  <c r="A132" i="2"/>
  <c r="B132" i="2"/>
  <c r="C132" i="2" s="1"/>
  <c r="F132" i="2" s="1"/>
  <c r="G132" i="2" s="1"/>
  <c r="E137" i="1" s="1"/>
  <c r="A124" i="2"/>
  <c r="B124" i="2"/>
  <c r="C124" i="2" s="1"/>
  <c r="F124" i="2" s="1"/>
  <c r="G124" i="2" s="1"/>
  <c r="E129" i="1" s="1"/>
  <c r="A116" i="2"/>
  <c r="B116" i="2"/>
  <c r="C116" i="2" s="1"/>
  <c r="F116" i="2" s="1"/>
  <c r="G116" i="2" s="1"/>
  <c r="E121" i="1" s="1"/>
  <c r="A108" i="2"/>
  <c r="B108" i="2"/>
  <c r="C108" i="2" s="1"/>
  <c r="F108" i="2" s="1"/>
  <c r="G108" i="2" s="1"/>
  <c r="E113" i="1" s="1"/>
  <c r="A100" i="2"/>
  <c r="B100" i="2"/>
  <c r="C100" i="2" s="1"/>
  <c r="F100" i="2" s="1"/>
  <c r="G100" i="2" s="1"/>
  <c r="E105" i="1" s="1"/>
  <c r="A92" i="2"/>
  <c r="B92" i="2"/>
  <c r="C92" i="2" s="1"/>
  <c r="F92" i="2" s="1"/>
  <c r="G92" i="2" s="1"/>
  <c r="E97" i="1" s="1"/>
  <c r="A84" i="2"/>
  <c r="B84" i="2"/>
  <c r="C84" i="2" s="1"/>
  <c r="F84" i="2" s="1"/>
  <c r="G84" i="2" s="1"/>
  <c r="E89" i="1" s="1"/>
  <c r="A76" i="2"/>
  <c r="B76" i="2"/>
  <c r="C76" i="2" s="1"/>
  <c r="F76" i="2" s="1"/>
  <c r="G76" i="2" s="1"/>
  <c r="E81" i="1" s="1"/>
  <c r="A68" i="2"/>
  <c r="B68" i="2"/>
  <c r="C68" i="2" s="1"/>
  <c r="A60" i="2"/>
  <c r="B60" i="2"/>
  <c r="C60" i="2" s="1"/>
  <c r="F60" i="2" s="1"/>
  <c r="G60" i="2" s="1"/>
  <c r="E65" i="1" s="1"/>
  <c r="A52" i="2"/>
  <c r="B52" i="2"/>
  <c r="C52" i="2" s="1"/>
  <c r="A44" i="2"/>
  <c r="B44" i="2"/>
  <c r="C44" i="2" s="1"/>
  <c r="F44" i="2" s="1"/>
  <c r="G44" i="2" s="1"/>
  <c r="E49" i="1" s="1"/>
  <c r="A36" i="2"/>
  <c r="B36" i="2"/>
  <c r="C36" i="2" s="1"/>
  <c r="F36" i="2" s="1"/>
  <c r="G36" i="2" s="1"/>
  <c r="E41" i="1" s="1"/>
  <c r="A28" i="2"/>
  <c r="B28" i="2"/>
  <c r="C28" i="2" s="1"/>
  <c r="F28" i="2" s="1"/>
  <c r="G28" i="2" s="1"/>
  <c r="E33" i="1" s="1"/>
  <c r="A20" i="2"/>
  <c r="B20" i="2"/>
  <c r="C20" i="2" s="1"/>
  <c r="F20" i="2" s="1"/>
  <c r="G20" i="2" s="1"/>
  <c r="E25" i="1" s="1"/>
  <c r="A12" i="2"/>
  <c r="B12" i="2"/>
  <c r="C12" i="2" s="1"/>
  <c r="F12" i="2" s="1"/>
  <c r="G12" i="2" s="1"/>
  <c r="E17" i="1" s="1"/>
  <c r="A7" i="2"/>
  <c r="B7" i="2"/>
  <c r="C7" i="2" s="1"/>
  <c r="F7" i="2" s="1"/>
  <c r="G7" i="2" s="1"/>
  <c r="E12" i="1" s="1"/>
  <c r="A3995" i="2"/>
  <c r="B3995" i="2"/>
  <c r="C3995" i="2" s="1"/>
  <c r="F3995" i="2" s="1"/>
  <c r="G3995" i="2" s="1"/>
  <c r="E4000" i="1" s="1"/>
  <c r="A3987" i="2"/>
  <c r="B3987" i="2"/>
  <c r="C3987" i="2" s="1"/>
  <c r="F3987" i="2" s="1"/>
  <c r="G3987" i="2" s="1"/>
  <c r="E3992" i="1" s="1"/>
  <c r="A3979" i="2"/>
  <c r="B3979" i="2"/>
  <c r="C3979" i="2" s="1"/>
  <c r="F3979" i="2" s="1"/>
  <c r="G3979" i="2" s="1"/>
  <c r="E3984" i="1" s="1"/>
  <c r="A3971" i="2"/>
  <c r="B3971" i="2"/>
  <c r="C3971" i="2" s="1"/>
  <c r="F3971" i="2" s="1"/>
  <c r="G3971" i="2" s="1"/>
  <c r="E3976" i="1" s="1"/>
  <c r="A3963" i="2"/>
  <c r="B3963" i="2"/>
  <c r="C3963" i="2" s="1"/>
  <c r="F3963" i="2" s="1"/>
  <c r="G3963" i="2" s="1"/>
  <c r="E3968" i="1" s="1"/>
  <c r="A3955" i="2"/>
  <c r="B3955" i="2"/>
  <c r="C3955" i="2" s="1"/>
  <c r="F3955" i="2" s="1"/>
  <c r="G3955" i="2" s="1"/>
  <c r="E3960" i="1" s="1"/>
  <c r="A3947" i="2"/>
  <c r="B3947" i="2"/>
  <c r="C3947" i="2" s="1"/>
  <c r="F3947" i="2" s="1"/>
  <c r="G3947" i="2" s="1"/>
  <c r="E3952" i="1" s="1"/>
  <c r="A3939" i="2"/>
  <c r="B3939" i="2"/>
  <c r="C3939" i="2" s="1"/>
  <c r="F3939" i="2" s="1"/>
  <c r="G3939" i="2" s="1"/>
  <c r="E3944" i="1" s="1"/>
  <c r="A3931" i="2"/>
  <c r="B3931" i="2"/>
  <c r="C3931" i="2" s="1"/>
  <c r="F3931" i="2" s="1"/>
  <c r="G3931" i="2" s="1"/>
  <c r="E3936" i="1" s="1"/>
  <c r="A3923" i="2"/>
  <c r="B3923" i="2"/>
  <c r="C3923" i="2" s="1"/>
  <c r="F3923" i="2" s="1"/>
  <c r="G3923" i="2" s="1"/>
  <c r="E3928" i="1" s="1"/>
  <c r="A3915" i="2"/>
  <c r="B3915" i="2"/>
  <c r="C3915" i="2" s="1"/>
  <c r="F3915" i="2" s="1"/>
  <c r="G3915" i="2" s="1"/>
  <c r="E3920" i="1" s="1"/>
  <c r="A3907" i="2"/>
  <c r="B3907" i="2"/>
  <c r="C3907" i="2" s="1"/>
  <c r="F3907" i="2" s="1"/>
  <c r="G3907" i="2" s="1"/>
  <c r="E3912" i="1" s="1"/>
  <c r="A3899" i="2"/>
  <c r="B3899" i="2"/>
  <c r="C3899" i="2" s="1"/>
  <c r="F3899" i="2" s="1"/>
  <c r="G3899" i="2" s="1"/>
  <c r="E3904" i="1" s="1"/>
  <c r="A3891" i="2"/>
  <c r="B3891" i="2"/>
  <c r="C3891" i="2" s="1"/>
  <c r="F3891" i="2" s="1"/>
  <c r="G3891" i="2" s="1"/>
  <c r="E3896" i="1" s="1"/>
  <c r="A3883" i="2"/>
  <c r="B3883" i="2"/>
  <c r="C3883" i="2" s="1"/>
  <c r="F3883" i="2" s="1"/>
  <c r="G3883" i="2" s="1"/>
  <c r="E3888" i="1" s="1"/>
  <c r="A3875" i="2"/>
  <c r="B3875" i="2"/>
  <c r="C3875" i="2" s="1"/>
  <c r="F3875" i="2" s="1"/>
  <c r="G3875" i="2" s="1"/>
  <c r="E3880" i="1" s="1"/>
  <c r="A3867" i="2"/>
  <c r="B3867" i="2"/>
  <c r="C3867" i="2" s="1"/>
  <c r="F3867" i="2" s="1"/>
  <c r="G3867" i="2" s="1"/>
  <c r="E3872" i="1" s="1"/>
  <c r="A3859" i="2"/>
  <c r="B3859" i="2"/>
  <c r="C3859" i="2" s="1"/>
  <c r="F3859" i="2" s="1"/>
  <c r="G3859" i="2" s="1"/>
  <c r="E3864" i="1" s="1"/>
  <c r="A3851" i="2"/>
  <c r="B3851" i="2"/>
  <c r="C3851" i="2" s="1"/>
  <c r="F3851" i="2" s="1"/>
  <c r="G3851" i="2" s="1"/>
  <c r="E3856" i="1" s="1"/>
  <c r="A3843" i="2"/>
  <c r="B3843" i="2"/>
  <c r="C3843" i="2" s="1"/>
  <c r="F3843" i="2" s="1"/>
  <c r="G3843" i="2" s="1"/>
  <c r="E3848" i="1" s="1"/>
  <c r="A3835" i="2"/>
  <c r="B3835" i="2"/>
  <c r="C3835" i="2" s="1"/>
  <c r="F3835" i="2" s="1"/>
  <c r="G3835" i="2" s="1"/>
  <c r="E3840" i="1" s="1"/>
  <c r="A3827" i="2"/>
  <c r="B3827" i="2"/>
  <c r="C3827" i="2" s="1"/>
  <c r="F3827" i="2" s="1"/>
  <c r="G3827" i="2" s="1"/>
  <c r="E3832" i="1" s="1"/>
  <c r="A3819" i="2"/>
  <c r="B3819" i="2"/>
  <c r="C3819" i="2" s="1"/>
  <c r="F3819" i="2" s="1"/>
  <c r="G3819" i="2" s="1"/>
  <c r="E3824" i="1" s="1"/>
  <c r="A3811" i="2"/>
  <c r="B3811" i="2"/>
  <c r="C3811" i="2" s="1"/>
  <c r="F3811" i="2" s="1"/>
  <c r="G3811" i="2" s="1"/>
  <c r="E3816" i="1" s="1"/>
  <c r="A3803" i="2"/>
  <c r="B3803" i="2"/>
  <c r="C3803" i="2" s="1"/>
  <c r="F3803" i="2" s="1"/>
  <c r="G3803" i="2" s="1"/>
  <c r="E3808" i="1" s="1"/>
  <c r="A3795" i="2"/>
  <c r="B3795" i="2"/>
  <c r="C3795" i="2" s="1"/>
  <c r="F3795" i="2" s="1"/>
  <c r="G3795" i="2" s="1"/>
  <c r="E3800" i="1" s="1"/>
  <c r="A3787" i="2"/>
  <c r="B3787" i="2"/>
  <c r="C3787" i="2" s="1"/>
  <c r="F3787" i="2" s="1"/>
  <c r="G3787" i="2" s="1"/>
  <c r="E3792" i="1" s="1"/>
  <c r="A3779" i="2"/>
  <c r="B3779" i="2"/>
  <c r="C3779" i="2" s="1"/>
  <c r="F3779" i="2" s="1"/>
  <c r="G3779" i="2" s="1"/>
  <c r="E3784" i="1" s="1"/>
  <c r="A3771" i="2"/>
  <c r="B3771" i="2"/>
  <c r="C3771" i="2" s="1"/>
  <c r="F3771" i="2" s="1"/>
  <c r="G3771" i="2" s="1"/>
  <c r="E3776" i="1" s="1"/>
  <c r="A3763" i="2"/>
  <c r="B3763" i="2"/>
  <c r="C3763" i="2" s="1"/>
  <c r="F3763" i="2" s="1"/>
  <c r="G3763" i="2" s="1"/>
  <c r="E3768" i="1" s="1"/>
  <c r="A3755" i="2"/>
  <c r="B3755" i="2"/>
  <c r="C3755" i="2" s="1"/>
  <c r="F3755" i="2" s="1"/>
  <c r="G3755" i="2" s="1"/>
  <c r="E3760" i="1" s="1"/>
  <c r="A3747" i="2"/>
  <c r="B3747" i="2"/>
  <c r="C3747" i="2" s="1"/>
  <c r="F3747" i="2" s="1"/>
  <c r="G3747" i="2" s="1"/>
  <c r="E3752" i="1" s="1"/>
  <c r="A3739" i="2"/>
  <c r="B3739" i="2"/>
  <c r="C3739" i="2" s="1"/>
  <c r="F3739" i="2" s="1"/>
  <c r="G3739" i="2" s="1"/>
  <c r="E3744" i="1" s="1"/>
  <c r="A3731" i="2"/>
  <c r="B3731" i="2"/>
  <c r="C3731" i="2" s="1"/>
  <c r="F3731" i="2" s="1"/>
  <c r="G3731" i="2" s="1"/>
  <c r="E3736" i="1" s="1"/>
  <c r="A3723" i="2"/>
  <c r="B3723" i="2"/>
  <c r="C3723" i="2" s="1"/>
  <c r="F3723" i="2" s="1"/>
  <c r="G3723" i="2" s="1"/>
  <c r="E3728" i="1" s="1"/>
  <c r="A3715" i="2"/>
  <c r="B3715" i="2"/>
  <c r="C3715" i="2" s="1"/>
  <c r="F3715" i="2" s="1"/>
  <c r="G3715" i="2" s="1"/>
  <c r="E3720" i="1" s="1"/>
  <c r="A3707" i="2"/>
  <c r="B3707" i="2"/>
  <c r="C3707" i="2" s="1"/>
  <c r="F3707" i="2" s="1"/>
  <c r="G3707" i="2" s="1"/>
  <c r="E3712" i="1" s="1"/>
  <c r="A3699" i="2"/>
  <c r="B3699" i="2"/>
  <c r="C3699" i="2" s="1"/>
  <c r="F3699" i="2" s="1"/>
  <c r="G3699" i="2" s="1"/>
  <c r="E3704" i="1" s="1"/>
  <c r="A3691" i="2"/>
  <c r="B3691" i="2"/>
  <c r="C3691" i="2" s="1"/>
  <c r="F3691" i="2" s="1"/>
  <c r="G3691" i="2" s="1"/>
  <c r="E3696" i="1" s="1"/>
  <c r="A3683" i="2"/>
  <c r="B3683" i="2"/>
  <c r="C3683" i="2" s="1"/>
  <c r="F3683" i="2" s="1"/>
  <c r="G3683" i="2" s="1"/>
  <c r="E3688" i="1" s="1"/>
  <c r="A3675" i="2"/>
  <c r="B3675" i="2"/>
  <c r="C3675" i="2" s="1"/>
  <c r="F3675" i="2" s="1"/>
  <c r="G3675" i="2" s="1"/>
  <c r="E3680" i="1" s="1"/>
  <c r="A3667" i="2"/>
  <c r="B3667" i="2"/>
  <c r="C3667" i="2" s="1"/>
  <c r="F3667" i="2" s="1"/>
  <c r="G3667" i="2" s="1"/>
  <c r="E3672" i="1" s="1"/>
  <c r="A3659" i="2"/>
  <c r="B3659" i="2"/>
  <c r="C3659" i="2" s="1"/>
  <c r="F3659" i="2" s="1"/>
  <c r="G3659" i="2" s="1"/>
  <c r="E3664" i="1" s="1"/>
  <c r="A3651" i="2"/>
  <c r="B3651" i="2"/>
  <c r="C3651" i="2" s="1"/>
  <c r="F3651" i="2" s="1"/>
  <c r="G3651" i="2" s="1"/>
  <c r="E3656" i="1" s="1"/>
  <c r="A3643" i="2"/>
  <c r="B3643" i="2"/>
  <c r="C3643" i="2" s="1"/>
  <c r="F3643" i="2" s="1"/>
  <c r="G3643" i="2" s="1"/>
  <c r="E3648" i="1" s="1"/>
  <c r="A3635" i="2"/>
  <c r="B3635" i="2"/>
  <c r="C3635" i="2" s="1"/>
  <c r="F3635" i="2" s="1"/>
  <c r="G3635" i="2" s="1"/>
  <c r="E3640" i="1" s="1"/>
  <c r="A3627" i="2"/>
  <c r="B3627" i="2"/>
  <c r="C3627" i="2" s="1"/>
  <c r="F3627" i="2" s="1"/>
  <c r="G3627" i="2" s="1"/>
  <c r="E3632" i="1" s="1"/>
  <c r="A3619" i="2"/>
  <c r="B3619" i="2"/>
  <c r="C3619" i="2" s="1"/>
  <c r="F3619" i="2" s="1"/>
  <c r="G3619" i="2" s="1"/>
  <c r="E3624" i="1" s="1"/>
  <c r="A3611" i="2"/>
  <c r="B3611" i="2"/>
  <c r="C3611" i="2" s="1"/>
  <c r="F3611" i="2" s="1"/>
  <c r="G3611" i="2" s="1"/>
  <c r="E3616" i="1" s="1"/>
  <c r="A3603" i="2"/>
  <c r="B3603" i="2"/>
  <c r="C3603" i="2" s="1"/>
  <c r="F3603" i="2" s="1"/>
  <c r="G3603" i="2" s="1"/>
  <c r="E3608" i="1" s="1"/>
  <c r="A3595" i="2"/>
  <c r="B3595" i="2"/>
  <c r="C3595" i="2" s="1"/>
  <c r="F3595" i="2" s="1"/>
  <c r="G3595" i="2" s="1"/>
  <c r="E3600" i="1" s="1"/>
  <c r="A3587" i="2"/>
  <c r="B3587" i="2"/>
  <c r="C3587" i="2" s="1"/>
  <c r="F3587" i="2" s="1"/>
  <c r="G3587" i="2" s="1"/>
  <c r="E3592" i="1" s="1"/>
  <c r="A3579" i="2"/>
  <c r="B3579" i="2"/>
  <c r="C3579" i="2" s="1"/>
  <c r="F3579" i="2" s="1"/>
  <c r="G3579" i="2" s="1"/>
  <c r="E3584" i="1" s="1"/>
  <c r="A3571" i="2"/>
  <c r="B3571" i="2"/>
  <c r="C3571" i="2" s="1"/>
  <c r="F3571" i="2" s="1"/>
  <c r="G3571" i="2" s="1"/>
  <c r="E3576" i="1" s="1"/>
  <c r="A3563" i="2"/>
  <c r="B3563" i="2"/>
  <c r="C3563" i="2" s="1"/>
  <c r="F3563" i="2" s="1"/>
  <c r="G3563" i="2" s="1"/>
  <c r="E3568" i="1" s="1"/>
  <c r="A3555" i="2"/>
  <c r="B3555" i="2"/>
  <c r="C3555" i="2" s="1"/>
  <c r="F3555" i="2" s="1"/>
  <c r="G3555" i="2" s="1"/>
  <c r="E3560" i="1" s="1"/>
  <c r="A3547" i="2"/>
  <c r="B3547" i="2"/>
  <c r="C3547" i="2" s="1"/>
  <c r="F3547" i="2" s="1"/>
  <c r="G3547" i="2" s="1"/>
  <c r="E3552" i="1" s="1"/>
  <c r="A3539" i="2"/>
  <c r="B3539" i="2"/>
  <c r="C3539" i="2" s="1"/>
  <c r="F3539" i="2" s="1"/>
  <c r="G3539" i="2" s="1"/>
  <c r="E3544" i="1" s="1"/>
  <c r="A3531" i="2"/>
  <c r="B3531" i="2"/>
  <c r="C3531" i="2" s="1"/>
  <c r="F3531" i="2" s="1"/>
  <c r="G3531" i="2" s="1"/>
  <c r="E3536" i="1" s="1"/>
  <c r="A3523" i="2"/>
  <c r="B3523" i="2"/>
  <c r="C3523" i="2" s="1"/>
  <c r="F3523" i="2" s="1"/>
  <c r="G3523" i="2" s="1"/>
  <c r="E3528" i="1" s="1"/>
  <c r="A3515" i="2"/>
  <c r="B3515" i="2"/>
  <c r="C3515" i="2" s="1"/>
  <c r="F3515" i="2" s="1"/>
  <c r="G3515" i="2" s="1"/>
  <c r="E3520" i="1" s="1"/>
  <c r="A3507" i="2"/>
  <c r="B3507" i="2"/>
  <c r="C3507" i="2" s="1"/>
  <c r="F3507" i="2" s="1"/>
  <c r="G3507" i="2" s="1"/>
  <c r="E3512" i="1" s="1"/>
  <c r="A3499" i="2"/>
  <c r="B3499" i="2"/>
  <c r="C3499" i="2" s="1"/>
  <c r="F3499" i="2" s="1"/>
  <c r="G3499" i="2" s="1"/>
  <c r="E3504" i="1" s="1"/>
  <c r="A3491" i="2"/>
  <c r="B3491" i="2"/>
  <c r="C3491" i="2" s="1"/>
  <c r="F3491" i="2" s="1"/>
  <c r="G3491" i="2" s="1"/>
  <c r="E3496" i="1" s="1"/>
  <c r="A3483" i="2"/>
  <c r="B3483" i="2"/>
  <c r="C3483" i="2" s="1"/>
  <c r="F3483" i="2" s="1"/>
  <c r="G3483" i="2" s="1"/>
  <c r="E3488" i="1" s="1"/>
  <c r="A3475" i="2"/>
  <c r="B3475" i="2"/>
  <c r="C3475" i="2" s="1"/>
  <c r="F3475" i="2" s="1"/>
  <c r="G3475" i="2" s="1"/>
  <c r="E3480" i="1" s="1"/>
  <c r="A3467" i="2"/>
  <c r="B3467" i="2"/>
  <c r="C3467" i="2" s="1"/>
  <c r="F3467" i="2" s="1"/>
  <c r="G3467" i="2" s="1"/>
  <c r="E3472" i="1" s="1"/>
  <c r="A3459" i="2"/>
  <c r="B3459" i="2"/>
  <c r="C3459" i="2" s="1"/>
  <c r="F3459" i="2" s="1"/>
  <c r="G3459" i="2" s="1"/>
  <c r="E3464" i="1" s="1"/>
  <c r="A3451" i="2"/>
  <c r="B3451" i="2"/>
  <c r="C3451" i="2" s="1"/>
  <c r="F3451" i="2" s="1"/>
  <c r="G3451" i="2" s="1"/>
  <c r="E3456" i="1" s="1"/>
  <c r="A3443" i="2"/>
  <c r="B3443" i="2"/>
  <c r="C3443" i="2" s="1"/>
  <c r="F3443" i="2" s="1"/>
  <c r="G3443" i="2" s="1"/>
  <c r="E3448" i="1" s="1"/>
  <c r="A3435" i="2"/>
  <c r="B3435" i="2"/>
  <c r="C3435" i="2" s="1"/>
  <c r="F3435" i="2" s="1"/>
  <c r="G3435" i="2" s="1"/>
  <c r="E3440" i="1" s="1"/>
  <c r="A3427" i="2"/>
  <c r="B3427" i="2"/>
  <c r="C3427" i="2" s="1"/>
  <c r="F3427" i="2" s="1"/>
  <c r="G3427" i="2" s="1"/>
  <c r="E3432" i="1" s="1"/>
  <c r="A3419" i="2"/>
  <c r="B3419" i="2"/>
  <c r="C3419" i="2" s="1"/>
  <c r="F3419" i="2" s="1"/>
  <c r="G3419" i="2" s="1"/>
  <c r="E3424" i="1" s="1"/>
  <c r="A3411" i="2"/>
  <c r="B3411" i="2"/>
  <c r="C3411" i="2" s="1"/>
  <c r="F3411" i="2" s="1"/>
  <c r="G3411" i="2" s="1"/>
  <c r="E3416" i="1" s="1"/>
  <c r="A3403" i="2"/>
  <c r="B3403" i="2"/>
  <c r="C3403" i="2" s="1"/>
  <c r="F3403" i="2" s="1"/>
  <c r="G3403" i="2" s="1"/>
  <c r="E3408" i="1" s="1"/>
  <c r="A3395" i="2"/>
  <c r="B3395" i="2"/>
  <c r="C3395" i="2" s="1"/>
  <c r="F3395" i="2" s="1"/>
  <c r="G3395" i="2" s="1"/>
  <c r="E3400" i="1" s="1"/>
  <c r="A3387" i="2"/>
  <c r="B3387" i="2"/>
  <c r="C3387" i="2" s="1"/>
  <c r="F3387" i="2" s="1"/>
  <c r="G3387" i="2" s="1"/>
  <c r="E3392" i="1" s="1"/>
  <c r="A3379" i="2"/>
  <c r="B3379" i="2"/>
  <c r="C3379" i="2" s="1"/>
  <c r="F3379" i="2" s="1"/>
  <c r="G3379" i="2" s="1"/>
  <c r="E3384" i="1" s="1"/>
  <c r="A3371" i="2"/>
  <c r="B3371" i="2"/>
  <c r="C3371" i="2" s="1"/>
  <c r="F3371" i="2" s="1"/>
  <c r="G3371" i="2" s="1"/>
  <c r="E3376" i="1" s="1"/>
  <c r="A3363" i="2"/>
  <c r="B3363" i="2"/>
  <c r="C3363" i="2" s="1"/>
  <c r="F3363" i="2" s="1"/>
  <c r="G3363" i="2" s="1"/>
  <c r="E3368" i="1" s="1"/>
  <c r="A3355" i="2"/>
  <c r="B3355" i="2"/>
  <c r="C3355" i="2" s="1"/>
  <c r="F3355" i="2" s="1"/>
  <c r="G3355" i="2" s="1"/>
  <c r="E3360" i="1" s="1"/>
  <c r="A3347" i="2"/>
  <c r="B3347" i="2"/>
  <c r="C3347" i="2" s="1"/>
  <c r="F3347" i="2" s="1"/>
  <c r="G3347" i="2" s="1"/>
  <c r="E3352" i="1" s="1"/>
  <c r="A3339" i="2"/>
  <c r="B3339" i="2"/>
  <c r="C3339" i="2" s="1"/>
  <c r="F3339" i="2" s="1"/>
  <c r="G3339" i="2" s="1"/>
  <c r="E3344" i="1" s="1"/>
  <c r="A3331" i="2"/>
  <c r="B3331" i="2"/>
  <c r="C3331" i="2" s="1"/>
  <c r="F3331" i="2" s="1"/>
  <c r="G3331" i="2" s="1"/>
  <c r="E3336" i="1" s="1"/>
  <c r="A3323" i="2"/>
  <c r="B3323" i="2"/>
  <c r="C3323" i="2" s="1"/>
  <c r="F3323" i="2" s="1"/>
  <c r="G3323" i="2" s="1"/>
  <c r="E3328" i="1" s="1"/>
  <c r="A3315" i="2"/>
  <c r="B3315" i="2"/>
  <c r="C3315" i="2" s="1"/>
  <c r="F3315" i="2" s="1"/>
  <c r="G3315" i="2" s="1"/>
  <c r="E3320" i="1" s="1"/>
  <c r="A3307" i="2"/>
  <c r="B3307" i="2"/>
  <c r="C3307" i="2" s="1"/>
  <c r="F3307" i="2" s="1"/>
  <c r="G3307" i="2" s="1"/>
  <c r="E3312" i="1" s="1"/>
  <c r="A3299" i="2"/>
  <c r="B3299" i="2"/>
  <c r="C3299" i="2" s="1"/>
  <c r="F3299" i="2" s="1"/>
  <c r="G3299" i="2" s="1"/>
  <c r="E3304" i="1" s="1"/>
  <c r="A3291" i="2"/>
  <c r="B3291" i="2"/>
  <c r="C3291" i="2" s="1"/>
  <c r="F3291" i="2" s="1"/>
  <c r="G3291" i="2" s="1"/>
  <c r="E3296" i="1" s="1"/>
  <c r="A3283" i="2"/>
  <c r="B3283" i="2"/>
  <c r="C3283" i="2" s="1"/>
  <c r="F3283" i="2" s="1"/>
  <c r="G3283" i="2" s="1"/>
  <c r="E3288" i="1" s="1"/>
  <c r="A3275" i="2"/>
  <c r="B3275" i="2"/>
  <c r="C3275" i="2" s="1"/>
  <c r="F3275" i="2" s="1"/>
  <c r="G3275" i="2" s="1"/>
  <c r="E3280" i="1" s="1"/>
  <c r="A3267" i="2"/>
  <c r="B3267" i="2"/>
  <c r="C3267" i="2" s="1"/>
  <c r="F3267" i="2" s="1"/>
  <c r="G3267" i="2" s="1"/>
  <c r="E3272" i="1" s="1"/>
  <c r="A3259" i="2"/>
  <c r="B3259" i="2"/>
  <c r="C3259" i="2" s="1"/>
  <c r="F3259" i="2" s="1"/>
  <c r="G3259" i="2" s="1"/>
  <c r="E3264" i="1" s="1"/>
  <c r="A3251" i="2"/>
  <c r="B3251" i="2"/>
  <c r="C3251" i="2" s="1"/>
  <c r="F3251" i="2" s="1"/>
  <c r="G3251" i="2" s="1"/>
  <c r="E3256" i="1" s="1"/>
  <c r="A3243" i="2"/>
  <c r="B3243" i="2"/>
  <c r="C3243" i="2" s="1"/>
  <c r="F3243" i="2" s="1"/>
  <c r="G3243" i="2" s="1"/>
  <c r="E3248" i="1" s="1"/>
  <c r="A3235" i="2"/>
  <c r="B3235" i="2"/>
  <c r="C3235" i="2" s="1"/>
  <c r="F3235" i="2" s="1"/>
  <c r="G3235" i="2" s="1"/>
  <c r="E3240" i="1" s="1"/>
  <c r="A3227" i="2"/>
  <c r="B3227" i="2"/>
  <c r="C3227" i="2" s="1"/>
  <c r="F3227" i="2" s="1"/>
  <c r="G3227" i="2" s="1"/>
  <c r="E3232" i="1" s="1"/>
  <c r="A3219" i="2"/>
  <c r="B3219" i="2"/>
  <c r="C3219" i="2" s="1"/>
  <c r="F3219" i="2" s="1"/>
  <c r="G3219" i="2" s="1"/>
  <c r="E3224" i="1" s="1"/>
  <c r="A3211" i="2"/>
  <c r="B3211" i="2"/>
  <c r="C3211" i="2" s="1"/>
  <c r="F3211" i="2" s="1"/>
  <c r="G3211" i="2" s="1"/>
  <c r="E3216" i="1" s="1"/>
  <c r="A3203" i="2"/>
  <c r="B3203" i="2"/>
  <c r="C3203" i="2" s="1"/>
  <c r="F3203" i="2" s="1"/>
  <c r="G3203" i="2" s="1"/>
  <c r="E3208" i="1" s="1"/>
  <c r="A3195" i="2"/>
  <c r="B3195" i="2"/>
  <c r="C3195" i="2" s="1"/>
  <c r="F3195" i="2" s="1"/>
  <c r="G3195" i="2" s="1"/>
  <c r="E3200" i="1" s="1"/>
  <c r="A3187" i="2"/>
  <c r="B3187" i="2"/>
  <c r="C3187" i="2" s="1"/>
  <c r="F3187" i="2" s="1"/>
  <c r="G3187" i="2" s="1"/>
  <c r="E3192" i="1" s="1"/>
  <c r="A3179" i="2"/>
  <c r="B3179" i="2"/>
  <c r="C3179" i="2" s="1"/>
  <c r="F3179" i="2" s="1"/>
  <c r="G3179" i="2" s="1"/>
  <c r="E3184" i="1" s="1"/>
  <c r="A3171" i="2"/>
  <c r="B3171" i="2"/>
  <c r="C3171" i="2" s="1"/>
  <c r="F3171" i="2" s="1"/>
  <c r="G3171" i="2" s="1"/>
  <c r="E3176" i="1" s="1"/>
  <c r="A3163" i="2"/>
  <c r="B3163" i="2"/>
  <c r="C3163" i="2" s="1"/>
  <c r="F3163" i="2" s="1"/>
  <c r="G3163" i="2" s="1"/>
  <c r="E3168" i="1" s="1"/>
  <c r="A3155" i="2"/>
  <c r="B3155" i="2"/>
  <c r="C3155" i="2" s="1"/>
  <c r="F3155" i="2" s="1"/>
  <c r="G3155" i="2" s="1"/>
  <c r="E3160" i="1" s="1"/>
  <c r="A3147" i="2"/>
  <c r="B3147" i="2"/>
  <c r="C3147" i="2" s="1"/>
  <c r="F3147" i="2" s="1"/>
  <c r="G3147" i="2" s="1"/>
  <c r="E3152" i="1" s="1"/>
  <c r="A3139" i="2"/>
  <c r="B3139" i="2"/>
  <c r="C3139" i="2" s="1"/>
  <c r="F3139" i="2" s="1"/>
  <c r="G3139" i="2" s="1"/>
  <c r="E3144" i="1" s="1"/>
  <c r="A3131" i="2"/>
  <c r="B3131" i="2"/>
  <c r="C3131" i="2" s="1"/>
  <c r="F3131" i="2" s="1"/>
  <c r="G3131" i="2" s="1"/>
  <c r="E3136" i="1" s="1"/>
  <c r="A3123" i="2"/>
  <c r="B3123" i="2"/>
  <c r="C3123" i="2" s="1"/>
  <c r="F3123" i="2" s="1"/>
  <c r="G3123" i="2" s="1"/>
  <c r="E3128" i="1" s="1"/>
  <c r="A3115" i="2"/>
  <c r="B3115" i="2"/>
  <c r="C3115" i="2" s="1"/>
  <c r="F3115" i="2" s="1"/>
  <c r="G3115" i="2" s="1"/>
  <c r="E3120" i="1" s="1"/>
  <c r="A3107" i="2"/>
  <c r="B3107" i="2"/>
  <c r="C3107" i="2" s="1"/>
  <c r="F3107" i="2" s="1"/>
  <c r="G3107" i="2" s="1"/>
  <c r="E3112" i="1" s="1"/>
  <c r="A3099" i="2"/>
  <c r="B3099" i="2"/>
  <c r="C3099" i="2" s="1"/>
  <c r="F3099" i="2" s="1"/>
  <c r="G3099" i="2" s="1"/>
  <c r="E3104" i="1" s="1"/>
  <c r="A3091" i="2"/>
  <c r="B3091" i="2"/>
  <c r="C3091" i="2" s="1"/>
  <c r="F3091" i="2" s="1"/>
  <c r="G3091" i="2" s="1"/>
  <c r="E3096" i="1" s="1"/>
  <c r="A3083" i="2"/>
  <c r="B3083" i="2"/>
  <c r="C3083" i="2" s="1"/>
  <c r="F3083" i="2" s="1"/>
  <c r="G3083" i="2" s="1"/>
  <c r="E3088" i="1" s="1"/>
  <c r="A3075" i="2"/>
  <c r="B3075" i="2"/>
  <c r="C3075" i="2" s="1"/>
  <c r="F3075" i="2" s="1"/>
  <c r="G3075" i="2" s="1"/>
  <c r="E3080" i="1" s="1"/>
  <c r="A3067" i="2"/>
  <c r="B3067" i="2"/>
  <c r="C3067" i="2" s="1"/>
  <c r="F3067" i="2" s="1"/>
  <c r="G3067" i="2" s="1"/>
  <c r="E3072" i="1" s="1"/>
  <c r="A3059" i="2"/>
  <c r="B3059" i="2"/>
  <c r="C3059" i="2" s="1"/>
  <c r="F3059" i="2" s="1"/>
  <c r="G3059" i="2" s="1"/>
  <c r="E3064" i="1" s="1"/>
  <c r="A3051" i="2"/>
  <c r="B3051" i="2"/>
  <c r="C3051" i="2" s="1"/>
  <c r="F3051" i="2" s="1"/>
  <c r="G3051" i="2" s="1"/>
  <c r="E3056" i="1" s="1"/>
  <c r="A3043" i="2"/>
  <c r="B3043" i="2"/>
  <c r="C3043" i="2" s="1"/>
  <c r="F3043" i="2" s="1"/>
  <c r="G3043" i="2" s="1"/>
  <c r="E3048" i="1" s="1"/>
  <c r="A3035" i="2"/>
  <c r="B3035" i="2"/>
  <c r="C3035" i="2" s="1"/>
  <c r="F3035" i="2" s="1"/>
  <c r="G3035" i="2" s="1"/>
  <c r="E3040" i="1" s="1"/>
  <c r="A3027" i="2"/>
  <c r="B3027" i="2"/>
  <c r="C3027" i="2" s="1"/>
  <c r="F3027" i="2" s="1"/>
  <c r="G3027" i="2" s="1"/>
  <c r="E3032" i="1" s="1"/>
  <c r="A3019" i="2"/>
  <c r="B3019" i="2"/>
  <c r="C3019" i="2" s="1"/>
  <c r="F3019" i="2" s="1"/>
  <c r="G3019" i="2" s="1"/>
  <c r="E3024" i="1" s="1"/>
  <c r="A3011" i="2"/>
  <c r="B3011" i="2"/>
  <c r="C3011" i="2" s="1"/>
  <c r="F3011" i="2" s="1"/>
  <c r="G3011" i="2" s="1"/>
  <c r="E3016" i="1" s="1"/>
  <c r="A3003" i="2"/>
  <c r="B3003" i="2"/>
  <c r="C3003" i="2" s="1"/>
  <c r="F3003" i="2" s="1"/>
  <c r="G3003" i="2" s="1"/>
  <c r="E3008" i="1" s="1"/>
  <c r="A2995" i="2"/>
  <c r="B2995" i="2"/>
  <c r="C2995" i="2" s="1"/>
  <c r="F2995" i="2" s="1"/>
  <c r="G2995" i="2" s="1"/>
  <c r="E3000" i="1" s="1"/>
  <c r="A2987" i="2"/>
  <c r="B2987" i="2"/>
  <c r="C2987" i="2" s="1"/>
  <c r="F2987" i="2" s="1"/>
  <c r="G2987" i="2" s="1"/>
  <c r="E2992" i="1" s="1"/>
  <c r="A2979" i="2"/>
  <c r="B2979" i="2"/>
  <c r="C2979" i="2" s="1"/>
  <c r="F2979" i="2" s="1"/>
  <c r="G2979" i="2" s="1"/>
  <c r="E2984" i="1" s="1"/>
  <c r="A2971" i="2"/>
  <c r="B2971" i="2"/>
  <c r="C2971" i="2" s="1"/>
  <c r="F2971" i="2" s="1"/>
  <c r="G2971" i="2" s="1"/>
  <c r="E2976" i="1" s="1"/>
  <c r="A2963" i="2"/>
  <c r="B2963" i="2"/>
  <c r="C2963" i="2" s="1"/>
  <c r="F2963" i="2" s="1"/>
  <c r="G2963" i="2" s="1"/>
  <c r="E2968" i="1" s="1"/>
  <c r="A2955" i="2"/>
  <c r="B2955" i="2"/>
  <c r="C2955" i="2" s="1"/>
  <c r="F2955" i="2" s="1"/>
  <c r="G2955" i="2" s="1"/>
  <c r="E2960" i="1" s="1"/>
  <c r="A2947" i="2"/>
  <c r="B2947" i="2"/>
  <c r="C2947" i="2" s="1"/>
  <c r="F2947" i="2" s="1"/>
  <c r="G2947" i="2" s="1"/>
  <c r="E2952" i="1" s="1"/>
  <c r="A2939" i="2"/>
  <c r="B2939" i="2"/>
  <c r="C2939" i="2" s="1"/>
  <c r="F2939" i="2" s="1"/>
  <c r="G2939" i="2" s="1"/>
  <c r="E2944" i="1" s="1"/>
  <c r="A2931" i="2"/>
  <c r="B2931" i="2"/>
  <c r="C2931" i="2" s="1"/>
  <c r="F2931" i="2" s="1"/>
  <c r="G2931" i="2" s="1"/>
  <c r="E2936" i="1" s="1"/>
  <c r="A2923" i="2"/>
  <c r="B2923" i="2"/>
  <c r="C2923" i="2" s="1"/>
  <c r="F2923" i="2" s="1"/>
  <c r="G2923" i="2" s="1"/>
  <c r="E2928" i="1" s="1"/>
  <c r="A2915" i="2"/>
  <c r="B2915" i="2"/>
  <c r="C2915" i="2" s="1"/>
  <c r="F2915" i="2" s="1"/>
  <c r="G2915" i="2" s="1"/>
  <c r="E2920" i="1" s="1"/>
  <c r="A2907" i="2"/>
  <c r="B2907" i="2"/>
  <c r="C2907" i="2" s="1"/>
  <c r="F2907" i="2" s="1"/>
  <c r="G2907" i="2" s="1"/>
  <c r="E2912" i="1" s="1"/>
  <c r="A2899" i="2"/>
  <c r="B2899" i="2"/>
  <c r="C2899" i="2" s="1"/>
  <c r="F2899" i="2" s="1"/>
  <c r="G2899" i="2" s="1"/>
  <c r="E2904" i="1" s="1"/>
  <c r="A2891" i="2"/>
  <c r="B2891" i="2"/>
  <c r="C2891" i="2" s="1"/>
  <c r="F2891" i="2" s="1"/>
  <c r="G2891" i="2" s="1"/>
  <c r="E2896" i="1" s="1"/>
  <c r="A2883" i="2"/>
  <c r="B2883" i="2"/>
  <c r="C2883" i="2" s="1"/>
  <c r="F2883" i="2" s="1"/>
  <c r="G2883" i="2" s="1"/>
  <c r="E2888" i="1" s="1"/>
  <c r="A2875" i="2"/>
  <c r="B2875" i="2"/>
  <c r="C2875" i="2" s="1"/>
  <c r="F2875" i="2" s="1"/>
  <c r="G2875" i="2" s="1"/>
  <c r="E2880" i="1" s="1"/>
  <c r="A2867" i="2"/>
  <c r="B2867" i="2"/>
  <c r="C2867" i="2" s="1"/>
  <c r="F2867" i="2" s="1"/>
  <c r="G2867" i="2" s="1"/>
  <c r="E2872" i="1" s="1"/>
  <c r="A2859" i="2"/>
  <c r="B2859" i="2"/>
  <c r="C2859" i="2" s="1"/>
  <c r="F2859" i="2" s="1"/>
  <c r="G2859" i="2" s="1"/>
  <c r="E2864" i="1" s="1"/>
  <c r="A2851" i="2"/>
  <c r="B2851" i="2"/>
  <c r="C2851" i="2" s="1"/>
  <c r="F2851" i="2" s="1"/>
  <c r="G2851" i="2" s="1"/>
  <c r="E2856" i="1" s="1"/>
  <c r="A2843" i="2"/>
  <c r="B2843" i="2"/>
  <c r="C2843" i="2" s="1"/>
  <c r="F2843" i="2" s="1"/>
  <c r="G2843" i="2" s="1"/>
  <c r="E2848" i="1" s="1"/>
  <c r="A2835" i="2"/>
  <c r="B2835" i="2"/>
  <c r="C2835" i="2" s="1"/>
  <c r="F2835" i="2" s="1"/>
  <c r="G2835" i="2" s="1"/>
  <c r="E2840" i="1" s="1"/>
  <c r="A2827" i="2"/>
  <c r="B2827" i="2"/>
  <c r="C2827" i="2" s="1"/>
  <c r="F2827" i="2" s="1"/>
  <c r="G2827" i="2" s="1"/>
  <c r="E2832" i="1" s="1"/>
  <c r="A2819" i="2"/>
  <c r="B2819" i="2"/>
  <c r="C2819" i="2" s="1"/>
  <c r="F2819" i="2" s="1"/>
  <c r="G2819" i="2" s="1"/>
  <c r="E2824" i="1" s="1"/>
  <c r="A2811" i="2"/>
  <c r="B2811" i="2"/>
  <c r="C2811" i="2" s="1"/>
  <c r="F2811" i="2" s="1"/>
  <c r="G2811" i="2" s="1"/>
  <c r="E2816" i="1" s="1"/>
  <c r="A2803" i="2"/>
  <c r="B2803" i="2"/>
  <c r="C2803" i="2" s="1"/>
  <c r="F2803" i="2" s="1"/>
  <c r="G2803" i="2" s="1"/>
  <c r="E2808" i="1" s="1"/>
  <c r="A2795" i="2"/>
  <c r="B2795" i="2"/>
  <c r="C2795" i="2" s="1"/>
  <c r="F2795" i="2" s="1"/>
  <c r="G2795" i="2" s="1"/>
  <c r="E2800" i="1" s="1"/>
  <c r="A2787" i="2"/>
  <c r="B2787" i="2"/>
  <c r="C2787" i="2" s="1"/>
  <c r="F2787" i="2" s="1"/>
  <c r="G2787" i="2" s="1"/>
  <c r="E2792" i="1" s="1"/>
  <c r="A2779" i="2"/>
  <c r="B2779" i="2"/>
  <c r="C2779" i="2" s="1"/>
  <c r="F2779" i="2" s="1"/>
  <c r="G2779" i="2" s="1"/>
  <c r="E2784" i="1" s="1"/>
  <c r="A2771" i="2"/>
  <c r="B2771" i="2"/>
  <c r="C2771" i="2" s="1"/>
  <c r="F2771" i="2" s="1"/>
  <c r="G2771" i="2" s="1"/>
  <c r="E2776" i="1" s="1"/>
  <c r="A2763" i="2"/>
  <c r="B2763" i="2"/>
  <c r="C2763" i="2" s="1"/>
  <c r="F2763" i="2" s="1"/>
  <c r="G2763" i="2" s="1"/>
  <c r="E2768" i="1" s="1"/>
  <c r="A2755" i="2"/>
  <c r="B2755" i="2"/>
  <c r="C2755" i="2" s="1"/>
  <c r="F2755" i="2" s="1"/>
  <c r="G2755" i="2" s="1"/>
  <c r="E2760" i="1" s="1"/>
  <c r="A2747" i="2"/>
  <c r="B2747" i="2"/>
  <c r="C2747" i="2" s="1"/>
  <c r="F2747" i="2" s="1"/>
  <c r="G2747" i="2" s="1"/>
  <c r="E2752" i="1" s="1"/>
  <c r="A2739" i="2"/>
  <c r="B2739" i="2"/>
  <c r="C2739" i="2" s="1"/>
  <c r="F2739" i="2" s="1"/>
  <c r="G2739" i="2" s="1"/>
  <c r="E2744" i="1" s="1"/>
  <c r="A2731" i="2"/>
  <c r="B2731" i="2"/>
  <c r="C2731" i="2" s="1"/>
  <c r="F2731" i="2" s="1"/>
  <c r="G2731" i="2" s="1"/>
  <c r="E2736" i="1" s="1"/>
  <c r="A2723" i="2"/>
  <c r="B2723" i="2"/>
  <c r="C2723" i="2" s="1"/>
  <c r="F2723" i="2" s="1"/>
  <c r="G2723" i="2" s="1"/>
  <c r="E2728" i="1" s="1"/>
  <c r="A2715" i="2"/>
  <c r="B2715" i="2"/>
  <c r="C2715" i="2" s="1"/>
  <c r="F2715" i="2" s="1"/>
  <c r="G2715" i="2" s="1"/>
  <c r="E2720" i="1" s="1"/>
  <c r="A2707" i="2"/>
  <c r="B2707" i="2"/>
  <c r="C2707" i="2" s="1"/>
  <c r="F2707" i="2" s="1"/>
  <c r="G2707" i="2" s="1"/>
  <c r="E2712" i="1" s="1"/>
  <c r="A2699" i="2"/>
  <c r="B2699" i="2"/>
  <c r="C2699" i="2" s="1"/>
  <c r="F2699" i="2" s="1"/>
  <c r="G2699" i="2" s="1"/>
  <c r="E2704" i="1" s="1"/>
  <c r="A2691" i="2"/>
  <c r="B2691" i="2"/>
  <c r="C2691" i="2" s="1"/>
  <c r="F2691" i="2" s="1"/>
  <c r="G2691" i="2" s="1"/>
  <c r="E2696" i="1" s="1"/>
  <c r="A2683" i="2"/>
  <c r="B2683" i="2"/>
  <c r="C2683" i="2" s="1"/>
  <c r="F2683" i="2" s="1"/>
  <c r="G2683" i="2" s="1"/>
  <c r="E2688" i="1" s="1"/>
  <c r="A2675" i="2"/>
  <c r="B2675" i="2"/>
  <c r="C2675" i="2" s="1"/>
  <c r="F2675" i="2" s="1"/>
  <c r="G2675" i="2" s="1"/>
  <c r="E2680" i="1" s="1"/>
  <c r="A2667" i="2"/>
  <c r="B2667" i="2"/>
  <c r="C2667" i="2" s="1"/>
  <c r="F2667" i="2" s="1"/>
  <c r="G2667" i="2" s="1"/>
  <c r="E2672" i="1" s="1"/>
  <c r="A2659" i="2"/>
  <c r="B2659" i="2"/>
  <c r="C2659" i="2" s="1"/>
  <c r="F2659" i="2" s="1"/>
  <c r="G2659" i="2" s="1"/>
  <c r="E2664" i="1" s="1"/>
  <c r="A2651" i="2"/>
  <c r="B2651" i="2"/>
  <c r="C2651" i="2" s="1"/>
  <c r="F2651" i="2" s="1"/>
  <c r="G2651" i="2" s="1"/>
  <c r="E2656" i="1" s="1"/>
  <c r="A2643" i="2"/>
  <c r="B2643" i="2"/>
  <c r="C2643" i="2" s="1"/>
  <c r="F2643" i="2" s="1"/>
  <c r="G2643" i="2" s="1"/>
  <c r="E2648" i="1" s="1"/>
  <c r="A2635" i="2"/>
  <c r="B2635" i="2"/>
  <c r="C2635" i="2" s="1"/>
  <c r="F2635" i="2" s="1"/>
  <c r="G2635" i="2" s="1"/>
  <c r="E2640" i="1" s="1"/>
  <c r="A2627" i="2"/>
  <c r="B2627" i="2"/>
  <c r="C2627" i="2" s="1"/>
  <c r="F2627" i="2" s="1"/>
  <c r="G2627" i="2" s="1"/>
  <c r="E2632" i="1" s="1"/>
  <c r="A2619" i="2"/>
  <c r="B2619" i="2"/>
  <c r="C2619" i="2" s="1"/>
  <c r="F2619" i="2" s="1"/>
  <c r="G2619" i="2" s="1"/>
  <c r="E2624" i="1" s="1"/>
  <c r="A2611" i="2"/>
  <c r="B2611" i="2"/>
  <c r="C2611" i="2" s="1"/>
  <c r="F2611" i="2" s="1"/>
  <c r="G2611" i="2" s="1"/>
  <c r="E2616" i="1" s="1"/>
  <c r="A2603" i="2"/>
  <c r="B2603" i="2"/>
  <c r="C2603" i="2" s="1"/>
  <c r="F2603" i="2" s="1"/>
  <c r="G2603" i="2" s="1"/>
  <c r="E2608" i="1" s="1"/>
  <c r="A2595" i="2"/>
  <c r="B2595" i="2"/>
  <c r="C2595" i="2" s="1"/>
  <c r="F2595" i="2" s="1"/>
  <c r="G2595" i="2" s="1"/>
  <c r="E2600" i="1" s="1"/>
  <c r="A2587" i="2"/>
  <c r="B2587" i="2"/>
  <c r="C2587" i="2" s="1"/>
  <c r="F2587" i="2" s="1"/>
  <c r="G2587" i="2" s="1"/>
  <c r="E2592" i="1" s="1"/>
  <c r="A2579" i="2"/>
  <c r="B2579" i="2"/>
  <c r="C2579" i="2" s="1"/>
  <c r="F2579" i="2" s="1"/>
  <c r="G2579" i="2" s="1"/>
  <c r="E2584" i="1" s="1"/>
  <c r="A2571" i="2"/>
  <c r="B2571" i="2"/>
  <c r="C2571" i="2" s="1"/>
  <c r="F2571" i="2" s="1"/>
  <c r="G2571" i="2" s="1"/>
  <c r="E2576" i="1" s="1"/>
  <c r="A2563" i="2"/>
  <c r="B2563" i="2"/>
  <c r="C2563" i="2" s="1"/>
  <c r="F2563" i="2" s="1"/>
  <c r="G2563" i="2" s="1"/>
  <c r="E2568" i="1" s="1"/>
  <c r="A2555" i="2"/>
  <c r="B2555" i="2"/>
  <c r="C2555" i="2" s="1"/>
  <c r="F2555" i="2" s="1"/>
  <c r="G2555" i="2" s="1"/>
  <c r="E2560" i="1" s="1"/>
  <c r="A2547" i="2"/>
  <c r="B2547" i="2"/>
  <c r="C2547" i="2" s="1"/>
  <c r="F2547" i="2" s="1"/>
  <c r="G2547" i="2" s="1"/>
  <c r="E2552" i="1" s="1"/>
  <c r="A2539" i="2"/>
  <c r="B2539" i="2"/>
  <c r="C2539" i="2" s="1"/>
  <c r="F2539" i="2" s="1"/>
  <c r="G2539" i="2" s="1"/>
  <c r="E2544" i="1" s="1"/>
  <c r="A2531" i="2"/>
  <c r="B2531" i="2"/>
  <c r="C2531" i="2" s="1"/>
  <c r="F2531" i="2" s="1"/>
  <c r="G2531" i="2" s="1"/>
  <c r="E2536" i="1" s="1"/>
  <c r="A2523" i="2"/>
  <c r="B2523" i="2"/>
  <c r="C2523" i="2" s="1"/>
  <c r="F2523" i="2" s="1"/>
  <c r="G2523" i="2" s="1"/>
  <c r="E2528" i="1" s="1"/>
  <c r="A2515" i="2"/>
  <c r="B2515" i="2"/>
  <c r="C2515" i="2" s="1"/>
  <c r="F2515" i="2" s="1"/>
  <c r="G2515" i="2" s="1"/>
  <c r="E2520" i="1" s="1"/>
  <c r="A2507" i="2"/>
  <c r="B2507" i="2"/>
  <c r="C2507" i="2" s="1"/>
  <c r="F2507" i="2" s="1"/>
  <c r="G2507" i="2" s="1"/>
  <c r="E2512" i="1" s="1"/>
  <c r="A2499" i="2"/>
  <c r="B2499" i="2"/>
  <c r="C2499" i="2" s="1"/>
  <c r="F2499" i="2" s="1"/>
  <c r="G2499" i="2" s="1"/>
  <c r="E2504" i="1" s="1"/>
  <c r="A2491" i="2"/>
  <c r="B2491" i="2"/>
  <c r="C2491" i="2" s="1"/>
  <c r="F2491" i="2" s="1"/>
  <c r="G2491" i="2" s="1"/>
  <c r="E2496" i="1" s="1"/>
  <c r="A2483" i="2"/>
  <c r="B2483" i="2"/>
  <c r="C2483" i="2" s="1"/>
  <c r="F2483" i="2" s="1"/>
  <c r="G2483" i="2" s="1"/>
  <c r="E2488" i="1" s="1"/>
  <c r="A2475" i="2"/>
  <c r="B2475" i="2"/>
  <c r="C2475" i="2" s="1"/>
  <c r="F2475" i="2" s="1"/>
  <c r="G2475" i="2" s="1"/>
  <c r="E2480" i="1" s="1"/>
  <c r="A2467" i="2"/>
  <c r="B2467" i="2"/>
  <c r="C2467" i="2" s="1"/>
  <c r="F2467" i="2" s="1"/>
  <c r="G2467" i="2" s="1"/>
  <c r="E2472" i="1" s="1"/>
  <c r="A2459" i="2"/>
  <c r="B2459" i="2"/>
  <c r="C2459" i="2" s="1"/>
  <c r="F2459" i="2" s="1"/>
  <c r="G2459" i="2" s="1"/>
  <c r="E2464" i="1" s="1"/>
  <c r="A2451" i="2"/>
  <c r="B2451" i="2"/>
  <c r="C2451" i="2" s="1"/>
  <c r="F2451" i="2" s="1"/>
  <c r="G2451" i="2" s="1"/>
  <c r="E2456" i="1" s="1"/>
  <c r="A2443" i="2"/>
  <c r="B2443" i="2"/>
  <c r="C2443" i="2" s="1"/>
  <c r="F2443" i="2" s="1"/>
  <c r="G2443" i="2" s="1"/>
  <c r="E2448" i="1" s="1"/>
  <c r="A2435" i="2"/>
  <c r="B2435" i="2"/>
  <c r="C2435" i="2" s="1"/>
  <c r="F2435" i="2" s="1"/>
  <c r="G2435" i="2" s="1"/>
  <c r="E2440" i="1" s="1"/>
  <c r="A2427" i="2"/>
  <c r="B2427" i="2"/>
  <c r="C2427" i="2" s="1"/>
  <c r="F2427" i="2" s="1"/>
  <c r="G2427" i="2" s="1"/>
  <c r="E2432" i="1" s="1"/>
  <c r="A2419" i="2"/>
  <c r="B2419" i="2"/>
  <c r="C2419" i="2" s="1"/>
  <c r="F2419" i="2" s="1"/>
  <c r="G2419" i="2" s="1"/>
  <c r="E2424" i="1" s="1"/>
  <c r="A2411" i="2"/>
  <c r="B2411" i="2"/>
  <c r="C2411" i="2" s="1"/>
  <c r="F2411" i="2" s="1"/>
  <c r="G2411" i="2" s="1"/>
  <c r="E2416" i="1" s="1"/>
  <c r="A2403" i="2"/>
  <c r="B2403" i="2"/>
  <c r="C2403" i="2" s="1"/>
  <c r="F2403" i="2" s="1"/>
  <c r="G2403" i="2" s="1"/>
  <c r="E2408" i="1" s="1"/>
  <c r="A2395" i="2"/>
  <c r="B2395" i="2"/>
  <c r="C2395" i="2" s="1"/>
  <c r="F2395" i="2" s="1"/>
  <c r="G2395" i="2" s="1"/>
  <c r="E2400" i="1" s="1"/>
  <c r="A2387" i="2"/>
  <c r="B2387" i="2"/>
  <c r="C2387" i="2" s="1"/>
  <c r="F2387" i="2" s="1"/>
  <c r="G2387" i="2" s="1"/>
  <c r="E2392" i="1" s="1"/>
  <c r="A2379" i="2"/>
  <c r="B2379" i="2"/>
  <c r="C2379" i="2" s="1"/>
  <c r="F2379" i="2" s="1"/>
  <c r="G2379" i="2" s="1"/>
  <c r="E2384" i="1" s="1"/>
  <c r="A2371" i="2"/>
  <c r="B2371" i="2"/>
  <c r="C2371" i="2" s="1"/>
  <c r="F2371" i="2" s="1"/>
  <c r="G2371" i="2" s="1"/>
  <c r="E2376" i="1" s="1"/>
  <c r="A2363" i="2"/>
  <c r="B2363" i="2"/>
  <c r="C2363" i="2" s="1"/>
  <c r="F2363" i="2" s="1"/>
  <c r="G2363" i="2" s="1"/>
  <c r="E2368" i="1" s="1"/>
  <c r="A2355" i="2"/>
  <c r="B2355" i="2"/>
  <c r="C2355" i="2" s="1"/>
  <c r="F2355" i="2" s="1"/>
  <c r="G2355" i="2" s="1"/>
  <c r="E2360" i="1" s="1"/>
  <c r="A2347" i="2"/>
  <c r="B2347" i="2"/>
  <c r="C2347" i="2" s="1"/>
  <c r="F2347" i="2" s="1"/>
  <c r="G2347" i="2" s="1"/>
  <c r="E2352" i="1" s="1"/>
  <c r="A2339" i="2"/>
  <c r="B2339" i="2"/>
  <c r="C2339" i="2" s="1"/>
  <c r="F2339" i="2" s="1"/>
  <c r="G2339" i="2" s="1"/>
  <c r="E2344" i="1" s="1"/>
  <c r="A2331" i="2"/>
  <c r="B2331" i="2"/>
  <c r="C2331" i="2" s="1"/>
  <c r="F2331" i="2" s="1"/>
  <c r="G2331" i="2" s="1"/>
  <c r="E2336" i="1" s="1"/>
  <c r="A2323" i="2"/>
  <c r="B2323" i="2"/>
  <c r="C2323" i="2" s="1"/>
  <c r="F2323" i="2" s="1"/>
  <c r="G2323" i="2" s="1"/>
  <c r="E2328" i="1" s="1"/>
  <c r="A2315" i="2"/>
  <c r="B2315" i="2"/>
  <c r="C2315" i="2" s="1"/>
  <c r="F2315" i="2" s="1"/>
  <c r="G2315" i="2" s="1"/>
  <c r="E2320" i="1" s="1"/>
  <c r="A2307" i="2"/>
  <c r="B2307" i="2"/>
  <c r="C2307" i="2" s="1"/>
  <c r="F2307" i="2" s="1"/>
  <c r="G2307" i="2" s="1"/>
  <c r="E2312" i="1" s="1"/>
  <c r="A2299" i="2"/>
  <c r="B2299" i="2"/>
  <c r="C2299" i="2" s="1"/>
  <c r="F2299" i="2" s="1"/>
  <c r="G2299" i="2" s="1"/>
  <c r="E2304" i="1" s="1"/>
  <c r="A2291" i="2"/>
  <c r="B2291" i="2"/>
  <c r="C2291" i="2" s="1"/>
  <c r="F2291" i="2" s="1"/>
  <c r="G2291" i="2" s="1"/>
  <c r="E2296" i="1" s="1"/>
  <c r="A2283" i="2"/>
  <c r="B2283" i="2"/>
  <c r="C2283" i="2" s="1"/>
  <c r="F2283" i="2" s="1"/>
  <c r="G2283" i="2" s="1"/>
  <c r="E2288" i="1" s="1"/>
  <c r="A2275" i="2"/>
  <c r="B2275" i="2"/>
  <c r="C2275" i="2" s="1"/>
  <c r="F2275" i="2" s="1"/>
  <c r="G2275" i="2" s="1"/>
  <c r="E2280" i="1" s="1"/>
  <c r="A2267" i="2"/>
  <c r="B2267" i="2"/>
  <c r="C2267" i="2" s="1"/>
  <c r="F2267" i="2" s="1"/>
  <c r="G2267" i="2" s="1"/>
  <c r="E2272" i="1" s="1"/>
  <c r="A2259" i="2"/>
  <c r="B2259" i="2"/>
  <c r="C2259" i="2" s="1"/>
  <c r="F2259" i="2" s="1"/>
  <c r="G2259" i="2" s="1"/>
  <c r="E2264" i="1" s="1"/>
  <c r="A2251" i="2"/>
  <c r="B2251" i="2"/>
  <c r="C2251" i="2" s="1"/>
  <c r="F2251" i="2" s="1"/>
  <c r="G2251" i="2" s="1"/>
  <c r="E2256" i="1" s="1"/>
  <c r="A2243" i="2"/>
  <c r="B2243" i="2"/>
  <c r="C2243" i="2" s="1"/>
  <c r="F2243" i="2" s="1"/>
  <c r="G2243" i="2" s="1"/>
  <c r="E2248" i="1" s="1"/>
  <c r="A2235" i="2"/>
  <c r="B2235" i="2"/>
  <c r="C2235" i="2" s="1"/>
  <c r="F2235" i="2" s="1"/>
  <c r="G2235" i="2" s="1"/>
  <c r="E2240" i="1" s="1"/>
  <c r="A2227" i="2"/>
  <c r="B2227" i="2"/>
  <c r="C2227" i="2" s="1"/>
  <c r="F2227" i="2" s="1"/>
  <c r="G2227" i="2" s="1"/>
  <c r="E2232" i="1" s="1"/>
  <c r="A2219" i="2"/>
  <c r="B2219" i="2"/>
  <c r="C2219" i="2" s="1"/>
  <c r="F2219" i="2" s="1"/>
  <c r="G2219" i="2" s="1"/>
  <c r="E2224" i="1" s="1"/>
  <c r="A2211" i="2"/>
  <c r="B2211" i="2"/>
  <c r="C2211" i="2" s="1"/>
  <c r="F2211" i="2" s="1"/>
  <c r="G2211" i="2" s="1"/>
  <c r="E2216" i="1" s="1"/>
  <c r="A2203" i="2"/>
  <c r="B2203" i="2"/>
  <c r="C2203" i="2" s="1"/>
  <c r="F2203" i="2" s="1"/>
  <c r="G2203" i="2" s="1"/>
  <c r="E2208" i="1" s="1"/>
  <c r="A2195" i="2"/>
  <c r="B2195" i="2"/>
  <c r="C2195" i="2" s="1"/>
  <c r="F2195" i="2" s="1"/>
  <c r="G2195" i="2" s="1"/>
  <c r="E2200" i="1" s="1"/>
  <c r="A2187" i="2"/>
  <c r="B2187" i="2"/>
  <c r="C2187" i="2" s="1"/>
  <c r="F2187" i="2" s="1"/>
  <c r="G2187" i="2" s="1"/>
  <c r="E2192" i="1" s="1"/>
  <c r="A2179" i="2"/>
  <c r="B2179" i="2"/>
  <c r="C2179" i="2" s="1"/>
  <c r="F2179" i="2" s="1"/>
  <c r="G2179" i="2" s="1"/>
  <c r="E2184" i="1" s="1"/>
  <c r="A2171" i="2"/>
  <c r="B2171" i="2"/>
  <c r="C2171" i="2" s="1"/>
  <c r="F2171" i="2" s="1"/>
  <c r="G2171" i="2" s="1"/>
  <c r="E2176" i="1" s="1"/>
  <c r="A2163" i="2"/>
  <c r="B2163" i="2"/>
  <c r="C2163" i="2" s="1"/>
  <c r="F2163" i="2" s="1"/>
  <c r="G2163" i="2" s="1"/>
  <c r="E2168" i="1" s="1"/>
  <c r="A2155" i="2"/>
  <c r="B2155" i="2"/>
  <c r="C2155" i="2" s="1"/>
  <c r="F2155" i="2" s="1"/>
  <c r="G2155" i="2" s="1"/>
  <c r="E2160" i="1" s="1"/>
  <c r="A2147" i="2"/>
  <c r="B2147" i="2"/>
  <c r="C2147" i="2" s="1"/>
  <c r="F2147" i="2" s="1"/>
  <c r="G2147" i="2" s="1"/>
  <c r="E2152" i="1" s="1"/>
  <c r="A2139" i="2"/>
  <c r="B2139" i="2"/>
  <c r="C2139" i="2" s="1"/>
  <c r="F2139" i="2" s="1"/>
  <c r="G2139" i="2" s="1"/>
  <c r="E2144" i="1" s="1"/>
  <c r="A2131" i="2"/>
  <c r="B2131" i="2"/>
  <c r="C2131" i="2" s="1"/>
  <c r="F2131" i="2" s="1"/>
  <c r="G2131" i="2" s="1"/>
  <c r="E2136" i="1" s="1"/>
  <c r="A2123" i="2"/>
  <c r="B2123" i="2"/>
  <c r="C2123" i="2" s="1"/>
  <c r="F2123" i="2" s="1"/>
  <c r="G2123" i="2" s="1"/>
  <c r="E2128" i="1" s="1"/>
  <c r="A2115" i="2"/>
  <c r="B2115" i="2"/>
  <c r="C2115" i="2" s="1"/>
  <c r="F2115" i="2" s="1"/>
  <c r="G2115" i="2" s="1"/>
  <c r="E2120" i="1" s="1"/>
  <c r="A2107" i="2"/>
  <c r="B2107" i="2"/>
  <c r="C2107" i="2" s="1"/>
  <c r="F2107" i="2" s="1"/>
  <c r="G2107" i="2" s="1"/>
  <c r="E2112" i="1" s="1"/>
  <c r="A2099" i="2"/>
  <c r="B2099" i="2"/>
  <c r="C2099" i="2" s="1"/>
  <c r="F2099" i="2" s="1"/>
  <c r="G2099" i="2" s="1"/>
  <c r="E2104" i="1" s="1"/>
  <c r="A2091" i="2"/>
  <c r="B2091" i="2"/>
  <c r="C2091" i="2" s="1"/>
  <c r="F2091" i="2" s="1"/>
  <c r="G2091" i="2" s="1"/>
  <c r="E2096" i="1" s="1"/>
  <c r="A2083" i="2"/>
  <c r="B2083" i="2"/>
  <c r="C2083" i="2" s="1"/>
  <c r="F2083" i="2" s="1"/>
  <c r="G2083" i="2" s="1"/>
  <c r="E2088" i="1" s="1"/>
  <c r="A2075" i="2"/>
  <c r="B2075" i="2"/>
  <c r="C2075" i="2" s="1"/>
  <c r="F2075" i="2" s="1"/>
  <c r="G2075" i="2" s="1"/>
  <c r="E2080" i="1" s="1"/>
  <c r="A2067" i="2"/>
  <c r="B2067" i="2"/>
  <c r="C2067" i="2" s="1"/>
  <c r="F2067" i="2" s="1"/>
  <c r="G2067" i="2" s="1"/>
  <c r="E2072" i="1" s="1"/>
  <c r="A2059" i="2"/>
  <c r="B2059" i="2"/>
  <c r="C2059" i="2" s="1"/>
  <c r="F2059" i="2" s="1"/>
  <c r="G2059" i="2" s="1"/>
  <c r="E2064" i="1" s="1"/>
  <c r="A2051" i="2"/>
  <c r="B2051" i="2"/>
  <c r="C2051" i="2" s="1"/>
  <c r="F2051" i="2" s="1"/>
  <c r="G2051" i="2" s="1"/>
  <c r="E2056" i="1" s="1"/>
  <c r="A2043" i="2"/>
  <c r="B2043" i="2"/>
  <c r="C2043" i="2" s="1"/>
  <c r="F2043" i="2" s="1"/>
  <c r="G2043" i="2" s="1"/>
  <c r="E2048" i="1" s="1"/>
  <c r="A2035" i="2"/>
  <c r="B2035" i="2"/>
  <c r="C2035" i="2" s="1"/>
  <c r="F2035" i="2" s="1"/>
  <c r="G2035" i="2" s="1"/>
  <c r="E2040" i="1" s="1"/>
  <c r="A2027" i="2"/>
  <c r="B2027" i="2"/>
  <c r="C2027" i="2" s="1"/>
  <c r="F2027" i="2" s="1"/>
  <c r="G2027" i="2" s="1"/>
  <c r="E2032" i="1" s="1"/>
  <c r="A2019" i="2"/>
  <c r="B2019" i="2"/>
  <c r="C2019" i="2" s="1"/>
  <c r="F2019" i="2" s="1"/>
  <c r="G2019" i="2" s="1"/>
  <c r="E2024" i="1" s="1"/>
  <c r="A2011" i="2"/>
  <c r="B2011" i="2"/>
  <c r="C2011" i="2" s="1"/>
  <c r="F2011" i="2" s="1"/>
  <c r="G2011" i="2" s="1"/>
  <c r="E2016" i="1" s="1"/>
  <c r="A2003" i="2"/>
  <c r="B2003" i="2"/>
  <c r="C2003" i="2" s="1"/>
  <c r="F2003" i="2" s="1"/>
  <c r="G2003" i="2" s="1"/>
  <c r="E2008" i="1" s="1"/>
  <c r="A1995" i="2"/>
  <c r="B1995" i="2"/>
  <c r="C1995" i="2" s="1"/>
  <c r="F1995" i="2" s="1"/>
  <c r="G1995" i="2" s="1"/>
  <c r="E2000" i="1" s="1"/>
  <c r="A1987" i="2"/>
  <c r="B1987" i="2"/>
  <c r="C1987" i="2" s="1"/>
  <c r="F1987" i="2" s="1"/>
  <c r="G1987" i="2" s="1"/>
  <c r="E1992" i="1" s="1"/>
  <c r="A1979" i="2"/>
  <c r="B1979" i="2"/>
  <c r="C1979" i="2" s="1"/>
  <c r="F1979" i="2" s="1"/>
  <c r="G1979" i="2" s="1"/>
  <c r="E1984" i="1" s="1"/>
  <c r="A1971" i="2"/>
  <c r="B1971" i="2"/>
  <c r="C1971" i="2" s="1"/>
  <c r="F1971" i="2" s="1"/>
  <c r="G1971" i="2" s="1"/>
  <c r="E1976" i="1" s="1"/>
  <c r="A1963" i="2"/>
  <c r="B1963" i="2"/>
  <c r="C1963" i="2" s="1"/>
  <c r="F1963" i="2" s="1"/>
  <c r="G1963" i="2" s="1"/>
  <c r="E1968" i="1" s="1"/>
  <c r="A1955" i="2"/>
  <c r="B1955" i="2"/>
  <c r="C1955" i="2" s="1"/>
  <c r="F1955" i="2" s="1"/>
  <c r="G1955" i="2" s="1"/>
  <c r="E1960" i="1" s="1"/>
  <c r="A1947" i="2"/>
  <c r="B1947" i="2"/>
  <c r="C1947" i="2" s="1"/>
  <c r="F1947" i="2" s="1"/>
  <c r="G1947" i="2" s="1"/>
  <c r="E1952" i="1" s="1"/>
  <c r="A1939" i="2"/>
  <c r="B1939" i="2"/>
  <c r="C1939" i="2" s="1"/>
  <c r="F1939" i="2" s="1"/>
  <c r="G1939" i="2" s="1"/>
  <c r="E1944" i="1" s="1"/>
  <c r="A1931" i="2"/>
  <c r="B1931" i="2"/>
  <c r="C1931" i="2" s="1"/>
  <c r="F1931" i="2" s="1"/>
  <c r="G1931" i="2" s="1"/>
  <c r="E1936" i="1" s="1"/>
  <c r="A1923" i="2"/>
  <c r="B1923" i="2"/>
  <c r="C1923" i="2" s="1"/>
  <c r="F1923" i="2" s="1"/>
  <c r="G1923" i="2" s="1"/>
  <c r="E1928" i="1" s="1"/>
  <c r="A1915" i="2"/>
  <c r="B1915" i="2"/>
  <c r="C1915" i="2" s="1"/>
  <c r="F1915" i="2" s="1"/>
  <c r="G1915" i="2" s="1"/>
  <c r="E1920" i="1" s="1"/>
  <c r="A1907" i="2"/>
  <c r="B1907" i="2"/>
  <c r="C1907" i="2" s="1"/>
  <c r="F1907" i="2" s="1"/>
  <c r="G1907" i="2" s="1"/>
  <c r="E1912" i="1" s="1"/>
  <c r="A1899" i="2"/>
  <c r="B1899" i="2"/>
  <c r="C1899" i="2" s="1"/>
  <c r="F1899" i="2" s="1"/>
  <c r="G1899" i="2" s="1"/>
  <c r="E1904" i="1" s="1"/>
  <c r="A1891" i="2"/>
  <c r="B1891" i="2"/>
  <c r="C1891" i="2" s="1"/>
  <c r="F1891" i="2" s="1"/>
  <c r="G1891" i="2" s="1"/>
  <c r="E1896" i="1" s="1"/>
  <c r="A1883" i="2"/>
  <c r="B1883" i="2"/>
  <c r="C1883" i="2" s="1"/>
  <c r="F1883" i="2" s="1"/>
  <c r="G1883" i="2" s="1"/>
  <c r="E1888" i="1" s="1"/>
  <c r="A1875" i="2"/>
  <c r="B1875" i="2"/>
  <c r="C1875" i="2" s="1"/>
  <c r="F1875" i="2" s="1"/>
  <c r="G1875" i="2" s="1"/>
  <c r="E1880" i="1" s="1"/>
  <c r="A1867" i="2"/>
  <c r="B1867" i="2"/>
  <c r="C1867" i="2" s="1"/>
  <c r="F1867" i="2" s="1"/>
  <c r="G1867" i="2" s="1"/>
  <c r="E1872" i="1" s="1"/>
  <c r="A1859" i="2"/>
  <c r="B1859" i="2"/>
  <c r="C1859" i="2" s="1"/>
  <c r="F1859" i="2" s="1"/>
  <c r="G1859" i="2" s="1"/>
  <c r="E1864" i="1" s="1"/>
  <c r="A1851" i="2"/>
  <c r="B1851" i="2"/>
  <c r="C1851" i="2" s="1"/>
  <c r="F1851" i="2" s="1"/>
  <c r="G1851" i="2" s="1"/>
  <c r="E1856" i="1" s="1"/>
  <c r="A1843" i="2"/>
  <c r="B1843" i="2"/>
  <c r="C1843" i="2" s="1"/>
  <c r="F1843" i="2" s="1"/>
  <c r="G1843" i="2" s="1"/>
  <c r="E1848" i="1" s="1"/>
  <c r="A1835" i="2"/>
  <c r="B1835" i="2"/>
  <c r="C1835" i="2" s="1"/>
  <c r="F1835" i="2" s="1"/>
  <c r="G1835" i="2" s="1"/>
  <c r="E1840" i="1" s="1"/>
  <c r="A1827" i="2"/>
  <c r="B1827" i="2"/>
  <c r="C1827" i="2" s="1"/>
  <c r="F1827" i="2" s="1"/>
  <c r="G1827" i="2" s="1"/>
  <c r="E1832" i="1" s="1"/>
  <c r="A1819" i="2"/>
  <c r="B1819" i="2"/>
  <c r="C1819" i="2" s="1"/>
  <c r="F1819" i="2" s="1"/>
  <c r="G1819" i="2" s="1"/>
  <c r="E1824" i="1" s="1"/>
  <c r="A1811" i="2"/>
  <c r="B1811" i="2"/>
  <c r="C1811" i="2" s="1"/>
  <c r="F1811" i="2" s="1"/>
  <c r="G1811" i="2" s="1"/>
  <c r="E1816" i="1" s="1"/>
  <c r="A1803" i="2"/>
  <c r="B1803" i="2"/>
  <c r="C1803" i="2" s="1"/>
  <c r="F1803" i="2" s="1"/>
  <c r="G1803" i="2" s="1"/>
  <c r="E1808" i="1" s="1"/>
  <c r="A1795" i="2"/>
  <c r="B1795" i="2"/>
  <c r="C1795" i="2" s="1"/>
  <c r="F1795" i="2" s="1"/>
  <c r="G1795" i="2" s="1"/>
  <c r="E1800" i="1" s="1"/>
  <c r="A1787" i="2"/>
  <c r="B1787" i="2"/>
  <c r="C1787" i="2" s="1"/>
  <c r="F1787" i="2" s="1"/>
  <c r="G1787" i="2" s="1"/>
  <c r="E1792" i="1" s="1"/>
  <c r="A1779" i="2"/>
  <c r="B1779" i="2"/>
  <c r="C1779" i="2" s="1"/>
  <c r="F1779" i="2" s="1"/>
  <c r="G1779" i="2" s="1"/>
  <c r="E1784" i="1" s="1"/>
  <c r="A1771" i="2"/>
  <c r="B1771" i="2"/>
  <c r="C1771" i="2" s="1"/>
  <c r="F1771" i="2" s="1"/>
  <c r="G1771" i="2" s="1"/>
  <c r="E1776" i="1" s="1"/>
  <c r="A1763" i="2"/>
  <c r="B1763" i="2"/>
  <c r="C1763" i="2" s="1"/>
  <c r="F1763" i="2" s="1"/>
  <c r="G1763" i="2" s="1"/>
  <c r="E1768" i="1" s="1"/>
  <c r="A1755" i="2"/>
  <c r="B1755" i="2"/>
  <c r="C1755" i="2" s="1"/>
  <c r="F1755" i="2" s="1"/>
  <c r="G1755" i="2" s="1"/>
  <c r="E1760" i="1" s="1"/>
  <c r="A1747" i="2"/>
  <c r="B1747" i="2"/>
  <c r="C1747" i="2" s="1"/>
  <c r="F1747" i="2" s="1"/>
  <c r="G1747" i="2" s="1"/>
  <c r="E1752" i="1" s="1"/>
  <c r="A1739" i="2"/>
  <c r="B1739" i="2"/>
  <c r="C1739" i="2" s="1"/>
  <c r="F1739" i="2" s="1"/>
  <c r="G1739" i="2" s="1"/>
  <c r="E1744" i="1" s="1"/>
  <c r="A1731" i="2"/>
  <c r="B1731" i="2"/>
  <c r="C1731" i="2" s="1"/>
  <c r="F1731" i="2" s="1"/>
  <c r="G1731" i="2" s="1"/>
  <c r="E1736" i="1" s="1"/>
  <c r="A1723" i="2"/>
  <c r="B1723" i="2"/>
  <c r="C1723" i="2" s="1"/>
  <c r="F1723" i="2" s="1"/>
  <c r="G1723" i="2" s="1"/>
  <c r="E1728" i="1" s="1"/>
  <c r="A1715" i="2"/>
  <c r="B1715" i="2"/>
  <c r="C1715" i="2" s="1"/>
  <c r="F1715" i="2" s="1"/>
  <c r="G1715" i="2" s="1"/>
  <c r="E1720" i="1" s="1"/>
  <c r="A1707" i="2"/>
  <c r="B1707" i="2"/>
  <c r="C1707" i="2" s="1"/>
  <c r="F1707" i="2" s="1"/>
  <c r="G1707" i="2" s="1"/>
  <c r="E1712" i="1" s="1"/>
  <c r="A1699" i="2"/>
  <c r="B1699" i="2"/>
  <c r="C1699" i="2" s="1"/>
  <c r="F1699" i="2" s="1"/>
  <c r="G1699" i="2" s="1"/>
  <c r="E1704" i="1" s="1"/>
  <c r="A1691" i="2"/>
  <c r="B1691" i="2"/>
  <c r="C1691" i="2" s="1"/>
  <c r="F1691" i="2" s="1"/>
  <c r="G1691" i="2" s="1"/>
  <c r="E1696" i="1" s="1"/>
  <c r="A1683" i="2"/>
  <c r="B1683" i="2"/>
  <c r="C1683" i="2" s="1"/>
  <c r="F1683" i="2" s="1"/>
  <c r="G1683" i="2" s="1"/>
  <c r="E1688" i="1" s="1"/>
  <c r="A1675" i="2"/>
  <c r="B1675" i="2"/>
  <c r="C1675" i="2" s="1"/>
  <c r="F1675" i="2" s="1"/>
  <c r="G1675" i="2" s="1"/>
  <c r="E1680" i="1" s="1"/>
  <c r="A1667" i="2"/>
  <c r="B1667" i="2"/>
  <c r="C1667" i="2" s="1"/>
  <c r="F1667" i="2" s="1"/>
  <c r="G1667" i="2" s="1"/>
  <c r="E1672" i="1" s="1"/>
  <c r="A1659" i="2"/>
  <c r="B1659" i="2"/>
  <c r="C1659" i="2" s="1"/>
  <c r="F1659" i="2" s="1"/>
  <c r="G1659" i="2" s="1"/>
  <c r="E1664" i="1" s="1"/>
  <c r="A1651" i="2"/>
  <c r="B1651" i="2"/>
  <c r="C1651" i="2" s="1"/>
  <c r="F1651" i="2" s="1"/>
  <c r="G1651" i="2" s="1"/>
  <c r="E1656" i="1" s="1"/>
  <c r="A1643" i="2"/>
  <c r="B1643" i="2"/>
  <c r="C1643" i="2" s="1"/>
  <c r="F1643" i="2" s="1"/>
  <c r="G1643" i="2" s="1"/>
  <c r="E1648" i="1" s="1"/>
  <c r="A1635" i="2"/>
  <c r="B1635" i="2"/>
  <c r="C1635" i="2" s="1"/>
  <c r="F1635" i="2" s="1"/>
  <c r="G1635" i="2" s="1"/>
  <c r="E1640" i="1" s="1"/>
  <c r="A1627" i="2"/>
  <c r="B1627" i="2"/>
  <c r="C1627" i="2" s="1"/>
  <c r="F1627" i="2" s="1"/>
  <c r="G1627" i="2" s="1"/>
  <c r="E1632" i="1" s="1"/>
  <c r="A1619" i="2"/>
  <c r="B1619" i="2"/>
  <c r="C1619" i="2" s="1"/>
  <c r="F1619" i="2" s="1"/>
  <c r="G1619" i="2" s="1"/>
  <c r="E1624" i="1" s="1"/>
  <c r="A1611" i="2"/>
  <c r="B1611" i="2"/>
  <c r="C1611" i="2" s="1"/>
  <c r="F1611" i="2" s="1"/>
  <c r="G1611" i="2" s="1"/>
  <c r="E1616" i="1" s="1"/>
  <c r="A1603" i="2"/>
  <c r="B1603" i="2"/>
  <c r="C1603" i="2" s="1"/>
  <c r="F1603" i="2" s="1"/>
  <c r="G1603" i="2" s="1"/>
  <c r="E1608" i="1" s="1"/>
  <c r="A1595" i="2"/>
  <c r="B1595" i="2"/>
  <c r="C1595" i="2" s="1"/>
  <c r="F1595" i="2" s="1"/>
  <c r="G1595" i="2" s="1"/>
  <c r="E1600" i="1" s="1"/>
  <c r="A1587" i="2"/>
  <c r="B1587" i="2"/>
  <c r="C1587" i="2" s="1"/>
  <c r="F1587" i="2" s="1"/>
  <c r="G1587" i="2" s="1"/>
  <c r="E1592" i="1" s="1"/>
  <c r="A1579" i="2"/>
  <c r="B1579" i="2"/>
  <c r="C1579" i="2" s="1"/>
  <c r="F1579" i="2" s="1"/>
  <c r="G1579" i="2" s="1"/>
  <c r="E1584" i="1" s="1"/>
  <c r="A1571" i="2"/>
  <c r="B1571" i="2"/>
  <c r="C1571" i="2" s="1"/>
  <c r="F1571" i="2" s="1"/>
  <c r="G1571" i="2" s="1"/>
  <c r="E1576" i="1" s="1"/>
  <c r="A1563" i="2"/>
  <c r="B1563" i="2"/>
  <c r="C1563" i="2" s="1"/>
  <c r="F1563" i="2" s="1"/>
  <c r="G1563" i="2" s="1"/>
  <c r="E1568" i="1" s="1"/>
  <c r="A1555" i="2"/>
  <c r="B1555" i="2"/>
  <c r="C1555" i="2" s="1"/>
  <c r="F1555" i="2" s="1"/>
  <c r="G1555" i="2" s="1"/>
  <c r="E1560" i="1" s="1"/>
  <c r="A1547" i="2"/>
  <c r="B1547" i="2"/>
  <c r="C1547" i="2" s="1"/>
  <c r="F1547" i="2" s="1"/>
  <c r="G1547" i="2" s="1"/>
  <c r="E1552" i="1" s="1"/>
  <c r="A1539" i="2"/>
  <c r="B1539" i="2"/>
  <c r="C1539" i="2" s="1"/>
  <c r="F1539" i="2" s="1"/>
  <c r="G1539" i="2" s="1"/>
  <c r="E1544" i="1" s="1"/>
  <c r="A1531" i="2"/>
  <c r="B1531" i="2"/>
  <c r="C1531" i="2" s="1"/>
  <c r="F1531" i="2" s="1"/>
  <c r="G1531" i="2" s="1"/>
  <c r="E1536" i="1" s="1"/>
  <c r="A1523" i="2"/>
  <c r="B1523" i="2"/>
  <c r="C1523" i="2" s="1"/>
  <c r="F1523" i="2" s="1"/>
  <c r="G1523" i="2" s="1"/>
  <c r="E1528" i="1" s="1"/>
  <c r="A1515" i="2"/>
  <c r="B1515" i="2"/>
  <c r="C1515" i="2" s="1"/>
  <c r="F1515" i="2" s="1"/>
  <c r="G1515" i="2" s="1"/>
  <c r="E1520" i="1" s="1"/>
  <c r="A1507" i="2"/>
  <c r="B1507" i="2"/>
  <c r="C1507" i="2" s="1"/>
  <c r="F1507" i="2" s="1"/>
  <c r="G1507" i="2" s="1"/>
  <c r="E1512" i="1" s="1"/>
  <c r="A1499" i="2"/>
  <c r="B1499" i="2"/>
  <c r="C1499" i="2" s="1"/>
  <c r="F1499" i="2" s="1"/>
  <c r="G1499" i="2" s="1"/>
  <c r="E1504" i="1" s="1"/>
  <c r="A1491" i="2"/>
  <c r="B1491" i="2"/>
  <c r="C1491" i="2" s="1"/>
  <c r="F1491" i="2" s="1"/>
  <c r="G1491" i="2" s="1"/>
  <c r="E1496" i="1" s="1"/>
  <c r="A1483" i="2"/>
  <c r="B1483" i="2"/>
  <c r="C1483" i="2" s="1"/>
  <c r="F1483" i="2" s="1"/>
  <c r="G1483" i="2" s="1"/>
  <c r="E1488" i="1" s="1"/>
  <c r="A1475" i="2"/>
  <c r="B1475" i="2"/>
  <c r="C1475" i="2" s="1"/>
  <c r="F1475" i="2" s="1"/>
  <c r="G1475" i="2" s="1"/>
  <c r="E1480" i="1" s="1"/>
  <c r="A1467" i="2"/>
  <c r="B1467" i="2"/>
  <c r="C1467" i="2" s="1"/>
  <c r="F1467" i="2" s="1"/>
  <c r="G1467" i="2" s="1"/>
  <c r="E1472" i="1" s="1"/>
  <c r="A1459" i="2"/>
  <c r="B1459" i="2"/>
  <c r="C1459" i="2" s="1"/>
  <c r="F1459" i="2" s="1"/>
  <c r="G1459" i="2" s="1"/>
  <c r="E1464" i="1" s="1"/>
  <c r="A1451" i="2"/>
  <c r="B1451" i="2"/>
  <c r="C1451" i="2" s="1"/>
  <c r="F1451" i="2" s="1"/>
  <c r="G1451" i="2" s="1"/>
  <c r="E1456" i="1" s="1"/>
  <c r="A1443" i="2"/>
  <c r="B1443" i="2"/>
  <c r="C1443" i="2" s="1"/>
  <c r="F1443" i="2" s="1"/>
  <c r="G1443" i="2" s="1"/>
  <c r="E1448" i="1" s="1"/>
  <c r="A1435" i="2"/>
  <c r="B1435" i="2"/>
  <c r="C1435" i="2" s="1"/>
  <c r="F1435" i="2" s="1"/>
  <c r="G1435" i="2" s="1"/>
  <c r="E1440" i="1" s="1"/>
  <c r="A1427" i="2"/>
  <c r="B1427" i="2"/>
  <c r="C1427" i="2" s="1"/>
  <c r="F1427" i="2" s="1"/>
  <c r="G1427" i="2" s="1"/>
  <c r="E1432" i="1" s="1"/>
  <c r="A1419" i="2"/>
  <c r="B1419" i="2"/>
  <c r="C1419" i="2" s="1"/>
  <c r="F1419" i="2" s="1"/>
  <c r="G1419" i="2" s="1"/>
  <c r="E1424" i="1" s="1"/>
  <c r="A1411" i="2"/>
  <c r="B1411" i="2"/>
  <c r="C1411" i="2" s="1"/>
  <c r="F1411" i="2" s="1"/>
  <c r="G1411" i="2" s="1"/>
  <c r="E1416" i="1" s="1"/>
  <c r="A1403" i="2"/>
  <c r="B1403" i="2"/>
  <c r="C1403" i="2" s="1"/>
  <c r="F1403" i="2" s="1"/>
  <c r="G1403" i="2" s="1"/>
  <c r="E1408" i="1" s="1"/>
  <c r="A1395" i="2"/>
  <c r="B1395" i="2"/>
  <c r="C1395" i="2" s="1"/>
  <c r="F1395" i="2" s="1"/>
  <c r="G1395" i="2" s="1"/>
  <c r="E1400" i="1" s="1"/>
  <c r="A1387" i="2"/>
  <c r="B1387" i="2"/>
  <c r="C1387" i="2" s="1"/>
  <c r="F1387" i="2" s="1"/>
  <c r="G1387" i="2" s="1"/>
  <c r="E1392" i="1" s="1"/>
  <c r="A1379" i="2"/>
  <c r="B1379" i="2"/>
  <c r="C1379" i="2" s="1"/>
  <c r="F1379" i="2" s="1"/>
  <c r="G1379" i="2" s="1"/>
  <c r="E1384" i="1" s="1"/>
  <c r="A1371" i="2"/>
  <c r="B1371" i="2"/>
  <c r="C1371" i="2" s="1"/>
  <c r="F1371" i="2" s="1"/>
  <c r="G1371" i="2" s="1"/>
  <c r="E1376" i="1" s="1"/>
  <c r="A1363" i="2"/>
  <c r="B1363" i="2"/>
  <c r="C1363" i="2" s="1"/>
  <c r="F1363" i="2" s="1"/>
  <c r="G1363" i="2" s="1"/>
  <c r="E1368" i="1" s="1"/>
  <c r="A1355" i="2"/>
  <c r="B1355" i="2"/>
  <c r="C1355" i="2" s="1"/>
  <c r="F1355" i="2" s="1"/>
  <c r="G1355" i="2" s="1"/>
  <c r="E1360" i="1" s="1"/>
  <c r="A1347" i="2"/>
  <c r="B1347" i="2"/>
  <c r="C1347" i="2" s="1"/>
  <c r="F1347" i="2" s="1"/>
  <c r="G1347" i="2" s="1"/>
  <c r="E1352" i="1" s="1"/>
  <c r="A1339" i="2"/>
  <c r="B1339" i="2"/>
  <c r="C1339" i="2" s="1"/>
  <c r="F1339" i="2" s="1"/>
  <c r="G1339" i="2" s="1"/>
  <c r="E1344" i="1" s="1"/>
  <c r="A1331" i="2"/>
  <c r="B1331" i="2"/>
  <c r="C1331" i="2" s="1"/>
  <c r="F1331" i="2" s="1"/>
  <c r="G1331" i="2" s="1"/>
  <c r="E1336" i="1" s="1"/>
  <c r="A1323" i="2"/>
  <c r="B1323" i="2"/>
  <c r="C1323" i="2" s="1"/>
  <c r="F1323" i="2" s="1"/>
  <c r="G1323" i="2" s="1"/>
  <c r="E1328" i="1" s="1"/>
  <c r="A1315" i="2"/>
  <c r="B1315" i="2"/>
  <c r="C1315" i="2" s="1"/>
  <c r="F1315" i="2" s="1"/>
  <c r="G1315" i="2" s="1"/>
  <c r="E1320" i="1" s="1"/>
  <c r="A1307" i="2"/>
  <c r="B1307" i="2"/>
  <c r="C1307" i="2" s="1"/>
  <c r="F1307" i="2" s="1"/>
  <c r="G1307" i="2" s="1"/>
  <c r="E1312" i="1" s="1"/>
  <c r="A1299" i="2"/>
  <c r="B1299" i="2"/>
  <c r="C1299" i="2" s="1"/>
  <c r="F1299" i="2" s="1"/>
  <c r="G1299" i="2" s="1"/>
  <c r="E1304" i="1" s="1"/>
  <c r="A1291" i="2"/>
  <c r="B1291" i="2"/>
  <c r="C1291" i="2" s="1"/>
  <c r="F1291" i="2" s="1"/>
  <c r="G1291" i="2" s="1"/>
  <c r="E1296" i="1" s="1"/>
  <c r="A1283" i="2"/>
  <c r="B1283" i="2"/>
  <c r="C1283" i="2" s="1"/>
  <c r="F1283" i="2" s="1"/>
  <c r="G1283" i="2" s="1"/>
  <c r="E1288" i="1" s="1"/>
  <c r="A1275" i="2"/>
  <c r="B1275" i="2"/>
  <c r="C1275" i="2" s="1"/>
  <c r="F1275" i="2" s="1"/>
  <c r="G1275" i="2" s="1"/>
  <c r="E1280" i="1" s="1"/>
  <c r="A1267" i="2"/>
  <c r="B1267" i="2"/>
  <c r="C1267" i="2" s="1"/>
  <c r="F1267" i="2" s="1"/>
  <c r="G1267" i="2" s="1"/>
  <c r="E1272" i="1" s="1"/>
  <c r="A1259" i="2"/>
  <c r="B1259" i="2"/>
  <c r="C1259" i="2" s="1"/>
  <c r="F1259" i="2" s="1"/>
  <c r="G1259" i="2" s="1"/>
  <c r="E1264" i="1" s="1"/>
  <c r="A1251" i="2"/>
  <c r="B1251" i="2"/>
  <c r="C1251" i="2" s="1"/>
  <c r="F1251" i="2" s="1"/>
  <c r="G1251" i="2" s="1"/>
  <c r="E1256" i="1" s="1"/>
  <c r="A1243" i="2"/>
  <c r="B1243" i="2"/>
  <c r="C1243" i="2" s="1"/>
  <c r="F1243" i="2" s="1"/>
  <c r="G1243" i="2" s="1"/>
  <c r="E1248" i="1" s="1"/>
  <c r="A1235" i="2"/>
  <c r="B1235" i="2"/>
  <c r="C1235" i="2" s="1"/>
  <c r="F1235" i="2" s="1"/>
  <c r="G1235" i="2" s="1"/>
  <c r="E1240" i="1" s="1"/>
  <c r="A1227" i="2"/>
  <c r="B1227" i="2"/>
  <c r="C1227" i="2" s="1"/>
  <c r="F1227" i="2" s="1"/>
  <c r="G1227" i="2" s="1"/>
  <c r="E1232" i="1" s="1"/>
  <c r="A1219" i="2"/>
  <c r="B1219" i="2"/>
  <c r="C1219" i="2" s="1"/>
  <c r="F1219" i="2" s="1"/>
  <c r="G1219" i="2" s="1"/>
  <c r="E1224" i="1" s="1"/>
  <c r="A1211" i="2"/>
  <c r="B1211" i="2"/>
  <c r="C1211" i="2" s="1"/>
  <c r="F1211" i="2" s="1"/>
  <c r="G1211" i="2" s="1"/>
  <c r="E1216" i="1" s="1"/>
  <c r="A1203" i="2"/>
  <c r="B1203" i="2"/>
  <c r="C1203" i="2" s="1"/>
  <c r="F1203" i="2" s="1"/>
  <c r="G1203" i="2" s="1"/>
  <c r="E1208" i="1" s="1"/>
  <c r="A1195" i="2"/>
  <c r="B1195" i="2"/>
  <c r="C1195" i="2" s="1"/>
  <c r="F1195" i="2" s="1"/>
  <c r="G1195" i="2" s="1"/>
  <c r="E1200" i="1" s="1"/>
  <c r="A1187" i="2"/>
  <c r="B1187" i="2"/>
  <c r="C1187" i="2" s="1"/>
  <c r="F1187" i="2" s="1"/>
  <c r="G1187" i="2" s="1"/>
  <c r="E1192" i="1" s="1"/>
  <c r="A1179" i="2"/>
  <c r="B1179" i="2"/>
  <c r="C1179" i="2" s="1"/>
  <c r="F1179" i="2" s="1"/>
  <c r="G1179" i="2" s="1"/>
  <c r="E1184" i="1" s="1"/>
  <c r="A1171" i="2"/>
  <c r="B1171" i="2"/>
  <c r="C1171" i="2" s="1"/>
  <c r="F1171" i="2" s="1"/>
  <c r="G1171" i="2" s="1"/>
  <c r="E1176" i="1" s="1"/>
  <c r="A1163" i="2"/>
  <c r="B1163" i="2"/>
  <c r="C1163" i="2" s="1"/>
  <c r="F1163" i="2" s="1"/>
  <c r="G1163" i="2" s="1"/>
  <c r="E1168" i="1" s="1"/>
  <c r="A1155" i="2"/>
  <c r="B1155" i="2"/>
  <c r="C1155" i="2" s="1"/>
  <c r="F1155" i="2" s="1"/>
  <c r="G1155" i="2" s="1"/>
  <c r="E1160" i="1" s="1"/>
  <c r="A1147" i="2"/>
  <c r="B1147" i="2"/>
  <c r="C1147" i="2" s="1"/>
  <c r="F1147" i="2" s="1"/>
  <c r="G1147" i="2" s="1"/>
  <c r="E1152" i="1" s="1"/>
  <c r="A1139" i="2"/>
  <c r="B1139" i="2"/>
  <c r="C1139" i="2" s="1"/>
  <c r="F1139" i="2" s="1"/>
  <c r="G1139" i="2" s="1"/>
  <c r="E1144" i="1" s="1"/>
  <c r="A1131" i="2"/>
  <c r="B1131" i="2"/>
  <c r="C1131" i="2" s="1"/>
  <c r="F1131" i="2" s="1"/>
  <c r="G1131" i="2" s="1"/>
  <c r="E1136" i="1" s="1"/>
  <c r="A1123" i="2"/>
  <c r="B1123" i="2"/>
  <c r="C1123" i="2" s="1"/>
  <c r="F1123" i="2" s="1"/>
  <c r="G1123" i="2" s="1"/>
  <c r="E1128" i="1" s="1"/>
  <c r="A1115" i="2"/>
  <c r="B1115" i="2"/>
  <c r="C1115" i="2" s="1"/>
  <c r="F1115" i="2" s="1"/>
  <c r="G1115" i="2" s="1"/>
  <c r="E1120" i="1" s="1"/>
  <c r="A1107" i="2"/>
  <c r="B1107" i="2"/>
  <c r="C1107" i="2" s="1"/>
  <c r="F1107" i="2" s="1"/>
  <c r="G1107" i="2" s="1"/>
  <c r="E1112" i="1" s="1"/>
  <c r="A1099" i="2"/>
  <c r="B1099" i="2"/>
  <c r="C1099" i="2" s="1"/>
  <c r="F1099" i="2" s="1"/>
  <c r="G1099" i="2" s="1"/>
  <c r="E1104" i="1" s="1"/>
  <c r="A1091" i="2"/>
  <c r="B1091" i="2"/>
  <c r="C1091" i="2" s="1"/>
  <c r="F1091" i="2" s="1"/>
  <c r="G1091" i="2" s="1"/>
  <c r="E1096" i="1" s="1"/>
  <c r="A1083" i="2"/>
  <c r="B1083" i="2"/>
  <c r="C1083" i="2" s="1"/>
  <c r="F1083" i="2" s="1"/>
  <c r="G1083" i="2" s="1"/>
  <c r="E1088" i="1" s="1"/>
  <c r="A1075" i="2"/>
  <c r="B1075" i="2"/>
  <c r="C1075" i="2" s="1"/>
  <c r="F1075" i="2" s="1"/>
  <c r="G1075" i="2" s="1"/>
  <c r="E1080" i="1" s="1"/>
  <c r="A1067" i="2"/>
  <c r="B1067" i="2"/>
  <c r="C1067" i="2" s="1"/>
  <c r="F1067" i="2" s="1"/>
  <c r="G1067" i="2" s="1"/>
  <c r="E1072" i="1" s="1"/>
  <c r="A1059" i="2"/>
  <c r="B1059" i="2"/>
  <c r="C1059" i="2" s="1"/>
  <c r="F1059" i="2" s="1"/>
  <c r="G1059" i="2" s="1"/>
  <c r="E1064" i="1" s="1"/>
  <c r="A1051" i="2"/>
  <c r="B1051" i="2"/>
  <c r="C1051" i="2" s="1"/>
  <c r="F1051" i="2" s="1"/>
  <c r="G1051" i="2" s="1"/>
  <c r="E1056" i="1" s="1"/>
  <c r="A1043" i="2"/>
  <c r="B1043" i="2"/>
  <c r="C1043" i="2" s="1"/>
  <c r="F1043" i="2" s="1"/>
  <c r="G1043" i="2" s="1"/>
  <c r="E1048" i="1" s="1"/>
  <c r="A1035" i="2"/>
  <c r="B1035" i="2"/>
  <c r="C1035" i="2" s="1"/>
  <c r="F1035" i="2" s="1"/>
  <c r="G1035" i="2" s="1"/>
  <c r="E1040" i="1" s="1"/>
  <c r="A1027" i="2"/>
  <c r="B1027" i="2"/>
  <c r="C1027" i="2" s="1"/>
  <c r="F1027" i="2" s="1"/>
  <c r="G1027" i="2" s="1"/>
  <c r="E1032" i="1" s="1"/>
  <c r="A1019" i="2"/>
  <c r="B1019" i="2"/>
  <c r="C1019" i="2" s="1"/>
  <c r="F1019" i="2" s="1"/>
  <c r="G1019" i="2" s="1"/>
  <c r="E1024" i="1" s="1"/>
  <c r="A1011" i="2"/>
  <c r="B1011" i="2"/>
  <c r="C1011" i="2" s="1"/>
  <c r="F1011" i="2" s="1"/>
  <c r="G1011" i="2" s="1"/>
  <c r="E1016" i="1" s="1"/>
  <c r="A1003" i="2"/>
  <c r="B1003" i="2"/>
  <c r="C1003" i="2" s="1"/>
  <c r="F1003" i="2" s="1"/>
  <c r="G1003" i="2" s="1"/>
  <c r="E1008" i="1" s="1"/>
  <c r="A995" i="2"/>
  <c r="B995" i="2"/>
  <c r="C995" i="2" s="1"/>
  <c r="F995" i="2" s="1"/>
  <c r="G995" i="2" s="1"/>
  <c r="E1000" i="1" s="1"/>
  <c r="A987" i="2"/>
  <c r="B987" i="2"/>
  <c r="C987" i="2" s="1"/>
  <c r="F987" i="2" s="1"/>
  <c r="G987" i="2" s="1"/>
  <c r="E992" i="1" s="1"/>
  <c r="A979" i="2"/>
  <c r="B979" i="2"/>
  <c r="C979" i="2" s="1"/>
  <c r="F979" i="2" s="1"/>
  <c r="G979" i="2" s="1"/>
  <c r="E984" i="1" s="1"/>
  <c r="A971" i="2"/>
  <c r="B971" i="2"/>
  <c r="C971" i="2" s="1"/>
  <c r="F971" i="2" s="1"/>
  <c r="G971" i="2" s="1"/>
  <c r="E976" i="1" s="1"/>
  <c r="A963" i="2"/>
  <c r="B963" i="2"/>
  <c r="C963" i="2" s="1"/>
  <c r="F963" i="2" s="1"/>
  <c r="G963" i="2" s="1"/>
  <c r="E968" i="1" s="1"/>
  <c r="A955" i="2"/>
  <c r="B955" i="2"/>
  <c r="C955" i="2" s="1"/>
  <c r="F955" i="2" s="1"/>
  <c r="G955" i="2" s="1"/>
  <c r="E960" i="1" s="1"/>
  <c r="A947" i="2"/>
  <c r="B947" i="2"/>
  <c r="C947" i="2" s="1"/>
  <c r="F947" i="2" s="1"/>
  <c r="G947" i="2" s="1"/>
  <c r="E952" i="1" s="1"/>
  <c r="A939" i="2"/>
  <c r="B939" i="2"/>
  <c r="C939" i="2" s="1"/>
  <c r="F939" i="2" s="1"/>
  <c r="G939" i="2" s="1"/>
  <c r="E944" i="1" s="1"/>
  <c r="A931" i="2"/>
  <c r="B931" i="2"/>
  <c r="C931" i="2" s="1"/>
  <c r="F931" i="2" s="1"/>
  <c r="G931" i="2" s="1"/>
  <c r="E936" i="1" s="1"/>
  <c r="A923" i="2"/>
  <c r="B923" i="2"/>
  <c r="C923" i="2" s="1"/>
  <c r="F923" i="2" s="1"/>
  <c r="G923" i="2" s="1"/>
  <c r="E928" i="1" s="1"/>
  <c r="A915" i="2"/>
  <c r="B915" i="2"/>
  <c r="C915" i="2" s="1"/>
  <c r="F915" i="2" s="1"/>
  <c r="G915" i="2" s="1"/>
  <c r="E920" i="1" s="1"/>
  <c r="A907" i="2"/>
  <c r="B907" i="2"/>
  <c r="C907" i="2" s="1"/>
  <c r="F907" i="2" s="1"/>
  <c r="G907" i="2" s="1"/>
  <c r="E912" i="1" s="1"/>
  <c r="A899" i="2"/>
  <c r="B899" i="2"/>
  <c r="C899" i="2" s="1"/>
  <c r="F899" i="2" s="1"/>
  <c r="G899" i="2" s="1"/>
  <c r="E904" i="1" s="1"/>
  <c r="A891" i="2"/>
  <c r="B891" i="2"/>
  <c r="C891" i="2" s="1"/>
  <c r="F891" i="2" s="1"/>
  <c r="G891" i="2" s="1"/>
  <c r="E896" i="1" s="1"/>
  <c r="A883" i="2"/>
  <c r="B883" i="2"/>
  <c r="C883" i="2" s="1"/>
  <c r="F883" i="2" s="1"/>
  <c r="G883" i="2" s="1"/>
  <c r="E888" i="1" s="1"/>
  <c r="A875" i="2"/>
  <c r="B875" i="2"/>
  <c r="C875" i="2" s="1"/>
  <c r="F875" i="2" s="1"/>
  <c r="G875" i="2" s="1"/>
  <c r="E880" i="1" s="1"/>
  <c r="A867" i="2"/>
  <c r="B867" i="2"/>
  <c r="C867" i="2" s="1"/>
  <c r="F867" i="2" s="1"/>
  <c r="G867" i="2" s="1"/>
  <c r="E872" i="1" s="1"/>
  <c r="A859" i="2"/>
  <c r="B859" i="2"/>
  <c r="C859" i="2" s="1"/>
  <c r="F859" i="2" s="1"/>
  <c r="G859" i="2" s="1"/>
  <c r="E864" i="1" s="1"/>
  <c r="A851" i="2"/>
  <c r="B851" i="2"/>
  <c r="C851" i="2" s="1"/>
  <c r="F851" i="2" s="1"/>
  <c r="G851" i="2" s="1"/>
  <c r="E856" i="1" s="1"/>
  <c r="A843" i="2"/>
  <c r="B843" i="2"/>
  <c r="C843" i="2" s="1"/>
  <c r="F843" i="2" s="1"/>
  <c r="G843" i="2" s="1"/>
  <c r="E848" i="1" s="1"/>
  <c r="A835" i="2"/>
  <c r="B835" i="2"/>
  <c r="C835" i="2" s="1"/>
  <c r="F835" i="2" s="1"/>
  <c r="G835" i="2" s="1"/>
  <c r="E840" i="1" s="1"/>
  <c r="A827" i="2"/>
  <c r="B827" i="2"/>
  <c r="C827" i="2" s="1"/>
  <c r="F827" i="2" s="1"/>
  <c r="G827" i="2" s="1"/>
  <c r="E832" i="1" s="1"/>
  <c r="A819" i="2"/>
  <c r="B819" i="2"/>
  <c r="C819" i="2" s="1"/>
  <c r="F819" i="2" s="1"/>
  <c r="G819" i="2" s="1"/>
  <c r="E824" i="1" s="1"/>
  <c r="A811" i="2"/>
  <c r="B811" i="2"/>
  <c r="C811" i="2" s="1"/>
  <c r="F811" i="2" s="1"/>
  <c r="G811" i="2" s="1"/>
  <c r="E816" i="1" s="1"/>
  <c r="A803" i="2"/>
  <c r="B803" i="2"/>
  <c r="C803" i="2" s="1"/>
  <c r="F803" i="2" s="1"/>
  <c r="G803" i="2" s="1"/>
  <c r="E808" i="1" s="1"/>
  <c r="A795" i="2"/>
  <c r="B795" i="2"/>
  <c r="C795" i="2" s="1"/>
  <c r="F795" i="2" s="1"/>
  <c r="G795" i="2" s="1"/>
  <c r="E800" i="1" s="1"/>
  <c r="A787" i="2"/>
  <c r="B787" i="2"/>
  <c r="C787" i="2" s="1"/>
  <c r="F787" i="2" s="1"/>
  <c r="G787" i="2" s="1"/>
  <c r="E792" i="1" s="1"/>
  <c r="A779" i="2"/>
  <c r="B779" i="2"/>
  <c r="C779" i="2" s="1"/>
  <c r="F779" i="2" s="1"/>
  <c r="G779" i="2" s="1"/>
  <c r="E784" i="1" s="1"/>
  <c r="A771" i="2"/>
  <c r="B771" i="2"/>
  <c r="C771" i="2" s="1"/>
  <c r="F771" i="2" s="1"/>
  <c r="G771" i="2" s="1"/>
  <c r="E776" i="1" s="1"/>
  <c r="A763" i="2"/>
  <c r="B763" i="2"/>
  <c r="C763" i="2" s="1"/>
  <c r="F763" i="2" s="1"/>
  <c r="G763" i="2" s="1"/>
  <c r="E768" i="1" s="1"/>
  <c r="A755" i="2"/>
  <c r="B755" i="2"/>
  <c r="C755" i="2" s="1"/>
  <c r="F755" i="2" s="1"/>
  <c r="G755" i="2" s="1"/>
  <c r="E760" i="1" s="1"/>
  <c r="A747" i="2"/>
  <c r="B747" i="2"/>
  <c r="C747" i="2" s="1"/>
  <c r="F747" i="2" s="1"/>
  <c r="G747" i="2" s="1"/>
  <c r="E752" i="1" s="1"/>
  <c r="A739" i="2"/>
  <c r="B739" i="2"/>
  <c r="C739" i="2" s="1"/>
  <c r="F739" i="2" s="1"/>
  <c r="G739" i="2" s="1"/>
  <c r="E744" i="1" s="1"/>
  <c r="A731" i="2"/>
  <c r="B731" i="2"/>
  <c r="C731" i="2" s="1"/>
  <c r="F731" i="2" s="1"/>
  <c r="G731" i="2" s="1"/>
  <c r="E736" i="1" s="1"/>
  <c r="A723" i="2"/>
  <c r="B723" i="2"/>
  <c r="C723" i="2" s="1"/>
  <c r="F723" i="2" s="1"/>
  <c r="G723" i="2" s="1"/>
  <c r="E728" i="1" s="1"/>
  <c r="A715" i="2"/>
  <c r="B715" i="2"/>
  <c r="C715" i="2" s="1"/>
  <c r="F715" i="2" s="1"/>
  <c r="G715" i="2" s="1"/>
  <c r="E720" i="1" s="1"/>
  <c r="A707" i="2"/>
  <c r="B707" i="2"/>
  <c r="C707" i="2" s="1"/>
  <c r="F707" i="2" s="1"/>
  <c r="G707" i="2" s="1"/>
  <c r="E712" i="1" s="1"/>
  <c r="A699" i="2"/>
  <c r="B699" i="2"/>
  <c r="C699" i="2" s="1"/>
  <c r="F699" i="2" s="1"/>
  <c r="G699" i="2" s="1"/>
  <c r="E704" i="1" s="1"/>
  <c r="A691" i="2"/>
  <c r="B691" i="2"/>
  <c r="C691" i="2" s="1"/>
  <c r="F691" i="2" s="1"/>
  <c r="G691" i="2" s="1"/>
  <c r="E696" i="1" s="1"/>
  <c r="A683" i="2"/>
  <c r="B683" i="2"/>
  <c r="C683" i="2" s="1"/>
  <c r="F683" i="2" s="1"/>
  <c r="G683" i="2" s="1"/>
  <c r="E688" i="1" s="1"/>
  <c r="A675" i="2"/>
  <c r="B675" i="2"/>
  <c r="C675" i="2" s="1"/>
  <c r="F675" i="2" s="1"/>
  <c r="G675" i="2" s="1"/>
  <c r="E680" i="1" s="1"/>
  <c r="A667" i="2"/>
  <c r="B667" i="2"/>
  <c r="C667" i="2" s="1"/>
  <c r="F667" i="2" s="1"/>
  <c r="G667" i="2" s="1"/>
  <c r="E672" i="1" s="1"/>
  <c r="A659" i="2"/>
  <c r="B659" i="2"/>
  <c r="C659" i="2" s="1"/>
  <c r="F659" i="2" s="1"/>
  <c r="G659" i="2" s="1"/>
  <c r="E664" i="1" s="1"/>
  <c r="A651" i="2"/>
  <c r="B651" i="2"/>
  <c r="C651" i="2" s="1"/>
  <c r="F651" i="2" s="1"/>
  <c r="G651" i="2" s="1"/>
  <c r="E656" i="1" s="1"/>
  <c r="A643" i="2"/>
  <c r="B643" i="2"/>
  <c r="C643" i="2" s="1"/>
  <c r="F643" i="2" s="1"/>
  <c r="G643" i="2" s="1"/>
  <c r="E648" i="1" s="1"/>
  <c r="A635" i="2"/>
  <c r="B635" i="2"/>
  <c r="C635" i="2" s="1"/>
  <c r="F635" i="2" s="1"/>
  <c r="G635" i="2" s="1"/>
  <c r="E640" i="1" s="1"/>
  <c r="A627" i="2"/>
  <c r="B627" i="2"/>
  <c r="C627" i="2" s="1"/>
  <c r="F627" i="2" s="1"/>
  <c r="G627" i="2" s="1"/>
  <c r="E632" i="1" s="1"/>
  <c r="A619" i="2"/>
  <c r="B619" i="2"/>
  <c r="C619" i="2" s="1"/>
  <c r="F619" i="2" s="1"/>
  <c r="G619" i="2" s="1"/>
  <c r="E624" i="1" s="1"/>
  <c r="A611" i="2"/>
  <c r="B611" i="2"/>
  <c r="C611" i="2" s="1"/>
  <c r="F611" i="2" s="1"/>
  <c r="G611" i="2" s="1"/>
  <c r="E616" i="1" s="1"/>
  <c r="A603" i="2"/>
  <c r="B603" i="2"/>
  <c r="C603" i="2" s="1"/>
  <c r="F603" i="2" s="1"/>
  <c r="G603" i="2" s="1"/>
  <c r="E608" i="1" s="1"/>
  <c r="A595" i="2"/>
  <c r="B595" i="2"/>
  <c r="C595" i="2" s="1"/>
  <c r="F595" i="2" s="1"/>
  <c r="G595" i="2" s="1"/>
  <c r="E600" i="1" s="1"/>
  <c r="A587" i="2"/>
  <c r="B587" i="2"/>
  <c r="C587" i="2" s="1"/>
  <c r="F587" i="2" s="1"/>
  <c r="G587" i="2" s="1"/>
  <c r="E592" i="1" s="1"/>
  <c r="A579" i="2"/>
  <c r="B579" i="2"/>
  <c r="C579" i="2" s="1"/>
  <c r="F579" i="2" s="1"/>
  <c r="G579" i="2" s="1"/>
  <c r="E584" i="1" s="1"/>
  <c r="A571" i="2"/>
  <c r="B571" i="2"/>
  <c r="C571" i="2" s="1"/>
  <c r="F571" i="2" s="1"/>
  <c r="G571" i="2" s="1"/>
  <c r="E576" i="1" s="1"/>
  <c r="A563" i="2"/>
  <c r="B563" i="2"/>
  <c r="C563" i="2" s="1"/>
  <c r="F563" i="2" s="1"/>
  <c r="G563" i="2" s="1"/>
  <c r="E568" i="1" s="1"/>
  <c r="A555" i="2"/>
  <c r="B555" i="2"/>
  <c r="C555" i="2" s="1"/>
  <c r="F555" i="2" s="1"/>
  <c r="G555" i="2" s="1"/>
  <c r="E560" i="1" s="1"/>
  <c r="A547" i="2"/>
  <c r="B547" i="2"/>
  <c r="C547" i="2" s="1"/>
  <c r="F547" i="2" s="1"/>
  <c r="G547" i="2" s="1"/>
  <c r="E552" i="1" s="1"/>
  <c r="A539" i="2"/>
  <c r="B539" i="2"/>
  <c r="C539" i="2" s="1"/>
  <c r="F539" i="2" s="1"/>
  <c r="G539" i="2" s="1"/>
  <c r="E544" i="1" s="1"/>
  <c r="A531" i="2"/>
  <c r="B531" i="2"/>
  <c r="C531" i="2" s="1"/>
  <c r="F531" i="2" s="1"/>
  <c r="G531" i="2" s="1"/>
  <c r="E536" i="1" s="1"/>
  <c r="A523" i="2"/>
  <c r="B523" i="2"/>
  <c r="C523" i="2" s="1"/>
  <c r="F523" i="2" s="1"/>
  <c r="G523" i="2" s="1"/>
  <c r="E528" i="1" s="1"/>
  <c r="A515" i="2"/>
  <c r="B515" i="2"/>
  <c r="C515" i="2" s="1"/>
  <c r="F515" i="2" s="1"/>
  <c r="G515" i="2" s="1"/>
  <c r="E520" i="1" s="1"/>
  <c r="A507" i="2"/>
  <c r="B507" i="2"/>
  <c r="C507" i="2" s="1"/>
  <c r="F507" i="2" s="1"/>
  <c r="G507" i="2" s="1"/>
  <c r="E512" i="1" s="1"/>
  <c r="A499" i="2"/>
  <c r="B499" i="2"/>
  <c r="C499" i="2" s="1"/>
  <c r="F499" i="2" s="1"/>
  <c r="G499" i="2" s="1"/>
  <c r="E504" i="1" s="1"/>
  <c r="A491" i="2"/>
  <c r="B491" i="2"/>
  <c r="C491" i="2" s="1"/>
  <c r="F491" i="2" s="1"/>
  <c r="G491" i="2" s="1"/>
  <c r="E496" i="1" s="1"/>
  <c r="A483" i="2"/>
  <c r="B483" i="2"/>
  <c r="C483" i="2" s="1"/>
  <c r="F483" i="2" s="1"/>
  <c r="G483" i="2" s="1"/>
  <c r="E488" i="1" s="1"/>
  <c r="A475" i="2"/>
  <c r="B475" i="2"/>
  <c r="C475" i="2" s="1"/>
  <c r="F475" i="2" s="1"/>
  <c r="G475" i="2" s="1"/>
  <c r="E480" i="1" s="1"/>
  <c r="A467" i="2"/>
  <c r="B467" i="2"/>
  <c r="C467" i="2" s="1"/>
  <c r="F467" i="2" s="1"/>
  <c r="G467" i="2" s="1"/>
  <c r="E472" i="1" s="1"/>
  <c r="A459" i="2"/>
  <c r="B459" i="2"/>
  <c r="C459" i="2" s="1"/>
  <c r="F459" i="2" s="1"/>
  <c r="G459" i="2" s="1"/>
  <c r="E464" i="1" s="1"/>
  <c r="A451" i="2"/>
  <c r="B451" i="2"/>
  <c r="C451" i="2" s="1"/>
  <c r="F451" i="2" s="1"/>
  <c r="G451" i="2" s="1"/>
  <c r="E456" i="1" s="1"/>
  <c r="A443" i="2"/>
  <c r="B443" i="2"/>
  <c r="C443" i="2" s="1"/>
  <c r="F443" i="2" s="1"/>
  <c r="G443" i="2" s="1"/>
  <c r="E448" i="1" s="1"/>
  <c r="A435" i="2"/>
  <c r="B435" i="2"/>
  <c r="C435" i="2" s="1"/>
  <c r="F435" i="2" s="1"/>
  <c r="G435" i="2" s="1"/>
  <c r="E440" i="1" s="1"/>
  <c r="A427" i="2"/>
  <c r="B427" i="2"/>
  <c r="C427" i="2" s="1"/>
  <c r="F427" i="2" s="1"/>
  <c r="G427" i="2" s="1"/>
  <c r="E432" i="1" s="1"/>
  <c r="A419" i="2"/>
  <c r="B419" i="2"/>
  <c r="C419" i="2" s="1"/>
  <c r="F419" i="2" s="1"/>
  <c r="G419" i="2" s="1"/>
  <c r="E424" i="1" s="1"/>
  <c r="A411" i="2"/>
  <c r="B411" i="2"/>
  <c r="C411" i="2" s="1"/>
  <c r="F411" i="2" s="1"/>
  <c r="G411" i="2" s="1"/>
  <c r="E416" i="1" s="1"/>
  <c r="A403" i="2"/>
  <c r="B403" i="2"/>
  <c r="C403" i="2" s="1"/>
  <c r="F403" i="2" s="1"/>
  <c r="G403" i="2" s="1"/>
  <c r="E408" i="1" s="1"/>
  <c r="A395" i="2"/>
  <c r="B395" i="2"/>
  <c r="C395" i="2" s="1"/>
  <c r="F395" i="2" s="1"/>
  <c r="G395" i="2" s="1"/>
  <c r="E400" i="1" s="1"/>
  <c r="A387" i="2"/>
  <c r="B387" i="2"/>
  <c r="C387" i="2" s="1"/>
  <c r="F387" i="2" s="1"/>
  <c r="G387" i="2" s="1"/>
  <c r="E392" i="1" s="1"/>
  <c r="A379" i="2"/>
  <c r="B379" i="2"/>
  <c r="C379" i="2" s="1"/>
  <c r="F379" i="2" s="1"/>
  <c r="G379" i="2" s="1"/>
  <c r="E384" i="1" s="1"/>
  <c r="A371" i="2"/>
  <c r="B371" i="2"/>
  <c r="C371" i="2" s="1"/>
  <c r="F371" i="2" s="1"/>
  <c r="G371" i="2" s="1"/>
  <c r="E376" i="1" s="1"/>
  <c r="A363" i="2"/>
  <c r="B363" i="2"/>
  <c r="C363" i="2" s="1"/>
  <c r="F363" i="2" s="1"/>
  <c r="G363" i="2" s="1"/>
  <c r="E368" i="1" s="1"/>
  <c r="A355" i="2"/>
  <c r="B355" i="2"/>
  <c r="C355" i="2" s="1"/>
  <c r="F355" i="2" s="1"/>
  <c r="G355" i="2" s="1"/>
  <c r="E360" i="1" s="1"/>
  <c r="A347" i="2"/>
  <c r="B347" i="2"/>
  <c r="C347" i="2" s="1"/>
  <c r="F347" i="2" s="1"/>
  <c r="G347" i="2" s="1"/>
  <c r="E352" i="1" s="1"/>
  <c r="A339" i="2"/>
  <c r="B339" i="2"/>
  <c r="C339" i="2" s="1"/>
  <c r="F339" i="2" s="1"/>
  <c r="G339" i="2" s="1"/>
  <c r="E344" i="1" s="1"/>
  <c r="A331" i="2"/>
  <c r="B331" i="2"/>
  <c r="C331" i="2" s="1"/>
  <c r="F331" i="2" s="1"/>
  <c r="G331" i="2" s="1"/>
  <c r="E336" i="1" s="1"/>
  <c r="A323" i="2"/>
  <c r="B323" i="2"/>
  <c r="C323" i="2" s="1"/>
  <c r="F323" i="2" s="1"/>
  <c r="G323" i="2" s="1"/>
  <c r="E328" i="1" s="1"/>
  <c r="A315" i="2"/>
  <c r="B315" i="2"/>
  <c r="C315" i="2" s="1"/>
  <c r="F315" i="2" s="1"/>
  <c r="G315" i="2" s="1"/>
  <c r="E320" i="1" s="1"/>
  <c r="A307" i="2"/>
  <c r="B307" i="2"/>
  <c r="C307" i="2" s="1"/>
  <c r="F307" i="2" s="1"/>
  <c r="G307" i="2" s="1"/>
  <c r="E312" i="1" s="1"/>
  <c r="A299" i="2"/>
  <c r="B299" i="2"/>
  <c r="C299" i="2" s="1"/>
  <c r="F299" i="2" s="1"/>
  <c r="G299" i="2" s="1"/>
  <c r="E304" i="1" s="1"/>
  <c r="A291" i="2"/>
  <c r="B291" i="2"/>
  <c r="C291" i="2" s="1"/>
  <c r="F291" i="2" s="1"/>
  <c r="G291" i="2" s="1"/>
  <c r="E296" i="1" s="1"/>
  <c r="A283" i="2"/>
  <c r="B283" i="2"/>
  <c r="C283" i="2" s="1"/>
  <c r="F283" i="2" s="1"/>
  <c r="G283" i="2" s="1"/>
  <c r="E288" i="1" s="1"/>
  <c r="A275" i="2"/>
  <c r="B275" i="2"/>
  <c r="C275" i="2" s="1"/>
  <c r="F275" i="2" s="1"/>
  <c r="G275" i="2" s="1"/>
  <c r="E280" i="1" s="1"/>
  <c r="A267" i="2"/>
  <c r="B267" i="2"/>
  <c r="C267" i="2" s="1"/>
  <c r="F267" i="2" s="1"/>
  <c r="G267" i="2" s="1"/>
  <c r="E272" i="1" s="1"/>
  <c r="A259" i="2"/>
  <c r="B259" i="2"/>
  <c r="C259" i="2" s="1"/>
  <c r="F259" i="2" s="1"/>
  <c r="G259" i="2" s="1"/>
  <c r="E264" i="1" s="1"/>
  <c r="A251" i="2"/>
  <c r="B251" i="2"/>
  <c r="C251" i="2" s="1"/>
  <c r="F251" i="2" s="1"/>
  <c r="G251" i="2" s="1"/>
  <c r="E256" i="1" s="1"/>
  <c r="A243" i="2"/>
  <c r="B243" i="2"/>
  <c r="C243" i="2" s="1"/>
  <c r="F243" i="2" s="1"/>
  <c r="G243" i="2" s="1"/>
  <c r="E248" i="1" s="1"/>
  <c r="A235" i="2"/>
  <c r="B235" i="2"/>
  <c r="C235" i="2" s="1"/>
  <c r="F235" i="2" s="1"/>
  <c r="G235" i="2" s="1"/>
  <c r="E240" i="1" s="1"/>
  <c r="A227" i="2"/>
  <c r="B227" i="2"/>
  <c r="C227" i="2" s="1"/>
  <c r="F227" i="2" s="1"/>
  <c r="G227" i="2" s="1"/>
  <c r="E232" i="1" s="1"/>
  <c r="A219" i="2"/>
  <c r="B219" i="2"/>
  <c r="C219" i="2" s="1"/>
  <c r="F219" i="2" s="1"/>
  <c r="G219" i="2" s="1"/>
  <c r="E224" i="1" s="1"/>
  <c r="A211" i="2"/>
  <c r="B211" i="2"/>
  <c r="C211" i="2" s="1"/>
  <c r="F211" i="2" s="1"/>
  <c r="G211" i="2" s="1"/>
  <c r="E216" i="1" s="1"/>
  <c r="A203" i="2"/>
  <c r="B203" i="2"/>
  <c r="C203" i="2" s="1"/>
  <c r="F203" i="2" s="1"/>
  <c r="G203" i="2" s="1"/>
  <c r="E208" i="1" s="1"/>
  <c r="A195" i="2"/>
  <c r="B195" i="2"/>
  <c r="C195" i="2" s="1"/>
  <c r="F195" i="2" s="1"/>
  <c r="G195" i="2" s="1"/>
  <c r="E200" i="1" s="1"/>
  <c r="A187" i="2"/>
  <c r="B187" i="2"/>
  <c r="C187" i="2" s="1"/>
  <c r="F187" i="2" s="1"/>
  <c r="G187" i="2" s="1"/>
  <c r="E192" i="1" s="1"/>
  <c r="A179" i="2"/>
  <c r="B179" i="2"/>
  <c r="C179" i="2" s="1"/>
  <c r="F179" i="2" s="1"/>
  <c r="G179" i="2" s="1"/>
  <c r="E184" i="1" s="1"/>
  <c r="A171" i="2"/>
  <c r="B171" i="2"/>
  <c r="C171" i="2" s="1"/>
  <c r="F171" i="2" s="1"/>
  <c r="G171" i="2" s="1"/>
  <c r="E176" i="1" s="1"/>
  <c r="A163" i="2"/>
  <c r="B163" i="2"/>
  <c r="C163" i="2" s="1"/>
  <c r="F163" i="2" s="1"/>
  <c r="G163" i="2" s="1"/>
  <c r="E168" i="1" s="1"/>
  <c r="A155" i="2"/>
  <c r="B155" i="2"/>
  <c r="C155" i="2" s="1"/>
  <c r="F155" i="2" s="1"/>
  <c r="G155" i="2" s="1"/>
  <c r="E160" i="1" s="1"/>
  <c r="A147" i="2"/>
  <c r="B147" i="2"/>
  <c r="C147" i="2" s="1"/>
  <c r="F147" i="2" s="1"/>
  <c r="G147" i="2" s="1"/>
  <c r="E152" i="1" s="1"/>
  <c r="A139" i="2"/>
  <c r="B139" i="2"/>
  <c r="C139" i="2" s="1"/>
  <c r="F139" i="2" s="1"/>
  <c r="G139" i="2" s="1"/>
  <c r="E144" i="1" s="1"/>
  <c r="A131" i="2"/>
  <c r="B131" i="2"/>
  <c r="C131" i="2" s="1"/>
  <c r="F131" i="2" s="1"/>
  <c r="G131" i="2" s="1"/>
  <c r="E136" i="1" s="1"/>
  <c r="A123" i="2"/>
  <c r="B123" i="2"/>
  <c r="C123" i="2" s="1"/>
  <c r="F123" i="2" s="1"/>
  <c r="G123" i="2" s="1"/>
  <c r="E128" i="1" s="1"/>
  <c r="A115" i="2"/>
  <c r="B115" i="2"/>
  <c r="C115" i="2" s="1"/>
  <c r="F115" i="2" s="1"/>
  <c r="G115" i="2" s="1"/>
  <c r="E120" i="1" s="1"/>
  <c r="A107" i="2"/>
  <c r="B107" i="2"/>
  <c r="C107" i="2" s="1"/>
  <c r="F107" i="2" s="1"/>
  <c r="G107" i="2" s="1"/>
  <c r="E112" i="1" s="1"/>
  <c r="A99" i="2"/>
  <c r="B99" i="2"/>
  <c r="C99" i="2" s="1"/>
  <c r="F99" i="2" s="1"/>
  <c r="G99" i="2" s="1"/>
  <c r="E104" i="1" s="1"/>
  <c r="A91" i="2"/>
  <c r="B91" i="2"/>
  <c r="C91" i="2" s="1"/>
  <c r="A83" i="2"/>
  <c r="B83" i="2"/>
  <c r="C83" i="2" s="1"/>
  <c r="F83" i="2" s="1"/>
  <c r="G83" i="2" s="1"/>
  <c r="E88" i="1" s="1"/>
  <c r="A75" i="2"/>
  <c r="B75" i="2"/>
  <c r="C75" i="2" s="1"/>
  <c r="A67" i="2"/>
  <c r="B67" i="2"/>
  <c r="C67" i="2" s="1"/>
  <c r="F67" i="2" s="1"/>
  <c r="G67" i="2" s="1"/>
  <c r="E72" i="1" s="1"/>
  <c r="A59" i="2"/>
  <c r="B59" i="2"/>
  <c r="C59" i="2" s="1"/>
  <c r="A51" i="2"/>
  <c r="B51" i="2"/>
  <c r="C51" i="2" s="1"/>
  <c r="F51" i="2" s="1"/>
  <c r="G51" i="2" s="1"/>
  <c r="E56" i="1" s="1"/>
  <c r="A43" i="2"/>
  <c r="B43" i="2"/>
  <c r="C43" i="2" s="1"/>
  <c r="F43" i="2" s="1"/>
  <c r="G43" i="2" s="1"/>
  <c r="E48" i="1" s="1"/>
  <c r="A35" i="2"/>
  <c r="B35" i="2"/>
  <c r="C35" i="2" s="1"/>
  <c r="F35" i="2" s="1"/>
  <c r="G35" i="2" s="1"/>
  <c r="E40" i="1" s="1"/>
  <c r="A27" i="2"/>
  <c r="B27" i="2"/>
  <c r="C27" i="2" s="1"/>
  <c r="A19" i="2"/>
  <c r="B19" i="2"/>
  <c r="C19" i="2" s="1"/>
  <c r="F19" i="2" s="1"/>
  <c r="G19" i="2" s="1"/>
  <c r="E24" i="1" s="1"/>
  <c r="A11" i="2"/>
  <c r="B11" i="2"/>
  <c r="C11" i="2" s="1"/>
  <c r="F11" i="2" s="1"/>
  <c r="G11" i="2" s="1"/>
  <c r="E16" i="1" s="1"/>
  <c r="A6" i="2"/>
  <c r="B6" i="2"/>
  <c r="C6" i="2" s="1"/>
  <c r="F6" i="2" s="1"/>
  <c r="G6" i="2" s="1"/>
  <c r="E11" i="1" s="1"/>
  <c r="A3994" i="2"/>
  <c r="B3994" i="2"/>
  <c r="C3994" i="2" s="1"/>
  <c r="F3994" i="2" s="1"/>
  <c r="G3994" i="2" s="1"/>
  <c r="E3999" i="1" s="1"/>
  <c r="A3986" i="2"/>
  <c r="B3986" i="2"/>
  <c r="C3986" i="2" s="1"/>
  <c r="F3986" i="2" s="1"/>
  <c r="G3986" i="2" s="1"/>
  <c r="E3991" i="1" s="1"/>
  <c r="A3978" i="2"/>
  <c r="B3978" i="2"/>
  <c r="C3978" i="2" s="1"/>
  <c r="F3978" i="2" s="1"/>
  <c r="G3978" i="2" s="1"/>
  <c r="E3983" i="1" s="1"/>
  <c r="A3970" i="2"/>
  <c r="B3970" i="2"/>
  <c r="C3970" i="2" s="1"/>
  <c r="F3970" i="2" s="1"/>
  <c r="G3970" i="2" s="1"/>
  <c r="E3975" i="1" s="1"/>
  <c r="A3962" i="2"/>
  <c r="B3962" i="2"/>
  <c r="C3962" i="2" s="1"/>
  <c r="F3962" i="2" s="1"/>
  <c r="G3962" i="2" s="1"/>
  <c r="E3967" i="1" s="1"/>
  <c r="A3954" i="2"/>
  <c r="B3954" i="2"/>
  <c r="C3954" i="2" s="1"/>
  <c r="F3954" i="2" s="1"/>
  <c r="G3954" i="2" s="1"/>
  <c r="E3959" i="1" s="1"/>
  <c r="A3946" i="2"/>
  <c r="B3946" i="2"/>
  <c r="C3946" i="2" s="1"/>
  <c r="F3946" i="2" s="1"/>
  <c r="G3946" i="2" s="1"/>
  <c r="E3951" i="1" s="1"/>
  <c r="A3938" i="2"/>
  <c r="B3938" i="2"/>
  <c r="C3938" i="2" s="1"/>
  <c r="F3938" i="2" s="1"/>
  <c r="G3938" i="2" s="1"/>
  <c r="E3943" i="1" s="1"/>
  <c r="A3930" i="2"/>
  <c r="B3930" i="2"/>
  <c r="C3930" i="2" s="1"/>
  <c r="F3930" i="2" s="1"/>
  <c r="G3930" i="2" s="1"/>
  <c r="E3935" i="1" s="1"/>
  <c r="A3922" i="2"/>
  <c r="B3922" i="2"/>
  <c r="C3922" i="2" s="1"/>
  <c r="F3922" i="2" s="1"/>
  <c r="G3922" i="2" s="1"/>
  <c r="E3927" i="1" s="1"/>
  <c r="A3914" i="2"/>
  <c r="B3914" i="2"/>
  <c r="C3914" i="2" s="1"/>
  <c r="F3914" i="2" s="1"/>
  <c r="G3914" i="2" s="1"/>
  <c r="E3919" i="1" s="1"/>
  <c r="A3906" i="2"/>
  <c r="B3906" i="2"/>
  <c r="C3906" i="2" s="1"/>
  <c r="F3906" i="2" s="1"/>
  <c r="G3906" i="2" s="1"/>
  <c r="E3911" i="1" s="1"/>
  <c r="A3898" i="2"/>
  <c r="B3898" i="2"/>
  <c r="C3898" i="2" s="1"/>
  <c r="F3898" i="2" s="1"/>
  <c r="G3898" i="2" s="1"/>
  <c r="E3903" i="1" s="1"/>
  <c r="A3890" i="2"/>
  <c r="B3890" i="2"/>
  <c r="C3890" i="2" s="1"/>
  <c r="F3890" i="2" s="1"/>
  <c r="G3890" i="2" s="1"/>
  <c r="E3895" i="1" s="1"/>
  <c r="A3882" i="2"/>
  <c r="B3882" i="2"/>
  <c r="C3882" i="2" s="1"/>
  <c r="F3882" i="2" s="1"/>
  <c r="G3882" i="2" s="1"/>
  <c r="E3887" i="1" s="1"/>
  <c r="A3874" i="2"/>
  <c r="B3874" i="2"/>
  <c r="C3874" i="2" s="1"/>
  <c r="F3874" i="2" s="1"/>
  <c r="G3874" i="2" s="1"/>
  <c r="E3879" i="1" s="1"/>
  <c r="A3866" i="2"/>
  <c r="B3866" i="2"/>
  <c r="C3866" i="2" s="1"/>
  <c r="F3866" i="2" s="1"/>
  <c r="G3866" i="2" s="1"/>
  <c r="E3871" i="1" s="1"/>
  <c r="A3858" i="2"/>
  <c r="B3858" i="2"/>
  <c r="C3858" i="2" s="1"/>
  <c r="F3858" i="2" s="1"/>
  <c r="G3858" i="2" s="1"/>
  <c r="E3863" i="1" s="1"/>
  <c r="A3850" i="2"/>
  <c r="B3850" i="2"/>
  <c r="C3850" i="2" s="1"/>
  <c r="F3850" i="2" s="1"/>
  <c r="G3850" i="2" s="1"/>
  <c r="E3855" i="1" s="1"/>
  <c r="A3842" i="2"/>
  <c r="B3842" i="2"/>
  <c r="C3842" i="2" s="1"/>
  <c r="F3842" i="2" s="1"/>
  <c r="G3842" i="2" s="1"/>
  <c r="E3847" i="1" s="1"/>
  <c r="A3834" i="2"/>
  <c r="B3834" i="2"/>
  <c r="C3834" i="2" s="1"/>
  <c r="F3834" i="2" s="1"/>
  <c r="G3834" i="2" s="1"/>
  <c r="E3839" i="1" s="1"/>
  <c r="A3826" i="2"/>
  <c r="B3826" i="2"/>
  <c r="C3826" i="2" s="1"/>
  <c r="F3826" i="2" s="1"/>
  <c r="G3826" i="2" s="1"/>
  <c r="E3831" i="1" s="1"/>
  <c r="A3818" i="2"/>
  <c r="B3818" i="2"/>
  <c r="C3818" i="2" s="1"/>
  <c r="F3818" i="2" s="1"/>
  <c r="G3818" i="2" s="1"/>
  <c r="E3823" i="1" s="1"/>
  <c r="A3810" i="2"/>
  <c r="B3810" i="2"/>
  <c r="C3810" i="2" s="1"/>
  <c r="F3810" i="2" s="1"/>
  <c r="G3810" i="2" s="1"/>
  <c r="E3815" i="1" s="1"/>
  <c r="A3802" i="2"/>
  <c r="B3802" i="2"/>
  <c r="C3802" i="2" s="1"/>
  <c r="F3802" i="2" s="1"/>
  <c r="G3802" i="2" s="1"/>
  <c r="E3807" i="1" s="1"/>
  <c r="A3794" i="2"/>
  <c r="B3794" i="2"/>
  <c r="C3794" i="2" s="1"/>
  <c r="F3794" i="2" s="1"/>
  <c r="G3794" i="2" s="1"/>
  <c r="E3799" i="1" s="1"/>
  <c r="A3786" i="2"/>
  <c r="B3786" i="2"/>
  <c r="C3786" i="2" s="1"/>
  <c r="F3786" i="2" s="1"/>
  <c r="G3786" i="2" s="1"/>
  <c r="E3791" i="1" s="1"/>
  <c r="A3778" i="2"/>
  <c r="B3778" i="2"/>
  <c r="C3778" i="2" s="1"/>
  <c r="F3778" i="2" s="1"/>
  <c r="G3778" i="2" s="1"/>
  <c r="E3783" i="1" s="1"/>
  <c r="A3770" i="2"/>
  <c r="B3770" i="2"/>
  <c r="C3770" i="2" s="1"/>
  <c r="F3770" i="2" s="1"/>
  <c r="G3770" i="2" s="1"/>
  <c r="E3775" i="1" s="1"/>
  <c r="A3762" i="2"/>
  <c r="B3762" i="2"/>
  <c r="C3762" i="2" s="1"/>
  <c r="F3762" i="2" s="1"/>
  <c r="G3762" i="2" s="1"/>
  <c r="E3767" i="1" s="1"/>
  <c r="A3754" i="2"/>
  <c r="B3754" i="2"/>
  <c r="C3754" i="2" s="1"/>
  <c r="F3754" i="2" s="1"/>
  <c r="G3754" i="2" s="1"/>
  <c r="E3759" i="1" s="1"/>
  <c r="A3746" i="2"/>
  <c r="B3746" i="2"/>
  <c r="C3746" i="2" s="1"/>
  <c r="F3746" i="2" s="1"/>
  <c r="G3746" i="2" s="1"/>
  <c r="E3751" i="1" s="1"/>
  <c r="A3738" i="2"/>
  <c r="B3738" i="2"/>
  <c r="C3738" i="2" s="1"/>
  <c r="F3738" i="2" s="1"/>
  <c r="G3738" i="2" s="1"/>
  <c r="E3743" i="1" s="1"/>
  <c r="A3730" i="2"/>
  <c r="B3730" i="2"/>
  <c r="C3730" i="2" s="1"/>
  <c r="F3730" i="2" s="1"/>
  <c r="G3730" i="2" s="1"/>
  <c r="E3735" i="1" s="1"/>
  <c r="A3722" i="2"/>
  <c r="B3722" i="2"/>
  <c r="C3722" i="2" s="1"/>
  <c r="F3722" i="2" s="1"/>
  <c r="G3722" i="2" s="1"/>
  <c r="E3727" i="1" s="1"/>
  <c r="A3714" i="2"/>
  <c r="B3714" i="2"/>
  <c r="C3714" i="2" s="1"/>
  <c r="F3714" i="2" s="1"/>
  <c r="G3714" i="2" s="1"/>
  <c r="E3719" i="1" s="1"/>
  <c r="A3706" i="2"/>
  <c r="B3706" i="2"/>
  <c r="C3706" i="2" s="1"/>
  <c r="F3706" i="2" s="1"/>
  <c r="G3706" i="2" s="1"/>
  <c r="E3711" i="1" s="1"/>
  <c r="A3698" i="2"/>
  <c r="B3698" i="2"/>
  <c r="C3698" i="2" s="1"/>
  <c r="F3698" i="2" s="1"/>
  <c r="G3698" i="2" s="1"/>
  <c r="E3703" i="1" s="1"/>
  <c r="A3690" i="2"/>
  <c r="B3690" i="2"/>
  <c r="C3690" i="2" s="1"/>
  <c r="F3690" i="2" s="1"/>
  <c r="G3690" i="2" s="1"/>
  <c r="E3695" i="1" s="1"/>
  <c r="A3682" i="2"/>
  <c r="B3682" i="2"/>
  <c r="C3682" i="2" s="1"/>
  <c r="F3682" i="2" s="1"/>
  <c r="G3682" i="2" s="1"/>
  <c r="E3687" i="1" s="1"/>
  <c r="A3674" i="2"/>
  <c r="B3674" i="2"/>
  <c r="C3674" i="2" s="1"/>
  <c r="F3674" i="2" s="1"/>
  <c r="G3674" i="2" s="1"/>
  <c r="E3679" i="1" s="1"/>
  <c r="A3666" i="2"/>
  <c r="B3666" i="2"/>
  <c r="C3666" i="2" s="1"/>
  <c r="F3666" i="2" s="1"/>
  <c r="G3666" i="2" s="1"/>
  <c r="E3671" i="1" s="1"/>
  <c r="A3658" i="2"/>
  <c r="B3658" i="2"/>
  <c r="C3658" i="2" s="1"/>
  <c r="F3658" i="2" s="1"/>
  <c r="G3658" i="2" s="1"/>
  <c r="E3663" i="1" s="1"/>
  <c r="A3650" i="2"/>
  <c r="B3650" i="2"/>
  <c r="C3650" i="2" s="1"/>
  <c r="F3650" i="2" s="1"/>
  <c r="G3650" i="2" s="1"/>
  <c r="E3655" i="1" s="1"/>
  <c r="A3642" i="2"/>
  <c r="B3642" i="2"/>
  <c r="C3642" i="2" s="1"/>
  <c r="F3642" i="2" s="1"/>
  <c r="G3642" i="2" s="1"/>
  <c r="E3647" i="1" s="1"/>
  <c r="A3634" i="2"/>
  <c r="B3634" i="2"/>
  <c r="C3634" i="2" s="1"/>
  <c r="F3634" i="2" s="1"/>
  <c r="G3634" i="2" s="1"/>
  <c r="E3639" i="1" s="1"/>
  <c r="A3626" i="2"/>
  <c r="B3626" i="2"/>
  <c r="C3626" i="2" s="1"/>
  <c r="F3626" i="2" s="1"/>
  <c r="G3626" i="2" s="1"/>
  <c r="E3631" i="1" s="1"/>
  <c r="A3618" i="2"/>
  <c r="B3618" i="2"/>
  <c r="C3618" i="2" s="1"/>
  <c r="F3618" i="2" s="1"/>
  <c r="G3618" i="2" s="1"/>
  <c r="E3623" i="1" s="1"/>
  <c r="A3610" i="2"/>
  <c r="B3610" i="2"/>
  <c r="C3610" i="2" s="1"/>
  <c r="F3610" i="2" s="1"/>
  <c r="G3610" i="2" s="1"/>
  <c r="E3615" i="1" s="1"/>
  <c r="A3602" i="2"/>
  <c r="B3602" i="2"/>
  <c r="C3602" i="2" s="1"/>
  <c r="F3602" i="2" s="1"/>
  <c r="G3602" i="2" s="1"/>
  <c r="E3607" i="1" s="1"/>
  <c r="A3594" i="2"/>
  <c r="B3594" i="2"/>
  <c r="C3594" i="2" s="1"/>
  <c r="F3594" i="2" s="1"/>
  <c r="G3594" i="2" s="1"/>
  <c r="E3599" i="1" s="1"/>
  <c r="A3586" i="2"/>
  <c r="B3586" i="2"/>
  <c r="C3586" i="2" s="1"/>
  <c r="F3586" i="2" s="1"/>
  <c r="G3586" i="2" s="1"/>
  <c r="E3591" i="1" s="1"/>
  <c r="A3578" i="2"/>
  <c r="B3578" i="2"/>
  <c r="C3578" i="2" s="1"/>
  <c r="F3578" i="2" s="1"/>
  <c r="G3578" i="2" s="1"/>
  <c r="E3583" i="1" s="1"/>
  <c r="A3570" i="2"/>
  <c r="B3570" i="2"/>
  <c r="C3570" i="2" s="1"/>
  <c r="F3570" i="2" s="1"/>
  <c r="G3570" i="2" s="1"/>
  <c r="E3575" i="1" s="1"/>
  <c r="A3562" i="2"/>
  <c r="B3562" i="2"/>
  <c r="C3562" i="2" s="1"/>
  <c r="F3562" i="2" s="1"/>
  <c r="G3562" i="2" s="1"/>
  <c r="E3567" i="1" s="1"/>
  <c r="A3554" i="2"/>
  <c r="B3554" i="2"/>
  <c r="C3554" i="2" s="1"/>
  <c r="F3554" i="2" s="1"/>
  <c r="G3554" i="2" s="1"/>
  <c r="E3559" i="1" s="1"/>
  <c r="A3546" i="2"/>
  <c r="B3546" i="2"/>
  <c r="C3546" i="2" s="1"/>
  <c r="F3546" i="2" s="1"/>
  <c r="G3546" i="2" s="1"/>
  <c r="E3551" i="1" s="1"/>
  <c r="A3538" i="2"/>
  <c r="B3538" i="2"/>
  <c r="C3538" i="2" s="1"/>
  <c r="F3538" i="2" s="1"/>
  <c r="G3538" i="2" s="1"/>
  <c r="E3543" i="1" s="1"/>
  <c r="A3530" i="2"/>
  <c r="B3530" i="2"/>
  <c r="C3530" i="2" s="1"/>
  <c r="F3530" i="2" s="1"/>
  <c r="G3530" i="2" s="1"/>
  <c r="E3535" i="1" s="1"/>
  <c r="A3522" i="2"/>
  <c r="B3522" i="2"/>
  <c r="C3522" i="2" s="1"/>
  <c r="F3522" i="2" s="1"/>
  <c r="G3522" i="2" s="1"/>
  <c r="E3527" i="1" s="1"/>
  <c r="A3514" i="2"/>
  <c r="B3514" i="2"/>
  <c r="C3514" i="2" s="1"/>
  <c r="F3514" i="2" s="1"/>
  <c r="G3514" i="2" s="1"/>
  <c r="E3519" i="1" s="1"/>
  <c r="A3506" i="2"/>
  <c r="B3506" i="2"/>
  <c r="C3506" i="2" s="1"/>
  <c r="F3506" i="2" s="1"/>
  <c r="G3506" i="2" s="1"/>
  <c r="E3511" i="1" s="1"/>
  <c r="A3498" i="2"/>
  <c r="B3498" i="2"/>
  <c r="C3498" i="2" s="1"/>
  <c r="F3498" i="2" s="1"/>
  <c r="G3498" i="2" s="1"/>
  <c r="E3503" i="1" s="1"/>
  <c r="A3490" i="2"/>
  <c r="B3490" i="2"/>
  <c r="C3490" i="2" s="1"/>
  <c r="F3490" i="2" s="1"/>
  <c r="G3490" i="2" s="1"/>
  <c r="E3495" i="1" s="1"/>
  <c r="A3482" i="2"/>
  <c r="B3482" i="2"/>
  <c r="C3482" i="2" s="1"/>
  <c r="F3482" i="2" s="1"/>
  <c r="G3482" i="2" s="1"/>
  <c r="E3487" i="1" s="1"/>
  <c r="A3474" i="2"/>
  <c r="B3474" i="2"/>
  <c r="C3474" i="2" s="1"/>
  <c r="F3474" i="2" s="1"/>
  <c r="G3474" i="2" s="1"/>
  <c r="E3479" i="1" s="1"/>
  <c r="A3466" i="2"/>
  <c r="B3466" i="2"/>
  <c r="C3466" i="2" s="1"/>
  <c r="F3466" i="2" s="1"/>
  <c r="G3466" i="2" s="1"/>
  <c r="E3471" i="1" s="1"/>
  <c r="A3458" i="2"/>
  <c r="B3458" i="2"/>
  <c r="C3458" i="2" s="1"/>
  <c r="F3458" i="2" s="1"/>
  <c r="G3458" i="2" s="1"/>
  <c r="E3463" i="1" s="1"/>
  <c r="A3450" i="2"/>
  <c r="B3450" i="2"/>
  <c r="C3450" i="2" s="1"/>
  <c r="F3450" i="2" s="1"/>
  <c r="G3450" i="2" s="1"/>
  <c r="E3455" i="1" s="1"/>
  <c r="A3442" i="2"/>
  <c r="B3442" i="2"/>
  <c r="C3442" i="2" s="1"/>
  <c r="F3442" i="2" s="1"/>
  <c r="G3442" i="2" s="1"/>
  <c r="E3447" i="1" s="1"/>
  <c r="A3434" i="2"/>
  <c r="B3434" i="2"/>
  <c r="C3434" i="2" s="1"/>
  <c r="F3434" i="2" s="1"/>
  <c r="G3434" i="2" s="1"/>
  <c r="E3439" i="1" s="1"/>
  <c r="A3426" i="2"/>
  <c r="B3426" i="2"/>
  <c r="C3426" i="2" s="1"/>
  <c r="F3426" i="2" s="1"/>
  <c r="G3426" i="2" s="1"/>
  <c r="E3431" i="1" s="1"/>
  <c r="A3418" i="2"/>
  <c r="B3418" i="2"/>
  <c r="C3418" i="2" s="1"/>
  <c r="F3418" i="2" s="1"/>
  <c r="G3418" i="2" s="1"/>
  <c r="E3423" i="1" s="1"/>
  <c r="A3410" i="2"/>
  <c r="B3410" i="2"/>
  <c r="C3410" i="2" s="1"/>
  <c r="F3410" i="2" s="1"/>
  <c r="G3410" i="2" s="1"/>
  <c r="E3415" i="1" s="1"/>
  <c r="A3402" i="2"/>
  <c r="B3402" i="2"/>
  <c r="C3402" i="2" s="1"/>
  <c r="F3402" i="2" s="1"/>
  <c r="G3402" i="2" s="1"/>
  <c r="E3407" i="1" s="1"/>
  <c r="A3394" i="2"/>
  <c r="B3394" i="2"/>
  <c r="C3394" i="2" s="1"/>
  <c r="F3394" i="2" s="1"/>
  <c r="G3394" i="2" s="1"/>
  <c r="E3399" i="1" s="1"/>
  <c r="A3386" i="2"/>
  <c r="B3386" i="2"/>
  <c r="C3386" i="2" s="1"/>
  <c r="F3386" i="2" s="1"/>
  <c r="G3386" i="2" s="1"/>
  <c r="E3391" i="1" s="1"/>
  <c r="A3378" i="2"/>
  <c r="B3378" i="2"/>
  <c r="C3378" i="2" s="1"/>
  <c r="F3378" i="2" s="1"/>
  <c r="G3378" i="2" s="1"/>
  <c r="E3383" i="1" s="1"/>
  <c r="A3370" i="2"/>
  <c r="B3370" i="2"/>
  <c r="C3370" i="2" s="1"/>
  <c r="F3370" i="2" s="1"/>
  <c r="G3370" i="2" s="1"/>
  <c r="E3375" i="1" s="1"/>
  <c r="A3362" i="2"/>
  <c r="B3362" i="2"/>
  <c r="C3362" i="2" s="1"/>
  <c r="F3362" i="2" s="1"/>
  <c r="G3362" i="2" s="1"/>
  <c r="E3367" i="1" s="1"/>
  <c r="A3354" i="2"/>
  <c r="B3354" i="2"/>
  <c r="C3354" i="2" s="1"/>
  <c r="F3354" i="2" s="1"/>
  <c r="G3354" i="2" s="1"/>
  <c r="E3359" i="1" s="1"/>
  <c r="A3346" i="2"/>
  <c r="B3346" i="2"/>
  <c r="C3346" i="2" s="1"/>
  <c r="F3346" i="2" s="1"/>
  <c r="G3346" i="2" s="1"/>
  <c r="E3351" i="1" s="1"/>
  <c r="A3338" i="2"/>
  <c r="B3338" i="2"/>
  <c r="C3338" i="2" s="1"/>
  <c r="F3338" i="2" s="1"/>
  <c r="G3338" i="2" s="1"/>
  <c r="E3343" i="1" s="1"/>
  <c r="A3330" i="2"/>
  <c r="B3330" i="2"/>
  <c r="C3330" i="2" s="1"/>
  <c r="F3330" i="2" s="1"/>
  <c r="G3330" i="2" s="1"/>
  <c r="E3335" i="1" s="1"/>
  <c r="A3322" i="2"/>
  <c r="B3322" i="2"/>
  <c r="C3322" i="2" s="1"/>
  <c r="F3322" i="2" s="1"/>
  <c r="G3322" i="2" s="1"/>
  <c r="E3327" i="1" s="1"/>
  <c r="A3314" i="2"/>
  <c r="B3314" i="2"/>
  <c r="C3314" i="2" s="1"/>
  <c r="F3314" i="2" s="1"/>
  <c r="G3314" i="2" s="1"/>
  <c r="E3319" i="1" s="1"/>
  <c r="A3306" i="2"/>
  <c r="B3306" i="2"/>
  <c r="C3306" i="2" s="1"/>
  <c r="F3306" i="2" s="1"/>
  <c r="G3306" i="2" s="1"/>
  <c r="E3311" i="1" s="1"/>
  <c r="A3298" i="2"/>
  <c r="B3298" i="2"/>
  <c r="C3298" i="2" s="1"/>
  <c r="F3298" i="2" s="1"/>
  <c r="G3298" i="2" s="1"/>
  <c r="E3303" i="1" s="1"/>
  <c r="A3290" i="2"/>
  <c r="B3290" i="2"/>
  <c r="C3290" i="2" s="1"/>
  <c r="F3290" i="2" s="1"/>
  <c r="G3290" i="2" s="1"/>
  <c r="E3295" i="1" s="1"/>
  <c r="A3282" i="2"/>
  <c r="B3282" i="2"/>
  <c r="C3282" i="2" s="1"/>
  <c r="F3282" i="2" s="1"/>
  <c r="G3282" i="2" s="1"/>
  <c r="E3287" i="1" s="1"/>
  <c r="A3274" i="2"/>
  <c r="B3274" i="2"/>
  <c r="C3274" i="2" s="1"/>
  <c r="F3274" i="2" s="1"/>
  <c r="G3274" i="2" s="1"/>
  <c r="E3279" i="1" s="1"/>
  <c r="A3266" i="2"/>
  <c r="B3266" i="2"/>
  <c r="C3266" i="2" s="1"/>
  <c r="F3266" i="2" s="1"/>
  <c r="G3266" i="2" s="1"/>
  <c r="E3271" i="1" s="1"/>
  <c r="A3258" i="2"/>
  <c r="B3258" i="2"/>
  <c r="C3258" i="2" s="1"/>
  <c r="F3258" i="2" s="1"/>
  <c r="G3258" i="2" s="1"/>
  <c r="E3263" i="1" s="1"/>
  <c r="A3250" i="2"/>
  <c r="B3250" i="2"/>
  <c r="C3250" i="2" s="1"/>
  <c r="F3250" i="2" s="1"/>
  <c r="G3250" i="2" s="1"/>
  <c r="E3255" i="1" s="1"/>
  <c r="A3242" i="2"/>
  <c r="B3242" i="2"/>
  <c r="C3242" i="2" s="1"/>
  <c r="F3242" i="2" s="1"/>
  <c r="G3242" i="2" s="1"/>
  <c r="E3247" i="1" s="1"/>
  <c r="A3234" i="2"/>
  <c r="B3234" i="2"/>
  <c r="C3234" i="2" s="1"/>
  <c r="F3234" i="2" s="1"/>
  <c r="G3234" i="2" s="1"/>
  <c r="E3239" i="1" s="1"/>
  <c r="A3226" i="2"/>
  <c r="B3226" i="2"/>
  <c r="C3226" i="2" s="1"/>
  <c r="F3226" i="2" s="1"/>
  <c r="G3226" i="2" s="1"/>
  <c r="E3231" i="1" s="1"/>
  <c r="A3218" i="2"/>
  <c r="B3218" i="2"/>
  <c r="C3218" i="2" s="1"/>
  <c r="F3218" i="2" s="1"/>
  <c r="G3218" i="2" s="1"/>
  <c r="E3223" i="1" s="1"/>
  <c r="A3210" i="2"/>
  <c r="B3210" i="2"/>
  <c r="C3210" i="2" s="1"/>
  <c r="F3210" i="2" s="1"/>
  <c r="G3210" i="2" s="1"/>
  <c r="E3215" i="1" s="1"/>
  <c r="A3202" i="2"/>
  <c r="B3202" i="2"/>
  <c r="C3202" i="2" s="1"/>
  <c r="F3202" i="2" s="1"/>
  <c r="G3202" i="2" s="1"/>
  <c r="E3207" i="1" s="1"/>
  <c r="A3194" i="2"/>
  <c r="B3194" i="2"/>
  <c r="C3194" i="2" s="1"/>
  <c r="F3194" i="2" s="1"/>
  <c r="G3194" i="2" s="1"/>
  <c r="E3199" i="1" s="1"/>
  <c r="A3186" i="2"/>
  <c r="B3186" i="2"/>
  <c r="C3186" i="2" s="1"/>
  <c r="F3186" i="2" s="1"/>
  <c r="G3186" i="2" s="1"/>
  <c r="E3191" i="1" s="1"/>
  <c r="A3178" i="2"/>
  <c r="B3178" i="2"/>
  <c r="C3178" i="2" s="1"/>
  <c r="F3178" i="2" s="1"/>
  <c r="G3178" i="2" s="1"/>
  <c r="E3183" i="1" s="1"/>
  <c r="A3170" i="2"/>
  <c r="B3170" i="2"/>
  <c r="C3170" i="2" s="1"/>
  <c r="F3170" i="2" s="1"/>
  <c r="G3170" i="2" s="1"/>
  <c r="E3175" i="1" s="1"/>
  <c r="A3162" i="2"/>
  <c r="B3162" i="2"/>
  <c r="C3162" i="2" s="1"/>
  <c r="F3162" i="2" s="1"/>
  <c r="G3162" i="2" s="1"/>
  <c r="E3167" i="1" s="1"/>
  <c r="A3154" i="2"/>
  <c r="B3154" i="2"/>
  <c r="C3154" i="2" s="1"/>
  <c r="F3154" i="2" s="1"/>
  <c r="G3154" i="2" s="1"/>
  <c r="E3159" i="1" s="1"/>
  <c r="A3146" i="2"/>
  <c r="B3146" i="2"/>
  <c r="C3146" i="2" s="1"/>
  <c r="F3146" i="2" s="1"/>
  <c r="G3146" i="2" s="1"/>
  <c r="E3151" i="1" s="1"/>
  <c r="A3138" i="2"/>
  <c r="B3138" i="2"/>
  <c r="C3138" i="2" s="1"/>
  <c r="F3138" i="2" s="1"/>
  <c r="G3138" i="2" s="1"/>
  <c r="E3143" i="1" s="1"/>
  <c r="A3130" i="2"/>
  <c r="B3130" i="2"/>
  <c r="C3130" i="2" s="1"/>
  <c r="F3130" i="2" s="1"/>
  <c r="G3130" i="2" s="1"/>
  <c r="E3135" i="1" s="1"/>
  <c r="A3122" i="2"/>
  <c r="B3122" i="2"/>
  <c r="C3122" i="2" s="1"/>
  <c r="F3122" i="2" s="1"/>
  <c r="G3122" i="2" s="1"/>
  <c r="E3127" i="1" s="1"/>
  <c r="A3114" i="2"/>
  <c r="B3114" i="2"/>
  <c r="C3114" i="2" s="1"/>
  <c r="F3114" i="2" s="1"/>
  <c r="G3114" i="2" s="1"/>
  <c r="E3119" i="1" s="1"/>
  <c r="A3106" i="2"/>
  <c r="B3106" i="2"/>
  <c r="C3106" i="2" s="1"/>
  <c r="F3106" i="2" s="1"/>
  <c r="G3106" i="2" s="1"/>
  <c r="E3111" i="1" s="1"/>
  <c r="A3098" i="2"/>
  <c r="B3098" i="2"/>
  <c r="C3098" i="2" s="1"/>
  <c r="F3098" i="2" s="1"/>
  <c r="G3098" i="2" s="1"/>
  <c r="E3103" i="1" s="1"/>
  <c r="A3090" i="2"/>
  <c r="B3090" i="2"/>
  <c r="C3090" i="2" s="1"/>
  <c r="F3090" i="2" s="1"/>
  <c r="G3090" i="2" s="1"/>
  <c r="E3095" i="1" s="1"/>
  <c r="A3082" i="2"/>
  <c r="B3082" i="2"/>
  <c r="C3082" i="2" s="1"/>
  <c r="F3082" i="2" s="1"/>
  <c r="G3082" i="2" s="1"/>
  <c r="E3087" i="1" s="1"/>
  <c r="A3074" i="2"/>
  <c r="B3074" i="2"/>
  <c r="C3074" i="2" s="1"/>
  <c r="F3074" i="2" s="1"/>
  <c r="G3074" i="2" s="1"/>
  <c r="E3079" i="1" s="1"/>
  <c r="A3066" i="2"/>
  <c r="B3066" i="2"/>
  <c r="C3066" i="2" s="1"/>
  <c r="F3066" i="2" s="1"/>
  <c r="G3066" i="2" s="1"/>
  <c r="E3071" i="1" s="1"/>
  <c r="A3058" i="2"/>
  <c r="B3058" i="2"/>
  <c r="C3058" i="2" s="1"/>
  <c r="F3058" i="2" s="1"/>
  <c r="G3058" i="2" s="1"/>
  <c r="E3063" i="1" s="1"/>
  <c r="A3050" i="2"/>
  <c r="B3050" i="2"/>
  <c r="C3050" i="2" s="1"/>
  <c r="F3050" i="2" s="1"/>
  <c r="G3050" i="2" s="1"/>
  <c r="E3055" i="1" s="1"/>
  <c r="A3042" i="2"/>
  <c r="B3042" i="2"/>
  <c r="C3042" i="2" s="1"/>
  <c r="F3042" i="2" s="1"/>
  <c r="G3042" i="2" s="1"/>
  <c r="E3047" i="1" s="1"/>
  <c r="A3034" i="2"/>
  <c r="B3034" i="2"/>
  <c r="C3034" i="2" s="1"/>
  <c r="F3034" i="2" s="1"/>
  <c r="G3034" i="2" s="1"/>
  <c r="E3039" i="1" s="1"/>
  <c r="A3026" i="2"/>
  <c r="B3026" i="2"/>
  <c r="C3026" i="2" s="1"/>
  <c r="F3026" i="2" s="1"/>
  <c r="G3026" i="2" s="1"/>
  <c r="E3031" i="1" s="1"/>
  <c r="A3018" i="2"/>
  <c r="B3018" i="2"/>
  <c r="C3018" i="2" s="1"/>
  <c r="F3018" i="2" s="1"/>
  <c r="G3018" i="2" s="1"/>
  <c r="E3023" i="1" s="1"/>
  <c r="A3010" i="2"/>
  <c r="B3010" i="2"/>
  <c r="C3010" i="2" s="1"/>
  <c r="F3010" i="2" s="1"/>
  <c r="G3010" i="2" s="1"/>
  <c r="E3015" i="1" s="1"/>
  <c r="A3002" i="2"/>
  <c r="B3002" i="2"/>
  <c r="C3002" i="2" s="1"/>
  <c r="F3002" i="2" s="1"/>
  <c r="G3002" i="2" s="1"/>
  <c r="E3007" i="1" s="1"/>
  <c r="A2994" i="2"/>
  <c r="B2994" i="2"/>
  <c r="C2994" i="2" s="1"/>
  <c r="F2994" i="2" s="1"/>
  <c r="G2994" i="2" s="1"/>
  <c r="E2999" i="1" s="1"/>
  <c r="A2986" i="2"/>
  <c r="B2986" i="2"/>
  <c r="C2986" i="2" s="1"/>
  <c r="F2986" i="2" s="1"/>
  <c r="G2986" i="2" s="1"/>
  <c r="E2991" i="1" s="1"/>
  <c r="A2978" i="2"/>
  <c r="B2978" i="2"/>
  <c r="C2978" i="2" s="1"/>
  <c r="F2978" i="2" s="1"/>
  <c r="G2978" i="2" s="1"/>
  <c r="E2983" i="1" s="1"/>
  <c r="A2970" i="2"/>
  <c r="B2970" i="2"/>
  <c r="C2970" i="2" s="1"/>
  <c r="F2970" i="2" s="1"/>
  <c r="G2970" i="2" s="1"/>
  <c r="E2975" i="1" s="1"/>
  <c r="A2962" i="2"/>
  <c r="B2962" i="2"/>
  <c r="C2962" i="2" s="1"/>
  <c r="F2962" i="2" s="1"/>
  <c r="G2962" i="2" s="1"/>
  <c r="E2967" i="1" s="1"/>
  <c r="A2954" i="2"/>
  <c r="B2954" i="2"/>
  <c r="C2954" i="2" s="1"/>
  <c r="F2954" i="2" s="1"/>
  <c r="G2954" i="2" s="1"/>
  <c r="E2959" i="1" s="1"/>
  <c r="A2946" i="2"/>
  <c r="B2946" i="2"/>
  <c r="C2946" i="2" s="1"/>
  <c r="F2946" i="2" s="1"/>
  <c r="G2946" i="2" s="1"/>
  <c r="E2951" i="1" s="1"/>
  <c r="A2938" i="2"/>
  <c r="B2938" i="2"/>
  <c r="C2938" i="2" s="1"/>
  <c r="F2938" i="2" s="1"/>
  <c r="G2938" i="2" s="1"/>
  <c r="E2943" i="1" s="1"/>
  <c r="A2930" i="2"/>
  <c r="B2930" i="2"/>
  <c r="C2930" i="2" s="1"/>
  <c r="F2930" i="2" s="1"/>
  <c r="G2930" i="2" s="1"/>
  <c r="E2935" i="1" s="1"/>
  <c r="A2922" i="2"/>
  <c r="B2922" i="2"/>
  <c r="C2922" i="2" s="1"/>
  <c r="F2922" i="2" s="1"/>
  <c r="G2922" i="2" s="1"/>
  <c r="E2927" i="1" s="1"/>
  <c r="A2914" i="2"/>
  <c r="B2914" i="2"/>
  <c r="C2914" i="2" s="1"/>
  <c r="F2914" i="2" s="1"/>
  <c r="G2914" i="2" s="1"/>
  <c r="E2919" i="1" s="1"/>
  <c r="A2906" i="2"/>
  <c r="B2906" i="2"/>
  <c r="C2906" i="2" s="1"/>
  <c r="F2906" i="2" s="1"/>
  <c r="G2906" i="2" s="1"/>
  <c r="E2911" i="1" s="1"/>
  <c r="A2898" i="2"/>
  <c r="B2898" i="2"/>
  <c r="C2898" i="2" s="1"/>
  <c r="F2898" i="2" s="1"/>
  <c r="G2898" i="2" s="1"/>
  <c r="E2903" i="1" s="1"/>
  <c r="A2890" i="2"/>
  <c r="B2890" i="2"/>
  <c r="C2890" i="2" s="1"/>
  <c r="F2890" i="2" s="1"/>
  <c r="G2890" i="2" s="1"/>
  <c r="E2895" i="1" s="1"/>
  <c r="A2882" i="2"/>
  <c r="B2882" i="2"/>
  <c r="C2882" i="2" s="1"/>
  <c r="F2882" i="2" s="1"/>
  <c r="G2882" i="2" s="1"/>
  <c r="E2887" i="1" s="1"/>
  <c r="A2874" i="2"/>
  <c r="B2874" i="2"/>
  <c r="C2874" i="2" s="1"/>
  <c r="F2874" i="2" s="1"/>
  <c r="G2874" i="2" s="1"/>
  <c r="E2879" i="1" s="1"/>
  <c r="A2866" i="2"/>
  <c r="B2866" i="2"/>
  <c r="C2866" i="2" s="1"/>
  <c r="F2866" i="2" s="1"/>
  <c r="G2866" i="2" s="1"/>
  <c r="E2871" i="1" s="1"/>
  <c r="A2858" i="2"/>
  <c r="B2858" i="2"/>
  <c r="C2858" i="2" s="1"/>
  <c r="F2858" i="2" s="1"/>
  <c r="G2858" i="2" s="1"/>
  <c r="E2863" i="1" s="1"/>
  <c r="A2850" i="2"/>
  <c r="B2850" i="2"/>
  <c r="C2850" i="2" s="1"/>
  <c r="F2850" i="2" s="1"/>
  <c r="G2850" i="2" s="1"/>
  <c r="E2855" i="1" s="1"/>
  <c r="A2842" i="2"/>
  <c r="B2842" i="2"/>
  <c r="C2842" i="2" s="1"/>
  <c r="F2842" i="2" s="1"/>
  <c r="G2842" i="2" s="1"/>
  <c r="E2847" i="1" s="1"/>
  <c r="A2834" i="2"/>
  <c r="B2834" i="2"/>
  <c r="C2834" i="2" s="1"/>
  <c r="F2834" i="2" s="1"/>
  <c r="G2834" i="2" s="1"/>
  <c r="E2839" i="1" s="1"/>
  <c r="A2826" i="2"/>
  <c r="B2826" i="2"/>
  <c r="C2826" i="2" s="1"/>
  <c r="F2826" i="2" s="1"/>
  <c r="G2826" i="2" s="1"/>
  <c r="E2831" i="1" s="1"/>
  <c r="A2818" i="2"/>
  <c r="B2818" i="2"/>
  <c r="C2818" i="2" s="1"/>
  <c r="F2818" i="2" s="1"/>
  <c r="G2818" i="2" s="1"/>
  <c r="E2823" i="1" s="1"/>
  <c r="A2810" i="2"/>
  <c r="B2810" i="2"/>
  <c r="C2810" i="2" s="1"/>
  <c r="F2810" i="2" s="1"/>
  <c r="G2810" i="2" s="1"/>
  <c r="E2815" i="1" s="1"/>
  <c r="A2802" i="2"/>
  <c r="B2802" i="2"/>
  <c r="C2802" i="2" s="1"/>
  <c r="F2802" i="2" s="1"/>
  <c r="G2802" i="2" s="1"/>
  <c r="E2807" i="1" s="1"/>
  <c r="A2794" i="2"/>
  <c r="B2794" i="2"/>
  <c r="C2794" i="2" s="1"/>
  <c r="F2794" i="2" s="1"/>
  <c r="G2794" i="2" s="1"/>
  <c r="E2799" i="1" s="1"/>
  <c r="A2786" i="2"/>
  <c r="B2786" i="2"/>
  <c r="C2786" i="2" s="1"/>
  <c r="F2786" i="2" s="1"/>
  <c r="G2786" i="2" s="1"/>
  <c r="E2791" i="1" s="1"/>
  <c r="A2778" i="2"/>
  <c r="B2778" i="2"/>
  <c r="C2778" i="2" s="1"/>
  <c r="F2778" i="2" s="1"/>
  <c r="G2778" i="2" s="1"/>
  <c r="E2783" i="1" s="1"/>
  <c r="A2770" i="2"/>
  <c r="B2770" i="2"/>
  <c r="C2770" i="2" s="1"/>
  <c r="F2770" i="2" s="1"/>
  <c r="G2770" i="2" s="1"/>
  <c r="E2775" i="1" s="1"/>
  <c r="A2762" i="2"/>
  <c r="B2762" i="2"/>
  <c r="C2762" i="2" s="1"/>
  <c r="F2762" i="2" s="1"/>
  <c r="G2762" i="2" s="1"/>
  <c r="E2767" i="1" s="1"/>
  <c r="A2754" i="2"/>
  <c r="B2754" i="2"/>
  <c r="C2754" i="2" s="1"/>
  <c r="F2754" i="2" s="1"/>
  <c r="G2754" i="2" s="1"/>
  <c r="E2759" i="1" s="1"/>
  <c r="A2746" i="2"/>
  <c r="B2746" i="2"/>
  <c r="C2746" i="2" s="1"/>
  <c r="F2746" i="2" s="1"/>
  <c r="G2746" i="2" s="1"/>
  <c r="E2751" i="1" s="1"/>
  <c r="A2738" i="2"/>
  <c r="B2738" i="2"/>
  <c r="C2738" i="2" s="1"/>
  <c r="F2738" i="2" s="1"/>
  <c r="G2738" i="2" s="1"/>
  <c r="E2743" i="1" s="1"/>
  <c r="A2730" i="2"/>
  <c r="B2730" i="2"/>
  <c r="C2730" i="2" s="1"/>
  <c r="F2730" i="2" s="1"/>
  <c r="G2730" i="2" s="1"/>
  <c r="E2735" i="1" s="1"/>
  <c r="A2722" i="2"/>
  <c r="B2722" i="2"/>
  <c r="C2722" i="2" s="1"/>
  <c r="F2722" i="2" s="1"/>
  <c r="G2722" i="2" s="1"/>
  <c r="E2727" i="1" s="1"/>
  <c r="A2714" i="2"/>
  <c r="B2714" i="2"/>
  <c r="C2714" i="2" s="1"/>
  <c r="F2714" i="2" s="1"/>
  <c r="G2714" i="2" s="1"/>
  <c r="E2719" i="1" s="1"/>
  <c r="A2706" i="2"/>
  <c r="B2706" i="2"/>
  <c r="C2706" i="2" s="1"/>
  <c r="F2706" i="2" s="1"/>
  <c r="G2706" i="2" s="1"/>
  <c r="E2711" i="1" s="1"/>
  <c r="A2698" i="2"/>
  <c r="B2698" i="2"/>
  <c r="C2698" i="2" s="1"/>
  <c r="F2698" i="2" s="1"/>
  <c r="G2698" i="2" s="1"/>
  <c r="E2703" i="1" s="1"/>
  <c r="A2690" i="2"/>
  <c r="B2690" i="2"/>
  <c r="C2690" i="2" s="1"/>
  <c r="F2690" i="2" s="1"/>
  <c r="G2690" i="2" s="1"/>
  <c r="E2695" i="1" s="1"/>
  <c r="A2682" i="2"/>
  <c r="B2682" i="2"/>
  <c r="C2682" i="2" s="1"/>
  <c r="F2682" i="2" s="1"/>
  <c r="G2682" i="2" s="1"/>
  <c r="E2687" i="1" s="1"/>
  <c r="A2674" i="2"/>
  <c r="B2674" i="2"/>
  <c r="C2674" i="2" s="1"/>
  <c r="F2674" i="2" s="1"/>
  <c r="G2674" i="2" s="1"/>
  <c r="E2679" i="1" s="1"/>
  <c r="A2666" i="2"/>
  <c r="B2666" i="2"/>
  <c r="C2666" i="2" s="1"/>
  <c r="F2666" i="2" s="1"/>
  <c r="G2666" i="2" s="1"/>
  <c r="E2671" i="1" s="1"/>
  <c r="A2658" i="2"/>
  <c r="B2658" i="2"/>
  <c r="C2658" i="2" s="1"/>
  <c r="F2658" i="2" s="1"/>
  <c r="G2658" i="2" s="1"/>
  <c r="E2663" i="1" s="1"/>
  <c r="A2650" i="2"/>
  <c r="B2650" i="2"/>
  <c r="C2650" i="2" s="1"/>
  <c r="F2650" i="2" s="1"/>
  <c r="G2650" i="2" s="1"/>
  <c r="E2655" i="1" s="1"/>
  <c r="A2642" i="2"/>
  <c r="B2642" i="2"/>
  <c r="C2642" i="2" s="1"/>
  <c r="F2642" i="2" s="1"/>
  <c r="G2642" i="2" s="1"/>
  <c r="E2647" i="1" s="1"/>
  <c r="A2634" i="2"/>
  <c r="B2634" i="2"/>
  <c r="C2634" i="2" s="1"/>
  <c r="F2634" i="2" s="1"/>
  <c r="G2634" i="2" s="1"/>
  <c r="E2639" i="1" s="1"/>
  <c r="A2626" i="2"/>
  <c r="B2626" i="2"/>
  <c r="C2626" i="2" s="1"/>
  <c r="F2626" i="2" s="1"/>
  <c r="G2626" i="2" s="1"/>
  <c r="E2631" i="1" s="1"/>
  <c r="A2618" i="2"/>
  <c r="B2618" i="2"/>
  <c r="C2618" i="2" s="1"/>
  <c r="F2618" i="2" s="1"/>
  <c r="G2618" i="2" s="1"/>
  <c r="E2623" i="1" s="1"/>
  <c r="A2610" i="2"/>
  <c r="B2610" i="2"/>
  <c r="C2610" i="2" s="1"/>
  <c r="F2610" i="2" s="1"/>
  <c r="G2610" i="2" s="1"/>
  <c r="E2615" i="1" s="1"/>
  <c r="A2602" i="2"/>
  <c r="B2602" i="2"/>
  <c r="C2602" i="2" s="1"/>
  <c r="F2602" i="2" s="1"/>
  <c r="G2602" i="2" s="1"/>
  <c r="E2607" i="1" s="1"/>
  <c r="A2594" i="2"/>
  <c r="B2594" i="2"/>
  <c r="C2594" i="2" s="1"/>
  <c r="F2594" i="2" s="1"/>
  <c r="G2594" i="2" s="1"/>
  <c r="E2599" i="1" s="1"/>
  <c r="A2586" i="2"/>
  <c r="B2586" i="2"/>
  <c r="C2586" i="2" s="1"/>
  <c r="F2586" i="2" s="1"/>
  <c r="G2586" i="2" s="1"/>
  <c r="E2591" i="1" s="1"/>
  <c r="A2578" i="2"/>
  <c r="B2578" i="2"/>
  <c r="C2578" i="2" s="1"/>
  <c r="F2578" i="2" s="1"/>
  <c r="G2578" i="2" s="1"/>
  <c r="E2583" i="1" s="1"/>
  <c r="A2570" i="2"/>
  <c r="B2570" i="2"/>
  <c r="C2570" i="2" s="1"/>
  <c r="F2570" i="2" s="1"/>
  <c r="G2570" i="2" s="1"/>
  <c r="E2575" i="1" s="1"/>
  <c r="A2562" i="2"/>
  <c r="B2562" i="2"/>
  <c r="C2562" i="2" s="1"/>
  <c r="F2562" i="2" s="1"/>
  <c r="G2562" i="2" s="1"/>
  <c r="E2567" i="1" s="1"/>
  <c r="A2554" i="2"/>
  <c r="B2554" i="2"/>
  <c r="C2554" i="2" s="1"/>
  <c r="F2554" i="2" s="1"/>
  <c r="G2554" i="2" s="1"/>
  <c r="E2559" i="1" s="1"/>
  <c r="A2546" i="2"/>
  <c r="B2546" i="2"/>
  <c r="C2546" i="2" s="1"/>
  <c r="F2546" i="2" s="1"/>
  <c r="G2546" i="2" s="1"/>
  <c r="E2551" i="1" s="1"/>
  <c r="A2538" i="2"/>
  <c r="B2538" i="2"/>
  <c r="C2538" i="2" s="1"/>
  <c r="F2538" i="2" s="1"/>
  <c r="G2538" i="2" s="1"/>
  <c r="E2543" i="1" s="1"/>
  <c r="A2530" i="2"/>
  <c r="B2530" i="2"/>
  <c r="C2530" i="2" s="1"/>
  <c r="F2530" i="2" s="1"/>
  <c r="G2530" i="2" s="1"/>
  <c r="E2535" i="1" s="1"/>
  <c r="A2522" i="2"/>
  <c r="B2522" i="2"/>
  <c r="C2522" i="2" s="1"/>
  <c r="F2522" i="2" s="1"/>
  <c r="G2522" i="2" s="1"/>
  <c r="E2527" i="1" s="1"/>
  <c r="A2514" i="2"/>
  <c r="B2514" i="2"/>
  <c r="C2514" i="2" s="1"/>
  <c r="F2514" i="2" s="1"/>
  <c r="G2514" i="2" s="1"/>
  <c r="E2519" i="1" s="1"/>
  <c r="A2506" i="2"/>
  <c r="B2506" i="2"/>
  <c r="C2506" i="2" s="1"/>
  <c r="F2506" i="2" s="1"/>
  <c r="G2506" i="2" s="1"/>
  <c r="E2511" i="1" s="1"/>
  <c r="A2498" i="2"/>
  <c r="B2498" i="2"/>
  <c r="C2498" i="2" s="1"/>
  <c r="F2498" i="2" s="1"/>
  <c r="G2498" i="2" s="1"/>
  <c r="E2503" i="1" s="1"/>
  <c r="A2490" i="2"/>
  <c r="B2490" i="2"/>
  <c r="C2490" i="2" s="1"/>
  <c r="F2490" i="2" s="1"/>
  <c r="G2490" i="2" s="1"/>
  <c r="E2495" i="1" s="1"/>
  <c r="A2482" i="2"/>
  <c r="B2482" i="2"/>
  <c r="C2482" i="2" s="1"/>
  <c r="F2482" i="2" s="1"/>
  <c r="G2482" i="2" s="1"/>
  <c r="E2487" i="1" s="1"/>
  <c r="A2474" i="2"/>
  <c r="B2474" i="2"/>
  <c r="C2474" i="2" s="1"/>
  <c r="F2474" i="2" s="1"/>
  <c r="G2474" i="2" s="1"/>
  <c r="E2479" i="1" s="1"/>
  <c r="A2466" i="2"/>
  <c r="B2466" i="2"/>
  <c r="C2466" i="2" s="1"/>
  <c r="F2466" i="2" s="1"/>
  <c r="G2466" i="2" s="1"/>
  <c r="E2471" i="1" s="1"/>
  <c r="A2458" i="2"/>
  <c r="B2458" i="2"/>
  <c r="C2458" i="2" s="1"/>
  <c r="F2458" i="2" s="1"/>
  <c r="G2458" i="2" s="1"/>
  <c r="E2463" i="1" s="1"/>
  <c r="A2450" i="2"/>
  <c r="B2450" i="2"/>
  <c r="C2450" i="2" s="1"/>
  <c r="F2450" i="2" s="1"/>
  <c r="G2450" i="2" s="1"/>
  <c r="E2455" i="1" s="1"/>
  <c r="A2442" i="2"/>
  <c r="B2442" i="2"/>
  <c r="C2442" i="2" s="1"/>
  <c r="F2442" i="2" s="1"/>
  <c r="G2442" i="2" s="1"/>
  <c r="E2447" i="1" s="1"/>
  <c r="A2434" i="2"/>
  <c r="B2434" i="2"/>
  <c r="C2434" i="2" s="1"/>
  <c r="F2434" i="2" s="1"/>
  <c r="G2434" i="2" s="1"/>
  <c r="E2439" i="1" s="1"/>
  <c r="A2426" i="2"/>
  <c r="B2426" i="2"/>
  <c r="C2426" i="2" s="1"/>
  <c r="F2426" i="2" s="1"/>
  <c r="G2426" i="2" s="1"/>
  <c r="E2431" i="1" s="1"/>
  <c r="A2418" i="2"/>
  <c r="B2418" i="2"/>
  <c r="C2418" i="2" s="1"/>
  <c r="F2418" i="2" s="1"/>
  <c r="G2418" i="2" s="1"/>
  <c r="E2423" i="1" s="1"/>
  <c r="A2410" i="2"/>
  <c r="B2410" i="2"/>
  <c r="C2410" i="2" s="1"/>
  <c r="F2410" i="2" s="1"/>
  <c r="G2410" i="2" s="1"/>
  <c r="E2415" i="1" s="1"/>
  <c r="A2402" i="2"/>
  <c r="B2402" i="2"/>
  <c r="C2402" i="2" s="1"/>
  <c r="F2402" i="2" s="1"/>
  <c r="G2402" i="2" s="1"/>
  <c r="E2407" i="1" s="1"/>
  <c r="A2394" i="2"/>
  <c r="B2394" i="2"/>
  <c r="C2394" i="2" s="1"/>
  <c r="F2394" i="2" s="1"/>
  <c r="G2394" i="2" s="1"/>
  <c r="E2399" i="1" s="1"/>
  <c r="A2386" i="2"/>
  <c r="B2386" i="2"/>
  <c r="C2386" i="2" s="1"/>
  <c r="F2386" i="2" s="1"/>
  <c r="G2386" i="2" s="1"/>
  <c r="E2391" i="1" s="1"/>
  <c r="A2378" i="2"/>
  <c r="B2378" i="2"/>
  <c r="C2378" i="2" s="1"/>
  <c r="F2378" i="2" s="1"/>
  <c r="G2378" i="2" s="1"/>
  <c r="E2383" i="1" s="1"/>
  <c r="A2370" i="2"/>
  <c r="B2370" i="2"/>
  <c r="C2370" i="2" s="1"/>
  <c r="F2370" i="2" s="1"/>
  <c r="G2370" i="2" s="1"/>
  <c r="E2375" i="1" s="1"/>
  <c r="A2362" i="2"/>
  <c r="B2362" i="2"/>
  <c r="C2362" i="2" s="1"/>
  <c r="F2362" i="2" s="1"/>
  <c r="G2362" i="2" s="1"/>
  <c r="E2367" i="1" s="1"/>
  <c r="A2354" i="2"/>
  <c r="B2354" i="2"/>
  <c r="C2354" i="2" s="1"/>
  <c r="F2354" i="2" s="1"/>
  <c r="G2354" i="2" s="1"/>
  <c r="E2359" i="1" s="1"/>
  <c r="A2346" i="2"/>
  <c r="B2346" i="2"/>
  <c r="C2346" i="2" s="1"/>
  <c r="F2346" i="2" s="1"/>
  <c r="G2346" i="2" s="1"/>
  <c r="E2351" i="1" s="1"/>
  <c r="A2338" i="2"/>
  <c r="B2338" i="2"/>
  <c r="C2338" i="2" s="1"/>
  <c r="F2338" i="2" s="1"/>
  <c r="G2338" i="2" s="1"/>
  <c r="E2343" i="1" s="1"/>
  <c r="A2330" i="2"/>
  <c r="B2330" i="2"/>
  <c r="C2330" i="2" s="1"/>
  <c r="F2330" i="2" s="1"/>
  <c r="G2330" i="2" s="1"/>
  <c r="E2335" i="1" s="1"/>
  <c r="A2322" i="2"/>
  <c r="B2322" i="2"/>
  <c r="C2322" i="2" s="1"/>
  <c r="F2322" i="2" s="1"/>
  <c r="G2322" i="2" s="1"/>
  <c r="E2327" i="1" s="1"/>
  <c r="A2314" i="2"/>
  <c r="B2314" i="2"/>
  <c r="C2314" i="2" s="1"/>
  <c r="F2314" i="2" s="1"/>
  <c r="G2314" i="2" s="1"/>
  <c r="E2319" i="1" s="1"/>
  <c r="A2306" i="2"/>
  <c r="B2306" i="2"/>
  <c r="C2306" i="2" s="1"/>
  <c r="F2306" i="2" s="1"/>
  <c r="G2306" i="2" s="1"/>
  <c r="E2311" i="1" s="1"/>
  <c r="A2298" i="2"/>
  <c r="B2298" i="2"/>
  <c r="C2298" i="2" s="1"/>
  <c r="F2298" i="2" s="1"/>
  <c r="G2298" i="2" s="1"/>
  <c r="E2303" i="1" s="1"/>
  <c r="A2290" i="2"/>
  <c r="B2290" i="2"/>
  <c r="C2290" i="2" s="1"/>
  <c r="F2290" i="2" s="1"/>
  <c r="G2290" i="2" s="1"/>
  <c r="E2295" i="1" s="1"/>
  <c r="A2282" i="2"/>
  <c r="B2282" i="2"/>
  <c r="C2282" i="2" s="1"/>
  <c r="F2282" i="2" s="1"/>
  <c r="G2282" i="2" s="1"/>
  <c r="E2287" i="1" s="1"/>
  <c r="A2274" i="2"/>
  <c r="B2274" i="2"/>
  <c r="C2274" i="2" s="1"/>
  <c r="F2274" i="2" s="1"/>
  <c r="G2274" i="2" s="1"/>
  <c r="E2279" i="1" s="1"/>
  <c r="A2266" i="2"/>
  <c r="B2266" i="2"/>
  <c r="C2266" i="2" s="1"/>
  <c r="F2266" i="2" s="1"/>
  <c r="G2266" i="2" s="1"/>
  <c r="E2271" i="1" s="1"/>
  <c r="A2258" i="2"/>
  <c r="B2258" i="2"/>
  <c r="C2258" i="2" s="1"/>
  <c r="F2258" i="2" s="1"/>
  <c r="G2258" i="2" s="1"/>
  <c r="E2263" i="1" s="1"/>
  <c r="A2250" i="2"/>
  <c r="B2250" i="2"/>
  <c r="C2250" i="2" s="1"/>
  <c r="F2250" i="2" s="1"/>
  <c r="G2250" i="2" s="1"/>
  <c r="E2255" i="1" s="1"/>
  <c r="A2242" i="2"/>
  <c r="B2242" i="2"/>
  <c r="C2242" i="2" s="1"/>
  <c r="F2242" i="2" s="1"/>
  <c r="G2242" i="2" s="1"/>
  <c r="E2247" i="1" s="1"/>
  <c r="A2234" i="2"/>
  <c r="B2234" i="2"/>
  <c r="C2234" i="2" s="1"/>
  <c r="F2234" i="2" s="1"/>
  <c r="G2234" i="2" s="1"/>
  <c r="E2239" i="1" s="1"/>
  <c r="A2226" i="2"/>
  <c r="B2226" i="2"/>
  <c r="C2226" i="2" s="1"/>
  <c r="F2226" i="2" s="1"/>
  <c r="G2226" i="2" s="1"/>
  <c r="E2231" i="1" s="1"/>
  <c r="A2218" i="2"/>
  <c r="B2218" i="2"/>
  <c r="C2218" i="2" s="1"/>
  <c r="F2218" i="2" s="1"/>
  <c r="G2218" i="2" s="1"/>
  <c r="E2223" i="1" s="1"/>
  <c r="A2210" i="2"/>
  <c r="B2210" i="2"/>
  <c r="C2210" i="2" s="1"/>
  <c r="F2210" i="2" s="1"/>
  <c r="G2210" i="2" s="1"/>
  <c r="E2215" i="1" s="1"/>
  <c r="A2202" i="2"/>
  <c r="B2202" i="2"/>
  <c r="C2202" i="2" s="1"/>
  <c r="F2202" i="2" s="1"/>
  <c r="G2202" i="2" s="1"/>
  <c r="E2207" i="1" s="1"/>
  <c r="A2194" i="2"/>
  <c r="B2194" i="2"/>
  <c r="C2194" i="2" s="1"/>
  <c r="F2194" i="2" s="1"/>
  <c r="G2194" i="2" s="1"/>
  <c r="E2199" i="1" s="1"/>
  <c r="A2186" i="2"/>
  <c r="B2186" i="2"/>
  <c r="C2186" i="2" s="1"/>
  <c r="F2186" i="2" s="1"/>
  <c r="G2186" i="2" s="1"/>
  <c r="E2191" i="1" s="1"/>
  <c r="A2178" i="2"/>
  <c r="B2178" i="2"/>
  <c r="C2178" i="2" s="1"/>
  <c r="F2178" i="2" s="1"/>
  <c r="G2178" i="2" s="1"/>
  <c r="E2183" i="1" s="1"/>
  <c r="A2170" i="2"/>
  <c r="B2170" i="2"/>
  <c r="C2170" i="2" s="1"/>
  <c r="F2170" i="2" s="1"/>
  <c r="G2170" i="2" s="1"/>
  <c r="E2175" i="1" s="1"/>
  <c r="A2162" i="2"/>
  <c r="B2162" i="2"/>
  <c r="C2162" i="2" s="1"/>
  <c r="F2162" i="2" s="1"/>
  <c r="G2162" i="2" s="1"/>
  <c r="E2167" i="1" s="1"/>
  <c r="A2154" i="2"/>
  <c r="B2154" i="2"/>
  <c r="C2154" i="2" s="1"/>
  <c r="F2154" i="2" s="1"/>
  <c r="G2154" i="2" s="1"/>
  <c r="E2159" i="1" s="1"/>
  <c r="A2146" i="2"/>
  <c r="B2146" i="2"/>
  <c r="C2146" i="2" s="1"/>
  <c r="F2146" i="2" s="1"/>
  <c r="G2146" i="2" s="1"/>
  <c r="E2151" i="1" s="1"/>
  <c r="A2138" i="2"/>
  <c r="B2138" i="2"/>
  <c r="C2138" i="2" s="1"/>
  <c r="F2138" i="2" s="1"/>
  <c r="G2138" i="2" s="1"/>
  <c r="E2143" i="1" s="1"/>
  <c r="A2130" i="2"/>
  <c r="B2130" i="2"/>
  <c r="C2130" i="2" s="1"/>
  <c r="F2130" i="2" s="1"/>
  <c r="G2130" i="2" s="1"/>
  <c r="E2135" i="1" s="1"/>
  <c r="A2122" i="2"/>
  <c r="B2122" i="2"/>
  <c r="C2122" i="2" s="1"/>
  <c r="F2122" i="2" s="1"/>
  <c r="G2122" i="2" s="1"/>
  <c r="E2127" i="1" s="1"/>
  <c r="A2114" i="2"/>
  <c r="B2114" i="2"/>
  <c r="C2114" i="2" s="1"/>
  <c r="F2114" i="2" s="1"/>
  <c r="G2114" i="2" s="1"/>
  <c r="E2119" i="1" s="1"/>
  <c r="A2106" i="2"/>
  <c r="B2106" i="2"/>
  <c r="C2106" i="2" s="1"/>
  <c r="F2106" i="2" s="1"/>
  <c r="G2106" i="2" s="1"/>
  <c r="E2111" i="1" s="1"/>
  <c r="A2098" i="2"/>
  <c r="B2098" i="2"/>
  <c r="C2098" i="2" s="1"/>
  <c r="F2098" i="2" s="1"/>
  <c r="G2098" i="2" s="1"/>
  <c r="E2103" i="1" s="1"/>
  <c r="A2090" i="2"/>
  <c r="B2090" i="2"/>
  <c r="C2090" i="2" s="1"/>
  <c r="F2090" i="2" s="1"/>
  <c r="G2090" i="2" s="1"/>
  <c r="E2095" i="1" s="1"/>
  <c r="A2082" i="2"/>
  <c r="B2082" i="2"/>
  <c r="C2082" i="2" s="1"/>
  <c r="F2082" i="2" s="1"/>
  <c r="G2082" i="2" s="1"/>
  <c r="E2087" i="1" s="1"/>
  <c r="A2074" i="2"/>
  <c r="B2074" i="2"/>
  <c r="C2074" i="2" s="1"/>
  <c r="F2074" i="2" s="1"/>
  <c r="G2074" i="2" s="1"/>
  <c r="E2079" i="1" s="1"/>
  <c r="A2066" i="2"/>
  <c r="B2066" i="2"/>
  <c r="C2066" i="2" s="1"/>
  <c r="F2066" i="2" s="1"/>
  <c r="G2066" i="2" s="1"/>
  <c r="E2071" i="1" s="1"/>
  <c r="A2058" i="2"/>
  <c r="B2058" i="2"/>
  <c r="C2058" i="2" s="1"/>
  <c r="F2058" i="2" s="1"/>
  <c r="G2058" i="2" s="1"/>
  <c r="E2063" i="1" s="1"/>
  <c r="A2050" i="2"/>
  <c r="B2050" i="2"/>
  <c r="C2050" i="2" s="1"/>
  <c r="F2050" i="2" s="1"/>
  <c r="G2050" i="2" s="1"/>
  <c r="E2055" i="1" s="1"/>
  <c r="A2042" i="2"/>
  <c r="B2042" i="2"/>
  <c r="C2042" i="2" s="1"/>
  <c r="F2042" i="2" s="1"/>
  <c r="G2042" i="2" s="1"/>
  <c r="E2047" i="1" s="1"/>
  <c r="A2034" i="2"/>
  <c r="B2034" i="2"/>
  <c r="C2034" i="2" s="1"/>
  <c r="F2034" i="2" s="1"/>
  <c r="G2034" i="2" s="1"/>
  <c r="E2039" i="1" s="1"/>
  <c r="A2026" i="2"/>
  <c r="B2026" i="2"/>
  <c r="C2026" i="2" s="1"/>
  <c r="F2026" i="2" s="1"/>
  <c r="G2026" i="2" s="1"/>
  <c r="E2031" i="1" s="1"/>
  <c r="A2018" i="2"/>
  <c r="B2018" i="2"/>
  <c r="C2018" i="2" s="1"/>
  <c r="F2018" i="2" s="1"/>
  <c r="G2018" i="2" s="1"/>
  <c r="E2023" i="1" s="1"/>
  <c r="A2010" i="2"/>
  <c r="B2010" i="2"/>
  <c r="C2010" i="2" s="1"/>
  <c r="F2010" i="2" s="1"/>
  <c r="G2010" i="2" s="1"/>
  <c r="E2015" i="1" s="1"/>
  <c r="A2002" i="2"/>
  <c r="B2002" i="2"/>
  <c r="C2002" i="2" s="1"/>
  <c r="F2002" i="2" s="1"/>
  <c r="G2002" i="2" s="1"/>
  <c r="E2007" i="1" s="1"/>
  <c r="A1994" i="2"/>
  <c r="B1994" i="2"/>
  <c r="C1994" i="2" s="1"/>
  <c r="F1994" i="2" s="1"/>
  <c r="G1994" i="2" s="1"/>
  <c r="E1999" i="1" s="1"/>
  <c r="A1986" i="2"/>
  <c r="B1986" i="2"/>
  <c r="C1986" i="2" s="1"/>
  <c r="F1986" i="2" s="1"/>
  <c r="G1986" i="2" s="1"/>
  <c r="E1991" i="1" s="1"/>
  <c r="A1978" i="2"/>
  <c r="B1978" i="2"/>
  <c r="C1978" i="2" s="1"/>
  <c r="F1978" i="2" s="1"/>
  <c r="G1978" i="2" s="1"/>
  <c r="E1983" i="1" s="1"/>
  <c r="A1970" i="2"/>
  <c r="B1970" i="2"/>
  <c r="C1970" i="2" s="1"/>
  <c r="F1970" i="2" s="1"/>
  <c r="G1970" i="2" s="1"/>
  <c r="E1975" i="1" s="1"/>
  <c r="A1962" i="2"/>
  <c r="B1962" i="2"/>
  <c r="C1962" i="2" s="1"/>
  <c r="F1962" i="2" s="1"/>
  <c r="G1962" i="2" s="1"/>
  <c r="E1967" i="1" s="1"/>
  <c r="A1954" i="2"/>
  <c r="B1954" i="2"/>
  <c r="C1954" i="2" s="1"/>
  <c r="F1954" i="2" s="1"/>
  <c r="G1954" i="2" s="1"/>
  <c r="E1959" i="1" s="1"/>
  <c r="A1946" i="2"/>
  <c r="B1946" i="2"/>
  <c r="C1946" i="2" s="1"/>
  <c r="F1946" i="2" s="1"/>
  <c r="G1946" i="2" s="1"/>
  <c r="E1951" i="1" s="1"/>
  <c r="A1938" i="2"/>
  <c r="B1938" i="2"/>
  <c r="C1938" i="2" s="1"/>
  <c r="F1938" i="2" s="1"/>
  <c r="G1938" i="2" s="1"/>
  <c r="E1943" i="1" s="1"/>
  <c r="A1930" i="2"/>
  <c r="B1930" i="2"/>
  <c r="C1930" i="2" s="1"/>
  <c r="F1930" i="2" s="1"/>
  <c r="G1930" i="2" s="1"/>
  <c r="E1935" i="1" s="1"/>
  <c r="A1922" i="2"/>
  <c r="B1922" i="2"/>
  <c r="C1922" i="2" s="1"/>
  <c r="F1922" i="2" s="1"/>
  <c r="G1922" i="2" s="1"/>
  <c r="E1927" i="1" s="1"/>
  <c r="A1914" i="2"/>
  <c r="B1914" i="2"/>
  <c r="C1914" i="2" s="1"/>
  <c r="F1914" i="2" s="1"/>
  <c r="G1914" i="2" s="1"/>
  <c r="E1919" i="1" s="1"/>
  <c r="A1906" i="2"/>
  <c r="B1906" i="2"/>
  <c r="C1906" i="2" s="1"/>
  <c r="F1906" i="2" s="1"/>
  <c r="G1906" i="2" s="1"/>
  <c r="E1911" i="1" s="1"/>
  <c r="A1898" i="2"/>
  <c r="B1898" i="2"/>
  <c r="C1898" i="2" s="1"/>
  <c r="F1898" i="2" s="1"/>
  <c r="G1898" i="2" s="1"/>
  <c r="E1903" i="1" s="1"/>
  <c r="A1890" i="2"/>
  <c r="B1890" i="2"/>
  <c r="C1890" i="2" s="1"/>
  <c r="F1890" i="2" s="1"/>
  <c r="G1890" i="2" s="1"/>
  <c r="E1895" i="1" s="1"/>
  <c r="A1882" i="2"/>
  <c r="B1882" i="2"/>
  <c r="C1882" i="2" s="1"/>
  <c r="F1882" i="2" s="1"/>
  <c r="G1882" i="2" s="1"/>
  <c r="E1887" i="1" s="1"/>
  <c r="A1874" i="2"/>
  <c r="B1874" i="2"/>
  <c r="C1874" i="2" s="1"/>
  <c r="F1874" i="2" s="1"/>
  <c r="G1874" i="2" s="1"/>
  <c r="E1879" i="1" s="1"/>
  <c r="A1866" i="2"/>
  <c r="B1866" i="2"/>
  <c r="C1866" i="2" s="1"/>
  <c r="F1866" i="2" s="1"/>
  <c r="G1866" i="2" s="1"/>
  <c r="E1871" i="1" s="1"/>
  <c r="A1858" i="2"/>
  <c r="B1858" i="2"/>
  <c r="C1858" i="2" s="1"/>
  <c r="F1858" i="2" s="1"/>
  <c r="G1858" i="2" s="1"/>
  <c r="E1863" i="1" s="1"/>
  <c r="A1850" i="2"/>
  <c r="B1850" i="2"/>
  <c r="C1850" i="2" s="1"/>
  <c r="F1850" i="2" s="1"/>
  <c r="G1850" i="2" s="1"/>
  <c r="E1855" i="1" s="1"/>
  <c r="A1842" i="2"/>
  <c r="B1842" i="2"/>
  <c r="C1842" i="2" s="1"/>
  <c r="F1842" i="2" s="1"/>
  <c r="G1842" i="2" s="1"/>
  <c r="E1847" i="1" s="1"/>
  <c r="A1834" i="2"/>
  <c r="B1834" i="2"/>
  <c r="C1834" i="2" s="1"/>
  <c r="F1834" i="2" s="1"/>
  <c r="G1834" i="2" s="1"/>
  <c r="E1839" i="1" s="1"/>
  <c r="A1826" i="2"/>
  <c r="B1826" i="2"/>
  <c r="C1826" i="2" s="1"/>
  <c r="F1826" i="2" s="1"/>
  <c r="G1826" i="2" s="1"/>
  <c r="E1831" i="1" s="1"/>
  <c r="A1818" i="2"/>
  <c r="B1818" i="2"/>
  <c r="C1818" i="2" s="1"/>
  <c r="F1818" i="2" s="1"/>
  <c r="G1818" i="2" s="1"/>
  <c r="E1823" i="1" s="1"/>
  <c r="A1810" i="2"/>
  <c r="B1810" i="2"/>
  <c r="C1810" i="2" s="1"/>
  <c r="F1810" i="2" s="1"/>
  <c r="G1810" i="2" s="1"/>
  <c r="E1815" i="1" s="1"/>
  <c r="A1802" i="2"/>
  <c r="B1802" i="2"/>
  <c r="C1802" i="2" s="1"/>
  <c r="F1802" i="2" s="1"/>
  <c r="G1802" i="2" s="1"/>
  <c r="E1807" i="1" s="1"/>
  <c r="A1794" i="2"/>
  <c r="B1794" i="2"/>
  <c r="C1794" i="2" s="1"/>
  <c r="F1794" i="2" s="1"/>
  <c r="G1794" i="2" s="1"/>
  <c r="E1799" i="1" s="1"/>
  <c r="A1786" i="2"/>
  <c r="B1786" i="2"/>
  <c r="C1786" i="2" s="1"/>
  <c r="F1786" i="2" s="1"/>
  <c r="G1786" i="2" s="1"/>
  <c r="E1791" i="1" s="1"/>
  <c r="A1778" i="2"/>
  <c r="B1778" i="2"/>
  <c r="C1778" i="2" s="1"/>
  <c r="F1778" i="2" s="1"/>
  <c r="G1778" i="2" s="1"/>
  <c r="E1783" i="1" s="1"/>
  <c r="A1770" i="2"/>
  <c r="B1770" i="2"/>
  <c r="C1770" i="2" s="1"/>
  <c r="F1770" i="2" s="1"/>
  <c r="G1770" i="2" s="1"/>
  <c r="E1775" i="1" s="1"/>
  <c r="A1762" i="2"/>
  <c r="B1762" i="2"/>
  <c r="C1762" i="2" s="1"/>
  <c r="F1762" i="2" s="1"/>
  <c r="G1762" i="2" s="1"/>
  <c r="E1767" i="1" s="1"/>
  <c r="A1754" i="2"/>
  <c r="B1754" i="2"/>
  <c r="C1754" i="2" s="1"/>
  <c r="F1754" i="2" s="1"/>
  <c r="G1754" i="2" s="1"/>
  <c r="E1759" i="1" s="1"/>
  <c r="A1746" i="2"/>
  <c r="B1746" i="2"/>
  <c r="C1746" i="2" s="1"/>
  <c r="F1746" i="2" s="1"/>
  <c r="G1746" i="2" s="1"/>
  <c r="E1751" i="1" s="1"/>
  <c r="A1738" i="2"/>
  <c r="B1738" i="2"/>
  <c r="C1738" i="2" s="1"/>
  <c r="F1738" i="2" s="1"/>
  <c r="G1738" i="2" s="1"/>
  <c r="E1743" i="1" s="1"/>
  <c r="A1730" i="2"/>
  <c r="B1730" i="2"/>
  <c r="C1730" i="2" s="1"/>
  <c r="F1730" i="2" s="1"/>
  <c r="G1730" i="2" s="1"/>
  <c r="E1735" i="1" s="1"/>
  <c r="A1722" i="2"/>
  <c r="B1722" i="2"/>
  <c r="C1722" i="2" s="1"/>
  <c r="F1722" i="2" s="1"/>
  <c r="G1722" i="2" s="1"/>
  <c r="E1727" i="1" s="1"/>
  <c r="A1714" i="2"/>
  <c r="B1714" i="2"/>
  <c r="C1714" i="2" s="1"/>
  <c r="F1714" i="2" s="1"/>
  <c r="G1714" i="2" s="1"/>
  <c r="E1719" i="1" s="1"/>
  <c r="A1706" i="2"/>
  <c r="B1706" i="2"/>
  <c r="C1706" i="2" s="1"/>
  <c r="F1706" i="2" s="1"/>
  <c r="G1706" i="2" s="1"/>
  <c r="E1711" i="1" s="1"/>
  <c r="A1698" i="2"/>
  <c r="B1698" i="2"/>
  <c r="C1698" i="2" s="1"/>
  <c r="F1698" i="2" s="1"/>
  <c r="G1698" i="2" s="1"/>
  <c r="E1703" i="1" s="1"/>
  <c r="A1690" i="2"/>
  <c r="B1690" i="2"/>
  <c r="C1690" i="2" s="1"/>
  <c r="F1690" i="2" s="1"/>
  <c r="G1690" i="2" s="1"/>
  <c r="E1695" i="1" s="1"/>
  <c r="A1682" i="2"/>
  <c r="B1682" i="2"/>
  <c r="C1682" i="2" s="1"/>
  <c r="F1682" i="2" s="1"/>
  <c r="G1682" i="2" s="1"/>
  <c r="E1687" i="1" s="1"/>
  <c r="A1674" i="2"/>
  <c r="B1674" i="2"/>
  <c r="C1674" i="2" s="1"/>
  <c r="F1674" i="2" s="1"/>
  <c r="G1674" i="2" s="1"/>
  <c r="E1679" i="1" s="1"/>
  <c r="A1666" i="2"/>
  <c r="B1666" i="2"/>
  <c r="C1666" i="2" s="1"/>
  <c r="F1666" i="2" s="1"/>
  <c r="G1666" i="2" s="1"/>
  <c r="E1671" i="1" s="1"/>
  <c r="A1658" i="2"/>
  <c r="B1658" i="2"/>
  <c r="C1658" i="2" s="1"/>
  <c r="F1658" i="2" s="1"/>
  <c r="G1658" i="2" s="1"/>
  <c r="E1663" i="1" s="1"/>
  <c r="A1650" i="2"/>
  <c r="B1650" i="2"/>
  <c r="C1650" i="2" s="1"/>
  <c r="F1650" i="2" s="1"/>
  <c r="G1650" i="2" s="1"/>
  <c r="E1655" i="1" s="1"/>
  <c r="A1642" i="2"/>
  <c r="B1642" i="2"/>
  <c r="C1642" i="2" s="1"/>
  <c r="F1642" i="2" s="1"/>
  <c r="G1642" i="2" s="1"/>
  <c r="E1647" i="1" s="1"/>
  <c r="A1634" i="2"/>
  <c r="B1634" i="2"/>
  <c r="C1634" i="2" s="1"/>
  <c r="F1634" i="2" s="1"/>
  <c r="G1634" i="2" s="1"/>
  <c r="E1639" i="1" s="1"/>
  <c r="A1626" i="2"/>
  <c r="B1626" i="2"/>
  <c r="C1626" i="2" s="1"/>
  <c r="F1626" i="2" s="1"/>
  <c r="G1626" i="2" s="1"/>
  <c r="E1631" i="1" s="1"/>
  <c r="A1618" i="2"/>
  <c r="B1618" i="2"/>
  <c r="C1618" i="2" s="1"/>
  <c r="F1618" i="2" s="1"/>
  <c r="G1618" i="2" s="1"/>
  <c r="E1623" i="1" s="1"/>
  <c r="A1610" i="2"/>
  <c r="B1610" i="2"/>
  <c r="C1610" i="2" s="1"/>
  <c r="F1610" i="2" s="1"/>
  <c r="G1610" i="2" s="1"/>
  <c r="E1615" i="1" s="1"/>
  <c r="A1602" i="2"/>
  <c r="B1602" i="2"/>
  <c r="C1602" i="2" s="1"/>
  <c r="F1602" i="2" s="1"/>
  <c r="G1602" i="2" s="1"/>
  <c r="E1607" i="1" s="1"/>
  <c r="A1594" i="2"/>
  <c r="B1594" i="2"/>
  <c r="C1594" i="2" s="1"/>
  <c r="F1594" i="2" s="1"/>
  <c r="G1594" i="2" s="1"/>
  <c r="E1599" i="1" s="1"/>
  <c r="A1586" i="2"/>
  <c r="B1586" i="2"/>
  <c r="C1586" i="2" s="1"/>
  <c r="F1586" i="2" s="1"/>
  <c r="G1586" i="2" s="1"/>
  <c r="E1591" i="1" s="1"/>
  <c r="A1578" i="2"/>
  <c r="B1578" i="2"/>
  <c r="C1578" i="2" s="1"/>
  <c r="F1578" i="2" s="1"/>
  <c r="G1578" i="2" s="1"/>
  <c r="E1583" i="1" s="1"/>
  <c r="A1570" i="2"/>
  <c r="B1570" i="2"/>
  <c r="C1570" i="2" s="1"/>
  <c r="F1570" i="2" s="1"/>
  <c r="G1570" i="2" s="1"/>
  <c r="E1575" i="1" s="1"/>
  <c r="A1562" i="2"/>
  <c r="B1562" i="2"/>
  <c r="C1562" i="2" s="1"/>
  <c r="F1562" i="2" s="1"/>
  <c r="G1562" i="2" s="1"/>
  <c r="E1567" i="1" s="1"/>
  <c r="A1554" i="2"/>
  <c r="B1554" i="2"/>
  <c r="C1554" i="2" s="1"/>
  <c r="F1554" i="2" s="1"/>
  <c r="G1554" i="2" s="1"/>
  <c r="E1559" i="1" s="1"/>
  <c r="A1546" i="2"/>
  <c r="B1546" i="2"/>
  <c r="C1546" i="2" s="1"/>
  <c r="F1546" i="2" s="1"/>
  <c r="G1546" i="2" s="1"/>
  <c r="E1551" i="1" s="1"/>
  <c r="A1538" i="2"/>
  <c r="B1538" i="2"/>
  <c r="C1538" i="2" s="1"/>
  <c r="F1538" i="2" s="1"/>
  <c r="G1538" i="2" s="1"/>
  <c r="E1543" i="1" s="1"/>
  <c r="A1530" i="2"/>
  <c r="B1530" i="2"/>
  <c r="C1530" i="2" s="1"/>
  <c r="F1530" i="2" s="1"/>
  <c r="G1530" i="2" s="1"/>
  <c r="E1535" i="1" s="1"/>
  <c r="A1522" i="2"/>
  <c r="B1522" i="2"/>
  <c r="C1522" i="2" s="1"/>
  <c r="F1522" i="2" s="1"/>
  <c r="G1522" i="2" s="1"/>
  <c r="E1527" i="1" s="1"/>
  <c r="A1514" i="2"/>
  <c r="B1514" i="2"/>
  <c r="C1514" i="2" s="1"/>
  <c r="F1514" i="2" s="1"/>
  <c r="G1514" i="2" s="1"/>
  <c r="E1519" i="1" s="1"/>
  <c r="A1506" i="2"/>
  <c r="B1506" i="2"/>
  <c r="C1506" i="2" s="1"/>
  <c r="F1506" i="2" s="1"/>
  <c r="G1506" i="2" s="1"/>
  <c r="E1511" i="1" s="1"/>
  <c r="A1498" i="2"/>
  <c r="B1498" i="2"/>
  <c r="C1498" i="2" s="1"/>
  <c r="F1498" i="2" s="1"/>
  <c r="G1498" i="2" s="1"/>
  <c r="E1503" i="1" s="1"/>
  <c r="A1490" i="2"/>
  <c r="B1490" i="2"/>
  <c r="C1490" i="2" s="1"/>
  <c r="F1490" i="2" s="1"/>
  <c r="G1490" i="2" s="1"/>
  <c r="E1495" i="1" s="1"/>
  <c r="A1482" i="2"/>
  <c r="B1482" i="2"/>
  <c r="C1482" i="2" s="1"/>
  <c r="F1482" i="2" s="1"/>
  <c r="G1482" i="2" s="1"/>
  <c r="E1487" i="1" s="1"/>
  <c r="A1474" i="2"/>
  <c r="B1474" i="2"/>
  <c r="C1474" i="2" s="1"/>
  <c r="F1474" i="2" s="1"/>
  <c r="G1474" i="2" s="1"/>
  <c r="E1479" i="1" s="1"/>
  <c r="A1466" i="2"/>
  <c r="B1466" i="2"/>
  <c r="C1466" i="2" s="1"/>
  <c r="F1466" i="2" s="1"/>
  <c r="G1466" i="2" s="1"/>
  <c r="E1471" i="1" s="1"/>
  <c r="A1458" i="2"/>
  <c r="B1458" i="2"/>
  <c r="C1458" i="2" s="1"/>
  <c r="F1458" i="2" s="1"/>
  <c r="G1458" i="2" s="1"/>
  <c r="E1463" i="1" s="1"/>
  <c r="A1450" i="2"/>
  <c r="B1450" i="2"/>
  <c r="C1450" i="2" s="1"/>
  <c r="F1450" i="2" s="1"/>
  <c r="G1450" i="2" s="1"/>
  <c r="E1455" i="1" s="1"/>
  <c r="A1442" i="2"/>
  <c r="B1442" i="2"/>
  <c r="C1442" i="2" s="1"/>
  <c r="F1442" i="2" s="1"/>
  <c r="G1442" i="2" s="1"/>
  <c r="E1447" i="1" s="1"/>
  <c r="A1434" i="2"/>
  <c r="B1434" i="2"/>
  <c r="C1434" i="2" s="1"/>
  <c r="F1434" i="2" s="1"/>
  <c r="G1434" i="2" s="1"/>
  <c r="E1439" i="1" s="1"/>
  <c r="A1426" i="2"/>
  <c r="B1426" i="2"/>
  <c r="C1426" i="2" s="1"/>
  <c r="F1426" i="2" s="1"/>
  <c r="G1426" i="2" s="1"/>
  <c r="E1431" i="1" s="1"/>
  <c r="A1418" i="2"/>
  <c r="B1418" i="2"/>
  <c r="C1418" i="2" s="1"/>
  <c r="F1418" i="2" s="1"/>
  <c r="G1418" i="2" s="1"/>
  <c r="E1423" i="1" s="1"/>
  <c r="A1410" i="2"/>
  <c r="B1410" i="2"/>
  <c r="C1410" i="2" s="1"/>
  <c r="F1410" i="2" s="1"/>
  <c r="G1410" i="2" s="1"/>
  <c r="E1415" i="1" s="1"/>
  <c r="A1402" i="2"/>
  <c r="B1402" i="2"/>
  <c r="C1402" i="2" s="1"/>
  <c r="F1402" i="2" s="1"/>
  <c r="G1402" i="2" s="1"/>
  <c r="E1407" i="1" s="1"/>
  <c r="A1394" i="2"/>
  <c r="B1394" i="2"/>
  <c r="C1394" i="2" s="1"/>
  <c r="F1394" i="2" s="1"/>
  <c r="G1394" i="2" s="1"/>
  <c r="E1399" i="1" s="1"/>
  <c r="A1386" i="2"/>
  <c r="B1386" i="2"/>
  <c r="C1386" i="2" s="1"/>
  <c r="F1386" i="2" s="1"/>
  <c r="G1386" i="2" s="1"/>
  <c r="E1391" i="1" s="1"/>
  <c r="A1378" i="2"/>
  <c r="B1378" i="2"/>
  <c r="C1378" i="2" s="1"/>
  <c r="F1378" i="2" s="1"/>
  <c r="G1378" i="2" s="1"/>
  <c r="E1383" i="1" s="1"/>
  <c r="A1370" i="2"/>
  <c r="B1370" i="2"/>
  <c r="C1370" i="2" s="1"/>
  <c r="F1370" i="2" s="1"/>
  <c r="G1370" i="2" s="1"/>
  <c r="E1375" i="1" s="1"/>
  <c r="A1362" i="2"/>
  <c r="B1362" i="2"/>
  <c r="C1362" i="2" s="1"/>
  <c r="F1362" i="2" s="1"/>
  <c r="G1362" i="2" s="1"/>
  <c r="E1367" i="1" s="1"/>
  <c r="A1354" i="2"/>
  <c r="B1354" i="2"/>
  <c r="C1354" i="2" s="1"/>
  <c r="F1354" i="2" s="1"/>
  <c r="G1354" i="2" s="1"/>
  <c r="E1359" i="1" s="1"/>
  <c r="A1346" i="2"/>
  <c r="B1346" i="2"/>
  <c r="C1346" i="2" s="1"/>
  <c r="F1346" i="2" s="1"/>
  <c r="G1346" i="2" s="1"/>
  <c r="E1351" i="1" s="1"/>
  <c r="A1338" i="2"/>
  <c r="B1338" i="2"/>
  <c r="C1338" i="2" s="1"/>
  <c r="F1338" i="2" s="1"/>
  <c r="G1338" i="2" s="1"/>
  <c r="E1343" i="1" s="1"/>
  <c r="A1330" i="2"/>
  <c r="B1330" i="2"/>
  <c r="C1330" i="2" s="1"/>
  <c r="F1330" i="2" s="1"/>
  <c r="G1330" i="2" s="1"/>
  <c r="E1335" i="1" s="1"/>
  <c r="A1322" i="2"/>
  <c r="B1322" i="2"/>
  <c r="C1322" i="2" s="1"/>
  <c r="F1322" i="2" s="1"/>
  <c r="G1322" i="2" s="1"/>
  <c r="E1327" i="1" s="1"/>
  <c r="A1314" i="2"/>
  <c r="B1314" i="2"/>
  <c r="C1314" i="2" s="1"/>
  <c r="F1314" i="2" s="1"/>
  <c r="G1314" i="2" s="1"/>
  <c r="E1319" i="1" s="1"/>
  <c r="A1306" i="2"/>
  <c r="B1306" i="2"/>
  <c r="C1306" i="2" s="1"/>
  <c r="F1306" i="2" s="1"/>
  <c r="G1306" i="2" s="1"/>
  <c r="E1311" i="1" s="1"/>
  <c r="A1298" i="2"/>
  <c r="B1298" i="2"/>
  <c r="C1298" i="2" s="1"/>
  <c r="F1298" i="2" s="1"/>
  <c r="G1298" i="2" s="1"/>
  <c r="E1303" i="1" s="1"/>
  <c r="A1290" i="2"/>
  <c r="B1290" i="2"/>
  <c r="C1290" i="2" s="1"/>
  <c r="F1290" i="2" s="1"/>
  <c r="G1290" i="2" s="1"/>
  <c r="E1295" i="1" s="1"/>
  <c r="A1282" i="2"/>
  <c r="B1282" i="2"/>
  <c r="C1282" i="2" s="1"/>
  <c r="F1282" i="2" s="1"/>
  <c r="G1282" i="2" s="1"/>
  <c r="E1287" i="1" s="1"/>
  <c r="A1274" i="2"/>
  <c r="B1274" i="2"/>
  <c r="C1274" i="2" s="1"/>
  <c r="F1274" i="2" s="1"/>
  <c r="G1274" i="2" s="1"/>
  <c r="E1279" i="1" s="1"/>
  <c r="A1266" i="2"/>
  <c r="B1266" i="2"/>
  <c r="C1266" i="2" s="1"/>
  <c r="F1266" i="2" s="1"/>
  <c r="G1266" i="2" s="1"/>
  <c r="E1271" i="1" s="1"/>
  <c r="A1258" i="2"/>
  <c r="B1258" i="2"/>
  <c r="C1258" i="2" s="1"/>
  <c r="F1258" i="2" s="1"/>
  <c r="G1258" i="2" s="1"/>
  <c r="E1263" i="1" s="1"/>
  <c r="A1250" i="2"/>
  <c r="B1250" i="2"/>
  <c r="C1250" i="2" s="1"/>
  <c r="F1250" i="2" s="1"/>
  <c r="G1250" i="2" s="1"/>
  <c r="E1255" i="1" s="1"/>
  <c r="A1242" i="2"/>
  <c r="B1242" i="2"/>
  <c r="C1242" i="2" s="1"/>
  <c r="F1242" i="2" s="1"/>
  <c r="G1242" i="2" s="1"/>
  <c r="E1247" i="1" s="1"/>
  <c r="A1234" i="2"/>
  <c r="B1234" i="2"/>
  <c r="C1234" i="2" s="1"/>
  <c r="F1234" i="2" s="1"/>
  <c r="G1234" i="2" s="1"/>
  <c r="E1239" i="1" s="1"/>
  <c r="A1226" i="2"/>
  <c r="B1226" i="2"/>
  <c r="C1226" i="2" s="1"/>
  <c r="F1226" i="2" s="1"/>
  <c r="G1226" i="2" s="1"/>
  <c r="E1231" i="1" s="1"/>
  <c r="A1218" i="2"/>
  <c r="B1218" i="2"/>
  <c r="C1218" i="2" s="1"/>
  <c r="F1218" i="2" s="1"/>
  <c r="G1218" i="2" s="1"/>
  <c r="E1223" i="1" s="1"/>
  <c r="A1210" i="2"/>
  <c r="B1210" i="2"/>
  <c r="C1210" i="2" s="1"/>
  <c r="F1210" i="2" s="1"/>
  <c r="G1210" i="2" s="1"/>
  <c r="E1215" i="1" s="1"/>
  <c r="A1202" i="2"/>
  <c r="B1202" i="2"/>
  <c r="C1202" i="2" s="1"/>
  <c r="F1202" i="2" s="1"/>
  <c r="G1202" i="2" s="1"/>
  <c r="E1207" i="1" s="1"/>
  <c r="A1194" i="2"/>
  <c r="B1194" i="2"/>
  <c r="C1194" i="2" s="1"/>
  <c r="F1194" i="2" s="1"/>
  <c r="G1194" i="2" s="1"/>
  <c r="E1199" i="1" s="1"/>
  <c r="A1186" i="2"/>
  <c r="B1186" i="2"/>
  <c r="C1186" i="2" s="1"/>
  <c r="F1186" i="2" s="1"/>
  <c r="G1186" i="2" s="1"/>
  <c r="E1191" i="1" s="1"/>
  <c r="A1178" i="2"/>
  <c r="B1178" i="2"/>
  <c r="C1178" i="2" s="1"/>
  <c r="F1178" i="2" s="1"/>
  <c r="G1178" i="2" s="1"/>
  <c r="E1183" i="1" s="1"/>
  <c r="A1170" i="2"/>
  <c r="B1170" i="2"/>
  <c r="C1170" i="2" s="1"/>
  <c r="F1170" i="2" s="1"/>
  <c r="G1170" i="2" s="1"/>
  <c r="E1175" i="1" s="1"/>
  <c r="A1162" i="2"/>
  <c r="B1162" i="2"/>
  <c r="C1162" i="2" s="1"/>
  <c r="F1162" i="2" s="1"/>
  <c r="G1162" i="2" s="1"/>
  <c r="E1167" i="1" s="1"/>
  <c r="A1154" i="2"/>
  <c r="B1154" i="2"/>
  <c r="C1154" i="2" s="1"/>
  <c r="F1154" i="2" s="1"/>
  <c r="G1154" i="2" s="1"/>
  <c r="E1159" i="1" s="1"/>
  <c r="A1146" i="2"/>
  <c r="B1146" i="2"/>
  <c r="C1146" i="2" s="1"/>
  <c r="F1146" i="2" s="1"/>
  <c r="G1146" i="2" s="1"/>
  <c r="E1151" i="1" s="1"/>
  <c r="A1138" i="2"/>
  <c r="B1138" i="2"/>
  <c r="C1138" i="2" s="1"/>
  <c r="F1138" i="2" s="1"/>
  <c r="G1138" i="2" s="1"/>
  <c r="E1143" i="1" s="1"/>
  <c r="A1130" i="2"/>
  <c r="B1130" i="2"/>
  <c r="C1130" i="2" s="1"/>
  <c r="F1130" i="2" s="1"/>
  <c r="G1130" i="2" s="1"/>
  <c r="E1135" i="1" s="1"/>
  <c r="A1122" i="2"/>
  <c r="B1122" i="2"/>
  <c r="C1122" i="2" s="1"/>
  <c r="F1122" i="2" s="1"/>
  <c r="G1122" i="2" s="1"/>
  <c r="E1127" i="1" s="1"/>
  <c r="A1114" i="2"/>
  <c r="B1114" i="2"/>
  <c r="C1114" i="2" s="1"/>
  <c r="F1114" i="2" s="1"/>
  <c r="G1114" i="2" s="1"/>
  <c r="E1119" i="1" s="1"/>
  <c r="A1106" i="2"/>
  <c r="B1106" i="2"/>
  <c r="C1106" i="2" s="1"/>
  <c r="F1106" i="2" s="1"/>
  <c r="G1106" i="2" s="1"/>
  <c r="E1111" i="1" s="1"/>
  <c r="A1098" i="2"/>
  <c r="B1098" i="2"/>
  <c r="C1098" i="2" s="1"/>
  <c r="F1098" i="2" s="1"/>
  <c r="G1098" i="2" s="1"/>
  <c r="E1103" i="1" s="1"/>
  <c r="A1090" i="2"/>
  <c r="B1090" i="2"/>
  <c r="C1090" i="2" s="1"/>
  <c r="F1090" i="2" s="1"/>
  <c r="G1090" i="2" s="1"/>
  <c r="E1095" i="1" s="1"/>
  <c r="A1082" i="2"/>
  <c r="B1082" i="2"/>
  <c r="C1082" i="2" s="1"/>
  <c r="F1082" i="2" s="1"/>
  <c r="G1082" i="2" s="1"/>
  <c r="E1087" i="1" s="1"/>
  <c r="A1074" i="2"/>
  <c r="B1074" i="2"/>
  <c r="C1074" i="2" s="1"/>
  <c r="F1074" i="2" s="1"/>
  <c r="G1074" i="2" s="1"/>
  <c r="E1079" i="1" s="1"/>
  <c r="A1066" i="2"/>
  <c r="B1066" i="2"/>
  <c r="C1066" i="2" s="1"/>
  <c r="F1066" i="2" s="1"/>
  <c r="G1066" i="2" s="1"/>
  <c r="E1071" i="1" s="1"/>
  <c r="A1058" i="2"/>
  <c r="B1058" i="2"/>
  <c r="C1058" i="2" s="1"/>
  <c r="F1058" i="2" s="1"/>
  <c r="G1058" i="2" s="1"/>
  <c r="E1063" i="1" s="1"/>
  <c r="A1050" i="2"/>
  <c r="B1050" i="2"/>
  <c r="C1050" i="2" s="1"/>
  <c r="F1050" i="2" s="1"/>
  <c r="G1050" i="2" s="1"/>
  <c r="E1055" i="1" s="1"/>
  <c r="A1042" i="2"/>
  <c r="B1042" i="2"/>
  <c r="C1042" i="2" s="1"/>
  <c r="F1042" i="2" s="1"/>
  <c r="G1042" i="2" s="1"/>
  <c r="E1047" i="1" s="1"/>
  <c r="A1034" i="2"/>
  <c r="B1034" i="2"/>
  <c r="C1034" i="2" s="1"/>
  <c r="F1034" i="2" s="1"/>
  <c r="G1034" i="2" s="1"/>
  <c r="E1039" i="1" s="1"/>
  <c r="A1026" i="2"/>
  <c r="B1026" i="2"/>
  <c r="C1026" i="2" s="1"/>
  <c r="F1026" i="2" s="1"/>
  <c r="G1026" i="2" s="1"/>
  <c r="E1031" i="1" s="1"/>
  <c r="A1018" i="2"/>
  <c r="B1018" i="2"/>
  <c r="C1018" i="2" s="1"/>
  <c r="F1018" i="2" s="1"/>
  <c r="G1018" i="2" s="1"/>
  <c r="E1023" i="1" s="1"/>
  <c r="A1010" i="2"/>
  <c r="B1010" i="2"/>
  <c r="C1010" i="2" s="1"/>
  <c r="F1010" i="2" s="1"/>
  <c r="G1010" i="2" s="1"/>
  <c r="E1015" i="1" s="1"/>
  <c r="A1002" i="2"/>
  <c r="B1002" i="2"/>
  <c r="C1002" i="2" s="1"/>
  <c r="F1002" i="2" s="1"/>
  <c r="G1002" i="2" s="1"/>
  <c r="E1007" i="1" s="1"/>
  <c r="A994" i="2"/>
  <c r="B994" i="2"/>
  <c r="C994" i="2" s="1"/>
  <c r="F994" i="2" s="1"/>
  <c r="G994" i="2" s="1"/>
  <c r="E999" i="1" s="1"/>
  <c r="A986" i="2"/>
  <c r="B986" i="2"/>
  <c r="C986" i="2" s="1"/>
  <c r="F986" i="2" s="1"/>
  <c r="G986" i="2" s="1"/>
  <c r="E991" i="1" s="1"/>
  <c r="A978" i="2"/>
  <c r="B978" i="2"/>
  <c r="C978" i="2" s="1"/>
  <c r="F978" i="2" s="1"/>
  <c r="G978" i="2" s="1"/>
  <c r="E983" i="1" s="1"/>
  <c r="A970" i="2"/>
  <c r="B970" i="2"/>
  <c r="C970" i="2" s="1"/>
  <c r="F970" i="2" s="1"/>
  <c r="G970" i="2" s="1"/>
  <c r="E975" i="1" s="1"/>
  <c r="A962" i="2"/>
  <c r="B962" i="2"/>
  <c r="C962" i="2" s="1"/>
  <c r="F962" i="2" s="1"/>
  <c r="G962" i="2" s="1"/>
  <c r="E967" i="1" s="1"/>
  <c r="A954" i="2"/>
  <c r="B954" i="2"/>
  <c r="C954" i="2" s="1"/>
  <c r="F954" i="2" s="1"/>
  <c r="G954" i="2" s="1"/>
  <c r="E959" i="1" s="1"/>
  <c r="A946" i="2"/>
  <c r="B946" i="2"/>
  <c r="C946" i="2" s="1"/>
  <c r="F946" i="2" s="1"/>
  <c r="G946" i="2" s="1"/>
  <c r="E951" i="1" s="1"/>
  <c r="A938" i="2"/>
  <c r="B938" i="2"/>
  <c r="C938" i="2" s="1"/>
  <c r="F938" i="2" s="1"/>
  <c r="G938" i="2" s="1"/>
  <c r="E943" i="1" s="1"/>
  <c r="A930" i="2"/>
  <c r="B930" i="2"/>
  <c r="C930" i="2" s="1"/>
  <c r="F930" i="2" s="1"/>
  <c r="G930" i="2" s="1"/>
  <c r="E935" i="1" s="1"/>
  <c r="A922" i="2"/>
  <c r="B922" i="2"/>
  <c r="C922" i="2" s="1"/>
  <c r="F922" i="2" s="1"/>
  <c r="G922" i="2" s="1"/>
  <c r="E927" i="1" s="1"/>
  <c r="A914" i="2"/>
  <c r="B914" i="2"/>
  <c r="C914" i="2" s="1"/>
  <c r="F914" i="2" s="1"/>
  <c r="G914" i="2" s="1"/>
  <c r="E919" i="1" s="1"/>
  <c r="A906" i="2"/>
  <c r="B906" i="2"/>
  <c r="C906" i="2" s="1"/>
  <c r="F906" i="2" s="1"/>
  <c r="G906" i="2" s="1"/>
  <c r="E911" i="1" s="1"/>
  <c r="A898" i="2"/>
  <c r="B898" i="2"/>
  <c r="C898" i="2" s="1"/>
  <c r="F898" i="2" s="1"/>
  <c r="G898" i="2" s="1"/>
  <c r="E903" i="1" s="1"/>
  <c r="A890" i="2"/>
  <c r="B890" i="2"/>
  <c r="C890" i="2" s="1"/>
  <c r="F890" i="2" s="1"/>
  <c r="G890" i="2" s="1"/>
  <c r="E895" i="1" s="1"/>
  <c r="A882" i="2"/>
  <c r="B882" i="2"/>
  <c r="C882" i="2" s="1"/>
  <c r="F882" i="2" s="1"/>
  <c r="G882" i="2" s="1"/>
  <c r="E887" i="1" s="1"/>
  <c r="A874" i="2"/>
  <c r="B874" i="2"/>
  <c r="C874" i="2" s="1"/>
  <c r="F874" i="2" s="1"/>
  <c r="G874" i="2" s="1"/>
  <c r="E879" i="1" s="1"/>
  <c r="A866" i="2"/>
  <c r="B866" i="2"/>
  <c r="C866" i="2" s="1"/>
  <c r="F866" i="2" s="1"/>
  <c r="G866" i="2" s="1"/>
  <c r="E871" i="1" s="1"/>
  <c r="A858" i="2"/>
  <c r="B858" i="2"/>
  <c r="C858" i="2" s="1"/>
  <c r="F858" i="2" s="1"/>
  <c r="G858" i="2" s="1"/>
  <c r="E863" i="1" s="1"/>
  <c r="A850" i="2"/>
  <c r="B850" i="2"/>
  <c r="C850" i="2" s="1"/>
  <c r="F850" i="2" s="1"/>
  <c r="G850" i="2" s="1"/>
  <c r="E855" i="1" s="1"/>
  <c r="A842" i="2"/>
  <c r="B842" i="2"/>
  <c r="C842" i="2" s="1"/>
  <c r="F842" i="2" s="1"/>
  <c r="G842" i="2" s="1"/>
  <c r="E847" i="1" s="1"/>
  <c r="A834" i="2"/>
  <c r="B834" i="2"/>
  <c r="C834" i="2" s="1"/>
  <c r="F834" i="2" s="1"/>
  <c r="G834" i="2" s="1"/>
  <c r="E839" i="1" s="1"/>
  <c r="A826" i="2"/>
  <c r="B826" i="2"/>
  <c r="C826" i="2" s="1"/>
  <c r="F826" i="2" s="1"/>
  <c r="G826" i="2" s="1"/>
  <c r="E831" i="1" s="1"/>
  <c r="A818" i="2"/>
  <c r="B818" i="2"/>
  <c r="C818" i="2" s="1"/>
  <c r="F818" i="2" s="1"/>
  <c r="G818" i="2" s="1"/>
  <c r="E823" i="1" s="1"/>
  <c r="A810" i="2"/>
  <c r="B810" i="2"/>
  <c r="C810" i="2" s="1"/>
  <c r="F810" i="2" s="1"/>
  <c r="G810" i="2" s="1"/>
  <c r="E815" i="1" s="1"/>
  <c r="A802" i="2"/>
  <c r="B802" i="2"/>
  <c r="C802" i="2" s="1"/>
  <c r="F802" i="2" s="1"/>
  <c r="G802" i="2" s="1"/>
  <c r="E807" i="1" s="1"/>
  <c r="A794" i="2"/>
  <c r="B794" i="2"/>
  <c r="C794" i="2" s="1"/>
  <c r="F794" i="2" s="1"/>
  <c r="G794" i="2" s="1"/>
  <c r="E799" i="1" s="1"/>
  <c r="A786" i="2"/>
  <c r="B786" i="2"/>
  <c r="C786" i="2" s="1"/>
  <c r="F786" i="2" s="1"/>
  <c r="G786" i="2" s="1"/>
  <c r="E791" i="1" s="1"/>
  <c r="A778" i="2"/>
  <c r="B778" i="2"/>
  <c r="C778" i="2" s="1"/>
  <c r="F778" i="2" s="1"/>
  <c r="G778" i="2" s="1"/>
  <c r="E783" i="1" s="1"/>
  <c r="A770" i="2"/>
  <c r="B770" i="2"/>
  <c r="C770" i="2" s="1"/>
  <c r="F770" i="2" s="1"/>
  <c r="G770" i="2" s="1"/>
  <c r="E775" i="1" s="1"/>
  <c r="A762" i="2"/>
  <c r="B762" i="2"/>
  <c r="C762" i="2" s="1"/>
  <c r="F762" i="2" s="1"/>
  <c r="G762" i="2" s="1"/>
  <c r="E767" i="1" s="1"/>
  <c r="A754" i="2"/>
  <c r="B754" i="2"/>
  <c r="C754" i="2" s="1"/>
  <c r="F754" i="2" s="1"/>
  <c r="G754" i="2" s="1"/>
  <c r="E759" i="1" s="1"/>
  <c r="A746" i="2"/>
  <c r="B746" i="2"/>
  <c r="C746" i="2" s="1"/>
  <c r="F746" i="2" s="1"/>
  <c r="G746" i="2" s="1"/>
  <c r="E751" i="1" s="1"/>
  <c r="A738" i="2"/>
  <c r="B738" i="2"/>
  <c r="C738" i="2" s="1"/>
  <c r="F738" i="2" s="1"/>
  <c r="G738" i="2" s="1"/>
  <c r="E743" i="1" s="1"/>
  <c r="A730" i="2"/>
  <c r="B730" i="2"/>
  <c r="C730" i="2" s="1"/>
  <c r="F730" i="2" s="1"/>
  <c r="G730" i="2" s="1"/>
  <c r="E735" i="1" s="1"/>
  <c r="A722" i="2"/>
  <c r="B722" i="2"/>
  <c r="C722" i="2" s="1"/>
  <c r="F722" i="2" s="1"/>
  <c r="G722" i="2" s="1"/>
  <c r="E727" i="1" s="1"/>
  <c r="A714" i="2"/>
  <c r="B714" i="2"/>
  <c r="C714" i="2" s="1"/>
  <c r="F714" i="2" s="1"/>
  <c r="G714" i="2" s="1"/>
  <c r="E719" i="1" s="1"/>
  <c r="A706" i="2"/>
  <c r="B706" i="2"/>
  <c r="C706" i="2" s="1"/>
  <c r="F706" i="2" s="1"/>
  <c r="G706" i="2" s="1"/>
  <c r="E711" i="1" s="1"/>
  <c r="A698" i="2"/>
  <c r="B698" i="2"/>
  <c r="C698" i="2" s="1"/>
  <c r="F698" i="2" s="1"/>
  <c r="G698" i="2" s="1"/>
  <c r="E703" i="1" s="1"/>
  <c r="A690" i="2"/>
  <c r="B690" i="2"/>
  <c r="C690" i="2" s="1"/>
  <c r="F690" i="2" s="1"/>
  <c r="G690" i="2" s="1"/>
  <c r="E695" i="1" s="1"/>
  <c r="A682" i="2"/>
  <c r="B682" i="2"/>
  <c r="C682" i="2" s="1"/>
  <c r="F682" i="2" s="1"/>
  <c r="G682" i="2" s="1"/>
  <c r="E687" i="1" s="1"/>
  <c r="A674" i="2"/>
  <c r="B674" i="2"/>
  <c r="C674" i="2" s="1"/>
  <c r="F674" i="2" s="1"/>
  <c r="G674" i="2" s="1"/>
  <c r="E679" i="1" s="1"/>
  <c r="A666" i="2"/>
  <c r="B666" i="2"/>
  <c r="C666" i="2" s="1"/>
  <c r="F666" i="2" s="1"/>
  <c r="G666" i="2" s="1"/>
  <c r="E671" i="1" s="1"/>
  <c r="A658" i="2"/>
  <c r="B658" i="2"/>
  <c r="C658" i="2" s="1"/>
  <c r="F658" i="2" s="1"/>
  <c r="G658" i="2" s="1"/>
  <c r="E663" i="1" s="1"/>
  <c r="A650" i="2"/>
  <c r="B650" i="2"/>
  <c r="C650" i="2" s="1"/>
  <c r="F650" i="2" s="1"/>
  <c r="G650" i="2" s="1"/>
  <c r="E655" i="1" s="1"/>
  <c r="A642" i="2"/>
  <c r="B642" i="2"/>
  <c r="C642" i="2" s="1"/>
  <c r="F642" i="2" s="1"/>
  <c r="G642" i="2" s="1"/>
  <c r="E647" i="1" s="1"/>
  <c r="A634" i="2"/>
  <c r="B634" i="2"/>
  <c r="C634" i="2" s="1"/>
  <c r="F634" i="2" s="1"/>
  <c r="G634" i="2" s="1"/>
  <c r="E639" i="1" s="1"/>
  <c r="A626" i="2"/>
  <c r="B626" i="2"/>
  <c r="C626" i="2" s="1"/>
  <c r="F626" i="2" s="1"/>
  <c r="G626" i="2" s="1"/>
  <c r="E631" i="1" s="1"/>
  <c r="A618" i="2"/>
  <c r="B618" i="2"/>
  <c r="C618" i="2" s="1"/>
  <c r="F618" i="2" s="1"/>
  <c r="G618" i="2" s="1"/>
  <c r="E623" i="1" s="1"/>
  <c r="A610" i="2"/>
  <c r="B610" i="2"/>
  <c r="C610" i="2" s="1"/>
  <c r="F610" i="2" s="1"/>
  <c r="G610" i="2" s="1"/>
  <c r="E615" i="1" s="1"/>
  <c r="A602" i="2"/>
  <c r="B602" i="2"/>
  <c r="C602" i="2" s="1"/>
  <c r="F602" i="2" s="1"/>
  <c r="G602" i="2" s="1"/>
  <c r="E607" i="1" s="1"/>
  <c r="A594" i="2"/>
  <c r="B594" i="2"/>
  <c r="C594" i="2" s="1"/>
  <c r="F594" i="2" s="1"/>
  <c r="G594" i="2" s="1"/>
  <c r="E599" i="1" s="1"/>
  <c r="A586" i="2"/>
  <c r="B586" i="2"/>
  <c r="C586" i="2" s="1"/>
  <c r="F586" i="2" s="1"/>
  <c r="G586" i="2" s="1"/>
  <c r="E591" i="1" s="1"/>
  <c r="A578" i="2"/>
  <c r="B578" i="2"/>
  <c r="C578" i="2" s="1"/>
  <c r="F578" i="2" s="1"/>
  <c r="G578" i="2" s="1"/>
  <c r="E583" i="1" s="1"/>
  <c r="A570" i="2"/>
  <c r="B570" i="2"/>
  <c r="C570" i="2" s="1"/>
  <c r="F570" i="2" s="1"/>
  <c r="G570" i="2" s="1"/>
  <c r="E575" i="1" s="1"/>
  <c r="A562" i="2"/>
  <c r="B562" i="2"/>
  <c r="C562" i="2" s="1"/>
  <c r="F562" i="2" s="1"/>
  <c r="G562" i="2" s="1"/>
  <c r="E567" i="1" s="1"/>
  <c r="A554" i="2"/>
  <c r="B554" i="2"/>
  <c r="C554" i="2" s="1"/>
  <c r="F554" i="2" s="1"/>
  <c r="G554" i="2" s="1"/>
  <c r="E559" i="1" s="1"/>
  <c r="A546" i="2"/>
  <c r="B546" i="2"/>
  <c r="C546" i="2" s="1"/>
  <c r="F546" i="2" s="1"/>
  <c r="G546" i="2" s="1"/>
  <c r="E551" i="1" s="1"/>
  <c r="A538" i="2"/>
  <c r="B538" i="2"/>
  <c r="C538" i="2" s="1"/>
  <c r="F538" i="2" s="1"/>
  <c r="G538" i="2" s="1"/>
  <c r="E543" i="1" s="1"/>
  <c r="A530" i="2"/>
  <c r="B530" i="2"/>
  <c r="C530" i="2" s="1"/>
  <c r="F530" i="2" s="1"/>
  <c r="G530" i="2" s="1"/>
  <c r="E535" i="1" s="1"/>
  <c r="A522" i="2"/>
  <c r="B522" i="2"/>
  <c r="C522" i="2" s="1"/>
  <c r="F522" i="2" s="1"/>
  <c r="G522" i="2" s="1"/>
  <c r="E527" i="1" s="1"/>
  <c r="A514" i="2"/>
  <c r="B514" i="2"/>
  <c r="C514" i="2" s="1"/>
  <c r="F514" i="2" s="1"/>
  <c r="G514" i="2" s="1"/>
  <c r="E519" i="1" s="1"/>
  <c r="A506" i="2"/>
  <c r="B506" i="2"/>
  <c r="C506" i="2" s="1"/>
  <c r="F506" i="2" s="1"/>
  <c r="G506" i="2" s="1"/>
  <c r="E511" i="1" s="1"/>
  <c r="A498" i="2"/>
  <c r="B498" i="2"/>
  <c r="C498" i="2" s="1"/>
  <c r="F498" i="2" s="1"/>
  <c r="G498" i="2" s="1"/>
  <c r="E503" i="1" s="1"/>
  <c r="A490" i="2"/>
  <c r="B490" i="2"/>
  <c r="C490" i="2" s="1"/>
  <c r="F490" i="2" s="1"/>
  <c r="G490" i="2" s="1"/>
  <c r="E495" i="1" s="1"/>
  <c r="A482" i="2"/>
  <c r="B482" i="2"/>
  <c r="C482" i="2" s="1"/>
  <c r="F482" i="2" s="1"/>
  <c r="G482" i="2" s="1"/>
  <c r="E487" i="1" s="1"/>
  <c r="A474" i="2"/>
  <c r="B474" i="2"/>
  <c r="C474" i="2" s="1"/>
  <c r="F474" i="2" s="1"/>
  <c r="G474" i="2" s="1"/>
  <c r="E479" i="1" s="1"/>
  <c r="A466" i="2"/>
  <c r="B466" i="2"/>
  <c r="C466" i="2" s="1"/>
  <c r="F466" i="2" s="1"/>
  <c r="G466" i="2" s="1"/>
  <c r="E471" i="1" s="1"/>
  <c r="A458" i="2"/>
  <c r="B458" i="2"/>
  <c r="C458" i="2" s="1"/>
  <c r="F458" i="2" s="1"/>
  <c r="G458" i="2" s="1"/>
  <c r="E463" i="1" s="1"/>
  <c r="A450" i="2"/>
  <c r="B450" i="2"/>
  <c r="C450" i="2" s="1"/>
  <c r="F450" i="2" s="1"/>
  <c r="G450" i="2" s="1"/>
  <c r="E455" i="1" s="1"/>
  <c r="A442" i="2"/>
  <c r="B442" i="2"/>
  <c r="C442" i="2" s="1"/>
  <c r="F442" i="2" s="1"/>
  <c r="G442" i="2" s="1"/>
  <c r="E447" i="1" s="1"/>
  <c r="A434" i="2"/>
  <c r="B434" i="2"/>
  <c r="C434" i="2" s="1"/>
  <c r="F434" i="2" s="1"/>
  <c r="G434" i="2" s="1"/>
  <c r="E439" i="1" s="1"/>
  <c r="A426" i="2"/>
  <c r="B426" i="2"/>
  <c r="C426" i="2" s="1"/>
  <c r="F426" i="2" s="1"/>
  <c r="G426" i="2" s="1"/>
  <c r="E431" i="1" s="1"/>
  <c r="A418" i="2"/>
  <c r="B418" i="2"/>
  <c r="C418" i="2" s="1"/>
  <c r="F418" i="2" s="1"/>
  <c r="G418" i="2" s="1"/>
  <c r="E423" i="1" s="1"/>
  <c r="A410" i="2"/>
  <c r="B410" i="2"/>
  <c r="C410" i="2" s="1"/>
  <c r="F410" i="2" s="1"/>
  <c r="G410" i="2" s="1"/>
  <c r="E415" i="1" s="1"/>
  <c r="A402" i="2"/>
  <c r="B402" i="2"/>
  <c r="C402" i="2" s="1"/>
  <c r="F402" i="2" s="1"/>
  <c r="G402" i="2" s="1"/>
  <c r="E407" i="1" s="1"/>
  <c r="A394" i="2"/>
  <c r="B394" i="2"/>
  <c r="C394" i="2" s="1"/>
  <c r="F394" i="2" s="1"/>
  <c r="G394" i="2" s="1"/>
  <c r="E399" i="1" s="1"/>
  <c r="A386" i="2"/>
  <c r="B386" i="2"/>
  <c r="C386" i="2" s="1"/>
  <c r="F386" i="2" s="1"/>
  <c r="G386" i="2" s="1"/>
  <c r="E391" i="1" s="1"/>
  <c r="A378" i="2"/>
  <c r="B378" i="2"/>
  <c r="C378" i="2" s="1"/>
  <c r="F378" i="2" s="1"/>
  <c r="G378" i="2" s="1"/>
  <c r="E383" i="1" s="1"/>
  <c r="A370" i="2"/>
  <c r="B370" i="2"/>
  <c r="C370" i="2" s="1"/>
  <c r="F370" i="2" s="1"/>
  <c r="G370" i="2" s="1"/>
  <c r="E375" i="1" s="1"/>
  <c r="A362" i="2"/>
  <c r="B362" i="2"/>
  <c r="C362" i="2" s="1"/>
  <c r="F362" i="2" s="1"/>
  <c r="G362" i="2" s="1"/>
  <c r="E367" i="1" s="1"/>
  <c r="A354" i="2"/>
  <c r="B354" i="2"/>
  <c r="C354" i="2" s="1"/>
  <c r="F354" i="2" s="1"/>
  <c r="G354" i="2" s="1"/>
  <c r="E359" i="1" s="1"/>
  <c r="A346" i="2"/>
  <c r="B346" i="2"/>
  <c r="C346" i="2" s="1"/>
  <c r="F346" i="2" s="1"/>
  <c r="G346" i="2" s="1"/>
  <c r="E351" i="1" s="1"/>
  <c r="A338" i="2"/>
  <c r="B338" i="2"/>
  <c r="C338" i="2" s="1"/>
  <c r="F338" i="2" s="1"/>
  <c r="G338" i="2" s="1"/>
  <c r="E343" i="1" s="1"/>
  <c r="A330" i="2"/>
  <c r="B330" i="2"/>
  <c r="C330" i="2" s="1"/>
  <c r="F330" i="2" s="1"/>
  <c r="G330" i="2" s="1"/>
  <c r="E335" i="1" s="1"/>
  <c r="A322" i="2"/>
  <c r="B322" i="2"/>
  <c r="C322" i="2" s="1"/>
  <c r="F322" i="2" s="1"/>
  <c r="G322" i="2" s="1"/>
  <c r="E327" i="1" s="1"/>
  <c r="A314" i="2"/>
  <c r="B314" i="2"/>
  <c r="C314" i="2" s="1"/>
  <c r="F314" i="2" s="1"/>
  <c r="G314" i="2" s="1"/>
  <c r="E319" i="1" s="1"/>
  <c r="A306" i="2"/>
  <c r="B306" i="2"/>
  <c r="C306" i="2" s="1"/>
  <c r="F306" i="2" s="1"/>
  <c r="G306" i="2" s="1"/>
  <c r="E311" i="1" s="1"/>
  <c r="A298" i="2"/>
  <c r="B298" i="2"/>
  <c r="C298" i="2" s="1"/>
  <c r="F298" i="2" s="1"/>
  <c r="G298" i="2" s="1"/>
  <c r="E303" i="1" s="1"/>
  <c r="A290" i="2"/>
  <c r="B290" i="2"/>
  <c r="C290" i="2" s="1"/>
  <c r="F290" i="2" s="1"/>
  <c r="G290" i="2" s="1"/>
  <c r="E295" i="1" s="1"/>
  <c r="A282" i="2"/>
  <c r="B282" i="2"/>
  <c r="C282" i="2" s="1"/>
  <c r="F282" i="2" s="1"/>
  <c r="G282" i="2" s="1"/>
  <c r="E287" i="1" s="1"/>
  <c r="A274" i="2"/>
  <c r="B274" i="2"/>
  <c r="C274" i="2" s="1"/>
  <c r="F274" i="2" s="1"/>
  <c r="G274" i="2" s="1"/>
  <c r="E279" i="1" s="1"/>
  <c r="A266" i="2"/>
  <c r="B266" i="2"/>
  <c r="C266" i="2" s="1"/>
  <c r="F266" i="2" s="1"/>
  <c r="G266" i="2" s="1"/>
  <c r="E271" i="1" s="1"/>
  <c r="A258" i="2"/>
  <c r="B258" i="2"/>
  <c r="C258" i="2" s="1"/>
  <c r="F258" i="2" s="1"/>
  <c r="G258" i="2" s="1"/>
  <c r="E263" i="1" s="1"/>
  <c r="A250" i="2"/>
  <c r="B250" i="2"/>
  <c r="C250" i="2" s="1"/>
  <c r="F250" i="2" s="1"/>
  <c r="G250" i="2" s="1"/>
  <c r="E255" i="1" s="1"/>
  <c r="A242" i="2"/>
  <c r="B242" i="2"/>
  <c r="C242" i="2" s="1"/>
  <c r="F242" i="2" s="1"/>
  <c r="G242" i="2" s="1"/>
  <c r="E247" i="1" s="1"/>
  <c r="A234" i="2"/>
  <c r="B234" i="2"/>
  <c r="C234" i="2" s="1"/>
  <c r="F234" i="2" s="1"/>
  <c r="G234" i="2" s="1"/>
  <c r="E239" i="1" s="1"/>
  <c r="A226" i="2"/>
  <c r="B226" i="2"/>
  <c r="C226" i="2" s="1"/>
  <c r="F226" i="2" s="1"/>
  <c r="G226" i="2" s="1"/>
  <c r="E231" i="1" s="1"/>
  <c r="A218" i="2"/>
  <c r="B218" i="2"/>
  <c r="C218" i="2" s="1"/>
  <c r="F218" i="2" s="1"/>
  <c r="G218" i="2" s="1"/>
  <c r="E223" i="1" s="1"/>
  <c r="A210" i="2"/>
  <c r="B210" i="2"/>
  <c r="C210" i="2" s="1"/>
  <c r="F210" i="2" s="1"/>
  <c r="G210" i="2" s="1"/>
  <c r="E215" i="1" s="1"/>
  <c r="A202" i="2"/>
  <c r="B202" i="2"/>
  <c r="C202" i="2" s="1"/>
  <c r="F202" i="2" s="1"/>
  <c r="G202" i="2" s="1"/>
  <c r="E207" i="1" s="1"/>
  <c r="A194" i="2"/>
  <c r="B194" i="2"/>
  <c r="C194" i="2" s="1"/>
  <c r="F194" i="2" s="1"/>
  <c r="G194" i="2" s="1"/>
  <c r="E199" i="1" s="1"/>
  <c r="A186" i="2"/>
  <c r="B186" i="2"/>
  <c r="C186" i="2" s="1"/>
  <c r="F186" i="2" s="1"/>
  <c r="G186" i="2" s="1"/>
  <c r="E191" i="1" s="1"/>
  <c r="A178" i="2"/>
  <c r="B178" i="2"/>
  <c r="C178" i="2" s="1"/>
  <c r="F178" i="2" s="1"/>
  <c r="G178" i="2" s="1"/>
  <c r="E183" i="1" s="1"/>
  <c r="A170" i="2"/>
  <c r="B170" i="2"/>
  <c r="C170" i="2" s="1"/>
  <c r="F170" i="2" s="1"/>
  <c r="G170" i="2" s="1"/>
  <c r="E175" i="1" s="1"/>
  <c r="A162" i="2"/>
  <c r="B162" i="2"/>
  <c r="C162" i="2" s="1"/>
  <c r="F162" i="2" s="1"/>
  <c r="G162" i="2" s="1"/>
  <c r="E167" i="1" s="1"/>
  <c r="A154" i="2"/>
  <c r="B154" i="2"/>
  <c r="C154" i="2" s="1"/>
  <c r="F154" i="2" s="1"/>
  <c r="G154" i="2" s="1"/>
  <c r="E159" i="1" s="1"/>
  <c r="A146" i="2"/>
  <c r="B146" i="2"/>
  <c r="C146" i="2" s="1"/>
  <c r="F146" i="2" s="1"/>
  <c r="G146" i="2" s="1"/>
  <c r="E151" i="1" s="1"/>
  <c r="A138" i="2"/>
  <c r="B138" i="2"/>
  <c r="C138" i="2" s="1"/>
  <c r="F138" i="2" s="1"/>
  <c r="G138" i="2" s="1"/>
  <c r="E143" i="1" s="1"/>
  <c r="A130" i="2"/>
  <c r="B130" i="2"/>
  <c r="C130" i="2" s="1"/>
  <c r="F130" i="2" s="1"/>
  <c r="G130" i="2" s="1"/>
  <c r="E135" i="1" s="1"/>
  <c r="A122" i="2"/>
  <c r="B122" i="2"/>
  <c r="C122" i="2" s="1"/>
  <c r="F122" i="2" s="1"/>
  <c r="G122" i="2" s="1"/>
  <c r="E127" i="1" s="1"/>
  <c r="A114" i="2"/>
  <c r="B114" i="2"/>
  <c r="C114" i="2" s="1"/>
  <c r="F114" i="2" s="1"/>
  <c r="G114" i="2" s="1"/>
  <c r="E119" i="1" s="1"/>
  <c r="A106" i="2"/>
  <c r="B106" i="2"/>
  <c r="C106" i="2" s="1"/>
  <c r="A98" i="2"/>
  <c r="B98" i="2"/>
  <c r="C98" i="2" s="1"/>
  <c r="A90" i="2"/>
  <c r="B90" i="2"/>
  <c r="C90" i="2" s="1"/>
  <c r="A82" i="2"/>
  <c r="B82" i="2"/>
  <c r="C82" i="2" s="1"/>
  <c r="A74" i="2"/>
  <c r="B74" i="2"/>
  <c r="C74" i="2" s="1"/>
  <c r="A66" i="2"/>
  <c r="B66" i="2"/>
  <c r="C66" i="2" s="1"/>
  <c r="A58" i="2"/>
  <c r="B58" i="2"/>
  <c r="C58" i="2" s="1"/>
  <c r="A50" i="2"/>
  <c r="B50" i="2"/>
  <c r="C50" i="2" s="1"/>
  <c r="A42" i="2"/>
  <c r="B42" i="2"/>
  <c r="C42" i="2" s="1"/>
  <c r="A34" i="2"/>
  <c r="B34" i="2"/>
  <c r="C34" i="2" s="1"/>
  <c r="A26" i="2"/>
  <c r="B26" i="2"/>
  <c r="C26" i="2" s="1"/>
  <c r="A18" i="2"/>
  <c r="B18" i="2"/>
  <c r="C18" i="2" s="1"/>
  <c r="A10" i="2"/>
  <c r="B10" i="2"/>
  <c r="C10" i="2" s="1"/>
  <c r="A5" i="2"/>
  <c r="B5" i="2"/>
  <c r="C5" i="2" s="1"/>
  <c r="A3993" i="2"/>
  <c r="B3993" i="2"/>
  <c r="C3993" i="2" s="1"/>
  <c r="F3993" i="2" s="1"/>
  <c r="G3993" i="2" s="1"/>
  <c r="E3998" i="1" s="1"/>
  <c r="A3985" i="2"/>
  <c r="B3985" i="2"/>
  <c r="C3985" i="2" s="1"/>
  <c r="F3985" i="2" s="1"/>
  <c r="G3985" i="2" s="1"/>
  <c r="E3990" i="1" s="1"/>
  <c r="A3977" i="2"/>
  <c r="B3977" i="2"/>
  <c r="C3977" i="2" s="1"/>
  <c r="F3977" i="2" s="1"/>
  <c r="G3977" i="2" s="1"/>
  <c r="E3982" i="1" s="1"/>
  <c r="A3969" i="2"/>
  <c r="B3969" i="2"/>
  <c r="C3969" i="2" s="1"/>
  <c r="F3969" i="2" s="1"/>
  <c r="G3969" i="2" s="1"/>
  <c r="E3974" i="1" s="1"/>
  <c r="A3961" i="2"/>
  <c r="B3961" i="2"/>
  <c r="C3961" i="2" s="1"/>
  <c r="F3961" i="2" s="1"/>
  <c r="G3961" i="2" s="1"/>
  <c r="E3966" i="1" s="1"/>
  <c r="A3953" i="2"/>
  <c r="B3953" i="2"/>
  <c r="C3953" i="2" s="1"/>
  <c r="F3953" i="2" s="1"/>
  <c r="G3953" i="2" s="1"/>
  <c r="E3958" i="1" s="1"/>
  <c r="A3945" i="2"/>
  <c r="B3945" i="2"/>
  <c r="C3945" i="2" s="1"/>
  <c r="F3945" i="2" s="1"/>
  <c r="G3945" i="2" s="1"/>
  <c r="E3950" i="1" s="1"/>
  <c r="A3937" i="2"/>
  <c r="B3937" i="2"/>
  <c r="C3937" i="2" s="1"/>
  <c r="F3937" i="2" s="1"/>
  <c r="G3937" i="2" s="1"/>
  <c r="E3942" i="1" s="1"/>
  <c r="A3929" i="2"/>
  <c r="B3929" i="2"/>
  <c r="C3929" i="2" s="1"/>
  <c r="F3929" i="2" s="1"/>
  <c r="G3929" i="2" s="1"/>
  <c r="E3934" i="1" s="1"/>
  <c r="A3921" i="2"/>
  <c r="B3921" i="2"/>
  <c r="C3921" i="2" s="1"/>
  <c r="F3921" i="2" s="1"/>
  <c r="G3921" i="2" s="1"/>
  <c r="E3926" i="1" s="1"/>
  <c r="A3913" i="2"/>
  <c r="B3913" i="2"/>
  <c r="C3913" i="2" s="1"/>
  <c r="F3913" i="2" s="1"/>
  <c r="G3913" i="2" s="1"/>
  <c r="E3918" i="1" s="1"/>
  <c r="A3905" i="2"/>
  <c r="B3905" i="2"/>
  <c r="C3905" i="2" s="1"/>
  <c r="F3905" i="2" s="1"/>
  <c r="G3905" i="2" s="1"/>
  <c r="E3910" i="1" s="1"/>
  <c r="A3897" i="2"/>
  <c r="B3897" i="2"/>
  <c r="C3897" i="2" s="1"/>
  <c r="F3897" i="2" s="1"/>
  <c r="G3897" i="2" s="1"/>
  <c r="E3902" i="1" s="1"/>
  <c r="A3889" i="2"/>
  <c r="B3889" i="2"/>
  <c r="C3889" i="2" s="1"/>
  <c r="F3889" i="2" s="1"/>
  <c r="G3889" i="2" s="1"/>
  <c r="E3894" i="1" s="1"/>
  <c r="A3881" i="2"/>
  <c r="B3881" i="2"/>
  <c r="C3881" i="2" s="1"/>
  <c r="F3881" i="2" s="1"/>
  <c r="G3881" i="2" s="1"/>
  <c r="E3886" i="1" s="1"/>
  <c r="A3873" i="2"/>
  <c r="B3873" i="2"/>
  <c r="C3873" i="2" s="1"/>
  <c r="F3873" i="2" s="1"/>
  <c r="G3873" i="2" s="1"/>
  <c r="E3878" i="1" s="1"/>
  <c r="A3865" i="2"/>
  <c r="B3865" i="2"/>
  <c r="C3865" i="2" s="1"/>
  <c r="F3865" i="2" s="1"/>
  <c r="G3865" i="2" s="1"/>
  <c r="E3870" i="1" s="1"/>
  <c r="A3857" i="2"/>
  <c r="B3857" i="2"/>
  <c r="C3857" i="2" s="1"/>
  <c r="F3857" i="2" s="1"/>
  <c r="G3857" i="2" s="1"/>
  <c r="E3862" i="1" s="1"/>
  <c r="A3849" i="2"/>
  <c r="B3849" i="2"/>
  <c r="C3849" i="2" s="1"/>
  <c r="F3849" i="2" s="1"/>
  <c r="G3849" i="2" s="1"/>
  <c r="E3854" i="1" s="1"/>
  <c r="A3841" i="2"/>
  <c r="B3841" i="2"/>
  <c r="C3841" i="2" s="1"/>
  <c r="F3841" i="2" s="1"/>
  <c r="G3841" i="2" s="1"/>
  <c r="E3846" i="1" s="1"/>
  <c r="A3833" i="2"/>
  <c r="B3833" i="2"/>
  <c r="C3833" i="2" s="1"/>
  <c r="F3833" i="2" s="1"/>
  <c r="G3833" i="2" s="1"/>
  <c r="E3838" i="1" s="1"/>
  <c r="A3825" i="2"/>
  <c r="B3825" i="2"/>
  <c r="C3825" i="2" s="1"/>
  <c r="F3825" i="2" s="1"/>
  <c r="G3825" i="2" s="1"/>
  <c r="E3830" i="1" s="1"/>
  <c r="A3817" i="2"/>
  <c r="B3817" i="2"/>
  <c r="C3817" i="2" s="1"/>
  <c r="F3817" i="2" s="1"/>
  <c r="G3817" i="2" s="1"/>
  <c r="E3822" i="1" s="1"/>
  <c r="A3809" i="2"/>
  <c r="B3809" i="2"/>
  <c r="C3809" i="2" s="1"/>
  <c r="F3809" i="2" s="1"/>
  <c r="G3809" i="2" s="1"/>
  <c r="E3814" i="1" s="1"/>
  <c r="A3801" i="2"/>
  <c r="B3801" i="2"/>
  <c r="C3801" i="2" s="1"/>
  <c r="F3801" i="2" s="1"/>
  <c r="G3801" i="2" s="1"/>
  <c r="E3806" i="1" s="1"/>
  <c r="A3793" i="2"/>
  <c r="B3793" i="2"/>
  <c r="C3793" i="2" s="1"/>
  <c r="F3793" i="2" s="1"/>
  <c r="G3793" i="2" s="1"/>
  <c r="E3798" i="1" s="1"/>
  <c r="A3785" i="2"/>
  <c r="B3785" i="2"/>
  <c r="C3785" i="2" s="1"/>
  <c r="F3785" i="2" s="1"/>
  <c r="G3785" i="2" s="1"/>
  <c r="E3790" i="1" s="1"/>
  <c r="A3777" i="2"/>
  <c r="B3777" i="2"/>
  <c r="C3777" i="2" s="1"/>
  <c r="F3777" i="2" s="1"/>
  <c r="G3777" i="2" s="1"/>
  <c r="E3782" i="1" s="1"/>
  <c r="A3769" i="2"/>
  <c r="B3769" i="2"/>
  <c r="C3769" i="2" s="1"/>
  <c r="F3769" i="2" s="1"/>
  <c r="G3769" i="2" s="1"/>
  <c r="E3774" i="1" s="1"/>
  <c r="A3761" i="2"/>
  <c r="B3761" i="2"/>
  <c r="C3761" i="2" s="1"/>
  <c r="F3761" i="2" s="1"/>
  <c r="G3761" i="2" s="1"/>
  <c r="E3766" i="1" s="1"/>
  <c r="A3753" i="2"/>
  <c r="B3753" i="2"/>
  <c r="C3753" i="2" s="1"/>
  <c r="F3753" i="2" s="1"/>
  <c r="G3753" i="2" s="1"/>
  <c r="E3758" i="1" s="1"/>
  <c r="A3745" i="2"/>
  <c r="B3745" i="2"/>
  <c r="C3745" i="2" s="1"/>
  <c r="F3745" i="2" s="1"/>
  <c r="G3745" i="2" s="1"/>
  <c r="E3750" i="1" s="1"/>
  <c r="A3737" i="2"/>
  <c r="B3737" i="2"/>
  <c r="C3737" i="2" s="1"/>
  <c r="F3737" i="2" s="1"/>
  <c r="G3737" i="2" s="1"/>
  <c r="E3742" i="1" s="1"/>
  <c r="A3729" i="2"/>
  <c r="B3729" i="2"/>
  <c r="C3729" i="2" s="1"/>
  <c r="F3729" i="2" s="1"/>
  <c r="G3729" i="2" s="1"/>
  <c r="E3734" i="1" s="1"/>
  <c r="A3721" i="2"/>
  <c r="B3721" i="2"/>
  <c r="C3721" i="2" s="1"/>
  <c r="F3721" i="2" s="1"/>
  <c r="G3721" i="2" s="1"/>
  <c r="E3726" i="1" s="1"/>
  <c r="A3713" i="2"/>
  <c r="B3713" i="2"/>
  <c r="C3713" i="2" s="1"/>
  <c r="F3713" i="2" s="1"/>
  <c r="G3713" i="2" s="1"/>
  <c r="E3718" i="1" s="1"/>
  <c r="A3705" i="2"/>
  <c r="B3705" i="2"/>
  <c r="C3705" i="2" s="1"/>
  <c r="F3705" i="2" s="1"/>
  <c r="G3705" i="2" s="1"/>
  <c r="E3710" i="1" s="1"/>
  <c r="A3697" i="2"/>
  <c r="B3697" i="2"/>
  <c r="C3697" i="2" s="1"/>
  <c r="F3697" i="2" s="1"/>
  <c r="G3697" i="2" s="1"/>
  <c r="E3702" i="1" s="1"/>
  <c r="A3689" i="2"/>
  <c r="B3689" i="2"/>
  <c r="C3689" i="2" s="1"/>
  <c r="F3689" i="2" s="1"/>
  <c r="G3689" i="2" s="1"/>
  <c r="E3694" i="1" s="1"/>
  <c r="A3681" i="2"/>
  <c r="B3681" i="2"/>
  <c r="C3681" i="2" s="1"/>
  <c r="F3681" i="2" s="1"/>
  <c r="G3681" i="2" s="1"/>
  <c r="E3686" i="1" s="1"/>
  <c r="A3673" i="2"/>
  <c r="B3673" i="2"/>
  <c r="C3673" i="2" s="1"/>
  <c r="F3673" i="2" s="1"/>
  <c r="G3673" i="2" s="1"/>
  <c r="E3678" i="1" s="1"/>
  <c r="A3665" i="2"/>
  <c r="B3665" i="2"/>
  <c r="C3665" i="2" s="1"/>
  <c r="F3665" i="2" s="1"/>
  <c r="G3665" i="2" s="1"/>
  <c r="E3670" i="1" s="1"/>
  <c r="A3657" i="2"/>
  <c r="B3657" i="2"/>
  <c r="C3657" i="2" s="1"/>
  <c r="F3657" i="2" s="1"/>
  <c r="G3657" i="2" s="1"/>
  <c r="E3662" i="1" s="1"/>
  <c r="A3649" i="2"/>
  <c r="B3649" i="2"/>
  <c r="C3649" i="2" s="1"/>
  <c r="F3649" i="2" s="1"/>
  <c r="G3649" i="2" s="1"/>
  <c r="E3654" i="1" s="1"/>
  <c r="A3641" i="2"/>
  <c r="B3641" i="2"/>
  <c r="C3641" i="2" s="1"/>
  <c r="F3641" i="2" s="1"/>
  <c r="G3641" i="2" s="1"/>
  <c r="E3646" i="1" s="1"/>
  <c r="A3633" i="2"/>
  <c r="B3633" i="2"/>
  <c r="C3633" i="2" s="1"/>
  <c r="F3633" i="2" s="1"/>
  <c r="G3633" i="2" s="1"/>
  <c r="E3638" i="1" s="1"/>
  <c r="A3625" i="2"/>
  <c r="B3625" i="2"/>
  <c r="C3625" i="2" s="1"/>
  <c r="F3625" i="2" s="1"/>
  <c r="G3625" i="2" s="1"/>
  <c r="E3630" i="1" s="1"/>
  <c r="A3617" i="2"/>
  <c r="B3617" i="2"/>
  <c r="C3617" i="2" s="1"/>
  <c r="F3617" i="2" s="1"/>
  <c r="G3617" i="2" s="1"/>
  <c r="E3622" i="1" s="1"/>
  <c r="A3609" i="2"/>
  <c r="B3609" i="2"/>
  <c r="C3609" i="2" s="1"/>
  <c r="F3609" i="2" s="1"/>
  <c r="G3609" i="2" s="1"/>
  <c r="E3614" i="1" s="1"/>
  <c r="A3601" i="2"/>
  <c r="B3601" i="2"/>
  <c r="C3601" i="2" s="1"/>
  <c r="F3601" i="2" s="1"/>
  <c r="G3601" i="2" s="1"/>
  <c r="E3606" i="1" s="1"/>
  <c r="A3593" i="2"/>
  <c r="B3593" i="2"/>
  <c r="C3593" i="2" s="1"/>
  <c r="F3593" i="2" s="1"/>
  <c r="G3593" i="2" s="1"/>
  <c r="E3598" i="1" s="1"/>
  <c r="A3585" i="2"/>
  <c r="B3585" i="2"/>
  <c r="C3585" i="2" s="1"/>
  <c r="F3585" i="2" s="1"/>
  <c r="G3585" i="2" s="1"/>
  <c r="E3590" i="1" s="1"/>
  <c r="A3577" i="2"/>
  <c r="B3577" i="2"/>
  <c r="C3577" i="2" s="1"/>
  <c r="F3577" i="2" s="1"/>
  <c r="G3577" i="2" s="1"/>
  <c r="E3582" i="1" s="1"/>
  <c r="A3569" i="2"/>
  <c r="B3569" i="2"/>
  <c r="C3569" i="2" s="1"/>
  <c r="F3569" i="2" s="1"/>
  <c r="G3569" i="2" s="1"/>
  <c r="E3574" i="1" s="1"/>
  <c r="A3561" i="2"/>
  <c r="B3561" i="2"/>
  <c r="C3561" i="2" s="1"/>
  <c r="F3561" i="2" s="1"/>
  <c r="G3561" i="2" s="1"/>
  <c r="E3566" i="1" s="1"/>
  <c r="A3553" i="2"/>
  <c r="B3553" i="2"/>
  <c r="C3553" i="2" s="1"/>
  <c r="F3553" i="2" s="1"/>
  <c r="G3553" i="2" s="1"/>
  <c r="E3558" i="1" s="1"/>
  <c r="A3545" i="2"/>
  <c r="B3545" i="2"/>
  <c r="C3545" i="2" s="1"/>
  <c r="F3545" i="2" s="1"/>
  <c r="G3545" i="2" s="1"/>
  <c r="E3550" i="1" s="1"/>
  <c r="A3537" i="2"/>
  <c r="B3537" i="2"/>
  <c r="C3537" i="2" s="1"/>
  <c r="F3537" i="2" s="1"/>
  <c r="G3537" i="2" s="1"/>
  <c r="E3542" i="1" s="1"/>
  <c r="A3529" i="2"/>
  <c r="B3529" i="2"/>
  <c r="C3529" i="2" s="1"/>
  <c r="F3529" i="2" s="1"/>
  <c r="G3529" i="2" s="1"/>
  <c r="E3534" i="1" s="1"/>
  <c r="A3521" i="2"/>
  <c r="B3521" i="2"/>
  <c r="C3521" i="2" s="1"/>
  <c r="F3521" i="2" s="1"/>
  <c r="G3521" i="2" s="1"/>
  <c r="E3526" i="1" s="1"/>
  <c r="A3513" i="2"/>
  <c r="B3513" i="2"/>
  <c r="C3513" i="2" s="1"/>
  <c r="F3513" i="2" s="1"/>
  <c r="G3513" i="2" s="1"/>
  <c r="E3518" i="1" s="1"/>
  <c r="A3505" i="2"/>
  <c r="B3505" i="2"/>
  <c r="C3505" i="2" s="1"/>
  <c r="F3505" i="2" s="1"/>
  <c r="G3505" i="2" s="1"/>
  <c r="E3510" i="1" s="1"/>
  <c r="A3497" i="2"/>
  <c r="B3497" i="2"/>
  <c r="C3497" i="2" s="1"/>
  <c r="F3497" i="2" s="1"/>
  <c r="G3497" i="2" s="1"/>
  <c r="E3502" i="1" s="1"/>
  <c r="A3489" i="2"/>
  <c r="B3489" i="2"/>
  <c r="C3489" i="2" s="1"/>
  <c r="F3489" i="2" s="1"/>
  <c r="G3489" i="2" s="1"/>
  <c r="E3494" i="1" s="1"/>
  <c r="A3481" i="2"/>
  <c r="B3481" i="2"/>
  <c r="C3481" i="2" s="1"/>
  <c r="F3481" i="2" s="1"/>
  <c r="G3481" i="2" s="1"/>
  <c r="E3486" i="1" s="1"/>
  <c r="A3473" i="2"/>
  <c r="B3473" i="2"/>
  <c r="C3473" i="2" s="1"/>
  <c r="F3473" i="2" s="1"/>
  <c r="G3473" i="2" s="1"/>
  <c r="E3478" i="1" s="1"/>
  <c r="A3465" i="2"/>
  <c r="B3465" i="2"/>
  <c r="C3465" i="2" s="1"/>
  <c r="F3465" i="2" s="1"/>
  <c r="G3465" i="2" s="1"/>
  <c r="E3470" i="1" s="1"/>
  <c r="A3457" i="2"/>
  <c r="B3457" i="2"/>
  <c r="C3457" i="2" s="1"/>
  <c r="F3457" i="2" s="1"/>
  <c r="G3457" i="2" s="1"/>
  <c r="E3462" i="1" s="1"/>
  <c r="A3449" i="2"/>
  <c r="B3449" i="2"/>
  <c r="C3449" i="2" s="1"/>
  <c r="F3449" i="2" s="1"/>
  <c r="G3449" i="2" s="1"/>
  <c r="E3454" i="1" s="1"/>
  <c r="A3441" i="2"/>
  <c r="B3441" i="2"/>
  <c r="C3441" i="2" s="1"/>
  <c r="F3441" i="2" s="1"/>
  <c r="G3441" i="2" s="1"/>
  <c r="E3446" i="1" s="1"/>
  <c r="A3433" i="2"/>
  <c r="B3433" i="2"/>
  <c r="C3433" i="2" s="1"/>
  <c r="F3433" i="2" s="1"/>
  <c r="G3433" i="2" s="1"/>
  <c r="E3438" i="1" s="1"/>
  <c r="A3425" i="2"/>
  <c r="B3425" i="2"/>
  <c r="C3425" i="2" s="1"/>
  <c r="F3425" i="2" s="1"/>
  <c r="G3425" i="2" s="1"/>
  <c r="E3430" i="1" s="1"/>
  <c r="A3417" i="2"/>
  <c r="B3417" i="2"/>
  <c r="C3417" i="2" s="1"/>
  <c r="F3417" i="2" s="1"/>
  <c r="G3417" i="2" s="1"/>
  <c r="E3422" i="1" s="1"/>
  <c r="A3409" i="2"/>
  <c r="B3409" i="2"/>
  <c r="C3409" i="2" s="1"/>
  <c r="F3409" i="2" s="1"/>
  <c r="G3409" i="2" s="1"/>
  <c r="E3414" i="1" s="1"/>
  <c r="A3401" i="2"/>
  <c r="B3401" i="2"/>
  <c r="C3401" i="2" s="1"/>
  <c r="F3401" i="2" s="1"/>
  <c r="G3401" i="2" s="1"/>
  <c r="E3406" i="1" s="1"/>
  <c r="A3393" i="2"/>
  <c r="B3393" i="2"/>
  <c r="C3393" i="2" s="1"/>
  <c r="F3393" i="2" s="1"/>
  <c r="G3393" i="2" s="1"/>
  <c r="E3398" i="1" s="1"/>
  <c r="A3385" i="2"/>
  <c r="B3385" i="2"/>
  <c r="C3385" i="2" s="1"/>
  <c r="F3385" i="2" s="1"/>
  <c r="G3385" i="2" s="1"/>
  <c r="E3390" i="1" s="1"/>
  <c r="A3377" i="2"/>
  <c r="B3377" i="2"/>
  <c r="C3377" i="2" s="1"/>
  <c r="F3377" i="2" s="1"/>
  <c r="G3377" i="2" s="1"/>
  <c r="E3382" i="1" s="1"/>
  <c r="A3369" i="2"/>
  <c r="B3369" i="2"/>
  <c r="C3369" i="2" s="1"/>
  <c r="F3369" i="2" s="1"/>
  <c r="G3369" i="2" s="1"/>
  <c r="E3374" i="1" s="1"/>
  <c r="A3361" i="2"/>
  <c r="B3361" i="2"/>
  <c r="C3361" i="2" s="1"/>
  <c r="F3361" i="2" s="1"/>
  <c r="G3361" i="2" s="1"/>
  <c r="E3366" i="1" s="1"/>
  <c r="A3353" i="2"/>
  <c r="B3353" i="2"/>
  <c r="C3353" i="2" s="1"/>
  <c r="F3353" i="2" s="1"/>
  <c r="G3353" i="2" s="1"/>
  <c r="E3358" i="1" s="1"/>
  <c r="A3345" i="2"/>
  <c r="B3345" i="2"/>
  <c r="C3345" i="2" s="1"/>
  <c r="F3345" i="2" s="1"/>
  <c r="G3345" i="2" s="1"/>
  <c r="E3350" i="1" s="1"/>
  <c r="A3337" i="2"/>
  <c r="B3337" i="2"/>
  <c r="C3337" i="2" s="1"/>
  <c r="F3337" i="2" s="1"/>
  <c r="G3337" i="2" s="1"/>
  <c r="E3342" i="1" s="1"/>
  <c r="A3329" i="2"/>
  <c r="B3329" i="2"/>
  <c r="C3329" i="2" s="1"/>
  <c r="F3329" i="2" s="1"/>
  <c r="G3329" i="2" s="1"/>
  <c r="E3334" i="1" s="1"/>
  <c r="A3321" i="2"/>
  <c r="B3321" i="2"/>
  <c r="C3321" i="2" s="1"/>
  <c r="F3321" i="2" s="1"/>
  <c r="G3321" i="2" s="1"/>
  <c r="E3326" i="1" s="1"/>
  <c r="A3313" i="2"/>
  <c r="B3313" i="2"/>
  <c r="C3313" i="2" s="1"/>
  <c r="F3313" i="2" s="1"/>
  <c r="G3313" i="2" s="1"/>
  <c r="E3318" i="1" s="1"/>
  <c r="A3305" i="2"/>
  <c r="B3305" i="2"/>
  <c r="C3305" i="2" s="1"/>
  <c r="F3305" i="2" s="1"/>
  <c r="G3305" i="2" s="1"/>
  <c r="E3310" i="1" s="1"/>
  <c r="A3297" i="2"/>
  <c r="B3297" i="2"/>
  <c r="C3297" i="2" s="1"/>
  <c r="F3297" i="2" s="1"/>
  <c r="G3297" i="2" s="1"/>
  <c r="E3302" i="1" s="1"/>
  <c r="A3289" i="2"/>
  <c r="B3289" i="2"/>
  <c r="C3289" i="2" s="1"/>
  <c r="F3289" i="2" s="1"/>
  <c r="G3289" i="2" s="1"/>
  <c r="E3294" i="1" s="1"/>
  <c r="A3281" i="2"/>
  <c r="B3281" i="2"/>
  <c r="C3281" i="2" s="1"/>
  <c r="F3281" i="2" s="1"/>
  <c r="G3281" i="2" s="1"/>
  <c r="E3286" i="1" s="1"/>
  <c r="A3273" i="2"/>
  <c r="B3273" i="2"/>
  <c r="C3273" i="2" s="1"/>
  <c r="F3273" i="2" s="1"/>
  <c r="G3273" i="2" s="1"/>
  <c r="E3278" i="1" s="1"/>
  <c r="A3265" i="2"/>
  <c r="B3265" i="2"/>
  <c r="C3265" i="2" s="1"/>
  <c r="F3265" i="2" s="1"/>
  <c r="G3265" i="2" s="1"/>
  <c r="E3270" i="1" s="1"/>
  <c r="A3257" i="2"/>
  <c r="B3257" i="2"/>
  <c r="C3257" i="2" s="1"/>
  <c r="F3257" i="2" s="1"/>
  <c r="G3257" i="2" s="1"/>
  <c r="E3262" i="1" s="1"/>
  <c r="A3249" i="2"/>
  <c r="B3249" i="2"/>
  <c r="C3249" i="2" s="1"/>
  <c r="F3249" i="2" s="1"/>
  <c r="G3249" i="2" s="1"/>
  <c r="E3254" i="1" s="1"/>
  <c r="A3241" i="2"/>
  <c r="B3241" i="2"/>
  <c r="C3241" i="2" s="1"/>
  <c r="F3241" i="2" s="1"/>
  <c r="G3241" i="2" s="1"/>
  <c r="E3246" i="1" s="1"/>
  <c r="A3233" i="2"/>
  <c r="B3233" i="2"/>
  <c r="C3233" i="2" s="1"/>
  <c r="F3233" i="2" s="1"/>
  <c r="G3233" i="2" s="1"/>
  <c r="E3238" i="1" s="1"/>
  <c r="A3225" i="2"/>
  <c r="B3225" i="2"/>
  <c r="C3225" i="2" s="1"/>
  <c r="F3225" i="2" s="1"/>
  <c r="G3225" i="2" s="1"/>
  <c r="E3230" i="1" s="1"/>
  <c r="A3217" i="2"/>
  <c r="B3217" i="2"/>
  <c r="C3217" i="2" s="1"/>
  <c r="F3217" i="2" s="1"/>
  <c r="G3217" i="2" s="1"/>
  <c r="E3222" i="1" s="1"/>
  <c r="A3209" i="2"/>
  <c r="B3209" i="2"/>
  <c r="C3209" i="2" s="1"/>
  <c r="F3209" i="2" s="1"/>
  <c r="G3209" i="2" s="1"/>
  <c r="E3214" i="1" s="1"/>
  <c r="A3201" i="2"/>
  <c r="B3201" i="2"/>
  <c r="C3201" i="2" s="1"/>
  <c r="F3201" i="2" s="1"/>
  <c r="G3201" i="2" s="1"/>
  <c r="E3206" i="1" s="1"/>
  <c r="A3193" i="2"/>
  <c r="B3193" i="2"/>
  <c r="C3193" i="2" s="1"/>
  <c r="F3193" i="2" s="1"/>
  <c r="G3193" i="2" s="1"/>
  <c r="E3198" i="1" s="1"/>
  <c r="A3185" i="2"/>
  <c r="B3185" i="2"/>
  <c r="C3185" i="2" s="1"/>
  <c r="F3185" i="2" s="1"/>
  <c r="G3185" i="2" s="1"/>
  <c r="E3190" i="1" s="1"/>
  <c r="A3177" i="2"/>
  <c r="B3177" i="2"/>
  <c r="C3177" i="2" s="1"/>
  <c r="F3177" i="2" s="1"/>
  <c r="G3177" i="2" s="1"/>
  <c r="E3182" i="1" s="1"/>
  <c r="A3169" i="2"/>
  <c r="B3169" i="2"/>
  <c r="C3169" i="2" s="1"/>
  <c r="F3169" i="2" s="1"/>
  <c r="G3169" i="2" s="1"/>
  <c r="E3174" i="1" s="1"/>
  <c r="A3161" i="2"/>
  <c r="B3161" i="2"/>
  <c r="C3161" i="2" s="1"/>
  <c r="F3161" i="2" s="1"/>
  <c r="G3161" i="2" s="1"/>
  <c r="E3166" i="1" s="1"/>
  <c r="A3153" i="2"/>
  <c r="B3153" i="2"/>
  <c r="C3153" i="2" s="1"/>
  <c r="F3153" i="2" s="1"/>
  <c r="G3153" i="2" s="1"/>
  <c r="E3158" i="1" s="1"/>
  <c r="A3145" i="2"/>
  <c r="B3145" i="2"/>
  <c r="C3145" i="2" s="1"/>
  <c r="F3145" i="2" s="1"/>
  <c r="G3145" i="2" s="1"/>
  <c r="E3150" i="1" s="1"/>
  <c r="A3137" i="2"/>
  <c r="B3137" i="2"/>
  <c r="C3137" i="2" s="1"/>
  <c r="F3137" i="2" s="1"/>
  <c r="G3137" i="2" s="1"/>
  <c r="E3142" i="1" s="1"/>
  <c r="A3129" i="2"/>
  <c r="B3129" i="2"/>
  <c r="C3129" i="2" s="1"/>
  <c r="F3129" i="2" s="1"/>
  <c r="G3129" i="2" s="1"/>
  <c r="E3134" i="1" s="1"/>
  <c r="A3121" i="2"/>
  <c r="B3121" i="2"/>
  <c r="C3121" i="2" s="1"/>
  <c r="F3121" i="2" s="1"/>
  <c r="G3121" i="2" s="1"/>
  <c r="E3126" i="1" s="1"/>
  <c r="A3113" i="2"/>
  <c r="B3113" i="2"/>
  <c r="C3113" i="2" s="1"/>
  <c r="F3113" i="2" s="1"/>
  <c r="G3113" i="2" s="1"/>
  <c r="E3118" i="1" s="1"/>
  <c r="A3105" i="2"/>
  <c r="B3105" i="2"/>
  <c r="C3105" i="2" s="1"/>
  <c r="F3105" i="2" s="1"/>
  <c r="G3105" i="2" s="1"/>
  <c r="E3110" i="1" s="1"/>
  <c r="A3097" i="2"/>
  <c r="B3097" i="2"/>
  <c r="C3097" i="2" s="1"/>
  <c r="F3097" i="2" s="1"/>
  <c r="G3097" i="2" s="1"/>
  <c r="E3102" i="1" s="1"/>
  <c r="A3089" i="2"/>
  <c r="B3089" i="2"/>
  <c r="C3089" i="2" s="1"/>
  <c r="F3089" i="2" s="1"/>
  <c r="G3089" i="2" s="1"/>
  <c r="E3094" i="1" s="1"/>
  <c r="A3081" i="2"/>
  <c r="B3081" i="2"/>
  <c r="C3081" i="2" s="1"/>
  <c r="F3081" i="2" s="1"/>
  <c r="G3081" i="2" s="1"/>
  <c r="E3086" i="1" s="1"/>
  <c r="A3073" i="2"/>
  <c r="B3073" i="2"/>
  <c r="C3073" i="2" s="1"/>
  <c r="F3073" i="2" s="1"/>
  <c r="G3073" i="2" s="1"/>
  <c r="E3078" i="1" s="1"/>
  <c r="A3065" i="2"/>
  <c r="B3065" i="2"/>
  <c r="C3065" i="2" s="1"/>
  <c r="F3065" i="2" s="1"/>
  <c r="G3065" i="2" s="1"/>
  <c r="E3070" i="1" s="1"/>
  <c r="A3057" i="2"/>
  <c r="B3057" i="2"/>
  <c r="C3057" i="2" s="1"/>
  <c r="F3057" i="2" s="1"/>
  <c r="G3057" i="2" s="1"/>
  <c r="E3062" i="1" s="1"/>
  <c r="A3049" i="2"/>
  <c r="B3049" i="2"/>
  <c r="C3049" i="2" s="1"/>
  <c r="F3049" i="2" s="1"/>
  <c r="G3049" i="2" s="1"/>
  <c r="E3054" i="1" s="1"/>
  <c r="A3041" i="2"/>
  <c r="B3041" i="2"/>
  <c r="C3041" i="2" s="1"/>
  <c r="F3041" i="2" s="1"/>
  <c r="G3041" i="2" s="1"/>
  <c r="E3046" i="1" s="1"/>
  <c r="A3033" i="2"/>
  <c r="B3033" i="2"/>
  <c r="C3033" i="2" s="1"/>
  <c r="F3033" i="2" s="1"/>
  <c r="G3033" i="2" s="1"/>
  <c r="E3038" i="1" s="1"/>
  <c r="A3025" i="2"/>
  <c r="B3025" i="2"/>
  <c r="C3025" i="2" s="1"/>
  <c r="F3025" i="2" s="1"/>
  <c r="G3025" i="2" s="1"/>
  <c r="E3030" i="1" s="1"/>
  <c r="A3017" i="2"/>
  <c r="B3017" i="2"/>
  <c r="C3017" i="2" s="1"/>
  <c r="F3017" i="2" s="1"/>
  <c r="G3017" i="2" s="1"/>
  <c r="E3022" i="1" s="1"/>
  <c r="A3009" i="2"/>
  <c r="B3009" i="2"/>
  <c r="C3009" i="2" s="1"/>
  <c r="F3009" i="2" s="1"/>
  <c r="G3009" i="2" s="1"/>
  <c r="E3014" i="1" s="1"/>
  <c r="A3001" i="2"/>
  <c r="B3001" i="2"/>
  <c r="C3001" i="2" s="1"/>
  <c r="F3001" i="2" s="1"/>
  <c r="G3001" i="2" s="1"/>
  <c r="E3006" i="1" s="1"/>
  <c r="A2993" i="2"/>
  <c r="B2993" i="2"/>
  <c r="C2993" i="2" s="1"/>
  <c r="F2993" i="2" s="1"/>
  <c r="G2993" i="2" s="1"/>
  <c r="E2998" i="1" s="1"/>
  <c r="A2985" i="2"/>
  <c r="B2985" i="2"/>
  <c r="C2985" i="2" s="1"/>
  <c r="F2985" i="2" s="1"/>
  <c r="G2985" i="2" s="1"/>
  <c r="E2990" i="1" s="1"/>
  <c r="A2977" i="2"/>
  <c r="B2977" i="2"/>
  <c r="C2977" i="2" s="1"/>
  <c r="F2977" i="2" s="1"/>
  <c r="G2977" i="2" s="1"/>
  <c r="E2982" i="1" s="1"/>
  <c r="A2969" i="2"/>
  <c r="B2969" i="2"/>
  <c r="C2969" i="2" s="1"/>
  <c r="F2969" i="2" s="1"/>
  <c r="G2969" i="2" s="1"/>
  <c r="E2974" i="1" s="1"/>
  <c r="A2961" i="2"/>
  <c r="B2961" i="2"/>
  <c r="C2961" i="2" s="1"/>
  <c r="F2961" i="2" s="1"/>
  <c r="G2961" i="2" s="1"/>
  <c r="E2966" i="1" s="1"/>
  <c r="A2953" i="2"/>
  <c r="B2953" i="2"/>
  <c r="C2953" i="2" s="1"/>
  <c r="F2953" i="2" s="1"/>
  <c r="G2953" i="2" s="1"/>
  <c r="E2958" i="1" s="1"/>
  <c r="A2945" i="2"/>
  <c r="B2945" i="2"/>
  <c r="C2945" i="2" s="1"/>
  <c r="F2945" i="2" s="1"/>
  <c r="G2945" i="2" s="1"/>
  <c r="E2950" i="1" s="1"/>
  <c r="A2937" i="2"/>
  <c r="B2937" i="2"/>
  <c r="C2937" i="2" s="1"/>
  <c r="F2937" i="2" s="1"/>
  <c r="G2937" i="2" s="1"/>
  <c r="E2942" i="1" s="1"/>
  <c r="A2929" i="2"/>
  <c r="B2929" i="2"/>
  <c r="C2929" i="2" s="1"/>
  <c r="F2929" i="2" s="1"/>
  <c r="G2929" i="2" s="1"/>
  <c r="E2934" i="1" s="1"/>
  <c r="A2921" i="2"/>
  <c r="B2921" i="2"/>
  <c r="C2921" i="2" s="1"/>
  <c r="F2921" i="2" s="1"/>
  <c r="G2921" i="2" s="1"/>
  <c r="E2926" i="1" s="1"/>
  <c r="A2913" i="2"/>
  <c r="B2913" i="2"/>
  <c r="C2913" i="2" s="1"/>
  <c r="F2913" i="2" s="1"/>
  <c r="G2913" i="2" s="1"/>
  <c r="E2918" i="1" s="1"/>
  <c r="A2905" i="2"/>
  <c r="B2905" i="2"/>
  <c r="C2905" i="2" s="1"/>
  <c r="F2905" i="2" s="1"/>
  <c r="G2905" i="2" s="1"/>
  <c r="E2910" i="1" s="1"/>
  <c r="A2897" i="2"/>
  <c r="B2897" i="2"/>
  <c r="C2897" i="2" s="1"/>
  <c r="F2897" i="2" s="1"/>
  <c r="G2897" i="2" s="1"/>
  <c r="E2902" i="1" s="1"/>
  <c r="A2889" i="2"/>
  <c r="B2889" i="2"/>
  <c r="C2889" i="2" s="1"/>
  <c r="F2889" i="2" s="1"/>
  <c r="G2889" i="2" s="1"/>
  <c r="E2894" i="1" s="1"/>
  <c r="A2881" i="2"/>
  <c r="B2881" i="2"/>
  <c r="C2881" i="2" s="1"/>
  <c r="F2881" i="2" s="1"/>
  <c r="G2881" i="2" s="1"/>
  <c r="E2886" i="1" s="1"/>
  <c r="A2873" i="2"/>
  <c r="B2873" i="2"/>
  <c r="C2873" i="2" s="1"/>
  <c r="F2873" i="2" s="1"/>
  <c r="G2873" i="2" s="1"/>
  <c r="E2878" i="1" s="1"/>
  <c r="A2865" i="2"/>
  <c r="B2865" i="2"/>
  <c r="C2865" i="2" s="1"/>
  <c r="F2865" i="2" s="1"/>
  <c r="G2865" i="2" s="1"/>
  <c r="E2870" i="1" s="1"/>
  <c r="A2857" i="2"/>
  <c r="B2857" i="2"/>
  <c r="C2857" i="2" s="1"/>
  <c r="F2857" i="2" s="1"/>
  <c r="G2857" i="2" s="1"/>
  <c r="E2862" i="1" s="1"/>
  <c r="A2849" i="2"/>
  <c r="B2849" i="2"/>
  <c r="C2849" i="2" s="1"/>
  <c r="F2849" i="2" s="1"/>
  <c r="G2849" i="2" s="1"/>
  <c r="E2854" i="1" s="1"/>
  <c r="A2841" i="2"/>
  <c r="B2841" i="2"/>
  <c r="C2841" i="2" s="1"/>
  <c r="F2841" i="2" s="1"/>
  <c r="G2841" i="2" s="1"/>
  <c r="E2846" i="1" s="1"/>
  <c r="A2833" i="2"/>
  <c r="B2833" i="2"/>
  <c r="C2833" i="2" s="1"/>
  <c r="F2833" i="2" s="1"/>
  <c r="G2833" i="2" s="1"/>
  <c r="E2838" i="1" s="1"/>
  <c r="A2825" i="2"/>
  <c r="B2825" i="2"/>
  <c r="C2825" i="2" s="1"/>
  <c r="F2825" i="2" s="1"/>
  <c r="G2825" i="2" s="1"/>
  <c r="E2830" i="1" s="1"/>
  <c r="A2817" i="2"/>
  <c r="B2817" i="2"/>
  <c r="C2817" i="2" s="1"/>
  <c r="F2817" i="2" s="1"/>
  <c r="G2817" i="2" s="1"/>
  <c r="E2822" i="1" s="1"/>
  <c r="A2809" i="2"/>
  <c r="B2809" i="2"/>
  <c r="C2809" i="2" s="1"/>
  <c r="F2809" i="2" s="1"/>
  <c r="G2809" i="2" s="1"/>
  <c r="E2814" i="1" s="1"/>
  <c r="A2801" i="2"/>
  <c r="B2801" i="2"/>
  <c r="C2801" i="2" s="1"/>
  <c r="F2801" i="2" s="1"/>
  <c r="G2801" i="2" s="1"/>
  <c r="E2806" i="1" s="1"/>
  <c r="A2793" i="2"/>
  <c r="B2793" i="2"/>
  <c r="C2793" i="2" s="1"/>
  <c r="F2793" i="2" s="1"/>
  <c r="G2793" i="2" s="1"/>
  <c r="E2798" i="1" s="1"/>
  <c r="A2785" i="2"/>
  <c r="B2785" i="2"/>
  <c r="C2785" i="2" s="1"/>
  <c r="F2785" i="2" s="1"/>
  <c r="G2785" i="2" s="1"/>
  <c r="E2790" i="1" s="1"/>
  <c r="A2777" i="2"/>
  <c r="B2777" i="2"/>
  <c r="C2777" i="2" s="1"/>
  <c r="F2777" i="2" s="1"/>
  <c r="G2777" i="2" s="1"/>
  <c r="E2782" i="1" s="1"/>
  <c r="A2769" i="2"/>
  <c r="B2769" i="2"/>
  <c r="C2769" i="2" s="1"/>
  <c r="F2769" i="2" s="1"/>
  <c r="G2769" i="2" s="1"/>
  <c r="E2774" i="1" s="1"/>
  <c r="A2761" i="2"/>
  <c r="B2761" i="2"/>
  <c r="C2761" i="2" s="1"/>
  <c r="F2761" i="2" s="1"/>
  <c r="G2761" i="2" s="1"/>
  <c r="E2766" i="1" s="1"/>
  <c r="A2753" i="2"/>
  <c r="B2753" i="2"/>
  <c r="C2753" i="2" s="1"/>
  <c r="F2753" i="2" s="1"/>
  <c r="G2753" i="2" s="1"/>
  <c r="E2758" i="1" s="1"/>
  <c r="A2745" i="2"/>
  <c r="B2745" i="2"/>
  <c r="C2745" i="2" s="1"/>
  <c r="F2745" i="2" s="1"/>
  <c r="G2745" i="2" s="1"/>
  <c r="E2750" i="1" s="1"/>
  <c r="A2737" i="2"/>
  <c r="B2737" i="2"/>
  <c r="C2737" i="2" s="1"/>
  <c r="F2737" i="2" s="1"/>
  <c r="G2737" i="2" s="1"/>
  <c r="E2742" i="1" s="1"/>
  <c r="A2729" i="2"/>
  <c r="B2729" i="2"/>
  <c r="C2729" i="2" s="1"/>
  <c r="F2729" i="2" s="1"/>
  <c r="G2729" i="2" s="1"/>
  <c r="E2734" i="1" s="1"/>
  <c r="A2721" i="2"/>
  <c r="B2721" i="2"/>
  <c r="C2721" i="2" s="1"/>
  <c r="F2721" i="2" s="1"/>
  <c r="G2721" i="2" s="1"/>
  <c r="E2726" i="1" s="1"/>
  <c r="A2713" i="2"/>
  <c r="B2713" i="2"/>
  <c r="C2713" i="2" s="1"/>
  <c r="F2713" i="2" s="1"/>
  <c r="G2713" i="2" s="1"/>
  <c r="E2718" i="1" s="1"/>
  <c r="A2705" i="2"/>
  <c r="B2705" i="2"/>
  <c r="C2705" i="2" s="1"/>
  <c r="F2705" i="2" s="1"/>
  <c r="G2705" i="2" s="1"/>
  <c r="E2710" i="1" s="1"/>
  <c r="A2697" i="2"/>
  <c r="B2697" i="2"/>
  <c r="C2697" i="2" s="1"/>
  <c r="F2697" i="2" s="1"/>
  <c r="G2697" i="2" s="1"/>
  <c r="E2702" i="1" s="1"/>
  <c r="A2689" i="2"/>
  <c r="B2689" i="2"/>
  <c r="C2689" i="2" s="1"/>
  <c r="F2689" i="2" s="1"/>
  <c r="G2689" i="2" s="1"/>
  <c r="E2694" i="1" s="1"/>
  <c r="A2681" i="2"/>
  <c r="B2681" i="2"/>
  <c r="C2681" i="2" s="1"/>
  <c r="F2681" i="2" s="1"/>
  <c r="G2681" i="2" s="1"/>
  <c r="E2686" i="1" s="1"/>
  <c r="A2673" i="2"/>
  <c r="B2673" i="2"/>
  <c r="C2673" i="2" s="1"/>
  <c r="F2673" i="2" s="1"/>
  <c r="G2673" i="2" s="1"/>
  <c r="E2678" i="1" s="1"/>
  <c r="A2665" i="2"/>
  <c r="B2665" i="2"/>
  <c r="C2665" i="2" s="1"/>
  <c r="F2665" i="2" s="1"/>
  <c r="G2665" i="2" s="1"/>
  <c r="E2670" i="1" s="1"/>
  <c r="A2657" i="2"/>
  <c r="B2657" i="2"/>
  <c r="C2657" i="2" s="1"/>
  <c r="F2657" i="2" s="1"/>
  <c r="G2657" i="2" s="1"/>
  <c r="E2662" i="1" s="1"/>
  <c r="A2649" i="2"/>
  <c r="B2649" i="2"/>
  <c r="C2649" i="2" s="1"/>
  <c r="F2649" i="2" s="1"/>
  <c r="G2649" i="2" s="1"/>
  <c r="E2654" i="1" s="1"/>
  <c r="A2641" i="2"/>
  <c r="B2641" i="2"/>
  <c r="C2641" i="2" s="1"/>
  <c r="F2641" i="2" s="1"/>
  <c r="G2641" i="2" s="1"/>
  <c r="E2646" i="1" s="1"/>
  <c r="A2633" i="2"/>
  <c r="B2633" i="2"/>
  <c r="C2633" i="2" s="1"/>
  <c r="F2633" i="2" s="1"/>
  <c r="G2633" i="2" s="1"/>
  <c r="E2638" i="1" s="1"/>
  <c r="A2625" i="2"/>
  <c r="B2625" i="2"/>
  <c r="C2625" i="2" s="1"/>
  <c r="F2625" i="2" s="1"/>
  <c r="G2625" i="2" s="1"/>
  <c r="E2630" i="1" s="1"/>
  <c r="A2617" i="2"/>
  <c r="B2617" i="2"/>
  <c r="C2617" i="2" s="1"/>
  <c r="F2617" i="2" s="1"/>
  <c r="G2617" i="2" s="1"/>
  <c r="E2622" i="1" s="1"/>
  <c r="A2609" i="2"/>
  <c r="B2609" i="2"/>
  <c r="C2609" i="2" s="1"/>
  <c r="F2609" i="2" s="1"/>
  <c r="G2609" i="2" s="1"/>
  <c r="E2614" i="1" s="1"/>
  <c r="A2601" i="2"/>
  <c r="B2601" i="2"/>
  <c r="C2601" i="2" s="1"/>
  <c r="F2601" i="2" s="1"/>
  <c r="G2601" i="2" s="1"/>
  <c r="E2606" i="1" s="1"/>
  <c r="A2593" i="2"/>
  <c r="B2593" i="2"/>
  <c r="C2593" i="2" s="1"/>
  <c r="F2593" i="2" s="1"/>
  <c r="G2593" i="2" s="1"/>
  <c r="E2598" i="1" s="1"/>
  <c r="A2585" i="2"/>
  <c r="B2585" i="2"/>
  <c r="C2585" i="2" s="1"/>
  <c r="F2585" i="2" s="1"/>
  <c r="G2585" i="2" s="1"/>
  <c r="E2590" i="1" s="1"/>
  <c r="A2577" i="2"/>
  <c r="B2577" i="2"/>
  <c r="C2577" i="2" s="1"/>
  <c r="F2577" i="2" s="1"/>
  <c r="G2577" i="2" s="1"/>
  <c r="E2582" i="1" s="1"/>
  <c r="A2569" i="2"/>
  <c r="B2569" i="2"/>
  <c r="C2569" i="2" s="1"/>
  <c r="F2569" i="2" s="1"/>
  <c r="G2569" i="2" s="1"/>
  <c r="E2574" i="1" s="1"/>
  <c r="A2561" i="2"/>
  <c r="B2561" i="2"/>
  <c r="C2561" i="2" s="1"/>
  <c r="F2561" i="2" s="1"/>
  <c r="G2561" i="2" s="1"/>
  <c r="E2566" i="1" s="1"/>
  <c r="A2553" i="2"/>
  <c r="B2553" i="2"/>
  <c r="C2553" i="2" s="1"/>
  <c r="F2553" i="2" s="1"/>
  <c r="G2553" i="2" s="1"/>
  <c r="E2558" i="1" s="1"/>
  <c r="A2545" i="2"/>
  <c r="B2545" i="2"/>
  <c r="C2545" i="2" s="1"/>
  <c r="F2545" i="2" s="1"/>
  <c r="G2545" i="2" s="1"/>
  <c r="E2550" i="1" s="1"/>
  <c r="A2537" i="2"/>
  <c r="B2537" i="2"/>
  <c r="C2537" i="2" s="1"/>
  <c r="F2537" i="2" s="1"/>
  <c r="G2537" i="2" s="1"/>
  <c r="E2542" i="1" s="1"/>
  <c r="A2529" i="2"/>
  <c r="B2529" i="2"/>
  <c r="C2529" i="2" s="1"/>
  <c r="F2529" i="2" s="1"/>
  <c r="G2529" i="2" s="1"/>
  <c r="E2534" i="1" s="1"/>
  <c r="A2521" i="2"/>
  <c r="B2521" i="2"/>
  <c r="C2521" i="2" s="1"/>
  <c r="F2521" i="2" s="1"/>
  <c r="G2521" i="2" s="1"/>
  <c r="E2526" i="1" s="1"/>
  <c r="A2513" i="2"/>
  <c r="B2513" i="2"/>
  <c r="C2513" i="2" s="1"/>
  <c r="F2513" i="2" s="1"/>
  <c r="G2513" i="2" s="1"/>
  <c r="E2518" i="1" s="1"/>
  <c r="A2505" i="2"/>
  <c r="B2505" i="2"/>
  <c r="C2505" i="2" s="1"/>
  <c r="F2505" i="2" s="1"/>
  <c r="G2505" i="2" s="1"/>
  <c r="E2510" i="1" s="1"/>
  <c r="A2497" i="2"/>
  <c r="B2497" i="2"/>
  <c r="C2497" i="2" s="1"/>
  <c r="F2497" i="2" s="1"/>
  <c r="G2497" i="2" s="1"/>
  <c r="E2502" i="1" s="1"/>
  <c r="A2489" i="2"/>
  <c r="B2489" i="2"/>
  <c r="C2489" i="2" s="1"/>
  <c r="F2489" i="2" s="1"/>
  <c r="G2489" i="2" s="1"/>
  <c r="E2494" i="1" s="1"/>
  <c r="A2481" i="2"/>
  <c r="B2481" i="2"/>
  <c r="C2481" i="2" s="1"/>
  <c r="F2481" i="2" s="1"/>
  <c r="G2481" i="2" s="1"/>
  <c r="E2486" i="1" s="1"/>
  <c r="A2473" i="2"/>
  <c r="B2473" i="2"/>
  <c r="C2473" i="2" s="1"/>
  <c r="F2473" i="2" s="1"/>
  <c r="G2473" i="2" s="1"/>
  <c r="E2478" i="1" s="1"/>
  <c r="A2465" i="2"/>
  <c r="B2465" i="2"/>
  <c r="C2465" i="2" s="1"/>
  <c r="F2465" i="2" s="1"/>
  <c r="G2465" i="2" s="1"/>
  <c r="E2470" i="1" s="1"/>
  <c r="A2457" i="2"/>
  <c r="B2457" i="2"/>
  <c r="C2457" i="2" s="1"/>
  <c r="F2457" i="2" s="1"/>
  <c r="G2457" i="2" s="1"/>
  <c r="E2462" i="1" s="1"/>
  <c r="A2449" i="2"/>
  <c r="B2449" i="2"/>
  <c r="C2449" i="2" s="1"/>
  <c r="F2449" i="2" s="1"/>
  <c r="G2449" i="2" s="1"/>
  <c r="E2454" i="1" s="1"/>
  <c r="A2441" i="2"/>
  <c r="B2441" i="2"/>
  <c r="C2441" i="2" s="1"/>
  <c r="F2441" i="2" s="1"/>
  <c r="G2441" i="2" s="1"/>
  <c r="E2446" i="1" s="1"/>
  <c r="A2433" i="2"/>
  <c r="B2433" i="2"/>
  <c r="C2433" i="2" s="1"/>
  <c r="F2433" i="2" s="1"/>
  <c r="G2433" i="2" s="1"/>
  <c r="E2438" i="1" s="1"/>
  <c r="A2425" i="2"/>
  <c r="B2425" i="2"/>
  <c r="C2425" i="2" s="1"/>
  <c r="F2425" i="2" s="1"/>
  <c r="G2425" i="2" s="1"/>
  <c r="E2430" i="1" s="1"/>
  <c r="A2417" i="2"/>
  <c r="B2417" i="2"/>
  <c r="C2417" i="2" s="1"/>
  <c r="F2417" i="2" s="1"/>
  <c r="G2417" i="2" s="1"/>
  <c r="E2422" i="1" s="1"/>
  <c r="A2409" i="2"/>
  <c r="B2409" i="2"/>
  <c r="C2409" i="2" s="1"/>
  <c r="F2409" i="2" s="1"/>
  <c r="G2409" i="2" s="1"/>
  <c r="E2414" i="1" s="1"/>
  <c r="A2401" i="2"/>
  <c r="B2401" i="2"/>
  <c r="C2401" i="2" s="1"/>
  <c r="F2401" i="2" s="1"/>
  <c r="G2401" i="2" s="1"/>
  <c r="E2406" i="1" s="1"/>
  <c r="A2393" i="2"/>
  <c r="B2393" i="2"/>
  <c r="C2393" i="2" s="1"/>
  <c r="F2393" i="2" s="1"/>
  <c r="G2393" i="2" s="1"/>
  <c r="E2398" i="1" s="1"/>
  <c r="A2385" i="2"/>
  <c r="B2385" i="2"/>
  <c r="C2385" i="2" s="1"/>
  <c r="F2385" i="2" s="1"/>
  <c r="G2385" i="2" s="1"/>
  <c r="E2390" i="1" s="1"/>
  <c r="A2377" i="2"/>
  <c r="B2377" i="2"/>
  <c r="C2377" i="2" s="1"/>
  <c r="F2377" i="2" s="1"/>
  <c r="G2377" i="2" s="1"/>
  <c r="E2382" i="1" s="1"/>
  <c r="A2369" i="2"/>
  <c r="B2369" i="2"/>
  <c r="C2369" i="2" s="1"/>
  <c r="F2369" i="2" s="1"/>
  <c r="G2369" i="2" s="1"/>
  <c r="E2374" i="1" s="1"/>
  <c r="A2361" i="2"/>
  <c r="B2361" i="2"/>
  <c r="C2361" i="2" s="1"/>
  <c r="F2361" i="2" s="1"/>
  <c r="G2361" i="2" s="1"/>
  <c r="E2366" i="1" s="1"/>
  <c r="A2353" i="2"/>
  <c r="B2353" i="2"/>
  <c r="C2353" i="2" s="1"/>
  <c r="F2353" i="2" s="1"/>
  <c r="G2353" i="2" s="1"/>
  <c r="E2358" i="1" s="1"/>
  <c r="A2345" i="2"/>
  <c r="B2345" i="2"/>
  <c r="C2345" i="2" s="1"/>
  <c r="F2345" i="2" s="1"/>
  <c r="G2345" i="2" s="1"/>
  <c r="E2350" i="1" s="1"/>
  <c r="A2337" i="2"/>
  <c r="B2337" i="2"/>
  <c r="C2337" i="2" s="1"/>
  <c r="F2337" i="2" s="1"/>
  <c r="G2337" i="2" s="1"/>
  <c r="E2342" i="1" s="1"/>
  <c r="A2329" i="2"/>
  <c r="B2329" i="2"/>
  <c r="C2329" i="2" s="1"/>
  <c r="F2329" i="2" s="1"/>
  <c r="G2329" i="2" s="1"/>
  <c r="E2334" i="1" s="1"/>
  <c r="A2321" i="2"/>
  <c r="B2321" i="2"/>
  <c r="C2321" i="2" s="1"/>
  <c r="F2321" i="2" s="1"/>
  <c r="G2321" i="2" s="1"/>
  <c r="E2326" i="1" s="1"/>
  <c r="A2313" i="2"/>
  <c r="B2313" i="2"/>
  <c r="C2313" i="2" s="1"/>
  <c r="F2313" i="2" s="1"/>
  <c r="G2313" i="2" s="1"/>
  <c r="E2318" i="1" s="1"/>
  <c r="A2305" i="2"/>
  <c r="B2305" i="2"/>
  <c r="C2305" i="2" s="1"/>
  <c r="F2305" i="2" s="1"/>
  <c r="G2305" i="2" s="1"/>
  <c r="E2310" i="1" s="1"/>
  <c r="A2297" i="2"/>
  <c r="B2297" i="2"/>
  <c r="C2297" i="2" s="1"/>
  <c r="F2297" i="2" s="1"/>
  <c r="G2297" i="2" s="1"/>
  <c r="E2302" i="1" s="1"/>
  <c r="A2289" i="2"/>
  <c r="B2289" i="2"/>
  <c r="C2289" i="2" s="1"/>
  <c r="F2289" i="2" s="1"/>
  <c r="G2289" i="2" s="1"/>
  <c r="E2294" i="1" s="1"/>
  <c r="A2281" i="2"/>
  <c r="B2281" i="2"/>
  <c r="C2281" i="2" s="1"/>
  <c r="F2281" i="2" s="1"/>
  <c r="G2281" i="2" s="1"/>
  <c r="E2286" i="1" s="1"/>
  <c r="A2273" i="2"/>
  <c r="B2273" i="2"/>
  <c r="C2273" i="2" s="1"/>
  <c r="F2273" i="2" s="1"/>
  <c r="G2273" i="2" s="1"/>
  <c r="E2278" i="1" s="1"/>
  <c r="A2265" i="2"/>
  <c r="B2265" i="2"/>
  <c r="C2265" i="2" s="1"/>
  <c r="F2265" i="2" s="1"/>
  <c r="G2265" i="2" s="1"/>
  <c r="E2270" i="1" s="1"/>
  <c r="A2257" i="2"/>
  <c r="B2257" i="2"/>
  <c r="C2257" i="2" s="1"/>
  <c r="F2257" i="2" s="1"/>
  <c r="G2257" i="2" s="1"/>
  <c r="E2262" i="1" s="1"/>
  <c r="A2249" i="2"/>
  <c r="B2249" i="2"/>
  <c r="C2249" i="2" s="1"/>
  <c r="F2249" i="2" s="1"/>
  <c r="G2249" i="2" s="1"/>
  <c r="E2254" i="1" s="1"/>
  <c r="A2241" i="2"/>
  <c r="B2241" i="2"/>
  <c r="C2241" i="2" s="1"/>
  <c r="F2241" i="2" s="1"/>
  <c r="G2241" i="2" s="1"/>
  <c r="E2246" i="1" s="1"/>
  <c r="A2233" i="2"/>
  <c r="B2233" i="2"/>
  <c r="C2233" i="2" s="1"/>
  <c r="F2233" i="2" s="1"/>
  <c r="G2233" i="2" s="1"/>
  <c r="E2238" i="1" s="1"/>
  <c r="A2225" i="2"/>
  <c r="B2225" i="2"/>
  <c r="C2225" i="2" s="1"/>
  <c r="F2225" i="2" s="1"/>
  <c r="G2225" i="2" s="1"/>
  <c r="E2230" i="1" s="1"/>
  <c r="A2217" i="2"/>
  <c r="B2217" i="2"/>
  <c r="C2217" i="2" s="1"/>
  <c r="F2217" i="2" s="1"/>
  <c r="G2217" i="2" s="1"/>
  <c r="E2222" i="1" s="1"/>
  <c r="A2209" i="2"/>
  <c r="B2209" i="2"/>
  <c r="C2209" i="2" s="1"/>
  <c r="F2209" i="2" s="1"/>
  <c r="G2209" i="2" s="1"/>
  <c r="E2214" i="1" s="1"/>
  <c r="A2201" i="2"/>
  <c r="B2201" i="2"/>
  <c r="C2201" i="2" s="1"/>
  <c r="F2201" i="2" s="1"/>
  <c r="G2201" i="2" s="1"/>
  <c r="E2206" i="1" s="1"/>
  <c r="A2193" i="2"/>
  <c r="B2193" i="2"/>
  <c r="C2193" i="2" s="1"/>
  <c r="F2193" i="2" s="1"/>
  <c r="G2193" i="2" s="1"/>
  <c r="E2198" i="1" s="1"/>
  <c r="A2185" i="2"/>
  <c r="B2185" i="2"/>
  <c r="C2185" i="2" s="1"/>
  <c r="F2185" i="2" s="1"/>
  <c r="G2185" i="2" s="1"/>
  <c r="E2190" i="1" s="1"/>
  <c r="A2177" i="2"/>
  <c r="B2177" i="2"/>
  <c r="C2177" i="2" s="1"/>
  <c r="F2177" i="2" s="1"/>
  <c r="G2177" i="2" s="1"/>
  <c r="E2182" i="1" s="1"/>
  <c r="A2169" i="2"/>
  <c r="B2169" i="2"/>
  <c r="C2169" i="2" s="1"/>
  <c r="F2169" i="2" s="1"/>
  <c r="G2169" i="2" s="1"/>
  <c r="E2174" i="1" s="1"/>
  <c r="A2161" i="2"/>
  <c r="B2161" i="2"/>
  <c r="C2161" i="2" s="1"/>
  <c r="F2161" i="2" s="1"/>
  <c r="G2161" i="2" s="1"/>
  <c r="E2166" i="1" s="1"/>
  <c r="A2153" i="2"/>
  <c r="B2153" i="2"/>
  <c r="C2153" i="2" s="1"/>
  <c r="F2153" i="2" s="1"/>
  <c r="G2153" i="2" s="1"/>
  <c r="E2158" i="1" s="1"/>
  <c r="A2145" i="2"/>
  <c r="B2145" i="2"/>
  <c r="C2145" i="2" s="1"/>
  <c r="F2145" i="2" s="1"/>
  <c r="G2145" i="2" s="1"/>
  <c r="E2150" i="1" s="1"/>
  <c r="A2137" i="2"/>
  <c r="B2137" i="2"/>
  <c r="C2137" i="2" s="1"/>
  <c r="F2137" i="2" s="1"/>
  <c r="G2137" i="2" s="1"/>
  <c r="E2142" i="1" s="1"/>
  <c r="A2129" i="2"/>
  <c r="B2129" i="2"/>
  <c r="C2129" i="2" s="1"/>
  <c r="F2129" i="2" s="1"/>
  <c r="G2129" i="2" s="1"/>
  <c r="E2134" i="1" s="1"/>
  <c r="A2121" i="2"/>
  <c r="B2121" i="2"/>
  <c r="C2121" i="2" s="1"/>
  <c r="F2121" i="2" s="1"/>
  <c r="G2121" i="2" s="1"/>
  <c r="E2126" i="1" s="1"/>
  <c r="A2113" i="2"/>
  <c r="B2113" i="2"/>
  <c r="C2113" i="2" s="1"/>
  <c r="F2113" i="2" s="1"/>
  <c r="G2113" i="2" s="1"/>
  <c r="E2118" i="1" s="1"/>
  <c r="A2105" i="2"/>
  <c r="B2105" i="2"/>
  <c r="C2105" i="2" s="1"/>
  <c r="F2105" i="2" s="1"/>
  <c r="G2105" i="2" s="1"/>
  <c r="E2110" i="1" s="1"/>
  <c r="A2097" i="2"/>
  <c r="B2097" i="2"/>
  <c r="C2097" i="2" s="1"/>
  <c r="F2097" i="2" s="1"/>
  <c r="G2097" i="2" s="1"/>
  <c r="E2102" i="1" s="1"/>
  <c r="A2089" i="2"/>
  <c r="B2089" i="2"/>
  <c r="C2089" i="2" s="1"/>
  <c r="F2089" i="2" s="1"/>
  <c r="G2089" i="2" s="1"/>
  <c r="E2094" i="1" s="1"/>
  <c r="A2081" i="2"/>
  <c r="B2081" i="2"/>
  <c r="C2081" i="2" s="1"/>
  <c r="F2081" i="2" s="1"/>
  <c r="G2081" i="2" s="1"/>
  <c r="E2086" i="1" s="1"/>
  <c r="A2073" i="2"/>
  <c r="B2073" i="2"/>
  <c r="C2073" i="2" s="1"/>
  <c r="F2073" i="2" s="1"/>
  <c r="G2073" i="2" s="1"/>
  <c r="E2078" i="1" s="1"/>
  <c r="A2065" i="2"/>
  <c r="B2065" i="2"/>
  <c r="C2065" i="2" s="1"/>
  <c r="F2065" i="2" s="1"/>
  <c r="G2065" i="2" s="1"/>
  <c r="E2070" i="1" s="1"/>
  <c r="A2057" i="2"/>
  <c r="B2057" i="2"/>
  <c r="C2057" i="2" s="1"/>
  <c r="F2057" i="2" s="1"/>
  <c r="G2057" i="2" s="1"/>
  <c r="E2062" i="1" s="1"/>
  <c r="A2049" i="2"/>
  <c r="B2049" i="2"/>
  <c r="C2049" i="2" s="1"/>
  <c r="F2049" i="2" s="1"/>
  <c r="G2049" i="2" s="1"/>
  <c r="E2054" i="1" s="1"/>
  <c r="A2041" i="2"/>
  <c r="B2041" i="2"/>
  <c r="C2041" i="2" s="1"/>
  <c r="F2041" i="2" s="1"/>
  <c r="G2041" i="2" s="1"/>
  <c r="E2046" i="1" s="1"/>
  <c r="A2033" i="2"/>
  <c r="B2033" i="2"/>
  <c r="C2033" i="2" s="1"/>
  <c r="F2033" i="2" s="1"/>
  <c r="G2033" i="2" s="1"/>
  <c r="E2038" i="1" s="1"/>
  <c r="A2025" i="2"/>
  <c r="B2025" i="2"/>
  <c r="C2025" i="2" s="1"/>
  <c r="F2025" i="2" s="1"/>
  <c r="G2025" i="2" s="1"/>
  <c r="E2030" i="1" s="1"/>
  <c r="A2017" i="2"/>
  <c r="B2017" i="2"/>
  <c r="C2017" i="2" s="1"/>
  <c r="F2017" i="2" s="1"/>
  <c r="G2017" i="2" s="1"/>
  <c r="E2022" i="1" s="1"/>
  <c r="A2009" i="2"/>
  <c r="B2009" i="2"/>
  <c r="C2009" i="2" s="1"/>
  <c r="F2009" i="2" s="1"/>
  <c r="G2009" i="2" s="1"/>
  <c r="E2014" i="1" s="1"/>
  <c r="A2001" i="2"/>
  <c r="B2001" i="2"/>
  <c r="C2001" i="2" s="1"/>
  <c r="F2001" i="2" s="1"/>
  <c r="G2001" i="2" s="1"/>
  <c r="E2006" i="1" s="1"/>
  <c r="A1993" i="2"/>
  <c r="B1993" i="2"/>
  <c r="C1993" i="2" s="1"/>
  <c r="F1993" i="2" s="1"/>
  <c r="G1993" i="2" s="1"/>
  <c r="E1998" i="1" s="1"/>
  <c r="A1985" i="2"/>
  <c r="B1985" i="2"/>
  <c r="C1985" i="2" s="1"/>
  <c r="F1985" i="2" s="1"/>
  <c r="G1985" i="2" s="1"/>
  <c r="E1990" i="1" s="1"/>
  <c r="A1977" i="2"/>
  <c r="B1977" i="2"/>
  <c r="C1977" i="2" s="1"/>
  <c r="F1977" i="2" s="1"/>
  <c r="G1977" i="2" s="1"/>
  <c r="E1982" i="1" s="1"/>
  <c r="A1969" i="2"/>
  <c r="B1969" i="2"/>
  <c r="C1969" i="2" s="1"/>
  <c r="F1969" i="2" s="1"/>
  <c r="G1969" i="2" s="1"/>
  <c r="E1974" i="1" s="1"/>
  <c r="A1961" i="2"/>
  <c r="B1961" i="2"/>
  <c r="C1961" i="2" s="1"/>
  <c r="F1961" i="2" s="1"/>
  <c r="G1961" i="2" s="1"/>
  <c r="E1966" i="1" s="1"/>
  <c r="A1953" i="2"/>
  <c r="B1953" i="2"/>
  <c r="C1953" i="2" s="1"/>
  <c r="F1953" i="2" s="1"/>
  <c r="G1953" i="2" s="1"/>
  <c r="E1958" i="1" s="1"/>
  <c r="A1945" i="2"/>
  <c r="B1945" i="2"/>
  <c r="C1945" i="2" s="1"/>
  <c r="F1945" i="2" s="1"/>
  <c r="G1945" i="2" s="1"/>
  <c r="E1950" i="1" s="1"/>
  <c r="A1937" i="2"/>
  <c r="B1937" i="2"/>
  <c r="C1937" i="2" s="1"/>
  <c r="F1937" i="2" s="1"/>
  <c r="G1937" i="2" s="1"/>
  <c r="E1942" i="1" s="1"/>
  <c r="A1929" i="2"/>
  <c r="B1929" i="2"/>
  <c r="C1929" i="2" s="1"/>
  <c r="F1929" i="2" s="1"/>
  <c r="G1929" i="2" s="1"/>
  <c r="E1934" i="1" s="1"/>
  <c r="A1921" i="2"/>
  <c r="B1921" i="2"/>
  <c r="C1921" i="2" s="1"/>
  <c r="F1921" i="2" s="1"/>
  <c r="G1921" i="2" s="1"/>
  <c r="E1926" i="1" s="1"/>
  <c r="A1913" i="2"/>
  <c r="B1913" i="2"/>
  <c r="C1913" i="2" s="1"/>
  <c r="F1913" i="2" s="1"/>
  <c r="G1913" i="2" s="1"/>
  <c r="E1918" i="1" s="1"/>
  <c r="A1905" i="2"/>
  <c r="B1905" i="2"/>
  <c r="C1905" i="2" s="1"/>
  <c r="F1905" i="2" s="1"/>
  <c r="G1905" i="2" s="1"/>
  <c r="E1910" i="1" s="1"/>
  <c r="A1897" i="2"/>
  <c r="B1897" i="2"/>
  <c r="C1897" i="2" s="1"/>
  <c r="F1897" i="2" s="1"/>
  <c r="G1897" i="2" s="1"/>
  <c r="E1902" i="1" s="1"/>
  <c r="A1889" i="2"/>
  <c r="B1889" i="2"/>
  <c r="C1889" i="2" s="1"/>
  <c r="F1889" i="2" s="1"/>
  <c r="G1889" i="2" s="1"/>
  <c r="E1894" i="1" s="1"/>
  <c r="A1881" i="2"/>
  <c r="B1881" i="2"/>
  <c r="C1881" i="2" s="1"/>
  <c r="F1881" i="2" s="1"/>
  <c r="G1881" i="2" s="1"/>
  <c r="E1886" i="1" s="1"/>
  <c r="A1873" i="2"/>
  <c r="B1873" i="2"/>
  <c r="C1873" i="2" s="1"/>
  <c r="F1873" i="2" s="1"/>
  <c r="G1873" i="2" s="1"/>
  <c r="E1878" i="1" s="1"/>
  <c r="A1865" i="2"/>
  <c r="B1865" i="2"/>
  <c r="C1865" i="2" s="1"/>
  <c r="F1865" i="2" s="1"/>
  <c r="G1865" i="2" s="1"/>
  <c r="E1870" i="1" s="1"/>
  <c r="A1857" i="2"/>
  <c r="B1857" i="2"/>
  <c r="C1857" i="2" s="1"/>
  <c r="F1857" i="2" s="1"/>
  <c r="G1857" i="2" s="1"/>
  <c r="E1862" i="1" s="1"/>
  <c r="A1849" i="2"/>
  <c r="B1849" i="2"/>
  <c r="C1849" i="2" s="1"/>
  <c r="F1849" i="2" s="1"/>
  <c r="G1849" i="2" s="1"/>
  <c r="E1854" i="1" s="1"/>
  <c r="A1841" i="2"/>
  <c r="B1841" i="2"/>
  <c r="C1841" i="2" s="1"/>
  <c r="F1841" i="2" s="1"/>
  <c r="G1841" i="2" s="1"/>
  <c r="E1846" i="1" s="1"/>
  <c r="A1833" i="2"/>
  <c r="B1833" i="2"/>
  <c r="C1833" i="2" s="1"/>
  <c r="F1833" i="2" s="1"/>
  <c r="G1833" i="2" s="1"/>
  <c r="E1838" i="1" s="1"/>
  <c r="A1825" i="2"/>
  <c r="B1825" i="2"/>
  <c r="C1825" i="2" s="1"/>
  <c r="F1825" i="2" s="1"/>
  <c r="G1825" i="2" s="1"/>
  <c r="E1830" i="1" s="1"/>
  <c r="A1817" i="2"/>
  <c r="B1817" i="2"/>
  <c r="C1817" i="2" s="1"/>
  <c r="F1817" i="2" s="1"/>
  <c r="G1817" i="2" s="1"/>
  <c r="E1822" i="1" s="1"/>
  <c r="A1809" i="2"/>
  <c r="B1809" i="2"/>
  <c r="C1809" i="2" s="1"/>
  <c r="F1809" i="2" s="1"/>
  <c r="G1809" i="2" s="1"/>
  <c r="E1814" i="1" s="1"/>
  <c r="A1801" i="2"/>
  <c r="B1801" i="2"/>
  <c r="C1801" i="2" s="1"/>
  <c r="F1801" i="2" s="1"/>
  <c r="G1801" i="2" s="1"/>
  <c r="E1806" i="1" s="1"/>
  <c r="A1793" i="2"/>
  <c r="B1793" i="2"/>
  <c r="C1793" i="2" s="1"/>
  <c r="F1793" i="2" s="1"/>
  <c r="G1793" i="2" s="1"/>
  <c r="E1798" i="1" s="1"/>
  <c r="A1785" i="2"/>
  <c r="B1785" i="2"/>
  <c r="C1785" i="2" s="1"/>
  <c r="F1785" i="2" s="1"/>
  <c r="G1785" i="2" s="1"/>
  <c r="E1790" i="1" s="1"/>
  <c r="A1777" i="2"/>
  <c r="B1777" i="2"/>
  <c r="C1777" i="2" s="1"/>
  <c r="F1777" i="2" s="1"/>
  <c r="G1777" i="2" s="1"/>
  <c r="E1782" i="1" s="1"/>
  <c r="A1769" i="2"/>
  <c r="B1769" i="2"/>
  <c r="C1769" i="2" s="1"/>
  <c r="F1769" i="2" s="1"/>
  <c r="G1769" i="2" s="1"/>
  <c r="E1774" i="1" s="1"/>
  <c r="A1761" i="2"/>
  <c r="B1761" i="2"/>
  <c r="C1761" i="2" s="1"/>
  <c r="F1761" i="2" s="1"/>
  <c r="G1761" i="2" s="1"/>
  <c r="E1766" i="1" s="1"/>
  <c r="A1753" i="2"/>
  <c r="B1753" i="2"/>
  <c r="C1753" i="2" s="1"/>
  <c r="F1753" i="2" s="1"/>
  <c r="G1753" i="2" s="1"/>
  <c r="E1758" i="1" s="1"/>
  <c r="A1745" i="2"/>
  <c r="B1745" i="2"/>
  <c r="C1745" i="2" s="1"/>
  <c r="F1745" i="2" s="1"/>
  <c r="G1745" i="2" s="1"/>
  <c r="E1750" i="1" s="1"/>
  <c r="A1737" i="2"/>
  <c r="B1737" i="2"/>
  <c r="C1737" i="2" s="1"/>
  <c r="F1737" i="2" s="1"/>
  <c r="G1737" i="2" s="1"/>
  <c r="E1742" i="1" s="1"/>
  <c r="A1729" i="2"/>
  <c r="B1729" i="2"/>
  <c r="C1729" i="2" s="1"/>
  <c r="F1729" i="2" s="1"/>
  <c r="G1729" i="2" s="1"/>
  <c r="E1734" i="1" s="1"/>
  <c r="A1721" i="2"/>
  <c r="B1721" i="2"/>
  <c r="C1721" i="2" s="1"/>
  <c r="F1721" i="2" s="1"/>
  <c r="G1721" i="2" s="1"/>
  <c r="E1726" i="1" s="1"/>
  <c r="A1713" i="2"/>
  <c r="B1713" i="2"/>
  <c r="C1713" i="2" s="1"/>
  <c r="F1713" i="2" s="1"/>
  <c r="G1713" i="2" s="1"/>
  <c r="E1718" i="1" s="1"/>
  <c r="A1705" i="2"/>
  <c r="B1705" i="2"/>
  <c r="C1705" i="2" s="1"/>
  <c r="F1705" i="2" s="1"/>
  <c r="G1705" i="2" s="1"/>
  <c r="E1710" i="1" s="1"/>
  <c r="A1697" i="2"/>
  <c r="B1697" i="2"/>
  <c r="C1697" i="2" s="1"/>
  <c r="F1697" i="2" s="1"/>
  <c r="G1697" i="2" s="1"/>
  <c r="E1702" i="1" s="1"/>
  <c r="A1689" i="2"/>
  <c r="B1689" i="2"/>
  <c r="C1689" i="2" s="1"/>
  <c r="F1689" i="2" s="1"/>
  <c r="G1689" i="2" s="1"/>
  <c r="E1694" i="1" s="1"/>
  <c r="A1681" i="2"/>
  <c r="B1681" i="2"/>
  <c r="C1681" i="2" s="1"/>
  <c r="F1681" i="2" s="1"/>
  <c r="G1681" i="2" s="1"/>
  <c r="E1686" i="1" s="1"/>
  <c r="A1673" i="2"/>
  <c r="B1673" i="2"/>
  <c r="C1673" i="2" s="1"/>
  <c r="F1673" i="2" s="1"/>
  <c r="G1673" i="2" s="1"/>
  <c r="E1678" i="1" s="1"/>
  <c r="A1665" i="2"/>
  <c r="B1665" i="2"/>
  <c r="C1665" i="2" s="1"/>
  <c r="F1665" i="2" s="1"/>
  <c r="G1665" i="2" s="1"/>
  <c r="E1670" i="1" s="1"/>
  <c r="A1657" i="2"/>
  <c r="B1657" i="2"/>
  <c r="C1657" i="2" s="1"/>
  <c r="F1657" i="2" s="1"/>
  <c r="G1657" i="2" s="1"/>
  <c r="E1662" i="1" s="1"/>
  <c r="A1649" i="2"/>
  <c r="B1649" i="2"/>
  <c r="C1649" i="2" s="1"/>
  <c r="F1649" i="2" s="1"/>
  <c r="G1649" i="2" s="1"/>
  <c r="E1654" i="1" s="1"/>
  <c r="A1641" i="2"/>
  <c r="B1641" i="2"/>
  <c r="C1641" i="2" s="1"/>
  <c r="F1641" i="2" s="1"/>
  <c r="G1641" i="2" s="1"/>
  <c r="E1646" i="1" s="1"/>
  <c r="A1633" i="2"/>
  <c r="B1633" i="2"/>
  <c r="C1633" i="2" s="1"/>
  <c r="F1633" i="2" s="1"/>
  <c r="G1633" i="2" s="1"/>
  <c r="E1638" i="1" s="1"/>
  <c r="A1625" i="2"/>
  <c r="B1625" i="2"/>
  <c r="C1625" i="2" s="1"/>
  <c r="F1625" i="2" s="1"/>
  <c r="G1625" i="2" s="1"/>
  <c r="E1630" i="1" s="1"/>
  <c r="A1617" i="2"/>
  <c r="B1617" i="2"/>
  <c r="C1617" i="2" s="1"/>
  <c r="F1617" i="2" s="1"/>
  <c r="G1617" i="2" s="1"/>
  <c r="E1622" i="1" s="1"/>
  <c r="A1609" i="2"/>
  <c r="B1609" i="2"/>
  <c r="C1609" i="2" s="1"/>
  <c r="F1609" i="2" s="1"/>
  <c r="G1609" i="2" s="1"/>
  <c r="E1614" i="1" s="1"/>
  <c r="A1601" i="2"/>
  <c r="B1601" i="2"/>
  <c r="C1601" i="2" s="1"/>
  <c r="F1601" i="2" s="1"/>
  <c r="G1601" i="2" s="1"/>
  <c r="E1606" i="1" s="1"/>
  <c r="A1593" i="2"/>
  <c r="B1593" i="2"/>
  <c r="C1593" i="2" s="1"/>
  <c r="F1593" i="2" s="1"/>
  <c r="G1593" i="2" s="1"/>
  <c r="E1598" i="1" s="1"/>
  <c r="A1585" i="2"/>
  <c r="B1585" i="2"/>
  <c r="C1585" i="2" s="1"/>
  <c r="F1585" i="2" s="1"/>
  <c r="G1585" i="2" s="1"/>
  <c r="E1590" i="1" s="1"/>
  <c r="A1577" i="2"/>
  <c r="B1577" i="2"/>
  <c r="C1577" i="2" s="1"/>
  <c r="F1577" i="2" s="1"/>
  <c r="G1577" i="2" s="1"/>
  <c r="E1582" i="1" s="1"/>
  <c r="A1569" i="2"/>
  <c r="B1569" i="2"/>
  <c r="C1569" i="2" s="1"/>
  <c r="F1569" i="2" s="1"/>
  <c r="G1569" i="2" s="1"/>
  <c r="E1574" i="1" s="1"/>
  <c r="A1561" i="2"/>
  <c r="B1561" i="2"/>
  <c r="C1561" i="2" s="1"/>
  <c r="F1561" i="2" s="1"/>
  <c r="G1561" i="2" s="1"/>
  <c r="E1566" i="1" s="1"/>
  <c r="A1553" i="2"/>
  <c r="B1553" i="2"/>
  <c r="C1553" i="2" s="1"/>
  <c r="F1553" i="2" s="1"/>
  <c r="G1553" i="2" s="1"/>
  <c r="E1558" i="1" s="1"/>
  <c r="A1545" i="2"/>
  <c r="B1545" i="2"/>
  <c r="C1545" i="2" s="1"/>
  <c r="F1545" i="2" s="1"/>
  <c r="G1545" i="2" s="1"/>
  <c r="E1550" i="1" s="1"/>
  <c r="A1537" i="2"/>
  <c r="B1537" i="2"/>
  <c r="C1537" i="2" s="1"/>
  <c r="F1537" i="2" s="1"/>
  <c r="G1537" i="2" s="1"/>
  <c r="E1542" i="1" s="1"/>
  <c r="A1529" i="2"/>
  <c r="B1529" i="2"/>
  <c r="C1529" i="2" s="1"/>
  <c r="F1529" i="2" s="1"/>
  <c r="G1529" i="2" s="1"/>
  <c r="E1534" i="1" s="1"/>
  <c r="A1521" i="2"/>
  <c r="B1521" i="2"/>
  <c r="C1521" i="2" s="1"/>
  <c r="F1521" i="2" s="1"/>
  <c r="G1521" i="2" s="1"/>
  <c r="E1526" i="1" s="1"/>
  <c r="A1513" i="2"/>
  <c r="B1513" i="2"/>
  <c r="C1513" i="2" s="1"/>
  <c r="F1513" i="2" s="1"/>
  <c r="G1513" i="2" s="1"/>
  <c r="E1518" i="1" s="1"/>
  <c r="A1505" i="2"/>
  <c r="B1505" i="2"/>
  <c r="C1505" i="2" s="1"/>
  <c r="F1505" i="2" s="1"/>
  <c r="G1505" i="2" s="1"/>
  <c r="E1510" i="1" s="1"/>
  <c r="A1497" i="2"/>
  <c r="B1497" i="2"/>
  <c r="C1497" i="2" s="1"/>
  <c r="F1497" i="2" s="1"/>
  <c r="G1497" i="2" s="1"/>
  <c r="E1502" i="1" s="1"/>
  <c r="A1489" i="2"/>
  <c r="B1489" i="2"/>
  <c r="C1489" i="2" s="1"/>
  <c r="F1489" i="2" s="1"/>
  <c r="G1489" i="2" s="1"/>
  <c r="E1494" i="1" s="1"/>
  <c r="A1481" i="2"/>
  <c r="B1481" i="2"/>
  <c r="C1481" i="2" s="1"/>
  <c r="F1481" i="2" s="1"/>
  <c r="G1481" i="2" s="1"/>
  <c r="E1486" i="1" s="1"/>
  <c r="A1473" i="2"/>
  <c r="B1473" i="2"/>
  <c r="C1473" i="2" s="1"/>
  <c r="F1473" i="2" s="1"/>
  <c r="G1473" i="2" s="1"/>
  <c r="E1478" i="1" s="1"/>
  <c r="A1465" i="2"/>
  <c r="B1465" i="2"/>
  <c r="C1465" i="2" s="1"/>
  <c r="F1465" i="2" s="1"/>
  <c r="G1465" i="2" s="1"/>
  <c r="E1470" i="1" s="1"/>
  <c r="A1457" i="2"/>
  <c r="B1457" i="2"/>
  <c r="C1457" i="2" s="1"/>
  <c r="F1457" i="2" s="1"/>
  <c r="G1457" i="2" s="1"/>
  <c r="E1462" i="1" s="1"/>
  <c r="A1449" i="2"/>
  <c r="B1449" i="2"/>
  <c r="C1449" i="2" s="1"/>
  <c r="F1449" i="2" s="1"/>
  <c r="G1449" i="2" s="1"/>
  <c r="E1454" i="1" s="1"/>
  <c r="A1441" i="2"/>
  <c r="B1441" i="2"/>
  <c r="C1441" i="2" s="1"/>
  <c r="F1441" i="2" s="1"/>
  <c r="G1441" i="2" s="1"/>
  <c r="E1446" i="1" s="1"/>
  <c r="A1433" i="2"/>
  <c r="B1433" i="2"/>
  <c r="C1433" i="2" s="1"/>
  <c r="F1433" i="2" s="1"/>
  <c r="G1433" i="2" s="1"/>
  <c r="E1438" i="1" s="1"/>
  <c r="A1425" i="2"/>
  <c r="B1425" i="2"/>
  <c r="C1425" i="2" s="1"/>
  <c r="F1425" i="2" s="1"/>
  <c r="G1425" i="2" s="1"/>
  <c r="E1430" i="1" s="1"/>
  <c r="A1417" i="2"/>
  <c r="B1417" i="2"/>
  <c r="C1417" i="2" s="1"/>
  <c r="F1417" i="2" s="1"/>
  <c r="G1417" i="2" s="1"/>
  <c r="E1422" i="1" s="1"/>
  <c r="A1409" i="2"/>
  <c r="B1409" i="2"/>
  <c r="C1409" i="2" s="1"/>
  <c r="F1409" i="2" s="1"/>
  <c r="G1409" i="2" s="1"/>
  <c r="E1414" i="1" s="1"/>
  <c r="A1401" i="2"/>
  <c r="B1401" i="2"/>
  <c r="C1401" i="2" s="1"/>
  <c r="F1401" i="2" s="1"/>
  <c r="G1401" i="2" s="1"/>
  <c r="E1406" i="1" s="1"/>
  <c r="A1393" i="2"/>
  <c r="B1393" i="2"/>
  <c r="C1393" i="2" s="1"/>
  <c r="F1393" i="2" s="1"/>
  <c r="G1393" i="2" s="1"/>
  <c r="E1398" i="1" s="1"/>
  <c r="A1385" i="2"/>
  <c r="B1385" i="2"/>
  <c r="C1385" i="2" s="1"/>
  <c r="F1385" i="2" s="1"/>
  <c r="G1385" i="2" s="1"/>
  <c r="E1390" i="1" s="1"/>
  <c r="A1377" i="2"/>
  <c r="B1377" i="2"/>
  <c r="C1377" i="2" s="1"/>
  <c r="F1377" i="2" s="1"/>
  <c r="G1377" i="2" s="1"/>
  <c r="E1382" i="1" s="1"/>
  <c r="A1369" i="2"/>
  <c r="B1369" i="2"/>
  <c r="C1369" i="2" s="1"/>
  <c r="F1369" i="2" s="1"/>
  <c r="G1369" i="2" s="1"/>
  <c r="E1374" i="1" s="1"/>
  <c r="A1361" i="2"/>
  <c r="B1361" i="2"/>
  <c r="C1361" i="2" s="1"/>
  <c r="F1361" i="2" s="1"/>
  <c r="G1361" i="2" s="1"/>
  <c r="E1366" i="1" s="1"/>
  <c r="A1353" i="2"/>
  <c r="B1353" i="2"/>
  <c r="C1353" i="2" s="1"/>
  <c r="F1353" i="2" s="1"/>
  <c r="G1353" i="2" s="1"/>
  <c r="E1358" i="1" s="1"/>
  <c r="A1345" i="2"/>
  <c r="B1345" i="2"/>
  <c r="C1345" i="2" s="1"/>
  <c r="F1345" i="2" s="1"/>
  <c r="G1345" i="2" s="1"/>
  <c r="E1350" i="1" s="1"/>
  <c r="A1337" i="2"/>
  <c r="B1337" i="2"/>
  <c r="C1337" i="2" s="1"/>
  <c r="F1337" i="2" s="1"/>
  <c r="G1337" i="2" s="1"/>
  <c r="E1342" i="1" s="1"/>
  <c r="A1329" i="2"/>
  <c r="B1329" i="2"/>
  <c r="C1329" i="2" s="1"/>
  <c r="F1329" i="2" s="1"/>
  <c r="G1329" i="2" s="1"/>
  <c r="E1334" i="1" s="1"/>
  <c r="A1321" i="2"/>
  <c r="B1321" i="2"/>
  <c r="C1321" i="2" s="1"/>
  <c r="F1321" i="2" s="1"/>
  <c r="G1321" i="2" s="1"/>
  <c r="E1326" i="1" s="1"/>
  <c r="A1313" i="2"/>
  <c r="B1313" i="2"/>
  <c r="C1313" i="2" s="1"/>
  <c r="F1313" i="2" s="1"/>
  <c r="G1313" i="2" s="1"/>
  <c r="E1318" i="1" s="1"/>
  <c r="A1305" i="2"/>
  <c r="B1305" i="2"/>
  <c r="C1305" i="2" s="1"/>
  <c r="F1305" i="2" s="1"/>
  <c r="G1305" i="2" s="1"/>
  <c r="E1310" i="1" s="1"/>
  <c r="A1297" i="2"/>
  <c r="B1297" i="2"/>
  <c r="C1297" i="2" s="1"/>
  <c r="F1297" i="2" s="1"/>
  <c r="G1297" i="2" s="1"/>
  <c r="E1302" i="1" s="1"/>
  <c r="A1289" i="2"/>
  <c r="B1289" i="2"/>
  <c r="C1289" i="2" s="1"/>
  <c r="F1289" i="2" s="1"/>
  <c r="G1289" i="2" s="1"/>
  <c r="E1294" i="1" s="1"/>
  <c r="A1281" i="2"/>
  <c r="B1281" i="2"/>
  <c r="C1281" i="2" s="1"/>
  <c r="F1281" i="2" s="1"/>
  <c r="G1281" i="2" s="1"/>
  <c r="E1286" i="1" s="1"/>
  <c r="A1273" i="2"/>
  <c r="B1273" i="2"/>
  <c r="C1273" i="2" s="1"/>
  <c r="F1273" i="2" s="1"/>
  <c r="G1273" i="2" s="1"/>
  <c r="E1278" i="1" s="1"/>
  <c r="A1265" i="2"/>
  <c r="B1265" i="2"/>
  <c r="C1265" i="2" s="1"/>
  <c r="F1265" i="2" s="1"/>
  <c r="G1265" i="2" s="1"/>
  <c r="E1270" i="1" s="1"/>
  <c r="A1257" i="2"/>
  <c r="B1257" i="2"/>
  <c r="C1257" i="2" s="1"/>
  <c r="F1257" i="2" s="1"/>
  <c r="G1257" i="2" s="1"/>
  <c r="E1262" i="1" s="1"/>
  <c r="A1249" i="2"/>
  <c r="B1249" i="2"/>
  <c r="C1249" i="2" s="1"/>
  <c r="F1249" i="2" s="1"/>
  <c r="G1249" i="2" s="1"/>
  <c r="E1254" i="1" s="1"/>
  <c r="A1241" i="2"/>
  <c r="B1241" i="2"/>
  <c r="C1241" i="2" s="1"/>
  <c r="F1241" i="2" s="1"/>
  <c r="G1241" i="2" s="1"/>
  <c r="E1246" i="1" s="1"/>
  <c r="A1233" i="2"/>
  <c r="B1233" i="2"/>
  <c r="C1233" i="2" s="1"/>
  <c r="F1233" i="2" s="1"/>
  <c r="G1233" i="2" s="1"/>
  <c r="E1238" i="1" s="1"/>
  <c r="A1225" i="2"/>
  <c r="B1225" i="2"/>
  <c r="C1225" i="2" s="1"/>
  <c r="F1225" i="2" s="1"/>
  <c r="G1225" i="2" s="1"/>
  <c r="E1230" i="1" s="1"/>
  <c r="A1217" i="2"/>
  <c r="B1217" i="2"/>
  <c r="C1217" i="2" s="1"/>
  <c r="F1217" i="2" s="1"/>
  <c r="G1217" i="2" s="1"/>
  <c r="E1222" i="1" s="1"/>
  <c r="A1209" i="2"/>
  <c r="B1209" i="2"/>
  <c r="C1209" i="2" s="1"/>
  <c r="F1209" i="2" s="1"/>
  <c r="G1209" i="2" s="1"/>
  <c r="E1214" i="1" s="1"/>
  <c r="A1201" i="2"/>
  <c r="B1201" i="2"/>
  <c r="C1201" i="2" s="1"/>
  <c r="F1201" i="2" s="1"/>
  <c r="G1201" i="2" s="1"/>
  <c r="E1206" i="1" s="1"/>
  <c r="A1193" i="2"/>
  <c r="B1193" i="2"/>
  <c r="C1193" i="2" s="1"/>
  <c r="F1193" i="2" s="1"/>
  <c r="G1193" i="2" s="1"/>
  <c r="E1198" i="1" s="1"/>
  <c r="A1185" i="2"/>
  <c r="B1185" i="2"/>
  <c r="C1185" i="2" s="1"/>
  <c r="F1185" i="2" s="1"/>
  <c r="G1185" i="2" s="1"/>
  <c r="E1190" i="1" s="1"/>
  <c r="A1177" i="2"/>
  <c r="B1177" i="2"/>
  <c r="C1177" i="2" s="1"/>
  <c r="F1177" i="2" s="1"/>
  <c r="G1177" i="2" s="1"/>
  <c r="E1182" i="1" s="1"/>
  <c r="A1169" i="2"/>
  <c r="B1169" i="2"/>
  <c r="C1169" i="2" s="1"/>
  <c r="F1169" i="2" s="1"/>
  <c r="G1169" i="2" s="1"/>
  <c r="E1174" i="1" s="1"/>
  <c r="A1161" i="2"/>
  <c r="B1161" i="2"/>
  <c r="C1161" i="2" s="1"/>
  <c r="F1161" i="2" s="1"/>
  <c r="G1161" i="2" s="1"/>
  <c r="E1166" i="1" s="1"/>
  <c r="A1153" i="2"/>
  <c r="B1153" i="2"/>
  <c r="C1153" i="2" s="1"/>
  <c r="F1153" i="2" s="1"/>
  <c r="G1153" i="2" s="1"/>
  <c r="E1158" i="1" s="1"/>
  <c r="A1145" i="2"/>
  <c r="B1145" i="2"/>
  <c r="C1145" i="2" s="1"/>
  <c r="F1145" i="2" s="1"/>
  <c r="G1145" i="2" s="1"/>
  <c r="E1150" i="1" s="1"/>
  <c r="A1137" i="2"/>
  <c r="B1137" i="2"/>
  <c r="C1137" i="2" s="1"/>
  <c r="F1137" i="2" s="1"/>
  <c r="G1137" i="2" s="1"/>
  <c r="E1142" i="1" s="1"/>
  <c r="A1129" i="2"/>
  <c r="B1129" i="2"/>
  <c r="C1129" i="2" s="1"/>
  <c r="F1129" i="2" s="1"/>
  <c r="G1129" i="2" s="1"/>
  <c r="E1134" i="1" s="1"/>
  <c r="A1121" i="2"/>
  <c r="B1121" i="2"/>
  <c r="C1121" i="2" s="1"/>
  <c r="F1121" i="2" s="1"/>
  <c r="G1121" i="2" s="1"/>
  <c r="E1126" i="1" s="1"/>
  <c r="A1113" i="2"/>
  <c r="B1113" i="2"/>
  <c r="C1113" i="2" s="1"/>
  <c r="F1113" i="2" s="1"/>
  <c r="G1113" i="2" s="1"/>
  <c r="E1118" i="1" s="1"/>
  <c r="A1105" i="2"/>
  <c r="B1105" i="2"/>
  <c r="C1105" i="2" s="1"/>
  <c r="F1105" i="2" s="1"/>
  <c r="G1105" i="2" s="1"/>
  <c r="E1110" i="1" s="1"/>
  <c r="A1097" i="2"/>
  <c r="B1097" i="2"/>
  <c r="C1097" i="2" s="1"/>
  <c r="F1097" i="2" s="1"/>
  <c r="G1097" i="2" s="1"/>
  <c r="E1102" i="1" s="1"/>
  <c r="A1089" i="2"/>
  <c r="B1089" i="2"/>
  <c r="C1089" i="2" s="1"/>
  <c r="F1089" i="2" s="1"/>
  <c r="G1089" i="2" s="1"/>
  <c r="E1094" i="1" s="1"/>
  <c r="A1081" i="2"/>
  <c r="B1081" i="2"/>
  <c r="C1081" i="2" s="1"/>
  <c r="F1081" i="2" s="1"/>
  <c r="G1081" i="2" s="1"/>
  <c r="E1086" i="1" s="1"/>
  <c r="A1073" i="2"/>
  <c r="B1073" i="2"/>
  <c r="C1073" i="2" s="1"/>
  <c r="F1073" i="2" s="1"/>
  <c r="G1073" i="2" s="1"/>
  <c r="E1078" i="1" s="1"/>
  <c r="A1065" i="2"/>
  <c r="B1065" i="2"/>
  <c r="C1065" i="2" s="1"/>
  <c r="F1065" i="2" s="1"/>
  <c r="G1065" i="2" s="1"/>
  <c r="E1070" i="1" s="1"/>
  <c r="A1057" i="2"/>
  <c r="B1057" i="2"/>
  <c r="C1057" i="2" s="1"/>
  <c r="F1057" i="2" s="1"/>
  <c r="G1057" i="2" s="1"/>
  <c r="E1062" i="1" s="1"/>
  <c r="A1049" i="2"/>
  <c r="B1049" i="2"/>
  <c r="C1049" i="2" s="1"/>
  <c r="F1049" i="2" s="1"/>
  <c r="G1049" i="2" s="1"/>
  <c r="E1054" i="1" s="1"/>
  <c r="A1041" i="2"/>
  <c r="B1041" i="2"/>
  <c r="C1041" i="2" s="1"/>
  <c r="F1041" i="2" s="1"/>
  <c r="G1041" i="2" s="1"/>
  <c r="E1046" i="1" s="1"/>
  <c r="A1033" i="2"/>
  <c r="B1033" i="2"/>
  <c r="C1033" i="2" s="1"/>
  <c r="F1033" i="2" s="1"/>
  <c r="G1033" i="2" s="1"/>
  <c r="E1038" i="1" s="1"/>
  <c r="A1025" i="2"/>
  <c r="B1025" i="2"/>
  <c r="C1025" i="2" s="1"/>
  <c r="F1025" i="2" s="1"/>
  <c r="G1025" i="2" s="1"/>
  <c r="E1030" i="1" s="1"/>
  <c r="A1017" i="2"/>
  <c r="B1017" i="2"/>
  <c r="C1017" i="2" s="1"/>
  <c r="F1017" i="2" s="1"/>
  <c r="G1017" i="2" s="1"/>
  <c r="E1022" i="1" s="1"/>
  <c r="A1009" i="2"/>
  <c r="B1009" i="2"/>
  <c r="C1009" i="2" s="1"/>
  <c r="F1009" i="2" s="1"/>
  <c r="G1009" i="2" s="1"/>
  <c r="E1014" i="1" s="1"/>
  <c r="A1001" i="2"/>
  <c r="B1001" i="2"/>
  <c r="C1001" i="2" s="1"/>
  <c r="F1001" i="2" s="1"/>
  <c r="G1001" i="2" s="1"/>
  <c r="E1006" i="1" s="1"/>
  <c r="A993" i="2"/>
  <c r="B993" i="2"/>
  <c r="C993" i="2" s="1"/>
  <c r="F993" i="2" s="1"/>
  <c r="G993" i="2" s="1"/>
  <c r="E998" i="1" s="1"/>
  <c r="A985" i="2"/>
  <c r="B985" i="2"/>
  <c r="C985" i="2" s="1"/>
  <c r="F985" i="2" s="1"/>
  <c r="G985" i="2" s="1"/>
  <c r="E990" i="1" s="1"/>
  <c r="A977" i="2"/>
  <c r="B977" i="2"/>
  <c r="C977" i="2" s="1"/>
  <c r="F977" i="2" s="1"/>
  <c r="G977" i="2" s="1"/>
  <c r="E982" i="1" s="1"/>
  <c r="A969" i="2"/>
  <c r="B969" i="2"/>
  <c r="C969" i="2" s="1"/>
  <c r="F969" i="2" s="1"/>
  <c r="G969" i="2" s="1"/>
  <c r="E974" i="1" s="1"/>
  <c r="A961" i="2"/>
  <c r="B961" i="2"/>
  <c r="C961" i="2" s="1"/>
  <c r="F961" i="2" s="1"/>
  <c r="G961" i="2" s="1"/>
  <c r="E966" i="1" s="1"/>
  <c r="A953" i="2"/>
  <c r="B953" i="2"/>
  <c r="C953" i="2" s="1"/>
  <c r="F953" i="2" s="1"/>
  <c r="G953" i="2" s="1"/>
  <c r="E958" i="1" s="1"/>
  <c r="A945" i="2"/>
  <c r="B945" i="2"/>
  <c r="C945" i="2" s="1"/>
  <c r="F945" i="2" s="1"/>
  <c r="G945" i="2" s="1"/>
  <c r="E950" i="1" s="1"/>
  <c r="A937" i="2"/>
  <c r="B937" i="2"/>
  <c r="C937" i="2" s="1"/>
  <c r="F937" i="2" s="1"/>
  <c r="G937" i="2" s="1"/>
  <c r="E942" i="1" s="1"/>
  <c r="A929" i="2"/>
  <c r="B929" i="2"/>
  <c r="C929" i="2" s="1"/>
  <c r="F929" i="2" s="1"/>
  <c r="G929" i="2" s="1"/>
  <c r="E934" i="1" s="1"/>
  <c r="A921" i="2"/>
  <c r="B921" i="2"/>
  <c r="C921" i="2" s="1"/>
  <c r="F921" i="2" s="1"/>
  <c r="G921" i="2" s="1"/>
  <c r="E926" i="1" s="1"/>
  <c r="A913" i="2"/>
  <c r="B913" i="2"/>
  <c r="C913" i="2" s="1"/>
  <c r="F913" i="2" s="1"/>
  <c r="G913" i="2" s="1"/>
  <c r="E918" i="1" s="1"/>
  <c r="A905" i="2"/>
  <c r="B905" i="2"/>
  <c r="C905" i="2" s="1"/>
  <c r="F905" i="2" s="1"/>
  <c r="G905" i="2" s="1"/>
  <c r="E910" i="1" s="1"/>
  <c r="A897" i="2"/>
  <c r="B897" i="2"/>
  <c r="C897" i="2" s="1"/>
  <c r="F897" i="2" s="1"/>
  <c r="G897" i="2" s="1"/>
  <c r="E902" i="1" s="1"/>
  <c r="A889" i="2"/>
  <c r="B889" i="2"/>
  <c r="C889" i="2" s="1"/>
  <c r="F889" i="2" s="1"/>
  <c r="G889" i="2" s="1"/>
  <c r="E894" i="1" s="1"/>
  <c r="A881" i="2"/>
  <c r="B881" i="2"/>
  <c r="C881" i="2" s="1"/>
  <c r="F881" i="2" s="1"/>
  <c r="G881" i="2" s="1"/>
  <c r="E886" i="1" s="1"/>
  <c r="A873" i="2"/>
  <c r="B873" i="2"/>
  <c r="C873" i="2" s="1"/>
  <c r="F873" i="2" s="1"/>
  <c r="G873" i="2" s="1"/>
  <c r="E878" i="1" s="1"/>
  <c r="A865" i="2"/>
  <c r="B865" i="2"/>
  <c r="C865" i="2" s="1"/>
  <c r="F865" i="2" s="1"/>
  <c r="G865" i="2" s="1"/>
  <c r="E870" i="1" s="1"/>
  <c r="A857" i="2"/>
  <c r="B857" i="2"/>
  <c r="C857" i="2" s="1"/>
  <c r="F857" i="2" s="1"/>
  <c r="G857" i="2" s="1"/>
  <c r="E862" i="1" s="1"/>
  <c r="A849" i="2"/>
  <c r="B849" i="2"/>
  <c r="C849" i="2" s="1"/>
  <c r="F849" i="2" s="1"/>
  <c r="G849" i="2" s="1"/>
  <c r="E854" i="1" s="1"/>
  <c r="A841" i="2"/>
  <c r="B841" i="2"/>
  <c r="C841" i="2" s="1"/>
  <c r="F841" i="2" s="1"/>
  <c r="G841" i="2" s="1"/>
  <c r="E846" i="1" s="1"/>
  <c r="A833" i="2"/>
  <c r="B833" i="2"/>
  <c r="C833" i="2" s="1"/>
  <c r="F833" i="2" s="1"/>
  <c r="G833" i="2" s="1"/>
  <c r="E838" i="1" s="1"/>
  <c r="A825" i="2"/>
  <c r="B825" i="2"/>
  <c r="C825" i="2" s="1"/>
  <c r="F825" i="2" s="1"/>
  <c r="G825" i="2" s="1"/>
  <c r="E830" i="1" s="1"/>
  <c r="A817" i="2"/>
  <c r="B817" i="2"/>
  <c r="C817" i="2" s="1"/>
  <c r="F817" i="2" s="1"/>
  <c r="G817" i="2" s="1"/>
  <c r="E822" i="1" s="1"/>
  <c r="A809" i="2"/>
  <c r="B809" i="2"/>
  <c r="C809" i="2" s="1"/>
  <c r="F809" i="2" s="1"/>
  <c r="G809" i="2" s="1"/>
  <c r="E814" i="1" s="1"/>
  <c r="A801" i="2"/>
  <c r="B801" i="2"/>
  <c r="C801" i="2" s="1"/>
  <c r="F801" i="2" s="1"/>
  <c r="G801" i="2" s="1"/>
  <c r="E806" i="1" s="1"/>
  <c r="A793" i="2"/>
  <c r="B793" i="2"/>
  <c r="C793" i="2" s="1"/>
  <c r="F793" i="2" s="1"/>
  <c r="G793" i="2" s="1"/>
  <c r="E798" i="1" s="1"/>
  <c r="A785" i="2"/>
  <c r="B785" i="2"/>
  <c r="C785" i="2" s="1"/>
  <c r="F785" i="2" s="1"/>
  <c r="G785" i="2" s="1"/>
  <c r="E790" i="1" s="1"/>
  <c r="A777" i="2"/>
  <c r="B777" i="2"/>
  <c r="C777" i="2" s="1"/>
  <c r="F777" i="2" s="1"/>
  <c r="G777" i="2" s="1"/>
  <c r="E782" i="1" s="1"/>
  <c r="A769" i="2"/>
  <c r="B769" i="2"/>
  <c r="C769" i="2" s="1"/>
  <c r="F769" i="2" s="1"/>
  <c r="G769" i="2" s="1"/>
  <c r="E774" i="1" s="1"/>
  <c r="A761" i="2"/>
  <c r="B761" i="2"/>
  <c r="C761" i="2" s="1"/>
  <c r="F761" i="2" s="1"/>
  <c r="G761" i="2" s="1"/>
  <c r="E766" i="1" s="1"/>
  <c r="A753" i="2"/>
  <c r="B753" i="2"/>
  <c r="C753" i="2" s="1"/>
  <c r="F753" i="2" s="1"/>
  <c r="G753" i="2" s="1"/>
  <c r="E758" i="1" s="1"/>
  <c r="A745" i="2"/>
  <c r="B745" i="2"/>
  <c r="C745" i="2" s="1"/>
  <c r="F745" i="2" s="1"/>
  <c r="G745" i="2" s="1"/>
  <c r="E750" i="1" s="1"/>
  <c r="A737" i="2"/>
  <c r="B737" i="2"/>
  <c r="C737" i="2" s="1"/>
  <c r="F737" i="2" s="1"/>
  <c r="G737" i="2" s="1"/>
  <c r="E742" i="1" s="1"/>
  <c r="A729" i="2"/>
  <c r="B729" i="2"/>
  <c r="C729" i="2" s="1"/>
  <c r="F729" i="2" s="1"/>
  <c r="G729" i="2" s="1"/>
  <c r="E734" i="1" s="1"/>
  <c r="A721" i="2"/>
  <c r="B721" i="2"/>
  <c r="C721" i="2" s="1"/>
  <c r="F721" i="2" s="1"/>
  <c r="G721" i="2" s="1"/>
  <c r="E726" i="1" s="1"/>
  <c r="A713" i="2"/>
  <c r="B713" i="2"/>
  <c r="C713" i="2" s="1"/>
  <c r="F713" i="2" s="1"/>
  <c r="G713" i="2" s="1"/>
  <c r="E718" i="1" s="1"/>
  <c r="A705" i="2"/>
  <c r="B705" i="2"/>
  <c r="C705" i="2" s="1"/>
  <c r="F705" i="2" s="1"/>
  <c r="G705" i="2" s="1"/>
  <c r="E710" i="1" s="1"/>
  <c r="A697" i="2"/>
  <c r="B697" i="2"/>
  <c r="C697" i="2" s="1"/>
  <c r="F697" i="2" s="1"/>
  <c r="G697" i="2" s="1"/>
  <c r="E702" i="1" s="1"/>
  <c r="A689" i="2"/>
  <c r="B689" i="2"/>
  <c r="C689" i="2" s="1"/>
  <c r="F689" i="2" s="1"/>
  <c r="G689" i="2" s="1"/>
  <c r="E694" i="1" s="1"/>
  <c r="A681" i="2"/>
  <c r="B681" i="2"/>
  <c r="C681" i="2" s="1"/>
  <c r="F681" i="2" s="1"/>
  <c r="G681" i="2" s="1"/>
  <c r="E686" i="1" s="1"/>
  <c r="A673" i="2"/>
  <c r="B673" i="2"/>
  <c r="C673" i="2" s="1"/>
  <c r="F673" i="2" s="1"/>
  <c r="G673" i="2" s="1"/>
  <c r="E678" i="1" s="1"/>
  <c r="A665" i="2"/>
  <c r="B665" i="2"/>
  <c r="C665" i="2" s="1"/>
  <c r="F665" i="2" s="1"/>
  <c r="G665" i="2" s="1"/>
  <c r="E670" i="1" s="1"/>
  <c r="A657" i="2"/>
  <c r="B657" i="2"/>
  <c r="C657" i="2" s="1"/>
  <c r="F657" i="2" s="1"/>
  <c r="G657" i="2" s="1"/>
  <c r="E662" i="1" s="1"/>
  <c r="A649" i="2"/>
  <c r="B649" i="2"/>
  <c r="C649" i="2" s="1"/>
  <c r="F649" i="2" s="1"/>
  <c r="G649" i="2" s="1"/>
  <c r="E654" i="1" s="1"/>
  <c r="A641" i="2"/>
  <c r="B641" i="2"/>
  <c r="C641" i="2" s="1"/>
  <c r="F641" i="2" s="1"/>
  <c r="G641" i="2" s="1"/>
  <c r="E646" i="1" s="1"/>
  <c r="A633" i="2"/>
  <c r="B633" i="2"/>
  <c r="C633" i="2" s="1"/>
  <c r="F633" i="2" s="1"/>
  <c r="G633" i="2" s="1"/>
  <c r="E638" i="1" s="1"/>
  <c r="A625" i="2"/>
  <c r="B625" i="2"/>
  <c r="C625" i="2" s="1"/>
  <c r="F625" i="2" s="1"/>
  <c r="G625" i="2" s="1"/>
  <c r="E630" i="1" s="1"/>
  <c r="A617" i="2"/>
  <c r="B617" i="2"/>
  <c r="C617" i="2" s="1"/>
  <c r="F617" i="2" s="1"/>
  <c r="G617" i="2" s="1"/>
  <c r="E622" i="1" s="1"/>
  <c r="A609" i="2"/>
  <c r="B609" i="2"/>
  <c r="C609" i="2" s="1"/>
  <c r="F609" i="2" s="1"/>
  <c r="G609" i="2" s="1"/>
  <c r="E614" i="1" s="1"/>
  <c r="A601" i="2"/>
  <c r="B601" i="2"/>
  <c r="C601" i="2" s="1"/>
  <c r="F601" i="2" s="1"/>
  <c r="G601" i="2" s="1"/>
  <c r="E606" i="1" s="1"/>
  <c r="A593" i="2"/>
  <c r="B593" i="2"/>
  <c r="C593" i="2" s="1"/>
  <c r="F593" i="2" s="1"/>
  <c r="G593" i="2" s="1"/>
  <c r="E598" i="1" s="1"/>
  <c r="A585" i="2"/>
  <c r="B585" i="2"/>
  <c r="C585" i="2" s="1"/>
  <c r="F585" i="2" s="1"/>
  <c r="G585" i="2" s="1"/>
  <c r="E590" i="1" s="1"/>
  <c r="A577" i="2"/>
  <c r="B577" i="2"/>
  <c r="C577" i="2" s="1"/>
  <c r="F577" i="2" s="1"/>
  <c r="G577" i="2" s="1"/>
  <c r="E582" i="1" s="1"/>
  <c r="A569" i="2"/>
  <c r="B569" i="2"/>
  <c r="C569" i="2" s="1"/>
  <c r="F569" i="2" s="1"/>
  <c r="G569" i="2" s="1"/>
  <c r="E574" i="1" s="1"/>
  <c r="A561" i="2"/>
  <c r="B561" i="2"/>
  <c r="C561" i="2" s="1"/>
  <c r="F561" i="2" s="1"/>
  <c r="G561" i="2" s="1"/>
  <c r="E566" i="1" s="1"/>
  <c r="A553" i="2"/>
  <c r="B553" i="2"/>
  <c r="C553" i="2" s="1"/>
  <c r="F553" i="2" s="1"/>
  <c r="G553" i="2" s="1"/>
  <c r="E558" i="1" s="1"/>
  <c r="A545" i="2"/>
  <c r="B545" i="2"/>
  <c r="C545" i="2" s="1"/>
  <c r="F545" i="2" s="1"/>
  <c r="G545" i="2" s="1"/>
  <c r="E550" i="1" s="1"/>
  <c r="A537" i="2"/>
  <c r="B537" i="2"/>
  <c r="C537" i="2" s="1"/>
  <c r="F537" i="2" s="1"/>
  <c r="G537" i="2" s="1"/>
  <c r="E542" i="1" s="1"/>
  <c r="A529" i="2"/>
  <c r="B529" i="2"/>
  <c r="C529" i="2" s="1"/>
  <c r="F529" i="2" s="1"/>
  <c r="G529" i="2" s="1"/>
  <c r="E534" i="1" s="1"/>
  <c r="A521" i="2"/>
  <c r="B521" i="2"/>
  <c r="C521" i="2" s="1"/>
  <c r="F521" i="2" s="1"/>
  <c r="G521" i="2" s="1"/>
  <c r="E526" i="1" s="1"/>
  <c r="A513" i="2"/>
  <c r="B513" i="2"/>
  <c r="C513" i="2" s="1"/>
  <c r="F513" i="2" s="1"/>
  <c r="G513" i="2" s="1"/>
  <c r="E518" i="1" s="1"/>
  <c r="A505" i="2"/>
  <c r="B505" i="2"/>
  <c r="C505" i="2" s="1"/>
  <c r="F505" i="2" s="1"/>
  <c r="G505" i="2" s="1"/>
  <c r="E510" i="1" s="1"/>
  <c r="A497" i="2"/>
  <c r="B497" i="2"/>
  <c r="C497" i="2" s="1"/>
  <c r="F497" i="2" s="1"/>
  <c r="G497" i="2" s="1"/>
  <c r="E502" i="1" s="1"/>
  <c r="A489" i="2"/>
  <c r="B489" i="2"/>
  <c r="C489" i="2" s="1"/>
  <c r="F489" i="2" s="1"/>
  <c r="G489" i="2" s="1"/>
  <c r="E494" i="1" s="1"/>
  <c r="A481" i="2"/>
  <c r="B481" i="2"/>
  <c r="C481" i="2" s="1"/>
  <c r="F481" i="2" s="1"/>
  <c r="G481" i="2" s="1"/>
  <c r="E486" i="1" s="1"/>
  <c r="A473" i="2"/>
  <c r="B473" i="2"/>
  <c r="C473" i="2" s="1"/>
  <c r="F473" i="2" s="1"/>
  <c r="G473" i="2" s="1"/>
  <c r="E478" i="1" s="1"/>
  <c r="A465" i="2"/>
  <c r="B465" i="2"/>
  <c r="C465" i="2" s="1"/>
  <c r="F465" i="2" s="1"/>
  <c r="G465" i="2" s="1"/>
  <c r="E470" i="1" s="1"/>
  <c r="A457" i="2"/>
  <c r="B457" i="2"/>
  <c r="C457" i="2" s="1"/>
  <c r="F457" i="2" s="1"/>
  <c r="G457" i="2" s="1"/>
  <c r="E462" i="1" s="1"/>
  <c r="A449" i="2"/>
  <c r="B449" i="2"/>
  <c r="C449" i="2" s="1"/>
  <c r="F449" i="2" s="1"/>
  <c r="G449" i="2" s="1"/>
  <c r="E454" i="1" s="1"/>
  <c r="A441" i="2"/>
  <c r="B441" i="2"/>
  <c r="C441" i="2" s="1"/>
  <c r="F441" i="2" s="1"/>
  <c r="G441" i="2" s="1"/>
  <c r="E446" i="1" s="1"/>
  <c r="A433" i="2"/>
  <c r="B433" i="2"/>
  <c r="C433" i="2" s="1"/>
  <c r="F433" i="2" s="1"/>
  <c r="G433" i="2" s="1"/>
  <c r="E438" i="1" s="1"/>
  <c r="A425" i="2"/>
  <c r="B425" i="2"/>
  <c r="C425" i="2" s="1"/>
  <c r="F425" i="2" s="1"/>
  <c r="G425" i="2" s="1"/>
  <c r="E430" i="1" s="1"/>
  <c r="A417" i="2"/>
  <c r="B417" i="2"/>
  <c r="C417" i="2" s="1"/>
  <c r="F417" i="2" s="1"/>
  <c r="G417" i="2" s="1"/>
  <c r="E422" i="1" s="1"/>
  <c r="A409" i="2"/>
  <c r="B409" i="2"/>
  <c r="C409" i="2" s="1"/>
  <c r="F409" i="2" s="1"/>
  <c r="G409" i="2" s="1"/>
  <c r="E414" i="1" s="1"/>
  <c r="A401" i="2"/>
  <c r="B401" i="2"/>
  <c r="C401" i="2" s="1"/>
  <c r="F401" i="2" s="1"/>
  <c r="G401" i="2" s="1"/>
  <c r="E406" i="1" s="1"/>
  <c r="A393" i="2"/>
  <c r="B393" i="2"/>
  <c r="C393" i="2" s="1"/>
  <c r="F393" i="2" s="1"/>
  <c r="G393" i="2" s="1"/>
  <c r="E398" i="1" s="1"/>
  <c r="A385" i="2"/>
  <c r="B385" i="2"/>
  <c r="C385" i="2" s="1"/>
  <c r="F385" i="2" s="1"/>
  <c r="G385" i="2" s="1"/>
  <c r="E390" i="1" s="1"/>
  <c r="A377" i="2"/>
  <c r="B377" i="2"/>
  <c r="C377" i="2" s="1"/>
  <c r="F377" i="2" s="1"/>
  <c r="G377" i="2" s="1"/>
  <c r="E382" i="1" s="1"/>
  <c r="A369" i="2"/>
  <c r="B369" i="2"/>
  <c r="C369" i="2" s="1"/>
  <c r="F369" i="2" s="1"/>
  <c r="G369" i="2" s="1"/>
  <c r="E374" i="1" s="1"/>
  <c r="A361" i="2"/>
  <c r="B361" i="2"/>
  <c r="C361" i="2" s="1"/>
  <c r="F361" i="2" s="1"/>
  <c r="G361" i="2" s="1"/>
  <c r="E366" i="1" s="1"/>
  <c r="A353" i="2"/>
  <c r="B353" i="2"/>
  <c r="C353" i="2" s="1"/>
  <c r="F353" i="2" s="1"/>
  <c r="G353" i="2" s="1"/>
  <c r="E358" i="1" s="1"/>
  <c r="A345" i="2"/>
  <c r="B345" i="2"/>
  <c r="C345" i="2" s="1"/>
  <c r="F345" i="2" s="1"/>
  <c r="G345" i="2" s="1"/>
  <c r="E350" i="1" s="1"/>
  <c r="A337" i="2"/>
  <c r="B337" i="2"/>
  <c r="C337" i="2" s="1"/>
  <c r="F337" i="2" s="1"/>
  <c r="G337" i="2" s="1"/>
  <c r="E342" i="1" s="1"/>
  <c r="A329" i="2"/>
  <c r="B329" i="2"/>
  <c r="C329" i="2" s="1"/>
  <c r="F329" i="2" s="1"/>
  <c r="G329" i="2" s="1"/>
  <c r="E334" i="1" s="1"/>
  <c r="A321" i="2"/>
  <c r="B321" i="2"/>
  <c r="C321" i="2" s="1"/>
  <c r="F321" i="2" s="1"/>
  <c r="G321" i="2" s="1"/>
  <c r="E326" i="1" s="1"/>
  <c r="A313" i="2"/>
  <c r="B313" i="2"/>
  <c r="C313" i="2" s="1"/>
  <c r="F313" i="2" s="1"/>
  <c r="G313" i="2" s="1"/>
  <c r="E318" i="1" s="1"/>
  <c r="A305" i="2"/>
  <c r="B305" i="2"/>
  <c r="C305" i="2" s="1"/>
  <c r="F305" i="2" s="1"/>
  <c r="G305" i="2" s="1"/>
  <c r="E310" i="1" s="1"/>
  <c r="A297" i="2"/>
  <c r="B297" i="2"/>
  <c r="C297" i="2" s="1"/>
  <c r="F297" i="2" s="1"/>
  <c r="G297" i="2" s="1"/>
  <c r="E302" i="1" s="1"/>
  <c r="A289" i="2"/>
  <c r="B289" i="2"/>
  <c r="C289" i="2" s="1"/>
  <c r="F289" i="2" s="1"/>
  <c r="G289" i="2" s="1"/>
  <c r="E294" i="1" s="1"/>
  <c r="A281" i="2"/>
  <c r="B281" i="2"/>
  <c r="C281" i="2" s="1"/>
  <c r="F281" i="2" s="1"/>
  <c r="G281" i="2" s="1"/>
  <c r="E286" i="1" s="1"/>
  <c r="A273" i="2"/>
  <c r="B273" i="2"/>
  <c r="C273" i="2" s="1"/>
  <c r="F273" i="2" s="1"/>
  <c r="G273" i="2" s="1"/>
  <c r="E278" i="1" s="1"/>
  <c r="A265" i="2"/>
  <c r="B265" i="2"/>
  <c r="C265" i="2" s="1"/>
  <c r="F265" i="2" s="1"/>
  <c r="G265" i="2" s="1"/>
  <c r="E270" i="1" s="1"/>
  <c r="A257" i="2"/>
  <c r="B257" i="2"/>
  <c r="C257" i="2" s="1"/>
  <c r="F257" i="2" s="1"/>
  <c r="G257" i="2" s="1"/>
  <c r="E262" i="1" s="1"/>
  <c r="A249" i="2"/>
  <c r="B249" i="2"/>
  <c r="C249" i="2" s="1"/>
  <c r="F249" i="2" s="1"/>
  <c r="G249" i="2" s="1"/>
  <c r="E254" i="1" s="1"/>
  <c r="A241" i="2"/>
  <c r="B241" i="2"/>
  <c r="C241" i="2" s="1"/>
  <c r="F241" i="2" s="1"/>
  <c r="G241" i="2" s="1"/>
  <c r="E246" i="1" s="1"/>
  <c r="A233" i="2"/>
  <c r="B233" i="2"/>
  <c r="C233" i="2" s="1"/>
  <c r="F233" i="2" s="1"/>
  <c r="G233" i="2" s="1"/>
  <c r="E238" i="1" s="1"/>
  <c r="A225" i="2"/>
  <c r="B225" i="2"/>
  <c r="C225" i="2" s="1"/>
  <c r="F225" i="2" s="1"/>
  <c r="G225" i="2" s="1"/>
  <c r="E230" i="1" s="1"/>
  <c r="A217" i="2"/>
  <c r="B217" i="2"/>
  <c r="C217" i="2" s="1"/>
  <c r="F217" i="2" s="1"/>
  <c r="G217" i="2" s="1"/>
  <c r="E222" i="1" s="1"/>
  <c r="A209" i="2"/>
  <c r="B209" i="2"/>
  <c r="C209" i="2" s="1"/>
  <c r="F209" i="2" s="1"/>
  <c r="G209" i="2" s="1"/>
  <c r="E214" i="1" s="1"/>
  <c r="A201" i="2"/>
  <c r="B201" i="2"/>
  <c r="C201" i="2" s="1"/>
  <c r="F201" i="2" s="1"/>
  <c r="G201" i="2" s="1"/>
  <c r="E206" i="1" s="1"/>
  <c r="A193" i="2"/>
  <c r="B193" i="2"/>
  <c r="C193" i="2" s="1"/>
  <c r="F193" i="2" s="1"/>
  <c r="G193" i="2" s="1"/>
  <c r="E198" i="1" s="1"/>
  <c r="A185" i="2"/>
  <c r="B185" i="2"/>
  <c r="C185" i="2" s="1"/>
  <c r="F185" i="2" s="1"/>
  <c r="G185" i="2" s="1"/>
  <c r="E190" i="1" s="1"/>
  <c r="A177" i="2"/>
  <c r="B177" i="2"/>
  <c r="C177" i="2" s="1"/>
  <c r="F177" i="2" s="1"/>
  <c r="G177" i="2" s="1"/>
  <c r="E182" i="1" s="1"/>
  <c r="A169" i="2"/>
  <c r="B169" i="2"/>
  <c r="C169" i="2" s="1"/>
  <c r="F169" i="2" s="1"/>
  <c r="G169" i="2" s="1"/>
  <c r="E174" i="1" s="1"/>
  <c r="A161" i="2"/>
  <c r="B161" i="2"/>
  <c r="C161" i="2" s="1"/>
  <c r="F161" i="2" s="1"/>
  <c r="G161" i="2" s="1"/>
  <c r="E166" i="1" s="1"/>
  <c r="A153" i="2"/>
  <c r="B153" i="2"/>
  <c r="C153" i="2" s="1"/>
  <c r="F153" i="2" s="1"/>
  <c r="G153" i="2" s="1"/>
  <c r="E158" i="1" s="1"/>
  <c r="A145" i="2"/>
  <c r="B145" i="2"/>
  <c r="C145" i="2" s="1"/>
  <c r="F145" i="2" s="1"/>
  <c r="G145" i="2" s="1"/>
  <c r="E150" i="1" s="1"/>
  <c r="A137" i="2"/>
  <c r="B137" i="2"/>
  <c r="C137" i="2" s="1"/>
  <c r="F137" i="2" s="1"/>
  <c r="G137" i="2" s="1"/>
  <c r="E142" i="1" s="1"/>
  <c r="A129" i="2"/>
  <c r="B129" i="2"/>
  <c r="C129" i="2" s="1"/>
  <c r="F129" i="2" s="1"/>
  <c r="G129" i="2" s="1"/>
  <c r="E134" i="1" s="1"/>
  <c r="A121" i="2"/>
  <c r="B121" i="2"/>
  <c r="C121" i="2" s="1"/>
  <c r="F121" i="2" s="1"/>
  <c r="G121" i="2" s="1"/>
  <c r="E126" i="1" s="1"/>
  <c r="A113" i="2"/>
  <c r="B113" i="2"/>
  <c r="C113" i="2" s="1"/>
  <c r="A105" i="2"/>
  <c r="B105" i="2"/>
  <c r="C105" i="2" s="1"/>
  <c r="A97" i="2"/>
  <c r="B97" i="2"/>
  <c r="C97" i="2" s="1"/>
  <c r="A89" i="2"/>
  <c r="B89" i="2"/>
  <c r="C89" i="2" s="1"/>
  <c r="A81" i="2"/>
  <c r="B81" i="2"/>
  <c r="C81" i="2" s="1"/>
  <c r="A73" i="2"/>
  <c r="B73" i="2"/>
  <c r="C73" i="2" s="1"/>
  <c r="A65" i="2"/>
  <c r="B65" i="2"/>
  <c r="C65" i="2" s="1"/>
  <c r="A57" i="2"/>
  <c r="B57" i="2"/>
  <c r="C57" i="2" s="1"/>
  <c r="A49" i="2"/>
  <c r="B49" i="2"/>
  <c r="C49" i="2" s="1"/>
  <c r="A41" i="2"/>
  <c r="B41" i="2"/>
  <c r="C41" i="2" s="1"/>
  <c r="A33" i="2"/>
  <c r="B33" i="2"/>
  <c r="C33" i="2" s="1"/>
  <c r="A25" i="2"/>
  <c r="B25" i="2"/>
  <c r="C25" i="2" s="1"/>
  <c r="A17" i="2"/>
  <c r="B17" i="2"/>
  <c r="C17" i="2" s="1"/>
  <c r="A9" i="2"/>
  <c r="B9" i="2"/>
  <c r="C9" i="2" s="1"/>
  <c r="A4" i="2"/>
  <c r="B4" i="2"/>
  <c r="C4" i="2" s="1"/>
  <c r="F4" i="2" s="1"/>
  <c r="G4" i="2" s="1"/>
  <c r="E9" i="1" s="1"/>
  <c r="A3992" i="2"/>
  <c r="B3992" i="2"/>
  <c r="C3992" i="2" s="1"/>
  <c r="F3992" i="2" s="1"/>
  <c r="G3992" i="2" s="1"/>
  <c r="E3997" i="1" s="1"/>
  <c r="A3984" i="2"/>
  <c r="B3984" i="2"/>
  <c r="C3984" i="2" s="1"/>
  <c r="F3984" i="2" s="1"/>
  <c r="G3984" i="2" s="1"/>
  <c r="E3989" i="1" s="1"/>
  <c r="A3976" i="2"/>
  <c r="B3976" i="2"/>
  <c r="C3976" i="2" s="1"/>
  <c r="F3976" i="2" s="1"/>
  <c r="G3976" i="2" s="1"/>
  <c r="E3981" i="1" s="1"/>
  <c r="A3968" i="2"/>
  <c r="B3968" i="2"/>
  <c r="C3968" i="2" s="1"/>
  <c r="F3968" i="2" s="1"/>
  <c r="G3968" i="2" s="1"/>
  <c r="E3973" i="1" s="1"/>
  <c r="A3960" i="2"/>
  <c r="B3960" i="2"/>
  <c r="C3960" i="2" s="1"/>
  <c r="F3960" i="2" s="1"/>
  <c r="G3960" i="2" s="1"/>
  <c r="E3965" i="1" s="1"/>
  <c r="A3952" i="2"/>
  <c r="B3952" i="2"/>
  <c r="C3952" i="2" s="1"/>
  <c r="F3952" i="2" s="1"/>
  <c r="G3952" i="2" s="1"/>
  <c r="E3957" i="1" s="1"/>
  <c r="A3944" i="2"/>
  <c r="B3944" i="2"/>
  <c r="C3944" i="2" s="1"/>
  <c r="F3944" i="2" s="1"/>
  <c r="G3944" i="2" s="1"/>
  <c r="E3949" i="1" s="1"/>
  <c r="A3936" i="2"/>
  <c r="B3936" i="2"/>
  <c r="C3936" i="2" s="1"/>
  <c r="F3936" i="2" s="1"/>
  <c r="G3936" i="2" s="1"/>
  <c r="E3941" i="1" s="1"/>
  <c r="A3928" i="2"/>
  <c r="B3928" i="2"/>
  <c r="C3928" i="2" s="1"/>
  <c r="F3928" i="2" s="1"/>
  <c r="G3928" i="2" s="1"/>
  <c r="E3933" i="1" s="1"/>
  <c r="A3920" i="2"/>
  <c r="B3920" i="2"/>
  <c r="C3920" i="2" s="1"/>
  <c r="F3920" i="2" s="1"/>
  <c r="G3920" i="2" s="1"/>
  <c r="E3925" i="1" s="1"/>
  <c r="A3912" i="2"/>
  <c r="B3912" i="2"/>
  <c r="C3912" i="2" s="1"/>
  <c r="F3912" i="2" s="1"/>
  <c r="G3912" i="2" s="1"/>
  <c r="E3917" i="1" s="1"/>
  <c r="A3904" i="2"/>
  <c r="B3904" i="2"/>
  <c r="C3904" i="2" s="1"/>
  <c r="F3904" i="2" s="1"/>
  <c r="G3904" i="2" s="1"/>
  <c r="E3909" i="1" s="1"/>
  <c r="A3896" i="2"/>
  <c r="B3896" i="2"/>
  <c r="C3896" i="2" s="1"/>
  <c r="F3896" i="2" s="1"/>
  <c r="G3896" i="2" s="1"/>
  <c r="E3901" i="1" s="1"/>
  <c r="A3888" i="2"/>
  <c r="B3888" i="2"/>
  <c r="C3888" i="2" s="1"/>
  <c r="F3888" i="2" s="1"/>
  <c r="G3888" i="2" s="1"/>
  <c r="E3893" i="1" s="1"/>
  <c r="A3880" i="2"/>
  <c r="B3880" i="2"/>
  <c r="C3880" i="2" s="1"/>
  <c r="F3880" i="2" s="1"/>
  <c r="G3880" i="2" s="1"/>
  <c r="E3885" i="1" s="1"/>
  <c r="A3872" i="2"/>
  <c r="B3872" i="2"/>
  <c r="C3872" i="2" s="1"/>
  <c r="F3872" i="2" s="1"/>
  <c r="G3872" i="2" s="1"/>
  <c r="E3877" i="1" s="1"/>
  <c r="A3864" i="2"/>
  <c r="B3864" i="2"/>
  <c r="C3864" i="2" s="1"/>
  <c r="F3864" i="2" s="1"/>
  <c r="G3864" i="2" s="1"/>
  <c r="E3869" i="1" s="1"/>
  <c r="A3856" i="2"/>
  <c r="B3856" i="2"/>
  <c r="C3856" i="2" s="1"/>
  <c r="F3856" i="2" s="1"/>
  <c r="G3856" i="2" s="1"/>
  <c r="E3861" i="1" s="1"/>
  <c r="A3848" i="2"/>
  <c r="B3848" i="2"/>
  <c r="C3848" i="2" s="1"/>
  <c r="F3848" i="2" s="1"/>
  <c r="G3848" i="2" s="1"/>
  <c r="E3853" i="1" s="1"/>
  <c r="A3840" i="2"/>
  <c r="B3840" i="2"/>
  <c r="C3840" i="2" s="1"/>
  <c r="F3840" i="2" s="1"/>
  <c r="G3840" i="2" s="1"/>
  <c r="E3845" i="1" s="1"/>
  <c r="A3832" i="2"/>
  <c r="B3832" i="2"/>
  <c r="C3832" i="2" s="1"/>
  <c r="F3832" i="2" s="1"/>
  <c r="G3832" i="2" s="1"/>
  <c r="E3837" i="1" s="1"/>
  <c r="A3824" i="2"/>
  <c r="B3824" i="2"/>
  <c r="C3824" i="2" s="1"/>
  <c r="F3824" i="2" s="1"/>
  <c r="G3824" i="2" s="1"/>
  <c r="E3829" i="1" s="1"/>
  <c r="A3816" i="2"/>
  <c r="B3816" i="2"/>
  <c r="C3816" i="2" s="1"/>
  <c r="F3816" i="2" s="1"/>
  <c r="G3816" i="2" s="1"/>
  <c r="E3821" i="1" s="1"/>
  <c r="A3808" i="2"/>
  <c r="B3808" i="2"/>
  <c r="C3808" i="2" s="1"/>
  <c r="F3808" i="2" s="1"/>
  <c r="G3808" i="2" s="1"/>
  <c r="E3813" i="1" s="1"/>
  <c r="A3800" i="2"/>
  <c r="B3800" i="2"/>
  <c r="C3800" i="2" s="1"/>
  <c r="F3800" i="2" s="1"/>
  <c r="G3800" i="2" s="1"/>
  <c r="E3805" i="1" s="1"/>
  <c r="A3792" i="2"/>
  <c r="B3792" i="2"/>
  <c r="C3792" i="2" s="1"/>
  <c r="F3792" i="2" s="1"/>
  <c r="G3792" i="2" s="1"/>
  <c r="E3797" i="1" s="1"/>
  <c r="A3784" i="2"/>
  <c r="B3784" i="2"/>
  <c r="C3784" i="2" s="1"/>
  <c r="F3784" i="2" s="1"/>
  <c r="G3784" i="2" s="1"/>
  <c r="E3789" i="1" s="1"/>
  <c r="A3776" i="2"/>
  <c r="B3776" i="2"/>
  <c r="C3776" i="2" s="1"/>
  <c r="F3776" i="2" s="1"/>
  <c r="G3776" i="2" s="1"/>
  <c r="E3781" i="1" s="1"/>
  <c r="A3768" i="2"/>
  <c r="B3768" i="2"/>
  <c r="C3768" i="2" s="1"/>
  <c r="F3768" i="2" s="1"/>
  <c r="G3768" i="2" s="1"/>
  <c r="E3773" i="1" s="1"/>
  <c r="A3760" i="2"/>
  <c r="B3760" i="2"/>
  <c r="C3760" i="2" s="1"/>
  <c r="F3760" i="2" s="1"/>
  <c r="G3760" i="2" s="1"/>
  <c r="E3765" i="1" s="1"/>
  <c r="A3752" i="2"/>
  <c r="B3752" i="2"/>
  <c r="C3752" i="2" s="1"/>
  <c r="F3752" i="2" s="1"/>
  <c r="G3752" i="2" s="1"/>
  <c r="E3757" i="1" s="1"/>
  <c r="A3744" i="2"/>
  <c r="B3744" i="2"/>
  <c r="C3744" i="2" s="1"/>
  <c r="F3744" i="2" s="1"/>
  <c r="G3744" i="2" s="1"/>
  <c r="E3749" i="1" s="1"/>
  <c r="A3736" i="2"/>
  <c r="B3736" i="2"/>
  <c r="C3736" i="2" s="1"/>
  <c r="F3736" i="2" s="1"/>
  <c r="G3736" i="2" s="1"/>
  <c r="E3741" i="1" s="1"/>
  <c r="A3728" i="2"/>
  <c r="B3728" i="2"/>
  <c r="C3728" i="2" s="1"/>
  <c r="F3728" i="2" s="1"/>
  <c r="G3728" i="2" s="1"/>
  <c r="E3733" i="1" s="1"/>
  <c r="A3720" i="2"/>
  <c r="B3720" i="2"/>
  <c r="C3720" i="2" s="1"/>
  <c r="F3720" i="2" s="1"/>
  <c r="G3720" i="2" s="1"/>
  <c r="E3725" i="1" s="1"/>
  <c r="A3712" i="2"/>
  <c r="B3712" i="2"/>
  <c r="C3712" i="2" s="1"/>
  <c r="F3712" i="2" s="1"/>
  <c r="G3712" i="2" s="1"/>
  <c r="E3717" i="1" s="1"/>
  <c r="A3704" i="2"/>
  <c r="B3704" i="2"/>
  <c r="C3704" i="2" s="1"/>
  <c r="F3704" i="2" s="1"/>
  <c r="G3704" i="2" s="1"/>
  <c r="E3709" i="1" s="1"/>
  <c r="A3696" i="2"/>
  <c r="B3696" i="2"/>
  <c r="C3696" i="2" s="1"/>
  <c r="F3696" i="2" s="1"/>
  <c r="G3696" i="2" s="1"/>
  <c r="E3701" i="1" s="1"/>
  <c r="A3688" i="2"/>
  <c r="B3688" i="2"/>
  <c r="C3688" i="2" s="1"/>
  <c r="F3688" i="2" s="1"/>
  <c r="G3688" i="2" s="1"/>
  <c r="E3693" i="1" s="1"/>
  <c r="A3680" i="2"/>
  <c r="B3680" i="2"/>
  <c r="C3680" i="2" s="1"/>
  <c r="F3680" i="2" s="1"/>
  <c r="G3680" i="2" s="1"/>
  <c r="E3685" i="1" s="1"/>
  <c r="A3672" i="2"/>
  <c r="B3672" i="2"/>
  <c r="C3672" i="2" s="1"/>
  <c r="F3672" i="2" s="1"/>
  <c r="G3672" i="2" s="1"/>
  <c r="E3677" i="1" s="1"/>
  <c r="A3664" i="2"/>
  <c r="B3664" i="2"/>
  <c r="C3664" i="2" s="1"/>
  <c r="F3664" i="2" s="1"/>
  <c r="G3664" i="2" s="1"/>
  <c r="E3669" i="1" s="1"/>
  <c r="A3656" i="2"/>
  <c r="B3656" i="2"/>
  <c r="C3656" i="2" s="1"/>
  <c r="F3656" i="2" s="1"/>
  <c r="G3656" i="2" s="1"/>
  <c r="E3661" i="1" s="1"/>
  <c r="A3648" i="2"/>
  <c r="B3648" i="2"/>
  <c r="C3648" i="2" s="1"/>
  <c r="F3648" i="2" s="1"/>
  <c r="G3648" i="2" s="1"/>
  <c r="E3653" i="1" s="1"/>
  <c r="A3640" i="2"/>
  <c r="B3640" i="2"/>
  <c r="C3640" i="2" s="1"/>
  <c r="F3640" i="2" s="1"/>
  <c r="G3640" i="2" s="1"/>
  <c r="E3645" i="1" s="1"/>
  <c r="A3632" i="2"/>
  <c r="B3632" i="2"/>
  <c r="C3632" i="2" s="1"/>
  <c r="F3632" i="2" s="1"/>
  <c r="G3632" i="2" s="1"/>
  <c r="E3637" i="1" s="1"/>
  <c r="A3624" i="2"/>
  <c r="B3624" i="2"/>
  <c r="C3624" i="2" s="1"/>
  <c r="F3624" i="2" s="1"/>
  <c r="G3624" i="2" s="1"/>
  <c r="E3629" i="1" s="1"/>
  <c r="A3616" i="2"/>
  <c r="B3616" i="2"/>
  <c r="C3616" i="2" s="1"/>
  <c r="F3616" i="2" s="1"/>
  <c r="G3616" i="2" s="1"/>
  <c r="E3621" i="1" s="1"/>
  <c r="A3608" i="2"/>
  <c r="B3608" i="2"/>
  <c r="C3608" i="2" s="1"/>
  <c r="F3608" i="2" s="1"/>
  <c r="G3608" i="2" s="1"/>
  <c r="E3613" i="1" s="1"/>
  <c r="A3600" i="2"/>
  <c r="B3600" i="2"/>
  <c r="C3600" i="2" s="1"/>
  <c r="F3600" i="2" s="1"/>
  <c r="G3600" i="2" s="1"/>
  <c r="E3605" i="1" s="1"/>
  <c r="A3592" i="2"/>
  <c r="B3592" i="2"/>
  <c r="C3592" i="2" s="1"/>
  <c r="F3592" i="2" s="1"/>
  <c r="G3592" i="2" s="1"/>
  <c r="E3597" i="1" s="1"/>
  <c r="A3584" i="2"/>
  <c r="B3584" i="2"/>
  <c r="C3584" i="2" s="1"/>
  <c r="F3584" i="2" s="1"/>
  <c r="G3584" i="2" s="1"/>
  <c r="E3589" i="1" s="1"/>
  <c r="A3576" i="2"/>
  <c r="B3576" i="2"/>
  <c r="C3576" i="2" s="1"/>
  <c r="F3576" i="2" s="1"/>
  <c r="G3576" i="2" s="1"/>
  <c r="E3581" i="1" s="1"/>
  <c r="A3568" i="2"/>
  <c r="B3568" i="2"/>
  <c r="C3568" i="2" s="1"/>
  <c r="F3568" i="2" s="1"/>
  <c r="G3568" i="2" s="1"/>
  <c r="E3573" i="1" s="1"/>
  <c r="A3560" i="2"/>
  <c r="B3560" i="2"/>
  <c r="C3560" i="2" s="1"/>
  <c r="F3560" i="2" s="1"/>
  <c r="G3560" i="2" s="1"/>
  <c r="E3565" i="1" s="1"/>
  <c r="A3552" i="2"/>
  <c r="B3552" i="2"/>
  <c r="C3552" i="2" s="1"/>
  <c r="F3552" i="2" s="1"/>
  <c r="G3552" i="2" s="1"/>
  <c r="E3557" i="1" s="1"/>
  <c r="A3544" i="2"/>
  <c r="B3544" i="2"/>
  <c r="C3544" i="2" s="1"/>
  <c r="F3544" i="2" s="1"/>
  <c r="G3544" i="2" s="1"/>
  <c r="E3549" i="1" s="1"/>
  <c r="A3536" i="2"/>
  <c r="B3536" i="2"/>
  <c r="C3536" i="2" s="1"/>
  <c r="F3536" i="2" s="1"/>
  <c r="G3536" i="2" s="1"/>
  <c r="E3541" i="1" s="1"/>
  <c r="A3528" i="2"/>
  <c r="B3528" i="2"/>
  <c r="C3528" i="2" s="1"/>
  <c r="F3528" i="2" s="1"/>
  <c r="G3528" i="2" s="1"/>
  <c r="E3533" i="1" s="1"/>
  <c r="A3520" i="2"/>
  <c r="B3520" i="2"/>
  <c r="C3520" i="2" s="1"/>
  <c r="F3520" i="2" s="1"/>
  <c r="G3520" i="2" s="1"/>
  <c r="E3525" i="1" s="1"/>
  <c r="A3512" i="2"/>
  <c r="B3512" i="2"/>
  <c r="C3512" i="2" s="1"/>
  <c r="F3512" i="2" s="1"/>
  <c r="G3512" i="2" s="1"/>
  <c r="E3517" i="1" s="1"/>
  <c r="A3504" i="2"/>
  <c r="B3504" i="2"/>
  <c r="C3504" i="2" s="1"/>
  <c r="F3504" i="2" s="1"/>
  <c r="G3504" i="2" s="1"/>
  <c r="E3509" i="1" s="1"/>
  <c r="A3496" i="2"/>
  <c r="B3496" i="2"/>
  <c r="C3496" i="2" s="1"/>
  <c r="F3496" i="2" s="1"/>
  <c r="G3496" i="2" s="1"/>
  <c r="E3501" i="1" s="1"/>
  <c r="A3488" i="2"/>
  <c r="B3488" i="2"/>
  <c r="C3488" i="2" s="1"/>
  <c r="F3488" i="2" s="1"/>
  <c r="G3488" i="2" s="1"/>
  <c r="E3493" i="1" s="1"/>
  <c r="A3480" i="2"/>
  <c r="B3480" i="2"/>
  <c r="C3480" i="2" s="1"/>
  <c r="F3480" i="2" s="1"/>
  <c r="G3480" i="2" s="1"/>
  <c r="E3485" i="1" s="1"/>
  <c r="A3472" i="2"/>
  <c r="B3472" i="2"/>
  <c r="C3472" i="2" s="1"/>
  <c r="F3472" i="2" s="1"/>
  <c r="G3472" i="2" s="1"/>
  <c r="E3477" i="1" s="1"/>
  <c r="A3464" i="2"/>
  <c r="B3464" i="2"/>
  <c r="C3464" i="2" s="1"/>
  <c r="F3464" i="2" s="1"/>
  <c r="G3464" i="2" s="1"/>
  <c r="E3469" i="1" s="1"/>
  <c r="A3456" i="2"/>
  <c r="B3456" i="2"/>
  <c r="C3456" i="2" s="1"/>
  <c r="F3456" i="2" s="1"/>
  <c r="G3456" i="2" s="1"/>
  <c r="E3461" i="1" s="1"/>
  <c r="A3448" i="2"/>
  <c r="B3448" i="2"/>
  <c r="C3448" i="2" s="1"/>
  <c r="F3448" i="2" s="1"/>
  <c r="G3448" i="2" s="1"/>
  <c r="E3453" i="1" s="1"/>
  <c r="A3440" i="2"/>
  <c r="B3440" i="2"/>
  <c r="C3440" i="2" s="1"/>
  <c r="F3440" i="2" s="1"/>
  <c r="G3440" i="2" s="1"/>
  <c r="E3445" i="1" s="1"/>
  <c r="A3432" i="2"/>
  <c r="B3432" i="2"/>
  <c r="C3432" i="2" s="1"/>
  <c r="F3432" i="2" s="1"/>
  <c r="G3432" i="2" s="1"/>
  <c r="E3437" i="1" s="1"/>
  <c r="A3424" i="2"/>
  <c r="B3424" i="2"/>
  <c r="C3424" i="2" s="1"/>
  <c r="F3424" i="2" s="1"/>
  <c r="G3424" i="2" s="1"/>
  <c r="E3429" i="1" s="1"/>
  <c r="A3416" i="2"/>
  <c r="B3416" i="2"/>
  <c r="C3416" i="2" s="1"/>
  <c r="F3416" i="2" s="1"/>
  <c r="G3416" i="2" s="1"/>
  <c r="E3421" i="1" s="1"/>
  <c r="A3408" i="2"/>
  <c r="B3408" i="2"/>
  <c r="C3408" i="2" s="1"/>
  <c r="F3408" i="2" s="1"/>
  <c r="G3408" i="2" s="1"/>
  <c r="E3413" i="1" s="1"/>
  <c r="A3400" i="2"/>
  <c r="B3400" i="2"/>
  <c r="C3400" i="2" s="1"/>
  <c r="F3400" i="2" s="1"/>
  <c r="G3400" i="2" s="1"/>
  <c r="E3405" i="1" s="1"/>
  <c r="A3392" i="2"/>
  <c r="B3392" i="2"/>
  <c r="C3392" i="2" s="1"/>
  <c r="F3392" i="2" s="1"/>
  <c r="G3392" i="2" s="1"/>
  <c r="E3397" i="1" s="1"/>
  <c r="A3384" i="2"/>
  <c r="B3384" i="2"/>
  <c r="C3384" i="2" s="1"/>
  <c r="F3384" i="2" s="1"/>
  <c r="G3384" i="2" s="1"/>
  <c r="E3389" i="1" s="1"/>
  <c r="A3376" i="2"/>
  <c r="B3376" i="2"/>
  <c r="C3376" i="2" s="1"/>
  <c r="F3376" i="2" s="1"/>
  <c r="G3376" i="2" s="1"/>
  <c r="E3381" i="1" s="1"/>
  <c r="A3368" i="2"/>
  <c r="B3368" i="2"/>
  <c r="C3368" i="2" s="1"/>
  <c r="F3368" i="2" s="1"/>
  <c r="G3368" i="2" s="1"/>
  <c r="E3373" i="1" s="1"/>
  <c r="A3360" i="2"/>
  <c r="B3360" i="2"/>
  <c r="C3360" i="2" s="1"/>
  <c r="F3360" i="2" s="1"/>
  <c r="G3360" i="2" s="1"/>
  <c r="E3365" i="1" s="1"/>
  <c r="A3352" i="2"/>
  <c r="B3352" i="2"/>
  <c r="C3352" i="2" s="1"/>
  <c r="F3352" i="2" s="1"/>
  <c r="G3352" i="2" s="1"/>
  <c r="E3357" i="1" s="1"/>
  <c r="A3344" i="2"/>
  <c r="B3344" i="2"/>
  <c r="C3344" i="2" s="1"/>
  <c r="F3344" i="2" s="1"/>
  <c r="G3344" i="2" s="1"/>
  <c r="E3349" i="1" s="1"/>
  <c r="A3336" i="2"/>
  <c r="B3336" i="2"/>
  <c r="C3336" i="2" s="1"/>
  <c r="F3336" i="2" s="1"/>
  <c r="G3336" i="2" s="1"/>
  <c r="E3341" i="1" s="1"/>
  <c r="A3328" i="2"/>
  <c r="B3328" i="2"/>
  <c r="C3328" i="2" s="1"/>
  <c r="F3328" i="2" s="1"/>
  <c r="G3328" i="2" s="1"/>
  <c r="E3333" i="1" s="1"/>
  <c r="A3320" i="2"/>
  <c r="B3320" i="2"/>
  <c r="C3320" i="2" s="1"/>
  <c r="F3320" i="2" s="1"/>
  <c r="G3320" i="2" s="1"/>
  <c r="E3325" i="1" s="1"/>
  <c r="A3312" i="2"/>
  <c r="B3312" i="2"/>
  <c r="C3312" i="2" s="1"/>
  <c r="F3312" i="2" s="1"/>
  <c r="G3312" i="2" s="1"/>
  <c r="E3317" i="1" s="1"/>
  <c r="A3304" i="2"/>
  <c r="B3304" i="2"/>
  <c r="C3304" i="2" s="1"/>
  <c r="F3304" i="2" s="1"/>
  <c r="G3304" i="2" s="1"/>
  <c r="E3309" i="1" s="1"/>
  <c r="A3296" i="2"/>
  <c r="B3296" i="2"/>
  <c r="C3296" i="2" s="1"/>
  <c r="F3296" i="2" s="1"/>
  <c r="G3296" i="2" s="1"/>
  <c r="E3301" i="1" s="1"/>
  <c r="A3288" i="2"/>
  <c r="B3288" i="2"/>
  <c r="C3288" i="2" s="1"/>
  <c r="F3288" i="2" s="1"/>
  <c r="G3288" i="2" s="1"/>
  <c r="E3293" i="1" s="1"/>
  <c r="A3280" i="2"/>
  <c r="B3280" i="2"/>
  <c r="C3280" i="2" s="1"/>
  <c r="F3280" i="2" s="1"/>
  <c r="G3280" i="2" s="1"/>
  <c r="E3285" i="1" s="1"/>
  <c r="A3272" i="2"/>
  <c r="B3272" i="2"/>
  <c r="C3272" i="2" s="1"/>
  <c r="F3272" i="2" s="1"/>
  <c r="G3272" i="2" s="1"/>
  <c r="E3277" i="1" s="1"/>
  <c r="A3264" i="2"/>
  <c r="B3264" i="2"/>
  <c r="C3264" i="2" s="1"/>
  <c r="F3264" i="2" s="1"/>
  <c r="G3264" i="2" s="1"/>
  <c r="E3269" i="1" s="1"/>
  <c r="A3256" i="2"/>
  <c r="B3256" i="2"/>
  <c r="C3256" i="2" s="1"/>
  <c r="F3256" i="2" s="1"/>
  <c r="G3256" i="2" s="1"/>
  <c r="E3261" i="1" s="1"/>
  <c r="A3248" i="2"/>
  <c r="B3248" i="2"/>
  <c r="C3248" i="2" s="1"/>
  <c r="F3248" i="2" s="1"/>
  <c r="G3248" i="2" s="1"/>
  <c r="E3253" i="1" s="1"/>
  <c r="A3240" i="2"/>
  <c r="B3240" i="2"/>
  <c r="C3240" i="2" s="1"/>
  <c r="F3240" i="2" s="1"/>
  <c r="G3240" i="2" s="1"/>
  <c r="E3245" i="1" s="1"/>
  <c r="A3232" i="2"/>
  <c r="B3232" i="2"/>
  <c r="C3232" i="2" s="1"/>
  <c r="F3232" i="2" s="1"/>
  <c r="G3232" i="2" s="1"/>
  <c r="E3237" i="1" s="1"/>
  <c r="A3224" i="2"/>
  <c r="B3224" i="2"/>
  <c r="C3224" i="2" s="1"/>
  <c r="F3224" i="2" s="1"/>
  <c r="G3224" i="2" s="1"/>
  <c r="E3229" i="1" s="1"/>
  <c r="A3216" i="2"/>
  <c r="B3216" i="2"/>
  <c r="C3216" i="2" s="1"/>
  <c r="F3216" i="2" s="1"/>
  <c r="G3216" i="2" s="1"/>
  <c r="E3221" i="1" s="1"/>
  <c r="A3208" i="2"/>
  <c r="B3208" i="2"/>
  <c r="C3208" i="2" s="1"/>
  <c r="F3208" i="2" s="1"/>
  <c r="G3208" i="2" s="1"/>
  <c r="E3213" i="1" s="1"/>
  <c r="A3200" i="2"/>
  <c r="B3200" i="2"/>
  <c r="C3200" i="2" s="1"/>
  <c r="F3200" i="2" s="1"/>
  <c r="G3200" i="2" s="1"/>
  <c r="E3205" i="1" s="1"/>
  <c r="A3192" i="2"/>
  <c r="B3192" i="2"/>
  <c r="C3192" i="2" s="1"/>
  <c r="F3192" i="2" s="1"/>
  <c r="G3192" i="2" s="1"/>
  <c r="E3197" i="1" s="1"/>
  <c r="A3184" i="2"/>
  <c r="B3184" i="2"/>
  <c r="C3184" i="2" s="1"/>
  <c r="F3184" i="2" s="1"/>
  <c r="G3184" i="2" s="1"/>
  <c r="E3189" i="1" s="1"/>
  <c r="A3176" i="2"/>
  <c r="B3176" i="2"/>
  <c r="C3176" i="2" s="1"/>
  <c r="F3176" i="2" s="1"/>
  <c r="G3176" i="2" s="1"/>
  <c r="E3181" i="1" s="1"/>
  <c r="A3168" i="2"/>
  <c r="B3168" i="2"/>
  <c r="C3168" i="2" s="1"/>
  <c r="F3168" i="2" s="1"/>
  <c r="G3168" i="2" s="1"/>
  <c r="E3173" i="1" s="1"/>
  <c r="A3160" i="2"/>
  <c r="B3160" i="2"/>
  <c r="C3160" i="2" s="1"/>
  <c r="F3160" i="2" s="1"/>
  <c r="G3160" i="2" s="1"/>
  <c r="E3165" i="1" s="1"/>
  <c r="A3152" i="2"/>
  <c r="B3152" i="2"/>
  <c r="C3152" i="2" s="1"/>
  <c r="F3152" i="2" s="1"/>
  <c r="G3152" i="2" s="1"/>
  <c r="E3157" i="1" s="1"/>
  <c r="A3144" i="2"/>
  <c r="B3144" i="2"/>
  <c r="C3144" i="2" s="1"/>
  <c r="F3144" i="2" s="1"/>
  <c r="G3144" i="2" s="1"/>
  <c r="E3149" i="1" s="1"/>
  <c r="A3136" i="2"/>
  <c r="B3136" i="2"/>
  <c r="C3136" i="2" s="1"/>
  <c r="F3136" i="2" s="1"/>
  <c r="G3136" i="2" s="1"/>
  <c r="E3141" i="1" s="1"/>
  <c r="A3128" i="2"/>
  <c r="B3128" i="2"/>
  <c r="C3128" i="2" s="1"/>
  <c r="F3128" i="2" s="1"/>
  <c r="G3128" i="2" s="1"/>
  <c r="E3133" i="1" s="1"/>
  <c r="A3120" i="2"/>
  <c r="B3120" i="2"/>
  <c r="C3120" i="2" s="1"/>
  <c r="F3120" i="2" s="1"/>
  <c r="G3120" i="2" s="1"/>
  <c r="E3125" i="1" s="1"/>
  <c r="A3112" i="2"/>
  <c r="B3112" i="2"/>
  <c r="C3112" i="2" s="1"/>
  <c r="F3112" i="2" s="1"/>
  <c r="G3112" i="2" s="1"/>
  <c r="E3117" i="1" s="1"/>
  <c r="A3104" i="2"/>
  <c r="B3104" i="2"/>
  <c r="C3104" i="2" s="1"/>
  <c r="F3104" i="2" s="1"/>
  <c r="G3104" i="2" s="1"/>
  <c r="E3109" i="1" s="1"/>
  <c r="A3096" i="2"/>
  <c r="B3096" i="2"/>
  <c r="C3096" i="2" s="1"/>
  <c r="F3096" i="2" s="1"/>
  <c r="G3096" i="2" s="1"/>
  <c r="E3101" i="1" s="1"/>
  <c r="A3088" i="2"/>
  <c r="B3088" i="2"/>
  <c r="C3088" i="2" s="1"/>
  <c r="F3088" i="2" s="1"/>
  <c r="G3088" i="2" s="1"/>
  <c r="E3093" i="1" s="1"/>
  <c r="A3080" i="2"/>
  <c r="B3080" i="2"/>
  <c r="C3080" i="2" s="1"/>
  <c r="F3080" i="2" s="1"/>
  <c r="G3080" i="2" s="1"/>
  <c r="E3085" i="1" s="1"/>
  <c r="A3072" i="2"/>
  <c r="B3072" i="2"/>
  <c r="C3072" i="2" s="1"/>
  <c r="F3072" i="2" s="1"/>
  <c r="G3072" i="2" s="1"/>
  <c r="E3077" i="1" s="1"/>
  <c r="A3064" i="2"/>
  <c r="B3064" i="2"/>
  <c r="C3064" i="2" s="1"/>
  <c r="F3064" i="2" s="1"/>
  <c r="G3064" i="2" s="1"/>
  <c r="E3069" i="1" s="1"/>
  <c r="A3056" i="2"/>
  <c r="B3056" i="2"/>
  <c r="C3056" i="2" s="1"/>
  <c r="F3056" i="2" s="1"/>
  <c r="G3056" i="2" s="1"/>
  <c r="E3061" i="1" s="1"/>
  <c r="A3048" i="2"/>
  <c r="B3048" i="2"/>
  <c r="C3048" i="2" s="1"/>
  <c r="F3048" i="2" s="1"/>
  <c r="G3048" i="2" s="1"/>
  <c r="E3053" i="1" s="1"/>
  <c r="A3040" i="2"/>
  <c r="B3040" i="2"/>
  <c r="C3040" i="2" s="1"/>
  <c r="F3040" i="2" s="1"/>
  <c r="G3040" i="2" s="1"/>
  <c r="E3045" i="1" s="1"/>
  <c r="A3032" i="2"/>
  <c r="B3032" i="2"/>
  <c r="C3032" i="2" s="1"/>
  <c r="F3032" i="2" s="1"/>
  <c r="G3032" i="2" s="1"/>
  <c r="E3037" i="1" s="1"/>
  <c r="A3024" i="2"/>
  <c r="B3024" i="2"/>
  <c r="C3024" i="2" s="1"/>
  <c r="F3024" i="2" s="1"/>
  <c r="G3024" i="2" s="1"/>
  <c r="E3029" i="1" s="1"/>
  <c r="A3016" i="2"/>
  <c r="B3016" i="2"/>
  <c r="C3016" i="2" s="1"/>
  <c r="F3016" i="2" s="1"/>
  <c r="G3016" i="2" s="1"/>
  <c r="E3021" i="1" s="1"/>
  <c r="A3008" i="2"/>
  <c r="B3008" i="2"/>
  <c r="C3008" i="2" s="1"/>
  <c r="F3008" i="2" s="1"/>
  <c r="G3008" i="2" s="1"/>
  <c r="E3013" i="1" s="1"/>
  <c r="A3000" i="2"/>
  <c r="B3000" i="2"/>
  <c r="C3000" i="2" s="1"/>
  <c r="F3000" i="2" s="1"/>
  <c r="G3000" i="2" s="1"/>
  <c r="E3005" i="1" s="1"/>
  <c r="A2992" i="2"/>
  <c r="B2992" i="2"/>
  <c r="C2992" i="2" s="1"/>
  <c r="F2992" i="2" s="1"/>
  <c r="G2992" i="2" s="1"/>
  <c r="E2997" i="1" s="1"/>
  <c r="A2984" i="2"/>
  <c r="B2984" i="2"/>
  <c r="C2984" i="2" s="1"/>
  <c r="F2984" i="2" s="1"/>
  <c r="G2984" i="2" s="1"/>
  <c r="E2989" i="1" s="1"/>
  <c r="A2976" i="2"/>
  <c r="B2976" i="2"/>
  <c r="C2976" i="2" s="1"/>
  <c r="F2976" i="2" s="1"/>
  <c r="G2976" i="2" s="1"/>
  <c r="E2981" i="1" s="1"/>
  <c r="A2968" i="2"/>
  <c r="B2968" i="2"/>
  <c r="C2968" i="2" s="1"/>
  <c r="F2968" i="2" s="1"/>
  <c r="G2968" i="2" s="1"/>
  <c r="E2973" i="1" s="1"/>
  <c r="A2960" i="2"/>
  <c r="B2960" i="2"/>
  <c r="C2960" i="2" s="1"/>
  <c r="F2960" i="2" s="1"/>
  <c r="G2960" i="2" s="1"/>
  <c r="E2965" i="1" s="1"/>
  <c r="A2952" i="2"/>
  <c r="B2952" i="2"/>
  <c r="C2952" i="2" s="1"/>
  <c r="F2952" i="2" s="1"/>
  <c r="G2952" i="2" s="1"/>
  <c r="E2957" i="1" s="1"/>
  <c r="A2944" i="2"/>
  <c r="B2944" i="2"/>
  <c r="C2944" i="2" s="1"/>
  <c r="F2944" i="2" s="1"/>
  <c r="G2944" i="2" s="1"/>
  <c r="E2949" i="1" s="1"/>
  <c r="A2936" i="2"/>
  <c r="B2936" i="2"/>
  <c r="C2936" i="2" s="1"/>
  <c r="F2936" i="2" s="1"/>
  <c r="G2936" i="2" s="1"/>
  <c r="E2941" i="1" s="1"/>
  <c r="A2928" i="2"/>
  <c r="B2928" i="2"/>
  <c r="C2928" i="2" s="1"/>
  <c r="F2928" i="2" s="1"/>
  <c r="G2928" i="2" s="1"/>
  <c r="E2933" i="1" s="1"/>
  <c r="A2920" i="2"/>
  <c r="B2920" i="2"/>
  <c r="C2920" i="2" s="1"/>
  <c r="F2920" i="2" s="1"/>
  <c r="G2920" i="2" s="1"/>
  <c r="E2925" i="1" s="1"/>
  <c r="A2912" i="2"/>
  <c r="B2912" i="2"/>
  <c r="C2912" i="2" s="1"/>
  <c r="F2912" i="2" s="1"/>
  <c r="G2912" i="2" s="1"/>
  <c r="E2917" i="1" s="1"/>
  <c r="A2904" i="2"/>
  <c r="B2904" i="2"/>
  <c r="C2904" i="2" s="1"/>
  <c r="F2904" i="2" s="1"/>
  <c r="G2904" i="2" s="1"/>
  <c r="E2909" i="1" s="1"/>
  <c r="A2896" i="2"/>
  <c r="B2896" i="2"/>
  <c r="C2896" i="2" s="1"/>
  <c r="F2896" i="2" s="1"/>
  <c r="G2896" i="2" s="1"/>
  <c r="E2901" i="1" s="1"/>
  <c r="A2888" i="2"/>
  <c r="B2888" i="2"/>
  <c r="C2888" i="2" s="1"/>
  <c r="F2888" i="2" s="1"/>
  <c r="G2888" i="2" s="1"/>
  <c r="E2893" i="1" s="1"/>
  <c r="A2880" i="2"/>
  <c r="B2880" i="2"/>
  <c r="C2880" i="2" s="1"/>
  <c r="F2880" i="2" s="1"/>
  <c r="G2880" i="2" s="1"/>
  <c r="E2885" i="1" s="1"/>
  <c r="A2872" i="2"/>
  <c r="B2872" i="2"/>
  <c r="C2872" i="2" s="1"/>
  <c r="F2872" i="2" s="1"/>
  <c r="G2872" i="2" s="1"/>
  <c r="E2877" i="1" s="1"/>
  <c r="A2864" i="2"/>
  <c r="B2864" i="2"/>
  <c r="C2864" i="2" s="1"/>
  <c r="F2864" i="2" s="1"/>
  <c r="G2864" i="2" s="1"/>
  <c r="E2869" i="1" s="1"/>
  <c r="A2856" i="2"/>
  <c r="B2856" i="2"/>
  <c r="C2856" i="2" s="1"/>
  <c r="F2856" i="2" s="1"/>
  <c r="G2856" i="2" s="1"/>
  <c r="E2861" i="1" s="1"/>
  <c r="A2848" i="2"/>
  <c r="B2848" i="2"/>
  <c r="C2848" i="2" s="1"/>
  <c r="F2848" i="2" s="1"/>
  <c r="G2848" i="2" s="1"/>
  <c r="E2853" i="1" s="1"/>
  <c r="A2840" i="2"/>
  <c r="B2840" i="2"/>
  <c r="C2840" i="2" s="1"/>
  <c r="F2840" i="2" s="1"/>
  <c r="G2840" i="2" s="1"/>
  <c r="E2845" i="1" s="1"/>
  <c r="A2832" i="2"/>
  <c r="B2832" i="2"/>
  <c r="C2832" i="2" s="1"/>
  <c r="F2832" i="2" s="1"/>
  <c r="G2832" i="2" s="1"/>
  <c r="E2837" i="1" s="1"/>
  <c r="A2824" i="2"/>
  <c r="B2824" i="2"/>
  <c r="C2824" i="2" s="1"/>
  <c r="F2824" i="2" s="1"/>
  <c r="G2824" i="2" s="1"/>
  <c r="E2829" i="1" s="1"/>
  <c r="A2816" i="2"/>
  <c r="B2816" i="2"/>
  <c r="C2816" i="2" s="1"/>
  <c r="F2816" i="2" s="1"/>
  <c r="G2816" i="2" s="1"/>
  <c r="E2821" i="1" s="1"/>
  <c r="A2808" i="2"/>
  <c r="B2808" i="2"/>
  <c r="C2808" i="2" s="1"/>
  <c r="F2808" i="2" s="1"/>
  <c r="G2808" i="2" s="1"/>
  <c r="E2813" i="1" s="1"/>
  <c r="A2800" i="2"/>
  <c r="B2800" i="2"/>
  <c r="C2800" i="2" s="1"/>
  <c r="F2800" i="2" s="1"/>
  <c r="G2800" i="2" s="1"/>
  <c r="E2805" i="1" s="1"/>
  <c r="A2792" i="2"/>
  <c r="B2792" i="2"/>
  <c r="C2792" i="2" s="1"/>
  <c r="F2792" i="2" s="1"/>
  <c r="G2792" i="2" s="1"/>
  <c r="E2797" i="1" s="1"/>
  <c r="A2784" i="2"/>
  <c r="B2784" i="2"/>
  <c r="C2784" i="2" s="1"/>
  <c r="F2784" i="2" s="1"/>
  <c r="G2784" i="2" s="1"/>
  <c r="E2789" i="1" s="1"/>
  <c r="A2776" i="2"/>
  <c r="B2776" i="2"/>
  <c r="C2776" i="2" s="1"/>
  <c r="F2776" i="2" s="1"/>
  <c r="G2776" i="2" s="1"/>
  <c r="E2781" i="1" s="1"/>
  <c r="A2768" i="2"/>
  <c r="B2768" i="2"/>
  <c r="C2768" i="2" s="1"/>
  <c r="F2768" i="2" s="1"/>
  <c r="G2768" i="2" s="1"/>
  <c r="E2773" i="1" s="1"/>
  <c r="A2760" i="2"/>
  <c r="B2760" i="2"/>
  <c r="C2760" i="2" s="1"/>
  <c r="F2760" i="2" s="1"/>
  <c r="G2760" i="2" s="1"/>
  <c r="E2765" i="1" s="1"/>
  <c r="A2752" i="2"/>
  <c r="B2752" i="2"/>
  <c r="C2752" i="2" s="1"/>
  <c r="F2752" i="2" s="1"/>
  <c r="G2752" i="2" s="1"/>
  <c r="E2757" i="1" s="1"/>
  <c r="A2744" i="2"/>
  <c r="B2744" i="2"/>
  <c r="C2744" i="2" s="1"/>
  <c r="F2744" i="2" s="1"/>
  <c r="G2744" i="2" s="1"/>
  <c r="E2749" i="1" s="1"/>
  <c r="A2736" i="2"/>
  <c r="B2736" i="2"/>
  <c r="C2736" i="2" s="1"/>
  <c r="F2736" i="2" s="1"/>
  <c r="G2736" i="2" s="1"/>
  <c r="E2741" i="1" s="1"/>
  <c r="A2728" i="2"/>
  <c r="B2728" i="2"/>
  <c r="C2728" i="2" s="1"/>
  <c r="F2728" i="2" s="1"/>
  <c r="G2728" i="2" s="1"/>
  <c r="E2733" i="1" s="1"/>
  <c r="A2720" i="2"/>
  <c r="B2720" i="2"/>
  <c r="C2720" i="2" s="1"/>
  <c r="F2720" i="2" s="1"/>
  <c r="G2720" i="2" s="1"/>
  <c r="E2725" i="1" s="1"/>
  <c r="A2712" i="2"/>
  <c r="B2712" i="2"/>
  <c r="C2712" i="2" s="1"/>
  <c r="F2712" i="2" s="1"/>
  <c r="G2712" i="2" s="1"/>
  <c r="E2717" i="1" s="1"/>
  <c r="A2704" i="2"/>
  <c r="B2704" i="2"/>
  <c r="C2704" i="2" s="1"/>
  <c r="F2704" i="2" s="1"/>
  <c r="G2704" i="2" s="1"/>
  <c r="E2709" i="1" s="1"/>
  <c r="A2696" i="2"/>
  <c r="B2696" i="2"/>
  <c r="C2696" i="2" s="1"/>
  <c r="F2696" i="2" s="1"/>
  <c r="G2696" i="2" s="1"/>
  <c r="E2701" i="1" s="1"/>
  <c r="A2688" i="2"/>
  <c r="B2688" i="2"/>
  <c r="C2688" i="2" s="1"/>
  <c r="F2688" i="2" s="1"/>
  <c r="G2688" i="2" s="1"/>
  <c r="E2693" i="1" s="1"/>
  <c r="A2680" i="2"/>
  <c r="B2680" i="2"/>
  <c r="C2680" i="2" s="1"/>
  <c r="F2680" i="2" s="1"/>
  <c r="G2680" i="2" s="1"/>
  <c r="E2685" i="1" s="1"/>
  <c r="A2672" i="2"/>
  <c r="B2672" i="2"/>
  <c r="C2672" i="2" s="1"/>
  <c r="F2672" i="2" s="1"/>
  <c r="G2672" i="2" s="1"/>
  <c r="E2677" i="1" s="1"/>
  <c r="A2664" i="2"/>
  <c r="B2664" i="2"/>
  <c r="C2664" i="2" s="1"/>
  <c r="F2664" i="2" s="1"/>
  <c r="G2664" i="2" s="1"/>
  <c r="E2669" i="1" s="1"/>
  <c r="A2656" i="2"/>
  <c r="B2656" i="2"/>
  <c r="C2656" i="2" s="1"/>
  <c r="F2656" i="2" s="1"/>
  <c r="G2656" i="2" s="1"/>
  <c r="E2661" i="1" s="1"/>
  <c r="A2648" i="2"/>
  <c r="B2648" i="2"/>
  <c r="C2648" i="2" s="1"/>
  <c r="F2648" i="2" s="1"/>
  <c r="G2648" i="2" s="1"/>
  <c r="E2653" i="1" s="1"/>
  <c r="A2640" i="2"/>
  <c r="B2640" i="2"/>
  <c r="C2640" i="2" s="1"/>
  <c r="F2640" i="2" s="1"/>
  <c r="G2640" i="2" s="1"/>
  <c r="E2645" i="1" s="1"/>
  <c r="A2632" i="2"/>
  <c r="B2632" i="2"/>
  <c r="C2632" i="2" s="1"/>
  <c r="F2632" i="2" s="1"/>
  <c r="G2632" i="2" s="1"/>
  <c r="E2637" i="1" s="1"/>
  <c r="A2624" i="2"/>
  <c r="B2624" i="2"/>
  <c r="C2624" i="2" s="1"/>
  <c r="F2624" i="2" s="1"/>
  <c r="G2624" i="2" s="1"/>
  <c r="E2629" i="1" s="1"/>
  <c r="A2616" i="2"/>
  <c r="B2616" i="2"/>
  <c r="C2616" i="2" s="1"/>
  <c r="F2616" i="2" s="1"/>
  <c r="G2616" i="2" s="1"/>
  <c r="E2621" i="1" s="1"/>
  <c r="A2608" i="2"/>
  <c r="B2608" i="2"/>
  <c r="C2608" i="2" s="1"/>
  <c r="F2608" i="2" s="1"/>
  <c r="G2608" i="2" s="1"/>
  <c r="E2613" i="1" s="1"/>
  <c r="A2600" i="2"/>
  <c r="B2600" i="2"/>
  <c r="C2600" i="2" s="1"/>
  <c r="F2600" i="2" s="1"/>
  <c r="G2600" i="2" s="1"/>
  <c r="E2605" i="1" s="1"/>
  <c r="A2592" i="2"/>
  <c r="B2592" i="2"/>
  <c r="C2592" i="2" s="1"/>
  <c r="F2592" i="2" s="1"/>
  <c r="G2592" i="2" s="1"/>
  <c r="E2597" i="1" s="1"/>
  <c r="A2584" i="2"/>
  <c r="B2584" i="2"/>
  <c r="C2584" i="2" s="1"/>
  <c r="F2584" i="2" s="1"/>
  <c r="G2584" i="2" s="1"/>
  <c r="E2589" i="1" s="1"/>
  <c r="A2576" i="2"/>
  <c r="B2576" i="2"/>
  <c r="C2576" i="2" s="1"/>
  <c r="F2576" i="2" s="1"/>
  <c r="G2576" i="2" s="1"/>
  <c r="E2581" i="1" s="1"/>
  <c r="A2568" i="2"/>
  <c r="B2568" i="2"/>
  <c r="C2568" i="2" s="1"/>
  <c r="F2568" i="2" s="1"/>
  <c r="G2568" i="2" s="1"/>
  <c r="E2573" i="1" s="1"/>
  <c r="A2560" i="2"/>
  <c r="B2560" i="2"/>
  <c r="C2560" i="2" s="1"/>
  <c r="F2560" i="2" s="1"/>
  <c r="G2560" i="2" s="1"/>
  <c r="E2565" i="1" s="1"/>
  <c r="A2552" i="2"/>
  <c r="B2552" i="2"/>
  <c r="C2552" i="2" s="1"/>
  <c r="F2552" i="2" s="1"/>
  <c r="G2552" i="2" s="1"/>
  <c r="E2557" i="1" s="1"/>
  <c r="A2544" i="2"/>
  <c r="B2544" i="2"/>
  <c r="C2544" i="2" s="1"/>
  <c r="F2544" i="2" s="1"/>
  <c r="G2544" i="2" s="1"/>
  <c r="E2549" i="1" s="1"/>
  <c r="A2536" i="2"/>
  <c r="B2536" i="2"/>
  <c r="C2536" i="2" s="1"/>
  <c r="F2536" i="2" s="1"/>
  <c r="G2536" i="2" s="1"/>
  <c r="E2541" i="1" s="1"/>
  <c r="A2528" i="2"/>
  <c r="B2528" i="2"/>
  <c r="C2528" i="2" s="1"/>
  <c r="F2528" i="2" s="1"/>
  <c r="G2528" i="2" s="1"/>
  <c r="E2533" i="1" s="1"/>
  <c r="A2520" i="2"/>
  <c r="B2520" i="2"/>
  <c r="C2520" i="2" s="1"/>
  <c r="F2520" i="2" s="1"/>
  <c r="G2520" i="2" s="1"/>
  <c r="E2525" i="1" s="1"/>
  <c r="A2512" i="2"/>
  <c r="B2512" i="2"/>
  <c r="C2512" i="2" s="1"/>
  <c r="F2512" i="2" s="1"/>
  <c r="G2512" i="2" s="1"/>
  <c r="E2517" i="1" s="1"/>
  <c r="A2504" i="2"/>
  <c r="B2504" i="2"/>
  <c r="C2504" i="2" s="1"/>
  <c r="F2504" i="2" s="1"/>
  <c r="G2504" i="2" s="1"/>
  <c r="E2509" i="1" s="1"/>
  <c r="A2496" i="2"/>
  <c r="B2496" i="2"/>
  <c r="C2496" i="2" s="1"/>
  <c r="F2496" i="2" s="1"/>
  <c r="G2496" i="2" s="1"/>
  <c r="E2501" i="1" s="1"/>
  <c r="A2488" i="2"/>
  <c r="B2488" i="2"/>
  <c r="C2488" i="2" s="1"/>
  <c r="F2488" i="2" s="1"/>
  <c r="G2488" i="2" s="1"/>
  <c r="E2493" i="1" s="1"/>
  <c r="A2480" i="2"/>
  <c r="B2480" i="2"/>
  <c r="C2480" i="2" s="1"/>
  <c r="F2480" i="2" s="1"/>
  <c r="G2480" i="2" s="1"/>
  <c r="E2485" i="1" s="1"/>
  <c r="A2472" i="2"/>
  <c r="B2472" i="2"/>
  <c r="C2472" i="2" s="1"/>
  <c r="F2472" i="2" s="1"/>
  <c r="G2472" i="2" s="1"/>
  <c r="E2477" i="1" s="1"/>
  <c r="A2464" i="2"/>
  <c r="B2464" i="2"/>
  <c r="C2464" i="2" s="1"/>
  <c r="F2464" i="2" s="1"/>
  <c r="G2464" i="2" s="1"/>
  <c r="E2469" i="1" s="1"/>
  <c r="A2456" i="2"/>
  <c r="B2456" i="2"/>
  <c r="C2456" i="2" s="1"/>
  <c r="F2456" i="2" s="1"/>
  <c r="G2456" i="2" s="1"/>
  <c r="E2461" i="1" s="1"/>
  <c r="A2448" i="2"/>
  <c r="B2448" i="2"/>
  <c r="C2448" i="2" s="1"/>
  <c r="F2448" i="2" s="1"/>
  <c r="G2448" i="2" s="1"/>
  <c r="E2453" i="1" s="1"/>
  <c r="A2440" i="2"/>
  <c r="B2440" i="2"/>
  <c r="C2440" i="2" s="1"/>
  <c r="F2440" i="2" s="1"/>
  <c r="G2440" i="2" s="1"/>
  <c r="E2445" i="1" s="1"/>
  <c r="A2432" i="2"/>
  <c r="B2432" i="2"/>
  <c r="C2432" i="2" s="1"/>
  <c r="F2432" i="2" s="1"/>
  <c r="G2432" i="2" s="1"/>
  <c r="E2437" i="1" s="1"/>
  <c r="A2424" i="2"/>
  <c r="B2424" i="2"/>
  <c r="C2424" i="2" s="1"/>
  <c r="F2424" i="2" s="1"/>
  <c r="G2424" i="2" s="1"/>
  <c r="E2429" i="1" s="1"/>
  <c r="A2416" i="2"/>
  <c r="B2416" i="2"/>
  <c r="C2416" i="2" s="1"/>
  <c r="F2416" i="2" s="1"/>
  <c r="G2416" i="2" s="1"/>
  <c r="E2421" i="1" s="1"/>
  <c r="A2408" i="2"/>
  <c r="B2408" i="2"/>
  <c r="C2408" i="2" s="1"/>
  <c r="F2408" i="2" s="1"/>
  <c r="G2408" i="2" s="1"/>
  <c r="E2413" i="1" s="1"/>
  <c r="A2400" i="2"/>
  <c r="B2400" i="2"/>
  <c r="C2400" i="2" s="1"/>
  <c r="F2400" i="2" s="1"/>
  <c r="G2400" i="2" s="1"/>
  <c r="E2405" i="1" s="1"/>
  <c r="A2392" i="2"/>
  <c r="B2392" i="2"/>
  <c r="C2392" i="2" s="1"/>
  <c r="F2392" i="2" s="1"/>
  <c r="G2392" i="2" s="1"/>
  <c r="E2397" i="1" s="1"/>
  <c r="A2384" i="2"/>
  <c r="B2384" i="2"/>
  <c r="C2384" i="2" s="1"/>
  <c r="F2384" i="2" s="1"/>
  <c r="G2384" i="2" s="1"/>
  <c r="E2389" i="1" s="1"/>
  <c r="A2376" i="2"/>
  <c r="B2376" i="2"/>
  <c r="C2376" i="2" s="1"/>
  <c r="F2376" i="2" s="1"/>
  <c r="G2376" i="2" s="1"/>
  <c r="E2381" i="1" s="1"/>
  <c r="A2368" i="2"/>
  <c r="B2368" i="2"/>
  <c r="C2368" i="2" s="1"/>
  <c r="F2368" i="2" s="1"/>
  <c r="G2368" i="2" s="1"/>
  <c r="E2373" i="1" s="1"/>
  <c r="A2360" i="2"/>
  <c r="B2360" i="2"/>
  <c r="C2360" i="2" s="1"/>
  <c r="F2360" i="2" s="1"/>
  <c r="G2360" i="2" s="1"/>
  <c r="E2365" i="1" s="1"/>
  <c r="A2352" i="2"/>
  <c r="B2352" i="2"/>
  <c r="C2352" i="2" s="1"/>
  <c r="F2352" i="2" s="1"/>
  <c r="G2352" i="2" s="1"/>
  <c r="E2357" i="1" s="1"/>
  <c r="A2344" i="2"/>
  <c r="B2344" i="2"/>
  <c r="C2344" i="2" s="1"/>
  <c r="F2344" i="2" s="1"/>
  <c r="G2344" i="2" s="1"/>
  <c r="E2349" i="1" s="1"/>
  <c r="A2336" i="2"/>
  <c r="B2336" i="2"/>
  <c r="C2336" i="2" s="1"/>
  <c r="F2336" i="2" s="1"/>
  <c r="G2336" i="2" s="1"/>
  <c r="E2341" i="1" s="1"/>
  <c r="A2328" i="2"/>
  <c r="B2328" i="2"/>
  <c r="C2328" i="2" s="1"/>
  <c r="F2328" i="2" s="1"/>
  <c r="G2328" i="2" s="1"/>
  <c r="E2333" i="1" s="1"/>
  <c r="A2320" i="2"/>
  <c r="B2320" i="2"/>
  <c r="C2320" i="2" s="1"/>
  <c r="F2320" i="2" s="1"/>
  <c r="G2320" i="2" s="1"/>
  <c r="E2325" i="1" s="1"/>
  <c r="A2312" i="2"/>
  <c r="B2312" i="2"/>
  <c r="C2312" i="2" s="1"/>
  <c r="F2312" i="2" s="1"/>
  <c r="G2312" i="2" s="1"/>
  <c r="E2317" i="1" s="1"/>
  <c r="A2304" i="2"/>
  <c r="B2304" i="2"/>
  <c r="C2304" i="2" s="1"/>
  <c r="F2304" i="2" s="1"/>
  <c r="G2304" i="2" s="1"/>
  <c r="E2309" i="1" s="1"/>
  <c r="A2296" i="2"/>
  <c r="B2296" i="2"/>
  <c r="C2296" i="2" s="1"/>
  <c r="F2296" i="2" s="1"/>
  <c r="G2296" i="2" s="1"/>
  <c r="E2301" i="1" s="1"/>
  <c r="A2288" i="2"/>
  <c r="B2288" i="2"/>
  <c r="C2288" i="2" s="1"/>
  <c r="F2288" i="2" s="1"/>
  <c r="G2288" i="2" s="1"/>
  <c r="E2293" i="1" s="1"/>
  <c r="A2280" i="2"/>
  <c r="B2280" i="2"/>
  <c r="C2280" i="2" s="1"/>
  <c r="F2280" i="2" s="1"/>
  <c r="G2280" i="2" s="1"/>
  <c r="E2285" i="1" s="1"/>
  <c r="A2272" i="2"/>
  <c r="B2272" i="2"/>
  <c r="C2272" i="2" s="1"/>
  <c r="F2272" i="2" s="1"/>
  <c r="G2272" i="2" s="1"/>
  <c r="E2277" i="1" s="1"/>
  <c r="A2264" i="2"/>
  <c r="B2264" i="2"/>
  <c r="C2264" i="2" s="1"/>
  <c r="F2264" i="2" s="1"/>
  <c r="G2264" i="2" s="1"/>
  <c r="E2269" i="1" s="1"/>
  <c r="A2256" i="2"/>
  <c r="B2256" i="2"/>
  <c r="C2256" i="2" s="1"/>
  <c r="F2256" i="2" s="1"/>
  <c r="G2256" i="2" s="1"/>
  <c r="E2261" i="1" s="1"/>
  <c r="A2248" i="2"/>
  <c r="B2248" i="2"/>
  <c r="C2248" i="2" s="1"/>
  <c r="F2248" i="2" s="1"/>
  <c r="G2248" i="2" s="1"/>
  <c r="E2253" i="1" s="1"/>
  <c r="A2240" i="2"/>
  <c r="B2240" i="2"/>
  <c r="C2240" i="2" s="1"/>
  <c r="F2240" i="2" s="1"/>
  <c r="G2240" i="2" s="1"/>
  <c r="E2245" i="1" s="1"/>
  <c r="A2232" i="2"/>
  <c r="B2232" i="2"/>
  <c r="C2232" i="2" s="1"/>
  <c r="F2232" i="2" s="1"/>
  <c r="G2232" i="2" s="1"/>
  <c r="E2237" i="1" s="1"/>
  <c r="A2224" i="2"/>
  <c r="B2224" i="2"/>
  <c r="C2224" i="2" s="1"/>
  <c r="F2224" i="2" s="1"/>
  <c r="G2224" i="2" s="1"/>
  <c r="E2229" i="1" s="1"/>
  <c r="A2216" i="2"/>
  <c r="B2216" i="2"/>
  <c r="C2216" i="2" s="1"/>
  <c r="F2216" i="2" s="1"/>
  <c r="G2216" i="2" s="1"/>
  <c r="E2221" i="1" s="1"/>
  <c r="A2208" i="2"/>
  <c r="B2208" i="2"/>
  <c r="C2208" i="2" s="1"/>
  <c r="F2208" i="2" s="1"/>
  <c r="G2208" i="2" s="1"/>
  <c r="E2213" i="1" s="1"/>
  <c r="A2200" i="2"/>
  <c r="B2200" i="2"/>
  <c r="C2200" i="2" s="1"/>
  <c r="F2200" i="2" s="1"/>
  <c r="G2200" i="2" s="1"/>
  <c r="E2205" i="1" s="1"/>
  <c r="A2192" i="2"/>
  <c r="B2192" i="2"/>
  <c r="C2192" i="2" s="1"/>
  <c r="F2192" i="2" s="1"/>
  <c r="G2192" i="2" s="1"/>
  <c r="E2197" i="1" s="1"/>
  <c r="A2184" i="2"/>
  <c r="B2184" i="2"/>
  <c r="C2184" i="2" s="1"/>
  <c r="F2184" i="2" s="1"/>
  <c r="G2184" i="2" s="1"/>
  <c r="E2189" i="1" s="1"/>
  <c r="A2176" i="2"/>
  <c r="B2176" i="2"/>
  <c r="C2176" i="2" s="1"/>
  <c r="F2176" i="2" s="1"/>
  <c r="G2176" i="2" s="1"/>
  <c r="E2181" i="1" s="1"/>
  <c r="A2168" i="2"/>
  <c r="B2168" i="2"/>
  <c r="C2168" i="2" s="1"/>
  <c r="F2168" i="2" s="1"/>
  <c r="G2168" i="2" s="1"/>
  <c r="E2173" i="1" s="1"/>
  <c r="A2160" i="2"/>
  <c r="B2160" i="2"/>
  <c r="C2160" i="2" s="1"/>
  <c r="F2160" i="2" s="1"/>
  <c r="G2160" i="2" s="1"/>
  <c r="E2165" i="1" s="1"/>
  <c r="A2152" i="2"/>
  <c r="B2152" i="2"/>
  <c r="C2152" i="2" s="1"/>
  <c r="F2152" i="2" s="1"/>
  <c r="G2152" i="2" s="1"/>
  <c r="E2157" i="1" s="1"/>
  <c r="A2144" i="2"/>
  <c r="B2144" i="2"/>
  <c r="C2144" i="2" s="1"/>
  <c r="F2144" i="2" s="1"/>
  <c r="G2144" i="2" s="1"/>
  <c r="E2149" i="1" s="1"/>
  <c r="A2136" i="2"/>
  <c r="B2136" i="2"/>
  <c r="C2136" i="2" s="1"/>
  <c r="F2136" i="2" s="1"/>
  <c r="G2136" i="2" s="1"/>
  <c r="E2141" i="1" s="1"/>
  <c r="A2128" i="2"/>
  <c r="B2128" i="2"/>
  <c r="C2128" i="2" s="1"/>
  <c r="F2128" i="2" s="1"/>
  <c r="G2128" i="2" s="1"/>
  <c r="E2133" i="1" s="1"/>
  <c r="A2120" i="2"/>
  <c r="B2120" i="2"/>
  <c r="C2120" i="2" s="1"/>
  <c r="F2120" i="2" s="1"/>
  <c r="G2120" i="2" s="1"/>
  <c r="E2125" i="1" s="1"/>
  <c r="A2112" i="2"/>
  <c r="B2112" i="2"/>
  <c r="C2112" i="2" s="1"/>
  <c r="F2112" i="2" s="1"/>
  <c r="G2112" i="2" s="1"/>
  <c r="E2117" i="1" s="1"/>
  <c r="A2104" i="2"/>
  <c r="B2104" i="2"/>
  <c r="C2104" i="2" s="1"/>
  <c r="F2104" i="2" s="1"/>
  <c r="G2104" i="2" s="1"/>
  <c r="E2109" i="1" s="1"/>
  <c r="A2096" i="2"/>
  <c r="B2096" i="2"/>
  <c r="C2096" i="2" s="1"/>
  <c r="F2096" i="2" s="1"/>
  <c r="G2096" i="2" s="1"/>
  <c r="E2101" i="1" s="1"/>
  <c r="A2088" i="2"/>
  <c r="B2088" i="2"/>
  <c r="C2088" i="2" s="1"/>
  <c r="F2088" i="2" s="1"/>
  <c r="G2088" i="2" s="1"/>
  <c r="E2093" i="1" s="1"/>
  <c r="A2080" i="2"/>
  <c r="B2080" i="2"/>
  <c r="C2080" i="2" s="1"/>
  <c r="F2080" i="2" s="1"/>
  <c r="G2080" i="2" s="1"/>
  <c r="E2085" i="1" s="1"/>
  <c r="A2072" i="2"/>
  <c r="B2072" i="2"/>
  <c r="C2072" i="2" s="1"/>
  <c r="F2072" i="2" s="1"/>
  <c r="G2072" i="2" s="1"/>
  <c r="E2077" i="1" s="1"/>
  <c r="A2064" i="2"/>
  <c r="B2064" i="2"/>
  <c r="C2064" i="2" s="1"/>
  <c r="F2064" i="2" s="1"/>
  <c r="G2064" i="2" s="1"/>
  <c r="E2069" i="1" s="1"/>
  <c r="A2056" i="2"/>
  <c r="B2056" i="2"/>
  <c r="C2056" i="2" s="1"/>
  <c r="F2056" i="2" s="1"/>
  <c r="G2056" i="2" s="1"/>
  <c r="E2061" i="1" s="1"/>
  <c r="A2048" i="2"/>
  <c r="B2048" i="2"/>
  <c r="C2048" i="2" s="1"/>
  <c r="F2048" i="2" s="1"/>
  <c r="G2048" i="2" s="1"/>
  <c r="E2053" i="1" s="1"/>
  <c r="A2040" i="2"/>
  <c r="B2040" i="2"/>
  <c r="C2040" i="2" s="1"/>
  <c r="F2040" i="2" s="1"/>
  <c r="G2040" i="2" s="1"/>
  <c r="E2045" i="1" s="1"/>
  <c r="A2032" i="2"/>
  <c r="B2032" i="2"/>
  <c r="C2032" i="2" s="1"/>
  <c r="F2032" i="2" s="1"/>
  <c r="G2032" i="2" s="1"/>
  <c r="E2037" i="1" s="1"/>
  <c r="A2024" i="2"/>
  <c r="B2024" i="2"/>
  <c r="C2024" i="2" s="1"/>
  <c r="F2024" i="2" s="1"/>
  <c r="G2024" i="2" s="1"/>
  <c r="E2029" i="1" s="1"/>
  <c r="A2016" i="2"/>
  <c r="B2016" i="2"/>
  <c r="C2016" i="2" s="1"/>
  <c r="F2016" i="2" s="1"/>
  <c r="G2016" i="2" s="1"/>
  <c r="E2021" i="1" s="1"/>
  <c r="A2008" i="2"/>
  <c r="B2008" i="2"/>
  <c r="C2008" i="2" s="1"/>
  <c r="F2008" i="2" s="1"/>
  <c r="G2008" i="2" s="1"/>
  <c r="E2013" i="1" s="1"/>
  <c r="A2000" i="2"/>
  <c r="B2000" i="2"/>
  <c r="C2000" i="2" s="1"/>
  <c r="F2000" i="2" s="1"/>
  <c r="G2000" i="2" s="1"/>
  <c r="E2005" i="1" s="1"/>
  <c r="A1992" i="2"/>
  <c r="B1992" i="2"/>
  <c r="C1992" i="2" s="1"/>
  <c r="F1992" i="2" s="1"/>
  <c r="G1992" i="2" s="1"/>
  <c r="E1997" i="1" s="1"/>
  <c r="A1984" i="2"/>
  <c r="B1984" i="2"/>
  <c r="C1984" i="2" s="1"/>
  <c r="F1984" i="2" s="1"/>
  <c r="G1984" i="2" s="1"/>
  <c r="E1989" i="1" s="1"/>
  <c r="A1976" i="2"/>
  <c r="B1976" i="2"/>
  <c r="C1976" i="2" s="1"/>
  <c r="F1976" i="2" s="1"/>
  <c r="G1976" i="2" s="1"/>
  <c r="E1981" i="1" s="1"/>
  <c r="A1968" i="2"/>
  <c r="B1968" i="2"/>
  <c r="C1968" i="2" s="1"/>
  <c r="F1968" i="2" s="1"/>
  <c r="G1968" i="2" s="1"/>
  <c r="E1973" i="1" s="1"/>
  <c r="A1960" i="2"/>
  <c r="B1960" i="2"/>
  <c r="C1960" i="2" s="1"/>
  <c r="F1960" i="2" s="1"/>
  <c r="G1960" i="2" s="1"/>
  <c r="E1965" i="1" s="1"/>
  <c r="A1952" i="2"/>
  <c r="B1952" i="2"/>
  <c r="C1952" i="2" s="1"/>
  <c r="F1952" i="2" s="1"/>
  <c r="G1952" i="2" s="1"/>
  <c r="E1957" i="1" s="1"/>
  <c r="A1944" i="2"/>
  <c r="B1944" i="2"/>
  <c r="C1944" i="2" s="1"/>
  <c r="F1944" i="2" s="1"/>
  <c r="G1944" i="2" s="1"/>
  <c r="E1949" i="1" s="1"/>
  <c r="A1936" i="2"/>
  <c r="B1936" i="2"/>
  <c r="C1936" i="2" s="1"/>
  <c r="F1936" i="2" s="1"/>
  <c r="G1936" i="2" s="1"/>
  <c r="E1941" i="1" s="1"/>
  <c r="A1928" i="2"/>
  <c r="B1928" i="2"/>
  <c r="C1928" i="2" s="1"/>
  <c r="F1928" i="2" s="1"/>
  <c r="G1928" i="2" s="1"/>
  <c r="E1933" i="1" s="1"/>
  <c r="A1920" i="2"/>
  <c r="B1920" i="2"/>
  <c r="C1920" i="2" s="1"/>
  <c r="F1920" i="2" s="1"/>
  <c r="G1920" i="2" s="1"/>
  <c r="E1925" i="1" s="1"/>
  <c r="A1912" i="2"/>
  <c r="B1912" i="2"/>
  <c r="C1912" i="2" s="1"/>
  <c r="F1912" i="2" s="1"/>
  <c r="G1912" i="2" s="1"/>
  <c r="E1917" i="1" s="1"/>
  <c r="A1904" i="2"/>
  <c r="B1904" i="2"/>
  <c r="C1904" i="2" s="1"/>
  <c r="F1904" i="2" s="1"/>
  <c r="G1904" i="2" s="1"/>
  <c r="E1909" i="1" s="1"/>
  <c r="A1896" i="2"/>
  <c r="B1896" i="2"/>
  <c r="C1896" i="2" s="1"/>
  <c r="F1896" i="2" s="1"/>
  <c r="G1896" i="2" s="1"/>
  <c r="E1901" i="1" s="1"/>
  <c r="A1888" i="2"/>
  <c r="B1888" i="2"/>
  <c r="C1888" i="2" s="1"/>
  <c r="F1888" i="2" s="1"/>
  <c r="G1888" i="2" s="1"/>
  <c r="E1893" i="1" s="1"/>
  <c r="A1880" i="2"/>
  <c r="B1880" i="2"/>
  <c r="C1880" i="2" s="1"/>
  <c r="F1880" i="2" s="1"/>
  <c r="G1880" i="2" s="1"/>
  <c r="E1885" i="1" s="1"/>
  <c r="A1872" i="2"/>
  <c r="B1872" i="2"/>
  <c r="C1872" i="2" s="1"/>
  <c r="F1872" i="2" s="1"/>
  <c r="G1872" i="2" s="1"/>
  <c r="E1877" i="1" s="1"/>
  <c r="A1864" i="2"/>
  <c r="B1864" i="2"/>
  <c r="C1864" i="2" s="1"/>
  <c r="F1864" i="2" s="1"/>
  <c r="G1864" i="2" s="1"/>
  <c r="E1869" i="1" s="1"/>
  <c r="A1856" i="2"/>
  <c r="B1856" i="2"/>
  <c r="C1856" i="2" s="1"/>
  <c r="F1856" i="2" s="1"/>
  <c r="G1856" i="2" s="1"/>
  <c r="E1861" i="1" s="1"/>
  <c r="A1848" i="2"/>
  <c r="B1848" i="2"/>
  <c r="C1848" i="2" s="1"/>
  <c r="F1848" i="2" s="1"/>
  <c r="G1848" i="2" s="1"/>
  <c r="E1853" i="1" s="1"/>
  <c r="A1840" i="2"/>
  <c r="B1840" i="2"/>
  <c r="C1840" i="2" s="1"/>
  <c r="F1840" i="2" s="1"/>
  <c r="G1840" i="2" s="1"/>
  <c r="E1845" i="1" s="1"/>
  <c r="A1832" i="2"/>
  <c r="B1832" i="2"/>
  <c r="C1832" i="2" s="1"/>
  <c r="F1832" i="2" s="1"/>
  <c r="G1832" i="2" s="1"/>
  <c r="E1837" i="1" s="1"/>
  <c r="A1824" i="2"/>
  <c r="B1824" i="2"/>
  <c r="C1824" i="2" s="1"/>
  <c r="F1824" i="2" s="1"/>
  <c r="G1824" i="2" s="1"/>
  <c r="E1829" i="1" s="1"/>
  <c r="A1816" i="2"/>
  <c r="B1816" i="2"/>
  <c r="C1816" i="2" s="1"/>
  <c r="F1816" i="2" s="1"/>
  <c r="G1816" i="2" s="1"/>
  <c r="E1821" i="1" s="1"/>
  <c r="A1808" i="2"/>
  <c r="B1808" i="2"/>
  <c r="C1808" i="2" s="1"/>
  <c r="F1808" i="2" s="1"/>
  <c r="G1808" i="2" s="1"/>
  <c r="E1813" i="1" s="1"/>
  <c r="A1800" i="2"/>
  <c r="B1800" i="2"/>
  <c r="C1800" i="2" s="1"/>
  <c r="F1800" i="2" s="1"/>
  <c r="G1800" i="2" s="1"/>
  <c r="E1805" i="1" s="1"/>
  <c r="A1792" i="2"/>
  <c r="B1792" i="2"/>
  <c r="C1792" i="2" s="1"/>
  <c r="F1792" i="2" s="1"/>
  <c r="G1792" i="2" s="1"/>
  <c r="E1797" i="1" s="1"/>
  <c r="A1784" i="2"/>
  <c r="B1784" i="2"/>
  <c r="C1784" i="2" s="1"/>
  <c r="F1784" i="2" s="1"/>
  <c r="G1784" i="2" s="1"/>
  <c r="E1789" i="1" s="1"/>
  <c r="A1776" i="2"/>
  <c r="B1776" i="2"/>
  <c r="C1776" i="2" s="1"/>
  <c r="F1776" i="2" s="1"/>
  <c r="G1776" i="2" s="1"/>
  <c r="E1781" i="1" s="1"/>
  <c r="A1768" i="2"/>
  <c r="B1768" i="2"/>
  <c r="C1768" i="2" s="1"/>
  <c r="F1768" i="2" s="1"/>
  <c r="G1768" i="2" s="1"/>
  <c r="E1773" i="1" s="1"/>
  <c r="A1760" i="2"/>
  <c r="B1760" i="2"/>
  <c r="C1760" i="2" s="1"/>
  <c r="F1760" i="2" s="1"/>
  <c r="G1760" i="2" s="1"/>
  <c r="E1765" i="1" s="1"/>
  <c r="A1752" i="2"/>
  <c r="B1752" i="2"/>
  <c r="C1752" i="2" s="1"/>
  <c r="F1752" i="2" s="1"/>
  <c r="G1752" i="2" s="1"/>
  <c r="E1757" i="1" s="1"/>
  <c r="A1744" i="2"/>
  <c r="B1744" i="2"/>
  <c r="C1744" i="2" s="1"/>
  <c r="F1744" i="2" s="1"/>
  <c r="G1744" i="2" s="1"/>
  <c r="E1749" i="1" s="1"/>
  <c r="A1736" i="2"/>
  <c r="B1736" i="2"/>
  <c r="C1736" i="2" s="1"/>
  <c r="F1736" i="2" s="1"/>
  <c r="G1736" i="2" s="1"/>
  <c r="E1741" i="1" s="1"/>
  <c r="A1728" i="2"/>
  <c r="B1728" i="2"/>
  <c r="C1728" i="2" s="1"/>
  <c r="F1728" i="2" s="1"/>
  <c r="G1728" i="2" s="1"/>
  <c r="E1733" i="1" s="1"/>
  <c r="A1720" i="2"/>
  <c r="B1720" i="2"/>
  <c r="C1720" i="2" s="1"/>
  <c r="F1720" i="2" s="1"/>
  <c r="G1720" i="2" s="1"/>
  <c r="E1725" i="1" s="1"/>
  <c r="A1712" i="2"/>
  <c r="B1712" i="2"/>
  <c r="C1712" i="2" s="1"/>
  <c r="F1712" i="2" s="1"/>
  <c r="G1712" i="2" s="1"/>
  <c r="E1717" i="1" s="1"/>
  <c r="A1704" i="2"/>
  <c r="B1704" i="2"/>
  <c r="C1704" i="2" s="1"/>
  <c r="F1704" i="2" s="1"/>
  <c r="G1704" i="2" s="1"/>
  <c r="E1709" i="1" s="1"/>
  <c r="A1696" i="2"/>
  <c r="B1696" i="2"/>
  <c r="C1696" i="2" s="1"/>
  <c r="F1696" i="2" s="1"/>
  <c r="G1696" i="2" s="1"/>
  <c r="E1701" i="1" s="1"/>
  <c r="A1688" i="2"/>
  <c r="B1688" i="2"/>
  <c r="C1688" i="2" s="1"/>
  <c r="F1688" i="2" s="1"/>
  <c r="G1688" i="2" s="1"/>
  <c r="E1693" i="1" s="1"/>
  <c r="A1680" i="2"/>
  <c r="B1680" i="2"/>
  <c r="C1680" i="2" s="1"/>
  <c r="F1680" i="2" s="1"/>
  <c r="G1680" i="2" s="1"/>
  <c r="E1685" i="1" s="1"/>
  <c r="A1672" i="2"/>
  <c r="B1672" i="2"/>
  <c r="C1672" i="2" s="1"/>
  <c r="F1672" i="2" s="1"/>
  <c r="G1672" i="2" s="1"/>
  <c r="E1677" i="1" s="1"/>
  <c r="A1664" i="2"/>
  <c r="B1664" i="2"/>
  <c r="C1664" i="2" s="1"/>
  <c r="F1664" i="2" s="1"/>
  <c r="G1664" i="2" s="1"/>
  <c r="E1669" i="1" s="1"/>
  <c r="A1656" i="2"/>
  <c r="B1656" i="2"/>
  <c r="C1656" i="2" s="1"/>
  <c r="F1656" i="2" s="1"/>
  <c r="G1656" i="2" s="1"/>
  <c r="E1661" i="1" s="1"/>
  <c r="A1648" i="2"/>
  <c r="B1648" i="2"/>
  <c r="C1648" i="2" s="1"/>
  <c r="F1648" i="2" s="1"/>
  <c r="G1648" i="2" s="1"/>
  <c r="E1653" i="1" s="1"/>
  <c r="A1640" i="2"/>
  <c r="B1640" i="2"/>
  <c r="C1640" i="2" s="1"/>
  <c r="F1640" i="2" s="1"/>
  <c r="G1640" i="2" s="1"/>
  <c r="E1645" i="1" s="1"/>
  <c r="A1632" i="2"/>
  <c r="B1632" i="2"/>
  <c r="C1632" i="2" s="1"/>
  <c r="F1632" i="2" s="1"/>
  <c r="G1632" i="2" s="1"/>
  <c r="E1637" i="1" s="1"/>
  <c r="A1624" i="2"/>
  <c r="B1624" i="2"/>
  <c r="C1624" i="2" s="1"/>
  <c r="F1624" i="2" s="1"/>
  <c r="G1624" i="2" s="1"/>
  <c r="E1629" i="1" s="1"/>
  <c r="A1616" i="2"/>
  <c r="B1616" i="2"/>
  <c r="C1616" i="2" s="1"/>
  <c r="F1616" i="2" s="1"/>
  <c r="G1616" i="2" s="1"/>
  <c r="E1621" i="1" s="1"/>
  <c r="A1608" i="2"/>
  <c r="B1608" i="2"/>
  <c r="C1608" i="2" s="1"/>
  <c r="F1608" i="2" s="1"/>
  <c r="G1608" i="2" s="1"/>
  <c r="E1613" i="1" s="1"/>
  <c r="A1600" i="2"/>
  <c r="B1600" i="2"/>
  <c r="C1600" i="2" s="1"/>
  <c r="F1600" i="2" s="1"/>
  <c r="G1600" i="2" s="1"/>
  <c r="E1605" i="1" s="1"/>
  <c r="A1592" i="2"/>
  <c r="B1592" i="2"/>
  <c r="C1592" i="2" s="1"/>
  <c r="F1592" i="2" s="1"/>
  <c r="G1592" i="2" s="1"/>
  <c r="E1597" i="1" s="1"/>
  <c r="A1584" i="2"/>
  <c r="B1584" i="2"/>
  <c r="C1584" i="2" s="1"/>
  <c r="F1584" i="2" s="1"/>
  <c r="G1584" i="2" s="1"/>
  <c r="E1589" i="1" s="1"/>
  <c r="A1576" i="2"/>
  <c r="B1576" i="2"/>
  <c r="C1576" i="2" s="1"/>
  <c r="F1576" i="2" s="1"/>
  <c r="G1576" i="2" s="1"/>
  <c r="E1581" i="1" s="1"/>
  <c r="A1568" i="2"/>
  <c r="B1568" i="2"/>
  <c r="C1568" i="2" s="1"/>
  <c r="F1568" i="2" s="1"/>
  <c r="G1568" i="2" s="1"/>
  <c r="E1573" i="1" s="1"/>
  <c r="A1560" i="2"/>
  <c r="B1560" i="2"/>
  <c r="C1560" i="2" s="1"/>
  <c r="F1560" i="2" s="1"/>
  <c r="G1560" i="2" s="1"/>
  <c r="E1565" i="1" s="1"/>
  <c r="A1552" i="2"/>
  <c r="B1552" i="2"/>
  <c r="C1552" i="2" s="1"/>
  <c r="F1552" i="2" s="1"/>
  <c r="G1552" i="2" s="1"/>
  <c r="E1557" i="1" s="1"/>
  <c r="A1544" i="2"/>
  <c r="B1544" i="2"/>
  <c r="C1544" i="2" s="1"/>
  <c r="F1544" i="2" s="1"/>
  <c r="G1544" i="2" s="1"/>
  <c r="E1549" i="1" s="1"/>
  <c r="A1536" i="2"/>
  <c r="B1536" i="2"/>
  <c r="C1536" i="2" s="1"/>
  <c r="F1536" i="2" s="1"/>
  <c r="G1536" i="2" s="1"/>
  <c r="E1541" i="1" s="1"/>
  <c r="A1528" i="2"/>
  <c r="B1528" i="2"/>
  <c r="C1528" i="2" s="1"/>
  <c r="F1528" i="2" s="1"/>
  <c r="G1528" i="2" s="1"/>
  <c r="E1533" i="1" s="1"/>
  <c r="A1520" i="2"/>
  <c r="B1520" i="2"/>
  <c r="C1520" i="2" s="1"/>
  <c r="F1520" i="2" s="1"/>
  <c r="G1520" i="2" s="1"/>
  <c r="E1525" i="1" s="1"/>
  <c r="A1512" i="2"/>
  <c r="B1512" i="2"/>
  <c r="C1512" i="2" s="1"/>
  <c r="F1512" i="2" s="1"/>
  <c r="G1512" i="2" s="1"/>
  <c r="E1517" i="1" s="1"/>
  <c r="A1504" i="2"/>
  <c r="B1504" i="2"/>
  <c r="C1504" i="2" s="1"/>
  <c r="F1504" i="2" s="1"/>
  <c r="G1504" i="2" s="1"/>
  <c r="E1509" i="1" s="1"/>
  <c r="A1496" i="2"/>
  <c r="B1496" i="2"/>
  <c r="C1496" i="2" s="1"/>
  <c r="F1496" i="2" s="1"/>
  <c r="G1496" i="2" s="1"/>
  <c r="E1501" i="1" s="1"/>
  <c r="A1488" i="2"/>
  <c r="B1488" i="2"/>
  <c r="C1488" i="2" s="1"/>
  <c r="F1488" i="2" s="1"/>
  <c r="G1488" i="2" s="1"/>
  <c r="E1493" i="1" s="1"/>
  <c r="A1480" i="2"/>
  <c r="B1480" i="2"/>
  <c r="C1480" i="2" s="1"/>
  <c r="F1480" i="2" s="1"/>
  <c r="G1480" i="2" s="1"/>
  <c r="E1485" i="1" s="1"/>
  <c r="A1472" i="2"/>
  <c r="B1472" i="2"/>
  <c r="C1472" i="2" s="1"/>
  <c r="F1472" i="2" s="1"/>
  <c r="G1472" i="2" s="1"/>
  <c r="E1477" i="1" s="1"/>
  <c r="A1464" i="2"/>
  <c r="B1464" i="2"/>
  <c r="C1464" i="2" s="1"/>
  <c r="F1464" i="2" s="1"/>
  <c r="G1464" i="2" s="1"/>
  <c r="E1469" i="1" s="1"/>
  <c r="A1456" i="2"/>
  <c r="B1456" i="2"/>
  <c r="C1456" i="2" s="1"/>
  <c r="F1456" i="2" s="1"/>
  <c r="G1456" i="2" s="1"/>
  <c r="E1461" i="1" s="1"/>
  <c r="A1448" i="2"/>
  <c r="B1448" i="2"/>
  <c r="C1448" i="2" s="1"/>
  <c r="F1448" i="2" s="1"/>
  <c r="G1448" i="2" s="1"/>
  <c r="E1453" i="1" s="1"/>
  <c r="A1440" i="2"/>
  <c r="B1440" i="2"/>
  <c r="C1440" i="2" s="1"/>
  <c r="F1440" i="2" s="1"/>
  <c r="G1440" i="2" s="1"/>
  <c r="E1445" i="1" s="1"/>
  <c r="A1432" i="2"/>
  <c r="B1432" i="2"/>
  <c r="C1432" i="2" s="1"/>
  <c r="F1432" i="2" s="1"/>
  <c r="G1432" i="2" s="1"/>
  <c r="E1437" i="1" s="1"/>
  <c r="A1424" i="2"/>
  <c r="B1424" i="2"/>
  <c r="C1424" i="2" s="1"/>
  <c r="F1424" i="2" s="1"/>
  <c r="G1424" i="2" s="1"/>
  <c r="E1429" i="1" s="1"/>
  <c r="A1416" i="2"/>
  <c r="B1416" i="2"/>
  <c r="C1416" i="2" s="1"/>
  <c r="F1416" i="2" s="1"/>
  <c r="G1416" i="2" s="1"/>
  <c r="E1421" i="1" s="1"/>
  <c r="A1408" i="2"/>
  <c r="B1408" i="2"/>
  <c r="C1408" i="2" s="1"/>
  <c r="F1408" i="2" s="1"/>
  <c r="G1408" i="2" s="1"/>
  <c r="E1413" i="1" s="1"/>
  <c r="A1400" i="2"/>
  <c r="B1400" i="2"/>
  <c r="C1400" i="2" s="1"/>
  <c r="F1400" i="2" s="1"/>
  <c r="G1400" i="2" s="1"/>
  <c r="E1405" i="1" s="1"/>
  <c r="A1392" i="2"/>
  <c r="B1392" i="2"/>
  <c r="C1392" i="2" s="1"/>
  <c r="F1392" i="2" s="1"/>
  <c r="G1392" i="2" s="1"/>
  <c r="E1397" i="1" s="1"/>
  <c r="A1384" i="2"/>
  <c r="B1384" i="2"/>
  <c r="C1384" i="2" s="1"/>
  <c r="F1384" i="2" s="1"/>
  <c r="G1384" i="2" s="1"/>
  <c r="E1389" i="1" s="1"/>
  <c r="A1376" i="2"/>
  <c r="B1376" i="2"/>
  <c r="C1376" i="2" s="1"/>
  <c r="F1376" i="2" s="1"/>
  <c r="G1376" i="2" s="1"/>
  <c r="E1381" i="1" s="1"/>
  <c r="A1368" i="2"/>
  <c r="B1368" i="2"/>
  <c r="C1368" i="2" s="1"/>
  <c r="F1368" i="2" s="1"/>
  <c r="G1368" i="2" s="1"/>
  <c r="E1373" i="1" s="1"/>
  <c r="A1360" i="2"/>
  <c r="B1360" i="2"/>
  <c r="C1360" i="2" s="1"/>
  <c r="F1360" i="2" s="1"/>
  <c r="G1360" i="2" s="1"/>
  <c r="E1365" i="1" s="1"/>
  <c r="A1352" i="2"/>
  <c r="B1352" i="2"/>
  <c r="C1352" i="2" s="1"/>
  <c r="F1352" i="2" s="1"/>
  <c r="G1352" i="2" s="1"/>
  <c r="E1357" i="1" s="1"/>
  <c r="A1344" i="2"/>
  <c r="B1344" i="2"/>
  <c r="C1344" i="2" s="1"/>
  <c r="F1344" i="2" s="1"/>
  <c r="G1344" i="2" s="1"/>
  <c r="E1349" i="1" s="1"/>
  <c r="A1336" i="2"/>
  <c r="B1336" i="2"/>
  <c r="C1336" i="2" s="1"/>
  <c r="F1336" i="2" s="1"/>
  <c r="G1336" i="2" s="1"/>
  <c r="E1341" i="1" s="1"/>
  <c r="A1328" i="2"/>
  <c r="B1328" i="2"/>
  <c r="C1328" i="2" s="1"/>
  <c r="F1328" i="2" s="1"/>
  <c r="G1328" i="2" s="1"/>
  <c r="E1333" i="1" s="1"/>
  <c r="A1320" i="2"/>
  <c r="B1320" i="2"/>
  <c r="C1320" i="2" s="1"/>
  <c r="F1320" i="2" s="1"/>
  <c r="G1320" i="2" s="1"/>
  <c r="E1325" i="1" s="1"/>
  <c r="A1312" i="2"/>
  <c r="B1312" i="2"/>
  <c r="C1312" i="2" s="1"/>
  <c r="F1312" i="2" s="1"/>
  <c r="G1312" i="2" s="1"/>
  <c r="E1317" i="1" s="1"/>
  <c r="A1304" i="2"/>
  <c r="B1304" i="2"/>
  <c r="C1304" i="2" s="1"/>
  <c r="F1304" i="2" s="1"/>
  <c r="G1304" i="2" s="1"/>
  <c r="E1309" i="1" s="1"/>
  <c r="A1296" i="2"/>
  <c r="B1296" i="2"/>
  <c r="C1296" i="2" s="1"/>
  <c r="F1296" i="2" s="1"/>
  <c r="G1296" i="2" s="1"/>
  <c r="E1301" i="1" s="1"/>
  <c r="A1288" i="2"/>
  <c r="B1288" i="2"/>
  <c r="C1288" i="2" s="1"/>
  <c r="F1288" i="2" s="1"/>
  <c r="G1288" i="2" s="1"/>
  <c r="E1293" i="1" s="1"/>
  <c r="A1280" i="2"/>
  <c r="B1280" i="2"/>
  <c r="C1280" i="2" s="1"/>
  <c r="F1280" i="2" s="1"/>
  <c r="G1280" i="2" s="1"/>
  <c r="E1285" i="1" s="1"/>
  <c r="A1272" i="2"/>
  <c r="B1272" i="2"/>
  <c r="C1272" i="2" s="1"/>
  <c r="F1272" i="2" s="1"/>
  <c r="G1272" i="2" s="1"/>
  <c r="E1277" i="1" s="1"/>
  <c r="A1264" i="2"/>
  <c r="B1264" i="2"/>
  <c r="C1264" i="2" s="1"/>
  <c r="F1264" i="2" s="1"/>
  <c r="G1264" i="2" s="1"/>
  <c r="E1269" i="1" s="1"/>
  <c r="A1256" i="2"/>
  <c r="B1256" i="2"/>
  <c r="C1256" i="2" s="1"/>
  <c r="F1256" i="2" s="1"/>
  <c r="G1256" i="2" s="1"/>
  <c r="E1261" i="1" s="1"/>
  <c r="A1248" i="2"/>
  <c r="B1248" i="2"/>
  <c r="C1248" i="2" s="1"/>
  <c r="F1248" i="2" s="1"/>
  <c r="G1248" i="2" s="1"/>
  <c r="E1253" i="1" s="1"/>
  <c r="A1240" i="2"/>
  <c r="B1240" i="2"/>
  <c r="C1240" i="2" s="1"/>
  <c r="F1240" i="2" s="1"/>
  <c r="G1240" i="2" s="1"/>
  <c r="E1245" i="1" s="1"/>
  <c r="A1232" i="2"/>
  <c r="B1232" i="2"/>
  <c r="C1232" i="2" s="1"/>
  <c r="F1232" i="2" s="1"/>
  <c r="G1232" i="2" s="1"/>
  <c r="E1237" i="1" s="1"/>
  <c r="A1224" i="2"/>
  <c r="B1224" i="2"/>
  <c r="C1224" i="2" s="1"/>
  <c r="F1224" i="2" s="1"/>
  <c r="G1224" i="2" s="1"/>
  <c r="E1229" i="1" s="1"/>
  <c r="A1216" i="2"/>
  <c r="B1216" i="2"/>
  <c r="C1216" i="2" s="1"/>
  <c r="F1216" i="2" s="1"/>
  <c r="G1216" i="2" s="1"/>
  <c r="E1221" i="1" s="1"/>
  <c r="A1208" i="2"/>
  <c r="B1208" i="2"/>
  <c r="C1208" i="2" s="1"/>
  <c r="F1208" i="2" s="1"/>
  <c r="G1208" i="2" s="1"/>
  <c r="E1213" i="1" s="1"/>
  <c r="A1200" i="2"/>
  <c r="B1200" i="2"/>
  <c r="C1200" i="2" s="1"/>
  <c r="F1200" i="2" s="1"/>
  <c r="G1200" i="2" s="1"/>
  <c r="E1205" i="1" s="1"/>
  <c r="A1192" i="2"/>
  <c r="B1192" i="2"/>
  <c r="C1192" i="2" s="1"/>
  <c r="F1192" i="2" s="1"/>
  <c r="G1192" i="2" s="1"/>
  <c r="E1197" i="1" s="1"/>
  <c r="A1184" i="2"/>
  <c r="B1184" i="2"/>
  <c r="C1184" i="2" s="1"/>
  <c r="F1184" i="2" s="1"/>
  <c r="G1184" i="2" s="1"/>
  <c r="E1189" i="1" s="1"/>
  <c r="A1176" i="2"/>
  <c r="B1176" i="2"/>
  <c r="C1176" i="2" s="1"/>
  <c r="F1176" i="2" s="1"/>
  <c r="G1176" i="2" s="1"/>
  <c r="E1181" i="1" s="1"/>
  <c r="A1168" i="2"/>
  <c r="B1168" i="2"/>
  <c r="C1168" i="2" s="1"/>
  <c r="F1168" i="2" s="1"/>
  <c r="G1168" i="2" s="1"/>
  <c r="E1173" i="1" s="1"/>
  <c r="A1160" i="2"/>
  <c r="B1160" i="2"/>
  <c r="C1160" i="2" s="1"/>
  <c r="F1160" i="2" s="1"/>
  <c r="G1160" i="2" s="1"/>
  <c r="E1165" i="1" s="1"/>
  <c r="A1152" i="2"/>
  <c r="B1152" i="2"/>
  <c r="C1152" i="2" s="1"/>
  <c r="F1152" i="2" s="1"/>
  <c r="G1152" i="2" s="1"/>
  <c r="E1157" i="1" s="1"/>
  <c r="A1144" i="2"/>
  <c r="B1144" i="2"/>
  <c r="C1144" i="2" s="1"/>
  <c r="F1144" i="2" s="1"/>
  <c r="G1144" i="2" s="1"/>
  <c r="E1149" i="1" s="1"/>
  <c r="A1136" i="2"/>
  <c r="B1136" i="2"/>
  <c r="C1136" i="2" s="1"/>
  <c r="F1136" i="2" s="1"/>
  <c r="G1136" i="2" s="1"/>
  <c r="E1141" i="1" s="1"/>
  <c r="A1128" i="2"/>
  <c r="B1128" i="2"/>
  <c r="C1128" i="2" s="1"/>
  <c r="F1128" i="2" s="1"/>
  <c r="G1128" i="2" s="1"/>
  <c r="E1133" i="1" s="1"/>
  <c r="A1120" i="2"/>
  <c r="B1120" i="2"/>
  <c r="C1120" i="2" s="1"/>
  <c r="F1120" i="2" s="1"/>
  <c r="G1120" i="2" s="1"/>
  <c r="E1125" i="1" s="1"/>
  <c r="A1112" i="2"/>
  <c r="B1112" i="2"/>
  <c r="C1112" i="2" s="1"/>
  <c r="F1112" i="2" s="1"/>
  <c r="G1112" i="2" s="1"/>
  <c r="E1117" i="1" s="1"/>
  <c r="A1104" i="2"/>
  <c r="B1104" i="2"/>
  <c r="C1104" i="2" s="1"/>
  <c r="F1104" i="2" s="1"/>
  <c r="G1104" i="2" s="1"/>
  <c r="E1109" i="1" s="1"/>
  <c r="A1096" i="2"/>
  <c r="B1096" i="2"/>
  <c r="C1096" i="2" s="1"/>
  <c r="F1096" i="2" s="1"/>
  <c r="G1096" i="2" s="1"/>
  <c r="E1101" i="1" s="1"/>
  <c r="A1088" i="2"/>
  <c r="B1088" i="2"/>
  <c r="C1088" i="2" s="1"/>
  <c r="F1088" i="2" s="1"/>
  <c r="G1088" i="2" s="1"/>
  <c r="E1093" i="1" s="1"/>
  <c r="A1080" i="2"/>
  <c r="B1080" i="2"/>
  <c r="C1080" i="2" s="1"/>
  <c r="F1080" i="2" s="1"/>
  <c r="G1080" i="2" s="1"/>
  <c r="E1085" i="1" s="1"/>
  <c r="A1072" i="2"/>
  <c r="B1072" i="2"/>
  <c r="C1072" i="2" s="1"/>
  <c r="F1072" i="2" s="1"/>
  <c r="G1072" i="2" s="1"/>
  <c r="E1077" i="1" s="1"/>
  <c r="A1064" i="2"/>
  <c r="B1064" i="2"/>
  <c r="C1064" i="2" s="1"/>
  <c r="F1064" i="2" s="1"/>
  <c r="G1064" i="2" s="1"/>
  <c r="E1069" i="1" s="1"/>
  <c r="A1056" i="2"/>
  <c r="B1056" i="2"/>
  <c r="C1056" i="2" s="1"/>
  <c r="F1056" i="2" s="1"/>
  <c r="G1056" i="2" s="1"/>
  <c r="E1061" i="1" s="1"/>
  <c r="A1048" i="2"/>
  <c r="B1048" i="2"/>
  <c r="C1048" i="2" s="1"/>
  <c r="F1048" i="2" s="1"/>
  <c r="G1048" i="2" s="1"/>
  <c r="E1053" i="1" s="1"/>
  <c r="A1040" i="2"/>
  <c r="B1040" i="2"/>
  <c r="C1040" i="2" s="1"/>
  <c r="F1040" i="2" s="1"/>
  <c r="G1040" i="2" s="1"/>
  <c r="E1045" i="1" s="1"/>
  <c r="A1032" i="2"/>
  <c r="B1032" i="2"/>
  <c r="C1032" i="2" s="1"/>
  <c r="F1032" i="2" s="1"/>
  <c r="G1032" i="2" s="1"/>
  <c r="E1037" i="1" s="1"/>
  <c r="A1024" i="2"/>
  <c r="B1024" i="2"/>
  <c r="C1024" i="2" s="1"/>
  <c r="F1024" i="2" s="1"/>
  <c r="G1024" i="2" s="1"/>
  <c r="E1029" i="1" s="1"/>
  <c r="A1016" i="2"/>
  <c r="B1016" i="2"/>
  <c r="C1016" i="2" s="1"/>
  <c r="F1016" i="2" s="1"/>
  <c r="G1016" i="2" s="1"/>
  <c r="E1021" i="1" s="1"/>
  <c r="A1008" i="2"/>
  <c r="B1008" i="2"/>
  <c r="C1008" i="2" s="1"/>
  <c r="F1008" i="2" s="1"/>
  <c r="G1008" i="2" s="1"/>
  <c r="E1013" i="1" s="1"/>
  <c r="A1000" i="2"/>
  <c r="B1000" i="2"/>
  <c r="C1000" i="2" s="1"/>
  <c r="F1000" i="2" s="1"/>
  <c r="G1000" i="2" s="1"/>
  <c r="E1005" i="1" s="1"/>
  <c r="A992" i="2"/>
  <c r="B992" i="2"/>
  <c r="C992" i="2" s="1"/>
  <c r="F992" i="2" s="1"/>
  <c r="G992" i="2" s="1"/>
  <c r="E997" i="1" s="1"/>
  <c r="A984" i="2"/>
  <c r="B984" i="2"/>
  <c r="C984" i="2" s="1"/>
  <c r="F984" i="2" s="1"/>
  <c r="G984" i="2" s="1"/>
  <c r="E989" i="1" s="1"/>
  <c r="A976" i="2"/>
  <c r="B976" i="2"/>
  <c r="C976" i="2" s="1"/>
  <c r="F976" i="2" s="1"/>
  <c r="G976" i="2" s="1"/>
  <c r="E981" i="1" s="1"/>
  <c r="A968" i="2"/>
  <c r="B968" i="2"/>
  <c r="C968" i="2" s="1"/>
  <c r="F968" i="2" s="1"/>
  <c r="G968" i="2" s="1"/>
  <c r="E973" i="1" s="1"/>
  <c r="A960" i="2"/>
  <c r="B960" i="2"/>
  <c r="C960" i="2" s="1"/>
  <c r="F960" i="2" s="1"/>
  <c r="G960" i="2" s="1"/>
  <c r="E965" i="1" s="1"/>
  <c r="A952" i="2"/>
  <c r="B952" i="2"/>
  <c r="C952" i="2" s="1"/>
  <c r="F952" i="2" s="1"/>
  <c r="G952" i="2" s="1"/>
  <c r="E957" i="1" s="1"/>
  <c r="A944" i="2"/>
  <c r="B944" i="2"/>
  <c r="C944" i="2" s="1"/>
  <c r="F944" i="2" s="1"/>
  <c r="G944" i="2" s="1"/>
  <c r="E949" i="1" s="1"/>
  <c r="A936" i="2"/>
  <c r="B936" i="2"/>
  <c r="C936" i="2" s="1"/>
  <c r="F936" i="2" s="1"/>
  <c r="G936" i="2" s="1"/>
  <c r="E941" i="1" s="1"/>
  <c r="A928" i="2"/>
  <c r="B928" i="2"/>
  <c r="C928" i="2" s="1"/>
  <c r="F928" i="2" s="1"/>
  <c r="G928" i="2" s="1"/>
  <c r="E933" i="1" s="1"/>
  <c r="A920" i="2"/>
  <c r="B920" i="2"/>
  <c r="C920" i="2" s="1"/>
  <c r="F920" i="2" s="1"/>
  <c r="G920" i="2" s="1"/>
  <c r="E925" i="1" s="1"/>
  <c r="A912" i="2"/>
  <c r="B912" i="2"/>
  <c r="C912" i="2" s="1"/>
  <c r="F912" i="2" s="1"/>
  <c r="G912" i="2" s="1"/>
  <c r="E917" i="1" s="1"/>
  <c r="A904" i="2"/>
  <c r="B904" i="2"/>
  <c r="C904" i="2" s="1"/>
  <c r="F904" i="2" s="1"/>
  <c r="G904" i="2" s="1"/>
  <c r="E909" i="1" s="1"/>
  <c r="A896" i="2"/>
  <c r="B896" i="2"/>
  <c r="C896" i="2" s="1"/>
  <c r="F896" i="2" s="1"/>
  <c r="G896" i="2" s="1"/>
  <c r="E901" i="1" s="1"/>
  <c r="A888" i="2"/>
  <c r="B888" i="2"/>
  <c r="C888" i="2" s="1"/>
  <c r="F888" i="2" s="1"/>
  <c r="G888" i="2" s="1"/>
  <c r="E893" i="1" s="1"/>
  <c r="A880" i="2"/>
  <c r="B880" i="2"/>
  <c r="C880" i="2" s="1"/>
  <c r="F880" i="2" s="1"/>
  <c r="G880" i="2" s="1"/>
  <c r="E885" i="1" s="1"/>
  <c r="A872" i="2"/>
  <c r="B872" i="2"/>
  <c r="C872" i="2" s="1"/>
  <c r="F872" i="2" s="1"/>
  <c r="G872" i="2" s="1"/>
  <c r="E877" i="1" s="1"/>
  <c r="A864" i="2"/>
  <c r="B864" i="2"/>
  <c r="C864" i="2" s="1"/>
  <c r="F864" i="2" s="1"/>
  <c r="G864" i="2" s="1"/>
  <c r="E869" i="1" s="1"/>
  <c r="A856" i="2"/>
  <c r="B856" i="2"/>
  <c r="C856" i="2" s="1"/>
  <c r="F856" i="2" s="1"/>
  <c r="G856" i="2" s="1"/>
  <c r="E861" i="1" s="1"/>
  <c r="A848" i="2"/>
  <c r="B848" i="2"/>
  <c r="C848" i="2" s="1"/>
  <c r="F848" i="2" s="1"/>
  <c r="G848" i="2" s="1"/>
  <c r="E853" i="1" s="1"/>
  <c r="A840" i="2"/>
  <c r="B840" i="2"/>
  <c r="C840" i="2" s="1"/>
  <c r="F840" i="2" s="1"/>
  <c r="G840" i="2" s="1"/>
  <c r="E845" i="1" s="1"/>
  <c r="A832" i="2"/>
  <c r="B832" i="2"/>
  <c r="C832" i="2" s="1"/>
  <c r="F832" i="2" s="1"/>
  <c r="G832" i="2" s="1"/>
  <c r="E837" i="1" s="1"/>
  <c r="A824" i="2"/>
  <c r="B824" i="2"/>
  <c r="C824" i="2" s="1"/>
  <c r="F824" i="2" s="1"/>
  <c r="G824" i="2" s="1"/>
  <c r="E829" i="1" s="1"/>
  <c r="A816" i="2"/>
  <c r="B816" i="2"/>
  <c r="C816" i="2" s="1"/>
  <c r="F816" i="2" s="1"/>
  <c r="G816" i="2" s="1"/>
  <c r="E821" i="1" s="1"/>
  <c r="A808" i="2"/>
  <c r="B808" i="2"/>
  <c r="C808" i="2" s="1"/>
  <c r="F808" i="2" s="1"/>
  <c r="G808" i="2" s="1"/>
  <c r="E813" i="1" s="1"/>
  <c r="A800" i="2"/>
  <c r="B800" i="2"/>
  <c r="C800" i="2" s="1"/>
  <c r="F800" i="2" s="1"/>
  <c r="G800" i="2" s="1"/>
  <c r="E805" i="1" s="1"/>
  <c r="A792" i="2"/>
  <c r="B792" i="2"/>
  <c r="C792" i="2" s="1"/>
  <c r="F792" i="2" s="1"/>
  <c r="G792" i="2" s="1"/>
  <c r="E797" i="1" s="1"/>
  <c r="A784" i="2"/>
  <c r="B784" i="2"/>
  <c r="C784" i="2" s="1"/>
  <c r="F784" i="2" s="1"/>
  <c r="G784" i="2" s="1"/>
  <c r="E789" i="1" s="1"/>
  <c r="A776" i="2"/>
  <c r="B776" i="2"/>
  <c r="C776" i="2" s="1"/>
  <c r="F776" i="2" s="1"/>
  <c r="G776" i="2" s="1"/>
  <c r="E781" i="1" s="1"/>
  <c r="A768" i="2"/>
  <c r="B768" i="2"/>
  <c r="C768" i="2" s="1"/>
  <c r="F768" i="2" s="1"/>
  <c r="G768" i="2" s="1"/>
  <c r="E773" i="1" s="1"/>
  <c r="A760" i="2"/>
  <c r="B760" i="2"/>
  <c r="C760" i="2" s="1"/>
  <c r="F760" i="2" s="1"/>
  <c r="G760" i="2" s="1"/>
  <c r="E765" i="1" s="1"/>
  <c r="A752" i="2"/>
  <c r="B752" i="2"/>
  <c r="C752" i="2" s="1"/>
  <c r="F752" i="2" s="1"/>
  <c r="G752" i="2" s="1"/>
  <c r="E757" i="1" s="1"/>
  <c r="A744" i="2"/>
  <c r="B744" i="2"/>
  <c r="C744" i="2" s="1"/>
  <c r="F744" i="2" s="1"/>
  <c r="G744" i="2" s="1"/>
  <c r="E749" i="1" s="1"/>
  <c r="A736" i="2"/>
  <c r="B736" i="2"/>
  <c r="C736" i="2" s="1"/>
  <c r="F736" i="2" s="1"/>
  <c r="G736" i="2" s="1"/>
  <c r="E741" i="1" s="1"/>
  <c r="A728" i="2"/>
  <c r="B728" i="2"/>
  <c r="C728" i="2" s="1"/>
  <c r="F728" i="2" s="1"/>
  <c r="G728" i="2" s="1"/>
  <c r="E733" i="1" s="1"/>
  <c r="A720" i="2"/>
  <c r="B720" i="2"/>
  <c r="C720" i="2" s="1"/>
  <c r="F720" i="2" s="1"/>
  <c r="G720" i="2" s="1"/>
  <c r="E725" i="1" s="1"/>
  <c r="A712" i="2"/>
  <c r="B712" i="2"/>
  <c r="C712" i="2" s="1"/>
  <c r="F712" i="2" s="1"/>
  <c r="G712" i="2" s="1"/>
  <c r="E717" i="1" s="1"/>
  <c r="A704" i="2"/>
  <c r="B704" i="2"/>
  <c r="C704" i="2" s="1"/>
  <c r="F704" i="2" s="1"/>
  <c r="G704" i="2" s="1"/>
  <c r="E709" i="1" s="1"/>
  <c r="A696" i="2"/>
  <c r="B696" i="2"/>
  <c r="C696" i="2" s="1"/>
  <c r="F696" i="2" s="1"/>
  <c r="G696" i="2" s="1"/>
  <c r="E701" i="1" s="1"/>
  <c r="A688" i="2"/>
  <c r="B688" i="2"/>
  <c r="C688" i="2" s="1"/>
  <c r="F688" i="2" s="1"/>
  <c r="G688" i="2" s="1"/>
  <c r="E693" i="1" s="1"/>
  <c r="A680" i="2"/>
  <c r="B680" i="2"/>
  <c r="C680" i="2" s="1"/>
  <c r="F680" i="2" s="1"/>
  <c r="G680" i="2" s="1"/>
  <c r="E685" i="1" s="1"/>
  <c r="A672" i="2"/>
  <c r="B672" i="2"/>
  <c r="C672" i="2" s="1"/>
  <c r="F672" i="2" s="1"/>
  <c r="G672" i="2" s="1"/>
  <c r="E677" i="1" s="1"/>
  <c r="A664" i="2"/>
  <c r="B664" i="2"/>
  <c r="C664" i="2" s="1"/>
  <c r="F664" i="2" s="1"/>
  <c r="G664" i="2" s="1"/>
  <c r="E669" i="1" s="1"/>
  <c r="A656" i="2"/>
  <c r="B656" i="2"/>
  <c r="C656" i="2" s="1"/>
  <c r="F656" i="2" s="1"/>
  <c r="G656" i="2" s="1"/>
  <c r="E661" i="1" s="1"/>
  <c r="A648" i="2"/>
  <c r="B648" i="2"/>
  <c r="C648" i="2" s="1"/>
  <c r="F648" i="2" s="1"/>
  <c r="G648" i="2" s="1"/>
  <c r="E653" i="1" s="1"/>
  <c r="A640" i="2"/>
  <c r="B640" i="2"/>
  <c r="C640" i="2" s="1"/>
  <c r="F640" i="2" s="1"/>
  <c r="G640" i="2" s="1"/>
  <c r="E645" i="1" s="1"/>
  <c r="A632" i="2"/>
  <c r="B632" i="2"/>
  <c r="C632" i="2" s="1"/>
  <c r="F632" i="2" s="1"/>
  <c r="G632" i="2" s="1"/>
  <c r="E637" i="1" s="1"/>
  <c r="A624" i="2"/>
  <c r="B624" i="2"/>
  <c r="C624" i="2" s="1"/>
  <c r="F624" i="2" s="1"/>
  <c r="G624" i="2" s="1"/>
  <c r="E629" i="1" s="1"/>
  <c r="A616" i="2"/>
  <c r="B616" i="2"/>
  <c r="C616" i="2" s="1"/>
  <c r="F616" i="2" s="1"/>
  <c r="G616" i="2" s="1"/>
  <c r="E621" i="1" s="1"/>
  <c r="A608" i="2"/>
  <c r="B608" i="2"/>
  <c r="C608" i="2" s="1"/>
  <c r="F608" i="2" s="1"/>
  <c r="G608" i="2" s="1"/>
  <c r="E613" i="1" s="1"/>
  <c r="A600" i="2"/>
  <c r="B600" i="2"/>
  <c r="C600" i="2" s="1"/>
  <c r="F600" i="2" s="1"/>
  <c r="G600" i="2" s="1"/>
  <c r="E605" i="1" s="1"/>
  <c r="A592" i="2"/>
  <c r="B592" i="2"/>
  <c r="C592" i="2" s="1"/>
  <c r="F592" i="2" s="1"/>
  <c r="G592" i="2" s="1"/>
  <c r="E597" i="1" s="1"/>
  <c r="A584" i="2"/>
  <c r="B584" i="2"/>
  <c r="C584" i="2" s="1"/>
  <c r="F584" i="2" s="1"/>
  <c r="G584" i="2" s="1"/>
  <c r="E589" i="1" s="1"/>
  <c r="A576" i="2"/>
  <c r="B576" i="2"/>
  <c r="C576" i="2" s="1"/>
  <c r="F576" i="2" s="1"/>
  <c r="G576" i="2" s="1"/>
  <c r="E581" i="1" s="1"/>
  <c r="A568" i="2"/>
  <c r="B568" i="2"/>
  <c r="C568" i="2" s="1"/>
  <c r="F568" i="2" s="1"/>
  <c r="G568" i="2" s="1"/>
  <c r="E573" i="1" s="1"/>
  <c r="A560" i="2"/>
  <c r="B560" i="2"/>
  <c r="C560" i="2" s="1"/>
  <c r="F560" i="2" s="1"/>
  <c r="G560" i="2" s="1"/>
  <c r="E565" i="1" s="1"/>
  <c r="A552" i="2"/>
  <c r="B552" i="2"/>
  <c r="C552" i="2" s="1"/>
  <c r="F552" i="2" s="1"/>
  <c r="G552" i="2" s="1"/>
  <c r="E557" i="1" s="1"/>
  <c r="A544" i="2"/>
  <c r="B544" i="2"/>
  <c r="C544" i="2" s="1"/>
  <c r="F544" i="2" s="1"/>
  <c r="G544" i="2" s="1"/>
  <c r="E549" i="1" s="1"/>
  <c r="A536" i="2"/>
  <c r="B536" i="2"/>
  <c r="C536" i="2" s="1"/>
  <c r="F536" i="2" s="1"/>
  <c r="G536" i="2" s="1"/>
  <c r="E541" i="1" s="1"/>
  <c r="A528" i="2"/>
  <c r="B528" i="2"/>
  <c r="C528" i="2" s="1"/>
  <c r="F528" i="2" s="1"/>
  <c r="G528" i="2" s="1"/>
  <c r="E533" i="1" s="1"/>
  <c r="A520" i="2"/>
  <c r="B520" i="2"/>
  <c r="C520" i="2" s="1"/>
  <c r="F520" i="2" s="1"/>
  <c r="G520" i="2" s="1"/>
  <c r="E525" i="1" s="1"/>
  <c r="A512" i="2"/>
  <c r="B512" i="2"/>
  <c r="C512" i="2" s="1"/>
  <c r="F512" i="2" s="1"/>
  <c r="G512" i="2" s="1"/>
  <c r="E517" i="1" s="1"/>
  <c r="A504" i="2"/>
  <c r="B504" i="2"/>
  <c r="C504" i="2" s="1"/>
  <c r="F504" i="2" s="1"/>
  <c r="G504" i="2" s="1"/>
  <c r="E509" i="1" s="1"/>
  <c r="A496" i="2"/>
  <c r="B496" i="2"/>
  <c r="C496" i="2" s="1"/>
  <c r="F496" i="2" s="1"/>
  <c r="G496" i="2" s="1"/>
  <c r="E501" i="1" s="1"/>
  <c r="A488" i="2"/>
  <c r="B488" i="2"/>
  <c r="C488" i="2" s="1"/>
  <c r="F488" i="2" s="1"/>
  <c r="G488" i="2" s="1"/>
  <c r="E493" i="1" s="1"/>
  <c r="A480" i="2"/>
  <c r="B480" i="2"/>
  <c r="C480" i="2" s="1"/>
  <c r="F480" i="2" s="1"/>
  <c r="G480" i="2" s="1"/>
  <c r="E485" i="1" s="1"/>
  <c r="A472" i="2"/>
  <c r="B472" i="2"/>
  <c r="C472" i="2" s="1"/>
  <c r="F472" i="2" s="1"/>
  <c r="G472" i="2" s="1"/>
  <c r="E477" i="1" s="1"/>
  <c r="A464" i="2"/>
  <c r="B464" i="2"/>
  <c r="C464" i="2" s="1"/>
  <c r="F464" i="2" s="1"/>
  <c r="G464" i="2" s="1"/>
  <c r="E469" i="1" s="1"/>
  <c r="A456" i="2"/>
  <c r="B456" i="2"/>
  <c r="C456" i="2" s="1"/>
  <c r="F456" i="2" s="1"/>
  <c r="G456" i="2" s="1"/>
  <c r="E461" i="1" s="1"/>
  <c r="A448" i="2"/>
  <c r="B448" i="2"/>
  <c r="C448" i="2" s="1"/>
  <c r="F448" i="2" s="1"/>
  <c r="G448" i="2" s="1"/>
  <c r="E453" i="1" s="1"/>
  <c r="A440" i="2"/>
  <c r="B440" i="2"/>
  <c r="C440" i="2" s="1"/>
  <c r="F440" i="2" s="1"/>
  <c r="G440" i="2" s="1"/>
  <c r="E445" i="1" s="1"/>
  <c r="A432" i="2"/>
  <c r="B432" i="2"/>
  <c r="C432" i="2" s="1"/>
  <c r="F432" i="2" s="1"/>
  <c r="G432" i="2" s="1"/>
  <c r="E437" i="1" s="1"/>
  <c r="A424" i="2"/>
  <c r="B424" i="2"/>
  <c r="C424" i="2" s="1"/>
  <c r="F424" i="2" s="1"/>
  <c r="G424" i="2" s="1"/>
  <c r="E429" i="1" s="1"/>
  <c r="A416" i="2"/>
  <c r="B416" i="2"/>
  <c r="C416" i="2" s="1"/>
  <c r="F416" i="2" s="1"/>
  <c r="G416" i="2" s="1"/>
  <c r="E421" i="1" s="1"/>
  <c r="A408" i="2"/>
  <c r="B408" i="2"/>
  <c r="C408" i="2" s="1"/>
  <c r="F408" i="2" s="1"/>
  <c r="G408" i="2" s="1"/>
  <c r="E413" i="1" s="1"/>
  <c r="A400" i="2"/>
  <c r="B400" i="2"/>
  <c r="C400" i="2" s="1"/>
  <c r="F400" i="2" s="1"/>
  <c r="G400" i="2" s="1"/>
  <c r="E405" i="1" s="1"/>
  <c r="A392" i="2"/>
  <c r="B392" i="2"/>
  <c r="C392" i="2" s="1"/>
  <c r="F392" i="2" s="1"/>
  <c r="G392" i="2" s="1"/>
  <c r="E397" i="1" s="1"/>
  <c r="A384" i="2"/>
  <c r="B384" i="2"/>
  <c r="C384" i="2" s="1"/>
  <c r="F384" i="2" s="1"/>
  <c r="G384" i="2" s="1"/>
  <c r="E389" i="1" s="1"/>
  <c r="A376" i="2"/>
  <c r="B376" i="2"/>
  <c r="C376" i="2" s="1"/>
  <c r="F376" i="2" s="1"/>
  <c r="G376" i="2" s="1"/>
  <c r="E381" i="1" s="1"/>
  <c r="A368" i="2"/>
  <c r="B368" i="2"/>
  <c r="C368" i="2" s="1"/>
  <c r="F368" i="2" s="1"/>
  <c r="G368" i="2" s="1"/>
  <c r="E373" i="1" s="1"/>
  <c r="A360" i="2"/>
  <c r="B360" i="2"/>
  <c r="C360" i="2" s="1"/>
  <c r="F360" i="2" s="1"/>
  <c r="G360" i="2" s="1"/>
  <c r="E365" i="1" s="1"/>
  <c r="A352" i="2"/>
  <c r="B352" i="2"/>
  <c r="C352" i="2" s="1"/>
  <c r="F352" i="2" s="1"/>
  <c r="G352" i="2" s="1"/>
  <c r="E357" i="1" s="1"/>
  <c r="A344" i="2"/>
  <c r="B344" i="2"/>
  <c r="C344" i="2" s="1"/>
  <c r="F344" i="2" s="1"/>
  <c r="G344" i="2" s="1"/>
  <c r="E349" i="1" s="1"/>
  <c r="A336" i="2"/>
  <c r="B336" i="2"/>
  <c r="C336" i="2" s="1"/>
  <c r="F336" i="2" s="1"/>
  <c r="G336" i="2" s="1"/>
  <c r="E341" i="1" s="1"/>
  <c r="A328" i="2"/>
  <c r="B328" i="2"/>
  <c r="C328" i="2" s="1"/>
  <c r="F328" i="2" s="1"/>
  <c r="G328" i="2" s="1"/>
  <c r="E333" i="1" s="1"/>
  <c r="A320" i="2"/>
  <c r="B320" i="2"/>
  <c r="C320" i="2" s="1"/>
  <c r="F320" i="2" s="1"/>
  <c r="G320" i="2" s="1"/>
  <c r="E325" i="1" s="1"/>
  <c r="A312" i="2"/>
  <c r="B312" i="2"/>
  <c r="C312" i="2" s="1"/>
  <c r="F312" i="2" s="1"/>
  <c r="G312" i="2" s="1"/>
  <c r="E317" i="1" s="1"/>
  <c r="A304" i="2"/>
  <c r="B304" i="2"/>
  <c r="C304" i="2" s="1"/>
  <c r="F304" i="2" s="1"/>
  <c r="G304" i="2" s="1"/>
  <c r="E309" i="1" s="1"/>
  <c r="A296" i="2"/>
  <c r="B296" i="2"/>
  <c r="C296" i="2" s="1"/>
  <c r="F296" i="2" s="1"/>
  <c r="G296" i="2" s="1"/>
  <c r="E301" i="1" s="1"/>
  <c r="A288" i="2"/>
  <c r="B288" i="2"/>
  <c r="C288" i="2" s="1"/>
  <c r="F288" i="2" s="1"/>
  <c r="G288" i="2" s="1"/>
  <c r="E293" i="1" s="1"/>
  <c r="A280" i="2"/>
  <c r="B280" i="2"/>
  <c r="C280" i="2" s="1"/>
  <c r="F280" i="2" s="1"/>
  <c r="G280" i="2" s="1"/>
  <c r="E285" i="1" s="1"/>
  <c r="A272" i="2"/>
  <c r="B272" i="2"/>
  <c r="C272" i="2" s="1"/>
  <c r="F272" i="2" s="1"/>
  <c r="G272" i="2" s="1"/>
  <c r="E277" i="1" s="1"/>
  <c r="A264" i="2"/>
  <c r="B264" i="2"/>
  <c r="C264" i="2" s="1"/>
  <c r="F264" i="2" s="1"/>
  <c r="G264" i="2" s="1"/>
  <c r="E269" i="1" s="1"/>
  <c r="A256" i="2"/>
  <c r="B256" i="2"/>
  <c r="C256" i="2" s="1"/>
  <c r="F256" i="2" s="1"/>
  <c r="G256" i="2" s="1"/>
  <c r="E261" i="1" s="1"/>
  <c r="A248" i="2"/>
  <c r="B248" i="2"/>
  <c r="C248" i="2" s="1"/>
  <c r="F248" i="2" s="1"/>
  <c r="G248" i="2" s="1"/>
  <c r="E253" i="1" s="1"/>
  <c r="A240" i="2"/>
  <c r="B240" i="2"/>
  <c r="C240" i="2" s="1"/>
  <c r="F240" i="2" s="1"/>
  <c r="G240" i="2" s="1"/>
  <c r="E245" i="1" s="1"/>
  <c r="A232" i="2"/>
  <c r="B232" i="2"/>
  <c r="C232" i="2" s="1"/>
  <c r="F232" i="2" s="1"/>
  <c r="G232" i="2" s="1"/>
  <c r="E237" i="1" s="1"/>
  <c r="A224" i="2"/>
  <c r="B224" i="2"/>
  <c r="C224" i="2" s="1"/>
  <c r="F224" i="2" s="1"/>
  <c r="G224" i="2" s="1"/>
  <c r="E229" i="1" s="1"/>
  <c r="A216" i="2"/>
  <c r="B216" i="2"/>
  <c r="C216" i="2" s="1"/>
  <c r="F216" i="2" s="1"/>
  <c r="G216" i="2" s="1"/>
  <c r="E221" i="1" s="1"/>
  <c r="A208" i="2"/>
  <c r="B208" i="2"/>
  <c r="C208" i="2" s="1"/>
  <c r="F208" i="2" s="1"/>
  <c r="G208" i="2" s="1"/>
  <c r="E213" i="1" s="1"/>
  <c r="A200" i="2"/>
  <c r="B200" i="2"/>
  <c r="C200" i="2" s="1"/>
  <c r="F200" i="2" s="1"/>
  <c r="G200" i="2" s="1"/>
  <c r="E205" i="1" s="1"/>
  <c r="A192" i="2"/>
  <c r="B192" i="2"/>
  <c r="C192" i="2" s="1"/>
  <c r="F192" i="2" s="1"/>
  <c r="G192" i="2" s="1"/>
  <c r="E197" i="1" s="1"/>
  <c r="A184" i="2"/>
  <c r="B184" i="2"/>
  <c r="C184" i="2" s="1"/>
  <c r="F184" i="2" s="1"/>
  <c r="G184" i="2" s="1"/>
  <c r="E189" i="1" s="1"/>
  <c r="A176" i="2"/>
  <c r="B176" i="2"/>
  <c r="C176" i="2" s="1"/>
  <c r="F176" i="2" s="1"/>
  <c r="G176" i="2" s="1"/>
  <c r="E181" i="1" s="1"/>
  <c r="A168" i="2"/>
  <c r="B168" i="2"/>
  <c r="C168" i="2" s="1"/>
  <c r="F168" i="2" s="1"/>
  <c r="G168" i="2" s="1"/>
  <c r="E173" i="1" s="1"/>
  <c r="A160" i="2"/>
  <c r="B160" i="2"/>
  <c r="C160" i="2" s="1"/>
  <c r="F160" i="2" s="1"/>
  <c r="G160" i="2" s="1"/>
  <c r="E165" i="1" s="1"/>
  <c r="A152" i="2"/>
  <c r="B152" i="2"/>
  <c r="C152" i="2" s="1"/>
  <c r="F152" i="2" s="1"/>
  <c r="G152" i="2" s="1"/>
  <c r="E157" i="1" s="1"/>
  <c r="A144" i="2"/>
  <c r="B144" i="2"/>
  <c r="C144" i="2" s="1"/>
  <c r="F144" i="2" s="1"/>
  <c r="G144" i="2" s="1"/>
  <c r="E149" i="1" s="1"/>
  <c r="A136" i="2"/>
  <c r="B136" i="2"/>
  <c r="C136" i="2" s="1"/>
  <c r="F136" i="2" s="1"/>
  <c r="G136" i="2" s="1"/>
  <c r="E141" i="1" s="1"/>
  <c r="A128" i="2"/>
  <c r="B128" i="2"/>
  <c r="C128" i="2" s="1"/>
  <c r="F128" i="2" s="1"/>
  <c r="G128" i="2" s="1"/>
  <c r="E133" i="1" s="1"/>
  <c r="A120" i="2"/>
  <c r="B120" i="2"/>
  <c r="C120" i="2" s="1"/>
  <c r="F120" i="2" s="1"/>
  <c r="G120" i="2" s="1"/>
  <c r="E125" i="1" s="1"/>
  <c r="A112" i="2"/>
  <c r="B112" i="2"/>
  <c r="C112" i="2" s="1"/>
  <c r="A104" i="2"/>
  <c r="B104" i="2"/>
  <c r="C104" i="2" s="1"/>
  <c r="A96" i="2"/>
  <c r="B96" i="2"/>
  <c r="C96" i="2" s="1"/>
  <c r="A88" i="2"/>
  <c r="B88" i="2"/>
  <c r="C88" i="2" s="1"/>
  <c r="A80" i="2"/>
  <c r="B80" i="2"/>
  <c r="C80" i="2" s="1"/>
  <c r="A72" i="2"/>
  <c r="B72" i="2"/>
  <c r="C72" i="2" s="1"/>
  <c r="A64" i="2"/>
  <c r="B64" i="2"/>
  <c r="C64" i="2" s="1"/>
  <c r="A56" i="2"/>
  <c r="B56" i="2"/>
  <c r="C56" i="2" s="1"/>
  <c r="A48" i="2"/>
  <c r="B48" i="2"/>
  <c r="C48" i="2" s="1"/>
  <c r="A40" i="2"/>
  <c r="B40" i="2"/>
  <c r="C40" i="2" s="1"/>
  <c r="A32" i="2"/>
  <c r="B32" i="2"/>
  <c r="C32" i="2" s="1"/>
  <c r="A24" i="2"/>
  <c r="B24" i="2"/>
  <c r="C24" i="2" s="1"/>
  <c r="A16" i="2"/>
  <c r="B16" i="2"/>
  <c r="C16" i="2" s="1"/>
  <c r="A8" i="2"/>
  <c r="B8" i="2"/>
  <c r="C8" i="2" s="1"/>
  <c r="A4007" i="2"/>
  <c r="A2" i="2"/>
  <c r="F2" i="2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7" i="3"/>
  <c r="C368" i="3"/>
  <c r="C369" i="3"/>
  <c r="C370" i="3"/>
  <c r="C371" i="3"/>
  <c r="C372" i="3"/>
  <c r="C373" i="3"/>
  <c r="C374" i="3"/>
  <c r="C375" i="3"/>
  <c r="C376" i="3"/>
  <c r="C377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2" i="3"/>
  <c r="C1034" i="3"/>
  <c r="C1035" i="3"/>
  <c r="C1037" i="3"/>
  <c r="C1038" i="3"/>
  <c r="C1039" i="3"/>
  <c r="C1040" i="3"/>
  <c r="C1041" i="3"/>
  <c r="C1042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8" i="3"/>
  <c r="C2199" i="3"/>
  <c r="C2200" i="3"/>
  <c r="C2201" i="3"/>
  <c r="C2202" i="3"/>
  <c r="C2207" i="3"/>
  <c r="C2208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5" i="3"/>
  <c r="C3616" i="3"/>
  <c r="C3617" i="3"/>
  <c r="C3618" i="3"/>
  <c r="C3619" i="3"/>
  <c r="C3620" i="3"/>
  <c r="C3621" i="3"/>
  <c r="C3622" i="3"/>
  <c r="C3623" i="3"/>
  <c r="C3624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11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7" i="3"/>
  <c r="C4758" i="3"/>
  <c r="C4759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3" i="3"/>
  <c r="C4914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2" i="3"/>
  <c r="C4933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2" i="3"/>
  <c r="C5173" i="3"/>
  <c r="C5174" i="3"/>
  <c r="C5175" i="3"/>
  <c r="C5176" i="3"/>
  <c r="C5177" i="3"/>
  <c r="C5178" i="3"/>
  <c r="C5179" i="3"/>
  <c r="C5180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A4" i="1" l="1"/>
  <c r="F16" i="2"/>
  <c r="G16" i="2" s="1"/>
  <c r="E21" i="1" s="1"/>
  <c r="F48" i="2"/>
  <c r="G48" i="2" s="1"/>
  <c r="E53" i="1" s="1"/>
  <c r="F80" i="2"/>
  <c r="G80" i="2" s="1"/>
  <c r="E85" i="1" s="1"/>
  <c r="F112" i="2"/>
  <c r="G112" i="2" s="1"/>
  <c r="E117" i="1" s="1"/>
  <c r="F17" i="2"/>
  <c r="G17" i="2" s="1"/>
  <c r="E22" i="1" s="1"/>
  <c r="F49" i="2"/>
  <c r="G49" i="2" s="1"/>
  <c r="E54" i="1" s="1"/>
  <c r="F81" i="2"/>
  <c r="G81" i="2" s="1"/>
  <c r="E86" i="1" s="1"/>
  <c r="F113" i="2"/>
  <c r="G113" i="2" s="1"/>
  <c r="E118" i="1" s="1"/>
  <c r="F18" i="2"/>
  <c r="G18" i="2" s="1"/>
  <c r="E23" i="1" s="1"/>
  <c r="F50" i="2"/>
  <c r="G50" i="2" s="1"/>
  <c r="E55" i="1" s="1"/>
  <c r="F82" i="2"/>
  <c r="G82" i="2" s="1"/>
  <c r="E87" i="1" s="1"/>
  <c r="F52" i="2"/>
  <c r="G52" i="2" s="1"/>
  <c r="E57" i="1" s="1"/>
  <c r="F37" i="2"/>
  <c r="G37" i="2" s="1"/>
  <c r="E42" i="1" s="1"/>
  <c r="F69" i="2"/>
  <c r="G69" i="2" s="1"/>
  <c r="E74" i="1" s="1"/>
  <c r="F101" i="2"/>
  <c r="G101" i="2" s="1"/>
  <c r="E106" i="1" s="1"/>
  <c r="F23" i="2"/>
  <c r="G23" i="2" s="1"/>
  <c r="E28" i="1" s="1"/>
  <c r="F55" i="2"/>
  <c r="G55" i="2" s="1"/>
  <c r="E60" i="1" s="1"/>
  <c r="F87" i="2"/>
  <c r="G87" i="2" s="1"/>
  <c r="E92" i="1" s="1"/>
  <c r="F38" i="2"/>
  <c r="G38" i="2" s="1"/>
  <c r="E43" i="1" s="1"/>
  <c r="F70" i="2"/>
  <c r="G70" i="2" s="1"/>
  <c r="E75" i="1" s="1"/>
  <c r="F102" i="2"/>
  <c r="G102" i="2" s="1"/>
  <c r="E107" i="1" s="1"/>
  <c r="F24" i="2"/>
  <c r="G24" i="2" s="1"/>
  <c r="E29" i="1" s="1"/>
  <c r="F56" i="2"/>
  <c r="G56" i="2" s="1"/>
  <c r="E61" i="1" s="1"/>
  <c r="F88" i="2"/>
  <c r="G88" i="2" s="1"/>
  <c r="E93" i="1" s="1"/>
  <c r="F25" i="2"/>
  <c r="G25" i="2" s="1"/>
  <c r="E30" i="1" s="1"/>
  <c r="F57" i="2"/>
  <c r="G57" i="2" s="1"/>
  <c r="E62" i="1" s="1"/>
  <c r="F89" i="2"/>
  <c r="G89" i="2" s="1"/>
  <c r="E94" i="1" s="1"/>
  <c r="F26" i="2"/>
  <c r="G26" i="2" s="1"/>
  <c r="E31" i="1" s="1"/>
  <c r="F58" i="2"/>
  <c r="G58" i="2" s="1"/>
  <c r="E63" i="1" s="1"/>
  <c r="F90" i="2"/>
  <c r="G90" i="2" s="1"/>
  <c r="E95" i="1" s="1"/>
  <c r="F27" i="2"/>
  <c r="G27" i="2" s="1"/>
  <c r="E32" i="1" s="1"/>
  <c r="F59" i="2"/>
  <c r="G59" i="2" s="1"/>
  <c r="E64" i="1" s="1"/>
  <c r="F91" i="2"/>
  <c r="G91" i="2" s="1"/>
  <c r="E96" i="1" s="1"/>
  <c r="F13" i="2"/>
  <c r="G13" i="2" s="1"/>
  <c r="E18" i="1" s="1"/>
  <c r="F45" i="2"/>
  <c r="G45" i="2" s="1"/>
  <c r="E50" i="1" s="1"/>
  <c r="F77" i="2"/>
  <c r="G77" i="2" s="1"/>
  <c r="E82" i="1" s="1"/>
  <c r="F109" i="2"/>
  <c r="G109" i="2" s="1"/>
  <c r="E114" i="1" s="1"/>
  <c r="F31" i="2"/>
  <c r="G31" i="2" s="1"/>
  <c r="E36" i="1" s="1"/>
  <c r="F63" i="2"/>
  <c r="G63" i="2" s="1"/>
  <c r="E68" i="1" s="1"/>
  <c r="F95" i="2"/>
  <c r="G95" i="2" s="1"/>
  <c r="E100" i="1" s="1"/>
  <c r="F14" i="2"/>
  <c r="G14" i="2" s="1"/>
  <c r="E19" i="1" s="1"/>
  <c r="F46" i="2"/>
  <c r="G46" i="2" s="1"/>
  <c r="E51" i="1" s="1"/>
  <c r="F78" i="2"/>
  <c r="G78" i="2" s="1"/>
  <c r="E83" i="1" s="1"/>
  <c r="F110" i="2"/>
  <c r="G110" i="2" s="1"/>
  <c r="E115" i="1" s="1"/>
  <c r="G2" i="2"/>
  <c r="E7" i="1" s="1"/>
  <c r="F32" i="2"/>
  <c r="G32" i="2" s="1"/>
  <c r="E37" i="1" s="1"/>
  <c r="F64" i="2"/>
  <c r="G64" i="2" s="1"/>
  <c r="E69" i="1" s="1"/>
  <c r="F96" i="2"/>
  <c r="G96" i="2" s="1"/>
  <c r="E101" i="1" s="1"/>
  <c r="F33" i="2"/>
  <c r="G33" i="2" s="1"/>
  <c r="E38" i="1" s="1"/>
  <c r="F65" i="2"/>
  <c r="G65" i="2" s="1"/>
  <c r="E70" i="1" s="1"/>
  <c r="F97" i="2"/>
  <c r="G97" i="2" s="1"/>
  <c r="E102" i="1" s="1"/>
  <c r="F5" i="2"/>
  <c r="G5" i="2" s="1"/>
  <c r="E10" i="1" s="1"/>
  <c r="F34" i="2"/>
  <c r="G34" i="2" s="1"/>
  <c r="E39" i="1" s="1"/>
  <c r="F66" i="2"/>
  <c r="G66" i="2" s="1"/>
  <c r="E71" i="1" s="1"/>
  <c r="F98" i="2"/>
  <c r="G98" i="2" s="1"/>
  <c r="E103" i="1" s="1"/>
  <c r="F68" i="2"/>
  <c r="G68" i="2" s="1"/>
  <c r="E73" i="1" s="1"/>
  <c r="F21" i="2"/>
  <c r="G21" i="2" s="1"/>
  <c r="E26" i="1" s="1"/>
  <c r="F53" i="2"/>
  <c r="G53" i="2" s="1"/>
  <c r="E58" i="1" s="1"/>
  <c r="F85" i="2"/>
  <c r="G85" i="2" s="1"/>
  <c r="E90" i="1" s="1"/>
  <c r="F39" i="2"/>
  <c r="G39" i="2" s="1"/>
  <c r="E44" i="1" s="1"/>
  <c r="F71" i="2"/>
  <c r="G71" i="2" s="1"/>
  <c r="E76" i="1" s="1"/>
  <c r="F103" i="2"/>
  <c r="G103" i="2" s="1"/>
  <c r="E108" i="1" s="1"/>
  <c r="F22" i="2"/>
  <c r="G22" i="2" s="1"/>
  <c r="E27" i="1" s="1"/>
  <c r="F54" i="2"/>
  <c r="G54" i="2" s="1"/>
  <c r="E59" i="1" s="1"/>
  <c r="F86" i="2"/>
  <c r="G86" i="2" s="1"/>
  <c r="E91" i="1" s="1"/>
  <c r="F8" i="2"/>
  <c r="G8" i="2" s="1"/>
  <c r="E13" i="1" s="1"/>
  <c r="F40" i="2"/>
  <c r="G40" i="2" s="1"/>
  <c r="E45" i="1" s="1"/>
  <c r="F72" i="2"/>
  <c r="G72" i="2" s="1"/>
  <c r="E77" i="1" s="1"/>
  <c r="F104" i="2"/>
  <c r="G104" i="2" s="1"/>
  <c r="E109" i="1" s="1"/>
  <c r="F9" i="2"/>
  <c r="G9" i="2" s="1"/>
  <c r="E14" i="1" s="1"/>
  <c r="F41" i="2"/>
  <c r="G41" i="2" s="1"/>
  <c r="E46" i="1" s="1"/>
  <c r="F73" i="2"/>
  <c r="G73" i="2" s="1"/>
  <c r="E78" i="1" s="1"/>
  <c r="F105" i="2"/>
  <c r="G105" i="2" s="1"/>
  <c r="E110" i="1" s="1"/>
  <c r="F10" i="2"/>
  <c r="G10" i="2" s="1"/>
  <c r="E15" i="1" s="1"/>
  <c r="F42" i="2"/>
  <c r="G42" i="2" s="1"/>
  <c r="E47" i="1" s="1"/>
  <c r="F74" i="2"/>
  <c r="G74" i="2" s="1"/>
  <c r="E79" i="1" s="1"/>
  <c r="F106" i="2"/>
  <c r="G106" i="2" s="1"/>
  <c r="E111" i="1" s="1"/>
  <c r="F75" i="2"/>
  <c r="G75" i="2" s="1"/>
  <c r="E80" i="1" s="1"/>
  <c r="F29" i="2"/>
  <c r="G29" i="2" s="1"/>
  <c r="E34" i="1" s="1"/>
  <c r="F61" i="2"/>
  <c r="G61" i="2" s="1"/>
  <c r="E66" i="1" s="1"/>
  <c r="F93" i="2"/>
  <c r="G93" i="2" s="1"/>
  <c r="E98" i="1" s="1"/>
  <c r="F15" i="2"/>
  <c r="G15" i="2" s="1"/>
  <c r="E20" i="1" s="1"/>
  <c r="F47" i="2"/>
  <c r="G47" i="2" s="1"/>
  <c r="E52" i="1" s="1"/>
  <c r="F79" i="2"/>
  <c r="G79" i="2" s="1"/>
  <c r="E84" i="1" s="1"/>
  <c r="F111" i="2"/>
  <c r="G111" i="2" s="1"/>
  <c r="E116" i="1" s="1"/>
  <c r="F30" i="2"/>
  <c r="G30" i="2" s="1"/>
  <c r="E35" i="1" s="1"/>
  <c r="F62" i="2"/>
  <c r="G62" i="2" s="1"/>
  <c r="E67" i="1" s="1"/>
  <c r="F94" i="2"/>
  <c r="G94" i="2" s="1"/>
  <c r="E99" i="1" s="1"/>
  <c r="B7" i="1"/>
  <c r="D7" i="1" s="1"/>
  <c r="C7" i="1" l="1"/>
  <c r="L2" i="2" s="1"/>
  <c r="H7" i="1" l="1"/>
  <c r="C4014" i="3" s="1"/>
  <c r="H8" i="1"/>
  <c r="C5181" i="3" s="1"/>
  <c r="H16" i="1"/>
  <c r="C4756" i="3" s="1"/>
  <c r="H24" i="1"/>
  <c r="C5152" i="3" s="1"/>
  <c r="H32" i="1"/>
  <c r="H40" i="1"/>
  <c r="H48" i="1"/>
  <c r="H56" i="1"/>
  <c r="H64" i="1"/>
  <c r="H72" i="1"/>
  <c r="H80" i="1"/>
  <c r="H88" i="1"/>
  <c r="H96" i="1"/>
  <c r="H104" i="1"/>
  <c r="H112" i="1"/>
  <c r="H9" i="1"/>
  <c r="H17" i="1"/>
  <c r="C4353" i="3" s="1"/>
  <c r="H25" i="1"/>
  <c r="C5407" i="3" s="1"/>
  <c r="H33" i="1"/>
  <c r="H41" i="1"/>
  <c r="H49" i="1"/>
  <c r="H57" i="1"/>
  <c r="H65" i="1"/>
  <c r="H73" i="1"/>
  <c r="H81" i="1"/>
  <c r="H89" i="1"/>
  <c r="H97" i="1"/>
  <c r="H105" i="1"/>
  <c r="H113" i="1"/>
  <c r="H10" i="1"/>
  <c r="H18" i="1"/>
  <c r="C75" i="3" s="1"/>
  <c r="H26" i="1"/>
  <c r="C4612" i="3" s="1"/>
  <c r="H34" i="1"/>
  <c r="H42" i="1"/>
  <c r="H50" i="1"/>
  <c r="H58" i="1"/>
  <c r="H66" i="1"/>
  <c r="H74" i="1"/>
  <c r="H82" i="1"/>
  <c r="H90" i="1"/>
  <c r="H98" i="1"/>
  <c r="H106" i="1"/>
  <c r="H114" i="1"/>
  <c r="H11" i="1"/>
  <c r="C378" i="3" s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" i="1"/>
  <c r="H20" i="1"/>
  <c r="C2203" i="3" s="1"/>
  <c r="H28" i="1"/>
  <c r="H36" i="1"/>
  <c r="H44" i="1"/>
  <c r="H52" i="1"/>
  <c r="H60" i="1"/>
  <c r="H68" i="1"/>
  <c r="H76" i="1"/>
  <c r="H84" i="1"/>
  <c r="H92" i="1"/>
  <c r="H100" i="1"/>
  <c r="H108" i="1"/>
  <c r="H116" i="1"/>
  <c r="H13" i="1"/>
  <c r="C1033" i="3" s="1"/>
  <c r="H21" i="1"/>
  <c r="C5935" i="3" s="1"/>
  <c r="H29" i="1"/>
  <c r="C3613" i="3" s="1"/>
  <c r="H37" i="1"/>
  <c r="H45" i="1"/>
  <c r="H53" i="1"/>
  <c r="H61" i="1"/>
  <c r="H69" i="1"/>
  <c r="H77" i="1"/>
  <c r="H85" i="1"/>
  <c r="H93" i="1"/>
  <c r="H101" i="1"/>
  <c r="H109" i="1"/>
  <c r="H117" i="1"/>
  <c r="H14" i="1"/>
  <c r="H22" i="1"/>
  <c r="C5934" i="3" s="1"/>
  <c r="H30" i="1"/>
  <c r="H38" i="1"/>
  <c r="H46" i="1"/>
  <c r="H54" i="1"/>
  <c r="H62" i="1"/>
  <c r="H70" i="1"/>
  <c r="H78" i="1"/>
  <c r="H86" i="1"/>
  <c r="H94" i="1"/>
  <c r="H102" i="1"/>
  <c r="H110" i="1"/>
  <c r="H15" i="1"/>
  <c r="C1036" i="3" s="1"/>
  <c r="H23" i="1"/>
  <c r="H31" i="1"/>
  <c r="H39" i="1"/>
  <c r="H47" i="1"/>
  <c r="H55" i="1"/>
  <c r="H63" i="1"/>
  <c r="H71" i="1"/>
  <c r="H79" i="1"/>
  <c r="H87" i="1"/>
  <c r="H95" i="1"/>
  <c r="H103" i="1"/>
  <c r="H111" i="1"/>
  <c r="C5264" i="3"/>
  <c r="C5153" i="3"/>
  <c r="C4931" i="3" l="1"/>
  <c r="C1031" i="3"/>
  <c r="C4935" i="3"/>
  <c r="C730" i="3"/>
  <c r="C280" i="3"/>
  <c r="C2026" i="3"/>
  <c r="C4934" i="3"/>
  <c r="C5812" i="3"/>
  <c r="C5647" i="3"/>
  <c r="C2197" i="3"/>
  <c r="C4610" i="3"/>
  <c r="C4629" i="3"/>
  <c r="C5150" i="3"/>
  <c r="C5170" i="3"/>
  <c r="C4609" i="3"/>
  <c r="C4628" i="3"/>
  <c r="C5151" i="3"/>
  <c r="C5171" i="3"/>
  <c r="C3614" i="3"/>
  <c r="C3625" i="3"/>
  <c r="C2204" i="3"/>
  <c r="C2209" i="3"/>
  <c r="C4760" i="3"/>
  <c r="C4912" i="3"/>
  <c r="C3997" i="3"/>
  <c r="C366" i="3"/>
  <c r="C2205" i="3"/>
  <c r="C3440" i="3"/>
  <c r="C3744" i="3"/>
  <c r="C4916" i="3"/>
  <c r="C3006" i="3"/>
  <c r="C4726" i="3"/>
  <c r="C2206" i="3"/>
  <c r="C4857" i="3"/>
  <c r="C4461" i="3"/>
  <c r="C4915" i="3"/>
  <c r="C1437" i="3"/>
  <c r="C4115" i="3"/>
  <c r="C1766" i="3"/>
  <c r="C1043" i="3"/>
</calcChain>
</file>

<file path=xl/sharedStrings.xml><?xml version="1.0" encoding="utf-8"?>
<sst xmlns="http://schemas.openxmlformats.org/spreadsheetml/2006/main" count="12040" uniqueCount="12033">
  <si>
    <t>QR CODES</t>
  </si>
  <si>
    <t>BENZER QR SAYIM</t>
  </si>
  <si>
    <t>BARCODES</t>
  </si>
  <si>
    <t>BARCODE</t>
  </si>
  <si>
    <t>NAME</t>
  </si>
  <si>
    <t>ABILIFY MAINTENA 400 MG 1 FLK.</t>
  </si>
  <si>
    <t>ACCUZIDE FORT 20/25 MG 30 FTB.</t>
  </si>
  <si>
    <t>ACTIFED %0.25+6 MG 150 ML SRP.</t>
  </si>
  <si>
    <t>ACTRAPID HM 100 IU 3 ML 5 KART</t>
  </si>
  <si>
    <t>ADVANTAN %0.1 15 GR YAGLI POM.</t>
  </si>
  <si>
    <t>AETHOXYSKLEROL %0.5 2 ML 5 AMP</t>
  </si>
  <si>
    <t>AFERIN 1/160 MG PED 100 ML SRP</t>
  </si>
  <si>
    <t>AFERIN PLUS 1/15/160 MG PED SR</t>
  </si>
  <si>
    <t>AFERIN SINUS 500/30/1.25 MG 20</t>
  </si>
  <si>
    <t>AIRPUFF DISC 250/50 MCG 60 DOZ</t>
  </si>
  <si>
    <t>AIRPUFF DISC 500/50 MCG 60 DOZ</t>
  </si>
  <si>
    <t>AIRTIDE 500/50 MCG 60 INH CAP.</t>
  </si>
  <si>
    <t>ALKA-SELTZER 324 MG 10 EFF TB.</t>
  </si>
  <si>
    <t>ALLERGODIL %0,05 6 ML GOZ GTT.</t>
  </si>
  <si>
    <t>ALLERGODIL %0.14 10 ML NAS SPR</t>
  </si>
  <si>
    <t>ALLERSET 10 MG 20 ML ORAL GTT.</t>
  </si>
  <si>
    <t>ALOPEXY T % 5 DERI SPR. 60 ML.</t>
  </si>
  <si>
    <t>ALPHAGAN P %0.15 5 ML GOZ GTT.</t>
  </si>
  <si>
    <t>AMOKLAVIN BID 200 MG 100 ML SU</t>
  </si>
  <si>
    <t>AMOKLAVIN BID 200 MG 70 ML SUS</t>
  </si>
  <si>
    <t>AMOKLAVIN BID 400 MG 100 ML SU</t>
  </si>
  <si>
    <t>AMOKLAVIN BID 400 MG 140 ML SU</t>
  </si>
  <si>
    <t>AMOKLAVIN BID 400 MG 35 ML SUS</t>
  </si>
  <si>
    <t>AMOKLAVIN BID 400 MG 70 ML SUS</t>
  </si>
  <si>
    <t>AMOKLAVIN ES 600 MG 100 ML SUS</t>
  </si>
  <si>
    <t>AMOKLAVIN ES 600 MG 150 ML SUS</t>
  </si>
  <si>
    <t>ANDOREX %0.15+0.12 200 ML GARG</t>
  </si>
  <si>
    <t>ANORO ELLIP 62.5/25 MCG 30 DOZ</t>
  </si>
  <si>
    <t>ANTI POTAS 880 MG 15 GR 20 GRN</t>
  </si>
  <si>
    <t>ANTIPAR 125/31.25/200 MG 100 F</t>
  </si>
  <si>
    <t>ANTIPAR 150/37.5/200 MG 100 FT</t>
  </si>
  <si>
    <t>ANTIPAR 75/18.75/200 MG 100 FT</t>
  </si>
  <si>
    <t>APIREKS 100 MG 100 ML PED SRP.</t>
  </si>
  <si>
    <t>APIREKS COLD&amp;FLU 200 MG 24 TB.</t>
  </si>
  <si>
    <t>ARBESTA PLUS 150/125 MG 28 FTB</t>
  </si>
  <si>
    <t>ARBESTA PLUS 300/12.5 MG 28 FT</t>
  </si>
  <si>
    <t>ARBESTA PLUS 300/25 MG 28 FTB.</t>
  </si>
  <si>
    <t>ARTROJECT 7.5 MG 0.75 ML 1 ENJ</t>
  </si>
  <si>
    <t>ASACOL ENAMA 4 GR 100 ML 7 TUP</t>
  </si>
  <si>
    <t>ATACAND PLUS 16/12.5 MG 28 TB.</t>
  </si>
  <si>
    <t>ATEROSKLEROL %0.5 2 ML 5  AMP.</t>
  </si>
  <si>
    <t>ATROPIN SUL 0.5 MG 10 AMP. (HA</t>
  </si>
  <si>
    <t>ATROPIN SUL 1 MG 10 AMP. (GAL)</t>
  </si>
  <si>
    <t>ATROPIN SUL 1 MG 10 AMP. (HAVE</t>
  </si>
  <si>
    <t>AUGMENTIN BID 200 MG 70 ML SUS</t>
  </si>
  <si>
    <t>AUGMENTIN BID 400 MG 100 ML SU</t>
  </si>
  <si>
    <t>AUGMENTIN BID 400 MG 70 ML SUS</t>
  </si>
  <si>
    <t>AUGMENTIN ES 600 MG 100 ML SUS</t>
  </si>
  <si>
    <t>AXEPARIN 4000 IU 0.4 ML 10 ENJ</t>
  </si>
  <si>
    <t>AXEPARIN 6000 IU 0.6 ML 2 ENJ.</t>
  </si>
  <si>
    <t>AXEPARIN 8000 IU 0.8 ML 2 ENJ.</t>
  </si>
  <si>
    <t>AXIVOL PLUS 120+2.5  MG 20 EF*</t>
  </si>
  <si>
    <t>BACTRIM 200/40 MG 100 ML SUSP.</t>
  </si>
  <si>
    <t>BACTRIM FORTE 800/160 MG 20 TB</t>
  </si>
  <si>
    <t>BECLOMAX 100 MCG 200 DOZ NAS S</t>
  </si>
  <si>
    <t>BEKLOMIL 100 MCG 200 DOZ NAS S</t>
  </si>
  <si>
    <t>BEMATORIN %0.01 2.5 ML GOZ GTT</t>
  </si>
  <si>
    <t>BENEDAY 250/250/1/300 MG 50 TB</t>
  </si>
  <si>
    <t>BENEXOL B12 250/250/1 MG 30 FT</t>
  </si>
  <si>
    <t>BENEXOL B12 250/250/1 MG 50 FT</t>
  </si>
  <si>
    <t>BEPANTHEN PLUS 50/5 MG 30 GR K</t>
  </si>
  <si>
    <t>BERAZINC 30 MG 100 ML FORT SRP</t>
  </si>
  <si>
    <t>BERKO-SETAMOL PLUS 150 ML SUSP</t>
  </si>
  <si>
    <t>BETOPTIC-S 0.25 MG 5 ML GOZ GT</t>
  </si>
  <si>
    <t>BEVIT B12 250/250/1 MG 60 FTB.</t>
  </si>
  <si>
    <t>BEVITAB 12 250/250/1 MG 30 FTB</t>
  </si>
  <si>
    <t>BEXSERO 0.5 ML 1 ENJ. (MENENJI</t>
  </si>
  <si>
    <t>BICANA 1.5 MG+66.5 MG 100 ML S</t>
  </si>
  <si>
    <t>BINOCRIT 3000 IU 0.3 ML 6 ENJ.</t>
  </si>
  <si>
    <t>BINOCRIT 4000 IU 0.4 ML 6 ENJ.</t>
  </si>
  <si>
    <t>BINOCRIT 5000 IU 0.5 ML 6 ENJ.</t>
  </si>
  <si>
    <t>BIOMENT BID 200 MG 70 ML SUSP.</t>
  </si>
  <si>
    <t>BIOMENT BID 400 MG 70 ML SUSP.</t>
  </si>
  <si>
    <t>BIZMOPEPTOL 262 MG 30 CIGN TB.</t>
  </si>
  <si>
    <t>BLEPHAMIDE %0.2+10 5 ML GOZ GT</t>
  </si>
  <si>
    <t>BLINCYTO 38.5 MCG 10 ML 1 FLK.</t>
  </si>
  <si>
    <t>BONYL PLUS 70 MG/5600 IU 4 TB.</t>
  </si>
  <si>
    <t>BRELAX 1.5 MG+66.5 MG 100 ML S</t>
  </si>
  <si>
    <t>BREQUAL 100/50  MCG 60 INH CAP</t>
  </si>
  <si>
    <t>BREQUAL 250/50 MCG 60 INH CAP.</t>
  </si>
  <si>
    <t>BREQUAL 500/50 MCG 60 INH CAP.</t>
  </si>
  <si>
    <t>BREVIBLOC PREMIX 10 MG 250 ML.</t>
  </si>
  <si>
    <t>BRICANYL DUO 1.5 MG+66.5 MG 10</t>
  </si>
  <si>
    <t>BRIMO-TIM %0.2+0.5 5 ML GOZ GT</t>
  </si>
  <si>
    <t>BROKSIN 6.66+100 MG 150 ML SRP</t>
  </si>
  <si>
    <t>BRUFEN COLD&amp;FLU 200/30 MG 30 F</t>
  </si>
  <si>
    <t>BRUMETON %0.1+%10 5 ML GOZ GTT</t>
  </si>
  <si>
    <t>BT ENEMA 0.9+2.4 45 ML ORAL SO</t>
  </si>
  <si>
    <t>BT ENEMA 28.5+10.5 GR 210 ML L</t>
  </si>
  <si>
    <t>BT ENEMA 9.5+3.5 GR 67.5 ML LA</t>
  </si>
  <si>
    <t>BURAZIN %0.025 10 ML PED. SPR.</t>
  </si>
  <si>
    <t>BUSCOPAN PLUS 10/500 MG 20 FTB</t>
  </si>
  <si>
    <t>BUTAMCOD FORT 15 MG 100 ML SRP</t>
  </si>
  <si>
    <t>BUTAMCOD FORT PLUS 22.5 MG 100</t>
  </si>
  <si>
    <t>BUTIROL FORT 22.5 MG 100 ML SR</t>
  </si>
  <si>
    <t>CALCIDAY D3 1200 MG 45 EFF TB.</t>
  </si>
  <si>
    <t>CALCIMAX D3 1000 MG 30 EFF TB.</t>
  </si>
  <si>
    <t>CALCIMAX D3 1000 MG 40 EFF TB.</t>
  </si>
  <si>
    <t>CALCIUM FOL. 100 MG 10 ML 1 FL</t>
  </si>
  <si>
    <t>CALCIUM FOL. 200 MG 20 ML 1 FL</t>
  </si>
  <si>
    <t>CALCIUM FOL. 50 MG 5 ML 1 FLK.</t>
  </si>
  <si>
    <t>CALCIUM FORT 300 MG 10 EFF TB.</t>
  </si>
  <si>
    <t>CALCIUM PICKEN %10 10 ML 5 AMP</t>
  </si>
  <si>
    <t>CALPOL 6 PLUS 250 MG 150 ML SU</t>
  </si>
  <si>
    <t>CANDECARD PLUS 16/12.5 MG 28 T</t>
  </si>
  <si>
    <t>CANDEXIL PLUS 16/12.5 MG 28 TB</t>
  </si>
  <si>
    <t>CANDEXIL PLUS 32/12.5 MG 28 TB</t>
  </si>
  <si>
    <t>CANDISEPT 200 MG 100 ML 1 FLK.</t>
  </si>
  <si>
    <t>CARBOPLATIN KOCAK 150 MG 1 FLK</t>
  </si>
  <si>
    <t>CARBOPLATIN KOCAK 450 MG 1 FLK</t>
  </si>
  <si>
    <t>CARBOPLATIN KOCAK 50 MG 1 FLK.</t>
  </si>
  <si>
    <t>CARDOFIX PLUS 10/160/12.5 MG 2</t>
  </si>
  <si>
    <t>CARDOFIX PLUS 5/160/12.5 MG 28</t>
  </si>
  <si>
    <t>CARDOFIX PLUS 5/160/25 MG 28 F</t>
  </si>
  <si>
    <t>CARDOPAN PLUS 160/12.5 MG 28 F</t>
  </si>
  <si>
    <t>CARDOPAN PLUS 160/25 MG 28 FTB</t>
  </si>
  <si>
    <t>CARDOPAN PLUS 320/12.5 MG 28 F</t>
  </si>
  <si>
    <t>CARDOPAN PLUS 320/25 MG 28 FTB</t>
  </si>
  <si>
    <t>CARDOPAN PLUS 80 MG 12.5 28 FT</t>
  </si>
  <si>
    <t>CHAMPIX 0.5 MG 11+1 MG 98 FTB.</t>
  </si>
  <si>
    <t>CINKOVIT 30 MG 100 ML FORT SRP</t>
  </si>
  <si>
    <t>CIPROKTAN 200 MG 100 ML 1 FLK.</t>
  </si>
  <si>
    <t>CIPROKTAN 400 MG 200 ML 1 FLK.</t>
  </si>
  <si>
    <t>CITRAFLEET %0.01+3.5+10.97 2 S</t>
  </si>
  <si>
    <t>CLARISCAN 376.9 MG 10 ML 1 FLK</t>
  </si>
  <si>
    <t>CLARISCAN 376.9 MG 15 ML 1 FLK</t>
  </si>
  <si>
    <t>CLARISCAN 376.9 MG 20 ML 1 FLK</t>
  </si>
  <si>
    <t>CLIMARA FORT 25 7.8 MG 4 FLAST</t>
  </si>
  <si>
    <t>CLINDATRE 12/ 0.25 MG 30 GR JE</t>
  </si>
  <si>
    <t>CODACTIV FORT 22.5 MG 100 ML S</t>
  </si>
  <si>
    <t>COGITO BASLANGIC PAKETI 28 FTB</t>
  </si>
  <si>
    <t>COLCHICUM DISPERT 0.5 MG 50 FT</t>
  </si>
  <si>
    <t>COLDAWAY C 200/30/300 MG 24 FT</t>
  </si>
  <si>
    <t>COLEDAN D3 150.000 IU 10 ML GT</t>
  </si>
  <si>
    <t>COMBIDEX %0.3+%0.1 5 ML GOZ GT</t>
  </si>
  <si>
    <t>COMBIGAN %0.2+0.5 5 ML GOZ GTT</t>
  </si>
  <si>
    <t>COMBIVENT 2.5/0.5 MG 2.5 ML 20</t>
  </si>
  <si>
    <t>CONTRACTUBEX %1+10+0.01 120 GR</t>
  </si>
  <si>
    <t>CONVULEX 50 MG 100 ML PED SRP.</t>
  </si>
  <si>
    <t>COVERSYL PLUS 10/2.5 MG 30 FTB</t>
  </si>
  <si>
    <t>COVERSYL PLUS 4 /1.25 MG 30 TB</t>
  </si>
  <si>
    <t>COVERSYL PLUS 5/1.25 MG 30 FTB</t>
  </si>
  <si>
    <t>CRINONE %8 VAG. JEL 15 APLICAT</t>
  </si>
  <si>
    <t>CROXILEX BID 200 MG 100 ML SUS</t>
  </si>
  <si>
    <t>CROXILEX BID 200 MG 70 ML SUSP</t>
  </si>
  <si>
    <t>CROXILEX BID 400 MG 100 ML SUS</t>
  </si>
  <si>
    <t>CROXILEX BID 400 MG 140 ML SUS</t>
  </si>
  <si>
    <t>CROXILEX BID 400 MG 70 ML SUSP</t>
  </si>
  <si>
    <t>CROXILEX ES 600 MG 100 ML SUSP</t>
  </si>
  <si>
    <t>CROXILEX ES 600 MG 150 ML SUSP</t>
  </si>
  <si>
    <t>CYCLO PROGYNOVA 4/0.5 MG 21 DR</t>
  </si>
  <si>
    <t>CYPLOS ARVOHALER 50/250 MCG 60</t>
  </si>
  <si>
    <t>CYPLOS ARVOHALER 50/500 MCG 60</t>
  </si>
  <si>
    <t>CYPLOS SANOH 100/50 MCG 60 DOZ</t>
  </si>
  <si>
    <t>CYPLOS SANOH 250/50  MCG 60 DO</t>
  </si>
  <si>
    <t>CYPLOS SANOH 500/50 MCG 60 DOZ</t>
  </si>
  <si>
    <t>D 3 FEROL 50.000 IU 15 ML GTT.</t>
  </si>
  <si>
    <t>D COLEFOR 150.000 IU 10 ML GTT</t>
  </si>
  <si>
    <t>D COLEFOR 50.000 IU 15 ML GTT.</t>
  </si>
  <si>
    <t>D3 TOTAL 150.000 IU 10 ML GTT.</t>
  </si>
  <si>
    <t>DEBRIDAT 24 MG 250 ML GRN SUSP</t>
  </si>
  <si>
    <t>DELODAY PLUS 120/2.5 MG 20 E *</t>
  </si>
  <si>
    <t>DELODAY PLUS 60 MG/2.5 MG 20 *</t>
  </si>
  <si>
    <t>DEMAX BASLANGIC PAKETI 28 FTB.</t>
  </si>
  <si>
    <t>DEPAKIN 200 MG 40 ML ORAL SOL.</t>
  </si>
  <si>
    <t>DEPAKIN CHRONO BT 500 MG 30 TB</t>
  </si>
  <si>
    <t>DEPORES X %0.1  TEK DOZ 30 FLK</t>
  </si>
  <si>
    <t>DERMO REST %28 5 ML TIRNAK SOL</t>
  </si>
  <si>
    <t>DERMOTROSYD %28 5 ML TIRNAK SO</t>
  </si>
  <si>
    <t>DERMOVATE %0.05 25 ML SAC LOS.</t>
  </si>
  <si>
    <t>DESIFEROL 50.000 IU 15 ML GTT.</t>
  </si>
  <si>
    <t>DESMOVITAL %0.1 6 ML NASAL SPR</t>
  </si>
  <si>
    <t>DEXANETIL %0.3+%0.1 5 ML GOZ G</t>
  </si>
  <si>
    <t>DEXA-SINE SE %0.1 TEK DOZ 10 F</t>
  </si>
  <si>
    <t>DEXPANTEN PLUS 50/5 MG 30 GR K</t>
  </si>
  <si>
    <t>DIGOXIN 0.5 MG 30 ML ORAL GUTT</t>
  </si>
  <si>
    <t>DISINOL 50/350/200 MG 10 ML SO</t>
  </si>
  <si>
    <t>DOLADAMON P 300/15/10 MG 20 T*</t>
  </si>
  <si>
    <t>DOPALEVO 100/25/200 MG 100 FTB</t>
  </si>
  <si>
    <t>DOPALEVO 150/37.5/200 MG 100 F</t>
  </si>
  <si>
    <t>DOPALEVO 200/50/200 MG 100 FTB</t>
  </si>
  <si>
    <t>DOPALEVO 50/12.5/200 MG 100 FT</t>
  </si>
  <si>
    <t>DOPALEVO 75/18.75/200 MG 100 F</t>
  </si>
  <si>
    <t>DROPIAMET 15 MG/500 MG 30 FTB.</t>
  </si>
  <si>
    <t>DROPIAMET 15 MG/500 MG 60 FTB.</t>
  </si>
  <si>
    <t>DROPIAMET 15 MG/500 MG 90 FTB.</t>
  </si>
  <si>
    <t>DROPIAMET 15 MG/850 MG 30 FTB.</t>
  </si>
  <si>
    <t>DROPIAMET 15 MG/850 MG 60 FTB.</t>
  </si>
  <si>
    <t>DROPIAMET 15 MG/850 MG 90 FTB.</t>
  </si>
  <si>
    <t>DROPOLEV 60 MG 30 ML ORAL GTT.</t>
  </si>
  <si>
    <t>DSK DALIA LIKIT SUT 24X200 ML.</t>
  </si>
  <si>
    <t>DUOTRAV %0.04+0.5 2.5 ML GOZ G</t>
  </si>
  <si>
    <t>DUROGESIC 100 MCG  5 FLAST ***</t>
  </si>
  <si>
    <t>DYMISTA 137+50 MCG 23 GR NAS S</t>
  </si>
  <si>
    <t>E.S MESOSEL 4G 60G REKTAL SUPP</t>
  </si>
  <si>
    <t>EKLIPS PLUS 50/12.5 MG 28 FTB.</t>
  </si>
  <si>
    <t>EKZE MANT %0.1 +2 30 GR EMUL J</t>
  </si>
  <si>
    <t>ELLEACNELLE 2/0.035 MG 21 DRJ.</t>
  </si>
  <si>
    <t>ENAPRIL PLUS 20/12.5 MG 20 TB.</t>
  </si>
  <si>
    <t>ENDOFALK 525/1.4/0.715 MG 8 SA</t>
  </si>
  <si>
    <t>ENFLUVIR 12 MG 75 ML ORAL SUSP</t>
  </si>
  <si>
    <t>ENGERIX-B 10 MCG 0.5 ML 1 ENJ.</t>
  </si>
  <si>
    <t>ENSURE COMP. VANILYA 4X125 ML.</t>
  </si>
  <si>
    <t>ENSURE PLUS FBR VANILYA 200 ML</t>
  </si>
  <si>
    <t>EPIRUBICIN 100 MG 50 ML 1 FLK.</t>
  </si>
  <si>
    <t>EPIXX 100 MG 150/1 ML ORAL COZ</t>
  </si>
  <si>
    <t>EPIXX 100 MG 150/3 ML ORAL COZ</t>
  </si>
  <si>
    <t>ERGAFEIN 150/60/0.25 MG 20 DRJ</t>
  </si>
  <si>
    <t>ES ENEMA 28.5+10.5 GR 210 ML L</t>
  </si>
  <si>
    <t>ES ENEMA 9.5+3.5 GR 67.5 ML LA</t>
  </si>
  <si>
    <t>EXTRAIR 200/12 MCG 120 INH CAP</t>
  </si>
  <si>
    <t>EXTRAIR 400/12 MCG 120 INH CAP</t>
  </si>
  <si>
    <t>FAKTOR 8 ADVATE 1000 IU 1 FLK.</t>
  </si>
  <si>
    <t>FAKTOR 8 ADVATE 1500 IU 1 FLK.</t>
  </si>
  <si>
    <t>FAKTOR 8 ADVATE 2000 IU 1 FLK.</t>
  </si>
  <si>
    <t>FAKTOR 8 BERIATE P 1000 IU 1 F</t>
  </si>
  <si>
    <t>FAKTOR 8 BERIATE P 500 IU 1 FL</t>
  </si>
  <si>
    <t>FAKTOR 8 EMOCLAT 1000 IU 1 FLK</t>
  </si>
  <si>
    <t>FAKTOR 8 EMOCLAT 500 IU 1 FLK.</t>
  </si>
  <si>
    <t>FAKTOR 8 FANHDI 1000 IU 1 FLK.</t>
  </si>
  <si>
    <t>FAKTOR 8 HAEMATE P 500 IU 1 FL</t>
  </si>
  <si>
    <t>FAKTOR 8 HAEMOCTIN 500 IU 1 FL</t>
  </si>
  <si>
    <t>FAKTOR 8 HEMOFIL M 1000 IU 1 F</t>
  </si>
  <si>
    <t>FAKTOR 8 HEMOFIL M 500 IU 1 FL</t>
  </si>
  <si>
    <t>FAKTOR 8 IMMUNATE 1000 IU 1 FL</t>
  </si>
  <si>
    <t>FAKTOR 8 IMMUNATE 500 IU 1 FLK</t>
  </si>
  <si>
    <t>FAKTOR 8 KOATE DVI 1000 IU1 FL</t>
  </si>
  <si>
    <t>FAKTOR 8 KOATE DVI 500 IU 1 FL</t>
  </si>
  <si>
    <t>FAKTOR 8 KOGENATE 1000 IU 1 FL</t>
  </si>
  <si>
    <t>FAKTOR 8 KOGENATE 2000 IU 1 FL</t>
  </si>
  <si>
    <t>FAKTOR 8 KOGENATE 250 IU 1 FLK</t>
  </si>
  <si>
    <t>FAKTOR 8 KOGENATE 500 IU 1 FLK</t>
  </si>
  <si>
    <t>FAKTOR 8 OCTANATE 1000 IU 1 FL</t>
  </si>
  <si>
    <t>FAKTOR 8 OCTANATE 500 IU 1 FLK</t>
  </si>
  <si>
    <t>FAKTOR 9 AIMAFIX  500 IU 1 FLK</t>
  </si>
  <si>
    <t>FAKTOR 9 IMMUNINE  600 IU 1 FL</t>
  </si>
  <si>
    <t>FAKTOR 9 IMMUNINE 1200 IU 1 FL</t>
  </si>
  <si>
    <t>FAKTOR 9 OCTANINE 1000 IU 1 FL</t>
  </si>
  <si>
    <t>FAKTOR 9 REPLENINE 500 IU 1 FL</t>
  </si>
  <si>
    <t>FARDOBEN %0.15+0.12 200 ML GAR</t>
  </si>
  <si>
    <t>FARDOBEN %0.15+0.12 30 ML SPR.</t>
  </si>
  <si>
    <t>FARHEX %0.15+0.12 120 ML GARG.</t>
  </si>
  <si>
    <t>FARHEX FORT %0.30+0.12 30 ML S</t>
  </si>
  <si>
    <t>FEMARIS PLUS 150 MG/5600 3 FTB</t>
  </si>
  <si>
    <t>FERIFER 100 MG 5 ML X 20 KASIK</t>
  </si>
  <si>
    <t>FERIFER 100 MG 5 ML X 28 KASIK</t>
  </si>
  <si>
    <t>FERMATRON PLUS 30MG/ 2ML</t>
  </si>
  <si>
    <t>FERMATRON S 69MG/3ML</t>
  </si>
  <si>
    <t>FERPLEX FOL 40/0.185 MG SOL 10</t>
  </si>
  <si>
    <t>FERRISITA 107.7 MG 150 ML SRP.</t>
  </si>
  <si>
    <t>FERROZINC G 40/15 MG 100 ML SR</t>
  </si>
  <si>
    <t>FERRUM FORT 100/0.35 MG 30 FTB</t>
  </si>
  <si>
    <t>FIXHALER 12/100 MCG 60 INH CAP</t>
  </si>
  <si>
    <t>FIXHALER 12/250 MCG 60 INH CAP</t>
  </si>
  <si>
    <t>FIXHALER 12/500 MCG 60 INH CAP</t>
  </si>
  <si>
    <t>FLEBOGAMMA DIF 5 GR 100 ML 1 F</t>
  </si>
  <si>
    <t>FLIXOTIDE 125 MCG 120 DOZ INH.</t>
  </si>
  <si>
    <t>FORADIL COM FIX 320/9 MCG 60 I</t>
  </si>
  <si>
    <t>FORBEFIX 100/6 MCG AERO 120 DO</t>
  </si>
  <si>
    <t>FORPACK CAPS 200/12 MCG 60 INH</t>
  </si>
  <si>
    <t>FORPACK CAPS 400/12 MCG 60 INH</t>
  </si>
  <si>
    <t>FORPACK DISC 200/12 MCG 60 DOZ</t>
  </si>
  <si>
    <t>FORPACK DISC 400/12 MCG 60 DOZ</t>
  </si>
  <si>
    <t>FORSTEO 20 MCG/80 MCL 2.4 ML P</t>
  </si>
  <si>
    <t>FORTIMEL COMP FBR VAN 4X125 ML</t>
  </si>
  <si>
    <t>FORTIMEL COMP PRT MUZ 4X125 ML</t>
  </si>
  <si>
    <t>FORTIMEL ENERG CIKOLATA 200 ML</t>
  </si>
  <si>
    <t>FORTIMEL ENERG MFB CILEK 200 M</t>
  </si>
  <si>
    <t>FORTIMEL ENERG MFB VANIL 200 M</t>
  </si>
  <si>
    <t>FORTINI 1.0 MFB CIKOLATA 200 M</t>
  </si>
  <si>
    <t>FORTINI 1.0 MFB VANILYA 200 ML</t>
  </si>
  <si>
    <t>FOSTER NEXT. 100/6 MCG  120 DO</t>
  </si>
  <si>
    <t>FOTEROL B 100/6 MCG AERO 120 D</t>
  </si>
  <si>
    <t>FRESUBIN 2 CAL FBR CIKOLATA 20</t>
  </si>
  <si>
    <t>FRESUBIN 2 CAL FBR VANILYA 200</t>
  </si>
  <si>
    <t>FRESUBIN ENERG CIKOLATA 200 ML</t>
  </si>
  <si>
    <t>FRESUBIN ENERG FBR CIKOLATA 20</t>
  </si>
  <si>
    <t>FRESUBIN ENERG FBR MUZ 200ÿML.</t>
  </si>
  <si>
    <t>FUCITEC %1 VISKOZ 5 GR GOZ GTT</t>
  </si>
  <si>
    <t>FUCITHALMIC %1 VISKOZ 5 GR GOZ</t>
  </si>
  <si>
    <t>FULLCEF PLUS 300/125 MG 20 FTB</t>
  </si>
  <si>
    <t>FUNGOSTATIN 100.000 IU 50 ML S</t>
  </si>
  <si>
    <t>FUSIX DERMACORT %2+0.1 30 GR K</t>
  </si>
  <si>
    <t>GANFORT %0.03+0.5 3 ML GOZ GTT</t>
  </si>
  <si>
    <t>GASTREN 680/80 MG SWEET 48 CIG</t>
  </si>
  <si>
    <t>GASTREN 680/80 MG TROPIC 48 CI</t>
  </si>
  <si>
    <t>GASTREN DUO 600 MG 100 ML SUSP</t>
  </si>
  <si>
    <t>GASTREN DUO 600 MG 240 ML SUSP</t>
  </si>
  <si>
    <t>GASVIN DUO 500 MG 200 ML SUSP.</t>
  </si>
  <si>
    <t>GAVISCON D.ACTION 200 ML SUSP.</t>
  </si>
  <si>
    <t>GAVISCON INFANT 225 MG 30 SASE</t>
  </si>
  <si>
    <t>GENOTROPIN 5.3 MG 16 IU 1 PEN.</t>
  </si>
  <si>
    <t>GERAKS %0.15+0.12 200 ML GARG.</t>
  </si>
  <si>
    <t>GERALGINE-K 500/30/10 MG 20 T*</t>
  </si>
  <si>
    <t>GERALGINE-P 120 MG 150 ML SUSP</t>
  </si>
  <si>
    <t>GLIFIX PLUS 15/1000 MG 30 FTB.</t>
  </si>
  <si>
    <t>GLUCERNA SELECT VANILYA 500 ML</t>
  </si>
  <si>
    <t>GLUTAMIN PLUS NOTRAL 30X22.4 G</t>
  </si>
  <si>
    <t>GRIPIN BEBE 120 MG 100 ML SRP.</t>
  </si>
  <si>
    <t>GYNALGINE %0.1 VAJINAL COZ 140</t>
  </si>
  <si>
    <t>GYNO CANESTEN 500 MG 1 VAG TB.</t>
  </si>
  <si>
    <t>GYNO LOMEXIN %2 30 GR VAG. KR.</t>
  </si>
  <si>
    <t>GYNO LOMEXIN 600 MG 2 VAG. OVU</t>
  </si>
  <si>
    <t>GYNO TRAVOGEN 600 MG 1 VAG. OV</t>
  </si>
  <si>
    <t>H.ALBUMIN %20 100 ML (ALBUMAN)</t>
  </si>
  <si>
    <t>H.ALBUMIN %20 100 ML (PLASBUMI</t>
  </si>
  <si>
    <t>HAEMOCOMPLETTAN P 1000 MG 1 FL</t>
  </si>
  <si>
    <t>HAMEDERM PLUS %18+5.35 30 GR K</t>
  </si>
  <si>
    <t>HEKSOBEN %0.15+0.12 200 ML GAR</t>
  </si>
  <si>
    <t>HEKSOBEN %0.15+0.12 30 ML SPR.</t>
  </si>
  <si>
    <t>HEPA ORNITAT 3 GR 30 GRN POSET</t>
  </si>
  <si>
    <t>HEPATITIS-B 200 IU 1 ML 1 ENJ.</t>
  </si>
  <si>
    <t>HEXINAT %0.15+0.12 200 ML GARG</t>
  </si>
  <si>
    <t>HIPERSAR PLUS 20/12.5 MG 28 FT</t>
  </si>
  <si>
    <t>HIPERSAR PLUS 20/12.5 MG 84 FT</t>
  </si>
  <si>
    <t>HIPERSAR PLUS 20/25 MG 28 FTB.</t>
  </si>
  <si>
    <t>HIPERSAR PLUS 40/12.5 MG 28 FT</t>
  </si>
  <si>
    <t>HIPERSAR PLUS 40/25 MG 28 FTB.</t>
  </si>
  <si>
    <t>HIRUDOID FORT %0.445 40 GR JEL</t>
  </si>
  <si>
    <t>HIRUDOID FORT %0.445 40 GR KR.</t>
  </si>
  <si>
    <t>HUMATROPE 12 MG 36 IU 1 KARTUS</t>
  </si>
  <si>
    <t>HUMATROPE 24 MG 72 IU 1 KARTUS</t>
  </si>
  <si>
    <t>HUMULIN M 100 IU 3 ML 5 KARTUS</t>
  </si>
  <si>
    <t>HUMULIN N 100 IU 3 ML 5 KARTUS</t>
  </si>
  <si>
    <t>HUMULIN R 100 IU 3 ML 5 KARTUS</t>
  </si>
  <si>
    <t>HYPER-HEP B 200 IU 1 ML 1 ENJ.</t>
  </si>
  <si>
    <t>IBUCOLD C 200/30/300 MG 30 FTB</t>
  </si>
  <si>
    <t>IBURAMIN ZERO 200 MG/2 MG 24 F</t>
  </si>
  <si>
    <t>ILIADIN %0.025 10 ML PED. GTT.</t>
  </si>
  <si>
    <t>ILIADIN %0.025 10 ML PED. SPR.</t>
  </si>
  <si>
    <t>INHIBACE PLUS 5/12.5 MG 28 TB.</t>
  </si>
  <si>
    <t>INNOHEP 10.000 IU 0.5 ML 2 ENJ</t>
  </si>
  <si>
    <t>INNOHEP 14.000 IU 0.7 ML 2 ENJ</t>
  </si>
  <si>
    <t>INNOHEP 20.000 IU 0.9 ML 2 ENJ</t>
  </si>
  <si>
    <t>INSULATARD HM 100 IU 3 ML 5 KA</t>
  </si>
  <si>
    <t>IPRALEV 20/50 MCG 200 DOZ INH.</t>
  </si>
  <si>
    <t>IPRASAL 2.5/0.5 MG 2.5 ML 20 F</t>
  </si>
  <si>
    <t>IPRAVENT 20/100 MCG 200 DOZ IN</t>
  </si>
  <si>
    <t>IRBECOR PLUS 150/12.5 MG 28 FT</t>
  </si>
  <si>
    <t>IRBECOR PLUS 300/12.5 MG 28 FT</t>
  </si>
  <si>
    <t>IRDAPIN PLUS 150/10/12.5 MG 28</t>
  </si>
  <si>
    <t>IRDAPIN PLUS 300/10/12.5 MG 28</t>
  </si>
  <si>
    <t>ISOSOURCE ENERG VANILYA 500 ML</t>
  </si>
  <si>
    <t>ISOSOURCE FBR MULTIFRUIT 500 M</t>
  </si>
  <si>
    <t>ISOSOURCE PROT. VANILYA 500 ML</t>
  </si>
  <si>
    <t>ISOSOURCE STAND. VANILYA 500 M</t>
  </si>
  <si>
    <t>KALINOR 2000+2170 MG 15 EFF TB</t>
  </si>
  <si>
    <t>K-ALLEXIN 50 MCG 18 GR NAS SPR</t>
  </si>
  <si>
    <t>KALSIMAG D3 1000 MG 40 EFF TB.</t>
  </si>
  <si>
    <t>KEMOPRIM 200/40 MG 100 ML SUSP</t>
  </si>
  <si>
    <t>KEMOPRIM FORT 800/160 MG 20 TB</t>
  </si>
  <si>
    <t>KENACORT A ORAB %0.1 5 GR POM.</t>
  </si>
  <si>
    <t>KEPPRA 100 MG 150/1 ML ORAL CO</t>
  </si>
  <si>
    <t>KEPPRA 100 MG 150/3 ML ORAL CO</t>
  </si>
  <si>
    <t>KEPPRA 100 MG 300 ML ORAL SOL.</t>
  </si>
  <si>
    <t>KETALAR 500 MG 10 ML 1  FLK.**</t>
  </si>
  <si>
    <t>K-FENIDEX %1.5+1.5+5 30 GR JEL</t>
  </si>
  <si>
    <t>KLAMOKS BID 200 MG 100 ML SUSP</t>
  </si>
  <si>
    <t>KLAMOKS BID 400 MG 100 ML SUSP</t>
  </si>
  <si>
    <t>KLAMOKS BID 400 MG 140 ML SUSP</t>
  </si>
  <si>
    <t>KLAMOKS BID 400 MG 70 ML SUSP.</t>
  </si>
  <si>
    <t>KLAMOKS ES 600 MG 100 ML SUSP.</t>
  </si>
  <si>
    <t>KLAMOKS ES 600 MG 150 ML SUSP.</t>
  </si>
  <si>
    <t>KLAVUNAT BID 200 MG  70 ML SUS</t>
  </si>
  <si>
    <t>KLAVUNAT BID 200 MG 100 ML SUS</t>
  </si>
  <si>
    <t>KLAVUNAT BID 400 MG  70 ML SUS</t>
  </si>
  <si>
    <t>KLAVUNAT BID 400 MG 100 ML SUS</t>
  </si>
  <si>
    <t>KLAVUNAT ES 600 MG 100 ML SUSP</t>
  </si>
  <si>
    <t>KLAVUNAT ES 600 MG 150 ML SUSP</t>
  </si>
  <si>
    <t>KLODAMIN %0.15+0.12 30 ML SPR.</t>
  </si>
  <si>
    <t>KLORHEX PLUS %0.25+0.12 200 ML</t>
  </si>
  <si>
    <t>KLOROBEN %0.15+0.12 200 ML GAR</t>
  </si>
  <si>
    <t>KLOROBEN %0.15+0.12 30 ML SPR.</t>
  </si>
  <si>
    <t>KONVERIL PLUS 20/12.5 MG 20 TB</t>
  </si>
  <si>
    <t>KORTILON A ORAB %0.1 5 GR POM.</t>
  </si>
  <si>
    <t>KR ENEMA 28.5+10.5 GR 210 ML L</t>
  </si>
  <si>
    <t>KR ENEMA 9.5+3.5 GR 66.6 ML LA</t>
  </si>
  <si>
    <t>KREVAL FORTE 15 MG 100 ML SRP.</t>
  </si>
  <si>
    <t>KREVAL MAX 22.5 MG 100 ML SRP.</t>
  </si>
  <si>
    <t>LAMICTAL DC 100 MG 30 CIGN TB.</t>
  </si>
  <si>
    <t>LAMICTAL DC 200 MG 30 CIGN TB.</t>
  </si>
  <si>
    <t>LARGOPEN BID 200 MG 100 ML SUS</t>
  </si>
  <si>
    <t>LARGOPEN BID 400 MG 100 ML SUS</t>
  </si>
  <si>
    <t>LATAPOL %0.005 2.5 ML GOZ GTT.</t>
  </si>
  <si>
    <t>LAX FOSFOSODA 0.9+2.4 45 ML OR</t>
  </si>
  <si>
    <t>LAXENO 1.5 MG 150 ML ORAL SOL.</t>
  </si>
  <si>
    <t>LAXENO 1.5 MG 250 ML ORAL SOL.</t>
  </si>
  <si>
    <t>LAXENO DIET 1.5 MG 150 ML ORAL</t>
  </si>
  <si>
    <t>LAXENO DIET 1.5 MG 250 ML ORAL</t>
  </si>
  <si>
    <t>LEKARNITIN 1000 MG 5 ML 5 AMP.</t>
  </si>
  <si>
    <t>LEVEMIR FLEXPEN 100 U 3 ML 5 P</t>
  </si>
  <si>
    <t>LEV-END 100 MG 300 ML ORAL SOL</t>
  </si>
  <si>
    <t>LEVOPRONT FORT 60 MG 75 ML SRP</t>
  </si>
  <si>
    <t>LOCERYL %5 2.5 ML TIRNAK CILAS</t>
  </si>
  <si>
    <t>LOPROFIN PROTEIN MIX UN 500 GR</t>
  </si>
  <si>
    <t>LOSAPRES PLUS 100/25 MG 28 FTB</t>
  </si>
  <si>
    <t>LOSAPRES PLUS 50/12.5 MG 28 FT</t>
  </si>
  <si>
    <t>LOTEBRA %0.5+0.3 5 ML GOZ GTT.</t>
  </si>
  <si>
    <t>LUBTANE  LUBR. TEK DOZ 30 FLK.</t>
  </si>
  <si>
    <t>LUMIGAN RC %0.01 2.5 ML GOZ GT</t>
  </si>
  <si>
    <t>MABTHERA 1400 MG 11.7 ML 1 FLK</t>
  </si>
  <si>
    <t>MAGCAR FORT 600 MG 100 ML SUSP</t>
  </si>
  <si>
    <t>MAGNESIE CALCINEE 100 GR (SABA</t>
  </si>
  <si>
    <t>MAGNEZYUM SUL. %15 10 AMP. (GA</t>
  </si>
  <si>
    <t>MAGNEZYUM SUL. %15 10 AMP. (OS</t>
  </si>
  <si>
    <t>MALTOFER 100 MG 5 ML 20 ORAL F</t>
  </si>
  <si>
    <t>MALTOFER FOL 100/0.35 MG 30 TB</t>
  </si>
  <si>
    <t>MEDIKINET 40 MG 30 RET. CA.***</t>
  </si>
  <si>
    <t>MELANDA BASLANGIC PAKETI 28 FT</t>
  </si>
  <si>
    <t>MENACTRA 0.5 ML 1 FLK.(MENENJI</t>
  </si>
  <si>
    <t>MENVEO 0.5 ML 1 FLK.(MENENJIT)</t>
  </si>
  <si>
    <t>METACARTIN 1000 MG 10 ML 10 FL</t>
  </si>
  <si>
    <t>METACARTIN 1000 MG 5 ML 5 AMP.</t>
  </si>
  <si>
    <t>METACARTIN 2000 MG 10 ML 10 FL</t>
  </si>
  <si>
    <t>METEOSPASMYL 60/300 MG 40 CAP.</t>
  </si>
  <si>
    <t>METHOTREXAT EBEWE 2.5 MG 100 T</t>
  </si>
  <si>
    <t>METHOTREXATE 50 MG 1 FLK (KOCA</t>
  </si>
  <si>
    <t>METHOTREXATE 500 MG 1 FLK (KOC</t>
  </si>
  <si>
    <t>METOART CON 10 MG 0.25 ML 1 EN</t>
  </si>
  <si>
    <t>METOART CON 15 MG 0.37 ML 1 EN</t>
  </si>
  <si>
    <t>METOART CON 20 MG 0.5 ML 1 ENJ</t>
  </si>
  <si>
    <t>METOART CON 25 MG 0.62 ML 1 EN</t>
  </si>
  <si>
    <t>METOART CON 30 MG 0.75 ML 1 EN</t>
  </si>
  <si>
    <t>METOART CON 7.5 MG 0.18 ML 1 E</t>
  </si>
  <si>
    <t>METRIN %0.6 MG 100 ML BIT SAMP</t>
  </si>
  <si>
    <t>MEXIA XR BASLANGIC PAKETI 28 T</t>
  </si>
  <si>
    <t>MICARDIS PLUS 80/12.5 MG 28 TB</t>
  </si>
  <si>
    <t>MICROGYNON 0.15/0.03 MG 21 DRJ</t>
  </si>
  <si>
    <t>MIKO PENOTRAN 1200 MG 1 VAG OV</t>
  </si>
  <si>
    <t>MIKOSTATIN 100.000 IU 48 ML SU</t>
  </si>
  <si>
    <t>MINAMOL PLS 250/50/150 MG 30 T</t>
  </si>
  <si>
    <t>MINAMOL PLUS 250 MG 150 ML SUS</t>
  </si>
  <si>
    <t>MINIRIN %0.1 MG 2.5 ML NSL SOL</t>
  </si>
  <si>
    <t>MINIRIN %01 MG 2.5 ML NASAL SP</t>
  </si>
  <si>
    <t>MINOSET PLS 250/50/150 MG 30 T</t>
  </si>
  <si>
    <t>MITOXANTRONE KOCAK 20 MG 1 FLK</t>
  </si>
  <si>
    <t>MIXTARD 30 HM 100 IU 3 ML 5 KA</t>
  </si>
  <si>
    <t>MOLCEF PLUS 400/125 MG 10 FTB.</t>
  </si>
  <si>
    <t>MOMETIX AQ 50 MCG 18 GR NAS SP</t>
  </si>
  <si>
    <t>MONOPRIL PLUS 10/12.5 MG 28 TB</t>
  </si>
  <si>
    <t>MONOPRIL PLUS 20/12.5 MG 28 TB</t>
  </si>
  <si>
    <t>MONOVIT B12 1000 MCG 1 ML 5 AM</t>
  </si>
  <si>
    <t>MONOVIT D3 50.000 IU 15 ML GTT</t>
  </si>
  <si>
    <t>MORPHINE 100 MG 1 ML 10 AMP***</t>
  </si>
  <si>
    <t>MORPHINE 100 MG.1 ML 10 AMP***</t>
  </si>
  <si>
    <t>MOXIDEXA 5 MG+1 MG 5 ML GOZ GT</t>
  </si>
  <si>
    <t>MUCOLATOR 200 MG 100 ML PED SR</t>
  </si>
  <si>
    <t>MUCONEX FORT 1200 MG 20 EFF TB</t>
  </si>
  <si>
    <t>MUCONEX-C 600/200 MG 30 EFF TB</t>
  </si>
  <si>
    <t>MUCOVIT-C 1200/400 MG 30 EFF T</t>
  </si>
  <si>
    <t>MUCOVIT-C 600/200 MG 30 EFF TB</t>
  </si>
  <si>
    <t>MUCOVIT-C 900/300 MG 30  EFF T</t>
  </si>
  <si>
    <t>MUKOTIK 100 MG 100 ML BEBE SRP</t>
  </si>
  <si>
    <t>MULTICOLD 200/250/50 MG 20 EFF</t>
  </si>
  <si>
    <t>MX.OLICLINOM N7 1000 E 1000 ML</t>
  </si>
  <si>
    <t>MX.OLICLINOM N7 1000 E 1500 ML</t>
  </si>
  <si>
    <t>NASACORT AQ 55 MCG 120 DOZ SPR</t>
  </si>
  <si>
    <t>NASOVINE 0.5 MG 10 ML PED SPR.</t>
  </si>
  <si>
    <t>NAZALASTIN %0.14 10 ML NAS SPR</t>
  </si>
  <si>
    <t>NAZOBEC 100 MCG 200 DOZ NAS SP</t>
  </si>
  <si>
    <t>NAZOSTER 50 MCG 18 GR NAS SPR.</t>
  </si>
  <si>
    <t>N-CORT 55 MCG 120 DOZ NAS SPR.</t>
  </si>
  <si>
    <t>NEO PENOTRAN FORT L 7 VAG. OVU</t>
  </si>
  <si>
    <t>NEROX B12 250/250/1 MG 30 FTB.</t>
  </si>
  <si>
    <t>NERUDA 250 MG 470 ML ORAL COZ*</t>
  </si>
  <si>
    <t>NETILDEX %0.3+%0.1 5 DOZ 20 FL</t>
  </si>
  <si>
    <t>NETILDEX %0.3+%0.1 5 ML GOZ GT</t>
  </si>
  <si>
    <t>NETROLEX 100 MG 300 ML ORAL SO</t>
  </si>
  <si>
    <t>NEVRA B12 1000 MCG 1 ML 5 AMP.</t>
  </si>
  <si>
    <t>NICORETTE F.FRUIT 2 MG 105 SKZ</t>
  </si>
  <si>
    <t>NIDAZOL 50 MG 100 ML PED SUSP.</t>
  </si>
  <si>
    <t>NIFUNIS 500 MG 200.000 IU  6 V</t>
  </si>
  <si>
    <t>NIMENRIX 0.5 MG 1 FLK(MENENJI)</t>
  </si>
  <si>
    <t>NITROLINGUAL 0.4 MG 14.2 GR SP</t>
  </si>
  <si>
    <t>NORDITROPIN NORDIF 10 MG 1 PEN</t>
  </si>
  <si>
    <t>NORODOL DEK 150 MG 3 ML 1 AMP.</t>
  </si>
  <si>
    <t>NOTUSS FORT 22.5 MG 100 ML SRP</t>
  </si>
  <si>
    <t>NOVASOURCE GI CONT VANILLA 500</t>
  </si>
  <si>
    <t>NOVO VULOTRAN FORTE L 7 VAG. O</t>
  </si>
  <si>
    <t>NOVOMIX 30 100 IU 3 ML 5 FLEXP</t>
  </si>
  <si>
    <t>NOVOMIX 30 100 IU 3 ML 5 PENFI</t>
  </si>
  <si>
    <t>NOVOMIX 50 100 IU 3 ML 5 FLEXP</t>
  </si>
  <si>
    <t>NOVOSEVEN RT 1 MG 50 KIU 1 FLK</t>
  </si>
  <si>
    <t>NOVOSEVEN RT 2 MG 100 KIU 1 FL</t>
  </si>
  <si>
    <t>NUTRIVIGOR RTH VANILYA 500 ML.</t>
  </si>
  <si>
    <t>OFNOL FRESH %0.1+%0.15 5 ML GO</t>
  </si>
  <si>
    <t>OKSAPAR 12000 IU 0.8 ML 10 ENJ</t>
  </si>
  <si>
    <t>OKSAPAR 4000 IU 0.4 ML 10 ENJ.</t>
  </si>
  <si>
    <t>OLIGOFER FOL 40/0.185 MG SOL 1</t>
  </si>
  <si>
    <t>OLMETEC PLUS 20/12.5 MG 28 FTB</t>
  </si>
  <si>
    <t>OLMETEC PLUS 40/12.5 MG 28 FTB</t>
  </si>
  <si>
    <t>OLMYSAR PLUS 20/12.5 MG 28 FTB</t>
  </si>
  <si>
    <t>OMNIPAQUE 300 MG 100 ML 1 FLK.</t>
  </si>
  <si>
    <t>OMNIPAQUE 350 MG 100 ML 1 FLK.</t>
  </si>
  <si>
    <t>OMNIPAQUE 350 MG 200 ML 1 FLK.</t>
  </si>
  <si>
    <t>OMNITROPE 10 MG 30 IU 1 KARTUS</t>
  </si>
  <si>
    <t>OMNITROPE 15 MG 45 IU 1 KARTUS</t>
  </si>
  <si>
    <t>OROFEN COLD&amp;FLU 200 MG/30 MG 3</t>
  </si>
  <si>
    <t>OROHEKS PLS %0.15+0.12 30 ML S</t>
  </si>
  <si>
    <t>OTRIVIN  0.5 MG 10 ML PED SPR.</t>
  </si>
  <si>
    <t>OTRIVINE CARE 1 MG 10 ML DOZ A</t>
  </si>
  <si>
    <t>OTRIVINE MENTOL 1 MG 10 ML SPR</t>
  </si>
  <si>
    <t>OVADRIL %13.33+1.66+2.5 120 ML</t>
  </si>
  <si>
    <t>OVITRELLE 250 MCG 0.5 ML 1 FLK</t>
  </si>
  <si>
    <t>PALOXITRON 250 MCG 5 ML 1 AMP.</t>
  </si>
  <si>
    <t>PANADOL ACTIFAST 500 MG 20 FTB</t>
  </si>
  <si>
    <t>PANALGINE 300/30/150 MG 30 TB.</t>
  </si>
  <si>
    <t>PANKREOFLAT 170/310 MG 2X22 GR</t>
  </si>
  <si>
    <t>PANKREOFLAT 170/310 MG 60 FTB.</t>
  </si>
  <si>
    <t>PANTHERO NEOHALER 50 MCG 30 CA</t>
  </si>
  <si>
    <t>PAROL PLS 250/50/150 MG 30 TB.</t>
  </si>
  <si>
    <t>PAROL PLUS 250 MG 150 ML SUSP.</t>
  </si>
  <si>
    <t>PARVISTEN %0.025 5 ML GOZ GTT.</t>
  </si>
  <si>
    <t>PASSIFLORA 180 ML SRP (SANDOZ)</t>
  </si>
  <si>
    <t>PEDIASURE PEPTID VANILYA 200 M</t>
  </si>
  <si>
    <t>PEDIASURE PLUS FBR CILEK 220 M</t>
  </si>
  <si>
    <t>PEDIASURE PLUS FBR KAKAO 220 M</t>
  </si>
  <si>
    <t>PEDIASURE PLUS FBR MUZ 220 ML.</t>
  </si>
  <si>
    <t>PEDIASURE PLUS FBR VANILYA 220</t>
  </si>
  <si>
    <t>PEDIASURE PLUS VANILYA 220 ML.</t>
  </si>
  <si>
    <t>PEGASYS 135 MCG 0.5 ML 1 SIRIN</t>
  </si>
  <si>
    <t>PEGASYS 180 MCG 0.5 ML 1 SIRIN</t>
  </si>
  <si>
    <t>PEGDIN BAGIRSAK 227.1 GR 1 POS</t>
  </si>
  <si>
    <t>PENEPIN JR 0.15 MG 0.3 ML 1 EN</t>
  </si>
  <si>
    <t>PENEPIN JR 0.15 MG 0.3 ML 2 EN</t>
  </si>
  <si>
    <t>PENICILLIN G 1.000.000 IU 1 FL</t>
  </si>
  <si>
    <t>PEN-OS 400.000 IU 160 ML SUSP.</t>
  </si>
  <si>
    <t>PENTAGLOBIN 2.5 GR 50 ML 1 FLK</t>
  </si>
  <si>
    <t>PERIMEX PLS %0.15+0.12 30 ML S</t>
  </si>
  <si>
    <t>PERIVEL PLUS 2/0.625 MG 30 TB.</t>
  </si>
  <si>
    <t>PERLINGANIT 10 MG 10 ML 10 AMP</t>
  </si>
  <si>
    <t>PHOCUSS BASLANGIC PAKETI 28 FT</t>
  </si>
  <si>
    <t>PHOSPHO SODA 0.9+2.4 45 ML ORA</t>
  </si>
  <si>
    <t>PICOPREP 10 MG 3.5/12 GR 2 SAS</t>
  </si>
  <si>
    <t>PIYELOSEPTYL 25 MG 100 ML SUSP</t>
  </si>
  <si>
    <t>PKU COOLER 10 RED 30X87 ML POS</t>
  </si>
  <si>
    <t>PKU LOPHLEX LQ 10 KIRM MEYV 60</t>
  </si>
  <si>
    <t>PKU LOPHLEX LQ 20 KIRM MEYV 30</t>
  </si>
  <si>
    <t>PKU LOPHLEX LQ 20 TURUNCGIL 30</t>
  </si>
  <si>
    <t>PKU LOPHLEX LQ PORTAKAL 30X125</t>
  </si>
  <si>
    <t>POLINOKSID 600 MG 300 ML 1 FLK</t>
  </si>
  <si>
    <t>POLIPARIN 25000 IU 5 ML 1 FLK.</t>
  </si>
  <si>
    <t>POTRICAL B %0.005+0.05 30 GR P</t>
  </si>
  <si>
    <t>PRALAS 100/20 MCG 200 DOZ INH.</t>
  </si>
  <si>
    <t>PROCTO GLYVENOL %20+2 10 SUPP.</t>
  </si>
  <si>
    <t>PROCTO GLYVENOL %5+2 30 GR KR.</t>
  </si>
  <si>
    <t>PSOCAL B %0.005+0.05 30 GR POM</t>
  </si>
  <si>
    <t>PULMICORT TURB 100 MCG 200 DOZ</t>
  </si>
  <si>
    <t>PULMICORT TURB 200 MCG 100 DOZ</t>
  </si>
  <si>
    <t>PULMICORT TURB 400 MCG 100 DOZ</t>
  </si>
  <si>
    <t>PULMOREST FORT 60 MG 75 ML SRP</t>
  </si>
  <si>
    <t>PULMOZYME 2.5 MG 2.5 ML 30 AMP</t>
  </si>
  <si>
    <t>PURINOL 250/615 MG 70 GR EFF G</t>
  </si>
  <si>
    <t>REBEVEA PLUS 150/12.5 MG 28 FT</t>
  </si>
  <si>
    <t>REFACTO 1000 IU 1 FLK. (FVIII)</t>
  </si>
  <si>
    <t>REFACTO 2000 IU 1 FLK. (FVIII)</t>
  </si>
  <si>
    <t>RELVAR ELLIP 100/25 MCG 30 DOZ</t>
  </si>
  <si>
    <t>RELVAR ELLIP 200/25 MCG 30 DOZ</t>
  </si>
  <si>
    <t>RENNIE DUO 600 MG 100 ML SUSP.</t>
  </si>
  <si>
    <t>RESOURCE 2.0 FBR CILEK 200 ML.</t>
  </si>
  <si>
    <t>RESOURCE 2.0 FBR KAHVE 200 ML.</t>
  </si>
  <si>
    <t>RESOURCE 2.0 FBR ORMAN 200 ML.</t>
  </si>
  <si>
    <t>RESOURCE 2.0 FBR VANILYA 190 M</t>
  </si>
  <si>
    <t>RESOURCE DIABET VANILYA 200 ML</t>
  </si>
  <si>
    <t>RESOURCE ENERG CIKOLATA 200 ML</t>
  </si>
  <si>
    <t>RESOURCE ENERG CILEK AHUDU 200</t>
  </si>
  <si>
    <t>RESOURCE ENERG VANILYA 200 ML.</t>
  </si>
  <si>
    <t>RESOURCE GLUTAMINE 5X20 GR SAS</t>
  </si>
  <si>
    <t>RESOURCE JUN FBR CILEK 200 ML.</t>
  </si>
  <si>
    <t>RESOURCE JUN FBR VANILYA 200 M</t>
  </si>
  <si>
    <t>RESOURCE PROT CIKOLATA 200 ML.</t>
  </si>
  <si>
    <t>RESOURCE THICKENUP CLEAR 125 G</t>
  </si>
  <si>
    <t>RESPIRO 125/25 MCG AERO 120 DO</t>
  </si>
  <si>
    <t>RESPIRO 250/25 MCG AERO 120 DO</t>
  </si>
  <si>
    <t>RESPIRO 50/25 MCG AERO 120 DOZ</t>
  </si>
  <si>
    <t>RESTASIS %0.05 TEK DOZ 30 FLK.</t>
  </si>
  <si>
    <t>RINOBEK 100 MCG 200 DOZ NAS SP</t>
  </si>
  <si>
    <t>RINOCLENIL 100 MCG 200 DOZ NAS</t>
  </si>
  <si>
    <t>RINOMIL 100 MCG 200 DOZ NAS SP</t>
  </si>
  <si>
    <t>RISPERDAL 1 MG 100 ML ORAL SOL</t>
  </si>
  <si>
    <t>RISPERDAL CONS 25 MG 1 IM FLK.</t>
  </si>
  <si>
    <t>RISPERDAL CONS 37.5 MG 1 IM FL</t>
  </si>
  <si>
    <t>RISPERDAL CONS 50 MG 1 IM FLK.</t>
  </si>
  <si>
    <t>ROLASTYM 160/4.5  MCG AERO 120</t>
  </si>
  <si>
    <t>ROLASTYM 320/9  MCG AERO 60 DO</t>
  </si>
  <si>
    <t>ROLASTYM COM 200/12 MCG 60 CAP</t>
  </si>
  <si>
    <t>ROLASTYM COM 400/12 MCG 60 CAP</t>
  </si>
  <si>
    <t>RONKOTOL 2.5 MG 2.5 ML 20 FLK.</t>
  </si>
  <si>
    <t>SANDIMMUN 100 MG 50 ML ORAL SO</t>
  </si>
  <si>
    <t>SANDOSTATIN 0.1 MG 1 ML 5 AMP.</t>
  </si>
  <si>
    <t>SANTAFER FORT 100/0.35 MG 30 F</t>
  </si>
  <si>
    <t>SARCOPHEN %1.25+0.25 30 GR JEL</t>
  </si>
  <si>
    <t>SARILEN PLUS 100/25 MG 28 FTB.</t>
  </si>
  <si>
    <t>SARILEN PLUS 50/12.5 MG 28 FTB</t>
  </si>
  <si>
    <t>SARVASTAN FORT 100/25 MG 28 FT</t>
  </si>
  <si>
    <t>SEDERGINE VIT-C 330/200 10 EFF</t>
  </si>
  <si>
    <t>SEFKLAV 1000/125 MG 20 EFF TB.</t>
  </si>
  <si>
    <t>SELOVITA D3 50.000 IU 15 ML GT</t>
  </si>
  <si>
    <t>SERETIDE 100/50 MCG 60 DOZ DIS</t>
  </si>
  <si>
    <t>SERETIDE 125/25 MCG 120 DOZ IN</t>
  </si>
  <si>
    <t>SERETIDE 250/25 MCG 120 DOZ IN</t>
  </si>
  <si>
    <t>SERETIDE 250/50 MCG 60 DOZ DIS</t>
  </si>
  <si>
    <t>SERETIDE 500/50 MCG 60 DOZ DIS</t>
  </si>
  <si>
    <t>SERPERIL PLUS 4/1.25 MG 30 TB.</t>
  </si>
  <si>
    <t>SIMBRINZA 10+2 MG 5 ML GOZ GTT</t>
  </si>
  <si>
    <t>SINORETIK FORTE 20/25 MG 30 TB</t>
  </si>
  <si>
    <t>SOLIQUA 100 U/33 MCG 3 ML 3 PE</t>
  </si>
  <si>
    <t>SOLIQUA 100 U/50 MCG 3 ML 3 PE</t>
  </si>
  <si>
    <t>SOMATULIN  120 MG 0.5 ML 1 ENJ</t>
  </si>
  <si>
    <t>SOMATULIN  60 MG 0.5 ML 1 ENJ.</t>
  </si>
  <si>
    <t>SOMATULIN  90 MG 0.5 ML 1 ENJ.</t>
  </si>
  <si>
    <t>SPIRIVA RESPIMAT 2.5 MCG 60 DO</t>
  </si>
  <si>
    <t>STAFINE %1 VISKOZ 5 GR GOZ GTT</t>
  </si>
  <si>
    <t>STRATTERA 4 MG 100 ML ORAL COZ</t>
  </si>
  <si>
    <t>SULBAKSIT 0.5/0.25 GR IM 1 FLK</t>
  </si>
  <si>
    <t>SULBAKSIT 1/0.5 GR IM/IV 1 FLK</t>
  </si>
  <si>
    <t>SULCID 0.5/0.25 GR IM/IV 1 FLK</t>
  </si>
  <si>
    <t>SULFAZINK 30 MG 100 ML FORT SR</t>
  </si>
  <si>
    <t>SUNDROP D3 150.000 IU 10 ML GT</t>
  </si>
  <si>
    <t>SYMBICORT FORT 320/9 MCG 60 DO</t>
  </si>
  <si>
    <t>SYMBICORT TURB 160/4.5 120 DOZ</t>
  </si>
  <si>
    <t>SYSTANE LUBRICANT 15 ML GOZ GT</t>
  </si>
  <si>
    <t>TANTUM VERDE %0.15 120 ML GARG</t>
  </si>
  <si>
    <t>TEARS NATURALE II 15 ML GOZ GT</t>
  </si>
  <si>
    <t>TECENTRIQ 1200 MG 20 ML 1 FLK.</t>
  </si>
  <si>
    <t>TENSART PLUS 16/12.5 MG 28 TB.</t>
  </si>
  <si>
    <t>TEVETEN PLUS 600/12.5 MG 28 FT</t>
  </si>
  <si>
    <t>THILO TEARS 3 MG 10 GR OFT. JE</t>
  </si>
  <si>
    <t>THROMBO REDUCTIN 0. 5 MG 100 C</t>
  </si>
  <si>
    <t>TIOPATI B 600/250/1 MG 30 FTB.</t>
  </si>
  <si>
    <t>TOBRADEX %0.3+%0.1 5 ML GOZ GT</t>
  </si>
  <si>
    <t>TRACTOCILE 7.5 MG 0.9 ML 1 FLK</t>
  </si>
  <si>
    <t>TRANEXEL 250 MG 2.5 ML 10 AMP.</t>
  </si>
  <si>
    <t>TRANKO BUSKAS 10/10 MG 20 TB.*</t>
  </si>
  <si>
    <t>TRANSAMINE 250 MG 2.5 ML 10 AM</t>
  </si>
  <si>
    <t>TRANSAMINE 250 MG 5 ML 10 AMP.</t>
  </si>
  <si>
    <t>TRAVATAN %0.004 2.5 ML GOZ GTT</t>
  </si>
  <si>
    <t>TRIBEKSOL 250/250/1 MG 30 FTB.</t>
  </si>
  <si>
    <t>TRIBUDAT 24 MG 250 ML GRN SUSP</t>
  </si>
  <si>
    <t>TRIMBOW 87/5/9 MCG 120 DOZ INH</t>
  </si>
  <si>
    <t>TRIMOKS 200/40 MG 100 ML SUSP.</t>
  </si>
  <si>
    <t>TRIMOKS FORT 800/160 MG 20 TB.</t>
  </si>
  <si>
    <t>TRIO 1000/500/30 MG 14 BLISTER</t>
  </si>
  <si>
    <t>TRIPLIXAM 10/2.50/10 MG 30 FTB</t>
  </si>
  <si>
    <t>TRIPLIXAM 10/2.50/5 MG 30 FTB.</t>
  </si>
  <si>
    <t>TRIPLIXAM 5/1.25/10 MG 30 FTB.</t>
  </si>
  <si>
    <t>TROPAMID FORT %1 5 ML GOZ GTT.</t>
  </si>
  <si>
    <t>TRULICITY 0.75 MG 0.5 ML 4 PEN</t>
  </si>
  <si>
    <t>TRULICITY 1.5 MG 0.5 ML 4 PEN.</t>
  </si>
  <si>
    <t>TUTAST SANOHALER 18 MCG 30 DOZ</t>
  </si>
  <si>
    <t>TYLOL 6 PLUS 250 MG 150 ML SUS</t>
  </si>
  <si>
    <t>ULTRACAIN DS FORTE 2 ML 20 AMP</t>
  </si>
  <si>
    <t>ULTRAVIST 300 MG 100 ML 1 FLK.</t>
  </si>
  <si>
    <t>ULTRAVIST 370 MG 100 ML 1 FLK.</t>
  </si>
  <si>
    <t>ULTRAVIST 370 MG 200 ML 1 FLK.</t>
  </si>
  <si>
    <t>UREACORT %0.5+10 30 GR YAGLI K</t>
  </si>
  <si>
    <t>UROMITEXAN 400 MG 4 ML 15 AMP.</t>
  </si>
  <si>
    <t>VALCOR PLUS 80/12.5 MG 28 FTB.</t>
  </si>
  <si>
    <t>VAXORAL 3.5 MG 30 CAP. (COCUK)</t>
  </si>
  <si>
    <t>VAXORAL 7 MG 30 CAP. ( BUYUK )</t>
  </si>
  <si>
    <t>VEGABON PLUS D 70 MG/2800 IU 4</t>
  </si>
  <si>
    <t>VEGABON PLUS D 70 MG/5600 IU 4</t>
  </si>
  <si>
    <t>VENTOFOR COM 400/12 MCG 120 IN</t>
  </si>
  <si>
    <t>VENTOFOR COMBI FIX 320/9 MCG 6</t>
  </si>
  <si>
    <t>VENTOLIN NEB 2.5 MG 2.5 ML20 F</t>
  </si>
  <si>
    <t>VENTOSAL 2.5 MG 2.5 ML 20 FLK.</t>
  </si>
  <si>
    <t>VERAPIN FORTE 240/4 MG 28 FTB.</t>
  </si>
  <si>
    <t>VICKS VAPO 200 MG 120 ML EXP.*</t>
  </si>
  <si>
    <t>VIEKIRAX 12.5/75/50 MG 56 FTB.</t>
  </si>
  <si>
    <t>VI-PLEX B12 1000 MCG 1 ML 5 AM</t>
  </si>
  <si>
    <t>VITAKOBAL 1000 MCG 1 ML 5 AMP.</t>
  </si>
  <si>
    <t>VITAL 1.5 KCAL ORMAN MEYVE 200</t>
  </si>
  <si>
    <t>VITAL 1.5 KCAL VANILYA 1000 ML</t>
  </si>
  <si>
    <t>VITAL 1.5 KCAL VANILYA 200 ML.</t>
  </si>
  <si>
    <t>VITA-POS 250 IU 5 GR OFT. POM.</t>
  </si>
  <si>
    <t>VITOEL D3 150.000 IU 10 ML GTT</t>
  </si>
  <si>
    <t>XALACOM %0.005 2.5 ML GOZ GTT.</t>
  </si>
  <si>
    <t>XALATAN %0.005 2.5 ML GOZ GTT.</t>
  </si>
  <si>
    <t>XM DIET 1.5 MG 150 ML ORAL SOL</t>
  </si>
  <si>
    <t>XM DIET 1.5 MG 250 ML ORAL SOL</t>
  </si>
  <si>
    <t>ZALDIAR 37.5/325 MG 20 FTB. **</t>
  </si>
  <si>
    <t>ZAVICEFTA 2/0,5 G INF SOL. TOZ</t>
  </si>
  <si>
    <t>ZINCLOMIN 30 MG 100 ML FORT SR</t>
  </si>
  <si>
    <t>ZINCOPLEX 30 MG 100 ML FORT SR</t>
  </si>
  <si>
    <t>ZINOBEST 30 MG 100 ML FORT SRP</t>
  </si>
  <si>
    <t>ZONABEC 100 MCG 200 DOZ NAS SP</t>
  </si>
  <si>
    <t>ZOPROTEC PLUS 30/12.5 MG 28 FT</t>
  </si>
  <si>
    <t>8699569010111</t>
  </si>
  <si>
    <t>8699650772348</t>
  </si>
  <si>
    <t>8699580090598</t>
  </si>
  <si>
    <t>8699514011606</t>
  </si>
  <si>
    <t>8680683590023</t>
  </si>
  <si>
    <t>8680683010149</t>
  </si>
  <si>
    <t>8680683010156</t>
  </si>
  <si>
    <t>8680683010163</t>
  </si>
  <si>
    <t>8680683010132</t>
  </si>
  <si>
    <t>8680683780028</t>
  </si>
  <si>
    <t>8699541015349</t>
  </si>
  <si>
    <t>8699638095513</t>
  </si>
  <si>
    <t>8699540016613</t>
  </si>
  <si>
    <t>8699540570078</t>
  </si>
  <si>
    <t>8699540016668</t>
  </si>
  <si>
    <t>8699540016712</t>
  </si>
  <si>
    <t>8699540016767</t>
  </si>
  <si>
    <t>8699540016811</t>
  </si>
  <si>
    <t>8699540070097</t>
  </si>
  <si>
    <t>8699540070110</t>
  </si>
  <si>
    <t>8699540070080</t>
  </si>
  <si>
    <t>8699548993756</t>
  </si>
  <si>
    <t>8699538055600</t>
  </si>
  <si>
    <t>8699538055617</t>
  </si>
  <si>
    <t>8699538055624</t>
  </si>
  <si>
    <t>8699538055631</t>
  </si>
  <si>
    <t>8699525019776</t>
  </si>
  <si>
    <t>8699756091367</t>
  </si>
  <si>
    <t>8681308091123</t>
  </si>
  <si>
    <t>8699828190042</t>
  </si>
  <si>
    <t>8699527151016</t>
  </si>
  <si>
    <t>8699680080109</t>
  </si>
  <si>
    <t>8699680080093</t>
  </si>
  <si>
    <t>8699828690191</t>
  </si>
  <si>
    <t>8681428690442</t>
  </si>
  <si>
    <t>8699587383136</t>
  </si>
  <si>
    <t>8699821190100</t>
  </si>
  <si>
    <t>8699821190094</t>
  </si>
  <si>
    <t>8699514350170</t>
  </si>
  <si>
    <t>8699514350118</t>
  </si>
  <si>
    <t>8699514355908</t>
  </si>
  <si>
    <t>8699569340089</t>
  </si>
  <si>
    <t>8699505952840</t>
  </si>
  <si>
    <t>8699505762296</t>
  </si>
  <si>
    <t>8699505762319</t>
  </si>
  <si>
    <t>8699505762272</t>
  </si>
  <si>
    <t>8699522571185</t>
  </si>
  <si>
    <t>8699522575176</t>
  </si>
  <si>
    <t>8699522015245</t>
  </si>
  <si>
    <t>8699693790026</t>
  </si>
  <si>
    <t>8699693790040</t>
  </si>
  <si>
    <t>8699561340087</t>
  </si>
  <si>
    <t>8699676090617</t>
  </si>
  <si>
    <t>8699456010019</t>
  </si>
  <si>
    <t>8699456010026</t>
  </si>
  <si>
    <t>8699676950348</t>
  </si>
  <si>
    <t>8699525610157</t>
  </si>
  <si>
    <t>8699532094100</t>
  </si>
  <si>
    <t>8699532094056</t>
  </si>
  <si>
    <t>8699490561027</t>
  </si>
  <si>
    <t>8681023350031</t>
  </si>
  <si>
    <t>8699625960466</t>
  </si>
  <si>
    <t>8699625960428</t>
  </si>
  <si>
    <t>8699546031870</t>
  </si>
  <si>
    <t>8699456790058</t>
  </si>
  <si>
    <t>8699630768446</t>
  </si>
  <si>
    <t>8699541751605</t>
  </si>
  <si>
    <t>8699541014304</t>
  </si>
  <si>
    <t>8699541015226</t>
  </si>
  <si>
    <t>8699546090198</t>
  </si>
  <si>
    <t>8699546090211</t>
  </si>
  <si>
    <t>8699546090235</t>
  </si>
  <si>
    <t>8699546090297</t>
  </si>
  <si>
    <t>8699546090273</t>
  </si>
  <si>
    <t>8699832090604</t>
  </si>
  <si>
    <t>8699832090598</t>
  </si>
  <si>
    <t>8699516154547</t>
  </si>
  <si>
    <t>8699516154554</t>
  </si>
  <si>
    <t>8699516154561</t>
  </si>
  <si>
    <t>8699607750054</t>
  </si>
  <si>
    <t>8699788750065</t>
  </si>
  <si>
    <t>8699607750047</t>
  </si>
  <si>
    <t>8699788750041</t>
  </si>
  <si>
    <t>8699607750085</t>
  </si>
  <si>
    <t>8699788750027</t>
  </si>
  <si>
    <t>8699511796056</t>
  </si>
  <si>
    <t>8699511796063</t>
  </si>
  <si>
    <t>8699043890185</t>
  </si>
  <si>
    <t>8699043890215</t>
  </si>
  <si>
    <t>8699043890444</t>
  </si>
  <si>
    <t>8699043890253</t>
  </si>
  <si>
    <t>8699546380015</t>
  </si>
  <si>
    <t>8699546380039</t>
  </si>
  <si>
    <t>8699546480012</t>
  </si>
  <si>
    <t>8699546650019</t>
  </si>
  <si>
    <t>8681308152381</t>
  </si>
  <si>
    <t>8699636570029</t>
  </si>
  <si>
    <t>8699636090015</t>
  </si>
  <si>
    <t>8699708751745</t>
  </si>
  <si>
    <t>8699708751752</t>
  </si>
  <si>
    <t>8699708751769</t>
  </si>
  <si>
    <t>8699708751776</t>
  </si>
  <si>
    <t>8699671020015</t>
  </si>
  <si>
    <t>8699570570062</t>
  </si>
  <si>
    <t>8699570150011</t>
  </si>
  <si>
    <t>8699570090058</t>
  </si>
  <si>
    <t>8699570570147</t>
  </si>
  <si>
    <t>8699570090119</t>
  </si>
  <si>
    <t>8699502093225</t>
  </si>
  <si>
    <t>8699504011487</t>
  </si>
  <si>
    <t>8699504011456</t>
  </si>
  <si>
    <t>8699561340131</t>
  </si>
  <si>
    <t>8680952380911</t>
  </si>
  <si>
    <t>8697927091604</t>
  </si>
  <si>
    <t>8680881090608</t>
  </si>
  <si>
    <t>8680881240560</t>
  </si>
  <si>
    <t>8697927090249</t>
  </si>
  <si>
    <t>8681094550316</t>
  </si>
  <si>
    <t>8681094550323</t>
  </si>
  <si>
    <t>8680741551157</t>
  </si>
  <si>
    <t>8680741551164</t>
  </si>
  <si>
    <t>8680760150294</t>
  </si>
  <si>
    <t>8680760150287</t>
  </si>
  <si>
    <t>8680760150270</t>
  </si>
  <si>
    <t>8699278340035</t>
  </si>
  <si>
    <t>8699278340042</t>
  </si>
  <si>
    <t>8699708011559</t>
  </si>
  <si>
    <t>8699708751530</t>
  </si>
  <si>
    <t>8699591340033</t>
  </si>
  <si>
    <t>8699516355616</t>
  </si>
  <si>
    <t>8699516705626</t>
  </si>
  <si>
    <t>8699516015602</t>
  </si>
  <si>
    <t>8699516015633</t>
  </si>
  <si>
    <t>8699591350315</t>
  </si>
  <si>
    <t>8680008011004</t>
  </si>
  <si>
    <t>8699559190038</t>
  </si>
  <si>
    <t>8699559190045</t>
  </si>
  <si>
    <t>8699540091023</t>
  </si>
  <si>
    <t>8699540091054</t>
  </si>
  <si>
    <t>8699540091030</t>
  </si>
  <si>
    <t>8699540270541</t>
  </si>
  <si>
    <t>8699540270510</t>
  </si>
  <si>
    <t>8680199094855</t>
  </si>
  <si>
    <t>8680199094879</t>
  </si>
  <si>
    <t>8680881094064</t>
  </si>
  <si>
    <t>8680760092044</t>
  </si>
  <si>
    <t>8699504612004</t>
  </si>
  <si>
    <t>8699543010014</t>
  </si>
  <si>
    <t>8699543010168</t>
  </si>
  <si>
    <t>8699543010038</t>
  </si>
  <si>
    <t>8699543010021</t>
  </si>
  <si>
    <t>8698856350091</t>
  </si>
  <si>
    <t>8699510753111</t>
  </si>
  <si>
    <t>8699809779150</t>
  </si>
  <si>
    <t>8699680090252</t>
  </si>
  <si>
    <t>8699680090269</t>
  </si>
  <si>
    <t>8699680080024</t>
  </si>
  <si>
    <t>8699680080017</t>
  </si>
  <si>
    <t>8699505153407</t>
  </si>
  <si>
    <t>8699591650286</t>
  </si>
  <si>
    <t>8699680090054</t>
  </si>
  <si>
    <t>8699546098248</t>
  </si>
  <si>
    <t>8680760092266</t>
  </si>
  <si>
    <t>8699508090310</t>
  </si>
  <si>
    <t>8690632991597</t>
  </si>
  <si>
    <t>8698978270116</t>
  </si>
  <si>
    <t>8698978270130</t>
  </si>
  <si>
    <t>8698978270147</t>
  </si>
  <si>
    <t>8699680030210</t>
  </si>
  <si>
    <t>8699638014408</t>
  </si>
  <si>
    <t>8699559380019</t>
  </si>
  <si>
    <t>8699559380026</t>
  </si>
  <si>
    <t>8699680090467</t>
  </si>
  <si>
    <t>8699680170053</t>
  </si>
  <si>
    <t>8699673261133</t>
  </si>
  <si>
    <t>8699559090857</t>
  </si>
  <si>
    <t>8699559090772</t>
  </si>
  <si>
    <t>8699559090789</t>
  </si>
  <si>
    <t>8699559010145</t>
  </si>
  <si>
    <t>8699546070879</t>
  </si>
  <si>
    <t>8699874080021</t>
  </si>
  <si>
    <t>8699809098664</t>
  </si>
  <si>
    <t>8699809098671</t>
  </si>
  <si>
    <t>8698856610232</t>
  </si>
  <si>
    <t>8698856540249</t>
  </si>
  <si>
    <t>8699527573788</t>
  </si>
  <si>
    <t>8699527093569</t>
  </si>
  <si>
    <t>8699527093705</t>
  </si>
  <si>
    <t>8699527593748</t>
  </si>
  <si>
    <t>8699293090014</t>
  </si>
  <si>
    <t>8699293090199</t>
  </si>
  <si>
    <t>8699738480028</t>
  </si>
  <si>
    <t>8699504612011</t>
  </si>
  <si>
    <t>8681349103021</t>
  </si>
  <si>
    <t>8699591570379</t>
  </si>
  <si>
    <t>8699490561041</t>
  </si>
  <si>
    <t>8699828750635</t>
  </si>
  <si>
    <t>8699505762821</t>
  </si>
  <si>
    <t>8699505762838</t>
  </si>
  <si>
    <t>8699456090165</t>
  </si>
  <si>
    <t>8699456090141</t>
  </si>
  <si>
    <t>8680656080537</t>
  </si>
  <si>
    <t>8699543090061</t>
  </si>
  <si>
    <t>8699543090351</t>
  </si>
  <si>
    <t>8699543090078</t>
  </si>
  <si>
    <t>8699543090368</t>
  </si>
  <si>
    <t>8699543090085</t>
  </si>
  <si>
    <t>8699514150244</t>
  </si>
  <si>
    <t>8699514150183</t>
  </si>
  <si>
    <t>8699514150213</t>
  </si>
  <si>
    <t>8699514150237</t>
  </si>
  <si>
    <t>8699514150695</t>
  </si>
  <si>
    <t>8699540096462</t>
  </si>
  <si>
    <t>8699540096417</t>
  </si>
  <si>
    <t>8699540070134</t>
  </si>
  <si>
    <t>8699540070127</t>
  </si>
  <si>
    <t>8699569090687</t>
  </si>
  <si>
    <t>8699569090670</t>
  </si>
  <si>
    <t>8699525094537</t>
  </si>
  <si>
    <t>8699525094520</t>
  </si>
  <si>
    <t>8699809010208</t>
  </si>
  <si>
    <t>8699809010215</t>
  </si>
  <si>
    <t>8699809010222</t>
  </si>
  <si>
    <t>8699809010239</t>
  </si>
  <si>
    <t>8698760790068</t>
  </si>
  <si>
    <t>8699512590011</t>
  </si>
  <si>
    <t>8699862950213</t>
  </si>
  <si>
    <t>8699862950237</t>
  </si>
  <si>
    <t>8699814750359</t>
  </si>
  <si>
    <t>8699814750144</t>
  </si>
  <si>
    <t>8699814750151</t>
  </si>
  <si>
    <t>8699788750089</t>
  </si>
  <si>
    <t>8699788750140</t>
  </si>
  <si>
    <t>8699502770607</t>
  </si>
  <si>
    <t>8699502770409</t>
  </si>
  <si>
    <t>8680199094206</t>
  </si>
  <si>
    <t>8680199094190</t>
  </si>
  <si>
    <t>8699502012875</t>
  </si>
  <si>
    <t>8699502012820</t>
  </si>
  <si>
    <t>8699536010236</t>
  </si>
  <si>
    <t>8699536010649</t>
  </si>
  <si>
    <t>8699536010229</t>
  </si>
  <si>
    <t>8699525092472</t>
  </si>
  <si>
    <t>8699525093189</t>
  </si>
  <si>
    <t>8699525283207</t>
  </si>
  <si>
    <t>8699525282484</t>
  </si>
  <si>
    <t>8699525283214</t>
  </si>
  <si>
    <t>8699525286451</t>
  </si>
  <si>
    <t>8699525282491</t>
  </si>
  <si>
    <t>8699525282507</t>
  </si>
  <si>
    <t>8699525092465</t>
  </si>
  <si>
    <t>8699525093172</t>
  </si>
  <si>
    <t>8699525288196</t>
  </si>
  <si>
    <t>8699525289568</t>
  </si>
  <si>
    <t>8699502094581</t>
  </si>
  <si>
    <t>8699502094574</t>
  </si>
  <si>
    <t>8699529120010</t>
  </si>
  <si>
    <t>8699529120027</t>
  </si>
  <si>
    <t>8699529030036</t>
  </si>
  <si>
    <t>8699514017509</t>
  </si>
  <si>
    <t>8699828091226</t>
  </si>
  <si>
    <t>8699536010342</t>
  </si>
  <si>
    <t>8699578090043</t>
  </si>
  <si>
    <t>8699578090036</t>
  </si>
  <si>
    <t>8699578700034</t>
  </si>
  <si>
    <t>8699578090098</t>
  </si>
  <si>
    <t>8699578090104</t>
  </si>
  <si>
    <t>8699508750016</t>
  </si>
  <si>
    <t>8699508010028</t>
  </si>
  <si>
    <t>8680760640023</t>
  </si>
  <si>
    <t>8680760510036</t>
  </si>
  <si>
    <t>8699546013838</t>
  </si>
  <si>
    <t>8699546011667</t>
  </si>
  <si>
    <t>8699708170010</t>
  </si>
  <si>
    <t>8699708310027</t>
  </si>
  <si>
    <t>8699708170027</t>
  </si>
  <si>
    <t>8699708310041</t>
  </si>
  <si>
    <t>8699516379018</t>
  </si>
  <si>
    <t>8699546097494</t>
  </si>
  <si>
    <t>8699565090148</t>
  </si>
  <si>
    <t>8699565090155</t>
  </si>
  <si>
    <t>8699565090124</t>
  </si>
  <si>
    <t>8699565090179</t>
  </si>
  <si>
    <t>8699565090193</t>
  </si>
  <si>
    <t>8699565090131</t>
  </si>
  <si>
    <t>8699565090278</t>
  </si>
  <si>
    <t>8699565090247</t>
  </si>
  <si>
    <t>8699565090254</t>
  </si>
  <si>
    <t>8699565090261</t>
  </si>
  <si>
    <t>8699522557660</t>
  </si>
  <si>
    <t>8680700422832</t>
  </si>
  <si>
    <t>8699540010208</t>
  </si>
  <si>
    <t>8699262240105</t>
  </si>
  <si>
    <t>8699262240068</t>
  </si>
  <si>
    <t>8699262240082</t>
  </si>
  <si>
    <t>8699569700081</t>
  </si>
  <si>
    <t>8699569010012</t>
  </si>
  <si>
    <t>8699527010955</t>
  </si>
  <si>
    <t>8699708090097</t>
  </si>
  <si>
    <t>8699708240218</t>
  </si>
  <si>
    <t>8699708190247</t>
  </si>
  <si>
    <t>8698978570018</t>
  </si>
  <si>
    <t>8699809560017</t>
  </si>
  <si>
    <t>8699650982075</t>
  </si>
  <si>
    <t>8680972009816</t>
  </si>
  <si>
    <t>8681624980231</t>
  </si>
  <si>
    <t>8699587011237</t>
  </si>
  <si>
    <t>8699680090986</t>
  </si>
  <si>
    <t>8699680090993</t>
  </si>
  <si>
    <t>8699680091006</t>
  </si>
  <si>
    <t>8699680091013</t>
  </si>
  <si>
    <t>8699680090962</t>
  </si>
  <si>
    <t>8699680090979</t>
  </si>
  <si>
    <t>8699540110090</t>
  </si>
  <si>
    <t>8699540110083</t>
  </si>
  <si>
    <t>8699540110113</t>
  </si>
  <si>
    <t>8699565090056</t>
  </si>
  <si>
    <t>8699565090087</t>
  </si>
  <si>
    <t>8699565090049</t>
  </si>
  <si>
    <t>8680199718416</t>
  </si>
  <si>
    <t>8680199715842</t>
  </si>
  <si>
    <t>8699809950665</t>
  </si>
  <si>
    <t>8699527090025</t>
  </si>
  <si>
    <t>8699527040020</t>
  </si>
  <si>
    <t>8699569700173</t>
  </si>
  <si>
    <t>8699569091868</t>
  </si>
  <si>
    <t>8697929023504</t>
  </si>
  <si>
    <t>8699514750161</t>
  </si>
  <si>
    <t>8699514750178</t>
  </si>
  <si>
    <t>8699525092199</t>
  </si>
  <si>
    <t>8699525092205</t>
  </si>
  <si>
    <t>8699514091509</t>
  </si>
  <si>
    <t>8699514091516</t>
  </si>
  <si>
    <t>8699514091523</t>
  </si>
  <si>
    <t>8699514091530</t>
  </si>
  <si>
    <t>8699514090977</t>
  </si>
  <si>
    <t>8699570160010</t>
  </si>
  <si>
    <t>8699570160034</t>
  </si>
  <si>
    <t>8699569090021</t>
  </si>
  <si>
    <t>8699569090045</t>
  </si>
  <si>
    <t>8699569090052</t>
  </si>
  <si>
    <t>8699543010274</t>
  </si>
  <si>
    <t>8699543010250</t>
  </si>
  <si>
    <t>8699745019730</t>
  </si>
  <si>
    <t>8698622700310</t>
  </si>
  <si>
    <t>8699828091257</t>
  </si>
  <si>
    <t>8699828091264</t>
  </si>
  <si>
    <t>8699862950015</t>
  </si>
  <si>
    <t>8699862950084</t>
  </si>
  <si>
    <t>8699862950091</t>
  </si>
  <si>
    <t>8699862950022</t>
  </si>
  <si>
    <t>8699862950039</t>
  </si>
  <si>
    <t>8699862950046</t>
  </si>
  <si>
    <t>8699862950053</t>
  </si>
  <si>
    <t>8699862950060</t>
  </si>
  <si>
    <t>8699862950077</t>
  </si>
  <si>
    <t>8699809090460</t>
  </si>
  <si>
    <t>8699809090477</t>
  </si>
  <si>
    <t>8699543091075</t>
  </si>
  <si>
    <t>8699543091099</t>
  </si>
  <si>
    <t>8699543091112</t>
  </si>
  <si>
    <t>8699543091136</t>
  </si>
  <si>
    <t>8699543091150</t>
  </si>
  <si>
    <t>8699552120315</t>
  </si>
  <si>
    <t>8699074550126</t>
  </si>
  <si>
    <t>8699844791582</t>
  </si>
  <si>
    <t>8699526000308</t>
  </si>
  <si>
    <t>8680760570016</t>
  </si>
  <si>
    <t>8680760091047</t>
  </si>
  <si>
    <t>8681308071002</t>
  </si>
  <si>
    <t>8699502013858</t>
  </si>
  <si>
    <t>8699502050075</t>
  </si>
  <si>
    <t>8699502050082</t>
  </si>
  <si>
    <t>8699786090071</t>
  </si>
  <si>
    <t>8699792043924</t>
  </si>
  <si>
    <t>8699543010977</t>
  </si>
  <si>
    <t>8699543010991</t>
  </si>
  <si>
    <t>8699543011011</t>
  </si>
  <si>
    <t>8699543011103</t>
  </si>
  <si>
    <t>8699543011035</t>
  </si>
  <si>
    <t>8699650982020</t>
  </si>
  <si>
    <t>8699788750195</t>
  </si>
  <si>
    <t>8699788750171</t>
  </si>
  <si>
    <t>8699874080250</t>
  </si>
  <si>
    <t>8699543010649</t>
  </si>
  <si>
    <t>8699543010656</t>
  </si>
  <si>
    <t>8699543010625</t>
  </si>
  <si>
    <t>8699543010632</t>
  </si>
  <si>
    <t>8699502340152</t>
  </si>
  <si>
    <t>8699502092310</t>
  </si>
  <si>
    <t>8699502092303</t>
  </si>
  <si>
    <t>8680199342079</t>
  </si>
  <si>
    <t>8699821151545</t>
  </si>
  <si>
    <t>8699821151514</t>
  </si>
  <si>
    <t>8699525950017</t>
  </si>
  <si>
    <t>8699525950031</t>
  </si>
  <si>
    <t>8699525950048</t>
  </si>
  <si>
    <t>8699525950024</t>
  </si>
  <si>
    <t>8699828750345</t>
  </si>
  <si>
    <t>8699832090055</t>
  </si>
  <si>
    <t>8699832750010</t>
  </si>
  <si>
    <t>8699586013331</t>
  </si>
  <si>
    <t>8699578090142</t>
  </si>
  <si>
    <t>8699586892035</t>
  </si>
  <si>
    <t>8699586042058</t>
  </si>
  <si>
    <t>8699586912047</t>
  </si>
  <si>
    <t>8681023090012</t>
  </si>
  <si>
    <t>8699591570515</t>
  </si>
  <si>
    <t>8699591090112</t>
  </si>
  <si>
    <t>8699570240125</t>
  </si>
  <si>
    <t>8699570240101</t>
  </si>
  <si>
    <t>8699570570024</t>
  </si>
  <si>
    <t>8699570750020</t>
  </si>
  <si>
    <t>8699570570079</t>
  </si>
  <si>
    <t>8699570240064</t>
  </si>
  <si>
    <t>8699792351135</t>
  </si>
  <si>
    <t>8699792011145</t>
  </si>
  <si>
    <t>8699792011152</t>
  </si>
  <si>
    <t>8699546010028</t>
  </si>
  <si>
    <t>8699546010011</t>
  </si>
  <si>
    <t>8699546241231</t>
  </si>
  <si>
    <t>8699546241248</t>
  </si>
  <si>
    <t>8699808010155</t>
  </si>
  <si>
    <t>8699786010031</t>
  </si>
  <si>
    <t>8699786010062</t>
  </si>
  <si>
    <t>8699786010024</t>
  </si>
  <si>
    <t>8699786010055</t>
  </si>
  <si>
    <t>8699717090187</t>
  </si>
  <si>
    <t>8699624570062</t>
  </si>
  <si>
    <t>8699624090058</t>
  </si>
  <si>
    <t>8699525775863</t>
  </si>
  <si>
    <t>8681166207803</t>
  </si>
  <si>
    <t>8681166207858</t>
  </si>
  <si>
    <t>8681166207827</t>
  </si>
  <si>
    <t>8681166207834</t>
  </si>
  <si>
    <t>8699569090601</t>
  </si>
  <si>
    <t>8699569090618</t>
  </si>
  <si>
    <t>8699569090625</t>
  </si>
  <si>
    <t>8699578090111</t>
  </si>
  <si>
    <t>8699572010016</t>
  </si>
  <si>
    <t>8699572010108</t>
  </si>
  <si>
    <t>8699717010031</t>
  </si>
  <si>
    <t>8699717010024</t>
  </si>
  <si>
    <t>8699502151833</t>
  </si>
  <si>
    <t>8699502151826</t>
  </si>
  <si>
    <t>8699502151840</t>
  </si>
  <si>
    <t>8699502151857</t>
  </si>
  <si>
    <t>8699502151864</t>
  </si>
  <si>
    <t>8699502151871</t>
  </si>
  <si>
    <t>8699502151888</t>
  </si>
  <si>
    <t>8699536090153</t>
  </si>
  <si>
    <t>8699536090160</t>
  </si>
  <si>
    <t>8699536090177</t>
  </si>
  <si>
    <t>8699536090962</t>
  </si>
  <si>
    <t>8699788750232</t>
  </si>
  <si>
    <t>8699607750023</t>
  </si>
  <si>
    <t>8699607750016</t>
  </si>
  <si>
    <t>8699788750218</t>
  </si>
  <si>
    <t>8699693520050</t>
  </si>
  <si>
    <t>8699514150718</t>
  </si>
  <si>
    <t>8699514150787</t>
  </si>
  <si>
    <t>8699514150725</t>
  </si>
  <si>
    <t>8699514150732</t>
  </si>
  <si>
    <t>8699514150749</t>
  </si>
  <si>
    <t>8699514150756</t>
  </si>
  <si>
    <t>8699514150770</t>
  </si>
  <si>
    <t>8699809098541</t>
  </si>
  <si>
    <t>8699522095711</t>
  </si>
  <si>
    <t>8699522095650</t>
  </si>
  <si>
    <t>8699522285754</t>
  </si>
  <si>
    <t>8699522285808</t>
  </si>
  <si>
    <t>8699522285792</t>
  </si>
  <si>
    <t>8699522095704</t>
  </si>
  <si>
    <t>8699522095605</t>
  </si>
  <si>
    <t>8699522288519</t>
  </si>
  <si>
    <t>8699525094582</t>
  </si>
  <si>
    <t>8699525094599</t>
  </si>
  <si>
    <t>8699543091662</t>
  </si>
  <si>
    <t>8699522541379</t>
  </si>
  <si>
    <t>8699546691630</t>
  </si>
  <si>
    <t>8699546090372</t>
  </si>
  <si>
    <t>8699828190011</t>
  </si>
  <si>
    <t>8699516380311</t>
  </si>
  <si>
    <t>8699516570330</t>
  </si>
  <si>
    <t>8699516010324</t>
  </si>
  <si>
    <t>8699516750343</t>
  </si>
  <si>
    <t>8680760091085</t>
  </si>
  <si>
    <t>8680760091092</t>
  </si>
  <si>
    <t>8680407100095</t>
  </si>
  <si>
    <t>8698778090037</t>
  </si>
  <si>
    <t>8698778090051</t>
  </si>
  <si>
    <t>8699508090020</t>
  </si>
  <si>
    <t>8699522196906</t>
  </si>
  <si>
    <t>8699783950033</t>
  </si>
  <si>
    <t>8699844951115</t>
  </si>
  <si>
    <t>8699844951122</t>
  </si>
  <si>
    <t>8699844951139</t>
  </si>
  <si>
    <t>8699638154159</t>
  </si>
  <si>
    <t>8699638154173</t>
  </si>
  <si>
    <t>8699514020127</t>
  </si>
  <si>
    <t>8699514020110</t>
  </si>
  <si>
    <t>8699536011400</t>
  </si>
  <si>
    <t>8680833010142</t>
  </si>
  <si>
    <t>8699536011448</t>
  </si>
  <si>
    <t>8680833010197</t>
  </si>
  <si>
    <t>8699828770435</t>
  </si>
  <si>
    <t>8699504710106</t>
  </si>
  <si>
    <t>8699638012046</t>
  </si>
  <si>
    <t>8699540090064</t>
  </si>
  <si>
    <t>8699561350123</t>
  </si>
  <si>
    <t>8699578280017</t>
  </si>
  <si>
    <t>8699578280024</t>
  </si>
  <si>
    <t>8699578090166</t>
  </si>
  <si>
    <t>8699578090050</t>
  </si>
  <si>
    <t>8699293545965</t>
  </si>
  <si>
    <t>8699638015313</t>
  </si>
  <si>
    <t>8699543011066</t>
  </si>
  <si>
    <t>8699525282132</t>
  </si>
  <si>
    <t>8699525282149</t>
  </si>
  <si>
    <t>8699525092915</t>
  </si>
  <si>
    <t>8699525798497</t>
  </si>
  <si>
    <t>8699525092267</t>
  </si>
  <si>
    <t>8699828280064</t>
  </si>
  <si>
    <t>8699828280071</t>
  </si>
  <si>
    <t>8699828090625</t>
  </si>
  <si>
    <t>8699504710113</t>
  </si>
  <si>
    <t>8698978010019</t>
  </si>
  <si>
    <t>8699502280250</t>
  </si>
  <si>
    <t>8699502280243</t>
  </si>
  <si>
    <t>8699502091412</t>
  </si>
  <si>
    <t>8680177220054</t>
  </si>
  <si>
    <t>8699546090167</t>
  </si>
  <si>
    <t>8699844771522</t>
  </si>
  <si>
    <t>8699844771515</t>
  </si>
  <si>
    <t>8699569350132</t>
  </si>
  <si>
    <t>8699569380061</t>
  </si>
  <si>
    <t>8699525284624</t>
  </si>
  <si>
    <t>8699525094636</t>
  </si>
  <si>
    <t>8699525754615</t>
  </si>
  <si>
    <t>8699525094643</t>
  </si>
  <si>
    <t>8699522385522</t>
  </si>
  <si>
    <t>8699844380410</t>
  </si>
  <si>
    <t>8699726093100</t>
  </si>
  <si>
    <t>8699726093308</t>
  </si>
  <si>
    <t>8699580090642</t>
  </si>
  <si>
    <t>8699580090659</t>
  </si>
  <si>
    <t>8699514030034</t>
  </si>
  <si>
    <t>8699673954424</t>
  </si>
  <si>
    <t>8699745000233</t>
  </si>
  <si>
    <t>8699745000202</t>
  </si>
  <si>
    <t>8699745015022</t>
  </si>
  <si>
    <t>8699745000219</t>
  </si>
  <si>
    <t>8699808770134</t>
  </si>
  <si>
    <t>8699586693199</t>
  </si>
  <si>
    <t>8712400772754</t>
  </si>
  <si>
    <t>8699745000257</t>
  </si>
  <si>
    <t>8699942540044</t>
  </si>
  <si>
    <t>8681725054701</t>
  </si>
  <si>
    <t>8699788750270</t>
  </si>
  <si>
    <t>8699569350019</t>
  </si>
  <si>
    <t>8699569380016</t>
  </si>
  <si>
    <t>8699569480013</t>
  </si>
  <si>
    <t>8680199546019</t>
  </si>
  <si>
    <t>8699540021075</t>
  </si>
  <si>
    <t>8699514120117</t>
  </si>
  <si>
    <t>8699786751408</t>
  </si>
  <si>
    <t>8699786030107</t>
  </si>
  <si>
    <t>8699786030374</t>
  </si>
  <si>
    <t>8699786030114</t>
  </si>
  <si>
    <t>8699786030367</t>
  </si>
  <si>
    <t>8699738380618</t>
  </si>
  <si>
    <t>8699738350581</t>
  </si>
  <si>
    <t>8699525619273</t>
  </si>
  <si>
    <t>8699525610089</t>
  </si>
  <si>
    <t>8699809090026</t>
  </si>
  <si>
    <t>8699809098749</t>
  </si>
  <si>
    <t>8699809750029</t>
  </si>
  <si>
    <t>8699828790310</t>
  </si>
  <si>
    <t>8699828790303</t>
  </si>
  <si>
    <t>8681094040022</t>
  </si>
  <si>
    <t>8681308274465</t>
  </si>
  <si>
    <t>8699546099429</t>
  </si>
  <si>
    <t>8699546095100</t>
  </si>
  <si>
    <t>8699593383021</t>
  </si>
  <si>
    <t>8699546575114</t>
  </si>
  <si>
    <t>8699546095131</t>
  </si>
  <si>
    <t>8699511098945</t>
  </si>
  <si>
    <t>8699511098952</t>
  </si>
  <si>
    <t>8681801640750</t>
  </si>
  <si>
    <t>8681801640767</t>
  </si>
  <si>
    <t>8699587763945</t>
  </si>
  <si>
    <t>8699569092728</t>
  </si>
  <si>
    <t>8699587093929</t>
  </si>
  <si>
    <t>8699587093905</t>
  </si>
  <si>
    <t>8681728340023</t>
  </si>
  <si>
    <t>8699814270048</t>
  </si>
  <si>
    <t>8699814270055</t>
  </si>
  <si>
    <t>8681728340016</t>
  </si>
  <si>
    <t>8699591640027</t>
  </si>
  <si>
    <t>8699591510078</t>
  </si>
  <si>
    <t>8699546115198</t>
  </si>
  <si>
    <t>8699546355174</t>
  </si>
  <si>
    <t>8699546755141</t>
  </si>
  <si>
    <t>8699591090020</t>
  </si>
  <si>
    <t>8699591090037</t>
  </si>
  <si>
    <t>8680150570039</t>
  </si>
  <si>
    <t>8680150570046</t>
  </si>
  <si>
    <t>8680150150026</t>
  </si>
  <si>
    <t>8699591540136</t>
  </si>
  <si>
    <t>8699591700301</t>
  </si>
  <si>
    <t>8699856712278</t>
  </si>
  <si>
    <t>8699680030074</t>
  </si>
  <si>
    <t>8699680030050</t>
  </si>
  <si>
    <t>8699680030067</t>
  </si>
  <si>
    <t>8699680030203</t>
  </si>
  <si>
    <t>8699546799169</t>
  </si>
  <si>
    <t>8699543010212</t>
  </si>
  <si>
    <t>8699543010137</t>
  </si>
  <si>
    <t>8699543010144</t>
  </si>
  <si>
    <t>8699543030012</t>
  </si>
  <si>
    <t>8699543030029</t>
  </si>
  <si>
    <t>8699543030036</t>
  </si>
  <si>
    <t>8699543030104</t>
  </si>
  <si>
    <t>8699543030111</t>
  </si>
  <si>
    <t>8699738480011</t>
  </si>
  <si>
    <t>8699738380700</t>
  </si>
  <si>
    <t>8699820010126</t>
  </si>
  <si>
    <t>8699820010331</t>
  </si>
  <si>
    <t>8699820010324</t>
  </si>
  <si>
    <t>8699548014444</t>
  </si>
  <si>
    <t>8699820010058</t>
  </si>
  <si>
    <t>8699043890031</t>
  </si>
  <si>
    <t>8699522480432</t>
  </si>
  <si>
    <t>8699522356317</t>
  </si>
  <si>
    <t>8699522386321</t>
  </si>
  <si>
    <t>8699522490462</t>
  </si>
  <si>
    <t>8699522356331</t>
  </si>
  <si>
    <t>8699522386345</t>
  </si>
  <si>
    <t>8699504612028</t>
  </si>
  <si>
    <t>8699504710120</t>
  </si>
  <si>
    <t>8699591090051</t>
  </si>
  <si>
    <t>8699828090052</t>
  </si>
  <si>
    <t>8699828190509</t>
  </si>
  <si>
    <t>8699522965014</t>
  </si>
  <si>
    <t>8699788690330</t>
  </si>
  <si>
    <t>8699788690804</t>
  </si>
  <si>
    <t>8699788690200</t>
  </si>
  <si>
    <t>8699788690057</t>
  </si>
  <si>
    <t>8699788690712</t>
  </si>
  <si>
    <t>8699788690019</t>
  </si>
  <si>
    <t>8699788690149</t>
  </si>
  <si>
    <t>8699788690767</t>
  </si>
  <si>
    <t>8699788690156</t>
  </si>
  <si>
    <t>8699788695359</t>
  </si>
  <si>
    <t>8699788690781</t>
  </si>
  <si>
    <t>8699788690187</t>
  </si>
  <si>
    <t>8699580570144</t>
  </si>
  <si>
    <t>8680952000260</t>
  </si>
  <si>
    <t>8699702774023</t>
  </si>
  <si>
    <t>8699702774047</t>
  </si>
  <si>
    <t>8699702774054</t>
  </si>
  <si>
    <t>8699702774030</t>
  </si>
  <si>
    <t>8699702778014</t>
  </si>
  <si>
    <t>8699690570942</t>
  </si>
  <si>
    <t>8698760090250</t>
  </si>
  <si>
    <t>8699832010046</t>
  </si>
  <si>
    <t>8681428950263</t>
  </si>
  <si>
    <t>8681428950232</t>
  </si>
  <si>
    <t>8681428950249</t>
  </si>
  <si>
    <t>8681428950256</t>
  </si>
  <si>
    <t>8680265010000</t>
  </si>
  <si>
    <t>8699586092398</t>
  </si>
  <si>
    <t>8699586592492</t>
  </si>
  <si>
    <t>8699779900219</t>
  </si>
  <si>
    <t>8699638284375</t>
  </si>
  <si>
    <t>8699638284382</t>
  </si>
  <si>
    <t>8697432094978</t>
  </si>
  <si>
    <t>8699809018631</t>
  </si>
  <si>
    <t>8699809018341</t>
  </si>
  <si>
    <t>8699525094667</t>
  </si>
  <si>
    <t>8699525094681</t>
  </si>
  <si>
    <t>8699525754653</t>
  </si>
  <si>
    <t>8699525105790</t>
  </si>
  <si>
    <t>8699514016908</t>
  </si>
  <si>
    <t>8680199616965</t>
  </si>
  <si>
    <t>8699819081540</t>
  </si>
  <si>
    <t>8699599080344</t>
  </si>
  <si>
    <t>8699828790280</t>
  </si>
  <si>
    <t>8699650791257</t>
  </si>
  <si>
    <t>8699490571019</t>
  </si>
  <si>
    <t>8699862270021</t>
  </si>
  <si>
    <t>8699525010100</t>
  </si>
  <si>
    <t>8680184750056</t>
  </si>
  <si>
    <t>8680184750063</t>
  </si>
  <si>
    <t>8681639760019</t>
  </si>
  <si>
    <t>8699538012962</t>
  </si>
  <si>
    <t>8699828950066</t>
  </si>
  <si>
    <t>8699543091808</t>
  </si>
  <si>
    <t>8699543950013</t>
  </si>
  <si>
    <t>8699514011125</t>
  </si>
  <si>
    <t>8699514010845</t>
  </si>
  <si>
    <t>8699522967568</t>
  </si>
  <si>
    <t>8699828790419</t>
  </si>
  <si>
    <t>8699650012031</t>
  </si>
  <si>
    <t>8681308097446</t>
  </si>
  <si>
    <t>8681308097453</t>
  </si>
  <si>
    <t>8699606526650</t>
  </si>
  <si>
    <t>8680741520269</t>
  </si>
  <si>
    <t>8680741521181</t>
  </si>
  <si>
    <t>8699569570295</t>
  </si>
  <si>
    <t>8699514550143</t>
  </si>
  <si>
    <t>8699514550174</t>
  </si>
  <si>
    <t>8699514550204</t>
  </si>
  <si>
    <t>8699586522772</t>
  </si>
  <si>
    <t>8699786010406</t>
  </si>
  <si>
    <t>8699786570207</t>
  </si>
  <si>
    <t>8699636771020</t>
  </si>
  <si>
    <t>8699786092785</t>
  </si>
  <si>
    <t>8699786090286</t>
  </si>
  <si>
    <t>8699569610304</t>
  </si>
  <si>
    <t>8699844611811</t>
  </si>
  <si>
    <t>8699844611880</t>
  </si>
  <si>
    <t>8699795090949</t>
  </si>
  <si>
    <t>8699795090963</t>
  </si>
  <si>
    <t>8699795091069</t>
  </si>
  <si>
    <t>8699795090925</t>
  </si>
  <si>
    <t>8680199615708</t>
  </si>
  <si>
    <t>8699772570525</t>
  </si>
  <si>
    <t>8680952385749</t>
  </si>
  <si>
    <t>8699566155600</t>
  </si>
  <si>
    <t>8699587033802</t>
  </si>
  <si>
    <t>8699587031341</t>
  </si>
  <si>
    <t>8699525550033</t>
  </si>
  <si>
    <t>8699548094408</t>
  </si>
  <si>
    <t>8699548093159</t>
  </si>
  <si>
    <t>8680859090128</t>
  </si>
  <si>
    <t>8699548033162</t>
  </si>
  <si>
    <t>8699821610042</t>
  </si>
  <si>
    <t>8699821610011</t>
  </si>
  <si>
    <t>8699293700258</t>
  </si>
  <si>
    <t>8698747570027</t>
  </si>
  <si>
    <t>8699730650238</t>
  </si>
  <si>
    <t>8699730920102</t>
  </si>
  <si>
    <t>8699730920119</t>
  </si>
  <si>
    <t>8699730920126</t>
  </si>
  <si>
    <t>8699638523979</t>
  </si>
  <si>
    <t>8699638523986</t>
  </si>
  <si>
    <t>8699543160023</t>
  </si>
  <si>
    <t>8699543160016</t>
  </si>
  <si>
    <t>8697927554413</t>
  </si>
  <si>
    <t>8699512540047</t>
  </si>
  <si>
    <t>8699512540016</t>
  </si>
  <si>
    <t>8699809127630</t>
  </si>
  <si>
    <t>8699809759190</t>
  </si>
  <si>
    <t>8699809098770</t>
  </si>
  <si>
    <t>8680683770029</t>
  </si>
  <si>
    <t>8699702775068</t>
  </si>
  <si>
    <t>8699525150103</t>
  </si>
  <si>
    <t>8699293350286</t>
  </si>
  <si>
    <t>8699293350293</t>
  </si>
  <si>
    <t>8699293510277</t>
  </si>
  <si>
    <t>8699514350033</t>
  </si>
  <si>
    <t>8699514350040</t>
  </si>
  <si>
    <t>8699828570226</t>
  </si>
  <si>
    <t>8699828570295</t>
  </si>
  <si>
    <t>8699828570332</t>
  </si>
  <si>
    <t>8699591350292</t>
  </si>
  <si>
    <t>8699591350414</t>
  </si>
  <si>
    <t>8699591510085</t>
  </si>
  <si>
    <t>8680150350075</t>
  </si>
  <si>
    <t>8680150510011</t>
  </si>
  <si>
    <t>8699580570083</t>
  </si>
  <si>
    <t>8699580570120</t>
  </si>
  <si>
    <t>8681023120016</t>
  </si>
  <si>
    <t>8699844771232</t>
  </si>
  <si>
    <t>8699606774730</t>
  </si>
  <si>
    <t>8699788693027</t>
  </si>
  <si>
    <t>8699788697513</t>
  </si>
  <si>
    <t>8699788691726</t>
  </si>
  <si>
    <t>8699788692020</t>
  </si>
  <si>
    <t>8699788680218</t>
  </si>
  <si>
    <t>8699788690613</t>
  </si>
  <si>
    <t>8699788698022</t>
  </si>
  <si>
    <t>8699788681017</t>
  </si>
  <si>
    <t>8699788685015</t>
  </si>
  <si>
    <t>8699788698268</t>
  </si>
  <si>
    <t>8699788680232</t>
  </si>
  <si>
    <t>8699788698190</t>
  </si>
  <si>
    <t>8699788693072</t>
  </si>
  <si>
    <t>8699788691740</t>
  </si>
  <si>
    <t>8699788691757</t>
  </si>
  <si>
    <t>8699788698046</t>
  </si>
  <si>
    <t>8699788697537</t>
  </si>
  <si>
    <t>8699788698053</t>
  </si>
  <si>
    <t>8699788693010</t>
  </si>
  <si>
    <t>8699788697506</t>
  </si>
  <si>
    <t>8699788691719</t>
  </si>
  <si>
    <t>8699788692013</t>
  </si>
  <si>
    <t>8699788698015</t>
  </si>
  <si>
    <t>8699788697575</t>
  </si>
  <si>
    <t>8699788698077</t>
  </si>
  <si>
    <t>8699788692068</t>
  </si>
  <si>
    <t>8699788698183</t>
  </si>
  <si>
    <t>8699788698237</t>
  </si>
  <si>
    <t>8699788697599</t>
  </si>
  <si>
    <t>8699788698138</t>
  </si>
  <si>
    <t>8699788697551</t>
  </si>
  <si>
    <t>8699788698084</t>
  </si>
  <si>
    <t>8699788692037</t>
  </si>
  <si>
    <t>8699788694031</t>
  </si>
  <si>
    <t>8699788698114</t>
  </si>
  <si>
    <t>8699788693058</t>
  </si>
  <si>
    <t>8699788680225</t>
  </si>
  <si>
    <t>8699788697520</t>
  </si>
  <si>
    <t>8699788697544</t>
  </si>
  <si>
    <t>8699788698060</t>
  </si>
  <si>
    <t>8699788693041</t>
  </si>
  <si>
    <t>8699786952003</t>
  </si>
  <si>
    <t>8699786951006</t>
  </si>
  <si>
    <t>8699828760238</t>
  </si>
  <si>
    <t>8699559090024</t>
  </si>
  <si>
    <t>8699559750010</t>
  </si>
  <si>
    <t>8699532095633</t>
  </si>
  <si>
    <t>8699532095640</t>
  </si>
  <si>
    <t>8699532095671</t>
  </si>
  <si>
    <t>8699532095688</t>
  </si>
  <si>
    <t>8699593760013</t>
  </si>
  <si>
    <t>8699708011467</t>
  </si>
  <si>
    <t>8699708011481</t>
  </si>
  <si>
    <t>8699783750138</t>
  </si>
  <si>
    <t>8699783750145</t>
  </si>
  <si>
    <t>8699566013245</t>
  </si>
  <si>
    <t>8699566013269</t>
  </si>
  <si>
    <t>8699566013221</t>
  </si>
  <si>
    <t>8680881020445</t>
  </si>
  <si>
    <t>8697928020184</t>
  </si>
  <si>
    <t>8697928020061</t>
  </si>
  <si>
    <t>8680881024313</t>
  </si>
  <si>
    <t>8680400770509</t>
  </si>
  <si>
    <t>8680400770813</t>
  </si>
  <si>
    <t>8680400770820</t>
  </si>
  <si>
    <t>8699828770299</t>
  </si>
  <si>
    <t>8699828770305</t>
  </si>
  <si>
    <t>8699828770329</t>
  </si>
  <si>
    <t>8699516028565</t>
  </si>
  <si>
    <t>8699587751324</t>
  </si>
  <si>
    <t>8681697750076</t>
  </si>
  <si>
    <t>8681697750083</t>
  </si>
  <si>
    <t>8699828750406</t>
  </si>
  <si>
    <t>8699522345311</t>
  </si>
  <si>
    <t>8699522705009</t>
  </si>
  <si>
    <t>8699522705160</t>
  </si>
  <si>
    <t>8699702753059</t>
  </si>
  <si>
    <t>8699702753066</t>
  </si>
  <si>
    <t>8699808040015</t>
  </si>
  <si>
    <t>8699636260227</t>
  </si>
  <si>
    <t>8699516012632</t>
  </si>
  <si>
    <t>8699516012625</t>
  </si>
  <si>
    <t>8699516012663</t>
  </si>
  <si>
    <t>8699525010131</t>
  </si>
  <si>
    <t>8699525010148</t>
  </si>
  <si>
    <t>8699525010124</t>
  </si>
  <si>
    <t>8699525014344</t>
  </si>
  <si>
    <t>8699525014351</t>
  </si>
  <si>
    <t>8680881151125</t>
  </si>
  <si>
    <t>8680881150241</t>
  </si>
  <si>
    <t>8699844690731</t>
  </si>
  <si>
    <t>8699844690748</t>
  </si>
  <si>
    <t>8699546350940</t>
  </si>
  <si>
    <t>8699514790068</t>
  </si>
  <si>
    <t>8699525019899</t>
  </si>
  <si>
    <t>8699525019882</t>
  </si>
  <si>
    <t>8681023350048</t>
  </si>
  <si>
    <t>8681023650018</t>
  </si>
  <si>
    <t>8681023360016</t>
  </si>
  <si>
    <t>8699540015661</t>
  </si>
  <si>
    <t>8699540015692</t>
  </si>
  <si>
    <t>8699540015630</t>
  </si>
  <si>
    <t>8699540017009</t>
  </si>
  <si>
    <t>8699540017054</t>
  </si>
  <si>
    <t>8699591350308</t>
  </si>
  <si>
    <t>8699769090135</t>
  </si>
  <si>
    <t>8699525775900</t>
  </si>
  <si>
    <t>8699525775924</t>
  </si>
  <si>
    <t>8699345201009</t>
  </si>
  <si>
    <t>8699828770015</t>
  </si>
  <si>
    <t>8699828770213</t>
  </si>
  <si>
    <t>8699828770220</t>
  </si>
  <si>
    <t>8699536092232</t>
  </si>
  <si>
    <t>8699536092218</t>
  </si>
  <si>
    <t>8699536092409</t>
  </si>
  <si>
    <t>8699536092416</t>
  </si>
  <si>
    <t>8699536092386</t>
  </si>
  <si>
    <t>8699536092393</t>
  </si>
  <si>
    <t>8699536091273</t>
  </si>
  <si>
    <t>8699536091280</t>
  </si>
  <si>
    <t>8699536091266</t>
  </si>
  <si>
    <t>8699536091303</t>
  </si>
  <si>
    <t>8699536091310</t>
  </si>
  <si>
    <t>8699536092300</t>
  </si>
  <si>
    <t>8699536092317</t>
  </si>
  <si>
    <t>8699536091297</t>
  </si>
  <si>
    <t>8699532011114</t>
  </si>
  <si>
    <t>8699532011121</t>
  </si>
  <si>
    <t>8699532015983</t>
  </si>
  <si>
    <t>8699532035486</t>
  </si>
  <si>
    <t>8699532035493</t>
  </si>
  <si>
    <t>8680199090826</t>
  </si>
  <si>
    <t>3400935789525</t>
  </si>
  <si>
    <t>8699516017323</t>
  </si>
  <si>
    <t>8699516017347</t>
  </si>
  <si>
    <t>8699516017309</t>
  </si>
  <si>
    <t>8699559240061</t>
  </si>
  <si>
    <t>8699559240054</t>
  </si>
  <si>
    <t>8699786090132</t>
  </si>
  <si>
    <t>8699786090040</t>
  </si>
  <si>
    <t>8699650982266</t>
  </si>
  <si>
    <t>8699504120097</t>
  </si>
  <si>
    <t>8697928020146</t>
  </si>
  <si>
    <t>8697928020122</t>
  </si>
  <si>
    <t>8699536090511</t>
  </si>
  <si>
    <t>8699536092362</t>
  </si>
  <si>
    <t>8699536090535</t>
  </si>
  <si>
    <t>8699536090542</t>
  </si>
  <si>
    <t>8699536090498</t>
  </si>
  <si>
    <t>8699536090559</t>
  </si>
  <si>
    <t>8699536092270</t>
  </si>
  <si>
    <t>8699536092348</t>
  </si>
  <si>
    <t>8699536030357</t>
  </si>
  <si>
    <t>8699536030371</t>
  </si>
  <si>
    <t>8699536030395</t>
  </si>
  <si>
    <t>8699536030418</t>
  </si>
  <si>
    <t>8699536030333</t>
  </si>
  <si>
    <t>8699525283047</t>
  </si>
  <si>
    <t>8699525282989</t>
  </si>
  <si>
    <t>8699525092762</t>
  </si>
  <si>
    <t>8699525284129</t>
  </si>
  <si>
    <t>8699525093165</t>
  </si>
  <si>
    <t>8699525275509</t>
  </si>
  <si>
    <t>8699525092779</t>
  </si>
  <si>
    <t>8699525093141</t>
  </si>
  <si>
    <t>8699525093158</t>
  </si>
  <si>
    <t>8699525278418</t>
  </si>
  <si>
    <t>8699525275516</t>
  </si>
  <si>
    <t>8680080270153</t>
  </si>
  <si>
    <t>8680080270368</t>
  </si>
  <si>
    <t>8680080270139</t>
  </si>
  <si>
    <t>8680080270351</t>
  </si>
  <si>
    <t>8680760092174</t>
  </si>
  <si>
    <t>8680760092181</t>
  </si>
  <si>
    <t>8680881027185</t>
  </si>
  <si>
    <t>8681094020109</t>
  </si>
  <si>
    <t>8699508270705</t>
  </si>
  <si>
    <t>8681697270055</t>
  </si>
  <si>
    <t>8699569280408</t>
  </si>
  <si>
    <t>8699569280439</t>
  </si>
  <si>
    <t>8699569090571</t>
  </si>
  <si>
    <t>8699569090595</t>
  </si>
  <si>
    <t>8699569091998</t>
  </si>
  <si>
    <t>8699508090198</t>
  </si>
  <si>
    <t>8699508090631</t>
  </si>
  <si>
    <t>8699532151384</t>
  </si>
  <si>
    <t>8699636750247</t>
  </si>
  <si>
    <t>8680199152005</t>
  </si>
  <si>
    <t>8699505152752</t>
  </si>
  <si>
    <t>8699505092768</t>
  </si>
  <si>
    <t>8699522094509</t>
  </si>
  <si>
    <t>8699522094547</t>
  </si>
  <si>
    <t>8699536280110</t>
  </si>
  <si>
    <t>8699536280127</t>
  </si>
  <si>
    <t>8699536150314</t>
  </si>
  <si>
    <t>8699536150321</t>
  </si>
  <si>
    <t>8699536092584</t>
  </si>
  <si>
    <t>8681429550257</t>
  </si>
  <si>
    <t>8699636090251</t>
  </si>
  <si>
    <t>8699809260047</t>
  </si>
  <si>
    <t>8699504011302</t>
  </si>
  <si>
    <t>8699504070002</t>
  </si>
  <si>
    <t>8699504011357</t>
  </si>
  <si>
    <t>8699717090026</t>
  </si>
  <si>
    <t>8680760092006</t>
  </si>
  <si>
    <t>8699777790225</t>
  </si>
  <si>
    <t>8699772570426</t>
  </si>
  <si>
    <t>8699772090467</t>
  </si>
  <si>
    <t>8697927021410</t>
  </si>
  <si>
    <t>8699525272867</t>
  </si>
  <si>
    <t>8699525272843</t>
  </si>
  <si>
    <t>8681308097484</t>
  </si>
  <si>
    <t>8681308098863</t>
  </si>
  <si>
    <t>8681308097491</t>
  </si>
  <si>
    <t>8680407100149</t>
  </si>
  <si>
    <t>8680407100248</t>
  </si>
  <si>
    <t>8699578090449</t>
  </si>
  <si>
    <t>8699578090456</t>
  </si>
  <si>
    <t>8699578090463</t>
  </si>
  <si>
    <t>8680426040051</t>
  </si>
  <si>
    <t>8699673098111</t>
  </si>
  <si>
    <t>8699673098128</t>
  </si>
  <si>
    <t>8699673098135</t>
  </si>
  <si>
    <t>8699673098142</t>
  </si>
  <si>
    <t>8698856090065</t>
  </si>
  <si>
    <t>8698856090089</t>
  </si>
  <si>
    <t>8698856090072</t>
  </si>
  <si>
    <t>8699525093059</t>
  </si>
  <si>
    <t>8699525092793</t>
  </si>
  <si>
    <t>8699814260018</t>
  </si>
  <si>
    <t>8699504440508</t>
  </si>
  <si>
    <t>8699504612035</t>
  </si>
  <si>
    <t>8699624950017</t>
  </si>
  <si>
    <t>8699540091535</t>
  </si>
  <si>
    <t>8699540091542</t>
  </si>
  <si>
    <t>8697929020411</t>
  </si>
  <si>
    <t>8699567570020</t>
  </si>
  <si>
    <t>8699567570037</t>
  </si>
  <si>
    <t>8699943790103</t>
  </si>
  <si>
    <t>8699795090567</t>
  </si>
  <si>
    <t>8699559090345</t>
  </si>
  <si>
    <t>8699559090475</t>
  </si>
  <si>
    <t>8699578090418</t>
  </si>
  <si>
    <t>8699578090425</t>
  </si>
  <si>
    <t>8699578090432</t>
  </si>
  <si>
    <t>8699828690023</t>
  </si>
  <si>
    <t>8699828690061</t>
  </si>
  <si>
    <t>8699717090040</t>
  </si>
  <si>
    <t>8699717090071</t>
  </si>
  <si>
    <t>8699828770176</t>
  </si>
  <si>
    <t>8699828770190</t>
  </si>
  <si>
    <t>8699828770077</t>
  </si>
  <si>
    <t>8699514091813</t>
  </si>
  <si>
    <t>8699514091820</t>
  </si>
  <si>
    <t>8699514091837</t>
  </si>
  <si>
    <t>8699514090199</t>
  </si>
  <si>
    <t>8699514596837</t>
  </si>
  <si>
    <t>8699514096375</t>
  </si>
  <si>
    <t>8699514090922</t>
  </si>
  <si>
    <t>8699514096382</t>
  </si>
  <si>
    <t>8699514090939</t>
  </si>
  <si>
    <t>8699514096368</t>
  </si>
  <si>
    <t>8699738090340</t>
  </si>
  <si>
    <t>8699559240078</t>
  </si>
  <si>
    <t>8699569090311</t>
  </si>
  <si>
    <t>8699546032532</t>
  </si>
  <si>
    <t>8699688770002</t>
  </si>
  <si>
    <t>8699688770019</t>
  </si>
  <si>
    <t>8699688770026</t>
  </si>
  <si>
    <t>8699546015634</t>
  </si>
  <si>
    <t>8699293280545</t>
  </si>
  <si>
    <t>8699293280552</t>
  </si>
  <si>
    <t>8699293150503</t>
  </si>
  <si>
    <t>8699293150534</t>
  </si>
  <si>
    <t>8699293090533</t>
  </si>
  <si>
    <t>8699559090499</t>
  </si>
  <si>
    <t>8699532654793</t>
  </si>
  <si>
    <t>8699532364807</t>
  </si>
  <si>
    <t>8699532154767</t>
  </si>
  <si>
    <t>8681308751010</t>
  </si>
  <si>
    <t>8699809091108</t>
  </si>
  <si>
    <t>8699809571105</t>
  </si>
  <si>
    <t>8699546813919</t>
  </si>
  <si>
    <t>8699546814091</t>
  </si>
  <si>
    <t>8699546124435</t>
  </si>
  <si>
    <t>8699508150120</t>
  </si>
  <si>
    <t>8699508750061</t>
  </si>
  <si>
    <t>8699508750405</t>
  </si>
  <si>
    <t>8699708340147</t>
  </si>
  <si>
    <t>8699522348855</t>
  </si>
  <si>
    <t>8699586692819</t>
  </si>
  <si>
    <t>8680186490097</t>
  </si>
  <si>
    <t>8680199341447</t>
  </si>
  <si>
    <t>8681801250195</t>
  </si>
  <si>
    <t>8699525095374</t>
  </si>
  <si>
    <t>8699587012432</t>
  </si>
  <si>
    <t>8699587012449</t>
  </si>
  <si>
    <t>8699795090505</t>
  </si>
  <si>
    <t>8699795590012</t>
  </si>
  <si>
    <t>8699795750225</t>
  </si>
  <si>
    <t>8699795750201</t>
  </si>
  <si>
    <t>8699580090345</t>
  </si>
  <si>
    <t>8680760490017</t>
  </si>
  <si>
    <t>8680760350076</t>
  </si>
  <si>
    <t>8680760370012</t>
  </si>
  <si>
    <t>8699514750116</t>
  </si>
  <si>
    <t>8680760570023</t>
  </si>
  <si>
    <t>8680760570092</t>
  </si>
  <si>
    <t>8699566354379</t>
  </si>
  <si>
    <t>8699566374384</t>
  </si>
  <si>
    <t>8699566484359</t>
  </si>
  <si>
    <t>8699504090659</t>
  </si>
  <si>
    <t>8699504090970</t>
  </si>
  <si>
    <t>8699504091236</t>
  </si>
  <si>
    <t>8699504091243</t>
  </si>
  <si>
    <t>8699504090406</t>
  </si>
  <si>
    <t>8681735980069</t>
  </si>
  <si>
    <t>8681735980076</t>
  </si>
  <si>
    <t>8699566091168</t>
  </si>
  <si>
    <t>8699566091120</t>
  </si>
  <si>
    <t>8699566091137</t>
  </si>
  <si>
    <t>8699566091151</t>
  </si>
  <si>
    <t>8699566591200</t>
  </si>
  <si>
    <t>8699566091106</t>
  </si>
  <si>
    <t>8699540098718</t>
  </si>
  <si>
    <t>8699540098619</t>
  </si>
  <si>
    <t>8699540090286</t>
  </si>
  <si>
    <t>8699525093516</t>
  </si>
  <si>
    <t>8699525094131</t>
  </si>
  <si>
    <t>8699525093523</t>
  </si>
  <si>
    <t>8699525094148</t>
  </si>
  <si>
    <t>8699525093530</t>
  </si>
  <si>
    <t>8699559090314</t>
  </si>
  <si>
    <t>8699514093916</t>
  </si>
  <si>
    <t>8699514093251</t>
  </si>
  <si>
    <t>8699514570202</t>
  </si>
  <si>
    <t>8680150570053</t>
  </si>
  <si>
    <t>8680199599701</t>
  </si>
  <si>
    <t>8699580090413</t>
  </si>
  <si>
    <t>8699828790440</t>
  </si>
  <si>
    <t>8680833090991</t>
  </si>
  <si>
    <t>8699536093246</t>
  </si>
  <si>
    <t>8680833091035</t>
  </si>
  <si>
    <t>8680833090977</t>
  </si>
  <si>
    <t>8699693520111</t>
  </si>
  <si>
    <t>8699569610328</t>
  </si>
  <si>
    <t>8699490561102</t>
  </si>
  <si>
    <t>8699693520074</t>
  </si>
  <si>
    <t>8699522096053</t>
  </si>
  <si>
    <t>8697869420036</t>
  </si>
  <si>
    <t>8697869420043</t>
  </si>
  <si>
    <t>8697869420012</t>
  </si>
  <si>
    <t>8697869420173</t>
  </si>
  <si>
    <t>8697869420029</t>
  </si>
  <si>
    <t>8697869420388</t>
  </si>
  <si>
    <t>8697869420180</t>
  </si>
  <si>
    <t>8697869420890</t>
  </si>
  <si>
    <t>8699593035517</t>
  </si>
  <si>
    <t>8699593035753</t>
  </si>
  <si>
    <t>8699593035524</t>
  </si>
  <si>
    <t>8699593035531</t>
  </si>
  <si>
    <t>8699228090058</t>
  </si>
  <si>
    <t>8699228090041</t>
  </si>
  <si>
    <t>8699702613100</t>
  </si>
  <si>
    <t>8699783240011</t>
  </si>
  <si>
    <t>8699708340475</t>
  </si>
  <si>
    <t>8699514599197</t>
  </si>
  <si>
    <t>8699514759188</t>
  </si>
  <si>
    <t>8699514039273</t>
  </si>
  <si>
    <t>8699514159162</t>
  </si>
  <si>
    <t>8699510190206</t>
  </si>
  <si>
    <t>8699510190305</t>
  </si>
  <si>
    <t>8699510572729</t>
  </si>
  <si>
    <t>8699510190404</t>
  </si>
  <si>
    <t>8699510030175</t>
  </si>
  <si>
    <t>8699510030168</t>
  </si>
  <si>
    <t>8699638950478</t>
  </si>
  <si>
    <t>8699638953967</t>
  </si>
  <si>
    <t>8699673954677</t>
  </si>
  <si>
    <t>8699844791469</t>
  </si>
  <si>
    <t>8699844791476</t>
  </si>
  <si>
    <t>8699552090113</t>
  </si>
  <si>
    <t>8699552090120</t>
  </si>
  <si>
    <t>8699546130238</t>
  </si>
  <si>
    <t>8699546130153</t>
  </si>
  <si>
    <t>8699809759107</t>
  </si>
  <si>
    <t>8699809018020</t>
  </si>
  <si>
    <t>8699525610126</t>
  </si>
  <si>
    <t>8699514550235</t>
  </si>
  <si>
    <t>8699525019981</t>
  </si>
  <si>
    <t>8699569010609</t>
  </si>
  <si>
    <t>8699569010616</t>
  </si>
  <si>
    <t>8699569010593</t>
  </si>
  <si>
    <t>8699508570119</t>
  </si>
  <si>
    <t>8699508150229</t>
  </si>
  <si>
    <t>8699844521158</t>
  </si>
  <si>
    <t>8699844521165</t>
  </si>
  <si>
    <t>8699514440703</t>
  </si>
  <si>
    <t>8699505092645</t>
  </si>
  <si>
    <t>8680638010033</t>
  </si>
  <si>
    <t>8680638010057</t>
  </si>
  <si>
    <t>8699502013391</t>
  </si>
  <si>
    <t>8699502013384</t>
  </si>
  <si>
    <t>8699552010647</t>
  </si>
  <si>
    <t>8699552010630</t>
  </si>
  <si>
    <t>8699552010623</t>
  </si>
  <si>
    <t>8699552010616</t>
  </si>
  <si>
    <t>8699552090465</t>
  </si>
  <si>
    <t>8699552090892</t>
  </si>
  <si>
    <t>8699552090458</t>
  </si>
  <si>
    <t>8699552090489</t>
  </si>
  <si>
    <t>8699552010562</t>
  </si>
  <si>
    <t>8699552090472</t>
  </si>
  <si>
    <t>8699636090794</t>
  </si>
  <si>
    <t>8699636090701</t>
  </si>
  <si>
    <t>8699527010535</t>
  </si>
  <si>
    <t>8699527010542</t>
  </si>
  <si>
    <t>8699638094332</t>
  </si>
  <si>
    <t>8699566093384</t>
  </si>
  <si>
    <t>8699566093391</t>
  </si>
  <si>
    <t>8699786092761</t>
  </si>
  <si>
    <t>8699786092778</t>
  </si>
  <si>
    <t>8699786090163</t>
  </si>
  <si>
    <t>8699786090248</t>
  </si>
  <si>
    <t>8699786090187</t>
  </si>
  <si>
    <t>8699786090262</t>
  </si>
  <si>
    <t>8699777342035</t>
  </si>
  <si>
    <t>8699508090488</t>
  </si>
  <si>
    <t>8699508090556</t>
  </si>
  <si>
    <t>8699508280155</t>
  </si>
  <si>
    <t>8699508280148</t>
  </si>
  <si>
    <t>8699508280162</t>
  </si>
  <si>
    <t>8699508280186</t>
  </si>
  <si>
    <t>8699508280131</t>
  </si>
  <si>
    <t>8699508090495</t>
  </si>
  <si>
    <t>8699508090532</t>
  </si>
  <si>
    <t>8699508280346</t>
  </si>
  <si>
    <t>8699508280353</t>
  </si>
  <si>
    <t>8699504790801</t>
  </si>
  <si>
    <t>8699636791349</t>
  </si>
  <si>
    <t>8699745002091</t>
  </si>
  <si>
    <t>8699745002107</t>
  </si>
  <si>
    <t>8699745002114</t>
  </si>
  <si>
    <t>8699541774109</t>
  </si>
  <si>
    <t>8699822770028</t>
  </si>
  <si>
    <t>8699822770035</t>
  </si>
  <si>
    <t>8699522385041</t>
  </si>
  <si>
    <t>8699822010100</t>
  </si>
  <si>
    <t>8699546123254</t>
  </si>
  <si>
    <t>8699673170213</t>
  </si>
  <si>
    <t>8699673170206</t>
  </si>
  <si>
    <t>8699844091347</t>
  </si>
  <si>
    <t>8699844091354</t>
  </si>
  <si>
    <t>8699844091361</t>
  </si>
  <si>
    <t>8699536150789</t>
  </si>
  <si>
    <t>8680833550167</t>
  </si>
  <si>
    <t>8680833550174</t>
  </si>
  <si>
    <t>8680833550013</t>
  </si>
  <si>
    <t>8680833550020</t>
  </si>
  <si>
    <t>8680833550037</t>
  </si>
  <si>
    <t>8699673765167</t>
  </si>
  <si>
    <t>8699543010151</t>
  </si>
  <si>
    <t>8680265591004</t>
  </si>
  <si>
    <t>8680265751002</t>
  </si>
  <si>
    <t>8680131752416</t>
  </si>
  <si>
    <t>8680131751570</t>
  </si>
  <si>
    <t>8680186490264</t>
  </si>
  <si>
    <t>8699593775048</t>
  </si>
  <si>
    <t>8699552090519</t>
  </si>
  <si>
    <t>8699828790327</t>
  </si>
  <si>
    <t>8699828790334</t>
  </si>
  <si>
    <t>8699580540017</t>
  </si>
  <si>
    <t>8699828150084</t>
  </si>
  <si>
    <t>8699828150091</t>
  </si>
  <si>
    <t>8699828150107</t>
  </si>
  <si>
    <t>8680199095463</t>
  </si>
  <si>
    <t>8680199095470</t>
  </si>
  <si>
    <t>8699541794824</t>
  </si>
  <si>
    <t>8699828770466</t>
  </si>
  <si>
    <t>8699548013010</t>
  </si>
  <si>
    <t>8699593760020</t>
  </si>
  <si>
    <t>8699593760037</t>
  </si>
  <si>
    <t>8699828790389</t>
  </si>
  <si>
    <t>8699456090196</t>
  </si>
  <si>
    <t>8680131752348</t>
  </si>
  <si>
    <t>8699532015433</t>
  </si>
  <si>
    <t>8699532705464</t>
  </si>
  <si>
    <t>8699532015440</t>
  </si>
  <si>
    <t>8699532015457</t>
  </si>
  <si>
    <t>8697621270053</t>
  </si>
  <si>
    <t>8699828090670</t>
  </si>
  <si>
    <t>8699828090823</t>
  </si>
  <si>
    <t>8699559090390</t>
  </si>
  <si>
    <t>8699638075300</t>
  </si>
  <si>
    <t>8699525162557</t>
  </si>
  <si>
    <t>8699525162564</t>
  </si>
  <si>
    <t>8699525162571</t>
  </si>
  <si>
    <t>8699525093509</t>
  </si>
  <si>
    <t>8699525093493</t>
  </si>
  <si>
    <t>8699525092717</t>
  </si>
  <si>
    <t>8699525591616</t>
  </si>
  <si>
    <t>8699525010186</t>
  </si>
  <si>
    <t>8699525010209</t>
  </si>
  <si>
    <t>8699525019752</t>
  </si>
  <si>
    <t>8699525750228</t>
  </si>
  <si>
    <t>8699525019769</t>
  </si>
  <si>
    <t>8699540340015</t>
  </si>
  <si>
    <t>8699540090941</t>
  </si>
  <si>
    <t>8699788750324</t>
  </si>
  <si>
    <t>8699809011625</t>
  </si>
  <si>
    <t>8699809011649</t>
  </si>
  <si>
    <t>8699809018297</t>
  </si>
  <si>
    <t>8699809018303</t>
  </si>
  <si>
    <t>8699809011632</t>
  </si>
  <si>
    <t>8699809011656</t>
  </si>
  <si>
    <t>8699809010505</t>
  </si>
  <si>
    <t>8697929570039</t>
  </si>
  <si>
    <t>8697929090049</t>
  </si>
  <si>
    <t>8697927024183</t>
  </si>
  <si>
    <t>8697927023971</t>
  </si>
  <si>
    <t>8699511010268</t>
  </si>
  <si>
    <t>8699511010060</t>
  </si>
  <si>
    <t>8699511010046</t>
  </si>
  <si>
    <t>8699514096467</t>
  </si>
  <si>
    <t>8699514096436</t>
  </si>
  <si>
    <t>8699514091974</t>
  </si>
  <si>
    <t>8699514091998</t>
  </si>
  <si>
    <t>8699514080053</t>
  </si>
  <si>
    <t>8699514080541</t>
  </si>
  <si>
    <t>8699543090498</t>
  </si>
  <si>
    <t>8699543090467</t>
  </si>
  <si>
    <t>8699543090474</t>
  </si>
  <si>
    <t>8699525151513</t>
  </si>
  <si>
    <t>8699822090416</t>
  </si>
  <si>
    <t>8699525610119</t>
  </si>
  <si>
    <t>8681697750137</t>
  </si>
  <si>
    <t>8699591340019</t>
  </si>
  <si>
    <t>8681801010065</t>
  </si>
  <si>
    <t>8699514344421</t>
  </si>
  <si>
    <t>8699717150034</t>
  </si>
  <si>
    <t>8699809595026</t>
  </si>
  <si>
    <t>8699809575189</t>
  </si>
  <si>
    <t>8699809037786</t>
  </si>
  <si>
    <t>8699809799172</t>
  </si>
  <si>
    <t>8699514030324</t>
  </si>
  <si>
    <t>8699514030423</t>
  </si>
  <si>
    <t>8699514092445</t>
  </si>
  <si>
    <t>8699532774811</t>
  </si>
  <si>
    <t>8681308771070</t>
  </si>
  <si>
    <t>8699525610010</t>
  </si>
  <si>
    <t>8699525610102</t>
  </si>
  <si>
    <t>8699508270354</t>
  </si>
  <si>
    <t>8699508270361</t>
  </si>
  <si>
    <t>8699508270378</t>
  </si>
  <si>
    <t>8699514151807</t>
  </si>
  <si>
    <t>8699792011190</t>
  </si>
  <si>
    <t>8698747350018</t>
  </si>
  <si>
    <t>8699738350659</t>
  </si>
  <si>
    <t>8699738380731</t>
  </si>
  <si>
    <t>8699566340082</t>
  </si>
  <si>
    <t>8699809651609</t>
  </si>
  <si>
    <t>8699809351615</t>
  </si>
  <si>
    <t>8699809381612</t>
  </si>
  <si>
    <t>8699738650018</t>
  </si>
  <si>
    <t>8699738350666</t>
  </si>
  <si>
    <t>8699591480012</t>
  </si>
  <si>
    <t>8699502354456</t>
  </si>
  <si>
    <t>8699502650343</t>
  </si>
  <si>
    <t>8699532351869</t>
  </si>
  <si>
    <t>8699532359995</t>
  </si>
  <si>
    <t>8699532651884</t>
  </si>
  <si>
    <t>8699522490738</t>
  </si>
  <si>
    <t>8699522356294</t>
  </si>
  <si>
    <t>8699522386307</t>
  </si>
  <si>
    <t>8699578010690</t>
  </si>
  <si>
    <t>8699514093923</t>
  </si>
  <si>
    <t>8699525272348</t>
  </si>
  <si>
    <t>8699525272324</t>
  </si>
  <si>
    <t>8699504790108</t>
  </si>
  <si>
    <t>8699591090167</t>
  </si>
  <si>
    <t>8699591590032</t>
  </si>
  <si>
    <t>8681026050310</t>
  </si>
  <si>
    <t>8699844570521</t>
  </si>
  <si>
    <t>8699792573018</t>
  </si>
  <si>
    <t>8681094090034</t>
  </si>
  <si>
    <t>8681094090041</t>
  </si>
  <si>
    <t>8699538545361</t>
  </si>
  <si>
    <t>8699636018361</t>
  </si>
  <si>
    <t>8699565093606</t>
  </si>
  <si>
    <t>8699565093620</t>
  </si>
  <si>
    <t>8699525619266</t>
  </si>
  <si>
    <t>8680881099892</t>
  </si>
  <si>
    <t>8699759090022</t>
  </si>
  <si>
    <t>8699759090046</t>
  </si>
  <si>
    <t>8699532178169</t>
  </si>
  <si>
    <t>8699525010025</t>
  </si>
  <si>
    <t>8699525270382</t>
  </si>
  <si>
    <t>8699525270399</t>
  </si>
  <si>
    <t>8699525590442</t>
  </si>
  <si>
    <t>8699525750426</t>
  </si>
  <si>
    <t>8699525590435</t>
  </si>
  <si>
    <t>8699525619303</t>
  </si>
  <si>
    <t>8680150090032</t>
  </si>
  <si>
    <t>8699510611107</t>
  </si>
  <si>
    <t>8699510611015</t>
  </si>
  <si>
    <t>8699976020864</t>
  </si>
  <si>
    <t>8680881090493</t>
  </si>
  <si>
    <t>8699680090313</t>
  </si>
  <si>
    <t>8699680750019</t>
  </si>
  <si>
    <t>8699717090293</t>
  </si>
  <si>
    <t>8699814750229</t>
  </si>
  <si>
    <t>8697927094261</t>
  </si>
  <si>
    <t>8697927094292</t>
  </si>
  <si>
    <t>8699296800337</t>
  </si>
  <si>
    <t>8699296800320</t>
  </si>
  <si>
    <t>8699296800351</t>
  </si>
  <si>
    <t>8680881099625</t>
  </si>
  <si>
    <t>8680881029462</t>
  </si>
  <si>
    <t>8680881029486</t>
  </si>
  <si>
    <t>8681094020437</t>
  </si>
  <si>
    <t>8681094020444</t>
  </si>
  <si>
    <t>8680265090200</t>
  </si>
  <si>
    <t>8680760350069</t>
  </si>
  <si>
    <t>8680760380011</t>
  </si>
  <si>
    <t>8699680090047</t>
  </si>
  <si>
    <t>8699680090184</t>
  </si>
  <si>
    <t>8699680090030</t>
  </si>
  <si>
    <t>8699514094036</t>
  </si>
  <si>
    <t>8699543090092</t>
  </si>
  <si>
    <t>8699543090122</t>
  </si>
  <si>
    <t>8699514159186</t>
  </si>
  <si>
    <t>8699514704683</t>
  </si>
  <si>
    <t>8699514159179</t>
  </si>
  <si>
    <t>8699844651732</t>
  </si>
  <si>
    <t>8699844651725</t>
  </si>
  <si>
    <t>8699552030058</t>
  </si>
  <si>
    <t>8699552030065</t>
  </si>
  <si>
    <t>8699552030072</t>
  </si>
  <si>
    <t>8699552030089</t>
  </si>
  <si>
    <t>8699514092360</t>
  </si>
  <si>
    <t>8699514092339</t>
  </si>
  <si>
    <t>8699546120031</t>
  </si>
  <si>
    <t>8699745001902</t>
  </si>
  <si>
    <t>8699745001896</t>
  </si>
  <si>
    <t>8699745010584</t>
  </si>
  <si>
    <t>8699745001964</t>
  </si>
  <si>
    <t>8699525750495</t>
  </si>
  <si>
    <t>8699525150486</t>
  </si>
  <si>
    <t>8699525150462</t>
  </si>
  <si>
    <t>8699525150448</t>
  </si>
  <si>
    <t>8699617650160</t>
  </si>
  <si>
    <t>8699617650153</t>
  </si>
  <si>
    <t>8699809018105</t>
  </si>
  <si>
    <t>8699630998461</t>
  </si>
  <si>
    <t>8699630997778</t>
  </si>
  <si>
    <t>8699630998607</t>
  </si>
  <si>
    <t>8699630998614</t>
  </si>
  <si>
    <t>8699630998621</t>
  </si>
  <si>
    <t>8699820090395</t>
  </si>
  <si>
    <t>8699548094682</t>
  </si>
  <si>
    <t>8680760340015</t>
  </si>
  <si>
    <t>8699566125429</t>
  </si>
  <si>
    <t>8699514346302</t>
  </si>
  <si>
    <t>8699514759416</t>
  </si>
  <si>
    <t>8699514759409</t>
  </si>
  <si>
    <t>8699514340096</t>
  </si>
  <si>
    <t>8699514039280</t>
  </si>
  <si>
    <t>8699514030188</t>
  </si>
  <si>
    <t>8699578340612</t>
  </si>
  <si>
    <t>8699809018082</t>
  </si>
  <si>
    <t>8681026050303</t>
  </si>
  <si>
    <t>8681026050440</t>
  </si>
  <si>
    <t>8699792341235</t>
  </si>
  <si>
    <t>8699792011220</t>
  </si>
  <si>
    <t>8699792011213</t>
  </si>
  <si>
    <t>8699814750274</t>
  </si>
  <si>
    <t>8681023340018</t>
  </si>
  <si>
    <t>8699586342608</t>
  </si>
  <si>
    <t>8699043890048</t>
  </si>
  <si>
    <t>8699525750525</t>
  </si>
  <si>
    <t>8699293160786</t>
  </si>
  <si>
    <t>8699293160793</t>
  </si>
  <si>
    <t>8699504010350</t>
  </si>
  <si>
    <t>8699504750300</t>
  </si>
  <si>
    <t>8699708590054</t>
  </si>
  <si>
    <t>8699479340018</t>
  </si>
  <si>
    <t>8699788751536</t>
  </si>
  <si>
    <t>8699788751512</t>
  </si>
  <si>
    <t>8699525342812</t>
  </si>
  <si>
    <t>8699525131676</t>
  </si>
  <si>
    <t>8699525134028</t>
  </si>
  <si>
    <t>8699525752253</t>
  </si>
  <si>
    <t>8699525752239</t>
  </si>
  <si>
    <t>8699525031815</t>
  </si>
  <si>
    <t>8699525030016</t>
  </si>
  <si>
    <t>8699525019967</t>
  </si>
  <si>
    <t>8699525019974</t>
  </si>
  <si>
    <t>8699525094698</t>
  </si>
  <si>
    <t>8698778010653</t>
  </si>
  <si>
    <t>8698778010660</t>
  </si>
  <si>
    <t>8698778010622</t>
  </si>
  <si>
    <t>8698778010639</t>
  </si>
  <si>
    <t>8699569090564</t>
  </si>
  <si>
    <t>8699541030304</t>
  </si>
  <si>
    <t>8699541030014</t>
  </si>
  <si>
    <t>8699541030106</t>
  </si>
  <si>
    <t>8699541791700</t>
  </si>
  <si>
    <t>8699541030205</t>
  </si>
  <si>
    <t>8699591240012</t>
  </si>
  <si>
    <t>8680698160358</t>
  </si>
  <si>
    <t>8680698160365</t>
  </si>
  <si>
    <t>8699504090758</t>
  </si>
  <si>
    <t>8699504091113</t>
  </si>
  <si>
    <t>8699504090703</t>
  </si>
  <si>
    <t>8699630768101</t>
  </si>
  <si>
    <t>8680833091134</t>
  </si>
  <si>
    <t>8699828750574</t>
  </si>
  <si>
    <t>8699636750278</t>
  </si>
  <si>
    <t>8699828650010</t>
  </si>
  <si>
    <t>8690570070002</t>
  </si>
  <si>
    <t>8680885500004</t>
  </si>
  <si>
    <t>8699580090130</t>
  </si>
  <si>
    <t>8699580090093</t>
  </si>
  <si>
    <t>8699514016717</t>
  </si>
  <si>
    <t>8699536011219</t>
  </si>
  <si>
    <t>8699525750556</t>
  </si>
  <si>
    <t>8699536090412</t>
  </si>
  <si>
    <t>8699536090429</t>
  </si>
  <si>
    <t>8699536090450</t>
  </si>
  <si>
    <t>8699536070193</t>
  </si>
  <si>
    <t>8699536070186</t>
  </si>
  <si>
    <t>8699809018051</t>
  </si>
  <si>
    <t>8699508120086</t>
  </si>
  <si>
    <t>8699580090635</t>
  </si>
  <si>
    <t>8699580090321</t>
  </si>
  <si>
    <t>8699587351661</t>
  </si>
  <si>
    <t>8699772519128</t>
  </si>
  <si>
    <t>8699772340456</t>
  </si>
  <si>
    <t>8699772750439</t>
  </si>
  <si>
    <t>8699514129110</t>
  </si>
  <si>
    <t>8699599010594</t>
  </si>
  <si>
    <t>8699536090078</t>
  </si>
  <si>
    <t>8699514610298</t>
  </si>
  <si>
    <t>8699809340039</t>
  </si>
  <si>
    <t>8699809575158</t>
  </si>
  <si>
    <t>8699809018556</t>
  </si>
  <si>
    <t>8699809098565</t>
  </si>
  <si>
    <t>8699809098558</t>
  </si>
  <si>
    <t>8699514100010</t>
  </si>
  <si>
    <t>8699514094166</t>
  </si>
  <si>
    <t>8699514094173</t>
  </si>
  <si>
    <t>8699514094142</t>
  </si>
  <si>
    <t>8699514094159</t>
  </si>
  <si>
    <t>8699514094128</t>
  </si>
  <si>
    <t>8699680030173</t>
  </si>
  <si>
    <t>8699680030197</t>
  </si>
  <si>
    <t>8699844750053</t>
  </si>
  <si>
    <t>8699514093695</t>
  </si>
  <si>
    <t>8699514093701</t>
  </si>
  <si>
    <t>8699514093718</t>
  </si>
  <si>
    <t>8699514093725</t>
  </si>
  <si>
    <t>8699514093732</t>
  </si>
  <si>
    <t>8699514093671</t>
  </si>
  <si>
    <t>8699514093688</t>
  </si>
  <si>
    <t>8699844751555</t>
  </si>
  <si>
    <t>8699844751562</t>
  </si>
  <si>
    <t>8680400770578</t>
  </si>
  <si>
    <t>8680199090987</t>
  </si>
  <si>
    <t>8680150570060</t>
  </si>
  <si>
    <t>8681657005413</t>
  </si>
  <si>
    <t>8699516012021</t>
  </si>
  <si>
    <t>8680199610123</t>
  </si>
  <si>
    <t>8696875610165</t>
  </si>
  <si>
    <t>8699679775009</t>
  </si>
  <si>
    <t>8699679775016</t>
  </si>
  <si>
    <t>8699679775023</t>
  </si>
  <si>
    <t>8699525573957</t>
  </si>
  <si>
    <t>8699525095756</t>
  </si>
  <si>
    <t>8699828690122</t>
  </si>
  <si>
    <t>8699828690146</t>
  </si>
  <si>
    <t>8699514091042</t>
  </si>
  <si>
    <t>8699514154464</t>
  </si>
  <si>
    <t>8699828790358</t>
  </si>
  <si>
    <t>8699828790365</t>
  </si>
  <si>
    <t>8699514097105</t>
  </si>
  <si>
    <t>8699514097075</t>
  </si>
  <si>
    <t>8699514097082</t>
  </si>
  <si>
    <t>8699514080305</t>
  </si>
  <si>
    <t>8699514080275</t>
  </si>
  <si>
    <t>8699543010045</t>
  </si>
  <si>
    <t>8699543750019</t>
  </si>
  <si>
    <t>8699527090957</t>
  </si>
  <si>
    <t>8699536090320</t>
  </si>
  <si>
    <t>8699580010329</t>
  </si>
  <si>
    <t>8699580570106</t>
  </si>
  <si>
    <t>8680833010203</t>
  </si>
  <si>
    <t>8680833010234</t>
  </si>
  <si>
    <t>8680833010265</t>
  </si>
  <si>
    <t>8680833090878</t>
  </si>
  <si>
    <t>8699536093314</t>
  </si>
  <si>
    <t>8680833090892</t>
  </si>
  <si>
    <t>8680833090915</t>
  </si>
  <si>
    <t>8699536092928</t>
  </si>
  <si>
    <t>8680833090939</t>
  </si>
  <si>
    <t>8699580950014</t>
  </si>
  <si>
    <t>8699580950021</t>
  </si>
  <si>
    <t>8699580950038</t>
  </si>
  <si>
    <t>8699591570423</t>
  </si>
  <si>
    <t>8699591590018</t>
  </si>
  <si>
    <t>8681026050280</t>
  </si>
  <si>
    <t>8681026050297</t>
  </si>
  <si>
    <t>8699514610267</t>
  </si>
  <si>
    <t>8697869420197</t>
  </si>
  <si>
    <t>8699522155255</t>
  </si>
  <si>
    <t>8699809190092</t>
  </si>
  <si>
    <t>8699680160047</t>
  </si>
  <si>
    <t>8699680160054</t>
  </si>
  <si>
    <t>8699527150101</t>
  </si>
  <si>
    <t>8699527150149</t>
  </si>
  <si>
    <t>8699532281265</t>
  </si>
  <si>
    <t>8699532280985</t>
  </si>
  <si>
    <t>8699532287205</t>
  </si>
  <si>
    <t>8699532090744</t>
  </si>
  <si>
    <t>8699532091505</t>
  </si>
  <si>
    <t>8699561650025</t>
  </si>
  <si>
    <t>8699578090685</t>
  </si>
  <si>
    <t>8699578090692</t>
  </si>
  <si>
    <t>8699504612042</t>
  </si>
  <si>
    <t>8699525619297</t>
  </si>
  <si>
    <t>8699525610041</t>
  </si>
  <si>
    <t>8699820570217</t>
  </si>
  <si>
    <t>8699820010065</t>
  </si>
  <si>
    <t>8699593815041</t>
  </si>
  <si>
    <t>8699593815102</t>
  </si>
  <si>
    <t>8699593815010</t>
  </si>
  <si>
    <t>8699593815027</t>
  </si>
  <si>
    <t>8699593815034</t>
  </si>
  <si>
    <t>8680186490288</t>
  </si>
  <si>
    <t>8680186490295</t>
  </si>
  <si>
    <t>8699820120030</t>
  </si>
  <si>
    <t>8699820030360</t>
  </si>
  <si>
    <t>8699828190424</t>
  </si>
  <si>
    <t>8699543160054</t>
  </si>
  <si>
    <t>8699262160014</t>
  </si>
  <si>
    <t>8699262160021</t>
  </si>
  <si>
    <t>8699514170068</t>
  </si>
  <si>
    <t>8699514170082</t>
  </si>
  <si>
    <t>8698856540409</t>
  </si>
  <si>
    <t>8699514042723</t>
  </si>
  <si>
    <t>8699541014908</t>
  </si>
  <si>
    <t>8699541015004</t>
  </si>
  <si>
    <t>8680400771124</t>
  </si>
  <si>
    <t>8680881091537</t>
  </si>
  <si>
    <t>8680881098345</t>
  </si>
  <si>
    <t>8697929023320</t>
  </si>
  <si>
    <t>8697929021470</t>
  </si>
  <si>
    <t>8697929023344</t>
  </si>
  <si>
    <t>8697929023283</t>
  </si>
  <si>
    <t>8697929021432</t>
  </si>
  <si>
    <t>8699795091151</t>
  </si>
  <si>
    <t>8699795091144</t>
  </si>
  <si>
    <t>8699527090858</t>
  </si>
  <si>
    <t>8699514040019</t>
  </si>
  <si>
    <t>8699514040026</t>
  </si>
  <si>
    <t>8699514040033</t>
  </si>
  <si>
    <t>8699514041238</t>
  </si>
  <si>
    <t>8699514350064</t>
  </si>
  <si>
    <t>8699772380018</t>
  </si>
  <si>
    <t>8699772480015</t>
  </si>
  <si>
    <t>8699514650133</t>
  </si>
  <si>
    <t>8699541092302</t>
  </si>
  <si>
    <t>8699541095143</t>
  </si>
  <si>
    <t>8699541095150</t>
  </si>
  <si>
    <t>8699759011027</t>
  </si>
  <si>
    <t>8699593095375</t>
  </si>
  <si>
    <t>8699525346117</t>
  </si>
  <si>
    <t>8699525756275</t>
  </si>
  <si>
    <t>8699296800290</t>
  </si>
  <si>
    <t>8699296800306</t>
  </si>
  <si>
    <t>8680177220016</t>
  </si>
  <si>
    <t>8697929020220</t>
  </si>
  <si>
    <t>8699514020011</t>
  </si>
  <si>
    <t>8699572170048</t>
  </si>
  <si>
    <t>8699572170079</t>
  </si>
  <si>
    <t>8699572170031</t>
  </si>
  <si>
    <t>8699638065530</t>
  </si>
  <si>
    <t>8699638065547</t>
  </si>
  <si>
    <t>8699638065554</t>
  </si>
  <si>
    <t>8699638065561</t>
  </si>
  <si>
    <t>8699228090348</t>
  </si>
  <si>
    <t>8699536030043</t>
  </si>
  <si>
    <t>8699536030050</t>
  </si>
  <si>
    <t>8699536030111</t>
  </si>
  <si>
    <t>8699536030234</t>
  </si>
  <si>
    <t>8699536030241</t>
  </si>
  <si>
    <t>8699708350085</t>
  </si>
  <si>
    <t>8698856350350</t>
  </si>
  <si>
    <t>8680150650069</t>
  </si>
  <si>
    <t>8680150650014</t>
  </si>
  <si>
    <t>8699814790102</t>
  </si>
  <si>
    <t>8699814270413</t>
  </si>
  <si>
    <t>8699814270406</t>
  </si>
  <si>
    <t>8699536090788</t>
  </si>
  <si>
    <t>8699536090252</t>
  </si>
  <si>
    <t>8699536091020</t>
  </si>
  <si>
    <t>8699536090269</t>
  </si>
  <si>
    <t>8699570570086</t>
  </si>
  <si>
    <t>8699570010148</t>
  </si>
  <si>
    <t>8699514090557</t>
  </si>
  <si>
    <t>8699561340094</t>
  </si>
  <si>
    <t>8699943790028</t>
  </si>
  <si>
    <t>8699527093873</t>
  </si>
  <si>
    <t>8699527093927</t>
  </si>
  <si>
    <t>8699527340021</t>
  </si>
  <si>
    <t>8681308267436</t>
  </si>
  <si>
    <t>8699527090216</t>
  </si>
  <si>
    <t>8699527090247</t>
  </si>
  <si>
    <t>8699527090278</t>
  </si>
  <si>
    <t>8699527090186</t>
  </si>
  <si>
    <t>8699546091959</t>
  </si>
  <si>
    <t>8699546095933</t>
  </si>
  <si>
    <t>8680131751839</t>
  </si>
  <si>
    <t>8698856350305</t>
  </si>
  <si>
    <t>8699043890284</t>
  </si>
  <si>
    <t>8699043890291</t>
  </si>
  <si>
    <t>8681308010087</t>
  </si>
  <si>
    <t>8681308095152</t>
  </si>
  <si>
    <t>8681308010094</t>
  </si>
  <si>
    <t>8681308096166</t>
  </si>
  <si>
    <t>8699514010890</t>
  </si>
  <si>
    <t>8699769120016</t>
  </si>
  <si>
    <t>8699771000887</t>
  </si>
  <si>
    <t>8699636350294</t>
  </si>
  <si>
    <t>8699636380321</t>
  </si>
  <si>
    <t>8699636480304</t>
  </si>
  <si>
    <t>8699510611718</t>
  </si>
  <si>
    <t>8699809897014</t>
  </si>
  <si>
    <t>8699809097957</t>
  </si>
  <si>
    <t>8699809759114</t>
  </si>
  <si>
    <t>8680199619522</t>
  </si>
  <si>
    <t>8699636150306</t>
  </si>
  <si>
    <t>8699828750604</t>
  </si>
  <si>
    <t>8699825120011</t>
  </si>
  <si>
    <t>8699541094412</t>
  </si>
  <si>
    <t>8699541094504</t>
  </si>
  <si>
    <t>8699541751704</t>
  </si>
  <si>
    <t>8699702755039</t>
  </si>
  <si>
    <t>8699786354449</t>
  </si>
  <si>
    <t>8699874080137</t>
  </si>
  <si>
    <t>8699874080120</t>
  </si>
  <si>
    <t>8699844341183</t>
  </si>
  <si>
    <t>8699516015169</t>
  </si>
  <si>
    <t>8699516015152</t>
  </si>
  <si>
    <t>8699516015176</t>
  </si>
  <si>
    <t>8699516012502</t>
  </si>
  <si>
    <t>8681308955555</t>
  </si>
  <si>
    <t>8681308958600</t>
  </si>
  <si>
    <t>8699525287465</t>
  </si>
  <si>
    <t>8699525287489</t>
  </si>
  <si>
    <t>8699525157492</t>
  </si>
  <si>
    <t>8699525157508</t>
  </si>
  <si>
    <t>8699525090690</t>
  </si>
  <si>
    <t>8699543250052</t>
  </si>
  <si>
    <t>8699525890597</t>
  </si>
  <si>
    <t>8699525150585</t>
  </si>
  <si>
    <t>8699586262845</t>
  </si>
  <si>
    <t>8699586122859</t>
  </si>
  <si>
    <t>8699586262838</t>
  </si>
  <si>
    <t>8680019013509</t>
  </si>
  <si>
    <t>8699680070063</t>
  </si>
  <si>
    <t>8699680070070</t>
  </si>
  <si>
    <t>8699680070087</t>
  </si>
  <si>
    <t>8699680091426</t>
  </si>
  <si>
    <t>8699569090113</t>
  </si>
  <si>
    <t>8699569090076</t>
  </si>
  <si>
    <t>8699569090489</t>
  </si>
  <si>
    <t>8699569090496</t>
  </si>
  <si>
    <t>8699702611533</t>
  </si>
  <si>
    <t>8699717280175</t>
  </si>
  <si>
    <t>8699717150027</t>
  </si>
  <si>
    <t>8699522967117</t>
  </si>
  <si>
    <t>8699522967216</t>
  </si>
  <si>
    <t>8699587012869</t>
  </si>
  <si>
    <t>8699717950030</t>
  </si>
  <si>
    <t>8699717950047</t>
  </si>
  <si>
    <t>8699548994579</t>
  </si>
  <si>
    <t>8699548993886</t>
  </si>
  <si>
    <t>8699548993893</t>
  </si>
  <si>
    <t>8699548990878</t>
  </si>
  <si>
    <t>8699548994722</t>
  </si>
  <si>
    <t>8699548994715</t>
  </si>
  <si>
    <t>8699548994708</t>
  </si>
  <si>
    <t>8699548990366</t>
  </si>
  <si>
    <t>8699548994173</t>
  </si>
  <si>
    <t>8699548994524</t>
  </si>
  <si>
    <t>8699548993824</t>
  </si>
  <si>
    <t>8699548994180</t>
  </si>
  <si>
    <t>8699548994166</t>
  </si>
  <si>
    <t>8699548990298</t>
  </si>
  <si>
    <t>8699548990649</t>
  </si>
  <si>
    <t>8699586913280</t>
  </si>
  <si>
    <t>8699456790096</t>
  </si>
  <si>
    <t>8699514150824</t>
  </si>
  <si>
    <t>8680199367447</t>
  </si>
  <si>
    <t>8680199906271</t>
  </si>
  <si>
    <t>8680933750016</t>
  </si>
  <si>
    <t>8680933750023</t>
  </si>
  <si>
    <t>8699756150309</t>
  </si>
  <si>
    <t>8699584010721</t>
  </si>
  <si>
    <t>8699828760153</t>
  </si>
  <si>
    <t>8699543090931</t>
  </si>
  <si>
    <t>8699543090917</t>
  </si>
  <si>
    <t>8699543090924</t>
  </si>
  <si>
    <t>8699522592654</t>
  </si>
  <si>
    <t>8699522092666</t>
  </si>
  <si>
    <t>8699514590156</t>
  </si>
  <si>
    <t>8699514590149</t>
  </si>
  <si>
    <t>8699514650058</t>
  </si>
  <si>
    <t>8699514096559</t>
  </si>
  <si>
    <t>8699514096528</t>
  </si>
  <si>
    <t>8699514096535</t>
  </si>
  <si>
    <t>8699514096542</t>
  </si>
  <si>
    <t>8699514030065</t>
  </si>
  <si>
    <t>8699514030089</t>
  </si>
  <si>
    <t>8680698150038</t>
  </si>
  <si>
    <t>8680698150021</t>
  </si>
  <si>
    <t>8680881093883</t>
  </si>
  <si>
    <t>8699262950271</t>
  </si>
  <si>
    <t>8699262950295</t>
  </si>
  <si>
    <t>8699769950187</t>
  </si>
  <si>
    <t>8699769950194</t>
  </si>
  <si>
    <t>8699769950200</t>
  </si>
  <si>
    <t>8699769950217</t>
  </si>
  <si>
    <t>8699769950163</t>
  </si>
  <si>
    <t>8699844611484</t>
  </si>
  <si>
    <t>8699814270185</t>
  </si>
  <si>
    <t>8699814270703</t>
  </si>
  <si>
    <t>8699814270192</t>
  </si>
  <si>
    <t>8699814270161</t>
  </si>
  <si>
    <t>8699814270178</t>
  </si>
  <si>
    <t>8699814270277</t>
  </si>
  <si>
    <t>8699814270260</t>
  </si>
  <si>
    <t>8699814270222</t>
  </si>
  <si>
    <t>8699814270253</t>
  </si>
  <si>
    <t>8699814270246</t>
  </si>
  <si>
    <t>8699814270215</t>
  </si>
  <si>
    <t>8699808770110</t>
  </si>
  <si>
    <t>8699808770127</t>
  </si>
  <si>
    <t>8699809156661</t>
  </si>
  <si>
    <t>8699809706613</t>
  </si>
  <si>
    <t>8699516286934</t>
  </si>
  <si>
    <t>8699516281199</t>
  </si>
  <si>
    <t>8699516151164</t>
  </si>
  <si>
    <t>8699508120093</t>
  </si>
  <si>
    <t>8680771491027</t>
  </si>
  <si>
    <t>8699505152066</t>
  </si>
  <si>
    <t>8681026050433</t>
  </si>
  <si>
    <t>8699540091658</t>
  </si>
  <si>
    <t>8699540091665</t>
  </si>
  <si>
    <t>8680400770264</t>
  </si>
  <si>
    <t>8680400770271</t>
  </si>
  <si>
    <t>8680400770257</t>
  </si>
  <si>
    <t>8699505150826</t>
  </si>
  <si>
    <t>8699505091228</t>
  </si>
  <si>
    <t>8699505091235</t>
  </si>
  <si>
    <t>8699502092044</t>
  </si>
  <si>
    <t>8699502092181</t>
  </si>
  <si>
    <t>8699543090504</t>
  </si>
  <si>
    <t>8699543090511</t>
  </si>
  <si>
    <t>8699543090528</t>
  </si>
  <si>
    <t>8699543090535</t>
  </si>
  <si>
    <t>8699540090743</t>
  </si>
  <si>
    <t>8699792171610</t>
  </si>
  <si>
    <t>8699514170167</t>
  </si>
  <si>
    <t>8680881093807</t>
  </si>
  <si>
    <t>8680881093814</t>
  </si>
  <si>
    <t>8680881093821</t>
  </si>
  <si>
    <t>8699540096011</t>
  </si>
  <si>
    <t>8699540096059</t>
  </si>
  <si>
    <t>8699759150016</t>
  </si>
  <si>
    <t>8699708360138</t>
  </si>
  <si>
    <t>8699676090266</t>
  </si>
  <si>
    <t>8699527011037</t>
  </si>
  <si>
    <t>8699293340973</t>
  </si>
  <si>
    <t>8699293010968</t>
  </si>
  <si>
    <t>8699587753472</t>
  </si>
  <si>
    <t>8699540091115</t>
  </si>
  <si>
    <t>8699540030015</t>
  </si>
  <si>
    <t>8699262091134</t>
  </si>
  <si>
    <t>8699828760061</t>
  </si>
  <si>
    <t>8699828760054</t>
  </si>
  <si>
    <t>8680760091832</t>
  </si>
  <si>
    <t>8699541095365</t>
  </si>
  <si>
    <t>8680400770486</t>
  </si>
  <si>
    <t>8699844340995</t>
  </si>
  <si>
    <t>8699522356522</t>
  </si>
  <si>
    <t>8699522386581</t>
  </si>
  <si>
    <t>8699808010032</t>
  </si>
  <si>
    <t>8699808010049</t>
  </si>
  <si>
    <t>8699808010087</t>
  </si>
  <si>
    <t>8699808010094</t>
  </si>
  <si>
    <t>8699808010056</t>
  </si>
  <si>
    <t>8699808010070</t>
  </si>
  <si>
    <t>8699527091176</t>
  </si>
  <si>
    <t>8699828190080</t>
  </si>
  <si>
    <t>8699828190097</t>
  </si>
  <si>
    <t>8699828190127</t>
  </si>
  <si>
    <t>8699774750178</t>
  </si>
  <si>
    <t>8699479750190</t>
  </si>
  <si>
    <t>8680131751884</t>
  </si>
  <si>
    <t>8680835000097</t>
  </si>
  <si>
    <t>8680835000080</t>
  </si>
  <si>
    <t>8680835000073</t>
  </si>
  <si>
    <t>8680835000301</t>
  </si>
  <si>
    <t>8680835000318</t>
  </si>
  <si>
    <t>8699828690207</t>
  </si>
  <si>
    <t>8699586282256</t>
  </si>
  <si>
    <t>8699586282263</t>
  </si>
  <si>
    <t>8699514150879</t>
  </si>
  <si>
    <t>8680008010120</t>
  </si>
  <si>
    <t>8699832090635</t>
  </si>
  <si>
    <t>8699832090659</t>
  </si>
  <si>
    <t>8699832090642</t>
  </si>
  <si>
    <t>8699502151512</t>
  </si>
  <si>
    <t>8699586462450</t>
  </si>
  <si>
    <t>8699586462443</t>
  </si>
  <si>
    <t>8699514510062</t>
  </si>
  <si>
    <t>8699514350125</t>
  </si>
  <si>
    <t>8699504150254</t>
  </si>
  <si>
    <t>8699504590258</t>
  </si>
  <si>
    <t>8699504150308</t>
  </si>
  <si>
    <t>8699504150353</t>
  </si>
  <si>
    <t>8699504150407</t>
  </si>
  <si>
    <t>8699504810509</t>
  </si>
  <si>
    <t>8699504810547</t>
  </si>
  <si>
    <t>8699504810455</t>
  </si>
  <si>
    <t>8699536010373</t>
  </si>
  <si>
    <t>8680760350083</t>
  </si>
  <si>
    <t>8680760380028</t>
  </si>
  <si>
    <t>8680760480018</t>
  </si>
  <si>
    <t>8699650982013</t>
  </si>
  <si>
    <t>8699504091205</t>
  </si>
  <si>
    <t>8699504091199</t>
  </si>
  <si>
    <t>8699504070019</t>
  </si>
  <si>
    <t>8699504070026</t>
  </si>
  <si>
    <t>8699504070033</t>
  </si>
  <si>
    <t>8699490561119</t>
  </si>
  <si>
    <t>8699516510695</t>
  </si>
  <si>
    <t>8699516350680</t>
  </si>
  <si>
    <t>8699561350055</t>
  </si>
  <si>
    <t>8699561350062</t>
  </si>
  <si>
    <t>8699792022424</t>
  </si>
  <si>
    <t>8699792022431</t>
  </si>
  <si>
    <t>8699792022448</t>
  </si>
  <si>
    <t>8699792022455</t>
  </si>
  <si>
    <t>8699514093855</t>
  </si>
  <si>
    <t>8697927550590</t>
  </si>
  <si>
    <t>8697927550606</t>
  </si>
  <si>
    <t>8680656080339</t>
  </si>
  <si>
    <t>8680199619959</t>
  </si>
  <si>
    <t>8699569610045</t>
  </si>
  <si>
    <t>8699546770052</t>
  </si>
  <si>
    <t>8680881010071</t>
  </si>
  <si>
    <t>8699636010181</t>
  </si>
  <si>
    <t>8699809260054</t>
  </si>
  <si>
    <t>8699514097587</t>
  </si>
  <si>
    <t>8699514097594</t>
  </si>
  <si>
    <t>8697507980144</t>
  </si>
  <si>
    <t>8681429550028</t>
  </si>
  <si>
    <t>8681429550035</t>
  </si>
  <si>
    <t>8681429550042</t>
  </si>
  <si>
    <t>8681429550004</t>
  </si>
  <si>
    <t>8681429550011</t>
  </si>
  <si>
    <t>8681624980026</t>
  </si>
  <si>
    <t>8681624980019</t>
  </si>
  <si>
    <t>8699650981993</t>
  </si>
  <si>
    <t>8699650981986</t>
  </si>
  <si>
    <t>8699769980078</t>
  </si>
  <si>
    <t>8699769980030</t>
  </si>
  <si>
    <t>8681429550363</t>
  </si>
  <si>
    <t>8681624980064</t>
  </si>
  <si>
    <t>8682109319829</t>
  </si>
  <si>
    <t>8681429550103</t>
  </si>
  <si>
    <t>8699556980021</t>
  </si>
  <si>
    <t>8699556980144</t>
  </si>
  <si>
    <t>8699556980090</t>
  </si>
  <si>
    <t>8699769980252</t>
  </si>
  <si>
    <t>8699769980245</t>
  </si>
  <si>
    <t>8699546790050</t>
  </si>
  <si>
    <t>8699546790067</t>
  </si>
  <si>
    <t>8699546790036</t>
  </si>
  <si>
    <t>8699546790043</t>
  </si>
  <si>
    <t>8699686980120</t>
  </si>
  <si>
    <t>8699686980113</t>
  </si>
  <si>
    <t>8699650982006</t>
  </si>
  <si>
    <t>8681429550158</t>
  </si>
  <si>
    <t>8681429550165</t>
  </si>
  <si>
    <t>8699686980151</t>
  </si>
  <si>
    <t>8697507980168</t>
  </si>
  <si>
    <t>8699516094164</t>
  </si>
  <si>
    <t>8699516094171</t>
  </si>
  <si>
    <t>8699578091026</t>
  </si>
  <si>
    <t>8699783030025</t>
  </si>
  <si>
    <t>8699745001445</t>
  </si>
  <si>
    <t>8699525648082</t>
  </si>
  <si>
    <t>8699525518095</t>
  </si>
  <si>
    <t>8699565643580</t>
  </si>
  <si>
    <t>8699565523578</t>
  </si>
  <si>
    <t>8699565643573</t>
  </si>
  <si>
    <t>8699565523554</t>
  </si>
  <si>
    <t>8699786950030</t>
  </si>
  <si>
    <t>8699832340013</t>
  </si>
  <si>
    <t>8699809260016</t>
  </si>
  <si>
    <t>8699809260023</t>
  </si>
  <si>
    <t>8699820090029</t>
  </si>
  <si>
    <t>8699738070014</t>
  </si>
  <si>
    <t>8699738070021</t>
  </si>
  <si>
    <t>8699738070038</t>
  </si>
  <si>
    <t>8699532340702</t>
  </si>
  <si>
    <t>8699532010728</t>
  </si>
  <si>
    <t>8699504090253</t>
  </si>
  <si>
    <t>8699369070162</t>
  </si>
  <si>
    <t>8681291340178</t>
  </si>
  <si>
    <t>8699671150095</t>
  </si>
  <si>
    <t>8699587011398</t>
  </si>
  <si>
    <t>8699772157054</t>
  </si>
  <si>
    <t>8699844750664</t>
  </si>
  <si>
    <t>8699591650255</t>
  </si>
  <si>
    <t>8699591650293</t>
  </si>
  <si>
    <t>8699591650279</t>
  </si>
  <si>
    <t>8699591590049</t>
  </si>
  <si>
    <t>8699514750079</t>
  </si>
  <si>
    <t>8699783750107</t>
  </si>
  <si>
    <t>5060105142314</t>
  </si>
  <si>
    <t>5060105142413</t>
  </si>
  <si>
    <t>8699543091709</t>
  </si>
  <si>
    <t>8699543091716</t>
  </si>
  <si>
    <t>8699543091693</t>
  </si>
  <si>
    <t>8699543070353</t>
  </si>
  <si>
    <t>8699543070360</t>
  </si>
  <si>
    <t>8699543070377</t>
  </si>
  <si>
    <t>8699514655657</t>
  </si>
  <si>
    <t>8699514592556</t>
  </si>
  <si>
    <t>8699822570291</t>
  </si>
  <si>
    <t>8699822090287</t>
  </si>
  <si>
    <t>8698747570010</t>
  </si>
  <si>
    <t>8699587571120</t>
  </si>
  <si>
    <t>8699587161116</t>
  </si>
  <si>
    <t>8680400770547</t>
  </si>
  <si>
    <t>8699566753103</t>
  </si>
  <si>
    <t>8699591570324</t>
  </si>
  <si>
    <t>8699591150298</t>
  </si>
  <si>
    <t>8699591570355</t>
  </si>
  <si>
    <t>8699514755555</t>
  </si>
  <si>
    <t>8699514575535</t>
  </si>
  <si>
    <t>8699514595571</t>
  </si>
  <si>
    <t>8699514095613</t>
  </si>
  <si>
    <t>8699580210132</t>
  </si>
  <si>
    <t>8699580210149</t>
  </si>
  <si>
    <t>8699772750033</t>
  </si>
  <si>
    <t>8699536070261</t>
  </si>
  <si>
    <t>8699536070285</t>
  </si>
  <si>
    <t>8699809132702</t>
  </si>
  <si>
    <t>8681117650030</t>
  </si>
  <si>
    <t>8699543090030</t>
  </si>
  <si>
    <t>8699543090047</t>
  </si>
  <si>
    <t>8699536090214</t>
  </si>
  <si>
    <t>8699536090221</t>
  </si>
  <si>
    <t>8699788751468</t>
  </si>
  <si>
    <t>8699293151050</t>
  </si>
  <si>
    <t>8699502151925</t>
  </si>
  <si>
    <t>8699074150111</t>
  </si>
  <si>
    <t>8680771491058</t>
  </si>
  <si>
    <t>8699638155279</t>
  </si>
  <si>
    <t>8699772350493</t>
  </si>
  <si>
    <t>8699514093060</t>
  </si>
  <si>
    <t>8699514093107</t>
  </si>
  <si>
    <t>8699514092476</t>
  </si>
  <si>
    <t>8699525285591</t>
  </si>
  <si>
    <t>8699525285584</t>
  </si>
  <si>
    <t>8699525095572</t>
  </si>
  <si>
    <t>8699514550259</t>
  </si>
  <si>
    <t>8699514550266</t>
  </si>
  <si>
    <t>8699514550273</t>
  </si>
  <si>
    <t>8699586090257</t>
  </si>
  <si>
    <t>8699809706644</t>
  </si>
  <si>
    <t>8699809098572</t>
  </si>
  <si>
    <t>8699809010192</t>
  </si>
  <si>
    <t>8699809010178</t>
  </si>
  <si>
    <t>8699760710018</t>
  </si>
  <si>
    <t>8699769980146</t>
  </si>
  <si>
    <t>8699769980153</t>
  </si>
  <si>
    <t>8699832090789</t>
  </si>
  <si>
    <t>8699832090772</t>
  </si>
  <si>
    <t>8699566515008</t>
  </si>
  <si>
    <t>8699566344288</t>
  </si>
  <si>
    <t>8699566755107</t>
  </si>
  <si>
    <t>8680184520215</t>
  </si>
  <si>
    <t>8680184520208</t>
  </si>
  <si>
    <t>8699525529701</t>
  </si>
  <si>
    <t>8699522543014</t>
  </si>
  <si>
    <t>8699522521500</t>
  </si>
  <si>
    <t>8699522523610</t>
  </si>
  <si>
    <t>8699522521517</t>
  </si>
  <si>
    <t>8699522523603</t>
  </si>
  <si>
    <t>8699522553570</t>
  </si>
  <si>
    <t>8699522553594</t>
  </si>
  <si>
    <t>8699043890420</t>
  </si>
  <si>
    <t>8699569170013</t>
  </si>
  <si>
    <t>8699525094315</t>
  </si>
  <si>
    <t>8699525094322</t>
  </si>
  <si>
    <t>8699795091076</t>
  </si>
  <si>
    <t>8699795750232</t>
  </si>
  <si>
    <t>8699543030043</t>
  </si>
  <si>
    <t>8680199619423</t>
  </si>
  <si>
    <t>8699532151407</t>
  </si>
  <si>
    <t>8699532156778</t>
  </si>
  <si>
    <t>8699532151353</t>
  </si>
  <si>
    <t>8699584050468</t>
  </si>
  <si>
    <t>8699584050475</t>
  </si>
  <si>
    <t>8699584050482</t>
  </si>
  <si>
    <t>8699552030201</t>
  </si>
  <si>
    <t>8699511090154</t>
  </si>
  <si>
    <t>8699814690068</t>
  </si>
  <si>
    <t>8680400770059</t>
  </si>
  <si>
    <t>8699760751394</t>
  </si>
  <si>
    <t>8699702717143</t>
  </si>
  <si>
    <t>8699828770251</t>
  </si>
  <si>
    <t>8699828770244</t>
  </si>
  <si>
    <t>8680596070063</t>
  </si>
  <si>
    <t>8699536090481</t>
  </si>
  <si>
    <t>8699536030012</t>
  </si>
  <si>
    <t>8699527640022</t>
  </si>
  <si>
    <t>8699527520034</t>
  </si>
  <si>
    <t>8699717090224</t>
  </si>
  <si>
    <t>8680199547580</t>
  </si>
  <si>
    <t>8680199611595</t>
  </si>
  <si>
    <t>8680199154023</t>
  </si>
  <si>
    <t>8680199153682</t>
  </si>
  <si>
    <t>8699578151102</t>
  </si>
  <si>
    <t>8699578151072</t>
  </si>
  <si>
    <t>8699578151089</t>
  </si>
  <si>
    <t>8699680091150</t>
  </si>
  <si>
    <t>8699490571033</t>
  </si>
  <si>
    <t>8699508010509</t>
  </si>
  <si>
    <t>8699717090378</t>
  </si>
  <si>
    <t>8699324010011</t>
  </si>
  <si>
    <t>8699541153690</t>
  </si>
  <si>
    <t>8699795091267</t>
  </si>
  <si>
    <t>8699795091281</t>
  </si>
  <si>
    <t>8699795091304</t>
  </si>
  <si>
    <t>8699795091250</t>
  </si>
  <si>
    <t>8681428550609</t>
  </si>
  <si>
    <t>8680741520306</t>
  </si>
  <si>
    <t>8699566093131</t>
  </si>
  <si>
    <t>8680741550211</t>
  </si>
  <si>
    <t>8680741550242</t>
  </si>
  <si>
    <t>8680741550204</t>
  </si>
  <si>
    <t>8680741550235</t>
  </si>
  <si>
    <t>8699569270065</t>
  </si>
  <si>
    <t>8699569270041</t>
  </si>
  <si>
    <t>8699673954295</t>
  </si>
  <si>
    <t>8699793000636</t>
  </si>
  <si>
    <t>8699680091044</t>
  </si>
  <si>
    <t>8699680091051</t>
  </si>
  <si>
    <t>8699711953365</t>
  </si>
  <si>
    <t>8699745011918</t>
  </si>
  <si>
    <t>8699745011871</t>
  </si>
  <si>
    <t>8699745011895</t>
  </si>
  <si>
    <t>8699745010911</t>
  </si>
  <si>
    <t>8699745010928</t>
  </si>
  <si>
    <t>8699745010935</t>
  </si>
  <si>
    <t>8699745001421</t>
  </si>
  <si>
    <t>8699745001391</t>
  </si>
  <si>
    <t>8699745001384</t>
  </si>
  <si>
    <t>8699745001360</t>
  </si>
  <si>
    <t>8699745001414</t>
  </si>
  <si>
    <t>8699711953341</t>
  </si>
  <si>
    <t>8699569090649</t>
  </si>
  <si>
    <t>8699745009830</t>
  </si>
  <si>
    <t>8699745009816</t>
  </si>
  <si>
    <t>8699745009823</t>
  </si>
  <si>
    <t>8699745009809</t>
  </si>
  <si>
    <t>8699745001834</t>
  </si>
  <si>
    <t>8699745001810</t>
  </si>
  <si>
    <t>8699745001827</t>
  </si>
  <si>
    <t>8699745001803</t>
  </si>
  <si>
    <t>8699745017408</t>
  </si>
  <si>
    <t>8699543010281</t>
  </si>
  <si>
    <t>8699543570044</t>
  </si>
  <si>
    <t>8699786092730</t>
  </si>
  <si>
    <t>8699636010990</t>
  </si>
  <si>
    <t>8699636010785</t>
  </si>
  <si>
    <t>8699636010754</t>
  </si>
  <si>
    <t>8699819090498</t>
  </si>
  <si>
    <t>8699828790457</t>
  </si>
  <si>
    <t>8699828790464</t>
  </si>
  <si>
    <t>8699822520173</t>
  </si>
  <si>
    <t>8699822550316</t>
  </si>
  <si>
    <t>8680426040020</t>
  </si>
  <si>
    <t>8680426040013</t>
  </si>
  <si>
    <t>8699525558442</t>
  </si>
  <si>
    <t>8699525520111</t>
  </si>
  <si>
    <t>8680833770022</t>
  </si>
  <si>
    <t>8680833770015</t>
  </si>
  <si>
    <t>8680008340036</t>
  </si>
  <si>
    <t>8680008040295</t>
  </si>
  <si>
    <t>8680008040073</t>
  </si>
  <si>
    <t>8680008040080</t>
  </si>
  <si>
    <t>8699630998706</t>
  </si>
  <si>
    <t>8699630998713</t>
  </si>
  <si>
    <t>8699630998720</t>
  </si>
  <si>
    <t>8699630998737</t>
  </si>
  <si>
    <t>8699630998751</t>
  </si>
  <si>
    <t>8699630998768</t>
  </si>
  <si>
    <t>8699630998744</t>
  </si>
  <si>
    <t>8699630998119</t>
  </si>
  <si>
    <t>8699630998775</t>
  </si>
  <si>
    <t>8699630998256</t>
  </si>
  <si>
    <t>8699630998218</t>
  </si>
  <si>
    <t>8699514070115</t>
  </si>
  <si>
    <t>8699514070122</t>
  </si>
  <si>
    <t>8699514070139</t>
  </si>
  <si>
    <t>8699514350088</t>
  </si>
  <si>
    <t>8699514352853</t>
  </si>
  <si>
    <t>8699514382867</t>
  </si>
  <si>
    <t>8699514090335</t>
  </si>
  <si>
    <t>8699514350095</t>
  </si>
  <si>
    <t>8699569610236</t>
  </si>
  <si>
    <t>8699569350118</t>
  </si>
  <si>
    <t>8699569380078</t>
  </si>
  <si>
    <t>8699569350149</t>
  </si>
  <si>
    <t>8699514610151</t>
  </si>
  <si>
    <t>8699772350073</t>
  </si>
  <si>
    <t>8699567350011</t>
  </si>
  <si>
    <t>8699293091066</t>
  </si>
  <si>
    <t>8697929090582</t>
  </si>
  <si>
    <t>8699844611323</t>
  </si>
  <si>
    <t>8699578151065</t>
  </si>
  <si>
    <t>8697772570026</t>
  </si>
  <si>
    <t>8681728650016</t>
  </si>
  <si>
    <t>8681728350015</t>
  </si>
  <si>
    <t>8699508150205</t>
  </si>
  <si>
    <t>8699508150212</t>
  </si>
  <si>
    <t>8699792353818</t>
  </si>
  <si>
    <t>8699540280403</t>
  </si>
  <si>
    <t>8699540180215</t>
  </si>
  <si>
    <t>8699540180222</t>
  </si>
  <si>
    <t>8699540180208</t>
  </si>
  <si>
    <t>8699567380018</t>
  </si>
  <si>
    <t>8699502380103</t>
  </si>
  <si>
    <t>8699622380212</t>
  </si>
  <si>
    <t>8699814750250</t>
  </si>
  <si>
    <t>8699825010077</t>
  </si>
  <si>
    <t>8699591350346</t>
  </si>
  <si>
    <t>8699525610034</t>
  </si>
  <si>
    <t>8699525386700</t>
  </si>
  <si>
    <t>8699525350053</t>
  </si>
  <si>
    <t>8699525350077</t>
  </si>
  <si>
    <t>8699293341031</t>
  </si>
  <si>
    <t>8699745000189</t>
  </si>
  <si>
    <t>8699578151218</t>
  </si>
  <si>
    <t>8699578151225</t>
  </si>
  <si>
    <t>8699578151232</t>
  </si>
  <si>
    <t>8699578091231</t>
  </si>
  <si>
    <t>8699578091248</t>
  </si>
  <si>
    <t>8699638154043</t>
  </si>
  <si>
    <t>8699638154050</t>
  </si>
  <si>
    <t>8699638154067</t>
  </si>
  <si>
    <t>8699638094073</t>
  </si>
  <si>
    <t>8699638094080</t>
  </si>
  <si>
    <t>8699502151352</t>
  </si>
  <si>
    <t>8699502151369</t>
  </si>
  <si>
    <t>8699546778638</t>
  </si>
  <si>
    <t>8699546772438</t>
  </si>
  <si>
    <t>8699546773428</t>
  </si>
  <si>
    <t>8699745000264</t>
  </si>
  <si>
    <t>8680199153156</t>
  </si>
  <si>
    <t>8699504012163</t>
  </si>
  <si>
    <t>8699504093018</t>
  </si>
  <si>
    <t>8699504093001</t>
  </si>
  <si>
    <t>8699514090465</t>
  </si>
  <si>
    <t>8699584090730</t>
  </si>
  <si>
    <t>8699769980214</t>
  </si>
  <si>
    <t>8699769980221</t>
  </si>
  <si>
    <t>8699769980207</t>
  </si>
  <si>
    <t>8699490561126</t>
  </si>
  <si>
    <t>8699636950104</t>
  </si>
  <si>
    <t>8680760080058</t>
  </si>
  <si>
    <t>8680760080133</t>
  </si>
  <si>
    <t>8680760080140</t>
  </si>
  <si>
    <t>8680760700031</t>
  </si>
  <si>
    <t>8680760700062</t>
  </si>
  <si>
    <t>8699560090020</t>
  </si>
  <si>
    <t>8699525700018</t>
  </si>
  <si>
    <t>8699525080059</t>
  </si>
  <si>
    <t>8699525700049</t>
  </si>
  <si>
    <t>8690570700039</t>
  </si>
  <si>
    <t>8690570701067</t>
  </si>
  <si>
    <t>8690570081077</t>
  </si>
  <si>
    <t>8690570250022</t>
  </si>
  <si>
    <t>8699505762630</t>
  </si>
  <si>
    <t>8699535250053</t>
  </si>
  <si>
    <t>8699638095636</t>
  </si>
  <si>
    <t>8699828790099</t>
  </si>
  <si>
    <t>8699828790129</t>
  </si>
  <si>
    <t>8699828790082</t>
  </si>
  <si>
    <t>8699769770075</t>
  </si>
  <si>
    <t>8699525447630</t>
  </si>
  <si>
    <t>8699783980023</t>
  </si>
  <si>
    <t>8699783010249</t>
  </si>
  <si>
    <t>8699814750083</t>
  </si>
  <si>
    <t>8699814750021</t>
  </si>
  <si>
    <t>8681308957801</t>
  </si>
  <si>
    <t>8681308957795</t>
  </si>
  <si>
    <t>8699508610020</t>
  </si>
  <si>
    <t>8699508750634</t>
  </si>
  <si>
    <t>8699508750641</t>
  </si>
  <si>
    <t>8699508750115</t>
  </si>
  <si>
    <t>8699508750122</t>
  </si>
  <si>
    <t>8699508750139</t>
  </si>
  <si>
    <t>8699569610106</t>
  </si>
  <si>
    <t>8699788751390</t>
  </si>
  <si>
    <t>8699788750461</t>
  </si>
  <si>
    <t>8698760090144</t>
  </si>
  <si>
    <t>8699567640013</t>
  </si>
  <si>
    <t>8699567510019</t>
  </si>
  <si>
    <t>8699578011277</t>
  </si>
  <si>
    <t>8699578011253</t>
  </si>
  <si>
    <t>8681023750015</t>
  </si>
  <si>
    <t>8699578571221</t>
  </si>
  <si>
    <t>8699523010027</t>
  </si>
  <si>
    <t>8699293151241</t>
  </si>
  <si>
    <t>8699293151258</t>
  </si>
  <si>
    <t>8699293151265</t>
  </si>
  <si>
    <t>8699293151272</t>
  </si>
  <si>
    <t>8699578341220</t>
  </si>
  <si>
    <t>8699510190107</t>
  </si>
  <si>
    <t>8681428770076</t>
  </si>
  <si>
    <t>8699525150417</t>
  </si>
  <si>
    <t>8699546120017</t>
  </si>
  <si>
    <t>8699580090307</t>
  </si>
  <si>
    <t>8699693090058</t>
  </si>
  <si>
    <t>8699693090065</t>
  </si>
  <si>
    <t>8699693090072</t>
  </si>
  <si>
    <t>8699578011215</t>
  </si>
  <si>
    <t>8699578011222</t>
  </si>
  <si>
    <t>8699578011239</t>
  </si>
  <si>
    <t>8699828950158</t>
  </si>
  <si>
    <t>8699540010321</t>
  </si>
  <si>
    <t>8699569010500</t>
  </si>
  <si>
    <t>8699569010562</t>
  </si>
  <si>
    <t>8699569010517</t>
  </si>
  <si>
    <t>8699569010579</t>
  </si>
  <si>
    <t>8699569010524</t>
  </si>
  <si>
    <t>8699569010586</t>
  </si>
  <si>
    <t>8699569091950</t>
  </si>
  <si>
    <t>8699569091608</t>
  </si>
  <si>
    <t>8699569091622</t>
  </si>
  <si>
    <t>8699569090717</t>
  </si>
  <si>
    <t>8699569090366</t>
  </si>
  <si>
    <t>8699543010304</t>
  </si>
  <si>
    <t>8699543010328</t>
  </si>
  <si>
    <t>8699543010342</t>
  </si>
  <si>
    <t>8699543010434</t>
  </si>
  <si>
    <t>8681094030153</t>
  </si>
  <si>
    <t>8680865270101</t>
  </si>
  <si>
    <t>8699535890051</t>
  </si>
  <si>
    <t>8699535890037</t>
  </si>
  <si>
    <t>8699504091038</t>
  </si>
  <si>
    <t>8699504091014</t>
  </si>
  <si>
    <t>8699540090767</t>
  </si>
  <si>
    <t>8699540091108</t>
  </si>
  <si>
    <t>8699702613094</t>
  </si>
  <si>
    <t>8699676790326</t>
  </si>
  <si>
    <t>8699548994487</t>
  </si>
  <si>
    <t>8699548994029</t>
  </si>
  <si>
    <t>8699548994937</t>
  </si>
  <si>
    <t>8699548991394</t>
  </si>
  <si>
    <t>8699548991370</t>
  </si>
  <si>
    <t>8699546010417</t>
  </si>
  <si>
    <t>8699546014767</t>
  </si>
  <si>
    <t>8699546011827</t>
  </si>
  <si>
    <t>8699546014750</t>
  </si>
  <si>
    <t>8699808090133</t>
  </si>
  <si>
    <t>8699828091240</t>
  </si>
  <si>
    <t>8699828090984</t>
  </si>
  <si>
    <t>8699532031013</t>
  </si>
  <si>
    <t>8681308031013</t>
  </si>
  <si>
    <t>8699578091217</t>
  </si>
  <si>
    <t>8699516097851</t>
  </si>
  <si>
    <t>8699503030120</t>
  </si>
  <si>
    <t>8699630997792</t>
  </si>
  <si>
    <t>8699630767371</t>
  </si>
  <si>
    <t>8697621790087</t>
  </si>
  <si>
    <t>8698622280409</t>
  </si>
  <si>
    <t>8699777790157</t>
  </si>
  <si>
    <t>8699777950278</t>
  </si>
  <si>
    <t>8699777790140</t>
  </si>
  <si>
    <t>8699777950285</t>
  </si>
  <si>
    <t>8699777790119</t>
  </si>
  <si>
    <t>8699777950292</t>
  </si>
  <si>
    <t>8697621950528</t>
  </si>
  <si>
    <t>8699548152719</t>
  </si>
  <si>
    <t>8699548152702</t>
  </si>
  <si>
    <t>8699548151637</t>
  </si>
  <si>
    <t>8699293091226</t>
  </si>
  <si>
    <t>8699684980023</t>
  </si>
  <si>
    <t>8699586092350</t>
  </si>
  <si>
    <t>8699586092367</t>
  </si>
  <si>
    <t>8699828091301</t>
  </si>
  <si>
    <t>8699828091318</t>
  </si>
  <si>
    <t>8699586792090</t>
  </si>
  <si>
    <t>8681697750052</t>
  </si>
  <si>
    <t>8681078093020</t>
  </si>
  <si>
    <t>8681078093013</t>
  </si>
  <si>
    <t>8699738150051</t>
  </si>
  <si>
    <t>8699819010076</t>
  </si>
  <si>
    <t>8699612010105</t>
  </si>
  <si>
    <t>8699828010418</t>
  </si>
  <si>
    <t>8699612000090</t>
  </si>
  <si>
    <t>8699612871003</t>
  </si>
  <si>
    <t>8699612570036</t>
  </si>
  <si>
    <t>8699680090474</t>
  </si>
  <si>
    <t>8699612570074</t>
  </si>
  <si>
    <t>8681697570032</t>
  </si>
  <si>
    <t>8682109004015</t>
  </si>
  <si>
    <t>8699502121331</t>
  </si>
  <si>
    <t>8699546100354</t>
  </si>
  <si>
    <t>8681689328191</t>
  </si>
  <si>
    <t>8699559360011</t>
  </si>
  <si>
    <t>8699559900019</t>
  </si>
  <si>
    <t>8699749140027</t>
  </si>
  <si>
    <t>8699546904662</t>
  </si>
  <si>
    <t>8681308431004</t>
  </si>
  <si>
    <t>8699828140023</t>
  </si>
  <si>
    <t>8699587161086</t>
  </si>
  <si>
    <t>8699514100089</t>
  </si>
  <si>
    <t>8699584900749</t>
  </si>
  <si>
    <t>8699584900756</t>
  </si>
  <si>
    <t>8699566096392</t>
  </si>
  <si>
    <t>8699566096408</t>
  </si>
  <si>
    <t>8699566096491</t>
  </si>
  <si>
    <t>8699566096385</t>
  </si>
  <si>
    <t>8699566096415</t>
  </si>
  <si>
    <t>8699566096507</t>
  </si>
  <si>
    <t>8699566096538</t>
  </si>
  <si>
    <t>8699566096545</t>
  </si>
  <si>
    <t>8699566096248</t>
  </si>
  <si>
    <t>8699686690012</t>
  </si>
  <si>
    <t>8699823980037</t>
  </si>
  <si>
    <t>8699769980023</t>
  </si>
  <si>
    <t>8699686690029</t>
  </si>
  <si>
    <t>8699769980276</t>
  </si>
  <si>
    <t>8699650981160</t>
  </si>
  <si>
    <t>8697507980021</t>
  </si>
  <si>
    <t>8681624980088</t>
  </si>
  <si>
    <t>8699591350353</t>
  </si>
  <si>
    <t>8680150350037</t>
  </si>
  <si>
    <t>8699514385721</t>
  </si>
  <si>
    <t>8699514355717</t>
  </si>
  <si>
    <t>8699525099013</t>
  </si>
  <si>
    <t>8699525090348</t>
  </si>
  <si>
    <t>8699525090355</t>
  </si>
  <si>
    <t>8698760090120</t>
  </si>
  <si>
    <t>8699522967346</t>
  </si>
  <si>
    <t>8699522967322</t>
  </si>
  <si>
    <t>8690632760742</t>
  </si>
  <si>
    <t>8690632760766</t>
  </si>
  <si>
    <t>8680678450080</t>
  </si>
  <si>
    <t>8699717090316</t>
  </si>
  <si>
    <t>8699717090309</t>
  </si>
  <si>
    <t>8699642641171</t>
  </si>
  <si>
    <t>8699642511184</t>
  </si>
  <si>
    <t>8699502160163</t>
  </si>
  <si>
    <t>8681349103038</t>
  </si>
  <si>
    <t>8699505773506</t>
  </si>
  <si>
    <t>8699505773247</t>
  </si>
  <si>
    <t>8699505773544</t>
  </si>
  <si>
    <t>8699505773551</t>
  </si>
  <si>
    <t>8699708200519</t>
  </si>
  <si>
    <t>8699708760457</t>
  </si>
  <si>
    <t>8699828200017</t>
  </si>
  <si>
    <t>8699733980073</t>
  </si>
  <si>
    <t>8699733980059</t>
  </si>
  <si>
    <t>8680833090069</t>
  </si>
  <si>
    <t>8680833091066</t>
  </si>
  <si>
    <t>8680833090076</t>
  </si>
  <si>
    <t>8699819241722</t>
  </si>
  <si>
    <t>8699525757678</t>
  </si>
  <si>
    <t>8681697770029</t>
  </si>
  <si>
    <t>8699535980516</t>
  </si>
  <si>
    <t>4047725118326</t>
  </si>
  <si>
    <t>8699525099389</t>
  </si>
  <si>
    <t>8699525099396</t>
  </si>
  <si>
    <t>8699293342595</t>
  </si>
  <si>
    <t>8699680091280</t>
  </si>
  <si>
    <t>8699680090825</t>
  </si>
  <si>
    <t>8698760010036</t>
  </si>
  <si>
    <t>8699844751784</t>
  </si>
  <si>
    <t>8699505792330</t>
  </si>
  <si>
    <t>8699625960527</t>
  </si>
  <si>
    <t>8680530620132</t>
  </si>
  <si>
    <t>8680530620125</t>
  </si>
  <si>
    <t>8699522967360</t>
  </si>
  <si>
    <t>8699769950071</t>
  </si>
  <si>
    <t>8699769950095</t>
  </si>
  <si>
    <t>8699769950101</t>
  </si>
  <si>
    <t>8699769950064</t>
  </si>
  <si>
    <t>8680184790298</t>
  </si>
  <si>
    <t>8699828011071</t>
  </si>
  <si>
    <t>8699832090079</t>
  </si>
  <si>
    <t>8699832090093</t>
  </si>
  <si>
    <t>8699832090116</t>
  </si>
  <si>
    <t>8699832090178</t>
  </si>
  <si>
    <t>8699832090239</t>
  </si>
  <si>
    <t>8699832090185</t>
  </si>
  <si>
    <t>8699832090611</t>
  </si>
  <si>
    <t>8699832090628</t>
  </si>
  <si>
    <t>8699561350185</t>
  </si>
  <si>
    <t>8699561380205</t>
  </si>
  <si>
    <t>8699559090321</t>
  </si>
  <si>
    <t>8699527341523</t>
  </si>
  <si>
    <t>8699527351546</t>
  </si>
  <si>
    <t>8699525572400</t>
  </si>
  <si>
    <t>8699525577702</t>
  </si>
  <si>
    <t>8699525092366</t>
  </si>
  <si>
    <t>8699525092373</t>
  </si>
  <si>
    <t>8699680090511</t>
  </si>
  <si>
    <t>8699680090528</t>
  </si>
  <si>
    <t>8699556260086</t>
  </si>
  <si>
    <t>8699556260093</t>
  </si>
  <si>
    <t>8699673774152</t>
  </si>
  <si>
    <t>8699673954226</t>
  </si>
  <si>
    <t>8699673954301</t>
  </si>
  <si>
    <t>8699673954530</t>
  </si>
  <si>
    <t>8699673954196</t>
  </si>
  <si>
    <t>8699673954271</t>
  </si>
  <si>
    <t>8699673954202</t>
  </si>
  <si>
    <t>8699673954288</t>
  </si>
  <si>
    <t>8699673795119</t>
  </si>
  <si>
    <t>8699673795126</t>
  </si>
  <si>
    <t>8699673795102</t>
  </si>
  <si>
    <t>8680656080513</t>
  </si>
  <si>
    <t>8680656080414</t>
  </si>
  <si>
    <t>8680656080421</t>
  </si>
  <si>
    <t>8699673954172</t>
  </si>
  <si>
    <t>8699673774206</t>
  </si>
  <si>
    <t>8699673954158</t>
  </si>
  <si>
    <t>8699673774213</t>
  </si>
  <si>
    <t>8699673954165</t>
  </si>
  <si>
    <t>8699839960702</t>
  </si>
  <si>
    <t>8699822520326</t>
  </si>
  <si>
    <t>8681428790456</t>
  </si>
  <si>
    <t>8699525156679</t>
  </si>
  <si>
    <t>8699543570013</t>
  </si>
  <si>
    <t>8699828790402</t>
  </si>
  <si>
    <t>8699844611675</t>
  </si>
  <si>
    <t>8699769980160</t>
  </si>
  <si>
    <t>8699552010524</t>
  </si>
  <si>
    <t>8681429550325</t>
  </si>
  <si>
    <t>8681429550318</t>
  </si>
  <si>
    <t>8699548011146</t>
  </si>
  <si>
    <t>8699636090329</t>
  </si>
  <si>
    <t>8699636090725</t>
  </si>
  <si>
    <t>8699636090763</t>
  </si>
  <si>
    <t>8699293091813</t>
  </si>
  <si>
    <t>8699293751830</t>
  </si>
  <si>
    <t>8699506030240</t>
  </si>
  <si>
    <t>8680760350021</t>
  </si>
  <si>
    <t>8699591890088</t>
  </si>
  <si>
    <t>8680760092136</t>
  </si>
  <si>
    <t>8680760092235</t>
  </si>
  <si>
    <t>8680760570085</t>
  </si>
  <si>
    <t>8699548570759</t>
  </si>
  <si>
    <t>8699591700233</t>
  </si>
  <si>
    <t>8699591570331</t>
  </si>
  <si>
    <t>8699591090099</t>
  </si>
  <si>
    <t>8699591090129</t>
  </si>
  <si>
    <t>8699591700240</t>
  </si>
  <si>
    <t>8681735070227</t>
  </si>
  <si>
    <t>8681735070265</t>
  </si>
  <si>
    <t>8681735070272</t>
  </si>
  <si>
    <t>8699844951627</t>
  </si>
  <si>
    <t>8699541773201</t>
  </si>
  <si>
    <t>8699541773300</t>
  </si>
  <si>
    <t>8699828770541</t>
  </si>
  <si>
    <t>8699828770558</t>
  </si>
  <si>
    <t>8680881093579</t>
  </si>
  <si>
    <t>8680881093593</t>
  </si>
  <si>
    <t>8699508270088</t>
  </si>
  <si>
    <t>8699508270095</t>
  </si>
  <si>
    <t>8699508270217</t>
  </si>
  <si>
    <t>8699508270842</t>
  </si>
  <si>
    <t>8699508270224</t>
  </si>
  <si>
    <t>8699508270835</t>
  </si>
  <si>
    <t>8699508270194</t>
  </si>
  <si>
    <t>8699508270200</t>
  </si>
  <si>
    <t>8699508270545</t>
  </si>
  <si>
    <t>8699508270675</t>
  </si>
  <si>
    <t>8699508270576</t>
  </si>
  <si>
    <t>8699508270651</t>
  </si>
  <si>
    <t>8699508270668</t>
  </si>
  <si>
    <t>8699508270583</t>
  </si>
  <si>
    <t>8699650981436</t>
  </si>
  <si>
    <t>8699650981405</t>
  </si>
  <si>
    <t>8680833010111</t>
  </si>
  <si>
    <t>8680833650072</t>
  </si>
  <si>
    <t>8680833010050</t>
  </si>
  <si>
    <t>8680833010074</t>
  </si>
  <si>
    <t>8680833010098</t>
  </si>
  <si>
    <t>8699642380117</t>
  </si>
  <si>
    <t>8699567650012</t>
  </si>
  <si>
    <t>8699504270051</t>
  </si>
  <si>
    <t>8699563604958</t>
  </si>
  <si>
    <t>8699563546029</t>
  </si>
  <si>
    <t>8699563544902</t>
  </si>
  <si>
    <t>8699546758807</t>
  </si>
  <si>
    <t>8699783750169</t>
  </si>
  <si>
    <t>8699511098785</t>
  </si>
  <si>
    <t>8699511098792</t>
  </si>
  <si>
    <t>8697934150240</t>
  </si>
  <si>
    <t>8697934150271</t>
  </si>
  <si>
    <t>8697934090263</t>
  </si>
  <si>
    <t>8699525097910</t>
  </si>
  <si>
    <t>8699525090270</t>
  </si>
  <si>
    <t>8699525097927</t>
  </si>
  <si>
    <t>8699828150534</t>
  </si>
  <si>
    <t>8699828150527</t>
  </si>
  <si>
    <t>8699593151255</t>
  </si>
  <si>
    <t>8699593151224</t>
  </si>
  <si>
    <t>8699708380075</t>
  </si>
  <si>
    <t>8699522092918</t>
  </si>
  <si>
    <t>8699522092901</t>
  </si>
  <si>
    <t>8699522952939</t>
  </si>
  <si>
    <t>8699381151078</t>
  </si>
  <si>
    <t>8699381151085</t>
  </si>
  <si>
    <t>8699381151092</t>
  </si>
  <si>
    <t>8699381151108</t>
  </si>
  <si>
    <t>8699586010231</t>
  </si>
  <si>
    <t>8690632990019</t>
  </si>
  <si>
    <t>8690632990040</t>
  </si>
  <si>
    <t>8690632990552</t>
  </si>
  <si>
    <t>8690632990569</t>
  </si>
  <si>
    <t>8690632990545</t>
  </si>
  <si>
    <t>8690632990163</t>
  </si>
  <si>
    <t>8699525354754</t>
  </si>
  <si>
    <t>8680952385961</t>
  </si>
  <si>
    <t>8680952380966</t>
  </si>
  <si>
    <t>8699874080090</t>
  </si>
  <si>
    <t>8699874080106</t>
  </si>
  <si>
    <t>8699525558954</t>
  </si>
  <si>
    <t>8699536091099</t>
  </si>
  <si>
    <t>8699536091112</t>
  </si>
  <si>
    <t>8699792011336</t>
  </si>
  <si>
    <t>8690632244792</t>
  </si>
  <si>
    <t>8699745004477</t>
  </si>
  <si>
    <t>8697927280435</t>
  </si>
  <si>
    <t>8697927090027</t>
  </si>
  <si>
    <t>8697927090034</t>
  </si>
  <si>
    <t>8697927030993</t>
  </si>
  <si>
    <t>8699479750213</t>
  </si>
  <si>
    <t>8699569610144</t>
  </si>
  <si>
    <t>8699839968104</t>
  </si>
  <si>
    <t>8699525096470</t>
  </si>
  <si>
    <t>8699828010340</t>
  </si>
  <si>
    <t>8699828010258</t>
  </si>
  <si>
    <t>8699525094766</t>
  </si>
  <si>
    <t>8699525094773</t>
  </si>
  <si>
    <t>8699511099027</t>
  </si>
  <si>
    <t>8699525094797</t>
  </si>
  <si>
    <t>8681308099181</t>
  </si>
  <si>
    <t>8681308099211</t>
  </si>
  <si>
    <t>8681308099198</t>
  </si>
  <si>
    <t>8681308099235</t>
  </si>
  <si>
    <t>8699514950035</t>
  </si>
  <si>
    <t>8699514950042</t>
  </si>
  <si>
    <t>8699514950059</t>
  </si>
  <si>
    <t>8699586120060</t>
  </si>
  <si>
    <t>8699772120263</t>
  </si>
  <si>
    <t>8699532094001</t>
  </si>
  <si>
    <t>8699676950416</t>
  </si>
  <si>
    <t>8680199098471</t>
  </si>
  <si>
    <t>8699593015298</t>
  </si>
  <si>
    <t>8699783770242</t>
  </si>
  <si>
    <t>8682109319850</t>
  </si>
  <si>
    <t>8682109319843</t>
  </si>
  <si>
    <t>8699636790205</t>
  </si>
  <si>
    <t>8699593035760</t>
  </si>
  <si>
    <t>8699593035784</t>
  </si>
  <si>
    <t>8699593035807</t>
  </si>
  <si>
    <t>8697927522504</t>
  </si>
  <si>
    <t>8699844520670</t>
  </si>
  <si>
    <t>8699844521073</t>
  </si>
  <si>
    <t>8699844521080</t>
  </si>
  <si>
    <t>8680741521174</t>
  </si>
  <si>
    <t>8680741520276</t>
  </si>
  <si>
    <t>8699680090276</t>
  </si>
  <si>
    <t>8699680090283</t>
  </si>
  <si>
    <t>8699680090290</t>
  </si>
  <si>
    <t>8699680090306</t>
  </si>
  <si>
    <t>8699540098459</t>
  </si>
  <si>
    <t>8699540098503</t>
  </si>
  <si>
    <t>8699262090694</t>
  </si>
  <si>
    <t>8699262090687</t>
  </si>
  <si>
    <t>8699262090717</t>
  </si>
  <si>
    <t>8699262090656</t>
  </si>
  <si>
    <t>8699262090649</t>
  </si>
  <si>
    <t>8699262090670</t>
  </si>
  <si>
    <t>8699786092792</t>
  </si>
  <si>
    <t>8699828760047</t>
  </si>
  <si>
    <t>8699828760030</t>
  </si>
  <si>
    <t>8680150150019</t>
  </si>
  <si>
    <t>8699636090220</t>
  </si>
  <si>
    <t>8699548090806</t>
  </si>
  <si>
    <t>8699548750793</t>
  </si>
  <si>
    <t>8699548090820</t>
  </si>
  <si>
    <t>8699548030420</t>
  </si>
  <si>
    <t>8699548031953</t>
  </si>
  <si>
    <t>8699578011819</t>
  </si>
  <si>
    <t>8699578011826</t>
  </si>
  <si>
    <t>8699517010606</t>
  </si>
  <si>
    <t>8699638054213</t>
  </si>
  <si>
    <t>8690632990392</t>
  </si>
  <si>
    <t>8690632990088</t>
  </si>
  <si>
    <t>8690632990415</t>
  </si>
  <si>
    <t>8690632990057</t>
  </si>
  <si>
    <t>8690632990095</t>
  </si>
  <si>
    <t>8699522348916</t>
  </si>
  <si>
    <t>8699525010780</t>
  </si>
  <si>
    <t>8699593151019</t>
  </si>
  <si>
    <t>8699593151026</t>
  </si>
  <si>
    <t>8699593151002</t>
  </si>
  <si>
    <t>8681144039068</t>
  </si>
  <si>
    <t>8681144039075</t>
  </si>
  <si>
    <t>8681144039051</t>
  </si>
  <si>
    <t>8699504012088</t>
  </si>
  <si>
    <t>8699504012217</t>
  </si>
  <si>
    <t>8699504012255</t>
  </si>
  <si>
    <t>8699504012149</t>
  </si>
  <si>
    <t>8699636090947</t>
  </si>
  <si>
    <t>8699636090923</t>
  </si>
  <si>
    <t>8699636090930</t>
  </si>
  <si>
    <t>8699636090916</t>
  </si>
  <si>
    <t>8699693090119</t>
  </si>
  <si>
    <t>8699693090126</t>
  </si>
  <si>
    <t>8699749000031</t>
  </si>
  <si>
    <t>8699844792077</t>
  </si>
  <si>
    <t>8699772340012</t>
  </si>
  <si>
    <t>8680955340028</t>
  </si>
  <si>
    <t>8680955350010</t>
  </si>
  <si>
    <t>8680955350027</t>
  </si>
  <si>
    <t>8699587752635</t>
  </si>
  <si>
    <t>8699587751508</t>
  </si>
  <si>
    <t>8699587752611</t>
  </si>
  <si>
    <t>8699587751461</t>
  </si>
  <si>
    <t>8699587751485</t>
  </si>
  <si>
    <t>8699788751420</t>
  </si>
  <si>
    <t>8699548990892</t>
  </si>
  <si>
    <t>8699548994500</t>
  </si>
  <si>
    <t>8699548991202</t>
  </si>
  <si>
    <t>8699548994517</t>
  </si>
  <si>
    <t>8699809760707</t>
  </si>
  <si>
    <t>8680683010170</t>
  </si>
  <si>
    <t>8680683010194</t>
  </si>
  <si>
    <t>8680972615079</t>
  </si>
  <si>
    <t>8699527240147</t>
  </si>
  <si>
    <t>8699630697180</t>
  </si>
  <si>
    <t>8699505792088</t>
  </si>
  <si>
    <t>8699505792095</t>
  </si>
  <si>
    <t>8680656080094</t>
  </si>
  <si>
    <t>8698978090035</t>
  </si>
  <si>
    <t>8699738020019</t>
  </si>
  <si>
    <t>8699512008783</t>
  </si>
  <si>
    <t>8699512480015</t>
  </si>
  <si>
    <t>8699591240074</t>
  </si>
  <si>
    <t>8699578382216</t>
  </si>
  <si>
    <t>8699828091189</t>
  </si>
  <si>
    <t>8699828091196</t>
  </si>
  <si>
    <t>8699541010207</t>
  </si>
  <si>
    <t>8699525010797</t>
  </si>
  <si>
    <t>8699525010803</t>
  </si>
  <si>
    <t>8699792011381</t>
  </si>
  <si>
    <t>8699792011374</t>
  </si>
  <si>
    <t>8699792011398</t>
  </si>
  <si>
    <t>8699510030106</t>
  </si>
  <si>
    <t>8699510030113</t>
  </si>
  <si>
    <t>8699262090618</t>
  </si>
  <si>
    <t>8699262090601</t>
  </si>
  <si>
    <t>8699525013309</t>
  </si>
  <si>
    <t>8699525013316</t>
  </si>
  <si>
    <t>8680833090953</t>
  </si>
  <si>
    <t>8699809098008</t>
  </si>
  <si>
    <t>8699809097742</t>
  </si>
  <si>
    <t>8699809097735</t>
  </si>
  <si>
    <t>8699809097711</t>
  </si>
  <si>
    <t>8699809097728</t>
  </si>
  <si>
    <t>8699809097865</t>
  </si>
  <si>
    <t>8699578152215</t>
  </si>
  <si>
    <t>8699578092214</t>
  </si>
  <si>
    <t>8699578572211</t>
  </si>
  <si>
    <t>8699540030053</t>
  </si>
  <si>
    <t>8699540030077</t>
  </si>
  <si>
    <t>8699540030091</t>
  </si>
  <si>
    <t>8699540030114</t>
  </si>
  <si>
    <t>8699540030039</t>
  </si>
  <si>
    <t>8699508700028</t>
  </si>
  <si>
    <t>8699508010073</t>
  </si>
  <si>
    <t>8699508010080</t>
  </si>
  <si>
    <t>8699525755445</t>
  </si>
  <si>
    <t>8699525755452</t>
  </si>
  <si>
    <t>8699525386687</t>
  </si>
  <si>
    <t>8699525786708</t>
  </si>
  <si>
    <t>8699525416698</t>
  </si>
  <si>
    <t>8699559810011</t>
  </si>
  <si>
    <t>8699624090065</t>
  </si>
  <si>
    <t>8699624090072</t>
  </si>
  <si>
    <t>8699624650061</t>
  </si>
  <si>
    <t>8699624650078</t>
  </si>
  <si>
    <t>8699624650023</t>
  </si>
  <si>
    <t>8699624090089</t>
  </si>
  <si>
    <t>8699586092121</t>
  </si>
  <si>
    <t>8699586092237</t>
  </si>
  <si>
    <t>8699756770507</t>
  </si>
  <si>
    <t>8699525349620</t>
  </si>
  <si>
    <t>8699525090331</t>
  </si>
  <si>
    <t>8699525090676</t>
  </si>
  <si>
    <t>8697786090039</t>
  </si>
  <si>
    <t>8699738090227</t>
  </si>
  <si>
    <t>8699738090241</t>
  </si>
  <si>
    <t>8699738090258</t>
  </si>
  <si>
    <t>8699738090265</t>
  </si>
  <si>
    <t>8699738090197</t>
  </si>
  <si>
    <t>8697786090022</t>
  </si>
  <si>
    <t>8699738090272</t>
  </si>
  <si>
    <t>8699591640010</t>
  </si>
  <si>
    <t>8699591510108</t>
  </si>
  <si>
    <t>8699745010300</t>
  </si>
  <si>
    <t>8699745010317</t>
  </si>
  <si>
    <t>8699819091471</t>
  </si>
  <si>
    <t>8699569560012</t>
  </si>
  <si>
    <t>8699569350026</t>
  </si>
  <si>
    <t>8699569010050</t>
  </si>
  <si>
    <t>8699569900016</t>
  </si>
  <si>
    <t>8699630090257</t>
  </si>
  <si>
    <t>8699514090243</t>
  </si>
  <si>
    <t>8699514090267</t>
  </si>
  <si>
    <t>8699514090205</t>
  </si>
  <si>
    <t>8699514090281</t>
  </si>
  <si>
    <t>8699514030294</t>
  </si>
  <si>
    <t>8699514030300</t>
  </si>
  <si>
    <t>8699514030317</t>
  </si>
  <si>
    <t>8699514030287</t>
  </si>
  <si>
    <t>8681332750041</t>
  </si>
  <si>
    <t>8699636080160</t>
  </si>
  <si>
    <t>8699512008776</t>
  </si>
  <si>
    <t>8698747700011</t>
  </si>
  <si>
    <t>8698747700028</t>
  </si>
  <si>
    <t>8699514090595</t>
  </si>
  <si>
    <t>8699514090588</t>
  </si>
  <si>
    <t>8681429550172</t>
  </si>
  <si>
    <t>8681429550189</t>
  </si>
  <si>
    <t>8681429550196</t>
  </si>
  <si>
    <t>8681429550202</t>
  </si>
  <si>
    <t>8681429550219</t>
  </si>
  <si>
    <t>8699548270482</t>
  </si>
  <si>
    <t>8699548090479</t>
  </si>
  <si>
    <t>8699548030864</t>
  </si>
  <si>
    <t>8699548031601</t>
  </si>
  <si>
    <t>8699548030802</t>
  </si>
  <si>
    <t>8699508090471</t>
  </si>
  <si>
    <t>8699717280168</t>
  </si>
  <si>
    <t>8699717280151</t>
  </si>
  <si>
    <t>8699717280144</t>
  </si>
  <si>
    <t>8699717090125</t>
  </si>
  <si>
    <t>8699569090328</t>
  </si>
  <si>
    <t>8699569090694</t>
  </si>
  <si>
    <t>8699569280385</t>
  </si>
  <si>
    <t>8699569280231</t>
  </si>
  <si>
    <t>8699569280392</t>
  </si>
  <si>
    <t>8699569280422</t>
  </si>
  <si>
    <t>8699569280224</t>
  </si>
  <si>
    <t>8699569090458</t>
  </si>
  <si>
    <t>8699569280446</t>
  </si>
  <si>
    <t>8699569280453</t>
  </si>
  <si>
    <t>8699570090355</t>
  </si>
  <si>
    <t>8699570090362</t>
  </si>
  <si>
    <t>8699570280046</t>
  </si>
  <si>
    <t>8699717090132</t>
  </si>
  <si>
    <t>8699717090064</t>
  </si>
  <si>
    <t>8699717090149</t>
  </si>
  <si>
    <t>8699717280076</t>
  </si>
  <si>
    <t>8699717280120</t>
  </si>
  <si>
    <t>8699717280090</t>
  </si>
  <si>
    <t>8699717280137</t>
  </si>
  <si>
    <t>8699717280199</t>
  </si>
  <si>
    <t>8699717280212</t>
  </si>
  <si>
    <t>8699622090760</t>
  </si>
  <si>
    <t>8680952380997</t>
  </si>
  <si>
    <t>8699569150015</t>
  </si>
  <si>
    <t>8699569750017</t>
  </si>
  <si>
    <t>8699569750024</t>
  </si>
  <si>
    <t>8699788750584</t>
  </si>
  <si>
    <t>8699676090280</t>
  </si>
  <si>
    <t>8699508120123</t>
  </si>
  <si>
    <t>8680061350041</t>
  </si>
  <si>
    <t>8680061380031</t>
  </si>
  <si>
    <t>8699587512680</t>
  </si>
  <si>
    <t>8699828010128</t>
  </si>
  <si>
    <t>8699580640090</t>
  </si>
  <si>
    <t>8699580510058</t>
  </si>
  <si>
    <t>8699580640069</t>
  </si>
  <si>
    <t>8699580510027</t>
  </si>
  <si>
    <t>8699512008769</t>
  </si>
  <si>
    <t>8699512120027</t>
  </si>
  <si>
    <t>8699512120010</t>
  </si>
  <si>
    <t>8699516259358</t>
  </si>
  <si>
    <t>8680184790137</t>
  </si>
  <si>
    <t>8699702773026</t>
  </si>
  <si>
    <t>8699502093300</t>
  </si>
  <si>
    <t>8699508120253</t>
  </si>
  <si>
    <t>8699828590033</t>
  </si>
  <si>
    <t>8699828590057</t>
  </si>
  <si>
    <t>8699527150026</t>
  </si>
  <si>
    <t>8699527150064</t>
  </si>
  <si>
    <t>8699593083013</t>
  </si>
  <si>
    <t>8699512560021</t>
  </si>
  <si>
    <t>8699502013070</t>
  </si>
  <si>
    <t>8699502013063</t>
  </si>
  <si>
    <t>8699502570818</t>
  </si>
  <si>
    <t>8699638035595</t>
  </si>
  <si>
    <t>8699638035601</t>
  </si>
  <si>
    <t>8699638035618</t>
  </si>
  <si>
    <t>8699638035625</t>
  </si>
  <si>
    <t>8699828091295</t>
  </si>
  <si>
    <t>8699828091288</t>
  </si>
  <si>
    <t>8699570700018</t>
  </si>
  <si>
    <t>8699570080011</t>
  </si>
  <si>
    <t>8699540010604</t>
  </si>
  <si>
    <t>8699540010505</t>
  </si>
  <si>
    <t>8699540014503</t>
  </si>
  <si>
    <t>8699715771835</t>
  </si>
  <si>
    <t>8699715771842</t>
  </si>
  <si>
    <t>8699715771910</t>
  </si>
  <si>
    <t>8699715771927</t>
  </si>
  <si>
    <t>8699715771903</t>
  </si>
  <si>
    <t>8699828770534</t>
  </si>
  <si>
    <t>8699828770503</t>
  </si>
  <si>
    <t>8699828010852</t>
  </si>
  <si>
    <t>8699828011019</t>
  </si>
  <si>
    <t>8699828120124</t>
  </si>
  <si>
    <t>8699511410013</t>
  </si>
  <si>
    <t>8699584890774</t>
  </si>
  <si>
    <t>8699584420766</t>
  </si>
  <si>
    <t>8680530620101</t>
  </si>
  <si>
    <t>8680530620279</t>
  </si>
  <si>
    <t>8680530620095</t>
  </si>
  <si>
    <t>8699820160371</t>
  </si>
  <si>
    <t>8699820160388</t>
  </si>
  <si>
    <t>8699559570021</t>
  </si>
  <si>
    <t>8699559570069</t>
  </si>
  <si>
    <t>8699559570144</t>
  </si>
  <si>
    <t>8699514099116</t>
  </si>
  <si>
    <t>8699584090785</t>
  </si>
  <si>
    <t>8699561350109</t>
  </si>
  <si>
    <t>8681451379727</t>
  </si>
  <si>
    <t>8699543560045</t>
  </si>
  <si>
    <t>8699543560038</t>
  </si>
  <si>
    <t>8699543480039</t>
  </si>
  <si>
    <t>8699543560021</t>
  </si>
  <si>
    <t>8699862270014</t>
  </si>
  <si>
    <t>8699505093673</t>
  </si>
  <si>
    <t>8699708011658</t>
  </si>
  <si>
    <t>8699708751790</t>
  </si>
  <si>
    <t>8699708751806</t>
  </si>
  <si>
    <t>8699522092635</t>
  </si>
  <si>
    <t>8699828570066</t>
  </si>
  <si>
    <t>8699508570058</t>
  </si>
  <si>
    <t>8699510011105</t>
  </si>
  <si>
    <t>8699514094098</t>
  </si>
  <si>
    <t>8699522072545</t>
  </si>
  <si>
    <t>8699522076192</t>
  </si>
  <si>
    <t>8699522072538</t>
  </si>
  <si>
    <t>8699522072569</t>
  </si>
  <si>
    <t>8699522076185</t>
  </si>
  <si>
    <t>8699514515524</t>
  </si>
  <si>
    <t>8699369070124</t>
  </si>
  <si>
    <t>8699516164089</t>
  </si>
  <si>
    <t>8699540160453</t>
  </si>
  <si>
    <t>8699540160408</t>
  </si>
  <si>
    <t>8699540160415</t>
  </si>
  <si>
    <t>8699536160078</t>
  </si>
  <si>
    <t>8699536160016</t>
  </si>
  <si>
    <t>8699536160085</t>
  </si>
  <si>
    <t>8699792152725</t>
  </si>
  <si>
    <t>8699809950634</t>
  </si>
  <si>
    <t>8699874080380</t>
  </si>
  <si>
    <t>8699567150017</t>
  </si>
  <si>
    <t>8699578162412</t>
  </si>
  <si>
    <t>8699578162429</t>
  </si>
  <si>
    <t>8699580160031</t>
  </si>
  <si>
    <t>8699586090271</t>
  </si>
  <si>
    <t>8699586750137</t>
  </si>
  <si>
    <t>8699569280026</t>
  </si>
  <si>
    <t>8699569280033</t>
  </si>
  <si>
    <t>8699569010067</t>
  </si>
  <si>
    <t>8699569280149</t>
  </si>
  <si>
    <t>8699569280354</t>
  </si>
  <si>
    <t>8699578092412</t>
  </si>
  <si>
    <t>8699525124807</t>
  </si>
  <si>
    <t>8699525124814</t>
  </si>
  <si>
    <t>8699525520180</t>
  </si>
  <si>
    <t>8699809754003</t>
  </si>
  <si>
    <t>8699809014008</t>
  </si>
  <si>
    <t>8699650151211</t>
  </si>
  <si>
    <t>8699514610212</t>
  </si>
  <si>
    <t>8699832090482</t>
  </si>
  <si>
    <t>8699832090451</t>
  </si>
  <si>
    <t>8699832090468</t>
  </si>
  <si>
    <t>8699832090475</t>
  </si>
  <si>
    <t>8699569570233</t>
  </si>
  <si>
    <t>8680530620118</t>
  </si>
  <si>
    <t>8680400770905</t>
  </si>
  <si>
    <t>8680400770950</t>
  </si>
  <si>
    <t>8680400770332</t>
  </si>
  <si>
    <t>8680400770967</t>
  </si>
  <si>
    <t>8699540092242</t>
  </si>
  <si>
    <t>8699525578105</t>
  </si>
  <si>
    <t>8698856150608</t>
  </si>
  <si>
    <t>8681697750090</t>
  </si>
  <si>
    <t>8699569340072</t>
  </si>
  <si>
    <t>8699569091776</t>
  </si>
  <si>
    <t>8699569750239</t>
  </si>
  <si>
    <t>8699569092087</t>
  </si>
  <si>
    <t>8699569092476</t>
  </si>
  <si>
    <t>8699680090092</t>
  </si>
  <si>
    <t>8699680090061</t>
  </si>
  <si>
    <t>8699680090078</t>
  </si>
  <si>
    <t>8699559090543</t>
  </si>
  <si>
    <t>8699559090550</t>
  </si>
  <si>
    <t>8699525096975</t>
  </si>
  <si>
    <t>8699702099010</t>
  </si>
  <si>
    <t>8699828091233</t>
  </si>
  <si>
    <t>8699650032541</t>
  </si>
  <si>
    <t>8699769950262</t>
  </si>
  <si>
    <t>8699769950279</t>
  </si>
  <si>
    <t>8699769950293</t>
  </si>
  <si>
    <t>8699769950309</t>
  </si>
  <si>
    <t>8699874080038</t>
  </si>
  <si>
    <t>8699650791318</t>
  </si>
  <si>
    <t>8680881094491</t>
  </si>
  <si>
    <t>8680881094484</t>
  </si>
  <si>
    <t>8680881094422</t>
  </si>
  <si>
    <t>8680881094460</t>
  </si>
  <si>
    <t>8680881094453</t>
  </si>
  <si>
    <t>8699676950799</t>
  </si>
  <si>
    <t>8699566656473</t>
  </si>
  <si>
    <t>8699566096460</t>
  </si>
  <si>
    <t>8699566096439</t>
  </si>
  <si>
    <t>8699566096446</t>
  </si>
  <si>
    <t>8699566096453</t>
  </si>
  <si>
    <t>8681026050099</t>
  </si>
  <si>
    <t>8699578092511</t>
  </si>
  <si>
    <t>8699546092468</t>
  </si>
  <si>
    <t>8699546092444</t>
  </si>
  <si>
    <t>8699546092475</t>
  </si>
  <si>
    <t>8699976081216</t>
  </si>
  <si>
    <t>8699976090140</t>
  </si>
  <si>
    <t>8699976090157</t>
  </si>
  <si>
    <t>8699569092544</t>
  </si>
  <si>
    <t>8699569610311</t>
  </si>
  <si>
    <t>8699717090170</t>
  </si>
  <si>
    <t>8699559090505</t>
  </si>
  <si>
    <t>8699530090289</t>
  </si>
  <si>
    <t>8699514573715</t>
  </si>
  <si>
    <t>8699514010937</t>
  </si>
  <si>
    <t>8699514570066</t>
  </si>
  <si>
    <t>8699690570164</t>
  </si>
  <si>
    <t>8699828570318</t>
  </si>
  <si>
    <t>8699828570356</t>
  </si>
  <si>
    <t>8699514011187</t>
  </si>
  <si>
    <t>8699514010944</t>
  </si>
  <si>
    <t>8699514010968</t>
  </si>
  <si>
    <t>8699514010982</t>
  </si>
  <si>
    <t>8699514011002</t>
  </si>
  <si>
    <t>8699514010173</t>
  </si>
  <si>
    <t>8699514010180</t>
  </si>
  <si>
    <t>8699514010197</t>
  </si>
  <si>
    <t>8680199611427</t>
  </si>
  <si>
    <t>8699540091689</t>
  </si>
  <si>
    <t>8699540091740</t>
  </si>
  <si>
    <t>8699540091757</t>
  </si>
  <si>
    <t>8697621750197</t>
  </si>
  <si>
    <t>8699510920100</t>
  </si>
  <si>
    <t>8699510750509</t>
  </si>
  <si>
    <t>8699819351636</t>
  </si>
  <si>
    <t>8699819350752</t>
  </si>
  <si>
    <t>8699543160078</t>
  </si>
  <si>
    <t>8699543160085</t>
  </si>
  <si>
    <t>8699514090090</t>
  </si>
  <si>
    <t>8699514090137</t>
  </si>
  <si>
    <t>8699514093428</t>
  </si>
  <si>
    <t>8699514093367</t>
  </si>
  <si>
    <t>8699828690030</t>
  </si>
  <si>
    <t>8681331510011</t>
  </si>
  <si>
    <t>8699532754820</t>
  </si>
  <si>
    <t>8699814690105</t>
  </si>
  <si>
    <t>8699508750177</t>
  </si>
  <si>
    <t>8699788750614</t>
  </si>
  <si>
    <t>8699541760508</t>
  </si>
  <si>
    <t>8699541760409</t>
  </si>
  <si>
    <t>8699565010016</t>
  </si>
  <si>
    <t>8699504010077</t>
  </si>
  <si>
    <t>8699817030038</t>
  </si>
  <si>
    <t>8699820150266</t>
  </si>
  <si>
    <t>8699820150358</t>
  </si>
  <si>
    <t>8699679750105</t>
  </si>
  <si>
    <t>8699532090201</t>
  </si>
  <si>
    <t>8699532091420</t>
  </si>
  <si>
    <t>8699532095015</t>
  </si>
  <si>
    <t>8699532091475</t>
  </si>
  <si>
    <t>8699532095190</t>
  </si>
  <si>
    <t>8699532095619</t>
  </si>
  <si>
    <t>8699532095541</t>
  </si>
  <si>
    <t>8699540171114</t>
  </si>
  <si>
    <t>8699540171121</t>
  </si>
  <si>
    <t>8699828091271</t>
  </si>
  <si>
    <t>8699510440233</t>
  </si>
  <si>
    <t>8699828150053</t>
  </si>
  <si>
    <t>8699514900016</t>
  </si>
  <si>
    <t>8699680090344</t>
  </si>
  <si>
    <t>8699680090337</t>
  </si>
  <si>
    <t>8699680090320</t>
  </si>
  <si>
    <t>8699636011324</t>
  </si>
  <si>
    <t>8699228090775</t>
  </si>
  <si>
    <t>8699228090782</t>
  </si>
  <si>
    <t>8699680350042</t>
  </si>
  <si>
    <t>8681801510015</t>
  </si>
  <si>
    <t>8699586652622</t>
  </si>
  <si>
    <t>8699566350029</t>
  </si>
  <si>
    <t>8699566350043</t>
  </si>
  <si>
    <t>8699566380026</t>
  </si>
  <si>
    <t>8699525350084</t>
  </si>
  <si>
    <t>8699525350091</t>
  </si>
  <si>
    <t>8699033090014</t>
  </si>
  <si>
    <t>8680638160011</t>
  </si>
  <si>
    <t>8680638160028</t>
  </si>
  <si>
    <t>8699622380106</t>
  </si>
  <si>
    <t>8699543010069</t>
  </si>
  <si>
    <t>8699638955374</t>
  </si>
  <si>
    <t>8699511010077</t>
  </si>
  <si>
    <t>8699756090407</t>
  </si>
  <si>
    <t>8699504090017</t>
  </si>
  <si>
    <t>8699504030044</t>
  </si>
  <si>
    <t>8699711000496</t>
  </si>
  <si>
    <t>8681117560018</t>
  </si>
  <si>
    <t>8699540090637</t>
  </si>
  <si>
    <t>8699540571204</t>
  </si>
  <si>
    <t>8699540097865</t>
  </si>
  <si>
    <t>8699566570021</t>
  </si>
  <si>
    <t>8699514094524</t>
  </si>
  <si>
    <t>8681308092045</t>
  </si>
  <si>
    <t>8681308092007</t>
  </si>
  <si>
    <t>8699525093370</t>
  </si>
  <si>
    <t>8699525093363</t>
  </si>
  <si>
    <t>8699569090786</t>
  </si>
  <si>
    <t>8699569090830</t>
  </si>
  <si>
    <t>8699514590040</t>
  </si>
  <si>
    <t>8699525710055</t>
  </si>
  <si>
    <t>8699856710038</t>
  </si>
  <si>
    <t>8699525099501</t>
  </si>
  <si>
    <t>8699525099518</t>
  </si>
  <si>
    <t>8699525099525</t>
  </si>
  <si>
    <t>8699711000502</t>
  </si>
  <si>
    <t>8699525618290</t>
  </si>
  <si>
    <t>8699525610201</t>
  </si>
  <si>
    <t>8699504770353</t>
  </si>
  <si>
    <t>8699504770254</t>
  </si>
  <si>
    <t>8680656080155</t>
  </si>
  <si>
    <t>8680656080117</t>
  </si>
  <si>
    <t>8680656080124</t>
  </si>
  <si>
    <t>8699708091483</t>
  </si>
  <si>
    <t>8699708091490</t>
  </si>
  <si>
    <t>8699490561287</t>
  </si>
  <si>
    <t>8699546010608</t>
  </si>
  <si>
    <t>8699546010615</t>
  </si>
  <si>
    <t>8699525618245</t>
  </si>
  <si>
    <t>8699525618283</t>
  </si>
  <si>
    <t>8699532095473</t>
  </si>
  <si>
    <t>8699532095428</t>
  </si>
  <si>
    <t>8697621100435</t>
  </si>
  <si>
    <t>8699777790263</t>
  </si>
  <si>
    <t>8699525093899</t>
  </si>
  <si>
    <t>8699578152413</t>
  </si>
  <si>
    <t>8699578152444</t>
  </si>
  <si>
    <t>8699578152420</t>
  </si>
  <si>
    <t>8699578152482</t>
  </si>
  <si>
    <t>8699532154484</t>
  </si>
  <si>
    <t>8699532154545</t>
  </si>
  <si>
    <t>8699532154460</t>
  </si>
  <si>
    <t>8699532154491</t>
  </si>
  <si>
    <t>8699532154477</t>
  </si>
  <si>
    <t>8699638754540</t>
  </si>
  <si>
    <t>8699505763361</t>
  </si>
  <si>
    <t>8699505772813</t>
  </si>
  <si>
    <t>8699505763378</t>
  </si>
  <si>
    <t>8699536280011</t>
  </si>
  <si>
    <t>8699536280073</t>
  </si>
  <si>
    <t>8699536090139</t>
  </si>
  <si>
    <t>8699536280028</t>
  </si>
  <si>
    <t>8699536090146</t>
  </si>
  <si>
    <t>8699536030036</t>
  </si>
  <si>
    <t>8699536030104</t>
  </si>
  <si>
    <t>8699536030029</t>
  </si>
  <si>
    <t>8699546385492</t>
  </si>
  <si>
    <t>8699586383540</t>
  </si>
  <si>
    <t>8681737492324</t>
  </si>
  <si>
    <t>8681737492300</t>
  </si>
  <si>
    <t>8681428381302</t>
  </si>
  <si>
    <t>8699525094841</t>
  </si>
  <si>
    <t>8699525150059</t>
  </si>
  <si>
    <t>8699793000216</t>
  </si>
  <si>
    <t>8699793000629</t>
  </si>
  <si>
    <t>8699793000223</t>
  </si>
  <si>
    <t>8699793000230</t>
  </si>
  <si>
    <t>8699525704054</t>
  </si>
  <si>
    <t>8699525084002</t>
  </si>
  <si>
    <t>8699525704498</t>
  </si>
  <si>
    <t>8680150240017</t>
  </si>
  <si>
    <t>8680150010030</t>
  </si>
  <si>
    <t>8699567300016</t>
  </si>
  <si>
    <t>8699511940039</t>
  </si>
  <si>
    <t>8699708111563</t>
  </si>
  <si>
    <t>8699546779796</t>
  </si>
  <si>
    <t>8699591010363</t>
  </si>
  <si>
    <t>8699607750535</t>
  </si>
  <si>
    <t>8699788750652</t>
  </si>
  <si>
    <t>8699527350013</t>
  </si>
  <si>
    <t>8697929020107</t>
  </si>
  <si>
    <t>8699591010028</t>
  </si>
  <si>
    <t>8680881243875</t>
  </si>
  <si>
    <t>8699536640013</t>
  </si>
  <si>
    <t>8699536510019</t>
  </si>
  <si>
    <t>8699536090115</t>
  </si>
  <si>
    <t>8699536340043</t>
  </si>
  <si>
    <t>8699536510033</t>
  </si>
  <si>
    <t>8699536092492</t>
  </si>
  <si>
    <t>8699536170053</t>
  </si>
  <si>
    <t>8699638094448</t>
  </si>
  <si>
    <t>8699638094455</t>
  </si>
  <si>
    <t>8699638284467</t>
  </si>
  <si>
    <t>8699638094431</t>
  </si>
  <si>
    <t>8699514596271</t>
  </si>
  <si>
    <t>8699514085621</t>
  </si>
  <si>
    <t>8680760350014</t>
  </si>
  <si>
    <t>8699786770706</t>
  </si>
  <si>
    <t>8699536090634</t>
  </si>
  <si>
    <t>8699536090627</t>
  </si>
  <si>
    <t>8699536030142</t>
  </si>
  <si>
    <t>8699536030067</t>
  </si>
  <si>
    <t>8699808090409</t>
  </si>
  <si>
    <t>8699808090416</t>
  </si>
  <si>
    <t>8699808090423</t>
  </si>
  <si>
    <t>8680656080506</t>
  </si>
  <si>
    <t>8699828280026</t>
  </si>
  <si>
    <t>8699760440021</t>
  </si>
  <si>
    <t>8699504710144</t>
  </si>
  <si>
    <t>8699293642763</t>
  </si>
  <si>
    <t>8699293512776</t>
  </si>
  <si>
    <t>8699580640076</t>
  </si>
  <si>
    <t>8699580510034</t>
  </si>
  <si>
    <t>8699580090277</t>
  </si>
  <si>
    <t>8699508270750</t>
  </si>
  <si>
    <t>8699508270743</t>
  </si>
  <si>
    <t>8699525755247</t>
  </si>
  <si>
    <t>8699559090444</t>
  </si>
  <si>
    <t>8699559090468</t>
  </si>
  <si>
    <t>8699844750558</t>
  </si>
  <si>
    <t>8681291110191</t>
  </si>
  <si>
    <t>8680199611618</t>
  </si>
  <si>
    <t>8699828570028</t>
  </si>
  <si>
    <t>8699708151309</t>
  </si>
  <si>
    <t>8699708011184</t>
  </si>
  <si>
    <t>8699708151347</t>
  </si>
  <si>
    <t>8699708151385</t>
  </si>
  <si>
    <t>8699708151422</t>
  </si>
  <si>
    <t>8699649570160</t>
  </si>
  <si>
    <t>8699536093048</t>
  </si>
  <si>
    <t>8680199617269</t>
  </si>
  <si>
    <t>8699525016713</t>
  </si>
  <si>
    <t>8699514094074</t>
  </si>
  <si>
    <t>8699514094081</t>
  </si>
  <si>
    <t>8699504092202</t>
  </si>
  <si>
    <t>8699504092233</t>
  </si>
  <si>
    <t>8699715952074</t>
  </si>
  <si>
    <t>8699715952081</t>
  </si>
  <si>
    <t>8699715952098</t>
  </si>
  <si>
    <t>8699715952005</t>
  </si>
  <si>
    <t>8699543090658</t>
  </si>
  <si>
    <t>8699543090641</t>
  </si>
  <si>
    <t>8699543091594</t>
  </si>
  <si>
    <t>8699543091570</t>
  </si>
  <si>
    <t>8699543590035</t>
  </si>
  <si>
    <t>8699543590066</t>
  </si>
  <si>
    <t>8699543091587</t>
  </si>
  <si>
    <t>8699543070308</t>
  </si>
  <si>
    <t>8699543070315</t>
  </si>
  <si>
    <t>8699525013576</t>
  </si>
  <si>
    <t>8699540015135</t>
  </si>
  <si>
    <t>8699540754003</t>
  </si>
  <si>
    <t>8699540015081</t>
  </si>
  <si>
    <t>8699625960503</t>
  </si>
  <si>
    <t>8699814750045</t>
  </si>
  <si>
    <t>8699814750052</t>
  </si>
  <si>
    <t>8697621750029</t>
  </si>
  <si>
    <t>8697621790483</t>
  </si>
  <si>
    <t>8697621790476</t>
  </si>
  <si>
    <t>8697621790018</t>
  </si>
  <si>
    <t>8699522965052</t>
  </si>
  <si>
    <t>8699456790041</t>
  </si>
  <si>
    <t>8699587151964</t>
  </si>
  <si>
    <t>8699587011930</t>
  </si>
  <si>
    <t>8680426040044</t>
  </si>
  <si>
    <t>8680426040037</t>
  </si>
  <si>
    <t>8699828270188</t>
  </si>
  <si>
    <t>8699828270171</t>
  </si>
  <si>
    <t>8699769270018</t>
  </si>
  <si>
    <t>8699769270032</t>
  </si>
  <si>
    <t>8699828011064</t>
  </si>
  <si>
    <t>8680760920019</t>
  </si>
  <si>
    <t>8699546959334</t>
  </si>
  <si>
    <t>8698856120021</t>
  </si>
  <si>
    <t>8680199651232</t>
  </si>
  <si>
    <t>8680199751161</t>
  </si>
  <si>
    <t>8680199651249</t>
  </si>
  <si>
    <t>8699844750862</t>
  </si>
  <si>
    <t>8699543190020</t>
  </si>
  <si>
    <t>8699516017156</t>
  </si>
  <si>
    <t>8699828770084</t>
  </si>
  <si>
    <t>8699828770381</t>
  </si>
  <si>
    <t>8680184790229</t>
  </si>
  <si>
    <t>8680184790243</t>
  </si>
  <si>
    <t>8680184790236</t>
  </si>
  <si>
    <t>8680199197846</t>
  </si>
  <si>
    <t>8699587121554</t>
  </si>
  <si>
    <t>8699587751522</t>
  </si>
  <si>
    <t>8680400770677</t>
  </si>
  <si>
    <t>8699828950196</t>
  </si>
  <si>
    <t>8699828950202</t>
  </si>
  <si>
    <t>8699828950219</t>
  </si>
  <si>
    <t>8699828950226</t>
  </si>
  <si>
    <t>8699828950233</t>
  </si>
  <si>
    <t>8699828950240</t>
  </si>
  <si>
    <t>8699828950257</t>
  </si>
  <si>
    <t>8699828950264</t>
  </si>
  <si>
    <t>8699828950271</t>
  </si>
  <si>
    <t>8699828950189</t>
  </si>
  <si>
    <t>8699506752050</t>
  </si>
  <si>
    <t>8699506012055</t>
  </si>
  <si>
    <t>8699506831014</t>
  </si>
  <si>
    <t>8699690350407</t>
  </si>
  <si>
    <t>8699690560363</t>
  </si>
  <si>
    <t>8699690480388</t>
  </si>
  <si>
    <t>8699570700056</t>
  </si>
  <si>
    <t>8699570590039</t>
  </si>
  <si>
    <t>8699570080028</t>
  </si>
  <si>
    <t>8699540090866</t>
  </si>
  <si>
    <t>8699540090842</t>
  </si>
  <si>
    <t>8699540090873</t>
  </si>
  <si>
    <t>8699540090835</t>
  </si>
  <si>
    <t>8699540170018</t>
  </si>
  <si>
    <t>8699540170025</t>
  </si>
  <si>
    <t>8699540170032</t>
  </si>
  <si>
    <t>8699561350130</t>
  </si>
  <si>
    <t>8699561380014</t>
  </si>
  <si>
    <t>8699561480035</t>
  </si>
  <si>
    <t>8699561350222</t>
  </si>
  <si>
    <t>8699561350239</t>
  </si>
  <si>
    <t>8699828010302</t>
  </si>
  <si>
    <t>8699693010087</t>
  </si>
  <si>
    <t>8699693010155</t>
  </si>
  <si>
    <t>8699546120024</t>
  </si>
  <si>
    <t>8699559120141</t>
  </si>
  <si>
    <t>8699559170016</t>
  </si>
  <si>
    <t>8699559170023</t>
  </si>
  <si>
    <t>8699814750328</t>
  </si>
  <si>
    <t>8699814750311</t>
  </si>
  <si>
    <t>8699525150080</t>
  </si>
  <si>
    <t>8699525150073</t>
  </si>
  <si>
    <t>8699525150875</t>
  </si>
  <si>
    <t>8699525150066</t>
  </si>
  <si>
    <t>8699831090131</t>
  </si>
  <si>
    <t>8699831090148</t>
  </si>
  <si>
    <t>8699584900794</t>
  </si>
  <si>
    <t>8699587651594</t>
  </si>
  <si>
    <t>8699587381583</t>
  </si>
  <si>
    <t>8699591900015</t>
  </si>
  <si>
    <t>8699525706768</t>
  </si>
  <si>
    <t>8699844750831</t>
  </si>
  <si>
    <t>8699745014759</t>
  </si>
  <si>
    <t>8699745014704</t>
  </si>
  <si>
    <t>8699745018955</t>
  </si>
  <si>
    <t>8699745019105</t>
  </si>
  <si>
    <t>8699745014742</t>
  </si>
  <si>
    <t>8699745019136</t>
  </si>
  <si>
    <t>8699745014681</t>
  </si>
  <si>
    <t>8699745018924</t>
  </si>
  <si>
    <t>8699745019112</t>
  </si>
  <si>
    <t>8699745014711</t>
  </si>
  <si>
    <t>8699745018948</t>
  </si>
  <si>
    <t>8699745019129</t>
  </si>
  <si>
    <t>8699745019631</t>
  </si>
  <si>
    <t>8699745018900</t>
  </si>
  <si>
    <t>8699745018917</t>
  </si>
  <si>
    <t>8699745019143</t>
  </si>
  <si>
    <t>8699745014698</t>
  </si>
  <si>
    <t>8699745018931</t>
  </si>
  <si>
    <t>8699745019150</t>
  </si>
  <si>
    <t>8699745014728</t>
  </si>
  <si>
    <t>8699745014674</t>
  </si>
  <si>
    <t>8699580570014</t>
  </si>
  <si>
    <t>8680760700024</t>
  </si>
  <si>
    <t>8680760010024</t>
  </si>
  <si>
    <t>8680760700017</t>
  </si>
  <si>
    <t>8697621600348</t>
  </si>
  <si>
    <t>8697621540330</t>
  </si>
  <si>
    <t>8697621050235</t>
  </si>
  <si>
    <t>8697621050211</t>
  </si>
  <si>
    <t>8699546575589</t>
  </si>
  <si>
    <t>8699546015597</t>
  </si>
  <si>
    <t>8699546015610</t>
  </si>
  <si>
    <t>8680760510081</t>
  </si>
  <si>
    <t>8680760510098</t>
  </si>
  <si>
    <t>8699760610196</t>
  </si>
  <si>
    <t>8699546124411</t>
  </si>
  <si>
    <t>8699546326716</t>
  </si>
  <si>
    <t>8699502092051</t>
  </si>
  <si>
    <t>8699502092068</t>
  </si>
  <si>
    <t>8699715772108</t>
  </si>
  <si>
    <t>8699540092747</t>
  </si>
  <si>
    <t>8699540092716</t>
  </si>
  <si>
    <t>8699650271193</t>
  </si>
  <si>
    <t>8699828770022</t>
  </si>
  <si>
    <t>8699540099005</t>
  </si>
  <si>
    <t>8699569900054</t>
  </si>
  <si>
    <t>8699676950447</t>
  </si>
  <si>
    <t>8698978750021</t>
  </si>
  <si>
    <t>8699809018037</t>
  </si>
  <si>
    <t>8699636960202</t>
  </si>
  <si>
    <t>8699527091190</t>
  </si>
  <si>
    <t>8699527150217</t>
  </si>
  <si>
    <t>8699638013951</t>
  </si>
  <si>
    <t>8699783010270</t>
  </si>
  <si>
    <t>8699783010263</t>
  </si>
  <si>
    <t>8680698010370</t>
  </si>
  <si>
    <t>8680698010387</t>
  </si>
  <si>
    <t>8699293012610</t>
  </si>
  <si>
    <t>8699293012627</t>
  </si>
  <si>
    <t>8690632990910</t>
  </si>
  <si>
    <t>8699828090915</t>
  </si>
  <si>
    <t>8699680090177</t>
  </si>
  <si>
    <t>8699788750676</t>
  </si>
  <si>
    <t>8680881286162</t>
  </si>
  <si>
    <t>8680881094774</t>
  </si>
  <si>
    <t>8680881094781</t>
  </si>
  <si>
    <t>8699587011350</t>
  </si>
  <si>
    <t>8699587093844</t>
  </si>
  <si>
    <t>8699569350095</t>
  </si>
  <si>
    <t>8699569380030</t>
  </si>
  <si>
    <t>8699569480037</t>
  </si>
  <si>
    <t>8699569380054</t>
  </si>
  <si>
    <t>8699580540024</t>
  </si>
  <si>
    <t>8699525546234</t>
  </si>
  <si>
    <t>8680760091856</t>
  </si>
  <si>
    <t>8699525151469</t>
  </si>
  <si>
    <t>8699809018785</t>
  </si>
  <si>
    <t>8699587011039</t>
  </si>
  <si>
    <t>8699587011046</t>
  </si>
  <si>
    <t>8699587171054</t>
  </si>
  <si>
    <t>8699543170022</t>
  </si>
  <si>
    <t>8699543170015</t>
  </si>
  <si>
    <t>8699525016720</t>
  </si>
  <si>
    <t>8699525017154</t>
  </si>
  <si>
    <t>8699525016744</t>
  </si>
  <si>
    <t>8699525016751</t>
  </si>
  <si>
    <t>8699541012010</t>
  </si>
  <si>
    <t>8699541012126</t>
  </si>
  <si>
    <t>8699541012119</t>
  </si>
  <si>
    <t>8699541012027</t>
  </si>
  <si>
    <t>8699828750314</t>
  </si>
  <si>
    <t>8699828750277</t>
  </si>
  <si>
    <t>8699828590026</t>
  </si>
  <si>
    <t>8699569240013</t>
  </si>
  <si>
    <t>8699814270536</t>
  </si>
  <si>
    <t>8699814270529</t>
  </si>
  <si>
    <t>8699680010021</t>
  </si>
  <si>
    <t>8699680010038</t>
  </si>
  <si>
    <t>8699680030081</t>
  </si>
  <si>
    <t>8699680030098</t>
  </si>
  <si>
    <t>8699680030104</t>
  </si>
  <si>
    <t>8699788750690</t>
  </si>
  <si>
    <t>8699607750061</t>
  </si>
  <si>
    <t>8699593701054</t>
  </si>
  <si>
    <t>8699593095382</t>
  </si>
  <si>
    <t>8699525019943</t>
  </si>
  <si>
    <t>8699578012700</t>
  </si>
  <si>
    <t>8699514610144</t>
  </si>
  <si>
    <t>8699514090311</t>
  </si>
  <si>
    <t>8699844690816</t>
  </si>
  <si>
    <t>8699514610236</t>
  </si>
  <si>
    <t>8699591090075</t>
  </si>
  <si>
    <t>8697928090200</t>
  </si>
  <si>
    <t>8697928090057</t>
  </si>
  <si>
    <t>8699809779174</t>
  </si>
  <si>
    <t>8681248076051</t>
  </si>
  <si>
    <t>8699702775112</t>
  </si>
  <si>
    <t>8699745010638</t>
  </si>
  <si>
    <t>8690632760803</t>
  </si>
  <si>
    <t>8690632760797</t>
  </si>
  <si>
    <t>8699828570202</t>
  </si>
  <si>
    <t>8699828570219</t>
  </si>
  <si>
    <t>8680881023521</t>
  </si>
  <si>
    <t>8699772573731</t>
  </si>
  <si>
    <t>8699772573748</t>
  </si>
  <si>
    <t>8699772020013</t>
  </si>
  <si>
    <t>8699772020020</t>
  </si>
  <si>
    <t>8699772020044</t>
  </si>
  <si>
    <t>8681094020055</t>
  </si>
  <si>
    <t>8680881023545</t>
  </si>
  <si>
    <t>8680881020735</t>
  </si>
  <si>
    <t>8680881023569</t>
  </si>
  <si>
    <t>8699717250116</t>
  </si>
  <si>
    <t>8699828570110</t>
  </si>
  <si>
    <t>8699828570103</t>
  </si>
  <si>
    <t>8699828010357</t>
  </si>
  <si>
    <t>8680760020054</t>
  </si>
  <si>
    <t>8680760020023</t>
  </si>
  <si>
    <t>8680760020047</t>
  </si>
  <si>
    <t>8699548993992</t>
  </si>
  <si>
    <t>8680881020469</t>
  </si>
  <si>
    <t>8681144039099</t>
  </si>
  <si>
    <t>8699541271615</t>
  </si>
  <si>
    <t>8699541274555</t>
  </si>
  <si>
    <t>8699541271714</t>
  </si>
  <si>
    <t>8681308590299</t>
  </si>
  <si>
    <t>8680008350004</t>
  </si>
  <si>
    <t>8699828380085</t>
  </si>
  <si>
    <t>8699033750048</t>
  </si>
  <si>
    <t>8699569350064</t>
  </si>
  <si>
    <t>8699569750154</t>
  </si>
  <si>
    <t>8699569150183</t>
  </si>
  <si>
    <t>8699569150237</t>
  </si>
  <si>
    <t>8699569340126</t>
  </si>
  <si>
    <t>8699569030225</t>
  </si>
  <si>
    <t>8699809759121</t>
  </si>
  <si>
    <t>8699809156722</t>
  </si>
  <si>
    <t>8699809156708</t>
  </si>
  <si>
    <t>8680760750012</t>
  </si>
  <si>
    <t>8699512010021</t>
  </si>
  <si>
    <t>8699828690825</t>
  </si>
  <si>
    <t>8699828690801</t>
  </si>
  <si>
    <t>8699828690269</t>
  </si>
  <si>
    <t>8699586692949</t>
  </si>
  <si>
    <t>8699586692956</t>
  </si>
  <si>
    <t>8699586692970</t>
  </si>
  <si>
    <t>8699586692987</t>
  </si>
  <si>
    <t>8699043890314</t>
  </si>
  <si>
    <t>8699043890307</t>
  </si>
  <si>
    <t>8699759151013</t>
  </si>
  <si>
    <t>8699546351411</t>
  </si>
  <si>
    <t>8699760610301</t>
  </si>
  <si>
    <t>8680760090729</t>
  </si>
  <si>
    <t>8699504040050</t>
  </si>
  <si>
    <t>8699504040104</t>
  </si>
  <si>
    <t>8699874080069</t>
  </si>
  <si>
    <t>8699636011409</t>
  </si>
  <si>
    <t>8699839011220</t>
  </si>
  <si>
    <t>8697928020085</t>
  </si>
  <si>
    <t>8697928020214</t>
  </si>
  <si>
    <t>8697927024343</t>
  </si>
  <si>
    <t>8680400770172</t>
  </si>
  <si>
    <t>8699587352804</t>
  </si>
  <si>
    <t>8699819351704</t>
  </si>
  <si>
    <t>8699514091028</t>
  </si>
  <si>
    <t>8681735980014</t>
  </si>
  <si>
    <t>8681735980021</t>
  </si>
  <si>
    <t>8681735980038</t>
  </si>
  <si>
    <t>8697772090067</t>
  </si>
  <si>
    <t>8699514340089</t>
  </si>
  <si>
    <t>8699514890058</t>
  </si>
  <si>
    <t>8699514037491</t>
  </si>
  <si>
    <t>8699514130109</t>
  </si>
  <si>
    <t>8699514130123</t>
  </si>
  <si>
    <t>8699514340041</t>
  </si>
  <si>
    <t>8699680091174</t>
  </si>
  <si>
    <t>8699809540354</t>
  </si>
  <si>
    <t>8681030790103</t>
  </si>
  <si>
    <t>8681030790097</t>
  </si>
  <si>
    <t>8680199543643</t>
  </si>
  <si>
    <t>8699552030119</t>
  </si>
  <si>
    <t>8699552030102</t>
  </si>
  <si>
    <t>8699606756729</t>
  </si>
  <si>
    <t>8699749190039</t>
  </si>
  <si>
    <t>8699749190046</t>
  </si>
  <si>
    <t>8699749770026</t>
  </si>
  <si>
    <t>8680150540032</t>
  </si>
  <si>
    <t>8699591540150</t>
  </si>
  <si>
    <t>8680955540060</t>
  </si>
  <si>
    <t>8699559540017</t>
  </si>
  <si>
    <t>8699566543308</t>
  </si>
  <si>
    <t>8699591540143</t>
  </si>
  <si>
    <t>8699546770076</t>
  </si>
  <si>
    <t>8699738090043</t>
  </si>
  <si>
    <t>8712400763226</t>
  </si>
  <si>
    <t>8699584900800</t>
  </si>
  <si>
    <t>8699584900817</t>
  </si>
  <si>
    <t>8699584900824</t>
  </si>
  <si>
    <t>8699745001797</t>
  </si>
  <si>
    <t>8699745015114</t>
  </si>
  <si>
    <t>8699745015107</t>
  </si>
  <si>
    <t>8699745015121</t>
  </si>
  <si>
    <t>8699508150304</t>
  </si>
  <si>
    <t>8699508150311</t>
  </si>
  <si>
    <t>8699508150366</t>
  </si>
  <si>
    <t>8699505952499</t>
  </si>
  <si>
    <t>8699587751607</t>
  </si>
  <si>
    <t>8699543090726</t>
  </si>
  <si>
    <t>8699543090733</t>
  </si>
  <si>
    <t>8699548994678</t>
  </si>
  <si>
    <t>8699546350087</t>
  </si>
  <si>
    <t>8699514090175</t>
  </si>
  <si>
    <t>8680833650034</t>
  </si>
  <si>
    <t>8680833090373</t>
  </si>
  <si>
    <t>8680833090380</t>
  </si>
  <si>
    <t>8680833090397</t>
  </si>
  <si>
    <t>8680833090403</t>
  </si>
  <si>
    <t>8699511010145</t>
  </si>
  <si>
    <t>8699680010014</t>
  </si>
  <si>
    <t>8680881170638</t>
  </si>
  <si>
    <t>8699844612139</t>
  </si>
  <si>
    <t>8696875610134</t>
  </si>
  <si>
    <t>8696875610127</t>
  </si>
  <si>
    <t>8696875610073</t>
  </si>
  <si>
    <t>8696875610097</t>
  </si>
  <si>
    <t>8699536650050</t>
  </si>
  <si>
    <t>8699536650043</t>
  </si>
  <si>
    <t>8699536091822</t>
  </si>
  <si>
    <t>8699536091808</t>
  </si>
  <si>
    <t>8699536091815</t>
  </si>
  <si>
    <t>8699536030197</t>
  </si>
  <si>
    <t>8699536030159</t>
  </si>
  <si>
    <t>8699536030173</t>
  </si>
  <si>
    <t>8699844750770</t>
  </si>
  <si>
    <t>8699862950145</t>
  </si>
  <si>
    <t>8699862950121</t>
  </si>
  <si>
    <t>8699862950138</t>
  </si>
  <si>
    <t>8699756154390</t>
  </si>
  <si>
    <t>8699756154406</t>
  </si>
  <si>
    <t>8699756154413</t>
  </si>
  <si>
    <t>8699532095527</t>
  </si>
  <si>
    <t>8699532095534</t>
  </si>
  <si>
    <t>8699541272513</t>
  </si>
  <si>
    <t>8699541272414</t>
  </si>
  <si>
    <t>8699504710151</t>
  </si>
  <si>
    <t>8699541011105</t>
  </si>
  <si>
    <t>8699541792615</t>
  </si>
  <si>
    <t>8699541770408</t>
  </si>
  <si>
    <t>8699479750343</t>
  </si>
  <si>
    <t>8697927021571</t>
  </si>
  <si>
    <t>8699546090044</t>
  </si>
  <si>
    <t>8699540160095</t>
  </si>
  <si>
    <t>8699540160125</t>
  </si>
  <si>
    <t>8699786040014</t>
  </si>
  <si>
    <t>8699786040038</t>
  </si>
  <si>
    <t>8699786040021</t>
  </si>
  <si>
    <t>8699786040045</t>
  </si>
  <si>
    <t>8699514010364</t>
  </si>
  <si>
    <t>8699514010036</t>
  </si>
  <si>
    <t>8699636880913</t>
  </si>
  <si>
    <t>8680881040696</t>
  </si>
  <si>
    <t>8699828030027</t>
  </si>
  <si>
    <t>8699828030041</t>
  </si>
  <si>
    <t>8699809355002</t>
  </si>
  <si>
    <t>8699809655034</t>
  </si>
  <si>
    <t>8699809655058</t>
  </si>
  <si>
    <t>8699593813405</t>
  </si>
  <si>
    <t>8699593813429</t>
  </si>
  <si>
    <t>8699593813450</t>
  </si>
  <si>
    <t>8699593233326</t>
  </si>
  <si>
    <t>8699593233319</t>
  </si>
  <si>
    <t>8699593233371</t>
  </si>
  <si>
    <t>8699593233104</t>
  </si>
  <si>
    <t>8699593233098</t>
  </si>
  <si>
    <t>8699593233159</t>
  </si>
  <si>
    <t>8681291230226</t>
  </si>
  <si>
    <t>8681291230233</t>
  </si>
  <si>
    <t>8699504810097</t>
  </si>
  <si>
    <t>8681291810268</t>
  </si>
  <si>
    <t>8681291810275</t>
  </si>
  <si>
    <t>8699508700042</t>
  </si>
  <si>
    <t>8699508090211</t>
  </si>
  <si>
    <t>8699508700035</t>
  </si>
  <si>
    <t>8699508090075</t>
  </si>
  <si>
    <t>8699508100026</t>
  </si>
  <si>
    <t>8699828190059</t>
  </si>
  <si>
    <t>8699324900015</t>
  </si>
  <si>
    <t>8699792342911</t>
  </si>
  <si>
    <t>8699525345264</t>
  </si>
  <si>
    <t>8699525013859</t>
  </si>
  <si>
    <t>8681308964144</t>
  </si>
  <si>
    <t>8699536340029</t>
  </si>
  <si>
    <t>8699536010205</t>
  </si>
  <si>
    <t>8699536340050</t>
  </si>
  <si>
    <t>8699536011356</t>
  </si>
  <si>
    <t>8680760340053</t>
  </si>
  <si>
    <t>8699546750399</t>
  </si>
  <si>
    <t>8699546010387</t>
  </si>
  <si>
    <t>8680400770707</t>
  </si>
  <si>
    <t>8699456150036</t>
  </si>
  <si>
    <t>8699456150043</t>
  </si>
  <si>
    <t>8699456150050</t>
  </si>
  <si>
    <t>8699511400014</t>
  </si>
  <si>
    <t>8699578012830</t>
  </si>
  <si>
    <t>8699578012854</t>
  </si>
  <si>
    <t>8699578012823</t>
  </si>
  <si>
    <t>8699578012847</t>
  </si>
  <si>
    <t>8699479380014</t>
  </si>
  <si>
    <t>8699504810042</t>
  </si>
  <si>
    <t>8699504810035</t>
  </si>
  <si>
    <t>8681428810475</t>
  </si>
  <si>
    <t>8681428810468</t>
  </si>
  <si>
    <t>8699738520014</t>
  </si>
  <si>
    <t>8699593351075</t>
  </si>
  <si>
    <t>8699819370644</t>
  </si>
  <si>
    <t>8699786090019</t>
  </si>
  <si>
    <t>8699624750013</t>
  </si>
  <si>
    <t>8699624570031</t>
  </si>
  <si>
    <t>8699624090010</t>
  </si>
  <si>
    <t>8699819241265</t>
  </si>
  <si>
    <t>8699676950232</t>
  </si>
  <si>
    <t>8699676950249</t>
  </si>
  <si>
    <t>8699676950225</t>
  </si>
  <si>
    <t>8699514011118</t>
  </si>
  <si>
    <t>8699511010169</t>
  </si>
  <si>
    <t>8699511010114</t>
  </si>
  <si>
    <t>8699580040050</t>
  </si>
  <si>
    <t>8680199610116</t>
  </si>
  <si>
    <t>8699543010618</t>
  </si>
  <si>
    <t>8699543010601</t>
  </si>
  <si>
    <t>8699543750071</t>
  </si>
  <si>
    <t>8699543010083</t>
  </si>
  <si>
    <t>8699543590028</t>
  </si>
  <si>
    <t>8699543010090</t>
  </si>
  <si>
    <t>8699543750040</t>
  </si>
  <si>
    <t>8699543010076</t>
  </si>
  <si>
    <t>8699543750101</t>
  </si>
  <si>
    <t>8699543750088</t>
  </si>
  <si>
    <t>8699809018068</t>
  </si>
  <si>
    <t>8699525757685</t>
  </si>
  <si>
    <t>8697621010260</t>
  </si>
  <si>
    <t>8699569610052</t>
  </si>
  <si>
    <t>8699809097681</t>
  </si>
  <si>
    <t>8699809097674</t>
  </si>
  <si>
    <t>8699532015334</t>
  </si>
  <si>
    <t>8699532014085</t>
  </si>
  <si>
    <t>8699532015327</t>
  </si>
  <si>
    <t>8699532014078</t>
  </si>
  <si>
    <t>8680656080308</t>
  </si>
  <si>
    <t>8699819340678</t>
  </si>
  <si>
    <t>8680760090569</t>
  </si>
  <si>
    <t>8680833090014</t>
  </si>
  <si>
    <t>8680833080015</t>
  </si>
  <si>
    <t>8680833250012</t>
  </si>
  <si>
    <t>8680833080039</t>
  </si>
  <si>
    <t>8699772570013</t>
  </si>
  <si>
    <t>8699772570020</t>
  </si>
  <si>
    <t>8699772030135</t>
  </si>
  <si>
    <t>8699809595002</t>
  </si>
  <si>
    <t>8699809575059</t>
  </si>
  <si>
    <t>8699809755000</t>
  </si>
  <si>
    <t>8699809015012</t>
  </si>
  <si>
    <t>8699525610171</t>
  </si>
  <si>
    <t>8690632990026</t>
  </si>
  <si>
    <t>8690632990118</t>
  </si>
  <si>
    <t>8699525907332</t>
  </si>
  <si>
    <t>8699676790678</t>
  </si>
  <si>
    <t>8699676790685</t>
  </si>
  <si>
    <t>8699676790692</t>
  </si>
  <si>
    <t>8699676790654</t>
  </si>
  <si>
    <t>8699676790661</t>
  </si>
  <si>
    <t>8699676950706</t>
  </si>
  <si>
    <t>8699676950690</t>
  </si>
  <si>
    <t>8699676950829</t>
  </si>
  <si>
    <t>8699788750720</t>
  </si>
  <si>
    <t>8699676770656</t>
  </si>
  <si>
    <t>8699676950676</t>
  </si>
  <si>
    <t>8699502270602</t>
  </si>
  <si>
    <t>8699502270640</t>
  </si>
  <si>
    <t>8699502270589</t>
  </si>
  <si>
    <t>8699502270626</t>
  </si>
  <si>
    <t>8699676790883</t>
  </si>
  <si>
    <t>8699676790890</t>
  </si>
  <si>
    <t>8699636041284</t>
  </si>
  <si>
    <t>8699636791271</t>
  </si>
  <si>
    <t>8699636280799</t>
  </si>
  <si>
    <t>8699708751653</t>
  </si>
  <si>
    <t>8699522779987</t>
  </si>
  <si>
    <t>8690570120028</t>
  </si>
  <si>
    <t>8690570010008</t>
  </si>
  <si>
    <t>8681308578921</t>
  </si>
  <si>
    <t>8699711953204</t>
  </si>
  <si>
    <t>8699711953235</t>
  </si>
  <si>
    <t>8699745010904</t>
  </si>
  <si>
    <t>8699745010577</t>
  </si>
  <si>
    <t>8699711953242</t>
  </si>
  <si>
    <t>8699711953167</t>
  </si>
  <si>
    <t>8699711953181</t>
  </si>
  <si>
    <t>8699711953501</t>
  </si>
  <si>
    <t>8699711953143</t>
  </si>
  <si>
    <t>8699548994258</t>
  </si>
  <si>
    <t>8699548994241</t>
  </si>
  <si>
    <t>8699548995071</t>
  </si>
  <si>
    <t>8699548994234</t>
  </si>
  <si>
    <t>8699636900987</t>
  </si>
  <si>
    <t>8699638014026</t>
  </si>
  <si>
    <t>8699638014132</t>
  </si>
  <si>
    <t>8699638014033</t>
  </si>
  <si>
    <t>8699033150473</t>
  </si>
  <si>
    <t>8680199611670</t>
  </si>
  <si>
    <t>8699511350241</t>
  </si>
  <si>
    <t>8699511510119</t>
  </si>
  <si>
    <t>8699702775099</t>
  </si>
  <si>
    <t>8699505761978</t>
  </si>
  <si>
    <t>8699686980052</t>
  </si>
  <si>
    <t>8699686980090</t>
  </si>
  <si>
    <t>8697621750166</t>
  </si>
  <si>
    <t>8699536090801</t>
  </si>
  <si>
    <t>8699536090825</t>
  </si>
  <si>
    <t>8699536090849</t>
  </si>
  <si>
    <t>8699693190079</t>
  </si>
  <si>
    <t>8699693190093</t>
  </si>
  <si>
    <t>8699514610120</t>
  </si>
  <si>
    <t>8699514610205</t>
  </si>
  <si>
    <t>8699514610229</t>
  </si>
  <si>
    <t>8699525618252</t>
  </si>
  <si>
    <t>8699569610175</t>
  </si>
  <si>
    <t>8699525571922</t>
  </si>
  <si>
    <t>8699541092005</t>
  </si>
  <si>
    <t>8699541792400</t>
  </si>
  <si>
    <t>8699828950073</t>
  </si>
  <si>
    <t>8699828950080</t>
  </si>
  <si>
    <t>8699828950097</t>
  </si>
  <si>
    <t>8699828950103</t>
  </si>
  <si>
    <t>8699828950110</t>
  </si>
  <si>
    <t>8699828950127</t>
  </si>
  <si>
    <t>8699569610229</t>
  </si>
  <si>
    <t>8699293053019</t>
  </si>
  <si>
    <t>8699293053026</t>
  </si>
  <si>
    <t>8699293053033</t>
  </si>
  <si>
    <t>8699293053040</t>
  </si>
  <si>
    <t>8699580210019</t>
  </si>
  <si>
    <t>8699580570069</t>
  </si>
  <si>
    <t>8699540095090</t>
  </si>
  <si>
    <t>8699540095120</t>
  </si>
  <si>
    <t>8699540095007</t>
  </si>
  <si>
    <t>8699540095151</t>
  </si>
  <si>
    <t>8699540095038</t>
  </si>
  <si>
    <t>8699262070078</t>
  </si>
  <si>
    <t>8699262070085</t>
  </si>
  <si>
    <t>8699540070028</t>
  </si>
  <si>
    <t>8699540070073</t>
  </si>
  <si>
    <t>8699540070035</t>
  </si>
  <si>
    <t>8699324650019</t>
  </si>
  <si>
    <t>8699324650033</t>
  </si>
  <si>
    <t>8699559090062</t>
  </si>
  <si>
    <t>8680881093975</t>
  </si>
  <si>
    <t>8699228090126</t>
  </si>
  <si>
    <t>8699228090133</t>
  </si>
  <si>
    <t>8699228090140</t>
  </si>
  <si>
    <t>8699228090157</t>
  </si>
  <si>
    <t>8699228090164</t>
  </si>
  <si>
    <t>8699228090171</t>
  </si>
  <si>
    <t>8699228090188</t>
  </si>
  <si>
    <t>8699569091271</t>
  </si>
  <si>
    <t>8699569091332</t>
  </si>
  <si>
    <t>8697786090237</t>
  </si>
  <si>
    <t>8697786090251</t>
  </si>
  <si>
    <t>8697786090275</t>
  </si>
  <si>
    <t>8697786090190</t>
  </si>
  <si>
    <t>8697786090213</t>
  </si>
  <si>
    <t>8699566510010</t>
  </si>
  <si>
    <t>8699566355987</t>
  </si>
  <si>
    <t>8699566355901</t>
  </si>
  <si>
    <t>8699630697272</t>
  </si>
  <si>
    <t>8699540160101</t>
  </si>
  <si>
    <t>8699516153625</t>
  </si>
  <si>
    <t>8699792152114</t>
  </si>
  <si>
    <t>8699792152121</t>
  </si>
  <si>
    <t>8699688771450</t>
  </si>
  <si>
    <t>8699688771443</t>
  </si>
  <si>
    <t>8699688771559</t>
  </si>
  <si>
    <t>8699688771566</t>
  </si>
  <si>
    <t>8699688771542</t>
  </si>
  <si>
    <t>8699606775560</t>
  </si>
  <si>
    <t>8699606775553</t>
  </si>
  <si>
    <t>8699606775584</t>
  </si>
  <si>
    <t>8699688770514</t>
  </si>
  <si>
    <t>8699688770521</t>
  </si>
  <si>
    <t>8699516953836</t>
  </si>
  <si>
    <t>8681428950126</t>
  </si>
  <si>
    <t>8699516953805</t>
  </si>
  <si>
    <t>8699508610013</t>
  </si>
  <si>
    <t>8699508750214</t>
  </si>
  <si>
    <t>8699514096092</t>
  </si>
  <si>
    <t>8699514086079</t>
  </si>
  <si>
    <t>8699514240013</t>
  </si>
  <si>
    <t>8699514086086</t>
  </si>
  <si>
    <t>8699636790403</t>
  </si>
  <si>
    <t>8699074090530</t>
  </si>
  <si>
    <t>8699074090547</t>
  </si>
  <si>
    <t>8699074090554</t>
  </si>
  <si>
    <t>8699786090569</t>
  </si>
  <si>
    <t>8681793774020</t>
  </si>
  <si>
    <t>8681793774013</t>
  </si>
  <si>
    <t>8681793774044</t>
  </si>
  <si>
    <t>8681793774051</t>
  </si>
  <si>
    <t>8681793774037</t>
  </si>
  <si>
    <t>8699369070049</t>
  </si>
  <si>
    <t>8699369070056</t>
  </si>
  <si>
    <t>8699541170116</t>
  </si>
  <si>
    <t>8682279997421</t>
  </si>
  <si>
    <t>8682279997414</t>
  </si>
  <si>
    <t>8682279997445</t>
  </si>
  <si>
    <t>8682279997452</t>
  </si>
  <si>
    <t>8682279997438</t>
  </si>
  <si>
    <t>8699726765502</t>
  </si>
  <si>
    <t>8699726765007</t>
  </si>
  <si>
    <t>8699578093020</t>
  </si>
  <si>
    <t>8699578093013</t>
  </si>
  <si>
    <t>8699738650025</t>
  </si>
  <si>
    <t>8699543090283</t>
  </si>
  <si>
    <t>8697542090051</t>
  </si>
  <si>
    <t>8699679776051</t>
  </si>
  <si>
    <t>8699679776068</t>
  </si>
  <si>
    <t>8681317002530</t>
  </si>
  <si>
    <t>8699679777102</t>
  </si>
  <si>
    <t>8699679777096</t>
  </si>
  <si>
    <t>8699679957061</t>
  </si>
  <si>
    <t>8699679777157</t>
  </si>
  <si>
    <t>8699679777164</t>
  </si>
  <si>
    <t>8680530620088</t>
  </si>
  <si>
    <t>8699642651163</t>
  </si>
  <si>
    <t>8680199090567</t>
  </si>
  <si>
    <t>8680199090086</t>
  </si>
  <si>
    <t>8699726266405</t>
  </si>
  <si>
    <t>8699726950601</t>
  </si>
  <si>
    <t>8699636012017</t>
  </si>
  <si>
    <t>8699514092315</t>
  </si>
  <si>
    <t>8699514102366</t>
  </si>
  <si>
    <t>8699514092377</t>
  </si>
  <si>
    <t>8699622090210</t>
  </si>
  <si>
    <t>8699642351155</t>
  </si>
  <si>
    <t>8699642091235</t>
  </si>
  <si>
    <t>8699828140030</t>
  </si>
  <si>
    <t>8699772646824</t>
  </si>
  <si>
    <t>8699772525747</t>
  </si>
  <si>
    <t>8699541015288</t>
  </si>
  <si>
    <t>8699541015295</t>
  </si>
  <si>
    <t>8699541015301</t>
  </si>
  <si>
    <t>8699541015318</t>
  </si>
  <si>
    <t>8680881242359</t>
  </si>
  <si>
    <t>8680881154591</t>
  </si>
  <si>
    <t>8680400770387</t>
  </si>
  <si>
    <t>8680400770394</t>
  </si>
  <si>
    <t>8699828760139</t>
  </si>
  <si>
    <t>8681807005188</t>
  </si>
  <si>
    <t>8699578653019</t>
  </si>
  <si>
    <t>8699548990663</t>
  </si>
  <si>
    <t>8699606906414</t>
  </si>
  <si>
    <t>8699821950018</t>
  </si>
  <si>
    <t>8680952510929</t>
  </si>
  <si>
    <t>8699559760019</t>
  </si>
  <si>
    <t>8699844751012</t>
  </si>
  <si>
    <t>8699844751029</t>
  </si>
  <si>
    <t>8699265620034</t>
  </si>
  <si>
    <t>8681291540158</t>
  </si>
  <si>
    <t>8681291540134</t>
  </si>
  <si>
    <t>8681291540516</t>
  </si>
  <si>
    <t>8681291540141</t>
  </si>
  <si>
    <t>8699622700102</t>
  </si>
  <si>
    <t>8699525098689</t>
  </si>
  <si>
    <t>8699777950308</t>
  </si>
  <si>
    <t>8699650772287</t>
  </si>
  <si>
    <t>8699650772270</t>
  </si>
  <si>
    <t>8699548991158</t>
  </si>
  <si>
    <t>8680760350144</t>
  </si>
  <si>
    <t>8680760510043</t>
  </si>
  <si>
    <t>8699527090896</t>
  </si>
  <si>
    <t>8699527090919</t>
  </si>
  <si>
    <t>8699527090872</t>
  </si>
  <si>
    <t>8699580340037</t>
  </si>
  <si>
    <t>8699825570014</t>
  </si>
  <si>
    <t>8681117570024</t>
  </si>
  <si>
    <t>8699517150845</t>
  </si>
  <si>
    <t>8699638154937</t>
  </si>
  <si>
    <t>8699638154913</t>
  </si>
  <si>
    <t>8682109004022</t>
  </si>
  <si>
    <t>8699543090382</t>
  </si>
  <si>
    <t>8699543090399</t>
  </si>
  <si>
    <t>8699543090344</t>
  </si>
  <si>
    <t>8699543070193</t>
  </si>
  <si>
    <t>8699543070209</t>
  </si>
  <si>
    <t>8699543070216</t>
  </si>
  <si>
    <t>8699543070186</t>
  </si>
  <si>
    <t>8699490588017</t>
  </si>
  <si>
    <t>8697621790650</t>
  </si>
  <si>
    <t>8699502094635</t>
  </si>
  <si>
    <t>8699293516019</t>
  </si>
  <si>
    <t>8699738030018</t>
  </si>
  <si>
    <t>8699738030025</t>
  </si>
  <si>
    <t>8699738030032</t>
  </si>
  <si>
    <t>8680199610055</t>
  </si>
  <si>
    <t>8680199617887</t>
  </si>
  <si>
    <t>8699828770411</t>
  </si>
  <si>
    <t>8699814750427</t>
  </si>
  <si>
    <t>8681697750106</t>
  </si>
  <si>
    <t>8681697770012</t>
  </si>
  <si>
    <t>8681291090011</t>
  </si>
  <si>
    <t>8681291090035</t>
  </si>
  <si>
    <t>8681291090028</t>
  </si>
  <si>
    <t>8681291090431</t>
  </si>
  <si>
    <t>8699560010769</t>
  </si>
  <si>
    <t>8699525043924</t>
  </si>
  <si>
    <t>8699525043948</t>
  </si>
  <si>
    <t>8699559240016</t>
  </si>
  <si>
    <t>8699559090031</t>
  </si>
  <si>
    <t>8699680040028</t>
  </si>
  <si>
    <t>8699680040035</t>
  </si>
  <si>
    <t>8699702156034</t>
  </si>
  <si>
    <t>8699702156041</t>
  </si>
  <si>
    <t>8699578043414</t>
  </si>
  <si>
    <t>8699578043421</t>
  </si>
  <si>
    <t>8680760040021</t>
  </si>
  <si>
    <t>8699511350029</t>
  </si>
  <si>
    <t>8699511380026</t>
  </si>
  <si>
    <t>8699511350036</t>
  </si>
  <si>
    <t>8699536040035</t>
  </si>
  <si>
    <t>8699536040011</t>
  </si>
  <si>
    <t>8699536040028</t>
  </si>
  <si>
    <t>8699074550188</t>
  </si>
  <si>
    <t>8680199097467</t>
  </si>
  <si>
    <t>8699516044510</t>
  </si>
  <si>
    <t>8699516042240</t>
  </si>
  <si>
    <t>8699516042257</t>
  </si>
  <si>
    <t>8699456790034</t>
  </si>
  <si>
    <t>8699456040016</t>
  </si>
  <si>
    <t>8699456040023</t>
  </si>
  <si>
    <t>8699607750337</t>
  </si>
  <si>
    <t>8699607750344</t>
  </si>
  <si>
    <t>8699564012554</t>
  </si>
  <si>
    <t>8699564012509</t>
  </si>
  <si>
    <t>8697772010041</t>
  </si>
  <si>
    <t>8699809897038</t>
  </si>
  <si>
    <t>8699809897045</t>
  </si>
  <si>
    <t>8699809018457</t>
  </si>
  <si>
    <t>8699680090832</t>
  </si>
  <si>
    <t>8699680090849</t>
  </si>
  <si>
    <t>8699702753035</t>
  </si>
  <si>
    <t>8699702753042</t>
  </si>
  <si>
    <t>8699844750916</t>
  </si>
  <si>
    <t>8699844750893</t>
  </si>
  <si>
    <t>8699844750909</t>
  </si>
  <si>
    <t>8680400770691</t>
  </si>
  <si>
    <t>8680400770684</t>
  </si>
  <si>
    <t>8699738751159</t>
  </si>
  <si>
    <t>8699738751142</t>
  </si>
  <si>
    <t>8699593045295</t>
  </si>
  <si>
    <t>8699783750183</t>
  </si>
  <si>
    <t>8699783750176</t>
  </si>
  <si>
    <t>8699540750043</t>
  </si>
  <si>
    <t>8699540750036</t>
  </si>
  <si>
    <t>8681697750212</t>
  </si>
  <si>
    <t>8681697750205</t>
  </si>
  <si>
    <t>8680955750056</t>
  </si>
  <si>
    <t>8680955750049</t>
  </si>
  <si>
    <t>8699293013426</t>
  </si>
  <si>
    <t>8699293013440</t>
  </si>
  <si>
    <t>8699293033561</t>
  </si>
  <si>
    <t>8699293033578</t>
  </si>
  <si>
    <t>8699293033585</t>
  </si>
  <si>
    <t>8699293035930</t>
  </si>
  <si>
    <t>8699293033592</t>
  </si>
  <si>
    <t>8699293035947</t>
  </si>
  <si>
    <t>8699293033608</t>
  </si>
  <si>
    <t>8680955750100</t>
  </si>
  <si>
    <t>8680955750117</t>
  </si>
  <si>
    <t>8699514010166</t>
  </si>
  <si>
    <t>8699514010135</t>
  </si>
  <si>
    <t>8699514031239</t>
  </si>
  <si>
    <t>8699514031246</t>
  </si>
  <si>
    <t>8699514031253</t>
  </si>
  <si>
    <t>8699514031260</t>
  </si>
  <si>
    <t>8699514031277</t>
  </si>
  <si>
    <t>8699514031284</t>
  </si>
  <si>
    <t>8699514031291</t>
  </si>
  <si>
    <t>8699262010166</t>
  </si>
  <si>
    <t>8698856010032</t>
  </si>
  <si>
    <t>8699717690011</t>
  </si>
  <si>
    <t>8699717700062</t>
  </si>
  <si>
    <t>8699717010109</t>
  </si>
  <si>
    <t>8699717010093</t>
  </si>
  <si>
    <t>8699717010116</t>
  </si>
  <si>
    <t>8699717700079</t>
  </si>
  <si>
    <t>8680199617320</t>
  </si>
  <si>
    <t>8680199624793</t>
  </si>
  <si>
    <t>8681428571260</t>
  </si>
  <si>
    <t>8699504612073</t>
  </si>
  <si>
    <t>8699525040015</t>
  </si>
  <si>
    <t>8699525040022</t>
  </si>
  <si>
    <t>8699514092063</t>
  </si>
  <si>
    <t>8699514092070</t>
  </si>
  <si>
    <t>8680833150299</t>
  </si>
  <si>
    <t>8680833150305</t>
  </si>
  <si>
    <t>8680833150312</t>
  </si>
  <si>
    <t>8680833150282</t>
  </si>
  <si>
    <t>8699543090146</t>
  </si>
  <si>
    <t>8699543090665</t>
  </si>
  <si>
    <t>8699543090160</t>
  </si>
  <si>
    <t>8699543090672</t>
  </si>
  <si>
    <t>8699543090184</t>
  </si>
  <si>
    <t>8699543090689</t>
  </si>
  <si>
    <t>8699543090207</t>
  </si>
  <si>
    <t>8699543090696</t>
  </si>
  <si>
    <t>8699522096947</t>
  </si>
  <si>
    <t>8699522092802</t>
  </si>
  <si>
    <t>8699793000520</t>
  </si>
  <si>
    <t>8699548994067</t>
  </si>
  <si>
    <t>8699548994128</t>
  </si>
  <si>
    <t>8699548994111</t>
  </si>
  <si>
    <t>8699548994074</t>
  </si>
  <si>
    <t>8699548994050</t>
  </si>
  <si>
    <t>8699548994272</t>
  </si>
  <si>
    <t>8699548994098</t>
  </si>
  <si>
    <t>8699548994340</t>
  </si>
  <si>
    <t>8699548995231</t>
  </si>
  <si>
    <t>8699548994333</t>
  </si>
  <si>
    <t>8699548994142</t>
  </si>
  <si>
    <t>8699548994135</t>
  </si>
  <si>
    <t>8699548994081</t>
  </si>
  <si>
    <t>8699548994043</t>
  </si>
  <si>
    <t>8699717570016</t>
  </si>
  <si>
    <t>8699717570061</t>
  </si>
  <si>
    <t>8699516573119</t>
  </si>
  <si>
    <t>8680199556872</t>
  </si>
  <si>
    <t>8699505950785</t>
  </si>
  <si>
    <t>8699505950808</t>
  </si>
  <si>
    <t>8699819251127</t>
  </si>
  <si>
    <t>8699569610342</t>
  </si>
  <si>
    <t>8699587354099</t>
  </si>
  <si>
    <t>8680061650042</t>
  </si>
  <si>
    <t>8680061650035</t>
  </si>
  <si>
    <t>8699828790211</t>
  </si>
  <si>
    <t>8699828790228</t>
  </si>
  <si>
    <t>8699508270415</t>
  </si>
  <si>
    <t>8699033090571</t>
  </si>
  <si>
    <t>8680184950166</t>
  </si>
  <si>
    <t>8699844952020</t>
  </si>
  <si>
    <t>8680184950159</t>
  </si>
  <si>
    <t>8699844952013</t>
  </si>
  <si>
    <t>8681547090017</t>
  </si>
  <si>
    <t>8699508270118</t>
  </si>
  <si>
    <t>8699516090951</t>
  </si>
  <si>
    <t>8699516285951</t>
  </si>
  <si>
    <t>8699516285968</t>
  </si>
  <si>
    <t>8699814270017</t>
  </si>
  <si>
    <t>8699535980417</t>
  </si>
  <si>
    <t>8699508270385</t>
  </si>
  <si>
    <t>8699508270392</t>
  </si>
  <si>
    <t>8697621890138</t>
  </si>
  <si>
    <t>8697621220126</t>
  </si>
  <si>
    <t>8697621030596</t>
  </si>
  <si>
    <t>8697621220270</t>
  </si>
  <si>
    <t>8697621030114</t>
  </si>
  <si>
    <t>8699033010098</t>
  </si>
  <si>
    <t>8699033010111</t>
  </si>
  <si>
    <t>8699680160023</t>
  </si>
  <si>
    <t>8699680160030</t>
  </si>
  <si>
    <t>8699649570047</t>
  </si>
  <si>
    <t>8699565573504</t>
  </si>
  <si>
    <t>8699844091248</t>
  </si>
  <si>
    <t>8699543150079</t>
  </si>
  <si>
    <t>8699543150222</t>
  </si>
  <si>
    <t>8699543150055</t>
  </si>
  <si>
    <t>8699543150109</t>
  </si>
  <si>
    <t>8699543150062</t>
  </si>
  <si>
    <t>8699543150208</t>
  </si>
  <si>
    <t>8699777790331</t>
  </si>
  <si>
    <t>8681085010102</t>
  </si>
  <si>
    <t>8681085010096</t>
  </si>
  <si>
    <t>8699541014502</t>
  </si>
  <si>
    <t>8699541014601</t>
  </si>
  <si>
    <t>8699808090218</t>
  </si>
  <si>
    <t>8699505762791</t>
  </si>
  <si>
    <t>8699587751065</t>
  </si>
  <si>
    <t>8699561340124</t>
  </si>
  <si>
    <t>8699543030227</t>
  </si>
  <si>
    <t>8699543030234</t>
  </si>
  <si>
    <t>8699543030241</t>
  </si>
  <si>
    <t>8699543030289</t>
  </si>
  <si>
    <t>8699543030258</t>
  </si>
  <si>
    <t>8699543030296</t>
  </si>
  <si>
    <t>8699543030265</t>
  </si>
  <si>
    <t>8699693010131</t>
  </si>
  <si>
    <t>8699693010148</t>
  </si>
  <si>
    <t>8699693030047</t>
  </si>
  <si>
    <t>8699693030078</t>
  </si>
  <si>
    <t>8699693030108</t>
  </si>
  <si>
    <t>8699693030139</t>
  </si>
  <si>
    <t>8699693030160</t>
  </si>
  <si>
    <t>8699822760302</t>
  </si>
  <si>
    <t>8699606690429</t>
  </si>
  <si>
    <t>8699606690405</t>
  </si>
  <si>
    <t>8699606690269</t>
  </si>
  <si>
    <t>8699606690320</t>
  </si>
  <si>
    <t>8699606690368</t>
  </si>
  <si>
    <t>8699606690221</t>
  </si>
  <si>
    <t>8699606690207</t>
  </si>
  <si>
    <t>8699606690542</t>
  </si>
  <si>
    <t>8699606690528</t>
  </si>
  <si>
    <t>8699606692881</t>
  </si>
  <si>
    <t>8699606690580</t>
  </si>
  <si>
    <t>8699606690566</t>
  </si>
  <si>
    <t>8699606692829</t>
  </si>
  <si>
    <t>8699606692805</t>
  </si>
  <si>
    <t>8699606692768</t>
  </si>
  <si>
    <t>8699606690504</t>
  </si>
  <si>
    <t>8699606690481</t>
  </si>
  <si>
    <t>8699606683476</t>
  </si>
  <si>
    <t>8699536150796</t>
  </si>
  <si>
    <t>8699536150512</t>
  </si>
  <si>
    <t>8699525759740</t>
  </si>
  <si>
    <t>8699527090117</t>
  </si>
  <si>
    <t>8699527090155</t>
  </si>
  <si>
    <t>8699819011417</t>
  </si>
  <si>
    <t>8699559650082</t>
  </si>
  <si>
    <t>8699820090081</t>
  </si>
  <si>
    <t>8699820090104</t>
  </si>
  <si>
    <t>8697621220638</t>
  </si>
  <si>
    <t>8699569610083</t>
  </si>
  <si>
    <t>8699525090492</t>
  </si>
  <si>
    <t>8699525090508</t>
  </si>
  <si>
    <t>8699525090515</t>
  </si>
  <si>
    <t>8699502091986</t>
  </si>
  <si>
    <t>8699527090865</t>
  </si>
  <si>
    <t>8699536070049</t>
  </si>
  <si>
    <t>8699536070056</t>
  </si>
  <si>
    <t>8699536070025</t>
  </si>
  <si>
    <t>8699536070032</t>
  </si>
  <si>
    <t>8699502013261</t>
  </si>
  <si>
    <t>8699502013278</t>
  </si>
  <si>
    <t>8699502013285</t>
  </si>
  <si>
    <t>8699516012786</t>
  </si>
  <si>
    <t>8699695000017</t>
  </si>
  <si>
    <t>8699543091853</t>
  </si>
  <si>
    <t>8699540090972</t>
  </si>
  <si>
    <t>8699540020931</t>
  </si>
  <si>
    <t>8699525891082</t>
  </si>
  <si>
    <t>8699525013248</t>
  </si>
  <si>
    <t>8699511796650</t>
  </si>
  <si>
    <t>8699511796667</t>
  </si>
  <si>
    <t>8699578013479</t>
  </si>
  <si>
    <t>8699578703424</t>
  </si>
  <si>
    <t>8699578153410</t>
  </si>
  <si>
    <t>8699708010453</t>
  </si>
  <si>
    <t>8699708690525</t>
  </si>
  <si>
    <t>8699745010621</t>
  </si>
  <si>
    <t>8690632760810</t>
  </si>
  <si>
    <t>8690632760827</t>
  </si>
  <si>
    <t>8690632760735</t>
  </si>
  <si>
    <t>8690632760681</t>
  </si>
  <si>
    <t>8690632760698</t>
  </si>
  <si>
    <t>8690632760704</t>
  </si>
  <si>
    <t>8690632760759</t>
  </si>
  <si>
    <t>8690632760728</t>
  </si>
  <si>
    <t>8690632760711</t>
  </si>
  <si>
    <t>8699745014841</t>
  </si>
  <si>
    <t>8699745014483</t>
  </si>
  <si>
    <t>8699745014490</t>
  </si>
  <si>
    <t>8699745004606</t>
  </si>
  <si>
    <t>8699828090304</t>
  </si>
  <si>
    <t>8699809098688</t>
  </si>
  <si>
    <t>8699809097698</t>
  </si>
  <si>
    <t>8699809098190</t>
  </si>
  <si>
    <t>8699783770280</t>
  </si>
  <si>
    <t>8699786031340</t>
  </si>
  <si>
    <t>8699786030206</t>
  </si>
  <si>
    <t>8680683010118</t>
  </si>
  <si>
    <t>8699828760085</t>
  </si>
  <si>
    <t>8699828760092</t>
  </si>
  <si>
    <t>8699828760078</t>
  </si>
  <si>
    <t>8699636791158</t>
  </si>
  <si>
    <t>8699293096054</t>
  </si>
  <si>
    <t>8699293096061</t>
  </si>
  <si>
    <t>8699579440014</t>
  </si>
  <si>
    <t>8699828380023</t>
  </si>
  <si>
    <t>8699606694908</t>
  </si>
  <si>
    <t>8699606774655</t>
  </si>
  <si>
    <t>8699514574934</t>
  </si>
  <si>
    <t>8699828790471</t>
  </si>
  <si>
    <t>8699525159731</t>
  </si>
  <si>
    <t>8699525159748</t>
  </si>
  <si>
    <t>8699525159755</t>
  </si>
  <si>
    <t>8699525159762</t>
  </si>
  <si>
    <t>8699756091343</t>
  </si>
  <si>
    <t>8699514040088</t>
  </si>
  <si>
    <t>8699508750245</t>
  </si>
  <si>
    <t>8680881020506</t>
  </si>
  <si>
    <t>8699607750511</t>
  </si>
  <si>
    <t>8699788750829</t>
  </si>
  <si>
    <t>8699607750573</t>
  </si>
  <si>
    <t>8699736750291</t>
  </si>
  <si>
    <t>8699819030692</t>
  </si>
  <si>
    <t>8699828240037</t>
  </si>
  <si>
    <t>8699844242145</t>
  </si>
  <si>
    <t>8699738380908</t>
  </si>
  <si>
    <t>8699516047443</t>
  </si>
  <si>
    <t>8699516047467</t>
  </si>
  <si>
    <t>8699693150103</t>
  </si>
  <si>
    <t>8699693150059</t>
  </si>
  <si>
    <t>8699693150127</t>
  </si>
  <si>
    <t>8699693150042</t>
  </si>
  <si>
    <t>8699516576097</t>
  </si>
  <si>
    <t>8699525520166</t>
  </si>
  <si>
    <t>8681801420109</t>
  </si>
  <si>
    <t>8699540091252</t>
  </si>
  <si>
    <t>8699540091269</t>
  </si>
  <si>
    <t>8699525016775</t>
  </si>
  <si>
    <t>8699525016782</t>
  </si>
  <si>
    <t>8699525016799</t>
  </si>
  <si>
    <t>8699828011057</t>
  </si>
  <si>
    <t>8699828011040</t>
  </si>
  <si>
    <t>8699828750451</t>
  </si>
  <si>
    <t>8699828750468</t>
  </si>
  <si>
    <t>8699828750475</t>
  </si>
  <si>
    <t>8699771001112</t>
  </si>
  <si>
    <t>8699490571040</t>
  </si>
  <si>
    <t>8699702717150</t>
  </si>
  <si>
    <t>8699541350013</t>
  </si>
  <si>
    <t>8699541380010</t>
  </si>
  <si>
    <t>8699541010504</t>
  </si>
  <si>
    <t>8699541010405</t>
  </si>
  <si>
    <t>8699541790901</t>
  </si>
  <si>
    <t>8699541791205</t>
  </si>
  <si>
    <t>8699541791007</t>
  </si>
  <si>
    <t>8699636261392</t>
  </si>
  <si>
    <t>8699745000240</t>
  </si>
  <si>
    <t>8699514090984</t>
  </si>
  <si>
    <t>8680760150058</t>
  </si>
  <si>
    <t>8680760150072</t>
  </si>
  <si>
    <t>8680760150034</t>
  </si>
  <si>
    <t>8680760150263</t>
  </si>
  <si>
    <t>8699559340020</t>
  </si>
  <si>
    <t>8699502751200</t>
  </si>
  <si>
    <t>8697929023375</t>
  </si>
  <si>
    <t>8697929023368</t>
  </si>
  <si>
    <t>8697929023405</t>
  </si>
  <si>
    <t>8681308966308</t>
  </si>
  <si>
    <t>8699525760043</t>
  </si>
  <si>
    <t>8699593095290</t>
  </si>
  <si>
    <t>8699593095306</t>
  </si>
  <si>
    <t>8699606774693</t>
  </si>
  <si>
    <t>8681880030053</t>
  </si>
  <si>
    <t>8699680090788</t>
  </si>
  <si>
    <t>8699832090536</t>
  </si>
  <si>
    <t>8699832090543</t>
  </si>
  <si>
    <t>8699832090567</t>
  </si>
  <si>
    <t>8699832090574</t>
  </si>
  <si>
    <t>8699844770143</t>
  </si>
  <si>
    <t>8699546010066</t>
  </si>
  <si>
    <t>8699546959341</t>
  </si>
  <si>
    <t>8699788751604</t>
  </si>
  <si>
    <t>8699522967469</t>
  </si>
  <si>
    <t>7612377007655</t>
  </si>
  <si>
    <t>7612377007662</t>
  </si>
  <si>
    <t>8699792011480</t>
  </si>
  <si>
    <t>8699792091499</t>
  </si>
  <si>
    <t>8699559890037</t>
  </si>
  <si>
    <t>8699559330014</t>
  </si>
  <si>
    <t>8699532335470</t>
  </si>
  <si>
    <t>8699532895103</t>
  </si>
  <si>
    <t>8699599010136</t>
  </si>
  <si>
    <t>8699599010143</t>
  </si>
  <si>
    <t>8699809340015</t>
  </si>
  <si>
    <t>8699809575097</t>
  </si>
  <si>
    <t>8699809759152</t>
  </si>
  <si>
    <t>8699828190189</t>
  </si>
  <si>
    <t>8699828190394</t>
  </si>
  <si>
    <t>8699828750338</t>
  </si>
  <si>
    <t>8699828750758</t>
  </si>
  <si>
    <t>8699043890321</t>
  </si>
  <si>
    <t>8699043890338</t>
  </si>
  <si>
    <t>8699043890352</t>
  </si>
  <si>
    <t>8699043890345</t>
  </si>
  <si>
    <t>8697943190015</t>
  </si>
  <si>
    <t>8697943750059</t>
  </si>
  <si>
    <t>8699844090319</t>
  </si>
  <si>
    <t>8699814270031</t>
  </si>
  <si>
    <t>8699769980351</t>
  </si>
  <si>
    <t>8699504790757</t>
  </si>
  <si>
    <t>8699862950107</t>
  </si>
  <si>
    <t>8699525786807</t>
  </si>
  <si>
    <t>8680426040136</t>
  </si>
  <si>
    <t>8699546750283</t>
  </si>
  <si>
    <t>8699844700874</t>
  </si>
  <si>
    <t>8699636090909</t>
  </si>
  <si>
    <t>8699630696107</t>
  </si>
  <si>
    <t>8699630696053</t>
  </si>
  <si>
    <t>8699559010039</t>
  </si>
  <si>
    <t>8699559010046</t>
  </si>
  <si>
    <t>8699636960400</t>
  </si>
  <si>
    <t>8699636090602</t>
  </si>
  <si>
    <t>8699502160156</t>
  </si>
  <si>
    <t>8699510611206</t>
  </si>
  <si>
    <t>8698856750280</t>
  </si>
  <si>
    <t>8681639790016</t>
  </si>
  <si>
    <t>8699580040012</t>
  </si>
  <si>
    <t>8699580040029</t>
  </si>
  <si>
    <t>8699745001438</t>
  </si>
  <si>
    <t>8699543040110</t>
  </si>
  <si>
    <t>8699543040042</t>
  </si>
  <si>
    <t>8699543040059</t>
  </si>
  <si>
    <t>8699514136125</t>
  </si>
  <si>
    <t>8699546010042</t>
  </si>
  <si>
    <t>8699543570105</t>
  </si>
  <si>
    <t>8699673150116</t>
  </si>
  <si>
    <t>8699673656021</t>
  </si>
  <si>
    <t>8690632012810</t>
  </si>
  <si>
    <t>8690632012803</t>
  </si>
  <si>
    <t>8699591380053</t>
  </si>
  <si>
    <t>8699525498113</t>
  </si>
  <si>
    <t>8699525359483</t>
  </si>
  <si>
    <t>8699525388469</t>
  </si>
  <si>
    <t>8680643001026</t>
  </si>
  <si>
    <t>8680643001033</t>
  </si>
  <si>
    <t>8699738150013</t>
  </si>
  <si>
    <t>8699738150020</t>
  </si>
  <si>
    <t>8699512490014</t>
  </si>
  <si>
    <t>8699512350059</t>
  </si>
  <si>
    <t>8699512380025</t>
  </si>
  <si>
    <t>8680760092280</t>
  </si>
  <si>
    <t>8699540040151</t>
  </si>
  <si>
    <t>8699540040168</t>
  </si>
  <si>
    <t>8699786520028</t>
  </si>
  <si>
    <t>8699786550025</t>
  </si>
  <si>
    <t>8699786550032</t>
  </si>
  <si>
    <t>8699786550049</t>
  </si>
  <si>
    <t>8699527575287</t>
  </si>
  <si>
    <t>8699527575300</t>
  </si>
  <si>
    <t>8699548990342</t>
  </si>
  <si>
    <t>8699527574389</t>
  </si>
  <si>
    <t>8699527574419</t>
  </si>
  <si>
    <t>8680150570121</t>
  </si>
  <si>
    <t>8699505751313</t>
  </si>
  <si>
    <t>8699708350047</t>
  </si>
  <si>
    <t>8699874080076</t>
  </si>
  <si>
    <t>8699559210040</t>
  </si>
  <si>
    <t>8699559210033</t>
  </si>
  <si>
    <t>8699606690665</t>
  </si>
  <si>
    <t>8699606690702</t>
  </si>
  <si>
    <t>8699606690672</t>
  </si>
  <si>
    <t>8699606690689</t>
  </si>
  <si>
    <t>8699606691235</t>
  </si>
  <si>
    <t>8699606693291</t>
  </si>
  <si>
    <t>8699606690696</t>
  </si>
  <si>
    <t>8699606690870</t>
  </si>
  <si>
    <t>8699606690979</t>
  </si>
  <si>
    <t>8699606691563</t>
  </si>
  <si>
    <t>8699606691587</t>
  </si>
  <si>
    <t>8699606691624</t>
  </si>
  <si>
    <t>8699606691488</t>
  </si>
  <si>
    <t>8699606691075</t>
  </si>
  <si>
    <t>8699606691983</t>
  </si>
  <si>
    <t>8699606691969</t>
  </si>
  <si>
    <t>8699606692089</t>
  </si>
  <si>
    <t>8699606690719</t>
  </si>
  <si>
    <t>8699606690795</t>
  </si>
  <si>
    <t>8699606690733</t>
  </si>
  <si>
    <t>8699606690757</t>
  </si>
  <si>
    <t>8699606690771</t>
  </si>
  <si>
    <t>8699606692041</t>
  </si>
  <si>
    <t>8699606692027</t>
  </si>
  <si>
    <t>8699606691884</t>
  </si>
  <si>
    <t>8699606691907</t>
  </si>
  <si>
    <t>8699606691198</t>
  </si>
  <si>
    <t>8699606691174</t>
  </si>
  <si>
    <t>8699606691846</t>
  </si>
  <si>
    <t>8699606691822</t>
  </si>
  <si>
    <t>8699606693123</t>
  </si>
  <si>
    <t>8699606693147</t>
  </si>
  <si>
    <t>8699606693390</t>
  </si>
  <si>
    <t>8699606693376</t>
  </si>
  <si>
    <t>8699606691341</t>
  </si>
  <si>
    <t>8699606691327</t>
  </si>
  <si>
    <t>8699606693413</t>
  </si>
  <si>
    <t>8699606693499</t>
  </si>
  <si>
    <t>8699606694670</t>
  </si>
  <si>
    <t>8699511190670</t>
  </si>
  <si>
    <t>8699511190663</t>
  </si>
  <si>
    <t>8699546090068</t>
  </si>
  <si>
    <t>8699566094022</t>
  </si>
  <si>
    <t>8699514092803</t>
  </si>
  <si>
    <t>8699514092834</t>
  </si>
  <si>
    <t>8699680090115</t>
  </si>
  <si>
    <t>8699680090122</t>
  </si>
  <si>
    <t>8699680090108</t>
  </si>
  <si>
    <t>8699680090139</t>
  </si>
  <si>
    <t>8699525095657</t>
  </si>
  <si>
    <t>8699525095664</t>
  </si>
  <si>
    <t>8699525095688</t>
  </si>
  <si>
    <t>8699525095640</t>
  </si>
  <si>
    <t>8699525095701</t>
  </si>
  <si>
    <t>8699525099211</t>
  </si>
  <si>
    <t>8699525030085</t>
  </si>
  <si>
    <t>8699525030061</t>
  </si>
  <si>
    <t>8699525030108</t>
  </si>
  <si>
    <t>8699525030122</t>
  </si>
  <si>
    <t>8699525030146</t>
  </si>
  <si>
    <t>8699580510072</t>
  </si>
  <si>
    <t>8680881043505</t>
  </si>
  <si>
    <t>8697929040150</t>
  </si>
  <si>
    <t>8699680040042</t>
  </si>
  <si>
    <t>8699680040011</t>
  </si>
  <si>
    <t>8699543010847</t>
  </si>
  <si>
    <t>8699543010823</t>
  </si>
  <si>
    <t>8699543010830</t>
  </si>
  <si>
    <t>8699543010854</t>
  </si>
  <si>
    <t>8699543010861</t>
  </si>
  <si>
    <t>8699293013815</t>
  </si>
  <si>
    <t>8699293093633</t>
  </si>
  <si>
    <t>8699514094050</t>
  </si>
  <si>
    <t>8699525015556</t>
  </si>
  <si>
    <t>8699525015532</t>
  </si>
  <si>
    <t>8699569040071</t>
  </si>
  <si>
    <t>8699814750243</t>
  </si>
  <si>
    <t>8699525091147</t>
  </si>
  <si>
    <t>8699525091154</t>
  </si>
  <si>
    <t>8699788751406</t>
  </si>
  <si>
    <t>8698856150103</t>
  </si>
  <si>
    <t>8698856150127</t>
  </si>
  <si>
    <t>8681308127464</t>
  </si>
  <si>
    <t>8681308597472</t>
  </si>
  <si>
    <t>8699514010760</t>
  </si>
  <si>
    <t>8699514091332</t>
  </si>
  <si>
    <t>8699680070018</t>
  </si>
  <si>
    <t>8699680150116</t>
  </si>
  <si>
    <t>8699680070025</t>
  </si>
  <si>
    <t>8699543030388</t>
  </si>
  <si>
    <t>8699543030395</t>
  </si>
  <si>
    <t>8699543030401</t>
  </si>
  <si>
    <t>8699293043799</t>
  </si>
  <si>
    <t>8681308150028</t>
  </si>
  <si>
    <t>8681308150035</t>
  </si>
  <si>
    <t>8681308150011</t>
  </si>
  <si>
    <t>8680760090101</t>
  </si>
  <si>
    <t>8699777950360</t>
  </si>
  <si>
    <t>8699777950186</t>
  </si>
  <si>
    <t>8699777950209</t>
  </si>
  <si>
    <t>8699514420019</t>
  </si>
  <si>
    <t>8699514890010</t>
  </si>
  <si>
    <t>8699630997815</t>
  </si>
  <si>
    <t>8699543380018</t>
  </si>
  <si>
    <t>8699543090320</t>
  </si>
  <si>
    <t>8699293422846</t>
  </si>
  <si>
    <t>8698747380015</t>
  </si>
  <si>
    <t>8698747750078</t>
  </si>
  <si>
    <t>8699541095013</t>
  </si>
  <si>
    <t>8699541093811</t>
  </si>
  <si>
    <t>8699541095112</t>
  </si>
  <si>
    <t>8699546755714</t>
  </si>
  <si>
    <t>8699514200178</t>
  </si>
  <si>
    <t>8681308274427</t>
  </si>
  <si>
    <t>8681308274434</t>
  </si>
  <si>
    <t>8681308274403</t>
  </si>
  <si>
    <t>8681308274410</t>
  </si>
  <si>
    <t>8680131751662</t>
  </si>
  <si>
    <t>8680131751655</t>
  </si>
  <si>
    <t>8699265150012</t>
  </si>
  <si>
    <t>8699265250026</t>
  </si>
  <si>
    <t>8699265150029</t>
  </si>
  <si>
    <t>8699265250033</t>
  </si>
  <si>
    <t>8699490561201</t>
  </si>
  <si>
    <t>8699490561218</t>
  </si>
  <si>
    <t>8699490561225</t>
  </si>
  <si>
    <t>8699680150123</t>
  </si>
  <si>
    <t>8699680150017</t>
  </si>
  <si>
    <t>8699680150024</t>
  </si>
  <si>
    <t>8699680150086</t>
  </si>
  <si>
    <t>8699680150031</t>
  </si>
  <si>
    <t>8699680150048</t>
  </si>
  <si>
    <t>8699490561232</t>
  </si>
  <si>
    <t>8699532090881</t>
  </si>
  <si>
    <t>8699522559930</t>
  </si>
  <si>
    <t>8699522559954</t>
  </si>
  <si>
    <t>8699636091166</t>
  </si>
  <si>
    <t>8699636091173</t>
  </si>
  <si>
    <t>8699636790380</t>
  </si>
  <si>
    <t>8699525011169</t>
  </si>
  <si>
    <t>8699593595233</t>
  </si>
  <si>
    <t>8699593151163</t>
  </si>
  <si>
    <t>8699508010363</t>
  </si>
  <si>
    <t>8680614140112</t>
  </si>
  <si>
    <t>8699819091426</t>
  </si>
  <si>
    <t>8699546705757</t>
  </si>
  <si>
    <t>8699546085767</t>
  </si>
  <si>
    <t>8699546705795</t>
  </si>
  <si>
    <t>8698856340528</t>
  </si>
  <si>
    <t>8699862950176</t>
  </si>
  <si>
    <t>8699943790011</t>
  </si>
  <si>
    <t>8699522030231</t>
  </si>
  <si>
    <t>8699522030255</t>
  </si>
  <si>
    <t>8699522030262</t>
  </si>
  <si>
    <t>8690632991078</t>
  </si>
  <si>
    <t>8690632991108</t>
  </si>
  <si>
    <t>8690632991115</t>
  </si>
  <si>
    <t>8690632991870</t>
  </si>
  <si>
    <t>8690632991092</t>
  </si>
  <si>
    <t>8690632991085</t>
  </si>
  <si>
    <t>8690632991214</t>
  </si>
  <si>
    <t>8690632991207</t>
  </si>
  <si>
    <t>8690632991191</t>
  </si>
  <si>
    <t>8690632990767</t>
  </si>
  <si>
    <t>8690632990811</t>
  </si>
  <si>
    <t>8690632990774</t>
  </si>
  <si>
    <t>8690632990835</t>
  </si>
  <si>
    <t>8690632990750</t>
  </si>
  <si>
    <t>8690632990194</t>
  </si>
  <si>
    <t>8690632990705</t>
  </si>
  <si>
    <t>8690632990699</t>
  </si>
  <si>
    <t>8690632991573</t>
  </si>
  <si>
    <t>8690632991566</t>
  </si>
  <si>
    <t>8690632991627</t>
  </si>
  <si>
    <t>8690632991559</t>
  </si>
  <si>
    <t>8690632990682</t>
  </si>
  <si>
    <t>8690632991177</t>
  </si>
  <si>
    <t>8690632991139</t>
  </si>
  <si>
    <t>8690632991160</t>
  </si>
  <si>
    <t>8690632991153</t>
  </si>
  <si>
    <t>8690632991146</t>
  </si>
  <si>
    <t>8690632990996</t>
  </si>
  <si>
    <t>8699525527202</t>
  </si>
  <si>
    <t>8699525526410</t>
  </si>
  <si>
    <t>8699525527196</t>
  </si>
  <si>
    <t>8699525550088</t>
  </si>
  <si>
    <t>8699525550064</t>
  </si>
  <si>
    <t>8699525550071</t>
  </si>
  <si>
    <t>8699844750480</t>
  </si>
  <si>
    <t>8699490546017</t>
  </si>
  <si>
    <t>8699540091283</t>
  </si>
  <si>
    <t>8699522772605</t>
  </si>
  <si>
    <t>8699522152285</t>
  </si>
  <si>
    <t>8699522572687</t>
  </si>
  <si>
    <t>8699514093503</t>
  </si>
  <si>
    <t>8699514093527</t>
  </si>
  <si>
    <t>8680400770479</t>
  </si>
  <si>
    <t>8699532097095</t>
  </si>
  <si>
    <t>8699538154839</t>
  </si>
  <si>
    <t>8699538154846</t>
  </si>
  <si>
    <t>8699538154853</t>
  </si>
  <si>
    <t>8699381150019</t>
  </si>
  <si>
    <t>8699504092103</t>
  </si>
  <si>
    <t>8699504092110</t>
  </si>
  <si>
    <t>8699514093572</t>
  </si>
  <si>
    <t>8699514090366</t>
  </si>
  <si>
    <t>8699514096498</t>
  </si>
  <si>
    <t>8699514090380</t>
  </si>
  <si>
    <t>8699514092988</t>
  </si>
  <si>
    <t>8699514080398</t>
  </si>
  <si>
    <t>8699514080404</t>
  </si>
  <si>
    <t>8699514080411</t>
  </si>
  <si>
    <t>8699514080381</t>
  </si>
  <si>
    <t>8698856510150</t>
  </si>
  <si>
    <t>8698856340146</t>
  </si>
  <si>
    <t>8698856750167</t>
  </si>
  <si>
    <t>8680760540040</t>
  </si>
  <si>
    <t>8699578593612</t>
  </si>
  <si>
    <t>8699578095413</t>
  </si>
  <si>
    <t>8699578095420</t>
  </si>
  <si>
    <t>8699578095437</t>
  </si>
  <si>
    <t>8699578095444</t>
  </si>
  <si>
    <t>8699828750123</t>
  </si>
  <si>
    <t>8699828750154</t>
  </si>
  <si>
    <t>8699828150176</t>
  </si>
  <si>
    <t>8699828150152</t>
  </si>
  <si>
    <t>8699809756656</t>
  </si>
  <si>
    <t>8699809756663</t>
  </si>
  <si>
    <t>8699536010168</t>
  </si>
  <si>
    <t>8699536010120</t>
  </si>
  <si>
    <t>8699536010113</t>
  </si>
  <si>
    <t>8699738090111</t>
  </si>
  <si>
    <t>8699738090128</t>
  </si>
  <si>
    <t>8697786090138</t>
  </si>
  <si>
    <t>8699738090142</t>
  </si>
  <si>
    <t>8697786090152</t>
  </si>
  <si>
    <t>8699738090166</t>
  </si>
  <si>
    <t>8697786090176</t>
  </si>
  <si>
    <t>8699738090180</t>
  </si>
  <si>
    <t>8699809090361</t>
  </si>
  <si>
    <t>8699546750016</t>
  </si>
  <si>
    <t>8680199619546</t>
  </si>
  <si>
    <t>8680760540033</t>
  </si>
  <si>
    <t>8699822540096</t>
  </si>
  <si>
    <t>8699536570037</t>
  </si>
  <si>
    <t>8680352541288</t>
  </si>
  <si>
    <t>8699525010094</t>
  </si>
  <si>
    <t>8699293075882</t>
  </si>
  <si>
    <t>8699293075813</t>
  </si>
  <si>
    <t>8699293075844</t>
  </si>
  <si>
    <t>8699293075868</t>
  </si>
  <si>
    <t>8699514540014</t>
  </si>
  <si>
    <t>8699593595059</t>
  </si>
  <si>
    <t>8699593091148</t>
  </si>
  <si>
    <t>8699593091155</t>
  </si>
  <si>
    <t>8699593091162</t>
  </si>
  <si>
    <t>8699593091179</t>
  </si>
  <si>
    <t>8699593781018</t>
  </si>
  <si>
    <t>8699593781025</t>
  </si>
  <si>
    <t>8699593781032</t>
  </si>
  <si>
    <t>8699504011104</t>
  </si>
  <si>
    <t>8699525150257</t>
  </si>
  <si>
    <t>8699525150264</t>
  </si>
  <si>
    <t>8699525159700</t>
  </si>
  <si>
    <t>8699525159724</t>
  </si>
  <si>
    <t>8699525159694</t>
  </si>
  <si>
    <t>8699525150240</t>
  </si>
  <si>
    <t>8699525159717</t>
  </si>
  <si>
    <t>8699511017151</t>
  </si>
  <si>
    <t>8699514094326</t>
  </si>
  <si>
    <t>8699514094333</t>
  </si>
  <si>
    <t>8699514094340</t>
  </si>
  <si>
    <t>8699525094889</t>
  </si>
  <si>
    <t>8699525594877</t>
  </si>
  <si>
    <t>8699638094554</t>
  </si>
  <si>
    <t>8699638094561</t>
  </si>
  <si>
    <t>8699638094578</t>
  </si>
  <si>
    <t>8699638094585</t>
  </si>
  <si>
    <t>8680199094657</t>
  </si>
  <si>
    <t>8680199094640</t>
  </si>
  <si>
    <t>8699505191270</t>
  </si>
  <si>
    <t>8699505191287</t>
  </si>
  <si>
    <t>8699525195838</t>
  </si>
  <si>
    <t>8699844750473</t>
  </si>
  <si>
    <t>8680199281705</t>
  </si>
  <si>
    <t>8699525520074</t>
  </si>
  <si>
    <t>8699525520135</t>
  </si>
  <si>
    <t>8699525520128</t>
  </si>
  <si>
    <t>8699525520081</t>
  </si>
  <si>
    <t>8699525558909</t>
  </si>
  <si>
    <t>8699525556523</t>
  </si>
  <si>
    <t>8699525150394</t>
  </si>
  <si>
    <t>8699828340065</t>
  </si>
  <si>
    <t>8699512340012</t>
  </si>
  <si>
    <t>8699680030265</t>
  </si>
  <si>
    <t>8699680030272</t>
  </si>
  <si>
    <t>8699680030289</t>
  </si>
  <si>
    <t>8699844690885</t>
  </si>
  <si>
    <t>8699844521042</t>
  </si>
  <si>
    <t>8699980980017</t>
  </si>
  <si>
    <t>8697927091321</t>
  </si>
  <si>
    <t>8680881090318</t>
  </si>
  <si>
    <t>8680881090332</t>
  </si>
  <si>
    <t>8699569091417</t>
  </si>
  <si>
    <t>8699569091448</t>
  </si>
  <si>
    <t>8680199270778</t>
  </si>
  <si>
    <t>8680199275582</t>
  </si>
  <si>
    <t>8680199270747</t>
  </si>
  <si>
    <t>8680199275742</t>
  </si>
  <si>
    <t>8699636650103</t>
  </si>
  <si>
    <t>8681144039129</t>
  </si>
  <si>
    <t>8681428151332</t>
  </si>
  <si>
    <t>8681428151349</t>
  </si>
  <si>
    <t>8699508090167</t>
  </si>
  <si>
    <t>8699508090501</t>
  </si>
  <si>
    <t>8699561340223</t>
  </si>
  <si>
    <t>8699561350147</t>
  </si>
  <si>
    <t>8699809096608</t>
  </si>
  <si>
    <t>8699809096615</t>
  </si>
  <si>
    <t>8699559010268</t>
  </si>
  <si>
    <t>8699514017523</t>
  </si>
  <si>
    <t>8699569011026</t>
  </si>
  <si>
    <t>8699504190151</t>
  </si>
  <si>
    <t>8699548091698</t>
  </si>
  <si>
    <t>8699548091704</t>
  </si>
  <si>
    <t>8699676951024</t>
  </si>
  <si>
    <t>8699532709592</t>
  </si>
  <si>
    <t>8699809090187</t>
  </si>
  <si>
    <t>8699844750091</t>
  </si>
  <si>
    <t>8699680150055</t>
  </si>
  <si>
    <t>8699540010147</t>
  </si>
  <si>
    <t>8699808794062</t>
  </si>
  <si>
    <t>8699808794086</t>
  </si>
  <si>
    <t>8699777794025</t>
  </si>
  <si>
    <t>8699587094186</t>
  </si>
  <si>
    <t>8699532044839</t>
  </si>
  <si>
    <t>8699569040118</t>
  </si>
  <si>
    <t>8699543330013</t>
  </si>
  <si>
    <t>8699543240039</t>
  </si>
  <si>
    <t>8699543130019</t>
  </si>
  <si>
    <t>8699543920016</t>
  </si>
  <si>
    <t>8699543040073</t>
  </si>
  <si>
    <t>8699543890036</t>
  </si>
  <si>
    <t>8699525528148</t>
  </si>
  <si>
    <t>8680683010019</t>
  </si>
  <si>
    <t>8699504190052</t>
  </si>
  <si>
    <t>8699504590005</t>
  </si>
  <si>
    <t>8699504190007</t>
  </si>
  <si>
    <t>8699504760057</t>
  </si>
  <si>
    <t>8699504120608</t>
  </si>
  <si>
    <t>8699504750508</t>
  </si>
  <si>
    <t>8699504770018</t>
  </si>
  <si>
    <t>8699504770056</t>
  </si>
  <si>
    <t>8699504770100</t>
  </si>
  <si>
    <t>8699516031930</t>
  </si>
  <si>
    <t>8699516031947</t>
  </si>
  <si>
    <t>8699516038915</t>
  </si>
  <si>
    <t>8699516031923</t>
  </si>
  <si>
    <t>8699516038823</t>
  </si>
  <si>
    <t>8699566576276</t>
  </si>
  <si>
    <t>8699566096286</t>
  </si>
  <si>
    <t>8680941002015</t>
  </si>
  <si>
    <t>8680941002022</t>
  </si>
  <si>
    <t>8699516091705</t>
  </si>
  <si>
    <t>8681657005420</t>
  </si>
  <si>
    <t>8699543090276</t>
  </si>
  <si>
    <t>8699543090252</t>
  </si>
  <si>
    <t>8699543091167</t>
  </si>
  <si>
    <t>8699543090115</t>
  </si>
  <si>
    <t>8699543090214</t>
  </si>
  <si>
    <t>8699502091702</t>
  </si>
  <si>
    <t>8699502091719</t>
  </si>
  <si>
    <t>8699502092228</t>
  </si>
  <si>
    <t>8699676950164</t>
  </si>
  <si>
    <t>8699527010221</t>
  </si>
  <si>
    <t>8699527650045</t>
  </si>
  <si>
    <t>8699527010245</t>
  </si>
  <si>
    <t>8699527010269</t>
  </si>
  <si>
    <t>8699527010283</t>
  </si>
  <si>
    <t>8681801560041</t>
  </si>
  <si>
    <t>8699504091229</t>
  </si>
  <si>
    <t>8699525558916</t>
  </si>
  <si>
    <t>8699525558923</t>
  </si>
  <si>
    <t>8699566096347</t>
  </si>
  <si>
    <t>8699566096255</t>
  </si>
  <si>
    <t>8699566096323</t>
  </si>
  <si>
    <t>8699566096354</t>
  </si>
  <si>
    <t>8699566096309</t>
  </si>
  <si>
    <t>8699566096330</t>
  </si>
  <si>
    <t>8699514020103</t>
  </si>
  <si>
    <t>8680400770417</t>
  </si>
  <si>
    <t>8699541090209</t>
  </si>
  <si>
    <t>8699541090223</t>
  </si>
  <si>
    <t>8699541280716</t>
  </si>
  <si>
    <t>8699541280709</t>
  </si>
  <si>
    <t>8699541281850</t>
  </si>
  <si>
    <t>8699541090100</t>
  </si>
  <si>
    <t>8699540011205</t>
  </si>
  <si>
    <t>8699540011304</t>
  </si>
  <si>
    <t>8699541271134</t>
  </si>
  <si>
    <t>8699541270922</t>
  </si>
  <si>
    <t>8699541271035</t>
  </si>
  <si>
    <t>8699814270512</t>
  </si>
  <si>
    <t>8680881024795</t>
  </si>
  <si>
    <t>8699502270565</t>
  </si>
  <si>
    <t>8699502270541</t>
  </si>
  <si>
    <t>8680199094091</t>
  </si>
  <si>
    <t>8680199093018</t>
  </si>
  <si>
    <t>8699536092058</t>
  </si>
  <si>
    <t>8699525097002</t>
  </si>
  <si>
    <t>8699525097019</t>
  </si>
  <si>
    <t>8699569570141</t>
  </si>
  <si>
    <t>8699569570066</t>
  </si>
  <si>
    <t>8680833090625</t>
  </si>
  <si>
    <t>8680833090632</t>
  </si>
  <si>
    <t>8680833090649</t>
  </si>
  <si>
    <t>8699795091038</t>
  </si>
  <si>
    <t>8699795091021</t>
  </si>
  <si>
    <t>8680400770561</t>
  </si>
  <si>
    <t>8680400770622</t>
  </si>
  <si>
    <t>8680400770721</t>
  </si>
  <si>
    <t>8699502093584</t>
  </si>
  <si>
    <t>8699502752337</t>
  </si>
  <si>
    <t>8699772040080</t>
  </si>
  <si>
    <t>8699772040073</t>
  </si>
  <si>
    <t>8680881090097</t>
  </si>
  <si>
    <t>8680881090189</t>
  </si>
  <si>
    <t>8680741550150</t>
  </si>
  <si>
    <t>8680741550167</t>
  </si>
  <si>
    <t>8699502092105</t>
  </si>
  <si>
    <t>8699502092129</t>
  </si>
  <si>
    <t>8699795090574</t>
  </si>
  <si>
    <t>8699795090581</t>
  </si>
  <si>
    <t>8699795090598</t>
  </si>
  <si>
    <t>8699795090604</t>
  </si>
  <si>
    <t>8699828091325</t>
  </si>
  <si>
    <t>8699522553242</t>
  </si>
  <si>
    <t>8699522523078</t>
  </si>
  <si>
    <t>8699522523085</t>
  </si>
  <si>
    <t>8699522553259</t>
  </si>
  <si>
    <t>8699522553266</t>
  </si>
  <si>
    <t>8699541094108</t>
  </si>
  <si>
    <t>8699541094207</t>
  </si>
  <si>
    <t>8699541094009</t>
  </si>
  <si>
    <t>8699541094306</t>
  </si>
  <si>
    <t>8699786092655</t>
  </si>
  <si>
    <t>8699786092662</t>
  </si>
  <si>
    <t>8699786092679</t>
  </si>
  <si>
    <t>8699786092648</t>
  </si>
  <si>
    <t>8699786090118</t>
  </si>
  <si>
    <t>8699786090125</t>
  </si>
  <si>
    <t>8699786030497</t>
  </si>
  <si>
    <t>8699786030442</t>
  </si>
  <si>
    <t>8699786030473</t>
  </si>
  <si>
    <t>8699511286830</t>
  </si>
  <si>
    <t>8699536010731</t>
  </si>
  <si>
    <t>8699536010755</t>
  </si>
  <si>
    <t>8699587751799</t>
  </si>
  <si>
    <t>8699587751744</t>
  </si>
  <si>
    <t>8699587751676</t>
  </si>
  <si>
    <t>8699607751624</t>
  </si>
  <si>
    <t>8699543150130</t>
  </si>
  <si>
    <t>8699543150147</t>
  </si>
  <si>
    <t>8699543150154</t>
  </si>
  <si>
    <t>8699543150161</t>
  </si>
  <si>
    <t>8699543150178</t>
  </si>
  <si>
    <t>8699844751661</t>
  </si>
  <si>
    <t>8699738090050</t>
  </si>
  <si>
    <t>8699228090096</t>
  </si>
  <si>
    <t>8699228090119</t>
  </si>
  <si>
    <t>8699228090102</t>
  </si>
  <si>
    <t>8680008090245</t>
  </si>
  <si>
    <t>8699593015274</t>
  </si>
  <si>
    <t>8699702441109</t>
  </si>
  <si>
    <t>8699702611090</t>
  </si>
  <si>
    <t>8699502094567</t>
  </si>
  <si>
    <t>8680952000772</t>
  </si>
  <si>
    <t>8699828190363</t>
  </si>
  <si>
    <t>8699828590040</t>
  </si>
  <si>
    <t>8699828190370</t>
  </si>
  <si>
    <t>8699504750836</t>
  </si>
  <si>
    <t>8699504750874</t>
  </si>
  <si>
    <t>8699504750911</t>
  </si>
  <si>
    <t>8699514610748</t>
  </si>
  <si>
    <t>8699828260011</t>
  </si>
  <si>
    <t>8699638094240</t>
  </si>
  <si>
    <t>8699638094233</t>
  </si>
  <si>
    <t>8680199090659</t>
  </si>
  <si>
    <t>8680199090628</t>
  </si>
  <si>
    <t>8680352090960</t>
  </si>
  <si>
    <t>8699622350109</t>
  </si>
  <si>
    <t>8699828350026</t>
  </si>
  <si>
    <t>8699525351173</t>
  </si>
  <si>
    <t>8699525351180</t>
  </si>
  <si>
    <t>8699525359636</t>
  </si>
  <si>
    <t>8699504710175</t>
  </si>
  <si>
    <t>8699228760012</t>
  </si>
  <si>
    <t>8699514095422</t>
  </si>
  <si>
    <t>8699548994869</t>
  </si>
  <si>
    <t>8699548994036</t>
  </si>
  <si>
    <t>8699548991028</t>
  </si>
  <si>
    <t>8699636651025</t>
  </si>
  <si>
    <t>8699636651032</t>
  </si>
  <si>
    <t>8699504790405</t>
  </si>
  <si>
    <t>8699508750337</t>
  </si>
  <si>
    <t>8681291570094</t>
  </si>
  <si>
    <t>8681291090127</t>
  </si>
  <si>
    <t>8699540093157</t>
  </si>
  <si>
    <t>8699540093126</t>
  </si>
  <si>
    <t>8680008010595</t>
  </si>
  <si>
    <t>8699636090800</t>
  </si>
  <si>
    <t>8699636080122</t>
  </si>
  <si>
    <t>8699636080108</t>
  </si>
  <si>
    <t>8680760090194</t>
  </si>
  <si>
    <t>8680760080010</t>
  </si>
  <si>
    <t>8680760080034</t>
  </si>
  <si>
    <t>8699502012530</t>
  </si>
  <si>
    <t>8699502012547</t>
  </si>
  <si>
    <t>8699502013124</t>
  </si>
  <si>
    <t>8699502012851</t>
  </si>
  <si>
    <t>8699502012868</t>
  </si>
  <si>
    <t>8680952380973</t>
  </si>
  <si>
    <t>8699508570027</t>
  </si>
  <si>
    <t>8699569610151</t>
  </si>
  <si>
    <t>8699569620013</t>
  </si>
  <si>
    <t>8699569620020</t>
  </si>
  <si>
    <t>8699504170153</t>
  </si>
  <si>
    <t>8699514650126</t>
  </si>
  <si>
    <t>8699814750342</t>
  </si>
  <si>
    <t>8699508350018</t>
  </si>
  <si>
    <t>8699508350056</t>
  </si>
  <si>
    <t>8699508750252</t>
  </si>
  <si>
    <t>8699809575073</t>
  </si>
  <si>
    <t>8699561480042</t>
  </si>
  <si>
    <t>8699514350286</t>
  </si>
  <si>
    <t>8680199612639</t>
  </si>
  <si>
    <t>8699630697357</t>
  </si>
  <si>
    <t>8699607750528</t>
  </si>
  <si>
    <t>8699788750973</t>
  </si>
  <si>
    <t>8699587523112</t>
  </si>
  <si>
    <t>8699578653873</t>
  </si>
  <si>
    <t>8699844340728</t>
  </si>
  <si>
    <t>8680760090545</t>
  </si>
  <si>
    <t>8680760090521</t>
  </si>
  <si>
    <t>8699809655065</t>
  </si>
  <si>
    <t>8699809018563</t>
  </si>
  <si>
    <t>8699809097759</t>
  </si>
  <si>
    <t>8699578093877</t>
  </si>
  <si>
    <t>8699578093907</t>
  </si>
  <si>
    <t>8699809951105</t>
  </si>
  <si>
    <t>8699809951082</t>
  </si>
  <si>
    <t>8699738090074</t>
  </si>
  <si>
    <t>8699738090067</t>
  </si>
  <si>
    <t>8699630797002</t>
  </si>
  <si>
    <t>8699638754946</t>
  </si>
  <si>
    <t>8699783950125</t>
  </si>
  <si>
    <t>8699783950101</t>
  </si>
  <si>
    <t>8699783950118</t>
  </si>
  <si>
    <t>8681308278746</t>
  </si>
  <si>
    <t>8681308278753</t>
  </si>
  <si>
    <t>8681308278760</t>
  </si>
  <si>
    <t>8699548010446</t>
  </si>
  <si>
    <t>8699772091075</t>
  </si>
  <si>
    <t>8699527093521</t>
  </si>
  <si>
    <t>8699538094548</t>
  </si>
  <si>
    <t>8699832090062</t>
  </si>
  <si>
    <t>8699560890101</t>
  </si>
  <si>
    <t>8699525759726</t>
  </si>
  <si>
    <t>8699525091918</t>
  </si>
  <si>
    <t>8699693520142</t>
  </si>
  <si>
    <t>8680760150317</t>
  </si>
  <si>
    <t>8699693550019</t>
  </si>
  <si>
    <t>8699693520098</t>
  </si>
  <si>
    <t>8699593595165</t>
  </si>
  <si>
    <t>8699726094206</t>
  </si>
  <si>
    <t>8699726094404</t>
  </si>
  <si>
    <t>8699726094602</t>
  </si>
  <si>
    <t>8680199099515</t>
  </si>
  <si>
    <t>8680199093902</t>
  </si>
  <si>
    <t>8699552090236</t>
  </si>
  <si>
    <t>8699828610045</t>
  </si>
  <si>
    <t>8699828350057</t>
  </si>
  <si>
    <t>8699828380030</t>
  </si>
  <si>
    <t>8699828090083</t>
  </si>
  <si>
    <t>8699828350088</t>
  </si>
  <si>
    <t>8699828350149</t>
  </si>
  <si>
    <t>8699514090472</t>
  </si>
  <si>
    <t>8699514090502</t>
  </si>
  <si>
    <t>8699504091007</t>
  </si>
  <si>
    <t>8699504091403</t>
  </si>
  <si>
    <t>8699504090987</t>
  </si>
  <si>
    <t>8699504090857</t>
  </si>
  <si>
    <t>8680638090134</t>
  </si>
  <si>
    <t>8680638090165</t>
  </si>
  <si>
    <t>8699593760044</t>
  </si>
  <si>
    <t>8699593950018</t>
  </si>
  <si>
    <t>8699593950025</t>
  </si>
  <si>
    <t>8699569340096</t>
  </si>
  <si>
    <t>8699514345855</t>
  </si>
  <si>
    <t>8699559120097</t>
  </si>
  <si>
    <t>8699559120103</t>
  </si>
  <si>
    <t>8699559120110</t>
  </si>
  <si>
    <t>8699546090303</t>
  </si>
  <si>
    <t>8699636010273</t>
  </si>
  <si>
    <t>8699673150192</t>
  </si>
  <si>
    <t>8699673150215</t>
  </si>
  <si>
    <t>8699673150239</t>
  </si>
  <si>
    <t>8699673156019</t>
  </si>
  <si>
    <t>8699673150253</t>
  </si>
  <si>
    <t>8699673150277</t>
  </si>
  <si>
    <t>8699673150284</t>
  </si>
  <si>
    <t>8699508270125</t>
  </si>
  <si>
    <t>8698760090083</t>
  </si>
  <si>
    <t>8699510050012</t>
  </si>
  <si>
    <t>8699510050029</t>
  </si>
  <si>
    <t>8699522571253</t>
  </si>
  <si>
    <t>8699522015269</t>
  </si>
  <si>
    <t>8699522571055</t>
  </si>
  <si>
    <t>8699828750482</t>
  </si>
  <si>
    <t>8699814270123</t>
  </si>
  <si>
    <t>8699814270109</t>
  </si>
  <si>
    <t>8699814270130</t>
  </si>
  <si>
    <t>8699814270116</t>
  </si>
  <si>
    <t>8699814270147</t>
  </si>
  <si>
    <t>8699508270507</t>
  </si>
  <si>
    <t>8699508270514</t>
  </si>
  <si>
    <t>8699508270248</t>
  </si>
  <si>
    <t>8699508270521</t>
  </si>
  <si>
    <t>8699508270255</t>
  </si>
  <si>
    <t>8699508280179</t>
  </si>
  <si>
    <t>8699508280056</t>
  </si>
  <si>
    <t>8699508280063</t>
  </si>
  <si>
    <t>8699508090457</t>
  </si>
  <si>
    <t>8699508090570</t>
  </si>
  <si>
    <t>8699508090587</t>
  </si>
  <si>
    <t>8699508090525</t>
  </si>
  <si>
    <t>8699508090594</t>
  </si>
  <si>
    <t>8699708350061</t>
  </si>
  <si>
    <t>8699527400251</t>
  </si>
  <si>
    <t>8699705570059</t>
  </si>
  <si>
    <t>8699584340835</t>
  </si>
  <si>
    <t>8699584340842</t>
  </si>
  <si>
    <t>8699514030249</t>
  </si>
  <si>
    <t>8699514030263</t>
  </si>
  <si>
    <t>8699514030201</t>
  </si>
  <si>
    <t>8699514030225</t>
  </si>
  <si>
    <t>8699591340026</t>
  </si>
  <si>
    <t>8699809156678</t>
  </si>
  <si>
    <t>8699814270550</t>
  </si>
  <si>
    <t>8699814270574</t>
  </si>
  <si>
    <t>8680352591139</t>
  </si>
  <si>
    <t>8699630997785</t>
  </si>
  <si>
    <t>8699630998812</t>
  </si>
  <si>
    <t>8699630998829</t>
  </si>
  <si>
    <t>8699717090262</t>
  </si>
  <si>
    <t>8699717090279</t>
  </si>
  <si>
    <t>8699546575893</t>
  </si>
  <si>
    <t>8699586280115</t>
  </si>
  <si>
    <t>8699586280108</t>
  </si>
  <si>
    <t>8699586090110</t>
  </si>
  <si>
    <t>8699586092107</t>
  </si>
  <si>
    <t>8699586070044</t>
  </si>
  <si>
    <t>8699586070037</t>
  </si>
  <si>
    <t>8699809017009</t>
  </si>
  <si>
    <t>8699809037014</t>
  </si>
  <si>
    <t>8699630998096</t>
  </si>
  <si>
    <t>8699874080359</t>
  </si>
  <si>
    <t>8681308159427</t>
  </si>
  <si>
    <t>8681308159434</t>
  </si>
  <si>
    <t>8681308157553</t>
  </si>
  <si>
    <t>8699587013828</t>
  </si>
  <si>
    <t>8699587013811</t>
  </si>
  <si>
    <t>8699786550124</t>
  </si>
  <si>
    <t>8699786550094</t>
  </si>
  <si>
    <t>8699786550087</t>
  </si>
  <si>
    <t>8699786550117</t>
  </si>
  <si>
    <t>8680833150091</t>
  </si>
  <si>
    <t>8680833150152</t>
  </si>
  <si>
    <t>8680833150114</t>
  </si>
  <si>
    <t>8680833150121</t>
  </si>
  <si>
    <t>8680833150145</t>
  </si>
  <si>
    <t>8680833150275</t>
  </si>
  <si>
    <t>8680656080377</t>
  </si>
  <si>
    <t>8699693090188</t>
  </si>
  <si>
    <t>8699693090164</t>
  </si>
  <si>
    <t>8699809950795</t>
  </si>
  <si>
    <t>8699760611384</t>
  </si>
  <si>
    <t>8699508340019</t>
  </si>
  <si>
    <t>8699738380021</t>
  </si>
  <si>
    <t>8699738380014</t>
  </si>
  <si>
    <t>8699511091786</t>
  </si>
  <si>
    <t>8699511098457</t>
  </si>
  <si>
    <t>8699511030297</t>
  </si>
  <si>
    <t>8699504151015</t>
  </si>
  <si>
    <t>8699504151022</t>
  </si>
  <si>
    <t>8699786092860</t>
  </si>
  <si>
    <t>8699786092877</t>
  </si>
  <si>
    <t>8699828770268</t>
  </si>
  <si>
    <t>8699828770275</t>
  </si>
  <si>
    <t>8699828770282</t>
  </si>
  <si>
    <t>8699546700288</t>
  </si>
  <si>
    <t>8699546080274</t>
  </si>
  <si>
    <t>8697927283740</t>
  </si>
  <si>
    <t>8697927283757</t>
  </si>
  <si>
    <t>8697927023773</t>
  </si>
  <si>
    <t>8699262170020</t>
  </si>
  <si>
    <t>8699516013561</t>
  </si>
  <si>
    <t>8699525019783</t>
  </si>
  <si>
    <t>8699638010059</t>
  </si>
  <si>
    <t>8699525019936</t>
  </si>
  <si>
    <t>8699828091400</t>
  </si>
  <si>
    <t>8699828091417</t>
  </si>
  <si>
    <t>8699828091363</t>
  </si>
  <si>
    <t>8699502151376</t>
  </si>
  <si>
    <t>8699502151505</t>
  </si>
  <si>
    <t>8681880030039</t>
  </si>
  <si>
    <t>8681880030015</t>
  </si>
  <si>
    <t>8681880030022</t>
  </si>
  <si>
    <t>8681880030046</t>
  </si>
  <si>
    <t>8699514640523</t>
  </si>
  <si>
    <t>8699514520498</t>
  </si>
  <si>
    <t>8699514510048</t>
  </si>
  <si>
    <t>8699262010234</t>
  </si>
  <si>
    <t>8699262010227</t>
  </si>
  <si>
    <t>8699565343572</t>
  </si>
  <si>
    <t>8699565123556</t>
  </si>
  <si>
    <t>8699565643597</t>
  </si>
  <si>
    <t>8699565523585</t>
  </si>
  <si>
    <t>8699516152888</t>
  </si>
  <si>
    <t>8699516092863</t>
  </si>
  <si>
    <t>8699505092010</t>
  </si>
  <si>
    <t>8699505092027</t>
  </si>
  <si>
    <t>8699505092003</t>
  </si>
  <si>
    <t>8699514099123</t>
  </si>
  <si>
    <t>8699514099130</t>
  </si>
  <si>
    <t>8699514099147</t>
  </si>
  <si>
    <t>8699749140010</t>
  </si>
  <si>
    <t>8699809790155</t>
  </si>
  <si>
    <t>8699809790209</t>
  </si>
  <si>
    <t>8699809097506</t>
  </si>
  <si>
    <t>8699809097605</t>
  </si>
  <si>
    <t>8699548092732</t>
  </si>
  <si>
    <t>8699548093050</t>
  </si>
  <si>
    <t>8699525017604</t>
  </si>
  <si>
    <t>8699525090720</t>
  </si>
  <si>
    <t>8699525090713</t>
  </si>
  <si>
    <t>8699504150605</t>
  </si>
  <si>
    <t>8699809097667</t>
  </si>
  <si>
    <t>8681291010378</t>
  </si>
  <si>
    <t>8699508790067</t>
  </si>
  <si>
    <t>8699508790074</t>
  </si>
  <si>
    <t>8699814790010</t>
  </si>
  <si>
    <t>8699814790027</t>
  </si>
  <si>
    <t>8681801350154</t>
  </si>
  <si>
    <t>8681801350161</t>
  </si>
  <si>
    <t>8699839960580</t>
  </si>
  <si>
    <t>8699511610017</t>
  </si>
  <si>
    <t>8699760610233</t>
  </si>
  <si>
    <t>8699514097624</t>
  </si>
  <si>
    <t>8699514097990</t>
  </si>
  <si>
    <t>8699814750380</t>
  </si>
  <si>
    <t>8699505763460</t>
  </si>
  <si>
    <t>8699783160012</t>
  </si>
  <si>
    <t>8699783160029</t>
  </si>
  <si>
    <t>8699538983606</t>
  </si>
  <si>
    <t>8699578094263</t>
  </si>
  <si>
    <t>8699504570038</t>
  </si>
  <si>
    <t>8699504010121</t>
  </si>
  <si>
    <t>8699504010114</t>
  </si>
  <si>
    <t>8699504030075</t>
  </si>
  <si>
    <t>8699504030051</t>
  </si>
  <si>
    <t>8699814790119</t>
  </si>
  <si>
    <t>8699814790126</t>
  </si>
  <si>
    <t>8699541794701</t>
  </si>
  <si>
    <t>8699525353757</t>
  </si>
  <si>
    <t>8699525353900</t>
  </si>
  <si>
    <t>8699525513649</t>
  </si>
  <si>
    <t>8699525013422</t>
  </si>
  <si>
    <t>8699525013439</t>
  </si>
  <si>
    <t>8699828790013</t>
  </si>
  <si>
    <t>8699828790051</t>
  </si>
  <si>
    <t>8680881014017</t>
  </si>
  <si>
    <t>8680881014031</t>
  </si>
  <si>
    <t>8699525354914</t>
  </si>
  <si>
    <t>8699525354921</t>
  </si>
  <si>
    <t>8699525354938</t>
  </si>
  <si>
    <t>8699636150504</t>
  </si>
  <si>
    <t>8699636150511</t>
  </si>
  <si>
    <t>8699636150528</t>
  </si>
  <si>
    <t>8699636150535</t>
  </si>
  <si>
    <t>8699828150435</t>
  </si>
  <si>
    <t>8699828150411</t>
  </si>
  <si>
    <t>8699828150459</t>
  </si>
  <si>
    <t>8699828150398</t>
  </si>
  <si>
    <t>8699769150051</t>
  </si>
  <si>
    <t>8699769150044</t>
  </si>
  <si>
    <t>8699769150068</t>
  </si>
  <si>
    <t>8699514160014</t>
  </si>
  <si>
    <t>8699514160021</t>
  </si>
  <si>
    <t>8699786090224</t>
  </si>
  <si>
    <t>8699786090217</t>
  </si>
  <si>
    <t>8699514091943</t>
  </si>
  <si>
    <t>8699540090620</t>
  </si>
  <si>
    <t>8699514011699</t>
  </si>
  <si>
    <t>8699514011330</t>
  </si>
  <si>
    <t>8699514011682</t>
  </si>
  <si>
    <t>8699514015840</t>
  </si>
  <si>
    <t>8699514011347</t>
  </si>
  <si>
    <t>8699786010109</t>
  </si>
  <si>
    <t>8699786010086</t>
  </si>
  <si>
    <t>8699540170308</t>
  </si>
  <si>
    <t>8699540170407</t>
  </si>
  <si>
    <t>8699540170506</t>
  </si>
  <si>
    <t>8699792754011</t>
  </si>
  <si>
    <t>8699792594112</t>
  </si>
  <si>
    <t>8699514340027</t>
  </si>
  <si>
    <t>8699566356007</t>
  </si>
  <si>
    <t>8699566516036</t>
  </si>
  <si>
    <t>8699566015973</t>
  </si>
  <si>
    <t>8699566016017</t>
  </si>
  <si>
    <t>8699561350116</t>
  </si>
  <si>
    <t>8699559350036</t>
  </si>
  <si>
    <t>8699559510010</t>
  </si>
  <si>
    <t>8699559010282</t>
  </si>
  <si>
    <t>8699559010299</t>
  </si>
  <si>
    <t>8699717090330</t>
  </si>
  <si>
    <t>8699792090072</t>
  </si>
  <si>
    <t>8699532440105</t>
  </si>
  <si>
    <t>8699532380111</t>
  </si>
  <si>
    <t>8699510340601</t>
  </si>
  <si>
    <t>8699625960107</t>
  </si>
  <si>
    <t>8699541150804</t>
  </si>
  <si>
    <t>8699541151702</t>
  </si>
  <si>
    <t>8699638154258</t>
  </si>
  <si>
    <t>8699638953738</t>
  </si>
  <si>
    <t>8699820090173</t>
  </si>
  <si>
    <t>8699820090180</t>
  </si>
  <si>
    <t>8680881099342</t>
  </si>
  <si>
    <t>8699538154808</t>
  </si>
  <si>
    <t>8681291090066</t>
  </si>
  <si>
    <t>8698856350183</t>
  </si>
  <si>
    <t>8699584340859</t>
  </si>
  <si>
    <t>8699772352565</t>
  </si>
  <si>
    <t>8699525358073</t>
  </si>
  <si>
    <t>8699566355130</t>
  </si>
  <si>
    <t>8699559350012</t>
  </si>
  <si>
    <t>8699510440202</t>
  </si>
  <si>
    <t>8699510611534</t>
  </si>
  <si>
    <t>8699828150367</t>
  </si>
  <si>
    <t>8699828150350</t>
  </si>
  <si>
    <t>8699514383949</t>
  </si>
  <si>
    <t>8699514440802</t>
  </si>
  <si>
    <t>8698856090270</t>
  </si>
  <si>
    <t>8699769150013</t>
  </si>
  <si>
    <t>8699514016809</t>
  </si>
  <si>
    <t>8699828010241</t>
  </si>
  <si>
    <t>8699814790058</t>
  </si>
  <si>
    <t>8699569091196</t>
  </si>
  <si>
    <t>8699569091769</t>
  </si>
  <si>
    <t>8699525095978</t>
  </si>
  <si>
    <t>8699525274960</t>
  </si>
  <si>
    <t>8699569610120</t>
  </si>
  <si>
    <t>8699559010312</t>
  </si>
  <si>
    <t>8699559010305</t>
  </si>
  <si>
    <t>8699567350028</t>
  </si>
  <si>
    <t>8680881559679</t>
  </si>
  <si>
    <t>8699680091105</t>
  </si>
  <si>
    <t>8699680091112</t>
  </si>
  <si>
    <t>8680881555213</t>
  </si>
  <si>
    <t>8697927553799</t>
  </si>
  <si>
    <t>8699514010913</t>
  </si>
  <si>
    <t>8699514093541</t>
  </si>
  <si>
    <t>8699566016512</t>
  </si>
  <si>
    <t>8697927553805</t>
  </si>
  <si>
    <t>8680865270064</t>
  </si>
  <si>
    <t>8680760350113</t>
  </si>
  <si>
    <t>8680760350106</t>
  </si>
  <si>
    <t>8681697760044</t>
  </si>
  <si>
    <t>8699514017004</t>
  </si>
  <si>
    <t>8699540150126</t>
  </si>
  <si>
    <t>8699540150096</t>
  </si>
  <si>
    <t>8699522097296</t>
  </si>
  <si>
    <t>8699522097302</t>
  </si>
  <si>
    <t>8699522097708</t>
  </si>
  <si>
    <t>8699540340022</t>
  </si>
  <si>
    <t>8699504520071</t>
  </si>
  <si>
    <t>8699504710168</t>
  </si>
  <si>
    <t>8699569440024</t>
  </si>
  <si>
    <t>8699569610137</t>
  </si>
  <si>
    <t>8699504440522</t>
  </si>
  <si>
    <t>8699504612110</t>
  </si>
  <si>
    <t>8699508610044</t>
  </si>
  <si>
    <t>8699708121517</t>
  </si>
  <si>
    <t>8699636092002</t>
  </si>
  <si>
    <t>8699636092019</t>
  </si>
  <si>
    <t>8699514610137</t>
  </si>
  <si>
    <t>8699514610274</t>
  </si>
  <si>
    <t>8699593095085</t>
  </si>
  <si>
    <t>8699593095092</t>
  </si>
  <si>
    <t>8699593095061</t>
  </si>
  <si>
    <t>8699593095078</t>
  </si>
  <si>
    <t>8681728380029</t>
  </si>
  <si>
    <t>8681728380012</t>
  </si>
  <si>
    <t>8699650772577</t>
  </si>
  <si>
    <t>8699578174415</t>
  </si>
  <si>
    <t>8681308777621</t>
  </si>
  <si>
    <t>8699809950863</t>
  </si>
  <si>
    <t>8681308035127</t>
  </si>
  <si>
    <t>8681308035141</t>
  </si>
  <si>
    <t>8697542090020</t>
  </si>
  <si>
    <t>8697542090013</t>
  </si>
  <si>
    <t>8699525350015</t>
  </si>
  <si>
    <t>8680760091177</t>
  </si>
  <si>
    <t>8680760091184</t>
  </si>
  <si>
    <t>8697621770096</t>
  </si>
  <si>
    <t>8697621760103</t>
  </si>
  <si>
    <t>8699736750093</t>
  </si>
  <si>
    <t>8699693090041</t>
  </si>
  <si>
    <t>8680400770844</t>
  </si>
  <si>
    <t>8680400770851</t>
  </si>
  <si>
    <t>8699638124268</t>
  </si>
  <si>
    <t>8699517750403</t>
  </si>
  <si>
    <t>8699517750304</t>
  </si>
  <si>
    <t>8699638094288</t>
  </si>
  <si>
    <t>8699504612127</t>
  </si>
  <si>
    <t>8699569350040</t>
  </si>
  <si>
    <t>8699546350100</t>
  </si>
  <si>
    <t>8699546350124</t>
  </si>
  <si>
    <t>8699708350054</t>
  </si>
  <si>
    <t>8699522553532</t>
  </si>
  <si>
    <t>8699536090184</t>
  </si>
  <si>
    <t>8699809037724</t>
  </si>
  <si>
    <t>8699566034226</t>
  </si>
  <si>
    <t>8699578014230</t>
  </si>
  <si>
    <t>8680771491010</t>
  </si>
  <si>
    <t>8699593950087</t>
  </si>
  <si>
    <t>8699593950094</t>
  </si>
  <si>
    <t>8699593950100</t>
  </si>
  <si>
    <t>8699593950117</t>
  </si>
  <si>
    <t>8697621750180</t>
  </si>
  <si>
    <t>8699561340025</t>
  </si>
  <si>
    <t>8699561340018</t>
  </si>
  <si>
    <t>8699525157690</t>
  </si>
  <si>
    <t>8699788751376</t>
  </si>
  <si>
    <t>8699525091277</t>
  </si>
  <si>
    <t>8699566015751</t>
  </si>
  <si>
    <t>8699566205794</t>
  </si>
  <si>
    <t>8699566015768</t>
  </si>
  <si>
    <t>8699566015775</t>
  </si>
  <si>
    <t>8699680280035</t>
  </si>
  <si>
    <t>8699680280042</t>
  </si>
  <si>
    <t>8699680090627</t>
  </si>
  <si>
    <t>8699680090634</t>
  </si>
  <si>
    <t>8699532691392</t>
  </si>
  <si>
    <t>8681308151032</t>
  </si>
  <si>
    <t>8699532154422</t>
  </si>
  <si>
    <t>8699532571373</t>
  </si>
  <si>
    <t>8680760080218</t>
  </si>
  <si>
    <t>8680760080089</t>
  </si>
  <si>
    <t>8699504090550</t>
  </si>
  <si>
    <t>8699504700008</t>
  </si>
  <si>
    <t>8699504090604</t>
  </si>
  <si>
    <t>8699822520395</t>
  </si>
  <si>
    <t>8699717700055</t>
  </si>
  <si>
    <t>8699717010055</t>
  </si>
  <si>
    <t>8699717010048</t>
  </si>
  <si>
    <t>8699525223630</t>
  </si>
  <si>
    <t>8699552090854</t>
  </si>
  <si>
    <t>8699552090847</t>
  </si>
  <si>
    <t>8699552090830</t>
  </si>
  <si>
    <t>8699552090823</t>
  </si>
  <si>
    <t>8680881034053</t>
  </si>
  <si>
    <t>8699676090297</t>
  </si>
  <si>
    <t>8699522094561</t>
  </si>
  <si>
    <t>8699569900061</t>
  </si>
  <si>
    <t>8699552140122</t>
  </si>
  <si>
    <t>8699606795445</t>
  </si>
  <si>
    <t>8699578354213</t>
  </si>
  <si>
    <t>8699690350094</t>
  </si>
  <si>
    <t>8699828120025</t>
  </si>
  <si>
    <t>8699569610069</t>
  </si>
  <si>
    <t>8699569610076</t>
  </si>
  <si>
    <t>8699673954394</t>
  </si>
  <si>
    <t>8699673954400</t>
  </si>
  <si>
    <t>8698760090021</t>
  </si>
  <si>
    <t>8680760092297</t>
  </si>
  <si>
    <t>8680614140129</t>
  </si>
  <si>
    <t>8699642571249</t>
  </si>
  <si>
    <t>8699717570030</t>
  </si>
  <si>
    <t>8680530620057</t>
  </si>
  <si>
    <t>8681085010119</t>
  </si>
  <si>
    <t>8680131752119</t>
  </si>
  <si>
    <t>8680833550136</t>
  </si>
  <si>
    <t>8681308791009</t>
  </si>
  <si>
    <t>8699504092127</t>
  </si>
  <si>
    <t>8699540701205</t>
  </si>
  <si>
    <t>8699540013704</t>
  </si>
  <si>
    <t>8699540701267</t>
  </si>
  <si>
    <t>8699540250116</t>
  </si>
  <si>
    <t>8699540250130</t>
  </si>
  <si>
    <t>8699540250321</t>
  </si>
  <si>
    <t>8699540014602</t>
  </si>
  <si>
    <t>8699514376026</t>
  </si>
  <si>
    <t>8699514756064</t>
  </si>
  <si>
    <t>8699514157656</t>
  </si>
  <si>
    <t>8699514150039</t>
  </si>
  <si>
    <t>8690632760780</t>
  </si>
  <si>
    <t>8690632760773</t>
  </si>
  <si>
    <t>8699783760014</t>
  </si>
  <si>
    <t>8682214521407</t>
  </si>
  <si>
    <t>8699566096002</t>
  </si>
  <si>
    <t>8698978750038</t>
  </si>
  <si>
    <t>8680199092004</t>
  </si>
  <si>
    <t>8699874080465</t>
  </si>
  <si>
    <t>8699809758100</t>
  </si>
  <si>
    <t>8699809770409</t>
  </si>
  <si>
    <t>8699809758209</t>
  </si>
  <si>
    <t>8699976091192</t>
  </si>
  <si>
    <t>8699546012961</t>
  </si>
  <si>
    <t>8699546380077</t>
  </si>
  <si>
    <t>8699546890019</t>
  </si>
  <si>
    <t>8680400770455</t>
  </si>
  <si>
    <t>8680400770462</t>
  </si>
  <si>
    <t>8699546773701</t>
  </si>
  <si>
    <t>8699546770014</t>
  </si>
  <si>
    <t>8699546770359</t>
  </si>
  <si>
    <t>8699546771936</t>
  </si>
  <si>
    <t>8699546773886</t>
  </si>
  <si>
    <t>8699540096660</t>
  </si>
  <si>
    <t>8699540096707</t>
  </si>
  <si>
    <t>8699540096745</t>
  </si>
  <si>
    <t>8699540096622</t>
  </si>
  <si>
    <t>8698978270024</t>
  </si>
  <si>
    <t>8698978270253</t>
  </si>
  <si>
    <t>8698978270048</t>
  </si>
  <si>
    <t>8698978270246</t>
  </si>
  <si>
    <t>8698978270017</t>
  </si>
  <si>
    <t>8698978270031</t>
  </si>
  <si>
    <t>8699673098432</t>
  </si>
  <si>
    <t>8699673098494</t>
  </si>
  <si>
    <t>8699593013041</t>
  </si>
  <si>
    <t>8697542090068</t>
  </si>
  <si>
    <t>8697542090075</t>
  </si>
  <si>
    <t>8697542090082</t>
  </si>
  <si>
    <t>8697542090099</t>
  </si>
  <si>
    <t>8697542090105</t>
  </si>
  <si>
    <t>8697542090112</t>
  </si>
  <si>
    <t>8697542090129</t>
  </si>
  <si>
    <t>8697542090136</t>
  </si>
  <si>
    <t>8697542090143</t>
  </si>
  <si>
    <t>8699561350086</t>
  </si>
  <si>
    <t>8699561350093</t>
  </si>
  <si>
    <t>8699561340100</t>
  </si>
  <si>
    <t>8699561460082</t>
  </si>
  <si>
    <t>8699561350215</t>
  </si>
  <si>
    <t>8699561460099</t>
  </si>
  <si>
    <t>8699580460018</t>
  </si>
  <si>
    <t>8699580460025</t>
  </si>
  <si>
    <t>8699580460032</t>
  </si>
  <si>
    <t>8699561380229</t>
  </si>
  <si>
    <t>8699788751475</t>
  </si>
  <si>
    <t>8699516012564</t>
  </si>
  <si>
    <t>8699559090567</t>
  </si>
  <si>
    <t>8699580240016</t>
  </si>
  <si>
    <t>8699771030020</t>
  </si>
  <si>
    <t>8680881254680</t>
  </si>
  <si>
    <t>8699546778706</t>
  </si>
  <si>
    <t>8699580170016</t>
  </si>
  <si>
    <t>8699828240013</t>
  </si>
  <si>
    <t>8699556750112</t>
  </si>
  <si>
    <t>8699828570097</t>
  </si>
  <si>
    <t>8699828010401</t>
  </si>
  <si>
    <t>8699559150087</t>
  </si>
  <si>
    <t>8699559150094</t>
  </si>
  <si>
    <t>8680760150096</t>
  </si>
  <si>
    <t>8680760092242</t>
  </si>
  <si>
    <t>8699819150376</t>
  </si>
  <si>
    <t>8699543150031</t>
  </si>
  <si>
    <t>8699543700052</t>
  </si>
  <si>
    <t>8680199151398</t>
  </si>
  <si>
    <t>8680199701425</t>
  </si>
  <si>
    <t>8680131751532</t>
  </si>
  <si>
    <t>8680131751747</t>
  </si>
  <si>
    <t>8680131751730</t>
  </si>
  <si>
    <t>8699527520041</t>
  </si>
  <si>
    <t>8699708100338</t>
  </si>
  <si>
    <t>8699676100408</t>
  </si>
  <si>
    <t>8699074090721</t>
  </si>
  <si>
    <t>8699680090559</t>
  </si>
  <si>
    <t>8699680090542</t>
  </si>
  <si>
    <t>8699680090368</t>
  </si>
  <si>
    <t>8699680090375</t>
  </si>
  <si>
    <t>8699680090573</t>
  </si>
  <si>
    <t>8699680090603</t>
  </si>
  <si>
    <t>8699680090566</t>
  </si>
  <si>
    <t>8699505093482</t>
  </si>
  <si>
    <t>8699552090717</t>
  </si>
  <si>
    <t>8699502094628</t>
  </si>
  <si>
    <t>8699705590033</t>
  </si>
  <si>
    <t>8699522097524</t>
  </si>
  <si>
    <t>8699522092505</t>
  </si>
  <si>
    <t>8699522092512</t>
  </si>
  <si>
    <t>8681697790102</t>
  </si>
  <si>
    <t>8699828790037</t>
  </si>
  <si>
    <t>8699828790044</t>
  </si>
  <si>
    <t>8698747340019</t>
  </si>
  <si>
    <t>8699606795407</t>
  </si>
  <si>
    <t>8699606795391</t>
  </si>
  <si>
    <t>8699580090628</t>
  </si>
  <si>
    <t>8699636950159</t>
  </si>
  <si>
    <t>8699638014316</t>
  </si>
  <si>
    <t>8699638014293</t>
  </si>
  <si>
    <t>8680881090219</t>
  </si>
  <si>
    <t>8699514018544</t>
  </si>
  <si>
    <t>8699514018568</t>
  </si>
  <si>
    <t>8699514018551</t>
  </si>
  <si>
    <t>8699514010722</t>
  </si>
  <si>
    <t>8699514018537</t>
  </si>
  <si>
    <t>8699831010092</t>
  </si>
  <si>
    <t>8699831010016</t>
  </si>
  <si>
    <t>8699831010030</t>
  </si>
  <si>
    <t>8699831090247</t>
  </si>
  <si>
    <t>8699831090261</t>
  </si>
  <si>
    <t>8699552010326</t>
  </si>
  <si>
    <t>8699552090335</t>
  </si>
  <si>
    <t>8699552150039</t>
  </si>
  <si>
    <t>8699625960541</t>
  </si>
  <si>
    <t>8699708151606</t>
  </si>
  <si>
    <t>8699708151613</t>
  </si>
  <si>
    <t>8699525038135</t>
  </si>
  <si>
    <t>8699525014108</t>
  </si>
  <si>
    <t>8699525016003</t>
  </si>
  <si>
    <t>8699525014092</t>
  </si>
  <si>
    <t>8699525015990</t>
  </si>
  <si>
    <t>8699525750150</t>
  </si>
  <si>
    <t>8692255000915</t>
  </si>
  <si>
    <t>8699862760027</t>
  </si>
  <si>
    <t>8699862760010</t>
  </si>
  <si>
    <t>8680131751860</t>
  </si>
  <si>
    <t>8699828010234</t>
  </si>
  <si>
    <t>8699828010753</t>
  </si>
  <si>
    <t>8699828010869</t>
  </si>
  <si>
    <t>8697943590013</t>
  </si>
  <si>
    <t>8697943590020</t>
  </si>
  <si>
    <t>8697943090025</t>
  </si>
  <si>
    <t>8699514093305</t>
  </si>
  <si>
    <t>8699593775017</t>
  </si>
  <si>
    <t>8699638074495</t>
  </si>
  <si>
    <t>8699638074501</t>
  </si>
  <si>
    <t>8699638074518</t>
  </si>
  <si>
    <t>8699844510046</t>
  </si>
  <si>
    <t>8698760090229</t>
  </si>
  <si>
    <t>8680656080438</t>
  </si>
  <si>
    <t>8680656080476</t>
  </si>
  <si>
    <t>8680656080469</t>
  </si>
  <si>
    <t>8680656080452</t>
  </si>
  <si>
    <t>8680656080445</t>
  </si>
  <si>
    <t>8699738170035</t>
  </si>
  <si>
    <t>8697786170014</t>
  </si>
  <si>
    <t>8699738170028</t>
  </si>
  <si>
    <t>8699514755661</t>
  </si>
  <si>
    <t>8699536150499</t>
  </si>
  <si>
    <t>8699536150505</t>
  </si>
  <si>
    <t>8681291010293</t>
  </si>
  <si>
    <t>8699514093640</t>
  </si>
  <si>
    <t>8699546754892</t>
  </si>
  <si>
    <t>8699569550136</t>
  </si>
  <si>
    <t>8699569550143</t>
  </si>
  <si>
    <t>8699522521456</t>
  </si>
  <si>
    <t>8699522571413</t>
  </si>
  <si>
    <t>8699522011445</t>
  </si>
  <si>
    <t>8699522521494</t>
  </si>
  <si>
    <t>8699569520078</t>
  </si>
  <si>
    <t>8699569570264</t>
  </si>
  <si>
    <t>8699569520085</t>
  </si>
  <si>
    <t>8699680090764</t>
  </si>
  <si>
    <t>8699680090771</t>
  </si>
  <si>
    <t>8699508080021</t>
  </si>
  <si>
    <t>8699516013158</t>
  </si>
  <si>
    <t>8681428010592</t>
  </si>
  <si>
    <t>8699561650032</t>
  </si>
  <si>
    <t>8699584690015</t>
  </si>
  <si>
    <t>8699074790508</t>
  </si>
  <si>
    <t>8699043890376</t>
  </si>
  <si>
    <t>8699043890369</t>
  </si>
  <si>
    <t>8699540090798</t>
  </si>
  <si>
    <t>8699540090781</t>
  </si>
  <si>
    <t>8699074090837</t>
  </si>
  <si>
    <t>8699074090851</t>
  </si>
  <si>
    <t>8699074090813</t>
  </si>
  <si>
    <t>8699532265395</t>
  </si>
  <si>
    <t>8699532099389</t>
  </si>
  <si>
    <t>8699532286680</t>
  </si>
  <si>
    <t>8699532099372</t>
  </si>
  <si>
    <t>8699532090027</t>
  </si>
  <si>
    <t>8699532095909</t>
  </si>
  <si>
    <t>8699532090034</t>
  </si>
  <si>
    <t>8699532090010</t>
  </si>
  <si>
    <t>8690509540019</t>
  </si>
  <si>
    <t>8690509574236</t>
  </si>
  <si>
    <t>8690509724358</t>
  </si>
  <si>
    <t>8690509574311</t>
  </si>
  <si>
    <t>8690509574274</t>
  </si>
  <si>
    <t>8699676950928</t>
  </si>
  <si>
    <t>8699543011158</t>
  </si>
  <si>
    <t>8699538774815</t>
  </si>
  <si>
    <t>8680656080346</t>
  </si>
  <si>
    <t>8699622090012</t>
  </si>
  <si>
    <t>8699504612134</t>
  </si>
  <si>
    <t>8680760090170</t>
  </si>
  <si>
    <t>8699502091894</t>
  </si>
  <si>
    <t>8699502091641</t>
  </si>
  <si>
    <t>8699680010212</t>
  </si>
  <si>
    <t>8699828770152</t>
  </si>
  <si>
    <t>8699828770145</t>
  </si>
  <si>
    <t>8699828690085</t>
  </si>
  <si>
    <t>8699536150420</t>
  </si>
  <si>
    <t>8699788751635</t>
  </si>
  <si>
    <t>8699693010056</t>
  </si>
  <si>
    <t>8699738090357</t>
  </si>
  <si>
    <t>8699738090364</t>
  </si>
  <si>
    <t>8698760090014</t>
  </si>
  <si>
    <t>8699540090811</t>
  </si>
  <si>
    <t>8699540090828</t>
  </si>
  <si>
    <t>8680177220092</t>
  </si>
  <si>
    <t>8680833150046</t>
  </si>
  <si>
    <t>8680833150039</t>
  </si>
  <si>
    <t>8680833150022</t>
  </si>
  <si>
    <t>8699511350012</t>
  </si>
  <si>
    <t>8680760091061</t>
  </si>
  <si>
    <t>8699702441048</t>
  </si>
  <si>
    <t>8699546010035</t>
  </si>
  <si>
    <t>8699514093473</t>
  </si>
  <si>
    <t>8699514093480</t>
  </si>
  <si>
    <t>8699514093497</t>
  </si>
  <si>
    <t>8681738440010</t>
  </si>
  <si>
    <t>8699593613036</t>
  </si>
  <si>
    <t>8699504260151</t>
  </si>
  <si>
    <t>8699508570041</t>
  </si>
  <si>
    <t>8699508120192</t>
  </si>
  <si>
    <t>8690632991542</t>
  </si>
  <si>
    <t>8699293754817</t>
  </si>
  <si>
    <t>8699548995187</t>
  </si>
  <si>
    <t>8699548995125</t>
  </si>
  <si>
    <t>8699548995170</t>
  </si>
  <si>
    <t>8699630757105</t>
  </si>
  <si>
    <t>8699702441116</t>
  </si>
  <si>
    <t>8680150010023</t>
  </si>
  <si>
    <t>8680080590602</t>
  </si>
  <si>
    <t>8699561340056</t>
  </si>
  <si>
    <t>8699561340063</t>
  </si>
  <si>
    <t>8699536090672</t>
  </si>
  <si>
    <t>8699536090702</t>
  </si>
  <si>
    <t>8699479160029</t>
  </si>
  <si>
    <t>8699522091263</t>
  </si>
  <si>
    <t>8699522091171</t>
  </si>
  <si>
    <t>8699525090799</t>
  </si>
  <si>
    <t>8699525090782</t>
  </si>
  <si>
    <t>8699504890020</t>
  </si>
  <si>
    <t>8699504890013</t>
  </si>
  <si>
    <t>8681291040306</t>
  </si>
  <si>
    <t>8699504040012</t>
  </si>
  <si>
    <t>8681291340079</t>
  </si>
  <si>
    <t>8681291340420</t>
  </si>
  <si>
    <t>8699504030020</t>
  </si>
  <si>
    <t>8699504030037</t>
  </si>
  <si>
    <t>8699504030471</t>
  </si>
  <si>
    <t>8699504030303</t>
  </si>
  <si>
    <t>8699630697128</t>
  </si>
  <si>
    <t>8699844751173</t>
  </si>
  <si>
    <t>8699844261283</t>
  </si>
  <si>
    <t>8699738090418</t>
  </si>
  <si>
    <t>8680881098321</t>
  </si>
  <si>
    <t>8699783260019</t>
  </si>
  <si>
    <t>8699516098995</t>
  </si>
  <si>
    <t>8699516098988</t>
  </si>
  <si>
    <t>8699504092134</t>
  </si>
  <si>
    <t>8699504092165</t>
  </si>
  <si>
    <t>8699702772005</t>
  </si>
  <si>
    <t>8699504011678</t>
  </si>
  <si>
    <t>8699504011623</t>
  </si>
  <si>
    <t>8699504011647</t>
  </si>
  <si>
    <t>8680833090038</t>
  </si>
  <si>
    <t>8680833091059</t>
  </si>
  <si>
    <t>8699943790073</t>
  </si>
  <si>
    <t>8699502014138</t>
  </si>
  <si>
    <t>8699502014121</t>
  </si>
  <si>
    <t>8699522032815</t>
  </si>
  <si>
    <t>8699522032846</t>
  </si>
  <si>
    <t>8680885515114</t>
  </si>
  <si>
    <t>8699789380018</t>
  </si>
  <si>
    <t>8697927090164</t>
  </si>
  <si>
    <t>8699862770019</t>
  </si>
  <si>
    <t>8680952000017</t>
  </si>
  <si>
    <t>8699532618368</t>
  </si>
  <si>
    <t>8699759610015</t>
  </si>
  <si>
    <t>8699586032707</t>
  </si>
  <si>
    <t>8681308159151</t>
  </si>
  <si>
    <t>8681308159168</t>
  </si>
  <si>
    <t>8699293095231</t>
  </si>
  <si>
    <t>8699293095217</t>
  </si>
  <si>
    <t>8699293095224</t>
  </si>
  <si>
    <t>8699532017802</t>
  </si>
  <si>
    <t>8699532017819</t>
  </si>
  <si>
    <t>8699671180023</t>
  </si>
  <si>
    <t>8699546090174</t>
  </si>
  <si>
    <t>8699809037748</t>
  </si>
  <si>
    <t>8699456090059</t>
  </si>
  <si>
    <t>8681308090003</t>
  </si>
  <si>
    <t>8699638093854</t>
  </si>
  <si>
    <t>8699638093861</t>
  </si>
  <si>
    <t>8699679774101</t>
  </si>
  <si>
    <t>8699679774002</t>
  </si>
  <si>
    <t>8699679774309</t>
  </si>
  <si>
    <t>8699679694508</t>
  </si>
  <si>
    <t>8699679774200</t>
  </si>
  <si>
    <t>8699593950063</t>
  </si>
  <si>
    <t>8699593950070</t>
  </si>
  <si>
    <t>8699593950049</t>
  </si>
  <si>
    <t>8699593950056</t>
  </si>
  <si>
    <t>8699638094592</t>
  </si>
  <si>
    <t>8699638094608</t>
  </si>
  <si>
    <t>8699730570123</t>
  </si>
  <si>
    <t>8699730570116</t>
  </si>
  <si>
    <t>8699730570215</t>
  </si>
  <si>
    <t>8699730570222</t>
  </si>
  <si>
    <t>8699730570208</t>
  </si>
  <si>
    <t>8699504270020</t>
  </si>
  <si>
    <t>8699504270204</t>
  </si>
  <si>
    <t>8699504270211</t>
  </si>
  <si>
    <t>8699525619204</t>
  </si>
  <si>
    <t>8699043890017</t>
  </si>
  <si>
    <t>8699591150373</t>
  </si>
  <si>
    <t>8699624650047</t>
  </si>
  <si>
    <t>8699546093953</t>
  </si>
  <si>
    <t>8699546093960</t>
  </si>
  <si>
    <t>8699546090051</t>
  </si>
  <si>
    <t>8699559570090</t>
  </si>
  <si>
    <t>8699726764109</t>
  </si>
  <si>
    <t>8699726764505</t>
  </si>
  <si>
    <t>8699546011247</t>
  </si>
  <si>
    <t>8699593775123</t>
  </si>
  <si>
    <t>8699673098289</t>
  </si>
  <si>
    <t>8699673098340</t>
  </si>
  <si>
    <t>8699673098227</t>
  </si>
  <si>
    <t>8680177220023</t>
  </si>
  <si>
    <t>8699504570151</t>
  </si>
  <si>
    <t>8699504590203</t>
  </si>
  <si>
    <t>8699504011050</t>
  </si>
  <si>
    <t>8699504030358</t>
  </si>
  <si>
    <t>8699587654069</t>
  </si>
  <si>
    <t>8699587352187</t>
  </si>
  <si>
    <t>8699587904058</t>
  </si>
  <si>
    <t>8699514090021</t>
  </si>
  <si>
    <t>8699809980037</t>
  </si>
  <si>
    <t>8699809980020</t>
  </si>
  <si>
    <t>8699559090703</t>
  </si>
  <si>
    <t>8699559090710</t>
  </si>
  <si>
    <t>8699559090819</t>
  </si>
  <si>
    <t>8699522574322</t>
  </si>
  <si>
    <t>8699702611540</t>
  </si>
  <si>
    <t>8697542150014</t>
  </si>
  <si>
    <t>8681308261007</t>
  </si>
  <si>
    <t>8699738090371</t>
  </si>
  <si>
    <t>8699738090388</t>
  </si>
  <si>
    <t>8699738090395</t>
  </si>
  <si>
    <t>8699738090401</t>
  </si>
  <si>
    <t>8699587151841</t>
  </si>
  <si>
    <t>8699587152411</t>
  </si>
  <si>
    <t>8699587654212</t>
  </si>
  <si>
    <t>8699522096008</t>
  </si>
  <si>
    <t>8699525610065</t>
  </si>
  <si>
    <t>8699505092560</t>
  </si>
  <si>
    <t>8699532151797</t>
  </si>
  <si>
    <t>8699532151810</t>
  </si>
  <si>
    <t>8699532151834</t>
  </si>
  <si>
    <t>8699532151858</t>
  </si>
  <si>
    <t>8699569010333</t>
  </si>
  <si>
    <t>8699569750185</t>
  </si>
  <si>
    <t>8699828750697</t>
  </si>
  <si>
    <t>8699828750680</t>
  </si>
  <si>
    <t>8699540023482</t>
  </si>
  <si>
    <t>8699540023499</t>
  </si>
  <si>
    <t>8699540023475</t>
  </si>
  <si>
    <t>8699502094482</t>
  </si>
  <si>
    <t>8699502094499</t>
  </si>
  <si>
    <t>8699324080014</t>
  </si>
  <si>
    <t>8699324080045</t>
  </si>
  <si>
    <t>8699324080052</t>
  </si>
  <si>
    <t>8699502094109</t>
  </si>
  <si>
    <t>8699502094086</t>
  </si>
  <si>
    <t>8699502094055</t>
  </si>
  <si>
    <t>8699525095732</t>
  </si>
  <si>
    <t>8699525178206</t>
  </si>
  <si>
    <t>8699569090502</t>
  </si>
  <si>
    <t>8699569240082</t>
  </si>
  <si>
    <t>8699569080091</t>
  </si>
  <si>
    <t>8699569080060</t>
  </si>
  <si>
    <t>8699569092667</t>
  </si>
  <si>
    <t>8699514070016</t>
  </si>
  <si>
    <t>8699514650041</t>
  </si>
  <si>
    <t>8699514070023</t>
  </si>
  <si>
    <t>8699514070030</t>
  </si>
  <si>
    <t>8699541560108</t>
  </si>
  <si>
    <t>8699502093638</t>
  </si>
  <si>
    <t>8699502093607</t>
  </si>
  <si>
    <t>8699566093346</t>
  </si>
  <si>
    <t>8699566093339</t>
  </si>
  <si>
    <t>8699522096107</t>
  </si>
  <si>
    <t>8699814270338</t>
  </si>
  <si>
    <t>8699814270321</t>
  </si>
  <si>
    <t>8699569280095</t>
  </si>
  <si>
    <t>8699569280286</t>
  </si>
  <si>
    <t>8699569090250</t>
  </si>
  <si>
    <t>8680760570122</t>
  </si>
  <si>
    <t>8699690570072</t>
  </si>
  <si>
    <t>8699690570195</t>
  </si>
  <si>
    <t>8699591570034</t>
  </si>
  <si>
    <t>8699591150267</t>
  </si>
  <si>
    <t>8699591570294</t>
  </si>
  <si>
    <t>8699591570386</t>
  </si>
  <si>
    <t>8680061570012</t>
  </si>
  <si>
    <t>8680061570029</t>
  </si>
  <si>
    <t>8697675570017</t>
  </si>
  <si>
    <t>8699522282241</t>
  </si>
  <si>
    <t>8699522092222</t>
  </si>
  <si>
    <t>8699522092789</t>
  </si>
  <si>
    <t>8699522095339</t>
  </si>
  <si>
    <t>8699522096930</t>
  </si>
  <si>
    <t>8699522271924</t>
  </si>
  <si>
    <t>8699580570137</t>
  </si>
  <si>
    <t>8699580570113</t>
  </si>
  <si>
    <t>8680150090018</t>
  </si>
  <si>
    <t>8699514570264</t>
  </si>
  <si>
    <t>8699514150688</t>
  </si>
  <si>
    <t>8681308771087</t>
  </si>
  <si>
    <t>8681308771094</t>
  </si>
  <si>
    <t>8699502093430</t>
  </si>
  <si>
    <t>8680199792416</t>
  </si>
  <si>
    <t>8699532280251</t>
  </si>
  <si>
    <t>8699532280275</t>
  </si>
  <si>
    <t>8681308091024</t>
  </si>
  <si>
    <t>8699532090287</t>
  </si>
  <si>
    <t>8680700695618</t>
  </si>
  <si>
    <t>8699587091727</t>
  </si>
  <si>
    <t>8699587751706</t>
  </si>
  <si>
    <t>8699587091734</t>
  </si>
  <si>
    <t>8699587751713</t>
  </si>
  <si>
    <t>8699504092189</t>
  </si>
  <si>
    <t>8681428050703</t>
  </si>
  <si>
    <t>8681428050710</t>
  </si>
  <si>
    <t>8699786880023</t>
  </si>
  <si>
    <t>8699786880016</t>
  </si>
  <si>
    <t>8699536150109</t>
  </si>
  <si>
    <t>8699536150086</t>
  </si>
  <si>
    <t>8699536150093</t>
  </si>
  <si>
    <t>8699536150116</t>
  </si>
  <si>
    <t>8699536150079</t>
  </si>
  <si>
    <t>8699541760010</t>
  </si>
  <si>
    <t>8699638013876</t>
  </si>
  <si>
    <t>8699638013883</t>
  </si>
  <si>
    <t>8699638013890</t>
  </si>
  <si>
    <t>8699638013906</t>
  </si>
  <si>
    <t>8699738350680</t>
  </si>
  <si>
    <t>8699738510015</t>
  </si>
  <si>
    <t>8680941002046</t>
  </si>
  <si>
    <t>8699540091405</t>
  </si>
  <si>
    <t>8699540091412</t>
  </si>
  <si>
    <t>8680199690095</t>
  </si>
  <si>
    <t>8699504790559</t>
  </si>
  <si>
    <t>8699650772515</t>
  </si>
  <si>
    <t>8699650772522</t>
  </si>
  <si>
    <t>8680080540584</t>
  </si>
  <si>
    <t>8699622160265</t>
  </si>
  <si>
    <t>8699832090024</t>
  </si>
  <si>
    <t>8699832090048</t>
  </si>
  <si>
    <t>8699832090161</t>
  </si>
  <si>
    <t>8699738340568</t>
  </si>
  <si>
    <t>8699738350703</t>
  </si>
  <si>
    <t>8699738350697</t>
  </si>
  <si>
    <t>8699638194889</t>
  </si>
  <si>
    <t>8699638194896</t>
  </si>
  <si>
    <t>8699832010015</t>
  </si>
  <si>
    <t>8699522352692</t>
  </si>
  <si>
    <t>8699522792030</t>
  </si>
  <si>
    <t>8699522702398</t>
  </si>
  <si>
    <t>8699522036073</t>
  </si>
  <si>
    <t>8699504152050</t>
  </si>
  <si>
    <t>8699856710045</t>
  </si>
  <si>
    <t>8699293575740</t>
  </si>
  <si>
    <t>8699673098043</t>
  </si>
  <si>
    <t>8699673098012</t>
  </si>
  <si>
    <t>8699673057156</t>
  </si>
  <si>
    <t>8699673057163</t>
  </si>
  <si>
    <t>8699673057170</t>
  </si>
  <si>
    <t>8699673057149</t>
  </si>
  <si>
    <t>8699624570048</t>
  </si>
  <si>
    <t>8699624590015</t>
  </si>
  <si>
    <t>8699624090041</t>
  </si>
  <si>
    <t>8699593015304</t>
  </si>
  <si>
    <t>8699532098399</t>
  </si>
  <si>
    <t>8699578095222</t>
  </si>
  <si>
    <t>8699578095314</t>
  </si>
  <si>
    <t>8699578095291</t>
  </si>
  <si>
    <t>8699578095345</t>
  </si>
  <si>
    <t>8699578095215</t>
  </si>
  <si>
    <t>8699578095307</t>
  </si>
  <si>
    <t>ADET</t>
  </si>
  <si>
    <t/>
  </si>
  <si>
    <t>5 FROTU 1000 MG 1 FLK.</t>
  </si>
  <si>
    <t>ABAVIR 245 MG 30 FTB.</t>
  </si>
  <si>
    <t>ABETYL 250 MG 120 TB.</t>
  </si>
  <si>
    <t>ABILIFY 1 MG 150 ML ORAL SOL.</t>
  </si>
  <si>
    <t>ABILIFY 10 MG 28 TB.</t>
  </si>
  <si>
    <t>ABILIFY 15 MG 28 TB.</t>
  </si>
  <si>
    <t>ABILIFY 30 MG 28 TB.</t>
  </si>
  <si>
    <t>ABILIFY 5 MG 28 TB.</t>
  </si>
  <si>
    <t>ABIRATEX 250 MG 120 TB.</t>
  </si>
  <si>
    <t>ABITIGA 250 MG 120 FTB.</t>
  </si>
  <si>
    <t>ABIZOL  5 MG 28 TB.</t>
  </si>
  <si>
    <t>ABIZOL 1 MG 150 ML ORAL SOL.</t>
  </si>
  <si>
    <t>ABIZOL 10 MG 28 TB.</t>
  </si>
  <si>
    <t>ABIZOL 15 MG 28 TB.</t>
  </si>
  <si>
    <t>ABIZOL 20 MG 28 TB.</t>
  </si>
  <si>
    <t>ABIZOL 30 MG 28 TB.</t>
  </si>
  <si>
    <t>ABIZOL EASYTAB 10 MG 28 TB.</t>
  </si>
  <si>
    <t>ABIZOL EASYTAB 15 MG 28 TB.</t>
  </si>
  <si>
    <t>ABIZOL EASYTAB 5 MG 28 TB.</t>
  </si>
  <si>
    <t>ABOUND PORTAKAL 30X24 GR.</t>
  </si>
  <si>
    <t>ABSTRAL 100 MCG 10 TB.***</t>
  </si>
  <si>
    <t>ABSTRAL 200 MCG 10 TB.***</t>
  </si>
  <si>
    <t>ABSTRAL 400 MCG 10 TB.***</t>
  </si>
  <si>
    <t>ABSTRAL 800 MCG 10 TB.***</t>
  </si>
  <si>
    <t>ABYGA 250 MG 120 TB.</t>
  </si>
  <si>
    <t>ACCUZIDE 20/12.5 MG 30 FTB.</t>
  </si>
  <si>
    <t>ACE PLUS SELENYUM 30 CAP.</t>
  </si>
  <si>
    <t>ACETUDIL FORT 60 MG 20 CAP.</t>
  </si>
  <si>
    <t>ACIDPASS 10/800/165 MG 12 TB.</t>
  </si>
  <si>
    <t>ACIDPASS 10/800/165 MG 6 TB.</t>
  </si>
  <si>
    <t>ACLABON 5 MG 100 ML 1 FLK.</t>
  </si>
  <si>
    <t>ACLASTA 5 MG 100 ML 1 FLK.</t>
  </si>
  <si>
    <t>ACNEDUR %3 20 GR POM.</t>
  </si>
  <si>
    <t>ACNEGEN 10 MG 30 CAP.</t>
  </si>
  <si>
    <t>ACNEGEN 20 MG 30 CAP.</t>
  </si>
  <si>
    <t>ACNELYSE %0.025 20 GR KR.</t>
  </si>
  <si>
    <t>ACNELYSE %0.05 20 GR KR.</t>
  </si>
  <si>
    <t>ACNELYSE %0.1 20 GR KR.</t>
  </si>
  <si>
    <t>ACNEMIX %5+3 46.6 GR JEL</t>
  </si>
  <si>
    <t>ACTEMRA 162 MG 0.9 ML 4 ENJ.</t>
  </si>
  <si>
    <t>ACTEMRA 200 MG 10 ML 1 FLK.</t>
  </si>
  <si>
    <t>ACTEMRA 400 MG 20 ML 1 FLK.</t>
  </si>
  <si>
    <t>ACTEMRA 80 MG 4 ML 1 FLK.</t>
  </si>
  <si>
    <t>ACTIDEM 150 ML SRP *</t>
  </si>
  <si>
    <t>ACTIFED 60 MG 30 TB.*</t>
  </si>
  <si>
    <t>ACTILYSE 10 MG 1 FLK.</t>
  </si>
  <si>
    <t>ACTILYSE 50 MG 1 FLK.</t>
  </si>
  <si>
    <t>ACTINOMA %3 30 GR JEL</t>
  </si>
  <si>
    <t>ACTIVELLE 0.5/1 MG 28 TB.</t>
  </si>
  <si>
    <t>ACTOS 15 MG 28 TB.</t>
  </si>
  <si>
    <t>ACTOS 30 MG 28 TB.</t>
  </si>
  <si>
    <t>ACUFIX %0.4 5 ML GOZ GTT.</t>
  </si>
  <si>
    <t>ACUITEL 20 MG 20 FTB.</t>
  </si>
  <si>
    <t>ACUITEL 5 MG 20 FTB.</t>
  </si>
  <si>
    <t>ACULAR LS %0.4 5 ML GOZ GTT.</t>
  </si>
  <si>
    <t>ACYL %5 10 GR KR.</t>
  </si>
  <si>
    <t>ADACEL 0.5 ML 1 FLK.</t>
  </si>
  <si>
    <t>ADACEL POLIO 0.5 ML 1 ENJ.</t>
  </si>
  <si>
    <t>ADALAT CRONO 30 MG 20 TB.</t>
  </si>
  <si>
    <t>ADCETRIS 50 MG 1 FLK.</t>
  </si>
  <si>
    <t>ADDAVEN 20X10 ML</t>
  </si>
  <si>
    <t>ADELEKS 4 MG 2 ML 6 AMP.</t>
  </si>
  <si>
    <t>ADELEKS 4 MG 20 TB.</t>
  </si>
  <si>
    <t>ADELEKS 8 MG 14 TB.</t>
  </si>
  <si>
    <t>ADEMPAS 0.5 MG 42 FTB.</t>
  </si>
  <si>
    <t>ADEMPAS 1 MG 42 FTB.</t>
  </si>
  <si>
    <t>ADEMPAS 1.5 MG 42 FTB.</t>
  </si>
  <si>
    <t>ADEMPAS 2 MG 42 FTB.</t>
  </si>
  <si>
    <t>ADEMPAS 2.5 MG 42 FTB.</t>
  </si>
  <si>
    <t>ADENURIC 120 MG 28 FTB.</t>
  </si>
  <si>
    <t>ADENURIC 80 MG 28 FTB.</t>
  </si>
  <si>
    <t>ADOPORT 0.5 MG 50 CAP.</t>
  </si>
  <si>
    <t>ADOPORT 1 MG 50 CAP.</t>
  </si>
  <si>
    <t>ADOPORT 5 MG 50 CAP.</t>
  </si>
  <si>
    <t>ADRENALIN 0.025 MG 10 AMP.</t>
  </si>
  <si>
    <t>ADRENALIN 0.5 MG 10 AMP.</t>
  </si>
  <si>
    <t>ADRENALIN 1 MG 10 AMP.</t>
  </si>
  <si>
    <t>ADRIMISIN 10 MG 1 FLK.</t>
  </si>
  <si>
    <t>ADRIMISIN 50 MG 1 FLK.</t>
  </si>
  <si>
    <t>ADVAGRAF 0.5 MG 50 CAP.</t>
  </si>
  <si>
    <t>ADVAGRAF 1 MG 50 CAP.</t>
  </si>
  <si>
    <t>ADVAGRAF 3 MG 50 CAP.</t>
  </si>
  <si>
    <t>ADVAGRAF 5 MG 50 CAP.</t>
  </si>
  <si>
    <t>8699514350255</t>
  </si>
  <si>
    <t>ADVANTAN %0.1 30 GR KR.</t>
  </si>
  <si>
    <t>ADVANTAN %0.1 30 GR POM.</t>
  </si>
  <si>
    <t>ADVANTAN M %0.1 50 GR LOS.</t>
  </si>
  <si>
    <t>ADVANTAN S %0.1 20 ML COZ.</t>
  </si>
  <si>
    <t>ADVIL LIG. 200 MG 20 CAP.</t>
  </si>
  <si>
    <t>AERIUS 0.5 MG 150 ML SRP.</t>
  </si>
  <si>
    <t>AERIUS 5 MG 20 FTB</t>
  </si>
  <si>
    <t>AETHOXYSKLEROL %1 2 ML 5 AMP.</t>
  </si>
  <si>
    <t>AETHOXYSKLEROL %2 2 ML 5 AMP.</t>
  </si>
  <si>
    <t>AETHOXYSKLEROL %3 2 ML 5 AMP.</t>
  </si>
  <si>
    <t>AFEBRYL 300 MG 16 EFF TB</t>
  </si>
  <si>
    <t>AFERIN 300/2/10 MG 30 CAP *</t>
  </si>
  <si>
    <t>AFERIN FORT 650/4 MG 30 TB.</t>
  </si>
  <si>
    <t>AFILTA 20 MG 4 FTB.</t>
  </si>
  <si>
    <t>AFINITOR 10 MG 30 TB.</t>
  </si>
  <si>
    <t>AFINITOR 5 MG 30 TB.</t>
  </si>
  <si>
    <t>AFTO %3+0.1 5 GR JEL</t>
  </si>
  <si>
    <t>AGNUCASTON 40 MG 30 FTB.</t>
  </si>
  <si>
    <t>AIRCOMB 5/10 MG 30 FTB.</t>
  </si>
  <si>
    <t>AIRFIX 10 MG 28 FTB.</t>
  </si>
  <si>
    <t>AIRFIX 4 MG 28 SASE</t>
  </si>
  <si>
    <t>AIRPASS 5/10 MG 30 FTB</t>
  </si>
  <si>
    <t>AIRPLUS 250/50 MCG 60 DOZ</t>
  </si>
  <si>
    <t>AIRPLUS 500/50 MCG 60 DOZ</t>
  </si>
  <si>
    <t>AIRTIDE 100/50 MCG 60 DOZ</t>
  </si>
  <si>
    <t>AIRTIDE 250/50 MCG 60 DOZ</t>
  </si>
  <si>
    <t>AKELA %2 30 GR JEL</t>
  </si>
  <si>
    <t>AKELA FORTE %4 30 GR JEL</t>
  </si>
  <si>
    <t>AKINETON 2 MG 100 TB  **</t>
  </si>
  <si>
    <t>AKINETON 5 MG 1 ML 5 AMP. **</t>
  </si>
  <si>
    <t>AKLOFEN %3 30 GR JEL</t>
  </si>
  <si>
    <t>AKLOVIR %5 10 GR KR</t>
  </si>
  <si>
    <t>AKLOVIR 200 MG 100 ML SUSP.</t>
  </si>
  <si>
    <t>AKLOVIR 200 MG 25 TB.</t>
  </si>
  <si>
    <t>AKLOVIR 800 MG 20 TB</t>
  </si>
  <si>
    <t>AKNEFLOKS %1 30 GR KR.</t>
  </si>
  <si>
    <t>AKNESILEX %3 20 GR POM.</t>
  </si>
  <si>
    <t>AKNETRENT 10 MG 30 CAP.</t>
  </si>
  <si>
    <t>AKNETRENT 20 MG 30 CAP.</t>
  </si>
  <si>
    <t>AKSEF 500 MG 10 FTB.</t>
  </si>
  <si>
    <t>AKSEF 500 MG 14 FTB.</t>
  </si>
  <si>
    <t>AKSEF 500 MG 20 FTB.</t>
  </si>
  <si>
    <t>AKSEF 750 MG IM 1 FLK.</t>
  </si>
  <si>
    <t>AKSEF 750 MG IM/IV 1 FLK.</t>
  </si>
  <si>
    <t>AKTAZID 25/25 MG 30 FTB.</t>
  </si>
  <si>
    <t>AKTAZID 50/50 MG 30 FTB.</t>
  </si>
  <si>
    <t>ALATAB 600 MG 30 FTB.</t>
  </si>
  <si>
    <t>ALBITROL 500 MG 10 FTB.</t>
  </si>
  <si>
    <t>ALCAINE %0.5 15 ML GOZ GTT.</t>
  </si>
  <si>
    <t>ALDACTAZIDE 25/25 MG 30 TB.</t>
  </si>
  <si>
    <t>ALDACTAZIDE 50/50 MG 30 TB.</t>
  </si>
  <si>
    <t>ALDACTONE 100 MG 16 TB.</t>
  </si>
  <si>
    <t>ALDACTONE A 25 MG 20 TB.</t>
  </si>
  <si>
    <t>ALDARA %5 12 SASE KR.</t>
  </si>
  <si>
    <t>ALDOLAN 100 MG 2 ML 5 AMP ***</t>
  </si>
  <si>
    <t>ALDURAZYME 100 U 5 ML 1 FLK.</t>
  </si>
  <si>
    <t>ALECAST 10 MG 28 FTB.</t>
  </si>
  <si>
    <t>ALECAST 10 MG 84 FTB.</t>
  </si>
  <si>
    <t>ALECAST 4 MG 28 CIGN TB.</t>
  </si>
  <si>
    <t>ALECAST 5 MG 28 CIGN TB.</t>
  </si>
  <si>
    <t>ALECENSA 150 MG 224 CAP.</t>
  </si>
  <si>
    <t>ALERFIN 2 MG ORAL COZ 100 M</t>
  </si>
  <si>
    <t>ALERINIT 5 MG 20 FTB.</t>
  </si>
  <si>
    <t>ALEVE 220 MG 20 TB.</t>
  </si>
  <si>
    <t>ALFALIPAL 600 MG 30 FTB.</t>
  </si>
  <si>
    <t>ALFAMET 250 MG 30 TB.</t>
  </si>
  <si>
    <t>ALFAMINO 400 GR.</t>
  </si>
  <si>
    <t>ALFASID 0.5/0.25 GR IM 1 FLK.</t>
  </si>
  <si>
    <t>ALFASID 1/0.5 GR IM 1 FLK.</t>
  </si>
  <si>
    <t>ALFASID 1/0.5 GR IM/IV 1 FLK.</t>
  </si>
  <si>
    <t>ALFAZAN 600 MG 30 FTB.</t>
  </si>
  <si>
    <t>ALFOXIL 500 MG 16 TB.</t>
  </si>
  <si>
    <t>ALGESAL %10 40 GR POM.</t>
  </si>
  <si>
    <t>ALGESAL SUR %10+%1 40 GR POM.</t>
  </si>
  <si>
    <t>ALGOPET 100 MG 15 FTB</t>
  </si>
  <si>
    <t>ALGOPET SR 200 MG 16 CAP.</t>
  </si>
  <si>
    <t>ALIMTA 500 MG 1 FLK.</t>
  </si>
  <si>
    <t>ALIPZA 1 MG 30 FTB.</t>
  </si>
  <si>
    <t>ALIPZA 2 MG 30 FTB.</t>
  </si>
  <si>
    <t>ALIPZA 4 MG 30 FTB.</t>
  </si>
  <si>
    <t>ALJIL 300/50/150 MG 20 TB.</t>
  </si>
  <si>
    <t>ALKERAN 2 MG 25 TB.</t>
  </si>
  <si>
    <t>ALLEGRA 120 MG 20 FTB.</t>
  </si>
  <si>
    <t>ALLEGRA 180 MG 20 FTB.</t>
  </si>
  <si>
    <t>ALLERSET 1 MG 200 ML SRP.</t>
  </si>
  <si>
    <t>ALLERSET 10 MG 10 TB.</t>
  </si>
  <si>
    <t>ALLERSET 10 MG 20 FTB.</t>
  </si>
  <si>
    <t>ALMENTA 10 MG 100 FTB.</t>
  </si>
  <si>
    <t>ALMENTA 10 MG 28 FTB.</t>
  </si>
  <si>
    <t>ALOCORT M %0.1 50 GR LOS.</t>
  </si>
  <si>
    <t>ALOMIDE %0.1 5 ML GOZ GTT.</t>
  </si>
  <si>
    <t>ALORES 2.5 MG 150 ML SRP</t>
  </si>
  <si>
    <t>ALPROS 20 MCG 1 ML 5 AMP.</t>
  </si>
  <si>
    <t>ALTUZAN 100 MG 4 ML 1 FLK.</t>
  </si>
  <si>
    <t>ALTUZAN 400 MG 16 ML 1 FLK.</t>
  </si>
  <si>
    <t>ALUNBRIG 180 MG 28 FTB.</t>
  </si>
  <si>
    <t>ALUNBRIG 90 MG 28 FTB.</t>
  </si>
  <si>
    <t>ALUVIA 200 MG / 50 MG FTB</t>
  </si>
  <si>
    <t>ALVASTIN 10 MG 30 FTB.</t>
  </si>
  <si>
    <t>ALVASTIN 10 MG 90 FTB.</t>
  </si>
  <si>
    <t>ALVASTIN 20 MG 30 FTB.</t>
  </si>
  <si>
    <t>ALVASTIN 20 MG 90 FTB.</t>
  </si>
  <si>
    <t>ALVASTIN 40 MG 30 FTB.</t>
  </si>
  <si>
    <t>ALYSE  25 MG 56 CAP. **</t>
  </si>
  <si>
    <t>ALYSE  75 MG 14 CAP. **</t>
  </si>
  <si>
    <t>ALYSE 150 MG 56 CAP. **</t>
  </si>
  <si>
    <t>ALYSE 300 MG 56 CAP. **</t>
  </si>
  <si>
    <t>ALYSE 75 MG 56 CAP. **</t>
  </si>
  <si>
    <t>ALZANCER 10 MG 28 FTB.</t>
  </si>
  <si>
    <t>ALZANCER 5 MG 28 FTB.</t>
  </si>
  <si>
    <t>ALZANCER EASYTAB 10 MG 28 TB.</t>
  </si>
  <si>
    <t>ALZANCER EASYTAB 5 MG 28 TB.</t>
  </si>
  <si>
    <t>ALZANT 10 MG 100 FTB.</t>
  </si>
  <si>
    <t>ALZANT 10 MG 50 FTB.</t>
  </si>
  <si>
    <t>ALZIL 10 MG 28 FTB.</t>
  </si>
  <si>
    <t>ALZIL 5 MG 28 FTB.</t>
  </si>
  <si>
    <t>AMARYL 1 MG 30 TB.</t>
  </si>
  <si>
    <t>AMARYL 2 MG 30 TB.</t>
  </si>
  <si>
    <t>AMARYL 3 MG 30 TB.</t>
  </si>
  <si>
    <t>AMARYL 4 MG 30 TB.</t>
  </si>
  <si>
    <t>AMBISOME 50 MG 1 FLK.</t>
  </si>
  <si>
    <t>AMETIK 100 MG 15 ML GUTT.</t>
  </si>
  <si>
    <t>AMGEVITA 40 MG 0.8 ML 2 ENJ.</t>
  </si>
  <si>
    <t>AMGEVITA 40 MG 0.8 ML 2 PEN</t>
  </si>
  <si>
    <t>AMIDOVIN 150 MG 3 ML 6 AMP.</t>
  </si>
  <si>
    <t>AMIJEKSIN 100 MG 2 ML 1 AMP.</t>
  </si>
  <si>
    <t>AMIJEKSIN 500 MG 2 ML 1 AMP.</t>
  </si>
  <si>
    <t>AMIKAVER 100 MG 2 ML 1 AMP.</t>
  </si>
  <si>
    <t>AMIKAVER 500 MG 2 ML 1  AMP.</t>
  </si>
  <si>
    <t>AMIKOZIT 100 MG 1 FLK.</t>
  </si>
  <si>
    <t>AMIKOZIT 500 MG 1 FLK.</t>
  </si>
  <si>
    <t>AMLIPIN 10/10 MG FTB.</t>
  </si>
  <si>
    <t>AMLIPIN 5/10 MG 30 FTB.</t>
  </si>
  <si>
    <t>AMLODIS 10 MG 20 TB.</t>
  </si>
  <si>
    <t>AMLODIS 5 MG 20 TB.</t>
  </si>
  <si>
    <t>AMLOKARD 10 MG 30 TB.</t>
  </si>
  <si>
    <t>AMLOKARD 10 MG 90 TB.</t>
  </si>
  <si>
    <t>AMLOKARD 5 MG 30 TB.</t>
  </si>
  <si>
    <t>AMOKLAVIN BID 1 GR 10 FTB.</t>
  </si>
  <si>
    <t>AMOKLAVIN BID 1 GR 14 FTB.</t>
  </si>
  <si>
    <t>AMOKLAVIN BID 625 MG 10 TB.</t>
  </si>
  <si>
    <t>AMOKLAVIN BID 625 MG 14 FTB.</t>
  </si>
  <si>
    <t>AMPAHO 10 MG 30 FTB.</t>
  </si>
  <si>
    <t>AMPAHO 5 MG 30 FTB.</t>
  </si>
  <si>
    <t>ANAFRANIL 10 MG 30 TB.</t>
  </si>
  <si>
    <t>ANAFRANIL 25 MG 30 TB.</t>
  </si>
  <si>
    <t>ANAFRANIL SR 75 MG 20 TB.</t>
  </si>
  <si>
    <t>ANAPOLON 50 MG 20 TB.</t>
  </si>
  <si>
    <t>ANAZOL 1 MG 28 FTB.</t>
  </si>
  <si>
    <t>ANDANTE 70 MG 4 TB.</t>
  </si>
  <si>
    <t>ANDAZOL 200 MG  6 FTB.</t>
  </si>
  <si>
    <t>ANDAZOL 200 MG 40 FTB.</t>
  </si>
  <si>
    <t>ANDAZOL 200 MG 60 ML SUSP.</t>
  </si>
  <si>
    <t>ANDAZOL 400 MG 3 FTB.</t>
  </si>
  <si>
    <t>ANDAZOL 400 MG 60 FTB.</t>
  </si>
  <si>
    <t>ANDOLOR 1 GR 2 ML 10 AMP.</t>
  </si>
  <si>
    <t>ANDOLOR 500 MG 20 TB.</t>
  </si>
  <si>
    <t>ANDOREX %0.15+0.12 30 ML SPR.</t>
  </si>
  <si>
    <t>ANDROCUR 100 MG 30 TB.</t>
  </si>
  <si>
    <t>ANDROCUR 50 MG 50 TB.</t>
  </si>
  <si>
    <t>ANDROVIUM %2 60 ML SOL.</t>
  </si>
  <si>
    <t>ANDROVIUM %2 KOPUK 90 GR.</t>
  </si>
  <si>
    <t>ANDROVIUM %5 60 ML SOL.</t>
  </si>
  <si>
    <t>ANDROVIUM %5 KOPUK 90 GR.</t>
  </si>
  <si>
    <t>ANESTOL %5 30 GR POM.</t>
  </si>
  <si>
    <t>ANGELIQ 2/1 MG 28 TB.</t>
  </si>
  <si>
    <t>ANKEP 100 MG 30 FTB.</t>
  </si>
  <si>
    <t>ANKEP 200 MG 30 FTB.</t>
  </si>
  <si>
    <t>ANKEP 25 MG 30 FTB.</t>
  </si>
  <si>
    <t>ANKEP 300 MG 30 FTB.</t>
  </si>
  <si>
    <t>ANKEP 400 MG 30 FTB.</t>
  </si>
  <si>
    <t>ANKEP 50 MG 30 FTB.</t>
  </si>
  <si>
    <t>ANLEV 1000 MG 50 FTB.</t>
  </si>
  <si>
    <t>ANLEV 250 MG 50 FTB.</t>
  </si>
  <si>
    <t>ANLEV 500 MG 50 FTB.</t>
  </si>
  <si>
    <t>ANLEV 750 MG 50 FTB.</t>
  </si>
  <si>
    <t>ANRECTA %0.4 30 GR POM.</t>
  </si>
  <si>
    <t>ANTABUS 500 MG 25 TB.</t>
  </si>
  <si>
    <t>ANTAX 1000  MG 90 SASE</t>
  </si>
  <si>
    <t>ANTAX 500 MG 90 SASE</t>
  </si>
  <si>
    <t>ANTAX 750 MG 90 SASE</t>
  </si>
  <si>
    <t>ANTEPSIN 1 GR 250 ML SUSP.</t>
  </si>
  <si>
    <t>ANTEPSIN 1 GR 60 TB.</t>
  </si>
  <si>
    <t>ANTHIX 10 MG 20 TB.</t>
  </si>
  <si>
    <t>ANTI FOSFAT CC 500 MG 100 TB.</t>
  </si>
  <si>
    <t>ANTI-ASIDOZ 500 MG 100 CAP.</t>
  </si>
  <si>
    <t>ANTIBEKSIN 100 ML SRP *</t>
  </si>
  <si>
    <t>ANTI-BIT 4.08 MG 150 ML SAMP.</t>
  </si>
  <si>
    <t>ANTI-D IMMUNORHO 300 MCG</t>
  </si>
  <si>
    <t>ANTI-D RHOGAM 300 MCG</t>
  </si>
  <si>
    <t>ANTI-D RHOPHYLAC 300 MCG</t>
  </si>
  <si>
    <t>ANTI-EM 50 MG 12 TB. *</t>
  </si>
  <si>
    <t>ANTIPAR 100/25/200 100 FTB</t>
  </si>
  <si>
    <t>ANTIPAR 200/50/200 MG 100 FTB</t>
  </si>
  <si>
    <t>ANTIPAR 50/12.5/200 100 FTB</t>
  </si>
  <si>
    <t>ANZIBEL EKINEZYALI 20 PASTIL</t>
  </si>
  <si>
    <t>ANZIBEL MEYANBALLI 20 PASTIL</t>
  </si>
  <si>
    <t>ANZIBEL ZENCEFILLI 20 PASTIL</t>
  </si>
  <si>
    <t>ANZYL 10 MG 28 FTB.</t>
  </si>
  <si>
    <t>ANZYL 15 MG 28 FTB.</t>
  </si>
  <si>
    <t>ANZYL 5 MG 28 FTB.</t>
  </si>
  <si>
    <t>APFECTO %0.1 5 ML GOZ GTT.</t>
  </si>
  <si>
    <t>APFECTO %0.3 1.7 ML GOZ GTT.</t>
  </si>
  <si>
    <t>APIDRA 100 UI 3 ML 5 PEN.</t>
  </si>
  <si>
    <t>APIKOBAL 250/250/1 MG 30 TB.</t>
  </si>
  <si>
    <t>APIKOBAL PLS 250/250/1/300 MG</t>
  </si>
  <si>
    <t>APLUS C 400/240 MG 10 EFF TB.</t>
  </si>
  <si>
    <t>APO-GO 20 MG 2 ML 5 AMP.</t>
  </si>
  <si>
    <t>APO-GO 50 MG 5 ML 5 AMP.</t>
  </si>
  <si>
    <t>APRALJIN 550 MG 10 FTB.</t>
  </si>
  <si>
    <t>APRALJIN 550 MG 20 FTB.</t>
  </si>
  <si>
    <t>APRANAX 275 MG 10 FTB.</t>
  </si>
  <si>
    <t>APRANAX 275 MG 20 FTB.</t>
  </si>
  <si>
    <t>APRANAX 550 MG 10 FTB.</t>
  </si>
  <si>
    <t>APRANAX 550 MG 20 FTB.</t>
  </si>
  <si>
    <t>APRANAX PLUS 20 FTB. *</t>
  </si>
  <si>
    <t>APRAZOL 30 MG 14 CAP.</t>
  </si>
  <si>
    <t>APRAZOL 30 MG 28 CAP.</t>
  </si>
  <si>
    <t>APROL 275 MG 10 TB.</t>
  </si>
  <si>
    <t>APROL 550 MG 10 TB.</t>
  </si>
  <si>
    <t>APROL 550 MG 20 TB.</t>
  </si>
  <si>
    <t>APROWELL 550 MG 10 TB.</t>
  </si>
  <si>
    <t>APROWELL 550 MG 20 TB.</t>
  </si>
  <si>
    <t>APTAMIL PDF 900 GR</t>
  </si>
  <si>
    <t>AQUA CARBO 50 GR 240 ML SUSP.</t>
  </si>
  <si>
    <t>ARAMID 10 MG 30 FTB.</t>
  </si>
  <si>
    <t>ARAMID 20 MG 30 FTB.</t>
  </si>
  <si>
    <t>ARANESP 10 MCG 4 ENJ.</t>
  </si>
  <si>
    <t>ARANESP 100 MCG 4 ENJ.</t>
  </si>
  <si>
    <t>ARANESP 150  MCG 4 ENJ.</t>
  </si>
  <si>
    <t>ARANESP 20 MCG 4 ENJ.</t>
  </si>
  <si>
    <t>ARANESP 30 MCG 4 ENJ.</t>
  </si>
  <si>
    <t>ARANESP 40 MCG 4 ENJ.</t>
  </si>
  <si>
    <t>ARANESP 50 MCG 4 ENJ.</t>
  </si>
  <si>
    <t>ARANESP 60 MCG 4 ENJ.</t>
  </si>
  <si>
    <t>ARANESP 80 MCG 4 ENJ.</t>
  </si>
  <si>
    <t>ARAVA 10 MG 30 TB.</t>
  </si>
  <si>
    <t>ARAVA 20 MG 30 TB.</t>
  </si>
  <si>
    <t>ARBESTA 150 MG 28 FTB.</t>
  </si>
  <si>
    <t>ARBESTA 300 MG 28 FTB.</t>
  </si>
  <si>
    <t>ARCALION 200 MG 30 DRG.</t>
  </si>
  <si>
    <t>ARCAPTA 150 MCG 30 INH CAP.</t>
  </si>
  <si>
    <t>ARCOTIL 20 MG 2 ML 1  FLK.</t>
  </si>
  <si>
    <t>ARFEN 50 MG 2 ML 6 AMP.</t>
  </si>
  <si>
    <t>ARIA-DES 2.5 MG 150 ML SRP</t>
  </si>
  <si>
    <t>ARIA-DES 5 MG 20 FTB.</t>
  </si>
  <si>
    <t>8681308091086</t>
  </si>
  <si>
    <t>ARICEPT 10 MG 28 FTB.</t>
  </si>
  <si>
    <t>8681308091079</t>
  </si>
  <si>
    <t>ARICEPT 5 MG 14 FTB.</t>
  </si>
  <si>
    <t>8681308091062</t>
  </si>
  <si>
    <t>ARICEPT 5 MG 28 FTB.</t>
  </si>
  <si>
    <t>ARICEPT EVESS 10 MG 28 TB.</t>
  </si>
  <si>
    <t>ARIFAY  5 MG 28 TB.</t>
  </si>
  <si>
    <t>ARIFAY 10 MG 28 TB.</t>
  </si>
  <si>
    <t>ARIFAY 15 MG 28 TB.</t>
  </si>
  <si>
    <t>ARIMIDEX 1 MG 28 FTB.</t>
  </si>
  <si>
    <t>ARINNA 40 MG 28 TB.</t>
  </si>
  <si>
    <t>ARIPA  5 MG 28 TB.</t>
  </si>
  <si>
    <t>ARIPA 10 MG 28 TB.</t>
  </si>
  <si>
    <t>ARIPA 15 MG 28 TB.</t>
  </si>
  <si>
    <t>ARIPA 20 MG 28 TB.</t>
  </si>
  <si>
    <t>ARIPA 30 MG 28 TB</t>
  </si>
  <si>
    <t>ARISTU 1 MG 28 TB.</t>
  </si>
  <si>
    <t>ARITMAL %10 5 ML 3 AMP.</t>
  </si>
  <si>
    <t>ARITMAL %2 5 ML 5 AMP.</t>
  </si>
  <si>
    <t>ARIXTRA 2.5 MG 0.5 ML 10 ENJ.</t>
  </si>
  <si>
    <t>ARLEC 12.5 MG 28 TB.</t>
  </si>
  <si>
    <t>ARLEC 25 MG 28 TB.</t>
  </si>
  <si>
    <t>ARLEC 3.125 MG 28 TB.</t>
  </si>
  <si>
    <t>ARLEC 6.25 MG 28 TB.</t>
  </si>
  <si>
    <t>8681308121004</t>
  </si>
  <si>
    <t>AROMASIN  25 MG 30 DRJ.</t>
  </si>
  <si>
    <t>8699856710083</t>
  </si>
  <si>
    <t>ARTELAC® ADVANCED 30 FLAKON</t>
  </si>
  <si>
    <t>ARTRIL %5 40 GR JEL.</t>
  </si>
  <si>
    <t>ARTRIL 400 MG 20 FTB.</t>
  </si>
  <si>
    <t>ARTRIL 600 MG 20 FTB.</t>
  </si>
  <si>
    <t>ARTROCOL %2.5 45 GR JEL</t>
  </si>
  <si>
    <t>ARTRODAR 50 MG 30 CAP.</t>
  </si>
  <si>
    <t>ARTRODAR 50 MG 60 CAP.</t>
  </si>
  <si>
    <t>ARTROJECT 10 MG 1 ML 1 ENJ.</t>
  </si>
  <si>
    <t>ARTROJECT 15 MG 1.5 ML 1 ENJ.</t>
  </si>
  <si>
    <t>ARTROJECT 20 MG 2 ML 1 ENJ.</t>
  </si>
  <si>
    <t>ARTROPAN 20 MG 1 AMP.</t>
  </si>
  <si>
    <t>ARVELES 25 MG 20 FTB.</t>
  </si>
  <si>
    <t>ARVELES 50 MG 2 ML 6 AMP</t>
  </si>
  <si>
    <t>ARVILA 250 MG 120 TB.</t>
  </si>
  <si>
    <t>ARYPEZ 5 MG 28 FTB.</t>
  </si>
  <si>
    <t>ASACOL 500 MG 20 SUPP.</t>
  </si>
  <si>
    <t>ASACOL 800 MG 90 TB.</t>
  </si>
  <si>
    <t>ASEC 100 MG 20 FTB.</t>
  </si>
  <si>
    <t>ASE-COLD 100 ML PED. SRP</t>
  </si>
  <si>
    <t>ASEKET 25 MG/500 MG 20 FTB.</t>
  </si>
  <si>
    <t>ASIST  900 MG  20 SASE</t>
  </si>
  <si>
    <t>ASIST 1200 MG 20 SASE</t>
  </si>
  <si>
    <t>ASIST 200 MG 150 ML SUSP.</t>
  </si>
  <si>
    <t>ASIST 300 MG 10 AMP.</t>
  </si>
  <si>
    <t>ASIST PED 200 MG 100 ML SUSP.</t>
  </si>
  <si>
    <t>ASIST PLUS 600 MG 30 SASE</t>
  </si>
  <si>
    <t>ASIVIRAL %5 10 GR KR.</t>
  </si>
  <si>
    <t>ASIVIRAL 200 MG 25 TB.</t>
  </si>
  <si>
    <t>ASIVIRAL 400 MG 25 TB</t>
  </si>
  <si>
    <t>ASPIRIN 100 MG 20 TB.</t>
  </si>
  <si>
    <t>ASPIRIN 500 MG 20 TB.</t>
  </si>
  <si>
    <t>ASPIRIN COMP. 500 MG 10 SASE</t>
  </si>
  <si>
    <t>ASPIRIN COMP. 500 MG 20 SASE</t>
  </si>
  <si>
    <t>ASTONIN H 0.1 MG 100 TB.</t>
  </si>
  <si>
    <t>ATACAND 16 MG 28 TB.</t>
  </si>
  <si>
    <t>ATACAND 32 MG 28 TB.</t>
  </si>
  <si>
    <t>ATACAND 8 MG 28 TB.</t>
  </si>
  <si>
    <t>ATAFLOKS 400 MG 7 FTB.</t>
  </si>
  <si>
    <t>ATARAX 2 MG 200 ML SRP.</t>
  </si>
  <si>
    <t>ATARAX 25 MG 30 TB.</t>
  </si>
  <si>
    <t>ATAXIL 30 MG 5 ML 1 FLK.</t>
  </si>
  <si>
    <t>ATEROSKLEROL %1 2 ML 5 AMP.</t>
  </si>
  <si>
    <t>ATEROSKLEROL %2 2 ML 5 AMP.</t>
  </si>
  <si>
    <t>ATEROSKLEROL %3 2 ML 5 AMP.</t>
  </si>
  <si>
    <t>ATEROZ 10 MG 30 FTB.</t>
  </si>
  <si>
    <t>ATEROZ 20 MG 30 FTB.</t>
  </si>
  <si>
    <t>ATEROZ 40 MG 30 FTB.</t>
  </si>
  <si>
    <t>ATERVIX 75 MG 28 FTB.</t>
  </si>
  <si>
    <t>ATIVAN EXPIDET 1 MG 20 TB **</t>
  </si>
  <si>
    <t>ATIVAN EXPIDET 2.5 MG 20 TB**</t>
  </si>
  <si>
    <t>ATOKSILIN 1 GR 16 TB.</t>
  </si>
  <si>
    <t>ATOKSILIN 500 MG 16 TB.</t>
  </si>
  <si>
    <t>ATOMINEX 10 MG 28 CAP.</t>
  </si>
  <si>
    <t>ATOMINEX 100 MG 28 CAP.</t>
  </si>
  <si>
    <t>ATOMINEX 18 MG 28 CAP.</t>
  </si>
  <si>
    <t>ATOMINEX 25 MG 28 CAP.</t>
  </si>
  <si>
    <t>ATOMINEX 40 MG 28 CAP.</t>
  </si>
  <si>
    <t>ATOMINEX 60 MG 28 CAP.</t>
  </si>
  <si>
    <t>ATOMINEX 80 MG 28 CAP.</t>
  </si>
  <si>
    <t>ATOR 10 MG 30 FTB.</t>
  </si>
  <si>
    <t>ATOR 20 MG 30 FTB.</t>
  </si>
  <si>
    <t>ATOR 40 MG 30 FTB.</t>
  </si>
  <si>
    <t>ATOR 80 MG 30 FTB.</t>
  </si>
  <si>
    <t>8681697750014</t>
  </si>
  <si>
    <t>ATRASYL İ.V.50 mg/5 ml ENJEKSİYON 10 AMPUL</t>
  </si>
  <si>
    <t>ATROPIN SUL 0.5 MG 10 AMP.GAL</t>
  </si>
  <si>
    <t>ATROVENT 250 MCG 2 ML 20 FLK.</t>
  </si>
  <si>
    <t>ATTEX 10 MG 28 CAP.</t>
  </si>
  <si>
    <t>ATTEX 100 MG 28 CAP.</t>
  </si>
  <si>
    <t>ATTEX 18 MG 28 CAP.</t>
  </si>
  <si>
    <t>ATTEX 25 MG 28 CAP.</t>
  </si>
  <si>
    <t>ATTEX 40 MG 28 CAP.</t>
  </si>
  <si>
    <t>ATTEX 60 MG 28 CAP.</t>
  </si>
  <si>
    <t>ATTEX 80 MG 28 CAP.</t>
  </si>
  <si>
    <t>AUBAGIO 14 MG 28 FTB</t>
  </si>
  <si>
    <t>AUGMENTIN BID 1 GR 10 FTB.</t>
  </si>
  <si>
    <t>AUGMENTIN BID 1 GR 14 FTB.</t>
  </si>
  <si>
    <t>AUGMENTIN BID 625 MG 10 FTB.</t>
  </si>
  <si>
    <t>AUGMENTIN BID 625 MG 14 FTB.</t>
  </si>
  <si>
    <t>AURORIX 150 MG 30 TB.</t>
  </si>
  <si>
    <t>AURORIX 300 MG 30 TB.</t>
  </si>
  <si>
    <t>AVALCEPT 450 MG 60 FTB</t>
  </si>
  <si>
    <t>AVAMYS 27,5 MCG 120 DOZ BURUN</t>
  </si>
  <si>
    <t>AVELOX 400 MG 250 ML 1 FLK.</t>
  </si>
  <si>
    <t>AVELOX 400 MG 7 FTB.</t>
  </si>
  <si>
    <t>AVICAP 30.000 IU 30 CAP.</t>
  </si>
  <si>
    <t>AVIL %1 25 GR POM.</t>
  </si>
  <si>
    <t>AVIL 15 MG 100 ML SRP.</t>
  </si>
  <si>
    <t>AVIL 22.7 MG 20 TB.</t>
  </si>
  <si>
    <t>AVIL 45.5 MG 2 ML 5 AMP.</t>
  </si>
  <si>
    <t>AVIRAVIR 0.5 MG 30 FTB.</t>
  </si>
  <si>
    <t>AVIRAVIR 1 MG 30 FTB.</t>
  </si>
  <si>
    <t>AVITAZ 4.5 GR IV 1 FLK.</t>
  </si>
  <si>
    <t>AVITOREL 10 MG 30 FTB.</t>
  </si>
  <si>
    <t>AVITOREL 20 MG 30 FTB.</t>
  </si>
  <si>
    <t>AVMIGRAN 325 MG 20 TB.</t>
  </si>
  <si>
    <t>AVODART 0.5 MG 30 CAP.</t>
  </si>
  <si>
    <t>AVONEX 30 MCG 0.5 ML 4 PEN</t>
  </si>
  <si>
    <t>AXID 150 MG 28 CAP.</t>
  </si>
  <si>
    <t>AXID 300 MG 28 CAP.</t>
  </si>
  <si>
    <t>AXIVOL PLUS 60+2.5 MG 20 EFF*</t>
  </si>
  <si>
    <t>AYRA 16 MG 28 TB.</t>
  </si>
  <si>
    <t>AYRA 8 MG 28 TB.</t>
  </si>
  <si>
    <t>AYRA PLUS 16/12.5 MG 28 TB.</t>
  </si>
  <si>
    <t>AYRA PLUS 16/12.5 MG 90 TB.</t>
  </si>
  <si>
    <t>AZADIN 100 MG 1 FLK.</t>
  </si>
  <si>
    <t>AZARGA %1+0.5 5 ML GOZ GTT.</t>
  </si>
  <si>
    <t>AZATHIOPRINE 50 MG 100 TB.</t>
  </si>
  <si>
    <t>AZAX 500 MG 3 FTB.</t>
  </si>
  <si>
    <t>AZELDERM %20 30 GR KR.</t>
  </si>
  <si>
    <t>AZELTIN 200 MG 15 ML SUSP.</t>
  </si>
  <si>
    <t>AZELTIN 200 MG 30 ML SUSP.</t>
  </si>
  <si>
    <t>AZELTIN 250 MG 6 FTB.</t>
  </si>
  <si>
    <t>AZELTIN 500 MG 3 FTB.</t>
  </si>
  <si>
    <t>AZENOSE %0.14 10 ML NAS SPR.</t>
  </si>
  <si>
    <t>AZILECT 1 MG 30 FTB.</t>
  </si>
  <si>
    <t>AZIPAR 1 MG 30 TB.</t>
  </si>
  <si>
    <t>AZITRO 200 MG 15 ML SUSP.</t>
  </si>
  <si>
    <t>AZITRO 200 MG 30 ML SUSP.</t>
  </si>
  <si>
    <t>AZITRO 250 MG 6 FTB.</t>
  </si>
  <si>
    <t>AZITRO 500 MG 1 FLK.</t>
  </si>
  <si>
    <t>AZITRO 500 MG 3 FTB.</t>
  </si>
  <si>
    <t>AZOMAX 200 MG 15 ML SUSP.</t>
  </si>
  <si>
    <t>AZOMAX 200 MG 30 ML SUSP.</t>
  </si>
  <si>
    <t>AZOMAX 500 MG 3 FTB.</t>
  </si>
  <si>
    <t>AZOPT %1 5 ML GOZ GTT.</t>
  </si>
  <si>
    <t>AZOSILIN 500/50 MG 30 TB.</t>
  </si>
  <si>
    <t>AZRO 200 MG 15 ML SUSP.</t>
  </si>
  <si>
    <t>AZRO 200 MG 30 ML SUSP.</t>
  </si>
  <si>
    <t>AZRO 500 MG 3 TB.</t>
  </si>
  <si>
    <t>AZYTER 15 MG TEK DOZ 6 FLK.</t>
  </si>
  <si>
    <t>BACLAN 75 MG 28 FTB.</t>
  </si>
  <si>
    <t>BACLOREX 10 MG 20 ML 1 FLK.</t>
  </si>
  <si>
    <t>BACLOREX 10 MG 5 ML 1 FLK.</t>
  </si>
  <si>
    <t>BACODERM %2 15 GR KR.</t>
  </si>
  <si>
    <t>BACODERM %2 15 GR POM.</t>
  </si>
  <si>
    <t>BACTRIM 400/80 MG 30 TB.</t>
  </si>
  <si>
    <t>BACTRIM 400/80 MG IV 1 AMP.</t>
  </si>
  <si>
    <t>BACTROBAN %2 15 GR POM.</t>
  </si>
  <si>
    <t>BALABAN %2 15 GR POM.</t>
  </si>
  <si>
    <t>BARACLUDE 0.5 MG 30 FTB.</t>
  </si>
  <si>
    <t>BARACLUDE 1 MG 30 FTB.</t>
  </si>
  <si>
    <t>BARAVIR 0.5 MG 30 FTB.</t>
  </si>
  <si>
    <t>BARAVIR 1 MG 30 FTB.</t>
  </si>
  <si>
    <t>BARCA SR 600 MG 10 FTB.</t>
  </si>
  <si>
    <t>BASAGLAR 100 IU 3 ML 6 PEN</t>
  </si>
  <si>
    <t>BASIC CAD 400 GR.</t>
  </si>
  <si>
    <t>BASIC CH 300 GR.</t>
  </si>
  <si>
    <t>BASIC F 300 GR.</t>
  </si>
  <si>
    <t>BASIC P 400 GR.</t>
  </si>
  <si>
    <t>BAVENCIO 200 MG 10 ML 1 FLK.</t>
  </si>
  <si>
    <t>BAX.PRIMENE % 10 250 ML.</t>
  </si>
  <si>
    <t>BEBELAC LF 400 GR.</t>
  </si>
  <si>
    <t>BEBELAC PEPTI JUNIOR 450 GR.</t>
  </si>
  <si>
    <t>BECONYL 1.5 MG+66.5 MG 100 ML</t>
  </si>
  <si>
    <t>BEHEPTAL 500 MG 2 ML 5 AMP.</t>
  </si>
  <si>
    <t>BEKLAZON %0.025 30 GR KR.</t>
  </si>
  <si>
    <t>BEKLAZON %0.025 30 GR POM.</t>
  </si>
  <si>
    <t>BEKLAZON %0.025 50 ML LOS.</t>
  </si>
  <si>
    <t>BEKSAR %1 60 GR JEL</t>
  </si>
  <si>
    <t>BEKUNIS 3/5 MG 30 FTB.</t>
  </si>
  <si>
    <t>BELOC 5 MG 5 ML 1 AMP.</t>
  </si>
  <si>
    <t>BELOC DURULES 200 MG 20 FTB.</t>
  </si>
  <si>
    <t>BELOC ZOK 100 MG 20 FTB.</t>
  </si>
  <si>
    <t>BELOC ZOK 25 MG 20 FTB.</t>
  </si>
  <si>
    <t>BELOC ZOK 50 MG 20 FTB.</t>
  </si>
  <si>
    <t>BELOGENT %0.05+0.1 30 GR KR.</t>
  </si>
  <si>
    <t>BEMATORIN %0.03 3 ML GOZ GTT.</t>
  </si>
  <si>
    <t>BEMIKS 30 FTB.</t>
  </si>
  <si>
    <t>BEMIKS C 28 TB.</t>
  </si>
  <si>
    <t>BEMIKS COMP 5 AMP.</t>
  </si>
  <si>
    <t>BENDAMUS 100 MG 1 FLK.</t>
  </si>
  <si>
    <t>BENDAMUS 25 MG 1 FLK.</t>
  </si>
  <si>
    <t>BENEFIX 1000 IU IV. 1 FLK.</t>
  </si>
  <si>
    <t>BEN-GAY %10+%15 50 GR POM.</t>
  </si>
  <si>
    <t>BENICAL 10 MG 100 ML SRP.*</t>
  </si>
  <si>
    <t>BENICAL COLD 20 TB *</t>
  </si>
  <si>
    <t>BENIPIN 4 MG 30 FTB.</t>
  </si>
  <si>
    <t>BENIPIN 8 MG 30 FTB.</t>
  </si>
  <si>
    <t>BENPAIN %0.15 120 ML GARG.</t>
  </si>
  <si>
    <t>BENPAIN %0.15 MG 30 ML SPR.</t>
  </si>
  <si>
    <t>BENVIDA 10 MG 20 ML 1 FLK.</t>
  </si>
  <si>
    <t>BENVIDA 100 MG 56 FTB.</t>
  </si>
  <si>
    <t>BENVIDA 150 MG 56 FTB.</t>
  </si>
  <si>
    <t>8699569092742</t>
  </si>
  <si>
    <t>BENVIDA 200 MG 56 FTB.</t>
  </si>
  <si>
    <t>BENVIDA 50 MG 14 FTB.</t>
  </si>
  <si>
    <t>BENZADERM %5+3 40 GR JEL.</t>
  </si>
  <si>
    <t>BENZAMYCIN %5+3 46.6 GR JEL</t>
  </si>
  <si>
    <t>BENZAPEN LA 1.2 IU 1 FLK.</t>
  </si>
  <si>
    <t>BENZAPEN LA 2.4 IU 1 FLK.</t>
  </si>
  <si>
    <t>BENZOXIN %5+1 25 GR JEL</t>
  </si>
  <si>
    <t>BENZYDEX  %0.15 120 ML GARG.</t>
  </si>
  <si>
    <t>BENZYDEX  %0.15 30 ML SPR.</t>
  </si>
  <si>
    <t>BEPANTHEN 100 MG 20 PAST.</t>
  </si>
  <si>
    <t>BEPANTHENE 500 MG 2 ML 5 AMP.</t>
  </si>
  <si>
    <t>BERAXIN 500 MG 7 FTB.</t>
  </si>
  <si>
    <t>BERAXIN 750 MG 7 FTB.</t>
  </si>
  <si>
    <t>BERAZINC 15 MG 100 ML SRP.</t>
  </si>
  <si>
    <t>BERAZINC 50 MG 40 CAP.</t>
  </si>
  <si>
    <t>BERKOLIN 1 MG 10 ML NAS SPR.</t>
  </si>
  <si>
    <t>BESIVANCE %0.6 5 ML GOZ GTT.</t>
  </si>
  <si>
    <t>BETABLOK SDK 100 MG 20 FTB.</t>
  </si>
  <si>
    <t>BETABLOK SDK 25 MG 20 FTB.</t>
  </si>
  <si>
    <t>BETABLOK SDK 50 MG 20 FTB.</t>
  </si>
  <si>
    <t>BETABLOK SDK 50 MG 30 FTB.</t>
  </si>
  <si>
    <t>BETAFERON 0.3 MG 15 FLK.</t>
  </si>
  <si>
    <t>BETANORM 80 MG 100 TB.</t>
  </si>
  <si>
    <t>BETANORM 80 MG 20 TB.</t>
  </si>
  <si>
    <t>BETANORM 80 MG 60 TB.</t>
  </si>
  <si>
    <t>BETANORM MR 30 MG 30 TB</t>
  </si>
  <si>
    <t>BETANORM MR 30 MG 60 TB</t>
  </si>
  <si>
    <t>BETANORM MR 30 MG 90 TB.</t>
  </si>
  <si>
    <t>BETANORM MR 60 MG 30 TB</t>
  </si>
  <si>
    <t>BETANORM MR 60 MG 60 TB.</t>
  </si>
  <si>
    <t>BETASALIC %0.05+2 50 ML LOS.</t>
  </si>
  <si>
    <t>BETASALIC %0.05+3 30 GR POM.</t>
  </si>
  <si>
    <t>BETASERC 16 MG 30 TB.</t>
  </si>
  <si>
    <t>BETASERC 24 MG 100 TB.</t>
  </si>
  <si>
    <t>BETASERC 24 MG 20 TB.</t>
  </si>
  <si>
    <t>BETASERC 24 MG 60 TB.</t>
  </si>
  <si>
    <t>BETASERC 8 MG 30 TB.</t>
  </si>
  <si>
    <t>BETMIGA 50 MG 30 FTB.</t>
  </si>
  <si>
    <t>BETNOVATE %0.1 20 ML LOS.</t>
  </si>
  <si>
    <t>BETNOVATE %0.1 30 GR KR.</t>
  </si>
  <si>
    <t>BETNOVATE %0.1 30 GR POM.</t>
  </si>
  <si>
    <t>BETNOVATE %0.1 30 ML SAC LOS.</t>
  </si>
  <si>
    <t>BETNOVATE C %0.1+3 30 GR KR.</t>
  </si>
  <si>
    <t>BETNOVATE C %0.1+3 30 GR POM.</t>
  </si>
  <si>
    <t>BETOPTIC 0.5 MG 5 ML GOZ GTT.</t>
  </si>
  <si>
    <t>BEXGRATN 75 MG 100 CAP.</t>
  </si>
  <si>
    <t>BF. HEPASELAMIN 500 ML</t>
  </si>
  <si>
    <t>BF.% 0.9 IZOTONIK 1000 ML</t>
  </si>
  <si>
    <t>BF.% 0.9 IZOTONIK 500 ML</t>
  </si>
  <si>
    <t>BF.%30 DEX. 500 ML 1</t>
  </si>
  <si>
    <t>BF.%5 DEX. 1000 ML</t>
  </si>
  <si>
    <t>BF.%5 DEX. 500 ML</t>
  </si>
  <si>
    <t>BF.IZOLEKS 500 ML</t>
  </si>
  <si>
    <t>BF.IZOLEKS-M 1000 ML</t>
  </si>
  <si>
    <t>BF.IZOLEKS-M 500 ML</t>
  </si>
  <si>
    <t>BF.NEFRASIN 500 ML.</t>
  </si>
  <si>
    <t>BF.RINGER LAKTAT 1000 ML</t>
  </si>
  <si>
    <t>BF.RINGER LAKTAT 500 ML</t>
  </si>
  <si>
    <t>BICNU 100 MG 1 FLK.</t>
  </si>
  <si>
    <t>BIEMEXOL 300 MG 100 ML 1 FLK.</t>
  </si>
  <si>
    <t>BIEMEXOL 350 MG 100 ML 1 FLK.</t>
  </si>
  <si>
    <t>BIEMEXOL 350 MG 200 ML 1 FLK.</t>
  </si>
  <si>
    <t>BIEMEXOL 350 MG 50 ML 1 FLK.</t>
  </si>
  <si>
    <t>BIEMIB 3.5 MG 1 FLK.</t>
  </si>
  <si>
    <t>BIKARAMIN COLD 100 ML SRP</t>
  </si>
  <si>
    <t>BIKTARVY 50/200/25 MG 30 FTB.</t>
  </si>
  <si>
    <t>BILAXTEN 20 MG 20 TB.</t>
  </si>
  <si>
    <t>BINOCRIT 10000 IU 1 ML 6 ENJ.</t>
  </si>
  <si>
    <t>BIOAK 5 MG 30 TB.</t>
  </si>
  <si>
    <t>BIOFENAC 100 MG 20 FTB.</t>
  </si>
  <si>
    <t>BIOGAIA 100 MG 5 ML GTT.</t>
  </si>
  <si>
    <t>BIOKADIN VAG 0.2 GR 14 SUPP.</t>
  </si>
  <si>
    <t>BIOXININ FORTE %5 DERI SPR 60</t>
  </si>
  <si>
    <t>BI-PROFENID 100 MG 20 TB.</t>
  </si>
  <si>
    <t>BI-PROFENID 150 MG 10 TB.</t>
  </si>
  <si>
    <t>BITERAL 250 MG 20 FTB.</t>
  </si>
  <si>
    <t>BITERAL 500 MG 10 FTB.</t>
  </si>
  <si>
    <t>BITERAL 500 MG 3 ML 1 AMP.</t>
  </si>
  <si>
    <t>BITERAL 500 MG 3 VAG TB.</t>
  </si>
  <si>
    <t>BITIRON 50/12.5 MCG 100 TB.</t>
  </si>
  <si>
    <t>BIVOXA %0.5 5 ML GOZ GTT.</t>
  </si>
  <si>
    <t>BIZMOPEN 262 MG 30 CIGN TB.</t>
  </si>
  <si>
    <t>BLEMISIN 15 MG 1 FLK.</t>
  </si>
  <si>
    <t>BLEOCIN S 15 MG 1 FLK.</t>
  </si>
  <si>
    <t>BLOXER 5 MG 28 TB.</t>
  </si>
  <si>
    <t>BLUMET 100 MG 10 ML 1 AMP.</t>
  </si>
  <si>
    <t>BLUMET 50 MG 5 ML 1 AMP.</t>
  </si>
  <si>
    <t>BONDREX 4 MG 5 ML 1 FLK.</t>
  </si>
  <si>
    <t>8699543091815</t>
  </si>
  <si>
    <t>BONDRONAT 50 MG 28 FTB</t>
  </si>
  <si>
    <t>8699543760032</t>
  </si>
  <si>
    <t>BONDRONAT 6 MG 6 ML 1 FLK.</t>
  </si>
  <si>
    <t>8699844760809</t>
  </si>
  <si>
    <t>BONEDRO 4 MG 5 ML IU 1 FLK</t>
  </si>
  <si>
    <t>BONEFOS 800 MG 60 TB.</t>
  </si>
  <si>
    <t>BONMORE 3 MG 3 ML 1 SIRINGA</t>
  </si>
  <si>
    <t>BONVIVA 150 MG 3 FTB.</t>
  </si>
  <si>
    <t>BONVIVA 3 MG 3 ML 1 ENJ.</t>
  </si>
  <si>
    <t>BONYL 70 MG/2800 IU 4 TB.</t>
  </si>
  <si>
    <t>BOOSTRIX 0.5 ML 1 ENJ</t>
  </si>
  <si>
    <t>BORCADE 3.5 MG 1 FLK.</t>
  </si>
  <si>
    <t>BOREA 160 MG 30 TB.</t>
  </si>
  <si>
    <t>BOSULIF 100 MG 28 FTB.</t>
  </si>
  <si>
    <t>BOSULIF 500 MG 28 FTB.</t>
  </si>
  <si>
    <t>BRADIKANT 30 MG 3 ML 1 ENJ.</t>
  </si>
  <si>
    <t>BRECUR 100 MCG 200 DOZ INH.</t>
  </si>
  <si>
    <t>BRECUR 2.5 MG 2.5 ML 20 FLK.</t>
  </si>
  <si>
    <t>BRICANYL 2.5 MG 50 TB.</t>
  </si>
  <si>
    <t>BRIDION 200 MG 2 ML 10 FLK.</t>
  </si>
  <si>
    <t>BRILINTA 60 MG 56 FTB.</t>
  </si>
  <si>
    <t>BRILINTA 90 MG 56 FTB.</t>
  </si>
  <si>
    <t>BRIMOGUT %0.15 5 ML GOZ GTT.</t>
  </si>
  <si>
    <t>BRIMOLIX %0.15 5 ML GOZ GTT.</t>
  </si>
  <si>
    <t>BRINTELLIX 10 MG 28 FTB.</t>
  </si>
  <si>
    <t>BRINTELLIX 20 MG 28 FTB.</t>
  </si>
  <si>
    <t>BRINTELLIX 5 MG 14 FTB.</t>
  </si>
  <si>
    <t>BRINTELLIX 5 MG 28 FTB.</t>
  </si>
  <si>
    <t>BRITIL %1 5 ML GOZ GTT.</t>
  </si>
  <si>
    <t>BRONCHIPRET SURUP 100 ML</t>
  </si>
  <si>
    <t>BRONCHOREST 10/5 MG 30 CAP.</t>
  </si>
  <si>
    <t>BRONKOLIN RET 200 MG 30 TB.</t>
  </si>
  <si>
    <t>BRONKOLIN RET 300 MG 50 TB.</t>
  </si>
  <si>
    <t>BRONTIO 18 MCG 30 INH CAP.</t>
  </si>
  <si>
    <t>BRUFEN 400 MG 20 FTB.</t>
  </si>
  <si>
    <t>BRUFEN 600 MG 20 TB.</t>
  </si>
  <si>
    <t>BRUFEN RET 800 MG 14 FTB.</t>
  </si>
  <si>
    <t>BRUNAC %5 5 ML GOZ GTT.</t>
  </si>
  <si>
    <t>BRUPREX 200 MG 100 ML SUSP.</t>
  </si>
  <si>
    <t>BRUS 100 MG 100 ML PED SUSP.</t>
  </si>
  <si>
    <t>BT ENEMA 19+7 GR 135 ML SOL.</t>
  </si>
  <si>
    <t>BUDECORT 0.25 MG 2 ML 20 AMP.</t>
  </si>
  <si>
    <t>BUDECORT 0.5 MG 2 ML 20 AMP.</t>
  </si>
  <si>
    <t>BUDENOFALK 3 MG 100 CAP.</t>
  </si>
  <si>
    <t>BUDENOFALK 3 MG 50 CAP.</t>
  </si>
  <si>
    <t>BUDENOSIN 400 MCG 60 DOZ INH.</t>
  </si>
  <si>
    <t>BURAZIN %0.05 10 ML SPR.</t>
  </si>
  <si>
    <t>BUSCOPAN 10 MG 20 DRG.</t>
  </si>
  <si>
    <t>BUSCOPAN 20 MG 6 AMP.</t>
  </si>
  <si>
    <t>BUSILVEX 60 MG 10 ML 1 FLK.</t>
  </si>
  <si>
    <t>BUSLERA 60 MG 10 ML 1 FLK.</t>
  </si>
  <si>
    <t>BUSPON 5 MG 50 CAP. *</t>
  </si>
  <si>
    <t>BUTADERM  %1 15 GR KR.</t>
  </si>
  <si>
    <t>BUTADERM  %1 30 GR KR.</t>
  </si>
  <si>
    <t>BUTADERM %1 30 ML SPR.</t>
  </si>
  <si>
    <t>BUTAFLY %1 15 GR KR.</t>
  </si>
  <si>
    <t>BUTAFLY %1 30 GR KR.</t>
  </si>
  <si>
    <t>BUTAMCOD 7.5 MG 100 ML SRP.</t>
  </si>
  <si>
    <t>BUTEFIN %1 15 GR KR.</t>
  </si>
  <si>
    <t>BUTEFIN %1 30 G KR.</t>
  </si>
  <si>
    <t>BUTEFIN %1 30 ML SPR.</t>
  </si>
  <si>
    <t>BUTEGAL %1 30 GR KR.</t>
  </si>
  <si>
    <t>BUTEGAL %1 30 ML SPR.</t>
  </si>
  <si>
    <t>BUTIROL 7.5 MG 100 ML SRP.</t>
  </si>
  <si>
    <t>BUTOPAN 10 MG 20 DRG.</t>
  </si>
  <si>
    <t>BUVASIN 5 MG 1 FLK.</t>
  </si>
  <si>
    <t>BUVICAINE 5 MG 1 FLK.</t>
  </si>
  <si>
    <t>BX.% 0.9 IZOTONIK 100 ML</t>
  </si>
  <si>
    <t>BX.% 0.9 IZOTONIK 1000 ML</t>
  </si>
  <si>
    <t>BX.% 0.9 IZOTONIK 150 ML</t>
  </si>
  <si>
    <t>BX.% 0.9 IZOTONIK 250 ML</t>
  </si>
  <si>
    <t>BX.% 0.9 IZOTONIK 3000 ML</t>
  </si>
  <si>
    <t>BX.% 0.9 IZOTONIK 50 ML</t>
  </si>
  <si>
    <t>BX.% 0.9 IZOTONIK 500 ML</t>
  </si>
  <si>
    <t>BX.% 0.9 IZOTONIK PP 1000 ML</t>
  </si>
  <si>
    <t>BX.% 0.9 IZOTONIK PP 500 ML</t>
  </si>
  <si>
    <t>BX.% 20 MANNITOL 500 ML</t>
  </si>
  <si>
    <t>BX.%1.5 GLISIN 3000 ML</t>
  </si>
  <si>
    <t>BX.%10 DEX. 500 ML</t>
  </si>
  <si>
    <t>BX.%20 MANNITOL 100 ML 1</t>
  </si>
  <si>
    <t>BX.%20 MANNITOL 150 ML</t>
  </si>
  <si>
    <t>BX.%3 HIPERTRONIK NACL 150 ML</t>
  </si>
  <si>
    <t>BX.%5 DEX. %0.2 NACL 500 ML</t>
  </si>
  <si>
    <t>BX.%5 DEX. %0.45 NACL 1000 ML</t>
  </si>
  <si>
    <t>BX.%5 DEX. %0.45 NACL 500 ML</t>
  </si>
  <si>
    <t>BX.%5 DEX. 100 ML</t>
  </si>
  <si>
    <t>BX.%5 DEX. 1000 ML</t>
  </si>
  <si>
    <t>BX.%5 DEX. 150 ML</t>
  </si>
  <si>
    <t>BX.%5 DEX. 250 ML</t>
  </si>
  <si>
    <t>BX.%5 DEX. 500 ML</t>
  </si>
  <si>
    <t>BX.%5 DEX. LAK.RING. 1000 ML</t>
  </si>
  <si>
    <t>BX.%5 DEX. LAK.RING. 500 ML</t>
  </si>
  <si>
    <t>BX.1/3 IZOMIKS 250 ML</t>
  </si>
  <si>
    <t>BX.1/3 IZOMIKS 500 ML</t>
  </si>
  <si>
    <t>BX.BIOFLEKS % 20 DEKSTROZ 500</t>
  </si>
  <si>
    <t>BX.IZOLEKS 1000 ML</t>
  </si>
  <si>
    <t>BX.IZOLEKS 500 ML</t>
  </si>
  <si>
    <t>BX.IZOLEKS-M %5 DEX. 1000 M</t>
  </si>
  <si>
    <t>BX.IZOLEKS-M %5 DEX. 500 ML</t>
  </si>
  <si>
    <t>BX.IZOLEKS-P 250 ML</t>
  </si>
  <si>
    <t>BX.IZOLEKS-P 500 ML</t>
  </si>
  <si>
    <t>BX.IZOLEKS-S P.H 7.4 500 ML</t>
  </si>
  <si>
    <t>BX.METROSEL 100 ML 1</t>
  </si>
  <si>
    <t>BX.REZOSEL %5 MANITOL 3000</t>
  </si>
  <si>
    <t>BX.RINGER 1000 ML</t>
  </si>
  <si>
    <t>BX.RINGER LAKTAT 1000 ML</t>
  </si>
  <si>
    <t>BX.RINGER LAKTAT 500 ML</t>
  </si>
  <si>
    <t>BX.TEOSEL 200 IV 100 ML</t>
  </si>
  <si>
    <t>BYETTA 10 MCG 2.4 ML 1 PEN</t>
  </si>
  <si>
    <t>BYETTA 5 MCG 1.2 ML 1 PEN</t>
  </si>
  <si>
    <t>8681308011107</t>
  </si>
  <si>
    <t>CABASER 1 MG 20 TB.</t>
  </si>
  <si>
    <t>CABASER 2 MG 20 TB.</t>
  </si>
  <si>
    <t>CABATAX 60 MG 1.5 ML 1 FLK.</t>
  </si>
  <si>
    <t>CABRAL 400 MG 24 FTB.</t>
  </si>
  <si>
    <t>CABRAL 800 MG 3 ML 3 AMP.</t>
  </si>
  <si>
    <t>CADUET 10/10 MG 30 FTB.</t>
  </si>
  <si>
    <t>CADUET 10/20 MG 30 FTB.</t>
  </si>
  <si>
    <t>CADUET 5/10 MG 30 FTB.</t>
  </si>
  <si>
    <t>CADUET 5/20 MG 30 FTB.</t>
  </si>
  <si>
    <t>CAELYX 20 MG 1 FLK.</t>
  </si>
  <si>
    <t>CAFERGOT 1 MG 20 TB.</t>
  </si>
  <si>
    <t>CAFERGOT 1 MG 30 TB.</t>
  </si>
  <si>
    <t>CAJEX 1 MCG 1 ML 25 AMP.</t>
  </si>
  <si>
    <t>CAJEX 2 MCG 1 ML 25 AMP.</t>
  </si>
  <si>
    <t>CALBICOR 12.5 MG 30 TB.</t>
  </si>
  <si>
    <t>CALBICOR 25 MG 30 TB.</t>
  </si>
  <si>
    <t>CALBICOR 6.25 MG 30 TB.</t>
  </si>
  <si>
    <t>CALCINET D3 600 MG 60 EFF TB.</t>
  </si>
  <si>
    <t>CALCIOSEL %10 10 ML 5 AMP.</t>
  </si>
  <si>
    <t>CALCITRON 1 MCG 1 ML 25 AMP.</t>
  </si>
  <si>
    <t>CALCITRON 2 MCG 1 ML 25 AMP.</t>
  </si>
  <si>
    <t>CALDEROL 1 MCG 1 ML 25 AMP.</t>
  </si>
  <si>
    <t>CALDEROL 2 MCG 1 ML 25 AMP.</t>
  </si>
  <si>
    <t>CALES 3/3 MG 1 ML 1 AMP.</t>
  </si>
  <si>
    <t>CALGEL 20 GR JEL</t>
  </si>
  <si>
    <t>CALPOL 120 MG 150 ML SUSP.</t>
  </si>
  <si>
    <t>CALSIPAR 10 MCG 2 ML 5 AMP.</t>
  </si>
  <si>
    <t>CALSIPAR 5 MCG 1 ML 5 AMP.</t>
  </si>
  <si>
    <t>CAMPRAL 333 MG 84 CAP.</t>
  </si>
  <si>
    <t>8699844791384</t>
  </si>
  <si>
    <t>CANCAS I.V. 50 mg FLAKON</t>
  </si>
  <si>
    <t>CANCIDAS 50 MG 1 FLK.</t>
  </si>
  <si>
    <t>CANDECARD 16 MG 28 TB.</t>
  </si>
  <si>
    <t>CANDECARD 8 MG 28 TB.</t>
  </si>
  <si>
    <t>CANDEXIL 16 MG 28 TB.</t>
  </si>
  <si>
    <t>CANDEXIL 32 MG 28 TB.</t>
  </si>
  <si>
    <t>CANDEXIL 8 MG 28 TB.</t>
  </si>
  <si>
    <t>CANDIMAX 150 MG 2 CAP.</t>
  </si>
  <si>
    <t>CANDIMAX 200 MG 7 CAP.</t>
  </si>
  <si>
    <t>CANDISEPT 100 MG 50 ML 1 FLK.</t>
  </si>
  <si>
    <t>CANESTEN 20 GR KR.</t>
  </si>
  <si>
    <t>CANHERA 150 MG 1 FLK.</t>
  </si>
  <si>
    <t>CANLOX 16/10 MG 28 TB.</t>
  </si>
  <si>
    <t>CANLOX 16/5 MG 28 TB.</t>
  </si>
  <si>
    <t>CANOLEN %1 20 GR KR.</t>
  </si>
  <si>
    <t>CANOLEN %1 20 ML SPR.</t>
  </si>
  <si>
    <t>CANOLEN %1 30 GR VAG. KR.</t>
  </si>
  <si>
    <t>CANTAB 16 MG 28 TB.</t>
  </si>
  <si>
    <t>CANTAB 32 MG 28 TB.</t>
  </si>
  <si>
    <t>CANTAB 8 MG 28 TB.</t>
  </si>
  <si>
    <t>CANTAB PLUS 16/12.5 MG 28 TB.</t>
  </si>
  <si>
    <t>CANTAB PLUS 32/12.5 MG 28 TB.</t>
  </si>
  <si>
    <t>CAPCIDERM %0.075 45 GR KR</t>
  </si>
  <si>
    <t>CAPETABIN 500 MG 120 FTB.</t>
  </si>
  <si>
    <t>CARBODEX 150 MG 1 FLK.</t>
  </si>
  <si>
    <t>CARBODEX 600 MG 1 FLK.</t>
  </si>
  <si>
    <t>CARBOMIX 50 GR 500 ML SUSP.</t>
  </si>
  <si>
    <t>CARDOFIX 10/160 MG 28 FTB.</t>
  </si>
  <si>
    <t>CARDOFIX 5/160 MG 28 FTB.</t>
  </si>
  <si>
    <t>CARDOFIX PLUS 10/160/25 MG 28</t>
  </si>
  <si>
    <t>CARDOPAN 160 MG 28 FTB.</t>
  </si>
  <si>
    <t>CARDOPAN 320 MG 28 FTB.</t>
  </si>
  <si>
    <t>CARDOPAN 80 MG 28 FTB.</t>
  </si>
  <si>
    <t>CARDURA 2 MG 20 TB.</t>
  </si>
  <si>
    <t>CARDURA 4 MG 20 TB.</t>
  </si>
  <si>
    <t>CARDURA 4 MG 90 TB.</t>
  </si>
  <si>
    <t>CARDURA XL 4 MG 30 TB.</t>
  </si>
  <si>
    <t>CARDURA XL 8 MG 30 TB.</t>
  </si>
  <si>
    <t>CARMETADIN MR 35 MG 60 FTB.</t>
  </si>
  <si>
    <t>CARTEOL LP. %2 3 ML GOZ GTT.</t>
  </si>
  <si>
    <t>CARVEXAL 12.5 MG 30 TB.</t>
  </si>
  <si>
    <t>CARVEXAL 25 MG 30 TB.</t>
  </si>
  <si>
    <t>CARVEXAL 6.25 MG 30 TB.</t>
  </si>
  <si>
    <t>CASENLAX 10 GR 20 SASE</t>
  </si>
  <si>
    <t>CASENLAX 4 GR 20 SASE</t>
  </si>
  <si>
    <t>CASODEX 150 MG 28 FTB.</t>
  </si>
  <si>
    <t>CASODEX 50 MG 28 FTB.</t>
  </si>
  <si>
    <t>CASOMID 50 MG 28 FTB.</t>
  </si>
  <si>
    <t>CATAFLAM 50 MG 20 DRJ.</t>
  </si>
  <si>
    <t>CEC 1000 MG 20 EFF TB.</t>
  </si>
  <si>
    <t>CEC 500 MG 20 EFF TB.</t>
  </si>
  <si>
    <t>CEDRINA 100 MG 30 FTB.</t>
  </si>
  <si>
    <t>CEDRINA 150 MG 30 FTB.</t>
  </si>
  <si>
    <t>CEDRINA 200 MG 30 FTB.</t>
  </si>
  <si>
    <t>CEDRINA 200 MG 60 FTB.</t>
  </si>
  <si>
    <t>CEDRINA 25 MG 30 FTB.</t>
  </si>
  <si>
    <t>CEDRINA 300 MG 30 FTB.</t>
  </si>
  <si>
    <t>CEDRINA 400 MG 30 FTB.</t>
  </si>
  <si>
    <t>CEDRINA 50 MG 30 FTB.</t>
  </si>
  <si>
    <t>CEDRINA XR 150 MG 30 TB.</t>
  </si>
  <si>
    <t>CEDRINA XR 200 MG 30 TB.</t>
  </si>
  <si>
    <t>CEDRINA XR 300 MG 30 TB.</t>
  </si>
  <si>
    <t>CEDRINA XR 400 MG 30 TB.</t>
  </si>
  <si>
    <t>CEDRINA XR 50 MG 30 TB.</t>
  </si>
  <si>
    <t>CEFAKS 125 MG 100 ML SUSP.</t>
  </si>
  <si>
    <t>CEFAKS 125 MG 50 ML SUSP.</t>
  </si>
  <si>
    <t>CEFAKS 250 MG 10 FTB.</t>
  </si>
  <si>
    <t>CEFAKS 250 MG 100 ML SUSP.</t>
  </si>
  <si>
    <t>CEFAKS 250 MG 14 FTB.</t>
  </si>
  <si>
    <t>CEFAKS 250 MG IM 1 FLK.</t>
  </si>
  <si>
    <t>CEFAKS 500 MG 10 FTB.</t>
  </si>
  <si>
    <t>CEFAKS 500 MG 14 FTB.</t>
  </si>
  <si>
    <t>CEFAKS 500 MG 20 FTB.</t>
  </si>
  <si>
    <t>CEFAKS 500 MG IM 1 FLK.</t>
  </si>
  <si>
    <t>CEFAKS 750 MG IM 1 FLK.</t>
  </si>
  <si>
    <t>CEFAMED 1000 MG IM 1 FLK.</t>
  </si>
  <si>
    <t>CEFAMED 1000 MG IM 3 FLK.</t>
  </si>
  <si>
    <t>CEFAMED 500 MG IM 1 FLK.</t>
  </si>
  <si>
    <t>CEFAMED 500 MG IM 3 FLK.</t>
  </si>
  <si>
    <t>CEFDIFIX 600 MG 10 FTB.</t>
  </si>
  <si>
    <t>CEFDIFIX 600 MG 14 FTB.</t>
  </si>
  <si>
    <t>CEFEC 1000 MG 20 EFF TB.</t>
  </si>
  <si>
    <t>CEFNET 600 MG 10 EFF TB.</t>
  </si>
  <si>
    <t>CEFPERAZON 1/1 GR1 FLK.</t>
  </si>
  <si>
    <t>CEFRIDEM 1000 MG IM 1 FLK.</t>
  </si>
  <si>
    <t>CEFTINEX 125 MG 100 ML SUSP.</t>
  </si>
  <si>
    <t>CEFTINEX 250 MG 100 ML SUSP.</t>
  </si>
  <si>
    <t>CEFTINEX 300 MG 10 FTB.</t>
  </si>
  <si>
    <t>CEFTINEX 300 MG 20 FTB.</t>
  </si>
  <si>
    <t>CEFTINEX 600 MG 10 FTB.</t>
  </si>
  <si>
    <t>CEFUROL 500 MG 10 FTB.</t>
  </si>
  <si>
    <t>CEFUROL 500 MG 20 FTB.</t>
  </si>
  <si>
    <t>CELEBREX 200 MG 30 CAP.</t>
  </si>
  <si>
    <t>CELESTONE 3/3 MG 1 ML 1 AMP.</t>
  </si>
  <si>
    <t>CELGYN 200 MG 30 CAP.</t>
  </si>
  <si>
    <t>CELLCEPT 250 MG 100 CAP.</t>
  </si>
  <si>
    <t>CELLCEPT 500 MG 50 TB.</t>
  </si>
  <si>
    <t>CELSENTRI 150 MG 60 FTB.</t>
  </si>
  <si>
    <t>CELSENTRI 300 MG 60 FTB.</t>
  </si>
  <si>
    <t>CEMPES 125 MG 100 ML SUSP.</t>
  </si>
  <si>
    <t>CEMPES 250 MG 100 ML SUSP.</t>
  </si>
  <si>
    <t>CEMPES 300 MG 10 CAP.</t>
  </si>
  <si>
    <t>CEMPES 300 MG 20 CAP.</t>
  </si>
  <si>
    <t>CEMPES 600 MG 10 FTB.</t>
  </si>
  <si>
    <t>8681291002038</t>
  </si>
  <si>
    <t>CENTRUM ADVANCE 30 TB</t>
  </si>
  <si>
    <t>CEPROTIN 500 IU 1 FLK.</t>
  </si>
  <si>
    <t>CERAZETTE 75 MCG 28 FTB.</t>
  </si>
  <si>
    <t>CEREZYMEÿ400ÿU 1 FLK.</t>
  </si>
  <si>
    <t>CERTICAN 0.25 MG 60 TB.</t>
  </si>
  <si>
    <t>CERTICAN 0.25 MG DISP 60 TB.</t>
  </si>
  <si>
    <t>CERTICAN 0.75 MG 60 TB.</t>
  </si>
  <si>
    <t>CETAFLU FORT 20 TB.</t>
  </si>
  <si>
    <t>CETMONT 10/5 MG 30 FTB.</t>
  </si>
  <si>
    <t>CETROTIDE 0.25 MG 1 FLK.</t>
  </si>
  <si>
    <t>CETRYN 1 MG 200 ML SRP.</t>
  </si>
  <si>
    <t>CETRYN 10 MG 20 TB.</t>
  </si>
  <si>
    <t>CEVIMAX 1000 MG 20 EFF TB.</t>
  </si>
  <si>
    <t>CEZOL 1000 MG IM 1 FLK.</t>
  </si>
  <si>
    <t>CEZOL 500 MG IM 1 FLK.</t>
  </si>
  <si>
    <t>CHAMPIX 0.5 MG 11+1 BASPKT 42</t>
  </si>
  <si>
    <t>CHAMPIX 1 MG 56 FTB.</t>
  </si>
  <si>
    <t>CHINKO 15 MG 100 ML SRP.</t>
  </si>
  <si>
    <t>CHINKO 30 MG 100 ML FORT SRP.</t>
  </si>
  <si>
    <t>CHOLVAST 10 MG 30 FTB.</t>
  </si>
  <si>
    <t>CHOLVAST 20 MG 30 FTB.</t>
  </si>
  <si>
    <t>CHOLVAST 40 MG 30 FTB.</t>
  </si>
  <si>
    <t>CHORIOMON 5000 IU 1 FLK.</t>
  </si>
  <si>
    <t>CIALIS 20 MG 4 FTB.</t>
  </si>
  <si>
    <t>CIALIS 20 MG 8 FTB.</t>
  </si>
  <si>
    <t>CIALIS 5 MG 14 FTB.</t>
  </si>
  <si>
    <t>CIALIS 5 MG 28 FTB.</t>
  </si>
  <si>
    <t>CIBACEN 10 MG 28 FTB.</t>
  </si>
  <si>
    <t>CIBADREX  5/6.25 MG 28 TB.</t>
  </si>
  <si>
    <t>CIBADREX 10/12.5 MG 28 TB.</t>
  </si>
  <si>
    <t>CIFLOSIN 500 MG 10 FTB.</t>
  </si>
  <si>
    <t>CIFLOSIN 750 MG 14 FTB.</t>
  </si>
  <si>
    <t>CILAPEM 500 MG 1 FLK.</t>
  </si>
  <si>
    <t>CILOXAN %0.3 3.5 GR OFT. POM.</t>
  </si>
  <si>
    <t>CILOXAN %0.3 5 ML GOZ GTT.</t>
  </si>
  <si>
    <t>CIMZIA 200 MG 2 ENJ.</t>
  </si>
  <si>
    <t>CINESET 30 MG 28 FTB.</t>
  </si>
  <si>
    <t>CINESET 60 MG 28 FTB.</t>
  </si>
  <si>
    <t>CINETIX 400 MG 30 EFF TB.</t>
  </si>
  <si>
    <t>CINKOVIT 15 MG 100 ML SRP.</t>
  </si>
  <si>
    <t>CINRYZE 500 IU 5 ML 2 FLK.</t>
  </si>
  <si>
    <t>8699795091083</t>
  </si>
  <si>
    <t>CIPRALEX 10 MG 28 FTB.</t>
  </si>
  <si>
    <t>8699795091090</t>
  </si>
  <si>
    <t>CIPRALEX 10 MG 56 FTB</t>
  </si>
  <si>
    <t>CIPRALEX 10 MG 84 FTB</t>
  </si>
  <si>
    <t>8699795091113</t>
  </si>
  <si>
    <t>CIPRALEX 20 MG 28 FTB.</t>
  </si>
  <si>
    <t>8699795091120</t>
  </si>
  <si>
    <t>CIPRALEX 20 MG 56 FTB.</t>
  </si>
  <si>
    <t>8699795091137</t>
  </si>
  <si>
    <t>CIPRALEX 20 MG 84 FTB.</t>
  </si>
  <si>
    <t>CIPRAM 20 MG 28 TB.</t>
  </si>
  <si>
    <t>CIPRASID 500 MG 14 FTB.</t>
  </si>
  <si>
    <t>CIPRASID 750 MG 14 FTB.</t>
  </si>
  <si>
    <t>CIPRO 250 MG 14 FTB.</t>
  </si>
  <si>
    <t>CIPRO 500 MG 14 FTB.</t>
  </si>
  <si>
    <t>CIPRO 750 MG 14 FTB.</t>
  </si>
  <si>
    <t>CIPRONATIN 500 MG 14 TB.</t>
  </si>
  <si>
    <t>CIPRONATIN 750 MG 14 TB.</t>
  </si>
  <si>
    <t>CISPLATIN KOCAK 10 MG 1 FLK.</t>
  </si>
  <si>
    <t>CISPLATIN KOCAK 25 MG 1 FLK.</t>
  </si>
  <si>
    <t>CISPLATIN KOCAK 50 MG 1 FLK.</t>
  </si>
  <si>
    <t>8699874080496</t>
  </si>
  <si>
    <t>CITANEST %2 20 ML 1 FLK.</t>
  </si>
  <si>
    <t>CITOL 20 MG 28 FTB.</t>
  </si>
  <si>
    <t>CITOL 20 MG 56 FTB.</t>
  </si>
  <si>
    <t>CITOL 40 MG 28 FTB.</t>
  </si>
  <si>
    <t>CITOL 40 MG 56 FTB.</t>
  </si>
  <si>
    <t>CITOLES 10 MG 15 ML ORAL GTT.</t>
  </si>
  <si>
    <t>CITOLES 10 MG 28 TB.</t>
  </si>
  <si>
    <t>CITOLES 10 MG 56 FTB.</t>
  </si>
  <si>
    <t>CITOLES 20 MG 28 FTB.</t>
  </si>
  <si>
    <t>CITOLES 20 MG 56 FTB.</t>
  </si>
  <si>
    <t>CITOLES 5 MG 28 FTB.</t>
  </si>
  <si>
    <t>CITOVIR 450 MG 60 FTB</t>
  </si>
  <si>
    <t>CLARICIDE 500 MG 14 TB.</t>
  </si>
  <si>
    <t>CLARINASE REP 120+5 MG 20 TB*</t>
  </si>
  <si>
    <t>CLARITINE 10 MG 20 TB.</t>
  </si>
  <si>
    <t>CLASEM 125 MG 100 ML SUSP.</t>
  </si>
  <si>
    <t>CLASEM 250 MG 100 ML SUSP.</t>
  </si>
  <si>
    <t>CLASEM 300 MG 10 CAP.</t>
  </si>
  <si>
    <t>CLASEM 300 MG 20 CAP.</t>
  </si>
  <si>
    <t>CLASEM 600 MG 10 FTB.</t>
  </si>
  <si>
    <t>CLEANOMISIN 500 MG 14 FTB.</t>
  </si>
  <si>
    <t>CLEOCIN %1 30 ML TOP. SOL.</t>
  </si>
  <si>
    <t>CLEOCIN %2 40 GR VAG. KR.</t>
  </si>
  <si>
    <t>CLEOCIN 150 MG 16 CAP.</t>
  </si>
  <si>
    <t>CLEOCIN 600 MG 4 ML 1 AMP.</t>
  </si>
  <si>
    <t>CLIACIL 1,2 MEGA 20 TB.</t>
  </si>
  <si>
    <t>CLIACIL 150 ML SRP.</t>
  </si>
  <si>
    <t>CLIMARA 12.5 3.9 MG 4 FLASTER</t>
  </si>
  <si>
    <t>CLIMEN 4/1 MG 21 DRJ.</t>
  </si>
  <si>
    <t>CLIN 150 MG 16 CAP.</t>
  </si>
  <si>
    <t>CLIN 300 MG 2 ML 1 AMP.</t>
  </si>
  <si>
    <t>CLIN 600 MG 4 ML 1 AMP.</t>
  </si>
  <si>
    <t>CLINDOXYL %5+1 25 GR JEL</t>
  </si>
  <si>
    <t>CLINOLEIC %20 500 ML.</t>
  </si>
  <si>
    <t>CLINOPER JEL 25 GR</t>
  </si>
  <si>
    <t>CLODIFEN %5 45 GR JEL</t>
  </si>
  <si>
    <t>CLOFAST 50 MG 30 SASE</t>
  </si>
  <si>
    <t>CLOGAN 75 MG 28 FTB.</t>
  </si>
  <si>
    <t>CLONEX  25 MG 50 TB.</t>
  </si>
  <si>
    <t>CLONEX 100 MG 50 TB.</t>
  </si>
  <si>
    <t>CLOPIXOL 2 MG 50 TB.</t>
  </si>
  <si>
    <t>CLOPIXOL 20 MG 20 ML GTT.</t>
  </si>
  <si>
    <t>CLOPIXOL ACUPH 50 MG 1 AMP.</t>
  </si>
  <si>
    <t>CLOPIXOL DEPOT 200 MG 1 AMP.</t>
  </si>
  <si>
    <t>CLOPRA 75 MG 28 FTB.</t>
  </si>
  <si>
    <t>CLOVATE %0.05 25 ML SAC LOS.</t>
  </si>
  <si>
    <t>CLOVATE %0.05 50 GR KR.</t>
  </si>
  <si>
    <t>CLOVATE %0.05 50 GR POM.</t>
  </si>
  <si>
    <t>COBALEX 1000 MCG 1 ML 5 AMP.</t>
  </si>
  <si>
    <t>CODACTIV 7.5 MG 100 ML SRP.</t>
  </si>
  <si>
    <t>CODERMO %0.1 30 GR KR.</t>
  </si>
  <si>
    <t>CODERMO %0.1 30 GR POM.</t>
  </si>
  <si>
    <t>CODERMO %0.1 30 ML LOS.</t>
  </si>
  <si>
    <t>CO-DIOVAN 160/12.5 MG 28 FTB.</t>
  </si>
  <si>
    <t>CO-DIOVAN 160/25 MG 28 FTB.</t>
  </si>
  <si>
    <t>CO-DIOVAN 320/12.5 MG 28 FTB.</t>
  </si>
  <si>
    <t>CO-DIOVAN 320/25 MG 28 FTB.</t>
  </si>
  <si>
    <t>CO-DIOVAN 80/12.5 MG 28 FTB.</t>
  </si>
  <si>
    <t>COFACT 250 IU 10 ML 1 FLK.</t>
  </si>
  <si>
    <t>COFACT 500 IU 20 ML 1 FLK.</t>
  </si>
  <si>
    <t>COGITO 10 MG 100 FTB.</t>
  </si>
  <si>
    <t>COGITO 10 MG 30 FTB.</t>
  </si>
  <si>
    <t>COGITO 20 MG 30 FTB.</t>
  </si>
  <si>
    <t>COGITO 20 MG 90 FTB</t>
  </si>
  <si>
    <t>COGITO 5 MG 50 GR ORAL GTT.</t>
  </si>
  <si>
    <t>CO-IRDA 150/12.5 MG 28 FTB.</t>
  </si>
  <si>
    <t>CO-IRDA 300/12.5 MG 28 FTB.</t>
  </si>
  <si>
    <t>CO-IRDA 300/25 MG 28 FTB.</t>
  </si>
  <si>
    <t>COLASTIN-L 10 MG 30 FTB.</t>
  </si>
  <si>
    <t>COLASTIN-L 10 MG 90 FTB.</t>
  </si>
  <si>
    <t>COLASTIN-L 20 MG 30 FTB.</t>
  </si>
  <si>
    <t>COLASTIN-L 20 MG 90 FTB.</t>
  </si>
  <si>
    <t>COLASTIN-L 40 MG 30 FTB.</t>
  </si>
  <si>
    <t>COLDAWAY COLD &amp; FLU 24 FTB</t>
  </si>
  <si>
    <t>COLDAWAY PLUS 100 ML SRP.</t>
  </si>
  <si>
    <t>COLDFEN SRP 100 ML</t>
  </si>
  <si>
    <t>COLIDUR 200 MG 12 FTB.</t>
  </si>
  <si>
    <t>COLIMYCIN 4.500.000 IU 1 FLK.</t>
  </si>
  <si>
    <t>COLNAR 10 MG 28 FTB.</t>
  </si>
  <si>
    <t>COLNAR 20 MG 28 FTB.</t>
  </si>
  <si>
    <t>COLNAR 40 MG 28 FTB.</t>
  </si>
  <si>
    <t>COLNAR 5 MG 28 FTB.</t>
  </si>
  <si>
    <t>COMBIBERO 10 ML 200 DOZ INH.</t>
  </si>
  <si>
    <t>COMBIVIR 150/30 MG 60 TB.</t>
  </si>
  <si>
    <t>COMIDA MSUD B 500 GR.</t>
  </si>
  <si>
    <t>COMIDA OAC B 500 GR.</t>
  </si>
  <si>
    <t>COMIDA PKU A 500 GR.</t>
  </si>
  <si>
    <t>COMIDA PKU A FORMULA 400 GR.</t>
  </si>
  <si>
    <t>COMIDA PKU B 500 GR.</t>
  </si>
  <si>
    <t>COMIDA PKU C 500 GR.</t>
  </si>
  <si>
    <t>COMIDA PKU C 500 MG 500 CAP.</t>
  </si>
  <si>
    <t>COMIDAGEN 400 GR.</t>
  </si>
  <si>
    <t>CONCERTA 18 MG 30 TB. ***</t>
  </si>
  <si>
    <t>CONCERTA 27 MG 30 TB .***</t>
  </si>
  <si>
    <t>CONCERTA 36 MG 30 TB. ***</t>
  </si>
  <si>
    <t>CONCERTA 54 MG 30 TB.***</t>
  </si>
  <si>
    <t>CONCOR 10 MG 30 TB.</t>
  </si>
  <si>
    <t>CONCOR 5 MG 30 TB.</t>
  </si>
  <si>
    <t>CONJITEN %0.025 5 ML GOZ GTT.</t>
  </si>
  <si>
    <t>CONTRA K 880 MG 15 GR 20 GRN.</t>
  </si>
  <si>
    <t>CONTRAMAL 100 MG 10 ML GTT **</t>
  </si>
  <si>
    <t>CONTRAMAL 100 MG 2 ML 5 AMP**</t>
  </si>
  <si>
    <t>CONTRAMAL 100 MG RET 30 TB.**</t>
  </si>
  <si>
    <t>CONTRAMAL 50 MG 20 CAP. **</t>
  </si>
  <si>
    <t>CONVULEX 150 MG 60 CAP.</t>
  </si>
  <si>
    <t>CONVULEX 300 MG 60 CAP.</t>
  </si>
  <si>
    <t>CONVULEX 500 MG 60 CAP.</t>
  </si>
  <si>
    <t>CONVULEX CR 300 MG 50 TB.</t>
  </si>
  <si>
    <t>CONVULEX CR 500 MG 50 TB.</t>
  </si>
  <si>
    <t>COPAXONE 20 MG 28 ENJ.</t>
  </si>
  <si>
    <t>COPAXONE 40 MG 12 PEN</t>
  </si>
  <si>
    <t>COPELLOR 80 MG 1 ML 3 ENJ.</t>
  </si>
  <si>
    <t>COPLANIN 200 MG 3 ML 1 FLK.</t>
  </si>
  <si>
    <t>COPLANIN 400 MG 3 ML 1 FLK.</t>
  </si>
  <si>
    <t>CORALAN 5 MG 56 FTB.</t>
  </si>
  <si>
    <t>CORALAN 7.5 MG 56 FTB.</t>
  </si>
  <si>
    <t>CORASPIN 100 MG 30 TB.</t>
  </si>
  <si>
    <t>CORASPIN 300 MG 30 TB.</t>
  </si>
  <si>
    <t>CORDARONE 150 MG 3 ML 6 AMP.</t>
  </si>
  <si>
    <t>CORDARONE BT 200 MG 30 TB.</t>
  </si>
  <si>
    <t>COREDEM %5 OFT 20 FLK.</t>
  </si>
  <si>
    <t>CORIVA 12 MCG 30 INH CAP.</t>
  </si>
  <si>
    <t>CORLTO 5 MG 20 TB.</t>
  </si>
  <si>
    <t>CORONIS 12.5 MG 28 TB.</t>
  </si>
  <si>
    <t>CORONIS 25  MG 28 TB.</t>
  </si>
  <si>
    <t>CORONIS 6.25 MG 28 TB.</t>
  </si>
  <si>
    <t>CORSAL 120 ML SRP</t>
  </si>
  <si>
    <t>CORSAL 30 CAP.</t>
  </si>
  <si>
    <t>CORTAIR 0.25 MG 2 ML 20 FLK.</t>
  </si>
  <si>
    <t>CORTAIR 0.5 MG 2 ML 20 FLK.</t>
  </si>
  <si>
    <t>CORTIMYCIN 5 GR OFT. POM.</t>
  </si>
  <si>
    <t>COTELLIC 20 MG 63 FTB.</t>
  </si>
  <si>
    <t>CO-UCAND 16/12.5 MG 28 TB.</t>
  </si>
  <si>
    <t>CO-UCAND 32/12.5 MG 28 TB.</t>
  </si>
  <si>
    <t>COUMADIN 10 MG 28 TB.</t>
  </si>
  <si>
    <t>COUMADIN 5 MG 28 TB.</t>
  </si>
  <si>
    <t>COVERAM 10/10 MG 30 FTB.</t>
  </si>
  <si>
    <t>COVERAM 10/5 MG 30 FTB.</t>
  </si>
  <si>
    <t>COVERAM 5/10 MG 30 FTB.</t>
  </si>
  <si>
    <t>COVERAM 5/5 MG 30 FTB.</t>
  </si>
  <si>
    <t>COVERSYL 10 MG 30 FTB.</t>
  </si>
  <si>
    <t>COVERSYL 2.5 MG 30 FTB.</t>
  </si>
  <si>
    <t>COVERSYL 5 MG 30 FTB.</t>
  </si>
  <si>
    <t>COZAAR 100 MG 28 TB.</t>
  </si>
  <si>
    <t>COZAAR 50 MG 28 TB.</t>
  </si>
  <si>
    <t>CRALIUM 100 MG 30 TB *</t>
  </si>
  <si>
    <t>CRALIUM 200 MG 30 TB *</t>
  </si>
  <si>
    <t>CRAVIT 750 MG 5 FTB.</t>
  </si>
  <si>
    <t>CREBROS 5 MG 20 FTB.</t>
  </si>
  <si>
    <t>CREBROS 5 MG 40 FTB.</t>
  </si>
  <si>
    <t>CRESTOR 10 MG 28 FTB.</t>
  </si>
  <si>
    <t>CRESTOR 10 MG 90 FTB.</t>
  </si>
  <si>
    <t>CRESTOR 20 MG 28 FTB.</t>
  </si>
  <si>
    <t>CRESTOR 20 MG 90 FTB.</t>
  </si>
  <si>
    <t>CRESTOR 40 MG 28 FTB.</t>
  </si>
  <si>
    <t>CRESTOR 5 MG 28 FTB.</t>
  </si>
  <si>
    <t>CROXILEX BID 1 GR 10 FTB.</t>
  </si>
  <si>
    <t>CROXILEX BID 1 GR 14 FTB.</t>
  </si>
  <si>
    <t>CROXILEX BID 625 MG 10 FTB.</t>
  </si>
  <si>
    <t>CROXILEX BID 625 MG 14 FTB.</t>
  </si>
  <si>
    <t>CUBICIN 350 MG 1 FLK.</t>
  </si>
  <si>
    <t>CUBICIN 500 MG 1 FLK.</t>
  </si>
  <si>
    <t>CUBITAN CIKOLATA 200 ML.</t>
  </si>
  <si>
    <t>CUBITAN CILEK 200 ML.</t>
  </si>
  <si>
    <t>CUBITAN VANILYA 200 ML.</t>
  </si>
  <si>
    <t>CURON 50 MG 5 ML 5 FLK.</t>
  </si>
  <si>
    <t>CUROSURF 120 MG 1.5 ML 1 FLK.</t>
  </si>
  <si>
    <t>CUROSURF 240 MG 3 ML 1 FLK.</t>
  </si>
  <si>
    <t>CUTIVATE %0.005 30 GR POM.</t>
  </si>
  <si>
    <t>CYCLADOL 20 MG 10 TB.</t>
  </si>
  <si>
    <t>CYMBALTA 30 MG 28 CAP.</t>
  </si>
  <si>
    <t>CYMBALTA 60 MG 28 CAP.</t>
  </si>
  <si>
    <t>CYNACAL 30 MG 28 FTB.</t>
  </si>
  <si>
    <t>CYNACAL 60 MG 28 FTB.</t>
  </si>
  <si>
    <t>CYNACAL 90 MG 28 FTB.</t>
  </si>
  <si>
    <t>CYOVEL 75 MG 10 CAP.</t>
  </si>
  <si>
    <t>CYRAMZA 100 MG 10 ML 2 FLK.</t>
  </si>
  <si>
    <t>CYTOTEC 200 MCG 28 TB.</t>
  </si>
  <si>
    <t>D 3 FEROL 300.000 IU 1 AMP.</t>
  </si>
  <si>
    <t>DACOGEN 50 MG 1 FLK.</t>
  </si>
  <si>
    <t>DAFLON 450/50 MG 60 FTB.</t>
  </si>
  <si>
    <t>DAKARBAZ 100 MG 10 FLK.</t>
  </si>
  <si>
    <t>DAKARBAZ 200 MG 10 FLK.</t>
  </si>
  <si>
    <t>DALMAN 50 MCG NAS SPR.</t>
  </si>
  <si>
    <t>DANASIN  50 MG 100 CAP.</t>
  </si>
  <si>
    <t>DANASIN 100 MG 100 CAP.</t>
  </si>
  <si>
    <t>DANASIN 200 MG 100 CAP.</t>
  </si>
  <si>
    <t>DAPORIN 30 MG 3 FTB.</t>
  </si>
  <si>
    <t>DAPORIN 30 MG 6 FTB.</t>
  </si>
  <si>
    <t>DAPTOCIN 350 MG 1 FLK.</t>
  </si>
  <si>
    <t>DARABIN 50 MG 2 ML 5 FLK.</t>
  </si>
  <si>
    <t>DAROB 80 MG 50 TB.</t>
  </si>
  <si>
    <t>DARZALEX 100 MG 5 ML 1 FLK.</t>
  </si>
  <si>
    <t>DARZALEX 400 MG 20 ML 1 FLK.</t>
  </si>
  <si>
    <t>DAUNOSIN 20 MG 1 FLK</t>
  </si>
  <si>
    <t>DAXAS 500 MG 30 TB</t>
  </si>
  <si>
    <t>D-COLEFOR 20.000 IU 14 CAP.</t>
  </si>
  <si>
    <t>DEBRIDAT 100 MG 40 TB.</t>
  </si>
  <si>
    <t>DEBRIDAT FORT 200 MG 20 TB.</t>
  </si>
  <si>
    <t>DEBRIDAT FORT 200 MG 40 TB.</t>
  </si>
  <si>
    <t>DECAPEPTYL 3.75 1 MG ENJ.</t>
  </si>
  <si>
    <t>DECAVIT PRONATAL 30 FTB.</t>
  </si>
  <si>
    <t>DECAVIT PRONATAL 60 FTB.</t>
  </si>
  <si>
    <t>DEFLU FORT 20 TB.</t>
  </si>
  <si>
    <t>DEFRONI 500 MG 30 TB.</t>
  </si>
  <si>
    <t>DEGASTROL 15 MG 28 CAP.</t>
  </si>
  <si>
    <t>DEGASTROL 30 MG 14 CAP.</t>
  </si>
  <si>
    <t>DEGASTROL 30 MG 28 CAP.</t>
  </si>
  <si>
    <t>DEGRA 100 MG 4 FTB.</t>
  </si>
  <si>
    <t>DEGRA 50 MG 4 FTB.</t>
  </si>
  <si>
    <t>DEKLARIT 500 MG 14 FTB.</t>
  </si>
  <si>
    <t>DEKORT %0.1 G/K 5 ML GTT.</t>
  </si>
  <si>
    <t>DEKORT 0.50 MG 20 TB.</t>
  </si>
  <si>
    <t>DEKORT 0.75 MG 20 TB.</t>
  </si>
  <si>
    <t>DEKORT 4 MG 20 TB.</t>
  </si>
  <si>
    <t>DEKORT 8 MG 2 ML 1 AMP.</t>
  </si>
  <si>
    <t>DEKORT 8 MG 20 TB.</t>
  </si>
  <si>
    <t>DEKSALGIN 12.5 MG 60 GR JEL</t>
  </si>
  <si>
    <t>DEKSALGIN 25 MG 20 FTB.</t>
  </si>
  <si>
    <t>DEKSAMET 8 MG 2 ML 1 AMP.</t>
  </si>
  <si>
    <t>DELIX 2.5 MG 28 TB.</t>
  </si>
  <si>
    <t>DELIX 5 MG 28 TB.</t>
  </si>
  <si>
    <t>DELIX PLUS 10/12.5 MG 28 TB.</t>
  </si>
  <si>
    <t>DELIX PLUS 10/25 MG 28 TB.</t>
  </si>
  <si>
    <t>DELIX PLUS 2.5 MG 28 TB.</t>
  </si>
  <si>
    <t>DELIX PLUS 5 MG 28 TB.</t>
  </si>
  <si>
    <t>DELIX PROTECT 10 MG 28 TB.</t>
  </si>
  <si>
    <t>DELODAY 0.5 MG 150 ML SRP.</t>
  </si>
  <si>
    <t>DELODAY 5 MG 20 FTB.</t>
  </si>
  <si>
    <t>DELOTRAN 12.5 MG 30 TB.</t>
  </si>
  <si>
    <t>DELOTRAN 25 MG 30 TB.</t>
  </si>
  <si>
    <t>DELOTRAN 6.25 MG 30 TB.</t>
  </si>
  <si>
    <t>8681308019875</t>
  </si>
  <si>
    <t>DELTACORTRIL 5 MG 20 TB.</t>
  </si>
  <si>
    <t>DEMAX 10 MG 100 FTB.</t>
  </si>
  <si>
    <t>DEMAX 10 MG 30 FTB.</t>
  </si>
  <si>
    <t>DEMAX 20 MG 28 FTB.</t>
  </si>
  <si>
    <t>DEMAX EASYTAB 10 MG 100 FTB.</t>
  </si>
  <si>
    <t>DEMAX EASYTAB 10 MG 30 FTB.</t>
  </si>
  <si>
    <t>DEMENT 10 MG 28 FTB.</t>
  </si>
  <si>
    <t>DEMENT 5 MG 14 FTB.</t>
  </si>
  <si>
    <t>DEMENT 5 MG 28 FTB.</t>
  </si>
  <si>
    <t>DEMEPRAZOL 20 MG 14 CAP.</t>
  </si>
  <si>
    <t>DEMONTY 5 MG/10 MG  30 FTB.</t>
  </si>
  <si>
    <t>DEMOXIF %0.5 5 ML GOZ GTT.</t>
  </si>
  <si>
    <t>DEMROSE 100 MG 5 ML 5 AMP.</t>
  </si>
  <si>
    <t>DENCOL 87.1 MG 20 GR JEL SPR.</t>
  </si>
  <si>
    <t>DENTIFLUOR 0.25 MG 100 TB.</t>
  </si>
  <si>
    <t>DENTINOX 20 GR JEL</t>
  </si>
  <si>
    <t>DEOXYKOL 250 MG 100 CAP.</t>
  </si>
  <si>
    <t>DEPAKIN 57.64 MG 150 ML SRP.</t>
  </si>
  <si>
    <t>DEPAKINE 400 MG 4 ML 4 FLK.</t>
  </si>
  <si>
    <t>DEPALEX XR 300 MG 30 FTB.</t>
  </si>
  <si>
    <t>DEPALEX XR 500 MG 30 FTB.</t>
  </si>
  <si>
    <t>DEPARTON 20 MG 60 FTB.</t>
  </si>
  <si>
    <t>DEPO MEDROL 40 MG 1 FLK.</t>
  </si>
  <si>
    <t>DEPO PROVERA 150 MG 1 FLK.</t>
  </si>
  <si>
    <t>DEPORES %0.05 TEK DOZ 30 FLK.</t>
  </si>
  <si>
    <t>DEPOSILIN 1.2 IU 1 FLK.</t>
  </si>
  <si>
    <t>DEPOSILIN 2.4 IU 1 FLK.</t>
  </si>
  <si>
    <t>DEPOSILIN 6.3.3 IU 1 FLK.</t>
  </si>
  <si>
    <t>DEPREKS 20 MG 24 CAP.</t>
  </si>
  <si>
    <t>DEPRENIL 50 MG 30 TB.</t>
  </si>
  <si>
    <t>DERISIV %1 40 GR KR.</t>
  </si>
  <si>
    <t>DERMABEL %0.5 30 GR KR.</t>
  </si>
  <si>
    <t>DERMABEL %0.5 30 GR POM.</t>
  </si>
  <si>
    <t>DERMACUTAN %0.1 30 GR JEL</t>
  </si>
  <si>
    <t>DERMATOP 2.5 MG 20 ML SOL.</t>
  </si>
  <si>
    <t>DERMATOP 2.5 MG 30 GR KR.</t>
  </si>
  <si>
    <t>DERMATOP 2.5 MG 30 GR POM.</t>
  </si>
  <si>
    <t>DERMIFIN %1 20 ML SPR.</t>
  </si>
  <si>
    <t>DERMIFIN %1 30 GR KR.</t>
  </si>
  <si>
    <t>DERMITON %10 100 ML LOS.</t>
  </si>
  <si>
    <t>DERMO REST %1 20 GR KR.</t>
  </si>
  <si>
    <t>DERMOTROSYD %1 20 GR KR.</t>
  </si>
  <si>
    <t>DERMOTROSYD %1 60 GR KR.</t>
  </si>
  <si>
    <t>DERMOVATE %0.05 50 GR KR.</t>
  </si>
  <si>
    <t>DERMOVATE %0.05 50 GR POM.</t>
  </si>
  <si>
    <t>DESAL 40 MG 50 TB.</t>
  </si>
  <si>
    <t>DESCASE 5 MG/10 MG 30 FTB.</t>
  </si>
  <si>
    <t>DESEFIN 1000 MG IM 1 FLK.</t>
  </si>
  <si>
    <t>DESEFIN 500 MG IM 1 FLK.</t>
  </si>
  <si>
    <t>DESFERAL 500 MG 10 FLK.</t>
  </si>
  <si>
    <t>DESIFEROL 2000 IU 60 FTB.</t>
  </si>
  <si>
    <t>DESIRETT 75 MCG 28 FTB.</t>
  </si>
  <si>
    <t>DESLODIN 2.5 MG 150 ML SRP.</t>
  </si>
  <si>
    <t>DESLORAN 2.5 MG 150 ML SRP.</t>
  </si>
  <si>
    <t>DESMONT 5/10 MG 30 FTB</t>
  </si>
  <si>
    <t>DESMONT 5/10 MG 90 FTB</t>
  </si>
  <si>
    <t>DESOLETT 0.15/0.03 MG 21 TB.</t>
  </si>
  <si>
    <t>DESYREL  50 MG 30 TB.</t>
  </si>
  <si>
    <t>DESYREL 100 MG 30 TB.</t>
  </si>
  <si>
    <t>DETOFEN %0.025 5 ML GOZ GTT.</t>
  </si>
  <si>
    <t>DETROITS 25/4 MG 20 FTB.</t>
  </si>
  <si>
    <t>DETRUSITOL 1 MG 56 FTB.</t>
  </si>
  <si>
    <t>DETRUSITOL 2 MG 56 FTB.</t>
  </si>
  <si>
    <t>DETRUSITOL SR 4 MG 28 CAP.</t>
  </si>
  <si>
    <t>DEVAMOX 1 GR 16 TB.</t>
  </si>
  <si>
    <t>DEVAPEN 400 IU 1 FLK.</t>
  </si>
  <si>
    <t>DEVAPEN 800 IU 1 FLK.</t>
  </si>
  <si>
    <t>DEVIT 3 200.000 IU 10 ML GTT.</t>
  </si>
  <si>
    <t>DEVIT 3 300.000 IU 1 AMP.</t>
  </si>
  <si>
    <t>DEVIT 3 50.000 IU 15 ML GTT.</t>
  </si>
  <si>
    <t>DEXAPHEN 25/500 MG 20 TB.</t>
  </si>
  <si>
    <t>DEXA-SINE %0.1 5 ML GOZ GTT.</t>
  </si>
  <si>
    <t>DEXDAY 50 MG 30 EFF TB.</t>
  </si>
  <si>
    <t>DEX-FORTE 50 MG 30 FTB.</t>
  </si>
  <si>
    <t>DEXIREN 25 MG 20 FTB.</t>
  </si>
  <si>
    <t>DEXIREN 50 MG 2 ML 6 AMP.</t>
  </si>
  <si>
    <t>DEXOFEN 25 MG 20 FTB.</t>
  </si>
  <si>
    <t>DEXOJECT 8 MG 2 ML 1 AMP.</t>
  </si>
  <si>
    <t>DEXPADU 25/500 MG 20 FTB.</t>
  </si>
  <si>
    <t>DEXPADU 50/500 MG 30 FTB.</t>
  </si>
  <si>
    <t>DEXPANTEN %5 30 GR POM.</t>
  </si>
  <si>
    <t>DEXPANTEN %5 KR 30 GR.</t>
  </si>
  <si>
    <t>DEXPASS 25/300 MG 20 FTB.</t>
  </si>
  <si>
    <t>DEXPASS 25/300 MG EFF TB.</t>
  </si>
  <si>
    <t>DEXPASS 50/300 MG 20 EFF TB.</t>
  </si>
  <si>
    <t>DEXPLUS 25/4 MG 20 EFF TB.</t>
  </si>
  <si>
    <t>DEXPLUS 25/8 MG 14 EFF TB.</t>
  </si>
  <si>
    <t>DEXPRO 25 MG 20 FTB.</t>
  </si>
  <si>
    <t>DEXTROCIN %2 15 GR KR.</t>
  </si>
  <si>
    <t>DEXTROCIN %2 15 GR POM.</t>
  </si>
  <si>
    <t>DEZIRA 10 MG 28 FTB.</t>
  </si>
  <si>
    <t>DEZIRA 5 MG 14 FTB.</t>
  </si>
  <si>
    <t>DEZIRA 5 MG 28 FTB.</t>
  </si>
  <si>
    <t>DIABEST 850 MG 100 FTB.</t>
  </si>
  <si>
    <t>DIAFORMIN 1000 MG 100 FTB.</t>
  </si>
  <si>
    <t>DIAFORMIN 850 MG 100 FTB.</t>
  </si>
  <si>
    <t>8699578010645</t>
  </si>
  <si>
    <t>DIAFREE TABLET 0.5 MG 90 TB.</t>
  </si>
  <si>
    <t>DIAFURYL 100 MG 12 CAP.</t>
  </si>
  <si>
    <t>DIAFURYL 200 MG 60 ML SUSP.</t>
  </si>
  <si>
    <t>DIAFURYL FORT 200 MG 16 CAP.</t>
  </si>
  <si>
    <t>DIAKSI 10 MG 5 REKTAL**</t>
  </si>
  <si>
    <t>DIAKSI 5 MG 5 REKTAL**</t>
  </si>
  <si>
    <t>DIAMICRON MR 30 MG 30 TB.</t>
  </si>
  <si>
    <t>DIAMICRON MR 30 MG 60 TB.</t>
  </si>
  <si>
    <t>DIAMICRON MR 60 MG 30 TB.</t>
  </si>
  <si>
    <t>DIAMICRON MR 60 MG 60 TB.</t>
  </si>
  <si>
    <t>DIAMOND 125 MG 56 FTB.</t>
  </si>
  <si>
    <t>DIAMOND 62.5 MG 56 FTB.</t>
  </si>
  <si>
    <t>DIANE 35 2/0.035 MG 21 DRJ.</t>
  </si>
  <si>
    <t>DIASIP CILEK 200 ML.</t>
  </si>
  <si>
    <t>DIASIP VANILYA 200 ML.</t>
  </si>
  <si>
    <t>DIASON ADVANCED 500 ML.</t>
  </si>
  <si>
    <t>DIASON LOW ENERGY 1000 ML.</t>
  </si>
  <si>
    <t>DIAZEM 10 MG 10 AMP. **</t>
  </si>
  <si>
    <t>DIAZEM 10 MG 25 CAP. **</t>
  </si>
  <si>
    <t>DIAZEM 2 MG 25 CAP. **</t>
  </si>
  <si>
    <t>DIAZEM 5 MG 25 CAP. **</t>
  </si>
  <si>
    <t>DIAZEPAM DES 10 MG 5 REKTAL**</t>
  </si>
  <si>
    <t>DIAZEPAM DES 5 MG 5 REKTAL**</t>
  </si>
  <si>
    <t>DIAZOMID 250 MG 10 TB.</t>
  </si>
  <si>
    <t>DIBEN 1.5 KCAL HP 500 ML.</t>
  </si>
  <si>
    <t>DIBEN 500 ML.</t>
  </si>
  <si>
    <t>DIBEN CAPPUCCINO 200 ML.</t>
  </si>
  <si>
    <t>DIBEN ORMAN MEYVELERI 200 ML.</t>
  </si>
  <si>
    <t>DIBEN VANILYA 200 ML.</t>
  </si>
  <si>
    <t>DICETEL 50 MG 40 FTB.</t>
  </si>
  <si>
    <t>DICETEL 50 MG 80 FTB.</t>
  </si>
  <si>
    <t>DICLACTIVE %1 50 GR JEL</t>
  </si>
  <si>
    <t>DICLOFLAM 50 MG 20 DRJ.</t>
  </si>
  <si>
    <t>DICLOMEC %1.16 50 GR JEL</t>
  </si>
  <si>
    <t>DICLOMEC 75 MG 3 ML 10 AMP.</t>
  </si>
  <si>
    <t>DICLOMEC 75 MG 3 ML 4 AMP.</t>
  </si>
  <si>
    <t>DICLOMEC PLUS 30 GR JEL.</t>
  </si>
  <si>
    <t>DICLOMEC SR 100 MG 10 TB.</t>
  </si>
  <si>
    <t>DICLOMEC SR 75 MG 10 TB.</t>
  </si>
  <si>
    <t>DICOL %1 50 GR JEL</t>
  </si>
  <si>
    <t>DIDERAL 40 MG 50 TB.</t>
  </si>
  <si>
    <t>DIENILLE 2/0.03 MG 21 FTB.</t>
  </si>
  <si>
    <t>DIENOMET 2 MG 28 TB.</t>
  </si>
  <si>
    <t>DIFENAK %1 50 GR JEL</t>
  </si>
  <si>
    <t>DIFENAK 100 MG 10 TB.</t>
  </si>
  <si>
    <t>DIFENAK 100 MG 30 TB.</t>
  </si>
  <si>
    <t>DIFENJECT 75 MG 3 ML 10 AMP.</t>
  </si>
  <si>
    <t>DIFESTOL %1.2+2 30 GR JEL</t>
  </si>
  <si>
    <t>DIFFERIN %0.1 30 GR JEL</t>
  </si>
  <si>
    <t>DIFICLIR 200 MG 20 FTB.</t>
  </si>
  <si>
    <t>DIFILIN 300 MG 3 ML 6 AMP.</t>
  </si>
  <si>
    <t>DIFURAT 120 MG 14 CAP.</t>
  </si>
  <si>
    <t>DIFURAT 240 MG 56 CAP.</t>
  </si>
  <si>
    <t>DIGOXIN 0.25 MG 50 TB.</t>
  </si>
  <si>
    <t>DIGOXIN 0.5 MG 2 ML 5 AMP.</t>
  </si>
  <si>
    <t>DIKLOFAR %1 50 GR JEL</t>
  </si>
  <si>
    <t>DIKLOJIK 75 MG 3 ML 10 AMP.</t>
  </si>
  <si>
    <t>DIKLOJIK 75 MG 3 ML 4 AMP.</t>
  </si>
  <si>
    <t>DIKLORON %1 50 GR JEL</t>
  </si>
  <si>
    <t>DIKLORON 25 MG 30 TB.</t>
  </si>
  <si>
    <t>DIKLORON 50 MG 20 FTB.</t>
  </si>
  <si>
    <t>DIKLORON 75 MG 3 ML 10 AMP.</t>
  </si>
  <si>
    <t>DIKLORON 75 MG 3 ML 4 AMP.</t>
  </si>
  <si>
    <t>DIKLORON RET 100 MG 10 TB.</t>
  </si>
  <si>
    <t>DIKLORON SR 75 MG 10 FTB.</t>
  </si>
  <si>
    <t>DILATREND 12.5 MG 30 TB.</t>
  </si>
  <si>
    <t>DILATREND 25 MG 30 TB.</t>
  </si>
  <si>
    <t>DILATREND 6.25 MG 30 TB.</t>
  </si>
  <si>
    <t>DILOPIN 10 MG 20 TB.</t>
  </si>
  <si>
    <t>DILOPIN 10 MG 30 TB.</t>
  </si>
  <si>
    <t>DILOPIN 5 MG 20 TB.</t>
  </si>
  <si>
    <t>DILOPIN 5 MG 30 TB.</t>
  </si>
  <si>
    <t>DILOXOL 75 MG 28 FTB.</t>
  </si>
  <si>
    <t>DILTIZEM  90 MG 48 TB.</t>
  </si>
  <si>
    <t>DILTIZEM 30 MG 48 TB.</t>
  </si>
  <si>
    <t>DILTIZEM 60 MG 48 TB.</t>
  </si>
  <si>
    <t>DILTIZEM L 25 MG 1 AMP.</t>
  </si>
  <si>
    <t>DILTIZEM SR 120 MG 48 TB.</t>
  </si>
  <si>
    <t>DIMAG 365 MG 30 SASE</t>
  </si>
  <si>
    <t>DIMERAST 120 MG 14 CAP.</t>
  </si>
  <si>
    <t>DIMERAST 240 MG 56 CAP.</t>
  </si>
  <si>
    <t>DIOVAN 160 MG 28 FTB.</t>
  </si>
  <si>
    <t>DIOVAN 320 MG 28 FTB.</t>
  </si>
  <si>
    <t>DIOVAN 80 MG 28 FTB.</t>
  </si>
  <si>
    <t>DIPEPTIVEN 200 MG 100 ML.</t>
  </si>
  <si>
    <t>DIPON 250 MG 120 TB</t>
  </si>
  <si>
    <t>DIPROMED 5/2 MG 1 ML 1 AMP.</t>
  </si>
  <si>
    <t>DIPROSPAN 5/2 MG 1 ML 1 AMP.</t>
  </si>
  <si>
    <t>DISPRIL 300 MG 24 TB.</t>
  </si>
  <si>
    <t>DITERIN 100 MG 30 TB.</t>
  </si>
  <si>
    <t>DIVATOR 10 MG 30 FTB.</t>
  </si>
  <si>
    <t>DIVATOR 20 MG 30 FTB.</t>
  </si>
  <si>
    <t>DIVINA 4/10 MG 21 TB.</t>
  </si>
  <si>
    <t>DIYATIX 50 MG 56 TB.</t>
  </si>
  <si>
    <t>DODEX 1000 MCG 1 ML 5 AMP.</t>
  </si>
  <si>
    <t>DOENZA  5 MG 14 FTB</t>
  </si>
  <si>
    <t>DOENZA  5 MG 28 FTB</t>
  </si>
  <si>
    <t>DOENZA 10 MG 28 FTB</t>
  </si>
  <si>
    <t>DOENZA ODT 10 MG 28 ADT.</t>
  </si>
  <si>
    <t>DOENZA ODT 5 MG 28 ADT.</t>
  </si>
  <si>
    <t>DOGMATIL 200 MG 24 TB.</t>
  </si>
  <si>
    <t>DOLARIT 300 MG 10 FTB</t>
  </si>
  <si>
    <t>DOLARIT 400 MG 14 FTB</t>
  </si>
  <si>
    <t>DOLGIT %5 50 GR KR.</t>
  </si>
  <si>
    <t>DOLINE %10 50 ML SPR.</t>
  </si>
  <si>
    <t>DOLINE %5 40 GR JEL</t>
  </si>
  <si>
    <t>DOLINE 1 GR 1 IM AMP.</t>
  </si>
  <si>
    <t>DOLOREX 50 MG 20 DRG.</t>
  </si>
  <si>
    <t>DOLORIN COLD 30 TB</t>
  </si>
  <si>
    <t>DOLPHIN 500 MG 10 TB.</t>
  </si>
  <si>
    <t>DOLTE %0.5 5 ML GOZ GTT.</t>
  </si>
  <si>
    <t>DOLVEN %5 40 GR JEL</t>
  </si>
  <si>
    <t>DOLVEN 100 MG 100 ML PED SRP.</t>
  </si>
  <si>
    <t>DOLVEN 400 MG 20 FTB</t>
  </si>
  <si>
    <t>DOLVEN 600 MG 20 FTB</t>
  </si>
  <si>
    <t>DOLVEN COLD&amp;FLU 200/30 MG  30</t>
  </si>
  <si>
    <t>DONAXYL 10 MG 6 VAG. TB.</t>
  </si>
  <si>
    <t>DONEPTIN 10/10 MG 28 FTB.</t>
  </si>
  <si>
    <t>DONEPTIN 10/20 MG 28 FTB.</t>
  </si>
  <si>
    <t>DONEPTIN 5/10 MG 28 FTB.</t>
  </si>
  <si>
    <t>DONEPTIN 5/20 MG 28 FTB.</t>
  </si>
  <si>
    <t>DONEPTIN 5/5 MG 10 FTB.</t>
  </si>
  <si>
    <t>DOPADEX SR 25/100 MG 100 TB.</t>
  </si>
  <si>
    <t>DOPADEX SR 50/200 MG 100 TB.</t>
  </si>
  <si>
    <t>DOPADREN 200 MG 5 ML 5 AMP.</t>
  </si>
  <si>
    <t>DOPALEVO 125/31.25/200 MG 100</t>
  </si>
  <si>
    <t>DOPALEVO 175/43.75/200 MG 100</t>
  </si>
  <si>
    <t>DOPAMOR 20 MG 2 ML 5 AMP.</t>
  </si>
  <si>
    <t>DOPAMOR 50 MG 5 ML 5 AMP.</t>
  </si>
  <si>
    <t>DOPASEL 200 MG/5 ML 5 AMP</t>
  </si>
  <si>
    <t>DORAMYCIN 3 MIU 10 FTB.</t>
  </si>
  <si>
    <t>DORANIT 2.5 MG 150 ML SRP.</t>
  </si>
  <si>
    <t>DOREVIT  D3 300.000 IU 1 AMP.</t>
  </si>
  <si>
    <t>DORSILON 200 MG 20 TB.</t>
  </si>
  <si>
    <t>DORZASOPT %0.5+2 5 ML GOZ GTT</t>
  </si>
  <si>
    <t>DORZOTIM %0.5+2 5 ML GOZ GTT.</t>
  </si>
  <si>
    <t>DOSTINEX 0.5 MG 2 TB.</t>
  </si>
  <si>
    <t>8681308014436</t>
  </si>
  <si>
    <t>DOSTINEX 0.5 MG 8 TB.</t>
  </si>
  <si>
    <t>DOTAREM 376.9 MG 10 ML 1 FLK.</t>
  </si>
  <si>
    <t>DOTAREM 376.9 MG 15 ML 1 FLK.</t>
  </si>
  <si>
    <t>DOTAREM 376.9 MG 20 ML 1 FLK.</t>
  </si>
  <si>
    <t>DOXAFIN 2.5 MG 150 ML SRP.</t>
  </si>
  <si>
    <t>DOXAFIN 5 MG 20 TB</t>
  </si>
  <si>
    <t>DOXITAX TEC 20 MG 1 FLK.</t>
  </si>
  <si>
    <t>DOXITAX TEC 80 MG 1 FLK.</t>
  </si>
  <si>
    <t>DOXIUM 1000 MG 60 FTB.</t>
  </si>
  <si>
    <t>DOXIUM 500 MG 60 CAP.</t>
  </si>
  <si>
    <t>DOXORUBICIN 10 MG 1 FLK (KCK)</t>
  </si>
  <si>
    <t>DOXORUBICIN 50 MG 1 FLK (KCK)</t>
  </si>
  <si>
    <t>DOZYL 10 MG 28 FTB.</t>
  </si>
  <si>
    <t>DOZYL 5 MG 14 FTB.</t>
  </si>
  <si>
    <t>DOZYL 5 MG 28 FTB.</t>
  </si>
  <si>
    <t>DOZYL EASY 10 MG 28 TB.</t>
  </si>
  <si>
    <t>DOZYL EASY 5 MG 28 TB.</t>
  </si>
  <si>
    <t>DRAMAMINE 50 MG 12 TB. *</t>
  </si>
  <si>
    <t>DRAMAMINE 50 MG 5 AMP *</t>
  </si>
  <si>
    <t>DRAXOL 400 MG 24 FTB.</t>
  </si>
  <si>
    <t>DRISENTIN 75 MG 90 FTB.</t>
  </si>
  <si>
    <t>DROFLU COLD 200/30 MG 20 TB</t>
  </si>
  <si>
    <t>DROFLU COLD SRP 100 ML</t>
  </si>
  <si>
    <t>DROPIA 15 MG 30 TB.</t>
  </si>
  <si>
    <t>DROPIA 30 MG 30 TB.</t>
  </si>
  <si>
    <t>DROPIA 45 MG 30 TB.</t>
  </si>
  <si>
    <t>DROPOETIN 2000 IU 0.2 ML ENJ.</t>
  </si>
  <si>
    <t>DROPOETIN 3000 IU 0.3 ML ENJ.</t>
  </si>
  <si>
    <t>DROPOETIN 4000 IU 0.4 ML ENJ.</t>
  </si>
  <si>
    <t>DROPOLEV 30+2 MG 150 ML SRP.</t>
  </si>
  <si>
    <t>DROSETIL 3/0.03 MG 21 FTB.</t>
  </si>
  <si>
    <t>DROSPERA 3/0.02 MG 28 FTB.</t>
  </si>
  <si>
    <t>DRYEX %0.15 10 ML GOZ GTT.</t>
  </si>
  <si>
    <t>DUACT 60+8 MG 30 CAP. *</t>
  </si>
  <si>
    <t>DULCOLAX 2.5 MG 50 CAP.</t>
  </si>
  <si>
    <t>DULESTER 30 MG 28 CAP.</t>
  </si>
  <si>
    <t>DULESTER 60 MG 28 CAP.</t>
  </si>
  <si>
    <t>DULOXX 30 MG 28 CAP.</t>
  </si>
  <si>
    <t>DULOXX 60 MG 28 CAP.</t>
  </si>
  <si>
    <t>DUOCID 250 MG  40 ML SUSP.</t>
  </si>
  <si>
    <t>DUOCID 250 MG  70 ML SUSP.</t>
  </si>
  <si>
    <t>DUOCID 250 MG 100 ML SUSP.</t>
  </si>
  <si>
    <t>DUOCID 375 MG 10 FTB.</t>
  </si>
  <si>
    <t>DUOCID 375 MG 20 FTB</t>
  </si>
  <si>
    <t>DUODERM %16.7+16.7 15 GR SOL.</t>
  </si>
  <si>
    <t>DUOPEZIL 10/10 MG 28 FTB.</t>
  </si>
  <si>
    <t>DUOPEZIL 10/20 MG 28 FTB.</t>
  </si>
  <si>
    <t>DUPATIN % 0.2 2.5 ML GOZ GTT.</t>
  </si>
  <si>
    <t>DUPATIN %0,1 5 ML GOZ GTT.</t>
  </si>
  <si>
    <t>DUPHALAC 667 MG 300 ML SRP.</t>
  </si>
  <si>
    <t>DUPHASTON 10 MG 20 TB.</t>
  </si>
  <si>
    <t>DUROGESIC 12 MCG 5 FLAST***</t>
  </si>
  <si>
    <t>DUROGESIC 25 MCG 5 FLAST ***</t>
  </si>
  <si>
    <t>DUROGESIC 50 MCG 5 FLAST ***</t>
  </si>
  <si>
    <t>DUROGESIC 75 MCG 5 FLAST ***</t>
  </si>
  <si>
    <t>DURUMEX %3 20 GR POM.</t>
  </si>
  <si>
    <t>DURUMEX %3 50 GR POM.</t>
  </si>
  <si>
    <t>DUSPATALIN 100 MG 50 DRG.</t>
  </si>
  <si>
    <t>DUSPATALIN RET 200 MG 30 CAP.</t>
  </si>
  <si>
    <t>DUTAPROS 0.5 MG 30 CAP.</t>
  </si>
  <si>
    <t>DUXALTA 30 MG 28 CAP.</t>
  </si>
  <si>
    <t>DUXET 30 MG 28 CAP.</t>
  </si>
  <si>
    <t>DUXET 60 MG 28 CAP.</t>
  </si>
  <si>
    <t>DYLOXIA 30 MG 28 CAP.</t>
  </si>
  <si>
    <t>DYLOXIA 60 MG 28 CAP.</t>
  </si>
  <si>
    <t>DYNABAC 250 MG 10 TB</t>
  </si>
  <si>
    <t>DYNDION 15 MG 30 TB.</t>
  </si>
  <si>
    <t>DYNDION 30 MG 30 TB.</t>
  </si>
  <si>
    <t>EBAFIT 10 MG 20 FTB</t>
  </si>
  <si>
    <t>EBAFIT 20 MG 20 FTB</t>
  </si>
  <si>
    <t>EBICOMB 10/10 MG 28 EFF TB</t>
  </si>
  <si>
    <t>EBICOMB 10/20 MG 100 EFF TB</t>
  </si>
  <si>
    <t>EBICOMB 10/20 MG 28 EFF TB</t>
  </si>
  <si>
    <t>EBICOMB 5/10 MG 28 EFF TB</t>
  </si>
  <si>
    <t>EBICOMB 5/5 MG 10 EFF TB</t>
  </si>
  <si>
    <t>EBIXA 10 MG 100 TB</t>
  </si>
  <si>
    <t>EBIXA 10 MG 50 FTB</t>
  </si>
  <si>
    <t>8699795091168</t>
  </si>
  <si>
    <t>EBIXA 20 MG 28 FTB</t>
  </si>
  <si>
    <t>8699795091175</t>
  </si>
  <si>
    <t>EBIXA 20 MG 84 FTB</t>
  </si>
  <si>
    <t>ECCURY 15 MG 56 FTB.</t>
  </si>
  <si>
    <t>ECOPIRIN 100 MG 30 TB.</t>
  </si>
  <si>
    <t>ECOPIRIN 150 MG 30 TB.</t>
  </si>
  <si>
    <t>ECOPIRIN 300 MG 30 TB</t>
  </si>
  <si>
    <t>ECOPIRIN PRO 81 MG 30 TB.</t>
  </si>
  <si>
    <t>ECTOPIX %0.1 30 GR KR.</t>
  </si>
  <si>
    <t>ECTOPIX %0.1 30 GR POM.</t>
  </si>
  <si>
    <t>ECTOPIX M %0.1 50 GR LOS.</t>
  </si>
  <si>
    <t>ECTOPIX S %0.1 20 ML COZ.</t>
  </si>
  <si>
    <t>EDOLAR 300 MG 10 FTB</t>
  </si>
  <si>
    <t>EDOLAR 500 MG 14 FTB</t>
  </si>
  <si>
    <t>EDOLAR 600 MG 14 FTB</t>
  </si>
  <si>
    <t>EDRONAX 4 MG 60 TB</t>
  </si>
  <si>
    <t>EDURANT 25 MG 30 FTB</t>
  </si>
  <si>
    <t>EFAMAT %5 40 GR JEL</t>
  </si>
  <si>
    <t>EFAMAT 1 GR 2 ML 1 AMP.</t>
  </si>
  <si>
    <t>EFEDERM %0.1 100 GR LOS.</t>
  </si>
  <si>
    <t>EFEDERM %0.1 50 GR LOS.</t>
  </si>
  <si>
    <t>EFEMOLINE %0.1+0.025 5 ML GOZ</t>
  </si>
  <si>
    <t>EFERCAL 1000 MG 40 EFF TB.</t>
  </si>
  <si>
    <t>EFERMAG 365 MG 30 EFF TB.</t>
  </si>
  <si>
    <t>EFEXOR XR 150 MG 28 CAP.</t>
  </si>
  <si>
    <t>EFEXOR XR 37.5 MG 14 CAP.</t>
  </si>
  <si>
    <t>EFEXOR XR 75 MG 28 CAP.</t>
  </si>
  <si>
    <t>EFFENTORA 100 MCG 28 TB.***</t>
  </si>
  <si>
    <t>EFFENTORA 200 MCG 28 TB.***</t>
  </si>
  <si>
    <t>EFFENTORA 400 MCG 28 TB.***</t>
  </si>
  <si>
    <t>EFFENTORA 800 MCG 28 TB.***</t>
  </si>
  <si>
    <t>EFFIENT 10 MG 28 FTB.</t>
  </si>
  <si>
    <t>EFIKAS MR 30 MG 30 TB.</t>
  </si>
  <si>
    <t>EFIKAS MR 30 MG 60 TB.</t>
  </si>
  <si>
    <t>EFIKAS MR 30 MG 90 TB.</t>
  </si>
  <si>
    <t>EFIKAS MR 60 MG 30 TB.</t>
  </si>
  <si>
    <t>EFIKAS MR 60 MG 60 TB.</t>
  </si>
  <si>
    <t>EFLORIN %13.9 30 GR KR.</t>
  </si>
  <si>
    <t>EFUDIX %5 20 GR KR.</t>
  </si>
  <si>
    <t>EISEFERON 100 MG 100 ML COZ.</t>
  </si>
  <si>
    <t>EISEFERON 40 MG 5 ML ORAL</t>
  </si>
  <si>
    <t>EKIPERTA 1000 MG 1 FLK.</t>
  </si>
  <si>
    <t>EKIPIM 1000 MG 1 FLK.</t>
  </si>
  <si>
    <t>EKIPIM 500 MG 1 FLK.</t>
  </si>
  <si>
    <t>EKLIPS 100 MG 28 FTB.</t>
  </si>
  <si>
    <t>EKLIPS 50 MG 28 FTB.</t>
  </si>
  <si>
    <t>EKLIPS FORT 100/25 MG 28 FTB.</t>
  </si>
  <si>
    <t>EKSOFED 30 MG 150 ML SRP.*</t>
  </si>
  <si>
    <t>EKSOFED 60 MG 30 TB*</t>
  </si>
  <si>
    <t>EKSPAZ 40 MG 30 TB.</t>
  </si>
  <si>
    <t>ELAPRASE 2 MG 5 ML 1 FLK.</t>
  </si>
  <si>
    <t>ELEKTRA 25 MG 20 FTB</t>
  </si>
  <si>
    <t>ELEKTRA FORT 50 MG 30 TB</t>
  </si>
  <si>
    <t>ELEKTRA PLUS JEL 30 GR</t>
  </si>
  <si>
    <t>ELELYSO 200 U 10 ML 1 FLK.</t>
  </si>
  <si>
    <t>ELEPSI 100 MG 56 FTB.</t>
  </si>
  <si>
    <t>ELEPSI 150 MG 56 FTB.</t>
  </si>
  <si>
    <t>ELEPSI 200 MG 56 FTB.</t>
  </si>
  <si>
    <t>ELEPSI 50 MG 14 FTB.</t>
  </si>
  <si>
    <t>ELEVIT PRONATAL 30 FTB.</t>
  </si>
  <si>
    <t>ELEVIT PRONATAL 60 FTB.</t>
  </si>
  <si>
    <t>ELFENOR %5 50 GR JEL</t>
  </si>
  <si>
    <t>ELIDEL %1 30 GR KR.</t>
  </si>
  <si>
    <t>ELIGARD 22.5 MG 1 ENJ.</t>
  </si>
  <si>
    <t>ELIGARD 45 MG 1 ENJ.</t>
  </si>
  <si>
    <t>ELIQUIS 2.5 MG 56 FTB.</t>
  </si>
  <si>
    <t>ELIQUIS 2.5 MG 60 FTB.</t>
  </si>
  <si>
    <t>ELIQUIS 5 MG 56 FTB.</t>
  </si>
  <si>
    <t>ELIQUIS 5 MG 60 FTB.</t>
  </si>
  <si>
    <t>ELLA 30 MG 1 FTB.</t>
  </si>
  <si>
    <t>ELMIRON 100 MG 100 CAP.</t>
  </si>
  <si>
    <t>ELOCON %0.1 30 GR KR.</t>
  </si>
  <si>
    <t>ELOCON %0.1 30 GR POM.</t>
  </si>
  <si>
    <t>ELOCON %0.1 30 ML LOS.</t>
  </si>
  <si>
    <t>EMADINE %0.05 5 ML GOZ GTT.</t>
  </si>
  <si>
    <t>EMEDUR 100 MG 5 SUPP.</t>
  </si>
  <si>
    <t>EMEDUR 200 MG 20 FTB.</t>
  </si>
  <si>
    <t>EMEDUR 200 MG 6 AMP.</t>
  </si>
  <si>
    <t>EMEKSAT %0.05 5 ML GOZ GTT.</t>
  </si>
  <si>
    <t>EMEND 125/80/80 MG 3 CAP.</t>
  </si>
  <si>
    <t>EMESET 4 MG 2 ML 1 AMP.</t>
  </si>
  <si>
    <t>EMETOL 200 MG 20 TB.</t>
  </si>
  <si>
    <t>EMETRIL 1 MG 10 FTB.</t>
  </si>
  <si>
    <t>EMETRIL 2 MG 5 FTB.</t>
  </si>
  <si>
    <t>EMETRIL 3 MG 3 ML 1 AMP.</t>
  </si>
  <si>
    <t>EMFER 100 MG 5 ML 5 AMP.</t>
  </si>
  <si>
    <t>EMLA %5 5 GR 5 AD  KR.</t>
  </si>
  <si>
    <t>EMSELEX 15 MG 28 TB.</t>
  </si>
  <si>
    <t>EMSELEX 7.5 MG 28 TB.</t>
  </si>
  <si>
    <t>EMULID PLUS %1+5 50 GR JEL</t>
  </si>
  <si>
    <t>ENAPRIL 10 MG 20 TB.</t>
  </si>
  <si>
    <t>ENAPRIL 20 MG 20 TB.</t>
  </si>
  <si>
    <t>ENAPRIL 5 MG 20 TB.</t>
  </si>
  <si>
    <t>ENBREL 25 MG 0.5 ML 4 ENJ.</t>
  </si>
  <si>
    <t>8681308277435</t>
  </si>
  <si>
    <t>ENBREL 25 MG 0.5 ML 4 FLK.</t>
  </si>
  <si>
    <t>ENBREL 50 0.98 ML MG 2 PEN</t>
  </si>
  <si>
    <t>ENCEF 125 MG 100 ML SUSP.</t>
  </si>
  <si>
    <t>ENCEF 250 MG 100 ML SUSP.</t>
  </si>
  <si>
    <t>ENCEF 300 MG 10 CAP.</t>
  </si>
  <si>
    <t>ENCEF 300 MG 20 CAP.</t>
  </si>
  <si>
    <t>ENCEF 600 MG 10 FTB.</t>
  </si>
  <si>
    <t>ENDOL 100 MG 10 SUPP.</t>
  </si>
  <si>
    <t>ENDOL 25 MG 25 CAP.</t>
  </si>
  <si>
    <t>ENDOXAN 1000 MG 1 FLK.</t>
  </si>
  <si>
    <t>ENDOXAN 50 MG 50 TB.</t>
  </si>
  <si>
    <t>ENDOXAN 500 MG 1 FLK.</t>
  </si>
  <si>
    <t>ENEAS 10/20 MG 30 TB.</t>
  </si>
  <si>
    <t>ENFEROX 125 MG 28 TB.</t>
  </si>
  <si>
    <t>ENFEROX 250 MG 28 TB.</t>
  </si>
  <si>
    <t>ENFEROX 500 MG 28 TB.</t>
  </si>
  <si>
    <t>ENFEROX EASY 360 MG 30 FTB.</t>
  </si>
  <si>
    <t>ENFEXIA 250 MG 10 TB.</t>
  </si>
  <si>
    <t>ENFEXIA 500 MG 10 TB.</t>
  </si>
  <si>
    <t>ENFEXIA 500 MG 14 TB.</t>
  </si>
  <si>
    <t>ENFEXIA 500 MG 20 TB.</t>
  </si>
  <si>
    <t>ENFLUAT %0,4 5 ML GOZ GTT.</t>
  </si>
  <si>
    <t>ENFLUVIR 75 MG 10 CAP.</t>
  </si>
  <si>
    <t>ENGERIX-B 20 MCG 1 ML 1 ENJ.</t>
  </si>
  <si>
    <t>ENIT 10/20 MG 30 TB.</t>
  </si>
  <si>
    <t>ENOX 4000 IU 0.4 ML 10 ENJ.</t>
  </si>
  <si>
    <t>ENOX 6000 IU 0.6 ML 2 ENJ.</t>
  </si>
  <si>
    <t>ENSURE 2 CAL CILEK 200 ML.</t>
  </si>
  <si>
    <t>ENSURE 2 CAL MUZ 200 ML.</t>
  </si>
  <si>
    <t>ENSURE 2 CAL VANILYA 200 ML.</t>
  </si>
  <si>
    <t>ENSURE CILEK 250 ML.</t>
  </si>
  <si>
    <t>ENSURE COMP. CILEK 4X125 ML.</t>
  </si>
  <si>
    <t>ENSURE COMP. MUZ 4X125 ML.</t>
  </si>
  <si>
    <t>ENSURE KAKAO 250 ML.</t>
  </si>
  <si>
    <t>ENSURE PLUS CILEK 220 ML.</t>
  </si>
  <si>
    <t>ENSURE PLUS FBR KAKAO 200 ML.</t>
  </si>
  <si>
    <t>ENSURE PLUS MUZ 220 ML.</t>
  </si>
  <si>
    <t>ENSURE PLUS VANILYA 220 ML.</t>
  </si>
  <si>
    <t>ENSURE VANILYA 250 ML.</t>
  </si>
  <si>
    <t>ENSURE VANILYA 500 ML.</t>
  </si>
  <si>
    <t>ENTOCORT 0.02 MG 7 LAV.</t>
  </si>
  <si>
    <t>ENTYVIO 300 MG 1 FLK.</t>
  </si>
  <si>
    <t>ENZAFLU 75 MG 10 CAP.</t>
  </si>
  <si>
    <t>ENZOFEN %2 30 GR VAG. KR.</t>
  </si>
  <si>
    <t>ENZOFEN 600 MG 2 VAG. OVUL</t>
  </si>
  <si>
    <t>EPAMOR 20 MG 2 ML 5 AMP.</t>
  </si>
  <si>
    <t>EPAMOR 50 MG 5 ML 5 AMP.</t>
  </si>
  <si>
    <t>EPANUTIN 100 MG 100 CAP.</t>
  </si>
  <si>
    <t>EPDANTOINE 100 MG 100 TB.</t>
  </si>
  <si>
    <t>EPITAM 1000 MG 50 FTB</t>
  </si>
  <si>
    <t>EPITAM 250 MG 50 FTB</t>
  </si>
  <si>
    <t>EPITAM 500 MG 50 FTB</t>
  </si>
  <si>
    <t>EPIVIR 10 MG 240 ML ORAL SOL.</t>
  </si>
  <si>
    <t>EPIVIR 150 MG 60 TB</t>
  </si>
  <si>
    <t>EPIXX 100 MG 300 ML ORAL SOL.</t>
  </si>
  <si>
    <t>EPIXX 1000 MG 50 FTB.</t>
  </si>
  <si>
    <t>EPIXX 250 MG 50 FTB.</t>
  </si>
  <si>
    <t>EPIXX 500 MG 50 FTB.</t>
  </si>
  <si>
    <t>EPIXX 750 MG 50 FTB</t>
  </si>
  <si>
    <t>EPIXX XR 500 MG 50 FTB</t>
  </si>
  <si>
    <t>EPIXX XR 750 MG 50 FTB</t>
  </si>
  <si>
    <t>EPIZONYA 100 MG 100 CAP.</t>
  </si>
  <si>
    <t>EPIZONYA 25 MG 28 CAP.</t>
  </si>
  <si>
    <t>EPLEDAY 25 MG 30 FTB.</t>
  </si>
  <si>
    <t>EPOBEL 4000 IU 0.4 ML 6 ENJ.</t>
  </si>
  <si>
    <t>EPOBEL 5000 IU 0.5 ML 6 ENJ.</t>
  </si>
  <si>
    <t>EPORON 10000 IU 0.5 ML 5 ENJ.</t>
  </si>
  <si>
    <t>EPORON 2000 IU 0.5 ML 5 ENJ.</t>
  </si>
  <si>
    <t>EPORON 2000 IU 0.5 ML 6 ENJ.</t>
  </si>
  <si>
    <t>EPORON 4000 IU 0.4 ML 5 ENJ.</t>
  </si>
  <si>
    <t>EPORON 4000 IU 0.4 ML 6 ENJ.</t>
  </si>
  <si>
    <t>EPOSTIN %0.05 TEK DOZ 30 FLK.</t>
  </si>
  <si>
    <t>EQICEFT 1000 MG IM 1 FLK.</t>
  </si>
  <si>
    <t>EQICEFT 1000 MG IM 3 FLK.</t>
  </si>
  <si>
    <t>EQICEFT 1000 MG IV 1 FLK.</t>
  </si>
  <si>
    <t>EQICEFT 500 MG IM 1 FLK.</t>
  </si>
  <si>
    <t>EQICEFT 500 MG IV 1 FLK.</t>
  </si>
  <si>
    <t>EQITAX 1000 MG 1 FLK.</t>
  </si>
  <si>
    <t>EQITAX 500 MG 1 FLK.</t>
  </si>
  <si>
    <t>EQIZOLIN 1000 MG IM 1 FLK.</t>
  </si>
  <si>
    <t>EQIZOLIN 1000 MG IM/IV 1 FLK.</t>
  </si>
  <si>
    <t>EQIZOLIN 500 IM/IV 1 FLK.</t>
  </si>
  <si>
    <t>EQIZOLIN 500 MG IM 1 FLK.</t>
  </si>
  <si>
    <t>ERBITUX 100 MG 20 ML 1 FLK.</t>
  </si>
  <si>
    <t>ERBITUX 500 MG 100 ML 1 FLK.</t>
  </si>
  <si>
    <t>ERCEFURYL 100 MG 12 CAP.</t>
  </si>
  <si>
    <t>ERCEFURYL 200 MG 60 ML SUSP.</t>
  </si>
  <si>
    <t>ERDOSTIN 175 MG 100 ML SUSP.</t>
  </si>
  <si>
    <t>ERDOSTIN 175 MG 200 ML SUSP.</t>
  </si>
  <si>
    <t>ERDOSTIN 300 MG 20 CAP.</t>
  </si>
  <si>
    <t>ERITRETIN %4+0.025 30 GR JEL</t>
  </si>
  <si>
    <t>ERIVEDGE 150 MG 28 CAP.</t>
  </si>
  <si>
    <t>ERTES 72 1.5 MG 1 TB.</t>
  </si>
  <si>
    <t>ERTINOB 100 MG 30 FTB</t>
  </si>
  <si>
    <t>ERTINOB 150 MG 30 FTB</t>
  </si>
  <si>
    <t>ES ENEMA 19+7 GR 135 ML LAV.</t>
  </si>
  <si>
    <t>ESBRIET 267 MG 270 CAP.</t>
  </si>
  <si>
    <t>ESBRIET 267 MG 90 FTB.</t>
  </si>
  <si>
    <t>ESBRIET 801 MG 90 FTB.</t>
  </si>
  <si>
    <t>ESLOREX 10 MG 28 FTB</t>
  </si>
  <si>
    <t>ESLOREX 20 MG 28 FTB</t>
  </si>
  <si>
    <t>ESMAX 10 MG 28 FTB</t>
  </si>
  <si>
    <t>ESMAX 10 MG 56 FTB</t>
  </si>
  <si>
    <t>ESMAX 20 MG 28 FTB</t>
  </si>
  <si>
    <t>ESMAX 20 MG 56 FTB</t>
  </si>
  <si>
    <t>ESOM 40 MG 28 CAP.</t>
  </si>
  <si>
    <t>ESOPRAL 40 MG 28 CAP.</t>
  </si>
  <si>
    <t>ESOPRO 40 MG 28 CAP.</t>
  </si>
  <si>
    <t>ESPLUS 10 MG 28 FTB</t>
  </si>
  <si>
    <t>ESPLUS 10 MG 84 FTB</t>
  </si>
  <si>
    <t>ESPLUS 20 MG 28 FTB</t>
  </si>
  <si>
    <t>ESRAM 10 MG 28 TB</t>
  </si>
  <si>
    <t>ESRAM 20 MG 28 TB</t>
  </si>
  <si>
    <t>ESTRACYT 140 MG 100 CAP.</t>
  </si>
  <si>
    <t>ESTRIOL 1 MG 50 GR VAG. KR.</t>
  </si>
  <si>
    <t>ESTROFEM 2 MG 28 TB.</t>
  </si>
  <si>
    <t>ETKINIA 1 MG 30 TB.</t>
  </si>
  <si>
    <t>ETNA COMBO %1+0.25 50 GR JEL</t>
  </si>
  <si>
    <t>ETNA COMBO 100/8 MG TB.</t>
  </si>
  <si>
    <t>ETOFAST 1 GR 2 ML 1 AMP.</t>
  </si>
  <si>
    <t>ETOL FORT 400 MG 14 FTB</t>
  </si>
  <si>
    <t>ETOL SR 600 MG 10 TB</t>
  </si>
  <si>
    <t>ETOLAX 500 MG/8 MG 14 FTB</t>
  </si>
  <si>
    <t>ETOSID 100 MG 5 ML 1 FLK.</t>
  </si>
  <si>
    <t>ETOSID 50 MG 2.5 ML 1 FLK.</t>
  </si>
  <si>
    <t>ETOTAC 600 MG SR 10 FTB</t>
  </si>
  <si>
    <t>ETOTIO 400/8 MG 14 FTB.</t>
  </si>
  <si>
    <t>ETOVER 1 GR 2 ML 1 AMP.</t>
  </si>
  <si>
    <t>ETREXIN %2+0.05 30 GR JEL</t>
  </si>
  <si>
    <t>EUMOVATE %0.05 50 GR KR.</t>
  </si>
  <si>
    <t>EUMOVATE %0.05 50 GR POM.</t>
  </si>
  <si>
    <t>EUTHYROX  25 MG 50 TB.</t>
  </si>
  <si>
    <t>EUTHYROX  50 MG 50 TB.</t>
  </si>
  <si>
    <t>EUTHYROX 100 MG 50 TB.</t>
  </si>
  <si>
    <t>EUTHYROX 125 MG 50 TB.</t>
  </si>
  <si>
    <t>EUTHYROX 150 MG 50 TB.</t>
  </si>
  <si>
    <t>EUTHYROX 75 MG 50 TB.</t>
  </si>
  <si>
    <t>EVASIF 245 MG 30 FTB</t>
  </si>
  <si>
    <t>EVICAP 100 IU 30 CAP.</t>
  </si>
  <si>
    <t>EVICAP 200 IU 30 CAP.</t>
  </si>
  <si>
    <t>EVICAP 400 IU 30 CAP.</t>
  </si>
  <si>
    <t>EVIGEN 300 IU 2 ML 5 AMP.</t>
  </si>
  <si>
    <t>EVIN 300 IU 2 ML 5 AMP.</t>
  </si>
  <si>
    <t>EVINOLLE 400 IU 30 CAP.</t>
  </si>
  <si>
    <t>EVOLVIA AC 400 GR.</t>
  </si>
  <si>
    <t>EVOLVIA AR 400 GR.</t>
  </si>
  <si>
    <t>EVOLVIA PREMATURE 400 GR.</t>
  </si>
  <si>
    <t>EVOLVIA RP1 400 GR.</t>
  </si>
  <si>
    <t>EVOLVIA RP2 400 GR.</t>
  </si>
  <si>
    <t>EVORABIN 1 MG 1 FLK.</t>
  </si>
  <si>
    <t>EVOSTEN 175 MG 100 ML SUSP.</t>
  </si>
  <si>
    <t>EVOSTEN 175 MG 200 ML SUSP.</t>
  </si>
  <si>
    <t>EVOSTEN 300 MG 20 CAP.</t>
  </si>
  <si>
    <t>EXAGYN 750/200 MG 7 VAG. TB.</t>
  </si>
  <si>
    <t>EXCALIBA 20/5 MG 28 FTB.</t>
  </si>
  <si>
    <t>EXCALIBA 40/10 MG 28 FTB.</t>
  </si>
  <si>
    <t>EXCALIBA 40/5 MG 28 FTB.</t>
  </si>
  <si>
    <t>EXCEGRAN 100 MG 100 CAP.</t>
  </si>
  <si>
    <t>EXCIPIAL HYDRO %2 200 ML LOS.</t>
  </si>
  <si>
    <t>EXCIPIAL LIPO %4 200 ML LOS.</t>
  </si>
  <si>
    <t>EXELDERM %1 20 ML SPR.</t>
  </si>
  <si>
    <t>EXELDERM %1 30 GR KR</t>
  </si>
  <si>
    <t>EXELON 1.5 MG 28 CAP.</t>
  </si>
  <si>
    <t>EXELON 2 MG 120 ML SOL.</t>
  </si>
  <si>
    <t>EXELON 3 MG 28 CAP.</t>
  </si>
  <si>
    <t>EXELON 4.5 MG 28 CAP.</t>
  </si>
  <si>
    <t>EXELON 6 MG 28 CAP.</t>
  </si>
  <si>
    <t>EXELON PATCH 10 FLASTER</t>
  </si>
  <si>
    <t>EXELON PATCH 15 FLASTER</t>
  </si>
  <si>
    <t>EXELON PATCH 5 FLASTER.</t>
  </si>
  <si>
    <t>EXEN 15 MG 10 TB.</t>
  </si>
  <si>
    <t>EXENATE %0.1 30 GR KR.</t>
  </si>
  <si>
    <t>EXENATE %0.1 30 GR POM.</t>
  </si>
  <si>
    <t>EXENATE %0.1 50 GR LOS.</t>
  </si>
  <si>
    <t>EXETU 25 MG 30 FTB</t>
  </si>
  <si>
    <t>EXFORGE 10/160 MG 28 FTB.</t>
  </si>
  <si>
    <t>EXFORGE 5/160 MG 28 FTB.</t>
  </si>
  <si>
    <t>EXJADE 125 MG 28 TB.</t>
  </si>
  <si>
    <t>EXJADE 250 MG 28 TB.</t>
  </si>
  <si>
    <t>EXJADE 500 MG 28 TB.</t>
  </si>
  <si>
    <t>EXOCIN %3 5 ML GOZ GTT.</t>
  </si>
  <si>
    <t>EXODERIL %1 20 ML SPR.</t>
  </si>
  <si>
    <t>EXODERIL %1 30 GR KR.</t>
  </si>
  <si>
    <t>EXPIGMENT %2 30 GR KR.</t>
  </si>
  <si>
    <t>EXPIGMENT %4 30 GR KR.</t>
  </si>
  <si>
    <t>EXTAL 600 MG 10 EFF TB</t>
  </si>
  <si>
    <t>EXTAL 600 MG 20 EFF TB.</t>
  </si>
  <si>
    <t>EXTAL 900 MG 20 EF TB</t>
  </si>
  <si>
    <t>EXTAL FORT 1200 MG 20 EF TB</t>
  </si>
  <si>
    <t>EXTENDA 30 MG 3 FTB.</t>
  </si>
  <si>
    <t>EXVIERA 250 MG 56 FTB.</t>
  </si>
  <si>
    <t>EYENAT %0.15 10 ML GOZ GTT.</t>
  </si>
  <si>
    <t>EYEVISOL %0.05 5 ML GOZ GTT.</t>
  </si>
  <si>
    <t>EYLEA 40 MG 1 FLK.</t>
  </si>
  <si>
    <t>EZETEC 10 MG 28 TB.</t>
  </si>
  <si>
    <t>EZETROL 10 MG 28 TB.</t>
  </si>
  <si>
    <t>FABRAZYME 35 MG 1 FLK.</t>
  </si>
  <si>
    <t>FACTIVE 320 MG 5 FTB.</t>
  </si>
  <si>
    <t>FACTIVE 320 MG 7 FTB.</t>
  </si>
  <si>
    <t>FAKTOR 8 8Y 500  IU 1 FLK.</t>
  </si>
  <si>
    <t>FAKTOR 8 ADVATE 250 IU 1 FLK.</t>
  </si>
  <si>
    <t>FAKTOR 8 ADVATE 500 IU 1 FLK.</t>
  </si>
  <si>
    <t>FAKTOR 8 FANHDI 500 IU 1 FLK.</t>
  </si>
  <si>
    <t>FAKTOR 8 FEIBA 500 IU 20 ML 1</t>
  </si>
  <si>
    <t>FAMODIN 20 MG 60 TB.</t>
  </si>
  <si>
    <t>FAMODIN 40 MG 30 TB.</t>
  </si>
  <si>
    <t>FAMOSER 40 MG 30 TB.</t>
  </si>
  <si>
    <t>FAMPYRA 10 MG 56 TB.</t>
  </si>
  <si>
    <t>FANTOMALT MAMA 400 GR.</t>
  </si>
  <si>
    <t>FARHEX %0.15+0.12 30 ML SPR.</t>
  </si>
  <si>
    <t>FARHEX FORT %0.30+0.12 200 ML</t>
  </si>
  <si>
    <t>FASLODEX 250 MG 5 ML 2 FLK.</t>
  </si>
  <si>
    <t>FASTJEL %2.5 50 GR JEL</t>
  </si>
  <si>
    <t>FASTURTEC 1.5 MG 1 ML 3 FLK.</t>
  </si>
  <si>
    <t>FASTURTEC 7.5 MG 5 ML 1 FLK.</t>
  </si>
  <si>
    <t>FAVERIN 100 MG 30 TB.</t>
  </si>
  <si>
    <t>FEBIND 125 MG 28 TB.</t>
  </si>
  <si>
    <t>FEBIND 250 MG 28 TB.</t>
  </si>
  <si>
    <t>FEBIND 500 MG 28 TB.</t>
  </si>
  <si>
    <t>FELDEN %0.5 50 GR JEL</t>
  </si>
  <si>
    <t>FELDEN FLASH 20 MG 10 TB</t>
  </si>
  <si>
    <t>FEMARA 2.5 MG 30 FTB.</t>
  </si>
  <si>
    <t>FENISTIL %0.1 30 GR JEL</t>
  </si>
  <si>
    <t>FENOGAL 200 MG 30 TB.</t>
  </si>
  <si>
    <t>FENOKODIN 20/10 MG 20 TB **</t>
  </si>
  <si>
    <t>FERAMAT 100 MG 30 CAP.</t>
  </si>
  <si>
    <t>FERICOSE 100 MG 5 ML 5 AMP.</t>
  </si>
  <si>
    <t>FERIFER 40 MG 5 ML X 28 KASIK</t>
  </si>
  <si>
    <t>FERIFER 50 MG 30 ML ORAL GTT.</t>
  </si>
  <si>
    <t>FERINJECT 500 MG 10 ML 1 FLK.</t>
  </si>
  <si>
    <t>FERINT 100 MG 5 ML 5 AMP.</t>
  </si>
  <si>
    <t>FEROUT 180 MG 30 FTB.</t>
  </si>
  <si>
    <t>FEROUT 360 MG 30 FTB.</t>
  </si>
  <si>
    <t>FEROUT 90 MG 30 FTB.</t>
  </si>
  <si>
    <t>FEROUT-S 125 MG 28 TB.</t>
  </si>
  <si>
    <t>FEROUT-S 250 MG 28 TB.</t>
  </si>
  <si>
    <t>FEROUT-S 500 MG 28 TB.</t>
  </si>
  <si>
    <t>FERPLEX 40 MG ORAL 10 FLK.</t>
  </si>
  <si>
    <t>FERRIPROX 100 MG 500 ML SRP.</t>
  </si>
  <si>
    <t>FERRIPROX 500 MG 100 FTB.</t>
  </si>
  <si>
    <t>FERROSANOL B 150 ML SRP</t>
  </si>
  <si>
    <t>FERROSANOL DUO 567.7 MG 20 CA</t>
  </si>
  <si>
    <t>FERROSEL 100 MG 5 ML 5 AMP.</t>
  </si>
  <si>
    <t>FERROVEN 100 MG 5 ML 5 AMP.</t>
  </si>
  <si>
    <t>FERROZINC 100 ML SRP.</t>
  </si>
  <si>
    <t>FERROZINC 20 CAP.</t>
  </si>
  <si>
    <t>FERRUM 100 MG 2 ML 5 AMP.</t>
  </si>
  <si>
    <t>FERRUM 50 MG 150 ML SRP.</t>
  </si>
  <si>
    <t>FERRUM 50 MG 30 ML ORAL GTT.</t>
  </si>
  <si>
    <t>FERTAMIR 100 MG 30 SASE</t>
  </si>
  <si>
    <t>FERTAMIR 40 MG 30 SASE</t>
  </si>
  <si>
    <t>FERVION 100 MG 2 ML 5 AMP.</t>
  </si>
  <si>
    <t>FESOR 250 MG 28 TB.</t>
  </si>
  <si>
    <t>FESOR 500 MG 28 TB.</t>
  </si>
  <si>
    <t>FESTAL N 220 MG 20 DRG.</t>
  </si>
  <si>
    <t>FEVERE 25 MG 50 ML ORAL COZ.</t>
  </si>
  <si>
    <t>FEXADYNE 120 MG 20 TB.</t>
  </si>
  <si>
    <t>FEXADYNE 180 MG 20 TB.</t>
  </si>
  <si>
    <t>FEXOFEN 120 MG 20 TB.</t>
  </si>
  <si>
    <t>FEXOFEN 180 MG 20 TB.</t>
  </si>
  <si>
    <t>FILINSEL 240 MG 10 ML 3 AMP.</t>
  </si>
  <si>
    <t>FINDEL 0.5 MG 28 CAP.</t>
  </si>
  <si>
    <t>FINGOMES 0.5 MG 28 CAP.</t>
  </si>
  <si>
    <t>FINGYA 0.5 MG 28 CAP.</t>
  </si>
  <si>
    <t>FINHAIR 1 MG 28 FTB.</t>
  </si>
  <si>
    <t>FINIMOD 0.5 MG 28 CAP.</t>
  </si>
  <si>
    <t>FITO 40 GR KR.</t>
  </si>
  <si>
    <t>FIX-AT 475 MG 180 FTB.</t>
  </si>
  <si>
    <t>FIX-AT 950 MG 180 FTB.</t>
  </si>
  <si>
    <t>FIXDUAL 5/10 MG 30 FTB.</t>
  </si>
  <si>
    <t>FIXEF 100 MG 100 ML PED SUSP.</t>
  </si>
  <si>
    <t>FIXEF 100 MG 50 ML PED  SUSP.</t>
  </si>
  <si>
    <t>FIXEF 400 MG 10 FTB.</t>
  </si>
  <si>
    <t>FLAGENTYL 500 MG 4 FTB.</t>
  </si>
  <si>
    <t>FLAGYL 125 MG 120 ML SUSP.</t>
  </si>
  <si>
    <t>FLAGYL 500 MG 20 FTB.</t>
  </si>
  <si>
    <t>FLANTADIN  6 MG 20 TB</t>
  </si>
  <si>
    <t>FLANTADIN 30 MG 10 TB</t>
  </si>
  <si>
    <t>FLAREX %0.1 5 ML GOZ GTT.</t>
  </si>
  <si>
    <t>FLEBOGAMMA DIF 10 GR 200 ML 1</t>
  </si>
  <si>
    <t>FLESSI 10 MG 30 FTB</t>
  </si>
  <si>
    <t>FLESSI 5 MG 30 FTB</t>
  </si>
  <si>
    <t>FLEXO %10 100 MG 50 ML SPR.</t>
  </si>
  <si>
    <t>FLEXO %5 40 GR JEL</t>
  </si>
  <si>
    <t>FLEXO 1 GR 2 ML 1 AMP.</t>
  </si>
  <si>
    <t>FLIXAIR 0.5 MG 2 ML 10 FLK.</t>
  </si>
  <si>
    <t>FLIXAIR 2 MG 2 ML 10 FLK.</t>
  </si>
  <si>
    <t>FLIXON 125 MCG 120 DOZ INH.</t>
  </si>
  <si>
    <t>FLIXONASE AQ 50 MCG NAS SPR.</t>
  </si>
  <si>
    <t>FLIXOTIDE 0.5 MG 2 ML 10 FLK.</t>
  </si>
  <si>
    <t>FLIXOTIDE 2 MG 2 ML 10 FLK.</t>
  </si>
  <si>
    <t>FLIXOTIDE 50 MCG 120 DOZ INH.</t>
  </si>
  <si>
    <t>FLIXOTIDE DIS 100 MCG 60 DOZ</t>
  </si>
  <si>
    <t>FLIXOTIDE DIS 250 MCG 60 DOZ</t>
  </si>
  <si>
    <t>FLOMAX MR 0.4 MG 30 CAP.</t>
  </si>
  <si>
    <t>FLOPROST MR 0.4 MG 30 CAP.</t>
  </si>
  <si>
    <t>8699844690458</t>
  </si>
  <si>
    <t>FLOTIC I.V .400 mg/200 ml FLAKON</t>
  </si>
  <si>
    <t>FLOXILEVO 500 MG 7 FTB.</t>
  </si>
  <si>
    <t>FLOXILEVO 750 MG 7 FTB.</t>
  </si>
  <si>
    <t>FLUANXOL 3 MG 50 FTB.</t>
  </si>
  <si>
    <t>FLUANXOL DEPOT 20 MG 1 AMP.</t>
  </si>
  <si>
    <t>FLUBEST SR 1.5 MG 30 TB.</t>
  </si>
  <si>
    <t>FLUBORD %0.03 5 ML GOZ GTT.</t>
  </si>
  <si>
    <t>FLUCAN 150 MG 1 CAP.</t>
  </si>
  <si>
    <t>FLUCAN 150 MG 12 CAP.</t>
  </si>
  <si>
    <t>FLUCAN 150 MG 2 CAP.</t>
  </si>
  <si>
    <t>FLUDALT DUO 100/50 MCG 60 INH</t>
  </si>
  <si>
    <t>FLUDALT DUO 250/50 MCG 60 INH</t>
  </si>
  <si>
    <t>FLUDALT DUO 500/50 MCG 60 INH</t>
  </si>
  <si>
    <t>FLUDEX SR 1.5 MG 30 FTB.</t>
  </si>
  <si>
    <t>FLUDIN 2.5 MG 30 FTB.</t>
  </si>
  <si>
    <t>FLUJECT 100 MG 50 ML 1 FLK.</t>
  </si>
  <si>
    <t>FLUKOSEL 200 MG 100 ML</t>
  </si>
  <si>
    <t>FLUORESCITE %10 1 FLK.</t>
  </si>
  <si>
    <t>FLUOROPOS %0.1 5 ML GOZ GTT.</t>
  </si>
  <si>
    <t>FLUOROURACIL 1000 MG (KOCAK)</t>
  </si>
  <si>
    <t>FLUOROURACIL 500 MG (KOCAK)</t>
  </si>
  <si>
    <t>FLUOSINE 500 MG 5 ML 1 FLK.</t>
  </si>
  <si>
    <t>FLUPAMID 2.5 MG 60 FTB.</t>
  </si>
  <si>
    <t>FLUPAMID SR 1.5 MG 30 TB.</t>
  </si>
  <si>
    <t>FLUREND %0.25 200 ML GARG.</t>
  </si>
  <si>
    <t>FLUREND %0.25 30 ML ORAL SPR.</t>
  </si>
  <si>
    <t>FLURFLEX 100 MG 15 FTB</t>
  </si>
  <si>
    <t>FLUTEL 50 MCG NAS SPR.</t>
  </si>
  <si>
    <t>FLUZAMED %0.3 5 ML GOZ GTT.</t>
  </si>
  <si>
    <t>FLUZAMED 150 MG 12 CAP.</t>
  </si>
  <si>
    <t>FLUZAMED 200 MG 7 CAP.</t>
  </si>
  <si>
    <t>FLUZOLE 100 MG 7 CAP.</t>
  </si>
  <si>
    <t>FLUZOLE 150 MG 1 CAP.</t>
  </si>
  <si>
    <t>FLUZOLE 150 MG 2 CAP.</t>
  </si>
  <si>
    <t>FLYNTA 20 MG 4 FTB.</t>
  </si>
  <si>
    <t>FML %0.1 5 ML GOZ GTT.</t>
  </si>
  <si>
    <t>FOLBIOL 5 MG 50 TB.</t>
  </si>
  <si>
    <t>FOLCA 15 MG 100 TB.</t>
  </si>
  <si>
    <t>FOLIDOCE 400/2 MCG 28 TB.</t>
  </si>
  <si>
    <t>FONDOS 0.5 MG 28 CAP.</t>
  </si>
  <si>
    <t>FONKSERA  5 MG 28 FTB</t>
  </si>
  <si>
    <t>FONKSERA 10 MG 28 FTB</t>
  </si>
  <si>
    <t>FONKSERA 20 MG 28 FTB</t>
  </si>
  <si>
    <t>FONKSERA 5 MG 14 FTB</t>
  </si>
  <si>
    <t>FORFLU 200/30 MG 30 FTB</t>
  </si>
  <si>
    <t>FORSEF 1000 MG IM 1 FLK.</t>
  </si>
  <si>
    <t>FORSEF 500 MG IM 1 FLK.</t>
  </si>
  <si>
    <t>FORTE D 150.000 IU 10 ML GTT.</t>
  </si>
  <si>
    <t>FORTEVIR 0.5 MG 30 FTB.</t>
  </si>
  <si>
    <t>FORTEVIR 1 MG 30 FTB.</t>
  </si>
  <si>
    <t>FORTIMEL CIKOLATA 500 ML.</t>
  </si>
  <si>
    <t>FORTIMEL COMP FBR CILEK 4X125</t>
  </si>
  <si>
    <t>FORTIMEL COMP FBR KAHVE 4X125</t>
  </si>
  <si>
    <t>FORTIMEL COMP PRT CILEK 4X125</t>
  </si>
  <si>
    <t>FORTIMEL COMP PRT KAHVE 4X125</t>
  </si>
  <si>
    <t>FORTIMEL ENERG CILEK 200 ML.</t>
  </si>
  <si>
    <t>FORTIMEL ENERG MUZ 200 ML.</t>
  </si>
  <si>
    <t>FORTIMEL MUZ 500 ML.</t>
  </si>
  <si>
    <t>FORTINE 100 MG 15 TB.</t>
  </si>
  <si>
    <t>FORTINI 1.0 MFB CILEK 200 ML.</t>
  </si>
  <si>
    <t>FORTINI 1.0 MFB MUZ 200 ML.</t>
  </si>
  <si>
    <t>FORTINI MFB CIKOLATA 200 ML.</t>
  </si>
  <si>
    <t>FORTINI MFB CILEK 200 ML.</t>
  </si>
  <si>
    <t>FORTINI MFB MUZ 200 ML.</t>
  </si>
  <si>
    <t>FORTINI MFB VANILYA 200 ML.</t>
  </si>
  <si>
    <t>FORTINI MULTI FIBRE 200 ML.</t>
  </si>
  <si>
    <t>FORZA 30 TB</t>
  </si>
  <si>
    <t>FORZA PED SUSP</t>
  </si>
  <si>
    <t>FORZIGA 10 MG 28 FTB.</t>
  </si>
  <si>
    <t>FOSAMAX 70 MG 4 TB</t>
  </si>
  <si>
    <t>FOSAVANCE 70 MG/2800 IU 4 TB.</t>
  </si>
  <si>
    <t>FOSAVANCE 70 MG/5600 IU 4 TB.</t>
  </si>
  <si>
    <t>FOSFAT-EX 700 MG 100 FTB.</t>
  </si>
  <si>
    <t>FOSIT 1 GR 1 FLK.</t>
  </si>
  <si>
    <t>FOSIT 4 GR 1 FLK.</t>
  </si>
  <si>
    <t>FOSTER 100/6 MCG AERO 120 DOZ</t>
  </si>
  <si>
    <t>FOSTIMON 150 IU 1 FLK.</t>
  </si>
  <si>
    <t>FOSTIMON 75 IU 1 FLK.</t>
  </si>
  <si>
    <t>FOTEROL 12 MCG 60 INH CAP.</t>
  </si>
  <si>
    <t>FRAVEN 30 MIU 0.5 ML 1 ENJ.</t>
  </si>
  <si>
    <t>FRAVEN 30 MIU 0.5 ML 5 ENJ.</t>
  </si>
  <si>
    <t>FRENAG %1 30 GR JEL</t>
  </si>
  <si>
    <t>FRENAG FORT %3 30 GR JEL</t>
  </si>
  <si>
    <t>FRENAG PLUS %1+5 50 ML SPR.</t>
  </si>
  <si>
    <t>FRENAG PLUS 50 G JEL</t>
  </si>
  <si>
    <t>FRESUBIN ENERG CILEK 200 ML.</t>
  </si>
  <si>
    <t>FRESUBIN ENERG MUZ 200 ML.</t>
  </si>
  <si>
    <t>FRESUBIN HEPA 500 ML.</t>
  </si>
  <si>
    <t>FRESUBIN HEPA CAPPUCINO 200 M</t>
  </si>
  <si>
    <t>FRESUBIN ORIGINAL FBR 500 ML.</t>
  </si>
  <si>
    <t>FRESUBIN YOCREME 4X125 GR.</t>
  </si>
  <si>
    <t>FUARTE 125 MG 28 TB.</t>
  </si>
  <si>
    <t>FUARTE 250 MG 28 TB.</t>
  </si>
  <si>
    <t>FUARTE 500 MG 28 TB.</t>
  </si>
  <si>
    <t>FUCICORT %2+0.1 30 GR KR.</t>
  </si>
  <si>
    <t>FUCIDIN %2 20 GR KR.</t>
  </si>
  <si>
    <t>FUCIDIN %2 20 GR POM.</t>
  </si>
  <si>
    <t>FUCIDIN 500 MG 15 FTB.</t>
  </si>
  <si>
    <t>FUCIDIN H %2+1 30 GR KR.</t>
  </si>
  <si>
    <t>FUCITEC %2 20 GR KR.</t>
  </si>
  <si>
    <t>FUCITEC %2 20 GR POM.</t>
  </si>
  <si>
    <t>FUCITEC PLUS %2+0.1 30 GR KR.</t>
  </si>
  <si>
    <t>FUGGY %1+0.1 15 GR KR.</t>
  </si>
  <si>
    <t>FUGISID %1+0.1 15 GR KR.</t>
  </si>
  <si>
    <t>FULDUO 100/8 MG 14 FTB.</t>
  </si>
  <si>
    <t>FULLFRESH TEK DOZ 30 FLK.</t>
  </si>
  <si>
    <t>FULSAC 20 MG 24 CAP.</t>
  </si>
  <si>
    <t>FUMAST 1 MG 100 ML SRP.</t>
  </si>
  <si>
    <t>FUNDERYL %1 20 ML SPR.</t>
  </si>
  <si>
    <t>FUNDERYL %1 30 GR KR.</t>
  </si>
  <si>
    <t>FUNGAN 150 MG 1 CAP.</t>
  </si>
  <si>
    <t>FUNGAN 150 MG 2 CAP.</t>
  </si>
  <si>
    <t>FUNGOID %1+0.1 15 GR KR.</t>
  </si>
  <si>
    <t>FUNIT 100 MG 15 CAP.</t>
  </si>
  <si>
    <t>FUNIT 100 MG 30 CAP.</t>
  </si>
  <si>
    <t>FUNIT 100 MG 4 CAP.</t>
  </si>
  <si>
    <t>FURACEPT %0.2 56 GR POM.</t>
  </si>
  <si>
    <t>FURACIN %0.2 56 GR POM.</t>
  </si>
  <si>
    <t>FURADERM %0.2 56 GR POM.</t>
  </si>
  <si>
    <t>FUROJECT 20 MG 1 ML 5 AMP.</t>
  </si>
  <si>
    <t>FUROTAB 40 MG 50 TB.</t>
  </si>
  <si>
    <t>FUSIDAS %2 20 GR KR.</t>
  </si>
  <si>
    <t>FUSIX %1 VISKOZ 5 GR GOZ GTT.</t>
  </si>
  <si>
    <t>FUSIX DERMA % 2 20 GR POM.</t>
  </si>
  <si>
    <t>FUSIX DERMA %2 20 GR KR.</t>
  </si>
  <si>
    <t>FUZO PLUS %1+5 50 GR JEL</t>
  </si>
  <si>
    <t>GA 1 500 GR.</t>
  </si>
  <si>
    <t>GABASET 100 MG 20 CAP *</t>
  </si>
  <si>
    <t>GABASET 300 MG 50 CAP *</t>
  </si>
  <si>
    <t>GABASET 400 MG 50 CAP *</t>
  </si>
  <si>
    <t>GABASET 600 MG 50 FTB *</t>
  </si>
  <si>
    <t>GABASET 800 MG 50 FTB *</t>
  </si>
  <si>
    <t>GABATEVA 100 MG 20 CAP *</t>
  </si>
  <si>
    <t>GABATEVA 300 MG 50 CAP*</t>
  </si>
  <si>
    <t>GABATEVA 400 MG 50 CAP *</t>
  </si>
  <si>
    <t>GABATEVA 600 MG 50 FTB *</t>
  </si>
  <si>
    <t>GABATEVA 800 MG 50 FTB *</t>
  </si>
  <si>
    <t>GABTIN 300 MG 50 CAP *</t>
  </si>
  <si>
    <t>GABTIN 400 MG 50 CAP *</t>
  </si>
  <si>
    <t>GADOVIST 15 ML 1 FLK.</t>
  </si>
  <si>
    <t>GADOVIST 30 ML 1 FLK.</t>
  </si>
  <si>
    <t>GADOVIST 7.5 ML 1 FLK.</t>
  </si>
  <si>
    <t>GALACTOMIN 19 400 GR.</t>
  </si>
  <si>
    <t>GALARA  75 MG 28 CAP **</t>
  </si>
  <si>
    <t>GALVUS 50 MG 56 TB.</t>
  </si>
  <si>
    <t>GALVUS MET 50/1000 MG 60 FTB.</t>
  </si>
  <si>
    <t>GALVUS MET 50/850 MG 60 FTB.</t>
  </si>
  <si>
    <t>GAMAFLEX 400 MG 40 TB</t>
  </si>
  <si>
    <t>GAMAKUIL 400 MG 40 TB.</t>
  </si>
  <si>
    <t>GAMUNEX-C 10 GR 100 ML 1 FLK.</t>
  </si>
  <si>
    <t>GAMUNEX-C 20 GR 200 ML 1 FLK.</t>
  </si>
  <si>
    <t>GAMUNEX-C 5 GR 50 ML 1 FLK.</t>
  </si>
  <si>
    <t>GARDASIL 0.5 ML 1 ENJ.</t>
  </si>
  <si>
    <t>GASTREN 680/80 MG 48 CIGN TB.</t>
  </si>
  <si>
    <t>GASTROFAM 40 MG 30 TB.</t>
  </si>
  <si>
    <t>GASVIN 500 MG 200 ML SUSP.</t>
  </si>
  <si>
    <t>GASVIN DUO 250 MG 48 CIGN TB.</t>
  </si>
  <si>
    <t>GAVISCON 500 MG 200 ML SUSP.</t>
  </si>
  <si>
    <t>GAVISCON D.ACTION 48 CIGN TB.</t>
  </si>
  <si>
    <t>GAZYVA 1000 MG 1 FLK.</t>
  </si>
  <si>
    <t>GE ORAL 3.5 GR 2 POSET</t>
  </si>
  <si>
    <t>GEFIRA 250 MG 30 FTB.</t>
  </si>
  <si>
    <t>GEMKO 1000 MG 1 FLK.</t>
  </si>
  <si>
    <t>GEMKO 1400 MG 1 FLK.</t>
  </si>
  <si>
    <t>GEMKO 200 MG 1 FLK.</t>
  </si>
  <si>
    <t>GEMSIBIN 1000 MG 1 FLK.</t>
  </si>
  <si>
    <t>GEMYSETIN %1 5 GR OFT. POM.</t>
  </si>
  <si>
    <t>GENIVIG 5 GR 100 ML 1 FLK.</t>
  </si>
  <si>
    <t>GENKORT 10 MG 60 TB.</t>
  </si>
  <si>
    <t>GENMISIN 160 MG 2 ML 1 AMP.</t>
  </si>
  <si>
    <t>GENMISIN 80 MG 2 ML 1 AMP.</t>
  </si>
  <si>
    <t>GENOTROPIN 12 MG 36 IU 1 PEN</t>
  </si>
  <si>
    <t>GENTA %0.3 G/K 5 ML GTT.</t>
  </si>
  <si>
    <t>GENTA 120 MG 2 ML 1 AMP.</t>
  </si>
  <si>
    <t>GENTA 160 MG 2 ML 1 AMP.</t>
  </si>
  <si>
    <t>GENTA 20 MG 1 ML 1 AMP.</t>
  </si>
  <si>
    <t>GENTA 40 MG 1 ML 1 AMP.</t>
  </si>
  <si>
    <t>GENTA 80 MG 2 ML 1 AMP.</t>
  </si>
  <si>
    <t>GENTAGUT %0.3 G/K 5 ML GTT.</t>
  </si>
  <si>
    <t>GENTHAVER 160 MG 2 ML 1 AMP.</t>
  </si>
  <si>
    <t>GENTHAVER 80 MG 2 ML 1 AMP.</t>
  </si>
  <si>
    <t>GENVOYA 150/200 MG 30 FTB.</t>
  </si>
  <si>
    <t>GERAKS %0.15+0.12 30 ML SPR.</t>
  </si>
  <si>
    <t>GERALGINE PLUS 20 TB.*</t>
  </si>
  <si>
    <t>GERALGINE-M 1 GR 2 ML 10 AMP.</t>
  </si>
  <si>
    <t>GERALGINE-P 500/30 MG 20 TB.</t>
  </si>
  <si>
    <t>GERICA  75 MG 14 CAP **</t>
  </si>
  <si>
    <t>GERICA  75 MG 56 CAP **</t>
  </si>
  <si>
    <t>GERICA 150 MG 56 CAP **</t>
  </si>
  <si>
    <t>GERICA 300 MG 56 CAP **</t>
  </si>
  <si>
    <t>GEROFEN %5 60 GR JEL</t>
  </si>
  <si>
    <t>GEROXALEN 10 MG 50 CAP.</t>
  </si>
  <si>
    <t>GESITA 1000 MG 1 FLK.</t>
  </si>
  <si>
    <t>GILOMID 0.5 MG 28 CAP.</t>
  </si>
  <si>
    <t>GINERA 0.075/0.03 MG 21 DRJ.</t>
  </si>
  <si>
    <t>GINGUS INTENS 120 MG 30 FTB</t>
  </si>
  <si>
    <t>GIOTRIF 20 MG 28 FTB.</t>
  </si>
  <si>
    <t>GIOTRIF 30 MG 28 FTB.</t>
  </si>
  <si>
    <t>GIOTRIF 40 MG 28 FTB.</t>
  </si>
  <si>
    <t>GISMOTAL 100 MG 40 TB.</t>
  </si>
  <si>
    <t>GISMOTAL FORT 200 MG 20 TB.</t>
  </si>
  <si>
    <t>GISMOTAL FORT 200 MG 40 TB.</t>
  </si>
  <si>
    <t>GLARIN 100 IU 3 ML 5 PEN</t>
  </si>
  <si>
    <t>GLIBEN 5 MG 100 TB.</t>
  </si>
  <si>
    <t>GLIFIX 15 MG 30 TB.</t>
  </si>
  <si>
    <t>GLIFIX 15 MG 90 TB.</t>
  </si>
  <si>
    <t>GLIFIX 30 MG 30 TB.</t>
  </si>
  <si>
    <t>GLIFIX 30 MG 90 TB.</t>
  </si>
  <si>
    <t>GLIFIX 45 MG 30 TB.</t>
  </si>
  <si>
    <t>GLIFIX 45 MG 90 TB.</t>
  </si>
  <si>
    <t>GLIFIX PLUS 15/850 MG 30 FTB.</t>
  </si>
  <si>
    <t>GLIFIX PLUS 15/850 MG 90 FTB.</t>
  </si>
  <si>
    <t>GLIFOR 1000 MG 100 FTB.</t>
  </si>
  <si>
    <t>GLIFOR 850 MG 100 FTB.</t>
  </si>
  <si>
    <t>GLIMAX 1 MG 30 TB.</t>
  </si>
  <si>
    <t>GLIMAX 2 MG 30 TB.</t>
  </si>
  <si>
    <t>GLIMAX 3 MG 30 TB.</t>
  </si>
  <si>
    <t>GLIMAX 4 MG 30 TB.</t>
  </si>
  <si>
    <t>GLINEXT MR 1000 MG 112 FTB.</t>
  </si>
  <si>
    <t>GLINIUM 50 MCG 30 INH CAP.</t>
  </si>
  <si>
    <t>GLISERIN B 3300 MG 6 SUPP.</t>
  </si>
  <si>
    <t>GLISERIN K 1400 MG 10 SUPP.</t>
  </si>
  <si>
    <t>GLIVEC  100 MG 120 FTB.</t>
  </si>
  <si>
    <t>GLIVEC  400 MG 30 TB.</t>
  </si>
  <si>
    <t>GLIVON 200 MG 60 FTB</t>
  </si>
  <si>
    <t>GLIVON 400 MG 30 FTB</t>
  </si>
  <si>
    <t>GLOGER %0.15 5 ML GOZ GTT.</t>
  </si>
  <si>
    <t>GLUCAGEN 1 MG 1 FLK.</t>
  </si>
  <si>
    <t>GLUCERNA 1.5 KCAL 220 ML.</t>
  </si>
  <si>
    <t>GLUCERNA SR CIKOLATA 230 ML.</t>
  </si>
  <si>
    <t>GLUCERNA SR CILEK  230 ML.</t>
  </si>
  <si>
    <t>GLUCERNA SR VANILYA 230 ML.</t>
  </si>
  <si>
    <t>GLUCOBAY 100 MG 30 TB.</t>
  </si>
  <si>
    <t>GLUCOBAY 100 MG 90 TB.</t>
  </si>
  <si>
    <t>GLUCOBAY 50 MG 30 TB.</t>
  </si>
  <si>
    <t>GLUCOBAY 50 MG 90 TB.</t>
  </si>
  <si>
    <t>GLUCOPHAGE 1000 MG 100 FTB.</t>
  </si>
  <si>
    <t>GLUCOTARD 1000 MG 100 FTB.</t>
  </si>
  <si>
    <t>GLUCOTARD 850 MG 100 FTB.</t>
  </si>
  <si>
    <t>GLUCOTROL XL 10 MG 20 TB.</t>
  </si>
  <si>
    <t>GLUCOTROL XL 5 MG 20 TB.</t>
  </si>
  <si>
    <t>GLUFORCE 850 MG 100 FTB.</t>
  </si>
  <si>
    <t>GLUKOFEN 1000 MG 100 FTB.</t>
  </si>
  <si>
    <t>GLUKOFEN 850 MG 100 TB.</t>
  </si>
  <si>
    <t>GLYCOPHOSE 20 ML 10 FLK.</t>
  </si>
  <si>
    <t>GLYPRESSIN 1 MG 1 FLK.</t>
  </si>
  <si>
    <t>GOLYTELY BARSAK TEM.TOZU 4 LT</t>
  </si>
  <si>
    <t>GONAL F 1050 IU 77 MCG 1 FLK.</t>
  </si>
  <si>
    <t>GONAL F 300 IU 22 MCG 1 PEN</t>
  </si>
  <si>
    <t>GONAL F 450 IU 33 MCG 1 FLK.</t>
  </si>
  <si>
    <t>GONAL F 450 IU 33 MCG 1 PEN</t>
  </si>
  <si>
    <t>GONAL F 75 IU 5.5 MCG 1 FLK.</t>
  </si>
  <si>
    <t>GONAL F 900 IU 66 MCG 1 PEN</t>
  </si>
  <si>
    <t>GONAPEPTYL 0.1 MG 7 ENJ.</t>
  </si>
  <si>
    <t>GOPTEN 0.5 MG 20 CAP.</t>
  </si>
  <si>
    <t>GOPTEN 2 MG 28 CAP.</t>
  </si>
  <si>
    <t>GOPTEN FORT 4 MG 28 CAP.</t>
  </si>
  <si>
    <t>GOYART 35 MG 4 FTB.</t>
  </si>
  <si>
    <t>GRAFALON 20 MG 5 ML 1 FLK.</t>
  </si>
  <si>
    <t>GRANEXA 1 MG 10 FTB.</t>
  </si>
  <si>
    <t>GRANEXA 2 MG 5 FTB.</t>
  </si>
  <si>
    <t>GRANITRON 1 MG 10 FTB.</t>
  </si>
  <si>
    <t>GRANITRON 2 MG 5 FTB.</t>
  </si>
  <si>
    <t>GRANOCYTE 34 33.6 MIU 1 FLK.</t>
  </si>
  <si>
    <t>GRATRYL 3 MG 3 ML 1 AMP.</t>
  </si>
  <si>
    <t>GRAZAX 75 SQ-T 100 TB.</t>
  </si>
  <si>
    <t>GRAZAX 75 SQ-T 30 TB.</t>
  </si>
  <si>
    <t>GRELINE 0.5 MG 100 CAP.</t>
  </si>
  <si>
    <t>GRIBO COLD 200/30 MG 30 TB.</t>
  </si>
  <si>
    <t>GRIPAL 500/30 MG 10 TB.</t>
  </si>
  <si>
    <t>GRIPAMOL 30 TB.*</t>
  </si>
  <si>
    <t>GRIPIN 250/15 MG 8 CAP.</t>
  </si>
  <si>
    <t>GRIPIN 500/30 MG 100 KASE</t>
  </si>
  <si>
    <t>GRIPORT 20 FTB *</t>
  </si>
  <si>
    <t>GRIZINC 15 MG 100 ML SRP.</t>
  </si>
  <si>
    <t>GUDEF SRP*</t>
  </si>
  <si>
    <t>GYNELLE 2/0.035 MG 21 DRJ.</t>
  </si>
  <si>
    <t>GYNO FEM 600 MG 2 VAG. CAP.</t>
  </si>
  <si>
    <t>GYNO TARDYFERON 80/0.35 MG 30</t>
  </si>
  <si>
    <t>GYNO TROSYD 4.6 GR VAG POM.</t>
  </si>
  <si>
    <t>GYNOFERON 80/0.35 MG 30 FTB.</t>
  </si>
  <si>
    <t>GYNO-FERRO SANOL 30 CAP.</t>
  </si>
  <si>
    <t>GYNOFLOR 12 VAG. TB.</t>
  </si>
  <si>
    <t>GYNOMAX 7 VAG. OVUL</t>
  </si>
  <si>
    <t>GYNOMAX XL 3 VAG. OVUL</t>
  </si>
  <si>
    <t>GYREX 100 MG 30 FTB.</t>
  </si>
  <si>
    <t>GYREX 200 MG 30 FTB.</t>
  </si>
  <si>
    <t>GYREX 200 MG 60 FTB.</t>
  </si>
  <si>
    <t>GYREX 25 MG 30 FTB.</t>
  </si>
  <si>
    <t>GYREX 300 MG 30 FTB.</t>
  </si>
  <si>
    <t>GYREX 300 MG 60 FTB.</t>
  </si>
  <si>
    <t>GYREX 400 MG 30 FTB.</t>
  </si>
  <si>
    <t>GYREX 400 MG 60 FTB.</t>
  </si>
  <si>
    <t>GYREX 50 MG 30 FTB.</t>
  </si>
  <si>
    <t>H.ALBUMIN %20  50 ML  (OCTA</t>
  </si>
  <si>
    <t>H.ALBUMIN %20 100 ML (GRIFO</t>
  </si>
  <si>
    <t>H.ALBUMIN %20 100 ML (OCTA)</t>
  </si>
  <si>
    <t>H.ALBUMIN %20 100 ML (UMAN)</t>
  </si>
  <si>
    <t>H.ALBUMUN %20 100 ML (ZENALB)</t>
  </si>
  <si>
    <t>HAMAZINC 30 G KR.</t>
  </si>
  <si>
    <t>HAMETAN %25 30 GR POM.</t>
  </si>
  <si>
    <t>HAMETAN %5.35 30 GR KR.</t>
  </si>
  <si>
    <t>HARDCIS 20 MG 4 FTB.</t>
  </si>
  <si>
    <t>HARDCIS 5 MG 14 FTB.</t>
  </si>
  <si>
    <t>HARDCIS 5 MG 28 FTB.</t>
  </si>
  <si>
    <t>HARVONI 90/400 MG 28 FTB.</t>
  </si>
  <si>
    <t>HAVRIX ADULT 1440 MCG 1 ENJ.</t>
  </si>
  <si>
    <t>HAVRIX PED 720 MCG 1 ENJ.</t>
  </si>
  <si>
    <t>HCU EXPRESS 750 GR SASE</t>
  </si>
  <si>
    <t>HCU GEL 720 GR SASE</t>
  </si>
  <si>
    <t>HEBERPROT P 75 MG 1 FLK.</t>
  </si>
  <si>
    <t>HEDNAVIR 0.5 MG 30 FTB.</t>
  </si>
  <si>
    <t>HEDNAVIR 1 MG 30 FTB.</t>
  </si>
  <si>
    <t>HELICOL 30 MG 28 CAP.</t>
  </si>
  <si>
    <t>HEMANGIOL 3.75 MG 120 ML COZ</t>
  </si>
  <si>
    <t>HEMLIBRA 105 MG 0.7 ML 1 FLK.</t>
  </si>
  <si>
    <t>HEMLIBRA 150 MG 1 ML 1 FLK.</t>
  </si>
  <si>
    <t>HEMLIBRA 30 MG 1 ML 1 FLK.</t>
  </si>
  <si>
    <t>HEMLIBRA 60 MG 0.4 ML 1 FLK.</t>
  </si>
  <si>
    <t>HEPA MERZ 3 GR 30 GRN POSET</t>
  </si>
  <si>
    <t>HEPA MERZ 5 GR 10 ML 10 AMP.</t>
  </si>
  <si>
    <t>HEPAGAM B 1560 IU 5 ML 1 FLK.</t>
  </si>
  <si>
    <t>HEPAGAM B 312 IU 1 ML 1 FLK.</t>
  </si>
  <si>
    <t>HEPAGARD 0.5 MG 30 FTB.</t>
  </si>
  <si>
    <t>HEPAGARD 0.5 MG 90 FTB.</t>
  </si>
  <si>
    <t>HEPAGARD 1 MG 30 FTB.</t>
  </si>
  <si>
    <t>HEPAMONIA 3 GR 30 GRN POSET</t>
  </si>
  <si>
    <t>HEPARGRIZOVIM 1 ML 6 AMP</t>
  </si>
  <si>
    <t>HEPARINUM 25000 IU 5 ML 1 F</t>
  </si>
  <si>
    <t>HEPATECT 50 IU 10 ML 1 FLK.</t>
  </si>
  <si>
    <t>HEPATOVIR B 0.5 MG 30 FTB.</t>
  </si>
  <si>
    <t>HEPATOVIR B 1 MG 30 FTB.</t>
  </si>
  <si>
    <t>HEPATUBEX 50 IU+10/100 MG 120</t>
  </si>
  <si>
    <t>HEPAZEC 200 MG 12 FTB.</t>
  </si>
  <si>
    <t>HEPAZEC 550 MG 56 FTB.</t>
  </si>
  <si>
    <t>HEPSERA 10 MG 30 TB.</t>
  </si>
  <si>
    <t>HERAJIT 250 MG 2.5 ML 10 AMP.</t>
  </si>
  <si>
    <t>HERCEPTIN 150 MG 1 FLK.</t>
  </si>
  <si>
    <t>HEXAXIM  0.5 ML 1 ENJ.</t>
  </si>
  <si>
    <t>HEXINAT %0.15+0.12 30 ML SPR.</t>
  </si>
  <si>
    <t>HIBERIX 1 DOZ ASI</t>
  </si>
  <si>
    <t>HIBOR 10000 IU 0.4 ML 2 ENJ.</t>
  </si>
  <si>
    <t>HIBOR 3500 IU 0.2 ML 10 ENJ.</t>
  </si>
  <si>
    <t>HIBOR 5000 IU 0.2 ML 2 ENJ.</t>
  </si>
  <si>
    <t>HIBOR 7500 IU 0.3 ML 2 ENJ.</t>
  </si>
  <si>
    <t>HIDROZON 100 MG IM/IV 1 FLK</t>
  </si>
  <si>
    <t>HIOTIN 5 MG 30 TB.</t>
  </si>
  <si>
    <t>HIPERSAR 10 MG 28 FTB.</t>
  </si>
  <si>
    <t>HIPERSAR 20 MG 28 FTB.</t>
  </si>
  <si>
    <t>HIPERSAR 40 MG 28 FTB.</t>
  </si>
  <si>
    <t>HIPOKORT %0.5 30 GR KR.</t>
  </si>
  <si>
    <t>HIPOKORT %0.5 30 GR POM.</t>
  </si>
  <si>
    <t>HIPPURIN 1000 MG 28 TB.</t>
  </si>
  <si>
    <t>HITRIZIN 1 MG 150 ML SRP.</t>
  </si>
  <si>
    <t>HITRIZIN 1 MG 200 ML SRP.</t>
  </si>
  <si>
    <t>HITRIZIN 10 MG 10 TB</t>
  </si>
  <si>
    <t>HITRIZIN 10 MG 20 TB.</t>
  </si>
  <si>
    <t>HIVENT 245/200 MG 30 FTB.</t>
  </si>
  <si>
    <t>HIVERAC 245 MG 30 FTB</t>
  </si>
  <si>
    <t>HOLOXAN 1 GR 1 FLK.</t>
  </si>
  <si>
    <t>HOLOXAN 2 GR 1 FLK.</t>
  </si>
  <si>
    <t>HUMALOG 100 IU 10 ML 1 FLK.</t>
  </si>
  <si>
    <t>HUMALOG 100 IU 3 ML 5 KARTUS</t>
  </si>
  <si>
    <t>HUMALOG 100 IU 3 ML 5 KWIKPEN</t>
  </si>
  <si>
    <t>HUMALOG 200 IU 3 ML 5 PEN</t>
  </si>
  <si>
    <t>HUMALOG MIX 25 5*3 ML KARTUS</t>
  </si>
  <si>
    <t>HUMALOG MIX 25 KWIKPEN</t>
  </si>
  <si>
    <t>HUMALOG MIX 50 KARTUS</t>
  </si>
  <si>
    <t>HUMALOG MIX 50 KWIKPEN</t>
  </si>
  <si>
    <t>HUMATROPE 6 MG 18 IU 1 KARTUS</t>
  </si>
  <si>
    <t>HUMIRA 20 MG 0.2 ML ENJ.</t>
  </si>
  <si>
    <t>HUMIRA 40 MG 0.4 ML 2 ENJ.</t>
  </si>
  <si>
    <t>HUMIRA 40 MG 0.4 ML 2 PEN</t>
  </si>
  <si>
    <t>HUMULIN N 100 IU 10 ML FLK.</t>
  </si>
  <si>
    <t>HUMULIN R 100 IU 10 ML 1 FLK.</t>
  </si>
  <si>
    <t>H-VAC 20 MCG 1 ML 1 AMP.</t>
  </si>
  <si>
    <t>HYANEB STERIL COZ 30 AMP</t>
  </si>
  <si>
    <t>HYCAMTIN 4 MG 4 ML 1 FLK.</t>
  </si>
  <si>
    <t>HYDREA 500 MG 100 CAP.</t>
  </si>
  <si>
    <t>HYDRILLIN 14 MG 100 ML SRP.</t>
  </si>
  <si>
    <t>HYDROCORT LIYO 100 MG IM/IV 1</t>
  </si>
  <si>
    <t>HYONAT %0.15 TEK DOZ 20 FLK.</t>
  </si>
  <si>
    <t>HYPERIUM 1 MG 30 TB.</t>
  </si>
  <si>
    <t>HYQVIA 10 GR 100 ML 2 FLK.</t>
  </si>
  <si>
    <t>HYQVIA 5 GR 50 ML 2 FLK.</t>
  </si>
  <si>
    <t>HYTRIN  5 MG 30 TB.</t>
  </si>
  <si>
    <t>HYZAAR 100/12.5 MG 28 FTB.</t>
  </si>
  <si>
    <t>HYZAAR 50/12.5 MG 28 FTB.</t>
  </si>
  <si>
    <t>HYZAAR FORTE 100/25 MG 28 TB.</t>
  </si>
  <si>
    <t>IBANOS 150 MG 3 FTB</t>
  </si>
  <si>
    <t>IBANOS 3 MG 3 ML 1 AMP</t>
  </si>
  <si>
    <t>IBU 600 TB.</t>
  </si>
  <si>
    <t>IBUACTIVE %5 50 GR KR</t>
  </si>
  <si>
    <t>IBU-BABY 60 MG 10 SUPP.</t>
  </si>
  <si>
    <t>IBUCOLD 200 MG/30 MG 30 FTB</t>
  </si>
  <si>
    <t>IBUCOLD PLUS 100 ML SRP</t>
  </si>
  <si>
    <t>IBUFEN 100 MG 100 ML PED SRP.</t>
  </si>
  <si>
    <t>IBU-FORT 200 MG 100 ML SUSP.</t>
  </si>
  <si>
    <t>8699606776666</t>
  </si>
  <si>
    <t>IBUPROFEN-PF I.V. 400 mg/4 ml AMPOULE</t>
  </si>
  <si>
    <t>IBURAMIN COLD 100 ML SRP</t>
  </si>
  <si>
    <t>IBURAMIN COLD 24 FTB</t>
  </si>
  <si>
    <t>IBURAMIN ZERO SUSP 100 ML</t>
  </si>
  <si>
    <t>ICARUS 20 MG 10 SASE</t>
  </si>
  <si>
    <t>ICARUS 20 MG 2 SASE</t>
  </si>
  <si>
    <t>ICARUS 20 MG 4 SASE</t>
  </si>
  <si>
    <t>ICATIN 30 MG 3 ML 1 ENJ.</t>
  </si>
  <si>
    <t>IDAMEN 10 MG 10 ML 1 FLK.</t>
  </si>
  <si>
    <t>IDAMEN 20 MG 20 ML 1 FLK.</t>
  </si>
  <si>
    <t>IDARUB 10 MG 10 ML 1 FLK.</t>
  </si>
  <si>
    <t>IDARUB 20 MG 20 ML 1 FLK.</t>
  </si>
  <si>
    <t>IDEBEX 45 MG 30 FTB</t>
  </si>
  <si>
    <t>IDEBEX 90 MG 30 FTB.</t>
  </si>
  <si>
    <t>IECILLINE 400 IU 1 FLK.</t>
  </si>
  <si>
    <t>IECILLINE 800 IU 1 FLK.</t>
  </si>
  <si>
    <t>IESEF 1000 MG IM 1 FLK.</t>
  </si>
  <si>
    <t>IESEF 1000 MG IM 3 FLK.</t>
  </si>
  <si>
    <t>IESEF 1000 MG IV 1 FLK.</t>
  </si>
  <si>
    <t>IESEF 500 GR IM 3 FLK.</t>
  </si>
  <si>
    <t>IESEF 500 MG IM 1 FLK.</t>
  </si>
  <si>
    <t>IESEF 500 MG IV 1 FLK.</t>
  </si>
  <si>
    <t>IESETUM 1000 MG 1 FLK.</t>
  </si>
  <si>
    <t>IESPOR 1000 MG IM 1 FLK.</t>
  </si>
  <si>
    <t>IESPOR 1000 MG IM/IV 1 FLK.</t>
  </si>
  <si>
    <t>IESPOR 250 MG IM 1 FLK.</t>
  </si>
  <si>
    <t>IESPOR 500 MG IM 1 FLK.</t>
  </si>
  <si>
    <t>IESPOR 500 MG IM/IV 1 FLK.</t>
  </si>
  <si>
    <t>IG VENA 10 GR 200 ML 1 FLK.</t>
  </si>
  <si>
    <t>IG VENA 5 GR 100 ML 1 FLK.</t>
  </si>
  <si>
    <t>IGNIS  5 MG 28 TB</t>
  </si>
  <si>
    <t>IGNIS 1 MG 150 ML ORAL SOL.</t>
  </si>
  <si>
    <t>IGNIS 10 MG 28 TB</t>
  </si>
  <si>
    <t>IGNIS 15 MG 28 TB</t>
  </si>
  <si>
    <t>IGNIS 30 MG 28 TB</t>
  </si>
  <si>
    <t>IHTIYOL 20 GR POM  (ORO)</t>
  </si>
  <si>
    <t>IL 33 SOL.</t>
  </si>
  <si>
    <t>ILARIS 150 MG 1 FLK.</t>
  </si>
  <si>
    <t>ILIADIN %0.05 10 ML SPR.</t>
  </si>
  <si>
    <t>ILOMEDIN 20 MCG 1 ML 5 AMP.</t>
  </si>
  <si>
    <t>ILOPERA 10 MCG 2 ML 30 AMP.</t>
  </si>
  <si>
    <t>IMAGLIV 100 MG 120 FTB</t>
  </si>
  <si>
    <t>IMAGLIV 400 MG 30 FTB</t>
  </si>
  <si>
    <t>IMATENIL 100 MG 120 CAP.</t>
  </si>
  <si>
    <t>IMATENIL 400 MG 30 CAP.</t>
  </si>
  <si>
    <t>IMATENIL 400 MG 30 FTB</t>
  </si>
  <si>
    <t>IMATIS 100 MG 120 FTB</t>
  </si>
  <si>
    <t>IMATIS 200 MG 60 FTB.</t>
  </si>
  <si>
    <t>IMATIS 400 MG 30 FTB</t>
  </si>
  <si>
    <t>IMAVEC 100 MG 120 CAP.</t>
  </si>
  <si>
    <t>IMAVEC 400 MG 30 CAP.</t>
  </si>
  <si>
    <t>IMBRUVICA 140 MG 120 CAP.</t>
  </si>
  <si>
    <t>IMBRUVICA 140 MG 90 CAP.</t>
  </si>
  <si>
    <t>IMEX %3 20 GR POM.</t>
  </si>
  <si>
    <t>IMIGRAN 100 MG 2 TB</t>
  </si>
  <si>
    <t>IMIGRAN 50 MG 2 TB</t>
  </si>
  <si>
    <t>IMIGRAN 6 MG 2 KARTUS+CIHAZ</t>
  </si>
  <si>
    <t>8699535980837</t>
  </si>
  <si>
    <t>IMMUTECT IV 5 g/100 mL İNFÜZYONLUK ÇÖZELTİ</t>
  </si>
  <si>
    <t>IMNOVID 1 MG 21 CAP.</t>
  </si>
  <si>
    <t>IMNOVID 2 MG 21 CAP.</t>
  </si>
  <si>
    <t>IMNOVID 3 MG 21 CAP.</t>
  </si>
  <si>
    <t>IMNOVID 4 MG 21 CAP.</t>
  </si>
  <si>
    <t>IMOVANE 7.5 MG 20 FTB. **</t>
  </si>
  <si>
    <t>IMPACT 500 ML.</t>
  </si>
  <si>
    <t>IMPACT GLUTAMINE 500 ML.</t>
  </si>
  <si>
    <t>IMPACT RTD KAHVE 237 ML.</t>
  </si>
  <si>
    <t>IMPACT RTD TROPIC 237 ML.</t>
  </si>
  <si>
    <t>IMPACT RTD VANILYA 237 ML.</t>
  </si>
  <si>
    <t>IMPACT TROPIC 5X74 GR SASE</t>
  </si>
  <si>
    <t>IMPETEX %0.1+1 10 GR KR.</t>
  </si>
  <si>
    <t>IMUPRET 100 ML GTT.</t>
  </si>
  <si>
    <t>IMUPRET 50 TB.</t>
  </si>
  <si>
    <t>IMURAN 25 MG 100 TB.</t>
  </si>
  <si>
    <t>IMURAN 50 MG 100 TB.</t>
  </si>
  <si>
    <t>INBROXA 150 MCG 30 INH CAP.</t>
  </si>
  <si>
    <t>INCEPTUM 500 MG 10 FTB.</t>
  </si>
  <si>
    <t>INCEPTUM 500 MG 20 FTB.</t>
  </si>
  <si>
    <t>INDURIN 2.5 MG 30 TB.</t>
  </si>
  <si>
    <t>INFASOURCE 200 ML.</t>
  </si>
  <si>
    <t>INFATRINI 200 ML.</t>
  </si>
  <si>
    <t>INFEX 100 MG 100 ML SUSP.</t>
  </si>
  <si>
    <t>INFEX 200 MG 15 FTB.</t>
  </si>
  <si>
    <t>INFEX 200 MG 20 FTB.</t>
  </si>
  <si>
    <t>INFEX MR 400 MG 10 FTB.</t>
  </si>
  <si>
    <t>INFLADOX 8 MG 2 ML 1 AMP.</t>
  </si>
  <si>
    <t>INFLASED %0.1 5 ML GOZ GTT.</t>
  </si>
  <si>
    <t>INFLUENZA ASISI 1 DOZ</t>
  </si>
  <si>
    <t>INGLEX 120 MG 84 FTB.</t>
  </si>
  <si>
    <t>INH 100 MG 100 TB.</t>
  </si>
  <si>
    <t>INH 300 MG 50 TB.</t>
  </si>
  <si>
    <t>INHIBACE 1 MG 30 TB.</t>
  </si>
  <si>
    <t>INHIBACE 2.5 MG 28 FTB.</t>
  </si>
  <si>
    <t>INHIBACE 5 MG 28 TB.</t>
  </si>
  <si>
    <t>INLYTA 1 MG 56 FTB.</t>
  </si>
  <si>
    <t>INLYTA 3 MG 56 FTB.</t>
  </si>
  <si>
    <t>INLYTA 5 MG 56 FTB.</t>
  </si>
  <si>
    <t>INLYTA 7 MG 56 FTB.</t>
  </si>
  <si>
    <t>INSIDON 50 MG 30 TB.</t>
  </si>
  <si>
    <t>INSOMIN 50 MG 30 TB.</t>
  </si>
  <si>
    <t>INSPRA 25 MG 30 FTB.</t>
  </si>
  <si>
    <t>INSULIPON 600 MG 30 FTB.</t>
  </si>
  <si>
    <t>INTELENCE 100 MG 120 TB.</t>
  </si>
  <si>
    <t>INTRAFEN 400 MG 4 ML 1 FLK.</t>
  </si>
  <si>
    <t>INTRATECT 10 GR 200 ML 1 FLK.</t>
  </si>
  <si>
    <t>INTRATECT 5 GR 100 ML 1 FLK.</t>
  </si>
  <si>
    <t>INVANZ 1000 MG 1 FLK.</t>
  </si>
  <si>
    <t>INVEGA 3 MG 28 TB</t>
  </si>
  <si>
    <t>INVEGA 6 MG 28 TB</t>
  </si>
  <si>
    <t>INVEGA 9 MG 28 TB</t>
  </si>
  <si>
    <t>IPRATOM 250 MCG 2 ML 20 FLK.</t>
  </si>
  <si>
    <t>IPRATOM 500 MCG 2 ML 20 FLK.</t>
  </si>
  <si>
    <t>IPRAVENT 2.5/0.5 MG 2.5 ML 20</t>
  </si>
  <si>
    <t>IRBECOR 150 MG 28 FTB.</t>
  </si>
  <si>
    <t>IRBECOR 300 MG 28 FTB.</t>
  </si>
  <si>
    <t>IRDA 150 MG 28 FTB.</t>
  </si>
  <si>
    <t>IRDA 300 MG 28 FTB.</t>
  </si>
  <si>
    <t>IRDAPIN 150/10 MG 28 FTB.</t>
  </si>
  <si>
    <t>IRDAPIN 150/5 MG 28 FTB.</t>
  </si>
  <si>
    <t>IRDAPIN 300/10 MG 28 FTB.</t>
  </si>
  <si>
    <t>IRDAPIN PLUS 150/5/12.5 MG 28</t>
  </si>
  <si>
    <t>IRESSA 250 MG 30 FTB.</t>
  </si>
  <si>
    <t>IRINOCAM 100 MG 5 ML 1 FLK.</t>
  </si>
  <si>
    <t>IRINOCAM 40 MG 2 ML 1 FLK.</t>
  </si>
  <si>
    <t>IROZINC 20 CAP.</t>
  </si>
  <si>
    <t>ISENTRESS 400 MG 60 FTB</t>
  </si>
  <si>
    <t>8699587652164</t>
  </si>
  <si>
    <t>ISOFLURANE USP %100 İNHALASYON ÇÖZELTİSİ</t>
  </si>
  <si>
    <t>ISOPTIN 40 MG 30 TB.</t>
  </si>
  <si>
    <t>ISOPTIN 5 MG 2 ML 5 AMP.</t>
  </si>
  <si>
    <t>ISOPTIN 80 MG 50 TB.</t>
  </si>
  <si>
    <t>ISOPTIN KKH 120 MG 50 TB.</t>
  </si>
  <si>
    <t>ISOPTIN SR 240 MG 50 TB.</t>
  </si>
  <si>
    <t>ISORAT 20 MG 20 TB.</t>
  </si>
  <si>
    <t>ISORAT 40 MG 20 TB.</t>
  </si>
  <si>
    <t>ISORDIL 10 MG 50 TB.</t>
  </si>
  <si>
    <t>ISORDIL 5 MG 50 TB.</t>
  </si>
  <si>
    <t>ISOSOURCE JUN VANILYA 250 ML.</t>
  </si>
  <si>
    <t>ISOTREXIN %2+0.05 30 GR JEL</t>
  </si>
  <si>
    <t>ISOVIT 100/25 MG 100 TB.</t>
  </si>
  <si>
    <t>ITRASPOR 100 MG 15 CAP.</t>
  </si>
  <si>
    <t>ITRASPOR 100 MG 28 CAP.</t>
  </si>
  <si>
    <t>ITRASPOR 100 MG 4 CAP.</t>
  </si>
  <si>
    <t>ITRAXYL 100 MG 15 CAP.</t>
  </si>
  <si>
    <t>ITRAXYL 100 MG 28 CAP.</t>
  </si>
  <si>
    <t>ITRAXYL 100 MG 4 CAP.</t>
  </si>
  <si>
    <t>8699606776673</t>
  </si>
  <si>
    <t>İBUPROFEN-PF I.V. 800 mg/8 ml AMPOULE</t>
  </si>
  <si>
    <t>JAKAVI  5 MG 56 TB.</t>
  </si>
  <si>
    <t>JAKAVI 10 MG 56 TB.</t>
  </si>
  <si>
    <t>JAKAVI 15 MG 56 TB.</t>
  </si>
  <si>
    <t>JAKAVI 20 MG 56 TB.</t>
  </si>
  <si>
    <t>JANUMET 50/1000 MG 56 FTB.</t>
  </si>
  <si>
    <t>JANUMET 50/500 MG 56 FTB.</t>
  </si>
  <si>
    <t>JANUMET 50/850 MG 56 FTB.</t>
  </si>
  <si>
    <t>JANUVIA 100 MG 28 FTB.</t>
  </si>
  <si>
    <t>JARDIANCE 10 MG 30 FTB.</t>
  </si>
  <si>
    <t>JARDIANCE 25 MG 30 FTB.</t>
  </si>
  <si>
    <t>JAVLOR 250 MG 10 ML 1 FLK.</t>
  </si>
  <si>
    <t>JECTERA 10 MCG 1 FLK.</t>
  </si>
  <si>
    <t>JELGO %1+5 50 GR JEL</t>
  </si>
  <si>
    <t>JELIGRA 100 MG 4 ORAL JEL</t>
  </si>
  <si>
    <t>JETEX %5 15 GR KR.</t>
  </si>
  <si>
    <t>JETEX %5 5 GR KR.</t>
  </si>
  <si>
    <t>JETMONAL %10 5 ML 3 AMP.</t>
  </si>
  <si>
    <t>JETMONAL %2 10 ML 10 AMP.</t>
  </si>
  <si>
    <t>JETMONAL %2 5 ML 5 AMP.</t>
  </si>
  <si>
    <t>JETOKAIN 2 ML 20 AMP.</t>
  </si>
  <si>
    <t>JETOKAIN SIMP 2 ML 10 AMP.</t>
  </si>
  <si>
    <t>JETOSEL 2 ML 20 AMP.</t>
  </si>
  <si>
    <t>JEVITY 500 ML.</t>
  </si>
  <si>
    <t>JEVITY HICAL 500 ML.</t>
  </si>
  <si>
    <t>JEVITY PLUS 500 ML.</t>
  </si>
  <si>
    <t>JEVITY PLUS HP 500 ML.</t>
  </si>
  <si>
    <t>JEVTANA 60 MG 1.5 ML 1 FLK.</t>
  </si>
  <si>
    <t>JINARC 15 MG 28 TB.</t>
  </si>
  <si>
    <t>JINARC 30 MG 28 TB.</t>
  </si>
  <si>
    <t>JUDEXA 0.5 MG 28 CAP.</t>
  </si>
  <si>
    <t>JUVELTA 880 MG 15 GR 20 GRN.</t>
  </si>
  <si>
    <t>KABIVEN PERIPHERAL 1440 ML</t>
  </si>
  <si>
    <t>KADCYLA 100 MG 1 FLK.</t>
  </si>
  <si>
    <t>KADCYLA 160 MG 1 FLK.</t>
  </si>
  <si>
    <t>KALETRA 200/50 MG 120 FTB.</t>
  </si>
  <si>
    <t>KALIDREN 50 MG 20 TB.</t>
  </si>
  <si>
    <t>KALMOSAN %1 100 ML LOS.</t>
  </si>
  <si>
    <t>KAMFOLIN %1+1.5 50 GR POM.</t>
  </si>
  <si>
    <t>KAPEDA 150 MG 60 FTB.</t>
  </si>
  <si>
    <t>KAPEDA 500 MG 120 FTB.</t>
  </si>
  <si>
    <t>KAPRIL 25 MG 48 TB.</t>
  </si>
  <si>
    <t>KAPTORIL 25 MG 50 TB.</t>
  </si>
  <si>
    <t>KAPTORIL 50 MG 50 TB.</t>
  </si>
  <si>
    <t>KARAZEPIN 200 MG 160 TB</t>
  </si>
  <si>
    <t>KARAZEPIN 200 MG 25 TB</t>
  </si>
  <si>
    <t>KARAZEPIN 400 MG 30 TB.</t>
  </si>
  <si>
    <t>KARBALEX 300 MG 50 RETARD TB.</t>
  </si>
  <si>
    <t>KARBALEX 600 MG 50 RETARD TB.</t>
  </si>
  <si>
    <t>KARDORITM 10 MG 30 FTB.</t>
  </si>
  <si>
    <t>KARDORITM 5 MG 30 FTB.</t>
  </si>
  <si>
    <t>KARDOZIN 2 MG 20 TB.</t>
  </si>
  <si>
    <t>KARDOZIN 4 MG 20 TB.</t>
  </si>
  <si>
    <t>KARUM 75 MG 28 FTB.</t>
  </si>
  <si>
    <t>KARVEA 150 MG 28 FTB.</t>
  </si>
  <si>
    <t>KARVEA 300 MG 28 FTB.</t>
  </si>
  <si>
    <t>KARVEA 75 MG 28 TB</t>
  </si>
  <si>
    <t>KARVEZIDE 150/12.5 MG 28 FTB.</t>
  </si>
  <si>
    <t>KARVEZIDE 300/12.5 MG 28 FTB.</t>
  </si>
  <si>
    <t>KARVEZIDE 300/25 MG 28 FTB.</t>
  </si>
  <si>
    <t>KATARIN 30 CAP.</t>
  </si>
  <si>
    <t>KATARIN FORT 20 FTB. *</t>
  </si>
  <si>
    <t>KATARIN PED 100 ML SRP.</t>
  </si>
  <si>
    <t>KEDAY XR 150 MG 30 TB.</t>
  </si>
  <si>
    <t>KEDAY XR 200 MG 30 TB.</t>
  </si>
  <si>
    <t>KEDAY XR 300 MG 30 TB.</t>
  </si>
  <si>
    <t>KEDAY XR 400 MG 30 TB.</t>
  </si>
  <si>
    <t>KEDAY XR 50 MG 30 TB.</t>
  </si>
  <si>
    <t>KEMOPRIM 400/80 MG 30 TB.</t>
  </si>
  <si>
    <t>KEMOSET 4 MG 2 ML 1 AMP.</t>
  </si>
  <si>
    <t>KEMOSET 8 MG 4 ML 1 AMP.</t>
  </si>
  <si>
    <t>KENACORT A %0.1 20 GR POM.</t>
  </si>
  <si>
    <t>KENACORT A 40 MG 1 AMP.</t>
  </si>
  <si>
    <t>KENTERA 3.9 MG 8 FLASTER</t>
  </si>
  <si>
    <t>KEPPRA  250 MG 50 TB.</t>
  </si>
  <si>
    <t>KEPPRA  500 MG 50 TB.</t>
  </si>
  <si>
    <t>KEPPRA 1000 MG 50 TB.</t>
  </si>
  <si>
    <t>KESTINE 10 MG 20 FTB.</t>
  </si>
  <si>
    <t>KESTINE 20 MG 20 FTB.</t>
  </si>
  <si>
    <t>KETAVEL %1.25 60 GR JEL</t>
  </si>
  <si>
    <t>KETAVEL 25 MG 20 FTB</t>
  </si>
  <si>
    <t>KETAVEL 50 MG 30 FTB</t>
  </si>
  <si>
    <t>KETILEPT 100 MG 30 FTB.</t>
  </si>
  <si>
    <t>KETILEPT 100 MG 60 FTB.</t>
  </si>
  <si>
    <t>KETILEPT 150 MG 60 FTB.</t>
  </si>
  <si>
    <t>KETILEPT 200 MG 30 FTB.</t>
  </si>
  <si>
    <t>KETILEPT 25 MG 30 FTB.</t>
  </si>
  <si>
    <t>KETILEPT 25 MG 60 FTB.</t>
  </si>
  <si>
    <t>KETILEPT 300 MG 30 FTB.</t>
  </si>
  <si>
    <t>KETILEPT 300 MG 60 FTB.</t>
  </si>
  <si>
    <t>KETOBER % 1.6 150 ML GARG</t>
  </si>
  <si>
    <t>KETOBER %0,16 SPREY 30 ML</t>
  </si>
  <si>
    <t>KETOCAL 300 GR.</t>
  </si>
  <si>
    <t>KETOCAL VANILYA 300 GR.</t>
  </si>
  <si>
    <t>KETOMINO 600 MG 100 FTB.</t>
  </si>
  <si>
    <t>KETORAL %2 100 ML SAMP.</t>
  </si>
  <si>
    <t>KETORAL %2 40 GR KR.</t>
  </si>
  <si>
    <t>KETORAL 200 MG 10 TB.</t>
  </si>
  <si>
    <t>KETORAL 400 MG 3 VAG. OVUL</t>
  </si>
  <si>
    <t>KETOSTERIL 600 MG 100 TB.</t>
  </si>
  <si>
    <t>KETYA 100 MG 30 FTB.</t>
  </si>
  <si>
    <t>KETYA 200 MG 30 FTB.</t>
  </si>
  <si>
    <t>KETYA 25 MG 30 FTB.</t>
  </si>
  <si>
    <t>KETYA 300 MG 30 FTB.</t>
  </si>
  <si>
    <t>KETYA XR 200 MG 30 TB.</t>
  </si>
  <si>
    <t>KETYA XR 300 MG 30 TB.</t>
  </si>
  <si>
    <t>KETYA XR 400 MG 30 TB.</t>
  </si>
  <si>
    <t>KETYA XR 50 MG 30 TB.</t>
  </si>
  <si>
    <t>KEYRELAKS 4 MG 2 ML 6 AMP.</t>
  </si>
  <si>
    <t>KEYTRUDA 100 MG 4 ML 1 FLK.</t>
  </si>
  <si>
    <t>KIDMOL 120 MG 150 ML SUSP.</t>
  </si>
  <si>
    <t>KIDMOL 250 MG 150 ML SUSP.</t>
  </si>
  <si>
    <t>KINZY 10 MG 30 FTB.</t>
  </si>
  <si>
    <t>KINZY 5 MG 30 FTB.</t>
  </si>
  <si>
    <t>KIOVIG  2.5 GR 25 ML 1 FLK.</t>
  </si>
  <si>
    <t>KIOVIG  5 GR 50 ML 1 FLK.</t>
  </si>
  <si>
    <t>KIOVIG 10 GR 100 ML 1 FLK.</t>
  </si>
  <si>
    <t>KIOVIG 20 GR 200 ML 1 FLK.</t>
  </si>
  <si>
    <t>KIOVIG 30 GR 300 ML 1 FLK.</t>
  </si>
  <si>
    <t>KLACID 500 MG 1 FLK.</t>
  </si>
  <si>
    <t>KLACID 500 MG 14 FTB.</t>
  </si>
  <si>
    <t>KLACID MR 500 MG 14 TB.</t>
  </si>
  <si>
    <t>KLACID MR 500 MG 20 TB.</t>
  </si>
  <si>
    <t>KLACID MR 500 MG 7 TB.</t>
  </si>
  <si>
    <t>KLAMAXIN 500 MG 14 FTB.</t>
  </si>
  <si>
    <t>KLAMER 125 MG 70 ML SUSP.</t>
  </si>
  <si>
    <t>KLAMER 250 MG 100 ML SUSP.</t>
  </si>
  <si>
    <t>KLAMER 250 MG 50 ML SUSP.</t>
  </si>
  <si>
    <t>KLAMER 500 MG 14 FTB.</t>
  </si>
  <si>
    <t>KLAMOKS BID 1 GR 10 TB.</t>
  </si>
  <si>
    <t>KLAMOKS BID 1 GR 14 TB</t>
  </si>
  <si>
    <t>KLAMOKS BID 200 MG 70 ML SUSP</t>
  </si>
  <si>
    <t>KLAMOKS BID 625 MG 10 TB.</t>
  </si>
  <si>
    <t>KLAVON BID 1000 MG 10 FTB.</t>
  </si>
  <si>
    <t>KLAVON BID 1000 MG 14 FTB.</t>
  </si>
  <si>
    <t>KLAVON ES 600 MG 100 ML SUSP.</t>
  </si>
  <si>
    <t>KLAVUNAT 625 MG 10 TB.</t>
  </si>
  <si>
    <t>KLAVUNAT BID 1 GR 10 TB.</t>
  </si>
  <si>
    <t>KLAVUNAT BID 1 GR 14 TB.</t>
  </si>
  <si>
    <t>KLAX 500 MG 14 TB.</t>
  </si>
  <si>
    <t>KLIMADYNON 20 MG 60 FTB.</t>
  </si>
  <si>
    <t>KLINDAN 150 MG 16 CAP.</t>
  </si>
  <si>
    <t>KLINDAN 300 MG 2 ML 1 AMP.</t>
  </si>
  <si>
    <t>KLINDAN 600 MG 4 ML 1 AMP.</t>
  </si>
  <si>
    <t>KLINDAVER 600 MG 4 ML 1 AMP.</t>
  </si>
  <si>
    <t>KLIOGEST 2/1 MG 28 TB.</t>
  </si>
  <si>
    <t>KLIPAKS 5/2.5 MG 40 DRG.**</t>
  </si>
  <si>
    <t>KLOBATE %0.05 50 GR KR.</t>
  </si>
  <si>
    <t>KLOBATE %0.05 50 GR POM.</t>
  </si>
  <si>
    <t>KLOMEN 50 MG 10 TB.</t>
  </si>
  <si>
    <t>KLORHEX PLUS 30 ML ORAL SPR</t>
  </si>
  <si>
    <t>K-MEXADER %0.1 30 GR KR.</t>
  </si>
  <si>
    <t>K-MEXADER %0.1 30 GR POM.</t>
  </si>
  <si>
    <t>K-MEXADER %0.1 30 ML LOS.</t>
  </si>
  <si>
    <t>KOLESTRAN 9 GR 30 POS</t>
  </si>
  <si>
    <t>KOLISOD 150 MG 1 FLK.</t>
  </si>
  <si>
    <t>KOLISTATE 150 MG 1 FLK.</t>
  </si>
  <si>
    <t>KOLROS 10 MG 28 FTB.</t>
  </si>
  <si>
    <t>KOLSIN 0.5 MG 60 DRJ.</t>
  </si>
  <si>
    <t>KOMFER 40 MG ORAL 10 FLK.</t>
  </si>
  <si>
    <t>KOMFER FOL 40/0.185 MG SOL 10</t>
  </si>
  <si>
    <t>KOMOX 20 MG 28 CAP.</t>
  </si>
  <si>
    <t>KOMOX 40 MG 28 CAP.</t>
  </si>
  <si>
    <t>KOMPENSAN 340 MG 60 TB.</t>
  </si>
  <si>
    <t>KONAZOL %2 100 ML SAMP.</t>
  </si>
  <si>
    <t>KONGEST 30 TB</t>
  </si>
  <si>
    <t>KONGEST FORTE 30 TB.</t>
  </si>
  <si>
    <t>KONGEST PED SRP</t>
  </si>
  <si>
    <t>KONSENIDAT 18 MG 30 TB***</t>
  </si>
  <si>
    <t>KONSENIDAT 27 MG 30 TB***</t>
  </si>
  <si>
    <t>KONSENIDAT 36 MG 30 TB***</t>
  </si>
  <si>
    <t>KONSENIDAT 54 MG 30 TB***</t>
  </si>
  <si>
    <t>KONTIFEN 10 MG 30 FTB.</t>
  </si>
  <si>
    <t>KONTIFEN 5 MG 30 FTB.</t>
  </si>
  <si>
    <t>KONTIL 250 MG 15 ML SUSP.</t>
  </si>
  <si>
    <t>KONTIL 250 MG 6 TB.</t>
  </si>
  <si>
    <t>KONVERIL 10 MG 20 TB.</t>
  </si>
  <si>
    <t>KONVERIL 5 MG 20 TB.</t>
  </si>
  <si>
    <t>KOPAQ 300 MG 100 ML 1 FLK.</t>
  </si>
  <si>
    <t>KOPAQ 300 MG 50 ML 1 FLK.</t>
  </si>
  <si>
    <t>KOPAQ 350 MG 100 ML 1 FLK.</t>
  </si>
  <si>
    <t>KOPAQ 350 MG 200 ML 1 FLK.</t>
  </si>
  <si>
    <t>KOPAQ 350 MG 50 ML 1 FLK.</t>
  </si>
  <si>
    <t>KORABIN 1000 MG 20 ML 1 FLK.</t>
  </si>
  <si>
    <t>KORABIN 40 MG 2 ML 1 FLK.</t>
  </si>
  <si>
    <t>KORDEXA 4 MG 20 TB.</t>
  </si>
  <si>
    <t>KORDEXA 8 MG 20 TB.</t>
  </si>
  <si>
    <t>KOROKIN 200 MG 30 FTB</t>
  </si>
  <si>
    <t>KORTOS  10 SUPP</t>
  </si>
  <si>
    <t>KORTOS 30 GR KR.</t>
  </si>
  <si>
    <t>KR ENEMA 19+7 GR 133 ML LAV.</t>
  </si>
  <si>
    <t>KREON 10.000 IU 100 CAP.</t>
  </si>
  <si>
    <t>KREON 25.000 IU 100 CAP.</t>
  </si>
  <si>
    <t>KREVAL 7.5 MG 100 ML SRP.</t>
  </si>
  <si>
    <t>KUIFLEX 200/200 MG 40 FTB.</t>
  </si>
  <si>
    <t>KUILIL 200/200 MG 40 FTB.</t>
  </si>
  <si>
    <t>KURSEPT %19+1 30 GR KR.</t>
  </si>
  <si>
    <t>KUVAN 100 MG 30 TB.</t>
  </si>
  <si>
    <t>KWELLADA %1 120 ML SAMP.</t>
  </si>
  <si>
    <t>KWELLADA %1 60 ML SAMP.</t>
  </si>
  <si>
    <t>KWELLADA %5 120 ML LOS.</t>
  </si>
  <si>
    <t>KWELL-P %0.3+3 60 ML SAMP.</t>
  </si>
  <si>
    <t>KYPROLIS 60 MG 1 FLK.</t>
  </si>
  <si>
    <t>KYTRIL 1 MG 10 TB.</t>
  </si>
  <si>
    <t>KYTRIL 2 MG 5 FTB.</t>
  </si>
  <si>
    <t>KYTRIL 3 MG 3 ML 1 AMP.</t>
  </si>
  <si>
    <t>KYTRIL 3 MG 3 ML 5 AMP.</t>
  </si>
  <si>
    <t>LACIPIL 4 MG 28 TB.</t>
  </si>
  <si>
    <t>LACTULAC 670 MG 250 ML SRP.</t>
  </si>
  <si>
    <t>LAEVOLAC 670 MG 250 ML SRP.</t>
  </si>
  <si>
    <t>LAKSAFENOL 50 MG 20 TB.</t>
  </si>
  <si>
    <t>LAMERIS 800 MG 180 FTB.</t>
  </si>
  <si>
    <t>LAMICTAL DC 25 MG 30 CIGN TB.</t>
  </si>
  <si>
    <t>LAMICTAL DC 5 MG 30 CIGN TB.</t>
  </si>
  <si>
    <t>LAMICTAL DC 50 MG 30 CIGN TB.</t>
  </si>
  <si>
    <t>LAMINOX %1 30 ML SPR.</t>
  </si>
  <si>
    <t>LANICZOL 5 MG 100 ML 1 FLK.</t>
  </si>
  <si>
    <t>LANSAZOL 30 MG 28 CAP.</t>
  </si>
  <si>
    <t>LANSOPROL 15 MG 28 CAP.</t>
  </si>
  <si>
    <t>LANSOPROL 30 MG 14 CAP.</t>
  </si>
  <si>
    <t>LANSOPROL 30 MG 28 CAP.</t>
  </si>
  <si>
    <t>LANSOR 15 MG 30 CAP.</t>
  </si>
  <si>
    <t>LANSOR 30 MG 14 CAP.</t>
  </si>
  <si>
    <t>LANSOR 30 MG 28 CAP.</t>
  </si>
  <si>
    <t>LANSOTER 30 MG 28 CAP.</t>
  </si>
  <si>
    <t>LANTUS 100 IU 3 ML 5 PEN</t>
  </si>
  <si>
    <t>LANVIS 40 MG 25 TB</t>
  </si>
  <si>
    <t>LANZAP 30 MG 28 CAP.</t>
  </si>
  <si>
    <t>LANZEDIN 30 MG 14 CAP.</t>
  </si>
  <si>
    <t>LANZEDIN 30 MG 28 CAP.</t>
  </si>
  <si>
    <t>LAPILORI 30 MG 28 CAP.</t>
  </si>
  <si>
    <t>LARGACTIL 100 MG 30 TB.</t>
  </si>
  <si>
    <t>LARGACTIL 25 MG 5 ML 10 AMP.</t>
  </si>
  <si>
    <t>LARGOPEN 1 GR 16 TB.</t>
  </si>
  <si>
    <t>LARGOPEN 125 MG 80 ML SUSP.</t>
  </si>
  <si>
    <t>LARGOPEN 250 MG 80 ML SUSP</t>
  </si>
  <si>
    <t>LARGOPEN 500 MG 16 TB.</t>
  </si>
  <si>
    <t>LARICID 500 MG 14 FTB.</t>
  </si>
  <si>
    <t>LAROXYL 10 MG 30 FTB.</t>
  </si>
  <si>
    <t>LAROXYL 25 MG 40 FTB.</t>
  </si>
  <si>
    <t>LASECON 160 MCG 60 INH.</t>
  </si>
  <si>
    <t>LASIX 20 MG 2 ML 5 AMP.</t>
  </si>
  <si>
    <t>LASIX 40 MG 12 TB.</t>
  </si>
  <si>
    <t>LASTET 50 MG 20 CAP.</t>
  </si>
  <si>
    <t>LATIXA 1000 MG 60 TB.</t>
  </si>
  <si>
    <t>LATIXA 375 MG 60 TB.</t>
  </si>
  <si>
    <t>LATIXA 500 MG 60 TB.</t>
  </si>
  <si>
    <t>LATIXA 750 MG 60 TB.</t>
  </si>
  <si>
    <t>LAVENIL 30 MG 150 ML SRP.</t>
  </si>
  <si>
    <t>LEBEL 750 MG 7 FTB.</t>
  </si>
  <si>
    <t>LEDROPIN 30 MG 150 ML SRP.</t>
  </si>
  <si>
    <t>LEGALON FORT 140 MG 60 CAP.</t>
  </si>
  <si>
    <t>LEODEX %1.25 60 GR JEL</t>
  </si>
  <si>
    <t>LEODEX 25 MG 20 FTB</t>
  </si>
  <si>
    <t>LEODEX 50 MG 2 ML 6 AMP.</t>
  </si>
  <si>
    <t>LEODEX PLUS 25/4 MG 20 FTB.</t>
  </si>
  <si>
    <t>LEODEX PLUS 25/8 MG 14 FTB.</t>
  </si>
  <si>
    <t>LEPTICA 1000 MG 50 FTB</t>
  </si>
  <si>
    <t>LEPTICA 250 MG 50 FTB</t>
  </si>
  <si>
    <t>LEPTICA 500 MG 50 FTB</t>
  </si>
  <si>
    <t>LERCADIP 10 MG 30 FTB.</t>
  </si>
  <si>
    <t>LERCADIP 20 MG 30 FTB.</t>
  </si>
  <si>
    <t>LETRASAN 2,5 MG 30 FTB</t>
  </si>
  <si>
    <t>LETROKS 2,5 MG 30 FTB.</t>
  </si>
  <si>
    <t>LETROL 2.5 MG 30 FTB</t>
  </si>
  <si>
    <t>LETU 2.5 MG 30 FTB.</t>
  </si>
  <si>
    <t>LEUCOSTIM 15 MIU 1 ENJ.</t>
  </si>
  <si>
    <t>LEUCOSTIM 15 MIU 5 ENJ.</t>
  </si>
  <si>
    <t>LEUCOSTIM 30 MIU 1 ENJ.</t>
  </si>
  <si>
    <t>LEUCOSTIM 30 MIU 5 ENJ.</t>
  </si>
  <si>
    <t>LEUKERAN 2 MG 25 TB</t>
  </si>
  <si>
    <t>LEUNASE 10.000 IU 1 FLK.</t>
  </si>
  <si>
    <t>LEVEMAX 1000 MG 100 FTB.</t>
  </si>
  <si>
    <t>LEVEMAX 1000 MG 50 FTB.</t>
  </si>
  <si>
    <t>LEVEMAX 250 MG 50 FTB.</t>
  </si>
  <si>
    <t>LEVEMAX 500 MG 100 FTB.</t>
  </si>
  <si>
    <t>LEVEMAX 500 MG 50 FTB.</t>
  </si>
  <si>
    <t>LEV-END 1000 MG 50 FTB.</t>
  </si>
  <si>
    <t>LEV-END 250 MG 50 FTB.</t>
  </si>
  <si>
    <t>LEV-END 500 MG 50 FTB</t>
  </si>
  <si>
    <t>LEV-END 750 MG 50 FTB</t>
  </si>
  <si>
    <t>LEVERETTE 0.15/0.03 MG 21 FTB</t>
  </si>
  <si>
    <t>LEVISET 5 MG 20 FTB</t>
  </si>
  <si>
    <t>LEVITRA 10 MG 4 FTB.</t>
  </si>
  <si>
    <t>LEVITRA 20 MG 2 FTB.</t>
  </si>
  <si>
    <t>LEVITRA 20 MG 4 FTB.</t>
  </si>
  <si>
    <t>LEVMONT 2.5/4 MG CIGN TB.</t>
  </si>
  <si>
    <t>LEVMONT 5/10 MG 30 FTB.</t>
  </si>
  <si>
    <t>LEVMONT 5/10 MG 90 FTB.</t>
  </si>
  <si>
    <t>LEVOKAST 5/10 MG 30 FTB.</t>
  </si>
  <si>
    <t>LEVOLON %0.5 5 ML G/K GTT.</t>
  </si>
  <si>
    <t>LEVONAT 500 MG 7 FTB.</t>
  </si>
  <si>
    <t>LEVONIDIN 500 MG 7 FTB.</t>
  </si>
  <si>
    <t>LEVONIDIN 750 MG 7 FTB.</t>
  </si>
  <si>
    <t>LEVOPRONT 30 MG 150 ML SRP</t>
  </si>
  <si>
    <t>LEVOPRONT 60 MG 20 TB.</t>
  </si>
  <si>
    <t>LEVORUP 30 MG 150 ML SRP.</t>
  </si>
  <si>
    <t>LEVOSOL 30 MG 150 ML SRP.</t>
  </si>
  <si>
    <t>LEVOSOL FORT 60 MG 75 ML SRP.</t>
  </si>
  <si>
    <t>LEVOTIRON 100 MCG 50 TB.</t>
  </si>
  <si>
    <t>LEVOTIRON 125 MCG 50 TB.</t>
  </si>
  <si>
    <t>LEVOTIRON 150 MCG 50 TB.</t>
  </si>
  <si>
    <t>LEVOTIRON 175 MCG 50 TB.</t>
  </si>
  <si>
    <t>LEVOTIRON 200 MCG 50 TB.</t>
  </si>
  <si>
    <t>LEVOTIRON 25 MCG 50 TB.</t>
  </si>
  <si>
    <t>LEVOTIRON 50 MCG 50 TB.</t>
  </si>
  <si>
    <t>LEVOTIRON 75 MCG 50 TB.</t>
  </si>
  <si>
    <t>LEVOXIMED %0.5 5 ML G/K GTT.</t>
  </si>
  <si>
    <t>LEX 20 MG 4 FTB.</t>
  </si>
  <si>
    <t>LEX 5 MG 14 FTB.</t>
  </si>
  <si>
    <t>LEX 5 MG 28 FTB.</t>
  </si>
  <si>
    <t>LH-RH FERRING 0.1 MG 1 AMP.</t>
  </si>
  <si>
    <t>LIBALAKS %53.1+37 10 GR LAV.</t>
  </si>
  <si>
    <t>LIBENTA 400 MG 2 ML 100 AMP.</t>
  </si>
  <si>
    <t>LIDORIN %5 5 GR KR 1 TUP</t>
  </si>
  <si>
    <t>LIDORIN 5*5 GR KR</t>
  </si>
  <si>
    <t>LIDWINA 120 MG 14 CAP.</t>
  </si>
  <si>
    <t>LIDWINA 240 MG 56 CAP.</t>
  </si>
  <si>
    <t>LIFTA 10 MG 2 FTB.</t>
  </si>
  <si>
    <t>LIFTA 20 MG 4 FTB.</t>
  </si>
  <si>
    <t>LIFTA 5 MG 14 FTB.</t>
  </si>
  <si>
    <t>LIFTA 5 MG 28 FTB.</t>
  </si>
  <si>
    <t>LIMEXID 2 MG 1 ML 1 FLK.</t>
  </si>
  <si>
    <t>LINCAINE %10 50 ML SPR.</t>
  </si>
  <si>
    <t>LINCOCIN 600 MG 2 ML 1 AMP.</t>
  </si>
  <si>
    <t>LINEJECT 600 MG 300 ML 1 FLK.</t>
  </si>
  <si>
    <t>LINKOMISIN 600 MG 2 ML 1 AMP.</t>
  </si>
  <si>
    <t>LINKOSOL 600 MG 2 ML 1 AMP.</t>
  </si>
  <si>
    <t>LINOXA 100 MG 20 ML 1 FLK.</t>
  </si>
  <si>
    <t>LINOXA 50 MG 10 ML FLK.</t>
  </si>
  <si>
    <t>LINRA 1 MG 30 TB.</t>
  </si>
  <si>
    <t>LIORESAL 10 MG 50 TB.</t>
  </si>
  <si>
    <t>LIPANTHYL 160 MG 30 FTB</t>
  </si>
  <si>
    <t>LIPANTHYL 267 MG 30 CAP.</t>
  </si>
  <si>
    <t>LIPANTHYL 267 MG 90 CAP.</t>
  </si>
  <si>
    <t>LIPIODOL 10 ML 1 AMP.</t>
  </si>
  <si>
    <t>LIPITOR 10 MG 30 FTB.</t>
  </si>
  <si>
    <t>LIPITOR 10 MG 90 FTB.</t>
  </si>
  <si>
    <t>LIPITOR 20 MG 30 FTB.</t>
  </si>
  <si>
    <t>LIPITOR 20 MG 90 FTB.</t>
  </si>
  <si>
    <t>LIPITOR 40 MG 30 FTB.</t>
  </si>
  <si>
    <t>LIPITOR 40 MG 90 FTB.</t>
  </si>
  <si>
    <t>LIPITOR 80 MG 30 FTB.</t>
  </si>
  <si>
    <t>LIPOFEN SR 250 MG 30 CAP.</t>
  </si>
  <si>
    <t>LIPOFEN SR 250 MG 90 CAP.</t>
  </si>
  <si>
    <t>LIPOLIN HR 600 MG 30 FTB.</t>
  </si>
  <si>
    <t>LIPOTEARS %2 10 GR OFT. JEL</t>
  </si>
  <si>
    <t>LITHURIL 300 MG 100 CAP.</t>
  </si>
  <si>
    <t>LIVAGY 7 VAG. OVUL</t>
  </si>
  <si>
    <t>LIVERCOL 10 MG 28 FTB.</t>
  </si>
  <si>
    <t>LIVERCOL 20 MG 28 FTB.</t>
  </si>
  <si>
    <t>LIVERCOL 40 MG 28 FTB.</t>
  </si>
  <si>
    <t>LIVIAL 2.5 MG 28 TB.</t>
  </si>
  <si>
    <t>LIXIANA 30 MG 28 FTB.</t>
  </si>
  <si>
    <t>LIXIANA 60 MG 28 FTB.</t>
  </si>
  <si>
    <t>LOCAFEN %2 30 GR KR.</t>
  </si>
  <si>
    <t>LOCANEST %10 50 ML SPR.</t>
  </si>
  <si>
    <t>LOCODERM %0.1 30 GR KR.</t>
  </si>
  <si>
    <t>LOCODERM %0.1 30 GR LIPO KR.</t>
  </si>
  <si>
    <t>LOCODERM %0.1 30 GR POM.</t>
  </si>
  <si>
    <t>LOCPYNOL %5 30 GR KR.</t>
  </si>
  <si>
    <t>LOCPYNOL %5 5 GR 5 AD KR.</t>
  </si>
  <si>
    <t>LODINE 300 MG 10 TB.</t>
  </si>
  <si>
    <t>LODUX 30 MG 28 CAP.</t>
  </si>
  <si>
    <t>LODUX 60 MG 28 CAP.</t>
  </si>
  <si>
    <t>LOKALEN %5 30 GR POM.</t>
  </si>
  <si>
    <t>LOMOTIL 2.5/0.025 MG 20 TB. *</t>
  </si>
  <si>
    <t>LONQUEX 6 MG 0.6 ML 1 ENJ.</t>
  </si>
  <si>
    <t>LOPERMID 2 MG 20 TB.</t>
  </si>
  <si>
    <t>LOPID 600 MG 30 TB.</t>
  </si>
  <si>
    <t>LOPRESOR 100 MG 20 TB.</t>
  </si>
  <si>
    <t>LOPRESOR SR 200 MG 14 TB.</t>
  </si>
  <si>
    <t>LOPROX %1.5 100 ML SAMP.</t>
  </si>
  <si>
    <t>LORCLAST 5/10 MG 30 FTB</t>
  </si>
  <si>
    <t>LORDES 2.5 MG 150 ML SRP.</t>
  </si>
  <si>
    <t>LORDES 5 MG 20 FTB</t>
  </si>
  <si>
    <t>LORNIA 1 MG 100 ML SRP.</t>
  </si>
  <si>
    <t>LORNOX FAST 8 MG 10 FTB.</t>
  </si>
  <si>
    <t>LORVIQUA 100 MG 30 FTB.</t>
  </si>
  <si>
    <t>LORVIQUA 25 MG 30 FTB.</t>
  </si>
  <si>
    <t>LOSIRAM 10 MG 28 FTB</t>
  </si>
  <si>
    <t>LOSIRAM 20 MG 28 FTB</t>
  </si>
  <si>
    <t>LOTEFORTE %0.5 5 ML GOZ GTT.</t>
  </si>
  <si>
    <t>LOTEMAX %0.5 5 ML GOZ GTT.</t>
  </si>
  <si>
    <t>LOVITREC 10 MG 4 FTB.</t>
  </si>
  <si>
    <t>LOVITREC 20 MG 2 FTB.</t>
  </si>
  <si>
    <t>LOVITREC 20 MG 4 FTB.</t>
  </si>
  <si>
    <t>LP 400 GR.</t>
  </si>
  <si>
    <t>LUBTANE LUBR. 10 ML GOZ GTT.</t>
  </si>
  <si>
    <t>LUCENTIS 10 MG 1 ENJ.</t>
  </si>
  <si>
    <t>LUCENTIS 10 MG 1 FLK.</t>
  </si>
  <si>
    <t>LUCRIN DAILY 5 MG 14 ENJ</t>
  </si>
  <si>
    <t>LUCRIN DEP 1 AY 3.75 MG ENJ.</t>
  </si>
  <si>
    <t>LUCRIN DEP 3 AY 11.25 MG ENJ.</t>
  </si>
  <si>
    <t>LUDIOMIL 25 MG 30 TB.</t>
  </si>
  <si>
    <t>LUDIOMIL 75 MG 14 TB.</t>
  </si>
  <si>
    <t>LUMINAL 100 MG 10 TB.**</t>
  </si>
  <si>
    <t>LUMINALETTEN 15 MG 30 TB.**</t>
  </si>
  <si>
    <t>LUROAN %0.15 10 ML GOZ GTT.</t>
  </si>
  <si>
    <t>LUROAN %0.15 TEK DOZ 20 FLK.</t>
  </si>
  <si>
    <t>LUSTRAL 50 MG 28 TB.</t>
  </si>
  <si>
    <t>LUSTRAL SPECIAL 100 MG 28 TB</t>
  </si>
  <si>
    <t>LUTINUS 100 MG 21 VAG. TB.</t>
  </si>
  <si>
    <t>LUVERIS 75 IU 1 FLK.</t>
  </si>
  <si>
    <t>LUXAT 10 MG 28 FTB.</t>
  </si>
  <si>
    <t>LYPRE  25 MG 56 CAP **</t>
  </si>
  <si>
    <t>LYPRE 100 MG 56 CAP **</t>
  </si>
  <si>
    <t>LYPRE 50 MG 56 CAP **</t>
  </si>
  <si>
    <t>LYPRE 75 MG 56 CAP **</t>
  </si>
  <si>
    <t>LYRICA 150 MG 56 CAP **</t>
  </si>
  <si>
    <t>LYRICA 225 MG 56 CAP **</t>
  </si>
  <si>
    <t>LYRICA 25 MG 56 CAP **</t>
  </si>
  <si>
    <t>LYRICA 300 MG 56 CAP **</t>
  </si>
  <si>
    <t>LYRICA 75  MG 14 CAP **</t>
  </si>
  <si>
    <t>LYSTHENON  FORTE %2 25 AMP.</t>
  </si>
  <si>
    <t>MABTHERA 100 MG 10 ML 2 FLK.</t>
  </si>
  <si>
    <t>MABTHERA 500 MG 50 ML 1 FLK.</t>
  </si>
  <si>
    <t>MACROL 125 MG 70 ML SUSP.</t>
  </si>
  <si>
    <t>MACROL 250 MG 100 ML SUSP.</t>
  </si>
  <si>
    <t>MACROL 250 MG 14 FTB.</t>
  </si>
  <si>
    <t>MACROL 250 MG 50 ML SUSP.</t>
  </si>
  <si>
    <t>MACROL 500 MG 14 FTB.</t>
  </si>
  <si>
    <t>MACROL MR 500 MG 14 TB.</t>
  </si>
  <si>
    <t>MACROL MR 500 MG 20 TB.</t>
  </si>
  <si>
    <t>MACROL MR 500 MG 7 TB.</t>
  </si>
  <si>
    <t>MADECASSOL %1 40 GR POM.</t>
  </si>
  <si>
    <t>MADEFIX %1 40 GR POM.</t>
  </si>
  <si>
    <t>MADEGCENTA %1 40 GR POM.</t>
  </si>
  <si>
    <t>MADEGSOLE %1 40 GR POM.</t>
  </si>
  <si>
    <t>MADESCAR %1 40 GR POM.</t>
  </si>
  <si>
    <t>MADOPAR 125 MG 30 TB.</t>
  </si>
  <si>
    <t>MADOPAR HBS 125 MG 30 CAP.</t>
  </si>
  <si>
    <t>MAFLOR 60 MG 10 SASE</t>
  </si>
  <si>
    <t>MAFLOR 60 MG 4 SASE</t>
  </si>
  <si>
    <t>MAFLOR PLUS 15 CAP.</t>
  </si>
  <si>
    <t>MAFLOR PLUS 30 CAP.</t>
  </si>
  <si>
    <t>MAGCAR 680/80 MG 100 ML SUSP.</t>
  </si>
  <si>
    <t>MAGCAR 680/80 MG 48 CIGN TB.</t>
  </si>
  <si>
    <t>MAGNERAL 365 MG 30 SASE</t>
  </si>
  <si>
    <t>MAGNERAL 365 MG 30 TB.</t>
  </si>
  <si>
    <t>MAGNESI KALSINE 100 GR (IST)</t>
  </si>
  <si>
    <t>MAGNESIUM DIASPORAL 50 PAST.</t>
  </si>
  <si>
    <t>MAGNEVIST 10 ML</t>
  </si>
  <si>
    <t>MAGNEZINC 30/300 MG 40 TB.</t>
  </si>
  <si>
    <t>MAGNIS %1 30 GR KR</t>
  </si>
  <si>
    <t>MAGNORM 365 MG 30 EFF TB.</t>
  </si>
  <si>
    <t>MAGOSIT 365 MG 30 TB.</t>
  </si>
  <si>
    <t>MAGVITAL 365 MG 30 SASE</t>
  </si>
  <si>
    <t>MAJEZIK %0.25 200 ML GARG.</t>
  </si>
  <si>
    <t>MAJEZIK %0.25 30 ML ORAL SPR.</t>
  </si>
  <si>
    <t>MAJEZIK 100 MG 15 TB.</t>
  </si>
  <si>
    <t>MAJEZIK DUO %5+0.25 30 GR JEL</t>
  </si>
  <si>
    <t>MAJEZIK DUO %5+0.25 50 ML SPR</t>
  </si>
  <si>
    <t>MAJEZIK DUO 100/8 MG 14 FTB.</t>
  </si>
  <si>
    <t>MAJEZIK SR 200 MG 16 CAP.</t>
  </si>
  <si>
    <t>MAKSIPOR 1 GR 10 FTB.</t>
  </si>
  <si>
    <t>MAKSIPOR 1 GR 20 FTB.</t>
  </si>
  <si>
    <t>MAKSIPOR 250 MG 100 ML SUSP.</t>
  </si>
  <si>
    <t>MAKSIPOR 500 MG 16 FTB.</t>
  </si>
  <si>
    <t>MANTAZOL %1+0.1 15 GR KR.</t>
  </si>
  <si>
    <t>MARCAINE 5 MG 1 FLK.</t>
  </si>
  <si>
    <t>8699874080526</t>
  </si>
  <si>
    <t>MARCAINE SPINAL 5 AMP.</t>
  </si>
  <si>
    <t>MATOFIN 1000 MG 100 FTB.</t>
  </si>
  <si>
    <t>MATOFIN 850 MG 100 FTB.</t>
  </si>
  <si>
    <t>MATOFIN XR 1000 MG 100 TB.</t>
  </si>
  <si>
    <t>MATOFIN XR 500 MG 100 TB.</t>
  </si>
  <si>
    <t>MAVENCLAD 10 MG 1 TB.</t>
  </si>
  <si>
    <t>MAVENCLAD 10 MG 4 TB.</t>
  </si>
  <si>
    <t>MAVENCLAD 10 MG 6 TB.</t>
  </si>
  <si>
    <t>MAVIRET 100/40 MG 84 FTB.</t>
  </si>
  <si>
    <t>MAXICLAR 250 MG 50 ML SUSP.</t>
  </si>
  <si>
    <t>MAXIDEX %0.1 3.5 GR OFT. POM.</t>
  </si>
  <si>
    <t>MAXIDEX %0.1 5 ML GOZ GTT.</t>
  </si>
  <si>
    <t>MAXIFLU %0.25 200 ML GARG.</t>
  </si>
  <si>
    <t>MAXIFLU %0.25 30 ML ORAL SPR.</t>
  </si>
  <si>
    <t>MAXIMUS %0.25 200 ML GARG.</t>
  </si>
  <si>
    <t>MAXIMUS %0.25 30 ML ORAL SPR.</t>
  </si>
  <si>
    <t>MAXIMUS 100 MG 15 TB.</t>
  </si>
  <si>
    <t>MAXIPEN 1000 MG IV 1 FLK.</t>
  </si>
  <si>
    <t>MAXIPEN 500 MG IV 1 FLK.</t>
  </si>
  <si>
    <t>MAXTHIO 4 MG 2 ML 6 AMP.</t>
  </si>
  <si>
    <t>MAYFEX 120 MG 20 FTB</t>
  </si>
  <si>
    <t>MAYFEX 180 MG 20 FTB</t>
  </si>
  <si>
    <t>MAZENIL 0.5 MG 5 ML 5 AMP.</t>
  </si>
  <si>
    <t>MEBUCAIN NANELI 20 PAST.</t>
  </si>
  <si>
    <t>MEDEXOL %0.1 G/K 5 ML GTT.</t>
  </si>
  <si>
    <t>MEDICOLD PED SURP.</t>
  </si>
  <si>
    <t>MEDIKINET 10 MG 30 RET. C ***</t>
  </si>
  <si>
    <t>MEDIKINET 10 MG 30 TB ***</t>
  </si>
  <si>
    <t>MEDIKINET 20 MG 30 RET. C ***</t>
  </si>
  <si>
    <t>MEDIKINET 30 MG 30 RET. CA***</t>
  </si>
  <si>
    <t>MEDIZINC 15 MG 100 ML SRP.</t>
  </si>
  <si>
    <t>MEDOVIR 100 MG 28 FTB.</t>
  </si>
  <si>
    <t>MEDROLGIN %0,4 5 ML GOZ GTT.</t>
  </si>
  <si>
    <t>MEGACE 160 MG 30 TB</t>
  </si>
  <si>
    <t>MEGADYN PRONATAL 30 FTB.</t>
  </si>
  <si>
    <t>MEGADYN PRONATAL 60 FTB.</t>
  </si>
  <si>
    <t>MEKINIST 0.5 MG 30 FTB</t>
  </si>
  <si>
    <t>MEKINIST 2 MG 30 FTB</t>
  </si>
  <si>
    <t>MEKSRATU 10 MG 0.4 ML 1 ENJ.</t>
  </si>
  <si>
    <t>MEKSRATU 15 MG 0.6 ML 1 ENJ.</t>
  </si>
  <si>
    <t>MEKSRATU 20 MG 0.8 ML 1 ENJ.</t>
  </si>
  <si>
    <t>MEKSRATU 25 MG 1 ML 1 ENJ.</t>
  </si>
  <si>
    <t>MELANDA 10 MG 100 FTB.</t>
  </si>
  <si>
    <t>MELANDA 10 MG 50 FTB.</t>
  </si>
  <si>
    <t>MELANDA 20 MG 28 FTB</t>
  </si>
  <si>
    <t>MELANDA 20 MG 84 FTB</t>
  </si>
  <si>
    <t>MELANDA 5 MG 100 GR ORAL GTT.</t>
  </si>
  <si>
    <t>MELANDA 5 MG 50 GR ORAL GTT.</t>
  </si>
  <si>
    <t>MELANDA RAPID 10 MG 28 TB.</t>
  </si>
  <si>
    <t>MELANDA RAPID 20 MG 28 TB.</t>
  </si>
  <si>
    <t>MELCAM 15 MG 10 TB.</t>
  </si>
  <si>
    <t>MELOX 15 MG 10 TB</t>
  </si>
  <si>
    <t>MELOX 15 MG 3 AMP.</t>
  </si>
  <si>
    <t>MELOX 7.5 MG 10 TB.</t>
  </si>
  <si>
    <t>MENEKLIN 300 MG 2 ML 1 AMP.</t>
  </si>
  <si>
    <t>MENEKLIN 600 MG 4 ML 1 AMP.</t>
  </si>
  <si>
    <t>MENOGON 75 IU 5 AMP.</t>
  </si>
  <si>
    <t>MENOPUR 1200 IU 1 FLK.</t>
  </si>
  <si>
    <t>MENOPUR 600 IU 1 FLK.</t>
  </si>
  <si>
    <t>MENOPUR 75 IU 5 FLK.</t>
  </si>
  <si>
    <t>MEPACT 4 MG 1 FLK.</t>
  </si>
  <si>
    <t>MERESA 50 MG 30 CAP.</t>
  </si>
  <si>
    <t>MERESA FORT 200 MG 24 TB.</t>
  </si>
  <si>
    <t>MERIONAL 150 IU 1 FLK.</t>
  </si>
  <si>
    <t>MERIONAL 75 IU 1 FLK.</t>
  </si>
  <si>
    <t>MEROSID 1000 MG IV 1 FLK.</t>
  </si>
  <si>
    <t>MEROSID 500 MG IV 1 FLK.</t>
  </si>
  <si>
    <t>MEROZAN 1000 MG IV 1 FLK.</t>
  </si>
  <si>
    <t>MEROZAN 1G 10 FLK.</t>
  </si>
  <si>
    <t>MERPURIN 50 MG 25 TB</t>
  </si>
  <si>
    <t>MESAIN 4 GR 60 ML 7 TUP</t>
  </si>
  <si>
    <t>MESIGYNA 5/50 MG 1 ENJ.</t>
  </si>
  <si>
    <t>MESTINON 60 MG 20 DRG</t>
  </si>
  <si>
    <t>METADEM 50 MG 2 ML 6 AMP.</t>
  </si>
  <si>
    <t>METICURE 20 MG 1 FLK.</t>
  </si>
  <si>
    <t>METICURE 250 MG 1 FLK.</t>
  </si>
  <si>
    <t>METICURE 40 MG 1 FLK.</t>
  </si>
  <si>
    <t>METIGAST 140 MG 40 CAP.</t>
  </si>
  <si>
    <t>METILER 0.125 MG 25 DRJ.</t>
  </si>
  <si>
    <t>METILER 0.2 MG 3 AMP.</t>
  </si>
  <si>
    <t>METLOC 5 MG 5 ML 1 AMP.</t>
  </si>
  <si>
    <t>METOART CON 12.5 MG 0.31 ML 1</t>
  </si>
  <si>
    <t>METOART CON 17.5 MG 0.43 ML 1</t>
  </si>
  <si>
    <t>METOART CON 22.5 MG 0.56 ML 1</t>
  </si>
  <si>
    <t>METOART CON 27.5 MG 0.68 ML 1</t>
  </si>
  <si>
    <t>METPAMID 10 MG 2 ML 5 AMP.</t>
  </si>
  <si>
    <t>METPAMID 10 MG 30 TB.</t>
  </si>
  <si>
    <t>METPAMID 5 MG 125 ML SRP.</t>
  </si>
  <si>
    <t>METRIN % 5 30 GR KR</t>
  </si>
  <si>
    <t>METRIN %5 120 ML LOS.</t>
  </si>
  <si>
    <t>METSIL 40 MG 150 SRP.</t>
  </si>
  <si>
    <t>METSIL 66.6 MG 30 ML GTT.</t>
  </si>
  <si>
    <t>METSIL FORT 80 MG 50 TB.</t>
  </si>
  <si>
    <t>MEXIA 10 MG 100 FTB</t>
  </si>
  <si>
    <t>MEXIA 10 MG 28 FTB</t>
  </si>
  <si>
    <t>MEXIA 20 MG 28 FTB</t>
  </si>
  <si>
    <t>MEXIA BASLANGIC PAKETI 28 TB</t>
  </si>
  <si>
    <t>MEXIA XR 14 MG 28 CAP.</t>
  </si>
  <si>
    <t>MEXIA XR 28 MG 28 CAP.</t>
  </si>
  <si>
    <t>M-FURO %0.1 30 GR KR.</t>
  </si>
  <si>
    <t>M-FURO %0.1 30 GR POM.</t>
  </si>
  <si>
    <t>M-FURO %0.1 30 ML LOS.</t>
  </si>
  <si>
    <t>M-FURO FA %0.1+2 30 GR KR.</t>
  </si>
  <si>
    <t>M-FURO MANT %0.1+1 20 GR KR.</t>
  </si>
  <si>
    <t>MIAMBUTOL 500 MG 50 TB.</t>
  </si>
  <si>
    <t>MICARDIS 80 MG 28 TB.</t>
  </si>
  <si>
    <t>MICTONORM 15 MG 56 DRJ.</t>
  </si>
  <si>
    <t>MICTONORM SR 30 MG 30 CAP.</t>
  </si>
  <si>
    <t>MICTONORM SR 45 MG 30 CAP.</t>
  </si>
  <si>
    <t>MIDAJECT 15 MG 3 ML 5 AMP**</t>
  </si>
  <si>
    <t>MIDAJECT 5 MG 5 ML 5 AMP**</t>
  </si>
  <si>
    <t>MIDIZOL 100 MG 5 CAP.</t>
  </si>
  <si>
    <t>MIDIZOL 20 MG 5 CAP.</t>
  </si>
  <si>
    <t>MIDIZOL 250 MG 5 CAP.</t>
  </si>
  <si>
    <t>MIDIZOL 5 MG 5 CAP.</t>
  </si>
  <si>
    <t>MIGREX 2.5 MG 3 FTB.</t>
  </si>
  <si>
    <t>MIGREX 2.5 MG 6 FTB.</t>
  </si>
  <si>
    <t>MIKODERM %1 20 ML SOL.</t>
  </si>
  <si>
    <t>MIKODERM %1 30 GR POM.</t>
  </si>
  <si>
    <t>MIKONID 7 VAG. OVUL</t>
  </si>
  <si>
    <t>MILRICOR 10 MG 10 ML 1 AMP.</t>
  </si>
  <si>
    <t>MILUPA GA 2 PRIMA 500 GR.</t>
  </si>
  <si>
    <t>MILUPA HOM 2 PRIMA 500 GR.</t>
  </si>
  <si>
    <t>MILUPA HOM 2 SECUNDA 500 GR.</t>
  </si>
  <si>
    <t>MILUPA LEU 1 500 GR.</t>
  </si>
  <si>
    <t>MILUPA LEU 2 PRIMA 500 GR.</t>
  </si>
  <si>
    <t>MILUPA MSUD 1 500 GR.</t>
  </si>
  <si>
    <t>MILUPA MSUD 2 PRIMA 500 GR.</t>
  </si>
  <si>
    <t>MILUPA MSUD 2 SECUNDA 500 GR.</t>
  </si>
  <si>
    <t>MILUPA OS 1 500 GR.</t>
  </si>
  <si>
    <t>MILUPA OS 2 PRIMA 500 GR.</t>
  </si>
  <si>
    <t>MILUPA OS 2 SECUNDA 500 GR.</t>
  </si>
  <si>
    <t>MILUPA PKU 1 500 GR.</t>
  </si>
  <si>
    <t>MILUPA PKU 2 PRIMA 500 GR.</t>
  </si>
  <si>
    <t>MILUPA PKU 2 SECUNDA 500 GR.</t>
  </si>
  <si>
    <t>MILUPA PKU 3 ADVANTA 500 GR.</t>
  </si>
  <si>
    <t>MILUPA TYR 1 500 GR.</t>
  </si>
  <si>
    <t>MILUPA TYR 2 PRIMA 500 GR.</t>
  </si>
  <si>
    <t>MILUPA TYR 2 SECUNDA 500 GR.</t>
  </si>
  <si>
    <t>MILUPA UCD 1 450 GR.</t>
  </si>
  <si>
    <t>MILUPA UCD 2 PRIMA 500 GR.</t>
  </si>
  <si>
    <t>MILUPA UCD 2 SECUNDA 500 GR.</t>
  </si>
  <si>
    <t>MINAFEN 120 MG 150 ML SRP.</t>
  </si>
  <si>
    <t>MINAMOL 120 MG 150 ML SUSP.</t>
  </si>
  <si>
    <t>MINIRIN MELT 120 MCG 30 TB.</t>
  </si>
  <si>
    <t>MINIRIN MELT 60 MCG 30 TB.</t>
  </si>
  <si>
    <t>MINOSET 150 MG 100 ML SRP.</t>
  </si>
  <si>
    <t>MINOSET 500 MG 20 TB.</t>
  </si>
  <si>
    <t>MINOXIL %2 DERI SPR. 60 ML</t>
  </si>
  <si>
    <t>MINOXIL %5 FORTE DERI SPR. 60</t>
  </si>
  <si>
    <t>MIOSTAT %0 01 1.5 ML 1 FLK.</t>
  </si>
  <si>
    <t>MIRANOVA 0.1/0.02 MG 21 DRJ.</t>
  </si>
  <si>
    <t>MIRENA RAHIM ICI 1X1</t>
  </si>
  <si>
    <t>MIRTARON 30 MG 14 TB.</t>
  </si>
  <si>
    <t>MIRTARON 30 MG 28 TB.</t>
  </si>
  <si>
    <t>MISINTU 20 MG 1 FLK.</t>
  </si>
  <si>
    <t>MISOL 100 MG 28 FTB.</t>
  </si>
  <si>
    <t>MISOL 50 MG 28 FTB.</t>
  </si>
  <si>
    <t>MITOMYCIN-C 10 MG 1 FLK.</t>
  </si>
  <si>
    <t>8699874080427</t>
  </si>
  <si>
    <t>MIVACRON 20 mg/10 ml ENJEKSİYONLUK ÇÖZELTİ</t>
  </si>
  <si>
    <t>MIVUX 100 MG 28 FTB</t>
  </si>
  <si>
    <t>MIXOVUL 7 VAG. OVUL</t>
  </si>
  <si>
    <t>MIYADREN 75 MG 3 ML 10 AMP.</t>
  </si>
  <si>
    <t>8698978750014</t>
  </si>
  <si>
    <t>MIYADREN 75 mg/3 mL İM 10 AMPUL</t>
  </si>
  <si>
    <t>MIYOREL 375/300 MG 20 TB.</t>
  </si>
  <si>
    <t>M-M-R II KARMA ASI</t>
  </si>
  <si>
    <t>MODET 1000 MG 60 FTB.</t>
  </si>
  <si>
    <t>MODET 500 MG 60 CAP.</t>
  </si>
  <si>
    <t>MODIODAL 100 MG 30 TB*</t>
  </si>
  <si>
    <t>MODIOGEN 100 MG 30 TB*</t>
  </si>
  <si>
    <t>MODIOGEN 200 MG 30 TB *</t>
  </si>
  <si>
    <t>MODIVIGIL 100 MG 30 TB*</t>
  </si>
  <si>
    <t>MODIVIGIL 200 MG 30 TB*</t>
  </si>
  <si>
    <t>MODIWAKE 100 MG 30 TB*</t>
  </si>
  <si>
    <t>MODIWAKE 200 MG 30 TB*</t>
  </si>
  <si>
    <t>MODULEN IBD 400 GR.</t>
  </si>
  <si>
    <t>MOFECEPT 500 MG 50 FTB</t>
  </si>
  <si>
    <t>MOKSEFEN 400 MG 7 FTB.</t>
  </si>
  <si>
    <t>MOLAR SOD. BIKAR 10 AMP</t>
  </si>
  <si>
    <t>MOLCEF 100 MG 100 ML SUSP.</t>
  </si>
  <si>
    <t>MOLCEF 400 MG 10 FTB.</t>
  </si>
  <si>
    <t>MOLIT PLUS 10/500 MG 20 TB.</t>
  </si>
  <si>
    <t>MOLIT PLUS 30 10/500 MG TB.</t>
  </si>
  <si>
    <t>MOMECON %0.1 30 GR KR.</t>
  </si>
  <si>
    <t>MOMECON %0.1 30 GR POM.</t>
  </si>
  <si>
    <t>MOMECON %0.1 30 M  LOS.</t>
  </si>
  <si>
    <t>MOMESALIC %0.1 45 GR POM.</t>
  </si>
  <si>
    <t>MONALIZ 50 MCG 18 GR NAS SPR.</t>
  </si>
  <si>
    <t>MONDES 5/10 MG 30 FTB</t>
  </si>
  <si>
    <t>MONODOKS 100 MG 14 CAP.</t>
  </si>
  <si>
    <t>MONODUR 60 MG 30 TB.</t>
  </si>
  <si>
    <t>MONOKET 20 MG 20 TB.</t>
  </si>
  <si>
    <t>MONOKET 40 MG 20 TB.</t>
  </si>
  <si>
    <t>MONOKET LONG 50 MG 20 CAP.</t>
  </si>
  <si>
    <t>MONOLONG SR 40 MG 30 CAP.</t>
  </si>
  <si>
    <t>MONOLONG SR 60 MG 30 CAP.</t>
  </si>
  <si>
    <t>MONOPRIL 10 MG 28 TB.</t>
  </si>
  <si>
    <t>MONOPRIL 20 MG 28 TB.</t>
  </si>
  <si>
    <t>MONOVAS 10 MG 30 TB.</t>
  </si>
  <si>
    <t>MONOVAS 10 MG 90 TB.</t>
  </si>
  <si>
    <t>MONOVAS 5 MG 30 TB.</t>
  </si>
  <si>
    <t>MONOVAS 5 MG 90 TB.</t>
  </si>
  <si>
    <t>MONOVIT D3 300.000 IU 1 AMP.</t>
  </si>
  <si>
    <t>MONUROL 3 GR 1 SASE</t>
  </si>
  <si>
    <t>MOPEM 1000 MG IV 1 FLK.</t>
  </si>
  <si>
    <t>MOPEM 500 MG IV 1 FLK.</t>
  </si>
  <si>
    <t>MORFIA 15 MG 30 TB ***</t>
  </si>
  <si>
    <t>MORFIA 30 MG 30 TB***</t>
  </si>
  <si>
    <t>MORFIA CR 15 MG 20 FTB ***</t>
  </si>
  <si>
    <t>MORFIA CR 30 MG 20 FTB ***</t>
  </si>
  <si>
    <t>MORFIA CR 60 MG 20 FTB ***</t>
  </si>
  <si>
    <t>MOTILIUM 1 MG 200 ML SUSP.</t>
  </si>
  <si>
    <t>MOTILIUM 10 MG 21 FTB.</t>
  </si>
  <si>
    <t>MOTIS 10 MG 21 TB.</t>
  </si>
  <si>
    <t>MOTIVAL 100 MG 15 TB</t>
  </si>
  <si>
    <t>MOXAI %0.5 5 ML GOZ GTT.</t>
  </si>
  <si>
    <t>MOXAI 400 MG 7 FTB.</t>
  </si>
  <si>
    <t>MOXAIN 400 MG 250 ML 1 FLK.</t>
  </si>
  <si>
    <t>MOXITAB 400 MG 7 FTB.</t>
  </si>
  <si>
    <t>MOXITEC 400 MG 5 FTB.</t>
  </si>
  <si>
    <t>MOXITEC 400 MG 7 FTB.</t>
  </si>
  <si>
    <t>MOZOBIL 24 MG 1.2 ML 1 FLK.</t>
  </si>
  <si>
    <t>MOZOSENT 24 MG 1.2 ML 1 FLK.</t>
  </si>
  <si>
    <t>MRSACIN 50 MG 10 FLK.</t>
  </si>
  <si>
    <t>MSUD ANAMIX INFANT 400 GR.</t>
  </si>
  <si>
    <t>MSUD EXPRESS 750 GR.</t>
  </si>
  <si>
    <t>MSUD GEL 720 GR SASE</t>
  </si>
  <si>
    <t>MUCOLATOR 200 MG 150 ML SRP.</t>
  </si>
  <si>
    <t>MUCOMAX 400 MG 30 EFF TB</t>
  </si>
  <si>
    <t>MUCONEX 200 MG 40 GR PED GRN.</t>
  </si>
  <si>
    <t>MUCONEX 200 MG 60 GR GRN.</t>
  </si>
  <si>
    <t>MUCONEX 900 MG 20 EFF TB</t>
  </si>
  <si>
    <t>MUCOPLUS 1200 MG 20 EFF TB</t>
  </si>
  <si>
    <t>MUKOLATIN 600 MG 10 SASE</t>
  </si>
  <si>
    <t>MUKOTIK 250 MG 100 ML SRP.</t>
  </si>
  <si>
    <t>MUKOTIK 250 MG 30 TB.</t>
  </si>
  <si>
    <t>MUKOZERO 1200 MG 20 EFF TB</t>
  </si>
  <si>
    <t>MUKOZERO 600 MG 20 EFF TB</t>
  </si>
  <si>
    <t>MUKOZERO 900 MG 20 EFF TB</t>
  </si>
  <si>
    <t>MULTI THICK 250 GR.</t>
  </si>
  <si>
    <t>MULTIMIX 100 ML SRP.</t>
  </si>
  <si>
    <t>MULTISEF 250 MG IM 1 FLK.</t>
  </si>
  <si>
    <t>MULTISEF 500 MG IM 1 FLK.</t>
  </si>
  <si>
    <t>MULTISEF 750 MG IM 1 FLK.</t>
  </si>
  <si>
    <t>MULTI-TABS ACD DROBS 30 ML</t>
  </si>
  <si>
    <t>MUNDERM %2+0.05 30 GR JEL</t>
  </si>
  <si>
    <t>MUPIDERM %2 15 GR POM.</t>
  </si>
  <si>
    <t>MUSCAL 4 MG 2 ML 6 AMP.</t>
  </si>
  <si>
    <t>MUSCOFLEX %0.25 30 GR KR.</t>
  </si>
  <si>
    <t>MUSCOFLEX 4 MG 2 ML 6 AMP.</t>
  </si>
  <si>
    <t>MUSCOFLEX 4 MG 20 CAP.</t>
  </si>
  <si>
    <t>MUSCOFLEX 8 MG 10 CAP.</t>
  </si>
  <si>
    <t>MUSCOFLEX DUO 30 GR JEL</t>
  </si>
  <si>
    <t>MUSCOFLEX DUO 75/8 MG 14 TB.</t>
  </si>
  <si>
    <t>MUSCORIL 4 MG 2 ML 6 AMP.</t>
  </si>
  <si>
    <t>MUSCORIL 4 MG 20 CAP.</t>
  </si>
  <si>
    <t>MUSCORIL 8 MG 10 CAP.</t>
  </si>
  <si>
    <t>MUSFIXA 4 MG 2 ML 6 AMP.</t>
  </si>
  <si>
    <t>MUSKAZON 300/250 MG 20 TB.</t>
  </si>
  <si>
    <t>MX.%5 DEX.SUDA 1000 ML 1</t>
  </si>
  <si>
    <t>MX.%5 DEX.SUDA 500 ML 1</t>
  </si>
  <si>
    <t>MX.IZO.NACL.1000 ML 1</t>
  </si>
  <si>
    <t>MX.OLICLINOM N4 550 E 1000 ML</t>
  </si>
  <si>
    <t>MX.OLICLINOM N4 550 E 1500 ML</t>
  </si>
  <si>
    <t>8699844791742</t>
  </si>
  <si>
    <t>MYACİT 50 mg FLAKON</t>
  </si>
  <si>
    <t>MYCAMINE 100 MG 1 FLK.</t>
  </si>
  <si>
    <t>MYCAMINE 50 MG 1 FLK.</t>
  </si>
  <si>
    <t>MYCOBUTIN 150 MG 30 CAP.</t>
  </si>
  <si>
    <t>MYCOSPOR %1 10 GR KR.</t>
  </si>
  <si>
    <t>MYDFRIN %2.5 5 ML GOZ GTT *</t>
  </si>
  <si>
    <t>MYESED 20 MG 4 FTB.</t>
  </si>
  <si>
    <t>MYFORTIC 180 MG 120 TB.</t>
  </si>
  <si>
    <t>MYFORTIC 360 MG 120 TB.</t>
  </si>
  <si>
    <t>MYLERAN 2 MG 100 TB</t>
  </si>
  <si>
    <t>MYRALON 0.15/0.02 MG 21 TB.</t>
  </si>
  <si>
    <t>MYSOLINE 250 MG 30 TB.</t>
  </si>
  <si>
    <t>NAC 600 MG 20 EFF TB</t>
  </si>
  <si>
    <t>NAC 900 MG 20 EFF TB.</t>
  </si>
  <si>
    <t>NAC C 900/300 MG 30 EFF TB.</t>
  </si>
  <si>
    <t>NACOSEL 300 MG 3 ML 10 AMP.</t>
  </si>
  <si>
    <t>NADIXA %1 30 GR KR.</t>
  </si>
  <si>
    <t>NAFDERILEX %1 30 GR KR.</t>
  </si>
  <si>
    <t>NAGLID 120 MG 84 FTB.</t>
  </si>
  <si>
    <t>NANOGAM  2.5 GR 50 ML 1 FLK.</t>
  </si>
  <si>
    <t>NANOGAM  5 GR 100 ML 1 FLK.</t>
  </si>
  <si>
    <t>NANOGAM 10 GR 200 ML 1 FLK.</t>
  </si>
  <si>
    <t>NAPREN S 550 MG FORT 20 FTB</t>
  </si>
  <si>
    <t>NAPROSYN %10 50 GR JEL</t>
  </si>
  <si>
    <t>NAPROSYN 500 MG 10 SUPP</t>
  </si>
  <si>
    <t>NAPROSYN CR 750 MG 10 FTB</t>
  </si>
  <si>
    <t>NAPROSYN EC 250 MG 20  TB</t>
  </si>
  <si>
    <t>NAPROSYN EC 500 MG 20  TB</t>
  </si>
  <si>
    <t>NAPROSYN PLUS %10+5 50 GR JEL</t>
  </si>
  <si>
    <t>NARISAT 5/10MG 30 FTB</t>
  </si>
  <si>
    <t>NASOVINE 1 MG 10 ML SPR.</t>
  </si>
  <si>
    <t>NASOWELL 1+50 MG 10 ML SPR.</t>
  </si>
  <si>
    <t>NATRIXAM 1.5/10 MG 30 TB.</t>
  </si>
  <si>
    <t>NATRIXAM 1.5/5 MG 30 TB.</t>
  </si>
  <si>
    <t>NAUZEX 8 MG 4 ML 1 AMP.</t>
  </si>
  <si>
    <t>NAVELBINE 20 MG 1 CAP.</t>
  </si>
  <si>
    <t>NAVELBINE 30 MG 1 CAP.</t>
  </si>
  <si>
    <t>NAVELBINE 50 MG 5 ML 1 FLK.</t>
  </si>
  <si>
    <t>NAZETIN %0.14 10 ML NAS SPR.</t>
  </si>
  <si>
    <t>NAZOFIX 50 MCG 18 GR NAS SPR.</t>
  </si>
  <si>
    <t>NEBIDO 250 MG 4 ML 1 FLK.</t>
  </si>
  <si>
    <t>NEFOVIR 245 MG 30 FTB</t>
  </si>
  <si>
    <t>NENATAL 400 GR.</t>
  </si>
  <si>
    <t>NEO PENOTRAN 14 VAG. OVUL</t>
  </si>
  <si>
    <t>NEO PENOTRAN FORT 7 VAG. OVUL</t>
  </si>
  <si>
    <t>NEOCATE 400 GR.</t>
  </si>
  <si>
    <t>NEOCATE JUNIOR 400 GR.</t>
  </si>
  <si>
    <t>NEOCATE JUNIOR CILEK 400 GR.</t>
  </si>
  <si>
    <t>NEOCATE JUNIOR VANILYA 400 GR</t>
  </si>
  <si>
    <t>8697637691743</t>
  </si>
  <si>
    <t>NEOFLEKS %0.5 METRONİDAZOL I.V. 100 ML ÇÖZELTİ</t>
  </si>
  <si>
    <t>NEOGABA 25 MG 56 CAP **</t>
  </si>
  <si>
    <t>NEOGABA 75 MG 14 CAP **</t>
  </si>
  <si>
    <t>NEOGABA 75 MG 56 CAP **</t>
  </si>
  <si>
    <t>NEORECORMON 10000 IU 0.6 ML 6</t>
  </si>
  <si>
    <t>NEOSTIGMIN 0.5 MG 1 ML 6 AMP.</t>
  </si>
  <si>
    <t>NEPITIN 600 MG 50 FTB *</t>
  </si>
  <si>
    <t>NEPITIN 800 MG 50 FTB *</t>
  </si>
  <si>
    <t>NEPRO HP VANILYA 500 ML.</t>
  </si>
  <si>
    <t>NERISONA C %0.1+1 15 GR KR.</t>
  </si>
  <si>
    <t>NERUDA 300 MG 50 FTB *</t>
  </si>
  <si>
    <t>NERUDA 400 MG 50 FTB *</t>
  </si>
  <si>
    <t>NERUDA 600 MG 50 FTB *</t>
  </si>
  <si>
    <t>NERUDA 800 MG 50 FTB *</t>
  </si>
  <si>
    <t>NERVIUM 5 MG 50 TB. **</t>
  </si>
  <si>
    <t>NERVOGIL 1 MG 30 TB.</t>
  </si>
  <si>
    <t>NETFEN 200 MG 16 SR CAP.</t>
  </si>
  <si>
    <t>NETILCIN %0.3 5 ML GOZ GTT.</t>
  </si>
  <si>
    <t>NETIRA %0.3 5 ML GOZ GTT.</t>
  </si>
  <si>
    <t>NETIRA TEK DOZ GOZ GTT.</t>
  </si>
  <si>
    <t>NETROLEX 100 MG 150/1 ML ORAL</t>
  </si>
  <si>
    <t>NETROLEX 1000 MG 50 FTB</t>
  </si>
  <si>
    <t>NETROLEX 250 MG 50 FTB</t>
  </si>
  <si>
    <t>NETROLEX 500 MG 50 FTB</t>
  </si>
  <si>
    <t>NETROLEX XR 1000 MG 50 TB</t>
  </si>
  <si>
    <t>NETROLEX XR 500 MG 50 TB</t>
  </si>
  <si>
    <t>NETROLEX XR 750 MG 50 TB</t>
  </si>
  <si>
    <t>NEUCURIUM 50 MG 5 ML 5 AMP.</t>
  </si>
  <si>
    <t>NEULASTIM 6 MG 0.6 ML 1 ENJ.</t>
  </si>
  <si>
    <t>NEUPOGEN 30 MU/0.5 ML ENJ HAZ</t>
  </si>
  <si>
    <t>NEUPOGEN 48 MU/0.5 ML ENJ HAZ</t>
  </si>
  <si>
    <t>NEURONTIN 100 MG 20 CAP *</t>
  </si>
  <si>
    <t>NEURONTIN 300 MG 50 CAP *</t>
  </si>
  <si>
    <t>NEURONTIN 400 MG 50 CAP *</t>
  </si>
  <si>
    <t>NEURONTIN 600 MG 50 TB. *</t>
  </si>
  <si>
    <t>NEURONTIN 800 MG 50 TB. *</t>
  </si>
  <si>
    <t>NEVAKSON 1000 MG IM 1 FLK.</t>
  </si>
  <si>
    <t>NEVAKSON 500 MG IM 1 FLK.</t>
  </si>
  <si>
    <t>NEVANAC %0.1 5 ML GOZ GTT.</t>
  </si>
  <si>
    <t>NEVOFAM 40 MG 30 TB.</t>
  </si>
  <si>
    <t>NEVOFAM L 20 MG 2 AMP.</t>
  </si>
  <si>
    <t>8699578092818</t>
  </si>
  <si>
    <t>NEVOTEK 500 mg 7 FİLM TABLET</t>
  </si>
  <si>
    <t>NEVPARIN 25000 IU 5 ML 1 FLK.</t>
  </si>
  <si>
    <t>NEWCAL D3 1200 MG 45 EFF TB.</t>
  </si>
  <si>
    <t>NEXAVAR 200 MG 112 FTB</t>
  </si>
  <si>
    <t>NEXETIN 20 MG 28 CAP.</t>
  </si>
  <si>
    <t>NEXETIN 40 MG 28 CAP.</t>
  </si>
  <si>
    <t>NEXIUM 20 MG 14 TB.</t>
  </si>
  <si>
    <t>NEXIUM 20 MG 28 TB.</t>
  </si>
  <si>
    <t>NEXIUM 40 MG 14 TB.</t>
  </si>
  <si>
    <t>NEXIUM 40 MG 28 TB.</t>
  </si>
  <si>
    <t>NEXIVOL 10 MG 28 TB.</t>
  </si>
  <si>
    <t>NEXIVOL 5 MG 28 TB.</t>
  </si>
  <si>
    <t>NEXPLANON 68 MG 1 IMPLANT</t>
  </si>
  <si>
    <t>NEXSTEP 40 MG 28 TB.</t>
  </si>
  <si>
    <t>NIASCOR 1000 MG E.R 98 TB.</t>
  </si>
  <si>
    <t>NIASCOR 500 MG E.R 98 TB.</t>
  </si>
  <si>
    <t>NIBULEN %1 20 GR KR.</t>
  </si>
  <si>
    <t>NIBULEN %1 20 ML SOL.</t>
  </si>
  <si>
    <t>NIBULEN TIRNAK CILASI SETI</t>
  </si>
  <si>
    <t>NICORETTE BANT 10 MG 3.ADIM</t>
  </si>
  <si>
    <t>NICORETTE BANT 15 MG 2.ADIM</t>
  </si>
  <si>
    <t>NICORETTE BANT 25 MG 1.ADIM</t>
  </si>
  <si>
    <t>NICORETTE F.FRUIT 2 MG 30 SKZ</t>
  </si>
  <si>
    <t>NICORETTE F.FRUIT 4 MG 30 SKZ</t>
  </si>
  <si>
    <t>NICORETTE F.MINT 2 MG 105 SKZ</t>
  </si>
  <si>
    <t>NICORETTE F.MINT 2 MG 30 SKZ</t>
  </si>
  <si>
    <t>NICORETTE F.MINT 4 MG 30 SKZ</t>
  </si>
  <si>
    <t>NICOTINELL 2 MG 24 NANELI SKZ</t>
  </si>
  <si>
    <t>NICOTINELL 2 MG 96 NANELI SKZ</t>
  </si>
  <si>
    <t>NICOTINELL TTS 10 (3)</t>
  </si>
  <si>
    <t>NICOTINELL TTS 20 (2)</t>
  </si>
  <si>
    <t>NICOTINELL TTS 30 (1)</t>
  </si>
  <si>
    <t>NIDAZOL 200 MG 100 ML SUSP.</t>
  </si>
  <si>
    <t>NIDAZOL 250 MG 20 FTB.</t>
  </si>
  <si>
    <t>NIDAZOL 500 MG 20 FTB.</t>
  </si>
  <si>
    <t>NIDAZOL M 14 VAG. OVUL</t>
  </si>
  <si>
    <t>NIDICARD 10 MG 30 CAP.</t>
  </si>
  <si>
    <t>8699874080403</t>
  </si>
  <si>
    <t>NIMBEX 10 mg/5 ml ENJEKSİYONLUK ÇÖZELTİ 5 AMPUL</t>
  </si>
  <si>
    <t>8699874080434</t>
  </si>
  <si>
    <t>NIMBEX 20 mg/10 ml ENJEKSİYONLUK ÇÖZELTİ 5 AMPUL</t>
  </si>
  <si>
    <t>8699874080410</t>
  </si>
  <si>
    <t>NIMBEX 5 mg/2.5 ml ENJEKSİYONLUK ÇÖZELTİ 5 AMPUL</t>
  </si>
  <si>
    <t>NIMEKSIL %1 30 GR JEL</t>
  </si>
  <si>
    <t>NIMELID %1 30 GR JEL</t>
  </si>
  <si>
    <t>NIMELID 100 MG 15 TB.</t>
  </si>
  <si>
    <t>NIMES %1 30 GR JEL</t>
  </si>
  <si>
    <t>NIMES 100 MG 15 TB.</t>
  </si>
  <si>
    <t>NIMES COMBO %1+0.25 50 GR JEL</t>
  </si>
  <si>
    <t>NIMES COMBO 100/8 MG 14 TB.</t>
  </si>
  <si>
    <t>NIMOKAIN %1+5 50 GR JEL</t>
  </si>
  <si>
    <t>NIMOTOP 10 MG 50 ML 1 FLK.</t>
  </si>
  <si>
    <t>NIMOTOP 30 MG 30 TB.</t>
  </si>
  <si>
    <t>NINAX 25 MG 10 ML 1 AMP.</t>
  </si>
  <si>
    <t>NINLARO 2.3 MG 3 CAP.</t>
  </si>
  <si>
    <t>NINLARO 3 MG 3 CAP.</t>
  </si>
  <si>
    <t>NINLARO 4 MG 3 CAP.</t>
  </si>
  <si>
    <t>NIOSTA 100.000 IU 48 ML SUSP.</t>
  </si>
  <si>
    <t>NIPIDOL 10 MG 20 TB.</t>
  </si>
  <si>
    <t>NIPIDOL 10 MG 30 TB.</t>
  </si>
  <si>
    <t>NIPIDOL 5 MG 20 TB.</t>
  </si>
  <si>
    <t>NIPIDOL 5 MG 30 TB.</t>
  </si>
  <si>
    <t>NITROCIN %0.2 56 GR POM.</t>
  </si>
  <si>
    <t>NITRODERM TTS 10X30</t>
  </si>
  <si>
    <t>NITRODERM TTS 10X5</t>
  </si>
  <si>
    <t>NITRODERM TTS 5X30</t>
  </si>
  <si>
    <t>NITRODERM TTS 5X5</t>
  </si>
  <si>
    <t>NIZORAL %2 30 GR KR.</t>
  </si>
  <si>
    <t>NOACNE %3 20 GR POM.</t>
  </si>
  <si>
    <t>NOLVADEX 10 MG 30 FTB.</t>
  </si>
  <si>
    <t>NOOTROPIL 1 GR 5 ML 12 AMP.</t>
  </si>
  <si>
    <t>NOOTROPIL 200 MG 200 ML SRP.</t>
  </si>
  <si>
    <t>NOOTROPIL 800 MG 30 FTB.</t>
  </si>
  <si>
    <t>NOPOT 880 MG 15 GR 20 GRN.</t>
  </si>
  <si>
    <t>8697637750068</t>
  </si>
  <si>
    <t>NORADRENALİN I.V. 4MG/4ML 10AMPL TURKTIPSAN</t>
  </si>
  <si>
    <t>NORDITROPIN NORDIF 15 MG1 PEN</t>
  </si>
  <si>
    <t>NORDITROPIN NORDIF 5 MG 1 PEN</t>
  </si>
  <si>
    <t>NORLEVO 1.5 MG 1 TB.</t>
  </si>
  <si>
    <t>NORLOPIN 10 MG 30 TB.</t>
  </si>
  <si>
    <t>NORLOPIN 5 MG 20 TB.</t>
  </si>
  <si>
    <t>NORM-ASIDOZ  1000 MG GAST REZ</t>
  </si>
  <si>
    <t>NORMATIN %0.5 5 ML GOZ GTT.</t>
  </si>
  <si>
    <t>NORMOPRES 10 MG 30 TB.</t>
  </si>
  <si>
    <t>NORMOPRES 5 MG 30 TB.</t>
  </si>
  <si>
    <t>NORODOL 10 MG 2 ML 5 AMP.</t>
  </si>
  <si>
    <t>NORODOL 10 MG 30 TB.</t>
  </si>
  <si>
    <t>NORODOL 2 MG 20 ML ORAL GTT.</t>
  </si>
  <si>
    <t>NORODOL 20 MG 20 TB.</t>
  </si>
  <si>
    <t>NORODOL 5 MG 1 ML 5 AMP.</t>
  </si>
  <si>
    <t>NORODOL 5 MG 50 TB.</t>
  </si>
  <si>
    <t>NORODOL DEK 50 MG 1 ML 1 AMP.</t>
  </si>
  <si>
    <t>NOROFREN 2 MG 30 TB.</t>
  </si>
  <si>
    <t>NOROGRIZOVIM 1000 MG 5 AMP.</t>
  </si>
  <si>
    <t>NORPROLAC 75 MG 30 TB.</t>
  </si>
  <si>
    <t>NORSOL FORT %1 G/K GTT.</t>
  </si>
  <si>
    <t>NORTAN 100 MG 28 FTB.</t>
  </si>
  <si>
    <t>NORTAN 50 MG 28 FTB.</t>
  </si>
  <si>
    <t>NORVASC 10 MG 30 TB.</t>
  </si>
  <si>
    <t>NORVASC 10 MG 90 TB.</t>
  </si>
  <si>
    <t>NORVASC 5 MG 30 TB.</t>
  </si>
  <si>
    <t>NORVASC 5 MG 90 TB.</t>
  </si>
  <si>
    <t>NORVIR 100 MG 30 FTB.</t>
  </si>
  <si>
    <t>NOSKAR %1+10+0.01 100 GR JEL</t>
  </si>
  <si>
    <t>NOSPAZM 40 MG 30 FTB.</t>
  </si>
  <si>
    <t>NOTTA 10 MG 28 FTB.</t>
  </si>
  <si>
    <t>NOTTA 4 MG 28 CIGN TB.</t>
  </si>
  <si>
    <t>NOTTA 4 MG 28 PED. SASE</t>
  </si>
  <si>
    <t>NOTTA 5 MG 28 CIGN TB.</t>
  </si>
  <si>
    <t>NOTUSS 7.5 MG 100 ML SRP.</t>
  </si>
  <si>
    <t>NOTUSS SR 50 MG 20 TB</t>
  </si>
  <si>
    <t>NOVALGIN %5 10 ML GTT.</t>
  </si>
  <si>
    <t>NOVALGIN %5 100 ML SRP.</t>
  </si>
  <si>
    <t>NOVALGIN 1 GR 2 ML 10 AMP.</t>
  </si>
  <si>
    <t>NOVALGIN 500 MG 20 TB.</t>
  </si>
  <si>
    <t>NOVAQUA TEK DOZ 30 FLK.</t>
  </si>
  <si>
    <t>NOVASOURCE DIABET 250 ML.</t>
  </si>
  <si>
    <t>NOVOEIGHT 1000 IU 1 FLK.</t>
  </si>
  <si>
    <t>NOVOEIGHT 1500 IU 1 FLK.</t>
  </si>
  <si>
    <t>NOVOEIGHT 2000 IU 1 FLK.</t>
  </si>
  <si>
    <t>NOVOEIGHT 250 IU 1 FLK.</t>
  </si>
  <si>
    <t>NOVOEIGHT 500 IU 1 FLK.</t>
  </si>
  <si>
    <t>NOVOPYRINE 1 GR 2 ML 10 AMP.</t>
  </si>
  <si>
    <t>NOVORAPID 100 IU 10 ML 1 FLK.</t>
  </si>
  <si>
    <t>NOVORAPID 100 IU 3 ML 5 PEN</t>
  </si>
  <si>
    <t>NOVOSEF 1000 MG IM 1 FLK.</t>
  </si>
  <si>
    <t>NOVOSEF 1000 MG IV 1 FLK.</t>
  </si>
  <si>
    <t>NOVOSEF 500 MG IM 1 FLK.</t>
  </si>
  <si>
    <t>NOVOSEF 500 MG IV 1 FLK.</t>
  </si>
  <si>
    <t>NOXAFIL 100 MG 24 TB.</t>
  </si>
  <si>
    <t>NOXAFIL 300 MG 16.7 ML 1 FLK.</t>
  </si>
  <si>
    <t>NOXAFIL 40 MG 105 ML SUSP.</t>
  </si>
  <si>
    <t>NTCAIN 100 MG 10 ML 50 AMP.</t>
  </si>
  <si>
    <t>NUCALA 100 MG 10 ML 1 FLK.</t>
  </si>
  <si>
    <t>NUROFEN 200 MG 20 TB</t>
  </si>
  <si>
    <t>NUROFEN COLD &amp; FLU 24 TB.</t>
  </si>
  <si>
    <t>NUTRI ZINC 15 MG 100 ML SRP.</t>
  </si>
  <si>
    <t>NUTRINI 200 ML.</t>
  </si>
  <si>
    <t>NUTRINI ENERGY 200 ML.</t>
  </si>
  <si>
    <t>NUTRINI PEPTISORB 500 ML.</t>
  </si>
  <si>
    <t>NUTRISON ADV CUBISON 500 ML.</t>
  </si>
  <si>
    <t>NUTRISON ADVANCED PEPTISORB</t>
  </si>
  <si>
    <t>NUTRISON ENERG 500 ML.</t>
  </si>
  <si>
    <t>NUTRISON MULTI FIBRE 500 ML.</t>
  </si>
  <si>
    <t>NUTRISON PROTEIN PLUS 500 ML.</t>
  </si>
  <si>
    <t>NUTRISON STANDART 500 ML.</t>
  </si>
  <si>
    <t>NUTRIVIGOR KAKAO 220 ML.</t>
  </si>
  <si>
    <t>NUTRIVIGOR MUZ 220 ML.</t>
  </si>
  <si>
    <t>NUTRIVIGOR VANILYA 220 ML.</t>
  </si>
  <si>
    <t>NUVARING 0.120 MG 1 VAJ</t>
  </si>
  <si>
    <t>NUVIGIL 150 MG 30 TB.</t>
  </si>
  <si>
    <t>NUVIGIL 150 MG 7 TB</t>
  </si>
  <si>
    <t>NUVIGIL 250 MG 30 TB.</t>
  </si>
  <si>
    <t>NYZANT 300 MG 28 CAP.</t>
  </si>
  <si>
    <t>OBRAMIS %0.3 5 ML GOZ GTT.</t>
  </si>
  <si>
    <t>OCERAL %1 10 GR KR.</t>
  </si>
  <si>
    <t>OCERAL %1 20 ML SPR.</t>
  </si>
  <si>
    <t>OCLADRA 2 MG 5 ML 1 FLK.</t>
  </si>
  <si>
    <t>OCREVUS 300 MG 10 ML 1 FLK.</t>
  </si>
  <si>
    <t>OCTAGAM  5 GR 100 ML 1 FLK.</t>
  </si>
  <si>
    <t>OCTAGAM 10 GR 200 ML 1 FLK.</t>
  </si>
  <si>
    <t>OCTOSTIM 15 MG 1 AMP</t>
  </si>
  <si>
    <t>OFERTA  5 MG 28 TB.</t>
  </si>
  <si>
    <t>OFERTA  7.5 MG 28 TB.</t>
  </si>
  <si>
    <t>OFERTA 10 MG 28 TB.</t>
  </si>
  <si>
    <t>OFEV 100 MG 60 CAP.</t>
  </si>
  <si>
    <t>OFEV 150 MG 60 CAP.</t>
  </si>
  <si>
    <t>OFNOL %0.1 5 ML GOZ GTT.</t>
  </si>
  <si>
    <t>OFNOL-S %0.2 2.5 ML GOZ GTT.</t>
  </si>
  <si>
    <t>OFTAMYCIN %0.3 5 ML GOZ GTT.</t>
  </si>
  <si>
    <t>OFTOMIX %0.5+2 5 ML GOZ GTT.</t>
  </si>
  <si>
    <t>OKSABRON 50 MG 120 ML SRP.</t>
  </si>
  <si>
    <t>OKSAMEN 20 MG 10 TB.</t>
  </si>
  <si>
    <t>OKSAMEN-L 20 MG 2 ML 1  FLK.</t>
  </si>
  <si>
    <t>OKSAPAR 10000 IU 1 ML 2 ENJ.</t>
  </si>
  <si>
    <t>OKSAPAR 2000 IU 0.2 ML 2 ENJ.</t>
  </si>
  <si>
    <t>OKSAPAR 6000 IU 0.6 ML 2 ENJ.</t>
  </si>
  <si>
    <t>OKSAPAR 8000 IU 0.8 ML 2 ENJ.</t>
  </si>
  <si>
    <t>8680400770998</t>
  </si>
  <si>
    <t>OKSITOSEL 5 IU/mL I.M./I.V. 3 ENJEKSİYONLUK ÇÖZELTİ</t>
  </si>
  <si>
    <t>OLADIN %0.1 5 ML GOZ GTT.</t>
  </si>
  <si>
    <t>OLAXINN  5 MG 28 TB</t>
  </si>
  <si>
    <t>OLAXINN 10 MG 28 TB</t>
  </si>
  <si>
    <t>OLAXINN 15 MG 28 TB</t>
  </si>
  <si>
    <t>OLAXINN 20 MG 28 TB</t>
  </si>
  <si>
    <t>OLEDRO HOT 12 POS</t>
  </si>
  <si>
    <t>OLEDRO PED SRP.</t>
  </si>
  <si>
    <t>OLFREX 10 MG 28 FTB.</t>
  </si>
  <si>
    <t>OLFREX 15 MG 28 FTB</t>
  </si>
  <si>
    <t>OLFREX 2.5 MG 28 FTB</t>
  </si>
  <si>
    <t>OLFREX 20 MG 28 FTB</t>
  </si>
  <si>
    <t>OLFREX 5 MG 28 FTB</t>
  </si>
  <si>
    <t>OLFREX EASYTAB 10 MG 28 TB.</t>
  </si>
  <si>
    <t>OLFREX EASYTAB 15 MG 28 TB.</t>
  </si>
  <si>
    <t>OLFREX EASYTAB 2.5 MG 28 TB.</t>
  </si>
  <si>
    <t>OLFREX EASYTAB 20 MG 28 TB.</t>
  </si>
  <si>
    <t>OLFREX EASYTAB 5 MG 28 TB.</t>
  </si>
  <si>
    <t>OLIGOFER 40 MG ORAL 10 FLK.</t>
  </si>
  <si>
    <t>OLLAFAX 10 MG 28 FTB.</t>
  </si>
  <si>
    <t>OLMEDAY PLUS 20/12.5 28 FTB.</t>
  </si>
  <si>
    <t>OLMETEC 10 MG 28 FTB.</t>
  </si>
  <si>
    <t>OLMETEC 20 MG 28 FTB.</t>
  </si>
  <si>
    <t>OLMETEC 40 MG 28 FTB.</t>
  </si>
  <si>
    <t>OLMETEC PLUS 20/25 MG 28 FTB.</t>
  </si>
  <si>
    <t>OLMETEC PLUS 40/25 MG 28 FTB.</t>
  </si>
  <si>
    <t>OLMYSAR 20 MG 28 FTB.</t>
  </si>
  <si>
    <t>OLNEGIS 10 MG 28 FTB</t>
  </si>
  <si>
    <t>OLNEGIS 15 MG 28 FTB</t>
  </si>
  <si>
    <t>OLNEGIS 20 MG 28 FTB</t>
  </si>
  <si>
    <t>OLNEGIS 5 MG 28 FTB</t>
  </si>
  <si>
    <t>OLNEGIS 7.5 MG 28 FTB</t>
  </si>
  <si>
    <t>OLY %1 20 ML SPR.</t>
  </si>
  <si>
    <t>OLY %1 30 GR KR.</t>
  </si>
  <si>
    <t>OLY PLUS %1+0.1 15 GR KR.</t>
  </si>
  <si>
    <t>OMEGAVEN 100 ML.</t>
  </si>
  <si>
    <t>OMEPRAZID 20 MG 14 CAP.</t>
  </si>
  <si>
    <t>OMEPROL 20 MG 28 CAP.</t>
  </si>
  <si>
    <t>OMESEK 20 MG 14 CAP.</t>
  </si>
  <si>
    <t>OMESEK 20 MG 28 CAP.</t>
  </si>
  <si>
    <t>OMNIPAQUE 300 MG 50 ML 1 FLK.</t>
  </si>
  <si>
    <t>OMNIPAQUE 350 MG 50 ML 1 FLK.</t>
  </si>
  <si>
    <t>OMNIPOL 300 MG 100 ML 1 FLK.</t>
  </si>
  <si>
    <t>OMNIPOL 300 MG 50 ML 1 FLK.</t>
  </si>
  <si>
    <t>OMNIPOL 350 MG 100 ML 1 FLK.</t>
  </si>
  <si>
    <t>OMNISCAN 287 MG 15 ML 1 FLK.</t>
  </si>
  <si>
    <t>OMNISCAN 287 MG 20 ML 1 FLK.</t>
  </si>
  <si>
    <t>OMNITROPE 5 MG 15 IU 1 KARTUS</t>
  </si>
  <si>
    <t>ONADRON %0.1 G/K 5 ML GTT.</t>
  </si>
  <si>
    <t>ONADRON 8 MG 2 ML 1 AMP.</t>
  </si>
  <si>
    <t>ONCEAIR 10 MG 28 FTB.</t>
  </si>
  <si>
    <t>ONCEAIR 4 MG 28 FTB.</t>
  </si>
  <si>
    <t>ONCEAIR 4 MG 28 PED GRN.</t>
  </si>
  <si>
    <t>ONCEAIR 5 MG 28 FTB.</t>
  </si>
  <si>
    <t>ONCOTICE 1 AMP</t>
  </si>
  <si>
    <t>ONEPTUS 24/26 MG 28 FTB.</t>
  </si>
  <si>
    <t>ONEPTUS 49/51 MG 56 FTB.</t>
  </si>
  <si>
    <t>ONEPTUS 97/103 MG 56 FTB.</t>
  </si>
  <si>
    <t>ONGLYZA 5 MG 28 FTB.</t>
  </si>
  <si>
    <t>ONIYONIX 300 MG 100 ML 1 FLK.</t>
  </si>
  <si>
    <t>ONIYONIX 300 MG 50 ML 1 FLK.</t>
  </si>
  <si>
    <t>ONIYONIX 350 MG 100 ML 1 FLK.</t>
  </si>
  <si>
    <t>ONIYONIX 350 MG 200 ML 1 FLK.</t>
  </si>
  <si>
    <t>ONIYONIX 350 MG 50 ML 1 FLK.</t>
  </si>
  <si>
    <t>ONZYD 4 MG 10 TB.</t>
  </si>
  <si>
    <t>ONZYD 8 MG 10 TB.</t>
  </si>
  <si>
    <t>OPAGIS 30 MG 28 CAP.</t>
  </si>
  <si>
    <t>OPAXOL 300 MG  100 ML 1 FLK.</t>
  </si>
  <si>
    <t>OPAXOL 300 MG 50 ML 1 FLK.</t>
  </si>
  <si>
    <t>OPAXOL 350 MG 100 ML 1 FLK.</t>
  </si>
  <si>
    <t>OPAXOL 350 MG 200 ML 1 FLK.</t>
  </si>
  <si>
    <t>OPAXOL 350 MG 50 ML 1 FLK.</t>
  </si>
  <si>
    <t>OPDIVO 100 MG 10 ML 1 FLK.</t>
  </si>
  <si>
    <t>OPDIVO 40 MG 4 ML 1 FLK.</t>
  </si>
  <si>
    <t>OPEMIN 1200 MG 40 FTB</t>
  </si>
  <si>
    <t>OPEMIN 800 MG 30 FTB</t>
  </si>
  <si>
    <t>OPILOX TIRNAK CILASI SETI</t>
  </si>
  <si>
    <t>OPIREL 75 MG 28 FTB.</t>
  </si>
  <si>
    <t>OPSUMIT 10 MG 28 FTB.</t>
  </si>
  <si>
    <t>OPTIMARK 15 ML FLK.</t>
  </si>
  <si>
    <t>OPTIMARK 20 ML FLK.</t>
  </si>
  <si>
    <t>OPTIMAVEN 50 GR 240 ML SUSP.</t>
  </si>
  <si>
    <t>OPTIRAY 300 MG 100 ML 1 FLK.</t>
  </si>
  <si>
    <t>OPTIRAY 300 MG 50 ML 1 FLK.</t>
  </si>
  <si>
    <t>OPTIRAY 350 MG 100 ML 1 ENJ.</t>
  </si>
  <si>
    <t>OPTIRAY 350 MG 200 ML 1 FLK.</t>
  </si>
  <si>
    <t>OPTIRAY 350 MG 50 ML 1 FLK.</t>
  </si>
  <si>
    <t>ORALAC 670 MG 300 ML SRP.</t>
  </si>
  <si>
    <t>ORALDIN 50/10 MG 10 ML SOL.</t>
  </si>
  <si>
    <t>ORCAFIL 20 MG 4 FTB.</t>
  </si>
  <si>
    <t>ORCAFIL 5 MG 28 FTB.</t>
  </si>
  <si>
    <t>ORENCIA 250 MG 1 FLK.</t>
  </si>
  <si>
    <t>ORENCIA SC 125 MG SUBK 1 FLK</t>
  </si>
  <si>
    <t>ORGAMETRIL 5 MG 30 TB.</t>
  </si>
  <si>
    <t>ORNISID 250 MG 20 FTB.</t>
  </si>
  <si>
    <t>ORNISID 500 MG 3 VAG TB.</t>
  </si>
  <si>
    <t>ORNISID FORT 500 MG 10 FTB.</t>
  </si>
  <si>
    <t>ORNITOP 500 MG 10 FTB.</t>
  </si>
  <si>
    <t>OROFEN %5 50 GR KR</t>
  </si>
  <si>
    <t>OROFERON 80 MG 30 DEPO FTB.</t>
  </si>
  <si>
    <t>OROHEKS PLS %0.15+0.12 200 ML</t>
  </si>
  <si>
    <t>ORYVA  5 MG 28 TB</t>
  </si>
  <si>
    <t>ORYVA 10 MG 28 TB.</t>
  </si>
  <si>
    <t>ORYVA 15 MG 28 TB.</t>
  </si>
  <si>
    <t>ORYVA 30 MG 28 TB.</t>
  </si>
  <si>
    <t>OSEFLU 30 MG 10 SASE</t>
  </si>
  <si>
    <t>OSEFLU 75 MG 10 CAP.</t>
  </si>
  <si>
    <t>OSETRON 4 MG 2 ML 1 AMP.</t>
  </si>
  <si>
    <t>OSETRON 8 MG 4 ML 1 AMP.</t>
  </si>
  <si>
    <t>OSIBAN 6 MG 6 ML 1 FLK.</t>
  </si>
  <si>
    <t>OSIREC 4 GR 60 ML 7 TUP</t>
  </si>
  <si>
    <t>OSMOLAK 667 MG 250 ML SRP.</t>
  </si>
  <si>
    <t>OSMOLITE 500 ML.</t>
  </si>
  <si>
    <t>OSSI 4 MG 5 ML 1 FLK.</t>
  </si>
  <si>
    <t>OSTENIL 20 MG 1 AMP.</t>
  </si>
  <si>
    <t>OSTEOFLEX 90 TB.</t>
  </si>
  <si>
    <t>OSTEZOLEN 4 MG 5 ML 1 FLK.</t>
  </si>
  <si>
    <t>OSTRIOL 1 MCG 1 ML 25 AMP.</t>
  </si>
  <si>
    <t>OSTRIOL 2 MCG 1 ML 25 AMP.</t>
  </si>
  <si>
    <t>OTIPAX %1 15 ML KULAK GTT.</t>
  </si>
  <si>
    <t>OTRIVIN 1 MG 10 ML DOZ AYARLI</t>
  </si>
  <si>
    <t>OVIRPROXIL 245 MG 30 FTB</t>
  </si>
  <si>
    <t>OXATU-S 100 MG 20 ML 1 FLK.</t>
  </si>
  <si>
    <t>OXATU-S 50 MG 10 ML FLK.</t>
  </si>
  <si>
    <t>OXEPA 500 ML.</t>
  </si>
  <si>
    <t>OXEZOLE %1 10 GR KR.</t>
  </si>
  <si>
    <t>OXEZOLE %1 20 ML SPR.</t>
  </si>
  <si>
    <t>OXFET 180 MG 30 FTB.</t>
  </si>
  <si>
    <t>OXFET 360 MG 30 FTB.</t>
  </si>
  <si>
    <t>OXFET 90 MG 30 FTB.</t>
  </si>
  <si>
    <t>OXIMIN 25 G JEL</t>
  </si>
  <si>
    <t>OXOBEST 50 MG 120 ML SRP.</t>
  </si>
  <si>
    <t>OXOFEN 2 MG 150 ML SRP.</t>
  </si>
  <si>
    <t>OXOPANE 10 MG 56 CAP ***</t>
  </si>
  <si>
    <t>OXOPANE 20 MG 56 CAP ***</t>
  </si>
  <si>
    <t>OXOPANE 5 MG 56 CAP ***</t>
  </si>
  <si>
    <t>OXYNAZ %0.5 10 ML SPR.</t>
  </si>
  <si>
    <t>OZAPRIN 10 MG 28 FTB</t>
  </si>
  <si>
    <t>OZAPRIN 20 MG 28 FTB</t>
  </si>
  <si>
    <t>OZAPRIN 5 MG 28 FTB</t>
  </si>
  <si>
    <t>OZAPRIN RAPID 10 MG 28 TB</t>
  </si>
  <si>
    <t>OZAPRIN RAPID 15 MG 28 TB</t>
  </si>
  <si>
    <t>OZAPRIN RAPID 20 MG 28 TB</t>
  </si>
  <si>
    <t>OZAPRIN RAPID 5 MG 28 TB</t>
  </si>
  <si>
    <t>OZURDEX 0.7 MG INTR. IMPLANT.</t>
  </si>
  <si>
    <t>PABAL 100 MCG 1 AMP.</t>
  </si>
  <si>
    <t>PAHTAFIL 20 MG 60 FTB.</t>
  </si>
  <si>
    <t>PAINOUT ICE %1 100 ML SPR.</t>
  </si>
  <si>
    <t>PALIGIS 3 MG 28 TB.</t>
  </si>
  <si>
    <t>PALIGIS 6 MG 28 TB.</t>
  </si>
  <si>
    <t>PALIGIS 9 MG 28 TB.</t>
  </si>
  <si>
    <t>PALLADA %0.1 5 ML GOZ GTT.</t>
  </si>
  <si>
    <t>PALLADA %0.2 2.5 ML GOZ GTT.</t>
  </si>
  <si>
    <t>PALODIN  250 MCG 5 ML 1 FLK.</t>
  </si>
  <si>
    <t>PALOJECT 250 MCG 5 ML 1 AMP.</t>
  </si>
  <si>
    <t>PAMIDRIA 90 MG 10 ML 1 FLK.</t>
  </si>
  <si>
    <t>PANADOL 500 MG 24 FTB.</t>
  </si>
  <si>
    <t>PANADOL EXT 500/65 MG 24 FTB.</t>
  </si>
  <si>
    <t>PANADOL MIGRESTOP 24 FTB.</t>
  </si>
  <si>
    <t>PANDEV 20 MG 28 TB.</t>
  </si>
  <si>
    <t>PANDEV 40 MG 28 TB.</t>
  </si>
  <si>
    <t>PANOCER 40 MG 14 TB.</t>
  </si>
  <si>
    <t>PANOCER 40 MG 28 TB.</t>
  </si>
  <si>
    <t>PANOLIMUS 0.5 MG 50 CAP.</t>
  </si>
  <si>
    <t>PANOLIMUS 1 MG 50 CAP.</t>
  </si>
  <si>
    <t>PANREF 40 MG 14 TB.</t>
  </si>
  <si>
    <t>PANREF 40 MG 28 TB.</t>
  </si>
  <si>
    <t>PANTACTIVE 40 MG 28 TB.</t>
  </si>
  <si>
    <t>PANTENOL %5 30 GR KR.</t>
  </si>
  <si>
    <t>PANTENOL %5 30 GR POM.</t>
  </si>
  <si>
    <t>PANTENOL PLUS KR.</t>
  </si>
  <si>
    <t>PANTHEC 20 MG 28 TB.</t>
  </si>
  <si>
    <t>PANTHEC 40 MG 14 TB.</t>
  </si>
  <si>
    <t>PANTHEC 40 MG 28 TB.</t>
  </si>
  <si>
    <t>PANTIKOR 400 MG 30 FTB</t>
  </si>
  <si>
    <t>PANTO 20 MG 28 TB.</t>
  </si>
  <si>
    <t>PANTO 40 MG 14 TB.</t>
  </si>
  <si>
    <t>PANTO 40 MG 28 TB.</t>
  </si>
  <si>
    <t>PANTPAS 40 MG 1 FLK.</t>
  </si>
  <si>
    <t>PANTPAS 40 MG 14 TB.</t>
  </si>
  <si>
    <t>PANTPAS 40 MG 30 TB.</t>
  </si>
  <si>
    <t>PAPAVERIN 0.05 10 AMP.(GAL)</t>
  </si>
  <si>
    <t>PAPAVERIN 0.06 10 AMP.(GAL)</t>
  </si>
  <si>
    <t>8699606694649</t>
  </si>
  <si>
    <t>PARACEROL I.V.10 mg/ml İNFÜZYON İÇİN ÇÖZELTİ İÇEREN FLAKON 10 mg/ml</t>
  </si>
  <si>
    <t>PARAFLEX 250 MG 20 TB.</t>
  </si>
  <si>
    <t>PARAFON 300/250 MG 20 TB.</t>
  </si>
  <si>
    <t>PARAMIDON 500/30 MG 30 TB</t>
  </si>
  <si>
    <t>PARANOX 120/15 MG 10 SUPP.</t>
  </si>
  <si>
    <t>PARANOX S 120 MG 10 SUPP.</t>
  </si>
  <si>
    <t>PARANOX TRIP 250/50/250 MG 20</t>
  </si>
  <si>
    <t>PAREGLIN 1/500 MG 90 FTB.</t>
  </si>
  <si>
    <t>PAREGLIN 2/500 MG 90 FTB.</t>
  </si>
  <si>
    <t>PARGICYL 20 MG 2 ML 5 AMP.</t>
  </si>
  <si>
    <t>PARGICYL 50 MG 5 ML 5 AMP.</t>
  </si>
  <si>
    <t>PARICAL 10 MCG 2 ML 5 AMP.</t>
  </si>
  <si>
    <t>PARICAL 2 MCG 1 ML 5 AMP.</t>
  </si>
  <si>
    <t>PARICAL 5 MCG 1 ML 5 AMP.</t>
  </si>
  <si>
    <t>PARICAVER 10 MCG 2 ML 5 AMP.</t>
  </si>
  <si>
    <t>PARICAVER 5 MCG 1 ML 5 AMP.</t>
  </si>
  <si>
    <t>PARIDEV 10 MCG 2 ML 5 AMP.</t>
  </si>
  <si>
    <t>PARIDEV 5 MCG 1 ML 5 AMP.</t>
  </si>
  <si>
    <t>PARIET 20 MG 28 TB.</t>
  </si>
  <si>
    <t>PARIGEN 10 MCG 2 ML 5 AMP.</t>
  </si>
  <si>
    <t>PARIGEN 5 MCG 1  ML 5 AMP.</t>
  </si>
  <si>
    <t>PARIQUEL 10 MCG 2 ML 5 AMP.</t>
  </si>
  <si>
    <t>PARIQUEL 5 MCG 1 ML 5 AMP.</t>
  </si>
  <si>
    <t>PARISITOL 10 MCG 2 ML 5 AMP.</t>
  </si>
  <si>
    <t>PARISITOL 5 MCG 1 ML 5 AMP.</t>
  </si>
  <si>
    <t>PARITOLIN 10 MCG 2 ML 5 AMP.</t>
  </si>
  <si>
    <t>PARITOLIN 5 MCG 1 ML 5 AMP.</t>
  </si>
  <si>
    <t>PARKIPEX 0.250 MG 100 TB.</t>
  </si>
  <si>
    <t>PARKIPEX 1 MG 100 TB.</t>
  </si>
  <si>
    <t>PARKIPEX ER 0.375 MG  30 TB.</t>
  </si>
  <si>
    <t>PARKIPEX ER 0.75 MG 30 TB.</t>
  </si>
  <si>
    <t>PARKIPEX ER 1.5 MG 30 TB.</t>
  </si>
  <si>
    <t>PARKIPEX ER 2.25 MG 30 TB.</t>
  </si>
  <si>
    <t>PARKIPEX ER 3 MG 30 TB</t>
  </si>
  <si>
    <t>PARKIPEX ER 3.75 MG 30 TB.</t>
  </si>
  <si>
    <t>PARKIPEX ER 4.5 MG 30 TB.</t>
  </si>
  <si>
    <t>PARKOFF 20 MG 2 ML 5 AMP.</t>
  </si>
  <si>
    <t>PARKOFF 50 MG 2 ML 5 AMP.</t>
  </si>
  <si>
    <t>PARKYN 0.250 MG 100 TB.</t>
  </si>
  <si>
    <t>PARKYN 1 MG 100 TB.</t>
  </si>
  <si>
    <t>PARKYN ER 0.375 MG 30 TB.</t>
  </si>
  <si>
    <t>PARKYN ER 0.75 MG 30 TB.</t>
  </si>
  <si>
    <t>PARKYN ER 1.5 MG 30 TB.</t>
  </si>
  <si>
    <t>PARKYN ER 2.25 MG 30 TB.</t>
  </si>
  <si>
    <t>PARKYN ER 3 MG 30 TB.</t>
  </si>
  <si>
    <t>PARKYN ER 3.75 MG 30 TB</t>
  </si>
  <si>
    <t>PARKYN ER 4.5 MG 30 TB</t>
  </si>
  <si>
    <t>PARLIN 1 MG 30 TB.</t>
  </si>
  <si>
    <t>PARLODEL 2.5 MG 30 TB.</t>
  </si>
  <si>
    <t>8680400770943</t>
  </si>
  <si>
    <t>PAROKAN 10 mg/mL 12 INFUZYONLUK ÇÖZELTİ</t>
  </si>
  <si>
    <t>PAROL 10 MG 12 FLK.</t>
  </si>
  <si>
    <t>PAROL 120 MG 150 ML SUSP.</t>
  </si>
  <si>
    <t>PAROL 500 MG 20 TB.</t>
  </si>
  <si>
    <t>PAROL 500 MG 30 TB.</t>
  </si>
  <si>
    <t>PASSEAR 45,52 MG+ 11,38 MG 15</t>
  </si>
  <si>
    <t>PATANOL %0.1 5 ML GOZ GTT.</t>
  </si>
  <si>
    <t>PATRIL 20 MG 14 TB.</t>
  </si>
  <si>
    <t>PATRIL 20 MG 28 TB.</t>
  </si>
  <si>
    <t>PATYCA 600 MG 50 FTB *</t>
  </si>
  <si>
    <t>PATYCA 800 MG 50 FTB *</t>
  </si>
  <si>
    <t>PAUSED 10 MG 21 CAP.</t>
  </si>
  <si>
    <t>PAUSED 15 MG 21 CAP.</t>
  </si>
  <si>
    <t>PAUSED 25 MG 21 CAP.</t>
  </si>
  <si>
    <t>PAUSED 5 MG 21 CAP.</t>
  </si>
  <si>
    <t>PAXERA 10 MG 28 FTB.</t>
  </si>
  <si>
    <t>PAXERA 10 MG 56 FTB</t>
  </si>
  <si>
    <t>PAXERA 20 MG 28 FTB.</t>
  </si>
  <si>
    <t>PAXERA 20 MG 56 FTB</t>
  </si>
  <si>
    <t>PAXERA 30 MG 28 FTB</t>
  </si>
  <si>
    <t>PAXERA 30 MG 56 FTB</t>
  </si>
  <si>
    <t>PAXERA 40 MG 28 FTB</t>
  </si>
  <si>
    <t>PAXERA 40 MG 56 FTB</t>
  </si>
  <si>
    <t>PAXIL 20 MG 28 TB</t>
  </si>
  <si>
    <t>PAXIL 20 MG 56 TB.</t>
  </si>
  <si>
    <t>PEDIA D 50.000 IU 15 ML GTT.</t>
  </si>
  <si>
    <t>PEDIASURE CILEK 220 ML.</t>
  </si>
  <si>
    <t>PEDIASURE FBR CILEK 220 ML.</t>
  </si>
  <si>
    <t>PEDIASURE FBR MUZ 220 ML.</t>
  </si>
  <si>
    <t>PEDIASURE KAKAO 220 ML.</t>
  </si>
  <si>
    <t>PEDIASURE MUZ 220 ML.</t>
  </si>
  <si>
    <t>PEDIASURE PLUS CILEK 220 ML.</t>
  </si>
  <si>
    <t>PEDIASURE PLUS MUZ 220 ML.</t>
  </si>
  <si>
    <t>PEDIASURE VANILYA 220 ML.</t>
  </si>
  <si>
    <t>PEDIFEN 100 MG 100 ML SRP.</t>
  </si>
  <si>
    <t>PEDIFEN COLD&amp;FLU SRP 100 ML</t>
  </si>
  <si>
    <t>PEDITUS 100 CC SRP</t>
  </si>
  <si>
    <t>PEFSAL 500/50 MCG 60 INH CAP.</t>
  </si>
  <si>
    <t>PEGEA %0.005 2.5 ML GOZ GTT.</t>
  </si>
  <si>
    <t>PEITEL 2.5 MG 30 GR KR.</t>
  </si>
  <si>
    <t>PELUMM ORAL COZ 50 ML</t>
  </si>
  <si>
    <t>PELUMM ORAL COZ. 20 ML</t>
  </si>
  <si>
    <t>PEMTREX 100 MG 1 FLK.</t>
  </si>
  <si>
    <t>PEMTREX 500 MG 1 FLK</t>
  </si>
  <si>
    <t>PENBISIN 1000 MG 1 FLK.</t>
  </si>
  <si>
    <t>PENCOLD 200 MG/30 MG 30 FTB</t>
  </si>
  <si>
    <t>PENEPIN 0.3 MG 0.3 ML 1 ENJ.</t>
  </si>
  <si>
    <t>PENEPIN 0.3 MG 0.3 ML 2 ENJ.</t>
  </si>
  <si>
    <t>PENFLOKS 500 MG 16 FTB</t>
  </si>
  <si>
    <t>PEN-OS 1.000.000 IU 24 TB.</t>
  </si>
  <si>
    <t>PEN-OS 400.000 IU 80 ML SUSP.</t>
  </si>
  <si>
    <t>PENSILINA 1.000.000 IU 1 FLK.</t>
  </si>
  <si>
    <t>PENTAL SOD 0.5 GR 1 FLK. **</t>
  </si>
  <si>
    <t>PENTAL SOD 1 GR 1 FLK.**</t>
  </si>
  <si>
    <t>PENTASA 1 GR 28 SUPP.</t>
  </si>
  <si>
    <t>PENTASA 1 GR 50 SASE</t>
  </si>
  <si>
    <t>PENTASA 1 GR 60 TB.</t>
  </si>
  <si>
    <t>PENTASA 2 GR 60 SASE</t>
  </si>
  <si>
    <t>PENTASA 500 MG 100 TB.</t>
  </si>
  <si>
    <t>PENVASC 10 MG 30 TB.</t>
  </si>
  <si>
    <t>PENVASC 5 MG 30 TB.</t>
  </si>
  <si>
    <t>PEPTICER 30 MG 14 CAP.</t>
  </si>
  <si>
    <t>PEPTICER 30 MG 28 CAP.</t>
  </si>
  <si>
    <t>PERBRONS 10 MG 120 ML SRP.</t>
  </si>
  <si>
    <t>PEREBRON 50 MG 120 ML SRP.</t>
  </si>
  <si>
    <t>PERFOSE 800 MG 180 FTB.</t>
  </si>
  <si>
    <t>PERGE 150 MG 56 CAP **</t>
  </si>
  <si>
    <t>PERGE 225 MG 56 CAP **</t>
  </si>
  <si>
    <t>PERGE 25 MG 56 CAP **</t>
  </si>
  <si>
    <t>PERGE 300 MG 56 CAP **</t>
  </si>
  <si>
    <t>PERGE 75 MG 14 CAP **</t>
  </si>
  <si>
    <t>PERGE 75 MG 56 CAP **</t>
  </si>
  <si>
    <t>PERGOVERIS 150/75 IU 3 FLK.</t>
  </si>
  <si>
    <t>PERIMEX PLS %0.15+0.12 200 ML</t>
  </si>
  <si>
    <t>PERIVEL PLUS 4/1.25 MG 30 TB.</t>
  </si>
  <si>
    <t>PERIZOL 10 MG 50 FTB.</t>
  </si>
  <si>
    <t>PERJETA 420 MG 14 ML 1 FLK.</t>
  </si>
  <si>
    <t>PERS MANT %19+2 30 GR JEL</t>
  </si>
  <si>
    <t>PEXA XR 0.375 MG 30 TB</t>
  </si>
  <si>
    <t>PEXA XR 0.75 MG 30 TB</t>
  </si>
  <si>
    <t>PEXA XR 1.5 MG 30 TB</t>
  </si>
  <si>
    <t>PEXA XR 2.25 MG 30 TB.</t>
  </si>
  <si>
    <t>PEXA XR 3 MG 30 TB</t>
  </si>
  <si>
    <t>PEXA XR 3.75 MG 30 TB.</t>
  </si>
  <si>
    <t>PEXA XR 4.5 MG 30 TB</t>
  </si>
  <si>
    <t>PEXOLA 0.250 MG 100 TB.</t>
  </si>
  <si>
    <t>PEXOLA 1 MG 100 TB.</t>
  </si>
  <si>
    <t>PEXOLA ER 0.375 MG 30 TB</t>
  </si>
  <si>
    <t>PEXOLA ER 0.75 MG 30 TB</t>
  </si>
  <si>
    <t>PEXOLA ER 1.5 MG 30 TB</t>
  </si>
  <si>
    <t>PEXOLA ER 3 MG 30 TB</t>
  </si>
  <si>
    <t>PEXOLA ER 4.5 MG 30 TB</t>
  </si>
  <si>
    <t>PEYONA 20 MG 1 ML 10 AMP.</t>
  </si>
  <si>
    <t>PF.%0.9 IZOTONIK 1000 ML</t>
  </si>
  <si>
    <t>PF.%0.9 IZOTONIK 500 ML</t>
  </si>
  <si>
    <t>PF.%10 DEX. 500 ML</t>
  </si>
  <si>
    <t>PF.%20 DEX. 500 ML</t>
  </si>
  <si>
    <t>PF.%30 DEX. 500 ML</t>
  </si>
  <si>
    <t>PF.%5 DEX. 1000 ML</t>
  </si>
  <si>
    <t>PF.%5 DEX. 500 ML</t>
  </si>
  <si>
    <t>PF.%5 DEX. LAK.RING. 1000 ML</t>
  </si>
  <si>
    <t>PF.%5 DEX. LAK.RING. 500 ML</t>
  </si>
  <si>
    <t>PF.1/3 POLIDEKS 500 ML</t>
  </si>
  <si>
    <t>PF.IZOLEN 1000 ML</t>
  </si>
  <si>
    <t>PF.IZOLEN 500 ML</t>
  </si>
  <si>
    <t>PF.IZOLEN-M %5 DEX. 1000 ML</t>
  </si>
  <si>
    <t>PF.IZOLEN-M %5 DEX. 500 ML 1</t>
  </si>
  <si>
    <t>PF.IZOLEN-P %5 DEX. 500 ML</t>
  </si>
  <si>
    <t>PF.LAKTATLI RINGER 1000 ML</t>
  </si>
  <si>
    <t>PF.LAKTATLI RINGER 500 ML</t>
  </si>
  <si>
    <t>PF.PVC IZO CER. KULNM 1000</t>
  </si>
  <si>
    <t>PHARON 120 MG 14 CAP.</t>
  </si>
  <si>
    <t>PHARON 240 MG 56 CAP.</t>
  </si>
  <si>
    <t>PHEBDOL 800 MG 3 ML 3 AMP.</t>
  </si>
  <si>
    <t>PHOCUSS 10/20 MG 28 FTB</t>
  </si>
  <si>
    <t>PHOS-NO 1000 MG 180 TB.</t>
  </si>
  <si>
    <t>PHYSIOTENS 0.2 MG TB.</t>
  </si>
  <si>
    <t>PHYSIOTENS 0.4 MG TB.</t>
  </si>
  <si>
    <t>PILOSED %2 5 ML GOZ GTT.</t>
  </si>
  <si>
    <t>PIMARO 30 MG 28 FTB.</t>
  </si>
  <si>
    <t>PIMARO 60 MG 28 FTB.</t>
  </si>
  <si>
    <t>PIMARO 90 MG 28 FTB.</t>
  </si>
  <si>
    <t>PINGEL 75 MG 28 FTB.</t>
  </si>
  <si>
    <t>PINIX 40/80 MG 30 FTB.</t>
  </si>
  <si>
    <t>PINRAL 100 MG 30 CIGN TB.</t>
  </si>
  <si>
    <t>PINRAL 200 MG 30 CIGN TB.</t>
  </si>
  <si>
    <t>PINRAL 25 MG 30 CIGN TB.</t>
  </si>
  <si>
    <t>PINRAL 50 MG 30 CIGN TB.</t>
  </si>
  <si>
    <t>PIOGTAN 15 MG 30 TB.</t>
  </si>
  <si>
    <t>PIOGTAN 30 MG 30 TB.</t>
  </si>
  <si>
    <t>PIOGTAN 45 MG 30 TB.</t>
  </si>
  <si>
    <t>PIONDIA 30 MG 30 FTB.</t>
  </si>
  <si>
    <t>PIRALDYNE 50/10 MG 10 ML SOL.</t>
  </si>
  <si>
    <t>PIRFA 200 MG 252 FTB.</t>
  </si>
  <si>
    <t>PIRFECT 200 MG 252 FTB.</t>
  </si>
  <si>
    <t>PIRFECT 600 MG 120 FTB.</t>
  </si>
  <si>
    <t>PIROFEN 200/15 MG 10 SUPP.</t>
  </si>
  <si>
    <t>PIROFEN 500 MG 20 TB</t>
  </si>
  <si>
    <t>PIRUCIN 10 MG 5 ML 1 FLK.</t>
  </si>
  <si>
    <t>PIRUCIN 50 MG 25 ML 1 FLK.</t>
  </si>
  <si>
    <t>PIYELOSEPTYL 100 MG 30 TB.</t>
  </si>
  <si>
    <t>PIYELOSEPTYL 50 MG 30 CAP.</t>
  </si>
  <si>
    <t>PK-MERZ 100 MG 90 TB.</t>
  </si>
  <si>
    <t>PK-MERZ 2x500 ML INF. COZ.</t>
  </si>
  <si>
    <t>PKU ANAMIX INFANT 400 GR.</t>
  </si>
  <si>
    <t>PKU COOLER PORTAKAL 30X130 ML</t>
  </si>
  <si>
    <t>PKU EXPRESS 750 GR.</t>
  </si>
  <si>
    <t>PKU EXPRESS LIMON 750 GR.</t>
  </si>
  <si>
    <t>PKU EXPRESS PORTAKAL 750 GR.</t>
  </si>
  <si>
    <t>PKU EXPRESS TROPIKAL 750 GR.</t>
  </si>
  <si>
    <t>PKU GEL 720 GR.</t>
  </si>
  <si>
    <t>PKU GEL AHUDUDU 720 GR.</t>
  </si>
  <si>
    <t>PKU GEL PORTAKAL 720 GR.</t>
  </si>
  <si>
    <t>PLANOR 75 MG 28 FTB.</t>
  </si>
  <si>
    <t>PLAQUENIL 200 MG 30 FTB.</t>
  </si>
  <si>
    <t>PLAVIX 75 MG 28 FTB.</t>
  </si>
  <si>
    <t>PLAVIX 75 MG 90 FTB.</t>
  </si>
  <si>
    <t>PLEKSOR 24 MG 1.2 ML 1 FLK.</t>
  </si>
  <si>
    <t>PLENDIL 2.5 MG 20 FTB.</t>
  </si>
  <si>
    <t>PLENDIL 5 MG 20 FTB.</t>
  </si>
  <si>
    <t>PLETAL 100 MG 60 TB.</t>
  </si>
  <si>
    <t>PLOXAL S 100 MG 20 ML 1 FLK.</t>
  </si>
  <si>
    <t>PLOXAL S 200 MG 40 ML 1 FLK</t>
  </si>
  <si>
    <t>PLOXAL S 50 MG 10 ML 1 FLK.</t>
  </si>
  <si>
    <t>PNEUMOVAX 23 0.5 ML 1 FLK.</t>
  </si>
  <si>
    <t>PODORA 200 MG 14 FTB.</t>
  </si>
  <si>
    <t>PODORA 200 MG 20 FTB.</t>
  </si>
  <si>
    <t>POLIMISIN 3.5 GR OFT. POM.</t>
  </si>
  <si>
    <t>POLIMISIN DERI POM.</t>
  </si>
  <si>
    <t>POLIVIT 100 ML SRP.</t>
  </si>
  <si>
    <t>POLIX 500.000 IU 1 FLK.</t>
  </si>
  <si>
    <t>POMALEM 1 MG 21 CAP.</t>
  </si>
  <si>
    <t>POMALEM 2 MG 21 CAP.</t>
  </si>
  <si>
    <t>POMALEM 3 MG 21 CAP.</t>
  </si>
  <si>
    <t>POMALEM 4 MG 21 CAP.</t>
  </si>
  <si>
    <t>PONSTAN FORTE 500 MG 20 TB.</t>
  </si>
  <si>
    <t>POSAGIL 100 MG 24 TB.</t>
  </si>
  <si>
    <t>POSTUITRIN FORT 5 IU 3 AMP.</t>
  </si>
  <si>
    <t>POT K 2000+2170 MG 15 EFF TB.</t>
  </si>
  <si>
    <t>POTASYUM CHL 7,5 10 AMP (GAL)</t>
  </si>
  <si>
    <t>POTASYUM CHL 7.5 10X10 AMP</t>
  </si>
  <si>
    <t>POTASYUM CHL.%22.5 10X10 AM</t>
  </si>
  <si>
    <t>POTASYUM FOSFAT 20 ML.</t>
  </si>
  <si>
    <t>POTCIT 10 MEQ 100 TB.</t>
  </si>
  <si>
    <t>POTEX 880 MG 15 GR 20 GRN.</t>
  </si>
  <si>
    <t>POT-OUT 880 MG 15 GR 20 GRN.</t>
  </si>
  <si>
    <t>PRABEX 20 MG 14 TB.</t>
  </si>
  <si>
    <t>PRABEX 20 MG 28 TB.</t>
  </si>
  <si>
    <t>PRADAXA 110 MG 10 CAP.</t>
  </si>
  <si>
    <t>PRADAXA 110 MG 60 CAP.</t>
  </si>
  <si>
    <t>PRADAXA 150 MG 60 CAP.</t>
  </si>
  <si>
    <t>PRADAXA 75 MG 60 CAP.</t>
  </si>
  <si>
    <t>PRAKTEN 2 MG 240 ML SRP.</t>
  </si>
  <si>
    <t>PRAMOFEN %1+0.25 50 GR KR.</t>
  </si>
  <si>
    <t>PRATIN 2 MG 30 FTB.</t>
  </si>
  <si>
    <t>PRATIN 4 MG 30 FTB.</t>
  </si>
  <si>
    <t>PRAVACHOL 10 MG 20 TB.</t>
  </si>
  <si>
    <t>PRAVACHOL 20 MG 20 TB.</t>
  </si>
  <si>
    <t>PRAVACHOL 40 MG 30 TB.</t>
  </si>
  <si>
    <t>PRECORT 16 MG 20 TB.</t>
  </si>
  <si>
    <t>PRECORT 4 MG 20 TB.</t>
  </si>
  <si>
    <t>PRECORT L 20 MG 1 AMP.</t>
  </si>
  <si>
    <t>PRECORT L 250 MG 1 AMP.</t>
  </si>
  <si>
    <t>PRECORT L 40 MG 1 AMP.</t>
  </si>
  <si>
    <t>PRECOXIN %10 40 ML SPR.</t>
  </si>
  <si>
    <t>PRED FORTE %1 5 ML GOZ GTT.</t>
  </si>
  <si>
    <t>PREDNI-POS %1 10 ML GOZ GTT.</t>
  </si>
  <si>
    <t>PREDNOL %0.125 30 GR KR.</t>
  </si>
  <si>
    <t>PREDNOL %0.125 30 GR POM.</t>
  </si>
  <si>
    <t>PREDNOL 16 MG 20 TB.</t>
  </si>
  <si>
    <t>PREDNOL 4 MG 20 TB.</t>
  </si>
  <si>
    <t>PREDNOL L 20 MG 1 AMP.</t>
  </si>
  <si>
    <t>PREDNOL L 250 MG 1 AMP.</t>
  </si>
  <si>
    <t>PREDNOL L 40 MG 1 AMP.</t>
  </si>
  <si>
    <t>PREGNYL 1500 IU 3 AMP.</t>
  </si>
  <si>
    <t>PREGOMIN AS 400 GR.</t>
  </si>
  <si>
    <t>PREKO 15/850 MG 30 FTB.</t>
  </si>
  <si>
    <t>PRELICA 150 MG 56 CAP **</t>
  </si>
  <si>
    <t>PRELICA 300 MG 56 CAP **</t>
  </si>
  <si>
    <t>PRELICA 75 MG 14 CAP **</t>
  </si>
  <si>
    <t>PRELICA 75 MG 56 CAP **</t>
  </si>
  <si>
    <t>PREPAGEL %1+5 40 GR JEL.</t>
  </si>
  <si>
    <t>PREPAR 50 MG 1 AMP.</t>
  </si>
  <si>
    <t>PREPLUS 150/1 MG 60 EFF TB **</t>
  </si>
  <si>
    <t>PREPLUS 25/1 MG 60 EFF TB **</t>
  </si>
  <si>
    <t>PREPLUS 75/1 MG 60 EFF TB**</t>
  </si>
  <si>
    <t>PREVENAR 13 0.5 ML 1 ENJ.</t>
  </si>
  <si>
    <t>PREXODIN 200 MCG 2 ML 5 FLK.</t>
  </si>
  <si>
    <t>PREZISTA 400 MG 60 FTB.</t>
  </si>
  <si>
    <t>PREZISTA 600 MG 60 FTB.</t>
  </si>
  <si>
    <t>PRICAIN %2 20 ML 1 FLK.</t>
  </si>
  <si>
    <t>PRIFEMYN DR 10 MG 30 TB.</t>
  </si>
  <si>
    <t>PRILAM DR 10 MG 30 TB.</t>
  </si>
  <si>
    <t>PRILIGY 30 MG 3 FTB.</t>
  </si>
  <si>
    <t>PRILIGY 30 MG 6 FTB.</t>
  </si>
  <si>
    <t>PRILIGY 60 MG 3 FTB.</t>
  </si>
  <si>
    <t>PRILIGY 60 MG 6 FTB.</t>
  </si>
  <si>
    <t>PRILOC %2 20 ML 1 FLK.</t>
  </si>
  <si>
    <t>PRIMOLUT N 5 MG 30 TB.</t>
  </si>
  <si>
    <t>PRIMOVIST 0.25 10 ML</t>
  </si>
  <si>
    <t>PRIMSEL 10 MG 2 ML 5 AMP.</t>
  </si>
  <si>
    <t>PRIORIX 1 DOZ</t>
  </si>
  <si>
    <t>PRIVIGEN  5 GR 50 ML 1 FLK.</t>
  </si>
  <si>
    <t>PRIVIGEN 10 GR 100 ML 1 FLK.</t>
  </si>
  <si>
    <t>PROBLOK 100 MG 20 TB.</t>
  </si>
  <si>
    <t>PROBLOK 50 MG 20 FTB.</t>
  </si>
  <si>
    <t>PROCTOLOG %5.8+%0.5 30 GR KR.</t>
  </si>
  <si>
    <t>PROCTOLOG 120/10 MG 10 SUPP.</t>
  </si>
  <si>
    <t>PROFEN 400 MG 20 FTB.</t>
  </si>
  <si>
    <t>PROFEN FORT 600 MG 20 TB.</t>
  </si>
  <si>
    <t>PROFENID %2.5 60 GR JEL</t>
  </si>
  <si>
    <t>PROFENID 1 MG 150 ML SRP.</t>
  </si>
  <si>
    <t>PROFENID 100 MG 6 AMP.</t>
  </si>
  <si>
    <t>PROGESTAN 100 MG 30 CAP.</t>
  </si>
  <si>
    <t>PROGESTAN 200 MG 30 CAP.</t>
  </si>
  <si>
    <t>PROGESTAN 50 MG 5 AMP.</t>
  </si>
  <si>
    <t>PROGESTAN DEX 25 MG 7 AMP.</t>
  </si>
  <si>
    <t>PROGRAF 0.5 MG 50 CAP.</t>
  </si>
  <si>
    <t>PROGRAF 1 MG 50 CAP.</t>
  </si>
  <si>
    <t>PROGRAF 5 MG 1 ML 10 AMP.</t>
  </si>
  <si>
    <t>PROGRAF 5 MG 50 CAP.</t>
  </si>
  <si>
    <t>PROGYNEX 100 MG 30 CAP.</t>
  </si>
  <si>
    <t>PROGYNEX 50 MG 5 AMP.</t>
  </si>
  <si>
    <t>PROJEZIK 100 MG 15 FTB</t>
  </si>
  <si>
    <t>PROKAIN PEN 800 IU 1 FLK.</t>
  </si>
  <si>
    <t>PROLASTIN C 1000 MG 1 FLK.</t>
  </si>
  <si>
    <t>PROLEUKIN 18X106 IU 1 FLK.</t>
  </si>
  <si>
    <t>PROLIA 60 MG 1 HAZIR ENJ.</t>
  </si>
  <si>
    <t>PROLIXIN DECO 25 MG 1 AMP.</t>
  </si>
  <si>
    <t>PROLUTEX 25 MG 7 FLK.</t>
  </si>
  <si>
    <t>PROLUTON DEPO 500 MG 1 AMP.</t>
  </si>
  <si>
    <t>PRONAT 500 MG 200 ML SUSP.</t>
  </si>
  <si>
    <t>PROPECIA 1 MG 28 TB.</t>
  </si>
  <si>
    <t>PROPOFOL %1 50 ML 1 FLK.</t>
  </si>
  <si>
    <t>PROPOFOL %2 50 ML 1 FLK.</t>
  </si>
  <si>
    <t>8699736750468</t>
  </si>
  <si>
    <t>PROPOFOL-® LİPURO İ.V. AMPUL 20 ml, %1 (10 mg/ml)</t>
  </si>
  <si>
    <t>PROPYCIL 50 MG 20 TB.</t>
  </si>
  <si>
    <t>PROPYCIL 50 MG 50 TB.</t>
  </si>
  <si>
    <t>PROQUAD 0.5 ML 1 FLK.</t>
  </si>
  <si>
    <t>PROSCAR 5 MG 28 TB.</t>
  </si>
  <si>
    <t>PROSEK 20 MG 14 CAP.</t>
  </si>
  <si>
    <t>PROTAGENT %2 10 ML GOZ GTT.</t>
  </si>
  <si>
    <t>PROTAMIN 5000 IU ML 1 AMP.</t>
  </si>
  <si>
    <t>PROTAZ 40 MG 1 FLK.</t>
  </si>
  <si>
    <t>PROTECH 40 MG 14 TB.</t>
  </si>
  <si>
    <t>PROTECH 40 MG 28 TB.</t>
  </si>
  <si>
    <t>PROTIFAR MAMA</t>
  </si>
  <si>
    <t>PROTINUM 20 MG 28 TB.</t>
  </si>
  <si>
    <t>PROTINUM 40 MG 14 TB.</t>
  </si>
  <si>
    <t>PROTINUM 40 MG 28 TB.</t>
  </si>
  <si>
    <t>PROTONEX 40 MG 28 TB.</t>
  </si>
  <si>
    <t>PROVIRON 25 MG 20 TB.</t>
  </si>
  <si>
    <t>PROXAR 1 MG 100 ML SRP.</t>
  </si>
  <si>
    <t>PROZAC 20 MG 24 CAP</t>
  </si>
  <si>
    <t>PROZAC 20 MG 70 ML ORAL SOL.</t>
  </si>
  <si>
    <t>PROZERO 18X250 ML.</t>
  </si>
  <si>
    <t>PROZERO 6X1 LT.</t>
  </si>
  <si>
    <t>PSODERM %0.05 25 ML SAC LOS.</t>
  </si>
  <si>
    <t>PSODERM %0.05 50 GR KR.</t>
  </si>
  <si>
    <t>PSODERM %0.05 50 GR POM.</t>
  </si>
  <si>
    <t>8699514380047</t>
  </si>
  <si>
    <t>PSORCUTAN %0.05 30 GR POM.</t>
  </si>
  <si>
    <t>PSORCUTAN %0.05 30 ML SOL.</t>
  </si>
  <si>
    <t>PSORCUTAN B %0.005+0.05 30 GR</t>
  </si>
  <si>
    <t>PSORETIN 10 MG 100 CAP.</t>
  </si>
  <si>
    <t>PSORETIN 25 MG 100 CAP.</t>
  </si>
  <si>
    <t>PSOVATE %0.05 25 ML SAC LOS.</t>
  </si>
  <si>
    <t>PSOVATE %0.05 50 GR KR.</t>
  </si>
  <si>
    <t>PSOVATE %0.05 50 GR POM.</t>
  </si>
  <si>
    <t>PULARTER 20 MG 90 FTB.</t>
  </si>
  <si>
    <t>PULCET 40 MG 14 TB.</t>
  </si>
  <si>
    <t>PULCET 40 MG 28 TB.</t>
  </si>
  <si>
    <t>PULMICORT 0.5 MG 2 ML 20 AMP.</t>
  </si>
  <si>
    <t>PULMISTAT 7.5 MG 100 ML SRP.</t>
  </si>
  <si>
    <t>PULMISTAT FORT 22.5 MG 100 ML</t>
  </si>
  <si>
    <t>PULMOCARE VANILYA 250 ML.</t>
  </si>
  <si>
    <t>PULMOREST 30 MG 150 ML SRP.</t>
  </si>
  <si>
    <t>PULMOTUS 30+2 MG 150 ML SRP.</t>
  </si>
  <si>
    <t>PURDOX %5 30 GR KR.</t>
  </si>
  <si>
    <t>PURI-NETHOL 50 MG 25 TB</t>
  </si>
  <si>
    <t>PURINOL 250/615 MG 140 GR EFF</t>
  </si>
  <si>
    <t>PX.%0.9 IZOTONIK 100 ML</t>
  </si>
  <si>
    <t>PX.%0.9 IZOTONIK 1000 ML</t>
  </si>
  <si>
    <t>PX.%0.9 IZOTONIK 150 ML</t>
  </si>
  <si>
    <t>PX.%0.9 IZOTONIK 250 ML</t>
  </si>
  <si>
    <t>PX.%0.9 IZOTONIK 3000 ML</t>
  </si>
  <si>
    <t>PX.%0.9 IZOTONIK 50 ML</t>
  </si>
  <si>
    <t>PX.%0.9 IZOTONIK 500 ML</t>
  </si>
  <si>
    <t>PX.%10 DEX. 500 ML</t>
  </si>
  <si>
    <t>PX.%20 DEX. 500 ML</t>
  </si>
  <si>
    <t>PX.%20 MANNITOL 100 ML</t>
  </si>
  <si>
    <t>PX.%20 MANNITOL 150 ML</t>
  </si>
  <si>
    <t>PX.%20 MANNITOL 500 ML</t>
  </si>
  <si>
    <t>PX.%3 NACL 150 ML</t>
  </si>
  <si>
    <t>PX.%30 DEX. 500 ML</t>
  </si>
  <si>
    <t>PX.%5 DEX. %0.45 NACL 1000 ML</t>
  </si>
  <si>
    <t>PX.%5 DEX. %0.45 NACL 500 ML</t>
  </si>
  <si>
    <t>PX.%5 DEX. %0.9 NACL 1000 ML</t>
  </si>
  <si>
    <t>PX.%5 DEX. 100 ML</t>
  </si>
  <si>
    <t>PX.%5 DEX. 1000 ML</t>
  </si>
  <si>
    <t>PX.%5 DEX. 150 ML</t>
  </si>
  <si>
    <t>PX.%5 DEX. 250 ML</t>
  </si>
  <si>
    <t>PX.%5 DEX. 500 ML</t>
  </si>
  <si>
    <t>PX.%5 DEX. LAK.RING. 1000 ML</t>
  </si>
  <si>
    <t>PX.%5 DEX. LAK.RING. 500 ML</t>
  </si>
  <si>
    <t>PX.1/3 POLIDEKS 500 ML</t>
  </si>
  <si>
    <t>PX.DEKSTRAN 40 %10 500 ML</t>
  </si>
  <si>
    <t>PX.IZOLEN 1000 ML</t>
  </si>
  <si>
    <t>PX.IZOLEN 500 ML</t>
  </si>
  <si>
    <t>PX.IZOLEN-M %5 DEX. 1000 ML</t>
  </si>
  <si>
    <t>PX.IZOLEN-M %5 DEX. 500 ML</t>
  </si>
  <si>
    <t>PX.IZOLEN-P %5 DEX. 250 ML</t>
  </si>
  <si>
    <t>PX.IZOLEN-P %5 DEX. 500 ML</t>
  </si>
  <si>
    <t>PX.IZOLEN-S P.H 7.4 1000 ML</t>
  </si>
  <si>
    <t>PX.IZOLEN-S P.H 7.4 500 ML</t>
  </si>
  <si>
    <t>PX.LAKTATLI RINGER 1000 ML</t>
  </si>
  <si>
    <t>PX.LAKTATLI RINGER 500 ML</t>
  </si>
  <si>
    <t>PX.POLGYL I.V 100 ML</t>
  </si>
  <si>
    <t>PX.POLTEOFILIN 200 IV 100 ML</t>
  </si>
  <si>
    <t>PX.VOLUHES %6 500 ML 2</t>
  </si>
  <si>
    <t>QALYVIZ 0.25 MCG 30 CAP.</t>
  </si>
  <si>
    <t>QALYVIZ 0.5 MCG 30 CAP.</t>
  </si>
  <si>
    <t>QLAIRISTA 28 FTB</t>
  </si>
  <si>
    <t>QUANDO 8 MG 10 FTB</t>
  </si>
  <si>
    <t>QUANTAVIR 0.5 MG 30 FTB.</t>
  </si>
  <si>
    <t>QUANTAVIR 1 MG 30 FTB.</t>
  </si>
  <si>
    <t>QUELEPT 100 MG 30 FTB.</t>
  </si>
  <si>
    <t>QUELEPT 200 MG 30 FTB.</t>
  </si>
  <si>
    <t>QUELEPT 25 MG 30 FTB.</t>
  </si>
  <si>
    <t>QUELEPT 300 MG 30 FTB.</t>
  </si>
  <si>
    <t>QUET 100 MG 30 FTB.</t>
  </si>
  <si>
    <t>QUET 150 MG 30 FTB.</t>
  </si>
  <si>
    <t>QUET 200 MG 30 FTB.</t>
  </si>
  <si>
    <t>QUET 25 MG 30 FTB.</t>
  </si>
  <si>
    <t>QUET 300 MG 30 FTB.</t>
  </si>
  <si>
    <t>QUET 400 MG 30 FTB.</t>
  </si>
  <si>
    <t>QUET XR 150 MG 30 TB.</t>
  </si>
  <si>
    <t>QUET XR 200 MG 30 TB.</t>
  </si>
  <si>
    <t>QUET XR 300 MG 30 TB.</t>
  </si>
  <si>
    <t>QUET XR 400 MG 30 TB.</t>
  </si>
  <si>
    <t>QUET XR 50 MG 30 TB.</t>
  </si>
  <si>
    <t>R GER FORT %5 60 ML SPR.</t>
  </si>
  <si>
    <t>RABBY D 10 MG 28 TB.</t>
  </si>
  <si>
    <t>RABELIS 20 MG 28 TB.</t>
  </si>
  <si>
    <t>RABIZA 20 MG 14 TB.</t>
  </si>
  <si>
    <t>RABIZA 20 MG 28 TB.</t>
  </si>
  <si>
    <t>RACE 10 MG 28 TB.</t>
  </si>
  <si>
    <t>RACE 2.5 MG 28 TB.</t>
  </si>
  <si>
    <t>RACE 5 MG 28 TB.</t>
  </si>
  <si>
    <t>RACE PLUS 2.5/12.5 MG 28 TB.</t>
  </si>
  <si>
    <t>RACE PLUS 5/25 MG 28 TB.</t>
  </si>
  <si>
    <t>RAJIL 1 MG 30 TB.</t>
  </si>
  <si>
    <t>RALEF 20 MG 30 FTB</t>
  </si>
  <si>
    <t>RAMELDA 8 MG 10 FTB.</t>
  </si>
  <si>
    <t>RAMIPEX 0.250 MG 100 TB</t>
  </si>
  <si>
    <t>RAMIPEX 1 MG 100 TB</t>
  </si>
  <si>
    <t>RANEKS 20 MG 28 TB.</t>
  </si>
  <si>
    <t>RANIJECT 50 MG 5 AMP.</t>
  </si>
  <si>
    <t>RANITAB 150 MG 60 TB.</t>
  </si>
  <si>
    <t>RANITAB 300 MG 30 TB.</t>
  </si>
  <si>
    <t>RANIVER 50 MG 10 AMP.</t>
  </si>
  <si>
    <t>RANTUDIL FORTE 60 MG 20 CAP.</t>
  </si>
  <si>
    <t>RANTUDIL RETARD 90 MG 10 CAP.</t>
  </si>
  <si>
    <t>RAPAMUNE 1 MG 100 TB.</t>
  </si>
  <si>
    <t>RAPAMUNE 1 MG 60 ML ORAL SOL.</t>
  </si>
  <si>
    <t>RASALAS 1 MG 30 FTB.</t>
  </si>
  <si>
    <t>RASTEL 25 MG 20 FTB</t>
  </si>
  <si>
    <t>RAXERIN 10 MG 16 TB.</t>
  </si>
  <si>
    <t>RAXERIN 100 MG 20 CAP.</t>
  </si>
  <si>
    <t>RAXERIN 30 MG 30 TB.</t>
  </si>
  <si>
    <t>RAZINA 375 MG 60 TB.</t>
  </si>
  <si>
    <t>RAZINA 500 MG 60 TB.</t>
  </si>
  <si>
    <t>RAZINA 750 MG 60 TB.</t>
  </si>
  <si>
    <t>RAZOGEN 20 MG 28 TB.</t>
  </si>
  <si>
    <t>REAMPLA 100 MG 21 CAP.</t>
  </si>
  <si>
    <t>REAMPLA 125 MG 21 CAP.</t>
  </si>
  <si>
    <t>REAMPLA 75 MG 21 CAP.</t>
  </si>
  <si>
    <t>REBIF 132 MCG 1.5 ML 4 KARTUS</t>
  </si>
  <si>
    <t>REBIF 22 MCG 6 MIU 3 ENJ.</t>
  </si>
  <si>
    <t>REBIF 44 MCG 12 MIU 12 ENJ.</t>
  </si>
  <si>
    <t>RECBUTIN %5.8+%0.5 30 GR KR.</t>
  </si>
  <si>
    <t>RECBUTIN 120/10 MG 10 SUPP.</t>
  </si>
  <si>
    <t>RECONVON 500 ML.</t>
  </si>
  <si>
    <t>RECOSIDE %0.25 30 GR POM.</t>
  </si>
  <si>
    <t>RECOSIDE 4 MG 20 FTB.</t>
  </si>
  <si>
    <t>RECTODERM %0.4 30 GR POM.</t>
  </si>
  <si>
    <t>REDEKAIN %5 30 GR POM.</t>
  </si>
  <si>
    <t>REDEMUS 4 MG 2 ML 6 AMP.</t>
  </si>
  <si>
    <t>REDEPRA 15 MG 28 FTB</t>
  </si>
  <si>
    <t>REDEPRA 30 MG 28 FTB.</t>
  </si>
  <si>
    <t>REDEPRA 45 MG 28 FTB</t>
  </si>
  <si>
    <t>REDOX C 500 MG 5 ML 5 AMP.</t>
  </si>
  <si>
    <t>REDUPOT 880MG GRN 20 SASE</t>
  </si>
  <si>
    <t>REFACTO 250 IU 1 FLK. (FVIII)</t>
  </si>
  <si>
    <t>REFACTO 500 IU 1 FLK. (FVIII)</t>
  </si>
  <si>
    <t>REFCON 500 MG 200 ML SUSP.</t>
  </si>
  <si>
    <t>REFCON D.ACTION 200 ML SUSP.</t>
  </si>
  <si>
    <t>REFLOR 250 MG 10 CAP.</t>
  </si>
  <si>
    <t>REFLOR 250 MG 10 SASE</t>
  </si>
  <si>
    <t>REFLOR 250 MG 20 CAP.</t>
  </si>
  <si>
    <t>REFLOR 250 MG 20 SASE</t>
  </si>
  <si>
    <t>REFRESH LIQUIGEL 15 ML GTT</t>
  </si>
  <si>
    <t>REFRESH TEARS 15 ML GOZ GTT.</t>
  </si>
  <si>
    <t>REFRESH TEK DOZ 30 FLK.</t>
  </si>
  <si>
    <t>REGAPEN  225 MG 56 CAP **</t>
  </si>
  <si>
    <t>REGAPEN  25 MG 56 CAP **</t>
  </si>
  <si>
    <t>REGAPEN  75 MG 14 CAP **</t>
  </si>
  <si>
    <t>REGAPEN  75 MG 56 CAP **</t>
  </si>
  <si>
    <t>REGAPEN 150 MG 56 CAP **</t>
  </si>
  <si>
    <t>REGAPEN 300 MG 56 CAP **</t>
  </si>
  <si>
    <t>RELESTAT %0.5 5 ML  GOZ GTT.</t>
  </si>
  <si>
    <t>RELPAX 40 MG 3 FTB</t>
  </si>
  <si>
    <t>REMERON 30 MG 14 FTB</t>
  </si>
  <si>
    <t>REMERON 30 MG 28 TB.</t>
  </si>
  <si>
    <t>REMICADE 100 MG 20 ML 1 FLK.</t>
  </si>
  <si>
    <t>REMIDON 500/65 MG 20 TB.</t>
  </si>
  <si>
    <t>REMINYL 400 MG 100 ML SUSP.</t>
  </si>
  <si>
    <t>REMINYL 8 MG 28 ORAL CAP.</t>
  </si>
  <si>
    <t>REMOXIL 1 GR 16 TB.</t>
  </si>
  <si>
    <t>REMSIMA 100 MG 20 ML 1 FLK.</t>
  </si>
  <si>
    <t>RENALAMER 800 MG 180 FTB.</t>
  </si>
  <si>
    <t>RENNIE 680/80 MG 100 ML SUSP.</t>
  </si>
  <si>
    <t>RENNIE 680/80 MG 48 CIGN TB.</t>
  </si>
  <si>
    <t>REPARIL GEL N %1+5 50 GR JEL</t>
  </si>
  <si>
    <t>REPATHA 140 MG 2 PEN</t>
  </si>
  <si>
    <t>REPLAGAL 1 MG 3.5 ML 1 FLK.</t>
  </si>
  <si>
    <t>REQUIP XL 2 MG 28 TB</t>
  </si>
  <si>
    <t>REQUIP XL 4 MG 28 TB</t>
  </si>
  <si>
    <t>REQUIP XL 8 MG 28 TB</t>
  </si>
  <si>
    <t>RESOURCE 2.0 KAYISI  200 ML.</t>
  </si>
  <si>
    <t>RESOURCE 2.0 VANILYA  200 ML.</t>
  </si>
  <si>
    <t>RESOURCE DIABET CILEK 200 ML.</t>
  </si>
  <si>
    <t>RESOURCE DIABET KAHVE 200 ML.</t>
  </si>
  <si>
    <t>RESOURCE ENERG KAYISI 200 ML.</t>
  </si>
  <si>
    <t>RESOURCE ENERG MUZ 200 ML.</t>
  </si>
  <si>
    <t>RESOURCE JUN CIKOLATA 200 ML.</t>
  </si>
  <si>
    <t>RESOURCE JUN CILEK 200 ML.</t>
  </si>
  <si>
    <t>RESOURCE JUN FBR CIKOLATA 200</t>
  </si>
  <si>
    <t>RESOURCE JUN FBR MUZ 200 ML.</t>
  </si>
  <si>
    <t>RESOURCE JUN VANILYA 200 ML.</t>
  </si>
  <si>
    <t>RESOURCE PROT CILEK 200 ML.</t>
  </si>
  <si>
    <t>RESOURCE PROT KAHVE 200 ML.</t>
  </si>
  <si>
    <t>RESOURCE PROT KAYISI 200 ML.</t>
  </si>
  <si>
    <t>RESOURCE PROT VANILYA 200 ML.</t>
  </si>
  <si>
    <t>RESPIRO-D 100/50 MCG 60 CAP.</t>
  </si>
  <si>
    <t>RESPIRO-D 250/50 MCG 60 CAP.</t>
  </si>
  <si>
    <t>RESPIRO-D 500/50 MCG 60 CAP.</t>
  </si>
  <si>
    <t>RESTAFEN 1 GR 2 ML 1 AMP.</t>
  </si>
  <si>
    <t>RETOMIN 20 MG 90 FTB.</t>
  </si>
  <si>
    <t>RETROVIR 200 MG 20 ML 5 FLK.</t>
  </si>
  <si>
    <t>RETROVIR 250 MG 40 CAP.</t>
  </si>
  <si>
    <t>RETROVIR 50 MG 200 ML SRP.</t>
  </si>
  <si>
    <t>REUMIL 10 MG 30 FTB</t>
  </si>
  <si>
    <t>REUMIL 20 MG 30 FTB</t>
  </si>
  <si>
    <t>REVAFEN 50 MG 2 ML 6 AMP.</t>
  </si>
  <si>
    <t>REVATIO 20 MG 90 FTB.</t>
  </si>
  <si>
    <t>REVLIMID 10 MG 21 CAP.</t>
  </si>
  <si>
    <t>REVLIMID 15 MG 21 CAP.</t>
  </si>
  <si>
    <t>REVLIMID 25 MG 21 CAP.</t>
  </si>
  <si>
    <t>REVLIMID 5 MG 21 CAP.</t>
  </si>
  <si>
    <t>REVOLADE 25 MG 14 FTB.</t>
  </si>
  <si>
    <t>REVOLADE 50 MG 14 FTB.</t>
  </si>
  <si>
    <t>REXAPIN 10 MG 28 TB</t>
  </si>
  <si>
    <t>REXAPIN 15 MG 28 FTB.</t>
  </si>
  <si>
    <t>REXAPIN 2.5 MG 28 TB</t>
  </si>
  <si>
    <t>REXAPIN 20 MG 28 FTB.</t>
  </si>
  <si>
    <t>REXAPIN 5 MG 28 TB</t>
  </si>
  <si>
    <t>REXAPIN EASYTAB 10 MG 28 TB.</t>
  </si>
  <si>
    <t>REXAPIN EASYTAB 15 MG 28 TB.</t>
  </si>
  <si>
    <t>REXAPIN EASYTAB 20 MG 28 TB.</t>
  </si>
  <si>
    <t>REXAPIN EASYTAB 5 MG 28 TB.</t>
  </si>
  <si>
    <t>RHEUMON %10 50 ML SPR.</t>
  </si>
  <si>
    <t>RHEUMON %5 40 GR GEL</t>
  </si>
  <si>
    <t>RHEUMON 1 GR 2 ML 1 AMP.</t>
  </si>
  <si>
    <t>RHINFANT %0.01 10 ML PED SPR.</t>
  </si>
  <si>
    <t>RICUS 1 MG 100 ML ORAL SOL.</t>
  </si>
  <si>
    <t>RICUS 1 MG 20 FTB.</t>
  </si>
  <si>
    <t>RICUS 2 MG 20 FTB.</t>
  </si>
  <si>
    <t>RICUS 3 MG 20 FTB.</t>
  </si>
  <si>
    <t>RICUS 4 MG 20 FTB.</t>
  </si>
  <si>
    <t>RIF 125 MG 1 AMP.</t>
  </si>
  <si>
    <t>RIF 250 MG 1 AMP.</t>
  </si>
  <si>
    <t>RIFCAP 150 MG 16 CAP.</t>
  </si>
  <si>
    <t>RIFCAP 300 MG 16 CAP.</t>
  </si>
  <si>
    <t>RIFOCIN 125 MG 1 AMP.</t>
  </si>
  <si>
    <t>RIFOCIN 250 MG 1 AMP.</t>
  </si>
  <si>
    <t>RILACE 10 MG 28 TB.</t>
  </si>
  <si>
    <t>RILACE 20 MG 28 TB.</t>
  </si>
  <si>
    <t>RILACE 5 MG 28 TB.</t>
  </si>
  <si>
    <t>RILEPTID 1 MG 20 FTB.</t>
  </si>
  <si>
    <t>RILEPTID 1 MG 60 FTB.</t>
  </si>
  <si>
    <t>RILEPTID 2 MG 20 FTB.</t>
  </si>
  <si>
    <t>RILEPTID 2 MG 60 FTB.</t>
  </si>
  <si>
    <t>RILEPTID 3 MG 20 FTB.</t>
  </si>
  <si>
    <t>RILEPTID 3 MG 60 FTB.</t>
  </si>
  <si>
    <t>RILEPTID 4 MG 20 FTB.</t>
  </si>
  <si>
    <t>RILEPTID 4 MG 60 FTB.</t>
  </si>
  <si>
    <t>RILUTEK 50 MG 56 FTB.</t>
  </si>
  <si>
    <t>RIMOBOLAN DEPOT 100 MG 1 AMP.</t>
  </si>
  <si>
    <t>RIMONAL %0.15 5 ML GOZ GTT.</t>
  </si>
  <si>
    <t>RINOGEST 30 MG 100 ML SRP.*</t>
  </si>
  <si>
    <t>RIPATRIN 10 MG 20 TB.</t>
  </si>
  <si>
    <t>RIPAZOL  5 MG 28 TB</t>
  </si>
  <si>
    <t>RIPAZOL 10 MG 28 TB</t>
  </si>
  <si>
    <t>RIPAZOL 15 MG 28 TB</t>
  </si>
  <si>
    <t>RIPAZOL 30 MG 28 TB.</t>
  </si>
  <si>
    <t>RISONEL 50 MCG 18 GR NAS SPR.</t>
  </si>
  <si>
    <t>RISPERDAL 1 MG 20 FTB.</t>
  </si>
  <si>
    <t>RISPERDAL 2 MG 20 FTB.</t>
  </si>
  <si>
    <t>RISPERDAL 3 MG 20 FTB.</t>
  </si>
  <si>
    <t>RISPERDAL 4 MG 20 FTB.</t>
  </si>
  <si>
    <t>RITALIN 10 MG 30 TB ***</t>
  </si>
  <si>
    <t>RIVELIME 10 MG 21 CAP.</t>
  </si>
  <si>
    <t>RIVELIME 15 MG 21 CAP.</t>
  </si>
  <si>
    <t>RIVELIME 2.5 MG 21 CAP.</t>
  </si>
  <si>
    <t>RIVELIME 20 MG 21 CAP.</t>
  </si>
  <si>
    <t>RIVELIME 25 MG 21 CAP.</t>
  </si>
  <si>
    <t>RIVELIME 5 MG 21 CAP.</t>
  </si>
  <si>
    <t>RIVELIME 7.5 MG 21 CAP.</t>
  </si>
  <si>
    <t>RIVOCLON  2 MG 30 TB.**</t>
  </si>
  <si>
    <t>RIVOKSAR 10 MG 10 FTB.</t>
  </si>
  <si>
    <t>RIVOKSAR 15 MG 28 FTB.</t>
  </si>
  <si>
    <t>RIVOKSAR 20 MG 28 FTB.</t>
  </si>
  <si>
    <t>RIVOTRIL 2 MG 30 TB**</t>
  </si>
  <si>
    <t>RIVOTRIL 2.5 MG 10 ML GTT**</t>
  </si>
  <si>
    <t>RIXPER 1 MG 30 FTB</t>
  </si>
  <si>
    <t>RIXPER 2 MG 30 FTB</t>
  </si>
  <si>
    <t>RIXPER 3 MG 30 FTB</t>
  </si>
  <si>
    <t>RIXPER 4 MG 30 FTB</t>
  </si>
  <si>
    <t>RIZOPROL 10 MG 30 FTB.</t>
  </si>
  <si>
    <t>RIZOPROL 5 MG 30 FTB.</t>
  </si>
  <si>
    <t>ROACCUTANE 10 MG 30 CAP.</t>
  </si>
  <si>
    <t>ROACCUTANE 20 MG 30 CAP.</t>
  </si>
  <si>
    <t>ROCALTROL 0.5 MCG 30 CAP.</t>
  </si>
  <si>
    <t>RODINAC 75 MG 3 ML 10 AMP.</t>
  </si>
  <si>
    <t>RODINIR 250 MG 100 ML SUSP.</t>
  </si>
  <si>
    <t>ROLASTYM 160/4.5  MCG AERO 60</t>
  </si>
  <si>
    <t>ROLASTYM 80/4.5  MCG AERO 120</t>
  </si>
  <si>
    <t>ROMACTIL FORTE 60 MG 20 CAP.</t>
  </si>
  <si>
    <t>ROMASULID %1 30 GR JEL</t>
  </si>
  <si>
    <t>ROMATIM %1 50 GR JEL</t>
  </si>
  <si>
    <t>ROMEZON DR 1 MG 30 TB.</t>
  </si>
  <si>
    <t>ROMEZON DR 2 MG 30 TB.</t>
  </si>
  <si>
    <t>ROMEZON DR 5 MG 30 TB.</t>
  </si>
  <si>
    <t>RONIDRO 5 MG 100 ML 1 FLK.</t>
  </si>
  <si>
    <t>RONSENGLOB 5 GR 100 ML 1 FLK.</t>
  </si>
  <si>
    <t>ROSUCOR 10 MG 28 FTB.</t>
  </si>
  <si>
    <t>ROSUFIX 10 MG 28 FTB.</t>
  </si>
  <si>
    <t>ROSUFIX 20 MG 28 FTB.</t>
  </si>
  <si>
    <t>ROSUVAS 10 MG 28 FTB.</t>
  </si>
  <si>
    <t>ROSUVAS 20 MG 28 FTB.</t>
  </si>
  <si>
    <t>ROTACEF 1000 MG IM 1 FLK.</t>
  </si>
  <si>
    <t>ROTACEF 1000 MG IM 3 FLK.</t>
  </si>
  <si>
    <t>ROTACEF 500 MG IM 1 FLK.</t>
  </si>
  <si>
    <t>ROTACEF 500 MG IM 3 FLK.</t>
  </si>
  <si>
    <t>8699522967582</t>
  </si>
  <si>
    <t>ROTARIX 1.5 ML ORAL TÜP</t>
  </si>
  <si>
    <t>ROTATEQ 2 ML 1 ENJ.</t>
  </si>
  <si>
    <t>ROVAGYL 3 MIU 10 FTB.</t>
  </si>
  <si>
    <t>ROVARAN 15 MG 28 CAP.</t>
  </si>
  <si>
    <t>ROVARAN 20 MG 28 CAP.</t>
  </si>
  <si>
    <t>ROXIN 500 MG 14 FTB.</t>
  </si>
  <si>
    <t>ROXIN 750 MG 14 TB.</t>
  </si>
  <si>
    <t>ROZA %0.75 30 GR JEL</t>
  </si>
  <si>
    <t>ROZA %1+2 30 GR KR.</t>
  </si>
  <si>
    <t>RULID 150 MG 10 TB.</t>
  </si>
  <si>
    <t>RULID 300 MG 7 TB.</t>
  </si>
  <si>
    <t>RUNOMEX 15 MG 10 TB.</t>
  </si>
  <si>
    <t>RUPAFIN 10 MG 20 TB.</t>
  </si>
  <si>
    <t>RUPATEK 10 MG 20 TB.</t>
  </si>
  <si>
    <t>RYDAPT 25 MG 112 CAP.</t>
  </si>
  <si>
    <t>RYTMONORM 150 MG 30 TB.</t>
  </si>
  <si>
    <t>RYTMONORM 300 MG 30 TB.</t>
  </si>
  <si>
    <t>RYZODEG 100 IU 3 ML 5 PEN</t>
  </si>
  <si>
    <t>SAB SIMPLEX 30 ML GAZ GID.</t>
  </si>
  <si>
    <t>SABRIL 500 MG 100 TB.</t>
  </si>
  <si>
    <t>SAFECAINE %3 2 ML 20 AMP.</t>
  </si>
  <si>
    <t>SAFRAX 250 MG 100 CAP.</t>
  </si>
  <si>
    <t>SAGLIS 1 MG 30 TB.</t>
  </si>
  <si>
    <t>SAIZEN 12 MG 1.5 ML 1 KARTUS</t>
  </si>
  <si>
    <t>SAIZEN 20 MG 2.5 ML 1 KARTUS</t>
  </si>
  <si>
    <t>SAIZEN 8 MG 1 ENJ.</t>
  </si>
  <si>
    <t>SALAGEN 5 MG 84 FTB.</t>
  </si>
  <si>
    <t>SALAZOPYRINE 500 MG 50 TB.</t>
  </si>
  <si>
    <t>SALMIDEN 500 MG 100 TB.</t>
  </si>
  <si>
    <t>SALOFALK 1 GR REKTAL KOPUK</t>
  </si>
  <si>
    <t>SALOFALK 1000 MG 100 SASE</t>
  </si>
  <si>
    <t>SALOFALK 250 MG 100 TB.</t>
  </si>
  <si>
    <t>SALOFALK 4 GR 60 ML 7 TUP</t>
  </si>
  <si>
    <t>SALOFALK 500 MG 100 TB.</t>
  </si>
  <si>
    <t>SALOFALK 500 MG 30 SUPP.</t>
  </si>
  <si>
    <t>SALRES 100 MCG 200 DOZ INH.</t>
  </si>
  <si>
    <t>SAMSCA 15 MG 10 TB.</t>
  </si>
  <si>
    <t>SANDIMMUN 100 MG 50 CAP.</t>
  </si>
  <si>
    <t>SANDIMMUN 25 MG 50 CAP.</t>
  </si>
  <si>
    <t>SANDIMMUN 50 MG 10 AMP.</t>
  </si>
  <si>
    <t>SANDOMIGRAN 0.5 MG 30 DRJ.</t>
  </si>
  <si>
    <t>SANDOSTATIN LAR 10 MG 1 FLK.</t>
  </si>
  <si>
    <t>SANDOSTATIN LAR 20 MG 1 FLK.</t>
  </si>
  <si>
    <t>SANDOSTATIN LAR 30 MG 1 FLK.</t>
  </si>
  <si>
    <t>SANELOC 100 MG 20 TB.</t>
  </si>
  <si>
    <t>SANELOC 200 MG 20 TB.</t>
  </si>
  <si>
    <t>SANELOC 200 MG 30 TB.</t>
  </si>
  <si>
    <t>SANELOC 50 MG 20 TB.</t>
  </si>
  <si>
    <t>SANELOC 50 MG 30 TB.</t>
  </si>
  <si>
    <t>SANTAFER 50 MG 150 ML SRP.</t>
  </si>
  <si>
    <t>SANTIS AGIZDA DAGILAN 4 MG 10</t>
  </si>
  <si>
    <t>SANTIS AGIZDA DAGILAN 8 MG 10</t>
  </si>
  <si>
    <t>SANTRA 1 MG 28 TB.</t>
  </si>
  <si>
    <t>SARILEN 100 MG 28 FTB.</t>
  </si>
  <si>
    <t>SARILEN 50 MG 28 FTB.</t>
  </si>
  <si>
    <t>SARILEN PLUS 100/12.5 28 FTB.</t>
  </si>
  <si>
    <t>SARVAS 50 MG 28 FTB.</t>
  </si>
  <si>
    <t>SARVASTAN 50/12.5 MG 28 FTB.</t>
  </si>
  <si>
    <t>SAXENDA 6 MG 3 ML 3 PEN</t>
  </si>
  <si>
    <t>SAYFREN  5 MG 28 TB</t>
  </si>
  <si>
    <t>SAYFREN 1 MG 150 ML ORAL SOL.</t>
  </si>
  <si>
    <t>SAYFREN 10 MG 28 TB</t>
  </si>
  <si>
    <t>SAYFREN 15 MG 28 TB</t>
  </si>
  <si>
    <t>SAYFREN 30 MG 28 TB.</t>
  </si>
  <si>
    <t>SEBIROX %1.5 100 ML SAMP.</t>
  </si>
  <si>
    <t>SEBIVO 600 MG 28 FTB.</t>
  </si>
  <si>
    <t>SEBRALER 50 MCG 30 INH CAP.</t>
  </si>
  <si>
    <t>SEBRALER 50 MCG 90 INH CAP.</t>
  </si>
  <si>
    <t>SECITA 10 MG 28 FTB</t>
  </si>
  <si>
    <t>SECITA 10 MG 56 FTB</t>
  </si>
  <si>
    <t>SECITA 15 MG 28 FTB</t>
  </si>
  <si>
    <t>SECITA 20 MG 28 FTB</t>
  </si>
  <si>
    <t>SECITA 20 MG 56 FTB</t>
  </si>
  <si>
    <t>SECITA 5 MG 28 FTB</t>
  </si>
  <si>
    <t>SEDEVER 15 MG 3 ML 5 AMP**</t>
  </si>
  <si>
    <t>SEF 1 GR 16 TB.</t>
  </si>
  <si>
    <t>SEF 1 GR 20 TB.</t>
  </si>
  <si>
    <t>SEF 250 MG 100 ML SUSP.</t>
  </si>
  <si>
    <t>SEF 250 MG 80 ML SUSP.</t>
  </si>
  <si>
    <t>SEF 500 MG 100 ML SUSP.</t>
  </si>
  <si>
    <t>SEF 500 MG 16 TB.</t>
  </si>
  <si>
    <t>SEFAL 25 MG 50 TB.</t>
  </si>
  <si>
    <t>SEFAL FORT 75 MG 20 TB.</t>
  </si>
  <si>
    <t>SEFAZOL 1000 MG IM 1 FLK.</t>
  </si>
  <si>
    <t>SEFAZOL 250 MG IM 1 FLK.</t>
  </si>
  <si>
    <t>SEFAZOL 500 MG IM 1 FLK.</t>
  </si>
  <si>
    <t>SEFFUR 750 MG IM 1 FLK.</t>
  </si>
  <si>
    <t>SEFOTAK 1000 MG 1 FLK.</t>
  </si>
  <si>
    <t>SEFOTAK 500 MG 1 FLK.</t>
  </si>
  <si>
    <t>SEFPODO 200 MG 10 FTB.</t>
  </si>
  <si>
    <t>SEFPODO 200 MG 20 FTB.</t>
  </si>
  <si>
    <t>SEFSIDAL 200 MG 14 FTB.</t>
  </si>
  <si>
    <t>SEFTECH 200 MG 15 FTB.</t>
  </si>
  <si>
    <t>SEFTECH 200 MG 20 FTB.</t>
  </si>
  <si>
    <t>SEKROL 15 MG 150 ML PED SRP.</t>
  </si>
  <si>
    <t>SEKROL 30 MG 150 ML SRP.</t>
  </si>
  <si>
    <t>SELECTRA 100 MG 28 FTB</t>
  </si>
  <si>
    <t>SELECTRA 25  MG 28 FTB.</t>
  </si>
  <si>
    <t>SELECTRA 50  MG 28 FTB</t>
  </si>
  <si>
    <t>SELINCRO 18 MG 14 FTB.</t>
  </si>
  <si>
    <t>SELINCRO 18 MG 7 FTB.</t>
  </si>
  <si>
    <t>SELOVITA C 500 MG 5 ML 5 AMP.</t>
  </si>
  <si>
    <t>SELOVITA D3 300.000 IU 1 AMP.</t>
  </si>
  <si>
    <t>SEMPRIBAN 150 MG 3 TB.</t>
  </si>
  <si>
    <t>SEMPRIBAN 3 MG 3 ML 1 AMP.</t>
  </si>
  <si>
    <t>SENNALAX 20 MG 20 ENT TB.</t>
  </si>
  <si>
    <t>SENNALAX 20 MG 30 ENT TB.</t>
  </si>
  <si>
    <t>SEQUA 25 MG 30 FTB.</t>
  </si>
  <si>
    <t>SEQUA 300 MG 30 FTB.</t>
  </si>
  <si>
    <t>SERAIR 250/50 MCG 60 INH CAP.</t>
  </si>
  <si>
    <t>SERAIR 50/500 MCG 60 CAP.</t>
  </si>
  <si>
    <t>SERALIN  50 MG 28 FTB.</t>
  </si>
  <si>
    <t>SERALIN 100 MG 28 FTB.</t>
  </si>
  <si>
    <t>SERDOLECT  4 MG 30 FTB.</t>
  </si>
  <si>
    <t>SERDOLECT 12 MG 28 FTB.</t>
  </si>
  <si>
    <t>SERDOLECT 16 MG 28 FTB.</t>
  </si>
  <si>
    <t>SERDOLECT 20 MG 28 FTB.</t>
  </si>
  <si>
    <t>SEREBIL SPECIAL 80 MG 30 FTB</t>
  </si>
  <si>
    <t>SEREX 100 MG 30 FTB.</t>
  </si>
  <si>
    <t>SEREX 200 MG 30 FTB.</t>
  </si>
  <si>
    <t>SEREX 25 MG 30 FTB.</t>
  </si>
  <si>
    <t>SEREX 300 MG 30 FTB.</t>
  </si>
  <si>
    <t>SEROQUEL 100 MG 30 TB.</t>
  </si>
  <si>
    <t>SEROQUEL 200 MG 30 TB.</t>
  </si>
  <si>
    <t>SEROQUEL 200 MG 60 TB.</t>
  </si>
  <si>
    <t>SEROQUEL 25 MG 30 TB.</t>
  </si>
  <si>
    <t>SEROQUEL 300 MG 30 TB.</t>
  </si>
  <si>
    <t>SEROQUEL 300 MG 60 TB.</t>
  </si>
  <si>
    <t>SEROQUEL XR 150 MG 30 TB.</t>
  </si>
  <si>
    <t>SEROQUEL XR 300 MG 30 TB.</t>
  </si>
  <si>
    <t>SEROQUEL XR 400 MG 30 TB.</t>
  </si>
  <si>
    <t>SEROZIL 250 MG 100 ML SUSP.</t>
  </si>
  <si>
    <t>SERPERIL 8 MG 30 TB.</t>
  </si>
  <si>
    <t>SERUM FIZ.10X10 AMP.(ADEKA)</t>
  </si>
  <si>
    <t>SERUM FIZ.2X10 AMP (ADEKA)</t>
  </si>
  <si>
    <t>SERUM FIZ.5X10 AMP (ADEKA)</t>
  </si>
  <si>
    <t>SERUM SALE % 20 10 ML 10 AMP</t>
  </si>
  <si>
    <t>SETINOX 10 MG 28 CAP.</t>
  </si>
  <si>
    <t>SETINOX 18 MG 28 CAP.</t>
  </si>
  <si>
    <t>SETINOX 25 MG 28 CAP.</t>
  </si>
  <si>
    <t>SETINOX 40 MG 28 CAP.</t>
  </si>
  <si>
    <t>SETINOX 60 MG 28 CAP.</t>
  </si>
  <si>
    <t>SETROPIL 1 GR 5 ML 12 AMP.</t>
  </si>
  <si>
    <t>SEVAREN 800 MG 180 TB.</t>
  </si>
  <si>
    <t>SEVIKAR 20/5 MG 28 FTB.</t>
  </si>
  <si>
    <t>SEVIKAR 40/10 MG 28 FTB.</t>
  </si>
  <si>
    <t>SEVIKAR 40/5 MG 28 FTB.</t>
  </si>
  <si>
    <t>8699828520023</t>
  </si>
  <si>
    <t>SEVLURAN İNHALASYON ÇÖZELTİSİ %100</t>
  </si>
  <si>
    <t>SEVPRAM 10 MG 28 FTB</t>
  </si>
  <si>
    <t>SIBELIUM 5 MG 50 TB.</t>
  </si>
  <si>
    <t>SICCAPOS 10 GR OFT. JEL</t>
  </si>
  <si>
    <t>SICCAPROTECT 10 ML GOZ GTT.</t>
  </si>
  <si>
    <t>SIDATRIA 245/200 MG 30 FTB.</t>
  </si>
  <si>
    <t>SIDOVIS 375 MG 5 ML 1 FLK.</t>
  </si>
  <si>
    <t>SIGMASPORIN 100 MG 30 CAP.</t>
  </si>
  <si>
    <t>SIGMASPORIN 100 MG 50 ML ORAL</t>
  </si>
  <si>
    <t>SIGMASPORIN 25 MG 50 CAP.</t>
  </si>
  <si>
    <t>SIGNIFOR 0.3 MG 1 ML 60 AMP.</t>
  </si>
  <si>
    <t>SIGNIFOR 0.6 MG 1 ML 60 AMP.</t>
  </si>
  <si>
    <t>SIGNIFOR 0.9 MG 1 ML 60 AMP.</t>
  </si>
  <si>
    <t>SIKLOPLEJIN %1 5 ML GOZ GTT *</t>
  </si>
  <si>
    <t>SILANEM 500 MG 1 FLK.</t>
  </si>
  <si>
    <t>SILDEGRA 100 MG 4 FTB.</t>
  </si>
  <si>
    <t>SILDEGRA 50 MG 4 FTB.</t>
  </si>
  <si>
    <t>SILFECT 100 MG 4 FTB.</t>
  </si>
  <si>
    <t>SILFECT 50 MG 4 FTB.</t>
  </si>
  <si>
    <t>SILMED 100 MG 4 FTB.</t>
  </si>
  <si>
    <t>SILVADIAZIN %1 40 GR KR.</t>
  </si>
  <si>
    <t>SILVAMED %1 40 GR KR.</t>
  </si>
  <si>
    <t>SILVERDIN %1 40 GR KR.</t>
  </si>
  <si>
    <t>SILVERDIN %1 400 GR KR.</t>
  </si>
  <si>
    <t>SILVERDIN PLUS %1+5 50 GR KR.</t>
  </si>
  <si>
    <t>SIMDAX 2.5 MG 5 ML 1 FLK.</t>
  </si>
  <si>
    <t>SIMFLAT 40/80 MG 30 FTB.</t>
  </si>
  <si>
    <t>SIMILAC ALIMENTUM 400 GR.</t>
  </si>
  <si>
    <t>SIMILAC HIGH ENERG 200 ML.</t>
  </si>
  <si>
    <t>SIMILAC NEOSURE 370 GR.</t>
  </si>
  <si>
    <t>SIMPONI 50 MG 0.5 ML 1 ENJ.</t>
  </si>
  <si>
    <t>SIMPONI 50 MG 0.5 ML 1 PEN.</t>
  </si>
  <si>
    <t>SIMULECT 20 MG 1 FLK.</t>
  </si>
  <si>
    <t>SINAKORT A 40 MG 1 AMP.</t>
  </si>
  <si>
    <t>SINECOD 7.5 MG 100 ML SRP.</t>
  </si>
  <si>
    <t>SINECOD DEPO 50 MG 20 TB.</t>
  </si>
  <si>
    <t>SINEGRA 100 MG 4 FTB.</t>
  </si>
  <si>
    <t>SINEGRA 50 MG 4 FTB.</t>
  </si>
  <si>
    <t>SINERAL 500 MG 10 FTB.</t>
  </si>
  <si>
    <t>SINGULAIR 10 MG 28 TB.</t>
  </si>
  <si>
    <t>SINGULAIR 4 MG 28 TB.</t>
  </si>
  <si>
    <t>SINGULAIR 5 MG 28 TB.</t>
  </si>
  <si>
    <t>SIN-MONT 10 MG 28 TB.</t>
  </si>
  <si>
    <t>SIN-MONT 4 MG 28 TB.</t>
  </si>
  <si>
    <t>SIN-MONT 5 MG 28 TB.</t>
  </si>
  <si>
    <t>SINOPRYL 10 MG 30 TB.</t>
  </si>
  <si>
    <t>SINOPRYL 20 MG 30 TB.</t>
  </si>
  <si>
    <t>SINOPRYL 5 MG 30 TB.</t>
  </si>
  <si>
    <t>SINORETIK 20/12.5 MG 30 TB.</t>
  </si>
  <si>
    <t>SINUPRET FORT 20 TB.</t>
  </si>
  <si>
    <t>SIPRAKTIN 2 MG 240 ML SRP.</t>
  </si>
  <si>
    <t>SIPROGUT %0.3 5 ML GOZ GTT.</t>
  </si>
  <si>
    <t>SIPROGUT %0.3 5 ML KULAK GTT.</t>
  </si>
  <si>
    <t>SIPROGUT PLUS %0.3+%0.1 KULAK</t>
  </si>
  <si>
    <t>8681428010509</t>
  </si>
  <si>
    <t>SIRDALUD 2 MG 30 TB.</t>
  </si>
  <si>
    <t>SIRDALUD MR 6 MG 10 CAP.</t>
  </si>
  <si>
    <t>SIROKSIL TIRNAK CILASI SETI</t>
  </si>
  <si>
    <t>SISTECS 300 MG 3 ML 10 AMP.</t>
  </si>
  <si>
    <t>SISTRAL %1.5 20 GR KR.</t>
  </si>
  <si>
    <t>SISTRAL %1.5 40 GR KR.</t>
  </si>
  <si>
    <t>SISTRAL 10 MG 1 ML 6 AMP.</t>
  </si>
  <si>
    <t>SITRAKS 40 MG 30 ML SRP.</t>
  </si>
  <si>
    <t>SIVEX %10 50 ML LOS.</t>
  </si>
  <si>
    <t>8699828150015</t>
  </si>
  <si>
    <t>SİKLOCAP 250 mg 40 KAPSÜL</t>
  </si>
  <si>
    <t>SKINOREN %20 30 GR KR.</t>
  </si>
  <si>
    <t>SLEZOL FORTE 15 ML GOZ GTT.</t>
  </si>
  <si>
    <t>SMOFKABIVEN PERIPHERAL 1448</t>
  </si>
  <si>
    <t>SOD.BICARBONAT %8.4 AMP.(GAL)</t>
  </si>
  <si>
    <t>SOD.KLORUR % 9 10 AMP.</t>
  </si>
  <si>
    <t>SOJOURN INH. 250 ML COZ.</t>
  </si>
  <si>
    <t>SOKOL 200 ML LIQ.</t>
  </si>
  <si>
    <t>SOLERAT %5+1.5+1.5 30 GR JEL</t>
  </si>
  <si>
    <t>SOLFESIRE 10 MG 30 FTB.</t>
  </si>
  <si>
    <t>SOLFESIRE 5 MG 30 FTB.</t>
  </si>
  <si>
    <t>SOLIAN 100 MG 60 ML ORAL SOL.</t>
  </si>
  <si>
    <t>SOLIAN 200 MG 60 TB.</t>
  </si>
  <si>
    <t>SOLIAN 400 MG 30 FTB.</t>
  </si>
  <si>
    <t>SOLIFAS 10 MG 30 FTB.</t>
  </si>
  <si>
    <t>SOLIFAS 5 MG 30 FTB.</t>
  </si>
  <si>
    <t>SOLIRON 10 MG 30 FTB.</t>
  </si>
  <si>
    <t>SOLIRON 5 MG 30 FTB.</t>
  </si>
  <si>
    <t>SOLIVIT N 10 X 10 FLK</t>
  </si>
  <si>
    <t>SOMATOSAN 3 MG 1 AMP.</t>
  </si>
  <si>
    <t>SOMAVERT 10 MG 30 FLK.</t>
  </si>
  <si>
    <t>SOMAVERT 15 MG 30 FLK.</t>
  </si>
  <si>
    <t>SOMAVERT 20 MG 30 FLK.</t>
  </si>
  <si>
    <t>SORMODREN 4 MG 50 TB. *</t>
  </si>
  <si>
    <t>SOTACAR 245 MG 30 FTB</t>
  </si>
  <si>
    <t>SPANOL 40 MG 30 FTB.</t>
  </si>
  <si>
    <t>SPASMEX 30 MG 50 FTB.</t>
  </si>
  <si>
    <t>SPASMOMEN 40 MG 30 FTB.</t>
  </si>
  <si>
    <t>SPAZMO PANALGINE 10 SUPP.</t>
  </si>
  <si>
    <t>SPAZMOL 20 MG 6 AMP.</t>
  </si>
  <si>
    <t>SPAZMOL PLUS 10/500 MG 20 TB.</t>
  </si>
  <si>
    <t>SPIOLTO RESP. 2.5/2.5 MCG INH</t>
  </si>
  <si>
    <t>SPIRACT 18 MG 30 INH CAP.</t>
  </si>
  <si>
    <t>SPIRIVA 18 MCG 30 INH CAP.</t>
  </si>
  <si>
    <t>SPORANOX 10 MG 150 ML SUSP.</t>
  </si>
  <si>
    <t>SPRYCEL 20 MG 60 FTB.</t>
  </si>
  <si>
    <t>SPRYCEL 50 MG 60 FTB.</t>
  </si>
  <si>
    <t>SPRYCEL 70 MG 60 FTB.</t>
  </si>
  <si>
    <t>SPYLACTON 100 MG 16 FTB.</t>
  </si>
  <si>
    <t>SPYLACTON 25 MG 20 TB.</t>
  </si>
  <si>
    <t>STABLON 12,5 MG 60 TB. **</t>
  </si>
  <si>
    <t>STAFINE %2 15 GR KR.</t>
  </si>
  <si>
    <t>STAFINE %2 15 GR POM.</t>
  </si>
  <si>
    <t>STAFINE 500 MG 15 FTB.</t>
  </si>
  <si>
    <t>STAFINE CORT %2+0.1 30 GR KR.</t>
  </si>
  <si>
    <t>STAFINE H %2+1 30 GR KR.</t>
  </si>
  <si>
    <t>STAGE 10 MG 28 FTB.</t>
  </si>
  <si>
    <t>STAGE 20 MG 28 FTB.</t>
  </si>
  <si>
    <t>STALEVO 100/25/200 MG FTB.</t>
  </si>
  <si>
    <t>STALEVO 200/50/200 MG 100 F</t>
  </si>
  <si>
    <t>STALEVO 50/12.5/200 MG FTB.</t>
  </si>
  <si>
    <t>STARLIX 120 MG 84 FTB.</t>
  </si>
  <si>
    <t>STATA 10 MG 28 FTB.</t>
  </si>
  <si>
    <t>STATA 20 MG 28 FTB.</t>
  </si>
  <si>
    <t>STELARA 130 MG 1 ENJ.</t>
  </si>
  <si>
    <t>STELARA 45 MG 0.5 ML 1 ENJ.</t>
  </si>
  <si>
    <t>STELARA 90 MG 1 ML 1  ENJ.</t>
  </si>
  <si>
    <t>STIDERM %5+1.5+1.5 30 GR JEL</t>
  </si>
  <si>
    <t>STILEX %5+1.5+1.5 30 GR JEL</t>
  </si>
  <si>
    <t>STILIZAN 1 MG 30 TB.</t>
  </si>
  <si>
    <t>STILIZAN 2 MG 30 TB.</t>
  </si>
  <si>
    <t>STILIZAN 5 MG 30 TB.</t>
  </si>
  <si>
    <t>STIVARGA 40 MG 84 FTB.</t>
  </si>
  <si>
    <t>STOCRIN 600 MG 30 FTB.</t>
  </si>
  <si>
    <t>STRATTERA 10 MG 28 CAP.</t>
  </si>
  <si>
    <t>STRATTERA 18 MG 28 CAP.</t>
  </si>
  <si>
    <t>STRATTERA 25 MG 28 CAP.</t>
  </si>
  <si>
    <t>STRATTERA 40 MG 28 CAP.</t>
  </si>
  <si>
    <t>STRATTERA 60 MG 28 CAP.</t>
  </si>
  <si>
    <t>STRATTERA 80 MG 28 CAP.</t>
  </si>
  <si>
    <t>STREPTOMYCIN 1000 MG 1 FLK.</t>
  </si>
  <si>
    <t>STRIBILD 150/200 MG 30 FTB.</t>
  </si>
  <si>
    <t>SUBOXONE 2/0.5 MG 28 TB ***</t>
  </si>
  <si>
    <t>SUBOXONE 8/2 MG 28 TB ***</t>
  </si>
  <si>
    <t>SUDAFED 30 MG 150 ML SRP*</t>
  </si>
  <si>
    <t>SUDAFED 60 MG 30 TB.*</t>
  </si>
  <si>
    <t>SUDAFED EXP 150 ML SRP</t>
  </si>
  <si>
    <t>SUKROFER 100 MG 5 ML 5 AMP.</t>
  </si>
  <si>
    <t>SULBAKSIT 0.25/0.125 GR IM/IV</t>
  </si>
  <si>
    <t>SULBAKSIT 0.5/0.25 GR IM/IV 1</t>
  </si>
  <si>
    <t>SULBAKSIT 1/0.5 GR IM 1 FLK.</t>
  </si>
  <si>
    <t>SULCID 0.25/0.125 GR IM/IV 1</t>
  </si>
  <si>
    <t>SULCID 0.5/0.25 GR IM 1 FLK.</t>
  </si>
  <si>
    <t>SULCID 1/0.5 GR IM 1 FLK.</t>
  </si>
  <si>
    <t>SULCID 1/0.5 GR IM/IV 1 FLK.</t>
  </si>
  <si>
    <t>SULCID 250 MG 100 ML SUSP.</t>
  </si>
  <si>
    <t>SULCID 250 MG 40 ML SUSP.</t>
  </si>
  <si>
    <t>SULCID 250 MG 70 ML SUSP.</t>
  </si>
  <si>
    <t>SULCID 375 MG 10 FTB.</t>
  </si>
  <si>
    <t>SULCID 375 MG 14 FTB.</t>
  </si>
  <si>
    <t>SULCID 375 MG 20 FTB.</t>
  </si>
  <si>
    <t>SULCID 750 MG 10 FTB.</t>
  </si>
  <si>
    <t>SULCID 750 MG 14 FTB.</t>
  </si>
  <si>
    <t>SULFAFUR %10 30 GR KR.</t>
  </si>
  <si>
    <t>SULFARHIN 12 GR POM.</t>
  </si>
  <si>
    <t>SULIDIN %1 30 GR JEL</t>
  </si>
  <si>
    <t>SULIDIN PLUS %1+5 50 GR JEL</t>
  </si>
  <si>
    <t>SULINEX XR 150 MG 28 TB</t>
  </si>
  <si>
    <t>SULINEX XR 225 MG 28 TB</t>
  </si>
  <si>
    <t>SULINEX XR 37.5 MG 28 TB</t>
  </si>
  <si>
    <t>SULINEX XR 75 MG 28 TB</t>
  </si>
  <si>
    <t>SULJEL %3 30 GR JEL</t>
  </si>
  <si>
    <t>SULPIR 50 MG 30 CAP.</t>
  </si>
  <si>
    <t>SULZON 1/1 GR 1 FLK.</t>
  </si>
  <si>
    <t>SULZON 2/2 GR 1 FLK.</t>
  </si>
  <si>
    <t>SUPPORTAN 500 ML.</t>
  </si>
  <si>
    <t>SUPPORTAN CAPPUCINO 200 ML.</t>
  </si>
  <si>
    <t>SUPPORTAN TROPICAL FRUITS 200</t>
  </si>
  <si>
    <t>SUPRAFEN 400 MG 100 FTB.</t>
  </si>
  <si>
    <t>SUPRAFEN 400 MG 20 FTB</t>
  </si>
  <si>
    <t>SUPRAVIT 100 ML SRP.</t>
  </si>
  <si>
    <t>SUPRAX 100 MG 100 ML SUSP.</t>
  </si>
  <si>
    <t>SUPRAX 100 MG 50 ML SUSP.</t>
  </si>
  <si>
    <t>SUPRAX 400 MG 10 FTB.</t>
  </si>
  <si>
    <t>SUPRAX 400 MG 5 FTB.</t>
  </si>
  <si>
    <t>SUPRAX DT 400 MG 10 TB.</t>
  </si>
  <si>
    <t>SUPRAX DT 400 MG 5 TB.</t>
  </si>
  <si>
    <t>SURGAM 300 MG 20 TB.</t>
  </si>
  <si>
    <t>SURGAM RETARD 300 MG 20 TB.</t>
  </si>
  <si>
    <t>SURVIMED OPD 500 ML.</t>
  </si>
  <si>
    <t>SUSTANON 250 MG 1 AMP.</t>
  </si>
  <si>
    <t>SUTENT 12.5 MG 28 CAP.</t>
  </si>
  <si>
    <t>SUTENT 25 MG 28 CAP.</t>
  </si>
  <si>
    <t>SUTENT 50 MG 14 CAP.</t>
  </si>
  <si>
    <t>SUTRIL NEO 10 MG 30 TB.</t>
  </si>
  <si>
    <t>SUTRIL NEO 5 MG 30 TB.</t>
  </si>
  <si>
    <t>SYMBICORT TURB 160/4.5 60 DOZ</t>
  </si>
  <si>
    <t>SYMBICORT TURB 80/4.5 120 DOZ</t>
  </si>
  <si>
    <t>SYMRA 150 MG 56 CAP **</t>
  </si>
  <si>
    <t>SYMRA 225 MG 56 CAP.**</t>
  </si>
  <si>
    <t>SYMRA 25 MG 56 CAP **</t>
  </si>
  <si>
    <t>SYMRA 300 MG 56 CAP **</t>
  </si>
  <si>
    <t>SYMRA 75 MG 14 CAP **</t>
  </si>
  <si>
    <t>SYMRA 75 MG 56 CAP **</t>
  </si>
  <si>
    <t>SYNAGIS 50 MG 0.5 ML 1 FLK.</t>
  </si>
  <si>
    <t>SYNJARDY 12.5/1000 MG 60 FTB.</t>
  </si>
  <si>
    <t>SYNJARDY 5/1000 MG 60 FTB.</t>
  </si>
  <si>
    <t>SYNVISC 3X2 ML ENJ.</t>
  </si>
  <si>
    <t>SYSTRAL %1.5 20 GR JEL.</t>
  </si>
  <si>
    <t>TACROLIN %0.03 30 GR POM.</t>
  </si>
  <si>
    <t>TACROLIN %0.1 30 GR POM.</t>
  </si>
  <si>
    <t>TADOLAK FORT 400 MG 14 FTB.</t>
  </si>
  <si>
    <t>TADOLAK FORT 500 MG 14 FTB</t>
  </si>
  <si>
    <t>TADOLAK SR 600 MG 10 FTB</t>
  </si>
  <si>
    <t>TAFINLAR 50 MG 120 CAP.</t>
  </si>
  <si>
    <t>TAFINLAR 75 MG 120 CAP.</t>
  </si>
  <si>
    <t>TAGRISSO 40 MG 28 FTB.</t>
  </si>
  <si>
    <t>TAGRISSO 80 MG 28 FTB.</t>
  </si>
  <si>
    <t>TAKSEN 100 MG 17 ML 1 FLK.</t>
  </si>
  <si>
    <t>TAKSEN 150 MG 25 ML 1 FLK.</t>
  </si>
  <si>
    <t>TAKSEN 30 MG 5 ML 1 FLK.</t>
  </si>
  <si>
    <t>TALCID 500 MG 200 ML SUSP.</t>
  </si>
  <si>
    <t>TALCID 500 MG 40 CIGN TB.</t>
  </si>
  <si>
    <t>TAMCEF 125 MG 100 ML SUSP.</t>
  </si>
  <si>
    <t>TAMCEF 250 MG 100 ML SUSP.</t>
  </si>
  <si>
    <t>TAMCEF 600 MG 10 EFF TB.</t>
  </si>
  <si>
    <t>TAMIDRA MR 0.4 MG 30 CAP.</t>
  </si>
  <si>
    <t>TAMOL 500 MG 20 TB.</t>
  </si>
  <si>
    <t>TAMOXIFEN 10 MG 30 TB (DEVA)</t>
  </si>
  <si>
    <t>TAMOXIFEN 10 MG 30 TB (TEVA)</t>
  </si>
  <si>
    <t>TAMOXIFEN 20 MG 30 TB (DEVA)</t>
  </si>
  <si>
    <t>TAMOXIT 10 MG 30 FTB.</t>
  </si>
  <si>
    <t>TAMOXIT 10 MG 60 FTB.</t>
  </si>
  <si>
    <t>TAMOXIT 20 MG 30 FTB.</t>
  </si>
  <si>
    <t>TAMPROST MR 0.4 MG 30 CAP.</t>
  </si>
  <si>
    <t>TAMPROST MR 0.4 MG 90 CAP.</t>
  </si>
  <si>
    <t>TANELOR 100 MG 20 FTB.</t>
  </si>
  <si>
    <t>TANELOR 25 MG 20 FTB.</t>
  </si>
  <si>
    <t>TANELOR 50 MG 20 FTB.</t>
  </si>
  <si>
    <t>TANELOR 50 MG 30 FTB.</t>
  </si>
  <si>
    <t>TANFLEX %0.15 120 ML GARG.</t>
  </si>
  <si>
    <t>TANFLEX %0.15 30 ML SPR.</t>
  </si>
  <si>
    <t>TANFLEX FORT %0.30 15 ML SPR.</t>
  </si>
  <si>
    <t>TANSIFA 16/10 MG 28 TB.</t>
  </si>
  <si>
    <t>TANSIFA 16/5 MG 28 TB.</t>
  </si>
  <si>
    <t>TANTUM %5 50 GR JEL</t>
  </si>
  <si>
    <t>TANTUM 50 MG 20 DRJ.*</t>
  </si>
  <si>
    <t>TANTUM VERDE %0.15 30 ML SPR.</t>
  </si>
  <si>
    <t>TARBETAX 250 MG 100 CAP.</t>
  </si>
  <si>
    <t>TARBETAX 500 MG 50 FTB.</t>
  </si>
  <si>
    <t>TARCEVA 100 MG 30 FTB.</t>
  </si>
  <si>
    <t>TARCEVA 150 MG 30 FTB.</t>
  </si>
  <si>
    <t>TARCEVA 25 MG 30 FTB.</t>
  </si>
  <si>
    <t>TARDEN 10 MG 30 FTB.</t>
  </si>
  <si>
    <t>TARDEN 20 MG 30 FTB.</t>
  </si>
  <si>
    <t>TARDEN 40 MG 30 FTB.</t>
  </si>
  <si>
    <t>TARDYFERON 80 MG 30 TB.</t>
  </si>
  <si>
    <t>TARGOCID 200 MG 3 ML 1 FLK.</t>
  </si>
  <si>
    <t>TARGOCID 400 MG 3 ML 1 FLK.</t>
  </si>
  <si>
    <t>TARIVID 200 MG 10 TB.</t>
  </si>
  <si>
    <t>TARIVID 400 MG 5 FTB.</t>
  </si>
  <si>
    <t>TARKA 180/2 MG 28 FTB.</t>
  </si>
  <si>
    <t>TARKA FORTE 240/4 MG 28 FTB.</t>
  </si>
  <si>
    <t>TARLUSAL 5 MG 12 TB.</t>
  </si>
  <si>
    <t>TARSINIB 100 MG 30 FTB.</t>
  </si>
  <si>
    <t>TARSINIB 150 MG 30 FTB.</t>
  </si>
  <si>
    <t>TASIGNA 200 MG 112 CAP.</t>
  </si>
  <si>
    <t>TAVANIC 500 MG 7 FTB.</t>
  </si>
  <si>
    <t>TAVEGYL 1 MG 20 TB.</t>
  </si>
  <si>
    <t>TAZERACIN 2.25 GR IV 1 FLK.</t>
  </si>
  <si>
    <t>TAZERACIN 4.5 GR IV 1 FLK.</t>
  </si>
  <si>
    <t>TAZOJECT 2.25 GR IV 1 FLK.</t>
  </si>
  <si>
    <t>TAZOJECT 4.5 GR IV 1 FLK.</t>
  </si>
  <si>
    <t>TAZOTENE %0.1 30 GR KR.</t>
  </si>
  <si>
    <t>TAZOTENE %0.1 60 GR KR.</t>
  </si>
  <si>
    <t>TD-VAC 0.5 ML 1 ENJ.</t>
  </si>
  <si>
    <t>TEARON %0.05 TEK DOZ 30 FLK.</t>
  </si>
  <si>
    <t>TEBOKAN INTENS 120 MG 30 FTB.</t>
  </si>
  <si>
    <t>TEBOKAN SPECIAL 80 MG 30 FTB.</t>
  </si>
  <si>
    <t>TECAR 240 MG 10 ML 6 AMP.</t>
  </si>
  <si>
    <t>TECFIDERA 120 MG 14 CAP.</t>
  </si>
  <si>
    <t>TECFIDERA 240 MG 56 CAP.</t>
  </si>
  <si>
    <t>TEGELINE  5 GR 100 ML 1 FLK.</t>
  </si>
  <si>
    <t>TEGLIX 120 MG 84 FTB.</t>
  </si>
  <si>
    <t>TEGRETOL %2 100 ML SRP.</t>
  </si>
  <si>
    <t>TEGRETOL 200 MG 160 TB.</t>
  </si>
  <si>
    <t>TEGRETOL 200 MG 24 TB.</t>
  </si>
  <si>
    <t>TEGRETOL CR 200 MG 20 TB.</t>
  </si>
  <si>
    <t>TEGRETOL CR 400 MG 20 TB.</t>
  </si>
  <si>
    <t>TEICOJECT 200 MG 3 ML 1 FLK.</t>
  </si>
  <si>
    <t>TEICOJECT 400 MG 3 ML 1 FLK.</t>
  </si>
  <si>
    <t>TEKAN-L 4 MG 4 ML 1 FLK.</t>
  </si>
  <si>
    <t>TEKFIN %1 15 GR KR.</t>
  </si>
  <si>
    <t>TEKFIN %1 30 GR KR.</t>
  </si>
  <si>
    <t>TEKFIN %1 30 ML SPR.</t>
  </si>
  <si>
    <t>TEKFIN 250 MG 14 TB.</t>
  </si>
  <si>
    <t>TEKFIN 250 MG 28 TB.</t>
  </si>
  <si>
    <t>TEKOSIT 200 MG 3 ML 1 FLK.</t>
  </si>
  <si>
    <t>TEKOSIT 400 MG 3 ML 1 FLK.</t>
  </si>
  <si>
    <t>TELVIS 80 MG 28 TB.</t>
  </si>
  <si>
    <t>TELVIS PLUS 80/12.5 MG 28 TB.</t>
  </si>
  <si>
    <t>TEMETEX %0.1 10 GR KR.</t>
  </si>
  <si>
    <t>TEMETEX %0.1 10 GR POM.</t>
  </si>
  <si>
    <t>TEMETEX FORT %0.3 10 GR POM.</t>
  </si>
  <si>
    <t>TEMODAL 100 MG 5 CAP.</t>
  </si>
  <si>
    <t>TEMODAL 20 MG 5 CAP.</t>
  </si>
  <si>
    <t>TEMODAL 250 MG 5 CAP.</t>
  </si>
  <si>
    <t>TEMODAL 5 MG 5 CAP.</t>
  </si>
  <si>
    <t>TEMOMID 100 MG 5 CAP.</t>
  </si>
  <si>
    <t>TEMOMID 20 MG 5 CAP.</t>
  </si>
  <si>
    <t>TEMOMID 250 MG 5 CAP.</t>
  </si>
  <si>
    <t>TEMOMID 5 MG 5 CAP.</t>
  </si>
  <si>
    <t>TEMOZOLID 100 MG 5 CAP.</t>
  </si>
  <si>
    <t>TEMOZOLID 20 MG 5 CAP.</t>
  </si>
  <si>
    <t>TEMOZOLID 250 MG 5 CAP.</t>
  </si>
  <si>
    <t>TENIPRA 120 MG 14 CAP.</t>
  </si>
  <si>
    <t>TENIPRA 240 MG 56 CAP.</t>
  </si>
  <si>
    <t>TENORETIC 100/25 MG 28 FTB.</t>
  </si>
  <si>
    <t>TENORETIC 50/12.5 MG 28 FTB.</t>
  </si>
  <si>
    <t>TENOVIRAL 245 MG 30 FTB.</t>
  </si>
  <si>
    <t>TENRIBEL 245 MG 30 FTB.</t>
  </si>
  <si>
    <t>TENSART 16 MG 28 TB.</t>
  </si>
  <si>
    <t>TENSART 32 MGÿ28 TB.</t>
  </si>
  <si>
    <t>TENSART 8 MG 28 TB.</t>
  </si>
  <si>
    <t>TENSART PLUS 32 MG/12.5 MG 28</t>
  </si>
  <si>
    <t>TENSINOR 100 MG 28 TB.</t>
  </si>
  <si>
    <t>TENSINOR 50 MG 28 TB.</t>
  </si>
  <si>
    <t>TEOKAP SR 100 MG 30 CAP.</t>
  </si>
  <si>
    <t>TEOKAP SR 200 MG 30 CAP.</t>
  </si>
  <si>
    <t>TEOKAP SR 300 MG 30 CAP.</t>
  </si>
  <si>
    <t>TERA D3 300.000 IU 1 AMP.</t>
  </si>
  <si>
    <t>TERA D3 50.000 IU 15 ML GTT.</t>
  </si>
  <si>
    <t>TERAPIX %0.5 50 GR JEL</t>
  </si>
  <si>
    <t>TERBISIL %1 30 GR KR.</t>
  </si>
  <si>
    <t>TERBISIL %1 30 ML SPR.</t>
  </si>
  <si>
    <t>TERBISIL 250 MG 14 TB.</t>
  </si>
  <si>
    <t>TERBISIL 250 MG 28 TB.</t>
  </si>
  <si>
    <t>TERKUR %19 30 GR KR.</t>
  </si>
  <si>
    <t>TERMINUS %1 30 GR KR.</t>
  </si>
  <si>
    <t>TERMINUS %1 30 ML SPR.</t>
  </si>
  <si>
    <t>TERMINUS 250 MG 14 TB.</t>
  </si>
  <si>
    <t>TERMINUS 250 MG 28 TB.</t>
  </si>
  <si>
    <t>TERNAVIR 245 MG 30 FTB.</t>
  </si>
  <si>
    <t>TEROLAM 800 MG FTB.</t>
  </si>
  <si>
    <t>TERRAMYCIN 3.5 GR OFT. POM.</t>
  </si>
  <si>
    <t>TERRAMYCIN DERI POM.</t>
  </si>
  <si>
    <t>TESTOGEL 50 MG 30 JEL SASE</t>
  </si>
  <si>
    <t>TETAVAX 1 ENJ 1 DOZ</t>
  </si>
  <si>
    <t>TETRA 250 MG 16 CAP.</t>
  </si>
  <si>
    <t>TETRA 500 MG 16 CAP.</t>
  </si>
  <si>
    <t>TETRADOX 100 MG 14 CAP.</t>
  </si>
  <si>
    <t>TEVAGRASTIM 48/0.8 ML 5 ENJ.</t>
  </si>
  <si>
    <t>TEVETEN 600 MG 28 TB</t>
  </si>
  <si>
    <t>TEXEF PLUS 200/125 MG 20 FTB.</t>
  </si>
  <si>
    <t>THALIDOMIDE 50 MG 28 CAP.</t>
  </si>
  <si>
    <t>THERAFLU FORT 20 FTB.</t>
  </si>
  <si>
    <t>THERMO RHEUMON %1+10 50 GR KR</t>
  </si>
  <si>
    <t>THERMO SULIDIN %1+0.025 50 GR</t>
  </si>
  <si>
    <t>THERMO-DOLINE %1+10 50 GR KR</t>
  </si>
  <si>
    <t>THERMO-EFAMAT %1+10 50 GR KR</t>
  </si>
  <si>
    <t>THERMOFLEX %1+10 50 GR KR</t>
  </si>
  <si>
    <t>THERMOVE %1+10 50 GR KR</t>
  </si>
  <si>
    <t>THILO TEARS SE %0.3 20 GR OFT</t>
  </si>
  <si>
    <t>THINCAL 120 MG 42 CAP.</t>
  </si>
  <si>
    <t>THINCAL 120 MG 84 CAP.</t>
  </si>
  <si>
    <t>THIOCILLINE 30 GR POM.</t>
  </si>
  <si>
    <t>THIOCILLINE 5 GR OFT. POM.</t>
  </si>
  <si>
    <t>THIOCTACID 600 MG 30 FTB.</t>
  </si>
  <si>
    <t>THYROMAZOL 5 MG 100 TB.</t>
  </si>
  <si>
    <t>TICLOCARD 250 MG 30 FTB.</t>
  </si>
  <si>
    <t>TIGEJECT 50 MG 10 FLK.</t>
  </si>
  <si>
    <t>TILAC 400 MG 14 FTB</t>
  </si>
  <si>
    <t>TILAC SR 600 MG 10 TB</t>
  </si>
  <si>
    <t>TILCOTIL 20 MG 10 FTB</t>
  </si>
  <si>
    <t>TILCOTIL 20 MG 2 ML 1  FLK.</t>
  </si>
  <si>
    <t>TIMOSOL %0.5 5 ML GOZ GTT.</t>
  </si>
  <si>
    <t>TINSERC 16 MG 30 TB.</t>
  </si>
  <si>
    <t>TINSERC 8 MG 30 TB.</t>
  </si>
  <si>
    <t>TIOCURE %1 20 GR KR.</t>
  </si>
  <si>
    <t>TIODAY 18 MCG 30 INH CAP.</t>
  </si>
  <si>
    <t>TIO-DEXIREN 25/4 MG 20 FTB.</t>
  </si>
  <si>
    <t>TIO-DEXIREN 25/8 MG 14 FTB.</t>
  </si>
  <si>
    <t>TIOFIX DISC 18 MCG 60 DOZ</t>
  </si>
  <si>
    <t>TIOFORM DISC 18 MCG 60 DOZ</t>
  </si>
  <si>
    <t>TIOPATI 600 MG HR 30 FTB.</t>
  </si>
  <si>
    <t>TIORELAX 8 MG 14 TB</t>
  </si>
  <si>
    <t>TIOTEK DISC 18 MCG 60 DOZ</t>
  </si>
  <si>
    <t>TIOUMIT 18 MCG 30 INH CAP.</t>
  </si>
  <si>
    <t>TIRECORT %2+0.1 30 GR KR.</t>
  </si>
  <si>
    <t>TIREMIX %2 20 GR KR.</t>
  </si>
  <si>
    <t>TIROBIF 12.5 MG 50 ML 1 FLK.</t>
  </si>
  <si>
    <t>TIROMEL 25 MCG 100 TB</t>
  </si>
  <si>
    <t>TISINON 10 MG 60 CAP.</t>
  </si>
  <si>
    <t>TISINON 5 MG 60 CAP.</t>
  </si>
  <si>
    <t>TIVICAY 10 MG 30 FTB.</t>
  </si>
  <si>
    <t>TIVICAY 25 MG 30 FTB.</t>
  </si>
  <si>
    <t>TIVICAY 50 MG 30 FTB.</t>
  </si>
  <si>
    <t>TIYOKAS JEL 30 GR</t>
  </si>
  <si>
    <t>TOBI 300 MG 5 ML 56 AMP.</t>
  </si>
  <si>
    <t>TOBRASED %0.3 5 GR OFT. POM.</t>
  </si>
  <si>
    <t>TOBRASED %0.3 5 ML GOZ GTT.</t>
  </si>
  <si>
    <t>TOBREX %0.3 3.5 GR OFT. POM.</t>
  </si>
  <si>
    <t>TOBREX %0.3 5 ML GOZ GTT.</t>
  </si>
  <si>
    <t>TOBSIN %0.3 5 ML GOZ GTT.</t>
  </si>
  <si>
    <t>TOFRANIL 25 MG 50 TB.</t>
  </si>
  <si>
    <t>TOLVON 10 MG 30 TB.</t>
  </si>
  <si>
    <t>TOLVON 30 MG 14 TB.</t>
  </si>
  <si>
    <t>TOMEC %0.5+2 5 ML GOZ GTT.</t>
  </si>
  <si>
    <t>TOMEC %0.5+2 6 ML GOZ GTT.</t>
  </si>
  <si>
    <t>TOPAMAX 100 MG 60 TB</t>
  </si>
  <si>
    <t>TOPAMAX 200 MG 60 TB</t>
  </si>
  <si>
    <t>TOPAMAX 25 MG 60 TB</t>
  </si>
  <si>
    <t>TOPAMAX 50 MG 60 TB</t>
  </si>
  <si>
    <t>TOPICLIN %0.03 30 GR POM.</t>
  </si>
  <si>
    <t>TOPICLIN %0.1 30 GR POM.</t>
  </si>
  <si>
    <t>TOPOTU 4 MG 4 ML 1 FLK.</t>
  </si>
  <si>
    <t>TOREDA SR 4 MG 28 CAP.</t>
  </si>
  <si>
    <t>TORISEL 25 MG 1 FLK.</t>
  </si>
  <si>
    <t>TOUJEO 300 IU 1.5 ML 5 PEN</t>
  </si>
  <si>
    <t>TOVIAZ 4 MG 28 TB.</t>
  </si>
  <si>
    <t>TOVIAZ 8 MG 28 TB.</t>
  </si>
  <si>
    <t>TRACLEER 125 MG 56 FTB.</t>
  </si>
  <si>
    <t>TRACLEER 62.5 MG 56 FTB.</t>
  </si>
  <si>
    <t>TRACOVOL %1+0.1 15 GR KR.</t>
  </si>
  <si>
    <t>TRACTAN 125 MG 56 FTB.</t>
  </si>
  <si>
    <t>TRACTAN 62.5 MG 56 FTB.</t>
  </si>
  <si>
    <t>TRACTOCILE 7.5 MG 5 ML 1 FLK.</t>
  </si>
  <si>
    <t>TRACUTIL 5 AMP</t>
  </si>
  <si>
    <t>TRAJENTA 5 MG 30 FTB.</t>
  </si>
  <si>
    <t>8680400770660</t>
  </si>
  <si>
    <t>TRAMOSEL I.V./I.M./S.C. 100 mg/2 mL 5 AMPUL</t>
  </si>
  <si>
    <t>TRANEXEL 250 MG 5 ML 10 AMP.</t>
  </si>
  <si>
    <t>TRANSAMINE 500 MG 50 FTB.</t>
  </si>
  <si>
    <t>TRAVAZOL %1+0.1 15 GR KR.</t>
  </si>
  <si>
    <t>TRAVOCORT %1+0.1 15 GR KR.</t>
  </si>
  <si>
    <t>TRAVOGEN %1 30 GR KR.</t>
  </si>
  <si>
    <t>TRE KREM %0.05 30 GR KR.</t>
  </si>
  <si>
    <t>TRELEGY ELLIP 100/62.5/25 MCG</t>
  </si>
  <si>
    <t>TREMAC 500 MG 3 FTB.</t>
  </si>
  <si>
    <t>TRENTAL CR 600 MG 20 FTB.</t>
  </si>
  <si>
    <t>8699527750011</t>
  </si>
  <si>
    <t>TRENTILIN 100 MG 5 ML 5 AMP.</t>
  </si>
  <si>
    <t>TRENTILIN RET 400 MG 20 FTB.</t>
  </si>
  <si>
    <t>TREPAR 1 MG 30 TB.</t>
  </si>
  <si>
    <t>TRETIN %0.05 30 GR KR.</t>
  </si>
  <si>
    <t>TREVICTA 175 MG 1 IM ENJ.</t>
  </si>
  <si>
    <t>TREVICTA 263 MG 1 IM ENJ.</t>
  </si>
  <si>
    <t>TREVICTA 350 MG 1 IM ENJ.</t>
  </si>
  <si>
    <t>TREVICTA 525 MG 1 IM ENJ.</t>
  </si>
  <si>
    <t>TRH 0.2 MG 1 AMP</t>
  </si>
  <si>
    <t>TRIAKNE %10 EMUL JEL 50 GR.</t>
  </si>
  <si>
    <t>TRIAKNE %5 EMUL JEL 50 GR.</t>
  </si>
  <si>
    <t>TRIANSERIL 50/25 MG 20 CAP.</t>
  </si>
  <si>
    <t>TRIAVER 40 MG 1 AMP.</t>
  </si>
  <si>
    <t>TRIBUDAT 100 MG 40 TB.</t>
  </si>
  <si>
    <t>TRIBUDAT FORT 200 MG 20 TB.</t>
  </si>
  <si>
    <t>TRIBUDAT FORT 200 MG 40 TB.</t>
  </si>
  <si>
    <t>TRICEF 125 MG 100 ML SUSP.</t>
  </si>
  <si>
    <t>TRICEF 250 MG 100 ML SUSP.</t>
  </si>
  <si>
    <t>TRICEF 300 MG 10 FTB.</t>
  </si>
  <si>
    <t>TRICEF 300 MG 20 FTB.</t>
  </si>
  <si>
    <t>TRIFLUCAN 100 MG 50 ML 1 FLK.</t>
  </si>
  <si>
    <t>TRIFLUCAN 100 MG 7 CAP.</t>
  </si>
  <si>
    <t>TRIFLUCAN 200 MG 7 CAP.</t>
  </si>
  <si>
    <t>TRIFLUCAN 5 MG 70 ML SRP.</t>
  </si>
  <si>
    <t>TRIGAST 10/800/165 MG 12 TB.</t>
  </si>
  <si>
    <t>TRIGAST 10/800/165 MG 6 TB.</t>
  </si>
  <si>
    <t>TRILEPTAL 300 MG 50 TB</t>
  </si>
  <si>
    <t>TRILEPTAL 60 MG 250 ML SUSP.</t>
  </si>
  <si>
    <t>TRILEPTAL 600 MG 50 TB</t>
  </si>
  <si>
    <t>TRIMOKS 400/80 MG 30 TB.</t>
  </si>
  <si>
    <t>TRIPLIXAM 5/1.25/5 MG 30 FTB.</t>
  </si>
  <si>
    <t>TRIPLUS MR 35 MG 60 FTB.</t>
  </si>
  <si>
    <t>TRISEQUENS 4/2 MG 28 TB.</t>
  </si>
  <si>
    <t>TRIUMEQ 50/600/300 MG 30 FTB.</t>
  </si>
  <si>
    <t>TRIVAG 3 VAG. OVUL</t>
  </si>
  <si>
    <t>TRIVASTAL 50 MG RETARD 30 TB.</t>
  </si>
  <si>
    <t>TROCMETAM 20 MG 2 ML 1  FLK.</t>
  </si>
  <si>
    <t>TRODERM %1+0.1 15 GR KR.</t>
  </si>
  <si>
    <t>TROKAR %1+0.1 15 GR KR.</t>
  </si>
  <si>
    <t>TROMBOLIZ 75 MG 50 FTB.</t>
  </si>
  <si>
    <t>TROPAMID %0.5 5 ML GOZ GTT. *</t>
  </si>
  <si>
    <t>TRUVADA 245/200 MG 30 FTB.</t>
  </si>
  <si>
    <t>TRUVENT 245/200 MG 30 FTB.</t>
  </si>
  <si>
    <t>TRUXIMA 500 MG 50 ML 1 FLK.</t>
  </si>
  <si>
    <t>8697637750051</t>
  </si>
  <si>
    <t>TURKTIPSAN METAMIZOL SODYUM 1000 MG/2 ML IM/IV 10 ENJ</t>
  </si>
  <si>
    <t>TUROSIF 30 MG 150 ML SRP.</t>
  </si>
  <si>
    <t>TUSAMOL 7.5 MG 100 ML SRP.</t>
  </si>
  <si>
    <t>TUSCOD 7.5 MG 100 ML SRP.</t>
  </si>
  <si>
    <t>TUSEBRON 50 MG 120 ML SRP.</t>
  </si>
  <si>
    <t>TUSPAMIN 7 MG 100 ML SRP.</t>
  </si>
  <si>
    <t>TYGACIL 50 MG 10 FLK.</t>
  </si>
  <si>
    <t>8699844791612</t>
  </si>
  <si>
    <t>TYGEX 50 MG 10 AMPOULES</t>
  </si>
  <si>
    <t>TYKERB 250 MG 70 FTB.</t>
  </si>
  <si>
    <t>TYLOL 120 MG 100 ML PED SUSP.</t>
  </si>
  <si>
    <t>TYLOL 500 MG 20 TB</t>
  </si>
  <si>
    <t>TYLOL HOT 12 POS</t>
  </si>
  <si>
    <t>TYLOL HOT C 12 POS</t>
  </si>
  <si>
    <t>TYLOL HOT DAY 12 POS</t>
  </si>
  <si>
    <t>TYLOL PLUS 500/30 MG 20 TB.</t>
  </si>
  <si>
    <t>TYOFLEX %0.25 30 GR POM.</t>
  </si>
  <si>
    <t>TYOFLEX 4 MG 2 ML 6 AMP.</t>
  </si>
  <si>
    <t>TYOFLEX 4 MG 20 CAP.</t>
  </si>
  <si>
    <t>TYOFLEX FORT 8 MG 10 CAP.</t>
  </si>
  <si>
    <t>TYR EXPRESS 750 GR.</t>
  </si>
  <si>
    <t>TYR GEL 720 GR.</t>
  </si>
  <si>
    <t>TYSABRI 300 MG 1 FLK.</t>
  </si>
  <si>
    <t>UCEDANE 200 MG 60 TB.</t>
  </si>
  <si>
    <t>UKRA 600 MG 30 FTB.</t>
  </si>
  <si>
    <t>ULCURAN 50 MG 10 AMP.</t>
  </si>
  <si>
    <t>ULSEPAN 40 MG 28 TB.</t>
  </si>
  <si>
    <t>ULTIVA 2 MG 5 FLK ***</t>
  </si>
  <si>
    <t>ULTRACAIN DS 2 ML 20 AMP.</t>
  </si>
  <si>
    <t>ULTRACAIN DS FORTE 100 KARPUL</t>
  </si>
  <si>
    <t>ULTRACEF 500 MG 20 FTB.</t>
  </si>
  <si>
    <t>ULTRALAN 20 MG 10 TB.</t>
  </si>
  <si>
    <t>ULTRAPROCT 10 GR POM.</t>
  </si>
  <si>
    <t>ULTRAPROCT SUPP.</t>
  </si>
  <si>
    <t>ULTRAVER DS 2 ML 20 AMP.</t>
  </si>
  <si>
    <t>ULTRAVER DS FORTE 2 ML 20 AMP</t>
  </si>
  <si>
    <t>ULTRAVIST 300 MG 50 ML 1 FLK.</t>
  </si>
  <si>
    <t>ULTRAVIST 370 MG 50 ML 1 FLK.</t>
  </si>
  <si>
    <t>ULTROX 10 MG 28 FTB.</t>
  </si>
  <si>
    <t>ULTROX 20 MG 28 FTB.</t>
  </si>
  <si>
    <t>ULTROX 40 MG 28 FTB.</t>
  </si>
  <si>
    <t>ULTROX 5 MG 28 FTB.</t>
  </si>
  <si>
    <t>UNACEFIN 1000 MG IM 1 FLK.</t>
  </si>
  <si>
    <t>UNACEFIN 1000 MG IM 3 FLK.</t>
  </si>
  <si>
    <t>UNACEFIN 1000 MG IV 1 FLK.</t>
  </si>
  <si>
    <t>UNACEFIN 500 MG 3 FLK.</t>
  </si>
  <si>
    <t>UNACEFIN 500 MG IM 1 FLK.</t>
  </si>
  <si>
    <t>UNACEFIN 500 MG IV 1 FLK.</t>
  </si>
  <si>
    <t>UNAMITY 2 MG 14 FTB.</t>
  </si>
  <si>
    <t>UNAMITY 4 MG 14 FTB.</t>
  </si>
  <si>
    <t>UNISOM 25 MG 20 TB.</t>
  </si>
  <si>
    <t>UPTRAVI  200 MCG  60 FTB.</t>
  </si>
  <si>
    <t>UPTRAVI  200 MCG 140 FTB.</t>
  </si>
  <si>
    <t>UPTRAVI  400 MCG 60 FTB.</t>
  </si>
  <si>
    <t>UPTRAVI  600 MCG 60 FTB.</t>
  </si>
  <si>
    <t>UPTRAVI  800 MCG 60 FTB.</t>
  </si>
  <si>
    <t>UPTRAVI 1000 MCG 60 FTB.</t>
  </si>
  <si>
    <t>UPTRAVI 1200 MCG 60 FTB.</t>
  </si>
  <si>
    <t>UPTRAVI 1400 MCG 60 FTB.</t>
  </si>
  <si>
    <t>UPTRAVI 1600 MCG 60 FTB.</t>
  </si>
  <si>
    <t>UREDERM %20 30 GR KR.</t>
  </si>
  <si>
    <t>UREDERM %40 200 GR EMUL JEL</t>
  </si>
  <si>
    <t>UREDERM HYDRO %10 200 GR LOS.</t>
  </si>
  <si>
    <t>UREDERM HYDRO %5 200 GR KR.</t>
  </si>
  <si>
    <t>UREDERM LIPO %10 200 GR LOS.</t>
  </si>
  <si>
    <t>UREPIAL %40 200 GR LOS.</t>
  </si>
  <si>
    <t>UREPIAL HYDRO %10 200 GR LOS.</t>
  </si>
  <si>
    <t>UREPIAL LIPO %10 200 ML LOS.</t>
  </si>
  <si>
    <t>URESAL FORT %10+10 50 GR POM.</t>
  </si>
  <si>
    <t>UREVER 20 MG 2 ML 5 AMP.</t>
  </si>
  <si>
    <t>URIKOLIZ 300 MG 50 TB.</t>
  </si>
  <si>
    <t>URISPAS DRJ</t>
  </si>
  <si>
    <t>UROCARE 3 GR 1 SASE</t>
  </si>
  <si>
    <t>UROCIT K 10 MEQ 100 TB.</t>
  </si>
  <si>
    <t>URODAY 3 GR 1 SASE</t>
  </si>
  <si>
    <t>UROGRAFIN % 76 100 ML 1 FLK.</t>
  </si>
  <si>
    <t>UROMAX 0.4 MG MR 30 CAP.</t>
  </si>
  <si>
    <t>UROMISIN 3 GR 1 SASE</t>
  </si>
  <si>
    <t>UROPAN 5 MG 100 ML SRP.</t>
  </si>
  <si>
    <t>UROPAN 5 MG 100 TB.</t>
  </si>
  <si>
    <t>UROREC 4 MG 30 TB.</t>
  </si>
  <si>
    <t>UROREC 8 MG 30 TB.</t>
  </si>
  <si>
    <t>URSACTIVE 250 MG 100 CAP.</t>
  </si>
  <si>
    <t>URSACTIVE 500 MG 60 FTB.</t>
  </si>
  <si>
    <t>URSODIN 250 MG 100 CAP.</t>
  </si>
  <si>
    <t>URSOFALK 250 MG 100 CAP.</t>
  </si>
  <si>
    <t>URSOFALK 250 MG 250 ML SUSP.</t>
  </si>
  <si>
    <t>URSOMED 250 MG 100 CAP.</t>
  </si>
  <si>
    <t>URSOMED 250 MG 250 ML SUSP.</t>
  </si>
  <si>
    <t>URSOVEF 250 MG 100 FTB.</t>
  </si>
  <si>
    <t>URSOVEF 500 MG 60 FTB.</t>
  </si>
  <si>
    <t>URSOVEF 750 MG 30 FTB.</t>
  </si>
  <si>
    <t>USYEX %0.25+0.12 30 ML SPR.</t>
  </si>
  <si>
    <t>VAGI HEX 10 MG 12 VAG. TB.</t>
  </si>
  <si>
    <t>VAGIFEM 10 MCG 18 VAG. TB.</t>
  </si>
  <si>
    <t>VALAMOR 200 MG 63 FTB.</t>
  </si>
  <si>
    <t>VALCODIN 10/160 MG 28 FTB.</t>
  </si>
  <si>
    <t>VALCODIN 5/160 MG 28 FTB.</t>
  </si>
  <si>
    <t>VALCOR 160 MG 28 FTB.</t>
  </si>
  <si>
    <t>VALCOR 80 MG 28 FTB.</t>
  </si>
  <si>
    <t>VALCOR PLUS 160 MG/12.5 MG 28</t>
  </si>
  <si>
    <t>VALCOR PLUS 320/25 MG 28 FTB.</t>
  </si>
  <si>
    <t>VALCYTE 450 MG 60 FTB.</t>
  </si>
  <si>
    <t>VALDOXAN 25 MG 28 FTB</t>
  </si>
  <si>
    <t>VALGANIR 450 MG 60 FTB.</t>
  </si>
  <si>
    <t>VALIDOL 50 MG 20 ML GTT.</t>
  </si>
  <si>
    <t>VALTREX 1000 MG 21 FTB.</t>
  </si>
  <si>
    <t>VALTREX 500 MG 10 FTB.</t>
  </si>
  <si>
    <t>VALTREX 500 MG 42 FTB.</t>
  </si>
  <si>
    <t>VAMYCIN 1000 MG 1 FLK.</t>
  </si>
  <si>
    <t>8699844791414</t>
  </si>
  <si>
    <t>VANCOMAX İ.V. 1000 mg LİYOFİLİZE TOZ</t>
  </si>
  <si>
    <t>8699844791407</t>
  </si>
  <si>
    <t>VANCOMAX İ.V. 500 mg LİYOFİLİZE TOZ</t>
  </si>
  <si>
    <t>VANCOTEK 1000 MG 1 FLK.</t>
  </si>
  <si>
    <t>VANCOTEK 500 MG 1 FLK.</t>
  </si>
  <si>
    <t>VANIKET %2.5 60 GR JEL</t>
  </si>
  <si>
    <t>VANKOPOL 1000 MG 1 FLK.</t>
  </si>
  <si>
    <t>VANKOPOL 500 MG 1 FLK.</t>
  </si>
  <si>
    <t>VARIDOS 450/50 MG 60 FTB.</t>
  </si>
  <si>
    <t>VARIVAX 0.5 ML 1 DOZ</t>
  </si>
  <si>
    <t>VASOCARD 10 MG 30 TB.</t>
  </si>
  <si>
    <t>VASOCARD 5 MG 30 TB.</t>
  </si>
  <si>
    <t>VASOFIX 20 MG 60 FTB.</t>
  </si>
  <si>
    <t>VASOSERC 16 MG 30 TB.</t>
  </si>
  <si>
    <t>VASOSERC 8 MG 30 TB.</t>
  </si>
  <si>
    <t>VASOSERC BID 24 MG 30 TB.</t>
  </si>
  <si>
    <t>VASOSERC BID 24 MG 60 TB.</t>
  </si>
  <si>
    <t>VASOSERC BID 24 MG 90 TB.</t>
  </si>
  <si>
    <t>VASOXEN 10 MG 28 TB.</t>
  </si>
  <si>
    <t>VASOXEN 5 MG 28 TB.</t>
  </si>
  <si>
    <t>VASOXEN 5 MG 84 TB.</t>
  </si>
  <si>
    <t>VASOXEN PLUS 5/12,5 MG 28 TB</t>
  </si>
  <si>
    <t>VASOXEN PLUS 5/25 MG 28 TB</t>
  </si>
  <si>
    <t>VASTAREL 20 MG 60 FTB.</t>
  </si>
  <si>
    <t>VASTAREL MR 35 MG 60 FTB.</t>
  </si>
  <si>
    <t>VASTAREL MR 80 MG 30 CAP.</t>
  </si>
  <si>
    <t>VAXIGRIP TETRA 0.5 ML 1 ENJ.</t>
  </si>
  <si>
    <t>VAZIDIN MR 35 MG 60 TB.</t>
  </si>
  <si>
    <t>VAZKOR 10 MG 30 TB.</t>
  </si>
  <si>
    <t>VAZKOR 10 MG 90 TB.</t>
  </si>
  <si>
    <t>VAZKOR 5 MG 30 TB.</t>
  </si>
  <si>
    <t>VAZKOR 5 MG 90 TB.</t>
  </si>
  <si>
    <t>VEBULIS 10 MCG 2 ML 30 AMP.</t>
  </si>
  <si>
    <t>VECTAVIR %1 TEN RENGI 2 GR KR</t>
  </si>
  <si>
    <t>VECTIBIX 20 MG 20 ML 1 FLK.</t>
  </si>
  <si>
    <t>VECTIBIX 20 MG 5 ML 1 FLK.</t>
  </si>
  <si>
    <t>VEFORIX 245 MG 30 FTB</t>
  </si>
  <si>
    <t>VEGABON 70 MG 4 TB.</t>
  </si>
  <si>
    <t>VEGAFERON 100 MG 5 ML 10 FLK.</t>
  </si>
  <si>
    <t>VEGAFERON 100 MG 5 ML 20 FLK</t>
  </si>
  <si>
    <t>VEGAFERON FORT 100/0.35 MG 30</t>
  </si>
  <si>
    <t>VELARIX 800 MG 180 FTB.</t>
  </si>
  <si>
    <t>VELCADE 3.5 MG 1 FLK.</t>
  </si>
  <si>
    <t>VELORIN OD 15 MG 30 TB</t>
  </si>
  <si>
    <t>VELORIN OD 30 MG 30 TB</t>
  </si>
  <si>
    <t>VELORIN OD 45 MG 30 TB</t>
  </si>
  <si>
    <t>VEMCAINE %10 50 ML SPR.</t>
  </si>
  <si>
    <t>VEMLIDY 25 MG 30 FTB</t>
  </si>
  <si>
    <t>VENCLYXTO 10 MG 14 FTB.</t>
  </si>
  <si>
    <t>VENCLYXTO 100 MG 112 FTB.</t>
  </si>
  <si>
    <t>VENCLYXTO 100 MG 14 FTB.</t>
  </si>
  <si>
    <t>VENCLYXTO 100 MG 7 FTB.</t>
  </si>
  <si>
    <t>VENCLYXTO 50 MG 7 FTB.</t>
  </si>
  <si>
    <t>VENEGIS XR 150 MG 28 CAP.</t>
  </si>
  <si>
    <t>VENEGIS XR 37.5 MG 28 CAP.</t>
  </si>
  <si>
    <t>VENEGIS XR 75 MG 28 CAP.</t>
  </si>
  <si>
    <t>VENOFER 100 MG 5 ML 5 AMP.</t>
  </si>
  <si>
    <t>VENOMIA 15 MG 28 KAP.</t>
  </si>
  <si>
    <t>VENOMIA 20 MG 28 KAP.</t>
  </si>
  <si>
    <t>VENORUTON FORTE 500 MG 60 TB.</t>
  </si>
  <si>
    <t>VENOTREX RETARD 50 MG 60 TB</t>
  </si>
  <si>
    <t>VENTAVIS 10 MCG 2 ML 30 AMP.</t>
  </si>
  <si>
    <t>VENTOLIN 100 MCG 200 DOZ INH.</t>
  </si>
  <si>
    <t>VENTOLIN 2 MG 150 ML SRP.</t>
  </si>
  <si>
    <t>VENTOLIN 4 MG 100 TB.</t>
  </si>
  <si>
    <t>VENTOPIUM PLUS 2.5/0.5 MG 2.5</t>
  </si>
  <si>
    <t>VENTOSAL 2 MG 150 ML SRP.</t>
  </si>
  <si>
    <t>VERAPIN 180/2 MG 28 FTB.</t>
  </si>
  <si>
    <t>VERMAZOL 100 MG 30 CIGN. TB.</t>
  </si>
  <si>
    <t>VERMIDON 500/30 MG 30 TB.</t>
  </si>
  <si>
    <t>VERMIDON PLS 250/50/150 MG 30</t>
  </si>
  <si>
    <t>VERRUTOL %5+10 15 GR SOL.</t>
  </si>
  <si>
    <t>VERTEBZOL 5 MG 100 ML 1 FLK.</t>
  </si>
  <si>
    <t>VERXANT 150 MG 1 FLK.</t>
  </si>
  <si>
    <t>VESICARE 10 MG 30 FTB.</t>
  </si>
  <si>
    <t>VESICARE 5 MG 30 FTB.</t>
  </si>
  <si>
    <t>VESIFIX 10 MG 30 FTB.</t>
  </si>
  <si>
    <t>VESIFIX 5 MG 30 FTB.</t>
  </si>
  <si>
    <t>VEXPERDA 180 MG 30 FTB.</t>
  </si>
  <si>
    <t>VEXPERDA 360 MG 30 FTB.</t>
  </si>
  <si>
    <t>VEXPERDA 90 MG 30 FTB.</t>
  </si>
  <si>
    <t>VFEND 200 MG 1 FLK.</t>
  </si>
  <si>
    <t>VFEND 200 MG 30 FTB.</t>
  </si>
  <si>
    <t>VFEND 40 MG 75 ML SUSP.</t>
  </si>
  <si>
    <t>VFEND 50 MG 30 FTB.</t>
  </si>
  <si>
    <t>VIAGRA 100 MG 4 FTB.</t>
  </si>
  <si>
    <t>VIAGRA 100 MG 8 FTB.</t>
  </si>
  <si>
    <t>VIAGRA 25 MG 4 FTB.</t>
  </si>
  <si>
    <t>VIAGRA 50 MG 4 FTB.</t>
  </si>
  <si>
    <t>VICKS INHALER</t>
  </si>
  <si>
    <t>VICKS KIRAZ MEDINAIT SRP. *</t>
  </si>
  <si>
    <t>VICKS POM MENTOL</t>
  </si>
  <si>
    <t>VICKS VAPO-DRY SRP *</t>
  </si>
  <si>
    <t>VICTOZA 6 MG 3 ML 1 PEN</t>
  </si>
  <si>
    <t>VIDAPTIN 50 MG 56 TB.</t>
  </si>
  <si>
    <t>VIDAZA 100 MG 1 FLK.</t>
  </si>
  <si>
    <t>VIENOKS 20 MG 10 TB.</t>
  </si>
  <si>
    <t>VIGAMOX %0.5 5 ML GOZ GTT.</t>
  </si>
  <si>
    <t>VIGAROO 100 MG 4 FTB.</t>
  </si>
  <si>
    <t>VIGRANDE 100 MG 4 TB.</t>
  </si>
  <si>
    <t>VIGRANDE 50 MG 4 TB.</t>
  </si>
  <si>
    <t>VILDABET 50 MG 56 TB.</t>
  </si>
  <si>
    <t>VINCRISTINE 1MG 1ML (KOCAK)</t>
  </si>
  <si>
    <t>VINCRISTINE 2MG 2ML (KOCAK)</t>
  </si>
  <si>
    <t>VINKO 1 MG 10 ML 1 FLK.</t>
  </si>
  <si>
    <t>VINTOR 0.5 MG 28 CAP.</t>
  </si>
  <si>
    <t>VIRAMUNE 200 MG 60 TB</t>
  </si>
  <si>
    <t>VIRATIT 0.5 MG 30 FTB.</t>
  </si>
  <si>
    <t>VIRATIT 1 MG 30 FTB.</t>
  </si>
  <si>
    <t>VIREAD 245 MG 30 FTB.</t>
  </si>
  <si>
    <t>VIRENTE 0.5 MG 30 FTB.</t>
  </si>
  <si>
    <t>VIRENTE 1 MG 30 FTB.</t>
  </si>
  <si>
    <t>VIRGAN 1.5 MG 5 GR. OFT JEL</t>
  </si>
  <si>
    <t>VIRON 200 MG 140 CAP.</t>
  </si>
  <si>
    <t>VIRON 200 MG 168 CAP.</t>
  </si>
  <si>
    <t>VIRON 200 MG 84 CAP.</t>
  </si>
  <si>
    <t>VIROSIL %5 10 GR KR.</t>
  </si>
  <si>
    <t>VIRTENIX 245 MG 30 FTB</t>
  </si>
  <si>
    <t>VIRUPOS %0.3 4.5 GR OFT. POM.</t>
  </si>
  <si>
    <t>VISANNE 2 MG 28 TB.</t>
  </si>
  <si>
    <t>VISCAP 30 MG 28 FTB.</t>
  </si>
  <si>
    <t>VISCAP 60 MG 28 FTB.</t>
  </si>
  <si>
    <t>VISCAP 90 MG 28 FTB.</t>
  </si>
  <si>
    <t>VISCOTEARS 2 MG 10 GR OFT.JEL</t>
  </si>
  <si>
    <t>VISINE %0.05 5 ML GOZ GTT.</t>
  </si>
  <si>
    <t>VISUDYNE 15 MG 1 FLK.</t>
  </si>
  <si>
    <t>VITABIOL 100 ML SRP.</t>
  </si>
  <si>
    <t>VITABIOL C FORT DRG.</t>
  </si>
  <si>
    <t>VITAFLO GLYCOSADE 30X60 GR.</t>
  </si>
  <si>
    <t>VITALIPID N-INFANT</t>
  </si>
  <si>
    <t>VITEROL D3 2000 IU 60 FTB.</t>
  </si>
  <si>
    <t>VITPSO %0.1 50 GR JEL</t>
  </si>
  <si>
    <t>VITPSO %1 50 GR JEL</t>
  </si>
  <si>
    <t>VODELAX 20 MG 28 TB.</t>
  </si>
  <si>
    <t>VODELAX 40 MG 28 TB.</t>
  </si>
  <si>
    <t>VOGAST 30 MG 28 CAP.</t>
  </si>
  <si>
    <t>VOLIBRIS 10 MG 30 FTB.</t>
  </si>
  <si>
    <t>VOLIBRIS 5 MG 30 FTB.</t>
  </si>
  <si>
    <t>VOLIMRA 10 MG 30 FTB.</t>
  </si>
  <si>
    <t>VOLIMRA 5 MG 30 FTB.</t>
  </si>
  <si>
    <t>VOLTAREN 100 MG 10 SUPP.</t>
  </si>
  <si>
    <t>VOLTAREN 100 MG 5 SUPP.</t>
  </si>
  <si>
    <t>VOLTAREN 25 MG 30 TB.</t>
  </si>
  <si>
    <t>VOLTAREN 50 MG 20 TB.</t>
  </si>
  <si>
    <t>VOLTAREN EMULGEL %1 50 GR JEL</t>
  </si>
  <si>
    <t>VOLTAREN EMULGEL FORTE %2,32</t>
  </si>
  <si>
    <t>VOLTAREN RET. 100 MG 10 TB.</t>
  </si>
  <si>
    <t>VOLTAREN RET. 100 MG 30 TB.</t>
  </si>
  <si>
    <t>VOLTAREN SR 75 MG 10 TB.</t>
  </si>
  <si>
    <t>VOLTAREN SR 75 MG 20 TB.</t>
  </si>
  <si>
    <t>VOLUVEN % 6 500 ML</t>
  </si>
  <si>
    <t>VOMEPRAM 10 MG 2 ML 5 AMP.</t>
  </si>
  <si>
    <t>VORAZYR 200 MG 1 FLK.</t>
  </si>
  <si>
    <t>VORENT 200 MG 30 FTB.</t>
  </si>
  <si>
    <t>VORIFULL 200 MG 28 FTB.</t>
  </si>
  <si>
    <t>VORIGEN 200 MG 1 FLK.</t>
  </si>
  <si>
    <t>VORZOL 200 MG 30 FTB.</t>
  </si>
  <si>
    <t>VORZOL 50 MG 30 FTB.</t>
  </si>
  <si>
    <t>VOTRIENT 200 MG 30 TB.</t>
  </si>
  <si>
    <t>VOTRIENT 400 MG 60 TB.</t>
  </si>
  <si>
    <t>VOTRON 250 MCG 5 ML 1 FLK.</t>
  </si>
  <si>
    <t>VOTUBIA 10 MG 30 TB.</t>
  </si>
  <si>
    <t>VOTUBIA 2.5 MG 30 TB.</t>
  </si>
  <si>
    <t>VOTUBIA 5 MG 30 TB.</t>
  </si>
  <si>
    <t>VOXUS 245 MG 30 FTB</t>
  </si>
  <si>
    <t>VOXUS 245 MG 90 FTB</t>
  </si>
  <si>
    <t>VPRIV 400 IU1 FLK.</t>
  </si>
  <si>
    <t>WARFMADIN 10 MG 28 TB.</t>
  </si>
  <si>
    <t>WARFMADIN 5 MG 28 TB.</t>
  </si>
  <si>
    <t>WELLBUTRIN XL 150 MG 30 FTB</t>
  </si>
  <si>
    <t>WELLBUTRIN XL 300 MG 30 FTB</t>
  </si>
  <si>
    <t>WILENTIN 250 MG 100 CAP.</t>
  </si>
  <si>
    <t>WILKINSON %12.5 100 GR POM.</t>
  </si>
  <si>
    <t>WINCEF 400 MG 10 FTB.</t>
  </si>
  <si>
    <t>X GEVA 120 MG 1 FLK.</t>
  </si>
  <si>
    <t>XAGRILYN 0.5 MG 100 CAP.</t>
  </si>
  <si>
    <t>XALFU XL 10 MG 30 TB.</t>
  </si>
  <si>
    <t>XALKORI 200 MG 60 CAP.</t>
  </si>
  <si>
    <t>XALKORI 250 MG 60 CAP.</t>
  </si>
  <si>
    <t>XAMATE 100 MG 60 FTB</t>
  </si>
  <si>
    <t>XAMATE 25 MG 60 FTB</t>
  </si>
  <si>
    <t>XAMATE 50 MG 60 FTB</t>
  </si>
  <si>
    <t>XANAX 0.5 MG TB **</t>
  </si>
  <si>
    <t>XANAX 1 MG TB **</t>
  </si>
  <si>
    <t>XANTHIUM 200 MG 60 CAP.</t>
  </si>
  <si>
    <t>8699546093885</t>
  </si>
  <si>
    <t>XARELTO 10 MG 10 TB</t>
  </si>
  <si>
    <t>8699546093892</t>
  </si>
  <si>
    <t>XARELTO 15 MG 28 FTB.</t>
  </si>
  <si>
    <t>XARELTO 2.5 MG 56 TB.</t>
  </si>
  <si>
    <t>8699546093908</t>
  </si>
  <si>
    <t>XARELTO 20 MG 28 FTB.</t>
  </si>
  <si>
    <t>XATRAL XL 10 MG 30 TB.</t>
  </si>
  <si>
    <t>XEFO RAPID 8 MG 10 FTB.</t>
  </si>
  <si>
    <t>XELJANZ 5 MG 56 FTB.</t>
  </si>
  <si>
    <t>XELTABIN 150 MG 60 FTB.</t>
  </si>
  <si>
    <t>XELTABIN 500 MG 120 FTB.</t>
  </si>
  <si>
    <t>XENETIX 300 MG 100 ML 1 FLK.</t>
  </si>
  <si>
    <t>XENETIX 300 MG 50 ML 1 FLK.</t>
  </si>
  <si>
    <t>XENETIX 350 MG 100 ML 1 FLK.</t>
  </si>
  <si>
    <t>XENETIX 350 MG 200 ML 1 FLK.</t>
  </si>
  <si>
    <t>XENETIX 350 MG 50 ML 1 FLK.</t>
  </si>
  <si>
    <t>8682340179046</t>
  </si>
  <si>
    <t>XENICAL 120 MG 42 CAP.</t>
  </si>
  <si>
    <t>XEPLION 100 MG 1 ML 1 ENJ.</t>
  </si>
  <si>
    <t>XEPLION 150 MG 1.5 ML 1 ENJ.</t>
  </si>
  <si>
    <t>XEPLION 50 MG 0.5 ML 1 ENJ.</t>
  </si>
  <si>
    <t>XEPLION 75 MG 0.75 ML 1 ENJ.</t>
  </si>
  <si>
    <t>XETANOR 20 MG 30 FTB.</t>
  </si>
  <si>
    <t>XETANOR 30 MG 30 FTB.</t>
  </si>
  <si>
    <t>XM 1.5 MG 150 ML ORAL SOL.</t>
  </si>
  <si>
    <t>XM 1.5 MG 250 ML ORAL SOL.</t>
  </si>
  <si>
    <t>XM DIET 1.5 MG 75 ML ORAL SOL</t>
  </si>
  <si>
    <t>XOLAIR 150 MG 1 FLK.</t>
  </si>
  <si>
    <t>XOLAIR 150 MG 1 ML 1 ENJ.</t>
  </si>
  <si>
    <t>XOLAIR 75 MG 0.5 ML 1 ENJ.</t>
  </si>
  <si>
    <t>XOLATIM %0.5+2 5 ML GOZ GTT.</t>
  </si>
  <si>
    <t>XTANDI 40 MG 112 CAP.</t>
  </si>
  <si>
    <t>X-VEN 500 MG 60 CAP.</t>
  </si>
  <si>
    <t>XYREM 500 MG 180 ML ORAL ***</t>
  </si>
  <si>
    <t>YASMIN 3/0.03 MG 21 FTB.</t>
  </si>
  <si>
    <t>YASMIN 3/0.03 MG 63 FTB.</t>
  </si>
  <si>
    <t>YAZZ 3/0.02 MG 28 FTB.</t>
  </si>
  <si>
    <t>YENIZIN 1 MG 100 ML SRP.</t>
  </si>
  <si>
    <t>YERVOY 200 MG 40 ML 1 FLK.</t>
  </si>
  <si>
    <t>YERVOY 50 MG 10 ML 1 FLK.</t>
  </si>
  <si>
    <t>YOMESAN 500 MG 4 TB.</t>
  </si>
  <si>
    <t>YONDELIS 1 MG 1 FLK.</t>
  </si>
  <si>
    <t>YULAREB 100 MG 42 FTB.</t>
  </si>
  <si>
    <t>YULAREB 150 MG 42 FTB.</t>
  </si>
  <si>
    <t>YULAREB 50 MG 42 FTB.</t>
  </si>
  <si>
    <t>ZADITEN %0.025 5 ML GOZ GTT.</t>
  </si>
  <si>
    <t>ZADITEN 1 MG 100 ML SRP.</t>
  </si>
  <si>
    <t>ZADITEN 1 MG 25 ML ORAL GTT.</t>
  </si>
  <si>
    <t>ZADITEN 1 MG 30 TB.</t>
  </si>
  <si>
    <t>ZADITEN SRO 2 MG 30 TB</t>
  </si>
  <si>
    <t>ZALAIN % 2 30 ML COZ.</t>
  </si>
  <si>
    <t>ZALAIN %2 20 GR KR.</t>
  </si>
  <si>
    <t>ZALAIN 300 MG 1 VAG. SUPP</t>
  </si>
  <si>
    <t>ZALTRAP 100 MG 4 ML 1 FLK.</t>
  </si>
  <si>
    <t>ZALTRAP 200 MG 8 ML 1 FLK.</t>
  </si>
  <si>
    <t>ZANIPRESS 20/10 MG 30 FTB.</t>
  </si>
  <si>
    <t>ZANIPRESS 20/10 MG 90 FTB.</t>
  </si>
  <si>
    <t>ZANIPRESS 20/20 MG 30 FTB.</t>
  </si>
  <si>
    <t>ZANTAC 150 MG 150 ML SRP.</t>
  </si>
  <si>
    <t>ZARIDINEX %3 5 ML GOZ GTT.</t>
  </si>
  <si>
    <t>ZAVESCA 100 MG 84 CAP.</t>
  </si>
  <si>
    <t>ZAYON 30 MG 3 FTB.</t>
  </si>
  <si>
    <t>ZAYON 30 MG 6 FTB.</t>
  </si>
  <si>
    <t>ZAYON 60 MG 3 FTB.</t>
  </si>
  <si>
    <t>ZAYON 60 MG 6 FTB.</t>
  </si>
  <si>
    <t>ZEDPREX 20 MG 16 CAP.</t>
  </si>
  <si>
    <t>ZEDPREX 20 MG 24 CAP.</t>
  </si>
  <si>
    <t>ZEDPREX 20 MG 70 ML ORAL SOL.</t>
  </si>
  <si>
    <t>ZEFFIX 100 MG 28 TB</t>
  </si>
  <si>
    <t>ZELASS-M %0.05 6 ML GOZ GTT.</t>
  </si>
  <si>
    <t>ZELBORAF 240 MG 56 FTB.</t>
  </si>
  <si>
    <t>ZELDOX 20 MG 56 CAP.</t>
  </si>
  <si>
    <t>ZELDOX 40 MG 56 CAP.</t>
  </si>
  <si>
    <t>ZELDOX 60 MG 56 CAP.</t>
  </si>
  <si>
    <t>ZELDOX 80 MG 56 CAP.</t>
  </si>
  <si>
    <t>ZELOXIM 15 MG 10 TB.</t>
  </si>
  <si>
    <t>ZELOXIM 15 MG 3 AMP.</t>
  </si>
  <si>
    <t>ZEMSITOL 10 MCG 2ML 5 AMP.</t>
  </si>
  <si>
    <t>ZEMSITOL 5 MCG 1 ML 5 AMP.</t>
  </si>
  <si>
    <t>ZENO 180 MG 30 FTB.</t>
  </si>
  <si>
    <t>ZENO 360 MG 30 FTB.</t>
  </si>
  <si>
    <t>ZENO 90 MG 30 FTB.</t>
  </si>
  <si>
    <t>ZENTICAVIR 0.5 MG 30 FTB.</t>
  </si>
  <si>
    <t>ZENTICAVIR 1 MG 30 FTB.</t>
  </si>
  <si>
    <t>ZENTIUS D 600 MG 60 CIGN TB.</t>
  </si>
  <si>
    <t>ZENTIUS FLASH 600 MG 60 TB.</t>
  </si>
  <si>
    <t>ZENTIUS FORT 600 MG 30 TB.</t>
  </si>
  <si>
    <t>ZENTOVIR 245 MG 30 FTB</t>
  </si>
  <si>
    <t>ZEPAHEX 125 MG 56 FTB.</t>
  </si>
  <si>
    <t>ZEPAHEX 62.5 MG 56 FTB.</t>
  </si>
  <si>
    <t>ZERO-P 100 MG 15 FTB.</t>
  </si>
  <si>
    <t>ZERO-P SR 200 MG 15 TB</t>
  </si>
  <si>
    <t>ZESPIRA 10 MG 28 FTB.</t>
  </si>
  <si>
    <t>ZESPIRA 4 MG 28 PED SASE</t>
  </si>
  <si>
    <t>ZESPIRA 4 MG 28 TB.</t>
  </si>
  <si>
    <t>ZESPIRA 5 MG 28 TB.</t>
  </si>
  <si>
    <t>ZESPIRA PLUS 5/10 MG 30 FTB.</t>
  </si>
  <si>
    <t>ZESTAT 15 MG 30 TB</t>
  </si>
  <si>
    <t>ZESTAT 15 MG 66 ML ORAL SOL.</t>
  </si>
  <si>
    <t>ZESTAT 30 MG 30 TB</t>
  </si>
  <si>
    <t>ZESTAT 45 MG 30 TB</t>
  </si>
  <si>
    <t>ZETION %2 100 ML SUSP.</t>
  </si>
  <si>
    <t>ZEVESIN 10 MG 30 FTB.</t>
  </si>
  <si>
    <t>ZEVESIN 5 MG 30 FTB.</t>
  </si>
  <si>
    <t>ZHEDON 10 MG 28 FTB</t>
  </si>
  <si>
    <t>ZHEDON 5 MG 14 FTB</t>
  </si>
  <si>
    <t>ZIAGEN 300 MG 60 FTB.</t>
  </si>
  <si>
    <t>ZIDIM 1000 MG 1 FLK.</t>
  </si>
  <si>
    <t>ZIDIM 500 MG 1 FLK.</t>
  </si>
  <si>
    <t>ZIMAKS 100 MG 100 ML SUSP.</t>
  </si>
  <si>
    <t>ZIMAKS 100 MG 50 ML SUSP.</t>
  </si>
  <si>
    <t>ZIMAKS 400 MG 10 TB.</t>
  </si>
  <si>
    <t>ZINCFORT 25 MG 100 ML SRP.</t>
  </si>
  <si>
    <t>ZINCLOMIN 15 MG 100 ML SRP.</t>
  </si>
  <si>
    <t>ZINCO 15 MG 100 ML SRP.</t>
  </si>
  <si>
    <t>ZINCO 220 50 MG 40 CAP.</t>
  </si>
  <si>
    <t>ZINCO 30 MG 100 ML FORT SRP.</t>
  </si>
  <si>
    <t>ZINCO-K 15 MG 20 KASIK SRP.</t>
  </si>
  <si>
    <t>ZINCOPLEX 15 MG 100 ML SRP.</t>
  </si>
  <si>
    <t>ZINCOVER 15 MG 100 ML SRP.</t>
  </si>
  <si>
    <t>ZINNAT 125 MG 50 ML SUSP.</t>
  </si>
  <si>
    <t>ZINNAT 250 MG 10 TB.</t>
  </si>
  <si>
    <t>ZINNAT 250 MG 14 TB.</t>
  </si>
  <si>
    <t>ZINNAT 500 MG 10 TB.</t>
  </si>
  <si>
    <t>ZINNAT 500 MG 20 TB.</t>
  </si>
  <si>
    <t>ZINNAT 750 MG IM/IV 1 FLK.</t>
  </si>
  <si>
    <t>ZINOBEST 15 MG 100 ML SRP.</t>
  </si>
  <si>
    <t>ZINOMAG 30/300 MG 40 TB.</t>
  </si>
  <si>
    <t>ZINXX 30 MG 100 ML FORT SRP.</t>
  </si>
  <si>
    <t>ZINXX 50 MG 40 CAP.</t>
  </si>
  <si>
    <t>ZIRABEV 100 MG 4 ML 1 FLK.</t>
  </si>
  <si>
    <t>ZIRABEV 400 MG 16 ML 1 FLK.</t>
  </si>
  <si>
    <t>ZIRID 50 MG 40 FTB.</t>
  </si>
  <si>
    <t>ZIROMIN 500 MG 1 FLK.</t>
  </si>
  <si>
    <t>ZITROMAX 200 MG 15 ML SUSP.</t>
  </si>
  <si>
    <t>ZITROMAX 200 MG 30 ML SUSP.</t>
  </si>
  <si>
    <t>ZITROMAX 500 MG 3 FTB.</t>
  </si>
  <si>
    <t>ZITROTEK 500 MG 2 FTB.</t>
  </si>
  <si>
    <t>ZODINASIL 5 MG 100 ML 1 FLK.</t>
  </si>
  <si>
    <t>ZOFER 4 MG 10 TB.</t>
  </si>
  <si>
    <t>ZOFER 4 MG 2 ML 1 AMP.</t>
  </si>
  <si>
    <t>ZOFER 8 MG 10 TB.</t>
  </si>
  <si>
    <t>ZOFER 8 MG 4 ML 1 AMP.</t>
  </si>
  <si>
    <t>ZOFRAN 8 MG 6 TB.</t>
  </si>
  <si>
    <t>ZOFRAN ZYDIS 4 MG 10 TB.</t>
  </si>
  <si>
    <t>ZOFRAN ZYDIS 8 MG 10 TB.</t>
  </si>
  <si>
    <t>ZOLADEX  LA 10.8 MG 1 ENJ.</t>
  </si>
  <si>
    <t>ZOLADEX 3.6 MG 1 ENJ.</t>
  </si>
  <si>
    <t>ZOLAX 100 MG 7 CAP.</t>
  </si>
  <si>
    <t>ZOLAX 150 MG 1 CAP.</t>
  </si>
  <si>
    <t>ZOLAX 150 MG 2 CAP.</t>
  </si>
  <si>
    <t>ZOLAX 200 MG 7 CAP.</t>
  </si>
  <si>
    <t>ZOLAX 50 MG 7 CAP.</t>
  </si>
  <si>
    <t>ZOLENAT 4 MG 5 ML 1 FLK.</t>
  </si>
  <si>
    <t>ZOLERIP  5 MG 28 TB</t>
  </si>
  <si>
    <t>ZOLERIP 10 MG 28 TB</t>
  </si>
  <si>
    <t>ZOLERIP 15 MG 28 TB</t>
  </si>
  <si>
    <t>ZOLERIP 30 MG 28 TB</t>
  </si>
  <si>
    <t>ZOLEXOL %1 10 GR KR.</t>
  </si>
  <si>
    <t>ZOLEXOL %1 20 ML SPR.</t>
  </si>
  <si>
    <t>ZOLKA 5 MG 100 ML 1 FLK.</t>
  </si>
  <si>
    <t>ZOLTEM 4 MG 6 FTB.</t>
  </si>
  <si>
    <t>ZOLTEM 8 MG 6 FTB.</t>
  </si>
  <si>
    <t>ZOLTONAR 5 MG 100 ML 1 FLK.</t>
  </si>
  <si>
    <t>ZOMETA 4 MG 5 ML 1 FLK.</t>
  </si>
  <si>
    <t>ZOMTU 4 MG 100 ML 1 FLK.</t>
  </si>
  <si>
    <t>ZOMTU 4 MG 5 ML 1 FLK.</t>
  </si>
  <si>
    <t>ZOPROL 30 MG 28 CAP.</t>
  </si>
  <si>
    <t>ZOPROTEC 15 MG 28 FTB.</t>
  </si>
  <si>
    <t>ZOPROTEC 30 MG 28 FTB.</t>
  </si>
  <si>
    <t>ZORANTE %0.1 30 GR JEL</t>
  </si>
  <si>
    <t>ZORANTE %0.1 30 GR KR.</t>
  </si>
  <si>
    <t>ZORANTE %0.1 60 GR KR.</t>
  </si>
  <si>
    <t>ZORETANIN 10 MG 30 CAP.</t>
  </si>
  <si>
    <t>ZORETANIN 20 MG 30 CAP.</t>
  </si>
  <si>
    <t>ZOSTEX 125 MG 7 TB</t>
  </si>
  <si>
    <t>ZOVIRAX %5 2 GR UCUK KR</t>
  </si>
  <si>
    <t>ZOVIRAX 250 MG 5 FLK.</t>
  </si>
  <si>
    <t>ZOVIRAX 400 MG 100 SUSP</t>
  </si>
  <si>
    <t>ZYBAN 150 MG 60 TB.</t>
  </si>
  <si>
    <t>ZYKADIA 150 MG 150 CAP.</t>
  </si>
  <si>
    <t>ZYLET %0.5+0.3 5 ML GOZ GTT.</t>
  </si>
  <si>
    <t>ZYNALL 30 MG 100 ML FORT SRP.</t>
  </si>
  <si>
    <t>ZYPREXA 10 MG 28 TB</t>
  </si>
  <si>
    <t>ZYPREXA 5 MG 28 TB</t>
  </si>
  <si>
    <t>ZYPREXA VELOTAB 10 MG 28 TB.</t>
  </si>
  <si>
    <t>ZYPREXA VELOTAB 15 MG 28 TB.</t>
  </si>
  <si>
    <t>ZYPREXA VELOTAB 20 MG 28 TB.</t>
  </si>
  <si>
    <t>ZYPREXA VELOTAB 5 MG 28 TB.</t>
  </si>
  <si>
    <t>ZYRTEC 1 MG 200 ML SRP.</t>
  </si>
  <si>
    <t>ZYRTEC 10 MG 20 ML ORAL GTT.</t>
  </si>
  <si>
    <t>ZYRTEC 10 MG 20 TB.</t>
  </si>
  <si>
    <t>ZYTIGA 250 MG 120 TB.</t>
  </si>
  <si>
    <t>ZYVOXID 600 MG 10 FTB.</t>
  </si>
  <si>
    <t>ZYZAPIN 10 MG 28 FTB</t>
  </si>
  <si>
    <t>ZYZAPIN 15 MG 28 FTB</t>
  </si>
  <si>
    <t>ZYZAPIN 2.5 MG 28 FTB</t>
  </si>
  <si>
    <t>ZYZAPIN 20 MG 28 FTB</t>
  </si>
  <si>
    <t>ZYZAPIN 5 MG 28 FTB.</t>
  </si>
  <si>
    <t>ZYZAPIN 7,5 MG 28 FTB</t>
  </si>
  <si>
    <t>skt yil</t>
  </si>
  <si>
    <t>SKT</t>
  </si>
  <si>
    <t>location 17</t>
  </si>
  <si>
    <t>8699795091106</t>
  </si>
  <si>
    <t>8681308011091</t>
  </si>
  <si>
    <t>8681308014443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</si>
</sst>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d/mm/yy;@"/>
  </numFmts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8"/>
      <name val="Verdana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/>
    </xf>
    <xf numFmtId="0" fontId="0" fillId="4" borderId="0" xfId="0" applyFill="1"/>
    <xf numFmtId="0" fontId="0" fillId="0" borderId="1" xfId="0" applyBorder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2" borderId="2" xfId="0" applyNumberFormat="1" applyFont="1" applyFill="1" applyBorder="1"/>
    <xf numFmtId="1" fontId="0" fillId="0" borderId="1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1" xfId="0" quotePrefix="1" applyBorder="1" applyAlignment="1">
      <alignment horizont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numFmt numFmtId="0" formatCode="General"/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914400</xdr:colOff>
      <xdr:row>0</xdr:row>
      <xdr:rowOff>95250</xdr:rowOff>
    </xdr:from>
    <xdr:to>
      <xdr:col>0</xdr:col>
      <xdr:colOff>2628900</xdr:colOff>
      <xdr:row>3</xdr:row>
      <xdr:rowOff>152400</xdr:rowOff>
    </xdr:to>
    <xdr:sp macro="[0]!Macro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F0A640B-9F38-444F-B569-1155601B7C4B}"/>
            </a:ext>
          </a:extLst>
        </xdr:cNvPr>
        <xdr:cNvSpPr/>
      </xdr:nvSpPr>
      <xdr:spPr>
        <a:xfrm>
          <a:off x="914400" y="95250"/>
          <a:ext cx="1714500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FILTER</a:t>
          </a:r>
          <a:endParaRPr lang="en-US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11</xdr:col>
      <xdr:colOff>495300</xdr:colOff>
      <xdr:row>3</xdr:row>
      <xdr:rowOff>603885</xdr:rowOff>
    </xdr:to>
    <xdr:sp macro="[0]!Macro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5FB8AE0-8C41-42D1-85C8-015A392E09AB}"/>
            </a:ext>
          </a:extLst>
        </xdr:cNvPr>
        <xdr:cNvSpPr/>
      </xdr:nvSpPr>
      <xdr:spPr>
        <a:xfrm>
          <a:off x="6915150" y="542925"/>
          <a:ext cx="1714500" cy="6038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COPY</a:t>
          </a:r>
          <a:r>
            <a:rPr lang="en-US" sz="2400" baseline="0"/>
            <a:t> ADET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354141-DF65-4492-A374-45422920B592}" name="TableQR" displayName="TableQR" ref="A6:D4000" totalsRowShown="0" headerRowDxfId="13" dataDxfId="12">
  <tableColumns count="4">
    <tableColumn id="1" xr3:uid="{F504E9F1-F792-4FA2-908D-2DA14336FB34}" name="QR CODES" dataDxfId="11"/>
    <tableColumn id="2" xr3:uid="{B6553739-C3C6-4455-A5CE-94005D5D9866}" name="BARCODES" dataDxfId="10">
      <calculatedColumnFormula>MID(TableQR[[#This Row],[QR CODES]],4,13)</calculatedColumnFormula>
    </tableColumn>
    <tableColumn id="3" xr3:uid="{C0ED4CFF-619A-4CC1-8E6F-B9E324C75B86}" name="NAME" dataDxfId="9">
      <calculatedColumnFormula>IFERROR(VLOOKUP(TableQR[[#This Row],[BARCODES]],ILACLISTE[#All],2,0),"")</calculatedColumnFormula>
    </tableColumn>
    <tableColumn id="4" xr3:uid="{9A65F957-0E9E-4B3A-8993-2123A46DF86D}" name="ADET" dataDxfId="8">
      <calculatedColumnFormula>COUNTIF(B7:B4000,IF(B7="",66666,B7))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1BDF09D-4614-4495-9A4F-106ACC978F1F}" name="Table5" displayName="Table5" ref="G6:H117" totalsRowShown="0" headerRowDxfId="7" headerRowBorderDxfId="6" tableBorderDxfId="5">
  <tableColumns count="2">
    <tableColumn id="1" xr3:uid="{43D93C9D-A138-43ED-AC9F-EB35EDCDE4BA}" name="NAME" dataDxfId="4"/>
    <tableColumn id="2" xr3:uid="{E6187D9E-800F-4F59-B534-30EC600D845D}" name="ADET" dataDxfId="3">
      <calculatedColumnFormula>IF(IFERROR(VLOOKUP(G7,TableQR[[#All],[NAME]:[ADET]],2,0),"")&gt;0,IFERROR(VLOOKUP(G7,TableQR[[#All],[NAME]:[ADET]],2,0),""),"")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6F9191-7F7C-4F72-9E3C-10AEBFEBF64C}" name="ILACLISTE" displayName="ILACLISTE" ref="A1:C6014" totalsRowShown="0">
  <autoFilter ref="A1:C6014" xr:uid="{CB88913C-A191-4602-94BB-A1D5BC2BA58E}"/>
  <tableColumns count="3">
    <tableColumn id="1" xr3:uid="{C11462DB-C814-4AA4-A3EC-EE09AAD189C8}" name="BARCODE" dataDxfId="2"/>
    <tableColumn id="2" xr3:uid="{9D61463C-BD0E-4004-8BE9-94C6E8A3635B}" name="NAME"/>
    <tableColumn id="3" xr3:uid="{EC10182F-1059-425F-894A-A2B3E874C053}" name="ADET" dataDxfId="1">
      <calculatedColumnFormula>IFERROR(VLOOKUP(ILACLISTE[[#This Row],[NAME]],Table5[#All],2,0),"")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9705-EED4-43A6-95C5-97766D961A9D}">
  <sheetPr codeName="Sheet1"/>
  <dimension ref="A1:H4000"/>
  <sheetViews>
    <sheetView tabSelected="1" workbookViewId="0">
      <pane ySplit="6" topLeftCell="A7" activePane="bottomLeft" state="frozen"/>
      <selection pane="bottomLeft" activeCell="A6" sqref="A6"/>
    </sheetView>
  </sheetViews>
  <sheetFormatPr defaultRowHeight="14.4" x14ac:dyDescent="0.3"/>
  <cols>
    <col min="1" max="1" width="55.21875" style="1" bestFit="1" customWidth="1"/>
    <col min="2" max="2" width="21.6640625" style="2" customWidth="1"/>
    <col min="3" max="3" width="39.88671875" style="2" customWidth="1"/>
    <col min="4" max="4" width="5.44140625" style="2" bestFit="1" customWidth="1"/>
    <col min="5" max="5" width="12.21875" style="14" customWidth="1"/>
    <col min="6" max="6" width="22" customWidth="1"/>
    <col min="7" max="7" width="29.88671875" bestFit="1" customWidth="1"/>
  </cols>
  <sheetData>
    <row r="1" spans="1:8" x14ac:dyDescent="0.3">
      <c r="A1"/>
      <c r="B1"/>
      <c r="C1"/>
      <c r="D1"/>
    </row>
    <row r="2" spans="1:8" x14ac:dyDescent="0.3">
      <c r="A2"/>
      <c r="B2"/>
      <c r="C2"/>
      <c r="D2"/>
    </row>
    <row r="3" spans="1:8" x14ac:dyDescent="0.3">
      <c r="A3"/>
      <c r="B3"/>
      <c r="C3"/>
      <c r="D3"/>
    </row>
    <row r="4" spans="1:8" ht="57.6" customHeight="1" x14ac:dyDescent="0.3">
      <c r="A4">
        <f>SUM(GIZLI!A:A)-1</f>
        <v>0</v>
      </c>
      <c r="B4"/>
      <c r="C4"/>
      <c r="D4"/>
    </row>
    <row r="5" spans="1:8" x14ac:dyDescent="0.3">
      <c r="A5"/>
      <c r="B5"/>
      <c r="C5"/>
      <c r="D5"/>
    </row>
    <row r="6" spans="1:8" x14ac:dyDescent="0.3">
      <c r="A6" s="1" t="s">
        <v>0</v>
      </c>
      <c r="B6" s="2" t="s">
        <v>2</v>
      </c>
      <c r="C6" s="2" t="s">
        <v>4</v>
      </c>
      <c r="D6" s="2" t="s">
        <v>6642</v>
      </c>
      <c r="E6" s="14" t="s">
        <v>12028</v>
      </c>
      <c r="G6" s="8" t="s">
        <v>4</v>
      </c>
      <c r="H6" s="8" t="s">
        <v>6642</v>
      </c>
    </row>
    <row r="7" spans="1:8" x14ac:dyDescent="0.3">
      <c r="B7" s="2" t="str">
        <f>MID(TableQR[[#This Row],[QR CODES]],4,13)</f>
        <v/>
      </c>
      <c r="C7" s="2" t="str">
        <f>IFERROR(VLOOKUP(TableQR[[#This Row],[BARCODES]],ILACLISTE[#All],2,0),"")</f>
        <v/>
      </c>
      <c r="D7" s="2">
        <f>COUNTIF(B7:B4000,IF(B7="",66666,B7))</f>
        <v>0</v>
      </c>
      <c r="E7" s="14" t="str">
        <f>IFERROR(GIZLI!G2,"")</f>
        <v/>
      </c>
      <c r="G7" s="2" t="s">
        <v>6643</v>
      </c>
      <c r="H7" t="str">
        <f>IF(IFERROR(VLOOKUP(G7,TableQR[[#All],[NAME]:[ADET]],2,0),"")&gt;0,IFERROR(VLOOKUP(G7,TableQR[[#All],[NAME]:[ADET]],2,0),""),"")</f>
        <v/>
      </c>
    </row>
    <row r="8" spans="1:8" x14ac:dyDescent="0.3">
      <c r="B8" s="2" t="str">
        <f>MID(TableQR[[#This Row],[QR CODES]],4,13)</f>
        <v/>
      </c>
      <c r="C8" s="2" t="str">
        <f>IFERROR(VLOOKUP(TableQR[[#This Row],[BARCODES]],ILACLISTE[#All],2,0),"")</f>
        <v/>
      </c>
      <c r="D8" s="2">
        <f t="shared" ref="D8:D71" si="0">COUNTIF(B8:B4001,IF(B8="",66666,B8))</f>
        <v>0</v>
      </c>
      <c r="E8" s="14" t="str">
        <f>IFERROR(GIZLI!G3,"")</f>
        <v/>
      </c>
      <c r="G8" s="2"/>
      <c r="H8" t="str">
        <f>IF(IFERROR(VLOOKUP(G8,TableQR[[#All],[NAME]:[ADET]],2,0),"")&gt;0,IFERROR(VLOOKUP(G8,TableQR[[#All],[NAME]:[ADET]],2,0),""),"")</f>
        <v/>
      </c>
    </row>
    <row r="9" spans="1:8" x14ac:dyDescent="0.3">
      <c r="B9" s="2" t="str">
        <f>MID(TableQR[[#This Row],[QR CODES]],4,13)</f>
        <v/>
      </c>
      <c r="C9" s="2" t="str">
        <f>IFERROR(VLOOKUP(TableQR[[#This Row],[BARCODES]],ILACLISTE[#All],2,0),"")</f>
        <v/>
      </c>
      <c r="D9" s="2">
        <f t="shared" si="0"/>
        <v>0</v>
      </c>
      <c r="E9" s="14" t="str">
        <f>IFERROR(GIZLI!G4,"")</f>
        <v/>
      </c>
      <c r="G9" s="2"/>
      <c r="H9" t="str">
        <f>IF(IFERROR(VLOOKUP(G9,TableQR[[#All],[NAME]:[ADET]],2,0),"")&gt;0,IFERROR(VLOOKUP(G9,TableQR[[#All],[NAME]:[ADET]],2,0),""),"")</f>
        <v/>
      </c>
    </row>
    <row r="10" spans="1:8" x14ac:dyDescent="0.3">
      <c r="B10" s="2" t="str">
        <f>MID(TableQR[[#This Row],[QR CODES]],4,13)</f>
        <v/>
      </c>
      <c r="C10" s="2" t="str">
        <f>IFERROR(VLOOKUP(TableQR[[#This Row],[BARCODES]],ILACLISTE[#All],2,0),"")</f>
        <v/>
      </c>
      <c r="D10" s="2">
        <f t="shared" si="0"/>
        <v>0</v>
      </c>
      <c r="E10" s="14" t="str">
        <f>IFERROR(GIZLI!G5,"")</f>
        <v/>
      </c>
      <c r="G10" s="2"/>
      <c r="H10" t="str">
        <f>IF(IFERROR(VLOOKUP(G10,TableQR[[#All],[NAME]:[ADET]],2,0),"")&gt;0,IFERROR(VLOOKUP(G10,TableQR[[#All],[NAME]:[ADET]],2,0),""),"")</f>
        <v/>
      </c>
    </row>
    <row r="11" spans="1:8" x14ac:dyDescent="0.3">
      <c r="B11" s="2" t="str">
        <f>MID(TableQR[[#This Row],[QR CODES]],4,13)</f>
        <v/>
      </c>
      <c r="C11" s="2" t="str">
        <f>IFERROR(VLOOKUP(TableQR[[#This Row],[BARCODES]],ILACLISTE[#All],2,0),"")</f>
        <v/>
      </c>
      <c r="D11" s="2">
        <f t="shared" si="0"/>
        <v>0</v>
      </c>
      <c r="E11" s="14" t="str">
        <f>IFERROR(GIZLI!G6,"")</f>
        <v/>
      </c>
      <c r="G11" s="2"/>
      <c r="H11" t="str">
        <f>IF(IFERROR(VLOOKUP(G11,TableQR[[#All],[NAME]:[ADET]],2,0),"")&gt;0,IFERROR(VLOOKUP(G11,TableQR[[#All],[NAME]:[ADET]],2,0),""),"")</f>
        <v/>
      </c>
    </row>
    <row r="12" spans="1:8" x14ac:dyDescent="0.3">
      <c r="B12" s="2" t="str">
        <f>MID(TableQR[[#This Row],[QR CODES]],4,13)</f>
        <v/>
      </c>
      <c r="C12" s="2" t="str">
        <f>IFERROR(VLOOKUP(TableQR[[#This Row],[BARCODES]],ILACLISTE[#All],2,0),"")</f>
        <v/>
      </c>
      <c r="D12" s="2">
        <f t="shared" si="0"/>
        <v>0</v>
      </c>
      <c r="E12" s="14" t="str">
        <f>IFERROR(GIZLI!G7,"")</f>
        <v/>
      </c>
      <c r="G12" s="2"/>
      <c r="H12" t="str">
        <f>IF(IFERROR(VLOOKUP(G12,TableQR[[#All],[NAME]:[ADET]],2,0),"")&gt;0,IFERROR(VLOOKUP(G12,TableQR[[#All],[NAME]:[ADET]],2,0),""),"")</f>
        <v/>
      </c>
    </row>
    <row r="13" spans="1:8" x14ac:dyDescent="0.3">
      <c r="B13" s="2" t="str">
        <f>MID(TableQR[[#This Row],[QR CODES]],4,13)</f>
        <v/>
      </c>
      <c r="C13" s="2" t="str">
        <f>IFERROR(VLOOKUP(TableQR[[#This Row],[BARCODES]],ILACLISTE[#All],2,0),"")</f>
        <v/>
      </c>
      <c r="D13" s="2">
        <f t="shared" si="0"/>
        <v>0</v>
      </c>
      <c r="E13" s="14" t="str">
        <f>IFERROR(GIZLI!G8,"")</f>
        <v/>
      </c>
      <c r="G13" s="2"/>
      <c r="H13" t="str">
        <f>IF(IFERROR(VLOOKUP(G13,TableQR[[#All],[NAME]:[ADET]],2,0),"")&gt;0,IFERROR(VLOOKUP(G13,TableQR[[#All],[NAME]:[ADET]],2,0),""),"")</f>
        <v/>
      </c>
    </row>
    <row r="14" spans="1:8" x14ac:dyDescent="0.3">
      <c r="B14" s="2" t="str">
        <f>MID(TableQR[[#This Row],[QR CODES]],4,13)</f>
        <v/>
      </c>
      <c r="C14" s="2" t="str">
        <f>IFERROR(VLOOKUP(TableQR[[#This Row],[BARCODES]],ILACLISTE[#All],2,0),"")</f>
        <v/>
      </c>
      <c r="D14" s="2">
        <f t="shared" si="0"/>
        <v>0</v>
      </c>
      <c r="E14" s="14" t="str">
        <f>IFERROR(GIZLI!G9,"")</f>
        <v/>
      </c>
      <c r="G14" s="2"/>
      <c r="H14" t="str">
        <f>IF(IFERROR(VLOOKUP(G14,TableQR[[#All],[NAME]:[ADET]],2,0),"")&gt;0,IFERROR(VLOOKUP(G14,TableQR[[#All],[NAME]:[ADET]],2,0),""),"")</f>
        <v/>
      </c>
    </row>
    <row r="15" spans="1:8" x14ac:dyDescent="0.3">
      <c r="B15" s="2" t="str">
        <f>MID(TableQR[[#This Row],[QR CODES]],4,13)</f>
        <v/>
      </c>
      <c r="C15" s="2" t="str">
        <f>IFERROR(VLOOKUP(TableQR[[#This Row],[BARCODES]],ILACLISTE[#All],2,0),"")</f>
        <v/>
      </c>
      <c r="D15" s="2">
        <f t="shared" si="0"/>
        <v>0</v>
      </c>
      <c r="E15" s="14" t="str">
        <f>IFERROR(GIZLI!G10,"")</f>
        <v/>
      </c>
      <c r="G15" s="2"/>
      <c r="H15" t="str">
        <f>IF(IFERROR(VLOOKUP(G15,TableQR[[#All],[NAME]:[ADET]],2,0),"")&gt;0,IFERROR(VLOOKUP(G15,TableQR[[#All],[NAME]:[ADET]],2,0),""),"")</f>
        <v/>
      </c>
    </row>
    <row r="16" spans="1:8" x14ac:dyDescent="0.3">
      <c r="B16" s="2" t="str">
        <f>MID(TableQR[[#This Row],[QR CODES]],4,13)</f>
        <v/>
      </c>
      <c r="C16" s="2" t="str">
        <f>IFERROR(VLOOKUP(TableQR[[#This Row],[BARCODES]],ILACLISTE[#All],2,0),"")</f>
        <v/>
      </c>
      <c r="D16" s="2">
        <f t="shared" si="0"/>
        <v>0</v>
      </c>
      <c r="E16" s="14" t="str">
        <f>IFERROR(GIZLI!G11,"")</f>
        <v/>
      </c>
      <c r="G16" s="2"/>
      <c r="H16" t="str">
        <f>IF(IFERROR(VLOOKUP(G16,TableQR[[#All],[NAME]:[ADET]],2,0),"")&gt;0,IFERROR(VLOOKUP(G16,TableQR[[#All],[NAME]:[ADET]],2,0),""),"")</f>
        <v/>
      </c>
    </row>
    <row r="17" spans="2:8" x14ac:dyDescent="0.3">
      <c r="B17" s="2" t="str">
        <f>MID(TableQR[[#This Row],[QR CODES]],4,13)</f>
        <v/>
      </c>
      <c r="C17" s="2" t="str">
        <f>IFERROR(VLOOKUP(TableQR[[#This Row],[BARCODES]],ILACLISTE[#All],2,0),"")</f>
        <v/>
      </c>
      <c r="D17" s="2">
        <f t="shared" si="0"/>
        <v>0</v>
      </c>
      <c r="E17" s="14" t="str">
        <f>IFERROR(GIZLI!G12,"")</f>
        <v/>
      </c>
      <c r="G17" s="2"/>
      <c r="H17" t="str">
        <f>IF(IFERROR(VLOOKUP(G17,TableQR[[#All],[NAME]:[ADET]],2,0),"")&gt;0,IFERROR(VLOOKUP(G17,TableQR[[#All],[NAME]:[ADET]],2,0),""),"")</f>
        <v/>
      </c>
    </row>
    <row r="18" spans="2:8" x14ac:dyDescent="0.3">
      <c r="B18" s="2" t="str">
        <f>MID(TableQR[[#This Row],[QR CODES]],4,13)</f>
        <v/>
      </c>
      <c r="C18" s="2" t="str">
        <f>IFERROR(VLOOKUP(TableQR[[#This Row],[BARCODES]],ILACLISTE[#All],2,0),"")</f>
        <v/>
      </c>
      <c r="D18" s="2">
        <f t="shared" si="0"/>
        <v>0</v>
      </c>
      <c r="E18" s="14" t="str">
        <f>IFERROR(GIZLI!G13,"")</f>
        <v/>
      </c>
      <c r="G18" s="2"/>
      <c r="H18" t="str">
        <f>IF(IFERROR(VLOOKUP(G18,TableQR[[#All],[NAME]:[ADET]],2,0),"")&gt;0,IFERROR(VLOOKUP(G18,TableQR[[#All],[NAME]:[ADET]],2,0),""),"")</f>
        <v/>
      </c>
    </row>
    <row r="19" spans="2:8" x14ac:dyDescent="0.3">
      <c r="B19" s="2" t="str">
        <f>MID(TableQR[[#This Row],[QR CODES]],4,13)</f>
        <v/>
      </c>
      <c r="C19" s="2" t="str">
        <f>IFERROR(VLOOKUP(TableQR[[#This Row],[BARCODES]],ILACLISTE[#All],2,0),"")</f>
        <v/>
      </c>
      <c r="D19" s="2">
        <f t="shared" si="0"/>
        <v>0</v>
      </c>
      <c r="E19" s="14" t="str">
        <f>IFERROR(GIZLI!G14,"")</f>
        <v/>
      </c>
      <c r="G19" s="2"/>
      <c r="H19" t="str">
        <f>IF(IFERROR(VLOOKUP(G19,TableQR[[#All],[NAME]:[ADET]],2,0),"")&gt;0,IFERROR(VLOOKUP(G19,TableQR[[#All],[NAME]:[ADET]],2,0),""),"")</f>
        <v/>
      </c>
    </row>
    <row r="20" spans="2:8" x14ac:dyDescent="0.3">
      <c r="B20" s="2" t="str">
        <f>MID(TableQR[[#This Row],[QR CODES]],4,13)</f>
        <v/>
      </c>
      <c r="C20" s="2" t="str">
        <f>IFERROR(VLOOKUP(TableQR[[#This Row],[BARCODES]],ILACLISTE[#All],2,0),"")</f>
        <v/>
      </c>
      <c r="D20" s="2">
        <f t="shared" si="0"/>
        <v>0</v>
      </c>
      <c r="E20" s="14" t="str">
        <f>IFERROR(GIZLI!G15,"")</f>
        <v/>
      </c>
      <c r="G20" s="2"/>
      <c r="H20" t="str">
        <f>IF(IFERROR(VLOOKUP(G20,TableQR[[#All],[NAME]:[ADET]],2,0),"")&gt;0,IFERROR(VLOOKUP(G20,TableQR[[#All],[NAME]:[ADET]],2,0),""),"")</f>
        <v/>
      </c>
    </row>
    <row r="21" spans="2:8" x14ac:dyDescent="0.3">
      <c r="B21" s="2" t="str">
        <f>MID(TableQR[[#This Row],[QR CODES]],4,13)</f>
        <v/>
      </c>
      <c r="C21" s="2" t="str">
        <f>IFERROR(VLOOKUP(TableQR[[#This Row],[BARCODES]],ILACLISTE[#All],2,0),"")</f>
        <v/>
      </c>
      <c r="D21" s="2">
        <f t="shared" si="0"/>
        <v>0</v>
      </c>
      <c r="E21" s="14" t="str">
        <f>IFERROR(GIZLI!G16,"")</f>
        <v/>
      </c>
      <c r="G21" s="2"/>
      <c r="H21" t="str">
        <f>IF(IFERROR(VLOOKUP(G21,TableQR[[#All],[NAME]:[ADET]],2,0),"")&gt;0,IFERROR(VLOOKUP(G21,TableQR[[#All],[NAME]:[ADET]],2,0),""),"")</f>
        <v/>
      </c>
    </row>
    <row r="22" spans="2:8" x14ac:dyDescent="0.3">
      <c r="B22" s="2" t="str">
        <f>MID(TableQR[[#This Row],[QR CODES]],4,13)</f>
        <v/>
      </c>
      <c r="C22" s="2" t="str">
        <f>IFERROR(VLOOKUP(TableQR[[#This Row],[BARCODES]],ILACLISTE[#All],2,0),"")</f>
        <v/>
      </c>
      <c r="D22" s="2">
        <f t="shared" si="0"/>
        <v>0</v>
      </c>
      <c r="E22" s="14" t="str">
        <f>IFERROR(GIZLI!G17,"")</f>
        <v/>
      </c>
      <c r="G22" s="2"/>
      <c r="H22" t="str">
        <f>IF(IFERROR(VLOOKUP(G22,TableQR[[#All],[NAME]:[ADET]],2,0),"")&gt;0,IFERROR(VLOOKUP(G22,TableQR[[#All],[NAME]:[ADET]],2,0),""),"")</f>
        <v/>
      </c>
    </row>
    <row r="23" spans="2:8" x14ac:dyDescent="0.3">
      <c r="B23" s="2" t="str">
        <f>MID(TableQR[[#This Row],[QR CODES]],4,13)</f>
        <v/>
      </c>
      <c r="C23" s="2" t="str">
        <f>IFERROR(VLOOKUP(TableQR[[#This Row],[BARCODES]],ILACLISTE[#All],2,0),"")</f>
        <v/>
      </c>
      <c r="D23" s="2">
        <f t="shared" si="0"/>
        <v>0</v>
      </c>
      <c r="E23" s="14" t="str">
        <f>IFERROR(GIZLI!G18,"")</f>
        <v/>
      </c>
      <c r="G23" s="2"/>
      <c r="H23" t="str">
        <f>IF(IFERROR(VLOOKUP(G23,TableQR[[#All],[NAME]:[ADET]],2,0),"")&gt;0,IFERROR(VLOOKUP(G23,TableQR[[#All],[NAME]:[ADET]],2,0),""),"")</f>
        <v/>
      </c>
    </row>
    <row r="24" spans="2:8" x14ac:dyDescent="0.3">
      <c r="B24" s="2" t="str">
        <f>MID(TableQR[[#This Row],[QR CODES]],4,13)</f>
        <v/>
      </c>
      <c r="C24" s="2" t="str">
        <f>IFERROR(VLOOKUP(TableQR[[#This Row],[BARCODES]],ILACLISTE[#All],2,0),"")</f>
        <v/>
      </c>
      <c r="D24" s="2">
        <f t="shared" si="0"/>
        <v>0</v>
      </c>
      <c r="E24" s="14" t="str">
        <f>IFERROR(GIZLI!G19,"")</f>
        <v/>
      </c>
      <c r="G24" s="2"/>
      <c r="H24" t="str">
        <f>IF(IFERROR(VLOOKUP(G24,TableQR[[#All],[NAME]:[ADET]],2,0),"")&gt;0,IFERROR(VLOOKUP(G24,TableQR[[#All],[NAME]:[ADET]],2,0),""),"")</f>
        <v/>
      </c>
    </row>
    <row r="25" spans="2:8" x14ac:dyDescent="0.3">
      <c r="B25" s="2" t="str">
        <f>MID(TableQR[[#This Row],[QR CODES]],4,13)</f>
        <v/>
      </c>
      <c r="C25" s="2" t="str">
        <f>IFERROR(VLOOKUP(TableQR[[#This Row],[BARCODES]],ILACLISTE[#All],2,0),"")</f>
        <v/>
      </c>
      <c r="D25" s="2">
        <f t="shared" si="0"/>
        <v>0</v>
      </c>
      <c r="E25" s="14" t="str">
        <f>IFERROR(GIZLI!G20,"")</f>
        <v/>
      </c>
      <c r="G25" s="2"/>
      <c r="H25" t="str">
        <f>IF(IFERROR(VLOOKUP(G25,TableQR[[#All],[NAME]:[ADET]],2,0),"")&gt;0,IFERROR(VLOOKUP(G25,TableQR[[#All],[NAME]:[ADET]],2,0),""),"")</f>
        <v/>
      </c>
    </row>
    <row r="26" spans="2:8" x14ac:dyDescent="0.3">
      <c r="B26" s="2" t="str">
        <f>MID(TableQR[[#This Row],[QR CODES]],4,13)</f>
        <v/>
      </c>
      <c r="C26" s="2" t="str">
        <f>IFERROR(VLOOKUP(TableQR[[#This Row],[BARCODES]],ILACLISTE[#All],2,0),"")</f>
        <v/>
      </c>
      <c r="D26" s="2">
        <f t="shared" si="0"/>
        <v>0</v>
      </c>
      <c r="E26" s="14" t="str">
        <f>IFERROR(GIZLI!G21,"")</f>
        <v/>
      </c>
      <c r="G26" s="2"/>
      <c r="H26" t="str">
        <f>IF(IFERROR(VLOOKUP(G26,TableQR[[#All],[NAME]:[ADET]],2,0),"")&gt;0,IFERROR(VLOOKUP(G26,TableQR[[#All],[NAME]:[ADET]],2,0),""),"")</f>
        <v/>
      </c>
    </row>
    <row r="27" spans="2:8" x14ac:dyDescent="0.3">
      <c r="B27" s="2" t="str">
        <f>MID(TableQR[[#This Row],[QR CODES]],4,13)</f>
        <v/>
      </c>
      <c r="C27" s="2" t="str">
        <f>IFERROR(VLOOKUP(TableQR[[#This Row],[BARCODES]],ILACLISTE[#All],2,0),"")</f>
        <v/>
      </c>
      <c r="D27" s="2">
        <f t="shared" si="0"/>
        <v>0</v>
      </c>
      <c r="E27" s="14" t="str">
        <f>IFERROR(GIZLI!G22,"")</f>
        <v/>
      </c>
      <c r="G27" s="2"/>
      <c r="H27" t="str">
        <f>IF(IFERROR(VLOOKUP(G27,TableQR[[#All],[NAME]:[ADET]],2,0),"")&gt;0,IFERROR(VLOOKUP(G27,TableQR[[#All],[NAME]:[ADET]],2,0),""),"")</f>
        <v/>
      </c>
    </row>
    <row r="28" spans="2:8" x14ac:dyDescent="0.3">
      <c r="B28" s="2" t="str">
        <f>MID(TableQR[[#This Row],[QR CODES]],4,13)</f>
        <v/>
      </c>
      <c r="C28" s="2" t="str">
        <f>IFERROR(VLOOKUP(TableQR[[#This Row],[BARCODES]],ILACLISTE[#All],2,0),"")</f>
        <v/>
      </c>
      <c r="D28" s="2">
        <f t="shared" si="0"/>
        <v>0</v>
      </c>
      <c r="E28" s="14" t="str">
        <f>IFERROR(GIZLI!G23,"")</f>
        <v/>
      </c>
      <c r="G28" s="2"/>
      <c r="H28" t="str">
        <f>IF(IFERROR(VLOOKUP(G28,TableQR[[#All],[NAME]:[ADET]],2,0),"")&gt;0,IFERROR(VLOOKUP(G28,TableQR[[#All],[NAME]:[ADET]],2,0),""),"")</f>
        <v/>
      </c>
    </row>
    <row r="29" spans="2:8" x14ac:dyDescent="0.3">
      <c r="B29" s="2" t="str">
        <f>MID(TableQR[[#This Row],[QR CODES]],4,13)</f>
        <v/>
      </c>
      <c r="C29" s="2" t="str">
        <f>IFERROR(VLOOKUP(TableQR[[#This Row],[BARCODES]],ILACLISTE[#All],2,0),"")</f>
        <v/>
      </c>
      <c r="D29" s="2">
        <f t="shared" si="0"/>
        <v>0</v>
      </c>
      <c r="E29" s="14" t="str">
        <f>IFERROR(GIZLI!G24,"")</f>
        <v/>
      </c>
      <c r="G29" s="2"/>
      <c r="H29" t="str">
        <f>IF(IFERROR(VLOOKUP(G29,TableQR[[#All],[NAME]:[ADET]],2,0),"")&gt;0,IFERROR(VLOOKUP(G29,TableQR[[#All],[NAME]:[ADET]],2,0),""),"")</f>
        <v/>
      </c>
    </row>
    <row r="30" spans="2:8" x14ac:dyDescent="0.3">
      <c r="B30" s="2" t="str">
        <f>MID(TableQR[[#This Row],[QR CODES]],4,13)</f>
        <v/>
      </c>
      <c r="C30" s="2" t="str">
        <f>IFERROR(VLOOKUP(TableQR[[#This Row],[BARCODES]],ILACLISTE[#All],2,0),"")</f>
        <v/>
      </c>
      <c r="D30" s="2">
        <f t="shared" si="0"/>
        <v>0</v>
      </c>
      <c r="E30" s="14" t="str">
        <f>IFERROR(GIZLI!G25,"")</f>
        <v/>
      </c>
      <c r="G30" s="2"/>
      <c r="H30" t="str">
        <f>IF(IFERROR(VLOOKUP(G30,TableQR[[#All],[NAME]:[ADET]],2,0),"")&gt;0,IFERROR(VLOOKUP(G30,TableQR[[#All],[NAME]:[ADET]],2,0),""),"")</f>
        <v/>
      </c>
    </row>
    <row r="31" spans="2:8" x14ac:dyDescent="0.3">
      <c r="B31" s="2" t="str">
        <f>MID(TableQR[[#This Row],[QR CODES]],4,13)</f>
        <v/>
      </c>
      <c r="C31" s="2" t="str">
        <f>IFERROR(VLOOKUP(TableQR[[#This Row],[BARCODES]],ILACLISTE[#All],2,0),"")</f>
        <v/>
      </c>
      <c r="D31" s="2">
        <f t="shared" si="0"/>
        <v>0</v>
      </c>
      <c r="E31" s="14" t="str">
        <f>IFERROR(GIZLI!G26,"")</f>
        <v/>
      </c>
      <c r="G31" s="2"/>
      <c r="H31" t="str">
        <f>IF(IFERROR(VLOOKUP(G31,TableQR[[#All],[NAME]:[ADET]],2,0),"")&gt;0,IFERROR(VLOOKUP(G31,TableQR[[#All],[NAME]:[ADET]],2,0),""),"")</f>
        <v/>
      </c>
    </row>
    <row r="32" spans="2:8" x14ac:dyDescent="0.3">
      <c r="B32" s="2" t="str">
        <f>MID(TableQR[[#This Row],[QR CODES]],4,13)</f>
        <v/>
      </c>
      <c r="C32" s="2" t="str">
        <f>IFERROR(VLOOKUP(TableQR[[#This Row],[BARCODES]],ILACLISTE[#All],2,0),"")</f>
        <v/>
      </c>
      <c r="D32" s="2">
        <f t="shared" si="0"/>
        <v>0</v>
      </c>
      <c r="E32" s="14" t="str">
        <f>IFERROR(GIZLI!G27,"")</f>
        <v/>
      </c>
      <c r="G32" s="2"/>
      <c r="H32" t="str">
        <f>IF(IFERROR(VLOOKUP(G32,TableQR[[#All],[NAME]:[ADET]],2,0),"")&gt;0,IFERROR(VLOOKUP(G32,TableQR[[#All],[NAME]:[ADET]],2,0),""),"")</f>
        <v/>
      </c>
    </row>
    <row r="33" spans="2:8" x14ac:dyDescent="0.3">
      <c r="B33" s="2" t="str">
        <f>MID(TableQR[[#This Row],[QR CODES]],4,13)</f>
        <v/>
      </c>
      <c r="C33" s="2" t="str">
        <f>IFERROR(VLOOKUP(TableQR[[#This Row],[BARCODES]],ILACLISTE[#All],2,0),"")</f>
        <v/>
      </c>
      <c r="D33" s="2">
        <f t="shared" si="0"/>
        <v>0</v>
      </c>
      <c r="E33" s="14" t="str">
        <f>IFERROR(GIZLI!G28,"")</f>
        <v/>
      </c>
      <c r="G33" s="2"/>
      <c r="H33" t="str">
        <f>IF(IFERROR(VLOOKUP(G33,TableQR[[#All],[NAME]:[ADET]],2,0),"")&gt;0,IFERROR(VLOOKUP(G33,TableQR[[#All],[NAME]:[ADET]],2,0),""),"")</f>
        <v/>
      </c>
    </row>
    <row r="34" spans="2:8" x14ac:dyDescent="0.3">
      <c r="B34" s="2" t="str">
        <f>MID(TableQR[[#This Row],[QR CODES]],4,13)</f>
        <v/>
      </c>
      <c r="C34" s="2" t="str">
        <f>IFERROR(VLOOKUP(TableQR[[#This Row],[BARCODES]],ILACLISTE[#All],2,0),"")</f>
        <v/>
      </c>
      <c r="D34" s="2">
        <f t="shared" si="0"/>
        <v>0</v>
      </c>
      <c r="E34" s="14" t="str">
        <f>IFERROR(GIZLI!G29,"")</f>
        <v/>
      </c>
      <c r="G34" s="2"/>
      <c r="H34" t="str">
        <f>IF(IFERROR(VLOOKUP(G34,TableQR[[#All],[NAME]:[ADET]],2,0),"")&gt;0,IFERROR(VLOOKUP(G34,TableQR[[#All],[NAME]:[ADET]],2,0),""),"")</f>
        <v/>
      </c>
    </row>
    <row r="35" spans="2:8" x14ac:dyDescent="0.3">
      <c r="B35" s="2" t="str">
        <f>MID(TableQR[[#This Row],[QR CODES]],4,13)</f>
        <v/>
      </c>
      <c r="C35" s="2" t="str">
        <f>IFERROR(VLOOKUP(TableQR[[#This Row],[BARCODES]],ILACLISTE[#All],2,0),"")</f>
        <v/>
      </c>
      <c r="D35" s="2">
        <f t="shared" si="0"/>
        <v>0</v>
      </c>
      <c r="E35" s="14" t="str">
        <f>IFERROR(GIZLI!G30,"")</f>
        <v/>
      </c>
      <c r="G35" s="2"/>
      <c r="H35" t="str">
        <f>IF(IFERROR(VLOOKUP(G35,TableQR[[#All],[NAME]:[ADET]],2,0),"")&gt;0,IFERROR(VLOOKUP(G35,TableQR[[#All],[NAME]:[ADET]],2,0),""),"")</f>
        <v/>
      </c>
    </row>
    <row r="36" spans="2:8" x14ac:dyDescent="0.3">
      <c r="B36" s="2" t="str">
        <f>MID(TableQR[[#This Row],[QR CODES]],4,13)</f>
        <v/>
      </c>
      <c r="C36" s="2" t="str">
        <f>IFERROR(VLOOKUP(TableQR[[#This Row],[BARCODES]],ILACLISTE[#All],2,0),"")</f>
        <v/>
      </c>
      <c r="D36" s="2">
        <f t="shared" si="0"/>
        <v>0</v>
      </c>
      <c r="E36" s="14" t="str">
        <f>IFERROR(GIZLI!G31,"")</f>
        <v/>
      </c>
      <c r="G36" s="2"/>
      <c r="H36" t="str">
        <f>IF(IFERROR(VLOOKUP(G36,TableQR[[#All],[NAME]:[ADET]],2,0),"")&gt;0,IFERROR(VLOOKUP(G36,TableQR[[#All],[NAME]:[ADET]],2,0),""),"")</f>
        <v/>
      </c>
    </row>
    <row r="37" spans="2:8" x14ac:dyDescent="0.3">
      <c r="B37" s="2" t="str">
        <f>MID(TableQR[[#This Row],[QR CODES]],4,13)</f>
        <v/>
      </c>
      <c r="C37" s="2" t="str">
        <f>IFERROR(VLOOKUP(TableQR[[#This Row],[BARCODES]],ILACLISTE[#All],2,0),"")</f>
        <v/>
      </c>
      <c r="D37" s="2">
        <f t="shared" si="0"/>
        <v>0</v>
      </c>
      <c r="E37" s="14" t="str">
        <f>IFERROR(GIZLI!G32,"")</f>
        <v/>
      </c>
      <c r="G37" s="2"/>
      <c r="H37" t="str">
        <f>IF(IFERROR(VLOOKUP(G37,TableQR[[#All],[NAME]:[ADET]],2,0),"")&gt;0,IFERROR(VLOOKUP(G37,TableQR[[#All],[NAME]:[ADET]],2,0),""),"")</f>
        <v/>
      </c>
    </row>
    <row r="38" spans="2:8" x14ac:dyDescent="0.3">
      <c r="B38" s="2" t="str">
        <f>MID(TableQR[[#This Row],[QR CODES]],4,13)</f>
        <v/>
      </c>
      <c r="C38" s="2" t="str">
        <f>IFERROR(VLOOKUP(TableQR[[#This Row],[BARCODES]],ILACLISTE[#All],2,0),"")</f>
        <v/>
      </c>
      <c r="D38" s="2">
        <f t="shared" si="0"/>
        <v>0</v>
      </c>
      <c r="E38" s="14" t="str">
        <f>IFERROR(GIZLI!G33,"")</f>
        <v/>
      </c>
      <c r="G38" s="2"/>
      <c r="H38" t="str">
        <f>IF(IFERROR(VLOOKUP(G38,TableQR[[#All],[NAME]:[ADET]],2,0),"")&gt;0,IFERROR(VLOOKUP(G38,TableQR[[#All],[NAME]:[ADET]],2,0),""),"")</f>
        <v/>
      </c>
    </row>
    <row r="39" spans="2:8" x14ac:dyDescent="0.3">
      <c r="B39" s="2" t="str">
        <f>MID(TableQR[[#This Row],[QR CODES]],4,13)</f>
        <v/>
      </c>
      <c r="C39" s="2" t="str">
        <f>IFERROR(VLOOKUP(TableQR[[#This Row],[BARCODES]],ILACLISTE[#All],2,0),"")</f>
        <v/>
      </c>
      <c r="D39" s="2">
        <f t="shared" si="0"/>
        <v>0</v>
      </c>
      <c r="E39" s="14" t="str">
        <f>IFERROR(GIZLI!G34,"")</f>
        <v/>
      </c>
      <c r="G39" s="2"/>
      <c r="H39" t="str">
        <f>IF(IFERROR(VLOOKUP(G39,TableQR[[#All],[NAME]:[ADET]],2,0),"")&gt;0,IFERROR(VLOOKUP(G39,TableQR[[#All],[NAME]:[ADET]],2,0),""),"")</f>
        <v/>
      </c>
    </row>
    <row r="40" spans="2:8" x14ac:dyDescent="0.3">
      <c r="B40" s="2" t="str">
        <f>MID(TableQR[[#This Row],[QR CODES]],4,13)</f>
        <v/>
      </c>
      <c r="C40" s="2" t="str">
        <f>IFERROR(VLOOKUP(TableQR[[#This Row],[BARCODES]],ILACLISTE[#All],2,0),"")</f>
        <v/>
      </c>
      <c r="D40" s="2">
        <f t="shared" si="0"/>
        <v>0</v>
      </c>
      <c r="E40" s="14" t="str">
        <f>IFERROR(GIZLI!G35,"")</f>
        <v/>
      </c>
      <c r="G40" s="2"/>
      <c r="H40" t="str">
        <f>IF(IFERROR(VLOOKUP(G40,TableQR[[#All],[NAME]:[ADET]],2,0),"")&gt;0,IFERROR(VLOOKUP(G40,TableQR[[#All],[NAME]:[ADET]],2,0),""),"")</f>
        <v/>
      </c>
    </row>
    <row r="41" spans="2:8" x14ac:dyDescent="0.3">
      <c r="B41" s="2" t="str">
        <f>MID(TableQR[[#This Row],[QR CODES]],4,13)</f>
        <v/>
      </c>
      <c r="C41" s="2" t="str">
        <f>IFERROR(VLOOKUP(TableQR[[#This Row],[BARCODES]],ILACLISTE[#All],2,0),"")</f>
        <v/>
      </c>
      <c r="D41" s="2">
        <f t="shared" si="0"/>
        <v>0</v>
      </c>
      <c r="E41" s="14" t="str">
        <f>IFERROR(GIZLI!G36,"")</f>
        <v/>
      </c>
      <c r="G41" s="2"/>
      <c r="H41" t="str">
        <f>IF(IFERROR(VLOOKUP(G41,TableQR[[#All],[NAME]:[ADET]],2,0),"")&gt;0,IFERROR(VLOOKUP(G41,TableQR[[#All],[NAME]:[ADET]],2,0),""),"")</f>
        <v/>
      </c>
    </row>
    <row r="42" spans="2:8" x14ac:dyDescent="0.3">
      <c r="B42" s="2" t="str">
        <f>MID(TableQR[[#This Row],[QR CODES]],4,13)</f>
        <v/>
      </c>
      <c r="C42" s="2" t="str">
        <f>IFERROR(VLOOKUP(TableQR[[#This Row],[BARCODES]],ILACLISTE[#All],2,0),"")</f>
        <v/>
      </c>
      <c r="D42" s="2">
        <f t="shared" si="0"/>
        <v>0</v>
      </c>
      <c r="E42" s="14" t="str">
        <f>IFERROR(GIZLI!G37,"")</f>
        <v/>
      </c>
      <c r="G42" s="2"/>
      <c r="H42" t="str">
        <f>IF(IFERROR(VLOOKUP(G42,TableQR[[#All],[NAME]:[ADET]],2,0),"")&gt;0,IFERROR(VLOOKUP(G42,TableQR[[#All],[NAME]:[ADET]],2,0),""),"")</f>
        <v/>
      </c>
    </row>
    <row r="43" spans="2:8" x14ac:dyDescent="0.3">
      <c r="B43" s="2" t="str">
        <f>MID(TableQR[[#This Row],[QR CODES]],4,13)</f>
        <v/>
      </c>
      <c r="C43" s="2" t="str">
        <f>IFERROR(VLOOKUP(TableQR[[#This Row],[BARCODES]],ILACLISTE[#All],2,0),"")</f>
        <v/>
      </c>
      <c r="D43" s="2">
        <f t="shared" si="0"/>
        <v>0</v>
      </c>
      <c r="E43" s="14" t="str">
        <f>IFERROR(GIZLI!G38,"")</f>
        <v/>
      </c>
      <c r="G43" s="2"/>
      <c r="H43" t="str">
        <f>IF(IFERROR(VLOOKUP(G43,TableQR[[#All],[NAME]:[ADET]],2,0),"")&gt;0,IFERROR(VLOOKUP(G43,TableQR[[#All],[NAME]:[ADET]],2,0),""),"")</f>
        <v/>
      </c>
    </row>
    <row r="44" spans="2:8" x14ac:dyDescent="0.3">
      <c r="B44" s="2" t="str">
        <f>MID(TableQR[[#This Row],[QR CODES]],4,13)</f>
        <v/>
      </c>
      <c r="C44" s="2" t="str">
        <f>IFERROR(VLOOKUP(TableQR[[#This Row],[BARCODES]],ILACLISTE[#All],2,0),"")</f>
        <v/>
      </c>
      <c r="D44" s="2">
        <f t="shared" si="0"/>
        <v>0</v>
      </c>
      <c r="E44" s="14" t="str">
        <f>IFERROR(GIZLI!G39,"")</f>
        <v/>
      </c>
      <c r="G44" s="2"/>
      <c r="H44" t="str">
        <f>IF(IFERROR(VLOOKUP(G44,TableQR[[#All],[NAME]:[ADET]],2,0),"")&gt;0,IFERROR(VLOOKUP(G44,TableQR[[#All],[NAME]:[ADET]],2,0),""),"")</f>
        <v/>
      </c>
    </row>
    <row r="45" spans="2:8" x14ac:dyDescent="0.3">
      <c r="B45" s="2" t="str">
        <f>MID(TableQR[[#This Row],[QR CODES]],4,13)</f>
        <v/>
      </c>
      <c r="C45" s="2" t="str">
        <f>IFERROR(VLOOKUP(TableQR[[#This Row],[BARCODES]],ILACLISTE[#All],2,0),"")</f>
        <v/>
      </c>
      <c r="D45" s="2">
        <f t="shared" si="0"/>
        <v>0</v>
      </c>
      <c r="E45" s="14" t="str">
        <f>IFERROR(GIZLI!G40,"")</f>
        <v/>
      </c>
      <c r="G45" s="2"/>
      <c r="H45" t="str">
        <f>IF(IFERROR(VLOOKUP(G45,TableQR[[#All],[NAME]:[ADET]],2,0),"")&gt;0,IFERROR(VLOOKUP(G45,TableQR[[#All],[NAME]:[ADET]],2,0),""),"")</f>
        <v/>
      </c>
    </row>
    <row r="46" spans="2:8" x14ac:dyDescent="0.3">
      <c r="B46" s="2" t="str">
        <f>MID(TableQR[[#This Row],[QR CODES]],4,13)</f>
        <v/>
      </c>
      <c r="C46" s="2" t="str">
        <f>IFERROR(VLOOKUP(TableQR[[#This Row],[BARCODES]],ILACLISTE[#All],2,0),"")</f>
        <v/>
      </c>
      <c r="D46" s="2">
        <f t="shared" si="0"/>
        <v>0</v>
      </c>
      <c r="E46" s="14" t="str">
        <f>IFERROR(GIZLI!G41,"")</f>
        <v/>
      </c>
      <c r="G46" s="2"/>
      <c r="H46" t="str">
        <f>IF(IFERROR(VLOOKUP(G46,TableQR[[#All],[NAME]:[ADET]],2,0),"")&gt;0,IFERROR(VLOOKUP(G46,TableQR[[#All],[NAME]:[ADET]],2,0),""),"")</f>
        <v/>
      </c>
    </row>
    <row r="47" spans="2:8" x14ac:dyDescent="0.3">
      <c r="B47" s="2" t="str">
        <f>MID(TableQR[[#This Row],[QR CODES]],4,13)</f>
        <v/>
      </c>
      <c r="C47" s="2" t="str">
        <f>IFERROR(VLOOKUP(TableQR[[#This Row],[BARCODES]],ILACLISTE[#All],2,0),"")</f>
        <v/>
      </c>
      <c r="D47" s="2">
        <f t="shared" si="0"/>
        <v>0</v>
      </c>
      <c r="E47" s="14" t="str">
        <f>IFERROR(GIZLI!G42,"")</f>
        <v/>
      </c>
      <c r="G47" s="2"/>
      <c r="H47" t="str">
        <f>IF(IFERROR(VLOOKUP(G47,TableQR[[#All],[NAME]:[ADET]],2,0),"")&gt;0,IFERROR(VLOOKUP(G47,TableQR[[#All],[NAME]:[ADET]],2,0),""),"")</f>
        <v/>
      </c>
    </row>
    <row r="48" spans="2:8" x14ac:dyDescent="0.3">
      <c r="B48" s="2" t="str">
        <f>MID(TableQR[[#This Row],[QR CODES]],4,13)</f>
        <v/>
      </c>
      <c r="C48" s="2" t="str">
        <f>IFERROR(VLOOKUP(TableQR[[#This Row],[BARCODES]],ILACLISTE[#All],2,0),"")</f>
        <v/>
      </c>
      <c r="D48" s="2">
        <f t="shared" si="0"/>
        <v>0</v>
      </c>
      <c r="E48" s="14" t="str">
        <f>IFERROR(GIZLI!G43,"")</f>
        <v/>
      </c>
      <c r="G48" s="2"/>
      <c r="H48" t="str">
        <f>IF(IFERROR(VLOOKUP(G48,TableQR[[#All],[NAME]:[ADET]],2,0),"")&gt;0,IFERROR(VLOOKUP(G48,TableQR[[#All],[NAME]:[ADET]],2,0),""),"")</f>
        <v/>
      </c>
    </row>
    <row r="49" spans="2:8" x14ac:dyDescent="0.3">
      <c r="B49" s="2" t="str">
        <f>MID(TableQR[[#This Row],[QR CODES]],4,13)</f>
        <v/>
      </c>
      <c r="C49" s="2" t="str">
        <f>IFERROR(VLOOKUP(TableQR[[#This Row],[BARCODES]],ILACLISTE[#All],2,0),"")</f>
        <v/>
      </c>
      <c r="D49" s="2">
        <f t="shared" si="0"/>
        <v>0</v>
      </c>
      <c r="E49" s="14" t="str">
        <f>IFERROR(GIZLI!G44,"")</f>
        <v/>
      </c>
      <c r="G49" s="2"/>
      <c r="H49" t="str">
        <f>IF(IFERROR(VLOOKUP(G49,TableQR[[#All],[NAME]:[ADET]],2,0),"")&gt;0,IFERROR(VLOOKUP(G49,TableQR[[#All],[NAME]:[ADET]],2,0),""),"")</f>
        <v/>
      </c>
    </row>
    <row r="50" spans="2:8" x14ac:dyDescent="0.3">
      <c r="B50" s="2" t="str">
        <f>MID(TableQR[[#This Row],[QR CODES]],4,13)</f>
        <v/>
      </c>
      <c r="C50" s="2" t="str">
        <f>IFERROR(VLOOKUP(TableQR[[#This Row],[BARCODES]],ILACLISTE[#All],2,0),"")</f>
        <v/>
      </c>
      <c r="D50" s="2">
        <f t="shared" si="0"/>
        <v>0</v>
      </c>
      <c r="E50" s="14" t="str">
        <f>IFERROR(GIZLI!G45,"")</f>
        <v/>
      </c>
      <c r="G50" s="2"/>
      <c r="H50" t="str">
        <f>IF(IFERROR(VLOOKUP(G50,TableQR[[#All],[NAME]:[ADET]],2,0),"")&gt;0,IFERROR(VLOOKUP(G50,TableQR[[#All],[NAME]:[ADET]],2,0),""),"")</f>
        <v/>
      </c>
    </row>
    <row r="51" spans="2:8" x14ac:dyDescent="0.3">
      <c r="B51" s="2" t="str">
        <f>MID(TableQR[[#This Row],[QR CODES]],4,13)</f>
        <v/>
      </c>
      <c r="C51" s="2" t="str">
        <f>IFERROR(VLOOKUP(TableQR[[#This Row],[BARCODES]],ILACLISTE[#All],2,0),"")</f>
        <v/>
      </c>
      <c r="D51" s="2">
        <f t="shared" si="0"/>
        <v>0</v>
      </c>
      <c r="E51" s="14" t="str">
        <f>IFERROR(GIZLI!G46,"")</f>
        <v/>
      </c>
      <c r="G51" s="2"/>
      <c r="H51" t="str">
        <f>IF(IFERROR(VLOOKUP(G51,TableQR[[#All],[NAME]:[ADET]],2,0),"")&gt;0,IFERROR(VLOOKUP(G51,TableQR[[#All],[NAME]:[ADET]],2,0),""),"")</f>
        <v/>
      </c>
    </row>
    <row r="52" spans="2:8" x14ac:dyDescent="0.3">
      <c r="B52" s="2" t="str">
        <f>MID(TableQR[[#This Row],[QR CODES]],4,13)</f>
        <v/>
      </c>
      <c r="C52" s="2" t="str">
        <f>IFERROR(VLOOKUP(TableQR[[#This Row],[BARCODES]],ILACLISTE[#All],2,0),"")</f>
        <v/>
      </c>
      <c r="D52" s="2">
        <f t="shared" si="0"/>
        <v>0</v>
      </c>
      <c r="E52" s="14" t="str">
        <f>IFERROR(GIZLI!G47,"")</f>
        <v/>
      </c>
      <c r="G52" s="2"/>
      <c r="H52" t="str">
        <f>IF(IFERROR(VLOOKUP(G52,TableQR[[#All],[NAME]:[ADET]],2,0),"")&gt;0,IFERROR(VLOOKUP(G52,TableQR[[#All],[NAME]:[ADET]],2,0),""),"")</f>
        <v/>
      </c>
    </row>
    <row r="53" spans="2:8" x14ac:dyDescent="0.3">
      <c r="B53" s="2" t="str">
        <f>MID(TableQR[[#This Row],[QR CODES]],4,13)</f>
        <v/>
      </c>
      <c r="C53" s="2" t="str">
        <f>IFERROR(VLOOKUP(TableQR[[#This Row],[BARCODES]],ILACLISTE[#All],2,0),"")</f>
        <v/>
      </c>
      <c r="D53" s="2">
        <f t="shared" si="0"/>
        <v>0</v>
      </c>
      <c r="E53" s="14" t="str">
        <f>IFERROR(GIZLI!G48,"")</f>
        <v/>
      </c>
      <c r="G53" s="2"/>
      <c r="H53" t="str">
        <f>IF(IFERROR(VLOOKUP(G53,TableQR[[#All],[NAME]:[ADET]],2,0),"")&gt;0,IFERROR(VLOOKUP(G53,TableQR[[#All],[NAME]:[ADET]],2,0),""),"")</f>
        <v/>
      </c>
    </row>
    <row r="54" spans="2:8" x14ac:dyDescent="0.3">
      <c r="B54" s="2" t="str">
        <f>MID(TableQR[[#This Row],[QR CODES]],4,13)</f>
        <v/>
      </c>
      <c r="C54" s="2" t="str">
        <f>IFERROR(VLOOKUP(TableQR[[#This Row],[BARCODES]],ILACLISTE[#All],2,0),"")</f>
        <v/>
      </c>
      <c r="D54" s="2">
        <f t="shared" si="0"/>
        <v>0</v>
      </c>
      <c r="E54" s="14" t="str">
        <f>IFERROR(GIZLI!G49,"")</f>
        <v/>
      </c>
      <c r="G54" s="2"/>
      <c r="H54" t="str">
        <f>IF(IFERROR(VLOOKUP(G54,TableQR[[#All],[NAME]:[ADET]],2,0),"")&gt;0,IFERROR(VLOOKUP(G54,TableQR[[#All],[NAME]:[ADET]],2,0),""),"")</f>
        <v/>
      </c>
    </row>
    <row r="55" spans="2:8" x14ac:dyDescent="0.3">
      <c r="B55" s="2" t="str">
        <f>MID(TableQR[[#This Row],[QR CODES]],4,13)</f>
        <v/>
      </c>
      <c r="C55" s="2" t="str">
        <f>IFERROR(VLOOKUP(TableQR[[#This Row],[BARCODES]],ILACLISTE[#All],2,0),"")</f>
        <v/>
      </c>
      <c r="D55" s="2">
        <f t="shared" si="0"/>
        <v>0</v>
      </c>
      <c r="E55" s="14" t="str">
        <f>IFERROR(GIZLI!G50,"")</f>
        <v/>
      </c>
      <c r="G55" s="2"/>
      <c r="H55" t="str">
        <f>IF(IFERROR(VLOOKUP(G55,TableQR[[#All],[NAME]:[ADET]],2,0),"")&gt;0,IFERROR(VLOOKUP(G55,TableQR[[#All],[NAME]:[ADET]],2,0),""),"")</f>
        <v/>
      </c>
    </row>
    <row r="56" spans="2:8" x14ac:dyDescent="0.3">
      <c r="B56" s="2" t="str">
        <f>MID(TableQR[[#This Row],[QR CODES]],4,13)</f>
        <v/>
      </c>
      <c r="C56" s="2" t="str">
        <f>IFERROR(VLOOKUP(TableQR[[#This Row],[BARCODES]],ILACLISTE[#All],2,0),"")</f>
        <v/>
      </c>
      <c r="D56" s="2">
        <f t="shared" si="0"/>
        <v>0</v>
      </c>
      <c r="E56" s="14" t="str">
        <f>IFERROR(GIZLI!G51,"")</f>
        <v/>
      </c>
      <c r="G56" s="2"/>
      <c r="H56" t="str">
        <f>IF(IFERROR(VLOOKUP(G56,TableQR[[#All],[NAME]:[ADET]],2,0),"")&gt;0,IFERROR(VLOOKUP(G56,TableQR[[#All],[NAME]:[ADET]],2,0),""),"")</f>
        <v/>
      </c>
    </row>
    <row r="57" spans="2:8" x14ac:dyDescent="0.3">
      <c r="B57" s="2" t="str">
        <f>MID(TableQR[[#This Row],[QR CODES]],4,13)</f>
        <v/>
      </c>
      <c r="C57" s="2" t="str">
        <f>IFERROR(VLOOKUP(TableQR[[#This Row],[BARCODES]],ILACLISTE[#All],2,0),"")</f>
        <v/>
      </c>
      <c r="D57" s="2">
        <f t="shared" si="0"/>
        <v>0</v>
      </c>
      <c r="E57" s="14" t="str">
        <f>IFERROR(GIZLI!G52,"")</f>
        <v/>
      </c>
      <c r="G57" s="2"/>
      <c r="H57" t="str">
        <f>IF(IFERROR(VLOOKUP(G57,TableQR[[#All],[NAME]:[ADET]],2,0),"")&gt;0,IFERROR(VLOOKUP(G57,TableQR[[#All],[NAME]:[ADET]],2,0),""),"")</f>
        <v/>
      </c>
    </row>
    <row r="58" spans="2:8" x14ac:dyDescent="0.3">
      <c r="B58" s="2" t="str">
        <f>MID(TableQR[[#This Row],[QR CODES]],4,13)</f>
        <v/>
      </c>
      <c r="C58" s="2" t="str">
        <f>IFERROR(VLOOKUP(TableQR[[#This Row],[BARCODES]],ILACLISTE[#All],2,0),"")</f>
        <v/>
      </c>
      <c r="D58" s="2">
        <f t="shared" si="0"/>
        <v>0</v>
      </c>
      <c r="E58" s="14" t="str">
        <f>IFERROR(GIZLI!G53,"")</f>
        <v/>
      </c>
      <c r="G58" s="2"/>
      <c r="H58" t="str">
        <f>IF(IFERROR(VLOOKUP(G58,TableQR[[#All],[NAME]:[ADET]],2,0),"")&gt;0,IFERROR(VLOOKUP(G58,TableQR[[#All],[NAME]:[ADET]],2,0),""),"")</f>
        <v/>
      </c>
    </row>
    <row r="59" spans="2:8" x14ac:dyDescent="0.3">
      <c r="B59" s="2" t="str">
        <f>MID(TableQR[[#This Row],[QR CODES]],4,13)</f>
        <v/>
      </c>
      <c r="C59" s="2" t="str">
        <f>IFERROR(VLOOKUP(TableQR[[#This Row],[BARCODES]],ILACLISTE[#All],2,0),"")</f>
        <v/>
      </c>
      <c r="D59" s="2">
        <f t="shared" si="0"/>
        <v>0</v>
      </c>
      <c r="E59" s="14" t="str">
        <f>IFERROR(GIZLI!G54,"")</f>
        <v/>
      </c>
      <c r="G59" s="2"/>
      <c r="H59" t="str">
        <f>IF(IFERROR(VLOOKUP(G59,TableQR[[#All],[NAME]:[ADET]],2,0),"")&gt;0,IFERROR(VLOOKUP(G59,TableQR[[#All],[NAME]:[ADET]],2,0),""),"")</f>
        <v/>
      </c>
    </row>
    <row r="60" spans="2:8" x14ac:dyDescent="0.3">
      <c r="B60" s="2" t="str">
        <f>MID(TableQR[[#This Row],[QR CODES]],4,13)</f>
        <v/>
      </c>
      <c r="C60" s="2" t="str">
        <f>IFERROR(VLOOKUP(TableQR[[#This Row],[BARCODES]],ILACLISTE[#All],2,0),"")</f>
        <v/>
      </c>
      <c r="D60" s="2">
        <f t="shared" si="0"/>
        <v>0</v>
      </c>
      <c r="E60" s="14" t="str">
        <f>IFERROR(GIZLI!G55,"")</f>
        <v/>
      </c>
      <c r="G60" s="2"/>
      <c r="H60" t="str">
        <f>IF(IFERROR(VLOOKUP(G60,TableQR[[#All],[NAME]:[ADET]],2,0),"")&gt;0,IFERROR(VLOOKUP(G60,TableQR[[#All],[NAME]:[ADET]],2,0),""),"")</f>
        <v/>
      </c>
    </row>
    <row r="61" spans="2:8" x14ac:dyDescent="0.3">
      <c r="B61" s="2" t="str">
        <f>MID(TableQR[[#This Row],[QR CODES]],4,13)</f>
        <v/>
      </c>
      <c r="C61" s="2" t="str">
        <f>IFERROR(VLOOKUP(TableQR[[#This Row],[BARCODES]],ILACLISTE[#All],2,0),"")</f>
        <v/>
      </c>
      <c r="D61" s="2">
        <f t="shared" si="0"/>
        <v>0</v>
      </c>
      <c r="E61" s="14" t="str">
        <f>IFERROR(GIZLI!G56,"")</f>
        <v/>
      </c>
      <c r="G61" s="2"/>
      <c r="H61" t="str">
        <f>IF(IFERROR(VLOOKUP(G61,TableQR[[#All],[NAME]:[ADET]],2,0),"")&gt;0,IFERROR(VLOOKUP(G61,TableQR[[#All],[NAME]:[ADET]],2,0),""),"")</f>
        <v/>
      </c>
    </row>
    <row r="62" spans="2:8" x14ac:dyDescent="0.3">
      <c r="B62" s="2" t="str">
        <f>MID(TableQR[[#This Row],[QR CODES]],4,13)</f>
        <v/>
      </c>
      <c r="C62" s="2" t="str">
        <f>IFERROR(VLOOKUP(TableQR[[#This Row],[BARCODES]],ILACLISTE[#All],2,0),"")</f>
        <v/>
      </c>
      <c r="D62" s="2">
        <f t="shared" si="0"/>
        <v>0</v>
      </c>
      <c r="E62" s="14" t="str">
        <f>IFERROR(GIZLI!G57,"")</f>
        <v/>
      </c>
      <c r="G62" s="2"/>
      <c r="H62" t="str">
        <f>IF(IFERROR(VLOOKUP(G62,TableQR[[#All],[NAME]:[ADET]],2,0),"")&gt;0,IFERROR(VLOOKUP(G62,TableQR[[#All],[NAME]:[ADET]],2,0),""),"")</f>
        <v/>
      </c>
    </row>
    <row r="63" spans="2:8" x14ac:dyDescent="0.3">
      <c r="B63" s="2" t="str">
        <f>MID(TableQR[[#This Row],[QR CODES]],4,13)</f>
        <v/>
      </c>
      <c r="C63" s="2" t="str">
        <f>IFERROR(VLOOKUP(TableQR[[#This Row],[BARCODES]],ILACLISTE[#All],2,0),"")</f>
        <v/>
      </c>
      <c r="D63" s="2">
        <f t="shared" si="0"/>
        <v>0</v>
      </c>
      <c r="E63" s="14" t="str">
        <f>IFERROR(GIZLI!G58,"")</f>
        <v/>
      </c>
      <c r="G63" s="2"/>
      <c r="H63" t="str">
        <f>IF(IFERROR(VLOOKUP(G63,TableQR[[#All],[NAME]:[ADET]],2,0),"")&gt;0,IFERROR(VLOOKUP(G63,TableQR[[#All],[NAME]:[ADET]],2,0),""),"")</f>
        <v/>
      </c>
    </row>
    <row r="64" spans="2:8" x14ac:dyDescent="0.3">
      <c r="B64" s="2" t="str">
        <f>MID(TableQR[[#This Row],[QR CODES]],4,13)</f>
        <v/>
      </c>
      <c r="C64" s="2" t="str">
        <f>IFERROR(VLOOKUP(TableQR[[#This Row],[BARCODES]],ILACLISTE[#All],2,0),"")</f>
        <v/>
      </c>
      <c r="D64" s="2">
        <f t="shared" si="0"/>
        <v>0</v>
      </c>
      <c r="E64" s="14" t="str">
        <f>IFERROR(GIZLI!G59,"")</f>
        <v/>
      </c>
      <c r="G64" s="2"/>
      <c r="H64" t="str">
        <f>IF(IFERROR(VLOOKUP(G64,TableQR[[#All],[NAME]:[ADET]],2,0),"")&gt;0,IFERROR(VLOOKUP(G64,TableQR[[#All],[NAME]:[ADET]],2,0),""),"")</f>
        <v/>
      </c>
    </row>
    <row r="65" spans="2:8" x14ac:dyDescent="0.3">
      <c r="B65" s="2" t="str">
        <f>MID(TableQR[[#This Row],[QR CODES]],4,13)</f>
        <v/>
      </c>
      <c r="C65" s="2" t="str">
        <f>IFERROR(VLOOKUP(TableQR[[#This Row],[BARCODES]],ILACLISTE[#All],2,0),"")</f>
        <v/>
      </c>
      <c r="D65" s="2">
        <f t="shared" si="0"/>
        <v>0</v>
      </c>
      <c r="E65" s="14" t="str">
        <f>IFERROR(GIZLI!G60,"")</f>
        <v/>
      </c>
      <c r="G65" s="2"/>
      <c r="H65" t="str">
        <f>IF(IFERROR(VLOOKUP(G65,TableQR[[#All],[NAME]:[ADET]],2,0),"")&gt;0,IFERROR(VLOOKUP(G65,TableQR[[#All],[NAME]:[ADET]],2,0),""),"")</f>
        <v/>
      </c>
    </row>
    <row r="66" spans="2:8" x14ac:dyDescent="0.3">
      <c r="B66" s="2" t="str">
        <f>MID(TableQR[[#This Row],[QR CODES]],4,13)</f>
        <v/>
      </c>
      <c r="C66" s="2" t="str">
        <f>IFERROR(VLOOKUP(TableQR[[#This Row],[BARCODES]],ILACLISTE[#All],2,0),"")</f>
        <v/>
      </c>
      <c r="D66" s="2">
        <f t="shared" si="0"/>
        <v>0</v>
      </c>
      <c r="E66" s="14" t="str">
        <f>IFERROR(GIZLI!G61,"")</f>
        <v/>
      </c>
      <c r="G66" s="2"/>
      <c r="H66" t="str">
        <f>IF(IFERROR(VLOOKUP(G66,TableQR[[#All],[NAME]:[ADET]],2,0),"")&gt;0,IFERROR(VLOOKUP(G66,TableQR[[#All],[NAME]:[ADET]],2,0),""),"")</f>
        <v/>
      </c>
    </row>
    <row r="67" spans="2:8" x14ac:dyDescent="0.3">
      <c r="B67" s="2" t="str">
        <f>MID(TableQR[[#This Row],[QR CODES]],4,13)</f>
        <v/>
      </c>
      <c r="C67" s="2" t="str">
        <f>IFERROR(VLOOKUP(TableQR[[#This Row],[BARCODES]],ILACLISTE[#All],2,0),"")</f>
        <v/>
      </c>
      <c r="D67" s="2">
        <f t="shared" si="0"/>
        <v>0</v>
      </c>
      <c r="E67" s="14" t="str">
        <f>IFERROR(GIZLI!G62,"")</f>
        <v/>
      </c>
      <c r="G67" s="2"/>
      <c r="H67" t="str">
        <f>IF(IFERROR(VLOOKUP(G67,TableQR[[#All],[NAME]:[ADET]],2,0),"")&gt;0,IFERROR(VLOOKUP(G67,TableQR[[#All],[NAME]:[ADET]],2,0),""),"")</f>
        <v/>
      </c>
    </row>
    <row r="68" spans="2:8" x14ac:dyDescent="0.3">
      <c r="B68" s="2" t="str">
        <f>MID(TableQR[[#This Row],[QR CODES]],4,13)</f>
        <v/>
      </c>
      <c r="C68" s="2" t="str">
        <f>IFERROR(VLOOKUP(TableQR[[#This Row],[BARCODES]],ILACLISTE[#All],2,0),"")</f>
        <v/>
      </c>
      <c r="D68" s="2">
        <f t="shared" si="0"/>
        <v>0</v>
      </c>
      <c r="E68" s="14" t="str">
        <f>IFERROR(GIZLI!G63,"")</f>
        <v/>
      </c>
      <c r="G68" s="2"/>
      <c r="H68" t="str">
        <f>IF(IFERROR(VLOOKUP(G68,TableQR[[#All],[NAME]:[ADET]],2,0),"")&gt;0,IFERROR(VLOOKUP(G68,TableQR[[#All],[NAME]:[ADET]],2,0),""),"")</f>
        <v/>
      </c>
    </row>
    <row r="69" spans="2:8" x14ac:dyDescent="0.3">
      <c r="B69" s="2" t="str">
        <f>MID(TableQR[[#This Row],[QR CODES]],4,13)</f>
        <v/>
      </c>
      <c r="C69" s="2" t="str">
        <f>IFERROR(VLOOKUP(TableQR[[#This Row],[BARCODES]],ILACLISTE[#All],2,0),"")</f>
        <v/>
      </c>
      <c r="D69" s="2">
        <f t="shared" si="0"/>
        <v>0</v>
      </c>
      <c r="E69" s="14" t="str">
        <f>IFERROR(GIZLI!G64,"")</f>
        <v/>
      </c>
      <c r="G69" s="2"/>
      <c r="H69" t="str">
        <f>IF(IFERROR(VLOOKUP(G69,TableQR[[#All],[NAME]:[ADET]],2,0),"")&gt;0,IFERROR(VLOOKUP(G69,TableQR[[#All],[NAME]:[ADET]],2,0),""),"")</f>
        <v/>
      </c>
    </row>
    <row r="70" spans="2:8" x14ac:dyDescent="0.3">
      <c r="B70" s="2" t="str">
        <f>MID(TableQR[[#This Row],[QR CODES]],4,13)</f>
        <v/>
      </c>
      <c r="C70" s="2" t="str">
        <f>IFERROR(VLOOKUP(TableQR[[#This Row],[BARCODES]],ILACLISTE[#All],2,0),"")</f>
        <v/>
      </c>
      <c r="D70" s="2">
        <f t="shared" si="0"/>
        <v>0</v>
      </c>
      <c r="E70" s="14" t="str">
        <f>IFERROR(GIZLI!G65,"")</f>
        <v/>
      </c>
      <c r="G70" s="2"/>
      <c r="H70" t="str">
        <f>IF(IFERROR(VLOOKUP(G70,TableQR[[#All],[NAME]:[ADET]],2,0),"")&gt;0,IFERROR(VLOOKUP(G70,TableQR[[#All],[NAME]:[ADET]],2,0),""),"")</f>
        <v/>
      </c>
    </row>
    <row r="71" spans="2:8" x14ac:dyDescent="0.3">
      <c r="B71" s="2" t="str">
        <f>MID(TableQR[[#This Row],[QR CODES]],4,13)</f>
        <v/>
      </c>
      <c r="C71" s="2" t="str">
        <f>IFERROR(VLOOKUP(TableQR[[#This Row],[BARCODES]],ILACLISTE[#All],2,0),"")</f>
        <v/>
      </c>
      <c r="D71" s="2">
        <f t="shared" si="0"/>
        <v>0</v>
      </c>
      <c r="E71" s="14" t="str">
        <f>IFERROR(GIZLI!G66,"")</f>
        <v/>
      </c>
      <c r="G71" s="2"/>
      <c r="H71" t="str">
        <f>IF(IFERROR(VLOOKUP(G71,TableQR[[#All],[NAME]:[ADET]],2,0),"")&gt;0,IFERROR(VLOOKUP(G71,TableQR[[#All],[NAME]:[ADET]],2,0),""),"")</f>
        <v/>
      </c>
    </row>
    <row r="72" spans="2:8" x14ac:dyDescent="0.3">
      <c r="B72" s="2" t="str">
        <f>MID(TableQR[[#This Row],[QR CODES]],4,13)</f>
        <v/>
      </c>
      <c r="C72" s="2" t="str">
        <f>IFERROR(VLOOKUP(TableQR[[#This Row],[BARCODES]],ILACLISTE[#All],2,0),"")</f>
        <v/>
      </c>
      <c r="D72" s="2">
        <f t="shared" ref="D72:D135" si="1">COUNTIF(B72:B4065,IF(B72="",66666,B72))</f>
        <v>0</v>
      </c>
      <c r="E72" s="14" t="str">
        <f>IFERROR(GIZLI!G67,"")</f>
        <v/>
      </c>
      <c r="G72" s="2"/>
      <c r="H72" t="str">
        <f>IF(IFERROR(VLOOKUP(G72,TableQR[[#All],[NAME]:[ADET]],2,0),"")&gt;0,IFERROR(VLOOKUP(G72,TableQR[[#All],[NAME]:[ADET]],2,0),""),"")</f>
        <v/>
      </c>
    </row>
    <row r="73" spans="2:8" x14ac:dyDescent="0.3">
      <c r="B73" s="2" t="str">
        <f>MID(TableQR[[#This Row],[QR CODES]],4,13)</f>
        <v/>
      </c>
      <c r="C73" s="2" t="str">
        <f>IFERROR(VLOOKUP(TableQR[[#This Row],[BARCODES]],ILACLISTE[#All],2,0),"")</f>
        <v/>
      </c>
      <c r="D73" s="2">
        <f t="shared" si="1"/>
        <v>0</v>
      </c>
      <c r="E73" s="14" t="str">
        <f>IFERROR(GIZLI!G68,"")</f>
        <v/>
      </c>
      <c r="G73" s="2"/>
      <c r="H73" t="str">
        <f>IF(IFERROR(VLOOKUP(G73,TableQR[[#All],[NAME]:[ADET]],2,0),"")&gt;0,IFERROR(VLOOKUP(G73,TableQR[[#All],[NAME]:[ADET]],2,0),""),"")</f>
        <v/>
      </c>
    </row>
    <row r="74" spans="2:8" x14ac:dyDescent="0.3">
      <c r="B74" s="2" t="str">
        <f>MID(TableQR[[#This Row],[QR CODES]],4,13)</f>
        <v/>
      </c>
      <c r="C74" s="2" t="str">
        <f>IFERROR(VLOOKUP(TableQR[[#This Row],[BARCODES]],ILACLISTE[#All],2,0),"")</f>
        <v/>
      </c>
      <c r="D74" s="2">
        <f t="shared" si="1"/>
        <v>0</v>
      </c>
      <c r="E74" s="14" t="str">
        <f>IFERROR(GIZLI!G69,"")</f>
        <v/>
      </c>
      <c r="G74" s="2"/>
      <c r="H74" t="str">
        <f>IF(IFERROR(VLOOKUP(G74,TableQR[[#All],[NAME]:[ADET]],2,0),"")&gt;0,IFERROR(VLOOKUP(G74,TableQR[[#All],[NAME]:[ADET]],2,0),""),"")</f>
        <v/>
      </c>
    </row>
    <row r="75" spans="2:8" x14ac:dyDescent="0.3">
      <c r="B75" s="2" t="str">
        <f>MID(TableQR[[#This Row],[QR CODES]],4,13)</f>
        <v/>
      </c>
      <c r="C75" s="2" t="str">
        <f>IFERROR(VLOOKUP(TableQR[[#This Row],[BARCODES]],ILACLISTE[#All],2,0),"")</f>
        <v/>
      </c>
      <c r="D75" s="2">
        <f t="shared" si="1"/>
        <v>0</v>
      </c>
      <c r="E75" s="14" t="str">
        <f>IFERROR(GIZLI!G70,"")</f>
        <v/>
      </c>
      <c r="G75" s="2"/>
      <c r="H75" t="str">
        <f>IF(IFERROR(VLOOKUP(G75,TableQR[[#All],[NAME]:[ADET]],2,0),"")&gt;0,IFERROR(VLOOKUP(G75,TableQR[[#All],[NAME]:[ADET]],2,0),""),"")</f>
        <v/>
      </c>
    </row>
    <row r="76" spans="2:8" x14ac:dyDescent="0.3">
      <c r="B76" s="2" t="str">
        <f>MID(TableQR[[#This Row],[QR CODES]],4,13)</f>
        <v/>
      </c>
      <c r="C76" s="2" t="str">
        <f>IFERROR(VLOOKUP(TableQR[[#This Row],[BARCODES]],ILACLISTE[#All],2,0),"")</f>
        <v/>
      </c>
      <c r="D76" s="2">
        <f t="shared" si="1"/>
        <v>0</v>
      </c>
      <c r="E76" s="14" t="str">
        <f>IFERROR(GIZLI!G71,"")</f>
        <v/>
      </c>
      <c r="G76" s="2"/>
      <c r="H76" t="str">
        <f>IF(IFERROR(VLOOKUP(G76,TableQR[[#All],[NAME]:[ADET]],2,0),"")&gt;0,IFERROR(VLOOKUP(G76,TableQR[[#All],[NAME]:[ADET]],2,0),""),"")</f>
        <v/>
      </c>
    </row>
    <row r="77" spans="2:8" x14ac:dyDescent="0.3">
      <c r="B77" s="2" t="str">
        <f>MID(TableQR[[#This Row],[QR CODES]],4,13)</f>
        <v/>
      </c>
      <c r="C77" s="2" t="str">
        <f>IFERROR(VLOOKUP(TableQR[[#This Row],[BARCODES]],ILACLISTE[#All],2,0),"")</f>
        <v/>
      </c>
      <c r="D77" s="2">
        <f t="shared" si="1"/>
        <v>0</v>
      </c>
      <c r="E77" s="14" t="str">
        <f>IFERROR(GIZLI!G72,"")</f>
        <v/>
      </c>
      <c r="G77" s="2"/>
      <c r="H77" t="str">
        <f>IF(IFERROR(VLOOKUP(G77,TableQR[[#All],[NAME]:[ADET]],2,0),"")&gt;0,IFERROR(VLOOKUP(G77,TableQR[[#All],[NAME]:[ADET]],2,0),""),"")</f>
        <v/>
      </c>
    </row>
    <row r="78" spans="2:8" x14ac:dyDescent="0.3">
      <c r="B78" s="2" t="str">
        <f>MID(TableQR[[#This Row],[QR CODES]],4,13)</f>
        <v/>
      </c>
      <c r="C78" s="2" t="str">
        <f>IFERROR(VLOOKUP(TableQR[[#This Row],[BARCODES]],ILACLISTE[#All],2,0),"")</f>
        <v/>
      </c>
      <c r="D78" s="2">
        <f t="shared" si="1"/>
        <v>0</v>
      </c>
      <c r="E78" s="14" t="str">
        <f>IFERROR(GIZLI!G73,"")</f>
        <v/>
      </c>
      <c r="G78" s="2"/>
      <c r="H78" t="str">
        <f>IF(IFERROR(VLOOKUP(G78,TableQR[[#All],[NAME]:[ADET]],2,0),"")&gt;0,IFERROR(VLOOKUP(G78,TableQR[[#All],[NAME]:[ADET]],2,0),""),"")</f>
        <v/>
      </c>
    </row>
    <row r="79" spans="2:8" x14ac:dyDescent="0.3">
      <c r="B79" s="2" t="str">
        <f>MID(TableQR[[#This Row],[QR CODES]],4,13)</f>
        <v/>
      </c>
      <c r="C79" s="2" t="str">
        <f>IFERROR(VLOOKUP(TableQR[[#This Row],[BARCODES]],ILACLISTE[#All],2,0),"")</f>
        <v/>
      </c>
      <c r="D79" s="2">
        <f t="shared" si="1"/>
        <v>0</v>
      </c>
      <c r="E79" s="14" t="str">
        <f>IFERROR(GIZLI!G74,"")</f>
        <v/>
      </c>
      <c r="G79" s="2"/>
      <c r="H79" t="str">
        <f>IF(IFERROR(VLOOKUP(G79,TableQR[[#All],[NAME]:[ADET]],2,0),"")&gt;0,IFERROR(VLOOKUP(G79,TableQR[[#All],[NAME]:[ADET]],2,0),""),"")</f>
        <v/>
      </c>
    </row>
    <row r="80" spans="2:8" x14ac:dyDescent="0.3">
      <c r="B80" s="2" t="str">
        <f>MID(TableQR[[#This Row],[QR CODES]],4,13)</f>
        <v/>
      </c>
      <c r="C80" s="2" t="str">
        <f>IFERROR(VLOOKUP(TableQR[[#This Row],[BARCODES]],ILACLISTE[#All],2,0),"")</f>
        <v/>
      </c>
      <c r="D80" s="2">
        <f t="shared" si="1"/>
        <v>0</v>
      </c>
      <c r="E80" s="14" t="str">
        <f>IFERROR(GIZLI!G75,"")</f>
        <v/>
      </c>
      <c r="G80" s="2"/>
      <c r="H80" t="str">
        <f>IF(IFERROR(VLOOKUP(G80,TableQR[[#All],[NAME]:[ADET]],2,0),"")&gt;0,IFERROR(VLOOKUP(G80,TableQR[[#All],[NAME]:[ADET]],2,0),""),"")</f>
        <v/>
      </c>
    </row>
    <row r="81" spans="2:8" x14ac:dyDescent="0.3">
      <c r="B81" s="2" t="str">
        <f>MID(TableQR[[#This Row],[QR CODES]],4,13)</f>
        <v/>
      </c>
      <c r="C81" s="2" t="str">
        <f>IFERROR(VLOOKUP(TableQR[[#This Row],[BARCODES]],ILACLISTE[#All],2,0),"")</f>
        <v/>
      </c>
      <c r="D81" s="2">
        <f t="shared" si="1"/>
        <v>0</v>
      </c>
      <c r="E81" s="14" t="str">
        <f>IFERROR(GIZLI!G76,"")</f>
        <v/>
      </c>
      <c r="G81" s="2"/>
      <c r="H81" t="str">
        <f>IF(IFERROR(VLOOKUP(G81,TableQR[[#All],[NAME]:[ADET]],2,0),"")&gt;0,IFERROR(VLOOKUP(G81,TableQR[[#All],[NAME]:[ADET]],2,0),""),"")</f>
        <v/>
      </c>
    </row>
    <row r="82" spans="2:8" x14ac:dyDescent="0.3">
      <c r="B82" s="2" t="str">
        <f>MID(TableQR[[#This Row],[QR CODES]],4,13)</f>
        <v/>
      </c>
      <c r="C82" s="2" t="str">
        <f>IFERROR(VLOOKUP(TableQR[[#This Row],[BARCODES]],ILACLISTE[#All],2,0),"")</f>
        <v/>
      </c>
      <c r="D82" s="2">
        <f t="shared" si="1"/>
        <v>0</v>
      </c>
      <c r="E82" s="14" t="str">
        <f>IFERROR(GIZLI!G77,"")</f>
        <v/>
      </c>
      <c r="G82" s="2"/>
      <c r="H82" t="str">
        <f>IF(IFERROR(VLOOKUP(G82,TableQR[[#All],[NAME]:[ADET]],2,0),"")&gt;0,IFERROR(VLOOKUP(G82,TableQR[[#All],[NAME]:[ADET]],2,0),""),"")</f>
        <v/>
      </c>
    </row>
    <row r="83" spans="2:8" x14ac:dyDescent="0.3">
      <c r="B83" s="2" t="str">
        <f>MID(TableQR[[#This Row],[QR CODES]],4,13)</f>
        <v/>
      </c>
      <c r="C83" s="2" t="str">
        <f>IFERROR(VLOOKUP(TableQR[[#This Row],[BARCODES]],ILACLISTE[#All],2,0),"")</f>
        <v/>
      </c>
      <c r="D83" s="2">
        <f t="shared" si="1"/>
        <v>0</v>
      </c>
      <c r="E83" s="14" t="str">
        <f>IFERROR(GIZLI!G78,"")</f>
        <v/>
      </c>
      <c r="G83" s="2"/>
      <c r="H83" t="str">
        <f>IF(IFERROR(VLOOKUP(G83,TableQR[[#All],[NAME]:[ADET]],2,0),"")&gt;0,IFERROR(VLOOKUP(G83,TableQR[[#All],[NAME]:[ADET]],2,0),""),"")</f>
        <v/>
      </c>
    </row>
    <row r="84" spans="2:8" x14ac:dyDescent="0.3">
      <c r="B84" s="2" t="str">
        <f>MID(TableQR[[#This Row],[QR CODES]],4,13)</f>
        <v/>
      </c>
      <c r="C84" s="2" t="str">
        <f>IFERROR(VLOOKUP(TableQR[[#This Row],[BARCODES]],ILACLISTE[#All],2,0),"")</f>
        <v/>
      </c>
      <c r="D84" s="2">
        <f t="shared" si="1"/>
        <v>0</v>
      </c>
      <c r="E84" s="14" t="str">
        <f>IFERROR(GIZLI!G79,"")</f>
        <v/>
      </c>
      <c r="G84" s="2"/>
      <c r="H84" t="str">
        <f>IF(IFERROR(VLOOKUP(G84,TableQR[[#All],[NAME]:[ADET]],2,0),"")&gt;0,IFERROR(VLOOKUP(G84,TableQR[[#All],[NAME]:[ADET]],2,0),""),"")</f>
        <v/>
      </c>
    </row>
    <row r="85" spans="2:8" x14ac:dyDescent="0.3">
      <c r="B85" s="2" t="str">
        <f>MID(TableQR[[#This Row],[QR CODES]],4,13)</f>
        <v/>
      </c>
      <c r="C85" s="2" t="str">
        <f>IFERROR(VLOOKUP(TableQR[[#This Row],[BARCODES]],ILACLISTE[#All],2,0),"")</f>
        <v/>
      </c>
      <c r="D85" s="2">
        <f t="shared" si="1"/>
        <v>0</v>
      </c>
      <c r="E85" s="14" t="str">
        <f>IFERROR(GIZLI!G80,"")</f>
        <v/>
      </c>
      <c r="G85" s="2"/>
      <c r="H85" t="str">
        <f>IF(IFERROR(VLOOKUP(G85,TableQR[[#All],[NAME]:[ADET]],2,0),"")&gt;0,IFERROR(VLOOKUP(G85,TableQR[[#All],[NAME]:[ADET]],2,0),""),"")</f>
        <v/>
      </c>
    </row>
    <row r="86" spans="2:8" x14ac:dyDescent="0.3">
      <c r="B86" s="2" t="str">
        <f>MID(TableQR[[#This Row],[QR CODES]],4,13)</f>
        <v/>
      </c>
      <c r="C86" s="2" t="str">
        <f>IFERROR(VLOOKUP(TableQR[[#This Row],[BARCODES]],ILACLISTE[#All],2,0),"")</f>
        <v/>
      </c>
      <c r="D86" s="2">
        <f t="shared" si="1"/>
        <v>0</v>
      </c>
      <c r="E86" s="14" t="str">
        <f>IFERROR(GIZLI!G81,"")</f>
        <v/>
      </c>
      <c r="G86" s="2"/>
      <c r="H86" t="str">
        <f>IF(IFERROR(VLOOKUP(G86,TableQR[[#All],[NAME]:[ADET]],2,0),"")&gt;0,IFERROR(VLOOKUP(G86,TableQR[[#All],[NAME]:[ADET]],2,0),""),"")</f>
        <v/>
      </c>
    </row>
    <row r="87" spans="2:8" x14ac:dyDescent="0.3">
      <c r="B87" s="2" t="str">
        <f>MID(TableQR[[#This Row],[QR CODES]],4,13)</f>
        <v/>
      </c>
      <c r="C87" s="2" t="str">
        <f>IFERROR(VLOOKUP(TableQR[[#This Row],[BARCODES]],ILACLISTE[#All],2,0),"")</f>
        <v/>
      </c>
      <c r="D87" s="2">
        <f t="shared" si="1"/>
        <v>0</v>
      </c>
      <c r="E87" s="14" t="str">
        <f>IFERROR(GIZLI!G82,"")</f>
        <v/>
      </c>
      <c r="G87" s="2"/>
      <c r="H87" t="str">
        <f>IF(IFERROR(VLOOKUP(G87,TableQR[[#All],[NAME]:[ADET]],2,0),"")&gt;0,IFERROR(VLOOKUP(G87,TableQR[[#All],[NAME]:[ADET]],2,0),""),"")</f>
        <v/>
      </c>
    </row>
    <row r="88" spans="2:8" x14ac:dyDescent="0.3">
      <c r="B88" s="2" t="str">
        <f>MID(TableQR[[#This Row],[QR CODES]],4,13)</f>
        <v/>
      </c>
      <c r="C88" s="2" t="str">
        <f>IFERROR(VLOOKUP(TableQR[[#This Row],[BARCODES]],ILACLISTE[#All],2,0),"")</f>
        <v/>
      </c>
      <c r="D88" s="2">
        <f t="shared" si="1"/>
        <v>0</v>
      </c>
      <c r="E88" s="14" t="str">
        <f>IFERROR(GIZLI!G83,"")</f>
        <v/>
      </c>
      <c r="G88" s="2"/>
      <c r="H88" t="str">
        <f>IF(IFERROR(VLOOKUP(G88,TableQR[[#All],[NAME]:[ADET]],2,0),"")&gt;0,IFERROR(VLOOKUP(G88,TableQR[[#All],[NAME]:[ADET]],2,0),""),"")</f>
        <v/>
      </c>
    </row>
    <row r="89" spans="2:8" x14ac:dyDescent="0.3">
      <c r="B89" s="2" t="str">
        <f>MID(TableQR[[#This Row],[QR CODES]],4,13)</f>
        <v/>
      </c>
      <c r="C89" s="2" t="str">
        <f>IFERROR(VLOOKUP(TableQR[[#This Row],[BARCODES]],ILACLISTE[#All],2,0),"")</f>
        <v/>
      </c>
      <c r="D89" s="2">
        <f t="shared" si="1"/>
        <v>0</v>
      </c>
      <c r="E89" s="14" t="str">
        <f>IFERROR(GIZLI!G84,"")</f>
        <v/>
      </c>
      <c r="G89" s="2"/>
      <c r="H89" t="str">
        <f>IF(IFERROR(VLOOKUP(G89,TableQR[[#All],[NAME]:[ADET]],2,0),"")&gt;0,IFERROR(VLOOKUP(G89,TableQR[[#All],[NAME]:[ADET]],2,0),""),"")</f>
        <v/>
      </c>
    </row>
    <row r="90" spans="2:8" x14ac:dyDescent="0.3">
      <c r="B90" s="2" t="str">
        <f>MID(TableQR[[#This Row],[QR CODES]],4,13)</f>
        <v/>
      </c>
      <c r="C90" s="2" t="str">
        <f>IFERROR(VLOOKUP(TableQR[[#This Row],[BARCODES]],ILACLISTE[#All],2,0),"")</f>
        <v/>
      </c>
      <c r="D90" s="2">
        <f t="shared" si="1"/>
        <v>0</v>
      </c>
      <c r="E90" s="14" t="str">
        <f>IFERROR(GIZLI!G85,"")</f>
        <v/>
      </c>
      <c r="G90" s="2"/>
      <c r="H90" t="str">
        <f>IF(IFERROR(VLOOKUP(G90,TableQR[[#All],[NAME]:[ADET]],2,0),"")&gt;0,IFERROR(VLOOKUP(G90,TableQR[[#All],[NAME]:[ADET]],2,0),""),"")</f>
        <v/>
      </c>
    </row>
    <row r="91" spans="2:8" x14ac:dyDescent="0.3">
      <c r="B91" s="2" t="str">
        <f>MID(TableQR[[#This Row],[QR CODES]],4,13)</f>
        <v/>
      </c>
      <c r="C91" s="2" t="str">
        <f>IFERROR(VLOOKUP(TableQR[[#This Row],[BARCODES]],ILACLISTE[#All],2,0),"")</f>
        <v/>
      </c>
      <c r="D91" s="2">
        <f t="shared" si="1"/>
        <v>0</v>
      </c>
      <c r="E91" s="14" t="str">
        <f>IFERROR(GIZLI!G86,"")</f>
        <v/>
      </c>
      <c r="G91" s="2"/>
      <c r="H91" t="str">
        <f>IF(IFERROR(VLOOKUP(G91,TableQR[[#All],[NAME]:[ADET]],2,0),"")&gt;0,IFERROR(VLOOKUP(G91,TableQR[[#All],[NAME]:[ADET]],2,0),""),"")</f>
        <v/>
      </c>
    </row>
    <row r="92" spans="2:8" x14ac:dyDescent="0.3">
      <c r="B92" s="2" t="str">
        <f>MID(TableQR[[#This Row],[QR CODES]],4,13)</f>
        <v/>
      </c>
      <c r="C92" s="2" t="str">
        <f>IFERROR(VLOOKUP(TableQR[[#This Row],[BARCODES]],ILACLISTE[#All],2,0),"")</f>
        <v/>
      </c>
      <c r="D92" s="2">
        <f t="shared" si="1"/>
        <v>0</v>
      </c>
      <c r="E92" s="14" t="str">
        <f>IFERROR(GIZLI!G87,"")</f>
        <v/>
      </c>
      <c r="G92" s="2"/>
      <c r="H92" t="str">
        <f>IF(IFERROR(VLOOKUP(G92,TableQR[[#All],[NAME]:[ADET]],2,0),"")&gt;0,IFERROR(VLOOKUP(G92,TableQR[[#All],[NAME]:[ADET]],2,0),""),"")</f>
        <v/>
      </c>
    </row>
    <row r="93" spans="2:8" x14ac:dyDescent="0.3">
      <c r="B93" s="2" t="str">
        <f>MID(TableQR[[#This Row],[QR CODES]],4,13)</f>
        <v/>
      </c>
      <c r="C93" s="2" t="str">
        <f>IFERROR(VLOOKUP(TableQR[[#This Row],[BARCODES]],ILACLISTE[#All],2,0),"")</f>
        <v/>
      </c>
      <c r="D93" s="2">
        <f t="shared" si="1"/>
        <v>0</v>
      </c>
      <c r="E93" s="14" t="str">
        <f>IFERROR(GIZLI!G88,"")</f>
        <v/>
      </c>
      <c r="G93" s="2"/>
      <c r="H93" t="str">
        <f>IF(IFERROR(VLOOKUP(G93,TableQR[[#All],[NAME]:[ADET]],2,0),"")&gt;0,IFERROR(VLOOKUP(G93,TableQR[[#All],[NAME]:[ADET]],2,0),""),"")</f>
        <v/>
      </c>
    </row>
    <row r="94" spans="2:8" x14ac:dyDescent="0.3">
      <c r="B94" s="2" t="str">
        <f>MID(TableQR[[#This Row],[QR CODES]],4,13)</f>
        <v/>
      </c>
      <c r="C94" s="2" t="str">
        <f>IFERROR(VLOOKUP(TableQR[[#This Row],[BARCODES]],ILACLISTE[#All],2,0),"")</f>
        <v/>
      </c>
      <c r="D94" s="2">
        <f t="shared" si="1"/>
        <v>0</v>
      </c>
      <c r="E94" s="14" t="str">
        <f>IFERROR(GIZLI!G89,"")</f>
        <v/>
      </c>
      <c r="G94" s="2"/>
      <c r="H94" t="str">
        <f>IF(IFERROR(VLOOKUP(G94,TableQR[[#All],[NAME]:[ADET]],2,0),"")&gt;0,IFERROR(VLOOKUP(G94,TableQR[[#All],[NAME]:[ADET]],2,0),""),"")</f>
        <v/>
      </c>
    </row>
    <row r="95" spans="2:8" x14ac:dyDescent="0.3">
      <c r="B95" s="2" t="str">
        <f>MID(TableQR[[#This Row],[QR CODES]],4,13)</f>
        <v/>
      </c>
      <c r="C95" s="2" t="str">
        <f>IFERROR(VLOOKUP(TableQR[[#This Row],[BARCODES]],ILACLISTE[#All],2,0),"")</f>
        <v/>
      </c>
      <c r="D95" s="2">
        <f t="shared" si="1"/>
        <v>0</v>
      </c>
      <c r="E95" s="14" t="str">
        <f>IFERROR(GIZLI!G90,"")</f>
        <v/>
      </c>
      <c r="G95" s="2"/>
      <c r="H95" t="str">
        <f>IF(IFERROR(VLOOKUP(G95,TableQR[[#All],[NAME]:[ADET]],2,0),"")&gt;0,IFERROR(VLOOKUP(G95,TableQR[[#All],[NAME]:[ADET]],2,0),""),"")</f>
        <v/>
      </c>
    </row>
    <row r="96" spans="2:8" x14ac:dyDescent="0.3">
      <c r="B96" s="2" t="str">
        <f>MID(TableQR[[#This Row],[QR CODES]],4,13)</f>
        <v/>
      </c>
      <c r="C96" s="2" t="str">
        <f>IFERROR(VLOOKUP(TableQR[[#This Row],[BARCODES]],ILACLISTE[#All],2,0),"")</f>
        <v/>
      </c>
      <c r="D96" s="2">
        <f t="shared" si="1"/>
        <v>0</v>
      </c>
      <c r="E96" s="14" t="str">
        <f>IFERROR(GIZLI!G91,"")</f>
        <v/>
      </c>
      <c r="G96" s="2"/>
      <c r="H96" t="str">
        <f>IF(IFERROR(VLOOKUP(G96,TableQR[[#All],[NAME]:[ADET]],2,0),"")&gt;0,IFERROR(VLOOKUP(G96,TableQR[[#All],[NAME]:[ADET]],2,0),""),"")</f>
        <v/>
      </c>
    </row>
    <row r="97" spans="2:8" x14ac:dyDescent="0.3">
      <c r="B97" s="2" t="str">
        <f>MID(TableQR[[#This Row],[QR CODES]],4,13)</f>
        <v/>
      </c>
      <c r="C97" s="2" t="str">
        <f>IFERROR(VLOOKUP(TableQR[[#This Row],[BARCODES]],ILACLISTE[#All],2,0),"")</f>
        <v/>
      </c>
      <c r="D97" s="2">
        <f t="shared" si="1"/>
        <v>0</v>
      </c>
      <c r="E97" s="14" t="str">
        <f>IFERROR(GIZLI!G92,"")</f>
        <v/>
      </c>
      <c r="G97" s="2"/>
      <c r="H97" t="str">
        <f>IF(IFERROR(VLOOKUP(G97,TableQR[[#All],[NAME]:[ADET]],2,0),"")&gt;0,IFERROR(VLOOKUP(G97,TableQR[[#All],[NAME]:[ADET]],2,0),""),"")</f>
        <v/>
      </c>
    </row>
    <row r="98" spans="2:8" x14ac:dyDescent="0.3">
      <c r="B98" s="2" t="str">
        <f>MID(TableQR[[#This Row],[QR CODES]],4,13)</f>
        <v/>
      </c>
      <c r="C98" s="2" t="str">
        <f>IFERROR(VLOOKUP(TableQR[[#This Row],[BARCODES]],ILACLISTE[#All],2,0),"")</f>
        <v/>
      </c>
      <c r="D98" s="2">
        <f t="shared" si="1"/>
        <v>0</v>
      </c>
      <c r="E98" s="14" t="str">
        <f>IFERROR(GIZLI!G93,"")</f>
        <v/>
      </c>
      <c r="G98" s="2"/>
      <c r="H98" t="str">
        <f>IF(IFERROR(VLOOKUP(G98,TableQR[[#All],[NAME]:[ADET]],2,0),"")&gt;0,IFERROR(VLOOKUP(G98,TableQR[[#All],[NAME]:[ADET]],2,0),""),"")</f>
        <v/>
      </c>
    </row>
    <row r="99" spans="2:8" x14ac:dyDescent="0.3">
      <c r="B99" s="2" t="str">
        <f>MID(TableQR[[#This Row],[QR CODES]],4,13)</f>
        <v/>
      </c>
      <c r="C99" s="2" t="str">
        <f>IFERROR(VLOOKUP(TableQR[[#This Row],[BARCODES]],ILACLISTE[#All],2,0),"")</f>
        <v/>
      </c>
      <c r="D99" s="2">
        <f t="shared" si="1"/>
        <v>0</v>
      </c>
      <c r="E99" s="14" t="str">
        <f>IFERROR(GIZLI!G94,"")</f>
        <v/>
      </c>
      <c r="G99" s="2"/>
      <c r="H99" t="str">
        <f>IF(IFERROR(VLOOKUP(G99,TableQR[[#All],[NAME]:[ADET]],2,0),"")&gt;0,IFERROR(VLOOKUP(G99,TableQR[[#All],[NAME]:[ADET]],2,0),""),"")</f>
        <v/>
      </c>
    </row>
    <row r="100" spans="2:8" x14ac:dyDescent="0.3">
      <c r="B100" s="2" t="str">
        <f>MID(TableQR[[#This Row],[QR CODES]],4,13)</f>
        <v/>
      </c>
      <c r="C100" s="2" t="str">
        <f>IFERROR(VLOOKUP(TableQR[[#This Row],[BARCODES]],ILACLISTE[#All],2,0),"")</f>
        <v/>
      </c>
      <c r="D100" s="2">
        <f t="shared" si="1"/>
        <v>0</v>
      </c>
      <c r="E100" s="14" t="str">
        <f>IFERROR(GIZLI!G95,"")</f>
        <v/>
      </c>
      <c r="G100" s="2"/>
      <c r="H100" t="str">
        <f>IF(IFERROR(VLOOKUP(G100,TableQR[[#All],[NAME]:[ADET]],2,0),"")&gt;0,IFERROR(VLOOKUP(G100,TableQR[[#All],[NAME]:[ADET]],2,0),""),"")</f>
        <v/>
      </c>
    </row>
    <row r="101" spans="2:8" x14ac:dyDescent="0.3">
      <c r="B101" s="2" t="str">
        <f>MID(TableQR[[#This Row],[QR CODES]],4,13)</f>
        <v/>
      </c>
      <c r="C101" s="2" t="str">
        <f>IFERROR(VLOOKUP(TableQR[[#This Row],[BARCODES]],ILACLISTE[#All],2,0),"")</f>
        <v/>
      </c>
      <c r="D101" s="2">
        <f t="shared" si="1"/>
        <v>0</v>
      </c>
      <c r="E101" s="14" t="str">
        <f>IFERROR(GIZLI!G96,"")</f>
        <v/>
      </c>
      <c r="G101" s="2"/>
      <c r="H101" t="str">
        <f>IF(IFERROR(VLOOKUP(G101,TableQR[[#All],[NAME]:[ADET]],2,0),"")&gt;0,IFERROR(VLOOKUP(G101,TableQR[[#All],[NAME]:[ADET]],2,0),""),"")</f>
        <v/>
      </c>
    </row>
    <row r="102" spans="2:8" x14ac:dyDescent="0.3">
      <c r="B102" s="2" t="str">
        <f>MID(TableQR[[#This Row],[QR CODES]],4,13)</f>
        <v/>
      </c>
      <c r="C102" s="2" t="str">
        <f>IFERROR(VLOOKUP(TableQR[[#This Row],[BARCODES]],ILACLISTE[#All],2,0),"")</f>
        <v/>
      </c>
      <c r="D102" s="2">
        <f t="shared" si="1"/>
        <v>0</v>
      </c>
      <c r="E102" s="14" t="str">
        <f>IFERROR(GIZLI!G97,"")</f>
        <v/>
      </c>
      <c r="G102" s="2"/>
      <c r="H102" t="str">
        <f>IF(IFERROR(VLOOKUP(G102,TableQR[[#All],[NAME]:[ADET]],2,0),"")&gt;0,IFERROR(VLOOKUP(G102,TableQR[[#All],[NAME]:[ADET]],2,0),""),"")</f>
        <v/>
      </c>
    </row>
    <row r="103" spans="2:8" x14ac:dyDescent="0.3">
      <c r="B103" s="2" t="str">
        <f>MID(TableQR[[#This Row],[QR CODES]],4,13)</f>
        <v/>
      </c>
      <c r="C103" s="2" t="str">
        <f>IFERROR(VLOOKUP(TableQR[[#This Row],[BARCODES]],ILACLISTE[#All],2,0),"")</f>
        <v/>
      </c>
      <c r="D103" s="2">
        <f t="shared" si="1"/>
        <v>0</v>
      </c>
      <c r="E103" s="14" t="str">
        <f>IFERROR(GIZLI!G98,"")</f>
        <v/>
      </c>
      <c r="G103" s="2"/>
      <c r="H103" t="str">
        <f>IF(IFERROR(VLOOKUP(G103,TableQR[[#All],[NAME]:[ADET]],2,0),"")&gt;0,IFERROR(VLOOKUP(G103,TableQR[[#All],[NAME]:[ADET]],2,0),""),"")</f>
        <v/>
      </c>
    </row>
    <row r="104" spans="2:8" x14ac:dyDescent="0.3">
      <c r="B104" s="2" t="str">
        <f>MID(TableQR[[#This Row],[QR CODES]],4,13)</f>
        <v/>
      </c>
      <c r="C104" s="2" t="str">
        <f>IFERROR(VLOOKUP(TableQR[[#This Row],[BARCODES]],ILACLISTE[#All],2,0),"")</f>
        <v/>
      </c>
      <c r="D104" s="2">
        <f t="shared" si="1"/>
        <v>0</v>
      </c>
      <c r="E104" s="14" t="str">
        <f>IFERROR(GIZLI!G99,"")</f>
        <v/>
      </c>
      <c r="G104" s="2"/>
      <c r="H104" t="str">
        <f>IF(IFERROR(VLOOKUP(G104,TableQR[[#All],[NAME]:[ADET]],2,0),"")&gt;0,IFERROR(VLOOKUP(G104,TableQR[[#All],[NAME]:[ADET]],2,0),""),"")</f>
        <v/>
      </c>
    </row>
    <row r="105" spans="2:8" x14ac:dyDescent="0.3">
      <c r="B105" s="2" t="str">
        <f>MID(TableQR[[#This Row],[QR CODES]],4,13)</f>
        <v/>
      </c>
      <c r="C105" s="2" t="str">
        <f>IFERROR(VLOOKUP(TableQR[[#This Row],[BARCODES]],ILACLISTE[#All],2,0),"")</f>
        <v/>
      </c>
      <c r="D105" s="2">
        <f t="shared" si="1"/>
        <v>0</v>
      </c>
      <c r="E105" s="14" t="str">
        <f>IFERROR(GIZLI!G100,"")</f>
        <v/>
      </c>
      <c r="G105" s="2"/>
      <c r="H105" t="str">
        <f>IF(IFERROR(VLOOKUP(G105,TableQR[[#All],[NAME]:[ADET]],2,0),"")&gt;0,IFERROR(VLOOKUP(G105,TableQR[[#All],[NAME]:[ADET]],2,0),""),"")</f>
        <v/>
      </c>
    </row>
    <row r="106" spans="2:8" x14ac:dyDescent="0.3">
      <c r="B106" s="2" t="str">
        <f>MID(TableQR[[#This Row],[QR CODES]],4,13)</f>
        <v/>
      </c>
      <c r="C106" s="2" t="str">
        <f>IFERROR(VLOOKUP(TableQR[[#This Row],[BARCODES]],ILACLISTE[#All],2,0),"")</f>
        <v/>
      </c>
      <c r="D106" s="2">
        <f t="shared" si="1"/>
        <v>0</v>
      </c>
      <c r="E106" s="14" t="str">
        <f>IFERROR(GIZLI!G101,"")</f>
        <v/>
      </c>
      <c r="G106" s="2"/>
      <c r="H106" t="str">
        <f>IF(IFERROR(VLOOKUP(G106,TableQR[[#All],[NAME]:[ADET]],2,0),"")&gt;0,IFERROR(VLOOKUP(G106,TableQR[[#All],[NAME]:[ADET]],2,0),""),"")</f>
        <v/>
      </c>
    </row>
    <row r="107" spans="2:8" x14ac:dyDescent="0.3">
      <c r="B107" s="2" t="str">
        <f>MID(TableQR[[#This Row],[QR CODES]],4,13)</f>
        <v/>
      </c>
      <c r="C107" s="2" t="str">
        <f>IFERROR(VLOOKUP(TableQR[[#This Row],[BARCODES]],ILACLISTE[#All],2,0),"")</f>
        <v/>
      </c>
      <c r="D107" s="2">
        <f t="shared" si="1"/>
        <v>0</v>
      </c>
      <c r="E107" s="14" t="str">
        <f>IFERROR(GIZLI!G102,"")</f>
        <v/>
      </c>
      <c r="G107" s="2"/>
      <c r="H107" t="str">
        <f>IF(IFERROR(VLOOKUP(G107,TableQR[[#All],[NAME]:[ADET]],2,0),"")&gt;0,IFERROR(VLOOKUP(G107,TableQR[[#All],[NAME]:[ADET]],2,0),""),"")</f>
        <v/>
      </c>
    </row>
    <row r="108" spans="2:8" x14ac:dyDescent="0.3">
      <c r="B108" s="2" t="str">
        <f>MID(TableQR[[#This Row],[QR CODES]],4,13)</f>
        <v/>
      </c>
      <c r="C108" s="2" t="str">
        <f>IFERROR(VLOOKUP(TableQR[[#This Row],[BARCODES]],ILACLISTE[#All],2,0),"")</f>
        <v/>
      </c>
      <c r="D108" s="2">
        <f t="shared" si="1"/>
        <v>0</v>
      </c>
      <c r="E108" s="14" t="str">
        <f>IFERROR(GIZLI!G103,"")</f>
        <v/>
      </c>
      <c r="G108" s="2"/>
      <c r="H108" t="str">
        <f>IF(IFERROR(VLOOKUP(G108,TableQR[[#All],[NAME]:[ADET]],2,0),"")&gt;0,IFERROR(VLOOKUP(G108,TableQR[[#All],[NAME]:[ADET]],2,0),""),"")</f>
        <v/>
      </c>
    </row>
    <row r="109" spans="2:8" x14ac:dyDescent="0.3">
      <c r="B109" s="2" t="str">
        <f>MID(TableQR[[#This Row],[QR CODES]],4,13)</f>
        <v/>
      </c>
      <c r="C109" s="2" t="str">
        <f>IFERROR(VLOOKUP(TableQR[[#This Row],[BARCODES]],ILACLISTE[#All],2,0),"")</f>
        <v/>
      </c>
      <c r="D109" s="2">
        <f t="shared" si="1"/>
        <v>0</v>
      </c>
      <c r="E109" s="14" t="str">
        <f>IFERROR(GIZLI!G104,"")</f>
        <v/>
      </c>
      <c r="G109" s="2"/>
      <c r="H109" t="str">
        <f>IF(IFERROR(VLOOKUP(G109,TableQR[[#All],[NAME]:[ADET]],2,0),"")&gt;0,IFERROR(VLOOKUP(G109,TableQR[[#All],[NAME]:[ADET]],2,0),""),"")</f>
        <v/>
      </c>
    </row>
    <row r="110" spans="2:8" x14ac:dyDescent="0.3">
      <c r="B110" s="2" t="str">
        <f>MID(TableQR[[#This Row],[QR CODES]],4,13)</f>
        <v/>
      </c>
      <c r="C110" s="2" t="str">
        <f>IFERROR(VLOOKUP(TableQR[[#This Row],[BARCODES]],ILACLISTE[#All],2,0),"")</f>
        <v/>
      </c>
      <c r="D110" s="2">
        <f t="shared" si="1"/>
        <v>0</v>
      </c>
      <c r="E110" s="14" t="str">
        <f>IFERROR(GIZLI!G105,"")</f>
        <v/>
      </c>
      <c r="G110" s="2"/>
      <c r="H110" t="str">
        <f>IF(IFERROR(VLOOKUP(G110,TableQR[[#All],[NAME]:[ADET]],2,0),"")&gt;0,IFERROR(VLOOKUP(G110,TableQR[[#All],[NAME]:[ADET]],2,0),""),"")</f>
        <v/>
      </c>
    </row>
    <row r="111" spans="2:8" x14ac:dyDescent="0.3">
      <c r="B111" s="2" t="str">
        <f>MID(TableQR[[#This Row],[QR CODES]],4,13)</f>
        <v/>
      </c>
      <c r="C111" s="2" t="str">
        <f>IFERROR(VLOOKUP(TableQR[[#This Row],[BARCODES]],ILACLISTE[#All],2,0),"")</f>
        <v/>
      </c>
      <c r="D111" s="2">
        <f t="shared" si="1"/>
        <v>0</v>
      </c>
      <c r="E111" s="14" t="str">
        <f>IFERROR(GIZLI!G106,"")</f>
        <v/>
      </c>
      <c r="G111" s="2"/>
      <c r="H111" t="str">
        <f>IF(IFERROR(VLOOKUP(G111,TableQR[[#All],[NAME]:[ADET]],2,0),"")&gt;0,IFERROR(VLOOKUP(G111,TableQR[[#All],[NAME]:[ADET]],2,0),""),"")</f>
        <v/>
      </c>
    </row>
    <row r="112" spans="2:8" x14ac:dyDescent="0.3">
      <c r="B112" s="2" t="str">
        <f>MID(TableQR[[#This Row],[QR CODES]],4,13)</f>
        <v/>
      </c>
      <c r="C112" s="2" t="str">
        <f>IFERROR(VLOOKUP(TableQR[[#This Row],[BARCODES]],ILACLISTE[#All],2,0),"")</f>
        <v/>
      </c>
      <c r="D112" s="2">
        <f t="shared" si="1"/>
        <v>0</v>
      </c>
      <c r="E112" s="14" t="str">
        <f>IFERROR(GIZLI!G107,"")</f>
        <v/>
      </c>
      <c r="G112" s="2"/>
      <c r="H112" t="str">
        <f>IF(IFERROR(VLOOKUP(G112,TableQR[[#All],[NAME]:[ADET]],2,0),"")&gt;0,IFERROR(VLOOKUP(G112,TableQR[[#All],[NAME]:[ADET]],2,0),""),"")</f>
        <v/>
      </c>
    </row>
    <row r="113" spans="2:8" x14ac:dyDescent="0.3">
      <c r="B113" s="2" t="str">
        <f>MID(TableQR[[#This Row],[QR CODES]],4,13)</f>
        <v/>
      </c>
      <c r="C113" s="2" t="str">
        <f>IFERROR(VLOOKUP(TableQR[[#This Row],[BARCODES]],ILACLISTE[#All],2,0),"")</f>
        <v/>
      </c>
      <c r="D113" s="2">
        <f t="shared" si="1"/>
        <v>0</v>
      </c>
      <c r="E113" s="14" t="str">
        <f>IFERROR(GIZLI!G108,"")</f>
        <v/>
      </c>
      <c r="G113" s="2"/>
      <c r="H113" t="str">
        <f>IF(IFERROR(VLOOKUP(G113,TableQR[[#All],[NAME]:[ADET]],2,0),"")&gt;0,IFERROR(VLOOKUP(G113,TableQR[[#All],[NAME]:[ADET]],2,0),""),"")</f>
        <v/>
      </c>
    </row>
    <row r="114" spans="2:8" x14ac:dyDescent="0.3">
      <c r="B114" s="2" t="str">
        <f>MID(TableQR[[#This Row],[QR CODES]],4,13)</f>
        <v/>
      </c>
      <c r="C114" s="2" t="str">
        <f>IFERROR(VLOOKUP(TableQR[[#This Row],[BARCODES]],ILACLISTE[#All],2,0),"")</f>
        <v/>
      </c>
      <c r="D114" s="2">
        <f t="shared" si="1"/>
        <v>0</v>
      </c>
      <c r="E114" s="14" t="str">
        <f>IFERROR(GIZLI!G109,"")</f>
        <v/>
      </c>
      <c r="G114" s="2"/>
      <c r="H114" t="str">
        <f>IF(IFERROR(VLOOKUP(G114,TableQR[[#All],[NAME]:[ADET]],2,0),"")&gt;0,IFERROR(VLOOKUP(G114,TableQR[[#All],[NAME]:[ADET]],2,0),""),"")</f>
        <v/>
      </c>
    </row>
    <row r="115" spans="2:8" x14ac:dyDescent="0.3">
      <c r="B115" s="2" t="str">
        <f>MID(TableQR[[#This Row],[QR CODES]],4,13)</f>
        <v/>
      </c>
      <c r="C115" s="2" t="str">
        <f>IFERROR(VLOOKUP(TableQR[[#This Row],[BARCODES]],ILACLISTE[#All],2,0),"")</f>
        <v/>
      </c>
      <c r="D115" s="2">
        <f t="shared" si="1"/>
        <v>0</v>
      </c>
      <c r="E115" s="14" t="str">
        <f>IFERROR(GIZLI!G110,"")</f>
        <v/>
      </c>
      <c r="G115" s="2"/>
      <c r="H115" t="str">
        <f>IF(IFERROR(VLOOKUP(G115,TableQR[[#All],[NAME]:[ADET]],2,0),"")&gt;0,IFERROR(VLOOKUP(G115,TableQR[[#All],[NAME]:[ADET]],2,0),""),"")</f>
        <v/>
      </c>
    </row>
    <row r="116" spans="2:8" x14ac:dyDescent="0.3">
      <c r="B116" s="2" t="str">
        <f>MID(TableQR[[#This Row],[QR CODES]],4,13)</f>
        <v/>
      </c>
      <c r="C116" s="2" t="str">
        <f>IFERROR(VLOOKUP(TableQR[[#This Row],[BARCODES]],ILACLISTE[#All],2,0),"")</f>
        <v/>
      </c>
      <c r="D116" s="2">
        <f t="shared" si="1"/>
        <v>0</v>
      </c>
      <c r="E116" s="14" t="str">
        <f>IFERROR(GIZLI!G111,"")</f>
        <v/>
      </c>
      <c r="G116" s="2"/>
      <c r="H116" t="str">
        <f>IF(IFERROR(VLOOKUP(G116,TableQR[[#All],[NAME]:[ADET]],2,0),"")&gt;0,IFERROR(VLOOKUP(G116,TableQR[[#All],[NAME]:[ADET]],2,0),""),"")</f>
        <v/>
      </c>
    </row>
    <row r="117" spans="2:8" x14ac:dyDescent="0.3">
      <c r="B117" s="2" t="str">
        <f>MID(TableQR[[#This Row],[QR CODES]],4,13)</f>
        <v/>
      </c>
      <c r="C117" s="2" t="str">
        <f>IFERROR(VLOOKUP(TableQR[[#This Row],[BARCODES]],ILACLISTE[#All],2,0),"")</f>
        <v/>
      </c>
      <c r="D117" s="2">
        <f t="shared" si="1"/>
        <v>0</v>
      </c>
      <c r="E117" s="14" t="str">
        <f>IFERROR(GIZLI!G112,"")</f>
        <v/>
      </c>
      <c r="G117" s="2"/>
      <c r="H117" t="str">
        <f>IF(IFERROR(VLOOKUP(G117,TableQR[[#All],[NAME]:[ADET]],2,0),"")&gt;0,IFERROR(VLOOKUP(G117,TableQR[[#All],[NAME]:[ADET]],2,0),""),"")</f>
        <v/>
      </c>
    </row>
    <row r="118" spans="2:8" x14ac:dyDescent="0.3">
      <c r="B118" s="2" t="str">
        <f>MID(TableQR[[#This Row],[QR CODES]],4,13)</f>
        <v/>
      </c>
      <c r="C118" s="2" t="str">
        <f>IFERROR(VLOOKUP(TableQR[[#This Row],[BARCODES]],ILACLISTE[#All],2,0),"")</f>
        <v/>
      </c>
      <c r="D118" s="2">
        <f t="shared" si="1"/>
        <v>0</v>
      </c>
      <c r="E118" s="14" t="str">
        <f>IFERROR(GIZLI!G113,"")</f>
        <v/>
      </c>
    </row>
    <row r="119" spans="2:8" x14ac:dyDescent="0.3">
      <c r="B119" s="2" t="str">
        <f>MID(TableQR[[#This Row],[QR CODES]],4,13)</f>
        <v/>
      </c>
      <c r="C119" s="2" t="str">
        <f>IFERROR(VLOOKUP(TableQR[[#This Row],[BARCODES]],ILACLISTE[#All],2,0),"")</f>
        <v/>
      </c>
      <c r="D119" s="2">
        <f t="shared" si="1"/>
        <v>0</v>
      </c>
      <c r="E119" s="14" t="str">
        <f>IFERROR(GIZLI!G114,"")</f>
        <v/>
      </c>
    </row>
    <row r="120" spans="2:8" x14ac:dyDescent="0.3">
      <c r="B120" s="2" t="str">
        <f>MID(TableQR[[#This Row],[QR CODES]],4,13)</f>
        <v/>
      </c>
      <c r="C120" s="2" t="str">
        <f>IFERROR(VLOOKUP(TableQR[[#This Row],[BARCODES]],ILACLISTE[#All],2,0),"")</f>
        <v/>
      </c>
      <c r="D120" s="2">
        <f t="shared" si="1"/>
        <v>0</v>
      </c>
      <c r="E120" s="14" t="str">
        <f>IFERROR(GIZLI!G115,"")</f>
        <v/>
      </c>
    </row>
    <row r="121" spans="2:8" x14ac:dyDescent="0.3">
      <c r="B121" s="2" t="str">
        <f>MID(TableQR[[#This Row],[QR CODES]],4,13)</f>
        <v/>
      </c>
      <c r="C121" s="2" t="str">
        <f>IFERROR(VLOOKUP(TableQR[[#This Row],[BARCODES]],ILACLISTE[#All],2,0),"")</f>
        <v/>
      </c>
      <c r="D121" s="2">
        <f t="shared" si="1"/>
        <v>0</v>
      </c>
      <c r="E121" s="14" t="str">
        <f>IFERROR(GIZLI!G116,"")</f>
        <v/>
      </c>
    </row>
    <row r="122" spans="2:8" x14ac:dyDescent="0.3">
      <c r="B122" s="2" t="str">
        <f>MID(TableQR[[#This Row],[QR CODES]],4,13)</f>
        <v/>
      </c>
      <c r="C122" s="2" t="str">
        <f>IFERROR(VLOOKUP(TableQR[[#This Row],[BARCODES]],ILACLISTE[#All],2,0),"")</f>
        <v/>
      </c>
      <c r="D122" s="2">
        <f t="shared" si="1"/>
        <v>0</v>
      </c>
      <c r="E122" s="14" t="str">
        <f>IFERROR(GIZLI!G117,"")</f>
        <v/>
      </c>
    </row>
    <row r="123" spans="2:8" x14ac:dyDescent="0.3">
      <c r="B123" s="2" t="str">
        <f>MID(TableQR[[#This Row],[QR CODES]],4,13)</f>
        <v/>
      </c>
      <c r="C123" s="2" t="str">
        <f>IFERROR(VLOOKUP(TableQR[[#This Row],[BARCODES]],ILACLISTE[#All],2,0),"")</f>
        <v/>
      </c>
      <c r="D123" s="2">
        <f t="shared" si="1"/>
        <v>0</v>
      </c>
      <c r="E123" s="14" t="str">
        <f>IFERROR(GIZLI!G118,"")</f>
        <v/>
      </c>
    </row>
    <row r="124" spans="2:8" x14ac:dyDescent="0.3">
      <c r="B124" s="2" t="str">
        <f>MID(TableQR[[#This Row],[QR CODES]],4,13)</f>
        <v/>
      </c>
      <c r="C124" s="2" t="str">
        <f>IFERROR(VLOOKUP(TableQR[[#This Row],[BARCODES]],ILACLISTE[#All],2,0),"")</f>
        <v/>
      </c>
      <c r="D124" s="2">
        <f t="shared" si="1"/>
        <v>0</v>
      </c>
      <c r="E124" s="14" t="str">
        <f>IFERROR(GIZLI!G119,"")</f>
        <v/>
      </c>
    </row>
    <row r="125" spans="2:8" x14ac:dyDescent="0.3">
      <c r="B125" s="2" t="str">
        <f>MID(TableQR[[#This Row],[QR CODES]],4,13)</f>
        <v/>
      </c>
      <c r="C125" s="2" t="str">
        <f>IFERROR(VLOOKUP(TableQR[[#This Row],[BARCODES]],ILACLISTE[#All],2,0),"")</f>
        <v/>
      </c>
      <c r="D125" s="2">
        <f t="shared" si="1"/>
        <v>0</v>
      </c>
      <c r="E125" s="14" t="str">
        <f>IFERROR(GIZLI!G120,"")</f>
        <v/>
      </c>
    </row>
    <row r="126" spans="2:8" x14ac:dyDescent="0.3">
      <c r="B126" s="2" t="str">
        <f>MID(TableQR[[#This Row],[QR CODES]],4,13)</f>
        <v/>
      </c>
      <c r="C126" s="2" t="str">
        <f>IFERROR(VLOOKUP(TableQR[[#This Row],[BARCODES]],ILACLISTE[#All],2,0),"")</f>
        <v/>
      </c>
      <c r="D126" s="2">
        <f t="shared" si="1"/>
        <v>0</v>
      </c>
      <c r="E126" s="14" t="str">
        <f>IFERROR(GIZLI!G121,"")</f>
        <v/>
      </c>
    </row>
    <row r="127" spans="2:8" x14ac:dyDescent="0.3">
      <c r="B127" s="2" t="str">
        <f>MID(TableQR[[#This Row],[QR CODES]],4,13)</f>
        <v/>
      </c>
      <c r="C127" s="2" t="str">
        <f>IFERROR(VLOOKUP(TableQR[[#This Row],[BARCODES]],ILACLISTE[#All],2,0),"")</f>
        <v/>
      </c>
      <c r="D127" s="2">
        <f t="shared" si="1"/>
        <v>0</v>
      </c>
      <c r="E127" s="14" t="str">
        <f>IFERROR(GIZLI!G122,"")</f>
        <v/>
      </c>
    </row>
    <row r="128" spans="2:8" x14ac:dyDescent="0.3">
      <c r="B128" s="2" t="str">
        <f>MID(TableQR[[#This Row],[QR CODES]],4,13)</f>
        <v/>
      </c>
      <c r="C128" s="2" t="str">
        <f>IFERROR(VLOOKUP(TableQR[[#This Row],[BARCODES]],ILACLISTE[#All],2,0),"")</f>
        <v/>
      </c>
      <c r="D128" s="2">
        <f t="shared" si="1"/>
        <v>0</v>
      </c>
      <c r="E128" s="14" t="str">
        <f>IFERROR(GIZLI!G123,"")</f>
        <v/>
      </c>
    </row>
    <row r="129" spans="2:5" x14ac:dyDescent="0.3">
      <c r="B129" s="2" t="str">
        <f>MID(TableQR[[#This Row],[QR CODES]],4,13)</f>
        <v/>
      </c>
      <c r="C129" s="2" t="str">
        <f>IFERROR(VLOOKUP(TableQR[[#This Row],[BARCODES]],ILACLISTE[#All],2,0),"")</f>
        <v/>
      </c>
      <c r="D129" s="2">
        <f t="shared" si="1"/>
        <v>0</v>
      </c>
      <c r="E129" s="14" t="str">
        <f>IFERROR(GIZLI!G124,"")</f>
        <v/>
      </c>
    </row>
    <row r="130" spans="2:5" x14ac:dyDescent="0.3">
      <c r="B130" s="2" t="str">
        <f>MID(TableQR[[#This Row],[QR CODES]],4,13)</f>
        <v/>
      </c>
      <c r="C130" s="2" t="str">
        <f>IFERROR(VLOOKUP(TableQR[[#This Row],[BARCODES]],ILACLISTE[#All],2,0),"")</f>
        <v/>
      </c>
      <c r="D130" s="2">
        <f t="shared" si="1"/>
        <v>0</v>
      </c>
      <c r="E130" s="14" t="str">
        <f>IFERROR(GIZLI!G125,"")</f>
        <v/>
      </c>
    </row>
    <row r="131" spans="2:5" x14ac:dyDescent="0.3">
      <c r="B131" s="2" t="str">
        <f>MID(TableQR[[#This Row],[QR CODES]],4,13)</f>
        <v/>
      </c>
      <c r="C131" s="2" t="str">
        <f>IFERROR(VLOOKUP(TableQR[[#This Row],[BARCODES]],ILACLISTE[#All],2,0),"")</f>
        <v/>
      </c>
      <c r="D131" s="2">
        <f t="shared" si="1"/>
        <v>0</v>
      </c>
      <c r="E131" s="14" t="str">
        <f>IFERROR(GIZLI!G126,"")</f>
        <v/>
      </c>
    </row>
    <row r="132" spans="2:5" x14ac:dyDescent="0.3">
      <c r="B132" s="2" t="str">
        <f>MID(TableQR[[#This Row],[QR CODES]],4,13)</f>
        <v/>
      </c>
      <c r="C132" s="2" t="str">
        <f>IFERROR(VLOOKUP(TableQR[[#This Row],[BARCODES]],ILACLISTE[#All],2,0),"")</f>
        <v/>
      </c>
      <c r="D132" s="2">
        <f t="shared" si="1"/>
        <v>0</v>
      </c>
      <c r="E132" s="14" t="str">
        <f>IFERROR(GIZLI!G127,"")</f>
        <v/>
      </c>
    </row>
    <row r="133" spans="2:5" x14ac:dyDescent="0.3">
      <c r="B133" s="2" t="str">
        <f>MID(TableQR[[#This Row],[QR CODES]],4,13)</f>
        <v/>
      </c>
      <c r="C133" s="2" t="str">
        <f>IFERROR(VLOOKUP(TableQR[[#This Row],[BARCODES]],ILACLISTE[#All],2,0),"")</f>
        <v/>
      </c>
      <c r="D133" s="2">
        <f t="shared" si="1"/>
        <v>0</v>
      </c>
      <c r="E133" s="14" t="str">
        <f>IFERROR(GIZLI!G128,"")</f>
        <v/>
      </c>
    </row>
    <row r="134" spans="2:5" x14ac:dyDescent="0.3">
      <c r="B134" s="2" t="str">
        <f>MID(TableQR[[#This Row],[QR CODES]],4,13)</f>
        <v/>
      </c>
      <c r="C134" s="2" t="str">
        <f>IFERROR(VLOOKUP(TableQR[[#This Row],[BARCODES]],ILACLISTE[#All],2,0),"")</f>
        <v/>
      </c>
      <c r="D134" s="2">
        <f t="shared" si="1"/>
        <v>0</v>
      </c>
      <c r="E134" s="14" t="str">
        <f>IFERROR(GIZLI!G129,"")</f>
        <v/>
      </c>
    </row>
    <row r="135" spans="2:5" x14ac:dyDescent="0.3">
      <c r="B135" s="2" t="str">
        <f>MID(TableQR[[#This Row],[QR CODES]],4,13)</f>
        <v/>
      </c>
      <c r="C135" s="2" t="str">
        <f>IFERROR(VLOOKUP(TableQR[[#This Row],[BARCODES]],ILACLISTE[#All],2,0),"")</f>
        <v/>
      </c>
      <c r="D135" s="2">
        <f t="shared" si="1"/>
        <v>0</v>
      </c>
      <c r="E135" s="14" t="str">
        <f>IFERROR(GIZLI!G130,"")</f>
        <v/>
      </c>
    </row>
    <row r="136" spans="2:5" x14ac:dyDescent="0.3">
      <c r="B136" s="2" t="str">
        <f>MID(TableQR[[#This Row],[QR CODES]],4,13)</f>
        <v/>
      </c>
      <c r="C136" s="2" t="str">
        <f>IFERROR(VLOOKUP(TableQR[[#This Row],[BARCODES]],ILACLISTE[#All],2,0),"")</f>
        <v/>
      </c>
      <c r="D136" s="2">
        <f t="shared" ref="D136:D199" si="2">COUNTIF(B136:B4129,IF(B136="",66666,B136))</f>
        <v>0</v>
      </c>
      <c r="E136" s="14" t="str">
        <f>IFERROR(GIZLI!G131,"")</f>
        <v/>
      </c>
    </row>
    <row r="137" spans="2:5" x14ac:dyDescent="0.3">
      <c r="B137" s="2" t="str">
        <f>MID(TableQR[[#This Row],[QR CODES]],4,13)</f>
        <v/>
      </c>
      <c r="C137" s="2" t="str">
        <f>IFERROR(VLOOKUP(TableQR[[#This Row],[BARCODES]],ILACLISTE[#All],2,0),"")</f>
        <v/>
      </c>
      <c r="D137" s="2">
        <f t="shared" si="2"/>
        <v>0</v>
      </c>
      <c r="E137" s="14" t="str">
        <f>IFERROR(GIZLI!G132,"")</f>
        <v/>
      </c>
    </row>
    <row r="138" spans="2:5" x14ac:dyDescent="0.3">
      <c r="B138" s="2" t="str">
        <f>MID(TableQR[[#This Row],[QR CODES]],4,13)</f>
        <v/>
      </c>
      <c r="C138" s="2" t="str">
        <f>IFERROR(VLOOKUP(TableQR[[#This Row],[BARCODES]],ILACLISTE[#All],2,0),"")</f>
        <v/>
      </c>
      <c r="D138" s="2">
        <f t="shared" si="2"/>
        <v>0</v>
      </c>
      <c r="E138" s="14" t="str">
        <f>IFERROR(GIZLI!G133,"")</f>
        <v/>
      </c>
    </row>
    <row r="139" spans="2:5" x14ac:dyDescent="0.3">
      <c r="B139" s="2" t="str">
        <f>MID(TableQR[[#This Row],[QR CODES]],4,13)</f>
        <v/>
      </c>
      <c r="C139" s="2" t="str">
        <f>IFERROR(VLOOKUP(TableQR[[#This Row],[BARCODES]],ILACLISTE[#All],2,0),"")</f>
        <v/>
      </c>
      <c r="D139" s="2">
        <f t="shared" si="2"/>
        <v>0</v>
      </c>
      <c r="E139" s="14" t="str">
        <f>IFERROR(GIZLI!G134,"")</f>
        <v/>
      </c>
    </row>
    <row r="140" spans="2:5" x14ac:dyDescent="0.3">
      <c r="B140" s="2" t="str">
        <f>MID(TableQR[[#This Row],[QR CODES]],4,13)</f>
        <v/>
      </c>
      <c r="C140" s="2" t="str">
        <f>IFERROR(VLOOKUP(TableQR[[#This Row],[BARCODES]],ILACLISTE[#All],2,0),"")</f>
        <v/>
      </c>
      <c r="D140" s="2">
        <f t="shared" si="2"/>
        <v>0</v>
      </c>
      <c r="E140" s="14" t="str">
        <f>IFERROR(GIZLI!G135,"")</f>
        <v/>
      </c>
    </row>
    <row r="141" spans="2:5" x14ac:dyDescent="0.3">
      <c r="B141" s="2" t="str">
        <f>MID(TableQR[[#This Row],[QR CODES]],4,13)</f>
        <v/>
      </c>
      <c r="C141" s="2" t="str">
        <f>IFERROR(VLOOKUP(TableQR[[#This Row],[BARCODES]],ILACLISTE[#All],2,0),"")</f>
        <v/>
      </c>
      <c r="D141" s="2">
        <f t="shared" si="2"/>
        <v>0</v>
      </c>
      <c r="E141" s="14" t="str">
        <f>IFERROR(GIZLI!G136,"")</f>
        <v/>
      </c>
    </row>
    <row r="142" spans="2:5" x14ac:dyDescent="0.3">
      <c r="B142" s="2" t="str">
        <f>MID(TableQR[[#This Row],[QR CODES]],4,13)</f>
        <v/>
      </c>
      <c r="C142" s="2" t="str">
        <f>IFERROR(VLOOKUP(TableQR[[#This Row],[BARCODES]],ILACLISTE[#All],2,0),"")</f>
        <v/>
      </c>
      <c r="D142" s="2">
        <f t="shared" si="2"/>
        <v>0</v>
      </c>
      <c r="E142" s="14" t="str">
        <f>IFERROR(GIZLI!G137,"")</f>
        <v/>
      </c>
    </row>
    <row r="143" spans="2:5" x14ac:dyDescent="0.3">
      <c r="B143" s="2" t="str">
        <f>MID(TableQR[[#This Row],[QR CODES]],4,13)</f>
        <v/>
      </c>
      <c r="C143" s="2" t="str">
        <f>IFERROR(VLOOKUP(TableQR[[#This Row],[BARCODES]],ILACLISTE[#All],2,0),"")</f>
        <v/>
      </c>
      <c r="D143" s="2">
        <f t="shared" si="2"/>
        <v>0</v>
      </c>
      <c r="E143" s="14" t="str">
        <f>IFERROR(GIZLI!G138,"")</f>
        <v/>
      </c>
    </row>
    <row r="144" spans="2:5" x14ac:dyDescent="0.3">
      <c r="B144" s="2" t="str">
        <f>MID(TableQR[[#This Row],[QR CODES]],4,13)</f>
        <v/>
      </c>
      <c r="C144" s="2" t="str">
        <f>IFERROR(VLOOKUP(TableQR[[#This Row],[BARCODES]],ILACLISTE[#All],2,0),"")</f>
        <v/>
      </c>
      <c r="D144" s="2">
        <f t="shared" si="2"/>
        <v>0</v>
      </c>
      <c r="E144" s="14" t="str">
        <f>IFERROR(GIZLI!G139,"")</f>
        <v/>
      </c>
    </row>
    <row r="145" spans="2:5" x14ac:dyDescent="0.3">
      <c r="B145" s="2" t="str">
        <f>MID(TableQR[[#This Row],[QR CODES]],4,13)</f>
        <v/>
      </c>
      <c r="C145" s="2" t="str">
        <f>IFERROR(VLOOKUP(TableQR[[#This Row],[BARCODES]],ILACLISTE[#All],2,0),"")</f>
        <v/>
      </c>
      <c r="D145" s="2">
        <f t="shared" si="2"/>
        <v>0</v>
      </c>
      <c r="E145" s="14" t="str">
        <f>IFERROR(GIZLI!G140,"")</f>
        <v/>
      </c>
    </row>
    <row r="146" spans="2:5" x14ac:dyDescent="0.3">
      <c r="B146" s="2" t="str">
        <f>MID(TableQR[[#This Row],[QR CODES]],4,13)</f>
        <v/>
      </c>
      <c r="C146" s="2" t="str">
        <f>IFERROR(VLOOKUP(TableQR[[#This Row],[BARCODES]],ILACLISTE[#All],2,0),"")</f>
        <v/>
      </c>
      <c r="D146" s="2">
        <f t="shared" si="2"/>
        <v>0</v>
      </c>
      <c r="E146" s="14" t="str">
        <f>IFERROR(GIZLI!G141,"")</f>
        <v/>
      </c>
    </row>
    <row r="147" spans="2:5" x14ac:dyDescent="0.3">
      <c r="B147" s="2" t="str">
        <f>MID(TableQR[[#This Row],[QR CODES]],4,13)</f>
        <v/>
      </c>
      <c r="C147" s="2" t="str">
        <f>IFERROR(VLOOKUP(TableQR[[#This Row],[BARCODES]],ILACLISTE[#All],2,0),"")</f>
        <v/>
      </c>
      <c r="D147" s="2">
        <f t="shared" si="2"/>
        <v>0</v>
      </c>
      <c r="E147" s="14" t="str">
        <f>IFERROR(GIZLI!G142,"")</f>
        <v/>
      </c>
    </row>
    <row r="148" spans="2:5" x14ac:dyDescent="0.3">
      <c r="B148" s="2" t="str">
        <f>MID(TableQR[[#This Row],[QR CODES]],4,13)</f>
        <v/>
      </c>
      <c r="C148" s="2" t="str">
        <f>IFERROR(VLOOKUP(TableQR[[#This Row],[BARCODES]],ILACLISTE[#All],2,0),"")</f>
        <v/>
      </c>
      <c r="D148" s="2">
        <f t="shared" si="2"/>
        <v>0</v>
      </c>
      <c r="E148" s="14" t="str">
        <f>IFERROR(GIZLI!G143,"")</f>
        <v/>
      </c>
    </row>
    <row r="149" spans="2:5" x14ac:dyDescent="0.3">
      <c r="B149" s="2" t="str">
        <f>MID(TableQR[[#This Row],[QR CODES]],4,13)</f>
        <v/>
      </c>
      <c r="C149" s="2" t="str">
        <f>IFERROR(VLOOKUP(TableQR[[#This Row],[BARCODES]],ILACLISTE[#All],2,0),"")</f>
        <v/>
      </c>
      <c r="D149" s="2">
        <f t="shared" si="2"/>
        <v>0</v>
      </c>
      <c r="E149" s="14" t="str">
        <f>IFERROR(GIZLI!G144,"")</f>
        <v/>
      </c>
    </row>
    <row r="150" spans="2:5" x14ac:dyDescent="0.3">
      <c r="B150" s="2" t="str">
        <f>MID(TableQR[[#This Row],[QR CODES]],4,13)</f>
        <v/>
      </c>
      <c r="C150" s="2" t="str">
        <f>IFERROR(VLOOKUP(TableQR[[#This Row],[BARCODES]],ILACLISTE[#All],2,0),"")</f>
        <v/>
      </c>
      <c r="D150" s="2">
        <f t="shared" si="2"/>
        <v>0</v>
      </c>
      <c r="E150" s="14" t="str">
        <f>IFERROR(GIZLI!G145,"")</f>
        <v/>
      </c>
    </row>
    <row r="151" spans="2:5" x14ac:dyDescent="0.3">
      <c r="B151" s="2" t="str">
        <f>MID(TableQR[[#This Row],[QR CODES]],4,13)</f>
        <v/>
      </c>
      <c r="C151" s="2" t="str">
        <f>IFERROR(VLOOKUP(TableQR[[#This Row],[BARCODES]],ILACLISTE[#All],2,0),"")</f>
        <v/>
      </c>
      <c r="D151" s="2">
        <f t="shared" si="2"/>
        <v>0</v>
      </c>
      <c r="E151" s="14" t="str">
        <f>IFERROR(GIZLI!G146,"")</f>
        <v/>
      </c>
    </row>
    <row r="152" spans="2:5" x14ac:dyDescent="0.3">
      <c r="B152" s="2" t="str">
        <f>MID(TableQR[[#This Row],[QR CODES]],4,13)</f>
        <v/>
      </c>
      <c r="C152" s="2" t="str">
        <f>IFERROR(VLOOKUP(TableQR[[#This Row],[BARCODES]],ILACLISTE[#All],2,0),"")</f>
        <v/>
      </c>
      <c r="D152" s="2">
        <f t="shared" si="2"/>
        <v>0</v>
      </c>
      <c r="E152" s="14" t="str">
        <f>IFERROR(GIZLI!G147,"")</f>
        <v/>
      </c>
    </row>
    <row r="153" spans="2:5" x14ac:dyDescent="0.3">
      <c r="B153" s="2" t="str">
        <f>MID(TableQR[[#This Row],[QR CODES]],4,13)</f>
        <v/>
      </c>
      <c r="C153" s="2" t="str">
        <f>IFERROR(VLOOKUP(TableQR[[#This Row],[BARCODES]],ILACLISTE[#All],2,0),"")</f>
        <v/>
      </c>
      <c r="D153" s="2">
        <f t="shared" si="2"/>
        <v>0</v>
      </c>
      <c r="E153" s="14" t="str">
        <f>IFERROR(GIZLI!G148,"")</f>
        <v/>
      </c>
    </row>
    <row r="154" spans="2:5" x14ac:dyDescent="0.3">
      <c r="B154" s="2" t="str">
        <f>MID(TableQR[[#This Row],[QR CODES]],4,13)</f>
        <v/>
      </c>
      <c r="C154" s="2" t="str">
        <f>IFERROR(VLOOKUP(TableQR[[#This Row],[BARCODES]],ILACLISTE[#All],2,0),"")</f>
        <v/>
      </c>
      <c r="D154" s="2">
        <f t="shared" si="2"/>
        <v>0</v>
      </c>
      <c r="E154" s="14" t="str">
        <f>IFERROR(GIZLI!G149,"")</f>
        <v/>
      </c>
    </row>
    <row r="155" spans="2:5" x14ac:dyDescent="0.3">
      <c r="B155" s="2" t="str">
        <f>MID(TableQR[[#This Row],[QR CODES]],4,13)</f>
        <v/>
      </c>
      <c r="C155" s="2" t="str">
        <f>IFERROR(VLOOKUP(TableQR[[#This Row],[BARCODES]],ILACLISTE[#All],2,0),"")</f>
        <v/>
      </c>
      <c r="D155" s="2">
        <f t="shared" si="2"/>
        <v>0</v>
      </c>
      <c r="E155" s="14" t="str">
        <f>IFERROR(GIZLI!G150,"")</f>
        <v/>
      </c>
    </row>
    <row r="156" spans="2:5" x14ac:dyDescent="0.3">
      <c r="B156" s="2" t="str">
        <f>MID(TableQR[[#This Row],[QR CODES]],4,13)</f>
        <v/>
      </c>
      <c r="C156" s="2" t="str">
        <f>IFERROR(VLOOKUP(TableQR[[#This Row],[BARCODES]],ILACLISTE[#All],2,0),"")</f>
        <v/>
      </c>
      <c r="D156" s="2">
        <f t="shared" si="2"/>
        <v>0</v>
      </c>
      <c r="E156" s="14" t="str">
        <f>IFERROR(GIZLI!G151,"")</f>
        <v/>
      </c>
    </row>
    <row r="157" spans="2:5" x14ac:dyDescent="0.3">
      <c r="B157" s="2" t="str">
        <f>MID(TableQR[[#This Row],[QR CODES]],4,13)</f>
        <v/>
      </c>
      <c r="C157" s="2" t="str">
        <f>IFERROR(VLOOKUP(TableQR[[#This Row],[BARCODES]],ILACLISTE[#All],2,0),"")</f>
        <v/>
      </c>
      <c r="D157" s="2">
        <f t="shared" si="2"/>
        <v>0</v>
      </c>
      <c r="E157" s="14" t="str">
        <f>IFERROR(GIZLI!G152,"")</f>
        <v/>
      </c>
    </row>
    <row r="158" spans="2:5" x14ac:dyDescent="0.3">
      <c r="B158" s="2" t="str">
        <f>MID(TableQR[[#This Row],[QR CODES]],4,13)</f>
        <v/>
      </c>
      <c r="C158" s="2" t="str">
        <f>IFERROR(VLOOKUP(TableQR[[#This Row],[BARCODES]],ILACLISTE[#All],2,0),"")</f>
        <v/>
      </c>
      <c r="D158" s="2">
        <f t="shared" si="2"/>
        <v>0</v>
      </c>
      <c r="E158" s="14" t="str">
        <f>IFERROR(GIZLI!G153,"")</f>
        <v/>
      </c>
    </row>
    <row r="159" spans="2:5" x14ac:dyDescent="0.3">
      <c r="B159" s="2" t="str">
        <f>MID(TableQR[[#This Row],[QR CODES]],4,13)</f>
        <v/>
      </c>
      <c r="C159" s="2" t="str">
        <f>IFERROR(VLOOKUP(TableQR[[#This Row],[BARCODES]],ILACLISTE[#All],2,0),"")</f>
        <v/>
      </c>
      <c r="D159" s="2">
        <f t="shared" si="2"/>
        <v>0</v>
      </c>
      <c r="E159" s="14" t="str">
        <f>IFERROR(GIZLI!G154,"")</f>
        <v/>
      </c>
    </row>
    <row r="160" spans="2:5" x14ac:dyDescent="0.3">
      <c r="B160" s="2" t="str">
        <f>MID(TableQR[[#This Row],[QR CODES]],4,13)</f>
        <v/>
      </c>
      <c r="C160" s="2" t="str">
        <f>IFERROR(VLOOKUP(TableQR[[#This Row],[BARCODES]],ILACLISTE[#All],2,0),"")</f>
        <v/>
      </c>
      <c r="D160" s="2">
        <f t="shared" si="2"/>
        <v>0</v>
      </c>
      <c r="E160" s="14" t="str">
        <f>IFERROR(GIZLI!G155,"")</f>
        <v/>
      </c>
    </row>
    <row r="161" spans="2:5" x14ac:dyDescent="0.3">
      <c r="B161" s="2" t="str">
        <f>MID(TableQR[[#This Row],[QR CODES]],4,13)</f>
        <v/>
      </c>
      <c r="C161" s="2" t="str">
        <f>IFERROR(VLOOKUP(TableQR[[#This Row],[BARCODES]],ILACLISTE[#All],2,0),"")</f>
        <v/>
      </c>
      <c r="D161" s="2">
        <f t="shared" si="2"/>
        <v>0</v>
      </c>
      <c r="E161" s="14" t="str">
        <f>IFERROR(GIZLI!G156,"")</f>
        <v/>
      </c>
    </row>
    <row r="162" spans="2:5" x14ac:dyDescent="0.3">
      <c r="B162" s="2" t="str">
        <f>MID(TableQR[[#This Row],[QR CODES]],4,13)</f>
        <v/>
      </c>
      <c r="C162" s="2" t="str">
        <f>IFERROR(VLOOKUP(TableQR[[#This Row],[BARCODES]],ILACLISTE[#All],2,0),"")</f>
        <v/>
      </c>
      <c r="D162" s="2">
        <f t="shared" si="2"/>
        <v>0</v>
      </c>
      <c r="E162" s="14" t="str">
        <f>IFERROR(GIZLI!G157,"")</f>
        <v/>
      </c>
    </row>
    <row r="163" spans="2:5" x14ac:dyDescent="0.3">
      <c r="B163" s="2" t="str">
        <f>MID(TableQR[[#This Row],[QR CODES]],4,13)</f>
        <v/>
      </c>
      <c r="C163" s="2" t="str">
        <f>IFERROR(VLOOKUP(TableQR[[#This Row],[BARCODES]],ILACLISTE[#All],2,0),"")</f>
        <v/>
      </c>
      <c r="D163" s="2">
        <f t="shared" si="2"/>
        <v>0</v>
      </c>
      <c r="E163" s="14" t="str">
        <f>IFERROR(GIZLI!G158,"")</f>
        <v/>
      </c>
    </row>
    <row r="164" spans="2:5" x14ac:dyDescent="0.3">
      <c r="B164" s="2" t="str">
        <f>MID(TableQR[[#This Row],[QR CODES]],4,13)</f>
        <v/>
      </c>
      <c r="C164" s="2" t="str">
        <f>IFERROR(VLOOKUP(TableQR[[#This Row],[BARCODES]],ILACLISTE[#All],2,0),"")</f>
        <v/>
      </c>
      <c r="D164" s="2">
        <f t="shared" si="2"/>
        <v>0</v>
      </c>
      <c r="E164" s="14" t="str">
        <f>IFERROR(GIZLI!G159,"")</f>
        <v/>
      </c>
    </row>
    <row r="165" spans="2:5" x14ac:dyDescent="0.3">
      <c r="B165" s="2" t="str">
        <f>MID(TableQR[[#This Row],[QR CODES]],4,13)</f>
        <v/>
      </c>
      <c r="C165" s="2" t="str">
        <f>IFERROR(VLOOKUP(TableQR[[#This Row],[BARCODES]],ILACLISTE[#All],2,0),"")</f>
        <v/>
      </c>
      <c r="D165" s="2">
        <f t="shared" si="2"/>
        <v>0</v>
      </c>
      <c r="E165" s="14" t="str">
        <f>IFERROR(GIZLI!G160,"")</f>
        <v/>
      </c>
    </row>
    <row r="166" spans="2:5" x14ac:dyDescent="0.3">
      <c r="B166" s="2" t="str">
        <f>MID(TableQR[[#This Row],[QR CODES]],4,13)</f>
        <v/>
      </c>
      <c r="C166" s="2" t="str">
        <f>IFERROR(VLOOKUP(TableQR[[#This Row],[BARCODES]],ILACLISTE[#All],2,0),"")</f>
        <v/>
      </c>
      <c r="D166" s="2">
        <f t="shared" si="2"/>
        <v>0</v>
      </c>
      <c r="E166" s="14" t="str">
        <f>IFERROR(GIZLI!G161,"")</f>
        <v/>
      </c>
    </row>
    <row r="167" spans="2:5" x14ac:dyDescent="0.3">
      <c r="B167" s="2" t="str">
        <f>MID(TableQR[[#This Row],[QR CODES]],4,13)</f>
        <v/>
      </c>
      <c r="C167" s="2" t="str">
        <f>IFERROR(VLOOKUP(TableQR[[#This Row],[BARCODES]],ILACLISTE[#All],2,0),"")</f>
        <v/>
      </c>
      <c r="D167" s="2">
        <f t="shared" si="2"/>
        <v>0</v>
      </c>
      <c r="E167" s="14" t="str">
        <f>IFERROR(GIZLI!G162,"")</f>
        <v/>
      </c>
    </row>
    <row r="168" spans="2:5" x14ac:dyDescent="0.3">
      <c r="B168" s="2" t="str">
        <f>MID(TableQR[[#This Row],[QR CODES]],4,13)</f>
        <v/>
      </c>
      <c r="C168" s="2" t="str">
        <f>IFERROR(VLOOKUP(TableQR[[#This Row],[BARCODES]],ILACLISTE[#All],2,0),"")</f>
        <v/>
      </c>
      <c r="D168" s="2">
        <f t="shared" si="2"/>
        <v>0</v>
      </c>
      <c r="E168" s="14" t="str">
        <f>IFERROR(GIZLI!G163,"")</f>
        <v/>
      </c>
    </row>
    <row r="169" spans="2:5" x14ac:dyDescent="0.3">
      <c r="B169" s="2" t="str">
        <f>MID(TableQR[[#This Row],[QR CODES]],4,13)</f>
        <v/>
      </c>
      <c r="C169" s="2" t="str">
        <f>IFERROR(VLOOKUP(TableQR[[#This Row],[BARCODES]],ILACLISTE[#All],2,0),"")</f>
        <v/>
      </c>
      <c r="D169" s="2">
        <f t="shared" si="2"/>
        <v>0</v>
      </c>
      <c r="E169" s="14" t="str">
        <f>IFERROR(GIZLI!G164,"")</f>
        <v/>
      </c>
    </row>
    <row r="170" spans="2:5" x14ac:dyDescent="0.3">
      <c r="B170" s="2" t="str">
        <f>MID(TableQR[[#This Row],[QR CODES]],4,13)</f>
        <v/>
      </c>
      <c r="C170" s="2" t="str">
        <f>IFERROR(VLOOKUP(TableQR[[#This Row],[BARCODES]],ILACLISTE[#All],2,0),"")</f>
        <v/>
      </c>
      <c r="D170" s="2">
        <f t="shared" si="2"/>
        <v>0</v>
      </c>
      <c r="E170" s="14" t="str">
        <f>IFERROR(GIZLI!G165,"")</f>
        <v/>
      </c>
    </row>
    <row r="171" spans="2:5" x14ac:dyDescent="0.3">
      <c r="B171" s="2" t="str">
        <f>MID(TableQR[[#This Row],[QR CODES]],4,13)</f>
        <v/>
      </c>
      <c r="C171" s="2" t="str">
        <f>IFERROR(VLOOKUP(TableQR[[#This Row],[BARCODES]],ILACLISTE[#All],2,0),"")</f>
        <v/>
      </c>
      <c r="D171" s="2">
        <f t="shared" si="2"/>
        <v>0</v>
      </c>
      <c r="E171" s="14" t="str">
        <f>IFERROR(GIZLI!G166,"")</f>
        <v/>
      </c>
    </row>
    <row r="172" spans="2:5" x14ac:dyDescent="0.3">
      <c r="B172" s="2" t="str">
        <f>MID(TableQR[[#This Row],[QR CODES]],4,13)</f>
        <v/>
      </c>
      <c r="C172" s="2" t="str">
        <f>IFERROR(VLOOKUP(TableQR[[#This Row],[BARCODES]],ILACLISTE[#All],2,0),"")</f>
        <v/>
      </c>
      <c r="D172" s="2">
        <f t="shared" si="2"/>
        <v>0</v>
      </c>
      <c r="E172" s="14" t="str">
        <f>IFERROR(GIZLI!G167,"")</f>
        <v/>
      </c>
    </row>
    <row r="173" spans="2:5" x14ac:dyDescent="0.3">
      <c r="B173" s="2" t="str">
        <f>MID(TableQR[[#This Row],[QR CODES]],4,13)</f>
        <v/>
      </c>
      <c r="C173" s="2" t="str">
        <f>IFERROR(VLOOKUP(TableQR[[#This Row],[BARCODES]],ILACLISTE[#All],2,0),"")</f>
        <v/>
      </c>
      <c r="D173" s="2">
        <f t="shared" si="2"/>
        <v>0</v>
      </c>
      <c r="E173" s="14" t="str">
        <f>IFERROR(GIZLI!G168,"")</f>
        <v/>
      </c>
    </row>
    <row r="174" spans="2:5" x14ac:dyDescent="0.3">
      <c r="B174" s="2" t="str">
        <f>MID(TableQR[[#This Row],[QR CODES]],4,13)</f>
        <v/>
      </c>
      <c r="C174" s="2" t="str">
        <f>IFERROR(VLOOKUP(TableQR[[#This Row],[BARCODES]],ILACLISTE[#All],2,0),"")</f>
        <v/>
      </c>
      <c r="D174" s="2">
        <f t="shared" si="2"/>
        <v>0</v>
      </c>
      <c r="E174" s="14" t="str">
        <f>IFERROR(GIZLI!G169,"")</f>
        <v/>
      </c>
    </row>
    <row r="175" spans="2:5" x14ac:dyDescent="0.3">
      <c r="B175" s="2" t="str">
        <f>MID(TableQR[[#This Row],[QR CODES]],4,13)</f>
        <v/>
      </c>
      <c r="C175" s="2" t="str">
        <f>IFERROR(VLOOKUP(TableQR[[#This Row],[BARCODES]],ILACLISTE[#All],2,0),"")</f>
        <v/>
      </c>
      <c r="D175" s="2">
        <f t="shared" si="2"/>
        <v>0</v>
      </c>
      <c r="E175" s="14" t="str">
        <f>IFERROR(GIZLI!G170,"")</f>
        <v/>
      </c>
    </row>
    <row r="176" spans="2:5" x14ac:dyDescent="0.3">
      <c r="B176" s="2" t="str">
        <f>MID(TableQR[[#This Row],[QR CODES]],4,13)</f>
        <v/>
      </c>
      <c r="C176" s="2" t="str">
        <f>IFERROR(VLOOKUP(TableQR[[#This Row],[BARCODES]],ILACLISTE[#All],2,0),"")</f>
        <v/>
      </c>
      <c r="D176" s="2">
        <f t="shared" si="2"/>
        <v>0</v>
      </c>
      <c r="E176" s="14" t="str">
        <f>IFERROR(GIZLI!G171,"")</f>
        <v/>
      </c>
    </row>
    <row r="177" spans="2:5" x14ac:dyDescent="0.3">
      <c r="B177" s="2" t="str">
        <f>MID(TableQR[[#This Row],[QR CODES]],4,13)</f>
        <v/>
      </c>
      <c r="C177" s="2" t="str">
        <f>IFERROR(VLOOKUP(TableQR[[#This Row],[BARCODES]],ILACLISTE[#All],2,0),"")</f>
        <v/>
      </c>
      <c r="D177" s="2">
        <f t="shared" si="2"/>
        <v>0</v>
      </c>
      <c r="E177" s="14" t="str">
        <f>IFERROR(GIZLI!G172,"")</f>
        <v/>
      </c>
    </row>
    <row r="178" spans="2:5" x14ac:dyDescent="0.3">
      <c r="B178" s="2" t="str">
        <f>MID(TableQR[[#This Row],[QR CODES]],4,13)</f>
        <v/>
      </c>
      <c r="C178" s="2" t="str">
        <f>IFERROR(VLOOKUP(TableQR[[#This Row],[BARCODES]],ILACLISTE[#All],2,0),"")</f>
        <v/>
      </c>
      <c r="D178" s="2">
        <f t="shared" si="2"/>
        <v>0</v>
      </c>
      <c r="E178" s="14" t="str">
        <f>IFERROR(GIZLI!G173,"")</f>
        <v/>
      </c>
    </row>
    <row r="179" spans="2:5" x14ac:dyDescent="0.3">
      <c r="B179" s="2" t="str">
        <f>MID(TableQR[[#This Row],[QR CODES]],4,13)</f>
        <v/>
      </c>
      <c r="C179" s="2" t="str">
        <f>IFERROR(VLOOKUP(TableQR[[#This Row],[BARCODES]],ILACLISTE[#All],2,0),"")</f>
        <v/>
      </c>
      <c r="D179" s="2">
        <f t="shared" si="2"/>
        <v>0</v>
      </c>
      <c r="E179" s="14" t="str">
        <f>IFERROR(GIZLI!G174,"")</f>
        <v/>
      </c>
    </row>
    <row r="180" spans="2:5" x14ac:dyDescent="0.3">
      <c r="B180" s="2" t="str">
        <f>MID(TableQR[[#This Row],[QR CODES]],4,13)</f>
        <v/>
      </c>
      <c r="C180" s="2" t="str">
        <f>IFERROR(VLOOKUP(TableQR[[#This Row],[BARCODES]],ILACLISTE[#All],2,0),"")</f>
        <v/>
      </c>
      <c r="D180" s="2">
        <f t="shared" si="2"/>
        <v>0</v>
      </c>
      <c r="E180" s="14" t="str">
        <f>IFERROR(GIZLI!G175,"")</f>
        <v/>
      </c>
    </row>
    <row r="181" spans="2:5" x14ac:dyDescent="0.3">
      <c r="B181" s="2" t="str">
        <f>MID(TableQR[[#This Row],[QR CODES]],4,13)</f>
        <v/>
      </c>
      <c r="C181" s="2" t="str">
        <f>IFERROR(VLOOKUP(TableQR[[#This Row],[BARCODES]],ILACLISTE[#All],2,0),"")</f>
        <v/>
      </c>
      <c r="D181" s="2">
        <f t="shared" si="2"/>
        <v>0</v>
      </c>
      <c r="E181" s="14" t="str">
        <f>IFERROR(GIZLI!G176,"")</f>
        <v/>
      </c>
    </row>
    <row r="182" spans="2:5" x14ac:dyDescent="0.3">
      <c r="B182" s="2" t="str">
        <f>MID(TableQR[[#This Row],[QR CODES]],4,13)</f>
        <v/>
      </c>
      <c r="C182" s="2" t="str">
        <f>IFERROR(VLOOKUP(TableQR[[#This Row],[BARCODES]],ILACLISTE[#All],2,0),"")</f>
        <v/>
      </c>
      <c r="D182" s="2">
        <f t="shared" si="2"/>
        <v>0</v>
      </c>
      <c r="E182" s="14" t="str">
        <f>IFERROR(GIZLI!G177,"")</f>
        <v/>
      </c>
    </row>
    <row r="183" spans="2:5" x14ac:dyDescent="0.3">
      <c r="B183" s="2" t="str">
        <f>MID(TableQR[[#This Row],[QR CODES]],4,13)</f>
        <v/>
      </c>
      <c r="C183" s="2" t="str">
        <f>IFERROR(VLOOKUP(TableQR[[#This Row],[BARCODES]],ILACLISTE[#All],2,0),"")</f>
        <v/>
      </c>
      <c r="D183" s="2">
        <f t="shared" si="2"/>
        <v>0</v>
      </c>
      <c r="E183" s="14" t="str">
        <f>IFERROR(GIZLI!G178,"")</f>
        <v/>
      </c>
    </row>
    <row r="184" spans="2:5" x14ac:dyDescent="0.3">
      <c r="B184" s="2" t="str">
        <f>MID(TableQR[[#This Row],[QR CODES]],4,13)</f>
        <v/>
      </c>
      <c r="C184" s="2" t="str">
        <f>IFERROR(VLOOKUP(TableQR[[#This Row],[BARCODES]],ILACLISTE[#All],2,0),"")</f>
        <v/>
      </c>
      <c r="D184" s="2">
        <f t="shared" si="2"/>
        <v>0</v>
      </c>
      <c r="E184" s="14" t="str">
        <f>IFERROR(GIZLI!G179,"")</f>
        <v/>
      </c>
    </row>
    <row r="185" spans="2:5" x14ac:dyDescent="0.3">
      <c r="B185" s="2" t="str">
        <f>MID(TableQR[[#This Row],[QR CODES]],4,13)</f>
        <v/>
      </c>
      <c r="C185" s="2" t="str">
        <f>IFERROR(VLOOKUP(TableQR[[#This Row],[BARCODES]],ILACLISTE[#All],2,0),"")</f>
        <v/>
      </c>
      <c r="D185" s="2">
        <f t="shared" si="2"/>
        <v>0</v>
      </c>
      <c r="E185" s="14" t="str">
        <f>IFERROR(GIZLI!G180,"")</f>
        <v/>
      </c>
    </row>
    <row r="186" spans="2:5" x14ac:dyDescent="0.3">
      <c r="B186" s="2" t="str">
        <f>MID(TableQR[[#This Row],[QR CODES]],4,13)</f>
        <v/>
      </c>
      <c r="C186" s="2" t="str">
        <f>IFERROR(VLOOKUP(TableQR[[#This Row],[BARCODES]],ILACLISTE[#All],2,0),"")</f>
        <v/>
      </c>
      <c r="D186" s="2">
        <f t="shared" si="2"/>
        <v>0</v>
      </c>
      <c r="E186" s="14" t="str">
        <f>IFERROR(GIZLI!G181,"")</f>
        <v/>
      </c>
    </row>
    <row r="187" spans="2:5" x14ac:dyDescent="0.3">
      <c r="B187" s="2" t="str">
        <f>MID(TableQR[[#This Row],[QR CODES]],4,13)</f>
        <v/>
      </c>
      <c r="C187" s="2" t="str">
        <f>IFERROR(VLOOKUP(TableQR[[#This Row],[BARCODES]],ILACLISTE[#All],2,0),"")</f>
        <v/>
      </c>
      <c r="D187" s="2">
        <f t="shared" si="2"/>
        <v>0</v>
      </c>
      <c r="E187" s="14" t="str">
        <f>IFERROR(GIZLI!G182,"")</f>
        <v/>
      </c>
    </row>
    <row r="188" spans="2:5" x14ac:dyDescent="0.3">
      <c r="B188" s="2" t="str">
        <f>MID(TableQR[[#This Row],[QR CODES]],4,13)</f>
        <v/>
      </c>
      <c r="C188" s="2" t="str">
        <f>IFERROR(VLOOKUP(TableQR[[#This Row],[BARCODES]],ILACLISTE[#All],2,0),"")</f>
        <v/>
      </c>
      <c r="D188" s="2">
        <f t="shared" si="2"/>
        <v>0</v>
      </c>
      <c r="E188" s="14" t="str">
        <f>IFERROR(GIZLI!G183,"")</f>
        <v/>
      </c>
    </row>
    <row r="189" spans="2:5" x14ac:dyDescent="0.3">
      <c r="B189" s="2" t="str">
        <f>MID(TableQR[[#This Row],[QR CODES]],4,13)</f>
        <v/>
      </c>
      <c r="C189" s="2" t="str">
        <f>IFERROR(VLOOKUP(TableQR[[#This Row],[BARCODES]],ILACLISTE[#All],2,0),"")</f>
        <v/>
      </c>
      <c r="D189" s="2">
        <f t="shared" si="2"/>
        <v>0</v>
      </c>
      <c r="E189" s="14" t="str">
        <f>IFERROR(GIZLI!G184,"")</f>
        <v/>
      </c>
    </row>
    <row r="190" spans="2:5" x14ac:dyDescent="0.3">
      <c r="B190" s="2" t="str">
        <f>MID(TableQR[[#This Row],[QR CODES]],4,13)</f>
        <v/>
      </c>
      <c r="C190" s="2" t="str">
        <f>IFERROR(VLOOKUP(TableQR[[#This Row],[BARCODES]],ILACLISTE[#All],2,0),"")</f>
        <v/>
      </c>
      <c r="D190" s="2">
        <f t="shared" si="2"/>
        <v>0</v>
      </c>
      <c r="E190" s="14" t="str">
        <f>IFERROR(GIZLI!G185,"")</f>
        <v/>
      </c>
    </row>
    <row r="191" spans="2:5" x14ac:dyDescent="0.3">
      <c r="B191" s="2" t="str">
        <f>MID(TableQR[[#This Row],[QR CODES]],4,13)</f>
        <v/>
      </c>
      <c r="C191" s="2" t="str">
        <f>IFERROR(VLOOKUP(TableQR[[#This Row],[BARCODES]],ILACLISTE[#All],2,0),"")</f>
        <v/>
      </c>
      <c r="D191" s="2">
        <f t="shared" si="2"/>
        <v>0</v>
      </c>
      <c r="E191" s="14" t="str">
        <f>IFERROR(GIZLI!G186,"")</f>
        <v/>
      </c>
    </row>
    <row r="192" spans="2:5" x14ac:dyDescent="0.3">
      <c r="B192" s="2" t="str">
        <f>MID(TableQR[[#This Row],[QR CODES]],4,13)</f>
        <v/>
      </c>
      <c r="C192" s="2" t="str">
        <f>IFERROR(VLOOKUP(TableQR[[#This Row],[BARCODES]],ILACLISTE[#All],2,0),"")</f>
        <v/>
      </c>
      <c r="D192" s="2">
        <f t="shared" si="2"/>
        <v>0</v>
      </c>
      <c r="E192" s="14" t="str">
        <f>IFERROR(GIZLI!G187,"")</f>
        <v/>
      </c>
    </row>
    <row r="193" spans="2:5" x14ac:dyDescent="0.3">
      <c r="B193" s="2" t="str">
        <f>MID(TableQR[[#This Row],[QR CODES]],4,13)</f>
        <v/>
      </c>
      <c r="C193" s="2" t="str">
        <f>IFERROR(VLOOKUP(TableQR[[#This Row],[BARCODES]],ILACLISTE[#All],2,0),"")</f>
        <v/>
      </c>
      <c r="D193" s="2">
        <f t="shared" si="2"/>
        <v>0</v>
      </c>
      <c r="E193" s="14" t="str">
        <f>IFERROR(GIZLI!G188,"")</f>
        <v/>
      </c>
    </row>
    <row r="194" spans="2:5" x14ac:dyDescent="0.3">
      <c r="B194" s="2" t="str">
        <f>MID(TableQR[[#This Row],[QR CODES]],4,13)</f>
        <v/>
      </c>
      <c r="C194" s="2" t="str">
        <f>IFERROR(VLOOKUP(TableQR[[#This Row],[BARCODES]],ILACLISTE[#All],2,0),"")</f>
        <v/>
      </c>
      <c r="D194" s="2">
        <f t="shared" si="2"/>
        <v>0</v>
      </c>
      <c r="E194" s="14" t="str">
        <f>IFERROR(GIZLI!G189,"")</f>
        <v/>
      </c>
    </row>
    <row r="195" spans="2:5" x14ac:dyDescent="0.3">
      <c r="B195" s="2" t="str">
        <f>MID(TableQR[[#This Row],[QR CODES]],4,13)</f>
        <v/>
      </c>
      <c r="C195" s="2" t="str">
        <f>IFERROR(VLOOKUP(TableQR[[#This Row],[BARCODES]],ILACLISTE[#All],2,0),"")</f>
        <v/>
      </c>
      <c r="D195" s="2">
        <f t="shared" si="2"/>
        <v>0</v>
      </c>
      <c r="E195" s="14" t="str">
        <f>IFERROR(GIZLI!G190,"")</f>
        <v/>
      </c>
    </row>
    <row r="196" spans="2:5" x14ac:dyDescent="0.3">
      <c r="B196" s="2" t="str">
        <f>MID(TableQR[[#This Row],[QR CODES]],4,13)</f>
        <v/>
      </c>
      <c r="C196" s="2" t="str">
        <f>IFERROR(VLOOKUP(TableQR[[#This Row],[BARCODES]],ILACLISTE[#All],2,0),"")</f>
        <v/>
      </c>
      <c r="D196" s="2">
        <f t="shared" si="2"/>
        <v>0</v>
      </c>
      <c r="E196" s="14" t="str">
        <f>IFERROR(GIZLI!G191,"")</f>
        <v/>
      </c>
    </row>
    <row r="197" spans="2:5" x14ac:dyDescent="0.3">
      <c r="B197" s="2" t="str">
        <f>MID(TableQR[[#This Row],[QR CODES]],4,13)</f>
        <v/>
      </c>
      <c r="C197" s="2" t="str">
        <f>IFERROR(VLOOKUP(TableQR[[#This Row],[BARCODES]],ILACLISTE[#All],2,0),"")</f>
        <v/>
      </c>
      <c r="D197" s="2">
        <f t="shared" si="2"/>
        <v>0</v>
      </c>
      <c r="E197" s="14" t="str">
        <f>IFERROR(GIZLI!G192,"")</f>
        <v/>
      </c>
    </row>
    <row r="198" spans="2:5" x14ac:dyDescent="0.3">
      <c r="B198" s="2" t="str">
        <f>MID(TableQR[[#This Row],[QR CODES]],4,13)</f>
        <v/>
      </c>
      <c r="C198" s="2" t="str">
        <f>IFERROR(VLOOKUP(TableQR[[#This Row],[BARCODES]],ILACLISTE[#All],2,0),"")</f>
        <v/>
      </c>
      <c r="D198" s="2">
        <f t="shared" si="2"/>
        <v>0</v>
      </c>
      <c r="E198" s="14" t="str">
        <f>IFERROR(GIZLI!G193,"")</f>
        <v/>
      </c>
    </row>
    <row r="199" spans="2:5" x14ac:dyDescent="0.3">
      <c r="B199" s="2" t="str">
        <f>MID(TableQR[[#This Row],[QR CODES]],4,13)</f>
        <v/>
      </c>
      <c r="C199" s="2" t="str">
        <f>IFERROR(VLOOKUP(TableQR[[#This Row],[BARCODES]],ILACLISTE[#All],2,0),"")</f>
        <v/>
      </c>
      <c r="D199" s="2">
        <f t="shared" si="2"/>
        <v>0</v>
      </c>
      <c r="E199" s="14" t="str">
        <f>IFERROR(GIZLI!G194,"")</f>
        <v/>
      </c>
    </row>
    <row r="200" spans="2:5" x14ac:dyDescent="0.3">
      <c r="B200" s="2" t="str">
        <f>MID(TableQR[[#This Row],[QR CODES]],4,13)</f>
        <v/>
      </c>
      <c r="C200" s="2" t="str">
        <f>IFERROR(VLOOKUP(TableQR[[#This Row],[BARCODES]],ILACLISTE[#All],2,0),"")</f>
        <v/>
      </c>
      <c r="D200" s="2">
        <f t="shared" ref="D200:D263" si="3">COUNTIF(B200:B4193,IF(B200="",66666,B200))</f>
        <v>0</v>
      </c>
      <c r="E200" s="14" t="str">
        <f>IFERROR(GIZLI!G195,"")</f>
        <v/>
      </c>
    </row>
    <row r="201" spans="2:5" x14ac:dyDescent="0.3">
      <c r="B201" s="2" t="str">
        <f>MID(TableQR[[#This Row],[QR CODES]],4,13)</f>
        <v/>
      </c>
      <c r="C201" s="2" t="str">
        <f>IFERROR(VLOOKUP(TableQR[[#This Row],[BARCODES]],ILACLISTE[#All],2,0),"")</f>
        <v/>
      </c>
      <c r="D201" s="2">
        <f t="shared" si="3"/>
        <v>0</v>
      </c>
      <c r="E201" s="14" t="str">
        <f>IFERROR(GIZLI!G196,"")</f>
        <v/>
      </c>
    </row>
    <row r="202" spans="2:5" x14ac:dyDescent="0.3">
      <c r="B202" s="2" t="str">
        <f>MID(TableQR[[#This Row],[QR CODES]],4,13)</f>
        <v/>
      </c>
      <c r="C202" s="2" t="str">
        <f>IFERROR(VLOOKUP(TableQR[[#This Row],[BARCODES]],ILACLISTE[#All],2,0),"")</f>
        <v/>
      </c>
      <c r="D202" s="2">
        <f t="shared" si="3"/>
        <v>0</v>
      </c>
      <c r="E202" s="14" t="str">
        <f>IFERROR(GIZLI!G197,"")</f>
        <v/>
      </c>
    </row>
    <row r="203" spans="2:5" x14ac:dyDescent="0.3">
      <c r="B203" s="2" t="str">
        <f>MID(TableQR[[#This Row],[QR CODES]],4,13)</f>
        <v/>
      </c>
      <c r="C203" s="2" t="str">
        <f>IFERROR(VLOOKUP(TableQR[[#This Row],[BARCODES]],ILACLISTE[#All],2,0),"")</f>
        <v/>
      </c>
      <c r="D203" s="2">
        <f t="shared" si="3"/>
        <v>0</v>
      </c>
      <c r="E203" s="14" t="str">
        <f>IFERROR(GIZLI!G198,"")</f>
        <v/>
      </c>
    </row>
    <row r="204" spans="2:5" x14ac:dyDescent="0.3">
      <c r="B204" s="2" t="str">
        <f>MID(TableQR[[#This Row],[QR CODES]],4,13)</f>
        <v/>
      </c>
      <c r="C204" s="2" t="str">
        <f>IFERROR(VLOOKUP(TableQR[[#This Row],[BARCODES]],ILACLISTE[#All],2,0),"")</f>
        <v/>
      </c>
      <c r="D204" s="2">
        <f t="shared" si="3"/>
        <v>0</v>
      </c>
      <c r="E204" s="14" t="str">
        <f>IFERROR(GIZLI!G199,"")</f>
        <v/>
      </c>
    </row>
    <row r="205" spans="2:5" x14ac:dyDescent="0.3">
      <c r="B205" s="2" t="str">
        <f>MID(TableQR[[#This Row],[QR CODES]],4,13)</f>
        <v/>
      </c>
      <c r="C205" s="2" t="str">
        <f>IFERROR(VLOOKUP(TableQR[[#This Row],[BARCODES]],ILACLISTE[#All],2,0),"")</f>
        <v/>
      </c>
      <c r="D205" s="2">
        <f t="shared" si="3"/>
        <v>0</v>
      </c>
      <c r="E205" s="14" t="str">
        <f>IFERROR(GIZLI!G200,"")</f>
        <v/>
      </c>
    </row>
    <row r="206" spans="2:5" x14ac:dyDescent="0.3">
      <c r="B206" s="2" t="str">
        <f>MID(TableQR[[#This Row],[QR CODES]],4,13)</f>
        <v/>
      </c>
      <c r="C206" s="2" t="str">
        <f>IFERROR(VLOOKUP(TableQR[[#This Row],[BARCODES]],ILACLISTE[#All],2,0),"")</f>
        <v/>
      </c>
      <c r="D206" s="2">
        <f t="shared" si="3"/>
        <v>0</v>
      </c>
      <c r="E206" s="14" t="str">
        <f>IFERROR(GIZLI!G201,"")</f>
        <v/>
      </c>
    </row>
    <row r="207" spans="2:5" x14ac:dyDescent="0.3">
      <c r="B207" s="2" t="str">
        <f>MID(TableQR[[#This Row],[QR CODES]],4,13)</f>
        <v/>
      </c>
      <c r="C207" s="2" t="str">
        <f>IFERROR(VLOOKUP(TableQR[[#This Row],[BARCODES]],ILACLISTE[#All],2,0),"")</f>
        <v/>
      </c>
      <c r="D207" s="2">
        <f t="shared" si="3"/>
        <v>0</v>
      </c>
      <c r="E207" s="14" t="str">
        <f>IFERROR(GIZLI!G202,"")</f>
        <v/>
      </c>
    </row>
    <row r="208" spans="2:5" x14ac:dyDescent="0.3">
      <c r="B208" s="2" t="str">
        <f>MID(TableQR[[#This Row],[QR CODES]],4,13)</f>
        <v/>
      </c>
      <c r="C208" s="2" t="str">
        <f>IFERROR(VLOOKUP(TableQR[[#This Row],[BARCODES]],ILACLISTE[#All],2,0),"")</f>
        <v/>
      </c>
      <c r="D208" s="2">
        <f t="shared" si="3"/>
        <v>0</v>
      </c>
      <c r="E208" s="14" t="str">
        <f>IFERROR(GIZLI!G203,"")</f>
        <v/>
      </c>
    </row>
    <row r="209" spans="2:5" x14ac:dyDescent="0.3">
      <c r="B209" s="2" t="str">
        <f>MID(TableQR[[#This Row],[QR CODES]],4,13)</f>
        <v/>
      </c>
      <c r="C209" s="2" t="str">
        <f>IFERROR(VLOOKUP(TableQR[[#This Row],[BARCODES]],ILACLISTE[#All],2,0),"")</f>
        <v/>
      </c>
      <c r="D209" s="2">
        <f t="shared" si="3"/>
        <v>0</v>
      </c>
      <c r="E209" s="14" t="str">
        <f>IFERROR(GIZLI!G204,"")</f>
        <v/>
      </c>
    </row>
    <row r="210" spans="2:5" x14ac:dyDescent="0.3">
      <c r="B210" s="2" t="str">
        <f>MID(TableQR[[#This Row],[QR CODES]],4,13)</f>
        <v/>
      </c>
      <c r="C210" s="2" t="str">
        <f>IFERROR(VLOOKUP(TableQR[[#This Row],[BARCODES]],ILACLISTE[#All],2,0),"")</f>
        <v/>
      </c>
      <c r="D210" s="2">
        <f t="shared" si="3"/>
        <v>0</v>
      </c>
      <c r="E210" s="14" t="str">
        <f>IFERROR(GIZLI!G205,"")</f>
        <v/>
      </c>
    </row>
    <row r="211" spans="2:5" x14ac:dyDescent="0.3">
      <c r="B211" s="2" t="str">
        <f>MID(TableQR[[#This Row],[QR CODES]],4,13)</f>
        <v/>
      </c>
      <c r="C211" s="2" t="str">
        <f>IFERROR(VLOOKUP(TableQR[[#This Row],[BARCODES]],ILACLISTE[#All],2,0),"")</f>
        <v/>
      </c>
      <c r="D211" s="2">
        <f t="shared" si="3"/>
        <v>0</v>
      </c>
      <c r="E211" s="14" t="str">
        <f>IFERROR(GIZLI!G206,"")</f>
        <v/>
      </c>
    </row>
    <row r="212" spans="2:5" x14ac:dyDescent="0.3">
      <c r="B212" s="2" t="str">
        <f>MID(TableQR[[#This Row],[QR CODES]],4,13)</f>
        <v/>
      </c>
      <c r="C212" s="2" t="str">
        <f>IFERROR(VLOOKUP(TableQR[[#This Row],[BARCODES]],ILACLISTE[#All],2,0),"")</f>
        <v/>
      </c>
      <c r="D212" s="2">
        <f t="shared" si="3"/>
        <v>0</v>
      </c>
      <c r="E212" s="14" t="str">
        <f>IFERROR(GIZLI!G207,"")</f>
        <v/>
      </c>
    </row>
    <row r="213" spans="2:5" x14ac:dyDescent="0.3">
      <c r="B213" s="2" t="str">
        <f>MID(TableQR[[#This Row],[QR CODES]],4,13)</f>
        <v/>
      </c>
      <c r="C213" s="2" t="str">
        <f>IFERROR(VLOOKUP(TableQR[[#This Row],[BARCODES]],ILACLISTE[#All],2,0),"")</f>
        <v/>
      </c>
      <c r="D213" s="2">
        <f t="shared" si="3"/>
        <v>0</v>
      </c>
      <c r="E213" s="14" t="str">
        <f>IFERROR(GIZLI!G208,"")</f>
        <v/>
      </c>
    </row>
    <row r="214" spans="2:5" x14ac:dyDescent="0.3">
      <c r="B214" s="2" t="str">
        <f>MID(TableQR[[#This Row],[QR CODES]],4,13)</f>
        <v/>
      </c>
      <c r="C214" s="2" t="str">
        <f>IFERROR(VLOOKUP(TableQR[[#This Row],[BARCODES]],ILACLISTE[#All],2,0),"")</f>
        <v/>
      </c>
      <c r="D214" s="2">
        <f t="shared" si="3"/>
        <v>0</v>
      </c>
      <c r="E214" s="14" t="str">
        <f>IFERROR(GIZLI!G209,"")</f>
        <v/>
      </c>
    </row>
    <row r="215" spans="2:5" x14ac:dyDescent="0.3">
      <c r="B215" s="2" t="str">
        <f>MID(TableQR[[#This Row],[QR CODES]],4,13)</f>
        <v/>
      </c>
      <c r="C215" s="2" t="str">
        <f>IFERROR(VLOOKUP(TableQR[[#This Row],[BARCODES]],ILACLISTE[#All],2,0),"")</f>
        <v/>
      </c>
      <c r="D215" s="2">
        <f t="shared" si="3"/>
        <v>0</v>
      </c>
      <c r="E215" s="14" t="str">
        <f>IFERROR(GIZLI!G210,"")</f>
        <v/>
      </c>
    </row>
    <row r="216" spans="2:5" x14ac:dyDescent="0.3">
      <c r="B216" s="2" t="str">
        <f>MID(TableQR[[#This Row],[QR CODES]],4,13)</f>
        <v/>
      </c>
      <c r="C216" s="2" t="str">
        <f>IFERROR(VLOOKUP(TableQR[[#This Row],[BARCODES]],ILACLISTE[#All],2,0),"")</f>
        <v/>
      </c>
      <c r="D216" s="2">
        <f t="shared" si="3"/>
        <v>0</v>
      </c>
      <c r="E216" s="14" t="str">
        <f>IFERROR(GIZLI!G211,"")</f>
        <v/>
      </c>
    </row>
    <row r="217" spans="2:5" x14ac:dyDescent="0.3">
      <c r="B217" s="2" t="str">
        <f>MID(TableQR[[#This Row],[QR CODES]],4,13)</f>
        <v/>
      </c>
      <c r="C217" s="2" t="str">
        <f>IFERROR(VLOOKUP(TableQR[[#This Row],[BARCODES]],ILACLISTE[#All],2,0),"")</f>
        <v/>
      </c>
      <c r="D217" s="2">
        <f t="shared" si="3"/>
        <v>0</v>
      </c>
      <c r="E217" s="14" t="str">
        <f>IFERROR(GIZLI!G212,"")</f>
        <v/>
      </c>
    </row>
    <row r="218" spans="2:5" x14ac:dyDescent="0.3">
      <c r="B218" s="2" t="str">
        <f>MID(TableQR[[#This Row],[QR CODES]],4,13)</f>
        <v/>
      </c>
      <c r="C218" s="2" t="str">
        <f>IFERROR(VLOOKUP(TableQR[[#This Row],[BARCODES]],ILACLISTE[#All],2,0),"")</f>
        <v/>
      </c>
      <c r="D218" s="2">
        <f t="shared" si="3"/>
        <v>0</v>
      </c>
      <c r="E218" s="14" t="str">
        <f>IFERROR(GIZLI!G213,"")</f>
        <v/>
      </c>
    </row>
    <row r="219" spans="2:5" x14ac:dyDescent="0.3">
      <c r="B219" s="2" t="str">
        <f>MID(TableQR[[#This Row],[QR CODES]],4,13)</f>
        <v/>
      </c>
      <c r="C219" s="2" t="str">
        <f>IFERROR(VLOOKUP(TableQR[[#This Row],[BARCODES]],ILACLISTE[#All],2,0),"")</f>
        <v/>
      </c>
      <c r="D219" s="2">
        <f t="shared" si="3"/>
        <v>0</v>
      </c>
      <c r="E219" s="14" t="str">
        <f>IFERROR(GIZLI!G214,"")</f>
        <v/>
      </c>
    </row>
    <row r="220" spans="2:5" x14ac:dyDescent="0.3">
      <c r="B220" s="2" t="str">
        <f>MID(TableQR[[#This Row],[QR CODES]],4,13)</f>
        <v/>
      </c>
      <c r="C220" s="2" t="str">
        <f>IFERROR(VLOOKUP(TableQR[[#This Row],[BARCODES]],ILACLISTE[#All],2,0),"")</f>
        <v/>
      </c>
      <c r="D220" s="2">
        <f t="shared" si="3"/>
        <v>0</v>
      </c>
      <c r="E220" s="14" t="str">
        <f>IFERROR(GIZLI!G215,"")</f>
        <v/>
      </c>
    </row>
    <row r="221" spans="2:5" x14ac:dyDescent="0.3">
      <c r="B221" s="2" t="str">
        <f>MID(TableQR[[#This Row],[QR CODES]],4,13)</f>
        <v/>
      </c>
      <c r="C221" s="2" t="str">
        <f>IFERROR(VLOOKUP(TableQR[[#This Row],[BARCODES]],ILACLISTE[#All],2,0),"")</f>
        <v/>
      </c>
      <c r="D221" s="2">
        <f t="shared" si="3"/>
        <v>0</v>
      </c>
      <c r="E221" s="14" t="str">
        <f>IFERROR(GIZLI!G216,"")</f>
        <v/>
      </c>
    </row>
    <row r="222" spans="2:5" x14ac:dyDescent="0.3">
      <c r="B222" s="2" t="str">
        <f>MID(TableQR[[#This Row],[QR CODES]],4,13)</f>
        <v/>
      </c>
      <c r="C222" s="2" t="str">
        <f>IFERROR(VLOOKUP(TableQR[[#This Row],[BARCODES]],ILACLISTE[#All],2,0),"")</f>
        <v/>
      </c>
      <c r="D222" s="2">
        <f t="shared" si="3"/>
        <v>0</v>
      </c>
      <c r="E222" s="14" t="str">
        <f>IFERROR(GIZLI!G217,"")</f>
        <v/>
      </c>
    </row>
    <row r="223" spans="2:5" x14ac:dyDescent="0.3">
      <c r="B223" s="2" t="str">
        <f>MID(TableQR[[#This Row],[QR CODES]],4,13)</f>
        <v/>
      </c>
      <c r="C223" s="2" t="str">
        <f>IFERROR(VLOOKUP(TableQR[[#This Row],[BARCODES]],ILACLISTE[#All],2,0),"")</f>
        <v/>
      </c>
      <c r="D223" s="2">
        <f t="shared" si="3"/>
        <v>0</v>
      </c>
      <c r="E223" s="14" t="str">
        <f>IFERROR(GIZLI!G218,"")</f>
        <v/>
      </c>
    </row>
    <row r="224" spans="2:5" x14ac:dyDescent="0.3">
      <c r="B224" s="2" t="str">
        <f>MID(TableQR[[#This Row],[QR CODES]],4,13)</f>
        <v/>
      </c>
      <c r="C224" s="2" t="str">
        <f>IFERROR(VLOOKUP(TableQR[[#This Row],[BARCODES]],ILACLISTE[#All],2,0),"")</f>
        <v/>
      </c>
      <c r="D224" s="2">
        <f t="shared" si="3"/>
        <v>0</v>
      </c>
      <c r="E224" s="14" t="str">
        <f>IFERROR(GIZLI!G219,"")</f>
        <v/>
      </c>
    </row>
    <row r="225" spans="2:5" x14ac:dyDescent="0.3">
      <c r="B225" s="2" t="str">
        <f>MID(TableQR[[#This Row],[QR CODES]],4,13)</f>
        <v/>
      </c>
      <c r="C225" s="2" t="str">
        <f>IFERROR(VLOOKUP(TableQR[[#This Row],[BARCODES]],ILACLISTE[#All],2,0),"")</f>
        <v/>
      </c>
      <c r="D225" s="2">
        <f t="shared" si="3"/>
        <v>0</v>
      </c>
      <c r="E225" s="14" t="str">
        <f>IFERROR(GIZLI!G220,"")</f>
        <v/>
      </c>
    </row>
    <row r="226" spans="2:5" x14ac:dyDescent="0.3">
      <c r="B226" s="2" t="str">
        <f>MID(TableQR[[#This Row],[QR CODES]],4,13)</f>
        <v/>
      </c>
      <c r="C226" s="2" t="str">
        <f>IFERROR(VLOOKUP(TableQR[[#This Row],[BARCODES]],ILACLISTE[#All],2,0),"")</f>
        <v/>
      </c>
      <c r="D226" s="2">
        <f t="shared" si="3"/>
        <v>0</v>
      </c>
      <c r="E226" s="14" t="str">
        <f>IFERROR(GIZLI!G221,"")</f>
        <v/>
      </c>
    </row>
    <row r="227" spans="2:5" x14ac:dyDescent="0.3">
      <c r="B227" s="2" t="str">
        <f>MID(TableQR[[#This Row],[QR CODES]],4,13)</f>
        <v/>
      </c>
      <c r="C227" s="2" t="str">
        <f>IFERROR(VLOOKUP(TableQR[[#This Row],[BARCODES]],ILACLISTE[#All],2,0),"")</f>
        <v/>
      </c>
      <c r="D227" s="2">
        <f t="shared" si="3"/>
        <v>0</v>
      </c>
      <c r="E227" s="14" t="str">
        <f>IFERROR(GIZLI!G222,"")</f>
        <v/>
      </c>
    </row>
    <row r="228" spans="2:5" x14ac:dyDescent="0.3">
      <c r="B228" s="2" t="str">
        <f>MID(TableQR[[#This Row],[QR CODES]],4,13)</f>
        <v/>
      </c>
      <c r="C228" s="2" t="str">
        <f>IFERROR(VLOOKUP(TableQR[[#This Row],[BARCODES]],ILACLISTE[#All],2,0),"")</f>
        <v/>
      </c>
      <c r="D228" s="2">
        <f t="shared" si="3"/>
        <v>0</v>
      </c>
      <c r="E228" s="14" t="str">
        <f>IFERROR(GIZLI!G223,"")</f>
        <v/>
      </c>
    </row>
    <row r="229" spans="2:5" x14ac:dyDescent="0.3">
      <c r="B229" s="2" t="str">
        <f>MID(TableQR[[#This Row],[QR CODES]],4,13)</f>
        <v/>
      </c>
      <c r="C229" s="2" t="str">
        <f>IFERROR(VLOOKUP(TableQR[[#This Row],[BARCODES]],ILACLISTE[#All],2,0),"")</f>
        <v/>
      </c>
      <c r="D229" s="2">
        <f t="shared" si="3"/>
        <v>0</v>
      </c>
      <c r="E229" s="14" t="str">
        <f>IFERROR(GIZLI!G224,"")</f>
        <v/>
      </c>
    </row>
    <row r="230" spans="2:5" x14ac:dyDescent="0.3">
      <c r="B230" s="2" t="str">
        <f>MID(TableQR[[#This Row],[QR CODES]],4,13)</f>
        <v/>
      </c>
      <c r="C230" s="2" t="str">
        <f>IFERROR(VLOOKUP(TableQR[[#This Row],[BARCODES]],ILACLISTE[#All],2,0),"")</f>
        <v/>
      </c>
      <c r="D230" s="2">
        <f t="shared" si="3"/>
        <v>0</v>
      </c>
      <c r="E230" s="14" t="str">
        <f>IFERROR(GIZLI!G225,"")</f>
        <v/>
      </c>
    </row>
    <row r="231" spans="2:5" x14ac:dyDescent="0.3">
      <c r="B231" s="2" t="str">
        <f>MID(TableQR[[#This Row],[QR CODES]],4,13)</f>
        <v/>
      </c>
      <c r="C231" s="2" t="str">
        <f>IFERROR(VLOOKUP(TableQR[[#This Row],[BARCODES]],ILACLISTE[#All],2,0),"")</f>
        <v/>
      </c>
      <c r="D231" s="2">
        <f t="shared" si="3"/>
        <v>0</v>
      </c>
      <c r="E231" s="14" t="str">
        <f>IFERROR(GIZLI!G226,"")</f>
        <v/>
      </c>
    </row>
    <row r="232" spans="2:5" x14ac:dyDescent="0.3">
      <c r="B232" s="2" t="str">
        <f>MID(TableQR[[#This Row],[QR CODES]],4,13)</f>
        <v/>
      </c>
      <c r="C232" s="2" t="str">
        <f>IFERROR(VLOOKUP(TableQR[[#This Row],[BARCODES]],ILACLISTE[#All],2,0),"")</f>
        <v/>
      </c>
      <c r="D232" s="2">
        <f t="shared" si="3"/>
        <v>0</v>
      </c>
      <c r="E232" s="14" t="str">
        <f>IFERROR(GIZLI!G227,"")</f>
        <v/>
      </c>
    </row>
    <row r="233" spans="2:5" x14ac:dyDescent="0.3">
      <c r="B233" s="2" t="str">
        <f>MID(TableQR[[#This Row],[QR CODES]],4,13)</f>
        <v/>
      </c>
      <c r="C233" s="2" t="str">
        <f>IFERROR(VLOOKUP(TableQR[[#This Row],[BARCODES]],ILACLISTE[#All],2,0),"")</f>
        <v/>
      </c>
      <c r="D233" s="2">
        <f t="shared" si="3"/>
        <v>0</v>
      </c>
      <c r="E233" s="14" t="str">
        <f>IFERROR(GIZLI!G228,"")</f>
        <v/>
      </c>
    </row>
    <row r="234" spans="2:5" x14ac:dyDescent="0.3">
      <c r="B234" s="2" t="str">
        <f>MID(TableQR[[#This Row],[QR CODES]],4,13)</f>
        <v/>
      </c>
      <c r="C234" s="2" t="str">
        <f>IFERROR(VLOOKUP(TableQR[[#This Row],[BARCODES]],ILACLISTE[#All],2,0),"")</f>
        <v/>
      </c>
      <c r="D234" s="2">
        <f t="shared" si="3"/>
        <v>0</v>
      </c>
      <c r="E234" s="14" t="str">
        <f>IFERROR(GIZLI!G229,"")</f>
        <v/>
      </c>
    </row>
    <row r="235" spans="2:5" x14ac:dyDescent="0.3">
      <c r="B235" s="2" t="str">
        <f>MID(TableQR[[#This Row],[QR CODES]],4,13)</f>
        <v/>
      </c>
      <c r="C235" s="2" t="str">
        <f>IFERROR(VLOOKUP(TableQR[[#This Row],[BARCODES]],ILACLISTE[#All],2,0),"")</f>
        <v/>
      </c>
      <c r="D235" s="2">
        <f t="shared" si="3"/>
        <v>0</v>
      </c>
      <c r="E235" s="14" t="str">
        <f>IFERROR(GIZLI!G230,"")</f>
        <v/>
      </c>
    </row>
    <row r="236" spans="2:5" x14ac:dyDescent="0.3">
      <c r="B236" s="2" t="str">
        <f>MID(TableQR[[#This Row],[QR CODES]],4,13)</f>
        <v/>
      </c>
      <c r="C236" s="2" t="str">
        <f>IFERROR(VLOOKUP(TableQR[[#This Row],[BARCODES]],ILACLISTE[#All],2,0),"")</f>
        <v/>
      </c>
      <c r="D236" s="2">
        <f t="shared" si="3"/>
        <v>0</v>
      </c>
      <c r="E236" s="14" t="str">
        <f>IFERROR(GIZLI!G231,"")</f>
        <v/>
      </c>
    </row>
    <row r="237" spans="2:5" x14ac:dyDescent="0.3">
      <c r="B237" s="2" t="str">
        <f>MID(TableQR[[#This Row],[QR CODES]],4,13)</f>
        <v/>
      </c>
      <c r="C237" s="2" t="str">
        <f>IFERROR(VLOOKUP(TableQR[[#This Row],[BARCODES]],ILACLISTE[#All],2,0),"")</f>
        <v/>
      </c>
      <c r="D237" s="2">
        <f t="shared" si="3"/>
        <v>0</v>
      </c>
      <c r="E237" s="14" t="str">
        <f>IFERROR(GIZLI!G232,"")</f>
        <v/>
      </c>
    </row>
    <row r="238" spans="2:5" x14ac:dyDescent="0.3">
      <c r="B238" s="2" t="str">
        <f>MID(TableQR[[#This Row],[QR CODES]],4,13)</f>
        <v/>
      </c>
      <c r="C238" s="2" t="str">
        <f>IFERROR(VLOOKUP(TableQR[[#This Row],[BARCODES]],ILACLISTE[#All],2,0),"")</f>
        <v/>
      </c>
      <c r="D238" s="2">
        <f t="shared" si="3"/>
        <v>0</v>
      </c>
      <c r="E238" s="14" t="str">
        <f>IFERROR(GIZLI!G233,"")</f>
        <v/>
      </c>
    </row>
    <row r="239" spans="2:5" x14ac:dyDescent="0.3">
      <c r="B239" s="2" t="str">
        <f>MID(TableQR[[#This Row],[QR CODES]],4,13)</f>
        <v/>
      </c>
      <c r="C239" s="2" t="str">
        <f>IFERROR(VLOOKUP(TableQR[[#This Row],[BARCODES]],ILACLISTE[#All],2,0),"")</f>
        <v/>
      </c>
      <c r="D239" s="2">
        <f t="shared" si="3"/>
        <v>0</v>
      </c>
      <c r="E239" s="14" t="str">
        <f>IFERROR(GIZLI!G234,"")</f>
        <v/>
      </c>
    </row>
    <row r="240" spans="2:5" x14ac:dyDescent="0.3">
      <c r="B240" s="2" t="str">
        <f>MID(TableQR[[#This Row],[QR CODES]],4,13)</f>
        <v/>
      </c>
      <c r="C240" s="2" t="str">
        <f>IFERROR(VLOOKUP(TableQR[[#This Row],[BARCODES]],ILACLISTE[#All],2,0),"")</f>
        <v/>
      </c>
      <c r="D240" s="2">
        <f t="shared" si="3"/>
        <v>0</v>
      </c>
      <c r="E240" s="14" t="str">
        <f>IFERROR(GIZLI!G235,"")</f>
        <v/>
      </c>
    </row>
    <row r="241" spans="2:5" x14ac:dyDescent="0.3">
      <c r="B241" s="2" t="str">
        <f>MID(TableQR[[#This Row],[QR CODES]],4,13)</f>
        <v/>
      </c>
      <c r="C241" s="2" t="str">
        <f>IFERROR(VLOOKUP(TableQR[[#This Row],[BARCODES]],ILACLISTE[#All],2,0),"")</f>
        <v/>
      </c>
      <c r="D241" s="2">
        <f t="shared" si="3"/>
        <v>0</v>
      </c>
      <c r="E241" s="14" t="str">
        <f>IFERROR(GIZLI!G236,"")</f>
        <v/>
      </c>
    </row>
    <row r="242" spans="2:5" x14ac:dyDescent="0.3">
      <c r="B242" s="2" t="str">
        <f>MID(TableQR[[#This Row],[QR CODES]],4,13)</f>
        <v/>
      </c>
      <c r="C242" s="2" t="str">
        <f>IFERROR(VLOOKUP(TableQR[[#This Row],[BARCODES]],ILACLISTE[#All],2,0),"")</f>
        <v/>
      </c>
      <c r="D242" s="2">
        <f t="shared" si="3"/>
        <v>0</v>
      </c>
      <c r="E242" s="14" t="str">
        <f>IFERROR(GIZLI!G237,"")</f>
        <v/>
      </c>
    </row>
    <row r="243" spans="2:5" x14ac:dyDescent="0.3">
      <c r="B243" s="2" t="str">
        <f>MID(TableQR[[#This Row],[QR CODES]],4,13)</f>
        <v/>
      </c>
      <c r="C243" s="2" t="str">
        <f>IFERROR(VLOOKUP(TableQR[[#This Row],[BARCODES]],ILACLISTE[#All],2,0),"")</f>
        <v/>
      </c>
      <c r="D243" s="2">
        <f t="shared" si="3"/>
        <v>0</v>
      </c>
      <c r="E243" s="14" t="str">
        <f>IFERROR(GIZLI!G238,"")</f>
        <v/>
      </c>
    </row>
    <row r="244" spans="2:5" x14ac:dyDescent="0.3">
      <c r="B244" s="2" t="str">
        <f>MID(TableQR[[#This Row],[QR CODES]],4,13)</f>
        <v/>
      </c>
      <c r="C244" s="2" t="str">
        <f>IFERROR(VLOOKUP(TableQR[[#This Row],[BARCODES]],ILACLISTE[#All],2,0),"")</f>
        <v/>
      </c>
      <c r="D244" s="2">
        <f t="shared" si="3"/>
        <v>0</v>
      </c>
      <c r="E244" s="14" t="str">
        <f>IFERROR(GIZLI!G239,"")</f>
        <v/>
      </c>
    </row>
    <row r="245" spans="2:5" x14ac:dyDescent="0.3">
      <c r="B245" s="2" t="str">
        <f>MID(TableQR[[#This Row],[QR CODES]],4,13)</f>
        <v/>
      </c>
      <c r="C245" s="2" t="str">
        <f>IFERROR(VLOOKUP(TableQR[[#This Row],[BARCODES]],ILACLISTE[#All],2,0),"")</f>
        <v/>
      </c>
      <c r="D245" s="2">
        <f t="shared" si="3"/>
        <v>0</v>
      </c>
      <c r="E245" s="14" t="str">
        <f>IFERROR(GIZLI!G240,"")</f>
        <v/>
      </c>
    </row>
    <row r="246" spans="2:5" x14ac:dyDescent="0.3">
      <c r="B246" s="2" t="str">
        <f>MID(TableQR[[#This Row],[QR CODES]],4,13)</f>
        <v/>
      </c>
      <c r="C246" s="2" t="str">
        <f>IFERROR(VLOOKUP(TableQR[[#This Row],[BARCODES]],ILACLISTE[#All],2,0),"")</f>
        <v/>
      </c>
      <c r="D246" s="2">
        <f t="shared" si="3"/>
        <v>0</v>
      </c>
      <c r="E246" s="14" t="str">
        <f>IFERROR(GIZLI!G241,"")</f>
        <v/>
      </c>
    </row>
    <row r="247" spans="2:5" x14ac:dyDescent="0.3">
      <c r="B247" s="2" t="str">
        <f>MID(TableQR[[#This Row],[QR CODES]],4,13)</f>
        <v/>
      </c>
      <c r="C247" s="2" t="str">
        <f>IFERROR(VLOOKUP(TableQR[[#This Row],[BARCODES]],ILACLISTE[#All],2,0),"")</f>
        <v/>
      </c>
      <c r="D247" s="2">
        <f t="shared" si="3"/>
        <v>0</v>
      </c>
      <c r="E247" s="14" t="str">
        <f>IFERROR(GIZLI!G242,"")</f>
        <v/>
      </c>
    </row>
    <row r="248" spans="2:5" x14ac:dyDescent="0.3">
      <c r="B248" s="2" t="str">
        <f>MID(TableQR[[#This Row],[QR CODES]],4,13)</f>
        <v/>
      </c>
      <c r="C248" s="2" t="str">
        <f>IFERROR(VLOOKUP(TableQR[[#This Row],[BARCODES]],ILACLISTE[#All],2,0),"")</f>
        <v/>
      </c>
      <c r="D248" s="2">
        <f t="shared" si="3"/>
        <v>0</v>
      </c>
      <c r="E248" s="14" t="str">
        <f>IFERROR(GIZLI!G243,"")</f>
        <v/>
      </c>
    </row>
    <row r="249" spans="2:5" x14ac:dyDescent="0.3">
      <c r="B249" s="2" t="str">
        <f>MID(TableQR[[#This Row],[QR CODES]],4,13)</f>
        <v/>
      </c>
      <c r="C249" s="2" t="str">
        <f>IFERROR(VLOOKUP(TableQR[[#This Row],[BARCODES]],ILACLISTE[#All],2,0),"")</f>
        <v/>
      </c>
      <c r="D249" s="2">
        <f t="shared" si="3"/>
        <v>0</v>
      </c>
      <c r="E249" s="14" t="str">
        <f>IFERROR(GIZLI!G244,"")</f>
        <v/>
      </c>
    </row>
    <row r="250" spans="2:5" x14ac:dyDescent="0.3">
      <c r="B250" s="2" t="str">
        <f>MID(TableQR[[#This Row],[QR CODES]],4,13)</f>
        <v/>
      </c>
      <c r="C250" s="2" t="str">
        <f>IFERROR(VLOOKUP(TableQR[[#This Row],[BARCODES]],ILACLISTE[#All],2,0),"")</f>
        <v/>
      </c>
      <c r="D250" s="2">
        <f t="shared" si="3"/>
        <v>0</v>
      </c>
      <c r="E250" s="14" t="str">
        <f>IFERROR(GIZLI!G245,"")</f>
        <v/>
      </c>
    </row>
    <row r="251" spans="2:5" x14ac:dyDescent="0.3">
      <c r="B251" s="2" t="str">
        <f>MID(TableQR[[#This Row],[QR CODES]],4,13)</f>
        <v/>
      </c>
      <c r="C251" s="2" t="str">
        <f>IFERROR(VLOOKUP(TableQR[[#This Row],[BARCODES]],ILACLISTE[#All],2,0),"")</f>
        <v/>
      </c>
      <c r="D251" s="2">
        <f t="shared" si="3"/>
        <v>0</v>
      </c>
      <c r="E251" s="14" t="str">
        <f>IFERROR(GIZLI!G246,"")</f>
        <v/>
      </c>
    </row>
    <row r="252" spans="2:5" x14ac:dyDescent="0.3">
      <c r="B252" s="2" t="str">
        <f>MID(TableQR[[#This Row],[QR CODES]],4,13)</f>
        <v/>
      </c>
      <c r="C252" s="2" t="str">
        <f>IFERROR(VLOOKUP(TableQR[[#This Row],[BARCODES]],ILACLISTE[#All],2,0),"")</f>
        <v/>
      </c>
      <c r="D252" s="2">
        <f t="shared" si="3"/>
        <v>0</v>
      </c>
      <c r="E252" s="14" t="str">
        <f>IFERROR(GIZLI!G247,"")</f>
        <v/>
      </c>
    </row>
    <row r="253" spans="2:5" x14ac:dyDescent="0.3">
      <c r="B253" s="2" t="str">
        <f>MID(TableQR[[#This Row],[QR CODES]],4,13)</f>
        <v/>
      </c>
      <c r="C253" s="2" t="str">
        <f>IFERROR(VLOOKUP(TableQR[[#This Row],[BARCODES]],ILACLISTE[#All],2,0),"")</f>
        <v/>
      </c>
      <c r="D253" s="2">
        <f t="shared" si="3"/>
        <v>0</v>
      </c>
      <c r="E253" s="14" t="str">
        <f>IFERROR(GIZLI!G248,"")</f>
        <v/>
      </c>
    </row>
    <row r="254" spans="2:5" x14ac:dyDescent="0.3">
      <c r="B254" s="2" t="str">
        <f>MID(TableQR[[#This Row],[QR CODES]],4,13)</f>
        <v/>
      </c>
      <c r="C254" s="2" t="str">
        <f>IFERROR(VLOOKUP(TableQR[[#This Row],[BARCODES]],ILACLISTE[#All],2,0),"")</f>
        <v/>
      </c>
      <c r="D254" s="2">
        <f t="shared" si="3"/>
        <v>0</v>
      </c>
      <c r="E254" s="14" t="str">
        <f>IFERROR(GIZLI!G249,"")</f>
        <v/>
      </c>
    </row>
    <row r="255" spans="2:5" x14ac:dyDescent="0.3">
      <c r="B255" s="2" t="str">
        <f>MID(TableQR[[#This Row],[QR CODES]],4,13)</f>
        <v/>
      </c>
      <c r="C255" s="2" t="str">
        <f>IFERROR(VLOOKUP(TableQR[[#This Row],[BARCODES]],ILACLISTE[#All],2,0),"")</f>
        <v/>
      </c>
      <c r="D255" s="2">
        <f t="shared" si="3"/>
        <v>0</v>
      </c>
      <c r="E255" s="14" t="str">
        <f>IFERROR(GIZLI!G250,"")</f>
        <v/>
      </c>
    </row>
    <row r="256" spans="2:5" x14ac:dyDescent="0.3">
      <c r="B256" s="2" t="str">
        <f>MID(TableQR[[#This Row],[QR CODES]],4,13)</f>
        <v/>
      </c>
      <c r="C256" s="2" t="str">
        <f>IFERROR(VLOOKUP(TableQR[[#This Row],[BARCODES]],ILACLISTE[#All],2,0),"")</f>
        <v/>
      </c>
      <c r="D256" s="2">
        <f t="shared" si="3"/>
        <v>0</v>
      </c>
      <c r="E256" s="14" t="str">
        <f>IFERROR(GIZLI!G251,"")</f>
        <v/>
      </c>
    </row>
    <row r="257" spans="2:5" x14ac:dyDescent="0.3">
      <c r="B257" s="2" t="str">
        <f>MID(TableQR[[#This Row],[QR CODES]],4,13)</f>
        <v/>
      </c>
      <c r="C257" s="2" t="str">
        <f>IFERROR(VLOOKUP(TableQR[[#This Row],[BARCODES]],ILACLISTE[#All],2,0),"")</f>
        <v/>
      </c>
      <c r="D257" s="2">
        <f t="shared" si="3"/>
        <v>0</v>
      </c>
      <c r="E257" s="14" t="str">
        <f>IFERROR(GIZLI!G252,"")</f>
        <v/>
      </c>
    </row>
    <row r="258" spans="2:5" x14ac:dyDescent="0.3">
      <c r="B258" s="2" t="str">
        <f>MID(TableQR[[#This Row],[QR CODES]],4,13)</f>
        <v/>
      </c>
      <c r="C258" s="2" t="str">
        <f>IFERROR(VLOOKUP(TableQR[[#This Row],[BARCODES]],ILACLISTE[#All],2,0),"")</f>
        <v/>
      </c>
      <c r="D258" s="2">
        <f t="shared" si="3"/>
        <v>0</v>
      </c>
      <c r="E258" s="14" t="str">
        <f>IFERROR(GIZLI!G253,"")</f>
        <v/>
      </c>
    </row>
    <row r="259" spans="2:5" x14ac:dyDescent="0.3">
      <c r="B259" s="2" t="str">
        <f>MID(TableQR[[#This Row],[QR CODES]],4,13)</f>
        <v/>
      </c>
      <c r="C259" s="2" t="str">
        <f>IFERROR(VLOOKUP(TableQR[[#This Row],[BARCODES]],ILACLISTE[#All],2,0),"")</f>
        <v/>
      </c>
      <c r="D259" s="2">
        <f t="shared" si="3"/>
        <v>0</v>
      </c>
      <c r="E259" s="14" t="str">
        <f>IFERROR(GIZLI!G254,"")</f>
        <v/>
      </c>
    </row>
    <row r="260" spans="2:5" x14ac:dyDescent="0.3">
      <c r="B260" s="2" t="str">
        <f>MID(TableQR[[#This Row],[QR CODES]],4,13)</f>
        <v/>
      </c>
      <c r="C260" s="2" t="str">
        <f>IFERROR(VLOOKUP(TableQR[[#This Row],[BARCODES]],ILACLISTE[#All],2,0),"")</f>
        <v/>
      </c>
      <c r="D260" s="2">
        <f t="shared" si="3"/>
        <v>0</v>
      </c>
      <c r="E260" s="14" t="str">
        <f>IFERROR(GIZLI!G255,"")</f>
        <v/>
      </c>
    </row>
    <row r="261" spans="2:5" x14ac:dyDescent="0.3">
      <c r="B261" s="2" t="str">
        <f>MID(TableQR[[#This Row],[QR CODES]],4,13)</f>
        <v/>
      </c>
      <c r="C261" s="2" t="str">
        <f>IFERROR(VLOOKUP(TableQR[[#This Row],[BARCODES]],ILACLISTE[#All],2,0),"")</f>
        <v/>
      </c>
      <c r="D261" s="2">
        <f t="shared" si="3"/>
        <v>0</v>
      </c>
      <c r="E261" s="14" t="str">
        <f>IFERROR(GIZLI!G256,"")</f>
        <v/>
      </c>
    </row>
    <row r="262" spans="2:5" x14ac:dyDescent="0.3">
      <c r="B262" s="2" t="str">
        <f>MID(TableQR[[#This Row],[QR CODES]],4,13)</f>
        <v/>
      </c>
      <c r="C262" s="2" t="str">
        <f>IFERROR(VLOOKUP(TableQR[[#This Row],[BARCODES]],ILACLISTE[#All],2,0),"")</f>
        <v/>
      </c>
      <c r="D262" s="2">
        <f t="shared" si="3"/>
        <v>0</v>
      </c>
      <c r="E262" s="14" t="str">
        <f>IFERROR(GIZLI!G257,"")</f>
        <v/>
      </c>
    </row>
    <row r="263" spans="2:5" x14ac:dyDescent="0.3">
      <c r="B263" s="2" t="str">
        <f>MID(TableQR[[#This Row],[QR CODES]],4,13)</f>
        <v/>
      </c>
      <c r="C263" s="2" t="str">
        <f>IFERROR(VLOOKUP(TableQR[[#This Row],[BARCODES]],ILACLISTE[#All],2,0),"")</f>
        <v/>
      </c>
      <c r="D263" s="2">
        <f t="shared" si="3"/>
        <v>0</v>
      </c>
      <c r="E263" s="14" t="str">
        <f>IFERROR(GIZLI!G258,"")</f>
        <v/>
      </c>
    </row>
    <row r="264" spans="2:5" x14ac:dyDescent="0.3">
      <c r="B264" s="2" t="str">
        <f>MID(TableQR[[#This Row],[QR CODES]],4,13)</f>
        <v/>
      </c>
      <c r="C264" s="2" t="str">
        <f>IFERROR(VLOOKUP(TableQR[[#This Row],[BARCODES]],ILACLISTE[#All],2,0),"")</f>
        <v/>
      </c>
      <c r="D264" s="2">
        <f t="shared" ref="D264:D327" si="4">COUNTIF(B264:B4257,IF(B264="",66666,B264))</f>
        <v>0</v>
      </c>
      <c r="E264" s="14" t="str">
        <f>IFERROR(GIZLI!G259,"")</f>
        <v/>
      </c>
    </row>
    <row r="265" spans="2:5" x14ac:dyDescent="0.3">
      <c r="B265" s="2" t="str">
        <f>MID(TableQR[[#This Row],[QR CODES]],4,13)</f>
        <v/>
      </c>
      <c r="C265" s="2" t="str">
        <f>IFERROR(VLOOKUP(TableQR[[#This Row],[BARCODES]],ILACLISTE[#All],2,0),"")</f>
        <v/>
      </c>
      <c r="D265" s="2">
        <f t="shared" si="4"/>
        <v>0</v>
      </c>
      <c r="E265" s="14" t="str">
        <f>IFERROR(GIZLI!G260,"")</f>
        <v/>
      </c>
    </row>
    <row r="266" spans="2:5" x14ac:dyDescent="0.3">
      <c r="B266" s="2" t="str">
        <f>MID(TableQR[[#This Row],[QR CODES]],4,13)</f>
        <v/>
      </c>
      <c r="C266" s="2" t="str">
        <f>IFERROR(VLOOKUP(TableQR[[#This Row],[BARCODES]],ILACLISTE[#All],2,0),"")</f>
        <v/>
      </c>
      <c r="D266" s="2">
        <f t="shared" si="4"/>
        <v>0</v>
      </c>
      <c r="E266" s="14" t="str">
        <f>IFERROR(GIZLI!G261,"")</f>
        <v/>
      </c>
    </row>
    <row r="267" spans="2:5" x14ac:dyDescent="0.3">
      <c r="B267" s="2" t="str">
        <f>MID(TableQR[[#This Row],[QR CODES]],4,13)</f>
        <v/>
      </c>
      <c r="C267" s="2" t="str">
        <f>IFERROR(VLOOKUP(TableQR[[#This Row],[BARCODES]],ILACLISTE[#All],2,0),"")</f>
        <v/>
      </c>
      <c r="D267" s="2">
        <f t="shared" si="4"/>
        <v>0</v>
      </c>
      <c r="E267" s="14" t="str">
        <f>IFERROR(GIZLI!G262,"")</f>
        <v/>
      </c>
    </row>
    <row r="268" spans="2:5" x14ac:dyDescent="0.3">
      <c r="B268" s="2" t="str">
        <f>MID(TableQR[[#This Row],[QR CODES]],4,13)</f>
        <v/>
      </c>
      <c r="C268" s="2" t="str">
        <f>IFERROR(VLOOKUP(TableQR[[#This Row],[BARCODES]],ILACLISTE[#All],2,0),"")</f>
        <v/>
      </c>
      <c r="D268" s="2">
        <f t="shared" si="4"/>
        <v>0</v>
      </c>
      <c r="E268" s="14" t="str">
        <f>IFERROR(GIZLI!G263,"")</f>
        <v/>
      </c>
    </row>
    <row r="269" spans="2:5" x14ac:dyDescent="0.3">
      <c r="B269" s="2" t="str">
        <f>MID(TableQR[[#This Row],[QR CODES]],4,13)</f>
        <v/>
      </c>
      <c r="C269" s="2" t="str">
        <f>IFERROR(VLOOKUP(TableQR[[#This Row],[BARCODES]],ILACLISTE[#All],2,0),"")</f>
        <v/>
      </c>
      <c r="D269" s="2">
        <f t="shared" si="4"/>
        <v>0</v>
      </c>
      <c r="E269" s="14" t="str">
        <f>IFERROR(GIZLI!G264,"")</f>
        <v/>
      </c>
    </row>
    <row r="270" spans="2:5" x14ac:dyDescent="0.3">
      <c r="B270" s="2" t="str">
        <f>MID(TableQR[[#This Row],[QR CODES]],4,13)</f>
        <v/>
      </c>
      <c r="C270" s="2" t="str">
        <f>IFERROR(VLOOKUP(TableQR[[#This Row],[BARCODES]],ILACLISTE[#All],2,0),"")</f>
        <v/>
      </c>
      <c r="D270" s="2">
        <f t="shared" si="4"/>
        <v>0</v>
      </c>
      <c r="E270" s="14" t="str">
        <f>IFERROR(GIZLI!G265,"")</f>
        <v/>
      </c>
    </row>
    <row r="271" spans="2:5" x14ac:dyDescent="0.3">
      <c r="B271" s="2" t="str">
        <f>MID(TableQR[[#This Row],[QR CODES]],4,13)</f>
        <v/>
      </c>
      <c r="C271" s="2" t="str">
        <f>IFERROR(VLOOKUP(TableQR[[#This Row],[BARCODES]],ILACLISTE[#All],2,0),"")</f>
        <v/>
      </c>
      <c r="D271" s="2">
        <f t="shared" si="4"/>
        <v>0</v>
      </c>
      <c r="E271" s="14" t="str">
        <f>IFERROR(GIZLI!G266,"")</f>
        <v/>
      </c>
    </row>
    <row r="272" spans="2:5" x14ac:dyDescent="0.3">
      <c r="B272" s="2" t="str">
        <f>MID(TableQR[[#This Row],[QR CODES]],4,13)</f>
        <v/>
      </c>
      <c r="C272" s="2" t="str">
        <f>IFERROR(VLOOKUP(TableQR[[#This Row],[BARCODES]],ILACLISTE[#All],2,0),"")</f>
        <v/>
      </c>
      <c r="D272" s="2">
        <f t="shared" si="4"/>
        <v>0</v>
      </c>
      <c r="E272" s="14" t="str">
        <f>IFERROR(GIZLI!G267,"")</f>
        <v/>
      </c>
    </row>
    <row r="273" spans="2:5" x14ac:dyDescent="0.3">
      <c r="B273" s="2" t="str">
        <f>MID(TableQR[[#This Row],[QR CODES]],4,13)</f>
        <v/>
      </c>
      <c r="C273" s="2" t="str">
        <f>IFERROR(VLOOKUP(TableQR[[#This Row],[BARCODES]],ILACLISTE[#All],2,0),"")</f>
        <v/>
      </c>
      <c r="D273" s="2">
        <f t="shared" si="4"/>
        <v>0</v>
      </c>
      <c r="E273" s="14" t="str">
        <f>IFERROR(GIZLI!G268,"")</f>
        <v/>
      </c>
    </row>
    <row r="274" spans="2:5" x14ac:dyDescent="0.3">
      <c r="B274" s="2" t="str">
        <f>MID(TableQR[[#This Row],[QR CODES]],4,13)</f>
        <v/>
      </c>
      <c r="C274" s="2" t="str">
        <f>IFERROR(VLOOKUP(TableQR[[#This Row],[BARCODES]],ILACLISTE[#All],2,0),"")</f>
        <v/>
      </c>
      <c r="D274" s="2">
        <f t="shared" si="4"/>
        <v>0</v>
      </c>
      <c r="E274" s="14" t="str">
        <f>IFERROR(GIZLI!G269,"")</f>
        <v/>
      </c>
    </row>
    <row r="275" spans="2:5" x14ac:dyDescent="0.3">
      <c r="B275" s="2" t="str">
        <f>MID(TableQR[[#This Row],[QR CODES]],4,13)</f>
        <v/>
      </c>
      <c r="C275" s="2" t="str">
        <f>IFERROR(VLOOKUP(TableQR[[#This Row],[BARCODES]],ILACLISTE[#All],2,0),"")</f>
        <v/>
      </c>
      <c r="D275" s="2">
        <f t="shared" si="4"/>
        <v>0</v>
      </c>
      <c r="E275" s="14" t="str">
        <f>IFERROR(GIZLI!G270,"")</f>
        <v/>
      </c>
    </row>
    <row r="276" spans="2:5" x14ac:dyDescent="0.3">
      <c r="B276" s="2" t="str">
        <f>MID(TableQR[[#This Row],[QR CODES]],4,13)</f>
        <v/>
      </c>
      <c r="C276" s="2" t="str">
        <f>IFERROR(VLOOKUP(TableQR[[#This Row],[BARCODES]],ILACLISTE[#All],2,0),"")</f>
        <v/>
      </c>
      <c r="D276" s="2">
        <f t="shared" si="4"/>
        <v>0</v>
      </c>
      <c r="E276" s="14" t="str">
        <f>IFERROR(GIZLI!G271,"")</f>
        <v/>
      </c>
    </row>
    <row r="277" spans="2:5" x14ac:dyDescent="0.3">
      <c r="B277" s="2" t="str">
        <f>MID(TableQR[[#This Row],[QR CODES]],4,13)</f>
        <v/>
      </c>
      <c r="C277" s="2" t="str">
        <f>IFERROR(VLOOKUP(TableQR[[#This Row],[BARCODES]],ILACLISTE[#All],2,0),"")</f>
        <v/>
      </c>
      <c r="D277" s="2">
        <f t="shared" si="4"/>
        <v>0</v>
      </c>
      <c r="E277" s="14" t="str">
        <f>IFERROR(GIZLI!G272,"")</f>
        <v/>
      </c>
    </row>
    <row r="278" spans="2:5" x14ac:dyDescent="0.3">
      <c r="B278" s="2" t="str">
        <f>MID(TableQR[[#This Row],[QR CODES]],4,13)</f>
        <v/>
      </c>
      <c r="C278" s="2" t="str">
        <f>IFERROR(VLOOKUP(TableQR[[#This Row],[BARCODES]],ILACLISTE[#All],2,0),"")</f>
        <v/>
      </c>
      <c r="D278" s="2">
        <f t="shared" si="4"/>
        <v>0</v>
      </c>
      <c r="E278" s="14" t="str">
        <f>IFERROR(GIZLI!G273,"")</f>
        <v/>
      </c>
    </row>
    <row r="279" spans="2:5" x14ac:dyDescent="0.3">
      <c r="B279" s="2" t="str">
        <f>MID(TableQR[[#This Row],[QR CODES]],4,13)</f>
        <v/>
      </c>
      <c r="C279" s="2" t="str">
        <f>IFERROR(VLOOKUP(TableQR[[#This Row],[BARCODES]],ILACLISTE[#All],2,0),"")</f>
        <v/>
      </c>
      <c r="D279" s="2">
        <f t="shared" si="4"/>
        <v>0</v>
      </c>
      <c r="E279" s="14" t="str">
        <f>IFERROR(GIZLI!G274,"")</f>
        <v/>
      </c>
    </row>
    <row r="280" spans="2:5" x14ac:dyDescent="0.3">
      <c r="B280" s="2" t="str">
        <f>MID(TableQR[[#This Row],[QR CODES]],4,13)</f>
        <v/>
      </c>
      <c r="C280" s="2" t="str">
        <f>IFERROR(VLOOKUP(TableQR[[#This Row],[BARCODES]],ILACLISTE[#All],2,0),"")</f>
        <v/>
      </c>
      <c r="D280" s="2">
        <f t="shared" si="4"/>
        <v>0</v>
      </c>
      <c r="E280" s="14" t="str">
        <f>IFERROR(GIZLI!G275,"")</f>
        <v/>
      </c>
    </row>
    <row r="281" spans="2:5" x14ac:dyDescent="0.3">
      <c r="B281" s="2" t="str">
        <f>MID(TableQR[[#This Row],[QR CODES]],4,13)</f>
        <v/>
      </c>
      <c r="C281" s="2" t="str">
        <f>IFERROR(VLOOKUP(TableQR[[#This Row],[BARCODES]],ILACLISTE[#All],2,0),"")</f>
        <v/>
      </c>
      <c r="D281" s="2">
        <f t="shared" si="4"/>
        <v>0</v>
      </c>
      <c r="E281" s="14" t="str">
        <f>IFERROR(GIZLI!G276,"")</f>
        <v/>
      </c>
    </row>
    <row r="282" spans="2:5" x14ac:dyDescent="0.3">
      <c r="B282" s="2" t="str">
        <f>MID(TableQR[[#This Row],[QR CODES]],4,13)</f>
        <v/>
      </c>
      <c r="C282" s="2" t="str">
        <f>IFERROR(VLOOKUP(TableQR[[#This Row],[BARCODES]],ILACLISTE[#All],2,0),"")</f>
        <v/>
      </c>
      <c r="D282" s="2">
        <f t="shared" si="4"/>
        <v>0</v>
      </c>
      <c r="E282" s="14" t="str">
        <f>IFERROR(GIZLI!G277,"")</f>
        <v/>
      </c>
    </row>
    <row r="283" spans="2:5" x14ac:dyDescent="0.3">
      <c r="B283" s="2" t="str">
        <f>MID(TableQR[[#This Row],[QR CODES]],4,13)</f>
        <v/>
      </c>
      <c r="C283" s="2" t="str">
        <f>IFERROR(VLOOKUP(TableQR[[#This Row],[BARCODES]],ILACLISTE[#All],2,0),"")</f>
        <v/>
      </c>
      <c r="D283" s="2">
        <f t="shared" si="4"/>
        <v>0</v>
      </c>
      <c r="E283" s="14" t="str">
        <f>IFERROR(GIZLI!G278,"")</f>
        <v/>
      </c>
    </row>
    <row r="284" spans="2:5" x14ac:dyDescent="0.3">
      <c r="B284" s="2" t="str">
        <f>MID(TableQR[[#This Row],[QR CODES]],4,13)</f>
        <v/>
      </c>
      <c r="C284" s="2" t="str">
        <f>IFERROR(VLOOKUP(TableQR[[#This Row],[BARCODES]],ILACLISTE[#All],2,0),"")</f>
        <v/>
      </c>
      <c r="D284" s="2">
        <f t="shared" si="4"/>
        <v>0</v>
      </c>
      <c r="E284" s="14" t="str">
        <f>IFERROR(GIZLI!G279,"")</f>
        <v/>
      </c>
    </row>
    <row r="285" spans="2:5" x14ac:dyDescent="0.3">
      <c r="B285" s="2" t="str">
        <f>MID(TableQR[[#This Row],[QR CODES]],4,13)</f>
        <v/>
      </c>
      <c r="C285" s="2" t="str">
        <f>IFERROR(VLOOKUP(TableQR[[#This Row],[BARCODES]],ILACLISTE[#All],2,0),"")</f>
        <v/>
      </c>
      <c r="D285" s="2">
        <f t="shared" si="4"/>
        <v>0</v>
      </c>
      <c r="E285" s="14" t="str">
        <f>IFERROR(GIZLI!G280,"")</f>
        <v/>
      </c>
    </row>
    <row r="286" spans="2:5" x14ac:dyDescent="0.3">
      <c r="B286" s="2" t="str">
        <f>MID(TableQR[[#This Row],[QR CODES]],4,13)</f>
        <v/>
      </c>
      <c r="C286" s="2" t="str">
        <f>IFERROR(VLOOKUP(TableQR[[#This Row],[BARCODES]],ILACLISTE[#All],2,0),"")</f>
        <v/>
      </c>
      <c r="D286" s="2">
        <f t="shared" si="4"/>
        <v>0</v>
      </c>
      <c r="E286" s="14" t="str">
        <f>IFERROR(GIZLI!G281,"")</f>
        <v/>
      </c>
    </row>
    <row r="287" spans="2:5" x14ac:dyDescent="0.3">
      <c r="B287" s="2" t="str">
        <f>MID(TableQR[[#This Row],[QR CODES]],4,13)</f>
        <v/>
      </c>
      <c r="C287" s="2" t="str">
        <f>IFERROR(VLOOKUP(TableQR[[#This Row],[BARCODES]],ILACLISTE[#All],2,0),"")</f>
        <v/>
      </c>
      <c r="D287" s="2">
        <f t="shared" si="4"/>
        <v>0</v>
      </c>
      <c r="E287" s="14" t="str">
        <f>IFERROR(GIZLI!G282,"")</f>
        <v/>
      </c>
    </row>
    <row r="288" spans="2:5" x14ac:dyDescent="0.3">
      <c r="B288" s="2" t="str">
        <f>MID(TableQR[[#This Row],[QR CODES]],4,13)</f>
        <v/>
      </c>
      <c r="C288" s="2" t="str">
        <f>IFERROR(VLOOKUP(TableQR[[#This Row],[BARCODES]],ILACLISTE[#All],2,0),"")</f>
        <v/>
      </c>
      <c r="D288" s="2">
        <f t="shared" si="4"/>
        <v>0</v>
      </c>
      <c r="E288" s="14" t="str">
        <f>IFERROR(GIZLI!G283,"")</f>
        <v/>
      </c>
    </row>
    <row r="289" spans="2:5" x14ac:dyDescent="0.3">
      <c r="B289" s="2" t="str">
        <f>MID(TableQR[[#This Row],[QR CODES]],4,13)</f>
        <v/>
      </c>
      <c r="C289" s="2" t="str">
        <f>IFERROR(VLOOKUP(TableQR[[#This Row],[BARCODES]],ILACLISTE[#All],2,0),"")</f>
        <v/>
      </c>
      <c r="D289" s="2">
        <f t="shared" si="4"/>
        <v>0</v>
      </c>
      <c r="E289" s="14" t="str">
        <f>IFERROR(GIZLI!G284,"")</f>
        <v/>
      </c>
    </row>
    <row r="290" spans="2:5" x14ac:dyDescent="0.3">
      <c r="B290" s="2" t="str">
        <f>MID(TableQR[[#This Row],[QR CODES]],4,13)</f>
        <v/>
      </c>
      <c r="C290" s="2" t="str">
        <f>IFERROR(VLOOKUP(TableQR[[#This Row],[BARCODES]],ILACLISTE[#All],2,0),"")</f>
        <v/>
      </c>
      <c r="D290" s="2">
        <f t="shared" si="4"/>
        <v>0</v>
      </c>
      <c r="E290" s="14" t="str">
        <f>IFERROR(GIZLI!G285,"")</f>
        <v/>
      </c>
    </row>
    <row r="291" spans="2:5" x14ac:dyDescent="0.3">
      <c r="B291" s="2" t="str">
        <f>MID(TableQR[[#This Row],[QR CODES]],4,13)</f>
        <v/>
      </c>
      <c r="C291" s="2" t="str">
        <f>IFERROR(VLOOKUP(TableQR[[#This Row],[BARCODES]],ILACLISTE[#All],2,0),"")</f>
        <v/>
      </c>
      <c r="D291" s="2">
        <f t="shared" si="4"/>
        <v>0</v>
      </c>
      <c r="E291" s="14" t="str">
        <f>IFERROR(GIZLI!G286,"")</f>
        <v/>
      </c>
    </row>
    <row r="292" spans="2:5" x14ac:dyDescent="0.3">
      <c r="B292" s="2" t="str">
        <f>MID(TableQR[[#This Row],[QR CODES]],4,13)</f>
        <v/>
      </c>
      <c r="C292" s="2" t="str">
        <f>IFERROR(VLOOKUP(TableQR[[#This Row],[BARCODES]],ILACLISTE[#All],2,0),"")</f>
        <v/>
      </c>
      <c r="D292" s="2">
        <f t="shared" si="4"/>
        <v>0</v>
      </c>
      <c r="E292" s="14" t="str">
        <f>IFERROR(GIZLI!G287,"")</f>
        <v/>
      </c>
    </row>
    <row r="293" spans="2:5" x14ac:dyDescent="0.3">
      <c r="B293" s="2" t="str">
        <f>MID(TableQR[[#This Row],[QR CODES]],4,13)</f>
        <v/>
      </c>
      <c r="C293" s="2" t="str">
        <f>IFERROR(VLOOKUP(TableQR[[#This Row],[BARCODES]],ILACLISTE[#All],2,0),"")</f>
        <v/>
      </c>
      <c r="D293" s="2">
        <f t="shared" si="4"/>
        <v>0</v>
      </c>
      <c r="E293" s="14" t="str">
        <f>IFERROR(GIZLI!G288,"")</f>
        <v/>
      </c>
    </row>
    <row r="294" spans="2:5" x14ac:dyDescent="0.3">
      <c r="B294" s="2" t="str">
        <f>MID(TableQR[[#This Row],[QR CODES]],4,13)</f>
        <v/>
      </c>
      <c r="C294" s="2" t="str">
        <f>IFERROR(VLOOKUP(TableQR[[#This Row],[BARCODES]],ILACLISTE[#All],2,0),"")</f>
        <v/>
      </c>
      <c r="D294" s="2">
        <f t="shared" si="4"/>
        <v>0</v>
      </c>
      <c r="E294" s="14" t="str">
        <f>IFERROR(GIZLI!G289,"")</f>
        <v/>
      </c>
    </row>
    <row r="295" spans="2:5" x14ac:dyDescent="0.3">
      <c r="B295" s="2" t="str">
        <f>MID(TableQR[[#This Row],[QR CODES]],4,13)</f>
        <v/>
      </c>
      <c r="C295" s="2" t="str">
        <f>IFERROR(VLOOKUP(TableQR[[#This Row],[BARCODES]],ILACLISTE[#All],2,0),"")</f>
        <v/>
      </c>
      <c r="D295" s="2">
        <f t="shared" si="4"/>
        <v>0</v>
      </c>
      <c r="E295" s="14" t="str">
        <f>IFERROR(GIZLI!G290,"")</f>
        <v/>
      </c>
    </row>
    <row r="296" spans="2:5" x14ac:dyDescent="0.3">
      <c r="B296" s="2" t="str">
        <f>MID(TableQR[[#This Row],[QR CODES]],4,13)</f>
        <v/>
      </c>
      <c r="C296" s="2" t="str">
        <f>IFERROR(VLOOKUP(TableQR[[#This Row],[BARCODES]],ILACLISTE[#All],2,0),"")</f>
        <v/>
      </c>
      <c r="D296" s="2">
        <f t="shared" si="4"/>
        <v>0</v>
      </c>
      <c r="E296" s="14" t="str">
        <f>IFERROR(GIZLI!G291,"")</f>
        <v/>
      </c>
    </row>
    <row r="297" spans="2:5" x14ac:dyDescent="0.3">
      <c r="B297" s="2" t="str">
        <f>MID(TableQR[[#This Row],[QR CODES]],4,13)</f>
        <v/>
      </c>
      <c r="C297" s="2" t="str">
        <f>IFERROR(VLOOKUP(TableQR[[#This Row],[BARCODES]],ILACLISTE[#All],2,0),"")</f>
        <v/>
      </c>
      <c r="D297" s="2">
        <f t="shared" si="4"/>
        <v>0</v>
      </c>
      <c r="E297" s="14" t="str">
        <f>IFERROR(GIZLI!G292,"")</f>
        <v/>
      </c>
    </row>
    <row r="298" spans="2:5" x14ac:dyDescent="0.3">
      <c r="B298" s="2" t="str">
        <f>MID(TableQR[[#This Row],[QR CODES]],4,13)</f>
        <v/>
      </c>
      <c r="C298" s="2" t="str">
        <f>IFERROR(VLOOKUP(TableQR[[#This Row],[BARCODES]],ILACLISTE[#All],2,0),"")</f>
        <v/>
      </c>
      <c r="D298" s="2">
        <f t="shared" si="4"/>
        <v>0</v>
      </c>
      <c r="E298" s="14" t="str">
        <f>IFERROR(GIZLI!G293,"")</f>
        <v/>
      </c>
    </row>
    <row r="299" spans="2:5" x14ac:dyDescent="0.3">
      <c r="B299" s="2" t="str">
        <f>MID(TableQR[[#This Row],[QR CODES]],4,13)</f>
        <v/>
      </c>
      <c r="C299" s="2" t="str">
        <f>IFERROR(VLOOKUP(TableQR[[#This Row],[BARCODES]],ILACLISTE[#All],2,0),"")</f>
        <v/>
      </c>
      <c r="D299" s="2">
        <f t="shared" si="4"/>
        <v>0</v>
      </c>
      <c r="E299" s="14" t="str">
        <f>IFERROR(GIZLI!G294,"")</f>
        <v/>
      </c>
    </row>
    <row r="300" spans="2:5" x14ac:dyDescent="0.3">
      <c r="B300" s="2" t="str">
        <f>MID(TableQR[[#This Row],[QR CODES]],4,13)</f>
        <v/>
      </c>
      <c r="C300" s="2" t="str">
        <f>IFERROR(VLOOKUP(TableQR[[#This Row],[BARCODES]],ILACLISTE[#All],2,0),"")</f>
        <v/>
      </c>
      <c r="D300" s="2">
        <f t="shared" si="4"/>
        <v>0</v>
      </c>
      <c r="E300" s="14" t="str">
        <f>IFERROR(GIZLI!G295,"")</f>
        <v/>
      </c>
    </row>
    <row r="301" spans="2:5" x14ac:dyDescent="0.3">
      <c r="B301" s="2" t="str">
        <f>MID(TableQR[[#This Row],[QR CODES]],4,13)</f>
        <v/>
      </c>
      <c r="C301" s="2" t="str">
        <f>IFERROR(VLOOKUP(TableQR[[#This Row],[BARCODES]],ILACLISTE[#All],2,0),"")</f>
        <v/>
      </c>
      <c r="D301" s="2">
        <f t="shared" si="4"/>
        <v>0</v>
      </c>
      <c r="E301" s="14" t="str">
        <f>IFERROR(GIZLI!G296,"")</f>
        <v/>
      </c>
    </row>
    <row r="302" spans="2:5" x14ac:dyDescent="0.3">
      <c r="B302" s="2" t="str">
        <f>MID(TableQR[[#This Row],[QR CODES]],4,13)</f>
        <v/>
      </c>
      <c r="C302" s="2" t="str">
        <f>IFERROR(VLOOKUP(TableQR[[#This Row],[BARCODES]],ILACLISTE[#All],2,0),"")</f>
        <v/>
      </c>
      <c r="D302" s="2">
        <f t="shared" si="4"/>
        <v>0</v>
      </c>
      <c r="E302" s="14" t="str">
        <f>IFERROR(GIZLI!G297,"")</f>
        <v/>
      </c>
    </row>
    <row r="303" spans="2:5" x14ac:dyDescent="0.3">
      <c r="B303" s="2" t="str">
        <f>MID(TableQR[[#This Row],[QR CODES]],4,13)</f>
        <v/>
      </c>
      <c r="C303" s="2" t="str">
        <f>IFERROR(VLOOKUP(TableQR[[#This Row],[BARCODES]],ILACLISTE[#All],2,0),"")</f>
        <v/>
      </c>
      <c r="D303" s="2">
        <f t="shared" si="4"/>
        <v>0</v>
      </c>
      <c r="E303" s="14" t="str">
        <f>IFERROR(GIZLI!G298,"")</f>
        <v/>
      </c>
    </row>
    <row r="304" spans="2:5" x14ac:dyDescent="0.3">
      <c r="B304" s="2" t="str">
        <f>MID(TableQR[[#This Row],[QR CODES]],4,13)</f>
        <v/>
      </c>
      <c r="C304" s="2" t="str">
        <f>IFERROR(VLOOKUP(TableQR[[#This Row],[BARCODES]],ILACLISTE[#All],2,0),"")</f>
        <v/>
      </c>
      <c r="D304" s="2">
        <f t="shared" si="4"/>
        <v>0</v>
      </c>
      <c r="E304" s="14" t="str">
        <f>IFERROR(GIZLI!G299,"")</f>
        <v/>
      </c>
    </row>
    <row r="305" spans="2:5" x14ac:dyDescent="0.3">
      <c r="B305" s="2" t="str">
        <f>MID(TableQR[[#This Row],[QR CODES]],4,13)</f>
        <v/>
      </c>
      <c r="C305" s="2" t="str">
        <f>IFERROR(VLOOKUP(TableQR[[#This Row],[BARCODES]],ILACLISTE[#All],2,0),"")</f>
        <v/>
      </c>
      <c r="D305" s="2">
        <f t="shared" si="4"/>
        <v>0</v>
      </c>
      <c r="E305" s="14" t="str">
        <f>IFERROR(GIZLI!G300,"")</f>
        <v/>
      </c>
    </row>
    <row r="306" spans="2:5" x14ac:dyDescent="0.3">
      <c r="B306" s="2" t="str">
        <f>MID(TableQR[[#This Row],[QR CODES]],4,13)</f>
        <v/>
      </c>
      <c r="C306" s="2" t="str">
        <f>IFERROR(VLOOKUP(TableQR[[#This Row],[BARCODES]],ILACLISTE[#All],2,0),"")</f>
        <v/>
      </c>
      <c r="D306" s="2">
        <f t="shared" si="4"/>
        <v>0</v>
      </c>
      <c r="E306" s="14" t="str">
        <f>IFERROR(GIZLI!G301,"")</f>
        <v/>
      </c>
    </row>
    <row r="307" spans="2:5" x14ac:dyDescent="0.3">
      <c r="B307" s="2" t="str">
        <f>MID(TableQR[[#This Row],[QR CODES]],4,13)</f>
        <v/>
      </c>
      <c r="C307" s="2" t="str">
        <f>IFERROR(VLOOKUP(TableQR[[#This Row],[BARCODES]],ILACLISTE[#All],2,0),"")</f>
        <v/>
      </c>
      <c r="D307" s="2">
        <f t="shared" si="4"/>
        <v>0</v>
      </c>
      <c r="E307" s="14" t="str">
        <f>IFERROR(GIZLI!G302,"")</f>
        <v/>
      </c>
    </row>
    <row r="308" spans="2:5" x14ac:dyDescent="0.3">
      <c r="B308" s="2" t="str">
        <f>MID(TableQR[[#This Row],[QR CODES]],4,13)</f>
        <v/>
      </c>
      <c r="C308" s="2" t="str">
        <f>IFERROR(VLOOKUP(TableQR[[#This Row],[BARCODES]],ILACLISTE[#All],2,0),"")</f>
        <v/>
      </c>
      <c r="D308" s="2">
        <f t="shared" si="4"/>
        <v>0</v>
      </c>
      <c r="E308" s="14" t="str">
        <f>IFERROR(GIZLI!G303,"")</f>
        <v/>
      </c>
    </row>
    <row r="309" spans="2:5" x14ac:dyDescent="0.3">
      <c r="B309" s="2" t="str">
        <f>MID(TableQR[[#This Row],[QR CODES]],4,13)</f>
        <v/>
      </c>
      <c r="C309" s="2" t="str">
        <f>IFERROR(VLOOKUP(TableQR[[#This Row],[BARCODES]],ILACLISTE[#All],2,0),"")</f>
        <v/>
      </c>
      <c r="D309" s="2">
        <f t="shared" si="4"/>
        <v>0</v>
      </c>
      <c r="E309" s="14" t="str">
        <f>IFERROR(GIZLI!G304,"")</f>
        <v/>
      </c>
    </row>
    <row r="310" spans="2:5" x14ac:dyDescent="0.3">
      <c r="B310" s="2" t="str">
        <f>MID(TableQR[[#This Row],[QR CODES]],4,13)</f>
        <v/>
      </c>
      <c r="C310" s="2" t="str">
        <f>IFERROR(VLOOKUP(TableQR[[#This Row],[BARCODES]],ILACLISTE[#All],2,0),"")</f>
        <v/>
      </c>
      <c r="D310" s="2">
        <f t="shared" si="4"/>
        <v>0</v>
      </c>
      <c r="E310" s="14" t="str">
        <f>IFERROR(GIZLI!G305,"")</f>
        <v/>
      </c>
    </row>
    <row r="311" spans="2:5" x14ac:dyDescent="0.3">
      <c r="B311" s="2" t="str">
        <f>MID(TableQR[[#This Row],[QR CODES]],4,13)</f>
        <v/>
      </c>
      <c r="C311" s="2" t="str">
        <f>IFERROR(VLOOKUP(TableQR[[#This Row],[BARCODES]],ILACLISTE[#All],2,0),"")</f>
        <v/>
      </c>
      <c r="D311" s="2">
        <f t="shared" si="4"/>
        <v>0</v>
      </c>
      <c r="E311" s="14" t="str">
        <f>IFERROR(GIZLI!G306,"")</f>
        <v/>
      </c>
    </row>
    <row r="312" spans="2:5" x14ac:dyDescent="0.3">
      <c r="B312" s="2" t="str">
        <f>MID(TableQR[[#This Row],[QR CODES]],4,13)</f>
        <v/>
      </c>
      <c r="C312" s="2" t="str">
        <f>IFERROR(VLOOKUP(TableQR[[#This Row],[BARCODES]],ILACLISTE[#All],2,0),"")</f>
        <v/>
      </c>
      <c r="D312" s="2">
        <f t="shared" si="4"/>
        <v>0</v>
      </c>
      <c r="E312" s="14" t="str">
        <f>IFERROR(GIZLI!G307,"")</f>
        <v/>
      </c>
    </row>
    <row r="313" spans="2:5" x14ac:dyDescent="0.3">
      <c r="B313" s="2" t="str">
        <f>MID(TableQR[[#This Row],[QR CODES]],4,13)</f>
        <v/>
      </c>
      <c r="C313" s="2" t="str">
        <f>IFERROR(VLOOKUP(TableQR[[#This Row],[BARCODES]],ILACLISTE[#All],2,0),"")</f>
        <v/>
      </c>
      <c r="D313" s="2">
        <f t="shared" si="4"/>
        <v>0</v>
      </c>
      <c r="E313" s="14" t="str">
        <f>IFERROR(GIZLI!G308,"")</f>
        <v/>
      </c>
    </row>
    <row r="314" spans="2:5" x14ac:dyDescent="0.3">
      <c r="B314" s="2" t="str">
        <f>MID(TableQR[[#This Row],[QR CODES]],4,13)</f>
        <v/>
      </c>
      <c r="C314" s="2" t="str">
        <f>IFERROR(VLOOKUP(TableQR[[#This Row],[BARCODES]],ILACLISTE[#All],2,0),"")</f>
        <v/>
      </c>
      <c r="D314" s="2">
        <f t="shared" si="4"/>
        <v>0</v>
      </c>
      <c r="E314" s="14" t="str">
        <f>IFERROR(GIZLI!G309,"")</f>
        <v/>
      </c>
    </row>
    <row r="315" spans="2:5" x14ac:dyDescent="0.3">
      <c r="B315" s="2" t="str">
        <f>MID(TableQR[[#This Row],[QR CODES]],4,13)</f>
        <v/>
      </c>
      <c r="C315" s="2" t="str">
        <f>IFERROR(VLOOKUP(TableQR[[#This Row],[BARCODES]],ILACLISTE[#All],2,0),"")</f>
        <v/>
      </c>
      <c r="D315" s="2">
        <f t="shared" si="4"/>
        <v>0</v>
      </c>
      <c r="E315" s="14" t="str">
        <f>IFERROR(GIZLI!G310,"")</f>
        <v/>
      </c>
    </row>
    <row r="316" spans="2:5" x14ac:dyDescent="0.3">
      <c r="B316" s="2" t="str">
        <f>MID(TableQR[[#This Row],[QR CODES]],4,13)</f>
        <v/>
      </c>
      <c r="C316" s="2" t="str">
        <f>IFERROR(VLOOKUP(TableQR[[#This Row],[BARCODES]],ILACLISTE[#All],2,0),"")</f>
        <v/>
      </c>
      <c r="D316" s="2">
        <f t="shared" si="4"/>
        <v>0</v>
      </c>
      <c r="E316" s="14" t="str">
        <f>IFERROR(GIZLI!G311,"")</f>
        <v/>
      </c>
    </row>
    <row r="317" spans="2:5" x14ac:dyDescent="0.3">
      <c r="B317" s="2" t="str">
        <f>MID(TableQR[[#This Row],[QR CODES]],4,13)</f>
        <v/>
      </c>
      <c r="C317" s="2" t="str">
        <f>IFERROR(VLOOKUP(TableQR[[#This Row],[BARCODES]],ILACLISTE[#All],2,0),"")</f>
        <v/>
      </c>
      <c r="D317" s="2">
        <f t="shared" si="4"/>
        <v>0</v>
      </c>
      <c r="E317" s="14" t="str">
        <f>IFERROR(GIZLI!G312,"")</f>
        <v/>
      </c>
    </row>
    <row r="318" spans="2:5" x14ac:dyDescent="0.3">
      <c r="B318" s="2" t="str">
        <f>MID(TableQR[[#This Row],[QR CODES]],4,13)</f>
        <v/>
      </c>
      <c r="C318" s="2" t="str">
        <f>IFERROR(VLOOKUP(TableQR[[#This Row],[BARCODES]],ILACLISTE[#All],2,0),"")</f>
        <v/>
      </c>
      <c r="D318" s="2">
        <f t="shared" si="4"/>
        <v>0</v>
      </c>
      <c r="E318" s="14" t="str">
        <f>IFERROR(GIZLI!G313,"")</f>
        <v/>
      </c>
    </row>
    <row r="319" spans="2:5" x14ac:dyDescent="0.3">
      <c r="B319" s="2" t="str">
        <f>MID(TableQR[[#This Row],[QR CODES]],4,13)</f>
        <v/>
      </c>
      <c r="C319" s="2" t="str">
        <f>IFERROR(VLOOKUP(TableQR[[#This Row],[BARCODES]],ILACLISTE[#All],2,0),"")</f>
        <v/>
      </c>
      <c r="D319" s="2">
        <f t="shared" si="4"/>
        <v>0</v>
      </c>
      <c r="E319" s="14" t="str">
        <f>IFERROR(GIZLI!G314,"")</f>
        <v/>
      </c>
    </row>
    <row r="320" spans="2:5" x14ac:dyDescent="0.3">
      <c r="B320" s="2" t="str">
        <f>MID(TableQR[[#This Row],[QR CODES]],4,13)</f>
        <v/>
      </c>
      <c r="C320" s="2" t="str">
        <f>IFERROR(VLOOKUP(TableQR[[#This Row],[BARCODES]],ILACLISTE[#All],2,0),"")</f>
        <v/>
      </c>
      <c r="D320" s="2">
        <f t="shared" si="4"/>
        <v>0</v>
      </c>
      <c r="E320" s="14" t="str">
        <f>IFERROR(GIZLI!G315,"")</f>
        <v/>
      </c>
    </row>
    <row r="321" spans="2:5" x14ac:dyDescent="0.3">
      <c r="B321" s="2" t="str">
        <f>MID(TableQR[[#This Row],[QR CODES]],4,13)</f>
        <v/>
      </c>
      <c r="C321" s="2" t="str">
        <f>IFERROR(VLOOKUP(TableQR[[#This Row],[BARCODES]],ILACLISTE[#All],2,0),"")</f>
        <v/>
      </c>
      <c r="D321" s="2">
        <f t="shared" si="4"/>
        <v>0</v>
      </c>
      <c r="E321" s="14" t="str">
        <f>IFERROR(GIZLI!G316,"")</f>
        <v/>
      </c>
    </row>
    <row r="322" spans="2:5" x14ac:dyDescent="0.3">
      <c r="B322" s="2" t="str">
        <f>MID(TableQR[[#This Row],[QR CODES]],4,13)</f>
        <v/>
      </c>
      <c r="C322" s="2" t="str">
        <f>IFERROR(VLOOKUP(TableQR[[#This Row],[BARCODES]],ILACLISTE[#All],2,0),"")</f>
        <v/>
      </c>
      <c r="D322" s="2">
        <f t="shared" si="4"/>
        <v>0</v>
      </c>
      <c r="E322" s="14" t="str">
        <f>IFERROR(GIZLI!G317,"")</f>
        <v/>
      </c>
    </row>
    <row r="323" spans="2:5" x14ac:dyDescent="0.3">
      <c r="B323" s="2" t="str">
        <f>MID(TableQR[[#This Row],[QR CODES]],4,13)</f>
        <v/>
      </c>
      <c r="C323" s="2" t="str">
        <f>IFERROR(VLOOKUP(TableQR[[#This Row],[BARCODES]],ILACLISTE[#All],2,0),"")</f>
        <v/>
      </c>
      <c r="D323" s="2">
        <f t="shared" si="4"/>
        <v>0</v>
      </c>
      <c r="E323" s="14" t="str">
        <f>IFERROR(GIZLI!G318,"")</f>
        <v/>
      </c>
    </row>
    <row r="324" spans="2:5" x14ac:dyDescent="0.3">
      <c r="B324" s="2" t="str">
        <f>MID(TableQR[[#This Row],[QR CODES]],4,13)</f>
        <v/>
      </c>
      <c r="C324" s="2" t="str">
        <f>IFERROR(VLOOKUP(TableQR[[#This Row],[BARCODES]],ILACLISTE[#All],2,0),"")</f>
        <v/>
      </c>
      <c r="D324" s="2">
        <f t="shared" si="4"/>
        <v>0</v>
      </c>
      <c r="E324" s="14" t="str">
        <f>IFERROR(GIZLI!G319,"")</f>
        <v/>
      </c>
    </row>
    <row r="325" spans="2:5" x14ac:dyDescent="0.3">
      <c r="B325" s="2" t="str">
        <f>MID(TableQR[[#This Row],[QR CODES]],4,13)</f>
        <v/>
      </c>
      <c r="C325" s="2" t="str">
        <f>IFERROR(VLOOKUP(TableQR[[#This Row],[BARCODES]],ILACLISTE[#All],2,0),"")</f>
        <v/>
      </c>
      <c r="D325" s="2">
        <f t="shared" si="4"/>
        <v>0</v>
      </c>
      <c r="E325" s="14" t="str">
        <f>IFERROR(GIZLI!G320,"")</f>
        <v/>
      </c>
    </row>
    <row r="326" spans="2:5" x14ac:dyDescent="0.3">
      <c r="B326" s="2" t="str">
        <f>MID(TableQR[[#This Row],[QR CODES]],4,13)</f>
        <v/>
      </c>
      <c r="C326" s="2" t="str">
        <f>IFERROR(VLOOKUP(TableQR[[#This Row],[BARCODES]],ILACLISTE[#All],2,0),"")</f>
        <v/>
      </c>
      <c r="D326" s="2">
        <f t="shared" si="4"/>
        <v>0</v>
      </c>
      <c r="E326" s="14" t="str">
        <f>IFERROR(GIZLI!G321,"")</f>
        <v/>
      </c>
    </row>
    <row r="327" spans="2:5" x14ac:dyDescent="0.3">
      <c r="B327" s="2" t="str">
        <f>MID(TableQR[[#This Row],[QR CODES]],4,13)</f>
        <v/>
      </c>
      <c r="C327" s="2" t="str">
        <f>IFERROR(VLOOKUP(TableQR[[#This Row],[BARCODES]],ILACLISTE[#All],2,0),"")</f>
        <v/>
      </c>
      <c r="D327" s="2">
        <f t="shared" si="4"/>
        <v>0</v>
      </c>
      <c r="E327" s="14" t="str">
        <f>IFERROR(GIZLI!G322,"")</f>
        <v/>
      </c>
    </row>
    <row r="328" spans="2:5" x14ac:dyDescent="0.3">
      <c r="B328" s="2" t="str">
        <f>MID(TableQR[[#This Row],[QR CODES]],4,13)</f>
        <v/>
      </c>
      <c r="C328" s="2" t="str">
        <f>IFERROR(VLOOKUP(TableQR[[#This Row],[BARCODES]],ILACLISTE[#All],2,0),"")</f>
        <v/>
      </c>
      <c r="D328" s="2">
        <f t="shared" ref="D328:D391" si="5">COUNTIF(B328:B4321,IF(B328="",66666,B328))</f>
        <v>0</v>
      </c>
      <c r="E328" s="14" t="str">
        <f>IFERROR(GIZLI!G323,"")</f>
        <v/>
      </c>
    </row>
    <row r="329" spans="2:5" x14ac:dyDescent="0.3">
      <c r="B329" s="2" t="str">
        <f>MID(TableQR[[#This Row],[QR CODES]],4,13)</f>
        <v/>
      </c>
      <c r="C329" s="2" t="str">
        <f>IFERROR(VLOOKUP(TableQR[[#This Row],[BARCODES]],ILACLISTE[#All],2,0),"")</f>
        <v/>
      </c>
      <c r="D329" s="2">
        <f t="shared" si="5"/>
        <v>0</v>
      </c>
      <c r="E329" s="14" t="str">
        <f>IFERROR(GIZLI!G324,"")</f>
        <v/>
      </c>
    </row>
    <row r="330" spans="2:5" x14ac:dyDescent="0.3">
      <c r="B330" s="2" t="str">
        <f>MID(TableQR[[#This Row],[QR CODES]],4,13)</f>
        <v/>
      </c>
      <c r="C330" s="2" t="str">
        <f>IFERROR(VLOOKUP(TableQR[[#This Row],[BARCODES]],ILACLISTE[#All],2,0),"")</f>
        <v/>
      </c>
      <c r="D330" s="2">
        <f t="shared" si="5"/>
        <v>0</v>
      </c>
      <c r="E330" s="14" t="str">
        <f>IFERROR(GIZLI!G325,"")</f>
        <v/>
      </c>
    </row>
    <row r="331" spans="2:5" x14ac:dyDescent="0.3">
      <c r="B331" s="2" t="str">
        <f>MID(TableQR[[#This Row],[QR CODES]],4,13)</f>
        <v/>
      </c>
      <c r="C331" s="2" t="str">
        <f>IFERROR(VLOOKUP(TableQR[[#This Row],[BARCODES]],ILACLISTE[#All],2,0),"")</f>
        <v/>
      </c>
      <c r="D331" s="2">
        <f t="shared" si="5"/>
        <v>0</v>
      </c>
      <c r="E331" s="14" t="str">
        <f>IFERROR(GIZLI!G326,"")</f>
        <v/>
      </c>
    </row>
    <row r="332" spans="2:5" x14ac:dyDescent="0.3">
      <c r="B332" s="2" t="str">
        <f>MID(TableQR[[#This Row],[QR CODES]],4,13)</f>
        <v/>
      </c>
      <c r="C332" s="2" t="str">
        <f>IFERROR(VLOOKUP(TableQR[[#This Row],[BARCODES]],ILACLISTE[#All],2,0),"")</f>
        <v/>
      </c>
      <c r="D332" s="2">
        <f t="shared" si="5"/>
        <v>0</v>
      </c>
      <c r="E332" s="14" t="str">
        <f>IFERROR(GIZLI!G327,"")</f>
        <v/>
      </c>
    </row>
    <row r="333" spans="2:5" x14ac:dyDescent="0.3">
      <c r="B333" s="2" t="str">
        <f>MID(TableQR[[#This Row],[QR CODES]],4,13)</f>
        <v/>
      </c>
      <c r="C333" s="2" t="str">
        <f>IFERROR(VLOOKUP(TableQR[[#This Row],[BARCODES]],ILACLISTE[#All],2,0),"")</f>
        <v/>
      </c>
      <c r="D333" s="2">
        <f t="shared" si="5"/>
        <v>0</v>
      </c>
      <c r="E333" s="14" t="str">
        <f>IFERROR(GIZLI!G328,"")</f>
        <v/>
      </c>
    </row>
    <row r="334" spans="2:5" x14ac:dyDescent="0.3">
      <c r="B334" s="2" t="str">
        <f>MID(TableQR[[#This Row],[QR CODES]],4,13)</f>
        <v/>
      </c>
      <c r="C334" s="2" t="str">
        <f>IFERROR(VLOOKUP(TableQR[[#This Row],[BARCODES]],ILACLISTE[#All],2,0),"")</f>
        <v/>
      </c>
      <c r="D334" s="2">
        <f t="shared" si="5"/>
        <v>0</v>
      </c>
      <c r="E334" s="14" t="str">
        <f>IFERROR(GIZLI!G329,"")</f>
        <v/>
      </c>
    </row>
    <row r="335" spans="2:5" x14ac:dyDescent="0.3">
      <c r="B335" s="2" t="str">
        <f>MID(TableQR[[#This Row],[QR CODES]],4,13)</f>
        <v/>
      </c>
      <c r="C335" s="2" t="str">
        <f>IFERROR(VLOOKUP(TableQR[[#This Row],[BARCODES]],ILACLISTE[#All],2,0),"")</f>
        <v/>
      </c>
      <c r="D335" s="2">
        <f t="shared" si="5"/>
        <v>0</v>
      </c>
      <c r="E335" s="14" t="str">
        <f>IFERROR(GIZLI!G330,"")</f>
        <v/>
      </c>
    </row>
    <row r="336" spans="2:5" x14ac:dyDescent="0.3">
      <c r="B336" s="2" t="str">
        <f>MID(TableQR[[#This Row],[QR CODES]],4,13)</f>
        <v/>
      </c>
      <c r="C336" s="2" t="str">
        <f>IFERROR(VLOOKUP(TableQR[[#This Row],[BARCODES]],ILACLISTE[#All],2,0),"")</f>
        <v/>
      </c>
      <c r="D336" s="2">
        <f t="shared" si="5"/>
        <v>0</v>
      </c>
      <c r="E336" s="14" t="str">
        <f>IFERROR(GIZLI!G331,"")</f>
        <v/>
      </c>
    </row>
    <row r="337" spans="2:5" x14ac:dyDescent="0.3">
      <c r="B337" s="2" t="str">
        <f>MID(TableQR[[#This Row],[QR CODES]],4,13)</f>
        <v/>
      </c>
      <c r="C337" s="2" t="str">
        <f>IFERROR(VLOOKUP(TableQR[[#This Row],[BARCODES]],ILACLISTE[#All],2,0),"")</f>
        <v/>
      </c>
      <c r="D337" s="2">
        <f t="shared" si="5"/>
        <v>0</v>
      </c>
      <c r="E337" s="14" t="str">
        <f>IFERROR(GIZLI!G332,"")</f>
        <v/>
      </c>
    </row>
    <row r="338" spans="2:5" x14ac:dyDescent="0.3">
      <c r="B338" s="2" t="str">
        <f>MID(TableQR[[#This Row],[QR CODES]],4,13)</f>
        <v/>
      </c>
      <c r="C338" s="2" t="str">
        <f>IFERROR(VLOOKUP(TableQR[[#This Row],[BARCODES]],ILACLISTE[#All],2,0),"")</f>
        <v/>
      </c>
      <c r="D338" s="2">
        <f t="shared" si="5"/>
        <v>0</v>
      </c>
      <c r="E338" s="14" t="str">
        <f>IFERROR(GIZLI!G333,"")</f>
        <v/>
      </c>
    </row>
    <row r="339" spans="2:5" x14ac:dyDescent="0.3">
      <c r="B339" s="2" t="str">
        <f>MID(TableQR[[#This Row],[QR CODES]],4,13)</f>
        <v/>
      </c>
      <c r="C339" s="2" t="str">
        <f>IFERROR(VLOOKUP(TableQR[[#This Row],[BARCODES]],ILACLISTE[#All],2,0),"")</f>
        <v/>
      </c>
      <c r="D339" s="2">
        <f t="shared" si="5"/>
        <v>0</v>
      </c>
      <c r="E339" s="14" t="str">
        <f>IFERROR(GIZLI!G334,"")</f>
        <v/>
      </c>
    </row>
    <row r="340" spans="2:5" x14ac:dyDescent="0.3">
      <c r="B340" s="2" t="str">
        <f>MID(TableQR[[#This Row],[QR CODES]],4,13)</f>
        <v/>
      </c>
      <c r="C340" s="2" t="str">
        <f>IFERROR(VLOOKUP(TableQR[[#This Row],[BARCODES]],ILACLISTE[#All],2,0),"")</f>
        <v/>
      </c>
      <c r="D340" s="2">
        <f t="shared" si="5"/>
        <v>0</v>
      </c>
      <c r="E340" s="14" t="str">
        <f>IFERROR(GIZLI!G335,"")</f>
        <v/>
      </c>
    </row>
    <row r="341" spans="2:5" x14ac:dyDescent="0.3">
      <c r="B341" s="2" t="str">
        <f>MID(TableQR[[#This Row],[QR CODES]],4,13)</f>
        <v/>
      </c>
      <c r="C341" s="2" t="str">
        <f>IFERROR(VLOOKUP(TableQR[[#This Row],[BARCODES]],ILACLISTE[#All],2,0),"")</f>
        <v/>
      </c>
      <c r="D341" s="2">
        <f t="shared" si="5"/>
        <v>0</v>
      </c>
      <c r="E341" s="14" t="str">
        <f>IFERROR(GIZLI!G336,"")</f>
        <v/>
      </c>
    </row>
    <row r="342" spans="2:5" x14ac:dyDescent="0.3">
      <c r="B342" s="2" t="str">
        <f>MID(TableQR[[#This Row],[QR CODES]],4,13)</f>
        <v/>
      </c>
      <c r="C342" s="2" t="str">
        <f>IFERROR(VLOOKUP(TableQR[[#This Row],[BARCODES]],ILACLISTE[#All],2,0),"")</f>
        <v/>
      </c>
      <c r="D342" s="2">
        <f t="shared" si="5"/>
        <v>0</v>
      </c>
      <c r="E342" s="14" t="str">
        <f>IFERROR(GIZLI!G337,"")</f>
        <v/>
      </c>
    </row>
    <row r="343" spans="2:5" x14ac:dyDescent="0.3">
      <c r="B343" s="2" t="str">
        <f>MID(TableQR[[#This Row],[QR CODES]],4,13)</f>
        <v/>
      </c>
      <c r="C343" s="2" t="str">
        <f>IFERROR(VLOOKUP(TableQR[[#This Row],[BARCODES]],ILACLISTE[#All],2,0),"")</f>
        <v/>
      </c>
      <c r="D343" s="2">
        <f t="shared" si="5"/>
        <v>0</v>
      </c>
      <c r="E343" s="14" t="str">
        <f>IFERROR(GIZLI!G338,"")</f>
        <v/>
      </c>
    </row>
    <row r="344" spans="2:5" x14ac:dyDescent="0.3">
      <c r="B344" s="2" t="str">
        <f>MID(TableQR[[#This Row],[QR CODES]],4,13)</f>
        <v/>
      </c>
      <c r="C344" s="2" t="str">
        <f>IFERROR(VLOOKUP(TableQR[[#This Row],[BARCODES]],ILACLISTE[#All],2,0),"")</f>
        <v/>
      </c>
      <c r="D344" s="2">
        <f t="shared" si="5"/>
        <v>0</v>
      </c>
      <c r="E344" s="14" t="str">
        <f>IFERROR(GIZLI!G339,"")</f>
        <v/>
      </c>
    </row>
    <row r="345" spans="2:5" x14ac:dyDescent="0.3">
      <c r="B345" s="2" t="str">
        <f>MID(TableQR[[#This Row],[QR CODES]],4,13)</f>
        <v/>
      </c>
      <c r="C345" s="2" t="str">
        <f>IFERROR(VLOOKUP(TableQR[[#This Row],[BARCODES]],ILACLISTE[#All],2,0),"")</f>
        <v/>
      </c>
      <c r="D345" s="2">
        <f t="shared" si="5"/>
        <v>0</v>
      </c>
      <c r="E345" s="14" t="str">
        <f>IFERROR(GIZLI!G340,"")</f>
        <v/>
      </c>
    </row>
    <row r="346" spans="2:5" x14ac:dyDescent="0.3">
      <c r="B346" s="2" t="str">
        <f>MID(TableQR[[#This Row],[QR CODES]],4,13)</f>
        <v/>
      </c>
      <c r="C346" s="2" t="str">
        <f>IFERROR(VLOOKUP(TableQR[[#This Row],[BARCODES]],ILACLISTE[#All],2,0),"")</f>
        <v/>
      </c>
      <c r="D346" s="2">
        <f t="shared" si="5"/>
        <v>0</v>
      </c>
      <c r="E346" s="14" t="str">
        <f>IFERROR(GIZLI!G341,"")</f>
        <v/>
      </c>
    </row>
    <row r="347" spans="2:5" x14ac:dyDescent="0.3">
      <c r="B347" s="2" t="str">
        <f>MID(TableQR[[#This Row],[QR CODES]],4,13)</f>
        <v/>
      </c>
      <c r="C347" s="2" t="str">
        <f>IFERROR(VLOOKUP(TableQR[[#This Row],[BARCODES]],ILACLISTE[#All],2,0),"")</f>
        <v/>
      </c>
      <c r="D347" s="2">
        <f t="shared" si="5"/>
        <v>0</v>
      </c>
      <c r="E347" s="14" t="str">
        <f>IFERROR(GIZLI!G342,"")</f>
        <v/>
      </c>
    </row>
    <row r="348" spans="2:5" x14ac:dyDescent="0.3">
      <c r="B348" s="2" t="str">
        <f>MID(TableQR[[#This Row],[QR CODES]],4,13)</f>
        <v/>
      </c>
      <c r="C348" s="2" t="str">
        <f>IFERROR(VLOOKUP(TableQR[[#This Row],[BARCODES]],ILACLISTE[#All],2,0),"")</f>
        <v/>
      </c>
      <c r="D348" s="2">
        <f t="shared" si="5"/>
        <v>0</v>
      </c>
      <c r="E348" s="14" t="str">
        <f>IFERROR(GIZLI!G343,"")</f>
        <v/>
      </c>
    </row>
    <row r="349" spans="2:5" x14ac:dyDescent="0.3">
      <c r="B349" s="2" t="str">
        <f>MID(TableQR[[#This Row],[QR CODES]],4,13)</f>
        <v/>
      </c>
      <c r="C349" s="2" t="str">
        <f>IFERROR(VLOOKUP(TableQR[[#This Row],[BARCODES]],ILACLISTE[#All],2,0),"")</f>
        <v/>
      </c>
      <c r="D349" s="2">
        <f t="shared" si="5"/>
        <v>0</v>
      </c>
      <c r="E349" s="14" t="str">
        <f>IFERROR(GIZLI!G344,"")</f>
        <v/>
      </c>
    </row>
    <row r="350" spans="2:5" x14ac:dyDescent="0.3">
      <c r="B350" s="2" t="str">
        <f>MID(TableQR[[#This Row],[QR CODES]],4,13)</f>
        <v/>
      </c>
      <c r="C350" s="2" t="str">
        <f>IFERROR(VLOOKUP(TableQR[[#This Row],[BARCODES]],ILACLISTE[#All],2,0),"")</f>
        <v/>
      </c>
      <c r="D350" s="2">
        <f t="shared" si="5"/>
        <v>0</v>
      </c>
      <c r="E350" s="14" t="str">
        <f>IFERROR(GIZLI!G345,"")</f>
        <v/>
      </c>
    </row>
    <row r="351" spans="2:5" x14ac:dyDescent="0.3">
      <c r="B351" s="2" t="str">
        <f>MID(TableQR[[#This Row],[QR CODES]],4,13)</f>
        <v/>
      </c>
      <c r="C351" s="2" t="str">
        <f>IFERROR(VLOOKUP(TableQR[[#This Row],[BARCODES]],ILACLISTE[#All],2,0),"")</f>
        <v/>
      </c>
      <c r="D351" s="2">
        <f t="shared" si="5"/>
        <v>0</v>
      </c>
      <c r="E351" s="14" t="str">
        <f>IFERROR(GIZLI!G346,"")</f>
        <v/>
      </c>
    </row>
    <row r="352" spans="2:5" x14ac:dyDescent="0.3">
      <c r="B352" s="2" t="str">
        <f>MID(TableQR[[#This Row],[QR CODES]],4,13)</f>
        <v/>
      </c>
      <c r="C352" s="2" t="str">
        <f>IFERROR(VLOOKUP(TableQR[[#This Row],[BARCODES]],ILACLISTE[#All],2,0),"")</f>
        <v/>
      </c>
      <c r="D352" s="2">
        <f t="shared" si="5"/>
        <v>0</v>
      </c>
      <c r="E352" s="14" t="str">
        <f>IFERROR(GIZLI!G347,"")</f>
        <v/>
      </c>
    </row>
    <row r="353" spans="2:5" x14ac:dyDescent="0.3">
      <c r="B353" s="2" t="str">
        <f>MID(TableQR[[#This Row],[QR CODES]],4,13)</f>
        <v/>
      </c>
      <c r="C353" s="2" t="str">
        <f>IFERROR(VLOOKUP(TableQR[[#This Row],[BARCODES]],ILACLISTE[#All],2,0),"")</f>
        <v/>
      </c>
      <c r="D353" s="2">
        <f t="shared" si="5"/>
        <v>0</v>
      </c>
      <c r="E353" s="14" t="str">
        <f>IFERROR(GIZLI!G348,"")</f>
        <v/>
      </c>
    </row>
    <row r="354" spans="2:5" x14ac:dyDescent="0.3">
      <c r="B354" s="2" t="str">
        <f>MID(TableQR[[#This Row],[QR CODES]],4,13)</f>
        <v/>
      </c>
      <c r="C354" s="2" t="str">
        <f>IFERROR(VLOOKUP(TableQR[[#This Row],[BARCODES]],ILACLISTE[#All],2,0),"")</f>
        <v/>
      </c>
      <c r="D354" s="2">
        <f t="shared" si="5"/>
        <v>0</v>
      </c>
      <c r="E354" s="14" t="str">
        <f>IFERROR(GIZLI!G349,"")</f>
        <v/>
      </c>
    </row>
    <row r="355" spans="2:5" x14ac:dyDescent="0.3">
      <c r="B355" s="2" t="str">
        <f>MID(TableQR[[#This Row],[QR CODES]],4,13)</f>
        <v/>
      </c>
      <c r="C355" s="2" t="str">
        <f>IFERROR(VLOOKUP(TableQR[[#This Row],[BARCODES]],ILACLISTE[#All],2,0),"")</f>
        <v/>
      </c>
      <c r="D355" s="2">
        <f t="shared" si="5"/>
        <v>0</v>
      </c>
      <c r="E355" s="14" t="str">
        <f>IFERROR(GIZLI!G350,"")</f>
        <v/>
      </c>
    </row>
    <row r="356" spans="2:5" x14ac:dyDescent="0.3">
      <c r="B356" s="2" t="str">
        <f>MID(TableQR[[#This Row],[QR CODES]],4,13)</f>
        <v/>
      </c>
      <c r="C356" s="2" t="str">
        <f>IFERROR(VLOOKUP(TableQR[[#This Row],[BARCODES]],ILACLISTE[#All],2,0),"")</f>
        <v/>
      </c>
      <c r="D356" s="2">
        <f t="shared" si="5"/>
        <v>0</v>
      </c>
      <c r="E356" s="14" t="str">
        <f>IFERROR(GIZLI!G351,"")</f>
        <v/>
      </c>
    </row>
    <row r="357" spans="2:5" x14ac:dyDescent="0.3">
      <c r="B357" s="2" t="str">
        <f>MID(TableQR[[#This Row],[QR CODES]],4,13)</f>
        <v/>
      </c>
      <c r="C357" s="2" t="str">
        <f>IFERROR(VLOOKUP(TableQR[[#This Row],[BARCODES]],ILACLISTE[#All],2,0),"")</f>
        <v/>
      </c>
      <c r="D357" s="2">
        <f t="shared" si="5"/>
        <v>0</v>
      </c>
      <c r="E357" s="14" t="str">
        <f>IFERROR(GIZLI!G352,"")</f>
        <v/>
      </c>
    </row>
    <row r="358" spans="2:5" x14ac:dyDescent="0.3">
      <c r="B358" s="2" t="str">
        <f>MID(TableQR[[#This Row],[QR CODES]],4,13)</f>
        <v/>
      </c>
      <c r="C358" s="2" t="str">
        <f>IFERROR(VLOOKUP(TableQR[[#This Row],[BARCODES]],ILACLISTE[#All],2,0),"")</f>
        <v/>
      </c>
      <c r="D358" s="2">
        <f t="shared" si="5"/>
        <v>0</v>
      </c>
      <c r="E358" s="14" t="str">
        <f>IFERROR(GIZLI!G353,"")</f>
        <v/>
      </c>
    </row>
    <row r="359" spans="2:5" x14ac:dyDescent="0.3">
      <c r="B359" s="2" t="str">
        <f>MID(TableQR[[#This Row],[QR CODES]],4,13)</f>
        <v/>
      </c>
      <c r="C359" s="2" t="str">
        <f>IFERROR(VLOOKUP(TableQR[[#This Row],[BARCODES]],ILACLISTE[#All],2,0),"")</f>
        <v/>
      </c>
      <c r="D359" s="2">
        <f t="shared" si="5"/>
        <v>0</v>
      </c>
      <c r="E359" s="14" t="str">
        <f>IFERROR(GIZLI!G354,"")</f>
        <v/>
      </c>
    </row>
    <row r="360" spans="2:5" x14ac:dyDescent="0.3">
      <c r="B360" s="2" t="str">
        <f>MID(TableQR[[#This Row],[QR CODES]],4,13)</f>
        <v/>
      </c>
      <c r="C360" s="2" t="str">
        <f>IFERROR(VLOOKUP(TableQR[[#This Row],[BARCODES]],ILACLISTE[#All],2,0),"")</f>
        <v/>
      </c>
      <c r="D360" s="2">
        <f t="shared" si="5"/>
        <v>0</v>
      </c>
      <c r="E360" s="14" t="str">
        <f>IFERROR(GIZLI!G355,"")</f>
        <v/>
      </c>
    </row>
    <row r="361" spans="2:5" x14ac:dyDescent="0.3">
      <c r="B361" s="2" t="str">
        <f>MID(TableQR[[#This Row],[QR CODES]],4,13)</f>
        <v/>
      </c>
      <c r="C361" s="2" t="str">
        <f>IFERROR(VLOOKUP(TableQR[[#This Row],[BARCODES]],ILACLISTE[#All],2,0),"")</f>
        <v/>
      </c>
      <c r="D361" s="2">
        <f t="shared" si="5"/>
        <v>0</v>
      </c>
      <c r="E361" s="14" t="str">
        <f>IFERROR(GIZLI!G356,"")</f>
        <v/>
      </c>
    </row>
    <row r="362" spans="2:5" x14ac:dyDescent="0.3">
      <c r="B362" s="2" t="str">
        <f>MID(TableQR[[#This Row],[QR CODES]],4,13)</f>
        <v/>
      </c>
      <c r="C362" s="2" t="str">
        <f>IFERROR(VLOOKUP(TableQR[[#This Row],[BARCODES]],ILACLISTE[#All],2,0),"")</f>
        <v/>
      </c>
      <c r="D362" s="2">
        <f t="shared" si="5"/>
        <v>0</v>
      </c>
      <c r="E362" s="14" t="str">
        <f>IFERROR(GIZLI!G357,"")</f>
        <v/>
      </c>
    </row>
    <row r="363" spans="2:5" x14ac:dyDescent="0.3">
      <c r="B363" s="2" t="str">
        <f>MID(TableQR[[#This Row],[QR CODES]],4,13)</f>
        <v/>
      </c>
      <c r="C363" s="2" t="str">
        <f>IFERROR(VLOOKUP(TableQR[[#This Row],[BARCODES]],ILACLISTE[#All],2,0),"")</f>
        <v/>
      </c>
      <c r="D363" s="2">
        <f t="shared" si="5"/>
        <v>0</v>
      </c>
      <c r="E363" s="14" t="str">
        <f>IFERROR(GIZLI!G358,"")</f>
        <v/>
      </c>
    </row>
    <row r="364" spans="2:5" x14ac:dyDescent="0.3">
      <c r="B364" s="2" t="str">
        <f>MID(TableQR[[#This Row],[QR CODES]],4,13)</f>
        <v/>
      </c>
      <c r="C364" s="2" t="str">
        <f>IFERROR(VLOOKUP(TableQR[[#This Row],[BARCODES]],ILACLISTE[#All],2,0),"")</f>
        <v/>
      </c>
      <c r="D364" s="2">
        <f t="shared" si="5"/>
        <v>0</v>
      </c>
      <c r="E364" s="14" t="str">
        <f>IFERROR(GIZLI!G359,"")</f>
        <v/>
      </c>
    </row>
    <row r="365" spans="2:5" x14ac:dyDescent="0.3">
      <c r="B365" s="2" t="str">
        <f>MID(TableQR[[#This Row],[QR CODES]],4,13)</f>
        <v/>
      </c>
      <c r="C365" s="2" t="str">
        <f>IFERROR(VLOOKUP(TableQR[[#This Row],[BARCODES]],ILACLISTE[#All],2,0),"")</f>
        <v/>
      </c>
      <c r="D365" s="2">
        <f t="shared" si="5"/>
        <v>0</v>
      </c>
      <c r="E365" s="14" t="str">
        <f>IFERROR(GIZLI!G360,"")</f>
        <v/>
      </c>
    </row>
    <row r="366" spans="2:5" x14ac:dyDescent="0.3">
      <c r="B366" s="2" t="str">
        <f>MID(TableQR[[#This Row],[QR CODES]],4,13)</f>
        <v/>
      </c>
      <c r="C366" s="2" t="str">
        <f>IFERROR(VLOOKUP(TableQR[[#This Row],[BARCODES]],ILACLISTE[#All],2,0),"")</f>
        <v/>
      </c>
      <c r="D366" s="2">
        <f t="shared" si="5"/>
        <v>0</v>
      </c>
      <c r="E366" s="14" t="str">
        <f>IFERROR(GIZLI!G361,"")</f>
        <v/>
      </c>
    </row>
    <row r="367" spans="2:5" x14ac:dyDescent="0.3">
      <c r="B367" s="2" t="str">
        <f>MID(TableQR[[#This Row],[QR CODES]],4,13)</f>
        <v/>
      </c>
      <c r="C367" s="2" t="str">
        <f>IFERROR(VLOOKUP(TableQR[[#This Row],[BARCODES]],ILACLISTE[#All],2,0),"")</f>
        <v/>
      </c>
      <c r="D367" s="2">
        <f t="shared" si="5"/>
        <v>0</v>
      </c>
      <c r="E367" s="14" t="str">
        <f>IFERROR(GIZLI!G362,"")</f>
        <v/>
      </c>
    </row>
    <row r="368" spans="2:5" x14ac:dyDescent="0.3">
      <c r="B368" s="2" t="str">
        <f>MID(TableQR[[#This Row],[QR CODES]],4,13)</f>
        <v/>
      </c>
      <c r="C368" s="2" t="str">
        <f>IFERROR(VLOOKUP(TableQR[[#This Row],[BARCODES]],ILACLISTE[#All],2,0),"")</f>
        <v/>
      </c>
      <c r="D368" s="2">
        <f t="shared" si="5"/>
        <v>0</v>
      </c>
      <c r="E368" s="14" t="str">
        <f>IFERROR(GIZLI!G363,"")</f>
        <v/>
      </c>
    </row>
    <row r="369" spans="2:5" x14ac:dyDescent="0.3">
      <c r="B369" s="2" t="str">
        <f>MID(TableQR[[#This Row],[QR CODES]],4,13)</f>
        <v/>
      </c>
      <c r="C369" s="2" t="str">
        <f>IFERROR(VLOOKUP(TableQR[[#This Row],[BARCODES]],ILACLISTE[#All],2,0),"")</f>
        <v/>
      </c>
      <c r="D369" s="2">
        <f t="shared" si="5"/>
        <v>0</v>
      </c>
      <c r="E369" s="14" t="str">
        <f>IFERROR(GIZLI!G364,"")</f>
        <v/>
      </c>
    </row>
    <row r="370" spans="2:5" x14ac:dyDescent="0.3">
      <c r="B370" s="2" t="str">
        <f>MID(TableQR[[#This Row],[QR CODES]],4,13)</f>
        <v/>
      </c>
      <c r="C370" s="2" t="str">
        <f>IFERROR(VLOOKUP(TableQR[[#This Row],[BARCODES]],ILACLISTE[#All],2,0),"")</f>
        <v/>
      </c>
      <c r="D370" s="2">
        <f t="shared" si="5"/>
        <v>0</v>
      </c>
      <c r="E370" s="14" t="str">
        <f>IFERROR(GIZLI!G365,"")</f>
        <v/>
      </c>
    </row>
    <row r="371" spans="2:5" x14ac:dyDescent="0.3">
      <c r="B371" s="2" t="str">
        <f>MID(TableQR[[#This Row],[QR CODES]],4,13)</f>
        <v/>
      </c>
      <c r="C371" s="2" t="str">
        <f>IFERROR(VLOOKUP(TableQR[[#This Row],[BARCODES]],ILACLISTE[#All],2,0),"")</f>
        <v/>
      </c>
      <c r="D371" s="2">
        <f t="shared" si="5"/>
        <v>0</v>
      </c>
      <c r="E371" s="14" t="str">
        <f>IFERROR(GIZLI!G366,"")</f>
        <v/>
      </c>
    </row>
    <row r="372" spans="2:5" x14ac:dyDescent="0.3">
      <c r="B372" s="2" t="str">
        <f>MID(TableQR[[#This Row],[QR CODES]],4,13)</f>
        <v/>
      </c>
      <c r="C372" s="2" t="str">
        <f>IFERROR(VLOOKUP(TableQR[[#This Row],[BARCODES]],ILACLISTE[#All],2,0),"")</f>
        <v/>
      </c>
      <c r="D372" s="2">
        <f t="shared" si="5"/>
        <v>0</v>
      </c>
      <c r="E372" s="14" t="str">
        <f>IFERROR(GIZLI!G367,"")</f>
        <v/>
      </c>
    </row>
    <row r="373" spans="2:5" x14ac:dyDescent="0.3">
      <c r="B373" s="2" t="str">
        <f>MID(TableQR[[#This Row],[QR CODES]],4,13)</f>
        <v/>
      </c>
      <c r="C373" s="2" t="str">
        <f>IFERROR(VLOOKUP(TableQR[[#This Row],[BARCODES]],ILACLISTE[#All],2,0),"")</f>
        <v/>
      </c>
      <c r="D373" s="2">
        <f t="shared" si="5"/>
        <v>0</v>
      </c>
      <c r="E373" s="14" t="str">
        <f>IFERROR(GIZLI!G368,"")</f>
        <v/>
      </c>
    </row>
    <row r="374" spans="2:5" x14ac:dyDescent="0.3">
      <c r="B374" s="2" t="str">
        <f>MID(TableQR[[#This Row],[QR CODES]],4,13)</f>
        <v/>
      </c>
      <c r="C374" s="2" t="str">
        <f>IFERROR(VLOOKUP(TableQR[[#This Row],[BARCODES]],ILACLISTE[#All],2,0),"")</f>
        <v/>
      </c>
      <c r="D374" s="2">
        <f t="shared" si="5"/>
        <v>0</v>
      </c>
      <c r="E374" s="14" t="str">
        <f>IFERROR(GIZLI!G369,"")</f>
        <v/>
      </c>
    </row>
    <row r="375" spans="2:5" x14ac:dyDescent="0.3">
      <c r="B375" s="2" t="str">
        <f>MID(TableQR[[#This Row],[QR CODES]],4,13)</f>
        <v/>
      </c>
      <c r="C375" s="2" t="str">
        <f>IFERROR(VLOOKUP(TableQR[[#This Row],[BARCODES]],ILACLISTE[#All],2,0),"")</f>
        <v/>
      </c>
      <c r="D375" s="2">
        <f t="shared" si="5"/>
        <v>0</v>
      </c>
      <c r="E375" s="14" t="str">
        <f>IFERROR(GIZLI!G370,"")</f>
        <v/>
      </c>
    </row>
    <row r="376" spans="2:5" x14ac:dyDescent="0.3">
      <c r="B376" s="2" t="str">
        <f>MID(TableQR[[#This Row],[QR CODES]],4,13)</f>
        <v/>
      </c>
      <c r="C376" s="2" t="str">
        <f>IFERROR(VLOOKUP(TableQR[[#This Row],[BARCODES]],ILACLISTE[#All],2,0),"")</f>
        <v/>
      </c>
      <c r="D376" s="2">
        <f t="shared" si="5"/>
        <v>0</v>
      </c>
      <c r="E376" s="14" t="str">
        <f>IFERROR(GIZLI!G371,"")</f>
        <v/>
      </c>
    </row>
    <row r="377" spans="2:5" x14ac:dyDescent="0.3">
      <c r="B377" s="2" t="str">
        <f>MID(TableQR[[#This Row],[QR CODES]],4,13)</f>
        <v/>
      </c>
      <c r="C377" s="2" t="str">
        <f>IFERROR(VLOOKUP(TableQR[[#This Row],[BARCODES]],ILACLISTE[#All],2,0),"")</f>
        <v/>
      </c>
      <c r="D377" s="2">
        <f t="shared" si="5"/>
        <v>0</v>
      </c>
      <c r="E377" s="14" t="str">
        <f>IFERROR(GIZLI!G372,"")</f>
        <v/>
      </c>
    </row>
    <row r="378" spans="2:5" x14ac:dyDescent="0.3">
      <c r="B378" s="2" t="str">
        <f>MID(TableQR[[#This Row],[QR CODES]],4,13)</f>
        <v/>
      </c>
      <c r="C378" s="2" t="str">
        <f>IFERROR(VLOOKUP(TableQR[[#This Row],[BARCODES]],ILACLISTE[#All],2,0),"")</f>
        <v/>
      </c>
      <c r="D378" s="2">
        <f t="shared" si="5"/>
        <v>0</v>
      </c>
      <c r="E378" s="14" t="str">
        <f>IFERROR(GIZLI!G373,"")</f>
        <v/>
      </c>
    </row>
    <row r="379" spans="2:5" x14ac:dyDescent="0.3">
      <c r="B379" s="2" t="str">
        <f>MID(TableQR[[#This Row],[QR CODES]],4,13)</f>
        <v/>
      </c>
      <c r="C379" s="2" t="str">
        <f>IFERROR(VLOOKUP(TableQR[[#This Row],[BARCODES]],ILACLISTE[#All],2,0),"")</f>
        <v/>
      </c>
      <c r="D379" s="2">
        <f t="shared" si="5"/>
        <v>0</v>
      </c>
      <c r="E379" s="14" t="str">
        <f>IFERROR(GIZLI!G374,"")</f>
        <v/>
      </c>
    </row>
    <row r="380" spans="2:5" x14ac:dyDescent="0.3">
      <c r="B380" s="2" t="str">
        <f>MID(TableQR[[#This Row],[QR CODES]],4,13)</f>
        <v/>
      </c>
      <c r="C380" s="2" t="str">
        <f>IFERROR(VLOOKUP(TableQR[[#This Row],[BARCODES]],ILACLISTE[#All],2,0),"")</f>
        <v/>
      </c>
      <c r="D380" s="2">
        <f t="shared" si="5"/>
        <v>0</v>
      </c>
      <c r="E380" s="14" t="str">
        <f>IFERROR(GIZLI!G375,"")</f>
        <v/>
      </c>
    </row>
    <row r="381" spans="2:5" x14ac:dyDescent="0.3">
      <c r="B381" s="2" t="str">
        <f>MID(TableQR[[#This Row],[QR CODES]],4,13)</f>
        <v/>
      </c>
      <c r="C381" s="2" t="str">
        <f>IFERROR(VLOOKUP(TableQR[[#This Row],[BARCODES]],ILACLISTE[#All],2,0),"")</f>
        <v/>
      </c>
      <c r="D381" s="2">
        <f t="shared" si="5"/>
        <v>0</v>
      </c>
      <c r="E381" s="14" t="str">
        <f>IFERROR(GIZLI!G376,"")</f>
        <v/>
      </c>
    </row>
    <row r="382" spans="2:5" x14ac:dyDescent="0.3">
      <c r="B382" s="2" t="str">
        <f>MID(TableQR[[#This Row],[QR CODES]],4,13)</f>
        <v/>
      </c>
      <c r="C382" s="2" t="str">
        <f>IFERROR(VLOOKUP(TableQR[[#This Row],[BARCODES]],ILACLISTE[#All],2,0),"")</f>
        <v/>
      </c>
      <c r="D382" s="2">
        <f t="shared" si="5"/>
        <v>0</v>
      </c>
      <c r="E382" s="14" t="str">
        <f>IFERROR(GIZLI!G377,"")</f>
        <v/>
      </c>
    </row>
    <row r="383" spans="2:5" x14ac:dyDescent="0.3">
      <c r="B383" s="2" t="str">
        <f>MID(TableQR[[#This Row],[QR CODES]],4,13)</f>
        <v/>
      </c>
      <c r="C383" s="2" t="str">
        <f>IFERROR(VLOOKUP(TableQR[[#This Row],[BARCODES]],ILACLISTE[#All],2,0),"")</f>
        <v/>
      </c>
      <c r="D383" s="2">
        <f t="shared" si="5"/>
        <v>0</v>
      </c>
      <c r="E383" s="14" t="str">
        <f>IFERROR(GIZLI!G378,"")</f>
        <v/>
      </c>
    </row>
    <row r="384" spans="2:5" x14ac:dyDescent="0.3">
      <c r="B384" s="2" t="str">
        <f>MID(TableQR[[#This Row],[QR CODES]],4,13)</f>
        <v/>
      </c>
      <c r="C384" s="2" t="str">
        <f>IFERROR(VLOOKUP(TableQR[[#This Row],[BARCODES]],ILACLISTE[#All],2,0),"")</f>
        <v/>
      </c>
      <c r="D384" s="2">
        <f t="shared" si="5"/>
        <v>0</v>
      </c>
      <c r="E384" s="14" t="str">
        <f>IFERROR(GIZLI!G379,"")</f>
        <v/>
      </c>
    </row>
    <row r="385" spans="2:5" x14ac:dyDescent="0.3">
      <c r="B385" s="2" t="str">
        <f>MID(TableQR[[#This Row],[QR CODES]],4,13)</f>
        <v/>
      </c>
      <c r="C385" s="2" t="str">
        <f>IFERROR(VLOOKUP(TableQR[[#This Row],[BARCODES]],ILACLISTE[#All],2,0),"")</f>
        <v/>
      </c>
      <c r="D385" s="2">
        <f t="shared" si="5"/>
        <v>0</v>
      </c>
      <c r="E385" s="14" t="str">
        <f>IFERROR(GIZLI!G380,"")</f>
        <v/>
      </c>
    </row>
    <row r="386" spans="2:5" x14ac:dyDescent="0.3">
      <c r="B386" s="2" t="str">
        <f>MID(TableQR[[#This Row],[QR CODES]],4,13)</f>
        <v/>
      </c>
      <c r="C386" s="2" t="str">
        <f>IFERROR(VLOOKUP(TableQR[[#This Row],[BARCODES]],ILACLISTE[#All],2,0),"")</f>
        <v/>
      </c>
      <c r="D386" s="2">
        <f t="shared" si="5"/>
        <v>0</v>
      </c>
      <c r="E386" s="14" t="str">
        <f>IFERROR(GIZLI!G381,"")</f>
        <v/>
      </c>
    </row>
    <row r="387" spans="2:5" x14ac:dyDescent="0.3">
      <c r="B387" s="2" t="str">
        <f>MID(TableQR[[#This Row],[QR CODES]],4,13)</f>
        <v/>
      </c>
      <c r="C387" s="2" t="str">
        <f>IFERROR(VLOOKUP(TableQR[[#This Row],[BARCODES]],ILACLISTE[#All],2,0),"")</f>
        <v/>
      </c>
      <c r="D387" s="2">
        <f t="shared" si="5"/>
        <v>0</v>
      </c>
      <c r="E387" s="14" t="str">
        <f>IFERROR(GIZLI!G382,"")</f>
        <v/>
      </c>
    </row>
    <row r="388" spans="2:5" x14ac:dyDescent="0.3">
      <c r="B388" s="2" t="str">
        <f>MID(TableQR[[#This Row],[QR CODES]],4,13)</f>
        <v/>
      </c>
      <c r="C388" s="2" t="str">
        <f>IFERROR(VLOOKUP(TableQR[[#This Row],[BARCODES]],ILACLISTE[#All],2,0),"")</f>
        <v/>
      </c>
      <c r="D388" s="2">
        <f t="shared" si="5"/>
        <v>0</v>
      </c>
      <c r="E388" s="14" t="str">
        <f>IFERROR(GIZLI!G383,"")</f>
        <v/>
      </c>
    </row>
    <row r="389" spans="2:5" x14ac:dyDescent="0.3">
      <c r="B389" s="2" t="str">
        <f>MID(TableQR[[#This Row],[QR CODES]],4,13)</f>
        <v/>
      </c>
      <c r="C389" s="2" t="str">
        <f>IFERROR(VLOOKUP(TableQR[[#This Row],[BARCODES]],ILACLISTE[#All],2,0),"")</f>
        <v/>
      </c>
      <c r="D389" s="2">
        <f t="shared" si="5"/>
        <v>0</v>
      </c>
      <c r="E389" s="14" t="str">
        <f>IFERROR(GIZLI!G384,"")</f>
        <v/>
      </c>
    </row>
    <row r="390" spans="2:5" x14ac:dyDescent="0.3">
      <c r="B390" s="2" t="str">
        <f>MID(TableQR[[#This Row],[QR CODES]],4,13)</f>
        <v/>
      </c>
      <c r="C390" s="2" t="str">
        <f>IFERROR(VLOOKUP(TableQR[[#This Row],[BARCODES]],ILACLISTE[#All],2,0),"")</f>
        <v/>
      </c>
      <c r="D390" s="2">
        <f t="shared" si="5"/>
        <v>0</v>
      </c>
      <c r="E390" s="14" t="str">
        <f>IFERROR(GIZLI!G385,"")</f>
        <v/>
      </c>
    </row>
    <row r="391" spans="2:5" x14ac:dyDescent="0.3">
      <c r="B391" s="2" t="str">
        <f>MID(TableQR[[#This Row],[QR CODES]],4,13)</f>
        <v/>
      </c>
      <c r="C391" s="2" t="str">
        <f>IFERROR(VLOOKUP(TableQR[[#This Row],[BARCODES]],ILACLISTE[#All],2,0),"")</f>
        <v/>
      </c>
      <c r="D391" s="2">
        <f t="shared" si="5"/>
        <v>0</v>
      </c>
      <c r="E391" s="14" t="str">
        <f>IFERROR(GIZLI!G386,"")</f>
        <v/>
      </c>
    </row>
    <row r="392" spans="2:5" x14ac:dyDescent="0.3">
      <c r="B392" s="2" t="str">
        <f>MID(TableQR[[#This Row],[QR CODES]],4,13)</f>
        <v/>
      </c>
      <c r="C392" s="2" t="str">
        <f>IFERROR(VLOOKUP(TableQR[[#This Row],[BARCODES]],ILACLISTE[#All],2,0),"")</f>
        <v/>
      </c>
      <c r="D392" s="2">
        <f t="shared" ref="D392:D455" si="6">COUNTIF(B392:B4385,IF(B392="",66666,B392))</f>
        <v>0</v>
      </c>
      <c r="E392" s="14" t="str">
        <f>IFERROR(GIZLI!G387,"")</f>
        <v/>
      </c>
    </row>
    <row r="393" spans="2:5" x14ac:dyDescent="0.3">
      <c r="B393" s="2" t="str">
        <f>MID(TableQR[[#This Row],[QR CODES]],4,13)</f>
        <v/>
      </c>
      <c r="C393" s="2" t="str">
        <f>IFERROR(VLOOKUP(TableQR[[#This Row],[BARCODES]],ILACLISTE[#All],2,0),"")</f>
        <v/>
      </c>
      <c r="D393" s="2">
        <f t="shared" si="6"/>
        <v>0</v>
      </c>
      <c r="E393" s="14" t="str">
        <f>IFERROR(GIZLI!G388,"")</f>
        <v/>
      </c>
    </row>
    <row r="394" spans="2:5" x14ac:dyDescent="0.3">
      <c r="B394" s="2" t="str">
        <f>MID(TableQR[[#This Row],[QR CODES]],4,13)</f>
        <v/>
      </c>
      <c r="C394" s="2" t="str">
        <f>IFERROR(VLOOKUP(TableQR[[#This Row],[BARCODES]],ILACLISTE[#All],2,0),"")</f>
        <v/>
      </c>
      <c r="D394" s="2">
        <f t="shared" si="6"/>
        <v>0</v>
      </c>
      <c r="E394" s="14" t="str">
        <f>IFERROR(GIZLI!G389,"")</f>
        <v/>
      </c>
    </row>
    <row r="395" spans="2:5" x14ac:dyDescent="0.3">
      <c r="B395" s="2" t="str">
        <f>MID(TableQR[[#This Row],[QR CODES]],4,13)</f>
        <v/>
      </c>
      <c r="C395" s="2" t="str">
        <f>IFERROR(VLOOKUP(TableQR[[#This Row],[BARCODES]],ILACLISTE[#All],2,0),"")</f>
        <v/>
      </c>
      <c r="D395" s="2">
        <f t="shared" si="6"/>
        <v>0</v>
      </c>
      <c r="E395" s="14" t="str">
        <f>IFERROR(GIZLI!G390,"")</f>
        <v/>
      </c>
    </row>
    <row r="396" spans="2:5" x14ac:dyDescent="0.3">
      <c r="B396" s="2" t="str">
        <f>MID(TableQR[[#This Row],[QR CODES]],4,13)</f>
        <v/>
      </c>
      <c r="C396" s="2" t="str">
        <f>IFERROR(VLOOKUP(TableQR[[#This Row],[BARCODES]],ILACLISTE[#All],2,0),"")</f>
        <v/>
      </c>
      <c r="D396" s="2">
        <f t="shared" si="6"/>
        <v>0</v>
      </c>
      <c r="E396" s="14" t="str">
        <f>IFERROR(GIZLI!G391,"")</f>
        <v/>
      </c>
    </row>
    <row r="397" spans="2:5" x14ac:dyDescent="0.3">
      <c r="B397" s="2" t="str">
        <f>MID(TableQR[[#This Row],[QR CODES]],4,13)</f>
        <v/>
      </c>
      <c r="C397" s="2" t="str">
        <f>IFERROR(VLOOKUP(TableQR[[#This Row],[BARCODES]],ILACLISTE[#All],2,0),"")</f>
        <v/>
      </c>
      <c r="D397" s="2">
        <f t="shared" si="6"/>
        <v>0</v>
      </c>
      <c r="E397" s="14" t="str">
        <f>IFERROR(GIZLI!G392,"")</f>
        <v/>
      </c>
    </row>
    <row r="398" spans="2:5" x14ac:dyDescent="0.3">
      <c r="B398" s="2" t="str">
        <f>MID(TableQR[[#This Row],[QR CODES]],4,13)</f>
        <v/>
      </c>
      <c r="C398" s="2" t="str">
        <f>IFERROR(VLOOKUP(TableQR[[#This Row],[BARCODES]],ILACLISTE[#All],2,0),"")</f>
        <v/>
      </c>
      <c r="D398" s="2">
        <f t="shared" si="6"/>
        <v>0</v>
      </c>
      <c r="E398" s="14" t="str">
        <f>IFERROR(GIZLI!G393,"")</f>
        <v/>
      </c>
    </row>
    <row r="399" spans="2:5" x14ac:dyDescent="0.3">
      <c r="B399" s="2" t="str">
        <f>MID(TableQR[[#This Row],[QR CODES]],4,13)</f>
        <v/>
      </c>
      <c r="C399" s="2" t="str">
        <f>IFERROR(VLOOKUP(TableQR[[#This Row],[BARCODES]],ILACLISTE[#All],2,0),"")</f>
        <v/>
      </c>
      <c r="D399" s="2">
        <f t="shared" si="6"/>
        <v>0</v>
      </c>
      <c r="E399" s="14" t="str">
        <f>IFERROR(GIZLI!G394,"")</f>
        <v/>
      </c>
    </row>
    <row r="400" spans="2:5" x14ac:dyDescent="0.3">
      <c r="B400" s="2" t="str">
        <f>MID(TableQR[[#This Row],[QR CODES]],4,13)</f>
        <v/>
      </c>
      <c r="C400" s="2" t="str">
        <f>IFERROR(VLOOKUP(TableQR[[#This Row],[BARCODES]],ILACLISTE[#All],2,0),"")</f>
        <v/>
      </c>
      <c r="D400" s="2">
        <f t="shared" si="6"/>
        <v>0</v>
      </c>
      <c r="E400" s="14" t="str">
        <f>IFERROR(GIZLI!G395,"")</f>
        <v/>
      </c>
    </row>
    <row r="401" spans="2:5" x14ac:dyDescent="0.3">
      <c r="B401" s="2" t="str">
        <f>MID(TableQR[[#This Row],[QR CODES]],4,13)</f>
        <v/>
      </c>
      <c r="C401" s="2" t="str">
        <f>IFERROR(VLOOKUP(TableQR[[#This Row],[BARCODES]],ILACLISTE[#All],2,0),"")</f>
        <v/>
      </c>
      <c r="D401" s="2">
        <f t="shared" si="6"/>
        <v>0</v>
      </c>
      <c r="E401" s="14" t="str">
        <f>IFERROR(GIZLI!G396,"")</f>
        <v/>
      </c>
    </row>
    <row r="402" spans="2:5" x14ac:dyDescent="0.3">
      <c r="B402" s="2" t="str">
        <f>MID(TableQR[[#This Row],[QR CODES]],4,13)</f>
        <v/>
      </c>
      <c r="C402" s="2" t="str">
        <f>IFERROR(VLOOKUP(TableQR[[#This Row],[BARCODES]],ILACLISTE[#All],2,0),"")</f>
        <v/>
      </c>
      <c r="D402" s="2">
        <f t="shared" si="6"/>
        <v>0</v>
      </c>
      <c r="E402" s="14" t="str">
        <f>IFERROR(GIZLI!G397,"")</f>
        <v/>
      </c>
    </row>
    <row r="403" spans="2:5" x14ac:dyDescent="0.3">
      <c r="B403" s="2" t="str">
        <f>MID(TableQR[[#This Row],[QR CODES]],4,13)</f>
        <v/>
      </c>
      <c r="C403" s="2" t="str">
        <f>IFERROR(VLOOKUP(TableQR[[#This Row],[BARCODES]],ILACLISTE[#All],2,0),"")</f>
        <v/>
      </c>
      <c r="D403" s="2">
        <f t="shared" si="6"/>
        <v>0</v>
      </c>
      <c r="E403" s="14" t="str">
        <f>IFERROR(GIZLI!G398,"")</f>
        <v/>
      </c>
    </row>
    <row r="404" spans="2:5" x14ac:dyDescent="0.3">
      <c r="B404" s="2" t="str">
        <f>MID(TableQR[[#This Row],[QR CODES]],4,13)</f>
        <v/>
      </c>
      <c r="C404" s="2" t="str">
        <f>IFERROR(VLOOKUP(TableQR[[#This Row],[BARCODES]],ILACLISTE[#All],2,0),"")</f>
        <v/>
      </c>
      <c r="D404" s="2">
        <f t="shared" si="6"/>
        <v>0</v>
      </c>
      <c r="E404" s="14" t="str">
        <f>IFERROR(GIZLI!G399,"")</f>
        <v/>
      </c>
    </row>
    <row r="405" spans="2:5" x14ac:dyDescent="0.3">
      <c r="B405" s="2" t="str">
        <f>MID(TableQR[[#This Row],[QR CODES]],4,13)</f>
        <v/>
      </c>
      <c r="C405" s="2" t="str">
        <f>IFERROR(VLOOKUP(TableQR[[#This Row],[BARCODES]],ILACLISTE[#All],2,0),"")</f>
        <v/>
      </c>
      <c r="D405" s="2">
        <f t="shared" si="6"/>
        <v>0</v>
      </c>
      <c r="E405" s="14" t="str">
        <f>IFERROR(GIZLI!G400,"")</f>
        <v/>
      </c>
    </row>
    <row r="406" spans="2:5" x14ac:dyDescent="0.3">
      <c r="B406" s="2" t="str">
        <f>MID(TableQR[[#This Row],[QR CODES]],4,13)</f>
        <v/>
      </c>
      <c r="C406" s="2" t="str">
        <f>IFERROR(VLOOKUP(TableQR[[#This Row],[BARCODES]],ILACLISTE[#All],2,0),"")</f>
        <v/>
      </c>
      <c r="D406" s="2">
        <f t="shared" si="6"/>
        <v>0</v>
      </c>
      <c r="E406" s="14" t="str">
        <f>IFERROR(GIZLI!G401,"")</f>
        <v/>
      </c>
    </row>
    <row r="407" spans="2:5" x14ac:dyDescent="0.3">
      <c r="B407" s="2" t="str">
        <f>MID(TableQR[[#This Row],[QR CODES]],4,13)</f>
        <v/>
      </c>
      <c r="C407" s="2" t="str">
        <f>IFERROR(VLOOKUP(TableQR[[#This Row],[BARCODES]],ILACLISTE[#All],2,0),"")</f>
        <v/>
      </c>
      <c r="D407" s="2">
        <f t="shared" si="6"/>
        <v>0</v>
      </c>
      <c r="E407" s="14" t="str">
        <f>IFERROR(GIZLI!G402,"")</f>
        <v/>
      </c>
    </row>
    <row r="408" spans="2:5" x14ac:dyDescent="0.3">
      <c r="B408" s="2" t="str">
        <f>MID(TableQR[[#This Row],[QR CODES]],4,13)</f>
        <v/>
      </c>
      <c r="C408" s="2" t="str">
        <f>IFERROR(VLOOKUP(TableQR[[#This Row],[BARCODES]],ILACLISTE[#All],2,0),"")</f>
        <v/>
      </c>
      <c r="D408" s="2">
        <f t="shared" si="6"/>
        <v>0</v>
      </c>
      <c r="E408" s="14" t="str">
        <f>IFERROR(GIZLI!G403,"")</f>
        <v/>
      </c>
    </row>
    <row r="409" spans="2:5" x14ac:dyDescent="0.3">
      <c r="B409" s="2" t="str">
        <f>MID(TableQR[[#This Row],[QR CODES]],4,13)</f>
        <v/>
      </c>
      <c r="C409" s="2" t="str">
        <f>IFERROR(VLOOKUP(TableQR[[#This Row],[BARCODES]],ILACLISTE[#All],2,0),"")</f>
        <v/>
      </c>
      <c r="D409" s="2">
        <f t="shared" si="6"/>
        <v>0</v>
      </c>
      <c r="E409" s="14" t="str">
        <f>IFERROR(GIZLI!G404,"")</f>
        <v/>
      </c>
    </row>
    <row r="410" spans="2:5" x14ac:dyDescent="0.3">
      <c r="B410" s="2" t="str">
        <f>MID(TableQR[[#This Row],[QR CODES]],4,13)</f>
        <v/>
      </c>
      <c r="C410" s="2" t="str">
        <f>IFERROR(VLOOKUP(TableQR[[#This Row],[BARCODES]],ILACLISTE[#All],2,0),"")</f>
        <v/>
      </c>
      <c r="D410" s="2">
        <f t="shared" si="6"/>
        <v>0</v>
      </c>
      <c r="E410" s="14" t="str">
        <f>IFERROR(GIZLI!G405,"")</f>
        <v/>
      </c>
    </row>
    <row r="411" spans="2:5" x14ac:dyDescent="0.3">
      <c r="B411" s="2" t="str">
        <f>MID(TableQR[[#This Row],[QR CODES]],4,13)</f>
        <v/>
      </c>
      <c r="C411" s="2" t="str">
        <f>IFERROR(VLOOKUP(TableQR[[#This Row],[BARCODES]],ILACLISTE[#All],2,0),"")</f>
        <v/>
      </c>
      <c r="D411" s="2">
        <f t="shared" si="6"/>
        <v>0</v>
      </c>
      <c r="E411" s="14" t="str">
        <f>IFERROR(GIZLI!G406,"")</f>
        <v/>
      </c>
    </row>
    <row r="412" spans="2:5" x14ac:dyDescent="0.3">
      <c r="B412" s="2" t="str">
        <f>MID(TableQR[[#This Row],[QR CODES]],4,13)</f>
        <v/>
      </c>
      <c r="C412" s="2" t="str">
        <f>IFERROR(VLOOKUP(TableQR[[#This Row],[BARCODES]],ILACLISTE[#All],2,0),"")</f>
        <v/>
      </c>
      <c r="D412" s="2">
        <f t="shared" si="6"/>
        <v>0</v>
      </c>
      <c r="E412" s="14" t="str">
        <f>IFERROR(GIZLI!G407,"")</f>
        <v/>
      </c>
    </row>
    <row r="413" spans="2:5" x14ac:dyDescent="0.3">
      <c r="B413" s="2" t="str">
        <f>MID(TableQR[[#This Row],[QR CODES]],4,13)</f>
        <v/>
      </c>
      <c r="C413" s="2" t="str">
        <f>IFERROR(VLOOKUP(TableQR[[#This Row],[BARCODES]],ILACLISTE[#All],2,0),"")</f>
        <v/>
      </c>
      <c r="D413" s="2">
        <f t="shared" si="6"/>
        <v>0</v>
      </c>
      <c r="E413" s="14" t="str">
        <f>IFERROR(GIZLI!G408,"")</f>
        <v/>
      </c>
    </row>
    <row r="414" spans="2:5" x14ac:dyDescent="0.3">
      <c r="B414" s="2" t="str">
        <f>MID(TableQR[[#This Row],[QR CODES]],4,13)</f>
        <v/>
      </c>
      <c r="C414" s="2" t="str">
        <f>IFERROR(VLOOKUP(TableQR[[#This Row],[BARCODES]],ILACLISTE[#All],2,0),"")</f>
        <v/>
      </c>
      <c r="D414" s="2">
        <f t="shared" si="6"/>
        <v>0</v>
      </c>
      <c r="E414" s="14" t="str">
        <f>IFERROR(GIZLI!G409,"")</f>
        <v/>
      </c>
    </row>
    <row r="415" spans="2:5" x14ac:dyDescent="0.3">
      <c r="B415" s="2" t="str">
        <f>MID(TableQR[[#This Row],[QR CODES]],4,13)</f>
        <v/>
      </c>
      <c r="C415" s="2" t="str">
        <f>IFERROR(VLOOKUP(TableQR[[#This Row],[BARCODES]],ILACLISTE[#All],2,0),"")</f>
        <v/>
      </c>
      <c r="D415" s="2">
        <f t="shared" si="6"/>
        <v>0</v>
      </c>
      <c r="E415" s="14" t="str">
        <f>IFERROR(GIZLI!G410,"")</f>
        <v/>
      </c>
    </row>
    <row r="416" spans="2:5" x14ac:dyDescent="0.3">
      <c r="B416" s="2" t="str">
        <f>MID(TableQR[[#This Row],[QR CODES]],4,13)</f>
        <v/>
      </c>
      <c r="C416" s="2" t="str">
        <f>IFERROR(VLOOKUP(TableQR[[#This Row],[BARCODES]],ILACLISTE[#All],2,0),"")</f>
        <v/>
      </c>
      <c r="D416" s="2">
        <f t="shared" si="6"/>
        <v>0</v>
      </c>
      <c r="E416" s="14" t="str">
        <f>IFERROR(GIZLI!G411,"")</f>
        <v/>
      </c>
    </row>
    <row r="417" spans="2:5" x14ac:dyDescent="0.3">
      <c r="B417" s="2" t="str">
        <f>MID(TableQR[[#This Row],[QR CODES]],4,13)</f>
        <v/>
      </c>
      <c r="C417" s="2" t="str">
        <f>IFERROR(VLOOKUP(TableQR[[#This Row],[BARCODES]],ILACLISTE[#All],2,0),"")</f>
        <v/>
      </c>
      <c r="D417" s="2">
        <f t="shared" si="6"/>
        <v>0</v>
      </c>
      <c r="E417" s="14" t="str">
        <f>IFERROR(GIZLI!G412,"")</f>
        <v/>
      </c>
    </row>
    <row r="418" spans="2:5" x14ac:dyDescent="0.3">
      <c r="B418" s="2" t="str">
        <f>MID(TableQR[[#This Row],[QR CODES]],4,13)</f>
        <v/>
      </c>
      <c r="C418" s="2" t="str">
        <f>IFERROR(VLOOKUP(TableQR[[#This Row],[BARCODES]],ILACLISTE[#All],2,0),"")</f>
        <v/>
      </c>
      <c r="D418" s="2">
        <f t="shared" si="6"/>
        <v>0</v>
      </c>
      <c r="E418" s="14" t="str">
        <f>IFERROR(GIZLI!G413,"")</f>
        <v/>
      </c>
    </row>
    <row r="419" spans="2:5" x14ac:dyDescent="0.3">
      <c r="B419" s="2" t="str">
        <f>MID(TableQR[[#This Row],[QR CODES]],4,13)</f>
        <v/>
      </c>
      <c r="C419" s="2" t="str">
        <f>IFERROR(VLOOKUP(TableQR[[#This Row],[BARCODES]],ILACLISTE[#All],2,0),"")</f>
        <v/>
      </c>
      <c r="D419" s="2">
        <f t="shared" si="6"/>
        <v>0</v>
      </c>
      <c r="E419" s="14" t="str">
        <f>IFERROR(GIZLI!G414,"")</f>
        <v/>
      </c>
    </row>
    <row r="420" spans="2:5" x14ac:dyDescent="0.3">
      <c r="B420" s="2" t="str">
        <f>MID(TableQR[[#This Row],[QR CODES]],4,13)</f>
        <v/>
      </c>
      <c r="C420" s="2" t="str">
        <f>IFERROR(VLOOKUP(TableQR[[#This Row],[BARCODES]],ILACLISTE[#All],2,0),"")</f>
        <v/>
      </c>
      <c r="D420" s="2">
        <f t="shared" si="6"/>
        <v>0</v>
      </c>
      <c r="E420" s="14" t="str">
        <f>IFERROR(GIZLI!G415,"")</f>
        <v/>
      </c>
    </row>
    <row r="421" spans="2:5" x14ac:dyDescent="0.3">
      <c r="B421" s="2" t="str">
        <f>MID(TableQR[[#This Row],[QR CODES]],4,13)</f>
        <v/>
      </c>
      <c r="C421" s="2" t="str">
        <f>IFERROR(VLOOKUP(TableQR[[#This Row],[BARCODES]],ILACLISTE[#All],2,0),"")</f>
        <v/>
      </c>
      <c r="D421" s="2">
        <f t="shared" si="6"/>
        <v>0</v>
      </c>
      <c r="E421" s="14" t="str">
        <f>IFERROR(GIZLI!G416,"")</f>
        <v/>
      </c>
    </row>
    <row r="422" spans="2:5" x14ac:dyDescent="0.3">
      <c r="B422" s="2" t="str">
        <f>MID(TableQR[[#This Row],[QR CODES]],4,13)</f>
        <v/>
      </c>
      <c r="C422" s="2" t="str">
        <f>IFERROR(VLOOKUP(TableQR[[#This Row],[BARCODES]],ILACLISTE[#All],2,0),"")</f>
        <v/>
      </c>
      <c r="D422" s="2">
        <f t="shared" si="6"/>
        <v>0</v>
      </c>
      <c r="E422" s="14" t="str">
        <f>IFERROR(GIZLI!G417,"")</f>
        <v/>
      </c>
    </row>
    <row r="423" spans="2:5" x14ac:dyDescent="0.3">
      <c r="B423" s="2" t="str">
        <f>MID(TableQR[[#This Row],[QR CODES]],4,13)</f>
        <v/>
      </c>
      <c r="C423" s="2" t="str">
        <f>IFERROR(VLOOKUP(TableQR[[#This Row],[BARCODES]],ILACLISTE[#All],2,0),"")</f>
        <v/>
      </c>
      <c r="D423" s="2">
        <f t="shared" si="6"/>
        <v>0</v>
      </c>
      <c r="E423" s="14" t="str">
        <f>IFERROR(GIZLI!G418,"")</f>
        <v/>
      </c>
    </row>
    <row r="424" spans="2:5" x14ac:dyDescent="0.3">
      <c r="B424" s="2" t="str">
        <f>MID(TableQR[[#This Row],[QR CODES]],4,13)</f>
        <v/>
      </c>
      <c r="C424" s="2" t="str">
        <f>IFERROR(VLOOKUP(TableQR[[#This Row],[BARCODES]],ILACLISTE[#All],2,0),"")</f>
        <v/>
      </c>
      <c r="D424" s="2">
        <f t="shared" si="6"/>
        <v>0</v>
      </c>
      <c r="E424" s="14" t="str">
        <f>IFERROR(GIZLI!G419,"")</f>
        <v/>
      </c>
    </row>
    <row r="425" spans="2:5" x14ac:dyDescent="0.3">
      <c r="B425" s="2" t="str">
        <f>MID(TableQR[[#This Row],[QR CODES]],4,13)</f>
        <v/>
      </c>
      <c r="C425" s="2" t="str">
        <f>IFERROR(VLOOKUP(TableQR[[#This Row],[BARCODES]],ILACLISTE[#All],2,0),"")</f>
        <v/>
      </c>
      <c r="D425" s="2">
        <f t="shared" si="6"/>
        <v>0</v>
      </c>
      <c r="E425" s="14" t="str">
        <f>IFERROR(GIZLI!G420,"")</f>
        <v/>
      </c>
    </row>
    <row r="426" spans="2:5" x14ac:dyDescent="0.3">
      <c r="B426" s="2" t="str">
        <f>MID(TableQR[[#This Row],[QR CODES]],4,13)</f>
        <v/>
      </c>
      <c r="C426" s="2" t="str">
        <f>IFERROR(VLOOKUP(TableQR[[#This Row],[BARCODES]],ILACLISTE[#All],2,0),"")</f>
        <v/>
      </c>
      <c r="D426" s="2">
        <f t="shared" si="6"/>
        <v>0</v>
      </c>
      <c r="E426" s="14" t="str">
        <f>IFERROR(GIZLI!G421,"")</f>
        <v/>
      </c>
    </row>
    <row r="427" spans="2:5" x14ac:dyDescent="0.3">
      <c r="B427" s="2" t="str">
        <f>MID(TableQR[[#This Row],[QR CODES]],4,13)</f>
        <v/>
      </c>
      <c r="C427" s="2" t="str">
        <f>IFERROR(VLOOKUP(TableQR[[#This Row],[BARCODES]],ILACLISTE[#All],2,0),"")</f>
        <v/>
      </c>
      <c r="D427" s="2">
        <f t="shared" si="6"/>
        <v>0</v>
      </c>
      <c r="E427" s="14" t="str">
        <f>IFERROR(GIZLI!G422,"")</f>
        <v/>
      </c>
    </row>
    <row r="428" spans="2:5" x14ac:dyDescent="0.3">
      <c r="B428" s="2" t="str">
        <f>MID(TableQR[[#This Row],[QR CODES]],4,13)</f>
        <v/>
      </c>
      <c r="C428" s="2" t="str">
        <f>IFERROR(VLOOKUP(TableQR[[#This Row],[BARCODES]],ILACLISTE[#All],2,0),"")</f>
        <v/>
      </c>
      <c r="D428" s="2">
        <f t="shared" si="6"/>
        <v>0</v>
      </c>
      <c r="E428" s="14" t="str">
        <f>IFERROR(GIZLI!G423,"")</f>
        <v/>
      </c>
    </row>
    <row r="429" spans="2:5" x14ac:dyDescent="0.3">
      <c r="B429" s="2" t="str">
        <f>MID(TableQR[[#This Row],[QR CODES]],4,13)</f>
        <v/>
      </c>
      <c r="C429" s="2" t="str">
        <f>IFERROR(VLOOKUP(TableQR[[#This Row],[BARCODES]],ILACLISTE[#All],2,0),"")</f>
        <v/>
      </c>
      <c r="D429" s="2">
        <f t="shared" si="6"/>
        <v>0</v>
      </c>
      <c r="E429" s="14" t="str">
        <f>IFERROR(GIZLI!G424,"")</f>
        <v/>
      </c>
    </row>
    <row r="430" spans="2:5" x14ac:dyDescent="0.3">
      <c r="B430" s="2" t="str">
        <f>MID(TableQR[[#This Row],[QR CODES]],4,13)</f>
        <v/>
      </c>
      <c r="C430" s="2" t="str">
        <f>IFERROR(VLOOKUP(TableQR[[#This Row],[BARCODES]],ILACLISTE[#All],2,0),"")</f>
        <v/>
      </c>
      <c r="D430" s="2">
        <f t="shared" si="6"/>
        <v>0</v>
      </c>
      <c r="E430" s="14" t="str">
        <f>IFERROR(GIZLI!G425,"")</f>
        <v/>
      </c>
    </row>
    <row r="431" spans="2:5" x14ac:dyDescent="0.3">
      <c r="B431" s="2" t="str">
        <f>MID(TableQR[[#This Row],[QR CODES]],4,13)</f>
        <v/>
      </c>
      <c r="C431" s="2" t="str">
        <f>IFERROR(VLOOKUP(TableQR[[#This Row],[BARCODES]],ILACLISTE[#All],2,0),"")</f>
        <v/>
      </c>
      <c r="D431" s="2">
        <f t="shared" si="6"/>
        <v>0</v>
      </c>
      <c r="E431" s="14" t="str">
        <f>IFERROR(GIZLI!G426,"")</f>
        <v/>
      </c>
    </row>
    <row r="432" spans="2:5" x14ac:dyDescent="0.3">
      <c r="B432" s="2" t="str">
        <f>MID(TableQR[[#This Row],[QR CODES]],4,13)</f>
        <v/>
      </c>
      <c r="C432" s="2" t="str">
        <f>IFERROR(VLOOKUP(TableQR[[#This Row],[BARCODES]],ILACLISTE[#All],2,0),"")</f>
        <v/>
      </c>
      <c r="D432" s="2">
        <f t="shared" si="6"/>
        <v>0</v>
      </c>
      <c r="E432" s="14" t="str">
        <f>IFERROR(GIZLI!G427,"")</f>
        <v/>
      </c>
    </row>
    <row r="433" spans="2:5" x14ac:dyDescent="0.3">
      <c r="B433" s="2" t="str">
        <f>MID(TableQR[[#This Row],[QR CODES]],4,13)</f>
        <v/>
      </c>
      <c r="C433" s="2" t="str">
        <f>IFERROR(VLOOKUP(TableQR[[#This Row],[BARCODES]],ILACLISTE[#All],2,0),"")</f>
        <v/>
      </c>
      <c r="D433" s="2">
        <f t="shared" si="6"/>
        <v>0</v>
      </c>
      <c r="E433" s="14" t="str">
        <f>IFERROR(GIZLI!G428,"")</f>
        <v/>
      </c>
    </row>
    <row r="434" spans="2:5" x14ac:dyDescent="0.3">
      <c r="B434" s="2" t="str">
        <f>MID(TableQR[[#This Row],[QR CODES]],4,13)</f>
        <v/>
      </c>
      <c r="C434" s="2" t="str">
        <f>IFERROR(VLOOKUP(TableQR[[#This Row],[BARCODES]],ILACLISTE[#All],2,0),"")</f>
        <v/>
      </c>
      <c r="D434" s="2">
        <f t="shared" si="6"/>
        <v>0</v>
      </c>
      <c r="E434" s="14" t="str">
        <f>IFERROR(GIZLI!G429,"")</f>
        <v/>
      </c>
    </row>
    <row r="435" spans="2:5" x14ac:dyDescent="0.3">
      <c r="B435" s="2" t="str">
        <f>MID(TableQR[[#This Row],[QR CODES]],4,13)</f>
        <v/>
      </c>
      <c r="C435" s="2" t="str">
        <f>IFERROR(VLOOKUP(TableQR[[#This Row],[BARCODES]],ILACLISTE[#All],2,0),"")</f>
        <v/>
      </c>
      <c r="D435" s="2">
        <f t="shared" si="6"/>
        <v>0</v>
      </c>
      <c r="E435" s="14" t="str">
        <f>IFERROR(GIZLI!G430,"")</f>
        <v/>
      </c>
    </row>
    <row r="436" spans="2:5" x14ac:dyDescent="0.3">
      <c r="B436" s="2" t="str">
        <f>MID(TableQR[[#This Row],[QR CODES]],4,13)</f>
        <v/>
      </c>
      <c r="C436" s="2" t="str">
        <f>IFERROR(VLOOKUP(TableQR[[#This Row],[BARCODES]],ILACLISTE[#All],2,0),"")</f>
        <v/>
      </c>
      <c r="D436" s="2">
        <f t="shared" si="6"/>
        <v>0</v>
      </c>
      <c r="E436" s="14" t="str">
        <f>IFERROR(GIZLI!G431,"")</f>
        <v/>
      </c>
    </row>
    <row r="437" spans="2:5" x14ac:dyDescent="0.3">
      <c r="B437" s="2" t="str">
        <f>MID(TableQR[[#This Row],[QR CODES]],4,13)</f>
        <v/>
      </c>
      <c r="C437" s="2" t="str">
        <f>IFERROR(VLOOKUP(TableQR[[#This Row],[BARCODES]],ILACLISTE[#All],2,0),"")</f>
        <v/>
      </c>
      <c r="D437" s="2">
        <f t="shared" si="6"/>
        <v>0</v>
      </c>
      <c r="E437" s="14" t="str">
        <f>IFERROR(GIZLI!G432,"")</f>
        <v/>
      </c>
    </row>
    <row r="438" spans="2:5" x14ac:dyDescent="0.3">
      <c r="B438" s="2" t="str">
        <f>MID(TableQR[[#This Row],[QR CODES]],4,13)</f>
        <v/>
      </c>
      <c r="C438" s="2" t="str">
        <f>IFERROR(VLOOKUP(TableQR[[#This Row],[BARCODES]],ILACLISTE[#All],2,0),"")</f>
        <v/>
      </c>
      <c r="D438" s="2">
        <f t="shared" si="6"/>
        <v>0</v>
      </c>
      <c r="E438" s="14" t="str">
        <f>IFERROR(GIZLI!G433,"")</f>
        <v/>
      </c>
    </row>
    <row r="439" spans="2:5" x14ac:dyDescent="0.3">
      <c r="B439" s="2" t="str">
        <f>MID(TableQR[[#This Row],[QR CODES]],4,13)</f>
        <v/>
      </c>
      <c r="C439" s="2" t="str">
        <f>IFERROR(VLOOKUP(TableQR[[#This Row],[BARCODES]],ILACLISTE[#All],2,0),"")</f>
        <v/>
      </c>
      <c r="D439" s="2">
        <f t="shared" si="6"/>
        <v>0</v>
      </c>
      <c r="E439" s="14" t="str">
        <f>IFERROR(GIZLI!G434,"")</f>
        <v/>
      </c>
    </row>
    <row r="440" spans="2:5" x14ac:dyDescent="0.3">
      <c r="B440" s="2" t="str">
        <f>MID(TableQR[[#This Row],[QR CODES]],4,13)</f>
        <v/>
      </c>
      <c r="C440" s="2" t="str">
        <f>IFERROR(VLOOKUP(TableQR[[#This Row],[BARCODES]],ILACLISTE[#All],2,0),"")</f>
        <v/>
      </c>
      <c r="D440" s="2">
        <f t="shared" si="6"/>
        <v>0</v>
      </c>
      <c r="E440" s="14" t="str">
        <f>IFERROR(GIZLI!G435,"")</f>
        <v/>
      </c>
    </row>
    <row r="441" spans="2:5" x14ac:dyDescent="0.3">
      <c r="B441" s="2" t="str">
        <f>MID(TableQR[[#This Row],[QR CODES]],4,13)</f>
        <v/>
      </c>
      <c r="C441" s="2" t="str">
        <f>IFERROR(VLOOKUP(TableQR[[#This Row],[BARCODES]],ILACLISTE[#All],2,0),"")</f>
        <v/>
      </c>
      <c r="D441" s="2">
        <f t="shared" si="6"/>
        <v>0</v>
      </c>
      <c r="E441" s="14" t="str">
        <f>IFERROR(GIZLI!G436,"")</f>
        <v/>
      </c>
    </row>
    <row r="442" spans="2:5" x14ac:dyDescent="0.3">
      <c r="B442" s="2" t="str">
        <f>MID(TableQR[[#This Row],[QR CODES]],4,13)</f>
        <v/>
      </c>
      <c r="C442" s="2" t="str">
        <f>IFERROR(VLOOKUP(TableQR[[#This Row],[BARCODES]],ILACLISTE[#All],2,0),"")</f>
        <v/>
      </c>
      <c r="D442" s="2">
        <f t="shared" si="6"/>
        <v>0</v>
      </c>
      <c r="E442" s="14" t="str">
        <f>IFERROR(GIZLI!G437,"")</f>
        <v/>
      </c>
    </row>
    <row r="443" spans="2:5" x14ac:dyDescent="0.3">
      <c r="B443" s="2" t="str">
        <f>MID(TableQR[[#This Row],[QR CODES]],4,13)</f>
        <v/>
      </c>
      <c r="C443" s="2" t="str">
        <f>IFERROR(VLOOKUP(TableQR[[#This Row],[BARCODES]],ILACLISTE[#All],2,0),"")</f>
        <v/>
      </c>
      <c r="D443" s="2">
        <f t="shared" si="6"/>
        <v>0</v>
      </c>
      <c r="E443" s="14" t="str">
        <f>IFERROR(GIZLI!G438,"")</f>
        <v/>
      </c>
    </row>
    <row r="444" spans="2:5" x14ac:dyDescent="0.3">
      <c r="B444" s="2" t="str">
        <f>MID(TableQR[[#This Row],[QR CODES]],4,13)</f>
        <v/>
      </c>
      <c r="C444" s="2" t="str">
        <f>IFERROR(VLOOKUP(TableQR[[#This Row],[BARCODES]],ILACLISTE[#All],2,0),"")</f>
        <v/>
      </c>
      <c r="D444" s="2">
        <f t="shared" si="6"/>
        <v>0</v>
      </c>
      <c r="E444" s="14" t="str">
        <f>IFERROR(GIZLI!G439,"")</f>
        <v/>
      </c>
    </row>
    <row r="445" spans="2:5" x14ac:dyDescent="0.3">
      <c r="B445" s="2" t="str">
        <f>MID(TableQR[[#This Row],[QR CODES]],4,13)</f>
        <v/>
      </c>
      <c r="C445" s="2" t="str">
        <f>IFERROR(VLOOKUP(TableQR[[#This Row],[BARCODES]],ILACLISTE[#All],2,0),"")</f>
        <v/>
      </c>
      <c r="D445" s="2">
        <f t="shared" si="6"/>
        <v>0</v>
      </c>
      <c r="E445" s="14" t="str">
        <f>IFERROR(GIZLI!G440,"")</f>
        <v/>
      </c>
    </row>
    <row r="446" spans="2:5" x14ac:dyDescent="0.3">
      <c r="B446" s="2" t="str">
        <f>MID(TableQR[[#This Row],[QR CODES]],4,13)</f>
        <v/>
      </c>
      <c r="C446" s="2" t="str">
        <f>IFERROR(VLOOKUP(TableQR[[#This Row],[BARCODES]],ILACLISTE[#All],2,0),"")</f>
        <v/>
      </c>
      <c r="D446" s="2">
        <f t="shared" si="6"/>
        <v>0</v>
      </c>
      <c r="E446" s="14" t="str">
        <f>IFERROR(GIZLI!G441,"")</f>
        <v/>
      </c>
    </row>
    <row r="447" spans="2:5" x14ac:dyDescent="0.3">
      <c r="B447" s="2" t="str">
        <f>MID(TableQR[[#This Row],[QR CODES]],4,13)</f>
        <v/>
      </c>
      <c r="C447" s="2" t="str">
        <f>IFERROR(VLOOKUP(TableQR[[#This Row],[BARCODES]],ILACLISTE[#All],2,0),"")</f>
        <v/>
      </c>
      <c r="D447" s="2">
        <f t="shared" si="6"/>
        <v>0</v>
      </c>
      <c r="E447" s="14" t="str">
        <f>IFERROR(GIZLI!G442,"")</f>
        <v/>
      </c>
    </row>
    <row r="448" spans="2:5" x14ac:dyDescent="0.3">
      <c r="B448" s="2" t="str">
        <f>MID(TableQR[[#This Row],[QR CODES]],4,13)</f>
        <v/>
      </c>
      <c r="C448" s="2" t="str">
        <f>IFERROR(VLOOKUP(TableQR[[#This Row],[BARCODES]],ILACLISTE[#All],2,0),"")</f>
        <v/>
      </c>
      <c r="D448" s="2">
        <f t="shared" si="6"/>
        <v>0</v>
      </c>
      <c r="E448" s="14" t="str">
        <f>IFERROR(GIZLI!G443,"")</f>
        <v/>
      </c>
    </row>
    <row r="449" spans="2:5" x14ac:dyDescent="0.3">
      <c r="B449" s="2" t="str">
        <f>MID(TableQR[[#This Row],[QR CODES]],4,13)</f>
        <v/>
      </c>
      <c r="C449" s="2" t="str">
        <f>IFERROR(VLOOKUP(TableQR[[#This Row],[BARCODES]],ILACLISTE[#All],2,0),"")</f>
        <v/>
      </c>
      <c r="D449" s="2">
        <f t="shared" si="6"/>
        <v>0</v>
      </c>
      <c r="E449" s="14" t="str">
        <f>IFERROR(GIZLI!G444,"")</f>
        <v/>
      </c>
    </row>
    <row r="450" spans="2:5" x14ac:dyDescent="0.3">
      <c r="B450" s="2" t="str">
        <f>MID(TableQR[[#This Row],[QR CODES]],4,13)</f>
        <v/>
      </c>
      <c r="C450" s="2" t="str">
        <f>IFERROR(VLOOKUP(TableQR[[#This Row],[BARCODES]],ILACLISTE[#All],2,0),"")</f>
        <v/>
      </c>
      <c r="D450" s="2">
        <f t="shared" si="6"/>
        <v>0</v>
      </c>
      <c r="E450" s="14" t="str">
        <f>IFERROR(GIZLI!G445,"")</f>
        <v/>
      </c>
    </row>
    <row r="451" spans="2:5" x14ac:dyDescent="0.3">
      <c r="B451" s="2" t="str">
        <f>MID(TableQR[[#This Row],[QR CODES]],4,13)</f>
        <v/>
      </c>
      <c r="C451" s="2" t="str">
        <f>IFERROR(VLOOKUP(TableQR[[#This Row],[BARCODES]],ILACLISTE[#All],2,0),"")</f>
        <v/>
      </c>
      <c r="D451" s="2">
        <f t="shared" si="6"/>
        <v>0</v>
      </c>
      <c r="E451" s="14" t="str">
        <f>IFERROR(GIZLI!G446,"")</f>
        <v/>
      </c>
    </row>
    <row r="452" spans="2:5" x14ac:dyDescent="0.3">
      <c r="B452" s="2" t="str">
        <f>MID(TableQR[[#This Row],[QR CODES]],4,13)</f>
        <v/>
      </c>
      <c r="C452" s="2" t="str">
        <f>IFERROR(VLOOKUP(TableQR[[#This Row],[BARCODES]],ILACLISTE[#All],2,0),"")</f>
        <v/>
      </c>
      <c r="D452" s="2">
        <f t="shared" si="6"/>
        <v>0</v>
      </c>
      <c r="E452" s="14" t="str">
        <f>IFERROR(GIZLI!G447,"")</f>
        <v/>
      </c>
    </row>
    <row r="453" spans="2:5" x14ac:dyDescent="0.3">
      <c r="B453" s="2" t="str">
        <f>MID(TableQR[[#This Row],[QR CODES]],4,13)</f>
        <v/>
      </c>
      <c r="C453" s="2" t="str">
        <f>IFERROR(VLOOKUP(TableQR[[#This Row],[BARCODES]],ILACLISTE[#All],2,0),"")</f>
        <v/>
      </c>
      <c r="D453" s="2">
        <f t="shared" si="6"/>
        <v>0</v>
      </c>
      <c r="E453" s="14" t="str">
        <f>IFERROR(GIZLI!G448,"")</f>
        <v/>
      </c>
    </row>
    <row r="454" spans="2:5" x14ac:dyDescent="0.3">
      <c r="B454" s="2" t="str">
        <f>MID(TableQR[[#This Row],[QR CODES]],4,13)</f>
        <v/>
      </c>
      <c r="C454" s="2" t="str">
        <f>IFERROR(VLOOKUP(TableQR[[#This Row],[BARCODES]],ILACLISTE[#All],2,0),"")</f>
        <v/>
      </c>
      <c r="D454" s="2">
        <f t="shared" si="6"/>
        <v>0</v>
      </c>
      <c r="E454" s="14" t="str">
        <f>IFERROR(GIZLI!G449,"")</f>
        <v/>
      </c>
    </row>
    <row r="455" spans="2:5" x14ac:dyDescent="0.3">
      <c r="B455" s="2" t="str">
        <f>MID(TableQR[[#This Row],[QR CODES]],4,13)</f>
        <v/>
      </c>
      <c r="C455" s="2" t="str">
        <f>IFERROR(VLOOKUP(TableQR[[#This Row],[BARCODES]],ILACLISTE[#All],2,0),"")</f>
        <v/>
      </c>
      <c r="D455" s="2">
        <f t="shared" si="6"/>
        <v>0</v>
      </c>
      <c r="E455" s="14" t="str">
        <f>IFERROR(GIZLI!G450,"")</f>
        <v/>
      </c>
    </row>
    <row r="456" spans="2:5" x14ac:dyDescent="0.3">
      <c r="B456" s="2" t="str">
        <f>MID(TableQR[[#This Row],[QR CODES]],4,13)</f>
        <v/>
      </c>
      <c r="C456" s="2" t="str">
        <f>IFERROR(VLOOKUP(TableQR[[#This Row],[BARCODES]],ILACLISTE[#All],2,0),"")</f>
        <v/>
      </c>
      <c r="D456" s="2">
        <f t="shared" ref="D456:D519" si="7">COUNTIF(B456:B4449,IF(B456="",66666,B456))</f>
        <v>0</v>
      </c>
      <c r="E456" s="14" t="str">
        <f>IFERROR(GIZLI!G451,"")</f>
        <v/>
      </c>
    </row>
    <row r="457" spans="2:5" x14ac:dyDescent="0.3">
      <c r="B457" s="2" t="str">
        <f>MID(TableQR[[#This Row],[QR CODES]],4,13)</f>
        <v/>
      </c>
      <c r="C457" s="2" t="str">
        <f>IFERROR(VLOOKUP(TableQR[[#This Row],[BARCODES]],ILACLISTE[#All],2,0),"")</f>
        <v/>
      </c>
      <c r="D457" s="2">
        <f t="shared" si="7"/>
        <v>0</v>
      </c>
      <c r="E457" s="14" t="str">
        <f>IFERROR(GIZLI!G452,"")</f>
        <v/>
      </c>
    </row>
    <row r="458" spans="2:5" x14ac:dyDescent="0.3">
      <c r="B458" s="2" t="str">
        <f>MID(TableQR[[#This Row],[QR CODES]],4,13)</f>
        <v/>
      </c>
      <c r="C458" s="2" t="str">
        <f>IFERROR(VLOOKUP(TableQR[[#This Row],[BARCODES]],ILACLISTE[#All],2,0),"")</f>
        <v/>
      </c>
      <c r="D458" s="2">
        <f t="shared" si="7"/>
        <v>0</v>
      </c>
      <c r="E458" s="14" t="str">
        <f>IFERROR(GIZLI!G453,"")</f>
        <v/>
      </c>
    </row>
    <row r="459" spans="2:5" x14ac:dyDescent="0.3">
      <c r="B459" s="2" t="str">
        <f>MID(TableQR[[#This Row],[QR CODES]],4,13)</f>
        <v/>
      </c>
      <c r="C459" s="2" t="str">
        <f>IFERROR(VLOOKUP(TableQR[[#This Row],[BARCODES]],ILACLISTE[#All],2,0),"")</f>
        <v/>
      </c>
      <c r="D459" s="2">
        <f t="shared" si="7"/>
        <v>0</v>
      </c>
      <c r="E459" s="14" t="str">
        <f>IFERROR(GIZLI!G454,"")</f>
        <v/>
      </c>
    </row>
    <row r="460" spans="2:5" x14ac:dyDescent="0.3">
      <c r="B460" s="2" t="str">
        <f>MID(TableQR[[#This Row],[QR CODES]],4,13)</f>
        <v/>
      </c>
      <c r="C460" s="2" t="str">
        <f>IFERROR(VLOOKUP(TableQR[[#This Row],[BARCODES]],ILACLISTE[#All],2,0),"")</f>
        <v/>
      </c>
      <c r="D460" s="2">
        <f t="shared" si="7"/>
        <v>0</v>
      </c>
      <c r="E460" s="14" t="str">
        <f>IFERROR(GIZLI!G455,"")</f>
        <v/>
      </c>
    </row>
    <row r="461" spans="2:5" x14ac:dyDescent="0.3">
      <c r="B461" s="2" t="str">
        <f>MID(TableQR[[#This Row],[QR CODES]],4,13)</f>
        <v/>
      </c>
      <c r="C461" s="2" t="str">
        <f>IFERROR(VLOOKUP(TableQR[[#This Row],[BARCODES]],ILACLISTE[#All],2,0),"")</f>
        <v/>
      </c>
      <c r="D461" s="2">
        <f t="shared" si="7"/>
        <v>0</v>
      </c>
      <c r="E461" s="14" t="str">
        <f>IFERROR(GIZLI!G456,"")</f>
        <v/>
      </c>
    </row>
    <row r="462" spans="2:5" x14ac:dyDescent="0.3">
      <c r="B462" s="2" t="str">
        <f>MID(TableQR[[#This Row],[QR CODES]],4,13)</f>
        <v/>
      </c>
      <c r="C462" s="2" t="str">
        <f>IFERROR(VLOOKUP(TableQR[[#This Row],[BARCODES]],ILACLISTE[#All],2,0),"")</f>
        <v/>
      </c>
      <c r="D462" s="2">
        <f t="shared" si="7"/>
        <v>0</v>
      </c>
      <c r="E462" s="14" t="str">
        <f>IFERROR(GIZLI!G457,"")</f>
        <v/>
      </c>
    </row>
    <row r="463" spans="2:5" x14ac:dyDescent="0.3">
      <c r="B463" s="2" t="str">
        <f>MID(TableQR[[#This Row],[QR CODES]],4,13)</f>
        <v/>
      </c>
      <c r="C463" s="2" t="str">
        <f>IFERROR(VLOOKUP(TableQR[[#This Row],[BARCODES]],ILACLISTE[#All],2,0),"")</f>
        <v/>
      </c>
      <c r="D463" s="2">
        <f t="shared" si="7"/>
        <v>0</v>
      </c>
      <c r="E463" s="14" t="str">
        <f>IFERROR(GIZLI!G458,"")</f>
        <v/>
      </c>
    </row>
    <row r="464" spans="2:5" x14ac:dyDescent="0.3">
      <c r="B464" s="2" t="str">
        <f>MID(TableQR[[#This Row],[QR CODES]],4,13)</f>
        <v/>
      </c>
      <c r="C464" s="2" t="str">
        <f>IFERROR(VLOOKUP(TableQR[[#This Row],[BARCODES]],ILACLISTE[#All],2,0),"")</f>
        <v/>
      </c>
      <c r="D464" s="2">
        <f t="shared" si="7"/>
        <v>0</v>
      </c>
      <c r="E464" s="14" t="str">
        <f>IFERROR(GIZLI!G459,"")</f>
        <v/>
      </c>
    </row>
    <row r="465" spans="2:5" x14ac:dyDescent="0.3">
      <c r="B465" s="2" t="str">
        <f>MID(TableQR[[#This Row],[QR CODES]],4,13)</f>
        <v/>
      </c>
      <c r="C465" s="2" t="str">
        <f>IFERROR(VLOOKUP(TableQR[[#This Row],[BARCODES]],ILACLISTE[#All],2,0),"")</f>
        <v/>
      </c>
      <c r="D465" s="2">
        <f t="shared" si="7"/>
        <v>0</v>
      </c>
      <c r="E465" s="14" t="str">
        <f>IFERROR(GIZLI!G460,"")</f>
        <v/>
      </c>
    </row>
    <row r="466" spans="2:5" x14ac:dyDescent="0.3">
      <c r="B466" s="2" t="str">
        <f>MID(TableQR[[#This Row],[QR CODES]],4,13)</f>
        <v/>
      </c>
      <c r="C466" s="2" t="str">
        <f>IFERROR(VLOOKUP(TableQR[[#This Row],[BARCODES]],ILACLISTE[#All],2,0),"")</f>
        <v/>
      </c>
      <c r="D466" s="2">
        <f t="shared" si="7"/>
        <v>0</v>
      </c>
      <c r="E466" s="14" t="str">
        <f>IFERROR(GIZLI!G461,"")</f>
        <v/>
      </c>
    </row>
    <row r="467" spans="2:5" x14ac:dyDescent="0.3">
      <c r="B467" s="2" t="str">
        <f>MID(TableQR[[#This Row],[QR CODES]],4,13)</f>
        <v/>
      </c>
      <c r="C467" s="2" t="str">
        <f>IFERROR(VLOOKUP(TableQR[[#This Row],[BARCODES]],ILACLISTE[#All],2,0),"")</f>
        <v/>
      </c>
      <c r="D467" s="2">
        <f t="shared" si="7"/>
        <v>0</v>
      </c>
      <c r="E467" s="14" t="str">
        <f>IFERROR(GIZLI!G462,"")</f>
        <v/>
      </c>
    </row>
    <row r="468" spans="2:5" x14ac:dyDescent="0.3">
      <c r="B468" s="2" t="str">
        <f>MID(TableQR[[#This Row],[QR CODES]],4,13)</f>
        <v/>
      </c>
      <c r="C468" s="2" t="str">
        <f>IFERROR(VLOOKUP(TableQR[[#This Row],[BARCODES]],ILACLISTE[#All],2,0),"")</f>
        <v/>
      </c>
      <c r="D468" s="2">
        <f t="shared" si="7"/>
        <v>0</v>
      </c>
      <c r="E468" s="14" t="str">
        <f>IFERROR(GIZLI!G463,"")</f>
        <v/>
      </c>
    </row>
    <row r="469" spans="2:5" x14ac:dyDescent="0.3">
      <c r="B469" s="2" t="str">
        <f>MID(TableQR[[#This Row],[QR CODES]],4,13)</f>
        <v/>
      </c>
      <c r="C469" s="2" t="str">
        <f>IFERROR(VLOOKUP(TableQR[[#This Row],[BARCODES]],ILACLISTE[#All],2,0),"")</f>
        <v/>
      </c>
      <c r="D469" s="2">
        <f t="shared" si="7"/>
        <v>0</v>
      </c>
      <c r="E469" s="14" t="str">
        <f>IFERROR(GIZLI!G464,"")</f>
        <v/>
      </c>
    </row>
    <row r="470" spans="2:5" x14ac:dyDescent="0.3">
      <c r="B470" s="2" t="str">
        <f>MID(TableQR[[#This Row],[QR CODES]],4,13)</f>
        <v/>
      </c>
      <c r="C470" s="2" t="str">
        <f>IFERROR(VLOOKUP(TableQR[[#This Row],[BARCODES]],ILACLISTE[#All],2,0),"")</f>
        <v/>
      </c>
      <c r="D470" s="2">
        <f t="shared" si="7"/>
        <v>0</v>
      </c>
      <c r="E470" s="14" t="str">
        <f>IFERROR(GIZLI!G465,"")</f>
        <v/>
      </c>
    </row>
    <row r="471" spans="2:5" x14ac:dyDescent="0.3">
      <c r="B471" s="2" t="str">
        <f>MID(TableQR[[#This Row],[QR CODES]],4,13)</f>
        <v/>
      </c>
      <c r="C471" s="2" t="str">
        <f>IFERROR(VLOOKUP(TableQR[[#This Row],[BARCODES]],ILACLISTE[#All],2,0),"")</f>
        <v/>
      </c>
      <c r="D471" s="2">
        <f t="shared" si="7"/>
        <v>0</v>
      </c>
      <c r="E471" s="14" t="str">
        <f>IFERROR(GIZLI!G466,"")</f>
        <v/>
      </c>
    </row>
    <row r="472" spans="2:5" x14ac:dyDescent="0.3">
      <c r="B472" s="2" t="str">
        <f>MID(TableQR[[#This Row],[QR CODES]],4,13)</f>
        <v/>
      </c>
      <c r="C472" s="2" t="str">
        <f>IFERROR(VLOOKUP(TableQR[[#This Row],[BARCODES]],ILACLISTE[#All],2,0),"")</f>
        <v/>
      </c>
      <c r="D472" s="2">
        <f t="shared" si="7"/>
        <v>0</v>
      </c>
      <c r="E472" s="14" t="str">
        <f>IFERROR(GIZLI!G467,"")</f>
        <v/>
      </c>
    </row>
    <row r="473" spans="2:5" x14ac:dyDescent="0.3">
      <c r="B473" s="2" t="str">
        <f>MID(TableQR[[#This Row],[QR CODES]],4,13)</f>
        <v/>
      </c>
      <c r="C473" s="2" t="str">
        <f>IFERROR(VLOOKUP(TableQR[[#This Row],[BARCODES]],ILACLISTE[#All],2,0),"")</f>
        <v/>
      </c>
      <c r="D473" s="2">
        <f t="shared" si="7"/>
        <v>0</v>
      </c>
      <c r="E473" s="14" t="str">
        <f>IFERROR(GIZLI!G468,"")</f>
        <v/>
      </c>
    </row>
    <row r="474" spans="2:5" x14ac:dyDescent="0.3">
      <c r="B474" s="2" t="str">
        <f>MID(TableQR[[#This Row],[QR CODES]],4,13)</f>
        <v/>
      </c>
      <c r="C474" s="2" t="str">
        <f>IFERROR(VLOOKUP(TableQR[[#This Row],[BARCODES]],ILACLISTE[#All],2,0),"")</f>
        <v/>
      </c>
      <c r="D474" s="2">
        <f t="shared" si="7"/>
        <v>0</v>
      </c>
      <c r="E474" s="14" t="str">
        <f>IFERROR(GIZLI!G469,"")</f>
        <v/>
      </c>
    </row>
    <row r="475" spans="2:5" x14ac:dyDescent="0.3">
      <c r="B475" s="2" t="str">
        <f>MID(TableQR[[#This Row],[QR CODES]],4,13)</f>
        <v/>
      </c>
      <c r="C475" s="2" t="str">
        <f>IFERROR(VLOOKUP(TableQR[[#This Row],[BARCODES]],ILACLISTE[#All],2,0),"")</f>
        <v/>
      </c>
      <c r="D475" s="2">
        <f t="shared" si="7"/>
        <v>0</v>
      </c>
      <c r="E475" s="14" t="str">
        <f>IFERROR(GIZLI!G470,"")</f>
        <v/>
      </c>
    </row>
    <row r="476" spans="2:5" x14ac:dyDescent="0.3">
      <c r="B476" s="2" t="str">
        <f>MID(TableQR[[#This Row],[QR CODES]],4,13)</f>
        <v/>
      </c>
      <c r="C476" s="2" t="str">
        <f>IFERROR(VLOOKUP(TableQR[[#This Row],[BARCODES]],ILACLISTE[#All],2,0),"")</f>
        <v/>
      </c>
      <c r="D476" s="2">
        <f t="shared" si="7"/>
        <v>0</v>
      </c>
      <c r="E476" s="14" t="str">
        <f>IFERROR(GIZLI!G471,"")</f>
        <v/>
      </c>
    </row>
    <row r="477" spans="2:5" x14ac:dyDescent="0.3">
      <c r="B477" s="2" t="str">
        <f>MID(TableQR[[#This Row],[QR CODES]],4,13)</f>
        <v/>
      </c>
      <c r="C477" s="2" t="str">
        <f>IFERROR(VLOOKUP(TableQR[[#This Row],[BARCODES]],ILACLISTE[#All],2,0),"")</f>
        <v/>
      </c>
      <c r="D477" s="2">
        <f t="shared" si="7"/>
        <v>0</v>
      </c>
      <c r="E477" s="14" t="str">
        <f>IFERROR(GIZLI!G472,"")</f>
        <v/>
      </c>
    </row>
    <row r="478" spans="2:5" x14ac:dyDescent="0.3">
      <c r="B478" s="2" t="str">
        <f>MID(TableQR[[#This Row],[QR CODES]],4,13)</f>
        <v/>
      </c>
      <c r="C478" s="2" t="str">
        <f>IFERROR(VLOOKUP(TableQR[[#This Row],[BARCODES]],ILACLISTE[#All],2,0),"")</f>
        <v/>
      </c>
      <c r="D478" s="2">
        <f t="shared" si="7"/>
        <v>0</v>
      </c>
      <c r="E478" s="14" t="str">
        <f>IFERROR(GIZLI!G473,"")</f>
        <v/>
      </c>
    </row>
    <row r="479" spans="2:5" x14ac:dyDescent="0.3">
      <c r="B479" s="2" t="str">
        <f>MID(TableQR[[#This Row],[QR CODES]],4,13)</f>
        <v/>
      </c>
      <c r="C479" s="2" t="str">
        <f>IFERROR(VLOOKUP(TableQR[[#This Row],[BARCODES]],ILACLISTE[#All],2,0),"")</f>
        <v/>
      </c>
      <c r="D479" s="2">
        <f t="shared" si="7"/>
        <v>0</v>
      </c>
      <c r="E479" s="14" t="str">
        <f>IFERROR(GIZLI!G474,"")</f>
        <v/>
      </c>
    </row>
    <row r="480" spans="2:5" x14ac:dyDescent="0.3">
      <c r="B480" s="2" t="str">
        <f>MID(TableQR[[#This Row],[QR CODES]],4,13)</f>
        <v/>
      </c>
      <c r="C480" s="2" t="str">
        <f>IFERROR(VLOOKUP(TableQR[[#This Row],[BARCODES]],ILACLISTE[#All],2,0),"")</f>
        <v/>
      </c>
      <c r="D480" s="2">
        <f t="shared" si="7"/>
        <v>0</v>
      </c>
      <c r="E480" s="14" t="str">
        <f>IFERROR(GIZLI!G475,"")</f>
        <v/>
      </c>
    </row>
    <row r="481" spans="2:5" x14ac:dyDescent="0.3">
      <c r="B481" s="2" t="str">
        <f>MID(TableQR[[#This Row],[QR CODES]],4,13)</f>
        <v/>
      </c>
      <c r="C481" s="2" t="str">
        <f>IFERROR(VLOOKUP(TableQR[[#This Row],[BARCODES]],ILACLISTE[#All],2,0),"")</f>
        <v/>
      </c>
      <c r="D481" s="2">
        <f t="shared" si="7"/>
        <v>0</v>
      </c>
      <c r="E481" s="14" t="str">
        <f>IFERROR(GIZLI!G476,"")</f>
        <v/>
      </c>
    </row>
    <row r="482" spans="2:5" x14ac:dyDescent="0.3">
      <c r="B482" s="2" t="str">
        <f>MID(TableQR[[#This Row],[QR CODES]],4,13)</f>
        <v/>
      </c>
      <c r="C482" s="2" t="str">
        <f>IFERROR(VLOOKUP(TableQR[[#This Row],[BARCODES]],ILACLISTE[#All],2,0),"")</f>
        <v/>
      </c>
      <c r="D482" s="2">
        <f t="shared" si="7"/>
        <v>0</v>
      </c>
      <c r="E482" s="14" t="str">
        <f>IFERROR(GIZLI!G477,"")</f>
        <v/>
      </c>
    </row>
    <row r="483" spans="2:5" x14ac:dyDescent="0.3">
      <c r="B483" s="2" t="str">
        <f>MID(TableQR[[#This Row],[QR CODES]],4,13)</f>
        <v/>
      </c>
      <c r="C483" s="2" t="str">
        <f>IFERROR(VLOOKUP(TableQR[[#This Row],[BARCODES]],ILACLISTE[#All],2,0),"")</f>
        <v/>
      </c>
      <c r="D483" s="2">
        <f t="shared" si="7"/>
        <v>0</v>
      </c>
      <c r="E483" s="14" t="str">
        <f>IFERROR(GIZLI!G478,"")</f>
        <v/>
      </c>
    </row>
    <row r="484" spans="2:5" x14ac:dyDescent="0.3">
      <c r="B484" s="2" t="str">
        <f>MID(TableQR[[#This Row],[QR CODES]],4,13)</f>
        <v/>
      </c>
      <c r="C484" s="2" t="str">
        <f>IFERROR(VLOOKUP(TableQR[[#This Row],[BARCODES]],ILACLISTE[#All],2,0),"")</f>
        <v/>
      </c>
      <c r="D484" s="2">
        <f t="shared" si="7"/>
        <v>0</v>
      </c>
      <c r="E484" s="14" t="str">
        <f>IFERROR(GIZLI!G479,"")</f>
        <v/>
      </c>
    </row>
    <row r="485" spans="2:5" x14ac:dyDescent="0.3">
      <c r="B485" s="2" t="str">
        <f>MID(TableQR[[#This Row],[QR CODES]],4,13)</f>
        <v/>
      </c>
      <c r="C485" s="2" t="str">
        <f>IFERROR(VLOOKUP(TableQR[[#This Row],[BARCODES]],ILACLISTE[#All],2,0),"")</f>
        <v/>
      </c>
      <c r="D485" s="2">
        <f t="shared" si="7"/>
        <v>0</v>
      </c>
      <c r="E485" s="14" t="str">
        <f>IFERROR(GIZLI!G480,"")</f>
        <v/>
      </c>
    </row>
    <row r="486" spans="2:5" x14ac:dyDescent="0.3">
      <c r="B486" s="2" t="str">
        <f>MID(TableQR[[#This Row],[QR CODES]],4,13)</f>
        <v/>
      </c>
      <c r="C486" s="2" t="str">
        <f>IFERROR(VLOOKUP(TableQR[[#This Row],[BARCODES]],ILACLISTE[#All],2,0),"")</f>
        <v/>
      </c>
      <c r="D486" s="2">
        <f t="shared" si="7"/>
        <v>0</v>
      </c>
      <c r="E486" s="14" t="str">
        <f>IFERROR(GIZLI!G481,"")</f>
        <v/>
      </c>
    </row>
    <row r="487" spans="2:5" x14ac:dyDescent="0.3">
      <c r="B487" s="2" t="str">
        <f>MID(TableQR[[#This Row],[QR CODES]],4,13)</f>
        <v/>
      </c>
      <c r="C487" s="2" t="str">
        <f>IFERROR(VLOOKUP(TableQR[[#This Row],[BARCODES]],ILACLISTE[#All],2,0),"")</f>
        <v/>
      </c>
      <c r="D487" s="2">
        <f t="shared" si="7"/>
        <v>0</v>
      </c>
      <c r="E487" s="14" t="str">
        <f>IFERROR(GIZLI!G482,"")</f>
        <v/>
      </c>
    </row>
    <row r="488" spans="2:5" x14ac:dyDescent="0.3">
      <c r="B488" s="2" t="str">
        <f>MID(TableQR[[#This Row],[QR CODES]],4,13)</f>
        <v/>
      </c>
      <c r="C488" s="2" t="str">
        <f>IFERROR(VLOOKUP(TableQR[[#This Row],[BARCODES]],ILACLISTE[#All],2,0),"")</f>
        <v/>
      </c>
      <c r="D488" s="2">
        <f t="shared" si="7"/>
        <v>0</v>
      </c>
      <c r="E488" s="14" t="str">
        <f>IFERROR(GIZLI!G483,"")</f>
        <v/>
      </c>
    </row>
    <row r="489" spans="2:5" x14ac:dyDescent="0.3">
      <c r="B489" s="2" t="str">
        <f>MID(TableQR[[#This Row],[QR CODES]],4,13)</f>
        <v/>
      </c>
      <c r="C489" s="2" t="str">
        <f>IFERROR(VLOOKUP(TableQR[[#This Row],[BARCODES]],ILACLISTE[#All],2,0),"")</f>
        <v/>
      </c>
      <c r="D489" s="2">
        <f t="shared" si="7"/>
        <v>0</v>
      </c>
      <c r="E489" s="14" t="str">
        <f>IFERROR(GIZLI!G484,"")</f>
        <v/>
      </c>
    </row>
    <row r="490" spans="2:5" x14ac:dyDescent="0.3">
      <c r="B490" s="2" t="str">
        <f>MID(TableQR[[#This Row],[QR CODES]],4,13)</f>
        <v/>
      </c>
      <c r="C490" s="2" t="str">
        <f>IFERROR(VLOOKUP(TableQR[[#This Row],[BARCODES]],ILACLISTE[#All],2,0),"")</f>
        <v/>
      </c>
      <c r="D490" s="2">
        <f t="shared" si="7"/>
        <v>0</v>
      </c>
      <c r="E490" s="14" t="str">
        <f>IFERROR(GIZLI!G485,"")</f>
        <v/>
      </c>
    </row>
    <row r="491" spans="2:5" x14ac:dyDescent="0.3">
      <c r="B491" s="2" t="str">
        <f>MID(TableQR[[#This Row],[QR CODES]],4,13)</f>
        <v/>
      </c>
      <c r="C491" s="2" t="str">
        <f>IFERROR(VLOOKUP(TableQR[[#This Row],[BARCODES]],ILACLISTE[#All],2,0),"")</f>
        <v/>
      </c>
      <c r="D491" s="2">
        <f t="shared" si="7"/>
        <v>0</v>
      </c>
      <c r="E491" s="14" t="str">
        <f>IFERROR(GIZLI!G486,"")</f>
        <v/>
      </c>
    </row>
    <row r="492" spans="2:5" x14ac:dyDescent="0.3">
      <c r="B492" s="2" t="str">
        <f>MID(TableQR[[#This Row],[QR CODES]],4,13)</f>
        <v/>
      </c>
      <c r="C492" s="2" t="str">
        <f>IFERROR(VLOOKUP(TableQR[[#This Row],[BARCODES]],ILACLISTE[#All],2,0),"")</f>
        <v/>
      </c>
      <c r="D492" s="2">
        <f t="shared" si="7"/>
        <v>0</v>
      </c>
      <c r="E492" s="14" t="str">
        <f>IFERROR(GIZLI!G487,"")</f>
        <v/>
      </c>
    </row>
    <row r="493" spans="2:5" x14ac:dyDescent="0.3">
      <c r="B493" s="2" t="str">
        <f>MID(TableQR[[#This Row],[QR CODES]],4,13)</f>
        <v/>
      </c>
      <c r="C493" s="2" t="str">
        <f>IFERROR(VLOOKUP(TableQR[[#This Row],[BARCODES]],ILACLISTE[#All],2,0),"")</f>
        <v/>
      </c>
      <c r="D493" s="2">
        <f t="shared" si="7"/>
        <v>0</v>
      </c>
      <c r="E493" s="14" t="str">
        <f>IFERROR(GIZLI!G488,"")</f>
        <v/>
      </c>
    </row>
    <row r="494" spans="2:5" x14ac:dyDescent="0.3">
      <c r="B494" s="2" t="str">
        <f>MID(TableQR[[#This Row],[QR CODES]],4,13)</f>
        <v/>
      </c>
      <c r="C494" s="2" t="str">
        <f>IFERROR(VLOOKUP(TableQR[[#This Row],[BARCODES]],ILACLISTE[#All],2,0),"")</f>
        <v/>
      </c>
      <c r="D494" s="2">
        <f t="shared" si="7"/>
        <v>0</v>
      </c>
      <c r="E494" s="14" t="str">
        <f>IFERROR(GIZLI!G489,"")</f>
        <v/>
      </c>
    </row>
    <row r="495" spans="2:5" x14ac:dyDescent="0.3">
      <c r="B495" s="2" t="str">
        <f>MID(TableQR[[#This Row],[QR CODES]],4,13)</f>
        <v/>
      </c>
      <c r="C495" s="2" t="str">
        <f>IFERROR(VLOOKUP(TableQR[[#This Row],[BARCODES]],ILACLISTE[#All],2,0),"")</f>
        <v/>
      </c>
      <c r="D495" s="2">
        <f t="shared" si="7"/>
        <v>0</v>
      </c>
      <c r="E495" s="14" t="str">
        <f>IFERROR(GIZLI!G490,"")</f>
        <v/>
      </c>
    </row>
    <row r="496" spans="2:5" x14ac:dyDescent="0.3">
      <c r="B496" s="2" t="str">
        <f>MID(TableQR[[#This Row],[QR CODES]],4,13)</f>
        <v/>
      </c>
      <c r="C496" s="2" t="str">
        <f>IFERROR(VLOOKUP(TableQR[[#This Row],[BARCODES]],ILACLISTE[#All],2,0),"")</f>
        <v/>
      </c>
      <c r="D496" s="2">
        <f t="shared" si="7"/>
        <v>0</v>
      </c>
      <c r="E496" s="14" t="str">
        <f>IFERROR(GIZLI!G491,"")</f>
        <v/>
      </c>
    </row>
    <row r="497" spans="2:5" x14ac:dyDescent="0.3">
      <c r="B497" s="2" t="str">
        <f>MID(TableQR[[#This Row],[QR CODES]],4,13)</f>
        <v/>
      </c>
      <c r="C497" s="2" t="str">
        <f>IFERROR(VLOOKUP(TableQR[[#This Row],[BARCODES]],ILACLISTE[#All],2,0),"")</f>
        <v/>
      </c>
      <c r="D497" s="2">
        <f t="shared" si="7"/>
        <v>0</v>
      </c>
      <c r="E497" s="14" t="str">
        <f>IFERROR(GIZLI!G492,"")</f>
        <v/>
      </c>
    </row>
    <row r="498" spans="2:5" x14ac:dyDescent="0.3">
      <c r="B498" s="2" t="str">
        <f>MID(TableQR[[#This Row],[QR CODES]],4,13)</f>
        <v/>
      </c>
      <c r="C498" s="2" t="str">
        <f>IFERROR(VLOOKUP(TableQR[[#This Row],[BARCODES]],ILACLISTE[#All],2,0),"")</f>
        <v/>
      </c>
      <c r="D498" s="2">
        <f t="shared" si="7"/>
        <v>0</v>
      </c>
      <c r="E498" s="14" t="str">
        <f>IFERROR(GIZLI!G493,"")</f>
        <v/>
      </c>
    </row>
    <row r="499" spans="2:5" x14ac:dyDescent="0.3">
      <c r="B499" s="2" t="str">
        <f>MID(TableQR[[#This Row],[QR CODES]],4,13)</f>
        <v/>
      </c>
      <c r="C499" s="2" t="str">
        <f>IFERROR(VLOOKUP(TableQR[[#This Row],[BARCODES]],ILACLISTE[#All],2,0),"")</f>
        <v/>
      </c>
      <c r="D499" s="2">
        <f t="shared" si="7"/>
        <v>0</v>
      </c>
      <c r="E499" s="14" t="str">
        <f>IFERROR(GIZLI!G494,"")</f>
        <v/>
      </c>
    </row>
    <row r="500" spans="2:5" x14ac:dyDescent="0.3">
      <c r="B500" s="2" t="str">
        <f>MID(TableQR[[#This Row],[QR CODES]],4,13)</f>
        <v/>
      </c>
      <c r="C500" s="2" t="str">
        <f>IFERROR(VLOOKUP(TableQR[[#This Row],[BARCODES]],ILACLISTE[#All],2,0),"")</f>
        <v/>
      </c>
      <c r="D500" s="2">
        <f t="shared" si="7"/>
        <v>0</v>
      </c>
      <c r="E500" s="14" t="str">
        <f>IFERROR(GIZLI!G495,"")</f>
        <v/>
      </c>
    </row>
    <row r="501" spans="2:5" x14ac:dyDescent="0.3">
      <c r="B501" s="2" t="str">
        <f>MID(TableQR[[#This Row],[QR CODES]],4,13)</f>
        <v/>
      </c>
      <c r="C501" s="2" t="str">
        <f>IFERROR(VLOOKUP(TableQR[[#This Row],[BARCODES]],ILACLISTE[#All],2,0),"")</f>
        <v/>
      </c>
      <c r="D501" s="2">
        <f t="shared" si="7"/>
        <v>0</v>
      </c>
      <c r="E501" s="14" t="str">
        <f>IFERROR(GIZLI!G496,"")</f>
        <v/>
      </c>
    </row>
    <row r="502" spans="2:5" x14ac:dyDescent="0.3">
      <c r="B502" s="2" t="str">
        <f>MID(TableQR[[#This Row],[QR CODES]],4,13)</f>
        <v/>
      </c>
      <c r="C502" s="2" t="str">
        <f>IFERROR(VLOOKUP(TableQR[[#This Row],[BARCODES]],ILACLISTE[#All],2,0),"")</f>
        <v/>
      </c>
      <c r="D502" s="2">
        <f t="shared" si="7"/>
        <v>0</v>
      </c>
      <c r="E502" s="14" t="str">
        <f>IFERROR(GIZLI!G497,"")</f>
        <v/>
      </c>
    </row>
    <row r="503" spans="2:5" x14ac:dyDescent="0.3">
      <c r="B503" s="2" t="str">
        <f>MID(TableQR[[#This Row],[QR CODES]],4,13)</f>
        <v/>
      </c>
      <c r="C503" s="2" t="str">
        <f>IFERROR(VLOOKUP(TableQR[[#This Row],[BARCODES]],ILACLISTE[#All],2,0),"")</f>
        <v/>
      </c>
      <c r="D503" s="2">
        <f t="shared" si="7"/>
        <v>0</v>
      </c>
      <c r="E503" s="14" t="str">
        <f>IFERROR(GIZLI!G498,"")</f>
        <v/>
      </c>
    </row>
    <row r="504" spans="2:5" x14ac:dyDescent="0.3">
      <c r="B504" s="2" t="str">
        <f>MID(TableQR[[#This Row],[QR CODES]],4,13)</f>
        <v/>
      </c>
      <c r="C504" s="2" t="str">
        <f>IFERROR(VLOOKUP(TableQR[[#This Row],[BARCODES]],ILACLISTE[#All],2,0),"")</f>
        <v/>
      </c>
      <c r="D504" s="2">
        <f t="shared" si="7"/>
        <v>0</v>
      </c>
      <c r="E504" s="14" t="str">
        <f>IFERROR(GIZLI!G499,"")</f>
        <v/>
      </c>
    </row>
    <row r="505" spans="2:5" x14ac:dyDescent="0.3">
      <c r="B505" s="2" t="str">
        <f>MID(TableQR[[#This Row],[QR CODES]],4,13)</f>
        <v/>
      </c>
      <c r="C505" s="2" t="str">
        <f>IFERROR(VLOOKUP(TableQR[[#This Row],[BARCODES]],ILACLISTE[#All],2,0),"")</f>
        <v/>
      </c>
      <c r="D505" s="2">
        <f t="shared" si="7"/>
        <v>0</v>
      </c>
      <c r="E505" s="14" t="str">
        <f>IFERROR(GIZLI!G500,"")</f>
        <v/>
      </c>
    </row>
    <row r="506" spans="2:5" x14ac:dyDescent="0.3">
      <c r="B506" s="2" t="str">
        <f>MID(TableQR[[#This Row],[QR CODES]],4,13)</f>
        <v/>
      </c>
      <c r="C506" s="2" t="str">
        <f>IFERROR(VLOOKUP(TableQR[[#This Row],[BARCODES]],ILACLISTE[#All],2,0),"")</f>
        <v/>
      </c>
      <c r="D506" s="2">
        <f t="shared" si="7"/>
        <v>0</v>
      </c>
      <c r="E506" s="14" t="str">
        <f>IFERROR(GIZLI!G501,"")</f>
        <v/>
      </c>
    </row>
    <row r="507" spans="2:5" x14ac:dyDescent="0.3">
      <c r="B507" s="2" t="str">
        <f>MID(TableQR[[#This Row],[QR CODES]],4,13)</f>
        <v/>
      </c>
      <c r="C507" s="2" t="str">
        <f>IFERROR(VLOOKUP(TableQR[[#This Row],[BARCODES]],ILACLISTE[#All],2,0),"")</f>
        <v/>
      </c>
      <c r="D507" s="2">
        <f t="shared" si="7"/>
        <v>0</v>
      </c>
      <c r="E507" s="14" t="str">
        <f>IFERROR(GIZLI!G502,"")</f>
        <v/>
      </c>
    </row>
    <row r="508" spans="2:5" x14ac:dyDescent="0.3">
      <c r="B508" s="2" t="str">
        <f>MID(TableQR[[#This Row],[QR CODES]],4,13)</f>
        <v/>
      </c>
      <c r="C508" s="2" t="str">
        <f>IFERROR(VLOOKUP(TableQR[[#This Row],[BARCODES]],ILACLISTE[#All],2,0),"")</f>
        <v/>
      </c>
      <c r="D508" s="2">
        <f t="shared" si="7"/>
        <v>0</v>
      </c>
      <c r="E508" s="14" t="str">
        <f>IFERROR(GIZLI!G503,"")</f>
        <v/>
      </c>
    </row>
    <row r="509" spans="2:5" x14ac:dyDescent="0.3">
      <c r="B509" s="2" t="str">
        <f>MID(TableQR[[#This Row],[QR CODES]],4,13)</f>
        <v/>
      </c>
      <c r="C509" s="2" t="str">
        <f>IFERROR(VLOOKUP(TableQR[[#This Row],[BARCODES]],ILACLISTE[#All],2,0),"")</f>
        <v/>
      </c>
      <c r="D509" s="2">
        <f t="shared" si="7"/>
        <v>0</v>
      </c>
      <c r="E509" s="14" t="str">
        <f>IFERROR(GIZLI!G504,"")</f>
        <v/>
      </c>
    </row>
    <row r="510" spans="2:5" x14ac:dyDescent="0.3">
      <c r="B510" s="2" t="str">
        <f>MID(TableQR[[#This Row],[QR CODES]],4,13)</f>
        <v/>
      </c>
      <c r="C510" s="2" t="str">
        <f>IFERROR(VLOOKUP(TableQR[[#This Row],[BARCODES]],ILACLISTE[#All],2,0),"")</f>
        <v/>
      </c>
      <c r="D510" s="2">
        <f t="shared" si="7"/>
        <v>0</v>
      </c>
      <c r="E510" s="14" t="str">
        <f>IFERROR(GIZLI!G505,"")</f>
        <v/>
      </c>
    </row>
    <row r="511" spans="2:5" x14ac:dyDescent="0.3">
      <c r="B511" s="2" t="str">
        <f>MID(TableQR[[#This Row],[QR CODES]],4,13)</f>
        <v/>
      </c>
      <c r="C511" s="2" t="str">
        <f>IFERROR(VLOOKUP(TableQR[[#This Row],[BARCODES]],ILACLISTE[#All],2,0),"")</f>
        <v/>
      </c>
      <c r="D511" s="2">
        <f t="shared" si="7"/>
        <v>0</v>
      </c>
      <c r="E511" s="14" t="str">
        <f>IFERROR(GIZLI!G506,"")</f>
        <v/>
      </c>
    </row>
    <row r="512" spans="2:5" x14ac:dyDescent="0.3">
      <c r="B512" s="2" t="str">
        <f>MID(TableQR[[#This Row],[QR CODES]],4,13)</f>
        <v/>
      </c>
      <c r="C512" s="2" t="str">
        <f>IFERROR(VLOOKUP(TableQR[[#This Row],[BARCODES]],ILACLISTE[#All],2,0),"")</f>
        <v/>
      </c>
      <c r="D512" s="2">
        <f t="shared" si="7"/>
        <v>0</v>
      </c>
      <c r="E512" s="14" t="str">
        <f>IFERROR(GIZLI!G507,"")</f>
        <v/>
      </c>
    </row>
    <row r="513" spans="2:5" x14ac:dyDescent="0.3">
      <c r="B513" s="2" t="str">
        <f>MID(TableQR[[#This Row],[QR CODES]],4,13)</f>
        <v/>
      </c>
      <c r="C513" s="2" t="str">
        <f>IFERROR(VLOOKUP(TableQR[[#This Row],[BARCODES]],ILACLISTE[#All],2,0),"")</f>
        <v/>
      </c>
      <c r="D513" s="2">
        <f t="shared" si="7"/>
        <v>0</v>
      </c>
      <c r="E513" s="14" t="str">
        <f>IFERROR(GIZLI!G508,"")</f>
        <v/>
      </c>
    </row>
    <row r="514" spans="2:5" x14ac:dyDescent="0.3">
      <c r="B514" s="2" t="str">
        <f>MID(TableQR[[#This Row],[QR CODES]],4,13)</f>
        <v/>
      </c>
      <c r="C514" s="2" t="str">
        <f>IFERROR(VLOOKUP(TableQR[[#This Row],[BARCODES]],ILACLISTE[#All],2,0),"")</f>
        <v/>
      </c>
      <c r="D514" s="2">
        <f t="shared" si="7"/>
        <v>0</v>
      </c>
      <c r="E514" s="14" t="str">
        <f>IFERROR(GIZLI!G509,"")</f>
        <v/>
      </c>
    </row>
    <row r="515" spans="2:5" x14ac:dyDescent="0.3">
      <c r="B515" s="2" t="str">
        <f>MID(TableQR[[#This Row],[QR CODES]],4,13)</f>
        <v/>
      </c>
      <c r="C515" s="2" t="str">
        <f>IFERROR(VLOOKUP(TableQR[[#This Row],[BARCODES]],ILACLISTE[#All],2,0),"")</f>
        <v/>
      </c>
      <c r="D515" s="2">
        <f t="shared" si="7"/>
        <v>0</v>
      </c>
      <c r="E515" s="14" t="str">
        <f>IFERROR(GIZLI!G510,"")</f>
        <v/>
      </c>
    </row>
    <row r="516" spans="2:5" x14ac:dyDescent="0.3">
      <c r="B516" s="2" t="str">
        <f>MID(TableQR[[#This Row],[QR CODES]],4,13)</f>
        <v/>
      </c>
      <c r="C516" s="2" t="str">
        <f>IFERROR(VLOOKUP(TableQR[[#This Row],[BARCODES]],ILACLISTE[#All],2,0),"")</f>
        <v/>
      </c>
      <c r="D516" s="2">
        <f t="shared" si="7"/>
        <v>0</v>
      </c>
      <c r="E516" s="14" t="str">
        <f>IFERROR(GIZLI!G511,"")</f>
        <v/>
      </c>
    </row>
    <row r="517" spans="2:5" x14ac:dyDescent="0.3">
      <c r="B517" s="2" t="str">
        <f>MID(TableQR[[#This Row],[QR CODES]],4,13)</f>
        <v/>
      </c>
      <c r="C517" s="2" t="str">
        <f>IFERROR(VLOOKUP(TableQR[[#This Row],[BARCODES]],ILACLISTE[#All],2,0),"")</f>
        <v/>
      </c>
      <c r="D517" s="2">
        <f t="shared" si="7"/>
        <v>0</v>
      </c>
      <c r="E517" s="14" t="str">
        <f>IFERROR(GIZLI!G512,"")</f>
        <v/>
      </c>
    </row>
    <row r="518" spans="2:5" x14ac:dyDescent="0.3">
      <c r="B518" s="2" t="str">
        <f>MID(TableQR[[#This Row],[QR CODES]],4,13)</f>
        <v/>
      </c>
      <c r="C518" s="2" t="str">
        <f>IFERROR(VLOOKUP(TableQR[[#This Row],[BARCODES]],ILACLISTE[#All],2,0),"")</f>
        <v/>
      </c>
      <c r="D518" s="2">
        <f t="shared" si="7"/>
        <v>0</v>
      </c>
      <c r="E518" s="14" t="str">
        <f>IFERROR(GIZLI!G513,"")</f>
        <v/>
      </c>
    </row>
    <row r="519" spans="2:5" x14ac:dyDescent="0.3">
      <c r="B519" s="2" t="str">
        <f>MID(TableQR[[#This Row],[QR CODES]],4,13)</f>
        <v/>
      </c>
      <c r="C519" s="2" t="str">
        <f>IFERROR(VLOOKUP(TableQR[[#This Row],[BARCODES]],ILACLISTE[#All],2,0),"")</f>
        <v/>
      </c>
      <c r="D519" s="2">
        <f t="shared" si="7"/>
        <v>0</v>
      </c>
      <c r="E519" s="14" t="str">
        <f>IFERROR(GIZLI!G514,"")</f>
        <v/>
      </c>
    </row>
    <row r="520" spans="2:5" x14ac:dyDescent="0.3">
      <c r="B520" s="2" t="str">
        <f>MID(TableQR[[#This Row],[QR CODES]],4,13)</f>
        <v/>
      </c>
      <c r="C520" s="2" t="str">
        <f>IFERROR(VLOOKUP(TableQR[[#This Row],[BARCODES]],ILACLISTE[#All],2,0),"")</f>
        <v/>
      </c>
      <c r="D520" s="2">
        <f t="shared" ref="D520:D583" si="8">COUNTIF(B520:B4513,IF(B520="",66666,B520))</f>
        <v>0</v>
      </c>
      <c r="E520" s="14" t="str">
        <f>IFERROR(GIZLI!G515,"")</f>
        <v/>
      </c>
    </row>
    <row r="521" spans="2:5" x14ac:dyDescent="0.3">
      <c r="B521" s="2" t="str">
        <f>MID(TableQR[[#This Row],[QR CODES]],4,13)</f>
        <v/>
      </c>
      <c r="C521" s="2" t="str">
        <f>IFERROR(VLOOKUP(TableQR[[#This Row],[BARCODES]],ILACLISTE[#All],2,0),"")</f>
        <v/>
      </c>
      <c r="D521" s="2">
        <f t="shared" si="8"/>
        <v>0</v>
      </c>
      <c r="E521" s="14" t="str">
        <f>IFERROR(GIZLI!G516,"")</f>
        <v/>
      </c>
    </row>
    <row r="522" spans="2:5" x14ac:dyDescent="0.3">
      <c r="B522" s="2" t="str">
        <f>MID(TableQR[[#This Row],[QR CODES]],4,13)</f>
        <v/>
      </c>
      <c r="C522" s="2" t="str">
        <f>IFERROR(VLOOKUP(TableQR[[#This Row],[BARCODES]],ILACLISTE[#All],2,0),"")</f>
        <v/>
      </c>
      <c r="D522" s="2">
        <f t="shared" si="8"/>
        <v>0</v>
      </c>
      <c r="E522" s="14" t="str">
        <f>IFERROR(GIZLI!G517,"")</f>
        <v/>
      </c>
    </row>
    <row r="523" spans="2:5" x14ac:dyDescent="0.3">
      <c r="B523" s="2" t="str">
        <f>MID(TableQR[[#This Row],[QR CODES]],4,13)</f>
        <v/>
      </c>
      <c r="C523" s="2" t="str">
        <f>IFERROR(VLOOKUP(TableQR[[#This Row],[BARCODES]],ILACLISTE[#All],2,0),"")</f>
        <v/>
      </c>
      <c r="D523" s="2">
        <f t="shared" si="8"/>
        <v>0</v>
      </c>
      <c r="E523" s="14" t="str">
        <f>IFERROR(GIZLI!G518,"")</f>
        <v/>
      </c>
    </row>
    <row r="524" spans="2:5" x14ac:dyDescent="0.3">
      <c r="B524" s="2" t="str">
        <f>MID(TableQR[[#This Row],[QR CODES]],4,13)</f>
        <v/>
      </c>
      <c r="C524" s="2" t="str">
        <f>IFERROR(VLOOKUP(TableQR[[#This Row],[BARCODES]],ILACLISTE[#All],2,0),"")</f>
        <v/>
      </c>
      <c r="D524" s="2">
        <f t="shared" si="8"/>
        <v>0</v>
      </c>
      <c r="E524" s="14" t="str">
        <f>IFERROR(GIZLI!G519,"")</f>
        <v/>
      </c>
    </row>
    <row r="525" spans="2:5" x14ac:dyDescent="0.3">
      <c r="B525" s="2" t="str">
        <f>MID(TableQR[[#This Row],[QR CODES]],4,13)</f>
        <v/>
      </c>
      <c r="C525" s="2" t="str">
        <f>IFERROR(VLOOKUP(TableQR[[#This Row],[BARCODES]],ILACLISTE[#All],2,0),"")</f>
        <v/>
      </c>
      <c r="D525" s="2">
        <f t="shared" si="8"/>
        <v>0</v>
      </c>
      <c r="E525" s="14" t="str">
        <f>IFERROR(GIZLI!G520,"")</f>
        <v/>
      </c>
    </row>
    <row r="526" spans="2:5" x14ac:dyDescent="0.3">
      <c r="B526" s="2" t="str">
        <f>MID(TableQR[[#This Row],[QR CODES]],4,13)</f>
        <v/>
      </c>
      <c r="C526" s="2" t="str">
        <f>IFERROR(VLOOKUP(TableQR[[#This Row],[BARCODES]],ILACLISTE[#All],2,0),"")</f>
        <v/>
      </c>
      <c r="D526" s="2">
        <f t="shared" si="8"/>
        <v>0</v>
      </c>
      <c r="E526" s="14" t="str">
        <f>IFERROR(GIZLI!G521,"")</f>
        <v/>
      </c>
    </row>
    <row r="527" spans="2:5" x14ac:dyDescent="0.3">
      <c r="B527" s="2" t="str">
        <f>MID(TableQR[[#This Row],[QR CODES]],4,13)</f>
        <v/>
      </c>
      <c r="C527" s="2" t="str">
        <f>IFERROR(VLOOKUP(TableQR[[#This Row],[BARCODES]],ILACLISTE[#All],2,0),"")</f>
        <v/>
      </c>
      <c r="D527" s="2">
        <f t="shared" si="8"/>
        <v>0</v>
      </c>
      <c r="E527" s="14" t="str">
        <f>IFERROR(GIZLI!G522,"")</f>
        <v/>
      </c>
    </row>
    <row r="528" spans="2:5" x14ac:dyDescent="0.3">
      <c r="B528" s="2" t="str">
        <f>MID(TableQR[[#This Row],[QR CODES]],4,13)</f>
        <v/>
      </c>
      <c r="C528" s="2" t="str">
        <f>IFERROR(VLOOKUP(TableQR[[#This Row],[BARCODES]],ILACLISTE[#All],2,0),"")</f>
        <v/>
      </c>
      <c r="D528" s="2">
        <f t="shared" si="8"/>
        <v>0</v>
      </c>
      <c r="E528" s="14" t="str">
        <f>IFERROR(GIZLI!G523,"")</f>
        <v/>
      </c>
    </row>
    <row r="529" spans="2:5" x14ac:dyDescent="0.3">
      <c r="B529" s="2" t="str">
        <f>MID(TableQR[[#This Row],[QR CODES]],4,13)</f>
        <v/>
      </c>
      <c r="C529" s="2" t="str">
        <f>IFERROR(VLOOKUP(TableQR[[#This Row],[BARCODES]],ILACLISTE[#All],2,0),"")</f>
        <v/>
      </c>
      <c r="D529" s="2">
        <f t="shared" si="8"/>
        <v>0</v>
      </c>
      <c r="E529" s="14" t="str">
        <f>IFERROR(GIZLI!G524,"")</f>
        <v/>
      </c>
    </row>
    <row r="530" spans="2:5" x14ac:dyDescent="0.3">
      <c r="B530" s="2" t="str">
        <f>MID(TableQR[[#This Row],[QR CODES]],4,13)</f>
        <v/>
      </c>
      <c r="C530" s="2" t="str">
        <f>IFERROR(VLOOKUP(TableQR[[#This Row],[BARCODES]],ILACLISTE[#All],2,0),"")</f>
        <v/>
      </c>
      <c r="D530" s="2">
        <f t="shared" si="8"/>
        <v>0</v>
      </c>
      <c r="E530" s="14" t="str">
        <f>IFERROR(GIZLI!G525,"")</f>
        <v/>
      </c>
    </row>
    <row r="531" spans="2:5" x14ac:dyDescent="0.3">
      <c r="B531" s="2" t="str">
        <f>MID(TableQR[[#This Row],[QR CODES]],4,13)</f>
        <v/>
      </c>
      <c r="C531" s="2" t="str">
        <f>IFERROR(VLOOKUP(TableQR[[#This Row],[BARCODES]],ILACLISTE[#All],2,0),"")</f>
        <v/>
      </c>
      <c r="D531" s="2">
        <f t="shared" si="8"/>
        <v>0</v>
      </c>
      <c r="E531" s="14" t="str">
        <f>IFERROR(GIZLI!G526,"")</f>
        <v/>
      </c>
    </row>
    <row r="532" spans="2:5" x14ac:dyDescent="0.3">
      <c r="B532" s="2" t="str">
        <f>MID(TableQR[[#This Row],[QR CODES]],4,13)</f>
        <v/>
      </c>
      <c r="C532" s="2" t="str">
        <f>IFERROR(VLOOKUP(TableQR[[#This Row],[BARCODES]],ILACLISTE[#All],2,0),"")</f>
        <v/>
      </c>
      <c r="D532" s="2">
        <f t="shared" si="8"/>
        <v>0</v>
      </c>
      <c r="E532" s="14" t="str">
        <f>IFERROR(GIZLI!G527,"")</f>
        <v/>
      </c>
    </row>
    <row r="533" spans="2:5" x14ac:dyDescent="0.3">
      <c r="B533" s="2" t="str">
        <f>MID(TableQR[[#This Row],[QR CODES]],4,13)</f>
        <v/>
      </c>
      <c r="C533" s="2" t="str">
        <f>IFERROR(VLOOKUP(TableQR[[#This Row],[BARCODES]],ILACLISTE[#All],2,0),"")</f>
        <v/>
      </c>
      <c r="D533" s="2">
        <f t="shared" si="8"/>
        <v>0</v>
      </c>
      <c r="E533" s="14" t="str">
        <f>IFERROR(GIZLI!G528,"")</f>
        <v/>
      </c>
    </row>
    <row r="534" spans="2:5" x14ac:dyDescent="0.3">
      <c r="B534" s="2" t="str">
        <f>MID(TableQR[[#This Row],[QR CODES]],4,13)</f>
        <v/>
      </c>
      <c r="C534" s="2" t="str">
        <f>IFERROR(VLOOKUP(TableQR[[#This Row],[BARCODES]],ILACLISTE[#All],2,0),"")</f>
        <v/>
      </c>
      <c r="D534" s="2">
        <f t="shared" si="8"/>
        <v>0</v>
      </c>
      <c r="E534" s="14" t="str">
        <f>IFERROR(GIZLI!G529,"")</f>
        <v/>
      </c>
    </row>
    <row r="535" spans="2:5" x14ac:dyDescent="0.3">
      <c r="B535" s="2" t="str">
        <f>MID(TableQR[[#This Row],[QR CODES]],4,13)</f>
        <v/>
      </c>
      <c r="C535" s="2" t="str">
        <f>IFERROR(VLOOKUP(TableQR[[#This Row],[BARCODES]],ILACLISTE[#All],2,0),"")</f>
        <v/>
      </c>
      <c r="D535" s="2">
        <f t="shared" si="8"/>
        <v>0</v>
      </c>
      <c r="E535" s="14" t="str">
        <f>IFERROR(GIZLI!G530,"")</f>
        <v/>
      </c>
    </row>
    <row r="536" spans="2:5" x14ac:dyDescent="0.3">
      <c r="B536" s="2" t="str">
        <f>MID(TableQR[[#This Row],[QR CODES]],4,13)</f>
        <v/>
      </c>
      <c r="C536" s="2" t="str">
        <f>IFERROR(VLOOKUP(TableQR[[#This Row],[BARCODES]],ILACLISTE[#All],2,0),"")</f>
        <v/>
      </c>
      <c r="D536" s="2">
        <f t="shared" si="8"/>
        <v>0</v>
      </c>
      <c r="E536" s="14" t="str">
        <f>IFERROR(GIZLI!G531,"")</f>
        <v/>
      </c>
    </row>
    <row r="537" spans="2:5" x14ac:dyDescent="0.3">
      <c r="B537" s="2" t="str">
        <f>MID(TableQR[[#This Row],[QR CODES]],4,13)</f>
        <v/>
      </c>
      <c r="C537" s="2" t="str">
        <f>IFERROR(VLOOKUP(TableQR[[#This Row],[BARCODES]],ILACLISTE[#All],2,0),"")</f>
        <v/>
      </c>
      <c r="D537" s="2">
        <f t="shared" si="8"/>
        <v>0</v>
      </c>
      <c r="E537" s="14" t="str">
        <f>IFERROR(GIZLI!G532,"")</f>
        <v/>
      </c>
    </row>
    <row r="538" spans="2:5" x14ac:dyDescent="0.3">
      <c r="B538" s="2" t="str">
        <f>MID(TableQR[[#This Row],[QR CODES]],4,13)</f>
        <v/>
      </c>
      <c r="C538" s="2" t="str">
        <f>IFERROR(VLOOKUP(TableQR[[#This Row],[BARCODES]],ILACLISTE[#All],2,0),"")</f>
        <v/>
      </c>
      <c r="D538" s="2">
        <f t="shared" si="8"/>
        <v>0</v>
      </c>
      <c r="E538" s="14" t="str">
        <f>IFERROR(GIZLI!G533,"")</f>
        <v/>
      </c>
    </row>
    <row r="539" spans="2:5" x14ac:dyDescent="0.3">
      <c r="B539" s="2" t="str">
        <f>MID(TableQR[[#This Row],[QR CODES]],4,13)</f>
        <v/>
      </c>
      <c r="C539" s="2" t="str">
        <f>IFERROR(VLOOKUP(TableQR[[#This Row],[BARCODES]],ILACLISTE[#All],2,0),"")</f>
        <v/>
      </c>
      <c r="D539" s="2">
        <f t="shared" si="8"/>
        <v>0</v>
      </c>
      <c r="E539" s="14" t="str">
        <f>IFERROR(GIZLI!G534,"")</f>
        <v/>
      </c>
    </row>
    <row r="540" spans="2:5" x14ac:dyDescent="0.3">
      <c r="B540" s="2" t="str">
        <f>MID(TableQR[[#This Row],[QR CODES]],4,13)</f>
        <v/>
      </c>
      <c r="C540" s="2" t="str">
        <f>IFERROR(VLOOKUP(TableQR[[#This Row],[BARCODES]],ILACLISTE[#All],2,0),"")</f>
        <v/>
      </c>
      <c r="D540" s="2">
        <f t="shared" si="8"/>
        <v>0</v>
      </c>
      <c r="E540" s="14" t="str">
        <f>IFERROR(GIZLI!G535,"")</f>
        <v/>
      </c>
    </row>
    <row r="541" spans="2:5" x14ac:dyDescent="0.3">
      <c r="B541" s="2" t="str">
        <f>MID(TableQR[[#This Row],[QR CODES]],4,13)</f>
        <v/>
      </c>
      <c r="C541" s="2" t="str">
        <f>IFERROR(VLOOKUP(TableQR[[#This Row],[BARCODES]],ILACLISTE[#All],2,0),"")</f>
        <v/>
      </c>
      <c r="D541" s="2">
        <f t="shared" si="8"/>
        <v>0</v>
      </c>
      <c r="E541" s="14" t="str">
        <f>IFERROR(GIZLI!G536,"")</f>
        <v/>
      </c>
    </row>
    <row r="542" spans="2:5" x14ac:dyDescent="0.3">
      <c r="B542" s="2" t="str">
        <f>MID(TableQR[[#This Row],[QR CODES]],4,13)</f>
        <v/>
      </c>
      <c r="C542" s="2" t="str">
        <f>IFERROR(VLOOKUP(TableQR[[#This Row],[BARCODES]],ILACLISTE[#All],2,0),"")</f>
        <v/>
      </c>
      <c r="D542" s="2">
        <f t="shared" si="8"/>
        <v>0</v>
      </c>
      <c r="E542" s="14" t="str">
        <f>IFERROR(GIZLI!G537,"")</f>
        <v/>
      </c>
    </row>
    <row r="543" spans="2:5" x14ac:dyDescent="0.3">
      <c r="B543" s="2" t="str">
        <f>MID(TableQR[[#This Row],[QR CODES]],4,13)</f>
        <v/>
      </c>
      <c r="C543" s="2" t="str">
        <f>IFERROR(VLOOKUP(TableQR[[#This Row],[BARCODES]],ILACLISTE[#All],2,0),"")</f>
        <v/>
      </c>
      <c r="D543" s="2">
        <f t="shared" si="8"/>
        <v>0</v>
      </c>
      <c r="E543" s="14" t="str">
        <f>IFERROR(GIZLI!G538,"")</f>
        <v/>
      </c>
    </row>
    <row r="544" spans="2:5" x14ac:dyDescent="0.3">
      <c r="B544" s="2" t="str">
        <f>MID(TableQR[[#This Row],[QR CODES]],4,13)</f>
        <v/>
      </c>
      <c r="C544" s="2" t="str">
        <f>IFERROR(VLOOKUP(TableQR[[#This Row],[BARCODES]],ILACLISTE[#All],2,0),"")</f>
        <v/>
      </c>
      <c r="D544" s="2">
        <f t="shared" si="8"/>
        <v>0</v>
      </c>
      <c r="E544" s="14" t="str">
        <f>IFERROR(GIZLI!G539,"")</f>
        <v/>
      </c>
    </row>
    <row r="545" spans="2:5" x14ac:dyDescent="0.3">
      <c r="B545" s="2" t="str">
        <f>MID(TableQR[[#This Row],[QR CODES]],4,13)</f>
        <v/>
      </c>
      <c r="C545" s="2" t="str">
        <f>IFERROR(VLOOKUP(TableQR[[#This Row],[BARCODES]],ILACLISTE[#All],2,0),"")</f>
        <v/>
      </c>
      <c r="D545" s="2">
        <f t="shared" si="8"/>
        <v>0</v>
      </c>
      <c r="E545" s="14" t="str">
        <f>IFERROR(GIZLI!G540,"")</f>
        <v/>
      </c>
    </row>
    <row r="546" spans="2:5" x14ac:dyDescent="0.3">
      <c r="B546" s="2" t="str">
        <f>MID(TableQR[[#This Row],[QR CODES]],4,13)</f>
        <v/>
      </c>
      <c r="C546" s="2" t="str">
        <f>IFERROR(VLOOKUP(TableQR[[#This Row],[BARCODES]],ILACLISTE[#All],2,0),"")</f>
        <v/>
      </c>
      <c r="D546" s="2">
        <f t="shared" si="8"/>
        <v>0</v>
      </c>
      <c r="E546" s="14" t="str">
        <f>IFERROR(GIZLI!G541,"")</f>
        <v/>
      </c>
    </row>
    <row r="547" spans="2:5" x14ac:dyDescent="0.3">
      <c r="B547" s="2" t="str">
        <f>MID(TableQR[[#This Row],[QR CODES]],4,13)</f>
        <v/>
      </c>
      <c r="C547" s="2" t="str">
        <f>IFERROR(VLOOKUP(TableQR[[#This Row],[BARCODES]],ILACLISTE[#All],2,0),"")</f>
        <v/>
      </c>
      <c r="D547" s="2">
        <f t="shared" si="8"/>
        <v>0</v>
      </c>
      <c r="E547" s="14" t="str">
        <f>IFERROR(GIZLI!G542,"")</f>
        <v/>
      </c>
    </row>
    <row r="548" spans="2:5" x14ac:dyDescent="0.3">
      <c r="B548" s="2" t="str">
        <f>MID(TableQR[[#This Row],[QR CODES]],4,13)</f>
        <v/>
      </c>
      <c r="C548" s="2" t="str">
        <f>IFERROR(VLOOKUP(TableQR[[#This Row],[BARCODES]],ILACLISTE[#All],2,0),"")</f>
        <v/>
      </c>
      <c r="D548" s="2">
        <f t="shared" si="8"/>
        <v>0</v>
      </c>
      <c r="E548" s="14" t="str">
        <f>IFERROR(GIZLI!G543,"")</f>
        <v/>
      </c>
    </row>
    <row r="549" spans="2:5" x14ac:dyDescent="0.3">
      <c r="B549" s="2" t="str">
        <f>MID(TableQR[[#This Row],[QR CODES]],4,13)</f>
        <v/>
      </c>
      <c r="C549" s="2" t="str">
        <f>IFERROR(VLOOKUP(TableQR[[#This Row],[BARCODES]],ILACLISTE[#All],2,0),"")</f>
        <v/>
      </c>
      <c r="D549" s="2">
        <f t="shared" si="8"/>
        <v>0</v>
      </c>
      <c r="E549" s="14" t="str">
        <f>IFERROR(GIZLI!G544,"")</f>
        <v/>
      </c>
    </row>
    <row r="550" spans="2:5" x14ac:dyDescent="0.3">
      <c r="B550" s="2" t="str">
        <f>MID(TableQR[[#This Row],[QR CODES]],4,13)</f>
        <v/>
      </c>
      <c r="C550" s="2" t="str">
        <f>IFERROR(VLOOKUP(TableQR[[#This Row],[BARCODES]],ILACLISTE[#All],2,0),"")</f>
        <v/>
      </c>
      <c r="D550" s="2">
        <f t="shared" si="8"/>
        <v>0</v>
      </c>
      <c r="E550" s="14" t="str">
        <f>IFERROR(GIZLI!G545,"")</f>
        <v/>
      </c>
    </row>
    <row r="551" spans="2:5" x14ac:dyDescent="0.3">
      <c r="B551" s="2" t="str">
        <f>MID(TableQR[[#This Row],[QR CODES]],4,13)</f>
        <v/>
      </c>
      <c r="C551" s="2" t="str">
        <f>IFERROR(VLOOKUP(TableQR[[#This Row],[BARCODES]],ILACLISTE[#All],2,0),"")</f>
        <v/>
      </c>
      <c r="D551" s="2">
        <f t="shared" si="8"/>
        <v>0</v>
      </c>
      <c r="E551" s="14" t="str">
        <f>IFERROR(GIZLI!G546,"")</f>
        <v/>
      </c>
    </row>
    <row r="552" spans="2:5" x14ac:dyDescent="0.3">
      <c r="B552" s="2" t="str">
        <f>MID(TableQR[[#This Row],[QR CODES]],4,13)</f>
        <v/>
      </c>
      <c r="C552" s="2" t="str">
        <f>IFERROR(VLOOKUP(TableQR[[#This Row],[BARCODES]],ILACLISTE[#All],2,0),"")</f>
        <v/>
      </c>
      <c r="D552" s="2">
        <f t="shared" si="8"/>
        <v>0</v>
      </c>
      <c r="E552" s="14" t="str">
        <f>IFERROR(GIZLI!G547,"")</f>
        <v/>
      </c>
    </row>
    <row r="553" spans="2:5" x14ac:dyDescent="0.3">
      <c r="B553" s="2" t="str">
        <f>MID(TableQR[[#This Row],[QR CODES]],4,13)</f>
        <v/>
      </c>
      <c r="C553" s="2" t="str">
        <f>IFERROR(VLOOKUP(TableQR[[#This Row],[BARCODES]],ILACLISTE[#All],2,0),"")</f>
        <v/>
      </c>
      <c r="D553" s="2">
        <f t="shared" si="8"/>
        <v>0</v>
      </c>
      <c r="E553" s="14" t="str">
        <f>IFERROR(GIZLI!G548,"")</f>
        <v/>
      </c>
    </row>
    <row r="554" spans="2:5" x14ac:dyDescent="0.3">
      <c r="B554" s="2" t="str">
        <f>MID(TableQR[[#This Row],[QR CODES]],4,13)</f>
        <v/>
      </c>
      <c r="C554" s="2" t="str">
        <f>IFERROR(VLOOKUP(TableQR[[#This Row],[BARCODES]],ILACLISTE[#All],2,0),"")</f>
        <v/>
      </c>
      <c r="D554" s="2">
        <f t="shared" si="8"/>
        <v>0</v>
      </c>
      <c r="E554" s="14" t="str">
        <f>IFERROR(GIZLI!G549,"")</f>
        <v/>
      </c>
    </row>
    <row r="555" spans="2:5" x14ac:dyDescent="0.3">
      <c r="B555" s="2" t="str">
        <f>MID(TableQR[[#This Row],[QR CODES]],4,13)</f>
        <v/>
      </c>
      <c r="C555" s="2" t="str">
        <f>IFERROR(VLOOKUP(TableQR[[#This Row],[BARCODES]],ILACLISTE[#All],2,0),"")</f>
        <v/>
      </c>
      <c r="D555" s="2">
        <f t="shared" si="8"/>
        <v>0</v>
      </c>
      <c r="E555" s="14" t="str">
        <f>IFERROR(GIZLI!G550,"")</f>
        <v/>
      </c>
    </row>
    <row r="556" spans="2:5" x14ac:dyDescent="0.3">
      <c r="B556" s="2" t="str">
        <f>MID(TableQR[[#This Row],[QR CODES]],4,13)</f>
        <v/>
      </c>
      <c r="C556" s="2" t="str">
        <f>IFERROR(VLOOKUP(TableQR[[#This Row],[BARCODES]],ILACLISTE[#All],2,0),"")</f>
        <v/>
      </c>
      <c r="D556" s="2">
        <f t="shared" si="8"/>
        <v>0</v>
      </c>
      <c r="E556" s="14" t="str">
        <f>IFERROR(GIZLI!G551,"")</f>
        <v/>
      </c>
    </row>
    <row r="557" spans="2:5" x14ac:dyDescent="0.3">
      <c r="B557" s="2" t="str">
        <f>MID(TableQR[[#This Row],[QR CODES]],4,13)</f>
        <v/>
      </c>
      <c r="C557" s="2" t="str">
        <f>IFERROR(VLOOKUP(TableQR[[#This Row],[BARCODES]],ILACLISTE[#All],2,0),"")</f>
        <v/>
      </c>
      <c r="D557" s="2">
        <f t="shared" si="8"/>
        <v>0</v>
      </c>
      <c r="E557" s="14" t="str">
        <f>IFERROR(GIZLI!G552,"")</f>
        <v/>
      </c>
    </row>
    <row r="558" spans="2:5" x14ac:dyDescent="0.3">
      <c r="B558" s="2" t="str">
        <f>MID(TableQR[[#This Row],[QR CODES]],4,13)</f>
        <v/>
      </c>
      <c r="C558" s="2" t="str">
        <f>IFERROR(VLOOKUP(TableQR[[#This Row],[BARCODES]],ILACLISTE[#All],2,0),"")</f>
        <v/>
      </c>
      <c r="D558" s="2">
        <f t="shared" si="8"/>
        <v>0</v>
      </c>
      <c r="E558" s="14" t="str">
        <f>IFERROR(GIZLI!G553,"")</f>
        <v/>
      </c>
    </row>
    <row r="559" spans="2:5" x14ac:dyDescent="0.3">
      <c r="B559" s="2" t="str">
        <f>MID(TableQR[[#This Row],[QR CODES]],4,13)</f>
        <v/>
      </c>
      <c r="C559" s="2" t="str">
        <f>IFERROR(VLOOKUP(TableQR[[#This Row],[BARCODES]],ILACLISTE[#All],2,0),"")</f>
        <v/>
      </c>
      <c r="D559" s="2">
        <f t="shared" si="8"/>
        <v>0</v>
      </c>
      <c r="E559" s="14" t="str">
        <f>IFERROR(GIZLI!G554,"")</f>
        <v/>
      </c>
    </row>
    <row r="560" spans="2:5" x14ac:dyDescent="0.3">
      <c r="B560" s="2" t="str">
        <f>MID(TableQR[[#This Row],[QR CODES]],4,13)</f>
        <v/>
      </c>
      <c r="C560" s="2" t="str">
        <f>IFERROR(VLOOKUP(TableQR[[#This Row],[BARCODES]],ILACLISTE[#All],2,0),"")</f>
        <v/>
      </c>
      <c r="D560" s="2">
        <f t="shared" si="8"/>
        <v>0</v>
      </c>
      <c r="E560" s="14" t="str">
        <f>IFERROR(GIZLI!G555,"")</f>
        <v/>
      </c>
    </row>
    <row r="561" spans="2:5" x14ac:dyDescent="0.3">
      <c r="B561" s="2" t="str">
        <f>MID(TableQR[[#This Row],[QR CODES]],4,13)</f>
        <v/>
      </c>
      <c r="C561" s="2" t="str">
        <f>IFERROR(VLOOKUP(TableQR[[#This Row],[BARCODES]],ILACLISTE[#All],2,0),"")</f>
        <v/>
      </c>
      <c r="D561" s="2">
        <f t="shared" si="8"/>
        <v>0</v>
      </c>
      <c r="E561" s="14" t="str">
        <f>IFERROR(GIZLI!G556,"")</f>
        <v/>
      </c>
    </row>
    <row r="562" spans="2:5" x14ac:dyDescent="0.3">
      <c r="B562" s="2" t="str">
        <f>MID(TableQR[[#This Row],[QR CODES]],4,13)</f>
        <v/>
      </c>
      <c r="C562" s="2" t="str">
        <f>IFERROR(VLOOKUP(TableQR[[#This Row],[BARCODES]],ILACLISTE[#All],2,0),"")</f>
        <v/>
      </c>
      <c r="D562" s="2">
        <f t="shared" si="8"/>
        <v>0</v>
      </c>
      <c r="E562" s="14" t="str">
        <f>IFERROR(GIZLI!G557,"")</f>
        <v/>
      </c>
    </row>
    <row r="563" spans="2:5" x14ac:dyDescent="0.3">
      <c r="B563" s="2" t="str">
        <f>MID(TableQR[[#This Row],[QR CODES]],4,13)</f>
        <v/>
      </c>
      <c r="C563" s="2" t="str">
        <f>IFERROR(VLOOKUP(TableQR[[#This Row],[BARCODES]],ILACLISTE[#All],2,0),"")</f>
        <v/>
      </c>
      <c r="D563" s="2">
        <f t="shared" si="8"/>
        <v>0</v>
      </c>
      <c r="E563" s="14" t="str">
        <f>IFERROR(GIZLI!G558,"")</f>
        <v/>
      </c>
    </row>
    <row r="564" spans="2:5" x14ac:dyDescent="0.3">
      <c r="B564" s="2" t="str">
        <f>MID(TableQR[[#This Row],[QR CODES]],4,13)</f>
        <v/>
      </c>
      <c r="C564" s="2" t="str">
        <f>IFERROR(VLOOKUP(TableQR[[#This Row],[BARCODES]],ILACLISTE[#All],2,0),"")</f>
        <v/>
      </c>
      <c r="D564" s="2">
        <f t="shared" si="8"/>
        <v>0</v>
      </c>
      <c r="E564" s="14" t="str">
        <f>IFERROR(GIZLI!G559,"")</f>
        <v/>
      </c>
    </row>
    <row r="565" spans="2:5" x14ac:dyDescent="0.3">
      <c r="B565" s="2" t="str">
        <f>MID(TableQR[[#This Row],[QR CODES]],4,13)</f>
        <v/>
      </c>
      <c r="C565" s="2" t="str">
        <f>IFERROR(VLOOKUP(TableQR[[#This Row],[BARCODES]],ILACLISTE[#All],2,0),"")</f>
        <v/>
      </c>
      <c r="D565" s="2">
        <f t="shared" si="8"/>
        <v>0</v>
      </c>
      <c r="E565" s="14" t="str">
        <f>IFERROR(GIZLI!G560,"")</f>
        <v/>
      </c>
    </row>
    <row r="566" spans="2:5" x14ac:dyDescent="0.3">
      <c r="B566" s="2" t="str">
        <f>MID(TableQR[[#This Row],[QR CODES]],4,13)</f>
        <v/>
      </c>
      <c r="C566" s="2" t="str">
        <f>IFERROR(VLOOKUP(TableQR[[#This Row],[BARCODES]],ILACLISTE[#All],2,0),"")</f>
        <v/>
      </c>
      <c r="D566" s="2">
        <f t="shared" si="8"/>
        <v>0</v>
      </c>
      <c r="E566" s="14" t="str">
        <f>IFERROR(GIZLI!G561,"")</f>
        <v/>
      </c>
    </row>
    <row r="567" spans="2:5" x14ac:dyDescent="0.3">
      <c r="B567" s="2" t="str">
        <f>MID(TableQR[[#This Row],[QR CODES]],4,13)</f>
        <v/>
      </c>
      <c r="C567" s="2" t="str">
        <f>IFERROR(VLOOKUP(TableQR[[#This Row],[BARCODES]],ILACLISTE[#All],2,0),"")</f>
        <v/>
      </c>
      <c r="D567" s="2">
        <f t="shared" si="8"/>
        <v>0</v>
      </c>
      <c r="E567" s="14" t="str">
        <f>IFERROR(GIZLI!G562,"")</f>
        <v/>
      </c>
    </row>
    <row r="568" spans="2:5" x14ac:dyDescent="0.3">
      <c r="B568" s="2" t="str">
        <f>MID(TableQR[[#This Row],[QR CODES]],4,13)</f>
        <v/>
      </c>
      <c r="C568" s="2" t="str">
        <f>IFERROR(VLOOKUP(TableQR[[#This Row],[BARCODES]],ILACLISTE[#All],2,0),"")</f>
        <v/>
      </c>
      <c r="D568" s="2">
        <f t="shared" si="8"/>
        <v>0</v>
      </c>
      <c r="E568" s="14" t="str">
        <f>IFERROR(GIZLI!G563,"")</f>
        <v/>
      </c>
    </row>
    <row r="569" spans="2:5" x14ac:dyDescent="0.3">
      <c r="B569" s="2" t="str">
        <f>MID(TableQR[[#This Row],[QR CODES]],4,13)</f>
        <v/>
      </c>
      <c r="C569" s="2" t="str">
        <f>IFERROR(VLOOKUP(TableQR[[#This Row],[BARCODES]],ILACLISTE[#All],2,0),"")</f>
        <v/>
      </c>
      <c r="D569" s="2">
        <f t="shared" si="8"/>
        <v>0</v>
      </c>
      <c r="E569" s="14" t="str">
        <f>IFERROR(GIZLI!G564,"")</f>
        <v/>
      </c>
    </row>
    <row r="570" spans="2:5" x14ac:dyDescent="0.3">
      <c r="B570" s="2" t="str">
        <f>MID(TableQR[[#This Row],[QR CODES]],4,13)</f>
        <v/>
      </c>
      <c r="C570" s="2" t="str">
        <f>IFERROR(VLOOKUP(TableQR[[#This Row],[BARCODES]],ILACLISTE[#All],2,0),"")</f>
        <v/>
      </c>
      <c r="D570" s="2">
        <f t="shared" si="8"/>
        <v>0</v>
      </c>
      <c r="E570" s="14" t="str">
        <f>IFERROR(GIZLI!G565,"")</f>
        <v/>
      </c>
    </row>
    <row r="571" spans="2:5" x14ac:dyDescent="0.3">
      <c r="B571" s="2" t="str">
        <f>MID(TableQR[[#This Row],[QR CODES]],4,13)</f>
        <v/>
      </c>
      <c r="C571" s="2" t="str">
        <f>IFERROR(VLOOKUP(TableQR[[#This Row],[BARCODES]],ILACLISTE[#All],2,0),"")</f>
        <v/>
      </c>
      <c r="D571" s="2">
        <f t="shared" si="8"/>
        <v>0</v>
      </c>
      <c r="E571" s="14" t="str">
        <f>IFERROR(GIZLI!G566,"")</f>
        <v/>
      </c>
    </row>
    <row r="572" spans="2:5" x14ac:dyDescent="0.3">
      <c r="B572" s="2" t="str">
        <f>MID(TableQR[[#This Row],[QR CODES]],4,13)</f>
        <v/>
      </c>
      <c r="C572" s="2" t="str">
        <f>IFERROR(VLOOKUP(TableQR[[#This Row],[BARCODES]],ILACLISTE[#All],2,0),"")</f>
        <v/>
      </c>
      <c r="D572" s="2">
        <f t="shared" si="8"/>
        <v>0</v>
      </c>
      <c r="E572" s="14" t="str">
        <f>IFERROR(GIZLI!G567,"")</f>
        <v/>
      </c>
    </row>
    <row r="573" spans="2:5" x14ac:dyDescent="0.3">
      <c r="B573" s="2" t="str">
        <f>MID(TableQR[[#This Row],[QR CODES]],4,13)</f>
        <v/>
      </c>
      <c r="C573" s="2" t="str">
        <f>IFERROR(VLOOKUP(TableQR[[#This Row],[BARCODES]],ILACLISTE[#All],2,0),"")</f>
        <v/>
      </c>
      <c r="D573" s="2">
        <f t="shared" si="8"/>
        <v>0</v>
      </c>
      <c r="E573" s="14" t="str">
        <f>IFERROR(GIZLI!G568,"")</f>
        <v/>
      </c>
    </row>
    <row r="574" spans="2:5" x14ac:dyDescent="0.3">
      <c r="B574" s="2" t="str">
        <f>MID(TableQR[[#This Row],[QR CODES]],4,13)</f>
        <v/>
      </c>
      <c r="C574" s="2" t="str">
        <f>IFERROR(VLOOKUP(TableQR[[#This Row],[BARCODES]],ILACLISTE[#All],2,0),"")</f>
        <v/>
      </c>
      <c r="D574" s="2">
        <f t="shared" si="8"/>
        <v>0</v>
      </c>
      <c r="E574" s="14" t="str">
        <f>IFERROR(GIZLI!G569,"")</f>
        <v/>
      </c>
    </row>
    <row r="575" spans="2:5" x14ac:dyDescent="0.3">
      <c r="B575" s="2" t="str">
        <f>MID(TableQR[[#This Row],[QR CODES]],4,13)</f>
        <v/>
      </c>
      <c r="C575" s="2" t="str">
        <f>IFERROR(VLOOKUP(TableQR[[#This Row],[BARCODES]],ILACLISTE[#All],2,0),"")</f>
        <v/>
      </c>
      <c r="D575" s="2">
        <f t="shared" si="8"/>
        <v>0</v>
      </c>
      <c r="E575" s="14" t="str">
        <f>IFERROR(GIZLI!G570,"")</f>
        <v/>
      </c>
    </row>
    <row r="576" spans="2:5" x14ac:dyDescent="0.3">
      <c r="B576" s="2" t="str">
        <f>MID(TableQR[[#This Row],[QR CODES]],4,13)</f>
        <v/>
      </c>
      <c r="C576" s="2" t="str">
        <f>IFERROR(VLOOKUP(TableQR[[#This Row],[BARCODES]],ILACLISTE[#All],2,0),"")</f>
        <v/>
      </c>
      <c r="D576" s="2">
        <f t="shared" si="8"/>
        <v>0</v>
      </c>
      <c r="E576" s="14" t="str">
        <f>IFERROR(GIZLI!G571,"")</f>
        <v/>
      </c>
    </row>
    <row r="577" spans="2:5" x14ac:dyDescent="0.3">
      <c r="B577" s="2" t="str">
        <f>MID(TableQR[[#This Row],[QR CODES]],4,13)</f>
        <v/>
      </c>
      <c r="C577" s="2" t="str">
        <f>IFERROR(VLOOKUP(TableQR[[#This Row],[BARCODES]],ILACLISTE[#All],2,0),"")</f>
        <v/>
      </c>
      <c r="D577" s="2">
        <f t="shared" si="8"/>
        <v>0</v>
      </c>
      <c r="E577" s="14" t="str">
        <f>IFERROR(GIZLI!G572,"")</f>
        <v/>
      </c>
    </row>
    <row r="578" spans="2:5" x14ac:dyDescent="0.3">
      <c r="B578" s="2" t="str">
        <f>MID(TableQR[[#This Row],[QR CODES]],4,13)</f>
        <v/>
      </c>
      <c r="C578" s="2" t="str">
        <f>IFERROR(VLOOKUP(TableQR[[#This Row],[BARCODES]],ILACLISTE[#All],2,0),"")</f>
        <v/>
      </c>
      <c r="D578" s="2">
        <f t="shared" si="8"/>
        <v>0</v>
      </c>
      <c r="E578" s="14" t="str">
        <f>IFERROR(GIZLI!G573,"")</f>
        <v/>
      </c>
    </row>
    <row r="579" spans="2:5" x14ac:dyDescent="0.3">
      <c r="B579" s="2" t="str">
        <f>MID(TableQR[[#This Row],[QR CODES]],4,13)</f>
        <v/>
      </c>
      <c r="C579" s="2" t="str">
        <f>IFERROR(VLOOKUP(TableQR[[#This Row],[BARCODES]],ILACLISTE[#All],2,0),"")</f>
        <v/>
      </c>
      <c r="D579" s="2">
        <f t="shared" si="8"/>
        <v>0</v>
      </c>
      <c r="E579" s="14" t="str">
        <f>IFERROR(GIZLI!G574,"")</f>
        <v/>
      </c>
    </row>
    <row r="580" spans="2:5" x14ac:dyDescent="0.3">
      <c r="B580" s="2" t="str">
        <f>MID(TableQR[[#This Row],[QR CODES]],4,13)</f>
        <v/>
      </c>
      <c r="C580" s="2" t="str">
        <f>IFERROR(VLOOKUP(TableQR[[#This Row],[BARCODES]],ILACLISTE[#All],2,0),"")</f>
        <v/>
      </c>
      <c r="D580" s="2">
        <f t="shared" si="8"/>
        <v>0</v>
      </c>
      <c r="E580" s="14" t="str">
        <f>IFERROR(GIZLI!G575,"")</f>
        <v/>
      </c>
    </row>
    <row r="581" spans="2:5" x14ac:dyDescent="0.3">
      <c r="B581" s="2" t="str">
        <f>MID(TableQR[[#This Row],[QR CODES]],4,13)</f>
        <v/>
      </c>
      <c r="C581" s="2" t="str">
        <f>IFERROR(VLOOKUP(TableQR[[#This Row],[BARCODES]],ILACLISTE[#All],2,0),"")</f>
        <v/>
      </c>
      <c r="D581" s="2">
        <f t="shared" si="8"/>
        <v>0</v>
      </c>
      <c r="E581" s="14" t="str">
        <f>IFERROR(GIZLI!G576,"")</f>
        <v/>
      </c>
    </row>
    <row r="582" spans="2:5" x14ac:dyDescent="0.3">
      <c r="B582" s="2" t="str">
        <f>MID(TableQR[[#This Row],[QR CODES]],4,13)</f>
        <v/>
      </c>
      <c r="C582" s="2" t="str">
        <f>IFERROR(VLOOKUP(TableQR[[#This Row],[BARCODES]],ILACLISTE[#All],2,0),"")</f>
        <v/>
      </c>
      <c r="D582" s="2">
        <f t="shared" si="8"/>
        <v>0</v>
      </c>
      <c r="E582" s="14" t="str">
        <f>IFERROR(GIZLI!G577,"")</f>
        <v/>
      </c>
    </row>
    <row r="583" spans="2:5" x14ac:dyDescent="0.3">
      <c r="B583" s="2" t="str">
        <f>MID(TableQR[[#This Row],[QR CODES]],4,13)</f>
        <v/>
      </c>
      <c r="C583" s="2" t="str">
        <f>IFERROR(VLOOKUP(TableQR[[#This Row],[BARCODES]],ILACLISTE[#All],2,0),"")</f>
        <v/>
      </c>
      <c r="D583" s="2">
        <f t="shared" si="8"/>
        <v>0</v>
      </c>
      <c r="E583" s="14" t="str">
        <f>IFERROR(GIZLI!G578,"")</f>
        <v/>
      </c>
    </row>
    <row r="584" spans="2:5" x14ac:dyDescent="0.3">
      <c r="B584" s="2" t="str">
        <f>MID(TableQR[[#This Row],[QR CODES]],4,13)</f>
        <v/>
      </c>
      <c r="C584" s="2" t="str">
        <f>IFERROR(VLOOKUP(TableQR[[#This Row],[BARCODES]],ILACLISTE[#All],2,0),"")</f>
        <v/>
      </c>
      <c r="D584" s="2">
        <f t="shared" ref="D584:D647" si="9">COUNTIF(B584:B4577,IF(B584="",66666,B584))</f>
        <v>0</v>
      </c>
      <c r="E584" s="14" t="str">
        <f>IFERROR(GIZLI!G579,"")</f>
        <v/>
      </c>
    </row>
    <row r="585" spans="2:5" x14ac:dyDescent="0.3">
      <c r="B585" s="2" t="str">
        <f>MID(TableQR[[#This Row],[QR CODES]],4,13)</f>
        <v/>
      </c>
      <c r="C585" s="2" t="str">
        <f>IFERROR(VLOOKUP(TableQR[[#This Row],[BARCODES]],ILACLISTE[#All],2,0),"")</f>
        <v/>
      </c>
      <c r="D585" s="2">
        <f t="shared" si="9"/>
        <v>0</v>
      </c>
      <c r="E585" s="14" t="str">
        <f>IFERROR(GIZLI!G580,"")</f>
        <v/>
      </c>
    </row>
    <row r="586" spans="2:5" x14ac:dyDescent="0.3">
      <c r="B586" s="2" t="str">
        <f>MID(TableQR[[#This Row],[QR CODES]],4,13)</f>
        <v/>
      </c>
      <c r="C586" s="2" t="str">
        <f>IFERROR(VLOOKUP(TableQR[[#This Row],[BARCODES]],ILACLISTE[#All],2,0),"")</f>
        <v/>
      </c>
      <c r="D586" s="2">
        <f t="shared" si="9"/>
        <v>0</v>
      </c>
      <c r="E586" s="14" t="str">
        <f>IFERROR(GIZLI!G581,"")</f>
        <v/>
      </c>
    </row>
    <row r="587" spans="2:5" x14ac:dyDescent="0.3">
      <c r="B587" s="2" t="str">
        <f>MID(TableQR[[#This Row],[QR CODES]],4,13)</f>
        <v/>
      </c>
      <c r="C587" s="2" t="str">
        <f>IFERROR(VLOOKUP(TableQR[[#This Row],[BARCODES]],ILACLISTE[#All],2,0),"")</f>
        <v/>
      </c>
      <c r="D587" s="2">
        <f t="shared" si="9"/>
        <v>0</v>
      </c>
      <c r="E587" s="14" t="str">
        <f>IFERROR(GIZLI!G582,"")</f>
        <v/>
      </c>
    </row>
    <row r="588" spans="2:5" x14ac:dyDescent="0.3">
      <c r="B588" s="2" t="str">
        <f>MID(TableQR[[#This Row],[QR CODES]],4,13)</f>
        <v/>
      </c>
      <c r="C588" s="2" t="str">
        <f>IFERROR(VLOOKUP(TableQR[[#This Row],[BARCODES]],ILACLISTE[#All],2,0),"")</f>
        <v/>
      </c>
      <c r="D588" s="2">
        <f t="shared" si="9"/>
        <v>0</v>
      </c>
      <c r="E588" s="14" t="str">
        <f>IFERROR(GIZLI!G583,"")</f>
        <v/>
      </c>
    </row>
    <row r="589" spans="2:5" x14ac:dyDescent="0.3">
      <c r="B589" s="2" t="str">
        <f>MID(TableQR[[#This Row],[QR CODES]],4,13)</f>
        <v/>
      </c>
      <c r="C589" s="2" t="str">
        <f>IFERROR(VLOOKUP(TableQR[[#This Row],[BARCODES]],ILACLISTE[#All],2,0),"")</f>
        <v/>
      </c>
      <c r="D589" s="2">
        <f t="shared" si="9"/>
        <v>0</v>
      </c>
      <c r="E589" s="14" t="str">
        <f>IFERROR(GIZLI!G584,"")</f>
        <v/>
      </c>
    </row>
    <row r="590" spans="2:5" x14ac:dyDescent="0.3">
      <c r="B590" s="2" t="str">
        <f>MID(TableQR[[#This Row],[QR CODES]],4,13)</f>
        <v/>
      </c>
      <c r="C590" s="2" t="str">
        <f>IFERROR(VLOOKUP(TableQR[[#This Row],[BARCODES]],ILACLISTE[#All],2,0),"")</f>
        <v/>
      </c>
      <c r="D590" s="2">
        <f t="shared" si="9"/>
        <v>0</v>
      </c>
      <c r="E590" s="14" t="str">
        <f>IFERROR(GIZLI!G585,"")</f>
        <v/>
      </c>
    </row>
    <row r="591" spans="2:5" x14ac:dyDescent="0.3">
      <c r="B591" s="2" t="str">
        <f>MID(TableQR[[#This Row],[QR CODES]],4,13)</f>
        <v/>
      </c>
      <c r="C591" s="2" t="str">
        <f>IFERROR(VLOOKUP(TableQR[[#This Row],[BARCODES]],ILACLISTE[#All],2,0),"")</f>
        <v/>
      </c>
      <c r="D591" s="2">
        <f t="shared" si="9"/>
        <v>0</v>
      </c>
      <c r="E591" s="14" t="str">
        <f>IFERROR(GIZLI!G586,"")</f>
        <v/>
      </c>
    </row>
    <row r="592" spans="2:5" x14ac:dyDescent="0.3">
      <c r="B592" s="2" t="str">
        <f>MID(TableQR[[#This Row],[QR CODES]],4,13)</f>
        <v/>
      </c>
      <c r="C592" s="2" t="str">
        <f>IFERROR(VLOOKUP(TableQR[[#This Row],[BARCODES]],ILACLISTE[#All],2,0),"")</f>
        <v/>
      </c>
      <c r="D592" s="2">
        <f t="shared" si="9"/>
        <v>0</v>
      </c>
      <c r="E592" s="14" t="str">
        <f>IFERROR(GIZLI!G587,"")</f>
        <v/>
      </c>
    </row>
    <row r="593" spans="2:5" x14ac:dyDescent="0.3">
      <c r="B593" s="2" t="str">
        <f>MID(TableQR[[#This Row],[QR CODES]],4,13)</f>
        <v/>
      </c>
      <c r="C593" s="2" t="str">
        <f>IFERROR(VLOOKUP(TableQR[[#This Row],[BARCODES]],ILACLISTE[#All],2,0),"")</f>
        <v/>
      </c>
      <c r="D593" s="2">
        <f t="shared" si="9"/>
        <v>0</v>
      </c>
      <c r="E593" s="14" t="str">
        <f>IFERROR(GIZLI!G588,"")</f>
        <v/>
      </c>
    </row>
    <row r="594" spans="2:5" x14ac:dyDescent="0.3">
      <c r="B594" s="2" t="str">
        <f>MID(TableQR[[#This Row],[QR CODES]],4,13)</f>
        <v/>
      </c>
      <c r="C594" s="2" t="str">
        <f>IFERROR(VLOOKUP(TableQR[[#This Row],[BARCODES]],ILACLISTE[#All],2,0),"")</f>
        <v/>
      </c>
      <c r="D594" s="2">
        <f t="shared" si="9"/>
        <v>0</v>
      </c>
      <c r="E594" s="14" t="str">
        <f>IFERROR(GIZLI!G589,"")</f>
        <v/>
      </c>
    </row>
    <row r="595" spans="2:5" x14ac:dyDescent="0.3">
      <c r="B595" s="2" t="str">
        <f>MID(TableQR[[#This Row],[QR CODES]],4,13)</f>
        <v/>
      </c>
      <c r="C595" s="2" t="str">
        <f>IFERROR(VLOOKUP(TableQR[[#This Row],[BARCODES]],ILACLISTE[#All],2,0),"")</f>
        <v/>
      </c>
      <c r="D595" s="2">
        <f t="shared" si="9"/>
        <v>0</v>
      </c>
      <c r="E595" s="14" t="str">
        <f>IFERROR(GIZLI!G590,"")</f>
        <v/>
      </c>
    </row>
    <row r="596" spans="2:5" x14ac:dyDescent="0.3">
      <c r="B596" s="2" t="str">
        <f>MID(TableQR[[#This Row],[QR CODES]],4,13)</f>
        <v/>
      </c>
      <c r="C596" s="2" t="str">
        <f>IFERROR(VLOOKUP(TableQR[[#This Row],[BARCODES]],ILACLISTE[#All],2,0),"")</f>
        <v/>
      </c>
      <c r="D596" s="2">
        <f t="shared" si="9"/>
        <v>0</v>
      </c>
      <c r="E596" s="14" t="str">
        <f>IFERROR(GIZLI!G591,"")</f>
        <v/>
      </c>
    </row>
    <row r="597" spans="2:5" x14ac:dyDescent="0.3">
      <c r="B597" s="2" t="str">
        <f>MID(TableQR[[#This Row],[QR CODES]],4,13)</f>
        <v/>
      </c>
      <c r="C597" s="2" t="str">
        <f>IFERROR(VLOOKUP(TableQR[[#This Row],[BARCODES]],ILACLISTE[#All],2,0),"")</f>
        <v/>
      </c>
      <c r="D597" s="2">
        <f t="shared" si="9"/>
        <v>0</v>
      </c>
      <c r="E597" s="14" t="str">
        <f>IFERROR(GIZLI!G592,"")</f>
        <v/>
      </c>
    </row>
    <row r="598" spans="2:5" x14ac:dyDescent="0.3">
      <c r="B598" s="2" t="str">
        <f>MID(TableQR[[#This Row],[QR CODES]],4,13)</f>
        <v/>
      </c>
      <c r="C598" s="2" t="str">
        <f>IFERROR(VLOOKUP(TableQR[[#This Row],[BARCODES]],ILACLISTE[#All],2,0),"")</f>
        <v/>
      </c>
      <c r="D598" s="2">
        <f t="shared" si="9"/>
        <v>0</v>
      </c>
      <c r="E598" s="14" t="str">
        <f>IFERROR(GIZLI!G593,"")</f>
        <v/>
      </c>
    </row>
    <row r="599" spans="2:5" x14ac:dyDescent="0.3">
      <c r="B599" s="2" t="str">
        <f>MID(TableQR[[#This Row],[QR CODES]],4,13)</f>
        <v/>
      </c>
      <c r="C599" s="2" t="str">
        <f>IFERROR(VLOOKUP(TableQR[[#This Row],[BARCODES]],ILACLISTE[#All],2,0),"")</f>
        <v/>
      </c>
      <c r="D599" s="2">
        <f t="shared" si="9"/>
        <v>0</v>
      </c>
      <c r="E599" s="14" t="str">
        <f>IFERROR(GIZLI!G594,"")</f>
        <v/>
      </c>
    </row>
    <row r="600" spans="2:5" x14ac:dyDescent="0.3">
      <c r="B600" s="2" t="str">
        <f>MID(TableQR[[#This Row],[QR CODES]],4,13)</f>
        <v/>
      </c>
      <c r="C600" s="2" t="str">
        <f>IFERROR(VLOOKUP(TableQR[[#This Row],[BARCODES]],ILACLISTE[#All],2,0),"")</f>
        <v/>
      </c>
      <c r="D600" s="2">
        <f t="shared" si="9"/>
        <v>0</v>
      </c>
      <c r="E600" s="14" t="str">
        <f>IFERROR(GIZLI!G595,"")</f>
        <v/>
      </c>
    </row>
    <row r="601" spans="2:5" x14ac:dyDescent="0.3">
      <c r="B601" s="2" t="str">
        <f>MID(TableQR[[#This Row],[QR CODES]],4,13)</f>
        <v/>
      </c>
      <c r="C601" s="2" t="str">
        <f>IFERROR(VLOOKUP(TableQR[[#This Row],[BARCODES]],ILACLISTE[#All],2,0),"")</f>
        <v/>
      </c>
      <c r="D601" s="2">
        <f t="shared" si="9"/>
        <v>0</v>
      </c>
      <c r="E601" s="14" t="str">
        <f>IFERROR(GIZLI!G596,"")</f>
        <v/>
      </c>
    </row>
    <row r="602" spans="2:5" x14ac:dyDescent="0.3">
      <c r="B602" s="2" t="str">
        <f>MID(TableQR[[#This Row],[QR CODES]],4,13)</f>
        <v/>
      </c>
      <c r="C602" s="2" t="str">
        <f>IFERROR(VLOOKUP(TableQR[[#This Row],[BARCODES]],ILACLISTE[#All],2,0),"")</f>
        <v/>
      </c>
      <c r="D602" s="2">
        <f t="shared" si="9"/>
        <v>0</v>
      </c>
      <c r="E602" s="14" t="str">
        <f>IFERROR(GIZLI!G597,"")</f>
        <v/>
      </c>
    </row>
    <row r="603" spans="2:5" x14ac:dyDescent="0.3">
      <c r="B603" s="2" t="str">
        <f>MID(TableQR[[#This Row],[QR CODES]],4,13)</f>
        <v/>
      </c>
      <c r="C603" s="2" t="str">
        <f>IFERROR(VLOOKUP(TableQR[[#This Row],[BARCODES]],ILACLISTE[#All],2,0),"")</f>
        <v/>
      </c>
      <c r="D603" s="2">
        <f t="shared" si="9"/>
        <v>0</v>
      </c>
      <c r="E603" s="14" t="str">
        <f>IFERROR(GIZLI!G598,"")</f>
        <v/>
      </c>
    </row>
    <row r="604" spans="2:5" x14ac:dyDescent="0.3">
      <c r="B604" s="2" t="str">
        <f>MID(TableQR[[#This Row],[QR CODES]],4,13)</f>
        <v/>
      </c>
      <c r="C604" s="2" t="str">
        <f>IFERROR(VLOOKUP(TableQR[[#This Row],[BARCODES]],ILACLISTE[#All],2,0),"")</f>
        <v/>
      </c>
      <c r="D604" s="2">
        <f t="shared" si="9"/>
        <v>0</v>
      </c>
      <c r="E604" s="14" t="str">
        <f>IFERROR(GIZLI!G599,"")</f>
        <v/>
      </c>
    </row>
    <row r="605" spans="2:5" x14ac:dyDescent="0.3">
      <c r="B605" s="2" t="str">
        <f>MID(TableQR[[#This Row],[QR CODES]],4,13)</f>
        <v/>
      </c>
      <c r="C605" s="2" t="str">
        <f>IFERROR(VLOOKUP(TableQR[[#This Row],[BARCODES]],ILACLISTE[#All],2,0),"")</f>
        <v/>
      </c>
      <c r="D605" s="2">
        <f t="shared" si="9"/>
        <v>0</v>
      </c>
      <c r="E605" s="14" t="str">
        <f>IFERROR(GIZLI!G600,"")</f>
        <v/>
      </c>
    </row>
    <row r="606" spans="2:5" x14ac:dyDescent="0.3">
      <c r="B606" s="2" t="str">
        <f>MID(TableQR[[#This Row],[QR CODES]],4,13)</f>
        <v/>
      </c>
      <c r="C606" s="2" t="str">
        <f>IFERROR(VLOOKUP(TableQR[[#This Row],[BARCODES]],ILACLISTE[#All],2,0),"")</f>
        <v/>
      </c>
      <c r="D606" s="2">
        <f t="shared" si="9"/>
        <v>0</v>
      </c>
      <c r="E606" s="14" t="str">
        <f>IFERROR(GIZLI!G601,"")</f>
        <v/>
      </c>
    </row>
    <row r="607" spans="2:5" x14ac:dyDescent="0.3">
      <c r="B607" s="2" t="str">
        <f>MID(TableQR[[#This Row],[QR CODES]],4,13)</f>
        <v/>
      </c>
      <c r="C607" s="2" t="str">
        <f>IFERROR(VLOOKUP(TableQR[[#This Row],[BARCODES]],ILACLISTE[#All],2,0),"")</f>
        <v/>
      </c>
      <c r="D607" s="2">
        <f t="shared" si="9"/>
        <v>0</v>
      </c>
      <c r="E607" s="14" t="str">
        <f>IFERROR(GIZLI!G602,"")</f>
        <v/>
      </c>
    </row>
    <row r="608" spans="2:5" x14ac:dyDescent="0.3">
      <c r="B608" s="2" t="str">
        <f>MID(TableQR[[#This Row],[QR CODES]],4,13)</f>
        <v/>
      </c>
      <c r="C608" s="2" t="str">
        <f>IFERROR(VLOOKUP(TableQR[[#This Row],[BARCODES]],ILACLISTE[#All],2,0),"")</f>
        <v/>
      </c>
      <c r="D608" s="2">
        <f t="shared" si="9"/>
        <v>0</v>
      </c>
      <c r="E608" s="14" t="str">
        <f>IFERROR(GIZLI!G603,"")</f>
        <v/>
      </c>
    </row>
    <row r="609" spans="2:5" x14ac:dyDescent="0.3">
      <c r="B609" s="2" t="str">
        <f>MID(TableQR[[#This Row],[QR CODES]],4,13)</f>
        <v/>
      </c>
      <c r="C609" s="2" t="str">
        <f>IFERROR(VLOOKUP(TableQR[[#This Row],[BARCODES]],ILACLISTE[#All],2,0),"")</f>
        <v/>
      </c>
      <c r="D609" s="2">
        <f t="shared" si="9"/>
        <v>0</v>
      </c>
      <c r="E609" s="14" t="str">
        <f>IFERROR(GIZLI!G604,"")</f>
        <v/>
      </c>
    </row>
    <row r="610" spans="2:5" x14ac:dyDescent="0.3">
      <c r="B610" s="2" t="str">
        <f>MID(TableQR[[#This Row],[QR CODES]],4,13)</f>
        <v/>
      </c>
      <c r="C610" s="2" t="str">
        <f>IFERROR(VLOOKUP(TableQR[[#This Row],[BARCODES]],ILACLISTE[#All],2,0),"")</f>
        <v/>
      </c>
      <c r="D610" s="2">
        <f t="shared" si="9"/>
        <v>0</v>
      </c>
      <c r="E610" s="14" t="str">
        <f>IFERROR(GIZLI!G605,"")</f>
        <v/>
      </c>
    </row>
    <row r="611" spans="2:5" x14ac:dyDescent="0.3">
      <c r="B611" s="2" t="str">
        <f>MID(TableQR[[#This Row],[QR CODES]],4,13)</f>
        <v/>
      </c>
      <c r="C611" s="2" t="str">
        <f>IFERROR(VLOOKUP(TableQR[[#This Row],[BARCODES]],ILACLISTE[#All],2,0),"")</f>
        <v/>
      </c>
      <c r="D611" s="2">
        <f t="shared" si="9"/>
        <v>0</v>
      </c>
      <c r="E611" s="14" t="str">
        <f>IFERROR(GIZLI!G606,"")</f>
        <v/>
      </c>
    </row>
    <row r="612" spans="2:5" x14ac:dyDescent="0.3">
      <c r="B612" s="2" t="str">
        <f>MID(TableQR[[#This Row],[QR CODES]],4,13)</f>
        <v/>
      </c>
      <c r="C612" s="2" t="str">
        <f>IFERROR(VLOOKUP(TableQR[[#This Row],[BARCODES]],ILACLISTE[#All],2,0),"")</f>
        <v/>
      </c>
      <c r="D612" s="2">
        <f t="shared" si="9"/>
        <v>0</v>
      </c>
      <c r="E612" s="14" t="str">
        <f>IFERROR(GIZLI!G607,"")</f>
        <v/>
      </c>
    </row>
    <row r="613" spans="2:5" x14ac:dyDescent="0.3">
      <c r="B613" s="2" t="str">
        <f>MID(TableQR[[#This Row],[QR CODES]],4,13)</f>
        <v/>
      </c>
      <c r="C613" s="2" t="str">
        <f>IFERROR(VLOOKUP(TableQR[[#This Row],[BARCODES]],ILACLISTE[#All],2,0),"")</f>
        <v/>
      </c>
      <c r="D613" s="2">
        <f t="shared" si="9"/>
        <v>0</v>
      </c>
      <c r="E613" s="14" t="str">
        <f>IFERROR(GIZLI!G608,"")</f>
        <v/>
      </c>
    </row>
    <row r="614" spans="2:5" x14ac:dyDescent="0.3">
      <c r="B614" s="2" t="str">
        <f>MID(TableQR[[#This Row],[QR CODES]],4,13)</f>
        <v/>
      </c>
      <c r="C614" s="2" t="str">
        <f>IFERROR(VLOOKUP(TableQR[[#This Row],[BARCODES]],ILACLISTE[#All],2,0),"")</f>
        <v/>
      </c>
      <c r="D614" s="2">
        <f t="shared" si="9"/>
        <v>0</v>
      </c>
      <c r="E614" s="14" t="str">
        <f>IFERROR(GIZLI!G609,"")</f>
        <v/>
      </c>
    </row>
    <row r="615" spans="2:5" x14ac:dyDescent="0.3">
      <c r="B615" s="2" t="str">
        <f>MID(TableQR[[#This Row],[QR CODES]],4,13)</f>
        <v/>
      </c>
      <c r="C615" s="2" t="str">
        <f>IFERROR(VLOOKUP(TableQR[[#This Row],[BARCODES]],ILACLISTE[#All],2,0),"")</f>
        <v/>
      </c>
      <c r="D615" s="2">
        <f t="shared" si="9"/>
        <v>0</v>
      </c>
      <c r="E615" s="14" t="str">
        <f>IFERROR(GIZLI!G610,"")</f>
        <v/>
      </c>
    </row>
    <row r="616" spans="2:5" x14ac:dyDescent="0.3">
      <c r="B616" s="2" t="str">
        <f>MID(TableQR[[#This Row],[QR CODES]],4,13)</f>
        <v/>
      </c>
      <c r="C616" s="2" t="str">
        <f>IFERROR(VLOOKUP(TableQR[[#This Row],[BARCODES]],ILACLISTE[#All],2,0),"")</f>
        <v/>
      </c>
      <c r="D616" s="2">
        <f t="shared" si="9"/>
        <v>0</v>
      </c>
      <c r="E616" s="14" t="str">
        <f>IFERROR(GIZLI!G611,"")</f>
        <v/>
      </c>
    </row>
    <row r="617" spans="2:5" x14ac:dyDescent="0.3">
      <c r="B617" s="2" t="str">
        <f>MID(TableQR[[#This Row],[QR CODES]],4,13)</f>
        <v/>
      </c>
      <c r="C617" s="2" t="str">
        <f>IFERROR(VLOOKUP(TableQR[[#This Row],[BARCODES]],ILACLISTE[#All],2,0),"")</f>
        <v/>
      </c>
      <c r="D617" s="2">
        <f t="shared" si="9"/>
        <v>0</v>
      </c>
      <c r="E617" s="14" t="str">
        <f>IFERROR(GIZLI!G612,"")</f>
        <v/>
      </c>
    </row>
    <row r="618" spans="2:5" x14ac:dyDescent="0.3">
      <c r="B618" s="2" t="str">
        <f>MID(TableQR[[#This Row],[QR CODES]],4,13)</f>
        <v/>
      </c>
      <c r="C618" s="2" t="str">
        <f>IFERROR(VLOOKUP(TableQR[[#This Row],[BARCODES]],ILACLISTE[#All],2,0),"")</f>
        <v/>
      </c>
      <c r="D618" s="2">
        <f t="shared" si="9"/>
        <v>0</v>
      </c>
      <c r="E618" s="14" t="str">
        <f>IFERROR(GIZLI!G613,"")</f>
        <v/>
      </c>
    </row>
    <row r="619" spans="2:5" x14ac:dyDescent="0.3">
      <c r="B619" s="2" t="str">
        <f>MID(TableQR[[#This Row],[QR CODES]],4,13)</f>
        <v/>
      </c>
      <c r="C619" s="2" t="str">
        <f>IFERROR(VLOOKUP(TableQR[[#This Row],[BARCODES]],ILACLISTE[#All],2,0),"")</f>
        <v/>
      </c>
      <c r="D619" s="2">
        <f t="shared" si="9"/>
        <v>0</v>
      </c>
      <c r="E619" s="14" t="str">
        <f>IFERROR(GIZLI!G614,"")</f>
        <v/>
      </c>
    </row>
    <row r="620" spans="2:5" x14ac:dyDescent="0.3">
      <c r="B620" s="2" t="str">
        <f>MID(TableQR[[#This Row],[QR CODES]],4,13)</f>
        <v/>
      </c>
      <c r="C620" s="2" t="str">
        <f>IFERROR(VLOOKUP(TableQR[[#This Row],[BARCODES]],ILACLISTE[#All],2,0),"")</f>
        <v/>
      </c>
      <c r="D620" s="2">
        <f t="shared" si="9"/>
        <v>0</v>
      </c>
      <c r="E620" s="14" t="str">
        <f>IFERROR(GIZLI!G615,"")</f>
        <v/>
      </c>
    </row>
    <row r="621" spans="2:5" x14ac:dyDescent="0.3">
      <c r="B621" s="2" t="str">
        <f>MID(TableQR[[#This Row],[QR CODES]],4,13)</f>
        <v/>
      </c>
      <c r="C621" s="2" t="str">
        <f>IFERROR(VLOOKUP(TableQR[[#This Row],[BARCODES]],ILACLISTE[#All],2,0),"")</f>
        <v/>
      </c>
      <c r="D621" s="2">
        <f t="shared" si="9"/>
        <v>0</v>
      </c>
      <c r="E621" s="14" t="str">
        <f>IFERROR(GIZLI!G616,"")</f>
        <v/>
      </c>
    </row>
    <row r="622" spans="2:5" x14ac:dyDescent="0.3">
      <c r="B622" s="2" t="str">
        <f>MID(TableQR[[#This Row],[QR CODES]],4,13)</f>
        <v/>
      </c>
      <c r="C622" s="2" t="str">
        <f>IFERROR(VLOOKUP(TableQR[[#This Row],[BARCODES]],ILACLISTE[#All],2,0),"")</f>
        <v/>
      </c>
      <c r="D622" s="2">
        <f t="shared" si="9"/>
        <v>0</v>
      </c>
      <c r="E622" s="14" t="str">
        <f>IFERROR(GIZLI!G617,"")</f>
        <v/>
      </c>
    </row>
    <row r="623" spans="2:5" x14ac:dyDescent="0.3">
      <c r="B623" s="2" t="str">
        <f>MID(TableQR[[#This Row],[QR CODES]],4,13)</f>
        <v/>
      </c>
      <c r="C623" s="2" t="str">
        <f>IFERROR(VLOOKUP(TableQR[[#This Row],[BARCODES]],ILACLISTE[#All],2,0),"")</f>
        <v/>
      </c>
      <c r="D623" s="2">
        <f t="shared" si="9"/>
        <v>0</v>
      </c>
      <c r="E623" s="14" t="str">
        <f>IFERROR(GIZLI!G618,"")</f>
        <v/>
      </c>
    </row>
    <row r="624" spans="2:5" x14ac:dyDescent="0.3">
      <c r="B624" s="2" t="str">
        <f>MID(TableQR[[#This Row],[QR CODES]],4,13)</f>
        <v/>
      </c>
      <c r="C624" s="2" t="str">
        <f>IFERROR(VLOOKUP(TableQR[[#This Row],[BARCODES]],ILACLISTE[#All],2,0),"")</f>
        <v/>
      </c>
      <c r="D624" s="2">
        <f t="shared" si="9"/>
        <v>0</v>
      </c>
      <c r="E624" s="14" t="str">
        <f>IFERROR(GIZLI!G619,"")</f>
        <v/>
      </c>
    </row>
    <row r="625" spans="2:5" x14ac:dyDescent="0.3">
      <c r="B625" s="2" t="str">
        <f>MID(TableQR[[#This Row],[QR CODES]],4,13)</f>
        <v/>
      </c>
      <c r="C625" s="2" t="str">
        <f>IFERROR(VLOOKUP(TableQR[[#This Row],[BARCODES]],ILACLISTE[#All],2,0),"")</f>
        <v/>
      </c>
      <c r="D625" s="2">
        <f t="shared" si="9"/>
        <v>0</v>
      </c>
      <c r="E625" s="14" t="str">
        <f>IFERROR(GIZLI!G620,"")</f>
        <v/>
      </c>
    </row>
    <row r="626" spans="2:5" x14ac:dyDescent="0.3">
      <c r="B626" s="2" t="str">
        <f>MID(TableQR[[#This Row],[QR CODES]],4,13)</f>
        <v/>
      </c>
      <c r="C626" s="2" t="str">
        <f>IFERROR(VLOOKUP(TableQR[[#This Row],[BARCODES]],ILACLISTE[#All],2,0),"")</f>
        <v/>
      </c>
      <c r="D626" s="2">
        <f t="shared" si="9"/>
        <v>0</v>
      </c>
      <c r="E626" s="14" t="str">
        <f>IFERROR(GIZLI!G621,"")</f>
        <v/>
      </c>
    </row>
    <row r="627" spans="2:5" x14ac:dyDescent="0.3">
      <c r="B627" s="2" t="str">
        <f>MID(TableQR[[#This Row],[QR CODES]],4,13)</f>
        <v/>
      </c>
      <c r="C627" s="2" t="str">
        <f>IFERROR(VLOOKUP(TableQR[[#This Row],[BARCODES]],ILACLISTE[#All],2,0),"")</f>
        <v/>
      </c>
      <c r="D627" s="2">
        <f t="shared" si="9"/>
        <v>0</v>
      </c>
      <c r="E627" s="14" t="str">
        <f>IFERROR(GIZLI!G622,"")</f>
        <v/>
      </c>
    </row>
    <row r="628" spans="2:5" x14ac:dyDescent="0.3">
      <c r="B628" s="2" t="str">
        <f>MID(TableQR[[#This Row],[QR CODES]],4,13)</f>
        <v/>
      </c>
      <c r="C628" s="2" t="str">
        <f>IFERROR(VLOOKUP(TableQR[[#This Row],[BARCODES]],ILACLISTE[#All],2,0),"")</f>
        <v/>
      </c>
      <c r="D628" s="2">
        <f t="shared" si="9"/>
        <v>0</v>
      </c>
      <c r="E628" s="14" t="str">
        <f>IFERROR(GIZLI!G623,"")</f>
        <v/>
      </c>
    </row>
    <row r="629" spans="2:5" x14ac:dyDescent="0.3">
      <c r="B629" s="2" t="str">
        <f>MID(TableQR[[#This Row],[QR CODES]],4,13)</f>
        <v/>
      </c>
      <c r="C629" s="2" t="str">
        <f>IFERROR(VLOOKUP(TableQR[[#This Row],[BARCODES]],ILACLISTE[#All],2,0),"")</f>
        <v/>
      </c>
      <c r="D629" s="2">
        <f t="shared" si="9"/>
        <v>0</v>
      </c>
      <c r="E629" s="14" t="str">
        <f>IFERROR(GIZLI!G624,"")</f>
        <v/>
      </c>
    </row>
    <row r="630" spans="2:5" x14ac:dyDescent="0.3">
      <c r="B630" s="2" t="str">
        <f>MID(TableQR[[#This Row],[QR CODES]],4,13)</f>
        <v/>
      </c>
      <c r="C630" s="2" t="str">
        <f>IFERROR(VLOOKUP(TableQR[[#This Row],[BARCODES]],ILACLISTE[#All],2,0),"")</f>
        <v/>
      </c>
      <c r="D630" s="2">
        <f t="shared" si="9"/>
        <v>0</v>
      </c>
      <c r="E630" s="14" t="str">
        <f>IFERROR(GIZLI!G625,"")</f>
        <v/>
      </c>
    </row>
    <row r="631" spans="2:5" x14ac:dyDescent="0.3">
      <c r="B631" s="2" t="str">
        <f>MID(TableQR[[#This Row],[QR CODES]],4,13)</f>
        <v/>
      </c>
      <c r="C631" s="2" t="str">
        <f>IFERROR(VLOOKUP(TableQR[[#This Row],[BARCODES]],ILACLISTE[#All],2,0),"")</f>
        <v/>
      </c>
      <c r="D631" s="2">
        <f t="shared" si="9"/>
        <v>0</v>
      </c>
      <c r="E631" s="14" t="str">
        <f>IFERROR(GIZLI!G626,"")</f>
        <v/>
      </c>
    </row>
    <row r="632" spans="2:5" x14ac:dyDescent="0.3">
      <c r="B632" s="2" t="str">
        <f>MID(TableQR[[#This Row],[QR CODES]],4,13)</f>
        <v/>
      </c>
      <c r="C632" s="2" t="str">
        <f>IFERROR(VLOOKUP(TableQR[[#This Row],[BARCODES]],ILACLISTE[#All],2,0),"")</f>
        <v/>
      </c>
      <c r="D632" s="2">
        <f t="shared" si="9"/>
        <v>0</v>
      </c>
      <c r="E632" s="14" t="str">
        <f>IFERROR(GIZLI!G627,"")</f>
        <v/>
      </c>
    </row>
    <row r="633" spans="2:5" x14ac:dyDescent="0.3">
      <c r="B633" s="2" t="str">
        <f>MID(TableQR[[#This Row],[QR CODES]],4,13)</f>
        <v/>
      </c>
      <c r="C633" s="2" t="str">
        <f>IFERROR(VLOOKUP(TableQR[[#This Row],[BARCODES]],ILACLISTE[#All],2,0),"")</f>
        <v/>
      </c>
      <c r="D633" s="2">
        <f t="shared" si="9"/>
        <v>0</v>
      </c>
      <c r="E633" s="14" t="str">
        <f>IFERROR(GIZLI!G628,"")</f>
        <v/>
      </c>
    </row>
    <row r="634" spans="2:5" x14ac:dyDescent="0.3">
      <c r="B634" s="2" t="str">
        <f>MID(TableQR[[#This Row],[QR CODES]],4,13)</f>
        <v/>
      </c>
      <c r="C634" s="2" t="str">
        <f>IFERROR(VLOOKUP(TableQR[[#This Row],[BARCODES]],ILACLISTE[#All],2,0),"")</f>
        <v/>
      </c>
      <c r="D634" s="2">
        <f t="shared" si="9"/>
        <v>0</v>
      </c>
      <c r="E634" s="14" t="str">
        <f>IFERROR(GIZLI!G629,"")</f>
        <v/>
      </c>
    </row>
    <row r="635" spans="2:5" x14ac:dyDescent="0.3">
      <c r="B635" s="2" t="str">
        <f>MID(TableQR[[#This Row],[QR CODES]],4,13)</f>
        <v/>
      </c>
      <c r="C635" s="2" t="str">
        <f>IFERROR(VLOOKUP(TableQR[[#This Row],[BARCODES]],ILACLISTE[#All],2,0),"")</f>
        <v/>
      </c>
      <c r="D635" s="2">
        <f t="shared" si="9"/>
        <v>0</v>
      </c>
      <c r="E635" s="14" t="str">
        <f>IFERROR(GIZLI!G630,"")</f>
        <v/>
      </c>
    </row>
    <row r="636" spans="2:5" x14ac:dyDescent="0.3">
      <c r="B636" s="2" t="str">
        <f>MID(TableQR[[#This Row],[QR CODES]],4,13)</f>
        <v/>
      </c>
      <c r="C636" s="2" t="str">
        <f>IFERROR(VLOOKUP(TableQR[[#This Row],[BARCODES]],ILACLISTE[#All],2,0),"")</f>
        <v/>
      </c>
      <c r="D636" s="2">
        <f t="shared" si="9"/>
        <v>0</v>
      </c>
      <c r="E636" s="14" t="str">
        <f>IFERROR(GIZLI!G631,"")</f>
        <v/>
      </c>
    </row>
    <row r="637" spans="2:5" x14ac:dyDescent="0.3">
      <c r="B637" s="2" t="str">
        <f>MID(TableQR[[#This Row],[QR CODES]],4,13)</f>
        <v/>
      </c>
      <c r="C637" s="2" t="str">
        <f>IFERROR(VLOOKUP(TableQR[[#This Row],[BARCODES]],ILACLISTE[#All],2,0),"")</f>
        <v/>
      </c>
      <c r="D637" s="2">
        <f t="shared" si="9"/>
        <v>0</v>
      </c>
      <c r="E637" s="14" t="str">
        <f>IFERROR(GIZLI!G632,"")</f>
        <v/>
      </c>
    </row>
    <row r="638" spans="2:5" x14ac:dyDescent="0.3">
      <c r="B638" s="2" t="str">
        <f>MID(TableQR[[#This Row],[QR CODES]],4,13)</f>
        <v/>
      </c>
      <c r="C638" s="2" t="str">
        <f>IFERROR(VLOOKUP(TableQR[[#This Row],[BARCODES]],ILACLISTE[#All],2,0),"")</f>
        <v/>
      </c>
      <c r="D638" s="2">
        <f t="shared" si="9"/>
        <v>0</v>
      </c>
      <c r="E638" s="14" t="str">
        <f>IFERROR(GIZLI!G633,"")</f>
        <v/>
      </c>
    </row>
    <row r="639" spans="2:5" x14ac:dyDescent="0.3">
      <c r="B639" s="2" t="str">
        <f>MID(TableQR[[#This Row],[QR CODES]],4,13)</f>
        <v/>
      </c>
      <c r="C639" s="2" t="str">
        <f>IFERROR(VLOOKUP(TableQR[[#This Row],[BARCODES]],ILACLISTE[#All],2,0),"")</f>
        <v/>
      </c>
      <c r="D639" s="2">
        <f t="shared" si="9"/>
        <v>0</v>
      </c>
      <c r="E639" s="14" t="str">
        <f>IFERROR(GIZLI!G634,"")</f>
        <v/>
      </c>
    </row>
    <row r="640" spans="2:5" x14ac:dyDescent="0.3">
      <c r="B640" s="2" t="str">
        <f>MID(TableQR[[#This Row],[QR CODES]],4,13)</f>
        <v/>
      </c>
      <c r="C640" s="2" t="str">
        <f>IFERROR(VLOOKUP(TableQR[[#This Row],[BARCODES]],ILACLISTE[#All],2,0),"")</f>
        <v/>
      </c>
      <c r="D640" s="2">
        <f t="shared" si="9"/>
        <v>0</v>
      </c>
      <c r="E640" s="14" t="str">
        <f>IFERROR(GIZLI!G635,"")</f>
        <v/>
      </c>
    </row>
    <row r="641" spans="2:5" x14ac:dyDescent="0.3">
      <c r="B641" s="2" t="str">
        <f>MID(TableQR[[#This Row],[QR CODES]],4,13)</f>
        <v/>
      </c>
      <c r="C641" s="2" t="str">
        <f>IFERROR(VLOOKUP(TableQR[[#This Row],[BARCODES]],ILACLISTE[#All],2,0),"")</f>
        <v/>
      </c>
      <c r="D641" s="2">
        <f t="shared" si="9"/>
        <v>0</v>
      </c>
      <c r="E641" s="14" t="str">
        <f>IFERROR(GIZLI!G636,"")</f>
        <v/>
      </c>
    </row>
    <row r="642" spans="2:5" x14ac:dyDescent="0.3">
      <c r="B642" s="2" t="str">
        <f>MID(TableQR[[#This Row],[QR CODES]],4,13)</f>
        <v/>
      </c>
      <c r="C642" s="2" t="str">
        <f>IFERROR(VLOOKUP(TableQR[[#This Row],[BARCODES]],ILACLISTE[#All],2,0),"")</f>
        <v/>
      </c>
      <c r="D642" s="2">
        <f t="shared" si="9"/>
        <v>0</v>
      </c>
      <c r="E642" s="14" t="str">
        <f>IFERROR(GIZLI!G637,"")</f>
        <v/>
      </c>
    </row>
    <row r="643" spans="2:5" x14ac:dyDescent="0.3">
      <c r="B643" s="2" t="str">
        <f>MID(TableQR[[#This Row],[QR CODES]],4,13)</f>
        <v/>
      </c>
      <c r="C643" s="2" t="str">
        <f>IFERROR(VLOOKUP(TableQR[[#This Row],[BARCODES]],ILACLISTE[#All],2,0),"")</f>
        <v/>
      </c>
      <c r="D643" s="2">
        <f t="shared" si="9"/>
        <v>0</v>
      </c>
      <c r="E643" s="14" t="str">
        <f>IFERROR(GIZLI!G638,"")</f>
        <v/>
      </c>
    </row>
    <row r="644" spans="2:5" x14ac:dyDescent="0.3">
      <c r="B644" s="2" t="str">
        <f>MID(TableQR[[#This Row],[QR CODES]],4,13)</f>
        <v/>
      </c>
      <c r="C644" s="2" t="str">
        <f>IFERROR(VLOOKUP(TableQR[[#This Row],[BARCODES]],ILACLISTE[#All],2,0),"")</f>
        <v/>
      </c>
      <c r="D644" s="2">
        <f t="shared" si="9"/>
        <v>0</v>
      </c>
      <c r="E644" s="14" t="str">
        <f>IFERROR(GIZLI!G639,"")</f>
        <v/>
      </c>
    </row>
    <row r="645" spans="2:5" x14ac:dyDescent="0.3">
      <c r="B645" s="2" t="str">
        <f>MID(TableQR[[#This Row],[QR CODES]],4,13)</f>
        <v/>
      </c>
      <c r="C645" s="2" t="str">
        <f>IFERROR(VLOOKUP(TableQR[[#This Row],[BARCODES]],ILACLISTE[#All],2,0),"")</f>
        <v/>
      </c>
      <c r="D645" s="2">
        <f t="shared" si="9"/>
        <v>0</v>
      </c>
      <c r="E645" s="14" t="str">
        <f>IFERROR(GIZLI!G640,"")</f>
        <v/>
      </c>
    </row>
    <row r="646" spans="2:5" x14ac:dyDescent="0.3">
      <c r="B646" s="2" t="str">
        <f>MID(TableQR[[#This Row],[QR CODES]],4,13)</f>
        <v/>
      </c>
      <c r="C646" s="2" t="str">
        <f>IFERROR(VLOOKUP(TableQR[[#This Row],[BARCODES]],ILACLISTE[#All],2,0),"")</f>
        <v/>
      </c>
      <c r="D646" s="2">
        <f t="shared" si="9"/>
        <v>0</v>
      </c>
      <c r="E646" s="14" t="str">
        <f>IFERROR(GIZLI!G641,"")</f>
        <v/>
      </c>
    </row>
    <row r="647" spans="2:5" x14ac:dyDescent="0.3">
      <c r="B647" s="2" t="str">
        <f>MID(TableQR[[#This Row],[QR CODES]],4,13)</f>
        <v/>
      </c>
      <c r="C647" s="2" t="str">
        <f>IFERROR(VLOOKUP(TableQR[[#This Row],[BARCODES]],ILACLISTE[#All],2,0),"")</f>
        <v/>
      </c>
      <c r="D647" s="2">
        <f t="shared" si="9"/>
        <v>0</v>
      </c>
      <c r="E647" s="14" t="str">
        <f>IFERROR(GIZLI!G642,"")</f>
        <v/>
      </c>
    </row>
    <row r="648" spans="2:5" x14ac:dyDescent="0.3">
      <c r="B648" s="2" t="str">
        <f>MID(TableQR[[#This Row],[QR CODES]],4,13)</f>
        <v/>
      </c>
      <c r="C648" s="2" t="str">
        <f>IFERROR(VLOOKUP(TableQR[[#This Row],[BARCODES]],ILACLISTE[#All],2,0),"")</f>
        <v/>
      </c>
      <c r="D648" s="2">
        <f t="shared" ref="D648:D711" si="10">COUNTIF(B648:B4641,IF(B648="",66666,B648))</f>
        <v>0</v>
      </c>
      <c r="E648" s="14" t="str">
        <f>IFERROR(GIZLI!G643,"")</f>
        <v/>
      </c>
    </row>
    <row r="649" spans="2:5" x14ac:dyDescent="0.3">
      <c r="B649" s="2" t="str">
        <f>MID(TableQR[[#This Row],[QR CODES]],4,13)</f>
        <v/>
      </c>
      <c r="C649" s="2" t="str">
        <f>IFERROR(VLOOKUP(TableQR[[#This Row],[BARCODES]],ILACLISTE[#All],2,0),"")</f>
        <v/>
      </c>
      <c r="D649" s="2">
        <f t="shared" si="10"/>
        <v>0</v>
      </c>
      <c r="E649" s="14" t="str">
        <f>IFERROR(GIZLI!G644,"")</f>
        <v/>
      </c>
    </row>
    <row r="650" spans="2:5" x14ac:dyDescent="0.3">
      <c r="B650" s="2" t="str">
        <f>MID(TableQR[[#This Row],[QR CODES]],4,13)</f>
        <v/>
      </c>
      <c r="C650" s="2" t="str">
        <f>IFERROR(VLOOKUP(TableQR[[#This Row],[BARCODES]],ILACLISTE[#All],2,0),"")</f>
        <v/>
      </c>
      <c r="D650" s="2">
        <f t="shared" si="10"/>
        <v>0</v>
      </c>
      <c r="E650" s="14" t="str">
        <f>IFERROR(GIZLI!G645,"")</f>
        <v/>
      </c>
    </row>
    <row r="651" spans="2:5" x14ac:dyDescent="0.3">
      <c r="B651" s="2" t="str">
        <f>MID(TableQR[[#This Row],[QR CODES]],4,13)</f>
        <v/>
      </c>
      <c r="C651" s="2" t="str">
        <f>IFERROR(VLOOKUP(TableQR[[#This Row],[BARCODES]],ILACLISTE[#All],2,0),"")</f>
        <v/>
      </c>
      <c r="D651" s="2">
        <f t="shared" si="10"/>
        <v>0</v>
      </c>
      <c r="E651" s="14" t="str">
        <f>IFERROR(GIZLI!G646,"")</f>
        <v/>
      </c>
    </row>
    <row r="652" spans="2:5" x14ac:dyDescent="0.3">
      <c r="B652" s="2" t="str">
        <f>MID(TableQR[[#This Row],[QR CODES]],4,13)</f>
        <v/>
      </c>
      <c r="C652" s="2" t="str">
        <f>IFERROR(VLOOKUP(TableQR[[#This Row],[BARCODES]],ILACLISTE[#All],2,0),"")</f>
        <v/>
      </c>
      <c r="D652" s="2">
        <f t="shared" si="10"/>
        <v>0</v>
      </c>
      <c r="E652" s="14" t="str">
        <f>IFERROR(GIZLI!G647,"")</f>
        <v/>
      </c>
    </row>
    <row r="653" spans="2:5" x14ac:dyDescent="0.3">
      <c r="B653" s="2" t="str">
        <f>MID(TableQR[[#This Row],[QR CODES]],4,13)</f>
        <v/>
      </c>
      <c r="C653" s="2" t="str">
        <f>IFERROR(VLOOKUP(TableQR[[#This Row],[BARCODES]],ILACLISTE[#All],2,0),"")</f>
        <v/>
      </c>
      <c r="D653" s="2">
        <f t="shared" si="10"/>
        <v>0</v>
      </c>
      <c r="E653" s="14" t="str">
        <f>IFERROR(GIZLI!G648,"")</f>
        <v/>
      </c>
    </row>
    <row r="654" spans="2:5" x14ac:dyDescent="0.3">
      <c r="B654" s="2" t="str">
        <f>MID(TableQR[[#This Row],[QR CODES]],4,13)</f>
        <v/>
      </c>
      <c r="C654" s="2" t="str">
        <f>IFERROR(VLOOKUP(TableQR[[#This Row],[BARCODES]],ILACLISTE[#All],2,0),"")</f>
        <v/>
      </c>
      <c r="D654" s="2">
        <f t="shared" si="10"/>
        <v>0</v>
      </c>
      <c r="E654" s="14" t="str">
        <f>IFERROR(GIZLI!G649,"")</f>
        <v/>
      </c>
    </row>
    <row r="655" spans="2:5" x14ac:dyDescent="0.3">
      <c r="B655" s="2" t="str">
        <f>MID(TableQR[[#This Row],[QR CODES]],4,13)</f>
        <v/>
      </c>
      <c r="C655" s="2" t="str">
        <f>IFERROR(VLOOKUP(TableQR[[#This Row],[BARCODES]],ILACLISTE[#All],2,0),"")</f>
        <v/>
      </c>
      <c r="D655" s="2">
        <f t="shared" si="10"/>
        <v>0</v>
      </c>
      <c r="E655" s="14" t="str">
        <f>IFERROR(GIZLI!G650,"")</f>
        <v/>
      </c>
    </row>
    <row r="656" spans="2:5" x14ac:dyDescent="0.3">
      <c r="B656" s="2" t="str">
        <f>MID(TableQR[[#This Row],[QR CODES]],4,13)</f>
        <v/>
      </c>
      <c r="C656" s="2" t="str">
        <f>IFERROR(VLOOKUP(TableQR[[#This Row],[BARCODES]],ILACLISTE[#All],2,0),"")</f>
        <v/>
      </c>
      <c r="D656" s="2">
        <f t="shared" si="10"/>
        <v>0</v>
      </c>
      <c r="E656" s="14" t="str">
        <f>IFERROR(GIZLI!G651,"")</f>
        <v/>
      </c>
    </row>
    <row r="657" spans="2:5" x14ac:dyDescent="0.3">
      <c r="B657" s="2" t="str">
        <f>MID(TableQR[[#This Row],[QR CODES]],4,13)</f>
        <v/>
      </c>
      <c r="C657" s="2" t="str">
        <f>IFERROR(VLOOKUP(TableQR[[#This Row],[BARCODES]],ILACLISTE[#All],2,0),"")</f>
        <v/>
      </c>
      <c r="D657" s="2">
        <f t="shared" si="10"/>
        <v>0</v>
      </c>
      <c r="E657" s="14" t="str">
        <f>IFERROR(GIZLI!G652,"")</f>
        <v/>
      </c>
    </row>
    <row r="658" spans="2:5" x14ac:dyDescent="0.3">
      <c r="B658" s="2" t="str">
        <f>MID(TableQR[[#This Row],[QR CODES]],4,13)</f>
        <v/>
      </c>
      <c r="C658" s="2" t="str">
        <f>IFERROR(VLOOKUP(TableQR[[#This Row],[BARCODES]],ILACLISTE[#All],2,0),"")</f>
        <v/>
      </c>
      <c r="D658" s="2">
        <f t="shared" si="10"/>
        <v>0</v>
      </c>
      <c r="E658" s="14" t="str">
        <f>IFERROR(GIZLI!G653,"")</f>
        <v/>
      </c>
    </row>
    <row r="659" spans="2:5" x14ac:dyDescent="0.3">
      <c r="B659" s="2" t="str">
        <f>MID(TableQR[[#This Row],[QR CODES]],4,13)</f>
        <v/>
      </c>
      <c r="C659" s="2" t="str">
        <f>IFERROR(VLOOKUP(TableQR[[#This Row],[BARCODES]],ILACLISTE[#All],2,0),"")</f>
        <v/>
      </c>
      <c r="D659" s="2">
        <f t="shared" si="10"/>
        <v>0</v>
      </c>
      <c r="E659" s="14" t="str">
        <f>IFERROR(GIZLI!G654,"")</f>
        <v/>
      </c>
    </row>
    <row r="660" spans="2:5" x14ac:dyDescent="0.3">
      <c r="B660" s="2" t="str">
        <f>MID(TableQR[[#This Row],[QR CODES]],4,13)</f>
        <v/>
      </c>
      <c r="C660" s="2" t="str">
        <f>IFERROR(VLOOKUP(TableQR[[#This Row],[BARCODES]],ILACLISTE[#All],2,0),"")</f>
        <v/>
      </c>
      <c r="D660" s="2">
        <f t="shared" si="10"/>
        <v>0</v>
      </c>
      <c r="E660" s="14" t="str">
        <f>IFERROR(GIZLI!G655,"")</f>
        <v/>
      </c>
    </row>
    <row r="661" spans="2:5" x14ac:dyDescent="0.3">
      <c r="B661" s="2" t="str">
        <f>MID(TableQR[[#This Row],[QR CODES]],4,13)</f>
        <v/>
      </c>
      <c r="C661" s="2" t="str">
        <f>IFERROR(VLOOKUP(TableQR[[#This Row],[BARCODES]],ILACLISTE[#All],2,0),"")</f>
        <v/>
      </c>
      <c r="D661" s="2">
        <f t="shared" si="10"/>
        <v>0</v>
      </c>
      <c r="E661" s="14" t="str">
        <f>IFERROR(GIZLI!G656,"")</f>
        <v/>
      </c>
    </row>
    <row r="662" spans="2:5" x14ac:dyDescent="0.3">
      <c r="B662" s="2" t="str">
        <f>MID(TableQR[[#This Row],[QR CODES]],4,13)</f>
        <v/>
      </c>
      <c r="C662" s="2" t="str">
        <f>IFERROR(VLOOKUP(TableQR[[#This Row],[BARCODES]],ILACLISTE[#All],2,0),"")</f>
        <v/>
      </c>
      <c r="D662" s="2">
        <f t="shared" si="10"/>
        <v>0</v>
      </c>
      <c r="E662" s="14" t="str">
        <f>IFERROR(GIZLI!G657,"")</f>
        <v/>
      </c>
    </row>
    <row r="663" spans="2:5" x14ac:dyDescent="0.3">
      <c r="B663" s="2" t="str">
        <f>MID(TableQR[[#This Row],[QR CODES]],4,13)</f>
        <v/>
      </c>
      <c r="C663" s="2" t="str">
        <f>IFERROR(VLOOKUP(TableQR[[#This Row],[BARCODES]],ILACLISTE[#All],2,0),"")</f>
        <v/>
      </c>
      <c r="D663" s="2">
        <f t="shared" si="10"/>
        <v>0</v>
      </c>
      <c r="E663" s="14" t="str">
        <f>IFERROR(GIZLI!G658,"")</f>
        <v/>
      </c>
    </row>
    <row r="664" spans="2:5" x14ac:dyDescent="0.3">
      <c r="B664" s="2" t="str">
        <f>MID(TableQR[[#This Row],[QR CODES]],4,13)</f>
        <v/>
      </c>
      <c r="C664" s="2" t="str">
        <f>IFERROR(VLOOKUP(TableQR[[#This Row],[BARCODES]],ILACLISTE[#All],2,0),"")</f>
        <v/>
      </c>
      <c r="D664" s="2">
        <f t="shared" si="10"/>
        <v>0</v>
      </c>
      <c r="E664" s="14" t="str">
        <f>IFERROR(GIZLI!G659,"")</f>
        <v/>
      </c>
    </row>
    <row r="665" spans="2:5" x14ac:dyDescent="0.3">
      <c r="B665" s="2" t="str">
        <f>MID(TableQR[[#This Row],[QR CODES]],4,13)</f>
        <v/>
      </c>
      <c r="C665" s="2" t="str">
        <f>IFERROR(VLOOKUP(TableQR[[#This Row],[BARCODES]],ILACLISTE[#All],2,0),"")</f>
        <v/>
      </c>
      <c r="D665" s="2">
        <f t="shared" si="10"/>
        <v>0</v>
      </c>
      <c r="E665" s="14" t="str">
        <f>IFERROR(GIZLI!G660,"")</f>
        <v/>
      </c>
    </row>
    <row r="666" spans="2:5" x14ac:dyDescent="0.3">
      <c r="B666" s="2" t="str">
        <f>MID(TableQR[[#This Row],[QR CODES]],4,13)</f>
        <v/>
      </c>
      <c r="C666" s="2" t="str">
        <f>IFERROR(VLOOKUP(TableQR[[#This Row],[BARCODES]],ILACLISTE[#All],2,0),"")</f>
        <v/>
      </c>
      <c r="D666" s="2">
        <f t="shared" si="10"/>
        <v>0</v>
      </c>
      <c r="E666" s="14" t="str">
        <f>IFERROR(GIZLI!G661,"")</f>
        <v/>
      </c>
    </row>
    <row r="667" spans="2:5" x14ac:dyDescent="0.3">
      <c r="B667" s="2" t="str">
        <f>MID(TableQR[[#This Row],[QR CODES]],4,13)</f>
        <v/>
      </c>
      <c r="C667" s="2" t="str">
        <f>IFERROR(VLOOKUP(TableQR[[#This Row],[BARCODES]],ILACLISTE[#All],2,0),"")</f>
        <v/>
      </c>
      <c r="D667" s="2">
        <f t="shared" si="10"/>
        <v>0</v>
      </c>
      <c r="E667" s="14" t="str">
        <f>IFERROR(GIZLI!G662,"")</f>
        <v/>
      </c>
    </row>
    <row r="668" spans="2:5" x14ac:dyDescent="0.3">
      <c r="B668" s="2" t="str">
        <f>MID(TableQR[[#This Row],[QR CODES]],4,13)</f>
        <v/>
      </c>
      <c r="C668" s="2" t="str">
        <f>IFERROR(VLOOKUP(TableQR[[#This Row],[BARCODES]],ILACLISTE[#All],2,0),"")</f>
        <v/>
      </c>
      <c r="D668" s="2">
        <f t="shared" si="10"/>
        <v>0</v>
      </c>
      <c r="E668" s="14" t="str">
        <f>IFERROR(GIZLI!G663,"")</f>
        <v/>
      </c>
    </row>
    <row r="669" spans="2:5" x14ac:dyDescent="0.3">
      <c r="B669" s="2" t="str">
        <f>MID(TableQR[[#This Row],[QR CODES]],4,13)</f>
        <v/>
      </c>
      <c r="C669" s="2" t="str">
        <f>IFERROR(VLOOKUP(TableQR[[#This Row],[BARCODES]],ILACLISTE[#All],2,0),"")</f>
        <v/>
      </c>
      <c r="D669" s="2">
        <f t="shared" si="10"/>
        <v>0</v>
      </c>
      <c r="E669" s="14" t="str">
        <f>IFERROR(GIZLI!G664,"")</f>
        <v/>
      </c>
    </row>
    <row r="670" spans="2:5" x14ac:dyDescent="0.3">
      <c r="B670" s="2" t="str">
        <f>MID(TableQR[[#This Row],[QR CODES]],4,13)</f>
        <v/>
      </c>
      <c r="C670" s="2" t="str">
        <f>IFERROR(VLOOKUP(TableQR[[#This Row],[BARCODES]],ILACLISTE[#All],2,0),"")</f>
        <v/>
      </c>
      <c r="D670" s="2">
        <f t="shared" si="10"/>
        <v>0</v>
      </c>
      <c r="E670" s="14" t="str">
        <f>IFERROR(GIZLI!G665,"")</f>
        <v/>
      </c>
    </row>
    <row r="671" spans="2:5" x14ac:dyDescent="0.3">
      <c r="B671" s="2" t="str">
        <f>MID(TableQR[[#This Row],[QR CODES]],4,13)</f>
        <v/>
      </c>
      <c r="C671" s="2" t="str">
        <f>IFERROR(VLOOKUP(TableQR[[#This Row],[BARCODES]],ILACLISTE[#All],2,0),"")</f>
        <v/>
      </c>
      <c r="D671" s="2">
        <f t="shared" si="10"/>
        <v>0</v>
      </c>
      <c r="E671" s="14" t="str">
        <f>IFERROR(GIZLI!G666,"")</f>
        <v/>
      </c>
    </row>
    <row r="672" spans="2:5" x14ac:dyDescent="0.3">
      <c r="B672" s="2" t="str">
        <f>MID(TableQR[[#This Row],[QR CODES]],4,13)</f>
        <v/>
      </c>
      <c r="C672" s="2" t="str">
        <f>IFERROR(VLOOKUP(TableQR[[#This Row],[BARCODES]],ILACLISTE[#All],2,0),"")</f>
        <v/>
      </c>
      <c r="D672" s="2">
        <f t="shared" si="10"/>
        <v>0</v>
      </c>
      <c r="E672" s="14" t="str">
        <f>IFERROR(GIZLI!G667,"")</f>
        <v/>
      </c>
    </row>
    <row r="673" spans="2:5" x14ac:dyDescent="0.3">
      <c r="B673" s="2" t="str">
        <f>MID(TableQR[[#This Row],[QR CODES]],4,13)</f>
        <v/>
      </c>
      <c r="C673" s="2" t="str">
        <f>IFERROR(VLOOKUP(TableQR[[#This Row],[BARCODES]],ILACLISTE[#All],2,0),"")</f>
        <v/>
      </c>
      <c r="D673" s="2">
        <f t="shared" si="10"/>
        <v>0</v>
      </c>
      <c r="E673" s="14" t="str">
        <f>IFERROR(GIZLI!G668,"")</f>
        <v/>
      </c>
    </row>
    <row r="674" spans="2:5" x14ac:dyDescent="0.3">
      <c r="B674" s="2" t="str">
        <f>MID(TableQR[[#This Row],[QR CODES]],4,13)</f>
        <v/>
      </c>
      <c r="C674" s="2" t="str">
        <f>IFERROR(VLOOKUP(TableQR[[#This Row],[BARCODES]],ILACLISTE[#All],2,0),"")</f>
        <v/>
      </c>
      <c r="D674" s="2">
        <f t="shared" si="10"/>
        <v>0</v>
      </c>
      <c r="E674" s="14" t="str">
        <f>IFERROR(GIZLI!G669,"")</f>
        <v/>
      </c>
    </row>
    <row r="675" spans="2:5" x14ac:dyDescent="0.3">
      <c r="B675" s="2" t="str">
        <f>MID(TableQR[[#This Row],[QR CODES]],4,13)</f>
        <v/>
      </c>
      <c r="C675" s="2" t="str">
        <f>IFERROR(VLOOKUP(TableQR[[#This Row],[BARCODES]],ILACLISTE[#All],2,0),"")</f>
        <v/>
      </c>
      <c r="D675" s="2">
        <f t="shared" si="10"/>
        <v>0</v>
      </c>
      <c r="E675" s="14" t="str">
        <f>IFERROR(GIZLI!G670,"")</f>
        <v/>
      </c>
    </row>
    <row r="676" spans="2:5" x14ac:dyDescent="0.3">
      <c r="B676" s="2" t="str">
        <f>MID(TableQR[[#This Row],[QR CODES]],4,13)</f>
        <v/>
      </c>
      <c r="C676" s="2" t="str">
        <f>IFERROR(VLOOKUP(TableQR[[#This Row],[BARCODES]],ILACLISTE[#All],2,0),"")</f>
        <v/>
      </c>
      <c r="D676" s="2">
        <f t="shared" si="10"/>
        <v>0</v>
      </c>
      <c r="E676" s="14" t="str">
        <f>IFERROR(GIZLI!G671,"")</f>
        <v/>
      </c>
    </row>
    <row r="677" spans="2:5" x14ac:dyDescent="0.3">
      <c r="B677" s="2" t="str">
        <f>MID(TableQR[[#This Row],[QR CODES]],4,13)</f>
        <v/>
      </c>
      <c r="C677" s="2" t="str">
        <f>IFERROR(VLOOKUP(TableQR[[#This Row],[BARCODES]],ILACLISTE[#All],2,0),"")</f>
        <v/>
      </c>
      <c r="D677" s="2">
        <f t="shared" si="10"/>
        <v>0</v>
      </c>
      <c r="E677" s="14" t="str">
        <f>IFERROR(GIZLI!G672,"")</f>
        <v/>
      </c>
    </row>
    <row r="678" spans="2:5" x14ac:dyDescent="0.3">
      <c r="B678" s="2" t="str">
        <f>MID(TableQR[[#This Row],[QR CODES]],4,13)</f>
        <v/>
      </c>
      <c r="C678" s="2" t="str">
        <f>IFERROR(VLOOKUP(TableQR[[#This Row],[BARCODES]],ILACLISTE[#All],2,0),"")</f>
        <v/>
      </c>
      <c r="D678" s="2">
        <f t="shared" si="10"/>
        <v>0</v>
      </c>
      <c r="E678" s="14" t="str">
        <f>IFERROR(GIZLI!G673,"")</f>
        <v/>
      </c>
    </row>
    <row r="679" spans="2:5" x14ac:dyDescent="0.3">
      <c r="B679" s="2" t="str">
        <f>MID(TableQR[[#This Row],[QR CODES]],4,13)</f>
        <v/>
      </c>
      <c r="C679" s="2" t="str">
        <f>IFERROR(VLOOKUP(TableQR[[#This Row],[BARCODES]],ILACLISTE[#All],2,0),"")</f>
        <v/>
      </c>
      <c r="D679" s="2">
        <f t="shared" si="10"/>
        <v>0</v>
      </c>
      <c r="E679" s="14" t="str">
        <f>IFERROR(GIZLI!G674,"")</f>
        <v/>
      </c>
    </row>
    <row r="680" spans="2:5" x14ac:dyDescent="0.3">
      <c r="B680" s="2" t="str">
        <f>MID(TableQR[[#This Row],[QR CODES]],4,13)</f>
        <v/>
      </c>
      <c r="C680" s="2" t="str">
        <f>IFERROR(VLOOKUP(TableQR[[#This Row],[BARCODES]],ILACLISTE[#All],2,0),"")</f>
        <v/>
      </c>
      <c r="D680" s="2">
        <f t="shared" si="10"/>
        <v>0</v>
      </c>
      <c r="E680" s="14" t="str">
        <f>IFERROR(GIZLI!G675,"")</f>
        <v/>
      </c>
    </row>
    <row r="681" spans="2:5" x14ac:dyDescent="0.3">
      <c r="B681" s="2" t="str">
        <f>MID(TableQR[[#This Row],[QR CODES]],4,13)</f>
        <v/>
      </c>
      <c r="C681" s="2" t="str">
        <f>IFERROR(VLOOKUP(TableQR[[#This Row],[BARCODES]],ILACLISTE[#All],2,0),"")</f>
        <v/>
      </c>
      <c r="D681" s="2">
        <f t="shared" si="10"/>
        <v>0</v>
      </c>
      <c r="E681" s="14" t="str">
        <f>IFERROR(GIZLI!G676,"")</f>
        <v/>
      </c>
    </row>
    <row r="682" spans="2:5" x14ac:dyDescent="0.3">
      <c r="B682" s="2" t="str">
        <f>MID(TableQR[[#This Row],[QR CODES]],4,13)</f>
        <v/>
      </c>
      <c r="C682" s="2" t="str">
        <f>IFERROR(VLOOKUP(TableQR[[#This Row],[BARCODES]],ILACLISTE[#All],2,0),"")</f>
        <v/>
      </c>
      <c r="D682" s="2">
        <f t="shared" si="10"/>
        <v>0</v>
      </c>
      <c r="E682" s="14" t="str">
        <f>IFERROR(GIZLI!G677,"")</f>
        <v/>
      </c>
    </row>
    <row r="683" spans="2:5" x14ac:dyDescent="0.3">
      <c r="B683" s="2" t="str">
        <f>MID(TableQR[[#This Row],[QR CODES]],4,13)</f>
        <v/>
      </c>
      <c r="C683" s="2" t="str">
        <f>IFERROR(VLOOKUP(TableQR[[#This Row],[BARCODES]],ILACLISTE[#All],2,0),"")</f>
        <v/>
      </c>
      <c r="D683" s="2">
        <f t="shared" si="10"/>
        <v>0</v>
      </c>
      <c r="E683" s="14" t="str">
        <f>IFERROR(GIZLI!G678,"")</f>
        <v/>
      </c>
    </row>
    <row r="684" spans="2:5" x14ac:dyDescent="0.3">
      <c r="B684" s="2" t="str">
        <f>MID(TableQR[[#This Row],[QR CODES]],4,13)</f>
        <v/>
      </c>
      <c r="C684" s="2" t="str">
        <f>IFERROR(VLOOKUP(TableQR[[#This Row],[BARCODES]],ILACLISTE[#All],2,0),"")</f>
        <v/>
      </c>
      <c r="D684" s="2">
        <f t="shared" si="10"/>
        <v>0</v>
      </c>
      <c r="E684" s="14" t="str">
        <f>IFERROR(GIZLI!G679,"")</f>
        <v/>
      </c>
    </row>
    <row r="685" spans="2:5" x14ac:dyDescent="0.3">
      <c r="B685" s="2" t="str">
        <f>MID(TableQR[[#This Row],[QR CODES]],4,13)</f>
        <v/>
      </c>
      <c r="C685" s="2" t="str">
        <f>IFERROR(VLOOKUP(TableQR[[#This Row],[BARCODES]],ILACLISTE[#All],2,0),"")</f>
        <v/>
      </c>
      <c r="D685" s="2">
        <f t="shared" si="10"/>
        <v>0</v>
      </c>
      <c r="E685" s="14" t="str">
        <f>IFERROR(GIZLI!G680,"")</f>
        <v/>
      </c>
    </row>
    <row r="686" spans="2:5" x14ac:dyDescent="0.3">
      <c r="B686" s="2" t="str">
        <f>MID(TableQR[[#This Row],[QR CODES]],4,13)</f>
        <v/>
      </c>
      <c r="C686" s="2" t="str">
        <f>IFERROR(VLOOKUP(TableQR[[#This Row],[BARCODES]],ILACLISTE[#All],2,0),"")</f>
        <v/>
      </c>
      <c r="D686" s="2">
        <f t="shared" si="10"/>
        <v>0</v>
      </c>
      <c r="E686" s="14" t="str">
        <f>IFERROR(GIZLI!G681,"")</f>
        <v/>
      </c>
    </row>
    <row r="687" spans="2:5" x14ac:dyDescent="0.3">
      <c r="B687" s="2" t="str">
        <f>MID(TableQR[[#This Row],[QR CODES]],4,13)</f>
        <v/>
      </c>
      <c r="C687" s="2" t="str">
        <f>IFERROR(VLOOKUP(TableQR[[#This Row],[BARCODES]],ILACLISTE[#All],2,0),"")</f>
        <v/>
      </c>
      <c r="D687" s="2">
        <f t="shared" si="10"/>
        <v>0</v>
      </c>
      <c r="E687" s="14" t="str">
        <f>IFERROR(GIZLI!G682,"")</f>
        <v/>
      </c>
    </row>
    <row r="688" spans="2:5" x14ac:dyDescent="0.3">
      <c r="B688" s="2" t="str">
        <f>MID(TableQR[[#This Row],[QR CODES]],4,13)</f>
        <v/>
      </c>
      <c r="C688" s="2" t="str">
        <f>IFERROR(VLOOKUP(TableQR[[#This Row],[BARCODES]],ILACLISTE[#All],2,0),"")</f>
        <v/>
      </c>
      <c r="D688" s="2">
        <f t="shared" si="10"/>
        <v>0</v>
      </c>
      <c r="E688" s="14" t="str">
        <f>IFERROR(GIZLI!G683,"")</f>
        <v/>
      </c>
    </row>
    <row r="689" spans="2:5" x14ac:dyDescent="0.3">
      <c r="B689" s="2" t="str">
        <f>MID(TableQR[[#This Row],[QR CODES]],4,13)</f>
        <v/>
      </c>
      <c r="C689" s="2" t="str">
        <f>IFERROR(VLOOKUP(TableQR[[#This Row],[BARCODES]],ILACLISTE[#All],2,0),"")</f>
        <v/>
      </c>
      <c r="D689" s="2">
        <f t="shared" si="10"/>
        <v>0</v>
      </c>
      <c r="E689" s="14" t="str">
        <f>IFERROR(GIZLI!G684,"")</f>
        <v/>
      </c>
    </row>
    <row r="690" spans="2:5" x14ac:dyDescent="0.3">
      <c r="B690" s="2" t="str">
        <f>MID(TableQR[[#This Row],[QR CODES]],4,13)</f>
        <v/>
      </c>
      <c r="C690" s="2" t="str">
        <f>IFERROR(VLOOKUP(TableQR[[#This Row],[BARCODES]],ILACLISTE[#All],2,0),"")</f>
        <v/>
      </c>
      <c r="D690" s="2">
        <f t="shared" si="10"/>
        <v>0</v>
      </c>
      <c r="E690" s="14" t="str">
        <f>IFERROR(GIZLI!G685,"")</f>
        <v/>
      </c>
    </row>
    <row r="691" spans="2:5" x14ac:dyDescent="0.3">
      <c r="B691" s="2" t="str">
        <f>MID(TableQR[[#This Row],[QR CODES]],4,13)</f>
        <v/>
      </c>
      <c r="C691" s="2" t="str">
        <f>IFERROR(VLOOKUP(TableQR[[#This Row],[BARCODES]],ILACLISTE[#All],2,0),"")</f>
        <v/>
      </c>
      <c r="D691" s="2">
        <f t="shared" si="10"/>
        <v>0</v>
      </c>
      <c r="E691" s="14" t="str">
        <f>IFERROR(GIZLI!G686,"")</f>
        <v/>
      </c>
    </row>
    <row r="692" spans="2:5" x14ac:dyDescent="0.3">
      <c r="B692" s="2" t="str">
        <f>MID(TableQR[[#This Row],[QR CODES]],4,13)</f>
        <v/>
      </c>
      <c r="C692" s="2" t="str">
        <f>IFERROR(VLOOKUP(TableQR[[#This Row],[BARCODES]],ILACLISTE[#All],2,0),"")</f>
        <v/>
      </c>
      <c r="D692" s="2">
        <f t="shared" si="10"/>
        <v>0</v>
      </c>
      <c r="E692" s="14" t="str">
        <f>IFERROR(GIZLI!G687,"")</f>
        <v/>
      </c>
    </row>
    <row r="693" spans="2:5" x14ac:dyDescent="0.3">
      <c r="B693" s="2" t="str">
        <f>MID(TableQR[[#This Row],[QR CODES]],4,13)</f>
        <v/>
      </c>
      <c r="C693" s="2" t="str">
        <f>IFERROR(VLOOKUP(TableQR[[#This Row],[BARCODES]],ILACLISTE[#All],2,0),"")</f>
        <v/>
      </c>
      <c r="D693" s="2">
        <f t="shared" si="10"/>
        <v>0</v>
      </c>
      <c r="E693" s="14" t="str">
        <f>IFERROR(GIZLI!G688,"")</f>
        <v/>
      </c>
    </row>
    <row r="694" spans="2:5" x14ac:dyDescent="0.3">
      <c r="B694" s="2" t="str">
        <f>MID(TableQR[[#This Row],[QR CODES]],4,13)</f>
        <v/>
      </c>
      <c r="C694" s="2" t="str">
        <f>IFERROR(VLOOKUP(TableQR[[#This Row],[BARCODES]],ILACLISTE[#All],2,0),"")</f>
        <v/>
      </c>
      <c r="D694" s="2">
        <f t="shared" si="10"/>
        <v>0</v>
      </c>
      <c r="E694" s="14" t="str">
        <f>IFERROR(GIZLI!G689,"")</f>
        <v/>
      </c>
    </row>
    <row r="695" spans="2:5" x14ac:dyDescent="0.3">
      <c r="B695" s="2" t="str">
        <f>MID(TableQR[[#This Row],[QR CODES]],4,13)</f>
        <v/>
      </c>
      <c r="C695" s="2" t="str">
        <f>IFERROR(VLOOKUP(TableQR[[#This Row],[BARCODES]],ILACLISTE[#All],2,0),"")</f>
        <v/>
      </c>
      <c r="D695" s="2">
        <f t="shared" si="10"/>
        <v>0</v>
      </c>
      <c r="E695" s="14" t="str">
        <f>IFERROR(GIZLI!G690,"")</f>
        <v/>
      </c>
    </row>
    <row r="696" spans="2:5" x14ac:dyDescent="0.3">
      <c r="B696" s="2" t="str">
        <f>MID(TableQR[[#This Row],[QR CODES]],4,13)</f>
        <v/>
      </c>
      <c r="C696" s="2" t="str">
        <f>IFERROR(VLOOKUP(TableQR[[#This Row],[BARCODES]],ILACLISTE[#All],2,0),"")</f>
        <v/>
      </c>
      <c r="D696" s="2">
        <f t="shared" si="10"/>
        <v>0</v>
      </c>
      <c r="E696" s="14" t="str">
        <f>IFERROR(GIZLI!G691,"")</f>
        <v/>
      </c>
    </row>
    <row r="697" spans="2:5" x14ac:dyDescent="0.3">
      <c r="B697" s="2" t="str">
        <f>MID(TableQR[[#This Row],[QR CODES]],4,13)</f>
        <v/>
      </c>
      <c r="C697" s="2" t="str">
        <f>IFERROR(VLOOKUP(TableQR[[#This Row],[BARCODES]],ILACLISTE[#All],2,0),"")</f>
        <v/>
      </c>
      <c r="D697" s="2">
        <f t="shared" si="10"/>
        <v>0</v>
      </c>
      <c r="E697" s="14" t="str">
        <f>IFERROR(GIZLI!G692,"")</f>
        <v/>
      </c>
    </row>
    <row r="698" spans="2:5" x14ac:dyDescent="0.3">
      <c r="B698" s="2" t="str">
        <f>MID(TableQR[[#This Row],[QR CODES]],4,13)</f>
        <v/>
      </c>
      <c r="C698" s="2" t="str">
        <f>IFERROR(VLOOKUP(TableQR[[#This Row],[BARCODES]],ILACLISTE[#All],2,0),"")</f>
        <v/>
      </c>
      <c r="D698" s="2">
        <f t="shared" si="10"/>
        <v>0</v>
      </c>
      <c r="E698" s="14" t="str">
        <f>IFERROR(GIZLI!G693,"")</f>
        <v/>
      </c>
    </row>
    <row r="699" spans="2:5" x14ac:dyDescent="0.3">
      <c r="B699" s="2" t="str">
        <f>MID(TableQR[[#This Row],[QR CODES]],4,13)</f>
        <v/>
      </c>
      <c r="C699" s="2" t="str">
        <f>IFERROR(VLOOKUP(TableQR[[#This Row],[BARCODES]],ILACLISTE[#All],2,0),"")</f>
        <v/>
      </c>
      <c r="D699" s="2">
        <f t="shared" si="10"/>
        <v>0</v>
      </c>
      <c r="E699" s="14" t="str">
        <f>IFERROR(GIZLI!G694,"")</f>
        <v/>
      </c>
    </row>
    <row r="700" spans="2:5" x14ac:dyDescent="0.3">
      <c r="B700" s="2" t="str">
        <f>MID(TableQR[[#This Row],[QR CODES]],4,13)</f>
        <v/>
      </c>
      <c r="C700" s="2" t="str">
        <f>IFERROR(VLOOKUP(TableQR[[#This Row],[BARCODES]],ILACLISTE[#All],2,0),"")</f>
        <v/>
      </c>
      <c r="D700" s="2">
        <f t="shared" si="10"/>
        <v>0</v>
      </c>
      <c r="E700" s="14" t="str">
        <f>IFERROR(GIZLI!G695,"")</f>
        <v/>
      </c>
    </row>
    <row r="701" spans="2:5" x14ac:dyDescent="0.3">
      <c r="B701" s="2" t="str">
        <f>MID(TableQR[[#This Row],[QR CODES]],4,13)</f>
        <v/>
      </c>
      <c r="C701" s="2" t="str">
        <f>IFERROR(VLOOKUP(TableQR[[#This Row],[BARCODES]],ILACLISTE[#All],2,0),"")</f>
        <v/>
      </c>
      <c r="D701" s="2">
        <f t="shared" si="10"/>
        <v>0</v>
      </c>
      <c r="E701" s="14" t="str">
        <f>IFERROR(GIZLI!G696,"")</f>
        <v/>
      </c>
    </row>
    <row r="702" spans="2:5" x14ac:dyDescent="0.3">
      <c r="B702" s="2" t="str">
        <f>MID(TableQR[[#This Row],[QR CODES]],4,13)</f>
        <v/>
      </c>
      <c r="C702" s="2" t="str">
        <f>IFERROR(VLOOKUP(TableQR[[#This Row],[BARCODES]],ILACLISTE[#All],2,0),"")</f>
        <v/>
      </c>
      <c r="D702" s="2">
        <f t="shared" si="10"/>
        <v>0</v>
      </c>
      <c r="E702" s="14" t="str">
        <f>IFERROR(GIZLI!G697,"")</f>
        <v/>
      </c>
    </row>
    <row r="703" spans="2:5" x14ac:dyDescent="0.3">
      <c r="B703" s="2" t="str">
        <f>MID(TableQR[[#This Row],[QR CODES]],4,13)</f>
        <v/>
      </c>
      <c r="C703" s="2" t="str">
        <f>IFERROR(VLOOKUP(TableQR[[#This Row],[BARCODES]],ILACLISTE[#All],2,0),"")</f>
        <v/>
      </c>
      <c r="D703" s="2">
        <f t="shared" si="10"/>
        <v>0</v>
      </c>
      <c r="E703" s="14" t="str">
        <f>IFERROR(GIZLI!G698,"")</f>
        <v/>
      </c>
    </row>
    <row r="704" spans="2:5" x14ac:dyDescent="0.3">
      <c r="B704" s="2" t="str">
        <f>MID(TableQR[[#This Row],[QR CODES]],4,13)</f>
        <v/>
      </c>
      <c r="C704" s="2" t="str">
        <f>IFERROR(VLOOKUP(TableQR[[#This Row],[BARCODES]],ILACLISTE[#All],2,0),"")</f>
        <v/>
      </c>
      <c r="D704" s="2">
        <f t="shared" si="10"/>
        <v>0</v>
      </c>
      <c r="E704" s="14" t="str">
        <f>IFERROR(GIZLI!G699,"")</f>
        <v/>
      </c>
    </row>
    <row r="705" spans="2:5" x14ac:dyDescent="0.3">
      <c r="B705" s="2" t="str">
        <f>MID(TableQR[[#This Row],[QR CODES]],4,13)</f>
        <v/>
      </c>
      <c r="C705" s="2" t="str">
        <f>IFERROR(VLOOKUP(TableQR[[#This Row],[BARCODES]],ILACLISTE[#All],2,0),"")</f>
        <v/>
      </c>
      <c r="D705" s="2">
        <f t="shared" si="10"/>
        <v>0</v>
      </c>
      <c r="E705" s="14" t="str">
        <f>IFERROR(GIZLI!G700,"")</f>
        <v/>
      </c>
    </row>
    <row r="706" spans="2:5" x14ac:dyDescent="0.3">
      <c r="B706" s="2" t="str">
        <f>MID(TableQR[[#This Row],[QR CODES]],4,13)</f>
        <v/>
      </c>
      <c r="C706" s="2" t="str">
        <f>IFERROR(VLOOKUP(TableQR[[#This Row],[BARCODES]],ILACLISTE[#All],2,0),"")</f>
        <v/>
      </c>
      <c r="D706" s="2">
        <f t="shared" si="10"/>
        <v>0</v>
      </c>
      <c r="E706" s="14" t="str">
        <f>IFERROR(GIZLI!G701,"")</f>
        <v/>
      </c>
    </row>
    <row r="707" spans="2:5" x14ac:dyDescent="0.3">
      <c r="B707" s="2" t="str">
        <f>MID(TableQR[[#This Row],[QR CODES]],4,13)</f>
        <v/>
      </c>
      <c r="C707" s="2" t="str">
        <f>IFERROR(VLOOKUP(TableQR[[#This Row],[BARCODES]],ILACLISTE[#All],2,0),"")</f>
        <v/>
      </c>
      <c r="D707" s="2">
        <f t="shared" si="10"/>
        <v>0</v>
      </c>
      <c r="E707" s="14" t="str">
        <f>IFERROR(GIZLI!G702,"")</f>
        <v/>
      </c>
    </row>
    <row r="708" spans="2:5" x14ac:dyDescent="0.3">
      <c r="B708" s="2" t="str">
        <f>MID(TableQR[[#This Row],[QR CODES]],4,13)</f>
        <v/>
      </c>
      <c r="C708" s="2" t="str">
        <f>IFERROR(VLOOKUP(TableQR[[#This Row],[BARCODES]],ILACLISTE[#All],2,0),"")</f>
        <v/>
      </c>
      <c r="D708" s="2">
        <f t="shared" si="10"/>
        <v>0</v>
      </c>
      <c r="E708" s="14" t="str">
        <f>IFERROR(GIZLI!G703,"")</f>
        <v/>
      </c>
    </row>
    <row r="709" spans="2:5" x14ac:dyDescent="0.3">
      <c r="B709" s="2" t="str">
        <f>MID(TableQR[[#This Row],[QR CODES]],4,13)</f>
        <v/>
      </c>
      <c r="C709" s="2" t="str">
        <f>IFERROR(VLOOKUP(TableQR[[#This Row],[BARCODES]],ILACLISTE[#All],2,0),"")</f>
        <v/>
      </c>
      <c r="D709" s="2">
        <f t="shared" si="10"/>
        <v>0</v>
      </c>
      <c r="E709" s="14" t="str">
        <f>IFERROR(GIZLI!G704,"")</f>
        <v/>
      </c>
    </row>
    <row r="710" spans="2:5" x14ac:dyDescent="0.3">
      <c r="B710" s="2" t="str">
        <f>MID(TableQR[[#This Row],[QR CODES]],4,13)</f>
        <v/>
      </c>
      <c r="C710" s="2" t="str">
        <f>IFERROR(VLOOKUP(TableQR[[#This Row],[BARCODES]],ILACLISTE[#All],2,0),"")</f>
        <v/>
      </c>
      <c r="D710" s="2">
        <f t="shared" si="10"/>
        <v>0</v>
      </c>
      <c r="E710" s="14" t="str">
        <f>IFERROR(GIZLI!G705,"")</f>
        <v/>
      </c>
    </row>
    <row r="711" spans="2:5" x14ac:dyDescent="0.3">
      <c r="B711" s="2" t="str">
        <f>MID(TableQR[[#This Row],[QR CODES]],4,13)</f>
        <v/>
      </c>
      <c r="C711" s="2" t="str">
        <f>IFERROR(VLOOKUP(TableQR[[#This Row],[BARCODES]],ILACLISTE[#All],2,0),"")</f>
        <v/>
      </c>
      <c r="D711" s="2">
        <f t="shared" si="10"/>
        <v>0</v>
      </c>
      <c r="E711" s="14" t="str">
        <f>IFERROR(GIZLI!G706,"")</f>
        <v/>
      </c>
    </row>
    <row r="712" spans="2:5" x14ac:dyDescent="0.3">
      <c r="B712" s="2" t="str">
        <f>MID(TableQR[[#This Row],[QR CODES]],4,13)</f>
        <v/>
      </c>
      <c r="C712" s="2" t="str">
        <f>IFERROR(VLOOKUP(TableQR[[#This Row],[BARCODES]],ILACLISTE[#All],2,0),"")</f>
        <v/>
      </c>
      <c r="D712" s="2">
        <f t="shared" ref="D712:D775" si="11">COUNTIF(B712:B4705,IF(B712="",66666,B712))</f>
        <v>0</v>
      </c>
      <c r="E712" s="14" t="str">
        <f>IFERROR(GIZLI!G707,"")</f>
        <v/>
      </c>
    </row>
    <row r="713" spans="2:5" x14ac:dyDescent="0.3">
      <c r="B713" s="2" t="str">
        <f>MID(TableQR[[#This Row],[QR CODES]],4,13)</f>
        <v/>
      </c>
      <c r="C713" s="2" t="str">
        <f>IFERROR(VLOOKUP(TableQR[[#This Row],[BARCODES]],ILACLISTE[#All],2,0),"")</f>
        <v/>
      </c>
      <c r="D713" s="2">
        <f t="shared" si="11"/>
        <v>0</v>
      </c>
      <c r="E713" s="14" t="str">
        <f>IFERROR(GIZLI!G708,"")</f>
        <v/>
      </c>
    </row>
    <row r="714" spans="2:5" x14ac:dyDescent="0.3">
      <c r="B714" s="2" t="str">
        <f>MID(TableQR[[#This Row],[QR CODES]],4,13)</f>
        <v/>
      </c>
      <c r="C714" s="2" t="str">
        <f>IFERROR(VLOOKUP(TableQR[[#This Row],[BARCODES]],ILACLISTE[#All],2,0),"")</f>
        <v/>
      </c>
      <c r="D714" s="2">
        <f t="shared" si="11"/>
        <v>0</v>
      </c>
      <c r="E714" s="14" t="str">
        <f>IFERROR(GIZLI!G709,"")</f>
        <v/>
      </c>
    </row>
    <row r="715" spans="2:5" x14ac:dyDescent="0.3">
      <c r="B715" s="2" t="str">
        <f>MID(TableQR[[#This Row],[QR CODES]],4,13)</f>
        <v/>
      </c>
      <c r="C715" s="2" t="str">
        <f>IFERROR(VLOOKUP(TableQR[[#This Row],[BARCODES]],ILACLISTE[#All],2,0),"")</f>
        <v/>
      </c>
      <c r="D715" s="2">
        <f t="shared" si="11"/>
        <v>0</v>
      </c>
      <c r="E715" s="14" t="str">
        <f>IFERROR(GIZLI!G710,"")</f>
        <v/>
      </c>
    </row>
    <row r="716" spans="2:5" x14ac:dyDescent="0.3">
      <c r="B716" s="2" t="str">
        <f>MID(TableQR[[#This Row],[QR CODES]],4,13)</f>
        <v/>
      </c>
      <c r="C716" s="2" t="str">
        <f>IFERROR(VLOOKUP(TableQR[[#This Row],[BARCODES]],ILACLISTE[#All],2,0),"")</f>
        <v/>
      </c>
      <c r="D716" s="2">
        <f t="shared" si="11"/>
        <v>0</v>
      </c>
      <c r="E716" s="14" t="str">
        <f>IFERROR(GIZLI!G711,"")</f>
        <v/>
      </c>
    </row>
    <row r="717" spans="2:5" x14ac:dyDescent="0.3">
      <c r="B717" s="2" t="str">
        <f>MID(TableQR[[#This Row],[QR CODES]],4,13)</f>
        <v/>
      </c>
      <c r="C717" s="2" t="str">
        <f>IFERROR(VLOOKUP(TableQR[[#This Row],[BARCODES]],ILACLISTE[#All],2,0),"")</f>
        <v/>
      </c>
      <c r="D717" s="2">
        <f t="shared" si="11"/>
        <v>0</v>
      </c>
      <c r="E717" s="14" t="str">
        <f>IFERROR(GIZLI!G712,"")</f>
        <v/>
      </c>
    </row>
    <row r="718" spans="2:5" x14ac:dyDescent="0.3">
      <c r="B718" s="2" t="str">
        <f>MID(TableQR[[#This Row],[QR CODES]],4,13)</f>
        <v/>
      </c>
      <c r="C718" s="2" t="str">
        <f>IFERROR(VLOOKUP(TableQR[[#This Row],[BARCODES]],ILACLISTE[#All],2,0),"")</f>
        <v/>
      </c>
      <c r="D718" s="2">
        <f t="shared" si="11"/>
        <v>0</v>
      </c>
      <c r="E718" s="14" t="str">
        <f>IFERROR(GIZLI!G713,"")</f>
        <v/>
      </c>
    </row>
    <row r="719" spans="2:5" x14ac:dyDescent="0.3">
      <c r="B719" s="2" t="str">
        <f>MID(TableQR[[#This Row],[QR CODES]],4,13)</f>
        <v/>
      </c>
      <c r="C719" s="2" t="str">
        <f>IFERROR(VLOOKUP(TableQR[[#This Row],[BARCODES]],ILACLISTE[#All],2,0),"")</f>
        <v/>
      </c>
      <c r="D719" s="2">
        <f t="shared" si="11"/>
        <v>0</v>
      </c>
      <c r="E719" s="14" t="str">
        <f>IFERROR(GIZLI!G714,"")</f>
        <v/>
      </c>
    </row>
    <row r="720" spans="2:5" x14ac:dyDescent="0.3">
      <c r="B720" s="2" t="str">
        <f>MID(TableQR[[#This Row],[QR CODES]],4,13)</f>
        <v/>
      </c>
      <c r="C720" s="2" t="str">
        <f>IFERROR(VLOOKUP(TableQR[[#This Row],[BARCODES]],ILACLISTE[#All],2,0),"")</f>
        <v/>
      </c>
      <c r="D720" s="2">
        <f t="shared" si="11"/>
        <v>0</v>
      </c>
      <c r="E720" s="14" t="str">
        <f>IFERROR(GIZLI!G715,"")</f>
        <v/>
      </c>
    </row>
    <row r="721" spans="2:5" x14ac:dyDescent="0.3">
      <c r="B721" s="2" t="str">
        <f>MID(TableQR[[#This Row],[QR CODES]],4,13)</f>
        <v/>
      </c>
      <c r="C721" s="2" t="str">
        <f>IFERROR(VLOOKUP(TableQR[[#This Row],[BARCODES]],ILACLISTE[#All],2,0),"")</f>
        <v/>
      </c>
      <c r="D721" s="2">
        <f t="shared" si="11"/>
        <v>0</v>
      </c>
      <c r="E721" s="14" t="str">
        <f>IFERROR(GIZLI!G716,"")</f>
        <v/>
      </c>
    </row>
    <row r="722" spans="2:5" x14ac:dyDescent="0.3">
      <c r="B722" s="2" t="str">
        <f>MID(TableQR[[#This Row],[QR CODES]],4,13)</f>
        <v/>
      </c>
      <c r="C722" s="2" t="str">
        <f>IFERROR(VLOOKUP(TableQR[[#This Row],[BARCODES]],ILACLISTE[#All],2,0),"")</f>
        <v/>
      </c>
      <c r="D722" s="2">
        <f t="shared" si="11"/>
        <v>0</v>
      </c>
      <c r="E722" s="14" t="str">
        <f>IFERROR(GIZLI!G717,"")</f>
        <v/>
      </c>
    </row>
    <row r="723" spans="2:5" x14ac:dyDescent="0.3">
      <c r="B723" s="2" t="str">
        <f>MID(TableQR[[#This Row],[QR CODES]],4,13)</f>
        <v/>
      </c>
      <c r="C723" s="2" t="str">
        <f>IFERROR(VLOOKUP(TableQR[[#This Row],[BARCODES]],ILACLISTE[#All],2,0),"")</f>
        <v/>
      </c>
      <c r="D723" s="2">
        <f t="shared" si="11"/>
        <v>0</v>
      </c>
      <c r="E723" s="14" t="str">
        <f>IFERROR(GIZLI!G718,"")</f>
        <v/>
      </c>
    </row>
    <row r="724" spans="2:5" x14ac:dyDescent="0.3">
      <c r="B724" s="2" t="str">
        <f>MID(TableQR[[#This Row],[QR CODES]],4,13)</f>
        <v/>
      </c>
      <c r="C724" s="2" t="str">
        <f>IFERROR(VLOOKUP(TableQR[[#This Row],[BARCODES]],ILACLISTE[#All],2,0),"")</f>
        <v/>
      </c>
      <c r="D724" s="2">
        <f t="shared" si="11"/>
        <v>0</v>
      </c>
      <c r="E724" s="14" t="str">
        <f>IFERROR(GIZLI!G719,"")</f>
        <v/>
      </c>
    </row>
    <row r="725" spans="2:5" x14ac:dyDescent="0.3">
      <c r="B725" s="2" t="str">
        <f>MID(TableQR[[#This Row],[QR CODES]],4,13)</f>
        <v/>
      </c>
      <c r="C725" s="2" t="str">
        <f>IFERROR(VLOOKUP(TableQR[[#This Row],[BARCODES]],ILACLISTE[#All],2,0),"")</f>
        <v/>
      </c>
      <c r="D725" s="2">
        <f t="shared" si="11"/>
        <v>0</v>
      </c>
      <c r="E725" s="14" t="str">
        <f>IFERROR(GIZLI!G720,"")</f>
        <v/>
      </c>
    </row>
    <row r="726" spans="2:5" x14ac:dyDescent="0.3">
      <c r="B726" s="2" t="str">
        <f>MID(TableQR[[#This Row],[QR CODES]],4,13)</f>
        <v/>
      </c>
      <c r="C726" s="2" t="str">
        <f>IFERROR(VLOOKUP(TableQR[[#This Row],[BARCODES]],ILACLISTE[#All],2,0),"")</f>
        <v/>
      </c>
      <c r="D726" s="2">
        <f t="shared" si="11"/>
        <v>0</v>
      </c>
      <c r="E726" s="14" t="str">
        <f>IFERROR(GIZLI!G721,"")</f>
        <v/>
      </c>
    </row>
    <row r="727" spans="2:5" x14ac:dyDescent="0.3">
      <c r="B727" s="2" t="str">
        <f>MID(TableQR[[#This Row],[QR CODES]],4,13)</f>
        <v/>
      </c>
      <c r="C727" s="2" t="str">
        <f>IFERROR(VLOOKUP(TableQR[[#This Row],[BARCODES]],ILACLISTE[#All],2,0),"")</f>
        <v/>
      </c>
      <c r="D727" s="2">
        <f t="shared" si="11"/>
        <v>0</v>
      </c>
      <c r="E727" s="14" t="str">
        <f>IFERROR(GIZLI!G722,"")</f>
        <v/>
      </c>
    </row>
    <row r="728" spans="2:5" x14ac:dyDescent="0.3">
      <c r="B728" s="2" t="str">
        <f>MID(TableQR[[#This Row],[QR CODES]],4,13)</f>
        <v/>
      </c>
      <c r="C728" s="2" t="str">
        <f>IFERROR(VLOOKUP(TableQR[[#This Row],[BARCODES]],ILACLISTE[#All],2,0),"")</f>
        <v/>
      </c>
      <c r="D728" s="2">
        <f t="shared" si="11"/>
        <v>0</v>
      </c>
      <c r="E728" s="14" t="str">
        <f>IFERROR(GIZLI!G723,"")</f>
        <v/>
      </c>
    </row>
    <row r="729" spans="2:5" x14ac:dyDescent="0.3">
      <c r="B729" s="2" t="str">
        <f>MID(TableQR[[#This Row],[QR CODES]],4,13)</f>
        <v/>
      </c>
      <c r="C729" s="2" t="str">
        <f>IFERROR(VLOOKUP(TableQR[[#This Row],[BARCODES]],ILACLISTE[#All],2,0),"")</f>
        <v/>
      </c>
      <c r="D729" s="2">
        <f t="shared" si="11"/>
        <v>0</v>
      </c>
      <c r="E729" s="14" t="str">
        <f>IFERROR(GIZLI!G724,"")</f>
        <v/>
      </c>
    </row>
    <row r="730" spans="2:5" x14ac:dyDescent="0.3">
      <c r="B730" s="2" t="str">
        <f>MID(TableQR[[#This Row],[QR CODES]],4,13)</f>
        <v/>
      </c>
      <c r="C730" s="2" t="str">
        <f>IFERROR(VLOOKUP(TableQR[[#This Row],[BARCODES]],ILACLISTE[#All],2,0),"")</f>
        <v/>
      </c>
      <c r="D730" s="2">
        <f t="shared" si="11"/>
        <v>0</v>
      </c>
      <c r="E730" s="14" t="str">
        <f>IFERROR(GIZLI!G725,"")</f>
        <v/>
      </c>
    </row>
    <row r="731" spans="2:5" x14ac:dyDescent="0.3">
      <c r="B731" s="2" t="str">
        <f>MID(TableQR[[#This Row],[QR CODES]],4,13)</f>
        <v/>
      </c>
      <c r="C731" s="2" t="str">
        <f>IFERROR(VLOOKUP(TableQR[[#This Row],[BARCODES]],ILACLISTE[#All],2,0),"")</f>
        <v/>
      </c>
      <c r="D731" s="2">
        <f t="shared" si="11"/>
        <v>0</v>
      </c>
      <c r="E731" s="14" t="str">
        <f>IFERROR(GIZLI!G726,"")</f>
        <v/>
      </c>
    </row>
    <row r="732" spans="2:5" x14ac:dyDescent="0.3">
      <c r="B732" s="2" t="str">
        <f>MID(TableQR[[#This Row],[QR CODES]],4,13)</f>
        <v/>
      </c>
      <c r="C732" s="2" t="str">
        <f>IFERROR(VLOOKUP(TableQR[[#This Row],[BARCODES]],ILACLISTE[#All],2,0),"")</f>
        <v/>
      </c>
      <c r="D732" s="2">
        <f t="shared" si="11"/>
        <v>0</v>
      </c>
      <c r="E732" s="14" t="str">
        <f>IFERROR(GIZLI!G727,"")</f>
        <v/>
      </c>
    </row>
    <row r="733" spans="2:5" x14ac:dyDescent="0.3">
      <c r="B733" s="2" t="str">
        <f>MID(TableQR[[#This Row],[QR CODES]],4,13)</f>
        <v/>
      </c>
      <c r="C733" s="2" t="str">
        <f>IFERROR(VLOOKUP(TableQR[[#This Row],[BARCODES]],ILACLISTE[#All],2,0),"")</f>
        <v/>
      </c>
      <c r="D733" s="2">
        <f t="shared" si="11"/>
        <v>0</v>
      </c>
      <c r="E733" s="14" t="str">
        <f>IFERROR(GIZLI!G728,"")</f>
        <v/>
      </c>
    </row>
    <row r="734" spans="2:5" x14ac:dyDescent="0.3">
      <c r="B734" s="2" t="str">
        <f>MID(TableQR[[#This Row],[QR CODES]],4,13)</f>
        <v/>
      </c>
      <c r="C734" s="2" t="str">
        <f>IFERROR(VLOOKUP(TableQR[[#This Row],[BARCODES]],ILACLISTE[#All],2,0),"")</f>
        <v/>
      </c>
      <c r="D734" s="2">
        <f t="shared" si="11"/>
        <v>0</v>
      </c>
      <c r="E734" s="14" t="str">
        <f>IFERROR(GIZLI!G729,"")</f>
        <v/>
      </c>
    </row>
    <row r="735" spans="2:5" x14ac:dyDescent="0.3">
      <c r="B735" s="2" t="str">
        <f>MID(TableQR[[#This Row],[QR CODES]],4,13)</f>
        <v/>
      </c>
      <c r="C735" s="2" t="str">
        <f>IFERROR(VLOOKUP(TableQR[[#This Row],[BARCODES]],ILACLISTE[#All],2,0),"")</f>
        <v/>
      </c>
      <c r="D735" s="2">
        <f t="shared" si="11"/>
        <v>0</v>
      </c>
      <c r="E735" s="14" t="str">
        <f>IFERROR(GIZLI!G730,"")</f>
        <v/>
      </c>
    </row>
    <row r="736" spans="2:5" x14ac:dyDescent="0.3">
      <c r="B736" s="2" t="str">
        <f>MID(TableQR[[#This Row],[QR CODES]],4,13)</f>
        <v/>
      </c>
      <c r="C736" s="2" t="str">
        <f>IFERROR(VLOOKUP(TableQR[[#This Row],[BARCODES]],ILACLISTE[#All],2,0),"")</f>
        <v/>
      </c>
      <c r="D736" s="2">
        <f t="shared" si="11"/>
        <v>0</v>
      </c>
      <c r="E736" s="14" t="str">
        <f>IFERROR(GIZLI!G731,"")</f>
        <v/>
      </c>
    </row>
    <row r="737" spans="2:5" x14ac:dyDescent="0.3">
      <c r="B737" s="2" t="str">
        <f>MID(TableQR[[#This Row],[QR CODES]],4,13)</f>
        <v/>
      </c>
      <c r="C737" s="2" t="str">
        <f>IFERROR(VLOOKUP(TableQR[[#This Row],[BARCODES]],ILACLISTE[#All],2,0),"")</f>
        <v/>
      </c>
      <c r="D737" s="2">
        <f t="shared" si="11"/>
        <v>0</v>
      </c>
      <c r="E737" s="14" t="str">
        <f>IFERROR(GIZLI!G732,"")</f>
        <v/>
      </c>
    </row>
    <row r="738" spans="2:5" x14ac:dyDescent="0.3">
      <c r="B738" s="2" t="str">
        <f>MID(TableQR[[#This Row],[QR CODES]],4,13)</f>
        <v/>
      </c>
      <c r="C738" s="2" t="str">
        <f>IFERROR(VLOOKUP(TableQR[[#This Row],[BARCODES]],ILACLISTE[#All],2,0),"")</f>
        <v/>
      </c>
      <c r="D738" s="2">
        <f t="shared" si="11"/>
        <v>0</v>
      </c>
      <c r="E738" s="14" t="str">
        <f>IFERROR(GIZLI!G733,"")</f>
        <v/>
      </c>
    </row>
    <row r="739" spans="2:5" x14ac:dyDescent="0.3">
      <c r="B739" s="2" t="str">
        <f>MID(TableQR[[#This Row],[QR CODES]],4,13)</f>
        <v/>
      </c>
      <c r="C739" s="2" t="str">
        <f>IFERROR(VLOOKUP(TableQR[[#This Row],[BARCODES]],ILACLISTE[#All],2,0),"")</f>
        <v/>
      </c>
      <c r="D739" s="2">
        <f t="shared" si="11"/>
        <v>0</v>
      </c>
      <c r="E739" s="14" t="str">
        <f>IFERROR(GIZLI!G734,"")</f>
        <v/>
      </c>
    </row>
    <row r="740" spans="2:5" x14ac:dyDescent="0.3">
      <c r="B740" s="2" t="str">
        <f>MID(TableQR[[#This Row],[QR CODES]],4,13)</f>
        <v/>
      </c>
      <c r="C740" s="2" t="str">
        <f>IFERROR(VLOOKUP(TableQR[[#This Row],[BARCODES]],ILACLISTE[#All],2,0),"")</f>
        <v/>
      </c>
      <c r="D740" s="2">
        <f t="shared" si="11"/>
        <v>0</v>
      </c>
      <c r="E740" s="14" t="str">
        <f>IFERROR(GIZLI!G735,"")</f>
        <v/>
      </c>
    </row>
    <row r="741" spans="2:5" x14ac:dyDescent="0.3">
      <c r="B741" s="2" t="str">
        <f>MID(TableQR[[#This Row],[QR CODES]],4,13)</f>
        <v/>
      </c>
      <c r="C741" s="2" t="str">
        <f>IFERROR(VLOOKUP(TableQR[[#This Row],[BARCODES]],ILACLISTE[#All],2,0),"")</f>
        <v/>
      </c>
      <c r="D741" s="2">
        <f t="shared" si="11"/>
        <v>0</v>
      </c>
      <c r="E741" s="14" t="str">
        <f>IFERROR(GIZLI!G736,"")</f>
        <v/>
      </c>
    </row>
    <row r="742" spans="2:5" x14ac:dyDescent="0.3">
      <c r="B742" s="2" t="str">
        <f>MID(TableQR[[#This Row],[QR CODES]],4,13)</f>
        <v/>
      </c>
      <c r="C742" s="2" t="str">
        <f>IFERROR(VLOOKUP(TableQR[[#This Row],[BARCODES]],ILACLISTE[#All],2,0),"")</f>
        <v/>
      </c>
      <c r="D742" s="2">
        <f t="shared" si="11"/>
        <v>0</v>
      </c>
      <c r="E742" s="14" t="str">
        <f>IFERROR(GIZLI!G737,"")</f>
        <v/>
      </c>
    </row>
    <row r="743" spans="2:5" x14ac:dyDescent="0.3">
      <c r="B743" s="2" t="str">
        <f>MID(TableQR[[#This Row],[QR CODES]],4,13)</f>
        <v/>
      </c>
      <c r="C743" s="2" t="str">
        <f>IFERROR(VLOOKUP(TableQR[[#This Row],[BARCODES]],ILACLISTE[#All],2,0),"")</f>
        <v/>
      </c>
      <c r="D743" s="2">
        <f t="shared" si="11"/>
        <v>0</v>
      </c>
      <c r="E743" s="14" t="str">
        <f>IFERROR(GIZLI!G738,"")</f>
        <v/>
      </c>
    </row>
    <row r="744" spans="2:5" x14ac:dyDescent="0.3">
      <c r="B744" s="2" t="str">
        <f>MID(TableQR[[#This Row],[QR CODES]],4,13)</f>
        <v/>
      </c>
      <c r="C744" s="2" t="str">
        <f>IFERROR(VLOOKUP(TableQR[[#This Row],[BARCODES]],ILACLISTE[#All],2,0),"")</f>
        <v/>
      </c>
      <c r="D744" s="2">
        <f t="shared" si="11"/>
        <v>0</v>
      </c>
      <c r="E744" s="14" t="str">
        <f>IFERROR(GIZLI!G739,"")</f>
        <v/>
      </c>
    </row>
    <row r="745" spans="2:5" x14ac:dyDescent="0.3">
      <c r="B745" s="2" t="str">
        <f>MID(TableQR[[#This Row],[QR CODES]],4,13)</f>
        <v/>
      </c>
      <c r="C745" s="2" t="str">
        <f>IFERROR(VLOOKUP(TableQR[[#This Row],[BARCODES]],ILACLISTE[#All],2,0),"")</f>
        <v/>
      </c>
      <c r="D745" s="2">
        <f t="shared" si="11"/>
        <v>0</v>
      </c>
      <c r="E745" s="14" t="str">
        <f>IFERROR(GIZLI!G740,"")</f>
        <v/>
      </c>
    </row>
    <row r="746" spans="2:5" x14ac:dyDescent="0.3">
      <c r="B746" s="2" t="str">
        <f>MID(TableQR[[#This Row],[QR CODES]],4,13)</f>
        <v/>
      </c>
      <c r="C746" s="2" t="str">
        <f>IFERROR(VLOOKUP(TableQR[[#This Row],[BARCODES]],ILACLISTE[#All],2,0),"")</f>
        <v/>
      </c>
      <c r="D746" s="2">
        <f t="shared" si="11"/>
        <v>0</v>
      </c>
      <c r="E746" s="14" t="str">
        <f>IFERROR(GIZLI!G741,"")</f>
        <v/>
      </c>
    </row>
    <row r="747" spans="2:5" x14ac:dyDescent="0.3">
      <c r="B747" s="2" t="str">
        <f>MID(TableQR[[#This Row],[QR CODES]],4,13)</f>
        <v/>
      </c>
      <c r="C747" s="2" t="str">
        <f>IFERROR(VLOOKUP(TableQR[[#This Row],[BARCODES]],ILACLISTE[#All],2,0),"")</f>
        <v/>
      </c>
      <c r="D747" s="2">
        <f t="shared" si="11"/>
        <v>0</v>
      </c>
      <c r="E747" s="14" t="str">
        <f>IFERROR(GIZLI!G742,"")</f>
        <v/>
      </c>
    </row>
    <row r="748" spans="2:5" x14ac:dyDescent="0.3">
      <c r="B748" s="2" t="str">
        <f>MID(TableQR[[#This Row],[QR CODES]],4,13)</f>
        <v/>
      </c>
      <c r="C748" s="2" t="str">
        <f>IFERROR(VLOOKUP(TableQR[[#This Row],[BARCODES]],ILACLISTE[#All],2,0),"")</f>
        <v/>
      </c>
      <c r="D748" s="2">
        <f t="shared" si="11"/>
        <v>0</v>
      </c>
      <c r="E748" s="14" t="str">
        <f>IFERROR(GIZLI!G743,"")</f>
        <v/>
      </c>
    </row>
    <row r="749" spans="2:5" x14ac:dyDescent="0.3">
      <c r="B749" s="2" t="str">
        <f>MID(TableQR[[#This Row],[QR CODES]],4,13)</f>
        <v/>
      </c>
      <c r="C749" s="2" t="str">
        <f>IFERROR(VLOOKUP(TableQR[[#This Row],[BARCODES]],ILACLISTE[#All],2,0),"")</f>
        <v/>
      </c>
      <c r="D749" s="2">
        <f t="shared" si="11"/>
        <v>0</v>
      </c>
      <c r="E749" s="14" t="str">
        <f>IFERROR(GIZLI!G744,"")</f>
        <v/>
      </c>
    </row>
    <row r="750" spans="2:5" x14ac:dyDescent="0.3">
      <c r="B750" s="2" t="str">
        <f>MID(TableQR[[#This Row],[QR CODES]],4,13)</f>
        <v/>
      </c>
      <c r="C750" s="2" t="str">
        <f>IFERROR(VLOOKUP(TableQR[[#This Row],[BARCODES]],ILACLISTE[#All],2,0),"")</f>
        <v/>
      </c>
      <c r="D750" s="2">
        <f t="shared" si="11"/>
        <v>0</v>
      </c>
      <c r="E750" s="14" t="str">
        <f>IFERROR(GIZLI!G745,"")</f>
        <v/>
      </c>
    </row>
    <row r="751" spans="2:5" x14ac:dyDescent="0.3">
      <c r="B751" s="2" t="str">
        <f>MID(TableQR[[#This Row],[QR CODES]],4,13)</f>
        <v/>
      </c>
      <c r="C751" s="2" t="str">
        <f>IFERROR(VLOOKUP(TableQR[[#This Row],[BARCODES]],ILACLISTE[#All],2,0),"")</f>
        <v/>
      </c>
      <c r="D751" s="2">
        <f t="shared" si="11"/>
        <v>0</v>
      </c>
      <c r="E751" s="14" t="str">
        <f>IFERROR(GIZLI!G746,"")</f>
        <v/>
      </c>
    </row>
    <row r="752" spans="2:5" x14ac:dyDescent="0.3">
      <c r="B752" s="2" t="str">
        <f>MID(TableQR[[#This Row],[QR CODES]],4,13)</f>
        <v/>
      </c>
      <c r="C752" s="2" t="str">
        <f>IFERROR(VLOOKUP(TableQR[[#This Row],[BARCODES]],ILACLISTE[#All],2,0),"")</f>
        <v/>
      </c>
      <c r="D752" s="2">
        <f t="shared" si="11"/>
        <v>0</v>
      </c>
      <c r="E752" s="14" t="str">
        <f>IFERROR(GIZLI!G747,"")</f>
        <v/>
      </c>
    </row>
    <row r="753" spans="2:5" x14ac:dyDescent="0.3">
      <c r="B753" s="2" t="str">
        <f>MID(TableQR[[#This Row],[QR CODES]],4,13)</f>
        <v/>
      </c>
      <c r="C753" s="2" t="str">
        <f>IFERROR(VLOOKUP(TableQR[[#This Row],[BARCODES]],ILACLISTE[#All],2,0),"")</f>
        <v/>
      </c>
      <c r="D753" s="2">
        <f t="shared" si="11"/>
        <v>0</v>
      </c>
      <c r="E753" s="14" t="str">
        <f>IFERROR(GIZLI!G748,"")</f>
        <v/>
      </c>
    </row>
    <row r="754" spans="2:5" x14ac:dyDescent="0.3">
      <c r="B754" s="2" t="str">
        <f>MID(TableQR[[#This Row],[QR CODES]],4,13)</f>
        <v/>
      </c>
      <c r="C754" s="2" t="str">
        <f>IFERROR(VLOOKUP(TableQR[[#This Row],[BARCODES]],ILACLISTE[#All],2,0),"")</f>
        <v/>
      </c>
      <c r="D754" s="2">
        <f t="shared" si="11"/>
        <v>0</v>
      </c>
      <c r="E754" s="14" t="str">
        <f>IFERROR(GIZLI!G749,"")</f>
        <v/>
      </c>
    </row>
    <row r="755" spans="2:5" x14ac:dyDescent="0.3">
      <c r="B755" s="2" t="str">
        <f>MID(TableQR[[#This Row],[QR CODES]],4,13)</f>
        <v/>
      </c>
      <c r="C755" s="2" t="str">
        <f>IFERROR(VLOOKUP(TableQR[[#This Row],[BARCODES]],ILACLISTE[#All],2,0),"")</f>
        <v/>
      </c>
      <c r="D755" s="2">
        <f t="shared" si="11"/>
        <v>0</v>
      </c>
      <c r="E755" s="14" t="str">
        <f>IFERROR(GIZLI!G750,"")</f>
        <v/>
      </c>
    </row>
    <row r="756" spans="2:5" x14ac:dyDescent="0.3">
      <c r="B756" s="2" t="str">
        <f>MID(TableQR[[#This Row],[QR CODES]],4,13)</f>
        <v/>
      </c>
      <c r="C756" s="2" t="str">
        <f>IFERROR(VLOOKUP(TableQR[[#This Row],[BARCODES]],ILACLISTE[#All],2,0),"")</f>
        <v/>
      </c>
      <c r="D756" s="2">
        <f t="shared" si="11"/>
        <v>0</v>
      </c>
      <c r="E756" s="14" t="str">
        <f>IFERROR(GIZLI!G751,"")</f>
        <v/>
      </c>
    </row>
    <row r="757" spans="2:5" x14ac:dyDescent="0.3">
      <c r="B757" s="2" t="str">
        <f>MID(TableQR[[#This Row],[QR CODES]],4,13)</f>
        <v/>
      </c>
      <c r="C757" s="2" t="str">
        <f>IFERROR(VLOOKUP(TableQR[[#This Row],[BARCODES]],ILACLISTE[#All],2,0),"")</f>
        <v/>
      </c>
      <c r="D757" s="2">
        <f t="shared" si="11"/>
        <v>0</v>
      </c>
      <c r="E757" s="14" t="str">
        <f>IFERROR(GIZLI!G752,"")</f>
        <v/>
      </c>
    </row>
    <row r="758" spans="2:5" x14ac:dyDescent="0.3">
      <c r="B758" s="2" t="str">
        <f>MID(TableQR[[#This Row],[QR CODES]],4,13)</f>
        <v/>
      </c>
      <c r="C758" s="2" t="str">
        <f>IFERROR(VLOOKUP(TableQR[[#This Row],[BARCODES]],ILACLISTE[#All],2,0),"")</f>
        <v/>
      </c>
      <c r="D758" s="2">
        <f t="shared" si="11"/>
        <v>0</v>
      </c>
      <c r="E758" s="14" t="str">
        <f>IFERROR(GIZLI!G753,"")</f>
        <v/>
      </c>
    </row>
    <row r="759" spans="2:5" x14ac:dyDescent="0.3">
      <c r="B759" s="2" t="str">
        <f>MID(TableQR[[#This Row],[QR CODES]],4,13)</f>
        <v/>
      </c>
      <c r="C759" s="2" t="str">
        <f>IFERROR(VLOOKUP(TableQR[[#This Row],[BARCODES]],ILACLISTE[#All],2,0),"")</f>
        <v/>
      </c>
      <c r="D759" s="2">
        <f t="shared" si="11"/>
        <v>0</v>
      </c>
      <c r="E759" s="14" t="str">
        <f>IFERROR(GIZLI!G754,"")</f>
        <v/>
      </c>
    </row>
    <row r="760" spans="2:5" x14ac:dyDescent="0.3">
      <c r="B760" s="2" t="str">
        <f>MID(TableQR[[#This Row],[QR CODES]],4,13)</f>
        <v/>
      </c>
      <c r="C760" s="2" t="str">
        <f>IFERROR(VLOOKUP(TableQR[[#This Row],[BARCODES]],ILACLISTE[#All],2,0),"")</f>
        <v/>
      </c>
      <c r="D760" s="2">
        <f t="shared" si="11"/>
        <v>0</v>
      </c>
      <c r="E760" s="14" t="str">
        <f>IFERROR(GIZLI!G755,"")</f>
        <v/>
      </c>
    </row>
    <row r="761" spans="2:5" x14ac:dyDescent="0.3">
      <c r="B761" s="2" t="str">
        <f>MID(TableQR[[#This Row],[QR CODES]],4,13)</f>
        <v/>
      </c>
      <c r="C761" s="2" t="str">
        <f>IFERROR(VLOOKUP(TableQR[[#This Row],[BARCODES]],ILACLISTE[#All],2,0),"")</f>
        <v/>
      </c>
      <c r="D761" s="2">
        <f t="shared" si="11"/>
        <v>0</v>
      </c>
      <c r="E761" s="14" t="str">
        <f>IFERROR(GIZLI!G756,"")</f>
        <v/>
      </c>
    </row>
    <row r="762" spans="2:5" x14ac:dyDescent="0.3">
      <c r="B762" s="2" t="str">
        <f>MID(TableQR[[#This Row],[QR CODES]],4,13)</f>
        <v/>
      </c>
      <c r="C762" s="2" t="str">
        <f>IFERROR(VLOOKUP(TableQR[[#This Row],[BARCODES]],ILACLISTE[#All],2,0),"")</f>
        <v/>
      </c>
      <c r="D762" s="2">
        <f t="shared" si="11"/>
        <v>0</v>
      </c>
      <c r="E762" s="14" t="str">
        <f>IFERROR(GIZLI!G757,"")</f>
        <v/>
      </c>
    </row>
    <row r="763" spans="2:5" x14ac:dyDescent="0.3">
      <c r="B763" s="2" t="str">
        <f>MID(TableQR[[#This Row],[QR CODES]],4,13)</f>
        <v/>
      </c>
      <c r="C763" s="2" t="str">
        <f>IFERROR(VLOOKUP(TableQR[[#This Row],[BARCODES]],ILACLISTE[#All],2,0),"")</f>
        <v/>
      </c>
      <c r="D763" s="2">
        <f t="shared" si="11"/>
        <v>0</v>
      </c>
      <c r="E763" s="14" t="str">
        <f>IFERROR(GIZLI!G758,"")</f>
        <v/>
      </c>
    </row>
    <row r="764" spans="2:5" x14ac:dyDescent="0.3">
      <c r="B764" s="2" t="str">
        <f>MID(TableQR[[#This Row],[QR CODES]],4,13)</f>
        <v/>
      </c>
      <c r="C764" s="2" t="str">
        <f>IFERROR(VLOOKUP(TableQR[[#This Row],[BARCODES]],ILACLISTE[#All],2,0),"")</f>
        <v/>
      </c>
      <c r="D764" s="2">
        <f t="shared" si="11"/>
        <v>0</v>
      </c>
      <c r="E764" s="14" t="str">
        <f>IFERROR(GIZLI!G759,"")</f>
        <v/>
      </c>
    </row>
    <row r="765" spans="2:5" x14ac:dyDescent="0.3">
      <c r="B765" s="2" t="str">
        <f>MID(TableQR[[#This Row],[QR CODES]],4,13)</f>
        <v/>
      </c>
      <c r="C765" s="2" t="str">
        <f>IFERROR(VLOOKUP(TableQR[[#This Row],[BARCODES]],ILACLISTE[#All],2,0),"")</f>
        <v/>
      </c>
      <c r="D765" s="2">
        <f t="shared" si="11"/>
        <v>0</v>
      </c>
      <c r="E765" s="14" t="str">
        <f>IFERROR(GIZLI!G760,"")</f>
        <v/>
      </c>
    </row>
    <row r="766" spans="2:5" x14ac:dyDescent="0.3">
      <c r="B766" s="2" t="str">
        <f>MID(TableQR[[#This Row],[QR CODES]],4,13)</f>
        <v/>
      </c>
      <c r="C766" s="2" t="str">
        <f>IFERROR(VLOOKUP(TableQR[[#This Row],[BARCODES]],ILACLISTE[#All],2,0),"")</f>
        <v/>
      </c>
      <c r="D766" s="2">
        <f t="shared" si="11"/>
        <v>0</v>
      </c>
      <c r="E766" s="14" t="str">
        <f>IFERROR(GIZLI!G761,"")</f>
        <v/>
      </c>
    </row>
    <row r="767" spans="2:5" x14ac:dyDescent="0.3">
      <c r="B767" s="2" t="str">
        <f>MID(TableQR[[#This Row],[QR CODES]],4,13)</f>
        <v/>
      </c>
      <c r="C767" s="2" t="str">
        <f>IFERROR(VLOOKUP(TableQR[[#This Row],[BARCODES]],ILACLISTE[#All],2,0),"")</f>
        <v/>
      </c>
      <c r="D767" s="2">
        <f t="shared" si="11"/>
        <v>0</v>
      </c>
      <c r="E767" s="14" t="str">
        <f>IFERROR(GIZLI!G762,"")</f>
        <v/>
      </c>
    </row>
    <row r="768" spans="2:5" x14ac:dyDescent="0.3">
      <c r="B768" s="2" t="str">
        <f>MID(TableQR[[#This Row],[QR CODES]],4,13)</f>
        <v/>
      </c>
      <c r="C768" s="2" t="str">
        <f>IFERROR(VLOOKUP(TableQR[[#This Row],[BARCODES]],ILACLISTE[#All],2,0),"")</f>
        <v/>
      </c>
      <c r="D768" s="2">
        <f t="shared" si="11"/>
        <v>0</v>
      </c>
      <c r="E768" s="14" t="str">
        <f>IFERROR(GIZLI!G763,"")</f>
        <v/>
      </c>
    </row>
    <row r="769" spans="2:5" x14ac:dyDescent="0.3">
      <c r="B769" s="2" t="str">
        <f>MID(TableQR[[#This Row],[QR CODES]],4,13)</f>
        <v/>
      </c>
      <c r="C769" s="2" t="str">
        <f>IFERROR(VLOOKUP(TableQR[[#This Row],[BARCODES]],ILACLISTE[#All],2,0),"")</f>
        <v/>
      </c>
      <c r="D769" s="2">
        <f t="shared" si="11"/>
        <v>0</v>
      </c>
      <c r="E769" s="14" t="str">
        <f>IFERROR(GIZLI!G764,"")</f>
        <v/>
      </c>
    </row>
    <row r="770" spans="2:5" x14ac:dyDescent="0.3">
      <c r="B770" s="2" t="str">
        <f>MID(TableQR[[#This Row],[QR CODES]],4,13)</f>
        <v/>
      </c>
      <c r="C770" s="2" t="str">
        <f>IFERROR(VLOOKUP(TableQR[[#This Row],[BARCODES]],ILACLISTE[#All],2,0),"")</f>
        <v/>
      </c>
      <c r="D770" s="2">
        <f t="shared" si="11"/>
        <v>0</v>
      </c>
      <c r="E770" s="14" t="str">
        <f>IFERROR(GIZLI!G765,"")</f>
        <v/>
      </c>
    </row>
    <row r="771" spans="2:5" x14ac:dyDescent="0.3">
      <c r="B771" s="2" t="str">
        <f>MID(TableQR[[#This Row],[QR CODES]],4,13)</f>
        <v/>
      </c>
      <c r="C771" s="2" t="str">
        <f>IFERROR(VLOOKUP(TableQR[[#This Row],[BARCODES]],ILACLISTE[#All],2,0),"")</f>
        <v/>
      </c>
      <c r="D771" s="2">
        <f t="shared" si="11"/>
        <v>0</v>
      </c>
      <c r="E771" s="14" t="str">
        <f>IFERROR(GIZLI!G766,"")</f>
        <v/>
      </c>
    </row>
    <row r="772" spans="2:5" x14ac:dyDescent="0.3">
      <c r="B772" s="2" t="str">
        <f>MID(TableQR[[#This Row],[QR CODES]],4,13)</f>
        <v/>
      </c>
      <c r="C772" s="2" t="str">
        <f>IFERROR(VLOOKUP(TableQR[[#This Row],[BARCODES]],ILACLISTE[#All],2,0),"")</f>
        <v/>
      </c>
      <c r="D772" s="2">
        <f t="shared" si="11"/>
        <v>0</v>
      </c>
      <c r="E772" s="14" t="str">
        <f>IFERROR(GIZLI!G767,"")</f>
        <v/>
      </c>
    </row>
    <row r="773" spans="2:5" x14ac:dyDescent="0.3">
      <c r="B773" s="2" t="str">
        <f>MID(TableQR[[#This Row],[QR CODES]],4,13)</f>
        <v/>
      </c>
      <c r="C773" s="2" t="str">
        <f>IFERROR(VLOOKUP(TableQR[[#This Row],[BARCODES]],ILACLISTE[#All],2,0),"")</f>
        <v/>
      </c>
      <c r="D773" s="2">
        <f t="shared" si="11"/>
        <v>0</v>
      </c>
      <c r="E773" s="14" t="str">
        <f>IFERROR(GIZLI!G768,"")</f>
        <v/>
      </c>
    </row>
    <row r="774" spans="2:5" x14ac:dyDescent="0.3">
      <c r="B774" s="2" t="str">
        <f>MID(TableQR[[#This Row],[QR CODES]],4,13)</f>
        <v/>
      </c>
      <c r="C774" s="2" t="str">
        <f>IFERROR(VLOOKUP(TableQR[[#This Row],[BARCODES]],ILACLISTE[#All],2,0),"")</f>
        <v/>
      </c>
      <c r="D774" s="2">
        <f t="shared" si="11"/>
        <v>0</v>
      </c>
      <c r="E774" s="14" t="str">
        <f>IFERROR(GIZLI!G769,"")</f>
        <v/>
      </c>
    </row>
    <row r="775" spans="2:5" x14ac:dyDescent="0.3">
      <c r="B775" s="2" t="str">
        <f>MID(TableQR[[#This Row],[QR CODES]],4,13)</f>
        <v/>
      </c>
      <c r="C775" s="2" t="str">
        <f>IFERROR(VLOOKUP(TableQR[[#This Row],[BARCODES]],ILACLISTE[#All],2,0),"")</f>
        <v/>
      </c>
      <c r="D775" s="2">
        <f t="shared" si="11"/>
        <v>0</v>
      </c>
      <c r="E775" s="14" t="str">
        <f>IFERROR(GIZLI!G770,"")</f>
        <v/>
      </c>
    </row>
    <row r="776" spans="2:5" x14ac:dyDescent="0.3">
      <c r="B776" s="2" t="str">
        <f>MID(TableQR[[#This Row],[QR CODES]],4,13)</f>
        <v/>
      </c>
      <c r="C776" s="2" t="str">
        <f>IFERROR(VLOOKUP(TableQR[[#This Row],[BARCODES]],ILACLISTE[#All],2,0),"")</f>
        <v/>
      </c>
      <c r="D776" s="2">
        <f t="shared" ref="D776:D839" si="12">COUNTIF(B776:B4769,IF(B776="",66666,B776))</f>
        <v>0</v>
      </c>
      <c r="E776" s="14" t="str">
        <f>IFERROR(GIZLI!G771,"")</f>
        <v/>
      </c>
    </row>
    <row r="777" spans="2:5" x14ac:dyDescent="0.3">
      <c r="B777" s="2" t="str">
        <f>MID(TableQR[[#This Row],[QR CODES]],4,13)</f>
        <v/>
      </c>
      <c r="C777" s="2" t="str">
        <f>IFERROR(VLOOKUP(TableQR[[#This Row],[BARCODES]],ILACLISTE[#All],2,0),"")</f>
        <v/>
      </c>
      <c r="D777" s="2">
        <f t="shared" si="12"/>
        <v>0</v>
      </c>
      <c r="E777" s="14" t="str">
        <f>IFERROR(GIZLI!G772,"")</f>
        <v/>
      </c>
    </row>
    <row r="778" spans="2:5" x14ac:dyDescent="0.3">
      <c r="B778" s="2" t="str">
        <f>MID(TableQR[[#This Row],[QR CODES]],4,13)</f>
        <v/>
      </c>
      <c r="C778" s="2" t="str">
        <f>IFERROR(VLOOKUP(TableQR[[#This Row],[BARCODES]],ILACLISTE[#All],2,0),"")</f>
        <v/>
      </c>
      <c r="D778" s="2">
        <f t="shared" si="12"/>
        <v>0</v>
      </c>
      <c r="E778" s="14" t="str">
        <f>IFERROR(GIZLI!G773,"")</f>
        <v/>
      </c>
    </row>
    <row r="779" spans="2:5" x14ac:dyDescent="0.3">
      <c r="B779" s="2" t="str">
        <f>MID(TableQR[[#This Row],[QR CODES]],4,13)</f>
        <v/>
      </c>
      <c r="C779" s="2" t="str">
        <f>IFERROR(VLOOKUP(TableQR[[#This Row],[BARCODES]],ILACLISTE[#All],2,0),"")</f>
        <v/>
      </c>
      <c r="D779" s="2">
        <f t="shared" si="12"/>
        <v>0</v>
      </c>
      <c r="E779" s="14" t="str">
        <f>IFERROR(GIZLI!G774,"")</f>
        <v/>
      </c>
    </row>
    <row r="780" spans="2:5" x14ac:dyDescent="0.3">
      <c r="B780" s="2" t="str">
        <f>MID(TableQR[[#This Row],[QR CODES]],4,13)</f>
        <v/>
      </c>
      <c r="C780" s="2" t="str">
        <f>IFERROR(VLOOKUP(TableQR[[#This Row],[BARCODES]],ILACLISTE[#All],2,0),"")</f>
        <v/>
      </c>
      <c r="D780" s="2">
        <f t="shared" si="12"/>
        <v>0</v>
      </c>
      <c r="E780" s="14" t="str">
        <f>IFERROR(GIZLI!G775,"")</f>
        <v/>
      </c>
    </row>
    <row r="781" spans="2:5" x14ac:dyDescent="0.3">
      <c r="B781" s="2" t="str">
        <f>MID(TableQR[[#This Row],[QR CODES]],4,13)</f>
        <v/>
      </c>
      <c r="C781" s="2" t="str">
        <f>IFERROR(VLOOKUP(TableQR[[#This Row],[BARCODES]],ILACLISTE[#All],2,0),"")</f>
        <v/>
      </c>
      <c r="D781" s="2">
        <f t="shared" si="12"/>
        <v>0</v>
      </c>
      <c r="E781" s="14" t="str">
        <f>IFERROR(GIZLI!G776,"")</f>
        <v/>
      </c>
    </row>
    <row r="782" spans="2:5" x14ac:dyDescent="0.3">
      <c r="B782" s="2" t="str">
        <f>MID(TableQR[[#This Row],[QR CODES]],4,13)</f>
        <v/>
      </c>
      <c r="C782" s="2" t="str">
        <f>IFERROR(VLOOKUP(TableQR[[#This Row],[BARCODES]],ILACLISTE[#All],2,0),"")</f>
        <v/>
      </c>
      <c r="D782" s="2">
        <f t="shared" si="12"/>
        <v>0</v>
      </c>
      <c r="E782" s="14" t="str">
        <f>IFERROR(GIZLI!G777,"")</f>
        <v/>
      </c>
    </row>
    <row r="783" spans="2:5" x14ac:dyDescent="0.3">
      <c r="B783" s="2" t="str">
        <f>MID(TableQR[[#This Row],[QR CODES]],4,13)</f>
        <v/>
      </c>
      <c r="C783" s="2" t="str">
        <f>IFERROR(VLOOKUP(TableQR[[#This Row],[BARCODES]],ILACLISTE[#All],2,0),"")</f>
        <v/>
      </c>
      <c r="D783" s="2">
        <f t="shared" si="12"/>
        <v>0</v>
      </c>
      <c r="E783" s="14" t="str">
        <f>IFERROR(GIZLI!G778,"")</f>
        <v/>
      </c>
    </row>
    <row r="784" spans="2:5" x14ac:dyDescent="0.3">
      <c r="B784" s="2" t="str">
        <f>MID(TableQR[[#This Row],[QR CODES]],4,13)</f>
        <v/>
      </c>
      <c r="C784" s="2" t="str">
        <f>IFERROR(VLOOKUP(TableQR[[#This Row],[BARCODES]],ILACLISTE[#All],2,0),"")</f>
        <v/>
      </c>
      <c r="D784" s="2">
        <f t="shared" si="12"/>
        <v>0</v>
      </c>
      <c r="E784" s="14" t="str">
        <f>IFERROR(GIZLI!G779,"")</f>
        <v/>
      </c>
    </row>
    <row r="785" spans="2:5" x14ac:dyDescent="0.3">
      <c r="B785" s="2" t="str">
        <f>MID(TableQR[[#This Row],[QR CODES]],4,13)</f>
        <v/>
      </c>
      <c r="C785" s="2" t="str">
        <f>IFERROR(VLOOKUP(TableQR[[#This Row],[BARCODES]],ILACLISTE[#All],2,0),"")</f>
        <v/>
      </c>
      <c r="D785" s="2">
        <f t="shared" si="12"/>
        <v>0</v>
      </c>
      <c r="E785" s="14" t="str">
        <f>IFERROR(GIZLI!G780,"")</f>
        <v/>
      </c>
    </row>
    <row r="786" spans="2:5" x14ac:dyDescent="0.3">
      <c r="B786" s="2" t="str">
        <f>MID(TableQR[[#This Row],[QR CODES]],4,13)</f>
        <v/>
      </c>
      <c r="C786" s="2" t="str">
        <f>IFERROR(VLOOKUP(TableQR[[#This Row],[BARCODES]],ILACLISTE[#All],2,0),"")</f>
        <v/>
      </c>
      <c r="D786" s="2">
        <f t="shared" si="12"/>
        <v>0</v>
      </c>
      <c r="E786" s="14" t="str">
        <f>IFERROR(GIZLI!G781,"")</f>
        <v/>
      </c>
    </row>
    <row r="787" spans="2:5" x14ac:dyDescent="0.3">
      <c r="B787" s="2" t="str">
        <f>MID(TableQR[[#This Row],[QR CODES]],4,13)</f>
        <v/>
      </c>
      <c r="C787" s="2" t="str">
        <f>IFERROR(VLOOKUP(TableQR[[#This Row],[BARCODES]],ILACLISTE[#All],2,0),"")</f>
        <v/>
      </c>
      <c r="D787" s="2">
        <f t="shared" si="12"/>
        <v>0</v>
      </c>
      <c r="E787" s="14" t="str">
        <f>IFERROR(GIZLI!G782,"")</f>
        <v/>
      </c>
    </row>
    <row r="788" spans="2:5" x14ac:dyDescent="0.3">
      <c r="B788" s="2" t="str">
        <f>MID(TableQR[[#This Row],[QR CODES]],4,13)</f>
        <v/>
      </c>
      <c r="C788" s="2" t="str">
        <f>IFERROR(VLOOKUP(TableQR[[#This Row],[BARCODES]],ILACLISTE[#All],2,0),"")</f>
        <v/>
      </c>
      <c r="D788" s="2">
        <f t="shared" si="12"/>
        <v>0</v>
      </c>
      <c r="E788" s="14" t="str">
        <f>IFERROR(GIZLI!G783,"")</f>
        <v/>
      </c>
    </row>
    <row r="789" spans="2:5" x14ac:dyDescent="0.3">
      <c r="B789" s="2" t="str">
        <f>MID(TableQR[[#This Row],[QR CODES]],4,13)</f>
        <v/>
      </c>
      <c r="C789" s="2" t="str">
        <f>IFERROR(VLOOKUP(TableQR[[#This Row],[BARCODES]],ILACLISTE[#All],2,0),"")</f>
        <v/>
      </c>
      <c r="D789" s="2">
        <f t="shared" si="12"/>
        <v>0</v>
      </c>
      <c r="E789" s="14" t="str">
        <f>IFERROR(GIZLI!G784,"")</f>
        <v/>
      </c>
    </row>
    <row r="790" spans="2:5" x14ac:dyDescent="0.3">
      <c r="B790" s="2" t="str">
        <f>MID(TableQR[[#This Row],[QR CODES]],4,13)</f>
        <v/>
      </c>
      <c r="C790" s="2" t="str">
        <f>IFERROR(VLOOKUP(TableQR[[#This Row],[BARCODES]],ILACLISTE[#All],2,0),"")</f>
        <v/>
      </c>
      <c r="D790" s="2">
        <f t="shared" si="12"/>
        <v>0</v>
      </c>
      <c r="E790" s="14" t="str">
        <f>IFERROR(GIZLI!G785,"")</f>
        <v/>
      </c>
    </row>
    <row r="791" spans="2:5" x14ac:dyDescent="0.3">
      <c r="B791" s="2" t="str">
        <f>MID(TableQR[[#This Row],[QR CODES]],4,13)</f>
        <v/>
      </c>
      <c r="C791" s="2" t="str">
        <f>IFERROR(VLOOKUP(TableQR[[#This Row],[BARCODES]],ILACLISTE[#All],2,0),"")</f>
        <v/>
      </c>
      <c r="D791" s="2">
        <f t="shared" si="12"/>
        <v>0</v>
      </c>
      <c r="E791" s="14" t="str">
        <f>IFERROR(GIZLI!G786,"")</f>
        <v/>
      </c>
    </row>
    <row r="792" spans="2:5" x14ac:dyDescent="0.3">
      <c r="B792" s="2" t="str">
        <f>MID(TableQR[[#This Row],[QR CODES]],4,13)</f>
        <v/>
      </c>
      <c r="C792" s="2" t="str">
        <f>IFERROR(VLOOKUP(TableQR[[#This Row],[BARCODES]],ILACLISTE[#All],2,0),"")</f>
        <v/>
      </c>
      <c r="D792" s="2">
        <f t="shared" si="12"/>
        <v>0</v>
      </c>
      <c r="E792" s="14" t="str">
        <f>IFERROR(GIZLI!G787,"")</f>
        <v/>
      </c>
    </row>
    <row r="793" spans="2:5" x14ac:dyDescent="0.3">
      <c r="B793" s="2" t="str">
        <f>MID(TableQR[[#This Row],[QR CODES]],4,13)</f>
        <v/>
      </c>
      <c r="C793" s="2" t="str">
        <f>IFERROR(VLOOKUP(TableQR[[#This Row],[BARCODES]],ILACLISTE[#All],2,0),"")</f>
        <v/>
      </c>
      <c r="D793" s="2">
        <f t="shared" si="12"/>
        <v>0</v>
      </c>
      <c r="E793" s="14" t="str">
        <f>IFERROR(GIZLI!G788,"")</f>
        <v/>
      </c>
    </row>
    <row r="794" spans="2:5" x14ac:dyDescent="0.3">
      <c r="B794" s="2" t="str">
        <f>MID(TableQR[[#This Row],[QR CODES]],4,13)</f>
        <v/>
      </c>
      <c r="C794" s="2" t="str">
        <f>IFERROR(VLOOKUP(TableQR[[#This Row],[BARCODES]],ILACLISTE[#All],2,0),"")</f>
        <v/>
      </c>
      <c r="D794" s="2">
        <f t="shared" si="12"/>
        <v>0</v>
      </c>
      <c r="E794" s="14" t="str">
        <f>IFERROR(GIZLI!G789,"")</f>
        <v/>
      </c>
    </row>
    <row r="795" spans="2:5" x14ac:dyDescent="0.3">
      <c r="B795" s="2" t="str">
        <f>MID(TableQR[[#This Row],[QR CODES]],4,13)</f>
        <v/>
      </c>
      <c r="C795" s="2" t="str">
        <f>IFERROR(VLOOKUP(TableQR[[#This Row],[BARCODES]],ILACLISTE[#All],2,0),"")</f>
        <v/>
      </c>
      <c r="D795" s="2">
        <f t="shared" si="12"/>
        <v>0</v>
      </c>
      <c r="E795" s="14" t="str">
        <f>IFERROR(GIZLI!G790,"")</f>
        <v/>
      </c>
    </row>
    <row r="796" spans="2:5" x14ac:dyDescent="0.3">
      <c r="B796" s="2" t="str">
        <f>MID(TableQR[[#This Row],[QR CODES]],4,13)</f>
        <v/>
      </c>
      <c r="C796" s="2" t="str">
        <f>IFERROR(VLOOKUP(TableQR[[#This Row],[BARCODES]],ILACLISTE[#All],2,0),"")</f>
        <v/>
      </c>
      <c r="D796" s="2">
        <f t="shared" si="12"/>
        <v>0</v>
      </c>
      <c r="E796" s="14" t="str">
        <f>IFERROR(GIZLI!G791,"")</f>
        <v/>
      </c>
    </row>
    <row r="797" spans="2:5" x14ac:dyDescent="0.3">
      <c r="B797" s="2" t="str">
        <f>MID(TableQR[[#This Row],[QR CODES]],4,13)</f>
        <v/>
      </c>
      <c r="C797" s="2" t="str">
        <f>IFERROR(VLOOKUP(TableQR[[#This Row],[BARCODES]],ILACLISTE[#All],2,0),"")</f>
        <v/>
      </c>
      <c r="D797" s="2">
        <f t="shared" si="12"/>
        <v>0</v>
      </c>
      <c r="E797" s="14" t="str">
        <f>IFERROR(GIZLI!G792,"")</f>
        <v/>
      </c>
    </row>
    <row r="798" spans="2:5" x14ac:dyDescent="0.3">
      <c r="B798" s="2" t="str">
        <f>MID(TableQR[[#This Row],[QR CODES]],4,13)</f>
        <v/>
      </c>
      <c r="C798" s="2" t="str">
        <f>IFERROR(VLOOKUP(TableQR[[#This Row],[BARCODES]],ILACLISTE[#All],2,0),"")</f>
        <v/>
      </c>
      <c r="D798" s="2">
        <f t="shared" si="12"/>
        <v>0</v>
      </c>
      <c r="E798" s="14" t="str">
        <f>IFERROR(GIZLI!G793,"")</f>
        <v/>
      </c>
    </row>
    <row r="799" spans="2:5" x14ac:dyDescent="0.3">
      <c r="B799" s="2" t="str">
        <f>MID(TableQR[[#This Row],[QR CODES]],4,13)</f>
        <v/>
      </c>
      <c r="C799" s="2" t="str">
        <f>IFERROR(VLOOKUP(TableQR[[#This Row],[BARCODES]],ILACLISTE[#All],2,0),"")</f>
        <v/>
      </c>
      <c r="D799" s="2">
        <f t="shared" si="12"/>
        <v>0</v>
      </c>
      <c r="E799" s="14" t="str">
        <f>IFERROR(GIZLI!G794,"")</f>
        <v/>
      </c>
    </row>
    <row r="800" spans="2:5" x14ac:dyDescent="0.3">
      <c r="B800" s="2" t="str">
        <f>MID(TableQR[[#This Row],[QR CODES]],4,13)</f>
        <v/>
      </c>
      <c r="C800" s="2" t="str">
        <f>IFERROR(VLOOKUP(TableQR[[#This Row],[BARCODES]],ILACLISTE[#All],2,0),"")</f>
        <v/>
      </c>
      <c r="D800" s="2">
        <f t="shared" si="12"/>
        <v>0</v>
      </c>
      <c r="E800" s="14" t="str">
        <f>IFERROR(GIZLI!G795,"")</f>
        <v/>
      </c>
    </row>
    <row r="801" spans="2:5" x14ac:dyDescent="0.3">
      <c r="B801" s="2" t="str">
        <f>MID(TableQR[[#This Row],[QR CODES]],4,13)</f>
        <v/>
      </c>
      <c r="C801" s="2" t="str">
        <f>IFERROR(VLOOKUP(TableQR[[#This Row],[BARCODES]],ILACLISTE[#All],2,0),"")</f>
        <v/>
      </c>
      <c r="D801" s="2">
        <f t="shared" si="12"/>
        <v>0</v>
      </c>
      <c r="E801" s="14" t="str">
        <f>IFERROR(GIZLI!G796,"")</f>
        <v/>
      </c>
    </row>
    <row r="802" spans="2:5" x14ac:dyDescent="0.3">
      <c r="B802" s="2" t="str">
        <f>MID(TableQR[[#This Row],[QR CODES]],4,13)</f>
        <v/>
      </c>
      <c r="C802" s="2" t="str">
        <f>IFERROR(VLOOKUP(TableQR[[#This Row],[BARCODES]],ILACLISTE[#All],2,0),"")</f>
        <v/>
      </c>
      <c r="D802" s="2">
        <f t="shared" si="12"/>
        <v>0</v>
      </c>
      <c r="E802" s="14" t="str">
        <f>IFERROR(GIZLI!G797,"")</f>
        <v/>
      </c>
    </row>
    <row r="803" spans="2:5" x14ac:dyDescent="0.3">
      <c r="B803" s="2" t="str">
        <f>MID(TableQR[[#This Row],[QR CODES]],4,13)</f>
        <v/>
      </c>
      <c r="C803" s="2" t="str">
        <f>IFERROR(VLOOKUP(TableQR[[#This Row],[BARCODES]],ILACLISTE[#All],2,0),"")</f>
        <v/>
      </c>
      <c r="D803" s="2">
        <f t="shared" si="12"/>
        <v>0</v>
      </c>
      <c r="E803" s="14" t="str">
        <f>IFERROR(GIZLI!G798,"")</f>
        <v/>
      </c>
    </row>
    <row r="804" spans="2:5" x14ac:dyDescent="0.3">
      <c r="B804" s="2" t="str">
        <f>MID(TableQR[[#This Row],[QR CODES]],4,13)</f>
        <v/>
      </c>
      <c r="C804" s="2" t="str">
        <f>IFERROR(VLOOKUP(TableQR[[#This Row],[BARCODES]],ILACLISTE[#All],2,0),"")</f>
        <v/>
      </c>
      <c r="D804" s="2">
        <f t="shared" si="12"/>
        <v>0</v>
      </c>
      <c r="E804" s="14" t="str">
        <f>IFERROR(GIZLI!G799,"")</f>
        <v/>
      </c>
    </row>
    <row r="805" spans="2:5" x14ac:dyDescent="0.3">
      <c r="B805" s="2" t="str">
        <f>MID(TableQR[[#This Row],[QR CODES]],4,13)</f>
        <v/>
      </c>
      <c r="C805" s="2" t="str">
        <f>IFERROR(VLOOKUP(TableQR[[#This Row],[BARCODES]],ILACLISTE[#All],2,0),"")</f>
        <v/>
      </c>
      <c r="D805" s="2">
        <f t="shared" si="12"/>
        <v>0</v>
      </c>
      <c r="E805" s="14" t="str">
        <f>IFERROR(GIZLI!G800,"")</f>
        <v/>
      </c>
    </row>
    <row r="806" spans="2:5" x14ac:dyDescent="0.3">
      <c r="B806" s="2" t="str">
        <f>MID(TableQR[[#This Row],[QR CODES]],4,13)</f>
        <v/>
      </c>
      <c r="C806" s="2" t="str">
        <f>IFERROR(VLOOKUP(TableQR[[#This Row],[BARCODES]],ILACLISTE[#All],2,0),"")</f>
        <v/>
      </c>
      <c r="D806" s="2">
        <f t="shared" si="12"/>
        <v>0</v>
      </c>
      <c r="E806" s="14" t="str">
        <f>IFERROR(GIZLI!G801,"")</f>
        <v/>
      </c>
    </row>
    <row r="807" spans="2:5" x14ac:dyDescent="0.3">
      <c r="B807" s="2" t="str">
        <f>MID(TableQR[[#This Row],[QR CODES]],4,13)</f>
        <v/>
      </c>
      <c r="C807" s="2" t="str">
        <f>IFERROR(VLOOKUP(TableQR[[#This Row],[BARCODES]],ILACLISTE[#All],2,0),"")</f>
        <v/>
      </c>
      <c r="D807" s="2">
        <f t="shared" si="12"/>
        <v>0</v>
      </c>
      <c r="E807" s="14" t="str">
        <f>IFERROR(GIZLI!G802,"")</f>
        <v/>
      </c>
    </row>
    <row r="808" spans="2:5" x14ac:dyDescent="0.3">
      <c r="B808" s="2" t="str">
        <f>MID(TableQR[[#This Row],[QR CODES]],4,13)</f>
        <v/>
      </c>
      <c r="C808" s="2" t="str">
        <f>IFERROR(VLOOKUP(TableQR[[#This Row],[BARCODES]],ILACLISTE[#All],2,0),"")</f>
        <v/>
      </c>
      <c r="D808" s="2">
        <f t="shared" si="12"/>
        <v>0</v>
      </c>
      <c r="E808" s="14" t="str">
        <f>IFERROR(GIZLI!G803,"")</f>
        <v/>
      </c>
    </row>
    <row r="809" spans="2:5" x14ac:dyDescent="0.3">
      <c r="B809" s="2" t="str">
        <f>MID(TableQR[[#This Row],[QR CODES]],4,13)</f>
        <v/>
      </c>
      <c r="C809" s="2" t="str">
        <f>IFERROR(VLOOKUP(TableQR[[#This Row],[BARCODES]],ILACLISTE[#All],2,0),"")</f>
        <v/>
      </c>
      <c r="D809" s="2">
        <f t="shared" si="12"/>
        <v>0</v>
      </c>
      <c r="E809" s="14" t="str">
        <f>IFERROR(GIZLI!G804,"")</f>
        <v/>
      </c>
    </row>
    <row r="810" spans="2:5" x14ac:dyDescent="0.3">
      <c r="B810" s="2" t="str">
        <f>MID(TableQR[[#This Row],[QR CODES]],4,13)</f>
        <v/>
      </c>
      <c r="C810" s="2" t="str">
        <f>IFERROR(VLOOKUP(TableQR[[#This Row],[BARCODES]],ILACLISTE[#All],2,0),"")</f>
        <v/>
      </c>
      <c r="D810" s="2">
        <f t="shared" si="12"/>
        <v>0</v>
      </c>
      <c r="E810" s="14" t="str">
        <f>IFERROR(GIZLI!G805,"")</f>
        <v/>
      </c>
    </row>
    <row r="811" spans="2:5" x14ac:dyDescent="0.3">
      <c r="B811" s="2" t="str">
        <f>MID(TableQR[[#This Row],[QR CODES]],4,13)</f>
        <v/>
      </c>
      <c r="C811" s="2" t="str">
        <f>IFERROR(VLOOKUP(TableQR[[#This Row],[BARCODES]],ILACLISTE[#All],2,0),"")</f>
        <v/>
      </c>
      <c r="D811" s="2">
        <f t="shared" si="12"/>
        <v>0</v>
      </c>
      <c r="E811" s="14" t="str">
        <f>IFERROR(GIZLI!G806,"")</f>
        <v/>
      </c>
    </row>
    <row r="812" spans="2:5" x14ac:dyDescent="0.3">
      <c r="B812" s="2" t="str">
        <f>MID(TableQR[[#This Row],[QR CODES]],4,13)</f>
        <v/>
      </c>
      <c r="C812" s="2" t="str">
        <f>IFERROR(VLOOKUP(TableQR[[#This Row],[BARCODES]],ILACLISTE[#All],2,0),"")</f>
        <v/>
      </c>
      <c r="D812" s="2">
        <f t="shared" si="12"/>
        <v>0</v>
      </c>
      <c r="E812" s="14" t="str">
        <f>IFERROR(GIZLI!G807,"")</f>
        <v/>
      </c>
    </row>
    <row r="813" spans="2:5" x14ac:dyDescent="0.3">
      <c r="B813" s="2" t="str">
        <f>MID(TableQR[[#This Row],[QR CODES]],4,13)</f>
        <v/>
      </c>
      <c r="C813" s="2" t="str">
        <f>IFERROR(VLOOKUP(TableQR[[#This Row],[BARCODES]],ILACLISTE[#All],2,0),"")</f>
        <v/>
      </c>
      <c r="D813" s="2">
        <f t="shared" si="12"/>
        <v>0</v>
      </c>
      <c r="E813" s="14" t="str">
        <f>IFERROR(GIZLI!G808,"")</f>
        <v/>
      </c>
    </row>
    <row r="814" spans="2:5" x14ac:dyDescent="0.3">
      <c r="B814" s="2" t="str">
        <f>MID(TableQR[[#This Row],[QR CODES]],4,13)</f>
        <v/>
      </c>
      <c r="C814" s="2" t="str">
        <f>IFERROR(VLOOKUP(TableQR[[#This Row],[BARCODES]],ILACLISTE[#All],2,0),"")</f>
        <v/>
      </c>
      <c r="D814" s="2">
        <f t="shared" si="12"/>
        <v>0</v>
      </c>
      <c r="E814" s="14" t="str">
        <f>IFERROR(GIZLI!G809,"")</f>
        <v/>
      </c>
    </row>
    <row r="815" spans="2:5" x14ac:dyDescent="0.3">
      <c r="B815" s="2" t="str">
        <f>MID(TableQR[[#This Row],[QR CODES]],4,13)</f>
        <v/>
      </c>
      <c r="C815" s="2" t="str">
        <f>IFERROR(VLOOKUP(TableQR[[#This Row],[BARCODES]],ILACLISTE[#All],2,0),"")</f>
        <v/>
      </c>
      <c r="D815" s="2">
        <f t="shared" si="12"/>
        <v>0</v>
      </c>
      <c r="E815" s="14" t="str">
        <f>IFERROR(GIZLI!G810,"")</f>
        <v/>
      </c>
    </row>
    <row r="816" spans="2:5" x14ac:dyDescent="0.3">
      <c r="B816" s="2" t="str">
        <f>MID(TableQR[[#This Row],[QR CODES]],4,13)</f>
        <v/>
      </c>
      <c r="C816" s="2" t="str">
        <f>IFERROR(VLOOKUP(TableQR[[#This Row],[BARCODES]],ILACLISTE[#All],2,0),"")</f>
        <v/>
      </c>
      <c r="D816" s="2">
        <f t="shared" si="12"/>
        <v>0</v>
      </c>
      <c r="E816" s="14" t="str">
        <f>IFERROR(GIZLI!G811,"")</f>
        <v/>
      </c>
    </row>
    <row r="817" spans="2:5" x14ac:dyDescent="0.3">
      <c r="B817" s="2" t="str">
        <f>MID(TableQR[[#This Row],[QR CODES]],4,13)</f>
        <v/>
      </c>
      <c r="C817" s="2" t="str">
        <f>IFERROR(VLOOKUP(TableQR[[#This Row],[BARCODES]],ILACLISTE[#All],2,0),"")</f>
        <v/>
      </c>
      <c r="D817" s="2">
        <f t="shared" si="12"/>
        <v>0</v>
      </c>
      <c r="E817" s="14" t="str">
        <f>IFERROR(GIZLI!G812,"")</f>
        <v/>
      </c>
    </row>
    <row r="818" spans="2:5" x14ac:dyDescent="0.3">
      <c r="B818" s="2" t="str">
        <f>MID(TableQR[[#This Row],[QR CODES]],4,13)</f>
        <v/>
      </c>
      <c r="C818" s="2" t="str">
        <f>IFERROR(VLOOKUP(TableQR[[#This Row],[BARCODES]],ILACLISTE[#All],2,0),"")</f>
        <v/>
      </c>
      <c r="D818" s="2">
        <f t="shared" si="12"/>
        <v>0</v>
      </c>
      <c r="E818" s="14" t="str">
        <f>IFERROR(GIZLI!G813,"")</f>
        <v/>
      </c>
    </row>
    <row r="819" spans="2:5" x14ac:dyDescent="0.3">
      <c r="B819" s="2" t="str">
        <f>MID(TableQR[[#This Row],[QR CODES]],4,13)</f>
        <v/>
      </c>
      <c r="C819" s="2" t="str">
        <f>IFERROR(VLOOKUP(TableQR[[#This Row],[BARCODES]],ILACLISTE[#All],2,0),"")</f>
        <v/>
      </c>
      <c r="D819" s="2">
        <f t="shared" si="12"/>
        <v>0</v>
      </c>
      <c r="E819" s="14" t="str">
        <f>IFERROR(GIZLI!G814,"")</f>
        <v/>
      </c>
    </row>
    <row r="820" spans="2:5" x14ac:dyDescent="0.3">
      <c r="B820" s="2" t="str">
        <f>MID(TableQR[[#This Row],[QR CODES]],4,13)</f>
        <v/>
      </c>
      <c r="C820" s="2" t="str">
        <f>IFERROR(VLOOKUP(TableQR[[#This Row],[BARCODES]],ILACLISTE[#All],2,0),"")</f>
        <v/>
      </c>
      <c r="D820" s="2">
        <f t="shared" si="12"/>
        <v>0</v>
      </c>
      <c r="E820" s="14" t="str">
        <f>IFERROR(GIZLI!G815,"")</f>
        <v/>
      </c>
    </row>
    <row r="821" spans="2:5" x14ac:dyDescent="0.3">
      <c r="B821" s="2" t="str">
        <f>MID(TableQR[[#This Row],[QR CODES]],4,13)</f>
        <v/>
      </c>
      <c r="C821" s="2" t="str">
        <f>IFERROR(VLOOKUP(TableQR[[#This Row],[BARCODES]],ILACLISTE[#All],2,0),"")</f>
        <v/>
      </c>
      <c r="D821" s="2">
        <f t="shared" si="12"/>
        <v>0</v>
      </c>
      <c r="E821" s="14" t="str">
        <f>IFERROR(GIZLI!G816,"")</f>
        <v/>
      </c>
    </row>
    <row r="822" spans="2:5" x14ac:dyDescent="0.3">
      <c r="B822" s="2" t="str">
        <f>MID(TableQR[[#This Row],[QR CODES]],4,13)</f>
        <v/>
      </c>
      <c r="C822" s="2" t="str">
        <f>IFERROR(VLOOKUP(TableQR[[#This Row],[BARCODES]],ILACLISTE[#All],2,0),"")</f>
        <v/>
      </c>
      <c r="D822" s="2">
        <f t="shared" si="12"/>
        <v>0</v>
      </c>
      <c r="E822" s="14" t="str">
        <f>IFERROR(GIZLI!G817,"")</f>
        <v/>
      </c>
    </row>
    <row r="823" spans="2:5" x14ac:dyDescent="0.3">
      <c r="B823" s="2" t="str">
        <f>MID(TableQR[[#This Row],[QR CODES]],4,13)</f>
        <v/>
      </c>
      <c r="C823" s="2" t="str">
        <f>IFERROR(VLOOKUP(TableQR[[#This Row],[BARCODES]],ILACLISTE[#All],2,0),"")</f>
        <v/>
      </c>
      <c r="D823" s="2">
        <f t="shared" si="12"/>
        <v>0</v>
      </c>
      <c r="E823" s="14" t="str">
        <f>IFERROR(GIZLI!G818,"")</f>
        <v/>
      </c>
    </row>
    <row r="824" spans="2:5" x14ac:dyDescent="0.3">
      <c r="B824" s="2" t="str">
        <f>MID(TableQR[[#This Row],[QR CODES]],4,13)</f>
        <v/>
      </c>
      <c r="C824" s="2" t="str">
        <f>IFERROR(VLOOKUP(TableQR[[#This Row],[BARCODES]],ILACLISTE[#All],2,0),"")</f>
        <v/>
      </c>
      <c r="D824" s="2">
        <f t="shared" si="12"/>
        <v>0</v>
      </c>
      <c r="E824" s="14" t="str">
        <f>IFERROR(GIZLI!G819,"")</f>
        <v/>
      </c>
    </row>
    <row r="825" spans="2:5" x14ac:dyDescent="0.3">
      <c r="B825" s="2" t="str">
        <f>MID(TableQR[[#This Row],[QR CODES]],4,13)</f>
        <v/>
      </c>
      <c r="C825" s="2" t="str">
        <f>IFERROR(VLOOKUP(TableQR[[#This Row],[BARCODES]],ILACLISTE[#All],2,0),"")</f>
        <v/>
      </c>
      <c r="D825" s="2">
        <f t="shared" si="12"/>
        <v>0</v>
      </c>
      <c r="E825" s="14" t="str">
        <f>IFERROR(GIZLI!G820,"")</f>
        <v/>
      </c>
    </row>
    <row r="826" spans="2:5" x14ac:dyDescent="0.3">
      <c r="B826" s="2" t="str">
        <f>MID(TableQR[[#This Row],[QR CODES]],4,13)</f>
        <v/>
      </c>
      <c r="C826" s="2" t="str">
        <f>IFERROR(VLOOKUP(TableQR[[#This Row],[BARCODES]],ILACLISTE[#All],2,0),"")</f>
        <v/>
      </c>
      <c r="D826" s="2">
        <f t="shared" si="12"/>
        <v>0</v>
      </c>
      <c r="E826" s="14" t="str">
        <f>IFERROR(GIZLI!G821,"")</f>
        <v/>
      </c>
    </row>
    <row r="827" spans="2:5" x14ac:dyDescent="0.3">
      <c r="B827" s="2" t="str">
        <f>MID(TableQR[[#This Row],[QR CODES]],4,13)</f>
        <v/>
      </c>
      <c r="C827" s="2" t="str">
        <f>IFERROR(VLOOKUP(TableQR[[#This Row],[BARCODES]],ILACLISTE[#All],2,0),"")</f>
        <v/>
      </c>
      <c r="D827" s="2">
        <f t="shared" si="12"/>
        <v>0</v>
      </c>
      <c r="E827" s="14" t="str">
        <f>IFERROR(GIZLI!G822,"")</f>
        <v/>
      </c>
    </row>
    <row r="828" spans="2:5" x14ac:dyDescent="0.3">
      <c r="B828" s="2" t="str">
        <f>MID(TableQR[[#This Row],[QR CODES]],4,13)</f>
        <v/>
      </c>
      <c r="C828" s="2" t="str">
        <f>IFERROR(VLOOKUP(TableQR[[#This Row],[BARCODES]],ILACLISTE[#All],2,0),"")</f>
        <v/>
      </c>
      <c r="D828" s="2">
        <f t="shared" si="12"/>
        <v>0</v>
      </c>
      <c r="E828" s="14" t="str">
        <f>IFERROR(GIZLI!G823,"")</f>
        <v/>
      </c>
    </row>
    <row r="829" spans="2:5" x14ac:dyDescent="0.3">
      <c r="B829" s="2" t="str">
        <f>MID(TableQR[[#This Row],[QR CODES]],4,13)</f>
        <v/>
      </c>
      <c r="C829" s="2" t="str">
        <f>IFERROR(VLOOKUP(TableQR[[#This Row],[BARCODES]],ILACLISTE[#All],2,0),"")</f>
        <v/>
      </c>
      <c r="D829" s="2">
        <f t="shared" si="12"/>
        <v>0</v>
      </c>
      <c r="E829" s="14" t="str">
        <f>IFERROR(GIZLI!G824,"")</f>
        <v/>
      </c>
    </row>
    <row r="830" spans="2:5" x14ac:dyDescent="0.3">
      <c r="B830" s="2" t="str">
        <f>MID(TableQR[[#This Row],[QR CODES]],4,13)</f>
        <v/>
      </c>
      <c r="C830" s="2" t="str">
        <f>IFERROR(VLOOKUP(TableQR[[#This Row],[BARCODES]],ILACLISTE[#All],2,0),"")</f>
        <v/>
      </c>
      <c r="D830" s="2">
        <f t="shared" si="12"/>
        <v>0</v>
      </c>
      <c r="E830" s="14" t="str">
        <f>IFERROR(GIZLI!G825,"")</f>
        <v/>
      </c>
    </row>
    <row r="831" spans="2:5" x14ac:dyDescent="0.3">
      <c r="B831" s="2" t="str">
        <f>MID(TableQR[[#This Row],[QR CODES]],4,13)</f>
        <v/>
      </c>
      <c r="C831" s="2" t="str">
        <f>IFERROR(VLOOKUP(TableQR[[#This Row],[BARCODES]],ILACLISTE[#All],2,0),"")</f>
        <v/>
      </c>
      <c r="D831" s="2">
        <f t="shared" si="12"/>
        <v>0</v>
      </c>
      <c r="E831" s="14" t="str">
        <f>IFERROR(GIZLI!G826,"")</f>
        <v/>
      </c>
    </row>
    <row r="832" spans="2:5" x14ac:dyDescent="0.3">
      <c r="B832" s="2" t="str">
        <f>MID(TableQR[[#This Row],[QR CODES]],4,13)</f>
        <v/>
      </c>
      <c r="C832" s="2" t="str">
        <f>IFERROR(VLOOKUP(TableQR[[#This Row],[BARCODES]],ILACLISTE[#All],2,0),"")</f>
        <v/>
      </c>
      <c r="D832" s="2">
        <f t="shared" si="12"/>
        <v>0</v>
      </c>
      <c r="E832" s="14" t="str">
        <f>IFERROR(GIZLI!G827,"")</f>
        <v/>
      </c>
    </row>
    <row r="833" spans="2:5" x14ac:dyDescent="0.3">
      <c r="B833" s="2" t="str">
        <f>MID(TableQR[[#This Row],[QR CODES]],4,13)</f>
        <v/>
      </c>
      <c r="C833" s="2" t="str">
        <f>IFERROR(VLOOKUP(TableQR[[#This Row],[BARCODES]],ILACLISTE[#All],2,0),"")</f>
        <v/>
      </c>
      <c r="D833" s="2">
        <f t="shared" si="12"/>
        <v>0</v>
      </c>
      <c r="E833" s="14" t="str">
        <f>IFERROR(GIZLI!G828,"")</f>
        <v/>
      </c>
    </row>
    <row r="834" spans="2:5" x14ac:dyDescent="0.3">
      <c r="B834" s="2" t="str">
        <f>MID(TableQR[[#This Row],[QR CODES]],4,13)</f>
        <v/>
      </c>
      <c r="C834" s="2" t="str">
        <f>IFERROR(VLOOKUP(TableQR[[#This Row],[BARCODES]],ILACLISTE[#All],2,0),"")</f>
        <v/>
      </c>
      <c r="D834" s="2">
        <f t="shared" si="12"/>
        <v>0</v>
      </c>
      <c r="E834" s="14" t="str">
        <f>IFERROR(GIZLI!G829,"")</f>
        <v/>
      </c>
    </row>
    <row r="835" spans="2:5" x14ac:dyDescent="0.3">
      <c r="B835" s="2" t="str">
        <f>MID(TableQR[[#This Row],[QR CODES]],4,13)</f>
        <v/>
      </c>
      <c r="C835" s="2" t="str">
        <f>IFERROR(VLOOKUP(TableQR[[#This Row],[BARCODES]],ILACLISTE[#All],2,0),"")</f>
        <v/>
      </c>
      <c r="D835" s="2">
        <f t="shared" si="12"/>
        <v>0</v>
      </c>
      <c r="E835" s="14" t="str">
        <f>IFERROR(GIZLI!G830,"")</f>
        <v/>
      </c>
    </row>
    <row r="836" spans="2:5" x14ac:dyDescent="0.3">
      <c r="B836" s="2" t="str">
        <f>MID(TableQR[[#This Row],[QR CODES]],4,13)</f>
        <v/>
      </c>
      <c r="C836" s="2" t="str">
        <f>IFERROR(VLOOKUP(TableQR[[#This Row],[BARCODES]],ILACLISTE[#All],2,0),"")</f>
        <v/>
      </c>
      <c r="D836" s="2">
        <f t="shared" si="12"/>
        <v>0</v>
      </c>
      <c r="E836" s="14" t="str">
        <f>IFERROR(GIZLI!G831,"")</f>
        <v/>
      </c>
    </row>
    <row r="837" spans="2:5" x14ac:dyDescent="0.3">
      <c r="B837" s="2" t="str">
        <f>MID(TableQR[[#This Row],[QR CODES]],4,13)</f>
        <v/>
      </c>
      <c r="C837" s="2" t="str">
        <f>IFERROR(VLOOKUP(TableQR[[#This Row],[BARCODES]],ILACLISTE[#All],2,0),"")</f>
        <v/>
      </c>
      <c r="D837" s="2">
        <f t="shared" si="12"/>
        <v>0</v>
      </c>
      <c r="E837" s="14" t="str">
        <f>IFERROR(GIZLI!G832,"")</f>
        <v/>
      </c>
    </row>
    <row r="838" spans="2:5" x14ac:dyDescent="0.3">
      <c r="B838" s="2" t="str">
        <f>MID(TableQR[[#This Row],[QR CODES]],4,13)</f>
        <v/>
      </c>
      <c r="C838" s="2" t="str">
        <f>IFERROR(VLOOKUP(TableQR[[#This Row],[BARCODES]],ILACLISTE[#All],2,0),"")</f>
        <v/>
      </c>
      <c r="D838" s="2">
        <f t="shared" si="12"/>
        <v>0</v>
      </c>
      <c r="E838" s="14" t="str">
        <f>IFERROR(GIZLI!G833,"")</f>
        <v/>
      </c>
    </row>
    <row r="839" spans="2:5" x14ac:dyDescent="0.3">
      <c r="B839" s="2" t="str">
        <f>MID(TableQR[[#This Row],[QR CODES]],4,13)</f>
        <v/>
      </c>
      <c r="C839" s="2" t="str">
        <f>IFERROR(VLOOKUP(TableQR[[#This Row],[BARCODES]],ILACLISTE[#All],2,0),"")</f>
        <v/>
      </c>
      <c r="D839" s="2">
        <f t="shared" si="12"/>
        <v>0</v>
      </c>
      <c r="E839" s="14" t="str">
        <f>IFERROR(GIZLI!G834,"")</f>
        <v/>
      </c>
    </row>
    <row r="840" spans="2:5" x14ac:dyDescent="0.3">
      <c r="B840" s="2" t="str">
        <f>MID(TableQR[[#This Row],[QR CODES]],4,13)</f>
        <v/>
      </c>
      <c r="C840" s="2" t="str">
        <f>IFERROR(VLOOKUP(TableQR[[#This Row],[BARCODES]],ILACLISTE[#All],2,0),"")</f>
        <v/>
      </c>
      <c r="D840" s="2">
        <f t="shared" ref="D840:D903" si="13">COUNTIF(B840:B4833,IF(B840="",66666,B840))</f>
        <v>0</v>
      </c>
      <c r="E840" s="14" t="str">
        <f>IFERROR(GIZLI!G835,"")</f>
        <v/>
      </c>
    </row>
    <row r="841" spans="2:5" x14ac:dyDescent="0.3">
      <c r="B841" s="2" t="str">
        <f>MID(TableQR[[#This Row],[QR CODES]],4,13)</f>
        <v/>
      </c>
      <c r="C841" s="2" t="str">
        <f>IFERROR(VLOOKUP(TableQR[[#This Row],[BARCODES]],ILACLISTE[#All],2,0),"")</f>
        <v/>
      </c>
      <c r="D841" s="2">
        <f t="shared" si="13"/>
        <v>0</v>
      </c>
      <c r="E841" s="14" t="str">
        <f>IFERROR(GIZLI!G836,"")</f>
        <v/>
      </c>
    </row>
    <row r="842" spans="2:5" x14ac:dyDescent="0.3">
      <c r="B842" s="2" t="str">
        <f>MID(TableQR[[#This Row],[QR CODES]],4,13)</f>
        <v/>
      </c>
      <c r="C842" s="2" t="str">
        <f>IFERROR(VLOOKUP(TableQR[[#This Row],[BARCODES]],ILACLISTE[#All],2,0),"")</f>
        <v/>
      </c>
      <c r="D842" s="2">
        <f t="shared" si="13"/>
        <v>0</v>
      </c>
      <c r="E842" s="14" t="str">
        <f>IFERROR(GIZLI!G837,"")</f>
        <v/>
      </c>
    </row>
    <row r="843" spans="2:5" x14ac:dyDescent="0.3">
      <c r="B843" s="2" t="str">
        <f>MID(TableQR[[#This Row],[QR CODES]],4,13)</f>
        <v/>
      </c>
      <c r="C843" s="2" t="str">
        <f>IFERROR(VLOOKUP(TableQR[[#This Row],[BARCODES]],ILACLISTE[#All],2,0),"")</f>
        <v/>
      </c>
      <c r="D843" s="2">
        <f t="shared" si="13"/>
        <v>0</v>
      </c>
      <c r="E843" s="14" t="str">
        <f>IFERROR(GIZLI!G838,"")</f>
        <v/>
      </c>
    </row>
    <row r="844" spans="2:5" x14ac:dyDescent="0.3">
      <c r="B844" s="2" t="str">
        <f>MID(TableQR[[#This Row],[QR CODES]],4,13)</f>
        <v/>
      </c>
      <c r="C844" s="2" t="str">
        <f>IFERROR(VLOOKUP(TableQR[[#This Row],[BARCODES]],ILACLISTE[#All],2,0),"")</f>
        <v/>
      </c>
      <c r="D844" s="2">
        <f t="shared" si="13"/>
        <v>0</v>
      </c>
      <c r="E844" s="14" t="str">
        <f>IFERROR(GIZLI!G839,"")</f>
        <v/>
      </c>
    </row>
    <row r="845" spans="2:5" x14ac:dyDescent="0.3">
      <c r="B845" s="2" t="str">
        <f>MID(TableQR[[#This Row],[QR CODES]],4,13)</f>
        <v/>
      </c>
      <c r="C845" s="2" t="str">
        <f>IFERROR(VLOOKUP(TableQR[[#This Row],[BARCODES]],ILACLISTE[#All],2,0),"")</f>
        <v/>
      </c>
      <c r="D845" s="2">
        <f t="shared" si="13"/>
        <v>0</v>
      </c>
      <c r="E845" s="14" t="str">
        <f>IFERROR(GIZLI!G840,"")</f>
        <v/>
      </c>
    </row>
    <row r="846" spans="2:5" x14ac:dyDescent="0.3">
      <c r="B846" s="2" t="str">
        <f>MID(TableQR[[#This Row],[QR CODES]],4,13)</f>
        <v/>
      </c>
      <c r="C846" s="2" t="str">
        <f>IFERROR(VLOOKUP(TableQR[[#This Row],[BARCODES]],ILACLISTE[#All],2,0),"")</f>
        <v/>
      </c>
      <c r="D846" s="2">
        <f t="shared" si="13"/>
        <v>0</v>
      </c>
      <c r="E846" s="14" t="str">
        <f>IFERROR(GIZLI!G841,"")</f>
        <v/>
      </c>
    </row>
    <row r="847" spans="2:5" x14ac:dyDescent="0.3">
      <c r="B847" s="2" t="str">
        <f>MID(TableQR[[#This Row],[QR CODES]],4,13)</f>
        <v/>
      </c>
      <c r="C847" s="2" t="str">
        <f>IFERROR(VLOOKUP(TableQR[[#This Row],[BARCODES]],ILACLISTE[#All],2,0),"")</f>
        <v/>
      </c>
      <c r="D847" s="2">
        <f t="shared" si="13"/>
        <v>0</v>
      </c>
      <c r="E847" s="14" t="str">
        <f>IFERROR(GIZLI!G842,"")</f>
        <v/>
      </c>
    </row>
    <row r="848" spans="2:5" x14ac:dyDescent="0.3">
      <c r="B848" s="2" t="str">
        <f>MID(TableQR[[#This Row],[QR CODES]],4,13)</f>
        <v/>
      </c>
      <c r="C848" s="2" t="str">
        <f>IFERROR(VLOOKUP(TableQR[[#This Row],[BARCODES]],ILACLISTE[#All],2,0),"")</f>
        <v/>
      </c>
      <c r="D848" s="2">
        <f t="shared" si="13"/>
        <v>0</v>
      </c>
      <c r="E848" s="14" t="str">
        <f>IFERROR(GIZLI!G843,"")</f>
        <v/>
      </c>
    </row>
    <row r="849" spans="2:5" x14ac:dyDescent="0.3">
      <c r="B849" s="2" t="str">
        <f>MID(TableQR[[#This Row],[QR CODES]],4,13)</f>
        <v/>
      </c>
      <c r="C849" s="2" t="str">
        <f>IFERROR(VLOOKUP(TableQR[[#This Row],[BARCODES]],ILACLISTE[#All],2,0),"")</f>
        <v/>
      </c>
      <c r="D849" s="2">
        <f t="shared" si="13"/>
        <v>0</v>
      </c>
      <c r="E849" s="14" t="str">
        <f>IFERROR(GIZLI!G844,"")</f>
        <v/>
      </c>
    </row>
    <row r="850" spans="2:5" x14ac:dyDescent="0.3">
      <c r="B850" s="2" t="str">
        <f>MID(TableQR[[#This Row],[QR CODES]],4,13)</f>
        <v/>
      </c>
      <c r="C850" s="2" t="str">
        <f>IFERROR(VLOOKUP(TableQR[[#This Row],[BARCODES]],ILACLISTE[#All],2,0),"")</f>
        <v/>
      </c>
      <c r="D850" s="2">
        <f t="shared" si="13"/>
        <v>0</v>
      </c>
      <c r="E850" s="14" t="str">
        <f>IFERROR(GIZLI!G845,"")</f>
        <v/>
      </c>
    </row>
    <row r="851" spans="2:5" x14ac:dyDescent="0.3">
      <c r="B851" s="2" t="str">
        <f>MID(TableQR[[#This Row],[QR CODES]],4,13)</f>
        <v/>
      </c>
      <c r="C851" s="2" t="str">
        <f>IFERROR(VLOOKUP(TableQR[[#This Row],[BARCODES]],ILACLISTE[#All],2,0),"")</f>
        <v/>
      </c>
      <c r="D851" s="2">
        <f t="shared" si="13"/>
        <v>0</v>
      </c>
      <c r="E851" s="14" t="str">
        <f>IFERROR(GIZLI!G846,"")</f>
        <v/>
      </c>
    </row>
    <row r="852" spans="2:5" x14ac:dyDescent="0.3">
      <c r="B852" s="2" t="str">
        <f>MID(TableQR[[#This Row],[QR CODES]],4,13)</f>
        <v/>
      </c>
      <c r="C852" s="2" t="str">
        <f>IFERROR(VLOOKUP(TableQR[[#This Row],[BARCODES]],ILACLISTE[#All],2,0),"")</f>
        <v/>
      </c>
      <c r="D852" s="2">
        <f t="shared" si="13"/>
        <v>0</v>
      </c>
      <c r="E852" s="14" t="str">
        <f>IFERROR(GIZLI!G847,"")</f>
        <v/>
      </c>
    </row>
    <row r="853" spans="2:5" x14ac:dyDescent="0.3">
      <c r="B853" s="2" t="str">
        <f>MID(TableQR[[#This Row],[QR CODES]],4,13)</f>
        <v/>
      </c>
      <c r="C853" s="2" t="str">
        <f>IFERROR(VLOOKUP(TableQR[[#This Row],[BARCODES]],ILACLISTE[#All],2,0),"")</f>
        <v/>
      </c>
      <c r="D853" s="2">
        <f t="shared" si="13"/>
        <v>0</v>
      </c>
      <c r="E853" s="14" t="str">
        <f>IFERROR(GIZLI!G848,"")</f>
        <v/>
      </c>
    </row>
    <row r="854" spans="2:5" x14ac:dyDescent="0.3">
      <c r="B854" s="2" t="str">
        <f>MID(TableQR[[#This Row],[QR CODES]],4,13)</f>
        <v/>
      </c>
      <c r="C854" s="2" t="str">
        <f>IFERROR(VLOOKUP(TableQR[[#This Row],[BARCODES]],ILACLISTE[#All],2,0),"")</f>
        <v/>
      </c>
      <c r="D854" s="2">
        <f t="shared" si="13"/>
        <v>0</v>
      </c>
      <c r="E854" s="14" t="str">
        <f>IFERROR(GIZLI!G849,"")</f>
        <v/>
      </c>
    </row>
    <row r="855" spans="2:5" x14ac:dyDescent="0.3">
      <c r="B855" s="2" t="str">
        <f>MID(TableQR[[#This Row],[QR CODES]],4,13)</f>
        <v/>
      </c>
      <c r="C855" s="2" t="str">
        <f>IFERROR(VLOOKUP(TableQR[[#This Row],[BARCODES]],ILACLISTE[#All],2,0),"")</f>
        <v/>
      </c>
      <c r="D855" s="2">
        <f t="shared" si="13"/>
        <v>0</v>
      </c>
      <c r="E855" s="14" t="str">
        <f>IFERROR(GIZLI!G850,"")</f>
        <v/>
      </c>
    </row>
    <row r="856" spans="2:5" x14ac:dyDescent="0.3">
      <c r="B856" s="2" t="str">
        <f>MID(TableQR[[#This Row],[QR CODES]],4,13)</f>
        <v/>
      </c>
      <c r="C856" s="2" t="str">
        <f>IFERROR(VLOOKUP(TableQR[[#This Row],[BARCODES]],ILACLISTE[#All],2,0),"")</f>
        <v/>
      </c>
      <c r="D856" s="2">
        <f t="shared" si="13"/>
        <v>0</v>
      </c>
      <c r="E856" s="14" t="str">
        <f>IFERROR(GIZLI!G851,"")</f>
        <v/>
      </c>
    </row>
    <row r="857" spans="2:5" x14ac:dyDescent="0.3">
      <c r="B857" s="2" t="str">
        <f>MID(TableQR[[#This Row],[QR CODES]],4,13)</f>
        <v/>
      </c>
      <c r="C857" s="2" t="str">
        <f>IFERROR(VLOOKUP(TableQR[[#This Row],[BARCODES]],ILACLISTE[#All],2,0),"")</f>
        <v/>
      </c>
      <c r="D857" s="2">
        <f t="shared" si="13"/>
        <v>0</v>
      </c>
      <c r="E857" s="14" t="str">
        <f>IFERROR(GIZLI!G852,"")</f>
        <v/>
      </c>
    </row>
    <row r="858" spans="2:5" x14ac:dyDescent="0.3">
      <c r="B858" s="2" t="str">
        <f>MID(TableQR[[#This Row],[QR CODES]],4,13)</f>
        <v/>
      </c>
      <c r="C858" s="2" t="str">
        <f>IFERROR(VLOOKUP(TableQR[[#This Row],[BARCODES]],ILACLISTE[#All],2,0),"")</f>
        <v/>
      </c>
      <c r="D858" s="2">
        <f t="shared" si="13"/>
        <v>0</v>
      </c>
      <c r="E858" s="14" t="str">
        <f>IFERROR(GIZLI!G853,"")</f>
        <v/>
      </c>
    </row>
    <row r="859" spans="2:5" x14ac:dyDescent="0.3">
      <c r="B859" s="2" t="str">
        <f>MID(TableQR[[#This Row],[QR CODES]],4,13)</f>
        <v/>
      </c>
      <c r="C859" s="2" t="str">
        <f>IFERROR(VLOOKUP(TableQR[[#This Row],[BARCODES]],ILACLISTE[#All],2,0),"")</f>
        <v/>
      </c>
      <c r="D859" s="2">
        <f t="shared" si="13"/>
        <v>0</v>
      </c>
      <c r="E859" s="14" t="str">
        <f>IFERROR(GIZLI!G854,"")</f>
        <v/>
      </c>
    </row>
    <row r="860" spans="2:5" x14ac:dyDescent="0.3">
      <c r="B860" s="2" t="str">
        <f>MID(TableQR[[#This Row],[QR CODES]],4,13)</f>
        <v/>
      </c>
      <c r="C860" s="2" t="str">
        <f>IFERROR(VLOOKUP(TableQR[[#This Row],[BARCODES]],ILACLISTE[#All],2,0),"")</f>
        <v/>
      </c>
      <c r="D860" s="2">
        <f t="shared" si="13"/>
        <v>0</v>
      </c>
      <c r="E860" s="14" t="str">
        <f>IFERROR(GIZLI!G855,"")</f>
        <v/>
      </c>
    </row>
    <row r="861" spans="2:5" x14ac:dyDescent="0.3">
      <c r="B861" s="2" t="str">
        <f>MID(TableQR[[#This Row],[QR CODES]],4,13)</f>
        <v/>
      </c>
      <c r="C861" s="2" t="str">
        <f>IFERROR(VLOOKUP(TableQR[[#This Row],[BARCODES]],ILACLISTE[#All],2,0),"")</f>
        <v/>
      </c>
      <c r="D861" s="2">
        <f t="shared" si="13"/>
        <v>0</v>
      </c>
      <c r="E861" s="14" t="str">
        <f>IFERROR(GIZLI!G856,"")</f>
        <v/>
      </c>
    </row>
    <row r="862" spans="2:5" x14ac:dyDescent="0.3">
      <c r="B862" s="2" t="str">
        <f>MID(TableQR[[#This Row],[QR CODES]],4,13)</f>
        <v/>
      </c>
      <c r="C862" s="2" t="str">
        <f>IFERROR(VLOOKUP(TableQR[[#This Row],[BARCODES]],ILACLISTE[#All],2,0),"")</f>
        <v/>
      </c>
      <c r="D862" s="2">
        <f t="shared" si="13"/>
        <v>0</v>
      </c>
      <c r="E862" s="14" t="str">
        <f>IFERROR(GIZLI!G857,"")</f>
        <v/>
      </c>
    </row>
    <row r="863" spans="2:5" x14ac:dyDescent="0.3">
      <c r="B863" s="2" t="str">
        <f>MID(TableQR[[#This Row],[QR CODES]],4,13)</f>
        <v/>
      </c>
      <c r="C863" s="2" t="str">
        <f>IFERROR(VLOOKUP(TableQR[[#This Row],[BARCODES]],ILACLISTE[#All],2,0),"")</f>
        <v/>
      </c>
      <c r="D863" s="2">
        <f t="shared" si="13"/>
        <v>0</v>
      </c>
      <c r="E863" s="14" t="str">
        <f>IFERROR(GIZLI!G858,"")</f>
        <v/>
      </c>
    </row>
    <row r="864" spans="2:5" x14ac:dyDescent="0.3">
      <c r="B864" s="2" t="str">
        <f>MID(TableQR[[#This Row],[QR CODES]],4,13)</f>
        <v/>
      </c>
      <c r="C864" s="2" t="str">
        <f>IFERROR(VLOOKUP(TableQR[[#This Row],[BARCODES]],ILACLISTE[#All],2,0),"")</f>
        <v/>
      </c>
      <c r="D864" s="2">
        <f t="shared" si="13"/>
        <v>0</v>
      </c>
      <c r="E864" s="14" t="str">
        <f>IFERROR(GIZLI!G859,"")</f>
        <v/>
      </c>
    </row>
    <row r="865" spans="2:5" x14ac:dyDescent="0.3">
      <c r="B865" s="2" t="str">
        <f>MID(TableQR[[#This Row],[QR CODES]],4,13)</f>
        <v/>
      </c>
      <c r="C865" s="2" t="str">
        <f>IFERROR(VLOOKUP(TableQR[[#This Row],[BARCODES]],ILACLISTE[#All],2,0),"")</f>
        <v/>
      </c>
      <c r="D865" s="2">
        <f t="shared" si="13"/>
        <v>0</v>
      </c>
      <c r="E865" s="14" t="str">
        <f>IFERROR(GIZLI!G860,"")</f>
        <v/>
      </c>
    </row>
    <row r="866" spans="2:5" x14ac:dyDescent="0.3">
      <c r="B866" s="2" t="str">
        <f>MID(TableQR[[#This Row],[QR CODES]],4,13)</f>
        <v/>
      </c>
      <c r="C866" s="2" t="str">
        <f>IFERROR(VLOOKUP(TableQR[[#This Row],[BARCODES]],ILACLISTE[#All],2,0),"")</f>
        <v/>
      </c>
      <c r="D866" s="2">
        <f t="shared" si="13"/>
        <v>0</v>
      </c>
      <c r="E866" s="14" t="str">
        <f>IFERROR(GIZLI!G861,"")</f>
        <v/>
      </c>
    </row>
    <row r="867" spans="2:5" x14ac:dyDescent="0.3">
      <c r="B867" s="2" t="str">
        <f>MID(TableQR[[#This Row],[QR CODES]],4,13)</f>
        <v/>
      </c>
      <c r="C867" s="2" t="str">
        <f>IFERROR(VLOOKUP(TableQR[[#This Row],[BARCODES]],ILACLISTE[#All],2,0),"")</f>
        <v/>
      </c>
      <c r="D867" s="2">
        <f t="shared" si="13"/>
        <v>0</v>
      </c>
      <c r="E867" s="14" t="str">
        <f>IFERROR(GIZLI!G862,"")</f>
        <v/>
      </c>
    </row>
    <row r="868" spans="2:5" x14ac:dyDescent="0.3">
      <c r="B868" s="2" t="str">
        <f>MID(TableQR[[#This Row],[QR CODES]],4,13)</f>
        <v/>
      </c>
      <c r="C868" s="2" t="str">
        <f>IFERROR(VLOOKUP(TableQR[[#This Row],[BARCODES]],ILACLISTE[#All],2,0),"")</f>
        <v/>
      </c>
      <c r="D868" s="2">
        <f t="shared" si="13"/>
        <v>0</v>
      </c>
      <c r="E868" s="14" t="str">
        <f>IFERROR(GIZLI!G863,"")</f>
        <v/>
      </c>
    </row>
    <row r="869" spans="2:5" x14ac:dyDescent="0.3">
      <c r="B869" s="2" t="str">
        <f>MID(TableQR[[#This Row],[QR CODES]],4,13)</f>
        <v/>
      </c>
      <c r="C869" s="2" t="str">
        <f>IFERROR(VLOOKUP(TableQR[[#This Row],[BARCODES]],ILACLISTE[#All],2,0),"")</f>
        <v/>
      </c>
      <c r="D869" s="2">
        <f t="shared" si="13"/>
        <v>0</v>
      </c>
      <c r="E869" s="14" t="str">
        <f>IFERROR(GIZLI!G864,"")</f>
        <v/>
      </c>
    </row>
    <row r="870" spans="2:5" x14ac:dyDescent="0.3">
      <c r="B870" s="2" t="str">
        <f>MID(TableQR[[#This Row],[QR CODES]],4,13)</f>
        <v/>
      </c>
      <c r="C870" s="2" t="str">
        <f>IFERROR(VLOOKUP(TableQR[[#This Row],[BARCODES]],ILACLISTE[#All],2,0),"")</f>
        <v/>
      </c>
      <c r="D870" s="2">
        <f t="shared" si="13"/>
        <v>0</v>
      </c>
      <c r="E870" s="14" t="str">
        <f>IFERROR(GIZLI!G865,"")</f>
        <v/>
      </c>
    </row>
    <row r="871" spans="2:5" x14ac:dyDescent="0.3">
      <c r="B871" s="2" t="str">
        <f>MID(TableQR[[#This Row],[QR CODES]],4,13)</f>
        <v/>
      </c>
      <c r="C871" s="2" t="str">
        <f>IFERROR(VLOOKUP(TableQR[[#This Row],[BARCODES]],ILACLISTE[#All],2,0),"")</f>
        <v/>
      </c>
      <c r="D871" s="2">
        <f t="shared" si="13"/>
        <v>0</v>
      </c>
      <c r="E871" s="14" t="str">
        <f>IFERROR(GIZLI!G866,"")</f>
        <v/>
      </c>
    </row>
    <row r="872" spans="2:5" x14ac:dyDescent="0.3">
      <c r="B872" s="2" t="str">
        <f>MID(TableQR[[#This Row],[QR CODES]],4,13)</f>
        <v/>
      </c>
      <c r="C872" s="2" t="str">
        <f>IFERROR(VLOOKUP(TableQR[[#This Row],[BARCODES]],ILACLISTE[#All],2,0),"")</f>
        <v/>
      </c>
      <c r="D872" s="2">
        <f t="shared" si="13"/>
        <v>0</v>
      </c>
      <c r="E872" s="14" t="str">
        <f>IFERROR(GIZLI!G867,"")</f>
        <v/>
      </c>
    </row>
    <row r="873" spans="2:5" x14ac:dyDescent="0.3">
      <c r="B873" s="2" t="str">
        <f>MID(TableQR[[#This Row],[QR CODES]],4,13)</f>
        <v/>
      </c>
      <c r="C873" s="2" t="str">
        <f>IFERROR(VLOOKUP(TableQR[[#This Row],[BARCODES]],ILACLISTE[#All],2,0),"")</f>
        <v/>
      </c>
      <c r="D873" s="2">
        <f t="shared" si="13"/>
        <v>0</v>
      </c>
      <c r="E873" s="14" t="str">
        <f>IFERROR(GIZLI!G868,"")</f>
        <v/>
      </c>
    </row>
    <row r="874" spans="2:5" x14ac:dyDescent="0.3">
      <c r="B874" s="2" t="str">
        <f>MID(TableQR[[#This Row],[QR CODES]],4,13)</f>
        <v/>
      </c>
      <c r="C874" s="2" t="str">
        <f>IFERROR(VLOOKUP(TableQR[[#This Row],[BARCODES]],ILACLISTE[#All],2,0),"")</f>
        <v/>
      </c>
      <c r="D874" s="2">
        <f t="shared" si="13"/>
        <v>0</v>
      </c>
      <c r="E874" s="14" t="str">
        <f>IFERROR(GIZLI!G869,"")</f>
        <v/>
      </c>
    </row>
    <row r="875" spans="2:5" x14ac:dyDescent="0.3">
      <c r="B875" s="2" t="str">
        <f>MID(TableQR[[#This Row],[QR CODES]],4,13)</f>
        <v/>
      </c>
      <c r="C875" s="2" t="str">
        <f>IFERROR(VLOOKUP(TableQR[[#This Row],[BARCODES]],ILACLISTE[#All],2,0),"")</f>
        <v/>
      </c>
      <c r="D875" s="2">
        <f t="shared" si="13"/>
        <v>0</v>
      </c>
      <c r="E875" s="14" t="str">
        <f>IFERROR(GIZLI!G870,"")</f>
        <v/>
      </c>
    </row>
    <row r="876" spans="2:5" x14ac:dyDescent="0.3">
      <c r="B876" s="2" t="str">
        <f>MID(TableQR[[#This Row],[QR CODES]],4,13)</f>
        <v/>
      </c>
      <c r="C876" s="2" t="str">
        <f>IFERROR(VLOOKUP(TableQR[[#This Row],[BARCODES]],ILACLISTE[#All],2,0),"")</f>
        <v/>
      </c>
      <c r="D876" s="2">
        <f t="shared" si="13"/>
        <v>0</v>
      </c>
      <c r="E876" s="14" t="str">
        <f>IFERROR(GIZLI!G871,"")</f>
        <v/>
      </c>
    </row>
    <row r="877" spans="2:5" x14ac:dyDescent="0.3">
      <c r="B877" s="2" t="str">
        <f>MID(TableQR[[#This Row],[QR CODES]],4,13)</f>
        <v/>
      </c>
      <c r="C877" s="2" t="str">
        <f>IFERROR(VLOOKUP(TableQR[[#This Row],[BARCODES]],ILACLISTE[#All],2,0),"")</f>
        <v/>
      </c>
      <c r="D877" s="2">
        <f t="shared" si="13"/>
        <v>0</v>
      </c>
      <c r="E877" s="14" t="str">
        <f>IFERROR(GIZLI!G872,"")</f>
        <v/>
      </c>
    </row>
    <row r="878" spans="2:5" x14ac:dyDescent="0.3">
      <c r="B878" s="2" t="str">
        <f>MID(TableQR[[#This Row],[QR CODES]],4,13)</f>
        <v/>
      </c>
      <c r="C878" s="2" t="str">
        <f>IFERROR(VLOOKUP(TableQR[[#This Row],[BARCODES]],ILACLISTE[#All],2,0),"")</f>
        <v/>
      </c>
      <c r="D878" s="2">
        <f t="shared" si="13"/>
        <v>0</v>
      </c>
      <c r="E878" s="14" t="str">
        <f>IFERROR(GIZLI!G873,"")</f>
        <v/>
      </c>
    </row>
    <row r="879" spans="2:5" x14ac:dyDescent="0.3">
      <c r="B879" s="2" t="str">
        <f>MID(TableQR[[#This Row],[QR CODES]],4,13)</f>
        <v/>
      </c>
      <c r="C879" s="2" t="str">
        <f>IFERROR(VLOOKUP(TableQR[[#This Row],[BARCODES]],ILACLISTE[#All],2,0),"")</f>
        <v/>
      </c>
      <c r="D879" s="2">
        <f t="shared" si="13"/>
        <v>0</v>
      </c>
      <c r="E879" s="14" t="str">
        <f>IFERROR(GIZLI!G874,"")</f>
        <v/>
      </c>
    </row>
    <row r="880" spans="2:5" x14ac:dyDescent="0.3">
      <c r="B880" s="2" t="str">
        <f>MID(TableQR[[#This Row],[QR CODES]],4,13)</f>
        <v/>
      </c>
      <c r="C880" s="2" t="str">
        <f>IFERROR(VLOOKUP(TableQR[[#This Row],[BARCODES]],ILACLISTE[#All],2,0),"")</f>
        <v/>
      </c>
      <c r="D880" s="2">
        <f t="shared" si="13"/>
        <v>0</v>
      </c>
      <c r="E880" s="14" t="str">
        <f>IFERROR(GIZLI!G875,"")</f>
        <v/>
      </c>
    </row>
    <row r="881" spans="2:5" x14ac:dyDescent="0.3">
      <c r="B881" s="2" t="str">
        <f>MID(TableQR[[#This Row],[QR CODES]],4,13)</f>
        <v/>
      </c>
      <c r="C881" s="2" t="str">
        <f>IFERROR(VLOOKUP(TableQR[[#This Row],[BARCODES]],ILACLISTE[#All],2,0),"")</f>
        <v/>
      </c>
      <c r="D881" s="2">
        <f t="shared" si="13"/>
        <v>0</v>
      </c>
      <c r="E881" s="14" t="str">
        <f>IFERROR(GIZLI!G876,"")</f>
        <v/>
      </c>
    </row>
    <row r="882" spans="2:5" x14ac:dyDescent="0.3">
      <c r="B882" s="2" t="str">
        <f>MID(TableQR[[#This Row],[QR CODES]],4,13)</f>
        <v/>
      </c>
      <c r="C882" s="2" t="str">
        <f>IFERROR(VLOOKUP(TableQR[[#This Row],[BARCODES]],ILACLISTE[#All],2,0),"")</f>
        <v/>
      </c>
      <c r="D882" s="2">
        <f t="shared" si="13"/>
        <v>0</v>
      </c>
      <c r="E882" s="14" t="str">
        <f>IFERROR(GIZLI!G877,"")</f>
        <v/>
      </c>
    </row>
    <row r="883" spans="2:5" x14ac:dyDescent="0.3">
      <c r="B883" s="2" t="str">
        <f>MID(TableQR[[#This Row],[QR CODES]],4,13)</f>
        <v/>
      </c>
      <c r="C883" s="2" t="str">
        <f>IFERROR(VLOOKUP(TableQR[[#This Row],[BARCODES]],ILACLISTE[#All],2,0),"")</f>
        <v/>
      </c>
      <c r="D883" s="2">
        <f t="shared" si="13"/>
        <v>0</v>
      </c>
      <c r="E883" s="14" t="str">
        <f>IFERROR(GIZLI!G878,"")</f>
        <v/>
      </c>
    </row>
    <row r="884" spans="2:5" x14ac:dyDescent="0.3">
      <c r="B884" s="2" t="str">
        <f>MID(TableQR[[#This Row],[QR CODES]],4,13)</f>
        <v/>
      </c>
      <c r="C884" s="2" t="str">
        <f>IFERROR(VLOOKUP(TableQR[[#This Row],[BARCODES]],ILACLISTE[#All],2,0),"")</f>
        <v/>
      </c>
      <c r="D884" s="2">
        <f t="shared" si="13"/>
        <v>0</v>
      </c>
      <c r="E884" s="14" t="str">
        <f>IFERROR(GIZLI!G879,"")</f>
        <v/>
      </c>
    </row>
    <row r="885" spans="2:5" x14ac:dyDescent="0.3">
      <c r="B885" s="2" t="str">
        <f>MID(TableQR[[#This Row],[QR CODES]],4,13)</f>
        <v/>
      </c>
      <c r="C885" s="2" t="str">
        <f>IFERROR(VLOOKUP(TableQR[[#This Row],[BARCODES]],ILACLISTE[#All],2,0),"")</f>
        <v/>
      </c>
      <c r="D885" s="2">
        <f t="shared" si="13"/>
        <v>0</v>
      </c>
      <c r="E885" s="14" t="str">
        <f>IFERROR(GIZLI!G880,"")</f>
        <v/>
      </c>
    </row>
    <row r="886" spans="2:5" x14ac:dyDescent="0.3">
      <c r="B886" s="2" t="str">
        <f>MID(TableQR[[#This Row],[QR CODES]],4,13)</f>
        <v/>
      </c>
      <c r="C886" s="2" t="str">
        <f>IFERROR(VLOOKUP(TableQR[[#This Row],[BARCODES]],ILACLISTE[#All],2,0),"")</f>
        <v/>
      </c>
      <c r="D886" s="2">
        <f t="shared" si="13"/>
        <v>0</v>
      </c>
      <c r="E886" s="14" t="str">
        <f>IFERROR(GIZLI!G881,"")</f>
        <v/>
      </c>
    </row>
    <row r="887" spans="2:5" x14ac:dyDescent="0.3">
      <c r="B887" s="2" t="str">
        <f>MID(TableQR[[#This Row],[QR CODES]],4,13)</f>
        <v/>
      </c>
      <c r="C887" s="2" t="str">
        <f>IFERROR(VLOOKUP(TableQR[[#This Row],[BARCODES]],ILACLISTE[#All],2,0),"")</f>
        <v/>
      </c>
      <c r="D887" s="2">
        <f t="shared" si="13"/>
        <v>0</v>
      </c>
      <c r="E887" s="14" t="str">
        <f>IFERROR(GIZLI!G882,"")</f>
        <v/>
      </c>
    </row>
    <row r="888" spans="2:5" x14ac:dyDescent="0.3">
      <c r="B888" s="2" t="str">
        <f>MID(TableQR[[#This Row],[QR CODES]],4,13)</f>
        <v/>
      </c>
      <c r="C888" s="2" t="str">
        <f>IFERROR(VLOOKUP(TableQR[[#This Row],[BARCODES]],ILACLISTE[#All],2,0),"")</f>
        <v/>
      </c>
      <c r="D888" s="2">
        <f t="shared" si="13"/>
        <v>0</v>
      </c>
      <c r="E888" s="14" t="str">
        <f>IFERROR(GIZLI!G883,"")</f>
        <v/>
      </c>
    </row>
    <row r="889" spans="2:5" x14ac:dyDescent="0.3">
      <c r="B889" s="2" t="str">
        <f>MID(TableQR[[#This Row],[QR CODES]],4,13)</f>
        <v/>
      </c>
      <c r="C889" s="2" t="str">
        <f>IFERROR(VLOOKUP(TableQR[[#This Row],[BARCODES]],ILACLISTE[#All],2,0),"")</f>
        <v/>
      </c>
      <c r="D889" s="2">
        <f t="shared" si="13"/>
        <v>0</v>
      </c>
      <c r="E889" s="14" t="str">
        <f>IFERROR(GIZLI!G884,"")</f>
        <v/>
      </c>
    </row>
    <row r="890" spans="2:5" x14ac:dyDescent="0.3">
      <c r="B890" s="2" t="str">
        <f>MID(TableQR[[#This Row],[QR CODES]],4,13)</f>
        <v/>
      </c>
      <c r="C890" s="2" t="str">
        <f>IFERROR(VLOOKUP(TableQR[[#This Row],[BARCODES]],ILACLISTE[#All],2,0),"")</f>
        <v/>
      </c>
      <c r="D890" s="2">
        <f t="shared" si="13"/>
        <v>0</v>
      </c>
      <c r="E890" s="14" t="str">
        <f>IFERROR(GIZLI!G885,"")</f>
        <v/>
      </c>
    </row>
    <row r="891" spans="2:5" x14ac:dyDescent="0.3">
      <c r="B891" s="2" t="str">
        <f>MID(TableQR[[#This Row],[QR CODES]],4,13)</f>
        <v/>
      </c>
      <c r="C891" s="2" t="str">
        <f>IFERROR(VLOOKUP(TableQR[[#This Row],[BARCODES]],ILACLISTE[#All],2,0),"")</f>
        <v/>
      </c>
      <c r="D891" s="2">
        <f t="shared" si="13"/>
        <v>0</v>
      </c>
      <c r="E891" s="14" t="str">
        <f>IFERROR(GIZLI!G886,"")</f>
        <v/>
      </c>
    </row>
    <row r="892" spans="2:5" x14ac:dyDescent="0.3">
      <c r="B892" s="2" t="str">
        <f>MID(TableQR[[#This Row],[QR CODES]],4,13)</f>
        <v/>
      </c>
      <c r="C892" s="2" t="str">
        <f>IFERROR(VLOOKUP(TableQR[[#This Row],[BARCODES]],ILACLISTE[#All],2,0),"")</f>
        <v/>
      </c>
      <c r="D892" s="2">
        <f t="shared" si="13"/>
        <v>0</v>
      </c>
      <c r="E892" s="14" t="str">
        <f>IFERROR(GIZLI!G887,"")</f>
        <v/>
      </c>
    </row>
    <row r="893" spans="2:5" x14ac:dyDescent="0.3">
      <c r="B893" s="2" t="str">
        <f>MID(TableQR[[#This Row],[QR CODES]],4,13)</f>
        <v/>
      </c>
      <c r="C893" s="2" t="str">
        <f>IFERROR(VLOOKUP(TableQR[[#This Row],[BARCODES]],ILACLISTE[#All],2,0),"")</f>
        <v/>
      </c>
      <c r="D893" s="2">
        <f t="shared" si="13"/>
        <v>0</v>
      </c>
      <c r="E893" s="14" t="str">
        <f>IFERROR(GIZLI!G888,"")</f>
        <v/>
      </c>
    </row>
    <row r="894" spans="2:5" x14ac:dyDescent="0.3">
      <c r="B894" s="2" t="str">
        <f>MID(TableQR[[#This Row],[QR CODES]],4,13)</f>
        <v/>
      </c>
      <c r="C894" s="2" t="str">
        <f>IFERROR(VLOOKUP(TableQR[[#This Row],[BARCODES]],ILACLISTE[#All],2,0),"")</f>
        <v/>
      </c>
      <c r="D894" s="2">
        <f t="shared" si="13"/>
        <v>0</v>
      </c>
      <c r="E894" s="14" t="str">
        <f>IFERROR(GIZLI!G889,"")</f>
        <v/>
      </c>
    </row>
    <row r="895" spans="2:5" x14ac:dyDescent="0.3">
      <c r="B895" s="2" t="str">
        <f>MID(TableQR[[#This Row],[QR CODES]],4,13)</f>
        <v/>
      </c>
      <c r="C895" s="2" t="str">
        <f>IFERROR(VLOOKUP(TableQR[[#This Row],[BARCODES]],ILACLISTE[#All],2,0),"")</f>
        <v/>
      </c>
      <c r="D895" s="2">
        <f t="shared" si="13"/>
        <v>0</v>
      </c>
      <c r="E895" s="14" t="str">
        <f>IFERROR(GIZLI!G890,"")</f>
        <v/>
      </c>
    </row>
    <row r="896" spans="2:5" x14ac:dyDescent="0.3">
      <c r="B896" s="2" t="str">
        <f>MID(TableQR[[#This Row],[QR CODES]],4,13)</f>
        <v/>
      </c>
      <c r="C896" s="2" t="str">
        <f>IFERROR(VLOOKUP(TableQR[[#This Row],[BARCODES]],ILACLISTE[#All],2,0),"")</f>
        <v/>
      </c>
      <c r="D896" s="2">
        <f t="shared" si="13"/>
        <v>0</v>
      </c>
      <c r="E896" s="14" t="str">
        <f>IFERROR(GIZLI!G891,"")</f>
        <v/>
      </c>
    </row>
    <row r="897" spans="2:5" x14ac:dyDescent="0.3">
      <c r="B897" s="2" t="str">
        <f>MID(TableQR[[#This Row],[QR CODES]],4,13)</f>
        <v/>
      </c>
      <c r="C897" s="2" t="str">
        <f>IFERROR(VLOOKUP(TableQR[[#This Row],[BARCODES]],ILACLISTE[#All],2,0),"")</f>
        <v/>
      </c>
      <c r="D897" s="2">
        <f t="shared" si="13"/>
        <v>0</v>
      </c>
      <c r="E897" s="14" t="str">
        <f>IFERROR(GIZLI!G892,"")</f>
        <v/>
      </c>
    </row>
    <row r="898" spans="2:5" x14ac:dyDescent="0.3">
      <c r="B898" s="2" t="str">
        <f>MID(TableQR[[#This Row],[QR CODES]],4,13)</f>
        <v/>
      </c>
      <c r="C898" s="2" t="str">
        <f>IFERROR(VLOOKUP(TableQR[[#This Row],[BARCODES]],ILACLISTE[#All],2,0),"")</f>
        <v/>
      </c>
      <c r="D898" s="2">
        <f t="shared" si="13"/>
        <v>0</v>
      </c>
      <c r="E898" s="14" t="str">
        <f>IFERROR(GIZLI!G893,"")</f>
        <v/>
      </c>
    </row>
    <row r="899" spans="2:5" x14ac:dyDescent="0.3">
      <c r="B899" s="2" t="str">
        <f>MID(TableQR[[#This Row],[QR CODES]],4,13)</f>
        <v/>
      </c>
      <c r="C899" s="2" t="str">
        <f>IFERROR(VLOOKUP(TableQR[[#This Row],[BARCODES]],ILACLISTE[#All],2,0),"")</f>
        <v/>
      </c>
      <c r="D899" s="2">
        <f t="shared" si="13"/>
        <v>0</v>
      </c>
      <c r="E899" s="14" t="str">
        <f>IFERROR(GIZLI!G894,"")</f>
        <v/>
      </c>
    </row>
    <row r="900" spans="2:5" x14ac:dyDescent="0.3">
      <c r="B900" s="2" t="str">
        <f>MID(TableQR[[#This Row],[QR CODES]],4,13)</f>
        <v/>
      </c>
      <c r="C900" s="2" t="str">
        <f>IFERROR(VLOOKUP(TableQR[[#This Row],[BARCODES]],ILACLISTE[#All],2,0),"")</f>
        <v/>
      </c>
      <c r="D900" s="2">
        <f t="shared" si="13"/>
        <v>0</v>
      </c>
      <c r="E900" s="14" t="str">
        <f>IFERROR(GIZLI!G895,"")</f>
        <v/>
      </c>
    </row>
    <row r="901" spans="2:5" x14ac:dyDescent="0.3">
      <c r="B901" s="2" t="str">
        <f>MID(TableQR[[#This Row],[QR CODES]],4,13)</f>
        <v/>
      </c>
      <c r="C901" s="2" t="str">
        <f>IFERROR(VLOOKUP(TableQR[[#This Row],[BARCODES]],ILACLISTE[#All],2,0),"")</f>
        <v/>
      </c>
      <c r="D901" s="2">
        <f t="shared" si="13"/>
        <v>0</v>
      </c>
      <c r="E901" s="14" t="str">
        <f>IFERROR(GIZLI!G896,"")</f>
        <v/>
      </c>
    </row>
    <row r="902" spans="2:5" x14ac:dyDescent="0.3">
      <c r="B902" s="2" t="str">
        <f>MID(TableQR[[#This Row],[QR CODES]],4,13)</f>
        <v/>
      </c>
      <c r="C902" s="2" t="str">
        <f>IFERROR(VLOOKUP(TableQR[[#This Row],[BARCODES]],ILACLISTE[#All],2,0),"")</f>
        <v/>
      </c>
      <c r="D902" s="2">
        <f t="shared" si="13"/>
        <v>0</v>
      </c>
      <c r="E902" s="14" t="str">
        <f>IFERROR(GIZLI!G897,"")</f>
        <v/>
      </c>
    </row>
    <row r="903" spans="2:5" x14ac:dyDescent="0.3">
      <c r="B903" s="2" t="str">
        <f>MID(TableQR[[#This Row],[QR CODES]],4,13)</f>
        <v/>
      </c>
      <c r="C903" s="2" t="str">
        <f>IFERROR(VLOOKUP(TableQR[[#This Row],[BARCODES]],ILACLISTE[#All],2,0),"")</f>
        <v/>
      </c>
      <c r="D903" s="2">
        <f t="shared" si="13"/>
        <v>0</v>
      </c>
      <c r="E903" s="14" t="str">
        <f>IFERROR(GIZLI!G898,"")</f>
        <v/>
      </c>
    </row>
    <row r="904" spans="2:5" x14ac:dyDescent="0.3">
      <c r="B904" s="2" t="str">
        <f>MID(TableQR[[#This Row],[QR CODES]],4,13)</f>
        <v/>
      </c>
      <c r="C904" s="2" t="str">
        <f>IFERROR(VLOOKUP(TableQR[[#This Row],[BARCODES]],ILACLISTE[#All],2,0),"")</f>
        <v/>
      </c>
      <c r="D904" s="2">
        <f t="shared" ref="D904:D967" si="14">COUNTIF(B904:B4897,IF(B904="",66666,B904))</f>
        <v>0</v>
      </c>
      <c r="E904" s="14" t="str">
        <f>IFERROR(GIZLI!G899,"")</f>
        <v/>
      </c>
    </row>
    <row r="905" spans="2:5" x14ac:dyDescent="0.3">
      <c r="B905" s="2" t="str">
        <f>MID(TableQR[[#This Row],[QR CODES]],4,13)</f>
        <v/>
      </c>
      <c r="C905" s="2" t="str">
        <f>IFERROR(VLOOKUP(TableQR[[#This Row],[BARCODES]],ILACLISTE[#All],2,0),"")</f>
        <v/>
      </c>
      <c r="D905" s="2">
        <f t="shared" si="14"/>
        <v>0</v>
      </c>
      <c r="E905" s="14" t="str">
        <f>IFERROR(GIZLI!G900,"")</f>
        <v/>
      </c>
    </row>
    <row r="906" spans="2:5" x14ac:dyDescent="0.3">
      <c r="B906" s="2" t="str">
        <f>MID(TableQR[[#This Row],[QR CODES]],4,13)</f>
        <v/>
      </c>
      <c r="C906" s="2" t="str">
        <f>IFERROR(VLOOKUP(TableQR[[#This Row],[BARCODES]],ILACLISTE[#All],2,0),"")</f>
        <v/>
      </c>
      <c r="D906" s="2">
        <f t="shared" si="14"/>
        <v>0</v>
      </c>
      <c r="E906" s="14" t="str">
        <f>IFERROR(GIZLI!G901,"")</f>
        <v/>
      </c>
    </row>
    <row r="907" spans="2:5" x14ac:dyDescent="0.3">
      <c r="B907" s="2" t="str">
        <f>MID(TableQR[[#This Row],[QR CODES]],4,13)</f>
        <v/>
      </c>
      <c r="C907" s="2" t="str">
        <f>IFERROR(VLOOKUP(TableQR[[#This Row],[BARCODES]],ILACLISTE[#All],2,0),"")</f>
        <v/>
      </c>
      <c r="D907" s="2">
        <f t="shared" si="14"/>
        <v>0</v>
      </c>
      <c r="E907" s="14" t="str">
        <f>IFERROR(GIZLI!G902,"")</f>
        <v/>
      </c>
    </row>
    <row r="908" spans="2:5" x14ac:dyDescent="0.3">
      <c r="B908" s="2" t="str">
        <f>MID(TableQR[[#This Row],[QR CODES]],4,13)</f>
        <v/>
      </c>
      <c r="C908" s="2" t="str">
        <f>IFERROR(VLOOKUP(TableQR[[#This Row],[BARCODES]],ILACLISTE[#All],2,0),"")</f>
        <v/>
      </c>
      <c r="D908" s="2">
        <f t="shared" si="14"/>
        <v>0</v>
      </c>
      <c r="E908" s="14" t="str">
        <f>IFERROR(GIZLI!G903,"")</f>
        <v/>
      </c>
    </row>
    <row r="909" spans="2:5" x14ac:dyDescent="0.3">
      <c r="B909" s="2" t="str">
        <f>MID(TableQR[[#This Row],[QR CODES]],4,13)</f>
        <v/>
      </c>
      <c r="C909" s="2" t="str">
        <f>IFERROR(VLOOKUP(TableQR[[#This Row],[BARCODES]],ILACLISTE[#All],2,0),"")</f>
        <v/>
      </c>
      <c r="D909" s="2">
        <f t="shared" si="14"/>
        <v>0</v>
      </c>
      <c r="E909" s="14" t="str">
        <f>IFERROR(GIZLI!G904,"")</f>
        <v/>
      </c>
    </row>
    <row r="910" spans="2:5" x14ac:dyDescent="0.3">
      <c r="B910" s="2" t="str">
        <f>MID(TableQR[[#This Row],[QR CODES]],4,13)</f>
        <v/>
      </c>
      <c r="C910" s="2" t="str">
        <f>IFERROR(VLOOKUP(TableQR[[#This Row],[BARCODES]],ILACLISTE[#All],2,0),"")</f>
        <v/>
      </c>
      <c r="D910" s="2">
        <f t="shared" si="14"/>
        <v>0</v>
      </c>
      <c r="E910" s="14" t="str">
        <f>IFERROR(GIZLI!G905,"")</f>
        <v/>
      </c>
    </row>
    <row r="911" spans="2:5" x14ac:dyDescent="0.3">
      <c r="B911" s="2" t="str">
        <f>MID(TableQR[[#This Row],[QR CODES]],4,13)</f>
        <v/>
      </c>
      <c r="C911" s="2" t="str">
        <f>IFERROR(VLOOKUP(TableQR[[#This Row],[BARCODES]],ILACLISTE[#All],2,0),"")</f>
        <v/>
      </c>
      <c r="D911" s="2">
        <f t="shared" si="14"/>
        <v>0</v>
      </c>
      <c r="E911" s="14" t="str">
        <f>IFERROR(GIZLI!G906,"")</f>
        <v/>
      </c>
    </row>
    <row r="912" spans="2:5" x14ac:dyDescent="0.3">
      <c r="B912" s="2" t="str">
        <f>MID(TableQR[[#This Row],[QR CODES]],4,13)</f>
        <v/>
      </c>
      <c r="C912" s="2" t="str">
        <f>IFERROR(VLOOKUP(TableQR[[#This Row],[BARCODES]],ILACLISTE[#All],2,0),"")</f>
        <v/>
      </c>
      <c r="D912" s="2">
        <f t="shared" si="14"/>
        <v>0</v>
      </c>
      <c r="E912" s="14" t="str">
        <f>IFERROR(GIZLI!G907,"")</f>
        <v/>
      </c>
    </row>
    <row r="913" spans="2:5" x14ac:dyDescent="0.3">
      <c r="B913" s="2" t="str">
        <f>MID(TableQR[[#This Row],[QR CODES]],4,13)</f>
        <v/>
      </c>
      <c r="C913" s="2" t="str">
        <f>IFERROR(VLOOKUP(TableQR[[#This Row],[BARCODES]],ILACLISTE[#All],2,0),"")</f>
        <v/>
      </c>
      <c r="D913" s="2">
        <f t="shared" si="14"/>
        <v>0</v>
      </c>
      <c r="E913" s="14" t="str">
        <f>IFERROR(GIZLI!G908,"")</f>
        <v/>
      </c>
    </row>
    <row r="914" spans="2:5" x14ac:dyDescent="0.3">
      <c r="B914" s="2" t="str">
        <f>MID(TableQR[[#This Row],[QR CODES]],4,13)</f>
        <v/>
      </c>
      <c r="C914" s="2" t="str">
        <f>IFERROR(VLOOKUP(TableQR[[#This Row],[BARCODES]],ILACLISTE[#All],2,0),"")</f>
        <v/>
      </c>
      <c r="D914" s="2">
        <f t="shared" si="14"/>
        <v>0</v>
      </c>
      <c r="E914" s="14" t="str">
        <f>IFERROR(GIZLI!G909,"")</f>
        <v/>
      </c>
    </row>
    <row r="915" spans="2:5" x14ac:dyDescent="0.3">
      <c r="B915" s="2" t="str">
        <f>MID(TableQR[[#This Row],[QR CODES]],4,13)</f>
        <v/>
      </c>
      <c r="C915" s="2" t="str">
        <f>IFERROR(VLOOKUP(TableQR[[#This Row],[BARCODES]],ILACLISTE[#All],2,0),"")</f>
        <v/>
      </c>
      <c r="D915" s="2">
        <f t="shared" si="14"/>
        <v>0</v>
      </c>
      <c r="E915" s="14" t="str">
        <f>IFERROR(GIZLI!G910,"")</f>
        <v/>
      </c>
    </row>
    <row r="916" spans="2:5" x14ac:dyDescent="0.3">
      <c r="B916" s="2" t="str">
        <f>MID(TableQR[[#This Row],[QR CODES]],4,13)</f>
        <v/>
      </c>
      <c r="C916" s="2" t="str">
        <f>IFERROR(VLOOKUP(TableQR[[#This Row],[BARCODES]],ILACLISTE[#All],2,0),"")</f>
        <v/>
      </c>
      <c r="D916" s="2">
        <f t="shared" si="14"/>
        <v>0</v>
      </c>
      <c r="E916" s="14" t="str">
        <f>IFERROR(GIZLI!G911,"")</f>
        <v/>
      </c>
    </row>
    <row r="917" spans="2:5" x14ac:dyDescent="0.3">
      <c r="B917" s="2" t="str">
        <f>MID(TableQR[[#This Row],[QR CODES]],4,13)</f>
        <v/>
      </c>
      <c r="C917" s="2" t="str">
        <f>IFERROR(VLOOKUP(TableQR[[#This Row],[BARCODES]],ILACLISTE[#All],2,0),"")</f>
        <v/>
      </c>
      <c r="D917" s="2">
        <f t="shared" si="14"/>
        <v>0</v>
      </c>
      <c r="E917" s="14" t="str">
        <f>IFERROR(GIZLI!G912,"")</f>
        <v/>
      </c>
    </row>
    <row r="918" spans="2:5" x14ac:dyDescent="0.3">
      <c r="B918" s="2" t="str">
        <f>MID(TableQR[[#This Row],[QR CODES]],4,13)</f>
        <v/>
      </c>
      <c r="C918" s="2" t="str">
        <f>IFERROR(VLOOKUP(TableQR[[#This Row],[BARCODES]],ILACLISTE[#All],2,0),"")</f>
        <v/>
      </c>
      <c r="D918" s="2">
        <f t="shared" si="14"/>
        <v>0</v>
      </c>
      <c r="E918" s="14" t="str">
        <f>IFERROR(GIZLI!G913,"")</f>
        <v/>
      </c>
    </row>
    <row r="919" spans="2:5" x14ac:dyDescent="0.3">
      <c r="B919" s="2" t="str">
        <f>MID(TableQR[[#This Row],[QR CODES]],4,13)</f>
        <v/>
      </c>
      <c r="C919" s="2" t="str">
        <f>IFERROR(VLOOKUP(TableQR[[#This Row],[BARCODES]],ILACLISTE[#All],2,0),"")</f>
        <v/>
      </c>
      <c r="D919" s="2">
        <f t="shared" si="14"/>
        <v>0</v>
      </c>
      <c r="E919" s="14" t="str">
        <f>IFERROR(GIZLI!G914,"")</f>
        <v/>
      </c>
    </row>
    <row r="920" spans="2:5" x14ac:dyDescent="0.3">
      <c r="B920" s="2" t="str">
        <f>MID(TableQR[[#This Row],[QR CODES]],4,13)</f>
        <v/>
      </c>
      <c r="C920" s="2" t="str">
        <f>IFERROR(VLOOKUP(TableQR[[#This Row],[BARCODES]],ILACLISTE[#All],2,0),"")</f>
        <v/>
      </c>
      <c r="D920" s="2">
        <f t="shared" si="14"/>
        <v>0</v>
      </c>
      <c r="E920" s="14" t="str">
        <f>IFERROR(GIZLI!G915,"")</f>
        <v/>
      </c>
    </row>
    <row r="921" spans="2:5" x14ac:dyDescent="0.3">
      <c r="B921" s="2" t="str">
        <f>MID(TableQR[[#This Row],[QR CODES]],4,13)</f>
        <v/>
      </c>
      <c r="C921" s="2" t="str">
        <f>IFERROR(VLOOKUP(TableQR[[#This Row],[BARCODES]],ILACLISTE[#All],2,0),"")</f>
        <v/>
      </c>
      <c r="D921" s="2">
        <f t="shared" si="14"/>
        <v>0</v>
      </c>
      <c r="E921" s="14" t="str">
        <f>IFERROR(GIZLI!G916,"")</f>
        <v/>
      </c>
    </row>
    <row r="922" spans="2:5" x14ac:dyDescent="0.3">
      <c r="B922" s="2" t="str">
        <f>MID(TableQR[[#This Row],[QR CODES]],4,13)</f>
        <v/>
      </c>
      <c r="C922" s="2" t="str">
        <f>IFERROR(VLOOKUP(TableQR[[#This Row],[BARCODES]],ILACLISTE[#All],2,0),"")</f>
        <v/>
      </c>
      <c r="D922" s="2">
        <f t="shared" si="14"/>
        <v>0</v>
      </c>
      <c r="E922" s="14" t="str">
        <f>IFERROR(GIZLI!G917,"")</f>
        <v/>
      </c>
    </row>
    <row r="923" spans="2:5" x14ac:dyDescent="0.3">
      <c r="B923" s="2" t="str">
        <f>MID(TableQR[[#This Row],[QR CODES]],4,13)</f>
        <v/>
      </c>
      <c r="C923" s="2" t="str">
        <f>IFERROR(VLOOKUP(TableQR[[#This Row],[BARCODES]],ILACLISTE[#All],2,0),"")</f>
        <v/>
      </c>
      <c r="D923" s="2">
        <f t="shared" si="14"/>
        <v>0</v>
      </c>
      <c r="E923" s="14" t="str">
        <f>IFERROR(GIZLI!G918,"")</f>
        <v/>
      </c>
    </row>
    <row r="924" spans="2:5" x14ac:dyDescent="0.3">
      <c r="B924" s="2" t="str">
        <f>MID(TableQR[[#This Row],[QR CODES]],4,13)</f>
        <v/>
      </c>
      <c r="C924" s="2" t="str">
        <f>IFERROR(VLOOKUP(TableQR[[#This Row],[BARCODES]],ILACLISTE[#All],2,0),"")</f>
        <v/>
      </c>
      <c r="D924" s="2">
        <f t="shared" si="14"/>
        <v>0</v>
      </c>
      <c r="E924" s="14" t="str">
        <f>IFERROR(GIZLI!G919,"")</f>
        <v/>
      </c>
    </row>
    <row r="925" spans="2:5" x14ac:dyDescent="0.3">
      <c r="B925" s="2" t="str">
        <f>MID(TableQR[[#This Row],[QR CODES]],4,13)</f>
        <v/>
      </c>
      <c r="C925" s="2" t="str">
        <f>IFERROR(VLOOKUP(TableQR[[#This Row],[BARCODES]],ILACLISTE[#All],2,0),"")</f>
        <v/>
      </c>
      <c r="D925" s="2">
        <f t="shared" si="14"/>
        <v>0</v>
      </c>
      <c r="E925" s="14" t="str">
        <f>IFERROR(GIZLI!G920,"")</f>
        <v/>
      </c>
    </row>
    <row r="926" spans="2:5" x14ac:dyDescent="0.3">
      <c r="B926" s="2" t="str">
        <f>MID(TableQR[[#This Row],[QR CODES]],4,13)</f>
        <v/>
      </c>
      <c r="C926" s="2" t="str">
        <f>IFERROR(VLOOKUP(TableQR[[#This Row],[BARCODES]],ILACLISTE[#All],2,0),"")</f>
        <v/>
      </c>
      <c r="D926" s="2">
        <f t="shared" si="14"/>
        <v>0</v>
      </c>
      <c r="E926" s="14" t="str">
        <f>IFERROR(GIZLI!G921,"")</f>
        <v/>
      </c>
    </row>
    <row r="927" spans="2:5" x14ac:dyDescent="0.3">
      <c r="B927" s="2" t="str">
        <f>MID(TableQR[[#This Row],[QR CODES]],4,13)</f>
        <v/>
      </c>
      <c r="C927" s="2" t="str">
        <f>IFERROR(VLOOKUP(TableQR[[#This Row],[BARCODES]],ILACLISTE[#All],2,0),"")</f>
        <v/>
      </c>
      <c r="D927" s="2">
        <f t="shared" si="14"/>
        <v>0</v>
      </c>
      <c r="E927" s="14" t="str">
        <f>IFERROR(GIZLI!G922,"")</f>
        <v/>
      </c>
    </row>
    <row r="928" spans="2:5" x14ac:dyDescent="0.3">
      <c r="B928" s="2" t="str">
        <f>MID(TableQR[[#This Row],[QR CODES]],4,13)</f>
        <v/>
      </c>
      <c r="C928" s="2" t="str">
        <f>IFERROR(VLOOKUP(TableQR[[#This Row],[BARCODES]],ILACLISTE[#All],2,0),"")</f>
        <v/>
      </c>
      <c r="D928" s="2">
        <f t="shared" si="14"/>
        <v>0</v>
      </c>
      <c r="E928" s="14" t="str">
        <f>IFERROR(GIZLI!G923,"")</f>
        <v/>
      </c>
    </row>
    <row r="929" spans="2:5" x14ac:dyDescent="0.3">
      <c r="B929" s="2" t="str">
        <f>MID(TableQR[[#This Row],[QR CODES]],4,13)</f>
        <v/>
      </c>
      <c r="C929" s="2" t="str">
        <f>IFERROR(VLOOKUP(TableQR[[#This Row],[BARCODES]],ILACLISTE[#All],2,0),"")</f>
        <v/>
      </c>
      <c r="D929" s="2">
        <f t="shared" si="14"/>
        <v>0</v>
      </c>
      <c r="E929" s="14" t="str">
        <f>IFERROR(GIZLI!G924,"")</f>
        <v/>
      </c>
    </row>
    <row r="930" spans="2:5" x14ac:dyDescent="0.3">
      <c r="B930" s="2" t="str">
        <f>MID(TableQR[[#This Row],[QR CODES]],4,13)</f>
        <v/>
      </c>
      <c r="C930" s="2" t="str">
        <f>IFERROR(VLOOKUP(TableQR[[#This Row],[BARCODES]],ILACLISTE[#All],2,0),"")</f>
        <v/>
      </c>
      <c r="D930" s="2">
        <f t="shared" si="14"/>
        <v>0</v>
      </c>
      <c r="E930" s="14" t="str">
        <f>IFERROR(GIZLI!G925,"")</f>
        <v/>
      </c>
    </row>
    <row r="931" spans="2:5" x14ac:dyDescent="0.3">
      <c r="B931" s="2" t="str">
        <f>MID(TableQR[[#This Row],[QR CODES]],4,13)</f>
        <v/>
      </c>
      <c r="C931" s="2" t="str">
        <f>IFERROR(VLOOKUP(TableQR[[#This Row],[BARCODES]],ILACLISTE[#All],2,0),"")</f>
        <v/>
      </c>
      <c r="D931" s="2">
        <f t="shared" si="14"/>
        <v>0</v>
      </c>
      <c r="E931" s="14" t="str">
        <f>IFERROR(GIZLI!G926,"")</f>
        <v/>
      </c>
    </row>
    <row r="932" spans="2:5" x14ac:dyDescent="0.3">
      <c r="B932" s="2" t="str">
        <f>MID(TableQR[[#This Row],[QR CODES]],4,13)</f>
        <v/>
      </c>
      <c r="C932" s="2" t="str">
        <f>IFERROR(VLOOKUP(TableQR[[#This Row],[BARCODES]],ILACLISTE[#All],2,0),"")</f>
        <v/>
      </c>
      <c r="D932" s="2">
        <f t="shared" si="14"/>
        <v>0</v>
      </c>
      <c r="E932" s="14" t="str">
        <f>IFERROR(GIZLI!G927,"")</f>
        <v/>
      </c>
    </row>
    <row r="933" spans="2:5" x14ac:dyDescent="0.3">
      <c r="B933" s="2" t="str">
        <f>MID(TableQR[[#This Row],[QR CODES]],4,13)</f>
        <v/>
      </c>
      <c r="C933" s="2" t="str">
        <f>IFERROR(VLOOKUP(TableQR[[#This Row],[BARCODES]],ILACLISTE[#All],2,0),"")</f>
        <v/>
      </c>
      <c r="D933" s="2">
        <f t="shared" si="14"/>
        <v>0</v>
      </c>
      <c r="E933" s="14" t="str">
        <f>IFERROR(GIZLI!G928,"")</f>
        <v/>
      </c>
    </row>
    <row r="934" spans="2:5" x14ac:dyDescent="0.3">
      <c r="B934" s="2" t="str">
        <f>MID(TableQR[[#This Row],[QR CODES]],4,13)</f>
        <v/>
      </c>
      <c r="C934" s="2" t="str">
        <f>IFERROR(VLOOKUP(TableQR[[#This Row],[BARCODES]],ILACLISTE[#All],2,0),"")</f>
        <v/>
      </c>
      <c r="D934" s="2">
        <f t="shared" si="14"/>
        <v>0</v>
      </c>
      <c r="E934" s="14" t="str">
        <f>IFERROR(GIZLI!G929,"")</f>
        <v/>
      </c>
    </row>
    <row r="935" spans="2:5" x14ac:dyDescent="0.3">
      <c r="B935" s="2" t="str">
        <f>MID(TableQR[[#This Row],[QR CODES]],4,13)</f>
        <v/>
      </c>
      <c r="C935" s="2" t="str">
        <f>IFERROR(VLOOKUP(TableQR[[#This Row],[BARCODES]],ILACLISTE[#All],2,0),"")</f>
        <v/>
      </c>
      <c r="D935" s="2">
        <f t="shared" si="14"/>
        <v>0</v>
      </c>
      <c r="E935" s="14" t="str">
        <f>IFERROR(GIZLI!G930,"")</f>
        <v/>
      </c>
    </row>
    <row r="936" spans="2:5" x14ac:dyDescent="0.3">
      <c r="B936" s="2" t="str">
        <f>MID(TableQR[[#This Row],[QR CODES]],4,13)</f>
        <v/>
      </c>
      <c r="C936" s="2" t="str">
        <f>IFERROR(VLOOKUP(TableQR[[#This Row],[BARCODES]],ILACLISTE[#All],2,0),"")</f>
        <v/>
      </c>
      <c r="D936" s="2">
        <f t="shared" si="14"/>
        <v>0</v>
      </c>
      <c r="E936" s="14" t="str">
        <f>IFERROR(GIZLI!G931,"")</f>
        <v/>
      </c>
    </row>
    <row r="937" spans="2:5" x14ac:dyDescent="0.3">
      <c r="B937" s="2" t="str">
        <f>MID(TableQR[[#This Row],[QR CODES]],4,13)</f>
        <v/>
      </c>
      <c r="C937" s="2" t="str">
        <f>IFERROR(VLOOKUP(TableQR[[#This Row],[BARCODES]],ILACLISTE[#All],2,0),"")</f>
        <v/>
      </c>
      <c r="D937" s="2">
        <f t="shared" si="14"/>
        <v>0</v>
      </c>
      <c r="E937" s="14" t="str">
        <f>IFERROR(GIZLI!G932,"")</f>
        <v/>
      </c>
    </row>
    <row r="938" spans="2:5" x14ac:dyDescent="0.3">
      <c r="B938" s="2" t="str">
        <f>MID(TableQR[[#This Row],[QR CODES]],4,13)</f>
        <v/>
      </c>
      <c r="C938" s="2" t="str">
        <f>IFERROR(VLOOKUP(TableQR[[#This Row],[BARCODES]],ILACLISTE[#All],2,0),"")</f>
        <v/>
      </c>
      <c r="D938" s="2">
        <f t="shared" si="14"/>
        <v>0</v>
      </c>
      <c r="E938" s="14" t="str">
        <f>IFERROR(GIZLI!G933,"")</f>
        <v/>
      </c>
    </row>
    <row r="939" spans="2:5" x14ac:dyDescent="0.3">
      <c r="B939" s="2" t="str">
        <f>MID(TableQR[[#This Row],[QR CODES]],4,13)</f>
        <v/>
      </c>
      <c r="C939" s="2" t="str">
        <f>IFERROR(VLOOKUP(TableQR[[#This Row],[BARCODES]],ILACLISTE[#All],2,0),"")</f>
        <v/>
      </c>
      <c r="D939" s="2">
        <f t="shared" si="14"/>
        <v>0</v>
      </c>
      <c r="E939" s="14" t="str">
        <f>IFERROR(GIZLI!G934,"")</f>
        <v/>
      </c>
    </row>
    <row r="940" spans="2:5" x14ac:dyDescent="0.3">
      <c r="B940" s="2" t="str">
        <f>MID(TableQR[[#This Row],[QR CODES]],4,13)</f>
        <v/>
      </c>
      <c r="C940" s="2" t="str">
        <f>IFERROR(VLOOKUP(TableQR[[#This Row],[BARCODES]],ILACLISTE[#All],2,0),"")</f>
        <v/>
      </c>
      <c r="D940" s="2">
        <f t="shared" si="14"/>
        <v>0</v>
      </c>
      <c r="E940" s="14" t="str">
        <f>IFERROR(GIZLI!G935,"")</f>
        <v/>
      </c>
    </row>
    <row r="941" spans="2:5" x14ac:dyDescent="0.3">
      <c r="B941" s="2" t="str">
        <f>MID(TableQR[[#This Row],[QR CODES]],4,13)</f>
        <v/>
      </c>
      <c r="C941" s="2" t="str">
        <f>IFERROR(VLOOKUP(TableQR[[#This Row],[BARCODES]],ILACLISTE[#All],2,0),"")</f>
        <v/>
      </c>
      <c r="D941" s="2">
        <f t="shared" si="14"/>
        <v>0</v>
      </c>
      <c r="E941" s="14" t="str">
        <f>IFERROR(GIZLI!G936,"")</f>
        <v/>
      </c>
    </row>
    <row r="942" spans="2:5" x14ac:dyDescent="0.3">
      <c r="B942" s="2" t="str">
        <f>MID(TableQR[[#This Row],[QR CODES]],4,13)</f>
        <v/>
      </c>
      <c r="C942" s="2" t="str">
        <f>IFERROR(VLOOKUP(TableQR[[#This Row],[BARCODES]],ILACLISTE[#All],2,0),"")</f>
        <v/>
      </c>
      <c r="D942" s="2">
        <f t="shared" si="14"/>
        <v>0</v>
      </c>
      <c r="E942" s="14" t="str">
        <f>IFERROR(GIZLI!G937,"")</f>
        <v/>
      </c>
    </row>
    <row r="943" spans="2:5" x14ac:dyDescent="0.3">
      <c r="B943" s="2" t="str">
        <f>MID(TableQR[[#This Row],[QR CODES]],4,13)</f>
        <v/>
      </c>
      <c r="C943" s="2" t="str">
        <f>IFERROR(VLOOKUP(TableQR[[#This Row],[BARCODES]],ILACLISTE[#All],2,0),"")</f>
        <v/>
      </c>
      <c r="D943" s="2">
        <f t="shared" si="14"/>
        <v>0</v>
      </c>
      <c r="E943" s="14" t="str">
        <f>IFERROR(GIZLI!G938,"")</f>
        <v/>
      </c>
    </row>
    <row r="944" spans="2:5" x14ac:dyDescent="0.3">
      <c r="B944" s="2" t="str">
        <f>MID(TableQR[[#This Row],[QR CODES]],4,13)</f>
        <v/>
      </c>
      <c r="C944" s="2" t="str">
        <f>IFERROR(VLOOKUP(TableQR[[#This Row],[BARCODES]],ILACLISTE[#All],2,0),"")</f>
        <v/>
      </c>
      <c r="D944" s="2">
        <f t="shared" si="14"/>
        <v>0</v>
      </c>
      <c r="E944" s="14" t="str">
        <f>IFERROR(GIZLI!G939,"")</f>
        <v/>
      </c>
    </row>
    <row r="945" spans="2:5" x14ac:dyDescent="0.3">
      <c r="B945" s="2" t="str">
        <f>MID(TableQR[[#This Row],[QR CODES]],4,13)</f>
        <v/>
      </c>
      <c r="C945" s="2" t="str">
        <f>IFERROR(VLOOKUP(TableQR[[#This Row],[BARCODES]],ILACLISTE[#All],2,0),"")</f>
        <v/>
      </c>
      <c r="D945" s="2">
        <f t="shared" si="14"/>
        <v>0</v>
      </c>
      <c r="E945" s="14" t="str">
        <f>IFERROR(GIZLI!G940,"")</f>
        <v/>
      </c>
    </row>
    <row r="946" spans="2:5" x14ac:dyDescent="0.3">
      <c r="B946" s="2" t="str">
        <f>MID(TableQR[[#This Row],[QR CODES]],4,13)</f>
        <v/>
      </c>
      <c r="C946" s="2" t="str">
        <f>IFERROR(VLOOKUP(TableQR[[#This Row],[BARCODES]],ILACLISTE[#All],2,0),"")</f>
        <v/>
      </c>
      <c r="D946" s="2">
        <f t="shared" si="14"/>
        <v>0</v>
      </c>
      <c r="E946" s="14" t="str">
        <f>IFERROR(GIZLI!G941,"")</f>
        <v/>
      </c>
    </row>
    <row r="947" spans="2:5" x14ac:dyDescent="0.3">
      <c r="B947" s="2" t="str">
        <f>MID(TableQR[[#This Row],[QR CODES]],4,13)</f>
        <v/>
      </c>
      <c r="C947" s="2" t="str">
        <f>IFERROR(VLOOKUP(TableQR[[#This Row],[BARCODES]],ILACLISTE[#All],2,0),"")</f>
        <v/>
      </c>
      <c r="D947" s="2">
        <f t="shared" si="14"/>
        <v>0</v>
      </c>
      <c r="E947" s="14" t="str">
        <f>IFERROR(GIZLI!G942,"")</f>
        <v/>
      </c>
    </row>
    <row r="948" spans="2:5" x14ac:dyDescent="0.3">
      <c r="B948" s="2" t="str">
        <f>MID(TableQR[[#This Row],[QR CODES]],4,13)</f>
        <v/>
      </c>
      <c r="C948" s="2" t="str">
        <f>IFERROR(VLOOKUP(TableQR[[#This Row],[BARCODES]],ILACLISTE[#All],2,0),"")</f>
        <v/>
      </c>
      <c r="D948" s="2">
        <f t="shared" si="14"/>
        <v>0</v>
      </c>
      <c r="E948" s="14" t="str">
        <f>IFERROR(GIZLI!G943,"")</f>
        <v/>
      </c>
    </row>
    <row r="949" spans="2:5" x14ac:dyDescent="0.3">
      <c r="B949" s="2" t="str">
        <f>MID(TableQR[[#This Row],[QR CODES]],4,13)</f>
        <v/>
      </c>
      <c r="C949" s="2" t="str">
        <f>IFERROR(VLOOKUP(TableQR[[#This Row],[BARCODES]],ILACLISTE[#All],2,0),"")</f>
        <v/>
      </c>
      <c r="D949" s="2">
        <f t="shared" si="14"/>
        <v>0</v>
      </c>
      <c r="E949" s="14" t="str">
        <f>IFERROR(GIZLI!G944,"")</f>
        <v/>
      </c>
    </row>
    <row r="950" spans="2:5" x14ac:dyDescent="0.3">
      <c r="B950" s="2" t="str">
        <f>MID(TableQR[[#This Row],[QR CODES]],4,13)</f>
        <v/>
      </c>
      <c r="C950" s="2" t="str">
        <f>IFERROR(VLOOKUP(TableQR[[#This Row],[BARCODES]],ILACLISTE[#All],2,0),"")</f>
        <v/>
      </c>
      <c r="D950" s="2">
        <f t="shared" si="14"/>
        <v>0</v>
      </c>
      <c r="E950" s="14" t="str">
        <f>IFERROR(GIZLI!G945,"")</f>
        <v/>
      </c>
    </row>
    <row r="951" spans="2:5" x14ac:dyDescent="0.3">
      <c r="B951" s="2" t="str">
        <f>MID(TableQR[[#This Row],[QR CODES]],4,13)</f>
        <v/>
      </c>
      <c r="C951" s="2" t="str">
        <f>IFERROR(VLOOKUP(TableQR[[#This Row],[BARCODES]],ILACLISTE[#All],2,0),"")</f>
        <v/>
      </c>
      <c r="D951" s="2">
        <f t="shared" si="14"/>
        <v>0</v>
      </c>
      <c r="E951" s="14" t="str">
        <f>IFERROR(GIZLI!G946,"")</f>
        <v/>
      </c>
    </row>
    <row r="952" spans="2:5" x14ac:dyDescent="0.3">
      <c r="B952" s="2" t="str">
        <f>MID(TableQR[[#This Row],[QR CODES]],4,13)</f>
        <v/>
      </c>
      <c r="C952" s="2" t="str">
        <f>IFERROR(VLOOKUP(TableQR[[#This Row],[BARCODES]],ILACLISTE[#All],2,0),"")</f>
        <v/>
      </c>
      <c r="D952" s="2">
        <f t="shared" si="14"/>
        <v>0</v>
      </c>
      <c r="E952" s="14" t="str">
        <f>IFERROR(GIZLI!G947,"")</f>
        <v/>
      </c>
    </row>
    <row r="953" spans="2:5" x14ac:dyDescent="0.3">
      <c r="B953" s="2" t="str">
        <f>MID(TableQR[[#This Row],[QR CODES]],4,13)</f>
        <v/>
      </c>
      <c r="C953" s="2" t="str">
        <f>IFERROR(VLOOKUP(TableQR[[#This Row],[BARCODES]],ILACLISTE[#All],2,0),"")</f>
        <v/>
      </c>
      <c r="D953" s="2">
        <f t="shared" si="14"/>
        <v>0</v>
      </c>
      <c r="E953" s="14" t="str">
        <f>IFERROR(GIZLI!G948,"")</f>
        <v/>
      </c>
    </row>
    <row r="954" spans="2:5" x14ac:dyDescent="0.3">
      <c r="B954" s="2" t="str">
        <f>MID(TableQR[[#This Row],[QR CODES]],4,13)</f>
        <v/>
      </c>
      <c r="C954" s="2" t="str">
        <f>IFERROR(VLOOKUP(TableQR[[#This Row],[BARCODES]],ILACLISTE[#All],2,0),"")</f>
        <v/>
      </c>
      <c r="D954" s="2">
        <f t="shared" si="14"/>
        <v>0</v>
      </c>
      <c r="E954" s="14" t="str">
        <f>IFERROR(GIZLI!G949,"")</f>
        <v/>
      </c>
    </row>
    <row r="955" spans="2:5" x14ac:dyDescent="0.3">
      <c r="B955" s="2" t="str">
        <f>MID(TableQR[[#This Row],[QR CODES]],4,13)</f>
        <v/>
      </c>
      <c r="C955" s="2" t="str">
        <f>IFERROR(VLOOKUP(TableQR[[#This Row],[BARCODES]],ILACLISTE[#All],2,0),"")</f>
        <v/>
      </c>
      <c r="D955" s="2">
        <f t="shared" si="14"/>
        <v>0</v>
      </c>
      <c r="E955" s="14" t="str">
        <f>IFERROR(GIZLI!G950,"")</f>
        <v/>
      </c>
    </row>
    <row r="956" spans="2:5" x14ac:dyDescent="0.3">
      <c r="B956" s="2" t="str">
        <f>MID(TableQR[[#This Row],[QR CODES]],4,13)</f>
        <v/>
      </c>
      <c r="C956" s="2" t="str">
        <f>IFERROR(VLOOKUP(TableQR[[#This Row],[BARCODES]],ILACLISTE[#All],2,0),"")</f>
        <v/>
      </c>
      <c r="D956" s="2">
        <f t="shared" si="14"/>
        <v>0</v>
      </c>
      <c r="E956" s="14" t="str">
        <f>IFERROR(GIZLI!G951,"")</f>
        <v/>
      </c>
    </row>
    <row r="957" spans="2:5" x14ac:dyDescent="0.3">
      <c r="B957" s="2" t="str">
        <f>MID(TableQR[[#This Row],[QR CODES]],4,13)</f>
        <v/>
      </c>
      <c r="C957" s="2" t="str">
        <f>IFERROR(VLOOKUP(TableQR[[#This Row],[BARCODES]],ILACLISTE[#All],2,0),"")</f>
        <v/>
      </c>
      <c r="D957" s="2">
        <f t="shared" si="14"/>
        <v>0</v>
      </c>
      <c r="E957" s="14" t="str">
        <f>IFERROR(GIZLI!G952,"")</f>
        <v/>
      </c>
    </row>
    <row r="958" spans="2:5" x14ac:dyDescent="0.3">
      <c r="B958" s="2" t="str">
        <f>MID(TableQR[[#This Row],[QR CODES]],4,13)</f>
        <v/>
      </c>
      <c r="C958" s="2" t="str">
        <f>IFERROR(VLOOKUP(TableQR[[#This Row],[BARCODES]],ILACLISTE[#All],2,0),"")</f>
        <v/>
      </c>
      <c r="D958" s="2">
        <f t="shared" si="14"/>
        <v>0</v>
      </c>
      <c r="E958" s="14" t="str">
        <f>IFERROR(GIZLI!G953,"")</f>
        <v/>
      </c>
    </row>
    <row r="959" spans="2:5" x14ac:dyDescent="0.3">
      <c r="B959" s="2" t="str">
        <f>MID(TableQR[[#This Row],[QR CODES]],4,13)</f>
        <v/>
      </c>
      <c r="C959" s="2" t="str">
        <f>IFERROR(VLOOKUP(TableQR[[#This Row],[BARCODES]],ILACLISTE[#All],2,0),"")</f>
        <v/>
      </c>
      <c r="D959" s="2">
        <f t="shared" si="14"/>
        <v>0</v>
      </c>
      <c r="E959" s="14" t="str">
        <f>IFERROR(GIZLI!G954,"")</f>
        <v/>
      </c>
    </row>
    <row r="960" spans="2:5" x14ac:dyDescent="0.3">
      <c r="B960" s="2" t="str">
        <f>MID(TableQR[[#This Row],[QR CODES]],4,13)</f>
        <v/>
      </c>
      <c r="C960" s="2" t="str">
        <f>IFERROR(VLOOKUP(TableQR[[#This Row],[BARCODES]],ILACLISTE[#All],2,0),"")</f>
        <v/>
      </c>
      <c r="D960" s="2">
        <f t="shared" si="14"/>
        <v>0</v>
      </c>
      <c r="E960" s="14" t="str">
        <f>IFERROR(GIZLI!G955,"")</f>
        <v/>
      </c>
    </row>
    <row r="961" spans="2:5" x14ac:dyDescent="0.3">
      <c r="B961" s="2" t="str">
        <f>MID(TableQR[[#This Row],[QR CODES]],4,13)</f>
        <v/>
      </c>
      <c r="C961" s="2" t="str">
        <f>IFERROR(VLOOKUP(TableQR[[#This Row],[BARCODES]],ILACLISTE[#All],2,0),"")</f>
        <v/>
      </c>
      <c r="D961" s="2">
        <f t="shared" si="14"/>
        <v>0</v>
      </c>
      <c r="E961" s="14" t="str">
        <f>IFERROR(GIZLI!G956,"")</f>
        <v/>
      </c>
    </row>
    <row r="962" spans="2:5" x14ac:dyDescent="0.3">
      <c r="B962" s="2" t="str">
        <f>MID(TableQR[[#This Row],[QR CODES]],4,13)</f>
        <v/>
      </c>
      <c r="C962" s="2" t="str">
        <f>IFERROR(VLOOKUP(TableQR[[#This Row],[BARCODES]],ILACLISTE[#All],2,0),"")</f>
        <v/>
      </c>
      <c r="D962" s="2">
        <f t="shared" si="14"/>
        <v>0</v>
      </c>
      <c r="E962" s="14" t="str">
        <f>IFERROR(GIZLI!G957,"")</f>
        <v/>
      </c>
    </row>
    <row r="963" spans="2:5" x14ac:dyDescent="0.3">
      <c r="B963" s="2" t="str">
        <f>MID(TableQR[[#This Row],[QR CODES]],4,13)</f>
        <v/>
      </c>
      <c r="C963" s="2" t="str">
        <f>IFERROR(VLOOKUP(TableQR[[#This Row],[BARCODES]],ILACLISTE[#All],2,0),"")</f>
        <v/>
      </c>
      <c r="D963" s="2">
        <f t="shared" si="14"/>
        <v>0</v>
      </c>
      <c r="E963" s="14" t="str">
        <f>IFERROR(GIZLI!G958,"")</f>
        <v/>
      </c>
    </row>
    <row r="964" spans="2:5" x14ac:dyDescent="0.3">
      <c r="B964" s="2" t="str">
        <f>MID(TableQR[[#This Row],[QR CODES]],4,13)</f>
        <v/>
      </c>
      <c r="C964" s="2" t="str">
        <f>IFERROR(VLOOKUP(TableQR[[#This Row],[BARCODES]],ILACLISTE[#All],2,0),"")</f>
        <v/>
      </c>
      <c r="D964" s="2">
        <f t="shared" si="14"/>
        <v>0</v>
      </c>
      <c r="E964" s="14" t="str">
        <f>IFERROR(GIZLI!G959,"")</f>
        <v/>
      </c>
    </row>
    <row r="965" spans="2:5" x14ac:dyDescent="0.3">
      <c r="B965" s="2" t="str">
        <f>MID(TableQR[[#This Row],[QR CODES]],4,13)</f>
        <v/>
      </c>
      <c r="C965" s="2" t="str">
        <f>IFERROR(VLOOKUP(TableQR[[#This Row],[BARCODES]],ILACLISTE[#All],2,0),"")</f>
        <v/>
      </c>
      <c r="D965" s="2">
        <f t="shared" si="14"/>
        <v>0</v>
      </c>
      <c r="E965" s="14" t="str">
        <f>IFERROR(GIZLI!G960,"")</f>
        <v/>
      </c>
    </row>
    <row r="966" spans="2:5" x14ac:dyDescent="0.3">
      <c r="B966" s="2" t="str">
        <f>MID(TableQR[[#This Row],[QR CODES]],4,13)</f>
        <v/>
      </c>
      <c r="C966" s="2" t="str">
        <f>IFERROR(VLOOKUP(TableQR[[#This Row],[BARCODES]],ILACLISTE[#All],2,0),"")</f>
        <v/>
      </c>
      <c r="D966" s="2">
        <f t="shared" si="14"/>
        <v>0</v>
      </c>
      <c r="E966" s="14" t="str">
        <f>IFERROR(GIZLI!G961,"")</f>
        <v/>
      </c>
    </row>
    <row r="967" spans="2:5" x14ac:dyDescent="0.3">
      <c r="B967" s="2" t="str">
        <f>MID(TableQR[[#This Row],[QR CODES]],4,13)</f>
        <v/>
      </c>
      <c r="C967" s="2" t="str">
        <f>IFERROR(VLOOKUP(TableQR[[#This Row],[BARCODES]],ILACLISTE[#All],2,0),"")</f>
        <v/>
      </c>
      <c r="D967" s="2">
        <f t="shared" si="14"/>
        <v>0</v>
      </c>
      <c r="E967" s="14" t="str">
        <f>IFERROR(GIZLI!G962,"")</f>
        <v/>
      </c>
    </row>
    <row r="968" spans="2:5" x14ac:dyDescent="0.3">
      <c r="B968" s="2" t="str">
        <f>MID(TableQR[[#This Row],[QR CODES]],4,13)</f>
        <v/>
      </c>
      <c r="C968" s="2" t="str">
        <f>IFERROR(VLOOKUP(TableQR[[#This Row],[BARCODES]],ILACLISTE[#All],2,0),"")</f>
        <v/>
      </c>
      <c r="D968" s="2">
        <f t="shared" ref="D968:D1031" si="15">COUNTIF(B968:B4961,IF(B968="",66666,B968))</f>
        <v>0</v>
      </c>
      <c r="E968" s="14" t="str">
        <f>IFERROR(GIZLI!G963,"")</f>
        <v/>
      </c>
    </row>
    <row r="969" spans="2:5" x14ac:dyDescent="0.3">
      <c r="B969" s="2" t="str">
        <f>MID(TableQR[[#This Row],[QR CODES]],4,13)</f>
        <v/>
      </c>
      <c r="C969" s="2" t="str">
        <f>IFERROR(VLOOKUP(TableQR[[#This Row],[BARCODES]],ILACLISTE[#All],2,0),"")</f>
        <v/>
      </c>
      <c r="D969" s="2">
        <f t="shared" si="15"/>
        <v>0</v>
      </c>
      <c r="E969" s="14" t="str">
        <f>IFERROR(GIZLI!G964,"")</f>
        <v/>
      </c>
    </row>
    <row r="970" spans="2:5" x14ac:dyDescent="0.3">
      <c r="B970" s="2" t="str">
        <f>MID(TableQR[[#This Row],[QR CODES]],4,13)</f>
        <v/>
      </c>
      <c r="C970" s="2" t="str">
        <f>IFERROR(VLOOKUP(TableQR[[#This Row],[BARCODES]],ILACLISTE[#All],2,0),"")</f>
        <v/>
      </c>
      <c r="D970" s="2">
        <f t="shared" si="15"/>
        <v>0</v>
      </c>
      <c r="E970" s="14" t="str">
        <f>IFERROR(GIZLI!G965,"")</f>
        <v/>
      </c>
    </row>
    <row r="971" spans="2:5" x14ac:dyDescent="0.3">
      <c r="B971" s="2" t="str">
        <f>MID(TableQR[[#This Row],[QR CODES]],4,13)</f>
        <v/>
      </c>
      <c r="C971" s="2" t="str">
        <f>IFERROR(VLOOKUP(TableQR[[#This Row],[BARCODES]],ILACLISTE[#All],2,0),"")</f>
        <v/>
      </c>
      <c r="D971" s="2">
        <f t="shared" si="15"/>
        <v>0</v>
      </c>
      <c r="E971" s="14" t="str">
        <f>IFERROR(GIZLI!G966,"")</f>
        <v/>
      </c>
    </row>
    <row r="972" spans="2:5" x14ac:dyDescent="0.3">
      <c r="B972" s="2" t="str">
        <f>MID(TableQR[[#This Row],[QR CODES]],4,13)</f>
        <v/>
      </c>
      <c r="C972" s="2" t="str">
        <f>IFERROR(VLOOKUP(TableQR[[#This Row],[BARCODES]],ILACLISTE[#All],2,0),"")</f>
        <v/>
      </c>
      <c r="D972" s="2">
        <f t="shared" si="15"/>
        <v>0</v>
      </c>
      <c r="E972" s="14" t="str">
        <f>IFERROR(GIZLI!G967,"")</f>
        <v/>
      </c>
    </row>
    <row r="973" spans="2:5" x14ac:dyDescent="0.3">
      <c r="B973" s="2" t="str">
        <f>MID(TableQR[[#This Row],[QR CODES]],4,13)</f>
        <v/>
      </c>
      <c r="C973" s="2" t="str">
        <f>IFERROR(VLOOKUP(TableQR[[#This Row],[BARCODES]],ILACLISTE[#All],2,0),"")</f>
        <v/>
      </c>
      <c r="D973" s="2">
        <f t="shared" si="15"/>
        <v>0</v>
      </c>
      <c r="E973" s="14" t="str">
        <f>IFERROR(GIZLI!G968,"")</f>
        <v/>
      </c>
    </row>
    <row r="974" spans="2:5" x14ac:dyDescent="0.3">
      <c r="B974" s="2" t="str">
        <f>MID(TableQR[[#This Row],[QR CODES]],4,13)</f>
        <v/>
      </c>
      <c r="C974" s="2" t="str">
        <f>IFERROR(VLOOKUP(TableQR[[#This Row],[BARCODES]],ILACLISTE[#All],2,0),"")</f>
        <v/>
      </c>
      <c r="D974" s="2">
        <f t="shared" si="15"/>
        <v>0</v>
      </c>
      <c r="E974" s="14" t="str">
        <f>IFERROR(GIZLI!G969,"")</f>
        <v/>
      </c>
    </row>
    <row r="975" spans="2:5" x14ac:dyDescent="0.3">
      <c r="B975" s="2" t="str">
        <f>MID(TableQR[[#This Row],[QR CODES]],4,13)</f>
        <v/>
      </c>
      <c r="C975" s="2" t="str">
        <f>IFERROR(VLOOKUP(TableQR[[#This Row],[BARCODES]],ILACLISTE[#All],2,0),"")</f>
        <v/>
      </c>
      <c r="D975" s="2">
        <f t="shared" si="15"/>
        <v>0</v>
      </c>
      <c r="E975" s="14" t="str">
        <f>IFERROR(GIZLI!G970,"")</f>
        <v/>
      </c>
    </row>
    <row r="976" spans="2:5" x14ac:dyDescent="0.3">
      <c r="B976" s="2" t="str">
        <f>MID(TableQR[[#This Row],[QR CODES]],4,13)</f>
        <v/>
      </c>
      <c r="C976" s="2" t="str">
        <f>IFERROR(VLOOKUP(TableQR[[#This Row],[BARCODES]],ILACLISTE[#All],2,0),"")</f>
        <v/>
      </c>
      <c r="D976" s="2">
        <f t="shared" si="15"/>
        <v>0</v>
      </c>
      <c r="E976" s="14" t="str">
        <f>IFERROR(GIZLI!G971,"")</f>
        <v/>
      </c>
    </row>
    <row r="977" spans="2:5" x14ac:dyDescent="0.3">
      <c r="B977" s="2" t="str">
        <f>MID(TableQR[[#This Row],[QR CODES]],4,13)</f>
        <v/>
      </c>
      <c r="C977" s="2" t="str">
        <f>IFERROR(VLOOKUP(TableQR[[#This Row],[BARCODES]],ILACLISTE[#All],2,0),"")</f>
        <v/>
      </c>
      <c r="D977" s="2">
        <f t="shared" si="15"/>
        <v>0</v>
      </c>
      <c r="E977" s="14" t="str">
        <f>IFERROR(GIZLI!G972,"")</f>
        <v/>
      </c>
    </row>
    <row r="978" spans="2:5" x14ac:dyDescent="0.3">
      <c r="B978" s="2" t="str">
        <f>MID(TableQR[[#This Row],[QR CODES]],4,13)</f>
        <v/>
      </c>
      <c r="C978" s="2" t="str">
        <f>IFERROR(VLOOKUP(TableQR[[#This Row],[BARCODES]],ILACLISTE[#All],2,0),"")</f>
        <v/>
      </c>
      <c r="D978" s="2">
        <f t="shared" si="15"/>
        <v>0</v>
      </c>
      <c r="E978" s="14" t="str">
        <f>IFERROR(GIZLI!G973,"")</f>
        <v/>
      </c>
    </row>
    <row r="979" spans="2:5" x14ac:dyDescent="0.3">
      <c r="B979" s="2" t="str">
        <f>MID(TableQR[[#This Row],[QR CODES]],4,13)</f>
        <v/>
      </c>
      <c r="C979" s="2" t="str">
        <f>IFERROR(VLOOKUP(TableQR[[#This Row],[BARCODES]],ILACLISTE[#All],2,0),"")</f>
        <v/>
      </c>
      <c r="D979" s="2">
        <f t="shared" si="15"/>
        <v>0</v>
      </c>
      <c r="E979" s="14" t="str">
        <f>IFERROR(GIZLI!G974,"")</f>
        <v/>
      </c>
    </row>
    <row r="980" spans="2:5" x14ac:dyDescent="0.3">
      <c r="B980" s="2" t="str">
        <f>MID(TableQR[[#This Row],[QR CODES]],4,13)</f>
        <v/>
      </c>
      <c r="C980" s="2" t="str">
        <f>IFERROR(VLOOKUP(TableQR[[#This Row],[BARCODES]],ILACLISTE[#All],2,0),"")</f>
        <v/>
      </c>
      <c r="D980" s="2">
        <f t="shared" si="15"/>
        <v>0</v>
      </c>
      <c r="E980" s="14" t="str">
        <f>IFERROR(GIZLI!G975,"")</f>
        <v/>
      </c>
    </row>
    <row r="981" spans="2:5" x14ac:dyDescent="0.3">
      <c r="B981" s="2" t="str">
        <f>MID(TableQR[[#This Row],[QR CODES]],4,13)</f>
        <v/>
      </c>
      <c r="C981" s="2" t="str">
        <f>IFERROR(VLOOKUP(TableQR[[#This Row],[BARCODES]],ILACLISTE[#All],2,0),"")</f>
        <v/>
      </c>
      <c r="D981" s="2">
        <f t="shared" si="15"/>
        <v>0</v>
      </c>
      <c r="E981" s="14" t="str">
        <f>IFERROR(GIZLI!G976,"")</f>
        <v/>
      </c>
    </row>
    <row r="982" spans="2:5" x14ac:dyDescent="0.3">
      <c r="B982" s="2" t="str">
        <f>MID(TableQR[[#This Row],[QR CODES]],4,13)</f>
        <v/>
      </c>
      <c r="C982" s="2" t="str">
        <f>IFERROR(VLOOKUP(TableQR[[#This Row],[BARCODES]],ILACLISTE[#All],2,0),"")</f>
        <v/>
      </c>
      <c r="D982" s="2">
        <f t="shared" si="15"/>
        <v>0</v>
      </c>
      <c r="E982" s="14" t="str">
        <f>IFERROR(GIZLI!G977,"")</f>
        <v/>
      </c>
    </row>
    <row r="983" spans="2:5" x14ac:dyDescent="0.3">
      <c r="B983" s="2" t="str">
        <f>MID(TableQR[[#This Row],[QR CODES]],4,13)</f>
        <v/>
      </c>
      <c r="C983" s="2" t="str">
        <f>IFERROR(VLOOKUP(TableQR[[#This Row],[BARCODES]],ILACLISTE[#All],2,0),"")</f>
        <v/>
      </c>
      <c r="D983" s="2">
        <f t="shared" si="15"/>
        <v>0</v>
      </c>
      <c r="E983" s="14" t="str">
        <f>IFERROR(GIZLI!G978,"")</f>
        <v/>
      </c>
    </row>
    <row r="984" spans="2:5" x14ac:dyDescent="0.3">
      <c r="B984" s="2" t="str">
        <f>MID(TableQR[[#This Row],[QR CODES]],4,13)</f>
        <v/>
      </c>
      <c r="C984" s="2" t="str">
        <f>IFERROR(VLOOKUP(TableQR[[#This Row],[BARCODES]],ILACLISTE[#All],2,0),"")</f>
        <v/>
      </c>
      <c r="D984" s="2">
        <f t="shared" si="15"/>
        <v>0</v>
      </c>
      <c r="E984" s="14" t="str">
        <f>IFERROR(GIZLI!G979,"")</f>
        <v/>
      </c>
    </row>
    <row r="985" spans="2:5" x14ac:dyDescent="0.3">
      <c r="B985" s="2" t="str">
        <f>MID(TableQR[[#This Row],[QR CODES]],4,13)</f>
        <v/>
      </c>
      <c r="C985" s="2" t="str">
        <f>IFERROR(VLOOKUP(TableQR[[#This Row],[BARCODES]],ILACLISTE[#All],2,0),"")</f>
        <v/>
      </c>
      <c r="D985" s="2">
        <f t="shared" si="15"/>
        <v>0</v>
      </c>
      <c r="E985" s="14" t="str">
        <f>IFERROR(GIZLI!G980,"")</f>
        <v/>
      </c>
    </row>
    <row r="986" spans="2:5" x14ac:dyDescent="0.3">
      <c r="B986" s="2" t="str">
        <f>MID(TableQR[[#This Row],[QR CODES]],4,13)</f>
        <v/>
      </c>
      <c r="C986" s="2" t="str">
        <f>IFERROR(VLOOKUP(TableQR[[#This Row],[BARCODES]],ILACLISTE[#All],2,0),"")</f>
        <v/>
      </c>
      <c r="D986" s="2">
        <f t="shared" si="15"/>
        <v>0</v>
      </c>
      <c r="E986" s="14" t="str">
        <f>IFERROR(GIZLI!G981,"")</f>
        <v/>
      </c>
    </row>
    <row r="987" spans="2:5" x14ac:dyDescent="0.3">
      <c r="B987" s="2" t="str">
        <f>MID(TableQR[[#This Row],[QR CODES]],4,13)</f>
        <v/>
      </c>
      <c r="C987" s="2" t="str">
        <f>IFERROR(VLOOKUP(TableQR[[#This Row],[BARCODES]],ILACLISTE[#All],2,0),"")</f>
        <v/>
      </c>
      <c r="D987" s="2">
        <f t="shared" si="15"/>
        <v>0</v>
      </c>
      <c r="E987" s="14" t="str">
        <f>IFERROR(GIZLI!G982,"")</f>
        <v/>
      </c>
    </row>
    <row r="988" spans="2:5" x14ac:dyDescent="0.3">
      <c r="B988" s="2" t="str">
        <f>MID(TableQR[[#This Row],[QR CODES]],4,13)</f>
        <v/>
      </c>
      <c r="C988" s="2" t="str">
        <f>IFERROR(VLOOKUP(TableQR[[#This Row],[BARCODES]],ILACLISTE[#All],2,0),"")</f>
        <v/>
      </c>
      <c r="D988" s="2">
        <f t="shared" si="15"/>
        <v>0</v>
      </c>
      <c r="E988" s="14" t="str">
        <f>IFERROR(GIZLI!G983,"")</f>
        <v/>
      </c>
    </row>
    <row r="989" spans="2:5" x14ac:dyDescent="0.3">
      <c r="B989" s="2" t="str">
        <f>MID(TableQR[[#This Row],[QR CODES]],4,13)</f>
        <v/>
      </c>
      <c r="C989" s="2" t="str">
        <f>IFERROR(VLOOKUP(TableQR[[#This Row],[BARCODES]],ILACLISTE[#All],2,0),"")</f>
        <v/>
      </c>
      <c r="D989" s="2">
        <f t="shared" si="15"/>
        <v>0</v>
      </c>
      <c r="E989" s="14" t="str">
        <f>IFERROR(GIZLI!G984,"")</f>
        <v/>
      </c>
    </row>
    <row r="990" spans="2:5" x14ac:dyDescent="0.3">
      <c r="B990" s="2" t="str">
        <f>MID(TableQR[[#This Row],[QR CODES]],4,13)</f>
        <v/>
      </c>
      <c r="C990" s="2" t="str">
        <f>IFERROR(VLOOKUP(TableQR[[#This Row],[BARCODES]],ILACLISTE[#All],2,0),"")</f>
        <v/>
      </c>
      <c r="D990" s="2">
        <f t="shared" si="15"/>
        <v>0</v>
      </c>
      <c r="E990" s="14" t="str">
        <f>IFERROR(GIZLI!G985,"")</f>
        <v/>
      </c>
    </row>
    <row r="991" spans="2:5" x14ac:dyDescent="0.3">
      <c r="B991" s="2" t="str">
        <f>MID(TableQR[[#This Row],[QR CODES]],4,13)</f>
        <v/>
      </c>
      <c r="C991" s="2" t="str">
        <f>IFERROR(VLOOKUP(TableQR[[#This Row],[BARCODES]],ILACLISTE[#All],2,0),"")</f>
        <v/>
      </c>
      <c r="D991" s="2">
        <f t="shared" si="15"/>
        <v>0</v>
      </c>
      <c r="E991" s="14" t="str">
        <f>IFERROR(GIZLI!G986,"")</f>
        <v/>
      </c>
    </row>
    <row r="992" spans="2:5" x14ac:dyDescent="0.3">
      <c r="B992" s="2" t="str">
        <f>MID(TableQR[[#This Row],[QR CODES]],4,13)</f>
        <v/>
      </c>
      <c r="C992" s="2" t="str">
        <f>IFERROR(VLOOKUP(TableQR[[#This Row],[BARCODES]],ILACLISTE[#All],2,0),"")</f>
        <v/>
      </c>
      <c r="D992" s="2">
        <f t="shared" si="15"/>
        <v>0</v>
      </c>
      <c r="E992" s="14" t="str">
        <f>IFERROR(GIZLI!G987,"")</f>
        <v/>
      </c>
    </row>
    <row r="993" spans="2:5" x14ac:dyDescent="0.3">
      <c r="B993" s="2" t="str">
        <f>MID(TableQR[[#This Row],[QR CODES]],4,13)</f>
        <v/>
      </c>
      <c r="C993" s="2" t="str">
        <f>IFERROR(VLOOKUP(TableQR[[#This Row],[BARCODES]],ILACLISTE[#All],2,0),"")</f>
        <v/>
      </c>
      <c r="D993" s="2">
        <f t="shared" si="15"/>
        <v>0</v>
      </c>
      <c r="E993" s="14" t="str">
        <f>IFERROR(GIZLI!G988,"")</f>
        <v/>
      </c>
    </row>
    <row r="994" spans="2:5" x14ac:dyDescent="0.3">
      <c r="B994" s="2" t="str">
        <f>MID(TableQR[[#This Row],[QR CODES]],4,13)</f>
        <v/>
      </c>
      <c r="C994" s="2" t="str">
        <f>IFERROR(VLOOKUP(TableQR[[#This Row],[BARCODES]],ILACLISTE[#All],2,0),"")</f>
        <v/>
      </c>
      <c r="D994" s="2">
        <f t="shared" si="15"/>
        <v>0</v>
      </c>
      <c r="E994" s="14" t="str">
        <f>IFERROR(GIZLI!G989,"")</f>
        <v/>
      </c>
    </row>
    <row r="995" spans="2:5" x14ac:dyDescent="0.3">
      <c r="B995" s="2" t="str">
        <f>MID(TableQR[[#This Row],[QR CODES]],4,13)</f>
        <v/>
      </c>
      <c r="C995" s="2" t="str">
        <f>IFERROR(VLOOKUP(TableQR[[#This Row],[BARCODES]],ILACLISTE[#All],2,0),"")</f>
        <v/>
      </c>
      <c r="D995" s="2">
        <f t="shared" si="15"/>
        <v>0</v>
      </c>
      <c r="E995" s="14" t="str">
        <f>IFERROR(GIZLI!G990,"")</f>
        <v/>
      </c>
    </row>
    <row r="996" spans="2:5" x14ac:dyDescent="0.3">
      <c r="B996" s="2" t="str">
        <f>MID(TableQR[[#This Row],[QR CODES]],4,13)</f>
        <v/>
      </c>
      <c r="C996" s="2" t="str">
        <f>IFERROR(VLOOKUP(TableQR[[#This Row],[BARCODES]],ILACLISTE[#All],2,0),"")</f>
        <v/>
      </c>
      <c r="D996" s="2">
        <f t="shared" si="15"/>
        <v>0</v>
      </c>
      <c r="E996" s="14" t="str">
        <f>IFERROR(GIZLI!G991,"")</f>
        <v/>
      </c>
    </row>
    <row r="997" spans="2:5" x14ac:dyDescent="0.3">
      <c r="B997" s="2" t="str">
        <f>MID(TableQR[[#This Row],[QR CODES]],4,13)</f>
        <v/>
      </c>
      <c r="C997" s="2" t="str">
        <f>IFERROR(VLOOKUP(TableQR[[#This Row],[BARCODES]],ILACLISTE[#All],2,0),"")</f>
        <v/>
      </c>
      <c r="D997" s="2">
        <f t="shared" si="15"/>
        <v>0</v>
      </c>
      <c r="E997" s="14" t="str">
        <f>IFERROR(GIZLI!G992,"")</f>
        <v/>
      </c>
    </row>
    <row r="998" spans="2:5" x14ac:dyDescent="0.3">
      <c r="B998" s="2" t="str">
        <f>MID(TableQR[[#This Row],[QR CODES]],4,13)</f>
        <v/>
      </c>
      <c r="C998" s="2" t="str">
        <f>IFERROR(VLOOKUP(TableQR[[#This Row],[BARCODES]],ILACLISTE[#All],2,0),"")</f>
        <v/>
      </c>
      <c r="D998" s="2">
        <f t="shared" si="15"/>
        <v>0</v>
      </c>
      <c r="E998" s="14" t="str">
        <f>IFERROR(GIZLI!G993,"")</f>
        <v/>
      </c>
    </row>
    <row r="999" spans="2:5" x14ac:dyDescent="0.3">
      <c r="B999" s="2" t="str">
        <f>MID(TableQR[[#This Row],[QR CODES]],4,13)</f>
        <v/>
      </c>
      <c r="C999" s="2" t="str">
        <f>IFERROR(VLOOKUP(TableQR[[#This Row],[BARCODES]],ILACLISTE[#All],2,0),"")</f>
        <v/>
      </c>
      <c r="D999" s="2">
        <f t="shared" si="15"/>
        <v>0</v>
      </c>
      <c r="E999" s="14" t="str">
        <f>IFERROR(GIZLI!G994,"")</f>
        <v/>
      </c>
    </row>
    <row r="1000" spans="2:5" x14ac:dyDescent="0.3">
      <c r="B1000" s="2" t="str">
        <f>MID(TableQR[[#This Row],[QR CODES]],4,13)</f>
        <v/>
      </c>
      <c r="C1000" s="2" t="str">
        <f>IFERROR(VLOOKUP(TableQR[[#This Row],[BARCODES]],ILACLISTE[#All],2,0),"")</f>
        <v/>
      </c>
      <c r="D1000" s="2">
        <f t="shared" si="15"/>
        <v>0</v>
      </c>
      <c r="E1000" s="14" t="str">
        <f>IFERROR(GIZLI!G995,"")</f>
        <v/>
      </c>
    </row>
    <row r="1001" spans="2:5" x14ac:dyDescent="0.3">
      <c r="B1001" s="2" t="str">
        <f>MID(TableQR[[#This Row],[QR CODES]],4,13)</f>
        <v/>
      </c>
      <c r="C1001" s="2" t="str">
        <f>IFERROR(VLOOKUP(TableQR[[#This Row],[BARCODES]],ILACLISTE[#All],2,0),"")</f>
        <v/>
      </c>
      <c r="D1001" s="2">
        <f t="shared" si="15"/>
        <v>0</v>
      </c>
      <c r="E1001" s="14" t="str">
        <f>IFERROR(GIZLI!G996,"")</f>
        <v/>
      </c>
    </row>
    <row r="1002" spans="2:5" x14ac:dyDescent="0.3">
      <c r="B1002" s="2" t="str">
        <f>MID(TableQR[[#This Row],[QR CODES]],4,13)</f>
        <v/>
      </c>
      <c r="C1002" s="2" t="str">
        <f>IFERROR(VLOOKUP(TableQR[[#This Row],[BARCODES]],ILACLISTE[#All],2,0),"")</f>
        <v/>
      </c>
      <c r="D1002" s="2">
        <f t="shared" si="15"/>
        <v>0</v>
      </c>
      <c r="E1002" s="14" t="str">
        <f>IFERROR(GIZLI!G997,"")</f>
        <v/>
      </c>
    </row>
    <row r="1003" spans="2:5" x14ac:dyDescent="0.3">
      <c r="B1003" s="2" t="str">
        <f>MID(TableQR[[#This Row],[QR CODES]],4,13)</f>
        <v/>
      </c>
      <c r="C1003" s="2" t="str">
        <f>IFERROR(VLOOKUP(TableQR[[#This Row],[BARCODES]],ILACLISTE[#All],2,0),"")</f>
        <v/>
      </c>
      <c r="D1003" s="2">
        <f t="shared" si="15"/>
        <v>0</v>
      </c>
      <c r="E1003" s="14" t="str">
        <f>IFERROR(GIZLI!G998,"")</f>
        <v/>
      </c>
    </row>
    <row r="1004" spans="2:5" x14ac:dyDescent="0.3">
      <c r="B1004" s="2" t="str">
        <f>MID(TableQR[[#This Row],[QR CODES]],4,13)</f>
        <v/>
      </c>
      <c r="C1004" s="2" t="str">
        <f>IFERROR(VLOOKUP(TableQR[[#This Row],[BARCODES]],ILACLISTE[#All],2,0),"")</f>
        <v/>
      </c>
      <c r="D1004" s="2">
        <f t="shared" si="15"/>
        <v>0</v>
      </c>
      <c r="E1004" s="14" t="str">
        <f>IFERROR(GIZLI!G999,"")</f>
        <v/>
      </c>
    </row>
    <row r="1005" spans="2:5" x14ac:dyDescent="0.3">
      <c r="B1005" s="2" t="str">
        <f>MID(TableQR[[#This Row],[QR CODES]],4,13)</f>
        <v/>
      </c>
      <c r="C1005" s="2" t="str">
        <f>IFERROR(VLOOKUP(TableQR[[#This Row],[BARCODES]],ILACLISTE[#All],2,0),"")</f>
        <v/>
      </c>
      <c r="D1005" s="2">
        <f t="shared" si="15"/>
        <v>0</v>
      </c>
      <c r="E1005" s="14" t="str">
        <f>IFERROR(GIZLI!G1000,"")</f>
        <v/>
      </c>
    </row>
    <row r="1006" spans="2:5" x14ac:dyDescent="0.3">
      <c r="B1006" s="2" t="str">
        <f>MID(TableQR[[#This Row],[QR CODES]],4,13)</f>
        <v/>
      </c>
      <c r="C1006" s="2" t="str">
        <f>IFERROR(VLOOKUP(TableQR[[#This Row],[BARCODES]],ILACLISTE[#All],2,0),"")</f>
        <v/>
      </c>
      <c r="D1006" s="2">
        <f t="shared" si="15"/>
        <v>0</v>
      </c>
      <c r="E1006" s="14" t="str">
        <f>IFERROR(GIZLI!G1001,"")</f>
        <v/>
      </c>
    </row>
    <row r="1007" spans="2:5" x14ac:dyDescent="0.3">
      <c r="B1007" s="2" t="str">
        <f>MID(TableQR[[#This Row],[QR CODES]],4,13)</f>
        <v/>
      </c>
      <c r="C1007" s="2" t="str">
        <f>IFERROR(VLOOKUP(TableQR[[#This Row],[BARCODES]],ILACLISTE[#All],2,0),"")</f>
        <v/>
      </c>
      <c r="D1007" s="2">
        <f t="shared" si="15"/>
        <v>0</v>
      </c>
      <c r="E1007" s="14" t="str">
        <f>IFERROR(GIZLI!G1002,"")</f>
        <v/>
      </c>
    </row>
    <row r="1008" spans="2:5" x14ac:dyDescent="0.3">
      <c r="B1008" s="2" t="str">
        <f>MID(TableQR[[#This Row],[QR CODES]],4,13)</f>
        <v/>
      </c>
      <c r="C1008" s="2" t="str">
        <f>IFERROR(VLOOKUP(TableQR[[#This Row],[BARCODES]],ILACLISTE[#All],2,0),"")</f>
        <v/>
      </c>
      <c r="D1008" s="2">
        <f t="shared" si="15"/>
        <v>0</v>
      </c>
      <c r="E1008" s="14" t="str">
        <f>IFERROR(GIZLI!G1003,"")</f>
        <v/>
      </c>
    </row>
    <row r="1009" spans="2:5" x14ac:dyDescent="0.3">
      <c r="B1009" s="2" t="str">
        <f>MID(TableQR[[#This Row],[QR CODES]],4,13)</f>
        <v/>
      </c>
      <c r="C1009" s="2" t="str">
        <f>IFERROR(VLOOKUP(TableQR[[#This Row],[BARCODES]],ILACLISTE[#All],2,0),"")</f>
        <v/>
      </c>
      <c r="D1009" s="2">
        <f t="shared" si="15"/>
        <v>0</v>
      </c>
      <c r="E1009" s="14" t="str">
        <f>IFERROR(GIZLI!G1004,"")</f>
        <v/>
      </c>
    </row>
    <row r="1010" spans="2:5" x14ac:dyDescent="0.3">
      <c r="B1010" s="2" t="str">
        <f>MID(TableQR[[#This Row],[QR CODES]],4,13)</f>
        <v/>
      </c>
      <c r="C1010" s="2" t="str">
        <f>IFERROR(VLOOKUP(TableQR[[#This Row],[BARCODES]],ILACLISTE[#All],2,0),"")</f>
        <v/>
      </c>
      <c r="D1010" s="2">
        <f t="shared" si="15"/>
        <v>0</v>
      </c>
      <c r="E1010" s="14" t="str">
        <f>IFERROR(GIZLI!G1005,"")</f>
        <v/>
      </c>
    </row>
    <row r="1011" spans="2:5" x14ac:dyDescent="0.3">
      <c r="B1011" s="2" t="str">
        <f>MID(TableQR[[#This Row],[QR CODES]],4,13)</f>
        <v/>
      </c>
      <c r="C1011" s="2" t="str">
        <f>IFERROR(VLOOKUP(TableQR[[#This Row],[BARCODES]],ILACLISTE[#All],2,0),"")</f>
        <v/>
      </c>
      <c r="D1011" s="2">
        <f t="shared" si="15"/>
        <v>0</v>
      </c>
      <c r="E1011" s="14" t="str">
        <f>IFERROR(GIZLI!G1006,"")</f>
        <v/>
      </c>
    </row>
    <row r="1012" spans="2:5" x14ac:dyDescent="0.3">
      <c r="B1012" s="2" t="str">
        <f>MID(TableQR[[#This Row],[QR CODES]],4,13)</f>
        <v/>
      </c>
      <c r="C1012" s="2" t="str">
        <f>IFERROR(VLOOKUP(TableQR[[#This Row],[BARCODES]],ILACLISTE[#All],2,0),"")</f>
        <v/>
      </c>
      <c r="D1012" s="2">
        <f t="shared" si="15"/>
        <v>0</v>
      </c>
      <c r="E1012" s="14" t="str">
        <f>IFERROR(GIZLI!G1007,"")</f>
        <v/>
      </c>
    </row>
    <row r="1013" spans="2:5" x14ac:dyDescent="0.3">
      <c r="B1013" s="2" t="str">
        <f>MID(TableQR[[#This Row],[QR CODES]],4,13)</f>
        <v/>
      </c>
      <c r="C1013" s="2" t="str">
        <f>IFERROR(VLOOKUP(TableQR[[#This Row],[BARCODES]],ILACLISTE[#All],2,0),"")</f>
        <v/>
      </c>
      <c r="D1013" s="2">
        <f t="shared" si="15"/>
        <v>0</v>
      </c>
      <c r="E1013" s="14" t="str">
        <f>IFERROR(GIZLI!G1008,"")</f>
        <v/>
      </c>
    </row>
    <row r="1014" spans="2:5" x14ac:dyDescent="0.3">
      <c r="B1014" s="2" t="str">
        <f>MID(TableQR[[#This Row],[QR CODES]],4,13)</f>
        <v/>
      </c>
      <c r="C1014" s="2" t="str">
        <f>IFERROR(VLOOKUP(TableQR[[#This Row],[BARCODES]],ILACLISTE[#All],2,0),"")</f>
        <v/>
      </c>
      <c r="D1014" s="2">
        <f t="shared" si="15"/>
        <v>0</v>
      </c>
      <c r="E1014" s="14" t="str">
        <f>IFERROR(GIZLI!G1009,"")</f>
        <v/>
      </c>
    </row>
    <row r="1015" spans="2:5" x14ac:dyDescent="0.3">
      <c r="B1015" s="2" t="str">
        <f>MID(TableQR[[#This Row],[QR CODES]],4,13)</f>
        <v/>
      </c>
      <c r="C1015" s="2" t="str">
        <f>IFERROR(VLOOKUP(TableQR[[#This Row],[BARCODES]],ILACLISTE[#All],2,0),"")</f>
        <v/>
      </c>
      <c r="D1015" s="2">
        <f t="shared" si="15"/>
        <v>0</v>
      </c>
      <c r="E1015" s="14" t="str">
        <f>IFERROR(GIZLI!G1010,"")</f>
        <v/>
      </c>
    </row>
    <row r="1016" spans="2:5" x14ac:dyDescent="0.3">
      <c r="B1016" s="2" t="str">
        <f>MID(TableQR[[#This Row],[QR CODES]],4,13)</f>
        <v/>
      </c>
      <c r="C1016" s="2" t="str">
        <f>IFERROR(VLOOKUP(TableQR[[#This Row],[BARCODES]],ILACLISTE[#All],2,0),"")</f>
        <v/>
      </c>
      <c r="D1016" s="2">
        <f t="shared" si="15"/>
        <v>0</v>
      </c>
      <c r="E1016" s="14" t="str">
        <f>IFERROR(GIZLI!G1011,"")</f>
        <v/>
      </c>
    </row>
    <row r="1017" spans="2:5" x14ac:dyDescent="0.3">
      <c r="B1017" s="2" t="str">
        <f>MID(TableQR[[#This Row],[QR CODES]],4,13)</f>
        <v/>
      </c>
      <c r="C1017" s="2" t="str">
        <f>IFERROR(VLOOKUP(TableQR[[#This Row],[BARCODES]],ILACLISTE[#All],2,0),"")</f>
        <v/>
      </c>
      <c r="D1017" s="2">
        <f t="shared" si="15"/>
        <v>0</v>
      </c>
      <c r="E1017" s="14" t="str">
        <f>IFERROR(GIZLI!G1012,"")</f>
        <v/>
      </c>
    </row>
    <row r="1018" spans="2:5" x14ac:dyDescent="0.3">
      <c r="B1018" s="2" t="str">
        <f>MID(TableQR[[#This Row],[QR CODES]],4,13)</f>
        <v/>
      </c>
      <c r="C1018" s="2" t="str">
        <f>IFERROR(VLOOKUP(TableQR[[#This Row],[BARCODES]],ILACLISTE[#All],2,0),"")</f>
        <v/>
      </c>
      <c r="D1018" s="2">
        <f t="shared" si="15"/>
        <v>0</v>
      </c>
      <c r="E1018" s="14" t="str">
        <f>IFERROR(GIZLI!G1013,"")</f>
        <v/>
      </c>
    </row>
    <row r="1019" spans="2:5" x14ac:dyDescent="0.3">
      <c r="B1019" s="2" t="str">
        <f>MID(TableQR[[#This Row],[QR CODES]],4,13)</f>
        <v/>
      </c>
      <c r="C1019" s="2" t="str">
        <f>IFERROR(VLOOKUP(TableQR[[#This Row],[BARCODES]],ILACLISTE[#All],2,0),"")</f>
        <v/>
      </c>
      <c r="D1019" s="2">
        <f t="shared" si="15"/>
        <v>0</v>
      </c>
      <c r="E1019" s="14" t="str">
        <f>IFERROR(GIZLI!G1014,"")</f>
        <v/>
      </c>
    </row>
    <row r="1020" spans="2:5" x14ac:dyDescent="0.3">
      <c r="B1020" s="2" t="str">
        <f>MID(TableQR[[#This Row],[QR CODES]],4,13)</f>
        <v/>
      </c>
      <c r="C1020" s="2" t="str">
        <f>IFERROR(VLOOKUP(TableQR[[#This Row],[BARCODES]],ILACLISTE[#All],2,0),"")</f>
        <v/>
      </c>
      <c r="D1020" s="2">
        <f t="shared" si="15"/>
        <v>0</v>
      </c>
      <c r="E1020" s="14" t="str">
        <f>IFERROR(GIZLI!G1015,"")</f>
        <v/>
      </c>
    </row>
    <row r="1021" spans="2:5" x14ac:dyDescent="0.3">
      <c r="B1021" s="2" t="str">
        <f>MID(TableQR[[#This Row],[QR CODES]],4,13)</f>
        <v/>
      </c>
      <c r="C1021" s="2" t="str">
        <f>IFERROR(VLOOKUP(TableQR[[#This Row],[BARCODES]],ILACLISTE[#All],2,0),"")</f>
        <v/>
      </c>
      <c r="D1021" s="2">
        <f t="shared" si="15"/>
        <v>0</v>
      </c>
      <c r="E1021" s="14" t="str">
        <f>IFERROR(GIZLI!G1016,"")</f>
        <v/>
      </c>
    </row>
    <row r="1022" spans="2:5" x14ac:dyDescent="0.3">
      <c r="B1022" s="2" t="str">
        <f>MID(TableQR[[#This Row],[QR CODES]],4,13)</f>
        <v/>
      </c>
      <c r="C1022" s="2" t="str">
        <f>IFERROR(VLOOKUP(TableQR[[#This Row],[BARCODES]],ILACLISTE[#All],2,0),"")</f>
        <v/>
      </c>
      <c r="D1022" s="2">
        <f t="shared" si="15"/>
        <v>0</v>
      </c>
      <c r="E1022" s="14" t="str">
        <f>IFERROR(GIZLI!G1017,"")</f>
        <v/>
      </c>
    </row>
    <row r="1023" spans="2:5" x14ac:dyDescent="0.3">
      <c r="B1023" s="2" t="str">
        <f>MID(TableQR[[#This Row],[QR CODES]],4,13)</f>
        <v/>
      </c>
      <c r="C1023" s="2" t="str">
        <f>IFERROR(VLOOKUP(TableQR[[#This Row],[BARCODES]],ILACLISTE[#All],2,0),"")</f>
        <v/>
      </c>
      <c r="D1023" s="2">
        <f t="shared" si="15"/>
        <v>0</v>
      </c>
      <c r="E1023" s="14" t="str">
        <f>IFERROR(GIZLI!G1018,"")</f>
        <v/>
      </c>
    </row>
    <row r="1024" spans="2:5" x14ac:dyDescent="0.3">
      <c r="B1024" s="2" t="str">
        <f>MID(TableQR[[#This Row],[QR CODES]],4,13)</f>
        <v/>
      </c>
      <c r="C1024" s="2" t="str">
        <f>IFERROR(VLOOKUP(TableQR[[#This Row],[BARCODES]],ILACLISTE[#All],2,0),"")</f>
        <v/>
      </c>
      <c r="D1024" s="2">
        <f t="shared" si="15"/>
        <v>0</v>
      </c>
      <c r="E1024" s="14" t="str">
        <f>IFERROR(GIZLI!G1019,"")</f>
        <v/>
      </c>
    </row>
    <row r="1025" spans="2:5" x14ac:dyDescent="0.3">
      <c r="B1025" s="2" t="str">
        <f>MID(TableQR[[#This Row],[QR CODES]],4,13)</f>
        <v/>
      </c>
      <c r="C1025" s="2" t="str">
        <f>IFERROR(VLOOKUP(TableQR[[#This Row],[BARCODES]],ILACLISTE[#All],2,0),"")</f>
        <v/>
      </c>
      <c r="D1025" s="2">
        <f t="shared" si="15"/>
        <v>0</v>
      </c>
      <c r="E1025" s="14" t="str">
        <f>IFERROR(GIZLI!G1020,"")</f>
        <v/>
      </c>
    </row>
    <row r="1026" spans="2:5" x14ac:dyDescent="0.3">
      <c r="B1026" s="2" t="str">
        <f>MID(TableQR[[#This Row],[QR CODES]],4,13)</f>
        <v/>
      </c>
      <c r="C1026" s="2" t="str">
        <f>IFERROR(VLOOKUP(TableQR[[#This Row],[BARCODES]],ILACLISTE[#All],2,0),"")</f>
        <v/>
      </c>
      <c r="D1026" s="2">
        <f t="shared" si="15"/>
        <v>0</v>
      </c>
      <c r="E1026" s="14" t="str">
        <f>IFERROR(GIZLI!G1021,"")</f>
        <v/>
      </c>
    </row>
    <row r="1027" spans="2:5" x14ac:dyDescent="0.3">
      <c r="B1027" s="2" t="str">
        <f>MID(TableQR[[#This Row],[QR CODES]],4,13)</f>
        <v/>
      </c>
      <c r="C1027" s="2" t="str">
        <f>IFERROR(VLOOKUP(TableQR[[#This Row],[BARCODES]],ILACLISTE[#All],2,0),"")</f>
        <v/>
      </c>
      <c r="D1027" s="2">
        <f t="shared" si="15"/>
        <v>0</v>
      </c>
      <c r="E1027" s="14" t="str">
        <f>IFERROR(GIZLI!G1022,"")</f>
        <v/>
      </c>
    </row>
    <row r="1028" spans="2:5" x14ac:dyDescent="0.3">
      <c r="B1028" s="2" t="str">
        <f>MID(TableQR[[#This Row],[QR CODES]],4,13)</f>
        <v/>
      </c>
      <c r="C1028" s="2" t="str">
        <f>IFERROR(VLOOKUP(TableQR[[#This Row],[BARCODES]],ILACLISTE[#All],2,0),"")</f>
        <v/>
      </c>
      <c r="D1028" s="2">
        <f t="shared" si="15"/>
        <v>0</v>
      </c>
      <c r="E1028" s="14" t="str">
        <f>IFERROR(GIZLI!G1023,"")</f>
        <v/>
      </c>
    </row>
    <row r="1029" spans="2:5" x14ac:dyDescent="0.3">
      <c r="B1029" s="2" t="str">
        <f>MID(TableQR[[#This Row],[QR CODES]],4,13)</f>
        <v/>
      </c>
      <c r="C1029" s="2" t="str">
        <f>IFERROR(VLOOKUP(TableQR[[#This Row],[BARCODES]],ILACLISTE[#All],2,0),"")</f>
        <v/>
      </c>
      <c r="D1029" s="2">
        <f t="shared" si="15"/>
        <v>0</v>
      </c>
      <c r="E1029" s="14" t="str">
        <f>IFERROR(GIZLI!G1024,"")</f>
        <v/>
      </c>
    </row>
    <row r="1030" spans="2:5" x14ac:dyDescent="0.3">
      <c r="B1030" s="2" t="str">
        <f>MID(TableQR[[#This Row],[QR CODES]],4,13)</f>
        <v/>
      </c>
      <c r="C1030" s="2" t="str">
        <f>IFERROR(VLOOKUP(TableQR[[#This Row],[BARCODES]],ILACLISTE[#All],2,0),"")</f>
        <v/>
      </c>
      <c r="D1030" s="2">
        <f t="shared" si="15"/>
        <v>0</v>
      </c>
      <c r="E1030" s="14" t="str">
        <f>IFERROR(GIZLI!G1025,"")</f>
        <v/>
      </c>
    </row>
    <row r="1031" spans="2:5" x14ac:dyDescent="0.3">
      <c r="B1031" s="2" t="str">
        <f>MID(TableQR[[#This Row],[QR CODES]],4,13)</f>
        <v/>
      </c>
      <c r="C1031" s="2" t="str">
        <f>IFERROR(VLOOKUP(TableQR[[#This Row],[BARCODES]],ILACLISTE[#All],2,0),"")</f>
        <v/>
      </c>
      <c r="D1031" s="2">
        <f t="shared" si="15"/>
        <v>0</v>
      </c>
      <c r="E1031" s="14" t="str">
        <f>IFERROR(GIZLI!G1026,"")</f>
        <v/>
      </c>
    </row>
    <row r="1032" spans="2:5" x14ac:dyDescent="0.3">
      <c r="B1032" s="2" t="str">
        <f>MID(TableQR[[#This Row],[QR CODES]],4,13)</f>
        <v/>
      </c>
      <c r="C1032" s="2" t="str">
        <f>IFERROR(VLOOKUP(TableQR[[#This Row],[BARCODES]],ILACLISTE[#All],2,0),"")</f>
        <v/>
      </c>
      <c r="D1032" s="2">
        <f t="shared" ref="D1032:D1095" si="16">COUNTIF(B1032:B5025,IF(B1032="",66666,B1032))</f>
        <v>0</v>
      </c>
      <c r="E1032" s="14" t="str">
        <f>IFERROR(GIZLI!G1027,"")</f>
        <v/>
      </c>
    </row>
    <row r="1033" spans="2:5" x14ac:dyDescent="0.3">
      <c r="B1033" s="2" t="str">
        <f>MID(TableQR[[#This Row],[QR CODES]],4,13)</f>
        <v/>
      </c>
      <c r="C1033" s="2" t="str">
        <f>IFERROR(VLOOKUP(TableQR[[#This Row],[BARCODES]],ILACLISTE[#All],2,0),"")</f>
        <v/>
      </c>
      <c r="D1033" s="2">
        <f t="shared" si="16"/>
        <v>0</v>
      </c>
      <c r="E1033" s="14" t="str">
        <f>IFERROR(GIZLI!G1028,"")</f>
        <v/>
      </c>
    </row>
    <row r="1034" spans="2:5" x14ac:dyDescent="0.3">
      <c r="B1034" s="2" t="str">
        <f>MID(TableQR[[#This Row],[QR CODES]],4,13)</f>
        <v/>
      </c>
      <c r="C1034" s="2" t="str">
        <f>IFERROR(VLOOKUP(TableQR[[#This Row],[BARCODES]],ILACLISTE[#All],2,0),"")</f>
        <v/>
      </c>
      <c r="D1034" s="2">
        <f t="shared" si="16"/>
        <v>0</v>
      </c>
      <c r="E1034" s="14" t="str">
        <f>IFERROR(GIZLI!G1029,"")</f>
        <v/>
      </c>
    </row>
    <row r="1035" spans="2:5" x14ac:dyDescent="0.3">
      <c r="B1035" s="2" t="str">
        <f>MID(TableQR[[#This Row],[QR CODES]],4,13)</f>
        <v/>
      </c>
      <c r="C1035" s="2" t="str">
        <f>IFERROR(VLOOKUP(TableQR[[#This Row],[BARCODES]],ILACLISTE[#All],2,0),"")</f>
        <v/>
      </c>
      <c r="D1035" s="2">
        <f t="shared" si="16"/>
        <v>0</v>
      </c>
      <c r="E1035" s="14" t="str">
        <f>IFERROR(GIZLI!G1030,"")</f>
        <v/>
      </c>
    </row>
    <row r="1036" spans="2:5" x14ac:dyDescent="0.3">
      <c r="B1036" s="2" t="str">
        <f>MID(TableQR[[#This Row],[QR CODES]],4,13)</f>
        <v/>
      </c>
      <c r="C1036" s="2" t="str">
        <f>IFERROR(VLOOKUP(TableQR[[#This Row],[BARCODES]],ILACLISTE[#All],2,0),"")</f>
        <v/>
      </c>
      <c r="D1036" s="2">
        <f t="shared" si="16"/>
        <v>0</v>
      </c>
      <c r="E1036" s="14" t="str">
        <f>IFERROR(GIZLI!G1031,"")</f>
        <v/>
      </c>
    </row>
    <row r="1037" spans="2:5" x14ac:dyDescent="0.3">
      <c r="B1037" s="2" t="str">
        <f>MID(TableQR[[#This Row],[QR CODES]],4,13)</f>
        <v/>
      </c>
      <c r="C1037" s="2" t="str">
        <f>IFERROR(VLOOKUP(TableQR[[#This Row],[BARCODES]],ILACLISTE[#All],2,0),"")</f>
        <v/>
      </c>
      <c r="D1037" s="2">
        <f t="shared" si="16"/>
        <v>0</v>
      </c>
      <c r="E1037" s="14" t="str">
        <f>IFERROR(GIZLI!G1032,"")</f>
        <v/>
      </c>
    </row>
    <row r="1038" spans="2:5" x14ac:dyDescent="0.3">
      <c r="B1038" s="2" t="str">
        <f>MID(TableQR[[#This Row],[QR CODES]],4,13)</f>
        <v/>
      </c>
      <c r="C1038" s="2" t="str">
        <f>IFERROR(VLOOKUP(TableQR[[#This Row],[BARCODES]],ILACLISTE[#All],2,0),"")</f>
        <v/>
      </c>
      <c r="D1038" s="2">
        <f t="shared" si="16"/>
        <v>0</v>
      </c>
      <c r="E1038" s="14" t="str">
        <f>IFERROR(GIZLI!G1033,"")</f>
        <v/>
      </c>
    </row>
    <row r="1039" spans="2:5" x14ac:dyDescent="0.3">
      <c r="B1039" s="2" t="str">
        <f>MID(TableQR[[#This Row],[QR CODES]],4,13)</f>
        <v/>
      </c>
      <c r="C1039" s="2" t="str">
        <f>IFERROR(VLOOKUP(TableQR[[#This Row],[BARCODES]],ILACLISTE[#All],2,0),"")</f>
        <v/>
      </c>
      <c r="D1039" s="2">
        <f t="shared" si="16"/>
        <v>0</v>
      </c>
      <c r="E1039" s="14" t="str">
        <f>IFERROR(GIZLI!G1034,"")</f>
        <v/>
      </c>
    </row>
    <row r="1040" spans="2:5" x14ac:dyDescent="0.3">
      <c r="B1040" s="2" t="str">
        <f>MID(TableQR[[#This Row],[QR CODES]],4,13)</f>
        <v/>
      </c>
      <c r="C1040" s="2" t="str">
        <f>IFERROR(VLOOKUP(TableQR[[#This Row],[BARCODES]],ILACLISTE[#All],2,0),"")</f>
        <v/>
      </c>
      <c r="D1040" s="2">
        <f t="shared" si="16"/>
        <v>0</v>
      </c>
      <c r="E1040" s="14" t="str">
        <f>IFERROR(GIZLI!G1035,"")</f>
        <v/>
      </c>
    </row>
    <row r="1041" spans="2:5" x14ac:dyDescent="0.3">
      <c r="B1041" s="2" t="str">
        <f>MID(TableQR[[#This Row],[QR CODES]],4,13)</f>
        <v/>
      </c>
      <c r="C1041" s="2" t="str">
        <f>IFERROR(VLOOKUP(TableQR[[#This Row],[BARCODES]],ILACLISTE[#All],2,0),"")</f>
        <v/>
      </c>
      <c r="D1041" s="2">
        <f t="shared" si="16"/>
        <v>0</v>
      </c>
      <c r="E1041" s="14" t="str">
        <f>IFERROR(GIZLI!G1036,"")</f>
        <v/>
      </c>
    </row>
    <row r="1042" spans="2:5" x14ac:dyDescent="0.3">
      <c r="B1042" s="2" t="str">
        <f>MID(TableQR[[#This Row],[QR CODES]],4,13)</f>
        <v/>
      </c>
      <c r="C1042" s="2" t="str">
        <f>IFERROR(VLOOKUP(TableQR[[#This Row],[BARCODES]],ILACLISTE[#All],2,0),"")</f>
        <v/>
      </c>
      <c r="D1042" s="2">
        <f t="shared" si="16"/>
        <v>0</v>
      </c>
      <c r="E1042" s="14" t="str">
        <f>IFERROR(GIZLI!G1037,"")</f>
        <v/>
      </c>
    </row>
    <row r="1043" spans="2:5" x14ac:dyDescent="0.3">
      <c r="B1043" s="2" t="str">
        <f>MID(TableQR[[#This Row],[QR CODES]],4,13)</f>
        <v/>
      </c>
      <c r="C1043" s="2" t="str">
        <f>IFERROR(VLOOKUP(TableQR[[#This Row],[BARCODES]],ILACLISTE[#All],2,0),"")</f>
        <v/>
      </c>
      <c r="D1043" s="2">
        <f t="shared" si="16"/>
        <v>0</v>
      </c>
      <c r="E1043" s="14" t="str">
        <f>IFERROR(GIZLI!G1038,"")</f>
        <v/>
      </c>
    </row>
    <row r="1044" spans="2:5" x14ac:dyDescent="0.3">
      <c r="B1044" s="2" t="str">
        <f>MID(TableQR[[#This Row],[QR CODES]],4,13)</f>
        <v/>
      </c>
      <c r="C1044" s="2" t="str">
        <f>IFERROR(VLOOKUP(TableQR[[#This Row],[BARCODES]],ILACLISTE[#All],2,0),"")</f>
        <v/>
      </c>
      <c r="D1044" s="2">
        <f t="shared" si="16"/>
        <v>0</v>
      </c>
      <c r="E1044" s="14" t="str">
        <f>IFERROR(GIZLI!G1039,"")</f>
        <v/>
      </c>
    </row>
    <row r="1045" spans="2:5" x14ac:dyDescent="0.3">
      <c r="B1045" s="2" t="str">
        <f>MID(TableQR[[#This Row],[QR CODES]],4,13)</f>
        <v/>
      </c>
      <c r="C1045" s="2" t="str">
        <f>IFERROR(VLOOKUP(TableQR[[#This Row],[BARCODES]],ILACLISTE[#All],2,0),"")</f>
        <v/>
      </c>
      <c r="D1045" s="2">
        <f t="shared" si="16"/>
        <v>0</v>
      </c>
      <c r="E1045" s="14" t="str">
        <f>IFERROR(GIZLI!G1040,"")</f>
        <v/>
      </c>
    </row>
    <row r="1046" spans="2:5" x14ac:dyDescent="0.3">
      <c r="B1046" s="2" t="str">
        <f>MID(TableQR[[#This Row],[QR CODES]],4,13)</f>
        <v/>
      </c>
      <c r="C1046" s="2" t="str">
        <f>IFERROR(VLOOKUP(TableQR[[#This Row],[BARCODES]],ILACLISTE[#All],2,0),"")</f>
        <v/>
      </c>
      <c r="D1046" s="2">
        <f t="shared" si="16"/>
        <v>0</v>
      </c>
      <c r="E1046" s="14" t="str">
        <f>IFERROR(GIZLI!G1041,"")</f>
        <v/>
      </c>
    </row>
    <row r="1047" spans="2:5" x14ac:dyDescent="0.3">
      <c r="B1047" s="2" t="str">
        <f>MID(TableQR[[#This Row],[QR CODES]],4,13)</f>
        <v/>
      </c>
      <c r="C1047" s="2" t="str">
        <f>IFERROR(VLOOKUP(TableQR[[#This Row],[BARCODES]],ILACLISTE[#All],2,0),"")</f>
        <v/>
      </c>
      <c r="D1047" s="2">
        <f t="shared" si="16"/>
        <v>0</v>
      </c>
      <c r="E1047" s="14" t="str">
        <f>IFERROR(GIZLI!G1042,"")</f>
        <v/>
      </c>
    </row>
    <row r="1048" spans="2:5" x14ac:dyDescent="0.3">
      <c r="B1048" s="2" t="str">
        <f>MID(TableQR[[#This Row],[QR CODES]],4,13)</f>
        <v/>
      </c>
      <c r="C1048" s="2" t="str">
        <f>IFERROR(VLOOKUP(TableQR[[#This Row],[BARCODES]],ILACLISTE[#All],2,0),"")</f>
        <v/>
      </c>
      <c r="D1048" s="2">
        <f t="shared" si="16"/>
        <v>0</v>
      </c>
      <c r="E1048" s="14" t="str">
        <f>IFERROR(GIZLI!G1043,"")</f>
        <v/>
      </c>
    </row>
    <row r="1049" spans="2:5" x14ac:dyDescent="0.3">
      <c r="B1049" s="2" t="str">
        <f>MID(TableQR[[#This Row],[QR CODES]],4,13)</f>
        <v/>
      </c>
      <c r="C1049" s="2" t="str">
        <f>IFERROR(VLOOKUP(TableQR[[#This Row],[BARCODES]],ILACLISTE[#All],2,0),"")</f>
        <v/>
      </c>
      <c r="D1049" s="2">
        <f t="shared" si="16"/>
        <v>0</v>
      </c>
      <c r="E1049" s="14" t="str">
        <f>IFERROR(GIZLI!G1044,"")</f>
        <v/>
      </c>
    </row>
    <row r="1050" spans="2:5" x14ac:dyDescent="0.3">
      <c r="B1050" s="2" t="str">
        <f>MID(TableQR[[#This Row],[QR CODES]],4,13)</f>
        <v/>
      </c>
      <c r="C1050" s="2" t="str">
        <f>IFERROR(VLOOKUP(TableQR[[#This Row],[BARCODES]],ILACLISTE[#All],2,0),"")</f>
        <v/>
      </c>
      <c r="D1050" s="2">
        <f t="shared" si="16"/>
        <v>0</v>
      </c>
      <c r="E1050" s="14" t="str">
        <f>IFERROR(GIZLI!G1045,"")</f>
        <v/>
      </c>
    </row>
    <row r="1051" spans="2:5" x14ac:dyDescent="0.3">
      <c r="B1051" s="2" t="str">
        <f>MID(TableQR[[#This Row],[QR CODES]],4,13)</f>
        <v/>
      </c>
      <c r="C1051" s="2" t="str">
        <f>IFERROR(VLOOKUP(TableQR[[#This Row],[BARCODES]],ILACLISTE[#All],2,0),"")</f>
        <v/>
      </c>
      <c r="D1051" s="2">
        <f t="shared" si="16"/>
        <v>0</v>
      </c>
      <c r="E1051" s="14" t="str">
        <f>IFERROR(GIZLI!G1046,"")</f>
        <v/>
      </c>
    </row>
    <row r="1052" spans="2:5" x14ac:dyDescent="0.3">
      <c r="B1052" s="2" t="str">
        <f>MID(TableQR[[#This Row],[QR CODES]],4,13)</f>
        <v/>
      </c>
      <c r="C1052" s="2" t="str">
        <f>IFERROR(VLOOKUP(TableQR[[#This Row],[BARCODES]],ILACLISTE[#All],2,0),"")</f>
        <v/>
      </c>
      <c r="D1052" s="2">
        <f t="shared" si="16"/>
        <v>0</v>
      </c>
      <c r="E1052" s="14" t="str">
        <f>IFERROR(GIZLI!G1047,"")</f>
        <v/>
      </c>
    </row>
    <row r="1053" spans="2:5" x14ac:dyDescent="0.3">
      <c r="B1053" s="2" t="str">
        <f>MID(TableQR[[#This Row],[QR CODES]],4,13)</f>
        <v/>
      </c>
      <c r="C1053" s="2" t="str">
        <f>IFERROR(VLOOKUP(TableQR[[#This Row],[BARCODES]],ILACLISTE[#All],2,0),"")</f>
        <v/>
      </c>
      <c r="D1053" s="2">
        <f t="shared" si="16"/>
        <v>0</v>
      </c>
      <c r="E1053" s="14" t="str">
        <f>IFERROR(GIZLI!G1048,"")</f>
        <v/>
      </c>
    </row>
    <row r="1054" spans="2:5" x14ac:dyDescent="0.3">
      <c r="B1054" s="2" t="str">
        <f>MID(TableQR[[#This Row],[QR CODES]],4,13)</f>
        <v/>
      </c>
      <c r="C1054" s="2" t="str">
        <f>IFERROR(VLOOKUP(TableQR[[#This Row],[BARCODES]],ILACLISTE[#All],2,0),"")</f>
        <v/>
      </c>
      <c r="D1054" s="2">
        <f t="shared" si="16"/>
        <v>0</v>
      </c>
      <c r="E1054" s="14" t="str">
        <f>IFERROR(GIZLI!G1049,"")</f>
        <v/>
      </c>
    </row>
    <row r="1055" spans="2:5" x14ac:dyDescent="0.3">
      <c r="B1055" s="2" t="str">
        <f>MID(TableQR[[#This Row],[QR CODES]],4,13)</f>
        <v/>
      </c>
      <c r="C1055" s="2" t="str">
        <f>IFERROR(VLOOKUP(TableQR[[#This Row],[BARCODES]],ILACLISTE[#All],2,0),"")</f>
        <v/>
      </c>
      <c r="D1055" s="2">
        <f t="shared" si="16"/>
        <v>0</v>
      </c>
      <c r="E1055" s="14" t="str">
        <f>IFERROR(GIZLI!G1050,"")</f>
        <v/>
      </c>
    </row>
    <row r="1056" spans="2:5" x14ac:dyDescent="0.3">
      <c r="B1056" s="2" t="str">
        <f>MID(TableQR[[#This Row],[QR CODES]],4,13)</f>
        <v/>
      </c>
      <c r="C1056" s="2" t="str">
        <f>IFERROR(VLOOKUP(TableQR[[#This Row],[BARCODES]],ILACLISTE[#All],2,0),"")</f>
        <v/>
      </c>
      <c r="D1056" s="2">
        <f t="shared" si="16"/>
        <v>0</v>
      </c>
      <c r="E1056" s="14" t="str">
        <f>IFERROR(GIZLI!G1051,"")</f>
        <v/>
      </c>
    </row>
    <row r="1057" spans="2:5" x14ac:dyDescent="0.3">
      <c r="B1057" s="2" t="str">
        <f>MID(TableQR[[#This Row],[QR CODES]],4,13)</f>
        <v/>
      </c>
      <c r="C1057" s="2" t="str">
        <f>IFERROR(VLOOKUP(TableQR[[#This Row],[BARCODES]],ILACLISTE[#All],2,0),"")</f>
        <v/>
      </c>
      <c r="D1057" s="2">
        <f t="shared" si="16"/>
        <v>0</v>
      </c>
      <c r="E1057" s="14" t="str">
        <f>IFERROR(GIZLI!G1052,"")</f>
        <v/>
      </c>
    </row>
    <row r="1058" spans="2:5" x14ac:dyDescent="0.3">
      <c r="B1058" s="2" t="str">
        <f>MID(TableQR[[#This Row],[QR CODES]],4,13)</f>
        <v/>
      </c>
      <c r="C1058" s="2" t="str">
        <f>IFERROR(VLOOKUP(TableQR[[#This Row],[BARCODES]],ILACLISTE[#All],2,0),"")</f>
        <v/>
      </c>
      <c r="D1058" s="2">
        <f t="shared" si="16"/>
        <v>0</v>
      </c>
      <c r="E1058" s="14" t="str">
        <f>IFERROR(GIZLI!G1053,"")</f>
        <v/>
      </c>
    </row>
    <row r="1059" spans="2:5" x14ac:dyDescent="0.3">
      <c r="B1059" s="2" t="str">
        <f>MID(TableQR[[#This Row],[QR CODES]],4,13)</f>
        <v/>
      </c>
      <c r="C1059" s="2" t="str">
        <f>IFERROR(VLOOKUP(TableQR[[#This Row],[BARCODES]],ILACLISTE[#All],2,0),"")</f>
        <v/>
      </c>
      <c r="D1059" s="2">
        <f t="shared" si="16"/>
        <v>0</v>
      </c>
      <c r="E1059" s="14" t="str">
        <f>IFERROR(GIZLI!G1054,"")</f>
        <v/>
      </c>
    </row>
    <row r="1060" spans="2:5" x14ac:dyDescent="0.3">
      <c r="B1060" s="2" t="str">
        <f>MID(TableQR[[#This Row],[QR CODES]],4,13)</f>
        <v/>
      </c>
      <c r="C1060" s="2" t="str">
        <f>IFERROR(VLOOKUP(TableQR[[#This Row],[BARCODES]],ILACLISTE[#All],2,0),"")</f>
        <v/>
      </c>
      <c r="D1060" s="2">
        <f t="shared" si="16"/>
        <v>0</v>
      </c>
      <c r="E1060" s="14" t="str">
        <f>IFERROR(GIZLI!G1055,"")</f>
        <v/>
      </c>
    </row>
    <row r="1061" spans="2:5" x14ac:dyDescent="0.3">
      <c r="B1061" s="2" t="str">
        <f>MID(TableQR[[#This Row],[QR CODES]],4,13)</f>
        <v/>
      </c>
      <c r="C1061" s="2" t="str">
        <f>IFERROR(VLOOKUP(TableQR[[#This Row],[BARCODES]],ILACLISTE[#All],2,0),"")</f>
        <v/>
      </c>
      <c r="D1061" s="2">
        <f t="shared" si="16"/>
        <v>0</v>
      </c>
      <c r="E1061" s="14" t="str">
        <f>IFERROR(GIZLI!G1056,"")</f>
        <v/>
      </c>
    </row>
    <row r="1062" spans="2:5" x14ac:dyDescent="0.3">
      <c r="B1062" s="2" t="str">
        <f>MID(TableQR[[#This Row],[QR CODES]],4,13)</f>
        <v/>
      </c>
      <c r="C1062" s="2" t="str">
        <f>IFERROR(VLOOKUP(TableQR[[#This Row],[BARCODES]],ILACLISTE[#All],2,0),"")</f>
        <v/>
      </c>
      <c r="D1062" s="2">
        <f t="shared" si="16"/>
        <v>0</v>
      </c>
      <c r="E1062" s="14" t="str">
        <f>IFERROR(GIZLI!G1057,"")</f>
        <v/>
      </c>
    </row>
    <row r="1063" spans="2:5" x14ac:dyDescent="0.3">
      <c r="B1063" s="2" t="str">
        <f>MID(TableQR[[#This Row],[QR CODES]],4,13)</f>
        <v/>
      </c>
      <c r="C1063" s="2" t="str">
        <f>IFERROR(VLOOKUP(TableQR[[#This Row],[BARCODES]],ILACLISTE[#All],2,0),"")</f>
        <v/>
      </c>
      <c r="D1063" s="2">
        <f t="shared" si="16"/>
        <v>0</v>
      </c>
      <c r="E1063" s="14" t="str">
        <f>IFERROR(GIZLI!G1058,"")</f>
        <v/>
      </c>
    </row>
    <row r="1064" spans="2:5" x14ac:dyDescent="0.3">
      <c r="B1064" s="2" t="str">
        <f>MID(TableQR[[#This Row],[QR CODES]],4,13)</f>
        <v/>
      </c>
      <c r="C1064" s="2" t="str">
        <f>IFERROR(VLOOKUP(TableQR[[#This Row],[BARCODES]],ILACLISTE[#All],2,0),"")</f>
        <v/>
      </c>
      <c r="D1064" s="2">
        <f t="shared" si="16"/>
        <v>0</v>
      </c>
      <c r="E1064" s="14" t="str">
        <f>IFERROR(GIZLI!G1059,"")</f>
        <v/>
      </c>
    </row>
    <row r="1065" spans="2:5" x14ac:dyDescent="0.3">
      <c r="B1065" s="2" t="str">
        <f>MID(TableQR[[#This Row],[QR CODES]],4,13)</f>
        <v/>
      </c>
      <c r="C1065" s="2" t="str">
        <f>IFERROR(VLOOKUP(TableQR[[#This Row],[BARCODES]],ILACLISTE[#All],2,0),"")</f>
        <v/>
      </c>
      <c r="D1065" s="2">
        <f t="shared" si="16"/>
        <v>0</v>
      </c>
      <c r="E1065" s="14" t="str">
        <f>IFERROR(GIZLI!G1060,"")</f>
        <v/>
      </c>
    </row>
    <row r="1066" spans="2:5" x14ac:dyDescent="0.3">
      <c r="B1066" s="2" t="str">
        <f>MID(TableQR[[#This Row],[QR CODES]],4,13)</f>
        <v/>
      </c>
      <c r="C1066" s="2" t="str">
        <f>IFERROR(VLOOKUP(TableQR[[#This Row],[BARCODES]],ILACLISTE[#All],2,0),"")</f>
        <v/>
      </c>
      <c r="D1066" s="2">
        <f t="shared" si="16"/>
        <v>0</v>
      </c>
      <c r="E1066" s="14" t="str">
        <f>IFERROR(GIZLI!G1061,"")</f>
        <v/>
      </c>
    </row>
    <row r="1067" spans="2:5" x14ac:dyDescent="0.3">
      <c r="B1067" s="2" t="str">
        <f>MID(TableQR[[#This Row],[QR CODES]],4,13)</f>
        <v/>
      </c>
      <c r="C1067" s="2" t="str">
        <f>IFERROR(VLOOKUP(TableQR[[#This Row],[BARCODES]],ILACLISTE[#All],2,0),"")</f>
        <v/>
      </c>
      <c r="D1067" s="2">
        <f t="shared" si="16"/>
        <v>0</v>
      </c>
      <c r="E1067" s="14" t="str">
        <f>IFERROR(GIZLI!G1062,"")</f>
        <v/>
      </c>
    </row>
    <row r="1068" spans="2:5" x14ac:dyDescent="0.3">
      <c r="B1068" s="2" t="str">
        <f>MID(TableQR[[#This Row],[QR CODES]],4,13)</f>
        <v/>
      </c>
      <c r="C1068" s="2" t="str">
        <f>IFERROR(VLOOKUP(TableQR[[#This Row],[BARCODES]],ILACLISTE[#All],2,0),"")</f>
        <v/>
      </c>
      <c r="D1068" s="2">
        <f t="shared" si="16"/>
        <v>0</v>
      </c>
      <c r="E1068" s="14" t="str">
        <f>IFERROR(GIZLI!G1063,"")</f>
        <v/>
      </c>
    </row>
    <row r="1069" spans="2:5" x14ac:dyDescent="0.3">
      <c r="B1069" s="2" t="str">
        <f>MID(TableQR[[#This Row],[QR CODES]],4,13)</f>
        <v/>
      </c>
      <c r="C1069" s="2" t="str">
        <f>IFERROR(VLOOKUP(TableQR[[#This Row],[BARCODES]],ILACLISTE[#All],2,0),"")</f>
        <v/>
      </c>
      <c r="D1069" s="2">
        <f t="shared" si="16"/>
        <v>0</v>
      </c>
      <c r="E1069" s="14" t="str">
        <f>IFERROR(GIZLI!G1064,"")</f>
        <v/>
      </c>
    </row>
    <row r="1070" spans="2:5" x14ac:dyDescent="0.3">
      <c r="B1070" s="2" t="str">
        <f>MID(TableQR[[#This Row],[QR CODES]],4,13)</f>
        <v/>
      </c>
      <c r="C1070" s="2" t="str">
        <f>IFERROR(VLOOKUP(TableQR[[#This Row],[BARCODES]],ILACLISTE[#All],2,0),"")</f>
        <v/>
      </c>
      <c r="D1070" s="2">
        <f t="shared" si="16"/>
        <v>0</v>
      </c>
      <c r="E1070" s="14" t="str">
        <f>IFERROR(GIZLI!G1065,"")</f>
        <v/>
      </c>
    </row>
    <row r="1071" spans="2:5" x14ac:dyDescent="0.3">
      <c r="B1071" s="2" t="str">
        <f>MID(TableQR[[#This Row],[QR CODES]],4,13)</f>
        <v/>
      </c>
      <c r="C1071" s="2" t="str">
        <f>IFERROR(VLOOKUP(TableQR[[#This Row],[BARCODES]],ILACLISTE[#All],2,0),"")</f>
        <v/>
      </c>
      <c r="D1071" s="2">
        <f t="shared" si="16"/>
        <v>0</v>
      </c>
      <c r="E1071" s="14" t="str">
        <f>IFERROR(GIZLI!G1066,"")</f>
        <v/>
      </c>
    </row>
    <row r="1072" spans="2:5" x14ac:dyDescent="0.3">
      <c r="B1072" s="2" t="str">
        <f>MID(TableQR[[#This Row],[QR CODES]],4,13)</f>
        <v/>
      </c>
      <c r="C1072" s="2" t="str">
        <f>IFERROR(VLOOKUP(TableQR[[#This Row],[BARCODES]],ILACLISTE[#All],2,0),"")</f>
        <v/>
      </c>
      <c r="D1072" s="2">
        <f t="shared" si="16"/>
        <v>0</v>
      </c>
      <c r="E1072" s="14" t="str">
        <f>IFERROR(GIZLI!G1067,"")</f>
        <v/>
      </c>
    </row>
    <row r="1073" spans="2:5" x14ac:dyDescent="0.3">
      <c r="B1073" s="2" t="str">
        <f>MID(TableQR[[#This Row],[QR CODES]],4,13)</f>
        <v/>
      </c>
      <c r="C1073" s="2" t="str">
        <f>IFERROR(VLOOKUP(TableQR[[#This Row],[BARCODES]],ILACLISTE[#All],2,0),"")</f>
        <v/>
      </c>
      <c r="D1073" s="2">
        <f t="shared" si="16"/>
        <v>0</v>
      </c>
      <c r="E1073" s="14" t="str">
        <f>IFERROR(GIZLI!G1068,"")</f>
        <v/>
      </c>
    </row>
    <row r="1074" spans="2:5" x14ac:dyDescent="0.3">
      <c r="B1074" s="2" t="str">
        <f>MID(TableQR[[#This Row],[QR CODES]],4,13)</f>
        <v/>
      </c>
      <c r="C1074" s="2" t="str">
        <f>IFERROR(VLOOKUP(TableQR[[#This Row],[BARCODES]],ILACLISTE[#All],2,0),"")</f>
        <v/>
      </c>
      <c r="D1074" s="2">
        <f t="shared" si="16"/>
        <v>0</v>
      </c>
      <c r="E1074" s="14" t="str">
        <f>IFERROR(GIZLI!G1069,"")</f>
        <v/>
      </c>
    </row>
    <row r="1075" spans="2:5" x14ac:dyDescent="0.3">
      <c r="B1075" s="2" t="str">
        <f>MID(TableQR[[#This Row],[QR CODES]],4,13)</f>
        <v/>
      </c>
      <c r="C1075" s="2" t="str">
        <f>IFERROR(VLOOKUP(TableQR[[#This Row],[BARCODES]],ILACLISTE[#All],2,0),"")</f>
        <v/>
      </c>
      <c r="D1075" s="2">
        <f t="shared" si="16"/>
        <v>0</v>
      </c>
      <c r="E1075" s="14" t="str">
        <f>IFERROR(GIZLI!G1070,"")</f>
        <v/>
      </c>
    </row>
    <row r="1076" spans="2:5" x14ac:dyDescent="0.3">
      <c r="B1076" s="2" t="str">
        <f>MID(TableQR[[#This Row],[QR CODES]],4,13)</f>
        <v/>
      </c>
      <c r="C1076" s="2" t="str">
        <f>IFERROR(VLOOKUP(TableQR[[#This Row],[BARCODES]],ILACLISTE[#All],2,0),"")</f>
        <v/>
      </c>
      <c r="D1076" s="2">
        <f t="shared" si="16"/>
        <v>0</v>
      </c>
      <c r="E1076" s="14" t="str">
        <f>IFERROR(GIZLI!G1071,"")</f>
        <v/>
      </c>
    </row>
    <row r="1077" spans="2:5" x14ac:dyDescent="0.3">
      <c r="B1077" s="2" t="str">
        <f>MID(TableQR[[#This Row],[QR CODES]],4,13)</f>
        <v/>
      </c>
      <c r="C1077" s="2" t="str">
        <f>IFERROR(VLOOKUP(TableQR[[#This Row],[BARCODES]],ILACLISTE[#All],2,0),"")</f>
        <v/>
      </c>
      <c r="D1077" s="2">
        <f t="shared" si="16"/>
        <v>0</v>
      </c>
      <c r="E1077" s="14" t="str">
        <f>IFERROR(GIZLI!G1072,"")</f>
        <v/>
      </c>
    </row>
    <row r="1078" spans="2:5" x14ac:dyDescent="0.3">
      <c r="B1078" s="2" t="str">
        <f>MID(TableQR[[#This Row],[QR CODES]],4,13)</f>
        <v/>
      </c>
      <c r="C1078" s="2" t="str">
        <f>IFERROR(VLOOKUP(TableQR[[#This Row],[BARCODES]],ILACLISTE[#All],2,0),"")</f>
        <v/>
      </c>
      <c r="D1078" s="2">
        <f t="shared" si="16"/>
        <v>0</v>
      </c>
      <c r="E1078" s="14" t="str">
        <f>IFERROR(GIZLI!G1073,"")</f>
        <v/>
      </c>
    </row>
    <row r="1079" spans="2:5" x14ac:dyDescent="0.3">
      <c r="B1079" s="2" t="str">
        <f>MID(TableQR[[#This Row],[QR CODES]],4,13)</f>
        <v/>
      </c>
      <c r="C1079" s="2" t="str">
        <f>IFERROR(VLOOKUP(TableQR[[#This Row],[BARCODES]],ILACLISTE[#All],2,0),"")</f>
        <v/>
      </c>
      <c r="D1079" s="2">
        <f t="shared" si="16"/>
        <v>0</v>
      </c>
      <c r="E1079" s="14" t="str">
        <f>IFERROR(GIZLI!G1074,"")</f>
        <v/>
      </c>
    </row>
    <row r="1080" spans="2:5" x14ac:dyDescent="0.3">
      <c r="B1080" s="2" t="str">
        <f>MID(TableQR[[#This Row],[QR CODES]],4,13)</f>
        <v/>
      </c>
      <c r="C1080" s="2" t="str">
        <f>IFERROR(VLOOKUP(TableQR[[#This Row],[BARCODES]],ILACLISTE[#All],2,0),"")</f>
        <v/>
      </c>
      <c r="D1080" s="2">
        <f t="shared" si="16"/>
        <v>0</v>
      </c>
      <c r="E1080" s="14" t="str">
        <f>IFERROR(GIZLI!G1075,"")</f>
        <v/>
      </c>
    </row>
    <row r="1081" spans="2:5" x14ac:dyDescent="0.3">
      <c r="B1081" s="2" t="str">
        <f>MID(TableQR[[#This Row],[QR CODES]],4,13)</f>
        <v/>
      </c>
      <c r="C1081" s="2" t="str">
        <f>IFERROR(VLOOKUP(TableQR[[#This Row],[BARCODES]],ILACLISTE[#All],2,0),"")</f>
        <v/>
      </c>
      <c r="D1081" s="2">
        <f t="shared" si="16"/>
        <v>0</v>
      </c>
      <c r="E1081" s="14" t="str">
        <f>IFERROR(GIZLI!G1076,"")</f>
        <v/>
      </c>
    </row>
    <row r="1082" spans="2:5" x14ac:dyDescent="0.3">
      <c r="B1082" s="2" t="str">
        <f>MID(TableQR[[#This Row],[QR CODES]],4,13)</f>
        <v/>
      </c>
      <c r="C1082" s="2" t="str">
        <f>IFERROR(VLOOKUP(TableQR[[#This Row],[BARCODES]],ILACLISTE[#All],2,0),"")</f>
        <v/>
      </c>
      <c r="D1082" s="2">
        <f t="shared" si="16"/>
        <v>0</v>
      </c>
      <c r="E1082" s="14" t="str">
        <f>IFERROR(GIZLI!G1077,"")</f>
        <v/>
      </c>
    </row>
    <row r="1083" spans="2:5" x14ac:dyDescent="0.3">
      <c r="B1083" s="2" t="str">
        <f>MID(TableQR[[#This Row],[QR CODES]],4,13)</f>
        <v/>
      </c>
      <c r="C1083" s="2" t="str">
        <f>IFERROR(VLOOKUP(TableQR[[#This Row],[BARCODES]],ILACLISTE[#All],2,0),"")</f>
        <v/>
      </c>
      <c r="D1083" s="2">
        <f t="shared" si="16"/>
        <v>0</v>
      </c>
      <c r="E1083" s="14" t="str">
        <f>IFERROR(GIZLI!G1078,"")</f>
        <v/>
      </c>
    </row>
    <row r="1084" spans="2:5" x14ac:dyDescent="0.3">
      <c r="B1084" s="2" t="str">
        <f>MID(TableQR[[#This Row],[QR CODES]],4,13)</f>
        <v/>
      </c>
      <c r="C1084" s="2" t="str">
        <f>IFERROR(VLOOKUP(TableQR[[#This Row],[BARCODES]],ILACLISTE[#All],2,0),"")</f>
        <v/>
      </c>
      <c r="D1084" s="2">
        <f t="shared" si="16"/>
        <v>0</v>
      </c>
      <c r="E1084" s="14" t="str">
        <f>IFERROR(GIZLI!G1079,"")</f>
        <v/>
      </c>
    </row>
    <row r="1085" spans="2:5" x14ac:dyDescent="0.3">
      <c r="B1085" s="2" t="str">
        <f>MID(TableQR[[#This Row],[QR CODES]],4,13)</f>
        <v/>
      </c>
      <c r="C1085" s="2" t="str">
        <f>IFERROR(VLOOKUP(TableQR[[#This Row],[BARCODES]],ILACLISTE[#All],2,0),"")</f>
        <v/>
      </c>
      <c r="D1085" s="2">
        <f t="shared" si="16"/>
        <v>0</v>
      </c>
      <c r="E1085" s="14" t="str">
        <f>IFERROR(GIZLI!G1080,"")</f>
        <v/>
      </c>
    </row>
    <row r="1086" spans="2:5" x14ac:dyDescent="0.3">
      <c r="B1086" s="2" t="str">
        <f>MID(TableQR[[#This Row],[QR CODES]],4,13)</f>
        <v/>
      </c>
      <c r="C1086" s="2" t="str">
        <f>IFERROR(VLOOKUP(TableQR[[#This Row],[BARCODES]],ILACLISTE[#All],2,0),"")</f>
        <v/>
      </c>
      <c r="D1086" s="2">
        <f t="shared" si="16"/>
        <v>0</v>
      </c>
      <c r="E1086" s="14" t="str">
        <f>IFERROR(GIZLI!G1081,"")</f>
        <v/>
      </c>
    </row>
    <row r="1087" spans="2:5" x14ac:dyDescent="0.3">
      <c r="B1087" s="2" t="str">
        <f>MID(TableQR[[#This Row],[QR CODES]],4,13)</f>
        <v/>
      </c>
      <c r="C1087" s="2" t="str">
        <f>IFERROR(VLOOKUP(TableQR[[#This Row],[BARCODES]],ILACLISTE[#All],2,0),"")</f>
        <v/>
      </c>
      <c r="D1087" s="2">
        <f t="shared" si="16"/>
        <v>0</v>
      </c>
      <c r="E1087" s="14" t="str">
        <f>IFERROR(GIZLI!G1082,"")</f>
        <v/>
      </c>
    </row>
    <row r="1088" spans="2:5" x14ac:dyDescent="0.3">
      <c r="B1088" s="2" t="str">
        <f>MID(TableQR[[#This Row],[QR CODES]],4,13)</f>
        <v/>
      </c>
      <c r="C1088" s="2" t="str">
        <f>IFERROR(VLOOKUP(TableQR[[#This Row],[BARCODES]],ILACLISTE[#All],2,0),"")</f>
        <v/>
      </c>
      <c r="D1088" s="2">
        <f t="shared" si="16"/>
        <v>0</v>
      </c>
      <c r="E1088" s="14" t="str">
        <f>IFERROR(GIZLI!G1083,"")</f>
        <v/>
      </c>
    </row>
    <row r="1089" spans="2:5" x14ac:dyDescent="0.3">
      <c r="B1089" s="2" t="str">
        <f>MID(TableQR[[#This Row],[QR CODES]],4,13)</f>
        <v/>
      </c>
      <c r="C1089" s="2" t="str">
        <f>IFERROR(VLOOKUP(TableQR[[#This Row],[BARCODES]],ILACLISTE[#All],2,0),"")</f>
        <v/>
      </c>
      <c r="D1089" s="2">
        <f t="shared" si="16"/>
        <v>0</v>
      </c>
      <c r="E1089" s="14" t="str">
        <f>IFERROR(GIZLI!G1084,"")</f>
        <v/>
      </c>
    </row>
    <row r="1090" spans="2:5" x14ac:dyDescent="0.3">
      <c r="B1090" s="2" t="str">
        <f>MID(TableQR[[#This Row],[QR CODES]],4,13)</f>
        <v/>
      </c>
      <c r="C1090" s="2" t="str">
        <f>IFERROR(VLOOKUP(TableQR[[#This Row],[BARCODES]],ILACLISTE[#All],2,0),"")</f>
        <v/>
      </c>
      <c r="D1090" s="2">
        <f t="shared" si="16"/>
        <v>0</v>
      </c>
      <c r="E1090" s="14" t="str">
        <f>IFERROR(GIZLI!G1085,"")</f>
        <v/>
      </c>
    </row>
    <row r="1091" spans="2:5" x14ac:dyDescent="0.3">
      <c r="B1091" s="2" t="str">
        <f>MID(TableQR[[#This Row],[QR CODES]],4,13)</f>
        <v/>
      </c>
      <c r="C1091" s="2" t="str">
        <f>IFERROR(VLOOKUP(TableQR[[#This Row],[BARCODES]],ILACLISTE[#All],2,0),"")</f>
        <v/>
      </c>
      <c r="D1091" s="2">
        <f t="shared" si="16"/>
        <v>0</v>
      </c>
      <c r="E1091" s="14" t="str">
        <f>IFERROR(GIZLI!G1086,"")</f>
        <v/>
      </c>
    </row>
    <row r="1092" spans="2:5" x14ac:dyDescent="0.3">
      <c r="B1092" s="2" t="str">
        <f>MID(TableQR[[#This Row],[QR CODES]],4,13)</f>
        <v/>
      </c>
      <c r="C1092" s="2" t="str">
        <f>IFERROR(VLOOKUP(TableQR[[#This Row],[BARCODES]],ILACLISTE[#All],2,0),"")</f>
        <v/>
      </c>
      <c r="D1092" s="2">
        <f t="shared" si="16"/>
        <v>0</v>
      </c>
      <c r="E1092" s="14" t="str">
        <f>IFERROR(GIZLI!G1087,"")</f>
        <v/>
      </c>
    </row>
    <row r="1093" spans="2:5" x14ac:dyDescent="0.3">
      <c r="B1093" s="2" t="str">
        <f>MID(TableQR[[#This Row],[QR CODES]],4,13)</f>
        <v/>
      </c>
      <c r="C1093" s="2" t="str">
        <f>IFERROR(VLOOKUP(TableQR[[#This Row],[BARCODES]],ILACLISTE[#All],2,0),"")</f>
        <v/>
      </c>
      <c r="D1093" s="2">
        <f t="shared" si="16"/>
        <v>0</v>
      </c>
      <c r="E1093" s="14" t="str">
        <f>IFERROR(GIZLI!G1088,"")</f>
        <v/>
      </c>
    </row>
    <row r="1094" spans="2:5" x14ac:dyDescent="0.3">
      <c r="B1094" s="2" t="str">
        <f>MID(TableQR[[#This Row],[QR CODES]],4,13)</f>
        <v/>
      </c>
      <c r="C1094" s="2" t="str">
        <f>IFERROR(VLOOKUP(TableQR[[#This Row],[BARCODES]],ILACLISTE[#All],2,0),"")</f>
        <v/>
      </c>
      <c r="D1094" s="2">
        <f t="shared" si="16"/>
        <v>0</v>
      </c>
      <c r="E1094" s="14" t="str">
        <f>IFERROR(GIZLI!G1089,"")</f>
        <v/>
      </c>
    </row>
    <row r="1095" spans="2:5" x14ac:dyDescent="0.3">
      <c r="B1095" s="2" t="str">
        <f>MID(TableQR[[#This Row],[QR CODES]],4,13)</f>
        <v/>
      </c>
      <c r="C1095" s="2" t="str">
        <f>IFERROR(VLOOKUP(TableQR[[#This Row],[BARCODES]],ILACLISTE[#All],2,0),"")</f>
        <v/>
      </c>
      <c r="D1095" s="2">
        <f t="shared" si="16"/>
        <v>0</v>
      </c>
      <c r="E1095" s="14" t="str">
        <f>IFERROR(GIZLI!G1090,"")</f>
        <v/>
      </c>
    </row>
    <row r="1096" spans="2:5" x14ac:dyDescent="0.3">
      <c r="B1096" s="2" t="str">
        <f>MID(TableQR[[#This Row],[QR CODES]],4,13)</f>
        <v/>
      </c>
      <c r="C1096" s="2" t="str">
        <f>IFERROR(VLOOKUP(TableQR[[#This Row],[BARCODES]],ILACLISTE[#All],2,0),"")</f>
        <v/>
      </c>
      <c r="D1096" s="2">
        <f t="shared" ref="D1096:D1159" si="17">COUNTIF(B1096:B5089,IF(B1096="",66666,B1096))</f>
        <v>0</v>
      </c>
      <c r="E1096" s="14" t="str">
        <f>IFERROR(GIZLI!G1091,"")</f>
        <v/>
      </c>
    </row>
    <row r="1097" spans="2:5" x14ac:dyDescent="0.3">
      <c r="B1097" s="2" t="str">
        <f>MID(TableQR[[#This Row],[QR CODES]],4,13)</f>
        <v/>
      </c>
      <c r="C1097" s="2" t="str">
        <f>IFERROR(VLOOKUP(TableQR[[#This Row],[BARCODES]],ILACLISTE[#All],2,0),"")</f>
        <v/>
      </c>
      <c r="D1097" s="2">
        <f t="shared" si="17"/>
        <v>0</v>
      </c>
      <c r="E1097" s="14" t="str">
        <f>IFERROR(GIZLI!G1092,"")</f>
        <v/>
      </c>
    </row>
    <row r="1098" spans="2:5" x14ac:dyDescent="0.3">
      <c r="B1098" s="2" t="str">
        <f>MID(TableQR[[#This Row],[QR CODES]],4,13)</f>
        <v/>
      </c>
      <c r="C1098" s="2" t="str">
        <f>IFERROR(VLOOKUP(TableQR[[#This Row],[BARCODES]],ILACLISTE[#All],2,0),"")</f>
        <v/>
      </c>
      <c r="D1098" s="2">
        <f t="shared" si="17"/>
        <v>0</v>
      </c>
      <c r="E1098" s="14" t="str">
        <f>IFERROR(GIZLI!G1093,"")</f>
        <v/>
      </c>
    </row>
    <row r="1099" spans="2:5" x14ac:dyDescent="0.3">
      <c r="B1099" s="2" t="str">
        <f>MID(TableQR[[#This Row],[QR CODES]],4,13)</f>
        <v/>
      </c>
      <c r="C1099" s="2" t="str">
        <f>IFERROR(VLOOKUP(TableQR[[#This Row],[BARCODES]],ILACLISTE[#All],2,0),"")</f>
        <v/>
      </c>
      <c r="D1099" s="2">
        <f t="shared" si="17"/>
        <v>0</v>
      </c>
      <c r="E1099" s="14" t="str">
        <f>IFERROR(GIZLI!G1094,"")</f>
        <v/>
      </c>
    </row>
    <row r="1100" spans="2:5" x14ac:dyDescent="0.3">
      <c r="B1100" s="2" t="str">
        <f>MID(TableQR[[#This Row],[QR CODES]],4,13)</f>
        <v/>
      </c>
      <c r="C1100" s="2" t="str">
        <f>IFERROR(VLOOKUP(TableQR[[#This Row],[BARCODES]],ILACLISTE[#All],2,0),"")</f>
        <v/>
      </c>
      <c r="D1100" s="2">
        <f t="shared" si="17"/>
        <v>0</v>
      </c>
      <c r="E1100" s="14" t="str">
        <f>IFERROR(GIZLI!G1095,"")</f>
        <v/>
      </c>
    </row>
    <row r="1101" spans="2:5" x14ac:dyDescent="0.3">
      <c r="B1101" s="2" t="str">
        <f>MID(TableQR[[#This Row],[QR CODES]],4,13)</f>
        <v/>
      </c>
      <c r="C1101" s="2" t="str">
        <f>IFERROR(VLOOKUP(TableQR[[#This Row],[BARCODES]],ILACLISTE[#All],2,0),"")</f>
        <v/>
      </c>
      <c r="D1101" s="2">
        <f t="shared" si="17"/>
        <v>0</v>
      </c>
      <c r="E1101" s="14" t="str">
        <f>IFERROR(GIZLI!G1096,"")</f>
        <v/>
      </c>
    </row>
    <row r="1102" spans="2:5" x14ac:dyDescent="0.3">
      <c r="B1102" s="2" t="str">
        <f>MID(TableQR[[#This Row],[QR CODES]],4,13)</f>
        <v/>
      </c>
      <c r="C1102" s="2" t="str">
        <f>IFERROR(VLOOKUP(TableQR[[#This Row],[BARCODES]],ILACLISTE[#All],2,0),"")</f>
        <v/>
      </c>
      <c r="D1102" s="2">
        <f t="shared" si="17"/>
        <v>0</v>
      </c>
      <c r="E1102" s="14" t="str">
        <f>IFERROR(GIZLI!G1097,"")</f>
        <v/>
      </c>
    </row>
    <row r="1103" spans="2:5" x14ac:dyDescent="0.3">
      <c r="B1103" s="2" t="str">
        <f>MID(TableQR[[#This Row],[QR CODES]],4,13)</f>
        <v/>
      </c>
      <c r="C1103" s="2" t="str">
        <f>IFERROR(VLOOKUP(TableQR[[#This Row],[BARCODES]],ILACLISTE[#All],2,0),"")</f>
        <v/>
      </c>
      <c r="D1103" s="2">
        <f t="shared" si="17"/>
        <v>0</v>
      </c>
      <c r="E1103" s="14" t="str">
        <f>IFERROR(GIZLI!G1098,"")</f>
        <v/>
      </c>
    </row>
    <row r="1104" spans="2:5" x14ac:dyDescent="0.3">
      <c r="B1104" s="2" t="str">
        <f>MID(TableQR[[#This Row],[QR CODES]],4,13)</f>
        <v/>
      </c>
      <c r="C1104" s="2" t="str">
        <f>IFERROR(VLOOKUP(TableQR[[#This Row],[BARCODES]],ILACLISTE[#All],2,0),"")</f>
        <v/>
      </c>
      <c r="D1104" s="2">
        <f t="shared" si="17"/>
        <v>0</v>
      </c>
      <c r="E1104" s="14" t="str">
        <f>IFERROR(GIZLI!G1099,"")</f>
        <v/>
      </c>
    </row>
    <row r="1105" spans="2:5" x14ac:dyDescent="0.3">
      <c r="B1105" s="2" t="str">
        <f>MID(TableQR[[#This Row],[QR CODES]],4,13)</f>
        <v/>
      </c>
      <c r="C1105" s="2" t="str">
        <f>IFERROR(VLOOKUP(TableQR[[#This Row],[BARCODES]],ILACLISTE[#All],2,0),"")</f>
        <v/>
      </c>
      <c r="D1105" s="2">
        <f t="shared" si="17"/>
        <v>0</v>
      </c>
      <c r="E1105" s="14" t="str">
        <f>IFERROR(GIZLI!G1100,"")</f>
        <v/>
      </c>
    </row>
    <row r="1106" spans="2:5" x14ac:dyDescent="0.3">
      <c r="B1106" s="2" t="str">
        <f>MID(TableQR[[#This Row],[QR CODES]],4,13)</f>
        <v/>
      </c>
      <c r="C1106" s="2" t="str">
        <f>IFERROR(VLOOKUP(TableQR[[#This Row],[BARCODES]],ILACLISTE[#All],2,0),"")</f>
        <v/>
      </c>
      <c r="D1106" s="2">
        <f t="shared" si="17"/>
        <v>0</v>
      </c>
      <c r="E1106" s="14" t="str">
        <f>IFERROR(GIZLI!G1101,"")</f>
        <v/>
      </c>
    </row>
    <row r="1107" spans="2:5" x14ac:dyDescent="0.3">
      <c r="B1107" s="2" t="str">
        <f>MID(TableQR[[#This Row],[QR CODES]],4,13)</f>
        <v/>
      </c>
      <c r="C1107" s="2" t="str">
        <f>IFERROR(VLOOKUP(TableQR[[#This Row],[BARCODES]],ILACLISTE[#All],2,0),"")</f>
        <v/>
      </c>
      <c r="D1107" s="2">
        <f t="shared" si="17"/>
        <v>0</v>
      </c>
      <c r="E1107" s="14" t="str">
        <f>IFERROR(GIZLI!G1102,"")</f>
        <v/>
      </c>
    </row>
    <row r="1108" spans="2:5" x14ac:dyDescent="0.3">
      <c r="B1108" s="2" t="str">
        <f>MID(TableQR[[#This Row],[QR CODES]],4,13)</f>
        <v/>
      </c>
      <c r="C1108" s="2" t="str">
        <f>IFERROR(VLOOKUP(TableQR[[#This Row],[BARCODES]],ILACLISTE[#All],2,0),"")</f>
        <v/>
      </c>
      <c r="D1108" s="2">
        <f t="shared" si="17"/>
        <v>0</v>
      </c>
      <c r="E1108" s="14" t="str">
        <f>IFERROR(GIZLI!G1103,"")</f>
        <v/>
      </c>
    </row>
    <row r="1109" spans="2:5" x14ac:dyDescent="0.3">
      <c r="B1109" s="2" t="str">
        <f>MID(TableQR[[#This Row],[QR CODES]],4,13)</f>
        <v/>
      </c>
      <c r="C1109" s="2" t="str">
        <f>IFERROR(VLOOKUP(TableQR[[#This Row],[BARCODES]],ILACLISTE[#All],2,0),"")</f>
        <v/>
      </c>
      <c r="D1109" s="2">
        <f t="shared" si="17"/>
        <v>0</v>
      </c>
      <c r="E1109" s="14" t="str">
        <f>IFERROR(GIZLI!G1104,"")</f>
        <v/>
      </c>
    </row>
    <row r="1110" spans="2:5" x14ac:dyDescent="0.3">
      <c r="B1110" s="2" t="str">
        <f>MID(TableQR[[#This Row],[QR CODES]],4,13)</f>
        <v/>
      </c>
      <c r="C1110" s="2" t="str">
        <f>IFERROR(VLOOKUP(TableQR[[#This Row],[BARCODES]],ILACLISTE[#All],2,0),"")</f>
        <v/>
      </c>
      <c r="D1110" s="2">
        <f t="shared" si="17"/>
        <v>0</v>
      </c>
      <c r="E1110" s="14" t="str">
        <f>IFERROR(GIZLI!G1105,"")</f>
        <v/>
      </c>
    </row>
    <row r="1111" spans="2:5" x14ac:dyDescent="0.3">
      <c r="B1111" s="2" t="str">
        <f>MID(TableQR[[#This Row],[QR CODES]],4,13)</f>
        <v/>
      </c>
      <c r="C1111" s="2" t="str">
        <f>IFERROR(VLOOKUP(TableQR[[#This Row],[BARCODES]],ILACLISTE[#All],2,0),"")</f>
        <v/>
      </c>
      <c r="D1111" s="2">
        <f t="shared" si="17"/>
        <v>0</v>
      </c>
      <c r="E1111" s="14" t="str">
        <f>IFERROR(GIZLI!G1106,"")</f>
        <v/>
      </c>
    </row>
    <row r="1112" spans="2:5" x14ac:dyDescent="0.3">
      <c r="B1112" s="2" t="str">
        <f>MID(TableQR[[#This Row],[QR CODES]],4,13)</f>
        <v/>
      </c>
      <c r="C1112" s="2" t="str">
        <f>IFERROR(VLOOKUP(TableQR[[#This Row],[BARCODES]],ILACLISTE[#All],2,0),"")</f>
        <v/>
      </c>
      <c r="D1112" s="2">
        <f t="shared" si="17"/>
        <v>0</v>
      </c>
      <c r="E1112" s="14" t="str">
        <f>IFERROR(GIZLI!G1107,"")</f>
        <v/>
      </c>
    </row>
    <row r="1113" spans="2:5" x14ac:dyDescent="0.3">
      <c r="B1113" s="2" t="str">
        <f>MID(TableQR[[#This Row],[QR CODES]],4,13)</f>
        <v/>
      </c>
      <c r="C1113" s="2" t="str">
        <f>IFERROR(VLOOKUP(TableQR[[#This Row],[BARCODES]],ILACLISTE[#All],2,0),"")</f>
        <v/>
      </c>
      <c r="D1113" s="2">
        <f t="shared" si="17"/>
        <v>0</v>
      </c>
      <c r="E1113" s="14" t="str">
        <f>IFERROR(GIZLI!G1108,"")</f>
        <v/>
      </c>
    </row>
    <row r="1114" spans="2:5" x14ac:dyDescent="0.3">
      <c r="B1114" s="2" t="str">
        <f>MID(TableQR[[#This Row],[QR CODES]],4,13)</f>
        <v/>
      </c>
      <c r="C1114" s="2" t="str">
        <f>IFERROR(VLOOKUP(TableQR[[#This Row],[BARCODES]],ILACLISTE[#All],2,0),"")</f>
        <v/>
      </c>
      <c r="D1114" s="2">
        <f t="shared" si="17"/>
        <v>0</v>
      </c>
      <c r="E1114" s="14" t="str">
        <f>IFERROR(GIZLI!G1109,"")</f>
        <v/>
      </c>
    </row>
    <row r="1115" spans="2:5" x14ac:dyDescent="0.3">
      <c r="B1115" s="2" t="str">
        <f>MID(TableQR[[#This Row],[QR CODES]],4,13)</f>
        <v/>
      </c>
      <c r="C1115" s="2" t="str">
        <f>IFERROR(VLOOKUP(TableQR[[#This Row],[BARCODES]],ILACLISTE[#All],2,0),"")</f>
        <v/>
      </c>
      <c r="D1115" s="2">
        <f t="shared" si="17"/>
        <v>0</v>
      </c>
      <c r="E1115" s="14" t="str">
        <f>IFERROR(GIZLI!G1110,"")</f>
        <v/>
      </c>
    </row>
    <row r="1116" spans="2:5" x14ac:dyDescent="0.3">
      <c r="B1116" s="2" t="str">
        <f>MID(TableQR[[#This Row],[QR CODES]],4,13)</f>
        <v/>
      </c>
      <c r="C1116" s="2" t="str">
        <f>IFERROR(VLOOKUP(TableQR[[#This Row],[BARCODES]],ILACLISTE[#All],2,0),"")</f>
        <v/>
      </c>
      <c r="D1116" s="2">
        <f t="shared" si="17"/>
        <v>0</v>
      </c>
      <c r="E1116" s="14" t="str">
        <f>IFERROR(GIZLI!G1111,"")</f>
        <v/>
      </c>
    </row>
    <row r="1117" spans="2:5" x14ac:dyDescent="0.3">
      <c r="B1117" s="2" t="str">
        <f>MID(TableQR[[#This Row],[QR CODES]],4,13)</f>
        <v/>
      </c>
      <c r="C1117" s="2" t="str">
        <f>IFERROR(VLOOKUP(TableQR[[#This Row],[BARCODES]],ILACLISTE[#All],2,0),"")</f>
        <v/>
      </c>
      <c r="D1117" s="2">
        <f t="shared" si="17"/>
        <v>0</v>
      </c>
      <c r="E1117" s="14" t="str">
        <f>IFERROR(GIZLI!G1112,"")</f>
        <v/>
      </c>
    </row>
    <row r="1118" spans="2:5" x14ac:dyDescent="0.3">
      <c r="B1118" s="2" t="str">
        <f>MID(TableQR[[#This Row],[QR CODES]],4,13)</f>
        <v/>
      </c>
      <c r="C1118" s="2" t="str">
        <f>IFERROR(VLOOKUP(TableQR[[#This Row],[BARCODES]],ILACLISTE[#All],2,0),"")</f>
        <v/>
      </c>
      <c r="D1118" s="2">
        <f t="shared" si="17"/>
        <v>0</v>
      </c>
      <c r="E1118" s="14" t="str">
        <f>IFERROR(GIZLI!G1113,"")</f>
        <v/>
      </c>
    </row>
    <row r="1119" spans="2:5" x14ac:dyDescent="0.3">
      <c r="B1119" s="2" t="str">
        <f>MID(TableQR[[#This Row],[QR CODES]],4,13)</f>
        <v/>
      </c>
      <c r="C1119" s="2" t="str">
        <f>IFERROR(VLOOKUP(TableQR[[#This Row],[BARCODES]],ILACLISTE[#All],2,0),"")</f>
        <v/>
      </c>
      <c r="D1119" s="2">
        <f t="shared" si="17"/>
        <v>0</v>
      </c>
      <c r="E1119" s="14" t="str">
        <f>IFERROR(GIZLI!G1114,"")</f>
        <v/>
      </c>
    </row>
    <row r="1120" spans="2:5" x14ac:dyDescent="0.3">
      <c r="B1120" s="2" t="str">
        <f>MID(TableQR[[#This Row],[QR CODES]],4,13)</f>
        <v/>
      </c>
      <c r="C1120" s="2" t="str">
        <f>IFERROR(VLOOKUP(TableQR[[#This Row],[BARCODES]],ILACLISTE[#All],2,0),"")</f>
        <v/>
      </c>
      <c r="D1120" s="2">
        <f t="shared" si="17"/>
        <v>0</v>
      </c>
      <c r="E1120" s="14" t="str">
        <f>IFERROR(GIZLI!G1115,"")</f>
        <v/>
      </c>
    </row>
    <row r="1121" spans="2:5" x14ac:dyDescent="0.3">
      <c r="B1121" s="2" t="str">
        <f>MID(TableQR[[#This Row],[QR CODES]],4,13)</f>
        <v/>
      </c>
      <c r="C1121" s="2" t="str">
        <f>IFERROR(VLOOKUP(TableQR[[#This Row],[BARCODES]],ILACLISTE[#All],2,0),"")</f>
        <v/>
      </c>
      <c r="D1121" s="2">
        <f t="shared" si="17"/>
        <v>0</v>
      </c>
      <c r="E1121" s="14" t="str">
        <f>IFERROR(GIZLI!G1116,"")</f>
        <v/>
      </c>
    </row>
    <row r="1122" spans="2:5" x14ac:dyDescent="0.3">
      <c r="B1122" s="2" t="str">
        <f>MID(TableQR[[#This Row],[QR CODES]],4,13)</f>
        <v/>
      </c>
      <c r="C1122" s="2" t="str">
        <f>IFERROR(VLOOKUP(TableQR[[#This Row],[BARCODES]],ILACLISTE[#All],2,0),"")</f>
        <v/>
      </c>
      <c r="D1122" s="2">
        <f t="shared" si="17"/>
        <v>0</v>
      </c>
      <c r="E1122" s="14" t="str">
        <f>IFERROR(GIZLI!G1117,"")</f>
        <v/>
      </c>
    </row>
    <row r="1123" spans="2:5" x14ac:dyDescent="0.3">
      <c r="B1123" s="2" t="str">
        <f>MID(TableQR[[#This Row],[QR CODES]],4,13)</f>
        <v/>
      </c>
      <c r="C1123" s="2" t="str">
        <f>IFERROR(VLOOKUP(TableQR[[#This Row],[BARCODES]],ILACLISTE[#All],2,0),"")</f>
        <v/>
      </c>
      <c r="D1123" s="2">
        <f t="shared" si="17"/>
        <v>0</v>
      </c>
      <c r="E1123" s="14" t="str">
        <f>IFERROR(GIZLI!G1118,"")</f>
        <v/>
      </c>
    </row>
    <row r="1124" spans="2:5" x14ac:dyDescent="0.3">
      <c r="B1124" s="2" t="str">
        <f>MID(TableQR[[#This Row],[QR CODES]],4,13)</f>
        <v/>
      </c>
      <c r="C1124" s="2" t="str">
        <f>IFERROR(VLOOKUP(TableQR[[#This Row],[BARCODES]],ILACLISTE[#All],2,0),"")</f>
        <v/>
      </c>
      <c r="D1124" s="2">
        <f t="shared" si="17"/>
        <v>0</v>
      </c>
      <c r="E1124" s="14" t="str">
        <f>IFERROR(GIZLI!G1119,"")</f>
        <v/>
      </c>
    </row>
    <row r="1125" spans="2:5" x14ac:dyDescent="0.3">
      <c r="B1125" s="2" t="str">
        <f>MID(TableQR[[#This Row],[QR CODES]],4,13)</f>
        <v/>
      </c>
      <c r="C1125" s="2" t="str">
        <f>IFERROR(VLOOKUP(TableQR[[#This Row],[BARCODES]],ILACLISTE[#All],2,0),"")</f>
        <v/>
      </c>
      <c r="D1125" s="2">
        <f t="shared" si="17"/>
        <v>0</v>
      </c>
      <c r="E1125" s="14" t="str">
        <f>IFERROR(GIZLI!G1120,"")</f>
        <v/>
      </c>
    </row>
    <row r="1126" spans="2:5" x14ac:dyDescent="0.3">
      <c r="B1126" s="2" t="str">
        <f>MID(TableQR[[#This Row],[QR CODES]],4,13)</f>
        <v/>
      </c>
      <c r="C1126" s="2" t="str">
        <f>IFERROR(VLOOKUP(TableQR[[#This Row],[BARCODES]],ILACLISTE[#All],2,0),"")</f>
        <v/>
      </c>
      <c r="D1126" s="2">
        <f t="shared" si="17"/>
        <v>0</v>
      </c>
      <c r="E1126" s="14" t="str">
        <f>IFERROR(GIZLI!G1121,"")</f>
        <v/>
      </c>
    </row>
    <row r="1127" spans="2:5" x14ac:dyDescent="0.3">
      <c r="B1127" s="2" t="str">
        <f>MID(TableQR[[#This Row],[QR CODES]],4,13)</f>
        <v/>
      </c>
      <c r="C1127" s="2" t="str">
        <f>IFERROR(VLOOKUP(TableQR[[#This Row],[BARCODES]],ILACLISTE[#All],2,0),"")</f>
        <v/>
      </c>
      <c r="D1127" s="2">
        <f t="shared" si="17"/>
        <v>0</v>
      </c>
      <c r="E1127" s="14" t="str">
        <f>IFERROR(GIZLI!G1122,"")</f>
        <v/>
      </c>
    </row>
    <row r="1128" spans="2:5" x14ac:dyDescent="0.3">
      <c r="B1128" s="2" t="str">
        <f>MID(TableQR[[#This Row],[QR CODES]],4,13)</f>
        <v/>
      </c>
      <c r="C1128" s="2" t="str">
        <f>IFERROR(VLOOKUP(TableQR[[#This Row],[BARCODES]],ILACLISTE[#All],2,0),"")</f>
        <v/>
      </c>
      <c r="D1128" s="2">
        <f t="shared" si="17"/>
        <v>0</v>
      </c>
      <c r="E1128" s="14" t="str">
        <f>IFERROR(GIZLI!G1123,"")</f>
        <v/>
      </c>
    </row>
    <row r="1129" spans="2:5" x14ac:dyDescent="0.3">
      <c r="B1129" s="2" t="str">
        <f>MID(TableQR[[#This Row],[QR CODES]],4,13)</f>
        <v/>
      </c>
      <c r="C1129" s="2" t="str">
        <f>IFERROR(VLOOKUP(TableQR[[#This Row],[BARCODES]],ILACLISTE[#All],2,0),"")</f>
        <v/>
      </c>
      <c r="D1129" s="2">
        <f t="shared" si="17"/>
        <v>0</v>
      </c>
      <c r="E1129" s="14" t="str">
        <f>IFERROR(GIZLI!G1124,"")</f>
        <v/>
      </c>
    </row>
    <row r="1130" spans="2:5" x14ac:dyDescent="0.3">
      <c r="B1130" s="2" t="str">
        <f>MID(TableQR[[#This Row],[QR CODES]],4,13)</f>
        <v/>
      </c>
      <c r="C1130" s="2" t="str">
        <f>IFERROR(VLOOKUP(TableQR[[#This Row],[BARCODES]],ILACLISTE[#All],2,0),"")</f>
        <v/>
      </c>
      <c r="D1130" s="2">
        <f t="shared" si="17"/>
        <v>0</v>
      </c>
      <c r="E1130" s="14" t="str">
        <f>IFERROR(GIZLI!G1125,"")</f>
        <v/>
      </c>
    </row>
    <row r="1131" spans="2:5" x14ac:dyDescent="0.3">
      <c r="B1131" s="2" t="str">
        <f>MID(TableQR[[#This Row],[QR CODES]],4,13)</f>
        <v/>
      </c>
      <c r="C1131" s="2" t="str">
        <f>IFERROR(VLOOKUP(TableQR[[#This Row],[BARCODES]],ILACLISTE[#All],2,0),"")</f>
        <v/>
      </c>
      <c r="D1131" s="2">
        <f t="shared" si="17"/>
        <v>0</v>
      </c>
      <c r="E1131" s="14" t="str">
        <f>IFERROR(GIZLI!G1126,"")</f>
        <v/>
      </c>
    </row>
    <row r="1132" spans="2:5" x14ac:dyDescent="0.3">
      <c r="B1132" s="2" t="str">
        <f>MID(TableQR[[#This Row],[QR CODES]],4,13)</f>
        <v/>
      </c>
      <c r="C1132" s="2" t="str">
        <f>IFERROR(VLOOKUP(TableQR[[#This Row],[BARCODES]],ILACLISTE[#All],2,0),"")</f>
        <v/>
      </c>
      <c r="D1132" s="2">
        <f t="shared" si="17"/>
        <v>0</v>
      </c>
      <c r="E1132" s="14" t="str">
        <f>IFERROR(GIZLI!G1127,"")</f>
        <v/>
      </c>
    </row>
    <row r="1133" spans="2:5" x14ac:dyDescent="0.3">
      <c r="B1133" s="2" t="str">
        <f>MID(TableQR[[#This Row],[QR CODES]],4,13)</f>
        <v/>
      </c>
      <c r="C1133" s="2" t="str">
        <f>IFERROR(VLOOKUP(TableQR[[#This Row],[BARCODES]],ILACLISTE[#All],2,0),"")</f>
        <v/>
      </c>
      <c r="D1133" s="2">
        <f t="shared" si="17"/>
        <v>0</v>
      </c>
      <c r="E1133" s="14" t="str">
        <f>IFERROR(GIZLI!G1128,"")</f>
        <v/>
      </c>
    </row>
    <row r="1134" spans="2:5" x14ac:dyDescent="0.3">
      <c r="B1134" s="2" t="str">
        <f>MID(TableQR[[#This Row],[QR CODES]],4,13)</f>
        <v/>
      </c>
      <c r="C1134" s="2" t="str">
        <f>IFERROR(VLOOKUP(TableQR[[#This Row],[BARCODES]],ILACLISTE[#All],2,0),"")</f>
        <v/>
      </c>
      <c r="D1134" s="2">
        <f t="shared" si="17"/>
        <v>0</v>
      </c>
      <c r="E1134" s="14" t="str">
        <f>IFERROR(GIZLI!G1129,"")</f>
        <v/>
      </c>
    </row>
    <row r="1135" spans="2:5" x14ac:dyDescent="0.3">
      <c r="B1135" s="2" t="str">
        <f>MID(TableQR[[#This Row],[QR CODES]],4,13)</f>
        <v/>
      </c>
      <c r="C1135" s="2" t="str">
        <f>IFERROR(VLOOKUP(TableQR[[#This Row],[BARCODES]],ILACLISTE[#All],2,0),"")</f>
        <v/>
      </c>
      <c r="D1135" s="2">
        <f t="shared" si="17"/>
        <v>0</v>
      </c>
      <c r="E1135" s="14" t="str">
        <f>IFERROR(GIZLI!G1130,"")</f>
        <v/>
      </c>
    </row>
    <row r="1136" spans="2:5" x14ac:dyDescent="0.3">
      <c r="B1136" s="2" t="str">
        <f>MID(TableQR[[#This Row],[QR CODES]],4,13)</f>
        <v/>
      </c>
      <c r="C1136" s="2" t="str">
        <f>IFERROR(VLOOKUP(TableQR[[#This Row],[BARCODES]],ILACLISTE[#All],2,0),"")</f>
        <v/>
      </c>
      <c r="D1136" s="2">
        <f t="shared" si="17"/>
        <v>0</v>
      </c>
      <c r="E1136" s="14" t="str">
        <f>IFERROR(GIZLI!G1131,"")</f>
        <v/>
      </c>
    </row>
    <row r="1137" spans="2:5" x14ac:dyDescent="0.3">
      <c r="B1137" s="2" t="str">
        <f>MID(TableQR[[#This Row],[QR CODES]],4,13)</f>
        <v/>
      </c>
      <c r="C1137" s="2" t="str">
        <f>IFERROR(VLOOKUP(TableQR[[#This Row],[BARCODES]],ILACLISTE[#All],2,0),"")</f>
        <v/>
      </c>
      <c r="D1137" s="2">
        <f t="shared" si="17"/>
        <v>0</v>
      </c>
      <c r="E1137" s="14" t="str">
        <f>IFERROR(GIZLI!G1132,"")</f>
        <v/>
      </c>
    </row>
    <row r="1138" spans="2:5" x14ac:dyDescent="0.3">
      <c r="B1138" s="2" t="str">
        <f>MID(TableQR[[#This Row],[QR CODES]],4,13)</f>
        <v/>
      </c>
      <c r="C1138" s="2" t="str">
        <f>IFERROR(VLOOKUP(TableQR[[#This Row],[BARCODES]],ILACLISTE[#All],2,0),"")</f>
        <v/>
      </c>
      <c r="D1138" s="2">
        <f t="shared" si="17"/>
        <v>0</v>
      </c>
      <c r="E1138" s="14" t="str">
        <f>IFERROR(GIZLI!G1133,"")</f>
        <v/>
      </c>
    </row>
    <row r="1139" spans="2:5" x14ac:dyDescent="0.3">
      <c r="B1139" s="2" t="str">
        <f>MID(TableQR[[#This Row],[QR CODES]],4,13)</f>
        <v/>
      </c>
      <c r="C1139" s="2" t="str">
        <f>IFERROR(VLOOKUP(TableQR[[#This Row],[BARCODES]],ILACLISTE[#All],2,0),"")</f>
        <v/>
      </c>
      <c r="D1139" s="2">
        <f t="shared" si="17"/>
        <v>0</v>
      </c>
      <c r="E1139" s="14" t="str">
        <f>IFERROR(GIZLI!G1134,"")</f>
        <v/>
      </c>
    </row>
    <row r="1140" spans="2:5" x14ac:dyDescent="0.3">
      <c r="B1140" s="2" t="str">
        <f>MID(TableQR[[#This Row],[QR CODES]],4,13)</f>
        <v/>
      </c>
      <c r="C1140" s="2" t="str">
        <f>IFERROR(VLOOKUP(TableQR[[#This Row],[BARCODES]],ILACLISTE[#All],2,0),"")</f>
        <v/>
      </c>
      <c r="D1140" s="2">
        <f t="shared" si="17"/>
        <v>0</v>
      </c>
      <c r="E1140" s="14" t="str">
        <f>IFERROR(GIZLI!G1135,"")</f>
        <v/>
      </c>
    </row>
    <row r="1141" spans="2:5" x14ac:dyDescent="0.3">
      <c r="B1141" s="2" t="str">
        <f>MID(TableQR[[#This Row],[QR CODES]],4,13)</f>
        <v/>
      </c>
      <c r="C1141" s="2" t="str">
        <f>IFERROR(VLOOKUP(TableQR[[#This Row],[BARCODES]],ILACLISTE[#All],2,0),"")</f>
        <v/>
      </c>
      <c r="D1141" s="2">
        <f t="shared" si="17"/>
        <v>0</v>
      </c>
      <c r="E1141" s="14" t="str">
        <f>IFERROR(GIZLI!G1136,"")</f>
        <v/>
      </c>
    </row>
    <row r="1142" spans="2:5" x14ac:dyDescent="0.3">
      <c r="B1142" s="2" t="str">
        <f>MID(TableQR[[#This Row],[QR CODES]],4,13)</f>
        <v/>
      </c>
      <c r="C1142" s="2" t="str">
        <f>IFERROR(VLOOKUP(TableQR[[#This Row],[BARCODES]],ILACLISTE[#All],2,0),"")</f>
        <v/>
      </c>
      <c r="D1142" s="2">
        <f t="shared" si="17"/>
        <v>0</v>
      </c>
      <c r="E1142" s="14" t="str">
        <f>IFERROR(GIZLI!G1137,"")</f>
        <v/>
      </c>
    </row>
    <row r="1143" spans="2:5" x14ac:dyDescent="0.3">
      <c r="B1143" s="2" t="str">
        <f>MID(TableQR[[#This Row],[QR CODES]],4,13)</f>
        <v/>
      </c>
      <c r="C1143" s="2" t="str">
        <f>IFERROR(VLOOKUP(TableQR[[#This Row],[BARCODES]],ILACLISTE[#All],2,0),"")</f>
        <v/>
      </c>
      <c r="D1143" s="2">
        <f t="shared" si="17"/>
        <v>0</v>
      </c>
      <c r="E1143" s="14" t="str">
        <f>IFERROR(GIZLI!G1138,"")</f>
        <v/>
      </c>
    </row>
    <row r="1144" spans="2:5" x14ac:dyDescent="0.3">
      <c r="B1144" s="2" t="str">
        <f>MID(TableQR[[#This Row],[QR CODES]],4,13)</f>
        <v/>
      </c>
      <c r="C1144" s="2" t="str">
        <f>IFERROR(VLOOKUP(TableQR[[#This Row],[BARCODES]],ILACLISTE[#All],2,0),"")</f>
        <v/>
      </c>
      <c r="D1144" s="2">
        <f t="shared" si="17"/>
        <v>0</v>
      </c>
      <c r="E1144" s="14" t="str">
        <f>IFERROR(GIZLI!G1139,"")</f>
        <v/>
      </c>
    </row>
    <row r="1145" spans="2:5" x14ac:dyDescent="0.3">
      <c r="B1145" s="2" t="str">
        <f>MID(TableQR[[#This Row],[QR CODES]],4,13)</f>
        <v/>
      </c>
      <c r="C1145" s="2" t="str">
        <f>IFERROR(VLOOKUP(TableQR[[#This Row],[BARCODES]],ILACLISTE[#All],2,0),"")</f>
        <v/>
      </c>
      <c r="D1145" s="2">
        <f t="shared" si="17"/>
        <v>0</v>
      </c>
      <c r="E1145" s="14" t="str">
        <f>IFERROR(GIZLI!G1140,"")</f>
        <v/>
      </c>
    </row>
    <row r="1146" spans="2:5" x14ac:dyDescent="0.3">
      <c r="B1146" s="2" t="str">
        <f>MID(TableQR[[#This Row],[QR CODES]],4,13)</f>
        <v/>
      </c>
      <c r="C1146" s="2" t="str">
        <f>IFERROR(VLOOKUP(TableQR[[#This Row],[BARCODES]],ILACLISTE[#All],2,0),"")</f>
        <v/>
      </c>
      <c r="D1146" s="2">
        <f t="shared" si="17"/>
        <v>0</v>
      </c>
      <c r="E1146" s="14" t="str">
        <f>IFERROR(GIZLI!G1141,"")</f>
        <v/>
      </c>
    </row>
    <row r="1147" spans="2:5" x14ac:dyDescent="0.3">
      <c r="B1147" s="2" t="str">
        <f>MID(TableQR[[#This Row],[QR CODES]],4,13)</f>
        <v/>
      </c>
      <c r="C1147" s="2" t="str">
        <f>IFERROR(VLOOKUP(TableQR[[#This Row],[BARCODES]],ILACLISTE[#All],2,0),"")</f>
        <v/>
      </c>
      <c r="D1147" s="2">
        <f t="shared" si="17"/>
        <v>0</v>
      </c>
      <c r="E1147" s="14" t="str">
        <f>IFERROR(GIZLI!G1142,"")</f>
        <v/>
      </c>
    </row>
    <row r="1148" spans="2:5" x14ac:dyDescent="0.3">
      <c r="B1148" s="2" t="str">
        <f>MID(TableQR[[#This Row],[QR CODES]],4,13)</f>
        <v/>
      </c>
      <c r="C1148" s="2" t="str">
        <f>IFERROR(VLOOKUP(TableQR[[#This Row],[BARCODES]],ILACLISTE[#All],2,0),"")</f>
        <v/>
      </c>
      <c r="D1148" s="2">
        <f t="shared" si="17"/>
        <v>0</v>
      </c>
      <c r="E1148" s="14" t="str">
        <f>IFERROR(GIZLI!G1143,"")</f>
        <v/>
      </c>
    </row>
    <row r="1149" spans="2:5" x14ac:dyDescent="0.3">
      <c r="B1149" s="2" t="str">
        <f>MID(TableQR[[#This Row],[QR CODES]],4,13)</f>
        <v/>
      </c>
      <c r="C1149" s="2" t="str">
        <f>IFERROR(VLOOKUP(TableQR[[#This Row],[BARCODES]],ILACLISTE[#All],2,0),"")</f>
        <v/>
      </c>
      <c r="D1149" s="2">
        <f t="shared" si="17"/>
        <v>0</v>
      </c>
      <c r="E1149" s="14" t="str">
        <f>IFERROR(GIZLI!G1144,"")</f>
        <v/>
      </c>
    </row>
    <row r="1150" spans="2:5" x14ac:dyDescent="0.3">
      <c r="B1150" s="2" t="str">
        <f>MID(TableQR[[#This Row],[QR CODES]],4,13)</f>
        <v/>
      </c>
      <c r="C1150" s="2" t="str">
        <f>IFERROR(VLOOKUP(TableQR[[#This Row],[BARCODES]],ILACLISTE[#All],2,0),"")</f>
        <v/>
      </c>
      <c r="D1150" s="2">
        <f t="shared" si="17"/>
        <v>0</v>
      </c>
      <c r="E1150" s="14" t="str">
        <f>IFERROR(GIZLI!G1145,"")</f>
        <v/>
      </c>
    </row>
    <row r="1151" spans="2:5" x14ac:dyDescent="0.3">
      <c r="B1151" s="2" t="str">
        <f>MID(TableQR[[#This Row],[QR CODES]],4,13)</f>
        <v/>
      </c>
      <c r="C1151" s="2" t="str">
        <f>IFERROR(VLOOKUP(TableQR[[#This Row],[BARCODES]],ILACLISTE[#All],2,0),"")</f>
        <v/>
      </c>
      <c r="D1151" s="2">
        <f t="shared" si="17"/>
        <v>0</v>
      </c>
      <c r="E1151" s="14" t="str">
        <f>IFERROR(GIZLI!G1146,"")</f>
        <v/>
      </c>
    </row>
    <row r="1152" spans="2:5" x14ac:dyDescent="0.3">
      <c r="B1152" s="2" t="str">
        <f>MID(TableQR[[#This Row],[QR CODES]],4,13)</f>
        <v/>
      </c>
      <c r="C1152" s="2" t="str">
        <f>IFERROR(VLOOKUP(TableQR[[#This Row],[BARCODES]],ILACLISTE[#All],2,0),"")</f>
        <v/>
      </c>
      <c r="D1152" s="2">
        <f t="shared" si="17"/>
        <v>0</v>
      </c>
      <c r="E1152" s="14" t="str">
        <f>IFERROR(GIZLI!G1147,"")</f>
        <v/>
      </c>
    </row>
    <row r="1153" spans="2:5" x14ac:dyDescent="0.3">
      <c r="B1153" s="2" t="str">
        <f>MID(TableQR[[#This Row],[QR CODES]],4,13)</f>
        <v/>
      </c>
      <c r="C1153" s="2" t="str">
        <f>IFERROR(VLOOKUP(TableQR[[#This Row],[BARCODES]],ILACLISTE[#All],2,0),"")</f>
        <v/>
      </c>
      <c r="D1153" s="2">
        <f t="shared" si="17"/>
        <v>0</v>
      </c>
      <c r="E1153" s="14" t="str">
        <f>IFERROR(GIZLI!G1148,"")</f>
        <v/>
      </c>
    </row>
    <row r="1154" spans="2:5" x14ac:dyDescent="0.3">
      <c r="B1154" s="2" t="str">
        <f>MID(TableQR[[#This Row],[QR CODES]],4,13)</f>
        <v/>
      </c>
      <c r="C1154" s="2" t="str">
        <f>IFERROR(VLOOKUP(TableQR[[#This Row],[BARCODES]],ILACLISTE[#All],2,0),"")</f>
        <v/>
      </c>
      <c r="D1154" s="2">
        <f t="shared" si="17"/>
        <v>0</v>
      </c>
      <c r="E1154" s="14" t="str">
        <f>IFERROR(GIZLI!G1149,"")</f>
        <v/>
      </c>
    </row>
    <row r="1155" spans="2:5" x14ac:dyDescent="0.3">
      <c r="B1155" s="2" t="str">
        <f>MID(TableQR[[#This Row],[QR CODES]],4,13)</f>
        <v/>
      </c>
      <c r="C1155" s="2" t="str">
        <f>IFERROR(VLOOKUP(TableQR[[#This Row],[BARCODES]],ILACLISTE[#All],2,0),"")</f>
        <v/>
      </c>
      <c r="D1155" s="2">
        <f t="shared" si="17"/>
        <v>0</v>
      </c>
      <c r="E1155" s="14" t="str">
        <f>IFERROR(GIZLI!G1150,"")</f>
        <v/>
      </c>
    </row>
    <row r="1156" spans="2:5" x14ac:dyDescent="0.3">
      <c r="B1156" s="2" t="str">
        <f>MID(TableQR[[#This Row],[QR CODES]],4,13)</f>
        <v/>
      </c>
      <c r="C1156" s="2" t="str">
        <f>IFERROR(VLOOKUP(TableQR[[#This Row],[BARCODES]],ILACLISTE[#All],2,0),"")</f>
        <v/>
      </c>
      <c r="D1156" s="2">
        <f t="shared" si="17"/>
        <v>0</v>
      </c>
      <c r="E1156" s="14" t="str">
        <f>IFERROR(GIZLI!G1151,"")</f>
        <v/>
      </c>
    </row>
    <row r="1157" spans="2:5" x14ac:dyDescent="0.3">
      <c r="B1157" s="2" t="str">
        <f>MID(TableQR[[#This Row],[QR CODES]],4,13)</f>
        <v/>
      </c>
      <c r="C1157" s="2" t="str">
        <f>IFERROR(VLOOKUP(TableQR[[#This Row],[BARCODES]],ILACLISTE[#All],2,0),"")</f>
        <v/>
      </c>
      <c r="D1157" s="2">
        <f t="shared" si="17"/>
        <v>0</v>
      </c>
      <c r="E1157" s="14" t="str">
        <f>IFERROR(GIZLI!G1152,"")</f>
        <v/>
      </c>
    </row>
    <row r="1158" spans="2:5" x14ac:dyDescent="0.3">
      <c r="B1158" s="2" t="str">
        <f>MID(TableQR[[#This Row],[QR CODES]],4,13)</f>
        <v/>
      </c>
      <c r="C1158" s="2" t="str">
        <f>IFERROR(VLOOKUP(TableQR[[#This Row],[BARCODES]],ILACLISTE[#All],2,0),"")</f>
        <v/>
      </c>
      <c r="D1158" s="2">
        <f t="shared" si="17"/>
        <v>0</v>
      </c>
      <c r="E1158" s="14" t="str">
        <f>IFERROR(GIZLI!G1153,"")</f>
        <v/>
      </c>
    </row>
    <row r="1159" spans="2:5" x14ac:dyDescent="0.3">
      <c r="B1159" s="2" t="str">
        <f>MID(TableQR[[#This Row],[QR CODES]],4,13)</f>
        <v/>
      </c>
      <c r="C1159" s="2" t="str">
        <f>IFERROR(VLOOKUP(TableQR[[#This Row],[BARCODES]],ILACLISTE[#All],2,0),"")</f>
        <v/>
      </c>
      <c r="D1159" s="2">
        <f t="shared" si="17"/>
        <v>0</v>
      </c>
      <c r="E1159" s="14" t="str">
        <f>IFERROR(GIZLI!G1154,"")</f>
        <v/>
      </c>
    </row>
    <row r="1160" spans="2:5" x14ac:dyDescent="0.3">
      <c r="B1160" s="2" t="str">
        <f>MID(TableQR[[#This Row],[QR CODES]],4,13)</f>
        <v/>
      </c>
      <c r="C1160" s="2" t="str">
        <f>IFERROR(VLOOKUP(TableQR[[#This Row],[BARCODES]],ILACLISTE[#All],2,0),"")</f>
        <v/>
      </c>
      <c r="D1160" s="2">
        <f t="shared" ref="D1160:D1223" si="18">COUNTIF(B1160:B5153,IF(B1160="",66666,B1160))</f>
        <v>0</v>
      </c>
      <c r="E1160" s="14" t="str">
        <f>IFERROR(GIZLI!G1155,"")</f>
        <v/>
      </c>
    </row>
    <row r="1161" spans="2:5" x14ac:dyDescent="0.3">
      <c r="B1161" s="2" t="str">
        <f>MID(TableQR[[#This Row],[QR CODES]],4,13)</f>
        <v/>
      </c>
      <c r="C1161" s="2" t="str">
        <f>IFERROR(VLOOKUP(TableQR[[#This Row],[BARCODES]],ILACLISTE[#All],2,0),"")</f>
        <v/>
      </c>
      <c r="D1161" s="2">
        <f t="shared" si="18"/>
        <v>0</v>
      </c>
      <c r="E1161" s="14" t="str">
        <f>IFERROR(GIZLI!G1156,"")</f>
        <v/>
      </c>
    </row>
    <row r="1162" spans="2:5" x14ac:dyDescent="0.3">
      <c r="B1162" s="2" t="str">
        <f>MID(TableQR[[#This Row],[QR CODES]],4,13)</f>
        <v/>
      </c>
      <c r="C1162" s="2" t="str">
        <f>IFERROR(VLOOKUP(TableQR[[#This Row],[BARCODES]],ILACLISTE[#All],2,0),"")</f>
        <v/>
      </c>
      <c r="D1162" s="2">
        <f t="shared" si="18"/>
        <v>0</v>
      </c>
      <c r="E1162" s="14" t="str">
        <f>IFERROR(GIZLI!G1157,"")</f>
        <v/>
      </c>
    </row>
    <row r="1163" spans="2:5" x14ac:dyDescent="0.3">
      <c r="B1163" s="2" t="str">
        <f>MID(TableQR[[#This Row],[QR CODES]],4,13)</f>
        <v/>
      </c>
      <c r="C1163" s="2" t="str">
        <f>IFERROR(VLOOKUP(TableQR[[#This Row],[BARCODES]],ILACLISTE[#All],2,0),"")</f>
        <v/>
      </c>
      <c r="D1163" s="2">
        <f t="shared" si="18"/>
        <v>0</v>
      </c>
      <c r="E1163" s="14" t="str">
        <f>IFERROR(GIZLI!G1158,"")</f>
        <v/>
      </c>
    </row>
    <row r="1164" spans="2:5" x14ac:dyDescent="0.3">
      <c r="B1164" s="2" t="str">
        <f>MID(TableQR[[#This Row],[QR CODES]],4,13)</f>
        <v/>
      </c>
      <c r="C1164" s="2" t="str">
        <f>IFERROR(VLOOKUP(TableQR[[#This Row],[BARCODES]],ILACLISTE[#All],2,0),"")</f>
        <v/>
      </c>
      <c r="D1164" s="2">
        <f t="shared" si="18"/>
        <v>0</v>
      </c>
      <c r="E1164" s="14" t="str">
        <f>IFERROR(GIZLI!G1159,"")</f>
        <v/>
      </c>
    </row>
    <row r="1165" spans="2:5" x14ac:dyDescent="0.3">
      <c r="B1165" s="2" t="str">
        <f>MID(TableQR[[#This Row],[QR CODES]],4,13)</f>
        <v/>
      </c>
      <c r="C1165" s="2" t="str">
        <f>IFERROR(VLOOKUP(TableQR[[#This Row],[BARCODES]],ILACLISTE[#All],2,0),"")</f>
        <v/>
      </c>
      <c r="D1165" s="2">
        <f t="shared" si="18"/>
        <v>0</v>
      </c>
      <c r="E1165" s="14" t="str">
        <f>IFERROR(GIZLI!G1160,"")</f>
        <v/>
      </c>
    </row>
    <row r="1166" spans="2:5" x14ac:dyDescent="0.3">
      <c r="B1166" s="2" t="str">
        <f>MID(TableQR[[#This Row],[QR CODES]],4,13)</f>
        <v/>
      </c>
      <c r="C1166" s="2" t="str">
        <f>IFERROR(VLOOKUP(TableQR[[#This Row],[BARCODES]],ILACLISTE[#All],2,0),"")</f>
        <v/>
      </c>
      <c r="D1166" s="2">
        <f t="shared" si="18"/>
        <v>0</v>
      </c>
      <c r="E1166" s="14" t="str">
        <f>IFERROR(GIZLI!G1161,"")</f>
        <v/>
      </c>
    </row>
    <row r="1167" spans="2:5" x14ac:dyDescent="0.3">
      <c r="B1167" s="2" t="str">
        <f>MID(TableQR[[#This Row],[QR CODES]],4,13)</f>
        <v/>
      </c>
      <c r="C1167" s="2" t="str">
        <f>IFERROR(VLOOKUP(TableQR[[#This Row],[BARCODES]],ILACLISTE[#All],2,0),"")</f>
        <v/>
      </c>
      <c r="D1167" s="2">
        <f t="shared" si="18"/>
        <v>0</v>
      </c>
      <c r="E1167" s="14" t="str">
        <f>IFERROR(GIZLI!G1162,"")</f>
        <v/>
      </c>
    </row>
    <row r="1168" spans="2:5" x14ac:dyDescent="0.3">
      <c r="B1168" s="2" t="str">
        <f>MID(TableQR[[#This Row],[QR CODES]],4,13)</f>
        <v/>
      </c>
      <c r="C1168" s="2" t="str">
        <f>IFERROR(VLOOKUP(TableQR[[#This Row],[BARCODES]],ILACLISTE[#All],2,0),"")</f>
        <v/>
      </c>
      <c r="D1168" s="2">
        <f t="shared" si="18"/>
        <v>0</v>
      </c>
      <c r="E1168" s="14" t="str">
        <f>IFERROR(GIZLI!G1163,"")</f>
        <v/>
      </c>
    </row>
    <row r="1169" spans="2:5" x14ac:dyDescent="0.3">
      <c r="B1169" s="2" t="str">
        <f>MID(TableQR[[#This Row],[QR CODES]],4,13)</f>
        <v/>
      </c>
      <c r="C1169" s="2" t="str">
        <f>IFERROR(VLOOKUP(TableQR[[#This Row],[BARCODES]],ILACLISTE[#All],2,0),"")</f>
        <v/>
      </c>
      <c r="D1169" s="2">
        <f t="shared" si="18"/>
        <v>0</v>
      </c>
      <c r="E1169" s="14" t="str">
        <f>IFERROR(GIZLI!G1164,"")</f>
        <v/>
      </c>
    </row>
    <row r="1170" spans="2:5" x14ac:dyDescent="0.3">
      <c r="B1170" s="2" t="str">
        <f>MID(TableQR[[#This Row],[QR CODES]],4,13)</f>
        <v/>
      </c>
      <c r="C1170" s="2" t="str">
        <f>IFERROR(VLOOKUP(TableQR[[#This Row],[BARCODES]],ILACLISTE[#All],2,0),"")</f>
        <v/>
      </c>
      <c r="D1170" s="2">
        <f t="shared" si="18"/>
        <v>0</v>
      </c>
      <c r="E1170" s="14" t="str">
        <f>IFERROR(GIZLI!G1165,"")</f>
        <v/>
      </c>
    </row>
    <row r="1171" spans="2:5" x14ac:dyDescent="0.3">
      <c r="B1171" s="2" t="str">
        <f>MID(TableQR[[#This Row],[QR CODES]],4,13)</f>
        <v/>
      </c>
      <c r="C1171" s="2" t="str">
        <f>IFERROR(VLOOKUP(TableQR[[#This Row],[BARCODES]],ILACLISTE[#All],2,0),"")</f>
        <v/>
      </c>
      <c r="D1171" s="2">
        <f t="shared" si="18"/>
        <v>0</v>
      </c>
      <c r="E1171" s="14" t="str">
        <f>IFERROR(GIZLI!G1166,"")</f>
        <v/>
      </c>
    </row>
    <row r="1172" spans="2:5" x14ac:dyDescent="0.3">
      <c r="B1172" s="2" t="str">
        <f>MID(TableQR[[#This Row],[QR CODES]],4,13)</f>
        <v/>
      </c>
      <c r="C1172" s="2" t="str">
        <f>IFERROR(VLOOKUP(TableQR[[#This Row],[BARCODES]],ILACLISTE[#All],2,0),"")</f>
        <v/>
      </c>
      <c r="D1172" s="2">
        <f t="shared" si="18"/>
        <v>0</v>
      </c>
      <c r="E1172" s="14" t="str">
        <f>IFERROR(GIZLI!G1167,"")</f>
        <v/>
      </c>
    </row>
    <row r="1173" spans="2:5" x14ac:dyDescent="0.3">
      <c r="B1173" s="2" t="str">
        <f>MID(TableQR[[#This Row],[QR CODES]],4,13)</f>
        <v/>
      </c>
      <c r="C1173" s="2" t="str">
        <f>IFERROR(VLOOKUP(TableQR[[#This Row],[BARCODES]],ILACLISTE[#All],2,0),"")</f>
        <v/>
      </c>
      <c r="D1173" s="2">
        <f t="shared" si="18"/>
        <v>0</v>
      </c>
      <c r="E1173" s="14" t="str">
        <f>IFERROR(GIZLI!G1168,"")</f>
        <v/>
      </c>
    </row>
    <row r="1174" spans="2:5" x14ac:dyDescent="0.3">
      <c r="B1174" s="2" t="str">
        <f>MID(TableQR[[#This Row],[QR CODES]],4,13)</f>
        <v/>
      </c>
      <c r="C1174" s="2" t="str">
        <f>IFERROR(VLOOKUP(TableQR[[#This Row],[BARCODES]],ILACLISTE[#All],2,0),"")</f>
        <v/>
      </c>
      <c r="D1174" s="2">
        <f t="shared" si="18"/>
        <v>0</v>
      </c>
      <c r="E1174" s="14" t="str">
        <f>IFERROR(GIZLI!G1169,"")</f>
        <v/>
      </c>
    </row>
    <row r="1175" spans="2:5" x14ac:dyDescent="0.3">
      <c r="B1175" s="2" t="str">
        <f>MID(TableQR[[#This Row],[QR CODES]],4,13)</f>
        <v/>
      </c>
      <c r="C1175" s="2" t="str">
        <f>IFERROR(VLOOKUP(TableQR[[#This Row],[BARCODES]],ILACLISTE[#All],2,0),"")</f>
        <v/>
      </c>
      <c r="D1175" s="2">
        <f t="shared" si="18"/>
        <v>0</v>
      </c>
      <c r="E1175" s="14" t="str">
        <f>IFERROR(GIZLI!G1170,"")</f>
        <v/>
      </c>
    </row>
    <row r="1176" spans="2:5" x14ac:dyDescent="0.3">
      <c r="B1176" s="2" t="str">
        <f>MID(TableQR[[#This Row],[QR CODES]],4,13)</f>
        <v/>
      </c>
      <c r="C1176" s="2" t="str">
        <f>IFERROR(VLOOKUP(TableQR[[#This Row],[BARCODES]],ILACLISTE[#All],2,0),"")</f>
        <v/>
      </c>
      <c r="D1176" s="2">
        <f t="shared" si="18"/>
        <v>0</v>
      </c>
      <c r="E1176" s="14" t="str">
        <f>IFERROR(GIZLI!G1171,"")</f>
        <v/>
      </c>
    </row>
    <row r="1177" spans="2:5" x14ac:dyDescent="0.3">
      <c r="B1177" s="2" t="str">
        <f>MID(TableQR[[#This Row],[QR CODES]],4,13)</f>
        <v/>
      </c>
      <c r="C1177" s="2" t="str">
        <f>IFERROR(VLOOKUP(TableQR[[#This Row],[BARCODES]],ILACLISTE[#All],2,0),"")</f>
        <v/>
      </c>
      <c r="D1177" s="2">
        <f t="shared" si="18"/>
        <v>0</v>
      </c>
      <c r="E1177" s="14" t="str">
        <f>IFERROR(GIZLI!G1172,"")</f>
        <v/>
      </c>
    </row>
    <row r="1178" spans="2:5" x14ac:dyDescent="0.3">
      <c r="B1178" s="2" t="str">
        <f>MID(TableQR[[#This Row],[QR CODES]],4,13)</f>
        <v/>
      </c>
      <c r="C1178" s="2" t="str">
        <f>IFERROR(VLOOKUP(TableQR[[#This Row],[BARCODES]],ILACLISTE[#All],2,0),"")</f>
        <v/>
      </c>
      <c r="D1178" s="2">
        <f t="shared" si="18"/>
        <v>0</v>
      </c>
      <c r="E1178" s="14" t="str">
        <f>IFERROR(GIZLI!G1173,"")</f>
        <v/>
      </c>
    </row>
    <row r="1179" spans="2:5" x14ac:dyDescent="0.3">
      <c r="B1179" s="2" t="str">
        <f>MID(TableQR[[#This Row],[QR CODES]],4,13)</f>
        <v/>
      </c>
      <c r="C1179" s="2" t="str">
        <f>IFERROR(VLOOKUP(TableQR[[#This Row],[BARCODES]],ILACLISTE[#All],2,0),"")</f>
        <v/>
      </c>
      <c r="D1179" s="2">
        <f t="shared" si="18"/>
        <v>0</v>
      </c>
      <c r="E1179" s="14" t="str">
        <f>IFERROR(GIZLI!G1174,"")</f>
        <v/>
      </c>
    </row>
    <row r="1180" spans="2:5" x14ac:dyDescent="0.3">
      <c r="B1180" s="2" t="str">
        <f>MID(TableQR[[#This Row],[QR CODES]],4,13)</f>
        <v/>
      </c>
      <c r="C1180" s="2" t="str">
        <f>IFERROR(VLOOKUP(TableQR[[#This Row],[BARCODES]],ILACLISTE[#All],2,0),"")</f>
        <v/>
      </c>
      <c r="D1180" s="2">
        <f t="shared" si="18"/>
        <v>0</v>
      </c>
      <c r="E1180" s="14" t="str">
        <f>IFERROR(GIZLI!G1175,"")</f>
        <v/>
      </c>
    </row>
    <row r="1181" spans="2:5" x14ac:dyDescent="0.3">
      <c r="B1181" s="2" t="str">
        <f>MID(TableQR[[#This Row],[QR CODES]],4,13)</f>
        <v/>
      </c>
      <c r="C1181" s="2" t="str">
        <f>IFERROR(VLOOKUP(TableQR[[#This Row],[BARCODES]],ILACLISTE[#All],2,0),"")</f>
        <v/>
      </c>
      <c r="D1181" s="2">
        <f t="shared" si="18"/>
        <v>0</v>
      </c>
      <c r="E1181" s="14" t="str">
        <f>IFERROR(GIZLI!G1176,"")</f>
        <v/>
      </c>
    </row>
    <row r="1182" spans="2:5" x14ac:dyDescent="0.3">
      <c r="B1182" s="2" t="str">
        <f>MID(TableQR[[#This Row],[QR CODES]],4,13)</f>
        <v/>
      </c>
      <c r="C1182" s="2" t="str">
        <f>IFERROR(VLOOKUP(TableQR[[#This Row],[BARCODES]],ILACLISTE[#All],2,0),"")</f>
        <v/>
      </c>
      <c r="D1182" s="2">
        <f t="shared" si="18"/>
        <v>0</v>
      </c>
      <c r="E1182" s="14" t="str">
        <f>IFERROR(GIZLI!G1177,"")</f>
        <v/>
      </c>
    </row>
    <row r="1183" spans="2:5" x14ac:dyDescent="0.3">
      <c r="B1183" s="2" t="str">
        <f>MID(TableQR[[#This Row],[QR CODES]],4,13)</f>
        <v/>
      </c>
      <c r="C1183" s="2" t="str">
        <f>IFERROR(VLOOKUP(TableQR[[#This Row],[BARCODES]],ILACLISTE[#All],2,0),"")</f>
        <v/>
      </c>
      <c r="D1183" s="2">
        <f t="shared" si="18"/>
        <v>0</v>
      </c>
      <c r="E1183" s="14" t="str">
        <f>IFERROR(GIZLI!G1178,"")</f>
        <v/>
      </c>
    </row>
    <row r="1184" spans="2:5" x14ac:dyDescent="0.3">
      <c r="B1184" s="2" t="str">
        <f>MID(TableQR[[#This Row],[QR CODES]],4,13)</f>
        <v/>
      </c>
      <c r="C1184" s="2" t="str">
        <f>IFERROR(VLOOKUP(TableQR[[#This Row],[BARCODES]],ILACLISTE[#All],2,0),"")</f>
        <v/>
      </c>
      <c r="D1184" s="2">
        <f t="shared" si="18"/>
        <v>0</v>
      </c>
      <c r="E1184" s="14" t="str">
        <f>IFERROR(GIZLI!G1179,"")</f>
        <v/>
      </c>
    </row>
    <row r="1185" spans="2:5" x14ac:dyDescent="0.3">
      <c r="B1185" s="2" t="str">
        <f>MID(TableQR[[#This Row],[QR CODES]],4,13)</f>
        <v/>
      </c>
      <c r="C1185" s="2" t="str">
        <f>IFERROR(VLOOKUP(TableQR[[#This Row],[BARCODES]],ILACLISTE[#All],2,0),"")</f>
        <v/>
      </c>
      <c r="D1185" s="2">
        <f t="shared" si="18"/>
        <v>0</v>
      </c>
      <c r="E1185" s="14" t="str">
        <f>IFERROR(GIZLI!G1180,"")</f>
        <v/>
      </c>
    </row>
    <row r="1186" spans="2:5" x14ac:dyDescent="0.3">
      <c r="B1186" s="2" t="str">
        <f>MID(TableQR[[#This Row],[QR CODES]],4,13)</f>
        <v/>
      </c>
      <c r="C1186" s="2" t="str">
        <f>IFERROR(VLOOKUP(TableQR[[#This Row],[BARCODES]],ILACLISTE[#All],2,0),"")</f>
        <v/>
      </c>
      <c r="D1186" s="2">
        <f t="shared" si="18"/>
        <v>0</v>
      </c>
      <c r="E1186" s="14" t="str">
        <f>IFERROR(GIZLI!G1181,"")</f>
        <v/>
      </c>
    </row>
    <row r="1187" spans="2:5" x14ac:dyDescent="0.3">
      <c r="B1187" s="2" t="str">
        <f>MID(TableQR[[#This Row],[QR CODES]],4,13)</f>
        <v/>
      </c>
      <c r="C1187" s="2" t="str">
        <f>IFERROR(VLOOKUP(TableQR[[#This Row],[BARCODES]],ILACLISTE[#All],2,0),"")</f>
        <v/>
      </c>
      <c r="D1187" s="2">
        <f t="shared" si="18"/>
        <v>0</v>
      </c>
      <c r="E1187" s="14" t="str">
        <f>IFERROR(GIZLI!G1182,"")</f>
        <v/>
      </c>
    </row>
    <row r="1188" spans="2:5" x14ac:dyDescent="0.3">
      <c r="B1188" s="2" t="str">
        <f>MID(TableQR[[#This Row],[QR CODES]],4,13)</f>
        <v/>
      </c>
      <c r="C1188" s="2" t="str">
        <f>IFERROR(VLOOKUP(TableQR[[#This Row],[BARCODES]],ILACLISTE[#All],2,0),"")</f>
        <v/>
      </c>
      <c r="D1188" s="2">
        <f t="shared" si="18"/>
        <v>0</v>
      </c>
      <c r="E1188" s="14" t="str">
        <f>IFERROR(GIZLI!G1183,"")</f>
        <v/>
      </c>
    </row>
    <row r="1189" spans="2:5" x14ac:dyDescent="0.3">
      <c r="B1189" s="2" t="str">
        <f>MID(TableQR[[#This Row],[QR CODES]],4,13)</f>
        <v/>
      </c>
      <c r="C1189" s="2" t="str">
        <f>IFERROR(VLOOKUP(TableQR[[#This Row],[BARCODES]],ILACLISTE[#All],2,0),"")</f>
        <v/>
      </c>
      <c r="D1189" s="2">
        <f t="shared" si="18"/>
        <v>0</v>
      </c>
      <c r="E1189" s="14" t="str">
        <f>IFERROR(GIZLI!G1184,"")</f>
        <v/>
      </c>
    </row>
    <row r="1190" spans="2:5" x14ac:dyDescent="0.3">
      <c r="B1190" s="2" t="str">
        <f>MID(TableQR[[#This Row],[QR CODES]],4,13)</f>
        <v/>
      </c>
      <c r="C1190" s="2" t="str">
        <f>IFERROR(VLOOKUP(TableQR[[#This Row],[BARCODES]],ILACLISTE[#All],2,0),"")</f>
        <v/>
      </c>
      <c r="D1190" s="2">
        <f t="shared" si="18"/>
        <v>0</v>
      </c>
      <c r="E1190" s="14" t="str">
        <f>IFERROR(GIZLI!G1185,"")</f>
        <v/>
      </c>
    </row>
    <row r="1191" spans="2:5" x14ac:dyDescent="0.3">
      <c r="B1191" s="2" t="str">
        <f>MID(TableQR[[#This Row],[QR CODES]],4,13)</f>
        <v/>
      </c>
      <c r="C1191" s="2" t="str">
        <f>IFERROR(VLOOKUP(TableQR[[#This Row],[BARCODES]],ILACLISTE[#All],2,0),"")</f>
        <v/>
      </c>
      <c r="D1191" s="2">
        <f t="shared" si="18"/>
        <v>0</v>
      </c>
      <c r="E1191" s="14" t="str">
        <f>IFERROR(GIZLI!G1186,"")</f>
        <v/>
      </c>
    </row>
    <row r="1192" spans="2:5" x14ac:dyDescent="0.3">
      <c r="B1192" s="2" t="str">
        <f>MID(TableQR[[#This Row],[QR CODES]],4,13)</f>
        <v/>
      </c>
      <c r="C1192" s="2" t="str">
        <f>IFERROR(VLOOKUP(TableQR[[#This Row],[BARCODES]],ILACLISTE[#All],2,0),"")</f>
        <v/>
      </c>
      <c r="D1192" s="2">
        <f t="shared" si="18"/>
        <v>0</v>
      </c>
      <c r="E1192" s="14" t="str">
        <f>IFERROR(GIZLI!G1187,"")</f>
        <v/>
      </c>
    </row>
    <row r="1193" spans="2:5" x14ac:dyDescent="0.3">
      <c r="B1193" s="2" t="str">
        <f>MID(TableQR[[#This Row],[QR CODES]],4,13)</f>
        <v/>
      </c>
      <c r="C1193" s="2" t="str">
        <f>IFERROR(VLOOKUP(TableQR[[#This Row],[BARCODES]],ILACLISTE[#All],2,0),"")</f>
        <v/>
      </c>
      <c r="D1193" s="2">
        <f t="shared" si="18"/>
        <v>0</v>
      </c>
      <c r="E1193" s="14" t="str">
        <f>IFERROR(GIZLI!G1188,"")</f>
        <v/>
      </c>
    </row>
    <row r="1194" spans="2:5" x14ac:dyDescent="0.3">
      <c r="B1194" s="2" t="str">
        <f>MID(TableQR[[#This Row],[QR CODES]],4,13)</f>
        <v/>
      </c>
      <c r="C1194" s="2" t="str">
        <f>IFERROR(VLOOKUP(TableQR[[#This Row],[BARCODES]],ILACLISTE[#All],2,0),"")</f>
        <v/>
      </c>
      <c r="D1194" s="2">
        <f t="shared" si="18"/>
        <v>0</v>
      </c>
      <c r="E1194" s="14" t="str">
        <f>IFERROR(GIZLI!G1189,"")</f>
        <v/>
      </c>
    </row>
    <row r="1195" spans="2:5" x14ac:dyDescent="0.3">
      <c r="B1195" s="2" t="str">
        <f>MID(TableQR[[#This Row],[QR CODES]],4,13)</f>
        <v/>
      </c>
      <c r="C1195" s="2" t="str">
        <f>IFERROR(VLOOKUP(TableQR[[#This Row],[BARCODES]],ILACLISTE[#All],2,0),"")</f>
        <v/>
      </c>
      <c r="D1195" s="2">
        <f t="shared" si="18"/>
        <v>0</v>
      </c>
      <c r="E1195" s="14" t="str">
        <f>IFERROR(GIZLI!G1190,"")</f>
        <v/>
      </c>
    </row>
    <row r="1196" spans="2:5" x14ac:dyDescent="0.3">
      <c r="B1196" s="2" t="str">
        <f>MID(TableQR[[#This Row],[QR CODES]],4,13)</f>
        <v/>
      </c>
      <c r="C1196" s="2" t="str">
        <f>IFERROR(VLOOKUP(TableQR[[#This Row],[BARCODES]],ILACLISTE[#All],2,0),"")</f>
        <v/>
      </c>
      <c r="D1196" s="2">
        <f t="shared" si="18"/>
        <v>0</v>
      </c>
      <c r="E1196" s="14" t="str">
        <f>IFERROR(GIZLI!G1191,"")</f>
        <v/>
      </c>
    </row>
    <row r="1197" spans="2:5" x14ac:dyDescent="0.3">
      <c r="B1197" s="2" t="str">
        <f>MID(TableQR[[#This Row],[QR CODES]],4,13)</f>
        <v/>
      </c>
      <c r="C1197" s="2" t="str">
        <f>IFERROR(VLOOKUP(TableQR[[#This Row],[BARCODES]],ILACLISTE[#All],2,0),"")</f>
        <v/>
      </c>
      <c r="D1197" s="2">
        <f t="shared" si="18"/>
        <v>0</v>
      </c>
      <c r="E1197" s="14" t="str">
        <f>IFERROR(GIZLI!G1192,"")</f>
        <v/>
      </c>
    </row>
    <row r="1198" spans="2:5" x14ac:dyDescent="0.3">
      <c r="B1198" s="2" t="str">
        <f>MID(TableQR[[#This Row],[QR CODES]],4,13)</f>
        <v/>
      </c>
      <c r="C1198" s="2" t="str">
        <f>IFERROR(VLOOKUP(TableQR[[#This Row],[BARCODES]],ILACLISTE[#All],2,0),"")</f>
        <v/>
      </c>
      <c r="D1198" s="2">
        <f t="shared" si="18"/>
        <v>0</v>
      </c>
      <c r="E1198" s="14" t="str">
        <f>IFERROR(GIZLI!G1193,"")</f>
        <v/>
      </c>
    </row>
    <row r="1199" spans="2:5" x14ac:dyDescent="0.3">
      <c r="B1199" s="2" t="str">
        <f>MID(TableQR[[#This Row],[QR CODES]],4,13)</f>
        <v/>
      </c>
      <c r="C1199" s="2" t="str">
        <f>IFERROR(VLOOKUP(TableQR[[#This Row],[BARCODES]],ILACLISTE[#All],2,0),"")</f>
        <v/>
      </c>
      <c r="D1199" s="2">
        <f t="shared" si="18"/>
        <v>0</v>
      </c>
      <c r="E1199" s="14" t="str">
        <f>IFERROR(GIZLI!G1194,"")</f>
        <v/>
      </c>
    </row>
    <row r="1200" spans="2:5" x14ac:dyDescent="0.3">
      <c r="B1200" s="2" t="str">
        <f>MID(TableQR[[#This Row],[QR CODES]],4,13)</f>
        <v/>
      </c>
      <c r="C1200" s="2" t="str">
        <f>IFERROR(VLOOKUP(TableQR[[#This Row],[BARCODES]],ILACLISTE[#All],2,0),"")</f>
        <v/>
      </c>
      <c r="D1200" s="2">
        <f t="shared" si="18"/>
        <v>0</v>
      </c>
      <c r="E1200" s="14" t="str">
        <f>IFERROR(GIZLI!G1195,"")</f>
        <v/>
      </c>
    </row>
    <row r="1201" spans="2:5" x14ac:dyDescent="0.3">
      <c r="B1201" s="2" t="str">
        <f>MID(TableQR[[#This Row],[QR CODES]],4,13)</f>
        <v/>
      </c>
      <c r="C1201" s="2" t="str">
        <f>IFERROR(VLOOKUP(TableQR[[#This Row],[BARCODES]],ILACLISTE[#All],2,0),"")</f>
        <v/>
      </c>
      <c r="D1201" s="2">
        <f t="shared" si="18"/>
        <v>0</v>
      </c>
      <c r="E1201" s="14" t="str">
        <f>IFERROR(GIZLI!G1196,"")</f>
        <v/>
      </c>
    </row>
    <row r="1202" spans="2:5" x14ac:dyDescent="0.3">
      <c r="B1202" s="2" t="str">
        <f>MID(TableQR[[#This Row],[QR CODES]],4,13)</f>
        <v/>
      </c>
      <c r="C1202" s="2" t="str">
        <f>IFERROR(VLOOKUP(TableQR[[#This Row],[BARCODES]],ILACLISTE[#All],2,0),"")</f>
        <v/>
      </c>
      <c r="D1202" s="2">
        <f t="shared" si="18"/>
        <v>0</v>
      </c>
      <c r="E1202" s="14" t="str">
        <f>IFERROR(GIZLI!G1197,"")</f>
        <v/>
      </c>
    </row>
    <row r="1203" spans="2:5" x14ac:dyDescent="0.3">
      <c r="B1203" s="2" t="str">
        <f>MID(TableQR[[#This Row],[QR CODES]],4,13)</f>
        <v/>
      </c>
      <c r="C1203" s="2" t="str">
        <f>IFERROR(VLOOKUP(TableQR[[#This Row],[BARCODES]],ILACLISTE[#All],2,0),"")</f>
        <v/>
      </c>
      <c r="D1203" s="2">
        <f t="shared" si="18"/>
        <v>0</v>
      </c>
      <c r="E1203" s="14" t="str">
        <f>IFERROR(GIZLI!G1198,"")</f>
        <v/>
      </c>
    </row>
    <row r="1204" spans="2:5" x14ac:dyDescent="0.3">
      <c r="B1204" s="2" t="str">
        <f>MID(TableQR[[#This Row],[QR CODES]],4,13)</f>
        <v/>
      </c>
      <c r="C1204" s="2" t="str">
        <f>IFERROR(VLOOKUP(TableQR[[#This Row],[BARCODES]],ILACLISTE[#All],2,0),"")</f>
        <v/>
      </c>
      <c r="D1204" s="2">
        <f t="shared" si="18"/>
        <v>0</v>
      </c>
      <c r="E1204" s="14" t="str">
        <f>IFERROR(GIZLI!G1199,"")</f>
        <v/>
      </c>
    </row>
    <row r="1205" spans="2:5" x14ac:dyDescent="0.3">
      <c r="B1205" s="2" t="str">
        <f>MID(TableQR[[#This Row],[QR CODES]],4,13)</f>
        <v/>
      </c>
      <c r="C1205" s="2" t="str">
        <f>IFERROR(VLOOKUP(TableQR[[#This Row],[BARCODES]],ILACLISTE[#All],2,0),"")</f>
        <v/>
      </c>
      <c r="D1205" s="2">
        <f t="shared" si="18"/>
        <v>0</v>
      </c>
      <c r="E1205" s="14" t="str">
        <f>IFERROR(GIZLI!G1200,"")</f>
        <v/>
      </c>
    </row>
    <row r="1206" spans="2:5" x14ac:dyDescent="0.3">
      <c r="B1206" s="2" t="str">
        <f>MID(TableQR[[#This Row],[QR CODES]],4,13)</f>
        <v/>
      </c>
      <c r="C1206" s="2" t="str">
        <f>IFERROR(VLOOKUP(TableQR[[#This Row],[BARCODES]],ILACLISTE[#All],2,0),"")</f>
        <v/>
      </c>
      <c r="D1206" s="2">
        <f t="shared" si="18"/>
        <v>0</v>
      </c>
      <c r="E1206" s="14" t="str">
        <f>IFERROR(GIZLI!G1201,"")</f>
        <v/>
      </c>
    </row>
    <row r="1207" spans="2:5" x14ac:dyDescent="0.3">
      <c r="B1207" s="2" t="str">
        <f>MID(TableQR[[#This Row],[QR CODES]],4,13)</f>
        <v/>
      </c>
      <c r="C1207" s="2" t="str">
        <f>IFERROR(VLOOKUP(TableQR[[#This Row],[BARCODES]],ILACLISTE[#All],2,0),"")</f>
        <v/>
      </c>
      <c r="D1207" s="2">
        <f t="shared" si="18"/>
        <v>0</v>
      </c>
      <c r="E1207" s="14" t="str">
        <f>IFERROR(GIZLI!G1202,"")</f>
        <v/>
      </c>
    </row>
    <row r="1208" spans="2:5" x14ac:dyDescent="0.3">
      <c r="B1208" s="2" t="str">
        <f>MID(TableQR[[#This Row],[QR CODES]],4,13)</f>
        <v/>
      </c>
      <c r="C1208" s="2" t="str">
        <f>IFERROR(VLOOKUP(TableQR[[#This Row],[BARCODES]],ILACLISTE[#All],2,0),"")</f>
        <v/>
      </c>
      <c r="D1208" s="2">
        <f t="shared" si="18"/>
        <v>0</v>
      </c>
      <c r="E1208" s="14" t="str">
        <f>IFERROR(GIZLI!G1203,"")</f>
        <v/>
      </c>
    </row>
    <row r="1209" spans="2:5" x14ac:dyDescent="0.3">
      <c r="B1209" s="2" t="str">
        <f>MID(TableQR[[#This Row],[QR CODES]],4,13)</f>
        <v/>
      </c>
      <c r="C1209" s="2" t="str">
        <f>IFERROR(VLOOKUP(TableQR[[#This Row],[BARCODES]],ILACLISTE[#All],2,0),"")</f>
        <v/>
      </c>
      <c r="D1209" s="2">
        <f t="shared" si="18"/>
        <v>0</v>
      </c>
      <c r="E1209" s="14" t="str">
        <f>IFERROR(GIZLI!G1204,"")</f>
        <v/>
      </c>
    </row>
    <row r="1210" spans="2:5" x14ac:dyDescent="0.3">
      <c r="B1210" s="2" t="str">
        <f>MID(TableQR[[#This Row],[QR CODES]],4,13)</f>
        <v/>
      </c>
      <c r="C1210" s="2" t="str">
        <f>IFERROR(VLOOKUP(TableQR[[#This Row],[BARCODES]],ILACLISTE[#All],2,0),"")</f>
        <v/>
      </c>
      <c r="D1210" s="2">
        <f t="shared" si="18"/>
        <v>0</v>
      </c>
      <c r="E1210" s="14" t="str">
        <f>IFERROR(GIZLI!G1205,"")</f>
        <v/>
      </c>
    </row>
    <row r="1211" spans="2:5" x14ac:dyDescent="0.3">
      <c r="B1211" s="2" t="str">
        <f>MID(TableQR[[#This Row],[QR CODES]],4,13)</f>
        <v/>
      </c>
      <c r="C1211" s="2" t="str">
        <f>IFERROR(VLOOKUP(TableQR[[#This Row],[BARCODES]],ILACLISTE[#All],2,0),"")</f>
        <v/>
      </c>
      <c r="D1211" s="2">
        <f t="shared" si="18"/>
        <v>0</v>
      </c>
      <c r="E1211" s="14" t="str">
        <f>IFERROR(GIZLI!G1206,"")</f>
        <v/>
      </c>
    </row>
    <row r="1212" spans="2:5" x14ac:dyDescent="0.3">
      <c r="B1212" s="2" t="str">
        <f>MID(TableQR[[#This Row],[QR CODES]],4,13)</f>
        <v/>
      </c>
      <c r="C1212" s="2" t="str">
        <f>IFERROR(VLOOKUP(TableQR[[#This Row],[BARCODES]],ILACLISTE[#All],2,0),"")</f>
        <v/>
      </c>
      <c r="D1212" s="2">
        <f t="shared" si="18"/>
        <v>0</v>
      </c>
      <c r="E1212" s="14" t="str">
        <f>IFERROR(GIZLI!G1207,"")</f>
        <v/>
      </c>
    </row>
    <row r="1213" spans="2:5" x14ac:dyDescent="0.3">
      <c r="B1213" s="2" t="str">
        <f>MID(TableQR[[#This Row],[QR CODES]],4,13)</f>
        <v/>
      </c>
      <c r="C1213" s="2" t="str">
        <f>IFERROR(VLOOKUP(TableQR[[#This Row],[BARCODES]],ILACLISTE[#All],2,0),"")</f>
        <v/>
      </c>
      <c r="D1213" s="2">
        <f t="shared" si="18"/>
        <v>0</v>
      </c>
      <c r="E1213" s="14" t="str">
        <f>IFERROR(GIZLI!G1208,"")</f>
        <v/>
      </c>
    </row>
    <row r="1214" spans="2:5" x14ac:dyDescent="0.3">
      <c r="B1214" s="2" t="str">
        <f>MID(TableQR[[#This Row],[QR CODES]],4,13)</f>
        <v/>
      </c>
      <c r="C1214" s="2" t="str">
        <f>IFERROR(VLOOKUP(TableQR[[#This Row],[BARCODES]],ILACLISTE[#All],2,0),"")</f>
        <v/>
      </c>
      <c r="D1214" s="2">
        <f t="shared" si="18"/>
        <v>0</v>
      </c>
      <c r="E1214" s="14" t="str">
        <f>IFERROR(GIZLI!G1209,"")</f>
        <v/>
      </c>
    </row>
    <row r="1215" spans="2:5" x14ac:dyDescent="0.3">
      <c r="B1215" s="2" t="str">
        <f>MID(TableQR[[#This Row],[QR CODES]],4,13)</f>
        <v/>
      </c>
      <c r="C1215" s="2" t="str">
        <f>IFERROR(VLOOKUP(TableQR[[#This Row],[BARCODES]],ILACLISTE[#All],2,0),"")</f>
        <v/>
      </c>
      <c r="D1215" s="2">
        <f t="shared" si="18"/>
        <v>0</v>
      </c>
      <c r="E1215" s="14" t="str">
        <f>IFERROR(GIZLI!G1210,"")</f>
        <v/>
      </c>
    </row>
    <row r="1216" spans="2:5" x14ac:dyDescent="0.3">
      <c r="B1216" s="2" t="str">
        <f>MID(TableQR[[#This Row],[QR CODES]],4,13)</f>
        <v/>
      </c>
      <c r="C1216" s="2" t="str">
        <f>IFERROR(VLOOKUP(TableQR[[#This Row],[BARCODES]],ILACLISTE[#All],2,0),"")</f>
        <v/>
      </c>
      <c r="D1216" s="2">
        <f t="shared" si="18"/>
        <v>0</v>
      </c>
      <c r="E1216" s="14" t="str">
        <f>IFERROR(GIZLI!G1211,"")</f>
        <v/>
      </c>
    </row>
    <row r="1217" spans="2:5" x14ac:dyDescent="0.3">
      <c r="B1217" s="2" t="str">
        <f>MID(TableQR[[#This Row],[QR CODES]],4,13)</f>
        <v/>
      </c>
      <c r="C1217" s="2" t="str">
        <f>IFERROR(VLOOKUP(TableQR[[#This Row],[BARCODES]],ILACLISTE[#All],2,0),"")</f>
        <v/>
      </c>
      <c r="D1217" s="2">
        <f t="shared" si="18"/>
        <v>0</v>
      </c>
      <c r="E1217" s="14" t="str">
        <f>IFERROR(GIZLI!G1212,"")</f>
        <v/>
      </c>
    </row>
    <row r="1218" spans="2:5" x14ac:dyDescent="0.3">
      <c r="B1218" s="2" t="str">
        <f>MID(TableQR[[#This Row],[QR CODES]],4,13)</f>
        <v/>
      </c>
      <c r="C1218" s="2" t="str">
        <f>IFERROR(VLOOKUP(TableQR[[#This Row],[BARCODES]],ILACLISTE[#All],2,0),"")</f>
        <v/>
      </c>
      <c r="D1218" s="2">
        <f t="shared" si="18"/>
        <v>0</v>
      </c>
      <c r="E1218" s="14" t="str">
        <f>IFERROR(GIZLI!G1213,"")</f>
        <v/>
      </c>
    </row>
    <row r="1219" spans="2:5" x14ac:dyDescent="0.3">
      <c r="B1219" s="2" t="str">
        <f>MID(TableQR[[#This Row],[QR CODES]],4,13)</f>
        <v/>
      </c>
      <c r="C1219" s="2" t="str">
        <f>IFERROR(VLOOKUP(TableQR[[#This Row],[BARCODES]],ILACLISTE[#All],2,0),"")</f>
        <v/>
      </c>
      <c r="D1219" s="2">
        <f t="shared" si="18"/>
        <v>0</v>
      </c>
      <c r="E1219" s="14" t="str">
        <f>IFERROR(GIZLI!G1214,"")</f>
        <v/>
      </c>
    </row>
    <row r="1220" spans="2:5" x14ac:dyDescent="0.3">
      <c r="B1220" s="2" t="str">
        <f>MID(TableQR[[#This Row],[QR CODES]],4,13)</f>
        <v/>
      </c>
      <c r="C1220" s="2" t="str">
        <f>IFERROR(VLOOKUP(TableQR[[#This Row],[BARCODES]],ILACLISTE[#All],2,0),"")</f>
        <v/>
      </c>
      <c r="D1220" s="2">
        <f t="shared" si="18"/>
        <v>0</v>
      </c>
      <c r="E1220" s="14" t="str">
        <f>IFERROR(GIZLI!G1215,"")</f>
        <v/>
      </c>
    </row>
    <row r="1221" spans="2:5" x14ac:dyDescent="0.3">
      <c r="B1221" s="2" t="str">
        <f>MID(TableQR[[#This Row],[QR CODES]],4,13)</f>
        <v/>
      </c>
      <c r="C1221" s="2" t="str">
        <f>IFERROR(VLOOKUP(TableQR[[#This Row],[BARCODES]],ILACLISTE[#All],2,0),"")</f>
        <v/>
      </c>
      <c r="D1221" s="2">
        <f t="shared" si="18"/>
        <v>0</v>
      </c>
      <c r="E1221" s="14" t="str">
        <f>IFERROR(GIZLI!G1216,"")</f>
        <v/>
      </c>
    </row>
    <row r="1222" spans="2:5" x14ac:dyDescent="0.3">
      <c r="B1222" s="2" t="str">
        <f>MID(TableQR[[#This Row],[QR CODES]],4,13)</f>
        <v/>
      </c>
      <c r="C1222" s="2" t="str">
        <f>IFERROR(VLOOKUP(TableQR[[#This Row],[BARCODES]],ILACLISTE[#All],2,0),"")</f>
        <v/>
      </c>
      <c r="D1222" s="2">
        <f t="shared" si="18"/>
        <v>0</v>
      </c>
      <c r="E1222" s="14" t="str">
        <f>IFERROR(GIZLI!G1217,"")</f>
        <v/>
      </c>
    </row>
    <row r="1223" spans="2:5" x14ac:dyDescent="0.3">
      <c r="B1223" s="2" t="str">
        <f>MID(TableQR[[#This Row],[QR CODES]],4,13)</f>
        <v/>
      </c>
      <c r="C1223" s="2" t="str">
        <f>IFERROR(VLOOKUP(TableQR[[#This Row],[BARCODES]],ILACLISTE[#All],2,0),"")</f>
        <v/>
      </c>
      <c r="D1223" s="2">
        <f t="shared" si="18"/>
        <v>0</v>
      </c>
      <c r="E1223" s="14" t="str">
        <f>IFERROR(GIZLI!G1218,"")</f>
        <v/>
      </c>
    </row>
    <row r="1224" spans="2:5" x14ac:dyDescent="0.3">
      <c r="B1224" s="2" t="str">
        <f>MID(TableQR[[#This Row],[QR CODES]],4,13)</f>
        <v/>
      </c>
      <c r="C1224" s="2" t="str">
        <f>IFERROR(VLOOKUP(TableQR[[#This Row],[BARCODES]],ILACLISTE[#All],2,0),"")</f>
        <v/>
      </c>
      <c r="D1224" s="2">
        <f t="shared" ref="D1224:D1287" si="19">COUNTIF(B1224:B5217,IF(B1224="",66666,B1224))</f>
        <v>0</v>
      </c>
      <c r="E1224" s="14" t="str">
        <f>IFERROR(GIZLI!G1219,"")</f>
        <v/>
      </c>
    </row>
    <row r="1225" spans="2:5" x14ac:dyDescent="0.3">
      <c r="B1225" s="2" t="str">
        <f>MID(TableQR[[#This Row],[QR CODES]],4,13)</f>
        <v/>
      </c>
      <c r="C1225" s="2" t="str">
        <f>IFERROR(VLOOKUP(TableQR[[#This Row],[BARCODES]],ILACLISTE[#All],2,0),"")</f>
        <v/>
      </c>
      <c r="D1225" s="2">
        <f t="shared" si="19"/>
        <v>0</v>
      </c>
      <c r="E1225" s="14" t="str">
        <f>IFERROR(GIZLI!G1220,"")</f>
        <v/>
      </c>
    </row>
    <row r="1226" spans="2:5" x14ac:dyDescent="0.3">
      <c r="B1226" s="2" t="str">
        <f>MID(TableQR[[#This Row],[QR CODES]],4,13)</f>
        <v/>
      </c>
      <c r="C1226" s="2" t="str">
        <f>IFERROR(VLOOKUP(TableQR[[#This Row],[BARCODES]],ILACLISTE[#All],2,0),"")</f>
        <v/>
      </c>
      <c r="D1226" s="2">
        <f t="shared" si="19"/>
        <v>0</v>
      </c>
      <c r="E1226" s="14" t="str">
        <f>IFERROR(GIZLI!G1221,"")</f>
        <v/>
      </c>
    </row>
    <row r="1227" spans="2:5" x14ac:dyDescent="0.3">
      <c r="B1227" s="2" t="str">
        <f>MID(TableQR[[#This Row],[QR CODES]],4,13)</f>
        <v/>
      </c>
      <c r="C1227" s="2" t="str">
        <f>IFERROR(VLOOKUP(TableQR[[#This Row],[BARCODES]],ILACLISTE[#All],2,0),"")</f>
        <v/>
      </c>
      <c r="D1227" s="2">
        <f t="shared" si="19"/>
        <v>0</v>
      </c>
      <c r="E1227" s="14" t="str">
        <f>IFERROR(GIZLI!G1222,"")</f>
        <v/>
      </c>
    </row>
    <row r="1228" spans="2:5" x14ac:dyDescent="0.3">
      <c r="B1228" s="2" t="str">
        <f>MID(TableQR[[#This Row],[QR CODES]],4,13)</f>
        <v/>
      </c>
      <c r="C1228" s="2" t="str">
        <f>IFERROR(VLOOKUP(TableQR[[#This Row],[BARCODES]],ILACLISTE[#All],2,0),"")</f>
        <v/>
      </c>
      <c r="D1228" s="2">
        <f t="shared" si="19"/>
        <v>0</v>
      </c>
      <c r="E1228" s="14" t="str">
        <f>IFERROR(GIZLI!G1223,"")</f>
        <v/>
      </c>
    </row>
    <row r="1229" spans="2:5" x14ac:dyDescent="0.3">
      <c r="B1229" s="2" t="str">
        <f>MID(TableQR[[#This Row],[QR CODES]],4,13)</f>
        <v/>
      </c>
      <c r="C1229" s="2" t="str">
        <f>IFERROR(VLOOKUP(TableQR[[#This Row],[BARCODES]],ILACLISTE[#All],2,0),"")</f>
        <v/>
      </c>
      <c r="D1229" s="2">
        <f t="shared" si="19"/>
        <v>0</v>
      </c>
      <c r="E1229" s="14" t="str">
        <f>IFERROR(GIZLI!G1224,"")</f>
        <v/>
      </c>
    </row>
    <row r="1230" spans="2:5" x14ac:dyDescent="0.3">
      <c r="B1230" s="2" t="str">
        <f>MID(TableQR[[#This Row],[QR CODES]],4,13)</f>
        <v/>
      </c>
      <c r="C1230" s="2" t="str">
        <f>IFERROR(VLOOKUP(TableQR[[#This Row],[BARCODES]],ILACLISTE[#All],2,0),"")</f>
        <v/>
      </c>
      <c r="D1230" s="2">
        <f t="shared" si="19"/>
        <v>0</v>
      </c>
      <c r="E1230" s="14" t="str">
        <f>IFERROR(GIZLI!G1225,"")</f>
        <v/>
      </c>
    </row>
    <row r="1231" spans="2:5" x14ac:dyDescent="0.3">
      <c r="B1231" s="2" t="str">
        <f>MID(TableQR[[#This Row],[QR CODES]],4,13)</f>
        <v/>
      </c>
      <c r="C1231" s="2" t="str">
        <f>IFERROR(VLOOKUP(TableQR[[#This Row],[BARCODES]],ILACLISTE[#All],2,0),"")</f>
        <v/>
      </c>
      <c r="D1231" s="2">
        <f t="shared" si="19"/>
        <v>0</v>
      </c>
      <c r="E1231" s="14" t="str">
        <f>IFERROR(GIZLI!G1226,"")</f>
        <v/>
      </c>
    </row>
    <row r="1232" spans="2:5" x14ac:dyDescent="0.3">
      <c r="B1232" s="2" t="str">
        <f>MID(TableQR[[#This Row],[QR CODES]],4,13)</f>
        <v/>
      </c>
      <c r="C1232" s="2" t="str">
        <f>IFERROR(VLOOKUP(TableQR[[#This Row],[BARCODES]],ILACLISTE[#All],2,0),"")</f>
        <v/>
      </c>
      <c r="D1232" s="2">
        <f t="shared" si="19"/>
        <v>0</v>
      </c>
      <c r="E1232" s="14" t="str">
        <f>IFERROR(GIZLI!G1227,"")</f>
        <v/>
      </c>
    </row>
    <row r="1233" spans="2:5" x14ac:dyDescent="0.3">
      <c r="B1233" s="2" t="str">
        <f>MID(TableQR[[#This Row],[QR CODES]],4,13)</f>
        <v/>
      </c>
      <c r="C1233" s="2" t="str">
        <f>IFERROR(VLOOKUP(TableQR[[#This Row],[BARCODES]],ILACLISTE[#All],2,0),"")</f>
        <v/>
      </c>
      <c r="D1233" s="2">
        <f t="shared" si="19"/>
        <v>0</v>
      </c>
      <c r="E1233" s="14" t="str">
        <f>IFERROR(GIZLI!G1228,"")</f>
        <v/>
      </c>
    </row>
    <row r="1234" spans="2:5" x14ac:dyDescent="0.3">
      <c r="B1234" s="2" t="str">
        <f>MID(TableQR[[#This Row],[QR CODES]],4,13)</f>
        <v/>
      </c>
      <c r="C1234" s="2" t="str">
        <f>IFERROR(VLOOKUP(TableQR[[#This Row],[BARCODES]],ILACLISTE[#All],2,0),"")</f>
        <v/>
      </c>
      <c r="D1234" s="2">
        <f t="shared" si="19"/>
        <v>0</v>
      </c>
      <c r="E1234" s="14" t="str">
        <f>IFERROR(GIZLI!G1229,"")</f>
        <v/>
      </c>
    </row>
    <row r="1235" spans="2:5" x14ac:dyDescent="0.3">
      <c r="B1235" s="2" t="str">
        <f>MID(TableQR[[#This Row],[QR CODES]],4,13)</f>
        <v/>
      </c>
      <c r="C1235" s="2" t="str">
        <f>IFERROR(VLOOKUP(TableQR[[#This Row],[BARCODES]],ILACLISTE[#All],2,0),"")</f>
        <v/>
      </c>
      <c r="D1235" s="2">
        <f t="shared" si="19"/>
        <v>0</v>
      </c>
      <c r="E1235" s="14" t="str">
        <f>IFERROR(GIZLI!G1230,"")</f>
        <v/>
      </c>
    </row>
    <row r="1236" spans="2:5" x14ac:dyDescent="0.3">
      <c r="B1236" s="2" t="str">
        <f>MID(TableQR[[#This Row],[QR CODES]],4,13)</f>
        <v/>
      </c>
      <c r="C1236" s="2" t="str">
        <f>IFERROR(VLOOKUP(TableQR[[#This Row],[BARCODES]],ILACLISTE[#All],2,0),"")</f>
        <v/>
      </c>
      <c r="D1236" s="2">
        <f t="shared" si="19"/>
        <v>0</v>
      </c>
      <c r="E1236" s="14" t="str">
        <f>IFERROR(GIZLI!G1231,"")</f>
        <v/>
      </c>
    </row>
    <row r="1237" spans="2:5" x14ac:dyDescent="0.3">
      <c r="B1237" s="2" t="str">
        <f>MID(TableQR[[#This Row],[QR CODES]],4,13)</f>
        <v/>
      </c>
      <c r="C1237" s="2" t="str">
        <f>IFERROR(VLOOKUP(TableQR[[#This Row],[BARCODES]],ILACLISTE[#All],2,0),"")</f>
        <v/>
      </c>
      <c r="D1237" s="2">
        <f t="shared" si="19"/>
        <v>0</v>
      </c>
      <c r="E1237" s="14" t="str">
        <f>IFERROR(GIZLI!G1232,"")</f>
        <v/>
      </c>
    </row>
    <row r="1238" spans="2:5" x14ac:dyDescent="0.3">
      <c r="B1238" s="2" t="str">
        <f>MID(TableQR[[#This Row],[QR CODES]],4,13)</f>
        <v/>
      </c>
      <c r="C1238" s="2" t="str">
        <f>IFERROR(VLOOKUP(TableQR[[#This Row],[BARCODES]],ILACLISTE[#All],2,0),"")</f>
        <v/>
      </c>
      <c r="D1238" s="2">
        <f t="shared" si="19"/>
        <v>0</v>
      </c>
      <c r="E1238" s="14" t="str">
        <f>IFERROR(GIZLI!G1233,"")</f>
        <v/>
      </c>
    </row>
    <row r="1239" spans="2:5" x14ac:dyDescent="0.3">
      <c r="B1239" s="2" t="str">
        <f>MID(TableQR[[#This Row],[QR CODES]],4,13)</f>
        <v/>
      </c>
      <c r="C1239" s="2" t="str">
        <f>IFERROR(VLOOKUP(TableQR[[#This Row],[BARCODES]],ILACLISTE[#All],2,0),"")</f>
        <v/>
      </c>
      <c r="D1239" s="2">
        <f t="shared" si="19"/>
        <v>0</v>
      </c>
      <c r="E1239" s="14" t="str">
        <f>IFERROR(GIZLI!G1234,"")</f>
        <v/>
      </c>
    </row>
    <row r="1240" spans="2:5" x14ac:dyDescent="0.3">
      <c r="B1240" s="2" t="str">
        <f>MID(TableQR[[#This Row],[QR CODES]],4,13)</f>
        <v/>
      </c>
      <c r="C1240" s="2" t="str">
        <f>IFERROR(VLOOKUP(TableQR[[#This Row],[BARCODES]],ILACLISTE[#All],2,0),"")</f>
        <v/>
      </c>
      <c r="D1240" s="2">
        <f t="shared" si="19"/>
        <v>0</v>
      </c>
      <c r="E1240" s="14" t="str">
        <f>IFERROR(GIZLI!G1235,"")</f>
        <v/>
      </c>
    </row>
    <row r="1241" spans="2:5" x14ac:dyDescent="0.3">
      <c r="B1241" s="2" t="str">
        <f>MID(TableQR[[#This Row],[QR CODES]],4,13)</f>
        <v/>
      </c>
      <c r="C1241" s="2" t="str">
        <f>IFERROR(VLOOKUP(TableQR[[#This Row],[BARCODES]],ILACLISTE[#All],2,0),"")</f>
        <v/>
      </c>
      <c r="D1241" s="2">
        <f t="shared" si="19"/>
        <v>0</v>
      </c>
      <c r="E1241" s="14" t="str">
        <f>IFERROR(GIZLI!G1236,"")</f>
        <v/>
      </c>
    </row>
    <row r="1242" spans="2:5" x14ac:dyDescent="0.3">
      <c r="B1242" s="2" t="str">
        <f>MID(TableQR[[#This Row],[QR CODES]],4,13)</f>
        <v/>
      </c>
      <c r="C1242" s="2" t="str">
        <f>IFERROR(VLOOKUP(TableQR[[#This Row],[BARCODES]],ILACLISTE[#All],2,0),"")</f>
        <v/>
      </c>
      <c r="D1242" s="2">
        <f t="shared" si="19"/>
        <v>0</v>
      </c>
      <c r="E1242" s="14" t="str">
        <f>IFERROR(GIZLI!G1237,"")</f>
        <v/>
      </c>
    </row>
    <row r="1243" spans="2:5" x14ac:dyDescent="0.3">
      <c r="B1243" s="2" t="str">
        <f>MID(TableQR[[#This Row],[QR CODES]],4,13)</f>
        <v/>
      </c>
      <c r="C1243" s="2" t="str">
        <f>IFERROR(VLOOKUP(TableQR[[#This Row],[BARCODES]],ILACLISTE[#All],2,0),"")</f>
        <v/>
      </c>
      <c r="D1243" s="2">
        <f t="shared" si="19"/>
        <v>0</v>
      </c>
      <c r="E1243" s="14" t="str">
        <f>IFERROR(GIZLI!G1238,"")</f>
        <v/>
      </c>
    </row>
    <row r="1244" spans="2:5" x14ac:dyDescent="0.3">
      <c r="B1244" s="2" t="str">
        <f>MID(TableQR[[#This Row],[QR CODES]],4,13)</f>
        <v/>
      </c>
      <c r="C1244" s="2" t="str">
        <f>IFERROR(VLOOKUP(TableQR[[#This Row],[BARCODES]],ILACLISTE[#All],2,0),"")</f>
        <v/>
      </c>
      <c r="D1244" s="2">
        <f t="shared" si="19"/>
        <v>0</v>
      </c>
      <c r="E1244" s="14" t="str">
        <f>IFERROR(GIZLI!G1239,"")</f>
        <v/>
      </c>
    </row>
    <row r="1245" spans="2:5" x14ac:dyDescent="0.3">
      <c r="B1245" s="2" t="str">
        <f>MID(TableQR[[#This Row],[QR CODES]],4,13)</f>
        <v/>
      </c>
      <c r="C1245" s="2" t="str">
        <f>IFERROR(VLOOKUP(TableQR[[#This Row],[BARCODES]],ILACLISTE[#All],2,0),"")</f>
        <v/>
      </c>
      <c r="D1245" s="2">
        <f t="shared" si="19"/>
        <v>0</v>
      </c>
      <c r="E1245" s="14" t="str">
        <f>IFERROR(GIZLI!G1240,"")</f>
        <v/>
      </c>
    </row>
    <row r="1246" spans="2:5" x14ac:dyDescent="0.3">
      <c r="B1246" s="2" t="str">
        <f>MID(TableQR[[#This Row],[QR CODES]],4,13)</f>
        <v/>
      </c>
      <c r="C1246" s="2" t="str">
        <f>IFERROR(VLOOKUP(TableQR[[#This Row],[BARCODES]],ILACLISTE[#All],2,0),"")</f>
        <v/>
      </c>
      <c r="D1246" s="2">
        <f t="shared" si="19"/>
        <v>0</v>
      </c>
      <c r="E1246" s="14" t="str">
        <f>IFERROR(GIZLI!G1241,"")</f>
        <v/>
      </c>
    </row>
    <row r="1247" spans="2:5" x14ac:dyDescent="0.3">
      <c r="B1247" s="2" t="str">
        <f>MID(TableQR[[#This Row],[QR CODES]],4,13)</f>
        <v/>
      </c>
      <c r="C1247" s="2" t="str">
        <f>IFERROR(VLOOKUP(TableQR[[#This Row],[BARCODES]],ILACLISTE[#All],2,0),"")</f>
        <v/>
      </c>
      <c r="D1247" s="2">
        <f t="shared" si="19"/>
        <v>0</v>
      </c>
      <c r="E1247" s="14" t="str">
        <f>IFERROR(GIZLI!G1242,"")</f>
        <v/>
      </c>
    </row>
    <row r="1248" spans="2:5" x14ac:dyDescent="0.3">
      <c r="B1248" s="2" t="str">
        <f>MID(TableQR[[#This Row],[QR CODES]],4,13)</f>
        <v/>
      </c>
      <c r="C1248" s="2" t="str">
        <f>IFERROR(VLOOKUP(TableQR[[#This Row],[BARCODES]],ILACLISTE[#All],2,0),"")</f>
        <v/>
      </c>
      <c r="D1248" s="2">
        <f t="shared" si="19"/>
        <v>0</v>
      </c>
      <c r="E1248" s="14" t="str">
        <f>IFERROR(GIZLI!G1243,"")</f>
        <v/>
      </c>
    </row>
    <row r="1249" spans="2:5" x14ac:dyDescent="0.3">
      <c r="B1249" s="2" t="str">
        <f>MID(TableQR[[#This Row],[QR CODES]],4,13)</f>
        <v/>
      </c>
      <c r="C1249" s="2" t="str">
        <f>IFERROR(VLOOKUP(TableQR[[#This Row],[BARCODES]],ILACLISTE[#All],2,0),"")</f>
        <v/>
      </c>
      <c r="D1249" s="2">
        <f t="shared" si="19"/>
        <v>0</v>
      </c>
      <c r="E1249" s="14" t="str">
        <f>IFERROR(GIZLI!G1244,"")</f>
        <v/>
      </c>
    </row>
    <row r="1250" spans="2:5" x14ac:dyDescent="0.3">
      <c r="B1250" s="2" t="str">
        <f>MID(TableQR[[#This Row],[QR CODES]],4,13)</f>
        <v/>
      </c>
      <c r="C1250" s="2" t="str">
        <f>IFERROR(VLOOKUP(TableQR[[#This Row],[BARCODES]],ILACLISTE[#All],2,0),"")</f>
        <v/>
      </c>
      <c r="D1250" s="2">
        <f t="shared" si="19"/>
        <v>0</v>
      </c>
      <c r="E1250" s="14" t="str">
        <f>IFERROR(GIZLI!G1245,"")</f>
        <v/>
      </c>
    </row>
    <row r="1251" spans="2:5" x14ac:dyDescent="0.3">
      <c r="B1251" s="2" t="str">
        <f>MID(TableQR[[#This Row],[QR CODES]],4,13)</f>
        <v/>
      </c>
      <c r="C1251" s="2" t="str">
        <f>IFERROR(VLOOKUP(TableQR[[#This Row],[BARCODES]],ILACLISTE[#All],2,0),"")</f>
        <v/>
      </c>
      <c r="D1251" s="2">
        <f t="shared" si="19"/>
        <v>0</v>
      </c>
      <c r="E1251" s="14" t="str">
        <f>IFERROR(GIZLI!G1246,"")</f>
        <v/>
      </c>
    </row>
    <row r="1252" spans="2:5" x14ac:dyDescent="0.3">
      <c r="B1252" s="2" t="str">
        <f>MID(TableQR[[#This Row],[QR CODES]],4,13)</f>
        <v/>
      </c>
      <c r="C1252" s="2" t="str">
        <f>IFERROR(VLOOKUP(TableQR[[#This Row],[BARCODES]],ILACLISTE[#All],2,0),"")</f>
        <v/>
      </c>
      <c r="D1252" s="2">
        <f t="shared" si="19"/>
        <v>0</v>
      </c>
      <c r="E1252" s="14" t="str">
        <f>IFERROR(GIZLI!G1247,"")</f>
        <v/>
      </c>
    </row>
    <row r="1253" spans="2:5" x14ac:dyDescent="0.3">
      <c r="B1253" s="2" t="str">
        <f>MID(TableQR[[#This Row],[QR CODES]],4,13)</f>
        <v/>
      </c>
      <c r="C1253" s="2" t="str">
        <f>IFERROR(VLOOKUP(TableQR[[#This Row],[BARCODES]],ILACLISTE[#All],2,0),"")</f>
        <v/>
      </c>
      <c r="D1253" s="2">
        <f t="shared" si="19"/>
        <v>0</v>
      </c>
      <c r="E1253" s="14" t="str">
        <f>IFERROR(GIZLI!G1248,"")</f>
        <v/>
      </c>
    </row>
    <row r="1254" spans="2:5" x14ac:dyDescent="0.3">
      <c r="B1254" s="2" t="str">
        <f>MID(TableQR[[#This Row],[QR CODES]],4,13)</f>
        <v/>
      </c>
      <c r="C1254" s="2" t="str">
        <f>IFERROR(VLOOKUP(TableQR[[#This Row],[BARCODES]],ILACLISTE[#All],2,0),"")</f>
        <v/>
      </c>
      <c r="D1254" s="2">
        <f t="shared" si="19"/>
        <v>0</v>
      </c>
      <c r="E1254" s="14" t="str">
        <f>IFERROR(GIZLI!G1249,"")</f>
        <v/>
      </c>
    </row>
    <row r="1255" spans="2:5" x14ac:dyDescent="0.3">
      <c r="B1255" s="2" t="str">
        <f>MID(TableQR[[#This Row],[QR CODES]],4,13)</f>
        <v/>
      </c>
      <c r="C1255" s="2" t="str">
        <f>IFERROR(VLOOKUP(TableQR[[#This Row],[BARCODES]],ILACLISTE[#All],2,0),"")</f>
        <v/>
      </c>
      <c r="D1255" s="2">
        <f t="shared" si="19"/>
        <v>0</v>
      </c>
      <c r="E1255" s="14" t="str">
        <f>IFERROR(GIZLI!G1250,"")</f>
        <v/>
      </c>
    </row>
    <row r="1256" spans="2:5" x14ac:dyDescent="0.3">
      <c r="B1256" s="2" t="str">
        <f>MID(TableQR[[#This Row],[QR CODES]],4,13)</f>
        <v/>
      </c>
      <c r="C1256" s="2" t="str">
        <f>IFERROR(VLOOKUP(TableQR[[#This Row],[BARCODES]],ILACLISTE[#All],2,0),"")</f>
        <v/>
      </c>
      <c r="D1256" s="2">
        <f t="shared" si="19"/>
        <v>0</v>
      </c>
      <c r="E1256" s="14" t="str">
        <f>IFERROR(GIZLI!G1251,"")</f>
        <v/>
      </c>
    </row>
    <row r="1257" spans="2:5" x14ac:dyDescent="0.3">
      <c r="B1257" s="2" t="str">
        <f>MID(TableQR[[#This Row],[QR CODES]],4,13)</f>
        <v/>
      </c>
      <c r="C1257" s="2" t="str">
        <f>IFERROR(VLOOKUP(TableQR[[#This Row],[BARCODES]],ILACLISTE[#All],2,0),"")</f>
        <v/>
      </c>
      <c r="D1257" s="2">
        <f t="shared" si="19"/>
        <v>0</v>
      </c>
      <c r="E1257" s="14" t="str">
        <f>IFERROR(GIZLI!G1252,"")</f>
        <v/>
      </c>
    </row>
    <row r="1258" spans="2:5" x14ac:dyDescent="0.3">
      <c r="B1258" s="2" t="str">
        <f>MID(TableQR[[#This Row],[QR CODES]],4,13)</f>
        <v/>
      </c>
      <c r="C1258" s="2" t="str">
        <f>IFERROR(VLOOKUP(TableQR[[#This Row],[BARCODES]],ILACLISTE[#All],2,0),"")</f>
        <v/>
      </c>
      <c r="D1258" s="2">
        <f t="shared" si="19"/>
        <v>0</v>
      </c>
      <c r="E1258" s="14" t="str">
        <f>IFERROR(GIZLI!G1253,"")</f>
        <v/>
      </c>
    </row>
    <row r="1259" spans="2:5" x14ac:dyDescent="0.3">
      <c r="B1259" s="2" t="str">
        <f>MID(TableQR[[#This Row],[QR CODES]],4,13)</f>
        <v/>
      </c>
      <c r="C1259" s="2" t="str">
        <f>IFERROR(VLOOKUP(TableQR[[#This Row],[BARCODES]],ILACLISTE[#All],2,0),"")</f>
        <v/>
      </c>
      <c r="D1259" s="2">
        <f t="shared" si="19"/>
        <v>0</v>
      </c>
      <c r="E1259" s="14" t="str">
        <f>IFERROR(GIZLI!G1254,"")</f>
        <v/>
      </c>
    </row>
    <row r="1260" spans="2:5" x14ac:dyDescent="0.3">
      <c r="B1260" s="2" t="str">
        <f>MID(TableQR[[#This Row],[QR CODES]],4,13)</f>
        <v/>
      </c>
      <c r="C1260" s="2" t="str">
        <f>IFERROR(VLOOKUP(TableQR[[#This Row],[BARCODES]],ILACLISTE[#All],2,0),"")</f>
        <v/>
      </c>
      <c r="D1260" s="2">
        <f t="shared" si="19"/>
        <v>0</v>
      </c>
      <c r="E1260" s="14" t="str">
        <f>IFERROR(GIZLI!G1255,"")</f>
        <v/>
      </c>
    </row>
    <row r="1261" spans="2:5" x14ac:dyDescent="0.3">
      <c r="B1261" s="2" t="str">
        <f>MID(TableQR[[#This Row],[QR CODES]],4,13)</f>
        <v/>
      </c>
      <c r="C1261" s="2" t="str">
        <f>IFERROR(VLOOKUP(TableQR[[#This Row],[BARCODES]],ILACLISTE[#All],2,0),"")</f>
        <v/>
      </c>
      <c r="D1261" s="2">
        <f t="shared" si="19"/>
        <v>0</v>
      </c>
      <c r="E1261" s="14" t="str">
        <f>IFERROR(GIZLI!G1256,"")</f>
        <v/>
      </c>
    </row>
    <row r="1262" spans="2:5" x14ac:dyDescent="0.3">
      <c r="B1262" s="2" t="str">
        <f>MID(TableQR[[#This Row],[QR CODES]],4,13)</f>
        <v/>
      </c>
      <c r="C1262" s="2" t="str">
        <f>IFERROR(VLOOKUP(TableQR[[#This Row],[BARCODES]],ILACLISTE[#All],2,0),"")</f>
        <v/>
      </c>
      <c r="D1262" s="2">
        <f t="shared" si="19"/>
        <v>0</v>
      </c>
      <c r="E1262" s="14" t="str">
        <f>IFERROR(GIZLI!G1257,"")</f>
        <v/>
      </c>
    </row>
    <row r="1263" spans="2:5" x14ac:dyDescent="0.3">
      <c r="B1263" s="2" t="str">
        <f>MID(TableQR[[#This Row],[QR CODES]],4,13)</f>
        <v/>
      </c>
      <c r="C1263" s="2" t="str">
        <f>IFERROR(VLOOKUP(TableQR[[#This Row],[BARCODES]],ILACLISTE[#All],2,0),"")</f>
        <v/>
      </c>
      <c r="D1263" s="2">
        <f t="shared" si="19"/>
        <v>0</v>
      </c>
      <c r="E1263" s="14" t="str">
        <f>IFERROR(GIZLI!G1258,"")</f>
        <v/>
      </c>
    </row>
    <row r="1264" spans="2:5" x14ac:dyDescent="0.3">
      <c r="B1264" s="2" t="str">
        <f>MID(TableQR[[#This Row],[QR CODES]],4,13)</f>
        <v/>
      </c>
      <c r="C1264" s="2" t="str">
        <f>IFERROR(VLOOKUP(TableQR[[#This Row],[BARCODES]],ILACLISTE[#All],2,0),"")</f>
        <v/>
      </c>
      <c r="D1264" s="2">
        <f t="shared" si="19"/>
        <v>0</v>
      </c>
      <c r="E1264" s="14" t="str">
        <f>IFERROR(GIZLI!G1259,"")</f>
        <v/>
      </c>
    </row>
    <row r="1265" spans="2:5" x14ac:dyDescent="0.3">
      <c r="B1265" s="2" t="str">
        <f>MID(TableQR[[#This Row],[QR CODES]],4,13)</f>
        <v/>
      </c>
      <c r="C1265" s="2" t="str">
        <f>IFERROR(VLOOKUP(TableQR[[#This Row],[BARCODES]],ILACLISTE[#All],2,0),"")</f>
        <v/>
      </c>
      <c r="D1265" s="2">
        <f t="shared" si="19"/>
        <v>0</v>
      </c>
      <c r="E1265" s="14" t="str">
        <f>IFERROR(GIZLI!G1260,"")</f>
        <v/>
      </c>
    </row>
    <row r="1266" spans="2:5" x14ac:dyDescent="0.3">
      <c r="B1266" s="2" t="str">
        <f>MID(TableQR[[#This Row],[QR CODES]],4,13)</f>
        <v/>
      </c>
      <c r="C1266" s="2" t="str">
        <f>IFERROR(VLOOKUP(TableQR[[#This Row],[BARCODES]],ILACLISTE[#All],2,0),"")</f>
        <v/>
      </c>
      <c r="D1266" s="2">
        <f t="shared" si="19"/>
        <v>0</v>
      </c>
      <c r="E1266" s="14" t="str">
        <f>IFERROR(GIZLI!G1261,"")</f>
        <v/>
      </c>
    </row>
    <row r="1267" spans="2:5" x14ac:dyDescent="0.3">
      <c r="B1267" s="2" t="str">
        <f>MID(TableQR[[#This Row],[QR CODES]],4,13)</f>
        <v/>
      </c>
      <c r="C1267" s="2" t="str">
        <f>IFERROR(VLOOKUP(TableQR[[#This Row],[BARCODES]],ILACLISTE[#All],2,0),"")</f>
        <v/>
      </c>
      <c r="D1267" s="2">
        <f t="shared" si="19"/>
        <v>0</v>
      </c>
      <c r="E1267" s="14" t="str">
        <f>IFERROR(GIZLI!G1262,"")</f>
        <v/>
      </c>
    </row>
    <row r="1268" spans="2:5" x14ac:dyDescent="0.3">
      <c r="B1268" s="2" t="str">
        <f>MID(TableQR[[#This Row],[QR CODES]],4,13)</f>
        <v/>
      </c>
      <c r="C1268" s="2" t="str">
        <f>IFERROR(VLOOKUP(TableQR[[#This Row],[BARCODES]],ILACLISTE[#All],2,0),"")</f>
        <v/>
      </c>
      <c r="D1268" s="2">
        <f t="shared" si="19"/>
        <v>0</v>
      </c>
      <c r="E1268" s="14" t="str">
        <f>IFERROR(GIZLI!G1263,"")</f>
        <v/>
      </c>
    </row>
    <row r="1269" spans="2:5" x14ac:dyDescent="0.3">
      <c r="B1269" s="2" t="str">
        <f>MID(TableQR[[#This Row],[QR CODES]],4,13)</f>
        <v/>
      </c>
      <c r="C1269" s="2" t="str">
        <f>IFERROR(VLOOKUP(TableQR[[#This Row],[BARCODES]],ILACLISTE[#All],2,0),"")</f>
        <v/>
      </c>
      <c r="D1269" s="2">
        <f t="shared" si="19"/>
        <v>0</v>
      </c>
      <c r="E1269" s="14" t="str">
        <f>IFERROR(GIZLI!G1264,"")</f>
        <v/>
      </c>
    </row>
    <row r="1270" spans="2:5" x14ac:dyDescent="0.3">
      <c r="B1270" s="2" t="str">
        <f>MID(TableQR[[#This Row],[QR CODES]],4,13)</f>
        <v/>
      </c>
      <c r="C1270" s="2" t="str">
        <f>IFERROR(VLOOKUP(TableQR[[#This Row],[BARCODES]],ILACLISTE[#All],2,0),"")</f>
        <v/>
      </c>
      <c r="D1270" s="2">
        <f t="shared" si="19"/>
        <v>0</v>
      </c>
      <c r="E1270" s="14" t="str">
        <f>IFERROR(GIZLI!G1265,"")</f>
        <v/>
      </c>
    </row>
    <row r="1271" spans="2:5" x14ac:dyDescent="0.3">
      <c r="B1271" s="2" t="str">
        <f>MID(TableQR[[#This Row],[QR CODES]],4,13)</f>
        <v/>
      </c>
      <c r="C1271" s="2" t="str">
        <f>IFERROR(VLOOKUP(TableQR[[#This Row],[BARCODES]],ILACLISTE[#All],2,0),"")</f>
        <v/>
      </c>
      <c r="D1271" s="2">
        <f t="shared" si="19"/>
        <v>0</v>
      </c>
      <c r="E1271" s="14" t="str">
        <f>IFERROR(GIZLI!G1266,"")</f>
        <v/>
      </c>
    </row>
    <row r="1272" spans="2:5" x14ac:dyDescent="0.3">
      <c r="B1272" s="2" t="str">
        <f>MID(TableQR[[#This Row],[QR CODES]],4,13)</f>
        <v/>
      </c>
      <c r="C1272" s="2" t="str">
        <f>IFERROR(VLOOKUP(TableQR[[#This Row],[BARCODES]],ILACLISTE[#All],2,0),"")</f>
        <v/>
      </c>
      <c r="D1272" s="2">
        <f t="shared" si="19"/>
        <v>0</v>
      </c>
      <c r="E1272" s="14" t="str">
        <f>IFERROR(GIZLI!G1267,"")</f>
        <v/>
      </c>
    </row>
    <row r="1273" spans="2:5" x14ac:dyDescent="0.3">
      <c r="B1273" s="2" t="str">
        <f>MID(TableQR[[#This Row],[QR CODES]],4,13)</f>
        <v/>
      </c>
      <c r="C1273" s="2" t="str">
        <f>IFERROR(VLOOKUP(TableQR[[#This Row],[BARCODES]],ILACLISTE[#All],2,0),"")</f>
        <v/>
      </c>
      <c r="D1273" s="2">
        <f t="shared" si="19"/>
        <v>0</v>
      </c>
      <c r="E1273" s="14" t="str">
        <f>IFERROR(GIZLI!G1268,"")</f>
        <v/>
      </c>
    </row>
    <row r="1274" spans="2:5" x14ac:dyDescent="0.3">
      <c r="B1274" s="2" t="str">
        <f>MID(TableQR[[#This Row],[QR CODES]],4,13)</f>
        <v/>
      </c>
      <c r="C1274" s="2" t="str">
        <f>IFERROR(VLOOKUP(TableQR[[#This Row],[BARCODES]],ILACLISTE[#All],2,0),"")</f>
        <v/>
      </c>
      <c r="D1274" s="2">
        <f t="shared" si="19"/>
        <v>0</v>
      </c>
      <c r="E1274" s="14" t="str">
        <f>IFERROR(GIZLI!G1269,"")</f>
        <v/>
      </c>
    </row>
    <row r="1275" spans="2:5" x14ac:dyDescent="0.3">
      <c r="B1275" s="2" t="str">
        <f>MID(TableQR[[#This Row],[QR CODES]],4,13)</f>
        <v/>
      </c>
      <c r="C1275" s="2" t="str">
        <f>IFERROR(VLOOKUP(TableQR[[#This Row],[BARCODES]],ILACLISTE[#All],2,0),"")</f>
        <v/>
      </c>
      <c r="D1275" s="2">
        <f t="shared" si="19"/>
        <v>0</v>
      </c>
      <c r="E1275" s="14" t="str">
        <f>IFERROR(GIZLI!G1270,"")</f>
        <v/>
      </c>
    </row>
    <row r="1276" spans="2:5" x14ac:dyDescent="0.3">
      <c r="B1276" s="2" t="str">
        <f>MID(TableQR[[#This Row],[QR CODES]],4,13)</f>
        <v/>
      </c>
      <c r="C1276" s="2" t="str">
        <f>IFERROR(VLOOKUP(TableQR[[#This Row],[BARCODES]],ILACLISTE[#All],2,0),"")</f>
        <v/>
      </c>
      <c r="D1276" s="2">
        <f t="shared" si="19"/>
        <v>0</v>
      </c>
      <c r="E1276" s="14" t="str">
        <f>IFERROR(GIZLI!G1271,"")</f>
        <v/>
      </c>
    </row>
    <row r="1277" spans="2:5" x14ac:dyDescent="0.3">
      <c r="B1277" s="2" t="str">
        <f>MID(TableQR[[#This Row],[QR CODES]],4,13)</f>
        <v/>
      </c>
      <c r="C1277" s="2" t="str">
        <f>IFERROR(VLOOKUP(TableQR[[#This Row],[BARCODES]],ILACLISTE[#All],2,0),"")</f>
        <v/>
      </c>
      <c r="D1277" s="2">
        <f t="shared" si="19"/>
        <v>0</v>
      </c>
      <c r="E1277" s="14" t="str">
        <f>IFERROR(GIZLI!G1272,"")</f>
        <v/>
      </c>
    </row>
    <row r="1278" spans="2:5" x14ac:dyDescent="0.3">
      <c r="B1278" s="2" t="str">
        <f>MID(TableQR[[#This Row],[QR CODES]],4,13)</f>
        <v/>
      </c>
      <c r="C1278" s="2" t="str">
        <f>IFERROR(VLOOKUP(TableQR[[#This Row],[BARCODES]],ILACLISTE[#All],2,0),"")</f>
        <v/>
      </c>
      <c r="D1278" s="2">
        <f t="shared" si="19"/>
        <v>0</v>
      </c>
      <c r="E1278" s="14" t="str">
        <f>IFERROR(GIZLI!G1273,"")</f>
        <v/>
      </c>
    </row>
    <row r="1279" spans="2:5" x14ac:dyDescent="0.3">
      <c r="B1279" s="2" t="str">
        <f>MID(TableQR[[#This Row],[QR CODES]],4,13)</f>
        <v/>
      </c>
      <c r="C1279" s="2" t="str">
        <f>IFERROR(VLOOKUP(TableQR[[#This Row],[BARCODES]],ILACLISTE[#All],2,0),"")</f>
        <v/>
      </c>
      <c r="D1279" s="2">
        <f t="shared" si="19"/>
        <v>0</v>
      </c>
      <c r="E1279" s="14" t="str">
        <f>IFERROR(GIZLI!G1274,"")</f>
        <v/>
      </c>
    </row>
    <row r="1280" spans="2:5" x14ac:dyDescent="0.3">
      <c r="B1280" s="2" t="str">
        <f>MID(TableQR[[#This Row],[QR CODES]],4,13)</f>
        <v/>
      </c>
      <c r="C1280" s="2" t="str">
        <f>IFERROR(VLOOKUP(TableQR[[#This Row],[BARCODES]],ILACLISTE[#All],2,0),"")</f>
        <v/>
      </c>
      <c r="D1280" s="2">
        <f t="shared" si="19"/>
        <v>0</v>
      </c>
      <c r="E1280" s="14" t="str">
        <f>IFERROR(GIZLI!G1275,"")</f>
        <v/>
      </c>
    </row>
    <row r="1281" spans="2:5" x14ac:dyDescent="0.3">
      <c r="B1281" s="2" t="str">
        <f>MID(TableQR[[#This Row],[QR CODES]],4,13)</f>
        <v/>
      </c>
      <c r="C1281" s="2" t="str">
        <f>IFERROR(VLOOKUP(TableQR[[#This Row],[BARCODES]],ILACLISTE[#All],2,0),"")</f>
        <v/>
      </c>
      <c r="D1281" s="2">
        <f t="shared" si="19"/>
        <v>0</v>
      </c>
      <c r="E1281" s="14" t="str">
        <f>IFERROR(GIZLI!G1276,"")</f>
        <v/>
      </c>
    </row>
    <row r="1282" spans="2:5" x14ac:dyDescent="0.3">
      <c r="B1282" s="2" t="str">
        <f>MID(TableQR[[#This Row],[QR CODES]],4,13)</f>
        <v/>
      </c>
      <c r="C1282" s="2" t="str">
        <f>IFERROR(VLOOKUP(TableQR[[#This Row],[BARCODES]],ILACLISTE[#All],2,0),"")</f>
        <v/>
      </c>
      <c r="D1282" s="2">
        <f t="shared" si="19"/>
        <v>0</v>
      </c>
      <c r="E1282" s="14" t="str">
        <f>IFERROR(GIZLI!G1277,"")</f>
        <v/>
      </c>
    </row>
    <row r="1283" spans="2:5" x14ac:dyDescent="0.3">
      <c r="B1283" s="2" t="str">
        <f>MID(TableQR[[#This Row],[QR CODES]],4,13)</f>
        <v/>
      </c>
      <c r="C1283" s="2" t="str">
        <f>IFERROR(VLOOKUP(TableQR[[#This Row],[BARCODES]],ILACLISTE[#All],2,0),"")</f>
        <v/>
      </c>
      <c r="D1283" s="2">
        <f t="shared" si="19"/>
        <v>0</v>
      </c>
      <c r="E1283" s="14" t="str">
        <f>IFERROR(GIZLI!G1278,"")</f>
        <v/>
      </c>
    </row>
    <row r="1284" spans="2:5" x14ac:dyDescent="0.3">
      <c r="B1284" s="2" t="str">
        <f>MID(TableQR[[#This Row],[QR CODES]],4,13)</f>
        <v/>
      </c>
      <c r="C1284" s="2" t="str">
        <f>IFERROR(VLOOKUP(TableQR[[#This Row],[BARCODES]],ILACLISTE[#All],2,0),"")</f>
        <v/>
      </c>
      <c r="D1284" s="2">
        <f t="shared" si="19"/>
        <v>0</v>
      </c>
      <c r="E1284" s="14" t="str">
        <f>IFERROR(GIZLI!G1279,"")</f>
        <v/>
      </c>
    </row>
    <row r="1285" spans="2:5" x14ac:dyDescent="0.3">
      <c r="B1285" s="2" t="str">
        <f>MID(TableQR[[#This Row],[QR CODES]],4,13)</f>
        <v/>
      </c>
      <c r="C1285" s="2" t="str">
        <f>IFERROR(VLOOKUP(TableQR[[#This Row],[BARCODES]],ILACLISTE[#All],2,0),"")</f>
        <v/>
      </c>
      <c r="D1285" s="2">
        <f t="shared" si="19"/>
        <v>0</v>
      </c>
      <c r="E1285" s="14" t="str">
        <f>IFERROR(GIZLI!G1280,"")</f>
        <v/>
      </c>
    </row>
    <row r="1286" spans="2:5" x14ac:dyDescent="0.3">
      <c r="B1286" s="2" t="str">
        <f>MID(TableQR[[#This Row],[QR CODES]],4,13)</f>
        <v/>
      </c>
      <c r="C1286" s="2" t="str">
        <f>IFERROR(VLOOKUP(TableQR[[#This Row],[BARCODES]],ILACLISTE[#All],2,0),"")</f>
        <v/>
      </c>
      <c r="D1286" s="2">
        <f t="shared" si="19"/>
        <v>0</v>
      </c>
      <c r="E1286" s="14" t="str">
        <f>IFERROR(GIZLI!G1281,"")</f>
        <v/>
      </c>
    </row>
    <row r="1287" spans="2:5" x14ac:dyDescent="0.3">
      <c r="B1287" s="2" t="str">
        <f>MID(TableQR[[#This Row],[QR CODES]],4,13)</f>
        <v/>
      </c>
      <c r="C1287" s="2" t="str">
        <f>IFERROR(VLOOKUP(TableQR[[#This Row],[BARCODES]],ILACLISTE[#All],2,0),"")</f>
        <v/>
      </c>
      <c r="D1287" s="2">
        <f t="shared" si="19"/>
        <v>0</v>
      </c>
      <c r="E1287" s="14" t="str">
        <f>IFERROR(GIZLI!G1282,"")</f>
        <v/>
      </c>
    </row>
    <row r="1288" spans="2:5" x14ac:dyDescent="0.3">
      <c r="B1288" s="2" t="str">
        <f>MID(TableQR[[#This Row],[QR CODES]],4,13)</f>
        <v/>
      </c>
      <c r="C1288" s="2" t="str">
        <f>IFERROR(VLOOKUP(TableQR[[#This Row],[BARCODES]],ILACLISTE[#All],2,0),"")</f>
        <v/>
      </c>
      <c r="D1288" s="2">
        <f t="shared" ref="D1288:D1351" si="20">COUNTIF(B1288:B5281,IF(B1288="",66666,B1288))</f>
        <v>0</v>
      </c>
      <c r="E1288" s="14" t="str">
        <f>IFERROR(GIZLI!G1283,"")</f>
        <v/>
      </c>
    </row>
    <row r="1289" spans="2:5" x14ac:dyDescent="0.3">
      <c r="B1289" s="2" t="str">
        <f>MID(TableQR[[#This Row],[QR CODES]],4,13)</f>
        <v/>
      </c>
      <c r="C1289" s="2" t="str">
        <f>IFERROR(VLOOKUP(TableQR[[#This Row],[BARCODES]],ILACLISTE[#All],2,0),"")</f>
        <v/>
      </c>
      <c r="D1289" s="2">
        <f t="shared" si="20"/>
        <v>0</v>
      </c>
      <c r="E1289" s="14" t="str">
        <f>IFERROR(GIZLI!G1284,"")</f>
        <v/>
      </c>
    </row>
    <row r="1290" spans="2:5" x14ac:dyDescent="0.3">
      <c r="B1290" s="2" t="str">
        <f>MID(TableQR[[#This Row],[QR CODES]],4,13)</f>
        <v/>
      </c>
      <c r="C1290" s="2" t="str">
        <f>IFERROR(VLOOKUP(TableQR[[#This Row],[BARCODES]],ILACLISTE[#All],2,0),"")</f>
        <v/>
      </c>
      <c r="D1290" s="2">
        <f t="shared" si="20"/>
        <v>0</v>
      </c>
      <c r="E1290" s="14" t="str">
        <f>IFERROR(GIZLI!G1285,"")</f>
        <v/>
      </c>
    </row>
    <row r="1291" spans="2:5" x14ac:dyDescent="0.3">
      <c r="B1291" s="2" t="str">
        <f>MID(TableQR[[#This Row],[QR CODES]],4,13)</f>
        <v/>
      </c>
      <c r="C1291" s="2" t="str">
        <f>IFERROR(VLOOKUP(TableQR[[#This Row],[BARCODES]],ILACLISTE[#All],2,0),"")</f>
        <v/>
      </c>
      <c r="D1291" s="2">
        <f t="shared" si="20"/>
        <v>0</v>
      </c>
      <c r="E1291" s="14" t="str">
        <f>IFERROR(GIZLI!G1286,"")</f>
        <v/>
      </c>
    </row>
    <row r="1292" spans="2:5" x14ac:dyDescent="0.3">
      <c r="B1292" s="2" t="str">
        <f>MID(TableQR[[#This Row],[QR CODES]],4,13)</f>
        <v/>
      </c>
      <c r="C1292" s="2" t="str">
        <f>IFERROR(VLOOKUP(TableQR[[#This Row],[BARCODES]],ILACLISTE[#All],2,0),"")</f>
        <v/>
      </c>
      <c r="D1292" s="2">
        <f t="shared" si="20"/>
        <v>0</v>
      </c>
      <c r="E1292" s="14" t="str">
        <f>IFERROR(GIZLI!G1287,"")</f>
        <v/>
      </c>
    </row>
    <row r="1293" spans="2:5" x14ac:dyDescent="0.3">
      <c r="B1293" s="2" t="str">
        <f>MID(TableQR[[#This Row],[QR CODES]],4,13)</f>
        <v/>
      </c>
      <c r="C1293" s="2" t="str">
        <f>IFERROR(VLOOKUP(TableQR[[#This Row],[BARCODES]],ILACLISTE[#All],2,0),"")</f>
        <v/>
      </c>
      <c r="D1293" s="2">
        <f t="shared" si="20"/>
        <v>0</v>
      </c>
      <c r="E1293" s="14" t="str">
        <f>IFERROR(GIZLI!G1288,"")</f>
        <v/>
      </c>
    </row>
    <row r="1294" spans="2:5" x14ac:dyDescent="0.3">
      <c r="B1294" s="2" t="str">
        <f>MID(TableQR[[#This Row],[QR CODES]],4,13)</f>
        <v/>
      </c>
      <c r="C1294" s="2" t="str">
        <f>IFERROR(VLOOKUP(TableQR[[#This Row],[BARCODES]],ILACLISTE[#All],2,0),"")</f>
        <v/>
      </c>
      <c r="D1294" s="2">
        <f t="shared" si="20"/>
        <v>0</v>
      </c>
      <c r="E1294" s="14" t="str">
        <f>IFERROR(GIZLI!G1289,"")</f>
        <v/>
      </c>
    </row>
    <row r="1295" spans="2:5" x14ac:dyDescent="0.3">
      <c r="B1295" s="2" t="str">
        <f>MID(TableQR[[#This Row],[QR CODES]],4,13)</f>
        <v/>
      </c>
      <c r="C1295" s="2" t="str">
        <f>IFERROR(VLOOKUP(TableQR[[#This Row],[BARCODES]],ILACLISTE[#All],2,0),"")</f>
        <v/>
      </c>
      <c r="D1295" s="2">
        <f t="shared" si="20"/>
        <v>0</v>
      </c>
      <c r="E1295" s="14" t="str">
        <f>IFERROR(GIZLI!G1290,"")</f>
        <v/>
      </c>
    </row>
    <row r="1296" spans="2:5" x14ac:dyDescent="0.3">
      <c r="B1296" s="2" t="str">
        <f>MID(TableQR[[#This Row],[QR CODES]],4,13)</f>
        <v/>
      </c>
      <c r="C1296" s="2" t="str">
        <f>IFERROR(VLOOKUP(TableQR[[#This Row],[BARCODES]],ILACLISTE[#All],2,0),"")</f>
        <v/>
      </c>
      <c r="D1296" s="2">
        <f t="shared" si="20"/>
        <v>0</v>
      </c>
      <c r="E1296" s="14" t="str">
        <f>IFERROR(GIZLI!G1291,"")</f>
        <v/>
      </c>
    </row>
    <row r="1297" spans="2:5" x14ac:dyDescent="0.3">
      <c r="B1297" s="2" t="str">
        <f>MID(TableQR[[#This Row],[QR CODES]],4,13)</f>
        <v/>
      </c>
      <c r="C1297" s="2" t="str">
        <f>IFERROR(VLOOKUP(TableQR[[#This Row],[BARCODES]],ILACLISTE[#All],2,0),"")</f>
        <v/>
      </c>
      <c r="D1297" s="2">
        <f t="shared" si="20"/>
        <v>0</v>
      </c>
      <c r="E1297" s="14" t="str">
        <f>IFERROR(GIZLI!G1292,"")</f>
        <v/>
      </c>
    </row>
    <row r="1298" spans="2:5" x14ac:dyDescent="0.3">
      <c r="B1298" s="2" t="str">
        <f>MID(TableQR[[#This Row],[QR CODES]],4,13)</f>
        <v/>
      </c>
      <c r="C1298" s="2" t="str">
        <f>IFERROR(VLOOKUP(TableQR[[#This Row],[BARCODES]],ILACLISTE[#All],2,0),"")</f>
        <v/>
      </c>
      <c r="D1298" s="2">
        <f t="shared" si="20"/>
        <v>0</v>
      </c>
      <c r="E1298" s="14" t="str">
        <f>IFERROR(GIZLI!G1293,"")</f>
        <v/>
      </c>
    </row>
    <row r="1299" spans="2:5" x14ac:dyDescent="0.3">
      <c r="B1299" s="2" t="str">
        <f>MID(TableQR[[#This Row],[QR CODES]],4,13)</f>
        <v/>
      </c>
      <c r="C1299" s="2" t="str">
        <f>IFERROR(VLOOKUP(TableQR[[#This Row],[BARCODES]],ILACLISTE[#All],2,0),"")</f>
        <v/>
      </c>
      <c r="D1299" s="2">
        <f t="shared" si="20"/>
        <v>0</v>
      </c>
      <c r="E1299" s="14" t="str">
        <f>IFERROR(GIZLI!G1294,"")</f>
        <v/>
      </c>
    </row>
    <row r="1300" spans="2:5" x14ac:dyDescent="0.3">
      <c r="B1300" s="2" t="str">
        <f>MID(TableQR[[#This Row],[QR CODES]],4,13)</f>
        <v/>
      </c>
      <c r="C1300" s="2" t="str">
        <f>IFERROR(VLOOKUP(TableQR[[#This Row],[BARCODES]],ILACLISTE[#All],2,0),"")</f>
        <v/>
      </c>
      <c r="D1300" s="2">
        <f t="shared" si="20"/>
        <v>0</v>
      </c>
      <c r="E1300" s="14" t="str">
        <f>IFERROR(GIZLI!G1295,"")</f>
        <v/>
      </c>
    </row>
    <row r="1301" spans="2:5" x14ac:dyDescent="0.3">
      <c r="B1301" s="2" t="str">
        <f>MID(TableQR[[#This Row],[QR CODES]],4,13)</f>
        <v/>
      </c>
      <c r="C1301" s="2" t="str">
        <f>IFERROR(VLOOKUP(TableQR[[#This Row],[BARCODES]],ILACLISTE[#All],2,0),"")</f>
        <v/>
      </c>
      <c r="D1301" s="2">
        <f t="shared" si="20"/>
        <v>0</v>
      </c>
      <c r="E1301" s="14" t="str">
        <f>IFERROR(GIZLI!G1296,"")</f>
        <v/>
      </c>
    </row>
    <row r="1302" spans="2:5" x14ac:dyDescent="0.3">
      <c r="B1302" s="2" t="str">
        <f>MID(TableQR[[#This Row],[QR CODES]],4,13)</f>
        <v/>
      </c>
      <c r="C1302" s="2" t="str">
        <f>IFERROR(VLOOKUP(TableQR[[#This Row],[BARCODES]],ILACLISTE[#All],2,0),"")</f>
        <v/>
      </c>
      <c r="D1302" s="2">
        <f t="shared" si="20"/>
        <v>0</v>
      </c>
      <c r="E1302" s="14" t="str">
        <f>IFERROR(GIZLI!G1297,"")</f>
        <v/>
      </c>
    </row>
    <row r="1303" spans="2:5" x14ac:dyDescent="0.3">
      <c r="B1303" s="2" t="str">
        <f>MID(TableQR[[#This Row],[QR CODES]],4,13)</f>
        <v/>
      </c>
      <c r="C1303" s="2" t="str">
        <f>IFERROR(VLOOKUP(TableQR[[#This Row],[BARCODES]],ILACLISTE[#All],2,0),"")</f>
        <v/>
      </c>
      <c r="D1303" s="2">
        <f t="shared" si="20"/>
        <v>0</v>
      </c>
      <c r="E1303" s="14" t="str">
        <f>IFERROR(GIZLI!G1298,"")</f>
        <v/>
      </c>
    </row>
    <row r="1304" spans="2:5" x14ac:dyDescent="0.3">
      <c r="B1304" s="2" t="str">
        <f>MID(TableQR[[#This Row],[QR CODES]],4,13)</f>
        <v/>
      </c>
      <c r="C1304" s="2" t="str">
        <f>IFERROR(VLOOKUP(TableQR[[#This Row],[BARCODES]],ILACLISTE[#All],2,0),"")</f>
        <v/>
      </c>
      <c r="D1304" s="2">
        <f t="shared" si="20"/>
        <v>0</v>
      </c>
      <c r="E1304" s="14" t="str">
        <f>IFERROR(GIZLI!G1299,"")</f>
        <v/>
      </c>
    </row>
    <row r="1305" spans="2:5" x14ac:dyDescent="0.3">
      <c r="B1305" s="2" t="str">
        <f>MID(TableQR[[#This Row],[QR CODES]],4,13)</f>
        <v/>
      </c>
      <c r="C1305" s="2" t="str">
        <f>IFERROR(VLOOKUP(TableQR[[#This Row],[BARCODES]],ILACLISTE[#All],2,0),"")</f>
        <v/>
      </c>
      <c r="D1305" s="2">
        <f t="shared" si="20"/>
        <v>0</v>
      </c>
      <c r="E1305" s="14" t="str">
        <f>IFERROR(GIZLI!G1300,"")</f>
        <v/>
      </c>
    </row>
    <row r="1306" spans="2:5" x14ac:dyDescent="0.3">
      <c r="B1306" s="2" t="str">
        <f>MID(TableQR[[#This Row],[QR CODES]],4,13)</f>
        <v/>
      </c>
      <c r="C1306" s="2" t="str">
        <f>IFERROR(VLOOKUP(TableQR[[#This Row],[BARCODES]],ILACLISTE[#All],2,0),"")</f>
        <v/>
      </c>
      <c r="D1306" s="2">
        <f t="shared" si="20"/>
        <v>0</v>
      </c>
      <c r="E1306" s="14" t="str">
        <f>IFERROR(GIZLI!G1301,"")</f>
        <v/>
      </c>
    </row>
    <row r="1307" spans="2:5" x14ac:dyDescent="0.3">
      <c r="B1307" s="2" t="str">
        <f>MID(TableQR[[#This Row],[QR CODES]],4,13)</f>
        <v/>
      </c>
      <c r="C1307" s="2" t="str">
        <f>IFERROR(VLOOKUP(TableQR[[#This Row],[BARCODES]],ILACLISTE[#All],2,0),"")</f>
        <v/>
      </c>
      <c r="D1307" s="2">
        <f t="shared" si="20"/>
        <v>0</v>
      </c>
      <c r="E1307" s="14" t="str">
        <f>IFERROR(GIZLI!G1302,"")</f>
        <v/>
      </c>
    </row>
    <row r="1308" spans="2:5" x14ac:dyDescent="0.3">
      <c r="B1308" s="2" t="str">
        <f>MID(TableQR[[#This Row],[QR CODES]],4,13)</f>
        <v/>
      </c>
      <c r="C1308" s="2" t="str">
        <f>IFERROR(VLOOKUP(TableQR[[#This Row],[BARCODES]],ILACLISTE[#All],2,0),"")</f>
        <v/>
      </c>
      <c r="D1308" s="2">
        <f t="shared" si="20"/>
        <v>0</v>
      </c>
      <c r="E1308" s="14" t="str">
        <f>IFERROR(GIZLI!G1303,"")</f>
        <v/>
      </c>
    </row>
    <row r="1309" spans="2:5" x14ac:dyDescent="0.3">
      <c r="B1309" s="2" t="str">
        <f>MID(TableQR[[#This Row],[QR CODES]],4,13)</f>
        <v/>
      </c>
      <c r="C1309" s="2" t="str">
        <f>IFERROR(VLOOKUP(TableQR[[#This Row],[BARCODES]],ILACLISTE[#All],2,0),"")</f>
        <v/>
      </c>
      <c r="D1309" s="2">
        <f t="shared" si="20"/>
        <v>0</v>
      </c>
      <c r="E1309" s="14" t="str">
        <f>IFERROR(GIZLI!G1304,"")</f>
        <v/>
      </c>
    </row>
    <row r="1310" spans="2:5" x14ac:dyDescent="0.3">
      <c r="B1310" s="2" t="str">
        <f>MID(TableQR[[#This Row],[QR CODES]],4,13)</f>
        <v/>
      </c>
      <c r="C1310" s="2" t="str">
        <f>IFERROR(VLOOKUP(TableQR[[#This Row],[BARCODES]],ILACLISTE[#All],2,0),"")</f>
        <v/>
      </c>
      <c r="D1310" s="2">
        <f t="shared" si="20"/>
        <v>0</v>
      </c>
      <c r="E1310" s="14" t="str">
        <f>IFERROR(GIZLI!G1305,"")</f>
        <v/>
      </c>
    </row>
    <row r="1311" spans="2:5" x14ac:dyDescent="0.3">
      <c r="B1311" s="2" t="str">
        <f>MID(TableQR[[#This Row],[QR CODES]],4,13)</f>
        <v/>
      </c>
      <c r="C1311" s="2" t="str">
        <f>IFERROR(VLOOKUP(TableQR[[#This Row],[BARCODES]],ILACLISTE[#All],2,0),"")</f>
        <v/>
      </c>
      <c r="D1311" s="2">
        <f t="shared" si="20"/>
        <v>0</v>
      </c>
      <c r="E1311" s="14" t="str">
        <f>IFERROR(GIZLI!G1306,"")</f>
        <v/>
      </c>
    </row>
    <row r="1312" spans="2:5" x14ac:dyDescent="0.3">
      <c r="B1312" s="2" t="str">
        <f>MID(TableQR[[#This Row],[QR CODES]],4,13)</f>
        <v/>
      </c>
      <c r="C1312" s="2" t="str">
        <f>IFERROR(VLOOKUP(TableQR[[#This Row],[BARCODES]],ILACLISTE[#All],2,0),"")</f>
        <v/>
      </c>
      <c r="D1312" s="2">
        <f t="shared" si="20"/>
        <v>0</v>
      </c>
      <c r="E1312" s="14" t="str">
        <f>IFERROR(GIZLI!G1307,"")</f>
        <v/>
      </c>
    </row>
    <row r="1313" spans="2:5" x14ac:dyDescent="0.3">
      <c r="B1313" s="2" t="str">
        <f>MID(TableQR[[#This Row],[QR CODES]],4,13)</f>
        <v/>
      </c>
      <c r="C1313" s="2" t="str">
        <f>IFERROR(VLOOKUP(TableQR[[#This Row],[BARCODES]],ILACLISTE[#All],2,0),"")</f>
        <v/>
      </c>
      <c r="D1313" s="2">
        <f t="shared" si="20"/>
        <v>0</v>
      </c>
      <c r="E1313" s="14" t="str">
        <f>IFERROR(GIZLI!G1308,"")</f>
        <v/>
      </c>
    </row>
    <row r="1314" spans="2:5" x14ac:dyDescent="0.3">
      <c r="B1314" s="2" t="str">
        <f>MID(TableQR[[#This Row],[QR CODES]],4,13)</f>
        <v/>
      </c>
      <c r="C1314" s="2" t="str">
        <f>IFERROR(VLOOKUP(TableQR[[#This Row],[BARCODES]],ILACLISTE[#All],2,0),"")</f>
        <v/>
      </c>
      <c r="D1314" s="2">
        <f t="shared" si="20"/>
        <v>0</v>
      </c>
      <c r="E1314" s="14" t="str">
        <f>IFERROR(GIZLI!G1309,"")</f>
        <v/>
      </c>
    </row>
    <row r="1315" spans="2:5" x14ac:dyDescent="0.3">
      <c r="B1315" s="2" t="str">
        <f>MID(TableQR[[#This Row],[QR CODES]],4,13)</f>
        <v/>
      </c>
      <c r="C1315" s="2" t="str">
        <f>IFERROR(VLOOKUP(TableQR[[#This Row],[BARCODES]],ILACLISTE[#All],2,0),"")</f>
        <v/>
      </c>
      <c r="D1315" s="2">
        <f t="shared" si="20"/>
        <v>0</v>
      </c>
      <c r="E1315" s="14" t="str">
        <f>IFERROR(GIZLI!G1310,"")</f>
        <v/>
      </c>
    </row>
    <row r="1316" spans="2:5" x14ac:dyDescent="0.3">
      <c r="B1316" s="2" t="str">
        <f>MID(TableQR[[#This Row],[QR CODES]],4,13)</f>
        <v/>
      </c>
      <c r="C1316" s="2" t="str">
        <f>IFERROR(VLOOKUP(TableQR[[#This Row],[BARCODES]],ILACLISTE[#All],2,0),"")</f>
        <v/>
      </c>
      <c r="D1316" s="2">
        <f t="shared" si="20"/>
        <v>0</v>
      </c>
      <c r="E1316" s="14" t="str">
        <f>IFERROR(GIZLI!G1311,"")</f>
        <v/>
      </c>
    </row>
    <row r="1317" spans="2:5" x14ac:dyDescent="0.3">
      <c r="B1317" s="2" t="str">
        <f>MID(TableQR[[#This Row],[QR CODES]],4,13)</f>
        <v/>
      </c>
      <c r="C1317" s="2" t="str">
        <f>IFERROR(VLOOKUP(TableQR[[#This Row],[BARCODES]],ILACLISTE[#All],2,0),"")</f>
        <v/>
      </c>
      <c r="D1317" s="2">
        <f t="shared" si="20"/>
        <v>0</v>
      </c>
      <c r="E1317" s="14" t="str">
        <f>IFERROR(GIZLI!G1312,"")</f>
        <v/>
      </c>
    </row>
    <row r="1318" spans="2:5" x14ac:dyDescent="0.3">
      <c r="B1318" s="2" t="str">
        <f>MID(TableQR[[#This Row],[QR CODES]],4,13)</f>
        <v/>
      </c>
      <c r="C1318" s="2" t="str">
        <f>IFERROR(VLOOKUP(TableQR[[#This Row],[BARCODES]],ILACLISTE[#All],2,0),"")</f>
        <v/>
      </c>
      <c r="D1318" s="2">
        <f t="shared" si="20"/>
        <v>0</v>
      </c>
      <c r="E1318" s="14" t="str">
        <f>IFERROR(GIZLI!G1313,"")</f>
        <v/>
      </c>
    </row>
    <row r="1319" spans="2:5" x14ac:dyDescent="0.3">
      <c r="B1319" s="2" t="str">
        <f>MID(TableQR[[#This Row],[QR CODES]],4,13)</f>
        <v/>
      </c>
      <c r="C1319" s="2" t="str">
        <f>IFERROR(VLOOKUP(TableQR[[#This Row],[BARCODES]],ILACLISTE[#All],2,0),"")</f>
        <v/>
      </c>
      <c r="D1319" s="2">
        <f t="shared" si="20"/>
        <v>0</v>
      </c>
      <c r="E1319" s="14" t="str">
        <f>IFERROR(GIZLI!G1314,"")</f>
        <v/>
      </c>
    </row>
    <row r="1320" spans="2:5" x14ac:dyDescent="0.3">
      <c r="B1320" s="2" t="str">
        <f>MID(TableQR[[#This Row],[QR CODES]],4,13)</f>
        <v/>
      </c>
      <c r="C1320" s="2" t="str">
        <f>IFERROR(VLOOKUP(TableQR[[#This Row],[BARCODES]],ILACLISTE[#All],2,0),"")</f>
        <v/>
      </c>
      <c r="D1320" s="2">
        <f t="shared" si="20"/>
        <v>0</v>
      </c>
      <c r="E1320" s="14" t="str">
        <f>IFERROR(GIZLI!G1315,"")</f>
        <v/>
      </c>
    </row>
    <row r="1321" spans="2:5" x14ac:dyDescent="0.3">
      <c r="B1321" s="2" t="str">
        <f>MID(TableQR[[#This Row],[QR CODES]],4,13)</f>
        <v/>
      </c>
      <c r="C1321" s="2" t="str">
        <f>IFERROR(VLOOKUP(TableQR[[#This Row],[BARCODES]],ILACLISTE[#All],2,0),"")</f>
        <v/>
      </c>
      <c r="D1321" s="2">
        <f t="shared" si="20"/>
        <v>0</v>
      </c>
      <c r="E1321" s="14" t="str">
        <f>IFERROR(GIZLI!G1316,"")</f>
        <v/>
      </c>
    </row>
    <row r="1322" spans="2:5" x14ac:dyDescent="0.3">
      <c r="B1322" s="2" t="str">
        <f>MID(TableQR[[#This Row],[QR CODES]],4,13)</f>
        <v/>
      </c>
      <c r="C1322" s="2" t="str">
        <f>IFERROR(VLOOKUP(TableQR[[#This Row],[BARCODES]],ILACLISTE[#All],2,0),"")</f>
        <v/>
      </c>
      <c r="D1322" s="2">
        <f t="shared" si="20"/>
        <v>0</v>
      </c>
      <c r="E1322" s="14" t="str">
        <f>IFERROR(GIZLI!G1317,"")</f>
        <v/>
      </c>
    </row>
    <row r="1323" spans="2:5" x14ac:dyDescent="0.3">
      <c r="B1323" s="2" t="str">
        <f>MID(TableQR[[#This Row],[QR CODES]],4,13)</f>
        <v/>
      </c>
      <c r="C1323" s="2" t="str">
        <f>IFERROR(VLOOKUP(TableQR[[#This Row],[BARCODES]],ILACLISTE[#All],2,0),"")</f>
        <v/>
      </c>
      <c r="D1323" s="2">
        <f t="shared" si="20"/>
        <v>0</v>
      </c>
      <c r="E1323" s="14" t="str">
        <f>IFERROR(GIZLI!G1318,"")</f>
        <v/>
      </c>
    </row>
    <row r="1324" spans="2:5" x14ac:dyDescent="0.3">
      <c r="B1324" s="2" t="str">
        <f>MID(TableQR[[#This Row],[QR CODES]],4,13)</f>
        <v/>
      </c>
      <c r="C1324" s="2" t="str">
        <f>IFERROR(VLOOKUP(TableQR[[#This Row],[BARCODES]],ILACLISTE[#All],2,0),"")</f>
        <v/>
      </c>
      <c r="D1324" s="2">
        <f t="shared" si="20"/>
        <v>0</v>
      </c>
      <c r="E1324" s="14" t="str">
        <f>IFERROR(GIZLI!G1319,"")</f>
        <v/>
      </c>
    </row>
    <row r="1325" spans="2:5" x14ac:dyDescent="0.3">
      <c r="B1325" s="2" t="str">
        <f>MID(TableQR[[#This Row],[QR CODES]],4,13)</f>
        <v/>
      </c>
      <c r="C1325" s="2" t="str">
        <f>IFERROR(VLOOKUP(TableQR[[#This Row],[BARCODES]],ILACLISTE[#All],2,0),"")</f>
        <v/>
      </c>
      <c r="D1325" s="2">
        <f t="shared" si="20"/>
        <v>0</v>
      </c>
      <c r="E1325" s="14" t="str">
        <f>IFERROR(GIZLI!G1320,"")</f>
        <v/>
      </c>
    </row>
    <row r="1326" spans="2:5" x14ac:dyDescent="0.3">
      <c r="B1326" s="2" t="str">
        <f>MID(TableQR[[#This Row],[QR CODES]],4,13)</f>
        <v/>
      </c>
      <c r="C1326" s="2" t="str">
        <f>IFERROR(VLOOKUP(TableQR[[#This Row],[BARCODES]],ILACLISTE[#All],2,0),"")</f>
        <v/>
      </c>
      <c r="D1326" s="2">
        <f t="shared" si="20"/>
        <v>0</v>
      </c>
      <c r="E1326" s="14" t="str">
        <f>IFERROR(GIZLI!G1321,"")</f>
        <v/>
      </c>
    </row>
    <row r="1327" spans="2:5" x14ac:dyDescent="0.3">
      <c r="B1327" s="2" t="str">
        <f>MID(TableQR[[#This Row],[QR CODES]],4,13)</f>
        <v/>
      </c>
      <c r="C1327" s="2" t="str">
        <f>IFERROR(VLOOKUP(TableQR[[#This Row],[BARCODES]],ILACLISTE[#All],2,0),"")</f>
        <v/>
      </c>
      <c r="D1327" s="2">
        <f t="shared" si="20"/>
        <v>0</v>
      </c>
      <c r="E1327" s="14" t="str">
        <f>IFERROR(GIZLI!G1322,"")</f>
        <v/>
      </c>
    </row>
    <row r="1328" spans="2:5" x14ac:dyDescent="0.3">
      <c r="B1328" s="2" t="str">
        <f>MID(TableQR[[#This Row],[QR CODES]],4,13)</f>
        <v/>
      </c>
      <c r="C1328" s="2" t="str">
        <f>IFERROR(VLOOKUP(TableQR[[#This Row],[BARCODES]],ILACLISTE[#All],2,0),"")</f>
        <v/>
      </c>
      <c r="D1328" s="2">
        <f t="shared" si="20"/>
        <v>0</v>
      </c>
      <c r="E1328" s="14" t="str">
        <f>IFERROR(GIZLI!G1323,"")</f>
        <v/>
      </c>
    </row>
    <row r="1329" spans="2:5" x14ac:dyDescent="0.3">
      <c r="B1329" s="2" t="str">
        <f>MID(TableQR[[#This Row],[QR CODES]],4,13)</f>
        <v/>
      </c>
      <c r="C1329" s="2" t="str">
        <f>IFERROR(VLOOKUP(TableQR[[#This Row],[BARCODES]],ILACLISTE[#All],2,0),"")</f>
        <v/>
      </c>
      <c r="D1329" s="2">
        <f t="shared" si="20"/>
        <v>0</v>
      </c>
      <c r="E1329" s="14" t="str">
        <f>IFERROR(GIZLI!G1324,"")</f>
        <v/>
      </c>
    </row>
    <row r="1330" spans="2:5" x14ac:dyDescent="0.3">
      <c r="B1330" s="2" t="str">
        <f>MID(TableQR[[#This Row],[QR CODES]],4,13)</f>
        <v/>
      </c>
      <c r="C1330" s="2" t="str">
        <f>IFERROR(VLOOKUP(TableQR[[#This Row],[BARCODES]],ILACLISTE[#All],2,0),"")</f>
        <v/>
      </c>
      <c r="D1330" s="2">
        <f t="shared" si="20"/>
        <v>0</v>
      </c>
      <c r="E1330" s="14" t="str">
        <f>IFERROR(GIZLI!G1325,"")</f>
        <v/>
      </c>
    </row>
    <row r="1331" spans="2:5" x14ac:dyDescent="0.3">
      <c r="B1331" s="2" t="str">
        <f>MID(TableQR[[#This Row],[QR CODES]],4,13)</f>
        <v/>
      </c>
      <c r="C1331" s="2" t="str">
        <f>IFERROR(VLOOKUP(TableQR[[#This Row],[BARCODES]],ILACLISTE[#All],2,0),"")</f>
        <v/>
      </c>
      <c r="D1331" s="2">
        <f t="shared" si="20"/>
        <v>0</v>
      </c>
      <c r="E1331" s="14" t="str">
        <f>IFERROR(GIZLI!G1326,"")</f>
        <v/>
      </c>
    </row>
    <row r="1332" spans="2:5" x14ac:dyDescent="0.3">
      <c r="B1332" s="2" t="str">
        <f>MID(TableQR[[#This Row],[QR CODES]],4,13)</f>
        <v/>
      </c>
      <c r="C1332" s="2" t="str">
        <f>IFERROR(VLOOKUP(TableQR[[#This Row],[BARCODES]],ILACLISTE[#All],2,0),"")</f>
        <v/>
      </c>
      <c r="D1332" s="2">
        <f t="shared" si="20"/>
        <v>0</v>
      </c>
      <c r="E1332" s="14" t="str">
        <f>IFERROR(GIZLI!G1327,"")</f>
        <v/>
      </c>
    </row>
    <row r="1333" spans="2:5" x14ac:dyDescent="0.3">
      <c r="B1333" s="2" t="str">
        <f>MID(TableQR[[#This Row],[QR CODES]],4,13)</f>
        <v/>
      </c>
      <c r="C1333" s="2" t="str">
        <f>IFERROR(VLOOKUP(TableQR[[#This Row],[BARCODES]],ILACLISTE[#All],2,0),"")</f>
        <v/>
      </c>
      <c r="D1333" s="2">
        <f t="shared" si="20"/>
        <v>0</v>
      </c>
      <c r="E1333" s="14" t="str">
        <f>IFERROR(GIZLI!G1328,"")</f>
        <v/>
      </c>
    </row>
    <row r="1334" spans="2:5" x14ac:dyDescent="0.3">
      <c r="B1334" s="2" t="str">
        <f>MID(TableQR[[#This Row],[QR CODES]],4,13)</f>
        <v/>
      </c>
      <c r="C1334" s="2" t="str">
        <f>IFERROR(VLOOKUP(TableQR[[#This Row],[BARCODES]],ILACLISTE[#All],2,0),"")</f>
        <v/>
      </c>
      <c r="D1334" s="2">
        <f t="shared" si="20"/>
        <v>0</v>
      </c>
      <c r="E1334" s="14" t="str">
        <f>IFERROR(GIZLI!G1329,"")</f>
        <v/>
      </c>
    </row>
    <row r="1335" spans="2:5" x14ac:dyDescent="0.3">
      <c r="B1335" s="2" t="str">
        <f>MID(TableQR[[#This Row],[QR CODES]],4,13)</f>
        <v/>
      </c>
      <c r="C1335" s="2" t="str">
        <f>IFERROR(VLOOKUP(TableQR[[#This Row],[BARCODES]],ILACLISTE[#All],2,0),"")</f>
        <v/>
      </c>
      <c r="D1335" s="2">
        <f t="shared" si="20"/>
        <v>0</v>
      </c>
      <c r="E1335" s="14" t="str">
        <f>IFERROR(GIZLI!G1330,"")</f>
        <v/>
      </c>
    </row>
    <row r="1336" spans="2:5" x14ac:dyDescent="0.3">
      <c r="B1336" s="2" t="str">
        <f>MID(TableQR[[#This Row],[QR CODES]],4,13)</f>
        <v/>
      </c>
      <c r="C1336" s="2" t="str">
        <f>IFERROR(VLOOKUP(TableQR[[#This Row],[BARCODES]],ILACLISTE[#All],2,0),"")</f>
        <v/>
      </c>
      <c r="D1336" s="2">
        <f t="shared" si="20"/>
        <v>0</v>
      </c>
      <c r="E1336" s="14" t="str">
        <f>IFERROR(GIZLI!G1331,"")</f>
        <v/>
      </c>
    </row>
    <row r="1337" spans="2:5" x14ac:dyDescent="0.3">
      <c r="B1337" s="2" t="str">
        <f>MID(TableQR[[#This Row],[QR CODES]],4,13)</f>
        <v/>
      </c>
      <c r="C1337" s="2" t="str">
        <f>IFERROR(VLOOKUP(TableQR[[#This Row],[BARCODES]],ILACLISTE[#All],2,0),"")</f>
        <v/>
      </c>
      <c r="D1337" s="2">
        <f t="shared" si="20"/>
        <v>0</v>
      </c>
      <c r="E1337" s="14" t="str">
        <f>IFERROR(GIZLI!G1332,"")</f>
        <v/>
      </c>
    </row>
    <row r="1338" spans="2:5" x14ac:dyDescent="0.3">
      <c r="B1338" s="2" t="str">
        <f>MID(TableQR[[#This Row],[QR CODES]],4,13)</f>
        <v/>
      </c>
      <c r="C1338" s="2" t="str">
        <f>IFERROR(VLOOKUP(TableQR[[#This Row],[BARCODES]],ILACLISTE[#All],2,0),"")</f>
        <v/>
      </c>
      <c r="D1338" s="2">
        <f t="shared" si="20"/>
        <v>0</v>
      </c>
      <c r="E1338" s="14" t="str">
        <f>IFERROR(GIZLI!G1333,"")</f>
        <v/>
      </c>
    </row>
    <row r="1339" spans="2:5" x14ac:dyDescent="0.3">
      <c r="B1339" s="2" t="str">
        <f>MID(TableQR[[#This Row],[QR CODES]],4,13)</f>
        <v/>
      </c>
      <c r="C1339" s="2" t="str">
        <f>IFERROR(VLOOKUP(TableQR[[#This Row],[BARCODES]],ILACLISTE[#All],2,0),"")</f>
        <v/>
      </c>
      <c r="D1339" s="2">
        <f t="shared" si="20"/>
        <v>0</v>
      </c>
      <c r="E1339" s="14" t="str">
        <f>IFERROR(GIZLI!G1334,"")</f>
        <v/>
      </c>
    </row>
    <row r="1340" spans="2:5" x14ac:dyDescent="0.3">
      <c r="B1340" s="2" t="str">
        <f>MID(TableQR[[#This Row],[QR CODES]],4,13)</f>
        <v/>
      </c>
      <c r="C1340" s="2" t="str">
        <f>IFERROR(VLOOKUP(TableQR[[#This Row],[BARCODES]],ILACLISTE[#All],2,0),"")</f>
        <v/>
      </c>
      <c r="D1340" s="2">
        <f t="shared" si="20"/>
        <v>0</v>
      </c>
      <c r="E1340" s="14" t="str">
        <f>IFERROR(GIZLI!G1335,"")</f>
        <v/>
      </c>
    </row>
    <row r="1341" spans="2:5" x14ac:dyDescent="0.3">
      <c r="B1341" s="2" t="str">
        <f>MID(TableQR[[#This Row],[QR CODES]],4,13)</f>
        <v/>
      </c>
      <c r="C1341" s="2" t="str">
        <f>IFERROR(VLOOKUP(TableQR[[#This Row],[BARCODES]],ILACLISTE[#All],2,0),"")</f>
        <v/>
      </c>
      <c r="D1341" s="2">
        <f t="shared" si="20"/>
        <v>0</v>
      </c>
      <c r="E1341" s="14" t="str">
        <f>IFERROR(GIZLI!G1336,"")</f>
        <v/>
      </c>
    </row>
    <row r="1342" spans="2:5" x14ac:dyDescent="0.3">
      <c r="B1342" s="2" t="str">
        <f>MID(TableQR[[#This Row],[QR CODES]],4,13)</f>
        <v/>
      </c>
      <c r="C1342" s="2" t="str">
        <f>IFERROR(VLOOKUP(TableQR[[#This Row],[BARCODES]],ILACLISTE[#All],2,0),"")</f>
        <v/>
      </c>
      <c r="D1342" s="2">
        <f t="shared" si="20"/>
        <v>0</v>
      </c>
      <c r="E1342" s="14" t="str">
        <f>IFERROR(GIZLI!G1337,"")</f>
        <v/>
      </c>
    </row>
    <row r="1343" spans="2:5" x14ac:dyDescent="0.3">
      <c r="B1343" s="2" t="str">
        <f>MID(TableQR[[#This Row],[QR CODES]],4,13)</f>
        <v/>
      </c>
      <c r="C1343" s="2" t="str">
        <f>IFERROR(VLOOKUP(TableQR[[#This Row],[BARCODES]],ILACLISTE[#All],2,0),"")</f>
        <v/>
      </c>
      <c r="D1343" s="2">
        <f t="shared" si="20"/>
        <v>0</v>
      </c>
      <c r="E1343" s="14" t="str">
        <f>IFERROR(GIZLI!G1338,"")</f>
        <v/>
      </c>
    </row>
    <row r="1344" spans="2:5" x14ac:dyDescent="0.3">
      <c r="B1344" s="2" t="str">
        <f>MID(TableQR[[#This Row],[QR CODES]],4,13)</f>
        <v/>
      </c>
      <c r="C1344" s="2" t="str">
        <f>IFERROR(VLOOKUP(TableQR[[#This Row],[BARCODES]],ILACLISTE[#All],2,0),"")</f>
        <v/>
      </c>
      <c r="D1344" s="2">
        <f t="shared" si="20"/>
        <v>0</v>
      </c>
      <c r="E1344" s="14" t="str">
        <f>IFERROR(GIZLI!G1339,"")</f>
        <v/>
      </c>
    </row>
    <row r="1345" spans="2:5" x14ac:dyDescent="0.3">
      <c r="B1345" s="2" t="str">
        <f>MID(TableQR[[#This Row],[QR CODES]],4,13)</f>
        <v/>
      </c>
      <c r="C1345" s="2" t="str">
        <f>IFERROR(VLOOKUP(TableQR[[#This Row],[BARCODES]],ILACLISTE[#All],2,0),"")</f>
        <v/>
      </c>
      <c r="D1345" s="2">
        <f t="shared" si="20"/>
        <v>0</v>
      </c>
      <c r="E1345" s="14" t="str">
        <f>IFERROR(GIZLI!G1340,"")</f>
        <v/>
      </c>
    </row>
    <row r="1346" spans="2:5" x14ac:dyDescent="0.3">
      <c r="B1346" s="2" t="str">
        <f>MID(TableQR[[#This Row],[QR CODES]],4,13)</f>
        <v/>
      </c>
      <c r="C1346" s="2" t="str">
        <f>IFERROR(VLOOKUP(TableQR[[#This Row],[BARCODES]],ILACLISTE[#All],2,0),"")</f>
        <v/>
      </c>
      <c r="D1346" s="2">
        <f t="shared" si="20"/>
        <v>0</v>
      </c>
      <c r="E1346" s="14" t="str">
        <f>IFERROR(GIZLI!G1341,"")</f>
        <v/>
      </c>
    </row>
    <row r="1347" spans="2:5" x14ac:dyDescent="0.3">
      <c r="B1347" s="2" t="str">
        <f>MID(TableQR[[#This Row],[QR CODES]],4,13)</f>
        <v/>
      </c>
      <c r="C1347" s="2" t="str">
        <f>IFERROR(VLOOKUP(TableQR[[#This Row],[BARCODES]],ILACLISTE[#All],2,0),"")</f>
        <v/>
      </c>
      <c r="D1347" s="2">
        <f t="shared" si="20"/>
        <v>0</v>
      </c>
      <c r="E1347" s="14" t="str">
        <f>IFERROR(GIZLI!G1342,"")</f>
        <v/>
      </c>
    </row>
    <row r="1348" spans="2:5" x14ac:dyDescent="0.3">
      <c r="B1348" s="2" t="str">
        <f>MID(TableQR[[#This Row],[QR CODES]],4,13)</f>
        <v/>
      </c>
      <c r="C1348" s="2" t="str">
        <f>IFERROR(VLOOKUP(TableQR[[#This Row],[BARCODES]],ILACLISTE[#All],2,0),"")</f>
        <v/>
      </c>
      <c r="D1348" s="2">
        <f t="shared" si="20"/>
        <v>0</v>
      </c>
      <c r="E1348" s="14" t="str">
        <f>IFERROR(GIZLI!G1343,"")</f>
        <v/>
      </c>
    </row>
    <row r="1349" spans="2:5" x14ac:dyDescent="0.3">
      <c r="B1349" s="2" t="str">
        <f>MID(TableQR[[#This Row],[QR CODES]],4,13)</f>
        <v/>
      </c>
      <c r="C1349" s="2" t="str">
        <f>IFERROR(VLOOKUP(TableQR[[#This Row],[BARCODES]],ILACLISTE[#All],2,0),"")</f>
        <v/>
      </c>
      <c r="D1349" s="2">
        <f t="shared" si="20"/>
        <v>0</v>
      </c>
      <c r="E1349" s="14" t="str">
        <f>IFERROR(GIZLI!G1344,"")</f>
        <v/>
      </c>
    </row>
    <row r="1350" spans="2:5" x14ac:dyDescent="0.3">
      <c r="B1350" s="2" t="str">
        <f>MID(TableQR[[#This Row],[QR CODES]],4,13)</f>
        <v/>
      </c>
      <c r="C1350" s="2" t="str">
        <f>IFERROR(VLOOKUP(TableQR[[#This Row],[BARCODES]],ILACLISTE[#All],2,0),"")</f>
        <v/>
      </c>
      <c r="D1350" s="2">
        <f t="shared" si="20"/>
        <v>0</v>
      </c>
      <c r="E1350" s="14" t="str">
        <f>IFERROR(GIZLI!G1345,"")</f>
        <v/>
      </c>
    </row>
    <row r="1351" spans="2:5" x14ac:dyDescent="0.3">
      <c r="B1351" s="2" t="str">
        <f>MID(TableQR[[#This Row],[QR CODES]],4,13)</f>
        <v/>
      </c>
      <c r="C1351" s="2" t="str">
        <f>IFERROR(VLOOKUP(TableQR[[#This Row],[BARCODES]],ILACLISTE[#All],2,0),"")</f>
        <v/>
      </c>
      <c r="D1351" s="2">
        <f t="shared" si="20"/>
        <v>0</v>
      </c>
      <c r="E1351" s="14" t="str">
        <f>IFERROR(GIZLI!G1346,"")</f>
        <v/>
      </c>
    </row>
    <row r="1352" spans="2:5" x14ac:dyDescent="0.3">
      <c r="B1352" s="2" t="str">
        <f>MID(TableQR[[#This Row],[QR CODES]],4,13)</f>
        <v/>
      </c>
      <c r="C1352" s="2" t="str">
        <f>IFERROR(VLOOKUP(TableQR[[#This Row],[BARCODES]],ILACLISTE[#All],2,0),"")</f>
        <v/>
      </c>
      <c r="D1352" s="2">
        <f t="shared" ref="D1352:D1415" si="21">COUNTIF(B1352:B5345,IF(B1352="",66666,B1352))</f>
        <v>0</v>
      </c>
      <c r="E1352" s="14" t="str">
        <f>IFERROR(GIZLI!G1347,"")</f>
        <v/>
      </c>
    </row>
    <row r="1353" spans="2:5" x14ac:dyDescent="0.3">
      <c r="B1353" s="2" t="str">
        <f>MID(TableQR[[#This Row],[QR CODES]],4,13)</f>
        <v/>
      </c>
      <c r="C1353" s="2" t="str">
        <f>IFERROR(VLOOKUP(TableQR[[#This Row],[BARCODES]],ILACLISTE[#All],2,0),"")</f>
        <v/>
      </c>
      <c r="D1353" s="2">
        <f t="shared" si="21"/>
        <v>0</v>
      </c>
      <c r="E1353" s="14" t="str">
        <f>IFERROR(GIZLI!G1348,"")</f>
        <v/>
      </c>
    </row>
    <row r="1354" spans="2:5" x14ac:dyDescent="0.3">
      <c r="B1354" s="2" t="str">
        <f>MID(TableQR[[#This Row],[QR CODES]],4,13)</f>
        <v/>
      </c>
      <c r="C1354" s="2" t="str">
        <f>IFERROR(VLOOKUP(TableQR[[#This Row],[BARCODES]],ILACLISTE[#All],2,0),"")</f>
        <v/>
      </c>
      <c r="D1354" s="2">
        <f t="shared" si="21"/>
        <v>0</v>
      </c>
      <c r="E1354" s="14" t="str">
        <f>IFERROR(GIZLI!G1349,"")</f>
        <v/>
      </c>
    </row>
    <row r="1355" spans="2:5" x14ac:dyDescent="0.3">
      <c r="B1355" s="2" t="str">
        <f>MID(TableQR[[#This Row],[QR CODES]],4,13)</f>
        <v/>
      </c>
      <c r="C1355" s="2" t="str">
        <f>IFERROR(VLOOKUP(TableQR[[#This Row],[BARCODES]],ILACLISTE[#All],2,0),"")</f>
        <v/>
      </c>
      <c r="D1355" s="2">
        <f t="shared" si="21"/>
        <v>0</v>
      </c>
      <c r="E1355" s="14" t="str">
        <f>IFERROR(GIZLI!G1350,"")</f>
        <v/>
      </c>
    </row>
    <row r="1356" spans="2:5" x14ac:dyDescent="0.3">
      <c r="B1356" s="2" t="str">
        <f>MID(TableQR[[#This Row],[QR CODES]],4,13)</f>
        <v/>
      </c>
      <c r="C1356" s="2" t="str">
        <f>IFERROR(VLOOKUP(TableQR[[#This Row],[BARCODES]],ILACLISTE[#All],2,0),"")</f>
        <v/>
      </c>
      <c r="D1356" s="2">
        <f t="shared" si="21"/>
        <v>0</v>
      </c>
      <c r="E1356" s="14" t="str">
        <f>IFERROR(GIZLI!G1351,"")</f>
        <v/>
      </c>
    </row>
    <row r="1357" spans="2:5" x14ac:dyDescent="0.3">
      <c r="B1357" s="2" t="str">
        <f>MID(TableQR[[#This Row],[QR CODES]],4,13)</f>
        <v/>
      </c>
      <c r="C1357" s="2" t="str">
        <f>IFERROR(VLOOKUP(TableQR[[#This Row],[BARCODES]],ILACLISTE[#All],2,0),"")</f>
        <v/>
      </c>
      <c r="D1357" s="2">
        <f t="shared" si="21"/>
        <v>0</v>
      </c>
      <c r="E1357" s="14" t="str">
        <f>IFERROR(GIZLI!G1352,"")</f>
        <v/>
      </c>
    </row>
    <row r="1358" spans="2:5" x14ac:dyDescent="0.3">
      <c r="B1358" s="2" t="str">
        <f>MID(TableQR[[#This Row],[QR CODES]],4,13)</f>
        <v/>
      </c>
      <c r="C1358" s="2" t="str">
        <f>IFERROR(VLOOKUP(TableQR[[#This Row],[BARCODES]],ILACLISTE[#All],2,0),"")</f>
        <v/>
      </c>
      <c r="D1358" s="2">
        <f t="shared" si="21"/>
        <v>0</v>
      </c>
      <c r="E1358" s="14" t="str">
        <f>IFERROR(GIZLI!G1353,"")</f>
        <v/>
      </c>
    </row>
    <row r="1359" spans="2:5" x14ac:dyDescent="0.3">
      <c r="B1359" s="2" t="str">
        <f>MID(TableQR[[#This Row],[QR CODES]],4,13)</f>
        <v/>
      </c>
      <c r="C1359" s="2" t="str">
        <f>IFERROR(VLOOKUP(TableQR[[#This Row],[BARCODES]],ILACLISTE[#All],2,0),"")</f>
        <v/>
      </c>
      <c r="D1359" s="2">
        <f t="shared" si="21"/>
        <v>0</v>
      </c>
      <c r="E1359" s="14" t="str">
        <f>IFERROR(GIZLI!G1354,"")</f>
        <v/>
      </c>
    </row>
    <row r="1360" spans="2:5" x14ac:dyDescent="0.3">
      <c r="B1360" s="2" t="str">
        <f>MID(TableQR[[#This Row],[QR CODES]],4,13)</f>
        <v/>
      </c>
      <c r="C1360" s="2" t="str">
        <f>IFERROR(VLOOKUP(TableQR[[#This Row],[BARCODES]],ILACLISTE[#All],2,0),"")</f>
        <v/>
      </c>
      <c r="D1360" s="2">
        <f t="shared" si="21"/>
        <v>0</v>
      </c>
      <c r="E1360" s="14" t="str">
        <f>IFERROR(GIZLI!G1355,"")</f>
        <v/>
      </c>
    </row>
    <row r="1361" spans="2:5" x14ac:dyDescent="0.3">
      <c r="B1361" s="2" t="str">
        <f>MID(TableQR[[#This Row],[QR CODES]],4,13)</f>
        <v/>
      </c>
      <c r="C1361" s="2" t="str">
        <f>IFERROR(VLOOKUP(TableQR[[#This Row],[BARCODES]],ILACLISTE[#All],2,0),"")</f>
        <v/>
      </c>
      <c r="D1361" s="2">
        <f t="shared" si="21"/>
        <v>0</v>
      </c>
      <c r="E1361" s="14" t="str">
        <f>IFERROR(GIZLI!G1356,"")</f>
        <v/>
      </c>
    </row>
    <row r="1362" spans="2:5" x14ac:dyDescent="0.3">
      <c r="B1362" s="2" t="str">
        <f>MID(TableQR[[#This Row],[QR CODES]],4,13)</f>
        <v/>
      </c>
      <c r="C1362" s="2" t="str">
        <f>IFERROR(VLOOKUP(TableQR[[#This Row],[BARCODES]],ILACLISTE[#All],2,0),"")</f>
        <v/>
      </c>
      <c r="D1362" s="2">
        <f t="shared" si="21"/>
        <v>0</v>
      </c>
      <c r="E1362" s="14" t="str">
        <f>IFERROR(GIZLI!G1357,"")</f>
        <v/>
      </c>
    </row>
    <row r="1363" spans="2:5" x14ac:dyDescent="0.3">
      <c r="B1363" s="2" t="str">
        <f>MID(TableQR[[#This Row],[QR CODES]],4,13)</f>
        <v/>
      </c>
      <c r="C1363" s="2" t="str">
        <f>IFERROR(VLOOKUP(TableQR[[#This Row],[BARCODES]],ILACLISTE[#All],2,0),"")</f>
        <v/>
      </c>
      <c r="D1363" s="2">
        <f t="shared" si="21"/>
        <v>0</v>
      </c>
      <c r="E1363" s="14" t="str">
        <f>IFERROR(GIZLI!G1358,"")</f>
        <v/>
      </c>
    </row>
    <row r="1364" spans="2:5" x14ac:dyDescent="0.3">
      <c r="B1364" s="2" t="str">
        <f>MID(TableQR[[#This Row],[QR CODES]],4,13)</f>
        <v/>
      </c>
      <c r="C1364" s="2" t="str">
        <f>IFERROR(VLOOKUP(TableQR[[#This Row],[BARCODES]],ILACLISTE[#All],2,0),"")</f>
        <v/>
      </c>
      <c r="D1364" s="2">
        <f t="shared" si="21"/>
        <v>0</v>
      </c>
      <c r="E1364" s="14" t="str">
        <f>IFERROR(GIZLI!G1359,"")</f>
        <v/>
      </c>
    </row>
    <row r="1365" spans="2:5" x14ac:dyDescent="0.3">
      <c r="B1365" s="2" t="str">
        <f>MID(TableQR[[#This Row],[QR CODES]],4,13)</f>
        <v/>
      </c>
      <c r="C1365" s="2" t="str">
        <f>IFERROR(VLOOKUP(TableQR[[#This Row],[BARCODES]],ILACLISTE[#All],2,0),"")</f>
        <v/>
      </c>
      <c r="D1365" s="2">
        <f t="shared" si="21"/>
        <v>0</v>
      </c>
      <c r="E1365" s="14" t="str">
        <f>IFERROR(GIZLI!G1360,"")</f>
        <v/>
      </c>
    </row>
    <row r="1366" spans="2:5" x14ac:dyDescent="0.3">
      <c r="B1366" s="2" t="str">
        <f>MID(TableQR[[#This Row],[QR CODES]],4,13)</f>
        <v/>
      </c>
      <c r="C1366" s="2" t="str">
        <f>IFERROR(VLOOKUP(TableQR[[#This Row],[BARCODES]],ILACLISTE[#All],2,0),"")</f>
        <v/>
      </c>
      <c r="D1366" s="2">
        <f t="shared" si="21"/>
        <v>0</v>
      </c>
      <c r="E1366" s="14" t="str">
        <f>IFERROR(GIZLI!G1361,"")</f>
        <v/>
      </c>
    </row>
    <row r="1367" spans="2:5" x14ac:dyDescent="0.3">
      <c r="B1367" s="2" t="str">
        <f>MID(TableQR[[#This Row],[QR CODES]],4,13)</f>
        <v/>
      </c>
      <c r="C1367" s="2" t="str">
        <f>IFERROR(VLOOKUP(TableQR[[#This Row],[BARCODES]],ILACLISTE[#All],2,0),"")</f>
        <v/>
      </c>
      <c r="D1367" s="2">
        <f t="shared" si="21"/>
        <v>0</v>
      </c>
      <c r="E1367" s="14" t="str">
        <f>IFERROR(GIZLI!G1362,"")</f>
        <v/>
      </c>
    </row>
    <row r="1368" spans="2:5" x14ac:dyDescent="0.3">
      <c r="B1368" s="2" t="str">
        <f>MID(TableQR[[#This Row],[QR CODES]],4,13)</f>
        <v/>
      </c>
      <c r="C1368" s="2" t="str">
        <f>IFERROR(VLOOKUP(TableQR[[#This Row],[BARCODES]],ILACLISTE[#All],2,0),"")</f>
        <v/>
      </c>
      <c r="D1368" s="2">
        <f t="shared" si="21"/>
        <v>0</v>
      </c>
      <c r="E1368" s="14" t="str">
        <f>IFERROR(GIZLI!G1363,"")</f>
        <v/>
      </c>
    </row>
    <row r="1369" spans="2:5" x14ac:dyDescent="0.3">
      <c r="B1369" s="2" t="str">
        <f>MID(TableQR[[#This Row],[QR CODES]],4,13)</f>
        <v/>
      </c>
      <c r="C1369" s="2" t="str">
        <f>IFERROR(VLOOKUP(TableQR[[#This Row],[BARCODES]],ILACLISTE[#All],2,0),"")</f>
        <v/>
      </c>
      <c r="D1369" s="2">
        <f t="shared" si="21"/>
        <v>0</v>
      </c>
      <c r="E1369" s="14" t="str">
        <f>IFERROR(GIZLI!G1364,"")</f>
        <v/>
      </c>
    </row>
    <row r="1370" spans="2:5" x14ac:dyDescent="0.3">
      <c r="B1370" s="2" t="str">
        <f>MID(TableQR[[#This Row],[QR CODES]],4,13)</f>
        <v/>
      </c>
      <c r="C1370" s="2" t="str">
        <f>IFERROR(VLOOKUP(TableQR[[#This Row],[BARCODES]],ILACLISTE[#All],2,0),"")</f>
        <v/>
      </c>
      <c r="D1370" s="2">
        <f t="shared" si="21"/>
        <v>0</v>
      </c>
      <c r="E1370" s="14" t="str">
        <f>IFERROR(GIZLI!G1365,"")</f>
        <v/>
      </c>
    </row>
    <row r="1371" spans="2:5" x14ac:dyDescent="0.3">
      <c r="B1371" s="2" t="str">
        <f>MID(TableQR[[#This Row],[QR CODES]],4,13)</f>
        <v/>
      </c>
      <c r="C1371" s="2" t="str">
        <f>IFERROR(VLOOKUP(TableQR[[#This Row],[BARCODES]],ILACLISTE[#All],2,0),"")</f>
        <v/>
      </c>
      <c r="D1371" s="2">
        <f t="shared" si="21"/>
        <v>0</v>
      </c>
      <c r="E1371" s="14" t="str">
        <f>IFERROR(GIZLI!G1366,"")</f>
        <v/>
      </c>
    </row>
    <row r="1372" spans="2:5" x14ac:dyDescent="0.3">
      <c r="B1372" s="2" t="str">
        <f>MID(TableQR[[#This Row],[QR CODES]],4,13)</f>
        <v/>
      </c>
      <c r="C1372" s="2" t="str">
        <f>IFERROR(VLOOKUP(TableQR[[#This Row],[BARCODES]],ILACLISTE[#All],2,0),"")</f>
        <v/>
      </c>
      <c r="D1372" s="2">
        <f t="shared" si="21"/>
        <v>0</v>
      </c>
      <c r="E1372" s="14" t="str">
        <f>IFERROR(GIZLI!G1367,"")</f>
        <v/>
      </c>
    </row>
    <row r="1373" spans="2:5" x14ac:dyDescent="0.3">
      <c r="B1373" s="2" t="str">
        <f>MID(TableQR[[#This Row],[QR CODES]],4,13)</f>
        <v/>
      </c>
      <c r="C1373" s="2" t="str">
        <f>IFERROR(VLOOKUP(TableQR[[#This Row],[BARCODES]],ILACLISTE[#All],2,0),"")</f>
        <v/>
      </c>
      <c r="D1373" s="2">
        <f t="shared" si="21"/>
        <v>0</v>
      </c>
      <c r="E1373" s="14" t="str">
        <f>IFERROR(GIZLI!G1368,"")</f>
        <v/>
      </c>
    </row>
    <row r="1374" spans="2:5" x14ac:dyDescent="0.3">
      <c r="B1374" s="2" t="str">
        <f>MID(TableQR[[#This Row],[QR CODES]],4,13)</f>
        <v/>
      </c>
      <c r="C1374" s="2" t="str">
        <f>IFERROR(VLOOKUP(TableQR[[#This Row],[BARCODES]],ILACLISTE[#All],2,0),"")</f>
        <v/>
      </c>
      <c r="D1374" s="2">
        <f t="shared" si="21"/>
        <v>0</v>
      </c>
      <c r="E1374" s="14" t="str">
        <f>IFERROR(GIZLI!G1369,"")</f>
        <v/>
      </c>
    </row>
    <row r="1375" spans="2:5" x14ac:dyDescent="0.3">
      <c r="B1375" s="2" t="str">
        <f>MID(TableQR[[#This Row],[QR CODES]],4,13)</f>
        <v/>
      </c>
      <c r="C1375" s="2" t="str">
        <f>IFERROR(VLOOKUP(TableQR[[#This Row],[BARCODES]],ILACLISTE[#All],2,0),"")</f>
        <v/>
      </c>
      <c r="D1375" s="2">
        <f t="shared" si="21"/>
        <v>0</v>
      </c>
      <c r="E1375" s="14" t="str">
        <f>IFERROR(GIZLI!G1370,"")</f>
        <v/>
      </c>
    </row>
    <row r="1376" spans="2:5" x14ac:dyDescent="0.3">
      <c r="B1376" s="2" t="str">
        <f>MID(TableQR[[#This Row],[QR CODES]],4,13)</f>
        <v/>
      </c>
      <c r="C1376" s="2" t="str">
        <f>IFERROR(VLOOKUP(TableQR[[#This Row],[BARCODES]],ILACLISTE[#All],2,0),"")</f>
        <v/>
      </c>
      <c r="D1376" s="2">
        <f t="shared" si="21"/>
        <v>0</v>
      </c>
      <c r="E1376" s="14" t="str">
        <f>IFERROR(GIZLI!G1371,"")</f>
        <v/>
      </c>
    </row>
    <row r="1377" spans="2:5" x14ac:dyDescent="0.3">
      <c r="B1377" s="2" t="str">
        <f>MID(TableQR[[#This Row],[QR CODES]],4,13)</f>
        <v/>
      </c>
      <c r="C1377" s="2" t="str">
        <f>IFERROR(VLOOKUP(TableQR[[#This Row],[BARCODES]],ILACLISTE[#All],2,0),"")</f>
        <v/>
      </c>
      <c r="D1377" s="2">
        <f t="shared" si="21"/>
        <v>0</v>
      </c>
      <c r="E1377" s="14" t="str">
        <f>IFERROR(GIZLI!G1372,"")</f>
        <v/>
      </c>
    </row>
    <row r="1378" spans="2:5" x14ac:dyDescent="0.3">
      <c r="B1378" s="2" t="str">
        <f>MID(TableQR[[#This Row],[QR CODES]],4,13)</f>
        <v/>
      </c>
      <c r="C1378" s="2" t="str">
        <f>IFERROR(VLOOKUP(TableQR[[#This Row],[BARCODES]],ILACLISTE[#All],2,0),"")</f>
        <v/>
      </c>
      <c r="D1378" s="2">
        <f t="shared" si="21"/>
        <v>0</v>
      </c>
      <c r="E1378" s="14" t="str">
        <f>IFERROR(GIZLI!G1373,"")</f>
        <v/>
      </c>
    </row>
    <row r="1379" spans="2:5" x14ac:dyDescent="0.3">
      <c r="B1379" s="2" t="str">
        <f>MID(TableQR[[#This Row],[QR CODES]],4,13)</f>
        <v/>
      </c>
      <c r="C1379" s="2" t="str">
        <f>IFERROR(VLOOKUP(TableQR[[#This Row],[BARCODES]],ILACLISTE[#All],2,0),"")</f>
        <v/>
      </c>
      <c r="D1379" s="2">
        <f t="shared" si="21"/>
        <v>0</v>
      </c>
      <c r="E1379" s="14" t="str">
        <f>IFERROR(GIZLI!G1374,"")</f>
        <v/>
      </c>
    </row>
    <row r="1380" spans="2:5" x14ac:dyDescent="0.3">
      <c r="B1380" s="2" t="str">
        <f>MID(TableQR[[#This Row],[QR CODES]],4,13)</f>
        <v/>
      </c>
      <c r="C1380" s="2" t="str">
        <f>IFERROR(VLOOKUP(TableQR[[#This Row],[BARCODES]],ILACLISTE[#All],2,0),"")</f>
        <v/>
      </c>
      <c r="D1380" s="2">
        <f t="shared" si="21"/>
        <v>0</v>
      </c>
      <c r="E1380" s="14" t="str">
        <f>IFERROR(GIZLI!G1375,"")</f>
        <v/>
      </c>
    </row>
    <row r="1381" spans="2:5" x14ac:dyDescent="0.3">
      <c r="B1381" s="2" t="str">
        <f>MID(TableQR[[#This Row],[QR CODES]],4,13)</f>
        <v/>
      </c>
      <c r="C1381" s="2" t="str">
        <f>IFERROR(VLOOKUP(TableQR[[#This Row],[BARCODES]],ILACLISTE[#All],2,0),"")</f>
        <v/>
      </c>
      <c r="D1381" s="2">
        <f t="shared" si="21"/>
        <v>0</v>
      </c>
      <c r="E1381" s="14" t="str">
        <f>IFERROR(GIZLI!G1376,"")</f>
        <v/>
      </c>
    </row>
    <row r="1382" spans="2:5" x14ac:dyDescent="0.3">
      <c r="B1382" s="2" t="str">
        <f>MID(TableQR[[#This Row],[QR CODES]],4,13)</f>
        <v/>
      </c>
      <c r="C1382" s="2" t="str">
        <f>IFERROR(VLOOKUP(TableQR[[#This Row],[BARCODES]],ILACLISTE[#All],2,0),"")</f>
        <v/>
      </c>
      <c r="D1382" s="2">
        <f t="shared" si="21"/>
        <v>0</v>
      </c>
      <c r="E1382" s="14" t="str">
        <f>IFERROR(GIZLI!G1377,"")</f>
        <v/>
      </c>
    </row>
    <row r="1383" spans="2:5" x14ac:dyDescent="0.3">
      <c r="B1383" s="2" t="str">
        <f>MID(TableQR[[#This Row],[QR CODES]],4,13)</f>
        <v/>
      </c>
      <c r="C1383" s="2" t="str">
        <f>IFERROR(VLOOKUP(TableQR[[#This Row],[BARCODES]],ILACLISTE[#All],2,0),"")</f>
        <v/>
      </c>
      <c r="D1383" s="2">
        <f t="shared" si="21"/>
        <v>0</v>
      </c>
      <c r="E1383" s="14" t="str">
        <f>IFERROR(GIZLI!G1378,"")</f>
        <v/>
      </c>
    </row>
    <row r="1384" spans="2:5" x14ac:dyDescent="0.3">
      <c r="B1384" s="2" t="str">
        <f>MID(TableQR[[#This Row],[QR CODES]],4,13)</f>
        <v/>
      </c>
      <c r="C1384" s="2" t="str">
        <f>IFERROR(VLOOKUP(TableQR[[#This Row],[BARCODES]],ILACLISTE[#All],2,0),"")</f>
        <v/>
      </c>
      <c r="D1384" s="2">
        <f t="shared" si="21"/>
        <v>0</v>
      </c>
      <c r="E1384" s="14" t="str">
        <f>IFERROR(GIZLI!G1379,"")</f>
        <v/>
      </c>
    </row>
    <row r="1385" spans="2:5" x14ac:dyDescent="0.3">
      <c r="B1385" s="2" t="str">
        <f>MID(TableQR[[#This Row],[QR CODES]],4,13)</f>
        <v/>
      </c>
      <c r="C1385" s="2" t="str">
        <f>IFERROR(VLOOKUP(TableQR[[#This Row],[BARCODES]],ILACLISTE[#All],2,0),"")</f>
        <v/>
      </c>
      <c r="D1385" s="2">
        <f t="shared" si="21"/>
        <v>0</v>
      </c>
      <c r="E1385" s="14" t="str">
        <f>IFERROR(GIZLI!G1380,"")</f>
        <v/>
      </c>
    </row>
    <row r="1386" spans="2:5" x14ac:dyDescent="0.3">
      <c r="B1386" s="2" t="str">
        <f>MID(TableQR[[#This Row],[QR CODES]],4,13)</f>
        <v/>
      </c>
      <c r="C1386" s="2" t="str">
        <f>IFERROR(VLOOKUP(TableQR[[#This Row],[BARCODES]],ILACLISTE[#All],2,0),"")</f>
        <v/>
      </c>
      <c r="D1386" s="2">
        <f t="shared" si="21"/>
        <v>0</v>
      </c>
      <c r="E1386" s="14" t="str">
        <f>IFERROR(GIZLI!G1381,"")</f>
        <v/>
      </c>
    </row>
    <row r="1387" spans="2:5" x14ac:dyDescent="0.3">
      <c r="B1387" s="2" t="str">
        <f>MID(TableQR[[#This Row],[QR CODES]],4,13)</f>
        <v/>
      </c>
      <c r="C1387" s="2" t="str">
        <f>IFERROR(VLOOKUP(TableQR[[#This Row],[BARCODES]],ILACLISTE[#All],2,0),"")</f>
        <v/>
      </c>
      <c r="D1387" s="2">
        <f t="shared" si="21"/>
        <v>0</v>
      </c>
      <c r="E1387" s="14" t="str">
        <f>IFERROR(GIZLI!G1382,"")</f>
        <v/>
      </c>
    </row>
    <row r="1388" spans="2:5" x14ac:dyDescent="0.3">
      <c r="B1388" s="2" t="str">
        <f>MID(TableQR[[#This Row],[QR CODES]],4,13)</f>
        <v/>
      </c>
      <c r="C1388" s="2" t="str">
        <f>IFERROR(VLOOKUP(TableQR[[#This Row],[BARCODES]],ILACLISTE[#All],2,0),"")</f>
        <v/>
      </c>
      <c r="D1388" s="2">
        <f t="shared" si="21"/>
        <v>0</v>
      </c>
      <c r="E1388" s="14" t="str">
        <f>IFERROR(GIZLI!G1383,"")</f>
        <v/>
      </c>
    </row>
    <row r="1389" spans="2:5" x14ac:dyDescent="0.3">
      <c r="B1389" s="2" t="str">
        <f>MID(TableQR[[#This Row],[QR CODES]],4,13)</f>
        <v/>
      </c>
      <c r="C1389" s="2" t="str">
        <f>IFERROR(VLOOKUP(TableQR[[#This Row],[BARCODES]],ILACLISTE[#All],2,0),"")</f>
        <v/>
      </c>
      <c r="D1389" s="2">
        <f t="shared" si="21"/>
        <v>0</v>
      </c>
      <c r="E1389" s="14" t="str">
        <f>IFERROR(GIZLI!G1384,"")</f>
        <v/>
      </c>
    </row>
    <row r="1390" spans="2:5" x14ac:dyDescent="0.3">
      <c r="B1390" s="2" t="str">
        <f>MID(TableQR[[#This Row],[QR CODES]],4,13)</f>
        <v/>
      </c>
      <c r="C1390" s="2" t="str">
        <f>IFERROR(VLOOKUP(TableQR[[#This Row],[BARCODES]],ILACLISTE[#All],2,0),"")</f>
        <v/>
      </c>
      <c r="D1390" s="2">
        <f t="shared" si="21"/>
        <v>0</v>
      </c>
      <c r="E1390" s="14" t="str">
        <f>IFERROR(GIZLI!G1385,"")</f>
        <v/>
      </c>
    </row>
    <row r="1391" spans="2:5" x14ac:dyDescent="0.3">
      <c r="B1391" s="2" t="str">
        <f>MID(TableQR[[#This Row],[QR CODES]],4,13)</f>
        <v/>
      </c>
      <c r="C1391" s="2" t="str">
        <f>IFERROR(VLOOKUP(TableQR[[#This Row],[BARCODES]],ILACLISTE[#All],2,0),"")</f>
        <v/>
      </c>
      <c r="D1391" s="2">
        <f t="shared" si="21"/>
        <v>0</v>
      </c>
      <c r="E1391" s="14" t="str">
        <f>IFERROR(GIZLI!G1386,"")</f>
        <v/>
      </c>
    </row>
    <row r="1392" spans="2:5" x14ac:dyDescent="0.3">
      <c r="B1392" s="2" t="str">
        <f>MID(TableQR[[#This Row],[QR CODES]],4,13)</f>
        <v/>
      </c>
      <c r="C1392" s="2" t="str">
        <f>IFERROR(VLOOKUP(TableQR[[#This Row],[BARCODES]],ILACLISTE[#All],2,0),"")</f>
        <v/>
      </c>
      <c r="D1392" s="2">
        <f t="shared" si="21"/>
        <v>0</v>
      </c>
      <c r="E1392" s="14" t="str">
        <f>IFERROR(GIZLI!G1387,"")</f>
        <v/>
      </c>
    </row>
    <row r="1393" spans="2:5" x14ac:dyDescent="0.3">
      <c r="B1393" s="2" t="str">
        <f>MID(TableQR[[#This Row],[QR CODES]],4,13)</f>
        <v/>
      </c>
      <c r="C1393" s="2" t="str">
        <f>IFERROR(VLOOKUP(TableQR[[#This Row],[BARCODES]],ILACLISTE[#All],2,0),"")</f>
        <v/>
      </c>
      <c r="D1393" s="2">
        <f t="shared" si="21"/>
        <v>0</v>
      </c>
      <c r="E1393" s="14" t="str">
        <f>IFERROR(GIZLI!G1388,"")</f>
        <v/>
      </c>
    </row>
    <row r="1394" spans="2:5" x14ac:dyDescent="0.3">
      <c r="B1394" s="2" t="str">
        <f>MID(TableQR[[#This Row],[QR CODES]],4,13)</f>
        <v/>
      </c>
      <c r="C1394" s="2" t="str">
        <f>IFERROR(VLOOKUP(TableQR[[#This Row],[BARCODES]],ILACLISTE[#All],2,0),"")</f>
        <v/>
      </c>
      <c r="D1394" s="2">
        <f t="shared" si="21"/>
        <v>0</v>
      </c>
      <c r="E1394" s="14" t="str">
        <f>IFERROR(GIZLI!G1389,"")</f>
        <v/>
      </c>
    </row>
    <row r="1395" spans="2:5" x14ac:dyDescent="0.3">
      <c r="B1395" s="2" t="str">
        <f>MID(TableQR[[#This Row],[QR CODES]],4,13)</f>
        <v/>
      </c>
      <c r="C1395" s="2" t="str">
        <f>IFERROR(VLOOKUP(TableQR[[#This Row],[BARCODES]],ILACLISTE[#All],2,0),"")</f>
        <v/>
      </c>
      <c r="D1395" s="2">
        <f t="shared" si="21"/>
        <v>0</v>
      </c>
      <c r="E1395" s="14" t="str">
        <f>IFERROR(GIZLI!G1390,"")</f>
        <v/>
      </c>
    </row>
    <row r="1396" spans="2:5" x14ac:dyDescent="0.3">
      <c r="B1396" s="2" t="str">
        <f>MID(TableQR[[#This Row],[QR CODES]],4,13)</f>
        <v/>
      </c>
      <c r="C1396" s="2" t="str">
        <f>IFERROR(VLOOKUP(TableQR[[#This Row],[BARCODES]],ILACLISTE[#All],2,0),"")</f>
        <v/>
      </c>
      <c r="D1396" s="2">
        <f t="shared" si="21"/>
        <v>0</v>
      </c>
      <c r="E1396" s="14" t="str">
        <f>IFERROR(GIZLI!G1391,"")</f>
        <v/>
      </c>
    </row>
    <row r="1397" spans="2:5" x14ac:dyDescent="0.3">
      <c r="B1397" s="2" t="str">
        <f>MID(TableQR[[#This Row],[QR CODES]],4,13)</f>
        <v/>
      </c>
      <c r="C1397" s="2" t="str">
        <f>IFERROR(VLOOKUP(TableQR[[#This Row],[BARCODES]],ILACLISTE[#All],2,0),"")</f>
        <v/>
      </c>
      <c r="D1397" s="2">
        <f t="shared" si="21"/>
        <v>0</v>
      </c>
      <c r="E1397" s="14" t="str">
        <f>IFERROR(GIZLI!G1392,"")</f>
        <v/>
      </c>
    </row>
    <row r="1398" spans="2:5" x14ac:dyDescent="0.3">
      <c r="B1398" s="2" t="str">
        <f>MID(TableQR[[#This Row],[QR CODES]],4,13)</f>
        <v/>
      </c>
      <c r="C1398" s="2" t="str">
        <f>IFERROR(VLOOKUP(TableQR[[#This Row],[BARCODES]],ILACLISTE[#All],2,0),"")</f>
        <v/>
      </c>
      <c r="D1398" s="2">
        <f t="shared" si="21"/>
        <v>0</v>
      </c>
      <c r="E1398" s="14" t="str">
        <f>IFERROR(GIZLI!G1393,"")</f>
        <v/>
      </c>
    </row>
    <row r="1399" spans="2:5" x14ac:dyDescent="0.3">
      <c r="B1399" s="2" t="str">
        <f>MID(TableQR[[#This Row],[QR CODES]],4,13)</f>
        <v/>
      </c>
      <c r="C1399" s="2" t="str">
        <f>IFERROR(VLOOKUP(TableQR[[#This Row],[BARCODES]],ILACLISTE[#All],2,0),"")</f>
        <v/>
      </c>
      <c r="D1399" s="2">
        <f t="shared" si="21"/>
        <v>0</v>
      </c>
      <c r="E1399" s="14" t="str">
        <f>IFERROR(GIZLI!G1394,"")</f>
        <v/>
      </c>
    </row>
    <row r="1400" spans="2:5" x14ac:dyDescent="0.3">
      <c r="B1400" s="2" t="str">
        <f>MID(TableQR[[#This Row],[QR CODES]],4,13)</f>
        <v/>
      </c>
      <c r="C1400" s="2" t="str">
        <f>IFERROR(VLOOKUP(TableQR[[#This Row],[BARCODES]],ILACLISTE[#All],2,0),"")</f>
        <v/>
      </c>
      <c r="D1400" s="2">
        <f t="shared" si="21"/>
        <v>0</v>
      </c>
      <c r="E1400" s="14" t="str">
        <f>IFERROR(GIZLI!G1395,"")</f>
        <v/>
      </c>
    </row>
    <row r="1401" spans="2:5" x14ac:dyDescent="0.3">
      <c r="B1401" s="2" t="str">
        <f>MID(TableQR[[#This Row],[QR CODES]],4,13)</f>
        <v/>
      </c>
      <c r="C1401" s="2" t="str">
        <f>IFERROR(VLOOKUP(TableQR[[#This Row],[BARCODES]],ILACLISTE[#All],2,0),"")</f>
        <v/>
      </c>
      <c r="D1401" s="2">
        <f t="shared" si="21"/>
        <v>0</v>
      </c>
      <c r="E1401" s="14" t="str">
        <f>IFERROR(GIZLI!G1396,"")</f>
        <v/>
      </c>
    </row>
    <row r="1402" spans="2:5" x14ac:dyDescent="0.3">
      <c r="B1402" s="2" t="str">
        <f>MID(TableQR[[#This Row],[QR CODES]],4,13)</f>
        <v/>
      </c>
      <c r="C1402" s="2" t="str">
        <f>IFERROR(VLOOKUP(TableQR[[#This Row],[BARCODES]],ILACLISTE[#All],2,0),"")</f>
        <v/>
      </c>
      <c r="D1402" s="2">
        <f t="shared" si="21"/>
        <v>0</v>
      </c>
      <c r="E1402" s="14" t="str">
        <f>IFERROR(GIZLI!G1397,"")</f>
        <v/>
      </c>
    </row>
    <row r="1403" spans="2:5" x14ac:dyDescent="0.3">
      <c r="B1403" s="2" t="str">
        <f>MID(TableQR[[#This Row],[QR CODES]],4,13)</f>
        <v/>
      </c>
      <c r="C1403" s="2" t="str">
        <f>IFERROR(VLOOKUP(TableQR[[#This Row],[BARCODES]],ILACLISTE[#All],2,0),"")</f>
        <v/>
      </c>
      <c r="D1403" s="2">
        <f t="shared" si="21"/>
        <v>0</v>
      </c>
      <c r="E1403" s="14" t="str">
        <f>IFERROR(GIZLI!G1398,"")</f>
        <v/>
      </c>
    </row>
    <row r="1404" spans="2:5" x14ac:dyDescent="0.3">
      <c r="B1404" s="2" t="str">
        <f>MID(TableQR[[#This Row],[QR CODES]],4,13)</f>
        <v/>
      </c>
      <c r="C1404" s="2" t="str">
        <f>IFERROR(VLOOKUP(TableQR[[#This Row],[BARCODES]],ILACLISTE[#All],2,0),"")</f>
        <v/>
      </c>
      <c r="D1404" s="2">
        <f t="shared" si="21"/>
        <v>0</v>
      </c>
      <c r="E1404" s="14" t="str">
        <f>IFERROR(GIZLI!G1399,"")</f>
        <v/>
      </c>
    </row>
    <row r="1405" spans="2:5" x14ac:dyDescent="0.3">
      <c r="B1405" s="2" t="str">
        <f>MID(TableQR[[#This Row],[QR CODES]],4,13)</f>
        <v/>
      </c>
      <c r="C1405" s="2" t="str">
        <f>IFERROR(VLOOKUP(TableQR[[#This Row],[BARCODES]],ILACLISTE[#All],2,0),"")</f>
        <v/>
      </c>
      <c r="D1405" s="2">
        <f t="shared" si="21"/>
        <v>0</v>
      </c>
      <c r="E1405" s="14" t="str">
        <f>IFERROR(GIZLI!G1400,"")</f>
        <v/>
      </c>
    </row>
    <row r="1406" spans="2:5" x14ac:dyDescent="0.3">
      <c r="B1406" s="2" t="str">
        <f>MID(TableQR[[#This Row],[QR CODES]],4,13)</f>
        <v/>
      </c>
      <c r="C1406" s="2" t="str">
        <f>IFERROR(VLOOKUP(TableQR[[#This Row],[BARCODES]],ILACLISTE[#All],2,0),"")</f>
        <v/>
      </c>
      <c r="D1406" s="2">
        <f t="shared" si="21"/>
        <v>0</v>
      </c>
      <c r="E1406" s="14" t="str">
        <f>IFERROR(GIZLI!G1401,"")</f>
        <v/>
      </c>
    </row>
    <row r="1407" spans="2:5" x14ac:dyDescent="0.3">
      <c r="B1407" s="2" t="str">
        <f>MID(TableQR[[#This Row],[QR CODES]],4,13)</f>
        <v/>
      </c>
      <c r="C1407" s="2" t="str">
        <f>IFERROR(VLOOKUP(TableQR[[#This Row],[BARCODES]],ILACLISTE[#All],2,0),"")</f>
        <v/>
      </c>
      <c r="D1407" s="2">
        <f t="shared" si="21"/>
        <v>0</v>
      </c>
      <c r="E1407" s="14" t="str">
        <f>IFERROR(GIZLI!G1402,"")</f>
        <v/>
      </c>
    </row>
    <row r="1408" spans="2:5" x14ac:dyDescent="0.3">
      <c r="B1408" s="2" t="str">
        <f>MID(TableQR[[#This Row],[QR CODES]],4,13)</f>
        <v/>
      </c>
      <c r="C1408" s="2" t="str">
        <f>IFERROR(VLOOKUP(TableQR[[#This Row],[BARCODES]],ILACLISTE[#All],2,0),"")</f>
        <v/>
      </c>
      <c r="D1408" s="2">
        <f t="shared" si="21"/>
        <v>0</v>
      </c>
      <c r="E1408" s="14" t="str">
        <f>IFERROR(GIZLI!G1403,"")</f>
        <v/>
      </c>
    </row>
    <row r="1409" spans="2:5" x14ac:dyDescent="0.3">
      <c r="B1409" s="2" t="str">
        <f>MID(TableQR[[#This Row],[QR CODES]],4,13)</f>
        <v/>
      </c>
      <c r="C1409" s="2" t="str">
        <f>IFERROR(VLOOKUP(TableQR[[#This Row],[BARCODES]],ILACLISTE[#All],2,0),"")</f>
        <v/>
      </c>
      <c r="D1409" s="2">
        <f t="shared" si="21"/>
        <v>0</v>
      </c>
      <c r="E1409" s="14" t="str">
        <f>IFERROR(GIZLI!G1404,"")</f>
        <v/>
      </c>
    </row>
    <row r="1410" spans="2:5" x14ac:dyDescent="0.3">
      <c r="B1410" s="2" t="str">
        <f>MID(TableQR[[#This Row],[QR CODES]],4,13)</f>
        <v/>
      </c>
      <c r="C1410" s="2" t="str">
        <f>IFERROR(VLOOKUP(TableQR[[#This Row],[BARCODES]],ILACLISTE[#All],2,0),"")</f>
        <v/>
      </c>
      <c r="D1410" s="2">
        <f t="shared" si="21"/>
        <v>0</v>
      </c>
      <c r="E1410" s="14" t="str">
        <f>IFERROR(GIZLI!G1405,"")</f>
        <v/>
      </c>
    </row>
    <row r="1411" spans="2:5" x14ac:dyDescent="0.3">
      <c r="B1411" s="2" t="str">
        <f>MID(TableQR[[#This Row],[QR CODES]],4,13)</f>
        <v/>
      </c>
      <c r="C1411" s="2" t="str">
        <f>IFERROR(VLOOKUP(TableQR[[#This Row],[BARCODES]],ILACLISTE[#All],2,0),"")</f>
        <v/>
      </c>
      <c r="D1411" s="2">
        <f t="shared" si="21"/>
        <v>0</v>
      </c>
      <c r="E1411" s="14" t="str">
        <f>IFERROR(GIZLI!G1406,"")</f>
        <v/>
      </c>
    </row>
    <row r="1412" spans="2:5" x14ac:dyDescent="0.3">
      <c r="B1412" s="2" t="str">
        <f>MID(TableQR[[#This Row],[QR CODES]],4,13)</f>
        <v/>
      </c>
      <c r="C1412" s="2" t="str">
        <f>IFERROR(VLOOKUP(TableQR[[#This Row],[BARCODES]],ILACLISTE[#All],2,0),"")</f>
        <v/>
      </c>
      <c r="D1412" s="2">
        <f t="shared" si="21"/>
        <v>0</v>
      </c>
      <c r="E1412" s="14" t="str">
        <f>IFERROR(GIZLI!G1407,"")</f>
        <v/>
      </c>
    </row>
    <row r="1413" spans="2:5" x14ac:dyDescent="0.3">
      <c r="B1413" s="2" t="str">
        <f>MID(TableQR[[#This Row],[QR CODES]],4,13)</f>
        <v/>
      </c>
      <c r="C1413" s="2" t="str">
        <f>IFERROR(VLOOKUP(TableQR[[#This Row],[BARCODES]],ILACLISTE[#All],2,0),"")</f>
        <v/>
      </c>
      <c r="D1413" s="2">
        <f t="shared" si="21"/>
        <v>0</v>
      </c>
      <c r="E1413" s="14" t="str">
        <f>IFERROR(GIZLI!G1408,"")</f>
        <v/>
      </c>
    </row>
    <row r="1414" spans="2:5" x14ac:dyDescent="0.3">
      <c r="B1414" s="2" t="str">
        <f>MID(TableQR[[#This Row],[QR CODES]],4,13)</f>
        <v/>
      </c>
      <c r="C1414" s="2" t="str">
        <f>IFERROR(VLOOKUP(TableQR[[#This Row],[BARCODES]],ILACLISTE[#All],2,0),"")</f>
        <v/>
      </c>
      <c r="D1414" s="2">
        <f t="shared" si="21"/>
        <v>0</v>
      </c>
      <c r="E1414" s="14" t="str">
        <f>IFERROR(GIZLI!G1409,"")</f>
        <v/>
      </c>
    </row>
    <row r="1415" spans="2:5" x14ac:dyDescent="0.3">
      <c r="B1415" s="2" t="str">
        <f>MID(TableQR[[#This Row],[QR CODES]],4,13)</f>
        <v/>
      </c>
      <c r="C1415" s="2" t="str">
        <f>IFERROR(VLOOKUP(TableQR[[#This Row],[BARCODES]],ILACLISTE[#All],2,0),"")</f>
        <v/>
      </c>
      <c r="D1415" s="2">
        <f t="shared" si="21"/>
        <v>0</v>
      </c>
      <c r="E1415" s="14" t="str">
        <f>IFERROR(GIZLI!G1410,"")</f>
        <v/>
      </c>
    </row>
    <row r="1416" spans="2:5" x14ac:dyDescent="0.3">
      <c r="B1416" s="2" t="str">
        <f>MID(TableQR[[#This Row],[QR CODES]],4,13)</f>
        <v/>
      </c>
      <c r="C1416" s="2" t="str">
        <f>IFERROR(VLOOKUP(TableQR[[#This Row],[BARCODES]],ILACLISTE[#All],2,0),"")</f>
        <v/>
      </c>
      <c r="D1416" s="2">
        <f t="shared" ref="D1416:D1479" si="22">COUNTIF(B1416:B5409,IF(B1416="",66666,B1416))</f>
        <v>0</v>
      </c>
      <c r="E1416" s="14" t="str">
        <f>IFERROR(GIZLI!G1411,"")</f>
        <v/>
      </c>
    </row>
    <row r="1417" spans="2:5" x14ac:dyDescent="0.3">
      <c r="B1417" s="2" t="str">
        <f>MID(TableQR[[#This Row],[QR CODES]],4,13)</f>
        <v/>
      </c>
      <c r="C1417" s="2" t="str">
        <f>IFERROR(VLOOKUP(TableQR[[#This Row],[BARCODES]],ILACLISTE[#All],2,0),"")</f>
        <v/>
      </c>
      <c r="D1417" s="2">
        <f t="shared" si="22"/>
        <v>0</v>
      </c>
      <c r="E1417" s="14" t="str">
        <f>IFERROR(GIZLI!G1412,"")</f>
        <v/>
      </c>
    </row>
    <row r="1418" spans="2:5" x14ac:dyDescent="0.3">
      <c r="B1418" s="2" t="str">
        <f>MID(TableQR[[#This Row],[QR CODES]],4,13)</f>
        <v/>
      </c>
      <c r="C1418" s="2" t="str">
        <f>IFERROR(VLOOKUP(TableQR[[#This Row],[BARCODES]],ILACLISTE[#All],2,0),"")</f>
        <v/>
      </c>
      <c r="D1418" s="2">
        <f t="shared" si="22"/>
        <v>0</v>
      </c>
      <c r="E1418" s="14" t="str">
        <f>IFERROR(GIZLI!G1413,"")</f>
        <v/>
      </c>
    </row>
    <row r="1419" spans="2:5" x14ac:dyDescent="0.3">
      <c r="B1419" s="2" t="str">
        <f>MID(TableQR[[#This Row],[QR CODES]],4,13)</f>
        <v/>
      </c>
      <c r="C1419" s="2" t="str">
        <f>IFERROR(VLOOKUP(TableQR[[#This Row],[BARCODES]],ILACLISTE[#All],2,0),"")</f>
        <v/>
      </c>
      <c r="D1419" s="2">
        <f t="shared" si="22"/>
        <v>0</v>
      </c>
      <c r="E1419" s="14" t="str">
        <f>IFERROR(GIZLI!G1414,"")</f>
        <v/>
      </c>
    </row>
    <row r="1420" spans="2:5" x14ac:dyDescent="0.3">
      <c r="B1420" s="2" t="str">
        <f>MID(TableQR[[#This Row],[QR CODES]],4,13)</f>
        <v/>
      </c>
      <c r="C1420" s="2" t="str">
        <f>IFERROR(VLOOKUP(TableQR[[#This Row],[BARCODES]],ILACLISTE[#All],2,0),"")</f>
        <v/>
      </c>
      <c r="D1420" s="2">
        <f t="shared" si="22"/>
        <v>0</v>
      </c>
      <c r="E1420" s="14" t="str">
        <f>IFERROR(GIZLI!G1415,"")</f>
        <v/>
      </c>
    </row>
    <row r="1421" spans="2:5" x14ac:dyDescent="0.3">
      <c r="B1421" s="2" t="str">
        <f>MID(TableQR[[#This Row],[QR CODES]],4,13)</f>
        <v/>
      </c>
      <c r="C1421" s="2" t="str">
        <f>IFERROR(VLOOKUP(TableQR[[#This Row],[BARCODES]],ILACLISTE[#All],2,0),"")</f>
        <v/>
      </c>
      <c r="D1421" s="2">
        <f t="shared" si="22"/>
        <v>0</v>
      </c>
      <c r="E1421" s="14" t="str">
        <f>IFERROR(GIZLI!G1416,"")</f>
        <v/>
      </c>
    </row>
    <row r="1422" spans="2:5" x14ac:dyDescent="0.3">
      <c r="B1422" s="2" t="str">
        <f>MID(TableQR[[#This Row],[QR CODES]],4,13)</f>
        <v/>
      </c>
      <c r="C1422" s="2" t="str">
        <f>IFERROR(VLOOKUP(TableQR[[#This Row],[BARCODES]],ILACLISTE[#All],2,0),"")</f>
        <v/>
      </c>
      <c r="D1422" s="2">
        <f t="shared" si="22"/>
        <v>0</v>
      </c>
      <c r="E1422" s="14" t="str">
        <f>IFERROR(GIZLI!G1417,"")</f>
        <v/>
      </c>
    </row>
    <row r="1423" spans="2:5" x14ac:dyDescent="0.3">
      <c r="B1423" s="2" t="str">
        <f>MID(TableQR[[#This Row],[QR CODES]],4,13)</f>
        <v/>
      </c>
      <c r="C1423" s="2" t="str">
        <f>IFERROR(VLOOKUP(TableQR[[#This Row],[BARCODES]],ILACLISTE[#All],2,0),"")</f>
        <v/>
      </c>
      <c r="D1423" s="2">
        <f t="shared" si="22"/>
        <v>0</v>
      </c>
      <c r="E1423" s="14" t="str">
        <f>IFERROR(GIZLI!G1418,"")</f>
        <v/>
      </c>
    </row>
    <row r="1424" spans="2:5" x14ac:dyDescent="0.3">
      <c r="B1424" s="2" t="str">
        <f>MID(TableQR[[#This Row],[QR CODES]],4,13)</f>
        <v/>
      </c>
      <c r="C1424" s="2" t="str">
        <f>IFERROR(VLOOKUP(TableQR[[#This Row],[BARCODES]],ILACLISTE[#All],2,0),"")</f>
        <v/>
      </c>
      <c r="D1424" s="2">
        <f t="shared" si="22"/>
        <v>0</v>
      </c>
      <c r="E1424" s="14" t="str">
        <f>IFERROR(GIZLI!G1419,"")</f>
        <v/>
      </c>
    </row>
    <row r="1425" spans="2:5" x14ac:dyDescent="0.3">
      <c r="B1425" s="2" t="str">
        <f>MID(TableQR[[#This Row],[QR CODES]],4,13)</f>
        <v/>
      </c>
      <c r="C1425" s="2" t="str">
        <f>IFERROR(VLOOKUP(TableQR[[#This Row],[BARCODES]],ILACLISTE[#All],2,0),"")</f>
        <v/>
      </c>
      <c r="D1425" s="2">
        <f t="shared" si="22"/>
        <v>0</v>
      </c>
      <c r="E1425" s="14" t="str">
        <f>IFERROR(GIZLI!G1420,"")</f>
        <v/>
      </c>
    </row>
    <row r="1426" spans="2:5" x14ac:dyDescent="0.3">
      <c r="B1426" s="2" t="str">
        <f>MID(TableQR[[#This Row],[QR CODES]],4,13)</f>
        <v/>
      </c>
      <c r="C1426" s="2" t="str">
        <f>IFERROR(VLOOKUP(TableQR[[#This Row],[BARCODES]],ILACLISTE[#All],2,0),"")</f>
        <v/>
      </c>
      <c r="D1426" s="2">
        <f t="shared" si="22"/>
        <v>0</v>
      </c>
      <c r="E1426" s="14" t="str">
        <f>IFERROR(GIZLI!G1421,"")</f>
        <v/>
      </c>
    </row>
    <row r="1427" spans="2:5" x14ac:dyDescent="0.3">
      <c r="B1427" s="2" t="str">
        <f>MID(TableQR[[#This Row],[QR CODES]],4,13)</f>
        <v/>
      </c>
      <c r="C1427" s="2" t="str">
        <f>IFERROR(VLOOKUP(TableQR[[#This Row],[BARCODES]],ILACLISTE[#All],2,0),"")</f>
        <v/>
      </c>
      <c r="D1427" s="2">
        <f t="shared" si="22"/>
        <v>0</v>
      </c>
      <c r="E1427" s="14" t="str">
        <f>IFERROR(GIZLI!G1422,"")</f>
        <v/>
      </c>
    </row>
    <row r="1428" spans="2:5" x14ac:dyDescent="0.3">
      <c r="B1428" s="2" t="str">
        <f>MID(TableQR[[#This Row],[QR CODES]],4,13)</f>
        <v/>
      </c>
      <c r="C1428" s="2" t="str">
        <f>IFERROR(VLOOKUP(TableQR[[#This Row],[BARCODES]],ILACLISTE[#All],2,0),"")</f>
        <v/>
      </c>
      <c r="D1428" s="2">
        <f t="shared" si="22"/>
        <v>0</v>
      </c>
      <c r="E1428" s="14" t="str">
        <f>IFERROR(GIZLI!G1423,"")</f>
        <v/>
      </c>
    </row>
    <row r="1429" spans="2:5" x14ac:dyDescent="0.3">
      <c r="B1429" s="2" t="str">
        <f>MID(TableQR[[#This Row],[QR CODES]],4,13)</f>
        <v/>
      </c>
      <c r="C1429" s="2" t="str">
        <f>IFERROR(VLOOKUP(TableQR[[#This Row],[BARCODES]],ILACLISTE[#All],2,0),"")</f>
        <v/>
      </c>
      <c r="D1429" s="2">
        <f t="shared" si="22"/>
        <v>0</v>
      </c>
      <c r="E1429" s="14" t="str">
        <f>IFERROR(GIZLI!G1424,"")</f>
        <v/>
      </c>
    </row>
    <row r="1430" spans="2:5" x14ac:dyDescent="0.3">
      <c r="B1430" s="2" t="str">
        <f>MID(TableQR[[#This Row],[QR CODES]],4,13)</f>
        <v/>
      </c>
      <c r="C1430" s="2" t="str">
        <f>IFERROR(VLOOKUP(TableQR[[#This Row],[BARCODES]],ILACLISTE[#All],2,0),"")</f>
        <v/>
      </c>
      <c r="D1430" s="2">
        <f t="shared" si="22"/>
        <v>0</v>
      </c>
      <c r="E1430" s="14" t="str">
        <f>IFERROR(GIZLI!G1425,"")</f>
        <v/>
      </c>
    </row>
    <row r="1431" spans="2:5" x14ac:dyDescent="0.3">
      <c r="B1431" s="2" t="str">
        <f>MID(TableQR[[#This Row],[QR CODES]],4,13)</f>
        <v/>
      </c>
      <c r="C1431" s="2" t="str">
        <f>IFERROR(VLOOKUP(TableQR[[#This Row],[BARCODES]],ILACLISTE[#All],2,0),"")</f>
        <v/>
      </c>
      <c r="D1431" s="2">
        <f t="shared" si="22"/>
        <v>0</v>
      </c>
      <c r="E1431" s="14" t="str">
        <f>IFERROR(GIZLI!G1426,"")</f>
        <v/>
      </c>
    </row>
    <row r="1432" spans="2:5" x14ac:dyDescent="0.3">
      <c r="B1432" s="2" t="str">
        <f>MID(TableQR[[#This Row],[QR CODES]],4,13)</f>
        <v/>
      </c>
      <c r="C1432" s="2" t="str">
        <f>IFERROR(VLOOKUP(TableQR[[#This Row],[BARCODES]],ILACLISTE[#All],2,0),"")</f>
        <v/>
      </c>
      <c r="D1432" s="2">
        <f t="shared" si="22"/>
        <v>0</v>
      </c>
      <c r="E1432" s="14" t="str">
        <f>IFERROR(GIZLI!G1427,"")</f>
        <v/>
      </c>
    </row>
    <row r="1433" spans="2:5" x14ac:dyDescent="0.3">
      <c r="B1433" s="2" t="str">
        <f>MID(TableQR[[#This Row],[QR CODES]],4,13)</f>
        <v/>
      </c>
      <c r="C1433" s="2" t="str">
        <f>IFERROR(VLOOKUP(TableQR[[#This Row],[BARCODES]],ILACLISTE[#All],2,0),"")</f>
        <v/>
      </c>
      <c r="D1433" s="2">
        <f t="shared" si="22"/>
        <v>0</v>
      </c>
      <c r="E1433" s="14" t="str">
        <f>IFERROR(GIZLI!G1428,"")</f>
        <v/>
      </c>
    </row>
    <row r="1434" spans="2:5" x14ac:dyDescent="0.3">
      <c r="B1434" s="2" t="str">
        <f>MID(TableQR[[#This Row],[QR CODES]],4,13)</f>
        <v/>
      </c>
      <c r="C1434" s="2" t="str">
        <f>IFERROR(VLOOKUP(TableQR[[#This Row],[BARCODES]],ILACLISTE[#All],2,0),"")</f>
        <v/>
      </c>
      <c r="D1434" s="2">
        <f t="shared" si="22"/>
        <v>0</v>
      </c>
      <c r="E1434" s="14" t="str">
        <f>IFERROR(GIZLI!G1429,"")</f>
        <v/>
      </c>
    </row>
    <row r="1435" spans="2:5" x14ac:dyDescent="0.3">
      <c r="B1435" s="2" t="str">
        <f>MID(TableQR[[#This Row],[QR CODES]],4,13)</f>
        <v/>
      </c>
      <c r="C1435" s="2" t="str">
        <f>IFERROR(VLOOKUP(TableQR[[#This Row],[BARCODES]],ILACLISTE[#All],2,0),"")</f>
        <v/>
      </c>
      <c r="D1435" s="2">
        <f t="shared" si="22"/>
        <v>0</v>
      </c>
      <c r="E1435" s="14" t="str">
        <f>IFERROR(GIZLI!G1430,"")</f>
        <v/>
      </c>
    </row>
    <row r="1436" spans="2:5" x14ac:dyDescent="0.3">
      <c r="B1436" s="2" t="str">
        <f>MID(TableQR[[#This Row],[QR CODES]],4,13)</f>
        <v/>
      </c>
      <c r="C1436" s="2" t="str">
        <f>IFERROR(VLOOKUP(TableQR[[#This Row],[BARCODES]],ILACLISTE[#All],2,0),"")</f>
        <v/>
      </c>
      <c r="D1436" s="2">
        <f t="shared" si="22"/>
        <v>0</v>
      </c>
      <c r="E1436" s="14" t="str">
        <f>IFERROR(GIZLI!G1431,"")</f>
        <v/>
      </c>
    </row>
    <row r="1437" spans="2:5" x14ac:dyDescent="0.3">
      <c r="B1437" s="2" t="str">
        <f>MID(TableQR[[#This Row],[QR CODES]],4,13)</f>
        <v/>
      </c>
      <c r="C1437" s="2" t="str">
        <f>IFERROR(VLOOKUP(TableQR[[#This Row],[BARCODES]],ILACLISTE[#All],2,0),"")</f>
        <v/>
      </c>
      <c r="D1437" s="2">
        <f t="shared" si="22"/>
        <v>0</v>
      </c>
      <c r="E1437" s="14" t="str">
        <f>IFERROR(GIZLI!G1432,"")</f>
        <v/>
      </c>
    </row>
    <row r="1438" spans="2:5" x14ac:dyDescent="0.3">
      <c r="B1438" s="2" t="str">
        <f>MID(TableQR[[#This Row],[QR CODES]],4,13)</f>
        <v/>
      </c>
      <c r="C1438" s="2" t="str">
        <f>IFERROR(VLOOKUP(TableQR[[#This Row],[BARCODES]],ILACLISTE[#All],2,0),"")</f>
        <v/>
      </c>
      <c r="D1438" s="2">
        <f t="shared" si="22"/>
        <v>0</v>
      </c>
      <c r="E1438" s="14" t="str">
        <f>IFERROR(GIZLI!G1433,"")</f>
        <v/>
      </c>
    </row>
    <row r="1439" spans="2:5" x14ac:dyDescent="0.3">
      <c r="B1439" s="2" t="str">
        <f>MID(TableQR[[#This Row],[QR CODES]],4,13)</f>
        <v/>
      </c>
      <c r="C1439" s="2" t="str">
        <f>IFERROR(VLOOKUP(TableQR[[#This Row],[BARCODES]],ILACLISTE[#All],2,0),"")</f>
        <v/>
      </c>
      <c r="D1439" s="2">
        <f t="shared" si="22"/>
        <v>0</v>
      </c>
      <c r="E1439" s="14" t="str">
        <f>IFERROR(GIZLI!G1434,"")</f>
        <v/>
      </c>
    </row>
    <row r="1440" spans="2:5" x14ac:dyDescent="0.3">
      <c r="B1440" s="2" t="str">
        <f>MID(TableQR[[#This Row],[QR CODES]],4,13)</f>
        <v/>
      </c>
      <c r="C1440" s="2" t="str">
        <f>IFERROR(VLOOKUP(TableQR[[#This Row],[BARCODES]],ILACLISTE[#All],2,0),"")</f>
        <v/>
      </c>
      <c r="D1440" s="2">
        <f t="shared" si="22"/>
        <v>0</v>
      </c>
      <c r="E1440" s="14" t="str">
        <f>IFERROR(GIZLI!G1435,"")</f>
        <v/>
      </c>
    </row>
    <row r="1441" spans="2:5" x14ac:dyDescent="0.3">
      <c r="B1441" s="2" t="str">
        <f>MID(TableQR[[#This Row],[QR CODES]],4,13)</f>
        <v/>
      </c>
      <c r="C1441" s="2" t="str">
        <f>IFERROR(VLOOKUP(TableQR[[#This Row],[BARCODES]],ILACLISTE[#All],2,0),"")</f>
        <v/>
      </c>
      <c r="D1441" s="2">
        <f t="shared" si="22"/>
        <v>0</v>
      </c>
      <c r="E1441" s="14" t="str">
        <f>IFERROR(GIZLI!G1436,"")</f>
        <v/>
      </c>
    </row>
    <row r="1442" spans="2:5" x14ac:dyDescent="0.3">
      <c r="B1442" s="2" t="str">
        <f>MID(TableQR[[#This Row],[QR CODES]],4,13)</f>
        <v/>
      </c>
      <c r="C1442" s="2" t="str">
        <f>IFERROR(VLOOKUP(TableQR[[#This Row],[BARCODES]],ILACLISTE[#All],2,0),"")</f>
        <v/>
      </c>
      <c r="D1442" s="2">
        <f t="shared" si="22"/>
        <v>0</v>
      </c>
      <c r="E1442" s="14" t="str">
        <f>IFERROR(GIZLI!G1437,"")</f>
        <v/>
      </c>
    </row>
    <row r="1443" spans="2:5" x14ac:dyDescent="0.3">
      <c r="B1443" s="2" t="str">
        <f>MID(TableQR[[#This Row],[QR CODES]],4,13)</f>
        <v/>
      </c>
      <c r="C1443" s="2" t="str">
        <f>IFERROR(VLOOKUP(TableQR[[#This Row],[BARCODES]],ILACLISTE[#All],2,0),"")</f>
        <v/>
      </c>
      <c r="D1443" s="2">
        <f t="shared" si="22"/>
        <v>0</v>
      </c>
      <c r="E1443" s="14" t="str">
        <f>IFERROR(GIZLI!G1438,"")</f>
        <v/>
      </c>
    </row>
    <row r="1444" spans="2:5" x14ac:dyDescent="0.3">
      <c r="B1444" s="2" t="str">
        <f>MID(TableQR[[#This Row],[QR CODES]],4,13)</f>
        <v/>
      </c>
      <c r="C1444" s="2" t="str">
        <f>IFERROR(VLOOKUP(TableQR[[#This Row],[BARCODES]],ILACLISTE[#All],2,0),"")</f>
        <v/>
      </c>
      <c r="D1444" s="2">
        <f t="shared" si="22"/>
        <v>0</v>
      </c>
      <c r="E1444" s="14" t="str">
        <f>IFERROR(GIZLI!G1439,"")</f>
        <v/>
      </c>
    </row>
    <row r="1445" spans="2:5" x14ac:dyDescent="0.3">
      <c r="B1445" s="2" t="str">
        <f>MID(TableQR[[#This Row],[QR CODES]],4,13)</f>
        <v/>
      </c>
      <c r="C1445" s="2" t="str">
        <f>IFERROR(VLOOKUP(TableQR[[#This Row],[BARCODES]],ILACLISTE[#All],2,0),"")</f>
        <v/>
      </c>
      <c r="D1445" s="2">
        <f t="shared" si="22"/>
        <v>0</v>
      </c>
      <c r="E1445" s="14" t="str">
        <f>IFERROR(GIZLI!G1440,"")</f>
        <v/>
      </c>
    </row>
    <row r="1446" spans="2:5" x14ac:dyDescent="0.3">
      <c r="B1446" s="2" t="str">
        <f>MID(TableQR[[#This Row],[QR CODES]],4,13)</f>
        <v/>
      </c>
      <c r="C1446" s="2" t="str">
        <f>IFERROR(VLOOKUP(TableQR[[#This Row],[BARCODES]],ILACLISTE[#All],2,0),"")</f>
        <v/>
      </c>
      <c r="D1446" s="2">
        <f t="shared" si="22"/>
        <v>0</v>
      </c>
      <c r="E1446" s="14" t="str">
        <f>IFERROR(GIZLI!G1441,"")</f>
        <v/>
      </c>
    </row>
    <row r="1447" spans="2:5" x14ac:dyDescent="0.3">
      <c r="B1447" s="2" t="str">
        <f>MID(TableQR[[#This Row],[QR CODES]],4,13)</f>
        <v/>
      </c>
      <c r="C1447" s="2" t="str">
        <f>IFERROR(VLOOKUP(TableQR[[#This Row],[BARCODES]],ILACLISTE[#All],2,0),"")</f>
        <v/>
      </c>
      <c r="D1447" s="2">
        <f t="shared" si="22"/>
        <v>0</v>
      </c>
      <c r="E1447" s="14" t="str">
        <f>IFERROR(GIZLI!G1442,"")</f>
        <v/>
      </c>
    </row>
    <row r="1448" spans="2:5" x14ac:dyDescent="0.3">
      <c r="B1448" s="2" t="str">
        <f>MID(TableQR[[#This Row],[QR CODES]],4,13)</f>
        <v/>
      </c>
      <c r="C1448" s="2" t="str">
        <f>IFERROR(VLOOKUP(TableQR[[#This Row],[BARCODES]],ILACLISTE[#All],2,0),"")</f>
        <v/>
      </c>
      <c r="D1448" s="2">
        <f t="shared" si="22"/>
        <v>0</v>
      </c>
      <c r="E1448" s="14" t="str">
        <f>IFERROR(GIZLI!G1443,"")</f>
        <v/>
      </c>
    </row>
    <row r="1449" spans="2:5" x14ac:dyDescent="0.3">
      <c r="B1449" s="2" t="str">
        <f>MID(TableQR[[#This Row],[QR CODES]],4,13)</f>
        <v/>
      </c>
      <c r="C1449" s="2" t="str">
        <f>IFERROR(VLOOKUP(TableQR[[#This Row],[BARCODES]],ILACLISTE[#All],2,0),"")</f>
        <v/>
      </c>
      <c r="D1449" s="2">
        <f t="shared" si="22"/>
        <v>0</v>
      </c>
      <c r="E1449" s="14" t="str">
        <f>IFERROR(GIZLI!G1444,"")</f>
        <v/>
      </c>
    </row>
    <row r="1450" spans="2:5" x14ac:dyDescent="0.3">
      <c r="B1450" s="2" t="str">
        <f>MID(TableQR[[#This Row],[QR CODES]],4,13)</f>
        <v/>
      </c>
      <c r="C1450" s="2" t="str">
        <f>IFERROR(VLOOKUP(TableQR[[#This Row],[BARCODES]],ILACLISTE[#All],2,0),"")</f>
        <v/>
      </c>
      <c r="D1450" s="2">
        <f t="shared" si="22"/>
        <v>0</v>
      </c>
      <c r="E1450" s="14" t="str">
        <f>IFERROR(GIZLI!G1445,"")</f>
        <v/>
      </c>
    </row>
    <row r="1451" spans="2:5" x14ac:dyDescent="0.3">
      <c r="B1451" s="2" t="str">
        <f>MID(TableQR[[#This Row],[QR CODES]],4,13)</f>
        <v/>
      </c>
      <c r="C1451" s="2" t="str">
        <f>IFERROR(VLOOKUP(TableQR[[#This Row],[BARCODES]],ILACLISTE[#All],2,0),"")</f>
        <v/>
      </c>
      <c r="D1451" s="2">
        <f t="shared" si="22"/>
        <v>0</v>
      </c>
      <c r="E1451" s="14" t="str">
        <f>IFERROR(GIZLI!G1446,"")</f>
        <v/>
      </c>
    </row>
    <row r="1452" spans="2:5" x14ac:dyDescent="0.3">
      <c r="B1452" s="2" t="str">
        <f>MID(TableQR[[#This Row],[QR CODES]],4,13)</f>
        <v/>
      </c>
      <c r="C1452" s="2" t="str">
        <f>IFERROR(VLOOKUP(TableQR[[#This Row],[BARCODES]],ILACLISTE[#All],2,0),"")</f>
        <v/>
      </c>
      <c r="D1452" s="2">
        <f t="shared" si="22"/>
        <v>0</v>
      </c>
      <c r="E1452" s="14" t="str">
        <f>IFERROR(GIZLI!G1447,"")</f>
        <v/>
      </c>
    </row>
    <row r="1453" spans="2:5" x14ac:dyDescent="0.3">
      <c r="B1453" s="2" t="str">
        <f>MID(TableQR[[#This Row],[QR CODES]],4,13)</f>
        <v/>
      </c>
      <c r="C1453" s="2" t="str">
        <f>IFERROR(VLOOKUP(TableQR[[#This Row],[BARCODES]],ILACLISTE[#All],2,0),"")</f>
        <v/>
      </c>
      <c r="D1453" s="2">
        <f t="shared" si="22"/>
        <v>0</v>
      </c>
      <c r="E1453" s="14" t="str">
        <f>IFERROR(GIZLI!G1448,"")</f>
        <v/>
      </c>
    </row>
    <row r="1454" spans="2:5" x14ac:dyDescent="0.3">
      <c r="B1454" s="2" t="str">
        <f>MID(TableQR[[#This Row],[QR CODES]],4,13)</f>
        <v/>
      </c>
      <c r="C1454" s="2" t="str">
        <f>IFERROR(VLOOKUP(TableQR[[#This Row],[BARCODES]],ILACLISTE[#All],2,0),"")</f>
        <v/>
      </c>
      <c r="D1454" s="2">
        <f t="shared" si="22"/>
        <v>0</v>
      </c>
      <c r="E1454" s="14" t="str">
        <f>IFERROR(GIZLI!G1449,"")</f>
        <v/>
      </c>
    </row>
    <row r="1455" spans="2:5" x14ac:dyDescent="0.3">
      <c r="B1455" s="2" t="str">
        <f>MID(TableQR[[#This Row],[QR CODES]],4,13)</f>
        <v/>
      </c>
      <c r="C1455" s="2" t="str">
        <f>IFERROR(VLOOKUP(TableQR[[#This Row],[BARCODES]],ILACLISTE[#All],2,0),"")</f>
        <v/>
      </c>
      <c r="D1455" s="2">
        <f t="shared" si="22"/>
        <v>0</v>
      </c>
      <c r="E1455" s="14" t="str">
        <f>IFERROR(GIZLI!G1450,"")</f>
        <v/>
      </c>
    </row>
    <row r="1456" spans="2:5" x14ac:dyDescent="0.3">
      <c r="B1456" s="2" t="str">
        <f>MID(TableQR[[#This Row],[QR CODES]],4,13)</f>
        <v/>
      </c>
      <c r="C1456" s="2" t="str">
        <f>IFERROR(VLOOKUP(TableQR[[#This Row],[BARCODES]],ILACLISTE[#All],2,0),"")</f>
        <v/>
      </c>
      <c r="D1456" s="2">
        <f t="shared" si="22"/>
        <v>0</v>
      </c>
      <c r="E1456" s="14" t="str">
        <f>IFERROR(GIZLI!G1451,"")</f>
        <v/>
      </c>
    </row>
    <row r="1457" spans="2:5" x14ac:dyDescent="0.3">
      <c r="B1457" s="2" t="str">
        <f>MID(TableQR[[#This Row],[QR CODES]],4,13)</f>
        <v/>
      </c>
      <c r="C1457" s="2" t="str">
        <f>IFERROR(VLOOKUP(TableQR[[#This Row],[BARCODES]],ILACLISTE[#All],2,0),"")</f>
        <v/>
      </c>
      <c r="D1457" s="2">
        <f t="shared" si="22"/>
        <v>0</v>
      </c>
      <c r="E1457" s="14" t="str">
        <f>IFERROR(GIZLI!G1452,"")</f>
        <v/>
      </c>
    </row>
    <row r="1458" spans="2:5" x14ac:dyDescent="0.3">
      <c r="B1458" s="2" t="str">
        <f>MID(TableQR[[#This Row],[QR CODES]],4,13)</f>
        <v/>
      </c>
      <c r="C1458" s="2" t="str">
        <f>IFERROR(VLOOKUP(TableQR[[#This Row],[BARCODES]],ILACLISTE[#All],2,0),"")</f>
        <v/>
      </c>
      <c r="D1458" s="2">
        <f t="shared" si="22"/>
        <v>0</v>
      </c>
      <c r="E1458" s="14" t="str">
        <f>IFERROR(GIZLI!G1453,"")</f>
        <v/>
      </c>
    </row>
    <row r="1459" spans="2:5" x14ac:dyDescent="0.3">
      <c r="B1459" s="2" t="str">
        <f>MID(TableQR[[#This Row],[QR CODES]],4,13)</f>
        <v/>
      </c>
      <c r="C1459" s="2" t="str">
        <f>IFERROR(VLOOKUP(TableQR[[#This Row],[BARCODES]],ILACLISTE[#All],2,0),"")</f>
        <v/>
      </c>
      <c r="D1459" s="2">
        <f t="shared" si="22"/>
        <v>0</v>
      </c>
      <c r="E1459" s="14" t="str">
        <f>IFERROR(GIZLI!G1454,"")</f>
        <v/>
      </c>
    </row>
    <row r="1460" spans="2:5" x14ac:dyDescent="0.3">
      <c r="B1460" s="2" t="str">
        <f>MID(TableQR[[#This Row],[QR CODES]],4,13)</f>
        <v/>
      </c>
      <c r="C1460" s="2" t="str">
        <f>IFERROR(VLOOKUP(TableQR[[#This Row],[BARCODES]],ILACLISTE[#All],2,0),"")</f>
        <v/>
      </c>
      <c r="D1460" s="2">
        <f t="shared" si="22"/>
        <v>0</v>
      </c>
      <c r="E1460" s="14" t="str">
        <f>IFERROR(GIZLI!G1455,"")</f>
        <v/>
      </c>
    </row>
    <row r="1461" spans="2:5" x14ac:dyDescent="0.3">
      <c r="B1461" s="2" t="str">
        <f>MID(TableQR[[#This Row],[QR CODES]],4,13)</f>
        <v/>
      </c>
      <c r="C1461" s="2" t="str">
        <f>IFERROR(VLOOKUP(TableQR[[#This Row],[BARCODES]],ILACLISTE[#All],2,0),"")</f>
        <v/>
      </c>
      <c r="D1461" s="2">
        <f t="shared" si="22"/>
        <v>0</v>
      </c>
      <c r="E1461" s="14" t="str">
        <f>IFERROR(GIZLI!G1456,"")</f>
        <v/>
      </c>
    </row>
    <row r="1462" spans="2:5" x14ac:dyDescent="0.3">
      <c r="B1462" s="2" t="str">
        <f>MID(TableQR[[#This Row],[QR CODES]],4,13)</f>
        <v/>
      </c>
      <c r="C1462" s="2" t="str">
        <f>IFERROR(VLOOKUP(TableQR[[#This Row],[BARCODES]],ILACLISTE[#All],2,0),"")</f>
        <v/>
      </c>
      <c r="D1462" s="2">
        <f t="shared" si="22"/>
        <v>0</v>
      </c>
      <c r="E1462" s="14" t="str">
        <f>IFERROR(GIZLI!G1457,"")</f>
        <v/>
      </c>
    </row>
    <row r="1463" spans="2:5" x14ac:dyDescent="0.3">
      <c r="B1463" s="2" t="str">
        <f>MID(TableQR[[#This Row],[QR CODES]],4,13)</f>
        <v/>
      </c>
      <c r="C1463" s="2" t="str">
        <f>IFERROR(VLOOKUP(TableQR[[#This Row],[BARCODES]],ILACLISTE[#All],2,0),"")</f>
        <v/>
      </c>
      <c r="D1463" s="2">
        <f t="shared" si="22"/>
        <v>0</v>
      </c>
      <c r="E1463" s="14" t="str">
        <f>IFERROR(GIZLI!G1458,"")</f>
        <v/>
      </c>
    </row>
    <row r="1464" spans="2:5" x14ac:dyDescent="0.3">
      <c r="B1464" s="2" t="str">
        <f>MID(TableQR[[#This Row],[QR CODES]],4,13)</f>
        <v/>
      </c>
      <c r="C1464" s="2" t="str">
        <f>IFERROR(VLOOKUP(TableQR[[#This Row],[BARCODES]],ILACLISTE[#All],2,0),"")</f>
        <v/>
      </c>
      <c r="D1464" s="2">
        <f t="shared" si="22"/>
        <v>0</v>
      </c>
      <c r="E1464" s="14" t="str">
        <f>IFERROR(GIZLI!G1459,"")</f>
        <v/>
      </c>
    </row>
    <row r="1465" spans="2:5" x14ac:dyDescent="0.3">
      <c r="B1465" s="2" t="str">
        <f>MID(TableQR[[#This Row],[QR CODES]],4,13)</f>
        <v/>
      </c>
      <c r="C1465" s="2" t="str">
        <f>IFERROR(VLOOKUP(TableQR[[#This Row],[BARCODES]],ILACLISTE[#All],2,0),"")</f>
        <v/>
      </c>
      <c r="D1465" s="2">
        <f t="shared" si="22"/>
        <v>0</v>
      </c>
      <c r="E1465" s="14" t="str">
        <f>IFERROR(GIZLI!G1460,"")</f>
        <v/>
      </c>
    </row>
    <row r="1466" spans="2:5" x14ac:dyDescent="0.3">
      <c r="B1466" s="2" t="str">
        <f>MID(TableQR[[#This Row],[QR CODES]],4,13)</f>
        <v/>
      </c>
      <c r="C1466" s="2" t="str">
        <f>IFERROR(VLOOKUP(TableQR[[#This Row],[BARCODES]],ILACLISTE[#All],2,0),"")</f>
        <v/>
      </c>
      <c r="D1466" s="2">
        <f t="shared" si="22"/>
        <v>0</v>
      </c>
      <c r="E1466" s="14" t="str">
        <f>IFERROR(GIZLI!G1461,"")</f>
        <v/>
      </c>
    </row>
    <row r="1467" spans="2:5" x14ac:dyDescent="0.3">
      <c r="B1467" s="2" t="str">
        <f>MID(TableQR[[#This Row],[QR CODES]],4,13)</f>
        <v/>
      </c>
      <c r="C1467" s="2" t="str">
        <f>IFERROR(VLOOKUP(TableQR[[#This Row],[BARCODES]],ILACLISTE[#All],2,0),"")</f>
        <v/>
      </c>
      <c r="D1467" s="2">
        <f t="shared" si="22"/>
        <v>0</v>
      </c>
      <c r="E1467" s="14" t="str">
        <f>IFERROR(GIZLI!G1462,"")</f>
        <v/>
      </c>
    </row>
    <row r="1468" spans="2:5" x14ac:dyDescent="0.3">
      <c r="B1468" s="2" t="str">
        <f>MID(TableQR[[#This Row],[QR CODES]],4,13)</f>
        <v/>
      </c>
      <c r="C1468" s="2" t="str">
        <f>IFERROR(VLOOKUP(TableQR[[#This Row],[BARCODES]],ILACLISTE[#All],2,0),"")</f>
        <v/>
      </c>
      <c r="D1468" s="2">
        <f t="shared" si="22"/>
        <v>0</v>
      </c>
      <c r="E1468" s="14" t="str">
        <f>IFERROR(GIZLI!G1463,"")</f>
        <v/>
      </c>
    </row>
    <row r="1469" spans="2:5" x14ac:dyDescent="0.3">
      <c r="B1469" s="2" t="str">
        <f>MID(TableQR[[#This Row],[QR CODES]],4,13)</f>
        <v/>
      </c>
      <c r="C1469" s="2" t="str">
        <f>IFERROR(VLOOKUP(TableQR[[#This Row],[BARCODES]],ILACLISTE[#All],2,0),"")</f>
        <v/>
      </c>
      <c r="D1469" s="2">
        <f t="shared" si="22"/>
        <v>0</v>
      </c>
      <c r="E1469" s="14" t="str">
        <f>IFERROR(GIZLI!G1464,"")</f>
        <v/>
      </c>
    </row>
    <row r="1470" spans="2:5" x14ac:dyDescent="0.3">
      <c r="B1470" s="2" t="str">
        <f>MID(TableQR[[#This Row],[QR CODES]],4,13)</f>
        <v/>
      </c>
      <c r="C1470" s="2" t="str">
        <f>IFERROR(VLOOKUP(TableQR[[#This Row],[BARCODES]],ILACLISTE[#All],2,0),"")</f>
        <v/>
      </c>
      <c r="D1470" s="2">
        <f t="shared" si="22"/>
        <v>0</v>
      </c>
      <c r="E1470" s="14" t="str">
        <f>IFERROR(GIZLI!G1465,"")</f>
        <v/>
      </c>
    </row>
    <row r="1471" spans="2:5" x14ac:dyDescent="0.3">
      <c r="B1471" s="2" t="str">
        <f>MID(TableQR[[#This Row],[QR CODES]],4,13)</f>
        <v/>
      </c>
      <c r="C1471" s="2" t="str">
        <f>IFERROR(VLOOKUP(TableQR[[#This Row],[BARCODES]],ILACLISTE[#All],2,0),"")</f>
        <v/>
      </c>
      <c r="D1471" s="2">
        <f t="shared" si="22"/>
        <v>0</v>
      </c>
      <c r="E1471" s="14" t="str">
        <f>IFERROR(GIZLI!G1466,"")</f>
        <v/>
      </c>
    </row>
    <row r="1472" spans="2:5" x14ac:dyDescent="0.3">
      <c r="B1472" s="2" t="str">
        <f>MID(TableQR[[#This Row],[QR CODES]],4,13)</f>
        <v/>
      </c>
      <c r="C1472" s="2" t="str">
        <f>IFERROR(VLOOKUP(TableQR[[#This Row],[BARCODES]],ILACLISTE[#All],2,0),"")</f>
        <v/>
      </c>
      <c r="D1472" s="2">
        <f t="shared" si="22"/>
        <v>0</v>
      </c>
      <c r="E1472" s="14" t="str">
        <f>IFERROR(GIZLI!G1467,"")</f>
        <v/>
      </c>
    </row>
    <row r="1473" spans="2:5" x14ac:dyDescent="0.3">
      <c r="B1473" s="2" t="str">
        <f>MID(TableQR[[#This Row],[QR CODES]],4,13)</f>
        <v/>
      </c>
      <c r="C1473" s="2" t="str">
        <f>IFERROR(VLOOKUP(TableQR[[#This Row],[BARCODES]],ILACLISTE[#All],2,0),"")</f>
        <v/>
      </c>
      <c r="D1473" s="2">
        <f t="shared" si="22"/>
        <v>0</v>
      </c>
      <c r="E1473" s="14" t="str">
        <f>IFERROR(GIZLI!G1468,"")</f>
        <v/>
      </c>
    </row>
    <row r="1474" spans="2:5" x14ac:dyDescent="0.3">
      <c r="B1474" s="2" t="str">
        <f>MID(TableQR[[#This Row],[QR CODES]],4,13)</f>
        <v/>
      </c>
      <c r="C1474" s="2" t="str">
        <f>IFERROR(VLOOKUP(TableQR[[#This Row],[BARCODES]],ILACLISTE[#All],2,0),"")</f>
        <v/>
      </c>
      <c r="D1474" s="2">
        <f t="shared" si="22"/>
        <v>0</v>
      </c>
      <c r="E1474" s="14" t="str">
        <f>IFERROR(GIZLI!G1469,"")</f>
        <v/>
      </c>
    </row>
    <row r="1475" spans="2:5" x14ac:dyDescent="0.3">
      <c r="B1475" s="2" t="str">
        <f>MID(TableQR[[#This Row],[QR CODES]],4,13)</f>
        <v/>
      </c>
      <c r="C1475" s="2" t="str">
        <f>IFERROR(VLOOKUP(TableQR[[#This Row],[BARCODES]],ILACLISTE[#All],2,0),"")</f>
        <v/>
      </c>
      <c r="D1475" s="2">
        <f t="shared" si="22"/>
        <v>0</v>
      </c>
      <c r="E1475" s="14" t="str">
        <f>IFERROR(GIZLI!G1470,"")</f>
        <v/>
      </c>
    </row>
    <row r="1476" spans="2:5" x14ac:dyDescent="0.3">
      <c r="B1476" s="2" t="str">
        <f>MID(TableQR[[#This Row],[QR CODES]],4,13)</f>
        <v/>
      </c>
      <c r="C1476" s="2" t="str">
        <f>IFERROR(VLOOKUP(TableQR[[#This Row],[BARCODES]],ILACLISTE[#All],2,0),"")</f>
        <v/>
      </c>
      <c r="D1476" s="2">
        <f t="shared" si="22"/>
        <v>0</v>
      </c>
      <c r="E1476" s="14" t="str">
        <f>IFERROR(GIZLI!G1471,"")</f>
        <v/>
      </c>
    </row>
    <row r="1477" spans="2:5" x14ac:dyDescent="0.3">
      <c r="B1477" s="2" t="str">
        <f>MID(TableQR[[#This Row],[QR CODES]],4,13)</f>
        <v/>
      </c>
      <c r="C1477" s="2" t="str">
        <f>IFERROR(VLOOKUP(TableQR[[#This Row],[BARCODES]],ILACLISTE[#All],2,0),"")</f>
        <v/>
      </c>
      <c r="D1477" s="2">
        <f t="shared" si="22"/>
        <v>0</v>
      </c>
      <c r="E1477" s="14" t="str">
        <f>IFERROR(GIZLI!G1472,"")</f>
        <v/>
      </c>
    </row>
    <row r="1478" spans="2:5" x14ac:dyDescent="0.3">
      <c r="B1478" s="2" t="str">
        <f>MID(TableQR[[#This Row],[QR CODES]],4,13)</f>
        <v/>
      </c>
      <c r="C1478" s="2" t="str">
        <f>IFERROR(VLOOKUP(TableQR[[#This Row],[BARCODES]],ILACLISTE[#All],2,0),"")</f>
        <v/>
      </c>
      <c r="D1478" s="2">
        <f t="shared" si="22"/>
        <v>0</v>
      </c>
      <c r="E1478" s="14" t="str">
        <f>IFERROR(GIZLI!G1473,"")</f>
        <v/>
      </c>
    </row>
    <row r="1479" spans="2:5" x14ac:dyDescent="0.3">
      <c r="B1479" s="2" t="str">
        <f>MID(TableQR[[#This Row],[QR CODES]],4,13)</f>
        <v/>
      </c>
      <c r="C1479" s="2" t="str">
        <f>IFERROR(VLOOKUP(TableQR[[#This Row],[BARCODES]],ILACLISTE[#All],2,0),"")</f>
        <v/>
      </c>
      <c r="D1479" s="2">
        <f t="shared" si="22"/>
        <v>0</v>
      </c>
      <c r="E1479" s="14" t="str">
        <f>IFERROR(GIZLI!G1474,"")</f>
        <v/>
      </c>
    </row>
    <row r="1480" spans="2:5" x14ac:dyDescent="0.3">
      <c r="B1480" s="2" t="str">
        <f>MID(TableQR[[#This Row],[QR CODES]],4,13)</f>
        <v/>
      </c>
      <c r="C1480" s="2" t="str">
        <f>IFERROR(VLOOKUP(TableQR[[#This Row],[BARCODES]],ILACLISTE[#All],2,0),"")</f>
        <v/>
      </c>
      <c r="D1480" s="2">
        <f t="shared" ref="D1480:D1543" si="23">COUNTIF(B1480:B5473,IF(B1480="",66666,B1480))</f>
        <v>0</v>
      </c>
      <c r="E1480" s="14" t="str">
        <f>IFERROR(GIZLI!G1475,"")</f>
        <v/>
      </c>
    </row>
    <row r="1481" spans="2:5" x14ac:dyDescent="0.3">
      <c r="B1481" s="2" t="str">
        <f>MID(TableQR[[#This Row],[QR CODES]],4,13)</f>
        <v/>
      </c>
      <c r="C1481" s="2" t="str">
        <f>IFERROR(VLOOKUP(TableQR[[#This Row],[BARCODES]],ILACLISTE[#All],2,0),"")</f>
        <v/>
      </c>
      <c r="D1481" s="2">
        <f t="shared" si="23"/>
        <v>0</v>
      </c>
      <c r="E1481" s="14" t="str">
        <f>IFERROR(GIZLI!G1476,"")</f>
        <v/>
      </c>
    </row>
    <row r="1482" spans="2:5" x14ac:dyDescent="0.3">
      <c r="B1482" s="2" t="str">
        <f>MID(TableQR[[#This Row],[QR CODES]],4,13)</f>
        <v/>
      </c>
      <c r="C1482" s="2" t="str">
        <f>IFERROR(VLOOKUP(TableQR[[#This Row],[BARCODES]],ILACLISTE[#All],2,0),"")</f>
        <v/>
      </c>
      <c r="D1482" s="2">
        <f t="shared" si="23"/>
        <v>0</v>
      </c>
      <c r="E1482" s="14" t="str">
        <f>IFERROR(GIZLI!G1477,"")</f>
        <v/>
      </c>
    </row>
    <row r="1483" spans="2:5" x14ac:dyDescent="0.3">
      <c r="B1483" s="2" t="str">
        <f>MID(TableQR[[#This Row],[QR CODES]],4,13)</f>
        <v/>
      </c>
      <c r="C1483" s="2" t="str">
        <f>IFERROR(VLOOKUP(TableQR[[#This Row],[BARCODES]],ILACLISTE[#All],2,0),"")</f>
        <v/>
      </c>
      <c r="D1483" s="2">
        <f t="shared" si="23"/>
        <v>0</v>
      </c>
      <c r="E1483" s="14" t="str">
        <f>IFERROR(GIZLI!G1478,"")</f>
        <v/>
      </c>
    </row>
    <row r="1484" spans="2:5" x14ac:dyDescent="0.3">
      <c r="B1484" s="2" t="str">
        <f>MID(TableQR[[#This Row],[QR CODES]],4,13)</f>
        <v/>
      </c>
      <c r="C1484" s="2" t="str">
        <f>IFERROR(VLOOKUP(TableQR[[#This Row],[BARCODES]],ILACLISTE[#All],2,0),"")</f>
        <v/>
      </c>
      <c r="D1484" s="2">
        <f t="shared" si="23"/>
        <v>0</v>
      </c>
      <c r="E1484" s="14" t="str">
        <f>IFERROR(GIZLI!G1479,"")</f>
        <v/>
      </c>
    </row>
    <row r="1485" spans="2:5" x14ac:dyDescent="0.3">
      <c r="B1485" s="2" t="str">
        <f>MID(TableQR[[#This Row],[QR CODES]],4,13)</f>
        <v/>
      </c>
      <c r="C1485" s="2" t="str">
        <f>IFERROR(VLOOKUP(TableQR[[#This Row],[BARCODES]],ILACLISTE[#All],2,0),"")</f>
        <v/>
      </c>
      <c r="D1485" s="2">
        <f t="shared" si="23"/>
        <v>0</v>
      </c>
      <c r="E1485" s="14" t="str">
        <f>IFERROR(GIZLI!G1480,"")</f>
        <v/>
      </c>
    </row>
    <row r="1486" spans="2:5" x14ac:dyDescent="0.3">
      <c r="B1486" s="2" t="str">
        <f>MID(TableQR[[#This Row],[QR CODES]],4,13)</f>
        <v/>
      </c>
      <c r="C1486" s="2" t="str">
        <f>IFERROR(VLOOKUP(TableQR[[#This Row],[BARCODES]],ILACLISTE[#All],2,0),"")</f>
        <v/>
      </c>
      <c r="D1486" s="2">
        <f t="shared" si="23"/>
        <v>0</v>
      </c>
      <c r="E1486" s="14" t="str">
        <f>IFERROR(GIZLI!G1481,"")</f>
        <v/>
      </c>
    </row>
    <row r="1487" spans="2:5" x14ac:dyDescent="0.3">
      <c r="B1487" s="2" t="str">
        <f>MID(TableQR[[#This Row],[QR CODES]],4,13)</f>
        <v/>
      </c>
      <c r="C1487" s="2" t="str">
        <f>IFERROR(VLOOKUP(TableQR[[#This Row],[BARCODES]],ILACLISTE[#All],2,0),"")</f>
        <v/>
      </c>
      <c r="D1487" s="2">
        <f t="shared" si="23"/>
        <v>0</v>
      </c>
      <c r="E1487" s="14" t="str">
        <f>IFERROR(GIZLI!G1482,"")</f>
        <v/>
      </c>
    </row>
    <row r="1488" spans="2:5" x14ac:dyDescent="0.3">
      <c r="B1488" s="2" t="str">
        <f>MID(TableQR[[#This Row],[QR CODES]],4,13)</f>
        <v/>
      </c>
      <c r="C1488" s="2" t="str">
        <f>IFERROR(VLOOKUP(TableQR[[#This Row],[BARCODES]],ILACLISTE[#All],2,0),"")</f>
        <v/>
      </c>
      <c r="D1488" s="2">
        <f t="shared" si="23"/>
        <v>0</v>
      </c>
      <c r="E1488" s="14" t="str">
        <f>IFERROR(GIZLI!G1483,"")</f>
        <v/>
      </c>
    </row>
    <row r="1489" spans="2:5" x14ac:dyDescent="0.3">
      <c r="B1489" s="2" t="str">
        <f>MID(TableQR[[#This Row],[QR CODES]],4,13)</f>
        <v/>
      </c>
      <c r="C1489" s="2" t="str">
        <f>IFERROR(VLOOKUP(TableQR[[#This Row],[BARCODES]],ILACLISTE[#All],2,0),"")</f>
        <v/>
      </c>
      <c r="D1489" s="2">
        <f t="shared" si="23"/>
        <v>0</v>
      </c>
      <c r="E1489" s="14" t="str">
        <f>IFERROR(GIZLI!G1484,"")</f>
        <v/>
      </c>
    </row>
    <row r="1490" spans="2:5" x14ac:dyDescent="0.3">
      <c r="B1490" s="2" t="str">
        <f>MID(TableQR[[#This Row],[QR CODES]],4,13)</f>
        <v/>
      </c>
      <c r="C1490" s="2" t="str">
        <f>IFERROR(VLOOKUP(TableQR[[#This Row],[BARCODES]],ILACLISTE[#All],2,0),"")</f>
        <v/>
      </c>
      <c r="D1490" s="2">
        <f t="shared" si="23"/>
        <v>0</v>
      </c>
      <c r="E1490" s="14" t="str">
        <f>IFERROR(GIZLI!G1485,"")</f>
        <v/>
      </c>
    </row>
    <row r="1491" spans="2:5" x14ac:dyDescent="0.3">
      <c r="B1491" s="2" t="str">
        <f>MID(TableQR[[#This Row],[QR CODES]],4,13)</f>
        <v/>
      </c>
      <c r="C1491" s="2" t="str">
        <f>IFERROR(VLOOKUP(TableQR[[#This Row],[BARCODES]],ILACLISTE[#All],2,0),"")</f>
        <v/>
      </c>
      <c r="D1491" s="2">
        <f t="shared" si="23"/>
        <v>0</v>
      </c>
      <c r="E1491" s="14" t="str">
        <f>IFERROR(GIZLI!G1486,"")</f>
        <v/>
      </c>
    </row>
    <row r="1492" spans="2:5" x14ac:dyDescent="0.3">
      <c r="B1492" s="2" t="str">
        <f>MID(TableQR[[#This Row],[QR CODES]],4,13)</f>
        <v/>
      </c>
      <c r="C1492" s="2" t="str">
        <f>IFERROR(VLOOKUP(TableQR[[#This Row],[BARCODES]],ILACLISTE[#All],2,0),"")</f>
        <v/>
      </c>
      <c r="D1492" s="2">
        <f t="shared" si="23"/>
        <v>0</v>
      </c>
      <c r="E1492" s="14" t="str">
        <f>IFERROR(GIZLI!G1487,"")</f>
        <v/>
      </c>
    </row>
    <row r="1493" spans="2:5" x14ac:dyDescent="0.3">
      <c r="B1493" s="2" t="str">
        <f>MID(TableQR[[#This Row],[QR CODES]],4,13)</f>
        <v/>
      </c>
      <c r="C1493" s="2" t="str">
        <f>IFERROR(VLOOKUP(TableQR[[#This Row],[BARCODES]],ILACLISTE[#All],2,0),"")</f>
        <v/>
      </c>
      <c r="D1493" s="2">
        <f t="shared" si="23"/>
        <v>0</v>
      </c>
      <c r="E1493" s="14" t="str">
        <f>IFERROR(GIZLI!G1488,"")</f>
        <v/>
      </c>
    </row>
    <row r="1494" spans="2:5" x14ac:dyDescent="0.3">
      <c r="B1494" s="2" t="str">
        <f>MID(TableQR[[#This Row],[QR CODES]],4,13)</f>
        <v/>
      </c>
      <c r="C1494" s="2" t="str">
        <f>IFERROR(VLOOKUP(TableQR[[#This Row],[BARCODES]],ILACLISTE[#All],2,0),"")</f>
        <v/>
      </c>
      <c r="D1494" s="2">
        <f t="shared" si="23"/>
        <v>0</v>
      </c>
      <c r="E1494" s="14" t="str">
        <f>IFERROR(GIZLI!G1489,"")</f>
        <v/>
      </c>
    </row>
    <row r="1495" spans="2:5" x14ac:dyDescent="0.3">
      <c r="B1495" s="2" t="str">
        <f>MID(TableQR[[#This Row],[QR CODES]],4,13)</f>
        <v/>
      </c>
      <c r="C1495" s="2" t="str">
        <f>IFERROR(VLOOKUP(TableQR[[#This Row],[BARCODES]],ILACLISTE[#All],2,0),"")</f>
        <v/>
      </c>
      <c r="D1495" s="2">
        <f t="shared" si="23"/>
        <v>0</v>
      </c>
      <c r="E1495" s="14" t="str">
        <f>IFERROR(GIZLI!G1490,"")</f>
        <v/>
      </c>
    </row>
    <row r="1496" spans="2:5" x14ac:dyDescent="0.3">
      <c r="B1496" s="2" t="str">
        <f>MID(TableQR[[#This Row],[QR CODES]],4,13)</f>
        <v/>
      </c>
      <c r="C1496" s="2" t="str">
        <f>IFERROR(VLOOKUP(TableQR[[#This Row],[BARCODES]],ILACLISTE[#All],2,0),"")</f>
        <v/>
      </c>
      <c r="D1496" s="2">
        <f t="shared" si="23"/>
        <v>0</v>
      </c>
      <c r="E1496" s="14" t="str">
        <f>IFERROR(GIZLI!G1491,"")</f>
        <v/>
      </c>
    </row>
    <row r="1497" spans="2:5" x14ac:dyDescent="0.3">
      <c r="B1497" s="2" t="str">
        <f>MID(TableQR[[#This Row],[QR CODES]],4,13)</f>
        <v/>
      </c>
      <c r="C1497" s="2" t="str">
        <f>IFERROR(VLOOKUP(TableQR[[#This Row],[BARCODES]],ILACLISTE[#All],2,0),"")</f>
        <v/>
      </c>
      <c r="D1497" s="2">
        <f t="shared" si="23"/>
        <v>0</v>
      </c>
      <c r="E1497" s="14" t="str">
        <f>IFERROR(GIZLI!G1492,"")</f>
        <v/>
      </c>
    </row>
    <row r="1498" spans="2:5" x14ac:dyDescent="0.3">
      <c r="B1498" s="2" t="str">
        <f>MID(TableQR[[#This Row],[QR CODES]],4,13)</f>
        <v/>
      </c>
      <c r="C1498" s="2" t="str">
        <f>IFERROR(VLOOKUP(TableQR[[#This Row],[BARCODES]],ILACLISTE[#All],2,0),"")</f>
        <v/>
      </c>
      <c r="D1498" s="2">
        <f t="shared" si="23"/>
        <v>0</v>
      </c>
      <c r="E1498" s="14" t="str">
        <f>IFERROR(GIZLI!G1493,"")</f>
        <v/>
      </c>
    </row>
    <row r="1499" spans="2:5" x14ac:dyDescent="0.3">
      <c r="B1499" s="2" t="str">
        <f>MID(TableQR[[#This Row],[QR CODES]],4,13)</f>
        <v/>
      </c>
      <c r="C1499" s="2" t="str">
        <f>IFERROR(VLOOKUP(TableQR[[#This Row],[BARCODES]],ILACLISTE[#All],2,0),"")</f>
        <v/>
      </c>
      <c r="D1499" s="2">
        <f t="shared" si="23"/>
        <v>0</v>
      </c>
      <c r="E1499" s="14" t="str">
        <f>IFERROR(GIZLI!G1494,"")</f>
        <v/>
      </c>
    </row>
    <row r="1500" spans="2:5" x14ac:dyDescent="0.3">
      <c r="B1500" s="2" t="str">
        <f>MID(TableQR[[#This Row],[QR CODES]],4,13)</f>
        <v/>
      </c>
      <c r="C1500" s="2" t="str">
        <f>IFERROR(VLOOKUP(TableQR[[#This Row],[BARCODES]],ILACLISTE[#All],2,0),"")</f>
        <v/>
      </c>
      <c r="D1500" s="2">
        <f t="shared" si="23"/>
        <v>0</v>
      </c>
      <c r="E1500" s="14" t="str">
        <f>IFERROR(GIZLI!G1495,"")</f>
        <v/>
      </c>
    </row>
    <row r="1501" spans="2:5" x14ac:dyDescent="0.3">
      <c r="B1501" s="2" t="str">
        <f>MID(TableQR[[#This Row],[QR CODES]],4,13)</f>
        <v/>
      </c>
      <c r="C1501" s="2" t="str">
        <f>IFERROR(VLOOKUP(TableQR[[#This Row],[BARCODES]],ILACLISTE[#All],2,0),"")</f>
        <v/>
      </c>
      <c r="D1501" s="2">
        <f t="shared" si="23"/>
        <v>0</v>
      </c>
      <c r="E1501" s="14" t="str">
        <f>IFERROR(GIZLI!G1496,"")</f>
        <v/>
      </c>
    </row>
    <row r="1502" spans="2:5" x14ac:dyDescent="0.3">
      <c r="B1502" s="2" t="str">
        <f>MID(TableQR[[#This Row],[QR CODES]],4,13)</f>
        <v/>
      </c>
      <c r="C1502" s="2" t="str">
        <f>IFERROR(VLOOKUP(TableQR[[#This Row],[BARCODES]],ILACLISTE[#All],2,0),"")</f>
        <v/>
      </c>
      <c r="D1502" s="2">
        <f t="shared" si="23"/>
        <v>0</v>
      </c>
      <c r="E1502" s="14" t="str">
        <f>IFERROR(GIZLI!G1497,"")</f>
        <v/>
      </c>
    </row>
    <row r="1503" spans="2:5" x14ac:dyDescent="0.3">
      <c r="B1503" s="2" t="str">
        <f>MID(TableQR[[#This Row],[QR CODES]],4,13)</f>
        <v/>
      </c>
      <c r="C1503" s="2" t="str">
        <f>IFERROR(VLOOKUP(TableQR[[#This Row],[BARCODES]],ILACLISTE[#All],2,0),"")</f>
        <v/>
      </c>
      <c r="D1503" s="2">
        <f t="shared" si="23"/>
        <v>0</v>
      </c>
      <c r="E1503" s="14" t="str">
        <f>IFERROR(GIZLI!G1498,"")</f>
        <v/>
      </c>
    </row>
    <row r="1504" spans="2:5" x14ac:dyDescent="0.3">
      <c r="B1504" s="2" t="str">
        <f>MID(TableQR[[#This Row],[QR CODES]],4,13)</f>
        <v/>
      </c>
      <c r="C1504" s="2" t="str">
        <f>IFERROR(VLOOKUP(TableQR[[#This Row],[BARCODES]],ILACLISTE[#All],2,0),"")</f>
        <v/>
      </c>
      <c r="D1504" s="2">
        <f t="shared" si="23"/>
        <v>0</v>
      </c>
      <c r="E1504" s="14" t="str">
        <f>IFERROR(GIZLI!G1499,"")</f>
        <v/>
      </c>
    </row>
    <row r="1505" spans="2:5" x14ac:dyDescent="0.3">
      <c r="B1505" s="2" t="str">
        <f>MID(TableQR[[#This Row],[QR CODES]],4,13)</f>
        <v/>
      </c>
      <c r="C1505" s="2" t="str">
        <f>IFERROR(VLOOKUP(TableQR[[#This Row],[BARCODES]],ILACLISTE[#All],2,0),"")</f>
        <v/>
      </c>
      <c r="D1505" s="2">
        <f t="shared" si="23"/>
        <v>0</v>
      </c>
      <c r="E1505" s="14" t="str">
        <f>IFERROR(GIZLI!G1500,"")</f>
        <v/>
      </c>
    </row>
    <row r="1506" spans="2:5" x14ac:dyDescent="0.3">
      <c r="B1506" s="2" t="str">
        <f>MID(TableQR[[#This Row],[QR CODES]],4,13)</f>
        <v/>
      </c>
      <c r="C1506" s="2" t="str">
        <f>IFERROR(VLOOKUP(TableQR[[#This Row],[BARCODES]],ILACLISTE[#All],2,0),"")</f>
        <v/>
      </c>
      <c r="D1506" s="2">
        <f t="shared" si="23"/>
        <v>0</v>
      </c>
      <c r="E1506" s="14" t="str">
        <f>IFERROR(GIZLI!G1501,"")</f>
        <v/>
      </c>
    </row>
    <row r="1507" spans="2:5" x14ac:dyDescent="0.3">
      <c r="B1507" s="2" t="str">
        <f>MID(TableQR[[#This Row],[QR CODES]],4,13)</f>
        <v/>
      </c>
      <c r="C1507" s="2" t="str">
        <f>IFERROR(VLOOKUP(TableQR[[#This Row],[BARCODES]],ILACLISTE[#All],2,0),"")</f>
        <v/>
      </c>
      <c r="D1507" s="2">
        <f t="shared" si="23"/>
        <v>0</v>
      </c>
      <c r="E1507" s="14" t="str">
        <f>IFERROR(GIZLI!G1502,"")</f>
        <v/>
      </c>
    </row>
    <row r="1508" spans="2:5" x14ac:dyDescent="0.3">
      <c r="B1508" s="2" t="str">
        <f>MID(TableQR[[#This Row],[QR CODES]],4,13)</f>
        <v/>
      </c>
      <c r="C1508" s="2" t="str">
        <f>IFERROR(VLOOKUP(TableQR[[#This Row],[BARCODES]],ILACLISTE[#All],2,0),"")</f>
        <v/>
      </c>
      <c r="D1508" s="2">
        <f t="shared" si="23"/>
        <v>0</v>
      </c>
      <c r="E1508" s="14" t="str">
        <f>IFERROR(GIZLI!G1503,"")</f>
        <v/>
      </c>
    </row>
    <row r="1509" spans="2:5" x14ac:dyDescent="0.3">
      <c r="B1509" s="2" t="str">
        <f>MID(TableQR[[#This Row],[QR CODES]],4,13)</f>
        <v/>
      </c>
      <c r="C1509" s="2" t="str">
        <f>IFERROR(VLOOKUP(TableQR[[#This Row],[BARCODES]],ILACLISTE[#All],2,0),"")</f>
        <v/>
      </c>
      <c r="D1509" s="2">
        <f t="shared" si="23"/>
        <v>0</v>
      </c>
      <c r="E1509" s="14" t="str">
        <f>IFERROR(GIZLI!G1504,"")</f>
        <v/>
      </c>
    </row>
    <row r="1510" spans="2:5" x14ac:dyDescent="0.3">
      <c r="B1510" s="2" t="str">
        <f>MID(TableQR[[#This Row],[QR CODES]],4,13)</f>
        <v/>
      </c>
      <c r="C1510" s="2" t="str">
        <f>IFERROR(VLOOKUP(TableQR[[#This Row],[BARCODES]],ILACLISTE[#All],2,0),"")</f>
        <v/>
      </c>
      <c r="D1510" s="2">
        <f t="shared" si="23"/>
        <v>0</v>
      </c>
      <c r="E1510" s="14" t="str">
        <f>IFERROR(GIZLI!G1505,"")</f>
        <v/>
      </c>
    </row>
    <row r="1511" spans="2:5" x14ac:dyDescent="0.3">
      <c r="B1511" s="2" t="str">
        <f>MID(TableQR[[#This Row],[QR CODES]],4,13)</f>
        <v/>
      </c>
      <c r="C1511" s="2" t="str">
        <f>IFERROR(VLOOKUP(TableQR[[#This Row],[BARCODES]],ILACLISTE[#All],2,0),"")</f>
        <v/>
      </c>
      <c r="D1511" s="2">
        <f t="shared" si="23"/>
        <v>0</v>
      </c>
      <c r="E1511" s="14" t="str">
        <f>IFERROR(GIZLI!G1506,"")</f>
        <v/>
      </c>
    </row>
    <row r="1512" spans="2:5" x14ac:dyDescent="0.3">
      <c r="B1512" s="2" t="str">
        <f>MID(TableQR[[#This Row],[QR CODES]],4,13)</f>
        <v/>
      </c>
      <c r="C1512" s="2" t="str">
        <f>IFERROR(VLOOKUP(TableQR[[#This Row],[BARCODES]],ILACLISTE[#All],2,0),"")</f>
        <v/>
      </c>
      <c r="D1512" s="2">
        <f t="shared" si="23"/>
        <v>0</v>
      </c>
      <c r="E1512" s="14" t="str">
        <f>IFERROR(GIZLI!G1507,"")</f>
        <v/>
      </c>
    </row>
    <row r="1513" spans="2:5" x14ac:dyDescent="0.3">
      <c r="B1513" s="2" t="str">
        <f>MID(TableQR[[#This Row],[QR CODES]],4,13)</f>
        <v/>
      </c>
      <c r="C1513" s="2" t="str">
        <f>IFERROR(VLOOKUP(TableQR[[#This Row],[BARCODES]],ILACLISTE[#All],2,0),"")</f>
        <v/>
      </c>
      <c r="D1513" s="2">
        <f t="shared" si="23"/>
        <v>0</v>
      </c>
      <c r="E1513" s="14" t="str">
        <f>IFERROR(GIZLI!G1508,"")</f>
        <v/>
      </c>
    </row>
    <row r="1514" spans="2:5" x14ac:dyDescent="0.3">
      <c r="B1514" s="2" t="str">
        <f>MID(TableQR[[#This Row],[QR CODES]],4,13)</f>
        <v/>
      </c>
      <c r="C1514" s="2" t="str">
        <f>IFERROR(VLOOKUP(TableQR[[#This Row],[BARCODES]],ILACLISTE[#All],2,0),"")</f>
        <v/>
      </c>
      <c r="D1514" s="2">
        <f t="shared" si="23"/>
        <v>0</v>
      </c>
      <c r="E1514" s="14" t="str">
        <f>IFERROR(GIZLI!G1509,"")</f>
        <v/>
      </c>
    </row>
    <row r="1515" spans="2:5" x14ac:dyDescent="0.3">
      <c r="B1515" s="2" t="str">
        <f>MID(TableQR[[#This Row],[QR CODES]],4,13)</f>
        <v/>
      </c>
      <c r="C1515" s="2" t="str">
        <f>IFERROR(VLOOKUP(TableQR[[#This Row],[BARCODES]],ILACLISTE[#All],2,0),"")</f>
        <v/>
      </c>
      <c r="D1515" s="2">
        <f t="shared" si="23"/>
        <v>0</v>
      </c>
      <c r="E1515" s="14" t="str">
        <f>IFERROR(GIZLI!G1510,"")</f>
        <v/>
      </c>
    </row>
    <row r="1516" spans="2:5" x14ac:dyDescent="0.3">
      <c r="B1516" s="2" t="str">
        <f>MID(TableQR[[#This Row],[QR CODES]],4,13)</f>
        <v/>
      </c>
      <c r="C1516" s="2" t="str">
        <f>IFERROR(VLOOKUP(TableQR[[#This Row],[BARCODES]],ILACLISTE[#All],2,0),"")</f>
        <v/>
      </c>
      <c r="D1516" s="2">
        <f t="shared" si="23"/>
        <v>0</v>
      </c>
      <c r="E1516" s="14" t="str">
        <f>IFERROR(GIZLI!G1511,"")</f>
        <v/>
      </c>
    </row>
    <row r="1517" spans="2:5" x14ac:dyDescent="0.3">
      <c r="B1517" s="2" t="str">
        <f>MID(TableQR[[#This Row],[QR CODES]],4,13)</f>
        <v/>
      </c>
      <c r="C1517" s="2" t="str">
        <f>IFERROR(VLOOKUP(TableQR[[#This Row],[BARCODES]],ILACLISTE[#All],2,0),"")</f>
        <v/>
      </c>
      <c r="D1517" s="2">
        <f t="shared" si="23"/>
        <v>0</v>
      </c>
      <c r="E1517" s="14" t="str">
        <f>IFERROR(GIZLI!G1512,"")</f>
        <v/>
      </c>
    </row>
    <row r="1518" spans="2:5" x14ac:dyDescent="0.3">
      <c r="B1518" s="2" t="str">
        <f>MID(TableQR[[#This Row],[QR CODES]],4,13)</f>
        <v/>
      </c>
      <c r="C1518" s="2" t="str">
        <f>IFERROR(VLOOKUP(TableQR[[#This Row],[BARCODES]],ILACLISTE[#All],2,0),"")</f>
        <v/>
      </c>
      <c r="D1518" s="2">
        <f t="shared" si="23"/>
        <v>0</v>
      </c>
      <c r="E1518" s="14" t="str">
        <f>IFERROR(GIZLI!G1513,"")</f>
        <v/>
      </c>
    </row>
    <row r="1519" spans="2:5" x14ac:dyDescent="0.3">
      <c r="B1519" s="2" t="str">
        <f>MID(TableQR[[#This Row],[QR CODES]],4,13)</f>
        <v/>
      </c>
      <c r="C1519" s="2" t="str">
        <f>IFERROR(VLOOKUP(TableQR[[#This Row],[BARCODES]],ILACLISTE[#All],2,0),"")</f>
        <v/>
      </c>
      <c r="D1519" s="2">
        <f t="shared" si="23"/>
        <v>0</v>
      </c>
      <c r="E1519" s="14" t="str">
        <f>IFERROR(GIZLI!G1514,"")</f>
        <v/>
      </c>
    </row>
    <row r="1520" spans="2:5" x14ac:dyDescent="0.3">
      <c r="B1520" s="2" t="str">
        <f>MID(TableQR[[#This Row],[QR CODES]],4,13)</f>
        <v/>
      </c>
      <c r="C1520" s="2" t="str">
        <f>IFERROR(VLOOKUP(TableQR[[#This Row],[BARCODES]],ILACLISTE[#All],2,0),"")</f>
        <v/>
      </c>
      <c r="D1520" s="2">
        <f t="shared" si="23"/>
        <v>0</v>
      </c>
      <c r="E1520" s="14" t="str">
        <f>IFERROR(GIZLI!G1515,"")</f>
        <v/>
      </c>
    </row>
    <row r="1521" spans="2:5" x14ac:dyDescent="0.3">
      <c r="B1521" s="2" t="str">
        <f>MID(TableQR[[#This Row],[QR CODES]],4,13)</f>
        <v/>
      </c>
      <c r="C1521" s="2" t="str">
        <f>IFERROR(VLOOKUP(TableQR[[#This Row],[BARCODES]],ILACLISTE[#All],2,0),"")</f>
        <v/>
      </c>
      <c r="D1521" s="2">
        <f t="shared" si="23"/>
        <v>0</v>
      </c>
      <c r="E1521" s="14" t="str">
        <f>IFERROR(GIZLI!G1516,"")</f>
        <v/>
      </c>
    </row>
    <row r="1522" spans="2:5" x14ac:dyDescent="0.3">
      <c r="B1522" s="2" t="str">
        <f>MID(TableQR[[#This Row],[QR CODES]],4,13)</f>
        <v/>
      </c>
      <c r="C1522" s="2" t="str">
        <f>IFERROR(VLOOKUP(TableQR[[#This Row],[BARCODES]],ILACLISTE[#All],2,0),"")</f>
        <v/>
      </c>
      <c r="D1522" s="2">
        <f t="shared" si="23"/>
        <v>0</v>
      </c>
      <c r="E1522" s="14" t="str">
        <f>IFERROR(GIZLI!G1517,"")</f>
        <v/>
      </c>
    </row>
    <row r="1523" spans="2:5" x14ac:dyDescent="0.3">
      <c r="B1523" s="2" t="str">
        <f>MID(TableQR[[#This Row],[QR CODES]],4,13)</f>
        <v/>
      </c>
      <c r="C1523" s="2" t="str">
        <f>IFERROR(VLOOKUP(TableQR[[#This Row],[BARCODES]],ILACLISTE[#All],2,0),"")</f>
        <v/>
      </c>
      <c r="D1523" s="2">
        <f t="shared" si="23"/>
        <v>0</v>
      </c>
      <c r="E1523" s="14" t="str">
        <f>IFERROR(GIZLI!G1518,"")</f>
        <v/>
      </c>
    </row>
    <row r="1524" spans="2:5" x14ac:dyDescent="0.3">
      <c r="B1524" s="2" t="str">
        <f>MID(TableQR[[#This Row],[QR CODES]],4,13)</f>
        <v/>
      </c>
      <c r="C1524" s="2" t="str">
        <f>IFERROR(VLOOKUP(TableQR[[#This Row],[BARCODES]],ILACLISTE[#All],2,0),"")</f>
        <v/>
      </c>
      <c r="D1524" s="2">
        <f t="shared" si="23"/>
        <v>0</v>
      </c>
      <c r="E1524" s="14" t="str">
        <f>IFERROR(GIZLI!G1519,"")</f>
        <v/>
      </c>
    </row>
    <row r="1525" spans="2:5" x14ac:dyDescent="0.3">
      <c r="B1525" s="2" t="str">
        <f>MID(TableQR[[#This Row],[QR CODES]],4,13)</f>
        <v/>
      </c>
      <c r="C1525" s="2" t="str">
        <f>IFERROR(VLOOKUP(TableQR[[#This Row],[BARCODES]],ILACLISTE[#All],2,0),"")</f>
        <v/>
      </c>
      <c r="D1525" s="2">
        <f t="shared" si="23"/>
        <v>0</v>
      </c>
      <c r="E1525" s="14" t="str">
        <f>IFERROR(GIZLI!G1520,"")</f>
        <v/>
      </c>
    </row>
    <row r="1526" spans="2:5" x14ac:dyDescent="0.3">
      <c r="B1526" s="2" t="str">
        <f>MID(TableQR[[#This Row],[QR CODES]],4,13)</f>
        <v/>
      </c>
      <c r="C1526" s="2" t="str">
        <f>IFERROR(VLOOKUP(TableQR[[#This Row],[BARCODES]],ILACLISTE[#All],2,0),"")</f>
        <v/>
      </c>
      <c r="D1526" s="2">
        <f t="shared" si="23"/>
        <v>0</v>
      </c>
      <c r="E1526" s="14" t="str">
        <f>IFERROR(GIZLI!G1521,"")</f>
        <v/>
      </c>
    </row>
    <row r="1527" spans="2:5" x14ac:dyDescent="0.3">
      <c r="B1527" s="2" t="str">
        <f>MID(TableQR[[#This Row],[QR CODES]],4,13)</f>
        <v/>
      </c>
      <c r="C1527" s="2" t="str">
        <f>IFERROR(VLOOKUP(TableQR[[#This Row],[BARCODES]],ILACLISTE[#All],2,0),"")</f>
        <v/>
      </c>
      <c r="D1527" s="2">
        <f t="shared" si="23"/>
        <v>0</v>
      </c>
      <c r="E1527" s="14" t="str">
        <f>IFERROR(GIZLI!G1522,"")</f>
        <v/>
      </c>
    </row>
    <row r="1528" spans="2:5" x14ac:dyDescent="0.3">
      <c r="B1528" s="2" t="str">
        <f>MID(TableQR[[#This Row],[QR CODES]],4,13)</f>
        <v/>
      </c>
      <c r="C1528" s="2" t="str">
        <f>IFERROR(VLOOKUP(TableQR[[#This Row],[BARCODES]],ILACLISTE[#All],2,0),"")</f>
        <v/>
      </c>
      <c r="D1528" s="2">
        <f t="shared" si="23"/>
        <v>0</v>
      </c>
      <c r="E1528" s="14" t="str">
        <f>IFERROR(GIZLI!G1523,"")</f>
        <v/>
      </c>
    </row>
    <row r="1529" spans="2:5" x14ac:dyDescent="0.3">
      <c r="B1529" s="2" t="str">
        <f>MID(TableQR[[#This Row],[QR CODES]],4,13)</f>
        <v/>
      </c>
      <c r="C1529" s="2" t="str">
        <f>IFERROR(VLOOKUP(TableQR[[#This Row],[BARCODES]],ILACLISTE[#All],2,0),"")</f>
        <v/>
      </c>
      <c r="D1529" s="2">
        <f t="shared" si="23"/>
        <v>0</v>
      </c>
      <c r="E1529" s="14" t="str">
        <f>IFERROR(GIZLI!G1524,"")</f>
        <v/>
      </c>
    </row>
    <row r="1530" spans="2:5" x14ac:dyDescent="0.3">
      <c r="B1530" s="2" t="str">
        <f>MID(TableQR[[#This Row],[QR CODES]],4,13)</f>
        <v/>
      </c>
      <c r="C1530" s="2" t="str">
        <f>IFERROR(VLOOKUP(TableQR[[#This Row],[BARCODES]],ILACLISTE[#All],2,0),"")</f>
        <v/>
      </c>
      <c r="D1530" s="2">
        <f t="shared" si="23"/>
        <v>0</v>
      </c>
      <c r="E1530" s="14" t="str">
        <f>IFERROR(GIZLI!G1525,"")</f>
        <v/>
      </c>
    </row>
    <row r="1531" spans="2:5" x14ac:dyDescent="0.3">
      <c r="B1531" s="2" t="str">
        <f>MID(TableQR[[#This Row],[QR CODES]],4,13)</f>
        <v/>
      </c>
      <c r="C1531" s="2" t="str">
        <f>IFERROR(VLOOKUP(TableQR[[#This Row],[BARCODES]],ILACLISTE[#All],2,0),"")</f>
        <v/>
      </c>
      <c r="D1531" s="2">
        <f t="shared" si="23"/>
        <v>0</v>
      </c>
      <c r="E1531" s="14" t="str">
        <f>IFERROR(GIZLI!G1526,"")</f>
        <v/>
      </c>
    </row>
    <row r="1532" spans="2:5" x14ac:dyDescent="0.3">
      <c r="B1532" s="2" t="str">
        <f>MID(TableQR[[#This Row],[QR CODES]],4,13)</f>
        <v/>
      </c>
      <c r="C1532" s="2" t="str">
        <f>IFERROR(VLOOKUP(TableQR[[#This Row],[BARCODES]],ILACLISTE[#All],2,0),"")</f>
        <v/>
      </c>
      <c r="D1532" s="2">
        <f t="shared" si="23"/>
        <v>0</v>
      </c>
      <c r="E1532" s="14" t="str">
        <f>IFERROR(GIZLI!G1527,"")</f>
        <v/>
      </c>
    </row>
    <row r="1533" spans="2:5" x14ac:dyDescent="0.3">
      <c r="B1533" s="2" t="str">
        <f>MID(TableQR[[#This Row],[QR CODES]],4,13)</f>
        <v/>
      </c>
      <c r="C1533" s="2" t="str">
        <f>IFERROR(VLOOKUP(TableQR[[#This Row],[BARCODES]],ILACLISTE[#All],2,0),"")</f>
        <v/>
      </c>
      <c r="D1533" s="2">
        <f t="shared" si="23"/>
        <v>0</v>
      </c>
      <c r="E1533" s="14" t="str">
        <f>IFERROR(GIZLI!G1528,"")</f>
        <v/>
      </c>
    </row>
    <row r="1534" spans="2:5" x14ac:dyDescent="0.3">
      <c r="B1534" s="2" t="str">
        <f>MID(TableQR[[#This Row],[QR CODES]],4,13)</f>
        <v/>
      </c>
      <c r="C1534" s="2" t="str">
        <f>IFERROR(VLOOKUP(TableQR[[#This Row],[BARCODES]],ILACLISTE[#All],2,0),"")</f>
        <v/>
      </c>
      <c r="D1534" s="2">
        <f t="shared" si="23"/>
        <v>0</v>
      </c>
      <c r="E1534" s="14" t="str">
        <f>IFERROR(GIZLI!G1529,"")</f>
        <v/>
      </c>
    </row>
    <row r="1535" spans="2:5" x14ac:dyDescent="0.3">
      <c r="B1535" s="2" t="str">
        <f>MID(TableQR[[#This Row],[QR CODES]],4,13)</f>
        <v/>
      </c>
      <c r="C1535" s="2" t="str">
        <f>IFERROR(VLOOKUP(TableQR[[#This Row],[BARCODES]],ILACLISTE[#All],2,0),"")</f>
        <v/>
      </c>
      <c r="D1535" s="2">
        <f t="shared" si="23"/>
        <v>0</v>
      </c>
      <c r="E1535" s="14" t="str">
        <f>IFERROR(GIZLI!G1530,"")</f>
        <v/>
      </c>
    </row>
    <row r="1536" spans="2:5" x14ac:dyDescent="0.3">
      <c r="B1536" s="2" t="str">
        <f>MID(TableQR[[#This Row],[QR CODES]],4,13)</f>
        <v/>
      </c>
      <c r="C1536" s="2" t="str">
        <f>IFERROR(VLOOKUP(TableQR[[#This Row],[BARCODES]],ILACLISTE[#All],2,0),"")</f>
        <v/>
      </c>
      <c r="D1536" s="2">
        <f t="shared" si="23"/>
        <v>0</v>
      </c>
      <c r="E1536" s="14" t="str">
        <f>IFERROR(GIZLI!G1531,"")</f>
        <v/>
      </c>
    </row>
    <row r="1537" spans="2:5" x14ac:dyDescent="0.3">
      <c r="B1537" s="2" t="str">
        <f>MID(TableQR[[#This Row],[QR CODES]],4,13)</f>
        <v/>
      </c>
      <c r="C1537" s="2" t="str">
        <f>IFERROR(VLOOKUP(TableQR[[#This Row],[BARCODES]],ILACLISTE[#All],2,0),"")</f>
        <v/>
      </c>
      <c r="D1537" s="2">
        <f t="shared" si="23"/>
        <v>0</v>
      </c>
      <c r="E1537" s="14" t="str">
        <f>IFERROR(GIZLI!G1532,"")</f>
        <v/>
      </c>
    </row>
    <row r="1538" spans="2:5" x14ac:dyDescent="0.3">
      <c r="B1538" s="2" t="str">
        <f>MID(TableQR[[#This Row],[QR CODES]],4,13)</f>
        <v/>
      </c>
      <c r="C1538" s="2" t="str">
        <f>IFERROR(VLOOKUP(TableQR[[#This Row],[BARCODES]],ILACLISTE[#All],2,0),"")</f>
        <v/>
      </c>
      <c r="D1538" s="2">
        <f t="shared" si="23"/>
        <v>0</v>
      </c>
      <c r="E1538" s="14" t="str">
        <f>IFERROR(GIZLI!G1533,"")</f>
        <v/>
      </c>
    </row>
    <row r="1539" spans="2:5" x14ac:dyDescent="0.3">
      <c r="B1539" s="2" t="str">
        <f>MID(TableQR[[#This Row],[QR CODES]],4,13)</f>
        <v/>
      </c>
      <c r="C1539" s="2" t="str">
        <f>IFERROR(VLOOKUP(TableQR[[#This Row],[BARCODES]],ILACLISTE[#All],2,0),"")</f>
        <v/>
      </c>
      <c r="D1539" s="2">
        <f t="shared" si="23"/>
        <v>0</v>
      </c>
      <c r="E1539" s="14" t="str">
        <f>IFERROR(GIZLI!G1534,"")</f>
        <v/>
      </c>
    </row>
    <row r="1540" spans="2:5" x14ac:dyDescent="0.3">
      <c r="B1540" s="2" t="str">
        <f>MID(TableQR[[#This Row],[QR CODES]],4,13)</f>
        <v/>
      </c>
      <c r="C1540" s="2" t="str">
        <f>IFERROR(VLOOKUP(TableQR[[#This Row],[BARCODES]],ILACLISTE[#All],2,0),"")</f>
        <v/>
      </c>
      <c r="D1540" s="2">
        <f t="shared" si="23"/>
        <v>0</v>
      </c>
      <c r="E1540" s="14" t="str">
        <f>IFERROR(GIZLI!G1535,"")</f>
        <v/>
      </c>
    </row>
    <row r="1541" spans="2:5" x14ac:dyDescent="0.3">
      <c r="B1541" s="2" t="str">
        <f>MID(TableQR[[#This Row],[QR CODES]],4,13)</f>
        <v/>
      </c>
      <c r="C1541" s="2" t="str">
        <f>IFERROR(VLOOKUP(TableQR[[#This Row],[BARCODES]],ILACLISTE[#All],2,0),"")</f>
        <v/>
      </c>
      <c r="D1541" s="2">
        <f t="shared" si="23"/>
        <v>0</v>
      </c>
      <c r="E1541" s="14" t="str">
        <f>IFERROR(GIZLI!G1536,"")</f>
        <v/>
      </c>
    </row>
    <row r="1542" spans="2:5" x14ac:dyDescent="0.3">
      <c r="B1542" s="2" t="str">
        <f>MID(TableQR[[#This Row],[QR CODES]],4,13)</f>
        <v/>
      </c>
      <c r="C1542" s="2" t="str">
        <f>IFERROR(VLOOKUP(TableQR[[#This Row],[BARCODES]],ILACLISTE[#All],2,0),"")</f>
        <v/>
      </c>
      <c r="D1542" s="2">
        <f t="shared" si="23"/>
        <v>0</v>
      </c>
      <c r="E1542" s="14" t="str">
        <f>IFERROR(GIZLI!G1537,"")</f>
        <v/>
      </c>
    </row>
    <row r="1543" spans="2:5" x14ac:dyDescent="0.3">
      <c r="B1543" s="2" t="str">
        <f>MID(TableQR[[#This Row],[QR CODES]],4,13)</f>
        <v/>
      </c>
      <c r="C1543" s="2" t="str">
        <f>IFERROR(VLOOKUP(TableQR[[#This Row],[BARCODES]],ILACLISTE[#All],2,0),"")</f>
        <v/>
      </c>
      <c r="D1543" s="2">
        <f t="shared" si="23"/>
        <v>0</v>
      </c>
      <c r="E1543" s="14" t="str">
        <f>IFERROR(GIZLI!G1538,"")</f>
        <v/>
      </c>
    </row>
    <row r="1544" spans="2:5" x14ac:dyDescent="0.3">
      <c r="B1544" s="2" t="str">
        <f>MID(TableQR[[#This Row],[QR CODES]],4,13)</f>
        <v/>
      </c>
      <c r="C1544" s="2" t="str">
        <f>IFERROR(VLOOKUP(TableQR[[#This Row],[BARCODES]],ILACLISTE[#All],2,0),"")</f>
        <v/>
      </c>
      <c r="D1544" s="2">
        <f t="shared" ref="D1544:D1607" si="24">COUNTIF(B1544:B5537,IF(B1544="",66666,B1544))</f>
        <v>0</v>
      </c>
      <c r="E1544" s="14" t="str">
        <f>IFERROR(GIZLI!G1539,"")</f>
        <v/>
      </c>
    </row>
    <row r="1545" spans="2:5" x14ac:dyDescent="0.3">
      <c r="B1545" s="2" t="str">
        <f>MID(TableQR[[#This Row],[QR CODES]],4,13)</f>
        <v/>
      </c>
      <c r="C1545" s="2" t="str">
        <f>IFERROR(VLOOKUP(TableQR[[#This Row],[BARCODES]],ILACLISTE[#All],2,0),"")</f>
        <v/>
      </c>
      <c r="D1545" s="2">
        <f t="shared" si="24"/>
        <v>0</v>
      </c>
      <c r="E1545" s="14" t="str">
        <f>IFERROR(GIZLI!G1540,"")</f>
        <v/>
      </c>
    </row>
    <row r="1546" spans="2:5" x14ac:dyDescent="0.3">
      <c r="B1546" s="2" t="str">
        <f>MID(TableQR[[#This Row],[QR CODES]],4,13)</f>
        <v/>
      </c>
      <c r="C1546" s="2" t="str">
        <f>IFERROR(VLOOKUP(TableQR[[#This Row],[BARCODES]],ILACLISTE[#All],2,0),"")</f>
        <v/>
      </c>
      <c r="D1546" s="2">
        <f t="shared" si="24"/>
        <v>0</v>
      </c>
      <c r="E1546" s="14" t="str">
        <f>IFERROR(GIZLI!G1541,"")</f>
        <v/>
      </c>
    </row>
    <row r="1547" spans="2:5" x14ac:dyDescent="0.3">
      <c r="B1547" s="2" t="str">
        <f>MID(TableQR[[#This Row],[QR CODES]],4,13)</f>
        <v/>
      </c>
      <c r="C1547" s="2" t="str">
        <f>IFERROR(VLOOKUP(TableQR[[#This Row],[BARCODES]],ILACLISTE[#All],2,0),"")</f>
        <v/>
      </c>
      <c r="D1547" s="2">
        <f t="shared" si="24"/>
        <v>0</v>
      </c>
      <c r="E1547" s="14" t="str">
        <f>IFERROR(GIZLI!G1542,"")</f>
        <v/>
      </c>
    </row>
    <row r="1548" spans="2:5" x14ac:dyDescent="0.3">
      <c r="B1548" s="2" t="str">
        <f>MID(TableQR[[#This Row],[QR CODES]],4,13)</f>
        <v/>
      </c>
      <c r="C1548" s="2" t="str">
        <f>IFERROR(VLOOKUP(TableQR[[#This Row],[BARCODES]],ILACLISTE[#All],2,0),"")</f>
        <v/>
      </c>
      <c r="D1548" s="2">
        <f t="shared" si="24"/>
        <v>0</v>
      </c>
      <c r="E1548" s="14" t="str">
        <f>IFERROR(GIZLI!G1543,"")</f>
        <v/>
      </c>
    </row>
    <row r="1549" spans="2:5" x14ac:dyDescent="0.3">
      <c r="B1549" s="2" t="str">
        <f>MID(TableQR[[#This Row],[QR CODES]],4,13)</f>
        <v/>
      </c>
      <c r="C1549" s="2" t="str">
        <f>IFERROR(VLOOKUP(TableQR[[#This Row],[BARCODES]],ILACLISTE[#All],2,0),"")</f>
        <v/>
      </c>
      <c r="D1549" s="2">
        <f t="shared" si="24"/>
        <v>0</v>
      </c>
      <c r="E1549" s="14" t="str">
        <f>IFERROR(GIZLI!G1544,"")</f>
        <v/>
      </c>
    </row>
    <row r="1550" spans="2:5" x14ac:dyDescent="0.3">
      <c r="B1550" s="2" t="str">
        <f>MID(TableQR[[#This Row],[QR CODES]],4,13)</f>
        <v/>
      </c>
      <c r="C1550" s="2" t="str">
        <f>IFERROR(VLOOKUP(TableQR[[#This Row],[BARCODES]],ILACLISTE[#All],2,0),"")</f>
        <v/>
      </c>
      <c r="D1550" s="2">
        <f t="shared" si="24"/>
        <v>0</v>
      </c>
      <c r="E1550" s="14" t="str">
        <f>IFERROR(GIZLI!G1545,"")</f>
        <v/>
      </c>
    </row>
    <row r="1551" spans="2:5" x14ac:dyDescent="0.3">
      <c r="B1551" s="2" t="str">
        <f>MID(TableQR[[#This Row],[QR CODES]],4,13)</f>
        <v/>
      </c>
      <c r="C1551" s="2" t="str">
        <f>IFERROR(VLOOKUP(TableQR[[#This Row],[BARCODES]],ILACLISTE[#All],2,0),"")</f>
        <v/>
      </c>
      <c r="D1551" s="2">
        <f t="shared" si="24"/>
        <v>0</v>
      </c>
      <c r="E1551" s="14" t="str">
        <f>IFERROR(GIZLI!G1546,"")</f>
        <v/>
      </c>
    </row>
    <row r="1552" spans="2:5" x14ac:dyDescent="0.3">
      <c r="B1552" s="2" t="str">
        <f>MID(TableQR[[#This Row],[QR CODES]],4,13)</f>
        <v/>
      </c>
      <c r="C1552" s="2" t="str">
        <f>IFERROR(VLOOKUP(TableQR[[#This Row],[BARCODES]],ILACLISTE[#All],2,0),"")</f>
        <v/>
      </c>
      <c r="D1552" s="2">
        <f t="shared" si="24"/>
        <v>0</v>
      </c>
      <c r="E1552" s="14" t="str">
        <f>IFERROR(GIZLI!G1547,"")</f>
        <v/>
      </c>
    </row>
    <row r="1553" spans="2:5" x14ac:dyDescent="0.3">
      <c r="B1553" s="2" t="str">
        <f>MID(TableQR[[#This Row],[QR CODES]],4,13)</f>
        <v/>
      </c>
      <c r="C1553" s="2" t="str">
        <f>IFERROR(VLOOKUP(TableQR[[#This Row],[BARCODES]],ILACLISTE[#All],2,0),"")</f>
        <v/>
      </c>
      <c r="D1553" s="2">
        <f t="shared" si="24"/>
        <v>0</v>
      </c>
      <c r="E1553" s="14" t="str">
        <f>IFERROR(GIZLI!G1548,"")</f>
        <v/>
      </c>
    </row>
    <row r="1554" spans="2:5" x14ac:dyDescent="0.3">
      <c r="B1554" s="2" t="str">
        <f>MID(TableQR[[#This Row],[QR CODES]],4,13)</f>
        <v/>
      </c>
      <c r="C1554" s="2" t="str">
        <f>IFERROR(VLOOKUP(TableQR[[#This Row],[BARCODES]],ILACLISTE[#All],2,0),"")</f>
        <v/>
      </c>
      <c r="D1554" s="2">
        <f t="shared" si="24"/>
        <v>0</v>
      </c>
      <c r="E1554" s="14" t="str">
        <f>IFERROR(GIZLI!G1549,"")</f>
        <v/>
      </c>
    </row>
    <row r="1555" spans="2:5" x14ac:dyDescent="0.3">
      <c r="B1555" s="2" t="str">
        <f>MID(TableQR[[#This Row],[QR CODES]],4,13)</f>
        <v/>
      </c>
      <c r="C1555" s="2" t="str">
        <f>IFERROR(VLOOKUP(TableQR[[#This Row],[BARCODES]],ILACLISTE[#All],2,0),"")</f>
        <v/>
      </c>
      <c r="D1555" s="2">
        <f t="shared" si="24"/>
        <v>0</v>
      </c>
      <c r="E1555" s="14" t="str">
        <f>IFERROR(GIZLI!G1550,"")</f>
        <v/>
      </c>
    </row>
    <row r="1556" spans="2:5" x14ac:dyDescent="0.3">
      <c r="B1556" s="2" t="str">
        <f>MID(TableQR[[#This Row],[QR CODES]],4,13)</f>
        <v/>
      </c>
      <c r="C1556" s="2" t="str">
        <f>IFERROR(VLOOKUP(TableQR[[#This Row],[BARCODES]],ILACLISTE[#All],2,0),"")</f>
        <v/>
      </c>
      <c r="D1556" s="2">
        <f t="shared" si="24"/>
        <v>0</v>
      </c>
      <c r="E1556" s="14" t="str">
        <f>IFERROR(GIZLI!G1551,"")</f>
        <v/>
      </c>
    </row>
    <row r="1557" spans="2:5" x14ac:dyDescent="0.3">
      <c r="B1557" s="2" t="str">
        <f>MID(TableQR[[#This Row],[QR CODES]],4,13)</f>
        <v/>
      </c>
      <c r="C1557" s="2" t="str">
        <f>IFERROR(VLOOKUP(TableQR[[#This Row],[BARCODES]],ILACLISTE[#All],2,0),"")</f>
        <v/>
      </c>
      <c r="D1557" s="2">
        <f t="shared" si="24"/>
        <v>0</v>
      </c>
      <c r="E1557" s="14" t="str">
        <f>IFERROR(GIZLI!G1552,"")</f>
        <v/>
      </c>
    </row>
    <row r="1558" spans="2:5" x14ac:dyDescent="0.3">
      <c r="B1558" s="2" t="str">
        <f>MID(TableQR[[#This Row],[QR CODES]],4,13)</f>
        <v/>
      </c>
      <c r="C1558" s="2" t="str">
        <f>IFERROR(VLOOKUP(TableQR[[#This Row],[BARCODES]],ILACLISTE[#All],2,0),"")</f>
        <v/>
      </c>
      <c r="D1558" s="2">
        <f t="shared" si="24"/>
        <v>0</v>
      </c>
      <c r="E1558" s="14" t="str">
        <f>IFERROR(GIZLI!G1553,"")</f>
        <v/>
      </c>
    </row>
    <row r="1559" spans="2:5" x14ac:dyDescent="0.3">
      <c r="B1559" s="2" t="str">
        <f>MID(TableQR[[#This Row],[QR CODES]],4,13)</f>
        <v/>
      </c>
      <c r="C1559" s="2" t="str">
        <f>IFERROR(VLOOKUP(TableQR[[#This Row],[BARCODES]],ILACLISTE[#All],2,0),"")</f>
        <v/>
      </c>
      <c r="D1559" s="2">
        <f t="shared" si="24"/>
        <v>0</v>
      </c>
      <c r="E1559" s="14" t="str">
        <f>IFERROR(GIZLI!G1554,"")</f>
        <v/>
      </c>
    </row>
    <row r="1560" spans="2:5" x14ac:dyDescent="0.3">
      <c r="B1560" s="2" t="str">
        <f>MID(TableQR[[#This Row],[QR CODES]],4,13)</f>
        <v/>
      </c>
      <c r="C1560" s="2" t="str">
        <f>IFERROR(VLOOKUP(TableQR[[#This Row],[BARCODES]],ILACLISTE[#All],2,0),"")</f>
        <v/>
      </c>
      <c r="D1560" s="2">
        <f t="shared" si="24"/>
        <v>0</v>
      </c>
      <c r="E1560" s="14" t="str">
        <f>IFERROR(GIZLI!G1555,"")</f>
        <v/>
      </c>
    </row>
    <row r="1561" spans="2:5" x14ac:dyDescent="0.3">
      <c r="B1561" s="2" t="str">
        <f>MID(TableQR[[#This Row],[QR CODES]],4,13)</f>
        <v/>
      </c>
      <c r="C1561" s="2" t="str">
        <f>IFERROR(VLOOKUP(TableQR[[#This Row],[BARCODES]],ILACLISTE[#All],2,0),"")</f>
        <v/>
      </c>
      <c r="D1561" s="2">
        <f t="shared" si="24"/>
        <v>0</v>
      </c>
      <c r="E1561" s="14" t="str">
        <f>IFERROR(GIZLI!G1556,"")</f>
        <v/>
      </c>
    </row>
    <row r="1562" spans="2:5" x14ac:dyDescent="0.3">
      <c r="B1562" s="2" t="str">
        <f>MID(TableQR[[#This Row],[QR CODES]],4,13)</f>
        <v/>
      </c>
      <c r="C1562" s="2" t="str">
        <f>IFERROR(VLOOKUP(TableQR[[#This Row],[BARCODES]],ILACLISTE[#All],2,0),"")</f>
        <v/>
      </c>
      <c r="D1562" s="2">
        <f t="shared" si="24"/>
        <v>0</v>
      </c>
      <c r="E1562" s="14" t="str">
        <f>IFERROR(GIZLI!G1557,"")</f>
        <v/>
      </c>
    </row>
    <row r="1563" spans="2:5" x14ac:dyDescent="0.3">
      <c r="B1563" s="2" t="str">
        <f>MID(TableQR[[#This Row],[QR CODES]],4,13)</f>
        <v/>
      </c>
      <c r="C1563" s="2" t="str">
        <f>IFERROR(VLOOKUP(TableQR[[#This Row],[BARCODES]],ILACLISTE[#All],2,0),"")</f>
        <v/>
      </c>
      <c r="D1563" s="2">
        <f t="shared" si="24"/>
        <v>0</v>
      </c>
      <c r="E1563" s="14" t="str">
        <f>IFERROR(GIZLI!G1558,"")</f>
        <v/>
      </c>
    </row>
    <row r="1564" spans="2:5" x14ac:dyDescent="0.3">
      <c r="B1564" s="2" t="str">
        <f>MID(TableQR[[#This Row],[QR CODES]],4,13)</f>
        <v/>
      </c>
      <c r="C1564" s="2" t="str">
        <f>IFERROR(VLOOKUP(TableQR[[#This Row],[BARCODES]],ILACLISTE[#All],2,0),"")</f>
        <v/>
      </c>
      <c r="D1564" s="2">
        <f t="shared" si="24"/>
        <v>0</v>
      </c>
      <c r="E1564" s="14" t="str">
        <f>IFERROR(GIZLI!G1559,"")</f>
        <v/>
      </c>
    </row>
    <row r="1565" spans="2:5" x14ac:dyDescent="0.3">
      <c r="B1565" s="2" t="str">
        <f>MID(TableQR[[#This Row],[QR CODES]],4,13)</f>
        <v/>
      </c>
      <c r="C1565" s="2" t="str">
        <f>IFERROR(VLOOKUP(TableQR[[#This Row],[BARCODES]],ILACLISTE[#All],2,0),"")</f>
        <v/>
      </c>
      <c r="D1565" s="2">
        <f t="shared" si="24"/>
        <v>0</v>
      </c>
      <c r="E1565" s="14" t="str">
        <f>IFERROR(GIZLI!G1560,"")</f>
        <v/>
      </c>
    </row>
    <row r="1566" spans="2:5" x14ac:dyDescent="0.3">
      <c r="B1566" s="2" t="str">
        <f>MID(TableQR[[#This Row],[QR CODES]],4,13)</f>
        <v/>
      </c>
      <c r="C1566" s="2" t="str">
        <f>IFERROR(VLOOKUP(TableQR[[#This Row],[BARCODES]],ILACLISTE[#All],2,0),"")</f>
        <v/>
      </c>
      <c r="D1566" s="2">
        <f t="shared" si="24"/>
        <v>0</v>
      </c>
      <c r="E1566" s="14" t="str">
        <f>IFERROR(GIZLI!G1561,"")</f>
        <v/>
      </c>
    </row>
    <row r="1567" spans="2:5" x14ac:dyDescent="0.3">
      <c r="B1567" s="2" t="str">
        <f>MID(TableQR[[#This Row],[QR CODES]],4,13)</f>
        <v/>
      </c>
      <c r="C1567" s="2" t="str">
        <f>IFERROR(VLOOKUP(TableQR[[#This Row],[BARCODES]],ILACLISTE[#All],2,0),"")</f>
        <v/>
      </c>
      <c r="D1567" s="2">
        <f t="shared" si="24"/>
        <v>0</v>
      </c>
      <c r="E1567" s="14" t="str">
        <f>IFERROR(GIZLI!G1562,"")</f>
        <v/>
      </c>
    </row>
    <row r="1568" spans="2:5" x14ac:dyDescent="0.3">
      <c r="B1568" s="2" t="str">
        <f>MID(TableQR[[#This Row],[QR CODES]],4,13)</f>
        <v/>
      </c>
      <c r="C1568" s="2" t="str">
        <f>IFERROR(VLOOKUP(TableQR[[#This Row],[BARCODES]],ILACLISTE[#All],2,0),"")</f>
        <v/>
      </c>
      <c r="D1568" s="2">
        <f t="shared" si="24"/>
        <v>0</v>
      </c>
      <c r="E1568" s="14" t="str">
        <f>IFERROR(GIZLI!G1563,"")</f>
        <v/>
      </c>
    </row>
    <row r="1569" spans="2:5" x14ac:dyDescent="0.3">
      <c r="B1569" s="2" t="str">
        <f>MID(TableQR[[#This Row],[QR CODES]],4,13)</f>
        <v/>
      </c>
      <c r="C1569" s="2" t="str">
        <f>IFERROR(VLOOKUP(TableQR[[#This Row],[BARCODES]],ILACLISTE[#All],2,0),"")</f>
        <v/>
      </c>
      <c r="D1569" s="2">
        <f t="shared" si="24"/>
        <v>0</v>
      </c>
      <c r="E1569" s="14" t="str">
        <f>IFERROR(GIZLI!G1564,"")</f>
        <v/>
      </c>
    </row>
    <row r="1570" spans="2:5" x14ac:dyDescent="0.3">
      <c r="B1570" s="2" t="str">
        <f>MID(TableQR[[#This Row],[QR CODES]],4,13)</f>
        <v/>
      </c>
      <c r="C1570" s="2" t="str">
        <f>IFERROR(VLOOKUP(TableQR[[#This Row],[BARCODES]],ILACLISTE[#All],2,0),"")</f>
        <v/>
      </c>
      <c r="D1570" s="2">
        <f t="shared" si="24"/>
        <v>0</v>
      </c>
      <c r="E1570" s="14" t="str">
        <f>IFERROR(GIZLI!G1565,"")</f>
        <v/>
      </c>
    </row>
    <row r="1571" spans="2:5" x14ac:dyDescent="0.3">
      <c r="B1571" s="2" t="str">
        <f>MID(TableQR[[#This Row],[QR CODES]],4,13)</f>
        <v/>
      </c>
      <c r="C1571" s="2" t="str">
        <f>IFERROR(VLOOKUP(TableQR[[#This Row],[BARCODES]],ILACLISTE[#All],2,0),"")</f>
        <v/>
      </c>
      <c r="D1571" s="2">
        <f t="shared" si="24"/>
        <v>0</v>
      </c>
      <c r="E1571" s="14" t="str">
        <f>IFERROR(GIZLI!G1566,"")</f>
        <v/>
      </c>
    </row>
    <row r="1572" spans="2:5" x14ac:dyDescent="0.3">
      <c r="B1572" s="2" t="str">
        <f>MID(TableQR[[#This Row],[QR CODES]],4,13)</f>
        <v/>
      </c>
      <c r="C1572" s="2" t="str">
        <f>IFERROR(VLOOKUP(TableQR[[#This Row],[BARCODES]],ILACLISTE[#All],2,0),"")</f>
        <v/>
      </c>
      <c r="D1572" s="2">
        <f t="shared" si="24"/>
        <v>0</v>
      </c>
      <c r="E1572" s="14" t="str">
        <f>IFERROR(GIZLI!G1567,"")</f>
        <v/>
      </c>
    </row>
    <row r="1573" spans="2:5" x14ac:dyDescent="0.3">
      <c r="B1573" s="2" t="str">
        <f>MID(TableQR[[#This Row],[QR CODES]],4,13)</f>
        <v/>
      </c>
      <c r="C1573" s="2" t="str">
        <f>IFERROR(VLOOKUP(TableQR[[#This Row],[BARCODES]],ILACLISTE[#All],2,0),"")</f>
        <v/>
      </c>
      <c r="D1573" s="2">
        <f t="shared" si="24"/>
        <v>0</v>
      </c>
      <c r="E1573" s="14" t="str">
        <f>IFERROR(GIZLI!G1568,"")</f>
        <v/>
      </c>
    </row>
    <row r="1574" spans="2:5" x14ac:dyDescent="0.3">
      <c r="B1574" s="2" t="str">
        <f>MID(TableQR[[#This Row],[QR CODES]],4,13)</f>
        <v/>
      </c>
      <c r="C1574" s="2" t="str">
        <f>IFERROR(VLOOKUP(TableQR[[#This Row],[BARCODES]],ILACLISTE[#All],2,0),"")</f>
        <v/>
      </c>
      <c r="D1574" s="2">
        <f t="shared" si="24"/>
        <v>0</v>
      </c>
      <c r="E1574" s="14" t="str">
        <f>IFERROR(GIZLI!G1569,"")</f>
        <v/>
      </c>
    </row>
    <row r="1575" spans="2:5" x14ac:dyDescent="0.3">
      <c r="B1575" s="2" t="str">
        <f>MID(TableQR[[#This Row],[QR CODES]],4,13)</f>
        <v/>
      </c>
      <c r="C1575" s="2" t="str">
        <f>IFERROR(VLOOKUP(TableQR[[#This Row],[BARCODES]],ILACLISTE[#All],2,0),"")</f>
        <v/>
      </c>
      <c r="D1575" s="2">
        <f t="shared" si="24"/>
        <v>0</v>
      </c>
      <c r="E1575" s="14" t="str">
        <f>IFERROR(GIZLI!G1570,"")</f>
        <v/>
      </c>
    </row>
    <row r="1576" spans="2:5" x14ac:dyDescent="0.3">
      <c r="B1576" s="2" t="str">
        <f>MID(TableQR[[#This Row],[QR CODES]],4,13)</f>
        <v/>
      </c>
      <c r="C1576" s="2" t="str">
        <f>IFERROR(VLOOKUP(TableQR[[#This Row],[BARCODES]],ILACLISTE[#All],2,0),"")</f>
        <v/>
      </c>
      <c r="D1576" s="2">
        <f t="shared" si="24"/>
        <v>0</v>
      </c>
      <c r="E1576" s="14" t="str">
        <f>IFERROR(GIZLI!G1571,"")</f>
        <v/>
      </c>
    </row>
    <row r="1577" spans="2:5" x14ac:dyDescent="0.3">
      <c r="B1577" s="2" t="str">
        <f>MID(TableQR[[#This Row],[QR CODES]],4,13)</f>
        <v/>
      </c>
      <c r="C1577" s="2" t="str">
        <f>IFERROR(VLOOKUP(TableQR[[#This Row],[BARCODES]],ILACLISTE[#All],2,0),"")</f>
        <v/>
      </c>
      <c r="D1577" s="2">
        <f t="shared" si="24"/>
        <v>0</v>
      </c>
      <c r="E1577" s="14" t="str">
        <f>IFERROR(GIZLI!G1572,"")</f>
        <v/>
      </c>
    </row>
    <row r="1578" spans="2:5" x14ac:dyDescent="0.3">
      <c r="B1578" s="2" t="str">
        <f>MID(TableQR[[#This Row],[QR CODES]],4,13)</f>
        <v/>
      </c>
      <c r="C1578" s="2" t="str">
        <f>IFERROR(VLOOKUP(TableQR[[#This Row],[BARCODES]],ILACLISTE[#All],2,0),"")</f>
        <v/>
      </c>
      <c r="D1578" s="2">
        <f t="shared" si="24"/>
        <v>0</v>
      </c>
      <c r="E1578" s="14" t="str">
        <f>IFERROR(GIZLI!G1573,"")</f>
        <v/>
      </c>
    </row>
    <row r="1579" spans="2:5" x14ac:dyDescent="0.3">
      <c r="B1579" s="2" t="str">
        <f>MID(TableQR[[#This Row],[QR CODES]],4,13)</f>
        <v/>
      </c>
      <c r="C1579" s="2" t="str">
        <f>IFERROR(VLOOKUP(TableQR[[#This Row],[BARCODES]],ILACLISTE[#All],2,0),"")</f>
        <v/>
      </c>
      <c r="D1579" s="2">
        <f t="shared" si="24"/>
        <v>0</v>
      </c>
      <c r="E1579" s="14" t="str">
        <f>IFERROR(GIZLI!G1574,"")</f>
        <v/>
      </c>
    </row>
    <row r="1580" spans="2:5" x14ac:dyDescent="0.3">
      <c r="B1580" s="2" t="str">
        <f>MID(TableQR[[#This Row],[QR CODES]],4,13)</f>
        <v/>
      </c>
      <c r="C1580" s="2" t="str">
        <f>IFERROR(VLOOKUP(TableQR[[#This Row],[BARCODES]],ILACLISTE[#All],2,0),"")</f>
        <v/>
      </c>
      <c r="D1580" s="2">
        <f t="shared" si="24"/>
        <v>0</v>
      </c>
      <c r="E1580" s="14" t="str">
        <f>IFERROR(GIZLI!G1575,"")</f>
        <v/>
      </c>
    </row>
    <row r="1581" spans="2:5" x14ac:dyDescent="0.3">
      <c r="B1581" s="2" t="str">
        <f>MID(TableQR[[#This Row],[QR CODES]],4,13)</f>
        <v/>
      </c>
      <c r="C1581" s="2" t="str">
        <f>IFERROR(VLOOKUP(TableQR[[#This Row],[BARCODES]],ILACLISTE[#All],2,0),"")</f>
        <v/>
      </c>
      <c r="D1581" s="2">
        <f t="shared" si="24"/>
        <v>0</v>
      </c>
      <c r="E1581" s="14" t="str">
        <f>IFERROR(GIZLI!G1576,"")</f>
        <v/>
      </c>
    </row>
    <row r="1582" spans="2:5" x14ac:dyDescent="0.3">
      <c r="B1582" s="2" t="str">
        <f>MID(TableQR[[#This Row],[QR CODES]],4,13)</f>
        <v/>
      </c>
      <c r="C1582" s="2" t="str">
        <f>IFERROR(VLOOKUP(TableQR[[#This Row],[BARCODES]],ILACLISTE[#All],2,0),"")</f>
        <v/>
      </c>
      <c r="D1582" s="2">
        <f t="shared" si="24"/>
        <v>0</v>
      </c>
      <c r="E1582" s="14" t="str">
        <f>IFERROR(GIZLI!G1577,"")</f>
        <v/>
      </c>
    </row>
    <row r="1583" spans="2:5" x14ac:dyDescent="0.3">
      <c r="B1583" s="2" t="str">
        <f>MID(TableQR[[#This Row],[QR CODES]],4,13)</f>
        <v/>
      </c>
      <c r="C1583" s="2" t="str">
        <f>IFERROR(VLOOKUP(TableQR[[#This Row],[BARCODES]],ILACLISTE[#All],2,0),"")</f>
        <v/>
      </c>
      <c r="D1583" s="2">
        <f t="shared" si="24"/>
        <v>0</v>
      </c>
      <c r="E1583" s="14" t="str">
        <f>IFERROR(GIZLI!G1578,"")</f>
        <v/>
      </c>
    </row>
    <row r="1584" spans="2:5" x14ac:dyDescent="0.3">
      <c r="B1584" s="2" t="str">
        <f>MID(TableQR[[#This Row],[QR CODES]],4,13)</f>
        <v/>
      </c>
      <c r="C1584" s="2" t="str">
        <f>IFERROR(VLOOKUP(TableQR[[#This Row],[BARCODES]],ILACLISTE[#All],2,0),"")</f>
        <v/>
      </c>
      <c r="D1584" s="2">
        <f t="shared" si="24"/>
        <v>0</v>
      </c>
      <c r="E1584" s="14" t="str">
        <f>IFERROR(GIZLI!G1579,"")</f>
        <v/>
      </c>
    </row>
    <row r="1585" spans="2:5" x14ac:dyDescent="0.3">
      <c r="B1585" s="2" t="str">
        <f>MID(TableQR[[#This Row],[QR CODES]],4,13)</f>
        <v/>
      </c>
      <c r="C1585" s="2" t="str">
        <f>IFERROR(VLOOKUP(TableQR[[#This Row],[BARCODES]],ILACLISTE[#All],2,0),"")</f>
        <v/>
      </c>
      <c r="D1585" s="2">
        <f t="shared" si="24"/>
        <v>0</v>
      </c>
      <c r="E1585" s="14" t="str">
        <f>IFERROR(GIZLI!G1580,"")</f>
        <v/>
      </c>
    </row>
    <row r="1586" spans="2:5" x14ac:dyDescent="0.3">
      <c r="B1586" s="2" t="str">
        <f>MID(TableQR[[#This Row],[QR CODES]],4,13)</f>
        <v/>
      </c>
      <c r="C1586" s="2" t="str">
        <f>IFERROR(VLOOKUP(TableQR[[#This Row],[BARCODES]],ILACLISTE[#All],2,0),"")</f>
        <v/>
      </c>
      <c r="D1586" s="2">
        <f t="shared" si="24"/>
        <v>0</v>
      </c>
      <c r="E1586" s="14" t="str">
        <f>IFERROR(GIZLI!G1581,"")</f>
        <v/>
      </c>
    </row>
    <row r="1587" spans="2:5" x14ac:dyDescent="0.3">
      <c r="B1587" s="2" t="str">
        <f>MID(TableQR[[#This Row],[QR CODES]],4,13)</f>
        <v/>
      </c>
      <c r="C1587" s="2" t="str">
        <f>IFERROR(VLOOKUP(TableQR[[#This Row],[BARCODES]],ILACLISTE[#All],2,0),"")</f>
        <v/>
      </c>
      <c r="D1587" s="2">
        <f t="shared" si="24"/>
        <v>0</v>
      </c>
      <c r="E1587" s="14" t="str">
        <f>IFERROR(GIZLI!G1582,"")</f>
        <v/>
      </c>
    </row>
    <row r="1588" spans="2:5" x14ac:dyDescent="0.3">
      <c r="B1588" s="2" t="str">
        <f>MID(TableQR[[#This Row],[QR CODES]],4,13)</f>
        <v/>
      </c>
      <c r="C1588" s="2" t="str">
        <f>IFERROR(VLOOKUP(TableQR[[#This Row],[BARCODES]],ILACLISTE[#All],2,0),"")</f>
        <v/>
      </c>
      <c r="D1588" s="2">
        <f t="shared" si="24"/>
        <v>0</v>
      </c>
      <c r="E1588" s="14" t="str">
        <f>IFERROR(GIZLI!G1583,"")</f>
        <v/>
      </c>
    </row>
    <row r="1589" spans="2:5" x14ac:dyDescent="0.3">
      <c r="B1589" s="2" t="str">
        <f>MID(TableQR[[#This Row],[QR CODES]],4,13)</f>
        <v/>
      </c>
      <c r="C1589" s="2" t="str">
        <f>IFERROR(VLOOKUP(TableQR[[#This Row],[BARCODES]],ILACLISTE[#All],2,0),"")</f>
        <v/>
      </c>
      <c r="D1589" s="2">
        <f t="shared" si="24"/>
        <v>0</v>
      </c>
      <c r="E1589" s="14" t="str">
        <f>IFERROR(GIZLI!G1584,"")</f>
        <v/>
      </c>
    </row>
    <row r="1590" spans="2:5" x14ac:dyDescent="0.3">
      <c r="B1590" s="2" t="str">
        <f>MID(TableQR[[#This Row],[QR CODES]],4,13)</f>
        <v/>
      </c>
      <c r="C1590" s="2" t="str">
        <f>IFERROR(VLOOKUP(TableQR[[#This Row],[BARCODES]],ILACLISTE[#All],2,0),"")</f>
        <v/>
      </c>
      <c r="D1590" s="2">
        <f t="shared" si="24"/>
        <v>0</v>
      </c>
      <c r="E1590" s="14" t="str">
        <f>IFERROR(GIZLI!G1585,"")</f>
        <v/>
      </c>
    </row>
    <row r="1591" spans="2:5" x14ac:dyDescent="0.3">
      <c r="B1591" s="2" t="str">
        <f>MID(TableQR[[#This Row],[QR CODES]],4,13)</f>
        <v/>
      </c>
      <c r="C1591" s="2" t="str">
        <f>IFERROR(VLOOKUP(TableQR[[#This Row],[BARCODES]],ILACLISTE[#All],2,0),"")</f>
        <v/>
      </c>
      <c r="D1591" s="2">
        <f t="shared" si="24"/>
        <v>0</v>
      </c>
      <c r="E1591" s="14" t="str">
        <f>IFERROR(GIZLI!G1586,"")</f>
        <v/>
      </c>
    </row>
    <row r="1592" spans="2:5" x14ac:dyDescent="0.3">
      <c r="B1592" s="2" t="str">
        <f>MID(TableQR[[#This Row],[QR CODES]],4,13)</f>
        <v/>
      </c>
      <c r="C1592" s="2" t="str">
        <f>IFERROR(VLOOKUP(TableQR[[#This Row],[BARCODES]],ILACLISTE[#All],2,0),"")</f>
        <v/>
      </c>
      <c r="D1592" s="2">
        <f t="shared" si="24"/>
        <v>0</v>
      </c>
      <c r="E1592" s="14" t="str">
        <f>IFERROR(GIZLI!G1587,"")</f>
        <v/>
      </c>
    </row>
    <row r="1593" spans="2:5" x14ac:dyDescent="0.3">
      <c r="B1593" s="2" t="str">
        <f>MID(TableQR[[#This Row],[QR CODES]],4,13)</f>
        <v/>
      </c>
      <c r="C1593" s="2" t="str">
        <f>IFERROR(VLOOKUP(TableQR[[#This Row],[BARCODES]],ILACLISTE[#All],2,0),"")</f>
        <v/>
      </c>
      <c r="D1593" s="2">
        <f t="shared" si="24"/>
        <v>0</v>
      </c>
      <c r="E1593" s="14" t="str">
        <f>IFERROR(GIZLI!G1588,"")</f>
        <v/>
      </c>
    </row>
    <row r="1594" spans="2:5" x14ac:dyDescent="0.3">
      <c r="B1594" s="2" t="str">
        <f>MID(TableQR[[#This Row],[QR CODES]],4,13)</f>
        <v/>
      </c>
      <c r="C1594" s="2" t="str">
        <f>IFERROR(VLOOKUP(TableQR[[#This Row],[BARCODES]],ILACLISTE[#All],2,0),"")</f>
        <v/>
      </c>
      <c r="D1594" s="2">
        <f t="shared" si="24"/>
        <v>0</v>
      </c>
      <c r="E1594" s="14" t="str">
        <f>IFERROR(GIZLI!G1589,"")</f>
        <v/>
      </c>
    </row>
    <row r="1595" spans="2:5" x14ac:dyDescent="0.3">
      <c r="B1595" s="2" t="str">
        <f>MID(TableQR[[#This Row],[QR CODES]],4,13)</f>
        <v/>
      </c>
      <c r="C1595" s="2" t="str">
        <f>IFERROR(VLOOKUP(TableQR[[#This Row],[BARCODES]],ILACLISTE[#All],2,0),"")</f>
        <v/>
      </c>
      <c r="D1595" s="2">
        <f t="shared" si="24"/>
        <v>0</v>
      </c>
      <c r="E1595" s="14" t="str">
        <f>IFERROR(GIZLI!G1590,"")</f>
        <v/>
      </c>
    </row>
    <row r="1596" spans="2:5" x14ac:dyDescent="0.3">
      <c r="B1596" s="2" t="str">
        <f>MID(TableQR[[#This Row],[QR CODES]],4,13)</f>
        <v/>
      </c>
      <c r="C1596" s="2" t="str">
        <f>IFERROR(VLOOKUP(TableQR[[#This Row],[BARCODES]],ILACLISTE[#All],2,0),"")</f>
        <v/>
      </c>
      <c r="D1596" s="2">
        <f t="shared" si="24"/>
        <v>0</v>
      </c>
      <c r="E1596" s="14" t="str">
        <f>IFERROR(GIZLI!G1591,"")</f>
        <v/>
      </c>
    </row>
    <row r="1597" spans="2:5" x14ac:dyDescent="0.3">
      <c r="B1597" s="2" t="str">
        <f>MID(TableQR[[#This Row],[QR CODES]],4,13)</f>
        <v/>
      </c>
      <c r="C1597" s="2" t="str">
        <f>IFERROR(VLOOKUP(TableQR[[#This Row],[BARCODES]],ILACLISTE[#All],2,0),"")</f>
        <v/>
      </c>
      <c r="D1597" s="2">
        <f t="shared" si="24"/>
        <v>0</v>
      </c>
      <c r="E1597" s="14" t="str">
        <f>IFERROR(GIZLI!G1592,"")</f>
        <v/>
      </c>
    </row>
    <row r="1598" spans="2:5" x14ac:dyDescent="0.3">
      <c r="B1598" s="2" t="str">
        <f>MID(TableQR[[#This Row],[QR CODES]],4,13)</f>
        <v/>
      </c>
      <c r="C1598" s="2" t="str">
        <f>IFERROR(VLOOKUP(TableQR[[#This Row],[BARCODES]],ILACLISTE[#All],2,0),"")</f>
        <v/>
      </c>
      <c r="D1598" s="2">
        <f t="shared" si="24"/>
        <v>0</v>
      </c>
      <c r="E1598" s="14" t="str">
        <f>IFERROR(GIZLI!G1593,"")</f>
        <v/>
      </c>
    </row>
    <row r="1599" spans="2:5" x14ac:dyDescent="0.3">
      <c r="B1599" s="2" t="str">
        <f>MID(TableQR[[#This Row],[QR CODES]],4,13)</f>
        <v/>
      </c>
      <c r="C1599" s="2" t="str">
        <f>IFERROR(VLOOKUP(TableQR[[#This Row],[BARCODES]],ILACLISTE[#All],2,0),"")</f>
        <v/>
      </c>
      <c r="D1599" s="2">
        <f t="shared" si="24"/>
        <v>0</v>
      </c>
      <c r="E1599" s="14" t="str">
        <f>IFERROR(GIZLI!G1594,"")</f>
        <v/>
      </c>
    </row>
    <row r="1600" spans="2:5" x14ac:dyDescent="0.3">
      <c r="B1600" s="2" t="str">
        <f>MID(TableQR[[#This Row],[QR CODES]],4,13)</f>
        <v/>
      </c>
      <c r="C1600" s="2" t="str">
        <f>IFERROR(VLOOKUP(TableQR[[#This Row],[BARCODES]],ILACLISTE[#All],2,0),"")</f>
        <v/>
      </c>
      <c r="D1600" s="2">
        <f t="shared" si="24"/>
        <v>0</v>
      </c>
      <c r="E1600" s="14" t="str">
        <f>IFERROR(GIZLI!G1595,"")</f>
        <v/>
      </c>
    </row>
    <row r="1601" spans="2:5" x14ac:dyDescent="0.3">
      <c r="B1601" s="2" t="str">
        <f>MID(TableQR[[#This Row],[QR CODES]],4,13)</f>
        <v/>
      </c>
      <c r="C1601" s="2" t="str">
        <f>IFERROR(VLOOKUP(TableQR[[#This Row],[BARCODES]],ILACLISTE[#All],2,0),"")</f>
        <v/>
      </c>
      <c r="D1601" s="2">
        <f t="shared" si="24"/>
        <v>0</v>
      </c>
      <c r="E1601" s="14" t="str">
        <f>IFERROR(GIZLI!G1596,"")</f>
        <v/>
      </c>
    </row>
    <row r="1602" spans="2:5" x14ac:dyDescent="0.3">
      <c r="B1602" s="2" t="str">
        <f>MID(TableQR[[#This Row],[QR CODES]],4,13)</f>
        <v/>
      </c>
      <c r="C1602" s="2" t="str">
        <f>IFERROR(VLOOKUP(TableQR[[#This Row],[BARCODES]],ILACLISTE[#All],2,0),"")</f>
        <v/>
      </c>
      <c r="D1602" s="2">
        <f t="shared" si="24"/>
        <v>0</v>
      </c>
      <c r="E1602" s="14" t="str">
        <f>IFERROR(GIZLI!G1597,"")</f>
        <v/>
      </c>
    </row>
    <row r="1603" spans="2:5" x14ac:dyDescent="0.3">
      <c r="B1603" s="2" t="str">
        <f>MID(TableQR[[#This Row],[QR CODES]],4,13)</f>
        <v/>
      </c>
      <c r="C1603" s="2" t="str">
        <f>IFERROR(VLOOKUP(TableQR[[#This Row],[BARCODES]],ILACLISTE[#All],2,0),"")</f>
        <v/>
      </c>
      <c r="D1603" s="2">
        <f t="shared" si="24"/>
        <v>0</v>
      </c>
      <c r="E1603" s="14" t="str">
        <f>IFERROR(GIZLI!G1598,"")</f>
        <v/>
      </c>
    </row>
    <row r="1604" spans="2:5" x14ac:dyDescent="0.3">
      <c r="B1604" s="2" t="str">
        <f>MID(TableQR[[#This Row],[QR CODES]],4,13)</f>
        <v/>
      </c>
      <c r="C1604" s="2" t="str">
        <f>IFERROR(VLOOKUP(TableQR[[#This Row],[BARCODES]],ILACLISTE[#All],2,0),"")</f>
        <v/>
      </c>
      <c r="D1604" s="2">
        <f t="shared" si="24"/>
        <v>0</v>
      </c>
      <c r="E1604" s="14" t="str">
        <f>IFERROR(GIZLI!G1599,"")</f>
        <v/>
      </c>
    </row>
    <row r="1605" spans="2:5" x14ac:dyDescent="0.3">
      <c r="B1605" s="2" t="str">
        <f>MID(TableQR[[#This Row],[QR CODES]],4,13)</f>
        <v/>
      </c>
      <c r="C1605" s="2" t="str">
        <f>IFERROR(VLOOKUP(TableQR[[#This Row],[BARCODES]],ILACLISTE[#All],2,0),"")</f>
        <v/>
      </c>
      <c r="D1605" s="2">
        <f t="shared" si="24"/>
        <v>0</v>
      </c>
      <c r="E1605" s="14" t="str">
        <f>IFERROR(GIZLI!G1600,"")</f>
        <v/>
      </c>
    </row>
    <row r="1606" spans="2:5" x14ac:dyDescent="0.3">
      <c r="B1606" s="2" t="str">
        <f>MID(TableQR[[#This Row],[QR CODES]],4,13)</f>
        <v/>
      </c>
      <c r="C1606" s="2" t="str">
        <f>IFERROR(VLOOKUP(TableQR[[#This Row],[BARCODES]],ILACLISTE[#All],2,0),"")</f>
        <v/>
      </c>
      <c r="D1606" s="2">
        <f t="shared" si="24"/>
        <v>0</v>
      </c>
      <c r="E1606" s="14" t="str">
        <f>IFERROR(GIZLI!G1601,"")</f>
        <v/>
      </c>
    </row>
    <row r="1607" spans="2:5" x14ac:dyDescent="0.3">
      <c r="B1607" s="2" t="str">
        <f>MID(TableQR[[#This Row],[QR CODES]],4,13)</f>
        <v/>
      </c>
      <c r="C1607" s="2" t="str">
        <f>IFERROR(VLOOKUP(TableQR[[#This Row],[BARCODES]],ILACLISTE[#All],2,0),"")</f>
        <v/>
      </c>
      <c r="D1607" s="2">
        <f t="shared" si="24"/>
        <v>0</v>
      </c>
      <c r="E1607" s="14" t="str">
        <f>IFERROR(GIZLI!G1602,"")</f>
        <v/>
      </c>
    </row>
    <row r="1608" spans="2:5" x14ac:dyDescent="0.3">
      <c r="B1608" s="2" t="str">
        <f>MID(TableQR[[#This Row],[QR CODES]],4,13)</f>
        <v/>
      </c>
      <c r="C1608" s="2" t="str">
        <f>IFERROR(VLOOKUP(TableQR[[#This Row],[BARCODES]],ILACLISTE[#All],2,0),"")</f>
        <v/>
      </c>
      <c r="D1608" s="2">
        <f t="shared" ref="D1608:D1671" si="25">COUNTIF(B1608:B5601,IF(B1608="",66666,B1608))</f>
        <v>0</v>
      </c>
      <c r="E1608" s="14" t="str">
        <f>IFERROR(GIZLI!G1603,"")</f>
        <v/>
      </c>
    </row>
    <row r="1609" spans="2:5" x14ac:dyDescent="0.3">
      <c r="B1609" s="2" t="str">
        <f>MID(TableQR[[#This Row],[QR CODES]],4,13)</f>
        <v/>
      </c>
      <c r="C1609" s="2" t="str">
        <f>IFERROR(VLOOKUP(TableQR[[#This Row],[BARCODES]],ILACLISTE[#All],2,0),"")</f>
        <v/>
      </c>
      <c r="D1609" s="2">
        <f t="shared" si="25"/>
        <v>0</v>
      </c>
      <c r="E1609" s="14" t="str">
        <f>IFERROR(GIZLI!G1604,"")</f>
        <v/>
      </c>
    </row>
    <row r="1610" spans="2:5" x14ac:dyDescent="0.3">
      <c r="B1610" s="2" t="str">
        <f>MID(TableQR[[#This Row],[QR CODES]],4,13)</f>
        <v/>
      </c>
      <c r="C1610" s="2" t="str">
        <f>IFERROR(VLOOKUP(TableQR[[#This Row],[BARCODES]],ILACLISTE[#All],2,0),"")</f>
        <v/>
      </c>
      <c r="D1610" s="2">
        <f t="shared" si="25"/>
        <v>0</v>
      </c>
      <c r="E1610" s="14" t="str">
        <f>IFERROR(GIZLI!G1605,"")</f>
        <v/>
      </c>
    </row>
    <row r="1611" spans="2:5" x14ac:dyDescent="0.3">
      <c r="B1611" s="2" t="str">
        <f>MID(TableQR[[#This Row],[QR CODES]],4,13)</f>
        <v/>
      </c>
      <c r="C1611" s="2" t="str">
        <f>IFERROR(VLOOKUP(TableQR[[#This Row],[BARCODES]],ILACLISTE[#All],2,0),"")</f>
        <v/>
      </c>
      <c r="D1611" s="2">
        <f t="shared" si="25"/>
        <v>0</v>
      </c>
      <c r="E1611" s="14" t="str">
        <f>IFERROR(GIZLI!G1606,"")</f>
        <v/>
      </c>
    </row>
    <row r="1612" spans="2:5" x14ac:dyDescent="0.3">
      <c r="B1612" s="2" t="str">
        <f>MID(TableQR[[#This Row],[QR CODES]],4,13)</f>
        <v/>
      </c>
      <c r="C1612" s="2" t="str">
        <f>IFERROR(VLOOKUP(TableQR[[#This Row],[BARCODES]],ILACLISTE[#All],2,0),"")</f>
        <v/>
      </c>
      <c r="D1612" s="2">
        <f t="shared" si="25"/>
        <v>0</v>
      </c>
      <c r="E1612" s="14" t="str">
        <f>IFERROR(GIZLI!G1607,"")</f>
        <v/>
      </c>
    </row>
    <row r="1613" spans="2:5" x14ac:dyDescent="0.3">
      <c r="B1613" s="2" t="str">
        <f>MID(TableQR[[#This Row],[QR CODES]],4,13)</f>
        <v/>
      </c>
      <c r="C1613" s="2" t="str">
        <f>IFERROR(VLOOKUP(TableQR[[#This Row],[BARCODES]],ILACLISTE[#All],2,0),"")</f>
        <v/>
      </c>
      <c r="D1613" s="2">
        <f t="shared" si="25"/>
        <v>0</v>
      </c>
      <c r="E1613" s="14" t="str">
        <f>IFERROR(GIZLI!G1608,"")</f>
        <v/>
      </c>
    </row>
    <row r="1614" spans="2:5" x14ac:dyDescent="0.3">
      <c r="B1614" s="2" t="str">
        <f>MID(TableQR[[#This Row],[QR CODES]],4,13)</f>
        <v/>
      </c>
      <c r="C1614" s="2" t="str">
        <f>IFERROR(VLOOKUP(TableQR[[#This Row],[BARCODES]],ILACLISTE[#All],2,0),"")</f>
        <v/>
      </c>
      <c r="D1614" s="2">
        <f t="shared" si="25"/>
        <v>0</v>
      </c>
      <c r="E1614" s="14" t="str">
        <f>IFERROR(GIZLI!G1609,"")</f>
        <v/>
      </c>
    </row>
    <row r="1615" spans="2:5" x14ac:dyDescent="0.3">
      <c r="B1615" s="2" t="str">
        <f>MID(TableQR[[#This Row],[QR CODES]],4,13)</f>
        <v/>
      </c>
      <c r="C1615" s="2" t="str">
        <f>IFERROR(VLOOKUP(TableQR[[#This Row],[BARCODES]],ILACLISTE[#All],2,0),"")</f>
        <v/>
      </c>
      <c r="D1615" s="2">
        <f t="shared" si="25"/>
        <v>0</v>
      </c>
      <c r="E1615" s="14" t="str">
        <f>IFERROR(GIZLI!G1610,"")</f>
        <v/>
      </c>
    </row>
    <row r="1616" spans="2:5" x14ac:dyDescent="0.3">
      <c r="B1616" s="2" t="str">
        <f>MID(TableQR[[#This Row],[QR CODES]],4,13)</f>
        <v/>
      </c>
      <c r="C1616" s="2" t="str">
        <f>IFERROR(VLOOKUP(TableQR[[#This Row],[BARCODES]],ILACLISTE[#All],2,0),"")</f>
        <v/>
      </c>
      <c r="D1616" s="2">
        <f t="shared" si="25"/>
        <v>0</v>
      </c>
      <c r="E1616" s="14" t="str">
        <f>IFERROR(GIZLI!G1611,"")</f>
        <v/>
      </c>
    </row>
    <row r="1617" spans="2:5" x14ac:dyDescent="0.3">
      <c r="B1617" s="2" t="str">
        <f>MID(TableQR[[#This Row],[QR CODES]],4,13)</f>
        <v/>
      </c>
      <c r="C1617" s="2" t="str">
        <f>IFERROR(VLOOKUP(TableQR[[#This Row],[BARCODES]],ILACLISTE[#All],2,0),"")</f>
        <v/>
      </c>
      <c r="D1617" s="2">
        <f t="shared" si="25"/>
        <v>0</v>
      </c>
      <c r="E1617" s="14" t="str">
        <f>IFERROR(GIZLI!G1612,"")</f>
        <v/>
      </c>
    </row>
    <row r="1618" spans="2:5" x14ac:dyDescent="0.3">
      <c r="B1618" s="2" t="str">
        <f>MID(TableQR[[#This Row],[QR CODES]],4,13)</f>
        <v/>
      </c>
      <c r="C1618" s="2" t="str">
        <f>IFERROR(VLOOKUP(TableQR[[#This Row],[BARCODES]],ILACLISTE[#All],2,0),"")</f>
        <v/>
      </c>
      <c r="D1618" s="2">
        <f t="shared" si="25"/>
        <v>0</v>
      </c>
      <c r="E1618" s="14" t="str">
        <f>IFERROR(GIZLI!G1613,"")</f>
        <v/>
      </c>
    </row>
    <row r="1619" spans="2:5" x14ac:dyDescent="0.3">
      <c r="B1619" s="2" t="str">
        <f>MID(TableQR[[#This Row],[QR CODES]],4,13)</f>
        <v/>
      </c>
      <c r="C1619" s="2" t="str">
        <f>IFERROR(VLOOKUP(TableQR[[#This Row],[BARCODES]],ILACLISTE[#All],2,0),"")</f>
        <v/>
      </c>
      <c r="D1619" s="2">
        <f t="shared" si="25"/>
        <v>0</v>
      </c>
      <c r="E1619" s="14" t="str">
        <f>IFERROR(GIZLI!G1614,"")</f>
        <v/>
      </c>
    </row>
    <row r="1620" spans="2:5" x14ac:dyDescent="0.3">
      <c r="B1620" s="2" t="str">
        <f>MID(TableQR[[#This Row],[QR CODES]],4,13)</f>
        <v/>
      </c>
      <c r="C1620" s="2" t="str">
        <f>IFERROR(VLOOKUP(TableQR[[#This Row],[BARCODES]],ILACLISTE[#All],2,0),"")</f>
        <v/>
      </c>
      <c r="D1620" s="2">
        <f t="shared" si="25"/>
        <v>0</v>
      </c>
      <c r="E1620" s="14" t="str">
        <f>IFERROR(GIZLI!G1615,"")</f>
        <v/>
      </c>
    </row>
    <row r="1621" spans="2:5" x14ac:dyDescent="0.3">
      <c r="B1621" s="2" t="str">
        <f>MID(TableQR[[#This Row],[QR CODES]],4,13)</f>
        <v/>
      </c>
      <c r="C1621" s="2" t="str">
        <f>IFERROR(VLOOKUP(TableQR[[#This Row],[BARCODES]],ILACLISTE[#All],2,0),"")</f>
        <v/>
      </c>
      <c r="D1621" s="2">
        <f t="shared" si="25"/>
        <v>0</v>
      </c>
      <c r="E1621" s="14" t="str">
        <f>IFERROR(GIZLI!G1616,"")</f>
        <v/>
      </c>
    </row>
    <row r="1622" spans="2:5" x14ac:dyDescent="0.3">
      <c r="B1622" s="2" t="str">
        <f>MID(TableQR[[#This Row],[QR CODES]],4,13)</f>
        <v/>
      </c>
      <c r="C1622" s="2" t="str">
        <f>IFERROR(VLOOKUP(TableQR[[#This Row],[BARCODES]],ILACLISTE[#All],2,0),"")</f>
        <v/>
      </c>
      <c r="D1622" s="2">
        <f t="shared" si="25"/>
        <v>0</v>
      </c>
      <c r="E1622" s="14" t="str">
        <f>IFERROR(GIZLI!G1617,"")</f>
        <v/>
      </c>
    </row>
    <row r="1623" spans="2:5" x14ac:dyDescent="0.3">
      <c r="B1623" s="2" t="str">
        <f>MID(TableQR[[#This Row],[QR CODES]],4,13)</f>
        <v/>
      </c>
      <c r="C1623" s="2" t="str">
        <f>IFERROR(VLOOKUP(TableQR[[#This Row],[BARCODES]],ILACLISTE[#All],2,0),"")</f>
        <v/>
      </c>
      <c r="D1623" s="2">
        <f t="shared" si="25"/>
        <v>0</v>
      </c>
      <c r="E1623" s="14" t="str">
        <f>IFERROR(GIZLI!G1618,"")</f>
        <v/>
      </c>
    </row>
    <row r="1624" spans="2:5" x14ac:dyDescent="0.3">
      <c r="B1624" s="2" t="str">
        <f>MID(TableQR[[#This Row],[QR CODES]],4,13)</f>
        <v/>
      </c>
      <c r="C1624" s="2" t="str">
        <f>IFERROR(VLOOKUP(TableQR[[#This Row],[BARCODES]],ILACLISTE[#All],2,0),"")</f>
        <v/>
      </c>
      <c r="D1624" s="2">
        <f t="shared" si="25"/>
        <v>0</v>
      </c>
      <c r="E1624" s="14" t="str">
        <f>IFERROR(GIZLI!G1619,"")</f>
        <v/>
      </c>
    </row>
    <row r="1625" spans="2:5" x14ac:dyDescent="0.3">
      <c r="B1625" s="2" t="str">
        <f>MID(TableQR[[#This Row],[QR CODES]],4,13)</f>
        <v/>
      </c>
      <c r="C1625" s="2" t="str">
        <f>IFERROR(VLOOKUP(TableQR[[#This Row],[BARCODES]],ILACLISTE[#All],2,0),"")</f>
        <v/>
      </c>
      <c r="D1625" s="2">
        <f t="shared" si="25"/>
        <v>0</v>
      </c>
      <c r="E1625" s="14" t="str">
        <f>IFERROR(GIZLI!G1620,"")</f>
        <v/>
      </c>
    </row>
    <row r="1626" spans="2:5" x14ac:dyDescent="0.3">
      <c r="B1626" s="2" t="str">
        <f>MID(TableQR[[#This Row],[QR CODES]],4,13)</f>
        <v/>
      </c>
      <c r="C1626" s="2" t="str">
        <f>IFERROR(VLOOKUP(TableQR[[#This Row],[BARCODES]],ILACLISTE[#All],2,0),"")</f>
        <v/>
      </c>
      <c r="D1626" s="2">
        <f t="shared" si="25"/>
        <v>0</v>
      </c>
      <c r="E1626" s="14" t="str">
        <f>IFERROR(GIZLI!G1621,"")</f>
        <v/>
      </c>
    </row>
    <row r="1627" spans="2:5" x14ac:dyDescent="0.3">
      <c r="B1627" s="2" t="str">
        <f>MID(TableQR[[#This Row],[QR CODES]],4,13)</f>
        <v/>
      </c>
      <c r="C1627" s="2" t="str">
        <f>IFERROR(VLOOKUP(TableQR[[#This Row],[BARCODES]],ILACLISTE[#All],2,0),"")</f>
        <v/>
      </c>
      <c r="D1627" s="2">
        <f t="shared" si="25"/>
        <v>0</v>
      </c>
      <c r="E1627" s="14" t="str">
        <f>IFERROR(GIZLI!G1622,"")</f>
        <v/>
      </c>
    </row>
    <row r="1628" spans="2:5" x14ac:dyDescent="0.3">
      <c r="B1628" s="2" t="str">
        <f>MID(TableQR[[#This Row],[QR CODES]],4,13)</f>
        <v/>
      </c>
      <c r="C1628" s="2" t="str">
        <f>IFERROR(VLOOKUP(TableQR[[#This Row],[BARCODES]],ILACLISTE[#All],2,0),"")</f>
        <v/>
      </c>
      <c r="D1628" s="2">
        <f t="shared" si="25"/>
        <v>0</v>
      </c>
      <c r="E1628" s="14" t="str">
        <f>IFERROR(GIZLI!G1623,"")</f>
        <v/>
      </c>
    </row>
    <row r="1629" spans="2:5" x14ac:dyDescent="0.3">
      <c r="B1629" s="2" t="str">
        <f>MID(TableQR[[#This Row],[QR CODES]],4,13)</f>
        <v/>
      </c>
      <c r="C1629" s="2" t="str">
        <f>IFERROR(VLOOKUP(TableQR[[#This Row],[BARCODES]],ILACLISTE[#All],2,0),"")</f>
        <v/>
      </c>
      <c r="D1629" s="2">
        <f t="shared" si="25"/>
        <v>0</v>
      </c>
      <c r="E1629" s="14" t="str">
        <f>IFERROR(GIZLI!G1624,"")</f>
        <v/>
      </c>
    </row>
    <row r="1630" spans="2:5" x14ac:dyDescent="0.3">
      <c r="B1630" s="2" t="str">
        <f>MID(TableQR[[#This Row],[QR CODES]],4,13)</f>
        <v/>
      </c>
      <c r="C1630" s="2" t="str">
        <f>IFERROR(VLOOKUP(TableQR[[#This Row],[BARCODES]],ILACLISTE[#All],2,0),"")</f>
        <v/>
      </c>
      <c r="D1630" s="2">
        <f t="shared" si="25"/>
        <v>0</v>
      </c>
      <c r="E1630" s="14" t="str">
        <f>IFERROR(GIZLI!G1625,"")</f>
        <v/>
      </c>
    </row>
    <row r="1631" spans="2:5" x14ac:dyDescent="0.3">
      <c r="B1631" s="2" t="str">
        <f>MID(TableQR[[#This Row],[QR CODES]],4,13)</f>
        <v/>
      </c>
      <c r="C1631" s="2" t="str">
        <f>IFERROR(VLOOKUP(TableQR[[#This Row],[BARCODES]],ILACLISTE[#All],2,0),"")</f>
        <v/>
      </c>
      <c r="D1631" s="2">
        <f t="shared" si="25"/>
        <v>0</v>
      </c>
      <c r="E1631" s="14" t="str">
        <f>IFERROR(GIZLI!G1626,"")</f>
        <v/>
      </c>
    </row>
    <row r="1632" spans="2:5" x14ac:dyDescent="0.3">
      <c r="B1632" s="2" t="str">
        <f>MID(TableQR[[#This Row],[QR CODES]],4,13)</f>
        <v/>
      </c>
      <c r="C1632" s="2" t="str">
        <f>IFERROR(VLOOKUP(TableQR[[#This Row],[BARCODES]],ILACLISTE[#All],2,0),"")</f>
        <v/>
      </c>
      <c r="D1632" s="2">
        <f t="shared" si="25"/>
        <v>0</v>
      </c>
      <c r="E1632" s="14" t="str">
        <f>IFERROR(GIZLI!G1627,"")</f>
        <v/>
      </c>
    </row>
    <row r="1633" spans="2:5" x14ac:dyDescent="0.3">
      <c r="B1633" s="2" t="str">
        <f>MID(TableQR[[#This Row],[QR CODES]],4,13)</f>
        <v/>
      </c>
      <c r="C1633" s="2" t="str">
        <f>IFERROR(VLOOKUP(TableQR[[#This Row],[BARCODES]],ILACLISTE[#All],2,0),"")</f>
        <v/>
      </c>
      <c r="D1633" s="2">
        <f t="shared" si="25"/>
        <v>0</v>
      </c>
      <c r="E1633" s="14" t="str">
        <f>IFERROR(GIZLI!G1628,"")</f>
        <v/>
      </c>
    </row>
    <row r="1634" spans="2:5" x14ac:dyDescent="0.3">
      <c r="B1634" s="2" t="str">
        <f>MID(TableQR[[#This Row],[QR CODES]],4,13)</f>
        <v/>
      </c>
      <c r="C1634" s="2" t="str">
        <f>IFERROR(VLOOKUP(TableQR[[#This Row],[BARCODES]],ILACLISTE[#All],2,0),"")</f>
        <v/>
      </c>
      <c r="D1634" s="2">
        <f t="shared" si="25"/>
        <v>0</v>
      </c>
      <c r="E1634" s="14" t="str">
        <f>IFERROR(GIZLI!G1629,"")</f>
        <v/>
      </c>
    </row>
    <row r="1635" spans="2:5" x14ac:dyDescent="0.3">
      <c r="B1635" s="2" t="str">
        <f>MID(TableQR[[#This Row],[QR CODES]],4,13)</f>
        <v/>
      </c>
      <c r="C1635" s="2" t="str">
        <f>IFERROR(VLOOKUP(TableQR[[#This Row],[BARCODES]],ILACLISTE[#All],2,0),"")</f>
        <v/>
      </c>
      <c r="D1635" s="2">
        <f t="shared" si="25"/>
        <v>0</v>
      </c>
      <c r="E1635" s="14" t="str">
        <f>IFERROR(GIZLI!G1630,"")</f>
        <v/>
      </c>
    </row>
    <row r="1636" spans="2:5" x14ac:dyDescent="0.3">
      <c r="B1636" s="2" t="str">
        <f>MID(TableQR[[#This Row],[QR CODES]],4,13)</f>
        <v/>
      </c>
      <c r="C1636" s="2" t="str">
        <f>IFERROR(VLOOKUP(TableQR[[#This Row],[BARCODES]],ILACLISTE[#All],2,0),"")</f>
        <v/>
      </c>
      <c r="D1636" s="2">
        <f t="shared" si="25"/>
        <v>0</v>
      </c>
      <c r="E1636" s="14" t="str">
        <f>IFERROR(GIZLI!G1631,"")</f>
        <v/>
      </c>
    </row>
    <row r="1637" spans="2:5" x14ac:dyDescent="0.3">
      <c r="B1637" s="2" t="str">
        <f>MID(TableQR[[#This Row],[QR CODES]],4,13)</f>
        <v/>
      </c>
      <c r="C1637" s="2" t="str">
        <f>IFERROR(VLOOKUP(TableQR[[#This Row],[BARCODES]],ILACLISTE[#All],2,0),"")</f>
        <v/>
      </c>
      <c r="D1637" s="2">
        <f t="shared" si="25"/>
        <v>0</v>
      </c>
      <c r="E1637" s="14" t="str">
        <f>IFERROR(GIZLI!G1632,"")</f>
        <v/>
      </c>
    </row>
    <row r="1638" spans="2:5" x14ac:dyDescent="0.3">
      <c r="B1638" s="2" t="str">
        <f>MID(TableQR[[#This Row],[QR CODES]],4,13)</f>
        <v/>
      </c>
      <c r="C1638" s="2" t="str">
        <f>IFERROR(VLOOKUP(TableQR[[#This Row],[BARCODES]],ILACLISTE[#All],2,0),"")</f>
        <v/>
      </c>
      <c r="D1638" s="2">
        <f t="shared" si="25"/>
        <v>0</v>
      </c>
      <c r="E1638" s="14" t="str">
        <f>IFERROR(GIZLI!G1633,"")</f>
        <v/>
      </c>
    </row>
    <row r="1639" spans="2:5" x14ac:dyDescent="0.3">
      <c r="B1639" s="2" t="str">
        <f>MID(TableQR[[#This Row],[QR CODES]],4,13)</f>
        <v/>
      </c>
      <c r="C1639" s="2" t="str">
        <f>IFERROR(VLOOKUP(TableQR[[#This Row],[BARCODES]],ILACLISTE[#All],2,0),"")</f>
        <v/>
      </c>
      <c r="D1639" s="2">
        <f t="shared" si="25"/>
        <v>0</v>
      </c>
      <c r="E1639" s="14" t="str">
        <f>IFERROR(GIZLI!G1634,"")</f>
        <v/>
      </c>
    </row>
    <row r="1640" spans="2:5" x14ac:dyDescent="0.3">
      <c r="B1640" s="2" t="str">
        <f>MID(TableQR[[#This Row],[QR CODES]],4,13)</f>
        <v/>
      </c>
      <c r="C1640" s="2" t="str">
        <f>IFERROR(VLOOKUP(TableQR[[#This Row],[BARCODES]],ILACLISTE[#All],2,0),"")</f>
        <v/>
      </c>
      <c r="D1640" s="2">
        <f t="shared" si="25"/>
        <v>0</v>
      </c>
      <c r="E1640" s="14" t="str">
        <f>IFERROR(GIZLI!G1635,"")</f>
        <v/>
      </c>
    </row>
    <row r="1641" spans="2:5" x14ac:dyDescent="0.3">
      <c r="B1641" s="2" t="str">
        <f>MID(TableQR[[#This Row],[QR CODES]],4,13)</f>
        <v/>
      </c>
      <c r="C1641" s="2" t="str">
        <f>IFERROR(VLOOKUP(TableQR[[#This Row],[BARCODES]],ILACLISTE[#All],2,0),"")</f>
        <v/>
      </c>
      <c r="D1641" s="2">
        <f t="shared" si="25"/>
        <v>0</v>
      </c>
      <c r="E1641" s="14" t="str">
        <f>IFERROR(GIZLI!G1636,"")</f>
        <v/>
      </c>
    </row>
    <row r="1642" spans="2:5" x14ac:dyDescent="0.3">
      <c r="B1642" s="2" t="str">
        <f>MID(TableQR[[#This Row],[QR CODES]],4,13)</f>
        <v/>
      </c>
      <c r="C1642" s="2" t="str">
        <f>IFERROR(VLOOKUP(TableQR[[#This Row],[BARCODES]],ILACLISTE[#All],2,0),"")</f>
        <v/>
      </c>
      <c r="D1642" s="2">
        <f t="shared" si="25"/>
        <v>0</v>
      </c>
      <c r="E1642" s="14" t="str">
        <f>IFERROR(GIZLI!G1637,"")</f>
        <v/>
      </c>
    </row>
    <row r="1643" spans="2:5" x14ac:dyDescent="0.3">
      <c r="B1643" s="2" t="str">
        <f>MID(TableQR[[#This Row],[QR CODES]],4,13)</f>
        <v/>
      </c>
      <c r="C1643" s="2" t="str">
        <f>IFERROR(VLOOKUP(TableQR[[#This Row],[BARCODES]],ILACLISTE[#All],2,0),"")</f>
        <v/>
      </c>
      <c r="D1643" s="2">
        <f t="shared" si="25"/>
        <v>0</v>
      </c>
      <c r="E1643" s="14" t="str">
        <f>IFERROR(GIZLI!G1638,"")</f>
        <v/>
      </c>
    </row>
    <row r="1644" spans="2:5" x14ac:dyDescent="0.3">
      <c r="B1644" s="2" t="str">
        <f>MID(TableQR[[#This Row],[QR CODES]],4,13)</f>
        <v/>
      </c>
      <c r="C1644" s="2" t="str">
        <f>IFERROR(VLOOKUP(TableQR[[#This Row],[BARCODES]],ILACLISTE[#All],2,0),"")</f>
        <v/>
      </c>
      <c r="D1644" s="2">
        <f t="shared" si="25"/>
        <v>0</v>
      </c>
      <c r="E1644" s="14" t="str">
        <f>IFERROR(GIZLI!G1639,"")</f>
        <v/>
      </c>
    </row>
    <row r="1645" spans="2:5" x14ac:dyDescent="0.3">
      <c r="B1645" s="2" t="str">
        <f>MID(TableQR[[#This Row],[QR CODES]],4,13)</f>
        <v/>
      </c>
      <c r="C1645" s="2" t="str">
        <f>IFERROR(VLOOKUP(TableQR[[#This Row],[BARCODES]],ILACLISTE[#All],2,0),"")</f>
        <v/>
      </c>
      <c r="D1645" s="2">
        <f t="shared" si="25"/>
        <v>0</v>
      </c>
      <c r="E1645" s="14" t="str">
        <f>IFERROR(GIZLI!G1640,"")</f>
        <v/>
      </c>
    </row>
    <row r="1646" spans="2:5" x14ac:dyDescent="0.3">
      <c r="B1646" s="2" t="str">
        <f>MID(TableQR[[#This Row],[QR CODES]],4,13)</f>
        <v/>
      </c>
      <c r="C1646" s="2" t="str">
        <f>IFERROR(VLOOKUP(TableQR[[#This Row],[BARCODES]],ILACLISTE[#All],2,0),"")</f>
        <v/>
      </c>
      <c r="D1646" s="2">
        <f t="shared" si="25"/>
        <v>0</v>
      </c>
      <c r="E1646" s="14" t="str">
        <f>IFERROR(GIZLI!G1641,"")</f>
        <v/>
      </c>
    </row>
    <row r="1647" spans="2:5" x14ac:dyDescent="0.3">
      <c r="B1647" s="2" t="str">
        <f>MID(TableQR[[#This Row],[QR CODES]],4,13)</f>
        <v/>
      </c>
      <c r="C1647" s="2" t="str">
        <f>IFERROR(VLOOKUP(TableQR[[#This Row],[BARCODES]],ILACLISTE[#All],2,0),"")</f>
        <v/>
      </c>
      <c r="D1647" s="2">
        <f t="shared" si="25"/>
        <v>0</v>
      </c>
      <c r="E1647" s="14" t="str">
        <f>IFERROR(GIZLI!G1642,"")</f>
        <v/>
      </c>
    </row>
    <row r="1648" spans="2:5" x14ac:dyDescent="0.3">
      <c r="B1648" s="2" t="str">
        <f>MID(TableQR[[#This Row],[QR CODES]],4,13)</f>
        <v/>
      </c>
      <c r="C1648" s="2" t="str">
        <f>IFERROR(VLOOKUP(TableQR[[#This Row],[BARCODES]],ILACLISTE[#All],2,0),"")</f>
        <v/>
      </c>
      <c r="D1648" s="2">
        <f t="shared" si="25"/>
        <v>0</v>
      </c>
      <c r="E1648" s="14" t="str">
        <f>IFERROR(GIZLI!G1643,"")</f>
        <v/>
      </c>
    </row>
    <row r="1649" spans="2:5" x14ac:dyDescent="0.3">
      <c r="B1649" s="2" t="str">
        <f>MID(TableQR[[#This Row],[QR CODES]],4,13)</f>
        <v/>
      </c>
      <c r="C1649" s="2" t="str">
        <f>IFERROR(VLOOKUP(TableQR[[#This Row],[BARCODES]],ILACLISTE[#All],2,0),"")</f>
        <v/>
      </c>
      <c r="D1649" s="2">
        <f t="shared" si="25"/>
        <v>0</v>
      </c>
      <c r="E1649" s="14" t="str">
        <f>IFERROR(GIZLI!G1644,"")</f>
        <v/>
      </c>
    </row>
    <row r="1650" spans="2:5" x14ac:dyDescent="0.3">
      <c r="B1650" s="2" t="str">
        <f>MID(TableQR[[#This Row],[QR CODES]],4,13)</f>
        <v/>
      </c>
      <c r="C1650" s="2" t="str">
        <f>IFERROR(VLOOKUP(TableQR[[#This Row],[BARCODES]],ILACLISTE[#All],2,0),"")</f>
        <v/>
      </c>
      <c r="D1650" s="2">
        <f t="shared" si="25"/>
        <v>0</v>
      </c>
      <c r="E1650" s="14" t="str">
        <f>IFERROR(GIZLI!G1645,"")</f>
        <v/>
      </c>
    </row>
    <row r="1651" spans="2:5" x14ac:dyDescent="0.3">
      <c r="B1651" s="2" t="str">
        <f>MID(TableQR[[#This Row],[QR CODES]],4,13)</f>
        <v/>
      </c>
      <c r="C1651" s="2" t="str">
        <f>IFERROR(VLOOKUP(TableQR[[#This Row],[BARCODES]],ILACLISTE[#All],2,0),"")</f>
        <v/>
      </c>
      <c r="D1651" s="2">
        <f t="shared" si="25"/>
        <v>0</v>
      </c>
      <c r="E1651" s="14" t="str">
        <f>IFERROR(GIZLI!G1646,"")</f>
        <v/>
      </c>
    </row>
    <row r="1652" spans="2:5" x14ac:dyDescent="0.3">
      <c r="B1652" s="2" t="str">
        <f>MID(TableQR[[#This Row],[QR CODES]],4,13)</f>
        <v/>
      </c>
      <c r="C1652" s="2" t="str">
        <f>IFERROR(VLOOKUP(TableQR[[#This Row],[BARCODES]],ILACLISTE[#All],2,0),"")</f>
        <v/>
      </c>
      <c r="D1652" s="2">
        <f t="shared" si="25"/>
        <v>0</v>
      </c>
      <c r="E1652" s="14" t="str">
        <f>IFERROR(GIZLI!G1647,"")</f>
        <v/>
      </c>
    </row>
    <row r="1653" spans="2:5" x14ac:dyDescent="0.3">
      <c r="B1653" s="2" t="str">
        <f>MID(TableQR[[#This Row],[QR CODES]],4,13)</f>
        <v/>
      </c>
      <c r="C1653" s="2" t="str">
        <f>IFERROR(VLOOKUP(TableQR[[#This Row],[BARCODES]],ILACLISTE[#All],2,0),"")</f>
        <v/>
      </c>
      <c r="D1653" s="2">
        <f t="shared" si="25"/>
        <v>0</v>
      </c>
      <c r="E1653" s="14" t="str">
        <f>IFERROR(GIZLI!G1648,"")</f>
        <v/>
      </c>
    </row>
    <row r="1654" spans="2:5" x14ac:dyDescent="0.3">
      <c r="B1654" s="2" t="str">
        <f>MID(TableQR[[#This Row],[QR CODES]],4,13)</f>
        <v/>
      </c>
      <c r="C1654" s="2" t="str">
        <f>IFERROR(VLOOKUP(TableQR[[#This Row],[BARCODES]],ILACLISTE[#All],2,0),"")</f>
        <v/>
      </c>
      <c r="D1654" s="2">
        <f t="shared" si="25"/>
        <v>0</v>
      </c>
      <c r="E1654" s="14" t="str">
        <f>IFERROR(GIZLI!G1649,"")</f>
        <v/>
      </c>
    </row>
    <row r="1655" spans="2:5" x14ac:dyDescent="0.3">
      <c r="B1655" s="2" t="str">
        <f>MID(TableQR[[#This Row],[QR CODES]],4,13)</f>
        <v/>
      </c>
      <c r="C1655" s="2" t="str">
        <f>IFERROR(VLOOKUP(TableQR[[#This Row],[BARCODES]],ILACLISTE[#All],2,0),"")</f>
        <v/>
      </c>
      <c r="D1655" s="2">
        <f t="shared" si="25"/>
        <v>0</v>
      </c>
      <c r="E1655" s="14" t="str">
        <f>IFERROR(GIZLI!G1650,"")</f>
        <v/>
      </c>
    </row>
    <row r="1656" spans="2:5" x14ac:dyDescent="0.3">
      <c r="B1656" s="2" t="str">
        <f>MID(TableQR[[#This Row],[QR CODES]],4,13)</f>
        <v/>
      </c>
      <c r="C1656" s="2" t="str">
        <f>IFERROR(VLOOKUP(TableQR[[#This Row],[BARCODES]],ILACLISTE[#All],2,0),"")</f>
        <v/>
      </c>
      <c r="D1656" s="2">
        <f t="shared" si="25"/>
        <v>0</v>
      </c>
      <c r="E1656" s="14" t="str">
        <f>IFERROR(GIZLI!G1651,"")</f>
        <v/>
      </c>
    </row>
    <row r="1657" spans="2:5" x14ac:dyDescent="0.3">
      <c r="B1657" s="2" t="str">
        <f>MID(TableQR[[#This Row],[QR CODES]],4,13)</f>
        <v/>
      </c>
      <c r="C1657" s="2" t="str">
        <f>IFERROR(VLOOKUP(TableQR[[#This Row],[BARCODES]],ILACLISTE[#All],2,0),"")</f>
        <v/>
      </c>
      <c r="D1657" s="2">
        <f t="shared" si="25"/>
        <v>0</v>
      </c>
      <c r="E1657" s="14" t="str">
        <f>IFERROR(GIZLI!G1652,"")</f>
        <v/>
      </c>
    </row>
    <row r="1658" spans="2:5" x14ac:dyDescent="0.3">
      <c r="B1658" s="2" t="str">
        <f>MID(TableQR[[#This Row],[QR CODES]],4,13)</f>
        <v/>
      </c>
      <c r="C1658" s="2" t="str">
        <f>IFERROR(VLOOKUP(TableQR[[#This Row],[BARCODES]],ILACLISTE[#All],2,0),"")</f>
        <v/>
      </c>
      <c r="D1658" s="2">
        <f t="shared" si="25"/>
        <v>0</v>
      </c>
      <c r="E1658" s="14" t="str">
        <f>IFERROR(GIZLI!G1653,"")</f>
        <v/>
      </c>
    </row>
    <row r="1659" spans="2:5" x14ac:dyDescent="0.3">
      <c r="B1659" s="2" t="str">
        <f>MID(TableQR[[#This Row],[QR CODES]],4,13)</f>
        <v/>
      </c>
      <c r="C1659" s="2" t="str">
        <f>IFERROR(VLOOKUP(TableQR[[#This Row],[BARCODES]],ILACLISTE[#All],2,0),"")</f>
        <v/>
      </c>
      <c r="D1659" s="2">
        <f t="shared" si="25"/>
        <v>0</v>
      </c>
      <c r="E1659" s="14" t="str">
        <f>IFERROR(GIZLI!G1654,"")</f>
        <v/>
      </c>
    </row>
    <row r="1660" spans="2:5" x14ac:dyDescent="0.3">
      <c r="B1660" s="2" t="str">
        <f>MID(TableQR[[#This Row],[QR CODES]],4,13)</f>
        <v/>
      </c>
      <c r="C1660" s="2" t="str">
        <f>IFERROR(VLOOKUP(TableQR[[#This Row],[BARCODES]],ILACLISTE[#All],2,0),"")</f>
        <v/>
      </c>
      <c r="D1660" s="2">
        <f t="shared" si="25"/>
        <v>0</v>
      </c>
      <c r="E1660" s="14" t="str">
        <f>IFERROR(GIZLI!G1655,"")</f>
        <v/>
      </c>
    </row>
    <row r="1661" spans="2:5" x14ac:dyDescent="0.3">
      <c r="B1661" s="2" t="str">
        <f>MID(TableQR[[#This Row],[QR CODES]],4,13)</f>
        <v/>
      </c>
      <c r="C1661" s="2" t="str">
        <f>IFERROR(VLOOKUP(TableQR[[#This Row],[BARCODES]],ILACLISTE[#All],2,0),"")</f>
        <v/>
      </c>
      <c r="D1661" s="2">
        <f t="shared" si="25"/>
        <v>0</v>
      </c>
      <c r="E1661" s="14" t="str">
        <f>IFERROR(GIZLI!G1656,"")</f>
        <v/>
      </c>
    </row>
    <row r="1662" spans="2:5" x14ac:dyDescent="0.3">
      <c r="B1662" s="2" t="str">
        <f>MID(TableQR[[#This Row],[QR CODES]],4,13)</f>
        <v/>
      </c>
      <c r="C1662" s="2" t="str">
        <f>IFERROR(VLOOKUP(TableQR[[#This Row],[BARCODES]],ILACLISTE[#All],2,0),"")</f>
        <v/>
      </c>
      <c r="D1662" s="2">
        <f t="shared" si="25"/>
        <v>0</v>
      </c>
      <c r="E1662" s="14" t="str">
        <f>IFERROR(GIZLI!G1657,"")</f>
        <v/>
      </c>
    </row>
    <row r="1663" spans="2:5" x14ac:dyDescent="0.3">
      <c r="B1663" s="2" t="str">
        <f>MID(TableQR[[#This Row],[QR CODES]],4,13)</f>
        <v/>
      </c>
      <c r="C1663" s="2" t="str">
        <f>IFERROR(VLOOKUP(TableQR[[#This Row],[BARCODES]],ILACLISTE[#All],2,0),"")</f>
        <v/>
      </c>
      <c r="D1663" s="2">
        <f t="shared" si="25"/>
        <v>0</v>
      </c>
      <c r="E1663" s="14" t="str">
        <f>IFERROR(GIZLI!G1658,"")</f>
        <v/>
      </c>
    </row>
    <row r="1664" spans="2:5" x14ac:dyDescent="0.3">
      <c r="B1664" s="2" t="str">
        <f>MID(TableQR[[#This Row],[QR CODES]],4,13)</f>
        <v/>
      </c>
      <c r="C1664" s="2" t="str">
        <f>IFERROR(VLOOKUP(TableQR[[#This Row],[BARCODES]],ILACLISTE[#All],2,0),"")</f>
        <v/>
      </c>
      <c r="D1664" s="2">
        <f t="shared" si="25"/>
        <v>0</v>
      </c>
      <c r="E1664" s="14" t="str">
        <f>IFERROR(GIZLI!G1659,"")</f>
        <v/>
      </c>
    </row>
    <row r="1665" spans="2:5" x14ac:dyDescent="0.3">
      <c r="B1665" s="2" t="str">
        <f>MID(TableQR[[#This Row],[QR CODES]],4,13)</f>
        <v/>
      </c>
      <c r="C1665" s="2" t="str">
        <f>IFERROR(VLOOKUP(TableQR[[#This Row],[BARCODES]],ILACLISTE[#All],2,0),"")</f>
        <v/>
      </c>
      <c r="D1665" s="2">
        <f t="shared" si="25"/>
        <v>0</v>
      </c>
      <c r="E1665" s="14" t="str">
        <f>IFERROR(GIZLI!G1660,"")</f>
        <v/>
      </c>
    </row>
    <row r="1666" spans="2:5" x14ac:dyDescent="0.3">
      <c r="B1666" s="2" t="str">
        <f>MID(TableQR[[#This Row],[QR CODES]],4,13)</f>
        <v/>
      </c>
      <c r="C1666" s="2" t="str">
        <f>IFERROR(VLOOKUP(TableQR[[#This Row],[BARCODES]],ILACLISTE[#All],2,0),"")</f>
        <v/>
      </c>
      <c r="D1666" s="2">
        <f t="shared" si="25"/>
        <v>0</v>
      </c>
      <c r="E1666" s="14" t="str">
        <f>IFERROR(GIZLI!G1661,"")</f>
        <v/>
      </c>
    </row>
    <row r="1667" spans="2:5" x14ac:dyDescent="0.3">
      <c r="B1667" s="2" t="str">
        <f>MID(TableQR[[#This Row],[QR CODES]],4,13)</f>
        <v/>
      </c>
      <c r="C1667" s="2" t="str">
        <f>IFERROR(VLOOKUP(TableQR[[#This Row],[BARCODES]],ILACLISTE[#All],2,0),"")</f>
        <v/>
      </c>
      <c r="D1667" s="2">
        <f t="shared" si="25"/>
        <v>0</v>
      </c>
      <c r="E1667" s="14" t="str">
        <f>IFERROR(GIZLI!G1662,"")</f>
        <v/>
      </c>
    </row>
    <row r="1668" spans="2:5" x14ac:dyDescent="0.3">
      <c r="B1668" s="2" t="str">
        <f>MID(TableQR[[#This Row],[QR CODES]],4,13)</f>
        <v/>
      </c>
      <c r="C1668" s="2" t="str">
        <f>IFERROR(VLOOKUP(TableQR[[#This Row],[BARCODES]],ILACLISTE[#All],2,0),"")</f>
        <v/>
      </c>
      <c r="D1668" s="2">
        <f t="shared" si="25"/>
        <v>0</v>
      </c>
      <c r="E1668" s="14" t="str">
        <f>IFERROR(GIZLI!G1663,"")</f>
        <v/>
      </c>
    </row>
    <row r="1669" spans="2:5" x14ac:dyDescent="0.3">
      <c r="B1669" s="2" t="str">
        <f>MID(TableQR[[#This Row],[QR CODES]],4,13)</f>
        <v/>
      </c>
      <c r="C1669" s="2" t="str">
        <f>IFERROR(VLOOKUP(TableQR[[#This Row],[BARCODES]],ILACLISTE[#All],2,0),"")</f>
        <v/>
      </c>
      <c r="D1669" s="2">
        <f t="shared" si="25"/>
        <v>0</v>
      </c>
      <c r="E1669" s="14" t="str">
        <f>IFERROR(GIZLI!G1664,"")</f>
        <v/>
      </c>
    </row>
    <row r="1670" spans="2:5" x14ac:dyDescent="0.3">
      <c r="B1670" s="2" t="str">
        <f>MID(TableQR[[#This Row],[QR CODES]],4,13)</f>
        <v/>
      </c>
      <c r="C1670" s="2" t="str">
        <f>IFERROR(VLOOKUP(TableQR[[#This Row],[BARCODES]],ILACLISTE[#All],2,0),"")</f>
        <v/>
      </c>
      <c r="D1670" s="2">
        <f t="shared" si="25"/>
        <v>0</v>
      </c>
      <c r="E1670" s="14" t="str">
        <f>IFERROR(GIZLI!G1665,"")</f>
        <v/>
      </c>
    </row>
    <row r="1671" spans="2:5" x14ac:dyDescent="0.3">
      <c r="B1671" s="2" t="str">
        <f>MID(TableQR[[#This Row],[QR CODES]],4,13)</f>
        <v/>
      </c>
      <c r="C1671" s="2" t="str">
        <f>IFERROR(VLOOKUP(TableQR[[#This Row],[BARCODES]],ILACLISTE[#All],2,0),"")</f>
        <v/>
      </c>
      <c r="D1671" s="2">
        <f t="shared" si="25"/>
        <v>0</v>
      </c>
      <c r="E1671" s="14" t="str">
        <f>IFERROR(GIZLI!G1666,"")</f>
        <v/>
      </c>
    </row>
    <row r="1672" spans="2:5" x14ac:dyDescent="0.3">
      <c r="B1672" s="2" t="str">
        <f>MID(TableQR[[#This Row],[QR CODES]],4,13)</f>
        <v/>
      </c>
      <c r="C1672" s="2" t="str">
        <f>IFERROR(VLOOKUP(TableQR[[#This Row],[BARCODES]],ILACLISTE[#All],2,0),"")</f>
        <v/>
      </c>
      <c r="D1672" s="2">
        <f t="shared" ref="D1672:D1735" si="26">COUNTIF(B1672:B5665,IF(B1672="",66666,B1672))</f>
        <v>0</v>
      </c>
      <c r="E1672" s="14" t="str">
        <f>IFERROR(GIZLI!G1667,"")</f>
        <v/>
      </c>
    </row>
    <row r="1673" spans="2:5" x14ac:dyDescent="0.3">
      <c r="B1673" s="2" t="str">
        <f>MID(TableQR[[#This Row],[QR CODES]],4,13)</f>
        <v/>
      </c>
      <c r="C1673" s="2" t="str">
        <f>IFERROR(VLOOKUP(TableQR[[#This Row],[BARCODES]],ILACLISTE[#All],2,0),"")</f>
        <v/>
      </c>
      <c r="D1673" s="2">
        <f t="shared" si="26"/>
        <v>0</v>
      </c>
      <c r="E1673" s="14" t="str">
        <f>IFERROR(GIZLI!G1668,"")</f>
        <v/>
      </c>
    </row>
    <row r="1674" spans="2:5" x14ac:dyDescent="0.3">
      <c r="B1674" s="2" t="str">
        <f>MID(TableQR[[#This Row],[QR CODES]],4,13)</f>
        <v/>
      </c>
      <c r="C1674" s="2" t="str">
        <f>IFERROR(VLOOKUP(TableQR[[#This Row],[BARCODES]],ILACLISTE[#All],2,0),"")</f>
        <v/>
      </c>
      <c r="D1674" s="2">
        <f t="shared" si="26"/>
        <v>0</v>
      </c>
      <c r="E1674" s="14" t="str">
        <f>IFERROR(GIZLI!G1669,"")</f>
        <v/>
      </c>
    </row>
    <row r="1675" spans="2:5" x14ac:dyDescent="0.3">
      <c r="B1675" s="2" t="str">
        <f>MID(TableQR[[#This Row],[QR CODES]],4,13)</f>
        <v/>
      </c>
      <c r="C1675" s="2" t="str">
        <f>IFERROR(VLOOKUP(TableQR[[#This Row],[BARCODES]],ILACLISTE[#All],2,0),"")</f>
        <v/>
      </c>
      <c r="D1675" s="2">
        <f t="shared" si="26"/>
        <v>0</v>
      </c>
      <c r="E1675" s="14" t="str">
        <f>IFERROR(GIZLI!G1670,"")</f>
        <v/>
      </c>
    </row>
    <row r="1676" spans="2:5" x14ac:dyDescent="0.3">
      <c r="B1676" s="2" t="str">
        <f>MID(TableQR[[#This Row],[QR CODES]],4,13)</f>
        <v/>
      </c>
      <c r="C1676" s="2" t="str">
        <f>IFERROR(VLOOKUP(TableQR[[#This Row],[BARCODES]],ILACLISTE[#All],2,0),"")</f>
        <v/>
      </c>
      <c r="D1676" s="2">
        <f t="shared" si="26"/>
        <v>0</v>
      </c>
      <c r="E1676" s="14" t="str">
        <f>IFERROR(GIZLI!G1671,"")</f>
        <v/>
      </c>
    </row>
    <row r="1677" spans="2:5" x14ac:dyDescent="0.3">
      <c r="B1677" s="2" t="str">
        <f>MID(TableQR[[#This Row],[QR CODES]],4,13)</f>
        <v/>
      </c>
      <c r="C1677" s="2" t="str">
        <f>IFERROR(VLOOKUP(TableQR[[#This Row],[BARCODES]],ILACLISTE[#All],2,0),"")</f>
        <v/>
      </c>
      <c r="D1677" s="2">
        <f t="shared" si="26"/>
        <v>0</v>
      </c>
      <c r="E1677" s="14" t="str">
        <f>IFERROR(GIZLI!G1672,"")</f>
        <v/>
      </c>
    </row>
    <row r="1678" spans="2:5" x14ac:dyDescent="0.3">
      <c r="B1678" s="2" t="str">
        <f>MID(TableQR[[#This Row],[QR CODES]],4,13)</f>
        <v/>
      </c>
      <c r="C1678" s="2" t="str">
        <f>IFERROR(VLOOKUP(TableQR[[#This Row],[BARCODES]],ILACLISTE[#All],2,0),"")</f>
        <v/>
      </c>
      <c r="D1678" s="2">
        <f t="shared" si="26"/>
        <v>0</v>
      </c>
      <c r="E1678" s="14" t="str">
        <f>IFERROR(GIZLI!G1673,"")</f>
        <v/>
      </c>
    </row>
    <row r="1679" spans="2:5" x14ac:dyDescent="0.3">
      <c r="B1679" s="2" t="str">
        <f>MID(TableQR[[#This Row],[QR CODES]],4,13)</f>
        <v/>
      </c>
      <c r="C1679" s="2" t="str">
        <f>IFERROR(VLOOKUP(TableQR[[#This Row],[BARCODES]],ILACLISTE[#All],2,0),"")</f>
        <v/>
      </c>
      <c r="D1679" s="2">
        <f t="shared" si="26"/>
        <v>0</v>
      </c>
      <c r="E1679" s="14" t="str">
        <f>IFERROR(GIZLI!G1674,"")</f>
        <v/>
      </c>
    </row>
    <row r="1680" spans="2:5" x14ac:dyDescent="0.3">
      <c r="B1680" s="2" t="str">
        <f>MID(TableQR[[#This Row],[QR CODES]],4,13)</f>
        <v/>
      </c>
      <c r="C1680" s="2" t="str">
        <f>IFERROR(VLOOKUP(TableQR[[#This Row],[BARCODES]],ILACLISTE[#All],2,0),"")</f>
        <v/>
      </c>
      <c r="D1680" s="2">
        <f t="shared" si="26"/>
        <v>0</v>
      </c>
      <c r="E1680" s="14" t="str">
        <f>IFERROR(GIZLI!G1675,"")</f>
        <v/>
      </c>
    </row>
    <row r="1681" spans="2:5" x14ac:dyDescent="0.3">
      <c r="B1681" s="2" t="str">
        <f>MID(TableQR[[#This Row],[QR CODES]],4,13)</f>
        <v/>
      </c>
      <c r="C1681" s="2" t="str">
        <f>IFERROR(VLOOKUP(TableQR[[#This Row],[BARCODES]],ILACLISTE[#All],2,0),"")</f>
        <v/>
      </c>
      <c r="D1681" s="2">
        <f t="shared" si="26"/>
        <v>0</v>
      </c>
      <c r="E1681" s="14" t="str">
        <f>IFERROR(GIZLI!G1676,"")</f>
        <v/>
      </c>
    </row>
    <row r="1682" spans="2:5" x14ac:dyDescent="0.3">
      <c r="B1682" s="2" t="str">
        <f>MID(TableQR[[#This Row],[QR CODES]],4,13)</f>
        <v/>
      </c>
      <c r="C1682" s="2" t="str">
        <f>IFERROR(VLOOKUP(TableQR[[#This Row],[BARCODES]],ILACLISTE[#All],2,0),"")</f>
        <v/>
      </c>
      <c r="D1682" s="2">
        <f t="shared" si="26"/>
        <v>0</v>
      </c>
      <c r="E1682" s="14" t="str">
        <f>IFERROR(GIZLI!G1677,"")</f>
        <v/>
      </c>
    </row>
    <row r="1683" spans="2:5" x14ac:dyDescent="0.3">
      <c r="B1683" s="2" t="str">
        <f>MID(TableQR[[#This Row],[QR CODES]],4,13)</f>
        <v/>
      </c>
      <c r="C1683" s="2" t="str">
        <f>IFERROR(VLOOKUP(TableQR[[#This Row],[BARCODES]],ILACLISTE[#All],2,0),"")</f>
        <v/>
      </c>
      <c r="D1683" s="2">
        <f t="shared" si="26"/>
        <v>0</v>
      </c>
      <c r="E1683" s="14" t="str">
        <f>IFERROR(GIZLI!G1678,"")</f>
        <v/>
      </c>
    </row>
    <row r="1684" spans="2:5" x14ac:dyDescent="0.3">
      <c r="B1684" s="2" t="str">
        <f>MID(TableQR[[#This Row],[QR CODES]],4,13)</f>
        <v/>
      </c>
      <c r="C1684" s="2" t="str">
        <f>IFERROR(VLOOKUP(TableQR[[#This Row],[BARCODES]],ILACLISTE[#All],2,0),"")</f>
        <v/>
      </c>
      <c r="D1684" s="2">
        <f t="shared" si="26"/>
        <v>0</v>
      </c>
      <c r="E1684" s="14" t="str">
        <f>IFERROR(GIZLI!G1679,"")</f>
        <v/>
      </c>
    </row>
    <row r="1685" spans="2:5" x14ac:dyDescent="0.3">
      <c r="B1685" s="2" t="str">
        <f>MID(TableQR[[#This Row],[QR CODES]],4,13)</f>
        <v/>
      </c>
      <c r="C1685" s="2" t="str">
        <f>IFERROR(VLOOKUP(TableQR[[#This Row],[BARCODES]],ILACLISTE[#All],2,0),"")</f>
        <v/>
      </c>
      <c r="D1685" s="2">
        <f t="shared" si="26"/>
        <v>0</v>
      </c>
      <c r="E1685" s="14" t="str">
        <f>IFERROR(GIZLI!G1680,"")</f>
        <v/>
      </c>
    </row>
    <row r="1686" spans="2:5" x14ac:dyDescent="0.3">
      <c r="B1686" s="2" t="str">
        <f>MID(TableQR[[#This Row],[QR CODES]],4,13)</f>
        <v/>
      </c>
      <c r="C1686" s="2" t="str">
        <f>IFERROR(VLOOKUP(TableQR[[#This Row],[BARCODES]],ILACLISTE[#All],2,0),"")</f>
        <v/>
      </c>
      <c r="D1686" s="2">
        <f t="shared" si="26"/>
        <v>0</v>
      </c>
      <c r="E1686" s="14" t="str">
        <f>IFERROR(GIZLI!G1681,"")</f>
        <v/>
      </c>
    </row>
    <row r="1687" spans="2:5" x14ac:dyDescent="0.3">
      <c r="B1687" s="2" t="str">
        <f>MID(TableQR[[#This Row],[QR CODES]],4,13)</f>
        <v/>
      </c>
      <c r="C1687" s="2" t="str">
        <f>IFERROR(VLOOKUP(TableQR[[#This Row],[BARCODES]],ILACLISTE[#All],2,0),"")</f>
        <v/>
      </c>
      <c r="D1687" s="2">
        <f t="shared" si="26"/>
        <v>0</v>
      </c>
      <c r="E1687" s="14" t="str">
        <f>IFERROR(GIZLI!G1682,"")</f>
        <v/>
      </c>
    </row>
    <row r="1688" spans="2:5" x14ac:dyDescent="0.3">
      <c r="B1688" s="2" t="str">
        <f>MID(TableQR[[#This Row],[QR CODES]],4,13)</f>
        <v/>
      </c>
      <c r="C1688" s="2" t="str">
        <f>IFERROR(VLOOKUP(TableQR[[#This Row],[BARCODES]],ILACLISTE[#All],2,0),"")</f>
        <v/>
      </c>
      <c r="D1688" s="2">
        <f t="shared" si="26"/>
        <v>0</v>
      </c>
      <c r="E1688" s="14" t="str">
        <f>IFERROR(GIZLI!G1683,"")</f>
        <v/>
      </c>
    </row>
    <row r="1689" spans="2:5" x14ac:dyDescent="0.3">
      <c r="B1689" s="2" t="str">
        <f>MID(TableQR[[#This Row],[QR CODES]],4,13)</f>
        <v/>
      </c>
      <c r="C1689" s="2" t="str">
        <f>IFERROR(VLOOKUP(TableQR[[#This Row],[BARCODES]],ILACLISTE[#All],2,0),"")</f>
        <v/>
      </c>
      <c r="D1689" s="2">
        <f t="shared" si="26"/>
        <v>0</v>
      </c>
      <c r="E1689" s="14" t="str">
        <f>IFERROR(GIZLI!G1684,"")</f>
        <v/>
      </c>
    </row>
    <row r="1690" spans="2:5" x14ac:dyDescent="0.3">
      <c r="B1690" s="2" t="str">
        <f>MID(TableQR[[#This Row],[QR CODES]],4,13)</f>
        <v/>
      </c>
      <c r="C1690" s="2" t="str">
        <f>IFERROR(VLOOKUP(TableQR[[#This Row],[BARCODES]],ILACLISTE[#All],2,0),"")</f>
        <v/>
      </c>
      <c r="D1690" s="2">
        <f t="shared" si="26"/>
        <v>0</v>
      </c>
      <c r="E1690" s="14" t="str">
        <f>IFERROR(GIZLI!G1685,"")</f>
        <v/>
      </c>
    </row>
    <row r="1691" spans="2:5" x14ac:dyDescent="0.3">
      <c r="B1691" s="2" t="str">
        <f>MID(TableQR[[#This Row],[QR CODES]],4,13)</f>
        <v/>
      </c>
      <c r="C1691" s="2" t="str">
        <f>IFERROR(VLOOKUP(TableQR[[#This Row],[BARCODES]],ILACLISTE[#All],2,0),"")</f>
        <v/>
      </c>
      <c r="D1691" s="2">
        <f t="shared" si="26"/>
        <v>0</v>
      </c>
      <c r="E1691" s="14" t="str">
        <f>IFERROR(GIZLI!G1686,"")</f>
        <v/>
      </c>
    </row>
    <row r="1692" spans="2:5" x14ac:dyDescent="0.3">
      <c r="B1692" s="2" t="str">
        <f>MID(TableQR[[#This Row],[QR CODES]],4,13)</f>
        <v/>
      </c>
      <c r="C1692" s="2" t="str">
        <f>IFERROR(VLOOKUP(TableQR[[#This Row],[BARCODES]],ILACLISTE[#All],2,0),"")</f>
        <v/>
      </c>
      <c r="D1692" s="2">
        <f t="shared" si="26"/>
        <v>0</v>
      </c>
      <c r="E1692" s="14" t="str">
        <f>IFERROR(GIZLI!G1687,"")</f>
        <v/>
      </c>
    </row>
    <row r="1693" spans="2:5" x14ac:dyDescent="0.3">
      <c r="B1693" s="2" t="str">
        <f>MID(TableQR[[#This Row],[QR CODES]],4,13)</f>
        <v/>
      </c>
      <c r="C1693" s="2" t="str">
        <f>IFERROR(VLOOKUP(TableQR[[#This Row],[BARCODES]],ILACLISTE[#All],2,0),"")</f>
        <v/>
      </c>
      <c r="D1693" s="2">
        <f t="shared" si="26"/>
        <v>0</v>
      </c>
      <c r="E1693" s="14" t="str">
        <f>IFERROR(GIZLI!G1688,"")</f>
        <v/>
      </c>
    </row>
    <row r="1694" spans="2:5" x14ac:dyDescent="0.3">
      <c r="B1694" s="2" t="str">
        <f>MID(TableQR[[#This Row],[QR CODES]],4,13)</f>
        <v/>
      </c>
      <c r="C1694" s="2" t="str">
        <f>IFERROR(VLOOKUP(TableQR[[#This Row],[BARCODES]],ILACLISTE[#All],2,0),"")</f>
        <v/>
      </c>
      <c r="D1694" s="2">
        <f t="shared" si="26"/>
        <v>0</v>
      </c>
      <c r="E1694" s="14" t="str">
        <f>IFERROR(GIZLI!G1689,"")</f>
        <v/>
      </c>
    </row>
    <row r="1695" spans="2:5" x14ac:dyDescent="0.3">
      <c r="B1695" s="2" t="str">
        <f>MID(TableQR[[#This Row],[QR CODES]],4,13)</f>
        <v/>
      </c>
      <c r="C1695" s="2" t="str">
        <f>IFERROR(VLOOKUP(TableQR[[#This Row],[BARCODES]],ILACLISTE[#All],2,0),"")</f>
        <v/>
      </c>
      <c r="D1695" s="2">
        <f t="shared" si="26"/>
        <v>0</v>
      </c>
      <c r="E1695" s="14" t="str">
        <f>IFERROR(GIZLI!G1690,"")</f>
        <v/>
      </c>
    </row>
    <row r="1696" spans="2:5" x14ac:dyDescent="0.3">
      <c r="B1696" s="2" t="str">
        <f>MID(TableQR[[#This Row],[QR CODES]],4,13)</f>
        <v/>
      </c>
      <c r="C1696" s="2" t="str">
        <f>IFERROR(VLOOKUP(TableQR[[#This Row],[BARCODES]],ILACLISTE[#All],2,0),"")</f>
        <v/>
      </c>
      <c r="D1696" s="2">
        <f t="shared" si="26"/>
        <v>0</v>
      </c>
      <c r="E1696" s="14" t="str">
        <f>IFERROR(GIZLI!G1691,"")</f>
        <v/>
      </c>
    </row>
    <row r="1697" spans="2:5" x14ac:dyDescent="0.3">
      <c r="B1697" s="2" t="str">
        <f>MID(TableQR[[#This Row],[QR CODES]],4,13)</f>
        <v/>
      </c>
      <c r="C1697" s="2" t="str">
        <f>IFERROR(VLOOKUP(TableQR[[#This Row],[BARCODES]],ILACLISTE[#All],2,0),"")</f>
        <v/>
      </c>
      <c r="D1697" s="2">
        <f t="shared" si="26"/>
        <v>0</v>
      </c>
      <c r="E1697" s="14" t="str">
        <f>IFERROR(GIZLI!G1692,"")</f>
        <v/>
      </c>
    </row>
    <row r="1698" spans="2:5" x14ac:dyDescent="0.3">
      <c r="B1698" s="2" t="str">
        <f>MID(TableQR[[#This Row],[QR CODES]],4,13)</f>
        <v/>
      </c>
      <c r="C1698" s="2" t="str">
        <f>IFERROR(VLOOKUP(TableQR[[#This Row],[BARCODES]],ILACLISTE[#All],2,0),"")</f>
        <v/>
      </c>
      <c r="D1698" s="2">
        <f t="shared" si="26"/>
        <v>0</v>
      </c>
      <c r="E1698" s="14" t="str">
        <f>IFERROR(GIZLI!G1693,"")</f>
        <v/>
      </c>
    </row>
    <row r="1699" spans="2:5" x14ac:dyDescent="0.3">
      <c r="B1699" s="2" t="str">
        <f>MID(TableQR[[#This Row],[QR CODES]],4,13)</f>
        <v/>
      </c>
      <c r="C1699" s="2" t="str">
        <f>IFERROR(VLOOKUP(TableQR[[#This Row],[BARCODES]],ILACLISTE[#All],2,0),"")</f>
        <v/>
      </c>
      <c r="D1699" s="2">
        <f t="shared" si="26"/>
        <v>0</v>
      </c>
      <c r="E1699" s="14" t="str">
        <f>IFERROR(GIZLI!G1694,"")</f>
        <v/>
      </c>
    </row>
    <row r="1700" spans="2:5" x14ac:dyDescent="0.3">
      <c r="B1700" s="2" t="str">
        <f>MID(TableQR[[#This Row],[QR CODES]],4,13)</f>
        <v/>
      </c>
      <c r="C1700" s="2" t="str">
        <f>IFERROR(VLOOKUP(TableQR[[#This Row],[BARCODES]],ILACLISTE[#All],2,0),"")</f>
        <v/>
      </c>
      <c r="D1700" s="2">
        <f t="shared" si="26"/>
        <v>0</v>
      </c>
      <c r="E1700" s="14" t="str">
        <f>IFERROR(GIZLI!G1695,"")</f>
        <v/>
      </c>
    </row>
    <row r="1701" spans="2:5" x14ac:dyDescent="0.3">
      <c r="B1701" s="2" t="str">
        <f>MID(TableQR[[#This Row],[QR CODES]],4,13)</f>
        <v/>
      </c>
      <c r="C1701" s="2" t="str">
        <f>IFERROR(VLOOKUP(TableQR[[#This Row],[BARCODES]],ILACLISTE[#All],2,0),"")</f>
        <v/>
      </c>
      <c r="D1701" s="2">
        <f t="shared" si="26"/>
        <v>0</v>
      </c>
      <c r="E1701" s="14" t="str">
        <f>IFERROR(GIZLI!G1696,"")</f>
        <v/>
      </c>
    </row>
    <row r="1702" spans="2:5" x14ac:dyDescent="0.3">
      <c r="B1702" s="2" t="str">
        <f>MID(TableQR[[#This Row],[QR CODES]],4,13)</f>
        <v/>
      </c>
      <c r="C1702" s="2" t="str">
        <f>IFERROR(VLOOKUP(TableQR[[#This Row],[BARCODES]],ILACLISTE[#All],2,0),"")</f>
        <v/>
      </c>
      <c r="D1702" s="2">
        <f t="shared" si="26"/>
        <v>0</v>
      </c>
      <c r="E1702" s="14" t="str">
        <f>IFERROR(GIZLI!G1697,"")</f>
        <v/>
      </c>
    </row>
    <row r="1703" spans="2:5" x14ac:dyDescent="0.3">
      <c r="B1703" s="2" t="str">
        <f>MID(TableQR[[#This Row],[QR CODES]],4,13)</f>
        <v/>
      </c>
      <c r="C1703" s="2" t="str">
        <f>IFERROR(VLOOKUP(TableQR[[#This Row],[BARCODES]],ILACLISTE[#All],2,0),"")</f>
        <v/>
      </c>
      <c r="D1703" s="2">
        <f t="shared" si="26"/>
        <v>0</v>
      </c>
      <c r="E1703" s="14" t="str">
        <f>IFERROR(GIZLI!G1698,"")</f>
        <v/>
      </c>
    </row>
    <row r="1704" spans="2:5" x14ac:dyDescent="0.3">
      <c r="B1704" s="2" t="str">
        <f>MID(TableQR[[#This Row],[QR CODES]],4,13)</f>
        <v/>
      </c>
      <c r="C1704" s="2" t="str">
        <f>IFERROR(VLOOKUP(TableQR[[#This Row],[BARCODES]],ILACLISTE[#All],2,0),"")</f>
        <v/>
      </c>
      <c r="D1704" s="2">
        <f t="shared" si="26"/>
        <v>0</v>
      </c>
      <c r="E1704" s="14" t="str">
        <f>IFERROR(GIZLI!G1699,"")</f>
        <v/>
      </c>
    </row>
    <row r="1705" spans="2:5" x14ac:dyDescent="0.3">
      <c r="B1705" s="2" t="str">
        <f>MID(TableQR[[#This Row],[QR CODES]],4,13)</f>
        <v/>
      </c>
      <c r="C1705" s="2" t="str">
        <f>IFERROR(VLOOKUP(TableQR[[#This Row],[BARCODES]],ILACLISTE[#All],2,0),"")</f>
        <v/>
      </c>
      <c r="D1705" s="2">
        <f t="shared" si="26"/>
        <v>0</v>
      </c>
      <c r="E1705" s="14" t="str">
        <f>IFERROR(GIZLI!G1700,"")</f>
        <v/>
      </c>
    </row>
    <row r="1706" spans="2:5" x14ac:dyDescent="0.3">
      <c r="B1706" s="2" t="str">
        <f>MID(TableQR[[#This Row],[QR CODES]],4,13)</f>
        <v/>
      </c>
      <c r="C1706" s="2" t="str">
        <f>IFERROR(VLOOKUP(TableQR[[#This Row],[BARCODES]],ILACLISTE[#All],2,0),"")</f>
        <v/>
      </c>
      <c r="D1706" s="2">
        <f t="shared" si="26"/>
        <v>0</v>
      </c>
      <c r="E1706" s="14" t="str">
        <f>IFERROR(GIZLI!G1701,"")</f>
        <v/>
      </c>
    </row>
    <row r="1707" spans="2:5" x14ac:dyDescent="0.3">
      <c r="B1707" s="2" t="str">
        <f>MID(TableQR[[#This Row],[QR CODES]],4,13)</f>
        <v/>
      </c>
      <c r="C1707" s="2" t="str">
        <f>IFERROR(VLOOKUP(TableQR[[#This Row],[BARCODES]],ILACLISTE[#All],2,0),"")</f>
        <v/>
      </c>
      <c r="D1707" s="2">
        <f t="shared" si="26"/>
        <v>0</v>
      </c>
      <c r="E1707" s="14" t="str">
        <f>IFERROR(GIZLI!G1702,"")</f>
        <v/>
      </c>
    </row>
    <row r="1708" spans="2:5" x14ac:dyDescent="0.3">
      <c r="B1708" s="2" t="str">
        <f>MID(TableQR[[#This Row],[QR CODES]],4,13)</f>
        <v/>
      </c>
      <c r="C1708" s="2" t="str">
        <f>IFERROR(VLOOKUP(TableQR[[#This Row],[BARCODES]],ILACLISTE[#All],2,0),"")</f>
        <v/>
      </c>
      <c r="D1708" s="2">
        <f t="shared" si="26"/>
        <v>0</v>
      </c>
      <c r="E1708" s="14" t="str">
        <f>IFERROR(GIZLI!G1703,"")</f>
        <v/>
      </c>
    </row>
    <row r="1709" spans="2:5" x14ac:dyDescent="0.3">
      <c r="B1709" s="2" t="str">
        <f>MID(TableQR[[#This Row],[QR CODES]],4,13)</f>
        <v/>
      </c>
      <c r="C1709" s="2" t="str">
        <f>IFERROR(VLOOKUP(TableQR[[#This Row],[BARCODES]],ILACLISTE[#All],2,0),"")</f>
        <v/>
      </c>
      <c r="D1709" s="2">
        <f t="shared" si="26"/>
        <v>0</v>
      </c>
      <c r="E1709" s="14" t="str">
        <f>IFERROR(GIZLI!G1704,"")</f>
        <v/>
      </c>
    </row>
    <row r="1710" spans="2:5" x14ac:dyDescent="0.3">
      <c r="B1710" s="2" t="str">
        <f>MID(TableQR[[#This Row],[QR CODES]],4,13)</f>
        <v/>
      </c>
      <c r="C1710" s="2" t="str">
        <f>IFERROR(VLOOKUP(TableQR[[#This Row],[BARCODES]],ILACLISTE[#All],2,0),"")</f>
        <v/>
      </c>
      <c r="D1710" s="2">
        <f t="shared" si="26"/>
        <v>0</v>
      </c>
      <c r="E1710" s="14" t="str">
        <f>IFERROR(GIZLI!G1705,"")</f>
        <v/>
      </c>
    </row>
    <row r="1711" spans="2:5" x14ac:dyDescent="0.3">
      <c r="B1711" s="2" t="str">
        <f>MID(TableQR[[#This Row],[QR CODES]],4,13)</f>
        <v/>
      </c>
      <c r="C1711" s="2" t="str">
        <f>IFERROR(VLOOKUP(TableQR[[#This Row],[BARCODES]],ILACLISTE[#All],2,0),"")</f>
        <v/>
      </c>
      <c r="D1711" s="2">
        <f t="shared" si="26"/>
        <v>0</v>
      </c>
      <c r="E1711" s="14" t="str">
        <f>IFERROR(GIZLI!G1706,"")</f>
        <v/>
      </c>
    </row>
    <row r="1712" spans="2:5" x14ac:dyDescent="0.3">
      <c r="B1712" s="2" t="str">
        <f>MID(TableQR[[#This Row],[QR CODES]],4,13)</f>
        <v/>
      </c>
      <c r="C1712" s="2" t="str">
        <f>IFERROR(VLOOKUP(TableQR[[#This Row],[BARCODES]],ILACLISTE[#All],2,0),"")</f>
        <v/>
      </c>
      <c r="D1712" s="2">
        <f t="shared" si="26"/>
        <v>0</v>
      </c>
      <c r="E1712" s="14" t="str">
        <f>IFERROR(GIZLI!G1707,"")</f>
        <v/>
      </c>
    </row>
    <row r="1713" spans="2:5" x14ac:dyDescent="0.3">
      <c r="B1713" s="2" t="str">
        <f>MID(TableQR[[#This Row],[QR CODES]],4,13)</f>
        <v/>
      </c>
      <c r="C1713" s="2" t="str">
        <f>IFERROR(VLOOKUP(TableQR[[#This Row],[BARCODES]],ILACLISTE[#All],2,0),"")</f>
        <v/>
      </c>
      <c r="D1713" s="2">
        <f t="shared" si="26"/>
        <v>0</v>
      </c>
      <c r="E1713" s="14" t="str">
        <f>IFERROR(GIZLI!G1708,"")</f>
        <v/>
      </c>
    </row>
    <row r="1714" spans="2:5" x14ac:dyDescent="0.3">
      <c r="B1714" s="2" t="str">
        <f>MID(TableQR[[#This Row],[QR CODES]],4,13)</f>
        <v/>
      </c>
      <c r="C1714" s="2" t="str">
        <f>IFERROR(VLOOKUP(TableQR[[#This Row],[BARCODES]],ILACLISTE[#All],2,0),"")</f>
        <v/>
      </c>
      <c r="D1714" s="2">
        <f t="shared" si="26"/>
        <v>0</v>
      </c>
      <c r="E1714" s="14" t="str">
        <f>IFERROR(GIZLI!G1709,"")</f>
        <v/>
      </c>
    </row>
    <row r="1715" spans="2:5" x14ac:dyDescent="0.3">
      <c r="B1715" s="2" t="str">
        <f>MID(TableQR[[#This Row],[QR CODES]],4,13)</f>
        <v/>
      </c>
      <c r="C1715" s="2" t="str">
        <f>IFERROR(VLOOKUP(TableQR[[#This Row],[BARCODES]],ILACLISTE[#All],2,0),"")</f>
        <v/>
      </c>
      <c r="D1715" s="2">
        <f t="shared" si="26"/>
        <v>0</v>
      </c>
      <c r="E1715" s="14" t="str">
        <f>IFERROR(GIZLI!G1710,"")</f>
        <v/>
      </c>
    </row>
    <row r="1716" spans="2:5" x14ac:dyDescent="0.3">
      <c r="B1716" s="2" t="str">
        <f>MID(TableQR[[#This Row],[QR CODES]],4,13)</f>
        <v/>
      </c>
      <c r="C1716" s="2" t="str">
        <f>IFERROR(VLOOKUP(TableQR[[#This Row],[BARCODES]],ILACLISTE[#All],2,0),"")</f>
        <v/>
      </c>
      <c r="D1716" s="2">
        <f t="shared" si="26"/>
        <v>0</v>
      </c>
      <c r="E1716" s="14" t="str">
        <f>IFERROR(GIZLI!G1711,"")</f>
        <v/>
      </c>
    </row>
    <row r="1717" spans="2:5" x14ac:dyDescent="0.3">
      <c r="B1717" s="2" t="str">
        <f>MID(TableQR[[#This Row],[QR CODES]],4,13)</f>
        <v/>
      </c>
      <c r="C1717" s="2" t="str">
        <f>IFERROR(VLOOKUP(TableQR[[#This Row],[BARCODES]],ILACLISTE[#All],2,0),"")</f>
        <v/>
      </c>
      <c r="D1717" s="2">
        <f t="shared" si="26"/>
        <v>0</v>
      </c>
      <c r="E1717" s="14" t="str">
        <f>IFERROR(GIZLI!G1712,"")</f>
        <v/>
      </c>
    </row>
    <row r="1718" spans="2:5" x14ac:dyDescent="0.3">
      <c r="B1718" s="2" t="str">
        <f>MID(TableQR[[#This Row],[QR CODES]],4,13)</f>
        <v/>
      </c>
      <c r="C1718" s="2" t="str">
        <f>IFERROR(VLOOKUP(TableQR[[#This Row],[BARCODES]],ILACLISTE[#All],2,0),"")</f>
        <v/>
      </c>
      <c r="D1718" s="2">
        <f t="shared" si="26"/>
        <v>0</v>
      </c>
      <c r="E1718" s="14" t="str">
        <f>IFERROR(GIZLI!G1713,"")</f>
        <v/>
      </c>
    </row>
    <row r="1719" spans="2:5" x14ac:dyDescent="0.3">
      <c r="B1719" s="2" t="str">
        <f>MID(TableQR[[#This Row],[QR CODES]],4,13)</f>
        <v/>
      </c>
      <c r="C1719" s="2" t="str">
        <f>IFERROR(VLOOKUP(TableQR[[#This Row],[BARCODES]],ILACLISTE[#All],2,0),"")</f>
        <v/>
      </c>
      <c r="D1719" s="2">
        <f t="shared" si="26"/>
        <v>0</v>
      </c>
      <c r="E1719" s="14" t="str">
        <f>IFERROR(GIZLI!G1714,"")</f>
        <v/>
      </c>
    </row>
    <row r="1720" spans="2:5" x14ac:dyDescent="0.3">
      <c r="B1720" s="2" t="str">
        <f>MID(TableQR[[#This Row],[QR CODES]],4,13)</f>
        <v/>
      </c>
      <c r="C1720" s="2" t="str">
        <f>IFERROR(VLOOKUP(TableQR[[#This Row],[BARCODES]],ILACLISTE[#All],2,0),"")</f>
        <v/>
      </c>
      <c r="D1720" s="2">
        <f t="shared" si="26"/>
        <v>0</v>
      </c>
      <c r="E1720" s="14" t="str">
        <f>IFERROR(GIZLI!G1715,"")</f>
        <v/>
      </c>
    </row>
    <row r="1721" spans="2:5" x14ac:dyDescent="0.3">
      <c r="B1721" s="2" t="str">
        <f>MID(TableQR[[#This Row],[QR CODES]],4,13)</f>
        <v/>
      </c>
      <c r="C1721" s="2" t="str">
        <f>IFERROR(VLOOKUP(TableQR[[#This Row],[BARCODES]],ILACLISTE[#All],2,0),"")</f>
        <v/>
      </c>
      <c r="D1721" s="2">
        <f t="shared" si="26"/>
        <v>0</v>
      </c>
      <c r="E1721" s="14" t="str">
        <f>IFERROR(GIZLI!G1716,"")</f>
        <v/>
      </c>
    </row>
    <row r="1722" spans="2:5" x14ac:dyDescent="0.3">
      <c r="B1722" s="2" t="str">
        <f>MID(TableQR[[#This Row],[QR CODES]],4,13)</f>
        <v/>
      </c>
      <c r="C1722" s="2" t="str">
        <f>IFERROR(VLOOKUP(TableQR[[#This Row],[BARCODES]],ILACLISTE[#All],2,0),"")</f>
        <v/>
      </c>
      <c r="D1722" s="2">
        <f t="shared" si="26"/>
        <v>0</v>
      </c>
      <c r="E1722" s="14" t="str">
        <f>IFERROR(GIZLI!G1717,"")</f>
        <v/>
      </c>
    </row>
    <row r="1723" spans="2:5" x14ac:dyDescent="0.3">
      <c r="B1723" s="2" t="str">
        <f>MID(TableQR[[#This Row],[QR CODES]],4,13)</f>
        <v/>
      </c>
      <c r="C1723" s="2" t="str">
        <f>IFERROR(VLOOKUP(TableQR[[#This Row],[BARCODES]],ILACLISTE[#All],2,0),"")</f>
        <v/>
      </c>
      <c r="D1723" s="2">
        <f t="shared" si="26"/>
        <v>0</v>
      </c>
      <c r="E1723" s="14" t="str">
        <f>IFERROR(GIZLI!G1718,"")</f>
        <v/>
      </c>
    </row>
    <row r="1724" spans="2:5" x14ac:dyDescent="0.3">
      <c r="B1724" s="2" t="str">
        <f>MID(TableQR[[#This Row],[QR CODES]],4,13)</f>
        <v/>
      </c>
      <c r="C1724" s="2" t="str">
        <f>IFERROR(VLOOKUP(TableQR[[#This Row],[BARCODES]],ILACLISTE[#All],2,0),"")</f>
        <v/>
      </c>
      <c r="D1724" s="2">
        <f t="shared" si="26"/>
        <v>0</v>
      </c>
      <c r="E1724" s="14" t="str">
        <f>IFERROR(GIZLI!G1719,"")</f>
        <v/>
      </c>
    </row>
    <row r="1725" spans="2:5" x14ac:dyDescent="0.3">
      <c r="B1725" s="2" t="str">
        <f>MID(TableQR[[#This Row],[QR CODES]],4,13)</f>
        <v/>
      </c>
      <c r="C1725" s="2" t="str">
        <f>IFERROR(VLOOKUP(TableQR[[#This Row],[BARCODES]],ILACLISTE[#All],2,0),"")</f>
        <v/>
      </c>
      <c r="D1725" s="2">
        <f t="shared" si="26"/>
        <v>0</v>
      </c>
      <c r="E1725" s="14" t="str">
        <f>IFERROR(GIZLI!G1720,"")</f>
        <v/>
      </c>
    </row>
    <row r="1726" spans="2:5" x14ac:dyDescent="0.3">
      <c r="B1726" s="2" t="str">
        <f>MID(TableQR[[#This Row],[QR CODES]],4,13)</f>
        <v/>
      </c>
      <c r="C1726" s="2" t="str">
        <f>IFERROR(VLOOKUP(TableQR[[#This Row],[BARCODES]],ILACLISTE[#All],2,0),"")</f>
        <v/>
      </c>
      <c r="D1726" s="2">
        <f t="shared" si="26"/>
        <v>0</v>
      </c>
      <c r="E1726" s="14" t="str">
        <f>IFERROR(GIZLI!G1721,"")</f>
        <v/>
      </c>
    </row>
    <row r="1727" spans="2:5" x14ac:dyDescent="0.3">
      <c r="B1727" s="2" t="str">
        <f>MID(TableQR[[#This Row],[QR CODES]],4,13)</f>
        <v/>
      </c>
      <c r="C1727" s="2" t="str">
        <f>IFERROR(VLOOKUP(TableQR[[#This Row],[BARCODES]],ILACLISTE[#All],2,0),"")</f>
        <v/>
      </c>
      <c r="D1727" s="2">
        <f t="shared" si="26"/>
        <v>0</v>
      </c>
      <c r="E1727" s="14" t="str">
        <f>IFERROR(GIZLI!G1722,"")</f>
        <v/>
      </c>
    </row>
    <row r="1728" spans="2:5" x14ac:dyDescent="0.3">
      <c r="B1728" s="2" t="str">
        <f>MID(TableQR[[#This Row],[QR CODES]],4,13)</f>
        <v/>
      </c>
      <c r="C1728" s="2" t="str">
        <f>IFERROR(VLOOKUP(TableQR[[#This Row],[BARCODES]],ILACLISTE[#All],2,0),"")</f>
        <v/>
      </c>
      <c r="D1728" s="2">
        <f t="shared" si="26"/>
        <v>0</v>
      </c>
      <c r="E1728" s="14" t="str">
        <f>IFERROR(GIZLI!G1723,"")</f>
        <v/>
      </c>
    </row>
    <row r="1729" spans="2:5" x14ac:dyDescent="0.3">
      <c r="B1729" s="2" t="str">
        <f>MID(TableQR[[#This Row],[QR CODES]],4,13)</f>
        <v/>
      </c>
      <c r="C1729" s="2" t="str">
        <f>IFERROR(VLOOKUP(TableQR[[#This Row],[BARCODES]],ILACLISTE[#All],2,0),"")</f>
        <v/>
      </c>
      <c r="D1729" s="2">
        <f t="shared" si="26"/>
        <v>0</v>
      </c>
      <c r="E1729" s="14" t="str">
        <f>IFERROR(GIZLI!G1724,"")</f>
        <v/>
      </c>
    </row>
    <row r="1730" spans="2:5" x14ac:dyDescent="0.3">
      <c r="B1730" s="2" t="str">
        <f>MID(TableQR[[#This Row],[QR CODES]],4,13)</f>
        <v/>
      </c>
      <c r="C1730" s="2" t="str">
        <f>IFERROR(VLOOKUP(TableQR[[#This Row],[BARCODES]],ILACLISTE[#All],2,0),"")</f>
        <v/>
      </c>
      <c r="D1730" s="2">
        <f t="shared" si="26"/>
        <v>0</v>
      </c>
      <c r="E1730" s="14" t="str">
        <f>IFERROR(GIZLI!G1725,"")</f>
        <v/>
      </c>
    </row>
    <row r="1731" spans="2:5" x14ac:dyDescent="0.3">
      <c r="B1731" s="2" t="str">
        <f>MID(TableQR[[#This Row],[QR CODES]],4,13)</f>
        <v/>
      </c>
      <c r="C1731" s="2" t="str">
        <f>IFERROR(VLOOKUP(TableQR[[#This Row],[BARCODES]],ILACLISTE[#All],2,0),"")</f>
        <v/>
      </c>
      <c r="D1731" s="2">
        <f t="shared" si="26"/>
        <v>0</v>
      </c>
      <c r="E1731" s="14" t="str">
        <f>IFERROR(GIZLI!G1726,"")</f>
        <v/>
      </c>
    </row>
    <row r="1732" spans="2:5" x14ac:dyDescent="0.3">
      <c r="B1732" s="2" t="str">
        <f>MID(TableQR[[#This Row],[QR CODES]],4,13)</f>
        <v/>
      </c>
      <c r="C1732" s="2" t="str">
        <f>IFERROR(VLOOKUP(TableQR[[#This Row],[BARCODES]],ILACLISTE[#All],2,0),"")</f>
        <v/>
      </c>
      <c r="D1732" s="2">
        <f t="shared" si="26"/>
        <v>0</v>
      </c>
      <c r="E1732" s="14" t="str">
        <f>IFERROR(GIZLI!G1727,"")</f>
        <v/>
      </c>
    </row>
    <row r="1733" spans="2:5" x14ac:dyDescent="0.3">
      <c r="B1733" s="2" t="str">
        <f>MID(TableQR[[#This Row],[QR CODES]],4,13)</f>
        <v/>
      </c>
      <c r="C1733" s="2" t="str">
        <f>IFERROR(VLOOKUP(TableQR[[#This Row],[BARCODES]],ILACLISTE[#All],2,0),"")</f>
        <v/>
      </c>
      <c r="D1733" s="2">
        <f t="shared" si="26"/>
        <v>0</v>
      </c>
      <c r="E1733" s="14" t="str">
        <f>IFERROR(GIZLI!G1728,"")</f>
        <v/>
      </c>
    </row>
    <row r="1734" spans="2:5" x14ac:dyDescent="0.3">
      <c r="B1734" s="2" t="str">
        <f>MID(TableQR[[#This Row],[QR CODES]],4,13)</f>
        <v/>
      </c>
      <c r="C1734" s="2" t="str">
        <f>IFERROR(VLOOKUP(TableQR[[#This Row],[BARCODES]],ILACLISTE[#All],2,0),"")</f>
        <v/>
      </c>
      <c r="D1734" s="2">
        <f t="shared" si="26"/>
        <v>0</v>
      </c>
      <c r="E1734" s="14" t="str">
        <f>IFERROR(GIZLI!G1729,"")</f>
        <v/>
      </c>
    </row>
    <row r="1735" spans="2:5" x14ac:dyDescent="0.3">
      <c r="B1735" s="2" t="str">
        <f>MID(TableQR[[#This Row],[QR CODES]],4,13)</f>
        <v/>
      </c>
      <c r="C1735" s="2" t="str">
        <f>IFERROR(VLOOKUP(TableQR[[#This Row],[BARCODES]],ILACLISTE[#All],2,0),"")</f>
        <v/>
      </c>
      <c r="D1735" s="2">
        <f t="shared" si="26"/>
        <v>0</v>
      </c>
      <c r="E1735" s="14" t="str">
        <f>IFERROR(GIZLI!G1730,"")</f>
        <v/>
      </c>
    </row>
    <row r="1736" spans="2:5" x14ac:dyDescent="0.3">
      <c r="B1736" s="2" t="str">
        <f>MID(TableQR[[#This Row],[QR CODES]],4,13)</f>
        <v/>
      </c>
      <c r="C1736" s="2" t="str">
        <f>IFERROR(VLOOKUP(TableQR[[#This Row],[BARCODES]],ILACLISTE[#All],2,0),"")</f>
        <v/>
      </c>
      <c r="D1736" s="2">
        <f t="shared" ref="D1736:D1799" si="27">COUNTIF(B1736:B5729,IF(B1736="",66666,B1736))</f>
        <v>0</v>
      </c>
      <c r="E1736" s="14" t="str">
        <f>IFERROR(GIZLI!G1731,"")</f>
        <v/>
      </c>
    </row>
    <row r="1737" spans="2:5" x14ac:dyDescent="0.3">
      <c r="B1737" s="2" t="str">
        <f>MID(TableQR[[#This Row],[QR CODES]],4,13)</f>
        <v/>
      </c>
      <c r="C1737" s="2" t="str">
        <f>IFERROR(VLOOKUP(TableQR[[#This Row],[BARCODES]],ILACLISTE[#All],2,0),"")</f>
        <v/>
      </c>
      <c r="D1737" s="2">
        <f t="shared" si="27"/>
        <v>0</v>
      </c>
      <c r="E1737" s="14" t="str">
        <f>IFERROR(GIZLI!G1732,"")</f>
        <v/>
      </c>
    </row>
    <row r="1738" spans="2:5" x14ac:dyDescent="0.3">
      <c r="B1738" s="2" t="str">
        <f>MID(TableQR[[#This Row],[QR CODES]],4,13)</f>
        <v/>
      </c>
      <c r="C1738" s="2" t="str">
        <f>IFERROR(VLOOKUP(TableQR[[#This Row],[BARCODES]],ILACLISTE[#All],2,0),"")</f>
        <v/>
      </c>
      <c r="D1738" s="2">
        <f t="shared" si="27"/>
        <v>0</v>
      </c>
      <c r="E1738" s="14" t="str">
        <f>IFERROR(GIZLI!G1733,"")</f>
        <v/>
      </c>
    </row>
    <row r="1739" spans="2:5" x14ac:dyDescent="0.3">
      <c r="B1739" s="2" t="str">
        <f>MID(TableQR[[#This Row],[QR CODES]],4,13)</f>
        <v/>
      </c>
      <c r="C1739" s="2" t="str">
        <f>IFERROR(VLOOKUP(TableQR[[#This Row],[BARCODES]],ILACLISTE[#All],2,0),"")</f>
        <v/>
      </c>
      <c r="D1739" s="2">
        <f t="shared" si="27"/>
        <v>0</v>
      </c>
      <c r="E1739" s="14" t="str">
        <f>IFERROR(GIZLI!G1734,"")</f>
        <v/>
      </c>
    </row>
    <row r="1740" spans="2:5" x14ac:dyDescent="0.3">
      <c r="B1740" s="2" t="str">
        <f>MID(TableQR[[#This Row],[QR CODES]],4,13)</f>
        <v/>
      </c>
      <c r="C1740" s="2" t="str">
        <f>IFERROR(VLOOKUP(TableQR[[#This Row],[BARCODES]],ILACLISTE[#All],2,0),"")</f>
        <v/>
      </c>
      <c r="D1740" s="2">
        <f t="shared" si="27"/>
        <v>0</v>
      </c>
      <c r="E1740" s="14" t="str">
        <f>IFERROR(GIZLI!G1735,"")</f>
        <v/>
      </c>
    </row>
    <row r="1741" spans="2:5" x14ac:dyDescent="0.3">
      <c r="B1741" s="2" t="str">
        <f>MID(TableQR[[#This Row],[QR CODES]],4,13)</f>
        <v/>
      </c>
      <c r="C1741" s="2" t="str">
        <f>IFERROR(VLOOKUP(TableQR[[#This Row],[BARCODES]],ILACLISTE[#All],2,0),"")</f>
        <v/>
      </c>
      <c r="D1741" s="2">
        <f t="shared" si="27"/>
        <v>0</v>
      </c>
      <c r="E1741" s="14" t="str">
        <f>IFERROR(GIZLI!G1736,"")</f>
        <v/>
      </c>
    </row>
    <row r="1742" spans="2:5" x14ac:dyDescent="0.3">
      <c r="B1742" s="2" t="str">
        <f>MID(TableQR[[#This Row],[QR CODES]],4,13)</f>
        <v/>
      </c>
      <c r="C1742" s="2" t="str">
        <f>IFERROR(VLOOKUP(TableQR[[#This Row],[BARCODES]],ILACLISTE[#All],2,0),"")</f>
        <v/>
      </c>
      <c r="D1742" s="2">
        <f t="shared" si="27"/>
        <v>0</v>
      </c>
      <c r="E1742" s="14" t="str">
        <f>IFERROR(GIZLI!G1737,"")</f>
        <v/>
      </c>
    </row>
    <row r="1743" spans="2:5" x14ac:dyDescent="0.3">
      <c r="B1743" s="2" t="str">
        <f>MID(TableQR[[#This Row],[QR CODES]],4,13)</f>
        <v/>
      </c>
      <c r="C1743" s="2" t="str">
        <f>IFERROR(VLOOKUP(TableQR[[#This Row],[BARCODES]],ILACLISTE[#All],2,0),"")</f>
        <v/>
      </c>
      <c r="D1743" s="2">
        <f t="shared" si="27"/>
        <v>0</v>
      </c>
      <c r="E1743" s="14" t="str">
        <f>IFERROR(GIZLI!G1738,"")</f>
        <v/>
      </c>
    </row>
    <row r="1744" spans="2:5" x14ac:dyDescent="0.3">
      <c r="B1744" s="2" t="str">
        <f>MID(TableQR[[#This Row],[QR CODES]],4,13)</f>
        <v/>
      </c>
      <c r="C1744" s="2" t="str">
        <f>IFERROR(VLOOKUP(TableQR[[#This Row],[BARCODES]],ILACLISTE[#All],2,0),"")</f>
        <v/>
      </c>
      <c r="D1744" s="2">
        <f t="shared" si="27"/>
        <v>0</v>
      </c>
      <c r="E1744" s="14" t="str">
        <f>IFERROR(GIZLI!G1739,"")</f>
        <v/>
      </c>
    </row>
    <row r="1745" spans="2:5" x14ac:dyDescent="0.3">
      <c r="B1745" s="2" t="str">
        <f>MID(TableQR[[#This Row],[QR CODES]],4,13)</f>
        <v/>
      </c>
      <c r="C1745" s="2" t="str">
        <f>IFERROR(VLOOKUP(TableQR[[#This Row],[BARCODES]],ILACLISTE[#All],2,0),"")</f>
        <v/>
      </c>
      <c r="D1745" s="2">
        <f t="shared" si="27"/>
        <v>0</v>
      </c>
      <c r="E1745" s="14" t="str">
        <f>IFERROR(GIZLI!G1740,"")</f>
        <v/>
      </c>
    </row>
    <row r="1746" spans="2:5" x14ac:dyDescent="0.3">
      <c r="B1746" s="2" t="str">
        <f>MID(TableQR[[#This Row],[QR CODES]],4,13)</f>
        <v/>
      </c>
      <c r="C1746" s="2" t="str">
        <f>IFERROR(VLOOKUP(TableQR[[#This Row],[BARCODES]],ILACLISTE[#All],2,0),"")</f>
        <v/>
      </c>
      <c r="D1746" s="2">
        <f t="shared" si="27"/>
        <v>0</v>
      </c>
      <c r="E1746" s="14" t="str">
        <f>IFERROR(GIZLI!G1741,"")</f>
        <v/>
      </c>
    </row>
    <row r="1747" spans="2:5" x14ac:dyDescent="0.3">
      <c r="B1747" s="2" t="str">
        <f>MID(TableQR[[#This Row],[QR CODES]],4,13)</f>
        <v/>
      </c>
      <c r="C1747" s="2" t="str">
        <f>IFERROR(VLOOKUP(TableQR[[#This Row],[BARCODES]],ILACLISTE[#All],2,0),"")</f>
        <v/>
      </c>
      <c r="D1747" s="2">
        <f t="shared" si="27"/>
        <v>0</v>
      </c>
      <c r="E1747" s="14" t="str">
        <f>IFERROR(GIZLI!G1742,"")</f>
        <v/>
      </c>
    </row>
    <row r="1748" spans="2:5" x14ac:dyDescent="0.3">
      <c r="B1748" s="2" t="str">
        <f>MID(TableQR[[#This Row],[QR CODES]],4,13)</f>
        <v/>
      </c>
      <c r="C1748" s="2" t="str">
        <f>IFERROR(VLOOKUP(TableQR[[#This Row],[BARCODES]],ILACLISTE[#All],2,0),"")</f>
        <v/>
      </c>
      <c r="D1748" s="2">
        <f t="shared" si="27"/>
        <v>0</v>
      </c>
      <c r="E1748" s="14" t="str">
        <f>IFERROR(GIZLI!G1743,"")</f>
        <v/>
      </c>
    </row>
    <row r="1749" spans="2:5" x14ac:dyDescent="0.3">
      <c r="B1749" s="2" t="str">
        <f>MID(TableQR[[#This Row],[QR CODES]],4,13)</f>
        <v/>
      </c>
      <c r="C1749" s="2" t="str">
        <f>IFERROR(VLOOKUP(TableQR[[#This Row],[BARCODES]],ILACLISTE[#All],2,0),"")</f>
        <v/>
      </c>
      <c r="D1749" s="2">
        <f t="shared" si="27"/>
        <v>0</v>
      </c>
      <c r="E1749" s="14" t="str">
        <f>IFERROR(GIZLI!G1744,"")</f>
        <v/>
      </c>
    </row>
    <row r="1750" spans="2:5" x14ac:dyDescent="0.3">
      <c r="B1750" s="2" t="str">
        <f>MID(TableQR[[#This Row],[QR CODES]],4,13)</f>
        <v/>
      </c>
      <c r="C1750" s="2" t="str">
        <f>IFERROR(VLOOKUP(TableQR[[#This Row],[BARCODES]],ILACLISTE[#All],2,0),"")</f>
        <v/>
      </c>
      <c r="D1750" s="2">
        <f t="shared" si="27"/>
        <v>0</v>
      </c>
      <c r="E1750" s="14" t="str">
        <f>IFERROR(GIZLI!G1745,"")</f>
        <v/>
      </c>
    </row>
    <row r="1751" spans="2:5" x14ac:dyDescent="0.3">
      <c r="B1751" s="2" t="str">
        <f>MID(TableQR[[#This Row],[QR CODES]],4,13)</f>
        <v/>
      </c>
      <c r="C1751" s="2" t="str">
        <f>IFERROR(VLOOKUP(TableQR[[#This Row],[BARCODES]],ILACLISTE[#All],2,0),"")</f>
        <v/>
      </c>
      <c r="D1751" s="2">
        <f t="shared" si="27"/>
        <v>0</v>
      </c>
      <c r="E1751" s="14" t="str">
        <f>IFERROR(GIZLI!G1746,"")</f>
        <v/>
      </c>
    </row>
    <row r="1752" spans="2:5" x14ac:dyDescent="0.3">
      <c r="B1752" s="2" t="str">
        <f>MID(TableQR[[#This Row],[QR CODES]],4,13)</f>
        <v/>
      </c>
      <c r="C1752" s="2" t="str">
        <f>IFERROR(VLOOKUP(TableQR[[#This Row],[BARCODES]],ILACLISTE[#All],2,0),"")</f>
        <v/>
      </c>
      <c r="D1752" s="2">
        <f t="shared" si="27"/>
        <v>0</v>
      </c>
      <c r="E1752" s="14" t="str">
        <f>IFERROR(GIZLI!G1747,"")</f>
        <v/>
      </c>
    </row>
    <row r="1753" spans="2:5" x14ac:dyDescent="0.3">
      <c r="B1753" s="2" t="str">
        <f>MID(TableQR[[#This Row],[QR CODES]],4,13)</f>
        <v/>
      </c>
      <c r="C1753" s="2" t="str">
        <f>IFERROR(VLOOKUP(TableQR[[#This Row],[BARCODES]],ILACLISTE[#All],2,0),"")</f>
        <v/>
      </c>
      <c r="D1753" s="2">
        <f t="shared" si="27"/>
        <v>0</v>
      </c>
      <c r="E1753" s="14" t="str">
        <f>IFERROR(GIZLI!G1748,"")</f>
        <v/>
      </c>
    </row>
    <row r="1754" spans="2:5" x14ac:dyDescent="0.3">
      <c r="B1754" s="2" t="str">
        <f>MID(TableQR[[#This Row],[QR CODES]],4,13)</f>
        <v/>
      </c>
      <c r="C1754" s="2" t="str">
        <f>IFERROR(VLOOKUP(TableQR[[#This Row],[BARCODES]],ILACLISTE[#All],2,0),"")</f>
        <v/>
      </c>
      <c r="D1754" s="2">
        <f t="shared" si="27"/>
        <v>0</v>
      </c>
      <c r="E1754" s="14" t="str">
        <f>IFERROR(GIZLI!G1749,"")</f>
        <v/>
      </c>
    </row>
    <row r="1755" spans="2:5" x14ac:dyDescent="0.3">
      <c r="B1755" s="2" t="str">
        <f>MID(TableQR[[#This Row],[QR CODES]],4,13)</f>
        <v/>
      </c>
      <c r="C1755" s="2" t="str">
        <f>IFERROR(VLOOKUP(TableQR[[#This Row],[BARCODES]],ILACLISTE[#All],2,0),"")</f>
        <v/>
      </c>
      <c r="D1755" s="2">
        <f t="shared" si="27"/>
        <v>0</v>
      </c>
      <c r="E1755" s="14" t="str">
        <f>IFERROR(GIZLI!G1750,"")</f>
        <v/>
      </c>
    </row>
    <row r="1756" spans="2:5" x14ac:dyDescent="0.3">
      <c r="B1756" s="2" t="str">
        <f>MID(TableQR[[#This Row],[QR CODES]],4,13)</f>
        <v/>
      </c>
      <c r="C1756" s="2" t="str">
        <f>IFERROR(VLOOKUP(TableQR[[#This Row],[BARCODES]],ILACLISTE[#All],2,0),"")</f>
        <v/>
      </c>
      <c r="D1756" s="2">
        <f t="shared" si="27"/>
        <v>0</v>
      </c>
      <c r="E1756" s="14" t="str">
        <f>IFERROR(GIZLI!G1751,"")</f>
        <v/>
      </c>
    </row>
    <row r="1757" spans="2:5" x14ac:dyDescent="0.3">
      <c r="B1757" s="2" t="str">
        <f>MID(TableQR[[#This Row],[QR CODES]],4,13)</f>
        <v/>
      </c>
      <c r="C1757" s="2" t="str">
        <f>IFERROR(VLOOKUP(TableQR[[#This Row],[BARCODES]],ILACLISTE[#All],2,0),"")</f>
        <v/>
      </c>
      <c r="D1757" s="2">
        <f t="shared" si="27"/>
        <v>0</v>
      </c>
      <c r="E1757" s="14" t="str">
        <f>IFERROR(GIZLI!G1752,"")</f>
        <v/>
      </c>
    </row>
    <row r="1758" spans="2:5" x14ac:dyDescent="0.3">
      <c r="B1758" s="2" t="str">
        <f>MID(TableQR[[#This Row],[QR CODES]],4,13)</f>
        <v/>
      </c>
      <c r="C1758" s="2" t="str">
        <f>IFERROR(VLOOKUP(TableQR[[#This Row],[BARCODES]],ILACLISTE[#All],2,0),"")</f>
        <v/>
      </c>
      <c r="D1758" s="2">
        <f t="shared" si="27"/>
        <v>0</v>
      </c>
      <c r="E1758" s="14" t="str">
        <f>IFERROR(GIZLI!G1753,"")</f>
        <v/>
      </c>
    </row>
    <row r="1759" spans="2:5" x14ac:dyDescent="0.3">
      <c r="B1759" s="2" t="str">
        <f>MID(TableQR[[#This Row],[QR CODES]],4,13)</f>
        <v/>
      </c>
      <c r="C1759" s="2" t="str">
        <f>IFERROR(VLOOKUP(TableQR[[#This Row],[BARCODES]],ILACLISTE[#All],2,0),"")</f>
        <v/>
      </c>
      <c r="D1759" s="2">
        <f t="shared" si="27"/>
        <v>0</v>
      </c>
      <c r="E1759" s="14" t="str">
        <f>IFERROR(GIZLI!G1754,"")</f>
        <v/>
      </c>
    </row>
    <row r="1760" spans="2:5" x14ac:dyDescent="0.3">
      <c r="B1760" s="2" t="str">
        <f>MID(TableQR[[#This Row],[QR CODES]],4,13)</f>
        <v/>
      </c>
      <c r="C1760" s="2" t="str">
        <f>IFERROR(VLOOKUP(TableQR[[#This Row],[BARCODES]],ILACLISTE[#All],2,0),"")</f>
        <v/>
      </c>
      <c r="D1760" s="2">
        <f t="shared" si="27"/>
        <v>0</v>
      </c>
      <c r="E1760" s="14" t="str">
        <f>IFERROR(GIZLI!G1755,"")</f>
        <v/>
      </c>
    </row>
    <row r="1761" spans="2:5" x14ac:dyDescent="0.3">
      <c r="B1761" s="2" t="str">
        <f>MID(TableQR[[#This Row],[QR CODES]],4,13)</f>
        <v/>
      </c>
      <c r="C1761" s="2" t="str">
        <f>IFERROR(VLOOKUP(TableQR[[#This Row],[BARCODES]],ILACLISTE[#All],2,0),"")</f>
        <v/>
      </c>
      <c r="D1761" s="2">
        <f t="shared" si="27"/>
        <v>0</v>
      </c>
      <c r="E1761" s="14" t="str">
        <f>IFERROR(GIZLI!G1756,"")</f>
        <v/>
      </c>
    </row>
    <row r="1762" spans="2:5" x14ac:dyDescent="0.3">
      <c r="B1762" s="2" t="str">
        <f>MID(TableQR[[#This Row],[QR CODES]],4,13)</f>
        <v/>
      </c>
      <c r="C1762" s="2" t="str">
        <f>IFERROR(VLOOKUP(TableQR[[#This Row],[BARCODES]],ILACLISTE[#All],2,0),"")</f>
        <v/>
      </c>
      <c r="D1762" s="2">
        <f t="shared" si="27"/>
        <v>0</v>
      </c>
      <c r="E1762" s="14" t="str">
        <f>IFERROR(GIZLI!G1757,"")</f>
        <v/>
      </c>
    </row>
    <row r="1763" spans="2:5" x14ac:dyDescent="0.3">
      <c r="B1763" s="2" t="str">
        <f>MID(TableQR[[#This Row],[QR CODES]],4,13)</f>
        <v/>
      </c>
      <c r="C1763" s="2" t="str">
        <f>IFERROR(VLOOKUP(TableQR[[#This Row],[BARCODES]],ILACLISTE[#All],2,0),"")</f>
        <v/>
      </c>
      <c r="D1763" s="2">
        <f t="shared" si="27"/>
        <v>0</v>
      </c>
      <c r="E1763" s="14" t="str">
        <f>IFERROR(GIZLI!G1758,"")</f>
        <v/>
      </c>
    </row>
    <row r="1764" spans="2:5" x14ac:dyDescent="0.3">
      <c r="B1764" s="2" t="str">
        <f>MID(TableQR[[#This Row],[QR CODES]],4,13)</f>
        <v/>
      </c>
      <c r="C1764" s="2" t="str">
        <f>IFERROR(VLOOKUP(TableQR[[#This Row],[BARCODES]],ILACLISTE[#All],2,0),"")</f>
        <v/>
      </c>
      <c r="D1764" s="2">
        <f t="shared" si="27"/>
        <v>0</v>
      </c>
      <c r="E1764" s="14" t="str">
        <f>IFERROR(GIZLI!G1759,"")</f>
        <v/>
      </c>
    </row>
    <row r="1765" spans="2:5" x14ac:dyDescent="0.3">
      <c r="B1765" s="2" t="str">
        <f>MID(TableQR[[#This Row],[QR CODES]],4,13)</f>
        <v/>
      </c>
      <c r="C1765" s="2" t="str">
        <f>IFERROR(VLOOKUP(TableQR[[#This Row],[BARCODES]],ILACLISTE[#All],2,0),"")</f>
        <v/>
      </c>
      <c r="D1765" s="2">
        <f t="shared" si="27"/>
        <v>0</v>
      </c>
      <c r="E1765" s="14" t="str">
        <f>IFERROR(GIZLI!G1760,"")</f>
        <v/>
      </c>
    </row>
    <row r="1766" spans="2:5" x14ac:dyDescent="0.3">
      <c r="B1766" s="2" t="str">
        <f>MID(TableQR[[#This Row],[QR CODES]],4,13)</f>
        <v/>
      </c>
      <c r="C1766" s="2" t="str">
        <f>IFERROR(VLOOKUP(TableQR[[#This Row],[BARCODES]],ILACLISTE[#All],2,0),"")</f>
        <v/>
      </c>
      <c r="D1766" s="2">
        <f t="shared" si="27"/>
        <v>0</v>
      </c>
      <c r="E1766" s="14" t="str">
        <f>IFERROR(GIZLI!G1761,"")</f>
        <v/>
      </c>
    </row>
    <row r="1767" spans="2:5" x14ac:dyDescent="0.3">
      <c r="B1767" s="2" t="str">
        <f>MID(TableQR[[#This Row],[QR CODES]],4,13)</f>
        <v/>
      </c>
      <c r="C1767" s="2" t="str">
        <f>IFERROR(VLOOKUP(TableQR[[#This Row],[BARCODES]],ILACLISTE[#All],2,0),"")</f>
        <v/>
      </c>
      <c r="D1767" s="2">
        <f t="shared" si="27"/>
        <v>0</v>
      </c>
      <c r="E1767" s="14" t="str">
        <f>IFERROR(GIZLI!G1762,"")</f>
        <v/>
      </c>
    </row>
    <row r="1768" spans="2:5" x14ac:dyDescent="0.3">
      <c r="B1768" s="2" t="str">
        <f>MID(TableQR[[#This Row],[QR CODES]],4,13)</f>
        <v/>
      </c>
      <c r="C1768" s="2" t="str">
        <f>IFERROR(VLOOKUP(TableQR[[#This Row],[BARCODES]],ILACLISTE[#All],2,0),"")</f>
        <v/>
      </c>
      <c r="D1768" s="2">
        <f t="shared" si="27"/>
        <v>0</v>
      </c>
      <c r="E1768" s="14" t="str">
        <f>IFERROR(GIZLI!G1763,"")</f>
        <v/>
      </c>
    </row>
    <row r="1769" spans="2:5" x14ac:dyDescent="0.3">
      <c r="B1769" s="2" t="str">
        <f>MID(TableQR[[#This Row],[QR CODES]],4,13)</f>
        <v/>
      </c>
      <c r="C1769" s="2" t="str">
        <f>IFERROR(VLOOKUP(TableQR[[#This Row],[BARCODES]],ILACLISTE[#All],2,0),"")</f>
        <v/>
      </c>
      <c r="D1769" s="2">
        <f t="shared" si="27"/>
        <v>0</v>
      </c>
      <c r="E1769" s="14" t="str">
        <f>IFERROR(GIZLI!G1764,"")</f>
        <v/>
      </c>
    </row>
    <row r="1770" spans="2:5" x14ac:dyDescent="0.3">
      <c r="B1770" s="2" t="str">
        <f>MID(TableQR[[#This Row],[QR CODES]],4,13)</f>
        <v/>
      </c>
      <c r="C1770" s="2" t="str">
        <f>IFERROR(VLOOKUP(TableQR[[#This Row],[BARCODES]],ILACLISTE[#All],2,0),"")</f>
        <v/>
      </c>
      <c r="D1770" s="2">
        <f t="shared" si="27"/>
        <v>0</v>
      </c>
      <c r="E1770" s="14" t="str">
        <f>IFERROR(GIZLI!G1765,"")</f>
        <v/>
      </c>
    </row>
    <row r="1771" spans="2:5" x14ac:dyDescent="0.3">
      <c r="B1771" s="2" t="str">
        <f>MID(TableQR[[#This Row],[QR CODES]],4,13)</f>
        <v/>
      </c>
      <c r="C1771" s="2" t="str">
        <f>IFERROR(VLOOKUP(TableQR[[#This Row],[BARCODES]],ILACLISTE[#All],2,0),"")</f>
        <v/>
      </c>
      <c r="D1771" s="2">
        <f t="shared" si="27"/>
        <v>0</v>
      </c>
      <c r="E1771" s="14" t="str">
        <f>IFERROR(GIZLI!G1766,"")</f>
        <v/>
      </c>
    </row>
    <row r="1772" spans="2:5" x14ac:dyDescent="0.3">
      <c r="B1772" s="2" t="str">
        <f>MID(TableQR[[#This Row],[QR CODES]],4,13)</f>
        <v/>
      </c>
      <c r="C1772" s="2" t="str">
        <f>IFERROR(VLOOKUP(TableQR[[#This Row],[BARCODES]],ILACLISTE[#All],2,0),"")</f>
        <v/>
      </c>
      <c r="D1772" s="2">
        <f t="shared" si="27"/>
        <v>0</v>
      </c>
      <c r="E1772" s="14" t="str">
        <f>IFERROR(GIZLI!G1767,"")</f>
        <v/>
      </c>
    </row>
    <row r="1773" spans="2:5" x14ac:dyDescent="0.3">
      <c r="B1773" s="2" t="str">
        <f>MID(TableQR[[#This Row],[QR CODES]],4,13)</f>
        <v/>
      </c>
      <c r="C1773" s="2" t="str">
        <f>IFERROR(VLOOKUP(TableQR[[#This Row],[BARCODES]],ILACLISTE[#All],2,0),"")</f>
        <v/>
      </c>
      <c r="D1773" s="2">
        <f t="shared" si="27"/>
        <v>0</v>
      </c>
      <c r="E1773" s="14" t="str">
        <f>IFERROR(GIZLI!G1768,"")</f>
        <v/>
      </c>
    </row>
    <row r="1774" spans="2:5" x14ac:dyDescent="0.3">
      <c r="B1774" s="2" t="str">
        <f>MID(TableQR[[#This Row],[QR CODES]],4,13)</f>
        <v/>
      </c>
      <c r="C1774" s="2" t="str">
        <f>IFERROR(VLOOKUP(TableQR[[#This Row],[BARCODES]],ILACLISTE[#All],2,0),"")</f>
        <v/>
      </c>
      <c r="D1774" s="2">
        <f t="shared" si="27"/>
        <v>0</v>
      </c>
      <c r="E1774" s="14" t="str">
        <f>IFERROR(GIZLI!G1769,"")</f>
        <v/>
      </c>
    </row>
    <row r="1775" spans="2:5" x14ac:dyDescent="0.3">
      <c r="B1775" s="2" t="str">
        <f>MID(TableQR[[#This Row],[QR CODES]],4,13)</f>
        <v/>
      </c>
      <c r="C1775" s="2" t="str">
        <f>IFERROR(VLOOKUP(TableQR[[#This Row],[BARCODES]],ILACLISTE[#All],2,0),"")</f>
        <v/>
      </c>
      <c r="D1775" s="2">
        <f t="shared" si="27"/>
        <v>0</v>
      </c>
      <c r="E1775" s="14" t="str">
        <f>IFERROR(GIZLI!G1770,"")</f>
        <v/>
      </c>
    </row>
    <row r="1776" spans="2:5" x14ac:dyDescent="0.3">
      <c r="B1776" s="2" t="str">
        <f>MID(TableQR[[#This Row],[QR CODES]],4,13)</f>
        <v/>
      </c>
      <c r="C1776" s="2" t="str">
        <f>IFERROR(VLOOKUP(TableQR[[#This Row],[BARCODES]],ILACLISTE[#All],2,0),"")</f>
        <v/>
      </c>
      <c r="D1776" s="2">
        <f t="shared" si="27"/>
        <v>0</v>
      </c>
      <c r="E1776" s="14" t="str">
        <f>IFERROR(GIZLI!G1771,"")</f>
        <v/>
      </c>
    </row>
    <row r="1777" spans="2:5" x14ac:dyDescent="0.3">
      <c r="B1777" s="2" t="str">
        <f>MID(TableQR[[#This Row],[QR CODES]],4,13)</f>
        <v/>
      </c>
      <c r="C1777" s="2" t="str">
        <f>IFERROR(VLOOKUP(TableQR[[#This Row],[BARCODES]],ILACLISTE[#All],2,0),"")</f>
        <v/>
      </c>
      <c r="D1777" s="2">
        <f t="shared" si="27"/>
        <v>0</v>
      </c>
      <c r="E1777" s="14" t="str">
        <f>IFERROR(GIZLI!G1772,"")</f>
        <v/>
      </c>
    </row>
    <row r="1778" spans="2:5" x14ac:dyDescent="0.3">
      <c r="B1778" s="2" t="str">
        <f>MID(TableQR[[#This Row],[QR CODES]],4,13)</f>
        <v/>
      </c>
      <c r="C1778" s="2" t="str">
        <f>IFERROR(VLOOKUP(TableQR[[#This Row],[BARCODES]],ILACLISTE[#All],2,0),"")</f>
        <v/>
      </c>
      <c r="D1778" s="2">
        <f t="shared" si="27"/>
        <v>0</v>
      </c>
      <c r="E1778" s="14" t="str">
        <f>IFERROR(GIZLI!G1773,"")</f>
        <v/>
      </c>
    </row>
    <row r="1779" spans="2:5" x14ac:dyDescent="0.3">
      <c r="B1779" s="2" t="str">
        <f>MID(TableQR[[#This Row],[QR CODES]],4,13)</f>
        <v/>
      </c>
      <c r="C1779" s="2" t="str">
        <f>IFERROR(VLOOKUP(TableQR[[#This Row],[BARCODES]],ILACLISTE[#All],2,0),"")</f>
        <v/>
      </c>
      <c r="D1779" s="2">
        <f t="shared" si="27"/>
        <v>0</v>
      </c>
      <c r="E1779" s="14" t="str">
        <f>IFERROR(GIZLI!G1774,"")</f>
        <v/>
      </c>
    </row>
    <row r="1780" spans="2:5" x14ac:dyDescent="0.3">
      <c r="B1780" s="2" t="str">
        <f>MID(TableQR[[#This Row],[QR CODES]],4,13)</f>
        <v/>
      </c>
      <c r="C1780" s="2" t="str">
        <f>IFERROR(VLOOKUP(TableQR[[#This Row],[BARCODES]],ILACLISTE[#All],2,0),"")</f>
        <v/>
      </c>
      <c r="D1780" s="2">
        <f t="shared" si="27"/>
        <v>0</v>
      </c>
      <c r="E1780" s="14" t="str">
        <f>IFERROR(GIZLI!G1775,"")</f>
        <v/>
      </c>
    </row>
    <row r="1781" spans="2:5" x14ac:dyDescent="0.3">
      <c r="B1781" s="2" t="str">
        <f>MID(TableQR[[#This Row],[QR CODES]],4,13)</f>
        <v/>
      </c>
      <c r="C1781" s="2" t="str">
        <f>IFERROR(VLOOKUP(TableQR[[#This Row],[BARCODES]],ILACLISTE[#All],2,0),"")</f>
        <v/>
      </c>
      <c r="D1781" s="2">
        <f t="shared" si="27"/>
        <v>0</v>
      </c>
      <c r="E1781" s="14" t="str">
        <f>IFERROR(GIZLI!G1776,"")</f>
        <v/>
      </c>
    </row>
    <row r="1782" spans="2:5" x14ac:dyDescent="0.3">
      <c r="B1782" s="2" t="str">
        <f>MID(TableQR[[#This Row],[QR CODES]],4,13)</f>
        <v/>
      </c>
      <c r="C1782" s="2" t="str">
        <f>IFERROR(VLOOKUP(TableQR[[#This Row],[BARCODES]],ILACLISTE[#All],2,0),"")</f>
        <v/>
      </c>
      <c r="D1782" s="2">
        <f t="shared" si="27"/>
        <v>0</v>
      </c>
      <c r="E1782" s="14" t="str">
        <f>IFERROR(GIZLI!G1777,"")</f>
        <v/>
      </c>
    </row>
    <row r="1783" spans="2:5" x14ac:dyDescent="0.3">
      <c r="B1783" s="2" t="str">
        <f>MID(TableQR[[#This Row],[QR CODES]],4,13)</f>
        <v/>
      </c>
      <c r="C1783" s="2" t="str">
        <f>IFERROR(VLOOKUP(TableQR[[#This Row],[BARCODES]],ILACLISTE[#All],2,0),"")</f>
        <v/>
      </c>
      <c r="D1783" s="2">
        <f t="shared" si="27"/>
        <v>0</v>
      </c>
      <c r="E1783" s="14" t="str">
        <f>IFERROR(GIZLI!G1778,"")</f>
        <v/>
      </c>
    </row>
    <row r="1784" spans="2:5" x14ac:dyDescent="0.3">
      <c r="B1784" s="2" t="str">
        <f>MID(TableQR[[#This Row],[QR CODES]],4,13)</f>
        <v/>
      </c>
      <c r="C1784" s="2" t="str">
        <f>IFERROR(VLOOKUP(TableQR[[#This Row],[BARCODES]],ILACLISTE[#All],2,0),"")</f>
        <v/>
      </c>
      <c r="D1784" s="2">
        <f t="shared" si="27"/>
        <v>0</v>
      </c>
      <c r="E1784" s="14" t="str">
        <f>IFERROR(GIZLI!G1779,"")</f>
        <v/>
      </c>
    </row>
    <row r="1785" spans="2:5" x14ac:dyDescent="0.3">
      <c r="B1785" s="2" t="str">
        <f>MID(TableQR[[#This Row],[QR CODES]],4,13)</f>
        <v/>
      </c>
      <c r="C1785" s="2" t="str">
        <f>IFERROR(VLOOKUP(TableQR[[#This Row],[BARCODES]],ILACLISTE[#All],2,0),"")</f>
        <v/>
      </c>
      <c r="D1785" s="2">
        <f t="shared" si="27"/>
        <v>0</v>
      </c>
      <c r="E1785" s="14" t="str">
        <f>IFERROR(GIZLI!G1780,"")</f>
        <v/>
      </c>
    </row>
    <row r="1786" spans="2:5" x14ac:dyDescent="0.3">
      <c r="B1786" s="2" t="str">
        <f>MID(TableQR[[#This Row],[QR CODES]],4,13)</f>
        <v/>
      </c>
      <c r="C1786" s="2" t="str">
        <f>IFERROR(VLOOKUP(TableQR[[#This Row],[BARCODES]],ILACLISTE[#All],2,0),"")</f>
        <v/>
      </c>
      <c r="D1786" s="2">
        <f t="shared" si="27"/>
        <v>0</v>
      </c>
      <c r="E1786" s="14" t="str">
        <f>IFERROR(GIZLI!G1781,"")</f>
        <v/>
      </c>
    </row>
    <row r="1787" spans="2:5" x14ac:dyDescent="0.3">
      <c r="B1787" s="2" t="str">
        <f>MID(TableQR[[#This Row],[QR CODES]],4,13)</f>
        <v/>
      </c>
      <c r="C1787" s="2" t="str">
        <f>IFERROR(VLOOKUP(TableQR[[#This Row],[BARCODES]],ILACLISTE[#All],2,0),"")</f>
        <v/>
      </c>
      <c r="D1787" s="2">
        <f t="shared" si="27"/>
        <v>0</v>
      </c>
      <c r="E1787" s="14" t="str">
        <f>IFERROR(GIZLI!G1782,"")</f>
        <v/>
      </c>
    </row>
    <row r="1788" spans="2:5" x14ac:dyDescent="0.3">
      <c r="B1788" s="2" t="str">
        <f>MID(TableQR[[#This Row],[QR CODES]],4,13)</f>
        <v/>
      </c>
      <c r="C1788" s="2" t="str">
        <f>IFERROR(VLOOKUP(TableQR[[#This Row],[BARCODES]],ILACLISTE[#All],2,0),"")</f>
        <v/>
      </c>
      <c r="D1788" s="2">
        <f t="shared" si="27"/>
        <v>0</v>
      </c>
      <c r="E1788" s="14" t="str">
        <f>IFERROR(GIZLI!G1783,"")</f>
        <v/>
      </c>
    </row>
    <row r="1789" spans="2:5" x14ac:dyDescent="0.3">
      <c r="B1789" s="2" t="str">
        <f>MID(TableQR[[#This Row],[QR CODES]],4,13)</f>
        <v/>
      </c>
      <c r="C1789" s="2" t="str">
        <f>IFERROR(VLOOKUP(TableQR[[#This Row],[BARCODES]],ILACLISTE[#All],2,0),"")</f>
        <v/>
      </c>
      <c r="D1789" s="2">
        <f t="shared" si="27"/>
        <v>0</v>
      </c>
      <c r="E1789" s="14" t="str">
        <f>IFERROR(GIZLI!G1784,"")</f>
        <v/>
      </c>
    </row>
    <row r="1790" spans="2:5" x14ac:dyDescent="0.3">
      <c r="B1790" s="2" t="str">
        <f>MID(TableQR[[#This Row],[QR CODES]],4,13)</f>
        <v/>
      </c>
      <c r="C1790" s="2" t="str">
        <f>IFERROR(VLOOKUP(TableQR[[#This Row],[BARCODES]],ILACLISTE[#All],2,0),"")</f>
        <v/>
      </c>
      <c r="D1790" s="2">
        <f t="shared" si="27"/>
        <v>0</v>
      </c>
      <c r="E1790" s="14" t="str">
        <f>IFERROR(GIZLI!G1785,"")</f>
        <v/>
      </c>
    </row>
    <row r="1791" spans="2:5" x14ac:dyDescent="0.3">
      <c r="B1791" s="2" t="str">
        <f>MID(TableQR[[#This Row],[QR CODES]],4,13)</f>
        <v/>
      </c>
      <c r="C1791" s="2" t="str">
        <f>IFERROR(VLOOKUP(TableQR[[#This Row],[BARCODES]],ILACLISTE[#All],2,0),"")</f>
        <v/>
      </c>
      <c r="D1791" s="2">
        <f t="shared" si="27"/>
        <v>0</v>
      </c>
      <c r="E1791" s="14" t="str">
        <f>IFERROR(GIZLI!G1786,"")</f>
        <v/>
      </c>
    </row>
    <row r="1792" spans="2:5" x14ac:dyDescent="0.3">
      <c r="B1792" s="2" t="str">
        <f>MID(TableQR[[#This Row],[QR CODES]],4,13)</f>
        <v/>
      </c>
      <c r="C1792" s="2" t="str">
        <f>IFERROR(VLOOKUP(TableQR[[#This Row],[BARCODES]],ILACLISTE[#All],2,0),"")</f>
        <v/>
      </c>
      <c r="D1792" s="2">
        <f t="shared" si="27"/>
        <v>0</v>
      </c>
      <c r="E1792" s="14" t="str">
        <f>IFERROR(GIZLI!G1787,"")</f>
        <v/>
      </c>
    </row>
    <row r="1793" spans="2:5" x14ac:dyDescent="0.3">
      <c r="B1793" s="2" t="str">
        <f>MID(TableQR[[#This Row],[QR CODES]],4,13)</f>
        <v/>
      </c>
      <c r="C1793" s="2" t="str">
        <f>IFERROR(VLOOKUP(TableQR[[#This Row],[BARCODES]],ILACLISTE[#All],2,0),"")</f>
        <v/>
      </c>
      <c r="D1793" s="2">
        <f t="shared" si="27"/>
        <v>0</v>
      </c>
      <c r="E1793" s="14" t="str">
        <f>IFERROR(GIZLI!G1788,"")</f>
        <v/>
      </c>
    </row>
    <row r="1794" spans="2:5" x14ac:dyDescent="0.3">
      <c r="B1794" s="2" t="str">
        <f>MID(TableQR[[#This Row],[QR CODES]],4,13)</f>
        <v/>
      </c>
      <c r="C1794" s="2" t="str">
        <f>IFERROR(VLOOKUP(TableQR[[#This Row],[BARCODES]],ILACLISTE[#All],2,0),"")</f>
        <v/>
      </c>
      <c r="D1794" s="2">
        <f t="shared" si="27"/>
        <v>0</v>
      </c>
      <c r="E1794" s="14" t="str">
        <f>IFERROR(GIZLI!G1789,"")</f>
        <v/>
      </c>
    </row>
    <row r="1795" spans="2:5" x14ac:dyDescent="0.3">
      <c r="B1795" s="2" t="str">
        <f>MID(TableQR[[#This Row],[QR CODES]],4,13)</f>
        <v/>
      </c>
      <c r="C1795" s="2" t="str">
        <f>IFERROR(VLOOKUP(TableQR[[#This Row],[BARCODES]],ILACLISTE[#All],2,0),"")</f>
        <v/>
      </c>
      <c r="D1795" s="2">
        <f t="shared" si="27"/>
        <v>0</v>
      </c>
      <c r="E1795" s="14" t="str">
        <f>IFERROR(GIZLI!G1790,"")</f>
        <v/>
      </c>
    </row>
    <row r="1796" spans="2:5" x14ac:dyDescent="0.3">
      <c r="B1796" s="2" t="str">
        <f>MID(TableQR[[#This Row],[QR CODES]],4,13)</f>
        <v/>
      </c>
      <c r="C1796" s="2" t="str">
        <f>IFERROR(VLOOKUP(TableQR[[#This Row],[BARCODES]],ILACLISTE[#All],2,0),"")</f>
        <v/>
      </c>
      <c r="D1796" s="2">
        <f t="shared" si="27"/>
        <v>0</v>
      </c>
      <c r="E1796" s="14" t="str">
        <f>IFERROR(GIZLI!G1791,"")</f>
        <v/>
      </c>
    </row>
    <row r="1797" spans="2:5" x14ac:dyDescent="0.3">
      <c r="B1797" s="2" t="str">
        <f>MID(TableQR[[#This Row],[QR CODES]],4,13)</f>
        <v/>
      </c>
      <c r="C1797" s="2" t="str">
        <f>IFERROR(VLOOKUP(TableQR[[#This Row],[BARCODES]],ILACLISTE[#All],2,0),"")</f>
        <v/>
      </c>
      <c r="D1797" s="2">
        <f t="shared" si="27"/>
        <v>0</v>
      </c>
      <c r="E1797" s="14" t="str">
        <f>IFERROR(GIZLI!G1792,"")</f>
        <v/>
      </c>
    </row>
    <row r="1798" spans="2:5" x14ac:dyDescent="0.3">
      <c r="B1798" s="2" t="str">
        <f>MID(TableQR[[#This Row],[QR CODES]],4,13)</f>
        <v/>
      </c>
      <c r="C1798" s="2" t="str">
        <f>IFERROR(VLOOKUP(TableQR[[#This Row],[BARCODES]],ILACLISTE[#All],2,0),"")</f>
        <v/>
      </c>
      <c r="D1798" s="2">
        <f t="shared" si="27"/>
        <v>0</v>
      </c>
      <c r="E1798" s="14" t="str">
        <f>IFERROR(GIZLI!G1793,"")</f>
        <v/>
      </c>
    </row>
    <row r="1799" spans="2:5" x14ac:dyDescent="0.3">
      <c r="B1799" s="2" t="str">
        <f>MID(TableQR[[#This Row],[QR CODES]],4,13)</f>
        <v/>
      </c>
      <c r="C1799" s="2" t="str">
        <f>IFERROR(VLOOKUP(TableQR[[#This Row],[BARCODES]],ILACLISTE[#All],2,0),"")</f>
        <v/>
      </c>
      <c r="D1799" s="2">
        <f t="shared" si="27"/>
        <v>0</v>
      </c>
      <c r="E1799" s="14" t="str">
        <f>IFERROR(GIZLI!G1794,"")</f>
        <v/>
      </c>
    </row>
    <row r="1800" spans="2:5" x14ac:dyDescent="0.3">
      <c r="B1800" s="2" t="str">
        <f>MID(TableQR[[#This Row],[QR CODES]],4,13)</f>
        <v/>
      </c>
      <c r="C1800" s="2" t="str">
        <f>IFERROR(VLOOKUP(TableQR[[#This Row],[BARCODES]],ILACLISTE[#All],2,0),"")</f>
        <v/>
      </c>
      <c r="D1800" s="2">
        <f t="shared" ref="D1800:D1863" si="28">COUNTIF(B1800:B5793,IF(B1800="",66666,B1800))</f>
        <v>0</v>
      </c>
      <c r="E1800" s="14" t="str">
        <f>IFERROR(GIZLI!G1795,"")</f>
        <v/>
      </c>
    </row>
    <row r="1801" spans="2:5" x14ac:dyDescent="0.3">
      <c r="B1801" s="2" t="str">
        <f>MID(TableQR[[#This Row],[QR CODES]],4,13)</f>
        <v/>
      </c>
      <c r="C1801" s="2" t="str">
        <f>IFERROR(VLOOKUP(TableQR[[#This Row],[BARCODES]],ILACLISTE[#All],2,0),"")</f>
        <v/>
      </c>
      <c r="D1801" s="2">
        <f t="shared" si="28"/>
        <v>0</v>
      </c>
      <c r="E1801" s="14" t="str">
        <f>IFERROR(GIZLI!G1796,"")</f>
        <v/>
      </c>
    </row>
    <row r="1802" spans="2:5" x14ac:dyDescent="0.3">
      <c r="B1802" s="2" t="str">
        <f>MID(TableQR[[#This Row],[QR CODES]],4,13)</f>
        <v/>
      </c>
      <c r="C1802" s="2" t="str">
        <f>IFERROR(VLOOKUP(TableQR[[#This Row],[BARCODES]],ILACLISTE[#All],2,0),"")</f>
        <v/>
      </c>
      <c r="D1802" s="2">
        <f t="shared" si="28"/>
        <v>0</v>
      </c>
      <c r="E1802" s="14" t="str">
        <f>IFERROR(GIZLI!G1797,"")</f>
        <v/>
      </c>
    </row>
    <row r="1803" spans="2:5" x14ac:dyDescent="0.3">
      <c r="B1803" s="2" t="str">
        <f>MID(TableQR[[#This Row],[QR CODES]],4,13)</f>
        <v/>
      </c>
      <c r="C1803" s="2" t="str">
        <f>IFERROR(VLOOKUP(TableQR[[#This Row],[BARCODES]],ILACLISTE[#All],2,0),"")</f>
        <v/>
      </c>
      <c r="D1803" s="2">
        <f t="shared" si="28"/>
        <v>0</v>
      </c>
      <c r="E1803" s="14" t="str">
        <f>IFERROR(GIZLI!G1798,"")</f>
        <v/>
      </c>
    </row>
    <row r="1804" spans="2:5" x14ac:dyDescent="0.3">
      <c r="B1804" s="2" t="str">
        <f>MID(TableQR[[#This Row],[QR CODES]],4,13)</f>
        <v/>
      </c>
      <c r="C1804" s="2" t="str">
        <f>IFERROR(VLOOKUP(TableQR[[#This Row],[BARCODES]],ILACLISTE[#All],2,0),"")</f>
        <v/>
      </c>
      <c r="D1804" s="2">
        <f t="shared" si="28"/>
        <v>0</v>
      </c>
      <c r="E1804" s="14" t="str">
        <f>IFERROR(GIZLI!G1799,"")</f>
        <v/>
      </c>
    </row>
    <row r="1805" spans="2:5" x14ac:dyDescent="0.3">
      <c r="B1805" s="2" t="str">
        <f>MID(TableQR[[#This Row],[QR CODES]],4,13)</f>
        <v/>
      </c>
      <c r="C1805" s="2" t="str">
        <f>IFERROR(VLOOKUP(TableQR[[#This Row],[BARCODES]],ILACLISTE[#All],2,0),"")</f>
        <v/>
      </c>
      <c r="D1805" s="2">
        <f t="shared" si="28"/>
        <v>0</v>
      </c>
      <c r="E1805" s="14" t="str">
        <f>IFERROR(GIZLI!G1800,"")</f>
        <v/>
      </c>
    </row>
    <row r="1806" spans="2:5" x14ac:dyDescent="0.3">
      <c r="B1806" s="2" t="str">
        <f>MID(TableQR[[#This Row],[QR CODES]],4,13)</f>
        <v/>
      </c>
      <c r="C1806" s="2" t="str">
        <f>IFERROR(VLOOKUP(TableQR[[#This Row],[BARCODES]],ILACLISTE[#All],2,0),"")</f>
        <v/>
      </c>
      <c r="D1806" s="2">
        <f t="shared" si="28"/>
        <v>0</v>
      </c>
      <c r="E1806" s="14" t="str">
        <f>IFERROR(GIZLI!G1801,"")</f>
        <v/>
      </c>
    </row>
    <row r="1807" spans="2:5" x14ac:dyDescent="0.3">
      <c r="B1807" s="2" t="str">
        <f>MID(TableQR[[#This Row],[QR CODES]],4,13)</f>
        <v/>
      </c>
      <c r="C1807" s="2" t="str">
        <f>IFERROR(VLOOKUP(TableQR[[#This Row],[BARCODES]],ILACLISTE[#All],2,0),"")</f>
        <v/>
      </c>
      <c r="D1807" s="2">
        <f t="shared" si="28"/>
        <v>0</v>
      </c>
      <c r="E1807" s="14" t="str">
        <f>IFERROR(GIZLI!G1802,"")</f>
        <v/>
      </c>
    </row>
    <row r="1808" spans="2:5" x14ac:dyDescent="0.3">
      <c r="B1808" s="2" t="str">
        <f>MID(TableQR[[#This Row],[QR CODES]],4,13)</f>
        <v/>
      </c>
      <c r="C1808" s="2" t="str">
        <f>IFERROR(VLOOKUP(TableQR[[#This Row],[BARCODES]],ILACLISTE[#All],2,0),"")</f>
        <v/>
      </c>
      <c r="D1808" s="2">
        <f t="shared" si="28"/>
        <v>0</v>
      </c>
      <c r="E1808" s="14" t="str">
        <f>IFERROR(GIZLI!G1803,"")</f>
        <v/>
      </c>
    </row>
    <row r="1809" spans="2:5" x14ac:dyDescent="0.3">
      <c r="B1809" s="2" t="str">
        <f>MID(TableQR[[#This Row],[QR CODES]],4,13)</f>
        <v/>
      </c>
      <c r="C1809" s="2" t="str">
        <f>IFERROR(VLOOKUP(TableQR[[#This Row],[BARCODES]],ILACLISTE[#All],2,0),"")</f>
        <v/>
      </c>
      <c r="D1809" s="2">
        <f t="shared" si="28"/>
        <v>0</v>
      </c>
      <c r="E1809" s="14" t="str">
        <f>IFERROR(GIZLI!G1804,"")</f>
        <v/>
      </c>
    </row>
    <row r="1810" spans="2:5" x14ac:dyDescent="0.3">
      <c r="B1810" s="2" t="str">
        <f>MID(TableQR[[#This Row],[QR CODES]],4,13)</f>
        <v/>
      </c>
      <c r="C1810" s="2" t="str">
        <f>IFERROR(VLOOKUP(TableQR[[#This Row],[BARCODES]],ILACLISTE[#All],2,0),"")</f>
        <v/>
      </c>
      <c r="D1810" s="2">
        <f t="shared" si="28"/>
        <v>0</v>
      </c>
      <c r="E1810" s="14" t="str">
        <f>IFERROR(GIZLI!G1805,"")</f>
        <v/>
      </c>
    </row>
    <row r="1811" spans="2:5" x14ac:dyDescent="0.3">
      <c r="B1811" s="2" t="str">
        <f>MID(TableQR[[#This Row],[QR CODES]],4,13)</f>
        <v/>
      </c>
      <c r="C1811" s="2" t="str">
        <f>IFERROR(VLOOKUP(TableQR[[#This Row],[BARCODES]],ILACLISTE[#All],2,0),"")</f>
        <v/>
      </c>
      <c r="D1811" s="2">
        <f t="shared" si="28"/>
        <v>0</v>
      </c>
      <c r="E1811" s="14" t="str">
        <f>IFERROR(GIZLI!G1806,"")</f>
        <v/>
      </c>
    </row>
    <row r="1812" spans="2:5" x14ac:dyDescent="0.3">
      <c r="B1812" s="2" t="str">
        <f>MID(TableQR[[#This Row],[QR CODES]],4,13)</f>
        <v/>
      </c>
      <c r="C1812" s="2" t="str">
        <f>IFERROR(VLOOKUP(TableQR[[#This Row],[BARCODES]],ILACLISTE[#All],2,0),"")</f>
        <v/>
      </c>
      <c r="D1812" s="2">
        <f t="shared" si="28"/>
        <v>0</v>
      </c>
      <c r="E1812" s="14" t="str">
        <f>IFERROR(GIZLI!G1807,"")</f>
        <v/>
      </c>
    </row>
    <row r="1813" spans="2:5" x14ac:dyDescent="0.3">
      <c r="B1813" s="2" t="str">
        <f>MID(TableQR[[#This Row],[QR CODES]],4,13)</f>
        <v/>
      </c>
      <c r="C1813" s="2" t="str">
        <f>IFERROR(VLOOKUP(TableQR[[#This Row],[BARCODES]],ILACLISTE[#All],2,0),"")</f>
        <v/>
      </c>
      <c r="D1813" s="2">
        <f t="shared" si="28"/>
        <v>0</v>
      </c>
      <c r="E1813" s="14" t="str">
        <f>IFERROR(GIZLI!G1808,"")</f>
        <v/>
      </c>
    </row>
    <row r="1814" spans="2:5" x14ac:dyDescent="0.3">
      <c r="B1814" s="2" t="str">
        <f>MID(TableQR[[#This Row],[QR CODES]],4,13)</f>
        <v/>
      </c>
      <c r="C1814" s="2" t="str">
        <f>IFERROR(VLOOKUP(TableQR[[#This Row],[BARCODES]],ILACLISTE[#All],2,0),"")</f>
        <v/>
      </c>
      <c r="D1814" s="2">
        <f t="shared" si="28"/>
        <v>0</v>
      </c>
      <c r="E1814" s="14" t="str">
        <f>IFERROR(GIZLI!G1809,"")</f>
        <v/>
      </c>
    </row>
    <row r="1815" spans="2:5" x14ac:dyDescent="0.3">
      <c r="B1815" s="2" t="str">
        <f>MID(TableQR[[#This Row],[QR CODES]],4,13)</f>
        <v/>
      </c>
      <c r="C1815" s="2" t="str">
        <f>IFERROR(VLOOKUP(TableQR[[#This Row],[BARCODES]],ILACLISTE[#All],2,0),"")</f>
        <v/>
      </c>
      <c r="D1815" s="2">
        <f t="shared" si="28"/>
        <v>0</v>
      </c>
      <c r="E1815" s="14" t="str">
        <f>IFERROR(GIZLI!G1810,"")</f>
        <v/>
      </c>
    </row>
    <row r="1816" spans="2:5" x14ac:dyDescent="0.3">
      <c r="B1816" s="2" t="str">
        <f>MID(TableQR[[#This Row],[QR CODES]],4,13)</f>
        <v/>
      </c>
      <c r="C1816" s="2" t="str">
        <f>IFERROR(VLOOKUP(TableQR[[#This Row],[BARCODES]],ILACLISTE[#All],2,0),"")</f>
        <v/>
      </c>
      <c r="D1816" s="2">
        <f t="shared" si="28"/>
        <v>0</v>
      </c>
      <c r="E1816" s="14" t="str">
        <f>IFERROR(GIZLI!G1811,"")</f>
        <v/>
      </c>
    </row>
    <row r="1817" spans="2:5" x14ac:dyDescent="0.3">
      <c r="B1817" s="2" t="str">
        <f>MID(TableQR[[#This Row],[QR CODES]],4,13)</f>
        <v/>
      </c>
      <c r="C1817" s="2" t="str">
        <f>IFERROR(VLOOKUP(TableQR[[#This Row],[BARCODES]],ILACLISTE[#All],2,0),"")</f>
        <v/>
      </c>
      <c r="D1817" s="2">
        <f t="shared" si="28"/>
        <v>0</v>
      </c>
      <c r="E1817" s="14" t="str">
        <f>IFERROR(GIZLI!G1812,"")</f>
        <v/>
      </c>
    </row>
    <row r="1818" spans="2:5" x14ac:dyDescent="0.3">
      <c r="B1818" s="2" t="str">
        <f>MID(TableQR[[#This Row],[QR CODES]],4,13)</f>
        <v/>
      </c>
      <c r="C1818" s="2" t="str">
        <f>IFERROR(VLOOKUP(TableQR[[#This Row],[BARCODES]],ILACLISTE[#All],2,0),"")</f>
        <v/>
      </c>
      <c r="D1818" s="2">
        <f t="shared" si="28"/>
        <v>0</v>
      </c>
      <c r="E1818" s="14" t="str">
        <f>IFERROR(GIZLI!G1813,"")</f>
        <v/>
      </c>
    </row>
    <row r="1819" spans="2:5" x14ac:dyDescent="0.3">
      <c r="B1819" s="2" t="str">
        <f>MID(TableQR[[#This Row],[QR CODES]],4,13)</f>
        <v/>
      </c>
      <c r="C1819" s="2" t="str">
        <f>IFERROR(VLOOKUP(TableQR[[#This Row],[BARCODES]],ILACLISTE[#All],2,0),"")</f>
        <v/>
      </c>
      <c r="D1819" s="2">
        <f t="shared" si="28"/>
        <v>0</v>
      </c>
      <c r="E1819" s="14" t="str">
        <f>IFERROR(GIZLI!G1814,"")</f>
        <v/>
      </c>
    </row>
    <row r="1820" spans="2:5" x14ac:dyDescent="0.3">
      <c r="B1820" s="2" t="str">
        <f>MID(TableQR[[#This Row],[QR CODES]],4,13)</f>
        <v/>
      </c>
      <c r="C1820" s="2" t="str">
        <f>IFERROR(VLOOKUP(TableQR[[#This Row],[BARCODES]],ILACLISTE[#All],2,0),"")</f>
        <v/>
      </c>
      <c r="D1820" s="2">
        <f t="shared" si="28"/>
        <v>0</v>
      </c>
      <c r="E1820" s="14" t="str">
        <f>IFERROR(GIZLI!G1815,"")</f>
        <v/>
      </c>
    </row>
    <row r="1821" spans="2:5" x14ac:dyDescent="0.3">
      <c r="B1821" s="2" t="str">
        <f>MID(TableQR[[#This Row],[QR CODES]],4,13)</f>
        <v/>
      </c>
      <c r="C1821" s="2" t="str">
        <f>IFERROR(VLOOKUP(TableQR[[#This Row],[BARCODES]],ILACLISTE[#All],2,0),"")</f>
        <v/>
      </c>
      <c r="D1821" s="2">
        <f t="shared" si="28"/>
        <v>0</v>
      </c>
      <c r="E1821" s="14" t="str">
        <f>IFERROR(GIZLI!G1816,"")</f>
        <v/>
      </c>
    </row>
    <row r="1822" spans="2:5" x14ac:dyDescent="0.3">
      <c r="B1822" s="2" t="str">
        <f>MID(TableQR[[#This Row],[QR CODES]],4,13)</f>
        <v/>
      </c>
      <c r="C1822" s="2" t="str">
        <f>IFERROR(VLOOKUP(TableQR[[#This Row],[BARCODES]],ILACLISTE[#All],2,0),"")</f>
        <v/>
      </c>
      <c r="D1822" s="2">
        <f t="shared" si="28"/>
        <v>0</v>
      </c>
      <c r="E1822" s="14" t="str">
        <f>IFERROR(GIZLI!G1817,"")</f>
        <v/>
      </c>
    </row>
    <row r="1823" spans="2:5" x14ac:dyDescent="0.3">
      <c r="B1823" s="2" t="str">
        <f>MID(TableQR[[#This Row],[QR CODES]],4,13)</f>
        <v/>
      </c>
      <c r="C1823" s="2" t="str">
        <f>IFERROR(VLOOKUP(TableQR[[#This Row],[BARCODES]],ILACLISTE[#All],2,0),"")</f>
        <v/>
      </c>
      <c r="D1823" s="2">
        <f t="shared" si="28"/>
        <v>0</v>
      </c>
      <c r="E1823" s="14" t="str">
        <f>IFERROR(GIZLI!G1818,"")</f>
        <v/>
      </c>
    </row>
    <row r="1824" spans="2:5" x14ac:dyDescent="0.3">
      <c r="B1824" s="2" t="str">
        <f>MID(TableQR[[#This Row],[QR CODES]],4,13)</f>
        <v/>
      </c>
      <c r="C1824" s="2" t="str">
        <f>IFERROR(VLOOKUP(TableQR[[#This Row],[BARCODES]],ILACLISTE[#All],2,0),"")</f>
        <v/>
      </c>
      <c r="D1824" s="2">
        <f t="shared" si="28"/>
        <v>0</v>
      </c>
      <c r="E1824" s="14" t="str">
        <f>IFERROR(GIZLI!G1819,"")</f>
        <v/>
      </c>
    </row>
    <row r="1825" spans="2:5" x14ac:dyDescent="0.3">
      <c r="B1825" s="2" t="str">
        <f>MID(TableQR[[#This Row],[QR CODES]],4,13)</f>
        <v/>
      </c>
      <c r="C1825" s="2" t="str">
        <f>IFERROR(VLOOKUP(TableQR[[#This Row],[BARCODES]],ILACLISTE[#All],2,0),"")</f>
        <v/>
      </c>
      <c r="D1825" s="2">
        <f t="shared" si="28"/>
        <v>0</v>
      </c>
      <c r="E1825" s="14" t="str">
        <f>IFERROR(GIZLI!G1820,"")</f>
        <v/>
      </c>
    </row>
    <row r="1826" spans="2:5" x14ac:dyDescent="0.3">
      <c r="B1826" s="2" t="str">
        <f>MID(TableQR[[#This Row],[QR CODES]],4,13)</f>
        <v/>
      </c>
      <c r="C1826" s="2" t="str">
        <f>IFERROR(VLOOKUP(TableQR[[#This Row],[BARCODES]],ILACLISTE[#All],2,0),"")</f>
        <v/>
      </c>
      <c r="D1826" s="2">
        <f t="shared" si="28"/>
        <v>0</v>
      </c>
      <c r="E1826" s="14" t="str">
        <f>IFERROR(GIZLI!G1821,"")</f>
        <v/>
      </c>
    </row>
    <row r="1827" spans="2:5" x14ac:dyDescent="0.3">
      <c r="B1827" s="2" t="str">
        <f>MID(TableQR[[#This Row],[QR CODES]],4,13)</f>
        <v/>
      </c>
      <c r="C1827" s="2" t="str">
        <f>IFERROR(VLOOKUP(TableQR[[#This Row],[BARCODES]],ILACLISTE[#All],2,0),"")</f>
        <v/>
      </c>
      <c r="D1827" s="2">
        <f t="shared" si="28"/>
        <v>0</v>
      </c>
      <c r="E1827" s="14" t="str">
        <f>IFERROR(GIZLI!G1822,"")</f>
        <v/>
      </c>
    </row>
    <row r="1828" spans="2:5" x14ac:dyDescent="0.3">
      <c r="B1828" s="2" t="str">
        <f>MID(TableQR[[#This Row],[QR CODES]],4,13)</f>
        <v/>
      </c>
      <c r="C1828" s="2" t="str">
        <f>IFERROR(VLOOKUP(TableQR[[#This Row],[BARCODES]],ILACLISTE[#All],2,0),"")</f>
        <v/>
      </c>
      <c r="D1828" s="2">
        <f t="shared" si="28"/>
        <v>0</v>
      </c>
      <c r="E1828" s="14" t="str">
        <f>IFERROR(GIZLI!G1823,"")</f>
        <v/>
      </c>
    </row>
    <row r="1829" spans="2:5" x14ac:dyDescent="0.3">
      <c r="B1829" s="2" t="str">
        <f>MID(TableQR[[#This Row],[QR CODES]],4,13)</f>
        <v/>
      </c>
      <c r="C1829" s="2" t="str">
        <f>IFERROR(VLOOKUP(TableQR[[#This Row],[BARCODES]],ILACLISTE[#All],2,0),"")</f>
        <v/>
      </c>
      <c r="D1829" s="2">
        <f t="shared" si="28"/>
        <v>0</v>
      </c>
      <c r="E1829" s="14" t="str">
        <f>IFERROR(GIZLI!G1824,"")</f>
        <v/>
      </c>
    </row>
    <row r="1830" spans="2:5" x14ac:dyDescent="0.3">
      <c r="B1830" s="2" t="str">
        <f>MID(TableQR[[#This Row],[QR CODES]],4,13)</f>
        <v/>
      </c>
      <c r="C1830" s="2" t="str">
        <f>IFERROR(VLOOKUP(TableQR[[#This Row],[BARCODES]],ILACLISTE[#All],2,0),"")</f>
        <v/>
      </c>
      <c r="D1830" s="2">
        <f t="shared" si="28"/>
        <v>0</v>
      </c>
      <c r="E1830" s="14" t="str">
        <f>IFERROR(GIZLI!G1825,"")</f>
        <v/>
      </c>
    </row>
    <row r="1831" spans="2:5" x14ac:dyDescent="0.3">
      <c r="B1831" s="2" t="str">
        <f>MID(TableQR[[#This Row],[QR CODES]],4,13)</f>
        <v/>
      </c>
      <c r="C1831" s="2" t="str">
        <f>IFERROR(VLOOKUP(TableQR[[#This Row],[BARCODES]],ILACLISTE[#All],2,0),"")</f>
        <v/>
      </c>
      <c r="D1831" s="2">
        <f t="shared" si="28"/>
        <v>0</v>
      </c>
      <c r="E1831" s="14" t="str">
        <f>IFERROR(GIZLI!G1826,"")</f>
        <v/>
      </c>
    </row>
    <row r="1832" spans="2:5" x14ac:dyDescent="0.3">
      <c r="B1832" s="2" t="str">
        <f>MID(TableQR[[#This Row],[QR CODES]],4,13)</f>
        <v/>
      </c>
      <c r="C1832" s="2" t="str">
        <f>IFERROR(VLOOKUP(TableQR[[#This Row],[BARCODES]],ILACLISTE[#All],2,0),"")</f>
        <v/>
      </c>
      <c r="D1832" s="2">
        <f t="shared" si="28"/>
        <v>0</v>
      </c>
      <c r="E1832" s="14" t="str">
        <f>IFERROR(GIZLI!G1827,"")</f>
        <v/>
      </c>
    </row>
    <row r="1833" spans="2:5" x14ac:dyDescent="0.3">
      <c r="B1833" s="2" t="str">
        <f>MID(TableQR[[#This Row],[QR CODES]],4,13)</f>
        <v/>
      </c>
      <c r="C1833" s="2" t="str">
        <f>IFERROR(VLOOKUP(TableQR[[#This Row],[BARCODES]],ILACLISTE[#All],2,0),"")</f>
        <v/>
      </c>
      <c r="D1833" s="2">
        <f t="shared" si="28"/>
        <v>0</v>
      </c>
      <c r="E1833" s="14" t="str">
        <f>IFERROR(GIZLI!G1828,"")</f>
        <v/>
      </c>
    </row>
    <row r="1834" spans="2:5" x14ac:dyDescent="0.3">
      <c r="B1834" s="2" t="str">
        <f>MID(TableQR[[#This Row],[QR CODES]],4,13)</f>
        <v/>
      </c>
      <c r="C1834" s="2" t="str">
        <f>IFERROR(VLOOKUP(TableQR[[#This Row],[BARCODES]],ILACLISTE[#All],2,0),"")</f>
        <v/>
      </c>
      <c r="D1834" s="2">
        <f t="shared" si="28"/>
        <v>0</v>
      </c>
      <c r="E1834" s="14" t="str">
        <f>IFERROR(GIZLI!G1829,"")</f>
        <v/>
      </c>
    </row>
    <row r="1835" spans="2:5" x14ac:dyDescent="0.3">
      <c r="B1835" s="2" t="str">
        <f>MID(TableQR[[#This Row],[QR CODES]],4,13)</f>
        <v/>
      </c>
      <c r="C1835" s="2" t="str">
        <f>IFERROR(VLOOKUP(TableQR[[#This Row],[BARCODES]],ILACLISTE[#All],2,0),"")</f>
        <v/>
      </c>
      <c r="D1835" s="2">
        <f t="shared" si="28"/>
        <v>0</v>
      </c>
      <c r="E1835" s="14" t="str">
        <f>IFERROR(GIZLI!G1830,"")</f>
        <v/>
      </c>
    </row>
    <row r="1836" spans="2:5" x14ac:dyDescent="0.3">
      <c r="B1836" s="2" t="str">
        <f>MID(TableQR[[#This Row],[QR CODES]],4,13)</f>
        <v/>
      </c>
      <c r="C1836" s="2" t="str">
        <f>IFERROR(VLOOKUP(TableQR[[#This Row],[BARCODES]],ILACLISTE[#All],2,0),"")</f>
        <v/>
      </c>
      <c r="D1836" s="2">
        <f t="shared" si="28"/>
        <v>0</v>
      </c>
      <c r="E1836" s="14" t="str">
        <f>IFERROR(GIZLI!G1831,"")</f>
        <v/>
      </c>
    </row>
    <row r="1837" spans="2:5" x14ac:dyDescent="0.3">
      <c r="B1837" s="2" t="str">
        <f>MID(TableQR[[#This Row],[QR CODES]],4,13)</f>
        <v/>
      </c>
      <c r="C1837" s="2" t="str">
        <f>IFERROR(VLOOKUP(TableQR[[#This Row],[BARCODES]],ILACLISTE[#All],2,0),"")</f>
        <v/>
      </c>
      <c r="D1837" s="2">
        <f t="shared" si="28"/>
        <v>0</v>
      </c>
      <c r="E1837" s="14" t="str">
        <f>IFERROR(GIZLI!G1832,"")</f>
        <v/>
      </c>
    </row>
    <row r="1838" spans="2:5" x14ac:dyDescent="0.3">
      <c r="B1838" s="2" t="str">
        <f>MID(TableQR[[#This Row],[QR CODES]],4,13)</f>
        <v/>
      </c>
      <c r="C1838" s="2" t="str">
        <f>IFERROR(VLOOKUP(TableQR[[#This Row],[BARCODES]],ILACLISTE[#All],2,0),"")</f>
        <v/>
      </c>
      <c r="D1838" s="2">
        <f t="shared" si="28"/>
        <v>0</v>
      </c>
      <c r="E1838" s="14" t="str">
        <f>IFERROR(GIZLI!G1833,"")</f>
        <v/>
      </c>
    </row>
    <row r="1839" spans="2:5" x14ac:dyDescent="0.3">
      <c r="B1839" s="2" t="str">
        <f>MID(TableQR[[#This Row],[QR CODES]],4,13)</f>
        <v/>
      </c>
      <c r="C1839" s="2" t="str">
        <f>IFERROR(VLOOKUP(TableQR[[#This Row],[BARCODES]],ILACLISTE[#All],2,0),"")</f>
        <v/>
      </c>
      <c r="D1839" s="2">
        <f t="shared" si="28"/>
        <v>0</v>
      </c>
      <c r="E1839" s="14" t="str">
        <f>IFERROR(GIZLI!G1834,"")</f>
        <v/>
      </c>
    </row>
    <row r="1840" spans="2:5" x14ac:dyDescent="0.3">
      <c r="B1840" s="2" t="str">
        <f>MID(TableQR[[#This Row],[QR CODES]],4,13)</f>
        <v/>
      </c>
      <c r="C1840" s="2" t="str">
        <f>IFERROR(VLOOKUP(TableQR[[#This Row],[BARCODES]],ILACLISTE[#All],2,0),"")</f>
        <v/>
      </c>
      <c r="D1840" s="2">
        <f t="shared" si="28"/>
        <v>0</v>
      </c>
      <c r="E1840" s="14" t="str">
        <f>IFERROR(GIZLI!G1835,"")</f>
        <v/>
      </c>
    </row>
    <row r="1841" spans="2:5" x14ac:dyDescent="0.3">
      <c r="B1841" s="2" t="str">
        <f>MID(TableQR[[#This Row],[QR CODES]],4,13)</f>
        <v/>
      </c>
      <c r="C1841" s="2" t="str">
        <f>IFERROR(VLOOKUP(TableQR[[#This Row],[BARCODES]],ILACLISTE[#All],2,0),"")</f>
        <v/>
      </c>
      <c r="D1841" s="2">
        <f t="shared" si="28"/>
        <v>0</v>
      </c>
      <c r="E1841" s="14" t="str">
        <f>IFERROR(GIZLI!G1836,"")</f>
        <v/>
      </c>
    </row>
    <row r="1842" spans="2:5" x14ac:dyDescent="0.3">
      <c r="B1842" s="2" t="str">
        <f>MID(TableQR[[#This Row],[QR CODES]],4,13)</f>
        <v/>
      </c>
      <c r="C1842" s="2" t="str">
        <f>IFERROR(VLOOKUP(TableQR[[#This Row],[BARCODES]],ILACLISTE[#All],2,0),"")</f>
        <v/>
      </c>
      <c r="D1842" s="2">
        <f t="shared" si="28"/>
        <v>0</v>
      </c>
      <c r="E1842" s="14" t="str">
        <f>IFERROR(GIZLI!G1837,"")</f>
        <v/>
      </c>
    </row>
    <row r="1843" spans="2:5" x14ac:dyDescent="0.3">
      <c r="B1843" s="2" t="str">
        <f>MID(TableQR[[#This Row],[QR CODES]],4,13)</f>
        <v/>
      </c>
      <c r="C1843" s="2" t="str">
        <f>IFERROR(VLOOKUP(TableQR[[#This Row],[BARCODES]],ILACLISTE[#All],2,0),"")</f>
        <v/>
      </c>
      <c r="D1843" s="2">
        <f t="shared" si="28"/>
        <v>0</v>
      </c>
      <c r="E1843" s="14" t="str">
        <f>IFERROR(GIZLI!G1838,"")</f>
        <v/>
      </c>
    </row>
    <row r="1844" spans="2:5" x14ac:dyDescent="0.3">
      <c r="B1844" s="2" t="str">
        <f>MID(TableQR[[#This Row],[QR CODES]],4,13)</f>
        <v/>
      </c>
      <c r="C1844" s="2" t="str">
        <f>IFERROR(VLOOKUP(TableQR[[#This Row],[BARCODES]],ILACLISTE[#All],2,0),"")</f>
        <v/>
      </c>
      <c r="D1844" s="2">
        <f t="shared" si="28"/>
        <v>0</v>
      </c>
      <c r="E1844" s="14" t="str">
        <f>IFERROR(GIZLI!G1839,"")</f>
        <v/>
      </c>
    </row>
    <row r="1845" spans="2:5" x14ac:dyDescent="0.3">
      <c r="B1845" s="2" t="str">
        <f>MID(TableQR[[#This Row],[QR CODES]],4,13)</f>
        <v/>
      </c>
      <c r="C1845" s="2" t="str">
        <f>IFERROR(VLOOKUP(TableQR[[#This Row],[BARCODES]],ILACLISTE[#All],2,0),"")</f>
        <v/>
      </c>
      <c r="D1845" s="2">
        <f t="shared" si="28"/>
        <v>0</v>
      </c>
      <c r="E1845" s="14" t="str">
        <f>IFERROR(GIZLI!G1840,"")</f>
        <v/>
      </c>
    </row>
    <row r="1846" spans="2:5" x14ac:dyDescent="0.3">
      <c r="B1846" s="2" t="str">
        <f>MID(TableQR[[#This Row],[QR CODES]],4,13)</f>
        <v/>
      </c>
      <c r="C1846" s="2" t="str">
        <f>IFERROR(VLOOKUP(TableQR[[#This Row],[BARCODES]],ILACLISTE[#All],2,0),"")</f>
        <v/>
      </c>
      <c r="D1846" s="2">
        <f t="shared" si="28"/>
        <v>0</v>
      </c>
      <c r="E1846" s="14" t="str">
        <f>IFERROR(GIZLI!G1841,"")</f>
        <v/>
      </c>
    </row>
    <row r="1847" spans="2:5" x14ac:dyDescent="0.3">
      <c r="B1847" s="2" t="str">
        <f>MID(TableQR[[#This Row],[QR CODES]],4,13)</f>
        <v/>
      </c>
      <c r="C1847" s="2" t="str">
        <f>IFERROR(VLOOKUP(TableQR[[#This Row],[BARCODES]],ILACLISTE[#All],2,0),"")</f>
        <v/>
      </c>
      <c r="D1847" s="2">
        <f t="shared" si="28"/>
        <v>0</v>
      </c>
      <c r="E1847" s="14" t="str">
        <f>IFERROR(GIZLI!G1842,"")</f>
        <v/>
      </c>
    </row>
    <row r="1848" spans="2:5" x14ac:dyDescent="0.3">
      <c r="B1848" s="2" t="str">
        <f>MID(TableQR[[#This Row],[QR CODES]],4,13)</f>
        <v/>
      </c>
      <c r="C1848" s="2" t="str">
        <f>IFERROR(VLOOKUP(TableQR[[#This Row],[BARCODES]],ILACLISTE[#All],2,0),"")</f>
        <v/>
      </c>
      <c r="D1848" s="2">
        <f t="shared" si="28"/>
        <v>0</v>
      </c>
      <c r="E1848" s="14" t="str">
        <f>IFERROR(GIZLI!G1843,"")</f>
        <v/>
      </c>
    </row>
    <row r="1849" spans="2:5" x14ac:dyDescent="0.3">
      <c r="B1849" s="2" t="str">
        <f>MID(TableQR[[#This Row],[QR CODES]],4,13)</f>
        <v/>
      </c>
      <c r="C1849" s="2" t="str">
        <f>IFERROR(VLOOKUP(TableQR[[#This Row],[BARCODES]],ILACLISTE[#All],2,0),"")</f>
        <v/>
      </c>
      <c r="D1849" s="2">
        <f t="shared" si="28"/>
        <v>0</v>
      </c>
      <c r="E1849" s="14" t="str">
        <f>IFERROR(GIZLI!G1844,"")</f>
        <v/>
      </c>
    </row>
    <row r="1850" spans="2:5" x14ac:dyDescent="0.3">
      <c r="B1850" s="2" t="str">
        <f>MID(TableQR[[#This Row],[QR CODES]],4,13)</f>
        <v/>
      </c>
      <c r="C1850" s="2" t="str">
        <f>IFERROR(VLOOKUP(TableQR[[#This Row],[BARCODES]],ILACLISTE[#All],2,0),"")</f>
        <v/>
      </c>
      <c r="D1850" s="2">
        <f t="shared" si="28"/>
        <v>0</v>
      </c>
      <c r="E1850" s="14" t="str">
        <f>IFERROR(GIZLI!G1845,"")</f>
        <v/>
      </c>
    </row>
    <row r="1851" spans="2:5" x14ac:dyDescent="0.3">
      <c r="B1851" s="2" t="str">
        <f>MID(TableQR[[#This Row],[QR CODES]],4,13)</f>
        <v/>
      </c>
      <c r="C1851" s="2" t="str">
        <f>IFERROR(VLOOKUP(TableQR[[#This Row],[BARCODES]],ILACLISTE[#All],2,0),"")</f>
        <v/>
      </c>
      <c r="D1851" s="2">
        <f t="shared" si="28"/>
        <v>0</v>
      </c>
      <c r="E1851" s="14" t="str">
        <f>IFERROR(GIZLI!G1846,"")</f>
        <v/>
      </c>
    </row>
    <row r="1852" spans="2:5" x14ac:dyDescent="0.3">
      <c r="B1852" s="2" t="str">
        <f>MID(TableQR[[#This Row],[QR CODES]],4,13)</f>
        <v/>
      </c>
      <c r="C1852" s="2" t="str">
        <f>IFERROR(VLOOKUP(TableQR[[#This Row],[BARCODES]],ILACLISTE[#All],2,0),"")</f>
        <v/>
      </c>
      <c r="D1852" s="2">
        <f t="shared" si="28"/>
        <v>0</v>
      </c>
      <c r="E1852" s="14" t="str">
        <f>IFERROR(GIZLI!G1847,"")</f>
        <v/>
      </c>
    </row>
    <row r="1853" spans="2:5" x14ac:dyDescent="0.3">
      <c r="B1853" s="2" t="str">
        <f>MID(TableQR[[#This Row],[QR CODES]],4,13)</f>
        <v/>
      </c>
      <c r="C1853" s="2" t="str">
        <f>IFERROR(VLOOKUP(TableQR[[#This Row],[BARCODES]],ILACLISTE[#All],2,0),"")</f>
        <v/>
      </c>
      <c r="D1853" s="2">
        <f t="shared" si="28"/>
        <v>0</v>
      </c>
      <c r="E1853" s="14" t="str">
        <f>IFERROR(GIZLI!G1848,"")</f>
        <v/>
      </c>
    </row>
    <row r="1854" spans="2:5" x14ac:dyDescent="0.3">
      <c r="B1854" s="2" t="str">
        <f>MID(TableQR[[#This Row],[QR CODES]],4,13)</f>
        <v/>
      </c>
      <c r="C1854" s="2" t="str">
        <f>IFERROR(VLOOKUP(TableQR[[#This Row],[BARCODES]],ILACLISTE[#All],2,0),"")</f>
        <v/>
      </c>
      <c r="D1854" s="2">
        <f t="shared" si="28"/>
        <v>0</v>
      </c>
      <c r="E1854" s="14" t="str">
        <f>IFERROR(GIZLI!G1849,"")</f>
        <v/>
      </c>
    </row>
    <row r="1855" spans="2:5" x14ac:dyDescent="0.3">
      <c r="B1855" s="2" t="str">
        <f>MID(TableQR[[#This Row],[QR CODES]],4,13)</f>
        <v/>
      </c>
      <c r="C1855" s="2" t="str">
        <f>IFERROR(VLOOKUP(TableQR[[#This Row],[BARCODES]],ILACLISTE[#All],2,0),"")</f>
        <v/>
      </c>
      <c r="D1855" s="2">
        <f t="shared" si="28"/>
        <v>0</v>
      </c>
      <c r="E1855" s="14" t="str">
        <f>IFERROR(GIZLI!G1850,"")</f>
        <v/>
      </c>
    </row>
    <row r="1856" spans="2:5" x14ac:dyDescent="0.3">
      <c r="B1856" s="2" t="str">
        <f>MID(TableQR[[#This Row],[QR CODES]],4,13)</f>
        <v/>
      </c>
      <c r="C1856" s="2" t="str">
        <f>IFERROR(VLOOKUP(TableQR[[#This Row],[BARCODES]],ILACLISTE[#All],2,0),"")</f>
        <v/>
      </c>
      <c r="D1856" s="2">
        <f t="shared" si="28"/>
        <v>0</v>
      </c>
      <c r="E1856" s="14" t="str">
        <f>IFERROR(GIZLI!G1851,"")</f>
        <v/>
      </c>
    </row>
    <row r="1857" spans="2:5" x14ac:dyDescent="0.3">
      <c r="B1857" s="2" t="str">
        <f>MID(TableQR[[#This Row],[QR CODES]],4,13)</f>
        <v/>
      </c>
      <c r="C1857" s="2" t="str">
        <f>IFERROR(VLOOKUP(TableQR[[#This Row],[BARCODES]],ILACLISTE[#All],2,0),"")</f>
        <v/>
      </c>
      <c r="D1857" s="2">
        <f t="shared" si="28"/>
        <v>0</v>
      </c>
      <c r="E1857" s="14" t="str">
        <f>IFERROR(GIZLI!G1852,"")</f>
        <v/>
      </c>
    </row>
    <row r="1858" spans="2:5" x14ac:dyDescent="0.3">
      <c r="B1858" s="2" t="str">
        <f>MID(TableQR[[#This Row],[QR CODES]],4,13)</f>
        <v/>
      </c>
      <c r="C1858" s="2" t="str">
        <f>IFERROR(VLOOKUP(TableQR[[#This Row],[BARCODES]],ILACLISTE[#All],2,0),"")</f>
        <v/>
      </c>
      <c r="D1858" s="2">
        <f t="shared" si="28"/>
        <v>0</v>
      </c>
      <c r="E1858" s="14" t="str">
        <f>IFERROR(GIZLI!G1853,"")</f>
        <v/>
      </c>
    </row>
    <row r="1859" spans="2:5" x14ac:dyDescent="0.3">
      <c r="B1859" s="2" t="str">
        <f>MID(TableQR[[#This Row],[QR CODES]],4,13)</f>
        <v/>
      </c>
      <c r="C1859" s="2" t="str">
        <f>IFERROR(VLOOKUP(TableQR[[#This Row],[BARCODES]],ILACLISTE[#All],2,0),"")</f>
        <v/>
      </c>
      <c r="D1859" s="2">
        <f t="shared" si="28"/>
        <v>0</v>
      </c>
      <c r="E1859" s="14" t="str">
        <f>IFERROR(GIZLI!G1854,"")</f>
        <v/>
      </c>
    </row>
    <row r="1860" spans="2:5" x14ac:dyDescent="0.3">
      <c r="B1860" s="2" t="str">
        <f>MID(TableQR[[#This Row],[QR CODES]],4,13)</f>
        <v/>
      </c>
      <c r="C1860" s="2" t="str">
        <f>IFERROR(VLOOKUP(TableQR[[#This Row],[BARCODES]],ILACLISTE[#All],2,0),"")</f>
        <v/>
      </c>
      <c r="D1860" s="2">
        <f t="shared" si="28"/>
        <v>0</v>
      </c>
      <c r="E1860" s="14" t="str">
        <f>IFERROR(GIZLI!G1855,"")</f>
        <v/>
      </c>
    </row>
    <row r="1861" spans="2:5" x14ac:dyDescent="0.3">
      <c r="B1861" s="2" t="str">
        <f>MID(TableQR[[#This Row],[QR CODES]],4,13)</f>
        <v/>
      </c>
      <c r="C1861" s="2" t="str">
        <f>IFERROR(VLOOKUP(TableQR[[#This Row],[BARCODES]],ILACLISTE[#All],2,0),"")</f>
        <v/>
      </c>
      <c r="D1861" s="2">
        <f t="shared" si="28"/>
        <v>0</v>
      </c>
      <c r="E1861" s="14" t="str">
        <f>IFERROR(GIZLI!G1856,"")</f>
        <v/>
      </c>
    </row>
    <row r="1862" spans="2:5" x14ac:dyDescent="0.3">
      <c r="B1862" s="2" t="str">
        <f>MID(TableQR[[#This Row],[QR CODES]],4,13)</f>
        <v/>
      </c>
      <c r="C1862" s="2" t="str">
        <f>IFERROR(VLOOKUP(TableQR[[#This Row],[BARCODES]],ILACLISTE[#All],2,0),"")</f>
        <v/>
      </c>
      <c r="D1862" s="2">
        <f t="shared" si="28"/>
        <v>0</v>
      </c>
      <c r="E1862" s="14" t="str">
        <f>IFERROR(GIZLI!G1857,"")</f>
        <v/>
      </c>
    </row>
    <row r="1863" spans="2:5" x14ac:dyDescent="0.3">
      <c r="B1863" s="2" t="str">
        <f>MID(TableQR[[#This Row],[QR CODES]],4,13)</f>
        <v/>
      </c>
      <c r="C1863" s="2" t="str">
        <f>IFERROR(VLOOKUP(TableQR[[#This Row],[BARCODES]],ILACLISTE[#All],2,0),"")</f>
        <v/>
      </c>
      <c r="D1863" s="2">
        <f t="shared" si="28"/>
        <v>0</v>
      </c>
      <c r="E1863" s="14" t="str">
        <f>IFERROR(GIZLI!G1858,"")</f>
        <v/>
      </c>
    </row>
    <row r="1864" spans="2:5" x14ac:dyDescent="0.3">
      <c r="B1864" s="2" t="str">
        <f>MID(TableQR[[#This Row],[QR CODES]],4,13)</f>
        <v/>
      </c>
      <c r="C1864" s="2" t="str">
        <f>IFERROR(VLOOKUP(TableQR[[#This Row],[BARCODES]],ILACLISTE[#All],2,0),"")</f>
        <v/>
      </c>
      <c r="D1864" s="2">
        <f t="shared" ref="D1864:D1927" si="29">COUNTIF(B1864:B5857,IF(B1864="",66666,B1864))</f>
        <v>0</v>
      </c>
      <c r="E1864" s="14" t="str">
        <f>IFERROR(GIZLI!G1859,"")</f>
        <v/>
      </c>
    </row>
    <row r="1865" spans="2:5" x14ac:dyDescent="0.3">
      <c r="B1865" s="2" t="str">
        <f>MID(TableQR[[#This Row],[QR CODES]],4,13)</f>
        <v/>
      </c>
      <c r="C1865" s="2" t="str">
        <f>IFERROR(VLOOKUP(TableQR[[#This Row],[BARCODES]],ILACLISTE[#All],2,0),"")</f>
        <v/>
      </c>
      <c r="D1865" s="2">
        <f t="shared" si="29"/>
        <v>0</v>
      </c>
      <c r="E1865" s="14" t="str">
        <f>IFERROR(GIZLI!G1860,"")</f>
        <v/>
      </c>
    </row>
    <row r="1866" spans="2:5" x14ac:dyDescent="0.3">
      <c r="B1866" s="2" t="str">
        <f>MID(TableQR[[#This Row],[QR CODES]],4,13)</f>
        <v/>
      </c>
      <c r="C1866" s="2" t="str">
        <f>IFERROR(VLOOKUP(TableQR[[#This Row],[BARCODES]],ILACLISTE[#All],2,0),"")</f>
        <v/>
      </c>
      <c r="D1866" s="2">
        <f t="shared" si="29"/>
        <v>0</v>
      </c>
      <c r="E1866" s="14" t="str">
        <f>IFERROR(GIZLI!G1861,"")</f>
        <v/>
      </c>
    </row>
    <row r="1867" spans="2:5" x14ac:dyDescent="0.3">
      <c r="B1867" s="2" t="str">
        <f>MID(TableQR[[#This Row],[QR CODES]],4,13)</f>
        <v/>
      </c>
      <c r="C1867" s="2" t="str">
        <f>IFERROR(VLOOKUP(TableQR[[#This Row],[BARCODES]],ILACLISTE[#All],2,0),"")</f>
        <v/>
      </c>
      <c r="D1867" s="2">
        <f t="shared" si="29"/>
        <v>0</v>
      </c>
      <c r="E1867" s="14" t="str">
        <f>IFERROR(GIZLI!G1862,"")</f>
        <v/>
      </c>
    </row>
    <row r="1868" spans="2:5" x14ac:dyDescent="0.3">
      <c r="B1868" s="2" t="str">
        <f>MID(TableQR[[#This Row],[QR CODES]],4,13)</f>
        <v/>
      </c>
      <c r="C1868" s="2" t="str">
        <f>IFERROR(VLOOKUP(TableQR[[#This Row],[BARCODES]],ILACLISTE[#All],2,0),"")</f>
        <v/>
      </c>
      <c r="D1868" s="2">
        <f t="shared" si="29"/>
        <v>0</v>
      </c>
      <c r="E1868" s="14" t="str">
        <f>IFERROR(GIZLI!G1863,"")</f>
        <v/>
      </c>
    </row>
    <row r="1869" spans="2:5" x14ac:dyDescent="0.3">
      <c r="B1869" s="2" t="str">
        <f>MID(TableQR[[#This Row],[QR CODES]],4,13)</f>
        <v/>
      </c>
      <c r="C1869" s="2" t="str">
        <f>IFERROR(VLOOKUP(TableQR[[#This Row],[BARCODES]],ILACLISTE[#All],2,0),"")</f>
        <v/>
      </c>
      <c r="D1869" s="2">
        <f t="shared" si="29"/>
        <v>0</v>
      </c>
      <c r="E1869" s="14" t="str">
        <f>IFERROR(GIZLI!G1864,"")</f>
        <v/>
      </c>
    </row>
    <row r="1870" spans="2:5" x14ac:dyDescent="0.3">
      <c r="B1870" s="2" t="str">
        <f>MID(TableQR[[#This Row],[QR CODES]],4,13)</f>
        <v/>
      </c>
      <c r="C1870" s="2" t="str">
        <f>IFERROR(VLOOKUP(TableQR[[#This Row],[BARCODES]],ILACLISTE[#All],2,0),"")</f>
        <v/>
      </c>
      <c r="D1870" s="2">
        <f t="shared" si="29"/>
        <v>0</v>
      </c>
      <c r="E1870" s="14" t="str">
        <f>IFERROR(GIZLI!G1865,"")</f>
        <v/>
      </c>
    </row>
    <row r="1871" spans="2:5" x14ac:dyDescent="0.3">
      <c r="B1871" s="2" t="str">
        <f>MID(TableQR[[#This Row],[QR CODES]],4,13)</f>
        <v/>
      </c>
      <c r="C1871" s="2" t="str">
        <f>IFERROR(VLOOKUP(TableQR[[#This Row],[BARCODES]],ILACLISTE[#All],2,0),"")</f>
        <v/>
      </c>
      <c r="D1871" s="2">
        <f t="shared" si="29"/>
        <v>0</v>
      </c>
      <c r="E1871" s="14" t="str">
        <f>IFERROR(GIZLI!G1866,"")</f>
        <v/>
      </c>
    </row>
    <row r="1872" spans="2:5" x14ac:dyDescent="0.3">
      <c r="B1872" s="2" t="str">
        <f>MID(TableQR[[#This Row],[QR CODES]],4,13)</f>
        <v/>
      </c>
      <c r="C1872" s="2" t="str">
        <f>IFERROR(VLOOKUP(TableQR[[#This Row],[BARCODES]],ILACLISTE[#All],2,0),"")</f>
        <v/>
      </c>
      <c r="D1872" s="2">
        <f t="shared" si="29"/>
        <v>0</v>
      </c>
      <c r="E1872" s="14" t="str">
        <f>IFERROR(GIZLI!G1867,"")</f>
        <v/>
      </c>
    </row>
    <row r="1873" spans="2:5" x14ac:dyDescent="0.3">
      <c r="B1873" s="2" t="str">
        <f>MID(TableQR[[#This Row],[QR CODES]],4,13)</f>
        <v/>
      </c>
      <c r="C1873" s="2" t="str">
        <f>IFERROR(VLOOKUP(TableQR[[#This Row],[BARCODES]],ILACLISTE[#All],2,0),"")</f>
        <v/>
      </c>
      <c r="D1873" s="2">
        <f t="shared" si="29"/>
        <v>0</v>
      </c>
      <c r="E1873" s="14" t="str">
        <f>IFERROR(GIZLI!G1868,"")</f>
        <v/>
      </c>
    </row>
    <row r="1874" spans="2:5" x14ac:dyDescent="0.3">
      <c r="B1874" s="2" t="str">
        <f>MID(TableQR[[#This Row],[QR CODES]],4,13)</f>
        <v/>
      </c>
      <c r="C1874" s="2" t="str">
        <f>IFERROR(VLOOKUP(TableQR[[#This Row],[BARCODES]],ILACLISTE[#All],2,0),"")</f>
        <v/>
      </c>
      <c r="D1874" s="2">
        <f t="shared" si="29"/>
        <v>0</v>
      </c>
      <c r="E1874" s="14" t="str">
        <f>IFERROR(GIZLI!G1869,"")</f>
        <v/>
      </c>
    </row>
    <row r="1875" spans="2:5" x14ac:dyDescent="0.3">
      <c r="B1875" s="2" t="str">
        <f>MID(TableQR[[#This Row],[QR CODES]],4,13)</f>
        <v/>
      </c>
      <c r="C1875" s="2" t="str">
        <f>IFERROR(VLOOKUP(TableQR[[#This Row],[BARCODES]],ILACLISTE[#All],2,0),"")</f>
        <v/>
      </c>
      <c r="D1875" s="2">
        <f t="shared" si="29"/>
        <v>0</v>
      </c>
      <c r="E1875" s="14" t="str">
        <f>IFERROR(GIZLI!G1870,"")</f>
        <v/>
      </c>
    </row>
    <row r="1876" spans="2:5" x14ac:dyDescent="0.3">
      <c r="B1876" s="2" t="str">
        <f>MID(TableQR[[#This Row],[QR CODES]],4,13)</f>
        <v/>
      </c>
      <c r="C1876" s="2" t="str">
        <f>IFERROR(VLOOKUP(TableQR[[#This Row],[BARCODES]],ILACLISTE[#All],2,0),"")</f>
        <v/>
      </c>
      <c r="D1876" s="2">
        <f t="shared" si="29"/>
        <v>0</v>
      </c>
      <c r="E1876" s="14" t="str">
        <f>IFERROR(GIZLI!G1871,"")</f>
        <v/>
      </c>
    </row>
    <row r="1877" spans="2:5" x14ac:dyDescent="0.3">
      <c r="B1877" s="2" t="str">
        <f>MID(TableQR[[#This Row],[QR CODES]],4,13)</f>
        <v/>
      </c>
      <c r="C1877" s="2" t="str">
        <f>IFERROR(VLOOKUP(TableQR[[#This Row],[BARCODES]],ILACLISTE[#All],2,0),"")</f>
        <v/>
      </c>
      <c r="D1877" s="2">
        <f t="shared" si="29"/>
        <v>0</v>
      </c>
      <c r="E1877" s="14" t="str">
        <f>IFERROR(GIZLI!G1872,"")</f>
        <v/>
      </c>
    </row>
    <row r="1878" spans="2:5" x14ac:dyDescent="0.3">
      <c r="B1878" s="2" t="str">
        <f>MID(TableQR[[#This Row],[QR CODES]],4,13)</f>
        <v/>
      </c>
      <c r="C1878" s="2" t="str">
        <f>IFERROR(VLOOKUP(TableQR[[#This Row],[BARCODES]],ILACLISTE[#All],2,0),"")</f>
        <v/>
      </c>
      <c r="D1878" s="2">
        <f t="shared" si="29"/>
        <v>0</v>
      </c>
      <c r="E1878" s="14" t="str">
        <f>IFERROR(GIZLI!G1873,"")</f>
        <v/>
      </c>
    </row>
    <row r="1879" spans="2:5" x14ac:dyDescent="0.3">
      <c r="B1879" s="2" t="str">
        <f>MID(TableQR[[#This Row],[QR CODES]],4,13)</f>
        <v/>
      </c>
      <c r="C1879" s="2" t="str">
        <f>IFERROR(VLOOKUP(TableQR[[#This Row],[BARCODES]],ILACLISTE[#All],2,0),"")</f>
        <v/>
      </c>
      <c r="D1879" s="2">
        <f t="shared" si="29"/>
        <v>0</v>
      </c>
      <c r="E1879" s="14" t="str">
        <f>IFERROR(GIZLI!G1874,"")</f>
        <v/>
      </c>
    </row>
    <row r="1880" spans="2:5" x14ac:dyDescent="0.3">
      <c r="B1880" s="2" t="str">
        <f>MID(TableQR[[#This Row],[QR CODES]],4,13)</f>
        <v/>
      </c>
      <c r="C1880" s="2" t="str">
        <f>IFERROR(VLOOKUP(TableQR[[#This Row],[BARCODES]],ILACLISTE[#All],2,0),"")</f>
        <v/>
      </c>
      <c r="D1880" s="2">
        <f t="shared" si="29"/>
        <v>0</v>
      </c>
      <c r="E1880" s="14" t="str">
        <f>IFERROR(GIZLI!G1875,"")</f>
        <v/>
      </c>
    </row>
    <row r="1881" spans="2:5" x14ac:dyDescent="0.3">
      <c r="B1881" s="2" t="str">
        <f>MID(TableQR[[#This Row],[QR CODES]],4,13)</f>
        <v/>
      </c>
      <c r="C1881" s="2" t="str">
        <f>IFERROR(VLOOKUP(TableQR[[#This Row],[BARCODES]],ILACLISTE[#All],2,0),"")</f>
        <v/>
      </c>
      <c r="D1881" s="2">
        <f t="shared" si="29"/>
        <v>0</v>
      </c>
      <c r="E1881" s="14" t="str">
        <f>IFERROR(GIZLI!G1876,"")</f>
        <v/>
      </c>
    </row>
    <row r="1882" spans="2:5" x14ac:dyDescent="0.3">
      <c r="B1882" s="2" t="str">
        <f>MID(TableQR[[#This Row],[QR CODES]],4,13)</f>
        <v/>
      </c>
      <c r="C1882" s="2" t="str">
        <f>IFERROR(VLOOKUP(TableQR[[#This Row],[BARCODES]],ILACLISTE[#All],2,0),"")</f>
        <v/>
      </c>
      <c r="D1882" s="2">
        <f t="shared" si="29"/>
        <v>0</v>
      </c>
      <c r="E1882" s="14" t="str">
        <f>IFERROR(GIZLI!G1877,"")</f>
        <v/>
      </c>
    </row>
    <row r="1883" spans="2:5" x14ac:dyDescent="0.3">
      <c r="B1883" s="2" t="str">
        <f>MID(TableQR[[#This Row],[QR CODES]],4,13)</f>
        <v/>
      </c>
      <c r="C1883" s="2" t="str">
        <f>IFERROR(VLOOKUP(TableQR[[#This Row],[BARCODES]],ILACLISTE[#All],2,0),"")</f>
        <v/>
      </c>
      <c r="D1883" s="2">
        <f t="shared" si="29"/>
        <v>0</v>
      </c>
      <c r="E1883" s="14" t="str">
        <f>IFERROR(GIZLI!G1878,"")</f>
        <v/>
      </c>
    </row>
    <row r="1884" spans="2:5" x14ac:dyDescent="0.3">
      <c r="B1884" s="2" t="str">
        <f>MID(TableQR[[#This Row],[QR CODES]],4,13)</f>
        <v/>
      </c>
      <c r="C1884" s="2" t="str">
        <f>IFERROR(VLOOKUP(TableQR[[#This Row],[BARCODES]],ILACLISTE[#All],2,0),"")</f>
        <v/>
      </c>
      <c r="D1884" s="2">
        <f t="shared" si="29"/>
        <v>0</v>
      </c>
      <c r="E1884" s="14" t="str">
        <f>IFERROR(GIZLI!G1879,"")</f>
        <v/>
      </c>
    </row>
    <row r="1885" spans="2:5" x14ac:dyDescent="0.3">
      <c r="B1885" s="2" t="str">
        <f>MID(TableQR[[#This Row],[QR CODES]],4,13)</f>
        <v/>
      </c>
      <c r="C1885" s="2" t="str">
        <f>IFERROR(VLOOKUP(TableQR[[#This Row],[BARCODES]],ILACLISTE[#All],2,0),"")</f>
        <v/>
      </c>
      <c r="D1885" s="2">
        <f t="shared" si="29"/>
        <v>0</v>
      </c>
      <c r="E1885" s="14" t="str">
        <f>IFERROR(GIZLI!G1880,"")</f>
        <v/>
      </c>
    </row>
    <row r="1886" spans="2:5" x14ac:dyDescent="0.3">
      <c r="B1886" s="2" t="str">
        <f>MID(TableQR[[#This Row],[QR CODES]],4,13)</f>
        <v/>
      </c>
      <c r="C1886" s="2" t="str">
        <f>IFERROR(VLOOKUP(TableQR[[#This Row],[BARCODES]],ILACLISTE[#All],2,0),"")</f>
        <v/>
      </c>
      <c r="D1886" s="2">
        <f t="shared" si="29"/>
        <v>0</v>
      </c>
      <c r="E1886" s="14" t="str">
        <f>IFERROR(GIZLI!G1881,"")</f>
        <v/>
      </c>
    </row>
    <row r="1887" spans="2:5" x14ac:dyDescent="0.3">
      <c r="B1887" s="2" t="str">
        <f>MID(TableQR[[#This Row],[QR CODES]],4,13)</f>
        <v/>
      </c>
      <c r="C1887" s="2" t="str">
        <f>IFERROR(VLOOKUP(TableQR[[#This Row],[BARCODES]],ILACLISTE[#All],2,0),"")</f>
        <v/>
      </c>
      <c r="D1887" s="2">
        <f t="shared" si="29"/>
        <v>0</v>
      </c>
      <c r="E1887" s="14" t="str">
        <f>IFERROR(GIZLI!G1882,"")</f>
        <v/>
      </c>
    </row>
    <row r="1888" spans="2:5" x14ac:dyDescent="0.3">
      <c r="B1888" s="2" t="str">
        <f>MID(TableQR[[#This Row],[QR CODES]],4,13)</f>
        <v/>
      </c>
      <c r="C1888" s="2" t="str">
        <f>IFERROR(VLOOKUP(TableQR[[#This Row],[BARCODES]],ILACLISTE[#All],2,0),"")</f>
        <v/>
      </c>
      <c r="D1888" s="2">
        <f t="shared" si="29"/>
        <v>0</v>
      </c>
      <c r="E1888" s="14" t="str">
        <f>IFERROR(GIZLI!G1883,"")</f>
        <v/>
      </c>
    </row>
    <row r="1889" spans="2:5" x14ac:dyDescent="0.3">
      <c r="B1889" s="2" t="str">
        <f>MID(TableQR[[#This Row],[QR CODES]],4,13)</f>
        <v/>
      </c>
      <c r="C1889" s="2" t="str">
        <f>IFERROR(VLOOKUP(TableQR[[#This Row],[BARCODES]],ILACLISTE[#All],2,0),"")</f>
        <v/>
      </c>
      <c r="D1889" s="2">
        <f t="shared" si="29"/>
        <v>0</v>
      </c>
      <c r="E1889" s="14" t="str">
        <f>IFERROR(GIZLI!G1884,"")</f>
        <v/>
      </c>
    </row>
    <row r="1890" spans="2:5" x14ac:dyDescent="0.3">
      <c r="B1890" s="2" t="str">
        <f>MID(TableQR[[#This Row],[QR CODES]],4,13)</f>
        <v/>
      </c>
      <c r="C1890" s="2" t="str">
        <f>IFERROR(VLOOKUP(TableQR[[#This Row],[BARCODES]],ILACLISTE[#All],2,0),"")</f>
        <v/>
      </c>
      <c r="D1890" s="2">
        <f t="shared" si="29"/>
        <v>0</v>
      </c>
      <c r="E1890" s="14" t="str">
        <f>IFERROR(GIZLI!G1885,"")</f>
        <v/>
      </c>
    </row>
    <row r="1891" spans="2:5" x14ac:dyDescent="0.3">
      <c r="B1891" s="2" t="str">
        <f>MID(TableQR[[#This Row],[QR CODES]],4,13)</f>
        <v/>
      </c>
      <c r="C1891" s="2" t="str">
        <f>IFERROR(VLOOKUP(TableQR[[#This Row],[BARCODES]],ILACLISTE[#All],2,0),"")</f>
        <v/>
      </c>
      <c r="D1891" s="2">
        <f t="shared" si="29"/>
        <v>0</v>
      </c>
      <c r="E1891" s="14" t="str">
        <f>IFERROR(GIZLI!G1886,"")</f>
        <v/>
      </c>
    </row>
    <row r="1892" spans="2:5" x14ac:dyDescent="0.3">
      <c r="B1892" s="2" t="str">
        <f>MID(TableQR[[#This Row],[QR CODES]],4,13)</f>
        <v/>
      </c>
      <c r="C1892" s="2" t="str">
        <f>IFERROR(VLOOKUP(TableQR[[#This Row],[BARCODES]],ILACLISTE[#All],2,0),"")</f>
        <v/>
      </c>
      <c r="D1892" s="2">
        <f t="shared" si="29"/>
        <v>0</v>
      </c>
      <c r="E1892" s="14" t="str">
        <f>IFERROR(GIZLI!G1887,"")</f>
        <v/>
      </c>
    </row>
    <row r="1893" spans="2:5" x14ac:dyDescent="0.3">
      <c r="B1893" s="2" t="str">
        <f>MID(TableQR[[#This Row],[QR CODES]],4,13)</f>
        <v/>
      </c>
      <c r="C1893" s="2" t="str">
        <f>IFERROR(VLOOKUP(TableQR[[#This Row],[BARCODES]],ILACLISTE[#All],2,0),"")</f>
        <v/>
      </c>
      <c r="D1893" s="2">
        <f t="shared" si="29"/>
        <v>0</v>
      </c>
      <c r="E1893" s="14" t="str">
        <f>IFERROR(GIZLI!G1888,"")</f>
        <v/>
      </c>
    </row>
    <row r="1894" spans="2:5" x14ac:dyDescent="0.3">
      <c r="B1894" s="2" t="str">
        <f>MID(TableQR[[#This Row],[QR CODES]],4,13)</f>
        <v/>
      </c>
      <c r="C1894" s="2" t="str">
        <f>IFERROR(VLOOKUP(TableQR[[#This Row],[BARCODES]],ILACLISTE[#All],2,0),"")</f>
        <v/>
      </c>
      <c r="D1894" s="2">
        <f t="shared" si="29"/>
        <v>0</v>
      </c>
      <c r="E1894" s="14" t="str">
        <f>IFERROR(GIZLI!G1889,"")</f>
        <v/>
      </c>
    </row>
    <row r="1895" spans="2:5" x14ac:dyDescent="0.3">
      <c r="B1895" s="2" t="str">
        <f>MID(TableQR[[#This Row],[QR CODES]],4,13)</f>
        <v/>
      </c>
      <c r="C1895" s="2" t="str">
        <f>IFERROR(VLOOKUP(TableQR[[#This Row],[BARCODES]],ILACLISTE[#All],2,0),"")</f>
        <v/>
      </c>
      <c r="D1895" s="2">
        <f t="shared" si="29"/>
        <v>0</v>
      </c>
      <c r="E1895" s="14" t="str">
        <f>IFERROR(GIZLI!G1890,"")</f>
        <v/>
      </c>
    </row>
    <row r="1896" spans="2:5" x14ac:dyDescent="0.3">
      <c r="B1896" s="2" t="str">
        <f>MID(TableQR[[#This Row],[QR CODES]],4,13)</f>
        <v/>
      </c>
      <c r="C1896" s="2" t="str">
        <f>IFERROR(VLOOKUP(TableQR[[#This Row],[BARCODES]],ILACLISTE[#All],2,0),"")</f>
        <v/>
      </c>
      <c r="D1896" s="2">
        <f t="shared" si="29"/>
        <v>0</v>
      </c>
      <c r="E1896" s="14" t="str">
        <f>IFERROR(GIZLI!G1891,"")</f>
        <v/>
      </c>
    </row>
    <row r="1897" spans="2:5" x14ac:dyDescent="0.3">
      <c r="B1897" s="2" t="str">
        <f>MID(TableQR[[#This Row],[QR CODES]],4,13)</f>
        <v/>
      </c>
      <c r="C1897" s="2" t="str">
        <f>IFERROR(VLOOKUP(TableQR[[#This Row],[BARCODES]],ILACLISTE[#All],2,0),"")</f>
        <v/>
      </c>
      <c r="D1897" s="2">
        <f t="shared" si="29"/>
        <v>0</v>
      </c>
      <c r="E1897" s="14" t="str">
        <f>IFERROR(GIZLI!G1892,"")</f>
        <v/>
      </c>
    </row>
    <row r="1898" spans="2:5" x14ac:dyDescent="0.3">
      <c r="B1898" s="2" t="str">
        <f>MID(TableQR[[#This Row],[QR CODES]],4,13)</f>
        <v/>
      </c>
      <c r="C1898" s="2" t="str">
        <f>IFERROR(VLOOKUP(TableQR[[#This Row],[BARCODES]],ILACLISTE[#All],2,0),"")</f>
        <v/>
      </c>
      <c r="D1898" s="2">
        <f t="shared" si="29"/>
        <v>0</v>
      </c>
      <c r="E1898" s="14" t="str">
        <f>IFERROR(GIZLI!G1893,"")</f>
        <v/>
      </c>
    </row>
    <row r="1899" spans="2:5" x14ac:dyDescent="0.3">
      <c r="B1899" s="2" t="str">
        <f>MID(TableQR[[#This Row],[QR CODES]],4,13)</f>
        <v/>
      </c>
      <c r="C1899" s="2" t="str">
        <f>IFERROR(VLOOKUP(TableQR[[#This Row],[BARCODES]],ILACLISTE[#All],2,0),"")</f>
        <v/>
      </c>
      <c r="D1899" s="2">
        <f t="shared" si="29"/>
        <v>0</v>
      </c>
      <c r="E1899" s="14" t="str">
        <f>IFERROR(GIZLI!G1894,"")</f>
        <v/>
      </c>
    </row>
    <row r="1900" spans="2:5" x14ac:dyDescent="0.3">
      <c r="B1900" s="2" t="str">
        <f>MID(TableQR[[#This Row],[QR CODES]],4,13)</f>
        <v/>
      </c>
      <c r="C1900" s="2" t="str">
        <f>IFERROR(VLOOKUP(TableQR[[#This Row],[BARCODES]],ILACLISTE[#All],2,0),"")</f>
        <v/>
      </c>
      <c r="D1900" s="2">
        <f t="shared" si="29"/>
        <v>0</v>
      </c>
      <c r="E1900" s="14" t="str">
        <f>IFERROR(GIZLI!G1895,"")</f>
        <v/>
      </c>
    </row>
    <row r="1901" spans="2:5" x14ac:dyDescent="0.3">
      <c r="B1901" s="2" t="str">
        <f>MID(TableQR[[#This Row],[QR CODES]],4,13)</f>
        <v/>
      </c>
      <c r="C1901" s="2" t="str">
        <f>IFERROR(VLOOKUP(TableQR[[#This Row],[BARCODES]],ILACLISTE[#All],2,0),"")</f>
        <v/>
      </c>
      <c r="D1901" s="2">
        <f t="shared" si="29"/>
        <v>0</v>
      </c>
      <c r="E1901" s="14" t="str">
        <f>IFERROR(GIZLI!G1896,"")</f>
        <v/>
      </c>
    </row>
    <row r="1902" spans="2:5" x14ac:dyDescent="0.3">
      <c r="B1902" s="2" t="str">
        <f>MID(TableQR[[#This Row],[QR CODES]],4,13)</f>
        <v/>
      </c>
      <c r="C1902" s="2" t="str">
        <f>IFERROR(VLOOKUP(TableQR[[#This Row],[BARCODES]],ILACLISTE[#All],2,0),"")</f>
        <v/>
      </c>
      <c r="D1902" s="2">
        <f t="shared" si="29"/>
        <v>0</v>
      </c>
      <c r="E1902" s="14" t="str">
        <f>IFERROR(GIZLI!G1897,"")</f>
        <v/>
      </c>
    </row>
    <row r="1903" spans="2:5" x14ac:dyDescent="0.3">
      <c r="B1903" s="2" t="str">
        <f>MID(TableQR[[#This Row],[QR CODES]],4,13)</f>
        <v/>
      </c>
      <c r="C1903" s="2" t="str">
        <f>IFERROR(VLOOKUP(TableQR[[#This Row],[BARCODES]],ILACLISTE[#All],2,0),"")</f>
        <v/>
      </c>
      <c r="D1903" s="2">
        <f t="shared" si="29"/>
        <v>0</v>
      </c>
      <c r="E1903" s="14" t="str">
        <f>IFERROR(GIZLI!G1898,"")</f>
        <v/>
      </c>
    </row>
    <row r="1904" spans="2:5" x14ac:dyDescent="0.3">
      <c r="B1904" s="2" t="str">
        <f>MID(TableQR[[#This Row],[QR CODES]],4,13)</f>
        <v/>
      </c>
      <c r="C1904" s="2" t="str">
        <f>IFERROR(VLOOKUP(TableQR[[#This Row],[BARCODES]],ILACLISTE[#All],2,0),"")</f>
        <v/>
      </c>
      <c r="D1904" s="2">
        <f t="shared" si="29"/>
        <v>0</v>
      </c>
      <c r="E1904" s="14" t="str">
        <f>IFERROR(GIZLI!G1899,"")</f>
        <v/>
      </c>
    </row>
    <row r="1905" spans="2:5" x14ac:dyDescent="0.3">
      <c r="B1905" s="2" t="str">
        <f>MID(TableQR[[#This Row],[QR CODES]],4,13)</f>
        <v/>
      </c>
      <c r="C1905" s="2" t="str">
        <f>IFERROR(VLOOKUP(TableQR[[#This Row],[BARCODES]],ILACLISTE[#All],2,0),"")</f>
        <v/>
      </c>
      <c r="D1905" s="2">
        <f t="shared" si="29"/>
        <v>0</v>
      </c>
      <c r="E1905" s="14" t="str">
        <f>IFERROR(GIZLI!G1900,"")</f>
        <v/>
      </c>
    </row>
    <row r="1906" spans="2:5" x14ac:dyDescent="0.3">
      <c r="B1906" s="2" t="str">
        <f>MID(TableQR[[#This Row],[QR CODES]],4,13)</f>
        <v/>
      </c>
      <c r="C1906" s="2" t="str">
        <f>IFERROR(VLOOKUP(TableQR[[#This Row],[BARCODES]],ILACLISTE[#All],2,0),"")</f>
        <v/>
      </c>
      <c r="D1906" s="2">
        <f t="shared" si="29"/>
        <v>0</v>
      </c>
      <c r="E1906" s="14" t="str">
        <f>IFERROR(GIZLI!G1901,"")</f>
        <v/>
      </c>
    </row>
    <row r="1907" spans="2:5" x14ac:dyDescent="0.3">
      <c r="B1907" s="2" t="str">
        <f>MID(TableQR[[#This Row],[QR CODES]],4,13)</f>
        <v/>
      </c>
      <c r="C1907" s="2" t="str">
        <f>IFERROR(VLOOKUP(TableQR[[#This Row],[BARCODES]],ILACLISTE[#All],2,0),"")</f>
        <v/>
      </c>
      <c r="D1907" s="2">
        <f t="shared" si="29"/>
        <v>0</v>
      </c>
      <c r="E1907" s="14" t="str">
        <f>IFERROR(GIZLI!G1902,"")</f>
        <v/>
      </c>
    </row>
    <row r="1908" spans="2:5" x14ac:dyDescent="0.3">
      <c r="B1908" s="2" t="str">
        <f>MID(TableQR[[#This Row],[QR CODES]],4,13)</f>
        <v/>
      </c>
      <c r="C1908" s="2" t="str">
        <f>IFERROR(VLOOKUP(TableQR[[#This Row],[BARCODES]],ILACLISTE[#All],2,0),"")</f>
        <v/>
      </c>
      <c r="D1908" s="2">
        <f t="shared" si="29"/>
        <v>0</v>
      </c>
      <c r="E1908" s="14" t="str">
        <f>IFERROR(GIZLI!G1903,"")</f>
        <v/>
      </c>
    </row>
    <row r="1909" spans="2:5" x14ac:dyDescent="0.3">
      <c r="B1909" s="2" t="str">
        <f>MID(TableQR[[#This Row],[QR CODES]],4,13)</f>
        <v/>
      </c>
      <c r="C1909" s="2" t="str">
        <f>IFERROR(VLOOKUP(TableQR[[#This Row],[BARCODES]],ILACLISTE[#All],2,0),"")</f>
        <v/>
      </c>
      <c r="D1909" s="2">
        <f t="shared" si="29"/>
        <v>0</v>
      </c>
      <c r="E1909" s="14" t="str">
        <f>IFERROR(GIZLI!G1904,"")</f>
        <v/>
      </c>
    </row>
    <row r="1910" spans="2:5" x14ac:dyDescent="0.3">
      <c r="B1910" s="2" t="str">
        <f>MID(TableQR[[#This Row],[QR CODES]],4,13)</f>
        <v/>
      </c>
      <c r="C1910" s="2" t="str">
        <f>IFERROR(VLOOKUP(TableQR[[#This Row],[BARCODES]],ILACLISTE[#All],2,0),"")</f>
        <v/>
      </c>
      <c r="D1910" s="2">
        <f t="shared" si="29"/>
        <v>0</v>
      </c>
      <c r="E1910" s="14" t="str">
        <f>IFERROR(GIZLI!G1905,"")</f>
        <v/>
      </c>
    </row>
    <row r="1911" spans="2:5" x14ac:dyDescent="0.3">
      <c r="B1911" s="2" t="str">
        <f>MID(TableQR[[#This Row],[QR CODES]],4,13)</f>
        <v/>
      </c>
      <c r="C1911" s="2" t="str">
        <f>IFERROR(VLOOKUP(TableQR[[#This Row],[BARCODES]],ILACLISTE[#All],2,0),"")</f>
        <v/>
      </c>
      <c r="D1911" s="2">
        <f t="shared" si="29"/>
        <v>0</v>
      </c>
      <c r="E1911" s="14" t="str">
        <f>IFERROR(GIZLI!G1906,"")</f>
        <v/>
      </c>
    </row>
    <row r="1912" spans="2:5" x14ac:dyDescent="0.3">
      <c r="B1912" s="2" t="str">
        <f>MID(TableQR[[#This Row],[QR CODES]],4,13)</f>
        <v/>
      </c>
      <c r="C1912" s="2" t="str">
        <f>IFERROR(VLOOKUP(TableQR[[#This Row],[BARCODES]],ILACLISTE[#All],2,0),"")</f>
        <v/>
      </c>
      <c r="D1912" s="2">
        <f t="shared" si="29"/>
        <v>0</v>
      </c>
      <c r="E1912" s="14" t="str">
        <f>IFERROR(GIZLI!G1907,"")</f>
        <v/>
      </c>
    </row>
    <row r="1913" spans="2:5" x14ac:dyDescent="0.3">
      <c r="B1913" s="2" t="str">
        <f>MID(TableQR[[#This Row],[QR CODES]],4,13)</f>
        <v/>
      </c>
      <c r="C1913" s="2" t="str">
        <f>IFERROR(VLOOKUP(TableQR[[#This Row],[BARCODES]],ILACLISTE[#All],2,0),"")</f>
        <v/>
      </c>
      <c r="D1913" s="2">
        <f t="shared" si="29"/>
        <v>0</v>
      </c>
      <c r="E1913" s="14" t="str">
        <f>IFERROR(GIZLI!G1908,"")</f>
        <v/>
      </c>
    </row>
    <row r="1914" spans="2:5" x14ac:dyDescent="0.3">
      <c r="B1914" s="2" t="str">
        <f>MID(TableQR[[#This Row],[QR CODES]],4,13)</f>
        <v/>
      </c>
      <c r="C1914" s="2" t="str">
        <f>IFERROR(VLOOKUP(TableQR[[#This Row],[BARCODES]],ILACLISTE[#All],2,0),"")</f>
        <v/>
      </c>
      <c r="D1914" s="2">
        <f t="shared" si="29"/>
        <v>0</v>
      </c>
      <c r="E1914" s="14" t="str">
        <f>IFERROR(GIZLI!G1909,"")</f>
        <v/>
      </c>
    </row>
    <row r="1915" spans="2:5" x14ac:dyDescent="0.3">
      <c r="B1915" s="2" t="str">
        <f>MID(TableQR[[#This Row],[QR CODES]],4,13)</f>
        <v/>
      </c>
      <c r="C1915" s="2" t="str">
        <f>IFERROR(VLOOKUP(TableQR[[#This Row],[BARCODES]],ILACLISTE[#All],2,0),"")</f>
        <v/>
      </c>
      <c r="D1915" s="2">
        <f t="shared" si="29"/>
        <v>0</v>
      </c>
      <c r="E1915" s="14" t="str">
        <f>IFERROR(GIZLI!G1910,"")</f>
        <v/>
      </c>
    </row>
    <row r="1916" spans="2:5" x14ac:dyDescent="0.3">
      <c r="B1916" s="2" t="str">
        <f>MID(TableQR[[#This Row],[QR CODES]],4,13)</f>
        <v/>
      </c>
      <c r="C1916" s="2" t="str">
        <f>IFERROR(VLOOKUP(TableQR[[#This Row],[BARCODES]],ILACLISTE[#All],2,0),"")</f>
        <v/>
      </c>
      <c r="D1916" s="2">
        <f t="shared" si="29"/>
        <v>0</v>
      </c>
      <c r="E1916" s="14" t="str">
        <f>IFERROR(GIZLI!G1911,"")</f>
        <v/>
      </c>
    </row>
    <row r="1917" spans="2:5" x14ac:dyDescent="0.3">
      <c r="B1917" s="2" t="str">
        <f>MID(TableQR[[#This Row],[QR CODES]],4,13)</f>
        <v/>
      </c>
      <c r="C1917" s="2" t="str">
        <f>IFERROR(VLOOKUP(TableQR[[#This Row],[BARCODES]],ILACLISTE[#All],2,0),"")</f>
        <v/>
      </c>
      <c r="D1917" s="2">
        <f t="shared" si="29"/>
        <v>0</v>
      </c>
      <c r="E1917" s="14" t="str">
        <f>IFERROR(GIZLI!G1912,"")</f>
        <v/>
      </c>
    </row>
    <row r="1918" spans="2:5" x14ac:dyDescent="0.3">
      <c r="B1918" s="2" t="str">
        <f>MID(TableQR[[#This Row],[QR CODES]],4,13)</f>
        <v/>
      </c>
      <c r="C1918" s="2" t="str">
        <f>IFERROR(VLOOKUP(TableQR[[#This Row],[BARCODES]],ILACLISTE[#All],2,0),"")</f>
        <v/>
      </c>
      <c r="D1918" s="2">
        <f t="shared" si="29"/>
        <v>0</v>
      </c>
      <c r="E1918" s="14" t="str">
        <f>IFERROR(GIZLI!G1913,"")</f>
        <v/>
      </c>
    </row>
    <row r="1919" spans="2:5" x14ac:dyDescent="0.3">
      <c r="B1919" s="2" t="str">
        <f>MID(TableQR[[#This Row],[QR CODES]],4,13)</f>
        <v/>
      </c>
      <c r="C1919" s="2" t="str">
        <f>IFERROR(VLOOKUP(TableQR[[#This Row],[BARCODES]],ILACLISTE[#All],2,0),"")</f>
        <v/>
      </c>
      <c r="D1919" s="2">
        <f t="shared" si="29"/>
        <v>0</v>
      </c>
      <c r="E1919" s="14" t="str">
        <f>IFERROR(GIZLI!G1914,"")</f>
        <v/>
      </c>
    </row>
    <row r="1920" spans="2:5" x14ac:dyDescent="0.3">
      <c r="B1920" s="2" t="str">
        <f>MID(TableQR[[#This Row],[QR CODES]],4,13)</f>
        <v/>
      </c>
      <c r="C1920" s="2" t="str">
        <f>IFERROR(VLOOKUP(TableQR[[#This Row],[BARCODES]],ILACLISTE[#All],2,0),"")</f>
        <v/>
      </c>
      <c r="D1920" s="2">
        <f t="shared" si="29"/>
        <v>0</v>
      </c>
      <c r="E1920" s="14" t="str">
        <f>IFERROR(GIZLI!G1915,"")</f>
        <v/>
      </c>
    </row>
    <row r="1921" spans="2:5" x14ac:dyDescent="0.3">
      <c r="B1921" s="2" t="str">
        <f>MID(TableQR[[#This Row],[QR CODES]],4,13)</f>
        <v/>
      </c>
      <c r="C1921" s="2" t="str">
        <f>IFERROR(VLOOKUP(TableQR[[#This Row],[BARCODES]],ILACLISTE[#All],2,0),"")</f>
        <v/>
      </c>
      <c r="D1921" s="2">
        <f t="shared" si="29"/>
        <v>0</v>
      </c>
      <c r="E1921" s="14" t="str">
        <f>IFERROR(GIZLI!G1916,"")</f>
        <v/>
      </c>
    </row>
    <row r="1922" spans="2:5" x14ac:dyDescent="0.3">
      <c r="B1922" s="2" t="str">
        <f>MID(TableQR[[#This Row],[QR CODES]],4,13)</f>
        <v/>
      </c>
      <c r="C1922" s="2" t="str">
        <f>IFERROR(VLOOKUP(TableQR[[#This Row],[BARCODES]],ILACLISTE[#All],2,0),"")</f>
        <v/>
      </c>
      <c r="D1922" s="2">
        <f t="shared" si="29"/>
        <v>0</v>
      </c>
      <c r="E1922" s="14" t="str">
        <f>IFERROR(GIZLI!G1917,"")</f>
        <v/>
      </c>
    </row>
    <row r="1923" spans="2:5" x14ac:dyDescent="0.3">
      <c r="B1923" s="2" t="str">
        <f>MID(TableQR[[#This Row],[QR CODES]],4,13)</f>
        <v/>
      </c>
      <c r="C1923" s="2" t="str">
        <f>IFERROR(VLOOKUP(TableQR[[#This Row],[BARCODES]],ILACLISTE[#All],2,0),"")</f>
        <v/>
      </c>
      <c r="D1923" s="2">
        <f t="shared" si="29"/>
        <v>0</v>
      </c>
      <c r="E1923" s="14" t="str">
        <f>IFERROR(GIZLI!G1918,"")</f>
        <v/>
      </c>
    </row>
    <row r="1924" spans="2:5" x14ac:dyDescent="0.3">
      <c r="B1924" s="2" t="str">
        <f>MID(TableQR[[#This Row],[QR CODES]],4,13)</f>
        <v/>
      </c>
      <c r="C1924" s="2" t="str">
        <f>IFERROR(VLOOKUP(TableQR[[#This Row],[BARCODES]],ILACLISTE[#All],2,0),"")</f>
        <v/>
      </c>
      <c r="D1924" s="2">
        <f t="shared" si="29"/>
        <v>0</v>
      </c>
      <c r="E1924" s="14" t="str">
        <f>IFERROR(GIZLI!G1919,"")</f>
        <v/>
      </c>
    </row>
    <row r="1925" spans="2:5" x14ac:dyDescent="0.3">
      <c r="B1925" s="2" t="str">
        <f>MID(TableQR[[#This Row],[QR CODES]],4,13)</f>
        <v/>
      </c>
      <c r="C1925" s="2" t="str">
        <f>IFERROR(VLOOKUP(TableQR[[#This Row],[BARCODES]],ILACLISTE[#All],2,0),"")</f>
        <v/>
      </c>
      <c r="D1925" s="2">
        <f t="shared" si="29"/>
        <v>0</v>
      </c>
      <c r="E1925" s="14" t="str">
        <f>IFERROR(GIZLI!G1920,"")</f>
        <v/>
      </c>
    </row>
    <row r="1926" spans="2:5" x14ac:dyDescent="0.3">
      <c r="B1926" s="2" t="str">
        <f>MID(TableQR[[#This Row],[QR CODES]],4,13)</f>
        <v/>
      </c>
      <c r="C1926" s="2" t="str">
        <f>IFERROR(VLOOKUP(TableQR[[#This Row],[BARCODES]],ILACLISTE[#All],2,0),"")</f>
        <v/>
      </c>
      <c r="D1926" s="2">
        <f t="shared" si="29"/>
        <v>0</v>
      </c>
      <c r="E1926" s="14" t="str">
        <f>IFERROR(GIZLI!G1921,"")</f>
        <v/>
      </c>
    </row>
    <row r="1927" spans="2:5" x14ac:dyDescent="0.3">
      <c r="B1927" s="2" t="str">
        <f>MID(TableQR[[#This Row],[QR CODES]],4,13)</f>
        <v/>
      </c>
      <c r="C1927" s="2" t="str">
        <f>IFERROR(VLOOKUP(TableQR[[#This Row],[BARCODES]],ILACLISTE[#All],2,0),"")</f>
        <v/>
      </c>
      <c r="D1927" s="2">
        <f t="shared" si="29"/>
        <v>0</v>
      </c>
      <c r="E1927" s="14" t="str">
        <f>IFERROR(GIZLI!G1922,"")</f>
        <v/>
      </c>
    </row>
    <row r="1928" spans="2:5" x14ac:dyDescent="0.3">
      <c r="B1928" s="2" t="str">
        <f>MID(TableQR[[#This Row],[QR CODES]],4,13)</f>
        <v/>
      </c>
      <c r="C1928" s="2" t="str">
        <f>IFERROR(VLOOKUP(TableQR[[#This Row],[BARCODES]],ILACLISTE[#All],2,0),"")</f>
        <v/>
      </c>
      <c r="D1928" s="2">
        <f t="shared" ref="D1928:D1991" si="30">COUNTIF(B1928:B5921,IF(B1928="",66666,B1928))</f>
        <v>0</v>
      </c>
      <c r="E1928" s="14" t="str">
        <f>IFERROR(GIZLI!G1923,"")</f>
        <v/>
      </c>
    </row>
    <row r="1929" spans="2:5" x14ac:dyDescent="0.3">
      <c r="B1929" s="2" t="str">
        <f>MID(TableQR[[#This Row],[QR CODES]],4,13)</f>
        <v/>
      </c>
      <c r="C1929" s="2" t="str">
        <f>IFERROR(VLOOKUP(TableQR[[#This Row],[BARCODES]],ILACLISTE[#All],2,0),"")</f>
        <v/>
      </c>
      <c r="D1929" s="2">
        <f t="shared" si="30"/>
        <v>0</v>
      </c>
      <c r="E1929" s="14" t="str">
        <f>IFERROR(GIZLI!G1924,"")</f>
        <v/>
      </c>
    </row>
    <row r="1930" spans="2:5" x14ac:dyDescent="0.3">
      <c r="B1930" s="2" t="str">
        <f>MID(TableQR[[#This Row],[QR CODES]],4,13)</f>
        <v/>
      </c>
      <c r="C1930" s="2" t="str">
        <f>IFERROR(VLOOKUP(TableQR[[#This Row],[BARCODES]],ILACLISTE[#All],2,0),"")</f>
        <v/>
      </c>
      <c r="D1930" s="2">
        <f t="shared" si="30"/>
        <v>0</v>
      </c>
      <c r="E1930" s="14" t="str">
        <f>IFERROR(GIZLI!G1925,"")</f>
        <v/>
      </c>
    </row>
    <row r="1931" spans="2:5" x14ac:dyDescent="0.3">
      <c r="B1931" s="2" t="str">
        <f>MID(TableQR[[#This Row],[QR CODES]],4,13)</f>
        <v/>
      </c>
      <c r="C1931" s="2" t="str">
        <f>IFERROR(VLOOKUP(TableQR[[#This Row],[BARCODES]],ILACLISTE[#All],2,0),"")</f>
        <v/>
      </c>
      <c r="D1931" s="2">
        <f t="shared" si="30"/>
        <v>0</v>
      </c>
      <c r="E1931" s="14" t="str">
        <f>IFERROR(GIZLI!G1926,"")</f>
        <v/>
      </c>
    </row>
    <row r="1932" spans="2:5" x14ac:dyDescent="0.3">
      <c r="B1932" s="2" t="str">
        <f>MID(TableQR[[#This Row],[QR CODES]],4,13)</f>
        <v/>
      </c>
      <c r="C1932" s="2" t="str">
        <f>IFERROR(VLOOKUP(TableQR[[#This Row],[BARCODES]],ILACLISTE[#All],2,0),"")</f>
        <v/>
      </c>
      <c r="D1932" s="2">
        <f t="shared" si="30"/>
        <v>0</v>
      </c>
      <c r="E1932" s="14" t="str">
        <f>IFERROR(GIZLI!G1927,"")</f>
        <v/>
      </c>
    </row>
    <row r="1933" spans="2:5" x14ac:dyDescent="0.3">
      <c r="B1933" s="2" t="str">
        <f>MID(TableQR[[#This Row],[QR CODES]],4,13)</f>
        <v/>
      </c>
      <c r="C1933" s="2" t="str">
        <f>IFERROR(VLOOKUP(TableQR[[#This Row],[BARCODES]],ILACLISTE[#All],2,0),"")</f>
        <v/>
      </c>
      <c r="D1933" s="2">
        <f t="shared" si="30"/>
        <v>0</v>
      </c>
      <c r="E1933" s="14" t="str">
        <f>IFERROR(GIZLI!G1928,"")</f>
        <v/>
      </c>
    </row>
    <row r="1934" spans="2:5" x14ac:dyDescent="0.3">
      <c r="B1934" s="2" t="str">
        <f>MID(TableQR[[#This Row],[QR CODES]],4,13)</f>
        <v/>
      </c>
      <c r="C1934" s="2" t="str">
        <f>IFERROR(VLOOKUP(TableQR[[#This Row],[BARCODES]],ILACLISTE[#All],2,0),"")</f>
        <v/>
      </c>
      <c r="D1934" s="2">
        <f t="shared" si="30"/>
        <v>0</v>
      </c>
      <c r="E1934" s="14" t="str">
        <f>IFERROR(GIZLI!G1929,"")</f>
        <v/>
      </c>
    </row>
    <row r="1935" spans="2:5" x14ac:dyDescent="0.3">
      <c r="B1935" s="2" t="str">
        <f>MID(TableQR[[#This Row],[QR CODES]],4,13)</f>
        <v/>
      </c>
      <c r="C1935" s="2" t="str">
        <f>IFERROR(VLOOKUP(TableQR[[#This Row],[BARCODES]],ILACLISTE[#All],2,0),"")</f>
        <v/>
      </c>
      <c r="D1935" s="2">
        <f t="shared" si="30"/>
        <v>0</v>
      </c>
      <c r="E1935" s="14" t="str">
        <f>IFERROR(GIZLI!G1930,"")</f>
        <v/>
      </c>
    </row>
    <row r="1936" spans="2:5" x14ac:dyDescent="0.3">
      <c r="B1936" s="2" t="str">
        <f>MID(TableQR[[#This Row],[QR CODES]],4,13)</f>
        <v/>
      </c>
      <c r="C1936" s="2" t="str">
        <f>IFERROR(VLOOKUP(TableQR[[#This Row],[BARCODES]],ILACLISTE[#All],2,0),"")</f>
        <v/>
      </c>
      <c r="D1936" s="2">
        <f t="shared" si="30"/>
        <v>0</v>
      </c>
      <c r="E1936" s="14" t="str">
        <f>IFERROR(GIZLI!G1931,"")</f>
        <v/>
      </c>
    </row>
    <row r="1937" spans="2:5" x14ac:dyDescent="0.3">
      <c r="B1937" s="2" t="str">
        <f>MID(TableQR[[#This Row],[QR CODES]],4,13)</f>
        <v/>
      </c>
      <c r="C1937" s="2" t="str">
        <f>IFERROR(VLOOKUP(TableQR[[#This Row],[BARCODES]],ILACLISTE[#All],2,0),"")</f>
        <v/>
      </c>
      <c r="D1937" s="2">
        <f t="shared" si="30"/>
        <v>0</v>
      </c>
      <c r="E1937" s="14" t="str">
        <f>IFERROR(GIZLI!G1932,"")</f>
        <v/>
      </c>
    </row>
    <row r="1938" spans="2:5" x14ac:dyDescent="0.3">
      <c r="B1938" s="2" t="str">
        <f>MID(TableQR[[#This Row],[QR CODES]],4,13)</f>
        <v/>
      </c>
      <c r="C1938" s="2" t="str">
        <f>IFERROR(VLOOKUP(TableQR[[#This Row],[BARCODES]],ILACLISTE[#All],2,0),"")</f>
        <v/>
      </c>
      <c r="D1938" s="2">
        <f t="shared" si="30"/>
        <v>0</v>
      </c>
      <c r="E1938" s="14" t="str">
        <f>IFERROR(GIZLI!G1933,"")</f>
        <v/>
      </c>
    </row>
    <row r="1939" spans="2:5" x14ac:dyDescent="0.3">
      <c r="B1939" s="2" t="str">
        <f>MID(TableQR[[#This Row],[QR CODES]],4,13)</f>
        <v/>
      </c>
      <c r="C1939" s="2" t="str">
        <f>IFERROR(VLOOKUP(TableQR[[#This Row],[BARCODES]],ILACLISTE[#All],2,0),"")</f>
        <v/>
      </c>
      <c r="D1939" s="2">
        <f t="shared" si="30"/>
        <v>0</v>
      </c>
      <c r="E1939" s="14" t="str">
        <f>IFERROR(GIZLI!G1934,"")</f>
        <v/>
      </c>
    </row>
    <row r="1940" spans="2:5" x14ac:dyDescent="0.3">
      <c r="B1940" s="2" t="str">
        <f>MID(TableQR[[#This Row],[QR CODES]],4,13)</f>
        <v/>
      </c>
      <c r="C1940" s="2" t="str">
        <f>IFERROR(VLOOKUP(TableQR[[#This Row],[BARCODES]],ILACLISTE[#All],2,0),"")</f>
        <v/>
      </c>
      <c r="D1940" s="2">
        <f t="shared" si="30"/>
        <v>0</v>
      </c>
      <c r="E1940" s="14" t="str">
        <f>IFERROR(GIZLI!G1935,"")</f>
        <v/>
      </c>
    </row>
    <row r="1941" spans="2:5" x14ac:dyDescent="0.3">
      <c r="B1941" s="2" t="str">
        <f>MID(TableQR[[#This Row],[QR CODES]],4,13)</f>
        <v/>
      </c>
      <c r="C1941" s="2" t="str">
        <f>IFERROR(VLOOKUP(TableQR[[#This Row],[BARCODES]],ILACLISTE[#All],2,0),"")</f>
        <v/>
      </c>
      <c r="D1941" s="2">
        <f t="shared" si="30"/>
        <v>0</v>
      </c>
      <c r="E1941" s="14" t="str">
        <f>IFERROR(GIZLI!G1936,"")</f>
        <v/>
      </c>
    </row>
    <row r="1942" spans="2:5" x14ac:dyDescent="0.3">
      <c r="B1942" s="2" t="str">
        <f>MID(TableQR[[#This Row],[QR CODES]],4,13)</f>
        <v/>
      </c>
      <c r="C1942" s="2" t="str">
        <f>IFERROR(VLOOKUP(TableQR[[#This Row],[BARCODES]],ILACLISTE[#All],2,0),"")</f>
        <v/>
      </c>
      <c r="D1942" s="2">
        <f t="shared" si="30"/>
        <v>0</v>
      </c>
      <c r="E1942" s="14" t="str">
        <f>IFERROR(GIZLI!G1937,"")</f>
        <v/>
      </c>
    </row>
    <row r="1943" spans="2:5" x14ac:dyDescent="0.3">
      <c r="B1943" s="2" t="str">
        <f>MID(TableQR[[#This Row],[QR CODES]],4,13)</f>
        <v/>
      </c>
      <c r="C1943" s="2" t="str">
        <f>IFERROR(VLOOKUP(TableQR[[#This Row],[BARCODES]],ILACLISTE[#All],2,0),"")</f>
        <v/>
      </c>
      <c r="D1943" s="2">
        <f t="shared" si="30"/>
        <v>0</v>
      </c>
      <c r="E1943" s="14" t="str">
        <f>IFERROR(GIZLI!G1938,"")</f>
        <v/>
      </c>
    </row>
    <row r="1944" spans="2:5" x14ac:dyDescent="0.3">
      <c r="B1944" s="2" t="str">
        <f>MID(TableQR[[#This Row],[QR CODES]],4,13)</f>
        <v/>
      </c>
      <c r="C1944" s="2" t="str">
        <f>IFERROR(VLOOKUP(TableQR[[#This Row],[BARCODES]],ILACLISTE[#All],2,0),"")</f>
        <v/>
      </c>
      <c r="D1944" s="2">
        <f t="shared" si="30"/>
        <v>0</v>
      </c>
      <c r="E1944" s="14" t="str">
        <f>IFERROR(GIZLI!G1939,"")</f>
        <v/>
      </c>
    </row>
    <row r="1945" spans="2:5" x14ac:dyDescent="0.3">
      <c r="B1945" s="2" t="str">
        <f>MID(TableQR[[#This Row],[QR CODES]],4,13)</f>
        <v/>
      </c>
      <c r="C1945" s="2" t="str">
        <f>IFERROR(VLOOKUP(TableQR[[#This Row],[BARCODES]],ILACLISTE[#All],2,0),"")</f>
        <v/>
      </c>
      <c r="D1945" s="2">
        <f t="shared" si="30"/>
        <v>0</v>
      </c>
      <c r="E1945" s="14" t="str">
        <f>IFERROR(GIZLI!G1940,"")</f>
        <v/>
      </c>
    </row>
    <row r="1946" spans="2:5" x14ac:dyDescent="0.3">
      <c r="B1946" s="2" t="str">
        <f>MID(TableQR[[#This Row],[QR CODES]],4,13)</f>
        <v/>
      </c>
      <c r="C1946" s="2" t="str">
        <f>IFERROR(VLOOKUP(TableQR[[#This Row],[BARCODES]],ILACLISTE[#All],2,0),"")</f>
        <v/>
      </c>
      <c r="D1946" s="2">
        <f t="shared" si="30"/>
        <v>0</v>
      </c>
      <c r="E1946" s="14" t="str">
        <f>IFERROR(GIZLI!G1941,"")</f>
        <v/>
      </c>
    </row>
    <row r="1947" spans="2:5" x14ac:dyDescent="0.3">
      <c r="B1947" s="2" t="str">
        <f>MID(TableQR[[#This Row],[QR CODES]],4,13)</f>
        <v/>
      </c>
      <c r="C1947" s="2" t="str">
        <f>IFERROR(VLOOKUP(TableQR[[#This Row],[BARCODES]],ILACLISTE[#All],2,0),"")</f>
        <v/>
      </c>
      <c r="D1947" s="2">
        <f t="shared" si="30"/>
        <v>0</v>
      </c>
      <c r="E1947" s="14" t="str">
        <f>IFERROR(GIZLI!G1942,"")</f>
        <v/>
      </c>
    </row>
    <row r="1948" spans="2:5" x14ac:dyDescent="0.3">
      <c r="B1948" s="2" t="str">
        <f>MID(TableQR[[#This Row],[QR CODES]],4,13)</f>
        <v/>
      </c>
      <c r="C1948" s="2" t="str">
        <f>IFERROR(VLOOKUP(TableQR[[#This Row],[BARCODES]],ILACLISTE[#All],2,0),"")</f>
        <v/>
      </c>
      <c r="D1948" s="2">
        <f t="shared" si="30"/>
        <v>0</v>
      </c>
      <c r="E1948" s="14" t="str">
        <f>IFERROR(GIZLI!G1943,"")</f>
        <v/>
      </c>
    </row>
    <row r="1949" spans="2:5" x14ac:dyDescent="0.3">
      <c r="B1949" s="2" t="str">
        <f>MID(TableQR[[#This Row],[QR CODES]],4,13)</f>
        <v/>
      </c>
      <c r="C1949" s="2" t="str">
        <f>IFERROR(VLOOKUP(TableQR[[#This Row],[BARCODES]],ILACLISTE[#All],2,0),"")</f>
        <v/>
      </c>
      <c r="D1949" s="2">
        <f t="shared" si="30"/>
        <v>0</v>
      </c>
      <c r="E1949" s="14" t="str">
        <f>IFERROR(GIZLI!G1944,"")</f>
        <v/>
      </c>
    </row>
    <row r="1950" spans="2:5" x14ac:dyDescent="0.3">
      <c r="B1950" s="2" t="str">
        <f>MID(TableQR[[#This Row],[QR CODES]],4,13)</f>
        <v/>
      </c>
      <c r="C1950" s="2" t="str">
        <f>IFERROR(VLOOKUP(TableQR[[#This Row],[BARCODES]],ILACLISTE[#All],2,0),"")</f>
        <v/>
      </c>
      <c r="D1950" s="2">
        <f t="shared" si="30"/>
        <v>0</v>
      </c>
      <c r="E1950" s="14" t="str">
        <f>IFERROR(GIZLI!G1945,"")</f>
        <v/>
      </c>
    </row>
    <row r="1951" spans="2:5" x14ac:dyDescent="0.3">
      <c r="B1951" s="2" t="str">
        <f>MID(TableQR[[#This Row],[QR CODES]],4,13)</f>
        <v/>
      </c>
      <c r="C1951" s="2" t="str">
        <f>IFERROR(VLOOKUP(TableQR[[#This Row],[BARCODES]],ILACLISTE[#All],2,0),"")</f>
        <v/>
      </c>
      <c r="D1951" s="2">
        <f t="shared" si="30"/>
        <v>0</v>
      </c>
      <c r="E1951" s="14" t="str">
        <f>IFERROR(GIZLI!G1946,"")</f>
        <v/>
      </c>
    </row>
    <row r="1952" spans="2:5" x14ac:dyDescent="0.3">
      <c r="B1952" s="2" t="str">
        <f>MID(TableQR[[#This Row],[QR CODES]],4,13)</f>
        <v/>
      </c>
      <c r="C1952" s="2" t="str">
        <f>IFERROR(VLOOKUP(TableQR[[#This Row],[BARCODES]],ILACLISTE[#All],2,0),"")</f>
        <v/>
      </c>
      <c r="D1952" s="2">
        <f t="shared" si="30"/>
        <v>0</v>
      </c>
      <c r="E1952" s="14" t="str">
        <f>IFERROR(GIZLI!G1947,"")</f>
        <v/>
      </c>
    </row>
    <row r="1953" spans="2:5" x14ac:dyDescent="0.3">
      <c r="B1953" s="2" t="str">
        <f>MID(TableQR[[#This Row],[QR CODES]],4,13)</f>
        <v/>
      </c>
      <c r="C1953" s="2" t="str">
        <f>IFERROR(VLOOKUP(TableQR[[#This Row],[BARCODES]],ILACLISTE[#All],2,0),"")</f>
        <v/>
      </c>
      <c r="D1953" s="2">
        <f t="shared" si="30"/>
        <v>0</v>
      </c>
      <c r="E1953" s="14" t="str">
        <f>IFERROR(GIZLI!G1948,"")</f>
        <v/>
      </c>
    </row>
    <row r="1954" spans="2:5" x14ac:dyDescent="0.3">
      <c r="B1954" s="2" t="str">
        <f>MID(TableQR[[#This Row],[QR CODES]],4,13)</f>
        <v/>
      </c>
      <c r="C1954" s="2" t="str">
        <f>IFERROR(VLOOKUP(TableQR[[#This Row],[BARCODES]],ILACLISTE[#All],2,0),"")</f>
        <v/>
      </c>
      <c r="D1954" s="2">
        <f t="shared" si="30"/>
        <v>0</v>
      </c>
      <c r="E1954" s="14" t="str">
        <f>IFERROR(GIZLI!G1949,"")</f>
        <v/>
      </c>
    </row>
    <row r="1955" spans="2:5" x14ac:dyDescent="0.3">
      <c r="B1955" s="2" t="str">
        <f>MID(TableQR[[#This Row],[QR CODES]],4,13)</f>
        <v/>
      </c>
      <c r="C1955" s="2" t="str">
        <f>IFERROR(VLOOKUP(TableQR[[#This Row],[BARCODES]],ILACLISTE[#All],2,0),"")</f>
        <v/>
      </c>
      <c r="D1955" s="2">
        <f t="shared" si="30"/>
        <v>0</v>
      </c>
      <c r="E1955" s="14" t="str">
        <f>IFERROR(GIZLI!G1950,"")</f>
        <v/>
      </c>
    </row>
    <row r="1956" spans="2:5" x14ac:dyDescent="0.3">
      <c r="B1956" s="2" t="str">
        <f>MID(TableQR[[#This Row],[QR CODES]],4,13)</f>
        <v/>
      </c>
      <c r="C1956" s="2" t="str">
        <f>IFERROR(VLOOKUP(TableQR[[#This Row],[BARCODES]],ILACLISTE[#All],2,0),"")</f>
        <v/>
      </c>
      <c r="D1956" s="2">
        <f t="shared" si="30"/>
        <v>0</v>
      </c>
      <c r="E1956" s="14" t="str">
        <f>IFERROR(GIZLI!G1951,"")</f>
        <v/>
      </c>
    </row>
    <row r="1957" spans="2:5" x14ac:dyDescent="0.3">
      <c r="B1957" s="2" t="str">
        <f>MID(TableQR[[#This Row],[QR CODES]],4,13)</f>
        <v/>
      </c>
      <c r="C1957" s="2" t="str">
        <f>IFERROR(VLOOKUP(TableQR[[#This Row],[BARCODES]],ILACLISTE[#All],2,0),"")</f>
        <v/>
      </c>
      <c r="D1957" s="2">
        <f t="shared" si="30"/>
        <v>0</v>
      </c>
      <c r="E1957" s="14" t="str">
        <f>IFERROR(GIZLI!G1952,"")</f>
        <v/>
      </c>
    </row>
    <row r="1958" spans="2:5" x14ac:dyDescent="0.3">
      <c r="B1958" s="2" t="str">
        <f>MID(TableQR[[#This Row],[QR CODES]],4,13)</f>
        <v/>
      </c>
      <c r="C1958" s="2" t="str">
        <f>IFERROR(VLOOKUP(TableQR[[#This Row],[BARCODES]],ILACLISTE[#All],2,0),"")</f>
        <v/>
      </c>
      <c r="D1958" s="2">
        <f t="shared" si="30"/>
        <v>0</v>
      </c>
      <c r="E1958" s="14" t="str">
        <f>IFERROR(GIZLI!G1953,"")</f>
        <v/>
      </c>
    </row>
    <row r="1959" spans="2:5" x14ac:dyDescent="0.3">
      <c r="B1959" s="2" t="str">
        <f>MID(TableQR[[#This Row],[QR CODES]],4,13)</f>
        <v/>
      </c>
      <c r="C1959" s="2" t="str">
        <f>IFERROR(VLOOKUP(TableQR[[#This Row],[BARCODES]],ILACLISTE[#All],2,0),"")</f>
        <v/>
      </c>
      <c r="D1959" s="2">
        <f t="shared" si="30"/>
        <v>0</v>
      </c>
      <c r="E1959" s="14" t="str">
        <f>IFERROR(GIZLI!G1954,"")</f>
        <v/>
      </c>
    </row>
    <row r="1960" spans="2:5" x14ac:dyDescent="0.3">
      <c r="B1960" s="2" t="str">
        <f>MID(TableQR[[#This Row],[QR CODES]],4,13)</f>
        <v/>
      </c>
      <c r="C1960" s="2" t="str">
        <f>IFERROR(VLOOKUP(TableQR[[#This Row],[BARCODES]],ILACLISTE[#All],2,0),"")</f>
        <v/>
      </c>
      <c r="D1960" s="2">
        <f t="shared" si="30"/>
        <v>0</v>
      </c>
      <c r="E1960" s="14" t="str">
        <f>IFERROR(GIZLI!G1955,"")</f>
        <v/>
      </c>
    </row>
    <row r="1961" spans="2:5" x14ac:dyDescent="0.3">
      <c r="B1961" s="2" t="str">
        <f>MID(TableQR[[#This Row],[QR CODES]],4,13)</f>
        <v/>
      </c>
      <c r="C1961" s="2" t="str">
        <f>IFERROR(VLOOKUP(TableQR[[#This Row],[BARCODES]],ILACLISTE[#All],2,0),"")</f>
        <v/>
      </c>
      <c r="D1961" s="2">
        <f t="shared" si="30"/>
        <v>0</v>
      </c>
      <c r="E1961" s="14" t="str">
        <f>IFERROR(GIZLI!G1956,"")</f>
        <v/>
      </c>
    </row>
    <row r="1962" spans="2:5" x14ac:dyDescent="0.3">
      <c r="B1962" s="2" t="str">
        <f>MID(TableQR[[#This Row],[QR CODES]],4,13)</f>
        <v/>
      </c>
      <c r="C1962" s="2" t="str">
        <f>IFERROR(VLOOKUP(TableQR[[#This Row],[BARCODES]],ILACLISTE[#All],2,0),"")</f>
        <v/>
      </c>
      <c r="D1962" s="2">
        <f t="shared" si="30"/>
        <v>0</v>
      </c>
      <c r="E1962" s="14" t="str">
        <f>IFERROR(GIZLI!G1957,"")</f>
        <v/>
      </c>
    </row>
    <row r="1963" spans="2:5" x14ac:dyDescent="0.3">
      <c r="B1963" s="2" t="str">
        <f>MID(TableQR[[#This Row],[QR CODES]],4,13)</f>
        <v/>
      </c>
      <c r="C1963" s="2" t="str">
        <f>IFERROR(VLOOKUP(TableQR[[#This Row],[BARCODES]],ILACLISTE[#All],2,0),"")</f>
        <v/>
      </c>
      <c r="D1963" s="2">
        <f t="shared" si="30"/>
        <v>0</v>
      </c>
      <c r="E1963" s="14" t="str">
        <f>IFERROR(GIZLI!G1958,"")</f>
        <v/>
      </c>
    </row>
    <row r="1964" spans="2:5" x14ac:dyDescent="0.3">
      <c r="B1964" s="2" t="str">
        <f>MID(TableQR[[#This Row],[QR CODES]],4,13)</f>
        <v/>
      </c>
      <c r="C1964" s="2" t="str">
        <f>IFERROR(VLOOKUP(TableQR[[#This Row],[BARCODES]],ILACLISTE[#All],2,0),"")</f>
        <v/>
      </c>
      <c r="D1964" s="2">
        <f t="shared" si="30"/>
        <v>0</v>
      </c>
      <c r="E1964" s="14" t="str">
        <f>IFERROR(GIZLI!G1959,"")</f>
        <v/>
      </c>
    </row>
    <row r="1965" spans="2:5" x14ac:dyDescent="0.3">
      <c r="B1965" s="2" t="str">
        <f>MID(TableQR[[#This Row],[QR CODES]],4,13)</f>
        <v/>
      </c>
      <c r="C1965" s="2" t="str">
        <f>IFERROR(VLOOKUP(TableQR[[#This Row],[BARCODES]],ILACLISTE[#All],2,0),"")</f>
        <v/>
      </c>
      <c r="D1965" s="2">
        <f t="shared" si="30"/>
        <v>0</v>
      </c>
      <c r="E1965" s="14" t="str">
        <f>IFERROR(GIZLI!G1960,"")</f>
        <v/>
      </c>
    </row>
    <row r="1966" spans="2:5" x14ac:dyDescent="0.3">
      <c r="B1966" s="2" t="str">
        <f>MID(TableQR[[#This Row],[QR CODES]],4,13)</f>
        <v/>
      </c>
      <c r="C1966" s="2" t="str">
        <f>IFERROR(VLOOKUP(TableQR[[#This Row],[BARCODES]],ILACLISTE[#All],2,0),"")</f>
        <v/>
      </c>
      <c r="D1966" s="2">
        <f t="shared" si="30"/>
        <v>0</v>
      </c>
      <c r="E1966" s="14" t="str">
        <f>IFERROR(GIZLI!G1961,"")</f>
        <v/>
      </c>
    </row>
    <row r="1967" spans="2:5" x14ac:dyDescent="0.3">
      <c r="B1967" s="2" t="str">
        <f>MID(TableQR[[#This Row],[QR CODES]],4,13)</f>
        <v/>
      </c>
      <c r="C1967" s="2" t="str">
        <f>IFERROR(VLOOKUP(TableQR[[#This Row],[BARCODES]],ILACLISTE[#All],2,0),"")</f>
        <v/>
      </c>
      <c r="D1967" s="2">
        <f t="shared" si="30"/>
        <v>0</v>
      </c>
      <c r="E1967" s="14" t="str">
        <f>IFERROR(GIZLI!G1962,"")</f>
        <v/>
      </c>
    </row>
    <row r="1968" spans="2:5" x14ac:dyDescent="0.3">
      <c r="B1968" s="2" t="str">
        <f>MID(TableQR[[#This Row],[QR CODES]],4,13)</f>
        <v/>
      </c>
      <c r="C1968" s="2" t="str">
        <f>IFERROR(VLOOKUP(TableQR[[#This Row],[BARCODES]],ILACLISTE[#All],2,0),"")</f>
        <v/>
      </c>
      <c r="D1968" s="2">
        <f t="shared" si="30"/>
        <v>0</v>
      </c>
      <c r="E1968" s="14" t="str">
        <f>IFERROR(GIZLI!G1963,"")</f>
        <v/>
      </c>
    </row>
    <row r="1969" spans="2:5" x14ac:dyDescent="0.3">
      <c r="B1969" s="2" t="str">
        <f>MID(TableQR[[#This Row],[QR CODES]],4,13)</f>
        <v/>
      </c>
      <c r="C1969" s="2" t="str">
        <f>IFERROR(VLOOKUP(TableQR[[#This Row],[BARCODES]],ILACLISTE[#All],2,0),"")</f>
        <v/>
      </c>
      <c r="D1969" s="2">
        <f t="shared" si="30"/>
        <v>0</v>
      </c>
      <c r="E1969" s="14" t="str">
        <f>IFERROR(GIZLI!G1964,"")</f>
        <v/>
      </c>
    </row>
    <row r="1970" spans="2:5" x14ac:dyDescent="0.3">
      <c r="B1970" s="2" t="str">
        <f>MID(TableQR[[#This Row],[QR CODES]],4,13)</f>
        <v/>
      </c>
      <c r="C1970" s="2" t="str">
        <f>IFERROR(VLOOKUP(TableQR[[#This Row],[BARCODES]],ILACLISTE[#All],2,0),"")</f>
        <v/>
      </c>
      <c r="D1970" s="2">
        <f t="shared" si="30"/>
        <v>0</v>
      </c>
      <c r="E1970" s="14" t="str">
        <f>IFERROR(GIZLI!G1965,"")</f>
        <v/>
      </c>
    </row>
    <row r="1971" spans="2:5" x14ac:dyDescent="0.3">
      <c r="B1971" s="2" t="str">
        <f>MID(TableQR[[#This Row],[QR CODES]],4,13)</f>
        <v/>
      </c>
      <c r="C1971" s="2" t="str">
        <f>IFERROR(VLOOKUP(TableQR[[#This Row],[BARCODES]],ILACLISTE[#All],2,0),"")</f>
        <v/>
      </c>
      <c r="D1971" s="2">
        <f t="shared" si="30"/>
        <v>0</v>
      </c>
      <c r="E1971" s="14" t="str">
        <f>IFERROR(GIZLI!G1966,"")</f>
        <v/>
      </c>
    </row>
    <row r="1972" spans="2:5" x14ac:dyDescent="0.3">
      <c r="B1972" s="2" t="str">
        <f>MID(TableQR[[#This Row],[QR CODES]],4,13)</f>
        <v/>
      </c>
      <c r="C1972" s="2" t="str">
        <f>IFERROR(VLOOKUP(TableQR[[#This Row],[BARCODES]],ILACLISTE[#All],2,0),"")</f>
        <v/>
      </c>
      <c r="D1972" s="2">
        <f t="shared" si="30"/>
        <v>0</v>
      </c>
      <c r="E1972" s="14" t="str">
        <f>IFERROR(GIZLI!G1967,"")</f>
        <v/>
      </c>
    </row>
    <row r="1973" spans="2:5" x14ac:dyDescent="0.3">
      <c r="B1973" s="2" t="str">
        <f>MID(TableQR[[#This Row],[QR CODES]],4,13)</f>
        <v/>
      </c>
      <c r="C1973" s="2" t="str">
        <f>IFERROR(VLOOKUP(TableQR[[#This Row],[BARCODES]],ILACLISTE[#All],2,0),"")</f>
        <v/>
      </c>
      <c r="D1973" s="2">
        <f t="shared" si="30"/>
        <v>0</v>
      </c>
      <c r="E1973" s="14" t="str">
        <f>IFERROR(GIZLI!G1968,"")</f>
        <v/>
      </c>
    </row>
    <row r="1974" spans="2:5" x14ac:dyDescent="0.3">
      <c r="B1974" s="2" t="str">
        <f>MID(TableQR[[#This Row],[QR CODES]],4,13)</f>
        <v/>
      </c>
      <c r="C1974" s="2" t="str">
        <f>IFERROR(VLOOKUP(TableQR[[#This Row],[BARCODES]],ILACLISTE[#All],2,0),"")</f>
        <v/>
      </c>
      <c r="D1974" s="2">
        <f t="shared" si="30"/>
        <v>0</v>
      </c>
      <c r="E1974" s="14" t="str">
        <f>IFERROR(GIZLI!G1969,"")</f>
        <v/>
      </c>
    </row>
    <row r="1975" spans="2:5" x14ac:dyDescent="0.3">
      <c r="B1975" s="2" t="str">
        <f>MID(TableQR[[#This Row],[QR CODES]],4,13)</f>
        <v/>
      </c>
      <c r="C1975" s="2" t="str">
        <f>IFERROR(VLOOKUP(TableQR[[#This Row],[BARCODES]],ILACLISTE[#All],2,0),"")</f>
        <v/>
      </c>
      <c r="D1975" s="2">
        <f t="shared" si="30"/>
        <v>0</v>
      </c>
      <c r="E1975" s="14" t="str">
        <f>IFERROR(GIZLI!G1970,"")</f>
        <v/>
      </c>
    </row>
    <row r="1976" spans="2:5" x14ac:dyDescent="0.3">
      <c r="B1976" s="2" t="str">
        <f>MID(TableQR[[#This Row],[QR CODES]],4,13)</f>
        <v/>
      </c>
      <c r="C1976" s="2" t="str">
        <f>IFERROR(VLOOKUP(TableQR[[#This Row],[BARCODES]],ILACLISTE[#All],2,0),"")</f>
        <v/>
      </c>
      <c r="D1976" s="2">
        <f t="shared" si="30"/>
        <v>0</v>
      </c>
      <c r="E1976" s="14" t="str">
        <f>IFERROR(GIZLI!G1971,"")</f>
        <v/>
      </c>
    </row>
    <row r="1977" spans="2:5" x14ac:dyDescent="0.3">
      <c r="B1977" s="2" t="str">
        <f>MID(TableQR[[#This Row],[QR CODES]],4,13)</f>
        <v/>
      </c>
      <c r="C1977" s="2" t="str">
        <f>IFERROR(VLOOKUP(TableQR[[#This Row],[BARCODES]],ILACLISTE[#All],2,0),"")</f>
        <v/>
      </c>
      <c r="D1977" s="2">
        <f t="shared" si="30"/>
        <v>0</v>
      </c>
      <c r="E1977" s="14" t="str">
        <f>IFERROR(GIZLI!G1972,"")</f>
        <v/>
      </c>
    </row>
    <row r="1978" spans="2:5" x14ac:dyDescent="0.3">
      <c r="B1978" s="2" t="str">
        <f>MID(TableQR[[#This Row],[QR CODES]],4,13)</f>
        <v/>
      </c>
      <c r="C1978" s="2" t="str">
        <f>IFERROR(VLOOKUP(TableQR[[#This Row],[BARCODES]],ILACLISTE[#All],2,0),"")</f>
        <v/>
      </c>
      <c r="D1978" s="2">
        <f t="shared" si="30"/>
        <v>0</v>
      </c>
      <c r="E1978" s="14" t="str">
        <f>IFERROR(GIZLI!G1973,"")</f>
        <v/>
      </c>
    </row>
    <row r="1979" spans="2:5" x14ac:dyDescent="0.3">
      <c r="B1979" s="2" t="str">
        <f>MID(TableQR[[#This Row],[QR CODES]],4,13)</f>
        <v/>
      </c>
      <c r="C1979" s="2" t="str">
        <f>IFERROR(VLOOKUP(TableQR[[#This Row],[BARCODES]],ILACLISTE[#All],2,0),"")</f>
        <v/>
      </c>
      <c r="D1979" s="2">
        <f t="shared" si="30"/>
        <v>0</v>
      </c>
      <c r="E1979" s="14" t="str">
        <f>IFERROR(GIZLI!G1974,"")</f>
        <v/>
      </c>
    </row>
    <row r="1980" spans="2:5" x14ac:dyDescent="0.3">
      <c r="B1980" s="2" t="str">
        <f>MID(TableQR[[#This Row],[QR CODES]],4,13)</f>
        <v/>
      </c>
      <c r="C1980" s="2" t="str">
        <f>IFERROR(VLOOKUP(TableQR[[#This Row],[BARCODES]],ILACLISTE[#All],2,0),"")</f>
        <v/>
      </c>
      <c r="D1980" s="2">
        <f t="shared" si="30"/>
        <v>0</v>
      </c>
      <c r="E1980" s="14" t="str">
        <f>IFERROR(GIZLI!G1975,"")</f>
        <v/>
      </c>
    </row>
    <row r="1981" spans="2:5" x14ac:dyDescent="0.3">
      <c r="B1981" s="2" t="str">
        <f>MID(TableQR[[#This Row],[QR CODES]],4,13)</f>
        <v/>
      </c>
      <c r="C1981" s="2" t="str">
        <f>IFERROR(VLOOKUP(TableQR[[#This Row],[BARCODES]],ILACLISTE[#All],2,0),"")</f>
        <v/>
      </c>
      <c r="D1981" s="2">
        <f t="shared" si="30"/>
        <v>0</v>
      </c>
      <c r="E1981" s="14" t="str">
        <f>IFERROR(GIZLI!G1976,"")</f>
        <v/>
      </c>
    </row>
    <row r="1982" spans="2:5" x14ac:dyDescent="0.3">
      <c r="B1982" s="2" t="str">
        <f>MID(TableQR[[#This Row],[QR CODES]],4,13)</f>
        <v/>
      </c>
      <c r="C1982" s="2" t="str">
        <f>IFERROR(VLOOKUP(TableQR[[#This Row],[BARCODES]],ILACLISTE[#All],2,0),"")</f>
        <v/>
      </c>
      <c r="D1982" s="2">
        <f t="shared" si="30"/>
        <v>0</v>
      </c>
      <c r="E1982" s="14" t="str">
        <f>IFERROR(GIZLI!G1977,"")</f>
        <v/>
      </c>
    </row>
    <row r="1983" spans="2:5" x14ac:dyDescent="0.3">
      <c r="B1983" s="2" t="str">
        <f>MID(TableQR[[#This Row],[QR CODES]],4,13)</f>
        <v/>
      </c>
      <c r="C1983" s="2" t="str">
        <f>IFERROR(VLOOKUP(TableQR[[#This Row],[BARCODES]],ILACLISTE[#All],2,0),"")</f>
        <v/>
      </c>
      <c r="D1983" s="2">
        <f t="shared" si="30"/>
        <v>0</v>
      </c>
      <c r="E1983" s="14" t="str">
        <f>IFERROR(GIZLI!G1978,"")</f>
        <v/>
      </c>
    </row>
    <row r="1984" spans="2:5" x14ac:dyDescent="0.3">
      <c r="B1984" s="2" t="str">
        <f>MID(TableQR[[#This Row],[QR CODES]],4,13)</f>
        <v/>
      </c>
      <c r="C1984" s="2" t="str">
        <f>IFERROR(VLOOKUP(TableQR[[#This Row],[BARCODES]],ILACLISTE[#All],2,0),"")</f>
        <v/>
      </c>
      <c r="D1984" s="2">
        <f t="shared" si="30"/>
        <v>0</v>
      </c>
      <c r="E1984" s="14" t="str">
        <f>IFERROR(GIZLI!G1979,"")</f>
        <v/>
      </c>
    </row>
    <row r="1985" spans="2:5" x14ac:dyDescent="0.3">
      <c r="B1985" s="2" t="str">
        <f>MID(TableQR[[#This Row],[QR CODES]],4,13)</f>
        <v/>
      </c>
      <c r="C1985" s="2" t="str">
        <f>IFERROR(VLOOKUP(TableQR[[#This Row],[BARCODES]],ILACLISTE[#All],2,0),"")</f>
        <v/>
      </c>
      <c r="D1985" s="2">
        <f t="shared" si="30"/>
        <v>0</v>
      </c>
      <c r="E1985" s="14" t="str">
        <f>IFERROR(GIZLI!G1980,"")</f>
        <v/>
      </c>
    </row>
    <row r="1986" spans="2:5" x14ac:dyDescent="0.3">
      <c r="B1986" s="2" t="str">
        <f>MID(TableQR[[#This Row],[QR CODES]],4,13)</f>
        <v/>
      </c>
      <c r="C1986" s="2" t="str">
        <f>IFERROR(VLOOKUP(TableQR[[#This Row],[BARCODES]],ILACLISTE[#All],2,0),"")</f>
        <v/>
      </c>
      <c r="D1986" s="2">
        <f t="shared" si="30"/>
        <v>0</v>
      </c>
      <c r="E1986" s="14" t="str">
        <f>IFERROR(GIZLI!G1981,"")</f>
        <v/>
      </c>
    </row>
    <row r="1987" spans="2:5" x14ac:dyDescent="0.3">
      <c r="B1987" s="2" t="str">
        <f>MID(TableQR[[#This Row],[QR CODES]],4,13)</f>
        <v/>
      </c>
      <c r="C1987" s="2" t="str">
        <f>IFERROR(VLOOKUP(TableQR[[#This Row],[BARCODES]],ILACLISTE[#All],2,0),"")</f>
        <v/>
      </c>
      <c r="D1987" s="2">
        <f t="shared" si="30"/>
        <v>0</v>
      </c>
      <c r="E1987" s="14" t="str">
        <f>IFERROR(GIZLI!G1982,"")</f>
        <v/>
      </c>
    </row>
    <row r="1988" spans="2:5" x14ac:dyDescent="0.3">
      <c r="B1988" s="2" t="str">
        <f>MID(TableQR[[#This Row],[QR CODES]],4,13)</f>
        <v/>
      </c>
      <c r="C1988" s="2" t="str">
        <f>IFERROR(VLOOKUP(TableQR[[#This Row],[BARCODES]],ILACLISTE[#All],2,0),"")</f>
        <v/>
      </c>
      <c r="D1988" s="2">
        <f t="shared" si="30"/>
        <v>0</v>
      </c>
      <c r="E1988" s="14" t="str">
        <f>IFERROR(GIZLI!G1983,"")</f>
        <v/>
      </c>
    </row>
    <row r="1989" spans="2:5" x14ac:dyDescent="0.3">
      <c r="B1989" s="2" t="str">
        <f>MID(TableQR[[#This Row],[QR CODES]],4,13)</f>
        <v/>
      </c>
      <c r="C1989" s="2" t="str">
        <f>IFERROR(VLOOKUP(TableQR[[#This Row],[BARCODES]],ILACLISTE[#All],2,0),"")</f>
        <v/>
      </c>
      <c r="D1989" s="2">
        <f t="shared" si="30"/>
        <v>0</v>
      </c>
      <c r="E1989" s="14" t="str">
        <f>IFERROR(GIZLI!G1984,"")</f>
        <v/>
      </c>
    </row>
    <row r="1990" spans="2:5" x14ac:dyDescent="0.3">
      <c r="B1990" s="2" t="str">
        <f>MID(TableQR[[#This Row],[QR CODES]],4,13)</f>
        <v/>
      </c>
      <c r="C1990" s="2" t="str">
        <f>IFERROR(VLOOKUP(TableQR[[#This Row],[BARCODES]],ILACLISTE[#All],2,0),"")</f>
        <v/>
      </c>
      <c r="D1990" s="2">
        <f t="shared" si="30"/>
        <v>0</v>
      </c>
      <c r="E1990" s="14" t="str">
        <f>IFERROR(GIZLI!G1985,"")</f>
        <v/>
      </c>
    </row>
    <row r="1991" spans="2:5" x14ac:dyDescent="0.3">
      <c r="B1991" s="2" t="str">
        <f>MID(TableQR[[#This Row],[QR CODES]],4,13)</f>
        <v/>
      </c>
      <c r="C1991" s="2" t="str">
        <f>IFERROR(VLOOKUP(TableQR[[#This Row],[BARCODES]],ILACLISTE[#All],2,0),"")</f>
        <v/>
      </c>
      <c r="D1991" s="2">
        <f t="shared" si="30"/>
        <v>0</v>
      </c>
      <c r="E1991" s="14" t="str">
        <f>IFERROR(GIZLI!G1986,"")</f>
        <v/>
      </c>
    </row>
    <row r="1992" spans="2:5" x14ac:dyDescent="0.3">
      <c r="B1992" s="2" t="str">
        <f>MID(TableQR[[#This Row],[QR CODES]],4,13)</f>
        <v/>
      </c>
      <c r="C1992" s="2" t="str">
        <f>IFERROR(VLOOKUP(TableQR[[#This Row],[BARCODES]],ILACLISTE[#All],2,0),"")</f>
        <v/>
      </c>
      <c r="D1992" s="2">
        <f t="shared" ref="D1992:D2055" si="31">COUNTIF(B1992:B5985,IF(B1992="",66666,B1992))</f>
        <v>0</v>
      </c>
      <c r="E1992" s="14" t="str">
        <f>IFERROR(GIZLI!G1987,"")</f>
        <v/>
      </c>
    </row>
    <row r="1993" spans="2:5" x14ac:dyDescent="0.3">
      <c r="B1993" s="2" t="str">
        <f>MID(TableQR[[#This Row],[QR CODES]],4,13)</f>
        <v/>
      </c>
      <c r="C1993" s="2" t="str">
        <f>IFERROR(VLOOKUP(TableQR[[#This Row],[BARCODES]],ILACLISTE[#All],2,0),"")</f>
        <v/>
      </c>
      <c r="D1993" s="2">
        <f t="shared" si="31"/>
        <v>0</v>
      </c>
      <c r="E1993" s="14" t="str">
        <f>IFERROR(GIZLI!G1988,"")</f>
        <v/>
      </c>
    </row>
    <row r="1994" spans="2:5" x14ac:dyDescent="0.3">
      <c r="B1994" s="2" t="str">
        <f>MID(TableQR[[#This Row],[QR CODES]],4,13)</f>
        <v/>
      </c>
      <c r="C1994" s="2" t="str">
        <f>IFERROR(VLOOKUP(TableQR[[#This Row],[BARCODES]],ILACLISTE[#All],2,0),"")</f>
        <v/>
      </c>
      <c r="D1994" s="2">
        <f t="shared" si="31"/>
        <v>0</v>
      </c>
      <c r="E1994" s="14" t="str">
        <f>IFERROR(GIZLI!G1989,"")</f>
        <v/>
      </c>
    </row>
    <row r="1995" spans="2:5" x14ac:dyDescent="0.3">
      <c r="B1995" s="2" t="str">
        <f>MID(TableQR[[#This Row],[QR CODES]],4,13)</f>
        <v/>
      </c>
      <c r="C1995" s="2" t="str">
        <f>IFERROR(VLOOKUP(TableQR[[#This Row],[BARCODES]],ILACLISTE[#All],2,0),"")</f>
        <v/>
      </c>
      <c r="D1995" s="2">
        <f t="shared" si="31"/>
        <v>0</v>
      </c>
      <c r="E1995" s="14" t="str">
        <f>IFERROR(GIZLI!G1990,"")</f>
        <v/>
      </c>
    </row>
    <row r="1996" spans="2:5" x14ac:dyDescent="0.3">
      <c r="B1996" s="2" t="str">
        <f>MID(TableQR[[#This Row],[QR CODES]],4,13)</f>
        <v/>
      </c>
      <c r="C1996" s="2" t="str">
        <f>IFERROR(VLOOKUP(TableQR[[#This Row],[BARCODES]],ILACLISTE[#All],2,0),"")</f>
        <v/>
      </c>
      <c r="D1996" s="2">
        <f t="shared" si="31"/>
        <v>0</v>
      </c>
      <c r="E1996" s="14" t="str">
        <f>IFERROR(GIZLI!G1991,"")</f>
        <v/>
      </c>
    </row>
    <row r="1997" spans="2:5" x14ac:dyDescent="0.3">
      <c r="B1997" s="2" t="str">
        <f>MID(TableQR[[#This Row],[QR CODES]],4,13)</f>
        <v/>
      </c>
      <c r="C1997" s="2" t="str">
        <f>IFERROR(VLOOKUP(TableQR[[#This Row],[BARCODES]],ILACLISTE[#All],2,0),"")</f>
        <v/>
      </c>
      <c r="D1997" s="2">
        <f t="shared" si="31"/>
        <v>0</v>
      </c>
      <c r="E1997" s="14" t="str">
        <f>IFERROR(GIZLI!G1992,"")</f>
        <v/>
      </c>
    </row>
    <row r="1998" spans="2:5" x14ac:dyDescent="0.3">
      <c r="B1998" s="2" t="str">
        <f>MID(TableQR[[#This Row],[QR CODES]],4,13)</f>
        <v/>
      </c>
      <c r="C1998" s="2" t="str">
        <f>IFERROR(VLOOKUP(TableQR[[#This Row],[BARCODES]],ILACLISTE[#All],2,0),"")</f>
        <v/>
      </c>
      <c r="D1998" s="2">
        <f t="shared" si="31"/>
        <v>0</v>
      </c>
      <c r="E1998" s="14" t="str">
        <f>IFERROR(GIZLI!G1993,"")</f>
        <v/>
      </c>
    </row>
    <row r="1999" spans="2:5" x14ac:dyDescent="0.3">
      <c r="B1999" s="2" t="str">
        <f>MID(TableQR[[#This Row],[QR CODES]],4,13)</f>
        <v/>
      </c>
      <c r="C1999" s="2" t="str">
        <f>IFERROR(VLOOKUP(TableQR[[#This Row],[BARCODES]],ILACLISTE[#All],2,0),"")</f>
        <v/>
      </c>
      <c r="D1999" s="2">
        <f t="shared" si="31"/>
        <v>0</v>
      </c>
      <c r="E1999" s="14" t="str">
        <f>IFERROR(GIZLI!G1994,"")</f>
        <v/>
      </c>
    </row>
    <row r="2000" spans="2:5" x14ac:dyDescent="0.3">
      <c r="B2000" s="2" t="str">
        <f>MID(TableQR[[#This Row],[QR CODES]],4,13)</f>
        <v/>
      </c>
      <c r="C2000" s="2" t="str">
        <f>IFERROR(VLOOKUP(TableQR[[#This Row],[BARCODES]],ILACLISTE[#All],2,0),"")</f>
        <v/>
      </c>
      <c r="D2000" s="2">
        <f t="shared" si="31"/>
        <v>0</v>
      </c>
      <c r="E2000" s="14" t="str">
        <f>IFERROR(GIZLI!G1995,"")</f>
        <v/>
      </c>
    </row>
    <row r="2001" spans="2:5" x14ac:dyDescent="0.3">
      <c r="B2001" s="2" t="str">
        <f>MID(TableQR[[#This Row],[QR CODES]],4,13)</f>
        <v/>
      </c>
      <c r="C2001" s="2" t="str">
        <f>IFERROR(VLOOKUP(TableQR[[#This Row],[BARCODES]],ILACLISTE[#All],2,0),"")</f>
        <v/>
      </c>
      <c r="D2001" s="2">
        <f t="shared" si="31"/>
        <v>0</v>
      </c>
      <c r="E2001" s="14" t="str">
        <f>IFERROR(GIZLI!G1996,"")</f>
        <v/>
      </c>
    </row>
    <row r="2002" spans="2:5" x14ac:dyDescent="0.3">
      <c r="B2002" s="2" t="str">
        <f>MID(TableQR[[#This Row],[QR CODES]],4,13)</f>
        <v/>
      </c>
      <c r="C2002" s="2" t="str">
        <f>IFERROR(VLOOKUP(TableQR[[#This Row],[BARCODES]],ILACLISTE[#All],2,0),"")</f>
        <v/>
      </c>
      <c r="D2002" s="2">
        <f t="shared" si="31"/>
        <v>0</v>
      </c>
      <c r="E2002" s="14" t="str">
        <f>IFERROR(GIZLI!G1997,"")</f>
        <v/>
      </c>
    </row>
    <row r="2003" spans="2:5" x14ac:dyDescent="0.3">
      <c r="B2003" s="2" t="str">
        <f>MID(TableQR[[#This Row],[QR CODES]],4,13)</f>
        <v/>
      </c>
      <c r="C2003" s="2" t="str">
        <f>IFERROR(VLOOKUP(TableQR[[#This Row],[BARCODES]],ILACLISTE[#All],2,0),"")</f>
        <v/>
      </c>
      <c r="D2003" s="2">
        <f t="shared" si="31"/>
        <v>0</v>
      </c>
      <c r="E2003" s="14" t="str">
        <f>IFERROR(GIZLI!G1998,"")</f>
        <v/>
      </c>
    </row>
    <row r="2004" spans="2:5" x14ac:dyDescent="0.3">
      <c r="B2004" s="2" t="str">
        <f>MID(TableQR[[#This Row],[QR CODES]],4,13)</f>
        <v/>
      </c>
      <c r="C2004" s="2" t="str">
        <f>IFERROR(VLOOKUP(TableQR[[#This Row],[BARCODES]],ILACLISTE[#All],2,0),"")</f>
        <v/>
      </c>
      <c r="D2004" s="2">
        <f t="shared" si="31"/>
        <v>0</v>
      </c>
      <c r="E2004" s="14" t="str">
        <f>IFERROR(GIZLI!G1999,"")</f>
        <v/>
      </c>
    </row>
    <row r="2005" spans="2:5" x14ac:dyDescent="0.3">
      <c r="B2005" s="2" t="str">
        <f>MID(TableQR[[#This Row],[QR CODES]],4,13)</f>
        <v/>
      </c>
      <c r="C2005" s="2" t="str">
        <f>IFERROR(VLOOKUP(TableQR[[#This Row],[BARCODES]],ILACLISTE[#All],2,0),"")</f>
        <v/>
      </c>
      <c r="D2005" s="2">
        <f t="shared" si="31"/>
        <v>0</v>
      </c>
      <c r="E2005" s="14" t="str">
        <f>IFERROR(GIZLI!G2000,"")</f>
        <v/>
      </c>
    </row>
    <row r="2006" spans="2:5" x14ac:dyDescent="0.3">
      <c r="B2006" s="2" t="str">
        <f>MID(TableQR[[#This Row],[QR CODES]],4,13)</f>
        <v/>
      </c>
      <c r="C2006" s="2" t="str">
        <f>IFERROR(VLOOKUP(TableQR[[#This Row],[BARCODES]],ILACLISTE[#All],2,0),"")</f>
        <v/>
      </c>
      <c r="D2006" s="2">
        <f t="shared" si="31"/>
        <v>0</v>
      </c>
      <c r="E2006" s="14" t="str">
        <f>IFERROR(GIZLI!G2001,"")</f>
        <v/>
      </c>
    </row>
    <row r="2007" spans="2:5" x14ac:dyDescent="0.3">
      <c r="B2007" s="2" t="str">
        <f>MID(TableQR[[#This Row],[QR CODES]],4,13)</f>
        <v/>
      </c>
      <c r="C2007" s="2" t="str">
        <f>IFERROR(VLOOKUP(TableQR[[#This Row],[BARCODES]],ILACLISTE[#All],2,0),"")</f>
        <v/>
      </c>
      <c r="D2007" s="2">
        <f t="shared" si="31"/>
        <v>0</v>
      </c>
      <c r="E2007" s="14" t="str">
        <f>IFERROR(GIZLI!G2002,"")</f>
        <v/>
      </c>
    </row>
    <row r="2008" spans="2:5" x14ac:dyDescent="0.3">
      <c r="B2008" s="2" t="str">
        <f>MID(TableQR[[#This Row],[QR CODES]],4,13)</f>
        <v/>
      </c>
      <c r="C2008" s="2" t="str">
        <f>IFERROR(VLOOKUP(TableQR[[#This Row],[BARCODES]],ILACLISTE[#All],2,0),"")</f>
        <v/>
      </c>
      <c r="D2008" s="2">
        <f t="shared" si="31"/>
        <v>0</v>
      </c>
      <c r="E2008" s="14" t="str">
        <f>IFERROR(GIZLI!G2003,"")</f>
        <v/>
      </c>
    </row>
    <row r="2009" spans="2:5" x14ac:dyDescent="0.3">
      <c r="B2009" s="2" t="str">
        <f>MID(TableQR[[#This Row],[QR CODES]],4,13)</f>
        <v/>
      </c>
      <c r="C2009" s="2" t="str">
        <f>IFERROR(VLOOKUP(TableQR[[#This Row],[BARCODES]],ILACLISTE[#All],2,0),"")</f>
        <v/>
      </c>
      <c r="D2009" s="2">
        <f t="shared" si="31"/>
        <v>0</v>
      </c>
      <c r="E2009" s="14" t="str">
        <f>IFERROR(GIZLI!G2004,"")</f>
        <v/>
      </c>
    </row>
    <row r="2010" spans="2:5" x14ac:dyDescent="0.3">
      <c r="B2010" s="2" t="str">
        <f>MID(TableQR[[#This Row],[QR CODES]],4,13)</f>
        <v/>
      </c>
      <c r="C2010" s="2" t="str">
        <f>IFERROR(VLOOKUP(TableQR[[#This Row],[BARCODES]],ILACLISTE[#All],2,0),"")</f>
        <v/>
      </c>
      <c r="D2010" s="2">
        <f t="shared" si="31"/>
        <v>0</v>
      </c>
      <c r="E2010" s="14" t="str">
        <f>IFERROR(GIZLI!G2005,"")</f>
        <v/>
      </c>
    </row>
    <row r="2011" spans="2:5" x14ac:dyDescent="0.3">
      <c r="B2011" s="2" t="str">
        <f>MID(TableQR[[#This Row],[QR CODES]],4,13)</f>
        <v/>
      </c>
      <c r="C2011" s="2" t="str">
        <f>IFERROR(VLOOKUP(TableQR[[#This Row],[BARCODES]],ILACLISTE[#All],2,0),"")</f>
        <v/>
      </c>
      <c r="D2011" s="2">
        <f t="shared" si="31"/>
        <v>0</v>
      </c>
      <c r="E2011" s="14" t="str">
        <f>IFERROR(GIZLI!G2006,"")</f>
        <v/>
      </c>
    </row>
    <row r="2012" spans="2:5" x14ac:dyDescent="0.3">
      <c r="B2012" s="2" t="str">
        <f>MID(TableQR[[#This Row],[QR CODES]],4,13)</f>
        <v/>
      </c>
      <c r="C2012" s="2" t="str">
        <f>IFERROR(VLOOKUP(TableQR[[#This Row],[BARCODES]],ILACLISTE[#All],2,0),"")</f>
        <v/>
      </c>
      <c r="D2012" s="2">
        <f t="shared" si="31"/>
        <v>0</v>
      </c>
      <c r="E2012" s="14" t="str">
        <f>IFERROR(GIZLI!G2007,"")</f>
        <v/>
      </c>
    </row>
    <row r="2013" spans="2:5" x14ac:dyDescent="0.3">
      <c r="B2013" s="2" t="str">
        <f>MID(TableQR[[#This Row],[QR CODES]],4,13)</f>
        <v/>
      </c>
      <c r="C2013" s="2" t="str">
        <f>IFERROR(VLOOKUP(TableQR[[#This Row],[BARCODES]],ILACLISTE[#All],2,0),"")</f>
        <v/>
      </c>
      <c r="D2013" s="2">
        <f t="shared" si="31"/>
        <v>0</v>
      </c>
      <c r="E2013" s="14" t="str">
        <f>IFERROR(GIZLI!G2008,"")</f>
        <v/>
      </c>
    </row>
    <row r="2014" spans="2:5" x14ac:dyDescent="0.3">
      <c r="B2014" s="2" t="str">
        <f>MID(TableQR[[#This Row],[QR CODES]],4,13)</f>
        <v/>
      </c>
      <c r="C2014" s="2" t="str">
        <f>IFERROR(VLOOKUP(TableQR[[#This Row],[BARCODES]],ILACLISTE[#All],2,0),"")</f>
        <v/>
      </c>
      <c r="D2014" s="2">
        <f t="shared" si="31"/>
        <v>0</v>
      </c>
      <c r="E2014" s="14" t="str">
        <f>IFERROR(GIZLI!G2009,"")</f>
        <v/>
      </c>
    </row>
    <row r="2015" spans="2:5" x14ac:dyDescent="0.3">
      <c r="B2015" s="2" t="str">
        <f>MID(TableQR[[#This Row],[QR CODES]],4,13)</f>
        <v/>
      </c>
      <c r="C2015" s="2" t="str">
        <f>IFERROR(VLOOKUP(TableQR[[#This Row],[BARCODES]],ILACLISTE[#All],2,0),"")</f>
        <v/>
      </c>
      <c r="D2015" s="2">
        <f t="shared" si="31"/>
        <v>0</v>
      </c>
      <c r="E2015" s="14" t="str">
        <f>IFERROR(GIZLI!G2010,"")</f>
        <v/>
      </c>
    </row>
    <row r="2016" spans="2:5" x14ac:dyDescent="0.3">
      <c r="B2016" s="2" t="str">
        <f>MID(TableQR[[#This Row],[QR CODES]],4,13)</f>
        <v/>
      </c>
      <c r="C2016" s="2" t="str">
        <f>IFERROR(VLOOKUP(TableQR[[#This Row],[BARCODES]],ILACLISTE[#All],2,0),"")</f>
        <v/>
      </c>
      <c r="D2016" s="2">
        <f t="shared" si="31"/>
        <v>0</v>
      </c>
      <c r="E2016" s="14" t="str">
        <f>IFERROR(GIZLI!G2011,"")</f>
        <v/>
      </c>
    </row>
    <row r="2017" spans="2:5" x14ac:dyDescent="0.3">
      <c r="B2017" s="2" t="str">
        <f>MID(TableQR[[#This Row],[QR CODES]],4,13)</f>
        <v/>
      </c>
      <c r="C2017" s="2" t="str">
        <f>IFERROR(VLOOKUP(TableQR[[#This Row],[BARCODES]],ILACLISTE[#All],2,0),"")</f>
        <v/>
      </c>
      <c r="D2017" s="2">
        <f t="shared" si="31"/>
        <v>0</v>
      </c>
      <c r="E2017" s="14" t="str">
        <f>IFERROR(GIZLI!G2012,"")</f>
        <v/>
      </c>
    </row>
    <row r="2018" spans="2:5" x14ac:dyDescent="0.3">
      <c r="B2018" s="2" t="str">
        <f>MID(TableQR[[#This Row],[QR CODES]],4,13)</f>
        <v/>
      </c>
      <c r="C2018" s="2" t="str">
        <f>IFERROR(VLOOKUP(TableQR[[#This Row],[BARCODES]],ILACLISTE[#All],2,0),"")</f>
        <v/>
      </c>
      <c r="D2018" s="2">
        <f t="shared" si="31"/>
        <v>0</v>
      </c>
      <c r="E2018" s="14" t="str">
        <f>IFERROR(GIZLI!G2013,"")</f>
        <v/>
      </c>
    </row>
    <row r="2019" spans="2:5" x14ac:dyDescent="0.3">
      <c r="B2019" s="2" t="str">
        <f>MID(TableQR[[#This Row],[QR CODES]],4,13)</f>
        <v/>
      </c>
      <c r="C2019" s="2" t="str">
        <f>IFERROR(VLOOKUP(TableQR[[#This Row],[BARCODES]],ILACLISTE[#All],2,0),"")</f>
        <v/>
      </c>
      <c r="D2019" s="2">
        <f t="shared" si="31"/>
        <v>0</v>
      </c>
      <c r="E2019" s="14" t="str">
        <f>IFERROR(GIZLI!G2014,"")</f>
        <v/>
      </c>
    </row>
    <row r="2020" spans="2:5" x14ac:dyDescent="0.3">
      <c r="B2020" s="2" t="str">
        <f>MID(TableQR[[#This Row],[QR CODES]],4,13)</f>
        <v/>
      </c>
      <c r="C2020" s="2" t="str">
        <f>IFERROR(VLOOKUP(TableQR[[#This Row],[BARCODES]],ILACLISTE[#All],2,0),"")</f>
        <v/>
      </c>
      <c r="D2020" s="2">
        <f t="shared" si="31"/>
        <v>0</v>
      </c>
      <c r="E2020" s="14" t="str">
        <f>IFERROR(GIZLI!G2015,"")</f>
        <v/>
      </c>
    </row>
    <row r="2021" spans="2:5" x14ac:dyDescent="0.3">
      <c r="B2021" s="2" t="str">
        <f>MID(TableQR[[#This Row],[QR CODES]],4,13)</f>
        <v/>
      </c>
      <c r="C2021" s="2" t="str">
        <f>IFERROR(VLOOKUP(TableQR[[#This Row],[BARCODES]],ILACLISTE[#All],2,0),"")</f>
        <v/>
      </c>
      <c r="D2021" s="2">
        <f t="shared" si="31"/>
        <v>0</v>
      </c>
      <c r="E2021" s="14" t="str">
        <f>IFERROR(GIZLI!G2016,"")</f>
        <v/>
      </c>
    </row>
    <row r="2022" spans="2:5" x14ac:dyDescent="0.3">
      <c r="B2022" s="2" t="str">
        <f>MID(TableQR[[#This Row],[QR CODES]],4,13)</f>
        <v/>
      </c>
      <c r="C2022" s="2" t="str">
        <f>IFERROR(VLOOKUP(TableQR[[#This Row],[BARCODES]],ILACLISTE[#All],2,0),"")</f>
        <v/>
      </c>
      <c r="D2022" s="2">
        <f t="shared" si="31"/>
        <v>0</v>
      </c>
      <c r="E2022" s="14" t="str">
        <f>IFERROR(GIZLI!G2017,"")</f>
        <v/>
      </c>
    </row>
    <row r="2023" spans="2:5" x14ac:dyDescent="0.3">
      <c r="B2023" s="2" t="str">
        <f>MID(TableQR[[#This Row],[QR CODES]],4,13)</f>
        <v/>
      </c>
      <c r="C2023" s="2" t="str">
        <f>IFERROR(VLOOKUP(TableQR[[#This Row],[BARCODES]],ILACLISTE[#All],2,0),"")</f>
        <v/>
      </c>
      <c r="D2023" s="2">
        <f t="shared" si="31"/>
        <v>0</v>
      </c>
      <c r="E2023" s="14" t="str">
        <f>IFERROR(GIZLI!G2018,"")</f>
        <v/>
      </c>
    </row>
    <row r="2024" spans="2:5" x14ac:dyDescent="0.3">
      <c r="B2024" s="2" t="str">
        <f>MID(TableQR[[#This Row],[QR CODES]],4,13)</f>
        <v/>
      </c>
      <c r="C2024" s="2" t="str">
        <f>IFERROR(VLOOKUP(TableQR[[#This Row],[BARCODES]],ILACLISTE[#All],2,0),"")</f>
        <v/>
      </c>
      <c r="D2024" s="2">
        <f t="shared" si="31"/>
        <v>0</v>
      </c>
      <c r="E2024" s="14" t="str">
        <f>IFERROR(GIZLI!G2019,"")</f>
        <v/>
      </c>
    </row>
    <row r="2025" spans="2:5" x14ac:dyDescent="0.3">
      <c r="B2025" s="2" t="str">
        <f>MID(TableQR[[#This Row],[QR CODES]],4,13)</f>
        <v/>
      </c>
      <c r="C2025" s="2" t="str">
        <f>IFERROR(VLOOKUP(TableQR[[#This Row],[BARCODES]],ILACLISTE[#All],2,0),"")</f>
        <v/>
      </c>
      <c r="D2025" s="2">
        <f t="shared" si="31"/>
        <v>0</v>
      </c>
      <c r="E2025" s="14" t="str">
        <f>IFERROR(GIZLI!G2020,"")</f>
        <v/>
      </c>
    </row>
    <row r="2026" spans="2:5" x14ac:dyDescent="0.3">
      <c r="B2026" s="2" t="str">
        <f>MID(TableQR[[#This Row],[QR CODES]],4,13)</f>
        <v/>
      </c>
      <c r="C2026" s="2" t="str">
        <f>IFERROR(VLOOKUP(TableQR[[#This Row],[BARCODES]],ILACLISTE[#All],2,0),"")</f>
        <v/>
      </c>
      <c r="D2026" s="2">
        <f t="shared" si="31"/>
        <v>0</v>
      </c>
      <c r="E2026" s="14" t="str">
        <f>IFERROR(GIZLI!G2021,"")</f>
        <v/>
      </c>
    </row>
    <row r="2027" spans="2:5" x14ac:dyDescent="0.3">
      <c r="B2027" s="2" t="str">
        <f>MID(TableQR[[#This Row],[QR CODES]],4,13)</f>
        <v/>
      </c>
      <c r="C2027" s="2" t="str">
        <f>IFERROR(VLOOKUP(TableQR[[#This Row],[BARCODES]],ILACLISTE[#All],2,0),"")</f>
        <v/>
      </c>
      <c r="D2027" s="2">
        <f t="shared" si="31"/>
        <v>0</v>
      </c>
      <c r="E2027" s="14" t="str">
        <f>IFERROR(GIZLI!G2022,"")</f>
        <v/>
      </c>
    </row>
    <row r="2028" spans="2:5" x14ac:dyDescent="0.3">
      <c r="B2028" s="2" t="str">
        <f>MID(TableQR[[#This Row],[QR CODES]],4,13)</f>
        <v/>
      </c>
      <c r="C2028" s="2" t="str">
        <f>IFERROR(VLOOKUP(TableQR[[#This Row],[BARCODES]],ILACLISTE[#All],2,0),"")</f>
        <v/>
      </c>
      <c r="D2028" s="2">
        <f t="shared" si="31"/>
        <v>0</v>
      </c>
      <c r="E2028" s="14" t="str">
        <f>IFERROR(GIZLI!G2023,"")</f>
        <v/>
      </c>
    </row>
    <row r="2029" spans="2:5" x14ac:dyDescent="0.3">
      <c r="B2029" s="2" t="str">
        <f>MID(TableQR[[#This Row],[QR CODES]],4,13)</f>
        <v/>
      </c>
      <c r="C2029" s="2" t="str">
        <f>IFERROR(VLOOKUP(TableQR[[#This Row],[BARCODES]],ILACLISTE[#All],2,0),"")</f>
        <v/>
      </c>
      <c r="D2029" s="2">
        <f t="shared" si="31"/>
        <v>0</v>
      </c>
      <c r="E2029" s="14" t="str">
        <f>IFERROR(GIZLI!G2024,"")</f>
        <v/>
      </c>
    </row>
    <row r="2030" spans="2:5" x14ac:dyDescent="0.3">
      <c r="B2030" s="2" t="str">
        <f>MID(TableQR[[#This Row],[QR CODES]],4,13)</f>
        <v/>
      </c>
      <c r="C2030" s="2" t="str">
        <f>IFERROR(VLOOKUP(TableQR[[#This Row],[BARCODES]],ILACLISTE[#All],2,0),"")</f>
        <v/>
      </c>
      <c r="D2030" s="2">
        <f t="shared" si="31"/>
        <v>0</v>
      </c>
      <c r="E2030" s="14" t="str">
        <f>IFERROR(GIZLI!G2025,"")</f>
        <v/>
      </c>
    </row>
    <row r="2031" spans="2:5" x14ac:dyDescent="0.3">
      <c r="B2031" s="2" t="str">
        <f>MID(TableQR[[#This Row],[QR CODES]],4,13)</f>
        <v/>
      </c>
      <c r="C2031" s="2" t="str">
        <f>IFERROR(VLOOKUP(TableQR[[#This Row],[BARCODES]],ILACLISTE[#All],2,0),"")</f>
        <v/>
      </c>
      <c r="D2031" s="2">
        <f t="shared" si="31"/>
        <v>0</v>
      </c>
      <c r="E2031" s="14" t="str">
        <f>IFERROR(GIZLI!G2026,"")</f>
        <v/>
      </c>
    </row>
    <row r="2032" spans="2:5" x14ac:dyDescent="0.3">
      <c r="B2032" s="2" t="str">
        <f>MID(TableQR[[#This Row],[QR CODES]],4,13)</f>
        <v/>
      </c>
      <c r="C2032" s="2" t="str">
        <f>IFERROR(VLOOKUP(TableQR[[#This Row],[BARCODES]],ILACLISTE[#All],2,0),"")</f>
        <v/>
      </c>
      <c r="D2032" s="2">
        <f t="shared" si="31"/>
        <v>0</v>
      </c>
      <c r="E2032" s="14" t="str">
        <f>IFERROR(GIZLI!G2027,"")</f>
        <v/>
      </c>
    </row>
    <row r="2033" spans="2:5" x14ac:dyDescent="0.3">
      <c r="B2033" s="2" t="str">
        <f>MID(TableQR[[#This Row],[QR CODES]],4,13)</f>
        <v/>
      </c>
      <c r="C2033" s="2" t="str">
        <f>IFERROR(VLOOKUP(TableQR[[#This Row],[BARCODES]],ILACLISTE[#All],2,0),"")</f>
        <v/>
      </c>
      <c r="D2033" s="2">
        <f t="shared" si="31"/>
        <v>0</v>
      </c>
      <c r="E2033" s="14" t="str">
        <f>IFERROR(GIZLI!G2028,"")</f>
        <v/>
      </c>
    </row>
    <row r="2034" spans="2:5" x14ac:dyDescent="0.3">
      <c r="B2034" s="2" t="str">
        <f>MID(TableQR[[#This Row],[QR CODES]],4,13)</f>
        <v/>
      </c>
      <c r="C2034" s="2" t="str">
        <f>IFERROR(VLOOKUP(TableQR[[#This Row],[BARCODES]],ILACLISTE[#All],2,0),"")</f>
        <v/>
      </c>
      <c r="D2034" s="2">
        <f t="shared" si="31"/>
        <v>0</v>
      </c>
      <c r="E2034" s="14" t="str">
        <f>IFERROR(GIZLI!G2029,"")</f>
        <v/>
      </c>
    </row>
    <row r="2035" spans="2:5" x14ac:dyDescent="0.3">
      <c r="B2035" s="2" t="str">
        <f>MID(TableQR[[#This Row],[QR CODES]],4,13)</f>
        <v/>
      </c>
      <c r="C2035" s="2" t="str">
        <f>IFERROR(VLOOKUP(TableQR[[#This Row],[BARCODES]],ILACLISTE[#All],2,0),"")</f>
        <v/>
      </c>
      <c r="D2035" s="2">
        <f t="shared" si="31"/>
        <v>0</v>
      </c>
      <c r="E2035" s="14" t="str">
        <f>IFERROR(GIZLI!G2030,"")</f>
        <v/>
      </c>
    </row>
    <row r="2036" spans="2:5" x14ac:dyDescent="0.3">
      <c r="B2036" s="2" t="str">
        <f>MID(TableQR[[#This Row],[QR CODES]],4,13)</f>
        <v/>
      </c>
      <c r="C2036" s="2" t="str">
        <f>IFERROR(VLOOKUP(TableQR[[#This Row],[BARCODES]],ILACLISTE[#All],2,0),"")</f>
        <v/>
      </c>
      <c r="D2036" s="2">
        <f t="shared" si="31"/>
        <v>0</v>
      </c>
      <c r="E2036" s="14" t="str">
        <f>IFERROR(GIZLI!G2031,"")</f>
        <v/>
      </c>
    </row>
    <row r="2037" spans="2:5" x14ac:dyDescent="0.3">
      <c r="B2037" s="2" t="str">
        <f>MID(TableQR[[#This Row],[QR CODES]],4,13)</f>
        <v/>
      </c>
      <c r="C2037" s="2" t="str">
        <f>IFERROR(VLOOKUP(TableQR[[#This Row],[BARCODES]],ILACLISTE[#All],2,0),"")</f>
        <v/>
      </c>
      <c r="D2037" s="2">
        <f t="shared" si="31"/>
        <v>0</v>
      </c>
      <c r="E2037" s="14" t="str">
        <f>IFERROR(GIZLI!G2032,"")</f>
        <v/>
      </c>
    </row>
    <row r="2038" spans="2:5" x14ac:dyDescent="0.3">
      <c r="B2038" s="2" t="str">
        <f>MID(TableQR[[#This Row],[QR CODES]],4,13)</f>
        <v/>
      </c>
      <c r="C2038" s="2" t="str">
        <f>IFERROR(VLOOKUP(TableQR[[#This Row],[BARCODES]],ILACLISTE[#All],2,0),"")</f>
        <v/>
      </c>
      <c r="D2038" s="2">
        <f t="shared" si="31"/>
        <v>0</v>
      </c>
      <c r="E2038" s="14" t="str">
        <f>IFERROR(GIZLI!G2033,"")</f>
        <v/>
      </c>
    </row>
    <row r="2039" spans="2:5" x14ac:dyDescent="0.3">
      <c r="B2039" s="2" t="str">
        <f>MID(TableQR[[#This Row],[QR CODES]],4,13)</f>
        <v/>
      </c>
      <c r="C2039" s="2" t="str">
        <f>IFERROR(VLOOKUP(TableQR[[#This Row],[BARCODES]],ILACLISTE[#All],2,0),"")</f>
        <v/>
      </c>
      <c r="D2039" s="2">
        <f t="shared" si="31"/>
        <v>0</v>
      </c>
      <c r="E2039" s="14" t="str">
        <f>IFERROR(GIZLI!G2034,"")</f>
        <v/>
      </c>
    </row>
    <row r="2040" spans="2:5" x14ac:dyDescent="0.3">
      <c r="B2040" s="2" t="str">
        <f>MID(TableQR[[#This Row],[QR CODES]],4,13)</f>
        <v/>
      </c>
      <c r="C2040" s="2" t="str">
        <f>IFERROR(VLOOKUP(TableQR[[#This Row],[BARCODES]],ILACLISTE[#All],2,0),"")</f>
        <v/>
      </c>
      <c r="D2040" s="2">
        <f t="shared" si="31"/>
        <v>0</v>
      </c>
      <c r="E2040" s="14" t="str">
        <f>IFERROR(GIZLI!G2035,"")</f>
        <v/>
      </c>
    </row>
    <row r="2041" spans="2:5" x14ac:dyDescent="0.3">
      <c r="B2041" s="2" t="str">
        <f>MID(TableQR[[#This Row],[QR CODES]],4,13)</f>
        <v/>
      </c>
      <c r="C2041" s="2" t="str">
        <f>IFERROR(VLOOKUP(TableQR[[#This Row],[BARCODES]],ILACLISTE[#All],2,0),"")</f>
        <v/>
      </c>
      <c r="D2041" s="2">
        <f t="shared" si="31"/>
        <v>0</v>
      </c>
      <c r="E2041" s="14" t="str">
        <f>IFERROR(GIZLI!G2036,"")</f>
        <v/>
      </c>
    </row>
    <row r="2042" spans="2:5" x14ac:dyDescent="0.3">
      <c r="B2042" s="2" t="str">
        <f>MID(TableQR[[#This Row],[QR CODES]],4,13)</f>
        <v/>
      </c>
      <c r="C2042" s="2" t="str">
        <f>IFERROR(VLOOKUP(TableQR[[#This Row],[BARCODES]],ILACLISTE[#All],2,0),"")</f>
        <v/>
      </c>
      <c r="D2042" s="2">
        <f t="shared" si="31"/>
        <v>0</v>
      </c>
      <c r="E2042" s="14" t="str">
        <f>IFERROR(GIZLI!G2037,"")</f>
        <v/>
      </c>
    </row>
    <row r="2043" spans="2:5" x14ac:dyDescent="0.3">
      <c r="B2043" s="2" t="str">
        <f>MID(TableQR[[#This Row],[QR CODES]],4,13)</f>
        <v/>
      </c>
      <c r="C2043" s="2" t="str">
        <f>IFERROR(VLOOKUP(TableQR[[#This Row],[BARCODES]],ILACLISTE[#All],2,0),"")</f>
        <v/>
      </c>
      <c r="D2043" s="2">
        <f t="shared" si="31"/>
        <v>0</v>
      </c>
      <c r="E2043" s="14" t="str">
        <f>IFERROR(GIZLI!G2038,"")</f>
        <v/>
      </c>
    </row>
    <row r="2044" spans="2:5" x14ac:dyDescent="0.3">
      <c r="B2044" s="2" t="str">
        <f>MID(TableQR[[#This Row],[QR CODES]],4,13)</f>
        <v/>
      </c>
      <c r="C2044" s="2" t="str">
        <f>IFERROR(VLOOKUP(TableQR[[#This Row],[BARCODES]],ILACLISTE[#All],2,0),"")</f>
        <v/>
      </c>
      <c r="D2044" s="2">
        <f t="shared" si="31"/>
        <v>0</v>
      </c>
      <c r="E2044" s="14" t="str">
        <f>IFERROR(GIZLI!G2039,"")</f>
        <v/>
      </c>
    </row>
    <row r="2045" spans="2:5" x14ac:dyDescent="0.3">
      <c r="B2045" s="2" t="str">
        <f>MID(TableQR[[#This Row],[QR CODES]],4,13)</f>
        <v/>
      </c>
      <c r="C2045" s="2" t="str">
        <f>IFERROR(VLOOKUP(TableQR[[#This Row],[BARCODES]],ILACLISTE[#All],2,0),"")</f>
        <v/>
      </c>
      <c r="D2045" s="2">
        <f t="shared" si="31"/>
        <v>0</v>
      </c>
      <c r="E2045" s="14" t="str">
        <f>IFERROR(GIZLI!G2040,"")</f>
        <v/>
      </c>
    </row>
    <row r="2046" spans="2:5" x14ac:dyDescent="0.3">
      <c r="B2046" s="2" t="str">
        <f>MID(TableQR[[#This Row],[QR CODES]],4,13)</f>
        <v/>
      </c>
      <c r="C2046" s="2" t="str">
        <f>IFERROR(VLOOKUP(TableQR[[#This Row],[BARCODES]],ILACLISTE[#All],2,0),"")</f>
        <v/>
      </c>
      <c r="D2046" s="2">
        <f t="shared" si="31"/>
        <v>0</v>
      </c>
      <c r="E2046" s="14" t="str">
        <f>IFERROR(GIZLI!G2041,"")</f>
        <v/>
      </c>
    </row>
    <row r="2047" spans="2:5" x14ac:dyDescent="0.3">
      <c r="B2047" s="2" t="str">
        <f>MID(TableQR[[#This Row],[QR CODES]],4,13)</f>
        <v/>
      </c>
      <c r="C2047" s="2" t="str">
        <f>IFERROR(VLOOKUP(TableQR[[#This Row],[BARCODES]],ILACLISTE[#All],2,0),"")</f>
        <v/>
      </c>
      <c r="D2047" s="2">
        <f t="shared" si="31"/>
        <v>0</v>
      </c>
      <c r="E2047" s="14" t="str">
        <f>IFERROR(GIZLI!G2042,"")</f>
        <v/>
      </c>
    </row>
    <row r="2048" spans="2:5" x14ac:dyDescent="0.3">
      <c r="B2048" s="2" t="str">
        <f>MID(TableQR[[#This Row],[QR CODES]],4,13)</f>
        <v/>
      </c>
      <c r="C2048" s="2" t="str">
        <f>IFERROR(VLOOKUP(TableQR[[#This Row],[BARCODES]],ILACLISTE[#All],2,0),"")</f>
        <v/>
      </c>
      <c r="D2048" s="2">
        <f t="shared" si="31"/>
        <v>0</v>
      </c>
      <c r="E2048" s="14" t="str">
        <f>IFERROR(GIZLI!G2043,"")</f>
        <v/>
      </c>
    </row>
    <row r="2049" spans="2:5" x14ac:dyDescent="0.3">
      <c r="B2049" s="2" t="str">
        <f>MID(TableQR[[#This Row],[QR CODES]],4,13)</f>
        <v/>
      </c>
      <c r="C2049" s="2" t="str">
        <f>IFERROR(VLOOKUP(TableQR[[#This Row],[BARCODES]],ILACLISTE[#All],2,0),"")</f>
        <v/>
      </c>
      <c r="D2049" s="2">
        <f t="shared" si="31"/>
        <v>0</v>
      </c>
      <c r="E2049" s="14" t="str">
        <f>IFERROR(GIZLI!G2044,"")</f>
        <v/>
      </c>
    </row>
    <row r="2050" spans="2:5" x14ac:dyDescent="0.3">
      <c r="B2050" s="2" t="str">
        <f>MID(TableQR[[#This Row],[QR CODES]],4,13)</f>
        <v/>
      </c>
      <c r="C2050" s="2" t="str">
        <f>IFERROR(VLOOKUP(TableQR[[#This Row],[BARCODES]],ILACLISTE[#All],2,0),"")</f>
        <v/>
      </c>
      <c r="D2050" s="2">
        <f t="shared" si="31"/>
        <v>0</v>
      </c>
      <c r="E2050" s="14" t="str">
        <f>IFERROR(GIZLI!G2045,"")</f>
        <v/>
      </c>
    </row>
    <row r="2051" spans="2:5" x14ac:dyDescent="0.3">
      <c r="B2051" s="2" t="str">
        <f>MID(TableQR[[#This Row],[QR CODES]],4,13)</f>
        <v/>
      </c>
      <c r="C2051" s="2" t="str">
        <f>IFERROR(VLOOKUP(TableQR[[#This Row],[BARCODES]],ILACLISTE[#All],2,0),"")</f>
        <v/>
      </c>
      <c r="D2051" s="2">
        <f t="shared" si="31"/>
        <v>0</v>
      </c>
      <c r="E2051" s="14" t="str">
        <f>IFERROR(GIZLI!G2046,"")</f>
        <v/>
      </c>
    </row>
    <row r="2052" spans="2:5" x14ac:dyDescent="0.3">
      <c r="B2052" s="2" t="str">
        <f>MID(TableQR[[#This Row],[QR CODES]],4,13)</f>
        <v/>
      </c>
      <c r="C2052" s="2" t="str">
        <f>IFERROR(VLOOKUP(TableQR[[#This Row],[BARCODES]],ILACLISTE[#All],2,0),"")</f>
        <v/>
      </c>
      <c r="D2052" s="2">
        <f t="shared" si="31"/>
        <v>0</v>
      </c>
      <c r="E2052" s="14" t="str">
        <f>IFERROR(GIZLI!G2047,"")</f>
        <v/>
      </c>
    </row>
    <row r="2053" spans="2:5" x14ac:dyDescent="0.3">
      <c r="B2053" s="2" t="str">
        <f>MID(TableQR[[#This Row],[QR CODES]],4,13)</f>
        <v/>
      </c>
      <c r="C2053" s="2" t="str">
        <f>IFERROR(VLOOKUP(TableQR[[#This Row],[BARCODES]],ILACLISTE[#All],2,0),"")</f>
        <v/>
      </c>
      <c r="D2053" s="2">
        <f t="shared" si="31"/>
        <v>0</v>
      </c>
      <c r="E2053" s="14" t="str">
        <f>IFERROR(GIZLI!G2048,"")</f>
        <v/>
      </c>
    </row>
    <row r="2054" spans="2:5" x14ac:dyDescent="0.3">
      <c r="B2054" s="2" t="str">
        <f>MID(TableQR[[#This Row],[QR CODES]],4,13)</f>
        <v/>
      </c>
      <c r="C2054" s="2" t="str">
        <f>IFERROR(VLOOKUP(TableQR[[#This Row],[BARCODES]],ILACLISTE[#All],2,0),"")</f>
        <v/>
      </c>
      <c r="D2054" s="2">
        <f t="shared" si="31"/>
        <v>0</v>
      </c>
      <c r="E2054" s="14" t="str">
        <f>IFERROR(GIZLI!G2049,"")</f>
        <v/>
      </c>
    </row>
    <row r="2055" spans="2:5" x14ac:dyDescent="0.3">
      <c r="B2055" s="2" t="str">
        <f>MID(TableQR[[#This Row],[QR CODES]],4,13)</f>
        <v/>
      </c>
      <c r="C2055" s="2" t="str">
        <f>IFERROR(VLOOKUP(TableQR[[#This Row],[BARCODES]],ILACLISTE[#All],2,0),"")</f>
        <v/>
      </c>
      <c r="D2055" s="2">
        <f t="shared" si="31"/>
        <v>0</v>
      </c>
      <c r="E2055" s="14" t="str">
        <f>IFERROR(GIZLI!G2050,"")</f>
        <v/>
      </c>
    </row>
    <row r="2056" spans="2:5" x14ac:dyDescent="0.3">
      <c r="B2056" s="2" t="str">
        <f>MID(TableQR[[#This Row],[QR CODES]],4,13)</f>
        <v/>
      </c>
      <c r="C2056" s="2" t="str">
        <f>IFERROR(VLOOKUP(TableQR[[#This Row],[BARCODES]],ILACLISTE[#All],2,0),"")</f>
        <v/>
      </c>
      <c r="D2056" s="2">
        <f t="shared" ref="D2056:D2119" si="32">COUNTIF(B2056:B6049,IF(B2056="",66666,B2056))</f>
        <v>0</v>
      </c>
      <c r="E2056" s="14" t="str">
        <f>IFERROR(GIZLI!G2051,"")</f>
        <v/>
      </c>
    </row>
    <row r="2057" spans="2:5" x14ac:dyDescent="0.3">
      <c r="B2057" s="2" t="str">
        <f>MID(TableQR[[#This Row],[QR CODES]],4,13)</f>
        <v/>
      </c>
      <c r="C2057" s="2" t="str">
        <f>IFERROR(VLOOKUP(TableQR[[#This Row],[BARCODES]],ILACLISTE[#All],2,0),"")</f>
        <v/>
      </c>
      <c r="D2057" s="2">
        <f t="shared" si="32"/>
        <v>0</v>
      </c>
      <c r="E2057" s="14" t="str">
        <f>IFERROR(GIZLI!G2052,"")</f>
        <v/>
      </c>
    </row>
    <row r="2058" spans="2:5" x14ac:dyDescent="0.3">
      <c r="B2058" s="2" t="str">
        <f>MID(TableQR[[#This Row],[QR CODES]],4,13)</f>
        <v/>
      </c>
      <c r="C2058" s="2" t="str">
        <f>IFERROR(VLOOKUP(TableQR[[#This Row],[BARCODES]],ILACLISTE[#All],2,0),"")</f>
        <v/>
      </c>
      <c r="D2058" s="2">
        <f t="shared" si="32"/>
        <v>0</v>
      </c>
      <c r="E2058" s="14" t="str">
        <f>IFERROR(GIZLI!G2053,"")</f>
        <v/>
      </c>
    </row>
    <row r="2059" spans="2:5" x14ac:dyDescent="0.3">
      <c r="B2059" s="2" t="str">
        <f>MID(TableQR[[#This Row],[QR CODES]],4,13)</f>
        <v/>
      </c>
      <c r="C2059" s="2" t="str">
        <f>IFERROR(VLOOKUP(TableQR[[#This Row],[BARCODES]],ILACLISTE[#All],2,0),"")</f>
        <v/>
      </c>
      <c r="D2059" s="2">
        <f t="shared" si="32"/>
        <v>0</v>
      </c>
      <c r="E2059" s="14" t="str">
        <f>IFERROR(GIZLI!G2054,"")</f>
        <v/>
      </c>
    </row>
    <row r="2060" spans="2:5" x14ac:dyDescent="0.3">
      <c r="B2060" s="2" t="str">
        <f>MID(TableQR[[#This Row],[QR CODES]],4,13)</f>
        <v/>
      </c>
      <c r="C2060" s="2" t="str">
        <f>IFERROR(VLOOKUP(TableQR[[#This Row],[BARCODES]],ILACLISTE[#All],2,0),"")</f>
        <v/>
      </c>
      <c r="D2060" s="2">
        <f t="shared" si="32"/>
        <v>0</v>
      </c>
      <c r="E2060" s="14" t="str">
        <f>IFERROR(GIZLI!G2055,"")</f>
        <v/>
      </c>
    </row>
    <row r="2061" spans="2:5" x14ac:dyDescent="0.3">
      <c r="B2061" s="2" t="str">
        <f>MID(TableQR[[#This Row],[QR CODES]],4,13)</f>
        <v/>
      </c>
      <c r="C2061" s="2" t="str">
        <f>IFERROR(VLOOKUP(TableQR[[#This Row],[BARCODES]],ILACLISTE[#All],2,0),"")</f>
        <v/>
      </c>
      <c r="D2061" s="2">
        <f t="shared" si="32"/>
        <v>0</v>
      </c>
      <c r="E2061" s="14" t="str">
        <f>IFERROR(GIZLI!G2056,"")</f>
        <v/>
      </c>
    </row>
    <row r="2062" spans="2:5" x14ac:dyDescent="0.3">
      <c r="B2062" s="2" t="str">
        <f>MID(TableQR[[#This Row],[QR CODES]],4,13)</f>
        <v/>
      </c>
      <c r="C2062" s="2" t="str">
        <f>IFERROR(VLOOKUP(TableQR[[#This Row],[BARCODES]],ILACLISTE[#All],2,0),"")</f>
        <v/>
      </c>
      <c r="D2062" s="2">
        <f t="shared" si="32"/>
        <v>0</v>
      </c>
      <c r="E2062" s="14" t="str">
        <f>IFERROR(GIZLI!G2057,"")</f>
        <v/>
      </c>
    </row>
    <row r="2063" spans="2:5" x14ac:dyDescent="0.3">
      <c r="B2063" s="2" t="str">
        <f>MID(TableQR[[#This Row],[QR CODES]],4,13)</f>
        <v/>
      </c>
      <c r="C2063" s="2" t="str">
        <f>IFERROR(VLOOKUP(TableQR[[#This Row],[BARCODES]],ILACLISTE[#All],2,0),"")</f>
        <v/>
      </c>
      <c r="D2063" s="2">
        <f t="shared" si="32"/>
        <v>0</v>
      </c>
      <c r="E2063" s="14" t="str">
        <f>IFERROR(GIZLI!G2058,"")</f>
        <v/>
      </c>
    </row>
    <row r="2064" spans="2:5" x14ac:dyDescent="0.3">
      <c r="B2064" s="2" t="str">
        <f>MID(TableQR[[#This Row],[QR CODES]],4,13)</f>
        <v/>
      </c>
      <c r="C2064" s="2" t="str">
        <f>IFERROR(VLOOKUP(TableQR[[#This Row],[BARCODES]],ILACLISTE[#All],2,0),"")</f>
        <v/>
      </c>
      <c r="D2064" s="2">
        <f t="shared" si="32"/>
        <v>0</v>
      </c>
      <c r="E2064" s="14" t="str">
        <f>IFERROR(GIZLI!G2059,"")</f>
        <v/>
      </c>
    </row>
    <row r="2065" spans="2:5" x14ac:dyDescent="0.3">
      <c r="B2065" s="2" t="str">
        <f>MID(TableQR[[#This Row],[QR CODES]],4,13)</f>
        <v/>
      </c>
      <c r="C2065" s="2" t="str">
        <f>IFERROR(VLOOKUP(TableQR[[#This Row],[BARCODES]],ILACLISTE[#All],2,0),"")</f>
        <v/>
      </c>
      <c r="D2065" s="2">
        <f t="shared" si="32"/>
        <v>0</v>
      </c>
      <c r="E2065" s="14" t="str">
        <f>IFERROR(GIZLI!G2060,"")</f>
        <v/>
      </c>
    </row>
    <row r="2066" spans="2:5" x14ac:dyDescent="0.3">
      <c r="B2066" s="2" t="str">
        <f>MID(TableQR[[#This Row],[QR CODES]],4,13)</f>
        <v/>
      </c>
      <c r="C2066" s="2" t="str">
        <f>IFERROR(VLOOKUP(TableQR[[#This Row],[BARCODES]],ILACLISTE[#All],2,0),"")</f>
        <v/>
      </c>
      <c r="D2066" s="2">
        <f t="shared" si="32"/>
        <v>0</v>
      </c>
      <c r="E2066" s="14" t="str">
        <f>IFERROR(GIZLI!G2061,"")</f>
        <v/>
      </c>
    </row>
    <row r="2067" spans="2:5" x14ac:dyDescent="0.3">
      <c r="B2067" s="2" t="str">
        <f>MID(TableQR[[#This Row],[QR CODES]],4,13)</f>
        <v/>
      </c>
      <c r="C2067" s="2" t="str">
        <f>IFERROR(VLOOKUP(TableQR[[#This Row],[BARCODES]],ILACLISTE[#All],2,0),"")</f>
        <v/>
      </c>
      <c r="D2067" s="2">
        <f t="shared" si="32"/>
        <v>0</v>
      </c>
      <c r="E2067" s="14" t="str">
        <f>IFERROR(GIZLI!G2062,"")</f>
        <v/>
      </c>
    </row>
    <row r="2068" spans="2:5" x14ac:dyDescent="0.3">
      <c r="B2068" s="2" t="str">
        <f>MID(TableQR[[#This Row],[QR CODES]],4,13)</f>
        <v/>
      </c>
      <c r="C2068" s="2" t="str">
        <f>IFERROR(VLOOKUP(TableQR[[#This Row],[BARCODES]],ILACLISTE[#All],2,0),"")</f>
        <v/>
      </c>
      <c r="D2068" s="2">
        <f t="shared" si="32"/>
        <v>0</v>
      </c>
      <c r="E2068" s="14" t="str">
        <f>IFERROR(GIZLI!G2063,"")</f>
        <v/>
      </c>
    </row>
    <row r="2069" spans="2:5" x14ac:dyDescent="0.3">
      <c r="B2069" s="2" t="str">
        <f>MID(TableQR[[#This Row],[QR CODES]],4,13)</f>
        <v/>
      </c>
      <c r="C2069" s="2" t="str">
        <f>IFERROR(VLOOKUP(TableQR[[#This Row],[BARCODES]],ILACLISTE[#All],2,0),"")</f>
        <v/>
      </c>
      <c r="D2069" s="2">
        <f t="shared" si="32"/>
        <v>0</v>
      </c>
      <c r="E2069" s="14" t="str">
        <f>IFERROR(GIZLI!G2064,"")</f>
        <v/>
      </c>
    </row>
    <row r="2070" spans="2:5" x14ac:dyDescent="0.3">
      <c r="B2070" s="2" t="str">
        <f>MID(TableQR[[#This Row],[QR CODES]],4,13)</f>
        <v/>
      </c>
      <c r="C2070" s="2" t="str">
        <f>IFERROR(VLOOKUP(TableQR[[#This Row],[BARCODES]],ILACLISTE[#All],2,0),"")</f>
        <v/>
      </c>
      <c r="D2070" s="2">
        <f t="shared" si="32"/>
        <v>0</v>
      </c>
      <c r="E2070" s="14" t="str">
        <f>IFERROR(GIZLI!G2065,"")</f>
        <v/>
      </c>
    </row>
    <row r="2071" spans="2:5" x14ac:dyDescent="0.3">
      <c r="B2071" s="2" t="str">
        <f>MID(TableQR[[#This Row],[QR CODES]],4,13)</f>
        <v/>
      </c>
      <c r="C2071" s="2" t="str">
        <f>IFERROR(VLOOKUP(TableQR[[#This Row],[BARCODES]],ILACLISTE[#All],2,0),"")</f>
        <v/>
      </c>
      <c r="D2071" s="2">
        <f t="shared" si="32"/>
        <v>0</v>
      </c>
      <c r="E2071" s="14" t="str">
        <f>IFERROR(GIZLI!G2066,"")</f>
        <v/>
      </c>
    </row>
    <row r="2072" spans="2:5" x14ac:dyDescent="0.3">
      <c r="B2072" s="2" t="str">
        <f>MID(TableQR[[#This Row],[QR CODES]],4,13)</f>
        <v/>
      </c>
      <c r="C2072" s="2" t="str">
        <f>IFERROR(VLOOKUP(TableQR[[#This Row],[BARCODES]],ILACLISTE[#All],2,0),"")</f>
        <v/>
      </c>
      <c r="D2072" s="2">
        <f t="shared" si="32"/>
        <v>0</v>
      </c>
      <c r="E2072" s="14" t="str">
        <f>IFERROR(GIZLI!G2067,"")</f>
        <v/>
      </c>
    </row>
    <row r="2073" spans="2:5" x14ac:dyDescent="0.3">
      <c r="B2073" s="2" t="str">
        <f>MID(TableQR[[#This Row],[QR CODES]],4,13)</f>
        <v/>
      </c>
      <c r="C2073" s="2" t="str">
        <f>IFERROR(VLOOKUP(TableQR[[#This Row],[BARCODES]],ILACLISTE[#All],2,0),"")</f>
        <v/>
      </c>
      <c r="D2073" s="2">
        <f t="shared" si="32"/>
        <v>0</v>
      </c>
      <c r="E2073" s="14" t="str">
        <f>IFERROR(GIZLI!G2068,"")</f>
        <v/>
      </c>
    </row>
    <row r="2074" spans="2:5" x14ac:dyDescent="0.3">
      <c r="B2074" s="2" t="str">
        <f>MID(TableQR[[#This Row],[QR CODES]],4,13)</f>
        <v/>
      </c>
      <c r="C2074" s="2" t="str">
        <f>IFERROR(VLOOKUP(TableQR[[#This Row],[BARCODES]],ILACLISTE[#All],2,0),"")</f>
        <v/>
      </c>
      <c r="D2074" s="2">
        <f t="shared" si="32"/>
        <v>0</v>
      </c>
      <c r="E2074" s="14" t="str">
        <f>IFERROR(GIZLI!G2069,"")</f>
        <v/>
      </c>
    </row>
    <row r="2075" spans="2:5" x14ac:dyDescent="0.3">
      <c r="B2075" s="2" t="str">
        <f>MID(TableQR[[#This Row],[QR CODES]],4,13)</f>
        <v/>
      </c>
      <c r="C2075" s="2" t="str">
        <f>IFERROR(VLOOKUP(TableQR[[#This Row],[BARCODES]],ILACLISTE[#All],2,0),"")</f>
        <v/>
      </c>
      <c r="D2075" s="2">
        <f t="shared" si="32"/>
        <v>0</v>
      </c>
      <c r="E2075" s="14" t="str">
        <f>IFERROR(GIZLI!G2070,"")</f>
        <v/>
      </c>
    </row>
    <row r="2076" spans="2:5" x14ac:dyDescent="0.3">
      <c r="B2076" s="2" t="str">
        <f>MID(TableQR[[#This Row],[QR CODES]],4,13)</f>
        <v/>
      </c>
      <c r="C2076" s="2" t="str">
        <f>IFERROR(VLOOKUP(TableQR[[#This Row],[BARCODES]],ILACLISTE[#All],2,0),"")</f>
        <v/>
      </c>
      <c r="D2076" s="2">
        <f t="shared" si="32"/>
        <v>0</v>
      </c>
      <c r="E2076" s="14" t="str">
        <f>IFERROR(GIZLI!G2071,"")</f>
        <v/>
      </c>
    </row>
    <row r="2077" spans="2:5" x14ac:dyDescent="0.3">
      <c r="B2077" s="2" t="str">
        <f>MID(TableQR[[#This Row],[QR CODES]],4,13)</f>
        <v/>
      </c>
      <c r="C2077" s="2" t="str">
        <f>IFERROR(VLOOKUP(TableQR[[#This Row],[BARCODES]],ILACLISTE[#All],2,0),"")</f>
        <v/>
      </c>
      <c r="D2077" s="2">
        <f t="shared" si="32"/>
        <v>0</v>
      </c>
      <c r="E2077" s="14" t="str">
        <f>IFERROR(GIZLI!G2072,"")</f>
        <v/>
      </c>
    </row>
    <row r="2078" spans="2:5" x14ac:dyDescent="0.3">
      <c r="B2078" s="2" t="str">
        <f>MID(TableQR[[#This Row],[QR CODES]],4,13)</f>
        <v/>
      </c>
      <c r="C2078" s="2" t="str">
        <f>IFERROR(VLOOKUP(TableQR[[#This Row],[BARCODES]],ILACLISTE[#All],2,0),"")</f>
        <v/>
      </c>
      <c r="D2078" s="2">
        <f t="shared" si="32"/>
        <v>0</v>
      </c>
      <c r="E2078" s="14" t="str">
        <f>IFERROR(GIZLI!G2073,"")</f>
        <v/>
      </c>
    </row>
    <row r="2079" spans="2:5" x14ac:dyDescent="0.3">
      <c r="B2079" s="2" t="str">
        <f>MID(TableQR[[#This Row],[QR CODES]],4,13)</f>
        <v/>
      </c>
      <c r="C2079" s="2" t="str">
        <f>IFERROR(VLOOKUP(TableQR[[#This Row],[BARCODES]],ILACLISTE[#All],2,0),"")</f>
        <v/>
      </c>
      <c r="D2079" s="2">
        <f t="shared" si="32"/>
        <v>0</v>
      </c>
      <c r="E2079" s="14" t="str">
        <f>IFERROR(GIZLI!G2074,"")</f>
        <v/>
      </c>
    </row>
    <row r="2080" spans="2:5" x14ac:dyDescent="0.3">
      <c r="B2080" s="2" t="str">
        <f>MID(TableQR[[#This Row],[QR CODES]],4,13)</f>
        <v/>
      </c>
      <c r="C2080" s="2" t="str">
        <f>IFERROR(VLOOKUP(TableQR[[#This Row],[BARCODES]],ILACLISTE[#All],2,0),"")</f>
        <v/>
      </c>
      <c r="D2080" s="2">
        <f t="shared" si="32"/>
        <v>0</v>
      </c>
      <c r="E2080" s="14" t="str">
        <f>IFERROR(GIZLI!G2075,"")</f>
        <v/>
      </c>
    </row>
    <row r="2081" spans="2:5" x14ac:dyDescent="0.3">
      <c r="B2081" s="2" t="str">
        <f>MID(TableQR[[#This Row],[QR CODES]],4,13)</f>
        <v/>
      </c>
      <c r="C2081" s="2" t="str">
        <f>IFERROR(VLOOKUP(TableQR[[#This Row],[BARCODES]],ILACLISTE[#All],2,0),"")</f>
        <v/>
      </c>
      <c r="D2081" s="2">
        <f t="shared" si="32"/>
        <v>0</v>
      </c>
      <c r="E2081" s="14" t="str">
        <f>IFERROR(GIZLI!G2076,"")</f>
        <v/>
      </c>
    </row>
    <row r="2082" spans="2:5" x14ac:dyDescent="0.3">
      <c r="B2082" s="2" t="str">
        <f>MID(TableQR[[#This Row],[QR CODES]],4,13)</f>
        <v/>
      </c>
      <c r="C2082" s="2" t="str">
        <f>IFERROR(VLOOKUP(TableQR[[#This Row],[BARCODES]],ILACLISTE[#All],2,0),"")</f>
        <v/>
      </c>
      <c r="D2082" s="2">
        <f t="shared" si="32"/>
        <v>0</v>
      </c>
      <c r="E2082" s="14" t="str">
        <f>IFERROR(GIZLI!G2077,"")</f>
        <v/>
      </c>
    </row>
    <row r="2083" spans="2:5" x14ac:dyDescent="0.3">
      <c r="B2083" s="2" t="str">
        <f>MID(TableQR[[#This Row],[QR CODES]],4,13)</f>
        <v/>
      </c>
      <c r="C2083" s="2" t="str">
        <f>IFERROR(VLOOKUP(TableQR[[#This Row],[BARCODES]],ILACLISTE[#All],2,0),"")</f>
        <v/>
      </c>
      <c r="D2083" s="2">
        <f t="shared" si="32"/>
        <v>0</v>
      </c>
      <c r="E2083" s="14" t="str">
        <f>IFERROR(GIZLI!G2078,"")</f>
        <v/>
      </c>
    </row>
    <row r="2084" spans="2:5" x14ac:dyDescent="0.3">
      <c r="B2084" s="2" t="str">
        <f>MID(TableQR[[#This Row],[QR CODES]],4,13)</f>
        <v/>
      </c>
      <c r="C2084" s="2" t="str">
        <f>IFERROR(VLOOKUP(TableQR[[#This Row],[BARCODES]],ILACLISTE[#All],2,0),"")</f>
        <v/>
      </c>
      <c r="D2084" s="2">
        <f t="shared" si="32"/>
        <v>0</v>
      </c>
      <c r="E2084" s="14" t="str">
        <f>IFERROR(GIZLI!G2079,"")</f>
        <v/>
      </c>
    </row>
    <row r="2085" spans="2:5" x14ac:dyDescent="0.3">
      <c r="B2085" s="2" t="str">
        <f>MID(TableQR[[#This Row],[QR CODES]],4,13)</f>
        <v/>
      </c>
      <c r="C2085" s="2" t="str">
        <f>IFERROR(VLOOKUP(TableQR[[#This Row],[BARCODES]],ILACLISTE[#All],2,0),"")</f>
        <v/>
      </c>
      <c r="D2085" s="2">
        <f t="shared" si="32"/>
        <v>0</v>
      </c>
      <c r="E2085" s="14" t="str">
        <f>IFERROR(GIZLI!G2080,"")</f>
        <v/>
      </c>
    </row>
    <row r="2086" spans="2:5" x14ac:dyDescent="0.3">
      <c r="B2086" s="2" t="str">
        <f>MID(TableQR[[#This Row],[QR CODES]],4,13)</f>
        <v/>
      </c>
      <c r="C2086" s="2" t="str">
        <f>IFERROR(VLOOKUP(TableQR[[#This Row],[BARCODES]],ILACLISTE[#All],2,0),"")</f>
        <v/>
      </c>
      <c r="D2086" s="2">
        <f t="shared" si="32"/>
        <v>0</v>
      </c>
      <c r="E2086" s="14" t="str">
        <f>IFERROR(GIZLI!G2081,"")</f>
        <v/>
      </c>
    </row>
    <row r="2087" spans="2:5" x14ac:dyDescent="0.3">
      <c r="B2087" s="2" t="str">
        <f>MID(TableQR[[#This Row],[QR CODES]],4,13)</f>
        <v/>
      </c>
      <c r="C2087" s="2" t="str">
        <f>IFERROR(VLOOKUP(TableQR[[#This Row],[BARCODES]],ILACLISTE[#All],2,0),"")</f>
        <v/>
      </c>
      <c r="D2087" s="2">
        <f t="shared" si="32"/>
        <v>0</v>
      </c>
      <c r="E2087" s="14" t="str">
        <f>IFERROR(GIZLI!G2082,"")</f>
        <v/>
      </c>
    </row>
    <row r="2088" spans="2:5" x14ac:dyDescent="0.3">
      <c r="B2088" s="2" t="str">
        <f>MID(TableQR[[#This Row],[QR CODES]],4,13)</f>
        <v/>
      </c>
      <c r="C2088" s="2" t="str">
        <f>IFERROR(VLOOKUP(TableQR[[#This Row],[BARCODES]],ILACLISTE[#All],2,0),"")</f>
        <v/>
      </c>
      <c r="D2088" s="2">
        <f t="shared" si="32"/>
        <v>0</v>
      </c>
      <c r="E2088" s="14" t="str">
        <f>IFERROR(GIZLI!G2083,"")</f>
        <v/>
      </c>
    </row>
    <row r="2089" spans="2:5" x14ac:dyDescent="0.3">
      <c r="B2089" s="2" t="str">
        <f>MID(TableQR[[#This Row],[QR CODES]],4,13)</f>
        <v/>
      </c>
      <c r="C2089" s="2" t="str">
        <f>IFERROR(VLOOKUP(TableQR[[#This Row],[BARCODES]],ILACLISTE[#All],2,0),"")</f>
        <v/>
      </c>
      <c r="D2089" s="2">
        <f t="shared" si="32"/>
        <v>0</v>
      </c>
      <c r="E2089" s="14" t="str">
        <f>IFERROR(GIZLI!G2084,"")</f>
        <v/>
      </c>
    </row>
    <row r="2090" spans="2:5" x14ac:dyDescent="0.3">
      <c r="B2090" s="2" t="str">
        <f>MID(TableQR[[#This Row],[QR CODES]],4,13)</f>
        <v/>
      </c>
      <c r="C2090" s="2" t="str">
        <f>IFERROR(VLOOKUP(TableQR[[#This Row],[BARCODES]],ILACLISTE[#All],2,0),"")</f>
        <v/>
      </c>
      <c r="D2090" s="2">
        <f t="shared" si="32"/>
        <v>0</v>
      </c>
      <c r="E2090" s="14" t="str">
        <f>IFERROR(GIZLI!G2085,"")</f>
        <v/>
      </c>
    </row>
    <row r="2091" spans="2:5" x14ac:dyDescent="0.3">
      <c r="B2091" s="2" t="str">
        <f>MID(TableQR[[#This Row],[QR CODES]],4,13)</f>
        <v/>
      </c>
      <c r="C2091" s="2" t="str">
        <f>IFERROR(VLOOKUP(TableQR[[#This Row],[BARCODES]],ILACLISTE[#All],2,0),"")</f>
        <v/>
      </c>
      <c r="D2091" s="2">
        <f t="shared" si="32"/>
        <v>0</v>
      </c>
      <c r="E2091" s="14" t="str">
        <f>IFERROR(GIZLI!G2086,"")</f>
        <v/>
      </c>
    </row>
    <row r="2092" spans="2:5" x14ac:dyDescent="0.3">
      <c r="B2092" s="2" t="str">
        <f>MID(TableQR[[#This Row],[QR CODES]],4,13)</f>
        <v/>
      </c>
      <c r="C2092" s="2" t="str">
        <f>IFERROR(VLOOKUP(TableQR[[#This Row],[BARCODES]],ILACLISTE[#All],2,0),"")</f>
        <v/>
      </c>
      <c r="D2092" s="2">
        <f t="shared" si="32"/>
        <v>0</v>
      </c>
      <c r="E2092" s="14" t="str">
        <f>IFERROR(GIZLI!G2087,"")</f>
        <v/>
      </c>
    </row>
    <row r="2093" spans="2:5" x14ac:dyDescent="0.3">
      <c r="B2093" s="2" t="str">
        <f>MID(TableQR[[#This Row],[QR CODES]],4,13)</f>
        <v/>
      </c>
      <c r="C2093" s="2" t="str">
        <f>IFERROR(VLOOKUP(TableQR[[#This Row],[BARCODES]],ILACLISTE[#All],2,0),"")</f>
        <v/>
      </c>
      <c r="D2093" s="2">
        <f t="shared" si="32"/>
        <v>0</v>
      </c>
      <c r="E2093" s="14" t="str">
        <f>IFERROR(GIZLI!G2088,"")</f>
        <v/>
      </c>
    </row>
    <row r="2094" spans="2:5" x14ac:dyDescent="0.3">
      <c r="B2094" s="2" t="str">
        <f>MID(TableQR[[#This Row],[QR CODES]],4,13)</f>
        <v/>
      </c>
      <c r="C2094" s="2" t="str">
        <f>IFERROR(VLOOKUP(TableQR[[#This Row],[BARCODES]],ILACLISTE[#All],2,0),"")</f>
        <v/>
      </c>
      <c r="D2094" s="2">
        <f t="shared" si="32"/>
        <v>0</v>
      </c>
      <c r="E2094" s="14" t="str">
        <f>IFERROR(GIZLI!G2089,"")</f>
        <v/>
      </c>
    </row>
    <row r="2095" spans="2:5" x14ac:dyDescent="0.3">
      <c r="B2095" s="2" t="str">
        <f>MID(TableQR[[#This Row],[QR CODES]],4,13)</f>
        <v/>
      </c>
      <c r="C2095" s="2" t="str">
        <f>IFERROR(VLOOKUP(TableQR[[#This Row],[BARCODES]],ILACLISTE[#All],2,0),"")</f>
        <v/>
      </c>
      <c r="D2095" s="2">
        <f t="shared" si="32"/>
        <v>0</v>
      </c>
      <c r="E2095" s="14" t="str">
        <f>IFERROR(GIZLI!G2090,"")</f>
        <v/>
      </c>
    </row>
    <row r="2096" spans="2:5" x14ac:dyDescent="0.3">
      <c r="B2096" s="2" t="str">
        <f>MID(TableQR[[#This Row],[QR CODES]],4,13)</f>
        <v/>
      </c>
      <c r="C2096" s="2" t="str">
        <f>IFERROR(VLOOKUP(TableQR[[#This Row],[BARCODES]],ILACLISTE[#All],2,0),"")</f>
        <v/>
      </c>
      <c r="D2096" s="2">
        <f t="shared" si="32"/>
        <v>0</v>
      </c>
      <c r="E2096" s="14" t="str">
        <f>IFERROR(GIZLI!G2091,"")</f>
        <v/>
      </c>
    </row>
    <row r="2097" spans="2:5" x14ac:dyDescent="0.3">
      <c r="B2097" s="2" t="str">
        <f>MID(TableQR[[#This Row],[QR CODES]],4,13)</f>
        <v/>
      </c>
      <c r="C2097" s="2" t="str">
        <f>IFERROR(VLOOKUP(TableQR[[#This Row],[BARCODES]],ILACLISTE[#All],2,0),"")</f>
        <v/>
      </c>
      <c r="D2097" s="2">
        <f t="shared" si="32"/>
        <v>0</v>
      </c>
      <c r="E2097" s="14" t="str">
        <f>IFERROR(GIZLI!G2092,"")</f>
        <v/>
      </c>
    </row>
    <row r="2098" spans="2:5" x14ac:dyDescent="0.3">
      <c r="B2098" s="2" t="str">
        <f>MID(TableQR[[#This Row],[QR CODES]],4,13)</f>
        <v/>
      </c>
      <c r="C2098" s="2" t="str">
        <f>IFERROR(VLOOKUP(TableQR[[#This Row],[BARCODES]],ILACLISTE[#All],2,0),"")</f>
        <v/>
      </c>
      <c r="D2098" s="2">
        <f t="shared" si="32"/>
        <v>0</v>
      </c>
      <c r="E2098" s="14" t="str">
        <f>IFERROR(GIZLI!G2093,"")</f>
        <v/>
      </c>
    </row>
    <row r="2099" spans="2:5" x14ac:dyDescent="0.3">
      <c r="B2099" s="2" t="str">
        <f>MID(TableQR[[#This Row],[QR CODES]],4,13)</f>
        <v/>
      </c>
      <c r="C2099" s="2" t="str">
        <f>IFERROR(VLOOKUP(TableQR[[#This Row],[BARCODES]],ILACLISTE[#All],2,0),"")</f>
        <v/>
      </c>
      <c r="D2099" s="2">
        <f t="shared" si="32"/>
        <v>0</v>
      </c>
      <c r="E2099" s="14" t="str">
        <f>IFERROR(GIZLI!G2094,"")</f>
        <v/>
      </c>
    </row>
    <row r="2100" spans="2:5" x14ac:dyDescent="0.3">
      <c r="B2100" s="2" t="str">
        <f>MID(TableQR[[#This Row],[QR CODES]],4,13)</f>
        <v/>
      </c>
      <c r="C2100" s="2" t="str">
        <f>IFERROR(VLOOKUP(TableQR[[#This Row],[BARCODES]],ILACLISTE[#All],2,0),"")</f>
        <v/>
      </c>
      <c r="D2100" s="2">
        <f t="shared" si="32"/>
        <v>0</v>
      </c>
      <c r="E2100" s="14" t="str">
        <f>IFERROR(GIZLI!G2095,"")</f>
        <v/>
      </c>
    </row>
    <row r="2101" spans="2:5" x14ac:dyDescent="0.3">
      <c r="B2101" s="2" t="str">
        <f>MID(TableQR[[#This Row],[QR CODES]],4,13)</f>
        <v/>
      </c>
      <c r="C2101" s="2" t="str">
        <f>IFERROR(VLOOKUP(TableQR[[#This Row],[BARCODES]],ILACLISTE[#All],2,0),"")</f>
        <v/>
      </c>
      <c r="D2101" s="2">
        <f t="shared" si="32"/>
        <v>0</v>
      </c>
      <c r="E2101" s="14" t="str">
        <f>IFERROR(GIZLI!G2096,"")</f>
        <v/>
      </c>
    </row>
    <row r="2102" spans="2:5" x14ac:dyDescent="0.3">
      <c r="B2102" s="2" t="str">
        <f>MID(TableQR[[#This Row],[QR CODES]],4,13)</f>
        <v/>
      </c>
      <c r="C2102" s="2" t="str">
        <f>IFERROR(VLOOKUP(TableQR[[#This Row],[BARCODES]],ILACLISTE[#All],2,0),"")</f>
        <v/>
      </c>
      <c r="D2102" s="2">
        <f t="shared" si="32"/>
        <v>0</v>
      </c>
      <c r="E2102" s="14" t="str">
        <f>IFERROR(GIZLI!G2097,"")</f>
        <v/>
      </c>
    </row>
    <row r="2103" spans="2:5" x14ac:dyDescent="0.3">
      <c r="B2103" s="2" t="str">
        <f>MID(TableQR[[#This Row],[QR CODES]],4,13)</f>
        <v/>
      </c>
      <c r="C2103" s="2" t="str">
        <f>IFERROR(VLOOKUP(TableQR[[#This Row],[BARCODES]],ILACLISTE[#All],2,0),"")</f>
        <v/>
      </c>
      <c r="D2103" s="2">
        <f t="shared" si="32"/>
        <v>0</v>
      </c>
      <c r="E2103" s="14" t="str">
        <f>IFERROR(GIZLI!G2098,"")</f>
        <v/>
      </c>
    </row>
    <row r="2104" spans="2:5" x14ac:dyDescent="0.3">
      <c r="B2104" s="2" t="str">
        <f>MID(TableQR[[#This Row],[QR CODES]],4,13)</f>
        <v/>
      </c>
      <c r="C2104" s="2" t="str">
        <f>IFERROR(VLOOKUP(TableQR[[#This Row],[BARCODES]],ILACLISTE[#All],2,0),"")</f>
        <v/>
      </c>
      <c r="D2104" s="2">
        <f t="shared" si="32"/>
        <v>0</v>
      </c>
      <c r="E2104" s="14" t="str">
        <f>IFERROR(GIZLI!G2099,"")</f>
        <v/>
      </c>
    </row>
    <row r="2105" spans="2:5" x14ac:dyDescent="0.3">
      <c r="B2105" s="2" t="str">
        <f>MID(TableQR[[#This Row],[QR CODES]],4,13)</f>
        <v/>
      </c>
      <c r="C2105" s="2" t="str">
        <f>IFERROR(VLOOKUP(TableQR[[#This Row],[BARCODES]],ILACLISTE[#All],2,0),"")</f>
        <v/>
      </c>
      <c r="D2105" s="2">
        <f t="shared" si="32"/>
        <v>0</v>
      </c>
      <c r="E2105" s="14" t="str">
        <f>IFERROR(GIZLI!G2100,"")</f>
        <v/>
      </c>
    </row>
    <row r="2106" spans="2:5" x14ac:dyDescent="0.3">
      <c r="B2106" s="2" t="str">
        <f>MID(TableQR[[#This Row],[QR CODES]],4,13)</f>
        <v/>
      </c>
      <c r="C2106" s="2" t="str">
        <f>IFERROR(VLOOKUP(TableQR[[#This Row],[BARCODES]],ILACLISTE[#All],2,0),"")</f>
        <v/>
      </c>
      <c r="D2106" s="2">
        <f t="shared" si="32"/>
        <v>0</v>
      </c>
      <c r="E2106" s="14" t="str">
        <f>IFERROR(GIZLI!G2101,"")</f>
        <v/>
      </c>
    </row>
    <row r="2107" spans="2:5" x14ac:dyDescent="0.3">
      <c r="B2107" s="2" t="str">
        <f>MID(TableQR[[#This Row],[QR CODES]],4,13)</f>
        <v/>
      </c>
      <c r="C2107" s="2" t="str">
        <f>IFERROR(VLOOKUP(TableQR[[#This Row],[BARCODES]],ILACLISTE[#All],2,0),"")</f>
        <v/>
      </c>
      <c r="D2107" s="2">
        <f t="shared" si="32"/>
        <v>0</v>
      </c>
      <c r="E2107" s="14" t="str">
        <f>IFERROR(GIZLI!G2102,"")</f>
        <v/>
      </c>
    </row>
    <row r="2108" spans="2:5" x14ac:dyDescent="0.3">
      <c r="B2108" s="2" t="str">
        <f>MID(TableQR[[#This Row],[QR CODES]],4,13)</f>
        <v/>
      </c>
      <c r="C2108" s="2" t="str">
        <f>IFERROR(VLOOKUP(TableQR[[#This Row],[BARCODES]],ILACLISTE[#All],2,0),"")</f>
        <v/>
      </c>
      <c r="D2108" s="2">
        <f t="shared" si="32"/>
        <v>0</v>
      </c>
      <c r="E2108" s="14" t="str">
        <f>IFERROR(GIZLI!G2103,"")</f>
        <v/>
      </c>
    </row>
    <row r="2109" spans="2:5" x14ac:dyDescent="0.3">
      <c r="B2109" s="2" t="str">
        <f>MID(TableQR[[#This Row],[QR CODES]],4,13)</f>
        <v/>
      </c>
      <c r="C2109" s="2" t="str">
        <f>IFERROR(VLOOKUP(TableQR[[#This Row],[BARCODES]],ILACLISTE[#All],2,0),"")</f>
        <v/>
      </c>
      <c r="D2109" s="2">
        <f t="shared" si="32"/>
        <v>0</v>
      </c>
      <c r="E2109" s="14" t="str">
        <f>IFERROR(GIZLI!G2104,"")</f>
        <v/>
      </c>
    </row>
    <row r="2110" spans="2:5" x14ac:dyDescent="0.3">
      <c r="B2110" s="2" t="str">
        <f>MID(TableQR[[#This Row],[QR CODES]],4,13)</f>
        <v/>
      </c>
      <c r="C2110" s="2" t="str">
        <f>IFERROR(VLOOKUP(TableQR[[#This Row],[BARCODES]],ILACLISTE[#All],2,0),"")</f>
        <v/>
      </c>
      <c r="D2110" s="2">
        <f t="shared" si="32"/>
        <v>0</v>
      </c>
      <c r="E2110" s="14" t="str">
        <f>IFERROR(GIZLI!G2105,"")</f>
        <v/>
      </c>
    </row>
    <row r="2111" spans="2:5" x14ac:dyDescent="0.3">
      <c r="B2111" s="2" t="str">
        <f>MID(TableQR[[#This Row],[QR CODES]],4,13)</f>
        <v/>
      </c>
      <c r="C2111" s="2" t="str">
        <f>IFERROR(VLOOKUP(TableQR[[#This Row],[BARCODES]],ILACLISTE[#All],2,0),"")</f>
        <v/>
      </c>
      <c r="D2111" s="2">
        <f t="shared" si="32"/>
        <v>0</v>
      </c>
      <c r="E2111" s="14" t="str">
        <f>IFERROR(GIZLI!G2106,"")</f>
        <v/>
      </c>
    </row>
    <row r="2112" spans="2:5" x14ac:dyDescent="0.3">
      <c r="B2112" s="2" t="str">
        <f>MID(TableQR[[#This Row],[QR CODES]],4,13)</f>
        <v/>
      </c>
      <c r="C2112" s="2" t="str">
        <f>IFERROR(VLOOKUP(TableQR[[#This Row],[BARCODES]],ILACLISTE[#All],2,0),"")</f>
        <v/>
      </c>
      <c r="D2112" s="2">
        <f t="shared" si="32"/>
        <v>0</v>
      </c>
      <c r="E2112" s="14" t="str">
        <f>IFERROR(GIZLI!G2107,"")</f>
        <v/>
      </c>
    </row>
    <row r="2113" spans="2:5" x14ac:dyDescent="0.3">
      <c r="B2113" s="2" t="str">
        <f>MID(TableQR[[#This Row],[QR CODES]],4,13)</f>
        <v/>
      </c>
      <c r="C2113" s="2" t="str">
        <f>IFERROR(VLOOKUP(TableQR[[#This Row],[BARCODES]],ILACLISTE[#All],2,0),"")</f>
        <v/>
      </c>
      <c r="D2113" s="2">
        <f t="shared" si="32"/>
        <v>0</v>
      </c>
      <c r="E2113" s="14" t="str">
        <f>IFERROR(GIZLI!G2108,"")</f>
        <v/>
      </c>
    </row>
    <row r="2114" spans="2:5" x14ac:dyDescent="0.3">
      <c r="B2114" s="2" t="str">
        <f>MID(TableQR[[#This Row],[QR CODES]],4,13)</f>
        <v/>
      </c>
      <c r="C2114" s="2" t="str">
        <f>IFERROR(VLOOKUP(TableQR[[#This Row],[BARCODES]],ILACLISTE[#All],2,0),"")</f>
        <v/>
      </c>
      <c r="D2114" s="2">
        <f t="shared" si="32"/>
        <v>0</v>
      </c>
      <c r="E2114" s="14" t="str">
        <f>IFERROR(GIZLI!G2109,"")</f>
        <v/>
      </c>
    </row>
    <row r="2115" spans="2:5" x14ac:dyDescent="0.3">
      <c r="B2115" s="2" t="str">
        <f>MID(TableQR[[#This Row],[QR CODES]],4,13)</f>
        <v/>
      </c>
      <c r="C2115" s="2" t="str">
        <f>IFERROR(VLOOKUP(TableQR[[#This Row],[BARCODES]],ILACLISTE[#All],2,0),"")</f>
        <v/>
      </c>
      <c r="D2115" s="2">
        <f t="shared" si="32"/>
        <v>0</v>
      </c>
      <c r="E2115" s="14" t="str">
        <f>IFERROR(GIZLI!G2110,"")</f>
        <v/>
      </c>
    </row>
    <row r="2116" spans="2:5" x14ac:dyDescent="0.3">
      <c r="B2116" s="2" t="str">
        <f>MID(TableQR[[#This Row],[QR CODES]],4,13)</f>
        <v/>
      </c>
      <c r="C2116" s="2" t="str">
        <f>IFERROR(VLOOKUP(TableQR[[#This Row],[BARCODES]],ILACLISTE[#All],2,0),"")</f>
        <v/>
      </c>
      <c r="D2116" s="2">
        <f t="shared" si="32"/>
        <v>0</v>
      </c>
      <c r="E2116" s="14" t="str">
        <f>IFERROR(GIZLI!G2111,"")</f>
        <v/>
      </c>
    </row>
    <row r="2117" spans="2:5" x14ac:dyDescent="0.3">
      <c r="B2117" s="2" t="str">
        <f>MID(TableQR[[#This Row],[QR CODES]],4,13)</f>
        <v/>
      </c>
      <c r="C2117" s="2" t="str">
        <f>IFERROR(VLOOKUP(TableQR[[#This Row],[BARCODES]],ILACLISTE[#All],2,0),"")</f>
        <v/>
      </c>
      <c r="D2117" s="2">
        <f t="shared" si="32"/>
        <v>0</v>
      </c>
      <c r="E2117" s="14" t="str">
        <f>IFERROR(GIZLI!G2112,"")</f>
        <v/>
      </c>
    </row>
    <row r="2118" spans="2:5" x14ac:dyDescent="0.3">
      <c r="B2118" s="2" t="str">
        <f>MID(TableQR[[#This Row],[QR CODES]],4,13)</f>
        <v/>
      </c>
      <c r="C2118" s="2" t="str">
        <f>IFERROR(VLOOKUP(TableQR[[#This Row],[BARCODES]],ILACLISTE[#All],2,0),"")</f>
        <v/>
      </c>
      <c r="D2118" s="2">
        <f t="shared" si="32"/>
        <v>0</v>
      </c>
      <c r="E2118" s="14" t="str">
        <f>IFERROR(GIZLI!G2113,"")</f>
        <v/>
      </c>
    </row>
    <row r="2119" spans="2:5" x14ac:dyDescent="0.3">
      <c r="B2119" s="2" t="str">
        <f>MID(TableQR[[#This Row],[QR CODES]],4,13)</f>
        <v/>
      </c>
      <c r="C2119" s="2" t="str">
        <f>IFERROR(VLOOKUP(TableQR[[#This Row],[BARCODES]],ILACLISTE[#All],2,0),"")</f>
        <v/>
      </c>
      <c r="D2119" s="2">
        <f t="shared" si="32"/>
        <v>0</v>
      </c>
      <c r="E2119" s="14" t="str">
        <f>IFERROR(GIZLI!G2114,"")</f>
        <v/>
      </c>
    </row>
    <row r="2120" spans="2:5" x14ac:dyDescent="0.3">
      <c r="B2120" s="2" t="str">
        <f>MID(TableQR[[#This Row],[QR CODES]],4,13)</f>
        <v/>
      </c>
      <c r="C2120" s="2" t="str">
        <f>IFERROR(VLOOKUP(TableQR[[#This Row],[BARCODES]],ILACLISTE[#All],2,0),"")</f>
        <v/>
      </c>
      <c r="D2120" s="2">
        <f t="shared" ref="D2120:D2183" si="33">COUNTIF(B2120:B6113,IF(B2120="",66666,B2120))</f>
        <v>0</v>
      </c>
      <c r="E2120" s="14" t="str">
        <f>IFERROR(GIZLI!G2115,"")</f>
        <v/>
      </c>
    </row>
    <row r="2121" spans="2:5" x14ac:dyDescent="0.3">
      <c r="B2121" s="2" t="str">
        <f>MID(TableQR[[#This Row],[QR CODES]],4,13)</f>
        <v/>
      </c>
      <c r="C2121" s="2" t="str">
        <f>IFERROR(VLOOKUP(TableQR[[#This Row],[BARCODES]],ILACLISTE[#All],2,0),"")</f>
        <v/>
      </c>
      <c r="D2121" s="2">
        <f t="shared" si="33"/>
        <v>0</v>
      </c>
      <c r="E2121" s="14" t="str">
        <f>IFERROR(GIZLI!G2116,"")</f>
        <v/>
      </c>
    </row>
    <row r="2122" spans="2:5" x14ac:dyDescent="0.3">
      <c r="B2122" s="2" t="str">
        <f>MID(TableQR[[#This Row],[QR CODES]],4,13)</f>
        <v/>
      </c>
      <c r="C2122" s="2" t="str">
        <f>IFERROR(VLOOKUP(TableQR[[#This Row],[BARCODES]],ILACLISTE[#All],2,0),"")</f>
        <v/>
      </c>
      <c r="D2122" s="2">
        <f t="shared" si="33"/>
        <v>0</v>
      </c>
      <c r="E2122" s="14" t="str">
        <f>IFERROR(GIZLI!G2117,"")</f>
        <v/>
      </c>
    </row>
    <row r="2123" spans="2:5" x14ac:dyDescent="0.3">
      <c r="B2123" s="2" t="str">
        <f>MID(TableQR[[#This Row],[QR CODES]],4,13)</f>
        <v/>
      </c>
      <c r="C2123" s="2" t="str">
        <f>IFERROR(VLOOKUP(TableQR[[#This Row],[BARCODES]],ILACLISTE[#All],2,0),"")</f>
        <v/>
      </c>
      <c r="D2123" s="2">
        <f t="shared" si="33"/>
        <v>0</v>
      </c>
      <c r="E2123" s="14" t="str">
        <f>IFERROR(GIZLI!G2118,"")</f>
        <v/>
      </c>
    </row>
    <row r="2124" spans="2:5" x14ac:dyDescent="0.3">
      <c r="B2124" s="2" t="str">
        <f>MID(TableQR[[#This Row],[QR CODES]],4,13)</f>
        <v/>
      </c>
      <c r="C2124" s="2" t="str">
        <f>IFERROR(VLOOKUP(TableQR[[#This Row],[BARCODES]],ILACLISTE[#All],2,0),"")</f>
        <v/>
      </c>
      <c r="D2124" s="2">
        <f t="shared" si="33"/>
        <v>0</v>
      </c>
      <c r="E2124" s="14" t="str">
        <f>IFERROR(GIZLI!G2119,"")</f>
        <v/>
      </c>
    </row>
    <row r="2125" spans="2:5" x14ac:dyDescent="0.3">
      <c r="B2125" s="2" t="str">
        <f>MID(TableQR[[#This Row],[QR CODES]],4,13)</f>
        <v/>
      </c>
      <c r="C2125" s="2" t="str">
        <f>IFERROR(VLOOKUP(TableQR[[#This Row],[BARCODES]],ILACLISTE[#All],2,0),"")</f>
        <v/>
      </c>
      <c r="D2125" s="2">
        <f t="shared" si="33"/>
        <v>0</v>
      </c>
      <c r="E2125" s="14" t="str">
        <f>IFERROR(GIZLI!G2120,"")</f>
        <v/>
      </c>
    </row>
    <row r="2126" spans="2:5" x14ac:dyDescent="0.3">
      <c r="B2126" s="2" t="str">
        <f>MID(TableQR[[#This Row],[QR CODES]],4,13)</f>
        <v/>
      </c>
      <c r="C2126" s="2" t="str">
        <f>IFERROR(VLOOKUP(TableQR[[#This Row],[BARCODES]],ILACLISTE[#All],2,0),"")</f>
        <v/>
      </c>
      <c r="D2126" s="2">
        <f t="shared" si="33"/>
        <v>0</v>
      </c>
      <c r="E2126" s="14" t="str">
        <f>IFERROR(GIZLI!G2121,"")</f>
        <v/>
      </c>
    </row>
    <row r="2127" spans="2:5" x14ac:dyDescent="0.3">
      <c r="B2127" s="2" t="str">
        <f>MID(TableQR[[#This Row],[QR CODES]],4,13)</f>
        <v/>
      </c>
      <c r="C2127" s="2" t="str">
        <f>IFERROR(VLOOKUP(TableQR[[#This Row],[BARCODES]],ILACLISTE[#All],2,0),"")</f>
        <v/>
      </c>
      <c r="D2127" s="2">
        <f t="shared" si="33"/>
        <v>0</v>
      </c>
      <c r="E2127" s="14" t="str">
        <f>IFERROR(GIZLI!G2122,"")</f>
        <v/>
      </c>
    </row>
    <row r="2128" spans="2:5" x14ac:dyDescent="0.3">
      <c r="B2128" s="2" t="str">
        <f>MID(TableQR[[#This Row],[QR CODES]],4,13)</f>
        <v/>
      </c>
      <c r="C2128" s="2" t="str">
        <f>IFERROR(VLOOKUP(TableQR[[#This Row],[BARCODES]],ILACLISTE[#All],2,0),"")</f>
        <v/>
      </c>
      <c r="D2128" s="2">
        <f t="shared" si="33"/>
        <v>0</v>
      </c>
      <c r="E2128" s="14" t="str">
        <f>IFERROR(GIZLI!G2123,"")</f>
        <v/>
      </c>
    </row>
    <row r="2129" spans="2:5" x14ac:dyDescent="0.3">
      <c r="B2129" s="2" t="str">
        <f>MID(TableQR[[#This Row],[QR CODES]],4,13)</f>
        <v/>
      </c>
      <c r="C2129" s="2" t="str">
        <f>IFERROR(VLOOKUP(TableQR[[#This Row],[BARCODES]],ILACLISTE[#All],2,0),"")</f>
        <v/>
      </c>
      <c r="D2129" s="2">
        <f t="shared" si="33"/>
        <v>0</v>
      </c>
      <c r="E2129" s="14" t="str">
        <f>IFERROR(GIZLI!G2124,"")</f>
        <v/>
      </c>
    </row>
    <row r="2130" spans="2:5" x14ac:dyDescent="0.3">
      <c r="B2130" s="2" t="str">
        <f>MID(TableQR[[#This Row],[QR CODES]],4,13)</f>
        <v/>
      </c>
      <c r="C2130" s="2" t="str">
        <f>IFERROR(VLOOKUP(TableQR[[#This Row],[BARCODES]],ILACLISTE[#All],2,0),"")</f>
        <v/>
      </c>
      <c r="D2130" s="2">
        <f t="shared" si="33"/>
        <v>0</v>
      </c>
      <c r="E2130" s="14" t="str">
        <f>IFERROR(GIZLI!G2125,"")</f>
        <v/>
      </c>
    </row>
    <row r="2131" spans="2:5" x14ac:dyDescent="0.3">
      <c r="B2131" s="2" t="str">
        <f>MID(TableQR[[#This Row],[QR CODES]],4,13)</f>
        <v/>
      </c>
      <c r="C2131" s="2" t="str">
        <f>IFERROR(VLOOKUP(TableQR[[#This Row],[BARCODES]],ILACLISTE[#All],2,0),"")</f>
        <v/>
      </c>
      <c r="D2131" s="2">
        <f t="shared" si="33"/>
        <v>0</v>
      </c>
      <c r="E2131" s="14" t="str">
        <f>IFERROR(GIZLI!G2126,"")</f>
        <v/>
      </c>
    </row>
    <row r="2132" spans="2:5" x14ac:dyDescent="0.3">
      <c r="B2132" s="2" t="str">
        <f>MID(TableQR[[#This Row],[QR CODES]],4,13)</f>
        <v/>
      </c>
      <c r="C2132" s="2" t="str">
        <f>IFERROR(VLOOKUP(TableQR[[#This Row],[BARCODES]],ILACLISTE[#All],2,0),"")</f>
        <v/>
      </c>
      <c r="D2132" s="2">
        <f t="shared" si="33"/>
        <v>0</v>
      </c>
      <c r="E2132" s="14" t="str">
        <f>IFERROR(GIZLI!G2127,"")</f>
        <v/>
      </c>
    </row>
    <row r="2133" spans="2:5" x14ac:dyDescent="0.3">
      <c r="B2133" s="2" t="str">
        <f>MID(TableQR[[#This Row],[QR CODES]],4,13)</f>
        <v/>
      </c>
      <c r="C2133" s="2" t="str">
        <f>IFERROR(VLOOKUP(TableQR[[#This Row],[BARCODES]],ILACLISTE[#All],2,0),"")</f>
        <v/>
      </c>
      <c r="D2133" s="2">
        <f t="shared" si="33"/>
        <v>0</v>
      </c>
      <c r="E2133" s="14" t="str">
        <f>IFERROR(GIZLI!G2128,"")</f>
        <v/>
      </c>
    </row>
    <row r="2134" spans="2:5" x14ac:dyDescent="0.3">
      <c r="B2134" s="2" t="str">
        <f>MID(TableQR[[#This Row],[QR CODES]],4,13)</f>
        <v/>
      </c>
      <c r="C2134" s="2" t="str">
        <f>IFERROR(VLOOKUP(TableQR[[#This Row],[BARCODES]],ILACLISTE[#All],2,0),"")</f>
        <v/>
      </c>
      <c r="D2134" s="2">
        <f t="shared" si="33"/>
        <v>0</v>
      </c>
      <c r="E2134" s="14" t="str">
        <f>IFERROR(GIZLI!G2129,"")</f>
        <v/>
      </c>
    </row>
    <row r="2135" spans="2:5" x14ac:dyDescent="0.3">
      <c r="B2135" s="2" t="str">
        <f>MID(TableQR[[#This Row],[QR CODES]],4,13)</f>
        <v/>
      </c>
      <c r="C2135" s="2" t="str">
        <f>IFERROR(VLOOKUP(TableQR[[#This Row],[BARCODES]],ILACLISTE[#All],2,0),"")</f>
        <v/>
      </c>
      <c r="D2135" s="2">
        <f t="shared" si="33"/>
        <v>0</v>
      </c>
      <c r="E2135" s="14" t="str">
        <f>IFERROR(GIZLI!G2130,"")</f>
        <v/>
      </c>
    </row>
    <row r="2136" spans="2:5" x14ac:dyDescent="0.3">
      <c r="B2136" s="2" t="str">
        <f>MID(TableQR[[#This Row],[QR CODES]],4,13)</f>
        <v/>
      </c>
      <c r="C2136" s="2" t="str">
        <f>IFERROR(VLOOKUP(TableQR[[#This Row],[BARCODES]],ILACLISTE[#All],2,0),"")</f>
        <v/>
      </c>
      <c r="D2136" s="2">
        <f t="shared" si="33"/>
        <v>0</v>
      </c>
      <c r="E2136" s="14" t="str">
        <f>IFERROR(GIZLI!G2131,"")</f>
        <v/>
      </c>
    </row>
    <row r="2137" spans="2:5" x14ac:dyDescent="0.3">
      <c r="B2137" s="2" t="str">
        <f>MID(TableQR[[#This Row],[QR CODES]],4,13)</f>
        <v/>
      </c>
      <c r="C2137" s="2" t="str">
        <f>IFERROR(VLOOKUP(TableQR[[#This Row],[BARCODES]],ILACLISTE[#All],2,0),"")</f>
        <v/>
      </c>
      <c r="D2137" s="2">
        <f t="shared" si="33"/>
        <v>0</v>
      </c>
      <c r="E2137" s="14" t="str">
        <f>IFERROR(GIZLI!G2132,"")</f>
        <v/>
      </c>
    </row>
    <row r="2138" spans="2:5" x14ac:dyDescent="0.3">
      <c r="B2138" s="2" t="str">
        <f>MID(TableQR[[#This Row],[QR CODES]],4,13)</f>
        <v/>
      </c>
      <c r="C2138" s="2" t="str">
        <f>IFERROR(VLOOKUP(TableQR[[#This Row],[BARCODES]],ILACLISTE[#All],2,0),"")</f>
        <v/>
      </c>
      <c r="D2138" s="2">
        <f t="shared" si="33"/>
        <v>0</v>
      </c>
      <c r="E2138" s="14" t="str">
        <f>IFERROR(GIZLI!G2133,"")</f>
        <v/>
      </c>
    </row>
    <row r="2139" spans="2:5" x14ac:dyDescent="0.3">
      <c r="B2139" s="2" t="str">
        <f>MID(TableQR[[#This Row],[QR CODES]],4,13)</f>
        <v/>
      </c>
      <c r="C2139" s="2" t="str">
        <f>IFERROR(VLOOKUP(TableQR[[#This Row],[BARCODES]],ILACLISTE[#All],2,0),"")</f>
        <v/>
      </c>
      <c r="D2139" s="2">
        <f t="shared" si="33"/>
        <v>0</v>
      </c>
      <c r="E2139" s="14" t="str">
        <f>IFERROR(GIZLI!G2134,"")</f>
        <v/>
      </c>
    </row>
    <row r="2140" spans="2:5" x14ac:dyDescent="0.3">
      <c r="B2140" s="2" t="str">
        <f>MID(TableQR[[#This Row],[QR CODES]],4,13)</f>
        <v/>
      </c>
      <c r="C2140" s="2" t="str">
        <f>IFERROR(VLOOKUP(TableQR[[#This Row],[BARCODES]],ILACLISTE[#All],2,0),"")</f>
        <v/>
      </c>
      <c r="D2140" s="2">
        <f t="shared" si="33"/>
        <v>0</v>
      </c>
      <c r="E2140" s="14" t="str">
        <f>IFERROR(GIZLI!G2135,"")</f>
        <v/>
      </c>
    </row>
    <row r="2141" spans="2:5" x14ac:dyDescent="0.3">
      <c r="B2141" s="2" t="str">
        <f>MID(TableQR[[#This Row],[QR CODES]],4,13)</f>
        <v/>
      </c>
      <c r="C2141" s="2" t="str">
        <f>IFERROR(VLOOKUP(TableQR[[#This Row],[BARCODES]],ILACLISTE[#All],2,0),"")</f>
        <v/>
      </c>
      <c r="D2141" s="2">
        <f t="shared" si="33"/>
        <v>0</v>
      </c>
      <c r="E2141" s="14" t="str">
        <f>IFERROR(GIZLI!G2136,"")</f>
        <v/>
      </c>
    </row>
    <row r="2142" spans="2:5" x14ac:dyDescent="0.3">
      <c r="B2142" s="2" t="str">
        <f>MID(TableQR[[#This Row],[QR CODES]],4,13)</f>
        <v/>
      </c>
      <c r="C2142" s="2" t="str">
        <f>IFERROR(VLOOKUP(TableQR[[#This Row],[BARCODES]],ILACLISTE[#All],2,0),"")</f>
        <v/>
      </c>
      <c r="D2142" s="2">
        <f t="shared" si="33"/>
        <v>0</v>
      </c>
      <c r="E2142" s="14" t="str">
        <f>IFERROR(GIZLI!G2137,"")</f>
        <v/>
      </c>
    </row>
    <row r="2143" spans="2:5" x14ac:dyDescent="0.3">
      <c r="B2143" s="2" t="str">
        <f>MID(TableQR[[#This Row],[QR CODES]],4,13)</f>
        <v/>
      </c>
      <c r="C2143" s="2" t="str">
        <f>IFERROR(VLOOKUP(TableQR[[#This Row],[BARCODES]],ILACLISTE[#All],2,0),"")</f>
        <v/>
      </c>
      <c r="D2143" s="2">
        <f t="shared" si="33"/>
        <v>0</v>
      </c>
      <c r="E2143" s="14" t="str">
        <f>IFERROR(GIZLI!G2138,"")</f>
        <v/>
      </c>
    </row>
    <row r="2144" spans="2:5" x14ac:dyDescent="0.3">
      <c r="B2144" s="2" t="str">
        <f>MID(TableQR[[#This Row],[QR CODES]],4,13)</f>
        <v/>
      </c>
      <c r="C2144" s="2" t="str">
        <f>IFERROR(VLOOKUP(TableQR[[#This Row],[BARCODES]],ILACLISTE[#All],2,0),"")</f>
        <v/>
      </c>
      <c r="D2144" s="2">
        <f t="shared" si="33"/>
        <v>0</v>
      </c>
      <c r="E2144" s="14" t="str">
        <f>IFERROR(GIZLI!G2139,"")</f>
        <v/>
      </c>
    </row>
    <row r="2145" spans="2:5" x14ac:dyDescent="0.3">
      <c r="B2145" s="2" t="str">
        <f>MID(TableQR[[#This Row],[QR CODES]],4,13)</f>
        <v/>
      </c>
      <c r="C2145" s="2" t="str">
        <f>IFERROR(VLOOKUP(TableQR[[#This Row],[BARCODES]],ILACLISTE[#All],2,0),"")</f>
        <v/>
      </c>
      <c r="D2145" s="2">
        <f t="shared" si="33"/>
        <v>0</v>
      </c>
      <c r="E2145" s="14" t="str">
        <f>IFERROR(GIZLI!G2140,"")</f>
        <v/>
      </c>
    </row>
    <row r="2146" spans="2:5" x14ac:dyDescent="0.3">
      <c r="B2146" s="2" t="str">
        <f>MID(TableQR[[#This Row],[QR CODES]],4,13)</f>
        <v/>
      </c>
      <c r="C2146" s="2" t="str">
        <f>IFERROR(VLOOKUP(TableQR[[#This Row],[BARCODES]],ILACLISTE[#All],2,0),"")</f>
        <v/>
      </c>
      <c r="D2146" s="2">
        <f t="shared" si="33"/>
        <v>0</v>
      </c>
      <c r="E2146" s="14" t="str">
        <f>IFERROR(GIZLI!G2141,"")</f>
        <v/>
      </c>
    </row>
    <row r="2147" spans="2:5" x14ac:dyDescent="0.3">
      <c r="B2147" s="2" t="str">
        <f>MID(TableQR[[#This Row],[QR CODES]],4,13)</f>
        <v/>
      </c>
      <c r="C2147" s="2" t="str">
        <f>IFERROR(VLOOKUP(TableQR[[#This Row],[BARCODES]],ILACLISTE[#All],2,0),"")</f>
        <v/>
      </c>
      <c r="D2147" s="2">
        <f t="shared" si="33"/>
        <v>0</v>
      </c>
      <c r="E2147" s="14" t="str">
        <f>IFERROR(GIZLI!G2142,"")</f>
        <v/>
      </c>
    </row>
    <row r="2148" spans="2:5" x14ac:dyDescent="0.3">
      <c r="B2148" s="2" t="str">
        <f>MID(TableQR[[#This Row],[QR CODES]],4,13)</f>
        <v/>
      </c>
      <c r="C2148" s="2" t="str">
        <f>IFERROR(VLOOKUP(TableQR[[#This Row],[BARCODES]],ILACLISTE[#All],2,0),"")</f>
        <v/>
      </c>
      <c r="D2148" s="2">
        <f t="shared" si="33"/>
        <v>0</v>
      </c>
      <c r="E2148" s="14" t="str">
        <f>IFERROR(GIZLI!G2143,"")</f>
        <v/>
      </c>
    </row>
    <row r="2149" spans="2:5" x14ac:dyDescent="0.3">
      <c r="B2149" s="2" t="str">
        <f>MID(TableQR[[#This Row],[QR CODES]],4,13)</f>
        <v/>
      </c>
      <c r="C2149" s="2" t="str">
        <f>IFERROR(VLOOKUP(TableQR[[#This Row],[BARCODES]],ILACLISTE[#All],2,0),"")</f>
        <v/>
      </c>
      <c r="D2149" s="2">
        <f t="shared" si="33"/>
        <v>0</v>
      </c>
      <c r="E2149" s="14" t="str">
        <f>IFERROR(GIZLI!G2144,"")</f>
        <v/>
      </c>
    </row>
    <row r="2150" spans="2:5" x14ac:dyDescent="0.3">
      <c r="B2150" s="2" t="str">
        <f>MID(TableQR[[#This Row],[QR CODES]],4,13)</f>
        <v/>
      </c>
      <c r="C2150" s="2" t="str">
        <f>IFERROR(VLOOKUP(TableQR[[#This Row],[BARCODES]],ILACLISTE[#All],2,0),"")</f>
        <v/>
      </c>
      <c r="D2150" s="2">
        <f t="shared" si="33"/>
        <v>0</v>
      </c>
      <c r="E2150" s="14" t="str">
        <f>IFERROR(GIZLI!G2145,"")</f>
        <v/>
      </c>
    </row>
    <row r="2151" spans="2:5" x14ac:dyDescent="0.3">
      <c r="B2151" s="2" t="str">
        <f>MID(TableQR[[#This Row],[QR CODES]],4,13)</f>
        <v/>
      </c>
      <c r="C2151" s="2" t="str">
        <f>IFERROR(VLOOKUP(TableQR[[#This Row],[BARCODES]],ILACLISTE[#All],2,0),"")</f>
        <v/>
      </c>
      <c r="D2151" s="2">
        <f t="shared" si="33"/>
        <v>0</v>
      </c>
      <c r="E2151" s="14" t="str">
        <f>IFERROR(GIZLI!G2146,"")</f>
        <v/>
      </c>
    </row>
    <row r="2152" spans="2:5" x14ac:dyDescent="0.3">
      <c r="B2152" s="2" t="str">
        <f>MID(TableQR[[#This Row],[QR CODES]],4,13)</f>
        <v/>
      </c>
      <c r="C2152" s="2" t="str">
        <f>IFERROR(VLOOKUP(TableQR[[#This Row],[BARCODES]],ILACLISTE[#All],2,0),"")</f>
        <v/>
      </c>
      <c r="D2152" s="2">
        <f t="shared" si="33"/>
        <v>0</v>
      </c>
      <c r="E2152" s="14" t="str">
        <f>IFERROR(GIZLI!G2147,"")</f>
        <v/>
      </c>
    </row>
    <row r="2153" spans="2:5" x14ac:dyDescent="0.3">
      <c r="B2153" s="2" t="str">
        <f>MID(TableQR[[#This Row],[QR CODES]],4,13)</f>
        <v/>
      </c>
      <c r="C2153" s="2" t="str">
        <f>IFERROR(VLOOKUP(TableQR[[#This Row],[BARCODES]],ILACLISTE[#All],2,0),"")</f>
        <v/>
      </c>
      <c r="D2153" s="2">
        <f t="shared" si="33"/>
        <v>0</v>
      </c>
      <c r="E2153" s="14" t="str">
        <f>IFERROR(GIZLI!G2148,"")</f>
        <v/>
      </c>
    </row>
    <row r="2154" spans="2:5" x14ac:dyDescent="0.3">
      <c r="B2154" s="2" t="str">
        <f>MID(TableQR[[#This Row],[QR CODES]],4,13)</f>
        <v/>
      </c>
      <c r="C2154" s="2" t="str">
        <f>IFERROR(VLOOKUP(TableQR[[#This Row],[BARCODES]],ILACLISTE[#All],2,0),"")</f>
        <v/>
      </c>
      <c r="D2154" s="2">
        <f t="shared" si="33"/>
        <v>0</v>
      </c>
      <c r="E2154" s="14" t="str">
        <f>IFERROR(GIZLI!G2149,"")</f>
        <v/>
      </c>
    </row>
    <row r="2155" spans="2:5" x14ac:dyDescent="0.3">
      <c r="B2155" s="2" t="str">
        <f>MID(TableQR[[#This Row],[QR CODES]],4,13)</f>
        <v/>
      </c>
      <c r="C2155" s="2" t="str">
        <f>IFERROR(VLOOKUP(TableQR[[#This Row],[BARCODES]],ILACLISTE[#All],2,0),"")</f>
        <v/>
      </c>
      <c r="D2155" s="2">
        <f t="shared" si="33"/>
        <v>0</v>
      </c>
      <c r="E2155" s="14" t="str">
        <f>IFERROR(GIZLI!G2150,"")</f>
        <v/>
      </c>
    </row>
    <row r="2156" spans="2:5" x14ac:dyDescent="0.3">
      <c r="B2156" s="2" t="str">
        <f>MID(TableQR[[#This Row],[QR CODES]],4,13)</f>
        <v/>
      </c>
      <c r="C2156" s="2" t="str">
        <f>IFERROR(VLOOKUP(TableQR[[#This Row],[BARCODES]],ILACLISTE[#All],2,0),"")</f>
        <v/>
      </c>
      <c r="D2156" s="2">
        <f t="shared" si="33"/>
        <v>0</v>
      </c>
      <c r="E2156" s="14" t="str">
        <f>IFERROR(GIZLI!G2151,"")</f>
        <v/>
      </c>
    </row>
    <row r="2157" spans="2:5" x14ac:dyDescent="0.3">
      <c r="B2157" s="2" t="str">
        <f>MID(TableQR[[#This Row],[QR CODES]],4,13)</f>
        <v/>
      </c>
      <c r="C2157" s="2" t="str">
        <f>IFERROR(VLOOKUP(TableQR[[#This Row],[BARCODES]],ILACLISTE[#All],2,0),"")</f>
        <v/>
      </c>
      <c r="D2157" s="2">
        <f t="shared" si="33"/>
        <v>0</v>
      </c>
      <c r="E2157" s="14" t="str">
        <f>IFERROR(GIZLI!G2152,"")</f>
        <v/>
      </c>
    </row>
    <row r="2158" spans="2:5" x14ac:dyDescent="0.3">
      <c r="B2158" s="2" t="str">
        <f>MID(TableQR[[#This Row],[QR CODES]],4,13)</f>
        <v/>
      </c>
      <c r="C2158" s="2" t="str">
        <f>IFERROR(VLOOKUP(TableQR[[#This Row],[BARCODES]],ILACLISTE[#All],2,0),"")</f>
        <v/>
      </c>
      <c r="D2158" s="2">
        <f t="shared" si="33"/>
        <v>0</v>
      </c>
      <c r="E2158" s="14" t="str">
        <f>IFERROR(GIZLI!G2153,"")</f>
        <v/>
      </c>
    </row>
    <row r="2159" spans="2:5" x14ac:dyDescent="0.3">
      <c r="B2159" s="2" t="str">
        <f>MID(TableQR[[#This Row],[QR CODES]],4,13)</f>
        <v/>
      </c>
      <c r="C2159" s="2" t="str">
        <f>IFERROR(VLOOKUP(TableQR[[#This Row],[BARCODES]],ILACLISTE[#All],2,0),"")</f>
        <v/>
      </c>
      <c r="D2159" s="2">
        <f t="shared" si="33"/>
        <v>0</v>
      </c>
      <c r="E2159" s="14" t="str">
        <f>IFERROR(GIZLI!G2154,"")</f>
        <v/>
      </c>
    </row>
    <row r="2160" spans="2:5" x14ac:dyDescent="0.3">
      <c r="B2160" s="2" t="str">
        <f>MID(TableQR[[#This Row],[QR CODES]],4,13)</f>
        <v/>
      </c>
      <c r="C2160" s="2" t="str">
        <f>IFERROR(VLOOKUP(TableQR[[#This Row],[BARCODES]],ILACLISTE[#All],2,0),"")</f>
        <v/>
      </c>
      <c r="D2160" s="2">
        <f t="shared" si="33"/>
        <v>0</v>
      </c>
      <c r="E2160" s="14" t="str">
        <f>IFERROR(GIZLI!G2155,"")</f>
        <v/>
      </c>
    </row>
    <row r="2161" spans="2:5" x14ac:dyDescent="0.3">
      <c r="B2161" s="2" t="str">
        <f>MID(TableQR[[#This Row],[QR CODES]],4,13)</f>
        <v/>
      </c>
      <c r="C2161" s="2" t="str">
        <f>IFERROR(VLOOKUP(TableQR[[#This Row],[BARCODES]],ILACLISTE[#All],2,0),"")</f>
        <v/>
      </c>
      <c r="D2161" s="2">
        <f t="shared" si="33"/>
        <v>0</v>
      </c>
      <c r="E2161" s="14" t="str">
        <f>IFERROR(GIZLI!G2156,"")</f>
        <v/>
      </c>
    </row>
    <row r="2162" spans="2:5" x14ac:dyDescent="0.3">
      <c r="B2162" s="2" t="str">
        <f>MID(TableQR[[#This Row],[QR CODES]],4,13)</f>
        <v/>
      </c>
      <c r="C2162" s="2" t="str">
        <f>IFERROR(VLOOKUP(TableQR[[#This Row],[BARCODES]],ILACLISTE[#All],2,0),"")</f>
        <v/>
      </c>
      <c r="D2162" s="2">
        <f t="shared" si="33"/>
        <v>0</v>
      </c>
      <c r="E2162" s="14" t="str">
        <f>IFERROR(GIZLI!G2157,"")</f>
        <v/>
      </c>
    </row>
    <row r="2163" spans="2:5" x14ac:dyDescent="0.3">
      <c r="B2163" s="2" t="str">
        <f>MID(TableQR[[#This Row],[QR CODES]],4,13)</f>
        <v/>
      </c>
      <c r="C2163" s="2" t="str">
        <f>IFERROR(VLOOKUP(TableQR[[#This Row],[BARCODES]],ILACLISTE[#All],2,0),"")</f>
        <v/>
      </c>
      <c r="D2163" s="2">
        <f t="shared" si="33"/>
        <v>0</v>
      </c>
      <c r="E2163" s="14" t="str">
        <f>IFERROR(GIZLI!G2158,"")</f>
        <v/>
      </c>
    </row>
    <row r="2164" spans="2:5" x14ac:dyDescent="0.3">
      <c r="B2164" s="2" t="str">
        <f>MID(TableQR[[#This Row],[QR CODES]],4,13)</f>
        <v/>
      </c>
      <c r="C2164" s="2" t="str">
        <f>IFERROR(VLOOKUP(TableQR[[#This Row],[BARCODES]],ILACLISTE[#All],2,0),"")</f>
        <v/>
      </c>
      <c r="D2164" s="2">
        <f t="shared" si="33"/>
        <v>0</v>
      </c>
      <c r="E2164" s="14" t="str">
        <f>IFERROR(GIZLI!G2159,"")</f>
        <v/>
      </c>
    </row>
    <row r="2165" spans="2:5" x14ac:dyDescent="0.3">
      <c r="B2165" s="2" t="str">
        <f>MID(TableQR[[#This Row],[QR CODES]],4,13)</f>
        <v/>
      </c>
      <c r="C2165" s="2" t="str">
        <f>IFERROR(VLOOKUP(TableQR[[#This Row],[BARCODES]],ILACLISTE[#All],2,0),"")</f>
        <v/>
      </c>
      <c r="D2165" s="2">
        <f t="shared" si="33"/>
        <v>0</v>
      </c>
      <c r="E2165" s="14" t="str">
        <f>IFERROR(GIZLI!G2160,"")</f>
        <v/>
      </c>
    </row>
    <row r="2166" spans="2:5" x14ac:dyDescent="0.3">
      <c r="B2166" s="2" t="str">
        <f>MID(TableQR[[#This Row],[QR CODES]],4,13)</f>
        <v/>
      </c>
      <c r="C2166" s="2" t="str">
        <f>IFERROR(VLOOKUP(TableQR[[#This Row],[BARCODES]],ILACLISTE[#All],2,0),"")</f>
        <v/>
      </c>
      <c r="D2166" s="2">
        <f t="shared" si="33"/>
        <v>0</v>
      </c>
      <c r="E2166" s="14" t="str">
        <f>IFERROR(GIZLI!G2161,"")</f>
        <v/>
      </c>
    </row>
    <row r="2167" spans="2:5" x14ac:dyDescent="0.3">
      <c r="B2167" s="2" t="str">
        <f>MID(TableQR[[#This Row],[QR CODES]],4,13)</f>
        <v/>
      </c>
      <c r="C2167" s="2" t="str">
        <f>IFERROR(VLOOKUP(TableQR[[#This Row],[BARCODES]],ILACLISTE[#All],2,0),"")</f>
        <v/>
      </c>
      <c r="D2167" s="2">
        <f t="shared" si="33"/>
        <v>0</v>
      </c>
      <c r="E2167" s="14" t="str">
        <f>IFERROR(GIZLI!G2162,"")</f>
        <v/>
      </c>
    </row>
    <row r="2168" spans="2:5" x14ac:dyDescent="0.3">
      <c r="B2168" s="2" t="str">
        <f>MID(TableQR[[#This Row],[QR CODES]],4,13)</f>
        <v/>
      </c>
      <c r="C2168" s="2" t="str">
        <f>IFERROR(VLOOKUP(TableQR[[#This Row],[BARCODES]],ILACLISTE[#All],2,0),"")</f>
        <v/>
      </c>
      <c r="D2168" s="2">
        <f t="shared" si="33"/>
        <v>0</v>
      </c>
      <c r="E2168" s="14" t="str">
        <f>IFERROR(GIZLI!G2163,"")</f>
        <v/>
      </c>
    </row>
    <row r="2169" spans="2:5" x14ac:dyDescent="0.3">
      <c r="B2169" s="2" t="str">
        <f>MID(TableQR[[#This Row],[QR CODES]],4,13)</f>
        <v/>
      </c>
      <c r="C2169" s="2" t="str">
        <f>IFERROR(VLOOKUP(TableQR[[#This Row],[BARCODES]],ILACLISTE[#All],2,0),"")</f>
        <v/>
      </c>
      <c r="D2169" s="2">
        <f t="shared" si="33"/>
        <v>0</v>
      </c>
      <c r="E2169" s="14" t="str">
        <f>IFERROR(GIZLI!G2164,"")</f>
        <v/>
      </c>
    </row>
    <row r="2170" spans="2:5" x14ac:dyDescent="0.3">
      <c r="B2170" s="2" t="str">
        <f>MID(TableQR[[#This Row],[QR CODES]],4,13)</f>
        <v/>
      </c>
      <c r="C2170" s="2" t="str">
        <f>IFERROR(VLOOKUP(TableQR[[#This Row],[BARCODES]],ILACLISTE[#All],2,0),"")</f>
        <v/>
      </c>
      <c r="D2170" s="2">
        <f t="shared" si="33"/>
        <v>0</v>
      </c>
      <c r="E2170" s="14" t="str">
        <f>IFERROR(GIZLI!G2165,"")</f>
        <v/>
      </c>
    </row>
    <row r="2171" spans="2:5" x14ac:dyDescent="0.3">
      <c r="B2171" s="2" t="str">
        <f>MID(TableQR[[#This Row],[QR CODES]],4,13)</f>
        <v/>
      </c>
      <c r="C2171" s="2" t="str">
        <f>IFERROR(VLOOKUP(TableQR[[#This Row],[BARCODES]],ILACLISTE[#All],2,0),"")</f>
        <v/>
      </c>
      <c r="D2171" s="2">
        <f t="shared" si="33"/>
        <v>0</v>
      </c>
      <c r="E2171" s="14" t="str">
        <f>IFERROR(GIZLI!G2166,"")</f>
        <v/>
      </c>
    </row>
    <row r="2172" spans="2:5" x14ac:dyDescent="0.3">
      <c r="B2172" s="2" t="str">
        <f>MID(TableQR[[#This Row],[QR CODES]],4,13)</f>
        <v/>
      </c>
      <c r="C2172" s="2" t="str">
        <f>IFERROR(VLOOKUP(TableQR[[#This Row],[BARCODES]],ILACLISTE[#All],2,0),"")</f>
        <v/>
      </c>
      <c r="D2172" s="2">
        <f t="shared" si="33"/>
        <v>0</v>
      </c>
      <c r="E2172" s="14" t="str">
        <f>IFERROR(GIZLI!G2167,"")</f>
        <v/>
      </c>
    </row>
    <row r="2173" spans="2:5" x14ac:dyDescent="0.3">
      <c r="B2173" s="2" t="str">
        <f>MID(TableQR[[#This Row],[QR CODES]],4,13)</f>
        <v/>
      </c>
      <c r="C2173" s="2" t="str">
        <f>IFERROR(VLOOKUP(TableQR[[#This Row],[BARCODES]],ILACLISTE[#All],2,0),"")</f>
        <v/>
      </c>
      <c r="D2173" s="2">
        <f t="shared" si="33"/>
        <v>0</v>
      </c>
      <c r="E2173" s="14" t="str">
        <f>IFERROR(GIZLI!G2168,"")</f>
        <v/>
      </c>
    </row>
    <row r="2174" spans="2:5" x14ac:dyDescent="0.3">
      <c r="B2174" s="2" t="str">
        <f>MID(TableQR[[#This Row],[QR CODES]],4,13)</f>
        <v/>
      </c>
      <c r="C2174" s="2" t="str">
        <f>IFERROR(VLOOKUP(TableQR[[#This Row],[BARCODES]],ILACLISTE[#All],2,0),"")</f>
        <v/>
      </c>
      <c r="D2174" s="2">
        <f t="shared" si="33"/>
        <v>0</v>
      </c>
      <c r="E2174" s="14" t="str">
        <f>IFERROR(GIZLI!G2169,"")</f>
        <v/>
      </c>
    </row>
    <row r="2175" spans="2:5" x14ac:dyDescent="0.3">
      <c r="B2175" s="2" t="str">
        <f>MID(TableQR[[#This Row],[QR CODES]],4,13)</f>
        <v/>
      </c>
      <c r="C2175" s="2" t="str">
        <f>IFERROR(VLOOKUP(TableQR[[#This Row],[BARCODES]],ILACLISTE[#All],2,0),"")</f>
        <v/>
      </c>
      <c r="D2175" s="2">
        <f t="shared" si="33"/>
        <v>0</v>
      </c>
      <c r="E2175" s="14" t="str">
        <f>IFERROR(GIZLI!G2170,"")</f>
        <v/>
      </c>
    </row>
    <row r="2176" spans="2:5" x14ac:dyDescent="0.3">
      <c r="B2176" s="2" t="str">
        <f>MID(TableQR[[#This Row],[QR CODES]],4,13)</f>
        <v/>
      </c>
      <c r="C2176" s="2" t="str">
        <f>IFERROR(VLOOKUP(TableQR[[#This Row],[BARCODES]],ILACLISTE[#All],2,0),"")</f>
        <v/>
      </c>
      <c r="D2176" s="2">
        <f t="shared" si="33"/>
        <v>0</v>
      </c>
      <c r="E2176" s="14" t="str">
        <f>IFERROR(GIZLI!G2171,"")</f>
        <v/>
      </c>
    </row>
    <row r="2177" spans="2:5" x14ac:dyDescent="0.3">
      <c r="B2177" s="2" t="str">
        <f>MID(TableQR[[#This Row],[QR CODES]],4,13)</f>
        <v/>
      </c>
      <c r="C2177" s="2" t="str">
        <f>IFERROR(VLOOKUP(TableQR[[#This Row],[BARCODES]],ILACLISTE[#All],2,0),"")</f>
        <v/>
      </c>
      <c r="D2177" s="2">
        <f t="shared" si="33"/>
        <v>0</v>
      </c>
      <c r="E2177" s="14" t="str">
        <f>IFERROR(GIZLI!G2172,"")</f>
        <v/>
      </c>
    </row>
    <row r="2178" spans="2:5" x14ac:dyDescent="0.3">
      <c r="B2178" s="2" t="str">
        <f>MID(TableQR[[#This Row],[QR CODES]],4,13)</f>
        <v/>
      </c>
      <c r="C2178" s="2" t="str">
        <f>IFERROR(VLOOKUP(TableQR[[#This Row],[BARCODES]],ILACLISTE[#All],2,0),"")</f>
        <v/>
      </c>
      <c r="D2178" s="2">
        <f t="shared" si="33"/>
        <v>0</v>
      </c>
      <c r="E2178" s="14" t="str">
        <f>IFERROR(GIZLI!G2173,"")</f>
        <v/>
      </c>
    </row>
    <row r="2179" spans="2:5" x14ac:dyDescent="0.3">
      <c r="B2179" s="2" t="str">
        <f>MID(TableQR[[#This Row],[QR CODES]],4,13)</f>
        <v/>
      </c>
      <c r="C2179" s="2" t="str">
        <f>IFERROR(VLOOKUP(TableQR[[#This Row],[BARCODES]],ILACLISTE[#All],2,0),"")</f>
        <v/>
      </c>
      <c r="D2179" s="2">
        <f t="shared" si="33"/>
        <v>0</v>
      </c>
      <c r="E2179" s="14" t="str">
        <f>IFERROR(GIZLI!G2174,"")</f>
        <v/>
      </c>
    </row>
    <row r="2180" spans="2:5" x14ac:dyDescent="0.3">
      <c r="B2180" s="2" t="str">
        <f>MID(TableQR[[#This Row],[QR CODES]],4,13)</f>
        <v/>
      </c>
      <c r="C2180" s="2" t="str">
        <f>IFERROR(VLOOKUP(TableQR[[#This Row],[BARCODES]],ILACLISTE[#All],2,0),"")</f>
        <v/>
      </c>
      <c r="D2180" s="2">
        <f t="shared" si="33"/>
        <v>0</v>
      </c>
      <c r="E2180" s="14" t="str">
        <f>IFERROR(GIZLI!G2175,"")</f>
        <v/>
      </c>
    </row>
    <row r="2181" spans="2:5" x14ac:dyDescent="0.3">
      <c r="B2181" s="2" t="str">
        <f>MID(TableQR[[#This Row],[QR CODES]],4,13)</f>
        <v/>
      </c>
      <c r="C2181" s="2" t="str">
        <f>IFERROR(VLOOKUP(TableQR[[#This Row],[BARCODES]],ILACLISTE[#All],2,0),"")</f>
        <v/>
      </c>
      <c r="D2181" s="2">
        <f t="shared" si="33"/>
        <v>0</v>
      </c>
      <c r="E2181" s="14" t="str">
        <f>IFERROR(GIZLI!G2176,"")</f>
        <v/>
      </c>
    </row>
    <row r="2182" spans="2:5" x14ac:dyDescent="0.3">
      <c r="B2182" s="2" t="str">
        <f>MID(TableQR[[#This Row],[QR CODES]],4,13)</f>
        <v/>
      </c>
      <c r="C2182" s="2" t="str">
        <f>IFERROR(VLOOKUP(TableQR[[#This Row],[BARCODES]],ILACLISTE[#All],2,0),"")</f>
        <v/>
      </c>
      <c r="D2182" s="2">
        <f t="shared" si="33"/>
        <v>0</v>
      </c>
      <c r="E2182" s="14" t="str">
        <f>IFERROR(GIZLI!G2177,"")</f>
        <v/>
      </c>
    </row>
    <row r="2183" spans="2:5" x14ac:dyDescent="0.3">
      <c r="B2183" s="2" t="str">
        <f>MID(TableQR[[#This Row],[QR CODES]],4,13)</f>
        <v/>
      </c>
      <c r="C2183" s="2" t="str">
        <f>IFERROR(VLOOKUP(TableQR[[#This Row],[BARCODES]],ILACLISTE[#All],2,0),"")</f>
        <v/>
      </c>
      <c r="D2183" s="2">
        <f t="shared" si="33"/>
        <v>0</v>
      </c>
      <c r="E2183" s="14" t="str">
        <f>IFERROR(GIZLI!G2178,"")</f>
        <v/>
      </c>
    </row>
    <row r="2184" spans="2:5" x14ac:dyDescent="0.3">
      <c r="B2184" s="2" t="str">
        <f>MID(TableQR[[#This Row],[QR CODES]],4,13)</f>
        <v/>
      </c>
      <c r="C2184" s="2" t="str">
        <f>IFERROR(VLOOKUP(TableQR[[#This Row],[BARCODES]],ILACLISTE[#All],2,0),"")</f>
        <v/>
      </c>
      <c r="D2184" s="2">
        <f t="shared" ref="D2184:D2247" si="34">COUNTIF(B2184:B6177,IF(B2184="",66666,B2184))</f>
        <v>0</v>
      </c>
      <c r="E2184" s="14" t="str">
        <f>IFERROR(GIZLI!G2179,"")</f>
        <v/>
      </c>
    </row>
    <row r="2185" spans="2:5" x14ac:dyDescent="0.3">
      <c r="B2185" s="2" t="str">
        <f>MID(TableQR[[#This Row],[QR CODES]],4,13)</f>
        <v/>
      </c>
      <c r="C2185" s="2" t="str">
        <f>IFERROR(VLOOKUP(TableQR[[#This Row],[BARCODES]],ILACLISTE[#All],2,0),"")</f>
        <v/>
      </c>
      <c r="D2185" s="2">
        <f t="shared" si="34"/>
        <v>0</v>
      </c>
      <c r="E2185" s="14" t="str">
        <f>IFERROR(GIZLI!G2180,"")</f>
        <v/>
      </c>
    </row>
    <row r="2186" spans="2:5" x14ac:dyDescent="0.3">
      <c r="B2186" s="2" t="str">
        <f>MID(TableQR[[#This Row],[QR CODES]],4,13)</f>
        <v/>
      </c>
      <c r="C2186" s="2" t="str">
        <f>IFERROR(VLOOKUP(TableQR[[#This Row],[BARCODES]],ILACLISTE[#All],2,0),"")</f>
        <v/>
      </c>
      <c r="D2186" s="2">
        <f t="shared" si="34"/>
        <v>0</v>
      </c>
      <c r="E2186" s="14" t="str">
        <f>IFERROR(GIZLI!G2181,"")</f>
        <v/>
      </c>
    </row>
    <row r="2187" spans="2:5" x14ac:dyDescent="0.3">
      <c r="B2187" s="2" t="str">
        <f>MID(TableQR[[#This Row],[QR CODES]],4,13)</f>
        <v/>
      </c>
      <c r="C2187" s="2" t="str">
        <f>IFERROR(VLOOKUP(TableQR[[#This Row],[BARCODES]],ILACLISTE[#All],2,0),"")</f>
        <v/>
      </c>
      <c r="D2187" s="2">
        <f t="shared" si="34"/>
        <v>0</v>
      </c>
      <c r="E2187" s="14" t="str">
        <f>IFERROR(GIZLI!G2182,"")</f>
        <v/>
      </c>
    </row>
    <row r="2188" spans="2:5" x14ac:dyDescent="0.3">
      <c r="B2188" s="2" t="str">
        <f>MID(TableQR[[#This Row],[QR CODES]],4,13)</f>
        <v/>
      </c>
      <c r="C2188" s="2" t="str">
        <f>IFERROR(VLOOKUP(TableQR[[#This Row],[BARCODES]],ILACLISTE[#All],2,0),"")</f>
        <v/>
      </c>
      <c r="D2188" s="2">
        <f t="shared" si="34"/>
        <v>0</v>
      </c>
      <c r="E2188" s="14" t="str">
        <f>IFERROR(GIZLI!G2183,"")</f>
        <v/>
      </c>
    </row>
    <row r="2189" spans="2:5" x14ac:dyDescent="0.3">
      <c r="B2189" s="2" t="str">
        <f>MID(TableQR[[#This Row],[QR CODES]],4,13)</f>
        <v/>
      </c>
      <c r="C2189" s="2" t="str">
        <f>IFERROR(VLOOKUP(TableQR[[#This Row],[BARCODES]],ILACLISTE[#All],2,0),"")</f>
        <v/>
      </c>
      <c r="D2189" s="2">
        <f t="shared" si="34"/>
        <v>0</v>
      </c>
      <c r="E2189" s="14" t="str">
        <f>IFERROR(GIZLI!G2184,"")</f>
        <v/>
      </c>
    </row>
    <row r="2190" spans="2:5" x14ac:dyDescent="0.3">
      <c r="B2190" s="2" t="str">
        <f>MID(TableQR[[#This Row],[QR CODES]],4,13)</f>
        <v/>
      </c>
      <c r="C2190" s="2" t="str">
        <f>IFERROR(VLOOKUP(TableQR[[#This Row],[BARCODES]],ILACLISTE[#All],2,0),"")</f>
        <v/>
      </c>
      <c r="D2190" s="2">
        <f t="shared" si="34"/>
        <v>0</v>
      </c>
      <c r="E2190" s="14" t="str">
        <f>IFERROR(GIZLI!G2185,"")</f>
        <v/>
      </c>
    </row>
    <row r="2191" spans="2:5" x14ac:dyDescent="0.3">
      <c r="B2191" s="2" t="str">
        <f>MID(TableQR[[#This Row],[QR CODES]],4,13)</f>
        <v/>
      </c>
      <c r="C2191" s="2" t="str">
        <f>IFERROR(VLOOKUP(TableQR[[#This Row],[BARCODES]],ILACLISTE[#All],2,0),"")</f>
        <v/>
      </c>
      <c r="D2191" s="2">
        <f t="shared" si="34"/>
        <v>0</v>
      </c>
      <c r="E2191" s="14" t="str">
        <f>IFERROR(GIZLI!G2186,"")</f>
        <v/>
      </c>
    </row>
    <row r="2192" spans="2:5" x14ac:dyDescent="0.3">
      <c r="B2192" s="2" t="str">
        <f>MID(TableQR[[#This Row],[QR CODES]],4,13)</f>
        <v/>
      </c>
      <c r="C2192" s="2" t="str">
        <f>IFERROR(VLOOKUP(TableQR[[#This Row],[BARCODES]],ILACLISTE[#All],2,0),"")</f>
        <v/>
      </c>
      <c r="D2192" s="2">
        <f t="shared" si="34"/>
        <v>0</v>
      </c>
      <c r="E2192" s="14" t="str">
        <f>IFERROR(GIZLI!G2187,"")</f>
        <v/>
      </c>
    </row>
    <row r="2193" spans="2:5" x14ac:dyDescent="0.3">
      <c r="B2193" s="2" t="str">
        <f>MID(TableQR[[#This Row],[QR CODES]],4,13)</f>
        <v/>
      </c>
      <c r="C2193" s="2" t="str">
        <f>IFERROR(VLOOKUP(TableQR[[#This Row],[BARCODES]],ILACLISTE[#All],2,0),"")</f>
        <v/>
      </c>
      <c r="D2193" s="2">
        <f t="shared" si="34"/>
        <v>0</v>
      </c>
      <c r="E2193" s="14" t="str">
        <f>IFERROR(GIZLI!G2188,"")</f>
        <v/>
      </c>
    </row>
    <row r="2194" spans="2:5" x14ac:dyDescent="0.3">
      <c r="B2194" s="2" t="str">
        <f>MID(TableQR[[#This Row],[QR CODES]],4,13)</f>
        <v/>
      </c>
      <c r="C2194" s="2" t="str">
        <f>IFERROR(VLOOKUP(TableQR[[#This Row],[BARCODES]],ILACLISTE[#All],2,0),"")</f>
        <v/>
      </c>
      <c r="D2194" s="2">
        <f t="shared" si="34"/>
        <v>0</v>
      </c>
      <c r="E2194" s="14" t="str">
        <f>IFERROR(GIZLI!G2189,"")</f>
        <v/>
      </c>
    </row>
    <row r="2195" spans="2:5" x14ac:dyDescent="0.3">
      <c r="B2195" s="2" t="str">
        <f>MID(TableQR[[#This Row],[QR CODES]],4,13)</f>
        <v/>
      </c>
      <c r="C2195" s="2" t="str">
        <f>IFERROR(VLOOKUP(TableQR[[#This Row],[BARCODES]],ILACLISTE[#All],2,0),"")</f>
        <v/>
      </c>
      <c r="D2195" s="2">
        <f t="shared" si="34"/>
        <v>0</v>
      </c>
      <c r="E2195" s="14" t="str">
        <f>IFERROR(GIZLI!G2190,"")</f>
        <v/>
      </c>
    </row>
    <row r="2196" spans="2:5" x14ac:dyDescent="0.3">
      <c r="B2196" s="2" t="str">
        <f>MID(TableQR[[#This Row],[QR CODES]],4,13)</f>
        <v/>
      </c>
      <c r="C2196" s="2" t="str">
        <f>IFERROR(VLOOKUP(TableQR[[#This Row],[BARCODES]],ILACLISTE[#All],2,0),"")</f>
        <v/>
      </c>
      <c r="D2196" s="2">
        <f t="shared" si="34"/>
        <v>0</v>
      </c>
      <c r="E2196" s="14" t="str">
        <f>IFERROR(GIZLI!G2191,"")</f>
        <v/>
      </c>
    </row>
    <row r="2197" spans="2:5" x14ac:dyDescent="0.3">
      <c r="B2197" s="2" t="str">
        <f>MID(TableQR[[#This Row],[QR CODES]],4,13)</f>
        <v/>
      </c>
      <c r="C2197" s="2" t="str">
        <f>IFERROR(VLOOKUP(TableQR[[#This Row],[BARCODES]],ILACLISTE[#All],2,0),"")</f>
        <v/>
      </c>
      <c r="D2197" s="2">
        <f t="shared" si="34"/>
        <v>0</v>
      </c>
      <c r="E2197" s="14" t="str">
        <f>IFERROR(GIZLI!G2192,"")</f>
        <v/>
      </c>
    </row>
    <row r="2198" spans="2:5" x14ac:dyDescent="0.3">
      <c r="B2198" s="2" t="str">
        <f>MID(TableQR[[#This Row],[QR CODES]],4,13)</f>
        <v/>
      </c>
      <c r="C2198" s="2" t="str">
        <f>IFERROR(VLOOKUP(TableQR[[#This Row],[BARCODES]],ILACLISTE[#All],2,0),"")</f>
        <v/>
      </c>
      <c r="D2198" s="2">
        <f t="shared" si="34"/>
        <v>0</v>
      </c>
      <c r="E2198" s="14" t="str">
        <f>IFERROR(GIZLI!G2193,"")</f>
        <v/>
      </c>
    </row>
    <row r="2199" spans="2:5" x14ac:dyDescent="0.3">
      <c r="B2199" s="2" t="str">
        <f>MID(TableQR[[#This Row],[QR CODES]],4,13)</f>
        <v/>
      </c>
      <c r="C2199" s="2" t="str">
        <f>IFERROR(VLOOKUP(TableQR[[#This Row],[BARCODES]],ILACLISTE[#All],2,0),"")</f>
        <v/>
      </c>
      <c r="D2199" s="2">
        <f t="shared" si="34"/>
        <v>0</v>
      </c>
      <c r="E2199" s="14" t="str">
        <f>IFERROR(GIZLI!G2194,"")</f>
        <v/>
      </c>
    </row>
    <row r="2200" spans="2:5" x14ac:dyDescent="0.3">
      <c r="B2200" s="2" t="str">
        <f>MID(TableQR[[#This Row],[QR CODES]],4,13)</f>
        <v/>
      </c>
      <c r="C2200" s="2" t="str">
        <f>IFERROR(VLOOKUP(TableQR[[#This Row],[BARCODES]],ILACLISTE[#All],2,0),"")</f>
        <v/>
      </c>
      <c r="D2200" s="2">
        <f t="shared" si="34"/>
        <v>0</v>
      </c>
      <c r="E2200" s="14" t="str">
        <f>IFERROR(GIZLI!G2195,"")</f>
        <v/>
      </c>
    </row>
    <row r="2201" spans="2:5" x14ac:dyDescent="0.3">
      <c r="B2201" s="2" t="str">
        <f>MID(TableQR[[#This Row],[QR CODES]],4,13)</f>
        <v/>
      </c>
      <c r="C2201" s="2" t="str">
        <f>IFERROR(VLOOKUP(TableQR[[#This Row],[BARCODES]],ILACLISTE[#All],2,0),"")</f>
        <v/>
      </c>
      <c r="D2201" s="2">
        <f t="shared" si="34"/>
        <v>0</v>
      </c>
      <c r="E2201" s="14" t="str">
        <f>IFERROR(GIZLI!G2196,"")</f>
        <v/>
      </c>
    </row>
    <row r="2202" spans="2:5" x14ac:dyDescent="0.3">
      <c r="B2202" s="2" t="str">
        <f>MID(TableQR[[#This Row],[QR CODES]],4,13)</f>
        <v/>
      </c>
      <c r="C2202" s="2" t="str">
        <f>IFERROR(VLOOKUP(TableQR[[#This Row],[BARCODES]],ILACLISTE[#All],2,0),"")</f>
        <v/>
      </c>
      <c r="D2202" s="2">
        <f t="shared" si="34"/>
        <v>0</v>
      </c>
      <c r="E2202" s="14" t="str">
        <f>IFERROR(GIZLI!G2197,"")</f>
        <v/>
      </c>
    </row>
    <row r="2203" spans="2:5" x14ac:dyDescent="0.3">
      <c r="B2203" s="2" t="str">
        <f>MID(TableQR[[#This Row],[QR CODES]],4,13)</f>
        <v/>
      </c>
      <c r="C2203" s="2" t="str">
        <f>IFERROR(VLOOKUP(TableQR[[#This Row],[BARCODES]],ILACLISTE[#All],2,0),"")</f>
        <v/>
      </c>
      <c r="D2203" s="2">
        <f t="shared" si="34"/>
        <v>0</v>
      </c>
      <c r="E2203" s="14" t="str">
        <f>IFERROR(GIZLI!G2198,"")</f>
        <v/>
      </c>
    </row>
    <row r="2204" spans="2:5" x14ac:dyDescent="0.3">
      <c r="B2204" s="2" t="str">
        <f>MID(TableQR[[#This Row],[QR CODES]],4,13)</f>
        <v/>
      </c>
      <c r="C2204" s="2" t="str">
        <f>IFERROR(VLOOKUP(TableQR[[#This Row],[BARCODES]],ILACLISTE[#All],2,0),"")</f>
        <v/>
      </c>
      <c r="D2204" s="2">
        <f t="shared" si="34"/>
        <v>0</v>
      </c>
      <c r="E2204" s="14" t="str">
        <f>IFERROR(GIZLI!G2199,"")</f>
        <v/>
      </c>
    </row>
    <row r="2205" spans="2:5" x14ac:dyDescent="0.3">
      <c r="B2205" s="2" t="str">
        <f>MID(TableQR[[#This Row],[QR CODES]],4,13)</f>
        <v/>
      </c>
      <c r="C2205" s="2" t="str">
        <f>IFERROR(VLOOKUP(TableQR[[#This Row],[BARCODES]],ILACLISTE[#All],2,0),"")</f>
        <v/>
      </c>
      <c r="D2205" s="2">
        <f t="shared" si="34"/>
        <v>0</v>
      </c>
      <c r="E2205" s="14" t="str">
        <f>IFERROR(GIZLI!G2200,"")</f>
        <v/>
      </c>
    </row>
    <row r="2206" spans="2:5" x14ac:dyDescent="0.3">
      <c r="B2206" s="2" t="str">
        <f>MID(TableQR[[#This Row],[QR CODES]],4,13)</f>
        <v/>
      </c>
      <c r="C2206" s="2" t="str">
        <f>IFERROR(VLOOKUP(TableQR[[#This Row],[BARCODES]],ILACLISTE[#All],2,0),"")</f>
        <v/>
      </c>
      <c r="D2206" s="2">
        <f t="shared" si="34"/>
        <v>0</v>
      </c>
      <c r="E2206" s="14" t="str">
        <f>IFERROR(GIZLI!G2201,"")</f>
        <v/>
      </c>
    </row>
    <row r="2207" spans="2:5" x14ac:dyDescent="0.3">
      <c r="B2207" s="2" t="str">
        <f>MID(TableQR[[#This Row],[QR CODES]],4,13)</f>
        <v/>
      </c>
      <c r="C2207" s="2" t="str">
        <f>IFERROR(VLOOKUP(TableQR[[#This Row],[BARCODES]],ILACLISTE[#All],2,0),"")</f>
        <v/>
      </c>
      <c r="D2207" s="2">
        <f t="shared" si="34"/>
        <v>0</v>
      </c>
      <c r="E2207" s="14" t="str">
        <f>IFERROR(GIZLI!G2202,"")</f>
        <v/>
      </c>
    </row>
    <row r="2208" spans="2:5" x14ac:dyDescent="0.3">
      <c r="B2208" s="2" t="str">
        <f>MID(TableQR[[#This Row],[QR CODES]],4,13)</f>
        <v/>
      </c>
      <c r="C2208" s="2" t="str">
        <f>IFERROR(VLOOKUP(TableQR[[#This Row],[BARCODES]],ILACLISTE[#All],2,0),"")</f>
        <v/>
      </c>
      <c r="D2208" s="2">
        <f t="shared" si="34"/>
        <v>0</v>
      </c>
      <c r="E2208" s="14" t="str">
        <f>IFERROR(GIZLI!G2203,"")</f>
        <v/>
      </c>
    </row>
    <row r="2209" spans="2:5" x14ac:dyDescent="0.3">
      <c r="B2209" s="2" t="str">
        <f>MID(TableQR[[#This Row],[QR CODES]],4,13)</f>
        <v/>
      </c>
      <c r="C2209" s="2" t="str">
        <f>IFERROR(VLOOKUP(TableQR[[#This Row],[BARCODES]],ILACLISTE[#All],2,0),"")</f>
        <v/>
      </c>
      <c r="D2209" s="2">
        <f t="shared" si="34"/>
        <v>0</v>
      </c>
      <c r="E2209" s="14" t="str">
        <f>IFERROR(GIZLI!G2204,"")</f>
        <v/>
      </c>
    </row>
    <row r="2210" spans="2:5" x14ac:dyDescent="0.3">
      <c r="B2210" s="2" t="str">
        <f>MID(TableQR[[#This Row],[QR CODES]],4,13)</f>
        <v/>
      </c>
      <c r="C2210" s="2" t="str">
        <f>IFERROR(VLOOKUP(TableQR[[#This Row],[BARCODES]],ILACLISTE[#All],2,0),"")</f>
        <v/>
      </c>
      <c r="D2210" s="2">
        <f t="shared" si="34"/>
        <v>0</v>
      </c>
      <c r="E2210" s="14" t="str">
        <f>IFERROR(GIZLI!G2205,"")</f>
        <v/>
      </c>
    </row>
    <row r="2211" spans="2:5" x14ac:dyDescent="0.3">
      <c r="B2211" s="2" t="str">
        <f>MID(TableQR[[#This Row],[QR CODES]],4,13)</f>
        <v/>
      </c>
      <c r="C2211" s="2" t="str">
        <f>IFERROR(VLOOKUP(TableQR[[#This Row],[BARCODES]],ILACLISTE[#All],2,0),"")</f>
        <v/>
      </c>
      <c r="D2211" s="2">
        <f t="shared" si="34"/>
        <v>0</v>
      </c>
      <c r="E2211" s="14" t="str">
        <f>IFERROR(GIZLI!G2206,"")</f>
        <v/>
      </c>
    </row>
    <row r="2212" spans="2:5" x14ac:dyDescent="0.3">
      <c r="B2212" s="2" t="str">
        <f>MID(TableQR[[#This Row],[QR CODES]],4,13)</f>
        <v/>
      </c>
      <c r="C2212" s="2" t="str">
        <f>IFERROR(VLOOKUP(TableQR[[#This Row],[BARCODES]],ILACLISTE[#All],2,0),"")</f>
        <v/>
      </c>
      <c r="D2212" s="2">
        <f t="shared" si="34"/>
        <v>0</v>
      </c>
      <c r="E2212" s="14" t="str">
        <f>IFERROR(GIZLI!G2207,"")</f>
        <v/>
      </c>
    </row>
    <row r="2213" spans="2:5" x14ac:dyDescent="0.3">
      <c r="B2213" s="2" t="str">
        <f>MID(TableQR[[#This Row],[QR CODES]],4,13)</f>
        <v/>
      </c>
      <c r="C2213" s="2" t="str">
        <f>IFERROR(VLOOKUP(TableQR[[#This Row],[BARCODES]],ILACLISTE[#All],2,0),"")</f>
        <v/>
      </c>
      <c r="D2213" s="2">
        <f t="shared" si="34"/>
        <v>0</v>
      </c>
      <c r="E2213" s="14" t="str">
        <f>IFERROR(GIZLI!G2208,"")</f>
        <v/>
      </c>
    </row>
    <row r="2214" spans="2:5" x14ac:dyDescent="0.3">
      <c r="B2214" s="2" t="str">
        <f>MID(TableQR[[#This Row],[QR CODES]],4,13)</f>
        <v/>
      </c>
      <c r="C2214" s="2" t="str">
        <f>IFERROR(VLOOKUP(TableQR[[#This Row],[BARCODES]],ILACLISTE[#All],2,0),"")</f>
        <v/>
      </c>
      <c r="D2214" s="2">
        <f t="shared" si="34"/>
        <v>0</v>
      </c>
      <c r="E2214" s="14" t="str">
        <f>IFERROR(GIZLI!G2209,"")</f>
        <v/>
      </c>
    </row>
    <row r="2215" spans="2:5" x14ac:dyDescent="0.3">
      <c r="B2215" s="2" t="str">
        <f>MID(TableQR[[#This Row],[QR CODES]],4,13)</f>
        <v/>
      </c>
      <c r="C2215" s="2" t="str">
        <f>IFERROR(VLOOKUP(TableQR[[#This Row],[BARCODES]],ILACLISTE[#All],2,0),"")</f>
        <v/>
      </c>
      <c r="D2215" s="2">
        <f t="shared" si="34"/>
        <v>0</v>
      </c>
      <c r="E2215" s="14" t="str">
        <f>IFERROR(GIZLI!G2210,"")</f>
        <v/>
      </c>
    </row>
    <row r="2216" spans="2:5" x14ac:dyDescent="0.3">
      <c r="B2216" s="2" t="str">
        <f>MID(TableQR[[#This Row],[QR CODES]],4,13)</f>
        <v/>
      </c>
      <c r="C2216" s="2" t="str">
        <f>IFERROR(VLOOKUP(TableQR[[#This Row],[BARCODES]],ILACLISTE[#All],2,0),"")</f>
        <v/>
      </c>
      <c r="D2216" s="2">
        <f t="shared" si="34"/>
        <v>0</v>
      </c>
      <c r="E2216" s="14" t="str">
        <f>IFERROR(GIZLI!G2211,"")</f>
        <v/>
      </c>
    </row>
    <row r="2217" spans="2:5" x14ac:dyDescent="0.3">
      <c r="B2217" s="2" t="str">
        <f>MID(TableQR[[#This Row],[QR CODES]],4,13)</f>
        <v/>
      </c>
      <c r="C2217" s="2" t="str">
        <f>IFERROR(VLOOKUP(TableQR[[#This Row],[BARCODES]],ILACLISTE[#All],2,0),"")</f>
        <v/>
      </c>
      <c r="D2217" s="2">
        <f t="shared" si="34"/>
        <v>0</v>
      </c>
      <c r="E2217" s="14" t="str">
        <f>IFERROR(GIZLI!G2212,"")</f>
        <v/>
      </c>
    </row>
    <row r="2218" spans="2:5" x14ac:dyDescent="0.3">
      <c r="B2218" s="2" t="str">
        <f>MID(TableQR[[#This Row],[QR CODES]],4,13)</f>
        <v/>
      </c>
      <c r="C2218" s="2" t="str">
        <f>IFERROR(VLOOKUP(TableQR[[#This Row],[BARCODES]],ILACLISTE[#All],2,0),"")</f>
        <v/>
      </c>
      <c r="D2218" s="2">
        <f t="shared" si="34"/>
        <v>0</v>
      </c>
      <c r="E2218" s="14" t="str">
        <f>IFERROR(GIZLI!G2213,"")</f>
        <v/>
      </c>
    </row>
    <row r="2219" spans="2:5" x14ac:dyDescent="0.3">
      <c r="B2219" s="2" t="str">
        <f>MID(TableQR[[#This Row],[QR CODES]],4,13)</f>
        <v/>
      </c>
      <c r="C2219" s="2" t="str">
        <f>IFERROR(VLOOKUP(TableQR[[#This Row],[BARCODES]],ILACLISTE[#All],2,0),"")</f>
        <v/>
      </c>
      <c r="D2219" s="2">
        <f t="shared" si="34"/>
        <v>0</v>
      </c>
      <c r="E2219" s="14" t="str">
        <f>IFERROR(GIZLI!G2214,"")</f>
        <v/>
      </c>
    </row>
    <row r="2220" spans="2:5" x14ac:dyDescent="0.3">
      <c r="B2220" s="2" t="str">
        <f>MID(TableQR[[#This Row],[QR CODES]],4,13)</f>
        <v/>
      </c>
      <c r="C2220" s="2" t="str">
        <f>IFERROR(VLOOKUP(TableQR[[#This Row],[BARCODES]],ILACLISTE[#All],2,0),"")</f>
        <v/>
      </c>
      <c r="D2220" s="2">
        <f t="shared" si="34"/>
        <v>0</v>
      </c>
      <c r="E2220" s="14" t="str">
        <f>IFERROR(GIZLI!G2215,"")</f>
        <v/>
      </c>
    </row>
    <row r="2221" spans="2:5" x14ac:dyDescent="0.3">
      <c r="B2221" s="2" t="str">
        <f>MID(TableQR[[#This Row],[QR CODES]],4,13)</f>
        <v/>
      </c>
      <c r="C2221" s="2" t="str">
        <f>IFERROR(VLOOKUP(TableQR[[#This Row],[BARCODES]],ILACLISTE[#All],2,0),"")</f>
        <v/>
      </c>
      <c r="D2221" s="2">
        <f t="shared" si="34"/>
        <v>0</v>
      </c>
      <c r="E2221" s="14" t="str">
        <f>IFERROR(GIZLI!G2216,"")</f>
        <v/>
      </c>
    </row>
    <row r="2222" spans="2:5" x14ac:dyDescent="0.3">
      <c r="B2222" s="2" t="str">
        <f>MID(TableQR[[#This Row],[QR CODES]],4,13)</f>
        <v/>
      </c>
      <c r="C2222" s="2" t="str">
        <f>IFERROR(VLOOKUP(TableQR[[#This Row],[BARCODES]],ILACLISTE[#All],2,0),"")</f>
        <v/>
      </c>
      <c r="D2222" s="2">
        <f t="shared" si="34"/>
        <v>0</v>
      </c>
      <c r="E2222" s="14" t="str">
        <f>IFERROR(GIZLI!G2217,"")</f>
        <v/>
      </c>
    </row>
    <row r="2223" spans="2:5" x14ac:dyDescent="0.3">
      <c r="B2223" s="2" t="str">
        <f>MID(TableQR[[#This Row],[QR CODES]],4,13)</f>
        <v/>
      </c>
      <c r="C2223" s="2" t="str">
        <f>IFERROR(VLOOKUP(TableQR[[#This Row],[BARCODES]],ILACLISTE[#All],2,0),"")</f>
        <v/>
      </c>
      <c r="D2223" s="2">
        <f t="shared" si="34"/>
        <v>0</v>
      </c>
      <c r="E2223" s="14" t="str">
        <f>IFERROR(GIZLI!G2218,"")</f>
        <v/>
      </c>
    </row>
    <row r="2224" spans="2:5" x14ac:dyDescent="0.3">
      <c r="B2224" s="2" t="str">
        <f>MID(TableQR[[#This Row],[QR CODES]],4,13)</f>
        <v/>
      </c>
      <c r="C2224" s="2" t="str">
        <f>IFERROR(VLOOKUP(TableQR[[#This Row],[BARCODES]],ILACLISTE[#All],2,0),"")</f>
        <v/>
      </c>
      <c r="D2224" s="2">
        <f t="shared" si="34"/>
        <v>0</v>
      </c>
      <c r="E2224" s="14" t="str">
        <f>IFERROR(GIZLI!G2219,"")</f>
        <v/>
      </c>
    </row>
    <row r="2225" spans="2:5" x14ac:dyDescent="0.3">
      <c r="B2225" s="2" t="str">
        <f>MID(TableQR[[#This Row],[QR CODES]],4,13)</f>
        <v/>
      </c>
      <c r="C2225" s="2" t="str">
        <f>IFERROR(VLOOKUP(TableQR[[#This Row],[BARCODES]],ILACLISTE[#All],2,0),"")</f>
        <v/>
      </c>
      <c r="D2225" s="2">
        <f t="shared" si="34"/>
        <v>0</v>
      </c>
      <c r="E2225" s="14" t="str">
        <f>IFERROR(GIZLI!G2220,"")</f>
        <v/>
      </c>
    </row>
    <row r="2226" spans="2:5" x14ac:dyDescent="0.3">
      <c r="B2226" s="2" t="str">
        <f>MID(TableQR[[#This Row],[QR CODES]],4,13)</f>
        <v/>
      </c>
      <c r="C2226" s="2" t="str">
        <f>IFERROR(VLOOKUP(TableQR[[#This Row],[BARCODES]],ILACLISTE[#All],2,0),"")</f>
        <v/>
      </c>
      <c r="D2226" s="2">
        <f t="shared" si="34"/>
        <v>0</v>
      </c>
      <c r="E2226" s="14" t="str">
        <f>IFERROR(GIZLI!G2221,"")</f>
        <v/>
      </c>
    </row>
    <row r="2227" spans="2:5" x14ac:dyDescent="0.3">
      <c r="B2227" s="2" t="str">
        <f>MID(TableQR[[#This Row],[QR CODES]],4,13)</f>
        <v/>
      </c>
      <c r="C2227" s="2" t="str">
        <f>IFERROR(VLOOKUP(TableQR[[#This Row],[BARCODES]],ILACLISTE[#All],2,0),"")</f>
        <v/>
      </c>
      <c r="D2227" s="2">
        <f t="shared" si="34"/>
        <v>0</v>
      </c>
      <c r="E2227" s="14" t="str">
        <f>IFERROR(GIZLI!G2222,"")</f>
        <v/>
      </c>
    </row>
    <row r="2228" spans="2:5" x14ac:dyDescent="0.3">
      <c r="B2228" s="2" t="str">
        <f>MID(TableQR[[#This Row],[QR CODES]],4,13)</f>
        <v/>
      </c>
      <c r="C2228" s="2" t="str">
        <f>IFERROR(VLOOKUP(TableQR[[#This Row],[BARCODES]],ILACLISTE[#All],2,0),"")</f>
        <v/>
      </c>
      <c r="D2228" s="2">
        <f t="shared" si="34"/>
        <v>0</v>
      </c>
      <c r="E2228" s="14" t="str">
        <f>IFERROR(GIZLI!G2223,"")</f>
        <v/>
      </c>
    </row>
    <row r="2229" spans="2:5" x14ac:dyDescent="0.3">
      <c r="B2229" s="2" t="str">
        <f>MID(TableQR[[#This Row],[QR CODES]],4,13)</f>
        <v/>
      </c>
      <c r="C2229" s="2" t="str">
        <f>IFERROR(VLOOKUP(TableQR[[#This Row],[BARCODES]],ILACLISTE[#All],2,0),"")</f>
        <v/>
      </c>
      <c r="D2229" s="2">
        <f t="shared" si="34"/>
        <v>0</v>
      </c>
      <c r="E2229" s="14" t="str">
        <f>IFERROR(GIZLI!G2224,"")</f>
        <v/>
      </c>
    </row>
    <row r="2230" spans="2:5" x14ac:dyDescent="0.3">
      <c r="B2230" s="2" t="str">
        <f>MID(TableQR[[#This Row],[QR CODES]],4,13)</f>
        <v/>
      </c>
      <c r="C2230" s="2" t="str">
        <f>IFERROR(VLOOKUP(TableQR[[#This Row],[BARCODES]],ILACLISTE[#All],2,0),"")</f>
        <v/>
      </c>
      <c r="D2230" s="2">
        <f t="shared" si="34"/>
        <v>0</v>
      </c>
      <c r="E2230" s="14" t="str">
        <f>IFERROR(GIZLI!G2225,"")</f>
        <v/>
      </c>
    </row>
    <row r="2231" spans="2:5" x14ac:dyDescent="0.3">
      <c r="B2231" s="2" t="str">
        <f>MID(TableQR[[#This Row],[QR CODES]],4,13)</f>
        <v/>
      </c>
      <c r="C2231" s="2" t="str">
        <f>IFERROR(VLOOKUP(TableQR[[#This Row],[BARCODES]],ILACLISTE[#All],2,0),"")</f>
        <v/>
      </c>
      <c r="D2231" s="2">
        <f t="shared" si="34"/>
        <v>0</v>
      </c>
      <c r="E2231" s="14" t="str">
        <f>IFERROR(GIZLI!G2226,"")</f>
        <v/>
      </c>
    </row>
    <row r="2232" spans="2:5" x14ac:dyDescent="0.3">
      <c r="B2232" s="2" t="str">
        <f>MID(TableQR[[#This Row],[QR CODES]],4,13)</f>
        <v/>
      </c>
      <c r="C2232" s="2" t="str">
        <f>IFERROR(VLOOKUP(TableQR[[#This Row],[BARCODES]],ILACLISTE[#All],2,0),"")</f>
        <v/>
      </c>
      <c r="D2232" s="2">
        <f t="shared" si="34"/>
        <v>0</v>
      </c>
      <c r="E2232" s="14" t="str">
        <f>IFERROR(GIZLI!G2227,"")</f>
        <v/>
      </c>
    </row>
    <row r="2233" spans="2:5" x14ac:dyDescent="0.3">
      <c r="B2233" s="2" t="str">
        <f>MID(TableQR[[#This Row],[QR CODES]],4,13)</f>
        <v/>
      </c>
      <c r="C2233" s="2" t="str">
        <f>IFERROR(VLOOKUP(TableQR[[#This Row],[BARCODES]],ILACLISTE[#All],2,0),"")</f>
        <v/>
      </c>
      <c r="D2233" s="2">
        <f t="shared" si="34"/>
        <v>0</v>
      </c>
      <c r="E2233" s="14" t="str">
        <f>IFERROR(GIZLI!G2228,"")</f>
        <v/>
      </c>
    </row>
    <row r="2234" spans="2:5" x14ac:dyDescent="0.3">
      <c r="B2234" s="2" t="str">
        <f>MID(TableQR[[#This Row],[QR CODES]],4,13)</f>
        <v/>
      </c>
      <c r="C2234" s="2" t="str">
        <f>IFERROR(VLOOKUP(TableQR[[#This Row],[BARCODES]],ILACLISTE[#All],2,0),"")</f>
        <v/>
      </c>
      <c r="D2234" s="2">
        <f t="shared" si="34"/>
        <v>0</v>
      </c>
      <c r="E2234" s="14" t="str">
        <f>IFERROR(GIZLI!G2229,"")</f>
        <v/>
      </c>
    </row>
    <row r="2235" spans="2:5" x14ac:dyDescent="0.3">
      <c r="B2235" s="2" t="str">
        <f>MID(TableQR[[#This Row],[QR CODES]],4,13)</f>
        <v/>
      </c>
      <c r="C2235" s="2" t="str">
        <f>IFERROR(VLOOKUP(TableQR[[#This Row],[BARCODES]],ILACLISTE[#All],2,0),"")</f>
        <v/>
      </c>
      <c r="D2235" s="2">
        <f t="shared" si="34"/>
        <v>0</v>
      </c>
      <c r="E2235" s="14" t="str">
        <f>IFERROR(GIZLI!G2230,"")</f>
        <v/>
      </c>
    </row>
    <row r="2236" spans="2:5" x14ac:dyDescent="0.3">
      <c r="B2236" s="2" t="str">
        <f>MID(TableQR[[#This Row],[QR CODES]],4,13)</f>
        <v/>
      </c>
      <c r="C2236" s="2" t="str">
        <f>IFERROR(VLOOKUP(TableQR[[#This Row],[BARCODES]],ILACLISTE[#All],2,0),"")</f>
        <v/>
      </c>
      <c r="D2236" s="2">
        <f t="shared" si="34"/>
        <v>0</v>
      </c>
      <c r="E2236" s="14" t="str">
        <f>IFERROR(GIZLI!G2231,"")</f>
        <v/>
      </c>
    </row>
    <row r="2237" spans="2:5" x14ac:dyDescent="0.3">
      <c r="B2237" s="2" t="str">
        <f>MID(TableQR[[#This Row],[QR CODES]],4,13)</f>
        <v/>
      </c>
      <c r="C2237" s="2" t="str">
        <f>IFERROR(VLOOKUP(TableQR[[#This Row],[BARCODES]],ILACLISTE[#All],2,0),"")</f>
        <v/>
      </c>
      <c r="D2237" s="2">
        <f t="shared" si="34"/>
        <v>0</v>
      </c>
      <c r="E2237" s="14" t="str">
        <f>IFERROR(GIZLI!G2232,"")</f>
        <v/>
      </c>
    </row>
    <row r="2238" spans="2:5" x14ac:dyDescent="0.3">
      <c r="B2238" s="2" t="str">
        <f>MID(TableQR[[#This Row],[QR CODES]],4,13)</f>
        <v/>
      </c>
      <c r="C2238" s="2" t="str">
        <f>IFERROR(VLOOKUP(TableQR[[#This Row],[BARCODES]],ILACLISTE[#All],2,0),"")</f>
        <v/>
      </c>
      <c r="D2238" s="2">
        <f t="shared" si="34"/>
        <v>0</v>
      </c>
      <c r="E2238" s="14" t="str">
        <f>IFERROR(GIZLI!G2233,"")</f>
        <v/>
      </c>
    </row>
    <row r="2239" spans="2:5" x14ac:dyDescent="0.3">
      <c r="B2239" s="2" t="str">
        <f>MID(TableQR[[#This Row],[QR CODES]],4,13)</f>
        <v/>
      </c>
      <c r="C2239" s="2" t="str">
        <f>IFERROR(VLOOKUP(TableQR[[#This Row],[BARCODES]],ILACLISTE[#All],2,0),"")</f>
        <v/>
      </c>
      <c r="D2239" s="2">
        <f t="shared" si="34"/>
        <v>0</v>
      </c>
      <c r="E2239" s="14" t="str">
        <f>IFERROR(GIZLI!G2234,"")</f>
        <v/>
      </c>
    </row>
    <row r="2240" spans="2:5" x14ac:dyDescent="0.3">
      <c r="B2240" s="2" t="str">
        <f>MID(TableQR[[#This Row],[QR CODES]],4,13)</f>
        <v/>
      </c>
      <c r="C2240" s="2" t="str">
        <f>IFERROR(VLOOKUP(TableQR[[#This Row],[BARCODES]],ILACLISTE[#All],2,0),"")</f>
        <v/>
      </c>
      <c r="D2240" s="2">
        <f t="shared" si="34"/>
        <v>0</v>
      </c>
      <c r="E2240" s="14" t="str">
        <f>IFERROR(GIZLI!G2235,"")</f>
        <v/>
      </c>
    </row>
    <row r="2241" spans="2:5" x14ac:dyDescent="0.3">
      <c r="B2241" s="2" t="str">
        <f>MID(TableQR[[#This Row],[QR CODES]],4,13)</f>
        <v/>
      </c>
      <c r="C2241" s="2" t="str">
        <f>IFERROR(VLOOKUP(TableQR[[#This Row],[BARCODES]],ILACLISTE[#All],2,0),"")</f>
        <v/>
      </c>
      <c r="D2241" s="2">
        <f t="shared" si="34"/>
        <v>0</v>
      </c>
      <c r="E2241" s="14" t="str">
        <f>IFERROR(GIZLI!G2236,"")</f>
        <v/>
      </c>
    </row>
    <row r="2242" spans="2:5" x14ac:dyDescent="0.3">
      <c r="B2242" s="2" t="str">
        <f>MID(TableQR[[#This Row],[QR CODES]],4,13)</f>
        <v/>
      </c>
      <c r="C2242" s="2" t="str">
        <f>IFERROR(VLOOKUP(TableQR[[#This Row],[BARCODES]],ILACLISTE[#All],2,0),"")</f>
        <v/>
      </c>
      <c r="D2242" s="2">
        <f t="shared" si="34"/>
        <v>0</v>
      </c>
      <c r="E2242" s="14" t="str">
        <f>IFERROR(GIZLI!G2237,"")</f>
        <v/>
      </c>
    </row>
    <row r="2243" spans="2:5" x14ac:dyDescent="0.3">
      <c r="B2243" s="2" t="str">
        <f>MID(TableQR[[#This Row],[QR CODES]],4,13)</f>
        <v/>
      </c>
      <c r="C2243" s="2" t="str">
        <f>IFERROR(VLOOKUP(TableQR[[#This Row],[BARCODES]],ILACLISTE[#All],2,0),"")</f>
        <v/>
      </c>
      <c r="D2243" s="2">
        <f t="shared" si="34"/>
        <v>0</v>
      </c>
      <c r="E2243" s="14" t="str">
        <f>IFERROR(GIZLI!G2238,"")</f>
        <v/>
      </c>
    </row>
    <row r="2244" spans="2:5" x14ac:dyDescent="0.3">
      <c r="B2244" s="2" t="str">
        <f>MID(TableQR[[#This Row],[QR CODES]],4,13)</f>
        <v/>
      </c>
      <c r="C2244" s="2" t="str">
        <f>IFERROR(VLOOKUP(TableQR[[#This Row],[BARCODES]],ILACLISTE[#All],2,0),"")</f>
        <v/>
      </c>
      <c r="D2244" s="2">
        <f t="shared" si="34"/>
        <v>0</v>
      </c>
      <c r="E2244" s="14" t="str">
        <f>IFERROR(GIZLI!G2239,"")</f>
        <v/>
      </c>
    </row>
    <row r="2245" spans="2:5" x14ac:dyDescent="0.3">
      <c r="B2245" s="2" t="str">
        <f>MID(TableQR[[#This Row],[QR CODES]],4,13)</f>
        <v/>
      </c>
      <c r="C2245" s="2" t="str">
        <f>IFERROR(VLOOKUP(TableQR[[#This Row],[BARCODES]],ILACLISTE[#All],2,0),"")</f>
        <v/>
      </c>
      <c r="D2245" s="2">
        <f t="shared" si="34"/>
        <v>0</v>
      </c>
      <c r="E2245" s="14" t="str">
        <f>IFERROR(GIZLI!G2240,"")</f>
        <v/>
      </c>
    </row>
    <row r="2246" spans="2:5" x14ac:dyDescent="0.3">
      <c r="B2246" s="2" t="str">
        <f>MID(TableQR[[#This Row],[QR CODES]],4,13)</f>
        <v/>
      </c>
      <c r="C2246" s="2" t="str">
        <f>IFERROR(VLOOKUP(TableQR[[#This Row],[BARCODES]],ILACLISTE[#All],2,0),"")</f>
        <v/>
      </c>
      <c r="D2246" s="2">
        <f t="shared" si="34"/>
        <v>0</v>
      </c>
      <c r="E2246" s="14" t="str">
        <f>IFERROR(GIZLI!G2241,"")</f>
        <v/>
      </c>
    </row>
    <row r="2247" spans="2:5" x14ac:dyDescent="0.3">
      <c r="B2247" s="2" t="str">
        <f>MID(TableQR[[#This Row],[QR CODES]],4,13)</f>
        <v/>
      </c>
      <c r="C2247" s="2" t="str">
        <f>IFERROR(VLOOKUP(TableQR[[#This Row],[BARCODES]],ILACLISTE[#All],2,0),"")</f>
        <v/>
      </c>
      <c r="D2247" s="2">
        <f t="shared" si="34"/>
        <v>0</v>
      </c>
      <c r="E2247" s="14" t="str">
        <f>IFERROR(GIZLI!G2242,"")</f>
        <v/>
      </c>
    </row>
    <row r="2248" spans="2:5" x14ac:dyDescent="0.3">
      <c r="B2248" s="2" t="str">
        <f>MID(TableQR[[#This Row],[QR CODES]],4,13)</f>
        <v/>
      </c>
      <c r="C2248" s="2" t="str">
        <f>IFERROR(VLOOKUP(TableQR[[#This Row],[BARCODES]],ILACLISTE[#All],2,0),"")</f>
        <v/>
      </c>
      <c r="D2248" s="2">
        <f t="shared" ref="D2248:D2311" si="35">COUNTIF(B2248:B6241,IF(B2248="",66666,B2248))</f>
        <v>0</v>
      </c>
      <c r="E2248" s="14" t="str">
        <f>IFERROR(GIZLI!G2243,"")</f>
        <v/>
      </c>
    </row>
    <row r="2249" spans="2:5" x14ac:dyDescent="0.3">
      <c r="B2249" s="2" t="str">
        <f>MID(TableQR[[#This Row],[QR CODES]],4,13)</f>
        <v/>
      </c>
      <c r="C2249" s="2" t="str">
        <f>IFERROR(VLOOKUP(TableQR[[#This Row],[BARCODES]],ILACLISTE[#All],2,0),"")</f>
        <v/>
      </c>
      <c r="D2249" s="2">
        <f t="shared" si="35"/>
        <v>0</v>
      </c>
      <c r="E2249" s="14" t="str">
        <f>IFERROR(GIZLI!G2244,"")</f>
        <v/>
      </c>
    </row>
    <row r="2250" spans="2:5" x14ac:dyDescent="0.3">
      <c r="B2250" s="2" t="str">
        <f>MID(TableQR[[#This Row],[QR CODES]],4,13)</f>
        <v/>
      </c>
      <c r="C2250" s="2" t="str">
        <f>IFERROR(VLOOKUP(TableQR[[#This Row],[BARCODES]],ILACLISTE[#All],2,0),"")</f>
        <v/>
      </c>
      <c r="D2250" s="2">
        <f t="shared" si="35"/>
        <v>0</v>
      </c>
      <c r="E2250" s="14" t="str">
        <f>IFERROR(GIZLI!G2245,"")</f>
        <v/>
      </c>
    </row>
    <row r="2251" spans="2:5" x14ac:dyDescent="0.3">
      <c r="B2251" s="2" t="str">
        <f>MID(TableQR[[#This Row],[QR CODES]],4,13)</f>
        <v/>
      </c>
      <c r="C2251" s="2" t="str">
        <f>IFERROR(VLOOKUP(TableQR[[#This Row],[BARCODES]],ILACLISTE[#All],2,0),"")</f>
        <v/>
      </c>
      <c r="D2251" s="2">
        <f t="shared" si="35"/>
        <v>0</v>
      </c>
      <c r="E2251" s="14" t="str">
        <f>IFERROR(GIZLI!G2246,"")</f>
        <v/>
      </c>
    </row>
    <row r="2252" spans="2:5" x14ac:dyDescent="0.3">
      <c r="B2252" s="2" t="str">
        <f>MID(TableQR[[#This Row],[QR CODES]],4,13)</f>
        <v/>
      </c>
      <c r="C2252" s="2" t="str">
        <f>IFERROR(VLOOKUP(TableQR[[#This Row],[BARCODES]],ILACLISTE[#All],2,0),"")</f>
        <v/>
      </c>
      <c r="D2252" s="2">
        <f t="shared" si="35"/>
        <v>0</v>
      </c>
      <c r="E2252" s="14" t="str">
        <f>IFERROR(GIZLI!G2247,"")</f>
        <v/>
      </c>
    </row>
    <row r="2253" spans="2:5" x14ac:dyDescent="0.3">
      <c r="B2253" s="2" t="str">
        <f>MID(TableQR[[#This Row],[QR CODES]],4,13)</f>
        <v/>
      </c>
      <c r="C2253" s="2" t="str">
        <f>IFERROR(VLOOKUP(TableQR[[#This Row],[BARCODES]],ILACLISTE[#All],2,0),"")</f>
        <v/>
      </c>
      <c r="D2253" s="2">
        <f t="shared" si="35"/>
        <v>0</v>
      </c>
      <c r="E2253" s="14" t="str">
        <f>IFERROR(GIZLI!G2248,"")</f>
        <v/>
      </c>
    </row>
    <row r="2254" spans="2:5" x14ac:dyDescent="0.3">
      <c r="B2254" s="2" t="str">
        <f>MID(TableQR[[#This Row],[QR CODES]],4,13)</f>
        <v/>
      </c>
      <c r="C2254" s="2" t="str">
        <f>IFERROR(VLOOKUP(TableQR[[#This Row],[BARCODES]],ILACLISTE[#All],2,0),"")</f>
        <v/>
      </c>
      <c r="D2254" s="2">
        <f t="shared" si="35"/>
        <v>0</v>
      </c>
      <c r="E2254" s="14" t="str">
        <f>IFERROR(GIZLI!G2249,"")</f>
        <v/>
      </c>
    </row>
    <row r="2255" spans="2:5" x14ac:dyDescent="0.3">
      <c r="B2255" s="2" t="str">
        <f>MID(TableQR[[#This Row],[QR CODES]],4,13)</f>
        <v/>
      </c>
      <c r="C2255" s="2" t="str">
        <f>IFERROR(VLOOKUP(TableQR[[#This Row],[BARCODES]],ILACLISTE[#All],2,0),"")</f>
        <v/>
      </c>
      <c r="D2255" s="2">
        <f t="shared" si="35"/>
        <v>0</v>
      </c>
      <c r="E2255" s="14" t="str">
        <f>IFERROR(GIZLI!G2250,"")</f>
        <v/>
      </c>
    </row>
    <row r="2256" spans="2:5" x14ac:dyDescent="0.3">
      <c r="B2256" s="2" t="str">
        <f>MID(TableQR[[#This Row],[QR CODES]],4,13)</f>
        <v/>
      </c>
      <c r="C2256" s="2" t="str">
        <f>IFERROR(VLOOKUP(TableQR[[#This Row],[BARCODES]],ILACLISTE[#All],2,0),"")</f>
        <v/>
      </c>
      <c r="D2256" s="2">
        <f t="shared" si="35"/>
        <v>0</v>
      </c>
      <c r="E2256" s="14" t="str">
        <f>IFERROR(GIZLI!G2251,"")</f>
        <v/>
      </c>
    </row>
    <row r="2257" spans="2:5" x14ac:dyDescent="0.3">
      <c r="B2257" s="2" t="str">
        <f>MID(TableQR[[#This Row],[QR CODES]],4,13)</f>
        <v/>
      </c>
      <c r="C2257" s="2" t="str">
        <f>IFERROR(VLOOKUP(TableQR[[#This Row],[BARCODES]],ILACLISTE[#All],2,0),"")</f>
        <v/>
      </c>
      <c r="D2257" s="2">
        <f t="shared" si="35"/>
        <v>0</v>
      </c>
      <c r="E2257" s="14" t="str">
        <f>IFERROR(GIZLI!G2252,"")</f>
        <v/>
      </c>
    </row>
    <row r="2258" spans="2:5" x14ac:dyDescent="0.3">
      <c r="B2258" s="2" t="str">
        <f>MID(TableQR[[#This Row],[QR CODES]],4,13)</f>
        <v/>
      </c>
      <c r="C2258" s="2" t="str">
        <f>IFERROR(VLOOKUP(TableQR[[#This Row],[BARCODES]],ILACLISTE[#All],2,0),"")</f>
        <v/>
      </c>
      <c r="D2258" s="2">
        <f t="shared" si="35"/>
        <v>0</v>
      </c>
      <c r="E2258" s="14" t="str">
        <f>IFERROR(GIZLI!G2253,"")</f>
        <v/>
      </c>
    </row>
    <row r="2259" spans="2:5" x14ac:dyDescent="0.3">
      <c r="B2259" s="2" t="str">
        <f>MID(TableQR[[#This Row],[QR CODES]],4,13)</f>
        <v/>
      </c>
      <c r="C2259" s="2" t="str">
        <f>IFERROR(VLOOKUP(TableQR[[#This Row],[BARCODES]],ILACLISTE[#All],2,0),"")</f>
        <v/>
      </c>
      <c r="D2259" s="2">
        <f t="shared" si="35"/>
        <v>0</v>
      </c>
      <c r="E2259" s="14" t="str">
        <f>IFERROR(GIZLI!G2254,"")</f>
        <v/>
      </c>
    </row>
    <row r="2260" spans="2:5" x14ac:dyDescent="0.3">
      <c r="B2260" s="2" t="str">
        <f>MID(TableQR[[#This Row],[QR CODES]],4,13)</f>
        <v/>
      </c>
      <c r="C2260" s="2" t="str">
        <f>IFERROR(VLOOKUP(TableQR[[#This Row],[BARCODES]],ILACLISTE[#All],2,0),"")</f>
        <v/>
      </c>
      <c r="D2260" s="2">
        <f t="shared" si="35"/>
        <v>0</v>
      </c>
      <c r="E2260" s="14" t="str">
        <f>IFERROR(GIZLI!G2255,"")</f>
        <v/>
      </c>
    </row>
    <row r="2261" spans="2:5" x14ac:dyDescent="0.3">
      <c r="B2261" s="2" t="str">
        <f>MID(TableQR[[#This Row],[QR CODES]],4,13)</f>
        <v/>
      </c>
      <c r="C2261" s="2" t="str">
        <f>IFERROR(VLOOKUP(TableQR[[#This Row],[BARCODES]],ILACLISTE[#All],2,0),"")</f>
        <v/>
      </c>
      <c r="D2261" s="2">
        <f t="shared" si="35"/>
        <v>0</v>
      </c>
      <c r="E2261" s="14" t="str">
        <f>IFERROR(GIZLI!G2256,"")</f>
        <v/>
      </c>
    </row>
    <row r="2262" spans="2:5" x14ac:dyDescent="0.3">
      <c r="B2262" s="2" t="str">
        <f>MID(TableQR[[#This Row],[QR CODES]],4,13)</f>
        <v/>
      </c>
      <c r="C2262" s="2" t="str">
        <f>IFERROR(VLOOKUP(TableQR[[#This Row],[BARCODES]],ILACLISTE[#All],2,0),"")</f>
        <v/>
      </c>
      <c r="D2262" s="2">
        <f t="shared" si="35"/>
        <v>0</v>
      </c>
      <c r="E2262" s="14" t="str">
        <f>IFERROR(GIZLI!G2257,"")</f>
        <v/>
      </c>
    </row>
    <row r="2263" spans="2:5" x14ac:dyDescent="0.3">
      <c r="B2263" s="2" t="str">
        <f>MID(TableQR[[#This Row],[QR CODES]],4,13)</f>
        <v/>
      </c>
      <c r="C2263" s="2" t="str">
        <f>IFERROR(VLOOKUP(TableQR[[#This Row],[BARCODES]],ILACLISTE[#All],2,0),"")</f>
        <v/>
      </c>
      <c r="D2263" s="2">
        <f t="shared" si="35"/>
        <v>0</v>
      </c>
      <c r="E2263" s="14" t="str">
        <f>IFERROR(GIZLI!G2258,"")</f>
        <v/>
      </c>
    </row>
    <row r="2264" spans="2:5" x14ac:dyDescent="0.3">
      <c r="B2264" s="2" t="str">
        <f>MID(TableQR[[#This Row],[QR CODES]],4,13)</f>
        <v/>
      </c>
      <c r="C2264" s="2" t="str">
        <f>IFERROR(VLOOKUP(TableQR[[#This Row],[BARCODES]],ILACLISTE[#All],2,0),"")</f>
        <v/>
      </c>
      <c r="D2264" s="2">
        <f t="shared" si="35"/>
        <v>0</v>
      </c>
      <c r="E2264" s="14" t="str">
        <f>IFERROR(GIZLI!G2259,"")</f>
        <v/>
      </c>
    </row>
    <row r="2265" spans="2:5" x14ac:dyDescent="0.3">
      <c r="B2265" s="2" t="str">
        <f>MID(TableQR[[#This Row],[QR CODES]],4,13)</f>
        <v/>
      </c>
      <c r="C2265" s="2" t="str">
        <f>IFERROR(VLOOKUP(TableQR[[#This Row],[BARCODES]],ILACLISTE[#All],2,0),"")</f>
        <v/>
      </c>
      <c r="D2265" s="2">
        <f t="shared" si="35"/>
        <v>0</v>
      </c>
      <c r="E2265" s="14" t="str">
        <f>IFERROR(GIZLI!G2260,"")</f>
        <v/>
      </c>
    </row>
    <row r="2266" spans="2:5" x14ac:dyDescent="0.3">
      <c r="B2266" s="2" t="str">
        <f>MID(TableQR[[#This Row],[QR CODES]],4,13)</f>
        <v/>
      </c>
      <c r="C2266" s="2" t="str">
        <f>IFERROR(VLOOKUP(TableQR[[#This Row],[BARCODES]],ILACLISTE[#All],2,0),"")</f>
        <v/>
      </c>
      <c r="D2266" s="2">
        <f t="shared" si="35"/>
        <v>0</v>
      </c>
      <c r="E2266" s="14" t="str">
        <f>IFERROR(GIZLI!G2261,"")</f>
        <v/>
      </c>
    </row>
    <row r="2267" spans="2:5" x14ac:dyDescent="0.3">
      <c r="B2267" s="2" t="str">
        <f>MID(TableQR[[#This Row],[QR CODES]],4,13)</f>
        <v/>
      </c>
      <c r="C2267" s="2" t="str">
        <f>IFERROR(VLOOKUP(TableQR[[#This Row],[BARCODES]],ILACLISTE[#All],2,0),"")</f>
        <v/>
      </c>
      <c r="D2267" s="2">
        <f t="shared" si="35"/>
        <v>0</v>
      </c>
      <c r="E2267" s="14" t="str">
        <f>IFERROR(GIZLI!G2262,"")</f>
        <v/>
      </c>
    </row>
    <row r="2268" spans="2:5" x14ac:dyDescent="0.3">
      <c r="B2268" s="2" t="str">
        <f>MID(TableQR[[#This Row],[QR CODES]],4,13)</f>
        <v/>
      </c>
      <c r="C2268" s="2" t="str">
        <f>IFERROR(VLOOKUP(TableQR[[#This Row],[BARCODES]],ILACLISTE[#All],2,0),"")</f>
        <v/>
      </c>
      <c r="D2268" s="2">
        <f t="shared" si="35"/>
        <v>0</v>
      </c>
      <c r="E2268" s="14" t="str">
        <f>IFERROR(GIZLI!G2263,"")</f>
        <v/>
      </c>
    </row>
    <row r="2269" spans="2:5" x14ac:dyDescent="0.3">
      <c r="B2269" s="2" t="str">
        <f>MID(TableQR[[#This Row],[QR CODES]],4,13)</f>
        <v/>
      </c>
      <c r="C2269" s="2" t="str">
        <f>IFERROR(VLOOKUP(TableQR[[#This Row],[BARCODES]],ILACLISTE[#All],2,0),"")</f>
        <v/>
      </c>
      <c r="D2269" s="2">
        <f t="shared" si="35"/>
        <v>0</v>
      </c>
      <c r="E2269" s="14" t="str">
        <f>IFERROR(GIZLI!G2264,"")</f>
        <v/>
      </c>
    </row>
    <row r="2270" spans="2:5" x14ac:dyDescent="0.3">
      <c r="B2270" s="2" t="str">
        <f>MID(TableQR[[#This Row],[QR CODES]],4,13)</f>
        <v/>
      </c>
      <c r="C2270" s="2" t="str">
        <f>IFERROR(VLOOKUP(TableQR[[#This Row],[BARCODES]],ILACLISTE[#All],2,0),"")</f>
        <v/>
      </c>
      <c r="D2270" s="2">
        <f t="shared" si="35"/>
        <v>0</v>
      </c>
      <c r="E2270" s="14" t="str">
        <f>IFERROR(GIZLI!G2265,"")</f>
        <v/>
      </c>
    </row>
    <row r="2271" spans="2:5" x14ac:dyDescent="0.3">
      <c r="B2271" s="2" t="str">
        <f>MID(TableQR[[#This Row],[QR CODES]],4,13)</f>
        <v/>
      </c>
      <c r="C2271" s="2" t="str">
        <f>IFERROR(VLOOKUP(TableQR[[#This Row],[BARCODES]],ILACLISTE[#All],2,0),"")</f>
        <v/>
      </c>
      <c r="D2271" s="2">
        <f t="shared" si="35"/>
        <v>0</v>
      </c>
      <c r="E2271" s="14" t="str">
        <f>IFERROR(GIZLI!G2266,"")</f>
        <v/>
      </c>
    </row>
    <row r="2272" spans="2:5" x14ac:dyDescent="0.3">
      <c r="B2272" s="2" t="str">
        <f>MID(TableQR[[#This Row],[QR CODES]],4,13)</f>
        <v/>
      </c>
      <c r="C2272" s="2" t="str">
        <f>IFERROR(VLOOKUP(TableQR[[#This Row],[BARCODES]],ILACLISTE[#All],2,0),"")</f>
        <v/>
      </c>
      <c r="D2272" s="2">
        <f t="shared" si="35"/>
        <v>0</v>
      </c>
      <c r="E2272" s="14" t="str">
        <f>IFERROR(GIZLI!G2267,"")</f>
        <v/>
      </c>
    </row>
    <row r="2273" spans="2:5" x14ac:dyDescent="0.3">
      <c r="B2273" s="2" t="str">
        <f>MID(TableQR[[#This Row],[QR CODES]],4,13)</f>
        <v/>
      </c>
      <c r="C2273" s="2" t="str">
        <f>IFERROR(VLOOKUP(TableQR[[#This Row],[BARCODES]],ILACLISTE[#All],2,0),"")</f>
        <v/>
      </c>
      <c r="D2273" s="2">
        <f t="shared" si="35"/>
        <v>0</v>
      </c>
      <c r="E2273" s="14" t="str">
        <f>IFERROR(GIZLI!G2268,"")</f>
        <v/>
      </c>
    </row>
    <row r="2274" spans="2:5" x14ac:dyDescent="0.3">
      <c r="B2274" s="2" t="str">
        <f>MID(TableQR[[#This Row],[QR CODES]],4,13)</f>
        <v/>
      </c>
      <c r="C2274" s="2" t="str">
        <f>IFERROR(VLOOKUP(TableQR[[#This Row],[BARCODES]],ILACLISTE[#All],2,0),"")</f>
        <v/>
      </c>
      <c r="D2274" s="2">
        <f t="shared" si="35"/>
        <v>0</v>
      </c>
      <c r="E2274" s="14" t="str">
        <f>IFERROR(GIZLI!G2269,"")</f>
        <v/>
      </c>
    </row>
    <row r="2275" spans="2:5" x14ac:dyDescent="0.3">
      <c r="B2275" s="2" t="str">
        <f>MID(TableQR[[#This Row],[QR CODES]],4,13)</f>
        <v/>
      </c>
      <c r="C2275" s="2" t="str">
        <f>IFERROR(VLOOKUP(TableQR[[#This Row],[BARCODES]],ILACLISTE[#All],2,0),"")</f>
        <v/>
      </c>
      <c r="D2275" s="2">
        <f t="shared" si="35"/>
        <v>0</v>
      </c>
      <c r="E2275" s="14" t="str">
        <f>IFERROR(GIZLI!G2270,"")</f>
        <v/>
      </c>
    </row>
    <row r="2276" spans="2:5" x14ac:dyDescent="0.3">
      <c r="B2276" s="2" t="str">
        <f>MID(TableQR[[#This Row],[QR CODES]],4,13)</f>
        <v/>
      </c>
      <c r="C2276" s="2" t="str">
        <f>IFERROR(VLOOKUP(TableQR[[#This Row],[BARCODES]],ILACLISTE[#All],2,0),"")</f>
        <v/>
      </c>
      <c r="D2276" s="2">
        <f t="shared" si="35"/>
        <v>0</v>
      </c>
      <c r="E2276" s="14" t="str">
        <f>IFERROR(GIZLI!G2271,"")</f>
        <v/>
      </c>
    </row>
    <row r="2277" spans="2:5" x14ac:dyDescent="0.3">
      <c r="B2277" s="2" t="str">
        <f>MID(TableQR[[#This Row],[QR CODES]],4,13)</f>
        <v/>
      </c>
      <c r="C2277" s="2" t="str">
        <f>IFERROR(VLOOKUP(TableQR[[#This Row],[BARCODES]],ILACLISTE[#All],2,0),"")</f>
        <v/>
      </c>
      <c r="D2277" s="2">
        <f t="shared" si="35"/>
        <v>0</v>
      </c>
      <c r="E2277" s="14" t="str">
        <f>IFERROR(GIZLI!G2272,"")</f>
        <v/>
      </c>
    </row>
    <row r="2278" spans="2:5" x14ac:dyDescent="0.3">
      <c r="B2278" s="2" t="str">
        <f>MID(TableQR[[#This Row],[QR CODES]],4,13)</f>
        <v/>
      </c>
      <c r="C2278" s="2" t="str">
        <f>IFERROR(VLOOKUP(TableQR[[#This Row],[BARCODES]],ILACLISTE[#All],2,0),"")</f>
        <v/>
      </c>
      <c r="D2278" s="2">
        <f t="shared" si="35"/>
        <v>0</v>
      </c>
      <c r="E2278" s="14" t="str">
        <f>IFERROR(GIZLI!G2273,"")</f>
        <v/>
      </c>
    </row>
    <row r="2279" spans="2:5" x14ac:dyDescent="0.3">
      <c r="B2279" s="2" t="str">
        <f>MID(TableQR[[#This Row],[QR CODES]],4,13)</f>
        <v/>
      </c>
      <c r="C2279" s="2" t="str">
        <f>IFERROR(VLOOKUP(TableQR[[#This Row],[BARCODES]],ILACLISTE[#All],2,0),"")</f>
        <v/>
      </c>
      <c r="D2279" s="2">
        <f t="shared" si="35"/>
        <v>0</v>
      </c>
      <c r="E2279" s="14" t="str">
        <f>IFERROR(GIZLI!G2274,"")</f>
        <v/>
      </c>
    </row>
    <row r="2280" spans="2:5" x14ac:dyDescent="0.3">
      <c r="B2280" s="2" t="str">
        <f>MID(TableQR[[#This Row],[QR CODES]],4,13)</f>
        <v/>
      </c>
      <c r="C2280" s="2" t="str">
        <f>IFERROR(VLOOKUP(TableQR[[#This Row],[BARCODES]],ILACLISTE[#All],2,0),"")</f>
        <v/>
      </c>
      <c r="D2280" s="2">
        <f t="shared" si="35"/>
        <v>0</v>
      </c>
      <c r="E2280" s="14" t="str">
        <f>IFERROR(GIZLI!G2275,"")</f>
        <v/>
      </c>
    </row>
    <row r="2281" spans="2:5" x14ac:dyDescent="0.3">
      <c r="B2281" s="2" t="str">
        <f>MID(TableQR[[#This Row],[QR CODES]],4,13)</f>
        <v/>
      </c>
      <c r="C2281" s="2" t="str">
        <f>IFERROR(VLOOKUP(TableQR[[#This Row],[BARCODES]],ILACLISTE[#All],2,0),"")</f>
        <v/>
      </c>
      <c r="D2281" s="2">
        <f t="shared" si="35"/>
        <v>0</v>
      </c>
      <c r="E2281" s="14" t="str">
        <f>IFERROR(GIZLI!G2276,"")</f>
        <v/>
      </c>
    </row>
    <row r="2282" spans="2:5" x14ac:dyDescent="0.3">
      <c r="B2282" s="2" t="str">
        <f>MID(TableQR[[#This Row],[QR CODES]],4,13)</f>
        <v/>
      </c>
      <c r="C2282" s="2" t="str">
        <f>IFERROR(VLOOKUP(TableQR[[#This Row],[BARCODES]],ILACLISTE[#All],2,0),"")</f>
        <v/>
      </c>
      <c r="D2282" s="2">
        <f t="shared" si="35"/>
        <v>0</v>
      </c>
      <c r="E2282" s="14" t="str">
        <f>IFERROR(GIZLI!G2277,"")</f>
        <v/>
      </c>
    </row>
    <row r="2283" spans="2:5" x14ac:dyDescent="0.3">
      <c r="B2283" s="2" t="str">
        <f>MID(TableQR[[#This Row],[QR CODES]],4,13)</f>
        <v/>
      </c>
      <c r="C2283" s="2" t="str">
        <f>IFERROR(VLOOKUP(TableQR[[#This Row],[BARCODES]],ILACLISTE[#All],2,0),"")</f>
        <v/>
      </c>
      <c r="D2283" s="2">
        <f t="shared" si="35"/>
        <v>0</v>
      </c>
      <c r="E2283" s="14" t="str">
        <f>IFERROR(GIZLI!G2278,"")</f>
        <v/>
      </c>
    </row>
    <row r="2284" spans="2:5" x14ac:dyDescent="0.3">
      <c r="B2284" s="2" t="str">
        <f>MID(TableQR[[#This Row],[QR CODES]],4,13)</f>
        <v/>
      </c>
      <c r="C2284" s="2" t="str">
        <f>IFERROR(VLOOKUP(TableQR[[#This Row],[BARCODES]],ILACLISTE[#All],2,0),"")</f>
        <v/>
      </c>
      <c r="D2284" s="2">
        <f t="shared" si="35"/>
        <v>0</v>
      </c>
      <c r="E2284" s="14" t="str">
        <f>IFERROR(GIZLI!G2279,"")</f>
        <v/>
      </c>
    </row>
    <row r="2285" spans="2:5" x14ac:dyDescent="0.3">
      <c r="B2285" s="2" t="str">
        <f>MID(TableQR[[#This Row],[QR CODES]],4,13)</f>
        <v/>
      </c>
      <c r="C2285" s="2" t="str">
        <f>IFERROR(VLOOKUP(TableQR[[#This Row],[BARCODES]],ILACLISTE[#All],2,0),"")</f>
        <v/>
      </c>
      <c r="D2285" s="2">
        <f t="shared" si="35"/>
        <v>0</v>
      </c>
      <c r="E2285" s="14" t="str">
        <f>IFERROR(GIZLI!G2280,"")</f>
        <v/>
      </c>
    </row>
    <row r="2286" spans="2:5" x14ac:dyDescent="0.3">
      <c r="B2286" s="2" t="str">
        <f>MID(TableQR[[#This Row],[QR CODES]],4,13)</f>
        <v/>
      </c>
      <c r="C2286" s="2" t="str">
        <f>IFERROR(VLOOKUP(TableQR[[#This Row],[BARCODES]],ILACLISTE[#All],2,0),"")</f>
        <v/>
      </c>
      <c r="D2286" s="2">
        <f t="shared" si="35"/>
        <v>0</v>
      </c>
      <c r="E2286" s="14" t="str">
        <f>IFERROR(GIZLI!G2281,"")</f>
        <v/>
      </c>
    </row>
    <row r="2287" spans="2:5" x14ac:dyDescent="0.3">
      <c r="B2287" s="2" t="str">
        <f>MID(TableQR[[#This Row],[QR CODES]],4,13)</f>
        <v/>
      </c>
      <c r="C2287" s="2" t="str">
        <f>IFERROR(VLOOKUP(TableQR[[#This Row],[BARCODES]],ILACLISTE[#All],2,0),"")</f>
        <v/>
      </c>
      <c r="D2287" s="2">
        <f t="shared" si="35"/>
        <v>0</v>
      </c>
      <c r="E2287" s="14" t="str">
        <f>IFERROR(GIZLI!G2282,"")</f>
        <v/>
      </c>
    </row>
    <row r="2288" spans="2:5" x14ac:dyDescent="0.3">
      <c r="B2288" s="2" t="str">
        <f>MID(TableQR[[#This Row],[QR CODES]],4,13)</f>
        <v/>
      </c>
      <c r="C2288" s="2" t="str">
        <f>IFERROR(VLOOKUP(TableQR[[#This Row],[BARCODES]],ILACLISTE[#All],2,0),"")</f>
        <v/>
      </c>
      <c r="D2288" s="2">
        <f t="shared" si="35"/>
        <v>0</v>
      </c>
      <c r="E2288" s="14" t="str">
        <f>IFERROR(GIZLI!G2283,"")</f>
        <v/>
      </c>
    </row>
    <row r="2289" spans="2:5" x14ac:dyDescent="0.3">
      <c r="B2289" s="2" t="str">
        <f>MID(TableQR[[#This Row],[QR CODES]],4,13)</f>
        <v/>
      </c>
      <c r="C2289" s="2" t="str">
        <f>IFERROR(VLOOKUP(TableQR[[#This Row],[BARCODES]],ILACLISTE[#All],2,0),"")</f>
        <v/>
      </c>
      <c r="D2289" s="2">
        <f t="shared" si="35"/>
        <v>0</v>
      </c>
      <c r="E2289" s="14" t="str">
        <f>IFERROR(GIZLI!G2284,"")</f>
        <v/>
      </c>
    </row>
    <row r="2290" spans="2:5" x14ac:dyDescent="0.3">
      <c r="B2290" s="2" t="str">
        <f>MID(TableQR[[#This Row],[QR CODES]],4,13)</f>
        <v/>
      </c>
      <c r="C2290" s="2" t="str">
        <f>IFERROR(VLOOKUP(TableQR[[#This Row],[BARCODES]],ILACLISTE[#All],2,0),"")</f>
        <v/>
      </c>
      <c r="D2290" s="2">
        <f t="shared" si="35"/>
        <v>0</v>
      </c>
      <c r="E2290" s="14" t="str">
        <f>IFERROR(GIZLI!G2285,"")</f>
        <v/>
      </c>
    </row>
    <row r="2291" spans="2:5" x14ac:dyDescent="0.3">
      <c r="B2291" s="2" t="str">
        <f>MID(TableQR[[#This Row],[QR CODES]],4,13)</f>
        <v/>
      </c>
      <c r="C2291" s="2" t="str">
        <f>IFERROR(VLOOKUP(TableQR[[#This Row],[BARCODES]],ILACLISTE[#All],2,0),"")</f>
        <v/>
      </c>
      <c r="D2291" s="2">
        <f t="shared" si="35"/>
        <v>0</v>
      </c>
      <c r="E2291" s="14" t="str">
        <f>IFERROR(GIZLI!G2286,"")</f>
        <v/>
      </c>
    </row>
    <row r="2292" spans="2:5" x14ac:dyDescent="0.3">
      <c r="B2292" s="2" t="str">
        <f>MID(TableQR[[#This Row],[QR CODES]],4,13)</f>
        <v/>
      </c>
      <c r="C2292" s="2" t="str">
        <f>IFERROR(VLOOKUP(TableQR[[#This Row],[BARCODES]],ILACLISTE[#All],2,0),"")</f>
        <v/>
      </c>
      <c r="D2292" s="2">
        <f t="shared" si="35"/>
        <v>0</v>
      </c>
      <c r="E2292" s="14" t="str">
        <f>IFERROR(GIZLI!G2287,"")</f>
        <v/>
      </c>
    </row>
    <row r="2293" spans="2:5" x14ac:dyDescent="0.3">
      <c r="B2293" s="2" t="str">
        <f>MID(TableQR[[#This Row],[QR CODES]],4,13)</f>
        <v/>
      </c>
      <c r="C2293" s="2" t="str">
        <f>IFERROR(VLOOKUP(TableQR[[#This Row],[BARCODES]],ILACLISTE[#All],2,0),"")</f>
        <v/>
      </c>
      <c r="D2293" s="2">
        <f t="shared" si="35"/>
        <v>0</v>
      </c>
      <c r="E2293" s="14" t="str">
        <f>IFERROR(GIZLI!G2288,"")</f>
        <v/>
      </c>
    </row>
    <row r="2294" spans="2:5" x14ac:dyDescent="0.3">
      <c r="B2294" s="2" t="str">
        <f>MID(TableQR[[#This Row],[QR CODES]],4,13)</f>
        <v/>
      </c>
      <c r="C2294" s="2" t="str">
        <f>IFERROR(VLOOKUP(TableQR[[#This Row],[BARCODES]],ILACLISTE[#All],2,0),"")</f>
        <v/>
      </c>
      <c r="D2294" s="2">
        <f t="shared" si="35"/>
        <v>0</v>
      </c>
      <c r="E2294" s="14" t="str">
        <f>IFERROR(GIZLI!G2289,"")</f>
        <v/>
      </c>
    </row>
    <row r="2295" spans="2:5" x14ac:dyDescent="0.3">
      <c r="B2295" s="2" t="str">
        <f>MID(TableQR[[#This Row],[QR CODES]],4,13)</f>
        <v/>
      </c>
      <c r="C2295" s="2" t="str">
        <f>IFERROR(VLOOKUP(TableQR[[#This Row],[BARCODES]],ILACLISTE[#All],2,0),"")</f>
        <v/>
      </c>
      <c r="D2295" s="2">
        <f t="shared" si="35"/>
        <v>0</v>
      </c>
      <c r="E2295" s="14" t="str">
        <f>IFERROR(GIZLI!G2290,"")</f>
        <v/>
      </c>
    </row>
    <row r="2296" spans="2:5" x14ac:dyDescent="0.3">
      <c r="B2296" s="2" t="str">
        <f>MID(TableQR[[#This Row],[QR CODES]],4,13)</f>
        <v/>
      </c>
      <c r="C2296" s="2" t="str">
        <f>IFERROR(VLOOKUP(TableQR[[#This Row],[BARCODES]],ILACLISTE[#All],2,0),"")</f>
        <v/>
      </c>
      <c r="D2296" s="2">
        <f t="shared" si="35"/>
        <v>0</v>
      </c>
      <c r="E2296" s="14" t="str">
        <f>IFERROR(GIZLI!G2291,"")</f>
        <v/>
      </c>
    </row>
    <row r="2297" spans="2:5" x14ac:dyDescent="0.3">
      <c r="B2297" s="2" t="str">
        <f>MID(TableQR[[#This Row],[QR CODES]],4,13)</f>
        <v/>
      </c>
      <c r="C2297" s="2" t="str">
        <f>IFERROR(VLOOKUP(TableQR[[#This Row],[BARCODES]],ILACLISTE[#All],2,0),"")</f>
        <v/>
      </c>
      <c r="D2297" s="2">
        <f t="shared" si="35"/>
        <v>0</v>
      </c>
      <c r="E2297" s="14" t="str">
        <f>IFERROR(GIZLI!G2292,"")</f>
        <v/>
      </c>
    </row>
    <row r="2298" spans="2:5" x14ac:dyDescent="0.3">
      <c r="B2298" s="2" t="str">
        <f>MID(TableQR[[#This Row],[QR CODES]],4,13)</f>
        <v/>
      </c>
      <c r="C2298" s="2" t="str">
        <f>IFERROR(VLOOKUP(TableQR[[#This Row],[BARCODES]],ILACLISTE[#All],2,0),"")</f>
        <v/>
      </c>
      <c r="D2298" s="2">
        <f t="shared" si="35"/>
        <v>0</v>
      </c>
      <c r="E2298" s="14" t="str">
        <f>IFERROR(GIZLI!G2293,"")</f>
        <v/>
      </c>
    </row>
    <row r="2299" spans="2:5" x14ac:dyDescent="0.3">
      <c r="B2299" s="2" t="str">
        <f>MID(TableQR[[#This Row],[QR CODES]],4,13)</f>
        <v/>
      </c>
      <c r="C2299" s="2" t="str">
        <f>IFERROR(VLOOKUP(TableQR[[#This Row],[BARCODES]],ILACLISTE[#All],2,0),"")</f>
        <v/>
      </c>
      <c r="D2299" s="2">
        <f t="shared" si="35"/>
        <v>0</v>
      </c>
      <c r="E2299" s="14" t="str">
        <f>IFERROR(GIZLI!G2294,"")</f>
        <v/>
      </c>
    </row>
    <row r="2300" spans="2:5" x14ac:dyDescent="0.3">
      <c r="B2300" s="2" t="str">
        <f>MID(TableQR[[#This Row],[QR CODES]],4,13)</f>
        <v/>
      </c>
      <c r="C2300" s="2" t="str">
        <f>IFERROR(VLOOKUP(TableQR[[#This Row],[BARCODES]],ILACLISTE[#All],2,0),"")</f>
        <v/>
      </c>
      <c r="D2300" s="2">
        <f t="shared" si="35"/>
        <v>0</v>
      </c>
      <c r="E2300" s="14" t="str">
        <f>IFERROR(GIZLI!G2295,"")</f>
        <v/>
      </c>
    </row>
    <row r="2301" spans="2:5" x14ac:dyDescent="0.3">
      <c r="B2301" s="2" t="str">
        <f>MID(TableQR[[#This Row],[QR CODES]],4,13)</f>
        <v/>
      </c>
      <c r="C2301" s="2" t="str">
        <f>IFERROR(VLOOKUP(TableQR[[#This Row],[BARCODES]],ILACLISTE[#All],2,0),"")</f>
        <v/>
      </c>
      <c r="D2301" s="2">
        <f t="shared" si="35"/>
        <v>0</v>
      </c>
      <c r="E2301" s="14" t="str">
        <f>IFERROR(GIZLI!G2296,"")</f>
        <v/>
      </c>
    </row>
    <row r="2302" spans="2:5" x14ac:dyDescent="0.3">
      <c r="B2302" s="2" t="str">
        <f>MID(TableQR[[#This Row],[QR CODES]],4,13)</f>
        <v/>
      </c>
      <c r="C2302" s="2" t="str">
        <f>IFERROR(VLOOKUP(TableQR[[#This Row],[BARCODES]],ILACLISTE[#All],2,0),"")</f>
        <v/>
      </c>
      <c r="D2302" s="2">
        <f t="shared" si="35"/>
        <v>0</v>
      </c>
      <c r="E2302" s="14" t="str">
        <f>IFERROR(GIZLI!G2297,"")</f>
        <v/>
      </c>
    </row>
    <row r="2303" spans="2:5" x14ac:dyDescent="0.3">
      <c r="B2303" s="2" t="str">
        <f>MID(TableQR[[#This Row],[QR CODES]],4,13)</f>
        <v/>
      </c>
      <c r="C2303" s="2" t="str">
        <f>IFERROR(VLOOKUP(TableQR[[#This Row],[BARCODES]],ILACLISTE[#All],2,0),"")</f>
        <v/>
      </c>
      <c r="D2303" s="2">
        <f t="shared" si="35"/>
        <v>0</v>
      </c>
      <c r="E2303" s="14" t="str">
        <f>IFERROR(GIZLI!G2298,"")</f>
        <v/>
      </c>
    </row>
    <row r="2304" spans="2:5" x14ac:dyDescent="0.3">
      <c r="B2304" s="2" t="str">
        <f>MID(TableQR[[#This Row],[QR CODES]],4,13)</f>
        <v/>
      </c>
      <c r="C2304" s="2" t="str">
        <f>IFERROR(VLOOKUP(TableQR[[#This Row],[BARCODES]],ILACLISTE[#All],2,0),"")</f>
        <v/>
      </c>
      <c r="D2304" s="2">
        <f t="shared" si="35"/>
        <v>0</v>
      </c>
      <c r="E2304" s="14" t="str">
        <f>IFERROR(GIZLI!G2299,"")</f>
        <v/>
      </c>
    </row>
    <row r="2305" spans="2:5" x14ac:dyDescent="0.3">
      <c r="B2305" s="2" t="str">
        <f>MID(TableQR[[#This Row],[QR CODES]],4,13)</f>
        <v/>
      </c>
      <c r="C2305" s="2" t="str">
        <f>IFERROR(VLOOKUP(TableQR[[#This Row],[BARCODES]],ILACLISTE[#All],2,0),"")</f>
        <v/>
      </c>
      <c r="D2305" s="2">
        <f t="shared" si="35"/>
        <v>0</v>
      </c>
      <c r="E2305" s="14" t="str">
        <f>IFERROR(GIZLI!G2300,"")</f>
        <v/>
      </c>
    </row>
    <row r="2306" spans="2:5" x14ac:dyDescent="0.3">
      <c r="B2306" s="2" t="str">
        <f>MID(TableQR[[#This Row],[QR CODES]],4,13)</f>
        <v/>
      </c>
      <c r="C2306" s="2" t="str">
        <f>IFERROR(VLOOKUP(TableQR[[#This Row],[BARCODES]],ILACLISTE[#All],2,0),"")</f>
        <v/>
      </c>
      <c r="D2306" s="2">
        <f t="shared" si="35"/>
        <v>0</v>
      </c>
      <c r="E2306" s="14" t="str">
        <f>IFERROR(GIZLI!G2301,"")</f>
        <v/>
      </c>
    </row>
    <row r="2307" spans="2:5" x14ac:dyDescent="0.3">
      <c r="B2307" s="2" t="str">
        <f>MID(TableQR[[#This Row],[QR CODES]],4,13)</f>
        <v/>
      </c>
      <c r="C2307" s="2" t="str">
        <f>IFERROR(VLOOKUP(TableQR[[#This Row],[BARCODES]],ILACLISTE[#All],2,0),"")</f>
        <v/>
      </c>
      <c r="D2307" s="2">
        <f t="shared" si="35"/>
        <v>0</v>
      </c>
      <c r="E2307" s="14" t="str">
        <f>IFERROR(GIZLI!G2302,"")</f>
        <v/>
      </c>
    </row>
    <row r="2308" spans="2:5" x14ac:dyDescent="0.3">
      <c r="B2308" s="2" t="str">
        <f>MID(TableQR[[#This Row],[QR CODES]],4,13)</f>
        <v/>
      </c>
      <c r="C2308" s="2" t="str">
        <f>IFERROR(VLOOKUP(TableQR[[#This Row],[BARCODES]],ILACLISTE[#All],2,0),"")</f>
        <v/>
      </c>
      <c r="D2308" s="2">
        <f t="shared" si="35"/>
        <v>0</v>
      </c>
      <c r="E2308" s="14" t="str">
        <f>IFERROR(GIZLI!G2303,"")</f>
        <v/>
      </c>
    </row>
    <row r="2309" spans="2:5" x14ac:dyDescent="0.3">
      <c r="B2309" s="2" t="str">
        <f>MID(TableQR[[#This Row],[QR CODES]],4,13)</f>
        <v/>
      </c>
      <c r="C2309" s="2" t="str">
        <f>IFERROR(VLOOKUP(TableQR[[#This Row],[BARCODES]],ILACLISTE[#All],2,0),"")</f>
        <v/>
      </c>
      <c r="D2309" s="2">
        <f t="shared" si="35"/>
        <v>0</v>
      </c>
      <c r="E2309" s="14" t="str">
        <f>IFERROR(GIZLI!G2304,"")</f>
        <v/>
      </c>
    </row>
    <row r="2310" spans="2:5" x14ac:dyDescent="0.3">
      <c r="B2310" s="2" t="str">
        <f>MID(TableQR[[#This Row],[QR CODES]],4,13)</f>
        <v/>
      </c>
      <c r="C2310" s="2" t="str">
        <f>IFERROR(VLOOKUP(TableQR[[#This Row],[BARCODES]],ILACLISTE[#All],2,0),"")</f>
        <v/>
      </c>
      <c r="D2310" s="2">
        <f t="shared" si="35"/>
        <v>0</v>
      </c>
      <c r="E2310" s="14" t="str">
        <f>IFERROR(GIZLI!G2305,"")</f>
        <v/>
      </c>
    </row>
    <row r="2311" spans="2:5" x14ac:dyDescent="0.3">
      <c r="B2311" s="2" t="str">
        <f>MID(TableQR[[#This Row],[QR CODES]],4,13)</f>
        <v/>
      </c>
      <c r="C2311" s="2" t="str">
        <f>IFERROR(VLOOKUP(TableQR[[#This Row],[BARCODES]],ILACLISTE[#All],2,0),"")</f>
        <v/>
      </c>
      <c r="D2311" s="2">
        <f t="shared" si="35"/>
        <v>0</v>
      </c>
      <c r="E2311" s="14" t="str">
        <f>IFERROR(GIZLI!G2306,"")</f>
        <v/>
      </c>
    </row>
    <row r="2312" spans="2:5" x14ac:dyDescent="0.3">
      <c r="B2312" s="2" t="str">
        <f>MID(TableQR[[#This Row],[QR CODES]],4,13)</f>
        <v/>
      </c>
      <c r="C2312" s="2" t="str">
        <f>IFERROR(VLOOKUP(TableQR[[#This Row],[BARCODES]],ILACLISTE[#All],2,0),"")</f>
        <v/>
      </c>
      <c r="D2312" s="2">
        <f t="shared" ref="D2312:D2375" si="36">COUNTIF(B2312:B6305,IF(B2312="",66666,B2312))</f>
        <v>0</v>
      </c>
      <c r="E2312" s="14" t="str">
        <f>IFERROR(GIZLI!G2307,"")</f>
        <v/>
      </c>
    </row>
    <row r="2313" spans="2:5" x14ac:dyDescent="0.3">
      <c r="B2313" s="2" t="str">
        <f>MID(TableQR[[#This Row],[QR CODES]],4,13)</f>
        <v/>
      </c>
      <c r="C2313" s="2" t="str">
        <f>IFERROR(VLOOKUP(TableQR[[#This Row],[BARCODES]],ILACLISTE[#All],2,0),"")</f>
        <v/>
      </c>
      <c r="D2313" s="2">
        <f t="shared" si="36"/>
        <v>0</v>
      </c>
      <c r="E2313" s="14" t="str">
        <f>IFERROR(GIZLI!G2308,"")</f>
        <v/>
      </c>
    </row>
    <row r="2314" spans="2:5" x14ac:dyDescent="0.3">
      <c r="B2314" s="2" t="str">
        <f>MID(TableQR[[#This Row],[QR CODES]],4,13)</f>
        <v/>
      </c>
      <c r="C2314" s="2" t="str">
        <f>IFERROR(VLOOKUP(TableQR[[#This Row],[BARCODES]],ILACLISTE[#All],2,0),"")</f>
        <v/>
      </c>
      <c r="D2314" s="2">
        <f t="shared" si="36"/>
        <v>0</v>
      </c>
      <c r="E2314" s="14" t="str">
        <f>IFERROR(GIZLI!G2309,"")</f>
        <v/>
      </c>
    </row>
    <row r="2315" spans="2:5" x14ac:dyDescent="0.3">
      <c r="B2315" s="2" t="str">
        <f>MID(TableQR[[#This Row],[QR CODES]],4,13)</f>
        <v/>
      </c>
      <c r="C2315" s="2" t="str">
        <f>IFERROR(VLOOKUP(TableQR[[#This Row],[BARCODES]],ILACLISTE[#All],2,0),"")</f>
        <v/>
      </c>
      <c r="D2315" s="2">
        <f t="shared" si="36"/>
        <v>0</v>
      </c>
      <c r="E2315" s="14" t="str">
        <f>IFERROR(GIZLI!G2310,"")</f>
        <v/>
      </c>
    </row>
    <row r="2316" spans="2:5" x14ac:dyDescent="0.3">
      <c r="B2316" s="2" t="str">
        <f>MID(TableQR[[#This Row],[QR CODES]],4,13)</f>
        <v/>
      </c>
      <c r="C2316" s="2" t="str">
        <f>IFERROR(VLOOKUP(TableQR[[#This Row],[BARCODES]],ILACLISTE[#All],2,0),"")</f>
        <v/>
      </c>
      <c r="D2316" s="2">
        <f t="shared" si="36"/>
        <v>0</v>
      </c>
      <c r="E2316" s="14" t="str">
        <f>IFERROR(GIZLI!G2311,"")</f>
        <v/>
      </c>
    </row>
    <row r="2317" spans="2:5" x14ac:dyDescent="0.3">
      <c r="B2317" s="2" t="str">
        <f>MID(TableQR[[#This Row],[QR CODES]],4,13)</f>
        <v/>
      </c>
      <c r="C2317" s="2" t="str">
        <f>IFERROR(VLOOKUP(TableQR[[#This Row],[BARCODES]],ILACLISTE[#All],2,0),"")</f>
        <v/>
      </c>
      <c r="D2317" s="2">
        <f t="shared" si="36"/>
        <v>0</v>
      </c>
      <c r="E2317" s="14" t="str">
        <f>IFERROR(GIZLI!G2312,"")</f>
        <v/>
      </c>
    </row>
    <row r="2318" spans="2:5" x14ac:dyDescent="0.3">
      <c r="B2318" s="2" t="str">
        <f>MID(TableQR[[#This Row],[QR CODES]],4,13)</f>
        <v/>
      </c>
      <c r="C2318" s="2" t="str">
        <f>IFERROR(VLOOKUP(TableQR[[#This Row],[BARCODES]],ILACLISTE[#All],2,0),"")</f>
        <v/>
      </c>
      <c r="D2318" s="2">
        <f t="shared" si="36"/>
        <v>0</v>
      </c>
      <c r="E2318" s="14" t="str">
        <f>IFERROR(GIZLI!G2313,"")</f>
        <v/>
      </c>
    </row>
    <row r="2319" spans="2:5" x14ac:dyDescent="0.3">
      <c r="B2319" s="2" t="str">
        <f>MID(TableQR[[#This Row],[QR CODES]],4,13)</f>
        <v/>
      </c>
      <c r="C2319" s="2" t="str">
        <f>IFERROR(VLOOKUP(TableQR[[#This Row],[BARCODES]],ILACLISTE[#All],2,0),"")</f>
        <v/>
      </c>
      <c r="D2319" s="2">
        <f t="shared" si="36"/>
        <v>0</v>
      </c>
      <c r="E2319" s="14" t="str">
        <f>IFERROR(GIZLI!G2314,"")</f>
        <v/>
      </c>
    </row>
    <row r="2320" spans="2:5" x14ac:dyDescent="0.3">
      <c r="B2320" s="2" t="str">
        <f>MID(TableQR[[#This Row],[QR CODES]],4,13)</f>
        <v/>
      </c>
      <c r="C2320" s="2" t="str">
        <f>IFERROR(VLOOKUP(TableQR[[#This Row],[BARCODES]],ILACLISTE[#All],2,0),"")</f>
        <v/>
      </c>
      <c r="D2320" s="2">
        <f t="shared" si="36"/>
        <v>0</v>
      </c>
      <c r="E2320" s="14" t="str">
        <f>IFERROR(GIZLI!G2315,"")</f>
        <v/>
      </c>
    </row>
    <row r="2321" spans="2:5" x14ac:dyDescent="0.3">
      <c r="B2321" s="2" t="str">
        <f>MID(TableQR[[#This Row],[QR CODES]],4,13)</f>
        <v/>
      </c>
      <c r="C2321" s="2" t="str">
        <f>IFERROR(VLOOKUP(TableQR[[#This Row],[BARCODES]],ILACLISTE[#All],2,0),"")</f>
        <v/>
      </c>
      <c r="D2321" s="2">
        <f t="shared" si="36"/>
        <v>0</v>
      </c>
      <c r="E2321" s="14" t="str">
        <f>IFERROR(GIZLI!G2316,"")</f>
        <v/>
      </c>
    </row>
    <row r="2322" spans="2:5" x14ac:dyDescent="0.3">
      <c r="B2322" s="2" t="str">
        <f>MID(TableQR[[#This Row],[QR CODES]],4,13)</f>
        <v/>
      </c>
      <c r="C2322" s="2" t="str">
        <f>IFERROR(VLOOKUP(TableQR[[#This Row],[BARCODES]],ILACLISTE[#All],2,0),"")</f>
        <v/>
      </c>
      <c r="D2322" s="2">
        <f t="shared" si="36"/>
        <v>0</v>
      </c>
      <c r="E2322" s="14" t="str">
        <f>IFERROR(GIZLI!G2317,"")</f>
        <v/>
      </c>
    </row>
    <row r="2323" spans="2:5" x14ac:dyDescent="0.3">
      <c r="B2323" s="2" t="str">
        <f>MID(TableQR[[#This Row],[QR CODES]],4,13)</f>
        <v/>
      </c>
      <c r="C2323" s="2" t="str">
        <f>IFERROR(VLOOKUP(TableQR[[#This Row],[BARCODES]],ILACLISTE[#All],2,0),"")</f>
        <v/>
      </c>
      <c r="D2323" s="2">
        <f t="shared" si="36"/>
        <v>0</v>
      </c>
      <c r="E2323" s="14" t="str">
        <f>IFERROR(GIZLI!G2318,"")</f>
        <v/>
      </c>
    </row>
    <row r="2324" spans="2:5" x14ac:dyDescent="0.3">
      <c r="B2324" s="2" t="str">
        <f>MID(TableQR[[#This Row],[QR CODES]],4,13)</f>
        <v/>
      </c>
      <c r="C2324" s="2" t="str">
        <f>IFERROR(VLOOKUP(TableQR[[#This Row],[BARCODES]],ILACLISTE[#All],2,0),"")</f>
        <v/>
      </c>
      <c r="D2324" s="2">
        <f t="shared" si="36"/>
        <v>0</v>
      </c>
      <c r="E2324" s="14" t="str">
        <f>IFERROR(GIZLI!G2319,"")</f>
        <v/>
      </c>
    </row>
    <row r="2325" spans="2:5" x14ac:dyDescent="0.3">
      <c r="B2325" s="2" t="str">
        <f>MID(TableQR[[#This Row],[QR CODES]],4,13)</f>
        <v/>
      </c>
      <c r="C2325" s="2" t="str">
        <f>IFERROR(VLOOKUP(TableQR[[#This Row],[BARCODES]],ILACLISTE[#All],2,0),"")</f>
        <v/>
      </c>
      <c r="D2325" s="2">
        <f t="shared" si="36"/>
        <v>0</v>
      </c>
      <c r="E2325" s="14" t="str">
        <f>IFERROR(GIZLI!G2320,"")</f>
        <v/>
      </c>
    </row>
    <row r="2326" spans="2:5" x14ac:dyDescent="0.3">
      <c r="B2326" s="2" t="str">
        <f>MID(TableQR[[#This Row],[QR CODES]],4,13)</f>
        <v/>
      </c>
      <c r="C2326" s="2" t="str">
        <f>IFERROR(VLOOKUP(TableQR[[#This Row],[BARCODES]],ILACLISTE[#All],2,0),"")</f>
        <v/>
      </c>
      <c r="D2326" s="2">
        <f t="shared" si="36"/>
        <v>0</v>
      </c>
      <c r="E2326" s="14" t="str">
        <f>IFERROR(GIZLI!G2321,"")</f>
        <v/>
      </c>
    </row>
    <row r="2327" spans="2:5" x14ac:dyDescent="0.3">
      <c r="B2327" s="2" t="str">
        <f>MID(TableQR[[#This Row],[QR CODES]],4,13)</f>
        <v/>
      </c>
      <c r="C2327" s="2" t="str">
        <f>IFERROR(VLOOKUP(TableQR[[#This Row],[BARCODES]],ILACLISTE[#All],2,0),"")</f>
        <v/>
      </c>
      <c r="D2327" s="2">
        <f t="shared" si="36"/>
        <v>0</v>
      </c>
      <c r="E2327" s="14" t="str">
        <f>IFERROR(GIZLI!G2322,"")</f>
        <v/>
      </c>
    </row>
    <row r="2328" spans="2:5" x14ac:dyDescent="0.3">
      <c r="B2328" s="2" t="str">
        <f>MID(TableQR[[#This Row],[QR CODES]],4,13)</f>
        <v/>
      </c>
      <c r="C2328" s="2" t="str">
        <f>IFERROR(VLOOKUP(TableQR[[#This Row],[BARCODES]],ILACLISTE[#All],2,0),"")</f>
        <v/>
      </c>
      <c r="D2328" s="2">
        <f t="shared" si="36"/>
        <v>0</v>
      </c>
      <c r="E2328" s="14" t="str">
        <f>IFERROR(GIZLI!G2323,"")</f>
        <v/>
      </c>
    </row>
    <row r="2329" spans="2:5" x14ac:dyDescent="0.3">
      <c r="B2329" s="2" t="str">
        <f>MID(TableQR[[#This Row],[QR CODES]],4,13)</f>
        <v/>
      </c>
      <c r="C2329" s="2" t="str">
        <f>IFERROR(VLOOKUP(TableQR[[#This Row],[BARCODES]],ILACLISTE[#All],2,0),"")</f>
        <v/>
      </c>
      <c r="D2329" s="2">
        <f t="shared" si="36"/>
        <v>0</v>
      </c>
      <c r="E2329" s="14" t="str">
        <f>IFERROR(GIZLI!G2324,"")</f>
        <v/>
      </c>
    </row>
    <row r="2330" spans="2:5" x14ac:dyDescent="0.3">
      <c r="B2330" s="2" t="str">
        <f>MID(TableQR[[#This Row],[QR CODES]],4,13)</f>
        <v/>
      </c>
      <c r="C2330" s="2" t="str">
        <f>IFERROR(VLOOKUP(TableQR[[#This Row],[BARCODES]],ILACLISTE[#All],2,0),"")</f>
        <v/>
      </c>
      <c r="D2330" s="2">
        <f t="shared" si="36"/>
        <v>0</v>
      </c>
      <c r="E2330" s="14" t="str">
        <f>IFERROR(GIZLI!G2325,"")</f>
        <v/>
      </c>
    </row>
    <row r="2331" spans="2:5" x14ac:dyDescent="0.3">
      <c r="B2331" s="2" t="str">
        <f>MID(TableQR[[#This Row],[QR CODES]],4,13)</f>
        <v/>
      </c>
      <c r="C2331" s="2" t="str">
        <f>IFERROR(VLOOKUP(TableQR[[#This Row],[BARCODES]],ILACLISTE[#All],2,0),"")</f>
        <v/>
      </c>
      <c r="D2331" s="2">
        <f t="shared" si="36"/>
        <v>0</v>
      </c>
      <c r="E2331" s="14" t="str">
        <f>IFERROR(GIZLI!G2326,"")</f>
        <v/>
      </c>
    </row>
    <row r="2332" spans="2:5" x14ac:dyDescent="0.3">
      <c r="B2332" s="2" t="str">
        <f>MID(TableQR[[#This Row],[QR CODES]],4,13)</f>
        <v/>
      </c>
      <c r="C2332" s="2" t="str">
        <f>IFERROR(VLOOKUP(TableQR[[#This Row],[BARCODES]],ILACLISTE[#All],2,0),"")</f>
        <v/>
      </c>
      <c r="D2332" s="2">
        <f t="shared" si="36"/>
        <v>0</v>
      </c>
      <c r="E2332" s="14" t="str">
        <f>IFERROR(GIZLI!G2327,"")</f>
        <v/>
      </c>
    </row>
    <row r="2333" spans="2:5" x14ac:dyDescent="0.3">
      <c r="B2333" s="2" t="str">
        <f>MID(TableQR[[#This Row],[QR CODES]],4,13)</f>
        <v/>
      </c>
      <c r="C2333" s="2" t="str">
        <f>IFERROR(VLOOKUP(TableQR[[#This Row],[BARCODES]],ILACLISTE[#All],2,0),"")</f>
        <v/>
      </c>
      <c r="D2333" s="2">
        <f t="shared" si="36"/>
        <v>0</v>
      </c>
      <c r="E2333" s="14" t="str">
        <f>IFERROR(GIZLI!G2328,"")</f>
        <v/>
      </c>
    </row>
    <row r="2334" spans="2:5" x14ac:dyDescent="0.3">
      <c r="B2334" s="2" t="str">
        <f>MID(TableQR[[#This Row],[QR CODES]],4,13)</f>
        <v/>
      </c>
      <c r="C2334" s="2" t="str">
        <f>IFERROR(VLOOKUP(TableQR[[#This Row],[BARCODES]],ILACLISTE[#All],2,0),"")</f>
        <v/>
      </c>
      <c r="D2334" s="2">
        <f t="shared" si="36"/>
        <v>0</v>
      </c>
      <c r="E2334" s="14" t="str">
        <f>IFERROR(GIZLI!G2329,"")</f>
        <v/>
      </c>
    </row>
    <row r="2335" spans="2:5" x14ac:dyDescent="0.3">
      <c r="B2335" s="2" t="str">
        <f>MID(TableQR[[#This Row],[QR CODES]],4,13)</f>
        <v/>
      </c>
      <c r="C2335" s="2" t="str">
        <f>IFERROR(VLOOKUP(TableQR[[#This Row],[BARCODES]],ILACLISTE[#All],2,0),"")</f>
        <v/>
      </c>
      <c r="D2335" s="2">
        <f t="shared" si="36"/>
        <v>0</v>
      </c>
      <c r="E2335" s="14" t="str">
        <f>IFERROR(GIZLI!G2330,"")</f>
        <v/>
      </c>
    </row>
    <row r="2336" spans="2:5" x14ac:dyDescent="0.3">
      <c r="B2336" s="2" t="str">
        <f>MID(TableQR[[#This Row],[QR CODES]],4,13)</f>
        <v/>
      </c>
      <c r="C2336" s="2" t="str">
        <f>IFERROR(VLOOKUP(TableQR[[#This Row],[BARCODES]],ILACLISTE[#All],2,0),"")</f>
        <v/>
      </c>
      <c r="D2336" s="2">
        <f t="shared" si="36"/>
        <v>0</v>
      </c>
      <c r="E2336" s="14" t="str">
        <f>IFERROR(GIZLI!G2331,"")</f>
        <v/>
      </c>
    </row>
    <row r="2337" spans="2:5" x14ac:dyDescent="0.3">
      <c r="B2337" s="2" t="str">
        <f>MID(TableQR[[#This Row],[QR CODES]],4,13)</f>
        <v/>
      </c>
      <c r="C2337" s="2" t="str">
        <f>IFERROR(VLOOKUP(TableQR[[#This Row],[BARCODES]],ILACLISTE[#All],2,0),"")</f>
        <v/>
      </c>
      <c r="D2337" s="2">
        <f t="shared" si="36"/>
        <v>0</v>
      </c>
      <c r="E2337" s="14" t="str">
        <f>IFERROR(GIZLI!G2332,"")</f>
        <v/>
      </c>
    </row>
    <row r="2338" spans="2:5" x14ac:dyDescent="0.3">
      <c r="B2338" s="2" t="str">
        <f>MID(TableQR[[#This Row],[QR CODES]],4,13)</f>
        <v/>
      </c>
      <c r="C2338" s="2" t="str">
        <f>IFERROR(VLOOKUP(TableQR[[#This Row],[BARCODES]],ILACLISTE[#All],2,0),"")</f>
        <v/>
      </c>
      <c r="D2338" s="2">
        <f t="shared" si="36"/>
        <v>0</v>
      </c>
      <c r="E2338" s="14" t="str">
        <f>IFERROR(GIZLI!G2333,"")</f>
        <v/>
      </c>
    </row>
    <row r="2339" spans="2:5" x14ac:dyDescent="0.3">
      <c r="B2339" s="2" t="str">
        <f>MID(TableQR[[#This Row],[QR CODES]],4,13)</f>
        <v/>
      </c>
      <c r="C2339" s="2" t="str">
        <f>IFERROR(VLOOKUP(TableQR[[#This Row],[BARCODES]],ILACLISTE[#All],2,0),"")</f>
        <v/>
      </c>
      <c r="D2339" s="2">
        <f t="shared" si="36"/>
        <v>0</v>
      </c>
      <c r="E2339" s="14" t="str">
        <f>IFERROR(GIZLI!G2334,"")</f>
        <v/>
      </c>
    </row>
    <row r="2340" spans="2:5" x14ac:dyDescent="0.3">
      <c r="B2340" s="2" t="str">
        <f>MID(TableQR[[#This Row],[QR CODES]],4,13)</f>
        <v/>
      </c>
      <c r="C2340" s="2" t="str">
        <f>IFERROR(VLOOKUP(TableQR[[#This Row],[BARCODES]],ILACLISTE[#All],2,0),"")</f>
        <v/>
      </c>
      <c r="D2340" s="2">
        <f t="shared" si="36"/>
        <v>0</v>
      </c>
      <c r="E2340" s="14" t="str">
        <f>IFERROR(GIZLI!G2335,"")</f>
        <v/>
      </c>
    </row>
    <row r="2341" spans="2:5" x14ac:dyDescent="0.3">
      <c r="B2341" s="2" t="str">
        <f>MID(TableQR[[#This Row],[QR CODES]],4,13)</f>
        <v/>
      </c>
      <c r="C2341" s="2" t="str">
        <f>IFERROR(VLOOKUP(TableQR[[#This Row],[BARCODES]],ILACLISTE[#All],2,0),"")</f>
        <v/>
      </c>
      <c r="D2341" s="2">
        <f t="shared" si="36"/>
        <v>0</v>
      </c>
      <c r="E2341" s="14" t="str">
        <f>IFERROR(GIZLI!G2336,"")</f>
        <v/>
      </c>
    </row>
    <row r="2342" spans="2:5" x14ac:dyDescent="0.3">
      <c r="B2342" s="2" t="str">
        <f>MID(TableQR[[#This Row],[QR CODES]],4,13)</f>
        <v/>
      </c>
      <c r="C2342" s="2" t="str">
        <f>IFERROR(VLOOKUP(TableQR[[#This Row],[BARCODES]],ILACLISTE[#All],2,0),"")</f>
        <v/>
      </c>
      <c r="D2342" s="2">
        <f t="shared" si="36"/>
        <v>0</v>
      </c>
      <c r="E2342" s="14" t="str">
        <f>IFERROR(GIZLI!G2337,"")</f>
        <v/>
      </c>
    </row>
    <row r="2343" spans="2:5" x14ac:dyDescent="0.3">
      <c r="B2343" s="2" t="str">
        <f>MID(TableQR[[#This Row],[QR CODES]],4,13)</f>
        <v/>
      </c>
      <c r="C2343" s="2" t="str">
        <f>IFERROR(VLOOKUP(TableQR[[#This Row],[BARCODES]],ILACLISTE[#All],2,0),"")</f>
        <v/>
      </c>
      <c r="D2343" s="2">
        <f t="shared" si="36"/>
        <v>0</v>
      </c>
      <c r="E2343" s="14" t="str">
        <f>IFERROR(GIZLI!G2338,"")</f>
        <v/>
      </c>
    </row>
    <row r="2344" spans="2:5" x14ac:dyDescent="0.3">
      <c r="B2344" s="2" t="str">
        <f>MID(TableQR[[#This Row],[QR CODES]],4,13)</f>
        <v/>
      </c>
      <c r="C2344" s="2" t="str">
        <f>IFERROR(VLOOKUP(TableQR[[#This Row],[BARCODES]],ILACLISTE[#All],2,0),"")</f>
        <v/>
      </c>
      <c r="D2344" s="2">
        <f t="shared" si="36"/>
        <v>0</v>
      </c>
      <c r="E2344" s="14" t="str">
        <f>IFERROR(GIZLI!G2339,"")</f>
        <v/>
      </c>
    </row>
    <row r="2345" spans="2:5" x14ac:dyDescent="0.3">
      <c r="B2345" s="2" t="str">
        <f>MID(TableQR[[#This Row],[QR CODES]],4,13)</f>
        <v/>
      </c>
      <c r="C2345" s="2" t="str">
        <f>IFERROR(VLOOKUP(TableQR[[#This Row],[BARCODES]],ILACLISTE[#All],2,0),"")</f>
        <v/>
      </c>
      <c r="D2345" s="2">
        <f t="shared" si="36"/>
        <v>0</v>
      </c>
      <c r="E2345" s="14" t="str">
        <f>IFERROR(GIZLI!G2340,"")</f>
        <v/>
      </c>
    </row>
    <row r="2346" spans="2:5" x14ac:dyDescent="0.3">
      <c r="B2346" s="2" t="str">
        <f>MID(TableQR[[#This Row],[QR CODES]],4,13)</f>
        <v/>
      </c>
      <c r="C2346" s="2" t="str">
        <f>IFERROR(VLOOKUP(TableQR[[#This Row],[BARCODES]],ILACLISTE[#All],2,0),"")</f>
        <v/>
      </c>
      <c r="D2346" s="2">
        <f t="shared" si="36"/>
        <v>0</v>
      </c>
      <c r="E2346" s="14" t="str">
        <f>IFERROR(GIZLI!G2341,"")</f>
        <v/>
      </c>
    </row>
    <row r="2347" spans="2:5" x14ac:dyDescent="0.3">
      <c r="B2347" s="2" t="str">
        <f>MID(TableQR[[#This Row],[QR CODES]],4,13)</f>
        <v/>
      </c>
      <c r="C2347" s="2" t="str">
        <f>IFERROR(VLOOKUP(TableQR[[#This Row],[BARCODES]],ILACLISTE[#All],2,0),"")</f>
        <v/>
      </c>
      <c r="D2347" s="2">
        <f t="shared" si="36"/>
        <v>0</v>
      </c>
      <c r="E2347" s="14" t="str">
        <f>IFERROR(GIZLI!G2342,"")</f>
        <v/>
      </c>
    </row>
    <row r="2348" spans="2:5" x14ac:dyDescent="0.3">
      <c r="B2348" s="2" t="str">
        <f>MID(TableQR[[#This Row],[QR CODES]],4,13)</f>
        <v/>
      </c>
      <c r="C2348" s="2" t="str">
        <f>IFERROR(VLOOKUP(TableQR[[#This Row],[BARCODES]],ILACLISTE[#All],2,0),"")</f>
        <v/>
      </c>
      <c r="D2348" s="2">
        <f t="shared" si="36"/>
        <v>0</v>
      </c>
      <c r="E2348" s="14" t="str">
        <f>IFERROR(GIZLI!G2343,"")</f>
        <v/>
      </c>
    </row>
    <row r="2349" spans="2:5" x14ac:dyDescent="0.3">
      <c r="B2349" s="2" t="str">
        <f>MID(TableQR[[#This Row],[QR CODES]],4,13)</f>
        <v/>
      </c>
      <c r="C2349" s="2" t="str">
        <f>IFERROR(VLOOKUP(TableQR[[#This Row],[BARCODES]],ILACLISTE[#All],2,0),"")</f>
        <v/>
      </c>
      <c r="D2349" s="2">
        <f t="shared" si="36"/>
        <v>0</v>
      </c>
      <c r="E2349" s="14" t="str">
        <f>IFERROR(GIZLI!G2344,"")</f>
        <v/>
      </c>
    </row>
    <row r="2350" spans="2:5" x14ac:dyDescent="0.3">
      <c r="B2350" s="2" t="str">
        <f>MID(TableQR[[#This Row],[QR CODES]],4,13)</f>
        <v/>
      </c>
      <c r="C2350" s="2" t="str">
        <f>IFERROR(VLOOKUP(TableQR[[#This Row],[BARCODES]],ILACLISTE[#All],2,0),"")</f>
        <v/>
      </c>
      <c r="D2350" s="2">
        <f t="shared" si="36"/>
        <v>0</v>
      </c>
      <c r="E2350" s="14" t="str">
        <f>IFERROR(GIZLI!G2345,"")</f>
        <v/>
      </c>
    </row>
    <row r="2351" spans="2:5" x14ac:dyDescent="0.3">
      <c r="B2351" s="2" t="str">
        <f>MID(TableQR[[#This Row],[QR CODES]],4,13)</f>
        <v/>
      </c>
      <c r="C2351" s="2" t="str">
        <f>IFERROR(VLOOKUP(TableQR[[#This Row],[BARCODES]],ILACLISTE[#All],2,0),"")</f>
        <v/>
      </c>
      <c r="D2351" s="2">
        <f t="shared" si="36"/>
        <v>0</v>
      </c>
      <c r="E2351" s="14" t="str">
        <f>IFERROR(GIZLI!G2346,"")</f>
        <v/>
      </c>
    </row>
    <row r="2352" spans="2:5" x14ac:dyDescent="0.3">
      <c r="B2352" s="2" t="str">
        <f>MID(TableQR[[#This Row],[QR CODES]],4,13)</f>
        <v/>
      </c>
      <c r="C2352" s="2" t="str">
        <f>IFERROR(VLOOKUP(TableQR[[#This Row],[BARCODES]],ILACLISTE[#All],2,0),"")</f>
        <v/>
      </c>
      <c r="D2352" s="2">
        <f t="shared" si="36"/>
        <v>0</v>
      </c>
      <c r="E2352" s="14" t="str">
        <f>IFERROR(GIZLI!G2347,"")</f>
        <v/>
      </c>
    </row>
    <row r="2353" spans="2:5" x14ac:dyDescent="0.3">
      <c r="B2353" s="2" t="str">
        <f>MID(TableQR[[#This Row],[QR CODES]],4,13)</f>
        <v/>
      </c>
      <c r="C2353" s="2" t="str">
        <f>IFERROR(VLOOKUP(TableQR[[#This Row],[BARCODES]],ILACLISTE[#All],2,0),"")</f>
        <v/>
      </c>
      <c r="D2353" s="2">
        <f t="shared" si="36"/>
        <v>0</v>
      </c>
      <c r="E2353" s="14" t="str">
        <f>IFERROR(GIZLI!G2348,"")</f>
        <v/>
      </c>
    </row>
    <row r="2354" spans="2:5" x14ac:dyDescent="0.3">
      <c r="B2354" s="2" t="str">
        <f>MID(TableQR[[#This Row],[QR CODES]],4,13)</f>
        <v/>
      </c>
      <c r="C2354" s="2" t="str">
        <f>IFERROR(VLOOKUP(TableQR[[#This Row],[BARCODES]],ILACLISTE[#All],2,0),"")</f>
        <v/>
      </c>
      <c r="D2354" s="2">
        <f t="shared" si="36"/>
        <v>0</v>
      </c>
      <c r="E2354" s="14" t="str">
        <f>IFERROR(GIZLI!G2349,"")</f>
        <v/>
      </c>
    </row>
    <row r="2355" spans="2:5" x14ac:dyDescent="0.3">
      <c r="B2355" s="2" t="str">
        <f>MID(TableQR[[#This Row],[QR CODES]],4,13)</f>
        <v/>
      </c>
      <c r="C2355" s="2" t="str">
        <f>IFERROR(VLOOKUP(TableQR[[#This Row],[BARCODES]],ILACLISTE[#All],2,0),"")</f>
        <v/>
      </c>
      <c r="D2355" s="2">
        <f t="shared" si="36"/>
        <v>0</v>
      </c>
      <c r="E2355" s="14" t="str">
        <f>IFERROR(GIZLI!G2350,"")</f>
        <v/>
      </c>
    </row>
    <row r="2356" spans="2:5" x14ac:dyDescent="0.3">
      <c r="B2356" s="2" t="str">
        <f>MID(TableQR[[#This Row],[QR CODES]],4,13)</f>
        <v/>
      </c>
      <c r="C2356" s="2" t="str">
        <f>IFERROR(VLOOKUP(TableQR[[#This Row],[BARCODES]],ILACLISTE[#All],2,0),"")</f>
        <v/>
      </c>
      <c r="D2356" s="2">
        <f t="shared" si="36"/>
        <v>0</v>
      </c>
      <c r="E2356" s="14" t="str">
        <f>IFERROR(GIZLI!G2351,"")</f>
        <v/>
      </c>
    </row>
    <row r="2357" spans="2:5" x14ac:dyDescent="0.3">
      <c r="B2357" s="2" t="str">
        <f>MID(TableQR[[#This Row],[QR CODES]],4,13)</f>
        <v/>
      </c>
      <c r="C2357" s="2" t="str">
        <f>IFERROR(VLOOKUP(TableQR[[#This Row],[BARCODES]],ILACLISTE[#All],2,0),"")</f>
        <v/>
      </c>
      <c r="D2357" s="2">
        <f t="shared" si="36"/>
        <v>0</v>
      </c>
      <c r="E2357" s="14" t="str">
        <f>IFERROR(GIZLI!G2352,"")</f>
        <v/>
      </c>
    </row>
    <row r="2358" spans="2:5" x14ac:dyDescent="0.3">
      <c r="B2358" s="2" t="str">
        <f>MID(TableQR[[#This Row],[QR CODES]],4,13)</f>
        <v/>
      </c>
      <c r="C2358" s="2" t="str">
        <f>IFERROR(VLOOKUP(TableQR[[#This Row],[BARCODES]],ILACLISTE[#All],2,0),"")</f>
        <v/>
      </c>
      <c r="D2358" s="2">
        <f t="shared" si="36"/>
        <v>0</v>
      </c>
      <c r="E2358" s="14" t="str">
        <f>IFERROR(GIZLI!G2353,"")</f>
        <v/>
      </c>
    </row>
    <row r="2359" spans="2:5" x14ac:dyDescent="0.3">
      <c r="B2359" s="2" t="str">
        <f>MID(TableQR[[#This Row],[QR CODES]],4,13)</f>
        <v/>
      </c>
      <c r="C2359" s="2" t="str">
        <f>IFERROR(VLOOKUP(TableQR[[#This Row],[BARCODES]],ILACLISTE[#All],2,0),"")</f>
        <v/>
      </c>
      <c r="D2359" s="2">
        <f t="shared" si="36"/>
        <v>0</v>
      </c>
      <c r="E2359" s="14" t="str">
        <f>IFERROR(GIZLI!G2354,"")</f>
        <v/>
      </c>
    </row>
    <row r="2360" spans="2:5" x14ac:dyDescent="0.3">
      <c r="B2360" s="2" t="str">
        <f>MID(TableQR[[#This Row],[QR CODES]],4,13)</f>
        <v/>
      </c>
      <c r="C2360" s="2" t="str">
        <f>IFERROR(VLOOKUP(TableQR[[#This Row],[BARCODES]],ILACLISTE[#All],2,0),"")</f>
        <v/>
      </c>
      <c r="D2360" s="2">
        <f t="shared" si="36"/>
        <v>0</v>
      </c>
      <c r="E2360" s="14" t="str">
        <f>IFERROR(GIZLI!G2355,"")</f>
        <v/>
      </c>
    </row>
    <row r="2361" spans="2:5" x14ac:dyDescent="0.3">
      <c r="B2361" s="2" t="str">
        <f>MID(TableQR[[#This Row],[QR CODES]],4,13)</f>
        <v/>
      </c>
      <c r="C2361" s="2" t="str">
        <f>IFERROR(VLOOKUP(TableQR[[#This Row],[BARCODES]],ILACLISTE[#All],2,0),"")</f>
        <v/>
      </c>
      <c r="D2361" s="2">
        <f t="shared" si="36"/>
        <v>0</v>
      </c>
      <c r="E2361" s="14" t="str">
        <f>IFERROR(GIZLI!G2356,"")</f>
        <v/>
      </c>
    </row>
    <row r="2362" spans="2:5" x14ac:dyDescent="0.3">
      <c r="B2362" s="2" t="str">
        <f>MID(TableQR[[#This Row],[QR CODES]],4,13)</f>
        <v/>
      </c>
      <c r="C2362" s="2" t="str">
        <f>IFERROR(VLOOKUP(TableQR[[#This Row],[BARCODES]],ILACLISTE[#All],2,0),"")</f>
        <v/>
      </c>
      <c r="D2362" s="2">
        <f t="shared" si="36"/>
        <v>0</v>
      </c>
      <c r="E2362" s="14" t="str">
        <f>IFERROR(GIZLI!G2357,"")</f>
        <v/>
      </c>
    </row>
    <row r="2363" spans="2:5" x14ac:dyDescent="0.3">
      <c r="B2363" s="2" t="str">
        <f>MID(TableQR[[#This Row],[QR CODES]],4,13)</f>
        <v/>
      </c>
      <c r="C2363" s="2" t="str">
        <f>IFERROR(VLOOKUP(TableQR[[#This Row],[BARCODES]],ILACLISTE[#All],2,0),"")</f>
        <v/>
      </c>
      <c r="D2363" s="2">
        <f t="shared" si="36"/>
        <v>0</v>
      </c>
      <c r="E2363" s="14" t="str">
        <f>IFERROR(GIZLI!G2358,"")</f>
        <v/>
      </c>
    </row>
    <row r="2364" spans="2:5" x14ac:dyDescent="0.3">
      <c r="B2364" s="2" t="str">
        <f>MID(TableQR[[#This Row],[QR CODES]],4,13)</f>
        <v/>
      </c>
      <c r="C2364" s="2" t="str">
        <f>IFERROR(VLOOKUP(TableQR[[#This Row],[BARCODES]],ILACLISTE[#All],2,0),"")</f>
        <v/>
      </c>
      <c r="D2364" s="2">
        <f t="shared" si="36"/>
        <v>0</v>
      </c>
      <c r="E2364" s="14" t="str">
        <f>IFERROR(GIZLI!G2359,"")</f>
        <v/>
      </c>
    </row>
    <row r="2365" spans="2:5" x14ac:dyDescent="0.3">
      <c r="B2365" s="2" t="str">
        <f>MID(TableQR[[#This Row],[QR CODES]],4,13)</f>
        <v/>
      </c>
      <c r="C2365" s="2" t="str">
        <f>IFERROR(VLOOKUP(TableQR[[#This Row],[BARCODES]],ILACLISTE[#All],2,0),"")</f>
        <v/>
      </c>
      <c r="D2365" s="2">
        <f t="shared" si="36"/>
        <v>0</v>
      </c>
      <c r="E2365" s="14" t="str">
        <f>IFERROR(GIZLI!G2360,"")</f>
        <v/>
      </c>
    </row>
    <row r="2366" spans="2:5" x14ac:dyDescent="0.3">
      <c r="B2366" s="2" t="str">
        <f>MID(TableQR[[#This Row],[QR CODES]],4,13)</f>
        <v/>
      </c>
      <c r="C2366" s="2" t="str">
        <f>IFERROR(VLOOKUP(TableQR[[#This Row],[BARCODES]],ILACLISTE[#All],2,0),"")</f>
        <v/>
      </c>
      <c r="D2366" s="2">
        <f t="shared" si="36"/>
        <v>0</v>
      </c>
      <c r="E2366" s="14" t="str">
        <f>IFERROR(GIZLI!G2361,"")</f>
        <v/>
      </c>
    </row>
    <row r="2367" spans="2:5" x14ac:dyDescent="0.3">
      <c r="B2367" s="2" t="str">
        <f>MID(TableQR[[#This Row],[QR CODES]],4,13)</f>
        <v/>
      </c>
      <c r="C2367" s="2" t="str">
        <f>IFERROR(VLOOKUP(TableQR[[#This Row],[BARCODES]],ILACLISTE[#All],2,0),"")</f>
        <v/>
      </c>
      <c r="D2367" s="2">
        <f t="shared" si="36"/>
        <v>0</v>
      </c>
      <c r="E2367" s="14" t="str">
        <f>IFERROR(GIZLI!G2362,"")</f>
        <v/>
      </c>
    </row>
    <row r="2368" spans="2:5" x14ac:dyDescent="0.3">
      <c r="B2368" s="2" t="str">
        <f>MID(TableQR[[#This Row],[QR CODES]],4,13)</f>
        <v/>
      </c>
      <c r="C2368" s="2" t="str">
        <f>IFERROR(VLOOKUP(TableQR[[#This Row],[BARCODES]],ILACLISTE[#All],2,0),"")</f>
        <v/>
      </c>
      <c r="D2368" s="2">
        <f t="shared" si="36"/>
        <v>0</v>
      </c>
      <c r="E2368" s="14" t="str">
        <f>IFERROR(GIZLI!G2363,"")</f>
        <v/>
      </c>
    </row>
    <row r="2369" spans="2:5" x14ac:dyDescent="0.3">
      <c r="B2369" s="2" t="str">
        <f>MID(TableQR[[#This Row],[QR CODES]],4,13)</f>
        <v/>
      </c>
      <c r="C2369" s="2" t="str">
        <f>IFERROR(VLOOKUP(TableQR[[#This Row],[BARCODES]],ILACLISTE[#All],2,0),"")</f>
        <v/>
      </c>
      <c r="D2369" s="2">
        <f t="shared" si="36"/>
        <v>0</v>
      </c>
      <c r="E2369" s="14" t="str">
        <f>IFERROR(GIZLI!G2364,"")</f>
        <v/>
      </c>
    </row>
    <row r="2370" spans="2:5" x14ac:dyDescent="0.3">
      <c r="B2370" s="2" t="str">
        <f>MID(TableQR[[#This Row],[QR CODES]],4,13)</f>
        <v/>
      </c>
      <c r="C2370" s="2" t="str">
        <f>IFERROR(VLOOKUP(TableQR[[#This Row],[BARCODES]],ILACLISTE[#All],2,0),"")</f>
        <v/>
      </c>
      <c r="D2370" s="2">
        <f t="shared" si="36"/>
        <v>0</v>
      </c>
      <c r="E2370" s="14" t="str">
        <f>IFERROR(GIZLI!G2365,"")</f>
        <v/>
      </c>
    </row>
    <row r="2371" spans="2:5" x14ac:dyDescent="0.3">
      <c r="B2371" s="2" t="str">
        <f>MID(TableQR[[#This Row],[QR CODES]],4,13)</f>
        <v/>
      </c>
      <c r="C2371" s="2" t="str">
        <f>IFERROR(VLOOKUP(TableQR[[#This Row],[BARCODES]],ILACLISTE[#All],2,0),"")</f>
        <v/>
      </c>
      <c r="D2371" s="2">
        <f t="shared" si="36"/>
        <v>0</v>
      </c>
      <c r="E2371" s="14" t="str">
        <f>IFERROR(GIZLI!G2366,"")</f>
        <v/>
      </c>
    </row>
    <row r="2372" spans="2:5" x14ac:dyDescent="0.3">
      <c r="B2372" s="2" t="str">
        <f>MID(TableQR[[#This Row],[QR CODES]],4,13)</f>
        <v/>
      </c>
      <c r="C2372" s="2" t="str">
        <f>IFERROR(VLOOKUP(TableQR[[#This Row],[BARCODES]],ILACLISTE[#All],2,0),"")</f>
        <v/>
      </c>
      <c r="D2372" s="2">
        <f t="shared" si="36"/>
        <v>0</v>
      </c>
      <c r="E2372" s="14" t="str">
        <f>IFERROR(GIZLI!G2367,"")</f>
        <v/>
      </c>
    </row>
    <row r="2373" spans="2:5" x14ac:dyDescent="0.3">
      <c r="B2373" s="2" t="str">
        <f>MID(TableQR[[#This Row],[QR CODES]],4,13)</f>
        <v/>
      </c>
      <c r="C2373" s="2" t="str">
        <f>IFERROR(VLOOKUP(TableQR[[#This Row],[BARCODES]],ILACLISTE[#All],2,0),"")</f>
        <v/>
      </c>
      <c r="D2373" s="2">
        <f t="shared" si="36"/>
        <v>0</v>
      </c>
      <c r="E2373" s="14" t="str">
        <f>IFERROR(GIZLI!G2368,"")</f>
        <v/>
      </c>
    </row>
    <row r="2374" spans="2:5" x14ac:dyDescent="0.3">
      <c r="B2374" s="2" t="str">
        <f>MID(TableQR[[#This Row],[QR CODES]],4,13)</f>
        <v/>
      </c>
      <c r="C2374" s="2" t="str">
        <f>IFERROR(VLOOKUP(TableQR[[#This Row],[BARCODES]],ILACLISTE[#All],2,0),"")</f>
        <v/>
      </c>
      <c r="D2374" s="2">
        <f t="shared" si="36"/>
        <v>0</v>
      </c>
      <c r="E2374" s="14" t="str">
        <f>IFERROR(GIZLI!G2369,"")</f>
        <v/>
      </c>
    </row>
    <row r="2375" spans="2:5" x14ac:dyDescent="0.3">
      <c r="B2375" s="2" t="str">
        <f>MID(TableQR[[#This Row],[QR CODES]],4,13)</f>
        <v/>
      </c>
      <c r="C2375" s="2" t="str">
        <f>IFERROR(VLOOKUP(TableQR[[#This Row],[BARCODES]],ILACLISTE[#All],2,0),"")</f>
        <v/>
      </c>
      <c r="D2375" s="2">
        <f t="shared" si="36"/>
        <v>0</v>
      </c>
      <c r="E2375" s="14" t="str">
        <f>IFERROR(GIZLI!G2370,"")</f>
        <v/>
      </c>
    </row>
    <row r="2376" spans="2:5" x14ac:dyDescent="0.3">
      <c r="B2376" s="2" t="str">
        <f>MID(TableQR[[#This Row],[QR CODES]],4,13)</f>
        <v/>
      </c>
      <c r="C2376" s="2" t="str">
        <f>IFERROR(VLOOKUP(TableQR[[#This Row],[BARCODES]],ILACLISTE[#All],2,0),"")</f>
        <v/>
      </c>
      <c r="D2376" s="2">
        <f t="shared" ref="D2376:D2439" si="37">COUNTIF(B2376:B6369,IF(B2376="",66666,B2376))</f>
        <v>0</v>
      </c>
      <c r="E2376" s="14" t="str">
        <f>IFERROR(GIZLI!G2371,"")</f>
        <v/>
      </c>
    </row>
    <row r="2377" spans="2:5" x14ac:dyDescent="0.3">
      <c r="B2377" s="2" t="str">
        <f>MID(TableQR[[#This Row],[QR CODES]],4,13)</f>
        <v/>
      </c>
      <c r="C2377" s="2" t="str">
        <f>IFERROR(VLOOKUP(TableQR[[#This Row],[BARCODES]],ILACLISTE[#All],2,0),"")</f>
        <v/>
      </c>
      <c r="D2377" s="2">
        <f t="shared" si="37"/>
        <v>0</v>
      </c>
      <c r="E2377" s="14" t="str">
        <f>IFERROR(GIZLI!G2372,"")</f>
        <v/>
      </c>
    </row>
    <row r="2378" spans="2:5" x14ac:dyDescent="0.3">
      <c r="B2378" s="2" t="str">
        <f>MID(TableQR[[#This Row],[QR CODES]],4,13)</f>
        <v/>
      </c>
      <c r="C2378" s="2" t="str">
        <f>IFERROR(VLOOKUP(TableQR[[#This Row],[BARCODES]],ILACLISTE[#All],2,0),"")</f>
        <v/>
      </c>
      <c r="D2378" s="2">
        <f t="shared" si="37"/>
        <v>0</v>
      </c>
      <c r="E2378" s="14" t="str">
        <f>IFERROR(GIZLI!G2373,"")</f>
        <v/>
      </c>
    </row>
    <row r="2379" spans="2:5" x14ac:dyDescent="0.3">
      <c r="B2379" s="2" t="str">
        <f>MID(TableQR[[#This Row],[QR CODES]],4,13)</f>
        <v/>
      </c>
      <c r="C2379" s="2" t="str">
        <f>IFERROR(VLOOKUP(TableQR[[#This Row],[BARCODES]],ILACLISTE[#All],2,0),"")</f>
        <v/>
      </c>
      <c r="D2379" s="2">
        <f t="shared" si="37"/>
        <v>0</v>
      </c>
      <c r="E2379" s="14" t="str">
        <f>IFERROR(GIZLI!G2374,"")</f>
        <v/>
      </c>
    </row>
    <row r="2380" spans="2:5" x14ac:dyDescent="0.3">
      <c r="B2380" s="2" t="str">
        <f>MID(TableQR[[#This Row],[QR CODES]],4,13)</f>
        <v/>
      </c>
      <c r="C2380" s="2" t="str">
        <f>IFERROR(VLOOKUP(TableQR[[#This Row],[BARCODES]],ILACLISTE[#All],2,0),"")</f>
        <v/>
      </c>
      <c r="D2380" s="2">
        <f t="shared" si="37"/>
        <v>0</v>
      </c>
      <c r="E2380" s="14" t="str">
        <f>IFERROR(GIZLI!G2375,"")</f>
        <v/>
      </c>
    </row>
    <row r="2381" spans="2:5" x14ac:dyDescent="0.3">
      <c r="B2381" s="2" t="str">
        <f>MID(TableQR[[#This Row],[QR CODES]],4,13)</f>
        <v/>
      </c>
      <c r="C2381" s="2" t="str">
        <f>IFERROR(VLOOKUP(TableQR[[#This Row],[BARCODES]],ILACLISTE[#All],2,0),"")</f>
        <v/>
      </c>
      <c r="D2381" s="2">
        <f t="shared" si="37"/>
        <v>0</v>
      </c>
      <c r="E2381" s="14" t="str">
        <f>IFERROR(GIZLI!G2376,"")</f>
        <v/>
      </c>
    </row>
    <row r="2382" spans="2:5" x14ac:dyDescent="0.3">
      <c r="B2382" s="2" t="str">
        <f>MID(TableQR[[#This Row],[QR CODES]],4,13)</f>
        <v/>
      </c>
      <c r="C2382" s="2" t="str">
        <f>IFERROR(VLOOKUP(TableQR[[#This Row],[BARCODES]],ILACLISTE[#All],2,0),"")</f>
        <v/>
      </c>
      <c r="D2382" s="2">
        <f t="shared" si="37"/>
        <v>0</v>
      </c>
      <c r="E2382" s="14" t="str">
        <f>IFERROR(GIZLI!G2377,"")</f>
        <v/>
      </c>
    </row>
    <row r="2383" spans="2:5" x14ac:dyDescent="0.3">
      <c r="B2383" s="2" t="str">
        <f>MID(TableQR[[#This Row],[QR CODES]],4,13)</f>
        <v/>
      </c>
      <c r="C2383" s="2" t="str">
        <f>IFERROR(VLOOKUP(TableQR[[#This Row],[BARCODES]],ILACLISTE[#All],2,0),"")</f>
        <v/>
      </c>
      <c r="D2383" s="2">
        <f t="shared" si="37"/>
        <v>0</v>
      </c>
      <c r="E2383" s="14" t="str">
        <f>IFERROR(GIZLI!G2378,"")</f>
        <v/>
      </c>
    </row>
    <row r="2384" spans="2:5" x14ac:dyDescent="0.3">
      <c r="B2384" s="2" t="str">
        <f>MID(TableQR[[#This Row],[QR CODES]],4,13)</f>
        <v/>
      </c>
      <c r="C2384" s="2" t="str">
        <f>IFERROR(VLOOKUP(TableQR[[#This Row],[BARCODES]],ILACLISTE[#All],2,0),"")</f>
        <v/>
      </c>
      <c r="D2384" s="2">
        <f t="shared" si="37"/>
        <v>0</v>
      </c>
      <c r="E2384" s="14" t="str">
        <f>IFERROR(GIZLI!G2379,"")</f>
        <v/>
      </c>
    </row>
    <row r="2385" spans="2:5" x14ac:dyDescent="0.3">
      <c r="B2385" s="2" t="str">
        <f>MID(TableQR[[#This Row],[QR CODES]],4,13)</f>
        <v/>
      </c>
      <c r="C2385" s="2" t="str">
        <f>IFERROR(VLOOKUP(TableQR[[#This Row],[BARCODES]],ILACLISTE[#All],2,0),"")</f>
        <v/>
      </c>
      <c r="D2385" s="2">
        <f t="shared" si="37"/>
        <v>0</v>
      </c>
      <c r="E2385" s="14" t="str">
        <f>IFERROR(GIZLI!G2380,"")</f>
        <v/>
      </c>
    </row>
    <row r="2386" spans="2:5" x14ac:dyDescent="0.3">
      <c r="B2386" s="2" t="str">
        <f>MID(TableQR[[#This Row],[QR CODES]],4,13)</f>
        <v/>
      </c>
      <c r="C2386" s="2" t="str">
        <f>IFERROR(VLOOKUP(TableQR[[#This Row],[BARCODES]],ILACLISTE[#All],2,0),"")</f>
        <v/>
      </c>
      <c r="D2386" s="2">
        <f t="shared" si="37"/>
        <v>0</v>
      </c>
      <c r="E2386" s="14" t="str">
        <f>IFERROR(GIZLI!G2381,"")</f>
        <v/>
      </c>
    </row>
    <row r="2387" spans="2:5" x14ac:dyDescent="0.3">
      <c r="B2387" s="2" t="str">
        <f>MID(TableQR[[#This Row],[QR CODES]],4,13)</f>
        <v/>
      </c>
      <c r="C2387" s="2" t="str">
        <f>IFERROR(VLOOKUP(TableQR[[#This Row],[BARCODES]],ILACLISTE[#All],2,0),"")</f>
        <v/>
      </c>
      <c r="D2387" s="2">
        <f t="shared" si="37"/>
        <v>0</v>
      </c>
      <c r="E2387" s="14" t="str">
        <f>IFERROR(GIZLI!G2382,"")</f>
        <v/>
      </c>
    </row>
    <row r="2388" spans="2:5" x14ac:dyDescent="0.3">
      <c r="B2388" s="2" t="str">
        <f>MID(TableQR[[#This Row],[QR CODES]],4,13)</f>
        <v/>
      </c>
      <c r="C2388" s="2" t="str">
        <f>IFERROR(VLOOKUP(TableQR[[#This Row],[BARCODES]],ILACLISTE[#All],2,0),"")</f>
        <v/>
      </c>
      <c r="D2388" s="2">
        <f t="shared" si="37"/>
        <v>0</v>
      </c>
      <c r="E2388" s="14" t="str">
        <f>IFERROR(GIZLI!G2383,"")</f>
        <v/>
      </c>
    </row>
    <row r="2389" spans="2:5" x14ac:dyDescent="0.3">
      <c r="B2389" s="2" t="str">
        <f>MID(TableQR[[#This Row],[QR CODES]],4,13)</f>
        <v/>
      </c>
      <c r="C2389" s="2" t="str">
        <f>IFERROR(VLOOKUP(TableQR[[#This Row],[BARCODES]],ILACLISTE[#All],2,0),"")</f>
        <v/>
      </c>
      <c r="D2389" s="2">
        <f t="shared" si="37"/>
        <v>0</v>
      </c>
      <c r="E2389" s="14" t="str">
        <f>IFERROR(GIZLI!G2384,"")</f>
        <v/>
      </c>
    </row>
    <row r="2390" spans="2:5" x14ac:dyDescent="0.3">
      <c r="B2390" s="2" t="str">
        <f>MID(TableQR[[#This Row],[QR CODES]],4,13)</f>
        <v/>
      </c>
      <c r="C2390" s="2" t="str">
        <f>IFERROR(VLOOKUP(TableQR[[#This Row],[BARCODES]],ILACLISTE[#All],2,0),"")</f>
        <v/>
      </c>
      <c r="D2390" s="2">
        <f t="shared" si="37"/>
        <v>0</v>
      </c>
      <c r="E2390" s="14" t="str">
        <f>IFERROR(GIZLI!G2385,"")</f>
        <v/>
      </c>
    </row>
    <row r="2391" spans="2:5" x14ac:dyDescent="0.3">
      <c r="B2391" s="2" t="str">
        <f>MID(TableQR[[#This Row],[QR CODES]],4,13)</f>
        <v/>
      </c>
      <c r="C2391" s="2" t="str">
        <f>IFERROR(VLOOKUP(TableQR[[#This Row],[BARCODES]],ILACLISTE[#All],2,0),"")</f>
        <v/>
      </c>
      <c r="D2391" s="2">
        <f t="shared" si="37"/>
        <v>0</v>
      </c>
      <c r="E2391" s="14" t="str">
        <f>IFERROR(GIZLI!G2386,"")</f>
        <v/>
      </c>
    </row>
    <row r="2392" spans="2:5" x14ac:dyDescent="0.3">
      <c r="B2392" s="2" t="str">
        <f>MID(TableQR[[#This Row],[QR CODES]],4,13)</f>
        <v/>
      </c>
      <c r="C2392" s="2" t="str">
        <f>IFERROR(VLOOKUP(TableQR[[#This Row],[BARCODES]],ILACLISTE[#All],2,0),"")</f>
        <v/>
      </c>
      <c r="D2392" s="2">
        <f t="shared" si="37"/>
        <v>0</v>
      </c>
      <c r="E2392" s="14" t="str">
        <f>IFERROR(GIZLI!G2387,"")</f>
        <v/>
      </c>
    </row>
    <row r="2393" spans="2:5" x14ac:dyDescent="0.3">
      <c r="B2393" s="2" t="str">
        <f>MID(TableQR[[#This Row],[QR CODES]],4,13)</f>
        <v/>
      </c>
      <c r="C2393" s="2" t="str">
        <f>IFERROR(VLOOKUP(TableQR[[#This Row],[BARCODES]],ILACLISTE[#All],2,0),"")</f>
        <v/>
      </c>
      <c r="D2393" s="2">
        <f t="shared" si="37"/>
        <v>0</v>
      </c>
      <c r="E2393" s="14" t="str">
        <f>IFERROR(GIZLI!G2388,"")</f>
        <v/>
      </c>
    </row>
    <row r="2394" spans="2:5" x14ac:dyDescent="0.3">
      <c r="B2394" s="2" t="str">
        <f>MID(TableQR[[#This Row],[QR CODES]],4,13)</f>
        <v/>
      </c>
      <c r="C2394" s="2" t="str">
        <f>IFERROR(VLOOKUP(TableQR[[#This Row],[BARCODES]],ILACLISTE[#All],2,0),"")</f>
        <v/>
      </c>
      <c r="D2394" s="2">
        <f t="shared" si="37"/>
        <v>0</v>
      </c>
      <c r="E2394" s="14" t="str">
        <f>IFERROR(GIZLI!G2389,"")</f>
        <v/>
      </c>
    </row>
    <row r="2395" spans="2:5" x14ac:dyDescent="0.3">
      <c r="B2395" s="2" t="str">
        <f>MID(TableQR[[#This Row],[QR CODES]],4,13)</f>
        <v/>
      </c>
      <c r="C2395" s="2" t="str">
        <f>IFERROR(VLOOKUP(TableQR[[#This Row],[BARCODES]],ILACLISTE[#All],2,0),"")</f>
        <v/>
      </c>
      <c r="D2395" s="2">
        <f t="shared" si="37"/>
        <v>0</v>
      </c>
      <c r="E2395" s="14" t="str">
        <f>IFERROR(GIZLI!G2390,"")</f>
        <v/>
      </c>
    </row>
    <row r="2396" spans="2:5" x14ac:dyDescent="0.3">
      <c r="B2396" s="2" t="str">
        <f>MID(TableQR[[#This Row],[QR CODES]],4,13)</f>
        <v/>
      </c>
      <c r="C2396" s="2" t="str">
        <f>IFERROR(VLOOKUP(TableQR[[#This Row],[BARCODES]],ILACLISTE[#All],2,0),"")</f>
        <v/>
      </c>
      <c r="D2396" s="2">
        <f t="shared" si="37"/>
        <v>0</v>
      </c>
      <c r="E2396" s="14" t="str">
        <f>IFERROR(GIZLI!G2391,"")</f>
        <v/>
      </c>
    </row>
    <row r="2397" spans="2:5" x14ac:dyDescent="0.3">
      <c r="B2397" s="2" t="str">
        <f>MID(TableQR[[#This Row],[QR CODES]],4,13)</f>
        <v/>
      </c>
      <c r="C2397" s="2" t="str">
        <f>IFERROR(VLOOKUP(TableQR[[#This Row],[BARCODES]],ILACLISTE[#All],2,0),"")</f>
        <v/>
      </c>
      <c r="D2397" s="2">
        <f t="shared" si="37"/>
        <v>0</v>
      </c>
      <c r="E2397" s="14" t="str">
        <f>IFERROR(GIZLI!G2392,"")</f>
        <v/>
      </c>
    </row>
    <row r="2398" spans="2:5" x14ac:dyDescent="0.3">
      <c r="B2398" s="2" t="str">
        <f>MID(TableQR[[#This Row],[QR CODES]],4,13)</f>
        <v/>
      </c>
      <c r="C2398" s="2" t="str">
        <f>IFERROR(VLOOKUP(TableQR[[#This Row],[BARCODES]],ILACLISTE[#All],2,0),"")</f>
        <v/>
      </c>
      <c r="D2398" s="2">
        <f t="shared" si="37"/>
        <v>0</v>
      </c>
      <c r="E2398" s="14" t="str">
        <f>IFERROR(GIZLI!G2393,"")</f>
        <v/>
      </c>
    </row>
    <row r="2399" spans="2:5" x14ac:dyDescent="0.3">
      <c r="B2399" s="2" t="str">
        <f>MID(TableQR[[#This Row],[QR CODES]],4,13)</f>
        <v/>
      </c>
      <c r="C2399" s="2" t="str">
        <f>IFERROR(VLOOKUP(TableQR[[#This Row],[BARCODES]],ILACLISTE[#All],2,0),"")</f>
        <v/>
      </c>
      <c r="D2399" s="2">
        <f t="shared" si="37"/>
        <v>0</v>
      </c>
      <c r="E2399" s="14" t="str">
        <f>IFERROR(GIZLI!G2394,"")</f>
        <v/>
      </c>
    </row>
    <row r="2400" spans="2:5" x14ac:dyDescent="0.3">
      <c r="B2400" s="2" t="str">
        <f>MID(TableQR[[#This Row],[QR CODES]],4,13)</f>
        <v/>
      </c>
      <c r="C2400" s="2" t="str">
        <f>IFERROR(VLOOKUP(TableQR[[#This Row],[BARCODES]],ILACLISTE[#All],2,0),"")</f>
        <v/>
      </c>
      <c r="D2400" s="2">
        <f t="shared" si="37"/>
        <v>0</v>
      </c>
      <c r="E2400" s="14" t="str">
        <f>IFERROR(GIZLI!G2395,"")</f>
        <v/>
      </c>
    </row>
    <row r="2401" spans="2:5" x14ac:dyDescent="0.3">
      <c r="B2401" s="2" t="str">
        <f>MID(TableQR[[#This Row],[QR CODES]],4,13)</f>
        <v/>
      </c>
      <c r="C2401" s="2" t="str">
        <f>IFERROR(VLOOKUP(TableQR[[#This Row],[BARCODES]],ILACLISTE[#All],2,0),"")</f>
        <v/>
      </c>
      <c r="D2401" s="2">
        <f t="shared" si="37"/>
        <v>0</v>
      </c>
      <c r="E2401" s="14" t="str">
        <f>IFERROR(GIZLI!G2396,"")</f>
        <v/>
      </c>
    </row>
    <row r="2402" spans="2:5" x14ac:dyDescent="0.3">
      <c r="B2402" s="2" t="str">
        <f>MID(TableQR[[#This Row],[QR CODES]],4,13)</f>
        <v/>
      </c>
      <c r="C2402" s="2" t="str">
        <f>IFERROR(VLOOKUP(TableQR[[#This Row],[BARCODES]],ILACLISTE[#All],2,0),"")</f>
        <v/>
      </c>
      <c r="D2402" s="2">
        <f t="shared" si="37"/>
        <v>0</v>
      </c>
      <c r="E2402" s="14" t="str">
        <f>IFERROR(GIZLI!G2397,"")</f>
        <v/>
      </c>
    </row>
    <row r="2403" spans="2:5" x14ac:dyDescent="0.3">
      <c r="B2403" s="2" t="str">
        <f>MID(TableQR[[#This Row],[QR CODES]],4,13)</f>
        <v/>
      </c>
      <c r="C2403" s="2" t="str">
        <f>IFERROR(VLOOKUP(TableQR[[#This Row],[BARCODES]],ILACLISTE[#All],2,0),"")</f>
        <v/>
      </c>
      <c r="D2403" s="2">
        <f t="shared" si="37"/>
        <v>0</v>
      </c>
      <c r="E2403" s="14" t="str">
        <f>IFERROR(GIZLI!G2398,"")</f>
        <v/>
      </c>
    </row>
    <row r="2404" spans="2:5" x14ac:dyDescent="0.3">
      <c r="B2404" s="2" t="str">
        <f>MID(TableQR[[#This Row],[QR CODES]],4,13)</f>
        <v/>
      </c>
      <c r="C2404" s="2" t="str">
        <f>IFERROR(VLOOKUP(TableQR[[#This Row],[BARCODES]],ILACLISTE[#All],2,0),"")</f>
        <v/>
      </c>
      <c r="D2404" s="2">
        <f t="shared" si="37"/>
        <v>0</v>
      </c>
      <c r="E2404" s="14" t="str">
        <f>IFERROR(GIZLI!G2399,"")</f>
        <v/>
      </c>
    </row>
    <row r="2405" spans="2:5" x14ac:dyDescent="0.3">
      <c r="B2405" s="2" t="str">
        <f>MID(TableQR[[#This Row],[QR CODES]],4,13)</f>
        <v/>
      </c>
      <c r="C2405" s="2" t="str">
        <f>IFERROR(VLOOKUP(TableQR[[#This Row],[BARCODES]],ILACLISTE[#All],2,0),"")</f>
        <v/>
      </c>
      <c r="D2405" s="2">
        <f t="shared" si="37"/>
        <v>0</v>
      </c>
      <c r="E2405" s="14" t="str">
        <f>IFERROR(GIZLI!G2400,"")</f>
        <v/>
      </c>
    </row>
    <row r="2406" spans="2:5" x14ac:dyDescent="0.3">
      <c r="B2406" s="2" t="str">
        <f>MID(TableQR[[#This Row],[QR CODES]],4,13)</f>
        <v/>
      </c>
      <c r="C2406" s="2" t="str">
        <f>IFERROR(VLOOKUP(TableQR[[#This Row],[BARCODES]],ILACLISTE[#All],2,0),"")</f>
        <v/>
      </c>
      <c r="D2406" s="2">
        <f t="shared" si="37"/>
        <v>0</v>
      </c>
      <c r="E2406" s="14" t="str">
        <f>IFERROR(GIZLI!G2401,"")</f>
        <v/>
      </c>
    </row>
    <row r="2407" spans="2:5" x14ac:dyDescent="0.3">
      <c r="B2407" s="2" t="str">
        <f>MID(TableQR[[#This Row],[QR CODES]],4,13)</f>
        <v/>
      </c>
      <c r="C2407" s="2" t="str">
        <f>IFERROR(VLOOKUP(TableQR[[#This Row],[BARCODES]],ILACLISTE[#All],2,0),"")</f>
        <v/>
      </c>
      <c r="D2407" s="2">
        <f t="shared" si="37"/>
        <v>0</v>
      </c>
      <c r="E2407" s="14" t="str">
        <f>IFERROR(GIZLI!G2402,"")</f>
        <v/>
      </c>
    </row>
    <row r="2408" spans="2:5" x14ac:dyDescent="0.3">
      <c r="B2408" s="2" t="str">
        <f>MID(TableQR[[#This Row],[QR CODES]],4,13)</f>
        <v/>
      </c>
      <c r="C2408" s="2" t="str">
        <f>IFERROR(VLOOKUP(TableQR[[#This Row],[BARCODES]],ILACLISTE[#All],2,0),"")</f>
        <v/>
      </c>
      <c r="D2408" s="2">
        <f t="shared" si="37"/>
        <v>0</v>
      </c>
      <c r="E2408" s="14" t="str">
        <f>IFERROR(GIZLI!G2403,"")</f>
        <v/>
      </c>
    </row>
    <row r="2409" spans="2:5" x14ac:dyDescent="0.3">
      <c r="B2409" s="2" t="str">
        <f>MID(TableQR[[#This Row],[QR CODES]],4,13)</f>
        <v/>
      </c>
      <c r="C2409" s="2" t="str">
        <f>IFERROR(VLOOKUP(TableQR[[#This Row],[BARCODES]],ILACLISTE[#All],2,0),"")</f>
        <v/>
      </c>
      <c r="D2409" s="2">
        <f t="shared" si="37"/>
        <v>0</v>
      </c>
      <c r="E2409" s="14" t="str">
        <f>IFERROR(GIZLI!G2404,"")</f>
        <v/>
      </c>
    </row>
    <row r="2410" spans="2:5" x14ac:dyDescent="0.3">
      <c r="B2410" s="2" t="str">
        <f>MID(TableQR[[#This Row],[QR CODES]],4,13)</f>
        <v/>
      </c>
      <c r="C2410" s="2" t="str">
        <f>IFERROR(VLOOKUP(TableQR[[#This Row],[BARCODES]],ILACLISTE[#All],2,0),"")</f>
        <v/>
      </c>
      <c r="D2410" s="2">
        <f t="shared" si="37"/>
        <v>0</v>
      </c>
      <c r="E2410" s="14" t="str">
        <f>IFERROR(GIZLI!G2405,"")</f>
        <v/>
      </c>
    </row>
    <row r="2411" spans="2:5" x14ac:dyDescent="0.3">
      <c r="B2411" s="2" t="str">
        <f>MID(TableQR[[#This Row],[QR CODES]],4,13)</f>
        <v/>
      </c>
      <c r="C2411" s="2" t="str">
        <f>IFERROR(VLOOKUP(TableQR[[#This Row],[BARCODES]],ILACLISTE[#All],2,0),"")</f>
        <v/>
      </c>
      <c r="D2411" s="2">
        <f t="shared" si="37"/>
        <v>0</v>
      </c>
      <c r="E2411" s="14" t="str">
        <f>IFERROR(GIZLI!G2406,"")</f>
        <v/>
      </c>
    </row>
    <row r="2412" spans="2:5" x14ac:dyDescent="0.3">
      <c r="B2412" s="2" t="str">
        <f>MID(TableQR[[#This Row],[QR CODES]],4,13)</f>
        <v/>
      </c>
      <c r="C2412" s="2" t="str">
        <f>IFERROR(VLOOKUP(TableQR[[#This Row],[BARCODES]],ILACLISTE[#All],2,0),"")</f>
        <v/>
      </c>
      <c r="D2412" s="2">
        <f t="shared" si="37"/>
        <v>0</v>
      </c>
      <c r="E2412" s="14" t="str">
        <f>IFERROR(GIZLI!G2407,"")</f>
        <v/>
      </c>
    </row>
    <row r="2413" spans="2:5" x14ac:dyDescent="0.3">
      <c r="B2413" s="2" t="str">
        <f>MID(TableQR[[#This Row],[QR CODES]],4,13)</f>
        <v/>
      </c>
      <c r="C2413" s="2" t="str">
        <f>IFERROR(VLOOKUP(TableQR[[#This Row],[BARCODES]],ILACLISTE[#All],2,0),"")</f>
        <v/>
      </c>
      <c r="D2413" s="2">
        <f t="shared" si="37"/>
        <v>0</v>
      </c>
      <c r="E2413" s="14" t="str">
        <f>IFERROR(GIZLI!G2408,"")</f>
        <v/>
      </c>
    </row>
    <row r="2414" spans="2:5" x14ac:dyDescent="0.3">
      <c r="B2414" s="2" t="str">
        <f>MID(TableQR[[#This Row],[QR CODES]],4,13)</f>
        <v/>
      </c>
      <c r="C2414" s="2" t="str">
        <f>IFERROR(VLOOKUP(TableQR[[#This Row],[BARCODES]],ILACLISTE[#All],2,0),"")</f>
        <v/>
      </c>
      <c r="D2414" s="2">
        <f t="shared" si="37"/>
        <v>0</v>
      </c>
      <c r="E2414" s="14" t="str">
        <f>IFERROR(GIZLI!G2409,"")</f>
        <v/>
      </c>
    </row>
    <row r="2415" spans="2:5" x14ac:dyDescent="0.3">
      <c r="B2415" s="2" t="str">
        <f>MID(TableQR[[#This Row],[QR CODES]],4,13)</f>
        <v/>
      </c>
      <c r="C2415" s="2" t="str">
        <f>IFERROR(VLOOKUP(TableQR[[#This Row],[BARCODES]],ILACLISTE[#All],2,0),"")</f>
        <v/>
      </c>
      <c r="D2415" s="2">
        <f t="shared" si="37"/>
        <v>0</v>
      </c>
      <c r="E2415" s="14" t="str">
        <f>IFERROR(GIZLI!G2410,"")</f>
        <v/>
      </c>
    </row>
    <row r="2416" spans="2:5" x14ac:dyDescent="0.3">
      <c r="B2416" s="2" t="str">
        <f>MID(TableQR[[#This Row],[QR CODES]],4,13)</f>
        <v/>
      </c>
      <c r="C2416" s="2" t="str">
        <f>IFERROR(VLOOKUP(TableQR[[#This Row],[BARCODES]],ILACLISTE[#All],2,0),"")</f>
        <v/>
      </c>
      <c r="D2416" s="2">
        <f t="shared" si="37"/>
        <v>0</v>
      </c>
      <c r="E2416" s="14" t="str">
        <f>IFERROR(GIZLI!G2411,"")</f>
        <v/>
      </c>
    </row>
    <row r="2417" spans="2:5" x14ac:dyDescent="0.3">
      <c r="B2417" s="2" t="str">
        <f>MID(TableQR[[#This Row],[QR CODES]],4,13)</f>
        <v/>
      </c>
      <c r="C2417" s="2" t="str">
        <f>IFERROR(VLOOKUP(TableQR[[#This Row],[BARCODES]],ILACLISTE[#All],2,0),"")</f>
        <v/>
      </c>
      <c r="D2417" s="2">
        <f t="shared" si="37"/>
        <v>0</v>
      </c>
      <c r="E2417" s="14" t="str">
        <f>IFERROR(GIZLI!G2412,"")</f>
        <v/>
      </c>
    </row>
    <row r="2418" spans="2:5" x14ac:dyDescent="0.3">
      <c r="B2418" s="2" t="str">
        <f>MID(TableQR[[#This Row],[QR CODES]],4,13)</f>
        <v/>
      </c>
      <c r="C2418" s="2" t="str">
        <f>IFERROR(VLOOKUP(TableQR[[#This Row],[BARCODES]],ILACLISTE[#All],2,0),"")</f>
        <v/>
      </c>
      <c r="D2418" s="2">
        <f t="shared" si="37"/>
        <v>0</v>
      </c>
      <c r="E2418" s="14" t="str">
        <f>IFERROR(GIZLI!G2413,"")</f>
        <v/>
      </c>
    </row>
    <row r="2419" spans="2:5" x14ac:dyDescent="0.3">
      <c r="B2419" s="2" t="str">
        <f>MID(TableQR[[#This Row],[QR CODES]],4,13)</f>
        <v/>
      </c>
      <c r="C2419" s="2" t="str">
        <f>IFERROR(VLOOKUP(TableQR[[#This Row],[BARCODES]],ILACLISTE[#All],2,0),"")</f>
        <v/>
      </c>
      <c r="D2419" s="2">
        <f t="shared" si="37"/>
        <v>0</v>
      </c>
      <c r="E2419" s="14" t="str">
        <f>IFERROR(GIZLI!G2414,"")</f>
        <v/>
      </c>
    </row>
    <row r="2420" spans="2:5" x14ac:dyDescent="0.3">
      <c r="B2420" s="2" t="str">
        <f>MID(TableQR[[#This Row],[QR CODES]],4,13)</f>
        <v/>
      </c>
      <c r="C2420" s="2" t="str">
        <f>IFERROR(VLOOKUP(TableQR[[#This Row],[BARCODES]],ILACLISTE[#All],2,0),"")</f>
        <v/>
      </c>
      <c r="D2420" s="2">
        <f t="shared" si="37"/>
        <v>0</v>
      </c>
      <c r="E2420" s="14" t="str">
        <f>IFERROR(GIZLI!G2415,"")</f>
        <v/>
      </c>
    </row>
    <row r="2421" spans="2:5" x14ac:dyDescent="0.3">
      <c r="B2421" s="2" t="str">
        <f>MID(TableQR[[#This Row],[QR CODES]],4,13)</f>
        <v/>
      </c>
      <c r="C2421" s="2" t="str">
        <f>IFERROR(VLOOKUP(TableQR[[#This Row],[BARCODES]],ILACLISTE[#All],2,0),"")</f>
        <v/>
      </c>
      <c r="D2421" s="2">
        <f t="shared" si="37"/>
        <v>0</v>
      </c>
      <c r="E2421" s="14" t="str">
        <f>IFERROR(GIZLI!G2416,"")</f>
        <v/>
      </c>
    </row>
    <row r="2422" spans="2:5" x14ac:dyDescent="0.3">
      <c r="B2422" s="2" t="str">
        <f>MID(TableQR[[#This Row],[QR CODES]],4,13)</f>
        <v/>
      </c>
      <c r="C2422" s="2" t="str">
        <f>IFERROR(VLOOKUP(TableQR[[#This Row],[BARCODES]],ILACLISTE[#All],2,0),"")</f>
        <v/>
      </c>
      <c r="D2422" s="2">
        <f t="shared" si="37"/>
        <v>0</v>
      </c>
      <c r="E2422" s="14" t="str">
        <f>IFERROR(GIZLI!G2417,"")</f>
        <v/>
      </c>
    </row>
    <row r="2423" spans="2:5" x14ac:dyDescent="0.3">
      <c r="B2423" s="2" t="str">
        <f>MID(TableQR[[#This Row],[QR CODES]],4,13)</f>
        <v/>
      </c>
      <c r="C2423" s="2" t="str">
        <f>IFERROR(VLOOKUP(TableQR[[#This Row],[BARCODES]],ILACLISTE[#All],2,0),"")</f>
        <v/>
      </c>
      <c r="D2423" s="2">
        <f t="shared" si="37"/>
        <v>0</v>
      </c>
      <c r="E2423" s="14" t="str">
        <f>IFERROR(GIZLI!G2418,"")</f>
        <v/>
      </c>
    </row>
    <row r="2424" spans="2:5" x14ac:dyDescent="0.3">
      <c r="B2424" s="2" t="str">
        <f>MID(TableQR[[#This Row],[QR CODES]],4,13)</f>
        <v/>
      </c>
      <c r="C2424" s="2" t="str">
        <f>IFERROR(VLOOKUP(TableQR[[#This Row],[BARCODES]],ILACLISTE[#All],2,0),"")</f>
        <v/>
      </c>
      <c r="D2424" s="2">
        <f t="shared" si="37"/>
        <v>0</v>
      </c>
      <c r="E2424" s="14" t="str">
        <f>IFERROR(GIZLI!G2419,"")</f>
        <v/>
      </c>
    </row>
    <row r="2425" spans="2:5" x14ac:dyDescent="0.3">
      <c r="B2425" s="2" t="str">
        <f>MID(TableQR[[#This Row],[QR CODES]],4,13)</f>
        <v/>
      </c>
      <c r="C2425" s="2" t="str">
        <f>IFERROR(VLOOKUP(TableQR[[#This Row],[BARCODES]],ILACLISTE[#All],2,0),"")</f>
        <v/>
      </c>
      <c r="D2425" s="2">
        <f t="shared" si="37"/>
        <v>0</v>
      </c>
      <c r="E2425" s="14" t="str">
        <f>IFERROR(GIZLI!G2420,"")</f>
        <v/>
      </c>
    </row>
    <row r="2426" spans="2:5" x14ac:dyDescent="0.3">
      <c r="B2426" s="2" t="str">
        <f>MID(TableQR[[#This Row],[QR CODES]],4,13)</f>
        <v/>
      </c>
      <c r="C2426" s="2" t="str">
        <f>IFERROR(VLOOKUP(TableQR[[#This Row],[BARCODES]],ILACLISTE[#All],2,0),"")</f>
        <v/>
      </c>
      <c r="D2426" s="2">
        <f t="shared" si="37"/>
        <v>0</v>
      </c>
      <c r="E2426" s="14" t="str">
        <f>IFERROR(GIZLI!G2421,"")</f>
        <v/>
      </c>
    </row>
    <row r="2427" spans="2:5" x14ac:dyDescent="0.3">
      <c r="B2427" s="2" t="str">
        <f>MID(TableQR[[#This Row],[QR CODES]],4,13)</f>
        <v/>
      </c>
      <c r="C2427" s="2" t="str">
        <f>IFERROR(VLOOKUP(TableQR[[#This Row],[BARCODES]],ILACLISTE[#All],2,0),"")</f>
        <v/>
      </c>
      <c r="D2427" s="2">
        <f t="shared" si="37"/>
        <v>0</v>
      </c>
      <c r="E2427" s="14" t="str">
        <f>IFERROR(GIZLI!G2422,"")</f>
        <v/>
      </c>
    </row>
    <row r="2428" spans="2:5" x14ac:dyDescent="0.3">
      <c r="B2428" s="2" t="str">
        <f>MID(TableQR[[#This Row],[QR CODES]],4,13)</f>
        <v/>
      </c>
      <c r="C2428" s="2" t="str">
        <f>IFERROR(VLOOKUP(TableQR[[#This Row],[BARCODES]],ILACLISTE[#All],2,0),"")</f>
        <v/>
      </c>
      <c r="D2428" s="2">
        <f t="shared" si="37"/>
        <v>0</v>
      </c>
      <c r="E2428" s="14" t="str">
        <f>IFERROR(GIZLI!G2423,"")</f>
        <v/>
      </c>
    </row>
    <row r="2429" spans="2:5" x14ac:dyDescent="0.3">
      <c r="B2429" s="2" t="str">
        <f>MID(TableQR[[#This Row],[QR CODES]],4,13)</f>
        <v/>
      </c>
      <c r="C2429" s="2" t="str">
        <f>IFERROR(VLOOKUP(TableQR[[#This Row],[BARCODES]],ILACLISTE[#All],2,0),"")</f>
        <v/>
      </c>
      <c r="D2429" s="2">
        <f t="shared" si="37"/>
        <v>0</v>
      </c>
      <c r="E2429" s="14" t="str">
        <f>IFERROR(GIZLI!G2424,"")</f>
        <v/>
      </c>
    </row>
    <row r="2430" spans="2:5" x14ac:dyDescent="0.3">
      <c r="B2430" s="2" t="str">
        <f>MID(TableQR[[#This Row],[QR CODES]],4,13)</f>
        <v/>
      </c>
      <c r="C2430" s="2" t="str">
        <f>IFERROR(VLOOKUP(TableQR[[#This Row],[BARCODES]],ILACLISTE[#All],2,0),"")</f>
        <v/>
      </c>
      <c r="D2430" s="2">
        <f t="shared" si="37"/>
        <v>0</v>
      </c>
      <c r="E2430" s="14" t="str">
        <f>IFERROR(GIZLI!G2425,"")</f>
        <v/>
      </c>
    </row>
    <row r="2431" spans="2:5" x14ac:dyDescent="0.3">
      <c r="B2431" s="2" t="str">
        <f>MID(TableQR[[#This Row],[QR CODES]],4,13)</f>
        <v/>
      </c>
      <c r="C2431" s="2" t="str">
        <f>IFERROR(VLOOKUP(TableQR[[#This Row],[BARCODES]],ILACLISTE[#All],2,0),"")</f>
        <v/>
      </c>
      <c r="D2431" s="2">
        <f t="shared" si="37"/>
        <v>0</v>
      </c>
      <c r="E2431" s="14" t="str">
        <f>IFERROR(GIZLI!G2426,"")</f>
        <v/>
      </c>
    </row>
    <row r="2432" spans="2:5" x14ac:dyDescent="0.3">
      <c r="B2432" s="2" t="str">
        <f>MID(TableQR[[#This Row],[QR CODES]],4,13)</f>
        <v/>
      </c>
      <c r="C2432" s="2" t="str">
        <f>IFERROR(VLOOKUP(TableQR[[#This Row],[BARCODES]],ILACLISTE[#All],2,0),"")</f>
        <v/>
      </c>
      <c r="D2432" s="2">
        <f t="shared" si="37"/>
        <v>0</v>
      </c>
      <c r="E2432" s="14" t="str">
        <f>IFERROR(GIZLI!G2427,"")</f>
        <v/>
      </c>
    </row>
    <row r="2433" spans="2:5" x14ac:dyDescent="0.3">
      <c r="B2433" s="2" t="str">
        <f>MID(TableQR[[#This Row],[QR CODES]],4,13)</f>
        <v/>
      </c>
      <c r="C2433" s="2" t="str">
        <f>IFERROR(VLOOKUP(TableQR[[#This Row],[BARCODES]],ILACLISTE[#All],2,0),"")</f>
        <v/>
      </c>
      <c r="D2433" s="2">
        <f t="shared" si="37"/>
        <v>0</v>
      </c>
      <c r="E2433" s="14" t="str">
        <f>IFERROR(GIZLI!G2428,"")</f>
        <v/>
      </c>
    </row>
    <row r="2434" spans="2:5" x14ac:dyDescent="0.3">
      <c r="B2434" s="2" t="str">
        <f>MID(TableQR[[#This Row],[QR CODES]],4,13)</f>
        <v/>
      </c>
      <c r="C2434" s="2" t="str">
        <f>IFERROR(VLOOKUP(TableQR[[#This Row],[BARCODES]],ILACLISTE[#All],2,0),"")</f>
        <v/>
      </c>
      <c r="D2434" s="2">
        <f t="shared" si="37"/>
        <v>0</v>
      </c>
      <c r="E2434" s="14" t="str">
        <f>IFERROR(GIZLI!G2429,"")</f>
        <v/>
      </c>
    </row>
    <row r="2435" spans="2:5" x14ac:dyDescent="0.3">
      <c r="B2435" s="2" t="str">
        <f>MID(TableQR[[#This Row],[QR CODES]],4,13)</f>
        <v/>
      </c>
      <c r="C2435" s="2" t="str">
        <f>IFERROR(VLOOKUP(TableQR[[#This Row],[BARCODES]],ILACLISTE[#All],2,0),"")</f>
        <v/>
      </c>
      <c r="D2435" s="2">
        <f t="shared" si="37"/>
        <v>0</v>
      </c>
      <c r="E2435" s="14" t="str">
        <f>IFERROR(GIZLI!G2430,"")</f>
        <v/>
      </c>
    </row>
    <row r="2436" spans="2:5" x14ac:dyDescent="0.3">
      <c r="B2436" s="2" t="str">
        <f>MID(TableQR[[#This Row],[QR CODES]],4,13)</f>
        <v/>
      </c>
      <c r="C2436" s="2" t="str">
        <f>IFERROR(VLOOKUP(TableQR[[#This Row],[BARCODES]],ILACLISTE[#All],2,0),"")</f>
        <v/>
      </c>
      <c r="D2436" s="2">
        <f t="shared" si="37"/>
        <v>0</v>
      </c>
      <c r="E2436" s="14" t="str">
        <f>IFERROR(GIZLI!G2431,"")</f>
        <v/>
      </c>
    </row>
    <row r="2437" spans="2:5" x14ac:dyDescent="0.3">
      <c r="B2437" s="2" t="str">
        <f>MID(TableQR[[#This Row],[QR CODES]],4,13)</f>
        <v/>
      </c>
      <c r="C2437" s="2" t="str">
        <f>IFERROR(VLOOKUP(TableQR[[#This Row],[BARCODES]],ILACLISTE[#All],2,0),"")</f>
        <v/>
      </c>
      <c r="D2437" s="2">
        <f t="shared" si="37"/>
        <v>0</v>
      </c>
      <c r="E2437" s="14" t="str">
        <f>IFERROR(GIZLI!G2432,"")</f>
        <v/>
      </c>
    </row>
    <row r="2438" spans="2:5" x14ac:dyDescent="0.3">
      <c r="B2438" s="2" t="str">
        <f>MID(TableQR[[#This Row],[QR CODES]],4,13)</f>
        <v/>
      </c>
      <c r="C2438" s="2" t="str">
        <f>IFERROR(VLOOKUP(TableQR[[#This Row],[BARCODES]],ILACLISTE[#All],2,0),"")</f>
        <v/>
      </c>
      <c r="D2438" s="2">
        <f t="shared" si="37"/>
        <v>0</v>
      </c>
      <c r="E2438" s="14" t="str">
        <f>IFERROR(GIZLI!G2433,"")</f>
        <v/>
      </c>
    </row>
    <row r="2439" spans="2:5" x14ac:dyDescent="0.3">
      <c r="B2439" s="2" t="str">
        <f>MID(TableQR[[#This Row],[QR CODES]],4,13)</f>
        <v/>
      </c>
      <c r="C2439" s="2" t="str">
        <f>IFERROR(VLOOKUP(TableQR[[#This Row],[BARCODES]],ILACLISTE[#All],2,0),"")</f>
        <v/>
      </c>
      <c r="D2439" s="2">
        <f t="shared" si="37"/>
        <v>0</v>
      </c>
      <c r="E2439" s="14" t="str">
        <f>IFERROR(GIZLI!G2434,"")</f>
        <v/>
      </c>
    </row>
    <row r="2440" spans="2:5" x14ac:dyDescent="0.3">
      <c r="B2440" s="2" t="str">
        <f>MID(TableQR[[#This Row],[QR CODES]],4,13)</f>
        <v/>
      </c>
      <c r="C2440" s="2" t="str">
        <f>IFERROR(VLOOKUP(TableQR[[#This Row],[BARCODES]],ILACLISTE[#All],2,0),"")</f>
        <v/>
      </c>
      <c r="D2440" s="2">
        <f t="shared" ref="D2440:D2503" si="38">COUNTIF(B2440:B6433,IF(B2440="",66666,B2440))</f>
        <v>0</v>
      </c>
      <c r="E2440" s="14" t="str">
        <f>IFERROR(GIZLI!G2435,"")</f>
        <v/>
      </c>
    </row>
    <row r="2441" spans="2:5" x14ac:dyDescent="0.3">
      <c r="B2441" s="2" t="str">
        <f>MID(TableQR[[#This Row],[QR CODES]],4,13)</f>
        <v/>
      </c>
      <c r="C2441" s="2" t="str">
        <f>IFERROR(VLOOKUP(TableQR[[#This Row],[BARCODES]],ILACLISTE[#All],2,0),"")</f>
        <v/>
      </c>
      <c r="D2441" s="2">
        <f t="shared" si="38"/>
        <v>0</v>
      </c>
      <c r="E2441" s="14" t="str">
        <f>IFERROR(GIZLI!G2436,"")</f>
        <v/>
      </c>
    </row>
    <row r="2442" spans="2:5" x14ac:dyDescent="0.3">
      <c r="B2442" s="2" t="str">
        <f>MID(TableQR[[#This Row],[QR CODES]],4,13)</f>
        <v/>
      </c>
      <c r="C2442" s="2" t="str">
        <f>IFERROR(VLOOKUP(TableQR[[#This Row],[BARCODES]],ILACLISTE[#All],2,0),"")</f>
        <v/>
      </c>
      <c r="D2442" s="2">
        <f t="shared" si="38"/>
        <v>0</v>
      </c>
      <c r="E2442" s="14" t="str">
        <f>IFERROR(GIZLI!G2437,"")</f>
        <v/>
      </c>
    </row>
    <row r="2443" spans="2:5" x14ac:dyDescent="0.3">
      <c r="B2443" s="2" t="str">
        <f>MID(TableQR[[#This Row],[QR CODES]],4,13)</f>
        <v/>
      </c>
      <c r="C2443" s="2" t="str">
        <f>IFERROR(VLOOKUP(TableQR[[#This Row],[BARCODES]],ILACLISTE[#All],2,0),"")</f>
        <v/>
      </c>
      <c r="D2443" s="2">
        <f t="shared" si="38"/>
        <v>0</v>
      </c>
      <c r="E2443" s="14" t="str">
        <f>IFERROR(GIZLI!G2438,"")</f>
        <v/>
      </c>
    </row>
    <row r="2444" spans="2:5" x14ac:dyDescent="0.3">
      <c r="B2444" s="2" t="str">
        <f>MID(TableQR[[#This Row],[QR CODES]],4,13)</f>
        <v/>
      </c>
      <c r="C2444" s="2" t="str">
        <f>IFERROR(VLOOKUP(TableQR[[#This Row],[BARCODES]],ILACLISTE[#All],2,0),"")</f>
        <v/>
      </c>
      <c r="D2444" s="2">
        <f t="shared" si="38"/>
        <v>0</v>
      </c>
      <c r="E2444" s="14" t="str">
        <f>IFERROR(GIZLI!G2439,"")</f>
        <v/>
      </c>
    </row>
    <row r="2445" spans="2:5" x14ac:dyDescent="0.3">
      <c r="B2445" s="2" t="str">
        <f>MID(TableQR[[#This Row],[QR CODES]],4,13)</f>
        <v/>
      </c>
      <c r="C2445" s="2" t="str">
        <f>IFERROR(VLOOKUP(TableQR[[#This Row],[BARCODES]],ILACLISTE[#All],2,0),"")</f>
        <v/>
      </c>
      <c r="D2445" s="2">
        <f t="shared" si="38"/>
        <v>0</v>
      </c>
      <c r="E2445" s="14" t="str">
        <f>IFERROR(GIZLI!G2440,"")</f>
        <v/>
      </c>
    </row>
    <row r="2446" spans="2:5" x14ac:dyDescent="0.3">
      <c r="B2446" s="2" t="str">
        <f>MID(TableQR[[#This Row],[QR CODES]],4,13)</f>
        <v/>
      </c>
      <c r="C2446" s="2" t="str">
        <f>IFERROR(VLOOKUP(TableQR[[#This Row],[BARCODES]],ILACLISTE[#All],2,0),"")</f>
        <v/>
      </c>
      <c r="D2446" s="2">
        <f t="shared" si="38"/>
        <v>0</v>
      </c>
      <c r="E2446" s="14" t="str">
        <f>IFERROR(GIZLI!G2441,"")</f>
        <v/>
      </c>
    </row>
    <row r="2447" spans="2:5" x14ac:dyDescent="0.3">
      <c r="B2447" s="2" t="str">
        <f>MID(TableQR[[#This Row],[QR CODES]],4,13)</f>
        <v/>
      </c>
      <c r="C2447" s="2" t="str">
        <f>IFERROR(VLOOKUP(TableQR[[#This Row],[BARCODES]],ILACLISTE[#All],2,0),"")</f>
        <v/>
      </c>
      <c r="D2447" s="2">
        <f t="shared" si="38"/>
        <v>0</v>
      </c>
      <c r="E2447" s="14" t="str">
        <f>IFERROR(GIZLI!G2442,"")</f>
        <v/>
      </c>
    </row>
    <row r="2448" spans="2:5" x14ac:dyDescent="0.3">
      <c r="B2448" s="2" t="str">
        <f>MID(TableQR[[#This Row],[QR CODES]],4,13)</f>
        <v/>
      </c>
      <c r="C2448" s="2" t="str">
        <f>IFERROR(VLOOKUP(TableQR[[#This Row],[BARCODES]],ILACLISTE[#All],2,0),"")</f>
        <v/>
      </c>
      <c r="D2448" s="2">
        <f t="shared" si="38"/>
        <v>0</v>
      </c>
      <c r="E2448" s="14" t="str">
        <f>IFERROR(GIZLI!G2443,"")</f>
        <v/>
      </c>
    </row>
    <row r="2449" spans="2:5" x14ac:dyDescent="0.3">
      <c r="B2449" s="2" t="str">
        <f>MID(TableQR[[#This Row],[QR CODES]],4,13)</f>
        <v/>
      </c>
      <c r="C2449" s="2" t="str">
        <f>IFERROR(VLOOKUP(TableQR[[#This Row],[BARCODES]],ILACLISTE[#All],2,0),"")</f>
        <v/>
      </c>
      <c r="D2449" s="2">
        <f t="shared" si="38"/>
        <v>0</v>
      </c>
      <c r="E2449" s="14" t="str">
        <f>IFERROR(GIZLI!G2444,"")</f>
        <v/>
      </c>
    </row>
    <row r="2450" spans="2:5" x14ac:dyDescent="0.3">
      <c r="B2450" s="2" t="str">
        <f>MID(TableQR[[#This Row],[QR CODES]],4,13)</f>
        <v/>
      </c>
      <c r="C2450" s="2" t="str">
        <f>IFERROR(VLOOKUP(TableQR[[#This Row],[BARCODES]],ILACLISTE[#All],2,0),"")</f>
        <v/>
      </c>
      <c r="D2450" s="2">
        <f t="shared" si="38"/>
        <v>0</v>
      </c>
      <c r="E2450" s="14" t="str">
        <f>IFERROR(GIZLI!G2445,"")</f>
        <v/>
      </c>
    </row>
    <row r="2451" spans="2:5" x14ac:dyDescent="0.3">
      <c r="B2451" s="2" t="str">
        <f>MID(TableQR[[#This Row],[QR CODES]],4,13)</f>
        <v/>
      </c>
      <c r="C2451" s="2" t="str">
        <f>IFERROR(VLOOKUP(TableQR[[#This Row],[BARCODES]],ILACLISTE[#All],2,0),"")</f>
        <v/>
      </c>
      <c r="D2451" s="2">
        <f t="shared" si="38"/>
        <v>0</v>
      </c>
      <c r="E2451" s="14" t="str">
        <f>IFERROR(GIZLI!G2446,"")</f>
        <v/>
      </c>
    </row>
    <row r="2452" spans="2:5" x14ac:dyDescent="0.3">
      <c r="B2452" s="2" t="str">
        <f>MID(TableQR[[#This Row],[QR CODES]],4,13)</f>
        <v/>
      </c>
      <c r="C2452" s="2" t="str">
        <f>IFERROR(VLOOKUP(TableQR[[#This Row],[BARCODES]],ILACLISTE[#All],2,0),"")</f>
        <v/>
      </c>
      <c r="D2452" s="2">
        <f t="shared" si="38"/>
        <v>0</v>
      </c>
      <c r="E2452" s="14" t="str">
        <f>IFERROR(GIZLI!G2447,"")</f>
        <v/>
      </c>
    </row>
    <row r="2453" spans="2:5" x14ac:dyDescent="0.3">
      <c r="B2453" s="2" t="str">
        <f>MID(TableQR[[#This Row],[QR CODES]],4,13)</f>
        <v/>
      </c>
      <c r="C2453" s="2" t="str">
        <f>IFERROR(VLOOKUP(TableQR[[#This Row],[BARCODES]],ILACLISTE[#All],2,0),"")</f>
        <v/>
      </c>
      <c r="D2453" s="2">
        <f t="shared" si="38"/>
        <v>0</v>
      </c>
      <c r="E2453" s="14" t="str">
        <f>IFERROR(GIZLI!G2448,"")</f>
        <v/>
      </c>
    </row>
    <row r="2454" spans="2:5" x14ac:dyDescent="0.3">
      <c r="B2454" s="2" t="str">
        <f>MID(TableQR[[#This Row],[QR CODES]],4,13)</f>
        <v/>
      </c>
      <c r="C2454" s="2" t="str">
        <f>IFERROR(VLOOKUP(TableQR[[#This Row],[BARCODES]],ILACLISTE[#All],2,0),"")</f>
        <v/>
      </c>
      <c r="D2454" s="2">
        <f t="shared" si="38"/>
        <v>0</v>
      </c>
      <c r="E2454" s="14" t="str">
        <f>IFERROR(GIZLI!G2449,"")</f>
        <v/>
      </c>
    </row>
    <row r="2455" spans="2:5" x14ac:dyDescent="0.3">
      <c r="B2455" s="2" t="str">
        <f>MID(TableQR[[#This Row],[QR CODES]],4,13)</f>
        <v/>
      </c>
      <c r="C2455" s="2" t="str">
        <f>IFERROR(VLOOKUP(TableQR[[#This Row],[BARCODES]],ILACLISTE[#All],2,0),"")</f>
        <v/>
      </c>
      <c r="D2455" s="2">
        <f t="shared" si="38"/>
        <v>0</v>
      </c>
      <c r="E2455" s="14" t="str">
        <f>IFERROR(GIZLI!G2450,"")</f>
        <v/>
      </c>
    </row>
    <row r="2456" spans="2:5" x14ac:dyDescent="0.3">
      <c r="B2456" s="2" t="str">
        <f>MID(TableQR[[#This Row],[QR CODES]],4,13)</f>
        <v/>
      </c>
      <c r="C2456" s="2" t="str">
        <f>IFERROR(VLOOKUP(TableQR[[#This Row],[BARCODES]],ILACLISTE[#All],2,0),"")</f>
        <v/>
      </c>
      <c r="D2456" s="2">
        <f t="shared" si="38"/>
        <v>0</v>
      </c>
      <c r="E2456" s="14" t="str">
        <f>IFERROR(GIZLI!G2451,"")</f>
        <v/>
      </c>
    </row>
    <row r="2457" spans="2:5" x14ac:dyDescent="0.3">
      <c r="B2457" s="2" t="str">
        <f>MID(TableQR[[#This Row],[QR CODES]],4,13)</f>
        <v/>
      </c>
      <c r="C2457" s="2" t="str">
        <f>IFERROR(VLOOKUP(TableQR[[#This Row],[BARCODES]],ILACLISTE[#All],2,0),"")</f>
        <v/>
      </c>
      <c r="D2457" s="2">
        <f t="shared" si="38"/>
        <v>0</v>
      </c>
      <c r="E2457" s="14" t="str">
        <f>IFERROR(GIZLI!G2452,"")</f>
        <v/>
      </c>
    </row>
    <row r="2458" spans="2:5" x14ac:dyDescent="0.3">
      <c r="B2458" s="2" t="str">
        <f>MID(TableQR[[#This Row],[QR CODES]],4,13)</f>
        <v/>
      </c>
      <c r="C2458" s="2" t="str">
        <f>IFERROR(VLOOKUP(TableQR[[#This Row],[BARCODES]],ILACLISTE[#All],2,0),"")</f>
        <v/>
      </c>
      <c r="D2458" s="2">
        <f t="shared" si="38"/>
        <v>0</v>
      </c>
      <c r="E2458" s="14" t="str">
        <f>IFERROR(GIZLI!G2453,"")</f>
        <v/>
      </c>
    </row>
    <row r="2459" spans="2:5" x14ac:dyDescent="0.3">
      <c r="B2459" s="2" t="str">
        <f>MID(TableQR[[#This Row],[QR CODES]],4,13)</f>
        <v/>
      </c>
      <c r="C2459" s="2" t="str">
        <f>IFERROR(VLOOKUP(TableQR[[#This Row],[BARCODES]],ILACLISTE[#All],2,0),"")</f>
        <v/>
      </c>
      <c r="D2459" s="2">
        <f t="shared" si="38"/>
        <v>0</v>
      </c>
      <c r="E2459" s="14" t="str">
        <f>IFERROR(GIZLI!G2454,"")</f>
        <v/>
      </c>
    </row>
    <row r="2460" spans="2:5" x14ac:dyDescent="0.3">
      <c r="B2460" s="2" t="str">
        <f>MID(TableQR[[#This Row],[QR CODES]],4,13)</f>
        <v/>
      </c>
      <c r="C2460" s="2" t="str">
        <f>IFERROR(VLOOKUP(TableQR[[#This Row],[BARCODES]],ILACLISTE[#All],2,0),"")</f>
        <v/>
      </c>
      <c r="D2460" s="2">
        <f t="shared" si="38"/>
        <v>0</v>
      </c>
      <c r="E2460" s="14" t="str">
        <f>IFERROR(GIZLI!G2455,"")</f>
        <v/>
      </c>
    </row>
    <row r="2461" spans="2:5" x14ac:dyDescent="0.3">
      <c r="B2461" s="2" t="str">
        <f>MID(TableQR[[#This Row],[QR CODES]],4,13)</f>
        <v/>
      </c>
      <c r="C2461" s="2" t="str">
        <f>IFERROR(VLOOKUP(TableQR[[#This Row],[BARCODES]],ILACLISTE[#All],2,0),"")</f>
        <v/>
      </c>
      <c r="D2461" s="2">
        <f t="shared" si="38"/>
        <v>0</v>
      </c>
      <c r="E2461" s="14" t="str">
        <f>IFERROR(GIZLI!G2456,"")</f>
        <v/>
      </c>
    </row>
    <row r="2462" spans="2:5" x14ac:dyDescent="0.3">
      <c r="B2462" s="2" t="str">
        <f>MID(TableQR[[#This Row],[QR CODES]],4,13)</f>
        <v/>
      </c>
      <c r="C2462" s="2" t="str">
        <f>IFERROR(VLOOKUP(TableQR[[#This Row],[BARCODES]],ILACLISTE[#All],2,0),"")</f>
        <v/>
      </c>
      <c r="D2462" s="2">
        <f t="shared" si="38"/>
        <v>0</v>
      </c>
      <c r="E2462" s="14" t="str">
        <f>IFERROR(GIZLI!G2457,"")</f>
        <v/>
      </c>
    </row>
    <row r="2463" spans="2:5" x14ac:dyDescent="0.3">
      <c r="B2463" s="2" t="str">
        <f>MID(TableQR[[#This Row],[QR CODES]],4,13)</f>
        <v/>
      </c>
      <c r="C2463" s="2" t="str">
        <f>IFERROR(VLOOKUP(TableQR[[#This Row],[BARCODES]],ILACLISTE[#All],2,0),"")</f>
        <v/>
      </c>
      <c r="D2463" s="2">
        <f t="shared" si="38"/>
        <v>0</v>
      </c>
      <c r="E2463" s="14" t="str">
        <f>IFERROR(GIZLI!G2458,"")</f>
        <v/>
      </c>
    </row>
    <row r="2464" spans="2:5" x14ac:dyDescent="0.3">
      <c r="B2464" s="2" t="str">
        <f>MID(TableQR[[#This Row],[QR CODES]],4,13)</f>
        <v/>
      </c>
      <c r="C2464" s="2" t="str">
        <f>IFERROR(VLOOKUP(TableQR[[#This Row],[BARCODES]],ILACLISTE[#All],2,0),"")</f>
        <v/>
      </c>
      <c r="D2464" s="2">
        <f t="shared" si="38"/>
        <v>0</v>
      </c>
      <c r="E2464" s="14" t="str">
        <f>IFERROR(GIZLI!G2459,"")</f>
        <v/>
      </c>
    </row>
    <row r="2465" spans="2:5" x14ac:dyDescent="0.3">
      <c r="B2465" s="2" t="str">
        <f>MID(TableQR[[#This Row],[QR CODES]],4,13)</f>
        <v/>
      </c>
      <c r="C2465" s="2" t="str">
        <f>IFERROR(VLOOKUP(TableQR[[#This Row],[BARCODES]],ILACLISTE[#All],2,0),"")</f>
        <v/>
      </c>
      <c r="D2465" s="2">
        <f t="shared" si="38"/>
        <v>0</v>
      </c>
      <c r="E2465" s="14" t="str">
        <f>IFERROR(GIZLI!G2460,"")</f>
        <v/>
      </c>
    </row>
    <row r="2466" spans="2:5" x14ac:dyDescent="0.3">
      <c r="B2466" s="2" t="str">
        <f>MID(TableQR[[#This Row],[QR CODES]],4,13)</f>
        <v/>
      </c>
      <c r="C2466" s="2" t="str">
        <f>IFERROR(VLOOKUP(TableQR[[#This Row],[BARCODES]],ILACLISTE[#All],2,0),"")</f>
        <v/>
      </c>
      <c r="D2466" s="2">
        <f t="shared" si="38"/>
        <v>0</v>
      </c>
      <c r="E2466" s="14" t="str">
        <f>IFERROR(GIZLI!G2461,"")</f>
        <v/>
      </c>
    </row>
    <row r="2467" spans="2:5" x14ac:dyDescent="0.3">
      <c r="B2467" s="2" t="str">
        <f>MID(TableQR[[#This Row],[QR CODES]],4,13)</f>
        <v/>
      </c>
      <c r="C2467" s="2" t="str">
        <f>IFERROR(VLOOKUP(TableQR[[#This Row],[BARCODES]],ILACLISTE[#All],2,0),"")</f>
        <v/>
      </c>
      <c r="D2467" s="2">
        <f t="shared" si="38"/>
        <v>0</v>
      </c>
      <c r="E2467" s="14" t="str">
        <f>IFERROR(GIZLI!G2462,"")</f>
        <v/>
      </c>
    </row>
    <row r="2468" spans="2:5" x14ac:dyDescent="0.3">
      <c r="B2468" s="2" t="str">
        <f>MID(TableQR[[#This Row],[QR CODES]],4,13)</f>
        <v/>
      </c>
      <c r="C2468" s="2" t="str">
        <f>IFERROR(VLOOKUP(TableQR[[#This Row],[BARCODES]],ILACLISTE[#All],2,0),"")</f>
        <v/>
      </c>
      <c r="D2468" s="2">
        <f t="shared" si="38"/>
        <v>0</v>
      </c>
      <c r="E2468" s="14" t="str">
        <f>IFERROR(GIZLI!G2463,"")</f>
        <v/>
      </c>
    </row>
    <row r="2469" spans="2:5" x14ac:dyDescent="0.3">
      <c r="B2469" s="2" t="str">
        <f>MID(TableQR[[#This Row],[QR CODES]],4,13)</f>
        <v/>
      </c>
      <c r="C2469" s="2" t="str">
        <f>IFERROR(VLOOKUP(TableQR[[#This Row],[BARCODES]],ILACLISTE[#All],2,0),"")</f>
        <v/>
      </c>
      <c r="D2469" s="2">
        <f t="shared" si="38"/>
        <v>0</v>
      </c>
      <c r="E2469" s="14" t="str">
        <f>IFERROR(GIZLI!G2464,"")</f>
        <v/>
      </c>
    </row>
    <row r="2470" spans="2:5" x14ac:dyDescent="0.3">
      <c r="B2470" s="2" t="str">
        <f>MID(TableQR[[#This Row],[QR CODES]],4,13)</f>
        <v/>
      </c>
      <c r="C2470" s="2" t="str">
        <f>IFERROR(VLOOKUP(TableQR[[#This Row],[BARCODES]],ILACLISTE[#All],2,0),"")</f>
        <v/>
      </c>
      <c r="D2470" s="2">
        <f t="shared" si="38"/>
        <v>0</v>
      </c>
      <c r="E2470" s="14" t="str">
        <f>IFERROR(GIZLI!G2465,"")</f>
        <v/>
      </c>
    </row>
    <row r="2471" spans="2:5" x14ac:dyDescent="0.3">
      <c r="B2471" s="2" t="str">
        <f>MID(TableQR[[#This Row],[QR CODES]],4,13)</f>
        <v/>
      </c>
      <c r="C2471" s="2" t="str">
        <f>IFERROR(VLOOKUP(TableQR[[#This Row],[BARCODES]],ILACLISTE[#All],2,0),"")</f>
        <v/>
      </c>
      <c r="D2471" s="2">
        <f t="shared" si="38"/>
        <v>0</v>
      </c>
      <c r="E2471" s="14" t="str">
        <f>IFERROR(GIZLI!G2466,"")</f>
        <v/>
      </c>
    </row>
    <row r="2472" spans="2:5" x14ac:dyDescent="0.3">
      <c r="B2472" s="2" t="str">
        <f>MID(TableQR[[#This Row],[QR CODES]],4,13)</f>
        <v/>
      </c>
      <c r="C2472" s="2" t="str">
        <f>IFERROR(VLOOKUP(TableQR[[#This Row],[BARCODES]],ILACLISTE[#All],2,0),"")</f>
        <v/>
      </c>
      <c r="D2472" s="2">
        <f t="shared" si="38"/>
        <v>0</v>
      </c>
      <c r="E2472" s="14" t="str">
        <f>IFERROR(GIZLI!G2467,"")</f>
        <v/>
      </c>
    </row>
    <row r="2473" spans="2:5" x14ac:dyDescent="0.3">
      <c r="B2473" s="2" t="str">
        <f>MID(TableQR[[#This Row],[QR CODES]],4,13)</f>
        <v/>
      </c>
      <c r="C2473" s="2" t="str">
        <f>IFERROR(VLOOKUP(TableQR[[#This Row],[BARCODES]],ILACLISTE[#All],2,0),"")</f>
        <v/>
      </c>
      <c r="D2473" s="2">
        <f t="shared" si="38"/>
        <v>0</v>
      </c>
      <c r="E2473" s="14" t="str">
        <f>IFERROR(GIZLI!G2468,"")</f>
        <v/>
      </c>
    </row>
    <row r="2474" spans="2:5" x14ac:dyDescent="0.3">
      <c r="B2474" s="2" t="str">
        <f>MID(TableQR[[#This Row],[QR CODES]],4,13)</f>
        <v/>
      </c>
      <c r="C2474" s="2" t="str">
        <f>IFERROR(VLOOKUP(TableQR[[#This Row],[BARCODES]],ILACLISTE[#All],2,0),"")</f>
        <v/>
      </c>
      <c r="D2474" s="2">
        <f t="shared" si="38"/>
        <v>0</v>
      </c>
      <c r="E2474" s="14" t="str">
        <f>IFERROR(GIZLI!G2469,"")</f>
        <v/>
      </c>
    </row>
    <row r="2475" spans="2:5" x14ac:dyDescent="0.3">
      <c r="B2475" s="2" t="str">
        <f>MID(TableQR[[#This Row],[QR CODES]],4,13)</f>
        <v/>
      </c>
      <c r="C2475" s="2" t="str">
        <f>IFERROR(VLOOKUP(TableQR[[#This Row],[BARCODES]],ILACLISTE[#All],2,0),"")</f>
        <v/>
      </c>
      <c r="D2475" s="2">
        <f t="shared" si="38"/>
        <v>0</v>
      </c>
      <c r="E2475" s="14" t="str">
        <f>IFERROR(GIZLI!G2470,"")</f>
        <v/>
      </c>
    </row>
    <row r="2476" spans="2:5" x14ac:dyDescent="0.3">
      <c r="B2476" s="2" t="str">
        <f>MID(TableQR[[#This Row],[QR CODES]],4,13)</f>
        <v/>
      </c>
      <c r="C2476" s="2" t="str">
        <f>IFERROR(VLOOKUP(TableQR[[#This Row],[BARCODES]],ILACLISTE[#All],2,0),"")</f>
        <v/>
      </c>
      <c r="D2476" s="2">
        <f t="shared" si="38"/>
        <v>0</v>
      </c>
      <c r="E2476" s="14" t="str">
        <f>IFERROR(GIZLI!G2471,"")</f>
        <v/>
      </c>
    </row>
    <row r="2477" spans="2:5" x14ac:dyDescent="0.3">
      <c r="B2477" s="2" t="str">
        <f>MID(TableQR[[#This Row],[QR CODES]],4,13)</f>
        <v/>
      </c>
      <c r="C2477" s="2" t="str">
        <f>IFERROR(VLOOKUP(TableQR[[#This Row],[BARCODES]],ILACLISTE[#All],2,0),"")</f>
        <v/>
      </c>
      <c r="D2477" s="2">
        <f t="shared" si="38"/>
        <v>0</v>
      </c>
      <c r="E2477" s="14" t="str">
        <f>IFERROR(GIZLI!G2472,"")</f>
        <v/>
      </c>
    </row>
    <row r="2478" spans="2:5" x14ac:dyDescent="0.3">
      <c r="B2478" s="2" t="str">
        <f>MID(TableQR[[#This Row],[QR CODES]],4,13)</f>
        <v/>
      </c>
      <c r="C2478" s="2" t="str">
        <f>IFERROR(VLOOKUP(TableQR[[#This Row],[BARCODES]],ILACLISTE[#All],2,0),"")</f>
        <v/>
      </c>
      <c r="D2478" s="2">
        <f t="shared" si="38"/>
        <v>0</v>
      </c>
      <c r="E2478" s="14" t="str">
        <f>IFERROR(GIZLI!G2473,"")</f>
        <v/>
      </c>
    </row>
    <row r="2479" spans="2:5" x14ac:dyDescent="0.3">
      <c r="B2479" s="2" t="str">
        <f>MID(TableQR[[#This Row],[QR CODES]],4,13)</f>
        <v/>
      </c>
      <c r="C2479" s="2" t="str">
        <f>IFERROR(VLOOKUP(TableQR[[#This Row],[BARCODES]],ILACLISTE[#All],2,0),"")</f>
        <v/>
      </c>
      <c r="D2479" s="2">
        <f t="shared" si="38"/>
        <v>0</v>
      </c>
      <c r="E2479" s="14" t="str">
        <f>IFERROR(GIZLI!G2474,"")</f>
        <v/>
      </c>
    </row>
    <row r="2480" spans="2:5" x14ac:dyDescent="0.3">
      <c r="B2480" s="2" t="str">
        <f>MID(TableQR[[#This Row],[QR CODES]],4,13)</f>
        <v/>
      </c>
      <c r="C2480" s="2" t="str">
        <f>IFERROR(VLOOKUP(TableQR[[#This Row],[BARCODES]],ILACLISTE[#All],2,0),"")</f>
        <v/>
      </c>
      <c r="D2480" s="2">
        <f t="shared" si="38"/>
        <v>0</v>
      </c>
      <c r="E2480" s="14" t="str">
        <f>IFERROR(GIZLI!G2475,"")</f>
        <v/>
      </c>
    </row>
    <row r="2481" spans="2:5" x14ac:dyDescent="0.3">
      <c r="B2481" s="2" t="str">
        <f>MID(TableQR[[#This Row],[QR CODES]],4,13)</f>
        <v/>
      </c>
      <c r="C2481" s="2" t="str">
        <f>IFERROR(VLOOKUP(TableQR[[#This Row],[BARCODES]],ILACLISTE[#All],2,0),"")</f>
        <v/>
      </c>
      <c r="D2481" s="2">
        <f t="shared" si="38"/>
        <v>0</v>
      </c>
      <c r="E2481" s="14" t="str">
        <f>IFERROR(GIZLI!G2476,"")</f>
        <v/>
      </c>
    </row>
    <row r="2482" spans="2:5" x14ac:dyDescent="0.3">
      <c r="B2482" s="2" t="str">
        <f>MID(TableQR[[#This Row],[QR CODES]],4,13)</f>
        <v/>
      </c>
      <c r="C2482" s="2" t="str">
        <f>IFERROR(VLOOKUP(TableQR[[#This Row],[BARCODES]],ILACLISTE[#All],2,0),"")</f>
        <v/>
      </c>
      <c r="D2482" s="2">
        <f t="shared" si="38"/>
        <v>0</v>
      </c>
      <c r="E2482" s="14" t="str">
        <f>IFERROR(GIZLI!G2477,"")</f>
        <v/>
      </c>
    </row>
    <row r="2483" spans="2:5" x14ac:dyDescent="0.3">
      <c r="B2483" s="2" t="str">
        <f>MID(TableQR[[#This Row],[QR CODES]],4,13)</f>
        <v/>
      </c>
      <c r="C2483" s="2" t="str">
        <f>IFERROR(VLOOKUP(TableQR[[#This Row],[BARCODES]],ILACLISTE[#All],2,0),"")</f>
        <v/>
      </c>
      <c r="D2483" s="2">
        <f t="shared" si="38"/>
        <v>0</v>
      </c>
      <c r="E2483" s="14" t="str">
        <f>IFERROR(GIZLI!G2478,"")</f>
        <v/>
      </c>
    </row>
    <row r="2484" spans="2:5" x14ac:dyDescent="0.3">
      <c r="B2484" s="2" t="str">
        <f>MID(TableQR[[#This Row],[QR CODES]],4,13)</f>
        <v/>
      </c>
      <c r="C2484" s="2" t="str">
        <f>IFERROR(VLOOKUP(TableQR[[#This Row],[BARCODES]],ILACLISTE[#All],2,0),"")</f>
        <v/>
      </c>
      <c r="D2484" s="2">
        <f t="shared" si="38"/>
        <v>0</v>
      </c>
      <c r="E2484" s="14" t="str">
        <f>IFERROR(GIZLI!G2479,"")</f>
        <v/>
      </c>
    </row>
    <row r="2485" spans="2:5" x14ac:dyDescent="0.3">
      <c r="B2485" s="2" t="str">
        <f>MID(TableQR[[#This Row],[QR CODES]],4,13)</f>
        <v/>
      </c>
      <c r="C2485" s="2" t="str">
        <f>IFERROR(VLOOKUP(TableQR[[#This Row],[BARCODES]],ILACLISTE[#All],2,0),"")</f>
        <v/>
      </c>
      <c r="D2485" s="2">
        <f t="shared" si="38"/>
        <v>0</v>
      </c>
      <c r="E2485" s="14" t="str">
        <f>IFERROR(GIZLI!G2480,"")</f>
        <v/>
      </c>
    </row>
    <row r="2486" spans="2:5" x14ac:dyDescent="0.3">
      <c r="B2486" s="2" t="str">
        <f>MID(TableQR[[#This Row],[QR CODES]],4,13)</f>
        <v/>
      </c>
      <c r="C2486" s="2" t="str">
        <f>IFERROR(VLOOKUP(TableQR[[#This Row],[BARCODES]],ILACLISTE[#All],2,0),"")</f>
        <v/>
      </c>
      <c r="D2486" s="2">
        <f t="shared" si="38"/>
        <v>0</v>
      </c>
      <c r="E2486" s="14" t="str">
        <f>IFERROR(GIZLI!G2481,"")</f>
        <v/>
      </c>
    </row>
    <row r="2487" spans="2:5" x14ac:dyDescent="0.3">
      <c r="B2487" s="2" t="str">
        <f>MID(TableQR[[#This Row],[QR CODES]],4,13)</f>
        <v/>
      </c>
      <c r="C2487" s="2" t="str">
        <f>IFERROR(VLOOKUP(TableQR[[#This Row],[BARCODES]],ILACLISTE[#All],2,0),"")</f>
        <v/>
      </c>
      <c r="D2487" s="2">
        <f t="shared" si="38"/>
        <v>0</v>
      </c>
      <c r="E2487" s="14" t="str">
        <f>IFERROR(GIZLI!G2482,"")</f>
        <v/>
      </c>
    </row>
    <row r="2488" spans="2:5" x14ac:dyDescent="0.3">
      <c r="B2488" s="2" t="str">
        <f>MID(TableQR[[#This Row],[QR CODES]],4,13)</f>
        <v/>
      </c>
      <c r="C2488" s="2" t="str">
        <f>IFERROR(VLOOKUP(TableQR[[#This Row],[BARCODES]],ILACLISTE[#All],2,0),"")</f>
        <v/>
      </c>
      <c r="D2488" s="2">
        <f t="shared" si="38"/>
        <v>0</v>
      </c>
      <c r="E2488" s="14" t="str">
        <f>IFERROR(GIZLI!G2483,"")</f>
        <v/>
      </c>
    </row>
    <row r="2489" spans="2:5" x14ac:dyDescent="0.3">
      <c r="B2489" s="2" t="str">
        <f>MID(TableQR[[#This Row],[QR CODES]],4,13)</f>
        <v/>
      </c>
      <c r="C2489" s="2" t="str">
        <f>IFERROR(VLOOKUP(TableQR[[#This Row],[BARCODES]],ILACLISTE[#All],2,0),"")</f>
        <v/>
      </c>
      <c r="D2489" s="2">
        <f t="shared" si="38"/>
        <v>0</v>
      </c>
      <c r="E2489" s="14" t="str">
        <f>IFERROR(GIZLI!G2484,"")</f>
        <v/>
      </c>
    </row>
    <row r="2490" spans="2:5" x14ac:dyDescent="0.3">
      <c r="B2490" s="2" t="str">
        <f>MID(TableQR[[#This Row],[QR CODES]],4,13)</f>
        <v/>
      </c>
      <c r="C2490" s="2" t="str">
        <f>IFERROR(VLOOKUP(TableQR[[#This Row],[BARCODES]],ILACLISTE[#All],2,0),"")</f>
        <v/>
      </c>
      <c r="D2490" s="2">
        <f t="shared" si="38"/>
        <v>0</v>
      </c>
      <c r="E2490" s="14" t="str">
        <f>IFERROR(GIZLI!G2485,"")</f>
        <v/>
      </c>
    </row>
    <row r="2491" spans="2:5" x14ac:dyDescent="0.3">
      <c r="B2491" s="2" t="str">
        <f>MID(TableQR[[#This Row],[QR CODES]],4,13)</f>
        <v/>
      </c>
      <c r="C2491" s="2" t="str">
        <f>IFERROR(VLOOKUP(TableQR[[#This Row],[BARCODES]],ILACLISTE[#All],2,0),"")</f>
        <v/>
      </c>
      <c r="D2491" s="2">
        <f t="shared" si="38"/>
        <v>0</v>
      </c>
      <c r="E2491" s="14" t="str">
        <f>IFERROR(GIZLI!G2486,"")</f>
        <v/>
      </c>
    </row>
    <row r="2492" spans="2:5" x14ac:dyDescent="0.3">
      <c r="B2492" s="2" t="str">
        <f>MID(TableQR[[#This Row],[QR CODES]],4,13)</f>
        <v/>
      </c>
      <c r="C2492" s="2" t="str">
        <f>IFERROR(VLOOKUP(TableQR[[#This Row],[BARCODES]],ILACLISTE[#All],2,0),"")</f>
        <v/>
      </c>
      <c r="D2492" s="2">
        <f t="shared" si="38"/>
        <v>0</v>
      </c>
      <c r="E2492" s="14" t="str">
        <f>IFERROR(GIZLI!G2487,"")</f>
        <v/>
      </c>
    </row>
    <row r="2493" spans="2:5" x14ac:dyDescent="0.3">
      <c r="B2493" s="2" t="str">
        <f>MID(TableQR[[#This Row],[QR CODES]],4,13)</f>
        <v/>
      </c>
      <c r="C2493" s="2" t="str">
        <f>IFERROR(VLOOKUP(TableQR[[#This Row],[BARCODES]],ILACLISTE[#All],2,0),"")</f>
        <v/>
      </c>
      <c r="D2493" s="2">
        <f t="shared" si="38"/>
        <v>0</v>
      </c>
      <c r="E2493" s="14" t="str">
        <f>IFERROR(GIZLI!G2488,"")</f>
        <v/>
      </c>
    </row>
    <row r="2494" spans="2:5" x14ac:dyDescent="0.3">
      <c r="B2494" s="2" t="str">
        <f>MID(TableQR[[#This Row],[QR CODES]],4,13)</f>
        <v/>
      </c>
      <c r="C2494" s="2" t="str">
        <f>IFERROR(VLOOKUP(TableQR[[#This Row],[BARCODES]],ILACLISTE[#All],2,0),"")</f>
        <v/>
      </c>
      <c r="D2494" s="2">
        <f t="shared" si="38"/>
        <v>0</v>
      </c>
      <c r="E2494" s="14" t="str">
        <f>IFERROR(GIZLI!G2489,"")</f>
        <v/>
      </c>
    </row>
    <row r="2495" spans="2:5" x14ac:dyDescent="0.3">
      <c r="B2495" s="2" t="str">
        <f>MID(TableQR[[#This Row],[QR CODES]],4,13)</f>
        <v/>
      </c>
      <c r="C2495" s="2" t="str">
        <f>IFERROR(VLOOKUP(TableQR[[#This Row],[BARCODES]],ILACLISTE[#All],2,0),"")</f>
        <v/>
      </c>
      <c r="D2495" s="2">
        <f t="shared" si="38"/>
        <v>0</v>
      </c>
      <c r="E2495" s="14" t="str">
        <f>IFERROR(GIZLI!G2490,"")</f>
        <v/>
      </c>
    </row>
    <row r="2496" spans="2:5" x14ac:dyDescent="0.3">
      <c r="B2496" s="2" t="str">
        <f>MID(TableQR[[#This Row],[QR CODES]],4,13)</f>
        <v/>
      </c>
      <c r="C2496" s="2" t="str">
        <f>IFERROR(VLOOKUP(TableQR[[#This Row],[BARCODES]],ILACLISTE[#All],2,0),"")</f>
        <v/>
      </c>
      <c r="D2496" s="2">
        <f t="shared" si="38"/>
        <v>0</v>
      </c>
      <c r="E2496" s="14" t="str">
        <f>IFERROR(GIZLI!G2491,"")</f>
        <v/>
      </c>
    </row>
    <row r="2497" spans="2:5" x14ac:dyDescent="0.3">
      <c r="B2497" s="2" t="str">
        <f>MID(TableQR[[#This Row],[QR CODES]],4,13)</f>
        <v/>
      </c>
      <c r="C2497" s="2" t="str">
        <f>IFERROR(VLOOKUP(TableQR[[#This Row],[BARCODES]],ILACLISTE[#All],2,0),"")</f>
        <v/>
      </c>
      <c r="D2497" s="2">
        <f t="shared" si="38"/>
        <v>0</v>
      </c>
      <c r="E2497" s="14" t="str">
        <f>IFERROR(GIZLI!G2492,"")</f>
        <v/>
      </c>
    </row>
    <row r="2498" spans="2:5" x14ac:dyDescent="0.3">
      <c r="B2498" s="2" t="str">
        <f>MID(TableQR[[#This Row],[QR CODES]],4,13)</f>
        <v/>
      </c>
      <c r="C2498" s="2" t="str">
        <f>IFERROR(VLOOKUP(TableQR[[#This Row],[BARCODES]],ILACLISTE[#All],2,0),"")</f>
        <v/>
      </c>
      <c r="D2498" s="2">
        <f t="shared" si="38"/>
        <v>0</v>
      </c>
      <c r="E2498" s="14" t="str">
        <f>IFERROR(GIZLI!G2493,"")</f>
        <v/>
      </c>
    </row>
    <row r="2499" spans="2:5" x14ac:dyDescent="0.3">
      <c r="B2499" s="2" t="str">
        <f>MID(TableQR[[#This Row],[QR CODES]],4,13)</f>
        <v/>
      </c>
      <c r="C2499" s="2" t="str">
        <f>IFERROR(VLOOKUP(TableQR[[#This Row],[BARCODES]],ILACLISTE[#All],2,0),"")</f>
        <v/>
      </c>
      <c r="D2499" s="2">
        <f t="shared" si="38"/>
        <v>0</v>
      </c>
      <c r="E2499" s="14" t="str">
        <f>IFERROR(GIZLI!G2494,"")</f>
        <v/>
      </c>
    </row>
    <row r="2500" spans="2:5" x14ac:dyDescent="0.3">
      <c r="B2500" s="2" t="str">
        <f>MID(TableQR[[#This Row],[QR CODES]],4,13)</f>
        <v/>
      </c>
      <c r="C2500" s="2" t="str">
        <f>IFERROR(VLOOKUP(TableQR[[#This Row],[BARCODES]],ILACLISTE[#All],2,0),"")</f>
        <v/>
      </c>
      <c r="D2500" s="2">
        <f t="shared" si="38"/>
        <v>0</v>
      </c>
      <c r="E2500" s="14" t="str">
        <f>IFERROR(GIZLI!G2495,"")</f>
        <v/>
      </c>
    </row>
    <row r="2501" spans="2:5" x14ac:dyDescent="0.3">
      <c r="B2501" s="2" t="str">
        <f>MID(TableQR[[#This Row],[QR CODES]],4,13)</f>
        <v/>
      </c>
      <c r="C2501" s="2" t="str">
        <f>IFERROR(VLOOKUP(TableQR[[#This Row],[BARCODES]],ILACLISTE[#All],2,0),"")</f>
        <v/>
      </c>
      <c r="D2501" s="2">
        <f t="shared" si="38"/>
        <v>0</v>
      </c>
      <c r="E2501" s="14" t="str">
        <f>IFERROR(GIZLI!G2496,"")</f>
        <v/>
      </c>
    </row>
    <row r="2502" spans="2:5" x14ac:dyDescent="0.3">
      <c r="B2502" s="2" t="str">
        <f>MID(TableQR[[#This Row],[QR CODES]],4,13)</f>
        <v/>
      </c>
      <c r="C2502" s="2" t="str">
        <f>IFERROR(VLOOKUP(TableQR[[#This Row],[BARCODES]],ILACLISTE[#All],2,0),"")</f>
        <v/>
      </c>
      <c r="D2502" s="2">
        <f t="shared" si="38"/>
        <v>0</v>
      </c>
      <c r="E2502" s="14" t="str">
        <f>IFERROR(GIZLI!G2497,"")</f>
        <v/>
      </c>
    </row>
    <row r="2503" spans="2:5" x14ac:dyDescent="0.3">
      <c r="B2503" s="2" t="str">
        <f>MID(TableQR[[#This Row],[QR CODES]],4,13)</f>
        <v/>
      </c>
      <c r="C2503" s="2" t="str">
        <f>IFERROR(VLOOKUP(TableQR[[#This Row],[BARCODES]],ILACLISTE[#All],2,0),"")</f>
        <v/>
      </c>
      <c r="D2503" s="2">
        <f t="shared" si="38"/>
        <v>0</v>
      </c>
      <c r="E2503" s="14" t="str">
        <f>IFERROR(GIZLI!G2498,"")</f>
        <v/>
      </c>
    </row>
    <row r="2504" spans="2:5" x14ac:dyDescent="0.3">
      <c r="B2504" s="2" t="str">
        <f>MID(TableQR[[#This Row],[QR CODES]],4,13)</f>
        <v/>
      </c>
      <c r="C2504" s="2" t="str">
        <f>IFERROR(VLOOKUP(TableQR[[#This Row],[BARCODES]],ILACLISTE[#All],2,0),"")</f>
        <v/>
      </c>
      <c r="D2504" s="2">
        <f t="shared" ref="D2504:D2567" si="39">COUNTIF(B2504:B6497,IF(B2504="",66666,B2504))</f>
        <v>0</v>
      </c>
      <c r="E2504" s="14" t="str">
        <f>IFERROR(GIZLI!G2499,"")</f>
        <v/>
      </c>
    </row>
    <row r="2505" spans="2:5" x14ac:dyDescent="0.3">
      <c r="B2505" s="2" t="str">
        <f>MID(TableQR[[#This Row],[QR CODES]],4,13)</f>
        <v/>
      </c>
      <c r="C2505" s="2" t="str">
        <f>IFERROR(VLOOKUP(TableQR[[#This Row],[BARCODES]],ILACLISTE[#All],2,0),"")</f>
        <v/>
      </c>
      <c r="D2505" s="2">
        <f t="shared" si="39"/>
        <v>0</v>
      </c>
      <c r="E2505" s="14" t="str">
        <f>IFERROR(GIZLI!G2500,"")</f>
        <v/>
      </c>
    </row>
    <row r="2506" spans="2:5" x14ac:dyDescent="0.3">
      <c r="B2506" s="2" t="str">
        <f>MID(TableQR[[#This Row],[QR CODES]],4,13)</f>
        <v/>
      </c>
      <c r="C2506" s="2" t="str">
        <f>IFERROR(VLOOKUP(TableQR[[#This Row],[BARCODES]],ILACLISTE[#All],2,0),"")</f>
        <v/>
      </c>
      <c r="D2506" s="2">
        <f t="shared" si="39"/>
        <v>0</v>
      </c>
      <c r="E2506" s="14" t="str">
        <f>IFERROR(GIZLI!G2501,"")</f>
        <v/>
      </c>
    </row>
    <row r="2507" spans="2:5" x14ac:dyDescent="0.3">
      <c r="B2507" s="2" t="str">
        <f>MID(TableQR[[#This Row],[QR CODES]],4,13)</f>
        <v/>
      </c>
      <c r="C2507" s="2" t="str">
        <f>IFERROR(VLOOKUP(TableQR[[#This Row],[BARCODES]],ILACLISTE[#All],2,0),"")</f>
        <v/>
      </c>
      <c r="D2507" s="2">
        <f t="shared" si="39"/>
        <v>0</v>
      </c>
      <c r="E2507" s="14" t="str">
        <f>IFERROR(GIZLI!G2502,"")</f>
        <v/>
      </c>
    </row>
    <row r="2508" spans="2:5" x14ac:dyDescent="0.3">
      <c r="B2508" s="2" t="str">
        <f>MID(TableQR[[#This Row],[QR CODES]],4,13)</f>
        <v/>
      </c>
      <c r="C2508" s="2" t="str">
        <f>IFERROR(VLOOKUP(TableQR[[#This Row],[BARCODES]],ILACLISTE[#All],2,0),"")</f>
        <v/>
      </c>
      <c r="D2508" s="2">
        <f t="shared" si="39"/>
        <v>0</v>
      </c>
      <c r="E2508" s="14" t="str">
        <f>IFERROR(GIZLI!G2503,"")</f>
        <v/>
      </c>
    </row>
    <row r="2509" spans="2:5" x14ac:dyDescent="0.3">
      <c r="B2509" s="2" t="str">
        <f>MID(TableQR[[#This Row],[QR CODES]],4,13)</f>
        <v/>
      </c>
      <c r="C2509" s="2" t="str">
        <f>IFERROR(VLOOKUP(TableQR[[#This Row],[BARCODES]],ILACLISTE[#All],2,0),"")</f>
        <v/>
      </c>
      <c r="D2509" s="2">
        <f t="shared" si="39"/>
        <v>0</v>
      </c>
      <c r="E2509" s="14" t="str">
        <f>IFERROR(GIZLI!G2504,"")</f>
        <v/>
      </c>
    </row>
    <row r="2510" spans="2:5" x14ac:dyDescent="0.3">
      <c r="B2510" s="2" t="str">
        <f>MID(TableQR[[#This Row],[QR CODES]],4,13)</f>
        <v/>
      </c>
      <c r="C2510" s="2" t="str">
        <f>IFERROR(VLOOKUP(TableQR[[#This Row],[BARCODES]],ILACLISTE[#All],2,0),"")</f>
        <v/>
      </c>
      <c r="D2510" s="2">
        <f t="shared" si="39"/>
        <v>0</v>
      </c>
      <c r="E2510" s="14" t="str">
        <f>IFERROR(GIZLI!G2505,"")</f>
        <v/>
      </c>
    </row>
    <row r="2511" spans="2:5" x14ac:dyDescent="0.3">
      <c r="B2511" s="2" t="str">
        <f>MID(TableQR[[#This Row],[QR CODES]],4,13)</f>
        <v/>
      </c>
      <c r="C2511" s="2" t="str">
        <f>IFERROR(VLOOKUP(TableQR[[#This Row],[BARCODES]],ILACLISTE[#All],2,0),"")</f>
        <v/>
      </c>
      <c r="D2511" s="2">
        <f t="shared" si="39"/>
        <v>0</v>
      </c>
      <c r="E2511" s="14" t="str">
        <f>IFERROR(GIZLI!G2506,"")</f>
        <v/>
      </c>
    </row>
    <row r="2512" spans="2:5" x14ac:dyDescent="0.3">
      <c r="B2512" s="2" t="str">
        <f>MID(TableQR[[#This Row],[QR CODES]],4,13)</f>
        <v/>
      </c>
      <c r="C2512" s="2" t="str">
        <f>IFERROR(VLOOKUP(TableQR[[#This Row],[BARCODES]],ILACLISTE[#All],2,0),"")</f>
        <v/>
      </c>
      <c r="D2512" s="2">
        <f t="shared" si="39"/>
        <v>0</v>
      </c>
      <c r="E2512" s="14" t="str">
        <f>IFERROR(GIZLI!G2507,"")</f>
        <v/>
      </c>
    </row>
    <row r="2513" spans="2:5" x14ac:dyDescent="0.3">
      <c r="B2513" s="2" t="str">
        <f>MID(TableQR[[#This Row],[QR CODES]],4,13)</f>
        <v/>
      </c>
      <c r="C2513" s="2" t="str">
        <f>IFERROR(VLOOKUP(TableQR[[#This Row],[BARCODES]],ILACLISTE[#All],2,0),"")</f>
        <v/>
      </c>
      <c r="D2513" s="2">
        <f t="shared" si="39"/>
        <v>0</v>
      </c>
      <c r="E2513" s="14" t="str">
        <f>IFERROR(GIZLI!G2508,"")</f>
        <v/>
      </c>
    </row>
    <row r="2514" spans="2:5" x14ac:dyDescent="0.3">
      <c r="B2514" s="2" t="str">
        <f>MID(TableQR[[#This Row],[QR CODES]],4,13)</f>
        <v/>
      </c>
      <c r="C2514" s="2" t="str">
        <f>IFERROR(VLOOKUP(TableQR[[#This Row],[BARCODES]],ILACLISTE[#All],2,0),"")</f>
        <v/>
      </c>
      <c r="D2514" s="2">
        <f t="shared" si="39"/>
        <v>0</v>
      </c>
      <c r="E2514" s="14" t="str">
        <f>IFERROR(GIZLI!G2509,"")</f>
        <v/>
      </c>
    </row>
    <row r="2515" spans="2:5" x14ac:dyDescent="0.3">
      <c r="B2515" s="2" t="str">
        <f>MID(TableQR[[#This Row],[QR CODES]],4,13)</f>
        <v/>
      </c>
      <c r="C2515" s="2" t="str">
        <f>IFERROR(VLOOKUP(TableQR[[#This Row],[BARCODES]],ILACLISTE[#All],2,0),"")</f>
        <v/>
      </c>
      <c r="D2515" s="2">
        <f t="shared" si="39"/>
        <v>0</v>
      </c>
      <c r="E2515" s="14" t="str">
        <f>IFERROR(GIZLI!G2510,"")</f>
        <v/>
      </c>
    </row>
    <row r="2516" spans="2:5" x14ac:dyDescent="0.3">
      <c r="B2516" s="2" t="str">
        <f>MID(TableQR[[#This Row],[QR CODES]],4,13)</f>
        <v/>
      </c>
      <c r="C2516" s="2" t="str">
        <f>IFERROR(VLOOKUP(TableQR[[#This Row],[BARCODES]],ILACLISTE[#All],2,0),"")</f>
        <v/>
      </c>
      <c r="D2516" s="2">
        <f t="shared" si="39"/>
        <v>0</v>
      </c>
      <c r="E2516" s="14" t="str">
        <f>IFERROR(GIZLI!G2511,"")</f>
        <v/>
      </c>
    </row>
    <row r="2517" spans="2:5" x14ac:dyDescent="0.3">
      <c r="B2517" s="2" t="str">
        <f>MID(TableQR[[#This Row],[QR CODES]],4,13)</f>
        <v/>
      </c>
      <c r="C2517" s="2" t="str">
        <f>IFERROR(VLOOKUP(TableQR[[#This Row],[BARCODES]],ILACLISTE[#All],2,0),"")</f>
        <v/>
      </c>
      <c r="D2517" s="2">
        <f t="shared" si="39"/>
        <v>0</v>
      </c>
      <c r="E2517" s="14" t="str">
        <f>IFERROR(GIZLI!G2512,"")</f>
        <v/>
      </c>
    </row>
    <row r="2518" spans="2:5" x14ac:dyDescent="0.3">
      <c r="B2518" s="2" t="str">
        <f>MID(TableQR[[#This Row],[QR CODES]],4,13)</f>
        <v/>
      </c>
      <c r="C2518" s="2" t="str">
        <f>IFERROR(VLOOKUP(TableQR[[#This Row],[BARCODES]],ILACLISTE[#All],2,0),"")</f>
        <v/>
      </c>
      <c r="D2518" s="2">
        <f t="shared" si="39"/>
        <v>0</v>
      </c>
      <c r="E2518" s="14" t="str">
        <f>IFERROR(GIZLI!G2513,"")</f>
        <v/>
      </c>
    </row>
    <row r="2519" spans="2:5" x14ac:dyDescent="0.3">
      <c r="B2519" s="2" t="str">
        <f>MID(TableQR[[#This Row],[QR CODES]],4,13)</f>
        <v/>
      </c>
      <c r="C2519" s="2" t="str">
        <f>IFERROR(VLOOKUP(TableQR[[#This Row],[BARCODES]],ILACLISTE[#All],2,0),"")</f>
        <v/>
      </c>
      <c r="D2519" s="2">
        <f t="shared" si="39"/>
        <v>0</v>
      </c>
      <c r="E2519" s="14" t="str">
        <f>IFERROR(GIZLI!G2514,"")</f>
        <v/>
      </c>
    </row>
    <row r="2520" spans="2:5" x14ac:dyDescent="0.3">
      <c r="B2520" s="2" t="str">
        <f>MID(TableQR[[#This Row],[QR CODES]],4,13)</f>
        <v/>
      </c>
      <c r="C2520" s="2" t="str">
        <f>IFERROR(VLOOKUP(TableQR[[#This Row],[BARCODES]],ILACLISTE[#All],2,0),"")</f>
        <v/>
      </c>
      <c r="D2520" s="2">
        <f t="shared" si="39"/>
        <v>0</v>
      </c>
      <c r="E2520" s="14" t="str">
        <f>IFERROR(GIZLI!G2515,"")</f>
        <v/>
      </c>
    </row>
    <row r="2521" spans="2:5" x14ac:dyDescent="0.3">
      <c r="B2521" s="2" t="str">
        <f>MID(TableQR[[#This Row],[QR CODES]],4,13)</f>
        <v/>
      </c>
      <c r="C2521" s="2" t="str">
        <f>IFERROR(VLOOKUP(TableQR[[#This Row],[BARCODES]],ILACLISTE[#All],2,0),"")</f>
        <v/>
      </c>
      <c r="D2521" s="2">
        <f t="shared" si="39"/>
        <v>0</v>
      </c>
      <c r="E2521" s="14" t="str">
        <f>IFERROR(GIZLI!G2516,"")</f>
        <v/>
      </c>
    </row>
    <row r="2522" spans="2:5" x14ac:dyDescent="0.3">
      <c r="B2522" s="2" t="str">
        <f>MID(TableQR[[#This Row],[QR CODES]],4,13)</f>
        <v/>
      </c>
      <c r="C2522" s="2" t="str">
        <f>IFERROR(VLOOKUP(TableQR[[#This Row],[BARCODES]],ILACLISTE[#All],2,0),"")</f>
        <v/>
      </c>
      <c r="D2522" s="2">
        <f t="shared" si="39"/>
        <v>0</v>
      </c>
      <c r="E2522" s="14" t="str">
        <f>IFERROR(GIZLI!G2517,"")</f>
        <v/>
      </c>
    </row>
    <row r="2523" spans="2:5" x14ac:dyDescent="0.3">
      <c r="B2523" s="2" t="str">
        <f>MID(TableQR[[#This Row],[QR CODES]],4,13)</f>
        <v/>
      </c>
      <c r="C2523" s="2" t="str">
        <f>IFERROR(VLOOKUP(TableQR[[#This Row],[BARCODES]],ILACLISTE[#All],2,0),"")</f>
        <v/>
      </c>
      <c r="D2523" s="2">
        <f t="shared" si="39"/>
        <v>0</v>
      </c>
      <c r="E2523" s="14" t="str">
        <f>IFERROR(GIZLI!G2518,"")</f>
        <v/>
      </c>
    </row>
    <row r="2524" spans="2:5" x14ac:dyDescent="0.3">
      <c r="B2524" s="2" t="str">
        <f>MID(TableQR[[#This Row],[QR CODES]],4,13)</f>
        <v/>
      </c>
      <c r="C2524" s="2" t="str">
        <f>IFERROR(VLOOKUP(TableQR[[#This Row],[BARCODES]],ILACLISTE[#All],2,0),"")</f>
        <v/>
      </c>
      <c r="D2524" s="2">
        <f t="shared" si="39"/>
        <v>0</v>
      </c>
      <c r="E2524" s="14" t="str">
        <f>IFERROR(GIZLI!G2519,"")</f>
        <v/>
      </c>
    </row>
    <row r="2525" spans="2:5" x14ac:dyDescent="0.3">
      <c r="B2525" s="2" t="str">
        <f>MID(TableQR[[#This Row],[QR CODES]],4,13)</f>
        <v/>
      </c>
      <c r="C2525" s="2" t="str">
        <f>IFERROR(VLOOKUP(TableQR[[#This Row],[BARCODES]],ILACLISTE[#All],2,0),"")</f>
        <v/>
      </c>
      <c r="D2525" s="2">
        <f t="shared" si="39"/>
        <v>0</v>
      </c>
      <c r="E2525" s="14" t="str">
        <f>IFERROR(GIZLI!G2520,"")</f>
        <v/>
      </c>
    </row>
    <row r="2526" spans="2:5" x14ac:dyDescent="0.3">
      <c r="B2526" s="2" t="str">
        <f>MID(TableQR[[#This Row],[QR CODES]],4,13)</f>
        <v/>
      </c>
      <c r="C2526" s="2" t="str">
        <f>IFERROR(VLOOKUP(TableQR[[#This Row],[BARCODES]],ILACLISTE[#All],2,0),"")</f>
        <v/>
      </c>
      <c r="D2526" s="2">
        <f t="shared" si="39"/>
        <v>0</v>
      </c>
      <c r="E2526" s="14" t="str">
        <f>IFERROR(GIZLI!G2521,"")</f>
        <v/>
      </c>
    </row>
    <row r="2527" spans="2:5" x14ac:dyDescent="0.3">
      <c r="B2527" s="2" t="str">
        <f>MID(TableQR[[#This Row],[QR CODES]],4,13)</f>
        <v/>
      </c>
      <c r="C2527" s="2" t="str">
        <f>IFERROR(VLOOKUP(TableQR[[#This Row],[BARCODES]],ILACLISTE[#All],2,0),"")</f>
        <v/>
      </c>
      <c r="D2527" s="2">
        <f t="shared" si="39"/>
        <v>0</v>
      </c>
      <c r="E2527" s="14" t="str">
        <f>IFERROR(GIZLI!G2522,"")</f>
        <v/>
      </c>
    </row>
    <row r="2528" spans="2:5" x14ac:dyDescent="0.3">
      <c r="B2528" s="2" t="str">
        <f>MID(TableQR[[#This Row],[QR CODES]],4,13)</f>
        <v/>
      </c>
      <c r="C2528" s="2" t="str">
        <f>IFERROR(VLOOKUP(TableQR[[#This Row],[BARCODES]],ILACLISTE[#All],2,0),"")</f>
        <v/>
      </c>
      <c r="D2528" s="2">
        <f t="shared" si="39"/>
        <v>0</v>
      </c>
      <c r="E2528" s="14" t="str">
        <f>IFERROR(GIZLI!G2523,"")</f>
        <v/>
      </c>
    </row>
    <row r="2529" spans="2:5" x14ac:dyDescent="0.3">
      <c r="B2529" s="2" t="str">
        <f>MID(TableQR[[#This Row],[QR CODES]],4,13)</f>
        <v/>
      </c>
      <c r="C2529" s="2" t="str">
        <f>IFERROR(VLOOKUP(TableQR[[#This Row],[BARCODES]],ILACLISTE[#All],2,0),"")</f>
        <v/>
      </c>
      <c r="D2529" s="2">
        <f t="shared" si="39"/>
        <v>0</v>
      </c>
      <c r="E2529" s="14" t="str">
        <f>IFERROR(GIZLI!G2524,"")</f>
        <v/>
      </c>
    </row>
    <row r="2530" spans="2:5" x14ac:dyDescent="0.3">
      <c r="B2530" s="2" t="str">
        <f>MID(TableQR[[#This Row],[QR CODES]],4,13)</f>
        <v/>
      </c>
      <c r="C2530" s="2" t="str">
        <f>IFERROR(VLOOKUP(TableQR[[#This Row],[BARCODES]],ILACLISTE[#All],2,0),"")</f>
        <v/>
      </c>
      <c r="D2530" s="2">
        <f t="shared" si="39"/>
        <v>0</v>
      </c>
      <c r="E2530" s="14" t="str">
        <f>IFERROR(GIZLI!G2525,"")</f>
        <v/>
      </c>
    </row>
    <row r="2531" spans="2:5" x14ac:dyDescent="0.3">
      <c r="B2531" s="2" t="str">
        <f>MID(TableQR[[#This Row],[QR CODES]],4,13)</f>
        <v/>
      </c>
      <c r="C2531" s="2" t="str">
        <f>IFERROR(VLOOKUP(TableQR[[#This Row],[BARCODES]],ILACLISTE[#All],2,0),"")</f>
        <v/>
      </c>
      <c r="D2531" s="2">
        <f t="shared" si="39"/>
        <v>0</v>
      </c>
      <c r="E2531" s="14" t="str">
        <f>IFERROR(GIZLI!G2526,"")</f>
        <v/>
      </c>
    </row>
    <row r="2532" spans="2:5" x14ac:dyDescent="0.3">
      <c r="B2532" s="2" t="str">
        <f>MID(TableQR[[#This Row],[QR CODES]],4,13)</f>
        <v/>
      </c>
      <c r="C2532" s="2" t="str">
        <f>IFERROR(VLOOKUP(TableQR[[#This Row],[BARCODES]],ILACLISTE[#All],2,0),"")</f>
        <v/>
      </c>
      <c r="D2532" s="2">
        <f t="shared" si="39"/>
        <v>0</v>
      </c>
      <c r="E2532" s="14" t="str">
        <f>IFERROR(GIZLI!G2527,"")</f>
        <v/>
      </c>
    </row>
    <row r="2533" spans="2:5" x14ac:dyDescent="0.3">
      <c r="B2533" s="2" t="str">
        <f>MID(TableQR[[#This Row],[QR CODES]],4,13)</f>
        <v/>
      </c>
      <c r="C2533" s="2" t="str">
        <f>IFERROR(VLOOKUP(TableQR[[#This Row],[BARCODES]],ILACLISTE[#All],2,0),"")</f>
        <v/>
      </c>
      <c r="D2533" s="2">
        <f t="shared" si="39"/>
        <v>0</v>
      </c>
      <c r="E2533" s="14" t="str">
        <f>IFERROR(GIZLI!G2528,"")</f>
        <v/>
      </c>
    </row>
    <row r="2534" spans="2:5" x14ac:dyDescent="0.3">
      <c r="B2534" s="2" t="str">
        <f>MID(TableQR[[#This Row],[QR CODES]],4,13)</f>
        <v/>
      </c>
      <c r="C2534" s="2" t="str">
        <f>IFERROR(VLOOKUP(TableQR[[#This Row],[BARCODES]],ILACLISTE[#All],2,0),"")</f>
        <v/>
      </c>
      <c r="D2534" s="2">
        <f t="shared" si="39"/>
        <v>0</v>
      </c>
      <c r="E2534" s="14" t="str">
        <f>IFERROR(GIZLI!G2529,"")</f>
        <v/>
      </c>
    </row>
    <row r="2535" spans="2:5" x14ac:dyDescent="0.3">
      <c r="B2535" s="2" t="str">
        <f>MID(TableQR[[#This Row],[QR CODES]],4,13)</f>
        <v/>
      </c>
      <c r="C2535" s="2" t="str">
        <f>IFERROR(VLOOKUP(TableQR[[#This Row],[BARCODES]],ILACLISTE[#All],2,0),"")</f>
        <v/>
      </c>
      <c r="D2535" s="2">
        <f t="shared" si="39"/>
        <v>0</v>
      </c>
      <c r="E2535" s="14" t="str">
        <f>IFERROR(GIZLI!G2530,"")</f>
        <v/>
      </c>
    </row>
    <row r="2536" spans="2:5" x14ac:dyDescent="0.3">
      <c r="B2536" s="2" t="str">
        <f>MID(TableQR[[#This Row],[QR CODES]],4,13)</f>
        <v/>
      </c>
      <c r="C2536" s="2" t="str">
        <f>IFERROR(VLOOKUP(TableQR[[#This Row],[BARCODES]],ILACLISTE[#All],2,0),"")</f>
        <v/>
      </c>
      <c r="D2536" s="2">
        <f t="shared" si="39"/>
        <v>0</v>
      </c>
      <c r="E2536" s="14" t="str">
        <f>IFERROR(GIZLI!G2531,"")</f>
        <v/>
      </c>
    </row>
    <row r="2537" spans="2:5" x14ac:dyDescent="0.3">
      <c r="B2537" s="2" t="str">
        <f>MID(TableQR[[#This Row],[QR CODES]],4,13)</f>
        <v/>
      </c>
      <c r="C2537" s="2" t="str">
        <f>IFERROR(VLOOKUP(TableQR[[#This Row],[BARCODES]],ILACLISTE[#All],2,0),"")</f>
        <v/>
      </c>
      <c r="D2537" s="2">
        <f t="shared" si="39"/>
        <v>0</v>
      </c>
      <c r="E2537" s="14" t="str">
        <f>IFERROR(GIZLI!G2532,"")</f>
        <v/>
      </c>
    </row>
    <row r="2538" spans="2:5" x14ac:dyDescent="0.3">
      <c r="B2538" s="2" t="str">
        <f>MID(TableQR[[#This Row],[QR CODES]],4,13)</f>
        <v/>
      </c>
      <c r="C2538" s="2" t="str">
        <f>IFERROR(VLOOKUP(TableQR[[#This Row],[BARCODES]],ILACLISTE[#All],2,0),"")</f>
        <v/>
      </c>
      <c r="D2538" s="2">
        <f t="shared" si="39"/>
        <v>0</v>
      </c>
      <c r="E2538" s="14" t="str">
        <f>IFERROR(GIZLI!G2533,"")</f>
        <v/>
      </c>
    </row>
    <row r="2539" spans="2:5" x14ac:dyDescent="0.3">
      <c r="B2539" s="2" t="str">
        <f>MID(TableQR[[#This Row],[QR CODES]],4,13)</f>
        <v/>
      </c>
      <c r="C2539" s="2" t="str">
        <f>IFERROR(VLOOKUP(TableQR[[#This Row],[BARCODES]],ILACLISTE[#All],2,0),"")</f>
        <v/>
      </c>
      <c r="D2539" s="2">
        <f t="shared" si="39"/>
        <v>0</v>
      </c>
      <c r="E2539" s="14" t="str">
        <f>IFERROR(GIZLI!G2534,"")</f>
        <v/>
      </c>
    </row>
    <row r="2540" spans="2:5" x14ac:dyDescent="0.3">
      <c r="B2540" s="2" t="str">
        <f>MID(TableQR[[#This Row],[QR CODES]],4,13)</f>
        <v/>
      </c>
      <c r="C2540" s="2" t="str">
        <f>IFERROR(VLOOKUP(TableQR[[#This Row],[BARCODES]],ILACLISTE[#All],2,0),"")</f>
        <v/>
      </c>
      <c r="D2540" s="2">
        <f t="shared" si="39"/>
        <v>0</v>
      </c>
      <c r="E2540" s="14" t="str">
        <f>IFERROR(GIZLI!G2535,"")</f>
        <v/>
      </c>
    </row>
    <row r="2541" spans="2:5" x14ac:dyDescent="0.3">
      <c r="B2541" s="2" t="str">
        <f>MID(TableQR[[#This Row],[QR CODES]],4,13)</f>
        <v/>
      </c>
      <c r="C2541" s="2" t="str">
        <f>IFERROR(VLOOKUP(TableQR[[#This Row],[BARCODES]],ILACLISTE[#All],2,0),"")</f>
        <v/>
      </c>
      <c r="D2541" s="2">
        <f t="shared" si="39"/>
        <v>0</v>
      </c>
      <c r="E2541" s="14" t="str">
        <f>IFERROR(GIZLI!G2536,"")</f>
        <v/>
      </c>
    </row>
    <row r="2542" spans="2:5" x14ac:dyDescent="0.3">
      <c r="B2542" s="2" t="str">
        <f>MID(TableQR[[#This Row],[QR CODES]],4,13)</f>
        <v/>
      </c>
      <c r="C2542" s="2" t="str">
        <f>IFERROR(VLOOKUP(TableQR[[#This Row],[BARCODES]],ILACLISTE[#All],2,0),"")</f>
        <v/>
      </c>
      <c r="D2542" s="2">
        <f t="shared" si="39"/>
        <v>0</v>
      </c>
      <c r="E2542" s="14" t="str">
        <f>IFERROR(GIZLI!G2537,"")</f>
        <v/>
      </c>
    </row>
    <row r="2543" spans="2:5" x14ac:dyDescent="0.3">
      <c r="B2543" s="2" t="str">
        <f>MID(TableQR[[#This Row],[QR CODES]],4,13)</f>
        <v/>
      </c>
      <c r="C2543" s="2" t="str">
        <f>IFERROR(VLOOKUP(TableQR[[#This Row],[BARCODES]],ILACLISTE[#All],2,0),"")</f>
        <v/>
      </c>
      <c r="D2543" s="2">
        <f t="shared" si="39"/>
        <v>0</v>
      </c>
      <c r="E2543" s="14" t="str">
        <f>IFERROR(GIZLI!G2538,"")</f>
        <v/>
      </c>
    </row>
    <row r="2544" spans="2:5" x14ac:dyDescent="0.3">
      <c r="B2544" s="2" t="str">
        <f>MID(TableQR[[#This Row],[QR CODES]],4,13)</f>
        <v/>
      </c>
      <c r="C2544" s="2" t="str">
        <f>IFERROR(VLOOKUP(TableQR[[#This Row],[BARCODES]],ILACLISTE[#All],2,0),"")</f>
        <v/>
      </c>
      <c r="D2544" s="2">
        <f t="shared" si="39"/>
        <v>0</v>
      </c>
      <c r="E2544" s="14" t="str">
        <f>IFERROR(GIZLI!G2539,"")</f>
        <v/>
      </c>
    </row>
    <row r="2545" spans="2:5" x14ac:dyDescent="0.3">
      <c r="B2545" s="2" t="str">
        <f>MID(TableQR[[#This Row],[QR CODES]],4,13)</f>
        <v/>
      </c>
      <c r="C2545" s="2" t="str">
        <f>IFERROR(VLOOKUP(TableQR[[#This Row],[BARCODES]],ILACLISTE[#All],2,0),"")</f>
        <v/>
      </c>
      <c r="D2545" s="2">
        <f t="shared" si="39"/>
        <v>0</v>
      </c>
      <c r="E2545" s="14" t="str">
        <f>IFERROR(GIZLI!G2540,"")</f>
        <v/>
      </c>
    </row>
    <row r="2546" spans="2:5" x14ac:dyDescent="0.3">
      <c r="B2546" s="2" t="str">
        <f>MID(TableQR[[#This Row],[QR CODES]],4,13)</f>
        <v/>
      </c>
      <c r="C2546" s="2" t="str">
        <f>IFERROR(VLOOKUP(TableQR[[#This Row],[BARCODES]],ILACLISTE[#All],2,0),"")</f>
        <v/>
      </c>
      <c r="D2546" s="2">
        <f t="shared" si="39"/>
        <v>0</v>
      </c>
      <c r="E2546" s="14" t="str">
        <f>IFERROR(GIZLI!G2541,"")</f>
        <v/>
      </c>
    </row>
    <row r="2547" spans="2:5" x14ac:dyDescent="0.3">
      <c r="B2547" s="2" t="str">
        <f>MID(TableQR[[#This Row],[QR CODES]],4,13)</f>
        <v/>
      </c>
      <c r="C2547" s="2" t="str">
        <f>IFERROR(VLOOKUP(TableQR[[#This Row],[BARCODES]],ILACLISTE[#All],2,0),"")</f>
        <v/>
      </c>
      <c r="D2547" s="2">
        <f t="shared" si="39"/>
        <v>0</v>
      </c>
      <c r="E2547" s="14" t="str">
        <f>IFERROR(GIZLI!G2542,"")</f>
        <v/>
      </c>
    </row>
    <row r="2548" spans="2:5" x14ac:dyDescent="0.3">
      <c r="B2548" s="2" t="str">
        <f>MID(TableQR[[#This Row],[QR CODES]],4,13)</f>
        <v/>
      </c>
      <c r="C2548" s="2" t="str">
        <f>IFERROR(VLOOKUP(TableQR[[#This Row],[BARCODES]],ILACLISTE[#All],2,0),"")</f>
        <v/>
      </c>
      <c r="D2548" s="2">
        <f t="shared" si="39"/>
        <v>0</v>
      </c>
      <c r="E2548" s="14" t="str">
        <f>IFERROR(GIZLI!G2543,"")</f>
        <v/>
      </c>
    </row>
    <row r="2549" spans="2:5" x14ac:dyDescent="0.3">
      <c r="B2549" s="2" t="str">
        <f>MID(TableQR[[#This Row],[QR CODES]],4,13)</f>
        <v/>
      </c>
      <c r="C2549" s="2" t="str">
        <f>IFERROR(VLOOKUP(TableQR[[#This Row],[BARCODES]],ILACLISTE[#All],2,0),"")</f>
        <v/>
      </c>
      <c r="D2549" s="2">
        <f t="shared" si="39"/>
        <v>0</v>
      </c>
      <c r="E2549" s="14" t="str">
        <f>IFERROR(GIZLI!G2544,"")</f>
        <v/>
      </c>
    </row>
    <row r="2550" spans="2:5" x14ac:dyDescent="0.3">
      <c r="B2550" s="2" t="str">
        <f>MID(TableQR[[#This Row],[QR CODES]],4,13)</f>
        <v/>
      </c>
      <c r="C2550" s="2" t="str">
        <f>IFERROR(VLOOKUP(TableQR[[#This Row],[BARCODES]],ILACLISTE[#All],2,0),"")</f>
        <v/>
      </c>
      <c r="D2550" s="2">
        <f t="shared" si="39"/>
        <v>0</v>
      </c>
      <c r="E2550" s="14" t="str">
        <f>IFERROR(GIZLI!G2545,"")</f>
        <v/>
      </c>
    </row>
    <row r="2551" spans="2:5" x14ac:dyDescent="0.3">
      <c r="B2551" s="2" t="str">
        <f>MID(TableQR[[#This Row],[QR CODES]],4,13)</f>
        <v/>
      </c>
      <c r="C2551" s="2" t="str">
        <f>IFERROR(VLOOKUP(TableQR[[#This Row],[BARCODES]],ILACLISTE[#All],2,0),"")</f>
        <v/>
      </c>
      <c r="D2551" s="2">
        <f t="shared" si="39"/>
        <v>0</v>
      </c>
      <c r="E2551" s="14" t="str">
        <f>IFERROR(GIZLI!G2546,"")</f>
        <v/>
      </c>
    </row>
    <row r="2552" spans="2:5" x14ac:dyDescent="0.3">
      <c r="B2552" s="2" t="str">
        <f>MID(TableQR[[#This Row],[QR CODES]],4,13)</f>
        <v/>
      </c>
      <c r="C2552" s="2" t="str">
        <f>IFERROR(VLOOKUP(TableQR[[#This Row],[BARCODES]],ILACLISTE[#All],2,0),"")</f>
        <v/>
      </c>
      <c r="D2552" s="2">
        <f t="shared" si="39"/>
        <v>0</v>
      </c>
      <c r="E2552" s="14" t="str">
        <f>IFERROR(GIZLI!G2547,"")</f>
        <v/>
      </c>
    </row>
    <row r="2553" spans="2:5" x14ac:dyDescent="0.3">
      <c r="B2553" s="2" t="str">
        <f>MID(TableQR[[#This Row],[QR CODES]],4,13)</f>
        <v/>
      </c>
      <c r="C2553" s="2" t="str">
        <f>IFERROR(VLOOKUP(TableQR[[#This Row],[BARCODES]],ILACLISTE[#All],2,0),"")</f>
        <v/>
      </c>
      <c r="D2553" s="2">
        <f t="shared" si="39"/>
        <v>0</v>
      </c>
      <c r="E2553" s="14" t="str">
        <f>IFERROR(GIZLI!G2548,"")</f>
        <v/>
      </c>
    </row>
    <row r="2554" spans="2:5" x14ac:dyDescent="0.3">
      <c r="B2554" s="2" t="str">
        <f>MID(TableQR[[#This Row],[QR CODES]],4,13)</f>
        <v/>
      </c>
      <c r="C2554" s="2" t="str">
        <f>IFERROR(VLOOKUP(TableQR[[#This Row],[BARCODES]],ILACLISTE[#All],2,0),"")</f>
        <v/>
      </c>
      <c r="D2554" s="2">
        <f t="shared" si="39"/>
        <v>0</v>
      </c>
      <c r="E2554" s="14" t="str">
        <f>IFERROR(GIZLI!G2549,"")</f>
        <v/>
      </c>
    </row>
    <row r="2555" spans="2:5" x14ac:dyDescent="0.3">
      <c r="B2555" s="2" t="str">
        <f>MID(TableQR[[#This Row],[QR CODES]],4,13)</f>
        <v/>
      </c>
      <c r="C2555" s="2" t="str">
        <f>IFERROR(VLOOKUP(TableQR[[#This Row],[BARCODES]],ILACLISTE[#All],2,0),"")</f>
        <v/>
      </c>
      <c r="D2555" s="2">
        <f t="shared" si="39"/>
        <v>0</v>
      </c>
      <c r="E2555" s="14" t="str">
        <f>IFERROR(GIZLI!G2550,"")</f>
        <v/>
      </c>
    </row>
    <row r="2556" spans="2:5" x14ac:dyDescent="0.3">
      <c r="B2556" s="2" t="str">
        <f>MID(TableQR[[#This Row],[QR CODES]],4,13)</f>
        <v/>
      </c>
      <c r="C2556" s="2" t="str">
        <f>IFERROR(VLOOKUP(TableQR[[#This Row],[BARCODES]],ILACLISTE[#All],2,0),"")</f>
        <v/>
      </c>
      <c r="D2556" s="2">
        <f t="shared" si="39"/>
        <v>0</v>
      </c>
      <c r="E2556" s="14" t="str">
        <f>IFERROR(GIZLI!G2551,"")</f>
        <v/>
      </c>
    </row>
    <row r="2557" spans="2:5" x14ac:dyDescent="0.3">
      <c r="B2557" s="2" t="str">
        <f>MID(TableQR[[#This Row],[QR CODES]],4,13)</f>
        <v/>
      </c>
      <c r="C2557" s="2" t="str">
        <f>IFERROR(VLOOKUP(TableQR[[#This Row],[BARCODES]],ILACLISTE[#All],2,0),"")</f>
        <v/>
      </c>
      <c r="D2557" s="2">
        <f t="shared" si="39"/>
        <v>0</v>
      </c>
      <c r="E2557" s="14" t="str">
        <f>IFERROR(GIZLI!G2552,"")</f>
        <v/>
      </c>
    </row>
    <row r="2558" spans="2:5" x14ac:dyDescent="0.3">
      <c r="B2558" s="2" t="str">
        <f>MID(TableQR[[#This Row],[QR CODES]],4,13)</f>
        <v/>
      </c>
      <c r="C2558" s="2" t="str">
        <f>IFERROR(VLOOKUP(TableQR[[#This Row],[BARCODES]],ILACLISTE[#All],2,0),"")</f>
        <v/>
      </c>
      <c r="D2558" s="2">
        <f t="shared" si="39"/>
        <v>0</v>
      </c>
      <c r="E2558" s="14" t="str">
        <f>IFERROR(GIZLI!G2553,"")</f>
        <v/>
      </c>
    </row>
    <row r="2559" spans="2:5" x14ac:dyDescent="0.3">
      <c r="B2559" s="2" t="str">
        <f>MID(TableQR[[#This Row],[QR CODES]],4,13)</f>
        <v/>
      </c>
      <c r="C2559" s="2" t="str">
        <f>IFERROR(VLOOKUP(TableQR[[#This Row],[BARCODES]],ILACLISTE[#All],2,0),"")</f>
        <v/>
      </c>
      <c r="D2559" s="2">
        <f t="shared" si="39"/>
        <v>0</v>
      </c>
      <c r="E2559" s="14" t="str">
        <f>IFERROR(GIZLI!G2554,"")</f>
        <v/>
      </c>
    </row>
    <row r="2560" spans="2:5" x14ac:dyDescent="0.3">
      <c r="B2560" s="2" t="str">
        <f>MID(TableQR[[#This Row],[QR CODES]],4,13)</f>
        <v/>
      </c>
      <c r="C2560" s="2" t="str">
        <f>IFERROR(VLOOKUP(TableQR[[#This Row],[BARCODES]],ILACLISTE[#All],2,0),"")</f>
        <v/>
      </c>
      <c r="D2560" s="2">
        <f t="shared" si="39"/>
        <v>0</v>
      </c>
      <c r="E2560" s="14" t="str">
        <f>IFERROR(GIZLI!G2555,"")</f>
        <v/>
      </c>
    </row>
    <row r="2561" spans="2:5" x14ac:dyDescent="0.3">
      <c r="B2561" s="2" t="str">
        <f>MID(TableQR[[#This Row],[QR CODES]],4,13)</f>
        <v/>
      </c>
      <c r="C2561" s="2" t="str">
        <f>IFERROR(VLOOKUP(TableQR[[#This Row],[BARCODES]],ILACLISTE[#All],2,0),"")</f>
        <v/>
      </c>
      <c r="D2561" s="2">
        <f t="shared" si="39"/>
        <v>0</v>
      </c>
      <c r="E2561" s="14" t="str">
        <f>IFERROR(GIZLI!G2556,"")</f>
        <v/>
      </c>
    </row>
    <row r="2562" spans="2:5" x14ac:dyDescent="0.3">
      <c r="B2562" s="2" t="str">
        <f>MID(TableQR[[#This Row],[QR CODES]],4,13)</f>
        <v/>
      </c>
      <c r="C2562" s="2" t="str">
        <f>IFERROR(VLOOKUP(TableQR[[#This Row],[BARCODES]],ILACLISTE[#All],2,0),"")</f>
        <v/>
      </c>
      <c r="D2562" s="2">
        <f t="shared" si="39"/>
        <v>0</v>
      </c>
      <c r="E2562" s="14" t="str">
        <f>IFERROR(GIZLI!G2557,"")</f>
        <v/>
      </c>
    </row>
    <row r="2563" spans="2:5" x14ac:dyDescent="0.3">
      <c r="B2563" s="2" t="str">
        <f>MID(TableQR[[#This Row],[QR CODES]],4,13)</f>
        <v/>
      </c>
      <c r="C2563" s="2" t="str">
        <f>IFERROR(VLOOKUP(TableQR[[#This Row],[BARCODES]],ILACLISTE[#All],2,0),"")</f>
        <v/>
      </c>
      <c r="D2563" s="2">
        <f t="shared" si="39"/>
        <v>0</v>
      </c>
      <c r="E2563" s="14" t="str">
        <f>IFERROR(GIZLI!G2558,"")</f>
        <v/>
      </c>
    </row>
    <row r="2564" spans="2:5" x14ac:dyDescent="0.3">
      <c r="B2564" s="2" t="str">
        <f>MID(TableQR[[#This Row],[QR CODES]],4,13)</f>
        <v/>
      </c>
      <c r="C2564" s="2" t="str">
        <f>IFERROR(VLOOKUP(TableQR[[#This Row],[BARCODES]],ILACLISTE[#All],2,0),"")</f>
        <v/>
      </c>
      <c r="D2564" s="2">
        <f t="shared" si="39"/>
        <v>0</v>
      </c>
      <c r="E2564" s="14" t="str">
        <f>IFERROR(GIZLI!G2559,"")</f>
        <v/>
      </c>
    </row>
    <row r="2565" spans="2:5" x14ac:dyDescent="0.3">
      <c r="B2565" s="2" t="str">
        <f>MID(TableQR[[#This Row],[QR CODES]],4,13)</f>
        <v/>
      </c>
      <c r="C2565" s="2" t="str">
        <f>IFERROR(VLOOKUP(TableQR[[#This Row],[BARCODES]],ILACLISTE[#All],2,0),"")</f>
        <v/>
      </c>
      <c r="D2565" s="2">
        <f t="shared" si="39"/>
        <v>0</v>
      </c>
      <c r="E2565" s="14" t="str">
        <f>IFERROR(GIZLI!G2560,"")</f>
        <v/>
      </c>
    </row>
    <row r="2566" spans="2:5" x14ac:dyDescent="0.3">
      <c r="B2566" s="2" t="str">
        <f>MID(TableQR[[#This Row],[QR CODES]],4,13)</f>
        <v/>
      </c>
      <c r="C2566" s="2" t="str">
        <f>IFERROR(VLOOKUP(TableQR[[#This Row],[BARCODES]],ILACLISTE[#All],2,0),"")</f>
        <v/>
      </c>
      <c r="D2566" s="2">
        <f t="shared" si="39"/>
        <v>0</v>
      </c>
      <c r="E2566" s="14" t="str">
        <f>IFERROR(GIZLI!G2561,"")</f>
        <v/>
      </c>
    </row>
    <row r="2567" spans="2:5" x14ac:dyDescent="0.3">
      <c r="B2567" s="2" t="str">
        <f>MID(TableQR[[#This Row],[QR CODES]],4,13)</f>
        <v/>
      </c>
      <c r="C2567" s="2" t="str">
        <f>IFERROR(VLOOKUP(TableQR[[#This Row],[BARCODES]],ILACLISTE[#All],2,0),"")</f>
        <v/>
      </c>
      <c r="D2567" s="2">
        <f t="shared" si="39"/>
        <v>0</v>
      </c>
      <c r="E2567" s="14" t="str">
        <f>IFERROR(GIZLI!G2562,"")</f>
        <v/>
      </c>
    </row>
    <row r="2568" spans="2:5" x14ac:dyDescent="0.3">
      <c r="B2568" s="2" t="str">
        <f>MID(TableQR[[#This Row],[QR CODES]],4,13)</f>
        <v/>
      </c>
      <c r="C2568" s="2" t="str">
        <f>IFERROR(VLOOKUP(TableQR[[#This Row],[BARCODES]],ILACLISTE[#All],2,0),"")</f>
        <v/>
      </c>
      <c r="D2568" s="2">
        <f t="shared" ref="D2568:D2631" si="40">COUNTIF(B2568:B6561,IF(B2568="",66666,B2568))</f>
        <v>0</v>
      </c>
      <c r="E2568" s="14" t="str">
        <f>IFERROR(GIZLI!G2563,"")</f>
        <v/>
      </c>
    </row>
    <row r="2569" spans="2:5" x14ac:dyDescent="0.3">
      <c r="B2569" s="2" t="str">
        <f>MID(TableQR[[#This Row],[QR CODES]],4,13)</f>
        <v/>
      </c>
      <c r="C2569" s="2" t="str">
        <f>IFERROR(VLOOKUP(TableQR[[#This Row],[BARCODES]],ILACLISTE[#All],2,0),"")</f>
        <v/>
      </c>
      <c r="D2569" s="2">
        <f t="shared" si="40"/>
        <v>0</v>
      </c>
      <c r="E2569" s="14" t="str">
        <f>IFERROR(GIZLI!G2564,"")</f>
        <v/>
      </c>
    </row>
    <row r="2570" spans="2:5" x14ac:dyDescent="0.3">
      <c r="B2570" s="2" t="str">
        <f>MID(TableQR[[#This Row],[QR CODES]],4,13)</f>
        <v/>
      </c>
      <c r="C2570" s="2" t="str">
        <f>IFERROR(VLOOKUP(TableQR[[#This Row],[BARCODES]],ILACLISTE[#All],2,0),"")</f>
        <v/>
      </c>
      <c r="D2570" s="2">
        <f t="shared" si="40"/>
        <v>0</v>
      </c>
      <c r="E2570" s="14" t="str">
        <f>IFERROR(GIZLI!G2565,"")</f>
        <v/>
      </c>
    </row>
    <row r="2571" spans="2:5" x14ac:dyDescent="0.3">
      <c r="B2571" s="2" t="str">
        <f>MID(TableQR[[#This Row],[QR CODES]],4,13)</f>
        <v/>
      </c>
      <c r="C2571" s="2" t="str">
        <f>IFERROR(VLOOKUP(TableQR[[#This Row],[BARCODES]],ILACLISTE[#All],2,0),"")</f>
        <v/>
      </c>
      <c r="D2571" s="2">
        <f t="shared" si="40"/>
        <v>0</v>
      </c>
      <c r="E2571" s="14" t="str">
        <f>IFERROR(GIZLI!G2566,"")</f>
        <v/>
      </c>
    </row>
    <row r="2572" spans="2:5" x14ac:dyDescent="0.3">
      <c r="B2572" s="2" t="str">
        <f>MID(TableQR[[#This Row],[QR CODES]],4,13)</f>
        <v/>
      </c>
      <c r="C2572" s="2" t="str">
        <f>IFERROR(VLOOKUP(TableQR[[#This Row],[BARCODES]],ILACLISTE[#All],2,0),"")</f>
        <v/>
      </c>
      <c r="D2572" s="2">
        <f t="shared" si="40"/>
        <v>0</v>
      </c>
      <c r="E2572" s="14" t="str">
        <f>IFERROR(GIZLI!G2567,"")</f>
        <v/>
      </c>
    </row>
    <row r="2573" spans="2:5" x14ac:dyDescent="0.3">
      <c r="B2573" s="2" t="str">
        <f>MID(TableQR[[#This Row],[QR CODES]],4,13)</f>
        <v/>
      </c>
      <c r="C2573" s="2" t="str">
        <f>IFERROR(VLOOKUP(TableQR[[#This Row],[BARCODES]],ILACLISTE[#All],2,0),"")</f>
        <v/>
      </c>
      <c r="D2573" s="2">
        <f t="shared" si="40"/>
        <v>0</v>
      </c>
      <c r="E2573" s="14" t="str">
        <f>IFERROR(GIZLI!G2568,"")</f>
        <v/>
      </c>
    </row>
    <row r="2574" spans="2:5" x14ac:dyDescent="0.3">
      <c r="B2574" s="2" t="str">
        <f>MID(TableQR[[#This Row],[QR CODES]],4,13)</f>
        <v/>
      </c>
      <c r="C2574" s="2" t="str">
        <f>IFERROR(VLOOKUP(TableQR[[#This Row],[BARCODES]],ILACLISTE[#All],2,0),"")</f>
        <v/>
      </c>
      <c r="D2574" s="2">
        <f t="shared" si="40"/>
        <v>0</v>
      </c>
      <c r="E2574" s="14" t="str">
        <f>IFERROR(GIZLI!G2569,"")</f>
        <v/>
      </c>
    </row>
    <row r="2575" spans="2:5" x14ac:dyDescent="0.3">
      <c r="B2575" s="2" t="str">
        <f>MID(TableQR[[#This Row],[QR CODES]],4,13)</f>
        <v/>
      </c>
      <c r="C2575" s="2" t="str">
        <f>IFERROR(VLOOKUP(TableQR[[#This Row],[BARCODES]],ILACLISTE[#All],2,0),"")</f>
        <v/>
      </c>
      <c r="D2575" s="2">
        <f t="shared" si="40"/>
        <v>0</v>
      </c>
      <c r="E2575" s="14" t="str">
        <f>IFERROR(GIZLI!G2570,"")</f>
        <v/>
      </c>
    </row>
    <row r="2576" spans="2:5" x14ac:dyDescent="0.3">
      <c r="B2576" s="2" t="str">
        <f>MID(TableQR[[#This Row],[QR CODES]],4,13)</f>
        <v/>
      </c>
      <c r="C2576" s="2" t="str">
        <f>IFERROR(VLOOKUP(TableQR[[#This Row],[BARCODES]],ILACLISTE[#All],2,0),"")</f>
        <v/>
      </c>
      <c r="D2576" s="2">
        <f t="shared" si="40"/>
        <v>0</v>
      </c>
      <c r="E2576" s="14" t="str">
        <f>IFERROR(GIZLI!G2571,"")</f>
        <v/>
      </c>
    </row>
    <row r="2577" spans="2:5" x14ac:dyDescent="0.3">
      <c r="B2577" s="2" t="str">
        <f>MID(TableQR[[#This Row],[QR CODES]],4,13)</f>
        <v/>
      </c>
      <c r="C2577" s="2" t="str">
        <f>IFERROR(VLOOKUP(TableQR[[#This Row],[BARCODES]],ILACLISTE[#All],2,0),"")</f>
        <v/>
      </c>
      <c r="D2577" s="2">
        <f t="shared" si="40"/>
        <v>0</v>
      </c>
      <c r="E2577" s="14" t="str">
        <f>IFERROR(GIZLI!G2572,"")</f>
        <v/>
      </c>
    </row>
    <row r="2578" spans="2:5" x14ac:dyDescent="0.3">
      <c r="B2578" s="2" t="str">
        <f>MID(TableQR[[#This Row],[QR CODES]],4,13)</f>
        <v/>
      </c>
      <c r="C2578" s="2" t="str">
        <f>IFERROR(VLOOKUP(TableQR[[#This Row],[BARCODES]],ILACLISTE[#All],2,0),"")</f>
        <v/>
      </c>
      <c r="D2578" s="2">
        <f t="shared" si="40"/>
        <v>0</v>
      </c>
      <c r="E2578" s="14" t="str">
        <f>IFERROR(GIZLI!G2573,"")</f>
        <v/>
      </c>
    </row>
    <row r="2579" spans="2:5" x14ac:dyDescent="0.3">
      <c r="B2579" s="2" t="str">
        <f>MID(TableQR[[#This Row],[QR CODES]],4,13)</f>
        <v/>
      </c>
      <c r="C2579" s="2" t="str">
        <f>IFERROR(VLOOKUP(TableQR[[#This Row],[BARCODES]],ILACLISTE[#All],2,0),"")</f>
        <v/>
      </c>
      <c r="D2579" s="2">
        <f t="shared" si="40"/>
        <v>0</v>
      </c>
      <c r="E2579" s="14" t="str">
        <f>IFERROR(GIZLI!G2574,"")</f>
        <v/>
      </c>
    </row>
    <row r="2580" spans="2:5" x14ac:dyDescent="0.3">
      <c r="B2580" s="2" t="str">
        <f>MID(TableQR[[#This Row],[QR CODES]],4,13)</f>
        <v/>
      </c>
      <c r="C2580" s="2" t="str">
        <f>IFERROR(VLOOKUP(TableQR[[#This Row],[BARCODES]],ILACLISTE[#All],2,0),"")</f>
        <v/>
      </c>
      <c r="D2580" s="2">
        <f t="shared" si="40"/>
        <v>0</v>
      </c>
      <c r="E2580" s="14" t="str">
        <f>IFERROR(GIZLI!G2575,"")</f>
        <v/>
      </c>
    </row>
    <row r="2581" spans="2:5" x14ac:dyDescent="0.3">
      <c r="B2581" s="2" t="str">
        <f>MID(TableQR[[#This Row],[QR CODES]],4,13)</f>
        <v/>
      </c>
      <c r="C2581" s="2" t="str">
        <f>IFERROR(VLOOKUP(TableQR[[#This Row],[BARCODES]],ILACLISTE[#All],2,0),"")</f>
        <v/>
      </c>
      <c r="D2581" s="2">
        <f t="shared" si="40"/>
        <v>0</v>
      </c>
      <c r="E2581" s="14" t="str">
        <f>IFERROR(GIZLI!G2576,"")</f>
        <v/>
      </c>
    </row>
    <row r="2582" spans="2:5" x14ac:dyDescent="0.3">
      <c r="B2582" s="2" t="str">
        <f>MID(TableQR[[#This Row],[QR CODES]],4,13)</f>
        <v/>
      </c>
      <c r="C2582" s="2" t="str">
        <f>IFERROR(VLOOKUP(TableQR[[#This Row],[BARCODES]],ILACLISTE[#All],2,0),"")</f>
        <v/>
      </c>
      <c r="D2582" s="2">
        <f t="shared" si="40"/>
        <v>0</v>
      </c>
      <c r="E2582" s="14" t="str">
        <f>IFERROR(GIZLI!G2577,"")</f>
        <v/>
      </c>
    </row>
    <row r="2583" spans="2:5" x14ac:dyDescent="0.3">
      <c r="B2583" s="2" t="str">
        <f>MID(TableQR[[#This Row],[QR CODES]],4,13)</f>
        <v/>
      </c>
      <c r="C2583" s="2" t="str">
        <f>IFERROR(VLOOKUP(TableQR[[#This Row],[BARCODES]],ILACLISTE[#All],2,0),"")</f>
        <v/>
      </c>
      <c r="D2583" s="2">
        <f t="shared" si="40"/>
        <v>0</v>
      </c>
      <c r="E2583" s="14" t="str">
        <f>IFERROR(GIZLI!G2578,"")</f>
        <v/>
      </c>
    </row>
    <row r="2584" spans="2:5" x14ac:dyDescent="0.3">
      <c r="B2584" s="2" t="str">
        <f>MID(TableQR[[#This Row],[QR CODES]],4,13)</f>
        <v/>
      </c>
      <c r="C2584" s="2" t="str">
        <f>IFERROR(VLOOKUP(TableQR[[#This Row],[BARCODES]],ILACLISTE[#All],2,0),"")</f>
        <v/>
      </c>
      <c r="D2584" s="2">
        <f t="shared" si="40"/>
        <v>0</v>
      </c>
      <c r="E2584" s="14" t="str">
        <f>IFERROR(GIZLI!G2579,"")</f>
        <v/>
      </c>
    </row>
    <row r="2585" spans="2:5" x14ac:dyDescent="0.3">
      <c r="B2585" s="2" t="str">
        <f>MID(TableQR[[#This Row],[QR CODES]],4,13)</f>
        <v/>
      </c>
      <c r="C2585" s="2" t="str">
        <f>IFERROR(VLOOKUP(TableQR[[#This Row],[BARCODES]],ILACLISTE[#All],2,0),"")</f>
        <v/>
      </c>
      <c r="D2585" s="2">
        <f t="shared" si="40"/>
        <v>0</v>
      </c>
      <c r="E2585" s="14" t="str">
        <f>IFERROR(GIZLI!G2580,"")</f>
        <v/>
      </c>
    </row>
    <row r="2586" spans="2:5" x14ac:dyDescent="0.3">
      <c r="B2586" s="2" t="str">
        <f>MID(TableQR[[#This Row],[QR CODES]],4,13)</f>
        <v/>
      </c>
      <c r="C2586" s="2" t="str">
        <f>IFERROR(VLOOKUP(TableQR[[#This Row],[BARCODES]],ILACLISTE[#All],2,0),"")</f>
        <v/>
      </c>
      <c r="D2586" s="2">
        <f t="shared" si="40"/>
        <v>0</v>
      </c>
      <c r="E2586" s="14" t="str">
        <f>IFERROR(GIZLI!G2581,"")</f>
        <v/>
      </c>
    </row>
    <row r="2587" spans="2:5" x14ac:dyDescent="0.3">
      <c r="B2587" s="2" t="str">
        <f>MID(TableQR[[#This Row],[QR CODES]],4,13)</f>
        <v/>
      </c>
      <c r="C2587" s="2" t="str">
        <f>IFERROR(VLOOKUP(TableQR[[#This Row],[BARCODES]],ILACLISTE[#All],2,0),"")</f>
        <v/>
      </c>
      <c r="D2587" s="2">
        <f t="shared" si="40"/>
        <v>0</v>
      </c>
      <c r="E2587" s="14" t="str">
        <f>IFERROR(GIZLI!G2582,"")</f>
        <v/>
      </c>
    </row>
    <row r="2588" spans="2:5" x14ac:dyDescent="0.3">
      <c r="B2588" s="2" t="str">
        <f>MID(TableQR[[#This Row],[QR CODES]],4,13)</f>
        <v/>
      </c>
      <c r="C2588" s="2" t="str">
        <f>IFERROR(VLOOKUP(TableQR[[#This Row],[BARCODES]],ILACLISTE[#All],2,0),"")</f>
        <v/>
      </c>
      <c r="D2588" s="2">
        <f t="shared" si="40"/>
        <v>0</v>
      </c>
      <c r="E2588" s="14" t="str">
        <f>IFERROR(GIZLI!G2583,"")</f>
        <v/>
      </c>
    </row>
    <row r="2589" spans="2:5" x14ac:dyDescent="0.3">
      <c r="B2589" s="2" t="str">
        <f>MID(TableQR[[#This Row],[QR CODES]],4,13)</f>
        <v/>
      </c>
      <c r="C2589" s="2" t="str">
        <f>IFERROR(VLOOKUP(TableQR[[#This Row],[BARCODES]],ILACLISTE[#All],2,0),"")</f>
        <v/>
      </c>
      <c r="D2589" s="2">
        <f t="shared" si="40"/>
        <v>0</v>
      </c>
      <c r="E2589" s="14" t="str">
        <f>IFERROR(GIZLI!G2584,"")</f>
        <v/>
      </c>
    </row>
    <row r="2590" spans="2:5" x14ac:dyDescent="0.3">
      <c r="B2590" s="2" t="str">
        <f>MID(TableQR[[#This Row],[QR CODES]],4,13)</f>
        <v/>
      </c>
      <c r="C2590" s="2" t="str">
        <f>IFERROR(VLOOKUP(TableQR[[#This Row],[BARCODES]],ILACLISTE[#All],2,0),"")</f>
        <v/>
      </c>
      <c r="D2590" s="2">
        <f t="shared" si="40"/>
        <v>0</v>
      </c>
      <c r="E2590" s="14" t="str">
        <f>IFERROR(GIZLI!G2585,"")</f>
        <v/>
      </c>
    </row>
    <row r="2591" spans="2:5" x14ac:dyDescent="0.3">
      <c r="B2591" s="2" t="str">
        <f>MID(TableQR[[#This Row],[QR CODES]],4,13)</f>
        <v/>
      </c>
      <c r="C2591" s="2" t="str">
        <f>IFERROR(VLOOKUP(TableQR[[#This Row],[BARCODES]],ILACLISTE[#All],2,0),"")</f>
        <v/>
      </c>
      <c r="D2591" s="2">
        <f t="shared" si="40"/>
        <v>0</v>
      </c>
      <c r="E2591" s="14" t="str">
        <f>IFERROR(GIZLI!G2586,"")</f>
        <v/>
      </c>
    </row>
    <row r="2592" spans="2:5" x14ac:dyDescent="0.3">
      <c r="B2592" s="2" t="str">
        <f>MID(TableQR[[#This Row],[QR CODES]],4,13)</f>
        <v/>
      </c>
      <c r="C2592" s="2" t="str">
        <f>IFERROR(VLOOKUP(TableQR[[#This Row],[BARCODES]],ILACLISTE[#All],2,0),"")</f>
        <v/>
      </c>
      <c r="D2592" s="2">
        <f t="shared" si="40"/>
        <v>0</v>
      </c>
      <c r="E2592" s="14" t="str">
        <f>IFERROR(GIZLI!G2587,"")</f>
        <v/>
      </c>
    </row>
    <row r="2593" spans="2:5" x14ac:dyDescent="0.3">
      <c r="B2593" s="2" t="str">
        <f>MID(TableQR[[#This Row],[QR CODES]],4,13)</f>
        <v/>
      </c>
      <c r="C2593" s="2" t="str">
        <f>IFERROR(VLOOKUP(TableQR[[#This Row],[BARCODES]],ILACLISTE[#All],2,0),"")</f>
        <v/>
      </c>
      <c r="D2593" s="2">
        <f t="shared" si="40"/>
        <v>0</v>
      </c>
      <c r="E2593" s="14" t="str">
        <f>IFERROR(GIZLI!G2588,"")</f>
        <v/>
      </c>
    </row>
    <row r="2594" spans="2:5" x14ac:dyDescent="0.3">
      <c r="B2594" s="2" t="str">
        <f>MID(TableQR[[#This Row],[QR CODES]],4,13)</f>
        <v/>
      </c>
      <c r="C2594" s="2" t="str">
        <f>IFERROR(VLOOKUP(TableQR[[#This Row],[BARCODES]],ILACLISTE[#All],2,0),"")</f>
        <v/>
      </c>
      <c r="D2594" s="2">
        <f t="shared" si="40"/>
        <v>0</v>
      </c>
      <c r="E2594" s="14" t="str">
        <f>IFERROR(GIZLI!G2589,"")</f>
        <v/>
      </c>
    </row>
    <row r="2595" spans="2:5" x14ac:dyDescent="0.3">
      <c r="B2595" s="2" t="str">
        <f>MID(TableQR[[#This Row],[QR CODES]],4,13)</f>
        <v/>
      </c>
      <c r="C2595" s="2" t="str">
        <f>IFERROR(VLOOKUP(TableQR[[#This Row],[BARCODES]],ILACLISTE[#All],2,0),"")</f>
        <v/>
      </c>
      <c r="D2595" s="2">
        <f t="shared" si="40"/>
        <v>0</v>
      </c>
      <c r="E2595" s="14" t="str">
        <f>IFERROR(GIZLI!G2590,"")</f>
        <v/>
      </c>
    </row>
    <row r="2596" spans="2:5" x14ac:dyDescent="0.3">
      <c r="B2596" s="2" t="str">
        <f>MID(TableQR[[#This Row],[QR CODES]],4,13)</f>
        <v/>
      </c>
      <c r="C2596" s="2" t="str">
        <f>IFERROR(VLOOKUP(TableQR[[#This Row],[BARCODES]],ILACLISTE[#All],2,0),"")</f>
        <v/>
      </c>
      <c r="D2596" s="2">
        <f t="shared" si="40"/>
        <v>0</v>
      </c>
      <c r="E2596" s="14" t="str">
        <f>IFERROR(GIZLI!G2591,"")</f>
        <v/>
      </c>
    </row>
    <row r="2597" spans="2:5" x14ac:dyDescent="0.3">
      <c r="B2597" s="2" t="str">
        <f>MID(TableQR[[#This Row],[QR CODES]],4,13)</f>
        <v/>
      </c>
      <c r="C2597" s="2" t="str">
        <f>IFERROR(VLOOKUP(TableQR[[#This Row],[BARCODES]],ILACLISTE[#All],2,0),"")</f>
        <v/>
      </c>
      <c r="D2597" s="2">
        <f t="shared" si="40"/>
        <v>0</v>
      </c>
      <c r="E2597" s="14" t="str">
        <f>IFERROR(GIZLI!G2592,"")</f>
        <v/>
      </c>
    </row>
    <row r="2598" spans="2:5" x14ac:dyDescent="0.3">
      <c r="B2598" s="2" t="str">
        <f>MID(TableQR[[#This Row],[QR CODES]],4,13)</f>
        <v/>
      </c>
      <c r="C2598" s="2" t="str">
        <f>IFERROR(VLOOKUP(TableQR[[#This Row],[BARCODES]],ILACLISTE[#All],2,0),"")</f>
        <v/>
      </c>
      <c r="D2598" s="2">
        <f t="shared" si="40"/>
        <v>0</v>
      </c>
      <c r="E2598" s="14" t="str">
        <f>IFERROR(GIZLI!G2593,"")</f>
        <v/>
      </c>
    </row>
    <row r="2599" spans="2:5" x14ac:dyDescent="0.3">
      <c r="B2599" s="2" t="str">
        <f>MID(TableQR[[#This Row],[QR CODES]],4,13)</f>
        <v/>
      </c>
      <c r="C2599" s="2" t="str">
        <f>IFERROR(VLOOKUP(TableQR[[#This Row],[BARCODES]],ILACLISTE[#All],2,0),"")</f>
        <v/>
      </c>
      <c r="D2599" s="2">
        <f t="shared" si="40"/>
        <v>0</v>
      </c>
      <c r="E2599" s="14" t="str">
        <f>IFERROR(GIZLI!G2594,"")</f>
        <v/>
      </c>
    </row>
    <row r="2600" spans="2:5" x14ac:dyDescent="0.3">
      <c r="B2600" s="2" t="str">
        <f>MID(TableQR[[#This Row],[QR CODES]],4,13)</f>
        <v/>
      </c>
      <c r="C2600" s="2" t="str">
        <f>IFERROR(VLOOKUP(TableQR[[#This Row],[BARCODES]],ILACLISTE[#All],2,0),"")</f>
        <v/>
      </c>
      <c r="D2600" s="2">
        <f t="shared" si="40"/>
        <v>0</v>
      </c>
      <c r="E2600" s="14" t="str">
        <f>IFERROR(GIZLI!G2595,"")</f>
        <v/>
      </c>
    </row>
    <row r="2601" spans="2:5" x14ac:dyDescent="0.3">
      <c r="B2601" s="2" t="str">
        <f>MID(TableQR[[#This Row],[QR CODES]],4,13)</f>
        <v/>
      </c>
      <c r="C2601" s="2" t="str">
        <f>IFERROR(VLOOKUP(TableQR[[#This Row],[BARCODES]],ILACLISTE[#All],2,0),"")</f>
        <v/>
      </c>
      <c r="D2601" s="2">
        <f t="shared" si="40"/>
        <v>0</v>
      </c>
      <c r="E2601" s="14" t="str">
        <f>IFERROR(GIZLI!G2596,"")</f>
        <v/>
      </c>
    </row>
    <row r="2602" spans="2:5" x14ac:dyDescent="0.3">
      <c r="B2602" s="2" t="str">
        <f>MID(TableQR[[#This Row],[QR CODES]],4,13)</f>
        <v/>
      </c>
      <c r="C2602" s="2" t="str">
        <f>IFERROR(VLOOKUP(TableQR[[#This Row],[BARCODES]],ILACLISTE[#All],2,0),"")</f>
        <v/>
      </c>
      <c r="D2602" s="2">
        <f t="shared" si="40"/>
        <v>0</v>
      </c>
      <c r="E2602" s="14" t="str">
        <f>IFERROR(GIZLI!G2597,"")</f>
        <v/>
      </c>
    </row>
    <row r="2603" spans="2:5" x14ac:dyDescent="0.3">
      <c r="B2603" s="2" t="str">
        <f>MID(TableQR[[#This Row],[QR CODES]],4,13)</f>
        <v/>
      </c>
      <c r="C2603" s="2" t="str">
        <f>IFERROR(VLOOKUP(TableQR[[#This Row],[BARCODES]],ILACLISTE[#All],2,0),"")</f>
        <v/>
      </c>
      <c r="D2603" s="2">
        <f t="shared" si="40"/>
        <v>0</v>
      </c>
      <c r="E2603" s="14" t="str">
        <f>IFERROR(GIZLI!G2598,"")</f>
        <v/>
      </c>
    </row>
    <row r="2604" spans="2:5" x14ac:dyDescent="0.3">
      <c r="B2604" s="2" t="str">
        <f>MID(TableQR[[#This Row],[QR CODES]],4,13)</f>
        <v/>
      </c>
      <c r="C2604" s="2" t="str">
        <f>IFERROR(VLOOKUP(TableQR[[#This Row],[BARCODES]],ILACLISTE[#All],2,0),"")</f>
        <v/>
      </c>
      <c r="D2604" s="2">
        <f t="shared" si="40"/>
        <v>0</v>
      </c>
      <c r="E2604" s="14" t="str">
        <f>IFERROR(GIZLI!G2599,"")</f>
        <v/>
      </c>
    </row>
    <row r="2605" spans="2:5" x14ac:dyDescent="0.3">
      <c r="B2605" s="2" t="str">
        <f>MID(TableQR[[#This Row],[QR CODES]],4,13)</f>
        <v/>
      </c>
      <c r="C2605" s="2" t="str">
        <f>IFERROR(VLOOKUP(TableQR[[#This Row],[BARCODES]],ILACLISTE[#All],2,0),"")</f>
        <v/>
      </c>
      <c r="D2605" s="2">
        <f t="shared" si="40"/>
        <v>0</v>
      </c>
      <c r="E2605" s="14" t="str">
        <f>IFERROR(GIZLI!G2600,"")</f>
        <v/>
      </c>
    </row>
    <row r="2606" spans="2:5" x14ac:dyDescent="0.3">
      <c r="B2606" s="2" t="str">
        <f>MID(TableQR[[#This Row],[QR CODES]],4,13)</f>
        <v/>
      </c>
      <c r="C2606" s="2" t="str">
        <f>IFERROR(VLOOKUP(TableQR[[#This Row],[BARCODES]],ILACLISTE[#All],2,0),"")</f>
        <v/>
      </c>
      <c r="D2606" s="2">
        <f t="shared" si="40"/>
        <v>0</v>
      </c>
      <c r="E2606" s="14" t="str">
        <f>IFERROR(GIZLI!G2601,"")</f>
        <v/>
      </c>
    </row>
    <row r="2607" spans="2:5" x14ac:dyDescent="0.3">
      <c r="B2607" s="2" t="str">
        <f>MID(TableQR[[#This Row],[QR CODES]],4,13)</f>
        <v/>
      </c>
      <c r="C2607" s="2" t="str">
        <f>IFERROR(VLOOKUP(TableQR[[#This Row],[BARCODES]],ILACLISTE[#All],2,0),"")</f>
        <v/>
      </c>
      <c r="D2607" s="2">
        <f t="shared" si="40"/>
        <v>0</v>
      </c>
      <c r="E2607" s="14" t="str">
        <f>IFERROR(GIZLI!G2602,"")</f>
        <v/>
      </c>
    </row>
    <row r="2608" spans="2:5" x14ac:dyDescent="0.3">
      <c r="B2608" s="2" t="str">
        <f>MID(TableQR[[#This Row],[QR CODES]],4,13)</f>
        <v/>
      </c>
      <c r="C2608" s="2" t="str">
        <f>IFERROR(VLOOKUP(TableQR[[#This Row],[BARCODES]],ILACLISTE[#All],2,0),"")</f>
        <v/>
      </c>
      <c r="D2608" s="2">
        <f t="shared" si="40"/>
        <v>0</v>
      </c>
      <c r="E2608" s="14" t="str">
        <f>IFERROR(GIZLI!G2603,"")</f>
        <v/>
      </c>
    </row>
    <row r="2609" spans="2:5" x14ac:dyDescent="0.3">
      <c r="B2609" s="2" t="str">
        <f>MID(TableQR[[#This Row],[QR CODES]],4,13)</f>
        <v/>
      </c>
      <c r="C2609" s="2" t="str">
        <f>IFERROR(VLOOKUP(TableQR[[#This Row],[BARCODES]],ILACLISTE[#All],2,0),"")</f>
        <v/>
      </c>
      <c r="D2609" s="2">
        <f t="shared" si="40"/>
        <v>0</v>
      </c>
      <c r="E2609" s="14" t="str">
        <f>IFERROR(GIZLI!G2604,"")</f>
        <v/>
      </c>
    </row>
    <row r="2610" spans="2:5" x14ac:dyDescent="0.3">
      <c r="B2610" s="2" t="str">
        <f>MID(TableQR[[#This Row],[QR CODES]],4,13)</f>
        <v/>
      </c>
      <c r="C2610" s="2" t="str">
        <f>IFERROR(VLOOKUP(TableQR[[#This Row],[BARCODES]],ILACLISTE[#All],2,0),"")</f>
        <v/>
      </c>
      <c r="D2610" s="2">
        <f t="shared" si="40"/>
        <v>0</v>
      </c>
      <c r="E2610" s="14" t="str">
        <f>IFERROR(GIZLI!G2605,"")</f>
        <v/>
      </c>
    </row>
    <row r="2611" spans="2:5" x14ac:dyDescent="0.3">
      <c r="B2611" s="2" t="str">
        <f>MID(TableQR[[#This Row],[QR CODES]],4,13)</f>
        <v/>
      </c>
      <c r="C2611" s="2" t="str">
        <f>IFERROR(VLOOKUP(TableQR[[#This Row],[BARCODES]],ILACLISTE[#All],2,0),"")</f>
        <v/>
      </c>
      <c r="D2611" s="2">
        <f t="shared" si="40"/>
        <v>0</v>
      </c>
      <c r="E2611" s="14" t="str">
        <f>IFERROR(GIZLI!G2606,"")</f>
        <v/>
      </c>
    </row>
    <row r="2612" spans="2:5" x14ac:dyDescent="0.3">
      <c r="B2612" s="2" t="str">
        <f>MID(TableQR[[#This Row],[QR CODES]],4,13)</f>
        <v/>
      </c>
      <c r="C2612" s="2" t="str">
        <f>IFERROR(VLOOKUP(TableQR[[#This Row],[BARCODES]],ILACLISTE[#All],2,0),"")</f>
        <v/>
      </c>
      <c r="D2612" s="2">
        <f t="shared" si="40"/>
        <v>0</v>
      </c>
      <c r="E2612" s="14" t="str">
        <f>IFERROR(GIZLI!G2607,"")</f>
        <v/>
      </c>
    </row>
    <row r="2613" spans="2:5" x14ac:dyDescent="0.3">
      <c r="B2613" s="2" t="str">
        <f>MID(TableQR[[#This Row],[QR CODES]],4,13)</f>
        <v/>
      </c>
      <c r="C2613" s="2" t="str">
        <f>IFERROR(VLOOKUP(TableQR[[#This Row],[BARCODES]],ILACLISTE[#All],2,0),"")</f>
        <v/>
      </c>
      <c r="D2613" s="2">
        <f t="shared" si="40"/>
        <v>0</v>
      </c>
      <c r="E2613" s="14" t="str">
        <f>IFERROR(GIZLI!G2608,"")</f>
        <v/>
      </c>
    </row>
    <row r="2614" spans="2:5" x14ac:dyDescent="0.3">
      <c r="B2614" s="2" t="str">
        <f>MID(TableQR[[#This Row],[QR CODES]],4,13)</f>
        <v/>
      </c>
      <c r="C2614" s="2" t="str">
        <f>IFERROR(VLOOKUP(TableQR[[#This Row],[BARCODES]],ILACLISTE[#All],2,0),"")</f>
        <v/>
      </c>
      <c r="D2614" s="2">
        <f t="shared" si="40"/>
        <v>0</v>
      </c>
      <c r="E2614" s="14" t="str">
        <f>IFERROR(GIZLI!G2609,"")</f>
        <v/>
      </c>
    </row>
    <row r="2615" spans="2:5" x14ac:dyDescent="0.3">
      <c r="B2615" s="2" t="str">
        <f>MID(TableQR[[#This Row],[QR CODES]],4,13)</f>
        <v/>
      </c>
      <c r="C2615" s="2" t="str">
        <f>IFERROR(VLOOKUP(TableQR[[#This Row],[BARCODES]],ILACLISTE[#All],2,0),"")</f>
        <v/>
      </c>
      <c r="D2615" s="2">
        <f t="shared" si="40"/>
        <v>0</v>
      </c>
      <c r="E2615" s="14" t="str">
        <f>IFERROR(GIZLI!G2610,"")</f>
        <v/>
      </c>
    </row>
    <row r="2616" spans="2:5" x14ac:dyDescent="0.3">
      <c r="B2616" s="2" t="str">
        <f>MID(TableQR[[#This Row],[QR CODES]],4,13)</f>
        <v/>
      </c>
      <c r="C2616" s="2" t="str">
        <f>IFERROR(VLOOKUP(TableQR[[#This Row],[BARCODES]],ILACLISTE[#All],2,0),"")</f>
        <v/>
      </c>
      <c r="D2616" s="2">
        <f t="shared" si="40"/>
        <v>0</v>
      </c>
      <c r="E2616" s="14" t="str">
        <f>IFERROR(GIZLI!G2611,"")</f>
        <v/>
      </c>
    </row>
    <row r="2617" spans="2:5" x14ac:dyDescent="0.3">
      <c r="B2617" s="2" t="str">
        <f>MID(TableQR[[#This Row],[QR CODES]],4,13)</f>
        <v/>
      </c>
      <c r="C2617" s="2" t="str">
        <f>IFERROR(VLOOKUP(TableQR[[#This Row],[BARCODES]],ILACLISTE[#All],2,0),"")</f>
        <v/>
      </c>
      <c r="D2617" s="2">
        <f t="shared" si="40"/>
        <v>0</v>
      </c>
      <c r="E2617" s="14" t="str">
        <f>IFERROR(GIZLI!G2612,"")</f>
        <v/>
      </c>
    </row>
    <row r="2618" spans="2:5" x14ac:dyDescent="0.3">
      <c r="B2618" s="2" t="str">
        <f>MID(TableQR[[#This Row],[QR CODES]],4,13)</f>
        <v/>
      </c>
      <c r="C2618" s="2" t="str">
        <f>IFERROR(VLOOKUP(TableQR[[#This Row],[BARCODES]],ILACLISTE[#All],2,0),"")</f>
        <v/>
      </c>
      <c r="D2618" s="2">
        <f t="shared" si="40"/>
        <v>0</v>
      </c>
      <c r="E2618" s="14" t="str">
        <f>IFERROR(GIZLI!G2613,"")</f>
        <v/>
      </c>
    </row>
    <row r="2619" spans="2:5" x14ac:dyDescent="0.3">
      <c r="B2619" s="2" t="str">
        <f>MID(TableQR[[#This Row],[QR CODES]],4,13)</f>
        <v/>
      </c>
      <c r="C2619" s="2" t="str">
        <f>IFERROR(VLOOKUP(TableQR[[#This Row],[BARCODES]],ILACLISTE[#All],2,0),"")</f>
        <v/>
      </c>
      <c r="D2619" s="2">
        <f t="shared" si="40"/>
        <v>0</v>
      </c>
      <c r="E2619" s="14" t="str">
        <f>IFERROR(GIZLI!G2614,"")</f>
        <v/>
      </c>
    </row>
    <row r="2620" spans="2:5" x14ac:dyDescent="0.3">
      <c r="B2620" s="2" t="str">
        <f>MID(TableQR[[#This Row],[QR CODES]],4,13)</f>
        <v/>
      </c>
      <c r="C2620" s="2" t="str">
        <f>IFERROR(VLOOKUP(TableQR[[#This Row],[BARCODES]],ILACLISTE[#All],2,0),"")</f>
        <v/>
      </c>
      <c r="D2620" s="2">
        <f t="shared" si="40"/>
        <v>0</v>
      </c>
      <c r="E2620" s="14" t="str">
        <f>IFERROR(GIZLI!G2615,"")</f>
        <v/>
      </c>
    </row>
    <row r="2621" spans="2:5" x14ac:dyDescent="0.3">
      <c r="B2621" s="2" t="str">
        <f>MID(TableQR[[#This Row],[QR CODES]],4,13)</f>
        <v/>
      </c>
      <c r="C2621" s="2" t="str">
        <f>IFERROR(VLOOKUP(TableQR[[#This Row],[BARCODES]],ILACLISTE[#All],2,0),"")</f>
        <v/>
      </c>
      <c r="D2621" s="2">
        <f t="shared" si="40"/>
        <v>0</v>
      </c>
      <c r="E2621" s="14" t="str">
        <f>IFERROR(GIZLI!G2616,"")</f>
        <v/>
      </c>
    </row>
    <row r="2622" spans="2:5" x14ac:dyDescent="0.3">
      <c r="B2622" s="2" t="str">
        <f>MID(TableQR[[#This Row],[QR CODES]],4,13)</f>
        <v/>
      </c>
      <c r="C2622" s="2" t="str">
        <f>IFERROR(VLOOKUP(TableQR[[#This Row],[BARCODES]],ILACLISTE[#All],2,0),"")</f>
        <v/>
      </c>
      <c r="D2622" s="2">
        <f t="shared" si="40"/>
        <v>0</v>
      </c>
      <c r="E2622" s="14" t="str">
        <f>IFERROR(GIZLI!G2617,"")</f>
        <v/>
      </c>
    </row>
    <row r="2623" spans="2:5" x14ac:dyDescent="0.3">
      <c r="B2623" s="2" t="str">
        <f>MID(TableQR[[#This Row],[QR CODES]],4,13)</f>
        <v/>
      </c>
      <c r="C2623" s="2" t="str">
        <f>IFERROR(VLOOKUP(TableQR[[#This Row],[BARCODES]],ILACLISTE[#All],2,0),"")</f>
        <v/>
      </c>
      <c r="D2623" s="2">
        <f t="shared" si="40"/>
        <v>0</v>
      </c>
      <c r="E2623" s="14" t="str">
        <f>IFERROR(GIZLI!G2618,"")</f>
        <v/>
      </c>
    </row>
    <row r="2624" spans="2:5" x14ac:dyDescent="0.3">
      <c r="B2624" s="2" t="str">
        <f>MID(TableQR[[#This Row],[QR CODES]],4,13)</f>
        <v/>
      </c>
      <c r="C2624" s="2" t="str">
        <f>IFERROR(VLOOKUP(TableQR[[#This Row],[BARCODES]],ILACLISTE[#All],2,0),"")</f>
        <v/>
      </c>
      <c r="D2624" s="2">
        <f t="shared" si="40"/>
        <v>0</v>
      </c>
      <c r="E2624" s="14" t="str">
        <f>IFERROR(GIZLI!G2619,"")</f>
        <v/>
      </c>
    </row>
    <row r="2625" spans="2:5" x14ac:dyDescent="0.3">
      <c r="B2625" s="2" t="str">
        <f>MID(TableQR[[#This Row],[QR CODES]],4,13)</f>
        <v/>
      </c>
      <c r="C2625" s="2" t="str">
        <f>IFERROR(VLOOKUP(TableQR[[#This Row],[BARCODES]],ILACLISTE[#All],2,0),"")</f>
        <v/>
      </c>
      <c r="D2625" s="2">
        <f t="shared" si="40"/>
        <v>0</v>
      </c>
      <c r="E2625" s="14" t="str">
        <f>IFERROR(GIZLI!G2620,"")</f>
        <v/>
      </c>
    </row>
    <row r="2626" spans="2:5" x14ac:dyDescent="0.3">
      <c r="B2626" s="2" t="str">
        <f>MID(TableQR[[#This Row],[QR CODES]],4,13)</f>
        <v/>
      </c>
      <c r="C2626" s="2" t="str">
        <f>IFERROR(VLOOKUP(TableQR[[#This Row],[BARCODES]],ILACLISTE[#All],2,0),"")</f>
        <v/>
      </c>
      <c r="D2626" s="2">
        <f t="shared" si="40"/>
        <v>0</v>
      </c>
      <c r="E2626" s="14" t="str">
        <f>IFERROR(GIZLI!G2621,"")</f>
        <v/>
      </c>
    </row>
    <row r="2627" spans="2:5" x14ac:dyDescent="0.3">
      <c r="B2627" s="2" t="str">
        <f>MID(TableQR[[#This Row],[QR CODES]],4,13)</f>
        <v/>
      </c>
      <c r="C2627" s="2" t="str">
        <f>IFERROR(VLOOKUP(TableQR[[#This Row],[BARCODES]],ILACLISTE[#All],2,0),"")</f>
        <v/>
      </c>
      <c r="D2627" s="2">
        <f t="shared" si="40"/>
        <v>0</v>
      </c>
      <c r="E2627" s="14" t="str">
        <f>IFERROR(GIZLI!G2622,"")</f>
        <v/>
      </c>
    </row>
    <row r="2628" spans="2:5" x14ac:dyDescent="0.3">
      <c r="B2628" s="2" t="str">
        <f>MID(TableQR[[#This Row],[QR CODES]],4,13)</f>
        <v/>
      </c>
      <c r="C2628" s="2" t="str">
        <f>IFERROR(VLOOKUP(TableQR[[#This Row],[BARCODES]],ILACLISTE[#All],2,0),"")</f>
        <v/>
      </c>
      <c r="D2628" s="2">
        <f t="shared" si="40"/>
        <v>0</v>
      </c>
      <c r="E2628" s="14" t="str">
        <f>IFERROR(GIZLI!G2623,"")</f>
        <v/>
      </c>
    </row>
    <row r="2629" spans="2:5" x14ac:dyDescent="0.3">
      <c r="B2629" s="2" t="str">
        <f>MID(TableQR[[#This Row],[QR CODES]],4,13)</f>
        <v/>
      </c>
      <c r="C2629" s="2" t="str">
        <f>IFERROR(VLOOKUP(TableQR[[#This Row],[BARCODES]],ILACLISTE[#All],2,0),"")</f>
        <v/>
      </c>
      <c r="D2629" s="2">
        <f t="shared" si="40"/>
        <v>0</v>
      </c>
      <c r="E2629" s="14" t="str">
        <f>IFERROR(GIZLI!G2624,"")</f>
        <v/>
      </c>
    </row>
    <row r="2630" spans="2:5" x14ac:dyDescent="0.3">
      <c r="B2630" s="2" t="str">
        <f>MID(TableQR[[#This Row],[QR CODES]],4,13)</f>
        <v/>
      </c>
      <c r="C2630" s="2" t="str">
        <f>IFERROR(VLOOKUP(TableQR[[#This Row],[BARCODES]],ILACLISTE[#All],2,0),"")</f>
        <v/>
      </c>
      <c r="D2630" s="2">
        <f t="shared" si="40"/>
        <v>0</v>
      </c>
      <c r="E2630" s="14" t="str">
        <f>IFERROR(GIZLI!G2625,"")</f>
        <v/>
      </c>
    </row>
    <row r="2631" spans="2:5" x14ac:dyDescent="0.3">
      <c r="B2631" s="2" t="str">
        <f>MID(TableQR[[#This Row],[QR CODES]],4,13)</f>
        <v/>
      </c>
      <c r="C2631" s="2" t="str">
        <f>IFERROR(VLOOKUP(TableQR[[#This Row],[BARCODES]],ILACLISTE[#All],2,0),"")</f>
        <v/>
      </c>
      <c r="D2631" s="2">
        <f t="shared" si="40"/>
        <v>0</v>
      </c>
      <c r="E2631" s="14" t="str">
        <f>IFERROR(GIZLI!G2626,"")</f>
        <v/>
      </c>
    </row>
    <row r="2632" spans="2:5" x14ac:dyDescent="0.3">
      <c r="B2632" s="2" t="str">
        <f>MID(TableQR[[#This Row],[QR CODES]],4,13)</f>
        <v/>
      </c>
      <c r="C2632" s="2" t="str">
        <f>IFERROR(VLOOKUP(TableQR[[#This Row],[BARCODES]],ILACLISTE[#All],2,0),"")</f>
        <v/>
      </c>
      <c r="D2632" s="2">
        <f t="shared" ref="D2632:D2695" si="41">COUNTIF(B2632:B6625,IF(B2632="",66666,B2632))</f>
        <v>0</v>
      </c>
      <c r="E2632" s="14" t="str">
        <f>IFERROR(GIZLI!G2627,"")</f>
        <v/>
      </c>
    </row>
    <row r="2633" spans="2:5" x14ac:dyDescent="0.3">
      <c r="B2633" s="2" t="str">
        <f>MID(TableQR[[#This Row],[QR CODES]],4,13)</f>
        <v/>
      </c>
      <c r="C2633" s="2" t="str">
        <f>IFERROR(VLOOKUP(TableQR[[#This Row],[BARCODES]],ILACLISTE[#All],2,0),"")</f>
        <v/>
      </c>
      <c r="D2633" s="2">
        <f t="shared" si="41"/>
        <v>0</v>
      </c>
      <c r="E2633" s="14" t="str">
        <f>IFERROR(GIZLI!G2628,"")</f>
        <v/>
      </c>
    </row>
    <row r="2634" spans="2:5" x14ac:dyDescent="0.3">
      <c r="B2634" s="2" t="str">
        <f>MID(TableQR[[#This Row],[QR CODES]],4,13)</f>
        <v/>
      </c>
      <c r="C2634" s="2" t="str">
        <f>IFERROR(VLOOKUP(TableQR[[#This Row],[BARCODES]],ILACLISTE[#All],2,0),"")</f>
        <v/>
      </c>
      <c r="D2634" s="2">
        <f t="shared" si="41"/>
        <v>0</v>
      </c>
      <c r="E2634" s="14" t="str">
        <f>IFERROR(GIZLI!G2629,"")</f>
        <v/>
      </c>
    </row>
    <row r="2635" spans="2:5" x14ac:dyDescent="0.3">
      <c r="B2635" s="2" t="str">
        <f>MID(TableQR[[#This Row],[QR CODES]],4,13)</f>
        <v/>
      </c>
      <c r="C2635" s="2" t="str">
        <f>IFERROR(VLOOKUP(TableQR[[#This Row],[BARCODES]],ILACLISTE[#All],2,0),"")</f>
        <v/>
      </c>
      <c r="D2635" s="2">
        <f t="shared" si="41"/>
        <v>0</v>
      </c>
      <c r="E2635" s="14" t="str">
        <f>IFERROR(GIZLI!G2630,"")</f>
        <v/>
      </c>
    </row>
    <row r="2636" spans="2:5" x14ac:dyDescent="0.3">
      <c r="B2636" s="2" t="str">
        <f>MID(TableQR[[#This Row],[QR CODES]],4,13)</f>
        <v/>
      </c>
      <c r="C2636" s="2" t="str">
        <f>IFERROR(VLOOKUP(TableQR[[#This Row],[BARCODES]],ILACLISTE[#All],2,0),"")</f>
        <v/>
      </c>
      <c r="D2636" s="2">
        <f t="shared" si="41"/>
        <v>0</v>
      </c>
      <c r="E2636" s="14" t="str">
        <f>IFERROR(GIZLI!G2631,"")</f>
        <v/>
      </c>
    </row>
    <row r="2637" spans="2:5" x14ac:dyDescent="0.3">
      <c r="B2637" s="2" t="str">
        <f>MID(TableQR[[#This Row],[QR CODES]],4,13)</f>
        <v/>
      </c>
      <c r="C2637" s="2" t="str">
        <f>IFERROR(VLOOKUP(TableQR[[#This Row],[BARCODES]],ILACLISTE[#All],2,0),"")</f>
        <v/>
      </c>
      <c r="D2637" s="2">
        <f t="shared" si="41"/>
        <v>0</v>
      </c>
      <c r="E2637" s="14" t="str">
        <f>IFERROR(GIZLI!G2632,"")</f>
        <v/>
      </c>
    </row>
    <row r="2638" spans="2:5" x14ac:dyDescent="0.3">
      <c r="B2638" s="2" t="str">
        <f>MID(TableQR[[#This Row],[QR CODES]],4,13)</f>
        <v/>
      </c>
      <c r="C2638" s="2" t="str">
        <f>IFERROR(VLOOKUP(TableQR[[#This Row],[BARCODES]],ILACLISTE[#All],2,0),"")</f>
        <v/>
      </c>
      <c r="D2638" s="2">
        <f t="shared" si="41"/>
        <v>0</v>
      </c>
      <c r="E2638" s="14" t="str">
        <f>IFERROR(GIZLI!G2633,"")</f>
        <v/>
      </c>
    </row>
    <row r="2639" spans="2:5" x14ac:dyDescent="0.3">
      <c r="B2639" s="2" t="str">
        <f>MID(TableQR[[#This Row],[QR CODES]],4,13)</f>
        <v/>
      </c>
      <c r="C2639" s="2" t="str">
        <f>IFERROR(VLOOKUP(TableQR[[#This Row],[BARCODES]],ILACLISTE[#All],2,0),"")</f>
        <v/>
      </c>
      <c r="D2639" s="2">
        <f t="shared" si="41"/>
        <v>0</v>
      </c>
      <c r="E2639" s="14" t="str">
        <f>IFERROR(GIZLI!G2634,"")</f>
        <v/>
      </c>
    </row>
    <row r="2640" spans="2:5" x14ac:dyDescent="0.3">
      <c r="B2640" s="2" t="str">
        <f>MID(TableQR[[#This Row],[QR CODES]],4,13)</f>
        <v/>
      </c>
      <c r="C2640" s="2" t="str">
        <f>IFERROR(VLOOKUP(TableQR[[#This Row],[BARCODES]],ILACLISTE[#All],2,0),"")</f>
        <v/>
      </c>
      <c r="D2640" s="2">
        <f t="shared" si="41"/>
        <v>0</v>
      </c>
      <c r="E2640" s="14" t="str">
        <f>IFERROR(GIZLI!G2635,"")</f>
        <v/>
      </c>
    </row>
    <row r="2641" spans="2:5" x14ac:dyDescent="0.3">
      <c r="B2641" s="2" t="str">
        <f>MID(TableQR[[#This Row],[QR CODES]],4,13)</f>
        <v/>
      </c>
      <c r="C2641" s="2" t="str">
        <f>IFERROR(VLOOKUP(TableQR[[#This Row],[BARCODES]],ILACLISTE[#All],2,0),"")</f>
        <v/>
      </c>
      <c r="D2641" s="2">
        <f t="shared" si="41"/>
        <v>0</v>
      </c>
      <c r="E2641" s="14" t="str">
        <f>IFERROR(GIZLI!G2636,"")</f>
        <v/>
      </c>
    </row>
    <row r="2642" spans="2:5" x14ac:dyDescent="0.3">
      <c r="B2642" s="2" t="str">
        <f>MID(TableQR[[#This Row],[QR CODES]],4,13)</f>
        <v/>
      </c>
      <c r="C2642" s="2" t="str">
        <f>IFERROR(VLOOKUP(TableQR[[#This Row],[BARCODES]],ILACLISTE[#All],2,0),"")</f>
        <v/>
      </c>
      <c r="D2642" s="2">
        <f t="shared" si="41"/>
        <v>0</v>
      </c>
      <c r="E2642" s="14" t="str">
        <f>IFERROR(GIZLI!G2637,"")</f>
        <v/>
      </c>
    </row>
    <row r="2643" spans="2:5" x14ac:dyDescent="0.3">
      <c r="B2643" s="2" t="str">
        <f>MID(TableQR[[#This Row],[QR CODES]],4,13)</f>
        <v/>
      </c>
      <c r="C2643" s="2" t="str">
        <f>IFERROR(VLOOKUP(TableQR[[#This Row],[BARCODES]],ILACLISTE[#All],2,0),"")</f>
        <v/>
      </c>
      <c r="D2643" s="2">
        <f t="shared" si="41"/>
        <v>0</v>
      </c>
      <c r="E2643" s="14" t="str">
        <f>IFERROR(GIZLI!G2638,"")</f>
        <v/>
      </c>
    </row>
    <row r="2644" spans="2:5" x14ac:dyDescent="0.3">
      <c r="B2644" s="2" t="str">
        <f>MID(TableQR[[#This Row],[QR CODES]],4,13)</f>
        <v/>
      </c>
      <c r="C2644" s="2" t="str">
        <f>IFERROR(VLOOKUP(TableQR[[#This Row],[BARCODES]],ILACLISTE[#All],2,0),"")</f>
        <v/>
      </c>
      <c r="D2644" s="2">
        <f t="shared" si="41"/>
        <v>0</v>
      </c>
      <c r="E2644" s="14" t="str">
        <f>IFERROR(GIZLI!G2639,"")</f>
        <v/>
      </c>
    </row>
    <row r="2645" spans="2:5" x14ac:dyDescent="0.3">
      <c r="B2645" s="2" t="str">
        <f>MID(TableQR[[#This Row],[QR CODES]],4,13)</f>
        <v/>
      </c>
      <c r="C2645" s="2" t="str">
        <f>IFERROR(VLOOKUP(TableQR[[#This Row],[BARCODES]],ILACLISTE[#All],2,0),"")</f>
        <v/>
      </c>
      <c r="D2645" s="2">
        <f t="shared" si="41"/>
        <v>0</v>
      </c>
      <c r="E2645" s="14" t="str">
        <f>IFERROR(GIZLI!G2640,"")</f>
        <v/>
      </c>
    </row>
    <row r="2646" spans="2:5" x14ac:dyDescent="0.3">
      <c r="B2646" s="2" t="str">
        <f>MID(TableQR[[#This Row],[QR CODES]],4,13)</f>
        <v/>
      </c>
      <c r="C2646" s="2" t="str">
        <f>IFERROR(VLOOKUP(TableQR[[#This Row],[BARCODES]],ILACLISTE[#All],2,0),"")</f>
        <v/>
      </c>
      <c r="D2646" s="2">
        <f t="shared" si="41"/>
        <v>0</v>
      </c>
      <c r="E2646" s="14" t="str">
        <f>IFERROR(GIZLI!G2641,"")</f>
        <v/>
      </c>
    </row>
    <row r="2647" spans="2:5" x14ac:dyDescent="0.3">
      <c r="B2647" s="2" t="str">
        <f>MID(TableQR[[#This Row],[QR CODES]],4,13)</f>
        <v/>
      </c>
      <c r="C2647" s="2" t="str">
        <f>IFERROR(VLOOKUP(TableQR[[#This Row],[BARCODES]],ILACLISTE[#All],2,0),"")</f>
        <v/>
      </c>
      <c r="D2647" s="2">
        <f t="shared" si="41"/>
        <v>0</v>
      </c>
      <c r="E2647" s="14" t="str">
        <f>IFERROR(GIZLI!G2642,"")</f>
        <v/>
      </c>
    </row>
    <row r="2648" spans="2:5" x14ac:dyDescent="0.3">
      <c r="B2648" s="2" t="str">
        <f>MID(TableQR[[#This Row],[QR CODES]],4,13)</f>
        <v/>
      </c>
      <c r="C2648" s="2" t="str">
        <f>IFERROR(VLOOKUP(TableQR[[#This Row],[BARCODES]],ILACLISTE[#All],2,0),"")</f>
        <v/>
      </c>
      <c r="D2648" s="2">
        <f t="shared" si="41"/>
        <v>0</v>
      </c>
      <c r="E2648" s="14" t="str">
        <f>IFERROR(GIZLI!G2643,"")</f>
        <v/>
      </c>
    </row>
    <row r="2649" spans="2:5" x14ac:dyDescent="0.3">
      <c r="B2649" s="2" t="str">
        <f>MID(TableQR[[#This Row],[QR CODES]],4,13)</f>
        <v/>
      </c>
      <c r="C2649" s="2" t="str">
        <f>IFERROR(VLOOKUP(TableQR[[#This Row],[BARCODES]],ILACLISTE[#All],2,0),"")</f>
        <v/>
      </c>
      <c r="D2649" s="2">
        <f t="shared" si="41"/>
        <v>0</v>
      </c>
      <c r="E2649" s="14" t="str">
        <f>IFERROR(GIZLI!G2644,"")</f>
        <v/>
      </c>
    </row>
    <row r="2650" spans="2:5" x14ac:dyDescent="0.3">
      <c r="B2650" s="2" t="str">
        <f>MID(TableQR[[#This Row],[QR CODES]],4,13)</f>
        <v/>
      </c>
      <c r="C2650" s="2" t="str">
        <f>IFERROR(VLOOKUP(TableQR[[#This Row],[BARCODES]],ILACLISTE[#All],2,0),"")</f>
        <v/>
      </c>
      <c r="D2650" s="2">
        <f t="shared" si="41"/>
        <v>0</v>
      </c>
      <c r="E2650" s="14" t="str">
        <f>IFERROR(GIZLI!G2645,"")</f>
        <v/>
      </c>
    </row>
    <row r="2651" spans="2:5" x14ac:dyDescent="0.3">
      <c r="B2651" s="2" t="str">
        <f>MID(TableQR[[#This Row],[QR CODES]],4,13)</f>
        <v/>
      </c>
      <c r="C2651" s="2" t="str">
        <f>IFERROR(VLOOKUP(TableQR[[#This Row],[BARCODES]],ILACLISTE[#All],2,0),"")</f>
        <v/>
      </c>
      <c r="D2651" s="2">
        <f t="shared" si="41"/>
        <v>0</v>
      </c>
      <c r="E2651" s="14" t="str">
        <f>IFERROR(GIZLI!G2646,"")</f>
        <v/>
      </c>
    </row>
    <row r="2652" spans="2:5" x14ac:dyDescent="0.3">
      <c r="B2652" s="2" t="str">
        <f>MID(TableQR[[#This Row],[QR CODES]],4,13)</f>
        <v/>
      </c>
      <c r="C2652" s="2" t="str">
        <f>IFERROR(VLOOKUP(TableQR[[#This Row],[BARCODES]],ILACLISTE[#All],2,0),"")</f>
        <v/>
      </c>
      <c r="D2652" s="2">
        <f t="shared" si="41"/>
        <v>0</v>
      </c>
      <c r="E2652" s="14" t="str">
        <f>IFERROR(GIZLI!G2647,"")</f>
        <v/>
      </c>
    </row>
    <row r="2653" spans="2:5" x14ac:dyDescent="0.3">
      <c r="B2653" s="2" t="str">
        <f>MID(TableQR[[#This Row],[QR CODES]],4,13)</f>
        <v/>
      </c>
      <c r="C2653" s="2" t="str">
        <f>IFERROR(VLOOKUP(TableQR[[#This Row],[BARCODES]],ILACLISTE[#All],2,0),"")</f>
        <v/>
      </c>
      <c r="D2653" s="2">
        <f t="shared" si="41"/>
        <v>0</v>
      </c>
      <c r="E2653" s="14" t="str">
        <f>IFERROR(GIZLI!G2648,"")</f>
        <v/>
      </c>
    </row>
    <row r="2654" spans="2:5" x14ac:dyDescent="0.3">
      <c r="B2654" s="2" t="str">
        <f>MID(TableQR[[#This Row],[QR CODES]],4,13)</f>
        <v/>
      </c>
      <c r="C2654" s="2" t="str">
        <f>IFERROR(VLOOKUP(TableQR[[#This Row],[BARCODES]],ILACLISTE[#All],2,0),"")</f>
        <v/>
      </c>
      <c r="D2654" s="2">
        <f t="shared" si="41"/>
        <v>0</v>
      </c>
      <c r="E2654" s="14" t="str">
        <f>IFERROR(GIZLI!G2649,"")</f>
        <v/>
      </c>
    </row>
    <row r="2655" spans="2:5" x14ac:dyDescent="0.3">
      <c r="B2655" s="2" t="str">
        <f>MID(TableQR[[#This Row],[QR CODES]],4,13)</f>
        <v/>
      </c>
      <c r="C2655" s="2" t="str">
        <f>IFERROR(VLOOKUP(TableQR[[#This Row],[BARCODES]],ILACLISTE[#All],2,0),"")</f>
        <v/>
      </c>
      <c r="D2655" s="2">
        <f t="shared" si="41"/>
        <v>0</v>
      </c>
      <c r="E2655" s="14" t="str">
        <f>IFERROR(GIZLI!G2650,"")</f>
        <v/>
      </c>
    </row>
    <row r="2656" spans="2:5" x14ac:dyDescent="0.3">
      <c r="B2656" s="2" t="str">
        <f>MID(TableQR[[#This Row],[QR CODES]],4,13)</f>
        <v/>
      </c>
      <c r="C2656" s="2" t="str">
        <f>IFERROR(VLOOKUP(TableQR[[#This Row],[BARCODES]],ILACLISTE[#All],2,0),"")</f>
        <v/>
      </c>
      <c r="D2656" s="2">
        <f t="shared" si="41"/>
        <v>0</v>
      </c>
      <c r="E2656" s="14" t="str">
        <f>IFERROR(GIZLI!G2651,"")</f>
        <v/>
      </c>
    </row>
    <row r="2657" spans="2:5" x14ac:dyDescent="0.3">
      <c r="B2657" s="2" t="str">
        <f>MID(TableQR[[#This Row],[QR CODES]],4,13)</f>
        <v/>
      </c>
      <c r="C2657" s="2" t="str">
        <f>IFERROR(VLOOKUP(TableQR[[#This Row],[BARCODES]],ILACLISTE[#All],2,0),"")</f>
        <v/>
      </c>
      <c r="D2657" s="2">
        <f t="shared" si="41"/>
        <v>0</v>
      </c>
      <c r="E2657" s="14" t="str">
        <f>IFERROR(GIZLI!G2652,"")</f>
        <v/>
      </c>
    </row>
    <row r="2658" spans="2:5" x14ac:dyDescent="0.3">
      <c r="B2658" s="2" t="str">
        <f>MID(TableQR[[#This Row],[QR CODES]],4,13)</f>
        <v/>
      </c>
      <c r="C2658" s="2" t="str">
        <f>IFERROR(VLOOKUP(TableQR[[#This Row],[BARCODES]],ILACLISTE[#All],2,0),"")</f>
        <v/>
      </c>
      <c r="D2658" s="2">
        <f t="shared" si="41"/>
        <v>0</v>
      </c>
      <c r="E2658" s="14" t="str">
        <f>IFERROR(GIZLI!G2653,"")</f>
        <v/>
      </c>
    </row>
    <row r="2659" spans="2:5" x14ac:dyDescent="0.3">
      <c r="B2659" s="2" t="str">
        <f>MID(TableQR[[#This Row],[QR CODES]],4,13)</f>
        <v/>
      </c>
      <c r="C2659" s="2" t="str">
        <f>IFERROR(VLOOKUP(TableQR[[#This Row],[BARCODES]],ILACLISTE[#All],2,0),"")</f>
        <v/>
      </c>
      <c r="D2659" s="2">
        <f t="shared" si="41"/>
        <v>0</v>
      </c>
      <c r="E2659" s="14" t="str">
        <f>IFERROR(GIZLI!G2654,"")</f>
        <v/>
      </c>
    </row>
    <row r="2660" spans="2:5" x14ac:dyDescent="0.3">
      <c r="B2660" s="2" t="str">
        <f>MID(TableQR[[#This Row],[QR CODES]],4,13)</f>
        <v/>
      </c>
      <c r="C2660" s="2" t="str">
        <f>IFERROR(VLOOKUP(TableQR[[#This Row],[BARCODES]],ILACLISTE[#All],2,0),"")</f>
        <v/>
      </c>
      <c r="D2660" s="2">
        <f t="shared" si="41"/>
        <v>0</v>
      </c>
      <c r="E2660" s="14" t="str">
        <f>IFERROR(GIZLI!G2655,"")</f>
        <v/>
      </c>
    </row>
    <row r="2661" spans="2:5" x14ac:dyDescent="0.3">
      <c r="B2661" s="2" t="str">
        <f>MID(TableQR[[#This Row],[QR CODES]],4,13)</f>
        <v/>
      </c>
      <c r="C2661" s="2" t="str">
        <f>IFERROR(VLOOKUP(TableQR[[#This Row],[BARCODES]],ILACLISTE[#All],2,0),"")</f>
        <v/>
      </c>
      <c r="D2661" s="2">
        <f t="shared" si="41"/>
        <v>0</v>
      </c>
      <c r="E2661" s="14" t="str">
        <f>IFERROR(GIZLI!G2656,"")</f>
        <v/>
      </c>
    </row>
    <row r="2662" spans="2:5" x14ac:dyDescent="0.3">
      <c r="B2662" s="2" t="str">
        <f>MID(TableQR[[#This Row],[QR CODES]],4,13)</f>
        <v/>
      </c>
      <c r="C2662" s="2" t="str">
        <f>IFERROR(VLOOKUP(TableQR[[#This Row],[BARCODES]],ILACLISTE[#All],2,0),"")</f>
        <v/>
      </c>
      <c r="D2662" s="2">
        <f t="shared" si="41"/>
        <v>0</v>
      </c>
      <c r="E2662" s="14" t="str">
        <f>IFERROR(GIZLI!G2657,"")</f>
        <v/>
      </c>
    </row>
    <row r="2663" spans="2:5" x14ac:dyDescent="0.3">
      <c r="B2663" s="2" t="str">
        <f>MID(TableQR[[#This Row],[QR CODES]],4,13)</f>
        <v/>
      </c>
      <c r="C2663" s="2" t="str">
        <f>IFERROR(VLOOKUP(TableQR[[#This Row],[BARCODES]],ILACLISTE[#All],2,0),"")</f>
        <v/>
      </c>
      <c r="D2663" s="2">
        <f t="shared" si="41"/>
        <v>0</v>
      </c>
      <c r="E2663" s="14" t="str">
        <f>IFERROR(GIZLI!G2658,"")</f>
        <v/>
      </c>
    </row>
    <row r="2664" spans="2:5" x14ac:dyDescent="0.3">
      <c r="B2664" s="2" t="str">
        <f>MID(TableQR[[#This Row],[QR CODES]],4,13)</f>
        <v/>
      </c>
      <c r="C2664" s="2" t="str">
        <f>IFERROR(VLOOKUP(TableQR[[#This Row],[BARCODES]],ILACLISTE[#All],2,0),"")</f>
        <v/>
      </c>
      <c r="D2664" s="2">
        <f t="shared" si="41"/>
        <v>0</v>
      </c>
      <c r="E2664" s="14" t="str">
        <f>IFERROR(GIZLI!G2659,"")</f>
        <v/>
      </c>
    </row>
    <row r="2665" spans="2:5" x14ac:dyDescent="0.3">
      <c r="B2665" s="2" t="str">
        <f>MID(TableQR[[#This Row],[QR CODES]],4,13)</f>
        <v/>
      </c>
      <c r="C2665" s="2" t="str">
        <f>IFERROR(VLOOKUP(TableQR[[#This Row],[BARCODES]],ILACLISTE[#All],2,0),"")</f>
        <v/>
      </c>
      <c r="D2665" s="2">
        <f t="shared" si="41"/>
        <v>0</v>
      </c>
      <c r="E2665" s="14" t="str">
        <f>IFERROR(GIZLI!G2660,"")</f>
        <v/>
      </c>
    </row>
    <row r="2666" spans="2:5" x14ac:dyDescent="0.3">
      <c r="B2666" s="2" t="str">
        <f>MID(TableQR[[#This Row],[QR CODES]],4,13)</f>
        <v/>
      </c>
      <c r="C2666" s="2" t="str">
        <f>IFERROR(VLOOKUP(TableQR[[#This Row],[BARCODES]],ILACLISTE[#All],2,0),"")</f>
        <v/>
      </c>
      <c r="D2666" s="2">
        <f t="shared" si="41"/>
        <v>0</v>
      </c>
      <c r="E2666" s="14" t="str">
        <f>IFERROR(GIZLI!G2661,"")</f>
        <v/>
      </c>
    </row>
    <row r="2667" spans="2:5" x14ac:dyDescent="0.3">
      <c r="B2667" s="2" t="str">
        <f>MID(TableQR[[#This Row],[QR CODES]],4,13)</f>
        <v/>
      </c>
      <c r="C2667" s="2" t="str">
        <f>IFERROR(VLOOKUP(TableQR[[#This Row],[BARCODES]],ILACLISTE[#All],2,0),"")</f>
        <v/>
      </c>
      <c r="D2667" s="2">
        <f t="shared" si="41"/>
        <v>0</v>
      </c>
      <c r="E2667" s="14" t="str">
        <f>IFERROR(GIZLI!G2662,"")</f>
        <v/>
      </c>
    </row>
    <row r="2668" spans="2:5" x14ac:dyDescent="0.3">
      <c r="B2668" s="2" t="str">
        <f>MID(TableQR[[#This Row],[QR CODES]],4,13)</f>
        <v/>
      </c>
      <c r="C2668" s="2" t="str">
        <f>IFERROR(VLOOKUP(TableQR[[#This Row],[BARCODES]],ILACLISTE[#All],2,0),"")</f>
        <v/>
      </c>
      <c r="D2668" s="2">
        <f t="shared" si="41"/>
        <v>0</v>
      </c>
      <c r="E2668" s="14" t="str">
        <f>IFERROR(GIZLI!G2663,"")</f>
        <v/>
      </c>
    </row>
    <row r="2669" spans="2:5" x14ac:dyDescent="0.3">
      <c r="B2669" s="2" t="str">
        <f>MID(TableQR[[#This Row],[QR CODES]],4,13)</f>
        <v/>
      </c>
      <c r="C2669" s="2" t="str">
        <f>IFERROR(VLOOKUP(TableQR[[#This Row],[BARCODES]],ILACLISTE[#All],2,0),"")</f>
        <v/>
      </c>
      <c r="D2669" s="2">
        <f t="shared" si="41"/>
        <v>0</v>
      </c>
      <c r="E2669" s="14" t="str">
        <f>IFERROR(GIZLI!G2664,"")</f>
        <v/>
      </c>
    </row>
    <row r="2670" spans="2:5" x14ac:dyDescent="0.3">
      <c r="B2670" s="2" t="str">
        <f>MID(TableQR[[#This Row],[QR CODES]],4,13)</f>
        <v/>
      </c>
      <c r="C2670" s="2" t="str">
        <f>IFERROR(VLOOKUP(TableQR[[#This Row],[BARCODES]],ILACLISTE[#All],2,0),"")</f>
        <v/>
      </c>
      <c r="D2670" s="2">
        <f t="shared" si="41"/>
        <v>0</v>
      </c>
      <c r="E2670" s="14" t="str">
        <f>IFERROR(GIZLI!G2665,"")</f>
        <v/>
      </c>
    </row>
    <row r="2671" spans="2:5" x14ac:dyDescent="0.3">
      <c r="B2671" s="2" t="str">
        <f>MID(TableQR[[#This Row],[QR CODES]],4,13)</f>
        <v/>
      </c>
      <c r="C2671" s="2" t="str">
        <f>IFERROR(VLOOKUP(TableQR[[#This Row],[BARCODES]],ILACLISTE[#All],2,0),"")</f>
        <v/>
      </c>
      <c r="D2671" s="2">
        <f t="shared" si="41"/>
        <v>0</v>
      </c>
      <c r="E2671" s="14" t="str">
        <f>IFERROR(GIZLI!G2666,"")</f>
        <v/>
      </c>
    </row>
    <row r="2672" spans="2:5" x14ac:dyDescent="0.3">
      <c r="B2672" s="2" t="str">
        <f>MID(TableQR[[#This Row],[QR CODES]],4,13)</f>
        <v/>
      </c>
      <c r="C2672" s="2" t="str">
        <f>IFERROR(VLOOKUP(TableQR[[#This Row],[BARCODES]],ILACLISTE[#All],2,0),"")</f>
        <v/>
      </c>
      <c r="D2672" s="2">
        <f t="shared" si="41"/>
        <v>0</v>
      </c>
      <c r="E2672" s="14" t="str">
        <f>IFERROR(GIZLI!G2667,"")</f>
        <v/>
      </c>
    </row>
    <row r="2673" spans="2:5" x14ac:dyDescent="0.3">
      <c r="B2673" s="2" t="str">
        <f>MID(TableQR[[#This Row],[QR CODES]],4,13)</f>
        <v/>
      </c>
      <c r="C2673" s="2" t="str">
        <f>IFERROR(VLOOKUP(TableQR[[#This Row],[BARCODES]],ILACLISTE[#All],2,0),"")</f>
        <v/>
      </c>
      <c r="D2673" s="2">
        <f t="shared" si="41"/>
        <v>0</v>
      </c>
      <c r="E2673" s="14" t="str">
        <f>IFERROR(GIZLI!G2668,"")</f>
        <v/>
      </c>
    </row>
    <row r="2674" spans="2:5" x14ac:dyDescent="0.3">
      <c r="B2674" s="2" t="str">
        <f>MID(TableQR[[#This Row],[QR CODES]],4,13)</f>
        <v/>
      </c>
      <c r="C2674" s="2" t="str">
        <f>IFERROR(VLOOKUP(TableQR[[#This Row],[BARCODES]],ILACLISTE[#All],2,0),"")</f>
        <v/>
      </c>
      <c r="D2674" s="2">
        <f t="shared" si="41"/>
        <v>0</v>
      </c>
      <c r="E2674" s="14" t="str">
        <f>IFERROR(GIZLI!G2669,"")</f>
        <v/>
      </c>
    </row>
    <row r="2675" spans="2:5" x14ac:dyDescent="0.3">
      <c r="B2675" s="2" t="str">
        <f>MID(TableQR[[#This Row],[QR CODES]],4,13)</f>
        <v/>
      </c>
      <c r="C2675" s="2" t="str">
        <f>IFERROR(VLOOKUP(TableQR[[#This Row],[BARCODES]],ILACLISTE[#All],2,0),"")</f>
        <v/>
      </c>
      <c r="D2675" s="2">
        <f t="shared" si="41"/>
        <v>0</v>
      </c>
      <c r="E2675" s="14" t="str">
        <f>IFERROR(GIZLI!G2670,"")</f>
        <v/>
      </c>
    </row>
    <row r="2676" spans="2:5" x14ac:dyDescent="0.3">
      <c r="B2676" s="2" t="str">
        <f>MID(TableQR[[#This Row],[QR CODES]],4,13)</f>
        <v/>
      </c>
      <c r="C2676" s="2" t="str">
        <f>IFERROR(VLOOKUP(TableQR[[#This Row],[BARCODES]],ILACLISTE[#All],2,0),"")</f>
        <v/>
      </c>
      <c r="D2676" s="2">
        <f t="shared" si="41"/>
        <v>0</v>
      </c>
      <c r="E2676" s="14" t="str">
        <f>IFERROR(GIZLI!G2671,"")</f>
        <v/>
      </c>
    </row>
    <row r="2677" spans="2:5" x14ac:dyDescent="0.3">
      <c r="B2677" s="2" t="str">
        <f>MID(TableQR[[#This Row],[QR CODES]],4,13)</f>
        <v/>
      </c>
      <c r="C2677" s="2" t="str">
        <f>IFERROR(VLOOKUP(TableQR[[#This Row],[BARCODES]],ILACLISTE[#All],2,0),"")</f>
        <v/>
      </c>
      <c r="D2677" s="2">
        <f t="shared" si="41"/>
        <v>0</v>
      </c>
      <c r="E2677" s="14" t="str">
        <f>IFERROR(GIZLI!G2672,"")</f>
        <v/>
      </c>
    </row>
    <row r="2678" spans="2:5" x14ac:dyDescent="0.3">
      <c r="B2678" s="2" t="str">
        <f>MID(TableQR[[#This Row],[QR CODES]],4,13)</f>
        <v/>
      </c>
      <c r="C2678" s="2" t="str">
        <f>IFERROR(VLOOKUP(TableQR[[#This Row],[BARCODES]],ILACLISTE[#All],2,0),"")</f>
        <v/>
      </c>
      <c r="D2678" s="2">
        <f t="shared" si="41"/>
        <v>0</v>
      </c>
      <c r="E2678" s="14" t="str">
        <f>IFERROR(GIZLI!G2673,"")</f>
        <v/>
      </c>
    </row>
    <row r="2679" spans="2:5" x14ac:dyDescent="0.3">
      <c r="B2679" s="2" t="str">
        <f>MID(TableQR[[#This Row],[QR CODES]],4,13)</f>
        <v/>
      </c>
      <c r="C2679" s="2" t="str">
        <f>IFERROR(VLOOKUP(TableQR[[#This Row],[BARCODES]],ILACLISTE[#All],2,0),"")</f>
        <v/>
      </c>
      <c r="D2679" s="2">
        <f t="shared" si="41"/>
        <v>0</v>
      </c>
      <c r="E2679" s="14" t="str">
        <f>IFERROR(GIZLI!G2674,"")</f>
        <v/>
      </c>
    </row>
    <row r="2680" spans="2:5" x14ac:dyDescent="0.3">
      <c r="B2680" s="2" t="str">
        <f>MID(TableQR[[#This Row],[QR CODES]],4,13)</f>
        <v/>
      </c>
      <c r="C2680" s="2" t="str">
        <f>IFERROR(VLOOKUP(TableQR[[#This Row],[BARCODES]],ILACLISTE[#All],2,0),"")</f>
        <v/>
      </c>
      <c r="D2680" s="2">
        <f t="shared" si="41"/>
        <v>0</v>
      </c>
      <c r="E2680" s="14" t="str">
        <f>IFERROR(GIZLI!G2675,"")</f>
        <v/>
      </c>
    </row>
    <row r="2681" spans="2:5" x14ac:dyDescent="0.3">
      <c r="B2681" s="2" t="str">
        <f>MID(TableQR[[#This Row],[QR CODES]],4,13)</f>
        <v/>
      </c>
      <c r="C2681" s="2" t="str">
        <f>IFERROR(VLOOKUP(TableQR[[#This Row],[BARCODES]],ILACLISTE[#All],2,0),"")</f>
        <v/>
      </c>
      <c r="D2681" s="2">
        <f t="shared" si="41"/>
        <v>0</v>
      </c>
      <c r="E2681" s="14" t="str">
        <f>IFERROR(GIZLI!G2676,"")</f>
        <v/>
      </c>
    </row>
    <row r="2682" spans="2:5" x14ac:dyDescent="0.3">
      <c r="B2682" s="2" t="str">
        <f>MID(TableQR[[#This Row],[QR CODES]],4,13)</f>
        <v/>
      </c>
      <c r="C2682" s="2" t="str">
        <f>IFERROR(VLOOKUP(TableQR[[#This Row],[BARCODES]],ILACLISTE[#All],2,0),"")</f>
        <v/>
      </c>
      <c r="D2682" s="2">
        <f t="shared" si="41"/>
        <v>0</v>
      </c>
      <c r="E2682" s="14" t="str">
        <f>IFERROR(GIZLI!G2677,"")</f>
        <v/>
      </c>
    </row>
    <row r="2683" spans="2:5" x14ac:dyDescent="0.3">
      <c r="B2683" s="2" t="str">
        <f>MID(TableQR[[#This Row],[QR CODES]],4,13)</f>
        <v/>
      </c>
      <c r="C2683" s="2" t="str">
        <f>IFERROR(VLOOKUP(TableQR[[#This Row],[BARCODES]],ILACLISTE[#All],2,0),"")</f>
        <v/>
      </c>
      <c r="D2683" s="2">
        <f t="shared" si="41"/>
        <v>0</v>
      </c>
      <c r="E2683" s="14" t="str">
        <f>IFERROR(GIZLI!G2678,"")</f>
        <v/>
      </c>
    </row>
    <row r="2684" spans="2:5" x14ac:dyDescent="0.3">
      <c r="B2684" s="2" t="str">
        <f>MID(TableQR[[#This Row],[QR CODES]],4,13)</f>
        <v/>
      </c>
      <c r="C2684" s="2" t="str">
        <f>IFERROR(VLOOKUP(TableQR[[#This Row],[BARCODES]],ILACLISTE[#All],2,0),"")</f>
        <v/>
      </c>
      <c r="D2684" s="2">
        <f t="shared" si="41"/>
        <v>0</v>
      </c>
      <c r="E2684" s="14" t="str">
        <f>IFERROR(GIZLI!G2679,"")</f>
        <v/>
      </c>
    </row>
    <row r="2685" spans="2:5" x14ac:dyDescent="0.3">
      <c r="B2685" s="2" t="str">
        <f>MID(TableQR[[#This Row],[QR CODES]],4,13)</f>
        <v/>
      </c>
      <c r="C2685" s="2" t="str">
        <f>IFERROR(VLOOKUP(TableQR[[#This Row],[BARCODES]],ILACLISTE[#All],2,0),"")</f>
        <v/>
      </c>
      <c r="D2685" s="2">
        <f t="shared" si="41"/>
        <v>0</v>
      </c>
      <c r="E2685" s="14" t="str">
        <f>IFERROR(GIZLI!G2680,"")</f>
        <v/>
      </c>
    </row>
    <row r="2686" spans="2:5" x14ac:dyDescent="0.3">
      <c r="B2686" s="2" t="str">
        <f>MID(TableQR[[#This Row],[QR CODES]],4,13)</f>
        <v/>
      </c>
      <c r="C2686" s="2" t="str">
        <f>IFERROR(VLOOKUP(TableQR[[#This Row],[BARCODES]],ILACLISTE[#All],2,0),"")</f>
        <v/>
      </c>
      <c r="D2686" s="2">
        <f t="shared" si="41"/>
        <v>0</v>
      </c>
      <c r="E2686" s="14" t="str">
        <f>IFERROR(GIZLI!G2681,"")</f>
        <v/>
      </c>
    </row>
    <row r="2687" spans="2:5" x14ac:dyDescent="0.3">
      <c r="B2687" s="2" t="str">
        <f>MID(TableQR[[#This Row],[QR CODES]],4,13)</f>
        <v/>
      </c>
      <c r="C2687" s="2" t="str">
        <f>IFERROR(VLOOKUP(TableQR[[#This Row],[BARCODES]],ILACLISTE[#All],2,0),"")</f>
        <v/>
      </c>
      <c r="D2687" s="2">
        <f t="shared" si="41"/>
        <v>0</v>
      </c>
      <c r="E2687" s="14" t="str">
        <f>IFERROR(GIZLI!G2682,"")</f>
        <v/>
      </c>
    </row>
    <row r="2688" spans="2:5" x14ac:dyDescent="0.3">
      <c r="B2688" s="2" t="str">
        <f>MID(TableQR[[#This Row],[QR CODES]],4,13)</f>
        <v/>
      </c>
      <c r="C2688" s="2" t="str">
        <f>IFERROR(VLOOKUP(TableQR[[#This Row],[BARCODES]],ILACLISTE[#All],2,0),"")</f>
        <v/>
      </c>
      <c r="D2688" s="2">
        <f t="shared" si="41"/>
        <v>0</v>
      </c>
      <c r="E2688" s="14" t="str">
        <f>IFERROR(GIZLI!G2683,"")</f>
        <v/>
      </c>
    </row>
    <row r="2689" spans="2:5" x14ac:dyDescent="0.3">
      <c r="B2689" s="2" t="str">
        <f>MID(TableQR[[#This Row],[QR CODES]],4,13)</f>
        <v/>
      </c>
      <c r="C2689" s="2" t="str">
        <f>IFERROR(VLOOKUP(TableQR[[#This Row],[BARCODES]],ILACLISTE[#All],2,0),"")</f>
        <v/>
      </c>
      <c r="D2689" s="2">
        <f t="shared" si="41"/>
        <v>0</v>
      </c>
      <c r="E2689" s="14" t="str">
        <f>IFERROR(GIZLI!G2684,"")</f>
        <v/>
      </c>
    </row>
    <row r="2690" spans="2:5" x14ac:dyDescent="0.3">
      <c r="B2690" s="2" t="str">
        <f>MID(TableQR[[#This Row],[QR CODES]],4,13)</f>
        <v/>
      </c>
      <c r="C2690" s="2" t="str">
        <f>IFERROR(VLOOKUP(TableQR[[#This Row],[BARCODES]],ILACLISTE[#All],2,0),"")</f>
        <v/>
      </c>
      <c r="D2690" s="2">
        <f t="shared" si="41"/>
        <v>0</v>
      </c>
      <c r="E2690" s="14" t="str">
        <f>IFERROR(GIZLI!G2685,"")</f>
        <v/>
      </c>
    </row>
    <row r="2691" spans="2:5" x14ac:dyDescent="0.3">
      <c r="B2691" s="2" t="str">
        <f>MID(TableQR[[#This Row],[QR CODES]],4,13)</f>
        <v/>
      </c>
      <c r="C2691" s="2" t="str">
        <f>IFERROR(VLOOKUP(TableQR[[#This Row],[BARCODES]],ILACLISTE[#All],2,0),"")</f>
        <v/>
      </c>
      <c r="D2691" s="2">
        <f t="shared" si="41"/>
        <v>0</v>
      </c>
      <c r="E2691" s="14" t="str">
        <f>IFERROR(GIZLI!G2686,"")</f>
        <v/>
      </c>
    </row>
    <row r="2692" spans="2:5" x14ac:dyDescent="0.3">
      <c r="B2692" s="2" t="str">
        <f>MID(TableQR[[#This Row],[QR CODES]],4,13)</f>
        <v/>
      </c>
      <c r="C2692" s="2" t="str">
        <f>IFERROR(VLOOKUP(TableQR[[#This Row],[BARCODES]],ILACLISTE[#All],2,0),"")</f>
        <v/>
      </c>
      <c r="D2692" s="2">
        <f t="shared" si="41"/>
        <v>0</v>
      </c>
      <c r="E2692" s="14" t="str">
        <f>IFERROR(GIZLI!G2687,"")</f>
        <v/>
      </c>
    </row>
    <row r="2693" spans="2:5" x14ac:dyDescent="0.3">
      <c r="B2693" s="2" t="str">
        <f>MID(TableQR[[#This Row],[QR CODES]],4,13)</f>
        <v/>
      </c>
      <c r="C2693" s="2" t="str">
        <f>IFERROR(VLOOKUP(TableQR[[#This Row],[BARCODES]],ILACLISTE[#All],2,0),"")</f>
        <v/>
      </c>
      <c r="D2693" s="2">
        <f t="shared" si="41"/>
        <v>0</v>
      </c>
      <c r="E2693" s="14" t="str">
        <f>IFERROR(GIZLI!G2688,"")</f>
        <v/>
      </c>
    </row>
    <row r="2694" spans="2:5" x14ac:dyDescent="0.3">
      <c r="B2694" s="2" t="str">
        <f>MID(TableQR[[#This Row],[QR CODES]],4,13)</f>
        <v/>
      </c>
      <c r="C2694" s="2" t="str">
        <f>IFERROR(VLOOKUP(TableQR[[#This Row],[BARCODES]],ILACLISTE[#All],2,0),"")</f>
        <v/>
      </c>
      <c r="D2694" s="2">
        <f t="shared" si="41"/>
        <v>0</v>
      </c>
      <c r="E2694" s="14" t="str">
        <f>IFERROR(GIZLI!G2689,"")</f>
        <v/>
      </c>
    </row>
    <row r="2695" spans="2:5" x14ac:dyDescent="0.3">
      <c r="B2695" s="2" t="str">
        <f>MID(TableQR[[#This Row],[QR CODES]],4,13)</f>
        <v/>
      </c>
      <c r="C2695" s="2" t="str">
        <f>IFERROR(VLOOKUP(TableQR[[#This Row],[BARCODES]],ILACLISTE[#All],2,0),"")</f>
        <v/>
      </c>
      <c r="D2695" s="2">
        <f t="shared" si="41"/>
        <v>0</v>
      </c>
      <c r="E2695" s="14" t="str">
        <f>IFERROR(GIZLI!G2690,"")</f>
        <v/>
      </c>
    </row>
    <row r="2696" spans="2:5" x14ac:dyDescent="0.3">
      <c r="B2696" s="2" t="str">
        <f>MID(TableQR[[#This Row],[QR CODES]],4,13)</f>
        <v/>
      </c>
      <c r="C2696" s="2" t="str">
        <f>IFERROR(VLOOKUP(TableQR[[#This Row],[BARCODES]],ILACLISTE[#All],2,0),"")</f>
        <v/>
      </c>
      <c r="D2696" s="2">
        <f t="shared" ref="D2696:D2759" si="42">COUNTIF(B2696:B6689,IF(B2696="",66666,B2696))</f>
        <v>0</v>
      </c>
      <c r="E2696" s="14" t="str">
        <f>IFERROR(GIZLI!G2691,"")</f>
        <v/>
      </c>
    </row>
    <row r="2697" spans="2:5" x14ac:dyDescent="0.3">
      <c r="B2697" s="2" t="str">
        <f>MID(TableQR[[#This Row],[QR CODES]],4,13)</f>
        <v/>
      </c>
      <c r="C2697" s="2" t="str">
        <f>IFERROR(VLOOKUP(TableQR[[#This Row],[BARCODES]],ILACLISTE[#All],2,0),"")</f>
        <v/>
      </c>
      <c r="D2697" s="2">
        <f t="shared" si="42"/>
        <v>0</v>
      </c>
      <c r="E2697" s="14" t="str">
        <f>IFERROR(GIZLI!G2692,"")</f>
        <v/>
      </c>
    </row>
    <row r="2698" spans="2:5" x14ac:dyDescent="0.3">
      <c r="B2698" s="2" t="str">
        <f>MID(TableQR[[#This Row],[QR CODES]],4,13)</f>
        <v/>
      </c>
      <c r="C2698" s="2" t="str">
        <f>IFERROR(VLOOKUP(TableQR[[#This Row],[BARCODES]],ILACLISTE[#All],2,0),"")</f>
        <v/>
      </c>
      <c r="D2698" s="2">
        <f t="shared" si="42"/>
        <v>0</v>
      </c>
      <c r="E2698" s="14" t="str">
        <f>IFERROR(GIZLI!G2693,"")</f>
        <v/>
      </c>
    </row>
    <row r="2699" spans="2:5" x14ac:dyDescent="0.3">
      <c r="B2699" s="2" t="str">
        <f>MID(TableQR[[#This Row],[QR CODES]],4,13)</f>
        <v/>
      </c>
      <c r="C2699" s="2" t="str">
        <f>IFERROR(VLOOKUP(TableQR[[#This Row],[BARCODES]],ILACLISTE[#All],2,0),"")</f>
        <v/>
      </c>
      <c r="D2699" s="2">
        <f t="shared" si="42"/>
        <v>0</v>
      </c>
      <c r="E2699" s="14" t="str">
        <f>IFERROR(GIZLI!G2694,"")</f>
        <v/>
      </c>
    </row>
    <row r="2700" spans="2:5" x14ac:dyDescent="0.3">
      <c r="B2700" s="2" t="str">
        <f>MID(TableQR[[#This Row],[QR CODES]],4,13)</f>
        <v/>
      </c>
      <c r="C2700" s="2" t="str">
        <f>IFERROR(VLOOKUP(TableQR[[#This Row],[BARCODES]],ILACLISTE[#All],2,0),"")</f>
        <v/>
      </c>
      <c r="D2700" s="2">
        <f t="shared" si="42"/>
        <v>0</v>
      </c>
      <c r="E2700" s="14" t="str">
        <f>IFERROR(GIZLI!G2695,"")</f>
        <v/>
      </c>
    </row>
    <row r="2701" spans="2:5" x14ac:dyDescent="0.3">
      <c r="B2701" s="2" t="str">
        <f>MID(TableQR[[#This Row],[QR CODES]],4,13)</f>
        <v/>
      </c>
      <c r="C2701" s="2" t="str">
        <f>IFERROR(VLOOKUP(TableQR[[#This Row],[BARCODES]],ILACLISTE[#All],2,0),"")</f>
        <v/>
      </c>
      <c r="D2701" s="2">
        <f t="shared" si="42"/>
        <v>0</v>
      </c>
      <c r="E2701" s="14" t="str">
        <f>IFERROR(GIZLI!G2696,"")</f>
        <v/>
      </c>
    </row>
    <row r="2702" spans="2:5" x14ac:dyDescent="0.3">
      <c r="B2702" s="2" t="str">
        <f>MID(TableQR[[#This Row],[QR CODES]],4,13)</f>
        <v/>
      </c>
      <c r="C2702" s="2" t="str">
        <f>IFERROR(VLOOKUP(TableQR[[#This Row],[BARCODES]],ILACLISTE[#All],2,0),"")</f>
        <v/>
      </c>
      <c r="D2702" s="2">
        <f t="shared" si="42"/>
        <v>0</v>
      </c>
      <c r="E2702" s="14" t="str">
        <f>IFERROR(GIZLI!G2697,"")</f>
        <v/>
      </c>
    </row>
    <row r="2703" spans="2:5" x14ac:dyDescent="0.3">
      <c r="B2703" s="2" t="str">
        <f>MID(TableQR[[#This Row],[QR CODES]],4,13)</f>
        <v/>
      </c>
      <c r="C2703" s="2" t="str">
        <f>IFERROR(VLOOKUP(TableQR[[#This Row],[BARCODES]],ILACLISTE[#All],2,0),"")</f>
        <v/>
      </c>
      <c r="D2703" s="2">
        <f t="shared" si="42"/>
        <v>0</v>
      </c>
      <c r="E2703" s="14" t="str">
        <f>IFERROR(GIZLI!G2698,"")</f>
        <v/>
      </c>
    </row>
    <row r="2704" spans="2:5" x14ac:dyDescent="0.3">
      <c r="B2704" s="2" t="str">
        <f>MID(TableQR[[#This Row],[QR CODES]],4,13)</f>
        <v/>
      </c>
      <c r="C2704" s="2" t="str">
        <f>IFERROR(VLOOKUP(TableQR[[#This Row],[BARCODES]],ILACLISTE[#All],2,0),"")</f>
        <v/>
      </c>
      <c r="D2704" s="2">
        <f t="shared" si="42"/>
        <v>0</v>
      </c>
      <c r="E2704" s="14" t="str">
        <f>IFERROR(GIZLI!G2699,"")</f>
        <v/>
      </c>
    </row>
    <row r="2705" spans="2:5" x14ac:dyDescent="0.3">
      <c r="B2705" s="2" t="str">
        <f>MID(TableQR[[#This Row],[QR CODES]],4,13)</f>
        <v/>
      </c>
      <c r="C2705" s="2" t="str">
        <f>IFERROR(VLOOKUP(TableQR[[#This Row],[BARCODES]],ILACLISTE[#All],2,0),"")</f>
        <v/>
      </c>
      <c r="D2705" s="2">
        <f t="shared" si="42"/>
        <v>0</v>
      </c>
      <c r="E2705" s="14" t="str">
        <f>IFERROR(GIZLI!G2700,"")</f>
        <v/>
      </c>
    </row>
    <row r="2706" spans="2:5" x14ac:dyDescent="0.3">
      <c r="B2706" s="2" t="str">
        <f>MID(TableQR[[#This Row],[QR CODES]],4,13)</f>
        <v/>
      </c>
      <c r="C2706" s="2" t="str">
        <f>IFERROR(VLOOKUP(TableQR[[#This Row],[BARCODES]],ILACLISTE[#All],2,0),"")</f>
        <v/>
      </c>
      <c r="D2706" s="2">
        <f t="shared" si="42"/>
        <v>0</v>
      </c>
      <c r="E2706" s="14" t="str">
        <f>IFERROR(GIZLI!G2701,"")</f>
        <v/>
      </c>
    </row>
    <row r="2707" spans="2:5" x14ac:dyDescent="0.3">
      <c r="B2707" s="2" t="str">
        <f>MID(TableQR[[#This Row],[QR CODES]],4,13)</f>
        <v/>
      </c>
      <c r="C2707" s="2" t="str">
        <f>IFERROR(VLOOKUP(TableQR[[#This Row],[BARCODES]],ILACLISTE[#All],2,0),"")</f>
        <v/>
      </c>
      <c r="D2707" s="2">
        <f t="shared" si="42"/>
        <v>0</v>
      </c>
      <c r="E2707" s="14" t="str">
        <f>IFERROR(GIZLI!G2702,"")</f>
        <v/>
      </c>
    </row>
    <row r="2708" spans="2:5" x14ac:dyDescent="0.3">
      <c r="B2708" s="2" t="str">
        <f>MID(TableQR[[#This Row],[QR CODES]],4,13)</f>
        <v/>
      </c>
      <c r="C2708" s="2" t="str">
        <f>IFERROR(VLOOKUP(TableQR[[#This Row],[BARCODES]],ILACLISTE[#All],2,0),"")</f>
        <v/>
      </c>
      <c r="D2708" s="2">
        <f t="shared" si="42"/>
        <v>0</v>
      </c>
      <c r="E2708" s="14" t="str">
        <f>IFERROR(GIZLI!G2703,"")</f>
        <v/>
      </c>
    </row>
    <row r="2709" spans="2:5" x14ac:dyDescent="0.3">
      <c r="B2709" s="2" t="str">
        <f>MID(TableQR[[#This Row],[QR CODES]],4,13)</f>
        <v/>
      </c>
      <c r="C2709" s="2" t="str">
        <f>IFERROR(VLOOKUP(TableQR[[#This Row],[BARCODES]],ILACLISTE[#All],2,0),"")</f>
        <v/>
      </c>
      <c r="D2709" s="2">
        <f t="shared" si="42"/>
        <v>0</v>
      </c>
      <c r="E2709" s="14" t="str">
        <f>IFERROR(GIZLI!G2704,"")</f>
        <v/>
      </c>
    </row>
    <row r="2710" spans="2:5" x14ac:dyDescent="0.3">
      <c r="B2710" s="2" t="str">
        <f>MID(TableQR[[#This Row],[QR CODES]],4,13)</f>
        <v/>
      </c>
      <c r="C2710" s="2" t="str">
        <f>IFERROR(VLOOKUP(TableQR[[#This Row],[BARCODES]],ILACLISTE[#All],2,0),"")</f>
        <v/>
      </c>
      <c r="D2710" s="2">
        <f t="shared" si="42"/>
        <v>0</v>
      </c>
      <c r="E2710" s="14" t="str">
        <f>IFERROR(GIZLI!G2705,"")</f>
        <v/>
      </c>
    </row>
    <row r="2711" spans="2:5" x14ac:dyDescent="0.3">
      <c r="B2711" s="2" t="str">
        <f>MID(TableQR[[#This Row],[QR CODES]],4,13)</f>
        <v/>
      </c>
      <c r="C2711" s="2" t="str">
        <f>IFERROR(VLOOKUP(TableQR[[#This Row],[BARCODES]],ILACLISTE[#All],2,0),"")</f>
        <v/>
      </c>
      <c r="D2711" s="2">
        <f t="shared" si="42"/>
        <v>0</v>
      </c>
      <c r="E2711" s="14" t="str">
        <f>IFERROR(GIZLI!G2706,"")</f>
        <v/>
      </c>
    </row>
    <row r="2712" spans="2:5" x14ac:dyDescent="0.3">
      <c r="B2712" s="2" t="str">
        <f>MID(TableQR[[#This Row],[QR CODES]],4,13)</f>
        <v/>
      </c>
      <c r="C2712" s="2" t="str">
        <f>IFERROR(VLOOKUP(TableQR[[#This Row],[BARCODES]],ILACLISTE[#All],2,0),"")</f>
        <v/>
      </c>
      <c r="D2712" s="2">
        <f t="shared" si="42"/>
        <v>0</v>
      </c>
      <c r="E2712" s="14" t="str">
        <f>IFERROR(GIZLI!G2707,"")</f>
        <v/>
      </c>
    </row>
    <row r="2713" spans="2:5" x14ac:dyDescent="0.3">
      <c r="B2713" s="2" t="str">
        <f>MID(TableQR[[#This Row],[QR CODES]],4,13)</f>
        <v/>
      </c>
      <c r="C2713" s="2" t="str">
        <f>IFERROR(VLOOKUP(TableQR[[#This Row],[BARCODES]],ILACLISTE[#All],2,0),"")</f>
        <v/>
      </c>
      <c r="D2713" s="2">
        <f t="shared" si="42"/>
        <v>0</v>
      </c>
      <c r="E2713" s="14" t="str">
        <f>IFERROR(GIZLI!G2708,"")</f>
        <v/>
      </c>
    </row>
    <row r="2714" spans="2:5" x14ac:dyDescent="0.3">
      <c r="B2714" s="2" t="str">
        <f>MID(TableQR[[#This Row],[QR CODES]],4,13)</f>
        <v/>
      </c>
      <c r="C2714" s="2" t="str">
        <f>IFERROR(VLOOKUP(TableQR[[#This Row],[BARCODES]],ILACLISTE[#All],2,0),"")</f>
        <v/>
      </c>
      <c r="D2714" s="2">
        <f t="shared" si="42"/>
        <v>0</v>
      </c>
      <c r="E2714" s="14" t="str">
        <f>IFERROR(GIZLI!G2709,"")</f>
        <v/>
      </c>
    </row>
    <row r="2715" spans="2:5" x14ac:dyDescent="0.3">
      <c r="B2715" s="2" t="str">
        <f>MID(TableQR[[#This Row],[QR CODES]],4,13)</f>
        <v/>
      </c>
      <c r="C2715" s="2" t="str">
        <f>IFERROR(VLOOKUP(TableQR[[#This Row],[BARCODES]],ILACLISTE[#All],2,0),"")</f>
        <v/>
      </c>
      <c r="D2715" s="2">
        <f t="shared" si="42"/>
        <v>0</v>
      </c>
      <c r="E2715" s="14" t="str">
        <f>IFERROR(GIZLI!G2710,"")</f>
        <v/>
      </c>
    </row>
    <row r="2716" spans="2:5" x14ac:dyDescent="0.3">
      <c r="B2716" s="2" t="str">
        <f>MID(TableQR[[#This Row],[QR CODES]],4,13)</f>
        <v/>
      </c>
      <c r="C2716" s="2" t="str">
        <f>IFERROR(VLOOKUP(TableQR[[#This Row],[BARCODES]],ILACLISTE[#All],2,0),"")</f>
        <v/>
      </c>
      <c r="D2716" s="2">
        <f t="shared" si="42"/>
        <v>0</v>
      </c>
      <c r="E2716" s="14" t="str">
        <f>IFERROR(GIZLI!G2711,"")</f>
        <v/>
      </c>
    </row>
    <row r="2717" spans="2:5" x14ac:dyDescent="0.3">
      <c r="B2717" s="2" t="str">
        <f>MID(TableQR[[#This Row],[QR CODES]],4,13)</f>
        <v/>
      </c>
      <c r="C2717" s="2" t="str">
        <f>IFERROR(VLOOKUP(TableQR[[#This Row],[BARCODES]],ILACLISTE[#All],2,0),"")</f>
        <v/>
      </c>
      <c r="D2717" s="2">
        <f t="shared" si="42"/>
        <v>0</v>
      </c>
      <c r="E2717" s="14" t="str">
        <f>IFERROR(GIZLI!G2712,"")</f>
        <v/>
      </c>
    </row>
    <row r="2718" spans="2:5" x14ac:dyDescent="0.3">
      <c r="B2718" s="2" t="str">
        <f>MID(TableQR[[#This Row],[QR CODES]],4,13)</f>
        <v/>
      </c>
      <c r="C2718" s="2" t="str">
        <f>IFERROR(VLOOKUP(TableQR[[#This Row],[BARCODES]],ILACLISTE[#All],2,0),"")</f>
        <v/>
      </c>
      <c r="D2718" s="2">
        <f t="shared" si="42"/>
        <v>0</v>
      </c>
      <c r="E2718" s="14" t="str">
        <f>IFERROR(GIZLI!G2713,"")</f>
        <v/>
      </c>
    </row>
    <row r="2719" spans="2:5" x14ac:dyDescent="0.3">
      <c r="B2719" s="2" t="str">
        <f>MID(TableQR[[#This Row],[QR CODES]],4,13)</f>
        <v/>
      </c>
      <c r="C2719" s="2" t="str">
        <f>IFERROR(VLOOKUP(TableQR[[#This Row],[BARCODES]],ILACLISTE[#All],2,0),"")</f>
        <v/>
      </c>
      <c r="D2719" s="2">
        <f t="shared" si="42"/>
        <v>0</v>
      </c>
      <c r="E2719" s="14" t="str">
        <f>IFERROR(GIZLI!G2714,"")</f>
        <v/>
      </c>
    </row>
    <row r="2720" spans="2:5" x14ac:dyDescent="0.3">
      <c r="B2720" s="2" t="str">
        <f>MID(TableQR[[#This Row],[QR CODES]],4,13)</f>
        <v/>
      </c>
      <c r="C2720" s="2" t="str">
        <f>IFERROR(VLOOKUP(TableQR[[#This Row],[BARCODES]],ILACLISTE[#All],2,0),"")</f>
        <v/>
      </c>
      <c r="D2720" s="2">
        <f t="shared" si="42"/>
        <v>0</v>
      </c>
      <c r="E2720" s="14" t="str">
        <f>IFERROR(GIZLI!G2715,"")</f>
        <v/>
      </c>
    </row>
    <row r="2721" spans="2:5" x14ac:dyDescent="0.3">
      <c r="B2721" s="2" t="str">
        <f>MID(TableQR[[#This Row],[QR CODES]],4,13)</f>
        <v/>
      </c>
      <c r="C2721" s="2" t="str">
        <f>IFERROR(VLOOKUP(TableQR[[#This Row],[BARCODES]],ILACLISTE[#All],2,0),"")</f>
        <v/>
      </c>
      <c r="D2721" s="2">
        <f t="shared" si="42"/>
        <v>0</v>
      </c>
      <c r="E2721" s="14" t="str">
        <f>IFERROR(GIZLI!G2716,"")</f>
        <v/>
      </c>
    </row>
    <row r="2722" spans="2:5" x14ac:dyDescent="0.3">
      <c r="B2722" s="2" t="str">
        <f>MID(TableQR[[#This Row],[QR CODES]],4,13)</f>
        <v/>
      </c>
      <c r="C2722" s="2" t="str">
        <f>IFERROR(VLOOKUP(TableQR[[#This Row],[BARCODES]],ILACLISTE[#All],2,0),"")</f>
        <v/>
      </c>
      <c r="D2722" s="2">
        <f t="shared" si="42"/>
        <v>0</v>
      </c>
      <c r="E2722" s="14" t="str">
        <f>IFERROR(GIZLI!G2717,"")</f>
        <v/>
      </c>
    </row>
    <row r="2723" spans="2:5" x14ac:dyDescent="0.3">
      <c r="B2723" s="2" t="str">
        <f>MID(TableQR[[#This Row],[QR CODES]],4,13)</f>
        <v/>
      </c>
      <c r="C2723" s="2" t="str">
        <f>IFERROR(VLOOKUP(TableQR[[#This Row],[BARCODES]],ILACLISTE[#All],2,0),"")</f>
        <v/>
      </c>
      <c r="D2723" s="2">
        <f t="shared" si="42"/>
        <v>0</v>
      </c>
      <c r="E2723" s="14" t="str">
        <f>IFERROR(GIZLI!G2718,"")</f>
        <v/>
      </c>
    </row>
    <row r="2724" spans="2:5" x14ac:dyDescent="0.3">
      <c r="B2724" s="2" t="str">
        <f>MID(TableQR[[#This Row],[QR CODES]],4,13)</f>
        <v/>
      </c>
      <c r="C2724" s="2" t="str">
        <f>IFERROR(VLOOKUP(TableQR[[#This Row],[BARCODES]],ILACLISTE[#All],2,0),"")</f>
        <v/>
      </c>
      <c r="D2724" s="2">
        <f t="shared" si="42"/>
        <v>0</v>
      </c>
      <c r="E2724" s="14" t="str">
        <f>IFERROR(GIZLI!G2719,"")</f>
        <v/>
      </c>
    </row>
    <row r="2725" spans="2:5" x14ac:dyDescent="0.3">
      <c r="B2725" s="2" t="str">
        <f>MID(TableQR[[#This Row],[QR CODES]],4,13)</f>
        <v/>
      </c>
      <c r="C2725" s="2" t="str">
        <f>IFERROR(VLOOKUP(TableQR[[#This Row],[BARCODES]],ILACLISTE[#All],2,0),"")</f>
        <v/>
      </c>
      <c r="D2725" s="2">
        <f t="shared" si="42"/>
        <v>0</v>
      </c>
      <c r="E2725" s="14" t="str">
        <f>IFERROR(GIZLI!G2720,"")</f>
        <v/>
      </c>
    </row>
    <row r="2726" spans="2:5" x14ac:dyDescent="0.3">
      <c r="B2726" s="2" t="str">
        <f>MID(TableQR[[#This Row],[QR CODES]],4,13)</f>
        <v/>
      </c>
      <c r="C2726" s="2" t="str">
        <f>IFERROR(VLOOKUP(TableQR[[#This Row],[BARCODES]],ILACLISTE[#All],2,0),"")</f>
        <v/>
      </c>
      <c r="D2726" s="2">
        <f t="shared" si="42"/>
        <v>0</v>
      </c>
      <c r="E2726" s="14" t="str">
        <f>IFERROR(GIZLI!G2721,"")</f>
        <v/>
      </c>
    </row>
    <row r="2727" spans="2:5" x14ac:dyDescent="0.3">
      <c r="B2727" s="2" t="str">
        <f>MID(TableQR[[#This Row],[QR CODES]],4,13)</f>
        <v/>
      </c>
      <c r="C2727" s="2" t="str">
        <f>IFERROR(VLOOKUP(TableQR[[#This Row],[BARCODES]],ILACLISTE[#All],2,0),"")</f>
        <v/>
      </c>
      <c r="D2727" s="2">
        <f t="shared" si="42"/>
        <v>0</v>
      </c>
      <c r="E2727" s="14" t="str">
        <f>IFERROR(GIZLI!G2722,"")</f>
        <v/>
      </c>
    </row>
    <row r="2728" spans="2:5" x14ac:dyDescent="0.3">
      <c r="B2728" s="2" t="str">
        <f>MID(TableQR[[#This Row],[QR CODES]],4,13)</f>
        <v/>
      </c>
      <c r="C2728" s="2" t="str">
        <f>IFERROR(VLOOKUP(TableQR[[#This Row],[BARCODES]],ILACLISTE[#All],2,0),"")</f>
        <v/>
      </c>
      <c r="D2728" s="2">
        <f t="shared" si="42"/>
        <v>0</v>
      </c>
      <c r="E2728" s="14" t="str">
        <f>IFERROR(GIZLI!G2723,"")</f>
        <v/>
      </c>
    </row>
    <row r="2729" spans="2:5" x14ac:dyDescent="0.3">
      <c r="B2729" s="2" t="str">
        <f>MID(TableQR[[#This Row],[QR CODES]],4,13)</f>
        <v/>
      </c>
      <c r="C2729" s="2" t="str">
        <f>IFERROR(VLOOKUP(TableQR[[#This Row],[BARCODES]],ILACLISTE[#All],2,0),"")</f>
        <v/>
      </c>
      <c r="D2729" s="2">
        <f t="shared" si="42"/>
        <v>0</v>
      </c>
      <c r="E2729" s="14" t="str">
        <f>IFERROR(GIZLI!G2724,"")</f>
        <v/>
      </c>
    </row>
    <row r="2730" spans="2:5" x14ac:dyDescent="0.3">
      <c r="B2730" s="2" t="str">
        <f>MID(TableQR[[#This Row],[QR CODES]],4,13)</f>
        <v/>
      </c>
      <c r="C2730" s="2" t="str">
        <f>IFERROR(VLOOKUP(TableQR[[#This Row],[BARCODES]],ILACLISTE[#All],2,0),"")</f>
        <v/>
      </c>
      <c r="D2730" s="2">
        <f t="shared" si="42"/>
        <v>0</v>
      </c>
      <c r="E2730" s="14" t="str">
        <f>IFERROR(GIZLI!G2725,"")</f>
        <v/>
      </c>
    </row>
    <row r="2731" spans="2:5" x14ac:dyDescent="0.3">
      <c r="B2731" s="2" t="str">
        <f>MID(TableQR[[#This Row],[QR CODES]],4,13)</f>
        <v/>
      </c>
      <c r="C2731" s="2" t="str">
        <f>IFERROR(VLOOKUP(TableQR[[#This Row],[BARCODES]],ILACLISTE[#All],2,0),"")</f>
        <v/>
      </c>
      <c r="D2731" s="2">
        <f t="shared" si="42"/>
        <v>0</v>
      </c>
      <c r="E2731" s="14" t="str">
        <f>IFERROR(GIZLI!G2726,"")</f>
        <v/>
      </c>
    </row>
    <row r="2732" spans="2:5" x14ac:dyDescent="0.3">
      <c r="B2732" s="2" t="str">
        <f>MID(TableQR[[#This Row],[QR CODES]],4,13)</f>
        <v/>
      </c>
      <c r="C2732" s="2" t="str">
        <f>IFERROR(VLOOKUP(TableQR[[#This Row],[BARCODES]],ILACLISTE[#All],2,0),"")</f>
        <v/>
      </c>
      <c r="D2732" s="2">
        <f t="shared" si="42"/>
        <v>0</v>
      </c>
      <c r="E2732" s="14" t="str">
        <f>IFERROR(GIZLI!G2727,"")</f>
        <v/>
      </c>
    </row>
    <row r="2733" spans="2:5" x14ac:dyDescent="0.3">
      <c r="B2733" s="2" t="str">
        <f>MID(TableQR[[#This Row],[QR CODES]],4,13)</f>
        <v/>
      </c>
      <c r="C2733" s="2" t="str">
        <f>IFERROR(VLOOKUP(TableQR[[#This Row],[BARCODES]],ILACLISTE[#All],2,0),"")</f>
        <v/>
      </c>
      <c r="D2733" s="2">
        <f t="shared" si="42"/>
        <v>0</v>
      </c>
      <c r="E2733" s="14" t="str">
        <f>IFERROR(GIZLI!G2728,"")</f>
        <v/>
      </c>
    </row>
    <row r="2734" spans="2:5" x14ac:dyDescent="0.3">
      <c r="B2734" s="2" t="str">
        <f>MID(TableQR[[#This Row],[QR CODES]],4,13)</f>
        <v/>
      </c>
      <c r="C2734" s="2" t="str">
        <f>IFERROR(VLOOKUP(TableQR[[#This Row],[BARCODES]],ILACLISTE[#All],2,0),"")</f>
        <v/>
      </c>
      <c r="D2734" s="2">
        <f t="shared" si="42"/>
        <v>0</v>
      </c>
      <c r="E2734" s="14" t="str">
        <f>IFERROR(GIZLI!G2729,"")</f>
        <v/>
      </c>
    </row>
    <row r="2735" spans="2:5" x14ac:dyDescent="0.3">
      <c r="B2735" s="2" t="str">
        <f>MID(TableQR[[#This Row],[QR CODES]],4,13)</f>
        <v/>
      </c>
      <c r="C2735" s="2" t="str">
        <f>IFERROR(VLOOKUP(TableQR[[#This Row],[BARCODES]],ILACLISTE[#All],2,0),"")</f>
        <v/>
      </c>
      <c r="D2735" s="2">
        <f t="shared" si="42"/>
        <v>0</v>
      </c>
      <c r="E2735" s="14" t="str">
        <f>IFERROR(GIZLI!G2730,"")</f>
        <v/>
      </c>
    </row>
    <row r="2736" spans="2:5" x14ac:dyDescent="0.3">
      <c r="B2736" s="2" t="str">
        <f>MID(TableQR[[#This Row],[QR CODES]],4,13)</f>
        <v/>
      </c>
      <c r="C2736" s="2" t="str">
        <f>IFERROR(VLOOKUP(TableQR[[#This Row],[BARCODES]],ILACLISTE[#All],2,0),"")</f>
        <v/>
      </c>
      <c r="D2736" s="2">
        <f t="shared" si="42"/>
        <v>0</v>
      </c>
      <c r="E2736" s="14" t="str">
        <f>IFERROR(GIZLI!G2731,"")</f>
        <v/>
      </c>
    </row>
    <row r="2737" spans="2:5" x14ac:dyDescent="0.3">
      <c r="B2737" s="2" t="str">
        <f>MID(TableQR[[#This Row],[QR CODES]],4,13)</f>
        <v/>
      </c>
      <c r="C2737" s="2" t="str">
        <f>IFERROR(VLOOKUP(TableQR[[#This Row],[BARCODES]],ILACLISTE[#All],2,0),"")</f>
        <v/>
      </c>
      <c r="D2737" s="2">
        <f t="shared" si="42"/>
        <v>0</v>
      </c>
      <c r="E2737" s="14" t="str">
        <f>IFERROR(GIZLI!G2732,"")</f>
        <v/>
      </c>
    </row>
    <row r="2738" spans="2:5" x14ac:dyDescent="0.3">
      <c r="B2738" s="2" t="str">
        <f>MID(TableQR[[#This Row],[QR CODES]],4,13)</f>
        <v/>
      </c>
      <c r="C2738" s="2" t="str">
        <f>IFERROR(VLOOKUP(TableQR[[#This Row],[BARCODES]],ILACLISTE[#All],2,0),"")</f>
        <v/>
      </c>
      <c r="D2738" s="2">
        <f t="shared" si="42"/>
        <v>0</v>
      </c>
      <c r="E2738" s="14" t="str">
        <f>IFERROR(GIZLI!G2733,"")</f>
        <v/>
      </c>
    </row>
    <row r="2739" spans="2:5" x14ac:dyDescent="0.3">
      <c r="B2739" s="2" t="str">
        <f>MID(TableQR[[#This Row],[QR CODES]],4,13)</f>
        <v/>
      </c>
      <c r="C2739" s="2" t="str">
        <f>IFERROR(VLOOKUP(TableQR[[#This Row],[BARCODES]],ILACLISTE[#All],2,0),"")</f>
        <v/>
      </c>
      <c r="D2739" s="2">
        <f t="shared" si="42"/>
        <v>0</v>
      </c>
      <c r="E2739" s="14" t="str">
        <f>IFERROR(GIZLI!G2734,"")</f>
        <v/>
      </c>
    </row>
    <row r="2740" spans="2:5" x14ac:dyDescent="0.3">
      <c r="B2740" s="2" t="str">
        <f>MID(TableQR[[#This Row],[QR CODES]],4,13)</f>
        <v/>
      </c>
      <c r="C2740" s="2" t="str">
        <f>IFERROR(VLOOKUP(TableQR[[#This Row],[BARCODES]],ILACLISTE[#All],2,0),"")</f>
        <v/>
      </c>
      <c r="D2740" s="2">
        <f t="shared" si="42"/>
        <v>0</v>
      </c>
      <c r="E2740" s="14" t="str">
        <f>IFERROR(GIZLI!G2735,"")</f>
        <v/>
      </c>
    </row>
    <row r="2741" spans="2:5" x14ac:dyDescent="0.3">
      <c r="B2741" s="2" t="str">
        <f>MID(TableQR[[#This Row],[QR CODES]],4,13)</f>
        <v/>
      </c>
      <c r="C2741" s="2" t="str">
        <f>IFERROR(VLOOKUP(TableQR[[#This Row],[BARCODES]],ILACLISTE[#All],2,0),"")</f>
        <v/>
      </c>
      <c r="D2741" s="2">
        <f t="shared" si="42"/>
        <v>0</v>
      </c>
      <c r="E2741" s="14" t="str">
        <f>IFERROR(GIZLI!G2736,"")</f>
        <v/>
      </c>
    </row>
    <row r="2742" spans="2:5" x14ac:dyDescent="0.3">
      <c r="B2742" s="2" t="str">
        <f>MID(TableQR[[#This Row],[QR CODES]],4,13)</f>
        <v/>
      </c>
      <c r="C2742" s="2" t="str">
        <f>IFERROR(VLOOKUP(TableQR[[#This Row],[BARCODES]],ILACLISTE[#All],2,0),"")</f>
        <v/>
      </c>
      <c r="D2742" s="2">
        <f t="shared" si="42"/>
        <v>0</v>
      </c>
      <c r="E2742" s="14" t="str">
        <f>IFERROR(GIZLI!G2737,"")</f>
        <v/>
      </c>
    </row>
    <row r="2743" spans="2:5" x14ac:dyDescent="0.3">
      <c r="B2743" s="2" t="str">
        <f>MID(TableQR[[#This Row],[QR CODES]],4,13)</f>
        <v/>
      </c>
      <c r="C2743" s="2" t="str">
        <f>IFERROR(VLOOKUP(TableQR[[#This Row],[BARCODES]],ILACLISTE[#All],2,0),"")</f>
        <v/>
      </c>
      <c r="D2743" s="2">
        <f t="shared" si="42"/>
        <v>0</v>
      </c>
      <c r="E2743" s="14" t="str">
        <f>IFERROR(GIZLI!G2738,"")</f>
        <v/>
      </c>
    </row>
    <row r="2744" spans="2:5" x14ac:dyDescent="0.3">
      <c r="B2744" s="2" t="str">
        <f>MID(TableQR[[#This Row],[QR CODES]],4,13)</f>
        <v/>
      </c>
      <c r="C2744" s="2" t="str">
        <f>IFERROR(VLOOKUP(TableQR[[#This Row],[BARCODES]],ILACLISTE[#All],2,0),"")</f>
        <v/>
      </c>
      <c r="D2744" s="2">
        <f t="shared" si="42"/>
        <v>0</v>
      </c>
      <c r="E2744" s="14" t="str">
        <f>IFERROR(GIZLI!G2739,"")</f>
        <v/>
      </c>
    </row>
    <row r="2745" spans="2:5" x14ac:dyDescent="0.3">
      <c r="B2745" s="2" t="str">
        <f>MID(TableQR[[#This Row],[QR CODES]],4,13)</f>
        <v/>
      </c>
      <c r="C2745" s="2" t="str">
        <f>IFERROR(VLOOKUP(TableQR[[#This Row],[BARCODES]],ILACLISTE[#All],2,0),"")</f>
        <v/>
      </c>
      <c r="D2745" s="2">
        <f t="shared" si="42"/>
        <v>0</v>
      </c>
      <c r="E2745" s="14" t="str">
        <f>IFERROR(GIZLI!G2740,"")</f>
        <v/>
      </c>
    </row>
    <row r="2746" spans="2:5" x14ac:dyDescent="0.3">
      <c r="B2746" s="2" t="str">
        <f>MID(TableQR[[#This Row],[QR CODES]],4,13)</f>
        <v/>
      </c>
      <c r="C2746" s="2" t="str">
        <f>IFERROR(VLOOKUP(TableQR[[#This Row],[BARCODES]],ILACLISTE[#All],2,0),"")</f>
        <v/>
      </c>
      <c r="D2746" s="2">
        <f t="shared" si="42"/>
        <v>0</v>
      </c>
      <c r="E2746" s="14" t="str">
        <f>IFERROR(GIZLI!G2741,"")</f>
        <v/>
      </c>
    </row>
    <row r="2747" spans="2:5" x14ac:dyDescent="0.3">
      <c r="B2747" s="2" t="str">
        <f>MID(TableQR[[#This Row],[QR CODES]],4,13)</f>
        <v/>
      </c>
      <c r="C2747" s="2" t="str">
        <f>IFERROR(VLOOKUP(TableQR[[#This Row],[BARCODES]],ILACLISTE[#All],2,0),"")</f>
        <v/>
      </c>
      <c r="D2747" s="2">
        <f t="shared" si="42"/>
        <v>0</v>
      </c>
      <c r="E2747" s="14" t="str">
        <f>IFERROR(GIZLI!G2742,"")</f>
        <v/>
      </c>
    </row>
    <row r="2748" spans="2:5" x14ac:dyDescent="0.3">
      <c r="B2748" s="2" t="str">
        <f>MID(TableQR[[#This Row],[QR CODES]],4,13)</f>
        <v/>
      </c>
      <c r="C2748" s="2" t="str">
        <f>IFERROR(VLOOKUP(TableQR[[#This Row],[BARCODES]],ILACLISTE[#All],2,0),"")</f>
        <v/>
      </c>
      <c r="D2748" s="2">
        <f t="shared" si="42"/>
        <v>0</v>
      </c>
      <c r="E2748" s="14" t="str">
        <f>IFERROR(GIZLI!G2743,"")</f>
        <v/>
      </c>
    </row>
    <row r="2749" spans="2:5" x14ac:dyDescent="0.3">
      <c r="B2749" s="2" t="str">
        <f>MID(TableQR[[#This Row],[QR CODES]],4,13)</f>
        <v/>
      </c>
      <c r="C2749" s="2" t="str">
        <f>IFERROR(VLOOKUP(TableQR[[#This Row],[BARCODES]],ILACLISTE[#All],2,0),"")</f>
        <v/>
      </c>
      <c r="D2749" s="2">
        <f t="shared" si="42"/>
        <v>0</v>
      </c>
      <c r="E2749" s="14" t="str">
        <f>IFERROR(GIZLI!G2744,"")</f>
        <v/>
      </c>
    </row>
    <row r="2750" spans="2:5" x14ac:dyDescent="0.3">
      <c r="B2750" s="2" t="str">
        <f>MID(TableQR[[#This Row],[QR CODES]],4,13)</f>
        <v/>
      </c>
      <c r="C2750" s="2" t="str">
        <f>IFERROR(VLOOKUP(TableQR[[#This Row],[BARCODES]],ILACLISTE[#All],2,0),"")</f>
        <v/>
      </c>
      <c r="D2750" s="2">
        <f t="shared" si="42"/>
        <v>0</v>
      </c>
      <c r="E2750" s="14" t="str">
        <f>IFERROR(GIZLI!G2745,"")</f>
        <v/>
      </c>
    </row>
    <row r="2751" spans="2:5" x14ac:dyDescent="0.3">
      <c r="B2751" s="2" t="str">
        <f>MID(TableQR[[#This Row],[QR CODES]],4,13)</f>
        <v/>
      </c>
      <c r="C2751" s="2" t="str">
        <f>IFERROR(VLOOKUP(TableQR[[#This Row],[BARCODES]],ILACLISTE[#All],2,0),"")</f>
        <v/>
      </c>
      <c r="D2751" s="2">
        <f t="shared" si="42"/>
        <v>0</v>
      </c>
      <c r="E2751" s="14" t="str">
        <f>IFERROR(GIZLI!G2746,"")</f>
        <v/>
      </c>
    </row>
    <row r="2752" spans="2:5" x14ac:dyDescent="0.3">
      <c r="B2752" s="2" t="str">
        <f>MID(TableQR[[#This Row],[QR CODES]],4,13)</f>
        <v/>
      </c>
      <c r="C2752" s="2" t="str">
        <f>IFERROR(VLOOKUP(TableQR[[#This Row],[BARCODES]],ILACLISTE[#All],2,0),"")</f>
        <v/>
      </c>
      <c r="D2752" s="2">
        <f t="shared" si="42"/>
        <v>0</v>
      </c>
      <c r="E2752" s="14" t="str">
        <f>IFERROR(GIZLI!G2747,"")</f>
        <v/>
      </c>
    </row>
    <row r="2753" spans="2:5" x14ac:dyDescent="0.3">
      <c r="B2753" s="2" t="str">
        <f>MID(TableQR[[#This Row],[QR CODES]],4,13)</f>
        <v/>
      </c>
      <c r="C2753" s="2" t="str">
        <f>IFERROR(VLOOKUP(TableQR[[#This Row],[BARCODES]],ILACLISTE[#All],2,0),"")</f>
        <v/>
      </c>
      <c r="D2753" s="2">
        <f t="shared" si="42"/>
        <v>0</v>
      </c>
      <c r="E2753" s="14" t="str">
        <f>IFERROR(GIZLI!G2748,"")</f>
        <v/>
      </c>
    </row>
    <row r="2754" spans="2:5" x14ac:dyDescent="0.3">
      <c r="B2754" s="2" t="str">
        <f>MID(TableQR[[#This Row],[QR CODES]],4,13)</f>
        <v/>
      </c>
      <c r="C2754" s="2" t="str">
        <f>IFERROR(VLOOKUP(TableQR[[#This Row],[BARCODES]],ILACLISTE[#All],2,0),"")</f>
        <v/>
      </c>
      <c r="D2754" s="2">
        <f t="shared" si="42"/>
        <v>0</v>
      </c>
      <c r="E2754" s="14" t="str">
        <f>IFERROR(GIZLI!G2749,"")</f>
        <v/>
      </c>
    </row>
    <row r="2755" spans="2:5" x14ac:dyDescent="0.3">
      <c r="B2755" s="2" t="str">
        <f>MID(TableQR[[#This Row],[QR CODES]],4,13)</f>
        <v/>
      </c>
      <c r="C2755" s="2" t="str">
        <f>IFERROR(VLOOKUP(TableQR[[#This Row],[BARCODES]],ILACLISTE[#All],2,0),"")</f>
        <v/>
      </c>
      <c r="D2755" s="2">
        <f t="shared" si="42"/>
        <v>0</v>
      </c>
      <c r="E2755" s="14" t="str">
        <f>IFERROR(GIZLI!G2750,"")</f>
        <v/>
      </c>
    </row>
    <row r="2756" spans="2:5" x14ac:dyDescent="0.3">
      <c r="B2756" s="2" t="str">
        <f>MID(TableQR[[#This Row],[QR CODES]],4,13)</f>
        <v/>
      </c>
      <c r="C2756" s="2" t="str">
        <f>IFERROR(VLOOKUP(TableQR[[#This Row],[BARCODES]],ILACLISTE[#All],2,0),"")</f>
        <v/>
      </c>
      <c r="D2756" s="2">
        <f t="shared" si="42"/>
        <v>0</v>
      </c>
      <c r="E2756" s="14" t="str">
        <f>IFERROR(GIZLI!G2751,"")</f>
        <v/>
      </c>
    </row>
    <row r="2757" spans="2:5" x14ac:dyDescent="0.3">
      <c r="B2757" s="2" t="str">
        <f>MID(TableQR[[#This Row],[QR CODES]],4,13)</f>
        <v/>
      </c>
      <c r="C2757" s="2" t="str">
        <f>IFERROR(VLOOKUP(TableQR[[#This Row],[BARCODES]],ILACLISTE[#All],2,0),"")</f>
        <v/>
      </c>
      <c r="D2757" s="2">
        <f t="shared" si="42"/>
        <v>0</v>
      </c>
      <c r="E2757" s="14" t="str">
        <f>IFERROR(GIZLI!G2752,"")</f>
        <v/>
      </c>
    </row>
    <row r="2758" spans="2:5" x14ac:dyDescent="0.3">
      <c r="B2758" s="2" t="str">
        <f>MID(TableQR[[#This Row],[QR CODES]],4,13)</f>
        <v/>
      </c>
      <c r="C2758" s="2" t="str">
        <f>IFERROR(VLOOKUP(TableQR[[#This Row],[BARCODES]],ILACLISTE[#All],2,0),"")</f>
        <v/>
      </c>
      <c r="D2758" s="2">
        <f t="shared" si="42"/>
        <v>0</v>
      </c>
      <c r="E2758" s="14" t="str">
        <f>IFERROR(GIZLI!G2753,"")</f>
        <v/>
      </c>
    </row>
    <row r="2759" spans="2:5" x14ac:dyDescent="0.3">
      <c r="B2759" s="2" t="str">
        <f>MID(TableQR[[#This Row],[QR CODES]],4,13)</f>
        <v/>
      </c>
      <c r="C2759" s="2" t="str">
        <f>IFERROR(VLOOKUP(TableQR[[#This Row],[BARCODES]],ILACLISTE[#All],2,0),"")</f>
        <v/>
      </c>
      <c r="D2759" s="2">
        <f t="shared" si="42"/>
        <v>0</v>
      </c>
      <c r="E2759" s="14" t="str">
        <f>IFERROR(GIZLI!G2754,"")</f>
        <v/>
      </c>
    </row>
    <row r="2760" spans="2:5" x14ac:dyDescent="0.3">
      <c r="B2760" s="2" t="str">
        <f>MID(TableQR[[#This Row],[QR CODES]],4,13)</f>
        <v/>
      </c>
      <c r="C2760" s="2" t="str">
        <f>IFERROR(VLOOKUP(TableQR[[#This Row],[BARCODES]],ILACLISTE[#All],2,0),"")</f>
        <v/>
      </c>
      <c r="D2760" s="2">
        <f t="shared" ref="D2760:D2823" si="43">COUNTIF(B2760:B6753,IF(B2760="",66666,B2760))</f>
        <v>0</v>
      </c>
      <c r="E2760" s="14" t="str">
        <f>IFERROR(GIZLI!G2755,"")</f>
        <v/>
      </c>
    </row>
    <row r="2761" spans="2:5" x14ac:dyDescent="0.3">
      <c r="B2761" s="2" t="str">
        <f>MID(TableQR[[#This Row],[QR CODES]],4,13)</f>
        <v/>
      </c>
      <c r="C2761" s="2" t="str">
        <f>IFERROR(VLOOKUP(TableQR[[#This Row],[BARCODES]],ILACLISTE[#All],2,0),"")</f>
        <v/>
      </c>
      <c r="D2761" s="2">
        <f t="shared" si="43"/>
        <v>0</v>
      </c>
      <c r="E2761" s="14" t="str">
        <f>IFERROR(GIZLI!G2756,"")</f>
        <v/>
      </c>
    </row>
    <row r="2762" spans="2:5" x14ac:dyDescent="0.3">
      <c r="B2762" s="2" t="str">
        <f>MID(TableQR[[#This Row],[QR CODES]],4,13)</f>
        <v/>
      </c>
      <c r="C2762" s="2" t="str">
        <f>IFERROR(VLOOKUP(TableQR[[#This Row],[BARCODES]],ILACLISTE[#All],2,0),"")</f>
        <v/>
      </c>
      <c r="D2762" s="2">
        <f t="shared" si="43"/>
        <v>0</v>
      </c>
      <c r="E2762" s="14" t="str">
        <f>IFERROR(GIZLI!G2757,"")</f>
        <v/>
      </c>
    </row>
    <row r="2763" spans="2:5" x14ac:dyDescent="0.3">
      <c r="B2763" s="2" t="str">
        <f>MID(TableQR[[#This Row],[QR CODES]],4,13)</f>
        <v/>
      </c>
      <c r="C2763" s="2" t="str">
        <f>IFERROR(VLOOKUP(TableQR[[#This Row],[BARCODES]],ILACLISTE[#All],2,0),"")</f>
        <v/>
      </c>
      <c r="D2763" s="2">
        <f t="shared" si="43"/>
        <v>0</v>
      </c>
      <c r="E2763" s="14" t="str">
        <f>IFERROR(GIZLI!G2758,"")</f>
        <v/>
      </c>
    </row>
    <row r="2764" spans="2:5" x14ac:dyDescent="0.3">
      <c r="B2764" s="2" t="str">
        <f>MID(TableQR[[#This Row],[QR CODES]],4,13)</f>
        <v/>
      </c>
      <c r="C2764" s="2" t="str">
        <f>IFERROR(VLOOKUP(TableQR[[#This Row],[BARCODES]],ILACLISTE[#All],2,0),"")</f>
        <v/>
      </c>
      <c r="D2764" s="2">
        <f t="shared" si="43"/>
        <v>0</v>
      </c>
      <c r="E2764" s="14" t="str">
        <f>IFERROR(GIZLI!G2759,"")</f>
        <v/>
      </c>
    </row>
    <row r="2765" spans="2:5" x14ac:dyDescent="0.3">
      <c r="B2765" s="2" t="str">
        <f>MID(TableQR[[#This Row],[QR CODES]],4,13)</f>
        <v/>
      </c>
      <c r="C2765" s="2" t="str">
        <f>IFERROR(VLOOKUP(TableQR[[#This Row],[BARCODES]],ILACLISTE[#All],2,0),"")</f>
        <v/>
      </c>
      <c r="D2765" s="2">
        <f t="shared" si="43"/>
        <v>0</v>
      </c>
      <c r="E2765" s="14" t="str">
        <f>IFERROR(GIZLI!G2760,"")</f>
        <v/>
      </c>
    </row>
    <row r="2766" spans="2:5" x14ac:dyDescent="0.3">
      <c r="B2766" s="2" t="str">
        <f>MID(TableQR[[#This Row],[QR CODES]],4,13)</f>
        <v/>
      </c>
      <c r="C2766" s="2" t="str">
        <f>IFERROR(VLOOKUP(TableQR[[#This Row],[BARCODES]],ILACLISTE[#All],2,0),"")</f>
        <v/>
      </c>
      <c r="D2766" s="2">
        <f t="shared" si="43"/>
        <v>0</v>
      </c>
      <c r="E2766" s="14" t="str">
        <f>IFERROR(GIZLI!G2761,"")</f>
        <v/>
      </c>
    </row>
    <row r="2767" spans="2:5" x14ac:dyDescent="0.3">
      <c r="B2767" s="2" t="str">
        <f>MID(TableQR[[#This Row],[QR CODES]],4,13)</f>
        <v/>
      </c>
      <c r="C2767" s="2" t="str">
        <f>IFERROR(VLOOKUP(TableQR[[#This Row],[BARCODES]],ILACLISTE[#All],2,0),"")</f>
        <v/>
      </c>
      <c r="D2767" s="2">
        <f t="shared" si="43"/>
        <v>0</v>
      </c>
      <c r="E2767" s="14" t="str">
        <f>IFERROR(GIZLI!G2762,"")</f>
        <v/>
      </c>
    </row>
    <row r="2768" spans="2:5" x14ac:dyDescent="0.3">
      <c r="B2768" s="2" t="str">
        <f>MID(TableQR[[#This Row],[QR CODES]],4,13)</f>
        <v/>
      </c>
      <c r="C2768" s="2" t="str">
        <f>IFERROR(VLOOKUP(TableQR[[#This Row],[BARCODES]],ILACLISTE[#All],2,0),"")</f>
        <v/>
      </c>
      <c r="D2768" s="2">
        <f t="shared" si="43"/>
        <v>0</v>
      </c>
      <c r="E2768" s="14" t="str">
        <f>IFERROR(GIZLI!G2763,"")</f>
        <v/>
      </c>
    </row>
    <row r="2769" spans="2:5" x14ac:dyDescent="0.3">
      <c r="B2769" s="2" t="str">
        <f>MID(TableQR[[#This Row],[QR CODES]],4,13)</f>
        <v/>
      </c>
      <c r="C2769" s="2" t="str">
        <f>IFERROR(VLOOKUP(TableQR[[#This Row],[BARCODES]],ILACLISTE[#All],2,0),"")</f>
        <v/>
      </c>
      <c r="D2769" s="2">
        <f t="shared" si="43"/>
        <v>0</v>
      </c>
      <c r="E2769" s="14" t="str">
        <f>IFERROR(GIZLI!G2764,"")</f>
        <v/>
      </c>
    </row>
    <row r="2770" spans="2:5" x14ac:dyDescent="0.3">
      <c r="B2770" s="2" t="str">
        <f>MID(TableQR[[#This Row],[QR CODES]],4,13)</f>
        <v/>
      </c>
      <c r="C2770" s="2" t="str">
        <f>IFERROR(VLOOKUP(TableQR[[#This Row],[BARCODES]],ILACLISTE[#All],2,0),"")</f>
        <v/>
      </c>
      <c r="D2770" s="2">
        <f t="shared" si="43"/>
        <v>0</v>
      </c>
      <c r="E2770" s="14" t="str">
        <f>IFERROR(GIZLI!G2765,"")</f>
        <v/>
      </c>
    </row>
    <row r="2771" spans="2:5" x14ac:dyDescent="0.3">
      <c r="B2771" s="2" t="str">
        <f>MID(TableQR[[#This Row],[QR CODES]],4,13)</f>
        <v/>
      </c>
      <c r="C2771" s="2" t="str">
        <f>IFERROR(VLOOKUP(TableQR[[#This Row],[BARCODES]],ILACLISTE[#All],2,0),"")</f>
        <v/>
      </c>
      <c r="D2771" s="2">
        <f t="shared" si="43"/>
        <v>0</v>
      </c>
      <c r="E2771" s="14" t="str">
        <f>IFERROR(GIZLI!G2766,"")</f>
        <v/>
      </c>
    </row>
    <row r="2772" spans="2:5" x14ac:dyDescent="0.3">
      <c r="B2772" s="2" t="str">
        <f>MID(TableQR[[#This Row],[QR CODES]],4,13)</f>
        <v/>
      </c>
      <c r="C2772" s="2" t="str">
        <f>IFERROR(VLOOKUP(TableQR[[#This Row],[BARCODES]],ILACLISTE[#All],2,0),"")</f>
        <v/>
      </c>
      <c r="D2772" s="2">
        <f t="shared" si="43"/>
        <v>0</v>
      </c>
      <c r="E2772" s="14" t="str">
        <f>IFERROR(GIZLI!G2767,"")</f>
        <v/>
      </c>
    </row>
    <row r="2773" spans="2:5" x14ac:dyDescent="0.3">
      <c r="B2773" s="2" t="str">
        <f>MID(TableQR[[#This Row],[QR CODES]],4,13)</f>
        <v/>
      </c>
      <c r="C2773" s="2" t="str">
        <f>IFERROR(VLOOKUP(TableQR[[#This Row],[BARCODES]],ILACLISTE[#All],2,0),"")</f>
        <v/>
      </c>
      <c r="D2773" s="2">
        <f t="shared" si="43"/>
        <v>0</v>
      </c>
      <c r="E2773" s="14" t="str">
        <f>IFERROR(GIZLI!G2768,"")</f>
        <v/>
      </c>
    </row>
    <row r="2774" spans="2:5" x14ac:dyDescent="0.3">
      <c r="B2774" s="2" t="str">
        <f>MID(TableQR[[#This Row],[QR CODES]],4,13)</f>
        <v/>
      </c>
      <c r="C2774" s="2" t="str">
        <f>IFERROR(VLOOKUP(TableQR[[#This Row],[BARCODES]],ILACLISTE[#All],2,0),"")</f>
        <v/>
      </c>
      <c r="D2774" s="2">
        <f t="shared" si="43"/>
        <v>0</v>
      </c>
      <c r="E2774" s="14" t="str">
        <f>IFERROR(GIZLI!G2769,"")</f>
        <v/>
      </c>
    </row>
    <row r="2775" spans="2:5" x14ac:dyDescent="0.3">
      <c r="B2775" s="2" t="str">
        <f>MID(TableQR[[#This Row],[QR CODES]],4,13)</f>
        <v/>
      </c>
      <c r="C2775" s="2" t="str">
        <f>IFERROR(VLOOKUP(TableQR[[#This Row],[BARCODES]],ILACLISTE[#All],2,0),"")</f>
        <v/>
      </c>
      <c r="D2775" s="2">
        <f t="shared" si="43"/>
        <v>0</v>
      </c>
      <c r="E2775" s="14" t="str">
        <f>IFERROR(GIZLI!G2770,"")</f>
        <v/>
      </c>
    </row>
    <row r="2776" spans="2:5" x14ac:dyDescent="0.3">
      <c r="B2776" s="2" t="str">
        <f>MID(TableQR[[#This Row],[QR CODES]],4,13)</f>
        <v/>
      </c>
      <c r="C2776" s="2" t="str">
        <f>IFERROR(VLOOKUP(TableQR[[#This Row],[BARCODES]],ILACLISTE[#All],2,0),"")</f>
        <v/>
      </c>
      <c r="D2776" s="2">
        <f t="shared" si="43"/>
        <v>0</v>
      </c>
      <c r="E2776" s="14" t="str">
        <f>IFERROR(GIZLI!G2771,"")</f>
        <v/>
      </c>
    </row>
    <row r="2777" spans="2:5" x14ac:dyDescent="0.3">
      <c r="B2777" s="2" t="str">
        <f>MID(TableQR[[#This Row],[QR CODES]],4,13)</f>
        <v/>
      </c>
      <c r="C2777" s="2" t="str">
        <f>IFERROR(VLOOKUP(TableQR[[#This Row],[BARCODES]],ILACLISTE[#All],2,0),"")</f>
        <v/>
      </c>
      <c r="D2777" s="2">
        <f t="shared" si="43"/>
        <v>0</v>
      </c>
      <c r="E2777" s="14" t="str">
        <f>IFERROR(GIZLI!G2772,"")</f>
        <v/>
      </c>
    </row>
    <row r="2778" spans="2:5" x14ac:dyDescent="0.3">
      <c r="B2778" s="2" t="str">
        <f>MID(TableQR[[#This Row],[QR CODES]],4,13)</f>
        <v/>
      </c>
      <c r="C2778" s="2" t="str">
        <f>IFERROR(VLOOKUP(TableQR[[#This Row],[BARCODES]],ILACLISTE[#All],2,0),"")</f>
        <v/>
      </c>
      <c r="D2778" s="2">
        <f t="shared" si="43"/>
        <v>0</v>
      </c>
      <c r="E2778" s="14" t="str">
        <f>IFERROR(GIZLI!G2773,"")</f>
        <v/>
      </c>
    </row>
    <row r="2779" spans="2:5" x14ac:dyDescent="0.3">
      <c r="B2779" s="2" t="str">
        <f>MID(TableQR[[#This Row],[QR CODES]],4,13)</f>
        <v/>
      </c>
      <c r="C2779" s="2" t="str">
        <f>IFERROR(VLOOKUP(TableQR[[#This Row],[BARCODES]],ILACLISTE[#All],2,0),"")</f>
        <v/>
      </c>
      <c r="D2779" s="2">
        <f t="shared" si="43"/>
        <v>0</v>
      </c>
      <c r="E2779" s="14" t="str">
        <f>IFERROR(GIZLI!G2774,"")</f>
        <v/>
      </c>
    </row>
    <row r="2780" spans="2:5" x14ac:dyDescent="0.3">
      <c r="B2780" s="2" t="str">
        <f>MID(TableQR[[#This Row],[QR CODES]],4,13)</f>
        <v/>
      </c>
      <c r="C2780" s="2" t="str">
        <f>IFERROR(VLOOKUP(TableQR[[#This Row],[BARCODES]],ILACLISTE[#All],2,0),"")</f>
        <v/>
      </c>
      <c r="D2780" s="2">
        <f t="shared" si="43"/>
        <v>0</v>
      </c>
      <c r="E2780" s="14" t="str">
        <f>IFERROR(GIZLI!G2775,"")</f>
        <v/>
      </c>
    </row>
    <row r="2781" spans="2:5" x14ac:dyDescent="0.3">
      <c r="B2781" s="2" t="str">
        <f>MID(TableQR[[#This Row],[QR CODES]],4,13)</f>
        <v/>
      </c>
      <c r="C2781" s="2" t="str">
        <f>IFERROR(VLOOKUP(TableQR[[#This Row],[BARCODES]],ILACLISTE[#All],2,0),"")</f>
        <v/>
      </c>
      <c r="D2781" s="2">
        <f t="shared" si="43"/>
        <v>0</v>
      </c>
      <c r="E2781" s="14" t="str">
        <f>IFERROR(GIZLI!G2776,"")</f>
        <v/>
      </c>
    </row>
    <row r="2782" spans="2:5" x14ac:dyDescent="0.3">
      <c r="B2782" s="2" t="str">
        <f>MID(TableQR[[#This Row],[QR CODES]],4,13)</f>
        <v/>
      </c>
      <c r="C2782" s="2" t="str">
        <f>IFERROR(VLOOKUP(TableQR[[#This Row],[BARCODES]],ILACLISTE[#All],2,0),"")</f>
        <v/>
      </c>
      <c r="D2782" s="2">
        <f t="shared" si="43"/>
        <v>0</v>
      </c>
      <c r="E2782" s="14" t="str">
        <f>IFERROR(GIZLI!G2777,"")</f>
        <v/>
      </c>
    </row>
    <row r="2783" spans="2:5" x14ac:dyDescent="0.3">
      <c r="B2783" s="2" t="str">
        <f>MID(TableQR[[#This Row],[QR CODES]],4,13)</f>
        <v/>
      </c>
      <c r="C2783" s="2" t="str">
        <f>IFERROR(VLOOKUP(TableQR[[#This Row],[BARCODES]],ILACLISTE[#All],2,0),"")</f>
        <v/>
      </c>
      <c r="D2783" s="2">
        <f t="shared" si="43"/>
        <v>0</v>
      </c>
      <c r="E2783" s="14" t="str">
        <f>IFERROR(GIZLI!G2778,"")</f>
        <v/>
      </c>
    </row>
    <row r="2784" spans="2:5" x14ac:dyDescent="0.3">
      <c r="B2784" s="2" t="str">
        <f>MID(TableQR[[#This Row],[QR CODES]],4,13)</f>
        <v/>
      </c>
      <c r="C2784" s="2" t="str">
        <f>IFERROR(VLOOKUP(TableQR[[#This Row],[BARCODES]],ILACLISTE[#All],2,0),"")</f>
        <v/>
      </c>
      <c r="D2784" s="2">
        <f t="shared" si="43"/>
        <v>0</v>
      </c>
      <c r="E2784" s="14" t="str">
        <f>IFERROR(GIZLI!G2779,"")</f>
        <v/>
      </c>
    </row>
    <row r="2785" spans="2:5" x14ac:dyDescent="0.3">
      <c r="B2785" s="2" t="str">
        <f>MID(TableQR[[#This Row],[QR CODES]],4,13)</f>
        <v/>
      </c>
      <c r="C2785" s="2" t="str">
        <f>IFERROR(VLOOKUP(TableQR[[#This Row],[BARCODES]],ILACLISTE[#All],2,0),"")</f>
        <v/>
      </c>
      <c r="D2785" s="2">
        <f t="shared" si="43"/>
        <v>0</v>
      </c>
      <c r="E2785" s="14" t="str">
        <f>IFERROR(GIZLI!G2780,"")</f>
        <v/>
      </c>
    </row>
    <row r="2786" spans="2:5" x14ac:dyDescent="0.3">
      <c r="B2786" s="2" t="str">
        <f>MID(TableQR[[#This Row],[QR CODES]],4,13)</f>
        <v/>
      </c>
      <c r="C2786" s="2" t="str">
        <f>IFERROR(VLOOKUP(TableQR[[#This Row],[BARCODES]],ILACLISTE[#All],2,0),"")</f>
        <v/>
      </c>
      <c r="D2786" s="2">
        <f t="shared" si="43"/>
        <v>0</v>
      </c>
      <c r="E2786" s="14" t="str">
        <f>IFERROR(GIZLI!G2781,"")</f>
        <v/>
      </c>
    </row>
    <row r="2787" spans="2:5" x14ac:dyDescent="0.3">
      <c r="B2787" s="2" t="str">
        <f>MID(TableQR[[#This Row],[QR CODES]],4,13)</f>
        <v/>
      </c>
      <c r="C2787" s="2" t="str">
        <f>IFERROR(VLOOKUP(TableQR[[#This Row],[BARCODES]],ILACLISTE[#All],2,0),"")</f>
        <v/>
      </c>
      <c r="D2787" s="2">
        <f t="shared" si="43"/>
        <v>0</v>
      </c>
      <c r="E2787" s="14" t="str">
        <f>IFERROR(GIZLI!G2782,"")</f>
        <v/>
      </c>
    </row>
    <row r="2788" spans="2:5" x14ac:dyDescent="0.3">
      <c r="B2788" s="2" t="str">
        <f>MID(TableQR[[#This Row],[QR CODES]],4,13)</f>
        <v/>
      </c>
      <c r="C2788" s="2" t="str">
        <f>IFERROR(VLOOKUP(TableQR[[#This Row],[BARCODES]],ILACLISTE[#All],2,0),"")</f>
        <v/>
      </c>
      <c r="D2788" s="2">
        <f t="shared" si="43"/>
        <v>0</v>
      </c>
      <c r="E2788" s="14" t="str">
        <f>IFERROR(GIZLI!G2783,"")</f>
        <v/>
      </c>
    </row>
    <row r="2789" spans="2:5" x14ac:dyDescent="0.3">
      <c r="B2789" s="2" t="str">
        <f>MID(TableQR[[#This Row],[QR CODES]],4,13)</f>
        <v/>
      </c>
      <c r="C2789" s="2" t="str">
        <f>IFERROR(VLOOKUP(TableQR[[#This Row],[BARCODES]],ILACLISTE[#All],2,0),"")</f>
        <v/>
      </c>
      <c r="D2789" s="2">
        <f t="shared" si="43"/>
        <v>0</v>
      </c>
      <c r="E2789" s="14" t="str">
        <f>IFERROR(GIZLI!G2784,"")</f>
        <v/>
      </c>
    </row>
    <row r="2790" spans="2:5" x14ac:dyDescent="0.3">
      <c r="B2790" s="2" t="str">
        <f>MID(TableQR[[#This Row],[QR CODES]],4,13)</f>
        <v/>
      </c>
      <c r="C2790" s="2" t="str">
        <f>IFERROR(VLOOKUP(TableQR[[#This Row],[BARCODES]],ILACLISTE[#All],2,0),"")</f>
        <v/>
      </c>
      <c r="D2790" s="2">
        <f t="shared" si="43"/>
        <v>0</v>
      </c>
      <c r="E2790" s="14" t="str">
        <f>IFERROR(GIZLI!G2785,"")</f>
        <v/>
      </c>
    </row>
    <row r="2791" spans="2:5" x14ac:dyDescent="0.3">
      <c r="B2791" s="2" t="str">
        <f>MID(TableQR[[#This Row],[QR CODES]],4,13)</f>
        <v/>
      </c>
      <c r="C2791" s="2" t="str">
        <f>IFERROR(VLOOKUP(TableQR[[#This Row],[BARCODES]],ILACLISTE[#All],2,0),"")</f>
        <v/>
      </c>
      <c r="D2791" s="2">
        <f t="shared" si="43"/>
        <v>0</v>
      </c>
      <c r="E2791" s="14" t="str">
        <f>IFERROR(GIZLI!G2786,"")</f>
        <v/>
      </c>
    </row>
    <row r="2792" spans="2:5" x14ac:dyDescent="0.3">
      <c r="B2792" s="2" t="str">
        <f>MID(TableQR[[#This Row],[QR CODES]],4,13)</f>
        <v/>
      </c>
      <c r="C2792" s="2" t="str">
        <f>IFERROR(VLOOKUP(TableQR[[#This Row],[BARCODES]],ILACLISTE[#All],2,0),"")</f>
        <v/>
      </c>
      <c r="D2792" s="2">
        <f t="shared" si="43"/>
        <v>0</v>
      </c>
      <c r="E2792" s="14" t="str">
        <f>IFERROR(GIZLI!G2787,"")</f>
        <v/>
      </c>
    </row>
    <row r="2793" spans="2:5" x14ac:dyDescent="0.3">
      <c r="B2793" s="2" t="str">
        <f>MID(TableQR[[#This Row],[QR CODES]],4,13)</f>
        <v/>
      </c>
      <c r="C2793" s="2" t="str">
        <f>IFERROR(VLOOKUP(TableQR[[#This Row],[BARCODES]],ILACLISTE[#All],2,0),"")</f>
        <v/>
      </c>
      <c r="D2793" s="2">
        <f t="shared" si="43"/>
        <v>0</v>
      </c>
      <c r="E2793" s="14" t="str">
        <f>IFERROR(GIZLI!G2788,"")</f>
        <v/>
      </c>
    </row>
    <row r="2794" spans="2:5" x14ac:dyDescent="0.3">
      <c r="B2794" s="2" t="str">
        <f>MID(TableQR[[#This Row],[QR CODES]],4,13)</f>
        <v/>
      </c>
      <c r="C2794" s="2" t="str">
        <f>IFERROR(VLOOKUP(TableQR[[#This Row],[BARCODES]],ILACLISTE[#All],2,0),"")</f>
        <v/>
      </c>
      <c r="D2794" s="2">
        <f t="shared" si="43"/>
        <v>0</v>
      </c>
      <c r="E2794" s="14" t="str">
        <f>IFERROR(GIZLI!G2789,"")</f>
        <v/>
      </c>
    </row>
    <row r="2795" spans="2:5" x14ac:dyDescent="0.3">
      <c r="B2795" s="2" t="str">
        <f>MID(TableQR[[#This Row],[QR CODES]],4,13)</f>
        <v/>
      </c>
      <c r="C2795" s="2" t="str">
        <f>IFERROR(VLOOKUP(TableQR[[#This Row],[BARCODES]],ILACLISTE[#All],2,0),"")</f>
        <v/>
      </c>
      <c r="D2795" s="2">
        <f t="shared" si="43"/>
        <v>0</v>
      </c>
      <c r="E2795" s="14" t="str">
        <f>IFERROR(GIZLI!G2790,"")</f>
        <v/>
      </c>
    </row>
    <row r="2796" spans="2:5" x14ac:dyDescent="0.3">
      <c r="B2796" s="2" t="str">
        <f>MID(TableQR[[#This Row],[QR CODES]],4,13)</f>
        <v/>
      </c>
      <c r="C2796" s="2" t="str">
        <f>IFERROR(VLOOKUP(TableQR[[#This Row],[BARCODES]],ILACLISTE[#All],2,0),"")</f>
        <v/>
      </c>
      <c r="D2796" s="2">
        <f t="shared" si="43"/>
        <v>0</v>
      </c>
      <c r="E2796" s="14" t="str">
        <f>IFERROR(GIZLI!G2791,"")</f>
        <v/>
      </c>
    </row>
    <row r="2797" spans="2:5" x14ac:dyDescent="0.3">
      <c r="B2797" s="2" t="str">
        <f>MID(TableQR[[#This Row],[QR CODES]],4,13)</f>
        <v/>
      </c>
      <c r="C2797" s="2" t="str">
        <f>IFERROR(VLOOKUP(TableQR[[#This Row],[BARCODES]],ILACLISTE[#All],2,0),"")</f>
        <v/>
      </c>
      <c r="D2797" s="2">
        <f t="shared" si="43"/>
        <v>0</v>
      </c>
      <c r="E2797" s="14" t="str">
        <f>IFERROR(GIZLI!G2792,"")</f>
        <v/>
      </c>
    </row>
    <row r="2798" spans="2:5" x14ac:dyDescent="0.3">
      <c r="B2798" s="2" t="str">
        <f>MID(TableQR[[#This Row],[QR CODES]],4,13)</f>
        <v/>
      </c>
      <c r="C2798" s="2" t="str">
        <f>IFERROR(VLOOKUP(TableQR[[#This Row],[BARCODES]],ILACLISTE[#All],2,0),"")</f>
        <v/>
      </c>
      <c r="D2798" s="2">
        <f t="shared" si="43"/>
        <v>0</v>
      </c>
      <c r="E2798" s="14" t="str">
        <f>IFERROR(GIZLI!G2793,"")</f>
        <v/>
      </c>
    </row>
    <row r="2799" spans="2:5" x14ac:dyDescent="0.3">
      <c r="B2799" s="2" t="str">
        <f>MID(TableQR[[#This Row],[QR CODES]],4,13)</f>
        <v/>
      </c>
      <c r="C2799" s="2" t="str">
        <f>IFERROR(VLOOKUP(TableQR[[#This Row],[BARCODES]],ILACLISTE[#All],2,0),"")</f>
        <v/>
      </c>
      <c r="D2799" s="2">
        <f t="shared" si="43"/>
        <v>0</v>
      </c>
      <c r="E2799" s="14" t="str">
        <f>IFERROR(GIZLI!G2794,"")</f>
        <v/>
      </c>
    </row>
    <row r="2800" spans="2:5" x14ac:dyDescent="0.3">
      <c r="B2800" s="2" t="str">
        <f>MID(TableQR[[#This Row],[QR CODES]],4,13)</f>
        <v/>
      </c>
      <c r="C2800" s="2" t="str">
        <f>IFERROR(VLOOKUP(TableQR[[#This Row],[BARCODES]],ILACLISTE[#All],2,0),"")</f>
        <v/>
      </c>
      <c r="D2800" s="2">
        <f t="shared" si="43"/>
        <v>0</v>
      </c>
      <c r="E2800" s="14" t="str">
        <f>IFERROR(GIZLI!G2795,"")</f>
        <v/>
      </c>
    </row>
    <row r="2801" spans="2:5" x14ac:dyDescent="0.3">
      <c r="B2801" s="2" t="str">
        <f>MID(TableQR[[#This Row],[QR CODES]],4,13)</f>
        <v/>
      </c>
      <c r="C2801" s="2" t="str">
        <f>IFERROR(VLOOKUP(TableQR[[#This Row],[BARCODES]],ILACLISTE[#All],2,0),"")</f>
        <v/>
      </c>
      <c r="D2801" s="2">
        <f t="shared" si="43"/>
        <v>0</v>
      </c>
      <c r="E2801" s="14" t="str">
        <f>IFERROR(GIZLI!G2796,"")</f>
        <v/>
      </c>
    </row>
    <row r="2802" spans="2:5" x14ac:dyDescent="0.3">
      <c r="B2802" s="2" t="str">
        <f>MID(TableQR[[#This Row],[QR CODES]],4,13)</f>
        <v/>
      </c>
      <c r="C2802" s="2" t="str">
        <f>IFERROR(VLOOKUP(TableQR[[#This Row],[BARCODES]],ILACLISTE[#All],2,0),"")</f>
        <v/>
      </c>
      <c r="D2802" s="2">
        <f t="shared" si="43"/>
        <v>0</v>
      </c>
      <c r="E2802" s="14" t="str">
        <f>IFERROR(GIZLI!G2797,"")</f>
        <v/>
      </c>
    </row>
    <row r="2803" spans="2:5" x14ac:dyDescent="0.3">
      <c r="B2803" s="2" t="str">
        <f>MID(TableQR[[#This Row],[QR CODES]],4,13)</f>
        <v/>
      </c>
      <c r="C2803" s="2" t="str">
        <f>IFERROR(VLOOKUP(TableQR[[#This Row],[BARCODES]],ILACLISTE[#All],2,0),"")</f>
        <v/>
      </c>
      <c r="D2803" s="2">
        <f t="shared" si="43"/>
        <v>0</v>
      </c>
      <c r="E2803" s="14" t="str">
        <f>IFERROR(GIZLI!G2798,"")</f>
        <v/>
      </c>
    </row>
    <row r="2804" spans="2:5" x14ac:dyDescent="0.3">
      <c r="B2804" s="2" t="str">
        <f>MID(TableQR[[#This Row],[QR CODES]],4,13)</f>
        <v/>
      </c>
      <c r="C2804" s="2" t="str">
        <f>IFERROR(VLOOKUP(TableQR[[#This Row],[BARCODES]],ILACLISTE[#All],2,0),"")</f>
        <v/>
      </c>
      <c r="D2804" s="2">
        <f t="shared" si="43"/>
        <v>0</v>
      </c>
      <c r="E2804" s="14" t="str">
        <f>IFERROR(GIZLI!G2799,"")</f>
        <v/>
      </c>
    </row>
    <row r="2805" spans="2:5" x14ac:dyDescent="0.3">
      <c r="B2805" s="2" t="str">
        <f>MID(TableQR[[#This Row],[QR CODES]],4,13)</f>
        <v/>
      </c>
      <c r="C2805" s="2" t="str">
        <f>IFERROR(VLOOKUP(TableQR[[#This Row],[BARCODES]],ILACLISTE[#All],2,0),"")</f>
        <v/>
      </c>
      <c r="D2805" s="2">
        <f t="shared" si="43"/>
        <v>0</v>
      </c>
      <c r="E2805" s="14" t="str">
        <f>IFERROR(GIZLI!G2800,"")</f>
        <v/>
      </c>
    </row>
    <row r="2806" spans="2:5" x14ac:dyDescent="0.3">
      <c r="B2806" s="2" t="str">
        <f>MID(TableQR[[#This Row],[QR CODES]],4,13)</f>
        <v/>
      </c>
      <c r="C2806" s="2" t="str">
        <f>IFERROR(VLOOKUP(TableQR[[#This Row],[BARCODES]],ILACLISTE[#All],2,0),"")</f>
        <v/>
      </c>
      <c r="D2806" s="2">
        <f t="shared" si="43"/>
        <v>0</v>
      </c>
      <c r="E2806" s="14" t="str">
        <f>IFERROR(GIZLI!G2801,"")</f>
        <v/>
      </c>
    </row>
    <row r="2807" spans="2:5" x14ac:dyDescent="0.3">
      <c r="B2807" s="2" t="str">
        <f>MID(TableQR[[#This Row],[QR CODES]],4,13)</f>
        <v/>
      </c>
      <c r="C2807" s="2" t="str">
        <f>IFERROR(VLOOKUP(TableQR[[#This Row],[BARCODES]],ILACLISTE[#All],2,0),"")</f>
        <v/>
      </c>
      <c r="D2807" s="2">
        <f t="shared" si="43"/>
        <v>0</v>
      </c>
      <c r="E2807" s="14" t="str">
        <f>IFERROR(GIZLI!G2802,"")</f>
        <v/>
      </c>
    </row>
    <row r="2808" spans="2:5" x14ac:dyDescent="0.3">
      <c r="B2808" s="2" t="str">
        <f>MID(TableQR[[#This Row],[QR CODES]],4,13)</f>
        <v/>
      </c>
      <c r="C2808" s="2" t="str">
        <f>IFERROR(VLOOKUP(TableQR[[#This Row],[BARCODES]],ILACLISTE[#All],2,0),"")</f>
        <v/>
      </c>
      <c r="D2808" s="2">
        <f t="shared" si="43"/>
        <v>0</v>
      </c>
      <c r="E2808" s="14" t="str">
        <f>IFERROR(GIZLI!G2803,"")</f>
        <v/>
      </c>
    </row>
    <row r="2809" spans="2:5" x14ac:dyDescent="0.3">
      <c r="B2809" s="2" t="str">
        <f>MID(TableQR[[#This Row],[QR CODES]],4,13)</f>
        <v/>
      </c>
      <c r="C2809" s="2" t="str">
        <f>IFERROR(VLOOKUP(TableQR[[#This Row],[BARCODES]],ILACLISTE[#All],2,0),"")</f>
        <v/>
      </c>
      <c r="D2809" s="2">
        <f t="shared" si="43"/>
        <v>0</v>
      </c>
      <c r="E2809" s="14" t="str">
        <f>IFERROR(GIZLI!G2804,"")</f>
        <v/>
      </c>
    </row>
    <row r="2810" spans="2:5" x14ac:dyDescent="0.3">
      <c r="B2810" s="2" t="str">
        <f>MID(TableQR[[#This Row],[QR CODES]],4,13)</f>
        <v/>
      </c>
      <c r="C2810" s="2" t="str">
        <f>IFERROR(VLOOKUP(TableQR[[#This Row],[BARCODES]],ILACLISTE[#All],2,0),"")</f>
        <v/>
      </c>
      <c r="D2810" s="2">
        <f t="shared" si="43"/>
        <v>0</v>
      </c>
      <c r="E2810" s="14" t="str">
        <f>IFERROR(GIZLI!G2805,"")</f>
        <v/>
      </c>
    </row>
    <row r="2811" spans="2:5" x14ac:dyDescent="0.3">
      <c r="B2811" s="2" t="str">
        <f>MID(TableQR[[#This Row],[QR CODES]],4,13)</f>
        <v/>
      </c>
      <c r="C2811" s="2" t="str">
        <f>IFERROR(VLOOKUP(TableQR[[#This Row],[BARCODES]],ILACLISTE[#All],2,0),"")</f>
        <v/>
      </c>
      <c r="D2811" s="2">
        <f t="shared" si="43"/>
        <v>0</v>
      </c>
      <c r="E2811" s="14" t="str">
        <f>IFERROR(GIZLI!G2806,"")</f>
        <v/>
      </c>
    </row>
    <row r="2812" spans="2:5" x14ac:dyDescent="0.3">
      <c r="B2812" s="2" t="str">
        <f>MID(TableQR[[#This Row],[QR CODES]],4,13)</f>
        <v/>
      </c>
      <c r="C2812" s="2" t="str">
        <f>IFERROR(VLOOKUP(TableQR[[#This Row],[BARCODES]],ILACLISTE[#All],2,0),"")</f>
        <v/>
      </c>
      <c r="D2812" s="2">
        <f t="shared" si="43"/>
        <v>0</v>
      </c>
      <c r="E2812" s="14" t="str">
        <f>IFERROR(GIZLI!G2807,"")</f>
        <v/>
      </c>
    </row>
    <row r="2813" spans="2:5" x14ac:dyDescent="0.3">
      <c r="B2813" s="2" t="str">
        <f>MID(TableQR[[#This Row],[QR CODES]],4,13)</f>
        <v/>
      </c>
      <c r="C2813" s="2" t="str">
        <f>IFERROR(VLOOKUP(TableQR[[#This Row],[BARCODES]],ILACLISTE[#All],2,0),"")</f>
        <v/>
      </c>
      <c r="D2813" s="2">
        <f t="shared" si="43"/>
        <v>0</v>
      </c>
      <c r="E2813" s="14" t="str">
        <f>IFERROR(GIZLI!G2808,"")</f>
        <v/>
      </c>
    </row>
    <row r="2814" spans="2:5" x14ac:dyDescent="0.3">
      <c r="B2814" s="2" t="str">
        <f>MID(TableQR[[#This Row],[QR CODES]],4,13)</f>
        <v/>
      </c>
      <c r="C2814" s="2" t="str">
        <f>IFERROR(VLOOKUP(TableQR[[#This Row],[BARCODES]],ILACLISTE[#All],2,0),"")</f>
        <v/>
      </c>
      <c r="D2814" s="2">
        <f t="shared" si="43"/>
        <v>0</v>
      </c>
      <c r="E2814" s="14" t="str">
        <f>IFERROR(GIZLI!G2809,"")</f>
        <v/>
      </c>
    </row>
    <row r="2815" spans="2:5" x14ac:dyDescent="0.3">
      <c r="B2815" s="2" t="str">
        <f>MID(TableQR[[#This Row],[QR CODES]],4,13)</f>
        <v/>
      </c>
      <c r="C2815" s="2" t="str">
        <f>IFERROR(VLOOKUP(TableQR[[#This Row],[BARCODES]],ILACLISTE[#All],2,0),"")</f>
        <v/>
      </c>
      <c r="D2815" s="2">
        <f t="shared" si="43"/>
        <v>0</v>
      </c>
      <c r="E2815" s="14" t="str">
        <f>IFERROR(GIZLI!G2810,"")</f>
        <v/>
      </c>
    </row>
    <row r="2816" spans="2:5" x14ac:dyDescent="0.3">
      <c r="B2816" s="2" t="str">
        <f>MID(TableQR[[#This Row],[QR CODES]],4,13)</f>
        <v/>
      </c>
      <c r="C2816" s="2" t="str">
        <f>IFERROR(VLOOKUP(TableQR[[#This Row],[BARCODES]],ILACLISTE[#All],2,0),"")</f>
        <v/>
      </c>
      <c r="D2816" s="2">
        <f t="shared" si="43"/>
        <v>0</v>
      </c>
      <c r="E2816" s="14" t="str">
        <f>IFERROR(GIZLI!G2811,"")</f>
        <v/>
      </c>
    </row>
    <row r="2817" spans="2:5" x14ac:dyDescent="0.3">
      <c r="B2817" s="2" t="str">
        <f>MID(TableQR[[#This Row],[QR CODES]],4,13)</f>
        <v/>
      </c>
      <c r="C2817" s="2" t="str">
        <f>IFERROR(VLOOKUP(TableQR[[#This Row],[BARCODES]],ILACLISTE[#All],2,0),"")</f>
        <v/>
      </c>
      <c r="D2817" s="2">
        <f t="shared" si="43"/>
        <v>0</v>
      </c>
      <c r="E2817" s="14" t="str">
        <f>IFERROR(GIZLI!G2812,"")</f>
        <v/>
      </c>
    </row>
    <row r="2818" spans="2:5" x14ac:dyDescent="0.3">
      <c r="B2818" s="2" t="str">
        <f>MID(TableQR[[#This Row],[QR CODES]],4,13)</f>
        <v/>
      </c>
      <c r="C2818" s="2" t="str">
        <f>IFERROR(VLOOKUP(TableQR[[#This Row],[BARCODES]],ILACLISTE[#All],2,0),"")</f>
        <v/>
      </c>
      <c r="D2818" s="2">
        <f t="shared" si="43"/>
        <v>0</v>
      </c>
      <c r="E2818" s="14" t="str">
        <f>IFERROR(GIZLI!G2813,"")</f>
        <v/>
      </c>
    </row>
    <row r="2819" spans="2:5" x14ac:dyDescent="0.3">
      <c r="B2819" s="2" t="str">
        <f>MID(TableQR[[#This Row],[QR CODES]],4,13)</f>
        <v/>
      </c>
      <c r="C2819" s="2" t="str">
        <f>IFERROR(VLOOKUP(TableQR[[#This Row],[BARCODES]],ILACLISTE[#All],2,0),"")</f>
        <v/>
      </c>
      <c r="D2819" s="2">
        <f t="shared" si="43"/>
        <v>0</v>
      </c>
      <c r="E2819" s="14" t="str">
        <f>IFERROR(GIZLI!G2814,"")</f>
        <v/>
      </c>
    </row>
    <row r="2820" spans="2:5" x14ac:dyDescent="0.3">
      <c r="B2820" s="2" t="str">
        <f>MID(TableQR[[#This Row],[QR CODES]],4,13)</f>
        <v/>
      </c>
      <c r="C2820" s="2" t="str">
        <f>IFERROR(VLOOKUP(TableQR[[#This Row],[BARCODES]],ILACLISTE[#All],2,0),"")</f>
        <v/>
      </c>
      <c r="D2820" s="2">
        <f t="shared" si="43"/>
        <v>0</v>
      </c>
      <c r="E2820" s="14" t="str">
        <f>IFERROR(GIZLI!G2815,"")</f>
        <v/>
      </c>
    </row>
    <row r="2821" spans="2:5" x14ac:dyDescent="0.3">
      <c r="B2821" s="2" t="str">
        <f>MID(TableQR[[#This Row],[QR CODES]],4,13)</f>
        <v/>
      </c>
      <c r="C2821" s="2" t="str">
        <f>IFERROR(VLOOKUP(TableQR[[#This Row],[BARCODES]],ILACLISTE[#All],2,0),"")</f>
        <v/>
      </c>
      <c r="D2821" s="2">
        <f t="shared" si="43"/>
        <v>0</v>
      </c>
      <c r="E2821" s="14" t="str">
        <f>IFERROR(GIZLI!G2816,"")</f>
        <v/>
      </c>
    </row>
    <row r="2822" spans="2:5" x14ac:dyDescent="0.3">
      <c r="B2822" s="2" t="str">
        <f>MID(TableQR[[#This Row],[QR CODES]],4,13)</f>
        <v/>
      </c>
      <c r="C2822" s="2" t="str">
        <f>IFERROR(VLOOKUP(TableQR[[#This Row],[BARCODES]],ILACLISTE[#All],2,0),"")</f>
        <v/>
      </c>
      <c r="D2822" s="2">
        <f t="shared" si="43"/>
        <v>0</v>
      </c>
      <c r="E2822" s="14" t="str">
        <f>IFERROR(GIZLI!G2817,"")</f>
        <v/>
      </c>
    </row>
    <row r="2823" spans="2:5" x14ac:dyDescent="0.3">
      <c r="B2823" s="2" t="str">
        <f>MID(TableQR[[#This Row],[QR CODES]],4,13)</f>
        <v/>
      </c>
      <c r="C2823" s="2" t="str">
        <f>IFERROR(VLOOKUP(TableQR[[#This Row],[BARCODES]],ILACLISTE[#All],2,0),"")</f>
        <v/>
      </c>
      <c r="D2823" s="2">
        <f t="shared" si="43"/>
        <v>0</v>
      </c>
      <c r="E2823" s="14" t="str">
        <f>IFERROR(GIZLI!G2818,"")</f>
        <v/>
      </c>
    </row>
    <row r="2824" spans="2:5" x14ac:dyDescent="0.3">
      <c r="B2824" s="2" t="str">
        <f>MID(TableQR[[#This Row],[QR CODES]],4,13)</f>
        <v/>
      </c>
      <c r="C2824" s="2" t="str">
        <f>IFERROR(VLOOKUP(TableQR[[#This Row],[BARCODES]],ILACLISTE[#All],2,0),"")</f>
        <v/>
      </c>
      <c r="D2824" s="2">
        <f t="shared" ref="D2824:D2887" si="44">COUNTIF(B2824:B6817,IF(B2824="",66666,B2824))</f>
        <v>0</v>
      </c>
      <c r="E2824" s="14" t="str">
        <f>IFERROR(GIZLI!G2819,"")</f>
        <v/>
      </c>
    </row>
    <row r="2825" spans="2:5" x14ac:dyDescent="0.3">
      <c r="B2825" s="2" t="str">
        <f>MID(TableQR[[#This Row],[QR CODES]],4,13)</f>
        <v/>
      </c>
      <c r="C2825" s="2" t="str">
        <f>IFERROR(VLOOKUP(TableQR[[#This Row],[BARCODES]],ILACLISTE[#All],2,0),"")</f>
        <v/>
      </c>
      <c r="D2825" s="2">
        <f t="shared" si="44"/>
        <v>0</v>
      </c>
      <c r="E2825" s="14" t="str">
        <f>IFERROR(GIZLI!G2820,"")</f>
        <v/>
      </c>
    </row>
    <row r="2826" spans="2:5" x14ac:dyDescent="0.3">
      <c r="B2826" s="2" t="str">
        <f>MID(TableQR[[#This Row],[QR CODES]],4,13)</f>
        <v/>
      </c>
      <c r="C2826" s="2" t="str">
        <f>IFERROR(VLOOKUP(TableQR[[#This Row],[BARCODES]],ILACLISTE[#All],2,0),"")</f>
        <v/>
      </c>
      <c r="D2826" s="2">
        <f t="shared" si="44"/>
        <v>0</v>
      </c>
      <c r="E2826" s="14" t="str">
        <f>IFERROR(GIZLI!G2821,"")</f>
        <v/>
      </c>
    </row>
    <row r="2827" spans="2:5" x14ac:dyDescent="0.3">
      <c r="B2827" s="2" t="str">
        <f>MID(TableQR[[#This Row],[QR CODES]],4,13)</f>
        <v/>
      </c>
      <c r="C2827" s="2" t="str">
        <f>IFERROR(VLOOKUP(TableQR[[#This Row],[BARCODES]],ILACLISTE[#All],2,0),"")</f>
        <v/>
      </c>
      <c r="D2827" s="2">
        <f t="shared" si="44"/>
        <v>0</v>
      </c>
      <c r="E2827" s="14" t="str">
        <f>IFERROR(GIZLI!G2822,"")</f>
        <v/>
      </c>
    </row>
    <row r="2828" spans="2:5" x14ac:dyDescent="0.3">
      <c r="B2828" s="2" t="str">
        <f>MID(TableQR[[#This Row],[QR CODES]],4,13)</f>
        <v/>
      </c>
      <c r="C2828" s="2" t="str">
        <f>IFERROR(VLOOKUP(TableQR[[#This Row],[BARCODES]],ILACLISTE[#All],2,0),"")</f>
        <v/>
      </c>
      <c r="D2828" s="2">
        <f t="shared" si="44"/>
        <v>0</v>
      </c>
      <c r="E2828" s="14" t="str">
        <f>IFERROR(GIZLI!G2823,"")</f>
        <v/>
      </c>
    </row>
    <row r="2829" spans="2:5" x14ac:dyDescent="0.3">
      <c r="B2829" s="2" t="str">
        <f>MID(TableQR[[#This Row],[QR CODES]],4,13)</f>
        <v/>
      </c>
      <c r="C2829" s="2" t="str">
        <f>IFERROR(VLOOKUP(TableQR[[#This Row],[BARCODES]],ILACLISTE[#All],2,0),"")</f>
        <v/>
      </c>
      <c r="D2829" s="2">
        <f t="shared" si="44"/>
        <v>0</v>
      </c>
      <c r="E2829" s="14" t="str">
        <f>IFERROR(GIZLI!G2824,"")</f>
        <v/>
      </c>
    </row>
    <row r="2830" spans="2:5" x14ac:dyDescent="0.3">
      <c r="B2830" s="2" t="str">
        <f>MID(TableQR[[#This Row],[QR CODES]],4,13)</f>
        <v/>
      </c>
      <c r="C2830" s="2" t="str">
        <f>IFERROR(VLOOKUP(TableQR[[#This Row],[BARCODES]],ILACLISTE[#All],2,0),"")</f>
        <v/>
      </c>
      <c r="D2830" s="2">
        <f t="shared" si="44"/>
        <v>0</v>
      </c>
      <c r="E2830" s="14" t="str">
        <f>IFERROR(GIZLI!G2825,"")</f>
        <v/>
      </c>
    </row>
    <row r="2831" spans="2:5" x14ac:dyDescent="0.3">
      <c r="B2831" s="2" t="str">
        <f>MID(TableQR[[#This Row],[QR CODES]],4,13)</f>
        <v/>
      </c>
      <c r="C2831" s="2" t="str">
        <f>IFERROR(VLOOKUP(TableQR[[#This Row],[BARCODES]],ILACLISTE[#All],2,0),"")</f>
        <v/>
      </c>
      <c r="D2831" s="2">
        <f t="shared" si="44"/>
        <v>0</v>
      </c>
      <c r="E2831" s="14" t="str">
        <f>IFERROR(GIZLI!G2826,"")</f>
        <v/>
      </c>
    </row>
    <row r="2832" spans="2:5" x14ac:dyDescent="0.3">
      <c r="B2832" s="2" t="str">
        <f>MID(TableQR[[#This Row],[QR CODES]],4,13)</f>
        <v/>
      </c>
      <c r="C2832" s="2" t="str">
        <f>IFERROR(VLOOKUP(TableQR[[#This Row],[BARCODES]],ILACLISTE[#All],2,0),"")</f>
        <v/>
      </c>
      <c r="D2832" s="2">
        <f t="shared" si="44"/>
        <v>0</v>
      </c>
      <c r="E2832" s="14" t="str">
        <f>IFERROR(GIZLI!G2827,"")</f>
        <v/>
      </c>
    </row>
    <row r="2833" spans="2:5" x14ac:dyDescent="0.3">
      <c r="B2833" s="2" t="str">
        <f>MID(TableQR[[#This Row],[QR CODES]],4,13)</f>
        <v/>
      </c>
      <c r="C2833" s="2" t="str">
        <f>IFERROR(VLOOKUP(TableQR[[#This Row],[BARCODES]],ILACLISTE[#All],2,0),"")</f>
        <v/>
      </c>
      <c r="D2833" s="2">
        <f t="shared" si="44"/>
        <v>0</v>
      </c>
      <c r="E2833" s="14" t="str">
        <f>IFERROR(GIZLI!G2828,"")</f>
        <v/>
      </c>
    </row>
    <row r="2834" spans="2:5" x14ac:dyDescent="0.3">
      <c r="B2834" s="2" t="str">
        <f>MID(TableQR[[#This Row],[QR CODES]],4,13)</f>
        <v/>
      </c>
      <c r="C2834" s="2" t="str">
        <f>IFERROR(VLOOKUP(TableQR[[#This Row],[BARCODES]],ILACLISTE[#All],2,0),"")</f>
        <v/>
      </c>
      <c r="D2834" s="2">
        <f t="shared" si="44"/>
        <v>0</v>
      </c>
      <c r="E2834" s="14" t="str">
        <f>IFERROR(GIZLI!G2829,"")</f>
        <v/>
      </c>
    </row>
    <row r="2835" spans="2:5" x14ac:dyDescent="0.3">
      <c r="B2835" s="2" t="str">
        <f>MID(TableQR[[#This Row],[QR CODES]],4,13)</f>
        <v/>
      </c>
      <c r="C2835" s="2" t="str">
        <f>IFERROR(VLOOKUP(TableQR[[#This Row],[BARCODES]],ILACLISTE[#All],2,0),"")</f>
        <v/>
      </c>
      <c r="D2835" s="2">
        <f t="shared" si="44"/>
        <v>0</v>
      </c>
      <c r="E2835" s="14" t="str">
        <f>IFERROR(GIZLI!G2830,"")</f>
        <v/>
      </c>
    </row>
    <row r="2836" spans="2:5" x14ac:dyDescent="0.3">
      <c r="B2836" s="2" t="str">
        <f>MID(TableQR[[#This Row],[QR CODES]],4,13)</f>
        <v/>
      </c>
      <c r="C2836" s="2" t="str">
        <f>IFERROR(VLOOKUP(TableQR[[#This Row],[BARCODES]],ILACLISTE[#All],2,0),"")</f>
        <v/>
      </c>
      <c r="D2836" s="2">
        <f t="shared" si="44"/>
        <v>0</v>
      </c>
      <c r="E2836" s="14" t="str">
        <f>IFERROR(GIZLI!G2831,"")</f>
        <v/>
      </c>
    </row>
    <row r="2837" spans="2:5" x14ac:dyDescent="0.3">
      <c r="B2837" s="2" t="str">
        <f>MID(TableQR[[#This Row],[QR CODES]],4,13)</f>
        <v/>
      </c>
      <c r="C2837" s="2" t="str">
        <f>IFERROR(VLOOKUP(TableQR[[#This Row],[BARCODES]],ILACLISTE[#All],2,0),"")</f>
        <v/>
      </c>
      <c r="D2837" s="2">
        <f t="shared" si="44"/>
        <v>0</v>
      </c>
      <c r="E2837" s="14" t="str">
        <f>IFERROR(GIZLI!G2832,"")</f>
        <v/>
      </c>
    </row>
    <row r="2838" spans="2:5" x14ac:dyDescent="0.3">
      <c r="B2838" s="2" t="str">
        <f>MID(TableQR[[#This Row],[QR CODES]],4,13)</f>
        <v/>
      </c>
      <c r="C2838" s="2" t="str">
        <f>IFERROR(VLOOKUP(TableQR[[#This Row],[BARCODES]],ILACLISTE[#All],2,0),"")</f>
        <v/>
      </c>
      <c r="D2838" s="2">
        <f t="shared" si="44"/>
        <v>0</v>
      </c>
      <c r="E2838" s="14" t="str">
        <f>IFERROR(GIZLI!G2833,"")</f>
        <v/>
      </c>
    </row>
    <row r="2839" spans="2:5" x14ac:dyDescent="0.3">
      <c r="B2839" s="2" t="str">
        <f>MID(TableQR[[#This Row],[QR CODES]],4,13)</f>
        <v/>
      </c>
      <c r="C2839" s="2" t="str">
        <f>IFERROR(VLOOKUP(TableQR[[#This Row],[BARCODES]],ILACLISTE[#All],2,0),"")</f>
        <v/>
      </c>
      <c r="D2839" s="2">
        <f t="shared" si="44"/>
        <v>0</v>
      </c>
      <c r="E2839" s="14" t="str">
        <f>IFERROR(GIZLI!G2834,"")</f>
        <v/>
      </c>
    </row>
    <row r="2840" spans="2:5" x14ac:dyDescent="0.3">
      <c r="B2840" s="2" t="str">
        <f>MID(TableQR[[#This Row],[QR CODES]],4,13)</f>
        <v/>
      </c>
      <c r="C2840" s="2" t="str">
        <f>IFERROR(VLOOKUP(TableQR[[#This Row],[BARCODES]],ILACLISTE[#All],2,0),"")</f>
        <v/>
      </c>
      <c r="D2840" s="2">
        <f t="shared" si="44"/>
        <v>0</v>
      </c>
      <c r="E2840" s="14" t="str">
        <f>IFERROR(GIZLI!G2835,"")</f>
        <v/>
      </c>
    </row>
    <row r="2841" spans="2:5" x14ac:dyDescent="0.3">
      <c r="B2841" s="2" t="str">
        <f>MID(TableQR[[#This Row],[QR CODES]],4,13)</f>
        <v/>
      </c>
      <c r="C2841" s="2" t="str">
        <f>IFERROR(VLOOKUP(TableQR[[#This Row],[BARCODES]],ILACLISTE[#All],2,0),"")</f>
        <v/>
      </c>
      <c r="D2841" s="2">
        <f t="shared" si="44"/>
        <v>0</v>
      </c>
      <c r="E2841" s="14" t="str">
        <f>IFERROR(GIZLI!G2836,"")</f>
        <v/>
      </c>
    </row>
    <row r="2842" spans="2:5" x14ac:dyDescent="0.3">
      <c r="B2842" s="2" t="str">
        <f>MID(TableQR[[#This Row],[QR CODES]],4,13)</f>
        <v/>
      </c>
      <c r="C2842" s="2" t="str">
        <f>IFERROR(VLOOKUP(TableQR[[#This Row],[BARCODES]],ILACLISTE[#All],2,0),"")</f>
        <v/>
      </c>
      <c r="D2842" s="2">
        <f t="shared" si="44"/>
        <v>0</v>
      </c>
      <c r="E2842" s="14" t="str">
        <f>IFERROR(GIZLI!G2837,"")</f>
        <v/>
      </c>
    </row>
    <row r="2843" spans="2:5" x14ac:dyDescent="0.3">
      <c r="B2843" s="2" t="str">
        <f>MID(TableQR[[#This Row],[QR CODES]],4,13)</f>
        <v/>
      </c>
      <c r="C2843" s="2" t="str">
        <f>IFERROR(VLOOKUP(TableQR[[#This Row],[BARCODES]],ILACLISTE[#All],2,0),"")</f>
        <v/>
      </c>
      <c r="D2843" s="2">
        <f t="shared" si="44"/>
        <v>0</v>
      </c>
      <c r="E2843" s="14" t="str">
        <f>IFERROR(GIZLI!G2838,"")</f>
        <v/>
      </c>
    </row>
    <row r="2844" spans="2:5" x14ac:dyDescent="0.3">
      <c r="B2844" s="2" t="str">
        <f>MID(TableQR[[#This Row],[QR CODES]],4,13)</f>
        <v/>
      </c>
      <c r="C2844" s="2" t="str">
        <f>IFERROR(VLOOKUP(TableQR[[#This Row],[BARCODES]],ILACLISTE[#All],2,0),"")</f>
        <v/>
      </c>
      <c r="D2844" s="2">
        <f t="shared" si="44"/>
        <v>0</v>
      </c>
      <c r="E2844" s="14" t="str">
        <f>IFERROR(GIZLI!G2839,"")</f>
        <v/>
      </c>
    </row>
    <row r="2845" spans="2:5" x14ac:dyDescent="0.3">
      <c r="B2845" s="2" t="str">
        <f>MID(TableQR[[#This Row],[QR CODES]],4,13)</f>
        <v/>
      </c>
      <c r="C2845" s="2" t="str">
        <f>IFERROR(VLOOKUP(TableQR[[#This Row],[BARCODES]],ILACLISTE[#All],2,0),"")</f>
        <v/>
      </c>
      <c r="D2845" s="2">
        <f t="shared" si="44"/>
        <v>0</v>
      </c>
      <c r="E2845" s="14" t="str">
        <f>IFERROR(GIZLI!G2840,"")</f>
        <v/>
      </c>
    </row>
    <row r="2846" spans="2:5" x14ac:dyDescent="0.3">
      <c r="B2846" s="2" t="str">
        <f>MID(TableQR[[#This Row],[QR CODES]],4,13)</f>
        <v/>
      </c>
      <c r="C2846" s="2" t="str">
        <f>IFERROR(VLOOKUP(TableQR[[#This Row],[BARCODES]],ILACLISTE[#All],2,0),"")</f>
        <v/>
      </c>
      <c r="D2846" s="2">
        <f t="shared" si="44"/>
        <v>0</v>
      </c>
      <c r="E2846" s="14" t="str">
        <f>IFERROR(GIZLI!G2841,"")</f>
        <v/>
      </c>
    </row>
    <row r="2847" spans="2:5" x14ac:dyDescent="0.3">
      <c r="B2847" s="2" t="str">
        <f>MID(TableQR[[#This Row],[QR CODES]],4,13)</f>
        <v/>
      </c>
      <c r="C2847" s="2" t="str">
        <f>IFERROR(VLOOKUP(TableQR[[#This Row],[BARCODES]],ILACLISTE[#All],2,0),"")</f>
        <v/>
      </c>
      <c r="D2847" s="2">
        <f t="shared" si="44"/>
        <v>0</v>
      </c>
      <c r="E2847" s="14" t="str">
        <f>IFERROR(GIZLI!G2842,"")</f>
        <v/>
      </c>
    </row>
    <row r="2848" spans="2:5" x14ac:dyDescent="0.3">
      <c r="B2848" s="2" t="str">
        <f>MID(TableQR[[#This Row],[QR CODES]],4,13)</f>
        <v/>
      </c>
      <c r="C2848" s="2" t="str">
        <f>IFERROR(VLOOKUP(TableQR[[#This Row],[BARCODES]],ILACLISTE[#All],2,0),"")</f>
        <v/>
      </c>
      <c r="D2848" s="2">
        <f t="shared" si="44"/>
        <v>0</v>
      </c>
      <c r="E2848" s="14" t="str">
        <f>IFERROR(GIZLI!G2843,"")</f>
        <v/>
      </c>
    </row>
    <row r="2849" spans="2:5" x14ac:dyDescent="0.3">
      <c r="B2849" s="2" t="str">
        <f>MID(TableQR[[#This Row],[QR CODES]],4,13)</f>
        <v/>
      </c>
      <c r="C2849" s="2" t="str">
        <f>IFERROR(VLOOKUP(TableQR[[#This Row],[BARCODES]],ILACLISTE[#All],2,0),"")</f>
        <v/>
      </c>
      <c r="D2849" s="2">
        <f t="shared" si="44"/>
        <v>0</v>
      </c>
      <c r="E2849" s="14" t="str">
        <f>IFERROR(GIZLI!G2844,"")</f>
        <v/>
      </c>
    </row>
    <row r="2850" spans="2:5" x14ac:dyDescent="0.3">
      <c r="B2850" s="2" t="str">
        <f>MID(TableQR[[#This Row],[QR CODES]],4,13)</f>
        <v/>
      </c>
      <c r="C2850" s="2" t="str">
        <f>IFERROR(VLOOKUP(TableQR[[#This Row],[BARCODES]],ILACLISTE[#All],2,0),"")</f>
        <v/>
      </c>
      <c r="D2850" s="2">
        <f t="shared" si="44"/>
        <v>0</v>
      </c>
      <c r="E2850" s="14" t="str">
        <f>IFERROR(GIZLI!G2845,"")</f>
        <v/>
      </c>
    </row>
    <row r="2851" spans="2:5" x14ac:dyDescent="0.3">
      <c r="B2851" s="2" t="str">
        <f>MID(TableQR[[#This Row],[QR CODES]],4,13)</f>
        <v/>
      </c>
      <c r="C2851" s="2" t="str">
        <f>IFERROR(VLOOKUP(TableQR[[#This Row],[BARCODES]],ILACLISTE[#All],2,0),"")</f>
        <v/>
      </c>
      <c r="D2851" s="2">
        <f t="shared" si="44"/>
        <v>0</v>
      </c>
      <c r="E2851" s="14" t="str">
        <f>IFERROR(GIZLI!G2846,"")</f>
        <v/>
      </c>
    </row>
    <row r="2852" spans="2:5" x14ac:dyDescent="0.3">
      <c r="B2852" s="2" t="str">
        <f>MID(TableQR[[#This Row],[QR CODES]],4,13)</f>
        <v/>
      </c>
      <c r="C2852" s="2" t="str">
        <f>IFERROR(VLOOKUP(TableQR[[#This Row],[BARCODES]],ILACLISTE[#All],2,0),"")</f>
        <v/>
      </c>
      <c r="D2852" s="2">
        <f t="shared" si="44"/>
        <v>0</v>
      </c>
      <c r="E2852" s="14" t="str">
        <f>IFERROR(GIZLI!G2847,"")</f>
        <v/>
      </c>
    </row>
    <row r="2853" spans="2:5" x14ac:dyDescent="0.3">
      <c r="B2853" s="2" t="str">
        <f>MID(TableQR[[#This Row],[QR CODES]],4,13)</f>
        <v/>
      </c>
      <c r="C2853" s="2" t="str">
        <f>IFERROR(VLOOKUP(TableQR[[#This Row],[BARCODES]],ILACLISTE[#All],2,0),"")</f>
        <v/>
      </c>
      <c r="D2853" s="2">
        <f t="shared" si="44"/>
        <v>0</v>
      </c>
      <c r="E2853" s="14" t="str">
        <f>IFERROR(GIZLI!G2848,"")</f>
        <v/>
      </c>
    </row>
    <row r="2854" spans="2:5" x14ac:dyDescent="0.3">
      <c r="B2854" s="2" t="str">
        <f>MID(TableQR[[#This Row],[QR CODES]],4,13)</f>
        <v/>
      </c>
      <c r="C2854" s="2" t="str">
        <f>IFERROR(VLOOKUP(TableQR[[#This Row],[BARCODES]],ILACLISTE[#All],2,0),"")</f>
        <v/>
      </c>
      <c r="D2854" s="2">
        <f t="shared" si="44"/>
        <v>0</v>
      </c>
      <c r="E2854" s="14" t="str">
        <f>IFERROR(GIZLI!G2849,"")</f>
        <v/>
      </c>
    </row>
    <row r="2855" spans="2:5" x14ac:dyDescent="0.3">
      <c r="B2855" s="2" t="str">
        <f>MID(TableQR[[#This Row],[QR CODES]],4,13)</f>
        <v/>
      </c>
      <c r="C2855" s="2" t="str">
        <f>IFERROR(VLOOKUP(TableQR[[#This Row],[BARCODES]],ILACLISTE[#All],2,0),"")</f>
        <v/>
      </c>
      <c r="D2855" s="2">
        <f t="shared" si="44"/>
        <v>0</v>
      </c>
      <c r="E2855" s="14" t="str">
        <f>IFERROR(GIZLI!G2850,"")</f>
        <v/>
      </c>
    </row>
    <row r="2856" spans="2:5" x14ac:dyDescent="0.3">
      <c r="B2856" s="2" t="str">
        <f>MID(TableQR[[#This Row],[QR CODES]],4,13)</f>
        <v/>
      </c>
      <c r="C2856" s="2" t="str">
        <f>IFERROR(VLOOKUP(TableQR[[#This Row],[BARCODES]],ILACLISTE[#All],2,0),"")</f>
        <v/>
      </c>
      <c r="D2856" s="2">
        <f t="shared" si="44"/>
        <v>0</v>
      </c>
      <c r="E2856" s="14" t="str">
        <f>IFERROR(GIZLI!G2851,"")</f>
        <v/>
      </c>
    </row>
    <row r="2857" spans="2:5" x14ac:dyDescent="0.3">
      <c r="B2857" s="2" t="str">
        <f>MID(TableQR[[#This Row],[QR CODES]],4,13)</f>
        <v/>
      </c>
      <c r="C2857" s="2" t="str">
        <f>IFERROR(VLOOKUP(TableQR[[#This Row],[BARCODES]],ILACLISTE[#All],2,0),"")</f>
        <v/>
      </c>
      <c r="D2857" s="2">
        <f t="shared" si="44"/>
        <v>0</v>
      </c>
      <c r="E2857" s="14" t="str">
        <f>IFERROR(GIZLI!G2852,"")</f>
        <v/>
      </c>
    </row>
    <row r="2858" spans="2:5" x14ac:dyDescent="0.3">
      <c r="B2858" s="2" t="str">
        <f>MID(TableQR[[#This Row],[QR CODES]],4,13)</f>
        <v/>
      </c>
      <c r="C2858" s="2" t="str">
        <f>IFERROR(VLOOKUP(TableQR[[#This Row],[BARCODES]],ILACLISTE[#All],2,0),"")</f>
        <v/>
      </c>
      <c r="D2858" s="2">
        <f t="shared" si="44"/>
        <v>0</v>
      </c>
      <c r="E2858" s="14" t="str">
        <f>IFERROR(GIZLI!G2853,"")</f>
        <v/>
      </c>
    </row>
    <row r="2859" spans="2:5" x14ac:dyDescent="0.3">
      <c r="B2859" s="2" t="str">
        <f>MID(TableQR[[#This Row],[QR CODES]],4,13)</f>
        <v/>
      </c>
      <c r="C2859" s="2" t="str">
        <f>IFERROR(VLOOKUP(TableQR[[#This Row],[BARCODES]],ILACLISTE[#All],2,0),"")</f>
        <v/>
      </c>
      <c r="D2859" s="2">
        <f t="shared" si="44"/>
        <v>0</v>
      </c>
      <c r="E2859" s="14" t="str">
        <f>IFERROR(GIZLI!G2854,"")</f>
        <v/>
      </c>
    </row>
    <row r="2860" spans="2:5" x14ac:dyDescent="0.3">
      <c r="B2860" s="2" t="str">
        <f>MID(TableQR[[#This Row],[QR CODES]],4,13)</f>
        <v/>
      </c>
      <c r="C2860" s="2" t="str">
        <f>IFERROR(VLOOKUP(TableQR[[#This Row],[BARCODES]],ILACLISTE[#All],2,0),"")</f>
        <v/>
      </c>
      <c r="D2860" s="2">
        <f t="shared" si="44"/>
        <v>0</v>
      </c>
      <c r="E2860" s="14" t="str">
        <f>IFERROR(GIZLI!G2855,"")</f>
        <v/>
      </c>
    </row>
    <row r="2861" spans="2:5" x14ac:dyDescent="0.3">
      <c r="B2861" s="2" t="str">
        <f>MID(TableQR[[#This Row],[QR CODES]],4,13)</f>
        <v/>
      </c>
      <c r="C2861" s="2" t="str">
        <f>IFERROR(VLOOKUP(TableQR[[#This Row],[BARCODES]],ILACLISTE[#All],2,0),"")</f>
        <v/>
      </c>
      <c r="D2861" s="2">
        <f t="shared" si="44"/>
        <v>0</v>
      </c>
      <c r="E2861" s="14" t="str">
        <f>IFERROR(GIZLI!G2856,"")</f>
        <v/>
      </c>
    </row>
    <row r="2862" spans="2:5" x14ac:dyDescent="0.3">
      <c r="B2862" s="2" t="str">
        <f>MID(TableQR[[#This Row],[QR CODES]],4,13)</f>
        <v/>
      </c>
      <c r="C2862" s="2" t="str">
        <f>IFERROR(VLOOKUP(TableQR[[#This Row],[BARCODES]],ILACLISTE[#All],2,0),"")</f>
        <v/>
      </c>
      <c r="D2862" s="2">
        <f t="shared" si="44"/>
        <v>0</v>
      </c>
      <c r="E2862" s="14" t="str">
        <f>IFERROR(GIZLI!G2857,"")</f>
        <v/>
      </c>
    </row>
    <row r="2863" spans="2:5" x14ac:dyDescent="0.3">
      <c r="B2863" s="2" t="str">
        <f>MID(TableQR[[#This Row],[QR CODES]],4,13)</f>
        <v/>
      </c>
      <c r="C2863" s="2" t="str">
        <f>IFERROR(VLOOKUP(TableQR[[#This Row],[BARCODES]],ILACLISTE[#All],2,0),"")</f>
        <v/>
      </c>
      <c r="D2863" s="2">
        <f t="shared" si="44"/>
        <v>0</v>
      </c>
      <c r="E2863" s="14" t="str">
        <f>IFERROR(GIZLI!G2858,"")</f>
        <v/>
      </c>
    </row>
    <row r="2864" spans="2:5" x14ac:dyDescent="0.3">
      <c r="B2864" s="2" t="str">
        <f>MID(TableQR[[#This Row],[QR CODES]],4,13)</f>
        <v/>
      </c>
      <c r="C2864" s="2" t="str">
        <f>IFERROR(VLOOKUP(TableQR[[#This Row],[BARCODES]],ILACLISTE[#All],2,0),"")</f>
        <v/>
      </c>
      <c r="D2864" s="2">
        <f t="shared" si="44"/>
        <v>0</v>
      </c>
      <c r="E2864" s="14" t="str">
        <f>IFERROR(GIZLI!G2859,"")</f>
        <v/>
      </c>
    </row>
    <row r="2865" spans="2:5" x14ac:dyDescent="0.3">
      <c r="B2865" s="2" t="str">
        <f>MID(TableQR[[#This Row],[QR CODES]],4,13)</f>
        <v/>
      </c>
      <c r="C2865" s="2" t="str">
        <f>IFERROR(VLOOKUP(TableQR[[#This Row],[BARCODES]],ILACLISTE[#All],2,0),"")</f>
        <v/>
      </c>
      <c r="D2865" s="2">
        <f t="shared" si="44"/>
        <v>0</v>
      </c>
      <c r="E2865" s="14" t="str">
        <f>IFERROR(GIZLI!G2860,"")</f>
        <v/>
      </c>
    </row>
    <row r="2866" spans="2:5" x14ac:dyDescent="0.3">
      <c r="B2866" s="2" t="str">
        <f>MID(TableQR[[#This Row],[QR CODES]],4,13)</f>
        <v/>
      </c>
      <c r="C2866" s="2" t="str">
        <f>IFERROR(VLOOKUP(TableQR[[#This Row],[BARCODES]],ILACLISTE[#All],2,0),"")</f>
        <v/>
      </c>
      <c r="D2866" s="2">
        <f t="shared" si="44"/>
        <v>0</v>
      </c>
      <c r="E2866" s="14" t="str">
        <f>IFERROR(GIZLI!G2861,"")</f>
        <v/>
      </c>
    </row>
    <row r="2867" spans="2:5" x14ac:dyDescent="0.3">
      <c r="B2867" s="2" t="str">
        <f>MID(TableQR[[#This Row],[QR CODES]],4,13)</f>
        <v/>
      </c>
      <c r="C2867" s="2" t="str">
        <f>IFERROR(VLOOKUP(TableQR[[#This Row],[BARCODES]],ILACLISTE[#All],2,0),"")</f>
        <v/>
      </c>
      <c r="D2867" s="2">
        <f t="shared" si="44"/>
        <v>0</v>
      </c>
      <c r="E2867" s="14" t="str">
        <f>IFERROR(GIZLI!G2862,"")</f>
        <v/>
      </c>
    </row>
    <row r="2868" spans="2:5" x14ac:dyDescent="0.3">
      <c r="B2868" s="2" t="str">
        <f>MID(TableQR[[#This Row],[QR CODES]],4,13)</f>
        <v/>
      </c>
      <c r="C2868" s="2" t="str">
        <f>IFERROR(VLOOKUP(TableQR[[#This Row],[BARCODES]],ILACLISTE[#All],2,0),"")</f>
        <v/>
      </c>
      <c r="D2868" s="2">
        <f t="shared" si="44"/>
        <v>0</v>
      </c>
      <c r="E2868" s="14" t="str">
        <f>IFERROR(GIZLI!G2863,"")</f>
        <v/>
      </c>
    </row>
    <row r="2869" spans="2:5" x14ac:dyDescent="0.3">
      <c r="B2869" s="2" t="str">
        <f>MID(TableQR[[#This Row],[QR CODES]],4,13)</f>
        <v/>
      </c>
      <c r="C2869" s="2" t="str">
        <f>IFERROR(VLOOKUP(TableQR[[#This Row],[BARCODES]],ILACLISTE[#All],2,0),"")</f>
        <v/>
      </c>
      <c r="D2869" s="2">
        <f t="shared" si="44"/>
        <v>0</v>
      </c>
      <c r="E2869" s="14" t="str">
        <f>IFERROR(GIZLI!G2864,"")</f>
        <v/>
      </c>
    </row>
    <row r="2870" spans="2:5" x14ac:dyDescent="0.3">
      <c r="B2870" s="2" t="str">
        <f>MID(TableQR[[#This Row],[QR CODES]],4,13)</f>
        <v/>
      </c>
      <c r="C2870" s="2" t="str">
        <f>IFERROR(VLOOKUP(TableQR[[#This Row],[BARCODES]],ILACLISTE[#All],2,0),"")</f>
        <v/>
      </c>
      <c r="D2870" s="2">
        <f t="shared" si="44"/>
        <v>0</v>
      </c>
      <c r="E2870" s="14" t="str">
        <f>IFERROR(GIZLI!G2865,"")</f>
        <v/>
      </c>
    </row>
    <row r="2871" spans="2:5" x14ac:dyDescent="0.3">
      <c r="B2871" s="2" t="str">
        <f>MID(TableQR[[#This Row],[QR CODES]],4,13)</f>
        <v/>
      </c>
      <c r="C2871" s="2" t="str">
        <f>IFERROR(VLOOKUP(TableQR[[#This Row],[BARCODES]],ILACLISTE[#All],2,0),"")</f>
        <v/>
      </c>
      <c r="D2871" s="2">
        <f t="shared" si="44"/>
        <v>0</v>
      </c>
      <c r="E2871" s="14" t="str">
        <f>IFERROR(GIZLI!G2866,"")</f>
        <v/>
      </c>
    </row>
    <row r="2872" spans="2:5" x14ac:dyDescent="0.3">
      <c r="B2872" s="2" t="str">
        <f>MID(TableQR[[#This Row],[QR CODES]],4,13)</f>
        <v/>
      </c>
      <c r="C2872" s="2" t="str">
        <f>IFERROR(VLOOKUP(TableQR[[#This Row],[BARCODES]],ILACLISTE[#All],2,0),"")</f>
        <v/>
      </c>
      <c r="D2872" s="2">
        <f t="shared" si="44"/>
        <v>0</v>
      </c>
      <c r="E2872" s="14" t="str">
        <f>IFERROR(GIZLI!G2867,"")</f>
        <v/>
      </c>
    </row>
    <row r="2873" spans="2:5" x14ac:dyDescent="0.3">
      <c r="B2873" s="2" t="str">
        <f>MID(TableQR[[#This Row],[QR CODES]],4,13)</f>
        <v/>
      </c>
      <c r="C2873" s="2" t="str">
        <f>IFERROR(VLOOKUP(TableQR[[#This Row],[BARCODES]],ILACLISTE[#All],2,0),"")</f>
        <v/>
      </c>
      <c r="D2873" s="2">
        <f t="shared" si="44"/>
        <v>0</v>
      </c>
      <c r="E2873" s="14" t="str">
        <f>IFERROR(GIZLI!G2868,"")</f>
        <v/>
      </c>
    </row>
    <row r="2874" spans="2:5" x14ac:dyDescent="0.3">
      <c r="B2874" s="2" t="str">
        <f>MID(TableQR[[#This Row],[QR CODES]],4,13)</f>
        <v/>
      </c>
      <c r="C2874" s="2" t="str">
        <f>IFERROR(VLOOKUP(TableQR[[#This Row],[BARCODES]],ILACLISTE[#All],2,0),"")</f>
        <v/>
      </c>
      <c r="D2874" s="2">
        <f t="shared" si="44"/>
        <v>0</v>
      </c>
      <c r="E2874" s="14" t="str">
        <f>IFERROR(GIZLI!G2869,"")</f>
        <v/>
      </c>
    </row>
    <row r="2875" spans="2:5" x14ac:dyDescent="0.3">
      <c r="B2875" s="2" t="str">
        <f>MID(TableQR[[#This Row],[QR CODES]],4,13)</f>
        <v/>
      </c>
      <c r="C2875" s="2" t="str">
        <f>IFERROR(VLOOKUP(TableQR[[#This Row],[BARCODES]],ILACLISTE[#All],2,0),"")</f>
        <v/>
      </c>
      <c r="D2875" s="2">
        <f t="shared" si="44"/>
        <v>0</v>
      </c>
      <c r="E2875" s="14" t="str">
        <f>IFERROR(GIZLI!G2870,"")</f>
        <v/>
      </c>
    </row>
    <row r="2876" spans="2:5" x14ac:dyDescent="0.3">
      <c r="B2876" s="2" t="str">
        <f>MID(TableQR[[#This Row],[QR CODES]],4,13)</f>
        <v/>
      </c>
      <c r="C2876" s="2" t="str">
        <f>IFERROR(VLOOKUP(TableQR[[#This Row],[BARCODES]],ILACLISTE[#All],2,0),"")</f>
        <v/>
      </c>
      <c r="D2876" s="2">
        <f t="shared" si="44"/>
        <v>0</v>
      </c>
      <c r="E2876" s="14" t="str">
        <f>IFERROR(GIZLI!G2871,"")</f>
        <v/>
      </c>
    </row>
    <row r="2877" spans="2:5" x14ac:dyDescent="0.3">
      <c r="B2877" s="2" t="str">
        <f>MID(TableQR[[#This Row],[QR CODES]],4,13)</f>
        <v/>
      </c>
      <c r="C2877" s="2" t="str">
        <f>IFERROR(VLOOKUP(TableQR[[#This Row],[BARCODES]],ILACLISTE[#All],2,0),"")</f>
        <v/>
      </c>
      <c r="D2877" s="2">
        <f t="shared" si="44"/>
        <v>0</v>
      </c>
      <c r="E2877" s="14" t="str">
        <f>IFERROR(GIZLI!G2872,"")</f>
        <v/>
      </c>
    </row>
    <row r="2878" spans="2:5" x14ac:dyDescent="0.3">
      <c r="B2878" s="2" t="str">
        <f>MID(TableQR[[#This Row],[QR CODES]],4,13)</f>
        <v/>
      </c>
      <c r="C2878" s="2" t="str">
        <f>IFERROR(VLOOKUP(TableQR[[#This Row],[BARCODES]],ILACLISTE[#All],2,0),"")</f>
        <v/>
      </c>
      <c r="D2878" s="2">
        <f t="shared" si="44"/>
        <v>0</v>
      </c>
      <c r="E2878" s="14" t="str">
        <f>IFERROR(GIZLI!G2873,"")</f>
        <v/>
      </c>
    </row>
    <row r="2879" spans="2:5" x14ac:dyDescent="0.3">
      <c r="B2879" s="2" t="str">
        <f>MID(TableQR[[#This Row],[QR CODES]],4,13)</f>
        <v/>
      </c>
      <c r="C2879" s="2" t="str">
        <f>IFERROR(VLOOKUP(TableQR[[#This Row],[BARCODES]],ILACLISTE[#All],2,0),"")</f>
        <v/>
      </c>
      <c r="D2879" s="2">
        <f t="shared" si="44"/>
        <v>0</v>
      </c>
      <c r="E2879" s="14" t="str">
        <f>IFERROR(GIZLI!G2874,"")</f>
        <v/>
      </c>
    </row>
    <row r="2880" spans="2:5" x14ac:dyDescent="0.3">
      <c r="B2880" s="2" t="str">
        <f>MID(TableQR[[#This Row],[QR CODES]],4,13)</f>
        <v/>
      </c>
      <c r="C2880" s="2" t="str">
        <f>IFERROR(VLOOKUP(TableQR[[#This Row],[BARCODES]],ILACLISTE[#All],2,0),"")</f>
        <v/>
      </c>
      <c r="D2880" s="2">
        <f t="shared" si="44"/>
        <v>0</v>
      </c>
      <c r="E2880" s="14" t="str">
        <f>IFERROR(GIZLI!G2875,"")</f>
        <v/>
      </c>
    </row>
    <row r="2881" spans="2:5" x14ac:dyDescent="0.3">
      <c r="B2881" s="2" t="str">
        <f>MID(TableQR[[#This Row],[QR CODES]],4,13)</f>
        <v/>
      </c>
      <c r="C2881" s="2" t="str">
        <f>IFERROR(VLOOKUP(TableQR[[#This Row],[BARCODES]],ILACLISTE[#All],2,0),"")</f>
        <v/>
      </c>
      <c r="D2881" s="2">
        <f t="shared" si="44"/>
        <v>0</v>
      </c>
      <c r="E2881" s="14" t="str">
        <f>IFERROR(GIZLI!G2876,"")</f>
        <v/>
      </c>
    </row>
    <row r="2882" spans="2:5" x14ac:dyDescent="0.3">
      <c r="B2882" s="2" t="str">
        <f>MID(TableQR[[#This Row],[QR CODES]],4,13)</f>
        <v/>
      </c>
      <c r="C2882" s="2" t="str">
        <f>IFERROR(VLOOKUP(TableQR[[#This Row],[BARCODES]],ILACLISTE[#All],2,0),"")</f>
        <v/>
      </c>
      <c r="D2882" s="2">
        <f t="shared" si="44"/>
        <v>0</v>
      </c>
      <c r="E2882" s="14" t="str">
        <f>IFERROR(GIZLI!G2877,"")</f>
        <v/>
      </c>
    </row>
    <row r="2883" spans="2:5" x14ac:dyDescent="0.3">
      <c r="B2883" s="2" t="str">
        <f>MID(TableQR[[#This Row],[QR CODES]],4,13)</f>
        <v/>
      </c>
      <c r="C2883" s="2" t="str">
        <f>IFERROR(VLOOKUP(TableQR[[#This Row],[BARCODES]],ILACLISTE[#All],2,0),"")</f>
        <v/>
      </c>
      <c r="D2883" s="2">
        <f t="shared" si="44"/>
        <v>0</v>
      </c>
      <c r="E2883" s="14" t="str">
        <f>IFERROR(GIZLI!G2878,"")</f>
        <v/>
      </c>
    </row>
    <row r="2884" spans="2:5" x14ac:dyDescent="0.3">
      <c r="B2884" s="2" t="str">
        <f>MID(TableQR[[#This Row],[QR CODES]],4,13)</f>
        <v/>
      </c>
      <c r="C2884" s="2" t="str">
        <f>IFERROR(VLOOKUP(TableQR[[#This Row],[BARCODES]],ILACLISTE[#All],2,0),"")</f>
        <v/>
      </c>
      <c r="D2884" s="2">
        <f t="shared" si="44"/>
        <v>0</v>
      </c>
      <c r="E2884" s="14" t="str">
        <f>IFERROR(GIZLI!G2879,"")</f>
        <v/>
      </c>
    </row>
    <row r="2885" spans="2:5" x14ac:dyDescent="0.3">
      <c r="B2885" s="2" t="str">
        <f>MID(TableQR[[#This Row],[QR CODES]],4,13)</f>
        <v/>
      </c>
      <c r="C2885" s="2" t="str">
        <f>IFERROR(VLOOKUP(TableQR[[#This Row],[BARCODES]],ILACLISTE[#All],2,0),"")</f>
        <v/>
      </c>
      <c r="D2885" s="2">
        <f t="shared" si="44"/>
        <v>0</v>
      </c>
      <c r="E2885" s="14" t="str">
        <f>IFERROR(GIZLI!G2880,"")</f>
        <v/>
      </c>
    </row>
    <row r="2886" spans="2:5" x14ac:dyDescent="0.3">
      <c r="B2886" s="2" t="str">
        <f>MID(TableQR[[#This Row],[QR CODES]],4,13)</f>
        <v/>
      </c>
      <c r="C2886" s="2" t="str">
        <f>IFERROR(VLOOKUP(TableQR[[#This Row],[BARCODES]],ILACLISTE[#All],2,0),"")</f>
        <v/>
      </c>
      <c r="D2886" s="2">
        <f t="shared" si="44"/>
        <v>0</v>
      </c>
      <c r="E2886" s="14" t="str">
        <f>IFERROR(GIZLI!G2881,"")</f>
        <v/>
      </c>
    </row>
    <row r="2887" spans="2:5" x14ac:dyDescent="0.3">
      <c r="B2887" s="2" t="str">
        <f>MID(TableQR[[#This Row],[QR CODES]],4,13)</f>
        <v/>
      </c>
      <c r="C2887" s="2" t="str">
        <f>IFERROR(VLOOKUP(TableQR[[#This Row],[BARCODES]],ILACLISTE[#All],2,0),"")</f>
        <v/>
      </c>
      <c r="D2887" s="2">
        <f t="shared" si="44"/>
        <v>0</v>
      </c>
      <c r="E2887" s="14" t="str">
        <f>IFERROR(GIZLI!G2882,"")</f>
        <v/>
      </c>
    </row>
    <row r="2888" spans="2:5" x14ac:dyDescent="0.3">
      <c r="B2888" s="2" t="str">
        <f>MID(TableQR[[#This Row],[QR CODES]],4,13)</f>
        <v/>
      </c>
      <c r="C2888" s="2" t="str">
        <f>IFERROR(VLOOKUP(TableQR[[#This Row],[BARCODES]],ILACLISTE[#All],2,0),"")</f>
        <v/>
      </c>
      <c r="D2888" s="2">
        <f t="shared" ref="D2888:D2951" si="45">COUNTIF(B2888:B6881,IF(B2888="",66666,B2888))</f>
        <v>0</v>
      </c>
      <c r="E2888" s="14" t="str">
        <f>IFERROR(GIZLI!G2883,"")</f>
        <v/>
      </c>
    </row>
    <row r="2889" spans="2:5" x14ac:dyDescent="0.3">
      <c r="B2889" s="2" t="str">
        <f>MID(TableQR[[#This Row],[QR CODES]],4,13)</f>
        <v/>
      </c>
      <c r="C2889" s="2" t="str">
        <f>IFERROR(VLOOKUP(TableQR[[#This Row],[BARCODES]],ILACLISTE[#All],2,0),"")</f>
        <v/>
      </c>
      <c r="D2889" s="2">
        <f t="shared" si="45"/>
        <v>0</v>
      </c>
      <c r="E2889" s="14" t="str">
        <f>IFERROR(GIZLI!G2884,"")</f>
        <v/>
      </c>
    </row>
    <row r="2890" spans="2:5" x14ac:dyDescent="0.3">
      <c r="B2890" s="2" t="str">
        <f>MID(TableQR[[#This Row],[QR CODES]],4,13)</f>
        <v/>
      </c>
      <c r="C2890" s="2" t="str">
        <f>IFERROR(VLOOKUP(TableQR[[#This Row],[BARCODES]],ILACLISTE[#All],2,0),"")</f>
        <v/>
      </c>
      <c r="D2890" s="2">
        <f t="shared" si="45"/>
        <v>0</v>
      </c>
      <c r="E2890" s="14" t="str">
        <f>IFERROR(GIZLI!G2885,"")</f>
        <v/>
      </c>
    </row>
    <row r="2891" spans="2:5" x14ac:dyDescent="0.3">
      <c r="B2891" s="2" t="str">
        <f>MID(TableQR[[#This Row],[QR CODES]],4,13)</f>
        <v/>
      </c>
      <c r="C2891" s="2" t="str">
        <f>IFERROR(VLOOKUP(TableQR[[#This Row],[BARCODES]],ILACLISTE[#All],2,0),"")</f>
        <v/>
      </c>
      <c r="D2891" s="2">
        <f t="shared" si="45"/>
        <v>0</v>
      </c>
      <c r="E2891" s="14" t="str">
        <f>IFERROR(GIZLI!G2886,"")</f>
        <v/>
      </c>
    </row>
    <row r="2892" spans="2:5" x14ac:dyDescent="0.3">
      <c r="B2892" s="2" t="str">
        <f>MID(TableQR[[#This Row],[QR CODES]],4,13)</f>
        <v/>
      </c>
      <c r="C2892" s="2" t="str">
        <f>IFERROR(VLOOKUP(TableQR[[#This Row],[BARCODES]],ILACLISTE[#All],2,0),"")</f>
        <v/>
      </c>
      <c r="D2892" s="2">
        <f t="shared" si="45"/>
        <v>0</v>
      </c>
      <c r="E2892" s="14" t="str">
        <f>IFERROR(GIZLI!G2887,"")</f>
        <v/>
      </c>
    </row>
    <row r="2893" spans="2:5" x14ac:dyDescent="0.3">
      <c r="B2893" s="2" t="str">
        <f>MID(TableQR[[#This Row],[QR CODES]],4,13)</f>
        <v/>
      </c>
      <c r="C2893" s="2" t="str">
        <f>IFERROR(VLOOKUP(TableQR[[#This Row],[BARCODES]],ILACLISTE[#All],2,0),"")</f>
        <v/>
      </c>
      <c r="D2893" s="2">
        <f t="shared" si="45"/>
        <v>0</v>
      </c>
      <c r="E2893" s="14" t="str">
        <f>IFERROR(GIZLI!G2888,"")</f>
        <v/>
      </c>
    </row>
    <row r="2894" spans="2:5" x14ac:dyDescent="0.3">
      <c r="B2894" s="2" t="str">
        <f>MID(TableQR[[#This Row],[QR CODES]],4,13)</f>
        <v/>
      </c>
      <c r="C2894" s="2" t="str">
        <f>IFERROR(VLOOKUP(TableQR[[#This Row],[BARCODES]],ILACLISTE[#All],2,0),"")</f>
        <v/>
      </c>
      <c r="D2894" s="2">
        <f t="shared" si="45"/>
        <v>0</v>
      </c>
      <c r="E2894" s="14" t="str">
        <f>IFERROR(GIZLI!G2889,"")</f>
        <v/>
      </c>
    </row>
    <row r="2895" spans="2:5" x14ac:dyDescent="0.3">
      <c r="B2895" s="2" t="str">
        <f>MID(TableQR[[#This Row],[QR CODES]],4,13)</f>
        <v/>
      </c>
      <c r="C2895" s="2" t="str">
        <f>IFERROR(VLOOKUP(TableQR[[#This Row],[BARCODES]],ILACLISTE[#All],2,0),"")</f>
        <v/>
      </c>
      <c r="D2895" s="2">
        <f t="shared" si="45"/>
        <v>0</v>
      </c>
      <c r="E2895" s="14" t="str">
        <f>IFERROR(GIZLI!G2890,"")</f>
        <v/>
      </c>
    </row>
    <row r="2896" spans="2:5" x14ac:dyDescent="0.3">
      <c r="B2896" s="2" t="str">
        <f>MID(TableQR[[#This Row],[QR CODES]],4,13)</f>
        <v/>
      </c>
      <c r="C2896" s="2" t="str">
        <f>IFERROR(VLOOKUP(TableQR[[#This Row],[BARCODES]],ILACLISTE[#All],2,0),"")</f>
        <v/>
      </c>
      <c r="D2896" s="2">
        <f t="shared" si="45"/>
        <v>0</v>
      </c>
      <c r="E2896" s="14" t="str">
        <f>IFERROR(GIZLI!G2891,"")</f>
        <v/>
      </c>
    </row>
    <row r="2897" spans="2:5" x14ac:dyDescent="0.3">
      <c r="B2897" s="2" t="str">
        <f>MID(TableQR[[#This Row],[QR CODES]],4,13)</f>
        <v/>
      </c>
      <c r="C2897" s="2" t="str">
        <f>IFERROR(VLOOKUP(TableQR[[#This Row],[BARCODES]],ILACLISTE[#All],2,0),"")</f>
        <v/>
      </c>
      <c r="D2897" s="2">
        <f t="shared" si="45"/>
        <v>0</v>
      </c>
      <c r="E2897" s="14" t="str">
        <f>IFERROR(GIZLI!G2892,"")</f>
        <v/>
      </c>
    </row>
    <row r="2898" spans="2:5" x14ac:dyDescent="0.3">
      <c r="B2898" s="2" t="str">
        <f>MID(TableQR[[#This Row],[QR CODES]],4,13)</f>
        <v/>
      </c>
      <c r="C2898" s="2" t="str">
        <f>IFERROR(VLOOKUP(TableQR[[#This Row],[BARCODES]],ILACLISTE[#All],2,0),"")</f>
        <v/>
      </c>
      <c r="D2898" s="2">
        <f t="shared" si="45"/>
        <v>0</v>
      </c>
      <c r="E2898" s="14" t="str">
        <f>IFERROR(GIZLI!G2893,"")</f>
        <v/>
      </c>
    </row>
    <row r="2899" spans="2:5" x14ac:dyDescent="0.3">
      <c r="B2899" s="2" t="str">
        <f>MID(TableQR[[#This Row],[QR CODES]],4,13)</f>
        <v/>
      </c>
      <c r="C2899" s="2" t="str">
        <f>IFERROR(VLOOKUP(TableQR[[#This Row],[BARCODES]],ILACLISTE[#All],2,0),"")</f>
        <v/>
      </c>
      <c r="D2899" s="2">
        <f t="shared" si="45"/>
        <v>0</v>
      </c>
      <c r="E2899" s="14" t="str">
        <f>IFERROR(GIZLI!G2894,"")</f>
        <v/>
      </c>
    </row>
    <row r="2900" spans="2:5" x14ac:dyDescent="0.3">
      <c r="B2900" s="2" t="str">
        <f>MID(TableQR[[#This Row],[QR CODES]],4,13)</f>
        <v/>
      </c>
      <c r="C2900" s="2" t="str">
        <f>IFERROR(VLOOKUP(TableQR[[#This Row],[BARCODES]],ILACLISTE[#All],2,0),"")</f>
        <v/>
      </c>
      <c r="D2900" s="2">
        <f t="shared" si="45"/>
        <v>0</v>
      </c>
      <c r="E2900" s="14" t="str">
        <f>IFERROR(GIZLI!G2895,"")</f>
        <v/>
      </c>
    </row>
    <row r="2901" spans="2:5" x14ac:dyDescent="0.3">
      <c r="B2901" s="2" t="str">
        <f>MID(TableQR[[#This Row],[QR CODES]],4,13)</f>
        <v/>
      </c>
      <c r="C2901" s="2" t="str">
        <f>IFERROR(VLOOKUP(TableQR[[#This Row],[BARCODES]],ILACLISTE[#All],2,0),"")</f>
        <v/>
      </c>
      <c r="D2901" s="2">
        <f t="shared" si="45"/>
        <v>0</v>
      </c>
      <c r="E2901" s="14" t="str">
        <f>IFERROR(GIZLI!G2896,"")</f>
        <v/>
      </c>
    </row>
    <row r="2902" spans="2:5" x14ac:dyDescent="0.3">
      <c r="B2902" s="2" t="str">
        <f>MID(TableQR[[#This Row],[QR CODES]],4,13)</f>
        <v/>
      </c>
      <c r="C2902" s="2" t="str">
        <f>IFERROR(VLOOKUP(TableQR[[#This Row],[BARCODES]],ILACLISTE[#All],2,0),"")</f>
        <v/>
      </c>
      <c r="D2902" s="2">
        <f t="shared" si="45"/>
        <v>0</v>
      </c>
      <c r="E2902" s="14" t="str">
        <f>IFERROR(GIZLI!G2897,"")</f>
        <v/>
      </c>
    </row>
    <row r="2903" spans="2:5" x14ac:dyDescent="0.3">
      <c r="B2903" s="2" t="str">
        <f>MID(TableQR[[#This Row],[QR CODES]],4,13)</f>
        <v/>
      </c>
      <c r="C2903" s="2" t="str">
        <f>IFERROR(VLOOKUP(TableQR[[#This Row],[BARCODES]],ILACLISTE[#All],2,0),"")</f>
        <v/>
      </c>
      <c r="D2903" s="2">
        <f t="shared" si="45"/>
        <v>0</v>
      </c>
      <c r="E2903" s="14" t="str">
        <f>IFERROR(GIZLI!G2898,"")</f>
        <v/>
      </c>
    </row>
    <row r="2904" spans="2:5" x14ac:dyDescent="0.3">
      <c r="B2904" s="2" t="str">
        <f>MID(TableQR[[#This Row],[QR CODES]],4,13)</f>
        <v/>
      </c>
      <c r="C2904" s="2" t="str">
        <f>IFERROR(VLOOKUP(TableQR[[#This Row],[BARCODES]],ILACLISTE[#All],2,0),"")</f>
        <v/>
      </c>
      <c r="D2904" s="2">
        <f t="shared" si="45"/>
        <v>0</v>
      </c>
      <c r="E2904" s="14" t="str">
        <f>IFERROR(GIZLI!G2899,"")</f>
        <v/>
      </c>
    </row>
    <row r="2905" spans="2:5" x14ac:dyDescent="0.3">
      <c r="B2905" s="2" t="str">
        <f>MID(TableQR[[#This Row],[QR CODES]],4,13)</f>
        <v/>
      </c>
      <c r="C2905" s="2" t="str">
        <f>IFERROR(VLOOKUP(TableQR[[#This Row],[BARCODES]],ILACLISTE[#All],2,0),"")</f>
        <v/>
      </c>
      <c r="D2905" s="2">
        <f t="shared" si="45"/>
        <v>0</v>
      </c>
      <c r="E2905" s="14" t="str">
        <f>IFERROR(GIZLI!G2900,"")</f>
        <v/>
      </c>
    </row>
    <row r="2906" spans="2:5" x14ac:dyDescent="0.3">
      <c r="B2906" s="2" t="str">
        <f>MID(TableQR[[#This Row],[QR CODES]],4,13)</f>
        <v/>
      </c>
      <c r="C2906" s="2" t="str">
        <f>IFERROR(VLOOKUP(TableQR[[#This Row],[BARCODES]],ILACLISTE[#All],2,0),"")</f>
        <v/>
      </c>
      <c r="D2906" s="2">
        <f t="shared" si="45"/>
        <v>0</v>
      </c>
      <c r="E2906" s="14" t="str">
        <f>IFERROR(GIZLI!G2901,"")</f>
        <v/>
      </c>
    </row>
    <row r="2907" spans="2:5" x14ac:dyDescent="0.3">
      <c r="B2907" s="2" t="str">
        <f>MID(TableQR[[#This Row],[QR CODES]],4,13)</f>
        <v/>
      </c>
      <c r="C2907" s="2" t="str">
        <f>IFERROR(VLOOKUP(TableQR[[#This Row],[BARCODES]],ILACLISTE[#All],2,0),"")</f>
        <v/>
      </c>
      <c r="D2907" s="2">
        <f t="shared" si="45"/>
        <v>0</v>
      </c>
      <c r="E2907" s="14" t="str">
        <f>IFERROR(GIZLI!G2902,"")</f>
        <v/>
      </c>
    </row>
    <row r="2908" spans="2:5" x14ac:dyDescent="0.3">
      <c r="B2908" s="2" t="str">
        <f>MID(TableQR[[#This Row],[QR CODES]],4,13)</f>
        <v/>
      </c>
      <c r="C2908" s="2" t="str">
        <f>IFERROR(VLOOKUP(TableQR[[#This Row],[BARCODES]],ILACLISTE[#All],2,0),"")</f>
        <v/>
      </c>
      <c r="D2908" s="2">
        <f t="shared" si="45"/>
        <v>0</v>
      </c>
      <c r="E2908" s="14" t="str">
        <f>IFERROR(GIZLI!G2903,"")</f>
        <v/>
      </c>
    </row>
    <row r="2909" spans="2:5" x14ac:dyDescent="0.3">
      <c r="B2909" s="2" t="str">
        <f>MID(TableQR[[#This Row],[QR CODES]],4,13)</f>
        <v/>
      </c>
      <c r="C2909" s="2" t="str">
        <f>IFERROR(VLOOKUP(TableQR[[#This Row],[BARCODES]],ILACLISTE[#All],2,0),"")</f>
        <v/>
      </c>
      <c r="D2909" s="2">
        <f t="shared" si="45"/>
        <v>0</v>
      </c>
      <c r="E2909" s="14" t="str">
        <f>IFERROR(GIZLI!G2904,"")</f>
        <v/>
      </c>
    </row>
    <row r="2910" spans="2:5" x14ac:dyDescent="0.3">
      <c r="B2910" s="2" t="str">
        <f>MID(TableQR[[#This Row],[QR CODES]],4,13)</f>
        <v/>
      </c>
      <c r="C2910" s="2" t="str">
        <f>IFERROR(VLOOKUP(TableQR[[#This Row],[BARCODES]],ILACLISTE[#All],2,0),"")</f>
        <v/>
      </c>
      <c r="D2910" s="2">
        <f t="shared" si="45"/>
        <v>0</v>
      </c>
      <c r="E2910" s="14" t="str">
        <f>IFERROR(GIZLI!G2905,"")</f>
        <v/>
      </c>
    </row>
    <row r="2911" spans="2:5" x14ac:dyDescent="0.3">
      <c r="B2911" s="2" t="str">
        <f>MID(TableQR[[#This Row],[QR CODES]],4,13)</f>
        <v/>
      </c>
      <c r="C2911" s="2" t="str">
        <f>IFERROR(VLOOKUP(TableQR[[#This Row],[BARCODES]],ILACLISTE[#All],2,0),"")</f>
        <v/>
      </c>
      <c r="D2911" s="2">
        <f t="shared" si="45"/>
        <v>0</v>
      </c>
      <c r="E2911" s="14" t="str">
        <f>IFERROR(GIZLI!G2906,"")</f>
        <v/>
      </c>
    </row>
    <row r="2912" spans="2:5" x14ac:dyDescent="0.3">
      <c r="B2912" s="2" t="str">
        <f>MID(TableQR[[#This Row],[QR CODES]],4,13)</f>
        <v/>
      </c>
      <c r="C2912" s="2" t="str">
        <f>IFERROR(VLOOKUP(TableQR[[#This Row],[BARCODES]],ILACLISTE[#All],2,0),"")</f>
        <v/>
      </c>
      <c r="D2912" s="2">
        <f t="shared" si="45"/>
        <v>0</v>
      </c>
      <c r="E2912" s="14" t="str">
        <f>IFERROR(GIZLI!G2907,"")</f>
        <v/>
      </c>
    </row>
    <row r="2913" spans="2:5" x14ac:dyDescent="0.3">
      <c r="B2913" s="2" t="str">
        <f>MID(TableQR[[#This Row],[QR CODES]],4,13)</f>
        <v/>
      </c>
      <c r="C2913" s="2" t="str">
        <f>IFERROR(VLOOKUP(TableQR[[#This Row],[BARCODES]],ILACLISTE[#All],2,0),"")</f>
        <v/>
      </c>
      <c r="D2913" s="2">
        <f t="shared" si="45"/>
        <v>0</v>
      </c>
      <c r="E2913" s="14" t="str">
        <f>IFERROR(GIZLI!G2908,"")</f>
        <v/>
      </c>
    </row>
    <row r="2914" spans="2:5" x14ac:dyDescent="0.3">
      <c r="B2914" s="2" t="str">
        <f>MID(TableQR[[#This Row],[QR CODES]],4,13)</f>
        <v/>
      </c>
      <c r="C2914" s="2" t="str">
        <f>IFERROR(VLOOKUP(TableQR[[#This Row],[BARCODES]],ILACLISTE[#All],2,0),"")</f>
        <v/>
      </c>
      <c r="D2914" s="2">
        <f t="shared" si="45"/>
        <v>0</v>
      </c>
      <c r="E2914" s="14" t="str">
        <f>IFERROR(GIZLI!G2909,"")</f>
        <v/>
      </c>
    </row>
    <row r="2915" spans="2:5" x14ac:dyDescent="0.3">
      <c r="B2915" s="2" t="str">
        <f>MID(TableQR[[#This Row],[QR CODES]],4,13)</f>
        <v/>
      </c>
      <c r="C2915" s="2" t="str">
        <f>IFERROR(VLOOKUP(TableQR[[#This Row],[BARCODES]],ILACLISTE[#All],2,0),"")</f>
        <v/>
      </c>
      <c r="D2915" s="2">
        <f t="shared" si="45"/>
        <v>0</v>
      </c>
      <c r="E2915" s="14" t="str">
        <f>IFERROR(GIZLI!G2910,"")</f>
        <v/>
      </c>
    </row>
    <row r="2916" spans="2:5" x14ac:dyDescent="0.3">
      <c r="B2916" s="2" t="str">
        <f>MID(TableQR[[#This Row],[QR CODES]],4,13)</f>
        <v/>
      </c>
      <c r="C2916" s="2" t="str">
        <f>IFERROR(VLOOKUP(TableQR[[#This Row],[BARCODES]],ILACLISTE[#All],2,0),"")</f>
        <v/>
      </c>
      <c r="D2916" s="2">
        <f t="shared" si="45"/>
        <v>0</v>
      </c>
      <c r="E2916" s="14" t="str">
        <f>IFERROR(GIZLI!G2911,"")</f>
        <v/>
      </c>
    </row>
    <row r="2917" spans="2:5" x14ac:dyDescent="0.3">
      <c r="B2917" s="2" t="str">
        <f>MID(TableQR[[#This Row],[QR CODES]],4,13)</f>
        <v/>
      </c>
      <c r="C2917" s="2" t="str">
        <f>IFERROR(VLOOKUP(TableQR[[#This Row],[BARCODES]],ILACLISTE[#All],2,0),"")</f>
        <v/>
      </c>
      <c r="D2917" s="2">
        <f t="shared" si="45"/>
        <v>0</v>
      </c>
      <c r="E2917" s="14" t="str">
        <f>IFERROR(GIZLI!G2912,"")</f>
        <v/>
      </c>
    </row>
    <row r="2918" spans="2:5" x14ac:dyDescent="0.3">
      <c r="B2918" s="2" t="str">
        <f>MID(TableQR[[#This Row],[QR CODES]],4,13)</f>
        <v/>
      </c>
      <c r="C2918" s="2" t="str">
        <f>IFERROR(VLOOKUP(TableQR[[#This Row],[BARCODES]],ILACLISTE[#All],2,0),"")</f>
        <v/>
      </c>
      <c r="D2918" s="2">
        <f t="shared" si="45"/>
        <v>0</v>
      </c>
      <c r="E2918" s="14" t="str">
        <f>IFERROR(GIZLI!G2913,"")</f>
        <v/>
      </c>
    </row>
    <row r="2919" spans="2:5" x14ac:dyDescent="0.3">
      <c r="B2919" s="2" t="str">
        <f>MID(TableQR[[#This Row],[QR CODES]],4,13)</f>
        <v/>
      </c>
      <c r="C2919" s="2" t="str">
        <f>IFERROR(VLOOKUP(TableQR[[#This Row],[BARCODES]],ILACLISTE[#All],2,0),"")</f>
        <v/>
      </c>
      <c r="D2919" s="2">
        <f t="shared" si="45"/>
        <v>0</v>
      </c>
      <c r="E2919" s="14" t="str">
        <f>IFERROR(GIZLI!G2914,"")</f>
        <v/>
      </c>
    </row>
    <row r="2920" spans="2:5" x14ac:dyDescent="0.3">
      <c r="B2920" s="2" t="str">
        <f>MID(TableQR[[#This Row],[QR CODES]],4,13)</f>
        <v/>
      </c>
      <c r="C2920" s="2" t="str">
        <f>IFERROR(VLOOKUP(TableQR[[#This Row],[BARCODES]],ILACLISTE[#All],2,0),"")</f>
        <v/>
      </c>
      <c r="D2920" s="2">
        <f t="shared" si="45"/>
        <v>0</v>
      </c>
      <c r="E2920" s="14" t="str">
        <f>IFERROR(GIZLI!G2915,"")</f>
        <v/>
      </c>
    </row>
    <row r="2921" spans="2:5" x14ac:dyDescent="0.3">
      <c r="B2921" s="2" t="str">
        <f>MID(TableQR[[#This Row],[QR CODES]],4,13)</f>
        <v/>
      </c>
      <c r="C2921" s="2" t="str">
        <f>IFERROR(VLOOKUP(TableQR[[#This Row],[BARCODES]],ILACLISTE[#All],2,0),"")</f>
        <v/>
      </c>
      <c r="D2921" s="2">
        <f t="shared" si="45"/>
        <v>0</v>
      </c>
      <c r="E2921" s="14" t="str">
        <f>IFERROR(GIZLI!G2916,"")</f>
        <v/>
      </c>
    </row>
    <row r="2922" spans="2:5" x14ac:dyDescent="0.3">
      <c r="B2922" s="2" t="str">
        <f>MID(TableQR[[#This Row],[QR CODES]],4,13)</f>
        <v/>
      </c>
      <c r="C2922" s="2" t="str">
        <f>IFERROR(VLOOKUP(TableQR[[#This Row],[BARCODES]],ILACLISTE[#All],2,0),"")</f>
        <v/>
      </c>
      <c r="D2922" s="2">
        <f t="shared" si="45"/>
        <v>0</v>
      </c>
      <c r="E2922" s="14" t="str">
        <f>IFERROR(GIZLI!G2917,"")</f>
        <v/>
      </c>
    </row>
    <row r="2923" spans="2:5" x14ac:dyDescent="0.3">
      <c r="B2923" s="2" t="str">
        <f>MID(TableQR[[#This Row],[QR CODES]],4,13)</f>
        <v/>
      </c>
      <c r="C2923" s="2" t="str">
        <f>IFERROR(VLOOKUP(TableQR[[#This Row],[BARCODES]],ILACLISTE[#All],2,0),"")</f>
        <v/>
      </c>
      <c r="D2923" s="2">
        <f t="shared" si="45"/>
        <v>0</v>
      </c>
      <c r="E2923" s="14" t="str">
        <f>IFERROR(GIZLI!G2918,"")</f>
        <v/>
      </c>
    </row>
    <row r="2924" spans="2:5" x14ac:dyDescent="0.3">
      <c r="B2924" s="2" t="str">
        <f>MID(TableQR[[#This Row],[QR CODES]],4,13)</f>
        <v/>
      </c>
      <c r="C2924" s="2" t="str">
        <f>IFERROR(VLOOKUP(TableQR[[#This Row],[BARCODES]],ILACLISTE[#All],2,0),"")</f>
        <v/>
      </c>
      <c r="D2924" s="2">
        <f t="shared" si="45"/>
        <v>0</v>
      </c>
      <c r="E2924" s="14" t="str">
        <f>IFERROR(GIZLI!G2919,"")</f>
        <v/>
      </c>
    </row>
    <row r="2925" spans="2:5" x14ac:dyDescent="0.3">
      <c r="B2925" s="2" t="str">
        <f>MID(TableQR[[#This Row],[QR CODES]],4,13)</f>
        <v/>
      </c>
      <c r="C2925" s="2" t="str">
        <f>IFERROR(VLOOKUP(TableQR[[#This Row],[BARCODES]],ILACLISTE[#All],2,0),"")</f>
        <v/>
      </c>
      <c r="D2925" s="2">
        <f t="shared" si="45"/>
        <v>0</v>
      </c>
      <c r="E2925" s="14" t="str">
        <f>IFERROR(GIZLI!G2920,"")</f>
        <v/>
      </c>
    </row>
    <row r="2926" spans="2:5" x14ac:dyDescent="0.3">
      <c r="B2926" s="2" t="str">
        <f>MID(TableQR[[#This Row],[QR CODES]],4,13)</f>
        <v/>
      </c>
      <c r="C2926" s="2" t="str">
        <f>IFERROR(VLOOKUP(TableQR[[#This Row],[BARCODES]],ILACLISTE[#All],2,0),"")</f>
        <v/>
      </c>
      <c r="D2926" s="2">
        <f t="shared" si="45"/>
        <v>0</v>
      </c>
      <c r="E2926" s="14" t="str">
        <f>IFERROR(GIZLI!G2921,"")</f>
        <v/>
      </c>
    </row>
    <row r="2927" spans="2:5" x14ac:dyDescent="0.3">
      <c r="B2927" s="2" t="str">
        <f>MID(TableQR[[#This Row],[QR CODES]],4,13)</f>
        <v/>
      </c>
      <c r="C2927" s="2" t="str">
        <f>IFERROR(VLOOKUP(TableQR[[#This Row],[BARCODES]],ILACLISTE[#All],2,0),"")</f>
        <v/>
      </c>
      <c r="D2927" s="2">
        <f t="shared" si="45"/>
        <v>0</v>
      </c>
      <c r="E2927" s="14" t="str">
        <f>IFERROR(GIZLI!G2922,"")</f>
        <v/>
      </c>
    </row>
    <row r="2928" spans="2:5" x14ac:dyDescent="0.3">
      <c r="B2928" s="2" t="str">
        <f>MID(TableQR[[#This Row],[QR CODES]],4,13)</f>
        <v/>
      </c>
      <c r="C2928" s="2" t="str">
        <f>IFERROR(VLOOKUP(TableQR[[#This Row],[BARCODES]],ILACLISTE[#All],2,0),"")</f>
        <v/>
      </c>
      <c r="D2928" s="2">
        <f t="shared" si="45"/>
        <v>0</v>
      </c>
      <c r="E2928" s="14" t="str">
        <f>IFERROR(GIZLI!G2923,"")</f>
        <v/>
      </c>
    </row>
    <row r="2929" spans="2:5" x14ac:dyDescent="0.3">
      <c r="B2929" s="2" t="str">
        <f>MID(TableQR[[#This Row],[QR CODES]],4,13)</f>
        <v/>
      </c>
      <c r="C2929" s="2" t="str">
        <f>IFERROR(VLOOKUP(TableQR[[#This Row],[BARCODES]],ILACLISTE[#All],2,0),"")</f>
        <v/>
      </c>
      <c r="D2929" s="2">
        <f t="shared" si="45"/>
        <v>0</v>
      </c>
      <c r="E2929" s="14" t="str">
        <f>IFERROR(GIZLI!G2924,"")</f>
        <v/>
      </c>
    </row>
    <row r="2930" spans="2:5" x14ac:dyDescent="0.3">
      <c r="B2930" s="2" t="str">
        <f>MID(TableQR[[#This Row],[QR CODES]],4,13)</f>
        <v/>
      </c>
      <c r="C2930" s="2" t="str">
        <f>IFERROR(VLOOKUP(TableQR[[#This Row],[BARCODES]],ILACLISTE[#All],2,0),"")</f>
        <v/>
      </c>
      <c r="D2930" s="2">
        <f t="shared" si="45"/>
        <v>0</v>
      </c>
      <c r="E2930" s="14" t="str">
        <f>IFERROR(GIZLI!G2925,"")</f>
        <v/>
      </c>
    </row>
    <row r="2931" spans="2:5" x14ac:dyDescent="0.3">
      <c r="B2931" s="2" t="str">
        <f>MID(TableQR[[#This Row],[QR CODES]],4,13)</f>
        <v/>
      </c>
      <c r="C2931" s="2" t="str">
        <f>IFERROR(VLOOKUP(TableQR[[#This Row],[BARCODES]],ILACLISTE[#All],2,0),"")</f>
        <v/>
      </c>
      <c r="D2931" s="2">
        <f t="shared" si="45"/>
        <v>0</v>
      </c>
      <c r="E2931" s="14" t="str">
        <f>IFERROR(GIZLI!G2926,"")</f>
        <v/>
      </c>
    </row>
    <row r="2932" spans="2:5" x14ac:dyDescent="0.3">
      <c r="B2932" s="2" t="str">
        <f>MID(TableQR[[#This Row],[QR CODES]],4,13)</f>
        <v/>
      </c>
      <c r="C2932" s="2" t="str">
        <f>IFERROR(VLOOKUP(TableQR[[#This Row],[BARCODES]],ILACLISTE[#All],2,0),"")</f>
        <v/>
      </c>
      <c r="D2932" s="2">
        <f t="shared" si="45"/>
        <v>0</v>
      </c>
      <c r="E2932" s="14" t="str">
        <f>IFERROR(GIZLI!G2927,"")</f>
        <v/>
      </c>
    </row>
    <row r="2933" spans="2:5" x14ac:dyDescent="0.3">
      <c r="B2933" s="2" t="str">
        <f>MID(TableQR[[#This Row],[QR CODES]],4,13)</f>
        <v/>
      </c>
      <c r="C2933" s="2" t="str">
        <f>IFERROR(VLOOKUP(TableQR[[#This Row],[BARCODES]],ILACLISTE[#All],2,0),"")</f>
        <v/>
      </c>
      <c r="D2933" s="2">
        <f t="shared" si="45"/>
        <v>0</v>
      </c>
      <c r="E2933" s="14" t="str">
        <f>IFERROR(GIZLI!G2928,"")</f>
        <v/>
      </c>
    </row>
    <row r="2934" spans="2:5" x14ac:dyDescent="0.3">
      <c r="B2934" s="2" t="str">
        <f>MID(TableQR[[#This Row],[QR CODES]],4,13)</f>
        <v/>
      </c>
      <c r="C2934" s="2" t="str">
        <f>IFERROR(VLOOKUP(TableQR[[#This Row],[BARCODES]],ILACLISTE[#All],2,0),"")</f>
        <v/>
      </c>
      <c r="D2934" s="2">
        <f t="shared" si="45"/>
        <v>0</v>
      </c>
      <c r="E2934" s="14" t="str">
        <f>IFERROR(GIZLI!G2929,"")</f>
        <v/>
      </c>
    </row>
    <row r="2935" spans="2:5" x14ac:dyDescent="0.3">
      <c r="B2935" s="2" t="str">
        <f>MID(TableQR[[#This Row],[QR CODES]],4,13)</f>
        <v/>
      </c>
      <c r="C2935" s="2" t="str">
        <f>IFERROR(VLOOKUP(TableQR[[#This Row],[BARCODES]],ILACLISTE[#All],2,0),"")</f>
        <v/>
      </c>
      <c r="D2935" s="2">
        <f t="shared" si="45"/>
        <v>0</v>
      </c>
      <c r="E2935" s="14" t="str">
        <f>IFERROR(GIZLI!G2930,"")</f>
        <v/>
      </c>
    </row>
    <row r="2936" spans="2:5" x14ac:dyDescent="0.3">
      <c r="B2936" s="2" t="str">
        <f>MID(TableQR[[#This Row],[QR CODES]],4,13)</f>
        <v/>
      </c>
      <c r="C2936" s="2" t="str">
        <f>IFERROR(VLOOKUP(TableQR[[#This Row],[BARCODES]],ILACLISTE[#All],2,0),"")</f>
        <v/>
      </c>
      <c r="D2936" s="2">
        <f t="shared" si="45"/>
        <v>0</v>
      </c>
      <c r="E2936" s="14" t="str">
        <f>IFERROR(GIZLI!G2931,"")</f>
        <v/>
      </c>
    </row>
    <row r="2937" spans="2:5" x14ac:dyDescent="0.3">
      <c r="B2937" s="2" t="str">
        <f>MID(TableQR[[#This Row],[QR CODES]],4,13)</f>
        <v/>
      </c>
      <c r="C2937" s="2" t="str">
        <f>IFERROR(VLOOKUP(TableQR[[#This Row],[BARCODES]],ILACLISTE[#All],2,0),"")</f>
        <v/>
      </c>
      <c r="D2937" s="2">
        <f t="shared" si="45"/>
        <v>0</v>
      </c>
      <c r="E2937" s="14" t="str">
        <f>IFERROR(GIZLI!G2932,"")</f>
        <v/>
      </c>
    </row>
    <row r="2938" spans="2:5" x14ac:dyDescent="0.3">
      <c r="B2938" s="2" t="str">
        <f>MID(TableQR[[#This Row],[QR CODES]],4,13)</f>
        <v/>
      </c>
      <c r="C2938" s="2" t="str">
        <f>IFERROR(VLOOKUP(TableQR[[#This Row],[BARCODES]],ILACLISTE[#All],2,0),"")</f>
        <v/>
      </c>
      <c r="D2938" s="2">
        <f t="shared" si="45"/>
        <v>0</v>
      </c>
      <c r="E2938" s="14" t="str">
        <f>IFERROR(GIZLI!G2933,"")</f>
        <v/>
      </c>
    </row>
    <row r="2939" spans="2:5" x14ac:dyDescent="0.3">
      <c r="B2939" s="2" t="str">
        <f>MID(TableQR[[#This Row],[QR CODES]],4,13)</f>
        <v/>
      </c>
      <c r="C2939" s="2" t="str">
        <f>IFERROR(VLOOKUP(TableQR[[#This Row],[BARCODES]],ILACLISTE[#All],2,0),"")</f>
        <v/>
      </c>
      <c r="D2939" s="2">
        <f t="shared" si="45"/>
        <v>0</v>
      </c>
      <c r="E2939" s="14" t="str">
        <f>IFERROR(GIZLI!G2934,"")</f>
        <v/>
      </c>
    </row>
    <row r="2940" spans="2:5" x14ac:dyDescent="0.3">
      <c r="B2940" s="2" t="str">
        <f>MID(TableQR[[#This Row],[QR CODES]],4,13)</f>
        <v/>
      </c>
      <c r="C2940" s="2" t="str">
        <f>IFERROR(VLOOKUP(TableQR[[#This Row],[BARCODES]],ILACLISTE[#All],2,0),"")</f>
        <v/>
      </c>
      <c r="D2940" s="2">
        <f t="shared" si="45"/>
        <v>0</v>
      </c>
      <c r="E2940" s="14" t="str">
        <f>IFERROR(GIZLI!G2935,"")</f>
        <v/>
      </c>
    </row>
    <row r="2941" spans="2:5" x14ac:dyDescent="0.3">
      <c r="B2941" s="2" t="str">
        <f>MID(TableQR[[#This Row],[QR CODES]],4,13)</f>
        <v/>
      </c>
      <c r="C2941" s="2" t="str">
        <f>IFERROR(VLOOKUP(TableQR[[#This Row],[BARCODES]],ILACLISTE[#All],2,0),"")</f>
        <v/>
      </c>
      <c r="D2941" s="2">
        <f t="shared" si="45"/>
        <v>0</v>
      </c>
      <c r="E2941" s="14" t="str">
        <f>IFERROR(GIZLI!G2936,"")</f>
        <v/>
      </c>
    </row>
    <row r="2942" spans="2:5" x14ac:dyDescent="0.3">
      <c r="B2942" s="2" t="str">
        <f>MID(TableQR[[#This Row],[QR CODES]],4,13)</f>
        <v/>
      </c>
      <c r="C2942" s="2" t="str">
        <f>IFERROR(VLOOKUP(TableQR[[#This Row],[BARCODES]],ILACLISTE[#All],2,0),"")</f>
        <v/>
      </c>
      <c r="D2942" s="2">
        <f t="shared" si="45"/>
        <v>0</v>
      </c>
      <c r="E2942" s="14" t="str">
        <f>IFERROR(GIZLI!G2937,"")</f>
        <v/>
      </c>
    </row>
    <row r="2943" spans="2:5" x14ac:dyDescent="0.3">
      <c r="B2943" s="2" t="str">
        <f>MID(TableQR[[#This Row],[QR CODES]],4,13)</f>
        <v/>
      </c>
      <c r="C2943" s="2" t="str">
        <f>IFERROR(VLOOKUP(TableQR[[#This Row],[BARCODES]],ILACLISTE[#All],2,0),"")</f>
        <v/>
      </c>
      <c r="D2943" s="2">
        <f t="shared" si="45"/>
        <v>0</v>
      </c>
      <c r="E2943" s="14" t="str">
        <f>IFERROR(GIZLI!G2938,"")</f>
        <v/>
      </c>
    </row>
    <row r="2944" spans="2:5" x14ac:dyDescent="0.3">
      <c r="B2944" s="2" t="str">
        <f>MID(TableQR[[#This Row],[QR CODES]],4,13)</f>
        <v/>
      </c>
      <c r="C2944" s="2" t="str">
        <f>IFERROR(VLOOKUP(TableQR[[#This Row],[BARCODES]],ILACLISTE[#All],2,0),"")</f>
        <v/>
      </c>
      <c r="D2944" s="2">
        <f t="shared" si="45"/>
        <v>0</v>
      </c>
      <c r="E2944" s="14" t="str">
        <f>IFERROR(GIZLI!G2939,"")</f>
        <v/>
      </c>
    </row>
    <row r="2945" spans="2:5" x14ac:dyDescent="0.3">
      <c r="B2945" s="2" t="str">
        <f>MID(TableQR[[#This Row],[QR CODES]],4,13)</f>
        <v/>
      </c>
      <c r="C2945" s="2" t="str">
        <f>IFERROR(VLOOKUP(TableQR[[#This Row],[BARCODES]],ILACLISTE[#All],2,0),"")</f>
        <v/>
      </c>
      <c r="D2945" s="2">
        <f t="shared" si="45"/>
        <v>0</v>
      </c>
      <c r="E2945" s="14" t="str">
        <f>IFERROR(GIZLI!G2940,"")</f>
        <v/>
      </c>
    </row>
    <row r="2946" spans="2:5" x14ac:dyDescent="0.3">
      <c r="B2946" s="2" t="str">
        <f>MID(TableQR[[#This Row],[QR CODES]],4,13)</f>
        <v/>
      </c>
      <c r="C2946" s="2" t="str">
        <f>IFERROR(VLOOKUP(TableQR[[#This Row],[BARCODES]],ILACLISTE[#All],2,0),"")</f>
        <v/>
      </c>
      <c r="D2946" s="2">
        <f t="shared" si="45"/>
        <v>0</v>
      </c>
      <c r="E2946" s="14" t="str">
        <f>IFERROR(GIZLI!G2941,"")</f>
        <v/>
      </c>
    </row>
    <row r="2947" spans="2:5" x14ac:dyDescent="0.3">
      <c r="B2947" s="2" t="str">
        <f>MID(TableQR[[#This Row],[QR CODES]],4,13)</f>
        <v/>
      </c>
      <c r="C2947" s="2" t="str">
        <f>IFERROR(VLOOKUP(TableQR[[#This Row],[BARCODES]],ILACLISTE[#All],2,0),"")</f>
        <v/>
      </c>
      <c r="D2947" s="2">
        <f t="shared" si="45"/>
        <v>0</v>
      </c>
      <c r="E2947" s="14" t="str">
        <f>IFERROR(GIZLI!G2942,"")</f>
        <v/>
      </c>
    </row>
    <row r="2948" spans="2:5" x14ac:dyDescent="0.3">
      <c r="B2948" s="2" t="str">
        <f>MID(TableQR[[#This Row],[QR CODES]],4,13)</f>
        <v/>
      </c>
      <c r="C2948" s="2" t="str">
        <f>IFERROR(VLOOKUP(TableQR[[#This Row],[BARCODES]],ILACLISTE[#All],2,0),"")</f>
        <v/>
      </c>
      <c r="D2948" s="2">
        <f t="shared" si="45"/>
        <v>0</v>
      </c>
      <c r="E2948" s="14" t="str">
        <f>IFERROR(GIZLI!G2943,"")</f>
        <v/>
      </c>
    </row>
    <row r="2949" spans="2:5" x14ac:dyDescent="0.3">
      <c r="B2949" s="2" t="str">
        <f>MID(TableQR[[#This Row],[QR CODES]],4,13)</f>
        <v/>
      </c>
      <c r="C2949" s="2" t="str">
        <f>IFERROR(VLOOKUP(TableQR[[#This Row],[BARCODES]],ILACLISTE[#All],2,0),"")</f>
        <v/>
      </c>
      <c r="D2949" s="2">
        <f t="shared" si="45"/>
        <v>0</v>
      </c>
      <c r="E2949" s="14" t="str">
        <f>IFERROR(GIZLI!G2944,"")</f>
        <v/>
      </c>
    </row>
    <row r="2950" spans="2:5" x14ac:dyDescent="0.3">
      <c r="B2950" s="2" t="str">
        <f>MID(TableQR[[#This Row],[QR CODES]],4,13)</f>
        <v/>
      </c>
      <c r="C2950" s="2" t="str">
        <f>IFERROR(VLOOKUP(TableQR[[#This Row],[BARCODES]],ILACLISTE[#All],2,0),"")</f>
        <v/>
      </c>
      <c r="D2950" s="2">
        <f t="shared" si="45"/>
        <v>0</v>
      </c>
      <c r="E2950" s="14" t="str">
        <f>IFERROR(GIZLI!G2945,"")</f>
        <v/>
      </c>
    </row>
    <row r="2951" spans="2:5" x14ac:dyDescent="0.3">
      <c r="B2951" s="2" t="str">
        <f>MID(TableQR[[#This Row],[QR CODES]],4,13)</f>
        <v/>
      </c>
      <c r="C2951" s="2" t="str">
        <f>IFERROR(VLOOKUP(TableQR[[#This Row],[BARCODES]],ILACLISTE[#All],2,0),"")</f>
        <v/>
      </c>
      <c r="D2951" s="2">
        <f t="shared" si="45"/>
        <v>0</v>
      </c>
      <c r="E2951" s="14" t="str">
        <f>IFERROR(GIZLI!G2946,"")</f>
        <v/>
      </c>
    </row>
    <row r="2952" spans="2:5" x14ac:dyDescent="0.3">
      <c r="B2952" s="2" t="str">
        <f>MID(TableQR[[#This Row],[QR CODES]],4,13)</f>
        <v/>
      </c>
      <c r="C2952" s="2" t="str">
        <f>IFERROR(VLOOKUP(TableQR[[#This Row],[BARCODES]],ILACLISTE[#All],2,0),"")</f>
        <v/>
      </c>
      <c r="D2952" s="2">
        <f t="shared" ref="D2952:D3015" si="46">COUNTIF(B2952:B6945,IF(B2952="",66666,B2952))</f>
        <v>0</v>
      </c>
      <c r="E2952" s="14" t="str">
        <f>IFERROR(GIZLI!G2947,"")</f>
        <v/>
      </c>
    </row>
    <row r="2953" spans="2:5" x14ac:dyDescent="0.3">
      <c r="B2953" s="2" t="str">
        <f>MID(TableQR[[#This Row],[QR CODES]],4,13)</f>
        <v/>
      </c>
      <c r="C2953" s="2" t="str">
        <f>IFERROR(VLOOKUP(TableQR[[#This Row],[BARCODES]],ILACLISTE[#All],2,0),"")</f>
        <v/>
      </c>
      <c r="D2953" s="2">
        <f t="shared" si="46"/>
        <v>0</v>
      </c>
      <c r="E2953" s="14" t="str">
        <f>IFERROR(GIZLI!G2948,"")</f>
        <v/>
      </c>
    </row>
    <row r="2954" spans="2:5" x14ac:dyDescent="0.3">
      <c r="B2954" s="2" t="str">
        <f>MID(TableQR[[#This Row],[QR CODES]],4,13)</f>
        <v/>
      </c>
      <c r="C2954" s="2" t="str">
        <f>IFERROR(VLOOKUP(TableQR[[#This Row],[BARCODES]],ILACLISTE[#All],2,0),"")</f>
        <v/>
      </c>
      <c r="D2954" s="2">
        <f t="shared" si="46"/>
        <v>0</v>
      </c>
      <c r="E2954" s="14" t="str">
        <f>IFERROR(GIZLI!G2949,"")</f>
        <v/>
      </c>
    </row>
    <row r="2955" spans="2:5" x14ac:dyDescent="0.3">
      <c r="B2955" s="2" t="str">
        <f>MID(TableQR[[#This Row],[QR CODES]],4,13)</f>
        <v/>
      </c>
      <c r="C2955" s="2" t="str">
        <f>IFERROR(VLOOKUP(TableQR[[#This Row],[BARCODES]],ILACLISTE[#All],2,0),"")</f>
        <v/>
      </c>
      <c r="D2955" s="2">
        <f t="shared" si="46"/>
        <v>0</v>
      </c>
      <c r="E2955" s="14" t="str">
        <f>IFERROR(GIZLI!G2950,"")</f>
        <v/>
      </c>
    </row>
    <row r="2956" spans="2:5" x14ac:dyDescent="0.3">
      <c r="B2956" s="2" t="str">
        <f>MID(TableQR[[#This Row],[QR CODES]],4,13)</f>
        <v/>
      </c>
      <c r="C2956" s="2" t="str">
        <f>IFERROR(VLOOKUP(TableQR[[#This Row],[BARCODES]],ILACLISTE[#All],2,0),"")</f>
        <v/>
      </c>
      <c r="D2956" s="2">
        <f t="shared" si="46"/>
        <v>0</v>
      </c>
      <c r="E2956" s="14" t="str">
        <f>IFERROR(GIZLI!G2951,"")</f>
        <v/>
      </c>
    </row>
    <row r="2957" spans="2:5" x14ac:dyDescent="0.3">
      <c r="B2957" s="2" t="str">
        <f>MID(TableQR[[#This Row],[QR CODES]],4,13)</f>
        <v/>
      </c>
      <c r="C2957" s="2" t="str">
        <f>IFERROR(VLOOKUP(TableQR[[#This Row],[BARCODES]],ILACLISTE[#All],2,0),"")</f>
        <v/>
      </c>
      <c r="D2957" s="2">
        <f t="shared" si="46"/>
        <v>0</v>
      </c>
      <c r="E2957" s="14" t="str">
        <f>IFERROR(GIZLI!G2952,"")</f>
        <v/>
      </c>
    </row>
    <row r="2958" spans="2:5" x14ac:dyDescent="0.3">
      <c r="B2958" s="2" t="str">
        <f>MID(TableQR[[#This Row],[QR CODES]],4,13)</f>
        <v/>
      </c>
      <c r="C2958" s="2" t="str">
        <f>IFERROR(VLOOKUP(TableQR[[#This Row],[BARCODES]],ILACLISTE[#All],2,0),"")</f>
        <v/>
      </c>
      <c r="D2958" s="2">
        <f t="shared" si="46"/>
        <v>0</v>
      </c>
      <c r="E2958" s="14" t="str">
        <f>IFERROR(GIZLI!G2953,"")</f>
        <v/>
      </c>
    </row>
    <row r="2959" spans="2:5" x14ac:dyDescent="0.3">
      <c r="B2959" s="2" t="str">
        <f>MID(TableQR[[#This Row],[QR CODES]],4,13)</f>
        <v/>
      </c>
      <c r="C2959" s="2" t="str">
        <f>IFERROR(VLOOKUP(TableQR[[#This Row],[BARCODES]],ILACLISTE[#All],2,0),"")</f>
        <v/>
      </c>
      <c r="D2959" s="2">
        <f t="shared" si="46"/>
        <v>0</v>
      </c>
      <c r="E2959" s="14" t="str">
        <f>IFERROR(GIZLI!G2954,"")</f>
        <v/>
      </c>
    </row>
    <row r="2960" spans="2:5" x14ac:dyDescent="0.3">
      <c r="B2960" s="2" t="str">
        <f>MID(TableQR[[#This Row],[QR CODES]],4,13)</f>
        <v/>
      </c>
      <c r="C2960" s="2" t="str">
        <f>IFERROR(VLOOKUP(TableQR[[#This Row],[BARCODES]],ILACLISTE[#All],2,0),"")</f>
        <v/>
      </c>
      <c r="D2960" s="2">
        <f t="shared" si="46"/>
        <v>0</v>
      </c>
      <c r="E2960" s="14" t="str">
        <f>IFERROR(GIZLI!G2955,"")</f>
        <v/>
      </c>
    </row>
    <row r="2961" spans="2:5" x14ac:dyDescent="0.3">
      <c r="B2961" s="2" t="str">
        <f>MID(TableQR[[#This Row],[QR CODES]],4,13)</f>
        <v/>
      </c>
      <c r="C2961" s="2" t="str">
        <f>IFERROR(VLOOKUP(TableQR[[#This Row],[BARCODES]],ILACLISTE[#All],2,0),"")</f>
        <v/>
      </c>
      <c r="D2961" s="2">
        <f t="shared" si="46"/>
        <v>0</v>
      </c>
      <c r="E2961" s="14" t="str">
        <f>IFERROR(GIZLI!G2956,"")</f>
        <v/>
      </c>
    </row>
    <row r="2962" spans="2:5" x14ac:dyDescent="0.3">
      <c r="B2962" s="2" t="str">
        <f>MID(TableQR[[#This Row],[QR CODES]],4,13)</f>
        <v/>
      </c>
      <c r="C2962" s="2" t="str">
        <f>IFERROR(VLOOKUP(TableQR[[#This Row],[BARCODES]],ILACLISTE[#All],2,0),"")</f>
        <v/>
      </c>
      <c r="D2962" s="2">
        <f t="shared" si="46"/>
        <v>0</v>
      </c>
      <c r="E2962" s="14" t="str">
        <f>IFERROR(GIZLI!G2957,"")</f>
        <v/>
      </c>
    </row>
    <row r="2963" spans="2:5" x14ac:dyDescent="0.3">
      <c r="B2963" s="2" t="str">
        <f>MID(TableQR[[#This Row],[QR CODES]],4,13)</f>
        <v/>
      </c>
      <c r="C2963" s="2" t="str">
        <f>IFERROR(VLOOKUP(TableQR[[#This Row],[BARCODES]],ILACLISTE[#All],2,0),"")</f>
        <v/>
      </c>
      <c r="D2963" s="2">
        <f t="shared" si="46"/>
        <v>0</v>
      </c>
      <c r="E2963" s="14" t="str">
        <f>IFERROR(GIZLI!G2958,"")</f>
        <v/>
      </c>
    </row>
    <row r="2964" spans="2:5" x14ac:dyDescent="0.3">
      <c r="B2964" s="2" t="str">
        <f>MID(TableQR[[#This Row],[QR CODES]],4,13)</f>
        <v/>
      </c>
      <c r="C2964" s="2" t="str">
        <f>IFERROR(VLOOKUP(TableQR[[#This Row],[BARCODES]],ILACLISTE[#All],2,0),"")</f>
        <v/>
      </c>
      <c r="D2964" s="2">
        <f t="shared" si="46"/>
        <v>0</v>
      </c>
      <c r="E2964" s="14" t="str">
        <f>IFERROR(GIZLI!G2959,"")</f>
        <v/>
      </c>
    </row>
    <row r="2965" spans="2:5" x14ac:dyDescent="0.3">
      <c r="B2965" s="2" t="str">
        <f>MID(TableQR[[#This Row],[QR CODES]],4,13)</f>
        <v/>
      </c>
      <c r="C2965" s="2" t="str">
        <f>IFERROR(VLOOKUP(TableQR[[#This Row],[BARCODES]],ILACLISTE[#All],2,0),"")</f>
        <v/>
      </c>
      <c r="D2965" s="2">
        <f t="shared" si="46"/>
        <v>0</v>
      </c>
      <c r="E2965" s="14" t="str">
        <f>IFERROR(GIZLI!G2960,"")</f>
        <v/>
      </c>
    </row>
    <row r="2966" spans="2:5" x14ac:dyDescent="0.3">
      <c r="B2966" s="2" t="str">
        <f>MID(TableQR[[#This Row],[QR CODES]],4,13)</f>
        <v/>
      </c>
      <c r="C2966" s="2" t="str">
        <f>IFERROR(VLOOKUP(TableQR[[#This Row],[BARCODES]],ILACLISTE[#All],2,0),"")</f>
        <v/>
      </c>
      <c r="D2966" s="2">
        <f t="shared" si="46"/>
        <v>0</v>
      </c>
      <c r="E2966" s="14" t="str">
        <f>IFERROR(GIZLI!G2961,"")</f>
        <v/>
      </c>
    </row>
    <row r="2967" spans="2:5" x14ac:dyDescent="0.3">
      <c r="B2967" s="2" t="str">
        <f>MID(TableQR[[#This Row],[QR CODES]],4,13)</f>
        <v/>
      </c>
      <c r="C2967" s="2" t="str">
        <f>IFERROR(VLOOKUP(TableQR[[#This Row],[BARCODES]],ILACLISTE[#All],2,0),"")</f>
        <v/>
      </c>
      <c r="D2967" s="2">
        <f t="shared" si="46"/>
        <v>0</v>
      </c>
      <c r="E2967" s="14" t="str">
        <f>IFERROR(GIZLI!G2962,"")</f>
        <v/>
      </c>
    </row>
    <row r="2968" spans="2:5" x14ac:dyDescent="0.3">
      <c r="B2968" s="2" t="str">
        <f>MID(TableQR[[#This Row],[QR CODES]],4,13)</f>
        <v/>
      </c>
      <c r="C2968" s="2" t="str">
        <f>IFERROR(VLOOKUP(TableQR[[#This Row],[BARCODES]],ILACLISTE[#All],2,0),"")</f>
        <v/>
      </c>
      <c r="D2968" s="2">
        <f t="shared" si="46"/>
        <v>0</v>
      </c>
      <c r="E2968" s="14" t="str">
        <f>IFERROR(GIZLI!G2963,"")</f>
        <v/>
      </c>
    </row>
    <row r="2969" spans="2:5" x14ac:dyDescent="0.3">
      <c r="B2969" s="2" t="str">
        <f>MID(TableQR[[#This Row],[QR CODES]],4,13)</f>
        <v/>
      </c>
      <c r="C2969" s="2" t="str">
        <f>IFERROR(VLOOKUP(TableQR[[#This Row],[BARCODES]],ILACLISTE[#All],2,0),"")</f>
        <v/>
      </c>
      <c r="D2969" s="2">
        <f t="shared" si="46"/>
        <v>0</v>
      </c>
      <c r="E2969" s="14" t="str">
        <f>IFERROR(GIZLI!G2964,"")</f>
        <v/>
      </c>
    </row>
    <row r="2970" spans="2:5" x14ac:dyDescent="0.3">
      <c r="B2970" s="2" t="str">
        <f>MID(TableQR[[#This Row],[QR CODES]],4,13)</f>
        <v/>
      </c>
      <c r="C2970" s="2" t="str">
        <f>IFERROR(VLOOKUP(TableQR[[#This Row],[BARCODES]],ILACLISTE[#All],2,0),"")</f>
        <v/>
      </c>
      <c r="D2970" s="2">
        <f t="shared" si="46"/>
        <v>0</v>
      </c>
      <c r="E2970" s="14" t="str">
        <f>IFERROR(GIZLI!G2965,"")</f>
        <v/>
      </c>
    </row>
    <row r="2971" spans="2:5" x14ac:dyDescent="0.3">
      <c r="B2971" s="2" t="str">
        <f>MID(TableQR[[#This Row],[QR CODES]],4,13)</f>
        <v/>
      </c>
      <c r="C2971" s="2" t="str">
        <f>IFERROR(VLOOKUP(TableQR[[#This Row],[BARCODES]],ILACLISTE[#All],2,0),"")</f>
        <v/>
      </c>
      <c r="D2971" s="2">
        <f t="shared" si="46"/>
        <v>0</v>
      </c>
      <c r="E2971" s="14" t="str">
        <f>IFERROR(GIZLI!G2966,"")</f>
        <v/>
      </c>
    </row>
    <row r="2972" spans="2:5" x14ac:dyDescent="0.3">
      <c r="B2972" s="2" t="str">
        <f>MID(TableQR[[#This Row],[QR CODES]],4,13)</f>
        <v/>
      </c>
      <c r="C2972" s="2" t="str">
        <f>IFERROR(VLOOKUP(TableQR[[#This Row],[BARCODES]],ILACLISTE[#All],2,0),"")</f>
        <v/>
      </c>
      <c r="D2972" s="2">
        <f t="shared" si="46"/>
        <v>0</v>
      </c>
      <c r="E2972" s="14" t="str">
        <f>IFERROR(GIZLI!G2967,"")</f>
        <v/>
      </c>
    </row>
    <row r="2973" spans="2:5" x14ac:dyDescent="0.3">
      <c r="B2973" s="2" t="str">
        <f>MID(TableQR[[#This Row],[QR CODES]],4,13)</f>
        <v/>
      </c>
      <c r="C2973" s="2" t="str">
        <f>IFERROR(VLOOKUP(TableQR[[#This Row],[BARCODES]],ILACLISTE[#All],2,0),"")</f>
        <v/>
      </c>
      <c r="D2973" s="2">
        <f t="shared" si="46"/>
        <v>0</v>
      </c>
      <c r="E2973" s="14" t="str">
        <f>IFERROR(GIZLI!G2968,"")</f>
        <v/>
      </c>
    </row>
    <row r="2974" spans="2:5" x14ac:dyDescent="0.3">
      <c r="B2974" s="2" t="str">
        <f>MID(TableQR[[#This Row],[QR CODES]],4,13)</f>
        <v/>
      </c>
      <c r="C2974" s="2" t="str">
        <f>IFERROR(VLOOKUP(TableQR[[#This Row],[BARCODES]],ILACLISTE[#All],2,0),"")</f>
        <v/>
      </c>
      <c r="D2974" s="2">
        <f t="shared" si="46"/>
        <v>0</v>
      </c>
      <c r="E2974" s="14" t="str">
        <f>IFERROR(GIZLI!G2969,"")</f>
        <v/>
      </c>
    </row>
    <row r="2975" spans="2:5" x14ac:dyDescent="0.3">
      <c r="B2975" s="2" t="str">
        <f>MID(TableQR[[#This Row],[QR CODES]],4,13)</f>
        <v/>
      </c>
      <c r="C2975" s="2" t="str">
        <f>IFERROR(VLOOKUP(TableQR[[#This Row],[BARCODES]],ILACLISTE[#All],2,0),"")</f>
        <v/>
      </c>
      <c r="D2975" s="2">
        <f t="shared" si="46"/>
        <v>0</v>
      </c>
      <c r="E2975" s="14" t="str">
        <f>IFERROR(GIZLI!G2970,"")</f>
        <v/>
      </c>
    </row>
    <row r="2976" spans="2:5" x14ac:dyDescent="0.3">
      <c r="B2976" s="2" t="str">
        <f>MID(TableQR[[#This Row],[QR CODES]],4,13)</f>
        <v/>
      </c>
      <c r="C2976" s="2" t="str">
        <f>IFERROR(VLOOKUP(TableQR[[#This Row],[BARCODES]],ILACLISTE[#All],2,0),"")</f>
        <v/>
      </c>
      <c r="D2976" s="2">
        <f t="shared" si="46"/>
        <v>0</v>
      </c>
      <c r="E2976" s="14" t="str">
        <f>IFERROR(GIZLI!G2971,"")</f>
        <v/>
      </c>
    </row>
    <row r="2977" spans="2:5" x14ac:dyDescent="0.3">
      <c r="B2977" s="2" t="str">
        <f>MID(TableQR[[#This Row],[QR CODES]],4,13)</f>
        <v/>
      </c>
      <c r="C2977" s="2" t="str">
        <f>IFERROR(VLOOKUP(TableQR[[#This Row],[BARCODES]],ILACLISTE[#All],2,0),"")</f>
        <v/>
      </c>
      <c r="D2977" s="2">
        <f t="shared" si="46"/>
        <v>0</v>
      </c>
      <c r="E2977" s="14" t="str">
        <f>IFERROR(GIZLI!G2972,"")</f>
        <v/>
      </c>
    </row>
    <row r="2978" spans="2:5" x14ac:dyDescent="0.3">
      <c r="B2978" s="2" t="str">
        <f>MID(TableQR[[#This Row],[QR CODES]],4,13)</f>
        <v/>
      </c>
      <c r="C2978" s="2" t="str">
        <f>IFERROR(VLOOKUP(TableQR[[#This Row],[BARCODES]],ILACLISTE[#All],2,0),"")</f>
        <v/>
      </c>
      <c r="D2978" s="2">
        <f t="shared" si="46"/>
        <v>0</v>
      </c>
      <c r="E2978" s="14" t="str">
        <f>IFERROR(GIZLI!G2973,"")</f>
        <v/>
      </c>
    </row>
    <row r="2979" spans="2:5" x14ac:dyDescent="0.3">
      <c r="B2979" s="2" t="str">
        <f>MID(TableQR[[#This Row],[QR CODES]],4,13)</f>
        <v/>
      </c>
      <c r="C2979" s="2" t="str">
        <f>IFERROR(VLOOKUP(TableQR[[#This Row],[BARCODES]],ILACLISTE[#All],2,0),"")</f>
        <v/>
      </c>
      <c r="D2979" s="2">
        <f t="shared" si="46"/>
        <v>0</v>
      </c>
      <c r="E2979" s="14" t="str">
        <f>IFERROR(GIZLI!G2974,"")</f>
        <v/>
      </c>
    </row>
    <row r="2980" spans="2:5" x14ac:dyDescent="0.3">
      <c r="B2980" s="2" t="str">
        <f>MID(TableQR[[#This Row],[QR CODES]],4,13)</f>
        <v/>
      </c>
      <c r="C2980" s="2" t="str">
        <f>IFERROR(VLOOKUP(TableQR[[#This Row],[BARCODES]],ILACLISTE[#All],2,0),"")</f>
        <v/>
      </c>
      <c r="D2980" s="2">
        <f t="shared" si="46"/>
        <v>0</v>
      </c>
      <c r="E2980" s="14" t="str">
        <f>IFERROR(GIZLI!G2975,"")</f>
        <v/>
      </c>
    </row>
    <row r="2981" spans="2:5" x14ac:dyDescent="0.3">
      <c r="B2981" s="2" t="str">
        <f>MID(TableQR[[#This Row],[QR CODES]],4,13)</f>
        <v/>
      </c>
      <c r="C2981" s="2" t="str">
        <f>IFERROR(VLOOKUP(TableQR[[#This Row],[BARCODES]],ILACLISTE[#All],2,0),"")</f>
        <v/>
      </c>
      <c r="D2981" s="2">
        <f t="shared" si="46"/>
        <v>0</v>
      </c>
      <c r="E2981" s="14" t="str">
        <f>IFERROR(GIZLI!G2976,"")</f>
        <v/>
      </c>
    </row>
    <row r="2982" spans="2:5" x14ac:dyDescent="0.3">
      <c r="B2982" s="2" t="str">
        <f>MID(TableQR[[#This Row],[QR CODES]],4,13)</f>
        <v/>
      </c>
      <c r="C2982" s="2" t="str">
        <f>IFERROR(VLOOKUP(TableQR[[#This Row],[BARCODES]],ILACLISTE[#All],2,0),"")</f>
        <v/>
      </c>
      <c r="D2982" s="2">
        <f t="shared" si="46"/>
        <v>0</v>
      </c>
      <c r="E2982" s="14" t="str">
        <f>IFERROR(GIZLI!G2977,"")</f>
        <v/>
      </c>
    </row>
    <row r="2983" spans="2:5" x14ac:dyDescent="0.3">
      <c r="B2983" s="2" t="str">
        <f>MID(TableQR[[#This Row],[QR CODES]],4,13)</f>
        <v/>
      </c>
      <c r="C2983" s="2" t="str">
        <f>IFERROR(VLOOKUP(TableQR[[#This Row],[BARCODES]],ILACLISTE[#All],2,0),"")</f>
        <v/>
      </c>
      <c r="D2983" s="2">
        <f t="shared" si="46"/>
        <v>0</v>
      </c>
      <c r="E2983" s="14" t="str">
        <f>IFERROR(GIZLI!G2978,"")</f>
        <v/>
      </c>
    </row>
    <row r="2984" spans="2:5" x14ac:dyDescent="0.3">
      <c r="B2984" s="2" t="str">
        <f>MID(TableQR[[#This Row],[QR CODES]],4,13)</f>
        <v/>
      </c>
      <c r="C2984" s="2" t="str">
        <f>IFERROR(VLOOKUP(TableQR[[#This Row],[BARCODES]],ILACLISTE[#All],2,0),"")</f>
        <v/>
      </c>
      <c r="D2984" s="2">
        <f t="shared" si="46"/>
        <v>0</v>
      </c>
      <c r="E2984" s="14" t="str">
        <f>IFERROR(GIZLI!G2979,"")</f>
        <v/>
      </c>
    </row>
    <row r="2985" spans="2:5" x14ac:dyDescent="0.3">
      <c r="B2985" s="2" t="str">
        <f>MID(TableQR[[#This Row],[QR CODES]],4,13)</f>
        <v/>
      </c>
      <c r="C2985" s="2" t="str">
        <f>IFERROR(VLOOKUP(TableQR[[#This Row],[BARCODES]],ILACLISTE[#All],2,0),"")</f>
        <v/>
      </c>
      <c r="D2985" s="2">
        <f t="shared" si="46"/>
        <v>0</v>
      </c>
      <c r="E2985" s="14" t="str">
        <f>IFERROR(GIZLI!G2980,"")</f>
        <v/>
      </c>
    </row>
    <row r="2986" spans="2:5" x14ac:dyDescent="0.3">
      <c r="B2986" s="2" t="str">
        <f>MID(TableQR[[#This Row],[QR CODES]],4,13)</f>
        <v/>
      </c>
      <c r="C2986" s="2" t="str">
        <f>IFERROR(VLOOKUP(TableQR[[#This Row],[BARCODES]],ILACLISTE[#All],2,0),"")</f>
        <v/>
      </c>
      <c r="D2986" s="2">
        <f t="shared" si="46"/>
        <v>0</v>
      </c>
      <c r="E2986" s="14" t="str">
        <f>IFERROR(GIZLI!G2981,"")</f>
        <v/>
      </c>
    </row>
    <row r="2987" spans="2:5" x14ac:dyDescent="0.3">
      <c r="B2987" s="2" t="str">
        <f>MID(TableQR[[#This Row],[QR CODES]],4,13)</f>
        <v/>
      </c>
      <c r="C2987" s="2" t="str">
        <f>IFERROR(VLOOKUP(TableQR[[#This Row],[BARCODES]],ILACLISTE[#All],2,0),"")</f>
        <v/>
      </c>
      <c r="D2987" s="2">
        <f t="shared" si="46"/>
        <v>0</v>
      </c>
      <c r="E2987" s="14" t="str">
        <f>IFERROR(GIZLI!G2982,"")</f>
        <v/>
      </c>
    </row>
    <row r="2988" spans="2:5" x14ac:dyDescent="0.3">
      <c r="B2988" s="2" t="str">
        <f>MID(TableQR[[#This Row],[QR CODES]],4,13)</f>
        <v/>
      </c>
      <c r="C2988" s="2" t="str">
        <f>IFERROR(VLOOKUP(TableQR[[#This Row],[BARCODES]],ILACLISTE[#All],2,0),"")</f>
        <v/>
      </c>
      <c r="D2988" s="2">
        <f t="shared" si="46"/>
        <v>0</v>
      </c>
      <c r="E2988" s="14" t="str">
        <f>IFERROR(GIZLI!G2983,"")</f>
        <v/>
      </c>
    </row>
    <row r="2989" spans="2:5" x14ac:dyDescent="0.3">
      <c r="B2989" s="2" t="str">
        <f>MID(TableQR[[#This Row],[QR CODES]],4,13)</f>
        <v/>
      </c>
      <c r="C2989" s="2" t="str">
        <f>IFERROR(VLOOKUP(TableQR[[#This Row],[BARCODES]],ILACLISTE[#All],2,0),"")</f>
        <v/>
      </c>
      <c r="D2989" s="2">
        <f t="shared" si="46"/>
        <v>0</v>
      </c>
      <c r="E2989" s="14" t="str">
        <f>IFERROR(GIZLI!G2984,"")</f>
        <v/>
      </c>
    </row>
    <row r="2990" spans="2:5" x14ac:dyDescent="0.3">
      <c r="B2990" s="2" t="str">
        <f>MID(TableQR[[#This Row],[QR CODES]],4,13)</f>
        <v/>
      </c>
      <c r="C2990" s="2" t="str">
        <f>IFERROR(VLOOKUP(TableQR[[#This Row],[BARCODES]],ILACLISTE[#All],2,0),"")</f>
        <v/>
      </c>
      <c r="D2990" s="2">
        <f t="shared" si="46"/>
        <v>0</v>
      </c>
      <c r="E2990" s="14" t="str">
        <f>IFERROR(GIZLI!G2985,"")</f>
        <v/>
      </c>
    </row>
    <row r="2991" spans="2:5" x14ac:dyDescent="0.3">
      <c r="B2991" s="2" t="str">
        <f>MID(TableQR[[#This Row],[QR CODES]],4,13)</f>
        <v/>
      </c>
      <c r="C2991" s="2" t="str">
        <f>IFERROR(VLOOKUP(TableQR[[#This Row],[BARCODES]],ILACLISTE[#All],2,0),"")</f>
        <v/>
      </c>
      <c r="D2991" s="2">
        <f t="shared" si="46"/>
        <v>0</v>
      </c>
      <c r="E2991" s="14" t="str">
        <f>IFERROR(GIZLI!G2986,"")</f>
        <v/>
      </c>
    </row>
    <row r="2992" spans="2:5" x14ac:dyDescent="0.3">
      <c r="B2992" s="2" t="str">
        <f>MID(TableQR[[#This Row],[QR CODES]],4,13)</f>
        <v/>
      </c>
      <c r="C2992" s="2" t="str">
        <f>IFERROR(VLOOKUP(TableQR[[#This Row],[BARCODES]],ILACLISTE[#All],2,0),"")</f>
        <v/>
      </c>
      <c r="D2992" s="2">
        <f t="shared" si="46"/>
        <v>0</v>
      </c>
      <c r="E2992" s="14" t="str">
        <f>IFERROR(GIZLI!G2987,"")</f>
        <v/>
      </c>
    </row>
    <row r="2993" spans="2:5" x14ac:dyDescent="0.3">
      <c r="B2993" s="2" t="str">
        <f>MID(TableQR[[#This Row],[QR CODES]],4,13)</f>
        <v/>
      </c>
      <c r="C2993" s="2" t="str">
        <f>IFERROR(VLOOKUP(TableQR[[#This Row],[BARCODES]],ILACLISTE[#All],2,0),"")</f>
        <v/>
      </c>
      <c r="D2993" s="2">
        <f t="shared" si="46"/>
        <v>0</v>
      </c>
      <c r="E2993" s="14" t="str">
        <f>IFERROR(GIZLI!G2988,"")</f>
        <v/>
      </c>
    </row>
    <row r="2994" spans="2:5" x14ac:dyDescent="0.3">
      <c r="B2994" s="2" t="str">
        <f>MID(TableQR[[#This Row],[QR CODES]],4,13)</f>
        <v/>
      </c>
      <c r="C2994" s="2" t="str">
        <f>IFERROR(VLOOKUP(TableQR[[#This Row],[BARCODES]],ILACLISTE[#All],2,0),"")</f>
        <v/>
      </c>
      <c r="D2994" s="2">
        <f t="shared" si="46"/>
        <v>0</v>
      </c>
      <c r="E2994" s="14" t="str">
        <f>IFERROR(GIZLI!G2989,"")</f>
        <v/>
      </c>
    </row>
    <row r="2995" spans="2:5" x14ac:dyDescent="0.3">
      <c r="B2995" s="2" t="str">
        <f>MID(TableQR[[#This Row],[QR CODES]],4,13)</f>
        <v/>
      </c>
      <c r="C2995" s="2" t="str">
        <f>IFERROR(VLOOKUP(TableQR[[#This Row],[BARCODES]],ILACLISTE[#All],2,0),"")</f>
        <v/>
      </c>
      <c r="D2995" s="2">
        <f t="shared" si="46"/>
        <v>0</v>
      </c>
      <c r="E2995" s="14" t="str">
        <f>IFERROR(GIZLI!G2990,"")</f>
        <v/>
      </c>
    </row>
    <row r="2996" spans="2:5" x14ac:dyDescent="0.3">
      <c r="B2996" s="2" t="str">
        <f>MID(TableQR[[#This Row],[QR CODES]],4,13)</f>
        <v/>
      </c>
      <c r="C2996" s="2" t="str">
        <f>IFERROR(VLOOKUP(TableQR[[#This Row],[BARCODES]],ILACLISTE[#All],2,0),"")</f>
        <v/>
      </c>
      <c r="D2996" s="2">
        <f t="shared" si="46"/>
        <v>0</v>
      </c>
      <c r="E2996" s="14" t="str">
        <f>IFERROR(GIZLI!G2991,"")</f>
        <v/>
      </c>
    </row>
    <row r="2997" spans="2:5" x14ac:dyDescent="0.3">
      <c r="B2997" s="2" t="str">
        <f>MID(TableQR[[#This Row],[QR CODES]],4,13)</f>
        <v/>
      </c>
      <c r="C2997" s="2" t="str">
        <f>IFERROR(VLOOKUP(TableQR[[#This Row],[BARCODES]],ILACLISTE[#All],2,0),"")</f>
        <v/>
      </c>
      <c r="D2997" s="2">
        <f t="shared" si="46"/>
        <v>0</v>
      </c>
      <c r="E2997" s="14" t="str">
        <f>IFERROR(GIZLI!G2992,"")</f>
        <v/>
      </c>
    </row>
    <row r="2998" spans="2:5" x14ac:dyDescent="0.3">
      <c r="B2998" s="2" t="str">
        <f>MID(TableQR[[#This Row],[QR CODES]],4,13)</f>
        <v/>
      </c>
      <c r="C2998" s="2" t="str">
        <f>IFERROR(VLOOKUP(TableQR[[#This Row],[BARCODES]],ILACLISTE[#All],2,0),"")</f>
        <v/>
      </c>
      <c r="D2998" s="2">
        <f t="shared" si="46"/>
        <v>0</v>
      </c>
      <c r="E2998" s="14" t="str">
        <f>IFERROR(GIZLI!G2993,"")</f>
        <v/>
      </c>
    </row>
    <row r="2999" spans="2:5" x14ac:dyDescent="0.3">
      <c r="B2999" s="2" t="str">
        <f>MID(TableQR[[#This Row],[QR CODES]],4,13)</f>
        <v/>
      </c>
      <c r="C2999" s="2" t="str">
        <f>IFERROR(VLOOKUP(TableQR[[#This Row],[BARCODES]],ILACLISTE[#All],2,0),"")</f>
        <v/>
      </c>
      <c r="D2999" s="2">
        <f t="shared" si="46"/>
        <v>0</v>
      </c>
      <c r="E2999" s="14" t="str">
        <f>IFERROR(GIZLI!G2994,"")</f>
        <v/>
      </c>
    </row>
    <row r="3000" spans="2:5" x14ac:dyDescent="0.3">
      <c r="B3000" s="2" t="str">
        <f>MID(TableQR[[#This Row],[QR CODES]],4,13)</f>
        <v/>
      </c>
      <c r="C3000" s="2" t="str">
        <f>IFERROR(VLOOKUP(TableQR[[#This Row],[BARCODES]],ILACLISTE[#All],2,0),"")</f>
        <v/>
      </c>
      <c r="D3000" s="2">
        <f t="shared" si="46"/>
        <v>0</v>
      </c>
      <c r="E3000" s="14" t="str">
        <f>IFERROR(GIZLI!G2995,"")</f>
        <v/>
      </c>
    </row>
    <row r="3001" spans="2:5" x14ac:dyDescent="0.3">
      <c r="B3001" s="2" t="str">
        <f>MID(TableQR[[#This Row],[QR CODES]],4,13)</f>
        <v/>
      </c>
      <c r="C3001" s="2" t="str">
        <f>IFERROR(VLOOKUP(TableQR[[#This Row],[BARCODES]],ILACLISTE[#All],2,0),"")</f>
        <v/>
      </c>
      <c r="D3001" s="2">
        <f t="shared" si="46"/>
        <v>0</v>
      </c>
      <c r="E3001" s="14" t="str">
        <f>IFERROR(GIZLI!G2996,"")</f>
        <v/>
      </c>
    </row>
    <row r="3002" spans="2:5" x14ac:dyDescent="0.3">
      <c r="B3002" s="2" t="str">
        <f>MID(TableQR[[#This Row],[QR CODES]],4,13)</f>
        <v/>
      </c>
      <c r="C3002" s="2" t="str">
        <f>IFERROR(VLOOKUP(TableQR[[#This Row],[BARCODES]],ILACLISTE[#All],2,0),"")</f>
        <v/>
      </c>
      <c r="D3002" s="2">
        <f t="shared" si="46"/>
        <v>0</v>
      </c>
      <c r="E3002" s="14" t="str">
        <f>IFERROR(GIZLI!G2997,"")</f>
        <v/>
      </c>
    </row>
    <row r="3003" spans="2:5" x14ac:dyDescent="0.3">
      <c r="B3003" s="2" t="str">
        <f>MID(TableQR[[#This Row],[QR CODES]],4,13)</f>
        <v/>
      </c>
      <c r="C3003" s="2" t="str">
        <f>IFERROR(VLOOKUP(TableQR[[#This Row],[BARCODES]],ILACLISTE[#All],2,0),"")</f>
        <v/>
      </c>
      <c r="D3003" s="2">
        <f t="shared" si="46"/>
        <v>0</v>
      </c>
      <c r="E3003" s="14" t="str">
        <f>IFERROR(GIZLI!G2998,"")</f>
        <v/>
      </c>
    </row>
    <row r="3004" spans="2:5" x14ac:dyDescent="0.3">
      <c r="B3004" s="2" t="str">
        <f>MID(TableQR[[#This Row],[QR CODES]],4,13)</f>
        <v/>
      </c>
      <c r="C3004" s="2" t="str">
        <f>IFERROR(VLOOKUP(TableQR[[#This Row],[BARCODES]],ILACLISTE[#All],2,0),"")</f>
        <v/>
      </c>
      <c r="D3004" s="2">
        <f t="shared" si="46"/>
        <v>0</v>
      </c>
      <c r="E3004" s="14" t="str">
        <f>IFERROR(GIZLI!G2999,"")</f>
        <v/>
      </c>
    </row>
    <row r="3005" spans="2:5" x14ac:dyDescent="0.3">
      <c r="B3005" s="2" t="str">
        <f>MID(TableQR[[#This Row],[QR CODES]],4,13)</f>
        <v/>
      </c>
      <c r="C3005" s="2" t="str">
        <f>IFERROR(VLOOKUP(TableQR[[#This Row],[BARCODES]],ILACLISTE[#All],2,0),"")</f>
        <v/>
      </c>
      <c r="D3005" s="2">
        <f t="shared" si="46"/>
        <v>0</v>
      </c>
      <c r="E3005" s="14" t="str">
        <f>IFERROR(GIZLI!G3000,"")</f>
        <v/>
      </c>
    </row>
    <row r="3006" spans="2:5" x14ac:dyDescent="0.3">
      <c r="B3006" s="2" t="str">
        <f>MID(TableQR[[#This Row],[QR CODES]],4,13)</f>
        <v/>
      </c>
      <c r="C3006" s="2" t="str">
        <f>IFERROR(VLOOKUP(TableQR[[#This Row],[BARCODES]],ILACLISTE[#All],2,0),"")</f>
        <v/>
      </c>
      <c r="D3006" s="2">
        <f t="shared" si="46"/>
        <v>0</v>
      </c>
      <c r="E3006" s="14" t="str">
        <f>IFERROR(GIZLI!G3001,"")</f>
        <v/>
      </c>
    </row>
    <row r="3007" spans="2:5" x14ac:dyDescent="0.3">
      <c r="B3007" s="2" t="str">
        <f>MID(TableQR[[#This Row],[QR CODES]],4,13)</f>
        <v/>
      </c>
      <c r="C3007" s="2" t="str">
        <f>IFERROR(VLOOKUP(TableQR[[#This Row],[BARCODES]],ILACLISTE[#All],2,0),"")</f>
        <v/>
      </c>
      <c r="D3007" s="2">
        <f t="shared" si="46"/>
        <v>0</v>
      </c>
      <c r="E3007" s="14" t="str">
        <f>IFERROR(GIZLI!G3002,"")</f>
        <v/>
      </c>
    </row>
    <row r="3008" spans="2:5" x14ac:dyDescent="0.3">
      <c r="B3008" s="2" t="str">
        <f>MID(TableQR[[#This Row],[QR CODES]],4,13)</f>
        <v/>
      </c>
      <c r="C3008" s="2" t="str">
        <f>IFERROR(VLOOKUP(TableQR[[#This Row],[BARCODES]],ILACLISTE[#All],2,0),"")</f>
        <v/>
      </c>
      <c r="D3008" s="2">
        <f t="shared" si="46"/>
        <v>0</v>
      </c>
      <c r="E3008" s="14" t="str">
        <f>IFERROR(GIZLI!G3003,"")</f>
        <v/>
      </c>
    </row>
    <row r="3009" spans="2:5" x14ac:dyDescent="0.3">
      <c r="B3009" s="2" t="str">
        <f>MID(TableQR[[#This Row],[QR CODES]],4,13)</f>
        <v/>
      </c>
      <c r="C3009" s="2" t="str">
        <f>IFERROR(VLOOKUP(TableQR[[#This Row],[BARCODES]],ILACLISTE[#All],2,0),"")</f>
        <v/>
      </c>
      <c r="D3009" s="2">
        <f t="shared" si="46"/>
        <v>0</v>
      </c>
      <c r="E3009" s="14" t="str">
        <f>IFERROR(GIZLI!G3004,"")</f>
        <v/>
      </c>
    </row>
    <row r="3010" spans="2:5" x14ac:dyDescent="0.3">
      <c r="B3010" s="2" t="str">
        <f>MID(TableQR[[#This Row],[QR CODES]],4,13)</f>
        <v/>
      </c>
      <c r="C3010" s="2" t="str">
        <f>IFERROR(VLOOKUP(TableQR[[#This Row],[BARCODES]],ILACLISTE[#All],2,0),"")</f>
        <v/>
      </c>
      <c r="D3010" s="2">
        <f t="shared" si="46"/>
        <v>0</v>
      </c>
      <c r="E3010" s="14" t="str">
        <f>IFERROR(GIZLI!G3005,"")</f>
        <v/>
      </c>
    </row>
    <row r="3011" spans="2:5" x14ac:dyDescent="0.3">
      <c r="B3011" s="2" t="str">
        <f>MID(TableQR[[#This Row],[QR CODES]],4,13)</f>
        <v/>
      </c>
      <c r="C3011" s="2" t="str">
        <f>IFERROR(VLOOKUP(TableQR[[#This Row],[BARCODES]],ILACLISTE[#All],2,0),"")</f>
        <v/>
      </c>
      <c r="D3011" s="2">
        <f t="shared" si="46"/>
        <v>0</v>
      </c>
      <c r="E3011" s="14" t="str">
        <f>IFERROR(GIZLI!G3006,"")</f>
        <v/>
      </c>
    </row>
    <row r="3012" spans="2:5" x14ac:dyDescent="0.3">
      <c r="B3012" s="2" t="str">
        <f>MID(TableQR[[#This Row],[QR CODES]],4,13)</f>
        <v/>
      </c>
      <c r="C3012" s="2" t="str">
        <f>IFERROR(VLOOKUP(TableQR[[#This Row],[BARCODES]],ILACLISTE[#All],2,0),"")</f>
        <v/>
      </c>
      <c r="D3012" s="2">
        <f t="shared" si="46"/>
        <v>0</v>
      </c>
      <c r="E3012" s="14" t="str">
        <f>IFERROR(GIZLI!G3007,"")</f>
        <v/>
      </c>
    </row>
    <row r="3013" spans="2:5" x14ac:dyDescent="0.3">
      <c r="B3013" s="2" t="str">
        <f>MID(TableQR[[#This Row],[QR CODES]],4,13)</f>
        <v/>
      </c>
      <c r="C3013" s="2" t="str">
        <f>IFERROR(VLOOKUP(TableQR[[#This Row],[BARCODES]],ILACLISTE[#All],2,0),"")</f>
        <v/>
      </c>
      <c r="D3013" s="2">
        <f t="shared" si="46"/>
        <v>0</v>
      </c>
      <c r="E3013" s="14" t="str">
        <f>IFERROR(GIZLI!G3008,"")</f>
        <v/>
      </c>
    </row>
    <row r="3014" spans="2:5" x14ac:dyDescent="0.3">
      <c r="B3014" s="2" t="str">
        <f>MID(TableQR[[#This Row],[QR CODES]],4,13)</f>
        <v/>
      </c>
      <c r="C3014" s="2" t="str">
        <f>IFERROR(VLOOKUP(TableQR[[#This Row],[BARCODES]],ILACLISTE[#All],2,0),"")</f>
        <v/>
      </c>
      <c r="D3014" s="2">
        <f t="shared" si="46"/>
        <v>0</v>
      </c>
      <c r="E3014" s="14" t="str">
        <f>IFERROR(GIZLI!G3009,"")</f>
        <v/>
      </c>
    </row>
    <row r="3015" spans="2:5" x14ac:dyDescent="0.3">
      <c r="B3015" s="2" t="str">
        <f>MID(TableQR[[#This Row],[QR CODES]],4,13)</f>
        <v/>
      </c>
      <c r="C3015" s="2" t="str">
        <f>IFERROR(VLOOKUP(TableQR[[#This Row],[BARCODES]],ILACLISTE[#All],2,0),"")</f>
        <v/>
      </c>
      <c r="D3015" s="2">
        <f t="shared" si="46"/>
        <v>0</v>
      </c>
      <c r="E3015" s="14" t="str">
        <f>IFERROR(GIZLI!G3010,"")</f>
        <v/>
      </c>
    </row>
    <row r="3016" spans="2:5" x14ac:dyDescent="0.3">
      <c r="B3016" s="2" t="str">
        <f>MID(TableQR[[#This Row],[QR CODES]],4,13)</f>
        <v/>
      </c>
      <c r="C3016" s="2" t="str">
        <f>IFERROR(VLOOKUP(TableQR[[#This Row],[BARCODES]],ILACLISTE[#All],2,0),"")</f>
        <v/>
      </c>
      <c r="D3016" s="2">
        <f t="shared" ref="D3016:D3079" si="47">COUNTIF(B3016:B7009,IF(B3016="",66666,B3016))</f>
        <v>0</v>
      </c>
      <c r="E3016" s="14" t="str">
        <f>IFERROR(GIZLI!G3011,"")</f>
        <v/>
      </c>
    </row>
    <row r="3017" spans="2:5" x14ac:dyDescent="0.3">
      <c r="B3017" s="2" t="str">
        <f>MID(TableQR[[#This Row],[QR CODES]],4,13)</f>
        <v/>
      </c>
      <c r="C3017" s="2" t="str">
        <f>IFERROR(VLOOKUP(TableQR[[#This Row],[BARCODES]],ILACLISTE[#All],2,0),"")</f>
        <v/>
      </c>
      <c r="D3017" s="2">
        <f t="shared" si="47"/>
        <v>0</v>
      </c>
      <c r="E3017" s="14" t="str">
        <f>IFERROR(GIZLI!G3012,"")</f>
        <v/>
      </c>
    </row>
    <row r="3018" spans="2:5" x14ac:dyDescent="0.3">
      <c r="B3018" s="2" t="str">
        <f>MID(TableQR[[#This Row],[QR CODES]],4,13)</f>
        <v/>
      </c>
      <c r="C3018" s="2" t="str">
        <f>IFERROR(VLOOKUP(TableQR[[#This Row],[BARCODES]],ILACLISTE[#All],2,0),"")</f>
        <v/>
      </c>
      <c r="D3018" s="2">
        <f t="shared" si="47"/>
        <v>0</v>
      </c>
      <c r="E3018" s="14" t="str">
        <f>IFERROR(GIZLI!G3013,"")</f>
        <v/>
      </c>
    </row>
    <row r="3019" spans="2:5" x14ac:dyDescent="0.3">
      <c r="B3019" s="2" t="str">
        <f>MID(TableQR[[#This Row],[QR CODES]],4,13)</f>
        <v/>
      </c>
      <c r="C3019" s="2" t="str">
        <f>IFERROR(VLOOKUP(TableQR[[#This Row],[BARCODES]],ILACLISTE[#All],2,0),"")</f>
        <v/>
      </c>
      <c r="D3019" s="2">
        <f t="shared" si="47"/>
        <v>0</v>
      </c>
      <c r="E3019" s="14" t="str">
        <f>IFERROR(GIZLI!G3014,"")</f>
        <v/>
      </c>
    </row>
    <row r="3020" spans="2:5" x14ac:dyDescent="0.3">
      <c r="B3020" s="2" t="str">
        <f>MID(TableQR[[#This Row],[QR CODES]],4,13)</f>
        <v/>
      </c>
      <c r="C3020" s="2" t="str">
        <f>IFERROR(VLOOKUP(TableQR[[#This Row],[BARCODES]],ILACLISTE[#All],2,0),"")</f>
        <v/>
      </c>
      <c r="D3020" s="2">
        <f t="shared" si="47"/>
        <v>0</v>
      </c>
      <c r="E3020" s="14" t="str">
        <f>IFERROR(GIZLI!G3015,"")</f>
        <v/>
      </c>
    </row>
    <row r="3021" spans="2:5" x14ac:dyDescent="0.3">
      <c r="B3021" s="2" t="str">
        <f>MID(TableQR[[#This Row],[QR CODES]],4,13)</f>
        <v/>
      </c>
      <c r="C3021" s="2" t="str">
        <f>IFERROR(VLOOKUP(TableQR[[#This Row],[BARCODES]],ILACLISTE[#All],2,0),"")</f>
        <v/>
      </c>
      <c r="D3021" s="2">
        <f t="shared" si="47"/>
        <v>0</v>
      </c>
      <c r="E3021" s="14" t="str">
        <f>IFERROR(GIZLI!G3016,"")</f>
        <v/>
      </c>
    </row>
    <row r="3022" spans="2:5" x14ac:dyDescent="0.3">
      <c r="B3022" s="2" t="str">
        <f>MID(TableQR[[#This Row],[QR CODES]],4,13)</f>
        <v/>
      </c>
      <c r="C3022" s="2" t="str">
        <f>IFERROR(VLOOKUP(TableQR[[#This Row],[BARCODES]],ILACLISTE[#All],2,0),"")</f>
        <v/>
      </c>
      <c r="D3022" s="2">
        <f t="shared" si="47"/>
        <v>0</v>
      </c>
      <c r="E3022" s="14" t="str">
        <f>IFERROR(GIZLI!G3017,"")</f>
        <v/>
      </c>
    </row>
    <row r="3023" spans="2:5" x14ac:dyDescent="0.3">
      <c r="B3023" s="2" t="str">
        <f>MID(TableQR[[#This Row],[QR CODES]],4,13)</f>
        <v/>
      </c>
      <c r="C3023" s="2" t="str">
        <f>IFERROR(VLOOKUP(TableQR[[#This Row],[BARCODES]],ILACLISTE[#All],2,0),"")</f>
        <v/>
      </c>
      <c r="D3023" s="2">
        <f t="shared" si="47"/>
        <v>0</v>
      </c>
      <c r="E3023" s="14" t="str">
        <f>IFERROR(GIZLI!G3018,"")</f>
        <v/>
      </c>
    </row>
    <row r="3024" spans="2:5" x14ac:dyDescent="0.3">
      <c r="B3024" s="2" t="str">
        <f>MID(TableQR[[#This Row],[QR CODES]],4,13)</f>
        <v/>
      </c>
      <c r="C3024" s="2" t="str">
        <f>IFERROR(VLOOKUP(TableQR[[#This Row],[BARCODES]],ILACLISTE[#All],2,0),"")</f>
        <v/>
      </c>
      <c r="D3024" s="2">
        <f t="shared" si="47"/>
        <v>0</v>
      </c>
      <c r="E3024" s="14" t="str">
        <f>IFERROR(GIZLI!G3019,"")</f>
        <v/>
      </c>
    </row>
    <row r="3025" spans="2:5" x14ac:dyDescent="0.3">
      <c r="B3025" s="2" t="str">
        <f>MID(TableQR[[#This Row],[QR CODES]],4,13)</f>
        <v/>
      </c>
      <c r="C3025" s="2" t="str">
        <f>IFERROR(VLOOKUP(TableQR[[#This Row],[BARCODES]],ILACLISTE[#All],2,0),"")</f>
        <v/>
      </c>
      <c r="D3025" s="2">
        <f t="shared" si="47"/>
        <v>0</v>
      </c>
      <c r="E3025" s="14" t="str">
        <f>IFERROR(GIZLI!G3020,"")</f>
        <v/>
      </c>
    </row>
    <row r="3026" spans="2:5" x14ac:dyDescent="0.3">
      <c r="B3026" s="2" t="str">
        <f>MID(TableQR[[#This Row],[QR CODES]],4,13)</f>
        <v/>
      </c>
      <c r="C3026" s="2" t="str">
        <f>IFERROR(VLOOKUP(TableQR[[#This Row],[BARCODES]],ILACLISTE[#All],2,0),"")</f>
        <v/>
      </c>
      <c r="D3026" s="2">
        <f t="shared" si="47"/>
        <v>0</v>
      </c>
      <c r="E3026" s="14" t="str">
        <f>IFERROR(GIZLI!G3021,"")</f>
        <v/>
      </c>
    </row>
    <row r="3027" spans="2:5" x14ac:dyDescent="0.3">
      <c r="B3027" s="2" t="str">
        <f>MID(TableQR[[#This Row],[QR CODES]],4,13)</f>
        <v/>
      </c>
      <c r="C3027" s="2" t="str">
        <f>IFERROR(VLOOKUP(TableQR[[#This Row],[BARCODES]],ILACLISTE[#All],2,0),"")</f>
        <v/>
      </c>
      <c r="D3027" s="2">
        <f t="shared" si="47"/>
        <v>0</v>
      </c>
      <c r="E3027" s="14" t="str">
        <f>IFERROR(GIZLI!G3022,"")</f>
        <v/>
      </c>
    </row>
    <row r="3028" spans="2:5" x14ac:dyDescent="0.3">
      <c r="B3028" s="2" t="str">
        <f>MID(TableQR[[#This Row],[QR CODES]],4,13)</f>
        <v/>
      </c>
      <c r="C3028" s="2" t="str">
        <f>IFERROR(VLOOKUP(TableQR[[#This Row],[BARCODES]],ILACLISTE[#All],2,0),"")</f>
        <v/>
      </c>
      <c r="D3028" s="2">
        <f t="shared" si="47"/>
        <v>0</v>
      </c>
      <c r="E3028" s="14" t="str">
        <f>IFERROR(GIZLI!G3023,"")</f>
        <v/>
      </c>
    </row>
    <row r="3029" spans="2:5" x14ac:dyDescent="0.3">
      <c r="B3029" s="2" t="str">
        <f>MID(TableQR[[#This Row],[QR CODES]],4,13)</f>
        <v/>
      </c>
      <c r="C3029" s="2" t="str">
        <f>IFERROR(VLOOKUP(TableQR[[#This Row],[BARCODES]],ILACLISTE[#All],2,0),"")</f>
        <v/>
      </c>
      <c r="D3029" s="2">
        <f t="shared" si="47"/>
        <v>0</v>
      </c>
      <c r="E3029" s="14" t="str">
        <f>IFERROR(GIZLI!G3024,"")</f>
        <v/>
      </c>
    </row>
    <row r="3030" spans="2:5" x14ac:dyDescent="0.3">
      <c r="B3030" s="2" t="str">
        <f>MID(TableQR[[#This Row],[QR CODES]],4,13)</f>
        <v/>
      </c>
      <c r="C3030" s="2" t="str">
        <f>IFERROR(VLOOKUP(TableQR[[#This Row],[BARCODES]],ILACLISTE[#All],2,0),"")</f>
        <v/>
      </c>
      <c r="D3030" s="2">
        <f t="shared" si="47"/>
        <v>0</v>
      </c>
      <c r="E3030" s="14" t="str">
        <f>IFERROR(GIZLI!G3025,"")</f>
        <v/>
      </c>
    </row>
    <row r="3031" spans="2:5" x14ac:dyDescent="0.3">
      <c r="B3031" s="2" t="str">
        <f>MID(TableQR[[#This Row],[QR CODES]],4,13)</f>
        <v/>
      </c>
      <c r="C3031" s="2" t="str">
        <f>IFERROR(VLOOKUP(TableQR[[#This Row],[BARCODES]],ILACLISTE[#All],2,0),"")</f>
        <v/>
      </c>
      <c r="D3031" s="2">
        <f t="shared" si="47"/>
        <v>0</v>
      </c>
      <c r="E3031" s="14" t="str">
        <f>IFERROR(GIZLI!G3026,"")</f>
        <v/>
      </c>
    </row>
    <row r="3032" spans="2:5" x14ac:dyDescent="0.3">
      <c r="B3032" s="2" t="str">
        <f>MID(TableQR[[#This Row],[QR CODES]],4,13)</f>
        <v/>
      </c>
      <c r="C3032" s="2" t="str">
        <f>IFERROR(VLOOKUP(TableQR[[#This Row],[BARCODES]],ILACLISTE[#All],2,0),"")</f>
        <v/>
      </c>
      <c r="D3032" s="2">
        <f t="shared" si="47"/>
        <v>0</v>
      </c>
      <c r="E3032" s="14" t="str">
        <f>IFERROR(GIZLI!G3027,"")</f>
        <v/>
      </c>
    </row>
    <row r="3033" spans="2:5" x14ac:dyDescent="0.3">
      <c r="B3033" s="2" t="str">
        <f>MID(TableQR[[#This Row],[QR CODES]],4,13)</f>
        <v/>
      </c>
      <c r="C3033" s="2" t="str">
        <f>IFERROR(VLOOKUP(TableQR[[#This Row],[BARCODES]],ILACLISTE[#All],2,0),"")</f>
        <v/>
      </c>
      <c r="D3033" s="2">
        <f t="shared" si="47"/>
        <v>0</v>
      </c>
      <c r="E3033" s="14" t="str">
        <f>IFERROR(GIZLI!G3028,"")</f>
        <v/>
      </c>
    </row>
    <row r="3034" spans="2:5" x14ac:dyDescent="0.3">
      <c r="B3034" s="2" t="str">
        <f>MID(TableQR[[#This Row],[QR CODES]],4,13)</f>
        <v/>
      </c>
      <c r="C3034" s="2" t="str">
        <f>IFERROR(VLOOKUP(TableQR[[#This Row],[BARCODES]],ILACLISTE[#All],2,0),"")</f>
        <v/>
      </c>
      <c r="D3034" s="2">
        <f t="shared" si="47"/>
        <v>0</v>
      </c>
      <c r="E3034" s="14" t="str">
        <f>IFERROR(GIZLI!G3029,"")</f>
        <v/>
      </c>
    </row>
    <row r="3035" spans="2:5" x14ac:dyDescent="0.3">
      <c r="B3035" s="2" t="str">
        <f>MID(TableQR[[#This Row],[QR CODES]],4,13)</f>
        <v/>
      </c>
      <c r="C3035" s="2" t="str">
        <f>IFERROR(VLOOKUP(TableQR[[#This Row],[BARCODES]],ILACLISTE[#All],2,0),"")</f>
        <v/>
      </c>
      <c r="D3035" s="2">
        <f t="shared" si="47"/>
        <v>0</v>
      </c>
      <c r="E3035" s="14" t="str">
        <f>IFERROR(GIZLI!G3030,"")</f>
        <v/>
      </c>
    </row>
    <row r="3036" spans="2:5" x14ac:dyDescent="0.3">
      <c r="B3036" s="2" t="str">
        <f>MID(TableQR[[#This Row],[QR CODES]],4,13)</f>
        <v/>
      </c>
      <c r="C3036" s="2" t="str">
        <f>IFERROR(VLOOKUP(TableQR[[#This Row],[BARCODES]],ILACLISTE[#All],2,0),"")</f>
        <v/>
      </c>
      <c r="D3036" s="2">
        <f t="shared" si="47"/>
        <v>0</v>
      </c>
      <c r="E3036" s="14" t="str">
        <f>IFERROR(GIZLI!G3031,"")</f>
        <v/>
      </c>
    </row>
    <row r="3037" spans="2:5" x14ac:dyDescent="0.3">
      <c r="B3037" s="2" t="str">
        <f>MID(TableQR[[#This Row],[QR CODES]],4,13)</f>
        <v/>
      </c>
      <c r="C3037" s="2" t="str">
        <f>IFERROR(VLOOKUP(TableQR[[#This Row],[BARCODES]],ILACLISTE[#All],2,0),"")</f>
        <v/>
      </c>
      <c r="D3037" s="2">
        <f t="shared" si="47"/>
        <v>0</v>
      </c>
      <c r="E3037" s="14" t="str">
        <f>IFERROR(GIZLI!G3032,"")</f>
        <v/>
      </c>
    </row>
    <row r="3038" spans="2:5" x14ac:dyDescent="0.3">
      <c r="B3038" s="2" t="str">
        <f>MID(TableQR[[#This Row],[QR CODES]],4,13)</f>
        <v/>
      </c>
      <c r="C3038" s="2" t="str">
        <f>IFERROR(VLOOKUP(TableQR[[#This Row],[BARCODES]],ILACLISTE[#All],2,0),"")</f>
        <v/>
      </c>
      <c r="D3038" s="2">
        <f t="shared" si="47"/>
        <v>0</v>
      </c>
      <c r="E3038" s="14" t="str">
        <f>IFERROR(GIZLI!G3033,"")</f>
        <v/>
      </c>
    </row>
    <row r="3039" spans="2:5" x14ac:dyDescent="0.3">
      <c r="B3039" s="2" t="str">
        <f>MID(TableQR[[#This Row],[QR CODES]],4,13)</f>
        <v/>
      </c>
      <c r="C3039" s="2" t="str">
        <f>IFERROR(VLOOKUP(TableQR[[#This Row],[BARCODES]],ILACLISTE[#All],2,0),"")</f>
        <v/>
      </c>
      <c r="D3039" s="2">
        <f t="shared" si="47"/>
        <v>0</v>
      </c>
      <c r="E3039" s="14" t="str">
        <f>IFERROR(GIZLI!G3034,"")</f>
        <v/>
      </c>
    </row>
    <row r="3040" spans="2:5" x14ac:dyDescent="0.3">
      <c r="B3040" s="2" t="str">
        <f>MID(TableQR[[#This Row],[QR CODES]],4,13)</f>
        <v/>
      </c>
      <c r="C3040" s="2" t="str">
        <f>IFERROR(VLOOKUP(TableQR[[#This Row],[BARCODES]],ILACLISTE[#All],2,0),"")</f>
        <v/>
      </c>
      <c r="D3040" s="2">
        <f t="shared" si="47"/>
        <v>0</v>
      </c>
      <c r="E3040" s="14" t="str">
        <f>IFERROR(GIZLI!G3035,"")</f>
        <v/>
      </c>
    </row>
    <row r="3041" spans="2:5" x14ac:dyDescent="0.3">
      <c r="B3041" s="2" t="str">
        <f>MID(TableQR[[#This Row],[QR CODES]],4,13)</f>
        <v/>
      </c>
      <c r="C3041" s="2" t="str">
        <f>IFERROR(VLOOKUP(TableQR[[#This Row],[BARCODES]],ILACLISTE[#All],2,0),"")</f>
        <v/>
      </c>
      <c r="D3041" s="2">
        <f t="shared" si="47"/>
        <v>0</v>
      </c>
      <c r="E3041" s="14" t="str">
        <f>IFERROR(GIZLI!G3036,"")</f>
        <v/>
      </c>
    </row>
    <row r="3042" spans="2:5" x14ac:dyDescent="0.3">
      <c r="B3042" s="2" t="str">
        <f>MID(TableQR[[#This Row],[QR CODES]],4,13)</f>
        <v/>
      </c>
      <c r="C3042" s="2" t="str">
        <f>IFERROR(VLOOKUP(TableQR[[#This Row],[BARCODES]],ILACLISTE[#All],2,0),"")</f>
        <v/>
      </c>
      <c r="D3042" s="2">
        <f t="shared" si="47"/>
        <v>0</v>
      </c>
      <c r="E3042" s="14" t="str">
        <f>IFERROR(GIZLI!G3037,"")</f>
        <v/>
      </c>
    </row>
    <row r="3043" spans="2:5" x14ac:dyDescent="0.3">
      <c r="B3043" s="2" t="str">
        <f>MID(TableQR[[#This Row],[QR CODES]],4,13)</f>
        <v/>
      </c>
      <c r="C3043" s="2" t="str">
        <f>IFERROR(VLOOKUP(TableQR[[#This Row],[BARCODES]],ILACLISTE[#All],2,0),"")</f>
        <v/>
      </c>
      <c r="D3043" s="2">
        <f t="shared" si="47"/>
        <v>0</v>
      </c>
      <c r="E3043" s="14" t="str">
        <f>IFERROR(GIZLI!G3038,"")</f>
        <v/>
      </c>
    </row>
    <row r="3044" spans="2:5" x14ac:dyDescent="0.3">
      <c r="B3044" s="2" t="str">
        <f>MID(TableQR[[#This Row],[QR CODES]],4,13)</f>
        <v/>
      </c>
      <c r="C3044" s="2" t="str">
        <f>IFERROR(VLOOKUP(TableQR[[#This Row],[BARCODES]],ILACLISTE[#All],2,0),"")</f>
        <v/>
      </c>
      <c r="D3044" s="2">
        <f t="shared" si="47"/>
        <v>0</v>
      </c>
      <c r="E3044" s="14" t="str">
        <f>IFERROR(GIZLI!G3039,"")</f>
        <v/>
      </c>
    </row>
    <row r="3045" spans="2:5" x14ac:dyDescent="0.3">
      <c r="B3045" s="2" t="str">
        <f>MID(TableQR[[#This Row],[QR CODES]],4,13)</f>
        <v/>
      </c>
      <c r="C3045" s="2" t="str">
        <f>IFERROR(VLOOKUP(TableQR[[#This Row],[BARCODES]],ILACLISTE[#All],2,0),"")</f>
        <v/>
      </c>
      <c r="D3045" s="2">
        <f t="shared" si="47"/>
        <v>0</v>
      </c>
      <c r="E3045" s="14" t="str">
        <f>IFERROR(GIZLI!G3040,"")</f>
        <v/>
      </c>
    </row>
    <row r="3046" spans="2:5" x14ac:dyDescent="0.3">
      <c r="B3046" s="2" t="str">
        <f>MID(TableQR[[#This Row],[QR CODES]],4,13)</f>
        <v/>
      </c>
      <c r="C3046" s="2" t="str">
        <f>IFERROR(VLOOKUP(TableQR[[#This Row],[BARCODES]],ILACLISTE[#All],2,0),"")</f>
        <v/>
      </c>
      <c r="D3046" s="2">
        <f t="shared" si="47"/>
        <v>0</v>
      </c>
      <c r="E3046" s="14" t="str">
        <f>IFERROR(GIZLI!G3041,"")</f>
        <v/>
      </c>
    </row>
    <row r="3047" spans="2:5" x14ac:dyDescent="0.3">
      <c r="B3047" s="2" t="str">
        <f>MID(TableQR[[#This Row],[QR CODES]],4,13)</f>
        <v/>
      </c>
      <c r="C3047" s="2" t="str">
        <f>IFERROR(VLOOKUP(TableQR[[#This Row],[BARCODES]],ILACLISTE[#All],2,0),"")</f>
        <v/>
      </c>
      <c r="D3047" s="2">
        <f t="shared" si="47"/>
        <v>0</v>
      </c>
      <c r="E3047" s="14" t="str">
        <f>IFERROR(GIZLI!G3042,"")</f>
        <v/>
      </c>
    </row>
    <row r="3048" spans="2:5" x14ac:dyDescent="0.3">
      <c r="B3048" s="2" t="str">
        <f>MID(TableQR[[#This Row],[QR CODES]],4,13)</f>
        <v/>
      </c>
      <c r="C3048" s="2" t="str">
        <f>IFERROR(VLOOKUP(TableQR[[#This Row],[BARCODES]],ILACLISTE[#All],2,0),"")</f>
        <v/>
      </c>
      <c r="D3048" s="2">
        <f t="shared" si="47"/>
        <v>0</v>
      </c>
      <c r="E3048" s="14" t="str">
        <f>IFERROR(GIZLI!G3043,"")</f>
        <v/>
      </c>
    </row>
    <row r="3049" spans="2:5" x14ac:dyDescent="0.3">
      <c r="B3049" s="2" t="str">
        <f>MID(TableQR[[#This Row],[QR CODES]],4,13)</f>
        <v/>
      </c>
      <c r="C3049" s="2" t="str">
        <f>IFERROR(VLOOKUP(TableQR[[#This Row],[BARCODES]],ILACLISTE[#All],2,0),"")</f>
        <v/>
      </c>
      <c r="D3049" s="2">
        <f t="shared" si="47"/>
        <v>0</v>
      </c>
      <c r="E3049" s="14" t="str">
        <f>IFERROR(GIZLI!G3044,"")</f>
        <v/>
      </c>
    </row>
    <row r="3050" spans="2:5" x14ac:dyDescent="0.3">
      <c r="B3050" s="2" t="str">
        <f>MID(TableQR[[#This Row],[QR CODES]],4,13)</f>
        <v/>
      </c>
      <c r="C3050" s="2" t="str">
        <f>IFERROR(VLOOKUP(TableQR[[#This Row],[BARCODES]],ILACLISTE[#All],2,0),"")</f>
        <v/>
      </c>
      <c r="D3050" s="2">
        <f t="shared" si="47"/>
        <v>0</v>
      </c>
      <c r="E3050" s="14" t="str">
        <f>IFERROR(GIZLI!G3045,"")</f>
        <v/>
      </c>
    </row>
    <row r="3051" spans="2:5" x14ac:dyDescent="0.3">
      <c r="B3051" s="2" t="str">
        <f>MID(TableQR[[#This Row],[QR CODES]],4,13)</f>
        <v/>
      </c>
      <c r="C3051" s="2" t="str">
        <f>IFERROR(VLOOKUP(TableQR[[#This Row],[BARCODES]],ILACLISTE[#All],2,0),"")</f>
        <v/>
      </c>
      <c r="D3051" s="2">
        <f t="shared" si="47"/>
        <v>0</v>
      </c>
      <c r="E3051" s="14" t="str">
        <f>IFERROR(GIZLI!G3046,"")</f>
        <v/>
      </c>
    </row>
    <row r="3052" spans="2:5" x14ac:dyDescent="0.3">
      <c r="B3052" s="2" t="str">
        <f>MID(TableQR[[#This Row],[QR CODES]],4,13)</f>
        <v/>
      </c>
      <c r="C3052" s="2" t="str">
        <f>IFERROR(VLOOKUP(TableQR[[#This Row],[BARCODES]],ILACLISTE[#All],2,0),"")</f>
        <v/>
      </c>
      <c r="D3052" s="2">
        <f t="shared" si="47"/>
        <v>0</v>
      </c>
      <c r="E3052" s="14" t="str">
        <f>IFERROR(GIZLI!G3047,"")</f>
        <v/>
      </c>
    </row>
    <row r="3053" spans="2:5" x14ac:dyDescent="0.3">
      <c r="B3053" s="2" t="str">
        <f>MID(TableQR[[#This Row],[QR CODES]],4,13)</f>
        <v/>
      </c>
      <c r="C3053" s="2" t="str">
        <f>IFERROR(VLOOKUP(TableQR[[#This Row],[BARCODES]],ILACLISTE[#All],2,0),"")</f>
        <v/>
      </c>
      <c r="D3053" s="2">
        <f t="shared" si="47"/>
        <v>0</v>
      </c>
      <c r="E3053" s="14" t="str">
        <f>IFERROR(GIZLI!G3048,"")</f>
        <v/>
      </c>
    </row>
    <row r="3054" spans="2:5" x14ac:dyDescent="0.3">
      <c r="B3054" s="2" t="str">
        <f>MID(TableQR[[#This Row],[QR CODES]],4,13)</f>
        <v/>
      </c>
      <c r="C3054" s="2" t="str">
        <f>IFERROR(VLOOKUP(TableQR[[#This Row],[BARCODES]],ILACLISTE[#All],2,0),"")</f>
        <v/>
      </c>
      <c r="D3054" s="2">
        <f t="shared" si="47"/>
        <v>0</v>
      </c>
      <c r="E3054" s="14" t="str">
        <f>IFERROR(GIZLI!G3049,"")</f>
        <v/>
      </c>
    </row>
    <row r="3055" spans="2:5" x14ac:dyDescent="0.3">
      <c r="B3055" s="2" t="str">
        <f>MID(TableQR[[#This Row],[QR CODES]],4,13)</f>
        <v/>
      </c>
      <c r="C3055" s="2" t="str">
        <f>IFERROR(VLOOKUP(TableQR[[#This Row],[BARCODES]],ILACLISTE[#All],2,0),"")</f>
        <v/>
      </c>
      <c r="D3055" s="2">
        <f t="shared" si="47"/>
        <v>0</v>
      </c>
      <c r="E3055" s="14" t="str">
        <f>IFERROR(GIZLI!G3050,"")</f>
        <v/>
      </c>
    </row>
    <row r="3056" spans="2:5" x14ac:dyDescent="0.3">
      <c r="B3056" s="2" t="str">
        <f>MID(TableQR[[#This Row],[QR CODES]],4,13)</f>
        <v/>
      </c>
      <c r="C3056" s="2" t="str">
        <f>IFERROR(VLOOKUP(TableQR[[#This Row],[BARCODES]],ILACLISTE[#All],2,0),"")</f>
        <v/>
      </c>
      <c r="D3056" s="2">
        <f t="shared" si="47"/>
        <v>0</v>
      </c>
      <c r="E3056" s="14" t="str">
        <f>IFERROR(GIZLI!G3051,"")</f>
        <v/>
      </c>
    </row>
    <row r="3057" spans="2:5" x14ac:dyDescent="0.3">
      <c r="B3057" s="2" t="str">
        <f>MID(TableQR[[#This Row],[QR CODES]],4,13)</f>
        <v/>
      </c>
      <c r="C3057" s="2" t="str">
        <f>IFERROR(VLOOKUP(TableQR[[#This Row],[BARCODES]],ILACLISTE[#All],2,0),"")</f>
        <v/>
      </c>
      <c r="D3057" s="2">
        <f t="shared" si="47"/>
        <v>0</v>
      </c>
      <c r="E3057" s="14" t="str">
        <f>IFERROR(GIZLI!G3052,"")</f>
        <v/>
      </c>
    </row>
    <row r="3058" spans="2:5" x14ac:dyDescent="0.3">
      <c r="B3058" s="2" t="str">
        <f>MID(TableQR[[#This Row],[QR CODES]],4,13)</f>
        <v/>
      </c>
      <c r="C3058" s="2" t="str">
        <f>IFERROR(VLOOKUP(TableQR[[#This Row],[BARCODES]],ILACLISTE[#All],2,0),"")</f>
        <v/>
      </c>
      <c r="D3058" s="2">
        <f t="shared" si="47"/>
        <v>0</v>
      </c>
      <c r="E3058" s="14" t="str">
        <f>IFERROR(GIZLI!G3053,"")</f>
        <v/>
      </c>
    </row>
    <row r="3059" spans="2:5" x14ac:dyDescent="0.3">
      <c r="B3059" s="2" t="str">
        <f>MID(TableQR[[#This Row],[QR CODES]],4,13)</f>
        <v/>
      </c>
      <c r="C3059" s="2" t="str">
        <f>IFERROR(VLOOKUP(TableQR[[#This Row],[BARCODES]],ILACLISTE[#All],2,0),"")</f>
        <v/>
      </c>
      <c r="D3059" s="2">
        <f t="shared" si="47"/>
        <v>0</v>
      </c>
      <c r="E3059" s="14" t="str">
        <f>IFERROR(GIZLI!G3054,"")</f>
        <v/>
      </c>
    </row>
    <row r="3060" spans="2:5" x14ac:dyDescent="0.3">
      <c r="B3060" s="2" t="str">
        <f>MID(TableQR[[#This Row],[QR CODES]],4,13)</f>
        <v/>
      </c>
      <c r="C3060" s="2" t="str">
        <f>IFERROR(VLOOKUP(TableQR[[#This Row],[BARCODES]],ILACLISTE[#All],2,0),"")</f>
        <v/>
      </c>
      <c r="D3060" s="2">
        <f t="shared" si="47"/>
        <v>0</v>
      </c>
      <c r="E3060" s="14" t="str">
        <f>IFERROR(GIZLI!G3055,"")</f>
        <v/>
      </c>
    </row>
    <row r="3061" spans="2:5" x14ac:dyDescent="0.3">
      <c r="B3061" s="2" t="str">
        <f>MID(TableQR[[#This Row],[QR CODES]],4,13)</f>
        <v/>
      </c>
      <c r="C3061" s="2" t="str">
        <f>IFERROR(VLOOKUP(TableQR[[#This Row],[BARCODES]],ILACLISTE[#All],2,0),"")</f>
        <v/>
      </c>
      <c r="D3061" s="2">
        <f t="shared" si="47"/>
        <v>0</v>
      </c>
      <c r="E3061" s="14" t="str">
        <f>IFERROR(GIZLI!G3056,"")</f>
        <v/>
      </c>
    </row>
    <row r="3062" spans="2:5" x14ac:dyDescent="0.3">
      <c r="B3062" s="2" t="str">
        <f>MID(TableQR[[#This Row],[QR CODES]],4,13)</f>
        <v/>
      </c>
      <c r="C3062" s="2" t="str">
        <f>IFERROR(VLOOKUP(TableQR[[#This Row],[BARCODES]],ILACLISTE[#All],2,0),"")</f>
        <v/>
      </c>
      <c r="D3062" s="2">
        <f t="shared" si="47"/>
        <v>0</v>
      </c>
      <c r="E3062" s="14" t="str">
        <f>IFERROR(GIZLI!G3057,"")</f>
        <v/>
      </c>
    </row>
    <row r="3063" spans="2:5" x14ac:dyDescent="0.3">
      <c r="B3063" s="2" t="str">
        <f>MID(TableQR[[#This Row],[QR CODES]],4,13)</f>
        <v/>
      </c>
      <c r="C3063" s="2" t="str">
        <f>IFERROR(VLOOKUP(TableQR[[#This Row],[BARCODES]],ILACLISTE[#All],2,0),"")</f>
        <v/>
      </c>
      <c r="D3063" s="2">
        <f t="shared" si="47"/>
        <v>0</v>
      </c>
      <c r="E3063" s="14" t="str">
        <f>IFERROR(GIZLI!G3058,"")</f>
        <v/>
      </c>
    </row>
    <row r="3064" spans="2:5" x14ac:dyDescent="0.3">
      <c r="B3064" s="2" t="str">
        <f>MID(TableQR[[#This Row],[QR CODES]],4,13)</f>
        <v/>
      </c>
      <c r="C3064" s="2" t="str">
        <f>IFERROR(VLOOKUP(TableQR[[#This Row],[BARCODES]],ILACLISTE[#All],2,0),"")</f>
        <v/>
      </c>
      <c r="D3064" s="2">
        <f t="shared" si="47"/>
        <v>0</v>
      </c>
      <c r="E3064" s="14" t="str">
        <f>IFERROR(GIZLI!G3059,"")</f>
        <v/>
      </c>
    </row>
    <row r="3065" spans="2:5" x14ac:dyDescent="0.3">
      <c r="B3065" s="2" t="str">
        <f>MID(TableQR[[#This Row],[QR CODES]],4,13)</f>
        <v/>
      </c>
      <c r="C3065" s="2" t="str">
        <f>IFERROR(VLOOKUP(TableQR[[#This Row],[BARCODES]],ILACLISTE[#All],2,0),"")</f>
        <v/>
      </c>
      <c r="D3065" s="2">
        <f t="shared" si="47"/>
        <v>0</v>
      </c>
      <c r="E3065" s="14" t="str">
        <f>IFERROR(GIZLI!G3060,"")</f>
        <v/>
      </c>
    </row>
    <row r="3066" spans="2:5" x14ac:dyDescent="0.3">
      <c r="B3066" s="2" t="str">
        <f>MID(TableQR[[#This Row],[QR CODES]],4,13)</f>
        <v/>
      </c>
      <c r="C3066" s="2" t="str">
        <f>IFERROR(VLOOKUP(TableQR[[#This Row],[BARCODES]],ILACLISTE[#All],2,0),"")</f>
        <v/>
      </c>
      <c r="D3066" s="2">
        <f t="shared" si="47"/>
        <v>0</v>
      </c>
      <c r="E3066" s="14" t="str">
        <f>IFERROR(GIZLI!G3061,"")</f>
        <v/>
      </c>
    </row>
    <row r="3067" spans="2:5" x14ac:dyDescent="0.3">
      <c r="B3067" s="2" t="str">
        <f>MID(TableQR[[#This Row],[QR CODES]],4,13)</f>
        <v/>
      </c>
      <c r="C3067" s="2" t="str">
        <f>IFERROR(VLOOKUP(TableQR[[#This Row],[BARCODES]],ILACLISTE[#All],2,0),"")</f>
        <v/>
      </c>
      <c r="D3067" s="2">
        <f t="shared" si="47"/>
        <v>0</v>
      </c>
      <c r="E3067" s="14" t="str">
        <f>IFERROR(GIZLI!G3062,"")</f>
        <v/>
      </c>
    </row>
    <row r="3068" spans="2:5" x14ac:dyDescent="0.3">
      <c r="B3068" s="2" t="str">
        <f>MID(TableQR[[#This Row],[QR CODES]],4,13)</f>
        <v/>
      </c>
      <c r="C3068" s="2" t="str">
        <f>IFERROR(VLOOKUP(TableQR[[#This Row],[BARCODES]],ILACLISTE[#All],2,0),"")</f>
        <v/>
      </c>
      <c r="D3068" s="2">
        <f t="shared" si="47"/>
        <v>0</v>
      </c>
      <c r="E3068" s="14" t="str">
        <f>IFERROR(GIZLI!G3063,"")</f>
        <v/>
      </c>
    </row>
    <row r="3069" spans="2:5" x14ac:dyDescent="0.3">
      <c r="B3069" s="2" t="str">
        <f>MID(TableQR[[#This Row],[QR CODES]],4,13)</f>
        <v/>
      </c>
      <c r="C3069" s="2" t="str">
        <f>IFERROR(VLOOKUP(TableQR[[#This Row],[BARCODES]],ILACLISTE[#All],2,0),"")</f>
        <v/>
      </c>
      <c r="D3069" s="2">
        <f t="shared" si="47"/>
        <v>0</v>
      </c>
      <c r="E3069" s="14" t="str">
        <f>IFERROR(GIZLI!G3064,"")</f>
        <v/>
      </c>
    </row>
    <row r="3070" spans="2:5" x14ac:dyDescent="0.3">
      <c r="B3070" s="2" t="str">
        <f>MID(TableQR[[#This Row],[QR CODES]],4,13)</f>
        <v/>
      </c>
      <c r="C3070" s="2" t="str">
        <f>IFERROR(VLOOKUP(TableQR[[#This Row],[BARCODES]],ILACLISTE[#All],2,0),"")</f>
        <v/>
      </c>
      <c r="D3070" s="2">
        <f t="shared" si="47"/>
        <v>0</v>
      </c>
      <c r="E3070" s="14" t="str">
        <f>IFERROR(GIZLI!G3065,"")</f>
        <v/>
      </c>
    </row>
    <row r="3071" spans="2:5" x14ac:dyDescent="0.3">
      <c r="B3071" s="2" t="str">
        <f>MID(TableQR[[#This Row],[QR CODES]],4,13)</f>
        <v/>
      </c>
      <c r="C3071" s="2" t="str">
        <f>IFERROR(VLOOKUP(TableQR[[#This Row],[BARCODES]],ILACLISTE[#All],2,0),"")</f>
        <v/>
      </c>
      <c r="D3071" s="2">
        <f t="shared" si="47"/>
        <v>0</v>
      </c>
      <c r="E3071" s="14" t="str">
        <f>IFERROR(GIZLI!G3066,"")</f>
        <v/>
      </c>
    </row>
    <row r="3072" spans="2:5" x14ac:dyDescent="0.3">
      <c r="B3072" s="2" t="str">
        <f>MID(TableQR[[#This Row],[QR CODES]],4,13)</f>
        <v/>
      </c>
      <c r="C3072" s="2" t="str">
        <f>IFERROR(VLOOKUP(TableQR[[#This Row],[BARCODES]],ILACLISTE[#All],2,0),"")</f>
        <v/>
      </c>
      <c r="D3072" s="2">
        <f t="shared" si="47"/>
        <v>0</v>
      </c>
      <c r="E3072" s="14" t="str">
        <f>IFERROR(GIZLI!G3067,"")</f>
        <v/>
      </c>
    </row>
    <row r="3073" spans="2:5" x14ac:dyDescent="0.3">
      <c r="B3073" s="2" t="str">
        <f>MID(TableQR[[#This Row],[QR CODES]],4,13)</f>
        <v/>
      </c>
      <c r="C3073" s="2" t="str">
        <f>IFERROR(VLOOKUP(TableQR[[#This Row],[BARCODES]],ILACLISTE[#All],2,0),"")</f>
        <v/>
      </c>
      <c r="D3073" s="2">
        <f t="shared" si="47"/>
        <v>0</v>
      </c>
      <c r="E3073" s="14" t="str">
        <f>IFERROR(GIZLI!G3068,"")</f>
        <v/>
      </c>
    </row>
    <row r="3074" spans="2:5" x14ac:dyDescent="0.3">
      <c r="B3074" s="2" t="str">
        <f>MID(TableQR[[#This Row],[QR CODES]],4,13)</f>
        <v/>
      </c>
      <c r="C3074" s="2" t="str">
        <f>IFERROR(VLOOKUP(TableQR[[#This Row],[BARCODES]],ILACLISTE[#All],2,0),"")</f>
        <v/>
      </c>
      <c r="D3074" s="2">
        <f t="shared" si="47"/>
        <v>0</v>
      </c>
      <c r="E3074" s="14" t="str">
        <f>IFERROR(GIZLI!G3069,"")</f>
        <v/>
      </c>
    </row>
    <row r="3075" spans="2:5" x14ac:dyDescent="0.3">
      <c r="B3075" s="2" t="str">
        <f>MID(TableQR[[#This Row],[QR CODES]],4,13)</f>
        <v/>
      </c>
      <c r="C3075" s="2" t="str">
        <f>IFERROR(VLOOKUP(TableQR[[#This Row],[BARCODES]],ILACLISTE[#All],2,0),"")</f>
        <v/>
      </c>
      <c r="D3075" s="2">
        <f t="shared" si="47"/>
        <v>0</v>
      </c>
      <c r="E3075" s="14" t="str">
        <f>IFERROR(GIZLI!G3070,"")</f>
        <v/>
      </c>
    </row>
    <row r="3076" spans="2:5" x14ac:dyDescent="0.3">
      <c r="B3076" s="2" t="str">
        <f>MID(TableQR[[#This Row],[QR CODES]],4,13)</f>
        <v/>
      </c>
      <c r="C3076" s="2" t="str">
        <f>IFERROR(VLOOKUP(TableQR[[#This Row],[BARCODES]],ILACLISTE[#All],2,0),"")</f>
        <v/>
      </c>
      <c r="D3076" s="2">
        <f t="shared" si="47"/>
        <v>0</v>
      </c>
      <c r="E3076" s="14" t="str">
        <f>IFERROR(GIZLI!G3071,"")</f>
        <v/>
      </c>
    </row>
    <row r="3077" spans="2:5" x14ac:dyDescent="0.3">
      <c r="B3077" s="2" t="str">
        <f>MID(TableQR[[#This Row],[QR CODES]],4,13)</f>
        <v/>
      </c>
      <c r="C3077" s="2" t="str">
        <f>IFERROR(VLOOKUP(TableQR[[#This Row],[BARCODES]],ILACLISTE[#All],2,0),"")</f>
        <v/>
      </c>
      <c r="D3077" s="2">
        <f t="shared" si="47"/>
        <v>0</v>
      </c>
      <c r="E3077" s="14" t="str">
        <f>IFERROR(GIZLI!G3072,"")</f>
        <v/>
      </c>
    </row>
    <row r="3078" spans="2:5" x14ac:dyDescent="0.3">
      <c r="B3078" s="2" t="str">
        <f>MID(TableQR[[#This Row],[QR CODES]],4,13)</f>
        <v/>
      </c>
      <c r="C3078" s="2" t="str">
        <f>IFERROR(VLOOKUP(TableQR[[#This Row],[BARCODES]],ILACLISTE[#All],2,0),"")</f>
        <v/>
      </c>
      <c r="D3078" s="2">
        <f t="shared" si="47"/>
        <v>0</v>
      </c>
      <c r="E3078" s="14" t="str">
        <f>IFERROR(GIZLI!G3073,"")</f>
        <v/>
      </c>
    </row>
    <row r="3079" spans="2:5" x14ac:dyDescent="0.3">
      <c r="B3079" s="2" t="str">
        <f>MID(TableQR[[#This Row],[QR CODES]],4,13)</f>
        <v/>
      </c>
      <c r="C3079" s="2" t="str">
        <f>IFERROR(VLOOKUP(TableQR[[#This Row],[BARCODES]],ILACLISTE[#All],2,0),"")</f>
        <v/>
      </c>
      <c r="D3079" s="2">
        <f t="shared" si="47"/>
        <v>0</v>
      </c>
      <c r="E3079" s="14" t="str">
        <f>IFERROR(GIZLI!G3074,"")</f>
        <v/>
      </c>
    </row>
    <row r="3080" spans="2:5" x14ac:dyDescent="0.3">
      <c r="B3080" s="2" t="str">
        <f>MID(TableQR[[#This Row],[QR CODES]],4,13)</f>
        <v/>
      </c>
      <c r="C3080" s="2" t="str">
        <f>IFERROR(VLOOKUP(TableQR[[#This Row],[BARCODES]],ILACLISTE[#All],2,0),"")</f>
        <v/>
      </c>
      <c r="D3080" s="2">
        <f t="shared" ref="D3080:D3143" si="48">COUNTIF(B3080:B7073,IF(B3080="",66666,B3080))</f>
        <v>0</v>
      </c>
      <c r="E3080" s="14" t="str">
        <f>IFERROR(GIZLI!G3075,"")</f>
        <v/>
      </c>
    </row>
    <row r="3081" spans="2:5" x14ac:dyDescent="0.3">
      <c r="B3081" s="2" t="str">
        <f>MID(TableQR[[#This Row],[QR CODES]],4,13)</f>
        <v/>
      </c>
      <c r="C3081" s="2" t="str">
        <f>IFERROR(VLOOKUP(TableQR[[#This Row],[BARCODES]],ILACLISTE[#All],2,0),"")</f>
        <v/>
      </c>
      <c r="D3081" s="2">
        <f t="shared" si="48"/>
        <v>0</v>
      </c>
      <c r="E3081" s="14" t="str">
        <f>IFERROR(GIZLI!G3076,"")</f>
        <v/>
      </c>
    </row>
    <row r="3082" spans="2:5" x14ac:dyDescent="0.3">
      <c r="B3082" s="2" t="str">
        <f>MID(TableQR[[#This Row],[QR CODES]],4,13)</f>
        <v/>
      </c>
      <c r="C3082" s="2" t="str">
        <f>IFERROR(VLOOKUP(TableQR[[#This Row],[BARCODES]],ILACLISTE[#All],2,0),"")</f>
        <v/>
      </c>
      <c r="D3082" s="2">
        <f t="shared" si="48"/>
        <v>0</v>
      </c>
      <c r="E3082" s="14" t="str">
        <f>IFERROR(GIZLI!G3077,"")</f>
        <v/>
      </c>
    </row>
    <row r="3083" spans="2:5" x14ac:dyDescent="0.3">
      <c r="B3083" s="2" t="str">
        <f>MID(TableQR[[#This Row],[QR CODES]],4,13)</f>
        <v/>
      </c>
      <c r="C3083" s="2" t="str">
        <f>IFERROR(VLOOKUP(TableQR[[#This Row],[BARCODES]],ILACLISTE[#All],2,0),"")</f>
        <v/>
      </c>
      <c r="D3083" s="2">
        <f t="shared" si="48"/>
        <v>0</v>
      </c>
      <c r="E3083" s="14" t="str">
        <f>IFERROR(GIZLI!G3078,"")</f>
        <v/>
      </c>
    </row>
    <row r="3084" spans="2:5" x14ac:dyDescent="0.3">
      <c r="B3084" s="2" t="str">
        <f>MID(TableQR[[#This Row],[QR CODES]],4,13)</f>
        <v/>
      </c>
      <c r="C3084" s="2" t="str">
        <f>IFERROR(VLOOKUP(TableQR[[#This Row],[BARCODES]],ILACLISTE[#All],2,0),"")</f>
        <v/>
      </c>
      <c r="D3084" s="2">
        <f t="shared" si="48"/>
        <v>0</v>
      </c>
      <c r="E3084" s="14" t="str">
        <f>IFERROR(GIZLI!G3079,"")</f>
        <v/>
      </c>
    </row>
    <row r="3085" spans="2:5" x14ac:dyDescent="0.3">
      <c r="B3085" s="2" t="str">
        <f>MID(TableQR[[#This Row],[QR CODES]],4,13)</f>
        <v/>
      </c>
      <c r="C3085" s="2" t="str">
        <f>IFERROR(VLOOKUP(TableQR[[#This Row],[BARCODES]],ILACLISTE[#All],2,0),"")</f>
        <v/>
      </c>
      <c r="D3085" s="2">
        <f t="shared" si="48"/>
        <v>0</v>
      </c>
      <c r="E3085" s="14" t="str">
        <f>IFERROR(GIZLI!G3080,"")</f>
        <v/>
      </c>
    </row>
    <row r="3086" spans="2:5" x14ac:dyDescent="0.3">
      <c r="B3086" s="2" t="str">
        <f>MID(TableQR[[#This Row],[QR CODES]],4,13)</f>
        <v/>
      </c>
      <c r="C3086" s="2" t="str">
        <f>IFERROR(VLOOKUP(TableQR[[#This Row],[BARCODES]],ILACLISTE[#All],2,0),"")</f>
        <v/>
      </c>
      <c r="D3086" s="2">
        <f t="shared" si="48"/>
        <v>0</v>
      </c>
      <c r="E3086" s="14" t="str">
        <f>IFERROR(GIZLI!G3081,"")</f>
        <v/>
      </c>
    </row>
    <row r="3087" spans="2:5" x14ac:dyDescent="0.3">
      <c r="B3087" s="2" t="str">
        <f>MID(TableQR[[#This Row],[QR CODES]],4,13)</f>
        <v/>
      </c>
      <c r="C3087" s="2" t="str">
        <f>IFERROR(VLOOKUP(TableQR[[#This Row],[BARCODES]],ILACLISTE[#All],2,0),"")</f>
        <v/>
      </c>
      <c r="D3087" s="2">
        <f t="shared" si="48"/>
        <v>0</v>
      </c>
      <c r="E3087" s="14" t="str">
        <f>IFERROR(GIZLI!G3082,"")</f>
        <v/>
      </c>
    </row>
    <row r="3088" spans="2:5" x14ac:dyDescent="0.3">
      <c r="B3088" s="2" t="str">
        <f>MID(TableQR[[#This Row],[QR CODES]],4,13)</f>
        <v/>
      </c>
      <c r="C3088" s="2" t="str">
        <f>IFERROR(VLOOKUP(TableQR[[#This Row],[BARCODES]],ILACLISTE[#All],2,0),"")</f>
        <v/>
      </c>
      <c r="D3088" s="2">
        <f t="shared" si="48"/>
        <v>0</v>
      </c>
      <c r="E3088" s="14" t="str">
        <f>IFERROR(GIZLI!G3083,"")</f>
        <v/>
      </c>
    </row>
    <row r="3089" spans="2:5" x14ac:dyDescent="0.3">
      <c r="B3089" s="2" t="str">
        <f>MID(TableQR[[#This Row],[QR CODES]],4,13)</f>
        <v/>
      </c>
      <c r="C3089" s="2" t="str">
        <f>IFERROR(VLOOKUP(TableQR[[#This Row],[BARCODES]],ILACLISTE[#All],2,0),"")</f>
        <v/>
      </c>
      <c r="D3089" s="2">
        <f t="shared" si="48"/>
        <v>0</v>
      </c>
      <c r="E3089" s="14" t="str">
        <f>IFERROR(GIZLI!G3084,"")</f>
        <v/>
      </c>
    </row>
    <row r="3090" spans="2:5" x14ac:dyDescent="0.3">
      <c r="B3090" s="2" t="str">
        <f>MID(TableQR[[#This Row],[QR CODES]],4,13)</f>
        <v/>
      </c>
      <c r="C3090" s="2" t="str">
        <f>IFERROR(VLOOKUP(TableQR[[#This Row],[BARCODES]],ILACLISTE[#All],2,0),"")</f>
        <v/>
      </c>
      <c r="D3090" s="2">
        <f t="shared" si="48"/>
        <v>0</v>
      </c>
      <c r="E3090" s="14" t="str">
        <f>IFERROR(GIZLI!G3085,"")</f>
        <v/>
      </c>
    </row>
    <row r="3091" spans="2:5" x14ac:dyDescent="0.3">
      <c r="B3091" s="2" t="str">
        <f>MID(TableQR[[#This Row],[QR CODES]],4,13)</f>
        <v/>
      </c>
      <c r="C3091" s="2" t="str">
        <f>IFERROR(VLOOKUP(TableQR[[#This Row],[BARCODES]],ILACLISTE[#All],2,0),"")</f>
        <v/>
      </c>
      <c r="D3091" s="2">
        <f t="shared" si="48"/>
        <v>0</v>
      </c>
      <c r="E3091" s="14" t="str">
        <f>IFERROR(GIZLI!G3086,"")</f>
        <v/>
      </c>
    </row>
    <row r="3092" spans="2:5" x14ac:dyDescent="0.3">
      <c r="B3092" s="2" t="str">
        <f>MID(TableQR[[#This Row],[QR CODES]],4,13)</f>
        <v/>
      </c>
      <c r="C3092" s="2" t="str">
        <f>IFERROR(VLOOKUP(TableQR[[#This Row],[BARCODES]],ILACLISTE[#All],2,0),"")</f>
        <v/>
      </c>
      <c r="D3092" s="2">
        <f t="shared" si="48"/>
        <v>0</v>
      </c>
      <c r="E3092" s="14" t="str">
        <f>IFERROR(GIZLI!G3087,"")</f>
        <v/>
      </c>
    </row>
    <row r="3093" spans="2:5" x14ac:dyDescent="0.3">
      <c r="B3093" s="2" t="str">
        <f>MID(TableQR[[#This Row],[QR CODES]],4,13)</f>
        <v/>
      </c>
      <c r="C3093" s="2" t="str">
        <f>IFERROR(VLOOKUP(TableQR[[#This Row],[BARCODES]],ILACLISTE[#All],2,0),"")</f>
        <v/>
      </c>
      <c r="D3093" s="2">
        <f t="shared" si="48"/>
        <v>0</v>
      </c>
      <c r="E3093" s="14" t="str">
        <f>IFERROR(GIZLI!G3088,"")</f>
        <v/>
      </c>
    </row>
    <row r="3094" spans="2:5" x14ac:dyDescent="0.3">
      <c r="B3094" s="2" t="str">
        <f>MID(TableQR[[#This Row],[QR CODES]],4,13)</f>
        <v/>
      </c>
      <c r="C3094" s="2" t="str">
        <f>IFERROR(VLOOKUP(TableQR[[#This Row],[BARCODES]],ILACLISTE[#All],2,0),"")</f>
        <v/>
      </c>
      <c r="D3094" s="2">
        <f t="shared" si="48"/>
        <v>0</v>
      </c>
      <c r="E3094" s="14" t="str">
        <f>IFERROR(GIZLI!G3089,"")</f>
        <v/>
      </c>
    </row>
    <row r="3095" spans="2:5" x14ac:dyDescent="0.3">
      <c r="B3095" s="2" t="str">
        <f>MID(TableQR[[#This Row],[QR CODES]],4,13)</f>
        <v/>
      </c>
      <c r="C3095" s="2" t="str">
        <f>IFERROR(VLOOKUP(TableQR[[#This Row],[BARCODES]],ILACLISTE[#All],2,0),"")</f>
        <v/>
      </c>
      <c r="D3095" s="2">
        <f t="shared" si="48"/>
        <v>0</v>
      </c>
      <c r="E3095" s="14" t="str">
        <f>IFERROR(GIZLI!G3090,"")</f>
        <v/>
      </c>
    </row>
    <row r="3096" spans="2:5" x14ac:dyDescent="0.3">
      <c r="B3096" s="2" t="str">
        <f>MID(TableQR[[#This Row],[QR CODES]],4,13)</f>
        <v/>
      </c>
      <c r="C3096" s="2" t="str">
        <f>IFERROR(VLOOKUP(TableQR[[#This Row],[BARCODES]],ILACLISTE[#All],2,0),"")</f>
        <v/>
      </c>
      <c r="D3096" s="2">
        <f t="shared" si="48"/>
        <v>0</v>
      </c>
      <c r="E3096" s="14" t="str">
        <f>IFERROR(GIZLI!G3091,"")</f>
        <v/>
      </c>
    </row>
    <row r="3097" spans="2:5" x14ac:dyDescent="0.3">
      <c r="B3097" s="2" t="str">
        <f>MID(TableQR[[#This Row],[QR CODES]],4,13)</f>
        <v/>
      </c>
      <c r="C3097" s="2" t="str">
        <f>IFERROR(VLOOKUP(TableQR[[#This Row],[BARCODES]],ILACLISTE[#All],2,0),"")</f>
        <v/>
      </c>
      <c r="D3097" s="2">
        <f t="shared" si="48"/>
        <v>0</v>
      </c>
      <c r="E3097" s="14" t="str">
        <f>IFERROR(GIZLI!G3092,"")</f>
        <v/>
      </c>
    </row>
    <row r="3098" spans="2:5" x14ac:dyDescent="0.3">
      <c r="B3098" s="2" t="str">
        <f>MID(TableQR[[#This Row],[QR CODES]],4,13)</f>
        <v/>
      </c>
      <c r="C3098" s="2" t="str">
        <f>IFERROR(VLOOKUP(TableQR[[#This Row],[BARCODES]],ILACLISTE[#All],2,0),"")</f>
        <v/>
      </c>
      <c r="D3098" s="2">
        <f t="shared" si="48"/>
        <v>0</v>
      </c>
      <c r="E3098" s="14" t="str">
        <f>IFERROR(GIZLI!G3093,"")</f>
        <v/>
      </c>
    </row>
    <row r="3099" spans="2:5" x14ac:dyDescent="0.3">
      <c r="B3099" s="2" t="str">
        <f>MID(TableQR[[#This Row],[QR CODES]],4,13)</f>
        <v/>
      </c>
      <c r="C3099" s="2" t="str">
        <f>IFERROR(VLOOKUP(TableQR[[#This Row],[BARCODES]],ILACLISTE[#All],2,0),"")</f>
        <v/>
      </c>
      <c r="D3099" s="2">
        <f t="shared" si="48"/>
        <v>0</v>
      </c>
      <c r="E3099" s="14" t="str">
        <f>IFERROR(GIZLI!G3094,"")</f>
        <v/>
      </c>
    </row>
    <row r="3100" spans="2:5" x14ac:dyDescent="0.3">
      <c r="B3100" s="2" t="str">
        <f>MID(TableQR[[#This Row],[QR CODES]],4,13)</f>
        <v/>
      </c>
      <c r="C3100" s="2" t="str">
        <f>IFERROR(VLOOKUP(TableQR[[#This Row],[BARCODES]],ILACLISTE[#All],2,0),"")</f>
        <v/>
      </c>
      <c r="D3100" s="2">
        <f t="shared" si="48"/>
        <v>0</v>
      </c>
      <c r="E3100" s="14" t="str">
        <f>IFERROR(GIZLI!G3095,"")</f>
        <v/>
      </c>
    </row>
    <row r="3101" spans="2:5" x14ac:dyDescent="0.3">
      <c r="B3101" s="2" t="str">
        <f>MID(TableQR[[#This Row],[QR CODES]],4,13)</f>
        <v/>
      </c>
      <c r="C3101" s="2" t="str">
        <f>IFERROR(VLOOKUP(TableQR[[#This Row],[BARCODES]],ILACLISTE[#All],2,0),"")</f>
        <v/>
      </c>
      <c r="D3101" s="2">
        <f t="shared" si="48"/>
        <v>0</v>
      </c>
      <c r="E3101" s="14" t="str">
        <f>IFERROR(GIZLI!G3096,"")</f>
        <v/>
      </c>
    </row>
    <row r="3102" spans="2:5" x14ac:dyDescent="0.3">
      <c r="B3102" s="2" t="str">
        <f>MID(TableQR[[#This Row],[QR CODES]],4,13)</f>
        <v/>
      </c>
      <c r="C3102" s="2" t="str">
        <f>IFERROR(VLOOKUP(TableQR[[#This Row],[BARCODES]],ILACLISTE[#All],2,0),"")</f>
        <v/>
      </c>
      <c r="D3102" s="2">
        <f t="shared" si="48"/>
        <v>0</v>
      </c>
      <c r="E3102" s="14" t="str">
        <f>IFERROR(GIZLI!G3097,"")</f>
        <v/>
      </c>
    </row>
    <row r="3103" spans="2:5" x14ac:dyDescent="0.3">
      <c r="B3103" s="2" t="str">
        <f>MID(TableQR[[#This Row],[QR CODES]],4,13)</f>
        <v/>
      </c>
      <c r="C3103" s="2" t="str">
        <f>IFERROR(VLOOKUP(TableQR[[#This Row],[BARCODES]],ILACLISTE[#All],2,0),"")</f>
        <v/>
      </c>
      <c r="D3103" s="2">
        <f t="shared" si="48"/>
        <v>0</v>
      </c>
      <c r="E3103" s="14" t="str">
        <f>IFERROR(GIZLI!G3098,"")</f>
        <v/>
      </c>
    </row>
    <row r="3104" spans="2:5" x14ac:dyDescent="0.3">
      <c r="B3104" s="2" t="str">
        <f>MID(TableQR[[#This Row],[QR CODES]],4,13)</f>
        <v/>
      </c>
      <c r="C3104" s="2" t="str">
        <f>IFERROR(VLOOKUP(TableQR[[#This Row],[BARCODES]],ILACLISTE[#All],2,0),"")</f>
        <v/>
      </c>
      <c r="D3104" s="2">
        <f t="shared" si="48"/>
        <v>0</v>
      </c>
      <c r="E3104" s="14" t="str">
        <f>IFERROR(GIZLI!G3099,"")</f>
        <v/>
      </c>
    </row>
    <row r="3105" spans="2:5" x14ac:dyDescent="0.3">
      <c r="B3105" s="2" t="str">
        <f>MID(TableQR[[#This Row],[QR CODES]],4,13)</f>
        <v/>
      </c>
      <c r="C3105" s="2" t="str">
        <f>IFERROR(VLOOKUP(TableQR[[#This Row],[BARCODES]],ILACLISTE[#All],2,0),"")</f>
        <v/>
      </c>
      <c r="D3105" s="2">
        <f t="shared" si="48"/>
        <v>0</v>
      </c>
      <c r="E3105" s="14" t="str">
        <f>IFERROR(GIZLI!G3100,"")</f>
        <v/>
      </c>
    </row>
    <row r="3106" spans="2:5" x14ac:dyDescent="0.3">
      <c r="B3106" s="2" t="str">
        <f>MID(TableQR[[#This Row],[QR CODES]],4,13)</f>
        <v/>
      </c>
      <c r="C3106" s="2" t="str">
        <f>IFERROR(VLOOKUP(TableQR[[#This Row],[BARCODES]],ILACLISTE[#All],2,0),"")</f>
        <v/>
      </c>
      <c r="D3106" s="2">
        <f t="shared" si="48"/>
        <v>0</v>
      </c>
      <c r="E3106" s="14" t="str">
        <f>IFERROR(GIZLI!G3101,"")</f>
        <v/>
      </c>
    </row>
    <row r="3107" spans="2:5" x14ac:dyDescent="0.3">
      <c r="B3107" s="2" t="str">
        <f>MID(TableQR[[#This Row],[QR CODES]],4,13)</f>
        <v/>
      </c>
      <c r="C3107" s="2" t="str">
        <f>IFERROR(VLOOKUP(TableQR[[#This Row],[BARCODES]],ILACLISTE[#All],2,0),"")</f>
        <v/>
      </c>
      <c r="D3107" s="2">
        <f t="shared" si="48"/>
        <v>0</v>
      </c>
      <c r="E3107" s="14" t="str">
        <f>IFERROR(GIZLI!G3102,"")</f>
        <v/>
      </c>
    </row>
    <row r="3108" spans="2:5" x14ac:dyDescent="0.3">
      <c r="B3108" s="2" t="str">
        <f>MID(TableQR[[#This Row],[QR CODES]],4,13)</f>
        <v/>
      </c>
      <c r="C3108" s="2" t="str">
        <f>IFERROR(VLOOKUP(TableQR[[#This Row],[BARCODES]],ILACLISTE[#All],2,0),"")</f>
        <v/>
      </c>
      <c r="D3108" s="2">
        <f t="shared" si="48"/>
        <v>0</v>
      </c>
      <c r="E3108" s="14" t="str">
        <f>IFERROR(GIZLI!G3103,"")</f>
        <v/>
      </c>
    </row>
    <row r="3109" spans="2:5" x14ac:dyDescent="0.3">
      <c r="B3109" s="2" t="str">
        <f>MID(TableQR[[#This Row],[QR CODES]],4,13)</f>
        <v/>
      </c>
      <c r="C3109" s="2" t="str">
        <f>IFERROR(VLOOKUP(TableQR[[#This Row],[BARCODES]],ILACLISTE[#All],2,0),"")</f>
        <v/>
      </c>
      <c r="D3109" s="2">
        <f t="shared" si="48"/>
        <v>0</v>
      </c>
      <c r="E3109" s="14" t="str">
        <f>IFERROR(GIZLI!G3104,"")</f>
        <v/>
      </c>
    </row>
    <row r="3110" spans="2:5" x14ac:dyDescent="0.3">
      <c r="B3110" s="2" t="str">
        <f>MID(TableQR[[#This Row],[QR CODES]],4,13)</f>
        <v/>
      </c>
      <c r="C3110" s="2" t="str">
        <f>IFERROR(VLOOKUP(TableQR[[#This Row],[BARCODES]],ILACLISTE[#All],2,0),"")</f>
        <v/>
      </c>
      <c r="D3110" s="2">
        <f t="shared" si="48"/>
        <v>0</v>
      </c>
      <c r="E3110" s="14" t="str">
        <f>IFERROR(GIZLI!G3105,"")</f>
        <v/>
      </c>
    </row>
    <row r="3111" spans="2:5" x14ac:dyDescent="0.3">
      <c r="B3111" s="2" t="str">
        <f>MID(TableQR[[#This Row],[QR CODES]],4,13)</f>
        <v/>
      </c>
      <c r="C3111" s="2" t="str">
        <f>IFERROR(VLOOKUP(TableQR[[#This Row],[BARCODES]],ILACLISTE[#All],2,0),"")</f>
        <v/>
      </c>
      <c r="D3111" s="2">
        <f t="shared" si="48"/>
        <v>0</v>
      </c>
      <c r="E3111" s="14" t="str">
        <f>IFERROR(GIZLI!G3106,"")</f>
        <v/>
      </c>
    </row>
    <row r="3112" spans="2:5" x14ac:dyDescent="0.3">
      <c r="B3112" s="2" t="str">
        <f>MID(TableQR[[#This Row],[QR CODES]],4,13)</f>
        <v/>
      </c>
      <c r="C3112" s="2" t="str">
        <f>IFERROR(VLOOKUP(TableQR[[#This Row],[BARCODES]],ILACLISTE[#All],2,0),"")</f>
        <v/>
      </c>
      <c r="D3112" s="2">
        <f t="shared" si="48"/>
        <v>0</v>
      </c>
      <c r="E3112" s="14" t="str">
        <f>IFERROR(GIZLI!G3107,"")</f>
        <v/>
      </c>
    </row>
    <row r="3113" spans="2:5" x14ac:dyDescent="0.3">
      <c r="B3113" s="2" t="str">
        <f>MID(TableQR[[#This Row],[QR CODES]],4,13)</f>
        <v/>
      </c>
      <c r="C3113" s="2" t="str">
        <f>IFERROR(VLOOKUP(TableQR[[#This Row],[BARCODES]],ILACLISTE[#All],2,0),"")</f>
        <v/>
      </c>
      <c r="D3113" s="2">
        <f t="shared" si="48"/>
        <v>0</v>
      </c>
      <c r="E3113" s="14" t="str">
        <f>IFERROR(GIZLI!G3108,"")</f>
        <v/>
      </c>
    </row>
    <row r="3114" spans="2:5" x14ac:dyDescent="0.3">
      <c r="B3114" s="2" t="str">
        <f>MID(TableQR[[#This Row],[QR CODES]],4,13)</f>
        <v/>
      </c>
      <c r="C3114" s="2" t="str">
        <f>IFERROR(VLOOKUP(TableQR[[#This Row],[BARCODES]],ILACLISTE[#All],2,0),"")</f>
        <v/>
      </c>
      <c r="D3114" s="2">
        <f t="shared" si="48"/>
        <v>0</v>
      </c>
      <c r="E3114" s="14" t="str">
        <f>IFERROR(GIZLI!G3109,"")</f>
        <v/>
      </c>
    </row>
    <row r="3115" spans="2:5" x14ac:dyDescent="0.3">
      <c r="B3115" s="2" t="str">
        <f>MID(TableQR[[#This Row],[QR CODES]],4,13)</f>
        <v/>
      </c>
      <c r="C3115" s="2" t="str">
        <f>IFERROR(VLOOKUP(TableQR[[#This Row],[BARCODES]],ILACLISTE[#All],2,0),"")</f>
        <v/>
      </c>
      <c r="D3115" s="2">
        <f t="shared" si="48"/>
        <v>0</v>
      </c>
      <c r="E3115" s="14" t="str">
        <f>IFERROR(GIZLI!G3110,"")</f>
        <v/>
      </c>
    </row>
    <row r="3116" spans="2:5" x14ac:dyDescent="0.3">
      <c r="B3116" s="2" t="str">
        <f>MID(TableQR[[#This Row],[QR CODES]],4,13)</f>
        <v/>
      </c>
      <c r="C3116" s="2" t="str">
        <f>IFERROR(VLOOKUP(TableQR[[#This Row],[BARCODES]],ILACLISTE[#All],2,0),"")</f>
        <v/>
      </c>
      <c r="D3116" s="2">
        <f t="shared" si="48"/>
        <v>0</v>
      </c>
      <c r="E3116" s="14" t="str">
        <f>IFERROR(GIZLI!G3111,"")</f>
        <v/>
      </c>
    </row>
    <row r="3117" spans="2:5" x14ac:dyDescent="0.3">
      <c r="B3117" s="2" t="str">
        <f>MID(TableQR[[#This Row],[QR CODES]],4,13)</f>
        <v/>
      </c>
      <c r="C3117" s="2" t="str">
        <f>IFERROR(VLOOKUP(TableQR[[#This Row],[BARCODES]],ILACLISTE[#All],2,0),"")</f>
        <v/>
      </c>
      <c r="D3117" s="2">
        <f t="shared" si="48"/>
        <v>0</v>
      </c>
      <c r="E3117" s="14" t="str">
        <f>IFERROR(GIZLI!G3112,"")</f>
        <v/>
      </c>
    </row>
    <row r="3118" spans="2:5" x14ac:dyDescent="0.3">
      <c r="B3118" s="2" t="str">
        <f>MID(TableQR[[#This Row],[QR CODES]],4,13)</f>
        <v/>
      </c>
      <c r="C3118" s="2" t="str">
        <f>IFERROR(VLOOKUP(TableQR[[#This Row],[BARCODES]],ILACLISTE[#All],2,0),"")</f>
        <v/>
      </c>
      <c r="D3118" s="2">
        <f t="shared" si="48"/>
        <v>0</v>
      </c>
      <c r="E3118" s="14" t="str">
        <f>IFERROR(GIZLI!G3113,"")</f>
        <v/>
      </c>
    </row>
    <row r="3119" spans="2:5" x14ac:dyDescent="0.3">
      <c r="B3119" s="2" t="str">
        <f>MID(TableQR[[#This Row],[QR CODES]],4,13)</f>
        <v/>
      </c>
      <c r="C3119" s="2" t="str">
        <f>IFERROR(VLOOKUP(TableQR[[#This Row],[BARCODES]],ILACLISTE[#All],2,0),"")</f>
        <v/>
      </c>
      <c r="D3119" s="2">
        <f t="shared" si="48"/>
        <v>0</v>
      </c>
      <c r="E3119" s="14" t="str">
        <f>IFERROR(GIZLI!G3114,"")</f>
        <v/>
      </c>
    </row>
    <row r="3120" spans="2:5" x14ac:dyDescent="0.3">
      <c r="B3120" s="2" t="str">
        <f>MID(TableQR[[#This Row],[QR CODES]],4,13)</f>
        <v/>
      </c>
      <c r="C3120" s="2" t="str">
        <f>IFERROR(VLOOKUP(TableQR[[#This Row],[BARCODES]],ILACLISTE[#All],2,0),"")</f>
        <v/>
      </c>
      <c r="D3120" s="2">
        <f t="shared" si="48"/>
        <v>0</v>
      </c>
      <c r="E3120" s="14" t="str">
        <f>IFERROR(GIZLI!G3115,"")</f>
        <v/>
      </c>
    </row>
    <row r="3121" spans="2:5" x14ac:dyDescent="0.3">
      <c r="B3121" s="2" t="str">
        <f>MID(TableQR[[#This Row],[QR CODES]],4,13)</f>
        <v/>
      </c>
      <c r="C3121" s="2" t="str">
        <f>IFERROR(VLOOKUP(TableQR[[#This Row],[BARCODES]],ILACLISTE[#All],2,0),"")</f>
        <v/>
      </c>
      <c r="D3121" s="2">
        <f t="shared" si="48"/>
        <v>0</v>
      </c>
      <c r="E3121" s="14" t="str">
        <f>IFERROR(GIZLI!G3116,"")</f>
        <v/>
      </c>
    </row>
    <row r="3122" spans="2:5" x14ac:dyDescent="0.3">
      <c r="B3122" s="2" t="str">
        <f>MID(TableQR[[#This Row],[QR CODES]],4,13)</f>
        <v/>
      </c>
      <c r="C3122" s="2" t="str">
        <f>IFERROR(VLOOKUP(TableQR[[#This Row],[BARCODES]],ILACLISTE[#All],2,0),"")</f>
        <v/>
      </c>
      <c r="D3122" s="2">
        <f t="shared" si="48"/>
        <v>0</v>
      </c>
      <c r="E3122" s="14" t="str">
        <f>IFERROR(GIZLI!G3117,"")</f>
        <v/>
      </c>
    </row>
    <row r="3123" spans="2:5" x14ac:dyDescent="0.3">
      <c r="B3123" s="2" t="str">
        <f>MID(TableQR[[#This Row],[QR CODES]],4,13)</f>
        <v/>
      </c>
      <c r="C3123" s="2" t="str">
        <f>IFERROR(VLOOKUP(TableQR[[#This Row],[BARCODES]],ILACLISTE[#All],2,0),"")</f>
        <v/>
      </c>
      <c r="D3123" s="2">
        <f t="shared" si="48"/>
        <v>0</v>
      </c>
      <c r="E3123" s="14" t="str">
        <f>IFERROR(GIZLI!G3118,"")</f>
        <v/>
      </c>
    </row>
    <row r="3124" spans="2:5" x14ac:dyDescent="0.3">
      <c r="B3124" s="2" t="str">
        <f>MID(TableQR[[#This Row],[QR CODES]],4,13)</f>
        <v/>
      </c>
      <c r="C3124" s="2" t="str">
        <f>IFERROR(VLOOKUP(TableQR[[#This Row],[BARCODES]],ILACLISTE[#All],2,0),"")</f>
        <v/>
      </c>
      <c r="D3124" s="2">
        <f t="shared" si="48"/>
        <v>0</v>
      </c>
      <c r="E3124" s="14" t="str">
        <f>IFERROR(GIZLI!G3119,"")</f>
        <v/>
      </c>
    </row>
    <row r="3125" spans="2:5" x14ac:dyDescent="0.3">
      <c r="B3125" s="2" t="str">
        <f>MID(TableQR[[#This Row],[QR CODES]],4,13)</f>
        <v/>
      </c>
      <c r="C3125" s="2" t="str">
        <f>IFERROR(VLOOKUP(TableQR[[#This Row],[BARCODES]],ILACLISTE[#All],2,0),"")</f>
        <v/>
      </c>
      <c r="D3125" s="2">
        <f t="shared" si="48"/>
        <v>0</v>
      </c>
      <c r="E3125" s="14" t="str">
        <f>IFERROR(GIZLI!G3120,"")</f>
        <v/>
      </c>
    </row>
    <row r="3126" spans="2:5" x14ac:dyDescent="0.3">
      <c r="B3126" s="2" t="str">
        <f>MID(TableQR[[#This Row],[QR CODES]],4,13)</f>
        <v/>
      </c>
      <c r="C3126" s="2" t="str">
        <f>IFERROR(VLOOKUP(TableQR[[#This Row],[BARCODES]],ILACLISTE[#All],2,0),"")</f>
        <v/>
      </c>
      <c r="D3126" s="2">
        <f t="shared" si="48"/>
        <v>0</v>
      </c>
      <c r="E3126" s="14" t="str">
        <f>IFERROR(GIZLI!G3121,"")</f>
        <v/>
      </c>
    </row>
    <row r="3127" spans="2:5" x14ac:dyDescent="0.3">
      <c r="B3127" s="2" t="str">
        <f>MID(TableQR[[#This Row],[QR CODES]],4,13)</f>
        <v/>
      </c>
      <c r="C3127" s="2" t="str">
        <f>IFERROR(VLOOKUP(TableQR[[#This Row],[BARCODES]],ILACLISTE[#All],2,0),"")</f>
        <v/>
      </c>
      <c r="D3127" s="2">
        <f t="shared" si="48"/>
        <v>0</v>
      </c>
      <c r="E3127" s="14" t="str">
        <f>IFERROR(GIZLI!G3122,"")</f>
        <v/>
      </c>
    </row>
    <row r="3128" spans="2:5" x14ac:dyDescent="0.3">
      <c r="B3128" s="2" t="str">
        <f>MID(TableQR[[#This Row],[QR CODES]],4,13)</f>
        <v/>
      </c>
      <c r="C3128" s="2" t="str">
        <f>IFERROR(VLOOKUP(TableQR[[#This Row],[BARCODES]],ILACLISTE[#All],2,0),"")</f>
        <v/>
      </c>
      <c r="D3128" s="2">
        <f t="shared" si="48"/>
        <v>0</v>
      </c>
      <c r="E3128" s="14" t="str">
        <f>IFERROR(GIZLI!G3123,"")</f>
        <v/>
      </c>
    </row>
    <row r="3129" spans="2:5" x14ac:dyDescent="0.3">
      <c r="B3129" s="2" t="str">
        <f>MID(TableQR[[#This Row],[QR CODES]],4,13)</f>
        <v/>
      </c>
      <c r="C3129" s="2" t="str">
        <f>IFERROR(VLOOKUP(TableQR[[#This Row],[BARCODES]],ILACLISTE[#All],2,0),"")</f>
        <v/>
      </c>
      <c r="D3129" s="2">
        <f t="shared" si="48"/>
        <v>0</v>
      </c>
      <c r="E3129" s="14" t="str">
        <f>IFERROR(GIZLI!G3124,"")</f>
        <v/>
      </c>
    </row>
    <row r="3130" spans="2:5" x14ac:dyDescent="0.3">
      <c r="B3130" s="2" t="str">
        <f>MID(TableQR[[#This Row],[QR CODES]],4,13)</f>
        <v/>
      </c>
      <c r="C3130" s="2" t="str">
        <f>IFERROR(VLOOKUP(TableQR[[#This Row],[BARCODES]],ILACLISTE[#All],2,0),"")</f>
        <v/>
      </c>
      <c r="D3130" s="2">
        <f t="shared" si="48"/>
        <v>0</v>
      </c>
      <c r="E3130" s="14" t="str">
        <f>IFERROR(GIZLI!G3125,"")</f>
        <v/>
      </c>
    </row>
    <row r="3131" spans="2:5" x14ac:dyDescent="0.3">
      <c r="B3131" s="2" t="str">
        <f>MID(TableQR[[#This Row],[QR CODES]],4,13)</f>
        <v/>
      </c>
      <c r="C3131" s="2" t="str">
        <f>IFERROR(VLOOKUP(TableQR[[#This Row],[BARCODES]],ILACLISTE[#All],2,0),"")</f>
        <v/>
      </c>
      <c r="D3131" s="2">
        <f t="shared" si="48"/>
        <v>0</v>
      </c>
      <c r="E3131" s="14" t="str">
        <f>IFERROR(GIZLI!G3126,"")</f>
        <v/>
      </c>
    </row>
    <row r="3132" spans="2:5" x14ac:dyDescent="0.3">
      <c r="B3132" s="2" t="str">
        <f>MID(TableQR[[#This Row],[QR CODES]],4,13)</f>
        <v/>
      </c>
      <c r="C3132" s="2" t="str">
        <f>IFERROR(VLOOKUP(TableQR[[#This Row],[BARCODES]],ILACLISTE[#All],2,0),"")</f>
        <v/>
      </c>
      <c r="D3132" s="2">
        <f t="shared" si="48"/>
        <v>0</v>
      </c>
      <c r="E3132" s="14" t="str">
        <f>IFERROR(GIZLI!G3127,"")</f>
        <v/>
      </c>
    </row>
    <row r="3133" spans="2:5" x14ac:dyDescent="0.3">
      <c r="B3133" s="2" t="str">
        <f>MID(TableQR[[#This Row],[QR CODES]],4,13)</f>
        <v/>
      </c>
      <c r="C3133" s="2" t="str">
        <f>IFERROR(VLOOKUP(TableQR[[#This Row],[BARCODES]],ILACLISTE[#All],2,0),"")</f>
        <v/>
      </c>
      <c r="D3133" s="2">
        <f t="shared" si="48"/>
        <v>0</v>
      </c>
      <c r="E3133" s="14" t="str">
        <f>IFERROR(GIZLI!G3128,"")</f>
        <v/>
      </c>
    </row>
    <row r="3134" spans="2:5" x14ac:dyDescent="0.3">
      <c r="B3134" s="2" t="str">
        <f>MID(TableQR[[#This Row],[QR CODES]],4,13)</f>
        <v/>
      </c>
      <c r="C3134" s="2" t="str">
        <f>IFERROR(VLOOKUP(TableQR[[#This Row],[BARCODES]],ILACLISTE[#All],2,0),"")</f>
        <v/>
      </c>
      <c r="D3134" s="2">
        <f t="shared" si="48"/>
        <v>0</v>
      </c>
      <c r="E3134" s="14" t="str">
        <f>IFERROR(GIZLI!G3129,"")</f>
        <v/>
      </c>
    </row>
    <row r="3135" spans="2:5" x14ac:dyDescent="0.3">
      <c r="B3135" s="2" t="str">
        <f>MID(TableQR[[#This Row],[QR CODES]],4,13)</f>
        <v/>
      </c>
      <c r="C3135" s="2" t="str">
        <f>IFERROR(VLOOKUP(TableQR[[#This Row],[BARCODES]],ILACLISTE[#All],2,0),"")</f>
        <v/>
      </c>
      <c r="D3135" s="2">
        <f t="shared" si="48"/>
        <v>0</v>
      </c>
      <c r="E3135" s="14" t="str">
        <f>IFERROR(GIZLI!G3130,"")</f>
        <v/>
      </c>
    </row>
    <row r="3136" spans="2:5" x14ac:dyDescent="0.3">
      <c r="B3136" s="2" t="str">
        <f>MID(TableQR[[#This Row],[QR CODES]],4,13)</f>
        <v/>
      </c>
      <c r="C3136" s="2" t="str">
        <f>IFERROR(VLOOKUP(TableQR[[#This Row],[BARCODES]],ILACLISTE[#All],2,0),"")</f>
        <v/>
      </c>
      <c r="D3136" s="2">
        <f t="shared" si="48"/>
        <v>0</v>
      </c>
      <c r="E3136" s="14" t="str">
        <f>IFERROR(GIZLI!G3131,"")</f>
        <v/>
      </c>
    </row>
    <row r="3137" spans="2:5" x14ac:dyDescent="0.3">
      <c r="B3137" s="2" t="str">
        <f>MID(TableQR[[#This Row],[QR CODES]],4,13)</f>
        <v/>
      </c>
      <c r="C3137" s="2" t="str">
        <f>IFERROR(VLOOKUP(TableQR[[#This Row],[BARCODES]],ILACLISTE[#All],2,0),"")</f>
        <v/>
      </c>
      <c r="D3137" s="2">
        <f t="shared" si="48"/>
        <v>0</v>
      </c>
      <c r="E3137" s="14" t="str">
        <f>IFERROR(GIZLI!G3132,"")</f>
        <v/>
      </c>
    </row>
    <row r="3138" spans="2:5" x14ac:dyDescent="0.3">
      <c r="B3138" s="2" t="str">
        <f>MID(TableQR[[#This Row],[QR CODES]],4,13)</f>
        <v/>
      </c>
      <c r="C3138" s="2" t="str">
        <f>IFERROR(VLOOKUP(TableQR[[#This Row],[BARCODES]],ILACLISTE[#All],2,0),"")</f>
        <v/>
      </c>
      <c r="D3138" s="2">
        <f t="shared" si="48"/>
        <v>0</v>
      </c>
      <c r="E3138" s="14" t="str">
        <f>IFERROR(GIZLI!G3133,"")</f>
        <v/>
      </c>
    </row>
    <row r="3139" spans="2:5" x14ac:dyDescent="0.3">
      <c r="B3139" s="2" t="str">
        <f>MID(TableQR[[#This Row],[QR CODES]],4,13)</f>
        <v/>
      </c>
      <c r="C3139" s="2" t="str">
        <f>IFERROR(VLOOKUP(TableQR[[#This Row],[BARCODES]],ILACLISTE[#All],2,0),"")</f>
        <v/>
      </c>
      <c r="D3139" s="2">
        <f t="shared" si="48"/>
        <v>0</v>
      </c>
      <c r="E3139" s="14" t="str">
        <f>IFERROR(GIZLI!G3134,"")</f>
        <v/>
      </c>
    </row>
    <row r="3140" spans="2:5" x14ac:dyDescent="0.3">
      <c r="B3140" s="2" t="str">
        <f>MID(TableQR[[#This Row],[QR CODES]],4,13)</f>
        <v/>
      </c>
      <c r="C3140" s="2" t="str">
        <f>IFERROR(VLOOKUP(TableQR[[#This Row],[BARCODES]],ILACLISTE[#All],2,0),"")</f>
        <v/>
      </c>
      <c r="D3140" s="2">
        <f t="shared" si="48"/>
        <v>0</v>
      </c>
      <c r="E3140" s="14" t="str">
        <f>IFERROR(GIZLI!G3135,"")</f>
        <v/>
      </c>
    </row>
    <row r="3141" spans="2:5" x14ac:dyDescent="0.3">
      <c r="B3141" s="2" t="str">
        <f>MID(TableQR[[#This Row],[QR CODES]],4,13)</f>
        <v/>
      </c>
      <c r="C3141" s="2" t="str">
        <f>IFERROR(VLOOKUP(TableQR[[#This Row],[BARCODES]],ILACLISTE[#All],2,0),"")</f>
        <v/>
      </c>
      <c r="D3141" s="2">
        <f t="shared" si="48"/>
        <v>0</v>
      </c>
      <c r="E3141" s="14" t="str">
        <f>IFERROR(GIZLI!G3136,"")</f>
        <v/>
      </c>
    </row>
    <row r="3142" spans="2:5" x14ac:dyDescent="0.3">
      <c r="B3142" s="2" t="str">
        <f>MID(TableQR[[#This Row],[QR CODES]],4,13)</f>
        <v/>
      </c>
      <c r="C3142" s="2" t="str">
        <f>IFERROR(VLOOKUP(TableQR[[#This Row],[BARCODES]],ILACLISTE[#All],2,0),"")</f>
        <v/>
      </c>
      <c r="D3142" s="2">
        <f t="shared" si="48"/>
        <v>0</v>
      </c>
      <c r="E3142" s="14" t="str">
        <f>IFERROR(GIZLI!G3137,"")</f>
        <v/>
      </c>
    </row>
    <row r="3143" spans="2:5" x14ac:dyDescent="0.3">
      <c r="B3143" s="2" t="str">
        <f>MID(TableQR[[#This Row],[QR CODES]],4,13)</f>
        <v/>
      </c>
      <c r="C3143" s="2" t="str">
        <f>IFERROR(VLOOKUP(TableQR[[#This Row],[BARCODES]],ILACLISTE[#All],2,0),"")</f>
        <v/>
      </c>
      <c r="D3143" s="2">
        <f t="shared" si="48"/>
        <v>0</v>
      </c>
      <c r="E3143" s="14" t="str">
        <f>IFERROR(GIZLI!G3138,"")</f>
        <v/>
      </c>
    </row>
    <row r="3144" spans="2:5" x14ac:dyDescent="0.3">
      <c r="B3144" s="2" t="str">
        <f>MID(TableQR[[#This Row],[QR CODES]],4,13)</f>
        <v/>
      </c>
      <c r="C3144" s="2" t="str">
        <f>IFERROR(VLOOKUP(TableQR[[#This Row],[BARCODES]],ILACLISTE[#All],2,0),"")</f>
        <v/>
      </c>
      <c r="D3144" s="2">
        <f t="shared" ref="D3144:D3207" si="49">COUNTIF(B3144:B7137,IF(B3144="",66666,B3144))</f>
        <v>0</v>
      </c>
      <c r="E3144" s="14" t="str">
        <f>IFERROR(GIZLI!G3139,"")</f>
        <v/>
      </c>
    </row>
    <row r="3145" spans="2:5" x14ac:dyDescent="0.3">
      <c r="B3145" s="2" t="str">
        <f>MID(TableQR[[#This Row],[QR CODES]],4,13)</f>
        <v/>
      </c>
      <c r="C3145" s="2" t="str">
        <f>IFERROR(VLOOKUP(TableQR[[#This Row],[BARCODES]],ILACLISTE[#All],2,0),"")</f>
        <v/>
      </c>
      <c r="D3145" s="2">
        <f t="shared" si="49"/>
        <v>0</v>
      </c>
      <c r="E3145" s="14" t="str">
        <f>IFERROR(GIZLI!G3140,"")</f>
        <v/>
      </c>
    </row>
    <row r="3146" spans="2:5" x14ac:dyDescent="0.3">
      <c r="B3146" s="2" t="str">
        <f>MID(TableQR[[#This Row],[QR CODES]],4,13)</f>
        <v/>
      </c>
      <c r="C3146" s="2" t="str">
        <f>IFERROR(VLOOKUP(TableQR[[#This Row],[BARCODES]],ILACLISTE[#All],2,0),"")</f>
        <v/>
      </c>
      <c r="D3146" s="2">
        <f t="shared" si="49"/>
        <v>0</v>
      </c>
      <c r="E3146" s="14" t="str">
        <f>IFERROR(GIZLI!G3141,"")</f>
        <v/>
      </c>
    </row>
    <row r="3147" spans="2:5" x14ac:dyDescent="0.3">
      <c r="B3147" s="2" t="str">
        <f>MID(TableQR[[#This Row],[QR CODES]],4,13)</f>
        <v/>
      </c>
      <c r="C3147" s="2" t="str">
        <f>IFERROR(VLOOKUP(TableQR[[#This Row],[BARCODES]],ILACLISTE[#All],2,0),"")</f>
        <v/>
      </c>
      <c r="D3147" s="2">
        <f t="shared" si="49"/>
        <v>0</v>
      </c>
      <c r="E3147" s="14" t="str">
        <f>IFERROR(GIZLI!G3142,"")</f>
        <v/>
      </c>
    </row>
    <row r="3148" spans="2:5" x14ac:dyDescent="0.3">
      <c r="B3148" s="2" t="str">
        <f>MID(TableQR[[#This Row],[QR CODES]],4,13)</f>
        <v/>
      </c>
      <c r="C3148" s="2" t="str">
        <f>IFERROR(VLOOKUP(TableQR[[#This Row],[BARCODES]],ILACLISTE[#All],2,0),"")</f>
        <v/>
      </c>
      <c r="D3148" s="2">
        <f t="shared" si="49"/>
        <v>0</v>
      </c>
      <c r="E3148" s="14" t="str">
        <f>IFERROR(GIZLI!G3143,"")</f>
        <v/>
      </c>
    </row>
    <row r="3149" spans="2:5" x14ac:dyDescent="0.3">
      <c r="B3149" s="2" t="str">
        <f>MID(TableQR[[#This Row],[QR CODES]],4,13)</f>
        <v/>
      </c>
      <c r="C3149" s="2" t="str">
        <f>IFERROR(VLOOKUP(TableQR[[#This Row],[BARCODES]],ILACLISTE[#All],2,0),"")</f>
        <v/>
      </c>
      <c r="D3149" s="2">
        <f t="shared" si="49"/>
        <v>0</v>
      </c>
      <c r="E3149" s="14" t="str">
        <f>IFERROR(GIZLI!G3144,"")</f>
        <v/>
      </c>
    </row>
    <row r="3150" spans="2:5" x14ac:dyDescent="0.3">
      <c r="B3150" s="2" t="str">
        <f>MID(TableQR[[#This Row],[QR CODES]],4,13)</f>
        <v/>
      </c>
      <c r="C3150" s="2" t="str">
        <f>IFERROR(VLOOKUP(TableQR[[#This Row],[BARCODES]],ILACLISTE[#All],2,0),"")</f>
        <v/>
      </c>
      <c r="D3150" s="2">
        <f t="shared" si="49"/>
        <v>0</v>
      </c>
      <c r="E3150" s="14" t="str">
        <f>IFERROR(GIZLI!G3145,"")</f>
        <v/>
      </c>
    </row>
    <row r="3151" spans="2:5" x14ac:dyDescent="0.3">
      <c r="B3151" s="2" t="str">
        <f>MID(TableQR[[#This Row],[QR CODES]],4,13)</f>
        <v/>
      </c>
      <c r="C3151" s="2" t="str">
        <f>IFERROR(VLOOKUP(TableQR[[#This Row],[BARCODES]],ILACLISTE[#All],2,0),"")</f>
        <v/>
      </c>
      <c r="D3151" s="2">
        <f t="shared" si="49"/>
        <v>0</v>
      </c>
      <c r="E3151" s="14" t="str">
        <f>IFERROR(GIZLI!G3146,"")</f>
        <v/>
      </c>
    </row>
    <row r="3152" spans="2:5" x14ac:dyDescent="0.3">
      <c r="B3152" s="2" t="str">
        <f>MID(TableQR[[#This Row],[QR CODES]],4,13)</f>
        <v/>
      </c>
      <c r="C3152" s="2" t="str">
        <f>IFERROR(VLOOKUP(TableQR[[#This Row],[BARCODES]],ILACLISTE[#All],2,0),"")</f>
        <v/>
      </c>
      <c r="D3152" s="2">
        <f t="shared" si="49"/>
        <v>0</v>
      </c>
      <c r="E3152" s="14" t="str">
        <f>IFERROR(GIZLI!G3147,"")</f>
        <v/>
      </c>
    </row>
    <row r="3153" spans="2:5" x14ac:dyDescent="0.3">
      <c r="B3153" s="2" t="str">
        <f>MID(TableQR[[#This Row],[QR CODES]],4,13)</f>
        <v/>
      </c>
      <c r="C3153" s="2" t="str">
        <f>IFERROR(VLOOKUP(TableQR[[#This Row],[BARCODES]],ILACLISTE[#All],2,0),"")</f>
        <v/>
      </c>
      <c r="D3153" s="2">
        <f t="shared" si="49"/>
        <v>0</v>
      </c>
      <c r="E3153" s="14" t="str">
        <f>IFERROR(GIZLI!G3148,"")</f>
        <v/>
      </c>
    </row>
    <row r="3154" spans="2:5" x14ac:dyDescent="0.3">
      <c r="B3154" s="2" t="str">
        <f>MID(TableQR[[#This Row],[QR CODES]],4,13)</f>
        <v/>
      </c>
      <c r="C3154" s="2" t="str">
        <f>IFERROR(VLOOKUP(TableQR[[#This Row],[BARCODES]],ILACLISTE[#All],2,0),"")</f>
        <v/>
      </c>
      <c r="D3154" s="2">
        <f t="shared" si="49"/>
        <v>0</v>
      </c>
      <c r="E3154" s="14" t="str">
        <f>IFERROR(GIZLI!G3149,"")</f>
        <v/>
      </c>
    </row>
    <row r="3155" spans="2:5" x14ac:dyDescent="0.3">
      <c r="B3155" s="2" t="str">
        <f>MID(TableQR[[#This Row],[QR CODES]],4,13)</f>
        <v/>
      </c>
      <c r="C3155" s="2" t="str">
        <f>IFERROR(VLOOKUP(TableQR[[#This Row],[BARCODES]],ILACLISTE[#All],2,0),"")</f>
        <v/>
      </c>
      <c r="D3155" s="2">
        <f t="shared" si="49"/>
        <v>0</v>
      </c>
      <c r="E3155" s="14" t="str">
        <f>IFERROR(GIZLI!G3150,"")</f>
        <v/>
      </c>
    </row>
    <row r="3156" spans="2:5" x14ac:dyDescent="0.3">
      <c r="B3156" s="2" t="str">
        <f>MID(TableQR[[#This Row],[QR CODES]],4,13)</f>
        <v/>
      </c>
      <c r="C3156" s="2" t="str">
        <f>IFERROR(VLOOKUP(TableQR[[#This Row],[BARCODES]],ILACLISTE[#All],2,0),"")</f>
        <v/>
      </c>
      <c r="D3156" s="2">
        <f t="shared" si="49"/>
        <v>0</v>
      </c>
      <c r="E3156" s="14" t="str">
        <f>IFERROR(GIZLI!G3151,"")</f>
        <v/>
      </c>
    </row>
    <row r="3157" spans="2:5" x14ac:dyDescent="0.3">
      <c r="B3157" s="2" t="str">
        <f>MID(TableQR[[#This Row],[QR CODES]],4,13)</f>
        <v/>
      </c>
      <c r="C3157" s="2" t="str">
        <f>IFERROR(VLOOKUP(TableQR[[#This Row],[BARCODES]],ILACLISTE[#All],2,0),"")</f>
        <v/>
      </c>
      <c r="D3157" s="2">
        <f t="shared" si="49"/>
        <v>0</v>
      </c>
      <c r="E3157" s="14" t="str">
        <f>IFERROR(GIZLI!G3152,"")</f>
        <v/>
      </c>
    </row>
    <row r="3158" spans="2:5" x14ac:dyDescent="0.3">
      <c r="B3158" s="2" t="str">
        <f>MID(TableQR[[#This Row],[QR CODES]],4,13)</f>
        <v/>
      </c>
      <c r="C3158" s="2" t="str">
        <f>IFERROR(VLOOKUP(TableQR[[#This Row],[BARCODES]],ILACLISTE[#All],2,0),"")</f>
        <v/>
      </c>
      <c r="D3158" s="2">
        <f t="shared" si="49"/>
        <v>0</v>
      </c>
      <c r="E3158" s="14" t="str">
        <f>IFERROR(GIZLI!G3153,"")</f>
        <v/>
      </c>
    </row>
    <row r="3159" spans="2:5" x14ac:dyDescent="0.3">
      <c r="B3159" s="2" t="str">
        <f>MID(TableQR[[#This Row],[QR CODES]],4,13)</f>
        <v/>
      </c>
      <c r="C3159" s="2" t="str">
        <f>IFERROR(VLOOKUP(TableQR[[#This Row],[BARCODES]],ILACLISTE[#All],2,0),"")</f>
        <v/>
      </c>
      <c r="D3159" s="2">
        <f t="shared" si="49"/>
        <v>0</v>
      </c>
      <c r="E3159" s="14" t="str">
        <f>IFERROR(GIZLI!G3154,"")</f>
        <v/>
      </c>
    </row>
    <row r="3160" spans="2:5" x14ac:dyDescent="0.3">
      <c r="B3160" s="2" t="str">
        <f>MID(TableQR[[#This Row],[QR CODES]],4,13)</f>
        <v/>
      </c>
      <c r="C3160" s="2" t="str">
        <f>IFERROR(VLOOKUP(TableQR[[#This Row],[BARCODES]],ILACLISTE[#All],2,0),"")</f>
        <v/>
      </c>
      <c r="D3160" s="2">
        <f t="shared" si="49"/>
        <v>0</v>
      </c>
      <c r="E3160" s="14" t="str">
        <f>IFERROR(GIZLI!G3155,"")</f>
        <v/>
      </c>
    </row>
    <row r="3161" spans="2:5" x14ac:dyDescent="0.3">
      <c r="B3161" s="2" t="str">
        <f>MID(TableQR[[#This Row],[QR CODES]],4,13)</f>
        <v/>
      </c>
      <c r="C3161" s="2" t="str">
        <f>IFERROR(VLOOKUP(TableQR[[#This Row],[BARCODES]],ILACLISTE[#All],2,0),"")</f>
        <v/>
      </c>
      <c r="D3161" s="2">
        <f t="shared" si="49"/>
        <v>0</v>
      </c>
      <c r="E3161" s="14" t="str">
        <f>IFERROR(GIZLI!G3156,"")</f>
        <v/>
      </c>
    </row>
    <row r="3162" spans="2:5" x14ac:dyDescent="0.3">
      <c r="B3162" s="2" t="str">
        <f>MID(TableQR[[#This Row],[QR CODES]],4,13)</f>
        <v/>
      </c>
      <c r="C3162" s="2" t="str">
        <f>IFERROR(VLOOKUP(TableQR[[#This Row],[BARCODES]],ILACLISTE[#All],2,0),"")</f>
        <v/>
      </c>
      <c r="D3162" s="2">
        <f t="shared" si="49"/>
        <v>0</v>
      </c>
      <c r="E3162" s="14" t="str">
        <f>IFERROR(GIZLI!G3157,"")</f>
        <v/>
      </c>
    </row>
    <row r="3163" spans="2:5" x14ac:dyDescent="0.3">
      <c r="B3163" s="2" t="str">
        <f>MID(TableQR[[#This Row],[QR CODES]],4,13)</f>
        <v/>
      </c>
      <c r="C3163" s="2" t="str">
        <f>IFERROR(VLOOKUP(TableQR[[#This Row],[BARCODES]],ILACLISTE[#All],2,0),"")</f>
        <v/>
      </c>
      <c r="D3163" s="2">
        <f t="shared" si="49"/>
        <v>0</v>
      </c>
      <c r="E3163" s="14" t="str">
        <f>IFERROR(GIZLI!G3158,"")</f>
        <v/>
      </c>
    </row>
    <row r="3164" spans="2:5" x14ac:dyDescent="0.3">
      <c r="B3164" s="2" t="str">
        <f>MID(TableQR[[#This Row],[QR CODES]],4,13)</f>
        <v/>
      </c>
      <c r="C3164" s="2" t="str">
        <f>IFERROR(VLOOKUP(TableQR[[#This Row],[BARCODES]],ILACLISTE[#All],2,0),"")</f>
        <v/>
      </c>
      <c r="D3164" s="2">
        <f t="shared" si="49"/>
        <v>0</v>
      </c>
      <c r="E3164" s="14" t="str">
        <f>IFERROR(GIZLI!G3159,"")</f>
        <v/>
      </c>
    </row>
    <row r="3165" spans="2:5" x14ac:dyDescent="0.3">
      <c r="B3165" s="2" t="str">
        <f>MID(TableQR[[#This Row],[QR CODES]],4,13)</f>
        <v/>
      </c>
      <c r="C3165" s="2" t="str">
        <f>IFERROR(VLOOKUP(TableQR[[#This Row],[BARCODES]],ILACLISTE[#All],2,0),"")</f>
        <v/>
      </c>
      <c r="D3165" s="2">
        <f t="shared" si="49"/>
        <v>0</v>
      </c>
      <c r="E3165" s="14" t="str">
        <f>IFERROR(GIZLI!G3160,"")</f>
        <v/>
      </c>
    </row>
    <row r="3166" spans="2:5" x14ac:dyDescent="0.3">
      <c r="B3166" s="2" t="str">
        <f>MID(TableQR[[#This Row],[QR CODES]],4,13)</f>
        <v/>
      </c>
      <c r="C3166" s="2" t="str">
        <f>IFERROR(VLOOKUP(TableQR[[#This Row],[BARCODES]],ILACLISTE[#All],2,0),"")</f>
        <v/>
      </c>
      <c r="D3166" s="2">
        <f t="shared" si="49"/>
        <v>0</v>
      </c>
      <c r="E3166" s="14" t="str">
        <f>IFERROR(GIZLI!G3161,"")</f>
        <v/>
      </c>
    </row>
    <row r="3167" spans="2:5" x14ac:dyDescent="0.3">
      <c r="B3167" s="2" t="str">
        <f>MID(TableQR[[#This Row],[QR CODES]],4,13)</f>
        <v/>
      </c>
      <c r="C3167" s="2" t="str">
        <f>IFERROR(VLOOKUP(TableQR[[#This Row],[BARCODES]],ILACLISTE[#All],2,0),"")</f>
        <v/>
      </c>
      <c r="D3167" s="2">
        <f t="shared" si="49"/>
        <v>0</v>
      </c>
      <c r="E3167" s="14" t="str">
        <f>IFERROR(GIZLI!G3162,"")</f>
        <v/>
      </c>
    </row>
    <row r="3168" spans="2:5" x14ac:dyDescent="0.3">
      <c r="B3168" s="2" t="str">
        <f>MID(TableQR[[#This Row],[QR CODES]],4,13)</f>
        <v/>
      </c>
      <c r="C3168" s="2" t="str">
        <f>IFERROR(VLOOKUP(TableQR[[#This Row],[BARCODES]],ILACLISTE[#All],2,0),"")</f>
        <v/>
      </c>
      <c r="D3168" s="2">
        <f t="shared" si="49"/>
        <v>0</v>
      </c>
      <c r="E3168" s="14" t="str">
        <f>IFERROR(GIZLI!G3163,"")</f>
        <v/>
      </c>
    </row>
    <row r="3169" spans="2:5" x14ac:dyDescent="0.3">
      <c r="B3169" s="2" t="str">
        <f>MID(TableQR[[#This Row],[QR CODES]],4,13)</f>
        <v/>
      </c>
      <c r="C3169" s="2" t="str">
        <f>IFERROR(VLOOKUP(TableQR[[#This Row],[BARCODES]],ILACLISTE[#All],2,0),"")</f>
        <v/>
      </c>
      <c r="D3169" s="2">
        <f t="shared" si="49"/>
        <v>0</v>
      </c>
      <c r="E3169" s="14" t="str">
        <f>IFERROR(GIZLI!G3164,"")</f>
        <v/>
      </c>
    </row>
    <row r="3170" spans="2:5" x14ac:dyDescent="0.3">
      <c r="B3170" s="2" t="str">
        <f>MID(TableQR[[#This Row],[QR CODES]],4,13)</f>
        <v/>
      </c>
      <c r="C3170" s="2" t="str">
        <f>IFERROR(VLOOKUP(TableQR[[#This Row],[BARCODES]],ILACLISTE[#All],2,0),"")</f>
        <v/>
      </c>
      <c r="D3170" s="2">
        <f t="shared" si="49"/>
        <v>0</v>
      </c>
      <c r="E3170" s="14" t="str">
        <f>IFERROR(GIZLI!G3165,"")</f>
        <v/>
      </c>
    </row>
    <row r="3171" spans="2:5" x14ac:dyDescent="0.3">
      <c r="B3171" s="2" t="str">
        <f>MID(TableQR[[#This Row],[QR CODES]],4,13)</f>
        <v/>
      </c>
      <c r="C3171" s="2" t="str">
        <f>IFERROR(VLOOKUP(TableQR[[#This Row],[BARCODES]],ILACLISTE[#All],2,0),"")</f>
        <v/>
      </c>
      <c r="D3171" s="2">
        <f t="shared" si="49"/>
        <v>0</v>
      </c>
      <c r="E3171" s="14" t="str">
        <f>IFERROR(GIZLI!G3166,"")</f>
        <v/>
      </c>
    </row>
    <row r="3172" spans="2:5" x14ac:dyDescent="0.3">
      <c r="B3172" s="2" t="str">
        <f>MID(TableQR[[#This Row],[QR CODES]],4,13)</f>
        <v/>
      </c>
      <c r="C3172" s="2" t="str">
        <f>IFERROR(VLOOKUP(TableQR[[#This Row],[BARCODES]],ILACLISTE[#All],2,0),"")</f>
        <v/>
      </c>
      <c r="D3172" s="2">
        <f t="shared" si="49"/>
        <v>0</v>
      </c>
      <c r="E3172" s="14" t="str">
        <f>IFERROR(GIZLI!G3167,"")</f>
        <v/>
      </c>
    </row>
    <row r="3173" spans="2:5" x14ac:dyDescent="0.3">
      <c r="B3173" s="2" t="str">
        <f>MID(TableQR[[#This Row],[QR CODES]],4,13)</f>
        <v/>
      </c>
      <c r="C3173" s="2" t="str">
        <f>IFERROR(VLOOKUP(TableQR[[#This Row],[BARCODES]],ILACLISTE[#All],2,0),"")</f>
        <v/>
      </c>
      <c r="D3173" s="2">
        <f t="shared" si="49"/>
        <v>0</v>
      </c>
      <c r="E3173" s="14" t="str">
        <f>IFERROR(GIZLI!G3168,"")</f>
        <v/>
      </c>
    </row>
    <row r="3174" spans="2:5" x14ac:dyDescent="0.3">
      <c r="B3174" s="2" t="str">
        <f>MID(TableQR[[#This Row],[QR CODES]],4,13)</f>
        <v/>
      </c>
      <c r="C3174" s="2" t="str">
        <f>IFERROR(VLOOKUP(TableQR[[#This Row],[BARCODES]],ILACLISTE[#All],2,0),"")</f>
        <v/>
      </c>
      <c r="D3174" s="2">
        <f t="shared" si="49"/>
        <v>0</v>
      </c>
      <c r="E3174" s="14" t="str">
        <f>IFERROR(GIZLI!G3169,"")</f>
        <v/>
      </c>
    </row>
    <row r="3175" spans="2:5" x14ac:dyDescent="0.3">
      <c r="B3175" s="2" t="str">
        <f>MID(TableQR[[#This Row],[QR CODES]],4,13)</f>
        <v/>
      </c>
      <c r="C3175" s="2" t="str">
        <f>IFERROR(VLOOKUP(TableQR[[#This Row],[BARCODES]],ILACLISTE[#All],2,0),"")</f>
        <v/>
      </c>
      <c r="D3175" s="2">
        <f t="shared" si="49"/>
        <v>0</v>
      </c>
      <c r="E3175" s="14" t="str">
        <f>IFERROR(GIZLI!G3170,"")</f>
        <v/>
      </c>
    </row>
    <row r="3176" spans="2:5" x14ac:dyDescent="0.3">
      <c r="B3176" s="2" t="str">
        <f>MID(TableQR[[#This Row],[QR CODES]],4,13)</f>
        <v/>
      </c>
      <c r="C3176" s="2" t="str">
        <f>IFERROR(VLOOKUP(TableQR[[#This Row],[BARCODES]],ILACLISTE[#All],2,0),"")</f>
        <v/>
      </c>
      <c r="D3176" s="2">
        <f t="shared" si="49"/>
        <v>0</v>
      </c>
      <c r="E3176" s="14" t="str">
        <f>IFERROR(GIZLI!G3171,"")</f>
        <v/>
      </c>
    </row>
    <row r="3177" spans="2:5" x14ac:dyDescent="0.3">
      <c r="B3177" s="2" t="str">
        <f>MID(TableQR[[#This Row],[QR CODES]],4,13)</f>
        <v/>
      </c>
      <c r="C3177" s="2" t="str">
        <f>IFERROR(VLOOKUP(TableQR[[#This Row],[BARCODES]],ILACLISTE[#All],2,0),"")</f>
        <v/>
      </c>
      <c r="D3177" s="2">
        <f t="shared" si="49"/>
        <v>0</v>
      </c>
      <c r="E3177" s="14" t="str">
        <f>IFERROR(GIZLI!G3172,"")</f>
        <v/>
      </c>
    </row>
    <row r="3178" spans="2:5" x14ac:dyDescent="0.3">
      <c r="B3178" s="2" t="str">
        <f>MID(TableQR[[#This Row],[QR CODES]],4,13)</f>
        <v/>
      </c>
      <c r="C3178" s="2" t="str">
        <f>IFERROR(VLOOKUP(TableQR[[#This Row],[BARCODES]],ILACLISTE[#All],2,0),"")</f>
        <v/>
      </c>
      <c r="D3178" s="2">
        <f t="shared" si="49"/>
        <v>0</v>
      </c>
      <c r="E3178" s="14" t="str">
        <f>IFERROR(GIZLI!G3173,"")</f>
        <v/>
      </c>
    </row>
    <row r="3179" spans="2:5" x14ac:dyDescent="0.3">
      <c r="B3179" s="2" t="str">
        <f>MID(TableQR[[#This Row],[QR CODES]],4,13)</f>
        <v/>
      </c>
      <c r="C3179" s="2" t="str">
        <f>IFERROR(VLOOKUP(TableQR[[#This Row],[BARCODES]],ILACLISTE[#All],2,0),"")</f>
        <v/>
      </c>
      <c r="D3179" s="2">
        <f t="shared" si="49"/>
        <v>0</v>
      </c>
      <c r="E3179" s="14" t="str">
        <f>IFERROR(GIZLI!G3174,"")</f>
        <v/>
      </c>
    </row>
    <row r="3180" spans="2:5" x14ac:dyDescent="0.3">
      <c r="B3180" s="2" t="str">
        <f>MID(TableQR[[#This Row],[QR CODES]],4,13)</f>
        <v/>
      </c>
      <c r="C3180" s="2" t="str">
        <f>IFERROR(VLOOKUP(TableQR[[#This Row],[BARCODES]],ILACLISTE[#All],2,0),"")</f>
        <v/>
      </c>
      <c r="D3180" s="2">
        <f t="shared" si="49"/>
        <v>0</v>
      </c>
      <c r="E3180" s="14" t="str">
        <f>IFERROR(GIZLI!G3175,"")</f>
        <v/>
      </c>
    </row>
    <row r="3181" spans="2:5" x14ac:dyDescent="0.3">
      <c r="B3181" s="2" t="str">
        <f>MID(TableQR[[#This Row],[QR CODES]],4,13)</f>
        <v/>
      </c>
      <c r="C3181" s="2" t="str">
        <f>IFERROR(VLOOKUP(TableQR[[#This Row],[BARCODES]],ILACLISTE[#All],2,0),"")</f>
        <v/>
      </c>
      <c r="D3181" s="2">
        <f t="shared" si="49"/>
        <v>0</v>
      </c>
      <c r="E3181" s="14" t="str">
        <f>IFERROR(GIZLI!G3176,"")</f>
        <v/>
      </c>
    </row>
    <row r="3182" spans="2:5" x14ac:dyDescent="0.3">
      <c r="B3182" s="2" t="str">
        <f>MID(TableQR[[#This Row],[QR CODES]],4,13)</f>
        <v/>
      </c>
      <c r="C3182" s="2" t="str">
        <f>IFERROR(VLOOKUP(TableQR[[#This Row],[BARCODES]],ILACLISTE[#All],2,0),"")</f>
        <v/>
      </c>
      <c r="D3182" s="2">
        <f t="shared" si="49"/>
        <v>0</v>
      </c>
      <c r="E3182" s="14" t="str">
        <f>IFERROR(GIZLI!G3177,"")</f>
        <v/>
      </c>
    </row>
    <row r="3183" spans="2:5" x14ac:dyDescent="0.3">
      <c r="B3183" s="2" t="str">
        <f>MID(TableQR[[#This Row],[QR CODES]],4,13)</f>
        <v/>
      </c>
      <c r="C3183" s="2" t="str">
        <f>IFERROR(VLOOKUP(TableQR[[#This Row],[BARCODES]],ILACLISTE[#All],2,0),"")</f>
        <v/>
      </c>
      <c r="D3183" s="2">
        <f t="shared" si="49"/>
        <v>0</v>
      </c>
      <c r="E3183" s="14" t="str">
        <f>IFERROR(GIZLI!G3178,"")</f>
        <v/>
      </c>
    </row>
    <row r="3184" spans="2:5" x14ac:dyDescent="0.3">
      <c r="B3184" s="2" t="str">
        <f>MID(TableQR[[#This Row],[QR CODES]],4,13)</f>
        <v/>
      </c>
      <c r="C3184" s="2" t="str">
        <f>IFERROR(VLOOKUP(TableQR[[#This Row],[BARCODES]],ILACLISTE[#All],2,0),"")</f>
        <v/>
      </c>
      <c r="D3184" s="2">
        <f t="shared" si="49"/>
        <v>0</v>
      </c>
      <c r="E3184" s="14" t="str">
        <f>IFERROR(GIZLI!G3179,"")</f>
        <v/>
      </c>
    </row>
    <row r="3185" spans="2:5" x14ac:dyDescent="0.3">
      <c r="B3185" s="2" t="str">
        <f>MID(TableQR[[#This Row],[QR CODES]],4,13)</f>
        <v/>
      </c>
      <c r="C3185" s="2" t="str">
        <f>IFERROR(VLOOKUP(TableQR[[#This Row],[BARCODES]],ILACLISTE[#All],2,0),"")</f>
        <v/>
      </c>
      <c r="D3185" s="2">
        <f t="shared" si="49"/>
        <v>0</v>
      </c>
      <c r="E3185" s="14" t="str">
        <f>IFERROR(GIZLI!G3180,"")</f>
        <v/>
      </c>
    </row>
    <row r="3186" spans="2:5" x14ac:dyDescent="0.3">
      <c r="B3186" s="2" t="str">
        <f>MID(TableQR[[#This Row],[QR CODES]],4,13)</f>
        <v/>
      </c>
      <c r="C3186" s="2" t="str">
        <f>IFERROR(VLOOKUP(TableQR[[#This Row],[BARCODES]],ILACLISTE[#All],2,0),"")</f>
        <v/>
      </c>
      <c r="D3186" s="2">
        <f t="shared" si="49"/>
        <v>0</v>
      </c>
      <c r="E3186" s="14" t="str">
        <f>IFERROR(GIZLI!G3181,"")</f>
        <v/>
      </c>
    </row>
    <row r="3187" spans="2:5" x14ac:dyDescent="0.3">
      <c r="B3187" s="2" t="str">
        <f>MID(TableQR[[#This Row],[QR CODES]],4,13)</f>
        <v/>
      </c>
      <c r="C3187" s="2" t="str">
        <f>IFERROR(VLOOKUP(TableQR[[#This Row],[BARCODES]],ILACLISTE[#All],2,0),"")</f>
        <v/>
      </c>
      <c r="D3187" s="2">
        <f t="shared" si="49"/>
        <v>0</v>
      </c>
      <c r="E3187" s="14" t="str">
        <f>IFERROR(GIZLI!G3182,"")</f>
        <v/>
      </c>
    </row>
    <row r="3188" spans="2:5" x14ac:dyDescent="0.3">
      <c r="B3188" s="2" t="str">
        <f>MID(TableQR[[#This Row],[QR CODES]],4,13)</f>
        <v/>
      </c>
      <c r="C3188" s="2" t="str">
        <f>IFERROR(VLOOKUP(TableQR[[#This Row],[BARCODES]],ILACLISTE[#All],2,0),"")</f>
        <v/>
      </c>
      <c r="D3188" s="2">
        <f t="shared" si="49"/>
        <v>0</v>
      </c>
      <c r="E3188" s="14" t="str">
        <f>IFERROR(GIZLI!G3183,"")</f>
        <v/>
      </c>
    </row>
    <row r="3189" spans="2:5" x14ac:dyDescent="0.3">
      <c r="B3189" s="2" t="str">
        <f>MID(TableQR[[#This Row],[QR CODES]],4,13)</f>
        <v/>
      </c>
      <c r="C3189" s="2" t="str">
        <f>IFERROR(VLOOKUP(TableQR[[#This Row],[BARCODES]],ILACLISTE[#All],2,0),"")</f>
        <v/>
      </c>
      <c r="D3189" s="2">
        <f t="shared" si="49"/>
        <v>0</v>
      </c>
      <c r="E3189" s="14" t="str">
        <f>IFERROR(GIZLI!G3184,"")</f>
        <v/>
      </c>
    </row>
    <row r="3190" spans="2:5" x14ac:dyDescent="0.3">
      <c r="B3190" s="2" t="str">
        <f>MID(TableQR[[#This Row],[QR CODES]],4,13)</f>
        <v/>
      </c>
      <c r="C3190" s="2" t="str">
        <f>IFERROR(VLOOKUP(TableQR[[#This Row],[BARCODES]],ILACLISTE[#All],2,0),"")</f>
        <v/>
      </c>
      <c r="D3190" s="2">
        <f t="shared" si="49"/>
        <v>0</v>
      </c>
      <c r="E3190" s="14" t="str">
        <f>IFERROR(GIZLI!G3185,"")</f>
        <v/>
      </c>
    </row>
    <row r="3191" spans="2:5" x14ac:dyDescent="0.3">
      <c r="B3191" s="2" t="str">
        <f>MID(TableQR[[#This Row],[QR CODES]],4,13)</f>
        <v/>
      </c>
      <c r="C3191" s="2" t="str">
        <f>IFERROR(VLOOKUP(TableQR[[#This Row],[BARCODES]],ILACLISTE[#All],2,0),"")</f>
        <v/>
      </c>
      <c r="D3191" s="2">
        <f t="shared" si="49"/>
        <v>0</v>
      </c>
      <c r="E3191" s="14" t="str">
        <f>IFERROR(GIZLI!G3186,"")</f>
        <v/>
      </c>
    </row>
    <row r="3192" spans="2:5" x14ac:dyDescent="0.3">
      <c r="B3192" s="2" t="str">
        <f>MID(TableQR[[#This Row],[QR CODES]],4,13)</f>
        <v/>
      </c>
      <c r="C3192" s="2" t="str">
        <f>IFERROR(VLOOKUP(TableQR[[#This Row],[BARCODES]],ILACLISTE[#All],2,0),"")</f>
        <v/>
      </c>
      <c r="D3192" s="2">
        <f t="shared" si="49"/>
        <v>0</v>
      </c>
      <c r="E3192" s="14" t="str">
        <f>IFERROR(GIZLI!G3187,"")</f>
        <v/>
      </c>
    </row>
    <row r="3193" spans="2:5" x14ac:dyDescent="0.3">
      <c r="B3193" s="2" t="str">
        <f>MID(TableQR[[#This Row],[QR CODES]],4,13)</f>
        <v/>
      </c>
      <c r="C3193" s="2" t="str">
        <f>IFERROR(VLOOKUP(TableQR[[#This Row],[BARCODES]],ILACLISTE[#All],2,0),"")</f>
        <v/>
      </c>
      <c r="D3193" s="2">
        <f t="shared" si="49"/>
        <v>0</v>
      </c>
      <c r="E3193" s="14" t="str">
        <f>IFERROR(GIZLI!G3188,"")</f>
        <v/>
      </c>
    </row>
    <row r="3194" spans="2:5" x14ac:dyDescent="0.3">
      <c r="B3194" s="2" t="str">
        <f>MID(TableQR[[#This Row],[QR CODES]],4,13)</f>
        <v/>
      </c>
      <c r="C3194" s="2" t="str">
        <f>IFERROR(VLOOKUP(TableQR[[#This Row],[BARCODES]],ILACLISTE[#All],2,0),"")</f>
        <v/>
      </c>
      <c r="D3194" s="2">
        <f t="shared" si="49"/>
        <v>0</v>
      </c>
      <c r="E3194" s="14" t="str">
        <f>IFERROR(GIZLI!G3189,"")</f>
        <v/>
      </c>
    </row>
    <row r="3195" spans="2:5" x14ac:dyDescent="0.3">
      <c r="B3195" s="2" t="str">
        <f>MID(TableQR[[#This Row],[QR CODES]],4,13)</f>
        <v/>
      </c>
      <c r="C3195" s="2" t="str">
        <f>IFERROR(VLOOKUP(TableQR[[#This Row],[BARCODES]],ILACLISTE[#All],2,0),"")</f>
        <v/>
      </c>
      <c r="D3195" s="2">
        <f t="shared" si="49"/>
        <v>0</v>
      </c>
      <c r="E3195" s="14" t="str">
        <f>IFERROR(GIZLI!G3190,"")</f>
        <v/>
      </c>
    </row>
    <row r="3196" spans="2:5" x14ac:dyDescent="0.3">
      <c r="B3196" s="2" t="str">
        <f>MID(TableQR[[#This Row],[QR CODES]],4,13)</f>
        <v/>
      </c>
      <c r="C3196" s="2" t="str">
        <f>IFERROR(VLOOKUP(TableQR[[#This Row],[BARCODES]],ILACLISTE[#All],2,0),"")</f>
        <v/>
      </c>
      <c r="D3196" s="2">
        <f t="shared" si="49"/>
        <v>0</v>
      </c>
      <c r="E3196" s="14" t="str">
        <f>IFERROR(GIZLI!G3191,"")</f>
        <v/>
      </c>
    </row>
    <row r="3197" spans="2:5" x14ac:dyDescent="0.3">
      <c r="B3197" s="2" t="str">
        <f>MID(TableQR[[#This Row],[QR CODES]],4,13)</f>
        <v/>
      </c>
      <c r="C3197" s="2" t="str">
        <f>IFERROR(VLOOKUP(TableQR[[#This Row],[BARCODES]],ILACLISTE[#All],2,0),"")</f>
        <v/>
      </c>
      <c r="D3197" s="2">
        <f t="shared" si="49"/>
        <v>0</v>
      </c>
      <c r="E3197" s="14" t="str">
        <f>IFERROR(GIZLI!G3192,"")</f>
        <v/>
      </c>
    </row>
    <row r="3198" spans="2:5" x14ac:dyDescent="0.3">
      <c r="B3198" s="2" t="str">
        <f>MID(TableQR[[#This Row],[QR CODES]],4,13)</f>
        <v/>
      </c>
      <c r="C3198" s="2" t="str">
        <f>IFERROR(VLOOKUP(TableQR[[#This Row],[BARCODES]],ILACLISTE[#All],2,0),"")</f>
        <v/>
      </c>
      <c r="D3198" s="2">
        <f t="shared" si="49"/>
        <v>0</v>
      </c>
      <c r="E3198" s="14" t="str">
        <f>IFERROR(GIZLI!G3193,"")</f>
        <v/>
      </c>
    </row>
    <row r="3199" spans="2:5" x14ac:dyDescent="0.3">
      <c r="B3199" s="2" t="str">
        <f>MID(TableQR[[#This Row],[QR CODES]],4,13)</f>
        <v/>
      </c>
      <c r="C3199" s="2" t="str">
        <f>IFERROR(VLOOKUP(TableQR[[#This Row],[BARCODES]],ILACLISTE[#All],2,0),"")</f>
        <v/>
      </c>
      <c r="D3199" s="2">
        <f t="shared" si="49"/>
        <v>0</v>
      </c>
      <c r="E3199" s="14" t="str">
        <f>IFERROR(GIZLI!G3194,"")</f>
        <v/>
      </c>
    </row>
    <row r="3200" spans="2:5" x14ac:dyDescent="0.3">
      <c r="B3200" s="2" t="str">
        <f>MID(TableQR[[#This Row],[QR CODES]],4,13)</f>
        <v/>
      </c>
      <c r="C3200" s="2" t="str">
        <f>IFERROR(VLOOKUP(TableQR[[#This Row],[BARCODES]],ILACLISTE[#All],2,0),"")</f>
        <v/>
      </c>
      <c r="D3200" s="2">
        <f t="shared" si="49"/>
        <v>0</v>
      </c>
      <c r="E3200" s="14" t="str">
        <f>IFERROR(GIZLI!G3195,"")</f>
        <v/>
      </c>
    </row>
    <row r="3201" spans="2:5" x14ac:dyDescent="0.3">
      <c r="B3201" s="2" t="str">
        <f>MID(TableQR[[#This Row],[QR CODES]],4,13)</f>
        <v/>
      </c>
      <c r="C3201" s="2" t="str">
        <f>IFERROR(VLOOKUP(TableQR[[#This Row],[BARCODES]],ILACLISTE[#All],2,0),"")</f>
        <v/>
      </c>
      <c r="D3201" s="2">
        <f t="shared" si="49"/>
        <v>0</v>
      </c>
      <c r="E3201" s="14" t="str">
        <f>IFERROR(GIZLI!G3196,"")</f>
        <v/>
      </c>
    </row>
    <row r="3202" spans="2:5" x14ac:dyDescent="0.3">
      <c r="B3202" s="2" t="str">
        <f>MID(TableQR[[#This Row],[QR CODES]],4,13)</f>
        <v/>
      </c>
      <c r="C3202" s="2" t="str">
        <f>IFERROR(VLOOKUP(TableQR[[#This Row],[BARCODES]],ILACLISTE[#All],2,0),"")</f>
        <v/>
      </c>
      <c r="D3202" s="2">
        <f t="shared" si="49"/>
        <v>0</v>
      </c>
      <c r="E3202" s="14" t="str">
        <f>IFERROR(GIZLI!G3197,"")</f>
        <v/>
      </c>
    </row>
    <row r="3203" spans="2:5" x14ac:dyDescent="0.3">
      <c r="B3203" s="2" t="str">
        <f>MID(TableQR[[#This Row],[QR CODES]],4,13)</f>
        <v/>
      </c>
      <c r="C3203" s="2" t="str">
        <f>IFERROR(VLOOKUP(TableQR[[#This Row],[BARCODES]],ILACLISTE[#All],2,0),"")</f>
        <v/>
      </c>
      <c r="D3203" s="2">
        <f t="shared" si="49"/>
        <v>0</v>
      </c>
      <c r="E3203" s="14" t="str">
        <f>IFERROR(GIZLI!G3198,"")</f>
        <v/>
      </c>
    </row>
    <row r="3204" spans="2:5" x14ac:dyDescent="0.3">
      <c r="B3204" s="2" t="str">
        <f>MID(TableQR[[#This Row],[QR CODES]],4,13)</f>
        <v/>
      </c>
      <c r="C3204" s="2" t="str">
        <f>IFERROR(VLOOKUP(TableQR[[#This Row],[BARCODES]],ILACLISTE[#All],2,0),"")</f>
        <v/>
      </c>
      <c r="D3204" s="2">
        <f t="shared" si="49"/>
        <v>0</v>
      </c>
      <c r="E3204" s="14" t="str">
        <f>IFERROR(GIZLI!G3199,"")</f>
        <v/>
      </c>
    </row>
    <row r="3205" spans="2:5" x14ac:dyDescent="0.3">
      <c r="B3205" s="2" t="str">
        <f>MID(TableQR[[#This Row],[QR CODES]],4,13)</f>
        <v/>
      </c>
      <c r="C3205" s="2" t="str">
        <f>IFERROR(VLOOKUP(TableQR[[#This Row],[BARCODES]],ILACLISTE[#All],2,0),"")</f>
        <v/>
      </c>
      <c r="D3205" s="2">
        <f t="shared" si="49"/>
        <v>0</v>
      </c>
      <c r="E3205" s="14" t="str">
        <f>IFERROR(GIZLI!G3200,"")</f>
        <v/>
      </c>
    </row>
    <row r="3206" spans="2:5" x14ac:dyDescent="0.3">
      <c r="B3206" s="2" t="str">
        <f>MID(TableQR[[#This Row],[QR CODES]],4,13)</f>
        <v/>
      </c>
      <c r="C3206" s="2" t="str">
        <f>IFERROR(VLOOKUP(TableQR[[#This Row],[BARCODES]],ILACLISTE[#All],2,0),"")</f>
        <v/>
      </c>
      <c r="D3206" s="2">
        <f t="shared" si="49"/>
        <v>0</v>
      </c>
      <c r="E3206" s="14" t="str">
        <f>IFERROR(GIZLI!G3201,"")</f>
        <v/>
      </c>
    </row>
    <row r="3207" spans="2:5" x14ac:dyDescent="0.3">
      <c r="B3207" s="2" t="str">
        <f>MID(TableQR[[#This Row],[QR CODES]],4,13)</f>
        <v/>
      </c>
      <c r="C3207" s="2" t="str">
        <f>IFERROR(VLOOKUP(TableQR[[#This Row],[BARCODES]],ILACLISTE[#All],2,0),"")</f>
        <v/>
      </c>
      <c r="D3207" s="2">
        <f t="shared" si="49"/>
        <v>0</v>
      </c>
      <c r="E3207" s="14" t="str">
        <f>IFERROR(GIZLI!G3202,"")</f>
        <v/>
      </c>
    </row>
    <row r="3208" spans="2:5" x14ac:dyDescent="0.3">
      <c r="B3208" s="2" t="str">
        <f>MID(TableQR[[#This Row],[QR CODES]],4,13)</f>
        <v/>
      </c>
      <c r="C3208" s="2" t="str">
        <f>IFERROR(VLOOKUP(TableQR[[#This Row],[BARCODES]],ILACLISTE[#All],2,0),"")</f>
        <v/>
      </c>
      <c r="D3208" s="2">
        <f t="shared" ref="D3208:D3271" si="50">COUNTIF(B3208:B7201,IF(B3208="",66666,B3208))</f>
        <v>0</v>
      </c>
      <c r="E3208" s="14" t="str">
        <f>IFERROR(GIZLI!G3203,"")</f>
        <v/>
      </c>
    </row>
    <row r="3209" spans="2:5" x14ac:dyDescent="0.3">
      <c r="B3209" s="2" t="str">
        <f>MID(TableQR[[#This Row],[QR CODES]],4,13)</f>
        <v/>
      </c>
      <c r="C3209" s="2" t="str">
        <f>IFERROR(VLOOKUP(TableQR[[#This Row],[BARCODES]],ILACLISTE[#All],2,0),"")</f>
        <v/>
      </c>
      <c r="D3209" s="2">
        <f t="shared" si="50"/>
        <v>0</v>
      </c>
      <c r="E3209" s="14" t="str">
        <f>IFERROR(GIZLI!G3204,"")</f>
        <v/>
      </c>
    </row>
    <row r="3210" spans="2:5" x14ac:dyDescent="0.3">
      <c r="B3210" s="2" t="str">
        <f>MID(TableQR[[#This Row],[QR CODES]],4,13)</f>
        <v/>
      </c>
      <c r="C3210" s="2" t="str">
        <f>IFERROR(VLOOKUP(TableQR[[#This Row],[BARCODES]],ILACLISTE[#All],2,0),"")</f>
        <v/>
      </c>
      <c r="D3210" s="2">
        <f t="shared" si="50"/>
        <v>0</v>
      </c>
      <c r="E3210" s="14" t="str">
        <f>IFERROR(GIZLI!G3205,"")</f>
        <v/>
      </c>
    </row>
    <row r="3211" spans="2:5" x14ac:dyDescent="0.3">
      <c r="B3211" s="2" t="str">
        <f>MID(TableQR[[#This Row],[QR CODES]],4,13)</f>
        <v/>
      </c>
      <c r="C3211" s="2" t="str">
        <f>IFERROR(VLOOKUP(TableQR[[#This Row],[BARCODES]],ILACLISTE[#All],2,0),"")</f>
        <v/>
      </c>
      <c r="D3211" s="2">
        <f t="shared" si="50"/>
        <v>0</v>
      </c>
      <c r="E3211" s="14" t="str">
        <f>IFERROR(GIZLI!G3206,"")</f>
        <v/>
      </c>
    </row>
    <row r="3212" spans="2:5" x14ac:dyDescent="0.3">
      <c r="B3212" s="2" t="str">
        <f>MID(TableQR[[#This Row],[QR CODES]],4,13)</f>
        <v/>
      </c>
      <c r="C3212" s="2" t="str">
        <f>IFERROR(VLOOKUP(TableQR[[#This Row],[BARCODES]],ILACLISTE[#All],2,0),"")</f>
        <v/>
      </c>
      <c r="D3212" s="2">
        <f t="shared" si="50"/>
        <v>0</v>
      </c>
      <c r="E3212" s="14" t="str">
        <f>IFERROR(GIZLI!G3207,"")</f>
        <v/>
      </c>
    </row>
    <row r="3213" spans="2:5" x14ac:dyDescent="0.3">
      <c r="B3213" s="2" t="str">
        <f>MID(TableQR[[#This Row],[QR CODES]],4,13)</f>
        <v/>
      </c>
      <c r="C3213" s="2" t="str">
        <f>IFERROR(VLOOKUP(TableQR[[#This Row],[BARCODES]],ILACLISTE[#All],2,0),"")</f>
        <v/>
      </c>
      <c r="D3213" s="2">
        <f t="shared" si="50"/>
        <v>0</v>
      </c>
      <c r="E3213" s="14" t="str">
        <f>IFERROR(GIZLI!G3208,"")</f>
        <v/>
      </c>
    </row>
    <row r="3214" spans="2:5" x14ac:dyDescent="0.3">
      <c r="B3214" s="2" t="str">
        <f>MID(TableQR[[#This Row],[QR CODES]],4,13)</f>
        <v/>
      </c>
      <c r="C3214" s="2" t="str">
        <f>IFERROR(VLOOKUP(TableQR[[#This Row],[BARCODES]],ILACLISTE[#All],2,0),"")</f>
        <v/>
      </c>
      <c r="D3214" s="2">
        <f t="shared" si="50"/>
        <v>0</v>
      </c>
      <c r="E3214" s="14" t="str">
        <f>IFERROR(GIZLI!G3209,"")</f>
        <v/>
      </c>
    </row>
    <row r="3215" spans="2:5" x14ac:dyDescent="0.3">
      <c r="B3215" s="2" t="str">
        <f>MID(TableQR[[#This Row],[QR CODES]],4,13)</f>
        <v/>
      </c>
      <c r="C3215" s="2" t="str">
        <f>IFERROR(VLOOKUP(TableQR[[#This Row],[BARCODES]],ILACLISTE[#All],2,0),"")</f>
        <v/>
      </c>
      <c r="D3215" s="2">
        <f t="shared" si="50"/>
        <v>0</v>
      </c>
      <c r="E3215" s="14" t="str">
        <f>IFERROR(GIZLI!G3210,"")</f>
        <v/>
      </c>
    </row>
    <row r="3216" spans="2:5" x14ac:dyDescent="0.3">
      <c r="B3216" s="2" t="str">
        <f>MID(TableQR[[#This Row],[QR CODES]],4,13)</f>
        <v/>
      </c>
      <c r="C3216" s="2" t="str">
        <f>IFERROR(VLOOKUP(TableQR[[#This Row],[BARCODES]],ILACLISTE[#All],2,0),"")</f>
        <v/>
      </c>
      <c r="D3216" s="2">
        <f t="shared" si="50"/>
        <v>0</v>
      </c>
      <c r="E3216" s="14" t="str">
        <f>IFERROR(GIZLI!G3211,"")</f>
        <v/>
      </c>
    </row>
    <row r="3217" spans="2:5" x14ac:dyDescent="0.3">
      <c r="B3217" s="2" t="str">
        <f>MID(TableQR[[#This Row],[QR CODES]],4,13)</f>
        <v/>
      </c>
      <c r="C3217" s="2" t="str">
        <f>IFERROR(VLOOKUP(TableQR[[#This Row],[BARCODES]],ILACLISTE[#All],2,0),"")</f>
        <v/>
      </c>
      <c r="D3217" s="2">
        <f t="shared" si="50"/>
        <v>0</v>
      </c>
      <c r="E3217" s="14" t="str">
        <f>IFERROR(GIZLI!G3212,"")</f>
        <v/>
      </c>
    </row>
    <row r="3218" spans="2:5" x14ac:dyDescent="0.3">
      <c r="B3218" s="2" t="str">
        <f>MID(TableQR[[#This Row],[QR CODES]],4,13)</f>
        <v/>
      </c>
      <c r="C3218" s="2" t="str">
        <f>IFERROR(VLOOKUP(TableQR[[#This Row],[BARCODES]],ILACLISTE[#All],2,0),"")</f>
        <v/>
      </c>
      <c r="D3218" s="2">
        <f t="shared" si="50"/>
        <v>0</v>
      </c>
      <c r="E3218" s="14" t="str">
        <f>IFERROR(GIZLI!G3213,"")</f>
        <v/>
      </c>
    </row>
    <row r="3219" spans="2:5" x14ac:dyDescent="0.3">
      <c r="B3219" s="2" t="str">
        <f>MID(TableQR[[#This Row],[QR CODES]],4,13)</f>
        <v/>
      </c>
      <c r="C3219" s="2" t="str">
        <f>IFERROR(VLOOKUP(TableQR[[#This Row],[BARCODES]],ILACLISTE[#All],2,0),"")</f>
        <v/>
      </c>
      <c r="D3219" s="2">
        <f t="shared" si="50"/>
        <v>0</v>
      </c>
      <c r="E3219" s="14" t="str">
        <f>IFERROR(GIZLI!G3214,"")</f>
        <v/>
      </c>
    </row>
    <row r="3220" spans="2:5" x14ac:dyDescent="0.3">
      <c r="B3220" s="2" t="str">
        <f>MID(TableQR[[#This Row],[QR CODES]],4,13)</f>
        <v/>
      </c>
      <c r="C3220" s="2" t="str">
        <f>IFERROR(VLOOKUP(TableQR[[#This Row],[BARCODES]],ILACLISTE[#All],2,0),"")</f>
        <v/>
      </c>
      <c r="D3220" s="2">
        <f t="shared" si="50"/>
        <v>0</v>
      </c>
      <c r="E3220" s="14" t="str">
        <f>IFERROR(GIZLI!G3215,"")</f>
        <v/>
      </c>
    </row>
    <row r="3221" spans="2:5" x14ac:dyDescent="0.3">
      <c r="B3221" s="2" t="str">
        <f>MID(TableQR[[#This Row],[QR CODES]],4,13)</f>
        <v/>
      </c>
      <c r="C3221" s="2" t="str">
        <f>IFERROR(VLOOKUP(TableQR[[#This Row],[BARCODES]],ILACLISTE[#All],2,0),"")</f>
        <v/>
      </c>
      <c r="D3221" s="2">
        <f t="shared" si="50"/>
        <v>0</v>
      </c>
      <c r="E3221" s="14" t="str">
        <f>IFERROR(GIZLI!G3216,"")</f>
        <v/>
      </c>
    </row>
    <row r="3222" spans="2:5" x14ac:dyDescent="0.3">
      <c r="B3222" s="2" t="str">
        <f>MID(TableQR[[#This Row],[QR CODES]],4,13)</f>
        <v/>
      </c>
      <c r="C3222" s="2" t="str">
        <f>IFERROR(VLOOKUP(TableQR[[#This Row],[BARCODES]],ILACLISTE[#All],2,0),"")</f>
        <v/>
      </c>
      <c r="D3222" s="2">
        <f t="shared" si="50"/>
        <v>0</v>
      </c>
      <c r="E3222" s="14" t="str">
        <f>IFERROR(GIZLI!G3217,"")</f>
        <v/>
      </c>
    </row>
    <row r="3223" spans="2:5" x14ac:dyDescent="0.3">
      <c r="B3223" s="2" t="str">
        <f>MID(TableQR[[#This Row],[QR CODES]],4,13)</f>
        <v/>
      </c>
      <c r="C3223" s="2" t="str">
        <f>IFERROR(VLOOKUP(TableQR[[#This Row],[BARCODES]],ILACLISTE[#All],2,0),"")</f>
        <v/>
      </c>
      <c r="D3223" s="2">
        <f t="shared" si="50"/>
        <v>0</v>
      </c>
      <c r="E3223" s="14" t="str">
        <f>IFERROR(GIZLI!G3218,"")</f>
        <v/>
      </c>
    </row>
    <row r="3224" spans="2:5" x14ac:dyDescent="0.3">
      <c r="B3224" s="2" t="str">
        <f>MID(TableQR[[#This Row],[QR CODES]],4,13)</f>
        <v/>
      </c>
      <c r="C3224" s="2" t="str">
        <f>IFERROR(VLOOKUP(TableQR[[#This Row],[BARCODES]],ILACLISTE[#All],2,0),"")</f>
        <v/>
      </c>
      <c r="D3224" s="2">
        <f t="shared" si="50"/>
        <v>0</v>
      </c>
      <c r="E3224" s="14" t="str">
        <f>IFERROR(GIZLI!G3219,"")</f>
        <v/>
      </c>
    </row>
    <row r="3225" spans="2:5" x14ac:dyDescent="0.3">
      <c r="B3225" s="2" t="str">
        <f>MID(TableQR[[#This Row],[QR CODES]],4,13)</f>
        <v/>
      </c>
      <c r="C3225" s="2" t="str">
        <f>IFERROR(VLOOKUP(TableQR[[#This Row],[BARCODES]],ILACLISTE[#All],2,0),"")</f>
        <v/>
      </c>
      <c r="D3225" s="2">
        <f t="shared" si="50"/>
        <v>0</v>
      </c>
      <c r="E3225" s="14" t="str">
        <f>IFERROR(GIZLI!G3220,"")</f>
        <v/>
      </c>
    </row>
    <row r="3226" spans="2:5" x14ac:dyDescent="0.3">
      <c r="B3226" s="2" t="str">
        <f>MID(TableQR[[#This Row],[QR CODES]],4,13)</f>
        <v/>
      </c>
      <c r="C3226" s="2" t="str">
        <f>IFERROR(VLOOKUP(TableQR[[#This Row],[BARCODES]],ILACLISTE[#All],2,0),"")</f>
        <v/>
      </c>
      <c r="D3226" s="2">
        <f t="shared" si="50"/>
        <v>0</v>
      </c>
      <c r="E3226" s="14" t="str">
        <f>IFERROR(GIZLI!G3221,"")</f>
        <v/>
      </c>
    </row>
    <row r="3227" spans="2:5" x14ac:dyDescent="0.3">
      <c r="B3227" s="2" t="str">
        <f>MID(TableQR[[#This Row],[QR CODES]],4,13)</f>
        <v/>
      </c>
      <c r="C3227" s="2" t="str">
        <f>IFERROR(VLOOKUP(TableQR[[#This Row],[BARCODES]],ILACLISTE[#All],2,0),"")</f>
        <v/>
      </c>
      <c r="D3227" s="2">
        <f t="shared" si="50"/>
        <v>0</v>
      </c>
      <c r="E3227" s="14" t="str">
        <f>IFERROR(GIZLI!G3222,"")</f>
        <v/>
      </c>
    </row>
    <row r="3228" spans="2:5" x14ac:dyDescent="0.3">
      <c r="B3228" s="2" t="str">
        <f>MID(TableQR[[#This Row],[QR CODES]],4,13)</f>
        <v/>
      </c>
      <c r="C3228" s="2" t="str">
        <f>IFERROR(VLOOKUP(TableQR[[#This Row],[BARCODES]],ILACLISTE[#All],2,0),"")</f>
        <v/>
      </c>
      <c r="D3228" s="2">
        <f t="shared" si="50"/>
        <v>0</v>
      </c>
      <c r="E3228" s="14" t="str">
        <f>IFERROR(GIZLI!G3223,"")</f>
        <v/>
      </c>
    </row>
    <row r="3229" spans="2:5" x14ac:dyDescent="0.3">
      <c r="B3229" s="2" t="str">
        <f>MID(TableQR[[#This Row],[QR CODES]],4,13)</f>
        <v/>
      </c>
      <c r="C3229" s="2" t="str">
        <f>IFERROR(VLOOKUP(TableQR[[#This Row],[BARCODES]],ILACLISTE[#All],2,0),"")</f>
        <v/>
      </c>
      <c r="D3229" s="2">
        <f t="shared" si="50"/>
        <v>0</v>
      </c>
      <c r="E3229" s="14" t="str">
        <f>IFERROR(GIZLI!G3224,"")</f>
        <v/>
      </c>
    </row>
    <row r="3230" spans="2:5" x14ac:dyDescent="0.3">
      <c r="B3230" s="2" t="str">
        <f>MID(TableQR[[#This Row],[QR CODES]],4,13)</f>
        <v/>
      </c>
      <c r="C3230" s="2" t="str">
        <f>IFERROR(VLOOKUP(TableQR[[#This Row],[BARCODES]],ILACLISTE[#All],2,0),"")</f>
        <v/>
      </c>
      <c r="D3230" s="2">
        <f t="shared" si="50"/>
        <v>0</v>
      </c>
      <c r="E3230" s="14" t="str">
        <f>IFERROR(GIZLI!G3225,"")</f>
        <v/>
      </c>
    </row>
    <row r="3231" spans="2:5" x14ac:dyDescent="0.3">
      <c r="B3231" s="2" t="str">
        <f>MID(TableQR[[#This Row],[QR CODES]],4,13)</f>
        <v/>
      </c>
      <c r="C3231" s="2" t="str">
        <f>IFERROR(VLOOKUP(TableQR[[#This Row],[BARCODES]],ILACLISTE[#All],2,0),"")</f>
        <v/>
      </c>
      <c r="D3231" s="2">
        <f t="shared" si="50"/>
        <v>0</v>
      </c>
      <c r="E3231" s="14" t="str">
        <f>IFERROR(GIZLI!G3226,"")</f>
        <v/>
      </c>
    </row>
    <row r="3232" spans="2:5" x14ac:dyDescent="0.3">
      <c r="B3232" s="2" t="str">
        <f>MID(TableQR[[#This Row],[QR CODES]],4,13)</f>
        <v/>
      </c>
      <c r="C3232" s="2" t="str">
        <f>IFERROR(VLOOKUP(TableQR[[#This Row],[BARCODES]],ILACLISTE[#All],2,0),"")</f>
        <v/>
      </c>
      <c r="D3232" s="2">
        <f t="shared" si="50"/>
        <v>0</v>
      </c>
      <c r="E3232" s="14" t="str">
        <f>IFERROR(GIZLI!G3227,"")</f>
        <v/>
      </c>
    </row>
    <row r="3233" spans="2:5" x14ac:dyDescent="0.3">
      <c r="B3233" s="2" t="str">
        <f>MID(TableQR[[#This Row],[QR CODES]],4,13)</f>
        <v/>
      </c>
      <c r="C3233" s="2" t="str">
        <f>IFERROR(VLOOKUP(TableQR[[#This Row],[BARCODES]],ILACLISTE[#All],2,0),"")</f>
        <v/>
      </c>
      <c r="D3233" s="2">
        <f t="shared" si="50"/>
        <v>0</v>
      </c>
      <c r="E3233" s="14" t="str">
        <f>IFERROR(GIZLI!G3228,"")</f>
        <v/>
      </c>
    </row>
    <row r="3234" spans="2:5" x14ac:dyDescent="0.3">
      <c r="B3234" s="2" t="str">
        <f>MID(TableQR[[#This Row],[QR CODES]],4,13)</f>
        <v/>
      </c>
      <c r="C3234" s="2" t="str">
        <f>IFERROR(VLOOKUP(TableQR[[#This Row],[BARCODES]],ILACLISTE[#All],2,0),"")</f>
        <v/>
      </c>
      <c r="D3234" s="2">
        <f t="shared" si="50"/>
        <v>0</v>
      </c>
      <c r="E3234" s="14" t="str">
        <f>IFERROR(GIZLI!G3229,"")</f>
        <v/>
      </c>
    </row>
    <row r="3235" spans="2:5" x14ac:dyDescent="0.3">
      <c r="B3235" s="2" t="str">
        <f>MID(TableQR[[#This Row],[QR CODES]],4,13)</f>
        <v/>
      </c>
      <c r="C3235" s="2" t="str">
        <f>IFERROR(VLOOKUP(TableQR[[#This Row],[BARCODES]],ILACLISTE[#All],2,0),"")</f>
        <v/>
      </c>
      <c r="D3235" s="2">
        <f t="shared" si="50"/>
        <v>0</v>
      </c>
      <c r="E3235" s="14" t="str">
        <f>IFERROR(GIZLI!G3230,"")</f>
        <v/>
      </c>
    </row>
    <row r="3236" spans="2:5" x14ac:dyDescent="0.3">
      <c r="B3236" s="2" t="str">
        <f>MID(TableQR[[#This Row],[QR CODES]],4,13)</f>
        <v/>
      </c>
      <c r="C3236" s="2" t="str">
        <f>IFERROR(VLOOKUP(TableQR[[#This Row],[BARCODES]],ILACLISTE[#All],2,0),"")</f>
        <v/>
      </c>
      <c r="D3236" s="2">
        <f t="shared" si="50"/>
        <v>0</v>
      </c>
      <c r="E3236" s="14" t="str">
        <f>IFERROR(GIZLI!G3231,"")</f>
        <v/>
      </c>
    </row>
    <row r="3237" spans="2:5" x14ac:dyDescent="0.3">
      <c r="B3237" s="2" t="str">
        <f>MID(TableQR[[#This Row],[QR CODES]],4,13)</f>
        <v/>
      </c>
      <c r="C3237" s="2" t="str">
        <f>IFERROR(VLOOKUP(TableQR[[#This Row],[BARCODES]],ILACLISTE[#All],2,0),"")</f>
        <v/>
      </c>
      <c r="D3237" s="2">
        <f t="shared" si="50"/>
        <v>0</v>
      </c>
      <c r="E3237" s="14" t="str">
        <f>IFERROR(GIZLI!G3232,"")</f>
        <v/>
      </c>
    </row>
    <row r="3238" spans="2:5" x14ac:dyDescent="0.3">
      <c r="B3238" s="2" t="str">
        <f>MID(TableQR[[#This Row],[QR CODES]],4,13)</f>
        <v/>
      </c>
      <c r="C3238" s="2" t="str">
        <f>IFERROR(VLOOKUP(TableQR[[#This Row],[BARCODES]],ILACLISTE[#All],2,0),"")</f>
        <v/>
      </c>
      <c r="D3238" s="2">
        <f t="shared" si="50"/>
        <v>0</v>
      </c>
      <c r="E3238" s="14" t="str">
        <f>IFERROR(GIZLI!G3233,"")</f>
        <v/>
      </c>
    </row>
    <row r="3239" spans="2:5" x14ac:dyDescent="0.3">
      <c r="B3239" s="2" t="str">
        <f>MID(TableQR[[#This Row],[QR CODES]],4,13)</f>
        <v/>
      </c>
      <c r="C3239" s="2" t="str">
        <f>IFERROR(VLOOKUP(TableQR[[#This Row],[BARCODES]],ILACLISTE[#All],2,0),"")</f>
        <v/>
      </c>
      <c r="D3239" s="2">
        <f t="shared" si="50"/>
        <v>0</v>
      </c>
      <c r="E3239" s="14" t="str">
        <f>IFERROR(GIZLI!G3234,"")</f>
        <v/>
      </c>
    </row>
    <row r="3240" spans="2:5" x14ac:dyDescent="0.3">
      <c r="B3240" s="2" t="str">
        <f>MID(TableQR[[#This Row],[QR CODES]],4,13)</f>
        <v/>
      </c>
      <c r="C3240" s="2" t="str">
        <f>IFERROR(VLOOKUP(TableQR[[#This Row],[BARCODES]],ILACLISTE[#All],2,0),"")</f>
        <v/>
      </c>
      <c r="D3240" s="2">
        <f t="shared" si="50"/>
        <v>0</v>
      </c>
      <c r="E3240" s="14" t="str">
        <f>IFERROR(GIZLI!G3235,"")</f>
        <v/>
      </c>
    </row>
    <row r="3241" spans="2:5" x14ac:dyDescent="0.3">
      <c r="B3241" s="2" t="str">
        <f>MID(TableQR[[#This Row],[QR CODES]],4,13)</f>
        <v/>
      </c>
      <c r="C3241" s="2" t="str">
        <f>IFERROR(VLOOKUP(TableQR[[#This Row],[BARCODES]],ILACLISTE[#All],2,0),"")</f>
        <v/>
      </c>
      <c r="D3241" s="2">
        <f t="shared" si="50"/>
        <v>0</v>
      </c>
      <c r="E3241" s="14" t="str">
        <f>IFERROR(GIZLI!G3236,"")</f>
        <v/>
      </c>
    </row>
    <row r="3242" spans="2:5" x14ac:dyDescent="0.3">
      <c r="B3242" s="2" t="str">
        <f>MID(TableQR[[#This Row],[QR CODES]],4,13)</f>
        <v/>
      </c>
      <c r="C3242" s="2" t="str">
        <f>IFERROR(VLOOKUP(TableQR[[#This Row],[BARCODES]],ILACLISTE[#All],2,0),"")</f>
        <v/>
      </c>
      <c r="D3242" s="2">
        <f t="shared" si="50"/>
        <v>0</v>
      </c>
      <c r="E3242" s="14" t="str">
        <f>IFERROR(GIZLI!G3237,"")</f>
        <v/>
      </c>
    </row>
    <row r="3243" spans="2:5" x14ac:dyDescent="0.3">
      <c r="B3243" s="2" t="str">
        <f>MID(TableQR[[#This Row],[QR CODES]],4,13)</f>
        <v/>
      </c>
      <c r="C3243" s="2" t="str">
        <f>IFERROR(VLOOKUP(TableQR[[#This Row],[BARCODES]],ILACLISTE[#All],2,0),"")</f>
        <v/>
      </c>
      <c r="D3243" s="2">
        <f t="shared" si="50"/>
        <v>0</v>
      </c>
      <c r="E3243" s="14" t="str">
        <f>IFERROR(GIZLI!G3238,"")</f>
        <v/>
      </c>
    </row>
    <row r="3244" spans="2:5" x14ac:dyDescent="0.3">
      <c r="B3244" s="2" t="str">
        <f>MID(TableQR[[#This Row],[QR CODES]],4,13)</f>
        <v/>
      </c>
      <c r="C3244" s="2" t="str">
        <f>IFERROR(VLOOKUP(TableQR[[#This Row],[BARCODES]],ILACLISTE[#All],2,0),"")</f>
        <v/>
      </c>
      <c r="D3244" s="2">
        <f t="shared" si="50"/>
        <v>0</v>
      </c>
      <c r="E3244" s="14" t="str">
        <f>IFERROR(GIZLI!G3239,"")</f>
        <v/>
      </c>
    </row>
    <row r="3245" spans="2:5" x14ac:dyDescent="0.3">
      <c r="B3245" s="2" t="str">
        <f>MID(TableQR[[#This Row],[QR CODES]],4,13)</f>
        <v/>
      </c>
      <c r="C3245" s="2" t="str">
        <f>IFERROR(VLOOKUP(TableQR[[#This Row],[BARCODES]],ILACLISTE[#All],2,0),"")</f>
        <v/>
      </c>
      <c r="D3245" s="2">
        <f t="shared" si="50"/>
        <v>0</v>
      </c>
      <c r="E3245" s="14" t="str">
        <f>IFERROR(GIZLI!G3240,"")</f>
        <v/>
      </c>
    </row>
    <row r="3246" spans="2:5" x14ac:dyDescent="0.3">
      <c r="B3246" s="2" t="str">
        <f>MID(TableQR[[#This Row],[QR CODES]],4,13)</f>
        <v/>
      </c>
      <c r="C3246" s="2" t="str">
        <f>IFERROR(VLOOKUP(TableQR[[#This Row],[BARCODES]],ILACLISTE[#All],2,0),"")</f>
        <v/>
      </c>
      <c r="D3246" s="2">
        <f t="shared" si="50"/>
        <v>0</v>
      </c>
      <c r="E3246" s="14" t="str">
        <f>IFERROR(GIZLI!G3241,"")</f>
        <v/>
      </c>
    </row>
    <row r="3247" spans="2:5" x14ac:dyDescent="0.3">
      <c r="B3247" s="2" t="str">
        <f>MID(TableQR[[#This Row],[QR CODES]],4,13)</f>
        <v/>
      </c>
      <c r="C3247" s="2" t="str">
        <f>IFERROR(VLOOKUP(TableQR[[#This Row],[BARCODES]],ILACLISTE[#All],2,0),"")</f>
        <v/>
      </c>
      <c r="D3247" s="2">
        <f t="shared" si="50"/>
        <v>0</v>
      </c>
      <c r="E3247" s="14" t="str">
        <f>IFERROR(GIZLI!G3242,"")</f>
        <v/>
      </c>
    </row>
    <row r="3248" spans="2:5" x14ac:dyDescent="0.3">
      <c r="B3248" s="2" t="str">
        <f>MID(TableQR[[#This Row],[QR CODES]],4,13)</f>
        <v/>
      </c>
      <c r="C3248" s="2" t="str">
        <f>IFERROR(VLOOKUP(TableQR[[#This Row],[BARCODES]],ILACLISTE[#All],2,0),"")</f>
        <v/>
      </c>
      <c r="D3248" s="2">
        <f t="shared" si="50"/>
        <v>0</v>
      </c>
      <c r="E3248" s="14" t="str">
        <f>IFERROR(GIZLI!G3243,"")</f>
        <v/>
      </c>
    </row>
    <row r="3249" spans="2:5" x14ac:dyDescent="0.3">
      <c r="B3249" s="2" t="str">
        <f>MID(TableQR[[#This Row],[QR CODES]],4,13)</f>
        <v/>
      </c>
      <c r="C3249" s="2" t="str">
        <f>IFERROR(VLOOKUP(TableQR[[#This Row],[BARCODES]],ILACLISTE[#All],2,0),"")</f>
        <v/>
      </c>
      <c r="D3249" s="2">
        <f t="shared" si="50"/>
        <v>0</v>
      </c>
      <c r="E3249" s="14" t="str">
        <f>IFERROR(GIZLI!G3244,"")</f>
        <v/>
      </c>
    </row>
    <row r="3250" spans="2:5" x14ac:dyDescent="0.3">
      <c r="B3250" s="2" t="str">
        <f>MID(TableQR[[#This Row],[QR CODES]],4,13)</f>
        <v/>
      </c>
      <c r="C3250" s="2" t="str">
        <f>IFERROR(VLOOKUP(TableQR[[#This Row],[BARCODES]],ILACLISTE[#All],2,0),"")</f>
        <v/>
      </c>
      <c r="D3250" s="2">
        <f t="shared" si="50"/>
        <v>0</v>
      </c>
      <c r="E3250" s="14" t="str">
        <f>IFERROR(GIZLI!G3245,"")</f>
        <v/>
      </c>
    </row>
    <row r="3251" spans="2:5" x14ac:dyDescent="0.3">
      <c r="B3251" s="2" t="str">
        <f>MID(TableQR[[#This Row],[QR CODES]],4,13)</f>
        <v/>
      </c>
      <c r="C3251" s="2" t="str">
        <f>IFERROR(VLOOKUP(TableQR[[#This Row],[BARCODES]],ILACLISTE[#All],2,0),"")</f>
        <v/>
      </c>
      <c r="D3251" s="2">
        <f t="shared" si="50"/>
        <v>0</v>
      </c>
      <c r="E3251" s="14" t="str">
        <f>IFERROR(GIZLI!G3246,"")</f>
        <v/>
      </c>
    </row>
    <row r="3252" spans="2:5" x14ac:dyDescent="0.3">
      <c r="B3252" s="2" t="str">
        <f>MID(TableQR[[#This Row],[QR CODES]],4,13)</f>
        <v/>
      </c>
      <c r="C3252" s="2" t="str">
        <f>IFERROR(VLOOKUP(TableQR[[#This Row],[BARCODES]],ILACLISTE[#All],2,0),"")</f>
        <v/>
      </c>
      <c r="D3252" s="2">
        <f t="shared" si="50"/>
        <v>0</v>
      </c>
      <c r="E3252" s="14" t="str">
        <f>IFERROR(GIZLI!G3247,"")</f>
        <v/>
      </c>
    </row>
    <row r="3253" spans="2:5" x14ac:dyDescent="0.3">
      <c r="B3253" s="2" t="str">
        <f>MID(TableQR[[#This Row],[QR CODES]],4,13)</f>
        <v/>
      </c>
      <c r="C3253" s="2" t="str">
        <f>IFERROR(VLOOKUP(TableQR[[#This Row],[BARCODES]],ILACLISTE[#All],2,0),"")</f>
        <v/>
      </c>
      <c r="D3253" s="2">
        <f t="shared" si="50"/>
        <v>0</v>
      </c>
      <c r="E3253" s="14" t="str">
        <f>IFERROR(GIZLI!G3248,"")</f>
        <v/>
      </c>
    </row>
    <row r="3254" spans="2:5" x14ac:dyDescent="0.3">
      <c r="B3254" s="2" t="str">
        <f>MID(TableQR[[#This Row],[QR CODES]],4,13)</f>
        <v/>
      </c>
      <c r="C3254" s="2" t="str">
        <f>IFERROR(VLOOKUP(TableQR[[#This Row],[BARCODES]],ILACLISTE[#All],2,0),"")</f>
        <v/>
      </c>
      <c r="D3254" s="2">
        <f t="shared" si="50"/>
        <v>0</v>
      </c>
      <c r="E3254" s="14" t="str">
        <f>IFERROR(GIZLI!G3249,"")</f>
        <v/>
      </c>
    </row>
    <row r="3255" spans="2:5" x14ac:dyDescent="0.3">
      <c r="B3255" s="2" t="str">
        <f>MID(TableQR[[#This Row],[QR CODES]],4,13)</f>
        <v/>
      </c>
      <c r="C3255" s="2" t="str">
        <f>IFERROR(VLOOKUP(TableQR[[#This Row],[BARCODES]],ILACLISTE[#All],2,0),"")</f>
        <v/>
      </c>
      <c r="D3255" s="2">
        <f t="shared" si="50"/>
        <v>0</v>
      </c>
      <c r="E3255" s="14" t="str">
        <f>IFERROR(GIZLI!G3250,"")</f>
        <v/>
      </c>
    </row>
    <row r="3256" spans="2:5" x14ac:dyDescent="0.3">
      <c r="B3256" s="2" t="str">
        <f>MID(TableQR[[#This Row],[QR CODES]],4,13)</f>
        <v/>
      </c>
      <c r="C3256" s="2" t="str">
        <f>IFERROR(VLOOKUP(TableQR[[#This Row],[BARCODES]],ILACLISTE[#All],2,0),"")</f>
        <v/>
      </c>
      <c r="D3256" s="2">
        <f t="shared" si="50"/>
        <v>0</v>
      </c>
      <c r="E3256" s="14" t="str">
        <f>IFERROR(GIZLI!G3251,"")</f>
        <v/>
      </c>
    </row>
    <row r="3257" spans="2:5" x14ac:dyDescent="0.3">
      <c r="B3257" s="2" t="str">
        <f>MID(TableQR[[#This Row],[QR CODES]],4,13)</f>
        <v/>
      </c>
      <c r="C3257" s="2" t="str">
        <f>IFERROR(VLOOKUP(TableQR[[#This Row],[BARCODES]],ILACLISTE[#All],2,0),"")</f>
        <v/>
      </c>
      <c r="D3257" s="2">
        <f t="shared" si="50"/>
        <v>0</v>
      </c>
      <c r="E3257" s="14" t="str">
        <f>IFERROR(GIZLI!G3252,"")</f>
        <v/>
      </c>
    </row>
    <row r="3258" spans="2:5" x14ac:dyDescent="0.3">
      <c r="B3258" s="2" t="str">
        <f>MID(TableQR[[#This Row],[QR CODES]],4,13)</f>
        <v/>
      </c>
      <c r="C3258" s="2" t="str">
        <f>IFERROR(VLOOKUP(TableQR[[#This Row],[BARCODES]],ILACLISTE[#All],2,0),"")</f>
        <v/>
      </c>
      <c r="D3258" s="2">
        <f t="shared" si="50"/>
        <v>0</v>
      </c>
      <c r="E3258" s="14" t="str">
        <f>IFERROR(GIZLI!G3253,"")</f>
        <v/>
      </c>
    </row>
    <row r="3259" spans="2:5" x14ac:dyDescent="0.3">
      <c r="B3259" s="2" t="str">
        <f>MID(TableQR[[#This Row],[QR CODES]],4,13)</f>
        <v/>
      </c>
      <c r="C3259" s="2" t="str">
        <f>IFERROR(VLOOKUP(TableQR[[#This Row],[BARCODES]],ILACLISTE[#All],2,0),"")</f>
        <v/>
      </c>
      <c r="D3259" s="2">
        <f t="shared" si="50"/>
        <v>0</v>
      </c>
      <c r="E3259" s="14" t="str">
        <f>IFERROR(GIZLI!G3254,"")</f>
        <v/>
      </c>
    </row>
    <row r="3260" spans="2:5" x14ac:dyDescent="0.3">
      <c r="B3260" s="2" t="str">
        <f>MID(TableQR[[#This Row],[QR CODES]],4,13)</f>
        <v/>
      </c>
      <c r="C3260" s="2" t="str">
        <f>IFERROR(VLOOKUP(TableQR[[#This Row],[BARCODES]],ILACLISTE[#All],2,0),"")</f>
        <v/>
      </c>
      <c r="D3260" s="2">
        <f t="shared" si="50"/>
        <v>0</v>
      </c>
      <c r="E3260" s="14" t="str">
        <f>IFERROR(GIZLI!G3255,"")</f>
        <v/>
      </c>
    </row>
    <row r="3261" spans="2:5" x14ac:dyDescent="0.3">
      <c r="B3261" s="2" t="str">
        <f>MID(TableQR[[#This Row],[QR CODES]],4,13)</f>
        <v/>
      </c>
      <c r="C3261" s="2" t="str">
        <f>IFERROR(VLOOKUP(TableQR[[#This Row],[BARCODES]],ILACLISTE[#All],2,0),"")</f>
        <v/>
      </c>
      <c r="D3261" s="2">
        <f t="shared" si="50"/>
        <v>0</v>
      </c>
      <c r="E3261" s="14" t="str">
        <f>IFERROR(GIZLI!G3256,"")</f>
        <v/>
      </c>
    </row>
    <row r="3262" spans="2:5" x14ac:dyDescent="0.3">
      <c r="B3262" s="2" t="str">
        <f>MID(TableQR[[#This Row],[QR CODES]],4,13)</f>
        <v/>
      </c>
      <c r="C3262" s="2" t="str">
        <f>IFERROR(VLOOKUP(TableQR[[#This Row],[BARCODES]],ILACLISTE[#All],2,0),"")</f>
        <v/>
      </c>
      <c r="D3262" s="2">
        <f t="shared" si="50"/>
        <v>0</v>
      </c>
      <c r="E3262" s="14" t="str">
        <f>IFERROR(GIZLI!G3257,"")</f>
        <v/>
      </c>
    </row>
    <row r="3263" spans="2:5" x14ac:dyDescent="0.3">
      <c r="B3263" s="2" t="str">
        <f>MID(TableQR[[#This Row],[QR CODES]],4,13)</f>
        <v/>
      </c>
      <c r="C3263" s="2" t="str">
        <f>IFERROR(VLOOKUP(TableQR[[#This Row],[BARCODES]],ILACLISTE[#All],2,0),"")</f>
        <v/>
      </c>
      <c r="D3263" s="2">
        <f t="shared" si="50"/>
        <v>0</v>
      </c>
      <c r="E3263" s="14" t="str">
        <f>IFERROR(GIZLI!G3258,"")</f>
        <v/>
      </c>
    </row>
    <row r="3264" spans="2:5" x14ac:dyDescent="0.3">
      <c r="B3264" s="2" t="str">
        <f>MID(TableQR[[#This Row],[QR CODES]],4,13)</f>
        <v/>
      </c>
      <c r="C3264" s="2" t="str">
        <f>IFERROR(VLOOKUP(TableQR[[#This Row],[BARCODES]],ILACLISTE[#All],2,0),"")</f>
        <v/>
      </c>
      <c r="D3264" s="2">
        <f t="shared" si="50"/>
        <v>0</v>
      </c>
      <c r="E3264" s="14" t="str">
        <f>IFERROR(GIZLI!G3259,"")</f>
        <v/>
      </c>
    </row>
    <row r="3265" spans="2:5" x14ac:dyDescent="0.3">
      <c r="B3265" s="2" t="str">
        <f>MID(TableQR[[#This Row],[QR CODES]],4,13)</f>
        <v/>
      </c>
      <c r="C3265" s="2" t="str">
        <f>IFERROR(VLOOKUP(TableQR[[#This Row],[BARCODES]],ILACLISTE[#All],2,0),"")</f>
        <v/>
      </c>
      <c r="D3265" s="2">
        <f t="shared" si="50"/>
        <v>0</v>
      </c>
      <c r="E3265" s="14" t="str">
        <f>IFERROR(GIZLI!G3260,"")</f>
        <v/>
      </c>
    </row>
    <row r="3266" spans="2:5" x14ac:dyDescent="0.3">
      <c r="B3266" s="2" t="str">
        <f>MID(TableQR[[#This Row],[QR CODES]],4,13)</f>
        <v/>
      </c>
      <c r="C3266" s="2" t="str">
        <f>IFERROR(VLOOKUP(TableQR[[#This Row],[BARCODES]],ILACLISTE[#All],2,0),"")</f>
        <v/>
      </c>
      <c r="D3266" s="2">
        <f t="shared" si="50"/>
        <v>0</v>
      </c>
      <c r="E3266" s="14" t="str">
        <f>IFERROR(GIZLI!G3261,"")</f>
        <v/>
      </c>
    </row>
    <row r="3267" spans="2:5" x14ac:dyDescent="0.3">
      <c r="B3267" s="2" t="str">
        <f>MID(TableQR[[#This Row],[QR CODES]],4,13)</f>
        <v/>
      </c>
      <c r="C3267" s="2" t="str">
        <f>IFERROR(VLOOKUP(TableQR[[#This Row],[BARCODES]],ILACLISTE[#All],2,0),"")</f>
        <v/>
      </c>
      <c r="D3267" s="2">
        <f t="shared" si="50"/>
        <v>0</v>
      </c>
      <c r="E3267" s="14" t="str">
        <f>IFERROR(GIZLI!G3262,"")</f>
        <v/>
      </c>
    </row>
    <row r="3268" spans="2:5" x14ac:dyDescent="0.3">
      <c r="B3268" s="2" t="str">
        <f>MID(TableQR[[#This Row],[QR CODES]],4,13)</f>
        <v/>
      </c>
      <c r="C3268" s="2" t="str">
        <f>IFERROR(VLOOKUP(TableQR[[#This Row],[BARCODES]],ILACLISTE[#All],2,0),"")</f>
        <v/>
      </c>
      <c r="D3268" s="2">
        <f t="shared" si="50"/>
        <v>0</v>
      </c>
      <c r="E3268" s="14" t="str">
        <f>IFERROR(GIZLI!G3263,"")</f>
        <v/>
      </c>
    </row>
    <row r="3269" spans="2:5" x14ac:dyDescent="0.3">
      <c r="B3269" s="2" t="str">
        <f>MID(TableQR[[#This Row],[QR CODES]],4,13)</f>
        <v/>
      </c>
      <c r="C3269" s="2" t="str">
        <f>IFERROR(VLOOKUP(TableQR[[#This Row],[BARCODES]],ILACLISTE[#All],2,0),"")</f>
        <v/>
      </c>
      <c r="D3269" s="2">
        <f t="shared" si="50"/>
        <v>0</v>
      </c>
      <c r="E3269" s="14" t="str">
        <f>IFERROR(GIZLI!G3264,"")</f>
        <v/>
      </c>
    </row>
    <row r="3270" spans="2:5" x14ac:dyDescent="0.3">
      <c r="B3270" s="2" t="str">
        <f>MID(TableQR[[#This Row],[QR CODES]],4,13)</f>
        <v/>
      </c>
      <c r="C3270" s="2" t="str">
        <f>IFERROR(VLOOKUP(TableQR[[#This Row],[BARCODES]],ILACLISTE[#All],2,0),"")</f>
        <v/>
      </c>
      <c r="D3270" s="2">
        <f t="shared" si="50"/>
        <v>0</v>
      </c>
      <c r="E3270" s="14" t="str">
        <f>IFERROR(GIZLI!G3265,"")</f>
        <v/>
      </c>
    </row>
    <row r="3271" spans="2:5" x14ac:dyDescent="0.3">
      <c r="B3271" s="2" t="str">
        <f>MID(TableQR[[#This Row],[QR CODES]],4,13)</f>
        <v/>
      </c>
      <c r="C3271" s="2" t="str">
        <f>IFERROR(VLOOKUP(TableQR[[#This Row],[BARCODES]],ILACLISTE[#All],2,0),"")</f>
        <v/>
      </c>
      <c r="D3271" s="2">
        <f t="shared" si="50"/>
        <v>0</v>
      </c>
      <c r="E3271" s="14" t="str">
        <f>IFERROR(GIZLI!G3266,"")</f>
        <v/>
      </c>
    </row>
    <row r="3272" spans="2:5" x14ac:dyDescent="0.3">
      <c r="B3272" s="2" t="str">
        <f>MID(TableQR[[#This Row],[QR CODES]],4,13)</f>
        <v/>
      </c>
      <c r="C3272" s="2" t="str">
        <f>IFERROR(VLOOKUP(TableQR[[#This Row],[BARCODES]],ILACLISTE[#All],2,0),"")</f>
        <v/>
      </c>
      <c r="D3272" s="2">
        <f t="shared" ref="D3272:D3335" si="51">COUNTIF(B3272:B7265,IF(B3272="",66666,B3272))</f>
        <v>0</v>
      </c>
      <c r="E3272" s="14" t="str">
        <f>IFERROR(GIZLI!G3267,"")</f>
        <v/>
      </c>
    </row>
    <row r="3273" spans="2:5" x14ac:dyDescent="0.3">
      <c r="B3273" s="2" t="str">
        <f>MID(TableQR[[#This Row],[QR CODES]],4,13)</f>
        <v/>
      </c>
      <c r="C3273" s="2" t="str">
        <f>IFERROR(VLOOKUP(TableQR[[#This Row],[BARCODES]],ILACLISTE[#All],2,0),"")</f>
        <v/>
      </c>
      <c r="D3273" s="2">
        <f t="shared" si="51"/>
        <v>0</v>
      </c>
      <c r="E3273" s="14" t="str">
        <f>IFERROR(GIZLI!G3268,"")</f>
        <v/>
      </c>
    </row>
    <row r="3274" spans="2:5" x14ac:dyDescent="0.3">
      <c r="B3274" s="2" t="str">
        <f>MID(TableQR[[#This Row],[QR CODES]],4,13)</f>
        <v/>
      </c>
      <c r="C3274" s="2" t="str">
        <f>IFERROR(VLOOKUP(TableQR[[#This Row],[BARCODES]],ILACLISTE[#All],2,0),"")</f>
        <v/>
      </c>
      <c r="D3274" s="2">
        <f t="shared" si="51"/>
        <v>0</v>
      </c>
      <c r="E3274" s="14" t="str">
        <f>IFERROR(GIZLI!G3269,"")</f>
        <v/>
      </c>
    </row>
    <row r="3275" spans="2:5" x14ac:dyDescent="0.3">
      <c r="B3275" s="2" t="str">
        <f>MID(TableQR[[#This Row],[QR CODES]],4,13)</f>
        <v/>
      </c>
      <c r="C3275" s="2" t="str">
        <f>IFERROR(VLOOKUP(TableQR[[#This Row],[BARCODES]],ILACLISTE[#All],2,0),"")</f>
        <v/>
      </c>
      <c r="D3275" s="2">
        <f t="shared" si="51"/>
        <v>0</v>
      </c>
      <c r="E3275" s="14" t="str">
        <f>IFERROR(GIZLI!G3270,"")</f>
        <v/>
      </c>
    </row>
    <row r="3276" spans="2:5" x14ac:dyDescent="0.3">
      <c r="B3276" s="2" t="str">
        <f>MID(TableQR[[#This Row],[QR CODES]],4,13)</f>
        <v/>
      </c>
      <c r="C3276" s="2" t="str">
        <f>IFERROR(VLOOKUP(TableQR[[#This Row],[BARCODES]],ILACLISTE[#All],2,0),"")</f>
        <v/>
      </c>
      <c r="D3276" s="2">
        <f t="shared" si="51"/>
        <v>0</v>
      </c>
      <c r="E3276" s="14" t="str">
        <f>IFERROR(GIZLI!G3271,"")</f>
        <v/>
      </c>
    </row>
    <row r="3277" spans="2:5" x14ac:dyDescent="0.3">
      <c r="B3277" s="2" t="str">
        <f>MID(TableQR[[#This Row],[QR CODES]],4,13)</f>
        <v/>
      </c>
      <c r="C3277" s="2" t="str">
        <f>IFERROR(VLOOKUP(TableQR[[#This Row],[BARCODES]],ILACLISTE[#All],2,0),"")</f>
        <v/>
      </c>
      <c r="D3277" s="2">
        <f t="shared" si="51"/>
        <v>0</v>
      </c>
      <c r="E3277" s="14" t="str">
        <f>IFERROR(GIZLI!G3272,"")</f>
        <v/>
      </c>
    </row>
    <row r="3278" spans="2:5" x14ac:dyDescent="0.3">
      <c r="B3278" s="2" t="str">
        <f>MID(TableQR[[#This Row],[QR CODES]],4,13)</f>
        <v/>
      </c>
      <c r="C3278" s="2" t="str">
        <f>IFERROR(VLOOKUP(TableQR[[#This Row],[BARCODES]],ILACLISTE[#All],2,0),"")</f>
        <v/>
      </c>
      <c r="D3278" s="2">
        <f t="shared" si="51"/>
        <v>0</v>
      </c>
      <c r="E3278" s="14" t="str">
        <f>IFERROR(GIZLI!G3273,"")</f>
        <v/>
      </c>
    </row>
    <row r="3279" spans="2:5" x14ac:dyDescent="0.3">
      <c r="B3279" s="2" t="str">
        <f>MID(TableQR[[#This Row],[QR CODES]],4,13)</f>
        <v/>
      </c>
      <c r="C3279" s="2" t="str">
        <f>IFERROR(VLOOKUP(TableQR[[#This Row],[BARCODES]],ILACLISTE[#All],2,0),"")</f>
        <v/>
      </c>
      <c r="D3279" s="2">
        <f t="shared" si="51"/>
        <v>0</v>
      </c>
      <c r="E3279" s="14" t="str">
        <f>IFERROR(GIZLI!G3274,"")</f>
        <v/>
      </c>
    </row>
    <row r="3280" spans="2:5" x14ac:dyDescent="0.3">
      <c r="B3280" s="2" t="str">
        <f>MID(TableQR[[#This Row],[QR CODES]],4,13)</f>
        <v/>
      </c>
      <c r="C3280" s="2" t="str">
        <f>IFERROR(VLOOKUP(TableQR[[#This Row],[BARCODES]],ILACLISTE[#All],2,0),"")</f>
        <v/>
      </c>
      <c r="D3280" s="2">
        <f t="shared" si="51"/>
        <v>0</v>
      </c>
      <c r="E3280" s="14" t="str">
        <f>IFERROR(GIZLI!G3275,"")</f>
        <v/>
      </c>
    </row>
    <row r="3281" spans="2:5" x14ac:dyDescent="0.3">
      <c r="B3281" s="2" t="str">
        <f>MID(TableQR[[#This Row],[QR CODES]],4,13)</f>
        <v/>
      </c>
      <c r="C3281" s="2" t="str">
        <f>IFERROR(VLOOKUP(TableQR[[#This Row],[BARCODES]],ILACLISTE[#All],2,0),"")</f>
        <v/>
      </c>
      <c r="D3281" s="2">
        <f t="shared" si="51"/>
        <v>0</v>
      </c>
      <c r="E3281" s="14" t="str">
        <f>IFERROR(GIZLI!G3276,"")</f>
        <v/>
      </c>
    </row>
    <row r="3282" spans="2:5" x14ac:dyDescent="0.3">
      <c r="B3282" s="2" t="str">
        <f>MID(TableQR[[#This Row],[QR CODES]],4,13)</f>
        <v/>
      </c>
      <c r="C3282" s="2" t="str">
        <f>IFERROR(VLOOKUP(TableQR[[#This Row],[BARCODES]],ILACLISTE[#All],2,0),"")</f>
        <v/>
      </c>
      <c r="D3282" s="2">
        <f t="shared" si="51"/>
        <v>0</v>
      </c>
      <c r="E3282" s="14" t="str">
        <f>IFERROR(GIZLI!G3277,"")</f>
        <v/>
      </c>
    </row>
    <row r="3283" spans="2:5" x14ac:dyDescent="0.3">
      <c r="B3283" s="2" t="str">
        <f>MID(TableQR[[#This Row],[QR CODES]],4,13)</f>
        <v/>
      </c>
      <c r="C3283" s="2" t="str">
        <f>IFERROR(VLOOKUP(TableQR[[#This Row],[BARCODES]],ILACLISTE[#All],2,0),"")</f>
        <v/>
      </c>
      <c r="D3283" s="2">
        <f t="shared" si="51"/>
        <v>0</v>
      </c>
      <c r="E3283" s="14" t="str">
        <f>IFERROR(GIZLI!G3278,"")</f>
        <v/>
      </c>
    </row>
    <row r="3284" spans="2:5" x14ac:dyDescent="0.3">
      <c r="B3284" s="2" t="str">
        <f>MID(TableQR[[#This Row],[QR CODES]],4,13)</f>
        <v/>
      </c>
      <c r="C3284" s="2" t="str">
        <f>IFERROR(VLOOKUP(TableQR[[#This Row],[BARCODES]],ILACLISTE[#All],2,0),"")</f>
        <v/>
      </c>
      <c r="D3284" s="2">
        <f t="shared" si="51"/>
        <v>0</v>
      </c>
      <c r="E3284" s="14" t="str">
        <f>IFERROR(GIZLI!G3279,"")</f>
        <v/>
      </c>
    </row>
    <row r="3285" spans="2:5" x14ac:dyDescent="0.3">
      <c r="B3285" s="2" t="str">
        <f>MID(TableQR[[#This Row],[QR CODES]],4,13)</f>
        <v/>
      </c>
      <c r="C3285" s="2" t="str">
        <f>IFERROR(VLOOKUP(TableQR[[#This Row],[BARCODES]],ILACLISTE[#All],2,0),"")</f>
        <v/>
      </c>
      <c r="D3285" s="2">
        <f t="shared" si="51"/>
        <v>0</v>
      </c>
      <c r="E3285" s="14" t="str">
        <f>IFERROR(GIZLI!G3280,"")</f>
        <v/>
      </c>
    </row>
    <row r="3286" spans="2:5" x14ac:dyDescent="0.3">
      <c r="B3286" s="2" t="str">
        <f>MID(TableQR[[#This Row],[QR CODES]],4,13)</f>
        <v/>
      </c>
      <c r="C3286" s="2" t="str">
        <f>IFERROR(VLOOKUP(TableQR[[#This Row],[BARCODES]],ILACLISTE[#All],2,0),"")</f>
        <v/>
      </c>
      <c r="D3286" s="2">
        <f t="shared" si="51"/>
        <v>0</v>
      </c>
      <c r="E3286" s="14" t="str">
        <f>IFERROR(GIZLI!G3281,"")</f>
        <v/>
      </c>
    </row>
    <row r="3287" spans="2:5" x14ac:dyDescent="0.3">
      <c r="B3287" s="2" t="str">
        <f>MID(TableQR[[#This Row],[QR CODES]],4,13)</f>
        <v/>
      </c>
      <c r="C3287" s="2" t="str">
        <f>IFERROR(VLOOKUP(TableQR[[#This Row],[BARCODES]],ILACLISTE[#All],2,0),"")</f>
        <v/>
      </c>
      <c r="D3287" s="2">
        <f t="shared" si="51"/>
        <v>0</v>
      </c>
      <c r="E3287" s="14" t="str">
        <f>IFERROR(GIZLI!G3282,"")</f>
        <v/>
      </c>
    </row>
    <row r="3288" spans="2:5" x14ac:dyDescent="0.3">
      <c r="B3288" s="2" t="str">
        <f>MID(TableQR[[#This Row],[QR CODES]],4,13)</f>
        <v/>
      </c>
      <c r="C3288" s="2" t="str">
        <f>IFERROR(VLOOKUP(TableQR[[#This Row],[BARCODES]],ILACLISTE[#All],2,0),"")</f>
        <v/>
      </c>
      <c r="D3288" s="2">
        <f t="shared" si="51"/>
        <v>0</v>
      </c>
      <c r="E3288" s="14" t="str">
        <f>IFERROR(GIZLI!G3283,"")</f>
        <v/>
      </c>
    </row>
    <row r="3289" spans="2:5" x14ac:dyDescent="0.3">
      <c r="B3289" s="2" t="str">
        <f>MID(TableQR[[#This Row],[QR CODES]],4,13)</f>
        <v/>
      </c>
      <c r="C3289" s="2" t="str">
        <f>IFERROR(VLOOKUP(TableQR[[#This Row],[BARCODES]],ILACLISTE[#All],2,0),"")</f>
        <v/>
      </c>
      <c r="D3289" s="2">
        <f t="shared" si="51"/>
        <v>0</v>
      </c>
      <c r="E3289" s="14" t="str">
        <f>IFERROR(GIZLI!G3284,"")</f>
        <v/>
      </c>
    </row>
    <row r="3290" spans="2:5" x14ac:dyDescent="0.3">
      <c r="B3290" s="2" t="str">
        <f>MID(TableQR[[#This Row],[QR CODES]],4,13)</f>
        <v/>
      </c>
      <c r="C3290" s="2" t="str">
        <f>IFERROR(VLOOKUP(TableQR[[#This Row],[BARCODES]],ILACLISTE[#All],2,0),"")</f>
        <v/>
      </c>
      <c r="D3290" s="2">
        <f t="shared" si="51"/>
        <v>0</v>
      </c>
      <c r="E3290" s="14" t="str">
        <f>IFERROR(GIZLI!G3285,"")</f>
        <v/>
      </c>
    </row>
    <row r="3291" spans="2:5" x14ac:dyDescent="0.3">
      <c r="B3291" s="2" t="str">
        <f>MID(TableQR[[#This Row],[QR CODES]],4,13)</f>
        <v/>
      </c>
      <c r="C3291" s="2" t="str">
        <f>IFERROR(VLOOKUP(TableQR[[#This Row],[BARCODES]],ILACLISTE[#All],2,0),"")</f>
        <v/>
      </c>
      <c r="D3291" s="2">
        <f t="shared" si="51"/>
        <v>0</v>
      </c>
      <c r="E3291" s="14" t="str">
        <f>IFERROR(GIZLI!G3286,"")</f>
        <v/>
      </c>
    </row>
    <row r="3292" spans="2:5" x14ac:dyDescent="0.3">
      <c r="B3292" s="2" t="str">
        <f>MID(TableQR[[#This Row],[QR CODES]],4,13)</f>
        <v/>
      </c>
      <c r="C3292" s="2" t="str">
        <f>IFERROR(VLOOKUP(TableQR[[#This Row],[BARCODES]],ILACLISTE[#All],2,0),"")</f>
        <v/>
      </c>
      <c r="D3292" s="2">
        <f t="shared" si="51"/>
        <v>0</v>
      </c>
      <c r="E3292" s="14" t="str">
        <f>IFERROR(GIZLI!G3287,"")</f>
        <v/>
      </c>
    </row>
    <row r="3293" spans="2:5" x14ac:dyDescent="0.3">
      <c r="B3293" s="2" t="str">
        <f>MID(TableQR[[#This Row],[QR CODES]],4,13)</f>
        <v/>
      </c>
      <c r="C3293" s="2" t="str">
        <f>IFERROR(VLOOKUP(TableQR[[#This Row],[BARCODES]],ILACLISTE[#All],2,0),"")</f>
        <v/>
      </c>
      <c r="D3293" s="2">
        <f t="shared" si="51"/>
        <v>0</v>
      </c>
      <c r="E3293" s="14" t="str">
        <f>IFERROR(GIZLI!G3288,"")</f>
        <v/>
      </c>
    </row>
    <row r="3294" spans="2:5" x14ac:dyDescent="0.3">
      <c r="B3294" s="2" t="str">
        <f>MID(TableQR[[#This Row],[QR CODES]],4,13)</f>
        <v/>
      </c>
      <c r="C3294" s="2" t="str">
        <f>IFERROR(VLOOKUP(TableQR[[#This Row],[BARCODES]],ILACLISTE[#All],2,0),"")</f>
        <v/>
      </c>
      <c r="D3294" s="2">
        <f t="shared" si="51"/>
        <v>0</v>
      </c>
      <c r="E3294" s="14" t="str">
        <f>IFERROR(GIZLI!G3289,"")</f>
        <v/>
      </c>
    </row>
    <row r="3295" spans="2:5" x14ac:dyDescent="0.3">
      <c r="B3295" s="2" t="str">
        <f>MID(TableQR[[#This Row],[QR CODES]],4,13)</f>
        <v/>
      </c>
      <c r="C3295" s="2" t="str">
        <f>IFERROR(VLOOKUP(TableQR[[#This Row],[BARCODES]],ILACLISTE[#All],2,0),"")</f>
        <v/>
      </c>
      <c r="D3295" s="2">
        <f t="shared" si="51"/>
        <v>0</v>
      </c>
      <c r="E3295" s="14" t="str">
        <f>IFERROR(GIZLI!G3290,"")</f>
        <v/>
      </c>
    </row>
    <row r="3296" spans="2:5" x14ac:dyDescent="0.3">
      <c r="B3296" s="2" t="str">
        <f>MID(TableQR[[#This Row],[QR CODES]],4,13)</f>
        <v/>
      </c>
      <c r="C3296" s="2" t="str">
        <f>IFERROR(VLOOKUP(TableQR[[#This Row],[BARCODES]],ILACLISTE[#All],2,0),"")</f>
        <v/>
      </c>
      <c r="D3296" s="2">
        <f t="shared" si="51"/>
        <v>0</v>
      </c>
      <c r="E3296" s="14" t="str">
        <f>IFERROR(GIZLI!G3291,"")</f>
        <v/>
      </c>
    </row>
    <row r="3297" spans="2:5" x14ac:dyDescent="0.3">
      <c r="B3297" s="2" t="str">
        <f>MID(TableQR[[#This Row],[QR CODES]],4,13)</f>
        <v/>
      </c>
      <c r="C3297" s="2" t="str">
        <f>IFERROR(VLOOKUP(TableQR[[#This Row],[BARCODES]],ILACLISTE[#All],2,0),"")</f>
        <v/>
      </c>
      <c r="D3297" s="2">
        <f t="shared" si="51"/>
        <v>0</v>
      </c>
      <c r="E3297" s="14" t="str">
        <f>IFERROR(GIZLI!G3292,"")</f>
        <v/>
      </c>
    </row>
    <row r="3298" spans="2:5" x14ac:dyDescent="0.3">
      <c r="B3298" s="2" t="str">
        <f>MID(TableQR[[#This Row],[QR CODES]],4,13)</f>
        <v/>
      </c>
      <c r="C3298" s="2" t="str">
        <f>IFERROR(VLOOKUP(TableQR[[#This Row],[BARCODES]],ILACLISTE[#All],2,0),"")</f>
        <v/>
      </c>
      <c r="D3298" s="2">
        <f t="shared" si="51"/>
        <v>0</v>
      </c>
      <c r="E3298" s="14" t="str">
        <f>IFERROR(GIZLI!G3293,"")</f>
        <v/>
      </c>
    </row>
    <row r="3299" spans="2:5" x14ac:dyDescent="0.3">
      <c r="B3299" s="2" t="str">
        <f>MID(TableQR[[#This Row],[QR CODES]],4,13)</f>
        <v/>
      </c>
      <c r="C3299" s="2" t="str">
        <f>IFERROR(VLOOKUP(TableQR[[#This Row],[BARCODES]],ILACLISTE[#All],2,0),"")</f>
        <v/>
      </c>
      <c r="D3299" s="2">
        <f t="shared" si="51"/>
        <v>0</v>
      </c>
      <c r="E3299" s="14" t="str">
        <f>IFERROR(GIZLI!G3294,"")</f>
        <v/>
      </c>
    </row>
    <row r="3300" spans="2:5" x14ac:dyDescent="0.3">
      <c r="B3300" s="2" t="str">
        <f>MID(TableQR[[#This Row],[QR CODES]],4,13)</f>
        <v/>
      </c>
      <c r="C3300" s="2" t="str">
        <f>IFERROR(VLOOKUP(TableQR[[#This Row],[BARCODES]],ILACLISTE[#All],2,0),"")</f>
        <v/>
      </c>
      <c r="D3300" s="2">
        <f t="shared" si="51"/>
        <v>0</v>
      </c>
      <c r="E3300" s="14" t="str">
        <f>IFERROR(GIZLI!G3295,"")</f>
        <v/>
      </c>
    </row>
    <row r="3301" spans="2:5" x14ac:dyDescent="0.3">
      <c r="B3301" s="2" t="str">
        <f>MID(TableQR[[#This Row],[QR CODES]],4,13)</f>
        <v/>
      </c>
      <c r="C3301" s="2" t="str">
        <f>IFERROR(VLOOKUP(TableQR[[#This Row],[BARCODES]],ILACLISTE[#All],2,0),"")</f>
        <v/>
      </c>
      <c r="D3301" s="2">
        <f t="shared" si="51"/>
        <v>0</v>
      </c>
      <c r="E3301" s="14" t="str">
        <f>IFERROR(GIZLI!G3296,"")</f>
        <v/>
      </c>
    </row>
    <row r="3302" spans="2:5" x14ac:dyDescent="0.3">
      <c r="B3302" s="2" t="str">
        <f>MID(TableQR[[#This Row],[QR CODES]],4,13)</f>
        <v/>
      </c>
      <c r="C3302" s="2" t="str">
        <f>IFERROR(VLOOKUP(TableQR[[#This Row],[BARCODES]],ILACLISTE[#All],2,0),"")</f>
        <v/>
      </c>
      <c r="D3302" s="2">
        <f t="shared" si="51"/>
        <v>0</v>
      </c>
      <c r="E3302" s="14" t="str">
        <f>IFERROR(GIZLI!G3297,"")</f>
        <v/>
      </c>
    </row>
    <row r="3303" spans="2:5" x14ac:dyDescent="0.3">
      <c r="B3303" s="2" t="str">
        <f>MID(TableQR[[#This Row],[QR CODES]],4,13)</f>
        <v/>
      </c>
      <c r="C3303" s="2" t="str">
        <f>IFERROR(VLOOKUP(TableQR[[#This Row],[BARCODES]],ILACLISTE[#All],2,0),"")</f>
        <v/>
      </c>
      <c r="D3303" s="2">
        <f t="shared" si="51"/>
        <v>0</v>
      </c>
      <c r="E3303" s="14" t="str">
        <f>IFERROR(GIZLI!G3298,"")</f>
        <v/>
      </c>
    </row>
    <row r="3304" spans="2:5" x14ac:dyDescent="0.3">
      <c r="B3304" s="2" t="str">
        <f>MID(TableQR[[#This Row],[QR CODES]],4,13)</f>
        <v/>
      </c>
      <c r="C3304" s="2" t="str">
        <f>IFERROR(VLOOKUP(TableQR[[#This Row],[BARCODES]],ILACLISTE[#All],2,0),"")</f>
        <v/>
      </c>
      <c r="D3304" s="2">
        <f t="shared" si="51"/>
        <v>0</v>
      </c>
      <c r="E3304" s="14" t="str">
        <f>IFERROR(GIZLI!G3299,"")</f>
        <v/>
      </c>
    </row>
    <row r="3305" spans="2:5" x14ac:dyDescent="0.3">
      <c r="B3305" s="2" t="str">
        <f>MID(TableQR[[#This Row],[QR CODES]],4,13)</f>
        <v/>
      </c>
      <c r="C3305" s="2" t="str">
        <f>IFERROR(VLOOKUP(TableQR[[#This Row],[BARCODES]],ILACLISTE[#All],2,0),"")</f>
        <v/>
      </c>
      <c r="D3305" s="2">
        <f t="shared" si="51"/>
        <v>0</v>
      </c>
      <c r="E3305" s="14" t="str">
        <f>IFERROR(GIZLI!G3300,"")</f>
        <v/>
      </c>
    </row>
    <row r="3306" spans="2:5" x14ac:dyDescent="0.3">
      <c r="B3306" s="2" t="str">
        <f>MID(TableQR[[#This Row],[QR CODES]],4,13)</f>
        <v/>
      </c>
      <c r="C3306" s="2" t="str">
        <f>IFERROR(VLOOKUP(TableQR[[#This Row],[BARCODES]],ILACLISTE[#All],2,0),"")</f>
        <v/>
      </c>
      <c r="D3306" s="2">
        <f t="shared" si="51"/>
        <v>0</v>
      </c>
      <c r="E3306" s="14" t="str">
        <f>IFERROR(GIZLI!G3301,"")</f>
        <v/>
      </c>
    </row>
    <row r="3307" spans="2:5" x14ac:dyDescent="0.3">
      <c r="B3307" s="2" t="str">
        <f>MID(TableQR[[#This Row],[QR CODES]],4,13)</f>
        <v/>
      </c>
      <c r="C3307" s="2" t="str">
        <f>IFERROR(VLOOKUP(TableQR[[#This Row],[BARCODES]],ILACLISTE[#All],2,0),"")</f>
        <v/>
      </c>
      <c r="D3307" s="2">
        <f t="shared" si="51"/>
        <v>0</v>
      </c>
      <c r="E3307" s="14" t="str">
        <f>IFERROR(GIZLI!G3302,"")</f>
        <v/>
      </c>
    </row>
    <row r="3308" spans="2:5" x14ac:dyDescent="0.3">
      <c r="B3308" s="2" t="str">
        <f>MID(TableQR[[#This Row],[QR CODES]],4,13)</f>
        <v/>
      </c>
      <c r="C3308" s="2" t="str">
        <f>IFERROR(VLOOKUP(TableQR[[#This Row],[BARCODES]],ILACLISTE[#All],2,0),"")</f>
        <v/>
      </c>
      <c r="D3308" s="2">
        <f t="shared" si="51"/>
        <v>0</v>
      </c>
      <c r="E3308" s="14" t="str">
        <f>IFERROR(GIZLI!G3303,"")</f>
        <v/>
      </c>
    </row>
    <row r="3309" spans="2:5" x14ac:dyDescent="0.3">
      <c r="B3309" s="2" t="str">
        <f>MID(TableQR[[#This Row],[QR CODES]],4,13)</f>
        <v/>
      </c>
      <c r="C3309" s="2" t="str">
        <f>IFERROR(VLOOKUP(TableQR[[#This Row],[BARCODES]],ILACLISTE[#All],2,0),"")</f>
        <v/>
      </c>
      <c r="D3309" s="2">
        <f t="shared" si="51"/>
        <v>0</v>
      </c>
      <c r="E3309" s="14" t="str">
        <f>IFERROR(GIZLI!G3304,"")</f>
        <v/>
      </c>
    </row>
    <row r="3310" spans="2:5" x14ac:dyDescent="0.3">
      <c r="B3310" s="2" t="str">
        <f>MID(TableQR[[#This Row],[QR CODES]],4,13)</f>
        <v/>
      </c>
      <c r="C3310" s="2" t="str">
        <f>IFERROR(VLOOKUP(TableQR[[#This Row],[BARCODES]],ILACLISTE[#All],2,0),"")</f>
        <v/>
      </c>
      <c r="D3310" s="2">
        <f t="shared" si="51"/>
        <v>0</v>
      </c>
      <c r="E3310" s="14" t="str">
        <f>IFERROR(GIZLI!G3305,"")</f>
        <v/>
      </c>
    </row>
    <row r="3311" spans="2:5" x14ac:dyDescent="0.3">
      <c r="B3311" s="2" t="str">
        <f>MID(TableQR[[#This Row],[QR CODES]],4,13)</f>
        <v/>
      </c>
      <c r="C3311" s="2" t="str">
        <f>IFERROR(VLOOKUP(TableQR[[#This Row],[BARCODES]],ILACLISTE[#All],2,0),"")</f>
        <v/>
      </c>
      <c r="D3311" s="2">
        <f t="shared" si="51"/>
        <v>0</v>
      </c>
      <c r="E3311" s="14" t="str">
        <f>IFERROR(GIZLI!G3306,"")</f>
        <v/>
      </c>
    </row>
    <row r="3312" spans="2:5" x14ac:dyDescent="0.3">
      <c r="B3312" s="2" t="str">
        <f>MID(TableQR[[#This Row],[QR CODES]],4,13)</f>
        <v/>
      </c>
      <c r="C3312" s="2" t="str">
        <f>IFERROR(VLOOKUP(TableQR[[#This Row],[BARCODES]],ILACLISTE[#All],2,0),"")</f>
        <v/>
      </c>
      <c r="D3312" s="2">
        <f t="shared" si="51"/>
        <v>0</v>
      </c>
      <c r="E3312" s="14" t="str">
        <f>IFERROR(GIZLI!G3307,"")</f>
        <v/>
      </c>
    </row>
    <row r="3313" spans="2:5" x14ac:dyDescent="0.3">
      <c r="B3313" s="2" t="str">
        <f>MID(TableQR[[#This Row],[QR CODES]],4,13)</f>
        <v/>
      </c>
      <c r="C3313" s="2" t="str">
        <f>IFERROR(VLOOKUP(TableQR[[#This Row],[BARCODES]],ILACLISTE[#All],2,0),"")</f>
        <v/>
      </c>
      <c r="D3313" s="2">
        <f t="shared" si="51"/>
        <v>0</v>
      </c>
      <c r="E3313" s="14" t="str">
        <f>IFERROR(GIZLI!G3308,"")</f>
        <v/>
      </c>
    </row>
    <row r="3314" spans="2:5" x14ac:dyDescent="0.3">
      <c r="B3314" s="2" t="str">
        <f>MID(TableQR[[#This Row],[QR CODES]],4,13)</f>
        <v/>
      </c>
      <c r="C3314" s="2" t="str">
        <f>IFERROR(VLOOKUP(TableQR[[#This Row],[BARCODES]],ILACLISTE[#All],2,0),"")</f>
        <v/>
      </c>
      <c r="D3314" s="2">
        <f t="shared" si="51"/>
        <v>0</v>
      </c>
      <c r="E3314" s="14" t="str">
        <f>IFERROR(GIZLI!G3309,"")</f>
        <v/>
      </c>
    </row>
    <row r="3315" spans="2:5" x14ac:dyDescent="0.3">
      <c r="B3315" s="2" t="str">
        <f>MID(TableQR[[#This Row],[QR CODES]],4,13)</f>
        <v/>
      </c>
      <c r="C3315" s="2" t="str">
        <f>IFERROR(VLOOKUP(TableQR[[#This Row],[BARCODES]],ILACLISTE[#All],2,0),"")</f>
        <v/>
      </c>
      <c r="D3315" s="2">
        <f t="shared" si="51"/>
        <v>0</v>
      </c>
      <c r="E3315" s="14" t="str">
        <f>IFERROR(GIZLI!G3310,"")</f>
        <v/>
      </c>
    </row>
    <row r="3316" spans="2:5" x14ac:dyDescent="0.3">
      <c r="B3316" s="2" t="str">
        <f>MID(TableQR[[#This Row],[QR CODES]],4,13)</f>
        <v/>
      </c>
      <c r="C3316" s="2" t="str">
        <f>IFERROR(VLOOKUP(TableQR[[#This Row],[BARCODES]],ILACLISTE[#All],2,0),"")</f>
        <v/>
      </c>
      <c r="D3316" s="2">
        <f t="shared" si="51"/>
        <v>0</v>
      </c>
      <c r="E3316" s="14" t="str">
        <f>IFERROR(GIZLI!G3311,"")</f>
        <v/>
      </c>
    </row>
    <row r="3317" spans="2:5" x14ac:dyDescent="0.3">
      <c r="B3317" s="2" t="str">
        <f>MID(TableQR[[#This Row],[QR CODES]],4,13)</f>
        <v/>
      </c>
      <c r="C3317" s="2" t="str">
        <f>IFERROR(VLOOKUP(TableQR[[#This Row],[BARCODES]],ILACLISTE[#All],2,0),"")</f>
        <v/>
      </c>
      <c r="D3317" s="2">
        <f t="shared" si="51"/>
        <v>0</v>
      </c>
      <c r="E3317" s="14" t="str">
        <f>IFERROR(GIZLI!G3312,"")</f>
        <v/>
      </c>
    </row>
    <row r="3318" spans="2:5" x14ac:dyDescent="0.3">
      <c r="B3318" s="2" t="str">
        <f>MID(TableQR[[#This Row],[QR CODES]],4,13)</f>
        <v/>
      </c>
      <c r="C3318" s="2" t="str">
        <f>IFERROR(VLOOKUP(TableQR[[#This Row],[BARCODES]],ILACLISTE[#All],2,0),"")</f>
        <v/>
      </c>
      <c r="D3318" s="2">
        <f t="shared" si="51"/>
        <v>0</v>
      </c>
      <c r="E3318" s="14" t="str">
        <f>IFERROR(GIZLI!G3313,"")</f>
        <v/>
      </c>
    </row>
    <row r="3319" spans="2:5" x14ac:dyDescent="0.3">
      <c r="B3319" s="2" t="str">
        <f>MID(TableQR[[#This Row],[QR CODES]],4,13)</f>
        <v/>
      </c>
      <c r="C3319" s="2" t="str">
        <f>IFERROR(VLOOKUP(TableQR[[#This Row],[BARCODES]],ILACLISTE[#All],2,0),"")</f>
        <v/>
      </c>
      <c r="D3319" s="2">
        <f t="shared" si="51"/>
        <v>0</v>
      </c>
      <c r="E3319" s="14" t="str">
        <f>IFERROR(GIZLI!G3314,"")</f>
        <v/>
      </c>
    </row>
    <row r="3320" spans="2:5" x14ac:dyDescent="0.3">
      <c r="B3320" s="2" t="str">
        <f>MID(TableQR[[#This Row],[QR CODES]],4,13)</f>
        <v/>
      </c>
      <c r="C3320" s="2" t="str">
        <f>IFERROR(VLOOKUP(TableQR[[#This Row],[BARCODES]],ILACLISTE[#All],2,0),"")</f>
        <v/>
      </c>
      <c r="D3320" s="2">
        <f t="shared" si="51"/>
        <v>0</v>
      </c>
      <c r="E3320" s="14" t="str">
        <f>IFERROR(GIZLI!G3315,"")</f>
        <v/>
      </c>
    </row>
    <row r="3321" spans="2:5" x14ac:dyDescent="0.3">
      <c r="B3321" s="2" t="str">
        <f>MID(TableQR[[#This Row],[QR CODES]],4,13)</f>
        <v/>
      </c>
      <c r="C3321" s="2" t="str">
        <f>IFERROR(VLOOKUP(TableQR[[#This Row],[BARCODES]],ILACLISTE[#All],2,0),"")</f>
        <v/>
      </c>
      <c r="D3321" s="2">
        <f t="shared" si="51"/>
        <v>0</v>
      </c>
      <c r="E3321" s="14" t="str">
        <f>IFERROR(GIZLI!G3316,"")</f>
        <v/>
      </c>
    </row>
    <row r="3322" spans="2:5" x14ac:dyDescent="0.3">
      <c r="B3322" s="2" t="str">
        <f>MID(TableQR[[#This Row],[QR CODES]],4,13)</f>
        <v/>
      </c>
      <c r="C3322" s="2" t="str">
        <f>IFERROR(VLOOKUP(TableQR[[#This Row],[BARCODES]],ILACLISTE[#All],2,0),"")</f>
        <v/>
      </c>
      <c r="D3322" s="2">
        <f t="shared" si="51"/>
        <v>0</v>
      </c>
      <c r="E3322" s="14" t="str">
        <f>IFERROR(GIZLI!G3317,"")</f>
        <v/>
      </c>
    </row>
    <row r="3323" spans="2:5" x14ac:dyDescent="0.3">
      <c r="B3323" s="2" t="str">
        <f>MID(TableQR[[#This Row],[QR CODES]],4,13)</f>
        <v/>
      </c>
      <c r="C3323" s="2" t="str">
        <f>IFERROR(VLOOKUP(TableQR[[#This Row],[BARCODES]],ILACLISTE[#All],2,0),"")</f>
        <v/>
      </c>
      <c r="D3323" s="2">
        <f t="shared" si="51"/>
        <v>0</v>
      </c>
      <c r="E3323" s="14" t="str">
        <f>IFERROR(GIZLI!G3318,"")</f>
        <v/>
      </c>
    </row>
    <row r="3324" spans="2:5" x14ac:dyDescent="0.3">
      <c r="B3324" s="2" t="str">
        <f>MID(TableQR[[#This Row],[QR CODES]],4,13)</f>
        <v/>
      </c>
      <c r="C3324" s="2" t="str">
        <f>IFERROR(VLOOKUP(TableQR[[#This Row],[BARCODES]],ILACLISTE[#All],2,0),"")</f>
        <v/>
      </c>
      <c r="D3324" s="2">
        <f t="shared" si="51"/>
        <v>0</v>
      </c>
      <c r="E3324" s="14" t="str">
        <f>IFERROR(GIZLI!G3319,"")</f>
        <v/>
      </c>
    </row>
    <row r="3325" spans="2:5" x14ac:dyDescent="0.3">
      <c r="B3325" s="2" t="str">
        <f>MID(TableQR[[#This Row],[QR CODES]],4,13)</f>
        <v/>
      </c>
      <c r="C3325" s="2" t="str">
        <f>IFERROR(VLOOKUP(TableQR[[#This Row],[BARCODES]],ILACLISTE[#All],2,0),"")</f>
        <v/>
      </c>
      <c r="D3325" s="2">
        <f t="shared" si="51"/>
        <v>0</v>
      </c>
      <c r="E3325" s="14" t="str">
        <f>IFERROR(GIZLI!G3320,"")</f>
        <v/>
      </c>
    </row>
    <row r="3326" spans="2:5" x14ac:dyDescent="0.3">
      <c r="B3326" s="2" t="str">
        <f>MID(TableQR[[#This Row],[QR CODES]],4,13)</f>
        <v/>
      </c>
      <c r="C3326" s="2" t="str">
        <f>IFERROR(VLOOKUP(TableQR[[#This Row],[BARCODES]],ILACLISTE[#All],2,0),"")</f>
        <v/>
      </c>
      <c r="D3326" s="2">
        <f t="shared" si="51"/>
        <v>0</v>
      </c>
      <c r="E3326" s="14" t="str">
        <f>IFERROR(GIZLI!G3321,"")</f>
        <v/>
      </c>
    </row>
    <row r="3327" spans="2:5" x14ac:dyDescent="0.3">
      <c r="B3327" s="2" t="str">
        <f>MID(TableQR[[#This Row],[QR CODES]],4,13)</f>
        <v/>
      </c>
      <c r="C3327" s="2" t="str">
        <f>IFERROR(VLOOKUP(TableQR[[#This Row],[BARCODES]],ILACLISTE[#All],2,0),"")</f>
        <v/>
      </c>
      <c r="D3327" s="2">
        <f t="shared" si="51"/>
        <v>0</v>
      </c>
      <c r="E3327" s="14" t="str">
        <f>IFERROR(GIZLI!G3322,"")</f>
        <v/>
      </c>
    </row>
    <row r="3328" spans="2:5" x14ac:dyDescent="0.3">
      <c r="B3328" s="2" t="str">
        <f>MID(TableQR[[#This Row],[QR CODES]],4,13)</f>
        <v/>
      </c>
      <c r="C3328" s="2" t="str">
        <f>IFERROR(VLOOKUP(TableQR[[#This Row],[BARCODES]],ILACLISTE[#All],2,0),"")</f>
        <v/>
      </c>
      <c r="D3328" s="2">
        <f t="shared" si="51"/>
        <v>0</v>
      </c>
      <c r="E3328" s="14" t="str">
        <f>IFERROR(GIZLI!G3323,"")</f>
        <v/>
      </c>
    </row>
    <row r="3329" spans="2:5" x14ac:dyDescent="0.3">
      <c r="B3329" s="2" t="str">
        <f>MID(TableQR[[#This Row],[QR CODES]],4,13)</f>
        <v/>
      </c>
      <c r="C3329" s="2" t="str">
        <f>IFERROR(VLOOKUP(TableQR[[#This Row],[BARCODES]],ILACLISTE[#All],2,0),"")</f>
        <v/>
      </c>
      <c r="D3329" s="2">
        <f t="shared" si="51"/>
        <v>0</v>
      </c>
      <c r="E3329" s="14" t="str">
        <f>IFERROR(GIZLI!G3324,"")</f>
        <v/>
      </c>
    </row>
    <row r="3330" spans="2:5" x14ac:dyDescent="0.3">
      <c r="B3330" s="2" t="str">
        <f>MID(TableQR[[#This Row],[QR CODES]],4,13)</f>
        <v/>
      </c>
      <c r="C3330" s="2" t="str">
        <f>IFERROR(VLOOKUP(TableQR[[#This Row],[BARCODES]],ILACLISTE[#All],2,0),"")</f>
        <v/>
      </c>
      <c r="D3330" s="2">
        <f t="shared" si="51"/>
        <v>0</v>
      </c>
      <c r="E3330" s="14" t="str">
        <f>IFERROR(GIZLI!G3325,"")</f>
        <v/>
      </c>
    </row>
    <row r="3331" spans="2:5" x14ac:dyDescent="0.3">
      <c r="B3331" s="2" t="str">
        <f>MID(TableQR[[#This Row],[QR CODES]],4,13)</f>
        <v/>
      </c>
      <c r="C3331" s="2" t="str">
        <f>IFERROR(VLOOKUP(TableQR[[#This Row],[BARCODES]],ILACLISTE[#All],2,0),"")</f>
        <v/>
      </c>
      <c r="D3331" s="2">
        <f t="shared" si="51"/>
        <v>0</v>
      </c>
      <c r="E3331" s="14" t="str">
        <f>IFERROR(GIZLI!G3326,"")</f>
        <v/>
      </c>
    </row>
    <row r="3332" spans="2:5" x14ac:dyDescent="0.3">
      <c r="B3332" s="2" t="str">
        <f>MID(TableQR[[#This Row],[QR CODES]],4,13)</f>
        <v/>
      </c>
      <c r="C3332" s="2" t="str">
        <f>IFERROR(VLOOKUP(TableQR[[#This Row],[BARCODES]],ILACLISTE[#All],2,0),"")</f>
        <v/>
      </c>
      <c r="D3332" s="2">
        <f t="shared" si="51"/>
        <v>0</v>
      </c>
      <c r="E3332" s="14" t="str">
        <f>IFERROR(GIZLI!G3327,"")</f>
        <v/>
      </c>
    </row>
    <row r="3333" spans="2:5" x14ac:dyDescent="0.3">
      <c r="B3333" s="2" t="str">
        <f>MID(TableQR[[#This Row],[QR CODES]],4,13)</f>
        <v/>
      </c>
      <c r="C3333" s="2" t="str">
        <f>IFERROR(VLOOKUP(TableQR[[#This Row],[BARCODES]],ILACLISTE[#All],2,0),"")</f>
        <v/>
      </c>
      <c r="D3333" s="2">
        <f t="shared" si="51"/>
        <v>0</v>
      </c>
      <c r="E3333" s="14" t="str">
        <f>IFERROR(GIZLI!G3328,"")</f>
        <v/>
      </c>
    </row>
    <row r="3334" spans="2:5" x14ac:dyDescent="0.3">
      <c r="B3334" s="2" t="str">
        <f>MID(TableQR[[#This Row],[QR CODES]],4,13)</f>
        <v/>
      </c>
      <c r="C3334" s="2" t="str">
        <f>IFERROR(VLOOKUP(TableQR[[#This Row],[BARCODES]],ILACLISTE[#All],2,0),"")</f>
        <v/>
      </c>
      <c r="D3334" s="2">
        <f t="shared" si="51"/>
        <v>0</v>
      </c>
      <c r="E3334" s="14" t="str">
        <f>IFERROR(GIZLI!G3329,"")</f>
        <v/>
      </c>
    </row>
    <row r="3335" spans="2:5" x14ac:dyDescent="0.3">
      <c r="B3335" s="2" t="str">
        <f>MID(TableQR[[#This Row],[QR CODES]],4,13)</f>
        <v/>
      </c>
      <c r="C3335" s="2" t="str">
        <f>IFERROR(VLOOKUP(TableQR[[#This Row],[BARCODES]],ILACLISTE[#All],2,0),"")</f>
        <v/>
      </c>
      <c r="D3335" s="2">
        <f t="shared" si="51"/>
        <v>0</v>
      </c>
      <c r="E3335" s="14" t="str">
        <f>IFERROR(GIZLI!G3330,"")</f>
        <v/>
      </c>
    </row>
    <row r="3336" spans="2:5" x14ac:dyDescent="0.3">
      <c r="B3336" s="2" t="str">
        <f>MID(TableQR[[#This Row],[QR CODES]],4,13)</f>
        <v/>
      </c>
      <c r="C3336" s="2" t="str">
        <f>IFERROR(VLOOKUP(TableQR[[#This Row],[BARCODES]],ILACLISTE[#All],2,0),"")</f>
        <v/>
      </c>
      <c r="D3336" s="2">
        <f t="shared" ref="D3336:D3399" si="52">COUNTIF(B3336:B7329,IF(B3336="",66666,B3336))</f>
        <v>0</v>
      </c>
      <c r="E3336" s="14" t="str">
        <f>IFERROR(GIZLI!G3331,"")</f>
        <v/>
      </c>
    </row>
    <row r="3337" spans="2:5" x14ac:dyDescent="0.3">
      <c r="B3337" s="2" t="str">
        <f>MID(TableQR[[#This Row],[QR CODES]],4,13)</f>
        <v/>
      </c>
      <c r="C3337" s="2" t="str">
        <f>IFERROR(VLOOKUP(TableQR[[#This Row],[BARCODES]],ILACLISTE[#All],2,0),"")</f>
        <v/>
      </c>
      <c r="D3337" s="2">
        <f t="shared" si="52"/>
        <v>0</v>
      </c>
      <c r="E3337" s="14" t="str">
        <f>IFERROR(GIZLI!G3332,"")</f>
        <v/>
      </c>
    </row>
    <row r="3338" spans="2:5" x14ac:dyDescent="0.3">
      <c r="B3338" s="2" t="str">
        <f>MID(TableQR[[#This Row],[QR CODES]],4,13)</f>
        <v/>
      </c>
      <c r="C3338" s="2" t="str">
        <f>IFERROR(VLOOKUP(TableQR[[#This Row],[BARCODES]],ILACLISTE[#All],2,0),"")</f>
        <v/>
      </c>
      <c r="D3338" s="2">
        <f t="shared" si="52"/>
        <v>0</v>
      </c>
      <c r="E3338" s="14" t="str">
        <f>IFERROR(GIZLI!G3333,"")</f>
        <v/>
      </c>
    </row>
    <row r="3339" spans="2:5" x14ac:dyDescent="0.3">
      <c r="B3339" s="2" t="str">
        <f>MID(TableQR[[#This Row],[QR CODES]],4,13)</f>
        <v/>
      </c>
      <c r="C3339" s="2" t="str">
        <f>IFERROR(VLOOKUP(TableQR[[#This Row],[BARCODES]],ILACLISTE[#All],2,0),"")</f>
        <v/>
      </c>
      <c r="D3339" s="2">
        <f t="shared" si="52"/>
        <v>0</v>
      </c>
      <c r="E3339" s="14" t="str">
        <f>IFERROR(GIZLI!G3334,"")</f>
        <v/>
      </c>
    </row>
    <row r="3340" spans="2:5" x14ac:dyDescent="0.3">
      <c r="B3340" s="2" t="str">
        <f>MID(TableQR[[#This Row],[QR CODES]],4,13)</f>
        <v/>
      </c>
      <c r="C3340" s="2" t="str">
        <f>IFERROR(VLOOKUP(TableQR[[#This Row],[BARCODES]],ILACLISTE[#All],2,0),"")</f>
        <v/>
      </c>
      <c r="D3340" s="2">
        <f t="shared" si="52"/>
        <v>0</v>
      </c>
      <c r="E3340" s="14" t="str">
        <f>IFERROR(GIZLI!G3335,"")</f>
        <v/>
      </c>
    </row>
    <row r="3341" spans="2:5" x14ac:dyDescent="0.3">
      <c r="B3341" s="2" t="str">
        <f>MID(TableQR[[#This Row],[QR CODES]],4,13)</f>
        <v/>
      </c>
      <c r="C3341" s="2" t="str">
        <f>IFERROR(VLOOKUP(TableQR[[#This Row],[BARCODES]],ILACLISTE[#All],2,0),"")</f>
        <v/>
      </c>
      <c r="D3341" s="2">
        <f t="shared" si="52"/>
        <v>0</v>
      </c>
      <c r="E3341" s="14" t="str">
        <f>IFERROR(GIZLI!G3336,"")</f>
        <v/>
      </c>
    </row>
    <row r="3342" spans="2:5" x14ac:dyDescent="0.3">
      <c r="B3342" s="2" t="str">
        <f>MID(TableQR[[#This Row],[QR CODES]],4,13)</f>
        <v/>
      </c>
      <c r="C3342" s="2" t="str">
        <f>IFERROR(VLOOKUP(TableQR[[#This Row],[BARCODES]],ILACLISTE[#All],2,0),"")</f>
        <v/>
      </c>
      <c r="D3342" s="2">
        <f t="shared" si="52"/>
        <v>0</v>
      </c>
      <c r="E3342" s="14" t="str">
        <f>IFERROR(GIZLI!G3337,"")</f>
        <v/>
      </c>
    </row>
    <row r="3343" spans="2:5" x14ac:dyDescent="0.3">
      <c r="B3343" s="2" t="str">
        <f>MID(TableQR[[#This Row],[QR CODES]],4,13)</f>
        <v/>
      </c>
      <c r="C3343" s="2" t="str">
        <f>IFERROR(VLOOKUP(TableQR[[#This Row],[BARCODES]],ILACLISTE[#All],2,0),"")</f>
        <v/>
      </c>
      <c r="D3343" s="2">
        <f t="shared" si="52"/>
        <v>0</v>
      </c>
      <c r="E3343" s="14" t="str">
        <f>IFERROR(GIZLI!G3338,"")</f>
        <v/>
      </c>
    </row>
    <row r="3344" spans="2:5" x14ac:dyDescent="0.3">
      <c r="B3344" s="2" t="str">
        <f>MID(TableQR[[#This Row],[QR CODES]],4,13)</f>
        <v/>
      </c>
      <c r="C3344" s="2" t="str">
        <f>IFERROR(VLOOKUP(TableQR[[#This Row],[BARCODES]],ILACLISTE[#All],2,0),"")</f>
        <v/>
      </c>
      <c r="D3344" s="2">
        <f t="shared" si="52"/>
        <v>0</v>
      </c>
      <c r="E3344" s="14" t="str">
        <f>IFERROR(GIZLI!G3339,"")</f>
        <v/>
      </c>
    </row>
    <row r="3345" spans="2:5" x14ac:dyDescent="0.3">
      <c r="B3345" s="2" t="str">
        <f>MID(TableQR[[#This Row],[QR CODES]],4,13)</f>
        <v/>
      </c>
      <c r="C3345" s="2" t="str">
        <f>IFERROR(VLOOKUP(TableQR[[#This Row],[BARCODES]],ILACLISTE[#All],2,0),"")</f>
        <v/>
      </c>
      <c r="D3345" s="2">
        <f t="shared" si="52"/>
        <v>0</v>
      </c>
      <c r="E3345" s="14" t="str">
        <f>IFERROR(GIZLI!G3340,"")</f>
        <v/>
      </c>
    </row>
    <row r="3346" spans="2:5" x14ac:dyDescent="0.3">
      <c r="B3346" s="2" t="str">
        <f>MID(TableQR[[#This Row],[QR CODES]],4,13)</f>
        <v/>
      </c>
      <c r="C3346" s="2" t="str">
        <f>IFERROR(VLOOKUP(TableQR[[#This Row],[BARCODES]],ILACLISTE[#All],2,0),"")</f>
        <v/>
      </c>
      <c r="D3346" s="2">
        <f t="shared" si="52"/>
        <v>0</v>
      </c>
      <c r="E3346" s="14" t="str">
        <f>IFERROR(GIZLI!G3341,"")</f>
        <v/>
      </c>
    </row>
    <row r="3347" spans="2:5" x14ac:dyDescent="0.3">
      <c r="B3347" s="2" t="str">
        <f>MID(TableQR[[#This Row],[QR CODES]],4,13)</f>
        <v/>
      </c>
      <c r="C3347" s="2" t="str">
        <f>IFERROR(VLOOKUP(TableQR[[#This Row],[BARCODES]],ILACLISTE[#All],2,0),"")</f>
        <v/>
      </c>
      <c r="D3347" s="2">
        <f t="shared" si="52"/>
        <v>0</v>
      </c>
      <c r="E3347" s="14" t="str">
        <f>IFERROR(GIZLI!G3342,"")</f>
        <v/>
      </c>
    </row>
    <row r="3348" spans="2:5" x14ac:dyDescent="0.3">
      <c r="B3348" s="2" t="str">
        <f>MID(TableQR[[#This Row],[QR CODES]],4,13)</f>
        <v/>
      </c>
      <c r="C3348" s="2" t="str">
        <f>IFERROR(VLOOKUP(TableQR[[#This Row],[BARCODES]],ILACLISTE[#All],2,0),"")</f>
        <v/>
      </c>
      <c r="D3348" s="2">
        <f t="shared" si="52"/>
        <v>0</v>
      </c>
      <c r="E3348" s="14" t="str">
        <f>IFERROR(GIZLI!G3343,"")</f>
        <v/>
      </c>
    </row>
    <row r="3349" spans="2:5" x14ac:dyDescent="0.3">
      <c r="B3349" s="2" t="str">
        <f>MID(TableQR[[#This Row],[QR CODES]],4,13)</f>
        <v/>
      </c>
      <c r="C3349" s="2" t="str">
        <f>IFERROR(VLOOKUP(TableQR[[#This Row],[BARCODES]],ILACLISTE[#All],2,0),"")</f>
        <v/>
      </c>
      <c r="D3349" s="2">
        <f t="shared" si="52"/>
        <v>0</v>
      </c>
      <c r="E3349" s="14" t="str">
        <f>IFERROR(GIZLI!G3344,"")</f>
        <v/>
      </c>
    </row>
    <row r="3350" spans="2:5" x14ac:dyDescent="0.3">
      <c r="B3350" s="2" t="str">
        <f>MID(TableQR[[#This Row],[QR CODES]],4,13)</f>
        <v/>
      </c>
      <c r="C3350" s="2" t="str">
        <f>IFERROR(VLOOKUP(TableQR[[#This Row],[BARCODES]],ILACLISTE[#All],2,0),"")</f>
        <v/>
      </c>
      <c r="D3350" s="2">
        <f t="shared" si="52"/>
        <v>0</v>
      </c>
      <c r="E3350" s="14" t="str">
        <f>IFERROR(GIZLI!G3345,"")</f>
        <v/>
      </c>
    </row>
    <row r="3351" spans="2:5" x14ac:dyDescent="0.3">
      <c r="B3351" s="2" t="str">
        <f>MID(TableQR[[#This Row],[QR CODES]],4,13)</f>
        <v/>
      </c>
      <c r="C3351" s="2" t="str">
        <f>IFERROR(VLOOKUP(TableQR[[#This Row],[BARCODES]],ILACLISTE[#All],2,0),"")</f>
        <v/>
      </c>
      <c r="D3351" s="2">
        <f t="shared" si="52"/>
        <v>0</v>
      </c>
      <c r="E3351" s="14" t="str">
        <f>IFERROR(GIZLI!G3346,"")</f>
        <v/>
      </c>
    </row>
    <row r="3352" spans="2:5" x14ac:dyDescent="0.3">
      <c r="B3352" s="2" t="str">
        <f>MID(TableQR[[#This Row],[QR CODES]],4,13)</f>
        <v/>
      </c>
      <c r="C3352" s="2" t="str">
        <f>IFERROR(VLOOKUP(TableQR[[#This Row],[BARCODES]],ILACLISTE[#All],2,0),"")</f>
        <v/>
      </c>
      <c r="D3352" s="2">
        <f t="shared" si="52"/>
        <v>0</v>
      </c>
      <c r="E3352" s="14" t="str">
        <f>IFERROR(GIZLI!G3347,"")</f>
        <v/>
      </c>
    </row>
    <row r="3353" spans="2:5" x14ac:dyDescent="0.3">
      <c r="B3353" s="2" t="str">
        <f>MID(TableQR[[#This Row],[QR CODES]],4,13)</f>
        <v/>
      </c>
      <c r="C3353" s="2" t="str">
        <f>IFERROR(VLOOKUP(TableQR[[#This Row],[BARCODES]],ILACLISTE[#All],2,0),"")</f>
        <v/>
      </c>
      <c r="D3353" s="2">
        <f t="shared" si="52"/>
        <v>0</v>
      </c>
      <c r="E3353" s="14" t="str">
        <f>IFERROR(GIZLI!G3348,"")</f>
        <v/>
      </c>
    </row>
    <row r="3354" spans="2:5" x14ac:dyDescent="0.3">
      <c r="B3354" s="2" t="str">
        <f>MID(TableQR[[#This Row],[QR CODES]],4,13)</f>
        <v/>
      </c>
      <c r="C3354" s="2" t="str">
        <f>IFERROR(VLOOKUP(TableQR[[#This Row],[BARCODES]],ILACLISTE[#All],2,0),"")</f>
        <v/>
      </c>
      <c r="D3354" s="2">
        <f t="shared" si="52"/>
        <v>0</v>
      </c>
      <c r="E3354" s="14" t="str">
        <f>IFERROR(GIZLI!G3349,"")</f>
        <v/>
      </c>
    </row>
    <row r="3355" spans="2:5" x14ac:dyDescent="0.3">
      <c r="B3355" s="2" t="str">
        <f>MID(TableQR[[#This Row],[QR CODES]],4,13)</f>
        <v/>
      </c>
      <c r="C3355" s="2" t="str">
        <f>IFERROR(VLOOKUP(TableQR[[#This Row],[BARCODES]],ILACLISTE[#All],2,0),"")</f>
        <v/>
      </c>
      <c r="D3355" s="2">
        <f t="shared" si="52"/>
        <v>0</v>
      </c>
      <c r="E3355" s="14" t="str">
        <f>IFERROR(GIZLI!G3350,"")</f>
        <v/>
      </c>
    </row>
    <row r="3356" spans="2:5" x14ac:dyDescent="0.3">
      <c r="B3356" s="2" t="str">
        <f>MID(TableQR[[#This Row],[QR CODES]],4,13)</f>
        <v/>
      </c>
      <c r="C3356" s="2" t="str">
        <f>IFERROR(VLOOKUP(TableQR[[#This Row],[BARCODES]],ILACLISTE[#All],2,0),"")</f>
        <v/>
      </c>
      <c r="D3356" s="2">
        <f t="shared" si="52"/>
        <v>0</v>
      </c>
      <c r="E3356" s="14" t="str">
        <f>IFERROR(GIZLI!G3351,"")</f>
        <v/>
      </c>
    </row>
    <row r="3357" spans="2:5" x14ac:dyDescent="0.3">
      <c r="B3357" s="2" t="str">
        <f>MID(TableQR[[#This Row],[QR CODES]],4,13)</f>
        <v/>
      </c>
      <c r="C3357" s="2" t="str">
        <f>IFERROR(VLOOKUP(TableQR[[#This Row],[BARCODES]],ILACLISTE[#All],2,0),"")</f>
        <v/>
      </c>
      <c r="D3357" s="2">
        <f t="shared" si="52"/>
        <v>0</v>
      </c>
      <c r="E3357" s="14" t="str">
        <f>IFERROR(GIZLI!G3352,"")</f>
        <v/>
      </c>
    </row>
    <row r="3358" spans="2:5" x14ac:dyDescent="0.3">
      <c r="B3358" s="2" t="str">
        <f>MID(TableQR[[#This Row],[QR CODES]],4,13)</f>
        <v/>
      </c>
      <c r="C3358" s="2" t="str">
        <f>IFERROR(VLOOKUP(TableQR[[#This Row],[BARCODES]],ILACLISTE[#All],2,0),"")</f>
        <v/>
      </c>
      <c r="D3358" s="2">
        <f t="shared" si="52"/>
        <v>0</v>
      </c>
      <c r="E3358" s="14" t="str">
        <f>IFERROR(GIZLI!G3353,"")</f>
        <v/>
      </c>
    </row>
    <row r="3359" spans="2:5" x14ac:dyDescent="0.3">
      <c r="B3359" s="2" t="str">
        <f>MID(TableQR[[#This Row],[QR CODES]],4,13)</f>
        <v/>
      </c>
      <c r="C3359" s="2" t="str">
        <f>IFERROR(VLOOKUP(TableQR[[#This Row],[BARCODES]],ILACLISTE[#All],2,0),"")</f>
        <v/>
      </c>
      <c r="D3359" s="2">
        <f t="shared" si="52"/>
        <v>0</v>
      </c>
      <c r="E3359" s="14" t="str">
        <f>IFERROR(GIZLI!G3354,"")</f>
        <v/>
      </c>
    </row>
    <row r="3360" spans="2:5" x14ac:dyDescent="0.3">
      <c r="B3360" s="2" t="str">
        <f>MID(TableQR[[#This Row],[QR CODES]],4,13)</f>
        <v/>
      </c>
      <c r="C3360" s="2" t="str">
        <f>IFERROR(VLOOKUP(TableQR[[#This Row],[BARCODES]],ILACLISTE[#All],2,0),"")</f>
        <v/>
      </c>
      <c r="D3360" s="2">
        <f t="shared" si="52"/>
        <v>0</v>
      </c>
      <c r="E3360" s="14" t="str">
        <f>IFERROR(GIZLI!G3355,"")</f>
        <v/>
      </c>
    </row>
    <row r="3361" spans="2:5" x14ac:dyDescent="0.3">
      <c r="B3361" s="2" t="str">
        <f>MID(TableQR[[#This Row],[QR CODES]],4,13)</f>
        <v/>
      </c>
      <c r="C3361" s="2" t="str">
        <f>IFERROR(VLOOKUP(TableQR[[#This Row],[BARCODES]],ILACLISTE[#All],2,0),"")</f>
        <v/>
      </c>
      <c r="D3361" s="2">
        <f t="shared" si="52"/>
        <v>0</v>
      </c>
      <c r="E3361" s="14" t="str">
        <f>IFERROR(GIZLI!G3356,"")</f>
        <v/>
      </c>
    </row>
    <row r="3362" spans="2:5" x14ac:dyDescent="0.3">
      <c r="B3362" s="2" t="str">
        <f>MID(TableQR[[#This Row],[QR CODES]],4,13)</f>
        <v/>
      </c>
      <c r="C3362" s="2" t="str">
        <f>IFERROR(VLOOKUP(TableQR[[#This Row],[BARCODES]],ILACLISTE[#All],2,0),"")</f>
        <v/>
      </c>
      <c r="D3362" s="2">
        <f t="shared" si="52"/>
        <v>0</v>
      </c>
      <c r="E3362" s="14" t="str">
        <f>IFERROR(GIZLI!G3357,"")</f>
        <v/>
      </c>
    </row>
    <row r="3363" spans="2:5" x14ac:dyDescent="0.3">
      <c r="B3363" s="2" t="str">
        <f>MID(TableQR[[#This Row],[QR CODES]],4,13)</f>
        <v/>
      </c>
      <c r="C3363" s="2" t="str">
        <f>IFERROR(VLOOKUP(TableQR[[#This Row],[BARCODES]],ILACLISTE[#All],2,0),"")</f>
        <v/>
      </c>
      <c r="D3363" s="2">
        <f t="shared" si="52"/>
        <v>0</v>
      </c>
      <c r="E3363" s="14" t="str">
        <f>IFERROR(GIZLI!G3358,"")</f>
        <v/>
      </c>
    </row>
    <row r="3364" spans="2:5" x14ac:dyDescent="0.3">
      <c r="B3364" s="2" t="str">
        <f>MID(TableQR[[#This Row],[QR CODES]],4,13)</f>
        <v/>
      </c>
      <c r="C3364" s="2" t="str">
        <f>IFERROR(VLOOKUP(TableQR[[#This Row],[BARCODES]],ILACLISTE[#All],2,0),"")</f>
        <v/>
      </c>
      <c r="D3364" s="2">
        <f t="shared" si="52"/>
        <v>0</v>
      </c>
      <c r="E3364" s="14" t="str">
        <f>IFERROR(GIZLI!G3359,"")</f>
        <v/>
      </c>
    </row>
    <row r="3365" spans="2:5" x14ac:dyDescent="0.3">
      <c r="B3365" s="2" t="str">
        <f>MID(TableQR[[#This Row],[QR CODES]],4,13)</f>
        <v/>
      </c>
      <c r="C3365" s="2" t="str">
        <f>IFERROR(VLOOKUP(TableQR[[#This Row],[BARCODES]],ILACLISTE[#All],2,0),"")</f>
        <v/>
      </c>
      <c r="D3365" s="2">
        <f t="shared" si="52"/>
        <v>0</v>
      </c>
      <c r="E3365" s="14" t="str">
        <f>IFERROR(GIZLI!G3360,"")</f>
        <v/>
      </c>
    </row>
    <row r="3366" spans="2:5" x14ac:dyDescent="0.3">
      <c r="B3366" s="2" t="str">
        <f>MID(TableQR[[#This Row],[QR CODES]],4,13)</f>
        <v/>
      </c>
      <c r="C3366" s="2" t="str">
        <f>IFERROR(VLOOKUP(TableQR[[#This Row],[BARCODES]],ILACLISTE[#All],2,0),"")</f>
        <v/>
      </c>
      <c r="D3366" s="2">
        <f t="shared" si="52"/>
        <v>0</v>
      </c>
      <c r="E3366" s="14" t="str">
        <f>IFERROR(GIZLI!G3361,"")</f>
        <v/>
      </c>
    </row>
    <row r="3367" spans="2:5" x14ac:dyDescent="0.3">
      <c r="B3367" s="2" t="str">
        <f>MID(TableQR[[#This Row],[QR CODES]],4,13)</f>
        <v/>
      </c>
      <c r="C3367" s="2" t="str">
        <f>IFERROR(VLOOKUP(TableQR[[#This Row],[BARCODES]],ILACLISTE[#All],2,0),"")</f>
        <v/>
      </c>
      <c r="D3367" s="2">
        <f t="shared" si="52"/>
        <v>0</v>
      </c>
      <c r="E3367" s="14" t="str">
        <f>IFERROR(GIZLI!G3362,"")</f>
        <v/>
      </c>
    </row>
    <row r="3368" spans="2:5" x14ac:dyDescent="0.3">
      <c r="B3368" s="2" t="str">
        <f>MID(TableQR[[#This Row],[QR CODES]],4,13)</f>
        <v/>
      </c>
      <c r="C3368" s="2" t="str">
        <f>IFERROR(VLOOKUP(TableQR[[#This Row],[BARCODES]],ILACLISTE[#All],2,0),"")</f>
        <v/>
      </c>
      <c r="D3368" s="2">
        <f t="shared" si="52"/>
        <v>0</v>
      </c>
      <c r="E3368" s="14" t="str">
        <f>IFERROR(GIZLI!G3363,"")</f>
        <v/>
      </c>
    </row>
    <row r="3369" spans="2:5" x14ac:dyDescent="0.3">
      <c r="B3369" s="2" t="str">
        <f>MID(TableQR[[#This Row],[QR CODES]],4,13)</f>
        <v/>
      </c>
      <c r="C3369" s="2" t="str">
        <f>IFERROR(VLOOKUP(TableQR[[#This Row],[BARCODES]],ILACLISTE[#All],2,0),"")</f>
        <v/>
      </c>
      <c r="D3369" s="2">
        <f t="shared" si="52"/>
        <v>0</v>
      </c>
      <c r="E3369" s="14" t="str">
        <f>IFERROR(GIZLI!G3364,"")</f>
        <v/>
      </c>
    </row>
    <row r="3370" spans="2:5" x14ac:dyDescent="0.3">
      <c r="B3370" s="2" t="str">
        <f>MID(TableQR[[#This Row],[QR CODES]],4,13)</f>
        <v/>
      </c>
      <c r="C3370" s="2" t="str">
        <f>IFERROR(VLOOKUP(TableQR[[#This Row],[BARCODES]],ILACLISTE[#All],2,0),"")</f>
        <v/>
      </c>
      <c r="D3370" s="2">
        <f t="shared" si="52"/>
        <v>0</v>
      </c>
      <c r="E3370" s="14" t="str">
        <f>IFERROR(GIZLI!G3365,"")</f>
        <v/>
      </c>
    </row>
    <row r="3371" spans="2:5" x14ac:dyDescent="0.3">
      <c r="B3371" s="2" t="str">
        <f>MID(TableQR[[#This Row],[QR CODES]],4,13)</f>
        <v/>
      </c>
      <c r="C3371" s="2" t="str">
        <f>IFERROR(VLOOKUP(TableQR[[#This Row],[BARCODES]],ILACLISTE[#All],2,0),"")</f>
        <v/>
      </c>
      <c r="D3371" s="2">
        <f t="shared" si="52"/>
        <v>0</v>
      </c>
      <c r="E3371" s="14" t="str">
        <f>IFERROR(GIZLI!G3366,"")</f>
        <v/>
      </c>
    </row>
    <row r="3372" spans="2:5" x14ac:dyDescent="0.3">
      <c r="B3372" s="2" t="str">
        <f>MID(TableQR[[#This Row],[QR CODES]],4,13)</f>
        <v/>
      </c>
      <c r="C3372" s="2" t="str">
        <f>IFERROR(VLOOKUP(TableQR[[#This Row],[BARCODES]],ILACLISTE[#All],2,0),"")</f>
        <v/>
      </c>
      <c r="D3372" s="2">
        <f t="shared" si="52"/>
        <v>0</v>
      </c>
      <c r="E3372" s="14" t="str">
        <f>IFERROR(GIZLI!G3367,"")</f>
        <v/>
      </c>
    </row>
    <row r="3373" spans="2:5" x14ac:dyDescent="0.3">
      <c r="B3373" s="2" t="str">
        <f>MID(TableQR[[#This Row],[QR CODES]],4,13)</f>
        <v/>
      </c>
      <c r="C3373" s="2" t="str">
        <f>IFERROR(VLOOKUP(TableQR[[#This Row],[BARCODES]],ILACLISTE[#All],2,0),"")</f>
        <v/>
      </c>
      <c r="D3373" s="2">
        <f t="shared" si="52"/>
        <v>0</v>
      </c>
      <c r="E3373" s="14" t="str">
        <f>IFERROR(GIZLI!G3368,"")</f>
        <v/>
      </c>
    </row>
    <row r="3374" spans="2:5" x14ac:dyDescent="0.3">
      <c r="B3374" s="2" t="str">
        <f>MID(TableQR[[#This Row],[QR CODES]],4,13)</f>
        <v/>
      </c>
      <c r="C3374" s="2" t="str">
        <f>IFERROR(VLOOKUP(TableQR[[#This Row],[BARCODES]],ILACLISTE[#All],2,0),"")</f>
        <v/>
      </c>
      <c r="D3374" s="2">
        <f t="shared" si="52"/>
        <v>0</v>
      </c>
      <c r="E3374" s="14" t="str">
        <f>IFERROR(GIZLI!G3369,"")</f>
        <v/>
      </c>
    </row>
    <row r="3375" spans="2:5" x14ac:dyDescent="0.3">
      <c r="B3375" s="2" t="str">
        <f>MID(TableQR[[#This Row],[QR CODES]],4,13)</f>
        <v/>
      </c>
      <c r="C3375" s="2" t="str">
        <f>IFERROR(VLOOKUP(TableQR[[#This Row],[BARCODES]],ILACLISTE[#All],2,0),"")</f>
        <v/>
      </c>
      <c r="D3375" s="2">
        <f t="shared" si="52"/>
        <v>0</v>
      </c>
      <c r="E3375" s="14" t="str">
        <f>IFERROR(GIZLI!G3370,"")</f>
        <v/>
      </c>
    </row>
    <row r="3376" spans="2:5" x14ac:dyDescent="0.3">
      <c r="B3376" s="2" t="str">
        <f>MID(TableQR[[#This Row],[QR CODES]],4,13)</f>
        <v/>
      </c>
      <c r="C3376" s="2" t="str">
        <f>IFERROR(VLOOKUP(TableQR[[#This Row],[BARCODES]],ILACLISTE[#All],2,0),"")</f>
        <v/>
      </c>
      <c r="D3376" s="2">
        <f t="shared" si="52"/>
        <v>0</v>
      </c>
      <c r="E3376" s="14" t="str">
        <f>IFERROR(GIZLI!G3371,"")</f>
        <v/>
      </c>
    </row>
    <row r="3377" spans="2:5" x14ac:dyDescent="0.3">
      <c r="B3377" s="2" t="str">
        <f>MID(TableQR[[#This Row],[QR CODES]],4,13)</f>
        <v/>
      </c>
      <c r="C3377" s="2" t="str">
        <f>IFERROR(VLOOKUP(TableQR[[#This Row],[BARCODES]],ILACLISTE[#All],2,0),"")</f>
        <v/>
      </c>
      <c r="D3377" s="2">
        <f t="shared" si="52"/>
        <v>0</v>
      </c>
      <c r="E3377" s="14" t="str">
        <f>IFERROR(GIZLI!G3372,"")</f>
        <v/>
      </c>
    </row>
    <row r="3378" spans="2:5" x14ac:dyDescent="0.3">
      <c r="B3378" s="2" t="str">
        <f>MID(TableQR[[#This Row],[QR CODES]],4,13)</f>
        <v/>
      </c>
      <c r="C3378" s="2" t="str">
        <f>IFERROR(VLOOKUP(TableQR[[#This Row],[BARCODES]],ILACLISTE[#All],2,0),"")</f>
        <v/>
      </c>
      <c r="D3378" s="2">
        <f t="shared" si="52"/>
        <v>0</v>
      </c>
      <c r="E3378" s="14" t="str">
        <f>IFERROR(GIZLI!G3373,"")</f>
        <v/>
      </c>
    </row>
    <row r="3379" spans="2:5" x14ac:dyDescent="0.3">
      <c r="B3379" s="2" t="str">
        <f>MID(TableQR[[#This Row],[QR CODES]],4,13)</f>
        <v/>
      </c>
      <c r="C3379" s="2" t="str">
        <f>IFERROR(VLOOKUP(TableQR[[#This Row],[BARCODES]],ILACLISTE[#All],2,0),"")</f>
        <v/>
      </c>
      <c r="D3379" s="2">
        <f t="shared" si="52"/>
        <v>0</v>
      </c>
      <c r="E3379" s="14" t="str">
        <f>IFERROR(GIZLI!G3374,"")</f>
        <v/>
      </c>
    </row>
    <row r="3380" spans="2:5" x14ac:dyDescent="0.3">
      <c r="B3380" s="2" t="str">
        <f>MID(TableQR[[#This Row],[QR CODES]],4,13)</f>
        <v/>
      </c>
      <c r="C3380" s="2" t="str">
        <f>IFERROR(VLOOKUP(TableQR[[#This Row],[BARCODES]],ILACLISTE[#All],2,0),"")</f>
        <v/>
      </c>
      <c r="D3380" s="2">
        <f t="shared" si="52"/>
        <v>0</v>
      </c>
      <c r="E3380" s="14" t="str">
        <f>IFERROR(GIZLI!G3375,"")</f>
        <v/>
      </c>
    </row>
    <row r="3381" spans="2:5" x14ac:dyDescent="0.3">
      <c r="B3381" s="2" t="str">
        <f>MID(TableQR[[#This Row],[QR CODES]],4,13)</f>
        <v/>
      </c>
      <c r="C3381" s="2" t="str">
        <f>IFERROR(VLOOKUP(TableQR[[#This Row],[BARCODES]],ILACLISTE[#All],2,0),"")</f>
        <v/>
      </c>
      <c r="D3381" s="2">
        <f t="shared" si="52"/>
        <v>0</v>
      </c>
      <c r="E3381" s="14" t="str">
        <f>IFERROR(GIZLI!G3376,"")</f>
        <v/>
      </c>
    </row>
    <row r="3382" spans="2:5" x14ac:dyDescent="0.3">
      <c r="B3382" s="2" t="str">
        <f>MID(TableQR[[#This Row],[QR CODES]],4,13)</f>
        <v/>
      </c>
      <c r="C3382" s="2" t="str">
        <f>IFERROR(VLOOKUP(TableQR[[#This Row],[BARCODES]],ILACLISTE[#All],2,0),"")</f>
        <v/>
      </c>
      <c r="D3382" s="2">
        <f t="shared" si="52"/>
        <v>0</v>
      </c>
      <c r="E3382" s="14" t="str">
        <f>IFERROR(GIZLI!G3377,"")</f>
        <v/>
      </c>
    </row>
    <row r="3383" spans="2:5" x14ac:dyDescent="0.3">
      <c r="B3383" s="2" t="str">
        <f>MID(TableQR[[#This Row],[QR CODES]],4,13)</f>
        <v/>
      </c>
      <c r="C3383" s="2" t="str">
        <f>IFERROR(VLOOKUP(TableQR[[#This Row],[BARCODES]],ILACLISTE[#All],2,0),"")</f>
        <v/>
      </c>
      <c r="D3383" s="2">
        <f t="shared" si="52"/>
        <v>0</v>
      </c>
      <c r="E3383" s="14" t="str">
        <f>IFERROR(GIZLI!G3378,"")</f>
        <v/>
      </c>
    </row>
    <row r="3384" spans="2:5" x14ac:dyDescent="0.3">
      <c r="B3384" s="2" t="str">
        <f>MID(TableQR[[#This Row],[QR CODES]],4,13)</f>
        <v/>
      </c>
      <c r="C3384" s="2" t="str">
        <f>IFERROR(VLOOKUP(TableQR[[#This Row],[BARCODES]],ILACLISTE[#All],2,0),"")</f>
        <v/>
      </c>
      <c r="D3384" s="2">
        <f t="shared" si="52"/>
        <v>0</v>
      </c>
      <c r="E3384" s="14" t="str">
        <f>IFERROR(GIZLI!G3379,"")</f>
        <v/>
      </c>
    </row>
    <row r="3385" spans="2:5" x14ac:dyDescent="0.3">
      <c r="B3385" s="2" t="str">
        <f>MID(TableQR[[#This Row],[QR CODES]],4,13)</f>
        <v/>
      </c>
      <c r="C3385" s="2" t="str">
        <f>IFERROR(VLOOKUP(TableQR[[#This Row],[BARCODES]],ILACLISTE[#All],2,0),"")</f>
        <v/>
      </c>
      <c r="D3385" s="2">
        <f t="shared" si="52"/>
        <v>0</v>
      </c>
      <c r="E3385" s="14" t="str">
        <f>IFERROR(GIZLI!G3380,"")</f>
        <v/>
      </c>
    </row>
    <row r="3386" spans="2:5" x14ac:dyDescent="0.3">
      <c r="B3386" s="2" t="str">
        <f>MID(TableQR[[#This Row],[QR CODES]],4,13)</f>
        <v/>
      </c>
      <c r="C3386" s="2" t="str">
        <f>IFERROR(VLOOKUP(TableQR[[#This Row],[BARCODES]],ILACLISTE[#All],2,0),"")</f>
        <v/>
      </c>
      <c r="D3386" s="2">
        <f t="shared" si="52"/>
        <v>0</v>
      </c>
      <c r="E3386" s="14" t="str">
        <f>IFERROR(GIZLI!G3381,"")</f>
        <v/>
      </c>
    </row>
    <row r="3387" spans="2:5" x14ac:dyDescent="0.3">
      <c r="B3387" s="2" t="str">
        <f>MID(TableQR[[#This Row],[QR CODES]],4,13)</f>
        <v/>
      </c>
      <c r="C3387" s="2" t="str">
        <f>IFERROR(VLOOKUP(TableQR[[#This Row],[BARCODES]],ILACLISTE[#All],2,0),"")</f>
        <v/>
      </c>
      <c r="D3387" s="2">
        <f t="shared" si="52"/>
        <v>0</v>
      </c>
      <c r="E3387" s="14" t="str">
        <f>IFERROR(GIZLI!G3382,"")</f>
        <v/>
      </c>
    </row>
    <row r="3388" spans="2:5" x14ac:dyDescent="0.3">
      <c r="B3388" s="2" t="str">
        <f>MID(TableQR[[#This Row],[QR CODES]],4,13)</f>
        <v/>
      </c>
      <c r="C3388" s="2" t="str">
        <f>IFERROR(VLOOKUP(TableQR[[#This Row],[BARCODES]],ILACLISTE[#All],2,0),"")</f>
        <v/>
      </c>
      <c r="D3388" s="2">
        <f t="shared" si="52"/>
        <v>0</v>
      </c>
      <c r="E3388" s="14" t="str">
        <f>IFERROR(GIZLI!G3383,"")</f>
        <v/>
      </c>
    </row>
    <row r="3389" spans="2:5" x14ac:dyDescent="0.3">
      <c r="B3389" s="2" t="str">
        <f>MID(TableQR[[#This Row],[QR CODES]],4,13)</f>
        <v/>
      </c>
      <c r="C3389" s="2" t="str">
        <f>IFERROR(VLOOKUP(TableQR[[#This Row],[BARCODES]],ILACLISTE[#All],2,0),"")</f>
        <v/>
      </c>
      <c r="D3389" s="2">
        <f t="shared" si="52"/>
        <v>0</v>
      </c>
      <c r="E3389" s="14" t="str">
        <f>IFERROR(GIZLI!G3384,"")</f>
        <v/>
      </c>
    </row>
    <row r="3390" spans="2:5" x14ac:dyDescent="0.3">
      <c r="B3390" s="2" t="str">
        <f>MID(TableQR[[#This Row],[QR CODES]],4,13)</f>
        <v/>
      </c>
      <c r="C3390" s="2" t="str">
        <f>IFERROR(VLOOKUP(TableQR[[#This Row],[BARCODES]],ILACLISTE[#All],2,0),"")</f>
        <v/>
      </c>
      <c r="D3390" s="2">
        <f t="shared" si="52"/>
        <v>0</v>
      </c>
      <c r="E3390" s="14" t="str">
        <f>IFERROR(GIZLI!G3385,"")</f>
        <v/>
      </c>
    </row>
    <row r="3391" spans="2:5" x14ac:dyDescent="0.3">
      <c r="B3391" s="2" t="str">
        <f>MID(TableQR[[#This Row],[QR CODES]],4,13)</f>
        <v/>
      </c>
      <c r="C3391" s="2" t="str">
        <f>IFERROR(VLOOKUP(TableQR[[#This Row],[BARCODES]],ILACLISTE[#All],2,0),"")</f>
        <v/>
      </c>
      <c r="D3391" s="2">
        <f t="shared" si="52"/>
        <v>0</v>
      </c>
      <c r="E3391" s="14" t="str">
        <f>IFERROR(GIZLI!G3386,"")</f>
        <v/>
      </c>
    </row>
    <row r="3392" spans="2:5" x14ac:dyDescent="0.3">
      <c r="B3392" s="2" t="str">
        <f>MID(TableQR[[#This Row],[QR CODES]],4,13)</f>
        <v/>
      </c>
      <c r="C3392" s="2" t="str">
        <f>IFERROR(VLOOKUP(TableQR[[#This Row],[BARCODES]],ILACLISTE[#All],2,0),"")</f>
        <v/>
      </c>
      <c r="D3392" s="2">
        <f t="shared" si="52"/>
        <v>0</v>
      </c>
      <c r="E3392" s="14" t="str">
        <f>IFERROR(GIZLI!G3387,"")</f>
        <v/>
      </c>
    </row>
    <row r="3393" spans="2:5" x14ac:dyDescent="0.3">
      <c r="B3393" s="2" t="str">
        <f>MID(TableQR[[#This Row],[QR CODES]],4,13)</f>
        <v/>
      </c>
      <c r="C3393" s="2" t="str">
        <f>IFERROR(VLOOKUP(TableQR[[#This Row],[BARCODES]],ILACLISTE[#All],2,0),"")</f>
        <v/>
      </c>
      <c r="D3393" s="2">
        <f t="shared" si="52"/>
        <v>0</v>
      </c>
      <c r="E3393" s="14" t="str">
        <f>IFERROR(GIZLI!G3388,"")</f>
        <v/>
      </c>
    </row>
    <row r="3394" spans="2:5" x14ac:dyDescent="0.3">
      <c r="B3394" s="2" t="str">
        <f>MID(TableQR[[#This Row],[QR CODES]],4,13)</f>
        <v/>
      </c>
      <c r="C3394" s="2" t="str">
        <f>IFERROR(VLOOKUP(TableQR[[#This Row],[BARCODES]],ILACLISTE[#All],2,0),"")</f>
        <v/>
      </c>
      <c r="D3394" s="2">
        <f t="shared" si="52"/>
        <v>0</v>
      </c>
      <c r="E3394" s="14" t="str">
        <f>IFERROR(GIZLI!G3389,"")</f>
        <v/>
      </c>
    </row>
    <row r="3395" spans="2:5" x14ac:dyDescent="0.3">
      <c r="B3395" s="2" t="str">
        <f>MID(TableQR[[#This Row],[QR CODES]],4,13)</f>
        <v/>
      </c>
      <c r="C3395" s="2" t="str">
        <f>IFERROR(VLOOKUP(TableQR[[#This Row],[BARCODES]],ILACLISTE[#All],2,0),"")</f>
        <v/>
      </c>
      <c r="D3395" s="2">
        <f t="shared" si="52"/>
        <v>0</v>
      </c>
      <c r="E3395" s="14" t="str">
        <f>IFERROR(GIZLI!G3390,"")</f>
        <v/>
      </c>
    </row>
    <row r="3396" spans="2:5" x14ac:dyDescent="0.3">
      <c r="B3396" s="2" t="str">
        <f>MID(TableQR[[#This Row],[QR CODES]],4,13)</f>
        <v/>
      </c>
      <c r="C3396" s="2" t="str">
        <f>IFERROR(VLOOKUP(TableQR[[#This Row],[BARCODES]],ILACLISTE[#All],2,0),"")</f>
        <v/>
      </c>
      <c r="D3396" s="2">
        <f t="shared" si="52"/>
        <v>0</v>
      </c>
      <c r="E3396" s="14" t="str">
        <f>IFERROR(GIZLI!G3391,"")</f>
        <v/>
      </c>
    </row>
    <row r="3397" spans="2:5" x14ac:dyDescent="0.3">
      <c r="B3397" s="2" t="str">
        <f>MID(TableQR[[#This Row],[QR CODES]],4,13)</f>
        <v/>
      </c>
      <c r="C3397" s="2" t="str">
        <f>IFERROR(VLOOKUP(TableQR[[#This Row],[BARCODES]],ILACLISTE[#All],2,0),"")</f>
        <v/>
      </c>
      <c r="D3397" s="2">
        <f t="shared" si="52"/>
        <v>0</v>
      </c>
      <c r="E3397" s="14" t="str">
        <f>IFERROR(GIZLI!G3392,"")</f>
        <v/>
      </c>
    </row>
    <row r="3398" spans="2:5" x14ac:dyDescent="0.3">
      <c r="B3398" s="2" t="str">
        <f>MID(TableQR[[#This Row],[QR CODES]],4,13)</f>
        <v/>
      </c>
      <c r="C3398" s="2" t="str">
        <f>IFERROR(VLOOKUP(TableQR[[#This Row],[BARCODES]],ILACLISTE[#All],2,0),"")</f>
        <v/>
      </c>
      <c r="D3398" s="2">
        <f t="shared" si="52"/>
        <v>0</v>
      </c>
      <c r="E3398" s="14" t="str">
        <f>IFERROR(GIZLI!G3393,"")</f>
        <v/>
      </c>
    </row>
    <row r="3399" spans="2:5" x14ac:dyDescent="0.3">
      <c r="B3399" s="2" t="str">
        <f>MID(TableQR[[#This Row],[QR CODES]],4,13)</f>
        <v/>
      </c>
      <c r="C3399" s="2" t="str">
        <f>IFERROR(VLOOKUP(TableQR[[#This Row],[BARCODES]],ILACLISTE[#All],2,0),"")</f>
        <v/>
      </c>
      <c r="D3399" s="2">
        <f t="shared" si="52"/>
        <v>0</v>
      </c>
      <c r="E3399" s="14" t="str">
        <f>IFERROR(GIZLI!G3394,"")</f>
        <v/>
      </c>
    </row>
    <row r="3400" spans="2:5" x14ac:dyDescent="0.3">
      <c r="B3400" s="2" t="str">
        <f>MID(TableQR[[#This Row],[QR CODES]],4,13)</f>
        <v/>
      </c>
      <c r="C3400" s="2" t="str">
        <f>IFERROR(VLOOKUP(TableQR[[#This Row],[BARCODES]],ILACLISTE[#All],2,0),"")</f>
        <v/>
      </c>
      <c r="D3400" s="2">
        <f t="shared" ref="D3400:D3463" si="53">COUNTIF(B3400:B7393,IF(B3400="",66666,B3400))</f>
        <v>0</v>
      </c>
      <c r="E3400" s="14" t="str">
        <f>IFERROR(GIZLI!G3395,"")</f>
        <v/>
      </c>
    </row>
    <row r="3401" spans="2:5" x14ac:dyDescent="0.3">
      <c r="B3401" s="2" t="str">
        <f>MID(TableQR[[#This Row],[QR CODES]],4,13)</f>
        <v/>
      </c>
      <c r="C3401" s="2" t="str">
        <f>IFERROR(VLOOKUP(TableQR[[#This Row],[BARCODES]],ILACLISTE[#All],2,0),"")</f>
        <v/>
      </c>
      <c r="D3401" s="2">
        <f t="shared" si="53"/>
        <v>0</v>
      </c>
      <c r="E3401" s="14" t="str">
        <f>IFERROR(GIZLI!G3396,"")</f>
        <v/>
      </c>
    </row>
    <row r="3402" spans="2:5" x14ac:dyDescent="0.3">
      <c r="B3402" s="2" t="str">
        <f>MID(TableQR[[#This Row],[QR CODES]],4,13)</f>
        <v/>
      </c>
      <c r="C3402" s="2" t="str">
        <f>IFERROR(VLOOKUP(TableQR[[#This Row],[BARCODES]],ILACLISTE[#All],2,0),"")</f>
        <v/>
      </c>
      <c r="D3402" s="2">
        <f t="shared" si="53"/>
        <v>0</v>
      </c>
      <c r="E3402" s="14" t="str">
        <f>IFERROR(GIZLI!G3397,"")</f>
        <v/>
      </c>
    </row>
    <row r="3403" spans="2:5" x14ac:dyDescent="0.3">
      <c r="B3403" s="2" t="str">
        <f>MID(TableQR[[#This Row],[QR CODES]],4,13)</f>
        <v/>
      </c>
      <c r="C3403" s="2" t="str">
        <f>IFERROR(VLOOKUP(TableQR[[#This Row],[BARCODES]],ILACLISTE[#All],2,0),"")</f>
        <v/>
      </c>
      <c r="D3403" s="2">
        <f t="shared" si="53"/>
        <v>0</v>
      </c>
      <c r="E3403" s="14" t="str">
        <f>IFERROR(GIZLI!G3398,"")</f>
        <v/>
      </c>
    </row>
    <row r="3404" spans="2:5" x14ac:dyDescent="0.3">
      <c r="B3404" s="2" t="str">
        <f>MID(TableQR[[#This Row],[QR CODES]],4,13)</f>
        <v/>
      </c>
      <c r="C3404" s="2" t="str">
        <f>IFERROR(VLOOKUP(TableQR[[#This Row],[BARCODES]],ILACLISTE[#All],2,0),"")</f>
        <v/>
      </c>
      <c r="D3404" s="2">
        <f t="shared" si="53"/>
        <v>0</v>
      </c>
      <c r="E3404" s="14" t="str">
        <f>IFERROR(GIZLI!G3399,"")</f>
        <v/>
      </c>
    </row>
    <row r="3405" spans="2:5" x14ac:dyDescent="0.3">
      <c r="B3405" s="2" t="str">
        <f>MID(TableQR[[#This Row],[QR CODES]],4,13)</f>
        <v/>
      </c>
      <c r="C3405" s="2" t="str">
        <f>IFERROR(VLOOKUP(TableQR[[#This Row],[BARCODES]],ILACLISTE[#All],2,0),"")</f>
        <v/>
      </c>
      <c r="D3405" s="2">
        <f t="shared" si="53"/>
        <v>0</v>
      </c>
      <c r="E3405" s="14" t="str">
        <f>IFERROR(GIZLI!G3400,"")</f>
        <v/>
      </c>
    </row>
    <row r="3406" spans="2:5" x14ac:dyDescent="0.3">
      <c r="B3406" s="2" t="str">
        <f>MID(TableQR[[#This Row],[QR CODES]],4,13)</f>
        <v/>
      </c>
      <c r="C3406" s="2" t="str">
        <f>IFERROR(VLOOKUP(TableQR[[#This Row],[BARCODES]],ILACLISTE[#All],2,0),"")</f>
        <v/>
      </c>
      <c r="D3406" s="2">
        <f t="shared" si="53"/>
        <v>0</v>
      </c>
      <c r="E3406" s="14" t="str">
        <f>IFERROR(GIZLI!G3401,"")</f>
        <v/>
      </c>
    </row>
    <row r="3407" spans="2:5" x14ac:dyDescent="0.3">
      <c r="B3407" s="2" t="str">
        <f>MID(TableQR[[#This Row],[QR CODES]],4,13)</f>
        <v/>
      </c>
      <c r="C3407" s="2" t="str">
        <f>IFERROR(VLOOKUP(TableQR[[#This Row],[BARCODES]],ILACLISTE[#All],2,0),"")</f>
        <v/>
      </c>
      <c r="D3407" s="2">
        <f t="shared" si="53"/>
        <v>0</v>
      </c>
      <c r="E3407" s="14" t="str">
        <f>IFERROR(GIZLI!G3402,"")</f>
        <v/>
      </c>
    </row>
    <row r="3408" spans="2:5" x14ac:dyDescent="0.3">
      <c r="B3408" s="2" t="str">
        <f>MID(TableQR[[#This Row],[QR CODES]],4,13)</f>
        <v/>
      </c>
      <c r="C3408" s="2" t="str">
        <f>IFERROR(VLOOKUP(TableQR[[#This Row],[BARCODES]],ILACLISTE[#All],2,0),"")</f>
        <v/>
      </c>
      <c r="D3408" s="2">
        <f t="shared" si="53"/>
        <v>0</v>
      </c>
      <c r="E3408" s="14" t="str">
        <f>IFERROR(GIZLI!G3403,"")</f>
        <v/>
      </c>
    </row>
    <row r="3409" spans="2:5" x14ac:dyDescent="0.3">
      <c r="B3409" s="2" t="str">
        <f>MID(TableQR[[#This Row],[QR CODES]],4,13)</f>
        <v/>
      </c>
      <c r="C3409" s="2" t="str">
        <f>IFERROR(VLOOKUP(TableQR[[#This Row],[BARCODES]],ILACLISTE[#All],2,0),"")</f>
        <v/>
      </c>
      <c r="D3409" s="2">
        <f t="shared" si="53"/>
        <v>0</v>
      </c>
      <c r="E3409" s="14" t="str">
        <f>IFERROR(GIZLI!G3404,"")</f>
        <v/>
      </c>
    </row>
    <row r="3410" spans="2:5" x14ac:dyDescent="0.3">
      <c r="B3410" s="2" t="str">
        <f>MID(TableQR[[#This Row],[QR CODES]],4,13)</f>
        <v/>
      </c>
      <c r="C3410" s="2" t="str">
        <f>IFERROR(VLOOKUP(TableQR[[#This Row],[BARCODES]],ILACLISTE[#All],2,0),"")</f>
        <v/>
      </c>
      <c r="D3410" s="2">
        <f t="shared" si="53"/>
        <v>0</v>
      </c>
      <c r="E3410" s="14" t="str">
        <f>IFERROR(GIZLI!G3405,"")</f>
        <v/>
      </c>
    </row>
    <row r="3411" spans="2:5" x14ac:dyDescent="0.3">
      <c r="B3411" s="2" t="str">
        <f>MID(TableQR[[#This Row],[QR CODES]],4,13)</f>
        <v/>
      </c>
      <c r="C3411" s="2" t="str">
        <f>IFERROR(VLOOKUP(TableQR[[#This Row],[BARCODES]],ILACLISTE[#All],2,0),"")</f>
        <v/>
      </c>
      <c r="D3411" s="2">
        <f t="shared" si="53"/>
        <v>0</v>
      </c>
      <c r="E3411" s="14" t="str">
        <f>IFERROR(GIZLI!G3406,"")</f>
        <v/>
      </c>
    </row>
    <row r="3412" spans="2:5" x14ac:dyDescent="0.3">
      <c r="B3412" s="2" t="str">
        <f>MID(TableQR[[#This Row],[QR CODES]],4,13)</f>
        <v/>
      </c>
      <c r="C3412" s="2" t="str">
        <f>IFERROR(VLOOKUP(TableQR[[#This Row],[BARCODES]],ILACLISTE[#All],2,0),"")</f>
        <v/>
      </c>
      <c r="D3412" s="2">
        <f t="shared" si="53"/>
        <v>0</v>
      </c>
      <c r="E3412" s="14" t="str">
        <f>IFERROR(GIZLI!G3407,"")</f>
        <v/>
      </c>
    </row>
    <row r="3413" spans="2:5" x14ac:dyDescent="0.3">
      <c r="B3413" s="2" t="str">
        <f>MID(TableQR[[#This Row],[QR CODES]],4,13)</f>
        <v/>
      </c>
      <c r="C3413" s="2" t="str">
        <f>IFERROR(VLOOKUP(TableQR[[#This Row],[BARCODES]],ILACLISTE[#All],2,0),"")</f>
        <v/>
      </c>
      <c r="D3413" s="2">
        <f t="shared" si="53"/>
        <v>0</v>
      </c>
      <c r="E3413" s="14" t="str">
        <f>IFERROR(GIZLI!G3408,"")</f>
        <v/>
      </c>
    </row>
    <row r="3414" spans="2:5" x14ac:dyDescent="0.3">
      <c r="B3414" s="2" t="str">
        <f>MID(TableQR[[#This Row],[QR CODES]],4,13)</f>
        <v/>
      </c>
      <c r="C3414" s="2" t="str">
        <f>IFERROR(VLOOKUP(TableQR[[#This Row],[BARCODES]],ILACLISTE[#All],2,0),"")</f>
        <v/>
      </c>
      <c r="D3414" s="2">
        <f t="shared" si="53"/>
        <v>0</v>
      </c>
      <c r="E3414" s="14" t="str">
        <f>IFERROR(GIZLI!G3409,"")</f>
        <v/>
      </c>
    </row>
    <row r="3415" spans="2:5" x14ac:dyDescent="0.3">
      <c r="B3415" s="2" t="str">
        <f>MID(TableQR[[#This Row],[QR CODES]],4,13)</f>
        <v/>
      </c>
      <c r="C3415" s="2" t="str">
        <f>IFERROR(VLOOKUP(TableQR[[#This Row],[BARCODES]],ILACLISTE[#All],2,0),"")</f>
        <v/>
      </c>
      <c r="D3415" s="2">
        <f t="shared" si="53"/>
        <v>0</v>
      </c>
      <c r="E3415" s="14" t="str">
        <f>IFERROR(GIZLI!G3410,"")</f>
        <v/>
      </c>
    </row>
    <row r="3416" spans="2:5" x14ac:dyDescent="0.3">
      <c r="B3416" s="2" t="str">
        <f>MID(TableQR[[#This Row],[QR CODES]],4,13)</f>
        <v/>
      </c>
      <c r="C3416" s="2" t="str">
        <f>IFERROR(VLOOKUP(TableQR[[#This Row],[BARCODES]],ILACLISTE[#All],2,0),"")</f>
        <v/>
      </c>
      <c r="D3416" s="2">
        <f t="shared" si="53"/>
        <v>0</v>
      </c>
      <c r="E3416" s="14" t="str">
        <f>IFERROR(GIZLI!G3411,"")</f>
        <v/>
      </c>
    </row>
    <row r="3417" spans="2:5" x14ac:dyDescent="0.3">
      <c r="B3417" s="2" t="str">
        <f>MID(TableQR[[#This Row],[QR CODES]],4,13)</f>
        <v/>
      </c>
      <c r="C3417" s="2" t="str">
        <f>IFERROR(VLOOKUP(TableQR[[#This Row],[BARCODES]],ILACLISTE[#All],2,0),"")</f>
        <v/>
      </c>
      <c r="D3417" s="2">
        <f t="shared" si="53"/>
        <v>0</v>
      </c>
      <c r="E3417" s="14" t="str">
        <f>IFERROR(GIZLI!G3412,"")</f>
        <v/>
      </c>
    </row>
    <row r="3418" spans="2:5" x14ac:dyDescent="0.3">
      <c r="B3418" s="2" t="str">
        <f>MID(TableQR[[#This Row],[QR CODES]],4,13)</f>
        <v/>
      </c>
      <c r="C3418" s="2" t="str">
        <f>IFERROR(VLOOKUP(TableQR[[#This Row],[BARCODES]],ILACLISTE[#All],2,0),"")</f>
        <v/>
      </c>
      <c r="D3418" s="2">
        <f t="shared" si="53"/>
        <v>0</v>
      </c>
      <c r="E3418" s="14" t="str">
        <f>IFERROR(GIZLI!G3413,"")</f>
        <v/>
      </c>
    </row>
    <row r="3419" spans="2:5" x14ac:dyDescent="0.3">
      <c r="B3419" s="2" t="str">
        <f>MID(TableQR[[#This Row],[QR CODES]],4,13)</f>
        <v/>
      </c>
      <c r="C3419" s="2" t="str">
        <f>IFERROR(VLOOKUP(TableQR[[#This Row],[BARCODES]],ILACLISTE[#All],2,0),"")</f>
        <v/>
      </c>
      <c r="D3419" s="2">
        <f t="shared" si="53"/>
        <v>0</v>
      </c>
      <c r="E3419" s="14" t="str">
        <f>IFERROR(GIZLI!G3414,"")</f>
        <v/>
      </c>
    </row>
    <row r="3420" spans="2:5" x14ac:dyDescent="0.3">
      <c r="B3420" s="2" t="str">
        <f>MID(TableQR[[#This Row],[QR CODES]],4,13)</f>
        <v/>
      </c>
      <c r="C3420" s="2" t="str">
        <f>IFERROR(VLOOKUP(TableQR[[#This Row],[BARCODES]],ILACLISTE[#All],2,0),"")</f>
        <v/>
      </c>
      <c r="D3420" s="2">
        <f t="shared" si="53"/>
        <v>0</v>
      </c>
      <c r="E3420" s="14" t="str">
        <f>IFERROR(GIZLI!G3415,"")</f>
        <v/>
      </c>
    </row>
    <row r="3421" spans="2:5" x14ac:dyDescent="0.3">
      <c r="B3421" s="2" t="str">
        <f>MID(TableQR[[#This Row],[QR CODES]],4,13)</f>
        <v/>
      </c>
      <c r="C3421" s="2" t="str">
        <f>IFERROR(VLOOKUP(TableQR[[#This Row],[BARCODES]],ILACLISTE[#All],2,0),"")</f>
        <v/>
      </c>
      <c r="D3421" s="2">
        <f t="shared" si="53"/>
        <v>0</v>
      </c>
      <c r="E3421" s="14" t="str">
        <f>IFERROR(GIZLI!G3416,"")</f>
        <v/>
      </c>
    </row>
    <row r="3422" spans="2:5" x14ac:dyDescent="0.3">
      <c r="B3422" s="2" t="str">
        <f>MID(TableQR[[#This Row],[QR CODES]],4,13)</f>
        <v/>
      </c>
      <c r="C3422" s="2" t="str">
        <f>IFERROR(VLOOKUP(TableQR[[#This Row],[BARCODES]],ILACLISTE[#All],2,0),"")</f>
        <v/>
      </c>
      <c r="D3422" s="2">
        <f t="shared" si="53"/>
        <v>0</v>
      </c>
      <c r="E3422" s="14" t="str">
        <f>IFERROR(GIZLI!G3417,"")</f>
        <v/>
      </c>
    </row>
    <row r="3423" spans="2:5" x14ac:dyDescent="0.3">
      <c r="B3423" s="2" t="str">
        <f>MID(TableQR[[#This Row],[QR CODES]],4,13)</f>
        <v/>
      </c>
      <c r="C3423" s="2" t="str">
        <f>IFERROR(VLOOKUP(TableQR[[#This Row],[BARCODES]],ILACLISTE[#All],2,0),"")</f>
        <v/>
      </c>
      <c r="D3423" s="2">
        <f t="shared" si="53"/>
        <v>0</v>
      </c>
      <c r="E3423" s="14" t="str">
        <f>IFERROR(GIZLI!G3418,"")</f>
        <v/>
      </c>
    </row>
    <row r="3424" spans="2:5" x14ac:dyDescent="0.3">
      <c r="B3424" s="2" t="str">
        <f>MID(TableQR[[#This Row],[QR CODES]],4,13)</f>
        <v/>
      </c>
      <c r="C3424" s="2" t="str">
        <f>IFERROR(VLOOKUP(TableQR[[#This Row],[BARCODES]],ILACLISTE[#All],2,0),"")</f>
        <v/>
      </c>
      <c r="D3424" s="2">
        <f t="shared" si="53"/>
        <v>0</v>
      </c>
      <c r="E3424" s="14" t="str">
        <f>IFERROR(GIZLI!G3419,"")</f>
        <v/>
      </c>
    </row>
    <row r="3425" spans="2:5" x14ac:dyDescent="0.3">
      <c r="B3425" s="2" t="str">
        <f>MID(TableQR[[#This Row],[QR CODES]],4,13)</f>
        <v/>
      </c>
      <c r="C3425" s="2" t="str">
        <f>IFERROR(VLOOKUP(TableQR[[#This Row],[BARCODES]],ILACLISTE[#All],2,0),"")</f>
        <v/>
      </c>
      <c r="D3425" s="2">
        <f t="shared" si="53"/>
        <v>0</v>
      </c>
      <c r="E3425" s="14" t="str">
        <f>IFERROR(GIZLI!G3420,"")</f>
        <v/>
      </c>
    </row>
    <row r="3426" spans="2:5" x14ac:dyDescent="0.3">
      <c r="B3426" s="2" t="str">
        <f>MID(TableQR[[#This Row],[QR CODES]],4,13)</f>
        <v/>
      </c>
      <c r="C3426" s="2" t="str">
        <f>IFERROR(VLOOKUP(TableQR[[#This Row],[BARCODES]],ILACLISTE[#All],2,0),"")</f>
        <v/>
      </c>
      <c r="D3426" s="2">
        <f t="shared" si="53"/>
        <v>0</v>
      </c>
      <c r="E3426" s="14" t="str">
        <f>IFERROR(GIZLI!G3421,"")</f>
        <v/>
      </c>
    </row>
    <row r="3427" spans="2:5" x14ac:dyDescent="0.3">
      <c r="B3427" s="2" t="str">
        <f>MID(TableQR[[#This Row],[QR CODES]],4,13)</f>
        <v/>
      </c>
      <c r="C3427" s="2" t="str">
        <f>IFERROR(VLOOKUP(TableQR[[#This Row],[BARCODES]],ILACLISTE[#All],2,0),"")</f>
        <v/>
      </c>
      <c r="D3427" s="2">
        <f t="shared" si="53"/>
        <v>0</v>
      </c>
      <c r="E3427" s="14" t="str">
        <f>IFERROR(GIZLI!G3422,"")</f>
        <v/>
      </c>
    </row>
    <row r="3428" spans="2:5" x14ac:dyDescent="0.3">
      <c r="B3428" s="2" t="str">
        <f>MID(TableQR[[#This Row],[QR CODES]],4,13)</f>
        <v/>
      </c>
      <c r="C3428" s="2" t="str">
        <f>IFERROR(VLOOKUP(TableQR[[#This Row],[BARCODES]],ILACLISTE[#All],2,0),"")</f>
        <v/>
      </c>
      <c r="D3428" s="2">
        <f t="shared" si="53"/>
        <v>0</v>
      </c>
      <c r="E3428" s="14" t="str">
        <f>IFERROR(GIZLI!G3423,"")</f>
        <v/>
      </c>
    </row>
    <row r="3429" spans="2:5" x14ac:dyDescent="0.3">
      <c r="B3429" s="2" t="str">
        <f>MID(TableQR[[#This Row],[QR CODES]],4,13)</f>
        <v/>
      </c>
      <c r="C3429" s="2" t="str">
        <f>IFERROR(VLOOKUP(TableQR[[#This Row],[BARCODES]],ILACLISTE[#All],2,0),"")</f>
        <v/>
      </c>
      <c r="D3429" s="2">
        <f t="shared" si="53"/>
        <v>0</v>
      </c>
      <c r="E3429" s="14" t="str">
        <f>IFERROR(GIZLI!G3424,"")</f>
        <v/>
      </c>
    </row>
    <row r="3430" spans="2:5" x14ac:dyDescent="0.3">
      <c r="B3430" s="2" t="str">
        <f>MID(TableQR[[#This Row],[QR CODES]],4,13)</f>
        <v/>
      </c>
      <c r="C3430" s="2" t="str">
        <f>IFERROR(VLOOKUP(TableQR[[#This Row],[BARCODES]],ILACLISTE[#All],2,0),"")</f>
        <v/>
      </c>
      <c r="D3430" s="2">
        <f t="shared" si="53"/>
        <v>0</v>
      </c>
      <c r="E3430" s="14" t="str">
        <f>IFERROR(GIZLI!G3425,"")</f>
        <v/>
      </c>
    </row>
    <row r="3431" spans="2:5" x14ac:dyDescent="0.3">
      <c r="B3431" s="2" t="str">
        <f>MID(TableQR[[#This Row],[QR CODES]],4,13)</f>
        <v/>
      </c>
      <c r="C3431" s="2" t="str">
        <f>IFERROR(VLOOKUP(TableQR[[#This Row],[BARCODES]],ILACLISTE[#All],2,0),"")</f>
        <v/>
      </c>
      <c r="D3431" s="2">
        <f t="shared" si="53"/>
        <v>0</v>
      </c>
      <c r="E3431" s="14" t="str">
        <f>IFERROR(GIZLI!G3426,"")</f>
        <v/>
      </c>
    </row>
    <row r="3432" spans="2:5" x14ac:dyDescent="0.3">
      <c r="B3432" s="2" t="str">
        <f>MID(TableQR[[#This Row],[QR CODES]],4,13)</f>
        <v/>
      </c>
      <c r="C3432" s="2" t="str">
        <f>IFERROR(VLOOKUP(TableQR[[#This Row],[BARCODES]],ILACLISTE[#All],2,0),"")</f>
        <v/>
      </c>
      <c r="D3432" s="2">
        <f t="shared" si="53"/>
        <v>0</v>
      </c>
      <c r="E3432" s="14" t="str">
        <f>IFERROR(GIZLI!G3427,"")</f>
        <v/>
      </c>
    </row>
    <row r="3433" spans="2:5" x14ac:dyDescent="0.3">
      <c r="B3433" s="2" t="str">
        <f>MID(TableQR[[#This Row],[QR CODES]],4,13)</f>
        <v/>
      </c>
      <c r="C3433" s="2" t="str">
        <f>IFERROR(VLOOKUP(TableQR[[#This Row],[BARCODES]],ILACLISTE[#All],2,0),"")</f>
        <v/>
      </c>
      <c r="D3433" s="2">
        <f t="shared" si="53"/>
        <v>0</v>
      </c>
      <c r="E3433" s="14" t="str">
        <f>IFERROR(GIZLI!G3428,"")</f>
        <v/>
      </c>
    </row>
    <row r="3434" spans="2:5" x14ac:dyDescent="0.3">
      <c r="B3434" s="2" t="str">
        <f>MID(TableQR[[#This Row],[QR CODES]],4,13)</f>
        <v/>
      </c>
      <c r="C3434" s="2" t="str">
        <f>IFERROR(VLOOKUP(TableQR[[#This Row],[BARCODES]],ILACLISTE[#All],2,0),"")</f>
        <v/>
      </c>
      <c r="D3434" s="2">
        <f t="shared" si="53"/>
        <v>0</v>
      </c>
      <c r="E3434" s="14" t="str">
        <f>IFERROR(GIZLI!G3429,"")</f>
        <v/>
      </c>
    </row>
    <row r="3435" spans="2:5" x14ac:dyDescent="0.3">
      <c r="B3435" s="2" t="str">
        <f>MID(TableQR[[#This Row],[QR CODES]],4,13)</f>
        <v/>
      </c>
      <c r="C3435" s="2" t="str">
        <f>IFERROR(VLOOKUP(TableQR[[#This Row],[BARCODES]],ILACLISTE[#All],2,0),"")</f>
        <v/>
      </c>
      <c r="D3435" s="2">
        <f t="shared" si="53"/>
        <v>0</v>
      </c>
      <c r="E3435" s="14" t="str">
        <f>IFERROR(GIZLI!G3430,"")</f>
        <v/>
      </c>
    </row>
    <row r="3436" spans="2:5" x14ac:dyDescent="0.3">
      <c r="B3436" s="2" t="str">
        <f>MID(TableQR[[#This Row],[QR CODES]],4,13)</f>
        <v/>
      </c>
      <c r="C3436" s="2" t="str">
        <f>IFERROR(VLOOKUP(TableQR[[#This Row],[BARCODES]],ILACLISTE[#All],2,0),"")</f>
        <v/>
      </c>
      <c r="D3436" s="2">
        <f t="shared" si="53"/>
        <v>0</v>
      </c>
      <c r="E3436" s="14" t="str">
        <f>IFERROR(GIZLI!G3431,"")</f>
        <v/>
      </c>
    </row>
    <row r="3437" spans="2:5" x14ac:dyDescent="0.3">
      <c r="B3437" s="2" t="str">
        <f>MID(TableQR[[#This Row],[QR CODES]],4,13)</f>
        <v/>
      </c>
      <c r="C3437" s="2" t="str">
        <f>IFERROR(VLOOKUP(TableQR[[#This Row],[BARCODES]],ILACLISTE[#All],2,0),"")</f>
        <v/>
      </c>
      <c r="D3437" s="2">
        <f t="shared" si="53"/>
        <v>0</v>
      </c>
      <c r="E3437" s="14" t="str">
        <f>IFERROR(GIZLI!G3432,"")</f>
        <v/>
      </c>
    </row>
    <row r="3438" spans="2:5" x14ac:dyDescent="0.3">
      <c r="B3438" s="2" t="str">
        <f>MID(TableQR[[#This Row],[QR CODES]],4,13)</f>
        <v/>
      </c>
      <c r="C3438" s="2" t="str">
        <f>IFERROR(VLOOKUP(TableQR[[#This Row],[BARCODES]],ILACLISTE[#All],2,0),"")</f>
        <v/>
      </c>
      <c r="D3438" s="2">
        <f t="shared" si="53"/>
        <v>0</v>
      </c>
      <c r="E3438" s="14" t="str">
        <f>IFERROR(GIZLI!G3433,"")</f>
        <v/>
      </c>
    </row>
    <row r="3439" spans="2:5" x14ac:dyDescent="0.3">
      <c r="B3439" s="2" t="str">
        <f>MID(TableQR[[#This Row],[QR CODES]],4,13)</f>
        <v/>
      </c>
      <c r="C3439" s="2" t="str">
        <f>IFERROR(VLOOKUP(TableQR[[#This Row],[BARCODES]],ILACLISTE[#All],2,0),"")</f>
        <v/>
      </c>
      <c r="D3439" s="2">
        <f t="shared" si="53"/>
        <v>0</v>
      </c>
      <c r="E3439" s="14" t="str">
        <f>IFERROR(GIZLI!G3434,"")</f>
        <v/>
      </c>
    </row>
    <row r="3440" spans="2:5" x14ac:dyDescent="0.3">
      <c r="B3440" s="2" t="str">
        <f>MID(TableQR[[#This Row],[QR CODES]],4,13)</f>
        <v/>
      </c>
      <c r="C3440" s="2" t="str">
        <f>IFERROR(VLOOKUP(TableQR[[#This Row],[BARCODES]],ILACLISTE[#All],2,0),"")</f>
        <v/>
      </c>
      <c r="D3440" s="2">
        <f t="shared" si="53"/>
        <v>0</v>
      </c>
      <c r="E3440" s="14" t="str">
        <f>IFERROR(GIZLI!G3435,"")</f>
        <v/>
      </c>
    </row>
    <row r="3441" spans="2:5" x14ac:dyDescent="0.3">
      <c r="B3441" s="2" t="str">
        <f>MID(TableQR[[#This Row],[QR CODES]],4,13)</f>
        <v/>
      </c>
      <c r="C3441" s="2" t="str">
        <f>IFERROR(VLOOKUP(TableQR[[#This Row],[BARCODES]],ILACLISTE[#All],2,0),"")</f>
        <v/>
      </c>
      <c r="D3441" s="2">
        <f t="shared" si="53"/>
        <v>0</v>
      </c>
      <c r="E3441" s="14" t="str">
        <f>IFERROR(GIZLI!G3436,"")</f>
        <v/>
      </c>
    </row>
    <row r="3442" spans="2:5" x14ac:dyDescent="0.3">
      <c r="B3442" s="2" t="str">
        <f>MID(TableQR[[#This Row],[QR CODES]],4,13)</f>
        <v/>
      </c>
      <c r="C3442" s="2" t="str">
        <f>IFERROR(VLOOKUP(TableQR[[#This Row],[BARCODES]],ILACLISTE[#All],2,0),"")</f>
        <v/>
      </c>
      <c r="D3442" s="2">
        <f t="shared" si="53"/>
        <v>0</v>
      </c>
      <c r="E3442" s="14" t="str">
        <f>IFERROR(GIZLI!G3437,"")</f>
        <v/>
      </c>
    </row>
    <row r="3443" spans="2:5" x14ac:dyDescent="0.3">
      <c r="B3443" s="2" t="str">
        <f>MID(TableQR[[#This Row],[QR CODES]],4,13)</f>
        <v/>
      </c>
      <c r="C3443" s="2" t="str">
        <f>IFERROR(VLOOKUP(TableQR[[#This Row],[BARCODES]],ILACLISTE[#All],2,0),"")</f>
        <v/>
      </c>
      <c r="D3443" s="2">
        <f t="shared" si="53"/>
        <v>0</v>
      </c>
      <c r="E3443" s="14" t="str">
        <f>IFERROR(GIZLI!G3438,"")</f>
        <v/>
      </c>
    </row>
    <row r="3444" spans="2:5" x14ac:dyDescent="0.3">
      <c r="B3444" s="2" t="str">
        <f>MID(TableQR[[#This Row],[QR CODES]],4,13)</f>
        <v/>
      </c>
      <c r="C3444" s="2" t="str">
        <f>IFERROR(VLOOKUP(TableQR[[#This Row],[BARCODES]],ILACLISTE[#All],2,0),"")</f>
        <v/>
      </c>
      <c r="D3444" s="2">
        <f t="shared" si="53"/>
        <v>0</v>
      </c>
      <c r="E3444" s="14" t="str">
        <f>IFERROR(GIZLI!G3439,"")</f>
        <v/>
      </c>
    </row>
    <row r="3445" spans="2:5" x14ac:dyDescent="0.3">
      <c r="B3445" s="2" t="str">
        <f>MID(TableQR[[#This Row],[QR CODES]],4,13)</f>
        <v/>
      </c>
      <c r="C3445" s="2" t="str">
        <f>IFERROR(VLOOKUP(TableQR[[#This Row],[BARCODES]],ILACLISTE[#All],2,0),"")</f>
        <v/>
      </c>
      <c r="D3445" s="2">
        <f t="shared" si="53"/>
        <v>0</v>
      </c>
      <c r="E3445" s="14" t="str">
        <f>IFERROR(GIZLI!G3440,"")</f>
        <v/>
      </c>
    </row>
    <row r="3446" spans="2:5" x14ac:dyDescent="0.3">
      <c r="B3446" s="2" t="str">
        <f>MID(TableQR[[#This Row],[QR CODES]],4,13)</f>
        <v/>
      </c>
      <c r="C3446" s="2" t="str">
        <f>IFERROR(VLOOKUP(TableQR[[#This Row],[BARCODES]],ILACLISTE[#All],2,0),"")</f>
        <v/>
      </c>
      <c r="D3446" s="2">
        <f t="shared" si="53"/>
        <v>0</v>
      </c>
      <c r="E3446" s="14" t="str">
        <f>IFERROR(GIZLI!G3441,"")</f>
        <v/>
      </c>
    </row>
    <row r="3447" spans="2:5" x14ac:dyDescent="0.3">
      <c r="B3447" s="2" t="str">
        <f>MID(TableQR[[#This Row],[QR CODES]],4,13)</f>
        <v/>
      </c>
      <c r="C3447" s="2" t="str">
        <f>IFERROR(VLOOKUP(TableQR[[#This Row],[BARCODES]],ILACLISTE[#All],2,0),"")</f>
        <v/>
      </c>
      <c r="D3447" s="2">
        <f t="shared" si="53"/>
        <v>0</v>
      </c>
      <c r="E3447" s="14" t="str">
        <f>IFERROR(GIZLI!G3442,"")</f>
        <v/>
      </c>
    </row>
    <row r="3448" spans="2:5" x14ac:dyDescent="0.3">
      <c r="B3448" s="2" t="str">
        <f>MID(TableQR[[#This Row],[QR CODES]],4,13)</f>
        <v/>
      </c>
      <c r="C3448" s="2" t="str">
        <f>IFERROR(VLOOKUP(TableQR[[#This Row],[BARCODES]],ILACLISTE[#All],2,0),"")</f>
        <v/>
      </c>
      <c r="D3448" s="2">
        <f t="shared" si="53"/>
        <v>0</v>
      </c>
      <c r="E3448" s="14" t="str">
        <f>IFERROR(GIZLI!G3443,"")</f>
        <v/>
      </c>
    </row>
    <row r="3449" spans="2:5" x14ac:dyDescent="0.3">
      <c r="B3449" s="2" t="str">
        <f>MID(TableQR[[#This Row],[QR CODES]],4,13)</f>
        <v/>
      </c>
      <c r="C3449" s="2" t="str">
        <f>IFERROR(VLOOKUP(TableQR[[#This Row],[BARCODES]],ILACLISTE[#All],2,0),"")</f>
        <v/>
      </c>
      <c r="D3449" s="2">
        <f t="shared" si="53"/>
        <v>0</v>
      </c>
      <c r="E3449" s="14" t="str">
        <f>IFERROR(GIZLI!G3444,"")</f>
        <v/>
      </c>
    </row>
    <row r="3450" spans="2:5" x14ac:dyDescent="0.3">
      <c r="B3450" s="2" t="str">
        <f>MID(TableQR[[#This Row],[QR CODES]],4,13)</f>
        <v/>
      </c>
      <c r="C3450" s="2" t="str">
        <f>IFERROR(VLOOKUP(TableQR[[#This Row],[BARCODES]],ILACLISTE[#All],2,0),"")</f>
        <v/>
      </c>
      <c r="D3450" s="2">
        <f t="shared" si="53"/>
        <v>0</v>
      </c>
      <c r="E3450" s="14" t="str">
        <f>IFERROR(GIZLI!G3445,"")</f>
        <v/>
      </c>
    </row>
    <row r="3451" spans="2:5" x14ac:dyDescent="0.3">
      <c r="B3451" s="2" t="str">
        <f>MID(TableQR[[#This Row],[QR CODES]],4,13)</f>
        <v/>
      </c>
      <c r="C3451" s="2" t="str">
        <f>IFERROR(VLOOKUP(TableQR[[#This Row],[BARCODES]],ILACLISTE[#All],2,0),"")</f>
        <v/>
      </c>
      <c r="D3451" s="2">
        <f t="shared" si="53"/>
        <v>0</v>
      </c>
      <c r="E3451" s="14" t="str">
        <f>IFERROR(GIZLI!G3446,"")</f>
        <v/>
      </c>
    </row>
    <row r="3452" spans="2:5" x14ac:dyDescent="0.3">
      <c r="B3452" s="2" t="str">
        <f>MID(TableQR[[#This Row],[QR CODES]],4,13)</f>
        <v/>
      </c>
      <c r="C3452" s="2" t="str">
        <f>IFERROR(VLOOKUP(TableQR[[#This Row],[BARCODES]],ILACLISTE[#All],2,0),"")</f>
        <v/>
      </c>
      <c r="D3452" s="2">
        <f t="shared" si="53"/>
        <v>0</v>
      </c>
      <c r="E3452" s="14" t="str">
        <f>IFERROR(GIZLI!G3447,"")</f>
        <v/>
      </c>
    </row>
    <row r="3453" spans="2:5" x14ac:dyDescent="0.3">
      <c r="B3453" s="2" t="str">
        <f>MID(TableQR[[#This Row],[QR CODES]],4,13)</f>
        <v/>
      </c>
      <c r="C3453" s="2" t="str">
        <f>IFERROR(VLOOKUP(TableQR[[#This Row],[BARCODES]],ILACLISTE[#All],2,0),"")</f>
        <v/>
      </c>
      <c r="D3453" s="2">
        <f t="shared" si="53"/>
        <v>0</v>
      </c>
      <c r="E3453" s="14" t="str">
        <f>IFERROR(GIZLI!G3448,"")</f>
        <v/>
      </c>
    </row>
    <row r="3454" spans="2:5" x14ac:dyDescent="0.3">
      <c r="B3454" s="2" t="str">
        <f>MID(TableQR[[#This Row],[QR CODES]],4,13)</f>
        <v/>
      </c>
      <c r="C3454" s="2" t="str">
        <f>IFERROR(VLOOKUP(TableQR[[#This Row],[BARCODES]],ILACLISTE[#All],2,0),"")</f>
        <v/>
      </c>
      <c r="D3454" s="2">
        <f t="shared" si="53"/>
        <v>0</v>
      </c>
      <c r="E3454" s="14" t="str">
        <f>IFERROR(GIZLI!G3449,"")</f>
        <v/>
      </c>
    </row>
    <row r="3455" spans="2:5" x14ac:dyDescent="0.3">
      <c r="B3455" s="2" t="str">
        <f>MID(TableQR[[#This Row],[QR CODES]],4,13)</f>
        <v/>
      </c>
      <c r="C3455" s="2" t="str">
        <f>IFERROR(VLOOKUP(TableQR[[#This Row],[BARCODES]],ILACLISTE[#All],2,0),"")</f>
        <v/>
      </c>
      <c r="D3455" s="2">
        <f t="shared" si="53"/>
        <v>0</v>
      </c>
      <c r="E3455" s="14" t="str">
        <f>IFERROR(GIZLI!G3450,"")</f>
        <v/>
      </c>
    </row>
    <row r="3456" spans="2:5" x14ac:dyDescent="0.3">
      <c r="B3456" s="2" t="str">
        <f>MID(TableQR[[#This Row],[QR CODES]],4,13)</f>
        <v/>
      </c>
      <c r="C3456" s="2" t="str">
        <f>IFERROR(VLOOKUP(TableQR[[#This Row],[BARCODES]],ILACLISTE[#All],2,0),"")</f>
        <v/>
      </c>
      <c r="D3456" s="2">
        <f t="shared" si="53"/>
        <v>0</v>
      </c>
      <c r="E3456" s="14" t="str">
        <f>IFERROR(GIZLI!G3451,"")</f>
        <v/>
      </c>
    </row>
    <row r="3457" spans="2:5" x14ac:dyDescent="0.3">
      <c r="B3457" s="2" t="str">
        <f>MID(TableQR[[#This Row],[QR CODES]],4,13)</f>
        <v/>
      </c>
      <c r="C3457" s="2" t="str">
        <f>IFERROR(VLOOKUP(TableQR[[#This Row],[BARCODES]],ILACLISTE[#All],2,0),"")</f>
        <v/>
      </c>
      <c r="D3457" s="2">
        <f t="shared" si="53"/>
        <v>0</v>
      </c>
      <c r="E3457" s="14" t="str">
        <f>IFERROR(GIZLI!G3452,"")</f>
        <v/>
      </c>
    </row>
    <row r="3458" spans="2:5" x14ac:dyDescent="0.3">
      <c r="B3458" s="2" t="str">
        <f>MID(TableQR[[#This Row],[QR CODES]],4,13)</f>
        <v/>
      </c>
      <c r="C3458" s="2" t="str">
        <f>IFERROR(VLOOKUP(TableQR[[#This Row],[BARCODES]],ILACLISTE[#All],2,0),"")</f>
        <v/>
      </c>
      <c r="D3458" s="2">
        <f t="shared" si="53"/>
        <v>0</v>
      </c>
      <c r="E3458" s="14" t="str">
        <f>IFERROR(GIZLI!G3453,"")</f>
        <v/>
      </c>
    </row>
    <row r="3459" spans="2:5" x14ac:dyDescent="0.3">
      <c r="B3459" s="2" t="str">
        <f>MID(TableQR[[#This Row],[QR CODES]],4,13)</f>
        <v/>
      </c>
      <c r="C3459" s="2" t="str">
        <f>IFERROR(VLOOKUP(TableQR[[#This Row],[BARCODES]],ILACLISTE[#All],2,0),"")</f>
        <v/>
      </c>
      <c r="D3459" s="2">
        <f t="shared" si="53"/>
        <v>0</v>
      </c>
      <c r="E3459" s="14" t="str">
        <f>IFERROR(GIZLI!G3454,"")</f>
        <v/>
      </c>
    </row>
    <row r="3460" spans="2:5" x14ac:dyDescent="0.3">
      <c r="B3460" s="2" t="str">
        <f>MID(TableQR[[#This Row],[QR CODES]],4,13)</f>
        <v/>
      </c>
      <c r="C3460" s="2" t="str">
        <f>IFERROR(VLOOKUP(TableQR[[#This Row],[BARCODES]],ILACLISTE[#All],2,0),"")</f>
        <v/>
      </c>
      <c r="D3460" s="2">
        <f t="shared" si="53"/>
        <v>0</v>
      </c>
      <c r="E3460" s="14" t="str">
        <f>IFERROR(GIZLI!G3455,"")</f>
        <v/>
      </c>
    </row>
    <row r="3461" spans="2:5" x14ac:dyDescent="0.3">
      <c r="B3461" s="2" t="str">
        <f>MID(TableQR[[#This Row],[QR CODES]],4,13)</f>
        <v/>
      </c>
      <c r="C3461" s="2" t="str">
        <f>IFERROR(VLOOKUP(TableQR[[#This Row],[BARCODES]],ILACLISTE[#All],2,0),"")</f>
        <v/>
      </c>
      <c r="D3461" s="2">
        <f t="shared" si="53"/>
        <v>0</v>
      </c>
      <c r="E3461" s="14" t="str">
        <f>IFERROR(GIZLI!G3456,"")</f>
        <v/>
      </c>
    </row>
    <row r="3462" spans="2:5" x14ac:dyDescent="0.3">
      <c r="B3462" s="2" t="str">
        <f>MID(TableQR[[#This Row],[QR CODES]],4,13)</f>
        <v/>
      </c>
      <c r="C3462" s="2" t="str">
        <f>IFERROR(VLOOKUP(TableQR[[#This Row],[BARCODES]],ILACLISTE[#All],2,0),"")</f>
        <v/>
      </c>
      <c r="D3462" s="2">
        <f t="shared" si="53"/>
        <v>0</v>
      </c>
      <c r="E3462" s="14" t="str">
        <f>IFERROR(GIZLI!G3457,"")</f>
        <v/>
      </c>
    </row>
    <row r="3463" spans="2:5" x14ac:dyDescent="0.3">
      <c r="B3463" s="2" t="str">
        <f>MID(TableQR[[#This Row],[QR CODES]],4,13)</f>
        <v/>
      </c>
      <c r="C3463" s="2" t="str">
        <f>IFERROR(VLOOKUP(TableQR[[#This Row],[BARCODES]],ILACLISTE[#All],2,0),"")</f>
        <v/>
      </c>
      <c r="D3463" s="2">
        <f t="shared" si="53"/>
        <v>0</v>
      </c>
      <c r="E3463" s="14" t="str">
        <f>IFERROR(GIZLI!G3458,"")</f>
        <v/>
      </c>
    </row>
    <row r="3464" spans="2:5" x14ac:dyDescent="0.3">
      <c r="B3464" s="2" t="str">
        <f>MID(TableQR[[#This Row],[QR CODES]],4,13)</f>
        <v/>
      </c>
      <c r="C3464" s="2" t="str">
        <f>IFERROR(VLOOKUP(TableQR[[#This Row],[BARCODES]],ILACLISTE[#All],2,0),"")</f>
        <v/>
      </c>
      <c r="D3464" s="2">
        <f t="shared" ref="D3464:D3527" si="54">COUNTIF(B3464:B7457,IF(B3464="",66666,B3464))</f>
        <v>0</v>
      </c>
      <c r="E3464" s="14" t="str">
        <f>IFERROR(GIZLI!G3459,"")</f>
        <v/>
      </c>
    </row>
    <row r="3465" spans="2:5" x14ac:dyDescent="0.3">
      <c r="B3465" s="2" t="str">
        <f>MID(TableQR[[#This Row],[QR CODES]],4,13)</f>
        <v/>
      </c>
      <c r="C3465" s="2" t="str">
        <f>IFERROR(VLOOKUP(TableQR[[#This Row],[BARCODES]],ILACLISTE[#All],2,0),"")</f>
        <v/>
      </c>
      <c r="D3465" s="2">
        <f t="shared" si="54"/>
        <v>0</v>
      </c>
      <c r="E3465" s="14" t="str">
        <f>IFERROR(GIZLI!G3460,"")</f>
        <v/>
      </c>
    </row>
    <row r="3466" spans="2:5" x14ac:dyDescent="0.3">
      <c r="B3466" s="2" t="str">
        <f>MID(TableQR[[#This Row],[QR CODES]],4,13)</f>
        <v/>
      </c>
      <c r="C3466" s="2" t="str">
        <f>IFERROR(VLOOKUP(TableQR[[#This Row],[BARCODES]],ILACLISTE[#All],2,0),"")</f>
        <v/>
      </c>
      <c r="D3466" s="2">
        <f t="shared" si="54"/>
        <v>0</v>
      </c>
      <c r="E3466" s="14" t="str">
        <f>IFERROR(GIZLI!G3461,"")</f>
        <v/>
      </c>
    </row>
    <row r="3467" spans="2:5" x14ac:dyDescent="0.3">
      <c r="B3467" s="2" t="str">
        <f>MID(TableQR[[#This Row],[QR CODES]],4,13)</f>
        <v/>
      </c>
      <c r="C3467" s="2" t="str">
        <f>IFERROR(VLOOKUP(TableQR[[#This Row],[BARCODES]],ILACLISTE[#All],2,0),"")</f>
        <v/>
      </c>
      <c r="D3467" s="2">
        <f t="shared" si="54"/>
        <v>0</v>
      </c>
      <c r="E3467" s="14" t="str">
        <f>IFERROR(GIZLI!G3462,"")</f>
        <v/>
      </c>
    </row>
    <row r="3468" spans="2:5" x14ac:dyDescent="0.3">
      <c r="B3468" s="2" t="str">
        <f>MID(TableQR[[#This Row],[QR CODES]],4,13)</f>
        <v/>
      </c>
      <c r="C3468" s="2" t="str">
        <f>IFERROR(VLOOKUP(TableQR[[#This Row],[BARCODES]],ILACLISTE[#All],2,0),"")</f>
        <v/>
      </c>
      <c r="D3468" s="2">
        <f t="shared" si="54"/>
        <v>0</v>
      </c>
      <c r="E3468" s="14" t="str">
        <f>IFERROR(GIZLI!G3463,"")</f>
        <v/>
      </c>
    </row>
    <row r="3469" spans="2:5" x14ac:dyDescent="0.3">
      <c r="B3469" s="2" t="str">
        <f>MID(TableQR[[#This Row],[QR CODES]],4,13)</f>
        <v/>
      </c>
      <c r="C3469" s="2" t="str">
        <f>IFERROR(VLOOKUP(TableQR[[#This Row],[BARCODES]],ILACLISTE[#All],2,0),"")</f>
        <v/>
      </c>
      <c r="D3469" s="2">
        <f t="shared" si="54"/>
        <v>0</v>
      </c>
      <c r="E3469" s="14" t="str">
        <f>IFERROR(GIZLI!G3464,"")</f>
        <v/>
      </c>
    </row>
    <row r="3470" spans="2:5" x14ac:dyDescent="0.3">
      <c r="B3470" s="2" t="str">
        <f>MID(TableQR[[#This Row],[QR CODES]],4,13)</f>
        <v/>
      </c>
      <c r="C3470" s="2" t="str">
        <f>IFERROR(VLOOKUP(TableQR[[#This Row],[BARCODES]],ILACLISTE[#All],2,0),"")</f>
        <v/>
      </c>
      <c r="D3470" s="2">
        <f t="shared" si="54"/>
        <v>0</v>
      </c>
      <c r="E3470" s="14" t="str">
        <f>IFERROR(GIZLI!G3465,"")</f>
        <v/>
      </c>
    </row>
    <row r="3471" spans="2:5" x14ac:dyDescent="0.3">
      <c r="B3471" s="2" t="str">
        <f>MID(TableQR[[#This Row],[QR CODES]],4,13)</f>
        <v/>
      </c>
      <c r="C3471" s="2" t="str">
        <f>IFERROR(VLOOKUP(TableQR[[#This Row],[BARCODES]],ILACLISTE[#All],2,0),"")</f>
        <v/>
      </c>
      <c r="D3471" s="2">
        <f t="shared" si="54"/>
        <v>0</v>
      </c>
      <c r="E3471" s="14" t="str">
        <f>IFERROR(GIZLI!G3466,"")</f>
        <v/>
      </c>
    </row>
    <row r="3472" spans="2:5" x14ac:dyDescent="0.3">
      <c r="B3472" s="2" t="str">
        <f>MID(TableQR[[#This Row],[QR CODES]],4,13)</f>
        <v/>
      </c>
      <c r="C3472" s="2" t="str">
        <f>IFERROR(VLOOKUP(TableQR[[#This Row],[BARCODES]],ILACLISTE[#All],2,0),"")</f>
        <v/>
      </c>
      <c r="D3472" s="2">
        <f t="shared" si="54"/>
        <v>0</v>
      </c>
      <c r="E3472" s="14" t="str">
        <f>IFERROR(GIZLI!G3467,"")</f>
        <v/>
      </c>
    </row>
    <row r="3473" spans="2:5" x14ac:dyDescent="0.3">
      <c r="B3473" s="2" t="str">
        <f>MID(TableQR[[#This Row],[QR CODES]],4,13)</f>
        <v/>
      </c>
      <c r="C3473" s="2" t="str">
        <f>IFERROR(VLOOKUP(TableQR[[#This Row],[BARCODES]],ILACLISTE[#All],2,0),"")</f>
        <v/>
      </c>
      <c r="D3473" s="2">
        <f t="shared" si="54"/>
        <v>0</v>
      </c>
      <c r="E3473" s="14" t="str">
        <f>IFERROR(GIZLI!G3468,"")</f>
        <v/>
      </c>
    </row>
    <row r="3474" spans="2:5" x14ac:dyDescent="0.3">
      <c r="B3474" s="2" t="str">
        <f>MID(TableQR[[#This Row],[QR CODES]],4,13)</f>
        <v/>
      </c>
      <c r="C3474" s="2" t="str">
        <f>IFERROR(VLOOKUP(TableQR[[#This Row],[BARCODES]],ILACLISTE[#All],2,0),"")</f>
        <v/>
      </c>
      <c r="D3474" s="2">
        <f t="shared" si="54"/>
        <v>0</v>
      </c>
      <c r="E3474" s="14" t="str">
        <f>IFERROR(GIZLI!G3469,"")</f>
        <v/>
      </c>
    </row>
    <row r="3475" spans="2:5" x14ac:dyDescent="0.3">
      <c r="B3475" s="2" t="str">
        <f>MID(TableQR[[#This Row],[QR CODES]],4,13)</f>
        <v/>
      </c>
      <c r="C3475" s="2" t="str">
        <f>IFERROR(VLOOKUP(TableQR[[#This Row],[BARCODES]],ILACLISTE[#All],2,0),"")</f>
        <v/>
      </c>
      <c r="D3475" s="2">
        <f t="shared" si="54"/>
        <v>0</v>
      </c>
      <c r="E3475" s="14" t="str">
        <f>IFERROR(GIZLI!G3470,"")</f>
        <v/>
      </c>
    </row>
    <row r="3476" spans="2:5" x14ac:dyDescent="0.3">
      <c r="B3476" s="2" t="str">
        <f>MID(TableQR[[#This Row],[QR CODES]],4,13)</f>
        <v/>
      </c>
      <c r="C3476" s="2" t="str">
        <f>IFERROR(VLOOKUP(TableQR[[#This Row],[BARCODES]],ILACLISTE[#All],2,0),"")</f>
        <v/>
      </c>
      <c r="D3476" s="2">
        <f t="shared" si="54"/>
        <v>0</v>
      </c>
      <c r="E3476" s="14" t="str">
        <f>IFERROR(GIZLI!G3471,"")</f>
        <v/>
      </c>
    </row>
    <row r="3477" spans="2:5" x14ac:dyDescent="0.3">
      <c r="B3477" s="2" t="str">
        <f>MID(TableQR[[#This Row],[QR CODES]],4,13)</f>
        <v/>
      </c>
      <c r="C3477" s="2" t="str">
        <f>IFERROR(VLOOKUP(TableQR[[#This Row],[BARCODES]],ILACLISTE[#All],2,0),"")</f>
        <v/>
      </c>
      <c r="D3477" s="2">
        <f t="shared" si="54"/>
        <v>0</v>
      </c>
      <c r="E3477" s="14" t="str">
        <f>IFERROR(GIZLI!G3472,"")</f>
        <v/>
      </c>
    </row>
    <row r="3478" spans="2:5" x14ac:dyDescent="0.3">
      <c r="B3478" s="2" t="str">
        <f>MID(TableQR[[#This Row],[QR CODES]],4,13)</f>
        <v/>
      </c>
      <c r="C3478" s="2" t="str">
        <f>IFERROR(VLOOKUP(TableQR[[#This Row],[BARCODES]],ILACLISTE[#All],2,0),"")</f>
        <v/>
      </c>
      <c r="D3478" s="2">
        <f t="shared" si="54"/>
        <v>0</v>
      </c>
      <c r="E3478" s="14" t="str">
        <f>IFERROR(GIZLI!G3473,"")</f>
        <v/>
      </c>
    </row>
    <row r="3479" spans="2:5" x14ac:dyDescent="0.3">
      <c r="B3479" s="2" t="str">
        <f>MID(TableQR[[#This Row],[QR CODES]],4,13)</f>
        <v/>
      </c>
      <c r="C3479" s="2" t="str">
        <f>IFERROR(VLOOKUP(TableQR[[#This Row],[BARCODES]],ILACLISTE[#All],2,0),"")</f>
        <v/>
      </c>
      <c r="D3479" s="2">
        <f t="shared" si="54"/>
        <v>0</v>
      </c>
      <c r="E3479" s="14" t="str">
        <f>IFERROR(GIZLI!G3474,"")</f>
        <v/>
      </c>
    </row>
    <row r="3480" spans="2:5" x14ac:dyDescent="0.3">
      <c r="B3480" s="2" t="str">
        <f>MID(TableQR[[#This Row],[QR CODES]],4,13)</f>
        <v/>
      </c>
      <c r="C3480" s="2" t="str">
        <f>IFERROR(VLOOKUP(TableQR[[#This Row],[BARCODES]],ILACLISTE[#All],2,0),"")</f>
        <v/>
      </c>
      <c r="D3480" s="2">
        <f t="shared" si="54"/>
        <v>0</v>
      </c>
      <c r="E3480" s="14" t="str">
        <f>IFERROR(GIZLI!G3475,"")</f>
        <v/>
      </c>
    </row>
    <row r="3481" spans="2:5" x14ac:dyDescent="0.3">
      <c r="B3481" s="2" t="str">
        <f>MID(TableQR[[#This Row],[QR CODES]],4,13)</f>
        <v/>
      </c>
      <c r="C3481" s="2" t="str">
        <f>IFERROR(VLOOKUP(TableQR[[#This Row],[BARCODES]],ILACLISTE[#All],2,0),"")</f>
        <v/>
      </c>
      <c r="D3481" s="2">
        <f t="shared" si="54"/>
        <v>0</v>
      </c>
      <c r="E3481" s="14" t="str">
        <f>IFERROR(GIZLI!G3476,"")</f>
        <v/>
      </c>
    </row>
    <row r="3482" spans="2:5" x14ac:dyDescent="0.3">
      <c r="B3482" s="2" t="str">
        <f>MID(TableQR[[#This Row],[QR CODES]],4,13)</f>
        <v/>
      </c>
      <c r="C3482" s="2" t="str">
        <f>IFERROR(VLOOKUP(TableQR[[#This Row],[BARCODES]],ILACLISTE[#All],2,0),"")</f>
        <v/>
      </c>
      <c r="D3482" s="2">
        <f t="shared" si="54"/>
        <v>0</v>
      </c>
      <c r="E3482" s="14" t="str">
        <f>IFERROR(GIZLI!G3477,"")</f>
        <v/>
      </c>
    </row>
    <row r="3483" spans="2:5" x14ac:dyDescent="0.3">
      <c r="B3483" s="2" t="str">
        <f>MID(TableQR[[#This Row],[QR CODES]],4,13)</f>
        <v/>
      </c>
      <c r="C3483" s="2" t="str">
        <f>IFERROR(VLOOKUP(TableQR[[#This Row],[BARCODES]],ILACLISTE[#All],2,0),"")</f>
        <v/>
      </c>
      <c r="D3483" s="2">
        <f t="shared" si="54"/>
        <v>0</v>
      </c>
      <c r="E3483" s="14" t="str">
        <f>IFERROR(GIZLI!G3478,"")</f>
        <v/>
      </c>
    </row>
    <row r="3484" spans="2:5" x14ac:dyDescent="0.3">
      <c r="B3484" s="2" t="str">
        <f>MID(TableQR[[#This Row],[QR CODES]],4,13)</f>
        <v/>
      </c>
      <c r="C3484" s="2" t="str">
        <f>IFERROR(VLOOKUP(TableQR[[#This Row],[BARCODES]],ILACLISTE[#All],2,0),"")</f>
        <v/>
      </c>
      <c r="D3484" s="2">
        <f t="shared" si="54"/>
        <v>0</v>
      </c>
      <c r="E3484" s="14" t="str">
        <f>IFERROR(GIZLI!G3479,"")</f>
        <v/>
      </c>
    </row>
    <row r="3485" spans="2:5" x14ac:dyDescent="0.3">
      <c r="B3485" s="2" t="str">
        <f>MID(TableQR[[#This Row],[QR CODES]],4,13)</f>
        <v/>
      </c>
      <c r="C3485" s="2" t="str">
        <f>IFERROR(VLOOKUP(TableQR[[#This Row],[BARCODES]],ILACLISTE[#All],2,0),"")</f>
        <v/>
      </c>
      <c r="D3485" s="2">
        <f t="shared" si="54"/>
        <v>0</v>
      </c>
      <c r="E3485" s="14" t="str">
        <f>IFERROR(GIZLI!G3480,"")</f>
        <v/>
      </c>
    </row>
    <row r="3486" spans="2:5" x14ac:dyDescent="0.3">
      <c r="B3486" s="2" t="str">
        <f>MID(TableQR[[#This Row],[QR CODES]],4,13)</f>
        <v/>
      </c>
      <c r="C3486" s="2" t="str">
        <f>IFERROR(VLOOKUP(TableQR[[#This Row],[BARCODES]],ILACLISTE[#All],2,0),"")</f>
        <v/>
      </c>
      <c r="D3486" s="2">
        <f t="shared" si="54"/>
        <v>0</v>
      </c>
      <c r="E3486" s="14" t="str">
        <f>IFERROR(GIZLI!G3481,"")</f>
        <v/>
      </c>
    </row>
    <row r="3487" spans="2:5" x14ac:dyDescent="0.3">
      <c r="B3487" s="2" t="str">
        <f>MID(TableQR[[#This Row],[QR CODES]],4,13)</f>
        <v/>
      </c>
      <c r="C3487" s="2" t="str">
        <f>IFERROR(VLOOKUP(TableQR[[#This Row],[BARCODES]],ILACLISTE[#All],2,0),"")</f>
        <v/>
      </c>
      <c r="D3487" s="2">
        <f t="shared" si="54"/>
        <v>0</v>
      </c>
      <c r="E3487" s="14" t="str">
        <f>IFERROR(GIZLI!G3482,"")</f>
        <v/>
      </c>
    </row>
    <row r="3488" spans="2:5" x14ac:dyDescent="0.3">
      <c r="B3488" s="2" t="str">
        <f>MID(TableQR[[#This Row],[QR CODES]],4,13)</f>
        <v/>
      </c>
      <c r="C3488" s="2" t="str">
        <f>IFERROR(VLOOKUP(TableQR[[#This Row],[BARCODES]],ILACLISTE[#All],2,0),"")</f>
        <v/>
      </c>
      <c r="D3488" s="2">
        <f t="shared" si="54"/>
        <v>0</v>
      </c>
      <c r="E3488" s="14" t="str">
        <f>IFERROR(GIZLI!G3483,"")</f>
        <v/>
      </c>
    </row>
    <row r="3489" spans="2:5" x14ac:dyDescent="0.3">
      <c r="B3489" s="2" t="str">
        <f>MID(TableQR[[#This Row],[QR CODES]],4,13)</f>
        <v/>
      </c>
      <c r="C3489" s="2" t="str">
        <f>IFERROR(VLOOKUP(TableQR[[#This Row],[BARCODES]],ILACLISTE[#All],2,0),"")</f>
        <v/>
      </c>
      <c r="D3489" s="2">
        <f t="shared" si="54"/>
        <v>0</v>
      </c>
      <c r="E3489" s="14" t="str">
        <f>IFERROR(GIZLI!G3484,"")</f>
        <v/>
      </c>
    </row>
    <row r="3490" spans="2:5" x14ac:dyDescent="0.3">
      <c r="B3490" s="2" t="str">
        <f>MID(TableQR[[#This Row],[QR CODES]],4,13)</f>
        <v/>
      </c>
      <c r="C3490" s="2" t="str">
        <f>IFERROR(VLOOKUP(TableQR[[#This Row],[BARCODES]],ILACLISTE[#All],2,0),"")</f>
        <v/>
      </c>
      <c r="D3490" s="2">
        <f t="shared" si="54"/>
        <v>0</v>
      </c>
      <c r="E3490" s="14" t="str">
        <f>IFERROR(GIZLI!G3485,"")</f>
        <v/>
      </c>
    </row>
    <row r="3491" spans="2:5" x14ac:dyDescent="0.3">
      <c r="B3491" s="2" t="str">
        <f>MID(TableQR[[#This Row],[QR CODES]],4,13)</f>
        <v/>
      </c>
      <c r="C3491" s="2" t="str">
        <f>IFERROR(VLOOKUP(TableQR[[#This Row],[BARCODES]],ILACLISTE[#All],2,0),"")</f>
        <v/>
      </c>
      <c r="D3491" s="2">
        <f t="shared" si="54"/>
        <v>0</v>
      </c>
      <c r="E3491" s="14" t="str">
        <f>IFERROR(GIZLI!G3486,"")</f>
        <v/>
      </c>
    </row>
    <row r="3492" spans="2:5" x14ac:dyDescent="0.3">
      <c r="B3492" s="2" t="str">
        <f>MID(TableQR[[#This Row],[QR CODES]],4,13)</f>
        <v/>
      </c>
      <c r="C3492" s="2" t="str">
        <f>IFERROR(VLOOKUP(TableQR[[#This Row],[BARCODES]],ILACLISTE[#All],2,0),"")</f>
        <v/>
      </c>
      <c r="D3492" s="2">
        <f t="shared" si="54"/>
        <v>0</v>
      </c>
      <c r="E3492" s="14" t="str">
        <f>IFERROR(GIZLI!G3487,"")</f>
        <v/>
      </c>
    </row>
    <row r="3493" spans="2:5" x14ac:dyDescent="0.3">
      <c r="B3493" s="2" t="str">
        <f>MID(TableQR[[#This Row],[QR CODES]],4,13)</f>
        <v/>
      </c>
      <c r="C3493" s="2" t="str">
        <f>IFERROR(VLOOKUP(TableQR[[#This Row],[BARCODES]],ILACLISTE[#All],2,0),"")</f>
        <v/>
      </c>
      <c r="D3493" s="2">
        <f t="shared" si="54"/>
        <v>0</v>
      </c>
      <c r="E3493" s="14" t="str">
        <f>IFERROR(GIZLI!G3488,"")</f>
        <v/>
      </c>
    </row>
    <row r="3494" spans="2:5" x14ac:dyDescent="0.3">
      <c r="B3494" s="2" t="str">
        <f>MID(TableQR[[#This Row],[QR CODES]],4,13)</f>
        <v/>
      </c>
      <c r="C3494" s="2" t="str">
        <f>IFERROR(VLOOKUP(TableQR[[#This Row],[BARCODES]],ILACLISTE[#All],2,0),"")</f>
        <v/>
      </c>
      <c r="D3494" s="2">
        <f t="shared" si="54"/>
        <v>0</v>
      </c>
      <c r="E3494" s="14" t="str">
        <f>IFERROR(GIZLI!G3489,"")</f>
        <v/>
      </c>
    </row>
    <row r="3495" spans="2:5" x14ac:dyDescent="0.3">
      <c r="B3495" s="2" t="str">
        <f>MID(TableQR[[#This Row],[QR CODES]],4,13)</f>
        <v/>
      </c>
      <c r="C3495" s="2" t="str">
        <f>IFERROR(VLOOKUP(TableQR[[#This Row],[BARCODES]],ILACLISTE[#All],2,0),"")</f>
        <v/>
      </c>
      <c r="D3495" s="2">
        <f t="shared" si="54"/>
        <v>0</v>
      </c>
      <c r="E3495" s="14" t="str">
        <f>IFERROR(GIZLI!G3490,"")</f>
        <v/>
      </c>
    </row>
    <row r="3496" spans="2:5" x14ac:dyDescent="0.3">
      <c r="B3496" s="2" t="str">
        <f>MID(TableQR[[#This Row],[QR CODES]],4,13)</f>
        <v/>
      </c>
      <c r="C3496" s="2" t="str">
        <f>IFERROR(VLOOKUP(TableQR[[#This Row],[BARCODES]],ILACLISTE[#All],2,0),"")</f>
        <v/>
      </c>
      <c r="D3496" s="2">
        <f t="shared" si="54"/>
        <v>0</v>
      </c>
      <c r="E3496" s="14" t="str">
        <f>IFERROR(GIZLI!G3491,"")</f>
        <v/>
      </c>
    </row>
    <row r="3497" spans="2:5" x14ac:dyDescent="0.3">
      <c r="B3497" s="2" t="str">
        <f>MID(TableQR[[#This Row],[QR CODES]],4,13)</f>
        <v/>
      </c>
      <c r="C3497" s="2" t="str">
        <f>IFERROR(VLOOKUP(TableQR[[#This Row],[BARCODES]],ILACLISTE[#All],2,0),"")</f>
        <v/>
      </c>
      <c r="D3497" s="2">
        <f t="shared" si="54"/>
        <v>0</v>
      </c>
      <c r="E3497" s="14" t="str">
        <f>IFERROR(GIZLI!G3492,"")</f>
        <v/>
      </c>
    </row>
    <row r="3498" spans="2:5" x14ac:dyDescent="0.3">
      <c r="B3498" s="2" t="str">
        <f>MID(TableQR[[#This Row],[QR CODES]],4,13)</f>
        <v/>
      </c>
      <c r="C3498" s="2" t="str">
        <f>IFERROR(VLOOKUP(TableQR[[#This Row],[BARCODES]],ILACLISTE[#All],2,0),"")</f>
        <v/>
      </c>
      <c r="D3498" s="2">
        <f t="shared" si="54"/>
        <v>0</v>
      </c>
      <c r="E3498" s="14" t="str">
        <f>IFERROR(GIZLI!G3493,"")</f>
        <v/>
      </c>
    </row>
    <row r="3499" spans="2:5" x14ac:dyDescent="0.3">
      <c r="B3499" s="2" t="str">
        <f>MID(TableQR[[#This Row],[QR CODES]],4,13)</f>
        <v/>
      </c>
      <c r="C3499" s="2" t="str">
        <f>IFERROR(VLOOKUP(TableQR[[#This Row],[BARCODES]],ILACLISTE[#All],2,0),"")</f>
        <v/>
      </c>
      <c r="D3499" s="2">
        <f t="shared" si="54"/>
        <v>0</v>
      </c>
      <c r="E3499" s="14" t="str">
        <f>IFERROR(GIZLI!G3494,"")</f>
        <v/>
      </c>
    </row>
    <row r="3500" spans="2:5" x14ac:dyDescent="0.3">
      <c r="B3500" s="2" t="str">
        <f>MID(TableQR[[#This Row],[QR CODES]],4,13)</f>
        <v/>
      </c>
      <c r="C3500" s="2" t="str">
        <f>IFERROR(VLOOKUP(TableQR[[#This Row],[BARCODES]],ILACLISTE[#All],2,0),"")</f>
        <v/>
      </c>
      <c r="D3500" s="2">
        <f t="shared" si="54"/>
        <v>0</v>
      </c>
      <c r="E3500" s="14" t="str">
        <f>IFERROR(GIZLI!G3495,"")</f>
        <v/>
      </c>
    </row>
    <row r="3501" spans="2:5" x14ac:dyDescent="0.3">
      <c r="B3501" s="2" t="str">
        <f>MID(TableQR[[#This Row],[QR CODES]],4,13)</f>
        <v/>
      </c>
      <c r="C3501" s="2" t="str">
        <f>IFERROR(VLOOKUP(TableQR[[#This Row],[BARCODES]],ILACLISTE[#All],2,0),"")</f>
        <v/>
      </c>
      <c r="D3501" s="2">
        <f t="shared" si="54"/>
        <v>0</v>
      </c>
      <c r="E3501" s="14" t="str">
        <f>IFERROR(GIZLI!G3496,"")</f>
        <v/>
      </c>
    </row>
    <row r="3502" spans="2:5" x14ac:dyDescent="0.3">
      <c r="B3502" s="2" t="str">
        <f>MID(TableQR[[#This Row],[QR CODES]],4,13)</f>
        <v/>
      </c>
      <c r="C3502" s="2" t="str">
        <f>IFERROR(VLOOKUP(TableQR[[#This Row],[BARCODES]],ILACLISTE[#All],2,0),"")</f>
        <v/>
      </c>
      <c r="D3502" s="2">
        <f t="shared" si="54"/>
        <v>0</v>
      </c>
      <c r="E3502" s="14" t="str">
        <f>IFERROR(GIZLI!G3497,"")</f>
        <v/>
      </c>
    </row>
    <row r="3503" spans="2:5" x14ac:dyDescent="0.3">
      <c r="B3503" s="2" t="str">
        <f>MID(TableQR[[#This Row],[QR CODES]],4,13)</f>
        <v/>
      </c>
      <c r="C3503" s="2" t="str">
        <f>IFERROR(VLOOKUP(TableQR[[#This Row],[BARCODES]],ILACLISTE[#All],2,0),"")</f>
        <v/>
      </c>
      <c r="D3503" s="2">
        <f t="shared" si="54"/>
        <v>0</v>
      </c>
      <c r="E3503" s="14" t="str">
        <f>IFERROR(GIZLI!G3498,"")</f>
        <v/>
      </c>
    </row>
    <row r="3504" spans="2:5" x14ac:dyDescent="0.3">
      <c r="B3504" s="2" t="str">
        <f>MID(TableQR[[#This Row],[QR CODES]],4,13)</f>
        <v/>
      </c>
      <c r="C3504" s="2" t="str">
        <f>IFERROR(VLOOKUP(TableQR[[#This Row],[BARCODES]],ILACLISTE[#All],2,0),"")</f>
        <v/>
      </c>
      <c r="D3504" s="2">
        <f t="shared" si="54"/>
        <v>0</v>
      </c>
      <c r="E3504" s="14" t="str">
        <f>IFERROR(GIZLI!G3499,"")</f>
        <v/>
      </c>
    </row>
    <row r="3505" spans="2:5" x14ac:dyDescent="0.3">
      <c r="B3505" s="2" t="str">
        <f>MID(TableQR[[#This Row],[QR CODES]],4,13)</f>
        <v/>
      </c>
      <c r="C3505" s="2" t="str">
        <f>IFERROR(VLOOKUP(TableQR[[#This Row],[BARCODES]],ILACLISTE[#All],2,0),"")</f>
        <v/>
      </c>
      <c r="D3505" s="2">
        <f t="shared" si="54"/>
        <v>0</v>
      </c>
      <c r="E3505" s="14" t="str">
        <f>IFERROR(GIZLI!G3500,"")</f>
        <v/>
      </c>
    </row>
    <row r="3506" spans="2:5" x14ac:dyDescent="0.3">
      <c r="B3506" s="2" t="str">
        <f>MID(TableQR[[#This Row],[QR CODES]],4,13)</f>
        <v/>
      </c>
      <c r="C3506" s="2" t="str">
        <f>IFERROR(VLOOKUP(TableQR[[#This Row],[BARCODES]],ILACLISTE[#All],2,0),"")</f>
        <v/>
      </c>
      <c r="D3506" s="2">
        <f t="shared" si="54"/>
        <v>0</v>
      </c>
      <c r="E3506" s="14" t="str">
        <f>IFERROR(GIZLI!G3501,"")</f>
        <v/>
      </c>
    </row>
    <row r="3507" spans="2:5" x14ac:dyDescent="0.3">
      <c r="B3507" s="2" t="str">
        <f>MID(TableQR[[#This Row],[QR CODES]],4,13)</f>
        <v/>
      </c>
      <c r="C3507" s="2" t="str">
        <f>IFERROR(VLOOKUP(TableQR[[#This Row],[BARCODES]],ILACLISTE[#All],2,0),"")</f>
        <v/>
      </c>
      <c r="D3507" s="2">
        <f t="shared" si="54"/>
        <v>0</v>
      </c>
      <c r="E3507" s="14" t="str">
        <f>IFERROR(GIZLI!G3502,"")</f>
        <v/>
      </c>
    </row>
    <row r="3508" spans="2:5" x14ac:dyDescent="0.3">
      <c r="B3508" s="2" t="str">
        <f>MID(TableQR[[#This Row],[QR CODES]],4,13)</f>
        <v/>
      </c>
      <c r="C3508" s="2" t="str">
        <f>IFERROR(VLOOKUP(TableQR[[#This Row],[BARCODES]],ILACLISTE[#All],2,0),"")</f>
        <v/>
      </c>
      <c r="D3508" s="2">
        <f t="shared" si="54"/>
        <v>0</v>
      </c>
      <c r="E3508" s="14" t="str">
        <f>IFERROR(GIZLI!G3503,"")</f>
        <v/>
      </c>
    </row>
    <row r="3509" spans="2:5" x14ac:dyDescent="0.3">
      <c r="B3509" s="2" t="str">
        <f>MID(TableQR[[#This Row],[QR CODES]],4,13)</f>
        <v/>
      </c>
      <c r="C3509" s="2" t="str">
        <f>IFERROR(VLOOKUP(TableQR[[#This Row],[BARCODES]],ILACLISTE[#All],2,0),"")</f>
        <v/>
      </c>
      <c r="D3509" s="2">
        <f t="shared" si="54"/>
        <v>0</v>
      </c>
      <c r="E3509" s="14" t="str">
        <f>IFERROR(GIZLI!G3504,"")</f>
        <v/>
      </c>
    </row>
    <row r="3510" spans="2:5" x14ac:dyDescent="0.3">
      <c r="B3510" s="2" t="str">
        <f>MID(TableQR[[#This Row],[QR CODES]],4,13)</f>
        <v/>
      </c>
      <c r="C3510" s="2" t="str">
        <f>IFERROR(VLOOKUP(TableQR[[#This Row],[BARCODES]],ILACLISTE[#All],2,0),"")</f>
        <v/>
      </c>
      <c r="D3510" s="2">
        <f t="shared" si="54"/>
        <v>0</v>
      </c>
      <c r="E3510" s="14" t="str">
        <f>IFERROR(GIZLI!G3505,"")</f>
        <v/>
      </c>
    </row>
    <row r="3511" spans="2:5" x14ac:dyDescent="0.3">
      <c r="B3511" s="2" t="str">
        <f>MID(TableQR[[#This Row],[QR CODES]],4,13)</f>
        <v/>
      </c>
      <c r="C3511" s="2" t="str">
        <f>IFERROR(VLOOKUP(TableQR[[#This Row],[BARCODES]],ILACLISTE[#All],2,0),"")</f>
        <v/>
      </c>
      <c r="D3511" s="2">
        <f t="shared" si="54"/>
        <v>0</v>
      </c>
      <c r="E3511" s="14" t="str">
        <f>IFERROR(GIZLI!G3506,"")</f>
        <v/>
      </c>
    </row>
    <row r="3512" spans="2:5" x14ac:dyDescent="0.3">
      <c r="B3512" s="2" t="str">
        <f>MID(TableQR[[#This Row],[QR CODES]],4,13)</f>
        <v/>
      </c>
      <c r="C3512" s="2" t="str">
        <f>IFERROR(VLOOKUP(TableQR[[#This Row],[BARCODES]],ILACLISTE[#All],2,0),"")</f>
        <v/>
      </c>
      <c r="D3512" s="2">
        <f t="shared" si="54"/>
        <v>0</v>
      </c>
      <c r="E3512" s="14" t="str">
        <f>IFERROR(GIZLI!G3507,"")</f>
        <v/>
      </c>
    </row>
    <row r="3513" spans="2:5" x14ac:dyDescent="0.3">
      <c r="B3513" s="2" t="str">
        <f>MID(TableQR[[#This Row],[QR CODES]],4,13)</f>
        <v/>
      </c>
      <c r="C3513" s="2" t="str">
        <f>IFERROR(VLOOKUP(TableQR[[#This Row],[BARCODES]],ILACLISTE[#All],2,0),"")</f>
        <v/>
      </c>
      <c r="D3513" s="2">
        <f t="shared" si="54"/>
        <v>0</v>
      </c>
      <c r="E3513" s="14" t="str">
        <f>IFERROR(GIZLI!G3508,"")</f>
        <v/>
      </c>
    </row>
    <row r="3514" spans="2:5" x14ac:dyDescent="0.3">
      <c r="B3514" s="2" t="str">
        <f>MID(TableQR[[#This Row],[QR CODES]],4,13)</f>
        <v/>
      </c>
      <c r="C3514" s="2" t="str">
        <f>IFERROR(VLOOKUP(TableQR[[#This Row],[BARCODES]],ILACLISTE[#All],2,0),"")</f>
        <v/>
      </c>
      <c r="D3514" s="2">
        <f t="shared" si="54"/>
        <v>0</v>
      </c>
      <c r="E3514" s="14" t="str">
        <f>IFERROR(GIZLI!G3509,"")</f>
        <v/>
      </c>
    </row>
    <row r="3515" spans="2:5" x14ac:dyDescent="0.3">
      <c r="B3515" s="2" t="str">
        <f>MID(TableQR[[#This Row],[QR CODES]],4,13)</f>
        <v/>
      </c>
      <c r="C3515" s="2" t="str">
        <f>IFERROR(VLOOKUP(TableQR[[#This Row],[BARCODES]],ILACLISTE[#All],2,0),"")</f>
        <v/>
      </c>
      <c r="D3515" s="2">
        <f t="shared" si="54"/>
        <v>0</v>
      </c>
      <c r="E3515" s="14" t="str">
        <f>IFERROR(GIZLI!G3510,"")</f>
        <v/>
      </c>
    </row>
    <row r="3516" spans="2:5" x14ac:dyDescent="0.3">
      <c r="B3516" s="2" t="str">
        <f>MID(TableQR[[#This Row],[QR CODES]],4,13)</f>
        <v/>
      </c>
      <c r="C3516" s="2" t="str">
        <f>IFERROR(VLOOKUP(TableQR[[#This Row],[BARCODES]],ILACLISTE[#All],2,0),"")</f>
        <v/>
      </c>
      <c r="D3516" s="2">
        <f t="shared" si="54"/>
        <v>0</v>
      </c>
      <c r="E3516" s="14" t="str">
        <f>IFERROR(GIZLI!G3511,"")</f>
        <v/>
      </c>
    </row>
    <row r="3517" spans="2:5" x14ac:dyDescent="0.3">
      <c r="B3517" s="2" t="str">
        <f>MID(TableQR[[#This Row],[QR CODES]],4,13)</f>
        <v/>
      </c>
      <c r="C3517" s="2" t="str">
        <f>IFERROR(VLOOKUP(TableQR[[#This Row],[BARCODES]],ILACLISTE[#All],2,0),"")</f>
        <v/>
      </c>
      <c r="D3517" s="2">
        <f t="shared" si="54"/>
        <v>0</v>
      </c>
      <c r="E3517" s="14" t="str">
        <f>IFERROR(GIZLI!G3512,"")</f>
        <v/>
      </c>
    </row>
    <row r="3518" spans="2:5" x14ac:dyDescent="0.3">
      <c r="B3518" s="2" t="str">
        <f>MID(TableQR[[#This Row],[QR CODES]],4,13)</f>
        <v/>
      </c>
      <c r="C3518" s="2" t="str">
        <f>IFERROR(VLOOKUP(TableQR[[#This Row],[BARCODES]],ILACLISTE[#All],2,0),"")</f>
        <v/>
      </c>
      <c r="D3518" s="2">
        <f t="shared" si="54"/>
        <v>0</v>
      </c>
      <c r="E3518" s="14" t="str">
        <f>IFERROR(GIZLI!G3513,"")</f>
        <v/>
      </c>
    </row>
    <row r="3519" spans="2:5" x14ac:dyDescent="0.3">
      <c r="B3519" s="2" t="str">
        <f>MID(TableQR[[#This Row],[QR CODES]],4,13)</f>
        <v/>
      </c>
      <c r="C3519" s="2" t="str">
        <f>IFERROR(VLOOKUP(TableQR[[#This Row],[BARCODES]],ILACLISTE[#All],2,0),"")</f>
        <v/>
      </c>
      <c r="D3519" s="2">
        <f t="shared" si="54"/>
        <v>0</v>
      </c>
      <c r="E3519" s="14" t="str">
        <f>IFERROR(GIZLI!G3514,"")</f>
        <v/>
      </c>
    </row>
    <row r="3520" spans="2:5" x14ac:dyDescent="0.3">
      <c r="B3520" s="2" t="str">
        <f>MID(TableQR[[#This Row],[QR CODES]],4,13)</f>
        <v/>
      </c>
      <c r="C3520" s="2" t="str">
        <f>IFERROR(VLOOKUP(TableQR[[#This Row],[BARCODES]],ILACLISTE[#All],2,0),"")</f>
        <v/>
      </c>
      <c r="D3520" s="2">
        <f t="shared" si="54"/>
        <v>0</v>
      </c>
      <c r="E3520" s="14" t="str">
        <f>IFERROR(GIZLI!G3515,"")</f>
        <v/>
      </c>
    </row>
    <row r="3521" spans="2:5" x14ac:dyDescent="0.3">
      <c r="B3521" s="2" t="str">
        <f>MID(TableQR[[#This Row],[QR CODES]],4,13)</f>
        <v/>
      </c>
      <c r="C3521" s="2" t="str">
        <f>IFERROR(VLOOKUP(TableQR[[#This Row],[BARCODES]],ILACLISTE[#All],2,0),"")</f>
        <v/>
      </c>
      <c r="D3521" s="2">
        <f t="shared" si="54"/>
        <v>0</v>
      </c>
      <c r="E3521" s="14" t="str">
        <f>IFERROR(GIZLI!G3516,"")</f>
        <v/>
      </c>
    </row>
    <row r="3522" spans="2:5" x14ac:dyDescent="0.3">
      <c r="B3522" s="2" t="str">
        <f>MID(TableQR[[#This Row],[QR CODES]],4,13)</f>
        <v/>
      </c>
      <c r="C3522" s="2" t="str">
        <f>IFERROR(VLOOKUP(TableQR[[#This Row],[BARCODES]],ILACLISTE[#All],2,0),"")</f>
        <v/>
      </c>
      <c r="D3522" s="2">
        <f t="shared" si="54"/>
        <v>0</v>
      </c>
      <c r="E3522" s="14" t="str">
        <f>IFERROR(GIZLI!G3517,"")</f>
        <v/>
      </c>
    </row>
    <row r="3523" spans="2:5" x14ac:dyDescent="0.3">
      <c r="B3523" s="2" t="str">
        <f>MID(TableQR[[#This Row],[QR CODES]],4,13)</f>
        <v/>
      </c>
      <c r="C3523" s="2" t="str">
        <f>IFERROR(VLOOKUP(TableQR[[#This Row],[BARCODES]],ILACLISTE[#All],2,0),"")</f>
        <v/>
      </c>
      <c r="D3523" s="2">
        <f t="shared" si="54"/>
        <v>0</v>
      </c>
      <c r="E3523" s="14" t="str">
        <f>IFERROR(GIZLI!G3518,"")</f>
        <v/>
      </c>
    </row>
    <row r="3524" spans="2:5" x14ac:dyDescent="0.3">
      <c r="B3524" s="2" t="str">
        <f>MID(TableQR[[#This Row],[QR CODES]],4,13)</f>
        <v/>
      </c>
      <c r="C3524" s="2" t="str">
        <f>IFERROR(VLOOKUP(TableQR[[#This Row],[BARCODES]],ILACLISTE[#All],2,0),"")</f>
        <v/>
      </c>
      <c r="D3524" s="2">
        <f t="shared" si="54"/>
        <v>0</v>
      </c>
      <c r="E3524" s="14" t="str">
        <f>IFERROR(GIZLI!G3519,"")</f>
        <v/>
      </c>
    </row>
    <row r="3525" spans="2:5" x14ac:dyDescent="0.3">
      <c r="B3525" s="2" t="str">
        <f>MID(TableQR[[#This Row],[QR CODES]],4,13)</f>
        <v/>
      </c>
      <c r="C3525" s="2" t="str">
        <f>IFERROR(VLOOKUP(TableQR[[#This Row],[BARCODES]],ILACLISTE[#All],2,0),"")</f>
        <v/>
      </c>
      <c r="D3525" s="2">
        <f t="shared" si="54"/>
        <v>0</v>
      </c>
      <c r="E3525" s="14" t="str">
        <f>IFERROR(GIZLI!G3520,"")</f>
        <v/>
      </c>
    </row>
    <row r="3526" spans="2:5" x14ac:dyDescent="0.3">
      <c r="B3526" s="2" t="str">
        <f>MID(TableQR[[#This Row],[QR CODES]],4,13)</f>
        <v/>
      </c>
      <c r="C3526" s="2" t="str">
        <f>IFERROR(VLOOKUP(TableQR[[#This Row],[BARCODES]],ILACLISTE[#All],2,0),"")</f>
        <v/>
      </c>
      <c r="D3526" s="2">
        <f t="shared" si="54"/>
        <v>0</v>
      </c>
      <c r="E3526" s="14" t="str">
        <f>IFERROR(GIZLI!G3521,"")</f>
        <v/>
      </c>
    </row>
    <row r="3527" spans="2:5" x14ac:dyDescent="0.3">
      <c r="B3527" s="2" t="str">
        <f>MID(TableQR[[#This Row],[QR CODES]],4,13)</f>
        <v/>
      </c>
      <c r="C3527" s="2" t="str">
        <f>IFERROR(VLOOKUP(TableQR[[#This Row],[BARCODES]],ILACLISTE[#All],2,0),"")</f>
        <v/>
      </c>
      <c r="D3527" s="2">
        <f t="shared" si="54"/>
        <v>0</v>
      </c>
      <c r="E3527" s="14" t="str">
        <f>IFERROR(GIZLI!G3522,"")</f>
        <v/>
      </c>
    </row>
    <row r="3528" spans="2:5" x14ac:dyDescent="0.3">
      <c r="B3528" s="2" t="str">
        <f>MID(TableQR[[#This Row],[QR CODES]],4,13)</f>
        <v/>
      </c>
      <c r="C3528" s="2" t="str">
        <f>IFERROR(VLOOKUP(TableQR[[#This Row],[BARCODES]],ILACLISTE[#All],2,0),"")</f>
        <v/>
      </c>
      <c r="D3528" s="2">
        <f t="shared" ref="D3528:D3591" si="55">COUNTIF(B3528:B7521,IF(B3528="",66666,B3528))</f>
        <v>0</v>
      </c>
      <c r="E3528" s="14" t="str">
        <f>IFERROR(GIZLI!G3523,"")</f>
        <v/>
      </c>
    </row>
    <row r="3529" spans="2:5" x14ac:dyDescent="0.3">
      <c r="B3529" s="2" t="str">
        <f>MID(TableQR[[#This Row],[QR CODES]],4,13)</f>
        <v/>
      </c>
      <c r="C3529" s="2" t="str">
        <f>IFERROR(VLOOKUP(TableQR[[#This Row],[BARCODES]],ILACLISTE[#All],2,0),"")</f>
        <v/>
      </c>
      <c r="D3529" s="2">
        <f t="shared" si="55"/>
        <v>0</v>
      </c>
      <c r="E3529" s="14" t="str">
        <f>IFERROR(GIZLI!G3524,"")</f>
        <v/>
      </c>
    </row>
    <row r="3530" spans="2:5" x14ac:dyDescent="0.3">
      <c r="B3530" s="2" t="str">
        <f>MID(TableQR[[#This Row],[QR CODES]],4,13)</f>
        <v/>
      </c>
      <c r="C3530" s="2" t="str">
        <f>IFERROR(VLOOKUP(TableQR[[#This Row],[BARCODES]],ILACLISTE[#All],2,0),"")</f>
        <v/>
      </c>
      <c r="D3530" s="2">
        <f t="shared" si="55"/>
        <v>0</v>
      </c>
      <c r="E3530" s="14" t="str">
        <f>IFERROR(GIZLI!G3525,"")</f>
        <v/>
      </c>
    </row>
    <row r="3531" spans="2:5" x14ac:dyDescent="0.3">
      <c r="B3531" s="2" t="str">
        <f>MID(TableQR[[#This Row],[QR CODES]],4,13)</f>
        <v/>
      </c>
      <c r="C3531" s="2" t="str">
        <f>IFERROR(VLOOKUP(TableQR[[#This Row],[BARCODES]],ILACLISTE[#All],2,0),"")</f>
        <v/>
      </c>
      <c r="D3531" s="2">
        <f t="shared" si="55"/>
        <v>0</v>
      </c>
      <c r="E3531" s="14" t="str">
        <f>IFERROR(GIZLI!G3526,"")</f>
        <v/>
      </c>
    </row>
    <row r="3532" spans="2:5" x14ac:dyDescent="0.3">
      <c r="B3532" s="2" t="str">
        <f>MID(TableQR[[#This Row],[QR CODES]],4,13)</f>
        <v/>
      </c>
      <c r="C3532" s="2" t="str">
        <f>IFERROR(VLOOKUP(TableQR[[#This Row],[BARCODES]],ILACLISTE[#All],2,0),"")</f>
        <v/>
      </c>
      <c r="D3532" s="2">
        <f t="shared" si="55"/>
        <v>0</v>
      </c>
      <c r="E3532" s="14" t="str">
        <f>IFERROR(GIZLI!G3527,"")</f>
        <v/>
      </c>
    </row>
    <row r="3533" spans="2:5" x14ac:dyDescent="0.3">
      <c r="B3533" s="2" t="str">
        <f>MID(TableQR[[#This Row],[QR CODES]],4,13)</f>
        <v/>
      </c>
      <c r="C3533" s="2" t="str">
        <f>IFERROR(VLOOKUP(TableQR[[#This Row],[BARCODES]],ILACLISTE[#All],2,0),"")</f>
        <v/>
      </c>
      <c r="D3533" s="2">
        <f t="shared" si="55"/>
        <v>0</v>
      </c>
      <c r="E3533" s="14" t="str">
        <f>IFERROR(GIZLI!G3528,"")</f>
        <v/>
      </c>
    </row>
    <row r="3534" spans="2:5" x14ac:dyDescent="0.3">
      <c r="B3534" s="2" t="str">
        <f>MID(TableQR[[#This Row],[QR CODES]],4,13)</f>
        <v/>
      </c>
      <c r="C3534" s="2" t="str">
        <f>IFERROR(VLOOKUP(TableQR[[#This Row],[BARCODES]],ILACLISTE[#All],2,0),"")</f>
        <v/>
      </c>
      <c r="D3534" s="2">
        <f t="shared" si="55"/>
        <v>0</v>
      </c>
      <c r="E3534" s="14" t="str">
        <f>IFERROR(GIZLI!G3529,"")</f>
        <v/>
      </c>
    </row>
    <row r="3535" spans="2:5" x14ac:dyDescent="0.3">
      <c r="B3535" s="2" t="str">
        <f>MID(TableQR[[#This Row],[QR CODES]],4,13)</f>
        <v/>
      </c>
      <c r="C3535" s="2" t="str">
        <f>IFERROR(VLOOKUP(TableQR[[#This Row],[BARCODES]],ILACLISTE[#All],2,0),"")</f>
        <v/>
      </c>
      <c r="D3535" s="2">
        <f t="shared" si="55"/>
        <v>0</v>
      </c>
      <c r="E3535" s="14" t="str">
        <f>IFERROR(GIZLI!G3530,"")</f>
        <v/>
      </c>
    </row>
    <row r="3536" spans="2:5" x14ac:dyDescent="0.3">
      <c r="B3536" s="2" t="str">
        <f>MID(TableQR[[#This Row],[QR CODES]],4,13)</f>
        <v/>
      </c>
      <c r="C3536" s="2" t="str">
        <f>IFERROR(VLOOKUP(TableQR[[#This Row],[BARCODES]],ILACLISTE[#All],2,0),"")</f>
        <v/>
      </c>
      <c r="D3536" s="2">
        <f t="shared" si="55"/>
        <v>0</v>
      </c>
      <c r="E3536" s="14" t="str">
        <f>IFERROR(GIZLI!G3531,"")</f>
        <v/>
      </c>
    </row>
    <row r="3537" spans="2:5" x14ac:dyDescent="0.3">
      <c r="B3537" s="2" t="str">
        <f>MID(TableQR[[#This Row],[QR CODES]],4,13)</f>
        <v/>
      </c>
      <c r="C3537" s="2" t="str">
        <f>IFERROR(VLOOKUP(TableQR[[#This Row],[BARCODES]],ILACLISTE[#All],2,0),"")</f>
        <v/>
      </c>
      <c r="D3537" s="2">
        <f t="shared" si="55"/>
        <v>0</v>
      </c>
      <c r="E3537" s="14" t="str">
        <f>IFERROR(GIZLI!G3532,"")</f>
        <v/>
      </c>
    </row>
    <row r="3538" spans="2:5" x14ac:dyDescent="0.3">
      <c r="B3538" s="2" t="str">
        <f>MID(TableQR[[#This Row],[QR CODES]],4,13)</f>
        <v/>
      </c>
      <c r="C3538" s="2" t="str">
        <f>IFERROR(VLOOKUP(TableQR[[#This Row],[BARCODES]],ILACLISTE[#All],2,0),"")</f>
        <v/>
      </c>
      <c r="D3538" s="2">
        <f t="shared" si="55"/>
        <v>0</v>
      </c>
      <c r="E3538" s="14" t="str">
        <f>IFERROR(GIZLI!G3533,"")</f>
        <v/>
      </c>
    </row>
    <row r="3539" spans="2:5" x14ac:dyDescent="0.3">
      <c r="B3539" s="2" t="str">
        <f>MID(TableQR[[#This Row],[QR CODES]],4,13)</f>
        <v/>
      </c>
      <c r="C3539" s="2" t="str">
        <f>IFERROR(VLOOKUP(TableQR[[#This Row],[BARCODES]],ILACLISTE[#All],2,0),"")</f>
        <v/>
      </c>
      <c r="D3539" s="2">
        <f t="shared" si="55"/>
        <v>0</v>
      </c>
      <c r="E3539" s="14" t="str">
        <f>IFERROR(GIZLI!G3534,"")</f>
        <v/>
      </c>
    </row>
    <row r="3540" spans="2:5" x14ac:dyDescent="0.3">
      <c r="B3540" s="2" t="str">
        <f>MID(TableQR[[#This Row],[QR CODES]],4,13)</f>
        <v/>
      </c>
      <c r="C3540" s="2" t="str">
        <f>IFERROR(VLOOKUP(TableQR[[#This Row],[BARCODES]],ILACLISTE[#All],2,0),"")</f>
        <v/>
      </c>
      <c r="D3540" s="2">
        <f t="shared" si="55"/>
        <v>0</v>
      </c>
      <c r="E3540" s="14" t="str">
        <f>IFERROR(GIZLI!G3535,"")</f>
        <v/>
      </c>
    </row>
    <row r="3541" spans="2:5" x14ac:dyDescent="0.3">
      <c r="B3541" s="2" t="str">
        <f>MID(TableQR[[#This Row],[QR CODES]],4,13)</f>
        <v/>
      </c>
      <c r="C3541" s="2" t="str">
        <f>IFERROR(VLOOKUP(TableQR[[#This Row],[BARCODES]],ILACLISTE[#All],2,0),"")</f>
        <v/>
      </c>
      <c r="D3541" s="2">
        <f t="shared" si="55"/>
        <v>0</v>
      </c>
      <c r="E3541" s="14" t="str">
        <f>IFERROR(GIZLI!G3536,"")</f>
        <v/>
      </c>
    </row>
    <row r="3542" spans="2:5" x14ac:dyDescent="0.3">
      <c r="B3542" s="2" t="str">
        <f>MID(TableQR[[#This Row],[QR CODES]],4,13)</f>
        <v/>
      </c>
      <c r="C3542" s="2" t="str">
        <f>IFERROR(VLOOKUP(TableQR[[#This Row],[BARCODES]],ILACLISTE[#All],2,0),"")</f>
        <v/>
      </c>
      <c r="D3542" s="2">
        <f t="shared" si="55"/>
        <v>0</v>
      </c>
      <c r="E3542" s="14" t="str">
        <f>IFERROR(GIZLI!G3537,"")</f>
        <v/>
      </c>
    </row>
    <row r="3543" spans="2:5" x14ac:dyDescent="0.3">
      <c r="B3543" s="2" t="str">
        <f>MID(TableQR[[#This Row],[QR CODES]],4,13)</f>
        <v/>
      </c>
      <c r="C3543" s="2" t="str">
        <f>IFERROR(VLOOKUP(TableQR[[#This Row],[BARCODES]],ILACLISTE[#All],2,0),"")</f>
        <v/>
      </c>
      <c r="D3543" s="2">
        <f t="shared" si="55"/>
        <v>0</v>
      </c>
      <c r="E3543" s="14" t="str">
        <f>IFERROR(GIZLI!G3538,"")</f>
        <v/>
      </c>
    </row>
    <row r="3544" spans="2:5" x14ac:dyDescent="0.3">
      <c r="B3544" s="2" t="str">
        <f>MID(TableQR[[#This Row],[QR CODES]],4,13)</f>
        <v/>
      </c>
      <c r="C3544" s="2" t="str">
        <f>IFERROR(VLOOKUP(TableQR[[#This Row],[BARCODES]],ILACLISTE[#All],2,0),"")</f>
        <v/>
      </c>
      <c r="D3544" s="2">
        <f t="shared" si="55"/>
        <v>0</v>
      </c>
      <c r="E3544" s="14" t="str">
        <f>IFERROR(GIZLI!G3539,"")</f>
        <v/>
      </c>
    </row>
    <row r="3545" spans="2:5" x14ac:dyDescent="0.3">
      <c r="B3545" s="2" t="str">
        <f>MID(TableQR[[#This Row],[QR CODES]],4,13)</f>
        <v/>
      </c>
      <c r="C3545" s="2" t="str">
        <f>IFERROR(VLOOKUP(TableQR[[#This Row],[BARCODES]],ILACLISTE[#All],2,0),"")</f>
        <v/>
      </c>
      <c r="D3545" s="2">
        <f t="shared" si="55"/>
        <v>0</v>
      </c>
      <c r="E3545" s="14" t="str">
        <f>IFERROR(GIZLI!G3540,"")</f>
        <v/>
      </c>
    </row>
    <row r="3546" spans="2:5" x14ac:dyDescent="0.3">
      <c r="B3546" s="2" t="str">
        <f>MID(TableQR[[#This Row],[QR CODES]],4,13)</f>
        <v/>
      </c>
      <c r="C3546" s="2" t="str">
        <f>IFERROR(VLOOKUP(TableQR[[#This Row],[BARCODES]],ILACLISTE[#All],2,0),"")</f>
        <v/>
      </c>
      <c r="D3546" s="2">
        <f t="shared" si="55"/>
        <v>0</v>
      </c>
      <c r="E3546" s="14" t="str">
        <f>IFERROR(GIZLI!G3541,"")</f>
        <v/>
      </c>
    </row>
    <row r="3547" spans="2:5" x14ac:dyDescent="0.3">
      <c r="B3547" s="2" t="str">
        <f>MID(TableQR[[#This Row],[QR CODES]],4,13)</f>
        <v/>
      </c>
      <c r="C3547" s="2" t="str">
        <f>IFERROR(VLOOKUP(TableQR[[#This Row],[BARCODES]],ILACLISTE[#All],2,0),"")</f>
        <v/>
      </c>
      <c r="D3547" s="2">
        <f t="shared" si="55"/>
        <v>0</v>
      </c>
      <c r="E3547" s="14" t="str">
        <f>IFERROR(GIZLI!G3542,"")</f>
        <v/>
      </c>
    </row>
    <row r="3548" spans="2:5" x14ac:dyDescent="0.3">
      <c r="B3548" s="2" t="str">
        <f>MID(TableQR[[#This Row],[QR CODES]],4,13)</f>
        <v/>
      </c>
      <c r="C3548" s="2" t="str">
        <f>IFERROR(VLOOKUP(TableQR[[#This Row],[BARCODES]],ILACLISTE[#All],2,0),"")</f>
        <v/>
      </c>
      <c r="D3548" s="2">
        <f t="shared" si="55"/>
        <v>0</v>
      </c>
      <c r="E3548" s="14" t="str">
        <f>IFERROR(GIZLI!G3543,"")</f>
        <v/>
      </c>
    </row>
    <row r="3549" spans="2:5" x14ac:dyDescent="0.3">
      <c r="B3549" s="2" t="str">
        <f>MID(TableQR[[#This Row],[QR CODES]],4,13)</f>
        <v/>
      </c>
      <c r="C3549" s="2" t="str">
        <f>IFERROR(VLOOKUP(TableQR[[#This Row],[BARCODES]],ILACLISTE[#All],2,0),"")</f>
        <v/>
      </c>
      <c r="D3549" s="2">
        <f t="shared" si="55"/>
        <v>0</v>
      </c>
      <c r="E3549" s="14" t="str">
        <f>IFERROR(GIZLI!G3544,"")</f>
        <v/>
      </c>
    </row>
    <row r="3550" spans="2:5" x14ac:dyDescent="0.3">
      <c r="B3550" s="2" t="str">
        <f>MID(TableQR[[#This Row],[QR CODES]],4,13)</f>
        <v/>
      </c>
      <c r="C3550" s="2" t="str">
        <f>IFERROR(VLOOKUP(TableQR[[#This Row],[BARCODES]],ILACLISTE[#All],2,0),"")</f>
        <v/>
      </c>
      <c r="D3550" s="2">
        <f t="shared" si="55"/>
        <v>0</v>
      </c>
      <c r="E3550" s="14" t="str">
        <f>IFERROR(GIZLI!G3545,"")</f>
        <v/>
      </c>
    </row>
    <row r="3551" spans="2:5" x14ac:dyDescent="0.3">
      <c r="B3551" s="2" t="str">
        <f>MID(TableQR[[#This Row],[QR CODES]],4,13)</f>
        <v/>
      </c>
      <c r="C3551" s="2" t="str">
        <f>IFERROR(VLOOKUP(TableQR[[#This Row],[BARCODES]],ILACLISTE[#All],2,0),"")</f>
        <v/>
      </c>
      <c r="D3551" s="2">
        <f t="shared" si="55"/>
        <v>0</v>
      </c>
      <c r="E3551" s="14" t="str">
        <f>IFERROR(GIZLI!G3546,"")</f>
        <v/>
      </c>
    </row>
    <row r="3552" spans="2:5" x14ac:dyDescent="0.3">
      <c r="B3552" s="2" t="str">
        <f>MID(TableQR[[#This Row],[QR CODES]],4,13)</f>
        <v/>
      </c>
      <c r="C3552" s="2" t="str">
        <f>IFERROR(VLOOKUP(TableQR[[#This Row],[BARCODES]],ILACLISTE[#All],2,0),"")</f>
        <v/>
      </c>
      <c r="D3552" s="2">
        <f t="shared" si="55"/>
        <v>0</v>
      </c>
      <c r="E3552" s="14" t="str">
        <f>IFERROR(GIZLI!G3547,"")</f>
        <v/>
      </c>
    </row>
    <row r="3553" spans="2:5" x14ac:dyDescent="0.3">
      <c r="B3553" s="2" t="str">
        <f>MID(TableQR[[#This Row],[QR CODES]],4,13)</f>
        <v/>
      </c>
      <c r="C3553" s="2" t="str">
        <f>IFERROR(VLOOKUP(TableQR[[#This Row],[BARCODES]],ILACLISTE[#All],2,0),"")</f>
        <v/>
      </c>
      <c r="D3553" s="2">
        <f t="shared" si="55"/>
        <v>0</v>
      </c>
      <c r="E3553" s="14" t="str">
        <f>IFERROR(GIZLI!G3548,"")</f>
        <v/>
      </c>
    </row>
    <row r="3554" spans="2:5" x14ac:dyDescent="0.3">
      <c r="B3554" s="2" t="str">
        <f>MID(TableQR[[#This Row],[QR CODES]],4,13)</f>
        <v/>
      </c>
      <c r="C3554" s="2" t="str">
        <f>IFERROR(VLOOKUP(TableQR[[#This Row],[BARCODES]],ILACLISTE[#All],2,0),"")</f>
        <v/>
      </c>
      <c r="D3554" s="2">
        <f t="shared" si="55"/>
        <v>0</v>
      </c>
      <c r="E3554" s="14" t="str">
        <f>IFERROR(GIZLI!G3549,"")</f>
        <v/>
      </c>
    </row>
    <row r="3555" spans="2:5" x14ac:dyDescent="0.3">
      <c r="B3555" s="2" t="str">
        <f>MID(TableQR[[#This Row],[QR CODES]],4,13)</f>
        <v/>
      </c>
      <c r="C3555" s="2" t="str">
        <f>IFERROR(VLOOKUP(TableQR[[#This Row],[BARCODES]],ILACLISTE[#All],2,0),"")</f>
        <v/>
      </c>
      <c r="D3555" s="2">
        <f t="shared" si="55"/>
        <v>0</v>
      </c>
      <c r="E3555" s="14" t="str">
        <f>IFERROR(GIZLI!G3550,"")</f>
        <v/>
      </c>
    </row>
    <row r="3556" spans="2:5" x14ac:dyDescent="0.3">
      <c r="B3556" s="2" t="str">
        <f>MID(TableQR[[#This Row],[QR CODES]],4,13)</f>
        <v/>
      </c>
      <c r="C3556" s="2" t="str">
        <f>IFERROR(VLOOKUP(TableQR[[#This Row],[BARCODES]],ILACLISTE[#All],2,0),"")</f>
        <v/>
      </c>
      <c r="D3556" s="2">
        <f t="shared" si="55"/>
        <v>0</v>
      </c>
      <c r="E3556" s="14" t="str">
        <f>IFERROR(GIZLI!G3551,"")</f>
        <v/>
      </c>
    </row>
    <row r="3557" spans="2:5" x14ac:dyDescent="0.3">
      <c r="B3557" s="2" t="str">
        <f>MID(TableQR[[#This Row],[QR CODES]],4,13)</f>
        <v/>
      </c>
      <c r="C3557" s="2" t="str">
        <f>IFERROR(VLOOKUP(TableQR[[#This Row],[BARCODES]],ILACLISTE[#All],2,0),"")</f>
        <v/>
      </c>
      <c r="D3557" s="2">
        <f t="shared" si="55"/>
        <v>0</v>
      </c>
      <c r="E3557" s="14" t="str">
        <f>IFERROR(GIZLI!G3552,"")</f>
        <v/>
      </c>
    </row>
    <row r="3558" spans="2:5" x14ac:dyDescent="0.3">
      <c r="B3558" s="2" t="str">
        <f>MID(TableQR[[#This Row],[QR CODES]],4,13)</f>
        <v/>
      </c>
      <c r="C3558" s="2" t="str">
        <f>IFERROR(VLOOKUP(TableQR[[#This Row],[BARCODES]],ILACLISTE[#All],2,0),"")</f>
        <v/>
      </c>
      <c r="D3558" s="2">
        <f t="shared" si="55"/>
        <v>0</v>
      </c>
      <c r="E3558" s="14" t="str">
        <f>IFERROR(GIZLI!G3553,"")</f>
        <v/>
      </c>
    </row>
    <row r="3559" spans="2:5" x14ac:dyDescent="0.3">
      <c r="B3559" s="2" t="str">
        <f>MID(TableQR[[#This Row],[QR CODES]],4,13)</f>
        <v/>
      </c>
      <c r="C3559" s="2" t="str">
        <f>IFERROR(VLOOKUP(TableQR[[#This Row],[BARCODES]],ILACLISTE[#All],2,0),"")</f>
        <v/>
      </c>
      <c r="D3559" s="2">
        <f t="shared" si="55"/>
        <v>0</v>
      </c>
      <c r="E3559" s="14" t="str">
        <f>IFERROR(GIZLI!G3554,"")</f>
        <v/>
      </c>
    </row>
    <row r="3560" spans="2:5" x14ac:dyDescent="0.3">
      <c r="B3560" s="2" t="str">
        <f>MID(TableQR[[#This Row],[QR CODES]],4,13)</f>
        <v/>
      </c>
      <c r="C3560" s="2" t="str">
        <f>IFERROR(VLOOKUP(TableQR[[#This Row],[BARCODES]],ILACLISTE[#All],2,0),"")</f>
        <v/>
      </c>
      <c r="D3560" s="2">
        <f t="shared" si="55"/>
        <v>0</v>
      </c>
      <c r="E3560" s="14" t="str">
        <f>IFERROR(GIZLI!G3555,"")</f>
        <v/>
      </c>
    </row>
    <row r="3561" spans="2:5" x14ac:dyDescent="0.3">
      <c r="B3561" s="2" t="str">
        <f>MID(TableQR[[#This Row],[QR CODES]],4,13)</f>
        <v/>
      </c>
      <c r="C3561" s="2" t="str">
        <f>IFERROR(VLOOKUP(TableQR[[#This Row],[BARCODES]],ILACLISTE[#All],2,0),"")</f>
        <v/>
      </c>
      <c r="D3561" s="2">
        <f t="shared" si="55"/>
        <v>0</v>
      </c>
      <c r="E3561" s="14" t="str">
        <f>IFERROR(GIZLI!G3556,"")</f>
        <v/>
      </c>
    </row>
    <row r="3562" spans="2:5" x14ac:dyDescent="0.3">
      <c r="B3562" s="2" t="str">
        <f>MID(TableQR[[#This Row],[QR CODES]],4,13)</f>
        <v/>
      </c>
      <c r="C3562" s="2" t="str">
        <f>IFERROR(VLOOKUP(TableQR[[#This Row],[BARCODES]],ILACLISTE[#All],2,0),"")</f>
        <v/>
      </c>
      <c r="D3562" s="2">
        <f t="shared" si="55"/>
        <v>0</v>
      </c>
      <c r="E3562" s="14" t="str">
        <f>IFERROR(GIZLI!G3557,"")</f>
        <v/>
      </c>
    </row>
    <row r="3563" spans="2:5" x14ac:dyDescent="0.3">
      <c r="B3563" s="2" t="str">
        <f>MID(TableQR[[#This Row],[QR CODES]],4,13)</f>
        <v/>
      </c>
      <c r="C3563" s="2" t="str">
        <f>IFERROR(VLOOKUP(TableQR[[#This Row],[BARCODES]],ILACLISTE[#All],2,0),"")</f>
        <v/>
      </c>
      <c r="D3563" s="2">
        <f t="shared" si="55"/>
        <v>0</v>
      </c>
      <c r="E3563" s="14" t="str">
        <f>IFERROR(GIZLI!G3558,"")</f>
        <v/>
      </c>
    </row>
    <row r="3564" spans="2:5" x14ac:dyDescent="0.3">
      <c r="B3564" s="2" t="str">
        <f>MID(TableQR[[#This Row],[QR CODES]],4,13)</f>
        <v/>
      </c>
      <c r="C3564" s="2" t="str">
        <f>IFERROR(VLOOKUP(TableQR[[#This Row],[BARCODES]],ILACLISTE[#All],2,0),"")</f>
        <v/>
      </c>
      <c r="D3564" s="2">
        <f t="shared" si="55"/>
        <v>0</v>
      </c>
      <c r="E3564" s="14" t="str">
        <f>IFERROR(GIZLI!G3559,"")</f>
        <v/>
      </c>
    </row>
    <row r="3565" spans="2:5" x14ac:dyDescent="0.3">
      <c r="B3565" s="2" t="str">
        <f>MID(TableQR[[#This Row],[QR CODES]],4,13)</f>
        <v/>
      </c>
      <c r="C3565" s="2" t="str">
        <f>IFERROR(VLOOKUP(TableQR[[#This Row],[BARCODES]],ILACLISTE[#All],2,0),"")</f>
        <v/>
      </c>
      <c r="D3565" s="2">
        <f t="shared" si="55"/>
        <v>0</v>
      </c>
      <c r="E3565" s="14" t="str">
        <f>IFERROR(GIZLI!G3560,"")</f>
        <v/>
      </c>
    </row>
    <row r="3566" spans="2:5" x14ac:dyDescent="0.3">
      <c r="B3566" s="2" t="str">
        <f>MID(TableQR[[#This Row],[QR CODES]],4,13)</f>
        <v/>
      </c>
      <c r="C3566" s="2" t="str">
        <f>IFERROR(VLOOKUP(TableQR[[#This Row],[BARCODES]],ILACLISTE[#All],2,0),"")</f>
        <v/>
      </c>
      <c r="D3566" s="2">
        <f t="shared" si="55"/>
        <v>0</v>
      </c>
      <c r="E3566" s="14" t="str">
        <f>IFERROR(GIZLI!G3561,"")</f>
        <v/>
      </c>
    </row>
    <row r="3567" spans="2:5" x14ac:dyDescent="0.3">
      <c r="B3567" s="2" t="str">
        <f>MID(TableQR[[#This Row],[QR CODES]],4,13)</f>
        <v/>
      </c>
      <c r="C3567" s="2" t="str">
        <f>IFERROR(VLOOKUP(TableQR[[#This Row],[BARCODES]],ILACLISTE[#All],2,0),"")</f>
        <v/>
      </c>
      <c r="D3567" s="2">
        <f t="shared" si="55"/>
        <v>0</v>
      </c>
      <c r="E3567" s="14" t="str">
        <f>IFERROR(GIZLI!G3562,"")</f>
        <v/>
      </c>
    </row>
    <row r="3568" spans="2:5" x14ac:dyDescent="0.3">
      <c r="B3568" s="2" t="str">
        <f>MID(TableQR[[#This Row],[QR CODES]],4,13)</f>
        <v/>
      </c>
      <c r="C3568" s="2" t="str">
        <f>IFERROR(VLOOKUP(TableQR[[#This Row],[BARCODES]],ILACLISTE[#All],2,0),"")</f>
        <v/>
      </c>
      <c r="D3568" s="2">
        <f t="shared" si="55"/>
        <v>0</v>
      </c>
      <c r="E3568" s="14" t="str">
        <f>IFERROR(GIZLI!G3563,"")</f>
        <v/>
      </c>
    </row>
    <row r="3569" spans="2:5" x14ac:dyDescent="0.3">
      <c r="B3569" s="2" t="str">
        <f>MID(TableQR[[#This Row],[QR CODES]],4,13)</f>
        <v/>
      </c>
      <c r="C3569" s="2" t="str">
        <f>IFERROR(VLOOKUP(TableQR[[#This Row],[BARCODES]],ILACLISTE[#All],2,0),"")</f>
        <v/>
      </c>
      <c r="D3569" s="2">
        <f t="shared" si="55"/>
        <v>0</v>
      </c>
      <c r="E3569" s="14" t="str">
        <f>IFERROR(GIZLI!G3564,"")</f>
        <v/>
      </c>
    </row>
    <row r="3570" spans="2:5" x14ac:dyDescent="0.3">
      <c r="B3570" s="2" t="str">
        <f>MID(TableQR[[#This Row],[QR CODES]],4,13)</f>
        <v/>
      </c>
      <c r="C3570" s="2" t="str">
        <f>IFERROR(VLOOKUP(TableQR[[#This Row],[BARCODES]],ILACLISTE[#All],2,0),"")</f>
        <v/>
      </c>
      <c r="D3570" s="2">
        <f t="shared" si="55"/>
        <v>0</v>
      </c>
      <c r="E3570" s="14" t="str">
        <f>IFERROR(GIZLI!G3565,"")</f>
        <v/>
      </c>
    </row>
    <row r="3571" spans="2:5" x14ac:dyDescent="0.3">
      <c r="B3571" s="2" t="str">
        <f>MID(TableQR[[#This Row],[QR CODES]],4,13)</f>
        <v/>
      </c>
      <c r="C3571" s="2" t="str">
        <f>IFERROR(VLOOKUP(TableQR[[#This Row],[BARCODES]],ILACLISTE[#All],2,0),"")</f>
        <v/>
      </c>
      <c r="D3571" s="2">
        <f t="shared" si="55"/>
        <v>0</v>
      </c>
      <c r="E3571" s="14" t="str">
        <f>IFERROR(GIZLI!G3566,"")</f>
        <v/>
      </c>
    </row>
    <row r="3572" spans="2:5" x14ac:dyDescent="0.3">
      <c r="B3572" s="2" t="str">
        <f>MID(TableQR[[#This Row],[QR CODES]],4,13)</f>
        <v/>
      </c>
      <c r="C3572" s="2" t="str">
        <f>IFERROR(VLOOKUP(TableQR[[#This Row],[BARCODES]],ILACLISTE[#All],2,0),"")</f>
        <v/>
      </c>
      <c r="D3572" s="2">
        <f t="shared" si="55"/>
        <v>0</v>
      </c>
      <c r="E3572" s="14" t="str">
        <f>IFERROR(GIZLI!G3567,"")</f>
        <v/>
      </c>
    </row>
    <row r="3573" spans="2:5" x14ac:dyDescent="0.3">
      <c r="B3573" s="2" t="str">
        <f>MID(TableQR[[#This Row],[QR CODES]],4,13)</f>
        <v/>
      </c>
      <c r="C3573" s="2" t="str">
        <f>IFERROR(VLOOKUP(TableQR[[#This Row],[BARCODES]],ILACLISTE[#All],2,0),"")</f>
        <v/>
      </c>
      <c r="D3573" s="2">
        <f t="shared" si="55"/>
        <v>0</v>
      </c>
      <c r="E3573" s="14" t="str">
        <f>IFERROR(GIZLI!G3568,"")</f>
        <v/>
      </c>
    </row>
    <row r="3574" spans="2:5" x14ac:dyDescent="0.3">
      <c r="B3574" s="2" t="str">
        <f>MID(TableQR[[#This Row],[QR CODES]],4,13)</f>
        <v/>
      </c>
      <c r="C3574" s="2" t="str">
        <f>IFERROR(VLOOKUP(TableQR[[#This Row],[BARCODES]],ILACLISTE[#All],2,0),"")</f>
        <v/>
      </c>
      <c r="D3574" s="2">
        <f t="shared" si="55"/>
        <v>0</v>
      </c>
      <c r="E3574" s="14" t="str">
        <f>IFERROR(GIZLI!G3569,"")</f>
        <v/>
      </c>
    </row>
    <row r="3575" spans="2:5" x14ac:dyDescent="0.3">
      <c r="B3575" s="2" t="str">
        <f>MID(TableQR[[#This Row],[QR CODES]],4,13)</f>
        <v/>
      </c>
      <c r="C3575" s="2" t="str">
        <f>IFERROR(VLOOKUP(TableQR[[#This Row],[BARCODES]],ILACLISTE[#All],2,0),"")</f>
        <v/>
      </c>
      <c r="D3575" s="2">
        <f t="shared" si="55"/>
        <v>0</v>
      </c>
      <c r="E3575" s="14" t="str">
        <f>IFERROR(GIZLI!G3570,"")</f>
        <v/>
      </c>
    </row>
    <row r="3576" spans="2:5" x14ac:dyDescent="0.3">
      <c r="B3576" s="2" t="str">
        <f>MID(TableQR[[#This Row],[QR CODES]],4,13)</f>
        <v/>
      </c>
      <c r="C3576" s="2" t="str">
        <f>IFERROR(VLOOKUP(TableQR[[#This Row],[BARCODES]],ILACLISTE[#All],2,0),"")</f>
        <v/>
      </c>
      <c r="D3576" s="2">
        <f t="shared" si="55"/>
        <v>0</v>
      </c>
      <c r="E3576" s="14" t="str">
        <f>IFERROR(GIZLI!G3571,"")</f>
        <v/>
      </c>
    </row>
    <row r="3577" spans="2:5" x14ac:dyDescent="0.3">
      <c r="B3577" s="2" t="str">
        <f>MID(TableQR[[#This Row],[QR CODES]],4,13)</f>
        <v/>
      </c>
      <c r="C3577" s="2" t="str">
        <f>IFERROR(VLOOKUP(TableQR[[#This Row],[BARCODES]],ILACLISTE[#All],2,0),"")</f>
        <v/>
      </c>
      <c r="D3577" s="2">
        <f t="shared" si="55"/>
        <v>0</v>
      </c>
      <c r="E3577" s="14" t="str">
        <f>IFERROR(GIZLI!G3572,"")</f>
        <v/>
      </c>
    </row>
    <row r="3578" spans="2:5" x14ac:dyDescent="0.3">
      <c r="B3578" s="2" t="str">
        <f>MID(TableQR[[#This Row],[QR CODES]],4,13)</f>
        <v/>
      </c>
      <c r="C3578" s="2" t="str">
        <f>IFERROR(VLOOKUP(TableQR[[#This Row],[BARCODES]],ILACLISTE[#All],2,0),"")</f>
        <v/>
      </c>
      <c r="D3578" s="2">
        <f t="shared" si="55"/>
        <v>0</v>
      </c>
      <c r="E3578" s="14" t="str">
        <f>IFERROR(GIZLI!G3573,"")</f>
        <v/>
      </c>
    </row>
    <row r="3579" spans="2:5" x14ac:dyDescent="0.3">
      <c r="B3579" s="2" t="str">
        <f>MID(TableQR[[#This Row],[QR CODES]],4,13)</f>
        <v/>
      </c>
      <c r="C3579" s="2" t="str">
        <f>IFERROR(VLOOKUP(TableQR[[#This Row],[BARCODES]],ILACLISTE[#All],2,0),"")</f>
        <v/>
      </c>
      <c r="D3579" s="2">
        <f t="shared" si="55"/>
        <v>0</v>
      </c>
      <c r="E3579" s="14" t="str">
        <f>IFERROR(GIZLI!G3574,"")</f>
        <v/>
      </c>
    </row>
    <row r="3580" spans="2:5" x14ac:dyDescent="0.3">
      <c r="B3580" s="2" t="str">
        <f>MID(TableQR[[#This Row],[QR CODES]],4,13)</f>
        <v/>
      </c>
      <c r="C3580" s="2" t="str">
        <f>IFERROR(VLOOKUP(TableQR[[#This Row],[BARCODES]],ILACLISTE[#All],2,0),"")</f>
        <v/>
      </c>
      <c r="D3580" s="2">
        <f t="shared" si="55"/>
        <v>0</v>
      </c>
      <c r="E3580" s="14" t="str">
        <f>IFERROR(GIZLI!G3575,"")</f>
        <v/>
      </c>
    </row>
    <row r="3581" spans="2:5" x14ac:dyDescent="0.3">
      <c r="B3581" s="2" t="str">
        <f>MID(TableQR[[#This Row],[QR CODES]],4,13)</f>
        <v/>
      </c>
      <c r="C3581" s="2" t="str">
        <f>IFERROR(VLOOKUP(TableQR[[#This Row],[BARCODES]],ILACLISTE[#All],2,0),"")</f>
        <v/>
      </c>
      <c r="D3581" s="2">
        <f t="shared" si="55"/>
        <v>0</v>
      </c>
      <c r="E3581" s="14" t="str">
        <f>IFERROR(GIZLI!G3576,"")</f>
        <v/>
      </c>
    </row>
    <row r="3582" spans="2:5" x14ac:dyDescent="0.3">
      <c r="B3582" s="2" t="str">
        <f>MID(TableQR[[#This Row],[QR CODES]],4,13)</f>
        <v/>
      </c>
      <c r="C3582" s="2" t="str">
        <f>IFERROR(VLOOKUP(TableQR[[#This Row],[BARCODES]],ILACLISTE[#All],2,0),"")</f>
        <v/>
      </c>
      <c r="D3582" s="2">
        <f t="shared" si="55"/>
        <v>0</v>
      </c>
      <c r="E3582" s="14" t="str">
        <f>IFERROR(GIZLI!G3577,"")</f>
        <v/>
      </c>
    </row>
    <row r="3583" spans="2:5" x14ac:dyDescent="0.3">
      <c r="B3583" s="2" t="str">
        <f>MID(TableQR[[#This Row],[QR CODES]],4,13)</f>
        <v/>
      </c>
      <c r="C3583" s="2" t="str">
        <f>IFERROR(VLOOKUP(TableQR[[#This Row],[BARCODES]],ILACLISTE[#All],2,0),"")</f>
        <v/>
      </c>
      <c r="D3583" s="2">
        <f t="shared" si="55"/>
        <v>0</v>
      </c>
      <c r="E3583" s="14" t="str">
        <f>IFERROR(GIZLI!G3578,"")</f>
        <v/>
      </c>
    </row>
    <row r="3584" spans="2:5" x14ac:dyDescent="0.3">
      <c r="B3584" s="2" t="str">
        <f>MID(TableQR[[#This Row],[QR CODES]],4,13)</f>
        <v/>
      </c>
      <c r="C3584" s="2" t="str">
        <f>IFERROR(VLOOKUP(TableQR[[#This Row],[BARCODES]],ILACLISTE[#All],2,0),"")</f>
        <v/>
      </c>
      <c r="D3584" s="2">
        <f t="shared" si="55"/>
        <v>0</v>
      </c>
      <c r="E3584" s="14" t="str">
        <f>IFERROR(GIZLI!G3579,"")</f>
        <v/>
      </c>
    </row>
    <row r="3585" spans="2:5" x14ac:dyDescent="0.3">
      <c r="B3585" s="2" t="str">
        <f>MID(TableQR[[#This Row],[QR CODES]],4,13)</f>
        <v/>
      </c>
      <c r="C3585" s="2" t="str">
        <f>IFERROR(VLOOKUP(TableQR[[#This Row],[BARCODES]],ILACLISTE[#All],2,0),"")</f>
        <v/>
      </c>
      <c r="D3585" s="2">
        <f t="shared" si="55"/>
        <v>0</v>
      </c>
      <c r="E3585" s="14" t="str">
        <f>IFERROR(GIZLI!G3580,"")</f>
        <v/>
      </c>
    </row>
    <row r="3586" spans="2:5" x14ac:dyDescent="0.3">
      <c r="B3586" s="2" t="str">
        <f>MID(TableQR[[#This Row],[QR CODES]],4,13)</f>
        <v/>
      </c>
      <c r="C3586" s="2" t="str">
        <f>IFERROR(VLOOKUP(TableQR[[#This Row],[BARCODES]],ILACLISTE[#All],2,0),"")</f>
        <v/>
      </c>
      <c r="D3586" s="2">
        <f t="shared" si="55"/>
        <v>0</v>
      </c>
      <c r="E3586" s="14" t="str">
        <f>IFERROR(GIZLI!G3581,"")</f>
        <v/>
      </c>
    </row>
    <row r="3587" spans="2:5" x14ac:dyDescent="0.3">
      <c r="B3587" s="2" t="str">
        <f>MID(TableQR[[#This Row],[QR CODES]],4,13)</f>
        <v/>
      </c>
      <c r="C3587" s="2" t="str">
        <f>IFERROR(VLOOKUP(TableQR[[#This Row],[BARCODES]],ILACLISTE[#All],2,0),"")</f>
        <v/>
      </c>
      <c r="D3587" s="2">
        <f t="shared" si="55"/>
        <v>0</v>
      </c>
      <c r="E3587" s="14" t="str">
        <f>IFERROR(GIZLI!G3582,"")</f>
        <v/>
      </c>
    </row>
    <row r="3588" spans="2:5" x14ac:dyDescent="0.3">
      <c r="B3588" s="2" t="str">
        <f>MID(TableQR[[#This Row],[QR CODES]],4,13)</f>
        <v/>
      </c>
      <c r="C3588" s="2" t="str">
        <f>IFERROR(VLOOKUP(TableQR[[#This Row],[BARCODES]],ILACLISTE[#All],2,0),"")</f>
        <v/>
      </c>
      <c r="D3588" s="2">
        <f t="shared" si="55"/>
        <v>0</v>
      </c>
      <c r="E3588" s="14" t="str">
        <f>IFERROR(GIZLI!G3583,"")</f>
        <v/>
      </c>
    </row>
    <row r="3589" spans="2:5" x14ac:dyDescent="0.3">
      <c r="B3589" s="2" t="str">
        <f>MID(TableQR[[#This Row],[QR CODES]],4,13)</f>
        <v/>
      </c>
      <c r="C3589" s="2" t="str">
        <f>IFERROR(VLOOKUP(TableQR[[#This Row],[BARCODES]],ILACLISTE[#All],2,0),"")</f>
        <v/>
      </c>
      <c r="D3589" s="2">
        <f t="shared" si="55"/>
        <v>0</v>
      </c>
      <c r="E3589" s="14" t="str">
        <f>IFERROR(GIZLI!G3584,"")</f>
        <v/>
      </c>
    </row>
    <row r="3590" spans="2:5" x14ac:dyDescent="0.3">
      <c r="B3590" s="2" t="str">
        <f>MID(TableQR[[#This Row],[QR CODES]],4,13)</f>
        <v/>
      </c>
      <c r="C3590" s="2" t="str">
        <f>IFERROR(VLOOKUP(TableQR[[#This Row],[BARCODES]],ILACLISTE[#All],2,0),"")</f>
        <v/>
      </c>
      <c r="D3590" s="2">
        <f t="shared" si="55"/>
        <v>0</v>
      </c>
      <c r="E3590" s="14" t="str">
        <f>IFERROR(GIZLI!G3585,"")</f>
        <v/>
      </c>
    </row>
    <row r="3591" spans="2:5" x14ac:dyDescent="0.3">
      <c r="B3591" s="2" t="str">
        <f>MID(TableQR[[#This Row],[QR CODES]],4,13)</f>
        <v/>
      </c>
      <c r="C3591" s="2" t="str">
        <f>IFERROR(VLOOKUP(TableQR[[#This Row],[BARCODES]],ILACLISTE[#All],2,0),"")</f>
        <v/>
      </c>
      <c r="D3591" s="2">
        <f t="shared" si="55"/>
        <v>0</v>
      </c>
      <c r="E3591" s="14" t="str">
        <f>IFERROR(GIZLI!G3586,"")</f>
        <v/>
      </c>
    </row>
    <row r="3592" spans="2:5" x14ac:dyDescent="0.3">
      <c r="B3592" s="2" t="str">
        <f>MID(TableQR[[#This Row],[QR CODES]],4,13)</f>
        <v/>
      </c>
      <c r="C3592" s="2" t="str">
        <f>IFERROR(VLOOKUP(TableQR[[#This Row],[BARCODES]],ILACLISTE[#All],2,0),"")</f>
        <v/>
      </c>
      <c r="D3592" s="2">
        <f t="shared" ref="D3592:D3655" si="56">COUNTIF(B3592:B7585,IF(B3592="",66666,B3592))</f>
        <v>0</v>
      </c>
      <c r="E3592" s="14" t="str">
        <f>IFERROR(GIZLI!G3587,"")</f>
        <v/>
      </c>
    </row>
    <row r="3593" spans="2:5" x14ac:dyDescent="0.3">
      <c r="B3593" s="2" t="str">
        <f>MID(TableQR[[#This Row],[QR CODES]],4,13)</f>
        <v/>
      </c>
      <c r="C3593" s="2" t="str">
        <f>IFERROR(VLOOKUP(TableQR[[#This Row],[BARCODES]],ILACLISTE[#All],2,0),"")</f>
        <v/>
      </c>
      <c r="D3593" s="2">
        <f t="shared" si="56"/>
        <v>0</v>
      </c>
      <c r="E3593" s="14" t="str">
        <f>IFERROR(GIZLI!G3588,"")</f>
        <v/>
      </c>
    </row>
    <row r="3594" spans="2:5" x14ac:dyDescent="0.3">
      <c r="B3594" s="2" t="str">
        <f>MID(TableQR[[#This Row],[QR CODES]],4,13)</f>
        <v/>
      </c>
      <c r="C3594" s="2" t="str">
        <f>IFERROR(VLOOKUP(TableQR[[#This Row],[BARCODES]],ILACLISTE[#All],2,0),"")</f>
        <v/>
      </c>
      <c r="D3594" s="2">
        <f t="shared" si="56"/>
        <v>0</v>
      </c>
      <c r="E3594" s="14" t="str">
        <f>IFERROR(GIZLI!G3589,"")</f>
        <v/>
      </c>
    </row>
    <row r="3595" spans="2:5" x14ac:dyDescent="0.3">
      <c r="B3595" s="2" t="str">
        <f>MID(TableQR[[#This Row],[QR CODES]],4,13)</f>
        <v/>
      </c>
      <c r="C3595" s="2" t="str">
        <f>IFERROR(VLOOKUP(TableQR[[#This Row],[BARCODES]],ILACLISTE[#All],2,0),"")</f>
        <v/>
      </c>
      <c r="D3595" s="2">
        <f t="shared" si="56"/>
        <v>0</v>
      </c>
      <c r="E3595" s="14" t="str">
        <f>IFERROR(GIZLI!G3590,"")</f>
        <v/>
      </c>
    </row>
    <row r="3596" spans="2:5" x14ac:dyDescent="0.3">
      <c r="B3596" s="2" t="str">
        <f>MID(TableQR[[#This Row],[QR CODES]],4,13)</f>
        <v/>
      </c>
      <c r="C3596" s="2" t="str">
        <f>IFERROR(VLOOKUP(TableQR[[#This Row],[BARCODES]],ILACLISTE[#All],2,0),"")</f>
        <v/>
      </c>
      <c r="D3596" s="2">
        <f t="shared" si="56"/>
        <v>0</v>
      </c>
      <c r="E3596" s="14" t="str">
        <f>IFERROR(GIZLI!G3591,"")</f>
        <v/>
      </c>
    </row>
    <row r="3597" spans="2:5" x14ac:dyDescent="0.3">
      <c r="B3597" s="2" t="str">
        <f>MID(TableQR[[#This Row],[QR CODES]],4,13)</f>
        <v/>
      </c>
      <c r="C3597" s="2" t="str">
        <f>IFERROR(VLOOKUP(TableQR[[#This Row],[BARCODES]],ILACLISTE[#All],2,0),"")</f>
        <v/>
      </c>
      <c r="D3597" s="2">
        <f t="shared" si="56"/>
        <v>0</v>
      </c>
      <c r="E3597" s="14" t="str">
        <f>IFERROR(GIZLI!G3592,"")</f>
        <v/>
      </c>
    </row>
    <row r="3598" spans="2:5" x14ac:dyDescent="0.3">
      <c r="B3598" s="2" t="str">
        <f>MID(TableQR[[#This Row],[QR CODES]],4,13)</f>
        <v/>
      </c>
      <c r="C3598" s="2" t="str">
        <f>IFERROR(VLOOKUP(TableQR[[#This Row],[BARCODES]],ILACLISTE[#All],2,0),"")</f>
        <v/>
      </c>
      <c r="D3598" s="2">
        <f t="shared" si="56"/>
        <v>0</v>
      </c>
      <c r="E3598" s="14" t="str">
        <f>IFERROR(GIZLI!G3593,"")</f>
        <v/>
      </c>
    </row>
    <row r="3599" spans="2:5" x14ac:dyDescent="0.3">
      <c r="B3599" s="2" t="str">
        <f>MID(TableQR[[#This Row],[QR CODES]],4,13)</f>
        <v/>
      </c>
      <c r="C3599" s="2" t="str">
        <f>IFERROR(VLOOKUP(TableQR[[#This Row],[BARCODES]],ILACLISTE[#All],2,0),"")</f>
        <v/>
      </c>
      <c r="D3599" s="2">
        <f t="shared" si="56"/>
        <v>0</v>
      </c>
      <c r="E3599" s="14" t="str">
        <f>IFERROR(GIZLI!G3594,"")</f>
        <v/>
      </c>
    </row>
    <row r="3600" spans="2:5" x14ac:dyDescent="0.3">
      <c r="B3600" s="2" t="str">
        <f>MID(TableQR[[#This Row],[QR CODES]],4,13)</f>
        <v/>
      </c>
      <c r="C3600" s="2" t="str">
        <f>IFERROR(VLOOKUP(TableQR[[#This Row],[BARCODES]],ILACLISTE[#All],2,0),"")</f>
        <v/>
      </c>
      <c r="D3600" s="2">
        <f t="shared" si="56"/>
        <v>0</v>
      </c>
      <c r="E3600" s="14" t="str">
        <f>IFERROR(GIZLI!G3595,"")</f>
        <v/>
      </c>
    </row>
    <row r="3601" spans="2:5" x14ac:dyDescent="0.3">
      <c r="B3601" s="2" t="str">
        <f>MID(TableQR[[#This Row],[QR CODES]],4,13)</f>
        <v/>
      </c>
      <c r="C3601" s="2" t="str">
        <f>IFERROR(VLOOKUP(TableQR[[#This Row],[BARCODES]],ILACLISTE[#All],2,0),"")</f>
        <v/>
      </c>
      <c r="D3601" s="2">
        <f t="shared" si="56"/>
        <v>0</v>
      </c>
      <c r="E3601" s="14" t="str">
        <f>IFERROR(GIZLI!G3596,"")</f>
        <v/>
      </c>
    </row>
    <row r="3602" spans="2:5" x14ac:dyDescent="0.3">
      <c r="B3602" s="2" t="str">
        <f>MID(TableQR[[#This Row],[QR CODES]],4,13)</f>
        <v/>
      </c>
      <c r="C3602" s="2" t="str">
        <f>IFERROR(VLOOKUP(TableQR[[#This Row],[BARCODES]],ILACLISTE[#All],2,0),"")</f>
        <v/>
      </c>
      <c r="D3602" s="2">
        <f t="shared" si="56"/>
        <v>0</v>
      </c>
      <c r="E3602" s="14" t="str">
        <f>IFERROR(GIZLI!G3597,"")</f>
        <v/>
      </c>
    </row>
    <row r="3603" spans="2:5" x14ac:dyDescent="0.3">
      <c r="B3603" s="2" t="str">
        <f>MID(TableQR[[#This Row],[QR CODES]],4,13)</f>
        <v/>
      </c>
      <c r="C3603" s="2" t="str">
        <f>IFERROR(VLOOKUP(TableQR[[#This Row],[BARCODES]],ILACLISTE[#All],2,0),"")</f>
        <v/>
      </c>
      <c r="D3603" s="2">
        <f t="shared" si="56"/>
        <v>0</v>
      </c>
      <c r="E3603" s="14" t="str">
        <f>IFERROR(GIZLI!G3598,"")</f>
        <v/>
      </c>
    </row>
    <row r="3604" spans="2:5" x14ac:dyDescent="0.3">
      <c r="B3604" s="2" t="str">
        <f>MID(TableQR[[#This Row],[QR CODES]],4,13)</f>
        <v/>
      </c>
      <c r="C3604" s="2" t="str">
        <f>IFERROR(VLOOKUP(TableQR[[#This Row],[BARCODES]],ILACLISTE[#All],2,0),"")</f>
        <v/>
      </c>
      <c r="D3604" s="2">
        <f t="shared" si="56"/>
        <v>0</v>
      </c>
      <c r="E3604" s="14" t="str">
        <f>IFERROR(GIZLI!G3599,"")</f>
        <v/>
      </c>
    </row>
    <row r="3605" spans="2:5" x14ac:dyDescent="0.3">
      <c r="B3605" s="2" t="str">
        <f>MID(TableQR[[#This Row],[QR CODES]],4,13)</f>
        <v/>
      </c>
      <c r="C3605" s="2" t="str">
        <f>IFERROR(VLOOKUP(TableQR[[#This Row],[BARCODES]],ILACLISTE[#All],2,0),"")</f>
        <v/>
      </c>
      <c r="D3605" s="2">
        <f t="shared" si="56"/>
        <v>0</v>
      </c>
      <c r="E3605" s="14" t="str">
        <f>IFERROR(GIZLI!G3600,"")</f>
        <v/>
      </c>
    </row>
    <row r="3606" spans="2:5" x14ac:dyDescent="0.3">
      <c r="B3606" s="2" t="str">
        <f>MID(TableQR[[#This Row],[QR CODES]],4,13)</f>
        <v/>
      </c>
      <c r="C3606" s="2" t="str">
        <f>IFERROR(VLOOKUP(TableQR[[#This Row],[BARCODES]],ILACLISTE[#All],2,0),"")</f>
        <v/>
      </c>
      <c r="D3606" s="2">
        <f t="shared" si="56"/>
        <v>0</v>
      </c>
      <c r="E3606" s="14" t="str">
        <f>IFERROR(GIZLI!G3601,"")</f>
        <v/>
      </c>
    </row>
    <row r="3607" spans="2:5" x14ac:dyDescent="0.3">
      <c r="B3607" s="2" t="str">
        <f>MID(TableQR[[#This Row],[QR CODES]],4,13)</f>
        <v/>
      </c>
      <c r="C3607" s="2" t="str">
        <f>IFERROR(VLOOKUP(TableQR[[#This Row],[BARCODES]],ILACLISTE[#All],2,0),"")</f>
        <v/>
      </c>
      <c r="D3607" s="2">
        <f t="shared" si="56"/>
        <v>0</v>
      </c>
      <c r="E3607" s="14" t="str">
        <f>IFERROR(GIZLI!G3602,"")</f>
        <v/>
      </c>
    </row>
    <row r="3608" spans="2:5" x14ac:dyDescent="0.3">
      <c r="B3608" s="2" t="str">
        <f>MID(TableQR[[#This Row],[QR CODES]],4,13)</f>
        <v/>
      </c>
      <c r="C3608" s="2" t="str">
        <f>IFERROR(VLOOKUP(TableQR[[#This Row],[BARCODES]],ILACLISTE[#All],2,0),"")</f>
        <v/>
      </c>
      <c r="D3608" s="2">
        <f t="shared" si="56"/>
        <v>0</v>
      </c>
      <c r="E3608" s="14" t="str">
        <f>IFERROR(GIZLI!G3603,"")</f>
        <v/>
      </c>
    </row>
    <row r="3609" spans="2:5" x14ac:dyDescent="0.3">
      <c r="B3609" s="2" t="str">
        <f>MID(TableQR[[#This Row],[QR CODES]],4,13)</f>
        <v/>
      </c>
      <c r="C3609" s="2" t="str">
        <f>IFERROR(VLOOKUP(TableQR[[#This Row],[BARCODES]],ILACLISTE[#All],2,0),"")</f>
        <v/>
      </c>
      <c r="D3609" s="2">
        <f t="shared" si="56"/>
        <v>0</v>
      </c>
      <c r="E3609" s="14" t="str">
        <f>IFERROR(GIZLI!G3604,"")</f>
        <v/>
      </c>
    </row>
    <row r="3610" spans="2:5" x14ac:dyDescent="0.3">
      <c r="B3610" s="2" t="str">
        <f>MID(TableQR[[#This Row],[QR CODES]],4,13)</f>
        <v/>
      </c>
      <c r="C3610" s="2" t="str">
        <f>IFERROR(VLOOKUP(TableQR[[#This Row],[BARCODES]],ILACLISTE[#All],2,0),"")</f>
        <v/>
      </c>
      <c r="D3610" s="2">
        <f t="shared" si="56"/>
        <v>0</v>
      </c>
      <c r="E3610" s="14" t="str">
        <f>IFERROR(GIZLI!G3605,"")</f>
        <v/>
      </c>
    </row>
    <row r="3611" spans="2:5" x14ac:dyDescent="0.3">
      <c r="B3611" s="2" t="str">
        <f>MID(TableQR[[#This Row],[QR CODES]],4,13)</f>
        <v/>
      </c>
      <c r="C3611" s="2" t="str">
        <f>IFERROR(VLOOKUP(TableQR[[#This Row],[BARCODES]],ILACLISTE[#All],2,0),"")</f>
        <v/>
      </c>
      <c r="D3611" s="2">
        <f t="shared" si="56"/>
        <v>0</v>
      </c>
      <c r="E3611" s="14" t="str">
        <f>IFERROR(GIZLI!G3606,"")</f>
        <v/>
      </c>
    </row>
    <row r="3612" spans="2:5" x14ac:dyDescent="0.3">
      <c r="B3612" s="2" t="str">
        <f>MID(TableQR[[#This Row],[QR CODES]],4,13)</f>
        <v/>
      </c>
      <c r="C3612" s="2" t="str">
        <f>IFERROR(VLOOKUP(TableQR[[#This Row],[BARCODES]],ILACLISTE[#All],2,0),"")</f>
        <v/>
      </c>
      <c r="D3612" s="2">
        <f t="shared" si="56"/>
        <v>0</v>
      </c>
      <c r="E3612" s="14" t="str">
        <f>IFERROR(GIZLI!G3607,"")</f>
        <v/>
      </c>
    </row>
    <row r="3613" spans="2:5" x14ac:dyDescent="0.3">
      <c r="B3613" s="2" t="str">
        <f>MID(TableQR[[#This Row],[QR CODES]],4,13)</f>
        <v/>
      </c>
      <c r="C3613" s="2" t="str">
        <f>IFERROR(VLOOKUP(TableQR[[#This Row],[BARCODES]],ILACLISTE[#All],2,0),"")</f>
        <v/>
      </c>
      <c r="D3613" s="2">
        <f t="shared" si="56"/>
        <v>0</v>
      </c>
      <c r="E3613" s="14" t="str">
        <f>IFERROR(GIZLI!G3608,"")</f>
        <v/>
      </c>
    </row>
    <row r="3614" spans="2:5" x14ac:dyDescent="0.3">
      <c r="B3614" s="2" t="str">
        <f>MID(TableQR[[#This Row],[QR CODES]],4,13)</f>
        <v/>
      </c>
      <c r="C3614" s="2" t="str">
        <f>IFERROR(VLOOKUP(TableQR[[#This Row],[BARCODES]],ILACLISTE[#All],2,0),"")</f>
        <v/>
      </c>
      <c r="D3614" s="2">
        <f t="shared" si="56"/>
        <v>0</v>
      </c>
      <c r="E3614" s="14" t="str">
        <f>IFERROR(GIZLI!G3609,"")</f>
        <v/>
      </c>
    </row>
    <row r="3615" spans="2:5" x14ac:dyDescent="0.3">
      <c r="B3615" s="2" t="str">
        <f>MID(TableQR[[#This Row],[QR CODES]],4,13)</f>
        <v/>
      </c>
      <c r="C3615" s="2" t="str">
        <f>IFERROR(VLOOKUP(TableQR[[#This Row],[BARCODES]],ILACLISTE[#All],2,0),"")</f>
        <v/>
      </c>
      <c r="D3615" s="2">
        <f t="shared" si="56"/>
        <v>0</v>
      </c>
      <c r="E3615" s="14" t="str">
        <f>IFERROR(GIZLI!G3610,"")</f>
        <v/>
      </c>
    </row>
    <row r="3616" spans="2:5" x14ac:dyDescent="0.3">
      <c r="B3616" s="2" t="str">
        <f>MID(TableQR[[#This Row],[QR CODES]],4,13)</f>
        <v/>
      </c>
      <c r="C3616" s="2" t="str">
        <f>IFERROR(VLOOKUP(TableQR[[#This Row],[BARCODES]],ILACLISTE[#All],2,0),"")</f>
        <v/>
      </c>
      <c r="D3616" s="2">
        <f t="shared" si="56"/>
        <v>0</v>
      </c>
      <c r="E3616" s="14" t="str">
        <f>IFERROR(GIZLI!G3611,"")</f>
        <v/>
      </c>
    </row>
    <row r="3617" spans="2:5" x14ac:dyDescent="0.3">
      <c r="B3617" s="2" t="str">
        <f>MID(TableQR[[#This Row],[QR CODES]],4,13)</f>
        <v/>
      </c>
      <c r="C3617" s="2" t="str">
        <f>IFERROR(VLOOKUP(TableQR[[#This Row],[BARCODES]],ILACLISTE[#All],2,0),"")</f>
        <v/>
      </c>
      <c r="D3617" s="2">
        <f t="shared" si="56"/>
        <v>0</v>
      </c>
      <c r="E3617" s="14" t="str">
        <f>IFERROR(GIZLI!G3612,"")</f>
        <v/>
      </c>
    </row>
    <row r="3618" spans="2:5" x14ac:dyDescent="0.3">
      <c r="B3618" s="2" t="str">
        <f>MID(TableQR[[#This Row],[QR CODES]],4,13)</f>
        <v/>
      </c>
      <c r="C3618" s="2" t="str">
        <f>IFERROR(VLOOKUP(TableQR[[#This Row],[BARCODES]],ILACLISTE[#All],2,0),"")</f>
        <v/>
      </c>
      <c r="D3618" s="2">
        <f t="shared" si="56"/>
        <v>0</v>
      </c>
      <c r="E3618" s="14" t="str">
        <f>IFERROR(GIZLI!G3613,"")</f>
        <v/>
      </c>
    </row>
    <row r="3619" spans="2:5" x14ac:dyDescent="0.3">
      <c r="B3619" s="2" t="str">
        <f>MID(TableQR[[#This Row],[QR CODES]],4,13)</f>
        <v/>
      </c>
      <c r="C3619" s="2" t="str">
        <f>IFERROR(VLOOKUP(TableQR[[#This Row],[BARCODES]],ILACLISTE[#All],2,0),"")</f>
        <v/>
      </c>
      <c r="D3619" s="2">
        <f t="shared" si="56"/>
        <v>0</v>
      </c>
      <c r="E3619" s="14" t="str">
        <f>IFERROR(GIZLI!G3614,"")</f>
        <v/>
      </c>
    </row>
    <row r="3620" spans="2:5" x14ac:dyDescent="0.3">
      <c r="B3620" s="2" t="str">
        <f>MID(TableQR[[#This Row],[QR CODES]],4,13)</f>
        <v/>
      </c>
      <c r="C3620" s="2" t="str">
        <f>IFERROR(VLOOKUP(TableQR[[#This Row],[BARCODES]],ILACLISTE[#All],2,0),"")</f>
        <v/>
      </c>
      <c r="D3620" s="2">
        <f t="shared" si="56"/>
        <v>0</v>
      </c>
      <c r="E3620" s="14" t="str">
        <f>IFERROR(GIZLI!G3615,"")</f>
        <v/>
      </c>
    </row>
    <row r="3621" spans="2:5" x14ac:dyDescent="0.3">
      <c r="B3621" s="2" t="str">
        <f>MID(TableQR[[#This Row],[QR CODES]],4,13)</f>
        <v/>
      </c>
      <c r="C3621" s="2" t="str">
        <f>IFERROR(VLOOKUP(TableQR[[#This Row],[BARCODES]],ILACLISTE[#All],2,0),"")</f>
        <v/>
      </c>
      <c r="D3621" s="2">
        <f t="shared" si="56"/>
        <v>0</v>
      </c>
      <c r="E3621" s="14" t="str">
        <f>IFERROR(GIZLI!G3616,"")</f>
        <v/>
      </c>
    </row>
    <row r="3622" spans="2:5" x14ac:dyDescent="0.3">
      <c r="B3622" s="2" t="str">
        <f>MID(TableQR[[#This Row],[QR CODES]],4,13)</f>
        <v/>
      </c>
      <c r="C3622" s="2" t="str">
        <f>IFERROR(VLOOKUP(TableQR[[#This Row],[BARCODES]],ILACLISTE[#All],2,0),"")</f>
        <v/>
      </c>
      <c r="D3622" s="2">
        <f t="shared" si="56"/>
        <v>0</v>
      </c>
      <c r="E3622" s="14" t="str">
        <f>IFERROR(GIZLI!G3617,"")</f>
        <v/>
      </c>
    </row>
    <row r="3623" spans="2:5" x14ac:dyDescent="0.3">
      <c r="B3623" s="2" t="str">
        <f>MID(TableQR[[#This Row],[QR CODES]],4,13)</f>
        <v/>
      </c>
      <c r="C3623" s="2" t="str">
        <f>IFERROR(VLOOKUP(TableQR[[#This Row],[BARCODES]],ILACLISTE[#All],2,0),"")</f>
        <v/>
      </c>
      <c r="D3623" s="2">
        <f t="shared" si="56"/>
        <v>0</v>
      </c>
      <c r="E3623" s="14" t="str">
        <f>IFERROR(GIZLI!G3618,"")</f>
        <v/>
      </c>
    </row>
    <row r="3624" spans="2:5" x14ac:dyDescent="0.3">
      <c r="B3624" s="2" t="str">
        <f>MID(TableQR[[#This Row],[QR CODES]],4,13)</f>
        <v/>
      </c>
      <c r="C3624" s="2" t="str">
        <f>IFERROR(VLOOKUP(TableQR[[#This Row],[BARCODES]],ILACLISTE[#All],2,0),"")</f>
        <v/>
      </c>
      <c r="D3624" s="2">
        <f t="shared" si="56"/>
        <v>0</v>
      </c>
      <c r="E3624" s="14" t="str">
        <f>IFERROR(GIZLI!G3619,"")</f>
        <v/>
      </c>
    </row>
    <row r="3625" spans="2:5" x14ac:dyDescent="0.3">
      <c r="B3625" s="2" t="str">
        <f>MID(TableQR[[#This Row],[QR CODES]],4,13)</f>
        <v/>
      </c>
      <c r="C3625" s="2" t="str">
        <f>IFERROR(VLOOKUP(TableQR[[#This Row],[BARCODES]],ILACLISTE[#All],2,0),"")</f>
        <v/>
      </c>
      <c r="D3625" s="2">
        <f t="shared" si="56"/>
        <v>0</v>
      </c>
      <c r="E3625" s="14" t="str">
        <f>IFERROR(GIZLI!G3620,"")</f>
        <v/>
      </c>
    </row>
    <row r="3626" spans="2:5" x14ac:dyDescent="0.3">
      <c r="B3626" s="2" t="str">
        <f>MID(TableQR[[#This Row],[QR CODES]],4,13)</f>
        <v/>
      </c>
      <c r="C3626" s="2" t="str">
        <f>IFERROR(VLOOKUP(TableQR[[#This Row],[BARCODES]],ILACLISTE[#All],2,0),"")</f>
        <v/>
      </c>
      <c r="D3626" s="2">
        <f t="shared" si="56"/>
        <v>0</v>
      </c>
      <c r="E3626" s="14" t="str">
        <f>IFERROR(GIZLI!G3621,"")</f>
        <v/>
      </c>
    </row>
    <row r="3627" spans="2:5" x14ac:dyDescent="0.3">
      <c r="B3627" s="2" t="str">
        <f>MID(TableQR[[#This Row],[QR CODES]],4,13)</f>
        <v/>
      </c>
      <c r="C3627" s="2" t="str">
        <f>IFERROR(VLOOKUP(TableQR[[#This Row],[BARCODES]],ILACLISTE[#All],2,0),"")</f>
        <v/>
      </c>
      <c r="D3627" s="2">
        <f t="shared" si="56"/>
        <v>0</v>
      </c>
      <c r="E3627" s="14" t="str">
        <f>IFERROR(GIZLI!G3622,"")</f>
        <v/>
      </c>
    </row>
    <row r="3628" spans="2:5" x14ac:dyDescent="0.3">
      <c r="B3628" s="2" t="str">
        <f>MID(TableQR[[#This Row],[QR CODES]],4,13)</f>
        <v/>
      </c>
      <c r="C3628" s="2" t="str">
        <f>IFERROR(VLOOKUP(TableQR[[#This Row],[BARCODES]],ILACLISTE[#All],2,0),"")</f>
        <v/>
      </c>
      <c r="D3628" s="2">
        <f t="shared" si="56"/>
        <v>0</v>
      </c>
      <c r="E3628" s="14" t="str">
        <f>IFERROR(GIZLI!G3623,"")</f>
        <v/>
      </c>
    </row>
    <row r="3629" spans="2:5" x14ac:dyDescent="0.3">
      <c r="B3629" s="2" t="str">
        <f>MID(TableQR[[#This Row],[QR CODES]],4,13)</f>
        <v/>
      </c>
      <c r="C3629" s="2" t="str">
        <f>IFERROR(VLOOKUP(TableQR[[#This Row],[BARCODES]],ILACLISTE[#All],2,0),"")</f>
        <v/>
      </c>
      <c r="D3629" s="2">
        <f t="shared" si="56"/>
        <v>0</v>
      </c>
      <c r="E3629" s="14" t="str">
        <f>IFERROR(GIZLI!G3624,"")</f>
        <v/>
      </c>
    </row>
    <row r="3630" spans="2:5" x14ac:dyDescent="0.3">
      <c r="B3630" s="2" t="str">
        <f>MID(TableQR[[#This Row],[QR CODES]],4,13)</f>
        <v/>
      </c>
      <c r="C3630" s="2" t="str">
        <f>IFERROR(VLOOKUP(TableQR[[#This Row],[BARCODES]],ILACLISTE[#All],2,0),"")</f>
        <v/>
      </c>
      <c r="D3630" s="2">
        <f t="shared" si="56"/>
        <v>0</v>
      </c>
      <c r="E3630" s="14" t="str">
        <f>IFERROR(GIZLI!G3625,"")</f>
        <v/>
      </c>
    </row>
    <row r="3631" spans="2:5" x14ac:dyDescent="0.3">
      <c r="B3631" s="2" t="str">
        <f>MID(TableQR[[#This Row],[QR CODES]],4,13)</f>
        <v/>
      </c>
      <c r="C3631" s="2" t="str">
        <f>IFERROR(VLOOKUP(TableQR[[#This Row],[BARCODES]],ILACLISTE[#All],2,0),"")</f>
        <v/>
      </c>
      <c r="D3631" s="2">
        <f t="shared" si="56"/>
        <v>0</v>
      </c>
      <c r="E3631" s="14" t="str">
        <f>IFERROR(GIZLI!G3626,"")</f>
        <v/>
      </c>
    </row>
    <row r="3632" spans="2:5" x14ac:dyDescent="0.3">
      <c r="B3632" s="2" t="str">
        <f>MID(TableQR[[#This Row],[QR CODES]],4,13)</f>
        <v/>
      </c>
      <c r="C3632" s="2" t="str">
        <f>IFERROR(VLOOKUP(TableQR[[#This Row],[BARCODES]],ILACLISTE[#All],2,0),"")</f>
        <v/>
      </c>
      <c r="D3632" s="2">
        <f t="shared" si="56"/>
        <v>0</v>
      </c>
      <c r="E3632" s="14" t="str">
        <f>IFERROR(GIZLI!G3627,"")</f>
        <v/>
      </c>
    </row>
    <row r="3633" spans="2:5" x14ac:dyDescent="0.3">
      <c r="B3633" s="2" t="str">
        <f>MID(TableQR[[#This Row],[QR CODES]],4,13)</f>
        <v/>
      </c>
      <c r="C3633" s="2" t="str">
        <f>IFERROR(VLOOKUP(TableQR[[#This Row],[BARCODES]],ILACLISTE[#All],2,0),"")</f>
        <v/>
      </c>
      <c r="D3633" s="2">
        <f t="shared" si="56"/>
        <v>0</v>
      </c>
      <c r="E3633" s="14" t="str">
        <f>IFERROR(GIZLI!G3628,"")</f>
        <v/>
      </c>
    </row>
    <row r="3634" spans="2:5" x14ac:dyDescent="0.3">
      <c r="B3634" s="2" t="str">
        <f>MID(TableQR[[#This Row],[QR CODES]],4,13)</f>
        <v/>
      </c>
      <c r="C3634" s="2" t="str">
        <f>IFERROR(VLOOKUP(TableQR[[#This Row],[BARCODES]],ILACLISTE[#All],2,0),"")</f>
        <v/>
      </c>
      <c r="D3634" s="2">
        <f t="shared" si="56"/>
        <v>0</v>
      </c>
      <c r="E3634" s="14" t="str">
        <f>IFERROR(GIZLI!G3629,"")</f>
        <v/>
      </c>
    </row>
    <row r="3635" spans="2:5" x14ac:dyDescent="0.3">
      <c r="B3635" s="2" t="str">
        <f>MID(TableQR[[#This Row],[QR CODES]],4,13)</f>
        <v/>
      </c>
      <c r="C3635" s="2" t="str">
        <f>IFERROR(VLOOKUP(TableQR[[#This Row],[BARCODES]],ILACLISTE[#All],2,0),"")</f>
        <v/>
      </c>
      <c r="D3635" s="2">
        <f t="shared" si="56"/>
        <v>0</v>
      </c>
      <c r="E3635" s="14" t="str">
        <f>IFERROR(GIZLI!G3630,"")</f>
        <v/>
      </c>
    </row>
    <row r="3636" spans="2:5" x14ac:dyDescent="0.3">
      <c r="B3636" s="2" t="str">
        <f>MID(TableQR[[#This Row],[QR CODES]],4,13)</f>
        <v/>
      </c>
      <c r="C3636" s="2" t="str">
        <f>IFERROR(VLOOKUP(TableQR[[#This Row],[BARCODES]],ILACLISTE[#All],2,0),"")</f>
        <v/>
      </c>
      <c r="D3636" s="2">
        <f t="shared" si="56"/>
        <v>0</v>
      </c>
      <c r="E3636" s="14" t="str">
        <f>IFERROR(GIZLI!G3631,"")</f>
        <v/>
      </c>
    </row>
    <row r="3637" spans="2:5" x14ac:dyDescent="0.3">
      <c r="B3637" s="2" t="str">
        <f>MID(TableQR[[#This Row],[QR CODES]],4,13)</f>
        <v/>
      </c>
      <c r="C3637" s="2" t="str">
        <f>IFERROR(VLOOKUP(TableQR[[#This Row],[BARCODES]],ILACLISTE[#All],2,0),"")</f>
        <v/>
      </c>
      <c r="D3637" s="2">
        <f t="shared" si="56"/>
        <v>0</v>
      </c>
      <c r="E3637" s="14" t="str">
        <f>IFERROR(GIZLI!G3632,"")</f>
        <v/>
      </c>
    </row>
    <row r="3638" spans="2:5" x14ac:dyDescent="0.3">
      <c r="B3638" s="2" t="str">
        <f>MID(TableQR[[#This Row],[QR CODES]],4,13)</f>
        <v/>
      </c>
      <c r="C3638" s="2" t="str">
        <f>IFERROR(VLOOKUP(TableQR[[#This Row],[BARCODES]],ILACLISTE[#All],2,0),"")</f>
        <v/>
      </c>
      <c r="D3638" s="2">
        <f t="shared" si="56"/>
        <v>0</v>
      </c>
      <c r="E3638" s="14" t="str">
        <f>IFERROR(GIZLI!G3633,"")</f>
        <v/>
      </c>
    </row>
    <row r="3639" spans="2:5" x14ac:dyDescent="0.3">
      <c r="B3639" s="2" t="str">
        <f>MID(TableQR[[#This Row],[QR CODES]],4,13)</f>
        <v/>
      </c>
      <c r="C3639" s="2" t="str">
        <f>IFERROR(VLOOKUP(TableQR[[#This Row],[BARCODES]],ILACLISTE[#All],2,0),"")</f>
        <v/>
      </c>
      <c r="D3639" s="2">
        <f t="shared" si="56"/>
        <v>0</v>
      </c>
      <c r="E3639" s="14" t="str">
        <f>IFERROR(GIZLI!G3634,"")</f>
        <v/>
      </c>
    </row>
    <row r="3640" spans="2:5" x14ac:dyDescent="0.3">
      <c r="B3640" s="2" t="str">
        <f>MID(TableQR[[#This Row],[QR CODES]],4,13)</f>
        <v/>
      </c>
      <c r="C3640" s="2" t="str">
        <f>IFERROR(VLOOKUP(TableQR[[#This Row],[BARCODES]],ILACLISTE[#All],2,0),"")</f>
        <v/>
      </c>
      <c r="D3640" s="2">
        <f t="shared" si="56"/>
        <v>0</v>
      </c>
      <c r="E3640" s="14" t="str">
        <f>IFERROR(GIZLI!G3635,"")</f>
        <v/>
      </c>
    </row>
    <row r="3641" spans="2:5" x14ac:dyDescent="0.3">
      <c r="B3641" s="2" t="str">
        <f>MID(TableQR[[#This Row],[QR CODES]],4,13)</f>
        <v/>
      </c>
      <c r="C3641" s="2" t="str">
        <f>IFERROR(VLOOKUP(TableQR[[#This Row],[BARCODES]],ILACLISTE[#All],2,0),"")</f>
        <v/>
      </c>
      <c r="D3641" s="2">
        <f t="shared" si="56"/>
        <v>0</v>
      </c>
      <c r="E3641" s="14" t="str">
        <f>IFERROR(GIZLI!G3636,"")</f>
        <v/>
      </c>
    </row>
    <row r="3642" spans="2:5" x14ac:dyDescent="0.3">
      <c r="B3642" s="2" t="str">
        <f>MID(TableQR[[#This Row],[QR CODES]],4,13)</f>
        <v/>
      </c>
      <c r="C3642" s="2" t="str">
        <f>IFERROR(VLOOKUP(TableQR[[#This Row],[BARCODES]],ILACLISTE[#All],2,0),"")</f>
        <v/>
      </c>
      <c r="D3642" s="2">
        <f t="shared" si="56"/>
        <v>0</v>
      </c>
      <c r="E3642" s="14" t="str">
        <f>IFERROR(GIZLI!G3637,"")</f>
        <v/>
      </c>
    </row>
    <row r="3643" spans="2:5" x14ac:dyDescent="0.3">
      <c r="B3643" s="2" t="str">
        <f>MID(TableQR[[#This Row],[QR CODES]],4,13)</f>
        <v/>
      </c>
      <c r="C3643" s="2" t="str">
        <f>IFERROR(VLOOKUP(TableQR[[#This Row],[BARCODES]],ILACLISTE[#All],2,0),"")</f>
        <v/>
      </c>
      <c r="D3643" s="2">
        <f t="shared" si="56"/>
        <v>0</v>
      </c>
      <c r="E3643" s="14" t="str">
        <f>IFERROR(GIZLI!G3638,"")</f>
        <v/>
      </c>
    </row>
    <row r="3644" spans="2:5" x14ac:dyDescent="0.3">
      <c r="B3644" s="2" t="str">
        <f>MID(TableQR[[#This Row],[QR CODES]],4,13)</f>
        <v/>
      </c>
      <c r="C3644" s="2" t="str">
        <f>IFERROR(VLOOKUP(TableQR[[#This Row],[BARCODES]],ILACLISTE[#All],2,0),"")</f>
        <v/>
      </c>
      <c r="D3644" s="2">
        <f t="shared" si="56"/>
        <v>0</v>
      </c>
      <c r="E3644" s="14" t="str">
        <f>IFERROR(GIZLI!G3639,"")</f>
        <v/>
      </c>
    </row>
    <row r="3645" spans="2:5" x14ac:dyDescent="0.3">
      <c r="B3645" s="2" t="str">
        <f>MID(TableQR[[#This Row],[QR CODES]],4,13)</f>
        <v/>
      </c>
      <c r="C3645" s="2" t="str">
        <f>IFERROR(VLOOKUP(TableQR[[#This Row],[BARCODES]],ILACLISTE[#All],2,0),"")</f>
        <v/>
      </c>
      <c r="D3645" s="2">
        <f t="shared" si="56"/>
        <v>0</v>
      </c>
      <c r="E3645" s="14" t="str">
        <f>IFERROR(GIZLI!G3640,"")</f>
        <v/>
      </c>
    </row>
    <row r="3646" spans="2:5" x14ac:dyDescent="0.3">
      <c r="B3646" s="2" t="str">
        <f>MID(TableQR[[#This Row],[QR CODES]],4,13)</f>
        <v/>
      </c>
      <c r="C3646" s="2" t="str">
        <f>IFERROR(VLOOKUP(TableQR[[#This Row],[BARCODES]],ILACLISTE[#All],2,0),"")</f>
        <v/>
      </c>
      <c r="D3646" s="2">
        <f t="shared" si="56"/>
        <v>0</v>
      </c>
      <c r="E3646" s="14" t="str">
        <f>IFERROR(GIZLI!G3641,"")</f>
        <v/>
      </c>
    </row>
    <row r="3647" spans="2:5" x14ac:dyDescent="0.3">
      <c r="B3647" s="2" t="str">
        <f>MID(TableQR[[#This Row],[QR CODES]],4,13)</f>
        <v/>
      </c>
      <c r="C3647" s="2" t="str">
        <f>IFERROR(VLOOKUP(TableQR[[#This Row],[BARCODES]],ILACLISTE[#All],2,0),"")</f>
        <v/>
      </c>
      <c r="D3647" s="2">
        <f t="shared" si="56"/>
        <v>0</v>
      </c>
      <c r="E3647" s="14" t="str">
        <f>IFERROR(GIZLI!G3642,"")</f>
        <v/>
      </c>
    </row>
    <row r="3648" spans="2:5" x14ac:dyDescent="0.3">
      <c r="B3648" s="2" t="str">
        <f>MID(TableQR[[#This Row],[QR CODES]],4,13)</f>
        <v/>
      </c>
      <c r="C3648" s="2" t="str">
        <f>IFERROR(VLOOKUP(TableQR[[#This Row],[BARCODES]],ILACLISTE[#All],2,0),"")</f>
        <v/>
      </c>
      <c r="D3648" s="2">
        <f t="shared" si="56"/>
        <v>0</v>
      </c>
      <c r="E3648" s="14" t="str">
        <f>IFERROR(GIZLI!G3643,"")</f>
        <v/>
      </c>
    </row>
    <row r="3649" spans="2:5" x14ac:dyDescent="0.3">
      <c r="B3649" s="2" t="str">
        <f>MID(TableQR[[#This Row],[QR CODES]],4,13)</f>
        <v/>
      </c>
      <c r="C3649" s="2" t="str">
        <f>IFERROR(VLOOKUP(TableQR[[#This Row],[BARCODES]],ILACLISTE[#All],2,0),"")</f>
        <v/>
      </c>
      <c r="D3649" s="2">
        <f t="shared" si="56"/>
        <v>0</v>
      </c>
      <c r="E3649" s="14" t="str">
        <f>IFERROR(GIZLI!G3644,"")</f>
        <v/>
      </c>
    </row>
    <row r="3650" spans="2:5" x14ac:dyDescent="0.3">
      <c r="B3650" s="2" t="str">
        <f>MID(TableQR[[#This Row],[QR CODES]],4,13)</f>
        <v/>
      </c>
      <c r="C3650" s="2" t="str">
        <f>IFERROR(VLOOKUP(TableQR[[#This Row],[BARCODES]],ILACLISTE[#All],2,0),"")</f>
        <v/>
      </c>
      <c r="D3650" s="2">
        <f t="shared" si="56"/>
        <v>0</v>
      </c>
      <c r="E3650" s="14" t="str">
        <f>IFERROR(GIZLI!G3645,"")</f>
        <v/>
      </c>
    </row>
    <row r="3651" spans="2:5" x14ac:dyDescent="0.3">
      <c r="B3651" s="2" t="str">
        <f>MID(TableQR[[#This Row],[QR CODES]],4,13)</f>
        <v/>
      </c>
      <c r="C3651" s="2" t="str">
        <f>IFERROR(VLOOKUP(TableQR[[#This Row],[BARCODES]],ILACLISTE[#All],2,0),"")</f>
        <v/>
      </c>
      <c r="D3651" s="2">
        <f t="shared" si="56"/>
        <v>0</v>
      </c>
      <c r="E3651" s="14" t="str">
        <f>IFERROR(GIZLI!G3646,"")</f>
        <v/>
      </c>
    </row>
    <row r="3652" spans="2:5" x14ac:dyDescent="0.3">
      <c r="B3652" s="2" t="str">
        <f>MID(TableQR[[#This Row],[QR CODES]],4,13)</f>
        <v/>
      </c>
      <c r="C3652" s="2" t="str">
        <f>IFERROR(VLOOKUP(TableQR[[#This Row],[BARCODES]],ILACLISTE[#All],2,0),"")</f>
        <v/>
      </c>
      <c r="D3652" s="2">
        <f t="shared" si="56"/>
        <v>0</v>
      </c>
      <c r="E3652" s="14" t="str">
        <f>IFERROR(GIZLI!G3647,"")</f>
        <v/>
      </c>
    </row>
    <row r="3653" spans="2:5" x14ac:dyDescent="0.3">
      <c r="B3653" s="2" t="str">
        <f>MID(TableQR[[#This Row],[QR CODES]],4,13)</f>
        <v/>
      </c>
      <c r="C3653" s="2" t="str">
        <f>IFERROR(VLOOKUP(TableQR[[#This Row],[BARCODES]],ILACLISTE[#All],2,0),"")</f>
        <v/>
      </c>
      <c r="D3653" s="2">
        <f t="shared" si="56"/>
        <v>0</v>
      </c>
      <c r="E3653" s="14" t="str">
        <f>IFERROR(GIZLI!G3648,"")</f>
        <v/>
      </c>
    </row>
    <row r="3654" spans="2:5" x14ac:dyDescent="0.3">
      <c r="B3654" s="2" t="str">
        <f>MID(TableQR[[#This Row],[QR CODES]],4,13)</f>
        <v/>
      </c>
      <c r="C3654" s="2" t="str">
        <f>IFERROR(VLOOKUP(TableQR[[#This Row],[BARCODES]],ILACLISTE[#All],2,0),"")</f>
        <v/>
      </c>
      <c r="D3654" s="2">
        <f t="shared" si="56"/>
        <v>0</v>
      </c>
      <c r="E3654" s="14" t="str">
        <f>IFERROR(GIZLI!G3649,"")</f>
        <v/>
      </c>
    </row>
    <row r="3655" spans="2:5" x14ac:dyDescent="0.3">
      <c r="B3655" s="2" t="str">
        <f>MID(TableQR[[#This Row],[QR CODES]],4,13)</f>
        <v/>
      </c>
      <c r="C3655" s="2" t="str">
        <f>IFERROR(VLOOKUP(TableQR[[#This Row],[BARCODES]],ILACLISTE[#All],2,0),"")</f>
        <v/>
      </c>
      <c r="D3655" s="2">
        <f t="shared" si="56"/>
        <v>0</v>
      </c>
      <c r="E3655" s="14" t="str">
        <f>IFERROR(GIZLI!G3650,"")</f>
        <v/>
      </c>
    </row>
    <row r="3656" spans="2:5" x14ac:dyDescent="0.3">
      <c r="B3656" s="2" t="str">
        <f>MID(TableQR[[#This Row],[QR CODES]],4,13)</f>
        <v/>
      </c>
      <c r="C3656" s="2" t="str">
        <f>IFERROR(VLOOKUP(TableQR[[#This Row],[BARCODES]],ILACLISTE[#All],2,0),"")</f>
        <v/>
      </c>
      <c r="D3656" s="2">
        <f t="shared" ref="D3656:D3719" si="57">COUNTIF(B3656:B7649,IF(B3656="",66666,B3656))</f>
        <v>0</v>
      </c>
      <c r="E3656" s="14" t="str">
        <f>IFERROR(GIZLI!G3651,"")</f>
        <v/>
      </c>
    </row>
    <row r="3657" spans="2:5" x14ac:dyDescent="0.3">
      <c r="B3657" s="2" t="str">
        <f>MID(TableQR[[#This Row],[QR CODES]],4,13)</f>
        <v/>
      </c>
      <c r="C3657" s="2" t="str">
        <f>IFERROR(VLOOKUP(TableQR[[#This Row],[BARCODES]],ILACLISTE[#All],2,0),"")</f>
        <v/>
      </c>
      <c r="D3657" s="2">
        <f t="shared" si="57"/>
        <v>0</v>
      </c>
      <c r="E3657" s="14" t="str">
        <f>IFERROR(GIZLI!G3652,"")</f>
        <v/>
      </c>
    </row>
    <row r="3658" spans="2:5" x14ac:dyDescent="0.3">
      <c r="B3658" s="2" t="str">
        <f>MID(TableQR[[#This Row],[QR CODES]],4,13)</f>
        <v/>
      </c>
      <c r="C3658" s="2" t="str">
        <f>IFERROR(VLOOKUP(TableQR[[#This Row],[BARCODES]],ILACLISTE[#All],2,0),"")</f>
        <v/>
      </c>
      <c r="D3658" s="2">
        <f t="shared" si="57"/>
        <v>0</v>
      </c>
      <c r="E3658" s="14" t="str">
        <f>IFERROR(GIZLI!G3653,"")</f>
        <v/>
      </c>
    </row>
    <row r="3659" spans="2:5" x14ac:dyDescent="0.3">
      <c r="B3659" s="2" t="str">
        <f>MID(TableQR[[#This Row],[QR CODES]],4,13)</f>
        <v/>
      </c>
      <c r="C3659" s="2" t="str">
        <f>IFERROR(VLOOKUP(TableQR[[#This Row],[BARCODES]],ILACLISTE[#All],2,0),"")</f>
        <v/>
      </c>
      <c r="D3659" s="2">
        <f t="shared" si="57"/>
        <v>0</v>
      </c>
      <c r="E3659" s="14" t="str">
        <f>IFERROR(GIZLI!G3654,"")</f>
        <v/>
      </c>
    </row>
    <row r="3660" spans="2:5" x14ac:dyDescent="0.3">
      <c r="B3660" s="2" t="str">
        <f>MID(TableQR[[#This Row],[QR CODES]],4,13)</f>
        <v/>
      </c>
      <c r="C3660" s="2" t="str">
        <f>IFERROR(VLOOKUP(TableQR[[#This Row],[BARCODES]],ILACLISTE[#All],2,0),"")</f>
        <v/>
      </c>
      <c r="D3660" s="2">
        <f t="shared" si="57"/>
        <v>0</v>
      </c>
      <c r="E3660" s="14" t="str">
        <f>IFERROR(GIZLI!G3655,"")</f>
        <v/>
      </c>
    </row>
    <row r="3661" spans="2:5" x14ac:dyDescent="0.3">
      <c r="B3661" s="2" t="str">
        <f>MID(TableQR[[#This Row],[QR CODES]],4,13)</f>
        <v/>
      </c>
      <c r="C3661" s="2" t="str">
        <f>IFERROR(VLOOKUP(TableQR[[#This Row],[BARCODES]],ILACLISTE[#All],2,0),"")</f>
        <v/>
      </c>
      <c r="D3661" s="2">
        <f t="shared" si="57"/>
        <v>0</v>
      </c>
      <c r="E3661" s="14" t="str">
        <f>IFERROR(GIZLI!G3656,"")</f>
        <v/>
      </c>
    </row>
    <row r="3662" spans="2:5" x14ac:dyDescent="0.3">
      <c r="B3662" s="2" t="str">
        <f>MID(TableQR[[#This Row],[QR CODES]],4,13)</f>
        <v/>
      </c>
      <c r="C3662" s="2" t="str">
        <f>IFERROR(VLOOKUP(TableQR[[#This Row],[BARCODES]],ILACLISTE[#All],2,0),"")</f>
        <v/>
      </c>
      <c r="D3662" s="2">
        <f t="shared" si="57"/>
        <v>0</v>
      </c>
      <c r="E3662" s="14" t="str">
        <f>IFERROR(GIZLI!G3657,"")</f>
        <v/>
      </c>
    </row>
    <row r="3663" spans="2:5" x14ac:dyDescent="0.3">
      <c r="B3663" s="2" t="str">
        <f>MID(TableQR[[#This Row],[QR CODES]],4,13)</f>
        <v/>
      </c>
      <c r="C3663" s="2" t="str">
        <f>IFERROR(VLOOKUP(TableQR[[#This Row],[BARCODES]],ILACLISTE[#All],2,0),"")</f>
        <v/>
      </c>
      <c r="D3663" s="2">
        <f t="shared" si="57"/>
        <v>0</v>
      </c>
      <c r="E3663" s="14" t="str">
        <f>IFERROR(GIZLI!G3658,"")</f>
        <v/>
      </c>
    </row>
    <row r="3664" spans="2:5" x14ac:dyDescent="0.3">
      <c r="B3664" s="2" t="str">
        <f>MID(TableQR[[#This Row],[QR CODES]],4,13)</f>
        <v/>
      </c>
      <c r="C3664" s="2" t="str">
        <f>IFERROR(VLOOKUP(TableQR[[#This Row],[BARCODES]],ILACLISTE[#All],2,0),"")</f>
        <v/>
      </c>
      <c r="D3664" s="2">
        <f t="shared" si="57"/>
        <v>0</v>
      </c>
      <c r="E3664" s="14" t="str">
        <f>IFERROR(GIZLI!G3659,"")</f>
        <v/>
      </c>
    </row>
    <row r="3665" spans="2:5" x14ac:dyDescent="0.3">
      <c r="B3665" s="2" t="str">
        <f>MID(TableQR[[#This Row],[QR CODES]],4,13)</f>
        <v/>
      </c>
      <c r="C3665" s="2" t="str">
        <f>IFERROR(VLOOKUP(TableQR[[#This Row],[BARCODES]],ILACLISTE[#All],2,0),"")</f>
        <v/>
      </c>
      <c r="D3665" s="2">
        <f t="shared" si="57"/>
        <v>0</v>
      </c>
      <c r="E3665" s="14" t="str">
        <f>IFERROR(GIZLI!G3660,"")</f>
        <v/>
      </c>
    </row>
    <row r="3666" spans="2:5" x14ac:dyDescent="0.3">
      <c r="B3666" s="2" t="str">
        <f>MID(TableQR[[#This Row],[QR CODES]],4,13)</f>
        <v/>
      </c>
      <c r="C3666" s="2" t="str">
        <f>IFERROR(VLOOKUP(TableQR[[#This Row],[BARCODES]],ILACLISTE[#All],2,0),"")</f>
        <v/>
      </c>
      <c r="D3666" s="2">
        <f t="shared" si="57"/>
        <v>0</v>
      </c>
      <c r="E3666" s="14" t="str">
        <f>IFERROR(GIZLI!G3661,"")</f>
        <v/>
      </c>
    </row>
    <row r="3667" spans="2:5" x14ac:dyDescent="0.3">
      <c r="B3667" s="2" t="str">
        <f>MID(TableQR[[#This Row],[QR CODES]],4,13)</f>
        <v/>
      </c>
      <c r="C3667" s="2" t="str">
        <f>IFERROR(VLOOKUP(TableQR[[#This Row],[BARCODES]],ILACLISTE[#All],2,0),"")</f>
        <v/>
      </c>
      <c r="D3667" s="2">
        <f t="shared" si="57"/>
        <v>0</v>
      </c>
      <c r="E3667" s="14" t="str">
        <f>IFERROR(GIZLI!G3662,"")</f>
        <v/>
      </c>
    </row>
    <row r="3668" spans="2:5" x14ac:dyDescent="0.3">
      <c r="B3668" s="2" t="str">
        <f>MID(TableQR[[#This Row],[QR CODES]],4,13)</f>
        <v/>
      </c>
      <c r="C3668" s="2" t="str">
        <f>IFERROR(VLOOKUP(TableQR[[#This Row],[BARCODES]],ILACLISTE[#All],2,0),"")</f>
        <v/>
      </c>
      <c r="D3668" s="2">
        <f t="shared" si="57"/>
        <v>0</v>
      </c>
      <c r="E3668" s="14" t="str">
        <f>IFERROR(GIZLI!G3663,"")</f>
        <v/>
      </c>
    </row>
    <row r="3669" spans="2:5" x14ac:dyDescent="0.3">
      <c r="B3669" s="2" t="str">
        <f>MID(TableQR[[#This Row],[QR CODES]],4,13)</f>
        <v/>
      </c>
      <c r="C3669" s="2" t="str">
        <f>IFERROR(VLOOKUP(TableQR[[#This Row],[BARCODES]],ILACLISTE[#All],2,0),"")</f>
        <v/>
      </c>
      <c r="D3669" s="2">
        <f t="shared" si="57"/>
        <v>0</v>
      </c>
      <c r="E3669" s="14" t="str">
        <f>IFERROR(GIZLI!G3664,"")</f>
        <v/>
      </c>
    </row>
    <row r="3670" spans="2:5" x14ac:dyDescent="0.3">
      <c r="B3670" s="2" t="str">
        <f>MID(TableQR[[#This Row],[QR CODES]],4,13)</f>
        <v/>
      </c>
      <c r="C3670" s="2" t="str">
        <f>IFERROR(VLOOKUP(TableQR[[#This Row],[BARCODES]],ILACLISTE[#All],2,0),"")</f>
        <v/>
      </c>
      <c r="D3670" s="2">
        <f t="shared" si="57"/>
        <v>0</v>
      </c>
      <c r="E3670" s="14" t="str">
        <f>IFERROR(GIZLI!G3665,"")</f>
        <v/>
      </c>
    </row>
    <row r="3671" spans="2:5" x14ac:dyDescent="0.3">
      <c r="B3671" s="2" t="str">
        <f>MID(TableQR[[#This Row],[QR CODES]],4,13)</f>
        <v/>
      </c>
      <c r="C3671" s="2" t="str">
        <f>IFERROR(VLOOKUP(TableQR[[#This Row],[BARCODES]],ILACLISTE[#All],2,0),"")</f>
        <v/>
      </c>
      <c r="D3671" s="2">
        <f t="shared" si="57"/>
        <v>0</v>
      </c>
      <c r="E3671" s="14" t="str">
        <f>IFERROR(GIZLI!G3666,"")</f>
        <v/>
      </c>
    </row>
    <row r="3672" spans="2:5" x14ac:dyDescent="0.3">
      <c r="B3672" s="2" t="str">
        <f>MID(TableQR[[#This Row],[QR CODES]],4,13)</f>
        <v/>
      </c>
      <c r="C3672" s="2" t="str">
        <f>IFERROR(VLOOKUP(TableQR[[#This Row],[BARCODES]],ILACLISTE[#All],2,0),"")</f>
        <v/>
      </c>
      <c r="D3672" s="2">
        <f t="shared" si="57"/>
        <v>0</v>
      </c>
      <c r="E3672" s="14" t="str">
        <f>IFERROR(GIZLI!G3667,"")</f>
        <v/>
      </c>
    </row>
    <row r="3673" spans="2:5" x14ac:dyDescent="0.3">
      <c r="B3673" s="2" t="str">
        <f>MID(TableQR[[#This Row],[QR CODES]],4,13)</f>
        <v/>
      </c>
      <c r="C3673" s="2" t="str">
        <f>IFERROR(VLOOKUP(TableQR[[#This Row],[BARCODES]],ILACLISTE[#All],2,0),"")</f>
        <v/>
      </c>
      <c r="D3673" s="2">
        <f t="shared" si="57"/>
        <v>0</v>
      </c>
      <c r="E3673" s="14" t="str">
        <f>IFERROR(GIZLI!G3668,"")</f>
        <v/>
      </c>
    </row>
    <row r="3674" spans="2:5" x14ac:dyDescent="0.3">
      <c r="B3674" s="2" t="str">
        <f>MID(TableQR[[#This Row],[QR CODES]],4,13)</f>
        <v/>
      </c>
      <c r="C3674" s="2" t="str">
        <f>IFERROR(VLOOKUP(TableQR[[#This Row],[BARCODES]],ILACLISTE[#All],2,0),"")</f>
        <v/>
      </c>
      <c r="D3674" s="2">
        <f t="shared" si="57"/>
        <v>0</v>
      </c>
      <c r="E3674" s="14" t="str">
        <f>IFERROR(GIZLI!G3669,"")</f>
        <v/>
      </c>
    </row>
    <row r="3675" spans="2:5" x14ac:dyDescent="0.3">
      <c r="B3675" s="2" t="str">
        <f>MID(TableQR[[#This Row],[QR CODES]],4,13)</f>
        <v/>
      </c>
      <c r="C3675" s="2" t="str">
        <f>IFERROR(VLOOKUP(TableQR[[#This Row],[BARCODES]],ILACLISTE[#All],2,0),"")</f>
        <v/>
      </c>
      <c r="D3675" s="2">
        <f t="shared" si="57"/>
        <v>0</v>
      </c>
      <c r="E3675" s="14" t="str">
        <f>IFERROR(GIZLI!G3670,"")</f>
        <v/>
      </c>
    </row>
    <row r="3676" spans="2:5" x14ac:dyDescent="0.3">
      <c r="B3676" s="2" t="str">
        <f>MID(TableQR[[#This Row],[QR CODES]],4,13)</f>
        <v/>
      </c>
      <c r="C3676" s="2" t="str">
        <f>IFERROR(VLOOKUP(TableQR[[#This Row],[BARCODES]],ILACLISTE[#All],2,0),"")</f>
        <v/>
      </c>
      <c r="D3676" s="2">
        <f t="shared" si="57"/>
        <v>0</v>
      </c>
      <c r="E3676" s="14" t="str">
        <f>IFERROR(GIZLI!G3671,"")</f>
        <v/>
      </c>
    </row>
    <row r="3677" spans="2:5" x14ac:dyDescent="0.3">
      <c r="B3677" s="2" t="str">
        <f>MID(TableQR[[#This Row],[QR CODES]],4,13)</f>
        <v/>
      </c>
      <c r="C3677" s="2" t="str">
        <f>IFERROR(VLOOKUP(TableQR[[#This Row],[BARCODES]],ILACLISTE[#All],2,0),"")</f>
        <v/>
      </c>
      <c r="D3677" s="2">
        <f t="shared" si="57"/>
        <v>0</v>
      </c>
      <c r="E3677" s="14" t="str">
        <f>IFERROR(GIZLI!G3672,"")</f>
        <v/>
      </c>
    </row>
    <row r="3678" spans="2:5" x14ac:dyDescent="0.3">
      <c r="B3678" s="2" t="str">
        <f>MID(TableQR[[#This Row],[QR CODES]],4,13)</f>
        <v/>
      </c>
      <c r="C3678" s="2" t="str">
        <f>IFERROR(VLOOKUP(TableQR[[#This Row],[BARCODES]],ILACLISTE[#All],2,0),"")</f>
        <v/>
      </c>
      <c r="D3678" s="2">
        <f t="shared" si="57"/>
        <v>0</v>
      </c>
      <c r="E3678" s="14" t="str">
        <f>IFERROR(GIZLI!G3673,"")</f>
        <v/>
      </c>
    </row>
    <row r="3679" spans="2:5" x14ac:dyDescent="0.3">
      <c r="B3679" s="2" t="str">
        <f>MID(TableQR[[#This Row],[QR CODES]],4,13)</f>
        <v/>
      </c>
      <c r="C3679" s="2" t="str">
        <f>IFERROR(VLOOKUP(TableQR[[#This Row],[BARCODES]],ILACLISTE[#All],2,0),"")</f>
        <v/>
      </c>
      <c r="D3679" s="2">
        <f t="shared" si="57"/>
        <v>0</v>
      </c>
      <c r="E3679" s="14" t="str">
        <f>IFERROR(GIZLI!G3674,"")</f>
        <v/>
      </c>
    </row>
    <row r="3680" spans="2:5" x14ac:dyDescent="0.3">
      <c r="B3680" s="2" t="str">
        <f>MID(TableQR[[#This Row],[QR CODES]],4,13)</f>
        <v/>
      </c>
      <c r="C3680" s="2" t="str">
        <f>IFERROR(VLOOKUP(TableQR[[#This Row],[BARCODES]],ILACLISTE[#All],2,0),"")</f>
        <v/>
      </c>
      <c r="D3680" s="2">
        <f t="shared" si="57"/>
        <v>0</v>
      </c>
      <c r="E3680" s="14" t="str">
        <f>IFERROR(GIZLI!G3675,"")</f>
        <v/>
      </c>
    </row>
    <row r="3681" spans="2:5" x14ac:dyDescent="0.3">
      <c r="B3681" s="2" t="str">
        <f>MID(TableQR[[#This Row],[QR CODES]],4,13)</f>
        <v/>
      </c>
      <c r="C3681" s="2" t="str">
        <f>IFERROR(VLOOKUP(TableQR[[#This Row],[BARCODES]],ILACLISTE[#All],2,0),"")</f>
        <v/>
      </c>
      <c r="D3681" s="2">
        <f t="shared" si="57"/>
        <v>0</v>
      </c>
      <c r="E3681" s="14" t="str">
        <f>IFERROR(GIZLI!G3676,"")</f>
        <v/>
      </c>
    </row>
    <row r="3682" spans="2:5" x14ac:dyDescent="0.3">
      <c r="B3682" s="2" t="str">
        <f>MID(TableQR[[#This Row],[QR CODES]],4,13)</f>
        <v/>
      </c>
      <c r="C3682" s="2" t="str">
        <f>IFERROR(VLOOKUP(TableQR[[#This Row],[BARCODES]],ILACLISTE[#All],2,0),"")</f>
        <v/>
      </c>
      <c r="D3682" s="2">
        <f t="shared" si="57"/>
        <v>0</v>
      </c>
      <c r="E3682" s="14" t="str">
        <f>IFERROR(GIZLI!G3677,"")</f>
        <v/>
      </c>
    </row>
    <row r="3683" spans="2:5" x14ac:dyDescent="0.3">
      <c r="B3683" s="2" t="str">
        <f>MID(TableQR[[#This Row],[QR CODES]],4,13)</f>
        <v/>
      </c>
      <c r="C3683" s="2" t="str">
        <f>IFERROR(VLOOKUP(TableQR[[#This Row],[BARCODES]],ILACLISTE[#All],2,0),"")</f>
        <v/>
      </c>
      <c r="D3683" s="2">
        <f t="shared" si="57"/>
        <v>0</v>
      </c>
      <c r="E3683" s="14" t="str">
        <f>IFERROR(GIZLI!G3678,"")</f>
        <v/>
      </c>
    </row>
    <row r="3684" spans="2:5" x14ac:dyDescent="0.3">
      <c r="B3684" s="2" t="str">
        <f>MID(TableQR[[#This Row],[QR CODES]],4,13)</f>
        <v/>
      </c>
      <c r="C3684" s="2" t="str">
        <f>IFERROR(VLOOKUP(TableQR[[#This Row],[BARCODES]],ILACLISTE[#All],2,0),"")</f>
        <v/>
      </c>
      <c r="D3684" s="2">
        <f t="shared" si="57"/>
        <v>0</v>
      </c>
      <c r="E3684" s="14" t="str">
        <f>IFERROR(GIZLI!G3679,"")</f>
        <v/>
      </c>
    </row>
    <row r="3685" spans="2:5" x14ac:dyDescent="0.3">
      <c r="B3685" s="2" t="str">
        <f>MID(TableQR[[#This Row],[QR CODES]],4,13)</f>
        <v/>
      </c>
      <c r="C3685" s="2" t="str">
        <f>IFERROR(VLOOKUP(TableQR[[#This Row],[BARCODES]],ILACLISTE[#All],2,0),"")</f>
        <v/>
      </c>
      <c r="D3685" s="2">
        <f t="shared" si="57"/>
        <v>0</v>
      </c>
      <c r="E3685" s="14" t="str">
        <f>IFERROR(GIZLI!G3680,"")</f>
        <v/>
      </c>
    </row>
    <row r="3686" spans="2:5" x14ac:dyDescent="0.3">
      <c r="B3686" s="2" t="str">
        <f>MID(TableQR[[#This Row],[QR CODES]],4,13)</f>
        <v/>
      </c>
      <c r="C3686" s="2" t="str">
        <f>IFERROR(VLOOKUP(TableQR[[#This Row],[BARCODES]],ILACLISTE[#All],2,0),"")</f>
        <v/>
      </c>
      <c r="D3686" s="2">
        <f t="shared" si="57"/>
        <v>0</v>
      </c>
      <c r="E3686" s="14" t="str">
        <f>IFERROR(GIZLI!G3681,"")</f>
        <v/>
      </c>
    </row>
    <row r="3687" spans="2:5" x14ac:dyDescent="0.3">
      <c r="B3687" s="2" t="str">
        <f>MID(TableQR[[#This Row],[QR CODES]],4,13)</f>
        <v/>
      </c>
      <c r="C3687" s="2" t="str">
        <f>IFERROR(VLOOKUP(TableQR[[#This Row],[BARCODES]],ILACLISTE[#All],2,0),"")</f>
        <v/>
      </c>
      <c r="D3687" s="2">
        <f t="shared" si="57"/>
        <v>0</v>
      </c>
      <c r="E3687" s="14" t="str">
        <f>IFERROR(GIZLI!G3682,"")</f>
        <v/>
      </c>
    </row>
    <row r="3688" spans="2:5" x14ac:dyDescent="0.3">
      <c r="B3688" s="2" t="str">
        <f>MID(TableQR[[#This Row],[QR CODES]],4,13)</f>
        <v/>
      </c>
      <c r="C3688" s="2" t="str">
        <f>IFERROR(VLOOKUP(TableQR[[#This Row],[BARCODES]],ILACLISTE[#All],2,0),"")</f>
        <v/>
      </c>
      <c r="D3688" s="2">
        <f t="shared" si="57"/>
        <v>0</v>
      </c>
      <c r="E3688" s="14" t="str">
        <f>IFERROR(GIZLI!G3683,"")</f>
        <v/>
      </c>
    </row>
    <row r="3689" spans="2:5" x14ac:dyDescent="0.3">
      <c r="B3689" s="2" t="str">
        <f>MID(TableQR[[#This Row],[QR CODES]],4,13)</f>
        <v/>
      </c>
      <c r="C3689" s="2" t="str">
        <f>IFERROR(VLOOKUP(TableQR[[#This Row],[BARCODES]],ILACLISTE[#All],2,0),"")</f>
        <v/>
      </c>
      <c r="D3689" s="2">
        <f t="shared" si="57"/>
        <v>0</v>
      </c>
      <c r="E3689" s="14" t="str">
        <f>IFERROR(GIZLI!G3684,"")</f>
        <v/>
      </c>
    </row>
    <row r="3690" spans="2:5" x14ac:dyDescent="0.3">
      <c r="B3690" s="2" t="str">
        <f>MID(TableQR[[#This Row],[QR CODES]],4,13)</f>
        <v/>
      </c>
      <c r="C3690" s="2" t="str">
        <f>IFERROR(VLOOKUP(TableQR[[#This Row],[BARCODES]],ILACLISTE[#All],2,0),"")</f>
        <v/>
      </c>
      <c r="D3690" s="2">
        <f t="shared" si="57"/>
        <v>0</v>
      </c>
      <c r="E3690" s="14" t="str">
        <f>IFERROR(GIZLI!G3685,"")</f>
        <v/>
      </c>
    </row>
    <row r="3691" spans="2:5" x14ac:dyDescent="0.3">
      <c r="B3691" s="2" t="str">
        <f>MID(TableQR[[#This Row],[QR CODES]],4,13)</f>
        <v/>
      </c>
      <c r="C3691" s="2" t="str">
        <f>IFERROR(VLOOKUP(TableQR[[#This Row],[BARCODES]],ILACLISTE[#All],2,0),"")</f>
        <v/>
      </c>
      <c r="D3691" s="2">
        <f t="shared" si="57"/>
        <v>0</v>
      </c>
      <c r="E3691" s="14" t="str">
        <f>IFERROR(GIZLI!G3686,"")</f>
        <v/>
      </c>
    </row>
    <row r="3692" spans="2:5" x14ac:dyDescent="0.3">
      <c r="B3692" s="2" t="str">
        <f>MID(TableQR[[#This Row],[QR CODES]],4,13)</f>
        <v/>
      </c>
      <c r="C3692" s="2" t="str">
        <f>IFERROR(VLOOKUP(TableQR[[#This Row],[BARCODES]],ILACLISTE[#All],2,0),"")</f>
        <v/>
      </c>
      <c r="D3692" s="2">
        <f t="shared" si="57"/>
        <v>0</v>
      </c>
      <c r="E3692" s="14" t="str">
        <f>IFERROR(GIZLI!G3687,"")</f>
        <v/>
      </c>
    </row>
    <row r="3693" spans="2:5" x14ac:dyDescent="0.3">
      <c r="B3693" s="2" t="str">
        <f>MID(TableQR[[#This Row],[QR CODES]],4,13)</f>
        <v/>
      </c>
      <c r="C3693" s="2" t="str">
        <f>IFERROR(VLOOKUP(TableQR[[#This Row],[BARCODES]],ILACLISTE[#All],2,0),"")</f>
        <v/>
      </c>
      <c r="D3693" s="2">
        <f t="shared" si="57"/>
        <v>0</v>
      </c>
      <c r="E3693" s="14" t="str">
        <f>IFERROR(GIZLI!G3688,"")</f>
        <v/>
      </c>
    </row>
    <row r="3694" spans="2:5" x14ac:dyDescent="0.3">
      <c r="B3694" s="2" t="str">
        <f>MID(TableQR[[#This Row],[QR CODES]],4,13)</f>
        <v/>
      </c>
      <c r="C3694" s="2" t="str">
        <f>IFERROR(VLOOKUP(TableQR[[#This Row],[BARCODES]],ILACLISTE[#All],2,0),"")</f>
        <v/>
      </c>
      <c r="D3694" s="2">
        <f t="shared" si="57"/>
        <v>0</v>
      </c>
      <c r="E3694" s="14" t="str">
        <f>IFERROR(GIZLI!G3689,"")</f>
        <v/>
      </c>
    </row>
    <row r="3695" spans="2:5" x14ac:dyDescent="0.3">
      <c r="B3695" s="2" t="str">
        <f>MID(TableQR[[#This Row],[QR CODES]],4,13)</f>
        <v/>
      </c>
      <c r="C3695" s="2" t="str">
        <f>IFERROR(VLOOKUP(TableQR[[#This Row],[BARCODES]],ILACLISTE[#All],2,0),"")</f>
        <v/>
      </c>
      <c r="D3695" s="2">
        <f t="shared" si="57"/>
        <v>0</v>
      </c>
      <c r="E3695" s="14" t="str">
        <f>IFERROR(GIZLI!G3690,"")</f>
        <v/>
      </c>
    </row>
    <row r="3696" spans="2:5" x14ac:dyDescent="0.3">
      <c r="B3696" s="2" t="str">
        <f>MID(TableQR[[#This Row],[QR CODES]],4,13)</f>
        <v/>
      </c>
      <c r="C3696" s="2" t="str">
        <f>IFERROR(VLOOKUP(TableQR[[#This Row],[BARCODES]],ILACLISTE[#All],2,0),"")</f>
        <v/>
      </c>
      <c r="D3696" s="2">
        <f t="shared" si="57"/>
        <v>0</v>
      </c>
      <c r="E3696" s="14" t="str">
        <f>IFERROR(GIZLI!G3691,"")</f>
        <v/>
      </c>
    </row>
    <row r="3697" spans="2:5" x14ac:dyDescent="0.3">
      <c r="B3697" s="2" t="str">
        <f>MID(TableQR[[#This Row],[QR CODES]],4,13)</f>
        <v/>
      </c>
      <c r="C3697" s="2" t="str">
        <f>IFERROR(VLOOKUP(TableQR[[#This Row],[BARCODES]],ILACLISTE[#All],2,0),"")</f>
        <v/>
      </c>
      <c r="D3697" s="2">
        <f t="shared" si="57"/>
        <v>0</v>
      </c>
      <c r="E3697" s="14" t="str">
        <f>IFERROR(GIZLI!G3692,"")</f>
        <v/>
      </c>
    </row>
    <row r="3698" spans="2:5" x14ac:dyDescent="0.3">
      <c r="B3698" s="2" t="str">
        <f>MID(TableQR[[#This Row],[QR CODES]],4,13)</f>
        <v/>
      </c>
      <c r="C3698" s="2" t="str">
        <f>IFERROR(VLOOKUP(TableQR[[#This Row],[BARCODES]],ILACLISTE[#All],2,0),"")</f>
        <v/>
      </c>
      <c r="D3698" s="2">
        <f t="shared" si="57"/>
        <v>0</v>
      </c>
      <c r="E3698" s="14" t="str">
        <f>IFERROR(GIZLI!G3693,"")</f>
        <v/>
      </c>
    </row>
    <row r="3699" spans="2:5" x14ac:dyDescent="0.3">
      <c r="B3699" s="2" t="str">
        <f>MID(TableQR[[#This Row],[QR CODES]],4,13)</f>
        <v/>
      </c>
      <c r="C3699" s="2" t="str">
        <f>IFERROR(VLOOKUP(TableQR[[#This Row],[BARCODES]],ILACLISTE[#All],2,0),"")</f>
        <v/>
      </c>
      <c r="D3699" s="2">
        <f t="shared" si="57"/>
        <v>0</v>
      </c>
      <c r="E3699" s="14" t="str">
        <f>IFERROR(GIZLI!G3694,"")</f>
        <v/>
      </c>
    </row>
    <row r="3700" spans="2:5" x14ac:dyDescent="0.3">
      <c r="B3700" s="2" t="str">
        <f>MID(TableQR[[#This Row],[QR CODES]],4,13)</f>
        <v/>
      </c>
      <c r="C3700" s="2" t="str">
        <f>IFERROR(VLOOKUP(TableQR[[#This Row],[BARCODES]],ILACLISTE[#All],2,0),"")</f>
        <v/>
      </c>
      <c r="D3700" s="2">
        <f t="shared" si="57"/>
        <v>0</v>
      </c>
      <c r="E3700" s="14" t="str">
        <f>IFERROR(GIZLI!G3695,"")</f>
        <v/>
      </c>
    </row>
    <row r="3701" spans="2:5" x14ac:dyDescent="0.3">
      <c r="B3701" s="2" t="str">
        <f>MID(TableQR[[#This Row],[QR CODES]],4,13)</f>
        <v/>
      </c>
      <c r="C3701" s="2" t="str">
        <f>IFERROR(VLOOKUP(TableQR[[#This Row],[BARCODES]],ILACLISTE[#All],2,0),"")</f>
        <v/>
      </c>
      <c r="D3701" s="2">
        <f t="shared" si="57"/>
        <v>0</v>
      </c>
      <c r="E3701" s="14" t="str">
        <f>IFERROR(GIZLI!G3696,"")</f>
        <v/>
      </c>
    </row>
    <row r="3702" spans="2:5" x14ac:dyDescent="0.3">
      <c r="B3702" s="2" t="str">
        <f>MID(TableQR[[#This Row],[QR CODES]],4,13)</f>
        <v/>
      </c>
      <c r="C3702" s="2" t="str">
        <f>IFERROR(VLOOKUP(TableQR[[#This Row],[BARCODES]],ILACLISTE[#All],2,0),"")</f>
        <v/>
      </c>
      <c r="D3702" s="2">
        <f t="shared" si="57"/>
        <v>0</v>
      </c>
      <c r="E3702" s="14" t="str">
        <f>IFERROR(GIZLI!G3697,"")</f>
        <v/>
      </c>
    </row>
    <row r="3703" spans="2:5" x14ac:dyDescent="0.3">
      <c r="B3703" s="2" t="str">
        <f>MID(TableQR[[#This Row],[QR CODES]],4,13)</f>
        <v/>
      </c>
      <c r="C3703" s="2" t="str">
        <f>IFERROR(VLOOKUP(TableQR[[#This Row],[BARCODES]],ILACLISTE[#All],2,0),"")</f>
        <v/>
      </c>
      <c r="D3703" s="2">
        <f t="shared" si="57"/>
        <v>0</v>
      </c>
      <c r="E3703" s="14" t="str">
        <f>IFERROR(GIZLI!G3698,"")</f>
        <v/>
      </c>
    </row>
    <row r="3704" spans="2:5" x14ac:dyDescent="0.3">
      <c r="B3704" s="2" t="str">
        <f>MID(TableQR[[#This Row],[QR CODES]],4,13)</f>
        <v/>
      </c>
      <c r="C3704" s="2" t="str">
        <f>IFERROR(VLOOKUP(TableQR[[#This Row],[BARCODES]],ILACLISTE[#All],2,0),"")</f>
        <v/>
      </c>
      <c r="D3704" s="2">
        <f t="shared" si="57"/>
        <v>0</v>
      </c>
      <c r="E3704" s="14" t="str">
        <f>IFERROR(GIZLI!G3699,"")</f>
        <v/>
      </c>
    </row>
    <row r="3705" spans="2:5" x14ac:dyDescent="0.3">
      <c r="B3705" s="2" t="str">
        <f>MID(TableQR[[#This Row],[QR CODES]],4,13)</f>
        <v/>
      </c>
      <c r="C3705" s="2" t="str">
        <f>IFERROR(VLOOKUP(TableQR[[#This Row],[BARCODES]],ILACLISTE[#All],2,0),"")</f>
        <v/>
      </c>
      <c r="D3705" s="2">
        <f t="shared" si="57"/>
        <v>0</v>
      </c>
      <c r="E3705" s="14" t="str">
        <f>IFERROR(GIZLI!G3700,"")</f>
        <v/>
      </c>
    </row>
    <row r="3706" spans="2:5" x14ac:dyDescent="0.3">
      <c r="B3706" s="2" t="str">
        <f>MID(TableQR[[#This Row],[QR CODES]],4,13)</f>
        <v/>
      </c>
      <c r="C3706" s="2" t="str">
        <f>IFERROR(VLOOKUP(TableQR[[#This Row],[BARCODES]],ILACLISTE[#All],2,0),"")</f>
        <v/>
      </c>
      <c r="D3706" s="2">
        <f t="shared" si="57"/>
        <v>0</v>
      </c>
      <c r="E3706" s="14" t="str">
        <f>IFERROR(GIZLI!G3701,"")</f>
        <v/>
      </c>
    </row>
    <row r="3707" spans="2:5" x14ac:dyDescent="0.3">
      <c r="B3707" s="2" t="str">
        <f>MID(TableQR[[#This Row],[QR CODES]],4,13)</f>
        <v/>
      </c>
      <c r="C3707" s="2" t="str">
        <f>IFERROR(VLOOKUP(TableQR[[#This Row],[BARCODES]],ILACLISTE[#All],2,0),"")</f>
        <v/>
      </c>
      <c r="D3707" s="2">
        <f t="shared" si="57"/>
        <v>0</v>
      </c>
      <c r="E3707" s="14" t="str">
        <f>IFERROR(GIZLI!G3702,"")</f>
        <v/>
      </c>
    </row>
    <row r="3708" spans="2:5" x14ac:dyDescent="0.3">
      <c r="B3708" s="2" t="str">
        <f>MID(TableQR[[#This Row],[QR CODES]],4,13)</f>
        <v/>
      </c>
      <c r="C3708" s="2" t="str">
        <f>IFERROR(VLOOKUP(TableQR[[#This Row],[BARCODES]],ILACLISTE[#All],2,0),"")</f>
        <v/>
      </c>
      <c r="D3708" s="2">
        <f t="shared" si="57"/>
        <v>0</v>
      </c>
      <c r="E3708" s="14" t="str">
        <f>IFERROR(GIZLI!G3703,"")</f>
        <v/>
      </c>
    </row>
    <row r="3709" spans="2:5" x14ac:dyDescent="0.3">
      <c r="B3709" s="2" t="str">
        <f>MID(TableQR[[#This Row],[QR CODES]],4,13)</f>
        <v/>
      </c>
      <c r="C3709" s="2" t="str">
        <f>IFERROR(VLOOKUP(TableQR[[#This Row],[BARCODES]],ILACLISTE[#All],2,0),"")</f>
        <v/>
      </c>
      <c r="D3709" s="2">
        <f t="shared" si="57"/>
        <v>0</v>
      </c>
      <c r="E3709" s="14" t="str">
        <f>IFERROR(GIZLI!G3704,"")</f>
        <v/>
      </c>
    </row>
    <row r="3710" spans="2:5" x14ac:dyDescent="0.3">
      <c r="B3710" s="2" t="str">
        <f>MID(TableQR[[#This Row],[QR CODES]],4,13)</f>
        <v/>
      </c>
      <c r="C3710" s="2" t="str">
        <f>IFERROR(VLOOKUP(TableQR[[#This Row],[BARCODES]],ILACLISTE[#All],2,0),"")</f>
        <v/>
      </c>
      <c r="D3710" s="2">
        <f t="shared" si="57"/>
        <v>0</v>
      </c>
      <c r="E3710" s="14" t="str">
        <f>IFERROR(GIZLI!G3705,"")</f>
        <v/>
      </c>
    </row>
    <row r="3711" spans="2:5" x14ac:dyDescent="0.3">
      <c r="B3711" s="2" t="str">
        <f>MID(TableQR[[#This Row],[QR CODES]],4,13)</f>
        <v/>
      </c>
      <c r="C3711" s="2" t="str">
        <f>IFERROR(VLOOKUP(TableQR[[#This Row],[BARCODES]],ILACLISTE[#All],2,0),"")</f>
        <v/>
      </c>
      <c r="D3711" s="2">
        <f t="shared" si="57"/>
        <v>0</v>
      </c>
      <c r="E3711" s="14" t="str">
        <f>IFERROR(GIZLI!G3706,"")</f>
        <v/>
      </c>
    </row>
    <row r="3712" spans="2:5" x14ac:dyDescent="0.3">
      <c r="B3712" s="2" t="str">
        <f>MID(TableQR[[#This Row],[QR CODES]],4,13)</f>
        <v/>
      </c>
      <c r="C3712" s="2" t="str">
        <f>IFERROR(VLOOKUP(TableQR[[#This Row],[BARCODES]],ILACLISTE[#All],2,0),"")</f>
        <v/>
      </c>
      <c r="D3712" s="2">
        <f t="shared" si="57"/>
        <v>0</v>
      </c>
      <c r="E3712" s="14" t="str">
        <f>IFERROR(GIZLI!G3707,"")</f>
        <v/>
      </c>
    </row>
    <row r="3713" spans="2:5" x14ac:dyDescent="0.3">
      <c r="B3713" s="2" t="str">
        <f>MID(TableQR[[#This Row],[QR CODES]],4,13)</f>
        <v/>
      </c>
      <c r="C3713" s="2" t="str">
        <f>IFERROR(VLOOKUP(TableQR[[#This Row],[BARCODES]],ILACLISTE[#All],2,0),"")</f>
        <v/>
      </c>
      <c r="D3713" s="2">
        <f t="shared" si="57"/>
        <v>0</v>
      </c>
      <c r="E3713" s="14" t="str">
        <f>IFERROR(GIZLI!G3708,"")</f>
        <v/>
      </c>
    </row>
    <row r="3714" spans="2:5" x14ac:dyDescent="0.3">
      <c r="B3714" s="2" t="str">
        <f>MID(TableQR[[#This Row],[QR CODES]],4,13)</f>
        <v/>
      </c>
      <c r="C3714" s="2" t="str">
        <f>IFERROR(VLOOKUP(TableQR[[#This Row],[BARCODES]],ILACLISTE[#All],2,0),"")</f>
        <v/>
      </c>
      <c r="D3714" s="2">
        <f t="shared" si="57"/>
        <v>0</v>
      </c>
      <c r="E3714" s="14" t="str">
        <f>IFERROR(GIZLI!G3709,"")</f>
        <v/>
      </c>
    </row>
    <row r="3715" spans="2:5" x14ac:dyDescent="0.3">
      <c r="B3715" s="2" t="str">
        <f>MID(TableQR[[#This Row],[QR CODES]],4,13)</f>
        <v/>
      </c>
      <c r="C3715" s="2" t="str">
        <f>IFERROR(VLOOKUP(TableQR[[#This Row],[BARCODES]],ILACLISTE[#All],2,0),"")</f>
        <v/>
      </c>
      <c r="D3715" s="2">
        <f t="shared" si="57"/>
        <v>0</v>
      </c>
      <c r="E3715" s="14" t="str">
        <f>IFERROR(GIZLI!G3710,"")</f>
        <v/>
      </c>
    </row>
    <row r="3716" spans="2:5" x14ac:dyDescent="0.3">
      <c r="B3716" s="2" t="str">
        <f>MID(TableQR[[#This Row],[QR CODES]],4,13)</f>
        <v/>
      </c>
      <c r="C3716" s="2" t="str">
        <f>IFERROR(VLOOKUP(TableQR[[#This Row],[BARCODES]],ILACLISTE[#All],2,0),"")</f>
        <v/>
      </c>
      <c r="D3716" s="2">
        <f t="shared" si="57"/>
        <v>0</v>
      </c>
      <c r="E3716" s="14" t="str">
        <f>IFERROR(GIZLI!G3711,"")</f>
        <v/>
      </c>
    </row>
    <row r="3717" spans="2:5" x14ac:dyDescent="0.3">
      <c r="B3717" s="2" t="str">
        <f>MID(TableQR[[#This Row],[QR CODES]],4,13)</f>
        <v/>
      </c>
      <c r="C3717" s="2" t="str">
        <f>IFERROR(VLOOKUP(TableQR[[#This Row],[BARCODES]],ILACLISTE[#All],2,0),"")</f>
        <v/>
      </c>
      <c r="D3717" s="2">
        <f t="shared" si="57"/>
        <v>0</v>
      </c>
      <c r="E3717" s="14" t="str">
        <f>IFERROR(GIZLI!G3712,"")</f>
        <v/>
      </c>
    </row>
    <row r="3718" spans="2:5" x14ac:dyDescent="0.3">
      <c r="B3718" s="2" t="str">
        <f>MID(TableQR[[#This Row],[QR CODES]],4,13)</f>
        <v/>
      </c>
      <c r="C3718" s="2" t="str">
        <f>IFERROR(VLOOKUP(TableQR[[#This Row],[BARCODES]],ILACLISTE[#All],2,0),"")</f>
        <v/>
      </c>
      <c r="D3718" s="2">
        <f t="shared" si="57"/>
        <v>0</v>
      </c>
      <c r="E3718" s="14" t="str">
        <f>IFERROR(GIZLI!G3713,"")</f>
        <v/>
      </c>
    </row>
    <row r="3719" spans="2:5" x14ac:dyDescent="0.3">
      <c r="B3719" s="2" t="str">
        <f>MID(TableQR[[#This Row],[QR CODES]],4,13)</f>
        <v/>
      </c>
      <c r="C3719" s="2" t="str">
        <f>IFERROR(VLOOKUP(TableQR[[#This Row],[BARCODES]],ILACLISTE[#All],2,0),"")</f>
        <v/>
      </c>
      <c r="D3719" s="2">
        <f t="shared" si="57"/>
        <v>0</v>
      </c>
      <c r="E3719" s="14" t="str">
        <f>IFERROR(GIZLI!G3714,"")</f>
        <v/>
      </c>
    </row>
    <row r="3720" spans="2:5" x14ac:dyDescent="0.3">
      <c r="B3720" s="2" t="str">
        <f>MID(TableQR[[#This Row],[QR CODES]],4,13)</f>
        <v/>
      </c>
      <c r="C3720" s="2" t="str">
        <f>IFERROR(VLOOKUP(TableQR[[#This Row],[BARCODES]],ILACLISTE[#All],2,0),"")</f>
        <v/>
      </c>
      <c r="D3720" s="2">
        <f t="shared" ref="D3720:D3783" si="58">COUNTIF(B3720:B7713,IF(B3720="",66666,B3720))</f>
        <v>0</v>
      </c>
      <c r="E3720" s="14" t="str">
        <f>IFERROR(GIZLI!G3715,"")</f>
        <v/>
      </c>
    </row>
    <row r="3721" spans="2:5" x14ac:dyDescent="0.3">
      <c r="B3721" s="2" t="str">
        <f>MID(TableQR[[#This Row],[QR CODES]],4,13)</f>
        <v/>
      </c>
      <c r="C3721" s="2" t="str">
        <f>IFERROR(VLOOKUP(TableQR[[#This Row],[BARCODES]],ILACLISTE[#All],2,0),"")</f>
        <v/>
      </c>
      <c r="D3721" s="2">
        <f t="shared" si="58"/>
        <v>0</v>
      </c>
      <c r="E3721" s="14" t="str">
        <f>IFERROR(GIZLI!G3716,"")</f>
        <v/>
      </c>
    </row>
    <row r="3722" spans="2:5" x14ac:dyDescent="0.3">
      <c r="B3722" s="2" t="str">
        <f>MID(TableQR[[#This Row],[QR CODES]],4,13)</f>
        <v/>
      </c>
      <c r="C3722" s="2" t="str">
        <f>IFERROR(VLOOKUP(TableQR[[#This Row],[BARCODES]],ILACLISTE[#All],2,0),"")</f>
        <v/>
      </c>
      <c r="D3722" s="2">
        <f t="shared" si="58"/>
        <v>0</v>
      </c>
      <c r="E3722" s="14" t="str">
        <f>IFERROR(GIZLI!G3717,"")</f>
        <v/>
      </c>
    </row>
    <row r="3723" spans="2:5" x14ac:dyDescent="0.3">
      <c r="B3723" s="2" t="str">
        <f>MID(TableQR[[#This Row],[QR CODES]],4,13)</f>
        <v/>
      </c>
      <c r="C3723" s="2" t="str">
        <f>IFERROR(VLOOKUP(TableQR[[#This Row],[BARCODES]],ILACLISTE[#All],2,0),"")</f>
        <v/>
      </c>
      <c r="D3723" s="2">
        <f t="shared" si="58"/>
        <v>0</v>
      </c>
      <c r="E3723" s="14" t="str">
        <f>IFERROR(GIZLI!G3718,"")</f>
        <v/>
      </c>
    </row>
    <row r="3724" spans="2:5" x14ac:dyDescent="0.3">
      <c r="B3724" s="2" t="str">
        <f>MID(TableQR[[#This Row],[QR CODES]],4,13)</f>
        <v/>
      </c>
      <c r="C3724" s="2" t="str">
        <f>IFERROR(VLOOKUP(TableQR[[#This Row],[BARCODES]],ILACLISTE[#All],2,0),"")</f>
        <v/>
      </c>
      <c r="D3724" s="2">
        <f t="shared" si="58"/>
        <v>0</v>
      </c>
      <c r="E3724" s="14" t="str">
        <f>IFERROR(GIZLI!G3719,"")</f>
        <v/>
      </c>
    </row>
    <row r="3725" spans="2:5" x14ac:dyDescent="0.3">
      <c r="B3725" s="2" t="str">
        <f>MID(TableQR[[#This Row],[QR CODES]],4,13)</f>
        <v/>
      </c>
      <c r="C3725" s="2" t="str">
        <f>IFERROR(VLOOKUP(TableQR[[#This Row],[BARCODES]],ILACLISTE[#All],2,0),"")</f>
        <v/>
      </c>
      <c r="D3725" s="2">
        <f t="shared" si="58"/>
        <v>0</v>
      </c>
      <c r="E3725" s="14" t="str">
        <f>IFERROR(GIZLI!G3720,"")</f>
        <v/>
      </c>
    </row>
    <row r="3726" spans="2:5" x14ac:dyDescent="0.3">
      <c r="B3726" s="2" t="str">
        <f>MID(TableQR[[#This Row],[QR CODES]],4,13)</f>
        <v/>
      </c>
      <c r="C3726" s="2" t="str">
        <f>IFERROR(VLOOKUP(TableQR[[#This Row],[BARCODES]],ILACLISTE[#All],2,0),"")</f>
        <v/>
      </c>
      <c r="D3726" s="2">
        <f t="shared" si="58"/>
        <v>0</v>
      </c>
      <c r="E3726" s="14" t="str">
        <f>IFERROR(GIZLI!G3721,"")</f>
        <v/>
      </c>
    </row>
    <row r="3727" spans="2:5" x14ac:dyDescent="0.3">
      <c r="B3727" s="2" t="str">
        <f>MID(TableQR[[#This Row],[QR CODES]],4,13)</f>
        <v/>
      </c>
      <c r="C3727" s="2" t="str">
        <f>IFERROR(VLOOKUP(TableQR[[#This Row],[BARCODES]],ILACLISTE[#All],2,0),"")</f>
        <v/>
      </c>
      <c r="D3727" s="2">
        <f t="shared" si="58"/>
        <v>0</v>
      </c>
      <c r="E3727" s="14" t="str">
        <f>IFERROR(GIZLI!G3722,"")</f>
        <v/>
      </c>
    </row>
    <row r="3728" spans="2:5" x14ac:dyDescent="0.3">
      <c r="B3728" s="2" t="str">
        <f>MID(TableQR[[#This Row],[QR CODES]],4,13)</f>
        <v/>
      </c>
      <c r="C3728" s="2" t="str">
        <f>IFERROR(VLOOKUP(TableQR[[#This Row],[BARCODES]],ILACLISTE[#All],2,0),"")</f>
        <v/>
      </c>
      <c r="D3728" s="2">
        <f t="shared" si="58"/>
        <v>0</v>
      </c>
      <c r="E3728" s="14" t="str">
        <f>IFERROR(GIZLI!G3723,"")</f>
        <v/>
      </c>
    </row>
    <row r="3729" spans="2:5" x14ac:dyDescent="0.3">
      <c r="B3729" s="2" t="str">
        <f>MID(TableQR[[#This Row],[QR CODES]],4,13)</f>
        <v/>
      </c>
      <c r="C3729" s="2" t="str">
        <f>IFERROR(VLOOKUP(TableQR[[#This Row],[BARCODES]],ILACLISTE[#All],2,0),"")</f>
        <v/>
      </c>
      <c r="D3729" s="2">
        <f t="shared" si="58"/>
        <v>0</v>
      </c>
      <c r="E3729" s="14" t="str">
        <f>IFERROR(GIZLI!G3724,"")</f>
        <v/>
      </c>
    </row>
    <row r="3730" spans="2:5" x14ac:dyDescent="0.3">
      <c r="B3730" s="2" t="str">
        <f>MID(TableQR[[#This Row],[QR CODES]],4,13)</f>
        <v/>
      </c>
      <c r="C3730" s="2" t="str">
        <f>IFERROR(VLOOKUP(TableQR[[#This Row],[BARCODES]],ILACLISTE[#All],2,0),"")</f>
        <v/>
      </c>
      <c r="D3730" s="2">
        <f t="shared" si="58"/>
        <v>0</v>
      </c>
      <c r="E3730" s="14" t="str">
        <f>IFERROR(GIZLI!G3725,"")</f>
        <v/>
      </c>
    </row>
    <row r="3731" spans="2:5" x14ac:dyDescent="0.3">
      <c r="B3731" s="2" t="str">
        <f>MID(TableQR[[#This Row],[QR CODES]],4,13)</f>
        <v/>
      </c>
      <c r="C3731" s="2" t="str">
        <f>IFERROR(VLOOKUP(TableQR[[#This Row],[BARCODES]],ILACLISTE[#All],2,0),"")</f>
        <v/>
      </c>
      <c r="D3731" s="2">
        <f t="shared" si="58"/>
        <v>0</v>
      </c>
      <c r="E3731" s="14" t="str">
        <f>IFERROR(GIZLI!G3726,"")</f>
        <v/>
      </c>
    </row>
    <row r="3732" spans="2:5" x14ac:dyDescent="0.3">
      <c r="B3732" s="2" t="str">
        <f>MID(TableQR[[#This Row],[QR CODES]],4,13)</f>
        <v/>
      </c>
      <c r="C3732" s="2" t="str">
        <f>IFERROR(VLOOKUP(TableQR[[#This Row],[BARCODES]],ILACLISTE[#All],2,0),"")</f>
        <v/>
      </c>
      <c r="D3732" s="2">
        <f t="shared" si="58"/>
        <v>0</v>
      </c>
      <c r="E3732" s="14" t="str">
        <f>IFERROR(GIZLI!G3727,"")</f>
        <v/>
      </c>
    </row>
    <row r="3733" spans="2:5" x14ac:dyDescent="0.3">
      <c r="B3733" s="2" t="str">
        <f>MID(TableQR[[#This Row],[QR CODES]],4,13)</f>
        <v/>
      </c>
      <c r="C3733" s="2" t="str">
        <f>IFERROR(VLOOKUP(TableQR[[#This Row],[BARCODES]],ILACLISTE[#All],2,0),"")</f>
        <v/>
      </c>
      <c r="D3733" s="2">
        <f t="shared" si="58"/>
        <v>0</v>
      </c>
      <c r="E3733" s="14" t="str">
        <f>IFERROR(GIZLI!G3728,"")</f>
        <v/>
      </c>
    </row>
    <row r="3734" spans="2:5" x14ac:dyDescent="0.3">
      <c r="B3734" s="2" t="str">
        <f>MID(TableQR[[#This Row],[QR CODES]],4,13)</f>
        <v/>
      </c>
      <c r="C3734" s="2" t="str">
        <f>IFERROR(VLOOKUP(TableQR[[#This Row],[BARCODES]],ILACLISTE[#All],2,0),"")</f>
        <v/>
      </c>
      <c r="D3734" s="2">
        <f t="shared" si="58"/>
        <v>0</v>
      </c>
      <c r="E3734" s="14" t="str">
        <f>IFERROR(GIZLI!G3729,"")</f>
        <v/>
      </c>
    </row>
    <row r="3735" spans="2:5" x14ac:dyDescent="0.3">
      <c r="B3735" s="2" t="str">
        <f>MID(TableQR[[#This Row],[QR CODES]],4,13)</f>
        <v/>
      </c>
      <c r="C3735" s="2" t="str">
        <f>IFERROR(VLOOKUP(TableQR[[#This Row],[BARCODES]],ILACLISTE[#All],2,0),"")</f>
        <v/>
      </c>
      <c r="D3735" s="2">
        <f t="shared" si="58"/>
        <v>0</v>
      </c>
      <c r="E3735" s="14" t="str">
        <f>IFERROR(GIZLI!G3730,"")</f>
        <v/>
      </c>
    </row>
    <row r="3736" spans="2:5" x14ac:dyDescent="0.3">
      <c r="B3736" s="2" t="str">
        <f>MID(TableQR[[#This Row],[QR CODES]],4,13)</f>
        <v/>
      </c>
      <c r="C3736" s="2" t="str">
        <f>IFERROR(VLOOKUP(TableQR[[#This Row],[BARCODES]],ILACLISTE[#All],2,0),"")</f>
        <v/>
      </c>
      <c r="D3736" s="2">
        <f t="shared" si="58"/>
        <v>0</v>
      </c>
      <c r="E3736" s="14" t="str">
        <f>IFERROR(GIZLI!G3731,"")</f>
        <v/>
      </c>
    </row>
    <row r="3737" spans="2:5" x14ac:dyDescent="0.3">
      <c r="B3737" s="2" t="str">
        <f>MID(TableQR[[#This Row],[QR CODES]],4,13)</f>
        <v/>
      </c>
      <c r="C3737" s="2" t="str">
        <f>IFERROR(VLOOKUP(TableQR[[#This Row],[BARCODES]],ILACLISTE[#All],2,0),"")</f>
        <v/>
      </c>
      <c r="D3737" s="2">
        <f t="shared" si="58"/>
        <v>0</v>
      </c>
      <c r="E3737" s="14" t="str">
        <f>IFERROR(GIZLI!G3732,"")</f>
        <v/>
      </c>
    </row>
    <row r="3738" spans="2:5" x14ac:dyDescent="0.3">
      <c r="B3738" s="2" t="str">
        <f>MID(TableQR[[#This Row],[QR CODES]],4,13)</f>
        <v/>
      </c>
      <c r="C3738" s="2" t="str">
        <f>IFERROR(VLOOKUP(TableQR[[#This Row],[BARCODES]],ILACLISTE[#All],2,0),"")</f>
        <v/>
      </c>
      <c r="D3738" s="2">
        <f t="shared" si="58"/>
        <v>0</v>
      </c>
      <c r="E3738" s="14" t="str">
        <f>IFERROR(GIZLI!G3733,"")</f>
        <v/>
      </c>
    </row>
    <row r="3739" spans="2:5" x14ac:dyDescent="0.3">
      <c r="B3739" s="2" t="str">
        <f>MID(TableQR[[#This Row],[QR CODES]],4,13)</f>
        <v/>
      </c>
      <c r="C3739" s="2" t="str">
        <f>IFERROR(VLOOKUP(TableQR[[#This Row],[BARCODES]],ILACLISTE[#All],2,0),"")</f>
        <v/>
      </c>
      <c r="D3739" s="2">
        <f t="shared" si="58"/>
        <v>0</v>
      </c>
      <c r="E3739" s="14" t="str">
        <f>IFERROR(GIZLI!G3734,"")</f>
        <v/>
      </c>
    </row>
    <row r="3740" spans="2:5" x14ac:dyDescent="0.3">
      <c r="B3740" s="2" t="str">
        <f>MID(TableQR[[#This Row],[QR CODES]],4,13)</f>
        <v/>
      </c>
      <c r="C3740" s="2" t="str">
        <f>IFERROR(VLOOKUP(TableQR[[#This Row],[BARCODES]],ILACLISTE[#All],2,0),"")</f>
        <v/>
      </c>
      <c r="D3740" s="2">
        <f t="shared" si="58"/>
        <v>0</v>
      </c>
      <c r="E3740" s="14" t="str">
        <f>IFERROR(GIZLI!G3735,"")</f>
        <v/>
      </c>
    </row>
    <row r="3741" spans="2:5" x14ac:dyDescent="0.3">
      <c r="B3741" s="2" t="str">
        <f>MID(TableQR[[#This Row],[QR CODES]],4,13)</f>
        <v/>
      </c>
      <c r="C3741" s="2" t="str">
        <f>IFERROR(VLOOKUP(TableQR[[#This Row],[BARCODES]],ILACLISTE[#All],2,0),"")</f>
        <v/>
      </c>
      <c r="D3741" s="2">
        <f t="shared" si="58"/>
        <v>0</v>
      </c>
      <c r="E3741" s="14" t="str">
        <f>IFERROR(GIZLI!G3736,"")</f>
        <v/>
      </c>
    </row>
    <row r="3742" spans="2:5" x14ac:dyDescent="0.3">
      <c r="B3742" s="2" t="str">
        <f>MID(TableQR[[#This Row],[QR CODES]],4,13)</f>
        <v/>
      </c>
      <c r="C3742" s="2" t="str">
        <f>IFERROR(VLOOKUP(TableQR[[#This Row],[BARCODES]],ILACLISTE[#All],2,0),"")</f>
        <v/>
      </c>
      <c r="D3742" s="2">
        <f t="shared" si="58"/>
        <v>0</v>
      </c>
      <c r="E3742" s="14" t="str">
        <f>IFERROR(GIZLI!G3737,"")</f>
        <v/>
      </c>
    </row>
    <row r="3743" spans="2:5" x14ac:dyDescent="0.3">
      <c r="B3743" s="2" t="str">
        <f>MID(TableQR[[#This Row],[QR CODES]],4,13)</f>
        <v/>
      </c>
      <c r="C3743" s="2" t="str">
        <f>IFERROR(VLOOKUP(TableQR[[#This Row],[BARCODES]],ILACLISTE[#All],2,0),"")</f>
        <v/>
      </c>
      <c r="D3743" s="2">
        <f t="shared" si="58"/>
        <v>0</v>
      </c>
      <c r="E3743" s="14" t="str">
        <f>IFERROR(GIZLI!G3738,"")</f>
        <v/>
      </c>
    </row>
    <row r="3744" spans="2:5" x14ac:dyDescent="0.3">
      <c r="B3744" s="2" t="str">
        <f>MID(TableQR[[#This Row],[QR CODES]],4,13)</f>
        <v/>
      </c>
      <c r="C3744" s="2" t="str">
        <f>IFERROR(VLOOKUP(TableQR[[#This Row],[BARCODES]],ILACLISTE[#All],2,0),"")</f>
        <v/>
      </c>
      <c r="D3744" s="2">
        <f t="shared" si="58"/>
        <v>0</v>
      </c>
      <c r="E3744" s="14" t="str">
        <f>IFERROR(GIZLI!G3739,"")</f>
        <v/>
      </c>
    </row>
    <row r="3745" spans="2:5" x14ac:dyDescent="0.3">
      <c r="B3745" s="2" t="str">
        <f>MID(TableQR[[#This Row],[QR CODES]],4,13)</f>
        <v/>
      </c>
      <c r="C3745" s="2" t="str">
        <f>IFERROR(VLOOKUP(TableQR[[#This Row],[BARCODES]],ILACLISTE[#All],2,0),"")</f>
        <v/>
      </c>
      <c r="D3745" s="2">
        <f t="shared" si="58"/>
        <v>0</v>
      </c>
      <c r="E3745" s="14" t="str">
        <f>IFERROR(GIZLI!G3740,"")</f>
        <v/>
      </c>
    </row>
    <row r="3746" spans="2:5" x14ac:dyDescent="0.3">
      <c r="B3746" s="2" t="str">
        <f>MID(TableQR[[#This Row],[QR CODES]],4,13)</f>
        <v/>
      </c>
      <c r="C3746" s="2" t="str">
        <f>IFERROR(VLOOKUP(TableQR[[#This Row],[BARCODES]],ILACLISTE[#All],2,0),"")</f>
        <v/>
      </c>
      <c r="D3746" s="2">
        <f t="shared" si="58"/>
        <v>0</v>
      </c>
      <c r="E3746" s="14" t="str">
        <f>IFERROR(GIZLI!G3741,"")</f>
        <v/>
      </c>
    </row>
    <row r="3747" spans="2:5" x14ac:dyDescent="0.3">
      <c r="B3747" s="2" t="str">
        <f>MID(TableQR[[#This Row],[QR CODES]],4,13)</f>
        <v/>
      </c>
      <c r="C3747" s="2" t="str">
        <f>IFERROR(VLOOKUP(TableQR[[#This Row],[BARCODES]],ILACLISTE[#All],2,0),"")</f>
        <v/>
      </c>
      <c r="D3747" s="2">
        <f t="shared" si="58"/>
        <v>0</v>
      </c>
      <c r="E3747" s="14" t="str">
        <f>IFERROR(GIZLI!G3742,"")</f>
        <v/>
      </c>
    </row>
    <row r="3748" spans="2:5" x14ac:dyDescent="0.3">
      <c r="B3748" s="2" t="str">
        <f>MID(TableQR[[#This Row],[QR CODES]],4,13)</f>
        <v/>
      </c>
      <c r="C3748" s="2" t="str">
        <f>IFERROR(VLOOKUP(TableQR[[#This Row],[BARCODES]],ILACLISTE[#All],2,0),"")</f>
        <v/>
      </c>
      <c r="D3748" s="2">
        <f t="shared" si="58"/>
        <v>0</v>
      </c>
      <c r="E3748" s="14" t="str">
        <f>IFERROR(GIZLI!G3743,"")</f>
        <v/>
      </c>
    </row>
    <row r="3749" spans="2:5" x14ac:dyDescent="0.3">
      <c r="B3749" s="2" t="str">
        <f>MID(TableQR[[#This Row],[QR CODES]],4,13)</f>
        <v/>
      </c>
      <c r="C3749" s="2" t="str">
        <f>IFERROR(VLOOKUP(TableQR[[#This Row],[BARCODES]],ILACLISTE[#All],2,0),"")</f>
        <v/>
      </c>
      <c r="D3749" s="2">
        <f t="shared" si="58"/>
        <v>0</v>
      </c>
      <c r="E3749" s="14" t="str">
        <f>IFERROR(GIZLI!G3744,"")</f>
        <v/>
      </c>
    </row>
    <row r="3750" spans="2:5" x14ac:dyDescent="0.3">
      <c r="B3750" s="2" t="str">
        <f>MID(TableQR[[#This Row],[QR CODES]],4,13)</f>
        <v/>
      </c>
      <c r="C3750" s="2" t="str">
        <f>IFERROR(VLOOKUP(TableQR[[#This Row],[BARCODES]],ILACLISTE[#All],2,0),"")</f>
        <v/>
      </c>
      <c r="D3750" s="2">
        <f t="shared" si="58"/>
        <v>0</v>
      </c>
      <c r="E3750" s="14" t="str">
        <f>IFERROR(GIZLI!G3745,"")</f>
        <v/>
      </c>
    </row>
    <row r="3751" spans="2:5" x14ac:dyDescent="0.3">
      <c r="B3751" s="2" t="str">
        <f>MID(TableQR[[#This Row],[QR CODES]],4,13)</f>
        <v/>
      </c>
      <c r="C3751" s="2" t="str">
        <f>IFERROR(VLOOKUP(TableQR[[#This Row],[BARCODES]],ILACLISTE[#All],2,0),"")</f>
        <v/>
      </c>
      <c r="D3751" s="2">
        <f t="shared" si="58"/>
        <v>0</v>
      </c>
      <c r="E3751" s="14" t="str">
        <f>IFERROR(GIZLI!G3746,"")</f>
        <v/>
      </c>
    </row>
    <row r="3752" spans="2:5" x14ac:dyDescent="0.3">
      <c r="B3752" s="2" t="str">
        <f>MID(TableQR[[#This Row],[QR CODES]],4,13)</f>
        <v/>
      </c>
      <c r="C3752" s="2" t="str">
        <f>IFERROR(VLOOKUP(TableQR[[#This Row],[BARCODES]],ILACLISTE[#All],2,0),"")</f>
        <v/>
      </c>
      <c r="D3752" s="2">
        <f t="shared" si="58"/>
        <v>0</v>
      </c>
      <c r="E3752" s="14" t="str">
        <f>IFERROR(GIZLI!G3747,"")</f>
        <v/>
      </c>
    </row>
    <row r="3753" spans="2:5" x14ac:dyDescent="0.3">
      <c r="B3753" s="2" t="str">
        <f>MID(TableQR[[#This Row],[QR CODES]],4,13)</f>
        <v/>
      </c>
      <c r="C3753" s="2" t="str">
        <f>IFERROR(VLOOKUP(TableQR[[#This Row],[BARCODES]],ILACLISTE[#All],2,0),"")</f>
        <v/>
      </c>
      <c r="D3753" s="2">
        <f t="shared" si="58"/>
        <v>0</v>
      </c>
      <c r="E3753" s="14" t="str">
        <f>IFERROR(GIZLI!G3748,"")</f>
        <v/>
      </c>
    </row>
    <row r="3754" spans="2:5" x14ac:dyDescent="0.3">
      <c r="B3754" s="2" t="str">
        <f>MID(TableQR[[#This Row],[QR CODES]],4,13)</f>
        <v/>
      </c>
      <c r="C3754" s="2" t="str">
        <f>IFERROR(VLOOKUP(TableQR[[#This Row],[BARCODES]],ILACLISTE[#All],2,0),"")</f>
        <v/>
      </c>
      <c r="D3754" s="2">
        <f t="shared" si="58"/>
        <v>0</v>
      </c>
      <c r="E3754" s="14" t="str">
        <f>IFERROR(GIZLI!G3749,"")</f>
        <v/>
      </c>
    </row>
    <row r="3755" spans="2:5" x14ac:dyDescent="0.3">
      <c r="B3755" s="2" t="str">
        <f>MID(TableQR[[#This Row],[QR CODES]],4,13)</f>
        <v/>
      </c>
      <c r="C3755" s="2" t="str">
        <f>IFERROR(VLOOKUP(TableQR[[#This Row],[BARCODES]],ILACLISTE[#All],2,0),"")</f>
        <v/>
      </c>
      <c r="D3755" s="2">
        <f t="shared" si="58"/>
        <v>0</v>
      </c>
      <c r="E3755" s="14" t="str">
        <f>IFERROR(GIZLI!G3750,"")</f>
        <v/>
      </c>
    </row>
    <row r="3756" spans="2:5" x14ac:dyDescent="0.3">
      <c r="B3756" s="2" t="str">
        <f>MID(TableQR[[#This Row],[QR CODES]],4,13)</f>
        <v/>
      </c>
      <c r="C3756" s="2" t="str">
        <f>IFERROR(VLOOKUP(TableQR[[#This Row],[BARCODES]],ILACLISTE[#All],2,0),"")</f>
        <v/>
      </c>
      <c r="D3756" s="2">
        <f t="shared" si="58"/>
        <v>0</v>
      </c>
      <c r="E3756" s="14" t="str">
        <f>IFERROR(GIZLI!G3751,"")</f>
        <v/>
      </c>
    </row>
    <row r="3757" spans="2:5" x14ac:dyDescent="0.3">
      <c r="B3757" s="2" t="str">
        <f>MID(TableQR[[#This Row],[QR CODES]],4,13)</f>
        <v/>
      </c>
      <c r="C3757" s="2" t="str">
        <f>IFERROR(VLOOKUP(TableQR[[#This Row],[BARCODES]],ILACLISTE[#All],2,0),"")</f>
        <v/>
      </c>
      <c r="D3757" s="2">
        <f t="shared" si="58"/>
        <v>0</v>
      </c>
      <c r="E3757" s="14" t="str">
        <f>IFERROR(GIZLI!G3752,"")</f>
        <v/>
      </c>
    </row>
    <row r="3758" spans="2:5" x14ac:dyDescent="0.3">
      <c r="B3758" s="2" t="str">
        <f>MID(TableQR[[#This Row],[QR CODES]],4,13)</f>
        <v/>
      </c>
      <c r="C3758" s="2" t="str">
        <f>IFERROR(VLOOKUP(TableQR[[#This Row],[BARCODES]],ILACLISTE[#All],2,0),"")</f>
        <v/>
      </c>
      <c r="D3758" s="2">
        <f t="shared" si="58"/>
        <v>0</v>
      </c>
      <c r="E3758" s="14" t="str">
        <f>IFERROR(GIZLI!G3753,"")</f>
        <v/>
      </c>
    </row>
    <row r="3759" spans="2:5" x14ac:dyDescent="0.3">
      <c r="B3759" s="2" t="str">
        <f>MID(TableQR[[#This Row],[QR CODES]],4,13)</f>
        <v/>
      </c>
      <c r="C3759" s="2" t="str">
        <f>IFERROR(VLOOKUP(TableQR[[#This Row],[BARCODES]],ILACLISTE[#All],2,0),"")</f>
        <v/>
      </c>
      <c r="D3759" s="2">
        <f t="shared" si="58"/>
        <v>0</v>
      </c>
      <c r="E3759" s="14" t="str">
        <f>IFERROR(GIZLI!G3754,"")</f>
        <v/>
      </c>
    </row>
    <row r="3760" spans="2:5" x14ac:dyDescent="0.3">
      <c r="B3760" s="2" t="str">
        <f>MID(TableQR[[#This Row],[QR CODES]],4,13)</f>
        <v/>
      </c>
      <c r="C3760" s="2" t="str">
        <f>IFERROR(VLOOKUP(TableQR[[#This Row],[BARCODES]],ILACLISTE[#All],2,0),"")</f>
        <v/>
      </c>
      <c r="D3760" s="2">
        <f t="shared" si="58"/>
        <v>0</v>
      </c>
      <c r="E3760" s="14" t="str">
        <f>IFERROR(GIZLI!G3755,"")</f>
        <v/>
      </c>
    </row>
    <row r="3761" spans="2:5" x14ac:dyDescent="0.3">
      <c r="B3761" s="2" t="str">
        <f>MID(TableQR[[#This Row],[QR CODES]],4,13)</f>
        <v/>
      </c>
      <c r="C3761" s="2" t="str">
        <f>IFERROR(VLOOKUP(TableQR[[#This Row],[BARCODES]],ILACLISTE[#All],2,0),"")</f>
        <v/>
      </c>
      <c r="D3761" s="2">
        <f t="shared" si="58"/>
        <v>0</v>
      </c>
      <c r="E3761" s="14" t="str">
        <f>IFERROR(GIZLI!G3756,"")</f>
        <v/>
      </c>
    </row>
    <row r="3762" spans="2:5" x14ac:dyDescent="0.3">
      <c r="B3762" s="2" t="str">
        <f>MID(TableQR[[#This Row],[QR CODES]],4,13)</f>
        <v/>
      </c>
      <c r="C3762" s="2" t="str">
        <f>IFERROR(VLOOKUP(TableQR[[#This Row],[BARCODES]],ILACLISTE[#All],2,0),"")</f>
        <v/>
      </c>
      <c r="D3762" s="2">
        <f t="shared" si="58"/>
        <v>0</v>
      </c>
      <c r="E3762" s="14" t="str">
        <f>IFERROR(GIZLI!G3757,"")</f>
        <v/>
      </c>
    </row>
    <row r="3763" spans="2:5" x14ac:dyDescent="0.3">
      <c r="B3763" s="2" t="str">
        <f>MID(TableQR[[#This Row],[QR CODES]],4,13)</f>
        <v/>
      </c>
      <c r="C3763" s="2" t="str">
        <f>IFERROR(VLOOKUP(TableQR[[#This Row],[BARCODES]],ILACLISTE[#All],2,0),"")</f>
        <v/>
      </c>
      <c r="D3763" s="2">
        <f t="shared" si="58"/>
        <v>0</v>
      </c>
      <c r="E3763" s="14" t="str">
        <f>IFERROR(GIZLI!G3758,"")</f>
        <v/>
      </c>
    </row>
    <row r="3764" spans="2:5" x14ac:dyDescent="0.3">
      <c r="B3764" s="2" t="str">
        <f>MID(TableQR[[#This Row],[QR CODES]],4,13)</f>
        <v/>
      </c>
      <c r="C3764" s="2" t="str">
        <f>IFERROR(VLOOKUP(TableQR[[#This Row],[BARCODES]],ILACLISTE[#All],2,0),"")</f>
        <v/>
      </c>
      <c r="D3764" s="2">
        <f t="shared" si="58"/>
        <v>0</v>
      </c>
      <c r="E3764" s="14" t="str">
        <f>IFERROR(GIZLI!G3759,"")</f>
        <v/>
      </c>
    </row>
    <row r="3765" spans="2:5" x14ac:dyDescent="0.3">
      <c r="B3765" s="2" t="str">
        <f>MID(TableQR[[#This Row],[QR CODES]],4,13)</f>
        <v/>
      </c>
      <c r="C3765" s="2" t="str">
        <f>IFERROR(VLOOKUP(TableQR[[#This Row],[BARCODES]],ILACLISTE[#All],2,0),"")</f>
        <v/>
      </c>
      <c r="D3765" s="2">
        <f t="shared" si="58"/>
        <v>0</v>
      </c>
      <c r="E3765" s="14" t="str">
        <f>IFERROR(GIZLI!G3760,"")</f>
        <v/>
      </c>
    </row>
    <row r="3766" spans="2:5" x14ac:dyDescent="0.3">
      <c r="B3766" s="2" t="str">
        <f>MID(TableQR[[#This Row],[QR CODES]],4,13)</f>
        <v/>
      </c>
      <c r="C3766" s="2" t="str">
        <f>IFERROR(VLOOKUP(TableQR[[#This Row],[BARCODES]],ILACLISTE[#All],2,0),"")</f>
        <v/>
      </c>
      <c r="D3766" s="2">
        <f t="shared" si="58"/>
        <v>0</v>
      </c>
      <c r="E3766" s="14" t="str">
        <f>IFERROR(GIZLI!G3761,"")</f>
        <v/>
      </c>
    </row>
    <row r="3767" spans="2:5" x14ac:dyDescent="0.3">
      <c r="B3767" s="2" t="str">
        <f>MID(TableQR[[#This Row],[QR CODES]],4,13)</f>
        <v/>
      </c>
      <c r="C3767" s="2" t="str">
        <f>IFERROR(VLOOKUP(TableQR[[#This Row],[BARCODES]],ILACLISTE[#All],2,0),"")</f>
        <v/>
      </c>
      <c r="D3767" s="2">
        <f t="shared" si="58"/>
        <v>0</v>
      </c>
      <c r="E3767" s="14" t="str">
        <f>IFERROR(GIZLI!G3762,"")</f>
        <v/>
      </c>
    </row>
    <row r="3768" spans="2:5" x14ac:dyDescent="0.3">
      <c r="B3768" s="2" t="str">
        <f>MID(TableQR[[#This Row],[QR CODES]],4,13)</f>
        <v/>
      </c>
      <c r="C3768" s="2" t="str">
        <f>IFERROR(VLOOKUP(TableQR[[#This Row],[BARCODES]],ILACLISTE[#All],2,0),"")</f>
        <v/>
      </c>
      <c r="D3768" s="2">
        <f t="shared" si="58"/>
        <v>0</v>
      </c>
      <c r="E3768" s="14" t="str">
        <f>IFERROR(GIZLI!G3763,"")</f>
        <v/>
      </c>
    </row>
    <row r="3769" spans="2:5" x14ac:dyDescent="0.3">
      <c r="B3769" s="2" t="str">
        <f>MID(TableQR[[#This Row],[QR CODES]],4,13)</f>
        <v/>
      </c>
      <c r="C3769" s="2" t="str">
        <f>IFERROR(VLOOKUP(TableQR[[#This Row],[BARCODES]],ILACLISTE[#All],2,0),"")</f>
        <v/>
      </c>
      <c r="D3769" s="2">
        <f t="shared" si="58"/>
        <v>0</v>
      </c>
      <c r="E3769" s="14" t="str">
        <f>IFERROR(GIZLI!G3764,"")</f>
        <v/>
      </c>
    </row>
    <row r="3770" spans="2:5" x14ac:dyDescent="0.3">
      <c r="B3770" s="2" t="str">
        <f>MID(TableQR[[#This Row],[QR CODES]],4,13)</f>
        <v/>
      </c>
      <c r="C3770" s="2" t="str">
        <f>IFERROR(VLOOKUP(TableQR[[#This Row],[BARCODES]],ILACLISTE[#All],2,0),"")</f>
        <v/>
      </c>
      <c r="D3770" s="2">
        <f t="shared" si="58"/>
        <v>0</v>
      </c>
      <c r="E3770" s="14" t="str">
        <f>IFERROR(GIZLI!G3765,"")</f>
        <v/>
      </c>
    </row>
    <row r="3771" spans="2:5" x14ac:dyDescent="0.3">
      <c r="B3771" s="2" t="str">
        <f>MID(TableQR[[#This Row],[QR CODES]],4,13)</f>
        <v/>
      </c>
      <c r="C3771" s="2" t="str">
        <f>IFERROR(VLOOKUP(TableQR[[#This Row],[BARCODES]],ILACLISTE[#All],2,0),"")</f>
        <v/>
      </c>
      <c r="D3771" s="2">
        <f t="shared" si="58"/>
        <v>0</v>
      </c>
      <c r="E3771" s="14" t="str">
        <f>IFERROR(GIZLI!G3766,"")</f>
        <v/>
      </c>
    </row>
    <row r="3772" spans="2:5" x14ac:dyDescent="0.3">
      <c r="B3772" s="2" t="str">
        <f>MID(TableQR[[#This Row],[QR CODES]],4,13)</f>
        <v/>
      </c>
      <c r="C3772" s="2" t="str">
        <f>IFERROR(VLOOKUP(TableQR[[#This Row],[BARCODES]],ILACLISTE[#All],2,0),"")</f>
        <v/>
      </c>
      <c r="D3772" s="2">
        <f t="shared" si="58"/>
        <v>0</v>
      </c>
      <c r="E3772" s="14" t="str">
        <f>IFERROR(GIZLI!G3767,"")</f>
        <v/>
      </c>
    </row>
    <row r="3773" spans="2:5" x14ac:dyDescent="0.3">
      <c r="B3773" s="2" t="str">
        <f>MID(TableQR[[#This Row],[QR CODES]],4,13)</f>
        <v/>
      </c>
      <c r="C3773" s="2" t="str">
        <f>IFERROR(VLOOKUP(TableQR[[#This Row],[BARCODES]],ILACLISTE[#All],2,0),"")</f>
        <v/>
      </c>
      <c r="D3773" s="2">
        <f t="shared" si="58"/>
        <v>0</v>
      </c>
      <c r="E3773" s="14" t="str">
        <f>IFERROR(GIZLI!G3768,"")</f>
        <v/>
      </c>
    </row>
    <row r="3774" spans="2:5" x14ac:dyDescent="0.3">
      <c r="B3774" s="2" t="str">
        <f>MID(TableQR[[#This Row],[QR CODES]],4,13)</f>
        <v/>
      </c>
      <c r="C3774" s="2" t="str">
        <f>IFERROR(VLOOKUP(TableQR[[#This Row],[BARCODES]],ILACLISTE[#All],2,0),"")</f>
        <v/>
      </c>
      <c r="D3774" s="2">
        <f t="shared" si="58"/>
        <v>0</v>
      </c>
      <c r="E3774" s="14" t="str">
        <f>IFERROR(GIZLI!G3769,"")</f>
        <v/>
      </c>
    </row>
    <row r="3775" spans="2:5" x14ac:dyDescent="0.3">
      <c r="B3775" s="2" t="str">
        <f>MID(TableQR[[#This Row],[QR CODES]],4,13)</f>
        <v/>
      </c>
      <c r="C3775" s="2" t="str">
        <f>IFERROR(VLOOKUP(TableQR[[#This Row],[BARCODES]],ILACLISTE[#All],2,0),"")</f>
        <v/>
      </c>
      <c r="D3775" s="2">
        <f t="shared" si="58"/>
        <v>0</v>
      </c>
      <c r="E3775" s="14" t="str">
        <f>IFERROR(GIZLI!G3770,"")</f>
        <v/>
      </c>
    </row>
    <row r="3776" spans="2:5" x14ac:dyDescent="0.3">
      <c r="B3776" s="2" t="str">
        <f>MID(TableQR[[#This Row],[QR CODES]],4,13)</f>
        <v/>
      </c>
      <c r="C3776" s="2" t="str">
        <f>IFERROR(VLOOKUP(TableQR[[#This Row],[BARCODES]],ILACLISTE[#All],2,0),"")</f>
        <v/>
      </c>
      <c r="D3776" s="2">
        <f t="shared" si="58"/>
        <v>0</v>
      </c>
      <c r="E3776" s="14" t="str">
        <f>IFERROR(GIZLI!G3771,"")</f>
        <v/>
      </c>
    </row>
    <row r="3777" spans="2:5" x14ac:dyDescent="0.3">
      <c r="B3777" s="2" t="str">
        <f>MID(TableQR[[#This Row],[QR CODES]],4,13)</f>
        <v/>
      </c>
      <c r="C3777" s="2" t="str">
        <f>IFERROR(VLOOKUP(TableQR[[#This Row],[BARCODES]],ILACLISTE[#All],2,0),"")</f>
        <v/>
      </c>
      <c r="D3777" s="2">
        <f t="shared" si="58"/>
        <v>0</v>
      </c>
      <c r="E3777" s="14" t="str">
        <f>IFERROR(GIZLI!G3772,"")</f>
        <v/>
      </c>
    </row>
    <row r="3778" spans="2:5" x14ac:dyDescent="0.3">
      <c r="B3778" s="2" t="str">
        <f>MID(TableQR[[#This Row],[QR CODES]],4,13)</f>
        <v/>
      </c>
      <c r="C3778" s="2" t="str">
        <f>IFERROR(VLOOKUP(TableQR[[#This Row],[BARCODES]],ILACLISTE[#All],2,0),"")</f>
        <v/>
      </c>
      <c r="D3778" s="2">
        <f t="shared" si="58"/>
        <v>0</v>
      </c>
      <c r="E3778" s="14" t="str">
        <f>IFERROR(GIZLI!G3773,"")</f>
        <v/>
      </c>
    </row>
    <row r="3779" spans="2:5" x14ac:dyDescent="0.3">
      <c r="B3779" s="2" t="str">
        <f>MID(TableQR[[#This Row],[QR CODES]],4,13)</f>
        <v/>
      </c>
      <c r="C3779" s="2" t="str">
        <f>IFERROR(VLOOKUP(TableQR[[#This Row],[BARCODES]],ILACLISTE[#All],2,0),"")</f>
        <v/>
      </c>
      <c r="D3779" s="2">
        <f t="shared" si="58"/>
        <v>0</v>
      </c>
      <c r="E3779" s="14" t="str">
        <f>IFERROR(GIZLI!G3774,"")</f>
        <v/>
      </c>
    </row>
    <row r="3780" spans="2:5" x14ac:dyDescent="0.3">
      <c r="B3780" s="2" t="str">
        <f>MID(TableQR[[#This Row],[QR CODES]],4,13)</f>
        <v/>
      </c>
      <c r="C3780" s="2" t="str">
        <f>IFERROR(VLOOKUP(TableQR[[#This Row],[BARCODES]],ILACLISTE[#All],2,0),"")</f>
        <v/>
      </c>
      <c r="D3780" s="2">
        <f t="shared" si="58"/>
        <v>0</v>
      </c>
      <c r="E3780" s="14" t="str">
        <f>IFERROR(GIZLI!G3775,"")</f>
        <v/>
      </c>
    </row>
    <row r="3781" spans="2:5" x14ac:dyDescent="0.3">
      <c r="B3781" s="2" t="str">
        <f>MID(TableQR[[#This Row],[QR CODES]],4,13)</f>
        <v/>
      </c>
      <c r="C3781" s="2" t="str">
        <f>IFERROR(VLOOKUP(TableQR[[#This Row],[BARCODES]],ILACLISTE[#All],2,0),"")</f>
        <v/>
      </c>
      <c r="D3781" s="2">
        <f t="shared" si="58"/>
        <v>0</v>
      </c>
      <c r="E3781" s="14" t="str">
        <f>IFERROR(GIZLI!G3776,"")</f>
        <v/>
      </c>
    </row>
    <row r="3782" spans="2:5" x14ac:dyDescent="0.3">
      <c r="B3782" s="2" t="str">
        <f>MID(TableQR[[#This Row],[QR CODES]],4,13)</f>
        <v/>
      </c>
      <c r="C3782" s="2" t="str">
        <f>IFERROR(VLOOKUP(TableQR[[#This Row],[BARCODES]],ILACLISTE[#All],2,0),"")</f>
        <v/>
      </c>
      <c r="D3782" s="2">
        <f t="shared" si="58"/>
        <v>0</v>
      </c>
      <c r="E3782" s="14" t="str">
        <f>IFERROR(GIZLI!G3777,"")</f>
        <v/>
      </c>
    </row>
    <row r="3783" spans="2:5" x14ac:dyDescent="0.3">
      <c r="B3783" s="2" t="str">
        <f>MID(TableQR[[#This Row],[QR CODES]],4,13)</f>
        <v/>
      </c>
      <c r="C3783" s="2" t="str">
        <f>IFERROR(VLOOKUP(TableQR[[#This Row],[BARCODES]],ILACLISTE[#All],2,0),"")</f>
        <v/>
      </c>
      <c r="D3783" s="2">
        <f t="shared" si="58"/>
        <v>0</v>
      </c>
      <c r="E3783" s="14" t="str">
        <f>IFERROR(GIZLI!G3778,"")</f>
        <v/>
      </c>
    </row>
    <row r="3784" spans="2:5" x14ac:dyDescent="0.3">
      <c r="B3784" s="2" t="str">
        <f>MID(TableQR[[#This Row],[QR CODES]],4,13)</f>
        <v/>
      </c>
      <c r="C3784" s="2" t="str">
        <f>IFERROR(VLOOKUP(TableQR[[#This Row],[BARCODES]],ILACLISTE[#All],2,0),"")</f>
        <v/>
      </c>
      <c r="D3784" s="2">
        <f t="shared" ref="D3784:D3847" si="59">COUNTIF(B3784:B7777,IF(B3784="",66666,B3784))</f>
        <v>0</v>
      </c>
      <c r="E3784" s="14" t="str">
        <f>IFERROR(GIZLI!G3779,"")</f>
        <v/>
      </c>
    </row>
    <row r="3785" spans="2:5" x14ac:dyDescent="0.3">
      <c r="B3785" s="2" t="str">
        <f>MID(TableQR[[#This Row],[QR CODES]],4,13)</f>
        <v/>
      </c>
      <c r="C3785" s="2" t="str">
        <f>IFERROR(VLOOKUP(TableQR[[#This Row],[BARCODES]],ILACLISTE[#All],2,0),"")</f>
        <v/>
      </c>
      <c r="D3785" s="2">
        <f t="shared" si="59"/>
        <v>0</v>
      </c>
      <c r="E3785" s="14" t="str">
        <f>IFERROR(GIZLI!G3780,"")</f>
        <v/>
      </c>
    </row>
    <row r="3786" spans="2:5" x14ac:dyDescent="0.3">
      <c r="B3786" s="2" t="str">
        <f>MID(TableQR[[#This Row],[QR CODES]],4,13)</f>
        <v/>
      </c>
      <c r="C3786" s="2" t="str">
        <f>IFERROR(VLOOKUP(TableQR[[#This Row],[BARCODES]],ILACLISTE[#All],2,0),"")</f>
        <v/>
      </c>
      <c r="D3786" s="2">
        <f t="shared" si="59"/>
        <v>0</v>
      </c>
      <c r="E3786" s="14" t="str">
        <f>IFERROR(GIZLI!G3781,"")</f>
        <v/>
      </c>
    </row>
    <row r="3787" spans="2:5" x14ac:dyDescent="0.3">
      <c r="B3787" s="2" t="str">
        <f>MID(TableQR[[#This Row],[QR CODES]],4,13)</f>
        <v/>
      </c>
      <c r="C3787" s="2" t="str">
        <f>IFERROR(VLOOKUP(TableQR[[#This Row],[BARCODES]],ILACLISTE[#All],2,0),"")</f>
        <v/>
      </c>
      <c r="D3787" s="2">
        <f t="shared" si="59"/>
        <v>0</v>
      </c>
      <c r="E3787" s="14" t="str">
        <f>IFERROR(GIZLI!G3782,"")</f>
        <v/>
      </c>
    </row>
    <row r="3788" spans="2:5" x14ac:dyDescent="0.3">
      <c r="B3788" s="2" t="str">
        <f>MID(TableQR[[#This Row],[QR CODES]],4,13)</f>
        <v/>
      </c>
      <c r="C3788" s="2" t="str">
        <f>IFERROR(VLOOKUP(TableQR[[#This Row],[BARCODES]],ILACLISTE[#All],2,0),"")</f>
        <v/>
      </c>
      <c r="D3788" s="2">
        <f t="shared" si="59"/>
        <v>0</v>
      </c>
      <c r="E3788" s="14" t="str">
        <f>IFERROR(GIZLI!G3783,"")</f>
        <v/>
      </c>
    </row>
    <row r="3789" spans="2:5" x14ac:dyDescent="0.3">
      <c r="B3789" s="2" t="str">
        <f>MID(TableQR[[#This Row],[QR CODES]],4,13)</f>
        <v/>
      </c>
      <c r="C3789" s="2" t="str">
        <f>IFERROR(VLOOKUP(TableQR[[#This Row],[BARCODES]],ILACLISTE[#All],2,0),"")</f>
        <v/>
      </c>
      <c r="D3789" s="2">
        <f t="shared" si="59"/>
        <v>0</v>
      </c>
      <c r="E3789" s="14" t="str">
        <f>IFERROR(GIZLI!G3784,"")</f>
        <v/>
      </c>
    </row>
    <row r="3790" spans="2:5" x14ac:dyDescent="0.3">
      <c r="B3790" s="2" t="str">
        <f>MID(TableQR[[#This Row],[QR CODES]],4,13)</f>
        <v/>
      </c>
      <c r="C3790" s="2" t="str">
        <f>IFERROR(VLOOKUP(TableQR[[#This Row],[BARCODES]],ILACLISTE[#All],2,0),"")</f>
        <v/>
      </c>
      <c r="D3790" s="2">
        <f t="shared" si="59"/>
        <v>0</v>
      </c>
      <c r="E3790" s="14" t="str">
        <f>IFERROR(GIZLI!G3785,"")</f>
        <v/>
      </c>
    </row>
    <row r="3791" spans="2:5" x14ac:dyDescent="0.3">
      <c r="B3791" s="2" t="str">
        <f>MID(TableQR[[#This Row],[QR CODES]],4,13)</f>
        <v/>
      </c>
      <c r="C3791" s="2" t="str">
        <f>IFERROR(VLOOKUP(TableQR[[#This Row],[BARCODES]],ILACLISTE[#All],2,0),"")</f>
        <v/>
      </c>
      <c r="D3791" s="2">
        <f t="shared" si="59"/>
        <v>0</v>
      </c>
      <c r="E3791" s="14" t="str">
        <f>IFERROR(GIZLI!G3786,"")</f>
        <v/>
      </c>
    </row>
    <row r="3792" spans="2:5" x14ac:dyDescent="0.3">
      <c r="B3792" s="2" t="str">
        <f>MID(TableQR[[#This Row],[QR CODES]],4,13)</f>
        <v/>
      </c>
      <c r="C3792" s="2" t="str">
        <f>IFERROR(VLOOKUP(TableQR[[#This Row],[BARCODES]],ILACLISTE[#All],2,0),"")</f>
        <v/>
      </c>
      <c r="D3792" s="2">
        <f t="shared" si="59"/>
        <v>0</v>
      </c>
      <c r="E3792" s="14" t="str">
        <f>IFERROR(GIZLI!G3787,"")</f>
        <v/>
      </c>
    </row>
    <row r="3793" spans="2:5" x14ac:dyDescent="0.3">
      <c r="B3793" s="2" t="str">
        <f>MID(TableQR[[#This Row],[QR CODES]],4,13)</f>
        <v/>
      </c>
      <c r="C3793" s="2" t="str">
        <f>IFERROR(VLOOKUP(TableQR[[#This Row],[BARCODES]],ILACLISTE[#All],2,0),"")</f>
        <v/>
      </c>
      <c r="D3793" s="2">
        <f t="shared" si="59"/>
        <v>0</v>
      </c>
      <c r="E3793" s="14" t="str">
        <f>IFERROR(GIZLI!G3788,"")</f>
        <v/>
      </c>
    </row>
    <row r="3794" spans="2:5" x14ac:dyDescent="0.3">
      <c r="B3794" s="2" t="str">
        <f>MID(TableQR[[#This Row],[QR CODES]],4,13)</f>
        <v/>
      </c>
      <c r="C3794" s="2" t="str">
        <f>IFERROR(VLOOKUP(TableQR[[#This Row],[BARCODES]],ILACLISTE[#All],2,0),"")</f>
        <v/>
      </c>
      <c r="D3794" s="2">
        <f t="shared" si="59"/>
        <v>0</v>
      </c>
      <c r="E3794" s="14" t="str">
        <f>IFERROR(GIZLI!G3789,"")</f>
        <v/>
      </c>
    </row>
    <row r="3795" spans="2:5" x14ac:dyDescent="0.3">
      <c r="B3795" s="2" t="str">
        <f>MID(TableQR[[#This Row],[QR CODES]],4,13)</f>
        <v/>
      </c>
      <c r="C3795" s="2" t="str">
        <f>IFERROR(VLOOKUP(TableQR[[#This Row],[BARCODES]],ILACLISTE[#All],2,0),"")</f>
        <v/>
      </c>
      <c r="D3795" s="2">
        <f t="shared" si="59"/>
        <v>0</v>
      </c>
      <c r="E3795" s="14" t="str">
        <f>IFERROR(GIZLI!G3790,"")</f>
        <v/>
      </c>
    </row>
    <row r="3796" spans="2:5" x14ac:dyDescent="0.3">
      <c r="B3796" s="2" t="str">
        <f>MID(TableQR[[#This Row],[QR CODES]],4,13)</f>
        <v/>
      </c>
      <c r="C3796" s="2" t="str">
        <f>IFERROR(VLOOKUP(TableQR[[#This Row],[BARCODES]],ILACLISTE[#All],2,0),"")</f>
        <v/>
      </c>
      <c r="D3796" s="2">
        <f t="shared" si="59"/>
        <v>0</v>
      </c>
      <c r="E3796" s="14" t="str">
        <f>IFERROR(GIZLI!G3791,"")</f>
        <v/>
      </c>
    </row>
    <row r="3797" spans="2:5" x14ac:dyDescent="0.3">
      <c r="B3797" s="2" t="str">
        <f>MID(TableQR[[#This Row],[QR CODES]],4,13)</f>
        <v/>
      </c>
      <c r="C3797" s="2" t="str">
        <f>IFERROR(VLOOKUP(TableQR[[#This Row],[BARCODES]],ILACLISTE[#All],2,0),"")</f>
        <v/>
      </c>
      <c r="D3797" s="2">
        <f t="shared" si="59"/>
        <v>0</v>
      </c>
      <c r="E3797" s="14" t="str">
        <f>IFERROR(GIZLI!G3792,"")</f>
        <v/>
      </c>
    </row>
    <row r="3798" spans="2:5" x14ac:dyDescent="0.3">
      <c r="B3798" s="2" t="str">
        <f>MID(TableQR[[#This Row],[QR CODES]],4,13)</f>
        <v/>
      </c>
      <c r="C3798" s="2" t="str">
        <f>IFERROR(VLOOKUP(TableQR[[#This Row],[BARCODES]],ILACLISTE[#All],2,0),"")</f>
        <v/>
      </c>
      <c r="D3798" s="2">
        <f t="shared" si="59"/>
        <v>0</v>
      </c>
      <c r="E3798" s="14" t="str">
        <f>IFERROR(GIZLI!G3793,"")</f>
        <v/>
      </c>
    </row>
    <row r="3799" spans="2:5" x14ac:dyDescent="0.3">
      <c r="B3799" s="2" t="str">
        <f>MID(TableQR[[#This Row],[QR CODES]],4,13)</f>
        <v/>
      </c>
      <c r="C3799" s="2" t="str">
        <f>IFERROR(VLOOKUP(TableQR[[#This Row],[BARCODES]],ILACLISTE[#All],2,0),"")</f>
        <v/>
      </c>
      <c r="D3799" s="2">
        <f t="shared" si="59"/>
        <v>0</v>
      </c>
      <c r="E3799" s="14" t="str">
        <f>IFERROR(GIZLI!G3794,"")</f>
        <v/>
      </c>
    </row>
    <row r="3800" spans="2:5" x14ac:dyDescent="0.3">
      <c r="B3800" s="2" t="str">
        <f>MID(TableQR[[#This Row],[QR CODES]],4,13)</f>
        <v/>
      </c>
      <c r="C3800" s="2" t="str">
        <f>IFERROR(VLOOKUP(TableQR[[#This Row],[BARCODES]],ILACLISTE[#All],2,0),"")</f>
        <v/>
      </c>
      <c r="D3800" s="2">
        <f t="shared" si="59"/>
        <v>0</v>
      </c>
      <c r="E3800" s="14" t="str">
        <f>IFERROR(GIZLI!G3795,"")</f>
        <v/>
      </c>
    </row>
    <row r="3801" spans="2:5" x14ac:dyDescent="0.3">
      <c r="B3801" s="2" t="str">
        <f>MID(TableQR[[#This Row],[QR CODES]],4,13)</f>
        <v/>
      </c>
      <c r="C3801" s="2" t="str">
        <f>IFERROR(VLOOKUP(TableQR[[#This Row],[BARCODES]],ILACLISTE[#All],2,0),"")</f>
        <v/>
      </c>
      <c r="D3801" s="2">
        <f t="shared" si="59"/>
        <v>0</v>
      </c>
      <c r="E3801" s="14" t="str">
        <f>IFERROR(GIZLI!G3796,"")</f>
        <v/>
      </c>
    </row>
    <row r="3802" spans="2:5" x14ac:dyDescent="0.3">
      <c r="B3802" s="2" t="str">
        <f>MID(TableQR[[#This Row],[QR CODES]],4,13)</f>
        <v/>
      </c>
      <c r="C3802" s="2" t="str">
        <f>IFERROR(VLOOKUP(TableQR[[#This Row],[BARCODES]],ILACLISTE[#All],2,0),"")</f>
        <v/>
      </c>
      <c r="D3802" s="2">
        <f t="shared" si="59"/>
        <v>0</v>
      </c>
      <c r="E3802" s="14" t="str">
        <f>IFERROR(GIZLI!G3797,"")</f>
        <v/>
      </c>
    </row>
    <row r="3803" spans="2:5" x14ac:dyDescent="0.3">
      <c r="B3803" s="2" t="str">
        <f>MID(TableQR[[#This Row],[QR CODES]],4,13)</f>
        <v/>
      </c>
      <c r="C3803" s="2" t="str">
        <f>IFERROR(VLOOKUP(TableQR[[#This Row],[BARCODES]],ILACLISTE[#All],2,0),"")</f>
        <v/>
      </c>
      <c r="D3803" s="2">
        <f t="shared" si="59"/>
        <v>0</v>
      </c>
      <c r="E3803" s="14" t="str">
        <f>IFERROR(GIZLI!G3798,"")</f>
        <v/>
      </c>
    </row>
    <row r="3804" spans="2:5" x14ac:dyDescent="0.3">
      <c r="B3804" s="2" t="str">
        <f>MID(TableQR[[#This Row],[QR CODES]],4,13)</f>
        <v/>
      </c>
      <c r="C3804" s="2" t="str">
        <f>IFERROR(VLOOKUP(TableQR[[#This Row],[BARCODES]],ILACLISTE[#All],2,0),"")</f>
        <v/>
      </c>
      <c r="D3804" s="2">
        <f t="shared" si="59"/>
        <v>0</v>
      </c>
      <c r="E3804" s="14" t="str">
        <f>IFERROR(GIZLI!G3799,"")</f>
        <v/>
      </c>
    </row>
    <row r="3805" spans="2:5" x14ac:dyDescent="0.3">
      <c r="B3805" s="2" t="str">
        <f>MID(TableQR[[#This Row],[QR CODES]],4,13)</f>
        <v/>
      </c>
      <c r="C3805" s="2" t="str">
        <f>IFERROR(VLOOKUP(TableQR[[#This Row],[BARCODES]],ILACLISTE[#All],2,0),"")</f>
        <v/>
      </c>
      <c r="D3805" s="2">
        <f t="shared" si="59"/>
        <v>0</v>
      </c>
      <c r="E3805" s="14" t="str">
        <f>IFERROR(GIZLI!G3800,"")</f>
        <v/>
      </c>
    </row>
    <row r="3806" spans="2:5" x14ac:dyDescent="0.3">
      <c r="B3806" s="2" t="str">
        <f>MID(TableQR[[#This Row],[QR CODES]],4,13)</f>
        <v/>
      </c>
      <c r="C3806" s="2" t="str">
        <f>IFERROR(VLOOKUP(TableQR[[#This Row],[BARCODES]],ILACLISTE[#All],2,0),"")</f>
        <v/>
      </c>
      <c r="D3806" s="2">
        <f t="shared" si="59"/>
        <v>0</v>
      </c>
      <c r="E3806" s="14" t="str">
        <f>IFERROR(GIZLI!G3801,"")</f>
        <v/>
      </c>
    </row>
    <row r="3807" spans="2:5" x14ac:dyDescent="0.3">
      <c r="B3807" s="2" t="str">
        <f>MID(TableQR[[#This Row],[QR CODES]],4,13)</f>
        <v/>
      </c>
      <c r="C3807" s="2" t="str">
        <f>IFERROR(VLOOKUP(TableQR[[#This Row],[BARCODES]],ILACLISTE[#All],2,0),"")</f>
        <v/>
      </c>
      <c r="D3807" s="2">
        <f t="shared" si="59"/>
        <v>0</v>
      </c>
      <c r="E3807" s="14" t="str">
        <f>IFERROR(GIZLI!G3802,"")</f>
        <v/>
      </c>
    </row>
    <row r="3808" spans="2:5" x14ac:dyDescent="0.3">
      <c r="B3808" s="2" t="str">
        <f>MID(TableQR[[#This Row],[QR CODES]],4,13)</f>
        <v/>
      </c>
      <c r="C3808" s="2" t="str">
        <f>IFERROR(VLOOKUP(TableQR[[#This Row],[BARCODES]],ILACLISTE[#All],2,0),"")</f>
        <v/>
      </c>
      <c r="D3808" s="2">
        <f t="shared" si="59"/>
        <v>0</v>
      </c>
      <c r="E3808" s="14" t="str">
        <f>IFERROR(GIZLI!G3803,"")</f>
        <v/>
      </c>
    </row>
    <row r="3809" spans="2:5" x14ac:dyDescent="0.3">
      <c r="B3809" s="2" t="str">
        <f>MID(TableQR[[#This Row],[QR CODES]],4,13)</f>
        <v/>
      </c>
      <c r="C3809" s="2" t="str">
        <f>IFERROR(VLOOKUP(TableQR[[#This Row],[BARCODES]],ILACLISTE[#All],2,0),"")</f>
        <v/>
      </c>
      <c r="D3809" s="2">
        <f t="shared" si="59"/>
        <v>0</v>
      </c>
      <c r="E3809" s="14" t="str">
        <f>IFERROR(GIZLI!G3804,"")</f>
        <v/>
      </c>
    </row>
    <row r="3810" spans="2:5" x14ac:dyDescent="0.3">
      <c r="B3810" s="2" t="str">
        <f>MID(TableQR[[#This Row],[QR CODES]],4,13)</f>
        <v/>
      </c>
      <c r="C3810" s="2" t="str">
        <f>IFERROR(VLOOKUP(TableQR[[#This Row],[BARCODES]],ILACLISTE[#All],2,0),"")</f>
        <v/>
      </c>
      <c r="D3810" s="2">
        <f t="shared" si="59"/>
        <v>0</v>
      </c>
      <c r="E3810" s="14" t="str">
        <f>IFERROR(GIZLI!G3805,"")</f>
        <v/>
      </c>
    </row>
    <row r="3811" spans="2:5" x14ac:dyDescent="0.3">
      <c r="B3811" s="2" t="str">
        <f>MID(TableQR[[#This Row],[QR CODES]],4,13)</f>
        <v/>
      </c>
      <c r="C3811" s="2" t="str">
        <f>IFERROR(VLOOKUP(TableQR[[#This Row],[BARCODES]],ILACLISTE[#All],2,0),"")</f>
        <v/>
      </c>
      <c r="D3811" s="2">
        <f t="shared" si="59"/>
        <v>0</v>
      </c>
      <c r="E3811" s="14" t="str">
        <f>IFERROR(GIZLI!G3806,"")</f>
        <v/>
      </c>
    </row>
    <row r="3812" spans="2:5" x14ac:dyDescent="0.3">
      <c r="B3812" s="2" t="str">
        <f>MID(TableQR[[#This Row],[QR CODES]],4,13)</f>
        <v/>
      </c>
      <c r="C3812" s="2" t="str">
        <f>IFERROR(VLOOKUP(TableQR[[#This Row],[BARCODES]],ILACLISTE[#All],2,0),"")</f>
        <v/>
      </c>
      <c r="D3812" s="2">
        <f t="shared" si="59"/>
        <v>0</v>
      </c>
      <c r="E3812" s="14" t="str">
        <f>IFERROR(GIZLI!G3807,"")</f>
        <v/>
      </c>
    </row>
    <row r="3813" spans="2:5" x14ac:dyDescent="0.3">
      <c r="B3813" s="2" t="str">
        <f>MID(TableQR[[#This Row],[QR CODES]],4,13)</f>
        <v/>
      </c>
      <c r="C3813" s="2" t="str">
        <f>IFERROR(VLOOKUP(TableQR[[#This Row],[BARCODES]],ILACLISTE[#All],2,0),"")</f>
        <v/>
      </c>
      <c r="D3813" s="2">
        <f t="shared" si="59"/>
        <v>0</v>
      </c>
      <c r="E3813" s="14" t="str">
        <f>IFERROR(GIZLI!G3808,"")</f>
        <v/>
      </c>
    </row>
    <row r="3814" spans="2:5" x14ac:dyDescent="0.3">
      <c r="B3814" s="2" t="str">
        <f>MID(TableQR[[#This Row],[QR CODES]],4,13)</f>
        <v/>
      </c>
      <c r="C3814" s="2" t="str">
        <f>IFERROR(VLOOKUP(TableQR[[#This Row],[BARCODES]],ILACLISTE[#All],2,0),"")</f>
        <v/>
      </c>
      <c r="D3814" s="2">
        <f t="shared" si="59"/>
        <v>0</v>
      </c>
      <c r="E3814" s="14" t="str">
        <f>IFERROR(GIZLI!G3809,"")</f>
        <v/>
      </c>
    </row>
    <row r="3815" spans="2:5" x14ac:dyDescent="0.3">
      <c r="B3815" s="2" t="str">
        <f>MID(TableQR[[#This Row],[QR CODES]],4,13)</f>
        <v/>
      </c>
      <c r="C3815" s="2" t="str">
        <f>IFERROR(VLOOKUP(TableQR[[#This Row],[BARCODES]],ILACLISTE[#All],2,0),"")</f>
        <v/>
      </c>
      <c r="D3815" s="2">
        <f t="shared" si="59"/>
        <v>0</v>
      </c>
      <c r="E3815" s="14" t="str">
        <f>IFERROR(GIZLI!G3810,"")</f>
        <v/>
      </c>
    </row>
    <row r="3816" spans="2:5" x14ac:dyDescent="0.3">
      <c r="B3816" s="2" t="str">
        <f>MID(TableQR[[#This Row],[QR CODES]],4,13)</f>
        <v/>
      </c>
      <c r="C3816" s="2" t="str">
        <f>IFERROR(VLOOKUP(TableQR[[#This Row],[BARCODES]],ILACLISTE[#All],2,0),"")</f>
        <v/>
      </c>
      <c r="D3816" s="2">
        <f t="shared" si="59"/>
        <v>0</v>
      </c>
      <c r="E3816" s="14" t="str">
        <f>IFERROR(GIZLI!G3811,"")</f>
        <v/>
      </c>
    </row>
    <row r="3817" spans="2:5" x14ac:dyDescent="0.3">
      <c r="B3817" s="2" t="str">
        <f>MID(TableQR[[#This Row],[QR CODES]],4,13)</f>
        <v/>
      </c>
      <c r="C3817" s="2" t="str">
        <f>IFERROR(VLOOKUP(TableQR[[#This Row],[BARCODES]],ILACLISTE[#All],2,0),"")</f>
        <v/>
      </c>
      <c r="D3817" s="2">
        <f t="shared" si="59"/>
        <v>0</v>
      </c>
      <c r="E3817" s="14" t="str">
        <f>IFERROR(GIZLI!G3812,"")</f>
        <v/>
      </c>
    </row>
    <row r="3818" spans="2:5" x14ac:dyDescent="0.3">
      <c r="B3818" s="2" t="str">
        <f>MID(TableQR[[#This Row],[QR CODES]],4,13)</f>
        <v/>
      </c>
      <c r="C3818" s="2" t="str">
        <f>IFERROR(VLOOKUP(TableQR[[#This Row],[BARCODES]],ILACLISTE[#All],2,0),"")</f>
        <v/>
      </c>
      <c r="D3818" s="2">
        <f t="shared" si="59"/>
        <v>0</v>
      </c>
      <c r="E3818" s="14" t="str">
        <f>IFERROR(GIZLI!G3813,"")</f>
        <v/>
      </c>
    </row>
    <row r="3819" spans="2:5" x14ac:dyDescent="0.3">
      <c r="B3819" s="2" t="str">
        <f>MID(TableQR[[#This Row],[QR CODES]],4,13)</f>
        <v/>
      </c>
      <c r="C3819" s="2" t="str">
        <f>IFERROR(VLOOKUP(TableQR[[#This Row],[BARCODES]],ILACLISTE[#All],2,0),"")</f>
        <v/>
      </c>
      <c r="D3819" s="2">
        <f t="shared" si="59"/>
        <v>0</v>
      </c>
      <c r="E3819" s="14" t="str">
        <f>IFERROR(GIZLI!G3814,"")</f>
        <v/>
      </c>
    </row>
    <row r="3820" spans="2:5" x14ac:dyDescent="0.3">
      <c r="B3820" s="2" t="str">
        <f>MID(TableQR[[#This Row],[QR CODES]],4,13)</f>
        <v/>
      </c>
      <c r="C3820" s="2" t="str">
        <f>IFERROR(VLOOKUP(TableQR[[#This Row],[BARCODES]],ILACLISTE[#All],2,0),"")</f>
        <v/>
      </c>
      <c r="D3820" s="2">
        <f t="shared" si="59"/>
        <v>0</v>
      </c>
      <c r="E3820" s="14" t="str">
        <f>IFERROR(GIZLI!G3815,"")</f>
        <v/>
      </c>
    </row>
    <row r="3821" spans="2:5" x14ac:dyDescent="0.3">
      <c r="B3821" s="2" t="str">
        <f>MID(TableQR[[#This Row],[QR CODES]],4,13)</f>
        <v/>
      </c>
      <c r="C3821" s="2" t="str">
        <f>IFERROR(VLOOKUP(TableQR[[#This Row],[BARCODES]],ILACLISTE[#All],2,0),"")</f>
        <v/>
      </c>
      <c r="D3821" s="2">
        <f t="shared" si="59"/>
        <v>0</v>
      </c>
      <c r="E3821" s="14" t="str">
        <f>IFERROR(GIZLI!G3816,"")</f>
        <v/>
      </c>
    </row>
    <row r="3822" spans="2:5" x14ac:dyDescent="0.3">
      <c r="B3822" s="2" t="str">
        <f>MID(TableQR[[#This Row],[QR CODES]],4,13)</f>
        <v/>
      </c>
      <c r="C3822" s="2" t="str">
        <f>IFERROR(VLOOKUP(TableQR[[#This Row],[BARCODES]],ILACLISTE[#All],2,0),"")</f>
        <v/>
      </c>
      <c r="D3822" s="2">
        <f t="shared" si="59"/>
        <v>0</v>
      </c>
      <c r="E3822" s="14" t="str">
        <f>IFERROR(GIZLI!G3817,"")</f>
        <v/>
      </c>
    </row>
    <row r="3823" spans="2:5" x14ac:dyDescent="0.3">
      <c r="B3823" s="2" t="str">
        <f>MID(TableQR[[#This Row],[QR CODES]],4,13)</f>
        <v/>
      </c>
      <c r="C3823" s="2" t="str">
        <f>IFERROR(VLOOKUP(TableQR[[#This Row],[BARCODES]],ILACLISTE[#All],2,0),"")</f>
        <v/>
      </c>
      <c r="D3823" s="2">
        <f t="shared" si="59"/>
        <v>0</v>
      </c>
      <c r="E3823" s="14" t="str">
        <f>IFERROR(GIZLI!G3818,"")</f>
        <v/>
      </c>
    </row>
    <row r="3824" spans="2:5" x14ac:dyDescent="0.3">
      <c r="B3824" s="2" t="str">
        <f>MID(TableQR[[#This Row],[QR CODES]],4,13)</f>
        <v/>
      </c>
      <c r="C3824" s="2" t="str">
        <f>IFERROR(VLOOKUP(TableQR[[#This Row],[BARCODES]],ILACLISTE[#All],2,0),"")</f>
        <v/>
      </c>
      <c r="D3824" s="2">
        <f t="shared" si="59"/>
        <v>0</v>
      </c>
      <c r="E3824" s="14" t="str">
        <f>IFERROR(GIZLI!G3819,"")</f>
        <v/>
      </c>
    </row>
    <row r="3825" spans="2:5" x14ac:dyDescent="0.3">
      <c r="B3825" s="2" t="str">
        <f>MID(TableQR[[#This Row],[QR CODES]],4,13)</f>
        <v/>
      </c>
      <c r="C3825" s="2" t="str">
        <f>IFERROR(VLOOKUP(TableQR[[#This Row],[BARCODES]],ILACLISTE[#All],2,0),"")</f>
        <v/>
      </c>
      <c r="D3825" s="2">
        <f t="shared" si="59"/>
        <v>0</v>
      </c>
      <c r="E3825" s="14" t="str">
        <f>IFERROR(GIZLI!G3820,"")</f>
        <v/>
      </c>
    </row>
    <row r="3826" spans="2:5" x14ac:dyDescent="0.3">
      <c r="B3826" s="2" t="str">
        <f>MID(TableQR[[#This Row],[QR CODES]],4,13)</f>
        <v/>
      </c>
      <c r="C3826" s="2" t="str">
        <f>IFERROR(VLOOKUP(TableQR[[#This Row],[BARCODES]],ILACLISTE[#All],2,0),"")</f>
        <v/>
      </c>
      <c r="D3826" s="2">
        <f t="shared" si="59"/>
        <v>0</v>
      </c>
      <c r="E3826" s="14" t="str">
        <f>IFERROR(GIZLI!G3821,"")</f>
        <v/>
      </c>
    </row>
    <row r="3827" spans="2:5" x14ac:dyDescent="0.3">
      <c r="B3827" s="2" t="str">
        <f>MID(TableQR[[#This Row],[QR CODES]],4,13)</f>
        <v/>
      </c>
      <c r="C3827" s="2" t="str">
        <f>IFERROR(VLOOKUP(TableQR[[#This Row],[BARCODES]],ILACLISTE[#All],2,0),"")</f>
        <v/>
      </c>
      <c r="D3827" s="2">
        <f t="shared" si="59"/>
        <v>0</v>
      </c>
      <c r="E3827" s="14" t="str">
        <f>IFERROR(GIZLI!G3822,"")</f>
        <v/>
      </c>
    </row>
    <row r="3828" spans="2:5" x14ac:dyDescent="0.3">
      <c r="B3828" s="2" t="str">
        <f>MID(TableQR[[#This Row],[QR CODES]],4,13)</f>
        <v/>
      </c>
      <c r="C3828" s="2" t="str">
        <f>IFERROR(VLOOKUP(TableQR[[#This Row],[BARCODES]],ILACLISTE[#All],2,0),"")</f>
        <v/>
      </c>
      <c r="D3828" s="2">
        <f t="shared" si="59"/>
        <v>0</v>
      </c>
      <c r="E3828" s="14" t="str">
        <f>IFERROR(GIZLI!G3823,"")</f>
        <v/>
      </c>
    </row>
    <row r="3829" spans="2:5" x14ac:dyDescent="0.3">
      <c r="B3829" s="2" t="str">
        <f>MID(TableQR[[#This Row],[QR CODES]],4,13)</f>
        <v/>
      </c>
      <c r="C3829" s="2" t="str">
        <f>IFERROR(VLOOKUP(TableQR[[#This Row],[BARCODES]],ILACLISTE[#All],2,0),"")</f>
        <v/>
      </c>
      <c r="D3829" s="2">
        <f t="shared" si="59"/>
        <v>0</v>
      </c>
      <c r="E3829" s="14" t="str">
        <f>IFERROR(GIZLI!G3824,"")</f>
        <v/>
      </c>
    </row>
    <row r="3830" spans="2:5" x14ac:dyDescent="0.3">
      <c r="B3830" s="2" t="str">
        <f>MID(TableQR[[#This Row],[QR CODES]],4,13)</f>
        <v/>
      </c>
      <c r="C3830" s="2" t="str">
        <f>IFERROR(VLOOKUP(TableQR[[#This Row],[BARCODES]],ILACLISTE[#All],2,0),"")</f>
        <v/>
      </c>
      <c r="D3830" s="2">
        <f t="shared" si="59"/>
        <v>0</v>
      </c>
      <c r="E3830" s="14" t="str">
        <f>IFERROR(GIZLI!G3825,"")</f>
        <v/>
      </c>
    </row>
    <row r="3831" spans="2:5" x14ac:dyDescent="0.3">
      <c r="B3831" s="2" t="str">
        <f>MID(TableQR[[#This Row],[QR CODES]],4,13)</f>
        <v/>
      </c>
      <c r="C3831" s="2" t="str">
        <f>IFERROR(VLOOKUP(TableQR[[#This Row],[BARCODES]],ILACLISTE[#All],2,0),"")</f>
        <v/>
      </c>
      <c r="D3831" s="2">
        <f t="shared" si="59"/>
        <v>0</v>
      </c>
      <c r="E3831" s="14" t="str">
        <f>IFERROR(GIZLI!G3826,"")</f>
        <v/>
      </c>
    </row>
    <row r="3832" spans="2:5" x14ac:dyDescent="0.3">
      <c r="B3832" s="2" t="str">
        <f>MID(TableQR[[#This Row],[QR CODES]],4,13)</f>
        <v/>
      </c>
      <c r="C3832" s="2" t="str">
        <f>IFERROR(VLOOKUP(TableQR[[#This Row],[BARCODES]],ILACLISTE[#All],2,0),"")</f>
        <v/>
      </c>
      <c r="D3832" s="2">
        <f t="shared" si="59"/>
        <v>0</v>
      </c>
      <c r="E3832" s="14" t="str">
        <f>IFERROR(GIZLI!G3827,"")</f>
        <v/>
      </c>
    </row>
    <row r="3833" spans="2:5" x14ac:dyDescent="0.3">
      <c r="B3833" s="2" t="str">
        <f>MID(TableQR[[#This Row],[QR CODES]],4,13)</f>
        <v/>
      </c>
      <c r="C3833" s="2" t="str">
        <f>IFERROR(VLOOKUP(TableQR[[#This Row],[BARCODES]],ILACLISTE[#All],2,0),"")</f>
        <v/>
      </c>
      <c r="D3833" s="2">
        <f t="shared" si="59"/>
        <v>0</v>
      </c>
      <c r="E3833" s="14" t="str">
        <f>IFERROR(GIZLI!G3828,"")</f>
        <v/>
      </c>
    </row>
    <row r="3834" spans="2:5" x14ac:dyDescent="0.3">
      <c r="B3834" s="2" t="str">
        <f>MID(TableQR[[#This Row],[QR CODES]],4,13)</f>
        <v/>
      </c>
      <c r="C3834" s="2" t="str">
        <f>IFERROR(VLOOKUP(TableQR[[#This Row],[BARCODES]],ILACLISTE[#All],2,0),"")</f>
        <v/>
      </c>
      <c r="D3834" s="2">
        <f t="shared" si="59"/>
        <v>0</v>
      </c>
      <c r="E3834" s="14" t="str">
        <f>IFERROR(GIZLI!G3829,"")</f>
        <v/>
      </c>
    </row>
    <row r="3835" spans="2:5" x14ac:dyDescent="0.3">
      <c r="B3835" s="2" t="str">
        <f>MID(TableQR[[#This Row],[QR CODES]],4,13)</f>
        <v/>
      </c>
      <c r="C3835" s="2" t="str">
        <f>IFERROR(VLOOKUP(TableQR[[#This Row],[BARCODES]],ILACLISTE[#All],2,0),"")</f>
        <v/>
      </c>
      <c r="D3835" s="2">
        <f t="shared" si="59"/>
        <v>0</v>
      </c>
      <c r="E3835" s="14" t="str">
        <f>IFERROR(GIZLI!G3830,"")</f>
        <v/>
      </c>
    </row>
    <row r="3836" spans="2:5" x14ac:dyDescent="0.3">
      <c r="B3836" s="2" t="str">
        <f>MID(TableQR[[#This Row],[QR CODES]],4,13)</f>
        <v/>
      </c>
      <c r="C3836" s="2" t="str">
        <f>IFERROR(VLOOKUP(TableQR[[#This Row],[BARCODES]],ILACLISTE[#All],2,0),"")</f>
        <v/>
      </c>
      <c r="D3836" s="2">
        <f t="shared" si="59"/>
        <v>0</v>
      </c>
      <c r="E3836" s="14" t="str">
        <f>IFERROR(GIZLI!G3831,"")</f>
        <v/>
      </c>
    </row>
    <row r="3837" spans="2:5" x14ac:dyDescent="0.3">
      <c r="B3837" s="2" t="str">
        <f>MID(TableQR[[#This Row],[QR CODES]],4,13)</f>
        <v/>
      </c>
      <c r="C3837" s="2" t="str">
        <f>IFERROR(VLOOKUP(TableQR[[#This Row],[BARCODES]],ILACLISTE[#All],2,0),"")</f>
        <v/>
      </c>
      <c r="D3837" s="2">
        <f t="shared" si="59"/>
        <v>0</v>
      </c>
      <c r="E3837" s="14" t="str">
        <f>IFERROR(GIZLI!G3832,"")</f>
        <v/>
      </c>
    </row>
    <row r="3838" spans="2:5" x14ac:dyDescent="0.3">
      <c r="B3838" s="2" t="str">
        <f>MID(TableQR[[#This Row],[QR CODES]],4,13)</f>
        <v/>
      </c>
      <c r="C3838" s="2" t="str">
        <f>IFERROR(VLOOKUP(TableQR[[#This Row],[BARCODES]],ILACLISTE[#All],2,0),"")</f>
        <v/>
      </c>
      <c r="D3838" s="2">
        <f t="shared" si="59"/>
        <v>0</v>
      </c>
      <c r="E3838" s="14" t="str">
        <f>IFERROR(GIZLI!G3833,"")</f>
        <v/>
      </c>
    </row>
    <row r="3839" spans="2:5" x14ac:dyDescent="0.3">
      <c r="B3839" s="2" t="str">
        <f>MID(TableQR[[#This Row],[QR CODES]],4,13)</f>
        <v/>
      </c>
      <c r="C3839" s="2" t="str">
        <f>IFERROR(VLOOKUP(TableQR[[#This Row],[BARCODES]],ILACLISTE[#All],2,0),"")</f>
        <v/>
      </c>
      <c r="D3839" s="2">
        <f t="shared" si="59"/>
        <v>0</v>
      </c>
      <c r="E3839" s="14" t="str">
        <f>IFERROR(GIZLI!G3834,"")</f>
        <v/>
      </c>
    </row>
    <row r="3840" spans="2:5" x14ac:dyDescent="0.3">
      <c r="B3840" s="2" t="str">
        <f>MID(TableQR[[#This Row],[QR CODES]],4,13)</f>
        <v/>
      </c>
      <c r="C3840" s="2" t="str">
        <f>IFERROR(VLOOKUP(TableQR[[#This Row],[BARCODES]],ILACLISTE[#All],2,0),"")</f>
        <v/>
      </c>
      <c r="D3840" s="2">
        <f t="shared" si="59"/>
        <v>0</v>
      </c>
      <c r="E3840" s="14" t="str">
        <f>IFERROR(GIZLI!G3835,"")</f>
        <v/>
      </c>
    </row>
    <row r="3841" spans="2:5" x14ac:dyDescent="0.3">
      <c r="B3841" s="2" t="str">
        <f>MID(TableQR[[#This Row],[QR CODES]],4,13)</f>
        <v/>
      </c>
      <c r="C3841" s="2" t="str">
        <f>IFERROR(VLOOKUP(TableQR[[#This Row],[BARCODES]],ILACLISTE[#All],2,0),"")</f>
        <v/>
      </c>
      <c r="D3841" s="2">
        <f t="shared" si="59"/>
        <v>0</v>
      </c>
      <c r="E3841" s="14" t="str">
        <f>IFERROR(GIZLI!G3836,"")</f>
        <v/>
      </c>
    </row>
    <row r="3842" spans="2:5" x14ac:dyDescent="0.3">
      <c r="B3842" s="2" t="str">
        <f>MID(TableQR[[#This Row],[QR CODES]],4,13)</f>
        <v/>
      </c>
      <c r="C3842" s="2" t="str">
        <f>IFERROR(VLOOKUP(TableQR[[#This Row],[BARCODES]],ILACLISTE[#All],2,0),"")</f>
        <v/>
      </c>
      <c r="D3842" s="2">
        <f t="shared" si="59"/>
        <v>0</v>
      </c>
      <c r="E3842" s="14" t="str">
        <f>IFERROR(GIZLI!G3837,"")</f>
        <v/>
      </c>
    </row>
    <row r="3843" spans="2:5" x14ac:dyDescent="0.3">
      <c r="B3843" s="2" t="str">
        <f>MID(TableQR[[#This Row],[QR CODES]],4,13)</f>
        <v/>
      </c>
      <c r="C3843" s="2" t="str">
        <f>IFERROR(VLOOKUP(TableQR[[#This Row],[BARCODES]],ILACLISTE[#All],2,0),"")</f>
        <v/>
      </c>
      <c r="D3843" s="2">
        <f t="shared" si="59"/>
        <v>0</v>
      </c>
      <c r="E3843" s="14" t="str">
        <f>IFERROR(GIZLI!G3838,"")</f>
        <v/>
      </c>
    </row>
    <row r="3844" spans="2:5" x14ac:dyDescent="0.3">
      <c r="B3844" s="2" t="str">
        <f>MID(TableQR[[#This Row],[QR CODES]],4,13)</f>
        <v/>
      </c>
      <c r="C3844" s="2" t="str">
        <f>IFERROR(VLOOKUP(TableQR[[#This Row],[BARCODES]],ILACLISTE[#All],2,0),"")</f>
        <v/>
      </c>
      <c r="D3844" s="2">
        <f t="shared" si="59"/>
        <v>0</v>
      </c>
      <c r="E3844" s="14" t="str">
        <f>IFERROR(GIZLI!G3839,"")</f>
        <v/>
      </c>
    </row>
    <row r="3845" spans="2:5" x14ac:dyDescent="0.3">
      <c r="B3845" s="2" t="str">
        <f>MID(TableQR[[#This Row],[QR CODES]],4,13)</f>
        <v/>
      </c>
      <c r="C3845" s="2" t="str">
        <f>IFERROR(VLOOKUP(TableQR[[#This Row],[BARCODES]],ILACLISTE[#All],2,0),"")</f>
        <v/>
      </c>
      <c r="D3845" s="2">
        <f t="shared" si="59"/>
        <v>0</v>
      </c>
      <c r="E3845" s="14" t="str">
        <f>IFERROR(GIZLI!G3840,"")</f>
        <v/>
      </c>
    </row>
    <row r="3846" spans="2:5" x14ac:dyDescent="0.3">
      <c r="B3846" s="2" t="str">
        <f>MID(TableQR[[#This Row],[QR CODES]],4,13)</f>
        <v/>
      </c>
      <c r="C3846" s="2" t="str">
        <f>IFERROR(VLOOKUP(TableQR[[#This Row],[BARCODES]],ILACLISTE[#All],2,0),"")</f>
        <v/>
      </c>
      <c r="D3846" s="2">
        <f t="shared" si="59"/>
        <v>0</v>
      </c>
      <c r="E3846" s="14" t="str">
        <f>IFERROR(GIZLI!G3841,"")</f>
        <v/>
      </c>
    </row>
    <row r="3847" spans="2:5" x14ac:dyDescent="0.3">
      <c r="B3847" s="2" t="str">
        <f>MID(TableQR[[#This Row],[QR CODES]],4,13)</f>
        <v/>
      </c>
      <c r="C3847" s="2" t="str">
        <f>IFERROR(VLOOKUP(TableQR[[#This Row],[BARCODES]],ILACLISTE[#All],2,0),"")</f>
        <v/>
      </c>
      <c r="D3847" s="2">
        <f t="shared" si="59"/>
        <v>0</v>
      </c>
      <c r="E3847" s="14" t="str">
        <f>IFERROR(GIZLI!G3842,"")</f>
        <v/>
      </c>
    </row>
    <row r="3848" spans="2:5" x14ac:dyDescent="0.3">
      <c r="B3848" s="2" t="str">
        <f>MID(TableQR[[#This Row],[QR CODES]],4,13)</f>
        <v/>
      </c>
      <c r="C3848" s="2" t="str">
        <f>IFERROR(VLOOKUP(TableQR[[#This Row],[BARCODES]],ILACLISTE[#All],2,0),"")</f>
        <v/>
      </c>
      <c r="D3848" s="2">
        <f t="shared" ref="D3848:D3911" si="60">COUNTIF(B3848:B7841,IF(B3848="",66666,B3848))</f>
        <v>0</v>
      </c>
      <c r="E3848" s="14" t="str">
        <f>IFERROR(GIZLI!G3843,"")</f>
        <v/>
      </c>
    </row>
    <row r="3849" spans="2:5" x14ac:dyDescent="0.3">
      <c r="B3849" s="2" t="str">
        <f>MID(TableQR[[#This Row],[QR CODES]],4,13)</f>
        <v/>
      </c>
      <c r="C3849" s="2" t="str">
        <f>IFERROR(VLOOKUP(TableQR[[#This Row],[BARCODES]],ILACLISTE[#All],2,0),"")</f>
        <v/>
      </c>
      <c r="D3849" s="2">
        <f t="shared" si="60"/>
        <v>0</v>
      </c>
      <c r="E3849" s="14" t="str">
        <f>IFERROR(GIZLI!G3844,"")</f>
        <v/>
      </c>
    </row>
    <row r="3850" spans="2:5" x14ac:dyDescent="0.3">
      <c r="B3850" s="2" t="str">
        <f>MID(TableQR[[#This Row],[QR CODES]],4,13)</f>
        <v/>
      </c>
      <c r="C3850" s="2" t="str">
        <f>IFERROR(VLOOKUP(TableQR[[#This Row],[BARCODES]],ILACLISTE[#All],2,0),"")</f>
        <v/>
      </c>
      <c r="D3850" s="2">
        <f t="shared" si="60"/>
        <v>0</v>
      </c>
      <c r="E3850" s="14" t="str">
        <f>IFERROR(GIZLI!G3845,"")</f>
        <v/>
      </c>
    </row>
    <row r="3851" spans="2:5" x14ac:dyDescent="0.3">
      <c r="B3851" s="2" t="str">
        <f>MID(TableQR[[#This Row],[QR CODES]],4,13)</f>
        <v/>
      </c>
      <c r="C3851" s="2" t="str">
        <f>IFERROR(VLOOKUP(TableQR[[#This Row],[BARCODES]],ILACLISTE[#All],2,0),"")</f>
        <v/>
      </c>
      <c r="D3851" s="2">
        <f t="shared" si="60"/>
        <v>0</v>
      </c>
      <c r="E3851" s="14" t="str">
        <f>IFERROR(GIZLI!G3846,"")</f>
        <v/>
      </c>
    </row>
    <row r="3852" spans="2:5" x14ac:dyDescent="0.3">
      <c r="B3852" s="2" t="str">
        <f>MID(TableQR[[#This Row],[QR CODES]],4,13)</f>
        <v/>
      </c>
      <c r="C3852" s="2" t="str">
        <f>IFERROR(VLOOKUP(TableQR[[#This Row],[BARCODES]],ILACLISTE[#All],2,0),"")</f>
        <v/>
      </c>
      <c r="D3852" s="2">
        <f t="shared" si="60"/>
        <v>0</v>
      </c>
      <c r="E3852" s="14" t="str">
        <f>IFERROR(GIZLI!G3847,"")</f>
        <v/>
      </c>
    </row>
    <row r="3853" spans="2:5" x14ac:dyDescent="0.3">
      <c r="B3853" s="2" t="str">
        <f>MID(TableQR[[#This Row],[QR CODES]],4,13)</f>
        <v/>
      </c>
      <c r="C3853" s="2" t="str">
        <f>IFERROR(VLOOKUP(TableQR[[#This Row],[BARCODES]],ILACLISTE[#All],2,0),"")</f>
        <v/>
      </c>
      <c r="D3853" s="2">
        <f t="shared" si="60"/>
        <v>0</v>
      </c>
      <c r="E3853" s="14" t="str">
        <f>IFERROR(GIZLI!G3848,"")</f>
        <v/>
      </c>
    </row>
    <row r="3854" spans="2:5" x14ac:dyDescent="0.3">
      <c r="B3854" s="2" t="str">
        <f>MID(TableQR[[#This Row],[QR CODES]],4,13)</f>
        <v/>
      </c>
      <c r="C3854" s="2" t="str">
        <f>IFERROR(VLOOKUP(TableQR[[#This Row],[BARCODES]],ILACLISTE[#All],2,0),"")</f>
        <v/>
      </c>
      <c r="D3854" s="2">
        <f t="shared" si="60"/>
        <v>0</v>
      </c>
      <c r="E3854" s="14" t="str">
        <f>IFERROR(GIZLI!G3849,"")</f>
        <v/>
      </c>
    </row>
    <row r="3855" spans="2:5" x14ac:dyDescent="0.3">
      <c r="B3855" s="2" t="str">
        <f>MID(TableQR[[#This Row],[QR CODES]],4,13)</f>
        <v/>
      </c>
      <c r="C3855" s="2" t="str">
        <f>IFERROR(VLOOKUP(TableQR[[#This Row],[BARCODES]],ILACLISTE[#All],2,0),"")</f>
        <v/>
      </c>
      <c r="D3855" s="2">
        <f t="shared" si="60"/>
        <v>0</v>
      </c>
      <c r="E3855" s="14" t="str">
        <f>IFERROR(GIZLI!G3850,"")</f>
        <v/>
      </c>
    </row>
    <row r="3856" spans="2:5" x14ac:dyDescent="0.3">
      <c r="B3856" s="2" t="str">
        <f>MID(TableQR[[#This Row],[QR CODES]],4,13)</f>
        <v/>
      </c>
      <c r="C3856" s="2" t="str">
        <f>IFERROR(VLOOKUP(TableQR[[#This Row],[BARCODES]],ILACLISTE[#All],2,0),"")</f>
        <v/>
      </c>
      <c r="D3856" s="2">
        <f t="shared" si="60"/>
        <v>0</v>
      </c>
      <c r="E3856" s="14" t="str">
        <f>IFERROR(GIZLI!G3851,"")</f>
        <v/>
      </c>
    </row>
    <row r="3857" spans="2:5" x14ac:dyDescent="0.3">
      <c r="B3857" s="2" t="str">
        <f>MID(TableQR[[#This Row],[QR CODES]],4,13)</f>
        <v/>
      </c>
      <c r="C3857" s="2" t="str">
        <f>IFERROR(VLOOKUP(TableQR[[#This Row],[BARCODES]],ILACLISTE[#All],2,0),"")</f>
        <v/>
      </c>
      <c r="D3857" s="2">
        <f t="shared" si="60"/>
        <v>0</v>
      </c>
      <c r="E3857" s="14" t="str">
        <f>IFERROR(GIZLI!G3852,"")</f>
        <v/>
      </c>
    </row>
    <row r="3858" spans="2:5" x14ac:dyDescent="0.3">
      <c r="B3858" s="2" t="str">
        <f>MID(TableQR[[#This Row],[QR CODES]],4,13)</f>
        <v/>
      </c>
      <c r="C3858" s="2" t="str">
        <f>IFERROR(VLOOKUP(TableQR[[#This Row],[BARCODES]],ILACLISTE[#All],2,0),"")</f>
        <v/>
      </c>
      <c r="D3858" s="2">
        <f t="shared" si="60"/>
        <v>0</v>
      </c>
      <c r="E3858" s="14" t="str">
        <f>IFERROR(GIZLI!G3853,"")</f>
        <v/>
      </c>
    </row>
    <row r="3859" spans="2:5" x14ac:dyDescent="0.3">
      <c r="B3859" s="2" t="str">
        <f>MID(TableQR[[#This Row],[QR CODES]],4,13)</f>
        <v/>
      </c>
      <c r="C3859" s="2" t="str">
        <f>IFERROR(VLOOKUP(TableQR[[#This Row],[BARCODES]],ILACLISTE[#All],2,0),"")</f>
        <v/>
      </c>
      <c r="D3859" s="2">
        <f t="shared" si="60"/>
        <v>0</v>
      </c>
      <c r="E3859" s="14" t="str">
        <f>IFERROR(GIZLI!G3854,"")</f>
        <v/>
      </c>
    </row>
    <row r="3860" spans="2:5" x14ac:dyDescent="0.3">
      <c r="B3860" s="2" t="str">
        <f>MID(TableQR[[#This Row],[QR CODES]],4,13)</f>
        <v/>
      </c>
      <c r="C3860" s="2" t="str">
        <f>IFERROR(VLOOKUP(TableQR[[#This Row],[BARCODES]],ILACLISTE[#All],2,0),"")</f>
        <v/>
      </c>
      <c r="D3860" s="2">
        <f t="shared" si="60"/>
        <v>0</v>
      </c>
      <c r="E3860" s="14" t="str">
        <f>IFERROR(GIZLI!G3855,"")</f>
        <v/>
      </c>
    </row>
    <row r="3861" spans="2:5" x14ac:dyDescent="0.3">
      <c r="B3861" s="2" t="str">
        <f>MID(TableQR[[#This Row],[QR CODES]],4,13)</f>
        <v/>
      </c>
      <c r="C3861" s="2" t="str">
        <f>IFERROR(VLOOKUP(TableQR[[#This Row],[BARCODES]],ILACLISTE[#All],2,0),"")</f>
        <v/>
      </c>
      <c r="D3861" s="2">
        <f t="shared" si="60"/>
        <v>0</v>
      </c>
      <c r="E3861" s="14" t="str">
        <f>IFERROR(GIZLI!G3856,"")</f>
        <v/>
      </c>
    </row>
    <row r="3862" spans="2:5" x14ac:dyDescent="0.3">
      <c r="B3862" s="2" t="str">
        <f>MID(TableQR[[#This Row],[QR CODES]],4,13)</f>
        <v/>
      </c>
      <c r="C3862" s="2" t="str">
        <f>IFERROR(VLOOKUP(TableQR[[#This Row],[BARCODES]],ILACLISTE[#All],2,0),"")</f>
        <v/>
      </c>
      <c r="D3862" s="2">
        <f t="shared" si="60"/>
        <v>0</v>
      </c>
      <c r="E3862" s="14" t="str">
        <f>IFERROR(GIZLI!G3857,"")</f>
        <v/>
      </c>
    </row>
    <row r="3863" spans="2:5" x14ac:dyDescent="0.3">
      <c r="B3863" s="2" t="str">
        <f>MID(TableQR[[#This Row],[QR CODES]],4,13)</f>
        <v/>
      </c>
      <c r="C3863" s="2" t="str">
        <f>IFERROR(VLOOKUP(TableQR[[#This Row],[BARCODES]],ILACLISTE[#All],2,0),"")</f>
        <v/>
      </c>
      <c r="D3863" s="2">
        <f t="shared" si="60"/>
        <v>0</v>
      </c>
      <c r="E3863" s="14" t="str">
        <f>IFERROR(GIZLI!G3858,"")</f>
        <v/>
      </c>
    </row>
    <row r="3864" spans="2:5" x14ac:dyDescent="0.3">
      <c r="B3864" s="2" t="str">
        <f>MID(TableQR[[#This Row],[QR CODES]],4,13)</f>
        <v/>
      </c>
      <c r="C3864" s="2" t="str">
        <f>IFERROR(VLOOKUP(TableQR[[#This Row],[BARCODES]],ILACLISTE[#All],2,0),"")</f>
        <v/>
      </c>
      <c r="D3864" s="2">
        <f t="shared" si="60"/>
        <v>0</v>
      </c>
      <c r="E3864" s="14" t="str">
        <f>IFERROR(GIZLI!G3859,"")</f>
        <v/>
      </c>
    </row>
    <row r="3865" spans="2:5" x14ac:dyDescent="0.3">
      <c r="B3865" s="2" t="str">
        <f>MID(TableQR[[#This Row],[QR CODES]],4,13)</f>
        <v/>
      </c>
      <c r="C3865" s="2" t="str">
        <f>IFERROR(VLOOKUP(TableQR[[#This Row],[BARCODES]],ILACLISTE[#All],2,0),"")</f>
        <v/>
      </c>
      <c r="D3865" s="2">
        <f t="shared" si="60"/>
        <v>0</v>
      </c>
      <c r="E3865" s="14" t="str">
        <f>IFERROR(GIZLI!G3860,"")</f>
        <v/>
      </c>
    </row>
    <row r="3866" spans="2:5" x14ac:dyDescent="0.3">
      <c r="B3866" s="2" t="str">
        <f>MID(TableQR[[#This Row],[QR CODES]],4,13)</f>
        <v/>
      </c>
      <c r="C3866" s="2" t="str">
        <f>IFERROR(VLOOKUP(TableQR[[#This Row],[BARCODES]],ILACLISTE[#All],2,0),"")</f>
        <v/>
      </c>
      <c r="D3866" s="2">
        <f t="shared" si="60"/>
        <v>0</v>
      </c>
      <c r="E3866" s="14" t="str">
        <f>IFERROR(GIZLI!G3861,"")</f>
        <v/>
      </c>
    </row>
    <row r="3867" spans="2:5" x14ac:dyDescent="0.3">
      <c r="B3867" s="2" t="str">
        <f>MID(TableQR[[#This Row],[QR CODES]],4,13)</f>
        <v/>
      </c>
      <c r="C3867" s="2" t="str">
        <f>IFERROR(VLOOKUP(TableQR[[#This Row],[BARCODES]],ILACLISTE[#All],2,0),"")</f>
        <v/>
      </c>
      <c r="D3867" s="2">
        <f t="shared" si="60"/>
        <v>0</v>
      </c>
      <c r="E3867" s="14" t="str">
        <f>IFERROR(GIZLI!G3862,"")</f>
        <v/>
      </c>
    </row>
    <row r="3868" spans="2:5" x14ac:dyDescent="0.3">
      <c r="B3868" s="2" t="str">
        <f>MID(TableQR[[#This Row],[QR CODES]],4,13)</f>
        <v/>
      </c>
      <c r="C3868" s="2" t="str">
        <f>IFERROR(VLOOKUP(TableQR[[#This Row],[BARCODES]],ILACLISTE[#All],2,0),"")</f>
        <v/>
      </c>
      <c r="D3868" s="2">
        <f t="shared" si="60"/>
        <v>0</v>
      </c>
      <c r="E3868" s="14" t="str">
        <f>IFERROR(GIZLI!G3863,"")</f>
        <v/>
      </c>
    </row>
    <row r="3869" spans="2:5" x14ac:dyDescent="0.3">
      <c r="B3869" s="2" t="str">
        <f>MID(TableQR[[#This Row],[QR CODES]],4,13)</f>
        <v/>
      </c>
      <c r="C3869" s="2" t="str">
        <f>IFERROR(VLOOKUP(TableQR[[#This Row],[BARCODES]],ILACLISTE[#All],2,0),"")</f>
        <v/>
      </c>
      <c r="D3869" s="2">
        <f t="shared" si="60"/>
        <v>0</v>
      </c>
      <c r="E3869" s="14" t="str">
        <f>IFERROR(GIZLI!G3864,"")</f>
        <v/>
      </c>
    </row>
    <row r="3870" spans="2:5" x14ac:dyDescent="0.3">
      <c r="B3870" s="2" t="str">
        <f>MID(TableQR[[#This Row],[QR CODES]],4,13)</f>
        <v/>
      </c>
      <c r="C3870" s="2" t="str">
        <f>IFERROR(VLOOKUP(TableQR[[#This Row],[BARCODES]],ILACLISTE[#All],2,0),"")</f>
        <v/>
      </c>
      <c r="D3870" s="2">
        <f t="shared" si="60"/>
        <v>0</v>
      </c>
      <c r="E3870" s="14" t="str">
        <f>IFERROR(GIZLI!G3865,"")</f>
        <v/>
      </c>
    </row>
    <row r="3871" spans="2:5" x14ac:dyDescent="0.3">
      <c r="B3871" s="2" t="str">
        <f>MID(TableQR[[#This Row],[QR CODES]],4,13)</f>
        <v/>
      </c>
      <c r="C3871" s="2" t="str">
        <f>IFERROR(VLOOKUP(TableQR[[#This Row],[BARCODES]],ILACLISTE[#All],2,0),"")</f>
        <v/>
      </c>
      <c r="D3871" s="2">
        <f t="shared" si="60"/>
        <v>0</v>
      </c>
      <c r="E3871" s="14" t="str">
        <f>IFERROR(GIZLI!G3866,"")</f>
        <v/>
      </c>
    </row>
    <row r="3872" spans="2:5" x14ac:dyDescent="0.3">
      <c r="B3872" s="2" t="str">
        <f>MID(TableQR[[#This Row],[QR CODES]],4,13)</f>
        <v/>
      </c>
      <c r="C3872" s="2" t="str">
        <f>IFERROR(VLOOKUP(TableQR[[#This Row],[BARCODES]],ILACLISTE[#All],2,0),"")</f>
        <v/>
      </c>
      <c r="D3872" s="2">
        <f t="shared" si="60"/>
        <v>0</v>
      </c>
      <c r="E3872" s="14" t="str">
        <f>IFERROR(GIZLI!G3867,"")</f>
        <v/>
      </c>
    </row>
    <row r="3873" spans="2:5" x14ac:dyDescent="0.3">
      <c r="B3873" s="2" t="str">
        <f>MID(TableQR[[#This Row],[QR CODES]],4,13)</f>
        <v/>
      </c>
      <c r="C3873" s="2" t="str">
        <f>IFERROR(VLOOKUP(TableQR[[#This Row],[BARCODES]],ILACLISTE[#All],2,0),"")</f>
        <v/>
      </c>
      <c r="D3873" s="2">
        <f t="shared" si="60"/>
        <v>0</v>
      </c>
      <c r="E3873" s="14" t="str">
        <f>IFERROR(GIZLI!G3868,"")</f>
        <v/>
      </c>
    </row>
    <row r="3874" spans="2:5" x14ac:dyDescent="0.3">
      <c r="B3874" s="2" t="str">
        <f>MID(TableQR[[#This Row],[QR CODES]],4,13)</f>
        <v/>
      </c>
      <c r="C3874" s="2" t="str">
        <f>IFERROR(VLOOKUP(TableQR[[#This Row],[BARCODES]],ILACLISTE[#All],2,0),"")</f>
        <v/>
      </c>
      <c r="D3874" s="2">
        <f t="shared" si="60"/>
        <v>0</v>
      </c>
      <c r="E3874" s="14" t="str">
        <f>IFERROR(GIZLI!G3869,"")</f>
        <v/>
      </c>
    </row>
    <row r="3875" spans="2:5" x14ac:dyDescent="0.3">
      <c r="B3875" s="2" t="str">
        <f>MID(TableQR[[#This Row],[QR CODES]],4,13)</f>
        <v/>
      </c>
      <c r="C3875" s="2" t="str">
        <f>IFERROR(VLOOKUP(TableQR[[#This Row],[BARCODES]],ILACLISTE[#All],2,0),"")</f>
        <v/>
      </c>
      <c r="D3875" s="2">
        <f t="shared" si="60"/>
        <v>0</v>
      </c>
      <c r="E3875" s="14" t="str">
        <f>IFERROR(GIZLI!G3870,"")</f>
        <v/>
      </c>
    </row>
    <row r="3876" spans="2:5" x14ac:dyDescent="0.3">
      <c r="B3876" s="2" t="str">
        <f>MID(TableQR[[#This Row],[QR CODES]],4,13)</f>
        <v/>
      </c>
      <c r="C3876" s="2" t="str">
        <f>IFERROR(VLOOKUP(TableQR[[#This Row],[BARCODES]],ILACLISTE[#All],2,0),"")</f>
        <v/>
      </c>
      <c r="D3876" s="2">
        <f t="shared" si="60"/>
        <v>0</v>
      </c>
      <c r="E3876" s="14" t="str">
        <f>IFERROR(GIZLI!G3871,"")</f>
        <v/>
      </c>
    </row>
    <row r="3877" spans="2:5" x14ac:dyDescent="0.3">
      <c r="B3877" s="2" t="str">
        <f>MID(TableQR[[#This Row],[QR CODES]],4,13)</f>
        <v/>
      </c>
      <c r="C3877" s="2" t="str">
        <f>IFERROR(VLOOKUP(TableQR[[#This Row],[BARCODES]],ILACLISTE[#All],2,0),"")</f>
        <v/>
      </c>
      <c r="D3877" s="2">
        <f t="shared" si="60"/>
        <v>0</v>
      </c>
      <c r="E3877" s="14" t="str">
        <f>IFERROR(GIZLI!G3872,"")</f>
        <v/>
      </c>
    </row>
    <row r="3878" spans="2:5" x14ac:dyDescent="0.3">
      <c r="B3878" s="2" t="str">
        <f>MID(TableQR[[#This Row],[QR CODES]],4,13)</f>
        <v/>
      </c>
      <c r="C3878" s="2" t="str">
        <f>IFERROR(VLOOKUP(TableQR[[#This Row],[BARCODES]],ILACLISTE[#All],2,0),"")</f>
        <v/>
      </c>
      <c r="D3878" s="2">
        <f t="shared" si="60"/>
        <v>0</v>
      </c>
      <c r="E3878" s="14" t="str">
        <f>IFERROR(GIZLI!G3873,"")</f>
        <v/>
      </c>
    </row>
    <row r="3879" spans="2:5" x14ac:dyDescent="0.3">
      <c r="B3879" s="2" t="str">
        <f>MID(TableQR[[#This Row],[QR CODES]],4,13)</f>
        <v/>
      </c>
      <c r="C3879" s="2" t="str">
        <f>IFERROR(VLOOKUP(TableQR[[#This Row],[BARCODES]],ILACLISTE[#All],2,0),"")</f>
        <v/>
      </c>
      <c r="D3879" s="2">
        <f t="shared" si="60"/>
        <v>0</v>
      </c>
      <c r="E3879" s="14" t="str">
        <f>IFERROR(GIZLI!G3874,"")</f>
        <v/>
      </c>
    </row>
    <row r="3880" spans="2:5" x14ac:dyDescent="0.3">
      <c r="B3880" s="2" t="str">
        <f>MID(TableQR[[#This Row],[QR CODES]],4,13)</f>
        <v/>
      </c>
      <c r="C3880" s="2" t="str">
        <f>IFERROR(VLOOKUP(TableQR[[#This Row],[BARCODES]],ILACLISTE[#All],2,0),"")</f>
        <v/>
      </c>
      <c r="D3880" s="2">
        <f t="shared" si="60"/>
        <v>0</v>
      </c>
      <c r="E3880" s="14" t="str">
        <f>IFERROR(GIZLI!G3875,"")</f>
        <v/>
      </c>
    </row>
    <row r="3881" spans="2:5" x14ac:dyDescent="0.3">
      <c r="B3881" s="2" t="str">
        <f>MID(TableQR[[#This Row],[QR CODES]],4,13)</f>
        <v/>
      </c>
      <c r="C3881" s="2" t="str">
        <f>IFERROR(VLOOKUP(TableQR[[#This Row],[BARCODES]],ILACLISTE[#All],2,0),"")</f>
        <v/>
      </c>
      <c r="D3881" s="2">
        <f t="shared" si="60"/>
        <v>0</v>
      </c>
      <c r="E3881" s="14" t="str">
        <f>IFERROR(GIZLI!G3876,"")</f>
        <v/>
      </c>
    </row>
    <row r="3882" spans="2:5" x14ac:dyDescent="0.3">
      <c r="B3882" s="2" t="str">
        <f>MID(TableQR[[#This Row],[QR CODES]],4,13)</f>
        <v/>
      </c>
      <c r="C3882" s="2" t="str">
        <f>IFERROR(VLOOKUP(TableQR[[#This Row],[BARCODES]],ILACLISTE[#All],2,0),"")</f>
        <v/>
      </c>
      <c r="D3882" s="2">
        <f t="shared" si="60"/>
        <v>0</v>
      </c>
      <c r="E3882" s="14" t="str">
        <f>IFERROR(GIZLI!G3877,"")</f>
        <v/>
      </c>
    </row>
    <row r="3883" spans="2:5" x14ac:dyDescent="0.3">
      <c r="B3883" s="2" t="str">
        <f>MID(TableQR[[#This Row],[QR CODES]],4,13)</f>
        <v/>
      </c>
      <c r="C3883" s="2" t="str">
        <f>IFERROR(VLOOKUP(TableQR[[#This Row],[BARCODES]],ILACLISTE[#All],2,0),"")</f>
        <v/>
      </c>
      <c r="D3883" s="2">
        <f t="shared" si="60"/>
        <v>0</v>
      </c>
      <c r="E3883" s="14" t="str">
        <f>IFERROR(GIZLI!G3878,"")</f>
        <v/>
      </c>
    </row>
    <row r="3884" spans="2:5" x14ac:dyDescent="0.3">
      <c r="B3884" s="2" t="str">
        <f>MID(TableQR[[#This Row],[QR CODES]],4,13)</f>
        <v/>
      </c>
      <c r="C3884" s="2" t="str">
        <f>IFERROR(VLOOKUP(TableQR[[#This Row],[BARCODES]],ILACLISTE[#All],2,0),"")</f>
        <v/>
      </c>
      <c r="D3884" s="2">
        <f t="shared" si="60"/>
        <v>0</v>
      </c>
      <c r="E3884" s="14" t="str">
        <f>IFERROR(GIZLI!G3879,"")</f>
        <v/>
      </c>
    </row>
    <row r="3885" spans="2:5" x14ac:dyDescent="0.3">
      <c r="B3885" s="2" t="str">
        <f>MID(TableQR[[#This Row],[QR CODES]],4,13)</f>
        <v/>
      </c>
      <c r="C3885" s="2" t="str">
        <f>IFERROR(VLOOKUP(TableQR[[#This Row],[BARCODES]],ILACLISTE[#All],2,0),"")</f>
        <v/>
      </c>
      <c r="D3885" s="2">
        <f t="shared" si="60"/>
        <v>0</v>
      </c>
      <c r="E3885" s="14" t="str">
        <f>IFERROR(GIZLI!G3880,"")</f>
        <v/>
      </c>
    </row>
    <row r="3886" spans="2:5" x14ac:dyDescent="0.3">
      <c r="B3886" s="2" t="str">
        <f>MID(TableQR[[#This Row],[QR CODES]],4,13)</f>
        <v/>
      </c>
      <c r="C3886" s="2" t="str">
        <f>IFERROR(VLOOKUP(TableQR[[#This Row],[BARCODES]],ILACLISTE[#All],2,0),"")</f>
        <v/>
      </c>
      <c r="D3886" s="2">
        <f t="shared" si="60"/>
        <v>0</v>
      </c>
      <c r="E3886" s="14" t="str">
        <f>IFERROR(GIZLI!G3881,"")</f>
        <v/>
      </c>
    </row>
    <row r="3887" spans="2:5" x14ac:dyDescent="0.3">
      <c r="B3887" s="2" t="str">
        <f>MID(TableQR[[#This Row],[QR CODES]],4,13)</f>
        <v/>
      </c>
      <c r="C3887" s="2" t="str">
        <f>IFERROR(VLOOKUP(TableQR[[#This Row],[BARCODES]],ILACLISTE[#All],2,0),"")</f>
        <v/>
      </c>
      <c r="D3887" s="2">
        <f t="shared" si="60"/>
        <v>0</v>
      </c>
      <c r="E3887" s="14" t="str">
        <f>IFERROR(GIZLI!G3882,"")</f>
        <v/>
      </c>
    </row>
    <row r="3888" spans="2:5" x14ac:dyDescent="0.3">
      <c r="B3888" s="2" t="str">
        <f>MID(TableQR[[#This Row],[QR CODES]],4,13)</f>
        <v/>
      </c>
      <c r="C3888" s="2" t="str">
        <f>IFERROR(VLOOKUP(TableQR[[#This Row],[BARCODES]],ILACLISTE[#All],2,0),"")</f>
        <v/>
      </c>
      <c r="D3888" s="2">
        <f t="shared" si="60"/>
        <v>0</v>
      </c>
      <c r="E3888" s="14" t="str">
        <f>IFERROR(GIZLI!G3883,"")</f>
        <v/>
      </c>
    </row>
    <row r="3889" spans="2:5" x14ac:dyDescent="0.3">
      <c r="B3889" s="2" t="str">
        <f>MID(TableQR[[#This Row],[QR CODES]],4,13)</f>
        <v/>
      </c>
      <c r="C3889" s="2" t="str">
        <f>IFERROR(VLOOKUP(TableQR[[#This Row],[BARCODES]],ILACLISTE[#All],2,0),"")</f>
        <v/>
      </c>
      <c r="D3889" s="2">
        <f t="shared" si="60"/>
        <v>0</v>
      </c>
      <c r="E3889" s="14" t="str">
        <f>IFERROR(GIZLI!G3884,"")</f>
        <v/>
      </c>
    </row>
    <row r="3890" spans="2:5" x14ac:dyDescent="0.3">
      <c r="B3890" s="2" t="str">
        <f>MID(TableQR[[#This Row],[QR CODES]],4,13)</f>
        <v/>
      </c>
      <c r="C3890" s="2" t="str">
        <f>IFERROR(VLOOKUP(TableQR[[#This Row],[BARCODES]],ILACLISTE[#All],2,0),"")</f>
        <v/>
      </c>
      <c r="D3890" s="2">
        <f t="shared" si="60"/>
        <v>0</v>
      </c>
      <c r="E3890" s="14" t="str">
        <f>IFERROR(GIZLI!G3885,"")</f>
        <v/>
      </c>
    </row>
    <row r="3891" spans="2:5" x14ac:dyDescent="0.3">
      <c r="B3891" s="2" t="str">
        <f>MID(TableQR[[#This Row],[QR CODES]],4,13)</f>
        <v/>
      </c>
      <c r="C3891" s="2" t="str">
        <f>IFERROR(VLOOKUP(TableQR[[#This Row],[BARCODES]],ILACLISTE[#All],2,0),"")</f>
        <v/>
      </c>
      <c r="D3891" s="2">
        <f t="shared" si="60"/>
        <v>0</v>
      </c>
      <c r="E3891" s="14" t="str">
        <f>IFERROR(GIZLI!G3886,"")</f>
        <v/>
      </c>
    </row>
    <row r="3892" spans="2:5" x14ac:dyDescent="0.3">
      <c r="B3892" s="2" t="str">
        <f>MID(TableQR[[#This Row],[QR CODES]],4,13)</f>
        <v/>
      </c>
      <c r="C3892" s="2" t="str">
        <f>IFERROR(VLOOKUP(TableQR[[#This Row],[BARCODES]],ILACLISTE[#All],2,0),"")</f>
        <v/>
      </c>
      <c r="D3892" s="2">
        <f t="shared" si="60"/>
        <v>0</v>
      </c>
      <c r="E3892" s="14" t="str">
        <f>IFERROR(GIZLI!G3887,"")</f>
        <v/>
      </c>
    </row>
    <row r="3893" spans="2:5" x14ac:dyDescent="0.3">
      <c r="B3893" s="2" t="str">
        <f>MID(TableQR[[#This Row],[QR CODES]],4,13)</f>
        <v/>
      </c>
      <c r="C3893" s="2" t="str">
        <f>IFERROR(VLOOKUP(TableQR[[#This Row],[BARCODES]],ILACLISTE[#All],2,0),"")</f>
        <v/>
      </c>
      <c r="D3893" s="2">
        <f t="shared" si="60"/>
        <v>0</v>
      </c>
      <c r="E3893" s="14" t="str">
        <f>IFERROR(GIZLI!G3888,"")</f>
        <v/>
      </c>
    </row>
    <row r="3894" spans="2:5" x14ac:dyDescent="0.3">
      <c r="B3894" s="2" t="str">
        <f>MID(TableQR[[#This Row],[QR CODES]],4,13)</f>
        <v/>
      </c>
      <c r="C3894" s="2" t="str">
        <f>IFERROR(VLOOKUP(TableQR[[#This Row],[BARCODES]],ILACLISTE[#All],2,0),"")</f>
        <v/>
      </c>
      <c r="D3894" s="2">
        <f t="shared" si="60"/>
        <v>0</v>
      </c>
      <c r="E3894" s="14" t="str">
        <f>IFERROR(GIZLI!G3889,"")</f>
        <v/>
      </c>
    </row>
    <row r="3895" spans="2:5" x14ac:dyDescent="0.3">
      <c r="B3895" s="2" t="str">
        <f>MID(TableQR[[#This Row],[QR CODES]],4,13)</f>
        <v/>
      </c>
      <c r="C3895" s="2" t="str">
        <f>IFERROR(VLOOKUP(TableQR[[#This Row],[BARCODES]],ILACLISTE[#All],2,0),"")</f>
        <v/>
      </c>
      <c r="D3895" s="2">
        <f t="shared" si="60"/>
        <v>0</v>
      </c>
      <c r="E3895" s="14" t="str">
        <f>IFERROR(GIZLI!G3890,"")</f>
        <v/>
      </c>
    </row>
    <row r="3896" spans="2:5" x14ac:dyDescent="0.3">
      <c r="B3896" s="2" t="str">
        <f>MID(TableQR[[#This Row],[QR CODES]],4,13)</f>
        <v/>
      </c>
      <c r="C3896" s="2" t="str">
        <f>IFERROR(VLOOKUP(TableQR[[#This Row],[BARCODES]],ILACLISTE[#All],2,0),"")</f>
        <v/>
      </c>
      <c r="D3896" s="2">
        <f t="shared" si="60"/>
        <v>0</v>
      </c>
      <c r="E3896" s="14" t="str">
        <f>IFERROR(GIZLI!G3891,"")</f>
        <v/>
      </c>
    </row>
    <row r="3897" spans="2:5" x14ac:dyDescent="0.3">
      <c r="B3897" s="2" t="str">
        <f>MID(TableQR[[#This Row],[QR CODES]],4,13)</f>
        <v/>
      </c>
      <c r="C3897" s="2" t="str">
        <f>IFERROR(VLOOKUP(TableQR[[#This Row],[BARCODES]],ILACLISTE[#All],2,0),"")</f>
        <v/>
      </c>
      <c r="D3897" s="2">
        <f t="shared" si="60"/>
        <v>0</v>
      </c>
      <c r="E3897" s="14" t="str">
        <f>IFERROR(GIZLI!G3892,"")</f>
        <v/>
      </c>
    </row>
    <row r="3898" spans="2:5" x14ac:dyDescent="0.3">
      <c r="B3898" s="2" t="str">
        <f>MID(TableQR[[#This Row],[QR CODES]],4,13)</f>
        <v/>
      </c>
      <c r="C3898" s="2" t="str">
        <f>IFERROR(VLOOKUP(TableQR[[#This Row],[BARCODES]],ILACLISTE[#All],2,0),"")</f>
        <v/>
      </c>
      <c r="D3898" s="2">
        <f t="shared" si="60"/>
        <v>0</v>
      </c>
      <c r="E3898" s="14" t="str">
        <f>IFERROR(GIZLI!G3893,"")</f>
        <v/>
      </c>
    </row>
    <row r="3899" spans="2:5" x14ac:dyDescent="0.3">
      <c r="B3899" s="2" t="str">
        <f>MID(TableQR[[#This Row],[QR CODES]],4,13)</f>
        <v/>
      </c>
      <c r="C3899" s="2" t="str">
        <f>IFERROR(VLOOKUP(TableQR[[#This Row],[BARCODES]],ILACLISTE[#All],2,0),"")</f>
        <v/>
      </c>
      <c r="D3899" s="2">
        <f t="shared" si="60"/>
        <v>0</v>
      </c>
      <c r="E3899" s="14" t="str">
        <f>IFERROR(GIZLI!G3894,"")</f>
        <v/>
      </c>
    </row>
    <row r="3900" spans="2:5" x14ac:dyDescent="0.3">
      <c r="B3900" s="2" t="str">
        <f>MID(TableQR[[#This Row],[QR CODES]],4,13)</f>
        <v/>
      </c>
      <c r="C3900" s="2" t="str">
        <f>IFERROR(VLOOKUP(TableQR[[#This Row],[BARCODES]],ILACLISTE[#All],2,0),"")</f>
        <v/>
      </c>
      <c r="D3900" s="2">
        <f t="shared" si="60"/>
        <v>0</v>
      </c>
      <c r="E3900" s="14" t="str">
        <f>IFERROR(GIZLI!G3895,"")</f>
        <v/>
      </c>
    </row>
    <row r="3901" spans="2:5" x14ac:dyDescent="0.3">
      <c r="B3901" s="2" t="str">
        <f>MID(TableQR[[#This Row],[QR CODES]],4,13)</f>
        <v/>
      </c>
      <c r="C3901" s="2" t="str">
        <f>IFERROR(VLOOKUP(TableQR[[#This Row],[BARCODES]],ILACLISTE[#All],2,0),"")</f>
        <v/>
      </c>
      <c r="D3901" s="2">
        <f t="shared" si="60"/>
        <v>0</v>
      </c>
      <c r="E3901" s="14" t="str">
        <f>IFERROR(GIZLI!G3896,"")</f>
        <v/>
      </c>
    </row>
    <row r="3902" spans="2:5" x14ac:dyDescent="0.3">
      <c r="B3902" s="2" t="str">
        <f>MID(TableQR[[#This Row],[QR CODES]],4,13)</f>
        <v/>
      </c>
      <c r="C3902" s="2" t="str">
        <f>IFERROR(VLOOKUP(TableQR[[#This Row],[BARCODES]],ILACLISTE[#All],2,0),"")</f>
        <v/>
      </c>
      <c r="D3902" s="2">
        <f t="shared" si="60"/>
        <v>0</v>
      </c>
      <c r="E3902" s="14" t="str">
        <f>IFERROR(GIZLI!G3897,"")</f>
        <v/>
      </c>
    </row>
    <row r="3903" spans="2:5" x14ac:dyDescent="0.3">
      <c r="B3903" s="2" t="str">
        <f>MID(TableQR[[#This Row],[QR CODES]],4,13)</f>
        <v/>
      </c>
      <c r="C3903" s="2" t="str">
        <f>IFERROR(VLOOKUP(TableQR[[#This Row],[BARCODES]],ILACLISTE[#All],2,0),"")</f>
        <v/>
      </c>
      <c r="D3903" s="2">
        <f t="shared" si="60"/>
        <v>0</v>
      </c>
      <c r="E3903" s="14" t="str">
        <f>IFERROR(GIZLI!G3898,"")</f>
        <v/>
      </c>
    </row>
    <row r="3904" spans="2:5" x14ac:dyDescent="0.3">
      <c r="B3904" s="2" t="str">
        <f>MID(TableQR[[#This Row],[QR CODES]],4,13)</f>
        <v/>
      </c>
      <c r="C3904" s="2" t="str">
        <f>IFERROR(VLOOKUP(TableQR[[#This Row],[BARCODES]],ILACLISTE[#All],2,0),"")</f>
        <v/>
      </c>
      <c r="D3904" s="2">
        <f t="shared" si="60"/>
        <v>0</v>
      </c>
      <c r="E3904" s="14" t="str">
        <f>IFERROR(GIZLI!G3899,"")</f>
        <v/>
      </c>
    </row>
    <row r="3905" spans="2:5" x14ac:dyDescent="0.3">
      <c r="B3905" s="2" t="str">
        <f>MID(TableQR[[#This Row],[QR CODES]],4,13)</f>
        <v/>
      </c>
      <c r="C3905" s="2" t="str">
        <f>IFERROR(VLOOKUP(TableQR[[#This Row],[BARCODES]],ILACLISTE[#All],2,0),"")</f>
        <v/>
      </c>
      <c r="D3905" s="2">
        <f t="shared" si="60"/>
        <v>0</v>
      </c>
      <c r="E3905" s="14" t="str">
        <f>IFERROR(GIZLI!G3900,"")</f>
        <v/>
      </c>
    </row>
    <row r="3906" spans="2:5" x14ac:dyDescent="0.3">
      <c r="B3906" s="2" t="str">
        <f>MID(TableQR[[#This Row],[QR CODES]],4,13)</f>
        <v/>
      </c>
      <c r="C3906" s="2" t="str">
        <f>IFERROR(VLOOKUP(TableQR[[#This Row],[BARCODES]],ILACLISTE[#All],2,0),"")</f>
        <v/>
      </c>
      <c r="D3906" s="2">
        <f t="shared" si="60"/>
        <v>0</v>
      </c>
      <c r="E3906" s="14" t="str">
        <f>IFERROR(GIZLI!G3901,"")</f>
        <v/>
      </c>
    </row>
    <row r="3907" spans="2:5" x14ac:dyDescent="0.3">
      <c r="B3907" s="2" t="str">
        <f>MID(TableQR[[#This Row],[QR CODES]],4,13)</f>
        <v/>
      </c>
      <c r="C3907" s="2" t="str">
        <f>IFERROR(VLOOKUP(TableQR[[#This Row],[BARCODES]],ILACLISTE[#All],2,0),"")</f>
        <v/>
      </c>
      <c r="D3907" s="2">
        <f t="shared" si="60"/>
        <v>0</v>
      </c>
      <c r="E3907" s="14" t="str">
        <f>IFERROR(GIZLI!G3902,"")</f>
        <v/>
      </c>
    </row>
    <row r="3908" spans="2:5" x14ac:dyDescent="0.3">
      <c r="B3908" s="2" t="str">
        <f>MID(TableQR[[#This Row],[QR CODES]],4,13)</f>
        <v/>
      </c>
      <c r="C3908" s="2" t="str">
        <f>IFERROR(VLOOKUP(TableQR[[#This Row],[BARCODES]],ILACLISTE[#All],2,0),"")</f>
        <v/>
      </c>
      <c r="D3908" s="2">
        <f t="shared" si="60"/>
        <v>0</v>
      </c>
      <c r="E3908" s="14" t="str">
        <f>IFERROR(GIZLI!G3903,"")</f>
        <v/>
      </c>
    </row>
    <row r="3909" spans="2:5" x14ac:dyDescent="0.3">
      <c r="B3909" s="2" t="str">
        <f>MID(TableQR[[#This Row],[QR CODES]],4,13)</f>
        <v/>
      </c>
      <c r="C3909" s="2" t="str">
        <f>IFERROR(VLOOKUP(TableQR[[#This Row],[BARCODES]],ILACLISTE[#All],2,0),"")</f>
        <v/>
      </c>
      <c r="D3909" s="2">
        <f t="shared" si="60"/>
        <v>0</v>
      </c>
      <c r="E3909" s="14" t="str">
        <f>IFERROR(GIZLI!G3904,"")</f>
        <v/>
      </c>
    </row>
    <row r="3910" spans="2:5" x14ac:dyDescent="0.3">
      <c r="B3910" s="2" t="str">
        <f>MID(TableQR[[#This Row],[QR CODES]],4,13)</f>
        <v/>
      </c>
      <c r="C3910" s="2" t="str">
        <f>IFERROR(VLOOKUP(TableQR[[#This Row],[BARCODES]],ILACLISTE[#All],2,0),"")</f>
        <v/>
      </c>
      <c r="D3910" s="2">
        <f t="shared" si="60"/>
        <v>0</v>
      </c>
      <c r="E3910" s="14" t="str">
        <f>IFERROR(GIZLI!G3905,"")</f>
        <v/>
      </c>
    </row>
    <row r="3911" spans="2:5" x14ac:dyDescent="0.3">
      <c r="B3911" s="2" t="str">
        <f>MID(TableQR[[#This Row],[QR CODES]],4,13)</f>
        <v/>
      </c>
      <c r="C3911" s="2" t="str">
        <f>IFERROR(VLOOKUP(TableQR[[#This Row],[BARCODES]],ILACLISTE[#All],2,0),"")</f>
        <v/>
      </c>
      <c r="D3911" s="2">
        <f t="shared" si="60"/>
        <v>0</v>
      </c>
      <c r="E3911" s="14" t="str">
        <f>IFERROR(GIZLI!G3906,"")</f>
        <v/>
      </c>
    </row>
    <row r="3912" spans="2:5" x14ac:dyDescent="0.3">
      <c r="B3912" s="2" t="str">
        <f>MID(TableQR[[#This Row],[QR CODES]],4,13)</f>
        <v/>
      </c>
      <c r="C3912" s="2" t="str">
        <f>IFERROR(VLOOKUP(TableQR[[#This Row],[BARCODES]],ILACLISTE[#All],2,0),"")</f>
        <v/>
      </c>
      <c r="D3912" s="2">
        <f t="shared" ref="D3912:D3975" si="61">COUNTIF(B3912:B7905,IF(B3912="",66666,B3912))</f>
        <v>0</v>
      </c>
      <c r="E3912" s="14" t="str">
        <f>IFERROR(GIZLI!G3907,"")</f>
        <v/>
      </c>
    </row>
    <row r="3913" spans="2:5" x14ac:dyDescent="0.3">
      <c r="B3913" s="2" t="str">
        <f>MID(TableQR[[#This Row],[QR CODES]],4,13)</f>
        <v/>
      </c>
      <c r="C3913" s="2" t="str">
        <f>IFERROR(VLOOKUP(TableQR[[#This Row],[BARCODES]],ILACLISTE[#All],2,0),"")</f>
        <v/>
      </c>
      <c r="D3913" s="2">
        <f t="shared" si="61"/>
        <v>0</v>
      </c>
      <c r="E3913" s="14" t="str">
        <f>IFERROR(GIZLI!G3908,"")</f>
        <v/>
      </c>
    </row>
    <row r="3914" spans="2:5" x14ac:dyDescent="0.3">
      <c r="B3914" s="2" t="str">
        <f>MID(TableQR[[#This Row],[QR CODES]],4,13)</f>
        <v/>
      </c>
      <c r="C3914" s="2" t="str">
        <f>IFERROR(VLOOKUP(TableQR[[#This Row],[BARCODES]],ILACLISTE[#All],2,0),"")</f>
        <v/>
      </c>
      <c r="D3914" s="2">
        <f t="shared" si="61"/>
        <v>0</v>
      </c>
      <c r="E3914" s="14" t="str">
        <f>IFERROR(GIZLI!G3909,"")</f>
        <v/>
      </c>
    </row>
    <row r="3915" spans="2:5" x14ac:dyDescent="0.3">
      <c r="B3915" s="2" t="str">
        <f>MID(TableQR[[#This Row],[QR CODES]],4,13)</f>
        <v/>
      </c>
      <c r="C3915" s="2" t="str">
        <f>IFERROR(VLOOKUP(TableQR[[#This Row],[BARCODES]],ILACLISTE[#All],2,0),"")</f>
        <v/>
      </c>
      <c r="D3915" s="2">
        <f t="shared" si="61"/>
        <v>0</v>
      </c>
      <c r="E3915" s="14" t="str">
        <f>IFERROR(GIZLI!G3910,"")</f>
        <v/>
      </c>
    </row>
    <row r="3916" spans="2:5" x14ac:dyDescent="0.3">
      <c r="B3916" s="2" t="str">
        <f>MID(TableQR[[#This Row],[QR CODES]],4,13)</f>
        <v/>
      </c>
      <c r="C3916" s="2" t="str">
        <f>IFERROR(VLOOKUP(TableQR[[#This Row],[BARCODES]],ILACLISTE[#All],2,0),"")</f>
        <v/>
      </c>
      <c r="D3916" s="2">
        <f t="shared" si="61"/>
        <v>0</v>
      </c>
      <c r="E3916" s="14" t="str">
        <f>IFERROR(GIZLI!G3911,"")</f>
        <v/>
      </c>
    </row>
    <row r="3917" spans="2:5" x14ac:dyDescent="0.3">
      <c r="B3917" s="2" t="str">
        <f>MID(TableQR[[#This Row],[QR CODES]],4,13)</f>
        <v/>
      </c>
      <c r="C3917" s="2" t="str">
        <f>IFERROR(VLOOKUP(TableQR[[#This Row],[BARCODES]],ILACLISTE[#All],2,0),"")</f>
        <v/>
      </c>
      <c r="D3917" s="2">
        <f t="shared" si="61"/>
        <v>0</v>
      </c>
      <c r="E3917" s="14" t="str">
        <f>IFERROR(GIZLI!G3912,"")</f>
        <v/>
      </c>
    </row>
    <row r="3918" spans="2:5" x14ac:dyDescent="0.3">
      <c r="B3918" s="2" t="str">
        <f>MID(TableQR[[#This Row],[QR CODES]],4,13)</f>
        <v/>
      </c>
      <c r="C3918" s="2" t="str">
        <f>IFERROR(VLOOKUP(TableQR[[#This Row],[BARCODES]],ILACLISTE[#All],2,0),"")</f>
        <v/>
      </c>
      <c r="D3918" s="2">
        <f t="shared" si="61"/>
        <v>0</v>
      </c>
      <c r="E3918" s="14" t="str">
        <f>IFERROR(GIZLI!G3913,"")</f>
        <v/>
      </c>
    </row>
    <row r="3919" spans="2:5" x14ac:dyDescent="0.3">
      <c r="B3919" s="2" t="str">
        <f>MID(TableQR[[#This Row],[QR CODES]],4,13)</f>
        <v/>
      </c>
      <c r="C3919" s="2" t="str">
        <f>IFERROR(VLOOKUP(TableQR[[#This Row],[BARCODES]],ILACLISTE[#All],2,0),"")</f>
        <v/>
      </c>
      <c r="D3919" s="2">
        <f t="shared" si="61"/>
        <v>0</v>
      </c>
      <c r="E3919" s="14" t="str">
        <f>IFERROR(GIZLI!G3914,"")</f>
        <v/>
      </c>
    </row>
    <row r="3920" spans="2:5" x14ac:dyDescent="0.3">
      <c r="B3920" s="2" t="str">
        <f>MID(TableQR[[#This Row],[QR CODES]],4,13)</f>
        <v/>
      </c>
      <c r="C3920" s="2" t="str">
        <f>IFERROR(VLOOKUP(TableQR[[#This Row],[BARCODES]],ILACLISTE[#All],2,0),"")</f>
        <v/>
      </c>
      <c r="D3920" s="2">
        <f t="shared" si="61"/>
        <v>0</v>
      </c>
      <c r="E3920" s="14" t="str">
        <f>IFERROR(GIZLI!G3915,"")</f>
        <v/>
      </c>
    </row>
    <row r="3921" spans="2:5" x14ac:dyDescent="0.3">
      <c r="B3921" s="2" t="str">
        <f>MID(TableQR[[#This Row],[QR CODES]],4,13)</f>
        <v/>
      </c>
      <c r="C3921" s="2" t="str">
        <f>IFERROR(VLOOKUP(TableQR[[#This Row],[BARCODES]],ILACLISTE[#All],2,0),"")</f>
        <v/>
      </c>
      <c r="D3921" s="2">
        <f t="shared" si="61"/>
        <v>0</v>
      </c>
      <c r="E3921" s="14" t="str">
        <f>IFERROR(GIZLI!G3916,"")</f>
        <v/>
      </c>
    </row>
    <row r="3922" spans="2:5" x14ac:dyDescent="0.3">
      <c r="B3922" s="2" t="str">
        <f>MID(TableQR[[#This Row],[QR CODES]],4,13)</f>
        <v/>
      </c>
      <c r="C3922" s="2" t="str">
        <f>IFERROR(VLOOKUP(TableQR[[#This Row],[BARCODES]],ILACLISTE[#All],2,0),"")</f>
        <v/>
      </c>
      <c r="D3922" s="2">
        <f t="shared" si="61"/>
        <v>0</v>
      </c>
      <c r="E3922" s="14" t="str">
        <f>IFERROR(GIZLI!G3917,"")</f>
        <v/>
      </c>
    </row>
    <row r="3923" spans="2:5" x14ac:dyDescent="0.3">
      <c r="B3923" s="2" t="str">
        <f>MID(TableQR[[#This Row],[QR CODES]],4,13)</f>
        <v/>
      </c>
      <c r="C3923" s="2" t="str">
        <f>IFERROR(VLOOKUP(TableQR[[#This Row],[BARCODES]],ILACLISTE[#All],2,0),"")</f>
        <v/>
      </c>
      <c r="D3923" s="2">
        <f t="shared" si="61"/>
        <v>0</v>
      </c>
      <c r="E3923" s="14" t="str">
        <f>IFERROR(GIZLI!G3918,"")</f>
        <v/>
      </c>
    </row>
    <row r="3924" spans="2:5" x14ac:dyDescent="0.3">
      <c r="B3924" s="2" t="str">
        <f>MID(TableQR[[#This Row],[QR CODES]],4,13)</f>
        <v/>
      </c>
      <c r="C3924" s="2" t="str">
        <f>IFERROR(VLOOKUP(TableQR[[#This Row],[BARCODES]],ILACLISTE[#All],2,0),"")</f>
        <v/>
      </c>
      <c r="D3924" s="2">
        <f t="shared" si="61"/>
        <v>0</v>
      </c>
      <c r="E3924" s="14" t="str">
        <f>IFERROR(GIZLI!G3919,"")</f>
        <v/>
      </c>
    </row>
    <row r="3925" spans="2:5" x14ac:dyDescent="0.3">
      <c r="B3925" s="2" t="str">
        <f>MID(TableQR[[#This Row],[QR CODES]],4,13)</f>
        <v/>
      </c>
      <c r="C3925" s="2" t="str">
        <f>IFERROR(VLOOKUP(TableQR[[#This Row],[BARCODES]],ILACLISTE[#All],2,0),"")</f>
        <v/>
      </c>
      <c r="D3925" s="2">
        <f t="shared" si="61"/>
        <v>0</v>
      </c>
      <c r="E3925" s="14" t="str">
        <f>IFERROR(GIZLI!G3920,"")</f>
        <v/>
      </c>
    </row>
    <row r="3926" spans="2:5" x14ac:dyDescent="0.3">
      <c r="B3926" s="2" t="str">
        <f>MID(TableQR[[#This Row],[QR CODES]],4,13)</f>
        <v/>
      </c>
      <c r="C3926" s="2" t="str">
        <f>IFERROR(VLOOKUP(TableQR[[#This Row],[BARCODES]],ILACLISTE[#All],2,0),"")</f>
        <v/>
      </c>
      <c r="D3926" s="2">
        <f t="shared" si="61"/>
        <v>0</v>
      </c>
      <c r="E3926" s="14" t="str">
        <f>IFERROR(GIZLI!G3921,"")</f>
        <v/>
      </c>
    </row>
    <row r="3927" spans="2:5" x14ac:dyDescent="0.3">
      <c r="B3927" s="2" t="str">
        <f>MID(TableQR[[#This Row],[QR CODES]],4,13)</f>
        <v/>
      </c>
      <c r="C3927" s="2" t="str">
        <f>IFERROR(VLOOKUP(TableQR[[#This Row],[BARCODES]],ILACLISTE[#All],2,0),"")</f>
        <v/>
      </c>
      <c r="D3927" s="2">
        <f t="shared" si="61"/>
        <v>0</v>
      </c>
      <c r="E3927" s="14" t="str">
        <f>IFERROR(GIZLI!G3922,"")</f>
        <v/>
      </c>
    </row>
    <row r="3928" spans="2:5" x14ac:dyDescent="0.3">
      <c r="B3928" s="2" t="str">
        <f>MID(TableQR[[#This Row],[QR CODES]],4,13)</f>
        <v/>
      </c>
      <c r="C3928" s="2" t="str">
        <f>IFERROR(VLOOKUP(TableQR[[#This Row],[BARCODES]],ILACLISTE[#All],2,0),"")</f>
        <v/>
      </c>
      <c r="D3928" s="2">
        <f t="shared" si="61"/>
        <v>0</v>
      </c>
      <c r="E3928" s="14" t="str">
        <f>IFERROR(GIZLI!G3923,"")</f>
        <v/>
      </c>
    </row>
    <row r="3929" spans="2:5" x14ac:dyDescent="0.3">
      <c r="B3929" s="2" t="str">
        <f>MID(TableQR[[#This Row],[QR CODES]],4,13)</f>
        <v/>
      </c>
      <c r="C3929" s="2" t="str">
        <f>IFERROR(VLOOKUP(TableQR[[#This Row],[BARCODES]],ILACLISTE[#All],2,0),"")</f>
        <v/>
      </c>
      <c r="D3929" s="2">
        <f t="shared" si="61"/>
        <v>0</v>
      </c>
      <c r="E3929" s="14" t="str">
        <f>IFERROR(GIZLI!G3924,"")</f>
        <v/>
      </c>
    </row>
    <row r="3930" spans="2:5" x14ac:dyDescent="0.3">
      <c r="B3930" s="2" t="str">
        <f>MID(TableQR[[#This Row],[QR CODES]],4,13)</f>
        <v/>
      </c>
      <c r="C3930" s="2" t="str">
        <f>IFERROR(VLOOKUP(TableQR[[#This Row],[BARCODES]],ILACLISTE[#All],2,0),"")</f>
        <v/>
      </c>
      <c r="D3930" s="2">
        <f t="shared" si="61"/>
        <v>0</v>
      </c>
      <c r="E3930" s="14" t="str">
        <f>IFERROR(GIZLI!G3925,"")</f>
        <v/>
      </c>
    </row>
    <row r="3931" spans="2:5" x14ac:dyDescent="0.3">
      <c r="B3931" s="2" t="str">
        <f>MID(TableQR[[#This Row],[QR CODES]],4,13)</f>
        <v/>
      </c>
      <c r="C3931" s="2" t="str">
        <f>IFERROR(VLOOKUP(TableQR[[#This Row],[BARCODES]],ILACLISTE[#All],2,0),"")</f>
        <v/>
      </c>
      <c r="D3931" s="2">
        <f t="shared" si="61"/>
        <v>0</v>
      </c>
      <c r="E3931" s="14" t="str">
        <f>IFERROR(GIZLI!G3926,"")</f>
        <v/>
      </c>
    </row>
    <row r="3932" spans="2:5" x14ac:dyDescent="0.3">
      <c r="B3932" s="2" t="str">
        <f>MID(TableQR[[#This Row],[QR CODES]],4,13)</f>
        <v/>
      </c>
      <c r="C3932" s="2" t="str">
        <f>IFERROR(VLOOKUP(TableQR[[#This Row],[BARCODES]],ILACLISTE[#All],2,0),"")</f>
        <v/>
      </c>
      <c r="D3932" s="2">
        <f t="shared" si="61"/>
        <v>0</v>
      </c>
      <c r="E3932" s="14" t="str">
        <f>IFERROR(GIZLI!G3927,"")</f>
        <v/>
      </c>
    </row>
    <row r="3933" spans="2:5" x14ac:dyDescent="0.3">
      <c r="B3933" s="2" t="str">
        <f>MID(TableQR[[#This Row],[QR CODES]],4,13)</f>
        <v/>
      </c>
      <c r="C3933" s="2" t="str">
        <f>IFERROR(VLOOKUP(TableQR[[#This Row],[BARCODES]],ILACLISTE[#All],2,0),"")</f>
        <v/>
      </c>
      <c r="D3933" s="2">
        <f t="shared" si="61"/>
        <v>0</v>
      </c>
      <c r="E3933" s="14" t="str">
        <f>IFERROR(GIZLI!G3928,"")</f>
        <v/>
      </c>
    </row>
    <row r="3934" spans="2:5" x14ac:dyDescent="0.3">
      <c r="B3934" s="2" t="str">
        <f>MID(TableQR[[#This Row],[QR CODES]],4,13)</f>
        <v/>
      </c>
      <c r="C3934" s="2" t="str">
        <f>IFERROR(VLOOKUP(TableQR[[#This Row],[BARCODES]],ILACLISTE[#All],2,0),"")</f>
        <v/>
      </c>
      <c r="D3934" s="2">
        <f t="shared" si="61"/>
        <v>0</v>
      </c>
      <c r="E3934" s="14" t="str">
        <f>IFERROR(GIZLI!G3929,"")</f>
        <v/>
      </c>
    </row>
    <row r="3935" spans="2:5" x14ac:dyDescent="0.3">
      <c r="B3935" s="2" t="str">
        <f>MID(TableQR[[#This Row],[QR CODES]],4,13)</f>
        <v/>
      </c>
      <c r="C3935" s="2" t="str">
        <f>IFERROR(VLOOKUP(TableQR[[#This Row],[BARCODES]],ILACLISTE[#All],2,0),"")</f>
        <v/>
      </c>
      <c r="D3935" s="2">
        <f t="shared" si="61"/>
        <v>0</v>
      </c>
      <c r="E3935" s="14" t="str">
        <f>IFERROR(GIZLI!G3930,"")</f>
        <v/>
      </c>
    </row>
    <row r="3936" spans="2:5" x14ac:dyDescent="0.3">
      <c r="B3936" s="2" t="str">
        <f>MID(TableQR[[#This Row],[QR CODES]],4,13)</f>
        <v/>
      </c>
      <c r="C3936" s="2" t="str">
        <f>IFERROR(VLOOKUP(TableQR[[#This Row],[BARCODES]],ILACLISTE[#All],2,0),"")</f>
        <v/>
      </c>
      <c r="D3936" s="2">
        <f t="shared" si="61"/>
        <v>0</v>
      </c>
      <c r="E3936" s="14" t="str">
        <f>IFERROR(GIZLI!G3931,"")</f>
        <v/>
      </c>
    </row>
    <row r="3937" spans="2:5" x14ac:dyDescent="0.3">
      <c r="B3937" s="2" t="str">
        <f>MID(TableQR[[#This Row],[QR CODES]],4,13)</f>
        <v/>
      </c>
      <c r="C3937" s="2" t="str">
        <f>IFERROR(VLOOKUP(TableQR[[#This Row],[BARCODES]],ILACLISTE[#All],2,0),"")</f>
        <v/>
      </c>
      <c r="D3937" s="2">
        <f t="shared" si="61"/>
        <v>0</v>
      </c>
      <c r="E3937" s="14" t="str">
        <f>IFERROR(GIZLI!G3932,"")</f>
        <v/>
      </c>
    </row>
    <row r="3938" spans="2:5" x14ac:dyDescent="0.3">
      <c r="B3938" s="2" t="str">
        <f>MID(TableQR[[#This Row],[QR CODES]],4,13)</f>
        <v/>
      </c>
      <c r="C3938" s="2" t="str">
        <f>IFERROR(VLOOKUP(TableQR[[#This Row],[BARCODES]],ILACLISTE[#All],2,0),"")</f>
        <v/>
      </c>
      <c r="D3938" s="2">
        <f t="shared" si="61"/>
        <v>0</v>
      </c>
      <c r="E3938" s="14" t="str">
        <f>IFERROR(GIZLI!G3933,"")</f>
        <v/>
      </c>
    </row>
    <row r="3939" spans="2:5" x14ac:dyDescent="0.3">
      <c r="B3939" s="2" t="str">
        <f>MID(TableQR[[#This Row],[QR CODES]],4,13)</f>
        <v/>
      </c>
      <c r="C3939" s="2" t="str">
        <f>IFERROR(VLOOKUP(TableQR[[#This Row],[BARCODES]],ILACLISTE[#All],2,0),"")</f>
        <v/>
      </c>
      <c r="D3939" s="2">
        <f t="shared" si="61"/>
        <v>0</v>
      </c>
      <c r="E3939" s="14" t="str">
        <f>IFERROR(GIZLI!G3934,"")</f>
        <v/>
      </c>
    </row>
    <row r="3940" spans="2:5" x14ac:dyDescent="0.3">
      <c r="B3940" s="2" t="str">
        <f>MID(TableQR[[#This Row],[QR CODES]],4,13)</f>
        <v/>
      </c>
      <c r="C3940" s="2" t="str">
        <f>IFERROR(VLOOKUP(TableQR[[#This Row],[BARCODES]],ILACLISTE[#All],2,0),"")</f>
        <v/>
      </c>
      <c r="D3940" s="2">
        <f t="shared" si="61"/>
        <v>0</v>
      </c>
      <c r="E3940" s="14" t="str">
        <f>IFERROR(GIZLI!G3935,"")</f>
        <v/>
      </c>
    </row>
    <row r="3941" spans="2:5" x14ac:dyDescent="0.3">
      <c r="B3941" s="2" t="str">
        <f>MID(TableQR[[#This Row],[QR CODES]],4,13)</f>
        <v/>
      </c>
      <c r="C3941" s="2" t="str">
        <f>IFERROR(VLOOKUP(TableQR[[#This Row],[BARCODES]],ILACLISTE[#All],2,0),"")</f>
        <v/>
      </c>
      <c r="D3941" s="2">
        <f t="shared" si="61"/>
        <v>0</v>
      </c>
      <c r="E3941" s="14" t="str">
        <f>IFERROR(GIZLI!G3936,"")</f>
        <v/>
      </c>
    </row>
    <row r="3942" spans="2:5" x14ac:dyDescent="0.3">
      <c r="B3942" s="2" t="str">
        <f>MID(TableQR[[#This Row],[QR CODES]],4,13)</f>
        <v/>
      </c>
      <c r="C3942" s="2" t="str">
        <f>IFERROR(VLOOKUP(TableQR[[#This Row],[BARCODES]],ILACLISTE[#All],2,0),"")</f>
        <v/>
      </c>
      <c r="D3942" s="2">
        <f t="shared" si="61"/>
        <v>0</v>
      </c>
      <c r="E3942" s="14" t="str">
        <f>IFERROR(GIZLI!G3937,"")</f>
        <v/>
      </c>
    </row>
    <row r="3943" spans="2:5" x14ac:dyDescent="0.3">
      <c r="B3943" s="2" t="str">
        <f>MID(TableQR[[#This Row],[QR CODES]],4,13)</f>
        <v/>
      </c>
      <c r="C3943" s="2" t="str">
        <f>IFERROR(VLOOKUP(TableQR[[#This Row],[BARCODES]],ILACLISTE[#All],2,0),"")</f>
        <v/>
      </c>
      <c r="D3943" s="2">
        <f t="shared" si="61"/>
        <v>0</v>
      </c>
      <c r="E3943" s="14" t="str">
        <f>IFERROR(GIZLI!G3938,"")</f>
        <v/>
      </c>
    </row>
    <row r="3944" spans="2:5" x14ac:dyDescent="0.3">
      <c r="B3944" s="2" t="str">
        <f>MID(TableQR[[#This Row],[QR CODES]],4,13)</f>
        <v/>
      </c>
      <c r="C3944" s="2" t="str">
        <f>IFERROR(VLOOKUP(TableQR[[#This Row],[BARCODES]],ILACLISTE[#All],2,0),"")</f>
        <v/>
      </c>
      <c r="D3944" s="2">
        <f t="shared" si="61"/>
        <v>0</v>
      </c>
      <c r="E3944" s="14" t="str">
        <f>IFERROR(GIZLI!G3939,"")</f>
        <v/>
      </c>
    </row>
    <row r="3945" spans="2:5" x14ac:dyDescent="0.3">
      <c r="B3945" s="2" t="str">
        <f>MID(TableQR[[#This Row],[QR CODES]],4,13)</f>
        <v/>
      </c>
      <c r="C3945" s="2" t="str">
        <f>IFERROR(VLOOKUP(TableQR[[#This Row],[BARCODES]],ILACLISTE[#All],2,0),"")</f>
        <v/>
      </c>
      <c r="D3945" s="2">
        <f t="shared" si="61"/>
        <v>0</v>
      </c>
      <c r="E3945" s="14" t="str">
        <f>IFERROR(GIZLI!G3940,"")</f>
        <v/>
      </c>
    </row>
    <row r="3946" spans="2:5" x14ac:dyDescent="0.3">
      <c r="B3946" s="2" t="str">
        <f>MID(TableQR[[#This Row],[QR CODES]],4,13)</f>
        <v/>
      </c>
      <c r="C3946" s="2" t="str">
        <f>IFERROR(VLOOKUP(TableQR[[#This Row],[BARCODES]],ILACLISTE[#All],2,0),"")</f>
        <v/>
      </c>
      <c r="D3946" s="2">
        <f t="shared" si="61"/>
        <v>0</v>
      </c>
      <c r="E3946" s="14" t="str">
        <f>IFERROR(GIZLI!G3941,"")</f>
        <v/>
      </c>
    </row>
    <row r="3947" spans="2:5" x14ac:dyDescent="0.3">
      <c r="B3947" s="2" t="str">
        <f>MID(TableQR[[#This Row],[QR CODES]],4,13)</f>
        <v/>
      </c>
      <c r="C3947" s="2" t="str">
        <f>IFERROR(VLOOKUP(TableQR[[#This Row],[BARCODES]],ILACLISTE[#All],2,0),"")</f>
        <v/>
      </c>
      <c r="D3947" s="2">
        <f t="shared" si="61"/>
        <v>0</v>
      </c>
      <c r="E3947" s="14" t="str">
        <f>IFERROR(GIZLI!G3942,"")</f>
        <v/>
      </c>
    </row>
    <row r="3948" spans="2:5" x14ac:dyDescent="0.3">
      <c r="B3948" s="2" t="str">
        <f>MID(TableQR[[#This Row],[QR CODES]],4,13)</f>
        <v/>
      </c>
      <c r="C3948" s="2" t="str">
        <f>IFERROR(VLOOKUP(TableQR[[#This Row],[BARCODES]],ILACLISTE[#All],2,0),"")</f>
        <v/>
      </c>
      <c r="D3948" s="2">
        <f t="shared" si="61"/>
        <v>0</v>
      </c>
      <c r="E3948" s="14" t="str">
        <f>IFERROR(GIZLI!G3943,"")</f>
        <v/>
      </c>
    </row>
    <row r="3949" spans="2:5" x14ac:dyDescent="0.3">
      <c r="B3949" s="2" t="str">
        <f>MID(TableQR[[#This Row],[QR CODES]],4,13)</f>
        <v/>
      </c>
      <c r="C3949" s="2" t="str">
        <f>IFERROR(VLOOKUP(TableQR[[#This Row],[BARCODES]],ILACLISTE[#All],2,0),"")</f>
        <v/>
      </c>
      <c r="D3949" s="2">
        <f t="shared" si="61"/>
        <v>0</v>
      </c>
      <c r="E3949" s="14" t="str">
        <f>IFERROR(GIZLI!G3944,"")</f>
        <v/>
      </c>
    </row>
    <row r="3950" spans="2:5" x14ac:dyDescent="0.3">
      <c r="B3950" s="2" t="str">
        <f>MID(TableQR[[#This Row],[QR CODES]],4,13)</f>
        <v/>
      </c>
      <c r="C3950" s="2" t="str">
        <f>IFERROR(VLOOKUP(TableQR[[#This Row],[BARCODES]],ILACLISTE[#All],2,0),"")</f>
        <v/>
      </c>
      <c r="D3950" s="2">
        <f t="shared" si="61"/>
        <v>0</v>
      </c>
      <c r="E3950" s="14" t="str">
        <f>IFERROR(GIZLI!G3945,"")</f>
        <v/>
      </c>
    </row>
    <row r="3951" spans="2:5" x14ac:dyDescent="0.3">
      <c r="B3951" s="2" t="str">
        <f>MID(TableQR[[#This Row],[QR CODES]],4,13)</f>
        <v/>
      </c>
      <c r="C3951" s="2" t="str">
        <f>IFERROR(VLOOKUP(TableQR[[#This Row],[BARCODES]],ILACLISTE[#All],2,0),"")</f>
        <v/>
      </c>
      <c r="D3951" s="2">
        <f t="shared" si="61"/>
        <v>0</v>
      </c>
      <c r="E3951" s="14" t="str">
        <f>IFERROR(GIZLI!G3946,"")</f>
        <v/>
      </c>
    </row>
    <row r="3952" spans="2:5" x14ac:dyDescent="0.3">
      <c r="B3952" s="2" t="str">
        <f>MID(TableQR[[#This Row],[QR CODES]],4,13)</f>
        <v/>
      </c>
      <c r="C3952" s="2" t="str">
        <f>IFERROR(VLOOKUP(TableQR[[#This Row],[BARCODES]],ILACLISTE[#All],2,0),"")</f>
        <v/>
      </c>
      <c r="D3952" s="2">
        <f t="shared" si="61"/>
        <v>0</v>
      </c>
      <c r="E3952" s="14" t="str">
        <f>IFERROR(GIZLI!G3947,"")</f>
        <v/>
      </c>
    </row>
    <row r="3953" spans="2:5" x14ac:dyDescent="0.3">
      <c r="B3953" s="2" t="str">
        <f>MID(TableQR[[#This Row],[QR CODES]],4,13)</f>
        <v/>
      </c>
      <c r="C3953" s="2" t="str">
        <f>IFERROR(VLOOKUP(TableQR[[#This Row],[BARCODES]],ILACLISTE[#All],2,0),"")</f>
        <v/>
      </c>
      <c r="D3953" s="2">
        <f t="shared" si="61"/>
        <v>0</v>
      </c>
      <c r="E3953" s="14" t="str">
        <f>IFERROR(GIZLI!G3948,"")</f>
        <v/>
      </c>
    </row>
    <row r="3954" spans="2:5" x14ac:dyDescent="0.3">
      <c r="B3954" s="2" t="str">
        <f>MID(TableQR[[#This Row],[QR CODES]],4,13)</f>
        <v/>
      </c>
      <c r="C3954" s="2" t="str">
        <f>IFERROR(VLOOKUP(TableQR[[#This Row],[BARCODES]],ILACLISTE[#All],2,0),"")</f>
        <v/>
      </c>
      <c r="D3954" s="2">
        <f t="shared" si="61"/>
        <v>0</v>
      </c>
      <c r="E3954" s="14" t="str">
        <f>IFERROR(GIZLI!G3949,"")</f>
        <v/>
      </c>
    </row>
    <row r="3955" spans="2:5" x14ac:dyDescent="0.3">
      <c r="B3955" s="2" t="str">
        <f>MID(TableQR[[#This Row],[QR CODES]],4,13)</f>
        <v/>
      </c>
      <c r="C3955" s="2" t="str">
        <f>IFERROR(VLOOKUP(TableQR[[#This Row],[BARCODES]],ILACLISTE[#All],2,0),"")</f>
        <v/>
      </c>
      <c r="D3955" s="2">
        <f t="shared" si="61"/>
        <v>0</v>
      </c>
      <c r="E3955" s="14" t="str">
        <f>IFERROR(GIZLI!G3950,"")</f>
        <v/>
      </c>
    </row>
    <row r="3956" spans="2:5" x14ac:dyDescent="0.3">
      <c r="B3956" s="2" t="str">
        <f>MID(TableQR[[#This Row],[QR CODES]],4,13)</f>
        <v/>
      </c>
      <c r="C3956" s="2" t="str">
        <f>IFERROR(VLOOKUP(TableQR[[#This Row],[BARCODES]],ILACLISTE[#All],2,0),"")</f>
        <v/>
      </c>
      <c r="D3956" s="2">
        <f t="shared" si="61"/>
        <v>0</v>
      </c>
      <c r="E3956" s="14" t="str">
        <f>IFERROR(GIZLI!G3951,"")</f>
        <v/>
      </c>
    </row>
    <row r="3957" spans="2:5" x14ac:dyDescent="0.3">
      <c r="B3957" s="2" t="str">
        <f>MID(TableQR[[#This Row],[QR CODES]],4,13)</f>
        <v/>
      </c>
      <c r="C3957" s="2" t="str">
        <f>IFERROR(VLOOKUP(TableQR[[#This Row],[BARCODES]],ILACLISTE[#All],2,0),"")</f>
        <v/>
      </c>
      <c r="D3957" s="2">
        <f t="shared" si="61"/>
        <v>0</v>
      </c>
      <c r="E3957" s="14" t="str">
        <f>IFERROR(GIZLI!G3952,"")</f>
        <v/>
      </c>
    </row>
    <row r="3958" spans="2:5" x14ac:dyDescent="0.3">
      <c r="B3958" s="2" t="str">
        <f>MID(TableQR[[#This Row],[QR CODES]],4,13)</f>
        <v/>
      </c>
      <c r="C3958" s="2" t="str">
        <f>IFERROR(VLOOKUP(TableQR[[#This Row],[BARCODES]],ILACLISTE[#All],2,0),"")</f>
        <v/>
      </c>
      <c r="D3958" s="2">
        <f t="shared" si="61"/>
        <v>0</v>
      </c>
      <c r="E3958" s="14" t="str">
        <f>IFERROR(GIZLI!G3953,"")</f>
        <v/>
      </c>
    </row>
    <row r="3959" spans="2:5" x14ac:dyDescent="0.3">
      <c r="B3959" s="2" t="str">
        <f>MID(TableQR[[#This Row],[QR CODES]],4,13)</f>
        <v/>
      </c>
      <c r="C3959" s="2" t="str">
        <f>IFERROR(VLOOKUP(TableQR[[#This Row],[BARCODES]],ILACLISTE[#All],2,0),"")</f>
        <v/>
      </c>
      <c r="D3959" s="2">
        <f t="shared" si="61"/>
        <v>0</v>
      </c>
      <c r="E3959" s="14" t="str">
        <f>IFERROR(GIZLI!G3954,"")</f>
        <v/>
      </c>
    </row>
    <row r="3960" spans="2:5" x14ac:dyDescent="0.3">
      <c r="B3960" s="2" t="str">
        <f>MID(TableQR[[#This Row],[QR CODES]],4,13)</f>
        <v/>
      </c>
      <c r="C3960" s="2" t="str">
        <f>IFERROR(VLOOKUP(TableQR[[#This Row],[BARCODES]],ILACLISTE[#All],2,0),"")</f>
        <v/>
      </c>
      <c r="D3960" s="2">
        <f t="shared" si="61"/>
        <v>0</v>
      </c>
      <c r="E3960" s="14" t="str">
        <f>IFERROR(GIZLI!G3955,"")</f>
        <v/>
      </c>
    </row>
    <row r="3961" spans="2:5" x14ac:dyDescent="0.3">
      <c r="B3961" s="2" t="str">
        <f>MID(TableQR[[#This Row],[QR CODES]],4,13)</f>
        <v/>
      </c>
      <c r="C3961" s="2" t="str">
        <f>IFERROR(VLOOKUP(TableQR[[#This Row],[BARCODES]],ILACLISTE[#All],2,0),"")</f>
        <v/>
      </c>
      <c r="D3961" s="2">
        <f t="shared" si="61"/>
        <v>0</v>
      </c>
      <c r="E3961" s="14" t="str">
        <f>IFERROR(GIZLI!G3956,"")</f>
        <v/>
      </c>
    </row>
    <row r="3962" spans="2:5" x14ac:dyDescent="0.3">
      <c r="B3962" s="2" t="str">
        <f>MID(TableQR[[#This Row],[QR CODES]],4,13)</f>
        <v/>
      </c>
      <c r="C3962" s="2" t="str">
        <f>IFERROR(VLOOKUP(TableQR[[#This Row],[BARCODES]],ILACLISTE[#All],2,0),"")</f>
        <v/>
      </c>
      <c r="D3962" s="2">
        <f t="shared" si="61"/>
        <v>0</v>
      </c>
      <c r="E3962" s="14" t="str">
        <f>IFERROR(GIZLI!G3957,"")</f>
        <v/>
      </c>
    </row>
    <row r="3963" spans="2:5" x14ac:dyDescent="0.3">
      <c r="B3963" s="2" t="str">
        <f>MID(TableQR[[#This Row],[QR CODES]],4,13)</f>
        <v/>
      </c>
      <c r="C3963" s="2" t="str">
        <f>IFERROR(VLOOKUP(TableQR[[#This Row],[BARCODES]],ILACLISTE[#All],2,0),"")</f>
        <v/>
      </c>
      <c r="D3963" s="2">
        <f t="shared" si="61"/>
        <v>0</v>
      </c>
      <c r="E3963" s="14" t="str">
        <f>IFERROR(GIZLI!G3958,"")</f>
        <v/>
      </c>
    </row>
    <row r="3964" spans="2:5" x14ac:dyDescent="0.3">
      <c r="B3964" s="2" t="str">
        <f>MID(TableQR[[#This Row],[QR CODES]],4,13)</f>
        <v/>
      </c>
      <c r="C3964" s="2" t="str">
        <f>IFERROR(VLOOKUP(TableQR[[#This Row],[BARCODES]],ILACLISTE[#All],2,0),"")</f>
        <v/>
      </c>
      <c r="D3964" s="2">
        <f t="shared" si="61"/>
        <v>0</v>
      </c>
      <c r="E3964" s="14" t="str">
        <f>IFERROR(GIZLI!G3959,"")</f>
        <v/>
      </c>
    </row>
    <row r="3965" spans="2:5" x14ac:dyDescent="0.3">
      <c r="B3965" s="2" t="str">
        <f>MID(TableQR[[#This Row],[QR CODES]],4,13)</f>
        <v/>
      </c>
      <c r="C3965" s="2" t="str">
        <f>IFERROR(VLOOKUP(TableQR[[#This Row],[BARCODES]],ILACLISTE[#All],2,0),"")</f>
        <v/>
      </c>
      <c r="D3965" s="2">
        <f t="shared" si="61"/>
        <v>0</v>
      </c>
      <c r="E3965" s="14" t="str">
        <f>IFERROR(GIZLI!G3960,"")</f>
        <v/>
      </c>
    </row>
    <row r="3966" spans="2:5" x14ac:dyDescent="0.3">
      <c r="B3966" s="2" t="str">
        <f>MID(TableQR[[#This Row],[QR CODES]],4,13)</f>
        <v/>
      </c>
      <c r="C3966" s="2" t="str">
        <f>IFERROR(VLOOKUP(TableQR[[#This Row],[BARCODES]],ILACLISTE[#All],2,0),"")</f>
        <v/>
      </c>
      <c r="D3966" s="2">
        <f t="shared" si="61"/>
        <v>0</v>
      </c>
      <c r="E3966" s="14" t="str">
        <f>IFERROR(GIZLI!G3961,"")</f>
        <v/>
      </c>
    </row>
    <row r="3967" spans="2:5" x14ac:dyDescent="0.3">
      <c r="B3967" s="2" t="str">
        <f>MID(TableQR[[#This Row],[QR CODES]],4,13)</f>
        <v/>
      </c>
      <c r="C3967" s="2" t="str">
        <f>IFERROR(VLOOKUP(TableQR[[#This Row],[BARCODES]],ILACLISTE[#All],2,0),"")</f>
        <v/>
      </c>
      <c r="D3967" s="2">
        <f t="shared" si="61"/>
        <v>0</v>
      </c>
      <c r="E3967" s="14" t="str">
        <f>IFERROR(GIZLI!G3962,"")</f>
        <v/>
      </c>
    </row>
    <row r="3968" spans="2:5" x14ac:dyDescent="0.3">
      <c r="B3968" s="2" t="str">
        <f>MID(TableQR[[#This Row],[QR CODES]],4,13)</f>
        <v/>
      </c>
      <c r="C3968" s="2" t="str">
        <f>IFERROR(VLOOKUP(TableQR[[#This Row],[BARCODES]],ILACLISTE[#All],2,0),"")</f>
        <v/>
      </c>
      <c r="D3968" s="2">
        <f t="shared" si="61"/>
        <v>0</v>
      </c>
      <c r="E3968" s="14" t="str">
        <f>IFERROR(GIZLI!G3963,"")</f>
        <v/>
      </c>
    </row>
    <row r="3969" spans="2:5" x14ac:dyDescent="0.3">
      <c r="B3969" s="2" t="str">
        <f>MID(TableQR[[#This Row],[QR CODES]],4,13)</f>
        <v/>
      </c>
      <c r="C3969" s="2" t="str">
        <f>IFERROR(VLOOKUP(TableQR[[#This Row],[BARCODES]],ILACLISTE[#All],2,0),"")</f>
        <v/>
      </c>
      <c r="D3969" s="2">
        <f t="shared" si="61"/>
        <v>0</v>
      </c>
      <c r="E3969" s="14" t="str">
        <f>IFERROR(GIZLI!G3964,"")</f>
        <v/>
      </c>
    </row>
    <row r="3970" spans="2:5" x14ac:dyDescent="0.3">
      <c r="B3970" s="2" t="str">
        <f>MID(TableQR[[#This Row],[QR CODES]],4,13)</f>
        <v/>
      </c>
      <c r="C3970" s="2" t="str">
        <f>IFERROR(VLOOKUP(TableQR[[#This Row],[BARCODES]],ILACLISTE[#All],2,0),"")</f>
        <v/>
      </c>
      <c r="D3970" s="2">
        <f t="shared" si="61"/>
        <v>0</v>
      </c>
      <c r="E3970" s="14" t="str">
        <f>IFERROR(GIZLI!G3965,"")</f>
        <v/>
      </c>
    </row>
    <row r="3971" spans="2:5" x14ac:dyDescent="0.3">
      <c r="B3971" s="2" t="str">
        <f>MID(TableQR[[#This Row],[QR CODES]],4,13)</f>
        <v/>
      </c>
      <c r="C3971" s="2" t="str">
        <f>IFERROR(VLOOKUP(TableQR[[#This Row],[BARCODES]],ILACLISTE[#All],2,0),"")</f>
        <v/>
      </c>
      <c r="D3971" s="2">
        <f t="shared" si="61"/>
        <v>0</v>
      </c>
      <c r="E3971" s="14" t="str">
        <f>IFERROR(GIZLI!G3966,"")</f>
        <v/>
      </c>
    </row>
    <row r="3972" spans="2:5" x14ac:dyDescent="0.3">
      <c r="B3972" s="2" t="str">
        <f>MID(TableQR[[#This Row],[QR CODES]],4,13)</f>
        <v/>
      </c>
      <c r="C3972" s="2" t="str">
        <f>IFERROR(VLOOKUP(TableQR[[#This Row],[BARCODES]],ILACLISTE[#All],2,0),"")</f>
        <v/>
      </c>
      <c r="D3972" s="2">
        <f t="shared" si="61"/>
        <v>0</v>
      </c>
      <c r="E3972" s="14" t="str">
        <f>IFERROR(GIZLI!G3967,"")</f>
        <v/>
      </c>
    </row>
    <row r="3973" spans="2:5" x14ac:dyDescent="0.3">
      <c r="B3973" s="2" t="str">
        <f>MID(TableQR[[#This Row],[QR CODES]],4,13)</f>
        <v/>
      </c>
      <c r="C3973" s="2" t="str">
        <f>IFERROR(VLOOKUP(TableQR[[#This Row],[BARCODES]],ILACLISTE[#All],2,0),"")</f>
        <v/>
      </c>
      <c r="D3973" s="2">
        <f t="shared" si="61"/>
        <v>0</v>
      </c>
      <c r="E3973" s="14" t="str">
        <f>IFERROR(GIZLI!G3968,"")</f>
        <v/>
      </c>
    </row>
    <row r="3974" spans="2:5" x14ac:dyDescent="0.3">
      <c r="B3974" s="2" t="str">
        <f>MID(TableQR[[#This Row],[QR CODES]],4,13)</f>
        <v/>
      </c>
      <c r="C3974" s="2" t="str">
        <f>IFERROR(VLOOKUP(TableQR[[#This Row],[BARCODES]],ILACLISTE[#All],2,0),"")</f>
        <v/>
      </c>
      <c r="D3974" s="2">
        <f t="shared" si="61"/>
        <v>0</v>
      </c>
      <c r="E3974" s="14" t="str">
        <f>IFERROR(GIZLI!G3969,"")</f>
        <v/>
      </c>
    </row>
    <row r="3975" spans="2:5" x14ac:dyDescent="0.3">
      <c r="B3975" s="2" t="str">
        <f>MID(TableQR[[#This Row],[QR CODES]],4,13)</f>
        <v/>
      </c>
      <c r="C3975" s="2" t="str">
        <f>IFERROR(VLOOKUP(TableQR[[#This Row],[BARCODES]],ILACLISTE[#All],2,0),"")</f>
        <v/>
      </c>
      <c r="D3975" s="2">
        <f t="shared" si="61"/>
        <v>0</v>
      </c>
      <c r="E3975" s="14" t="str">
        <f>IFERROR(GIZLI!G3970,"")</f>
        <v/>
      </c>
    </row>
    <row r="3976" spans="2:5" x14ac:dyDescent="0.3">
      <c r="B3976" s="2" t="str">
        <f>MID(TableQR[[#This Row],[QR CODES]],4,13)</f>
        <v/>
      </c>
      <c r="C3976" s="2" t="str">
        <f>IFERROR(VLOOKUP(TableQR[[#This Row],[BARCODES]],ILACLISTE[#All],2,0),"")</f>
        <v/>
      </c>
      <c r="D3976" s="2">
        <f t="shared" ref="D3976:D4039" si="62">COUNTIF(B3976:B7969,IF(B3976="",66666,B3976))</f>
        <v>0</v>
      </c>
      <c r="E3976" s="14" t="str">
        <f>IFERROR(GIZLI!G3971,"")</f>
        <v/>
      </c>
    </row>
    <row r="3977" spans="2:5" x14ac:dyDescent="0.3">
      <c r="B3977" s="2" t="str">
        <f>MID(TableQR[[#This Row],[QR CODES]],4,13)</f>
        <v/>
      </c>
      <c r="C3977" s="2" t="str">
        <f>IFERROR(VLOOKUP(TableQR[[#This Row],[BARCODES]],ILACLISTE[#All],2,0),"")</f>
        <v/>
      </c>
      <c r="D3977" s="2">
        <f t="shared" si="62"/>
        <v>0</v>
      </c>
      <c r="E3977" s="14" t="str">
        <f>IFERROR(GIZLI!G3972,"")</f>
        <v/>
      </c>
    </row>
    <row r="3978" spans="2:5" x14ac:dyDescent="0.3">
      <c r="B3978" s="2" t="str">
        <f>MID(TableQR[[#This Row],[QR CODES]],4,13)</f>
        <v/>
      </c>
      <c r="C3978" s="2" t="str">
        <f>IFERROR(VLOOKUP(TableQR[[#This Row],[BARCODES]],ILACLISTE[#All],2,0),"")</f>
        <v/>
      </c>
      <c r="D3978" s="2">
        <f t="shared" si="62"/>
        <v>0</v>
      </c>
      <c r="E3978" s="14" t="str">
        <f>IFERROR(GIZLI!G3973,"")</f>
        <v/>
      </c>
    </row>
    <row r="3979" spans="2:5" x14ac:dyDescent="0.3">
      <c r="B3979" s="2" t="str">
        <f>MID(TableQR[[#This Row],[QR CODES]],4,13)</f>
        <v/>
      </c>
      <c r="C3979" s="2" t="str">
        <f>IFERROR(VLOOKUP(TableQR[[#This Row],[BARCODES]],ILACLISTE[#All],2,0),"")</f>
        <v/>
      </c>
      <c r="D3979" s="2">
        <f t="shared" si="62"/>
        <v>0</v>
      </c>
      <c r="E3979" s="14" t="str">
        <f>IFERROR(GIZLI!G3974,"")</f>
        <v/>
      </c>
    </row>
    <row r="3980" spans="2:5" x14ac:dyDescent="0.3">
      <c r="B3980" s="2" t="str">
        <f>MID(TableQR[[#This Row],[QR CODES]],4,13)</f>
        <v/>
      </c>
      <c r="C3980" s="2" t="str">
        <f>IFERROR(VLOOKUP(TableQR[[#This Row],[BARCODES]],ILACLISTE[#All],2,0),"")</f>
        <v/>
      </c>
      <c r="D3980" s="2">
        <f t="shared" si="62"/>
        <v>0</v>
      </c>
      <c r="E3980" s="14" t="str">
        <f>IFERROR(GIZLI!G3975,"")</f>
        <v/>
      </c>
    </row>
    <row r="3981" spans="2:5" x14ac:dyDescent="0.3">
      <c r="B3981" s="2" t="str">
        <f>MID(TableQR[[#This Row],[QR CODES]],4,13)</f>
        <v/>
      </c>
      <c r="C3981" s="2" t="str">
        <f>IFERROR(VLOOKUP(TableQR[[#This Row],[BARCODES]],ILACLISTE[#All],2,0),"")</f>
        <v/>
      </c>
      <c r="D3981" s="2">
        <f t="shared" si="62"/>
        <v>0</v>
      </c>
      <c r="E3981" s="14" t="str">
        <f>IFERROR(GIZLI!G3976,"")</f>
        <v/>
      </c>
    </row>
    <row r="3982" spans="2:5" x14ac:dyDescent="0.3">
      <c r="B3982" s="2" t="str">
        <f>MID(TableQR[[#This Row],[QR CODES]],4,13)</f>
        <v/>
      </c>
      <c r="C3982" s="2" t="str">
        <f>IFERROR(VLOOKUP(TableQR[[#This Row],[BARCODES]],ILACLISTE[#All],2,0),"")</f>
        <v/>
      </c>
      <c r="D3982" s="2">
        <f t="shared" si="62"/>
        <v>0</v>
      </c>
      <c r="E3982" s="14" t="str">
        <f>IFERROR(GIZLI!G3977,"")</f>
        <v/>
      </c>
    </row>
    <row r="3983" spans="2:5" x14ac:dyDescent="0.3">
      <c r="B3983" s="2" t="str">
        <f>MID(TableQR[[#This Row],[QR CODES]],4,13)</f>
        <v/>
      </c>
      <c r="C3983" s="2" t="str">
        <f>IFERROR(VLOOKUP(TableQR[[#This Row],[BARCODES]],ILACLISTE[#All],2,0),"")</f>
        <v/>
      </c>
      <c r="D3983" s="2">
        <f t="shared" si="62"/>
        <v>0</v>
      </c>
      <c r="E3983" s="14" t="str">
        <f>IFERROR(GIZLI!G3978,"")</f>
        <v/>
      </c>
    </row>
    <row r="3984" spans="2:5" x14ac:dyDescent="0.3">
      <c r="B3984" s="2" t="str">
        <f>MID(TableQR[[#This Row],[QR CODES]],4,13)</f>
        <v/>
      </c>
      <c r="C3984" s="2" t="str">
        <f>IFERROR(VLOOKUP(TableQR[[#This Row],[BARCODES]],ILACLISTE[#All],2,0),"")</f>
        <v/>
      </c>
      <c r="D3984" s="2">
        <f t="shared" si="62"/>
        <v>0</v>
      </c>
      <c r="E3984" s="14" t="str">
        <f>IFERROR(GIZLI!G3979,"")</f>
        <v/>
      </c>
    </row>
    <row r="3985" spans="2:5" x14ac:dyDescent="0.3">
      <c r="B3985" s="2" t="str">
        <f>MID(TableQR[[#This Row],[QR CODES]],4,13)</f>
        <v/>
      </c>
      <c r="C3985" s="2" t="str">
        <f>IFERROR(VLOOKUP(TableQR[[#This Row],[BARCODES]],ILACLISTE[#All],2,0),"")</f>
        <v/>
      </c>
      <c r="D3985" s="2">
        <f t="shared" si="62"/>
        <v>0</v>
      </c>
      <c r="E3985" s="14" t="str">
        <f>IFERROR(GIZLI!G3980,"")</f>
        <v/>
      </c>
    </row>
    <row r="3986" spans="2:5" x14ac:dyDescent="0.3">
      <c r="B3986" s="2" t="str">
        <f>MID(TableQR[[#This Row],[QR CODES]],4,13)</f>
        <v/>
      </c>
      <c r="C3986" s="2" t="str">
        <f>IFERROR(VLOOKUP(TableQR[[#This Row],[BARCODES]],ILACLISTE[#All],2,0),"")</f>
        <v/>
      </c>
      <c r="D3986" s="2">
        <f t="shared" si="62"/>
        <v>0</v>
      </c>
      <c r="E3986" s="14" t="str">
        <f>IFERROR(GIZLI!G3981,"")</f>
        <v/>
      </c>
    </row>
    <row r="3987" spans="2:5" x14ac:dyDescent="0.3">
      <c r="B3987" s="2" t="str">
        <f>MID(TableQR[[#This Row],[QR CODES]],4,13)</f>
        <v/>
      </c>
      <c r="C3987" s="2" t="str">
        <f>IFERROR(VLOOKUP(TableQR[[#This Row],[BARCODES]],ILACLISTE[#All],2,0),"")</f>
        <v/>
      </c>
      <c r="D3987" s="2">
        <f t="shared" si="62"/>
        <v>0</v>
      </c>
      <c r="E3987" s="14" t="str">
        <f>IFERROR(GIZLI!G3982,"")</f>
        <v/>
      </c>
    </row>
    <row r="3988" spans="2:5" x14ac:dyDescent="0.3">
      <c r="B3988" s="2" t="str">
        <f>MID(TableQR[[#This Row],[QR CODES]],4,13)</f>
        <v/>
      </c>
      <c r="C3988" s="2" t="str">
        <f>IFERROR(VLOOKUP(TableQR[[#This Row],[BARCODES]],ILACLISTE[#All],2,0),"")</f>
        <v/>
      </c>
      <c r="D3988" s="2">
        <f t="shared" si="62"/>
        <v>0</v>
      </c>
      <c r="E3988" s="14" t="str">
        <f>IFERROR(GIZLI!G3983,"")</f>
        <v/>
      </c>
    </row>
    <row r="3989" spans="2:5" x14ac:dyDescent="0.3">
      <c r="B3989" s="2" t="str">
        <f>MID(TableQR[[#This Row],[QR CODES]],4,13)</f>
        <v/>
      </c>
      <c r="C3989" s="2" t="str">
        <f>IFERROR(VLOOKUP(TableQR[[#This Row],[BARCODES]],ILACLISTE[#All],2,0),"")</f>
        <v/>
      </c>
      <c r="D3989" s="2">
        <f t="shared" si="62"/>
        <v>0</v>
      </c>
      <c r="E3989" s="14" t="str">
        <f>IFERROR(GIZLI!G3984,"")</f>
        <v/>
      </c>
    </row>
    <row r="3990" spans="2:5" x14ac:dyDescent="0.3">
      <c r="B3990" s="2" t="str">
        <f>MID(TableQR[[#This Row],[QR CODES]],4,13)</f>
        <v/>
      </c>
      <c r="C3990" s="2" t="str">
        <f>IFERROR(VLOOKUP(TableQR[[#This Row],[BARCODES]],ILACLISTE[#All],2,0),"")</f>
        <v/>
      </c>
      <c r="D3990" s="2">
        <f t="shared" si="62"/>
        <v>0</v>
      </c>
      <c r="E3990" s="14" t="str">
        <f>IFERROR(GIZLI!G3985,"")</f>
        <v/>
      </c>
    </row>
    <row r="3991" spans="2:5" x14ac:dyDescent="0.3">
      <c r="B3991" s="2" t="str">
        <f>MID(TableQR[[#This Row],[QR CODES]],4,13)</f>
        <v/>
      </c>
      <c r="C3991" s="2" t="str">
        <f>IFERROR(VLOOKUP(TableQR[[#This Row],[BARCODES]],ILACLISTE[#All],2,0),"")</f>
        <v/>
      </c>
      <c r="D3991" s="2">
        <f t="shared" si="62"/>
        <v>0</v>
      </c>
      <c r="E3991" s="14" t="str">
        <f>IFERROR(GIZLI!G3986,"")</f>
        <v/>
      </c>
    </row>
    <row r="3992" spans="2:5" x14ac:dyDescent="0.3">
      <c r="B3992" s="2" t="str">
        <f>MID(TableQR[[#This Row],[QR CODES]],4,13)</f>
        <v/>
      </c>
      <c r="C3992" s="2" t="str">
        <f>IFERROR(VLOOKUP(TableQR[[#This Row],[BARCODES]],ILACLISTE[#All],2,0),"")</f>
        <v/>
      </c>
      <c r="D3992" s="2">
        <f t="shared" si="62"/>
        <v>0</v>
      </c>
      <c r="E3992" s="14" t="str">
        <f>IFERROR(GIZLI!G3987,"")</f>
        <v/>
      </c>
    </row>
    <row r="3993" spans="2:5" x14ac:dyDescent="0.3">
      <c r="B3993" s="2" t="str">
        <f>MID(TableQR[[#This Row],[QR CODES]],4,13)</f>
        <v/>
      </c>
      <c r="C3993" s="2" t="str">
        <f>IFERROR(VLOOKUP(TableQR[[#This Row],[BARCODES]],ILACLISTE[#All],2,0),"")</f>
        <v/>
      </c>
      <c r="D3993" s="2">
        <f t="shared" si="62"/>
        <v>0</v>
      </c>
      <c r="E3993" s="14" t="str">
        <f>IFERROR(GIZLI!G3988,"")</f>
        <v/>
      </c>
    </row>
    <row r="3994" spans="2:5" x14ac:dyDescent="0.3">
      <c r="B3994" s="2" t="str">
        <f>MID(TableQR[[#This Row],[QR CODES]],4,13)</f>
        <v/>
      </c>
      <c r="C3994" s="2" t="str">
        <f>IFERROR(VLOOKUP(TableQR[[#This Row],[BARCODES]],ILACLISTE[#All],2,0),"")</f>
        <v/>
      </c>
      <c r="D3994" s="2">
        <f t="shared" si="62"/>
        <v>0</v>
      </c>
      <c r="E3994" s="14" t="str">
        <f>IFERROR(GIZLI!G3989,"")</f>
        <v/>
      </c>
    </row>
    <row r="3995" spans="2:5" x14ac:dyDescent="0.3">
      <c r="B3995" s="2" t="str">
        <f>MID(TableQR[[#This Row],[QR CODES]],4,13)</f>
        <v/>
      </c>
      <c r="C3995" s="2" t="str">
        <f>IFERROR(VLOOKUP(TableQR[[#This Row],[BARCODES]],ILACLISTE[#All],2,0),"")</f>
        <v/>
      </c>
      <c r="D3995" s="2">
        <f t="shared" si="62"/>
        <v>0</v>
      </c>
      <c r="E3995" s="14" t="str">
        <f>IFERROR(GIZLI!G3990,"")</f>
        <v/>
      </c>
    </row>
    <row r="3996" spans="2:5" x14ac:dyDescent="0.3">
      <c r="B3996" s="2" t="str">
        <f>MID(TableQR[[#This Row],[QR CODES]],4,13)</f>
        <v/>
      </c>
      <c r="C3996" s="2" t="str">
        <f>IFERROR(VLOOKUP(TableQR[[#This Row],[BARCODES]],ILACLISTE[#All],2,0),"")</f>
        <v/>
      </c>
      <c r="D3996" s="2">
        <f t="shared" si="62"/>
        <v>0</v>
      </c>
      <c r="E3996" s="14" t="str">
        <f>IFERROR(GIZLI!G3991,"")</f>
        <v/>
      </c>
    </row>
    <row r="3997" spans="2:5" x14ac:dyDescent="0.3">
      <c r="B3997" s="2" t="str">
        <f>MID(TableQR[[#This Row],[QR CODES]],4,13)</f>
        <v/>
      </c>
      <c r="C3997" s="2" t="str">
        <f>IFERROR(VLOOKUP(TableQR[[#This Row],[BARCODES]],ILACLISTE[#All],2,0),"")</f>
        <v/>
      </c>
      <c r="D3997" s="2">
        <f t="shared" si="62"/>
        <v>0</v>
      </c>
      <c r="E3997" s="14" t="str">
        <f>IFERROR(GIZLI!G3992,"")</f>
        <v/>
      </c>
    </row>
    <row r="3998" spans="2:5" x14ac:dyDescent="0.3">
      <c r="B3998" s="2" t="str">
        <f>MID(TableQR[[#This Row],[QR CODES]],4,13)</f>
        <v/>
      </c>
      <c r="C3998" s="2" t="str">
        <f>IFERROR(VLOOKUP(TableQR[[#This Row],[BARCODES]],ILACLISTE[#All],2,0),"")</f>
        <v/>
      </c>
      <c r="D3998" s="2">
        <f t="shared" si="62"/>
        <v>0</v>
      </c>
      <c r="E3998" s="14" t="str">
        <f>IFERROR(GIZLI!G3993,"")</f>
        <v/>
      </c>
    </row>
    <row r="3999" spans="2:5" x14ac:dyDescent="0.3">
      <c r="B3999" s="2" t="str">
        <f>MID(TableQR[[#This Row],[QR CODES]],4,13)</f>
        <v/>
      </c>
      <c r="C3999" s="2" t="str">
        <f>IFERROR(VLOOKUP(TableQR[[#This Row],[BARCODES]],ILACLISTE[#All],2,0),"")</f>
        <v/>
      </c>
      <c r="D3999" s="2">
        <f t="shared" si="62"/>
        <v>0</v>
      </c>
      <c r="E3999" s="14" t="str">
        <f>IFERROR(GIZLI!G3994,"")</f>
        <v/>
      </c>
    </row>
    <row r="4000" spans="2:5" x14ac:dyDescent="0.3">
      <c r="B4000" s="2" t="str">
        <f>MID(TableQR[[#This Row],[QR CODES]],4,13)</f>
        <v/>
      </c>
      <c r="C4000" s="2" t="str">
        <f>IFERROR(VLOOKUP(TableQR[[#This Row],[BARCODES]],ILACLISTE[#All],2,0),"")</f>
        <v/>
      </c>
      <c r="D4000" s="2">
        <f t="shared" si="62"/>
        <v>0</v>
      </c>
      <c r="E4000" s="14" t="str">
        <f>IFERROR(GIZLI!G3995,"")</f>
        <v/>
      </c>
    </row>
  </sheetData>
  <conditionalFormatting sqref="E6:E4000">
    <cfRule type="cellIs" dxfId="16" priority="3" operator="lessThan">
      <formula>44805</formula>
    </cfRule>
  </conditionalFormatting>
  <conditionalFormatting sqref="E1:E1048576">
    <cfRule type="cellIs" dxfId="15" priority="2" operator="lessThan">
      <formula>44805</formula>
    </cfRule>
    <cfRule type="cellIs" dxfId="14" priority="1" operator="lessThan">
      <formula>44835</formula>
    </cfRule>
  </conditionalFormatting>
  <pageMargins left="0.7" right="0.7" top="0.75" bottom="0.75" header="0.3" footer="0.3"/>
  <pageSetup orientation="portrait" verticalDpi="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EA58F-AD75-4F8E-B53F-3F5C73BCC854}">
  <sheetPr codeName="Sheet2"/>
  <dimension ref="A1:C6014"/>
  <sheetViews>
    <sheetView workbookViewId="0">
      <selection activeCell="A29" sqref="A29"/>
    </sheetView>
  </sheetViews>
  <sheetFormatPr defaultRowHeight="14.4" x14ac:dyDescent="0.3"/>
  <cols>
    <col min="1" max="1" width="14.109375" bestFit="1" customWidth="1"/>
    <col min="2" max="2" width="32.44140625" bestFit="1" customWidth="1"/>
    <col min="3" max="3" width="10.77734375" customWidth="1"/>
  </cols>
  <sheetData>
    <row r="1" spans="1:3" x14ac:dyDescent="0.3">
      <c r="A1" s="3" t="s">
        <v>3</v>
      </c>
      <c r="B1" t="s">
        <v>4</v>
      </c>
      <c r="C1" t="s">
        <v>6642</v>
      </c>
    </row>
    <row r="2" spans="1:3" x14ac:dyDescent="0.3">
      <c r="A2" s="5" t="s">
        <v>693</v>
      </c>
      <c r="B2" t="s">
        <v>6644</v>
      </c>
      <c r="C2" t="str">
        <f>IFERROR(VLOOKUP(ILACLISTE[[#This Row],[NAME]],Table5[#All],2,0),"")</f>
        <v/>
      </c>
    </row>
    <row r="3" spans="1:3" x14ac:dyDescent="0.3">
      <c r="A3" s="5" t="s">
        <v>694</v>
      </c>
      <c r="B3" t="s">
        <v>6645</v>
      </c>
      <c r="C3" t="str">
        <f>IFERROR(VLOOKUP(ILACLISTE[[#This Row],[NAME]],Table5[#All],2,0),"")</f>
        <v/>
      </c>
    </row>
    <row r="4" spans="1:3" x14ac:dyDescent="0.3">
      <c r="A4" s="5" t="s">
        <v>695</v>
      </c>
      <c r="B4" t="s">
        <v>6646</v>
      </c>
      <c r="C4" t="str">
        <f>IFERROR(VLOOKUP(ILACLISTE[[#This Row],[NAME]],Table5[#All],2,0),"")</f>
        <v/>
      </c>
    </row>
    <row r="5" spans="1:3" x14ac:dyDescent="0.3">
      <c r="A5" s="5" t="s">
        <v>696</v>
      </c>
      <c r="B5" t="s">
        <v>6647</v>
      </c>
      <c r="C5" t="str">
        <f>IFERROR(VLOOKUP(ILACLISTE[[#This Row],[NAME]],Table5[#All],2,0),"")</f>
        <v/>
      </c>
    </row>
    <row r="6" spans="1:3" x14ac:dyDescent="0.3">
      <c r="A6" s="5" t="s">
        <v>697</v>
      </c>
      <c r="B6" t="s">
        <v>6648</v>
      </c>
      <c r="C6" t="str">
        <f>IFERROR(VLOOKUP(ILACLISTE[[#This Row],[NAME]],Table5[#All],2,0),"")</f>
        <v/>
      </c>
    </row>
    <row r="7" spans="1:3" x14ac:dyDescent="0.3">
      <c r="A7" s="5" t="s">
        <v>698</v>
      </c>
      <c r="B7" t="s">
        <v>6649</v>
      </c>
      <c r="C7" t="str">
        <f>IFERROR(VLOOKUP(ILACLISTE[[#This Row],[NAME]],Table5[#All],2,0),"")</f>
        <v/>
      </c>
    </row>
    <row r="8" spans="1:3" x14ac:dyDescent="0.3">
      <c r="A8" s="5" t="s">
        <v>699</v>
      </c>
      <c r="B8" t="s">
        <v>6650</v>
      </c>
      <c r="C8" t="str">
        <f>IFERROR(VLOOKUP(ILACLISTE[[#This Row],[NAME]],Table5[#All],2,0),"")</f>
        <v/>
      </c>
    </row>
    <row r="9" spans="1:3" x14ac:dyDescent="0.3">
      <c r="A9" s="5" t="s">
        <v>700</v>
      </c>
      <c r="B9" t="s">
        <v>6651</v>
      </c>
      <c r="C9" t="str">
        <f>IFERROR(VLOOKUP(ILACLISTE[[#This Row],[NAME]],Table5[#All],2,0),"")</f>
        <v/>
      </c>
    </row>
    <row r="10" spans="1:3" x14ac:dyDescent="0.3">
      <c r="A10" s="5" t="s">
        <v>701</v>
      </c>
      <c r="B10" t="s">
        <v>5</v>
      </c>
      <c r="C10" t="str">
        <f>IFERROR(VLOOKUP(ILACLISTE[[#This Row],[NAME]],Table5[#All],2,0),"")</f>
        <v/>
      </c>
    </row>
    <row r="11" spans="1:3" x14ac:dyDescent="0.3">
      <c r="A11" s="5" t="s">
        <v>702</v>
      </c>
      <c r="B11" t="s">
        <v>6652</v>
      </c>
      <c r="C11" t="str">
        <f>IFERROR(VLOOKUP(ILACLISTE[[#This Row],[NAME]],Table5[#All],2,0),"")</f>
        <v/>
      </c>
    </row>
    <row r="12" spans="1:3" x14ac:dyDescent="0.3">
      <c r="A12" s="5" t="s">
        <v>703</v>
      </c>
      <c r="B12" t="s">
        <v>6653</v>
      </c>
      <c r="C12" t="str">
        <f>IFERROR(VLOOKUP(ILACLISTE[[#This Row],[NAME]],Table5[#All],2,0),"")</f>
        <v/>
      </c>
    </row>
    <row r="13" spans="1:3" x14ac:dyDescent="0.3">
      <c r="A13" s="5" t="s">
        <v>704</v>
      </c>
      <c r="B13" t="s">
        <v>6654</v>
      </c>
      <c r="C13" t="str">
        <f>IFERROR(VLOOKUP(ILACLISTE[[#This Row],[NAME]],Table5[#All],2,0),"")</f>
        <v/>
      </c>
    </row>
    <row r="14" spans="1:3" x14ac:dyDescent="0.3">
      <c r="A14" s="5" t="s">
        <v>705</v>
      </c>
      <c r="B14" t="s">
        <v>6655</v>
      </c>
      <c r="C14" t="str">
        <f>IFERROR(VLOOKUP(ILACLISTE[[#This Row],[NAME]],Table5[#All],2,0),"")</f>
        <v/>
      </c>
    </row>
    <row r="15" spans="1:3" x14ac:dyDescent="0.3">
      <c r="A15" s="5" t="s">
        <v>706</v>
      </c>
      <c r="B15" t="s">
        <v>6656</v>
      </c>
      <c r="C15" t="str">
        <f>IFERROR(VLOOKUP(ILACLISTE[[#This Row],[NAME]],Table5[#All],2,0),"")</f>
        <v/>
      </c>
    </row>
    <row r="16" spans="1:3" x14ac:dyDescent="0.3">
      <c r="A16" s="5" t="s">
        <v>707</v>
      </c>
      <c r="B16" t="s">
        <v>6657</v>
      </c>
      <c r="C16" t="str">
        <f>IFERROR(VLOOKUP(ILACLISTE[[#This Row],[NAME]],Table5[#All],2,0),"")</f>
        <v/>
      </c>
    </row>
    <row r="17" spans="1:3" x14ac:dyDescent="0.3">
      <c r="A17" s="5" t="s">
        <v>708</v>
      </c>
      <c r="B17" t="s">
        <v>6658</v>
      </c>
      <c r="C17" t="str">
        <f>IFERROR(VLOOKUP(ILACLISTE[[#This Row],[NAME]],Table5[#All],2,0),"")</f>
        <v/>
      </c>
    </row>
    <row r="18" spans="1:3" x14ac:dyDescent="0.3">
      <c r="A18" s="5" t="s">
        <v>709</v>
      </c>
      <c r="B18" t="s">
        <v>6659</v>
      </c>
      <c r="C18" t="str">
        <f>IFERROR(VLOOKUP(ILACLISTE[[#This Row],[NAME]],Table5[#All],2,0),"")</f>
        <v/>
      </c>
    </row>
    <row r="19" spans="1:3" x14ac:dyDescent="0.3">
      <c r="A19" s="5" t="s">
        <v>710</v>
      </c>
      <c r="B19" t="s">
        <v>6660</v>
      </c>
      <c r="C19" t="str">
        <f>IFERROR(VLOOKUP(ILACLISTE[[#This Row],[NAME]],Table5[#All],2,0),"")</f>
        <v/>
      </c>
    </row>
    <row r="20" spans="1:3" x14ac:dyDescent="0.3">
      <c r="A20" s="5" t="s">
        <v>711</v>
      </c>
      <c r="B20" t="s">
        <v>6661</v>
      </c>
      <c r="C20" t="str">
        <f>IFERROR(VLOOKUP(ILACLISTE[[#This Row],[NAME]],Table5[#All],2,0),"")</f>
        <v/>
      </c>
    </row>
    <row r="21" spans="1:3" x14ac:dyDescent="0.3">
      <c r="A21" s="5" t="s">
        <v>712</v>
      </c>
      <c r="B21" t="s">
        <v>6662</v>
      </c>
      <c r="C21" t="str">
        <f>IFERROR(VLOOKUP(ILACLISTE[[#This Row],[NAME]],Table5[#All],2,0),"")</f>
        <v/>
      </c>
    </row>
    <row r="22" spans="1:3" x14ac:dyDescent="0.3">
      <c r="A22" s="5" t="s">
        <v>713</v>
      </c>
      <c r="B22" t="s">
        <v>6663</v>
      </c>
      <c r="C22" t="str">
        <f>IFERROR(VLOOKUP(ILACLISTE[[#This Row],[NAME]],Table5[#All],2,0),"")</f>
        <v/>
      </c>
    </row>
    <row r="23" spans="1:3" x14ac:dyDescent="0.3">
      <c r="A23" s="5" t="s">
        <v>714</v>
      </c>
      <c r="B23" t="s">
        <v>6664</v>
      </c>
      <c r="C23" t="str">
        <f>IFERROR(VLOOKUP(ILACLISTE[[#This Row],[NAME]],Table5[#All],2,0),"")</f>
        <v/>
      </c>
    </row>
    <row r="24" spans="1:3" x14ac:dyDescent="0.3">
      <c r="A24" s="5" t="s">
        <v>715</v>
      </c>
      <c r="B24" t="s">
        <v>6665</v>
      </c>
      <c r="C24" t="str">
        <f>IFERROR(VLOOKUP(ILACLISTE[[#This Row],[NAME]],Table5[#All],2,0),"")</f>
        <v/>
      </c>
    </row>
    <row r="25" spans="1:3" x14ac:dyDescent="0.3">
      <c r="A25" s="5" t="s">
        <v>716</v>
      </c>
      <c r="B25" t="s">
        <v>6666</v>
      </c>
      <c r="C25" t="str">
        <f>IFERROR(VLOOKUP(ILACLISTE[[#This Row],[NAME]],Table5[#All],2,0),"")</f>
        <v/>
      </c>
    </row>
    <row r="26" spans="1:3" x14ac:dyDescent="0.3">
      <c r="A26" s="5" t="s">
        <v>717</v>
      </c>
      <c r="B26" t="s">
        <v>6667</v>
      </c>
      <c r="C26" t="str">
        <f>IFERROR(VLOOKUP(ILACLISTE[[#This Row],[NAME]],Table5[#All],2,0),"")</f>
        <v/>
      </c>
    </row>
    <row r="27" spans="1:3" x14ac:dyDescent="0.3">
      <c r="A27" s="5" t="s">
        <v>718</v>
      </c>
      <c r="B27" t="s">
        <v>6668</v>
      </c>
      <c r="C27" t="str">
        <f>IFERROR(VLOOKUP(ILACLISTE[[#This Row],[NAME]],Table5[#All],2,0),"")</f>
        <v/>
      </c>
    </row>
    <row r="28" spans="1:3" x14ac:dyDescent="0.3">
      <c r="A28" s="5" t="s">
        <v>719</v>
      </c>
      <c r="B28" t="s">
        <v>6669</v>
      </c>
      <c r="C28" t="str">
        <f>IFERROR(VLOOKUP(ILACLISTE[[#This Row],[NAME]],Table5[#All],2,0),"")</f>
        <v/>
      </c>
    </row>
    <row r="29" spans="1:3" x14ac:dyDescent="0.3">
      <c r="A29" s="5" t="s">
        <v>720</v>
      </c>
      <c r="B29" t="s">
        <v>6</v>
      </c>
      <c r="C29" t="str">
        <f>IFERROR(VLOOKUP(ILACLISTE[[#This Row],[NAME]],Table5[#All],2,0),"")</f>
        <v/>
      </c>
    </row>
    <row r="30" spans="1:3" x14ac:dyDescent="0.3">
      <c r="A30" s="5" t="s">
        <v>721</v>
      </c>
      <c r="B30" t="s">
        <v>6670</v>
      </c>
      <c r="C30" t="str">
        <f>IFERROR(VLOOKUP(ILACLISTE[[#This Row],[NAME]],Table5[#All],2,0),"")</f>
        <v/>
      </c>
    </row>
    <row r="31" spans="1:3" x14ac:dyDescent="0.3">
      <c r="A31" s="5" t="s">
        <v>722</v>
      </c>
      <c r="B31" t="s">
        <v>6671</v>
      </c>
      <c r="C31" t="str">
        <f>IFERROR(VLOOKUP(ILACLISTE[[#This Row],[NAME]],Table5[#All],2,0),"")</f>
        <v/>
      </c>
    </row>
    <row r="32" spans="1:3" x14ac:dyDescent="0.3">
      <c r="A32" s="5" t="s">
        <v>723</v>
      </c>
      <c r="B32" t="s">
        <v>6672</v>
      </c>
      <c r="C32" t="str">
        <f>IFERROR(VLOOKUP(ILACLISTE[[#This Row],[NAME]],Table5[#All],2,0),"")</f>
        <v/>
      </c>
    </row>
    <row r="33" spans="1:3" x14ac:dyDescent="0.3">
      <c r="A33" s="5" t="s">
        <v>724</v>
      </c>
      <c r="B33" t="s">
        <v>6673</v>
      </c>
      <c r="C33" t="str">
        <f>IFERROR(VLOOKUP(ILACLISTE[[#This Row],[NAME]],Table5[#All],2,0),"")</f>
        <v/>
      </c>
    </row>
    <row r="34" spans="1:3" x14ac:dyDescent="0.3">
      <c r="A34" s="5" t="s">
        <v>725</v>
      </c>
      <c r="B34" t="s">
        <v>6674</v>
      </c>
      <c r="C34" t="str">
        <f>IFERROR(VLOOKUP(ILACLISTE[[#This Row],[NAME]],Table5[#All],2,0),"")</f>
        <v/>
      </c>
    </row>
    <row r="35" spans="1:3" x14ac:dyDescent="0.3">
      <c r="A35" s="6" t="s">
        <v>726</v>
      </c>
      <c r="B35" t="s">
        <v>6675</v>
      </c>
      <c r="C35" t="str">
        <f>IFERROR(VLOOKUP(ILACLISTE[[#This Row],[NAME]],Table5[#All],2,0),"")</f>
        <v/>
      </c>
    </row>
    <row r="36" spans="1:3" x14ac:dyDescent="0.3">
      <c r="A36" s="5" t="s">
        <v>727</v>
      </c>
      <c r="B36" t="s">
        <v>6676</v>
      </c>
      <c r="C36" t="str">
        <f>IFERROR(VLOOKUP(ILACLISTE[[#This Row],[NAME]],Table5[#All],2,0),"")</f>
        <v/>
      </c>
    </row>
    <row r="37" spans="1:3" x14ac:dyDescent="0.3">
      <c r="A37" s="5" t="s">
        <v>728</v>
      </c>
      <c r="B37" t="s">
        <v>6677</v>
      </c>
      <c r="C37" t="str">
        <f>IFERROR(VLOOKUP(ILACLISTE[[#This Row],[NAME]],Table5[#All],2,0),"")</f>
        <v/>
      </c>
    </row>
    <row r="38" spans="1:3" x14ac:dyDescent="0.3">
      <c r="A38" s="5" t="s">
        <v>729</v>
      </c>
      <c r="B38" t="s">
        <v>6678</v>
      </c>
      <c r="C38" t="str">
        <f>IFERROR(VLOOKUP(ILACLISTE[[#This Row],[NAME]],Table5[#All],2,0),"")</f>
        <v/>
      </c>
    </row>
    <row r="39" spans="1:3" x14ac:dyDescent="0.3">
      <c r="A39" s="5" t="s">
        <v>730</v>
      </c>
      <c r="B39" t="s">
        <v>6679</v>
      </c>
      <c r="C39" t="str">
        <f>IFERROR(VLOOKUP(ILACLISTE[[#This Row],[NAME]],Table5[#All],2,0),"")</f>
        <v/>
      </c>
    </row>
    <row r="40" spans="1:3" x14ac:dyDescent="0.3">
      <c r="A40" s="5" t="s">
        <v>731</v>
      </c>
      <c r="B40" t="s">
        <v>6680</v>
      </c>
      <c r="C40" t="str">
        <f>IFERROR(VLOOKUP(ILACLISTE[[#This Row],[NAME]],Table5[#All],2,0),"")</f>
        <v/>
      </c>
    </row>
    <row r="41" spans="1:3" x14ac:dyDescent="0.3">
      <c r="A41" s="5" t="s">
        <v>732</v>
      </c>
      <c r="B41" t="s">
        <v>6681</v>
      </c>
      <c r="C41" t="str">
        <f>IFERROR(VLOOKUP(ILACLISTE[[#This Row],[NAME]],Table5[#All],2,0),"")</f>
        <v/>
      </c>
    </row>
    <row r="42" spans="1:3" x14ac:dyDescent="0.3">
      <c r="A42" s="5" t="s">
        <v>733</v>
      </c>
      <c r="B42" t="s">
        <v>6682</v>
      </c>
      <c r="C42" t="str">
        <f>IFERROR(VLOOKUP(ILACLISTE[[#This Row],[NAME]],Table5[#All],2,0),"")</f>
        <v/>
      </c>
    </row>
    <row r="43" spans="1:3" x14ac:dyDescent="0.3">
      <c r="A43" s="5" t="s">
        <v>734</v>
      </c>
      <c r="B43" t="s">
        <v>6683</v>
      </c>
      <c r="C43" t="str">
        <f>IFERROR(VLOOKUP(ILACLISTE[[#This Row],[NAME]],Table5[#All],2,0),"")</f>
        <v/>
      </c>
    </row>
    <row r="44" spans="1:3" x14ac:dyDescent="0.3">
      <c r="A44" s="5" t="s">
        <v>735</v>
      </c>
      <c r="B44" t="s">
        <v>6684</v>
      </c>
      <c r="C44" t="str">
        <f>IFERROR(VLOOKUP(ILACLISTE[[#This Row],[NAME]],Table5[#All],2,0),"")</f>
        <v/>
      </c>
    </row>
    <row r="45" spans="1:3" x14ac:dyDescent="0.3">
      <c r="A45" s="5" t="s">
        <v>736</v>
      </c>
      <c r="B45" t="s">
        <v>6685</v>
      </c>
      <c r="C45" t="str">
        <f>IFERROR(VLOOKUP(ILACLISTE[[#This Row],[NAME]],Table5[#All],2,0),"")</f>
        <v/>
      </c>
    </row>
    <row r="46" spans="1:3" x14ac:dyDescent="0.3">
      <c r="A46" s="5" t="s">
        <v>737</v>
      </c>
      <c r="B46" t="s">
        <v>6686</v>
      </c>
      <c r="C46" t="str">
        <f>IFERROR(VLOOKUP(ILACLISTE[[#This Row],[NAME]],Table5[#All],2,0),"")</f>
        <v/>
      </c>
    </row>
    <row r="47" spans="1:3" x14ac:dyDescent="0.3">
      <c r="A47" s="5" t="s">
        <v>738</v>
      </c>
      <c r="B47" t="s">
        <v>6687</v>
      </c>
      <c r="C47" t="str">
        <f>IFERROR(VLOOKUP(ILACLISTE[[#This Row],[NAME]],Table5[#All],2,0),"")</f>
        <v/>
      </c>
    </row>
    <row r="48" spans="1:3" x14ac:dyDescent="0.3">
      <c r="A48" s="5" t="s">
        <v>739</v>
      </c>
      <c r="B48" t="s">
        <v>7</v>
      </c>
      <c r="C48" t="str">
        <f>IFERROR(VLOOKUP(ILACLISTE[[#This Row],[NAME]],Table5[#All],2,0),"")</f>
        <v/>
      </c>
    </row>
    <row r="49" spans="1:3" x14ac:dyDescent="0.3">
      <c r="A49" s="5" t="s">
        <v>740</v>
      </c>
      <c r="B49" t="s">
        <v>6688</v>
      </c>
      <c r="C49" t="str">
        <f>IFERROR(VLOOKUP(ILACLISTE[[#This Row],[NAME]],Table5[#All],2,0),"")</f>
        <v/>
      </c>
    </row>
    <row r="50" spans="1:3" x14ac:dyDescent="0.3">
      <c r="A50" s="5" t="s">
        <v>741</v>
      </c>
      <c r="B50" t="s">
        <v>6689</v>
      </c>
      <c r="C50" t="str">
        <f>IFERROR(VLOOKUP(ILACLISTE[[#This Row],[NAME]],Table5[#All],2,0),"")</f>
        <v/>
      </c>
    </row>
    <row r="51" spans="1:3" x14ac:dyDescent="0.3">
      <c r="A51" s="5" t="s">
        <v>742</v>
      </c>
      <c r="B51" t="s">
        <v>6690</v>
      </c>
      <c r="C51" t="str">
        <f>IFERROR(VLOOKUP(ILACLISTE[[#This Row],[NAME]],Table5[#All],2,0),"")</f>
        <v/>
      </c>
    </row>
    <row r="52" spans="1:3" x14ac:dyDescent="0.3">
      <c r="A52" s="5" t="s">
        <v>743</v>
      </c>
      <c r="B52" t="s">
        <v>6691</v>
      </c>
      <c r="C52" t="str">
        <f>IFERROR(VLOOKUP(ILACLISTE[[#This Row],[NAME]],Table5[#All],2,0),"")</f>
        <v/>
      </c>
    </row>
    <row r="53" spans="1:3" x14ac:dyDescent="0.3">
      <c r="A53" s="5" t="s">
        <v>744</v>
      </c>
      <c r="B53" t="s">
        <v>6692</v>
      </c>
      <c r="C53" t="str">
        <f>IFERROR(VLOOKUP(ILACLISTE[[#This Row],[NAME]],Table5[#All],2,0),"")</f>
        <v/>
      </c>
    </row>
    <row r="54" spans="1:3" x14ac:dyDescent="0.3">
      <c r="A54" s="5" t="s">
        <v>745</v>
      </c>
      <c r="B54" t="s">
        <v>6693</v>
      </c>
      <c r="C54" t="str">
        <f>IFERROR(VLOOKUP(ILACLISTE[[#This Row],[NAME]],Table5[#All],2,0),"")</f>
        <v/>
      </c>
    </row>
    <row r="55" spans="1:3" x14ac:dyDescent="0.3">
      <c r="A55" s="5" t="s">
        <v>746</v>
      </c>
      <c r="B55" t="s">
        <v>6694</v>
      </c>
      <c r="C55" t="str">
        <f>IFERROR(VLOOKUP(ILACLISTE[[#This Row],[NAME]],Table5[#All],2,0),"")</f>
        <v/>
      </c>
    </row>
    <row r="56" spans="1:3" x14ac:dyDescent="0.3">
      <c r="A56" s="5" t="s">
        <v>747</v>
      </c>
      <c r="B56" t="s">
        <v>8</v>
      </c>
      <c r="C56" t="str">
        <f>IFERROR(VLOOKUP(ILACLISTE[[#This Row],[NAME]],Table5[#All],2,0),"")</f>
        <v/>
      </c>
    </row>
    <row r="57" spans="1:3" x14ac:dyDescent="0.3">
      <c r="A57" s="5" t="s">
        <v>748</v>
      </c>
      <c r="B57" t="s">
        <v>6695</v>
      </c>
      <c r="C57" t="str">
        <f>IFERROR(VLOOKUP(ILACLISTE[[#This Row],[NAME]],Table5[#All],2,0),"")</f>
        <v/>
      </c>
    </row>
    <row r="58" spans="1:3" x14ac:dyDescent="0.3">
      <c r="A58" s="5" t="s">
        <v>749</v>
      </c>
      <c r="B58" t="s">
        <v>6696</v>
      </c>
      <c r="C58" t="str">
        <f>IFERROR(VLOOKUP(ILACLISTE[[#This Row],[NAME]],Table5[#All],2,0),"")</f>
        <v/>
      </c>
    </row>
    <row r="59" spans="1:3" x14ac:dyDescent="0.3">
      <c r="A59" s="5" t="s">
        <v>750</v>
      </c>
      <c r="B59" t="s">
        <v>6697</v>
      </c>
      <c r="C59" t="str">
        <f>IFERROR(VLOOKUP(ILACLISTE[[#This Row],[NAME]],Table5[#All],2,0),"")</f>
        <v/>
      </c>
    </row>
    <row r="60" spans="1:3" x14ac:dyDescent="0.3">
      <c r="A60" s="5" t="s">
        <v>751</v>
      </c>
      <c r="B60" t="s">
        <v>6698</v>
      </c>
      <c r="C60" t="str">
        <f>IFERROR(VLOOKUP(ILACLISTE[[#This Row],[NAME]],Table5[#All],2,0),"")</f>
        <v/>
      </c>
    </row>
    <row r="61" spans="1:3" x14ac:dyDescent="0.3">
      <c r="A61" s="5" t="s">
        <v>752</v>
      </c>
      <c r="B61" t="s">
        <v>6699</v>
      </c>
      <c r="C61" t="str">
        <f>IFERROR(VLOOKUP(ILACLISTE[[#This Row],[NAME]],Table5[#All],2,0),"")</f>
        <v/>
      </c>
    </row>
    <row r="62" spans="1:3" x14ac:dyDescent="0.3">
      <c r="A62" s="5" t="s">
        <v>753</v>
      </c>
      <c r="B62" t="s">
        <v>6700</v>
      </c>
      <c r="C62" t="str">
        <f>IFERROR(VLOOKUP(ILACLISTE[[#This Row],[NAME]],Table5[#All],2,0),"")</f>
        <v/>
      </c>
    </row>
    <row r="63" spans="1:3" x14ac:dyDescent="0.3">
      <c r="A63" s="5" t="s">
        <v>754</v>
      </c>
      <c r="B63" t="s">
        <v>6701</v>
      </c>
      <c r="C63" t="str">
        <f>IFERROR(VLOOKUP(ILACLISTE[[#This Row],[NAME]],Table5[#All],2,0),"")</f>
        <v/>
      </c>
    </row>
    <row r="64" spans="1:3" x14ac:dyDescent="0.3">
      <c r="A64" s="5" t="s">
        <v>755</v>
      </c>
      <c r="B64" t="s">
        <v>6702</v>
      </c>
      <c r="C64" t="str">
        <f>IFERROR(VLOOKUP(ILACLISTE[[#This Row],[NAME]],Table5[#All],2,0),"")</f>
        <v/>
      </c>
    </row>
    <row r="65" spans="1:3" x14ac:dyDescent="0.3">
      <c r="A65" s="5" t="s">
        <v>756</v>
      </c>
      <c r="B65" t="s">
        <v>6703</v>
      </c>
      <c r="C65" t="str">
        <f>IFERROR(VLOOKUP(ILACLISTE[[#This Row],[NAME]],Table5[#All],2,0),"")</f>
        <v/>
      </c>
    </row>
    <row r="66" spans="1:3" x14ac:dyDescent="0.3">
      <c r="A66" s="5" t="s">
        <v>757</v>
      </c>
      <c r="B66" t="s">
        <v>6704</v>
      </c>
      <c r="C66" t="str">
        <f>IFERROR(VLOOKUP(ILACLISTE[[#This Row],[NAME]],Table5[#All],2,0),"")</f>
        <v/>
      </c>
    </row>
    <row r="67" spans="1:3" x14ac:dyDescent="0.3">
      <c r="A67" s="5" t="s">
        <v>758</v>
      </c>
      <c r="B67" t="s">
        <v>6705</v>
      </c>
      <c r="C67" t="str">
        <f>IFERROR(VLOOKUP(ILACLISTE[[#This Row],[NAME]],Table5[#All],2,0),"")</f>
        <v/>
      </c>
    </row>
    <row r="68" spans="1:3" x14ac:dyDescent="0.3">
      <c r="A68" s="5" t="s">
        <v>759</v>
      </c>
      <c r="B68" t="s">
        <v>6706</v>
      </c>
      <c r="C68" t="str">
        <f>IFERROR(VLOOKUP(ILACLISTE[[#This Row],[NAME]],Table5[#All],2,0),"")</f>
        <v/>
      </c>
    </row>
    <row r="69" spans="1:3" x14ac:dyDescent="0.3">
      <c r="A69" s="5" t="s">
        <v>760</v>
      </c>
      <c r="B69" t="s">
        <v>6707</v>
      </c>
      <c r="C69" t="str">
        <f>IFERROR(VLOOKUP(ILACLISTE[[#This Row],[NAME]],Table5[#All],2,0),"")</f>
        <v/>
      </c>
    </row>
    <row r="70" spans="1:3" x14ac:dyDescent="0.3">
      <c r="A70" s="5" t="s">
        <v>761</v>
      </c>
      <c r="B70" t="s">
        <v>6708</v>
      </c>
      <c r="C70" t="str">
        <f>IFERROR(VLOOKUP(ILACLISTE[[#This Row],[NAME]],Table5[#All],2,0),"")</f>
        <v/>
      </c>
    </row>
    <row r="71" spans="1:3" x14ac:dyDescent="0.3">
      <c r="A71" s="5" t="s">
        <v>762</v>
      </c>
      <c r="B71" t="s">
        <v>6709</v>
      </c>
      <c r="C71" t="str">
        <f>IFERROR(VLOOKUP(ILACLISTE[[#This Row],[NAME]],Table5[#All],2,0),"")</f>
        <v/>
      </c>
    </row>
    <row r="72" spans="1:3" x14ac:dyDescent="0.3">
      <c r="A72" s="5" t="s">
        <v>763</v>
      </c>
      <c r="B72" t="s">
        <v>6710</v>
      </c>
      <c r="C72" t="str">
        <f>IFERROR(VLOOKUP(ILACLISTE[[#This Row],[NAME]],Table5[#All],2,0),"")</f>
        <v/>
      </c>
    </row>
    <row r="73" spans="1:3" x14ac:dyDescent="0.3">
      <c r="A73" s="5" t="s">
        <v>764</v>
      </c>
      <c r="B73" t="s">
        <v>6711</v>
      </c>
      <c r="C73" t="str">
        <f>IFERROR(VLOOKUP(ILACLISTE[[#This Row],[NAME]],Table5[#All],2,0),"")</f>
        <v/>
      </c>
    </row>
    <row r="74" spans="1:3" x14ac:dyDescent="0.3">
      <c r="A74" s="5" t="s">
        <v>765</v>
      </c>
      <c r="B74" t="s">
        <v>6712</v>
      </c>
      <c r="C74" t="str">
        <f>IFERROR(VLOOKUP(ILACLISTE[[#This Row],[NAME]],Table5[#All],2,0),"")</f>
        <v/>
      </c>
    </row>
    <row r="75" spans="1:3" x14ac:dyDescent="0.3">
      <c r="A75" s="5" t="s">
        <v>766</v>
      </c>
      <c r="B75" t="s">
        <v>6713</v>
      </c>
      <c r="C75" t="str">
        <f>IFERROR(VLOOKUP(ILACLISTE[[#This Row],[NAME]],Table5[#All],2,0),"")</f>
        <v/>
      </c>
    </row>
    <row r="76" spans="1:3" x14ac:dyDescent="0.3">
      <c r="A76" s="5" t="s">
        <v>767</v>
      </c>
      <c r="B76" t="s">
        <v>6714</v>
      </c>
      <c r="C76" t="str">
        <f>IFERROR(VLOOKUP(ILACLISTE[[#This Row],[NAME]],Table5[#All],2,0),"")</f>
        <v/>
      </c>
    </row>
    <row r="77" spans="1:3" x14ac:dyDescent="0.3">
      <c r="A77" s="5" t="s">
        <v>768</v>
      </c>
      <c r="B77" t="s">
        <v>6715</v>
      </c>
      <c r="C77" t="str">
        <f>IFERROR(VLOOKUP(ILACLISTE[[#This Row],[NAME]],Table5[#All],2,0),"")</f>
        <v/>
      </c>
    </row>
    <row r="78" spans="1:3" x14ac:dyDescent="0.3">
      <c r="A78" s="5" t="s">
        <v>769</v>
      </c>
      <c r="B78" t="s">
        <v>6716</v>
      </c>
      <c r="C78" t="str">
        <f>IFERROR(VLOOKUP(ILACLISTE[[#This Row],[NAME]],Table5[#All],2,0),"")</f>
        <v/>
      </c>
    </row>
    <row r="79" spans="1:3" x14ac:dyDescent="0.3">
      <c r="A79" s="5" t="s">
        <v>770</v>
      </c>
      <c r="B79" t="s">
        <v>6717</v>
      </c>
      <c r="C79" t="str">
        <f>IFERROR(VLOOKUP(ILACLISTE[[#This Row],[NAME]],Table5[#All],2,0),"")</f>
        <v/>
      </c>
    </row>
    <row r="80" spans="1:3" x14ac:dyDescent="0.3">
      <c r="A80" s="5" t="s">
        <v>771</v>
      </c>
      <c r="B80" t="s">
        <v>6718</v>
      </c>
      <c r="C80" t="str">
        <f>IFERROR(VLOOKUP(ILACLISTE[[#This Row],[NAME]],Table5[#All],2,0),"")</f>
        <v/>
      </c>
    </row>
    <row r="81" spans="1:3" x14ac:dyDescent="0.3">
      <c r="A81" s="5" t="s">
        <v>772</v>
      </c>
      <c r="B81" t="s">
        <v>6718</v>
      </c>
      <c r="C81" t="str">
        <f>IFERROR(VLOOKUP(ILACLISTE[[#This Row],[NAME]],Table5[#All],2,0),"")</f>
        <v/>
      </c>
    </row>
    <row r="82" spans="1:3" x14ac:dyDescent="0.3">
      <c r="A82" s="5" t="s">
        <v>773</v>
      </c>
      <c r="B82" t="s">
        <v>6719</v>
      </c>
      <c r="C82" t="str">
        <f>IFERROR(VLOOKUP(ILACLISTE[[#This Row],[NAME]],Table5[#All],2,0),"")</f>
        <v/>
      </c>
    </row>
    <row r="83" spans="1:3" x14ac:dyDescent="0.3">
      <c r="A83" s="5" t="s">
        <v>774</v>
      </c>
      <c r="B83" t="s">
        <v>6719</v>
      </c>
      <c r="C83" t="str">
        <f>IFERROR(VLOOKUP(ILACLISTE[[#This Row],[NAME]],Table5[#All],2,0),"")</f>
        <v/>
      </c>
    </row>
    <row r="84" spans="1:3" x14ac:dyDescent="0.3">
      <c r="A84" s="5" t="s">
        <v>775</v>
      </c>
      <c r="B84" t="s">
        <v>6720</v>
      </c>
      <c r="C84" t="str">
        <f>IFERROR(VLOOKUP(ILACLISTE[[#This Row],[NAME]],Table5[#All],2,0),"")</f>
        <v/>
      </c>
    </row>
    <row r="85" spans="1:3" x14ac:dyDescent="0.3">
      <c r="A85" s="5" t="s">
        <v>776</v>
      </c>
      <c r="B85" t="s">
        <v>6720</v>
      </c>
      <c r="C85" t="str">
        <f>IFERROR(VLOOKUP(ILACLISTE[[#This Row],[NAME]],Table5[#All],2,0),"")</f>
        <v/>
      </c>
    </row>
    <row r="86" spans="1:3" x14ac:dyDescent="0.3">
      <c r="A86" s="5" t="s">
        <v>777</v>
      </c>
      <c r="B86" t="s">
        <v>6721</v>
      </c>
      <c r="C86" t="str">
        <f>IFERROR(VLOOKUP(ILACLISTE[[#This Row],[NAME]],Table5[#All],2,0),"")</f>
        <v/>
      </c>
    </row>
    <row r="87" spans="1:3" x14ac:dyDescent="0.3">
      <c r="A87" s="5" t="s">
        <v>778</v>
      </c>
      <c r="B87" t="s">
        <v>6722</v>
      </c>
      <c r="C87" t="str">
        <f>IFERROR(VLOOKUP(ILACLISTE[[#This Row],[NAME]],Table5[#All],2,0),"")</f>
        <v/>
      </c>
    </row>
    <row r="88" spans="1:3" ht="20.399999999999999" x14ac:dyDescent="0.3">
      <c r="A88" s="6" t="s">
        <v>779</v>
      </c>
      <c r="B88" t="s">
        <v>6723</v>
      </c>
      <c r="C88" t="str">
        <f>IFERROR(VLOOKUP(ILACLISTE[[#This Row],[NAME]],Table5[#All],2,0),"")</f>
        <v/>
      </c>
    </row>
    <row r="89" spans="1:3" ht="20.399999999999999" x14ac:dyDescent="0.3">
      <c r="A89" s="7" t="s">
        <v>780</v>
      </c>
      <c r="B89" t="s">
        <v>6724</v>
      </c>
      <c r="C89" t="str">
        <f>IFERROR(VLOOKUP(ILACLISTE[[#This Row],[NAME]],Table5[#All],2,0),"")</f>
        <v/>
      </c>
    </row>
    <row r="90" spans="1:3" x14ac:dyDescent="0.3">
      <c r="A90" s="5" t="s">
        <v>781</v>
      </c>
      <c r="B90" t="s">
        <v>6725</v>
      </c>
      <c r="C90" t="str">
        <f>IFERROR(VLOOKUP(ILACLISTE[[#This Row],[NAME]],Table5[#All],2,0),"")</f>
        <v/>
      </c>
    </row>
    <row r="91" spans="1:3" x14ac:dyDescent="0.3">
      <c r="A91" s="5" t="s">
        <v>782</v>
      </c>
      <c r="B91" t="s">
        <v>6726</v>
      </c>
      <c r="C91" t="str">
        <f>IFERROR(VLOOKUP(ILACLISTE[[#This Row],[NAME]],Table5[#All],2,0),"")</f>
        <v/>
      </c>
    </row>
    <row r="92" spans="1:3" x14ac:dyDescent="0.3">
      <c r="A92" s="5" t="s">
        <v>783</v>
      </c>
      <c r="B92" t="s">
        <v>9</v>
      </c>
      <c r="C92" t="str">
        <f>IFERROR(VLOOKUP(ILACLISTE[[#This Row],[NAME]],Table5[#All],2,0),"")</f>
        <v/>
      </c>
    </row>
    <row r="93" spans="1:3" x14ac:dyDescent="0.3">
      <c r="A93" s="5" t="s">
        <v>6727</v>
      </c>
      <c r="B93" t="s">
        <v>6728</v>
      </c>
      <c r="C93" t="str">
        <f>IFERROR(VLOOKUP(ILACLISTE[[#This Row],[NAME]],Table5[#All],2,0),"")</f>
        <v/>
      </c>
    </row>
    <row r="94" spans="1:3" x14ac:dyDescent="0.3">
      <c r="A94" s="5" t="s">
        <v>784</v>
      </c>
      <c r="B94" t="s">
        <v>6729</v>
      </c>
      <c r="C94" t="str">
        <f>IFERROR(VLOOKUP(ILACLISTE[[#This Row],[NAME]],Table5[#All],2,0),"")</f>
        <v/>
      </c>
    </row>
    <row r="95" spans="1:3" x14ac:dyDescent="0.3">
      <c r="A95" s="5" t="s">
        <v>785</v>
      </c>
      <c r="B95" t="s">
        <v>6730</v>
      </c>
      <c r="C95" t="str">
        <f>IFERROR(VLOOKUP(ILACLISTE[[#This Row],[NAME]],Table5[#All],2,0),"")</f>
        <v/>
      </c>
    </row>
    <row r="96" spans="1:3" x14ac:dyDescent="0.3">
      <c r="A96" s="5" t="s">
        <v>786</v>
      </c>
      <c r="B96" t="s">
        <v>6731</v>
      </c>
      <c r="C96" t="str">
        <f>IFERROR(VLOOKUP(ILACLISTE[[#This Row],[NAME]],Table5[#All],2,0),"")</f>
        <v/>
      </c>
    </row>
    <row r="97" spans="1:3" ht="20.399999999999999" x14ac:dyDescent="0.3">
      <c r="A97" s="7" t="s">
        <v>787</v>
      </c>
      <c r="B97" t="s">
        <v>6732</v>
      </c>
      <c r="C97" t="str">
        <f>IFERROR(VLOOKUP(ILACLISTE[[#This Row],[NAME]],Table5[#All],2,0),"")</f>
        <v/>
      </c>
    </row>
    <row r="98" spans="1:3" x14ac:dyDescent="0.3">
      <c r="A98" s="5" t="s">
        <v>788</v>
      </c>
      <c r="B98" t="s">
        <v>6733</v>
      </c>
      <c r="C98" t="str">
        <f>IFERROR(VLOOKUP(ILACLISTE[[#This Row],[NAME]],Table5[#All],2,0),"")</f>
        <v/>
      </c>
    </row>
    <row r="99" spans="1:3" x14ac:dyDescent="0.3">
      <c r="A99" s="5" t="s">
        <v>789</v>
      </c>
      <c r="B99" t="s">
        <v>6734</v>
      </c>
      <c r="C99" t="str">
        <f>IFERROR(VLOOKUP(ILACLISTE[[#This Row],[NAME]],Table5[#All],2,0),"")</f>
        <v/>
      </c>
    </row>
    <row r="100" spans="1:3" x14ac:dyDescent="0.3">
      <c r="A100" s="5" t="s">
        <v>790</v>
      </c>
      <c r="B100" t="s">
        <v>10</v>
      </c>
      <c r="C100" t="str">
        <f>IFERROR(VLOOKUP(ILACLISTE[[#This Row],[NAME]],Table5[#All],2,0),"")</f>
        <v/>
      </c>
    </row>
    <row r="101" spans="1:3" x14ac:dyDescent="0.3">
      <c r="A101" s="5" t="s">
        <v>791</v>
      </c>
      <c r="B101" t="s">
        <v>6735</v>
      </c>
      <c r="C101" t="str">
        <f>IFERROR(VLOOKUP(ILACLISTE[[#This Row],[NAME]],Table5[#All],2,0),"")</f>
        <v/>
      </c>
    </row>
    <row r="102" spans="1:3" x14ac:dyDescent="0.3">
      <c r="A102" s="5" t="s">
        <v>792</v>
      </c>
      <c r="B102" t="s">
        <v>6736</v>
      </c>
      <c r="C102" t="str">
        <f>IFERROR(VLOOKUP(ILACLISTE[[#This Row],[NAME]],Table5[#All],2,0),"")</f>
        <v/>
      </c>
    </row>
    <row r="103" spans="1:3" x14ac:dyDescent="0.3">
      <c r="A103" s="5" t="s">
        <v>793</v>
      </c>
      <c r="B103" t="s">
        <v>6737</v>
      </c>
      <c r="C103" t="str">
        <f>IFERROR(VLOOKUP(ILACLISTE[[#This Row],[NAME]],Table5[#All],2,0),"")</f>
        <v/>
      </c>
    </row>
    <row r="104" spans="1:3" x14ac:dyDescent="0.3">
      <c r="A104" s="5" t="s">
        <v>794</v>
      </c>
      <c r="B104" t="s">
        <v>6738</v>
      </c>
      <c r="C104" t="str">
        <f>IFERROR(VLOOKUP(ILACLISTE[[#This Row],[NAME]],Table5[#All],2,0),"")</f>
        <v/>
      </c>
    </row>
    <row r="105" spans="1:3" x14ac:dyDescent="0.3">
      <c r="A105" s="5" t="s">
        <v>795</v>
      </c>
      <c r="B105" t="s">
        <v>11</v>
      </c>
      <c r="C105" t="str">
        <f>IFERROR(VLOOKUP(ILACLISTE[[#This Row],[NAME]],Table5[#All],2,0),"")</f>
        <v/>
      </c>
    </row>
    <row r="106" spans="1:3" x14ac:dyDescent="0.3">
      <c r="A106" s="5" t="s">
        <v>796</v>
      </c>
      <c r="B106" t="s">
        <v>6739</v>
      </c>
      <c r="C106" t="str">
        <f>IFERROR(VLOOKUP(ILACLISTE[[#This Row],[NAME]],Table5[#All],2,0),"")</f>
        <v/>
      </c>
    </row>
    <row r="107" spans="1:3" x14ac:dyDescent="0.3">
      <c r="A107" s="5" t="s">
        <v>797</v>
      </c>
      <c r="B107" t="s">
        <v>6740</v>
      </c>
      <c r="C107" t="str">
        <f>IFERROR(VLOOKUP(ILACLISTE[[#This Row],[NAME]],Table5[#All],2,0),"")</f>
        <v/>
      </c>
    </row>
    <row r="108" spans="1:3" x14ac:dyDescent="0.3">
      <c r="A108" s="5" t="s">
        <v>798</v>
      </c>
      <c r="B108" t="s">
        <v>12</v>
      </c>
      <c r="C108" t="str">
        <f>IFERROR(VLOOKUP(ILACLISTE[[#This Row],[NAME]],Table5[#All],2,0),"")</f>
        <v/>
      </c>
    </row>
    <row r="109" spans="1:3" x14ac:dyDescent="0.3">
      <c r="A109" s="5" t="s">
        <v>799</v>
      </c>
      <c r="B109" t="s">
        <v>13</v>
      </c>
      <c r="C109" t="str">
        <f>IFERROR(VLOOKUP(ILACLISTE[[#This Row],[NAME]],Table5[#All],2,0),"")</f>
        <v/>
      </c>
    </row>
    <row r="110" spans="1:3" x14ac:dyDescent="0.3">
      <c r="A110" s="5" t="s">
        <v>800</v>
      </c>
      <c r="B110" t="s">
        <v>6741</v>
      </c>
      <c r="C110" t="str">
        <f>IFERROR(VLOOKUP(ILACLISTE[[#This Row],[NAME]],Table5[#All],2,0),"")</f>
        <v/>
      </c>
    </row>
    <row r="111" spans="1:3" x14ac:dyDescent="0.3">
      <c r="A111" s="5" t="s">
        <v>801</v>
      </c>
      <c r="B111" t="s">
        <v>6742</v>
      </c>
      <c r="C111" t="str">
        <f>IFERROR(VLOOKUP(ILACLISTE[[#This Row],[NAME]],Table5[#All],2,0),"")</f>
        <v/>
      </c>
    </row>
    <row r="112" spans="1:3" x14ac:dyDescent="0.3">
      <c r="A112" s="5" t="s">
        <v>802</v>
      </c>
      <c r="B112" t="s">
        <v>6743</v>
      </c>
      <c r="C112" t="str">
        <f>IFERROR(VLOOKUP(ILACLISTE[[#This Row],[NAME]],Table5[#All],2,0),"")</f>
        <v/>
      </c>
    </row>
    <row r="113" spans="1:3" x14ac:dyDescent="0.3">
      <c r="A113" s="5" t="s">
        <v>803</v>
      </c>
      <c r="B113" t="s">
        <v>6744</v>
      </c>
      <c r="C113" t="str">
        <f>IFERROR(VLOOKUP(ILACLISTE[[#This Row],[NAME]],Table5[#All],2,0),"")</f>
        <v/>
      </c>
    </row>
    <row r="114" spans="1:3" x14ac:dyDescent="0.3">
      <c r="A114" s="5" t="s">
        <v>804</v>
      </c>
      <c r="B114" t="s">
        <v>6745</v>
      </c>
      <c r="C114" t="str">
        <f>IFERROR(VLOOKUP(ILACLISTE[[#This Row],[NAME]],Table5[#All],2,0),"")</f>
        <v/>
      </c>
    </row>
    <row r="115" spans="1:3" x14ac:dyDescent="0.3">
      <c r="A115" s="5" t="s">
        <v>805</v>
      </c>
      <c r="B115" t="s">
        <v>6746</v>
      </c>
      <c r="C115" t="str">
        <f>IFERROR(VLOOKUP(ILACLISTE[[#This Row],[NAME]],Table5[#All],2,0),"")</f>
        <v/>
      </c>
    </row>
    <row r="116" spans="1:3" x14ac:dyDescent="0.3">
      <c r="A116" s="5" t="s">
        <v>806</v>
      </c>
      <c r="B116" t="s">
        <v>6747</v>
      </c>
      <c r="C116" t="str">
        <f>IFERROR(VLOOKUP(ILACLISTE[[#This Row],[NAME]],Table5[#All],2,0),"")</f>
        <v/>
      </c>
    </row>
    <row r="117" spans="1:3" x14ac:dyDescent="0.3">
      <c r="A117" s="5" t="s">
        <v>807</v>
      </c>
      <c r="B117" t="s">
        <v>6748</v>
      </c>
      <c r="C117" t="str">
        <f>IFERROR(VLOOKUP(ILACLISTE[[#This Row],[NAME]],Table5[#All],2,0),"")</f>
        <v/>
      </c>
    </row>
    <row r="118" spans="1:3" x14ac:dyDescent="0.3">
      <c r="A118" s="5" t="s">
        <v>808</v>
      </c>
      <c r="B118" t="s">
        <v>6749</v>
      </c>
      <c r="C118" t="str">
        <f>IFERROR(VLOOKUP(ILACLISTE[[#This Row],[NAME]],Table5[#All],2,0),"")</f>
        <v/>
      </c>
    </row>
    <row r="119" spans="1:3" x14ac:dyDescent="0.3">
      <c r="A119" s="5" t="s">
        <v>809</v>
      </c>
      <c r="B119" t="s">
        <v>6750</v>
      </c>
      <c r="C119" t="str">
        <f>IFERROR(VLOOKUP(ILACLISTE[[#This Row],[NAME]],Table5[#All],2,0),"")</f>
        <v/>
      </c>
    </row>
    <row r="120" spans="1:3" x14ac:dyDescent="0.3">
      <c r="A120" s="5" t="s">
        <v>810</v>
      </c>
      <c r="B120" t="s">
        <v>6751</v>
      </c>
      <c r="C120" t="str">
        <f>IFERROR(VLOOKUP(ILACLISTE[[#This Row],[NAME]],Table5[#All],2,0),"")</f>
        <v/>
      </c>
    </row>
    <row r="121" spans="1:3" x14ac:dyDescent="0.3">
      <c r="A121" s="5" t="s">
        <v>811</v>
      </c>
      <c r="B121" t="s">
        <v>14</v>
      </c>
      <c r="C121" t="str">
        <f>IFERROR(VLOOKUP(ILACLISTE[[#This Row],[NAME]],Table5[#All],2,0),"")</f>
        <v/>
      </c>
    </row>
    <row r="122" spans="1:3" x14ac:dyDescent="0.3">
      <c r="A122" s="5" t="s">
        <v>812</v>
      </c>
      <c r="B122" s="4" t="s">
        <v>15</v>
      </c>
      <c r="C122" t="str">
        <f>IFERROR(VLOOKUP(ILACLISTE[[#This Row],[NAME]],Table5[#All],2,0),"")</f>
        <v/>
      </c>
    </row>
    <row r="123" spans="1:3" x14ac:dyDescent="0.3">
      <c r="A123" s="5" t="s">
        <v>813</v>
      </c>
      <c r="B123" t="s">
        <v>6752</v>
      </c>
      <c r="C123" t="str">
        <f>IFERROR(VLOOKUP(ILACLISTE[[#This Row],[NAME]],Table5[#All],2,0),"")</f>
        <v/>
      </c>
    </row>
    <row r="124" spans="1:3" x14ac:dyDescent="0.3">
      <c r="A124" s="5" t="s">
        <v>814</v>
      </c>
      <c r="B124" t="s">
        <v>6753</v>
      </c>
      <c r="C124" t="str">
        <f>IFERROR(VLOOKUP(ILACLISTE[[#This Row],[NAME]],Table5[#All],2,0),"")</f>
        <v/>
      </c>
    </row>
    <row r="125" spans="1:3" x14ac:dyDescent="0.3">
      <c r="A125" s="5" t="s">
        <v>815</v>
      </c>
      <c r="B125" t="s">
        <v>16</v>
      </c>
      <c r="C125" t="str">
        <f>IFERROR(VLOOKUP(ILACLISTE[[#This Row],[NAME]],Table5[#All],2,0),"")</f>
        <v/>
      </c>
    </row>
    <row r="126" spans="1:3" x14ac:dyDescent="0.3">
      <c r="A126" s="5" t="s">
        <v>816</v>
      </c>
      <c r="B126" t="s">
        <v>6754</v>
      </c>
      <c r="C126" t="str">
        <f>IFERROR(VLOOKUP(ILACLISTE[[#This Row],[NAME]],Table5[#All],2,0),"")</f>
        <v/>
      </c>
    </row>
    <row r="127" spans="1:3" x14ac:dyDescent="0.3">
      <c r="A127" s="5" t="s">
        <v>817</v>
      </c>
      <c r="B127" t="s">
        <v>6755</v>
      </c>
      <c r="C127" t="str">
        <f>IFERROR(VLOOKUP(ILACLISTE[[#This Row],[NAME]],Table5[#All],2,0),"")</f>
        <v/>
      </c>
    </row>
    <row r="128" spans="1:3" x14ac:dyDescent="0.3">
      <c r="A128" s="5" t="s">
        <v>818</v>
      </c>
      <c r="B128" t="s">
        <v>6756</v>
      </c>
      <c r="C128" t="str">
        <f>IFERROR(VLOOKUP(ILACLISTE[[#This Row],[NAME]],Table5[#All],2,0),"")</f>
        <v/>
      </c>
    </row>
    <row r="129" spans="1:3" x14ac:dyDescent="0.3">
      <c r="A129" s="5" t="s">
        <v>819</v>
      </c>
      <c r="B129" t="s">
        <v>6757</v>
      </c>
      <c r="C129" t="str">
        <f>IFERROR(VLOOKUP(ILACLISTE[[#This Row],[NAME]],Table5[#All],2,0),"")</f>
        <v/>
      </c>
    </row>
    <row r="130" spans="1:3" x14ac:dyDescent="0.3">
      <c r="A130" s="5" t="s">
        <v>820</v>
      </c>
      <c r="B130" t="s">
        <v>6758</v>
      </c>
      <c r="C130" t="str">
        <f>IFERROR(VLOOKUP(ILACLISTE[[#This Row],[NAME]],Table5[#All],2,0),"")</f>
        <v/>
      </c>
    </row>
    <row r="131" spans="1:3" x14ac:dyDescent="0.3">
      <c r="A131" s="5" t="s">
        <v>821</v>
      </c>
      <c r="B131" t="s">
        <v>6759</v>
      </c>
      <c r="C131" t="str">
        <f>IFERROR(VLOOKUP(ILACLISTE[[#This Row],[NAME]],Table5[#All],2,0),"")</f>
        <v/>
      </c>
    </row>
    <row r="132" spans="1:3" x14ac:dyDescent="0.3">
      <c r="A132" s="5" t="s">
        <v>822</v>
      </c>
      <c r="B132" t="s">
        <v>6760</v>
      </c>
      <c r="C132" t="str">
        <f>IFERROR(VLOOKUP(ILACLISTE[[#This Row],[NAME]],Table5[#All],2,0),"")</f>
        <v/>
      </c>
    </row>
    <row r="133" spans="1:3" x14ac:dyDescent="0.3">
      <c r="A133" s="5" t="s">
        <v>823</v>
      </c>
      <c r="B133" t="s">
        <v>6761</v>
      </c>
      <c r="C133" t="str">
        <f>IFERROR(VLOOKUP(ILACLISTE[[#This Row],[NAME]],Table5[#All],2,0),"")</f>
        <v/>
      </c>
    </row>
    <row r="134" spans="1:3" x14ac:dyDescent="0.3">
      <c r="A134" s="5" t="s">
        <v>824</v>
      </c>
      <c r="B134" t="s">
        <v>6762</v>
      </c>
      <c r="C134" t="str">
        <f>IFERROR(VLOOKUP(ILACLISTE[[#This Row],[NAME]],Table5[#All],2,0),"")</f>
        <v/>
      </c>
    </row>
    <row r="135" spans="1:3" x14ac:dyDescent="0.3">
      <c r="A135" s="5" t="s">
        <v>825</v>
      </c>
      <c r="B135" t="s">
        <v>6763</v>
      </c>
      <c r="C135" t="str">
        <f>IFERROR(VLOOKUP(ILACLISTE[[#This Row],[NAME]],Table5[#All],2,0),"")</f>
        <v/>
      </c>
    </row>
    <row r="136" spans="1:3" x14ac:dyDescent="0.3">
      <c r="A136" s="5" t="s">
        <v>826</v>
      </c>
      <c r="B136" t="s">
        <v>6764</v>
      </c>
      <c r="C136" t="str">
        <f>IFERROR(VLOOKUP(ILACLISTE[[#This Row],[NAME]],Table5[#All],2,0),"")</f>
        <v/>
      </c>
    </row>
    <row r="137" spans="1:3" x14ac:dyDescent="0.3">
      <c r="A137" s="5" t="s">
        <v>827</v>
      </c>
      <c r="B137" t="s">
        <v>6765</v>
      </c>
      <c r="C137" t="str">
        <f>IFERROR(VLOOKUP(ILACLISTE[[#This Row],[NAME]],Table5[#All],2,0),"")</f>
        <v/>
      </c>
    </row>
    <row r="138" spans="1:3" x14ac:dyDescent="0.3">
      <c r="A138" s="5" t="s">
        <v>828</v>
      </c>
      <c r="B138" t="s">
        <v>6766</v>
      </c>
      <c r="C138" t="str">
        <f>IFERROR(VLOOKUP(ILACLISTE[[#This Row],[NAME]],Table5[#All],2,0),"")</f>
        <v/>
      </c>
    </row>
    <row r="139" spans="1:3" x14ac:dyDescent="0.3">
      <c r="A139" s="5" t="s">
        <v>829</v>
      </c>
      <c r="B139" t="s">
        <v>6767</v>
      </c>
      <c r="C139" t="str">
        <f>IFERROR(VLOOKUP(ILACLISTE[[#This Row],[NAME]],Table5[#All],2,0),"")</f>
        <v/>
      </c>
    </row>
    <row r="140" spans="1:3" x14ac:dyDescent="0.3">
      <c r="A140" s="5" t="s">
        <v>830</v>
      </c>
      <c r="B140" t="s">
        <v>6768</v>
      </c>
      <c r="C140" t="str">
        <f>IFERROR(VLOOKUP(ILACLISTE[[#This Row],[NAME]],Table5[#All],2,0),"")</f>
        <v/>
      </c>
    </row>
    <row r="141" spans="1:3" x14ac:dyDescent="0.3">
      <c r="A141" s="5" t="s">
        <v>831</v>
      </c>
      <c r="B141" t="s">
        <v>6769</v>
      </c>
      <c r="C141" t="str">
        <f>IFERROR(VLOOKUP(ILACLISTE[[#This Row],[NAME]],Table5[#All],2,0),"")</f>
        <v/>
      </c>
    </row>
    <row r="142" spans="1:3" x14ac:dyDescent="0.3">
      <c r="A142" s="5" t="s">
        <v>832</v>
      </c>
      <c r="B142" t="s">
        <v>6770</v>
      </c>
      <c r="C142" t="str">
        <f>IFERROR(VLOOKUP(ILACLISTE[[#This Row],[NAME]],Table5[#All],2,0),"")</f>
        <v/>
      </c>
    </row>
    <row r="143" spans="1:3" x14ac:dyDescent="0.3">
      <c r="A143" s="5" t="s">
        <v>833</v>
      </c>
      <c r="B143" t="s">
        <v>6771</v>
      </c>
      <c r="C143" t="str">
        <f>IFERROR(VLOOKUP(ILACLISTE[[#This Row],[NAME]],Table5[#All],2,0),"")</f>
        <v/>
      </c>
    </row>
    <row r="144" spans="1:3" x14ac:dyDescent="0.3">
      <c r="A144" s="5" t="s">
        <v>834</v>
      </c>
      <c r="B144" t="s">
        <v>6772</v>
      </c>
      <c r="C144" t="str">
        <f>IFERROR(VLOOKUP(ILACLISTE[[#This Row],[NAME]],Table5[#All],2,0),"")</f>
        <v/>
      </c>
    </row>
    <row r="145" spans="1:3" x14ac:dyDescent="0.3">
      <c r="A145" s="5" t="s">
        <v>835</v>
      </c>
      <c r="B145" t="s">
        <v>6773</v>
      </c>
      <c r="C145" t="str">
        <f>IFERROR(VLOOKUP(ILACLISTE[[#This Row],[NAME]],Table5[#All],2,0),"")</f>
        <v/>
      </c>
    </row>
    <row r="146" spans="1:3" x14ac:dyDescent="0.3">
      <c r="A146" s="5" t="s">
        <v>836</v>
      </c>
      <c r="B146" t="s">
        <v>6774</v>
      </c>
      <c r="C146" t="str">
        <f>IFERROR(VLOOKUP(ILACLISTE[[#This Row],[NAME]],Table5[#All],2,0),"")</f>
        <v/>
      </c>
    </row>
    <row r="147" spans="1:3" x14ac:dyDescent="0.3">
      <c r="A147" s="5" t="s">
        <v>837</v>
      </c>
      <c r="B147" t="s">
        <v>6775</v>
      </c>
      <c r="C147" t="str">
        <f>IFERROR(VLOOKUP(ILACLISTE[[#This Row],[NAME]],Table5[#All],2,0),"")</f>
        <v/>
      </c>
    </row>
    <row r="148" spans="1:3" x14ac:dyDescent="0.3">
      <c r="A148" s="5" t="s">
        <v>838</v>
      </c>
      <c r="B148" t="s">
        <v>6776</v>
      </c>
      <c r="C148" t="str">
        <f>IFERROR(VLOOKUP(ILACLISTE[[#This Row],[NAME]],Table5[#All],2,0),"")</f>
        <v/>
      </c>
    </row>
    <row r="149" spans="1:3" x14ac:dyDescent="0.3">
      <c r="A149" s="5" t="s">
        <v>839</v>
      </c>
      <c r="B149" t="s">
        <v>6777</v>
      </c>
      <c r="C149" t="str">
        <f>IFERROR(VLOOKUP(ILACLISTE[[#This Row],[NAME]],Table5[#All],2,0),"")</f>
        <v/>
      </c>
    </row>
    <row r="150" spans="1:3" x14ac:dyDescent="0.3">
      <c r="A150" s="5" t="s">
        <v>840</v>
      </c>
      <c r="B150" t="s">
        <v>6778</v>
      </c>
      <c r="C150" t="str">
        <f>IFERROR(VLOOKUP(ILACLISTE[[#This Row],[NAME]],Table5[#All],2,0),"")</f>
        <v/>
      </c>
    </row>
    <row r="151" spans="1:3" x14ac:dyDescent="0.3">
      <c r="A151" s="5" t="s">
        <v>841</v>
      </c>
      <c r="B151" t="s">
        <v>6779</v>
      </c>
      <c r="C151" t="str">
        <f>IFERROR(VLOOKUP(ILACLISTE[[#This Row],[NAME]],Table5[#All],2,0),"")</f>
        <v/>
      </c>
    </row>
    <row r="152" spans="1:3" x14ac:dyDescent="0.3">
      <c r="A152" s="5" t="s">
        <v>842</v>
      </c>
      <c r="B152" t="s">
        <v>6780</v>
      </c>
      <c r="C152" t="str">
        <f>IFERROR(VLOOKUP(ILACLISTE[[#This Row],[NAME]],Table5[#All],2,0),"")</f>
        <v/>
      </c>
    </row>
    <row r="153" spans="1:3" x14ac:dyDescent="0.3">
      <c r="A153" s="5" t="s">
        <v>843</v>
      </c>
      <c r="B153" t="s">
        <v>6781</v>
      </c>
      <c r="C153" t="str">
        <f>IFERROR(VLOOKUP(ILACLISTE[[#This Row],[NAME]],Table5[#All],2,0),"")</f>
        <v/>
      </c>
    </row>
    <row r="154" spans="1:3" x14ac:dyDescent="0.3">
      <c r="A154" s="5" t="s">
        <v>844</v>
      </c>
      <c r="B154" t="s">
        <v>6782</v>
      </c>
      <c r="C154" t="str">
        <f>IFERROR(VLOOKUP(ILACLISTE[[#This Row],[NAME]],Table5[#All],2,0),"")</f>
        <v/>
      </c>
    </row>
    <row r="155" spans="1:3" x14ac:dyDescent="0.3">
      <c r="A155" s="5" t="s">
        <v>845</v>
      </c>
      <c r="B155" t="s">
        <v>6783</v>
      </c>
      <c r="C155" t="str">
        <f>IFERROR(VLOOKUP(ILACLISTE[[#This Row],[NAME]],Table5[#All],2,0),"")</f>
        <v/>
      </c>
    </row>
    <row r="156" spans="1:3" x14ac:dyDescent="0.3">
      <c r="A156" s="5" t="s">
        <v>846</v>
      </c>
      <c r="B156" t="s">
        <v>6784</v>
      </c>
      <c r="C156" t="str">
        <f>IFERROR(VLOOKUP(ILACLISTE[[#This Row],[NAME]],Table5[#All],2,0),"")</f>
        <v/>
      </c>
    </row>
    <row r="157" spans="1:3" x14ac:dyDescent="0.3">
      <c r="A157" s="5" t="s">
        <v>847</v>
      </c>
      <c r="B157" t="s">
        <v>6785</v>
      </c>
      <c r="C157" t="str">
        <f>IFERROR(VLOOKUP(ILACLISTE[[#This Row],[NAME]],Table5[#All],2,0),"")</f>
        <v/>
      </c>
    </row>
    <row r="158" spans="1:3" x14ac:dyDescent="0.3">
      <c r="A158" s="5" t="s">
        <v>848</v>
      </c>
      <c r="B158" t="s">
        <v>6786</v>
      </c>
      <c r="C158" t="str">
        <f>IFERROR(VLOOKUP(ILACLISTE[[#This Row],[NAME]],Table5[#All],2,0),"")</f>
        <v/>
      </c>
    </row>
    <row r="159" spans="1:3" x14ac:dyDescent="0.3">
      <c r="A159" s="5" t="s">
        <v>849</v>
      </c>
      <c r="B159" t="s">
        <v>6787</v>
      </c>
      <c r="C159" t="str">
        <f>IFERROR(VLOOKUP(ILACLISTE[[#This Row],[NAME]],Table5[#All],2,0),"")</f>
        <v/>
      </c>
    </row>
    <row r="160" spans="1:3" x14ac:dyDescent="0.3">
      <c r="A160" s="5" t="s">
        <v>850</v>
      </c>
      <c r="B160" t="s">
        <v>6788</v>
      </c>
      <c r="C160" t="str">
        <f>IFERROR(VLOOKUP(ILACLISTE[[#This Row],[NAME]],Table5[#All],2,0),"")</f>
        <v/>
      </c>
    </row>
    <row r="161" spans="1:3" x14ac:dyDescent="0.3">
      <c r="A161" s="5" t="s">
        <v>851</v>
      </c>
      <c r="B161" t="s">
        <v>6789</v>
      </c>
      <c r="C161" t="str">
        <f>IFERROR(VLOOKUP(ILACLISTE[[#This Row],[NAME]],Table5[#All],2,0),"")</f>
        <v/>
      </c>
    </row>
    <row r="162" spans="1:3" x14ac:dyDescent="0.3">
      <c r="A162" s="5" t="s">
        <v>852</v>
      </c>
      <c r="B162" t="s">
        <v>6790</v>
      </c>
      <c r="C162" t="str">
        <f>IFERROR(VLOOKUP(ILACLISTE[[#This Row],[NAME]],Table5[#All],2,0),"")</f>
        <v/>
      </c>
    </row>
    <row r="163" spans="1:3" x14ac:dyDescent="0.3">
      <c r="A163" s="5" t="s">
        <v>853</v>
      </c>
      <c r="B163" t="s">
        <v>6791</v>
      </c>
      <c r="C163" t="str">
        <f>IFERROR(VLOOKUP(ILACLISTE[[#This Row],[NAME]],Table5[#All],2,0),"")</f>
        <v/>
      </c>
    </row>
    <row r="164" spans="1:3" x14ac:dyDescent="0.3">
      <c r="A164" s="5" t="s">
        <v>854</v>
      </c>
      <c r="B164" t="s">
        <v>6792</v>
      </c>
      <c r="C164" t="str">
        <f>IFERROR(VLOOKUP(ILACLISTE[[#This Row],[NAME]],Table5[#All],2,0),"")</f>
        <v/>
      </c>
    </row>
    <row r="165" spans="1:3" x14ac:dyDescent="0.3">
      <c r="A165" s="5" t="s">
        <v>855</v>
      </c>
      <c r="B165" t="s">
        <v>6793</v>
      </c>
      <c r="C165" t="str">
        <f>IFERROR(VLOOKUP(ILACLISTE[[#This Row],[NAME]],Table5[#All],2,0),"")</f>
        <v/>
      </c>
    </row>
    <row r="166" spans="1:3" x14ac:dyDescent="0.3">
      <c r="A166" s="5" t="s">
        <v>856</v>
      </c>
      <c r="B166" t="s">
        <v>6794</v>
      </c>
      <c r="C166" t="str">
        <f>IFERROR(VLOOKUP(ILACLISTE[[#This Row],[NAME]],Table5[#All],2,0),"")</f>
        <v/>
      </c>
    </row>
    <row r="167" spans="1:3" x14ac:dyDescent="0.3">
      <c r="A167" s="5" t="s">
        <v>857</v>
      </c>
      <c r="B167" t="s">
        <v>6795</v>
      </c>
      <c r="C167" t="str">
        <f>IFERROR(VLOOKUP(ILACLISTE[[#This Row],[NAME]],Table5[#All],2,0),"")</f>
        <v/>
      </c>
    </row>
    <row r="168" spans="1:3" x14ac:dyDescent="0.3">
      <c r="A168" s="5" t="s">
        <v>858</v>
      </c>
      <c r="B168" t="s">
        <v>6796</v>
      </c>
      <c r="C168" t="str">
        <f>IFERROR(VLOOKUP(ILACLISTE[[#This Row],[NAME]],Table5[#All],2,0),"")</f>
        <v/>
      </c>
    </row>
    <row r="169" spans="1:3" x14ac:dyDescent="0.3">
      <c r="A169" s="5" t="s">
        <v>859</v>
      </c>
      <c r="B169" t="s">
        <v>6797</v>
      </c>
      <c r="C169" t="str">
        <f>IFERROR(VLOOKUP(ILACLISTE[[#This Row],[NAME]],Table5[#All],2,0),"")</f>
        <v/>
      </c>
    </row>
    <row r="170" spans="1:3" x14ac:dyDescent="0.3">
      <c r="A170" s="5" t="s">
        <v>860</v>
      </c>
      <c r="B170" t="s">
        <v>6798</v>
      </c>
      <c r="C170" t="str">
        <f>IFERROR(VLOOKUP(ILACLISTE[[#This Row],[NAME]],Table5[#All],2,0),"")</f>
        <v/>
      </c>
    </row>
    <row r="171" spans="1:3" x14ac:dyDescent="0.3">
      <c r="A171" s="5" t="s">
        <v>861</v>
      </c>
      <c r="B171" t="s">
        <v>6799</v>
      </c>
      <c r="C171" t="str">
        <f>IFERROR(VLOOKUP(ILACLISTE[[#This Row],[NAME]],Table5[#All],2,0),"")</f>
        <v/>
      </c>
    </row>
    <row r="172" spans="1:3" x14ac:dyDescent="0.3">
      <c r="A172" s="5" t="s">
        <v>862</v>
      </c>
      <c r="B172" t="s">
        <v>6800</v>
      </c>
      <c r="C172" t="str">
        <f>IFERROR(VLOOKUP(ILACLISTE[[#This Row],[NAME]],Table5[#All],2,0),"")</f>
        <v/>
      </c>
    </row>
    <row r="173" spans="1:3" x14ac:dyDescent="0.3">
      <c r="A173" s="5" t="s">
        <v>863</v>
      </c>
      <c r="B173" t="s">
        <v>6801</v>
      </c>
      <c r="C173" t="str">
        <f>IFERROR(VLOOKUP(ILACLISTE[[#This Row],[NAME]],Table5[#All],2,0),"")</f>
        <v/>
      </c>
    </row>
    <row r="174" spans="1:3" x14ac:dyDescent="0.3">
      <c r="A174" s="5" t="s">
        <v>864</v>
      </c>
      <c r="B174" t="s">
        <v>6802</v>
      </c>
      <c r="C174" t="str">
        <f>IFERROR(VLOOKUP(ILACLISTE[[#This Row],[NAME]],Table5[#All],2,0),"")</f>
        <v/>
      </c>
    </row>
    <row r="175" spans="1:3" x14ac:dyDescent="0.3">
      <c r="A175" s="5" t="s">
        <v>865</v>
      </c>
      <c r="B175" t="s">
        <v>6803</v>
      </c>
      <c r="C175" t="str">
        <f>IFERROR(VLOOKUP(ILACLISTE[[#This Row],[NAME]],Table5[#All],2,0),"")</f>
        <v/>
      </c>
    </row>
    <row r="176" spans="1:3" x14ac:dyDescent="0.3">
      <c r="A176" s="5" t="s">
        <v>866</v>
      </c>
      <c r="B176" t="s">
        <v>6804</v>
      </c>
      <c r="C176" t="str">
        <f>IFERROR(VLOOKUP(ILACLISTE[[#This Row],[NAME]],Table5[#All],2,0),"")</f>
        <v/>
      </c>
    </row>
    <row r="177" spans="1:3" x14ac:dyDescent="0.3">
      <c r="A177" s="5" t="s">
        <v>867</v>
      </c>
      <c r="B177" t="s">
        <v>6805</v>
      </c>
      <c r="C177" t="str">
        <f>IFERROR(VLOOKUP(ILACLISTE[[#This Row],[NAME]],Table5[#All],2,0),"")</f>
        <v/>
      </c>
    </row>
    <row r="178" spans="1:3" x14ac:dyDescent="0.3">
      <c r="A178" s="5" t="s">
        <v>868</v>
      </c>
      <c r="B178" t="s">
        <v>6806</v>
      </c>
      <c r="C178" t="str">
        <f>IFERROR(VLOOKUP(ILACLISTE[[#This Row],[NAME]],Table5[#All],2,0),"")</f>
        <v/>
      </c>
    </row>
    <row r="179" spans="1:3" x14ac:dyDescent="0.3">
      <c r="A179" s="5" t="s">
        <v>869</v>
      </c>
      <c r="B179" t="s">
        <v>6807</v>
      </c>
      <c r="C179" t="str">
        <f>IFERROR(VLOOKUP(ILACLISTE[[#This Row],[NAME]],Table5[#All],2,0),"")</f>
        <v/>
      </c>
    </row>
    <row r="180" spans="1:3" x14ac:dyDescent="0.3">
      <c r="A180" s="5" t="s">
        <v>870</v>
      </c>
      <c r="B180" t="s">
        <v>6808</v>
      </c>
      <c r="C180" t="str">
        <f>IFERROR(VLOOKUP(ILACLISTE[[#This Row],[NAME]],Table5[#All],2,0),"")</f>
        <v/>
      </c>
    </row>
    <row r="181" spans="1:3" x14ac:dyDescent="0.3">
      <c r="A181" s="5" t="s">
        <v>871</v>
      </c>
      <c r="B181" t="s">
        <v>17</v>
      </c>
      <c r="C181" t="str">
        <f>IFERROR(VLOOKUP(ILACLISTE[[#This Row],[NAME]],Table5[#All],2,0),"")</f>
        <v/>
      </c>
    </row>
    <row r="182" spans="1:3" ht="20.399999999999999" x14ac:dyDescent="0.3">
      <c r="A182" s="6" t="s">
        <v>872</v>
      </c>
      <c r="B182" t="s">
        <v>6809</v>
      </c>
      <c r="C182" t="str">
        <f>IFERROR(VLOOKUP(ILACLISTE[[#This Row],[NAME]],Table5[#All],2,0),"")</f>
        <v/>
      </c>
    </row>
    <row r="183" spans="1:3" x14ac:dyDescent="0.3">
      <c r="A183" s="5" t="s">
        <v>873</v>
      </c>
      <c r="B183" t="s">
        <v>6810</v>
      </c>
      <c r="C183" t="str">
        <f>IFERROR(VLOOKUP(ILACLISTE[[#This Row],[NAME]],Table5[#All],2,0),"")</f>
        <v/>
      </c>
    </row>
    <row r="184" spans="1:3" x14ac:dyDescent="0.3">
      <c r="A184" s="5" t="s">
        <v>874</v>
      </c>
      <c r="B184" t="s">
        <v>6811</v>
      </c>
      <c r="C184" t="str">
        <f>IFERROR(VLOOKUP(ILACLISTE[[#This Row],[NAME]],Table5[#All],2,0),"")</f>
        <v/>
      </c>
    </row>
    <row r="185" spans="1:3" x14ac:dyDescent="0.3">
      <c r="A185" s="5" t="s">
        <v>875</v>
      </c>
      <c r="B185" t="s">
        <v>18</v>
      </c>
      <c r="C185" t="str">
        <f>IFERROR(VLOOKUP(ILACLISTE[[#This Row],[NAME]],Table5[#All],2,0),"")</f>
        <v/>
      </c>
    </row>
    <row r="186" spans="1:3" x14ac:dyDescent="0.3">
      <c r="A186" s="5" t="s">
        <v>876</v>
      </c>
      <c r="B186" t="s">
        <v>19</v>
      </c>
      <c r="C186" t="str">
        <f>IFERROR(VLOOKUP(ILACLISTE[[#This Row],[NAME]],Table5[#All],2,0),"")</f>
        <v/>
      </c>
    </row>
    <row r="187" spans="1:3" x14ac:dyDescent="0.3">
      <c r="A187" s="5" t="s">
        <v>877</v>
      </c>
      <c r="B187" t="s">
        <v>6812</v>
      </c>
      <c r="C187" t="str">
        <f>IFERROR(VLOOKUP(ILACLISTE[[#This Row],[NAME]],Table5[#All],2,0),"")</f>
        <v/>
      </c>
    </row>
    <row r="188" spans="1:3" x14ac:dyDescent="0.3">
      <c r="A188" s="5" t="s">
        <v>878</v>
      </c>
      <c r="B188" t="s">
        <v>6813</v>
      </c>
      <c r="C188" t="str">
        <f>IFERROR(VLOOKUP(ILACLISTE[[#This Row],[NAME]],Table5[#All],2,0),"")</f>
        <v/>
      </c>
    </row>
    <row r="189" spans="1:3" x14ac:dyDescent="0.3">
      <c r="A189" s="5" t="s">
        <v>879</v>
      </c>
      <c r="B189" t="s">
        <v>6814</v>
      </c>
      <c r="C189" t="str">
        <f>IFERROR(VLOOKUP(ILACLISTE[[#This Row],[NAME]],Table5[#All],2,0),"")</f>
        <v/>
      </c>
    </row>
    <row r="190" spans="1:3" x14ac:dyDescent="0.3">
      <c r="A190" s="5" t="s">
        <v>880</v>
      </c>
      <c r="B190" t="s">
        <v>20</v>
      </c>
      <c r="C190" t="str">
        <f>IFERROR(VLOOKUP(ILACLISTE[[#This Row],[NAME]],Table5[#All],2,0),"")</f>
        <v/>
      </c>
    </row>
    <row r="191" spans="1:3" x14ac:dyDescent="0.3">
      <c r="A191" s="5" t="s">
        <v>881</v>
      </c>
      <c r="B191" t="s">
        <v>6815</v>
      </c>
      <c r="C191" t="str">
        <f>IFERROR(VLOOKUP(ILACLISTE[[#This Row],[NAME]],Table5[#All],2,0),"")</f>
        <v/>
      </c>
    </row>
    <row r="192" spans="1:3" x14ac:dyDescent="0.3">
      <c r="A192" s="5" t="s">
        <v>882</v>
      </c>
      <c r="B192" t="s">
        <v>6816</v>
      </c>
      <c r="C192" t="str">
        <f>IFERROR(VLOOKUP(ILACLISTE[[#This Row],[NAME]],Table5[#All],2,0),"")</f>
        <v/>
      </c>
    </row>
    <row r="193" spans="1:3" x14ac:dyDescent="0.3">
      <c r="A193" s="5" t="s">
        <v>883</v>
      </c>
      <c r="B193" t="s">
        <v>6817</v>
      </c>
      <c r="C193" t="str">
        <f>IFERROR(VLOOKUP(ILACLISTE[[#This Row],[NAME]],Table5[#All],2,0),"")</f>
        <v/>
      </c>
    </row>
    <row r="194" spans="1:3" ht="20.399999999999999" x14ac:dyDescent="0.3">
      <c r="A194" s="6" t="s">
        <v>884</v>
      </c>
      <c r="B194" t="s">
        <v>6818</v>
      </c>
      <c r="C194" t="str">
        <f>IFERROR(VLOOKUP(ILACLISTE[[#This Row],[NAME]],Table5[#All],2,0),"")</f>
        <v/>
      </c>
    </row>
    <row r="195" spans="1:3" x14ac:dyDescent="0.3">
      <c r="A195" s="5" t="s">
        <v>885</v>
      </c>
      <c r="B195" t="s">
        <v>21</v>
      </c>
      <c r="C195" t="str">
        <f>IFERROR(VLOOKUP(ILACLISTE[[#This Row],[NAME]],Table5[#All],2,0),"")</f>
        <v/>
      </c>
    </row>
    <row r="196" spans="1:3" x14ac:dyDescent="0.3">
      <c r="A196" s="5" t="s">
        <v>886</v>
      </c>
      <c r="B196" t="s">
        <v>6819</v>
      </c>
      <c r="C196" t="str">
        <f>IFERROR(VLOOKUP(ILACLISTE[[#This Row],[NAME]],Table5[#All],2,0),"")</f>
        <v/>
      </c>
    </row>
    <row r="197" spans="1:3" x14ac:dyDescent="0.3">
      <c r="A197" s="5" t="s">
        <v>887</v>
      </c>
      <c r="B197" t="s">
        <v>22</v>
      </c>
      <c r="C197" t="str">
        <f>IFERROR(VLOOKUP(ILACLISTE[[#This Row],[NAME]],Table5[#All],2,0),"")</f>
        <v/>
      </c>
    </row>
    <row r="198" spans="1:3" x14ac:dyDescent="0.3">
      <c r="A198" s="5" t="s">
        <v>888</v>
      </c>
      <c r="B198" t="s">
        <v>6820</v>
      </c>
      <c r="C198" t="str">
        <f>IFERROR(VLOOKUP(ILACLISTE[[#This Row],[NAME]],Table5[#All],2,0),"")</f>
        <v/>
      </c>
    </row>
    <row r="199" spans="1:3" x14ac:dyDescent="0.3">
      <c r="A199" s="5" t="s">
        <v>889</v>
      </c>
      <c r="B199" t="s">
        <v>6821</v>
      </c>
      <c r="C199" t="str">
        <f>IFERROR(VLOOKUP(ILACLISTE[[#This Row],[NAME]],Table5[#All],2,0),"")</f>
        <v/>
      </c>
    </row>
    <row r="200" spans="1:3" x14ac:dyDescent="0.3">
      <c r="A200" s="5" t="s">
        <v>890</v>
      </c>
      <c r="B200" t="s">
        <v>6822</v>
      </c>
      <c r="C200" t="str">
        <f>IFERROR(VLOOKUP(ILACLISTE[[#This Row],[NAME]],Table5[#All],2,0),"")</f>
        <v/>
      </c>
    </row>
    <row r="201" spans="1:3" x14ac:dyDescent="0.3">
      <c r="A201" s="5" t="s">
        <v>891</v>
      </c>
      <c r="B201" t="s">
        <v>6823</v>
      </c>
      <c r="C201" t="str">
        <f>IFERROR(VLOOKUP(ILACLISTE[[#This Row],[NAME]],Table5[#All],2,0),"")</f>
        <v/>
      </c>
    </row>
    <row r="202" spans="1:3" x14ac:dyDescent="0.3">
      <c r="A202" s="5" t="s">
        <v>892</v>
      </c>
      <c r="B202" t="s">
        <v>6824</v>
      </c>
      <c r="C202" t="str">
        <f>IFERROR(VLOOKUP(ILACLISTE[[#This Row],[NAME]],Table5[#All],2,0),"")</f>
        <v/>
      </c>
    </row>
    <row r="203" spans="1:3" x14ac:dyDescent="0.3">
      <c r="A203" s="5" t="s">
        <v>893</v>
      </c>
      <c r="B203" t="s">
        <v>6825</v>
      </c>
      <c r="C203" t="str">
        <f>IFERROR(VLOOKUP(ILACLISTE[[#This Row],[NAME]],Table5[#All],2,0),"")</f>
        <v/>
      </c>
    </row>
    <row r="204" spans="1:3" x14ac:dyDescent="0.3">
      <c r="A204" s="5" t="s">
        <v>894</v>
      </c>
      <c r="B204" t="s">
        <v>6826</v>
      </c>
      <c r="C204" t="str">
        <f>IFERROR(VLOOKUP(ILACLISTE[[#This Row],[NAME]],Table5[#All],2,0),"")</f>
        <v/>
      </c>
    </row>
    <row r="205" spans="1:3" x14ac:dyDescent="0.3">
      <c r="A205" s="5" t="s">
        <v>895</v>
      </c>
      <c r="B205" t="s">
        <v>6827</v>
      </c>
      <c r="C205" t="str">
        <f>IFERROR(VLOOKUP(ILACLISTE[[#This Row],[NAME]],Table5[#All],2,0),"")</f>
        <v/>
      </c>
    </row>
    <row r="206" spans="1:3" x14ac:dyDescent="0.3">
      <c r="A206" s="5" t="s">
        <v>896</v>
      </c>
      <c r="B206" t="s">
        <v>6828</v>
      </c>
      <c r="C206" t="str">
        <f>IFERROR(VLOOKUP(ILACLISTE[[#This Row],[NAME]],Table5[#All],2,0),"")</f>
        <v/>
      </c>
    </row>
    <row r="207" spans="1:3" x14ac:dyDescent="0.3">
      <c r="A207" s="5" t="s">
        <v>897</v>
      </c>
      <c r="B207" t="s">
        <v>6829</v>
      </c>
      <c r="C207" t="str">
        <f>IFERROR(VLOOKUP(ILACLISTE[[#This Row],[NAME]],Table5[#All],2,0),"")</f>
        <v/>
      </c>
    </row>
    <row r="208" spans="1:3" x14ac:dyDescent="0.3">
      <c r="A208" s="5" t="s">
        <v>898</v>
      </c>
      <c r="B208" t="s">
        <v>6830</v>
      </c>
      <c r="C208" t="str">
        <f>IFERROR(VLOOKUP(ILACLISTE[[#This Row],[NAME]],Table5[#All],2,0),"")</f>
        <v/>
      </c>
    </row>
    <row r="209" spans="1:3" x14ac:dyDescent="0.3">
      <c r="A209" s="5" t="s">
        <v>899</v>
      </c>
      <c r="B209" t="s">
        <v>6831</v>
      </c>
      <c r="C209" t="str">
        <f>IFERROR(VLOOKUP(ILACLISTE[[#This Row],[NAME]],Table5[#All],2,0),"")</f>
        <v/>
      </c>
    </row>
    <row r="210" spans="1:3" x14ac:dyDescent="0.3">
      <c r="A210" s="5" t="s">
        <v>900</v>
      </c>
      <c r="B210" t="s">
        <v>6832</v>
      </c>
      <c r="C210" t="str">
        <f>IFERROR(VLOOKUP(ILACLISTE[[#This Row],[NAME]],Table5[#All],2,0),"")</f>
        <v/>
      </c>
    </row>
    <row r="211" spans="1:3" x14ac:dyDescent="0.3">
      <c r="A211" s="5" t="s">
        <v>901</v>
      </c>
      <c r="B211" t="s">
        <v>6833</v>
      </c>
      <c r="C211" t="str">
        <f>IFERROR(VLOOKUP(ILACLISTE[[#This Row],[NAME]],Table5[#All],2,0),"")</f>
        <v/>
      </c>
    </row>
    <row r="212" spans="1:3" x14ac:dyDescent="0.3">
      <c r="A212" s="5" t="s">
        <v>902</v>
      </c>
      <c r="B212" t="s">
        <v>6834</v>
      </c>
      <c r="C212" t="str">
        <f>IFERROR(VLOOKUP(ILACLISTE[[#This Row],[NAME]],Table5[#All],2,0),"")</f>
        <v/>
      </c>
    </row>
    <row r="213" spans="1:3" x14ac:dyDescent="0.3">
      <c r="A213" s="5" t="s">
        <v>903</v>
      </c>
      <c r="B213" t="s">
        <v>6835</v>
      </c>
      <c r="C213" t="str">
        <f>IFERROR(VLOOKUP(ILACLISTE[[#This Row],[NAME]],Table5[#All],2,0),"")</f>
        <v/>
      </c>
    </row>
    <row r="214" spans="1:3" x14ac:dyDescent="0.3">
      <c r="A214" s="5" t="s">
        <v>904</v>
      </c>
      <c r="B214" t="s">
        <v>6836</v>
      </c>
      <c r="C214" t="str">
        <f>IFERROR(VLOOKUP(ILACLISTE[[#This Row],[NAME]],Table5[#All],2,0),"")</f>
        <v/>
      </c>
    </row>
    <row r="215" spans="1:3" x14ac:dyDescent="0.3">
      <c r="A215" s="5" t="s">
        <v>905</v>
      </c>
      <c r="B215" t="s">
        <v>6837</v>
      </c>
      <c r="C215" t="str">
        <f>IFERROR(VLOOKUP(ILACLISTE[[#This Row],[NAME]],Table5[#All],2,0),"")</f>
        <v/>
      </c>
    </row>
    <row r="216" spans="1:3" x14ac:dyDescent="0.3">
      <c r="A216" s="5" t="s">
        <v>906</v>
      </c>
      <c r="B216" t="s">
        <v>6838</v>
      </c>
      <c r="C216" t="str">
        <f>IFERROR(VLOOKUP(ILACLISTE[[#This Row],[NAME]],Table5[#All],2,0),"")</f>
        <v/>
      </c>
    </row>
    <row r="217" spans="1:3" x14ac:dyDescent="0.3">
      <c r="A217" s="5" t="s">
        <v>907</v>
      </c>
      <c r="B217" t="s">
        <v>6839</v>
      </c>
      <c r="C217" t="str">
        <f>IFERROR(VLOOKUP(ILACLISTE[[#This Row],[NAME]],Table5[#All],2,0),"")</f>
        <v/>
      </c>
    </row>
    <row r="218" spans="1:3" x14ac:dyDescent="0.3">
      <c r="A218" s="5" t="s">
        <v>908</v>
      </c>
      <c r="B218" t="s">
        <v>6840</v>
      </c>
      <c r="C218" t="str">
        <f>IFERROR(VLOOKUP(ILACLISTE[[#This Row],[NAME]],Table5[#All],2,0),"")</f>
        <v/>
      </c>
    </row>
    <row r="219" spans="1:3" x14ac:dyDescent="0.3">
      <c r="A219" s="5" t="s">
        <v>909</v>
      </c>
      <c r="B219" t="s">
        <v>6841</v>
      </c>
      <c r="C219" t="str">
        <f>IFERROR(VLOOKUP(ILACLISTE[[#This Row],[NAME]],Table5[#All],2,0),"")</f>
        <v/>
      </c>
    </row>
    <row r="220" spans="1:3" x14ac:dyDescent="0.3">
      <c r="A220" s="5" t="s">
        <v>910</v>
      </c>
      <c r="B220" t="s">
        <v>6842</v>
      </c>
      <c r="C220" t="str">
        <f>IFERROR(VLOOKUP(ILACLISTE[[#This Row],[NAME]],Table5[#All],2,0),"")</f>
        <v/>
      </c>
    </row>
    <row r="221" spans="1:3" x14ac:dyDescent="0.3">
      <c r="A221" s="5" t="s">
        <v>911</v>
      </c>
      <c r="B221" t="s">
        <v>6843</v>
      </c>
      <c r="C221" t="str">
        <f>IFERROR(VLOOKUP(ILACLISTE[[#This Row],[NAME]],Table5[#All],2,0),"")</f>
        <v/>
      </c>
    </row>
    <row r="222" spans="1:3" x14ac:dyDescent="0.3">
      <c r="A222" s="5" t="s">
        <v>912</v>
      </c>
      <c r="B222" t="s">
        <v>6844</v>
      </c>
      <c r="C222" t="str">
        <f>IFERROR(VLOOKUP(ILACLISTE[[#This Row],[NAME]],Table5[#All],2,0),"")</f>
        <v/>
      </c>
    </row>
    <row r="223" spans="1:3" x14ac:dyDescent="0.3">
      <c r="A223" s="5" t="s">
        <v>913</v>
      </c>
      <c r="B223" t="s">
        <v>6845</v>
      </c>
      <c r="C223" t="str">
        <f>IFERROR(VLOOKUP(ILACLISTE[[#This Row],[NAME]],Table5[#All],2,0),"")</f>
        <v/>
      </c>
    </row>
    <row r="224" spans="1:3" x14ac:dyDescent="0.3">
      <c r="A224" s="5" t="s">
        <v>914</v>
      </c>
      <c r="B224" t="s">
        <v>6846</v>
      </c>
      <c r="C224" t="str">
        <f>IFERROR(VLOOKUP(ILACLISTE[[#This Row],[NAME]],Table5[#All],2,0),"")</f>
        <v/>
      </c>
    </row>
    <row r="225" spans="1:3" x14ac:dyDescent="0.3">
      <c r="A225" s="5" t="s">
        <v>915</v>
      </c>
      <c r="B225" t="s">
        <v>6847</v>
      </c>
      <c r="C225" t="str">
        <f>IFERROR(VLOOKUP(ILACLISTE[[#This Row],[NAME]],Table5[#All],2,0),"")</f>
        <v/>
      </c>
    </row>
    <row r="226" spans="1:3" x14ac:dyDescent="0.3">
      <c r="A226" s="5" t="s">
        <v>916</v>
      </c>
      <c r="B226" t="s">
        <v>6848</v>
      </c>
      <c r="C226" t="str">
        <f>IFERROR(VLOOKUP(ILACLISTE[[#This Row],[NAME]],Table5[#All],2,0),"")</f>
        <v/>
      </c>
    </row>
    <row r="227" spans="1:3" x14ac:dyDescent="0.3">
      <c r="A227" s="5" t="s">
        <v>917</v>
      </c>
      <c r="B227" t="s">
        <v>6849</v>
      </c>
      <c r="C227" t="str">
        <f>IFERROR(VLOOKUP(ILACLISTE[[#This Row],[NAME]],Table5[#All],2,0),"")</f>
        <v/>
      </c>
    </row>
    <row r="228" spans="1:3" x14ac:dyDescent="0.3">
      <c r="A228" s="5" t="s">
        <v>918</v>
      </c>
      <c r="B228" t="s">
        <v>6850</v>
      </c>
      <c r="C228" t="str">
        <f>IFERROR(VLOOKUP(ILACLISTE[[#This Row],[NAME]],Table5[#All],2,0),"")</f>
        <v/>
      </c>
    </row>
    <row r="229" spans="1:3" x14ac:dyDescent="0.3">
      <c r="A229" s="5" t="s">
        <v>919</v>
      </c>
      <c r="B229" t="s">
        <v>6851</v>
      </c>
      <c r="C229" t="str">
        <f>IFERROR(VLOOKUP(ILACLISTE[[#This Row],[NAME]],Table5[#All],2,0),"")</f>
        <v/>
      </c>
    </row>
    <row r="230" spans="1:3" ht="20.399999999999999" x14ac:dyDescent="0.3">
      <c r="A230" s="6" t="s">
        <v>920</v>
      </c>
      <c r="B230" t="s">
        <v>6852</v>
      </c>
      <c r="C230" t="str">
        <f>IFERROR(VLOOKUP(ILACLISTE[[#This Row],[NAME]],Table5[#All],2,0),"")</f>
        <v/>
      </c>
    </row>
    <row r="231" spans="1:3" x14ac:dyDescent="0.3">
      <c r="A231" s="5" t="s">
        <v>921</v>
      </c>
      <c r="B231" t="s">
        <v>6853</v>
      </c>
      <c r="C231" t="str">
        <f>IFERROR(VLOOKUP(ILACLISTE[[#This Row],[NAME]],Table5[#All],2,0),"")</f>
        <v/>
      </c>
    </row>
    <row r="232" spans="1:3" x14ac:dyDescent="0.3">
      <c r="A232" s="5" t="s">
        <v>922</v>
      </c>
      <c r="B232" t="s">
        <v>6854</v>
      </c>
      <c r="C232" t="str">
        <f>IFERROR(VLOOKUP(ILACLISTE[[#This Row],[NAME]],Table5[#All],2,0),"")</f>
        <v/>
      </c>
    </row>
    <row r="233" spans="1:3" x14ac:dyDescent="0.3">
      <c r="A233" s="5" t="s">
        <v>923</v>
      </c>
      <c r="B233" t="s">
        <v>6855</v>
      </c>
      <c r="C233" t="str">
        <f>IFERROR(VLOOKUP(ILACLISTE[[#This Row],[NAME]],Table5[#All],2,0),"")</f>
        <v/>
      </c>
    </row>
    <row r="234" spans="1:3" x14ac:dyDescent="0.3">
      <c r="A234" s="5" t="s">
        <v>924</v>
      </c>
      <c r="B234" t="s">
        <v>6856</v>
      </c>
      <c r="C234" t="str">
        <f>IFERROR(VLOOKUP(ILACLISTE[[#This Row],[NAME]],Table5[#All],2,0),"")</f>
        <v/>
      </c>
    </row>
    <row r="235" spans="1:3" x14ac:dyDescent="0.3">
      <c r="A235" s="5" t="s">
        <v>925</v>
      </c>
      <c r="B235" t="s">
        <v>6857</v>
      </c>
      <c r="C235" t="str">
        <f>IFERROR(VLOOKUP(ILACLISTE[[#This Row],[NAME]],Table5[#All],2,0),"")</f>
        <v/>
      </c>
    </row>
    <row r="236" spans="1:3" x14ac:dyDescent="0.3">
      <c r="A236" s="5" t="s">
        <v>926</v>
      </c>
      <c r="B236" t="s">
        <v>6858</v>
      </c>
      <c r="C236" t="str">
        <f>IFERROR(VLOOKUP(ILACLISTE[[#This Row],[NAME]],Table5[#All],2,0),"")</f>
        <v/>
      </c>
    </row>
    <row r="237" spans="1:3" x14ac:dyDescent="0.3">
      <c r="A237" s="5" t="s">
        <v>927</v>
      </c>
      <c r="B237" t="s">
        <v>6859</v>
      </c>
      <c r="C237" t="str">
        <f>IFERROR(VLOOKUP(ILACLISTE[[#This Row],[NAME]],Table5[#All],2,0),"")</f>
        <v/>
      </c>
    </row>
    <row r="238" spans="1:3" x14ac:dyDescent="0.3">
      <c r="A238" s="5" t="s">
        <v>928</v>
      </c>
      <c r="B238" t="s">
        <v>6860</v>
      </c>
      <c r="C238" t="str">
        <f>IFERROR(VLOOKUP(ILACLISTE[[#This Row],[NAME]],Table5[#All],2,0),"")</f>
        <v/>
      </c>
    </row>
    <row r="239" spans="1:3" x14ac:dyDescent="0.3">
      <c r="A239" s="5" t="s">
        <v>929</v>
      </c>
      <c r="B239" t="s">
        <v>6861</v>
      </c>
      <c r="C239" t="str">
        <f>IFERROR(VLOOKUP(ILACLISTE[[#This Row],[NAME]],Table5[#All],2,0),"")</f>
        <v/>
      </c>
    </row>
    <row r="240" spans="1:3" x14ac:dyDescent="0.3">
      <c r="A240" s="5" t="s">
        <v>930</v>
      </c>
      <c r="B240" t="s">
        <v>6862</v>
      </c>
      <c r="C240" t="str">
        <f>IFERROR(VLOOKUP(ILACLISTE[[#This Row],[NAME]],Table5[#All],2,0),"")</f>
        <v/>
      </c>
    </row>
    <row r="241" spans="1:3" x14ac:dyDescent="0.3">
      <c r="A241" s="5" t="s">
        <v>931</v>
      </c>
      <c r="B241" t="s">
        <v>6863</v>
      </c>
      <c r="C241" t="str">
        <f>IFERROR(VLOOKUP(ILACLISTE[[#This Row],[NAME]],Table5[#All],2,0),"")</f>
        <v/>
      </c>
    </row>
    <row r="242" spans="1:3" x14ac:dyDescent="0.3">
      <c r="A242" s="5" t="s">
        <v>932</v>
      </c>
      <c r="B242" t="s">
        <v>6864</v>
      </c>
      <c r="C242" t="str">
        <f>IFERROR(VLOOKUP(ILACLISTE[[#This Row],[NAME]],Table5[#All],2,0),"")</f>
        <v/>
      </c>
    </row>
    <row r="243" spans="1:3" x14ac:dyDescent="0.3">
      <c r="A243" s="5" t="s">
        <v>933</v>
      </c>
      <c r="B243" t="s">
        <v>6865</v>
      </c>
      <c r="C243" t="str">
        <f>IFERROR(VLOOKUP(ILACLISTE[[#This Row],[NAME]],Table5[#All],2,0),"")</f>
        <v/>
      </c>
    </row>
    <row r="244" spans="1:3" x14ac:dyDescent="0.3">
      <c r="A244" s="5" t="s">
        <v>934</v>
      </c>
      <c r="B244" t="s">
        <v>6866</v>
      </c>
      <c r="C244" t="str">
        <f>IFERROR(VLOOKUP(ILACLISTE[[#This Row],[NAME]],Table5[#All],2,0),"")</f>
        <v/>
      </c>
    </row>
    <row r="245" spans="1:3" x14ac:dyDescent="0.3">
      <c r="A245" s="5" t="s">
        <v>935</v>
      </c>
      <c r="B245" t="s">
        <v>6867</v>
      </c>
      <c r="C245" t="str">
        <f>IFERROR(VLOOKUP(ILACLISTE[[#This Row],[NAME]],Table5[#All],2,0),"")</f>
        <v/>
      </c>
    </row>
    <row r="246" spans="1:3" x14ac:dyDescent="0.3">
      <c r="A246" s="5" t="s">
        <v>936</v>
      </c>
      <c r="B246" t="s">
        <v>23</v>
      </c>
      <c r="C246" t="str">
        <f>IFERROR(VLOOKUP(ILACLISTE[[#This Row],[NAME]],Table5[#All],2,0),"")</f>
        <v/>
      </c>
    </row>
    <row r="247" spans="1:3" x14ac:dyDescent="0.3">
      <c r="A247" s="5" t="s">
        <v>937</v>
      </c>
      <c r="B247" t="s">
        <v>24</v>
      </c>
      <c r="C247" t="str">
        <f>IFERROR(VLOOKUP(ILACLISTE[[#This Row],[NAME]],Table5[#All],2,0),"")</f>
        <v/>
      </c>
    </row>
    <row r="248" spans="1:3" x14ac:dyDescent="0.3">
      <c r="A248" s="5" t="s">
        <v>938</v>
      </c>
      <c r="B248" t="s">
        <v>25</v>
      </c>
      <c r="C248" t="str">
        <f>IFERROR(VLOOKUP(ILACLISTE[[#This Row],[NAME]],Table5[#All],2,0),"")</f>
        <v/>
      </c>
    </row>
    <row r="249" spans="1:3" x14ac:dyDescent="0.3">
      <c r="A249" s="5" t="s">
        <v>939</v>
      </c>
      <c r="B249" t="s">
        <v>26</v>
      </c>
      <c r="C249" t="str">
        <f>IFERROR(VLOOKUP(ILACLISTE[[#This Row],[NAME]],Table5[#All],2,0),"")</f>
        <v/>
      </c>
    </row>
    <row r="250" spans="1:3" x14ac:dyDescent="0.3">
      <c r="A250" s="5" t="s">
        <v>940</v>
      </c>
      <c r="B250" t="s">
        <v>27</v>
      </c>
      <c r="C250" t="str">
        <f>IFERROR(VLOOKUP(ILACLISTE[[#This Row],[NAME]],Table5[#All],2,0),"")</f>
        <v/>
      </c>
    </row>
    <row r="251" spans="1:3" x14ac:dyDescent="0.3">
      <c r="A251" s="5" t="s">
        <v>941</v>
      </c>
      <c r="B251" t="s">
        <v>28</v>
      </c>
      <c r="C251" t="str">
        <f>IFERROR(VLOOKUP(ILACLISTE[[#This Row],[NAME]],Table5[#All],2,0),"")</f>
        <v/>
      </c>
    </row>
    <row r="252" spans="1:3" x14ac:dyDescent="0.3">
      <c r="A252" s="5" t="s">
        <v>942</v>
      </c>
      <c r="B252" t="s">
        <v>6868</v>
      </c>
      <c r="C252" t="str">
        <f>IFERROR(VLOOKUP(ILACLISTE[[#This Row],[NAME]],Table5[#All],2,0),"")</f>
        <v/>
      </c>
    </row>
    <row r="253" spans="1:3" x14ac:dyDescent="0.3">
      <c r="A253" s="5" t="s">
        <v>943</v>
      </c>
      <c r="B253" t="s">
        <v>6869</v>
      </c>
      <c r="C253" t="str">
        <f>IFERROR(VLOOKUP(ILACLISTE[[#This Row],[NAME]],Table5[#All],2,0),"")</f>
        <v/>
      </c>
    </row>
    <row r="254" spans="1:3" x14ac:dyDescent="0.3">
      <c r="A254" s="5" t="s">
        <v>944</v>
      </c>
      <c r="B254" t="s">
        <v>29</v>
      </c>
      <c r="C254" t="str">
        <f>IFERROR(VLOOKUP(ILACLISTE[[#This Row],[NAME]],Table5[#All],2,0),"")</f>
        <v/>
      </c>
    </row>
    <row r="255" spans="1:3" x14ac:dyDescent="0.3">
      <c r="A255" s="5" t="s">
        <v>945</v>
      </c>
      <c r="B255" t="s">
        <v>30</v>
      </c>
      <c r="C255" t="str">
        <f>IFERROR(VLOOKUP(ILACLISTE[[#This Row],[NAME]],Table5[#All],2,0),"")</f>
        <v/>
      </c>
    </row>
    <row r="256" spans="1:3" x14ac:dyDescent="0.3">
      <c r="A256" s="5" t="s">
        <v>946</v>
      </c>
      <c r="B256" t="s">
        <v>6870</v>
      </c>
      <c r="C256" t="str">
        <f>IFERROR(VLOOKUP(ILACLISTE[[#This Row],[NAME]],Table5[#All],2,0),"")</f>
        <v/>
      </c>
    </row>
    <row r="257" spans="1:3" x14ac:dyDescent="0.3">
      <c r="A257" s="5" t="s">
        <v>947</v>
      </c>
      <c r="B257" t="s">
        <v>6871</v>
      </c>
      <c r="C257" t="str">
        <f>IFERROR(VLOOKUP(ILACLISTE[[#This Row],[NAME]],Table5[#All],2,0),"")</f>
        <v/>
      </c>
    </row>
    <row r="258" spans="1:3" x14ac:dyDescent="0.3">
      <c r="A258" s="5" t="s">
        <v>948</v>
      </c>
      <c r="B258" t="s">
        <v>6872</v>
      </c>
      <c r="C258" t="str">
        <f>IFERROR(VLOOKUP(ILACLISTE[[#This Row],[NAME]],Table5[#All],2,0),"")</f>
        <v/>
      </c>
    </row>
    <row r="259" spans="1:3" x14ac:dyDescent="0.3">
      <c r="A259" s="5" t="s">
        <v>949</v>
      </c>
      <c r="B259" t="s">
        <v>6873</v>
      </c>
      <c r="C259" t="str">
        <f>IFERROR(VLOOKUP(ILACLISTE[[#This Row],[NAME]],Table5[#All],2,0),"")</f>
        <v/>
      </c>
    </row>
    <row r="260" spans="1:3" x14ac:dyDescent="0.3">
      <c r="A260" s="5" t="s">
        <v>950</v>
      </c>
      <c r="B260" t="s">
        <v>6874</v>
      </c>
      <c r="C260" t="str">
        <f>IFERROR(VLOOKUP(ILACLISTE[[#This Row],[NAME]],Table5[#All],2,0),"")</f>
        <v/>
      </c>
    </row>
    <row r="261" spans="1:3" x14ac:dyDescent="0.3">
      <c r="A261" s="5" t="s">
        <v>951</v>
      </c>
      <c r="B261" t="s">
        <v>6875</v>
      </c>
      <c r="C261" t="str">
        <f>IFERROR(VLOOKUP(ILACLISTE[[#This Row],[NAME]],Table5[#All],2,0),"")</f>
        <v/>
      </c>
    </row>
    <row r="262" spans="1:3" x14ac:dyDescent="0.3">
      <c r="A262" s="5" t="s">
        <v>952</v>
      </c>
      <c r="B262" t="s">
        <v>6876</v>
      </c>
      <c r="C262" t="str">
        <f>IFERROR(VLOOKUP(ILACLISTE[[#This Row],[NAME]],Table5[#All],2,0),"")</f>
        <v/>
      </c>
    </row>
    <row r="263" spans="1:3" x14ac:dyDescent="0.3">
      <c r="A263" s="5" t="s">
        <v>953</v>
      </c>
      <c r="B263" t="s">
        <v>6877</v>
      </c>
      <c r="C263" t="str">
        <f>IFERROR(VLOOKUP(ILACLISTE[[#This Row],[NAME]],Table5[#All],2,0),"")</f>
        <v/>
      </c>
    </row>
    <row r="264" spans="1:3" x14ac:dyDescent="0.3">
      <c r="A264" s="5" t="s">
        <v>954</v>
      </c>
      <c r="B264" t="s">
        <v>6878</v>
      </c>
      <c r="C264" t="str">
        <f>IFERROR(VLOOKUP(ILACLISTE[[#This Row],[NAME]],Table5[#All],2,0),"")</f>
        <v/>
      </c>
    </row>
    <row r="265" spans="1:3" x14ac:dyDescent="0.3">
      <c r="A265" s="5" t="s">
        <v>955</v>
      </c>
      <c r="B265" t="s">
        <v>6879</v>
      </c>
      <c r="C265" t="str">
        <f>IFERROR(VLOOKUP(ILACLISTE[[#This Row],[NAME]],Table5[#All],2,0),"")</f>
        <v/>
      </c>
    </row>
    <row r="266" spans="1:3" x14ac:dyDescent="0.3">
      <c r="A266" s="5" t="s">
        <v>956</v>
      </c>
      <c r="B266" t="s">
        <v>6880</v>
      </c>
      <c r="C266" t="str">
        <f>IFERROR(VLOOKUP(ILACLISTE[[#This Row],[NAME]],Table5[#All],2,0),"")</f>
        <v/>
      </c>
    </row>
    <row r="267" spans="1:3" x14ac:dyDescent="0.3">
      <c r="A267" s="5" t="s">
        <v>957</v>
      </c>
      <c r="B267" t="s">
        <v>6881</v>
      </c>
      <c r="C267" t="str">
        <f>IFERROR(VLOOKUP(ILACLISTE[[#This Row],[NAME]],Table5[#All],2,0),"")</f>
        <v/>
      </c>
    </row>
    <row r="268" spans="1:3" x14ac:dyDescent="0.3">
      <c r="A268" s="5" t="s">
        <v>958</v>
      </c>
      <c r="B268" t="s">
        <v>6882</v>
      </c>
      <c r="C268" t="str">
        <f>IFERROR(VLOOKUP(ILACLISTE[[#This Row],[NAME]],Table5[#All],2,0),"")</f>
        <v/>
      </c>
    </row>
    <row r="269" spans="1:3" x14ac:dyDescent="0.3">
      <c r="A269" s="5" t="s">
        <v>959</v>
      </c>
      <c r="B269" t="s">
        <v>6883</v>
      </c>
      <c r="C269" t="str">
        <f>IFERROR(VLOOKUP(ILACLISTE[[#This Row],[NAME]],Table5[#All],2,0),"")</f>
        <v/>
      </c>
    </row>
    <row r="270" spans="1:3" x14ac:dyDescent="0.3">
      <c r="A270" s="5" t="s">
        <v>960</v>
      </c>
      <c r="B270" t="s">
        <v>6884</v>
      </c>
      <c r="C270" t="str">
        <f>IFERROR(VLOOKUP(ILACLISTE[[#This Row],[NAME]],Table5[#All],2,0),"")</f>
        <v/>
      </c>
    </row>
    <row r="271" spans="1:3" x14ac:dyDescent="0.3">
      <c r="A271" s="5" t="s">
        <v>961</v>
      </c>
      <c r="B271" t="s">
        <v>31</v>
      </c>
      <c r="C271" t="str">
        <f>IFERROR(VLOOKUP(ILACLISTE[[#This Row],[NAME]],Table5[#All],2,0),"")</f>
        <v/>
      </c>
    </row>
    <row r="272" spans="1:3" x14ac:dyDescent="0.3">
      <c r="A272" s="5" t="s">
        <v>962</v>
      </c>
      <c r="B272" t="s">
        <v>6885</v>
      </c>
      <c r="C272" t="str">
        <f>IFERROR(VLOOKUP(ILACLISTE[[#This Row],[NAME]],Table5[#All],2,0),"")</f>
        <v/>
      </c>
    </row>
    <row r="273" spans="1:3" x14ac:dyDescent="0.3">
      <c r="A273" s="5" t="s">
        <v>963</v>
      </c>
      <c r="B273" t="s">
        <v>6886</v>
      </c>
      <c r="C273" t="str">
        <f>IFERROR(VLOOKUP(ILACLISTE[[#This Row],[NAME]],Table5[#All],2,0),"")</f>
        <v/>
      </c>
    </row>
    <row r="274" spans="1:3" x14ac:dyDescent="0.3">
      <c r="A274" s="5" t="s">
        <v>964</v>
      </c>
      <c r="B274" t="s">
        <v>6887</v>
      </c>
      <c r="C274" t="str">
        <f>IFERROR(VLOOKUP(ILACLISTE[[#This Row],[NAME]],Table5[#All],2,0),"")</f>
        <v/>
      </c>
    </row>
    <row r="275" spans="1:3" x14ac:dyDescent="0.3">
      <c r="A275" s="5" t="s">
        <v>965</v>
      </c>
      <c r="B275" t="s">
        <v>6888</v>
      </c>
      <c r="C275" t="str">
        <f>IFERROR(VLOOKUP(ILACLISTE[[#This Row],[NAME]],Table5[#All],2,0),"")</f>
        <v/>
      </c>
    </row>
    <row r="276" spans="1:3" x14ac:dyDescent="0.3">
      <c r="A276" s="5" t="s">
        <v>966</v>
      </c>
      <c r="B276" t="s">
        <v>6889</v>
      </c>
      <c r="C276" t="str">
        <f>IFERROR(VLOOKUP(ILACLISTE[[#This Row],[NAME]],Table5[#All],2,0),"")</f>
        <v/>
      </c>
    </row>
    <row r="277" spans="1:3" x14ac:dyDescent="0.3">
      <c r="A277" s="5" t="s">
        <v>967</v>
      </c>
      <c r="B277" t="s">
        <v>6890</v>
      </c>
      <c r="C277" t="str">
        <f>IFERROR(VLOOKUP(ILACLISTE[[#This Row],[NAME]],Table5[#All],2,0),"")</f>
        <v/>
      </c>
    </row>
    <row r="278" spans="1:3" x14ac:dyDescent="0.3">
      <c r="A278" s="5" t="s">
        <v>968</v>
      </c>
      <c r="B278" t="s">
        <v>6891</v>
      </c>
      <c r="C278" t="str">
        <f>IFERROR(VLOOKUP(ILACLISTE[[#This Row],[NAME]],Table5[#All],2,0),"")</f>
        <v/>
      </c>
    </row>
    <row r="279" spans="1:3" x14ac:dyDescent="0.3">
      <c r="A279" s="5" t="s">
        <v>969</v>
      </c>
      <c r="B279" t="s">
        <v>6892</v>
      </c>
      <c r="C279" t="str">
        <f>IFERROR(VLOOKUP(ILACLISTE[[#This Row],[NAME]],Table5[#All],2,0),"")</f>
        <v/>
      </c>
    </row>
    <row r="280" spans="1:3" x14ac:dyDescent="0.3">
      <c r="A280" s="5" t="s">
        <v>970</v>
      </c>
      <c r="B280" t="s">
        <v>6893</v>
      </c>
      <c r="C280" t="str">
        <f>IFERROR(VLOOKUP(ILACLISTE[[#This Row],[NAME]],Table5[#All],2,0),"")</f>
        <v/>
      </c>
    </row>
    <row r="281" spans="1:3" x14ac:dyDescent="0.3">
      <c r="A281" s="5" t="s">
        <v>971</v>
      </c>
      <c r="B281" t="s">
        <v>6894</v>
      </c>
      <c r="C281" t="str">
        <f>IFERROR(VLOOKUP(ILACLISTE[[#This Row],[NAME]],Table5[#All],2,0),"")</f>
        <v/>
      </c>
    </row>
    <row r="282" spans="1:3" x14ac:dyDescent="0.3">
      <c r="A282" s="5" t="s">
        <v>972</v>
      </c>
      <c r="B282" t="s">
        <v>6895</v>
      </c>
      <c r="C282" t="str">
        <f>IFERROR(VLOOKUP(ILACLISTE[[#This Row],[NAME]],Table5[#All],2,0),"")</f>
        <v/>
      </c>
    </row>
    <row r="283" spans="1:3" x14ac:dyDescent="0.3">
      <c r="A283" s="5" t="s">
        <v>973</v>
      </c>
      <c r="B283" t="s">
        <v>6896</v>
      </c>
      <c r="C283" t="str">
        <f>IFERROR(VLOOKUP(ILACLISTE[[#This Row],[NAME]],Table5[#All],2,0),"")</f>
        <v/>
      </c>
    </row>
    <row r="284" spans="1:3" x14ac:dyDescent="0.3">
      <c r="A284" s="5" t="s">
        <v>974</v>
      </c>
      <c r="B284" t="s">
        <v>6897</v>
      </c>
      <c r="C284" t="str">
        <f>IFERROR(VLOOKUP(ILACLISTE[[#This Row],[NAME]],Table5[#All],2,0),"")</f>
        <v/>
      </c>
    </row>
    <row r="285" spans="1:3" x14ac:dyDescent="0.3">
      <c r="A285" s="5" t="s">
        <v>975</v>
      </c>
      <c r="B285" t="s">
        <v>6898</v>
      </c>
      <c r="C285" t="str">
        <f>IFERROR(VLOOKUP(ILACLISTE[[#This Row],[NAME]],Table5[#All],2,0),"")</f>
        <v/>
      </c>
    </row>
    <row r="286" spans="1:3" x14ac:dyDescent="0.3">
      <c r="A286" s="5" t="s">
        <v>976</v>
      </c>
      <c r="B286" t="s">
        <v>6899</v>
      </c>
      <c r="C286" t="str">
        <f>IFERROR(VLOOKUP(ILACLISTE[[#This Row],[NAME]],Table5[#All],2,0),"")</f>
        <v/>
      </c>
    </row>
    <row r="287" spans="1:3" x14ac:dyDescent="0.3">
      <c r="A287" s="5" t="s">
        <v>977</v>
      </c>
      <c r="B287" t="s">
        <v>6900</v>
      </c>
      <c r="C287" t="str">
        <f>IFERROR(VLOOKUP(ILACLISTE[[#This Row],[NAME]],Table5[#All],2,0),"")</f>
        <v/>
      </c>
    </row>
    <row r="288" spans="1:3" x14ac:dyDescent="0.3">
      <c r="A288" s="5" t="s">
        <v>978</v>
      </c>
      <c r="B288" t="s">
        <v>6901</v>
      </c>
      <c r="C288" t="str">
        <f>IFERROR(VLOOKUP(ILACLISTE[[#This Row],[NAME]],Table5[#All],2,0),"")</f>
        <v/>
      </c>
    </row>
    <row r="289" spans="1:3" x14ac:dyDescent="0.3">
      <c r="A289" s="5" t="s">
        <v>979</v>
      </c>
      <c r="B289" t="s">
        <v>6902</v>
      </c>
      <c r="C289" t="str">
        <f>IFERROR(VLOOKUP(ILACLISTE[[#This Row],[NAME]],Table5[#All],2,0),"")</f>
        <v/>
      </c>
    </row>
    <row r="290" spans="1:3" x14ac:dyDescent="0.3">
      <c r="A290" s="5" t="s">
        <v>980</v>
      </c>
      <c r="B290" t="s">
        <v>6903</v>
      </c>
      <c r="C290" t="str">
        <f>IFERROR(VLOOKUP(ILACLISTE[[#This Row],[NAME]],Table5[#All],2,0),"")</f>
        <v/>
      </c>
    </row>
    <row r="291" spans="1:3" x14ac:dyDescent="0.3">
      <c r="A291" s="5" t="s">
        <v>981</v>
      </c>
      <c r="B291" t="s">
        <v>32</v>
      </c>
      <c r="C291" t="str">
        <f>IFERROR(VLOOKUP(ILACLISTE[[#This Row],[NAME]],Table5[#All],2,0),"")</f>
        <v/>
      </c>
    </row>
    <row r="292" spans="1:3" x14ac:dyDescent="0.3">
      <c r="A292" s="5" t="s">
        <v>982</v>
      </c>
      <c r="B292" t="s">
        <v>6904</v>
      </c>
      <c r="C292" t="str">
        <f>IFERROR(VLOOKUP(ILACLISTE[[#This Row],[NAME]],Table5[#All],2,0),"")</f>
        <v/>
      </c>
    </row>
    <row r="293" spans="1:3" x14ac:dyDescent="0.3">
      <c r="A293" s="5" t="s">
        <v>983</v>
      </c>
      <c r="B293" t="s">
        <v>6905</v>
      </c>
      <c r="C293" t="str">
        <f>IFERROR(VLOOKUP(ILACLISTE[[#This Row],[NAME]],Table5[#All],2,0),"")</f>
        <v/>
      </c>
    </row>
    <row r="294" spans="1:3" x14ac:dyDescent="0.3">
      <c r="A294" s="5" t="s">
        <v>984</v>
      </c>
      <c r="B294" t="s">
        <v>6906</v>
      </c>
      <c r="C294" t="str">
        <f>IFERROR(VLOOKUP(ILACLISTE[[#This Row],[NAME]],Table5[#All],2,0),"")</f>
        <v/>
      </c>
    </row>
    <row r="295" spans="1:3" x14ac:dyDescent="0.3">
      <c r="A295" s="5" t="s">
        <v>985</v>
      </c>
      <c r="B295" t="s">
        <v>6907</v>
      </c>
      <c r="C295" t="str">
        <f>IFERROR(VLOOKUP(ILACLISTE[[#This Row],[NAME]],Table5[#All],2,0),"")</f>
        <v/>
      </c>
    </row>
    <row r="296" spans="1:3" x14ac:dyDescent="0.3">
      <c r="A296" s="5" t="s">
        <v>986</v>
      </c>
      <c r="B296" t="s">
        <v>6908</v>
      </c>
      <c r="C296" t="str">
        <f>IFERROR(VLOOKUP(ILACLISTE[[#This Row],[NAME]],Table5[#All],2,0),"")</f>
        <v/>
      </c>
    </row>
    <row r="297" spans="1:3" x14ac:dyDescent="0.3">
      <c r="A297" s="5" t="s">
        <v>987</v>
      </c>
      <c r="B297" t="s">
        <v>6909</v>
      </c>
      <c r="C297" t="str">
        <f>IFERROR(VLOOKUP(ILACLISTE[[#This Row],[NAME]],Table5[#All],2,0),"")</f>
        <v/>
      </c>
    </row>
    <row r="298" spans="1:3" x14ac:dyDescent="0.3">
      <c r="A298" s="5" t="s">
        <v>988</v>
      </c>
      <c r="B298" t="s">
        <v>6910</v>
      </c>
      <c r="C298" t="str">
        <f>IFERROR(VLOOKUP(ILACLISTE[[#This Row],[NAME]],Table5[#All],2,0),"")</f>
        <v/>
      </c>
    </row>
    <row r="299" spans="1:3" x14ac:dyDescent="0.3">
      <c r="A299" s="5" t="s">
        <v>989</v>
      </c>
      <c r="B299" t="s">
        <v>6911</v>
      </c>
      <c r="C299" t="str">
        <f>IFERROR(VLOOKUP(ILACLISTE[[#This Row],[NAME]],Table5[#All],2,0),"")</f>
        <v/>
      </c>
    </row>
    <row r="300" spans="1:3" x14ac:dyDescent="0.3">
      <c r="A300" s="5" t="s">
        <v>990</v>
      </c>
      <c r="B300" t="s">
        <v>6912</v>
      </c>
      <c r="C300" t="str">
        <f>IFERROR(VLOOKUP(ILACLISTE[[#This Row],[NAME]],Table5[#All],2,0),"")</f>
        <v/>
      </c>
    </row>
    <row r="301" spans="1:3" x14ac:dyDescent="0.3">
      <c r="A301" s="5" t="s">
        <v>991</v>
      </c>
      <c r="B301" t="s">
        <v>33</v>
      </c>
      <c r="C301" t="str">
        <f>IFERROR(VLOOKUP(ILACLISTE[[#This Row],[NAME]],Table5[#All],2,0),"")</f>
        <v/>
      </c>
    </row>
    <row r="302" spans="1:3" x14ac:dyDescent="0.3">
      <c r="A302" s="5" t="s">
        <v>992</v>
      </c>
      <c r="B302" t="s">
        <v>6913</v>
      </c>
      <c r="C302" t="str">
        <f>IFERROR(VLOOKUP(ILACLISTE[[#This Row],[NAME]],Table5[#All],2,0),"")</f>
        <v/>
      </c>
    </row>
    <row r="303" spans="1:3" x14ac:dyDescent="0.3">
      <c r="A303" s="5" t="s">
        <v>993</v>
      </c>
      <c r="B303" t="s">
        <v>6914</v>
      </c>
      <c r="C303" t="str">
        <f>IFERROR(VLOOKUP(ILACLISTE[[#This Row],[NAME]],Table5[#All],2,0),"")</f>
        <v/>
      </c>
    </row>
    <row r="304" spans="1:3" x14ac:dyDescent="0.3">
      <c r="A304" s="5" t="s">
        <v>994</v>
      </c>
      <c r="B304" t="s">
        <v>6915</v>
      </c>
      <c r="C304" t="str">
        <f>IFERROR(VLOOKUP(ILACLISTE[[#This Row],[NAME]],Table5[#All],2,0),"")</f>
        <v/>
      </c>
    </row>
    <row r="305" spans="1:3" x14ac:dyDescent="0.3">
      <c r="A305" s="5" t="s">
        <v>995</v>
      </c>
      <c r="B305" t="s">
        <v>6916</v>
      </c>
      <c r="C305" t="str">
        <f>IFERROR(VLOOKUP(ILACLISTE[[#This Row],[NAME]],Table5[#All],2,0),"")</f>
        <v/>
      </c>
    </row>
    <row r="306" spans="1:3" x14ac:dyDescent="0.3">
      <c r="A306" s="5" t="s">
        <v>996</v>
      </c>
      <c r="B306" t="s">
        <v>6917</v>
      </c>
      <c r="C306" t="str">
        <f>IFERROR(VLOOKUP(ILACLISTE[[#This Row],[NAME]],Table5[#All],2,0),"")</f>
        <v/>
      </c>
    </row>
    <row r="307" spans="1:3" ht="20.399999999999999" x14ac:dyDescent="0.3">
      <c r="A307" s="6" t="s">
        <v>997</v>
      </c>
      <c r="B307" t="s">
        <v>6918</v>
      </c>
      <c r="C307" t="str">
        <f>IFERROR(VLOOKUP(ILACLISTE[[#This Row],[NAME]],Table5[#All],2,0),"")</f>
        <v/>
      </c>
    </row>
    <row r="308" spans="1:3" x14ac:dyDescent="0.3">
      <c r="A308" s="5" t="s">
        <v>998</v>
      </c>
      <c r="B308" t="s">
        <v>6919</v>
      </c>
      <c r="C308" t="str">
        <f>IFERROR(VLOOKUP(ILACLISTE[[#This Row],[NAME]],Table5[#All],2,0),"")</f>
        <v/>
      </c>
    </row>
    <row r="309" spans="1:3" x14ac:dyDescent="0.3">
      <c r="A309" s="5" t="s">
        <v>999</v>
      </c>
      <c r="B309" t="s">
        <v>6920</v>
      </c>
      <c r="C309" t="str">
        <f>IFERROR(VLOOKUP(ILACLISTE[[#This Row],[NAME]],Table5[#All],2,0),"")</f>
        <v/>
      </c>
    </row>
    <row r="310" spans="1:3" x14ac:dyDescent="0.3">
      <c r="A310" s="5" t="s">
        <v>1000</v>
      </c>
      <c r="B310" t="s">
        <v>34</v>
      </c>
      <c r="C310" t="str">
        <f>IFERROR(VLOOKUP(ILACLISTE[[#This Row],[NAME]],Table5[#All],2,0),"")</f>
        <v/>
      </c>
    </row>
    <row r="311" spans="1:3" x14ac:dyDescent="0.3">
      <c r="A311" s="5" t="s">
        <v>1001</v>
      </c>
      <c r="B311" t="s">
        <v>35</v>
      </c>
      <c r="C311" t="str">
        <f>IFERROR(VLOOKUP(ILACLISTE[[#This Row],[NAME]],Table5[#All],2,0),"")</f>
        <v/>
      </c>
    </row>
    <row r="312" spans="1:3" x14ac:dyDescent="0.3">
      <c r="A312" s="5" t="s">
        <v>1002</v>
      </c>
      <c r="B312" t="s">
        <v>6921</v>
      </c>
      <c r="C312" t="str">
        <f>IFERROR(VLOOKUP(ILACLISTE[[#This Row],[NAME]],Table5[#All],2,0),"")</f>
        <v/>
      </c>
    </row>
    <row r="313" spans="1:3" x14ac:dyDescent="0.3">
      <c r="A313" s="5" t="s">
        <v>1003</v>
      </c>
      <c r="B313" t="s">
        <v>6922</v>
      </c>
      <c r="C313" t="str">
        <f>IFERROR(VLOOKUP(ILACLISTE[[#This Row],[NAME]],Table5[#All],2,0),"")</f>
        <v/>
      </c>
    </row>
    <row r="314" spans="1:3" x14ac:dyDescent="0.3">
      <c r="A314" s="5" t="s">
        <v>1004</v>
      </c>
      <c r="B314" t="s">
        <v>36</v>
      </c>
      <c r="C314" t="str">
        <f>IFERROR(VLOOKUP(ILACLISTE[[#This Row],[NAME]],Table5[#All],2,0),"")</f>
        <v/>
      </c>
    </row>
    <row r="315" spans="1:3" x14ac:dyDescent="0.3">
      <c r="A315" s="5" t="s">
        <v>1005</v>
      </c>
      <c r="B315" t="s">
        <v>6923</v>
      </c>
      <c r="C315" t="str">
        <f>IFERROR(VLOOKUP(ILACLISTE[[#This Row],[NAME]],Table5[#All],2,0),"")</f>
        <v/>
      </c>
    </row>
    <row r="316" spans="1:3" x14ac:dyDescent="0.3">
      <c r="A316" s="5" t="s">
        <v>1006</v>
      </c>
      <c r="B316" t="s">
        <v>6924</v>
      </c>
      <c r="C316" t="str">
        <f>IFERROR(VLOOKUP(ILACLISTE[[#This Row],[NAME]],Table5[#All],2,0),"")</f>
        <v/>
      </c>
    </row>
    <row r="317" spans="1:3" x14ac:dyDescent="0.3">
      <c r="A317" s="5" t="s">
        <v>1007</v>
      </c>
      <c r="B317" t="s">
        <v>6925</v>
      </c>
      <c r="C317" t="str">
        <f>IFERROR(VLOOKUP(ILACLISTE[[#This Row],[NAME]],Table5[#All],2,0),"")</f>
        <v/>
      </c>
    </row>
    <row r="318" spans="1:3" x14ac:dyDescent="0.3">
      <c r="A318" s="5" t="s">
        <v>1008</v>
      </c>
      <c r="B318" t="s">
        <v>6926</v>
      </c>
      <c r="C318" t="str">
        <f>IFERROR(VLOOKUP(ILACLISTE[[#This Row],[NAME]],Table5[#All],2,0),"")</f>
        <v/>
      </c>
    </row>
    <row r="319" spans="1:3" x14ac:dyDescent="0.3">
      <c r="A319" s="5" t="s">
        <v>1009</v>
      </c>
      <c r="B319" t="s">
        <v>6927</v>
      </c>
      <c r="C319" t="str">
        <f>IFERROR(VLOOKUP(ILACLISTE[[#This Row],[NAME]],Table5[#All],2,0),"")</f>
        <v/>
      </c>
    </row>
    <row r="320" spans="1:3" x14ac:dyDescent="0.3">
      <c r="A320" s="5" t="s">
        <v>1010</v>
      </c>
      <c r="B320" t="s">
        <v>6928</v>
      </c>
      <c r="C320" t="str">
        <f>IFERROR(VLOOKUP(ILACLISTE[[#This Row],[NAME]],Table5[#All],2,0),"")</f>
        <v/>
      </c>
    </row>
    <row r="321" spans="1:3" x14ac:dyDescent="0.3">
      <c r="A321" s="5" t="s">
        <v>1011</v>
      </c>
      <c r="B321" t="s">
        <v>6929</v>
      </c>
      <c r="C321" t="str">
        <f>IFERROR(VLOOKUP(ILACLISTE[[#This Row],[NAME]],Table5[#All],2,0),"")</f>
        <v/>
      </c>
    </row>
    <row r="322" spans="1:3" x14ac:dyDescent="0.3">
      <c r="A322" s="5" t="s">
        <v>1012</v>
      </c>
      <c r="B322" t="s">
        <v>6930</v>
      </c>
      <c r="C322" t="str">
        <f>IFERROR(VLOOKUP(ILACLISTE[[#This Row],[NAME]],Table5[#All],2,0),"")</f>
        <v/>
      </c>
    </row>
    <row r="323" spans="1:3" x14ac:dyDescent="0.3">
      <c r="A323" s="5" t="s">
        <v>1013</v>
      </c>
      <c r="B323" t="s">
        <v>6931</v>
      </c>
      <c r="C323" t="str">
        <f>IFERROR(VLOOKUP(ILACLISTE[[#This Row],[NAME]],Table5[#All],2,0),"")</f>
        <v/>
      </c>
    </row>
    <row r="324" spans="1:3" x14ac:dyDescent="0.3">
      <c r="A324" s="5" t="s">
        <v>1014</v>
      </c>
      <c r="B324" t="s">
        <v>6932</v>
      </c>
      <c r="C324" t="str">
        <f>IFERROR(VLOOKUP(ILACLISTE[[#This Row],[NAME]],Table5[#All],2,0),"")</f>
        <v/>
      </c>
    </row>
    <row r="325" spans="1:3" x14ac:dyDescent="0.3">
      <c r="A325" s="5" t="s">
        <v>1015</v>
      </c>
      <c r="B325" t="s">
        <v>6933</v>
      </c>
      <c r="C325" t="str">
        <f>IFERROR(VLOOKUP(ILACLISTE[[#This Row],[NAME]],Table5[#All],2,0),"")</f>
        <v/>
      </c>
    </row>
    <row r="326" spans="1:3" x14ac:dyDescent="0.3">
      <c r="A326" s="5" t="s">
        <v>1016</v>
      </c>
      <c r="B326" t="s">
        <v>37</v>
      </c>
      <c r="C326" t="str">
        <f>IFERROR(VLOOKUP(ILACLISTE[[#This Row],[NAME]],Table5[#All],2,0),"")</f>
        <v/>
      </c>
    </row>
    <row r="327" spans="1:3" x14ac:dyDescent="0.3">
      <c r="A327" s="5" t="s">
        <v>1017</v>
      </c>
      <c r="B327" t="s">
        <v>38</v>
      </c>
      <c r="C327" t="str">
        <f>IFERROR(VLOOKUP(ILACLISTE[[#This Row],[NAME]],Table5[#All],2,0),"")</f>
        <v/>
      </c>
    </row>
    <row r="328" spans="1:3" x14ac:dyDescent="0.3">
      <c r="A328" s="5" t="s">
        <v>1018</v>
      </c>
      <c r="B328" t="s">
        <v>6934</v>
      </c>
      <c r="C328" t="str">
        <f>IFERROR(VLOOKUP(ILACLISTE[[#This Row],[NAME]],Table5[#All],2,0),"")</f>
        <v/>
      </c>
    </row>
    <row r="329" spans="1:3" ht="20.399999999999999" x14ac:dyDescent="0.3">
      <c r="A329" s="6" t="s">
        <v>1019</v>
      </c>
      <c r="B329" t="s">
        <v>6935</v>
      </c>
      <c r="C329" t="str">
        <f>IFERROR(VLOOKUP(ILACLISTE[[#This Row],[NAME]],Table5[#All],2,0),"")</f>
        <v/>
      </c>
    </row>
    <row r="330" spans="1:3" ht="20.399999999999999" x14ac:dyDescent="0.3">
      <c r="A330" s="7" t="s">
        <v>1020</v>
      </c>
      <c r="B330" t="s">
        <v>6936</v>
      </c>
      <c r="C330" t="str">
        <f>IFERROR(VLOOKUP(ILACLISTE[[#This Row],[NAME]],Table5[#All],2,0),"")</f>
        <v/>
      </c>
    </row>
    <row r="331" spans="1:3" x14ac:dyDescent="0.3">
      <c r="A331" s="5" t="s">
        <v>1021</v>
      </c>
      <c r="B331" t="s">
        <v>6937</v>
      </c>
      <c r="C331" t="str">
        <f>IFERROR(VLOOKUP(ILACLISTE[[#This Row],[NAME]],Table5[#All],2,0),"")</f>
        <v/>
      </c>
    </row>
    <row r="332" spans="1:3" x14ac:dyDescent="0.3">
      <c r="A332" s="5" t="s">
        <v>1022</v>
      </c>
      <c r="B332" t="s">
        <v>6938</v>
      </c>
      <c r="C332" t="str">
        <f>IFERROR(VLOOKUP(ILACLISTE[[#This Row],[NAME]],Table5[#All],2,0),"")</f>
        <v/>
      </c>
    </row>
    <row r="333" spans="1:3" x14ac:dyDescent="0.3">
      <c r="A333" s="5" t="s">
        <v>1023</v>
      </c>
      <c r="B333" t="s">
        <v>6939</v>
      </c>
      <c r="C333" t="str">
        <f>IFERROR(VLOOKUP(ILACLISTE[[#This Row],[NAME]],Table5[#All],2,0),"")</f>
        <v/>
      </c>
    </row>
    <row r="334" spans="1:3" x14ac:dyDescent="0.3">
      <c r="A334" s="5" t="s">
        <v>1024</v>
      </c>
      <c r="B334" t="s">
        <v>6940</v>
      </c>
      <c r="C334" t="str">
        <f>IFERROR(VLOOKUP(ILACLISTE[[#This Row],[NAME]],Table5[#All],2,0),"")</f>
        <v/>
      </c>
    </row>
    <row r="335" spans="1:3" x14ac:dyDescent="0.3">
      <c r="A335" s="5" t="s">
        <v>1025</v>
      </c>
      <c r="B335" t="s">
        <v>6941</v>
      </c>
      <c r="C335" t="str">
        <f>IFERROR(VLOOKUP(ILACLISTE[[#This Row],[NAME]],Table5[#All],2,0),"")</f>
        <v/>
      </c>
    </row>
    <row r="336" spans="1:3" x14ac:dyDescent="0.3">
      <c r="A336" s="5" t="s">
        <v>1026</v>
      </c>
      <c r="B336" t="s">
        <v>6942</v>
      </c>
      <c r="C336" t="str">
        <f>IFERROR(VLOOKUP(ILACLISTE[[#This Row],[NAME]],Table5[#All],2,0),"")</f>
        <v/>
      </c>
    </row>
    <row r="337" spans="1:3" x14ac:dyDescent="0.3">
      <c r="A337" s="5" t="s">
        <v>1027</v>
      </c>
      <c r="B337" t="s">
        <v>6943</v>
      </c>
      <c r="C337" t="str">
        <f>IFERROR(VLOOKUP(ILACLISTE[[#This Row],[NAME]],Table5[#All],2,0),"")</f>
        <v/>
      </c>
    </row>
    <row r="338" spans="1:3" x14ac:dyDescent="0.3">
      <c r="A338" s="5" t="s">
        <v>1028</v>
      </c>
      <c r="B338" t="s">
        <v>6944</v>
      </c>
      <c r="C338" t="str">
        <f>IFERROR(VLOOKUP(ILACLISTE[[#This Row],[NAME]],Table5[#All],2,0),"")</f>
        <v/>
      </c>
    </row>
    <row r="339" spans="1:3" x14ac:dyDescent="0.3">
      <c r="A339" s="5" t="s">
        <v>1029</v>
      </c>
      <c r="B339" t="s">
        <v>6945</v>
      </c>
      <c r="C339" t="str">
        <f>IFERROR(VLOOKUP(ILACLISTE[[#This Row],[NAME]],Table5[#All],2,0),"")</f>
        <v/>
      </c>
    </row>
    <row r="340" spans="1:3" x14ac:dyDescent="0.3">
      <c r="A340" s="5" t="s">
        <v>1030</v>
      </c>
      <c r="B340" t="s">
        <v>6946</v>
      </c>
      <c r="C340" t="str">
        <f>IFERROR(VLOOKUP(ILACLISTE[[#This Row],[NAME]],Table5[#All],2,0),"")</f>
        <v/>
      </c>
    </row>
    <row r="341" spans="1:3" x14ac:dyDescent="0.3">
      <c r="A341" s="5" t="s">
        <v>1031</v>
      </c>
      <c r="B341" t="s">
        <v>6947</v>
      </c>
      <c r="C341" t="str">
        <f>IFERROR(VLOOKUP(ILACLISTE[[#This Row],[NAME]],Table5[#All],2,0),"")</f>
        <v/>
      </c>
    </row>
    <row r="342" spans="1:3" x14ac:dyDescent="0.3">
      <c r="A342" s="5" t="s">
        <v>1032</v>
      </c>
      <c r="B342" t="s">
        <v>6948</v>
      </c>
      <c r="C342" t="str">
        <f>IFERROR(VLOOKUP(ILACLISTE[[#This Row],[NAME]],Table5[#All],2,0),"")</f>
        <v/>
      </c>
    </row>
    <row r="343" spans="1:3" x14ac:dyDescent="0.3">
      <c r="A343" s="5" t="s">
        <v>1033</v>
      </c>
      <c r="B343" t="s">
        <v>6949</v>
      </c>
      <c r="C343" t="str">
        <f>IFERROR(VLOOKUP(ILACLISTE[[#This Row],[NAME]],Table5[#All],2,0),"")</f>
        <v/>
      </c>
    </row>
    <row r="344" spans="1:3" x14ac:dyDescent="0.3">
      <c r="A344" s="5" t="s">
        <v>1034</v>
      </c>
      <c r="B344" t="s">
        <v>6950</v>
      </c>
      <c r="C344" t="str">
        <f>IFERROR(VLOOKUP(ILACLISTE[[#This Row],[NAME]],Table5[#All],2,0),"")</f>
        <v/>
      </c>
    </row>
    <row r="345" spans="1:3" x14ac:dyDescent="0.3">
      <c r="A345" s="5" t="s">
        <v>1035</v>
      </c>
      <c r="B345" t="s">
        <v>6951</v>
      </c>
      <c r="C345" t="str">
        <f>IFERROR(VLOOKUP(ILACLISTE[[#This Row],[NAME]],Table5[#All],2,0),"")</f>
        <v/>
      </c>
    </row>
    <row r="346" spans="1:3" x14ac:dyDescent="0.3">
      <c r="A346" s="5" t="s">
        <v>1036</v>
      </c>
      <c r="B346" t="s">
        <v>6952</v>
      </c>
      <c r="C346" t="str">
        <f>IFERROR(VLOOKUP(ILACLISTE[[#This Row],[NAME]],Table5[#All],2,0),"")</f>
        <v/>
      </c>
    </row>
    <row r="347" spans="1:3" x14ac:dyDescent="0.3">
      <c r="A347" s="5" t="s">
        <v>1037</v>
      </c>
      <c r="B347" t="s">
        <v>6953</v>
      </c>
      <c r="C347" t="str">
        <f>IFERROR(VLOOKUP(ILACLISTE[[#This Row],[NAME]],Table5[#All],2,0),"")</f>
        <v/>
      </c>
    </row>
    <row r="348" spans="1:3" x14ac:dyDescent="0.3">
      <c r="A348" s="5" t="s">
        <v>1038</v>
      </c>
      <c r="B348" t="s">
        <v>6954</v>
      </c>
      <c r="C348" t="str">
        <f>IFERROR(VLOOKUP(ILACLISTE[[#This Row],[NAME]],Table5[#All],2,0),"")</f>
        <v/>
      </c>
    </row>
    <row r="349" spans="1:3" x14ac:dyDescent="0.3">
      <c r="A349" s="5" t="s">
        <v>1039</v>
      </c>
      <c r="B349" t="s">
        <v>6955</v>
      </c>
      <c r="C349" t="str">
        <f>IFERROR(VLOOKUP(ILACLISTE[[#This Row],[NAME]],Table5[#All],2,0),"")</f>
        <v/>
      </c>
    </row>
    <row r="350" spans="1:3" x14ac:dyDescent="0.3">
      <c r="A350" s="5" t="s">
        <v>1040</v>
      </c>
      <c r="B350" t="s">
        <v>6956</v>
      </c>
      <c r="C350" t="str">
        <f>IFERROR(VLOOKUP(ILACLISTE[[#This Row],[NAME]],Table5[#All],2,0),"")</f>
        <v/>
      </c>
    </row>
    <row r="351" spans="1:3" x14ac:dyDescent="0.3">
      <c r="A351" s="5" t="s">
        <v>1041</v>
      </c>
      <c r="B351" t="s">
        <v>6957</v>
      </c>
      <c r="C351" t="str">
        <f>IFERROR(VLOOKUP(ILACLISTE[[#This Row],[NAME]],Table5[#All],2,0),"")</f>
        <v/>
      </c>
    </row>
    <row r="352" spans="1:3" x14ac:dyDescent="0.3">
      <c r="A352" s="5" t="s">
        <v>1042</v>
      </c>
      <c r="B352" t="s">
        <v>6958</v>
      </c>
      <c r="C352" t="str">
        <f>IFERROR(VLOOKUP(ILACLISTE[[#This Row],[NAME]],Table5[#All],2,0),"")</f>
        <v/>
      </c>
    </row>
    <row r="353" spans="1:3" x14ac:dyDescent="0.3">
      <c r="A353" s="5" t="s">
        <v>1043</v>
      </c>
      <c r="B353" t="s">
        <v>6959</v>
      </c>
      <c r="C353" t="str">
        <f>IFERROR(VLOOKUP(ILACLISTE[[#This Row],[NAME]],Table5[#All],2,0),"")</f>
        <v/>
      </c>
    </row>
    <row r="354" spans="1:3" x14ac:dyDescent="0.3">
      <c r="A354" s="5" t="s">
        <v>1044</v>
      </c>
      <c r="B354" t="s">
        <v>6960</v>
      </c>
      <c r="C354" t="str">
        <f>IFERROR(VLOOKUP(ILACLISTE[[#This Row],[NAME]],Table5[#All],2,0),"")</f>
        <v/>
      </c>
    </row>
    <row r="355" spans="1:3" x14ac:dyDescent="0.3">
      <c r="A355" s="5" t="s">
        <v>1045</v>
      </c>
      <c r="B355" t="s">
        <v>6961</v>
      </c>
      <c r="C355" t="str">
        <f>IFERROR(VLOOKUP(ILACLISTE[[#This Row],[NAME]],Table5[#All],2,0),"")</f>
        <v/>
      </c>
    </row>
    <row r="356" spans="1:3" x14ac:dyDescent="0.3">
      <c r="A356" s="5" t="s">
        <v>1046</v>
      </c>
      <c r="B356" t="s">
        <v>6962</v>
      </c>
      <c r="C356" t="str">
        <f>IFERROR(VLOOKUP(ILACLISTE[[#This Row],[NAME]],Table5[#All],2,0),"")</f>
        <v/>
      </c>
    </row>
    <row r="357" spans="1:3" x14ac:dyDescent="0.3">
      <c r="A357" s="5" t="s">
        <v>1047</v>
      </c>
      <c r="B357" t="s">
        <v>6963</v>
      </c>
      <c r="C357" t="str">
        <f>IFERROR(VLOOKUP(ILACLISTE[[#This Row],[NAME]],Table5[#All],2,0),"")</f>
        <v/>
      </c>
    </row>
    <row r="358" spans="1:3" x14ac:dyDescent="0.3">
      <c r="A358" s="5" t="s">
        <v>1048</v>
      </c>
      <c r="B358" t="s">
        <v>6964</v>
      </c>
      <c r="C358" t="str">
        <f>IFERROR(VLOOKUP(ILACLISTE[[#This Row],[NAME]],Table5[#All],2,0),"")</f>
        <v/>
      </c>
    </row>
    <row r="359" spans="1:3" x14ac:dyDescent="0.3">
      <c r="A359" s="5" t="s">
        <v>1049</v>
      </c>
      <c r="B359" t="s">
        <v>6965</v>
      </c>
      <c r="C359" t="str">
        <f>IFERROR(VLOOKUP(ILACLISTE[[#This Row],[NAME]],Table5[#All],2,0),"")</f>
        <v/>
      </c>
    </row>
    <row r="360" spans="1:3" x14ac:dyDescent="0.3">
      <c r="A360" s="5" t="s">
        <v>1050</v>
      </c>
      <c r="B360" t="s">
        <v>6966</v>
      </c>
      <c r="C360" t="str">
        <f>IFERROR(VLOOKUP(ILACLISTE[[#This Row],[NAME]],Table5[#All],2,0),"")</f>
        <v/>
      </c>
    </row>
    <row r="361" spans="1:3" x14ac:dyDescent="0.3">
      <c r="A361" s="5" t="s">
        <v>1051</v>
      </c>
      <c r="B361" t="s">
        <v>6967</v>
      </c>
      <c r="C361" t="str">
        <f>IFERROR(VLOOKUP(ILACLISTE[[#This Row],[NAME]],Table5[#All],2,0),"")</f>
        <v/>
      </c>
    </row>
    <row r="362" spans="1:3" x14ac:dyDescent="0.3">
      <c r="A362" s="5" t="s">
        <v>1052</v>
      </c>
      <c r="B362" t="s">
        <v>39</v>
      </c>
      <c r="C362" t="str">
        <f>IFERROR(VLOOKUP(ILACLISTE[[#This Row],[NAME]],Table5[#All],2,0),"")</f>
        <v/>
      </c>
    </row>
    <row r="363" spans="1:3" x14ac:dyDescent="0.3">
      <c r="A363" s="5" t="s">
        <v>1053</v>
      </c>
      <c r="B363" t="s">
        <v>40</v>
      </c>
      <c r="C363" t="str">
        <f>IFERROR(VLOOKUP(ILACLISTE[[#This Row],[NAME]],Table5[#All],2,0),"")</f>
        <v/>
      </c>
    </row>
    <row r="364" spans="1:3" x14ac:dyDescent="0.3">
      <c r="A364" s="5" t="s">
        <v>1054</v>
      </c>
      <c r="B364" t="s">
        <v>41</v>
      </c>
      <c r="C364" t="str">
        <f>IFERROR(VLOOKUP(ILACLISTE[[#This Row],[NAME]],Table5[#All],2,0),"")</f>
        <v/>
      </c>
    </row>
    <row r="365" spans="1:3" x14ac:dyDescent="0.3">
      <c r="A365" s="5" t="s">
        <v>1055</v>
      </c>
      <c r="B365" t="s">
        <v>6968</v>
      </c>
      <c r="C365" t="str">
        <f>IFERROR(VLOOKUP(ILACLISTE[[#This Row],[NAME]],Table5[#All],2,0),"")</f>
        <v/>
      </c>
    </row>
    <row r="366" spans="1:3" x14ac:dyDescent="0.3">
      <c r="A366" s="5" t="s">
        <v>1056</v>
      </c>
      <c r="B366" t="s">
        <v>6969</v>
      </c>
      <c r="C366" t="str">
        <f>IFERROR(VLOOKUP(ILACLISTE[[#This Row],[NAME]],Table5[#All],2,0),"")</f>
        <v/>
      </c>
    </row>
    <row r="367" spans="1:3" x14ac:dyDescent="0.3">
      <c r="A367" s="5" t="s">
        <v>1057</v>
      </c>
      <c r="B367" t="s">
        <v>6970</v>
      </c>
      <c r="C367" t="str">
        <f>IFERROR(VLOOKUP(ILACLISTE[[#This Row],[NAME]],Table5[#All],2,0),"")</f>
        <v/>
      </c>
    </row>
    <row r="368" spans="1:3" x14ac:dyDescent="0.3">
      <c r="A368" s="5" t="s">
        <v>1058</v>
      </c>
      <c r="B368" t="s">
        <v>6971</v>
      </c>
      <c r="C368" t="str">
        <f>IFERROR(VLOOKUP(ILACLISTE[[#This Row],[NAME]],Table5[#All],2,0),"")</f>
        <v/>
      </c>
    </row>
    <row r="369" spans="1:3" x14ac:dyDescent="0.3">
      <c r="A369" s="5" t="s">
        <v>1059</v>
      </c>
      <c r="B369" t="s">
        <v>6972</v>
      </c>
      <c r="C369" t="str">
        <f>IFERROR(VLOOKUP(ILACLISTE[[#This Row],[NAME]],Table5[#All],2,0),"")</f>
        <v/>
      </c>
    </row>
    <row r="370" spans="1:3" x14ac:dyDescent="0.3">
      <c r="A370" s="5" t="s">
        <v>1060</v>
      </c>
      <c r="B370" t="s">
        <v>6973</v>
      </c>
      <c r="C370" t="str">
        <f>IFERROR(VLOOKUP(ILACLISTE[[#This Row],[NAME]],Table5[#All],2,0),"")</f>
        <v/>
      </c>
    </row>
    <row r="371" spans="1:3" x14ac:dyDescent="0.3">
      <c r="A371" s="5" t="s">
        <v>6974</v>
      </c>
      <c r="B371" t="s">
        <v>6975</v>
      </c>
      <c r="C371" t="str">
        <f>IFERROR(VLOOKUP(ILACLISTE[[#This Row],[NAME]],Table5[#All],2,0),"")</f>
        <v/>
      </c>
    </row>
    <row r="372" spans="1:3" x14ac:dyDescent="0.3">
      <c r="A372" s="5" t="s">
        <v>6976</v>
      </c>
      <c r="B372" t="s">
        <v>6977</v>
      </c>
      <c r="C372" t="str">
        <f>IFERROR(VLOOKUP(ILACLISTE[[#This Row],[NAME]],Table5[#All],2,0),"")</f>
        <v/>
      </c>
    </row>
    <row r="373" spans="1:3" x14ac:dyDescent="0.3">
      <c r="A373" s="5" t="s">
        <v>6978</v>
      </c>
      <c r="B373" t="s">
        <v>6979</v>
      </c>
      <c r="C373" t="str">
        <f>IFERROR(VLOOKUP(ILACLISTE[[#This Row],[NAME]],Table5[#All],2,0),"")</f>
        <v/>
      </c>
    </row>
    <row r="374" spans="1:3" x14ac:dyDescent="0.3">
      <c r="A374" s="5" t="s">
        <v>1061</v>
      </c>
      <c r="B374" t="s">
        <v>6980</v>
      </c>
      <c r="C374" t="str">
        <f>IFERROR(VLOOKUP(ILACLISTE[[#This Row],[NAME]],Table5[#All],2,0),"")</f>
        <v/>
      </c>
    </row>
    <row r="375" spans="1:3" x14ac:dyDescent="0.3">
      <c r="A375" s="5" t="s">
        <v>1062</v>
      </c>
      <c r="B375" t="s">
        <v>6981</v>
      </c>
      <c r="C375" t="str">
        <f>IFERROR(VLOOKUP(ILACLISTE[[#This Row],[NAME]],Table5[#All],2,0),"")</f>
        <v/>
      </c>
    </row>
    <row r="376" spans="1:3" x14ac:dyDescent="0.3">
      <c r="A376" s="5" t="s">
        <v>1063</v>
      </c>
      <c r="B376" t="s">
        <v>6982</v>
      </c>
      <c r="C376" t="str">
        <f>IFERROR(VLOOKUP(ILACLISTE[[#This Row],[NAME]],Table5[#All],2,0),"")</f>
        <v/>
      </c>
    </row>
    <row r="377" spans="1:3" x14ac:dyDescent="0.3">
      <c r="A377" s="5" t="s">
        <v>1064</v>
      </c>
      <c r="B377" t="s">
        <v>6983</v>
      </c>
      <c r="C377" t="str">
        <f>IFERROR(VLOOKUP(ILACLISTE[[#This Row],[NAME]],Table5[#All],2,0),"")</f>
        <v/>
      </c>
    </row>
    <row r="378" spans="1:3" x14ac:dyDescent="0.3">
      <c r="A378" s="5" t="s">
        <v>1065</v>
      </c>
      <c r="B378" t="s">
        <v>6984</v>
      </c>
      <c r="C378" t="str">
        <f>IFERROR(VLOOKUP(ILACLISTE[[#This Row],[NAME]],Table5[#All],2,0),"")</f>
        <v/>
      </c>
    </row>
    <row r="379" spans="1:3" x14ac:dyDescent="0.3">
      <c r="A379" s="5" t="s">
        <v>1066</v>
      </c>
      <c r="B379" t="s">
        <v>6985</v>
      </c>
      <c r="C379" t="str">
        <f>IFERROR(VLOOKUP(ILACLISTE[[#This Row],[NAME]],Table5[#All],2,0),"")</f>
        <v/>
      </c>
    </row>
    <row r="380" spans="1:3" x14ac:dyDescent="0.3">
      <c r="A380" s="5" t="s">
        <v>1067</v>
      </c>
      <c r="B380" t="s">
        <v>6986</v>
      </c>
      <c r="C380" t="str">
        <f>IFERROR(VLOOKUP(ILACLISTE[[#This Row],[NAME]],Table5[#All],2,0),"")</f>
        <v/>
      </c>
    </row>
    <row r="381" spans="1:3" x14ac:dyDescent="0.3">
      <c r="A381" s="5" t="s">
        <v>1068</v>
      </c>
      <c r="B381" t="s">
        <v>6987</v>
      </c>
      <c r="C381" t="str">
        <f>IFERROR(VLOOKUP(ILACLISTE[[#This Row],[NAME]],Table5[#All],2,0),"")</f>
        <v/>
      </c>
    </row>
    <row r="382" spans="1:3" x14ac:dyDescent="0.3">
      <c r="A382" s="5" t="s">
        <v>1069</v>
      </c>
      <c r="B382" t="s">
        <v>6988</v>
      </c>
      <c r="C382" t="str">
        <f>IFERROR(VLOOKUP(ILACLISTE[[#This Row],[NAME]],Table5[#All],2,0),"")</f>
        <v/>
      </c>
    </row>
    <row r="383" spans="1:3" x14ac:dyDescent="0.3">
      <c r="A383" s="5" t="s">
        <v>1070</v>
      </c>
      <c r="B383" t="s">
        <v>6989</v>
      </c>
      <c r="C383" t="str">
        <f>IFERROR(VLOOKUP(ILACLISTE[[#This Row],[NAME]],Table5[#All],2,0),"")</f>
        <v/>
      </c>
    </row>
    <row r="384" spans="1:3" x14ac:dyDescent="0.3">
      <c r="A384" s="5" t="s">
        <v>1071</v>
      </c>
      <c r="B384" t="s">
        <v>6990</v>
      </c>
      <c r="C384" t="str">
        <f>IFERROR(VLOOKUP(ILACLISTE[[#This Row],[NAME]],Table5[#All],2,0),"")</f>
        <v/>
      </c>
    </row>
    <row r="385" spans="1:3" x14ac:dyDescent="0.3">
      <c r="A385" s="5" t="s">
        <v>1072</v>
      </c>
      <c r="B385" t="s">
        <v>6991</v>
      </c>
      <c r="C385" t="str">
        <f>IFERROR(VLOOKUP(ILACLISTE[[#This Row],[NAME]],Table5[#All],2,0),"")</f>
        <v/>
      </c>
    </row>
    <row r="386" spans="1:3" x14ac:dyDescent="0.3">
      <c r="A386" s="5" t="s">
        <v>1073</v>
      </c>
      <c r="B386" t="s">
        <v>6992</v>
      </c>
      <c r="C386" t="str">
        <f>IFERROR(VLOOKUP(ILACLISTE[[#This Row],[NAME]],Table5[#All],2,0),"")</f>
        <v/>
      </c>
    </row>
    <row r="387" spans="1:3" x14ac:dyDescent="0.3">
      <c r="A387" s="5" t="s">
        <v>1074</v>
      </c>
      <c r="B387" t="s">
        <v>6993</v>
      </c>
      <c r="C387" t="str">
        <f>IFERROR(VLOOKUP(ILACLISTE[[#This Row],[NAME]],Table5[#All],2,0),"")</f>
        <v/>
      </c>
    </row>
    <row r="388" spans="1:3" ht="20.399999999999999" x14ac:dyDescent="0.3">
      <c r="A388" s="6" t="s">
        <v>1075</v>
      </c>
      <c r="B388" t="s">
        <v>6994</v>
      </c>
      <c r="C388" t="str">
        <f>IFERROR(VLOOKUP(ILACLISTE[[#This Row],[NAME]],Table5[#All],2,0),"")</f>
        <v/>
      </c>
    </row>
    <row r="389" spans="1:3" x14ac:dyDescent="0.3">
      <c r="A389" s="5" t="s">
        <v>1076</v>
      </c>
      <c r="B389" t="s">
        <v>6995</v>
      </c>
      <c r="C389" t="str">
        <f>IFERROR(VLOOKUP(ILACLISTE[[#This Row],[NAME]],Table5[#All],2,0),"")</f>
        <v/>
      </c>
    </row>
    <row r="390" spans="1:3" x14ac:dyDescent="0.3">
      <c r="A390" s="5" t="s">
        <v>1077</v>
      </c>
      <c r="B390" t="s">
        <v>6996</v>
      </c>
      <c r="C390" t="str">
        <f>IFERROR(VLOOKUP(ILACLISTE[[#This Row],[NAME]],Table5[#All],2,0),"")</f>
        <v/>
      </c>
    </row>
    <row r="391" spans="1:3" x14ac:dyDescent="0.3">
      <c r="A391" s="5" t="s">
        <v>1078</v>
      </c>
      <c r="B391" t="s">
        <v>6997</v>
      </c>
      <c r="C391" t="str">
        <f>IFERROR(VLOOKUP(ILACLISTE[[#This Row],[NAME]],Table5[#All],2,0),"")</f>
        <v/>
      </c>
    </row>
    <row r="392" spans="1:3" x14ac:dyDescent="0.3">
      <c r="A392" s="5" t="s">
        <v>1079</v>
      </c>
      <c r="B392" t="s">
        <v>6998</v>
      </c>
      <c r="C392" t="str">
        <f>IFERROR(VLOOKUP(ILACLISTE[[#This Row],[NAME]],Table5[#All],2,0),"")</f>
        <v/>
      </c>
    </row>
    <row r="393" spans="1:3" x14ac:dyDescent="0.3">
      <c r="A393" s="5" t="s">
        <v>6999</v>
      </c>
      <c r="B393" t="s">
        <v>7000</v>
      </c>
      <c r="C393" t="str">
        <f>IFERROR(VLOOKUP(ILACLISTE[[#This Row],[NAME]],Table5[#All],2,0),"")</f>
        <v/>
      </c>
    </row>
    <row r="394" spans="1:3" x14ac:dyDescent="0.3">
      <c r="A394" s="5" t="s">
        <v>7001</v>
      </c>
      <c r="B394" t="s">
        <v>7002</v>
      </c>
      <c r="C394" t="str">
        <f>IFERROR(VLOOKUP(ILACLISTE[[#This Row],[NAME]],Table5[#All],2,0),"")</f>
        <v/>
      </c>
    </row>
    <row r="395" spans="1:3" x14ac:dyDescent="0.3">
      <c r="A395" s="5" t="s">
        <v>1080</v>
      </c>
      <c r="B395" t="s">
        <v>7003</v>
      </c>
      <c r="C395" t="str">
        <f>IFERROR(VLOOKUP(ILACLISTE[[#This Row],[NAME]],Table5[#All],2,0),"")</f>
        <v/>
      </c>
    </row>
    <row r="396" spans="1:3" x14ac:dyDescent="0.3">
      <c r="A396" s="5" t="s">
        <v>1081</v>
      </c>
      <c r="B396" t="s">
        <v>7004</v>
      </c>
      <c r="C396" t="str">
        <f>IFERROR(VLOOKUP(ILACLISTE[[#This Row],[NAME]],Table5[#All],2,0),"")</f>
        <v/>
      </c>
    </row>
    <row r="397" spans="1:3" x14ac:dyDescent="0.3">
      <c r="A397" s="5" t="s">
        <v>1082</v>
      </c>
      <c r="B397" t="s">
        <v>7005</v>
      </c>
      <c r="C397" t="str">
        <f>IFERROR(VLOOKUP(ILACLISTE[[#This Row],[NAME]],Table5[#All],2,0),"")</f>
        <v/>
      </c>
    </row>
    <row r="398" spans="1:3" x14ac:dyDescent="0.3">
      <c r="A398" s="5" t="s">
        <v>1083</v>
      </c>
      <c r="B398" t="s">
        <v>7006</v>
      </c>
      <c r="C398" t="str">
        <f>IFERROR(VLOOKUP(ILACLISTE[[#This Row],[NAME]],Table5[#All],2,0),"")</f>
        <v/>
      </c>
    </row>
    <row r="399" spans="1:3" x14ac:dyDescent="0.3">
      <c r="A399" s="5" t="s">
        <v>1084</v>
      </c>
      <c r="B399" t="s">
        <v>7007</v>
      </c>
      <c r="C399" t="str">
        <f>IFERROR(VLOOKUP(ILACLISTE[[#This Row],[NAME]],Table5[#All],2,0),"")</f>
        <v/>
      </c>
    </row>
    <row r="400" spans="1:3" x14ac:dyDescent="0.3">
      <c r="A400" s="5" t="s">
        <v>1085</v>
      </c>
      <c r="B400" t="s">
        <v>7008</v>
      </c>
      <c r="C400" t="str">
        <f>IFERROR(VLOOKUP(ILACLISTE[[#This Row],[NAME]],Table5[#All],2,0),"")</f>
        <v/>
      </c>
    </row>
    <row r="401" spans="1:3" x14ac:dyDescent="0.3">
      <c r="A401" s="5" t="s">
        <v>1086</v>
      </c>
      <c r="B401" t="s">
        <v>7009</v>
      </c>
      <c r="C401" t="str">
        <f>IFERROR(VLOOKUP(ILACLISTE[[#This Row],[NAME]],Table5[#All],2,0),"")</f>
        <v/>
      </c>
    </row>
    <row r="402" spans="1:3" x14ac:dyDescent="0.3">
      <c r="A402" s="5" t="s">
        <v>1087</v>
      </c>
      <c r="B402" t="s">
        <v>7010</v>
      </c>
      <c r="C402" t="str">
        <f>IFERROR(VLOOKUP(ILACLISTE[[#This Row],[NAME]],Table5[#All],2,0),"")</f>
        <v/>
      </c>
    </row>
    <row r="403" spans="1:3" x14ac:dyDescent="0.3">
      <c r="A403" s="5" t="s">
        <v>1088</v>
      </c>
      <c r="B403" t="s">
        <v>7011</v>
      </c>
      <c r="C403" t="str">
        <f>IFERROR(VLOOKUP(ILACLISTE[[#This Row],[NAME]],Table5[#All],2,0),"")</f>
        <v/>
      </c>
    </row>
    <row r="404" spans="1:3" x14ac:dyDescent="0.3">
      <c r="A404" s="5" t="s">
        <v>1089</v>
      </c>
      <c r="B404" t="s">
        <v>42</v>
      </c>
      <c r="C404" t="str">
        <f>IFERROR(VLOOKUP(ILACLISTE[[#This Row],[NAME]],Table5[#All],2,0),"")</f>
        <v/>
      </c>
    </row>
    <row r="405" spans="1:3" x14ac:dyDescent="0.3">
      <c r="A405" s="5" t="s">
        <v>1090</v>
      </c>
      <c r="B405" t="s">
        <v>7012</v>
      </c>
      <c r="C405" t="str">
        <f>IFERROR(VLOOKUP(ILACLISTE[[#This Row],[NAME]],Table5[#All],2,0),"")</f>
        <v/>
      </c>
    </row>
    <row r="406" spans="1:3" x14ac:dyDescent="0.3">
      <c r="A406" s="5" t="s">
        <v>1091</v>
      </c>
      <c r="B406" t="s">
        <v>7013</v>
      </c>
      <c r="C406" t="str">
        <f>IFERROR(VLOOKUP(ILACLISTE[[#This Row],[NAME]],Table5[#All],2,0),"")</f>
        <v/>
      </c>
    </row>
    <row r="407" spans="1:3" x14ac:dyDescent="0.3">
      <c r="A407" s="5" t="s">
        <v>1092</v>
      </c>
      <c r="B407" t="s">
        <v>7014</v>
      </c>
      <c r="C407" t="str">
        <f>IFERROR(VLOOKUP(ILACLISTE[[#This Row],[NAME]],Table5[#All],2,0),"")</f>
        <v/>
      </c>
    </row>
    <row r="408" spans="1:3" x14ac:dyDescent="0.3">
      <c r="A408" s="5" t="s">
        <v>1093</v>
      </c>
      <c r="B408" t="s">
        <v>7015</v>
      </c>
      <c r="C408" t="str">
        <f>IFERROR(VLOOKUP(ILACLISTE[[#This Row],[NAME]],Table5[#All],2,0),"")</f>
        <v/>
      </c>
    </row>
    <row r="409" spans="1:3" x14ac:dyDescent="0.3">
      <c r="A409" s="5" t="s">
        <v>1094</v>
      </c>
      <c r="B409" t="s">
        <v>7016</v>
      </c>
      <c r="C409" t="str">
        <f>IFERROR(VLOOKUP(ILACLISTE[[#This Row],[NAME]],Table5[#All],2,0),"")</f>
        <v/>
      </c>
    </row>
    <row r="410" spans="1:3" x14ac:dyDescent="0.3">
      <c r="A410" s="5" t="s">
        <v>1095</v>
      </c>
      <c r="B410" t="s">
        <v>7017</v>
      </c>
      <c r="C410" t="str">
        <f>IFERROR(VLOOKUP(ILACLISTE[[#This Row],[NAME]],Table5[#All],2,0),"")</f>
        <v/>
      </c>
    </row>
    <row r="411" spans="1:3" x14ac:dyDescent="0.3">
      <c r="A411" s="5" t="s">
        <v>1096</v>
      </c>
      <c r="B411" t="s">
        <v>7018</v>
      </c>
      <c r="C411" t="str">
        <f>IFERROR(VLOOKUP(ILACLISTE[[#This Row],[NAME]],Table5[#All],2,0),"")</f>
        <v/>
      </c>
    </row>
    <row r="412" spans="1:3" x14ac:dyDescent="0.3">
      <c r="A412" s="5" t="s">
        <v>1097</v>
      </c>
      <c r="B412" t="s">
        <v>43</v>
      </c>
      <c r="C412" t="str">
        <f>IFERROR(VLOOKUP(ILACLISTE[[#This Row],[NAME]],Table5[#All],2,0),"")</f>
        <v/>
      </c>
    </row>
    <row r="413" spans="1:3" x14ac:dyDescent="0.3">
      <c r="A413" s="5" t="s">
        <v>1098</v>
      </c>
      <c r="B413" t="s">
        <v>7019</v>
      </c>
      <c r="C413" t="str">
        <f>IFERROR(VLOOKUP(ILACLISTE[[#This Row],[NAME]],Table5[#All],2,0),"")</f>
        <v/>
      </c>
    </row>
    <row r="414" spans="1:3" x14ac:dyDescent="0.3">
      <c r="A414" s="5" t="s">
        <v>1099</v>
      </c>
      <c r="B414" t="s">
        <v>7020</v>
      </c>
      <c r="C414" t="str">
        <f>IFERROR(VLOOKUP(ILACLISTE[[#This Row],[NAME]],Table5[#All],2,0),"")</f>
        <v/>
      </c>
    </row>
    <row r="415" spans="1:3" x14ac:dyDescent="0.3">
      <c r="A415" s="5" t="s">
        <v>1100</v>
      </c>
      <c r="B415" t="s">
        <v>7021</v>
      </c>
      <c r="C415" t="str">
        <f>IFERROR(VLOOKUP(ILACLISTE[[#This Row],[NAME]],Table5[#All],2,0),"")</f>
        <v/>
      </c>
    </row>
    <row r="416" spans="1:3" x14ac:dyDescent="0.3">
      <c r="A416" s="5" t="s">
        <v>1101</v>
      </c>
      <c r="B416" t="s">
        <v>7022</v>
      </c>
      <c r="C416" t="str">
        <f>IFERROR(VLOOKUP(ILACLISTE[[#This Row],[NAME]],Table5[#All],2,0),"")</f>
        <v/>
      </c>
    </row>
    <row r="417" spans="1:3" x14ac:dyDescent="0.3">
      <c r="A417" s="5" t="s">
        <v>1102</v>
      </c>
      <c r="B417" t="s">
        <v>7023</v>
      </c>
      <c r="C417" t="str">
        <f>IFERROR(VLOOKUP(ILACLISTE[[#This Row],[NAME]],Table5[#All],2,0),"")</f>
        <v/>
      </c>
    </row>
    <row r="418" spans="1:3" x14ac:dyDescent="0.3">
      <c r="A418" s="5" t="s">
        <v>1103</v>
      </c>
      <c r="B418" t="s">
        <v>7024</v>
      </c>
      <c r="C418" t="str">
        <f>IFERROR(VLOOKUP(ILACLISTE[[#This Row],[NAME]],Table5[#All],2,0),"")</f>
        <v/>
      </c>
    </row>
    <row r="419" spans="1:3" x14ac:dyDescent="0.3">
      <c r="A419" s="5" t="s">
        <v>1104</v>
      </c>
      <c r="B419" t="s">
        <v>7025</v>
      </c>
      <c r="C419" t="str">
        <f>IFERROR(VLOOKUP(ILACLISTE[[#This Row],[NAME]],Table5[#All],2,0),"")</f>
        <v/>
      </c>
    </row>
    <row r="420" spans="1:3" x14ac:dyDescent="0.3">
      <c r="A420" s="5" t="s">
        <v>1105</v>
      </c>
      <c r="B420" t="s">
        <v>7026</v>
      </c>
      <c r="C420" t="str">
        <f>IFERROR(VLOOKUP(ILACLISTE[[#This Row],[NAME]],Table5[#All],2,0),"")</f>
        <v/>
      </c>
    </row>
    <row r="421" spans="1:3" x14ac:dyDescent="0.3">
      <c r="A421" s="5" t="s">
        <v>1106</v>
      </c>
      <c r="B421" t="s">
        <v>7027</v>
      </c>
      <c r="C421" t="str">
        <f>IFERROR(VLOOKUP(ILACLISTE[[#This Row],[NAME]],Table5[#All],2,0),"")</f>
        <v/>
      </c>
    </row>
    <row r="422" spans="1:3" x14ac:dyDescent="0.3">
      <c r="A422" s="5" t="s">
        <v>1107</v>
      </c>
      <c r="B422" t="s">
        <v>7028</v>
      </c>
      <c r="C422" t="str">
        <f>IFERROR(VLOOKUP(ILACLISTE[[#This Row],[NAME]],Table5[#All],2,0),"")</f>
        <v/>
      </c>
    </row>
    <row r="423" spans="1:3" x14ac:dyDescent="0.3">
      <c r="A423" s="5" t="s">
        <v>1108</v>
      </c>
      <c r="B423" t="s">
        <v>7029</v>
      </c>
      <c r="C423" t="str">
        <f>IFERROR(VLOOKUP(ILACLISTE[[#This Row],[NAME]],Table5[#All],2,0),"")</f>
        <v/>
      </c>
    </row>
    <row r="424" spans="1:3" x14ac:dyDescent="0.3">
      <c r="A424" s="5" t="s">
        <v>1109</v>
      </c>
      <c r="B424" t="s">
        <v>7030</v>
      </c>
      <c r="C424" t="str">
        <f>IFERROR(VLOOKUP(ILACLISTE[[#This Row],[NAME]],Table5[#All],2,0),"")</f>
        <v/>
      </c>
    </row>
    <row r="425" spans="1:3" x14ac:dyDescent="0.3">
      <c r="A425" s="5" t="s">
        <v>1110</v>
      </c>
      <c r="B425" t="s">
        <v>7031</v>
      </c>
      <c r="C425" t="str">
        <f>IFERROR(VLOOKUP(ILACLISTE[[#This Row],[NAME]],Table5[#All],2,0),"")</f>
        <v/>
      </c>
    </row>
    <row r="426" spans="1:3" x14ac:dyDescent="0.3">
      <c r="A426" s="5" t="s">
        <v>1111</v>
      </c>
      <c r="B426" t="s">
        <v>7032</v>
      </c>
      <c r="C426" t="str">
        <f>IFERROR(VLOOKUP(ILACLISTE[[#This Row],[NAME]],Table5[#All],2,0),"")</f>
        <v/>
      </c>
    </row>
    <row r="427" spans="1:3" x14ac:dyDescent="0.3">
      <c r="A427" s="5" t="s">
        <v>1112</v>
      </c>
      <c r="B427" t="s">
        <v>7033</v>
      </c>
      <c r="C427" t="str">
        <f>IFERROR(VLOOKUP(ILACLISTE[[#This Row],[NAME]],Table5[#All],2,0),"")</f>
        <v/>
      </c>
    </row>
    <row r="428" spans="1:3" x14ac:dyDescent="0.3">
      <c r="A428" s="5" t="s">
        <v>1113</v>
      </c>
      <c r="B428" t="s">
        <v>7034</v>
      </c>
      <c r="C428" t="str">
        <f>IFERROR(VLOOKUP(ILACLISTE[[#This Row],[NAME]],Table5[#All],2,0),"")</f>
        <v/>
      </c>
    </row>
    <row r="429" spans="1:3" x14ac:dyDescent="0.3">
      <c r="A429" s="5" t="s">
        <v>1114</v>
      </c>
      <c r="B429" t="s">
        <v>7035</v>
      </c>
      <c r="C429" t="str">
        <f>IFERROR(VLOOKUP(ILACLISTE[[#This Row],[NAME]],Table5[#All],2,0),"")</f>
        <v/>
      </c>
    </row>
    <row r="430" spans="1:3" x14ac:dyDescent="0.3">
      <c r="A430" s="5" t="s">
        <v>1115</v>
      </c>
      <c r="B430" t="s">
        <v>7036</v>
      </c>
      <c r="C430" t="str">
        <f>IFERROR(VLOOKUP(ILACLISTE[[#This Row],[NAME]],Table5[#All],2,0),"")</f>
        <v/>
      </c>
    </row>
    <row r="431" spans="1:3" x14ac:dyDescent="0.3">
      <c r="A431" s="5" t="s">
        <v>1116</v>
      </c>
      <c r="B431" t="s">
        <v>7037</v>
      </c>
      <c r="C431" t="str">
        <f>IFERROR(VLOOKUP(ILACLISTE[[#This Row],[NAME]],Table5[#All],2,0),"")</f>
        <v/>
      </c>
    </row>
    <row r="432" spans="1:3" x14ac:dyDescent="0.3">
      <c r="A432" s="5" t="s">
        <v>1117</v>
      </c>
      <c r="B432" t="s">
        <v>7038</v>
      </c>
      <c r="C432" t="str">
        <f>IFERROR(VLOOKUP(ILACLISTE[[#This Row],[NAME]],Table5[#All],2,0),"")</f>
        <v/>
      </c>
    </row>
    <row r="433" spans="1:3" x14ac:dyDescent="0.3">
      <c r="A433" s="5" t="s">
        <v>1118</v>
      </c>
      <c r="B433" t="s">
        <v>44</v>
      </c>
      <c r="C433" t="str">
        <f>IFERROR(VLOOKUP(ILACLISTE[[#This Row],[NAME]],Table5[#All],2,0),"")</f>
        <v/>
      </c>
    </row>
    <row r="434" spans="1:3" x14ac:dyDescent="0.3">
      <c r="A434" s="5" t="s">
        <v>1119</v>
      </c>
      <c r="B434" t="s">
        <v>7039</v>
      </c>
      <c r="C434" t="str">
        <f>IFERROR(VLOOKUP(ILACLISTE[[#This Row],[NAME]],Table5[#All],2,0),"")</f>
        <v/>
      </c>
    </row>
    <row r="435" spans="1:3" x14ac:dyDescent="0.3">
      <c r="A435" s="5" t="s">
        <v>1120</v>
      </c>
      <c r="B435" t="s">
        <v>7040</v>
      </c>
      <c r="C435" t="str">
        <f>IFERROR(VLOOKUP(ILACLISTE[[#This Row],[NAME]],Table5[#All],2,0),"")</f>
        <v/>
      </c>
    </row>
    <row r="436" spans="1:3" x14ac:dyDescent="0.3">
      <c r="A436" s="5" t="s">
        <v>1121</v>
      </c>
      <c r="B436" t="s">
        <v>7041</v>
      </c>
      <c r="C436" t="str">
        <f>IFERROR(VLOOKUP(ILACLISTE[[#This Row],[NAME]],Table5[#All],2,0),"")</f>
        <v/>
      </c>
    </row>
    <row r="437" spans="1:3" x14ac:dyDescent="0.3">
      <c r="A437" s="5" t="s">
        <v>1122</v>
      </c>
      <c r="B437" t="s">
        <v>7042</v>
      </c>
      <c r="C437" t="str">
        <f>IFERROR(VLOOKUP(ILACLISTE[[#This Row],[NAME]],Table5[#All],2,0),"")</f>
        <v/>
      </c>
    </row>
    <row r="438" spans="1:3" x14ac:dyDescent="0.3">
      <c r="A438" s="5" t="s">
        <v>1123</v>
      </c>
      <c r="B438" t="s">
        <v>45</v>
      </c>
      <c r="C438" t="str">
        <f>IFERROR(VLOOKUP(ILACLISTE[[#This Row],[NAME]],Table5[#All],2,0),"")</f>
        <v/>
      </c>
    </row>
    <row r="439" spans="1:3" x14ac:dyDescent="0.3">
      <c r="A439" s="5" t="s">
        <v>1124</v>
      </c>
      <c r="B439" t="s">
        <v>7043</v>
      </c>
      <c r="C439" t="str">
        <f>IFERROR(VLOOKUP(ILACLISTE[[#This Row],[NAME]],Table5[#All],2,0),"")</f>
        <v/>
      </c>
    </row>
    <row r="440" spans="1:3" x14ac:dyDescent="0.3">
      <c r="A440" s="5" t="s">
        <v>1125</v>
      </c>
      <c r="B440" t="s">
        <v>7044</v>
      </c>
      <c r="C440" t="str">
        <f>IFERROR(VLOOKUP(ILACLISTE[[#This Row],[NAME]],Table5[#All],2,0),"")</f>
        <v/>
      </c>
    </row>
    <row r="441" spans="1:3" x14ac:dyDescent="0.3">
      <c r="A441" s="5" t="s">
        <v>1126</v>
      </c>
      <c r="B441" t="s">
        <v>7045</v>
      </c>
      <c r="C441" t="str">
        <f>IFERROR(VLOOKUP(ILACLISTE[[#This Row],[NAME]],Table5[#All],2,0),"")</f>
        <v/>
      </c>
    </row>
    <row r="442" spans="1:3" x14ac:dyDescent="0.3">
      <c r="A442" s="5" t="s">
        <v>1127</v>
      </c>
      <c r="B442" t="s">
        <v>7046</v>
      </c>
      <c r="C442" t="str">
        <f>IFERROR(VLOOKUP(ILACLISTE[[#This Row],[NAME]],Table5[#All],2,0),"")</f>
        <v/>
      </c>
    </row>
    <row r="443" spans="1:3" x14ac:dyDescent="0.3">
      <c r="A443" s="5" t="s">
        <v>1128</v>
      </c>
      <c r="B443" t="s">
        <v>7047</v>
      </c>
      <c r="C443" t="str">
        <f>IFERROR(VLOOKUP(ILACLISTE[[#This Row],[NAME]],Table5[#All],2,0),"")</f>
        <v/>
      </c>
    </row>
    <row r="444" spans="1:3" x14ac:dyDescent="0.3">
      <c r="A444" s="5" t="s">
        <v>1129</v>
      </c>
      <c r="B444" t="s">
        <v>7048</v>
      </c>
      <c r="C444" t="str">
        <f>IFERROR(VLOOKUP(ILACLISTE[[#This Row],[NAME]],Table5[#All],2,0),"")</f>
        <v/>
      </c>
    </row>
    <row r="445" spans="1:3" x14ac:dyDescent="0.3">
      <c r="A445" s="5" t="s">
        <v>1130</v>
      </c>
      <c r="B445" t="s">
        <v>7049</v>
      </c>
      <c r="C445" t="str">
        <f>IFERROR(VLOOKUP(ILACLISTE[[#This Row],[NAME]],Table5[#All],2,0),"")</f>
        <v/>
      </c>
    </row>
    <row r="446" spans="1:3" x14ac:dyDescent="0.3">
      <c r="A446" s="5" t="s">
        <v>1131</v>
      </c>
      <c r="B446" t="s">
        <v>7050</v>
      </c>
      <c r="C446" t="str">
        <f>IFERROR(VLOOKUP(ILACLISTE[[#This Row],[NAME]],Table5[#All],2,0),"")</f>
        <v/>
      </c>
    </row>
    <row r="447" spans="1:3" x14ac:dyDescent="0.3">
      <c r="A447" s="5" t="s">
        <v>1132</v>
      </c>
      <c r="B447" t="s">
        <v>7051</v>
      </c>
      <c r="C447" t="str">
        <f>IFERROR(VLOOKUP(ILACLISTE[[#This Row],[NAME]],Table5[#All],2,0),"")</f>
        <v/>
      </c>
    </row>
    <row r="448" spans="1:3" x14ac:dyDescent="0.3">
      <c r="A448" s="5" t="s">
        <v>1133</v>
      </c>
      <c r="B448" t="s">
        <v>7052</v>
      </c>
      <c r="C448" t="str">
        <f>IFERROR(VLOOKUP(ILACLISTE[[#This Row],[NAME]],Table5[#All],2,0),"")</f>
        <v/>
      </c>
    </row>
    <row r="449" spans="1:3" x14ac:dyDescent="0.3">
      <c r="A449" s="5" t="s">
        <v>1134</v>
      </c>
      <c r="B449" t="s">
        <v>7053</v>
      </c>
      <c r="C449" t="str">
        <f>IFERROR(VLOOKUP(ILACLISTE[[#This Row],[NAME]],Table5[#All],2,0),"")</f>
        <v/>
      </c>
    </row>
    <row r="450" spans="1:3" x14ac:dyDescent="0.3">
      <c r="A450" s="5" t="s">
        <v>1135</v>
      </c>
      <c r="B450" t="s">
        <v>7054</v>
      </c>
      <c r="C450" t="str">
        <f>IFERROR(VLOOKUP(ILACLISTE[[#This Row],[NAME]],Table5[#All],2,0),"")</f>
        <v/>
      </c>
    </row>
    <row r="451" spans="1:3" x14ac:dyDescent="0.3">
      <c r="A451" s="5" t="s">
        <v>1136</v>
      </c>
      <c r="B451" t="s">
        <v>7055</v>
      </c>
      <c r="C451" t="str">
        <f>IFERROR(VLOOKUP(ILACLISTE[[#This Row],[NAME]],Table5[#All],2,0),"")</f>
        <v/>
      </c>
    </row>
    <row r="452" spans="1:3" x14ac:dyDescent="0.3">
      <c r="A452" s="5" t="s">
        <v>1137</v>
      </c>
      <c r="B452" t="s">
        <v>7056</v>
      </c>
      <c r="C452" t="str">
        <f>IFERROR(VLOOKUP(ILACLISTE[[#This Row],[NAME]],Table5[#All],2,0),"")</f>
        <v/>
      </c>
    </row>
    <row r="453" spans="1:3" x14ac:dyDescent="0.3">
      <c r="A453" s="5" t="s">
        <v>1138</v>
      </c>
      <c r="B453" t="s">
        <v>7057</v>
      </c>
      <c r="C453" t="str">
        <f>IFERROR(VLOOKUP(ILACLISTE[[#This Row],[NAME]],Table5[#All],2,0),"")</f>
        <v/>
      </c>
    </row>
    <row r="454" spans="1:3" x14ac:dyDescent="0.3">
      <c r="A454" s="5" t="s">
        <v>1139</v>
      </c>
      <c r="B454" t="s">
        <v>7058</v>
      </c>
      <c r="C454" t="str">
        <f>IFERROR(VLOOKUP(ILACLISTE[[#This Row],[NAME]],Table5[#All],2,0),"")</f>
        <v/>
      </c>
    </row>
    <row r="455" spans="1:3" x14ac:dyDescent="0.3">
      <c r="A455" s="5" t="s">
        <v>1140</v>
      </c>
      <c r="B455" t="s">
        <v>7059</v>
      </c>
      <c r="C455" t="str">
        <f>IFERROR(VLOOKUP(ILACLISTE[[#This Row],[NAME]],Table5[#All],2,0),"")</f>
        <v/>
      </c>
    </row>
    <row r="456" spans="1:3" x14ac:dyDescent="0.3">
      <c r="A456" s="5" t="s">
        <v>1141</v>
      </c>
      <c r="B456" t="s">
        <v>7060</v>
      </c>
      <c r="C456" t="str">
        <f>IFERROR(VLOOKUP(ILACLISTE[[#This Row],[NAME]],Table5[#All],2,0),"")</f>
        <v/>
      </c>
    </row>
    <row r="457" spans="1:3" x14ac:dyDescent="0.3">
      <c r="A457" s="5" t="s">
        <v>1142</v>
      </c>
      <c r="B457" t="s">
        <v>7061</v>
      </c>
      <c r="C457" t="str">
        <f>IFERROR(VLOOKUP(ILACLISTE[[#This Row],[NAME]],Table5[#All],2,0),"")</f>
        <v/>
      </c>
    </row>
    <row r="458" spans="1:3" x14ac:dyDescent="0.3">
      <c r="A458" s="5" t="s">
        <v>1143</v>
      </c>
      <c r="B458" t="s">
        <v>7062</v>
      </c>
      <c r="C458" t="str">
        <f>IFERROR(VLOOKUP(ILACLISTE[[#This Row],[NAME]],Table5[#All],2,0),"")</f>
        <v/>
      </c>
    </row>
    <row r="459" spans="1:3" x14ac:dyDescent="0.3">
      <c r="A459" s="5" t="s">
        <v>1144</v>
      </c>
      <c r="B459" t="s">
        <v>7063</v>
      </c>
      <c r="C459" t="str">
        <f>IFERROR(VLOOKUP(ILACLISTE[[#This Row],[NAME]],Table5[#All],2,0),"")</f>
        <v/>
      </c>
    </row>
    <row r="460" spans="1:3" x14ac:dyDescent="0.3">
      <c r="A460" s="5" t="s">
        <v>1145</v>
      </c>
      <c r="B460" t="s">
        <v>7064</v>
      </c>
      <c r="C460" t="str">
        <f>IFERROR(VLOOKUP(ILACLISTE[[#This Row],[NAME]],Table5[#All],2,0),"")</f>
        <v/>
      </c>
    </row>
    <row r="461" spans="1:3" x14ac:dyDescent="0.3">
      <c r="A461" s="5" t="s">
        <v>7065</v>
      </c>
      <c r="B461" t="s">
        <v>7066</v>
      </c>
      <c r="C461" t="str">
        <f>IFERROR(VLOOKUP(ILACLISTE[[#This Row],[NAME]],Table5[#All],2,0),"")</f>
        <v/>
      </c>
    </row>
    <row r="462" spans="1:3" x14ac:dyDescent="0.3">
      <c r="A462" s="5" t="s">
        <v>1146</v>
      </c>
      <c r="B462" t="s">
        <v>46</v>
      </c>
      <c r="C462" t="str">
        <f>IFERROR(VLOOKUP(ILACLISTE[[#This Row],[NAME]],Table5[#All],2,0),"")</f>
        <v/>
      </c>
    </row>
    <row r="463" spans="1:3" x14ac:dyDescent="0.3">
      <c r="A463" s="5" t="s">
        <v>1147</v>
      </c>
      <c r="B463" t="s">
        <v>7067</v>
      </c>
      <c r="C463" t="str">
        <f>IFERROR(VLOOKUP(ILACLISTE[[#This Row],[NAME]],Table5[#All],2,0),"")</f>
        <v/>
      </c>
    </row>
    <row r="464" spans="1:3" x14ac:dyDescent="0.3">
      <c r="A464" s="5" t="s">
        <v>1148</v>
      </c>
      <c r="B464" t="s">
        <v>47</v>
      </c>
      <c r="C464" t="str">
        <f>IFERROR(VLOOKUP(ILACLISTE[[#This Row],[NAME]],Table5[#All],2,0),"")</f>
        <v/>
      </c>
    </row>
    <row r="465" spans="1:3" x14ac:dyDescent="0.3">
      <c r="A465" s="5" t="s">
        <v>1149</v>
      </c>
      <c r="B465" t="s">
        <v>48</v>
      </c>
      <c r="C465" t="str">
        <f>IFERROR(VLOOKUP(ILACLISTE[[#This Row],[NAME]],Table5[#All],2,0),"")</f>
        <v/>
      </c>
    </row>
    <row r="466" spans="1:3" x14ac:dyDescent="0.3">
      <c r="A466" s="5" t="s">
        <v>1150</v>
      </c>
      <c r="B466" t="s">
        <v>7068</v>
      </c>
      <c r="C466" t="str">
        <f>IFERROR(VLOOKUP(ILACLISTE[[#This Row],[NAME]],Table5[#All],2,0),"")</f>
        <v/>
      </c>
    </row>
    <row r="467" spans="1:3" x14ac:dyDescent="0.3">
      <c r="A467" s="5" t="s">
        <v>1151</v>
      </c>
      <c r="B467" t="s">
        <v>7069</v>
      </c>
      <c r="C467" t="str">
        <f>IFERROR(VLOOKUP(ILACLISTE[[#This Row],[NAME]],Table5[#All],2,0),"")</f>
        <v/>
      </c>
    </row>
    <row r="468" spans="1:3" x14ac:dyDescent="0.3">
      <c r="A468" s="5" t="s">
        <v>1152</v>
      </c>
      <c r="B468" t="s">
        <v>7070</v>
      </c>
      <c r="C468" t="str">
        <f>IFERROR(VLOOKUP(ILACLISTE[[#This Row],[NAME]],Table5[#All],2,0),"")</f>
        <v/>
      </c>
    </row>
    <row r="469" spans="1:3" x14ac:dyDescent="0.3">
      <c r="A469" s="5" t="s">
        <v>1153</v>
      </c>
      <c r="B469" t="s">
        <v>7071</v>
      </c>
      <c r="C469" t="str">
        <f>IFERROR(VLOOKUP(ILACLISTE[[#This Row],[NAME]],Table5[#All],2,0),"")</f>
        <v/>
      </c>
    </row>
    <row r="470" spans="1:3" x14ac:dyDescent="0.3">
      <c r="A470" s="5" t="s">
        <v>1154</v>
      </c>
      <c r="B470" t="s">
        <v>7072</v>
      </c>
      <c r="C470" t="str">
        <f>IFERROR(VLOOKUP(ILACLISTE[[#This Row],[NAME]],Table5[#All],2,0),"")</f>
        <v/>
      </c>
    </row>
    <row r="471" spans="1:3" x14ac:dyDescent="0.3">
      <c r="A471" s="5" t="s">
        <v>1155</v>
      </c>
      <c r="B471" t="s">
        <v>7073</v>
      </c>
      <c r="C471" t="str">
        <f>IFERROR(VLOOKUP(ILACLISTE[[#This Row],[NAME]],Table5[#All],2,0),"")</f>
        <v/>
      </c>
    </row>
    <row r="472" spans="1:3" x14ac:dyDescent="0.3">
      <c r="A472" s="5" t="s">
        <v>1156</v>
      </c>
      <c r="B472" t="s">
        <v>7074</v>
      </c>
      <c r="C472" t="str">
        <f>IFERROR(VLOOKUP(ILACLISTE[[#This Row],[NAME]],Table5[#All],2,0),"")</f>
        <v/>
      </c>
    </row>
    <row r="473" spans="1:3" x14ac:dyDescent="0.3">
      <c r="A473" s="5" t="s">
        <v>1157</v>
      </c>
      <c r="B473" t="s">
        <v>7075</v>
      </c>
      <c r="C473" t="str">
        <f>IFERROR(VLOOKUP(ILACLISTE[[#This Row],[NAME]],Table5[#All],2,0),"")</f>
        <v/>
      </c>
    </row>
    <row r="474" spans="1:3" x14ac:dyDescent="0.3">
      <c r="A474" s="5" t="s">
        <v>1158</v>
      </c>
      <c r="B474" t="s">
        <v>7076</v>
      </c>
      <c r="C474" t="str">
        <f>IFERROR(VLOOKUP(ILACLISTE[[#This Row],[NAME]],Table5[#All],2,0),"")</f>
        <v/>
      </c>
    </row>
    <row r="475" spans="1:3" x14ac:dyDescent="0.3">
      <c r="A475" s="5" t="s">
        <v>1159</v>
      </c>
      <c r="B475" t="s">
        <v>7077</v>
      </c>
      <c r="C475" t="str">
        <f>IFERROR(VLOOKUP(ILACLISTE[[#This Row],[NAME]],Table5[#All],2,0),"")</f>
        <v/>
      </c>
    </row>
    <row r="476" spans="1:3" x14ac:dyDescent="0.3">
      <c r="A476" s="5" t="s">
        <v>1160</v>
      </c>
      <c r="B476" t="s">
        <v>7078</v>
      </c>
      <c r="C476" t="str">
        <f>IFERROR(VLOOKUP(ILACLISTE[[#This Row],[NAME]],Table5[#All],2,0),"")</f>
        <v/>
      </c>
    </row>
    <row r="477" spans="1:3" x14ac:dyDescent="0.3">
      <c r="A477" s="5" t="s">
        <v>1161</v>
      </c>
      <c r="B477" t="s">
        <v>49</v>
      </c>
      <c r="C477" t="str">
        <f>IFERROR(VLOOKUP(ILACLISTE[[#This Row],[NAME]],Table5[#All],2,0),"")</f>
        <v/>
      </c>
    </row>
    <row r="478" spans="1:3" x14ac:dyDescent="0.3">
      <c r="A478" s="5" t="s">
        <v>1162</v>
      </c>
      <c r="B478" t="s">
        <v>50</v>
      </c>
      <c r="C478" t="str">
        <f>IFERROR(VLOOKUP(ILACLISTE[[#This Row],[NAME]],Table5[#All],2,0),"")</f>
        <v/>
      </c>
    </row>
    <row r="479" spans="1:3" x14ac:dyDescent="0.3">
      <c r="A479" s="5" t="s">
        <v>1163</v>
      </c>
      <c r="B479" t="s">
        <v>51</v>
      </c>
      <c r="C479" t="str">
        <f>IFERROR(VLOOKUP(ILACLISTE[[#This Row],[NAME]],Table5[#All],2,0),"")</f>
        <v/>
      </c>
    </row>
    <row r="480" spans="1:3" x14ac:dyDescent="0.3">
      <c r="A480" s="5" t="s">
        <v>1164</v>
      </c>
      <c r="B480" t="s">
        <v>7079</v>
      </c>
      <c r="C480" t="str">
        <f>IFERROR(VLOOKUP(ILACLISTE[[#This Row],[NAME]],Table5[#All],2,0),"")</f>
        <v/>
      </c>
    </row>
    <row r="481" spans="1:3" x14ac:dyDescent="0.3">
      <c r="A481" s="5" t="s">
        <v>1165</v>
      </c>
      <c r="B481" t="s">
        <v>7080</v>
      </c>
      <c r="C481" t="str">
        <f>IFERROR(VLOOKUP(ILACLISTE[[#This Row],[NAME]],Table5[#All],2,0),"")</f>
        <v/>
      </c>
    </row>
    <row r="482" spans="1:3" x14ac:dyDescent="0.3">
      <c r="A482" s="5" t="s">
        <v>1166</v>
      </c>
      <c r="B482" t="s">
        <v>52</v>
      </c>
      <c r="C482" t="str">
        <f>IFERROR(VLOOKUP(ILACLISTE[[#This Row],[NAME]],Table5[#All],2,0),"")</f>
        <v/>
      </c>
    </row>
    <row r="483" spans="1:3" x14ac:dyDescent="0.3">
      <c r="A483" s="5" t="s">
        <v>1167</v>
      </c>
      <c r="B483" t="s">
        <v>7081</v>
      </c>
      <c r="C483" t="str">
        <f>IFERROR(VLOOKUP(ILACLISTE[[#This Row],[NAME]],Table5[#All],2,0),"")</f>
        <v/>
      </c>
    </row>
    <row r="484" spans="1:3" x14ac:dyDescent="0.3">
      <c r="A484" s="5" t="s">
        <v>1168</v>
      </c>
      <c r="B484" t="s">
        <v>7082</v>
      </c>
      <c r="C484" t="str">
        <f>IFERROR(VLOOKUP(ILACLISTE[[#This Row],[NAME]],Table5[#All],2,0),"")</f>
        <v/>
      </c>
    </row>
    <row r="485" spans="1:3" x14ac:dyDescent="0.3">
      <c r="A485" s="5" t="s">
        <v>1169</v>
      </c>
      <c r="B485" t="s">
        <v>7083</v>
      </c>
      <c r="C485" t="str">
        <f>IFERROR(VLOOKUP(ILACLISTE[[#This Row],[NAME]],Table5[#All],2,0),"")</f>
        <v/>
      </c>
    </row>
    <row r="486" spans="1:3" x14ac:dyDescent="0.3">
      <c r="A486" s="5" t="s">
        <v>1170</v>
      </c>
      <c r="B486" t="s">
        <v>7084</v>
      </c>
      <c r="C486" t="str">
        <f>IFERROR(VLOOKUP(ILACLISTE[[#This Row],[NAME]],Table5[#All],2,0),"")</f>
        <v/>
      </c>
    </row>
    <row r="487" spans="1:3" x14ac:dyDescent="0.3">
      <c r="A487" s="5" t="s">
        <v>1171</v>
      </c>
      <c r="B487" t="s">
        <v>7085</v>
      </c>
      <c r="C487" t="str">
        <f>IFERROR(VLOOKUP(ILACLISTE[[#This Row],[NAME]],Table5[#All],2,0),"")</f>
        <v/>
      </c>
    </row>
    <row r="488" spans="1:3" x14ac:dyDescent="0.3">
      <c r="A488" s="5" t="s">
        <v>1172</v>
      </c>
      <c r="B488" t="s">
        <v>7086</v>
      </c>
      <c r="C488" t="str">
        <f>IFERROR(VLOOKUP(ILACLISTE[[#This Row],[NAME]],Table5[#All],2,0),"")</f>
        <v/>
      </c>
    </row>
    <row r="489" spans="1:3" x14ac:dyDescent="0.3">
      <c r="A489" s="5" t="s">
        <v>1173</v>
      </c>
      <c r="B489" t="s">
        <v>7087</v>
      </c>
      <c r="C489" t="str">
        <f>IFERROR(VLOOKUP(ILACLISTE[[#This Row],[NAME]],Table5[#All],2,0),"")</f>
        <v/>
      </c>
    </row>
    <row r="490" spans="1:3" x14ac:dyDescent="0.3">
      <c r="A490" s="5" t="s">
        <v>1174</v>
      </c>
      <c r="B490" t="s">
        <v>7088</v>
      </c>
      <c r="C490" t="str">
        <f>IFERROR(VLOOKUP(ILACLISTE[[#This Row],[NAME]],Table5[#All],2,0),"")</f>
        <v/>
      </c>
    </row>
    <row r="491" spans="1:3" x14ac:dyDescent="0.3">
      <c r="A491" s="5" t="s">
        <v>1175</v>
      </c>
      <c r="B491" t="s">
        <v>7089</v>
      </c>
      <c r="C491" t="str">
        <f>IFERROR(VLOOKUP(ILACLISTE[[#This Row],[NAME]],Table5[#All],2,0),"")</f>
        <v/>
      </c>
    </row>
    <row r="492" spans="1:3" x14ac:dyDescent="0.3">
      <c r="A492" s="5" t="s">
        <v>1176</v>
      </c>
      <c r="B492" t="s">
        <v>7090</v>
      </c>
      <c r="C492" t="str">
        <f>IFERROR(VLOOKUP(ILACLISTE[[#This Row],[NAME]],Table5[#All],2,0),"")</f>
        <v/>
      </c>
    </row>
    <row r="493" spans="1:3" x14ac:dyDescent="0.3">
      <c r="A493" s="5" t="s">
        <v>1177</v>
      </c>
      <c r="B493" t="s">
        <v>7091</v>
      </c>
      <c r="C493" t="str">
        <f>IFERROR(VLOOKUP(ILACLISTE[[#This Row],[NAME]],Table5[#All],2,0),"")</f>
        <v/>
      </c>
    </row>
    <row r="494" spans="1:3" x14ac:dyDescent="0.3">
      <c r="A494" s="5" t="s">
        <v>1178</v>
      </c>
      <c r="B494" t="s">
        <v>7092</v>
      </c>
      <c r="C494" t="str">
        <f>IFERROR(VLOOKUP(ILACLISTE[[#This Row],[NAME]],Table5[#All],2,0),"")</f>
        <v/>
      </c>
    </row>
    <row r="495" spans="1:3" ht="20.399999999999999" x14ac:dyDescent="0.3">
      <c r="A495" s="6" t="s">
        <v>1179</v>
      </c>
      <c r="B495" t="s">
        <v>7093</v>
      </c>
      <c r="C495" t="str">
        <f>IFERROR(VLOOKUP(ILACLISTE[[#This Row],[NAME]],Table5[#All],2,0),"")</f>
        <v/>
      </c>
    </row>
    <row r="496" spans="1:3" ht="20.399999999999999" x14ac:dyDescent="0.3">
      <c r="A496" s="7" t="s">
        <v>1180</v>
      </c>
      <c r="B496" t="s">
        <v>7094</v>
      </c>
      <c r="C496" t="str">
        <f>IFERROR(VLOOKUP(ILACLISTE[[#This Row],[NAME]],Table5[#All],2,0),"")</f>
        <v/>
      </c>
    </row>
    <row r="497" spans="1:3" x14ac:dyDescent="0.3">
      <c r="A497" s="5" t="s">
        <v>1181</v>
      </c>
      <c r="B497" t="s">
        <v>7095</v>
      </c>
      <c r="C497" t="str">
        <f>IFERROR(VLOOKUP(ILACLISTE[[#This Row],[NAME]],Table5[#All],2,0),"")</f>
        <v/>
      </c>
    </row>
    <row r="498" spans="1:3" x14ac:dyDescent="0.3">
      <c r="A498" s="5" t="s">
        <v>1182</v>
      </c>
      <c r="B498" t="s">
        <v>7096</v>
      </c>
      <c r="C498" t="str">
        <f>IFERROR(VLOOKUP(ILACLISTE[[#This Row],[NAME]],Table5[#All],2,0),"")</f>
        <v/>
      </c>
    </row>
    <row r="499" spans="1:3" x14ac:dyDescent="0.3">
      <c r="A499" s="5" t="s">
        <v>1183</v>
      </c>
      <c r="B499" t="s">
        <v>7097</v>
      </c>
      <c r="C499" t="str">
        <f>IFERROR(VLOOKUP(ILACLISTE[[#This Row],[NAME]],Table5[#All],2,0),"")</f>
        <v/>
      </c>
    </row>
    <row r="500" spans="1:3" x14ac:dyDescent="0.3">
      <c r="A500" s="5" t="s">
        <v>1184</v>
      </c>
      <c r="B500" t="s">
        <v>7098</v>
      </c>
      <c r="C500" t="str">
        <f>IFERROR(VLOOKUP(ILACLISTE[[#This Row],[NAME]],Table5[#All],2,0),"")</f>
        <v/>
      </c>
    </row>
    <row r="501" spans="1:3" x14ac:dyDescent="0.3">
      <c r="A501" s="5" t="s">
        <v>1185</v>
      </c>
      <c r="B501" t="s">
        <v>7099</v>
      </c>
      <c r="C501" t="str">
        <f>IFERROR(VLOOKUP(ILACLISTE[[#This Row],[NAME]],Table5[#All],2,0),"")</f>
        <v/>
      </c>
    </row>
    <row r="502" spans="1:3" x14ac:dyDescent="0.3">
      <c r="A502" s="5" t="s">
        <v>1186</v>
      </c>
      <c r="B502" t="s">
        <v>53</v>
      </c>
      <c r="C502" t="str">
        <f>IFERROR(VLOOKUP(ILACLISTE[[#This Row],[NAME]],Table5[#All],2,0),"")</f>
        <v/>
      </c>
    </row>
    <row r="503" spans="1:3" ht="20.399999999999999" x14ac:dyDescent="0.3">
      <c r="A503" s="7" t="s">
        <v>1187</v>
      </c>
      <c r="B503" t="s">
        <v>54</v>
      </c>
      <c r="C503" t="str">
        <f>IFERROR(VLOOKUP(ILACLISTE[[#This Row],[NAME]],Table5[#All],2,0),"")</f>
        <v/>
      </c>
    </row>
    <row r="504" spans="1:3" ht="20.399999999999999" x14ac:dyDescent="0.3">
      <c r="A504" s="6" t="s">
        <v>1188</v>
      </c>
      <c r="B504" t="s">
        <v>55</v>
      </c>
      <c r="C504" t="str">
        <f>IFERROR(VLOOKUP(ILACLISTE[[#This Row],[NAME]],Table5[#All],2,0),"")</f>
        <v/>
      </c>
    </row>
    <row r="505" spans="1:3" x14ac:dyDescent="0.3">
      <c r="A505" s="5" t="s">
        <v>1189</v>
      </c>
      <c r="B505" t="s">
        <v>7100</v>
      </c>
      <c r="C505" t="str">
        <f>IFERROR(VLOOKUP(ILACLISTE[[#This Row],[NAME]],Table5[#All],2,0),"")</f>
        <v/>
      </c>
    </row>
    <row r="506" spans="1:3" x14ac:dyDescent="0.3">
      <c r="A506" s="5" t="s">
        <v>1190</v>
      </c>
      <c r="B506" t="s">
        <v>7101</v>
      </c>
      <c r="C506" t="str">
        <f>IFERROR(VLOOKUP(ILACLISTE[[#This Row],[NAME]],Table5[#All],2,0),"")</f>
        <v/>
      </c>
    </row>
    <row r="507" spans="1:3" x14ac:dyDescent="0.3">
      <c r="A507" s="5" t="s">
        <v>1191</v>
      </c>
      <c r="B507" t="s">
        <v>56</v>
      </c>
      <c r="C507" t="str">
        <f>IFERROR(VLOOKUP(ILACLISTE[[#This Row],[NAME]],Table5[#All],2,0),"")</f>
        <v/>
      </c>
    </row>
    <row r="508" spans="1:3" x14ac:dyDescent="0.3">
      <c r="A508" s="5" t="s">
        <v>1192</v>
      </c>
      <c r="B508" t="s">
        <v>7102</v>
      </c>
      <c r="C508" t="str">
        <f>IFERROR(VLOOKUP(ILACLISTE[[#This Row],[NAME]],Table5[#All],2,0),"")</f>
        <v/>
      </c>
    </row>
    <row r="509" spans="1:3" x14ac:dyDescent="0.3">
      <c r="A509" s="5" t="s">
        <v>1193</v>
      </c>
      <c r="B509" t="s">
        <v>7103</v>
      </c>
      <c r="C509" t="str">
        <f>IFERROR(VLOOKUP(ILACLISTE[[#This Row],[NAME]],Table5[#All],2,0),"")</f>
        <v/>
      </c>
    </row>
    <row r="510" spans="1:3" x14ac:dyDescent="0.3">
      <c r="A510" s="5" t="s">
        <v>1194</v>
      </c>
      <c r="B510" t="s">
        <v>7104</v>
      </c>
      <c r="C510" t="str">
        <f>IFERROR(VLOOKUP(ILACLISTE[[#This Row],[NAME]],Table5[#All],2,0),"")</f>
        <v/>
      </c>
    </row>
    <row r="511" spans="1:3" x14ac:dyDescent="0.3">
      <c r="A511" s="5" t="s">
        <v>1195</v>
      </c>
      <c r="B511" t="s">
        <v>7105</v>
      </c>
      <c r="C511" t="str">
        <f>IFERROR(VLOOKUP(ILACLISTE[[#This Row],[NAME]],Table5[#All],2,0),"")</f>
        <v/>
      </c>
    </row>
    <row r="512" spans="1:3" x14ac:dyDescent="0.3">
      <c r="A512" s="5" t="s">
        <v>1196</v>
      </c>
      <c r="B512" t="s">
        <v>7106</v>
      </c>
      <c r="C512" t="str">
        <f>IFERROR(VLOOKUP(ILACLISTE[[#This Row],[NAME]],Table5[#All],2,0),"")</f>
        <v/>
      </c>
    </row>
    <row r="513" spans="1:3" x14ac:dyDescent="0.3">
      <c r="A513" s="5" t="s">
        <v>1197</v>
      </c>
      <c r="B513" t="s">
        <v>7107</v>
      </c>
      <c r="C513" t="str">
        <f>IFERROR(VLOOKUP(ILACLISTE[[#This Row],[NAME]],Table5[#All],2,0),"")</f>
        <v/>
      </c>
    </row>
    <row r="514" spans="1:3" x14ac:dyDescent="0.3">
      <c r="A514" s="5" t="s">
        <v>1198</v>
      </c>
      <c r="B514" t="s">
        <v>7108</v>
      </c>
      <c r="C514" t="str">
        <f>IFERROR(VLOOKUP(ILACLISTE[[#This Row],[NAME]],Table5[#All],2,0),"")</f>
        <v/>
      </c>
    </row>
    <row r="515" spans="1:3" x14ac:dyDescent="0.3">
      <c r="A515" s="5" t="s">
        <v>1199</v>
      </c>
      <c r="B515" t="s">
        <v>7109</v>
      </c>
      <c r="C515" t="str">
        <f>IFERROR(VLOOKUP(ILACLISTE[[#This Row],[NAME]],Table5[#All],2,0),"")</f>
        <v/>
      </c>
    </row>
    <row r="516" spans="1:3" x14ac:dyDescent="0.3">
      <c r="A516" s="5" t="s">
        <v>1200</v>
      </c>
      <c r="B516" t="s">
        <v>7110</v>
      </c>
      <c r="C516" t="str">
        <f>IFERROR(VLOOKUP(ILACLISTE[[#This Row],[NAME]],Table5[#All],2,0),"")</f>
        <v/>
      </c>
    </row>
    <row r="517" spans="1:3" x14ac:dyDescent="0.3">
      <c r="A517" s="5" t="s">
        <v>1201</v>
      </c>
      <c r="B517" t="s">
        <v>7111</v>
      </c>
      <c r="C517" t="str">
        <f>IFERROR(VLOOKUP(ILACLISTE[[#This Row],[NAME]],Table5[#All],2,0),"")</f>
        <v/>
      </c>
    </row>
    <row r="518" spans="1:3" x14ac:dyDescent="0.3">
      <c r="A518" s="5" t="s">
        <v>1202</v>
      </c>
      <c r="B518" t="s">
        <v>7112</v>
      </c>
      <c r="C518" t="str">
        <f>IFERROR(VLOOKUP(ILACLISTE[[#This Row],[NAME]],Table5[#All],2,0),"")</f>
        <v/>
      </c>
    </row>
    <row r="519" spans="1:3" x14ac:dyDescent="0.3">
      <c r="A519" s="5" t="s">
        <v>1203</v>
      </c>
      <c r="B519" t="s">
        <v>7113</v>
      </c>
      <c r="C519" t="str">
        <f>IFERROR(VLOOKUP(ILACLISTE[[#This Row],[NAME]],Table5[#All],2,0),"")</f>
        <v/>
      </c>
    </row>
    <row r="520" spans="1:3" x14ac:dyDescent="0.3">
      <c r="A520" s="5" t="s">
        <v>1204</v>
      </c>
      <c r="B520" t="s">
        <v>7114</v>
      </c>
      <c r="C520" t="str">
        <f>IFERROR(VLOOKUP(ILACLISTE[[#This Row],[NAME]],Table5[#All],2,0),"")</f>
        <v/>
      </c>
    </row>
    <row r="521" spans="1:3" ht="20.399999999999999" x14ac:dyDescent="0.3">
      <c r="A521" s="6" t="s">
        <v>1205</v>
      </c>
      <c r="B521" t="s">
        <v>7115</v>
      </c>
      <c r="C521" t="str">
        <f>IFERROR(VLOOKUP(ILACLISTE[[#This Row],[NAME]],Table5[#All],2,0),"")</f>
        <v/>
      </c>
    </row>
    <row r="522" spans="1:3" x14ac:dyDescent="0.3">
      <c r="A522" s="5" t="s">
        <v>1206</v>
      </c>
      <c r="B522" t="s">
        <v>7116</v>
      </c>
      <c r="C522" t="str">
        <f>IFERROR(VLOOKUP(ILACLISTE[[#This Row],[NAME]],Table5[#All],2,0),"")</f>
        <v/>
      </c>
    </row>
    <row r="523" spans="1:3" x14ac:dyDescent="0.3">
      <c r="A523" s="5" t="s">
        <v>1207</v>
      </c>
      <c r="B523" t="s">
        <v>7117</v>
      </c>
      <c r="C523" t="str">
        <f>IFERROR(VLOOKUP(ILACLISTE[[#This Row],[NAME]],Table5[#All],2,0),"")</f>
        <v/>
      </c>
    </row>
    <row r="524" spans="1:3" x14ac:dyDescent="0.3">
      <c r="A524" s="5" t="s">
        <v>1208</v>
      </c>
      <c r="B524" t="s">
        <v>7118</v>
      </c>
      <c r="C524" t="str">
        <f>IFERROR(VLOOKUP(ILACLISTE[[#This Row],[NAME]],Table5[#All],2,0),"")</f>
        <v/>
      </c>
    </row>
    <row r="525" spans="1:3" x14ac:dyDescent="0.3">
      <c r="A525" s="5" t="s">
        <v>1209</v>
      </c>
      <c r="B525" t="s">
        <v>7119</v>
      </c>
      <c r="C525" t="str">
        <f>IFERROR(VLOOKUP(ILACLISTE[[#This Row],[NAME]],Table5[#All],2,0),"")</f>
        <v/>
      </c>
    </row>
    <row r="526" spans="1:3" x14ac:dyDescent="0.3">
      <c r="A526" s="5" t="s">
        <v>1210</v>
      </c>
      <c r="B526" t="s">
        <v>7120</v>
      </c>
      <c r="C526" t="str">
        <f>IFERROR(VLOOKUP(ILACLISTE[[#This Row],[NAME]],Table5[#All],2,0),"")</f>
        <v/>
      </c>
    </row>
    <row r="527" spans="1:3" x14ac:dyDescent="0.3">
      <c r="A527" s="5" t="s">
        <v>1211</v>
      </c>
      <c r="B527" t="s">
        <v>7121</v>
      </c>
      <c r="C527" t="str">
        <f>IFERROR(VLOOKUP(ILACLISTE[[#This Row],[NAME]],Table5[#All],2,0),"")</f>
        <v/>
      </c>
    </row>
    <row r="528" spans="1:3" x14ac:dyDescent="0.3">
      <c r="A528" s="5" t="s">
        <v>1212</v>
      </c>
      <c r="B528" t="s">
        <v>7122</v>
      </c>
      <c r="C528" t="str">
        <f>IFERROR(VLOOKUP(ILACLISTE[[#This Row],[NAME]],Table5[#All],2,0),"")</f>
        <v/>
      </c>
    </row>
    <row r="529" spans="1:3" x14ac:dyDescent="0.3">
      <c r="A529" s="5" t="s">
        <v>1213</v>
      </c>
      <c r="B529" t="s">
        <v>7123</v>
      </c>
      <c r="C529" t="str">
        <f>IFERROR(VLOOKUP(ILACLISTE[[#This Row],[NAME]],Table5[#All],2,0),"")</f>
        <v/>
      </c>
    </row>
    <row r="530" spans="1:3" x14ac:dyDescent="0.3">
      <c r="A530" s="5" t="s">
        <v>1214</v>
      </c>
      <c r="B530" t="s">
        <v>7124</v>
      </c>
      <c r="C530" t="str">
        <f>IFERROR(VLOOKUP(ILACLISTE[[#This Row],[NAME]],Table5[#All],2,0),"")</f>
        <v/>
      </c>
    </row>
    <row r="531" spans="1:3" x14ac:dyDescent="0.3">
      <c r="A531" s="5" t="s">
        <v>1215</v>
      </c>
      <c r="B531" t="s">
        <v>7125</v>
      </c>
      <c r="C531" t="str">
        <f>IFERROR(VLOOKUP(ILACLISTE[[#This Row],[NAME]],Table5[#All],2,0),"")</f>
        <v/>
      </c>
    </row>
    <row r="532" spans="1:3" x14ac:dyDescent="0.3">
      <c r="A532" s="5" t="s">
        <v>1216</v>
      </c>
      <c r="B532" t="s">
        <v>7126</v>
      </c>
      <c r="C532" t="str">
        <f>IFERROR(VLOOKUP(ILACLISTE[[#This Row],[NAME]],Table5[#All],2,0),"")</f>
        <v/>
      </c>
    </row>
    <row r="533" spans="1:3" x14ac:dyDescent="0.3">
      <c r="A533" s="5" t="s">
        <v>1217</v>
      </c>
      <c r="B533" t="s">
        <v>7127</v>
      </c>
      <c r="C533" t="str">
        <f>IFERROR(VLOOKUP(ILACLISTE[[#This Row],[NAME]],Table5[#All],2,0),"")</f>
        <v/>
      </c>
    </row>
    <row r="534" spans="1:3" x14ac:dyDescent="0.3">
      <c r="A534" s="5" t="s">
        <v>1218</v>
      </c>
      <c r="B534" t="s">
        <v>7128</v>
      </c>
      <c r="C534" t="str">
        <f>IFERROR(VLOOKUP(ILACLISTE[[#This Row],[NAME]],Table5[#All],2,0),"")</f>
        <v/>
      </c>
    </row>
    <row r="535" spans="1:3" x14ac:dyDescent="0.3">
      <c r="A535" s="5" t="s">
        <v>1219</v>
      </c>
      <c r="B535" t="s">
        <v>7129</v>
      </c>
      <c r="C535" t="str">
        <f>IFERROR(VLOOKUP(ILACLISTE[[#This Row],[NAME]],Table5[#All],2,0),"")</f>
        <v/>
      </c>
    </row>
    <row r="536" spans="1:3" x14ac:dyDescent="0.3">
      <c r="A536" s="5" t="s">
        <v>1220</v>
      </c>
      <c r="B536" t="s">
        <v>7130</v>
      </c>
      <c r="C536" t="str">
        <f>IFERROR(VLOOKUP(ILACLISTE[[#This Row],[NAME]],Table5[#All],2,0),"")</f>
        <v/>
      </c>
    </row>
    <row r="537" spans="1:3" x14ac:dyDescent="0.3">
      <c r="A537" s="5" t="s">
        <v>1221</v>
      </c>
      <c r="B537" t="s">
        <v>7131</v>
      </c>
      <c r="C537" t="str">
        <f>IFERROR(VLOOKUP(ILACLISTE[[#This Row],[NAME]],Table5[#All],2,0),"")</f>
        <v/>
      </c>
    </row>
    <row r="538" spans="1:3" x14ac:dyDescent="0.3">
      <c r="A538" s="5" t="s">
        <v>1222</v>
      </c>
      <c r="B538" t="s">
        <v>7132</v>
      </c>
      <c r="C538" t="str">
        <f>IFERROR(VLOOKUP(ILACLISTE[[#This Row],[NAME]],Table5[#All],2,0),"")</f>
        <v/>
      </c>
    </row>
    <row r="539" spans="1:3" x14ac:dyDescent="0.3">
      <c r="A539" s="5" t="s">
        <v>1223</v>
      </c>
      <c r="B539" t="s">
        <v>7133</v>
      </c>
      <c r="C539" t="str">
        <f>IFERROR(VLOOKUP(ILACLISTE[[#This Row],[NAME]],Table5[#All],2,0),"")</f>
        <v/>
      </c>
    </row>
    <row r="540" spans="1:3" x14ac:dyDescent="0.3">
      <c r="A540" s="5" t="s">
        <v>1224</v>
      </c>
      <c r="B540" t="s">
        <v>7134</v>
      </c>
      <c r="C540" t="str">
        <f>IFERROR(VLOOKUP(ILACLISTE[[#This Row],[NAME]],Table5[#All],2,0),"")</f>
        <v/>
      </c>
    </row>
    <row r="541" spans="1:3" x14ac:dyDescent="0.3">
      <c r="A541" s="5" t="s">
        <v>1225</v>
      </c>
      <c r="B541" t="s">
        <v>7135</v>
      </c>
      <c r="C541" t="str">
        <f>IFERROR(VLOOKUP(ILACLISTE[[#This Row],[NAME]],Table5[#All],2,0),"")</f>
        <v/>
      </c>
    </row>
    <row r="542" spans="1:3" x14ac:dyDescent="0.3">
      <c r="A542" s="5" t="s">
        <v>1226</v>
      </c>
      <c r="B542" t="s">
        <v>7136</v>
      </c>
      <c r="C542" t="str">
        <f>IFERROR(VLOOKUP(ILACLISTE[[#This Row],[NAME]],Table5[#All],2,0),"")</f>
        <v/>
      </c>
    </row>
    <row r="543" spans="1:3" x14ac:dyDescent="0.3">
      <c r="A543" s="5" t="s">
        <v>1227</v>
      </c>
      <c r="B543" t="s">
        <v>7137</v>
      </c>
      <c r="C543" t="str">
        <f>IFERROR(VLOOKUP(ILACLISTE[[#This Row],[NAME]],Table5[#All],2,0),"")</f>
        <v/>
      </c>
    </row>
    <row r="544" spans="1:3" x14ac:dyDescent="0.3">
      <c r="A544" s="5" t="s">
        <v>1228</v>
      </c>
      <c r="B544" t="s">
        <v>57</v>
      </c>
      <c r="C544" t="str">
        <f>IFERROR(VLOOKUP(ILACLISTE[[#This Row],[NAME]],Table5[#All],2,0),"")</f>
        <v/>
      </c>
    </row>
    <row r="545" spans="1:3" x14ac:dyDescent="0.3">
      <c r="A545" s="5" t="s">
        <v>1229</v>
      </c>
      <c r="B545" t="s">
        <v>7138</v>
      </c>
      <c r="C545" t="str">
        <f>IFERROR(VLOOKUP(ILACLISTE[[#This Row],[NAME]],Table5[#All],2,0),"")</f>
        <v/>
      </c>
    </row>
    <row r="546" spans="1:3" x14ac:dyDescent="0.3">
      <c r="A546" s="5" t="s">
        <v>1230</v>
      </c>
      <c r="B546" t="s">
        <v>7139</v>
      </c>
      <c r="C546" t="str">
        <f>IFERROR(VLOOKUP(ILACLISTE[[#This Row],[NAME]],Table5[#All],2,0),"")</f>
        <v/>
      </c>
    </row>
    <row r="547" spans="1:3" x14ac:dyDescent="0.3">
      <c r="A547" s="5" t="s">
        <v>1231</v>
      </c>
      <c r="B547" t="s">
        <v>58</v>
      </c>
      <c r="C547" t="str">
        <f>IFERROR(VLOOKUP(ILACLISTE[[#This Row],[NAME]],Table5[#All],2,0),"")</f>
        <v/>
      </c>
    </row>
    <row r="548" spans="1:3" x14ac:dyDescent="0.3">
      <c r="A548" s="5" t="s">
        <v>1232</v>
      </c>
      <c r="B548" t="s">
        <v>7140</v>
      </c>
      <c r="C548" t="str">
        <f>IFERROR(VLOOKUP(ILACLISTE[[#This Row],[NAME]],Table5[#All],2,0),"")</f>
        <v/>
      </c>
    </row>
    <row r="549" spans="1:3" x14ac:dyDescent="0.3">
      <c r="A549" s="5" t="s">
        <v>1233</v>
      </c>
      <c r="B549" t="s">
        <v>7141</v>
      </c>
      <c r="C549" t="str">
        <f>IFERROR(VLOOKUP(ILACLISTE[[#This Row],[NAME]],Table5[#All],2,0),"")</f>
        <v/>
      </c>
    </row>
    <row r="550" spans="1:3" x14ac:dyDescent="0.3">
      <c r="A550" s="5" t="s">
        <v>1234</v>
      </c>
      <c r="B550" t="s">
        <v>7142</v>
      </c>
      <c r="C550" t="str">
        <f>IFERROR(VLOOKUP(ILACLISTE[[#This Row],[NAME]],Table5[#All],2,0),"")</f>
        <v/>
      </c>
    </row>
    <row r="551" spans="1:3" x14ac:dyDescent="0.3">
      <c r="A551" s="5" t="s">
        <v>1235</v>
      </c>
      <c r="B551" t="s">
        <v>7143</v>
      </c>
      <c r="C551" t="str">
        <f>IFERROR(VLOOKUP(ILACLISTE[[#This Row],[NAME]],Table5[#All],2,0),"")</f>
        <v/>
      </c>
    </row>
    <row r="552" spans="1:3" x14ac:dyDescent="0.3">
      <c r="A552" s="5" t="s">
        <v>1236</v>
      </c>
      <c r="B552" t="s">
        <v>7144</v>
      </c>
      <c r="C552" t="str">
        <f>IFERROR(VLOOKUP(ILACLISTE[[#This Row],[NAME]],Table5[#All],2,0),"")</f>
        <v/>
      </c>
    </row>
    <row r="553" spans="1:3" x14ac:dyDescent="0.3">
      <c r="A553" s="5" t="s">
        <v>1237</v>
      </c>
      <c r="B553" t="s">
        <v>7145</v>
      </c>
      <c r="C553" t="str">
        <f>IFERROR(VLOOKUP(ILACLISTE[[#This Row],[NAME]],Table5[#All],2,0),"")</f>
        <v/>
      </c>
    </row>
    <row r="554" spans="1:3" x14ac:dyDescent="0.3">
      <c r="A554" s="5" t="s">
        <v>1238</v>
      </c>
      <c r="B554" t="s">
        <v>7146</v>
      </c>
      <c r="C554" t="str">
        <f>IFERROR(VLOOKUP(ILACLISTE[[#This Row],[NAME]],Table5[#All],2,0),"")</f>
        <v/>
      </c>
    </row>
    <row r="555" spans="1:3" x14ac:dyDescent="0.3">
      <c r="A555" s="5" t="s">
        <v>1239</v>
      </c>
      <c r="B555" t="s">
        <v>7147</v>
      </c>
      <c r="C555" t="str">
        <f>IFERROR(VLOOKUP(ILACLISTE[[#This Row],[NAME]],Table5[#All],2,0),"")</f>
        <v/>
      </c>
    </row>
    <row r="556" spans="1:3" x14ac:dyDescent="0.3">
      <c r="A556" s="5" t="s">
        <v>1240</v>
      </c>
      <c r="B556" t="s">
        <v>7148</v>
      </c>
      <c r="C556" t="str">
        <f>IFERROR(VLOOKUP(ILACLISTE[[#This Row],[NAME]],Table5[#All],2,0),"")</f>
        <v/>
      </c>
    </row>
    <row r="557" spans="1:3" x14ac:dyDescent="0.3">
      <c r="A557" s="5" t="s">
        <v>1241</v>
      </c>
      <c r="B557" t="s">
        <v>7149</v>
      </c>
      <c r="C557" t="str">
        <f>IFERROR(VLOOKUP(ILACLISTE[[#This Row],[NAME]],Table5[#All],2,0),"")</f>
        <v/>
      </c>
    </row>
    <row r="558" spans="1:3" x14ac:dyDescent="0.3">
      <c r="A558" s="5" t="s">
        <v>1242</v>
      </c>
      <c r="B558" t="s">
        <v>7150</v>
      </c>
      <c r="C558" t="str">
        <f>IFERROR(VLOOKUP(ILACLISTE[[#This Row],[NAME]],Table5[#All],2,0),"")</f>
        <v/>
      </c>
    </row>
    <row r="559" spans="1:3" x14ac:dyDescent="0.3">
      <c r="A559" s="5" t="s">
        <v>1243</v>
      </c>
      <c r="B559" t="s">
        <v>7151</v>
      </c>
      <c r="C559" t="str">
        <f>IFERROR(VLOOKUP(ILACLISTE[[#This Row],[NAME]],Table5[#All],2,0),"")</f>
        <v/>
      </c>
    </row>
    <row r="560" spans="1:3" x14ac:dyDescent="0.3">
      <c r="A560" s="5" t="s">
        <v>1244</v>
      </c>
      <c r="B560" t="s">
        <v>7152</v>
      </c>
      <c r="C560" t="str">
        <f>IFERROR(VLOOKUP(ILACLISTE[[#This Row],[NAME]],Table5[#All],2,0),"")</f>
        <v/>
      </c>
    </row>
    <row r="561" spans="1:3" x14ac:dyDescent="0.3">
      <c r="A561" s="5" t="s">
        <v>1245</v>
      </c>
      <c r="B561" t="s">
        <v>7153</v>
      </c>
      <c r="C561" t="str">
        <f>IFERROR(VLOOKUP(ILACLISTE[[#This Row],[NAME]],Table5[#All],2,0),"")</f>
        <v/>
      </c>
    </row>
    <row r="562" spans="1:3" x14ac:dyDescent="0.3">
      <c r="A562" s="5" t="s">
        <v>1246</v>
      </c>
      <c r="B562" t="s">
        <v>7154</v>
      </c>
      <c r="C562" t="str">
        <f>IFERROR(VLOOKUP(ILACLISTE[[#This Row],[NAME]],Table5[#All],2,0),"")</f>
        <v/>
      </c>
    </row>
    <row r="563" spans="1:3" x14ac:dyDescent="0.3">
      <c r="A563" s="5" t="s">
        <v>1247</v>
      </c>
      <c r="B563" t="s">
        <v>7155</v>
      </c>
      <c r="C563" t="str">
        <f>IFERROR(VLOOKUP(ILACLISTE[[#This Row],[NAME]],Table5[#All],2,0),"")</f>
        <v/>
      </c>
    </row>
    <row r="564" spans="1:3" x14ac:dyDescent="0.3">
      <c r="A564" s="5" t="s">
        <v>1248</v>
      </c>
      <c r="B564" t="s">
        <v>59</v>
      </c>
      <c r="C564" t="str">
        <f>IFERROR(VLOOKUP(ILACLISTE[[#This Row],[NAME]],Table5[#All],2,0),"")</f>
        <v/>
      </c>
    </row>
    <row r="565" spans="1:3" x14ac:dyDescent="0.3">
      <c r="A565" s="5" t="s">
        <v>1249</v>
      </c>
      <c r="B565" t="s">
        <v>7156</v>
      </c>
      <c r="C565" t="str">
        <f>IFERROR(VLOOKUP(ILACLISTE[[#This Row],[NAME]],Table5[#All],2,0),"")</f>
        <v/>
      </c>
    </row>
    <row r="566" spans="1:3" x14ac:dyDescent="0.3">
      <c r="A566" s="5" t="s">
        <v>1250</v>
      </c>
      <c r="B566" t="s">
        <v>7157</v>
      </c>
      <c r="C566" t="str">
        <f>IFERROR(VLOOKUP(ILACLISTE[[#This Row],[NAME]],Table5[#All],2,0),"")</f>
        <v/>
      </c>
    </row>
    <row r="567" spans="1:3" x14ac:dyDescent="0.3">
      <c r="A567" s="5" t="s">
        <v>1251</v>
      </c>
      <c r="B567" t="s">
        <v>7158</v>
      </c>
      <c r="C567" t="str">
        <f>IFERROR(VLOOKUP(ILACLISTE[[#This Row],[NAME]],Table5[#All],2,0),"")</f>
        <v/>
      </c>
    </row>
    <row r="568" spans="1:3" x14ac:dyDescent="0.3">
      <c r="A568" s="5" t="s">
        <v>1252</v>
      </c>
      <c r="B568" t="s">
        <v>7159</v>
      </c>
      <c r="C568" t="str">
        <f>IFERROR(VLOOKUP(ILACLISTE[[#This Row],[NAME]],Table5[#All],2,0),"")</f>
        <v/>
      </c>
    </row>
    <row r="569" spans="1:3" x14ac:dyDescent="0.3">
      <c r="A569" s="5" t="s">
        <v>1253</v>
      </c>
      <c r="B569" t="s">
        <v>7160</v>
      </c>
      <c r="C569" t="str">
        <f>IFERROR(VLOOKUP(ILACLISTE[[#This Row],[NAME]],Table5[#All],2,0),"")</f>
        <v/>
      </c>
    </row>
    <row r="570" spans="1:3" x14ac:dyDescent="0.3">
      <c r="A570" s="5" t="s">
        <v>1254</v>
      </c>
      <c r="B570" t="s">
        <v>60</v>
      </c>
      <c r="C570" t="str">
        <f>IFERROR(VLOOKUP(ILACLISTE[[#This Row],[NAME]],Table5[#All],2,0),"")</f>
        <v/>
      </c>
    </row>
    <row r="571" spans="1:3" x14ac:dyDescent="0.3">
      <c r="A571" s="5" t="s">
        <v>1255</v>
      </c>
      <c r="B571" t="s">
        <v>7161</v>
      </c>
      <c r="C571" t="str">
        <f>IFERROR(VLOOKUP(ILACLISTE[[#This Row],[NAME]],Table5[#All],2,0),"")</f>
        <v/>
      </c>
    </row>
    <row r="572" spans="1:3" x14ac:dyDescent="0.3">
      <c r="A572" s="5" t="s">
        <v>1256</v>
      </c>
      <c r="B572" t="s">
        <v>7162</v>
      </c>
      <c r="C572" t="str">
        <f>IFERROR(VLOOKUP(ILACLISTE[[#This Row],[NAME]],Table5[#All],2,0),"")</f>
        <v/>
      </c>
    </row>
    <row r="573" spans="1:3" x14ac:dyDescent="0.3">
      <c r="A573" s="5" t="s">
        <v>1257</v>
      </c>
      <c r="B573" t="s">
        <v>7163</v>
      </c>
      <c r="C573" t="str">
        <f>IFERROR(VLOOKUP(ILACLISTE[[#This Row],[NAME]],Table5[#All],2,0),"")</f>
        <v/>
      </c>
    </row>
    <row r="574" spans="1:3" x14ac:dyDescent="0.3">
      <c r="A574" s="5" t="s">
        <v>1258</v>
      </c>
      <c r="B574" t="s">
        <v>7164</v>
      </c>
      <c r="C574" t="str">
        <f>IFERROR(VLOOKUP(ILACLISTE[[#This Row],[NAME]],Table5[#All],2,0),"")</f>
        <v/>
      </c>
    </row>
    <row r="575" spans="1:3" x14ac:dyDescent="0.3">
      <c r="A575" s="5" t="s">
        <v>1259</v>
      </c>
      <c r="B575" t="s">
        <v>7165</v>
      </c>
      <c r="C575" t="str">
        <f>IFERROR(VLOOKUP(ILACLISTE[[#This Row],[NAME]],Table5[#All],2,0),"")</f>
        <v/>
      </c>
    </row>
    <row r="576" spans="1:3" x14ac:dyDescent="0.3">
      <c r="A576" s="5" t="s">
        <v>1260</v>
      </c>
      <c r="B576" t="s">
        <v>7166</v>
      </c>
      <c r="C576" t="str">
        <f>IFERROR(VLOOKUP(ILACLISTE[[#This Row],[NAME]],Table5[#All],2,0),"")</f>
        <v/>
      </c>
    </row>
    <row r="577" spans="1:3" x14ac:dyDescent="0.3">
      <c r="A577" s="5" t="s">
        <v>1261</v>
      </c>
      <c r="B577" t="s">
        <v>7167</v>
      </c>
      <c r="C577" t="str">
        <f>IFERROR(VLOOKUP(ILACLISTE[[#This Row],[NAME]],Table5[#All],2,0),"")</f>
        <v/>
      </c>
    </row>
    <row r="578" spans="1:3" x14ac:dyDescent="0.3">
      <c r="A578" s="5" t="s">
        <v>1263</v>
      </c>
      <c r="B578" t="s">
        <v>7168</v>
      </c>
      <c r="C578" t="str">
        <f>IFERROR(VLOOKUP(ILACLISTE[[#This Row],[NAME]],Table5[#All],2,0),"")</f>
        <v/>
      </c>
    </row>
    <row r="579" spans="1:3" x14ac:dyDescent="0.3">
      <c r="A579" s="5" t="s">
        <v>1264</v>
      </c>
      <c r="B579" t="s">
        <v>61</v>
      </c>
      <c r="C579" t="str">
        <f>IFERROR(VLOOKUP(ILACLISTE[[#This Row],[NAME]],Table5[#All],2,0),"")</f>
        <v/>
      </c>
    </row>
    <row r="580" spans="1:3" x14ac:dyDescent="0.3">
      <c r="A580" s="5" t="s">
        <v>1265</v>
      </c>
      <c r="B580" t="s">
        <v>7169</v>
      </c>
      <c r="C580" t="str">
        <f>IFERROR(VLOOKUP(ILACLISTE[[#This Row],[NAME]],Table5[#All],2,0),"")</f>
        <v/>
      </c>
    </row>
    <row r="581" spans="1:3" x14ac:dyDescent="0.3">
      <c r="A581" s="5" t="s">
        <v>1266</v>
      </c>
      <c r="B581" t="s">
        <v>7170</v>
      </c>
      <c r="C581" t="str">
        <f>IFERROR(VLOOKUP(ILACLISTE[[#This Row],[NAME]],Table5[#All],2,0),"")</f>
        <v/>
      </c>
    </row>
    <row r="582" spans="1:3" x14ac:dyDescent="0.3">
      <c r="A582" s="5" t="s">
        <v>1267</v>
      </c>
      <c r="B582" t="s">
        <v>7171</v>
      </c>
      <c r="C582" t="str">
        <f>IFERROR(VLOOKUP(ILACLISTE[[#This Row],[NAME]],Table5[#All],2,0),"")</f>
        <v/>
      </c>
    </row>
    <row r="583" spans="1:3" x14ac:dyDescent="0.3">
      <c r="A583" s="5" t="s">
        <v>1268</v>
      </c>
      <c r="B583" t="s">
        <v>7172</v>
      </c>
      <c r="C583" t="str">
        <f>IFERROR(VLOOKUP(ILACLISTE[[#This Row],[NAME]],Table5[#All],2,0),"")</f>
        <v/>
      </c>
    </row>
    <row r="584" spans="1:3" x14ac:dyDescent="0.3">
      <c r="A584" s="5" t="s">
        <v>1269</v>
      </c>
      <c r="B584" t="s">
        <v>7173</v>
      </c>
      <c r="C584" t="str">
        <f>IFERROR(VLOOKUP(ILACLISTE[[#This Row],[NAME]],Table5[#All],2,0),"")</f>
        <v/>
      </c>
    </row>
    <row r="585" spans="1:3" x14ac:dyDescent="0.3">
      <c r="A585" s="5" t="s">
        <v>1270</v>
      </c>
      <c r="B585" t="s">
        <v>7174</v>
      </c>
      <c r="C585" t="str">
        <f>IFERROR(VLOOKUP(ILACLISTE[[#This Row],[NAME]],Table5[#All],2,0),"")</f>
        <v/>
      </c>
    </row>
    <row r="586" spans="1:3" x14ac:dyDescent="0.3">
      <c r="A586" s="5" t="s">
        <v>1271</v>
      </c>
      <c r="B586" t="s">
        <v>62</v>
      </c>
      <c r="C586" t="str">
        <f>IFERROR(VLOOKUP(ILACLISTE[[#This Row],[NAME]],Table5[#All],2,0),"")</f>
        <v/>
      </c>
    </row>
    <row r="587" spans="1:3" x14ac:dyDescent="0.3">
      <c r="A587" s="5" t="s">
        <v>1272</v>
      </c>
      <c r="B587" t="s">
        <v>7175</v>
      </c>
      <c r="C587" t="str">
        <f>IFERROR(VLOOKUP(ILACLISTE[[#This Row],[NAME]],Table5[#All],2,0),"")</f>
        <v/>
      </c>
    </row>
    <row r="588" spans="1:3" x14ac:dyDescent="0.3">
      <c r="A588" s="5" t="s">
        <v>1273</v>
      </c>
      <c r="B588" t="s">
        <v>63</v>
      </c>
      <c r="C588" t="str">
        <f>IFERROR(VLOOKUP(ILACLISTE[[#This Row],[NAME]],Table5[#All],2,0),"")</f>
        <v/>
      </c>
    </row>
    <row r="589" spans="1:3" x14ac:dyDescent="0.3">
      <c r="A589" s="5" t="s">
        <v>1274</v>
      </c>
      <c r="B589" t="s">
        <v>64</v>
      </c>
      <c r="C589" t="str">
        <f>IFERROR(VLOOKUP(ILACLISTE[[#This Row],[NAME]],Table5[#All],2,0),"")</f>
        <v/>
      </c>
    </row>
    <row r="590" spans="1:3" x14ac:dyDescent="0.3">
      <c r="A590" s="5" t="s">
        <v>1275</v>
      </c>
      <c r="B590" t="s">
        <v>7176</v>
      </c>
      <c r="C590" t="str">
        <f>IFERROR(VLOOKUP(ILACLISTE[[#This Row],[NAME]],Table5[#All],2,0),"")</f>
        <v/>
      </c>
    </row>
    <row r="591" spans="1:3" x14ac:dyDescent="0.3">
      <c r="A591" s="5" t="s">
        <v>1276</v>
      </c>
      <c r="B591" t="s">
        <v>7177</v>
      </c>
      <c r="C591" t="str">
        <f>IFERROR(VLOOKUP(ILACLISTE[[#This Row],[NAME]],Table5[#All],2,0),"")</f>
        <v/>
      </c>
    </row>
    <row r="592" spans="1:3" x14ac:dyDescent="0.3">
      <c r="A592" s="5" t="s">
        <v>1277</v>
      </c>
      <c r="B592" t="s">
        <v>7178</v>
      </c>
      <c r="C592" t="str">
        <f>IFERROR(VLOOKUP(ILACLISTE[[#This Row],[NAME]],Table5[#All],2,0),"")</f>
        <v/>
      </c>
    </row>
    <row r="593" spans="1:3" x14ac:dyDescent="0.3">
      <c r="A593" s="5" t="s">
        <v>1278</v>
      </c>
      <c r="B593" t="s">
        <v>7179</v>
      </c>
      <c r="C593" t="str">
        <f>IFERROR(VLOOKUP(ILACLISTE[[#This Row],[NAME]],Table5[#All],2,0),"")</f>
        <v/>
      </c>
    </row>
    <row r="594" spans="1:3" x14ac:dyDescent="0.3">
      <c r="A594" s="5" t="s">
        <v>1279</v>
      </c>
      <c r="B594" t="s">
        <v>7180</v>
      </c>
      <c r="C594" t="str">
        <f>IFERROR(VLOOKUP(ILACLISTE[[#This Row],[NAME]],Table5[#All],2,0),"")</f>
        <v/>
      </c>
    </row>
    <row r="595" spans="1:3" x14ac:dyDescent="0.3">
      <c r="A595" s="5" t="s">
        <v>1280</v>
      </c>
      <c r="B595" t="s">
        <v>7181</v>
      </c>
      <c r="C595" t="str">
        <f>IFERROR(VLOOKUP(ILACLISTE[[#This Row],[NAME]],Table5[#All],2,0),"")</f>
        <v/>
      </c>
    </row>
    <row r="596" spans="1:3" x14ac:dyDescent="0.3">
      <c r="A596" s="5" t="s">
        <v>1281</v>
      </c>
      <c r="B596" t="s">
        <v>7182</v>
      </c>
      <c r="C596" t="str">
        <f>IFERROR(VLOOKUP(ILACLISTE[[#This Row],[NAME]],Table5[#All],2,0),"")</f>
        <v/>
      </c>
    </row>
    <row r="597" spans="1:3" x14ac:dyDescent="0.3">
      <c r="A597" s="5" t="s">
        <v>1282</v>
      </c>
      <c r="B597" t="s">
        <v>7183</v>
      </c>
      <c r="C597" t="str">
        <f>IFERROR(VLOOKUP(ILACLISTE[[#This Row],[NAME]],Table5[#All],2,0),"")</f>
        <v/>
      </c>
    </row>
    <row r="598" spans="1:3" x14ac:dyDescent="0.3">
      <c r="A598" s="5" t="s">
        <v>1283</v>
      </c>
      <c r="B598" t="s">
        <v>7184</v>
      </c>
      <c r="C598" t="str">
        <f>IFERROR(VLOOKUP(ILACLISTE[[#This Row],[NAME]],Table5[#All],2,0),"")</f>
        <v/>
      </c>
    </row>
    <row r="599" spans="1:3" x14ac:dyDescent="0.3">
      <c r="A599" s="5" t="s">
        <v>1284</v>
      </c>
      <c r="B599" t="s">
        <v>7185</v>
      </c>
      <c r="C599" t="str">
        <f>IFERROR(VLOOKUP(ILACLISTE[[#This Row],[NAME]],Table5[#All],2,0),"")</f>
        <v/>
      </c>
    </row>
    <row r="600" spans="1:3" x14ac:dyDescent="0.3">
      <c r="A600" s="5" t="s">
        <v>7186</v>
      </c>
      <c r="B600" t="s">
        <v>7187</v>
      </c>
      <c r="C600" t="str">
        <f>IFERROR(VLOOKUP(ILACLISTE[[#This Row],[NAME]],Table5[#All],2,0),"")</f>
        <v/>
      </c>
    </row>
    <row r="601" spans="1:3" x14ac:dyDescent="0.3">
      <c r="A601" s="5" t="s">
        <v>1285</v>
      </c>
      <c r="B601" t="s">
        <v>7188</v>
      </c>
      <c r="C601" t="str">
        <f>IFERROR(VLOOKUP(ILACLISTE[[#This Row],[NAME]],Table5[#All],2,0),"")</f>
        <v/>
      </c>
    </row>
    <row r="602" spans="1:3" x14ac:dyDescent="0.3">
      <c r="A602" s="5" t="s">
        <v>1286</v>
      </c>
      <c r="B602" t="s">
        <v>7189</v>
      </c>
      <c r="C602" t="str">
        <f>IFERROR(VLOOKUP(ILACLISTE[[#This Row],[NAME]],Table5[#All],2,0),"")</f>
        <v/>
      </c>
    </row>
    <row r="603" spans="1:3" x14ac:dyDescent="0.3">
      <c r="A603" s="5" t="s">
        <v>1262</v>
      </c>
      <c r="B603" t="s">
        <v>7190</v>
      </c>
      <c r="C603" t="str">
        <f>IFERROR(VLOOKUP(ILACLISTE[[#This Row],[NAME]],Table5[#All],2,0),"")</f>
        <v/>
      </c>
    </row>
    <row r="604" spans="1:3" x14ac:dyDescent="0.3">
      <c r="A604" s="5" t="s">
        <v>1287</v>
      </c>
      <c r="B604" t="s">
        <v>7191</v>
      </c>
      <c r="C604" t="str">
        <f>IFERROR(VLOOKUP(ILACLISTE[[#This Row],[NAME]],Table5[#All],2,0),"")</f>
        <v/>
      </c>
    </row>
    <row r="605" spans="1:3" x14ac:dyDescent="0.3">
      <c r="A605" s="5" t="s">
        <v>1288</v>
      </c>
      <c r="B605" t="s">
        <v>7192</v>
      </c>
      <c r="C605" t="str">
        <f>IFERROR(VLOOKUP(ILACLISTE[[#This Row],[NAME]],Table5[#All],2,0),"")</f>
        <v/>
      </c>
    </row>
    <row r="606" spans="1:3" x14ac:dyDescent="0.3">
      <c r="A606" s="5" t="s">
        <v>1289</v>
      </c>
      <c r="B606" t="s">
        <v>7193</v>
      </c>
      <c r="C606" t="str">
        <f>IFERROR(VLOOKUP(ILACLISTE[[#This Row],[NAME]],Table5[#All],2,0),"")</f>
        <v/>
      </c>
    </row>
    <row r="607" spans="1:3" x14ac:dyDescent="0.3">
      <c r="A607" s="5" t="s">
        <v>1290</v>
      </c>
      <c r="B607" t="s">
        <v>7194</v>
      </c>
      <c r="C607" t="str">
        <f>IFERROR(VLOOKUP(ILACLISTE[[#This Row],[NAME]],Table5[#All],2,0),"")</f>
        <v/>
      </c>
    </row>
    <row r="608" spans="1:3" x14ac:dyDescent="0.3">
      <c r="A608" s="5" t="s">
        <v>1291</v>
      </c>
      <c r="B608" t="s">
        <v>7195</v>
      </c>
      <c r="C608" t="str">
        <f>IFERROR(VLOOKUP(ILACLISTE[[#This Row],[NAME]],Table5[#All],2,0),"")</f>
        <v/>
      </c>
    </row>
    <row r="609" spans="1:3" x14ac:dyDescent="0.3">
      <c r="A609" s="5" t="s">
        <v>1292</v>
      </c>
      <c r="B609" t="s">
        <v>7196</v>
      </c>
      <c r="C609" t="str">
        <f>IFERROR(VLOOKUP(ILACLISTE[[#This Row],[NAME]],Table5[#All],2,0),"")</f>
        <v/>
      </c>
    </row>
    <row r="610" spans="1:3" x14ac:dyDescent="0.3">
      <c r="A610" s="5" t="s">
        <v>1293</v>
      </c>
      <c r="B610" t="s">
        <v>65</v>
      </c>
      <c r="C610" t="str">
        <f>IFERROR(VLOOKUP(ILACLISTE[[#This Row],[NAME]],Table5[#All],2,0),"")</f>
        <v/>
      </c>
    </row>
    <row r="611" spans="1:3" x14ac:dyDescent="0.3">
      <c r="A611" s="5" t="s">
        <v>1294</v>
      </c>
      <c r="B611" t="s">
        <v>7197</v>
      </c>
      <c r="C611" t="str">
        <f>IFERROR(VLOOKUP(ILACLISTE[[#This Row],[NAME]],Table5[#All],2,0),"")</f>
        <v/>
      </c>
    </row>
    <row r="612" spans="1:3" x14ac:dyDescent="0.3">
      <c r="A612" s="5" t="s">
        <v>1295</v>
      </c>
      <c r="B612" t="s">
        <v>7198</v>
      </c>
      <c r="C612" t="str">
        <f>IFERROR(VLOOKUP(ILACLISTE[[#This Row],[NAME]],Table5[#All],2,0),"")</f>
        <v/>
      </c>
    </row>
    <row r="613" spans="1:3" x14ac:dyDescent="0.3">
      <c r="A613" s="5" t="s">
        <v>1296</v>
      </c>
      <c r="B613" t="s">
        <v>7199</v>
      </c>
      <c r="C613" t="str">
        <f>IFERROR(VLOOKUP(ILACLISTE[[#This Row],[NAME]],Table5[#All],2,0),"")</f>
        <v/>
      </c>
    </row>
    <row r="614" spans="1:3" x14ac:dyDescent="0.3">
      <c r="A614" s="5" t="s">
        <v>1297</v>
      </c>
      <c r="B614" t="s">
        <v>7200</v>
      </c>
      <c r="C614" t="str">
        <f>IFERROR(VLOOKUP(ILACLISTE[[#This Row],[NAME]],Table5[#All],2,0),"")</f>
        <v/>
      </c>
    </row>
    <row r="615" spans="1:3" x14ac:dyDescent="0.3">
      <c r="A615" s="5" t="s">
        <v>1298</v>
      </c>
      <c r="B615" t="s">
        <v>66</v>
      </c>
      <c r="C615" t="str">
        <f>IFERROR(VLOOKUP(ILACLISTE[[#This Row],[NAME]],Table5[#All],2,0),"")</f>
        <v/>
      </c>
    </row>
    <row r="616" spans="1:3" x14ac:dyDescent="0.3">
      <c r="A616" s="5" t="s">
        <v>1299</v>
      </c>
      <c r="B616" t="s">
        <v>7201</v>
      </c>
      <c r="C616" t="str">
        <f>IFERROR(VLOOKUP(ILACLISTE[[#This Row],[NAME]],Table5[#All],2,0),"")</f>
        <v/>
      </c>
    </row>
    <row r="617" spans="1:3" x14ac:dyDescent="0.3">
      <c r="A617" s="5" t="s">
        <v>1300</v>
      </c>
      <c r="B617" t="s">
        <v>7202</v>
      </c>
      <c r="C617" t="str">
        <f>IFERROR(VLOOKUP(ILACLISTE[[#This Row],[NAME]],Table5[#All],2,0),"")</f>
        <v/>
      </c>
    </row>
    <row r="618" spans="1:3" x14ac:dyDescent="0.3">
      <c r="A618" s="5" t="s">
        <v>1301</v>
      </c>
      <c r="B618" t="s">
        <v>67</v>
      </c>
      <c r="C618" t="str">
        <f>IFERROR(VLOOKUP(ILACLISTE[[#This Row],[NAME]],Table5[#All],2,0),"")</f>
        <v/>
      </c>
    </row>
    <row r="619" spans="1:3" x14ac:dyDescent="0.3">
      <c r="A619" s="5" t="s">
        <v>1302</v>
      </c>
      <c r="B619" t="s">
        <v>7203</v>
      </c>
      <c r="C619" t="str">
        <f>IFERROR(VLOOKUP(ILACLISTE[[#This Row],[NAME]],Table5[#All],2,0),"")</f>
        <v/>
      </c>
    </row>
    <row r="620" spans="1:3" x14ac:dyDescent="0.3">
      <c r="A620" s="5" t="s">
        <v>1303</v>
      </c>
      <c r="B620" t="s">
        <v>7204</v>
      </c>
      <c r="C620" t="str">
        <f>IFERROR(VLOOKUP(ILACLISTE[[#This Row],[NAME]],Table5[#All],2,0),"")</f>
        <v/>
      </c>
    </row>
    <row r="621" spans="1:3" x14ac:dyDescent="0.3">
      <c r="A621" s="5" t="s">
        <v>1304</v>
      </c>
      <c r="B621" t="s">
        <v>7205</v>
      </c>
      <c r="C621" t="str">
        <f>IFERROR(VLOOKUP(ILACLISTE[[#This Row],[NAME]],Table5[#All],2,0),"")</f>
        <v/>
      </c>
    </row>
    <row r="622" spans="1:3" x14ac:dyDescent="0.3">
      <c r="A622" s="5" t="s">
        <v>1305</v>
      </c>
      <c r="B622" t="s">
        <v>7206</v>
      </c>
      <c r="C622" t="str">
        <f>IFERROR(VLOOKUP(ILACLISTE[[#This Row],[NAME]],Table5[#All],2,0),"")</f>
        <v/>
      </c>
    </row>
    <row r="623" spans="1:3" x14ac:dyDescent="0.3">
      <c r="A623" s="5" t="s">
        <v>1306</v>
      </c>
      <c r="B623" t="s">
        <v>7207</v>
      </c>
      <c r="C623" t="str">
        <f>IFERROR(VLOOKUP(ILACLISTE[[#This Row],[NAME]],Table5[#All],2,0),"")</f>
        <v/>
      </c>
    </row>
    <row r="624" spans="1:3" x14ac:dyDescent="0.3">
      <c r="A624" s="5" t="s">
        <v>1307</v>
      </c>
      <c r="B624" t="s">
        <v>7208</v>
      </c>
      <c r="C624" t="str">
        <f>IFERROR(VLOOKUP(ILACLISTE[[#This Row],[NAME]],Table5[#All],2,0),"")</f>
        <v/>
      </c>
    </row>
    <row r="625" spans="1:3" x14ac:dyDescent="0.3">
      <c r="A625" s="5" t="s">
        <v>1308</v>
      </c>
      <c r="B625" t="s">
        <v>7209</v>
      </c>
      <c r="C625" t="str">
        <f>IFERROR(VLOOKUP(ILACLISTE[[#This Row],[NAME]],Table5[#All],2,0),"")</f>
        <v/>
      </c>
    </row>
    <row r="626" spans="1:3" x14ac:dyDescent="0.3">
      <c r="A626" s="5" t="s">
        <v>1309</v>
      </c>
      <c r="B626" t="s">
        <v>7210</v>
      </c>
      <c r="C626" t="str">
        <f>IFERROR(VLOOKUP(ILACLISTE[[#This Row],[NAME]],Table5[#All],2,0),"")</f>
        <v/>
      </c>
    </row>
    <row r="627" spans="1:3" x14ac:dyDescent="0.3">
      <c r="A627" s="5" t="s">
        <v>1310</v>
      </c>
      <c r="B627" t="s">
        <v>7211</v>
      </c>
      <c r="C627" t="str">
        <f>IFERROR(VLOOKUP(ILACLISTE[[#This Row],[NAME]],Table5[#All],2,0),"")</f>
        <v/>
      </c>
    </row>
    <row r="628" spans="1:3" x14ac:dyDescent="0.3">
      <c r="A628" s="5" t="s">
        <v>1311</v>
      </c>
      <c r="B628" t="s">
        <v>7212</v>
      </c>
      <c r="C628" t="str">
        <f>IFERROR(VLOOKUP(ILACLISTE[[#This Row],[NAME]],Table5[#All],2,0),"")</f>
        <v/>
      </c>
    </row>
    <row r="629" spans="1:3" x14ac:dyDescent="0.3">
      <c r="A629" s="5" t="s">
        <v>1312</v>
      </c>
      <c r="B629" t="s">
        <v>7213</v>
      </c>
      <c r="C629" t="str">
        <f>IFERROR(VLOOKUP(ILACLISTE[[#This Row],[NAME]],Table5[#All],2,0),"")</f>
        <v/>
      </c>
    </row>
    <row r="630" spans="1:3" x14ac:dyDescent="0.3">
      <c r="A630" s="5" t="s">
        <v>1313</v>
      </c>
      <c r="B630" t="s">
        <v>7214</v>
      </c>
      <c r="C630" t="str">
        <f>IFERROR(VLOOKUP(ILACLISTE[[#This Row],[NAME]],Table5[#All],2,0),"")</f>
        <v/>
      </c>
    </row>
    <row r="631" spans="1:3" x14ac:dyDescent="0.3">
      <c r="A631" s="5" t="s">
        <v>1314</v>
      </c>
      <c r="B631" t="s">
        <v>7215</v>
      </c>
      <c r="C631" t="str">
        <f>IFERROR(VLOOKUP(ILACLISTE[[#This Row],[NAME]],Table5[#All],2,0),"")</f>
        <v/>
      </c>
    </row>
    <row r="632" spans="1:3" x14ac:dyDescent="0.3">
      <c r="A632" s="5" t="s">
        <v>1315</v>
      </c>
      <c r="B632" t="s">
        <v>7216</v>
      </c>
      <c r="C632" t="str">
        <f>IFERROR(VLOOKUP(ILACLISTE[[#This Row],[NAME]],Table5[#All],2,0),"")</f>
        <v/>
      </c>
    </row>
    <row r="633" spans="1:3" x14ac:dyDescent="0.3">
      <c r="A633" s="5" t="s">
        <v>1316</v>
      </c>
      <c r="B633" t="s">
        <v>7217</v>
      </c>
      <c r="C633" t="str">
        <f>IFERROR(VLOOKUP(ILACLISTE[[#This Row],[NAME]],Table5[#All],2,0),"")</f>
        <v/>
      </c>
    </row>
    <row r="634" spans="1:3" x14ac:dyDescent="0.3">
      <c r="A634" s="5" t="s">
        <v>1317</v>
      </c>
      <c r="B634" t="s">
        <v>7218</v>
      </c>
      <c r="C634" t="str">
        <f>IFERROR(VLOOKUP(ILACLISTE[[#This Row],[NAME]],Table5[#All],2,0),"")</f>
        <v/>
      </c>
    </row>
    <row r="635" spans="1:3" x14ac:dyDescent="0.3">
      <c r="A635" s="5" t="s">
        <v>1318</v>
      </c>
      <c r="B635" t="s">
        <v>7219</v>
      </c>
      <c r="C635" t="str">
        <f>IFERROR(VLOOKUP(ILACLISTE[[#This Row],[NAME]],Table5[#All],2,0),"")</f>
        <v/>
      </c>
    </row>
    <row r="636" spans="1:3" x14ac:dyDescent="0.3">
      <c r="A636" s="5" t="s">
        <v>1319</v>
      </c>
      <c r="B636" t="s">
        <v>7220</v>
      </c>
      <c r="C636" t="str">
        <f>IFERROR(VLOOKUP(ILACLISTE[[#This Row],[NAME]],Table5[#All],2,0),"")</f>
        <v/>
      </c>
    </row>
    <row r="637" spans="1:3" x14ac:dyDescent="0.3">
      <c r="A637" s="5" t="s">
        <v>1320</v>
      </c>
      <c r="B637" t="s">
        <v>7221</v>
      </c>
      <c r="C637" t="str">
        <f>IFERROR(VLOOKUP(ILACLISTE[[#This Row],[NAME]],Table5[#All],2,0),"")</f>
        <v/>
      </c>
    </row>
    <row r="638" spans="1:3" x14ac:dyDescent="0.3">
      <c r="A638" s="5" t="s">
        <v>1321</v>
      </c>
      <c r="B638" t="s">
        <v>7222</v>
      </c>
      <c r="C638" t="str">
        <f>IFERROR(VLOOKUP(ILACLISTE[[#This Row],[NAME]],Table5[#All],2,0),"")</f>
        <v/>
      </c>
    </row>
    <row r="639" spans="1:3" x14ac:dyDescent="0.3">
      <c r="A639" s="5" t="s">
        <v>1322</v>
      </c>
      <c r="B639" t="s">
        <v>7223</v>
      </c>
      <c r="C639" t="str">
        <f>IFERROR(VLOOKUP(ILACLISTE[[#This Row],[NAME]],Table5[#All],2,0),"")</f>
        <v/>
      </c>
    </row>
    <row r="640" spans="1:3" x14ac:dyDescent="0.3">
      <c r="A640" s="5" t="s">
        <v>1323</v>
      </c>
      <c r="B640" t="s">
        <v>7224</v>
      </c>
      <c r="C640" t="str">
        <f>IFERROR(VLOOKUP(ILACLISTE[[#This Row],[NAME]],Table5[#All],2,0),"")</f>
        <v/>
      </c>
    </row>
    <row r="641" spans="1:3" x14ac:dyDescent="0.3">
      <c r="A641" s="5" t="s">
        <v>1324</v>
      </c>
      <c r="B641" t="s">
        <v>7225</v>
      </c>
      <c r="C641" t="str">
        <f>IFERROR(VLOOKUP(ILACLISTE[[#This Row],[NAME]],Table5[#All],2,0),"")</f>
        <v/>
      </c>
    </row>
    <row r="642" spans="1:3" x14ac:dyDescent="0.3">
      <c r="A642" s="5" t="s">
        <v>1325</v>
      </c>
      <c r="B642" t="s">
        <v>7226</v>
      </c>
      <c r="C642" t="str">
        <f>IFERROR(VLOOKUP(ILACLISTE[[#This Row],[NAME]],Table5[#All],2,0),"")</f>
        <v/>
      </c>
    </row>
    <row r="643" spans="1:3" x14ac:dyDescent="0.3">
      <c r="A643" s="5" t="s">
        <v>1326</v>
      </c>
      <c r="B643" t="s">
        <v>7227</v>
      </c>
      <c r="C643" t="str">
        <f>IFERROR(VLOOKUP(ILACLISTE[[#This Row],[NAME]],Table5[#All],2,0),"")</f>
        <v/>
      </c>
    </row>
    <row r="644" spans="1:3" x14ac:dyDescent="0.3">
      <c r="A644" s="5" t="s">
        <v>1327</v>
      </c>
      <c r="B644" t="s">
        <v>7228</v>
      </c>
      <c r="C644" t="str">
        <f>IFERROR(VLOOKUP(ILACLISTE[[#This Row],[NAME]],Table5[#All],2,0),"")</f>
        <v/>
      </c>
    </row>
    <row r="645" spans="1:3" x14ac:dyDescent="0.3">
      <c r="A645" s="5" t="s">
        <v>1328</v>
      </c>
      <c r="B645" t="s">
        <v>7229</v>
      </c>
      <c r="C645" t="str">
        <f>IFERROR(VLOOKUP(ILACLISTE[[#This Row],[NAME]],Table5[#All],2,0),"")</f>
        <v/>
      </c>
    </row>
    <row r="646" spans="1:3" x14ac:dyDescent="0.3">
      <c r="A646" s="5" t="s">
        <v>1329</v>
      </c>
      <c r="B646" t="s">
        <v>7230</v>
      </c>
      <c r="C646" t="str">
        <f>IFERROR(VLOOKUP(ILACLISTE[[#This Row],[NAME]],Table5[#All],2,0),"")</f>
        <v/>
      </c>
    </row>
    <row r="647" spans="1:3" x14ac:dyDescent="0.3">
      <c r="A647" s="5" t="s">
        <v>1330</v>
      </c>
      <c r="B647" t="s">
        <v>7231</v>
      </c>
      <c r="C647" t="str">
        <f>IFERROR(VLOOKUP(ILACLISTE[[#This Row],[NAME]],Table5[#All],2,0),"")</f>
        <v/>
      </c>
    </row>
    <row r="648" spans="1:3" x14ac:dyDescent="0.3">
      <c r="A648" s="5" t="s">
        <v>1331</v>
      </c>
      <c r="B648" t="s">
        <v>68</v>
      </c>
      <c r="C648" t="str">
        <f>IFERROR(VLOOKUP(ILACLISTE[[#This Row],[NAME]],Table5[#All],2,0),"")</f>
        <v/>
      </c>
    </row>
    <row r="649" spans="1:3" x14ac:dyDescent="0.3">
      <c r="A649" s="5" t="s">
        <v>1332</v>
      </c>
      <c r="B649" t="s">
        <v>69</v>
      </c>
      <c r="C649" t="str">
        <f>IFERROR(VLOOKUP(ILACLISTE[[#This Row],[NAME]],Table5[#All],2,0),"")</f>
        <v/>
      </c>
    </row>
    <row r="650" spans="1:3" x14ac:dyDescent="0.3">
      <c r="A650" s="5" t="s">
        <v>1333</v>
      </c>
      <c r="B650" t="s">
        <v>70</v>
      </c>
      <c r="C650" t="str">
        <f>IFERROR(VLOOKUP(ILACLISTE[[#This Row],[NAME]],Table5[#All],2,0),"")</f>
        <v/>
      </c>
    </row>
    <row r="651" spans="1:3" x14ac:dyDescent="0.3">
      <c r="A651" s="5" t="s">
        <v>1334</v>
      </c>
      <c r="B651" t="s">
        <v>7232</v>
      </c>
      <c r="C651" t="str">
        <f>IFERROR(VLOOKUP(ILACLISTE[[#This Row],[NAME]],Table5[#All],2,0),"")</f>
        <v/>
      </c>
    </row>
    <row r="652" spans="1:3" x14ac:dyDescent="0.3">
      <c r="A652" s="5" t="s">
        <v>1335</v>
      </c>
      <c r="B652" t="s">
        <v>71</v>
      </c>
      <c r="C652" t="str">
        <f>IFERROR(VLOOKUP(ILACLISTE[[#This Row],[NAME]],Table5[#All],2,0),"")</f>
        <v/>
      </c>
    </row>
    <row r="653" spans="1:3" x14ac:dyDescent="0.3">
      <c r="A653" s="5" t="s">
        <v>1336</v>
      </c>
      <c r="B653" t="s">
        <v>7233</v>
      </c>
      <c r="C653" t="str">
        <f>IFERROR(VLOOKUP(ILACLISTE[[#This Row],[NAME]],Table5[#All],2,0),"")</f>
        <v/>
      </c>
    </row>
    <row r="654" spans="1:3" x14ac:dyDescent="0.3">
      <c r="A654" s="5" t="s">
        <v>1337</v>
      </c>
      <c r="B654" t="s">
        <v>7234</v>
      </c>
      <c r="C654" t="str">
        <f>IFERROR(VLOOKUP(ILACLISTE[[#This Row],[NAME]],Table5[#All],2,0),"")</f>
        <v/>
      </c>
    </row>
    <row r="655" spans="1:3" x14ac:dyDescent="0.3">
      <c r="A655" s="5" t="s">
        <v>1338</v>
      </c>
      <c r="B655" t="s">
        <v>7235</v>
      </c>
      <c r="C655" t="str">
        <f>IFERROR(VLOOKUP(ILACLISTE[[#This Row],[NAME]],Table5[#All],2,0),"")</f>
        <v/>
      </c>
    </row>
    <row r="656" spans="1:3" x14ac:dyDescent="0.3">
      <c r="A656" s="5" t="s">
        <v>1339</v>
      </c>
      <c r="B656" t="s">
        <v>7236</v>
      </c>
      <c r="C656" t="str">
        <f>IFERROR(VLOOKUP(ILACLISTE[[#This Row],[NAME]],Table5[#All],2,0),"")</f>
        <v/>
      </c>
    </row>
    <row r="657" spans="1:3" x14ac:dyDescent="0.3">
      <c r="A657" s="5" t="s">
        <v>1340</v>
      </c>
      <c r="B657" t="s">
        <v>7237</v>
      </c>
      <c r="C657" t="str">
        <f>IFERROR(VLOOKUP(ILACLISTE[[#This Row],[NAME]],Table5[#All],2,0),"")</f>
        <v/>
      </c>
    </row>
    <row r="658" spans="1:3" x14ac:dyDescent="0.3">
      <c r="A658" s="5" t="s">
        <v>1341</v>
      </c>
      <c r="B658" t="s">
        <v>7238</v>
      </c>
      <c r="C658" t="str">
        <f>IFERROR(VLOOKUP(ILACLISTE[[#This Row],[NAME]],Table5[#All],2,0),"")</f>
        <v/>
      </c>
    </row>
    <row r="659" spans="1:3" x14ac:dyDescent="0.3">
      <c r="A659" s="5" t="s">
        <v>1342</v>
      </c>
      <c r="B659" t="s">
        <v>7239</v>
      </c>
      <c r="C659" t="str">
        <f>IFERROR(VLOOKUP(ILACLISTE[[#This Row],[NAME]],Table5[#All],2,0),"")</f>
        <v/>
      </c>
    </row>
    <row r="660" spans="1:3" x14ac:dyDescent="0.3">
      <c r="A660" s="5" t="s">
        <v>1343</v>
      </c>
      <c r="B660" t="s">
        <v>7240</v>
      </c>
      <c r="C660" t="str">
        <f>IFERROR(VLOOKUP(ILACLISTE[[#This Row],[NAME]],Table5[#All],2,0),"")</f>
        <v/>
      </c>
    </row>
    <row r="661" spans="1:3" x14ac:dyDescent="0.3">
      <c r="A661" s="5" t="s">
        <v>1344</v>
      </c>
      <c r="B661" t="s">
        <v>7241</v>
      </c>
      <c r="C661" t="str">
        <f>IFERROR(VLOOKUP(ILACLISTE[[#This Row],[NAME]],Table5[#All],2,0),"")</f>
        <v/>
      </c>
    </row>
    <row r="662" spans="1:3" x14ac:dyDescent="0.3">
      <c r="A662" s="5" t="s">
        <v>1345</v>
      </c>
      <c r="B662" t="s">
        <v>7242</v>
      </c>
      <c r="C662" t="str">
        <f>IFERROR(VLOOKUP(ILACLISTE[[#This Row],[NAME]],Table5[#All],2,0),"")</f>
        <v/>
      </c>
    </row>
    <row r="663" spans="1:3" x14ac:dyDescent="0.3">
      <c r="A663" s="5" t="s">
        <v>1346</v>
      </c>
      <c r="B663" t="s">
        <v>7243</v>
      </c>
      <c r="C663" t="str">
        <f>IFERROR(VLOOKUP(ILACLISTE[[#This Row],[NAME]],Table5[#All],2,0),"")</f>
        <v/>
      </c>
    </row>
    <row r="664" spans="1:3" x14ac:dyDescent="0.3">
      <c r="A664" s="5" t="s">
        <v>1347</v>
      </c>
      <c r="B664" t="s">
        <v>7244</v>
      </c>
      <c r="C664" t="str">
        <f>IFERROR(VLOOKUP(ILACLISTE[[#This Row],[NAME]],Table5[#All],2,0),"")</f>
        <v/>
      </c>
    </row>
    <row r="665" spans="1:3" x14ac:dyDescent="0.3">
      <c r="A665" s="5" t="s">
        <v>1348</v>
      </c>
      <c r="B665" t="s">
        <v>72</v>
      </c>
      <c r="C665" t="str">
        <f>IFERROR(VLOOKUP(ILACLISTE[[#This Row],[NAME]],Table5[#All],2,0),"")</f>
        <v/>
      </c>
    </row>
    <row r="666" spans="1:3" x14ac:dyDescent="0.3">
      <c r="A666" s="5" t="s">
        <v>1349</v>
      </c>
      <c r="B666" t="s">
        <v>7245</v>
      </c>
      <c r="C666" t="str">
        <f>IFERROR(VLOOKUP(ILACLISTE[[#This Row],[NAME]],Table5[#All],2,0),"")</f>
        <v/>
      </c>
    </row>
    <row r="667" spans="1:3" x14ac:dyDescent="0.3">
      <c r="A667" s="5" t="s">
        <v>1350</v>
      </c>
      <c r="B667" t="s">
        <v>7246</v>
      </c>
      <c r="C667" t="str">
        <f>IFERROR(VLOOKUP(ILACLISTE[[#This Row],[NAME]],Table5[#All],2,0),"")</f>
        <v/>
      </c>
    </row>
    <row r="668" spans="1:3" x14ac:dyDescent="0.3">
      <c r="A668" s="5" t="s">
        <v>1351</v>
      </c>
      <c r="B668" t="s">
        <v>7247</v>
      </c>
      <c r="C668" t="str">
        <f>IFERROR(VLOOKUP(ILACLISTE[[#This Row],[NAME]],Table5[#All],2,0),"")</f>
        <v/>
      </c>
    </row>
    <row r="669" spans="1:3" x14ac:dyDescent="0.3">
      <c r="A669" s="5" t="s">
        <v>1352</v>
      </c>
      <c r="B669" t="s">
        <v>7248</v>
      </c>
      <c r="C669" t="str">
        <f>IFERROR(VLOOKUP(ILACLISTE[[#This Row],[NAME]],Table5[#All],2,0),"")</f>
        <v/>
      </c>
    </row>
    <row r="670" spans="1:3" x14ac:dyDescent="0.3">
      <c r="A670" s="5" t="s">
        <v>1353</v>
      </c>
      <c r="B670" t="s">
        <v>7249</v>
      </c>
      <c r="C670" t="str">
        <f>IFERROR(VLOOKUP(ILACLISTE[[#This Row],[NAME]],Table5[#All],2,0),"")</f>
        <v/>
      </c>
    </row>
    <row r="671" spans="1:3" x14ac:dyDescent="0.3">
      <c r="A671" s="5" t="s">
        <v>1354</v>
      </c>
      <c r="B671" t="s">
        <v>7250</v>
      </c>
      <c r="C671" t="str">
        <f>IFERROR(VLOOKUP(ILACLISTE[[#This Row],[NAME]],Table5[#All],2,0),"")</f>
        <v/>
      </c>
    </row>
    <row r="672" spans="1:3" x14ac:dyDescent="0.3">
      <c r="A672" s="5" t="s">
        <v>1355</v>
      </c>
      <c r="B672" t="s">
        <v>7251</v>
      </c>
      <c r="C672" t="str">
        <f>IFERROR(VLOOKUP(ILACLISTE[[#This Row],[NAME]],Table5[#All],2,0),"")</f>
        <v/>
      </c>
    </row>
    <row r="673" spans="1:3" x14ac:dyDescent="0.3">
      <c r="A673" s="5" t="s">
        <v>1356</v>
      </c>
      <c r="B673" t="s">
        <v>7252</v>
      </c>
      <c r="C673" t="str">
        <f>IFERROR(VLOOKUP(ILACLISTE[[#This Row],[NAME]],Table5[#All],2,0),"")</f>
        <v/>
      </c>
    </row>
    <row r="674" spans="1:3" x14ac:dyDescent="0.3">
      <c r="A674" s="5" t="s">
        <v>1357</v>
      </c>
      <c r="B674" t="s">
        <v>7253</v>
      </c>
      <c r="C674" t="str">
        <f>IFERROR(VLOOKUP(ILACLISTE[[#This Row],[NAME]],Table5[#All],2,0),"")</f>
        <v/>
      </c>
    </row>
    <row r="675" spans="1:3" x14ac:dyDescent="0.3">
      <c r="A675" s="5" t="s">
        <v>1358</v>
      </c>
      <c r="B675" t="s">
        <v>7254</v>
      </c>
      <c r="C675" t="str">
        <f>IFERROR(VLOOKUP(ILACLISTE[[#This Row],[NAME]],Table5[#All],2,0),"")</f>
        <v/>
      </c>
    </row>
    <row r="676" spans="1:3" x14ac:dyDescent="0.3">
      <c r="A676" s="5" t="s">
        <v>1359</v>
      </c>
      <c r="B676" t="s">
        <v>73</v>
      </c>
      <c r="C676" t="str">
        <f>IFERROR(VLOOKUP(ILACLISTE[[#This Row],[NAME]],Table5[#All],2,0),"")</f>
        <v/>
      </c>
    </row>
    <row r="677" spans="1:3" x14ac:dyDescent="0.3">
      <c r="A677" s="5" t="s">
        <v>1360</v>
      </c>
      <c r="B677" t="s">
        <v>74</v>
      </c>
      <c r="C677" t="str">
        <f>IFERROR(VLOOKUP(ILACLISTE[[#This Row],[NAME]],Table5[#All],2,0),"")</f>
        <v/>
      </c>
    </row>
    <row r="678" spans="1:3" x14ac:dyDescent="0.3">
      <c r="A678" s="5" t="s">
        <v>1361</v>
      </c>
      <c r="B678" t="s">
        <v>75</v>
      </c>
      <c r="C678" t="str">
        <f>IFERROR(VLOOKUP(ILACLISTE[[#This Row],[NAME]],Table5[#All],2,0),"")</f>
        <v/>
      </c>
    </row>
    <row r="679" spans="1:3" x14ac:dyDescent="0.3">
      <c r="A679" s="5" t="s">
        <v>1362</v>
      </c>
      <c r="B679" t="s">
        <v>7255</v>
      </c>
      <c r="C679" t="str">
        <f>IFERROR(VLOOKUP(ILACLISTE[[#This Row],[NAME]],Table5[#All],2,0),"")</f>
        <v/>
      </c>
    </row>
    <row r="680" spans="1:3" x14ac:dyDescent="0.3">
      <c r="A680" s="5" t="s">
        <v>1363</v>
      </c>
      <c r="B680" t="s">
        <v>7256</v>
      </c>
      <c r="C680" t="str">
        <f>IFERROR(VLOOKUP(ILACLISTE[[#This Row],[NAME]],Table5[#All],2,0),"")</f>
        <v/>
      </c>
    </row>
    <row r="681" spans="1:3" x14ac:dyDescent="0.3">
      <c r="A681" s="5" t="s">
        <v>1364</v>
      </c>
      <c r="B681" t="s">
        <v>7257</v>
      </c>
      <c r="C681" t="str">
        <f>IFERROR(VLOOKUP(ILACLISTE[[#This Row],[NAME]],Table5[#All],2,0),"")</f>
        <v/>
      </c>
    </row>
    <row r="682" spans="1:3" x14ac:dyDescent="0.3">
      <c r="A682" s="5" t="s">
        <v>1365</v>
      </c>
      <c r="B682" t="s">
        <v>7258</v>
      </c>
      <c r="C682" t="str">
        <f>IFERROR(VLOOKUP(ILACLISTE[[#This Row],[NAME]],Table5[#All],2,0),"")</f>
        <v/>
      </c>
    </row>
    <row r="683" spans="1:3" x14ac:dyDescent="0.3">
      <c r="A683" s="5" t="s">
        <v>1366</v>
      </c>
      <c r="B683" t="s">
        <v>76</v>
      </c>
      <c r="C683" t="str">
        <f>IFERROR(VLOOKUP(ILACLISTE[[#This Row],[NAME]],Table5[#All],2,0),"")</f>
        <v/>
      </c>
    </row>
    <row r="684" spans="1:3" x14ac:dyDescent="0.3">
      <c r="A684" s="5" t="s">
        <v>1367</v>
      </c>
      <c r="B684" t="s">
        <v>77</v>
      </c>
      <c r="C684" t="str">
        <f>IFERROR(VLOOKUP(ILACLISTE[[#This Row],[NAME]],Table5[#All],2,0),"")</f>
        <v/>
      </c>
    </row>
    <row r="685" spans="1:3" x14ac:dyDescent="0.3">
      <c r="A685" s="5" t="s">
        <v>1368</v>
      </c>
      <c r="B685" t="s">
        <v>7259</v>
      </c>
      <c r="C685" t="str">
        <f>IFERROR(VLOOKUP(ILACLISTE[[#This Row],[NAME]],Table5[#All],2,0),"")</f>
        <v/>
      </c>
    </row>
    <row r="686" spans="1:3" x14ac:dyDescent="0.3">
      <c r="A686" s="5" t="s">
        <v>1369</v>
      </c>
      <c r="B686" t="s">
        <v>7260</v>
      </c>
      <c r="C686" t="str">
        <f>IFERROR(VLOOKUP(ILACLISTE[[#This Row],[NAME]],Table5[#All],2,0),"")</f>
        <v/>
      </c>
    </row>
    <row r="687" spans="1:3" x14ac:dyDescent="0.3">
      <c r="A687" s="5" t="s">
        <v>1370</v>
      </c>
      <c r="B687" t="s">
        <v>7261</v>
      </c>
      <c r="C687" t="str">
        <f>IFERROR(VLOOKUP(ILACLISTE[[#This Row],[NAME]],Table5[#All],2,0),"")</f>
        <v/>
      </c>
    </row>
    <row r="688" spans="1:3" x14ac:dyDescent="0.3">
      <c r="A688" s="5" t="s">
        <v>1371</v>
      </c>
      <c r="B688" t="s">
        <v>7262</v>
      </c>
      <c r="C688" t="str">
        <f>IFERROR(VLOOKUP(ILACLISTE[[#This Row],[NAME]],Table5[#All],2,0),"")</f>
        <v/>
      </c>
    </row>
    <row r="689" spans="1:3" x14ac:dyDescent="0.3">
      <c r="A689" s="5" t="s">
        <v>1372</v>
      </c>
      <c r="B689" t="s">
        <v>7263</v>
      </c>
      <c r="C689" t="str">
        <f>IFERROR(VLOOKUP(ILACLISTE[[#This Row],[NAME]],Table5[#All],2,0),"")</f>
        <v/>
      </c>
    </row>
    <row r="690" spans="1:3" x14ac:dyDescent="0.3">
      <c r="A690" s="5" t="s">
        <v>1373</v>
      </c>
      <c r="B690" t="s">
        <v>7264</v>
      </c>
      <c r="C690" t="str">
        <f>IFERROR(VLOOKUP(ILACLISTE[[#This Row],[NAME]],Table5[#All],2,0),"")</f>
        <v/>
      </c>
    </row>
    <row r="691" spans="1:3" x14ac:dyDescent="0.3">
      <c r="A691" s="5" t="s">
        <v>1374</v>
      </c>
      <c r="B691" t="s">
        <v>7265</v>
      </c>
      <c r="C691" t="str">
        <f>IFERROR(VLOOKUP(ILACLISTE[[#This Row],[NAME]],Table5[#All],2,0),"")</f>
        <v/>
      </c>
    </row>
    <row r="692" spans="1:3" x14ac:dyDescent="0.3">
      <c r="A692" s="5" t="s">
        <v>1375</v>
      </c>
      <c r="B692" t="s">
        <v>7266</v>
      </c>
      <c r="C692" t="str">
        <f>IFERROR(VLOOKUP(ILACLISTE[[#This Row],[NAME]],Table5[#All],2,0),"")</f>
        <v/>
      </c>
    </row>
    <row r="693" spans="1:3" x14ac:dyDescent="0.3">
      <c r="A693" s="5" t="s">
        <v>1376</v>
      </c>
      <c r="B693" t="s">
        <v>7267</v>
      </c>
      <c r="C693" t="str">
        <f>IFERROR(VLOOKUP(ILACLISTE[[#This Row],[NAME]],Table5[#All],2,0),"")</f>
        <v/>
      </c>
    </row>
    <row r="694" spans="1:3" x14ac:dyDescent="0.3">
      <c r="A694" s="5" t="s">
        <v>1377</v>
      </c>
      <c r="B694" t="s">
        <v>7268</v>
      </c>
      <c r="C694" t="str">
        <f>IFERROR(VLOOKUP(ILACLISTE[[#This Row],[NAME]],Table5[#All],2,0),"")</f>
        <v/>
      </c>
    </row>
    <row r="695" spans="1:3" x14ac:dyDescent="0.3">
      <c r="A695" s="5" t="s">
        <v>1378</v>
      </c>
      <c r="B695" t="s">
        <v>78</v>
      </c>
      <c r="C695" t="str">
        <f>IFERROR(VLOOKUP(ILACLISTE[[#This Row],[NAME]],Table5[#All],2,0),"")</f>
        <v/>
      </c>
    </row>
    <row r="696" spans="1:3" x14ac:dyDescent="0.3">
      <c r="A696" s="5" t="s">
        <v>1379</v>
      </c>
      <c r="B696" t="s">
        <v>7269</v>
      </c>
      <c r="C696" t="str">
        <f>IFERROR(VLOOKUP(ILACLISTE[[#This Row],[NAME]],Table5[#All],2,0),"")</f>
        <v/>
      </c>
    </row>
    <row r="697" spans="1:3" x14ac:dyDescent="0.3">
      <c r="A697" s="5" t="s">
        <v>1380</v>
      </c>
      <c r="B697" t="s">
        <v>7270</v>
      </c>
      <c r="C697" t="str">
        <f>IFERROR(VLOOKUP(ILACLISTE[[#This Row],[NAME]],Table5[#All],2,0),"")</f>
        <v/>
      </c>
    </row>
    <row r="698" spans="1:3" x14ac:dyDescent="0.3">
      <c r="A698" s="5" t="s">
        <v>1381</v>
      </c>
      <c r="B698" t="s">
        <v>79</v>
      </c>
      <c r="C698" t="str">
        <f>IFERROR(VLOOKUP(ILACLISTE[[#This Row],[NAME]],Table5[#All],2,0),"")</f>
        <v/>
      </c>
    </row>
    <row r="699" spans="1:3" x14ac:dyDescent="0.3">
      <c r="A699" s="5" t="s">
        <v>1382</v>
      </c>
      <c r="B699" t="s">
        <v>80</v>
      </c>
      <c r="C699" t="str">
        <f>IFERROR(VLOOKUP(ILACLISTE[[#This Row],[NAME]],Table5[#All],2,0),"")</f>
        <v/>
      </c>
    </row>
    <row r="700" spans="1:3" x14ac:dyDescent="0.3">
      <c r="A700" s="5" t="s">
        <v>1383</v>
      </c>
      <c r="B700" t="s">
        <v>7271</v>
      </c>
      <c r="C700" t="str">
        <f>IFERROR(VLOOKUP(ILACLISTE[[#This Row],[NAME]],Table5[#All],2,0),"")</f>
        <v/>
      </c>
    </row>
    <row r="701" spans="1:3" x14ac:dyDescent="0.3">
      <c r="A701" s="5" t="s">
        <v>1384</v>
      </c>
      <c r="B701" t="s">
        <v>7272</v>
      </c>
      <c r="C701" t="str">
        <f>IFERROR(VLOOKUP(ILACLISTE[[#This Row],[NAME]],Table5[#All],2,0),"")</f>
        <v/>
      </c>
    </row>
    <row r="702" spans="1:3" x14ac:dyDescent="0.3">
      <c r="A702" s="5" t="s">
        <v>1385</v>
      </c>
      <c r="B702" t="s">
        <v>7273</v>
      </c>
      <c r="C702" t="str">
        <f>IFERROR(VLOOKUP(ILACLISTE[[#This Row],[NAME]],Table5[#All],2,0),"")</f>
        <v/>
      </c>
    </row>
    <row r="703" spans="1:3" x14ac:dyDescent="0.3">
      <c r="A703" s="5" t="s">
        <v>1386</v>
      </c>
      <c r="B703" t="s">
        <v>7274</v>
      </c>
      <c r="C703" t="str">
        <f>IFERROR(VLOOKUP(ILACLISTE[[#This Row],[NAME]],Table5[#All],2,0),"")</f>
        <v/>
      </c>
    </row>
    <row r="704" spans="1:3" x14ac:dyDescent="0.3">
      <c r="A704" s="5" t="s">
        <v>7275</v>
      </c>
      <c r="B704" t="s">
        <v>7276</v>
      </c>
      <c r="C704" t="str">
        <f>IFERROR(VLOOKUP(ILACLISTE[[#This Row],[NAME]],Table5[#All],2,0),"")</f>
        <v/>
      </c>
    </row>
    <row r="705" spans="1:3" x14ac:dyDescent="0.3">
      <c r="A705" s="5" t="s">
        <v>7277</v>
      </c>
      <c r="B705" t="s">
        <v>7278</v>
      </c>
      <c r="C705" t="str">
        <f>IFERROR(VLOOKUP(ILACLISTE[[#This Row],[NAME]],Table5[#All],2,0),"")</f>
        <v/>
      </c>
    </row>
    <row r="706" spans="1:3" x14ac:dyDescent="0.3">
      <c r="A706" s="5" t="s">
        <v>7279</v>
      </c>
      <c r="B706" t="s">
        <v>7280</v>
      </c>
      <c r="C706" t="str">
        <f>IFERROR(VLOOKUP(ILACLISTE[[#This Row],[NAME]],Table5[#All],2,0),"")</f>
        <v/>
      </c>
    </row>
    <row r="707" spans="1:3" x14ac:dyDescent="0.3">
      <c r="A707" s="5" t="s">
        <v>1387</v>
      </c>
      <c r="B707" t="s">
        <v>7281</v>
      </c>
      <c r="C707" t="str">
        <f>IFERROR(VLOOKUP(ILACLISTE[[#This Row],[NAME]],Table5[#All],2,0),"")</f>
        <v/>
      </c>
    </row>
    <row r="708" spans="1:3" ht="20.399999999999999" x14ac:dyDescent="0.3">
      <c r="A708" s="6" t="s">
        <v>1388</v>
      </c>
      <c r="B708" t="s">
        <v>7282</v>
      </c>
      <c r="C708" t="str">
        <f>IFERROR(VLOOKUP(ILACLISTE[[#This Row],[NAME]],Table5[#All],2,0),"")</f>
        <v/>
      </c>
    </row>
    <row r="709" spans="1:3" x14ac:dyDescent="0.3">
      <c r="A709" s="5" t="s">
        <v>1389</v>
      </c>
      <c r="B709" t="s">
        <v>7283</v>
      </c>
      <c r="C709" t="str">
        <f>IFERROR(VLOOKUP(ILACLISTE[[#This Row],[NAME]],Table5[#All],2,0),"")</f>
        <v/>
      </c>
    </row>
    <row r="710" spans="1:3" x14ac:dyDescent="0.3">
      <c r="A710" s="5" t="s">
        <v>1390</v>
      </c>
      <c r="B710" t="s">
        <v>7284</v>
      </c>
      <c r="C710" t="str">
        <f>IFERROR(VLOOKUP(ILACLISTE[[#This Row],[NAME]],Table5[#All],2,0),"")</f>
        <v/>
      </c>
    </row>
    <row r="711" spans="1:3" x14ac:dyDescent="0.3">
      <c r="A711" s="5" t="s">
        <v>1391</v>
      </c>
      <c r="B711" t="s">
        <v>7285</v>
      </c>
      <c r="C711" t="str">
        <f>IFERROR(VLOOKUP(ILACLISTE[[#This Row],[NAME]],Table5[#All],2,0),"")</f>
        <v/>
      </c>
    </row>
    <row r="712" spans="1:3" x14ac:dyDescent="0.3">
      <c r="A712" s="5" t="s">
        <v>1392</v>
      </c>
      <c r="B712" t="s">
        <v>81</v>
      </c>
      <c r="C712" t="str">
        <f>IFERROR(VLOOKUP(ILACLISTE[[#This Row],[NAME]],Table5[#All],2,0),"")</f>
        <v/>
      </c>
    </row>
    <row r="713" spans="1:3" x14ac:dyDescent="0.3">
      <c r="A713" s="5" t="s">
        <v>1393</v>
      </c>
      <c r="B713" t="s">
        <v>7286</v>
      </c>
      <c r="C713" t="str">
        <f>IFERROR(VLOOKUP(ILACLISTE[[#This Row],[NAME]],Table5[#All],2,0),"")</f>
        <v/>
      </c>
    </row>
    <row r="714" spans="1:3" x14ac:dyDescent="0.3">
      <c r="A714" s="5" t="s">
        <v>1394</v>
      </c>
      <c r="B714" t="s">
        <v>7287</v>
      </c>
      <c r="C714" t="str">
        <f>IFERROR(VLOOKUP(ILACLISTE[[#This Row],[NAME]],Table5[#All],2,0),"")</f>
        <v/>
      </c>
    </row>
    <row r="715" spans="1:3" x14ac:dyDescent="0.3">
      <c r="A715" s="5" t="s">
        <v>1395</v>
      </c>
      <c r="B715" t="s">
        <v>7288</v>
      </c>
      <c r="C715" t="str">
        <f>IFERROR(VLOOKUP(ILACLISTE[[#This Row],[NAME]],Table5[#All],2,0),"")</f>
        <v/>
      </c>
    </row>
    <row r="716" spans="1:3" x14ac:dyDescent="0.3">
      <c r="A716" s="5" t="s">
        <v>1396</v>
      </c>
      <c r="B716" t="s">
        <v>7289</v>
      </c>
      <c r="C716" t="str">
        <f>IFERROR(VLOOKUP(ILACLISTE[[#This Row],[NAME]],Table5[#All],2,0),"")</f>
        <v/>
      </c>
    </row>
    <row r="717" spans="1:3" x14ac:dyDescent="0.3">
      <c r="A717" s="5" t="s">
        <v>1397</v>
      </c>
      <c r="B717" t="s">
        <v>7290</v>
      </c>
      <c r="C717" t="str">
        <f>IFERROR(VLOOKUP(ILACLISTE[[#This Row],[NAME]],Table5[#All],2,0),"")</f>
        <v/>
      </c>
    </row>
    <row r="718" spans="1:3" x14ac:dyDescent="0.3">
      <c r="A718" s="5" t="s">
        <v>1398</v>
      </c>
      <c r="B718" t="s">
        <v>7291</v>
      </c>
      <c r="C718" t="str">
        <f>IFERROR(VLOOKUP(ILACLISTE[[#This Row],[NAME]],Table5[#All],2,0),"")</f>
        <v/>
      </c>
    </row>
    <row r="719" spans="1:3" x14ac:dyDescent="0.3">
      <c r="A719" s="5" t="s">
        <v>1399</v>
      </c>
      <c r="B719" t="s">
        <v>7292</v>
      </c>
      <c r="C719" t="str">
        <f>IFERROR(VLOOKUP(ILACLISTE[[#This Row],[NAME]],Table5[#All],2,0),"")</f>
        <v/>
      </c>
    </row>
    <row r="720" spans="1:3" x14ac:dyDescent="0.3">
      <c r="A720" s="5" t="s">
        <v>1400</v>
      </c>
      <c r="B720" t="s">
        <v>7293</v>
      </c>
      <c r="C720" t="str">
        <f>IFERROR(VLOOKUP(ILACLISTE[[#This Row],[NAME]],Table5[#All],2,0),"")</f>
        <v/>
      </c>
    </row>
    <row r="721" spans="1:3" x14ac:dyDescent="0.3">
      <c r="A721" s="5" t="s">
        <v>1401</v>
      </c>
      <c r="B721" t="s">
        <v>82</v>
      </c>
      <c r="C721" t="str">
        <f>IFERROR(VLOOKUP(ILACLISTE[[#This Row],[NAME]],Table5[#All],2,0),"")</f>
        <v/>
      </c>
    </row>
    <row r="722" spans="1:3" x14ac:dyDescent="0.3">
      <c r="A722" s="5" t="s">
        <v>1402</v>
      </c>
      <c r="B722" t="s">
        <v>83</v>
      </c>
      <c r="C722" t="str">
        <f>IFERROR(VLOOKUP(ILACLISTE[[#This Row],[NAME]],Table5[#All],2,0),"")</f>
        <v/>
      </c>
    </row>
    <row r="723" spans="1:3" x14ac:dyDescent="0.3">
      <c r="A723" s="5" t="s">
        <v>1403</v>
      </c>
      <c r="B723" t="s">
        <v>84</v>
      </c>
      <c r="C723" t="str">
        <f>IFERROR(VLOOKUP(ILACLISTE[[#This Row],[NAME]],Table5[#All],2,0),"")</f>
        <v/>
      </c>
    </row>
    <row r="724" spans="1:3" x14ac:dyDescent="0.3">
      <c r="A724" s="5" t="s">
        <v>1404</v>
      </c>
      <c r="B724" t="s">
        <v>85</v>
      </c>
      <c r="C724" t="str">
        <f>IFERROR(VLOOKUP(ILACLISTE[[#This Row],[NAME]],Table5[#All],2,0),"")</f>
        <v/>
      </c>
    </row>
    <row r="725" spans="1:3" x14ac:dyDescent="0.3">
      <c r="A725" s="5" t="s">
        <v>1405</v>
      </c>
      <c r="B725" t="s">
        <v>86</v>
      </c>
      <c r="C725" t="str">
        <f>IFERROR(VLOOKUP(ILACLISTE[[#This Row],[NAME]],Table5[#All],2,0),"")</f>
        <v/>
      </c>
    </row>
    <row r="726" spans="1:3" x14ac:dyDescent="0.3">
      <c r="A726" s="5" t="s">
        <v>1406</v>
      </c>
      <c r="B726" t="s">
        <v>7294</v>
      </c>
      <c r="C726" t="str">
        <f>IFERROR(VLOOKUP(ILACLISTE[[#This Row],[NAME]],Table5[#All],2,0),"")</f>
        <v/>
      </c>
    </row>
    <row r="727" spans="1:3" x14ac:dyDescent="0.3">
      <c r="A727" s="5" t="s">
        <v>1407</v>
      </c>
      <c r="B727" t="s">
        <v>87</v>
      </c>
      <c r="C727" t="str">
        <f>IFERROR(VLOOKUP(ILACLISTE[[#This Row],[NAME]],Table5[#All],2,0),"")</f>
        <v/>
      </c>
    </row>
    <row r="728" spans="1:3" x14ac:dyDescent="0.3">
      <c r="A728" s="5" t="s">
        <v>1408</v>
      </c>
      <c r="B728" t="s">
        <v>7295</v>
      </c>
      <c r="C728" t="str">
        <f>IFERROR(VLOOKUP(ILACLISTE[[#This Row],[NAME]],Table5[#All],2,0),"")</f>
        <v/>
      </c>
    </row>
    <row r="729" spans="1:3" x14ac:dyDescent="0.3">
      <c r="A729" s="5" t="s">
        <v>1409</v>
      </c>
      <c r="B729" t="s">
        <v>7296</v>
      </c>
      <c r="C729" t="str">
        <f>IFERROR(VLOOKUP(ILACLISTE[[#This Row],[NAME]],Table5[#All],2,0),"")</f>
        <v/>
      </c>
    </row>
    <row r="730" spans="1:3" x14ac:dyDescent="0.3">
      <c r="A730" s="5" t="s">
        <v>1410</v>
      </c>
      <c r="B730" t="s">
        <v>7297</v>
      </c>
      <c r="C730" t="str">
        <f>IFERROR(VLOOKUP(ILACLISTE[[#This Row],[NAME]],Table5[#All],2,0),"")</f>
        <v/>
      </c>
    </row>
    <row r="731" spans="1:3" x14ac:dyDescent="0.3">
      <c r="A731" s="5" t="s">
        <v>1411</v>
      </c>
      <c r="B731" t="s">
        <v>7298</v>
      </c>
      <c r="C731" t="str">
        <f>IFERROR(VLOOKUP(ILACLISTE[[#This Row],[NAME]],Table5[#All],2,0),"")</f>
        <v/>
      </c>
    </row>
    <row r="732" spans="1:3" x14ac:dyDescent="0.3">
      <c r="A732" s="5" t="s">
        <v>1412</v>
      </c>
      <c r="B732" t="s">
        <v>7299</v>
      </c>
      <c r="C732" t="str">
        <f>IFERROR(VLOOKUP(ILACLISTE[[#This Row],[NAME]],Table5[#All],2,0),"")</f>
        <v/>
      </c>
    </row>
    <row r="733" spans="1:3" x14ac:dyDescent="0.3">
      <c r="A733" s="5" t="s">
        <v>1413</v>
      </c>
      <c r="B733" t="s">
        <v>88</v>
      </c>
      <c r="C733" t="str">
        <f>IFERROR(VLOOKUP(ILACLISTE[[#This Row],[NAME]],Table5[#All],2,0),"")</f>
        <v/>
      </c>
    </row>
    <row r="734" spans="1:3" x14ac:dyDescent="0.3">
      <c r="A734" s="5" t="s">
        <v>1414</v>
      </c>
      <c r="B734" t="s">
        <v>7300</v>
      </c>
      <c r="C734" t="str">
        <f>IFERROR(VLOOKUP(ILACLISTE[[#This Row],[NAME]],Table5[#All],2,0),"")</f>
        <v/>
      </c>
    </row>
    <row r="735" spans="1:3" x14ac:dyDescent="0.3">
      <c r="A735" s="5" t="s">
        <v>1415</v>
      </c>
      <c r="B735" t="s">
        <v>7301</v>
      </c>
      <c r="C735" t="str">
        <f>IFERROR(VLOOKUP(ILACLISTE[[#This Row],[NAME]],Table5[#All],2,0),"")</f>
        <v/>
      </c>
    </row>
    <row r="736" spans="1:3" x14ac:dyDescent="0.3">
      <c r="A736" s="5" t="s">
        <v>1416</v>
      </c>
      <c r="B736" t="s">
        <v>7302</v>
      </c>
      <c r="C736" t="str">
        <f>IFERROR(VLOOKUP(ILACLISTE[[#This Row],[NAME]],Table5[#All],2,0),"")</f>
        <v/>
      </c>
    </row>
    <row r="737" spans="1:3" x14ac:dyDescent="0.3">
      <c r="A737" s="5" t="s">
        <v>1417</v>
      </c>
      <c r="B737" t="s">
        <v>7303</v>
      </c>
      <c r="C737" t="str">
        <f>IFERROR(VLOOKUP(ILACLISTE[[#This Row],[NAME]],Table5[#All],2,0),"")</f>
        <v/>
      </c>
    </row>
    <row r="738" spans="1:3" x14ac:dyDescent="0.3">
      <c r="A738" s="5" t="s">
        <v>1418</v>
      </c>
      <c r="B738" t="s">
        <v>7304</v>
      </c>
      <c r="C738" t="str">
        <f>IFERROR(VLOOKUP(ILACLISTE[[#This Row],[NAME]],Table5[#All],2,0),"")</f>
        <v/>
      </c>
    </row>
    <row r="739" spans="1:3" x14ac:dyDescent="0.3">
      <c r="A739" s="5" t="s">
        <v>1419</v>
      </c>
      <c r="B739" t="s">
        <v>89</v>
      </c>
      <c r="C739" t="str">
        <f>IFERROR(VLOOKUP(ILACLISTE[[#This Row],[NAME]],Table5[#All],2,0),"")</f>
        <v/>
      </c>
    </row>
    <row r="740" spans="1:3" x14ac:dyDescent="0.3">
      <c r="A740" s="5" t="s">
        <v>1420</v>
      </c>
      <c r="B740" t="s">
        <v>7305</v>
      </c>
      <c r="C740" t="str">
        <f>IFERROR(VLOOKUP(ILACLISTE[[#This Row],[NAME]],Table5[#All],2,0),"")</f>
        <v/>
      </c>
    </row>
    <row r="741" spans="1:3" x14ac:dyDescent="0.3">
      <c r="A741" s="5" t="s">
        <v>1421</v>
      </c>
      <c r="B741" t="s">
        <v>7306</v>
      </c>
      <c r="C741" t="str">
        <f>IFERROR(VLOOKUP(ILACLISTE[[#This Row],[NAME]],Table5[#All],2,0),"")</f>
        <v/>
      </c>
    </row>
    <row r="742" spans="1:3" x14ac:dyDescent="0.3">
      <c r="A742" s="5" t="s">
        <v>1422</v>
      </c>
      <c r="B742" t="s">
        <v>7307</v>
      </c>
      <c r="C742" t="str">
        <f>IFERROR(VLOOKUP(ILACLISTE[[#This Row],[NAME]],Table5[#All],2,0),"")</f>
        <v/>
      </c>
    </row>
    <row r="743" spans="1:3" x14ac:dyDescent="0.3">
      <c r="A743" s="5" t="s">
        <v>1423</v>
      </c>
      <c r="B743" t="s">
        <v>7308</v>
      </c>
      <c r="C743" t="str">
        <f>IFERROR(VLOOKUP(ILACLISTE[[#This Row],[NAME]],Table5[#All],2,0),"")</f>
        <v/>
      </c>
    </row>
    <row r="744" spans="1:3" x14ac:dyDescent="0.3">
      <c r="A744" s="5" t="s">
        <v>1424</v>
      </c>
      <c r="B744" t="s">
        <v>7309</v>
      </c>
      <c r="C744" t="str">
        <f>IFERROR(VLOOKUP(ILACLISTE[[#This Row],[NAME]],Table5[#All],2,0),"")</f>
        <v/>
      </c>
    </row>
    <row r="745" spans="1:3" x14ac:dyDescent="0.3">
      <c r="A745" s="5" t="s">
        <v>1425</v>
      </c>
      <c r="B745" t="s">
        <v>7310</v>
      </c>
      <c r="C745" t="str">
        <f>IFERROR(VLOOKUP(ILACLISTE[[#This Row],[NAME]],Table5[#All],2,0),"")</f>
        <v/>
      </c>
    </row>
    <row r="746" spans="1:3" x14ac:dyDescent="0.3">
      <c r="A746" s="5" t="s">
        <v>1426</v>
      </c>
      <c r="B746" t="s">
        <v>7311</v>
      </c>
      <c r="C746" t="str">
        <f>IFERROR(VLOOKUP(ILACLISTE[[#This Row],[NAME]],Table5[#All],2,0),"")</f>
        <v/>
      </c>
    </row>
    <row r="747" spans="1:3" x14ac:dyDescent="0.3">
      <c r="A747" s="5" t="s">
        <v>1427</v>
      </c>
      <c r="B747" t="s">
        <v>90</v>
      </c>
      <c r="C747" t="str">
        <f>IFERROR(VLOOKUP(ILACLISTE[[#This Row],[NAME]],Table5[#All],2,0),"")</f>
        <v/>
      </c>
    </row>
    <row r="748" spans="1:3" x14ac:dyDescent="0.3">
      <c r="A748" s="5" t="s">
        <v>1428</v>
      </c>
      <c r="B748" t="s">
        <v>7312</v>
      </c>
      <c r="C748" t="str">
        <f>IFERROR(VLOOKUP(ILACLISTE[[#This Row],[NAME]],Table5[#All],2,0),"")</f>
        <v/>
      </c>
    </row>
    <row r="749" spans="1:3" x14ac:dyDescent="0.3">
      <c r="A749" s="5" t="s">
        <v>1429</v>
      </c>
      <c r="B749" t="s">
        <v>91</v>
      </c>
      <c r="C749" t="str">
        <f>IFERROR(VLOOKUP(ILACLISTE[[#This Row],[NAME]],Table5[#All],2,0),"")</f>
        <v/>
      </c>
    </row>
    <row r="750" spans="1:3" x14ac:dyDescent="0.3">
      <c r="A750" s="5" t="s">
        <v>1430</v>
      </c>
      <c r="B750" t="s">
        <v>7313</v>
      </c>
      <c r="C750" t="str">
        <f>IFERROR(VLOOKUP(ILACLISTE[[#This Row],[NAME]],Table5[#All],2,0),"")</f>
        <v/>
      </c>
    </row>
    <row r="751" spans="1:3" x14ac:dyDescent="0.3">
      <c r="A751" s="5" t="s">
        <v>1431</v>
      </c>
      <c r="B751" t="s">
        <v>7314</v>
      </c>
      <c r="C751" t="str">
        <f>IFERROR(VLOOKUP(ILACLISTE[[#This Row],[NAME]],Table5[#All],2,0),"")</f>
        <v/>
      </c>
    </row>
    <row r="752" spans="1:3" x14ac:dyDescent="0.3">
      <c r="A752" s="5" t="s">
        <v>1432</v>
      </c>
      <c r="B752" t="s">
        <v>7315</v>
      </c>
      <c r="C752" t="str">
        <f>IFERROR(VLOOKUP(ILACLISTE[[#This Row],[NAME]],Table5[#All],2,0),"")</f>
        <v/>
      </c>
    </row>
    <row r="753" spans="1:3" x14ac:dyDescent="0.3">
      <c r="A753" s="5" t="s">
        <v>1433</v>
      </c>
      <c r="B753" t="s">
        <v>92</v>
      </c>
      <c r="C753" t="str">
        <f>IFERROR(VLOOKUP(ILACLISTE[[#This Row],[NAME]],Table5[#All],2,0),"")</f>
        <v/>
      </c>
    </row>
    <row r="754" spans="1:3" x14ac:dyDescent="0.3">
      <c r="A754" s="5" t="s">
        <v>1434</v>
      </c>
      <c r="B754" t="s">
        <v>7316</v>
      </c>
      <c r="C754" t="str">
        <f>IFERROR(VLOOKUP(ILACLISTE[[#This Row],[NAME]],Table5[#All],2,0),"")</f>
        <v/>
      </c>
    </row>
    <row r="755" spans="1:3" x14ac:dyDescent="0.3">
      <c r="A755" s="5" t="s">
        <v>1435</v>
      </c>
      <c r="B755" t="s">
        <v>93</v>
      </c>
      <c r="C755" t="str">
        <f>IFERROR(VLOOKUP(ILACLISTE[[#This Row],[NAME]],Table5[#All],2,0),"")</f>
        <v/>
      </c>
    </row>
    <row r="756" spans="1:3" x14ac:dyDescent="0.3">
      <c r="A756" s="5" t="s">
        <v>1436</v>
      </c>
      <c r="B756" t="s">
        <v>94</v>
      </c>
      <c r="C756" t="str">
        <f>IFERROR(VLOOKUP(ILACLISTE[[#This Row],[NAME]],Table5[#All],2,0),"")</f>
        <v/>
      </c>
    </row>
    <row r="757" spans="1:3" x14ac:dyDescent="0.3">
      <c r="A757" s="5" t="s">
        <v>1437</v>
      </c>
      <c r="B757" t="s">
        <v>7317</v>
      </c>
      <c r="C757" t="str">
        <f>IFERROR(VLOOKUP(ILACLISTE[[#This Row],[NAME]],Table5[#All],2,0),"")</f>
        <v/>
      </c>
    </row>
    <row r="758" spans="1:3" x14ac:dyDescent="0.3">
      <c r="A758" s="5" t="s">
        <v>1438</v>
      </c>
      <c r="B758" t="s">
        <v>7318</v>
      </c>
      <c r="C758" t="str">
        <f>IFERROR(VLOOKUP(ILACLISTE[[#This Row],[NAME]],Table5[#All],2,0),"")</f>
        <v/>
      </c>
    </row>
    <row r="759" spans="1:3" x14ac:dyDescent="0.3">
      <c r="A759" s="5" t="s">
        <v>1439</v>
      </c>
      <c r="B759" t="s">
        <v>7319</v>
      </c>
      <c r="C759" t="str">
        <f>IFERROR(VLOOKUP(ILACLISTE[[#This Row],[NAME]],Table5[#All],2,0),"")</f>
        <v/>
      </c>
    </row>
    <row r="760" spans="1:3" x14ac:dyDescent="0.3">
      <c r="A760" s="5" t="s">
        <v>1440</v>
      </c>
      <c r="B760" t="s">
        <v>7320</v>
      </c>
      <c r="C760" t="str">
        <f>IFERROR(VLOOKUP(ILACLISTE[[#This Row],[NAME]],Table5[#All],2,0),"")</f>
        <v/>
      </c>
    </row>
    <row r="761" spans="1:3" x14ac:dyDescent="0.3">
      <c r="A761" s="5" t="s">
        <v>1441</v>
      </c>
      <c r="B761" t="s">
        <v>7321</v>
      </c>
      <c r="C761" t="str">
        <f>IFERROR(VLOOKUP(ILACLISTE[[#This Row],[NAME]],Table5[#All],2,0),"")</f>
        <v/>
      </c>
    </row>
    <row r="762" spans="1:3" x14ac:dyDescent="0.3">
      <c r="A762" s="5" t="s">
        <v>1442</v>
      </c>
      <c r="B762" t="s">
        <v>95</v>
      </c>
      <c r="C762" t="str">
        <f>IFERROR(VLOOKUP(ILACLISTE[[#This Row],[NAME]],Table5[#All],2,0),"")</f>
        <v/>
      </c>
    </row>
    <row r="763" spans="1:3" x14ac:dyDescent="0.3">
      <c r="A763" s="5" t="s">
        <v>1443</v>
      </c>
      <c r="B763" t="s">
        <v>7322</v>
      </c>
      <c r="C763" t="str">
        <f>IFERROR(VLOOKUP(ILACLISTE[[#This Row],[NAME]],Table5[#All],2,0),"")</f>
        <v/>
      </c>
    </row>
    <row r="764" spans="1:3" x14ac:dyDescent="0.3">
      <c r="A764" s="5" t="s">
        <v>1444</v>
      </c>
      <c r="B764" t="s">
        <v>7323</v>
      </c>
      <c r="C764" t="str">
        <f>IFERROR(VLOOKUP(ILACLISTE[[#This Row],[NAME]],Table5[#All],2,0),"")</f>
        <v/>
      </c>
    </row>
    <row r="765" spans="1:3" x14ac:dyDescent="0.3">
      <c r="A765" s="5" t="s">
        <v>1445</v>
      </c>
      <c r="B765" t="s">
        <v>7324</v>
      </c>
      <c r="C765" t="str">
        <f>IFERROR(VLOOKUP(ILACLISTE[[#This Row],[NAME]],Table5[#All],2,0),"")</f>
        <v/>
      </c>
    </row>
    <row r="766" spans="1:3" x14ac:dyDescent="0.3">
      <c r="A766" s="5" t="s">
        <v>1446</v>
      </c>
      <c r="B766" t="s">
        <v>96</v>
      </c>
      <c r="C766" t="str">
        <f>IFERROR(VLOOKUP(ILACLISTE[[#This Row],[NAME]],Table5[#All],2,0),"")</f>
        <v/>
      </c>
    </row>
    <row r="767" spans="1:3" x14ac:dyDescent="0.3">
      <c r="A767" s="5" t="s">
        <v>1447</v>
      </c>
      <c r="B767" t="s">
        <v>7325</v>
      </c>
      <c r="C767" t="str">
        <f>IFERROR(VLOOKUP(ILACLISTE[[#This Row],[NAME]],Table5[#All],2,0),"")</f>
        <v/>
      </c>
    </row>
    <row r="768" spans="1:3" x14ac:dyDescent="0.3">
      <c r="A768" s="5" t="s">
        <v>1448</v>
      </c>
      <c r="B768" t="s">
        <v>7326</v>
      </c>
      <c r="C768" t="str">
        <f>IFERROR(VLOOKUP(ILACLISTE[[#This Row],[NAME]],Table5[#All],2,0),"")</f>
        <v/>
      </c>
    </row>
    <row r="769" spans="1:3" x14ac:dyDescent="0.3">
      <c r="A769" s="5" t="s">
        <v>1449</v>
      </c>
      <c r="B769" t="s">
        <v>7327</v>
      </c>
      <c r="C769" t="str">
        <f>IFERROR(VLOOKUP(ILACLISTE[[#This Row],[NAME]],Table5[#All],2,0),"")</f>
        <v/>
      </c>
    </row>
    <row r="770" spans="1:3" x14ac:dyDescent="0.3">
      <c r="A770" s="5" t="s">
        <v>1450</v>
      </c>
      <c r="B770" t="s">
        <v>7328</v>
      </c>
      <c r="C770" t="str">
        <f>IFERROR(VLOOKUP(ILACLISTE[[#This Row],[NAME]],Table5[#All],2,0),"")</f>
        <v/>
      </c>
    </row>
    <row r="771" spans="1:3" x14ac:dyDescent="0.3">
      <c r="A771" s="5" t="s">
        <v>1451</v>
      </c>
      <c r="B771" t="s">
        <v>7329</v>
      </c>
      <c r="C771" t="str">
        <f>IFERROR(VLOOKUP(ILACLISTE[[#This Row],[NAME]],Table5[#All],2,0),"")</f>
        <v/>
      </c>
    </row>
    <row r="772" spans="1:3" x14ac:dyDescent="0.3">
      <c r="A772" s="5" t="s">
        <v>1452</v>
      </c>
      <c r="B772" t="s">
        <v>7330</v>
      </c>
      <c r="C772" t="str">
        <f>IFERROR(VLOOKUP(ILACLISTE[[#This Row],[NAME]],Table5[#All],2,0),"")</f>
        <v/>
      </c>
    </row>
    <row r="773" spans="1:3" x14ac:dyDescent="0.3">
      <c r="A773" s="5" t="s">
        <v>1453</v>
      </c>
      <c r="B773" t="s">
        <v>7331</v>
      </c>
      <c r="C773" t="str">
        <f>IFERROR(VLOOKUP(ILACLISTE[[#This Row],[NAME]],Table5[#All],2,0),"")</f>
        <v/>
      </c>
    </row>
    <row r="774" spans="1:3" x14ac:dyDescent="0.3">
      <c r="A774" s="5" t="s">
        <v>1454</v>
      </c>
      <c r="B774" t="s">
        <v>7332</v>
      </c>
      <c r="C774" t="str">
        <f>IFERROR(VLOOKUP(ILACLISTE[[#This Row],[NAME]],Table5[#All],2,0),"")</f>
        <v/>
      </c>
    </row>
    <row r="775" spans="1:3" x14ac:dyDescent="0.3">
      <c r="A775" s="5" t="s">
        <v>1455</v>
      </c>
      <c r="B775" t="s">
        <v>7333</v>
      </c>
      <c r="C775" t="str">
        <f>IFERROR(VLOOKUP(ILACLISTE[[#This Row],[NAME]],Table5[#All],2,0),"")</f>
        <v/>
      </c>
    </row>
    <row r="776" spans="1:3" x14ac:dyDescent="0.3">
      <c r="A776" s="5" t="s">
        <v>1456</v>
      </c>
      <c r="B776" t="s">
        <v>97</v>
      </c>
      <c r="C776" t="str">
        <f>IFERROR(VLOOKUP(ILACLISTE[[#This Row],[NAME]],Table5[#All],2,0),"")</f>
        <v/>
      </c>
    </row>
    <row r="777" spans="1:3" x14ac:dyDescent="0.3">
      <c r="A777" s="5" t="s">
        <v>1457</v>
      </c>
      <c r="B777" t="s">
        <v>98</v>
      </c>
      <c r="C777" t="str">
        <f>IFERROR(VLOOKUP(ILACLISTE[[#This Row],[NAME]],Table5[#All],2,0),"")</f>
        <v/>
      </c>
    </row>
    <row r="778" spans="1:3" x14ac:dyDescent="0.3">
      <c r="A778" s="5" t="s">
        <v>1458</v>
      </c>
      <c r="B778" t="s">
        <v>7334</v>
      </c>
      <c r="C778" t="str">
        <f>IFERROR(VLOOKUP(ILACLISTE[[#This Row],[NAME]],Table5[#All],2,0),"")</f>
        <v/>
      </c>
    </row>
    <row r="779" spans="1:3" x14ac:dyDescent="0.3">
      <c r="A779" s="5" t="s">
        <v>1459</v>
      </c>
      <c r="B779" t="s">
        <v>7335</v>
      </c>
      <c r="C779" t="str">
        <f>IFERROR(VLOOKUP(ILACLISTE[[#This Row],[NAME]],Table5[#All],2,0),"")</f>
        <v/>
      </c>
    </row>
    <row r="780" spans="1:3" x14ac:dyDescent="0.3">
      <c r="A780" s="5" t="s">
        <v>1460</v>
      </c>
      <c r="B780" t="s">
        <v>7336</v>
      </c>
      <c r="C780" t="str">
        <f>IFERROR(VLOOKUP(ILACLISTE[[#This Row],[NAME]],Table5[#All],2,0),"")</f>
        <v/>
      </c>
    </row>
    <row r="781" spans="1:3" x14ac:dyDescent="0.3">
      <c r="A781" s="5" t="s">
        <v>1461</v>
      </c>
      <c r="B781" t="s">
        <v>7337</v>
      </c>
      <c r="C781" t="str">
        <f>IFERROR(VLOOKUP(ILACLISTE[[#This Row],[NAME]],Table5[#All],2,0),"")</f>
        <v/>
      </c>
    </row>
    <row r="782" spans="1:3" x14ac:dyDescent="0.3">
      <c r="A782" s="5" t="s">
        <v>1462</v>
      </c>
      <c r="B782" t="s">
        <v>7338</v>
      </c>
      <c r="C782" t="str">
        <f>IFERROR(VLOOKUP(ILACLISTE[[#This Row],[NAME]],Table5[#All],2,0),"")</f>
        <v/>
      </c>
    </row>
    <row r="783" spans="1:3" x14ac:dyDescent="0.3">
      <c r="A783" s="5" t="s">
        <v>1463</v>
      </c>
      <c r="B783" t="s">
        <v>7339</v>
      </c>
      <c r="C783" t="str">
        <f>IFERROR(VLOOKUP(ILACLISTE[[#This Row],[NAME]],Table5[#All],2,0),"")</f>
        <v/>
      </c>
    </row>
    <row r="784" spans="1:3" x14ac:dyDescent="0.3">
      <c r="A784" s="5" t="s">
        <v>1464</v>
      </c>
      <c r="B784" t="s">
        <v>99</v>
      </c>
      <c r="C784" t="str">
        <f>IFERROR(VLOOKUP(ILACLISTE[[#This Row],[NAME]],Table5[#All],2,0),"")</f>
        <v/>
      </c>
    </row>
    <row r="785" spans="1:3" x14ac:dyDescent="0.3">
      <c r="A785" s="5" t="s">
        <v>1465</v>
      </c>
      <c r="B785" t="s">
        <v>7340</v>
      </c>
      <c r="C785" t="str">
        <f>IFERROR(VLOOKUP(ILACLISTE[[#This Row],[NAME]],Table5[#All],2,0),"")</f>
        <v/>
      </c>
    </row>
    <row r="786" spans="1:3" x14ac:dyDescent="0.3">
      <c r="A786" s="5" t="s">
        <v>1466</v>
      </c>
      <c r="B786" t="s">
        <v>7341</v>
      </c>
      <c r="C786" t="str">
        <f>IFERROR(VLOOKUP(ILACLISTE[[#This Row],[NAME]],Table5[#All],2,0),"")</f>
        <v/>
      </c>
    </row>
    <row r="787" spans="1:3" x14ac:dyDescent="0.3">
      <c r="A787" s="5" t="s">
        <v>1467</v>
      </c>
      <c r="B787" t="s">
        <v>7342</v>
      </c>
      <c r="C787" t="str">
        <f>IFERROR(VLOOKUP(ILACLISTE[[#This Row],[NAME]],Table5[#All],2,0),"")</f>
        <v/>
      </c>
    </row>
    <row r="788" spans="1:3" x14ac:dyDescent="0.3">
      <c r="A788" s="5" t="s">
        <v>1468</v>
      </c>
      <c r="B788" t="s">
        <v>7343</v>
      </c>
      <c r="C788" t="str">
        <f>IFERROR(VLOOKUP(ILACLISTE[[#This Row],[NAME]],Table5[#All],2,0),"")</f>
        <v/>
      </c>
    </row>
    <row r="789" spans="1:3" x14ac:dyDescent="0.3">
      <c r="A789" s="5" t="s">
        <v>1469</v>
      </c>
      <c r="B789" t="s">
        <v>7344</v>
      </c>
      <c r="C789" t="str">
        <f>IFERROR(VLOOKUP(ILACLISTE[[#This Row],[NAME]],Table5[#All],2,0),"")</f>
        <v/>
      </c>
    </row>
    <row r="790" spans="1:3" x14ac:dyDescent="0.3">
      <c r="A790" s="5" t="s">
        <v>1470</v>
      </c>
      <c r="B790" t="s">
        <v>7345</v>
      </c>
      <c r="C790" t="str">
        <f>IFERROR(VLOOKUP(ILACLISTE[[#This Row],[NAME]],Table5[#All],2,0),"")</f>
        <v/>
      </c>
    </row>
    <row r="791" spans="1:3" x14ac:dyDescent="0.3">
      <c r="A791" s="5" t="s">
        <v>1471</v>
      </c>
      <c r="B791" t="s">
        <v>7346</v>
      </c>
      <c r="C791" t="str">
        <f>IFERROR(VLOOKUP(ILACLISTE[[#This Row],[NAME]],Table5[#All],2,0),"")</f>
        <v/>
      </c>
    </row>
    <row r="792" spans="1:3" x14ac:dyDescent="0.3">
      <c r="A792" s="5" t="s">
        <v>1472</v>
      </c>
      <c r="B792" t="s">
        <v>7347</v>
      </c>
      <c r="C792" t="str">
        <f>IFERROR(VLOOKUP(ILACLISTE[[#This Row],[NAME]],Table5[#All],2,0),"")</f>
        <v/>
      </c>
    </row>
    <row r="793" spans="1:3" x14ac:dyDescent="0.3">
      <c r="A793" s="5" t="s">
        <v>1473</v>
      </c>
      <c r="B793" t="s">
        <v>7348</v>
      </c>
      <c r="C793" t="str">
        <f>IFERROR(VLOOKUP(ILACLISTE[[#This Row],[NAME]],Table5[#All],2,0),"")</f>
        <v/>
      </c>
    </row>
    <row r="794" spans="1:3" x14ac:dyDescent="0.3">
      <c r="A794" s="5" t="s">
        <v>1474</v>
      </c>
      <c r="B794" t="s">
        <v>7349</v>
      </c>
      <c r="C794" t="str">
        <f>IFERROR(VLOOKUP(ILACLISTE[[#This Row],[NAME]],Table5[#All],2,0),"")</f>
        <v/>
      </c>
    </row>
    <row r="795" spans="1:3" x14ac:dyDescent="0.3">
      <c r="A795" s="5" t="s">
        <v>1475</v>
      </c>
      <c r="B795" t="s">
        <v>7350</v>
      </c>
      <c r="C795" t="str">
        <f>IFERROR(VLOOKUP(ILACLISTE[[#This Row],[NAME]],Table5[#All],2,0),"")</f>
        <v/>
      </c>
    </row>
    <row r="796" spans="1:3" x14ac:dyDescent="0.3">
      <c r="A796" s="5" t="s">
        <v>1476</v>
      </c>
      <c r="B796" t="s">
        <v>7351</v>
      </c>
      <c r="C796" t="str">
        <f>IFERROR(VLOOKUP(ILACLISTE[[#This Row],[NAME]],Table5[#All],2,0),"")</f>
        <v/>
      </c>
    </row>
    <row r="797" spans="1:3" x14ac:dyDescent="0.3">
      <c r="A797" s="5" t="s">
        <v>1477</v>
      </c>
      <c r="B797" t="s">
        <v>7352</v>
      </c>
      <c r="C797" t="str">
        <f>IFERROR(VLOOKUP(ILACLISTE[[#This Row],[NAME]],Table5[#All],2,0),"")</f>
        <v/>
      </c>
    </row>
    <row r="798" spans="1:3" x14ac:dyDescent="0.3">
      <c r="A798" s="5" t="s">
        <v>1478</v>
      </c>
      <c r="B798" t="s">
        <v>7353</v>
      </c>
      <c r="C798" t="str">
        <f>IFERROR(VLOOKUP(ILACLISTE[[#This Row],[NAME]],Table5[#All],2,0),"")</f>
        <v/>
      </c>
    </row>
    <row r="799" spans="1:3" x14ac:dyDescent="0.3">
      <c r="A799" s="5" t="s">
        <v>1479</v>
      </c>
      <c r="B799" t="s">
        <v>7354</v>
      </c>
      <c r="C799" t="str">
        <f>IFERROR(VLOOKUP(ILACLISTE[[#This Row],[NAME]],Table5[#All],2,0),"")</f>
        <v/>
      </c>
    </row>
    <row r="800" spans="1:3" x14ac:dyDescent="0.3">
      <c r="A800" s="5" t="s">
        <v>1480</v>
      </c>
      <c r="B800" t="s">
        <v>7355</v>
      </c>
      <c r="C800" t="str">
        <f>IFERROR(VLOOKUP(ILACLISTE[[#This Row],[NAME]],Table5[#All],2,0),"")</f>
        <v/>
      </c>
    </row>
    <row r="801" spans="1:3" x14ac:dyDescent="0.3">
      <c r="A801" s="5" t="s">
        <v>1481</v>
      </c>
      <c r="B801" t="s">
        <v>7356</v>
      </c>
      <c r="C801" t="str">
        <f>IFERROR(VLOOKUP(ILACLISTE[[#This Row],[NAME]],Table5[#All],2,0),"")</f>
        <v/>
      </c>
    </row>
    <row r="802" spans="1:3" x14ac:dyDescent="0.3">
      <c r="A802" s="5" t="s">
        <v>1482</v>
      </c>
      <c r="B802" t="s">
        <v>7357</v>
      </c>
      <c r="C802" t="str">
        <f>IFERROR(VLOOKUP(ILACLISTE[[#This Row],[NAME]],Table5[#All],2,0),"")</f>
        <v/>
      </c>
    </row>
    <row r="803" spans="1:3" x14ac:dyDescent="0.3">
      <c r="A803" s="5" t="s">
        <v>1483</v>
      </c>
      <c r="B803" t="s">
        <v>7358</v>
      </c>
      <c r="C803" t="str">
        <f>IFERROR(VLOOKUP(ILACLISTE[[#This Row],[NAME]],Table5[#All],2,0),"")</f>
        <v/>
      </c>
    </row>
    <row r="804" spans="1:3" x14ac:dyDescent="0.3">
      <c r="A804" s="5" t="s">
        <v>1484</v>
      </c>
      <c r="B804" t="s">
        <v>7359</v>
      </c>
      <c r="C804" t="str">
        <f>IFERROR(VLOOKUP(ILACLISTE[[#This Row],[NAME]],Table5[#All],2,0),"")</f>
        <v/>
      </c>
    </row>
    <row r="805" spans="1:3" x14ac:dyDescent="0.3">
      <c r="A805" s="5" t="s">
        <v>1485</v>
      </c>
      <c r="B805" t="s">
        <v>7360</v>
      </c>
      <c r="C805" t="str">
        <f>IFERROR(VLOOKUP(ILACLISTE[[#This Row],[NAME]],Table5[#All],2,0),"")</f>
        <v/>
      </c>
    </row>
    <row r="806" spans="1:3" x14ac:dyDescent="0.3">
      <c r="A806" s="5" t="s">
        <v>1486</v>
      </c>
      <c r="B806" t="s">
        <v>7361</v>
      </c>
      <c r="C806" t="str">
        <f>IFERROR(VLOOKUP(ILACLISTE[[#This Row],[NAME]],Table5[#All],2,0),"")</f>
        <v/>
      </c>
    </row>
    <row r="807" spans="1:3" x14ac:dyDescent="0.3">
      <c r="A807" s="5" t="s">
        <v>1487</v>
      </c>
      <c r="B807" t="s">
        <v>7362</v>
      </c>
      <c r="C807" t="str">
        <f>IFERROR(VLOOKUP(ILACLISTE[[#This Row],[NAME]],Table5[#All],2,0),"")</f>
        <v/>
      </c>
    </row>
    <row r="808" spans="1:3" x14ac:dyDescent="0.3">
      <c r="A808" s="5" t="s">
        <v>1488</v>
      </c>
      <c r="B808" t="s">
        <v>7363</v>
      </c>
      <c r="C808" t="str">
        <f>IFERROR(VLOOKUP(ILACLISTE[[#This Row],[NAME]],Table5[#All],2,0),"")</f>
        <v/>
      </c>
    </row>
    <row r="809" spans="1:3" x14ac:dyDescent="0.3">
      <c r="A809" s="5" t="s">
        <v>1489</v>
      </c>
      <c r="B809" t="s">
        <v>7364</v>
      </c>
      <c r="C809" t="str">
        <f>IFERROR(VLOOKUP(ILACLISTE[[#This Row],[NAME]],Table5[#All],2,0),"")</f>
        <v/>
      </c>
    </row>
    <row r="810" spans="1:3" x14ac:dyDescent="0.3">
      <c r="A810" s="5" t="s">
        <v>1490</v>
      </c>
      <c r="B810" t="s">
        <v>7365</v>
      </c>
      <c r="C810" t="str">
        <f>IFERROR(VLOOKUP(ILACLISTE[[#This Row],[NAME]],Table5[#All],2,0),"")</f>
        <v/>
      </c>
    </row>
    <row r="811" spans="1:3" x14ac:dyDescent="0.3">
      <c r="A811" s="5" t="s">
        <v>1491</v>
      </c>
      <c r="B811" t="s">
        <v>7366</v>
      </c>
      <c r="C811" t="str">
        <f>IFERROR(VLOOKUP(ILACLISTE[[#This Row],[NAME]],Table5[#All],2,0),"")</f>
        <v/>
      </c>
    </row>
    <row r="812" spans="1:3" x14ac:dyDescent="0.3">
      <c r="A812" s="5" t="s">
        <v>1492</v>
      </c>
      <c r="B812" t="s">
        <v>7367</v>
      </c>
      <c r="C812" t="str">
        <f>IFERROR(VLOOKUP(ILACLISTE[[#This Row],[NAME]],Table5[#All],2,0),"")</f>
        <v/>
      </c>
    </row>
    <row r="813" spans="1:3" x14ac:dyDescent="0.3">
      <c r="A813" s="5" t="s">
        <v>1493</v>
      </c>
      <c r="B813" t="s">
        <v>7368</v>
      </c>
      <c r="C813" t="str">
        <f>IFERROR(VLOOKUP(ILACLISTE[[#This Row],[NAME]],Table5[#All],2,0),"")</f>
        <v/>
      </c>
    </row>
    <row r="814" spans="1:3" x14ac:dyDescent="0.3">
      <c r="A814" s="5" t="s">
        <v>1494</v>
      </c>
      <c r="B814" t="s">
        <v>7369</v>
      </c>
      <c r="C814" t="str">
        <f>IFERROR(VLOOKUP(ILACLISTE[[#This Row],[NAME]],Table5[#All],2,0),"")</f>
        <v/>
      </c>
    </row>
    <row r="815" spans="1:3" x14ac:dyDescent="0.3">
      <c r="A815" s="5" t="s">
        <v>1495</v>
      </c>
      <c r="B815" t="s">
        <v>7370</v>
      </c>
      <c r="C815" t="str">
        <f>IFERROR(VLOOKUP(ILACLISTE[[#This Row],[NAME]],Table5[#All],2,0),"")</f>
        <v/>
      </c>
    </row>
    <row r="816" spans="1:3" x14ac:dyDescent="0.3">
      <c r="A816" s="5" t="s">
        <v>1496</v>
      </c>
      <c r="B816" t="s">
        <v>7371</v>
      </c>
      <c r="C816" t="str">
        <f>IFERROR(VLOOKUP(ILACLISTE[[#This Row],[NAME]],Table5[#All],2,0),"")</f>
        <v/>
      </c>
    </row>
    <row r="817" spans="1:3" x14ac:dyDescent="0.3">
      <c r="A817" s="5" t="s">
        <v>1497</v>
      </c>
      <c r="B817" t="s">
        <v>7372</v>
      </c>
      <c r="C817" t="str">
        <f>IFERROR(VLOOKUP(ILACLISTE[[#This Row],[NAME]],Table5[#All],2,0),"")</f>
        <v/>
      </c>
    </row>
    <row r="818" spans="1:3" x14ac:dyDescent="0.3">
      <c r="A818" s="5" t="s">
        <v>1498</v>
      </c>
      <c r="B818" t="s">
        <v>7373</v>
      </c>
      <c r="C818" t="str">
        <f>IFERROR(VLOOKUP(ILACLISTE[[#This Row],[NAME]],Table5[#All],2,0),"")</f>
        <v/>
      </c>
    </row>
    <row r="819" spans="1:3" x14ac:dyDescent="0.3">
      <c r="A819" s="5" t="s">
        <v>1499</v>
      </c>
      <c r="B819" t="s">
        <v>7374</v>
      </c>
      <c r="C819" t="str">
        <f>IFERROR(VLOOKUP(ILACLISTE[[#This Row],[NAME]],Table5[#All],2,0),"")</f>
        <v/>
      </c>
    </row>
    <row r="820" spans="1:3" x14ac:dyDescent="0.3">
      <c r="A820" s="5" t="s">
        <v>1500</v>
      </c>
      <c r="B820" t="s">
        <v>7375</v>
      </c>
      <c r="C820" t="str">
        <f>IFERROR(VLOOKUP(ILACLISTE[[#This Row],[NAME]],Table5[#All],2,0),"")</f>
        <v/>
      </c>
    </row>
    <row r="821" spans="1:3" x14ac:dyDescent="0.3">
      <c r="A821" s="5" t="s">
        <v>1501</v>
      </c>
      <c r="B821" t="s">
        <v>7376</v>
      </c>
      <c r="C821" t="str">
        <f>IFERROR(VLOOKUP(ILACLISTE[[#This Row],[NAME]],Table5[#All],2,0),"")</f>
        <v/>
      </c>
    </row>
    <row r="822" spans="1:3" x14ac:dyDescent="0.3">
      <c r="A822" s="5" t="s">
        <v>1502</v>
      </c>
      <c r="B822" t="s">
        <v>7377</v>
      </c>
      <c r="C822" t="str">
        <f>IFERROR(VLOOKUP(ILACLISTE[[#This Row],[NAME]],Table5[#All],2,0),"")</f>
        <v/>
      </c>
    </row>
    <row r="823" spans="1:3" x14ac:dyDescent="0.3">
      <c r="A823" s="5" t="s">
        <v>1503</v>
      </c>
      <c r="B823" t="s">
        <v>7378</v>
      </c>
      <c r="C823" t="str">
        <f>IFERROR(VLOOKUP(ILACLISTE[[#This Row],[NAME]],Table5[#All],2,0),"")</f>
        <v/>
      </c>
    </row>
    <row r="824" spans="1:3" x14ac:dyDescent="0.3">
      <c r="A824" s="5" t="s">
        <v>1504</v>
      </c>
      <c r="B824" t="s">
        <v>7379</v>
      </c>
      <c r="C824" t="str">
        <f>IFERROR(VLOOKUP(ILACLISTE[[#This Row],[NAME]],Table5[#All],2,0),"")</f>
        <v/>
      </c>
    </row>
    <row r="825" spans="1:3" x14ac:dyDescent="0.3">
      <c r="A825" s="5" t="s">
        <v>1505</v>
      </c>
      <c r="B825" t="s">
        <v>7380</v>
      </c>
      <c r="C825" t="str">
        <f>IFERROR(VLOOKUP(ILACLISTE[[#This Row],[NAME]],Table5[#All],2,0),"")</f>
        <v/>
      </c>
    </row>
    <row r="826" spans="1:3" x14ac:dyDescent="0.3">
      <c r="A826" s="5" t="s">
        <v>1506</v>
      </c>
      <c r="B826" t="s">
        <v>7381</v>
      </c>
      <c r="C826" t="str">
        <f>IFERROR(VLOOKUP(ILACLISTE[[#This Row],[NAME]],Table5[#All],2,0),"")</f>
        <v/>
      </c>
    </row>
    <row r="827" spans="1:3" x14ac:dyDescent="0.3">
      <c r="A827" s="5" t="s">
        <v>1507</v>
      </c>
      <c r="B827" t="s">
        <v>7382</v>
      </c>
      <c r="C827" t="str">
        <f>IFERROR(VLOOKUP(ILACLISTE[[#This Row],[NAME]],Table5[#All],2,0),"")</f>
        <v/>
      </c>
    </row>
    <row r="828" spans="1:3" x14ac:dyDescent="0.3">
      <c r="A828" s="5" t="s">
        <v>1508</v>
      </c>
      <c r="B828" t="s">
        <v>7383</v>
      </c>
      <c r="C828" t="str">
        <f>IFERROR(VLOOKUP(ILACLISTE[[#This Row],[NAME]],Table5[#All],2,0),"")</f>
        <v/>
      </c>
    </row>
    <row r="829" spans="1:3" x14ac:dyDescent="0.3">
      <c r="A829" s="5" t="s">
        <v>1509</v>
      </c>
      <c r="B829" t="s">
        <v>7384</v>
      </c>
      <c r="C829" t="str">
        <f>IFERROR(VLOOKUP(ILACLISTE[[#This Row],[NAME]],Table5[#All],2,0),"")</f>
        <v/>
      </c>
    </row>
    <row r="830" spans="1:3" x14ac:dyDescent="0.3">
      <c r="A830" s="5" t="s">
        <v>1510</v>
      </c>
      <c r="B830" t="s">
        <v>7385</v>
      </c>
      <c r="C830" t="str">
        <f>IFERROR(VLOOKUP(ILACLISTE[[#This Row],[NAME]],Table5[#All],2,0),"")</f>
        <v/>
      </c>
    </row>
    <row r="831" spans="1:3" x14ac:dyDescent="0.3">
      <c r="A831" s="5" t="s">
        <v>7386</v>
      </c>
      <c r="B831" t="s">
        <v>7387</v>
      </c>
      <c r="C831" t="str">
        <f>IFERROR(VLOOKUP(ILACLISTE[[#This Row],[NAME]],Table5[#All],2,0),"")</f>
        <v/>
      </c>
    </row>
    <row r="832" spans="1:3" x14ac:dyDescent="0.3">
      <c r="A832" s="15" t="s">
        <v>12031</v>
      </c>
      <c r="B832" t="s">
        <v>7388</v>
      </c>
      <c r="C832" t="str">
        <f>IFERROR(VLOOKUP(ILACLISTE[[#This Row],[NAME]],Table5[#All],2,0),"")</f>
        <v/>
      </c>
    </row>
    <row r="833" spans="1:3" x14ac:dyDescent="0.3">
      <c r="A833" s="5" t="s">
        <v>1511</v>
      </c>
      <c r="B833" t="s">
        <v>7389</v>
      </c>
      <c r="C833" t="str">
        <f>IFERROR(VLOOKUP(ILACLISTE[[#This Row],[NAME]],Table5[#All],2,0),"")</f>
        <v/>
      </c>
    </row>
    <row r="834" spans="1:3" x14ac:dyDescent="0.3">
      <c r="A834" s="5" t="s">
        <v>1512</v>
      </c>
      <c r="B834" t="s">
        <v>7390</v>
      </c>
      <c r="C834" t="str">
        <f>IFERROR(VLOOKUP(ILACLISTE[[#This Row],[NAME]],Table5[#All],2,0),"")</f>
        <v/>
      </c>
    </row>
    <row r="835" spans="1:3" x14ac:dyDescent="0.3">
      <c r="A835" s="5" t="s">
        <v>1513</v>
      </c>
      <c r="B835" t="s">
        <v>7391</v>
      </c>
      <c r="C835" t="str">
        <f>IFERROR(VLOOKUP(ILACLISTE[[#This Row],[NAME]],Table5[#All],2,0),"")</f>
        <v/>
      </c>
    </row>
    <row r="836" spans="1:3" x14ac:dyDescent="0.3">
      <c r="A836" s="5" t="s">
        <v>1514</v>
      </c>
      <c r="B836" t="s">
        <v>7392</v>
      </c>
      <c r="C836" t="str">
        <f>IFERROR(VLOOKUP(ILACLISTE[[#This Row],[NAME]],Table5[#All],2,0),"")</f>
        <v/>
      </c>
    </row>
    <row r="837" spans="1:3" x14ac:dyDescent="0.3">
      <c r="A837" s="5" t="s">
        <v>1515</v>
      </c>
      <c r="B837" t="s">
        <v>7393</v>
      </c>
      <c r="C837" t="str">
        <f>IFERROR(VLOOKUP(ILACLISTE[[#This Row],[NAME]],Table5[#All],2,0),"")</f>
        <v/>
      </c>
    </row>
    <row r="838" spans="1:3" x14ac:dyDescent="0.3">
      <c r="A838" s="5" t="s">
        <v>1516</v>
      </c>
      <c r="B838" t="s">
        <v>7394</v>
      </c>
      <c r="C838" t="str">
        <f>IFERROR(VLOOKUP(ILACLISTE[[#This Row],[NAME]],Table5[#All],2,0),"")</f>
        <v/>
      </c>
    </row>
    <row r="839" spans="1:3" x14ac:dyDescent="0.3">
      <c r="A839" s="5" t="s">
        <v>1517</v>
      </c>
      <c r="B839" t="s">
        <v>7395</v>
      </c>
      <c r="C839" t="str">
        <f>IFERROR(VLOOKUP(ILACLISTE[[#This Row],[NAME]],Table5[#All],2,0),"")</f>
        <v/>
      </c>
    </row>
    <row r="840" spans="1:3" x14ac:dyDescent="0.3">
      <c r="A840" s="5" t="s">
        <v>1518</v>
      </c>
      <c r="B840" t="s">
        <v>7396</v>
      </c>
      <c r="C840" t="str">
        <f>IFERROR(VLOOKUP(ILACLISTE[[#This Row],[NAME]],Table5[#All],2,0),"")</f>
        <v/>
      </c>
    </row>
    <row r="841" spans="1:3" x14ac:dyDescent="0.3">
      <c r="A841" s="5" t="s">
        <v>1519</v>
      </c>
      <c r="B841" t="s">
        <v>7397</v>
      </c>
      <c r="C841" t="str">
        <f>IFERROR(VLOOKUP(ILACLISTE[[#This Row],[NAME]],Table5[#All],2,0),"")</f>
        <v/>
      </c>
    </row>
    <row r="842" spans="1:3" x14ac:dyDescent="0.3">
      <c r="A842" s="5" t="s">
        <v>1520</v>
      </c>
      <c r="B842" t="s">
        <v>7398</v>
      </c>
      <c r="C842" t="str">
        <f>IFERROR(VLOOKUP(ILACLISTE[[#This Row],[NAME]],Table5[#All],2,0),"")</f>
        <v/>
      </c>
    </row>
    <row r="843" spans="1:3" x14ac:dyDescent="0.3">
      <c r="A843" s="5" t="s">
        <v>1521</v>
      </c>
      <c r="B843" t="s">
        <v>7399</v>
      </c>
      <c r="C843" t="str">
        <f>IFERROR(VLOOKUP(ILACLISTE[[#This Row],[NAME]],Table5[#All],2,0),"")</f>
        <v/>
      </c>
    </row>
    <row r="844" spans="1:3" x14ac:dyDescent="0.3">
      <c r="A844" s="5" t="s">
        <v>1522</v>
      </c>
      <c r="B844" t="s">
        <v>7400</v>
      </c>
      <c r="C844" t="str">
        <f>IFERROR(VLOOKUP(ILACLISTE[[#This Row],[NAME]],Table5[#All],2,0),"")</f>
        <v/>
      </c>
    </row>
    <row r="845" spans="1:3" x14ac:dyDescent="0.3">
      <c r="A845" s="5" t="s">
        <v>1523</v>
      </c>
      <c r="B845" t="s">
        <v>7401</v>
      </c>
      <c r="C845" t="str">
        <f>IFERROR(VLOOKUP(ILACLISTE[[#This Row],[NAME]],Table5[#All],2,0),"")</f>
        <v/>
      </c>
    </row>
    <row r="846" spans="1:3" x14ac:dyDescent="0.3">
      <c r="A846" s="5" t="s">
        <v>1524</v>
      </c>
      <c r="B846" t="s">
        <v>7402</v>
      </c>
      <c r="C846" t="str">
        <f>IFERROR(VLOOKUP(ILACLISTE[[#This Row],[NAME]],Table5[#All],2,0),"")</f>
        <v/>
      </c>
    </row>
    <row r="847" spans="1:3" x14ac:dyDescent="0.3">
      <c r="A847" s="5" t="s">
        <v>1525</v>
      </c>
      <c r="B847" t="s">
        <v>7403</v>
      </c>
      <c r="C847" t="str">
        <f>IFERROR(VLOOKUP(ILACLISTE[[#This Row],[NAME]],Table5[#All],2,0),"")</f>
        <v/>
      </c>
    </row>
    <row r="848" spans="1:3" x14ac:dyDescent="0.3">
      <c r="A848" s="5" t="s">
        <v>1526</v>
      </c>
      <c r="B848" t="s">
        <v>100</v>
      </c>
      <c r="C848" t="str">
        <f>IFERROR(VLOOKUP(ILACLISTE[[#This Row],[NAME]],Table5[#All],2,0),"")</f>
        <v/>
      </c>
    </row>
    <row r="849" spans="1:3" x14ac:dyDescent="0.3">
      <c r="A849" s="5" t="s">
        <v>1527</v>
      </c>
      <c r="B849" t="s">
        <v>101</v>
      </c>
      <c r="C849" t="str">
        <f>IFERROR(VLOOKUP(ILACLISTE[[#This Row],[NAME]],Table5[#All],2,0),"")</f>
        <v/>
      </c>
    </row>
    <row r="850" spans="1:3" x14ac:dyDescent="0.3">
      <c r="A850" s="5" t="s">
        <v>1528</v>
      </c>
      <c r="B850" t="s">
        <v>102</v>
      </c>
      <c r="C850" t="str">
        <f>IFERROR(VLOOKUP(ILACLISTE[[#This Row],[NAME]],Table5[#All],2,0),"")</f>
        <v/>
      </c>
    </row>
    <row r="851" spans="1:3" x14ac:dyDescent="0.3">
      <c r="A851" s="5" t="s">
        <v>1529</v>
      </c>
      <c r="B851" t="s">
        <v>7404</v>
      </c>
      <c r="C851" t="str">
        <f>IFERROR(VLOOKUP(ILACLISTE[[#This Row],[NAME]],Table5[#All],2,0),"")</f>
        <v/>
      </c>
    </row>
    <row r="852" spans="1:3" x14ac:dyDescent="0.3">
      <c r="A852" s="5" t="s">
        <v>1530</v>
      </c>
      <c r="B852" t="s">
        <v>7405</v>
      </c>
      <c r="C852" t="str">
        <f>IFERROR(VLOOKUP(ILACLISTE[[#This Row],[NAME]],Table5[#All],2,0),"")</f>
        <v/>
      </c>
    </row>
    <row r="853" spans="1:3" x14ac:dyDescent="0.3">
      <c r="A853" s="5" t="s">
        <v>1531</v>
      </c>
      <c r="B853" t="s">
        <v>7406</v>
      </c>
      <c r="C853" t="str">
        <f>IFERROR(VLOOKUP(ILACLISTE[[#This Row],[NAME]],Table5[#All],2,0),"")</f>
        <v/>
      </c>
    </row>
    <row r="854" spans="1:3" x14ac:dyDescent="0.3">
      <c r="A854" s="5" t="s">
        <v>1532</v>
      </c>
      <c r="B854" t="s">
        <v>7407</v>
      </c>
      <c r="C854" t="str">
        <f>IFERROR(VLOOKUP(ILACLISTE[[#This Row],[NAME]],Table5[#All],2,0),"")</f>
        <v/>
      </c>
    </row>
    <row r="855" spans="1:3" x14ac:dyDescent="0.3">
      <c r="A855" s="5" t="s">
        <v>1533</v>
      </c>
      <c r="B855" t="s">
        <v>103</v>
      </c>
      <c r="C855" t="str">
        <f>IFERROR(VLOOKUP(ILACLISTE[[#This Row],[NAME]],Table5[#All],2,0),"")</f>
        <v/>
      </c>
    </row>
    <row r="856" spans="1:3" x14ac:dyDescent="0.3">
      <c r="A856" s="5" t="s">
        <v>1534</v>
      </c>
      <c r="B856" t="s">
        <v>104</v>
      </c>
      <c r="C856" t="str">
        <f>IFERROR(VLOOKUP(ILACLISTE[[#This Row],[NAME]],Table5[#All],2,0),"")</f>
        <v/>
      </c>
    </row>
    <row r="857" spans="1:3" x14ac:dyDescent="0.3">
      <c r="A857" s="5" t="s">
        <v>1535</v>
      </c>
      <c r="B857" t="s">
        <v>105</v>
      </c>
      <c r="C857" t="str">
        <f>IFERROR(VLOOKUP(ILACLISTE[[#This Row],[NAME]],Table5[#All],2,0),"")</f>
        <v/>
      </c>
    </row>
    <row r="858" spans="1:3" x14ac:dyDescent="0.3">
      <c r="A858" s="5" t="s">
        <v>1536</v>
      </c>
      <c r="B858" t="s">
        <v>106</v>
      </c>
      <c r="C858" t="str">
        <f>IFERROR(VLOOKUP(ILACLISTE[[#This Row],[NAME]],Table5[#All],2,0),"")</f>
        <v/>
      </c>
    </row>
    <row r="859" spans="1:3" x14ac:dyDescent="0.3">
      <c r="A859" s="5" t="s">
        <v>1537</v>
      </c>
      <c r="B859" t="s">
        <v>107</v>
      </c>
      <c r="C859" t="str">
        <f>IFERROR(VLOOKUP(ILACLISTE[[#This Row],[NAME]],Table5[#All],2,0),"")</f>
        <v/>
      </c>
    </row>
    <row r="860" spans="1:3" x14ac:dyDescent="0.3">
      <c r="A860" s="5" t="s">
        <v>1538</v>
      </c>
      <c r="B860" t="s">
        <v>7408</v>
      </c>
      <c r="C860" t="str">
        <f>IFERROR(VLOOKUP(ILACLISTE[[#This Row],[NAME]],Table5[#All],2,0),"")</f>
        <v/>
      </c>
    </row>
    <row r="861" spans="1:3" x14ac:dyDescent="0.3">
      <c r="A861" s="5" t="s">
        <v>1539</v>
      </c>
      <c r="B861" t="s">
        <v>7409</v>
      </c>
      <c r="C861" t="str">
        <f>IFERROR(VLOOKUP(ILACLISTE[[#This Row],[NAME]],Table5[#All],2,0),"")</f>
        <v/>
      </c>
    </row>
    <row r="862" spans="1:3" x14ac:dyDescent="0.3">
      <c r="A862" s="5" t="s">
        <v>1540</v>
      </c>
      <c r="B862" t="s">
        <v>7410</v>
      </c>
      <c r="C862" t="str">
        <f>IFERROR(VLOOKUP(ILACLISTE[[#This Row],[NAME]],Table5[#All],2,0),"")</f>
        <v/>
      </c>
    </row>
    <row r="863" spans="1:3" x14ac:dyDescent="0.3">
      <c r="A863" s="5" t="s">
        <v>1541</v>
      </c>
      <c r="B863" t="s">
        <v>7411</v>
      </c>
      <c r="C863" t="str">
        <f>IFERROR(VLOOKUP(ILACLISTE[[#This Row],[NAME]],Table5[#All],2,0),"")</f>
        <v/>
      </c>
    </row>
    <row r="864" spans="1:3" x14ac:dyDescent="0.3">
      <c r="A864" s="5" t="s">
        <v>1542</v>
      </c>
      <c r="B864" t="s">
        <v>7412</v>
      </c>
      <c r="C864" t="str">
        <f>IFERROR(VLOOKUP(ILACLISTE[[#This Row],[NAME]],Table5[#All],2,0),"")</f>
        <v/>
      </c>
    </row>
    <row r="865" spans="1:3" x14ac:dyDescent="0.3">
      <c r="A865" s="5" t="s">
        <v>1543</v>
      </c>
      <c r="B865" t="s">
        <v>108</v>
      </c>
      <c r="C865" t="str">
        <f>IFERROR(VLOOKUP(ILACLISTE[[#This Row],[NAME]],Table5[#All],2,0),"")</f>
        <v/>
      </c>
    </row>
    <row r="866" spans="1:3" x14ac:dyDescent="0.3">
      <c r="A866" s="5" t="s">
        <v>1544</v>
      </c>
      <c r="B866" t="s">
        <v>7413</v>
      </c>
      <c r="C866" t="str">
        <f>IFERROR(VLOOKUP(ILACLISTE[[#This Row],[NAME]],Table5[#All],2,0),"")</f>
        <v/>
      </c>
    </row>
    <row r="867" spans="1:3" x14ac:dyDescent="0.3">
      <c r="A867" s="5" t="s">
        <v>1545</v>
      </c>
      <c r="B867" t="s">
        <v>7414</v>
      </c>
      <c r="C867" t="str">
        <f>IFERROR(VLOOKUP(ILACLISTE[[#This Row],[NAME]],Table5[#All],2,0),"")</f>
        <v/>
      </c>
    </row>
    <row r="868" spans="1:3" x14ac:dyDescent="0.3">
      <c r="A868" s="5" t="s">
        <v>1546</v>
      </c>
      <c r="B868" t="s">
        <v>7415</v>
      </c>
      <c r="C868" t="str">
        <f>IFERROR(VLOOKUP(ILACLISTE[[#This Row],[NAME]],Table5[#All],2,0),"")</f>
        <v/>
      </c>
    </row>
    <row r="869" spans="1:3" x14ac:dyDescent="0.3">
      <c r="A869" s="5" t="s">
        <v>7416</v>
      </c>
      <c r="B869" t="s">
        <v>7417</v>
      </c>
      <c r="C869" t="str">
        <f>IFERROR(VLOOKUP(ILACLISTE[[#This Row],[NAME]],Table5[#All],2,0),"")</f>
        <v/>
      </c>
    </row>
    <row r="870" spans="1:3" x14ac:dyDescent="0.3">
      <c r="A870" s="5" t="s">
        <v>1547</v>
      </c>
      <c r="B870" t="s">
        <v>7418</v>
      </c>
      <c r="C870" t="str">
        <f>IFERROR(VLOOKUP(ILACLISTE[[#This Row],[NAME]],Table5[#All],2,0),"")</f>
        <v/>
      </c>
    </row>
    <row r="871" spans="1:3" x14ac:dyDescent="0.3">
      <c r="A871" s="5" t="s">
        <v>1548</v>
      </c>
      <c r="B871" t="s">
        <v>7419</v>
      </c>
      <c r="C871" t="str">
        <f>IFERROR(VLOOKUP(ILACLISTE[[#This Row],[NAME]],Table5[#All],2,0),"")</f>
        <v/>
      </c>
    </row>
    <row r="872" spans="1:3" x14ac:dyDescent="0.3">
      <c r="A872" s="5" t="s">
        <v>1549</v>
      </c>
      <c r="B872" t="s">
        <v>7420</v>
      </c>
      <c r="C872" t="str">
        <f>IFERROR(VLOOKUP(ILACLISTE[[#This Row],[NAME]],Table5[#All],2,0),"")</f>
        <v/>
      </c>
    </row>
    <row r="873" spans="1:3" x14ac:dyDescent="0.3">
      <c r="A873" s="5" t="s">
        <v>1550</v>
      </c>
      <c r="B873" t="s">
        <v>109</v>
      </c>
      <c r="C873" t="str">
        <f>IFERROR(VLOOKUP(ILACLISTE[[#This Row],[NAME]],Table5[#All],2,0),"")</f>
        <v/>
      </c>
    </row>
    <row r="874" spans="1:3" x14ac:dyDescent="0.3">
      <c r="A874" s="5" t="s">
        <v>1551</v>
      </c>
      <c r="B874" t="s">
        <v>7421</v>
      </c>
      <c r="C874" t="str">
        <f>IFERROR(VLOOKUP(ILACLISTE[[#This Row],[NAME]],Table5[#All],2,0),"")</f>
        <v/>
      </c>
    </row>
    <row r="875" spans="1:3" x14ac:dyDescent="0.3">
      <c r="A875" s="5" t="s">
        <v>1552</v>
      </c>
      <c r="B875" t="s">
        <v>7422</v>
      </c>
      <c r="C875" t="str">
        <f>IFERROR(VLOOKUP(ILACLISTE[[#This Row],[NAME]],Table5[#All],2,0),"")</f>
        <v/>
      </c>
    </row>
    <row r="876" spans="1:3" x14ac:dyDescent="0.3">
      <c r="A876" s="5" t="s">
        <v>1553</v>
      </c>
      <c r="B876" t="s">
        <v>7423</v>
      </c>
      <c r="C876" t="str">
        <f>IFERROR(VLOOKUP(ILACLISTE[[#This Row],[NAME]],Table5[#All],2,0),"")</f>
        <v/>
      </c>
    </row>
    <row r="877" spans="1:3" x14ac:dyDescent="0.3">
      <c r="A877" s="5" t="s">
        <v>1554</v>
      </c>
      <c r="B877" t="s">
        <v>110</v>
      </c>
      <c r="C877" t="str">
        <f>IFERROR(VLOOKUP(ILACLISTE[[#This Row],[NAME]],Table5[#All],2,0),"")</f>
        <v/>
      </c>
    </row>
    <row r="878" spans="1:3" x14ac:dyDescent="0.3">
      <c r="A878" s="5" t="s">
        <v>1555</v>
      </c>
      <c r="B878" t="s">
        <v>111</v>
      </c>
      <c r="C878" t="str">
        <f>IFERROR(VLOOKUP(ILACLISTE[[#This Row],[NAME]],Table5[#All],2,0),"")</f>
        <v/>
      </c>
    </row>
    <row r="879" spans="1:3" x14ac:dyDescent="0.3">
      <c r="A879" s="5" t="s">
        <v>1556</v>
      </c>
      <c r="B879" t="s">
        <v>7424</v>
      </c>
      <c r="C879" t="str">
        <f>IFERROR(VLOOKUP(ILACLISTE[[#This Row],[NAME]],Table5[#All],2,0),"")</f>
        <v/>
      </c>
    </row>
    <row r="880" spans="1:3" x14ac:dyDescent="0.3">
      <c r="A880" s="5" t="s">
        <v>1557</v>
      </c>
      <c r="B880" t="s">
        <v>7425</v>
      </c>
      <c r="C880" t="str">
        <f>IFERROR(VLOOKUP(ILACLISTE[[#This Row],[NAME]],Table5[#All],2,0),"")</f>
        <v/>
      </c>
    </row>
    <row r="881" spans="1:3" x14ac:dyDescent="0.3">
      <c r="A881" s="5" t="s">
        <v>1558</v>
      </c>
      <c r="B881" t="s">
        <v>7426</v>
      </c>
      <c r="C881" t="str">
        <f>IFERROR(VLOOKUP(ILACLISTE[[#This Row],[NAME]],Table5[#All],2,0),"")</f>
        <v/>
      </c>
    </row>
    <row r="882" spans="1:3" x14ac:dyDescent="0.3">
      <c r="A882" s="5" t="s">
        <v>1559</v>
      </c>
      <c r="B882" t="s">
        <v>112</v>
      </c>
      <c r="C882" t="str">
        <f>IFERROR(VLOOKUP(ILACLISTE[[#This Row],[NAME]],Table5[#All],2,0),"")</f>
        <v/>
      </c>
    </row>
    <row r="883" spans="1:3" x14ac:dyDescent="0.3">
      <c r="A883" s="5" t="s">
        <v>1560</v>
      </c>
      <c r="B883" t="s">
        <v>7427</v>
      </c>
      <c r="C883" t="str">
        <f>IFERROR(VLOOKUP(ILACLISTE[[#This Row],[NAME]],Table5[#All],2,0),"")</f>
        <v/>
      </c>
    </row>
    <row r="884" spans="1:3" x14ac:dyDescent="0.3">
      <c r="A884" s="5" t="s">
        <v>1561</v>
      </c>
      <c r="B884" t="s">
        <v>7428</v>
      </c>
      <c r="C884" t="str">
        <f>IFERROR(VLOOKUP(ILACLISTE[[#This Row],[NAME]],Table5[#All],2,0),"")</f>
        <v/>
      </c>
    </row>
    <row r="885" spans="1:3" x14ac:dyDescent="0.3">
      <c r="A885" s="5" t="s">
        <v>1562</v>
      </c>
      <c r="B885" t="s">
        <v>7429</v>
      </c>
      <c r="C885" t="str">
        <f>IFERROR(VLOOKUP(ILACLISTE[[#This Row],[NAME]],Table5[#All],2,0),"")</f>
        <v/>
      </c>
    </row>
    <row r="886" spans="1:3" x14ac:dyDescent="0.3">
      <c r="A886" s="5" t="s">
        <v>1563</v>
      </c>
      <c r="B886" t="s">
        <v>7430</v>
      </c>
      <c r="C886" t="str">
        <f>IFERROR(VLOOKUP(ILACLISTE[[#This Row],[NAME]],Table5[#All],2,0),"")</f>
        <v/>
      </c>
    </row>
    <row r="887" spans="1:3" x14ac:dyDescent="0.3">
      <c r="A887" s="5" t="s">
        <v>1564</v>
      </c>
      <c r="B887" t="s">
        <v>7431</v>
      </c>
      <c r="C887" t="str">
        <f>IFERROR(VLOOKUP(ILACLISTE[[#This Row],[NAME]],Table5[#All],2,0),"")</f>
        <v/>
      </c>
    </row>
    <row r="888" spans="1:3" x14ac:dyDescent="0.3">
      <c r="A888" s="5" t="s">
        <v>1565</v>
      </c>
      <c r="B888" t="s">
        <v>7432</v>
      </c>
      <c r="C888" t="str">
        <f>IFERROR(VLOOKUP(ILACLISTE[[#This Row],[NAME]],Table5[#All],2,0),"")</f>
        <v/>
      </c>
    </row>
    <row r="889" spans="1:3" x14ac:dyDescent="0.3">
      <c r="A889" s="5" t="s">
        <v>1566</v>
      </c>
      <c r="B889" t="s">
        <v>7433</v>
      </c>
      <c r="C889" t="str">
        <f>IFERROR(VLOOKUP(ILACLISTE[[#This Row],[NAME]],Table5[#All],2,0),"")</f>
        <v/>
      </c>
    </row>
    <row r="890" spans="1:3" x14ac:dyDescent="0.3">
      <c r="A890" s="5" t="s">
        <v>1567</v>
      </c>
      <c r="B890" t="s">
        <v>7434</v>
      </c>
      <c r="C890" t="str">
        <f>IFERROR(VLOOKUP(ILACLISTE[[#This Row],[NAME]],Table5[#All],2,0),"")</f>
        <v/>
      </c>
    </row>
    <row r="891" spans="1:3" x14ac:dyDescent="0.3">
      <c r="A891" s="5" t="s">
        <v>1568</v>
      </c>
      <c r="B891" t="s">
        <v>7435</v>
      </c>
      <c r="C891" t="str">
        <f>IFERROR(VLOOKUP(ILACLISTE[[#This Row],[NAME]],Table5[#All],2,0),"")</f>
        <v/>
      </c>
    </row>
    <row r="892" spans="1:3" x14ac:dyDescent="0.3">
      <c r="A892" s="5" t="s">
        <v>1569</v>
      </c>
      <c r="B892" t="s">
        <v>7436</v>
      </c>
      <c r="C892" t="str">
        <f>IFERROR(VLOOKUP(ILACLISTE[[#This Row],[NAME]],Table5[#All],2,0),"")</f>
        <v/>
      </c>
    </row>
    <row r="893" spans="1:3" x14ac:dyDescent="0.3">
      <c r="A893" s="5" t="s">
        <v>1570</v>
      </c>
      <c r="B893" t="s">
        <v>7437</v>
      </c>
      <c r="C893" t="str">
        <f>IFERROR(VLOOKUP(ILACLISTE[[#This Row],[NAME]],Table5[#All],2,0),"")</f>
        <v/>
      </c>
    </row>
    <row r="894" spans="1:3" x14ac:dyDescent="0.3">
      <c r="A894" s="5" t="s">
        <v>1571</v>
      </c>
      <c r="B894" t="s">
        <v>7438</v>
      </c>
      <c r="C894" t="str">
        <f>IFERROR(VLOOKUP(ILACLISTE[[#This Row],[NAME]],Table5[#All],2,0),"")</f>
        <v/>
      </c>
    </row>
    <row r="895" spans="1:3" x14ac:dyDescent="0.3">
      <c r="A895" s="5" t="s">
        <v>1572</v>
      </c>
      <c r="B895" t="s">
        <v>7439</v>
      </c>
      <c r="C895" t="str">
        <f>IFERROR(VLOOKUP(ILACLISTE[[#This Row],[NAME]],Table5[#All],2,0),"")</f>
        <v/>
      </c>
    </row>
    <row r="896" spans="1:3" x14ac:dyDescent="0.3">
      <c r="A896" s="5" t="s">
        <v>1573</v>
      </c>
      <c r="B896" t="s">
        <v>7440</v>
      </c>
      <c r="C896" t="str">
        <f>IFERROR(VLOOKUP(ILACLISTE[[#This Row],[NAME]],Table5[#All],2,0),"")</f>
        <v/>
      </c>
    </row>
    <row r="897" spans="1:3" x14ac:dyDescent="0.3">
      <c r="A897" s="5" t="s">
        <v>1574</v>
      </c>
      <c r="B897" t="s">
        <v>7441</v>
      </c>
      <c r="C897" t="str">
        <f>IFERROR(VLOOKUP(ILACLISTE[[#This Row],[NAME]],Table5[#All],2,0),"")</f>
        <v/>
      </c>
    </row>
    <row r="898" spans="1:3" x14ac:dyDescent="0.3">
      <c r="A898" s="5" t="s">
        <v>1575</v>
      </c>
      <c r="B898" t="s">
        <v>7442</v>
      </c>
      <c r="C898" t="str">
        <f>IFERROR(VLOOKUP(ILACLISTE[[#This Row],[NAME]],Table5[#All],2,0),"")</f>
        <v/>
      </c>
    </row>
    <row r="899" spans="1:3" x14ac:dyDescent="0.3">
      <c r="A899" s="5" t="s">
        <v>1576</v>
      </c>
      <c r="B899" t="s">
        <v>7443</v>
      </c>
      <c r="C899" t="str">
        <f>IFERROR(VLOOKUP(ILACLISTE[[#This Row],[NAME]],Table5[#All],2,0),"")</f>
        <v/>
      </c>
    </row>
    <row r="900" spans="1:3" x14ac:dyDescent="0.3">
      <c r="A900" s="5" t="s">
        <v>1577</v>
      </c>
      <c r="B900" t="s">
        <v>113</v>
      </c>
      <c r="C900" t="str">
        <f>IFERROR(VLOOKUP(ILACLISTE[[#This Row],[NAME]],Table5[#All],2,0),"")</f>
        <v/>
      </c>
    </row>
    <row r="901" spans="1:3" x14ac:dyDescent="0.3">
      <c r="A901" s="5" t="s">
        <v>1578</v>
      </c>
      <c r="B901" t="s">
        <v>114</v>
      </c>
      <c r="C901" t="str">
        <f>IFERROR(VLOOKUP(ILACLISTE[[#This Row],[NAME]],Table5[#All],2,0),"")</f>
        <v/>
      </c>
    </row>
    <row r="902" spans="1:3" x14ac:dyDescent="0.3">
      <c r="A902" s="5" t="s">
        <v>1579</v>
      </c>
      <c r="B902" t="s">
        <v>115</v>
      </c>
      <c r="C902" t="str">
        <f>IFERROR(VLOOKUP(ILACLISTE[[#This Row],[NAME]],Table5[#All],2,0),"")</f>
        <v/>
      </c>
    </row>
    <row r="903" spans="1:3" x14ac:dyDescent="0.3">
      <c r="A903" s="5" t="s">
        <v>1580</v>
      </c>
      <c r="B903" t="s">
        <v>7444</v>
      </c>
      <c r="C903" t="str">
        <f>IFERROR(VLOOKUP(ILACLISTE[[#This Row],[NAME]],Table5[#All],2,0),"")</f>
        <v/>
      </c>
    </row>
    <row r="904" spans="1:3" x14ac:dyDescent="0.3">
      <c r="A904" s="5" t="s">
        <v>1581</v>
      </c>
      <c r="B904" t="s">
        <v>7445</v>
      </c>
      <c r="C904" t="str">
        <f>IFERROR(VLOOKUP(ILACLISTE[[#This Row],[NAME]],Table5[#All],2,0),"")</f>
        <v/>
      </c>
    </row>
    <row r="905" spans="1:3" x14ac:dyDescent="0.3">
      <c r="A905" s="5" t="s">
        <v>1582</v>
      </c>
      <c r="B905" t="s">
        <v>116</v>
      </c>
      <c r="C905" t="str">
        <f>IFERROR(VLOOKUP(ILACLISTE[[#This Row],[NAME]],Table5[#All],2,0),"")</f>
        <v/>
      </c>
    </row>
    <row r="906" spans="1:3" x14ac:dyDescent="0.3">
      <c r="A906" s="5" t="s">
        <v>1583</v>
      </c>
      <c r="B906" t="s">
        <v>7446</v>
      </c>
      <c r="C906" t="str">
        <f>IFERROR(VLOOKUP(ILACLISTE[[#This Row],[NAME]],Table5[#All],2,0),"")</f>
        <v/>
      </c>
    </row>
    <row r="907" spans="1:3" x14ac:dyDescent="0.3">
      <c r="A907" s="5" t="s">
        <v>1584</v>
      </c>
      <c r="B907" t="s">
        <v>117</v>
      </c>
      <c r="C907" t="str">
        <f>IFERROR(VLOOKUP(ILACLISTE[[#This Row],[NAME]],Table5[#All],2,0),"")</f>
        <v/>
      </c>
    </row>
    <row r="908" spans="1:3" x14ac:dyDescent="0.3">
      <c r="A908" s="5" t="s">
        <v>1585</v>
      </c>
      <c r="B908" t="s">
        <v>118</v>
      </c>
      <c r="C908" t="str">
        <f>IFERROR(VLOOKUP(ILACLISTE[[#This Row],[NAME]],Table5[#All],2,0),"")</f>
        <v/>
      </c>
    </row>
    <row r="909" spans="1:3" x14ac:dyDescent="0.3">
      <c r="A909" s="5" t="s">
        <v>1586</v>
      </c>
      <c r="B909" t="s">
        <v>7447</v>
      </c>
      <c r="C909" t="str">
        <f>IFERROR(VLOOKUP(ILACLISTE[[#This Row],[NAME]],Table5[#All],2,0),"")</f>
        <v/>
      </c>
    </row>
    <row r="910" spans="1:3" x14ac:dyDescent="0.3">
      <c r="A910" s="5" t="s">
        <v>1587</v>
      </c>
      <c r="B910" t="s">
        <v>7448</v>
      </c>
      <c r="C910" t="str">
        <f>IFERROR(VLOOKUP(ILACLISTE[[#This Row],[NAME]],Table5[#All],2,0),"")</f>
        <v/>
      </c>
    </row>
    <row r="911" spans="1:3" x14ac:dyDescent="0.3">
      <c r="A911" s="5" t="s">
        <v>1588</v>
      </c>
      <c r="B911" t="s">
        <v>7449</v>
      </c>
      <c r="C911" t="str">
        <f>IFERROR(VLOOKUP(ILACLISTE[[#This Row],[NAME]],Table5[#All],2,0),"")</f>
        <v/>
      </c>
    </row>
    <row r="912" spans="1:3" x14ac:dyDescent="0.3">
      <c r="A912" s="5" t="s">
        <v>1589</v>
      </c>
      <c r="B912" t="s">
        <v>119</v>
      </c>
      <c r="C912" t="str">
        <f>IFERROR(VLOOKUP(ILACLISTE[[#This Row],[NAME]],Table5[#All],2,0),"")</f>
        <v/>
      </c>
    </row>
    <row r="913" spans="1:3" x14ac:dyDescent="0.3">
      <c r="A913" s="5" t="s">
        <v>1590</v>
      </c>
      <c r="B913" t="s">
        <v>120</v>
      </c>
      <c r="C913" t="str">
        <f>IFERROR(VLOOKUP(ILACLISTE[[#This Row],[NAME]],Table5[#All],2,0),"")</f>
        <v/>
      </c>
    </row>
    <row r="914" spans="1:3" x14ac:dyDescent="0.3">
      <c r="A914" s="5" t="s">
        <v>1591</v>
      </c>
      <c r="B914" t="s">
        <v>121</v>
      </c>
      <c r="C914" t="str">
        <f>IFERROR(VLOOKUP(ILACLISTE[[#This Row],[NAME]],Table5[#All],2,0),"")</f>
        <v/>
      </c>
    </row>
    <row r="915" spans="1:3" x14ac:dyDescent="0.3">
      <c r="A915" s="5" t="s">
        <v>1592</v>
      </c>
      <c r="B915" t="s">
        <v>122</v>
      </c>
      <c r="C915" t="str">
        <f>IFERROR(VLOOKUP(ILACLISTE[[#This Row],[NAME]],Table5[#All],2,0),"")</f>
        <v/>
      </c>
    </row>
    <row r="916" spans="1:3" x14ac:dyDescent="0.3">
      <c r="A916" s="5" t="s">
        <v>1593</v>
      </c>
      <c r="B916" t="s">
        <v>123</v>
      </c>
      <c r="C916" t="str">
        <f>IFERROR(VLOOKUP(ILACLISTE[[#This Row],[NAME]],Table5[#All],2,0),"")</f>
        <v/>
      </c>
    </row>
    <row r="917" spans="1:3" x14ac:dyDescent="0.3">
      <c r="A917" s="5" t="s">
        <v>1594</v>
      </c>
      <c r="B917" t="s">
        <v>7450</v>
      </c>
      <c r="C917" t="str">
        <f>IFERROR(VLOOKUP(ILACLISTE[[#This Row],[NAME]],Table5[#All],2,0),"")</f>
        <v/>
      </c>
    </row>
    <row r="918" spans="1:3" x14ac:dyDescent="0.3">
      <c r="A918" s="5" t="s">
        <v>1595</v>
      </c>
      <c r="B918" t="s">
        <v>7451</v>
      </c>
      <c r="C918" t="str">
        <f>IFERROR(VLOOKUP(ILACLISTE[[#This Row],[NAME]],Table5[#All],2,0),"")</f>
        <v/>
      </c>
    </row>
    <row r="919" spans="1:3" x14ac:dyDescent="0.3">
      <c r="A919" s="5" t="s">
        <v>1596</v>
      </c>
      <c r="B919" t="s">
        <v>7452</v>
      </c>
      <c r="C919" t="str">
        <f>IFERROR(VLOOKUP(ILACLISTE[[#This Row],[NAME]],Table5[#All],2,0),"")</f>
        <v/>
      </c>
    </row>
    <row r="920" spans="1:3" x14ac:dyDescent="0.3">
      <c r="A920" s="5" t="s">
        <v>1597</v>
      </c>
      <c r="B920" t="s">
        <v>7453</v>
      </c>
      <c r="C920" t="str">
        <f>IFERROR(VLOOKUP(ILACLISTE[[#This Row],[NAME]],Table5[#All],2,0),"")</f>
        <v/>
      </c>
    </row>
    <row r="921" spans="1:3" x14ac:dyDescent="0.3">
      <c r="A921" s="5" t="s">
        <v>1598</v>
      </c>
      <c r="B921" t="s">
        <v>7454</v>
      </c>
      <c r="C921" t="str">
        <f>IFERROR(VLOOKUP(ILACLISTE[[#This Row],[NAME]],Table5[#All],2,0),"")</f>
        <v/>
      </c>
    </row>
    <row r="922" spans="1:3" x14ac:dyDescent="0.3">
      <c r="A922" s="5" t="s">
        <v>1599</v>
      </c>
      <c r="B922" t="s">
        <v>7455</v>
      </c>
      <c r="C922" t="str">
        <f>IFERROR(VLOOKUP(ILACLISTE[[#This Row],[NAME]],Table5[#All],2,0),"")</f>
        <v/>
      </c>
    </row>
    <row r="923" spans="1:3" x14ac:dyDescent="0.3">
      <c r="A923" s="5" t="s">
        <v>1600</v>
      </c>
      <c r="B923" t="s">
        <v>7456</v>
      </c>
      <c r="C923" t="str">
        <f>IFERROR(VLOOKUP(ILACLISTE[[#This Row],[NAME]],Table5[#All],2,0),"")</f>
        <v/>
      </c>
    </row>
    <row r="924" spans="1:3" x14ac:dyDescent="0.3">
      <c r="A924" s="5" t="s">
        <v>1601</v>
      </c>
      <c r="B924" t="s">
        <v>7457</v>
      </c>
      <c r="C924" t="str">
        <f>IFERROR(VLOOKUP(ILACLISTE[[#This Row],[NAME]],Table5[#All],2,0),"")</f>
        <v/>
      </c>
    </row>
    <row r="925" spans="1:3" x14ac:dyDescent="0.3">
      <c r="A925" s="5" t="s">
        <v>1602</v>
      </c>
      <c r="B925" t="s">
        <v>7458</v>
      </c>
      <c r="C925" t="str">
        <f>IFERROR(VLOOKUP(ILACLISTE[[#This Row],[NAME]],Table5[#All],2,0),"")</f>
        <v/>
      </c>
    </row>
    <row r="926" spans="1:3" x14ac:dyDescent="0.3">
      <c r="A926" s="5" t="s">
        <v>1603</v>
      </c>
      <c r="B926" t="s">
        <v>7459</v>
      </c>
      <c r="C926" t="str">
        <f>IFERROR(VLOOKUP(ILACLISTE[[#This Row],[NAME]],Table5[#All],2,0),"")</f>
        <v/>
      </c>
    </row>
    <row r="927" spans="1:3" x14ac:dyDescent="0.3">
      <c r="A927" s="5" t="s">
        <v>1604</v>
      </c>
      <c r="B927" t="s">
        <v>7460</v>
      </c>
      <c r="C927" t="str">
        <f>IFERROR(VLOOKUP(ILACLISTE[[#This Row],[NAME]],Table5[#All],2,0),"")</f>
        <v/>
      </c>
    </row>
    <row r="928" spans="1:3" x14ac:dyDescent="0.3">
      <c r="A928" s="5" t="s">
        <v>1605</v>
      </c>
      <c r="B928" t="s">
        <v>7461</v>
      </c>
      <c r="C928" t="str">
        <f>IFERROR(VLOOKUP(ILACLISTE[[#This Row],[NAME]],Table5[#All],2,0),"")</f>
        <v/>
      </c>
    </row>
    <row r="929" spans="1:3" x14ac:dyDescent="0.3">
      <c r="A929" s="5" t="s">
        <v>1606</v>
      </c>
      <c r="B929" t="s">
        <v>7462</v>
      </c>
      <c r="C929" t="str">
        <f>IFERROR(VLOOKUP(ILACLISTE[[#This Row],[NAME]],Table5[#All],2,0),"")</f>
        <v/>
      </c>
    </row>
    <row r="930" spans="1:3" x14ac:dyDescent="0.3">
      <c r="A930" s="5" t="s">
        <v>1607</v>
      </c>
      <c r="B930" t="s">
        <v>7463</v>
      </c>
      <c r="C930" t="str">
        <f>IFERROR(VLOOKUP(ILACLISTE[[#This Row],[NAME]],Table5[#All],2,0),"")</f>
        <v/>
      </c>
    </row>
    <row r="931" spans="1:3" x14ac:dyDescent="0.3">
      <c r="A931" s="5" t="s">
        <v>1608</v>
      </c>
      <c r="B931" t="s">
        <v>7464</v>
      </c>
      <c r="C931" t="str">
        <f>IFERROR(VLOOKUP(ILACLISTE[[#This Row],[NAME]],Table5[#All],2,0),"")</f>
        <v/>
      </c>
    </row>
    <row r="932" spans="1:3" x14ac:dyDescent="0.3">
      <c r="A932" s="5" t="s">
        <v>1609</v>
      </c>
      <c r="B932" t="s">
        <v>7465</v>
      </c>
      <c r="C932" t="str">
        <f>IFERROR(VLOOKUP(ILACLISTE[[#This Row],[NAME]],Table5[#All],2,0),"")</f>
        <v/>
      </c>
    </row>
    <row r="933" spans="1:3" x14ac:dyDescent="0.3">
      <c r="A933" s="5" t="s">
        <v>1610</v>
      </c>
      <c r="B933" t="s">
        <v>7466</v>
      </c>
      <c r="C933" t="str">
        <f>IFERROR(VLOOKUP(ILACLISTE[[#This Row],[NAME]],Table5[#All],2,0),"")</f>
        <v/>
      </c>
    </row>
    <row r="934" spans="1:3" x14ac:dyDescent="0.3">
      <c r="A934" s="5" t="s">
        <v>1611</v>
      </c>
      <c r="B934" t="s">
        <v>7467</v>
      </c>
      <c r="C934" t="str">
        <f>IFERROR(VLOOKUP(ILACLISTE[[#This Row],[NAME]],Table5[#All],2,0),"")</f>
        <v/>
      </c>
    </row>
    <row r="935" spans="1:3" x14ac:dyDescent="0.3">
      <c r="A935" s="5" t="s">
        <v>1612</v>
      </c>
      <c r="B935" t="s">
        <v>7468</v>
      </c>
      <c r="C935" t="str">
        <f>IFERROR(VLOOKUP(ILACLISTE[[#This Row],[NAME]],Table5[#All],2,0),"")</f>
        <v/>
      </c>
    </row>
    <row r="936" spans="1:3" x14ac:dyDescent="0.3">
      <c r="A936" s="5" t="s">
        <v>1613</v>
      </c>
      <c r="B936" t="s">
        <v>7469</v>
      </c>
      <c r="C936" t="str">
        <f>IFERROR(VLOOKUP(ILACLISTE[[#This Row],[NAME]],Table5[#All],2,0),"")</f>
        <v/>
      </c>
    </row>
    <row r="937" spans="1:3" x14ac:dyDescent="0.3">
      <c r="A937" s="5" t="s">
        <v>1614</v>
      </c>
      <c r="B937" t="s">
        <v>7470</v>
      </c>
      <c r="C937" t="str">
        <f>IFERROR(VLOOKUP(ILACLISTE[[#This Row],[NAME]],Table5[#All],2,0),"")</f>
        <v/>
      </c>
    </row>
    <row r="938" spans="1:3" x14ac:dyDescent="0.3">
      <c r="A938" s="5" t="s">
        <v>1615</v>
      </c>
      <c r="B938" t="s">
        <v>7471</v>
      </c>
      <c r="C938" t="str">
        <f>IFERROR(VLOOKUP(ILACLISTE[[#This Row],[NAME]],Table5[#All],2,0),"")</f>
        <v/>
      </c>
    </row>
    <row r="939" spans="1:3" x14ac:dyDescent="0.3">
      <c r="A939" s="5" t="s">
        <v>1616</v>
      </c>
      <c r="B939" t="s">
        <v>7472</v>
      </c>
      <c r="C939" t="str">
        <f>IFERROR(VLOOKUP(ILACLISTE[[#This Row],[NAME]],Table5[#All],2,0),"")</f>
        <v/>
      </c>
    </row>
    <row r="940" spans="1:3" x14ac:dyDescent="0.3">
      <c r="A940" s="5" t="s">
        <v>1617</v>
      </c>
      <c r="B940" t="s">
        <v>7473</v>
      </c>
      <c r="C940" t="str">
        <f>IFERROR(VLOOKUP(ILACLISTE[[#This Row],[NAME]],Table5[#All],2,0),"")</f>
        <v/>
      </c>
    </row>
    <row r="941" spans="1:3" x14ac:dyDescent="0.3">
      <c r="A941" s="5" t="s">
        <v>1618</v>
      </c>
      <c r="B941" t="s">
        <v>7474</v>
      </c>
      <c r="C941" t="str">
        <f>IFERROR(VLOOKUP(ILACLISTE[[#This Row],[NAME]],Table5[#All],2,0),"")</f>
        <v/>
      </c>
    </row>
    <row r="942" spans="1:3" x14ac:dyDescent="0.3">
      <c r="A942" s="5" t="s">
        <v>1619</v>
      </c>
      <c r="B942" t="s">
        <v>7475</v>
      </c>
      <c r="C942" t="str">
        <f>IFERROR(VLOOKUP(ILACLISTE[[#This Row],[NAME]],Table5[#All],2,0),"")</f>
        <v/>
      </c>
    </row>
    <row r="943" spans="1:3" x14ac:dyDescent="0.3">
      <c r="A943" s="5" t="s">
        <v>1620</v>
      </c>
      <c r="B943" t="s">
        <v>7476</v>
      </c>
      <c r="C943" t="str">
        <f>IFERROR(VLOOKUP(ILACLISTE[[#This Row],[NAME]],Table5[#All],2,0),"")</f>
        <v/>
      </c>
    </row>
    <row r="944" spans="1:3" x14ac:dyDescent="0.3">
      <c r="A944" s="5" t="s">
        <v>1621</v>
      </c>
      <c r="B944" t="s">
        <v>7477</v>
      </c>
      <c r="C944" t="str">
        <f>IFERROR(VLOOKUP(ILACLISTE[[#This Row],[NAME]],Table5[#All],2,0),"")</f>
        <v/>
      </c>
    </row>
    <row r="945" spans="1:3" x14ac:dyDescent="0.3">
      <c r="A945" s="5" t="s">
        <v>1622</v>
      </c>
      <c r="B945" t="s">
        <v>7478</v>
      </c>
      <c r="C945" t="str">
        <f>IFERROR(VLOOKUP(ILACLISTE[[#This Row],[NAME]],Table5[#All],2,0),"")</f>
        <v/>
      </c>
    </row>
    <row r="946" spans="1:3" x14ac:dyDescent="0.3">
      <c r="A946" s="5" t="s">
        <v>1623</v>
      </c>
      <c r="B946" t="s">
        <v>7479</v>
      </c>
      <c r="C946" t="str">
        <f>IFERROR(VLOOKUP(ILACLISTE[[#This Row],[NAME]],Table5[#All],2,0),"")</f>
        <v/>
      </c>
    </row>
    <row r="947" spans="1:3" x14ac:dyDescent="0.3">
      <c r="A947" s="5" t="s">
        <v>1624</v>
      </c>
      <c r="B947" t="s">
        <v>7480</v>
      </c>
      <c r="C947" t="str">
        <f>IFERROR(VLOOKUP(ILACLISTE[[#This Row],[NAME]],Table5[#All],2,0),"")</f>
        <v/>
      </c>
    </row>
    <row r="948" spans="1:3" x14ac:dyDescent="0.3">
      <c r="A948" s="5" t="s">
        <v>1625</v>
      </c>
      <c r="B948" t="s">
        <v>7481</v>
      </c>
      <c r="C948" t="str">
        <f>IFERROR(VLOOKUP(ILACLISTE[[#This Row],[NAME]],Table5[#All],2,0),"")</f>
        <v/>
      </c>
    </row>
    <row r="949" spans="1:3" x14ac:dyDescent="0.3">
      <c r="A949" s="5" t="s">
        <v>1626</v>
      </c>
      <c r="B949" t="s">
        <v>7482</v>
      </c>
      <c r="C949" t="str">
        <f>IFERROR(VLOOKUP(ILACLISTE[[#This Row],[NAME]],Table5[#All],2,0),"")</f>
        <v/>
      </c>
    </row>
    <row r="950" spans="1:3" x14ac:dyDescent="0.3">
      <c r="A950" s="5" t="s">
        <v>1627</v>
      </c>
      <c r="B950" t="s">
        <v>7483</v>
      </c>
      <c r="C950" t="str">
        <f>IFERROR(VLOOKUP(ILACLISTE[[#This Row],[NAME]],Table5[#All],2,0),"")</f>
        <v/>
      </c>
    </row>
    <row r="951" spans="1:3" x14ac:dyDescent="0.3">
      <c r="A951" s="5" t="s">
        <v>1628</v>
      </c>
      <c r="B951" t="s">
        <v>7484</v>
      </c>
      <c r="C951" t="str">
        <f>IFERROR(VLOOKUP(ILACLISTE[[#This Row],[NAME]],Table5[#All],2,0),"")</f>
        <v/>
      </c>
    </row>
    <row r="952" spans="1:3" x14ac:dyDescent="0.3">
      <c r="A952" s="5" t="s">
        <v>1629</v>
      </c>
      <c r="B952" t="s">
        <v>7485</v>
      </c>
      <c r="C952" t="str">
        <f>IFERROR(VLOOKUP(ILACLISTE[[#This Row],[NAME]],Table5[#All],2,0),"")</f>
        <v/>
      </c>
    </row>
    <row r="953" spans="1:3" x14ac:dyDescent="0.3">
      <c r="A953" s="5" t="s">
        <v>1630</v>
      </c>
      <c r="B953" t="s">
        <v>7486</v>
      </c>
      <c r="C953" t="str">
        <f>IFERROR(VLOOKUP(ILACLISTE[[#This Row],[NAME]],Table5[#All],2,0),"")</f>
        <v/>
      </c>
    </row>
    <row r="954" spans="1:3" x14ac:dyDescent="0.3">
      <c r="A954" s="5" t="s">
        <v>1631</v>
      </c>
      <c r="B954" t="s">
        <v>7487</v>
      </c>
      <c r="C954" t="str">
        <f>IFERROR(VLOOKUP(ILACLISTE[[#This Row],[NAME]],Table5[#All],2,0),"")</f>
        <v/>
      </c>
    </row>
    <row r="955" spans="1:3" x14ac:dyDescent="0.3">
      <c r="A955" s="5" t="s">
        <v>1632</v>
      </c>
      <c r="B955" t="s">
        <v>7488</v>
      </c>
      <c r="C955" t="str">
        <f>IFERROR(VLOOKUP(ILACLISTE[[#This Row],[NAME]],Table5[#All],2,0),"")</f>
        <v/>
      </c>
    </row>
    <row r="956" spans="1:3" x14ac:dyDescent="0.3">
      <c r="A956" s="5" t="s">
        <v>1633</v>
      </c>
      <c r="B956" t="s">
        <v>7489</v>
      </c>
      <c r="C956" t="str">
        <f>IFERROR(VLOOKUP(ILACLISTE[[#This Row],[NAME]],Table5[#All],2,0),"")</f>
        <v/>
      </c>
    </row>
    <row r="957" spans="1:3" x14ac:dyDescent="0.3">
      <c r="A957" s="5" t="s">
        <v>1634</v>
      </c>
      <c r="B957" t="s">
        <v>7490</v>
      </c>
      <c r="C957" t="str">
        <f>IFERROR(VLOOKUP(ILACLISTE[[#This Row],[NAME]],Table5[#All],2,0),"")</f>
        <v/>
      </c>
    </row>
    <row r="958" spans="1:3" x14ac:dyDescent="0.3">
      <c r="A958" s="5" t="s">
        <v>1635</v>
      </c>
      <c r="B958" t="s">
        <v>7491</v>
      </c>
      <c r="C958" t="str">
        <f>IFERROR(VLOOKUP(ILACLISTE[[#This Row],[NAME]],Table5[#All],2,0),"")</f>
        <v/>
      </c>
    </row>
    <row r="959" spans="1:3" x14ac:dyDescent="0.3">
      <c r="A959" s="5" t="s">
        <v>1636</v>
      </c>
      <c r="B959" t="s">
        <v>7492</v>
      </c>
      <c r="C959" t="str">
        <f>IFERROR(VLOOKUP(ILACLISTE[[#This Row],[NAME]],Table5[#All],2,0),"")</f>
        <v/>
      </c>
    </row>
    <row r="960" spans="1:3" x14ac:dyDescent="0.3">
      <c r="A960" s="5" t="s">
        <v>1637</v>
      </c>
      <c r="B960" t="s">
        <v>7493</v>
      </c>
      <c r="C960" t="str">
        <f>IFERROR(VLOOKUP(ILACLISTE[[#This Row],[NAME]],Table5[#All],2,0),"")</f>
        <v/>
      </c>
    </row>
    <row r="961" spans="1:3" x14ac:dyDescent="0.3">
      <c r="A961" s="5" t="s">
        <v>1638</v>
      </c>
      <c r="B961" t="s">
        <v>7494</v>
      </c>
      <c r="C961" t="str">
        <f>IFERROR(VLOOKUP(ILACLISTE[[#This Row],[NAME]],Table5[#All],2,0),"")</f>
        <v/>
      </c>
    </row>
    <row r="962" spans="1:3" x14ac:dyDescent="0.3">
      <c r="A962" s="5" t="s">
        <v>1639</v>
      </c>
      <c r="B962" t="s">
        <v>7495</v>
      </c>
      <c r="C962" t="str">
        <f>IFERROR(VLOOKUP(ILACLISTE[[#This Row],[NAME]],Table5[#All],2,0),"")</f>
        <v/>
      </c>
    </row>
    <row r="963" spans="1:3" x14ac:dyDescent="0.3">
      <c r="A963" s="5" t="s">
        <v>1640</v>
      </c>
      <c r="B963" t="s">
        <v>7496</v>
      </c>
      <c r="C963" t="str">
        <f>IFERROR(VLOOKUP(ILACLISTE[[#This Row],[NAME]],Table5[#All],2,0),"")</f>
        <v/>
      </c>
    </row>
    <row r="964" spans="1:3" x14ac:dyDescent="0.3">
      <c r="A964" s="5" t="s">
        <v>1641</v>
      </c>
      <c r="B964" t="s">
        <v>7497</v>
      </c>
      <c r="C964" t="str">
        <f>IFERROR(VLOOKUP(ILACLISTE[[#This Row],[NAME]],Table5[#All],2,0),"")</f>
        <v/>
      </c>
    </row>
    <row r="965" spans="1:3" x14ac:dyDescent="0.3">
      <c r="A965" s="5" t="s">
        <v>1642</v>
      </c>
      <c r="B965" t="s">
        <v>7498</v>
      </c>
      <c r="C965" t="str">
        <f>IFERROR(VLOOKUP(ILACLISTE[[#This Row],[NAME]],Table5[#All],2,0),"")</f>
        <v/>
      </c>
    </row>
    <row r="966" spans="1:3" x14ac:dyDescent="0.3">
      <c r="A966" s="5" t="s">
        <v>1643</v>
      </c>
      <c r="B966" t="s">
        <v>7499</v>
      </c>
      <c r="C966" t="str">
        <f>IFERROR(VLOOKUP(ILACLISTE[[#This Row],[NAME]],Table5[#All],2,0),"")</f>
        <v/>
      </c>
    </row>
    <row r="967" spans="1:3" x14ac:dyDescent="0.3">
      <c r="A967" s="5" t="s">
        <v>1644</v>
      </c>
      <c r="B967" t="s">
        <v>7500</v>
      </c>
      <c r="C967" t="str">
        <f>IFERROR(VLOOKUP(ILACLISTE[[#This Row],[NAME]],Table5[#All],2,0),"")</f>
        <v/>
      </c>
    </row>
    <row r="968" spans="1:3" x14ac:dyDescent="0.3">
      <c r="A968" s="5" t="s">
        <v>1645</v>
      </c>
      <c r="B968" t="s">
        <v>7501</v>
      </c>
      <c r="C968" t="str">
        <f>IFERROR(VLOOKUP(ILACLISTE[[#This Row],[NAME]],Table5[#All],2,0),"")</f>
        <v/>
      </c>
    </row>
    <row r="969" spans="1:3" x14ac:dyDescent="0.3">
      <c r="A969" s="5" t="s">
        <v>1646</v>
      </c>
      <c r="B969" t="s">
        <v>7502</v>
      </c>
      <c r="C969" t="str">
        <f>IFERROR(VLOOKUP(ILACLISTE[[#This Row],[NAME]],Table5[#All],2,0),"")</f>
        <v/>
      </c>
    </row>
    <row r="970" spans="1:3" x14ac:dyDescent="0.3">
      <c r="A970" s="5" t="s">
        <v>1647</v>
      </c>
      <c r="B970" t="s">
        <v>7503</v>
      </c>
      <c r="C970" t="str">
        <f>IFERROR(VLOOKUP(ILACLISTE[[#This Row],[NAME]],Table5[#All],2,0),"")</f>
        <v/>
      </c>
    </row>
    <row r="971" spans="1:3" x14ac:dyDescent="0.3">
      <c r="A971" s="5" t="s">
        <v>1648</v>
      </c>
      <c r="B971" t="s">
        <v>7504</v>
      </c>
      <c r="C971" t="str">
        <f>IFERROR(VLOOKUP(ILACLISTE[[#This Row],[NAME]],Table5[#All],2,0),"")</f>
        <v/>
      </c>
    </row>
    <row r="972" spans="1:3" x14ac:dyDescent="0.3">
      <c r="A972" s="5" t="s">
        <v>1649</v>
      </c>
      <c r="B972" t="s">
        <v>7505</v>
      </c>
      <c r="C972" t="str">
        <f>IFERROR(VLOOKUP(ILACLISTE[[#This Row],[NAME]],Table5[#All],2,0),"")</f>
        <v/>
      </c>
    </row>
    <row r="973" spans="1:3" x14ac:dyDescent="0.3">
      <c r="A973" s="5" t="s">
        <v>1650</v>
      </c>
      <c r="B973" t="s">
        <v>7506</v>
      </c>
      <c r="C973" t="str">
        <f>IFERROR(VLOOKUP(ILACLISTE[[#This Row],[NAME]],Table5[#All],2,0),"")</f>
        <v/>
      </c>
    </row>
    <row r="974" spans="1:3" x14ac:dyDescent="0.3">
      <c r="A974" s="5" t="s">
        <v>1651</v>
      </c>
      <c r="B974" t="s">
        <v>7507</v>
      </c>
      <c r="C974" t="str">
        <f>IFERROR(VLOOKUP(ILACLISTE[[#This Row],[NAME]],Table5[#All],2,0),"")</f>
        <v/>
      </c>
    </row>
    <row r="975" spans="1:3" x14ac:dyDescent="0.3">
      <c r="A975" s="5" t="s">
        <v>1652</v>
      </c>
      <c r="B975" t="s">
        <v>7508</v>
      </c>
      <c r="C975" t="str">
        <f>IFERROR(VLOOKUP(ILACLISTE[[#This Row],[NAME]],Table5[#All],2,0),"")</f>
        <v/>
      </c>
    </row>
    <row r="976" spans="1:3" x14ac:dyDescent="0.3">
      <c r="A976" s="5" t="s">
        <v>1653</v>
      </c>
      <c r="B976" t="s">
        <v>7509</v>
      </c>
      <c r="C976" t="str">
        <f>IFERROR(VLOOKUP(ILACLISTE[[#This Row],[NAME]],Table5[#All],2,0),"")</f>
        <v/>
      </c>
    </row>
    <row r="977" spans="1:3" x14ac:dyDescent="0.3">
      <c r="A977" s="5" t="s">
        <v>1654</v>
      </c>
      <c r="B977" t="s">
        <v>7510</v>
      </c>
      <c r="C977" t="str">
        <f>IFERROR(VLOOKUP(ILACLISTE[[#This Row],[NAME]],Table5[#All],2,0),"")</f>
        <v/>
      </c>
    </row>
    <row r="978" spans="1:3" x14ac:dyDescent="0.3">
      <c r="A978" s="5" t="s">
        <v>1655</v>
      </c>
      <c r="B978" t="s">
        <v>7511</v>
      </c>
      <c r="C978" t="str">
        <f>IFERROR(VLOOKUP(ILACLISTE[[#This Row],[NAME]],Table5[#All],2,0),"")</f>
        <v/>
      </c>
    </row>
    <row r="979" spans="1:3" x14ac:dyDescent="0.3">
      <c r="A979" s="5" t="s">
        <v>1656</v>
      </c>
      <c r="B979" t="s">
        <v>7512</v>
      </c>
      <c r="C979" t="str">
        <f>IFERROR(VLOOKUP(ILACLISTE[[#This Row],[NAME]],Table5[#All],2,0),"")</f>
        <v/>
      </c>
    </row>
    <row r="980" spans="1:3" x14ac:dyDescent="0.3">
      <c r="A980" s="5" t="s">
        <v>1657</v>
      </c>
      <c r="B980" t="s">
        <v>7513</v>
      </c>
      <c r="C980" t="str">
        <f>IFERROR(VLOOKUP(ILACLISTE[[#This Row],[NAME]],Table5[#All],2,0),"")</f>
        <v/>
      </c>
    </row>
    <row r="981" spans="1:3" x14ac:dyDescent="0.3">
      <c r="A981" s="5" t="s">
        <v>1658</v>
      </c>
      <c r="B981" t="s">
        <v>7514</v>
      </c>
      <c r="C981" t="str">
        <f>IFERROR(VLOOKUP(ILACLISTE[[#This Row],[NAME]],Table5[#All],2,0),"")</f>
        <v/>
      </c>
    </row>
    <row r="982" spans="1:3" x14ac:dyDescent="0.3">
      <c r="A982" s="5" t="s">
        <v>1659</v>
      </c>
      <c r="B982" t="s">
        <v>7515</v>
      </c>
      <c r="C982" t="str">
        <f>IFERROR(VLOOKUP(ILACLISTE[[#This Row],[NAME]],Table5[#All],2,0),"")</f>
        <v/>
      </c>
    </row>
    <row r="983" spans="1:3" x14ac:dyDescent="0.3">
      <c r="A983" s="5" t="s">
        <v>1660</v>
      </c>
      <c r="B983" t="s">
        <v>7516</v>
      </c>
      <c r="C983" t="str">
        <f>IFERROR(VLOOKUP(ILACLISTE[[#This Row],[NAME]],Table5[#All],2,0),"")</f>
        <v/>
      </c>
    </row>
    <row r="984" spans="1:3" x14ac:dyDescent="0.3">
      <c r="A984" s="5" t="s">
        <v>1661</v>
      </c>
      <c r="B984" t="s">
        <v>7517</v>
      </c>
      <c r="C984" t="str">
        <f>IFERROR(VLOOKUP(ILACLISTE[[#This Row],[NAME]],Table5[#All],2,0),"")</f>
        <v/>
      </c>
    </row>
    <row r="985" spans="1:3" x14ac:dyDescent="0.3">
      <c r="A985" s="5" t="s">
        <v>1662</v>
      </c>
      <c r="B985" t="s">
        <v>7518</v>
      </c>
      <c r="C985" t="str">
        <f>IFERROR(VLOOKUP(ILACLISTE[[#This Row],[NAME]],Table5[#All],2,0),"")</f>
        <v/>
      </c>
    </row>
    <row r="986" spans="1:3" x14ac:dyDescent="0.3">
      <c r="A986" s="5" t="s">
        <v>1663</v>
      </c>
      <c r="B986" t="s">
        <v>7519</v>
      </c>
      <c r="C986" t="str">
        <f>IFERROR(VLOOKUP(ILACLISTE[[#This Row],[NAME]],Table5[#All],2,0),"")</f>
        <v/>
      </c>
    </row>
    <row r="987" spans="1:3" x14ac:dyDescent="0.3">
      <c r="A987" s="5" t="s">
        <v>1664</v>
      </c>
      <c r="B987" t="s">
        <v>7520</v>
      </c>
      <c r="C987" t="str">
        <f>IFERROR(VLOOKUP(ILACLISTE[[#This Row],[NAME]],Table5[#All],2,0),"")</f>
        <v/>
      </c>
    </row>
    <row r="988" spans="1:3" x14ac:dyDescent="0.3">
      <c r="A988" s="5" t="s">
        <v>7521</v>
      </c>
      <c r="B988" t="s">
        <v>7522</v>
      </c>
      <c r="C988" t="str">
        <f>IFERROR(VLOOKUP(ILACLISTE[[#This Row],[NAME]],Table5[#All],2,0),"")</f>
        <v/>
      </c>
    </row>
    <row r="989" spans="1:3" x14ac:dyDescent="0.3">
      <c r="A989" s="5" t="s">
        <v>1665</v>
      </c>
      <c r="B989" t="s">
        <v>7523</v>
      </c>
      <c r="C989" t="str">
        <f>IFERROR(VLOOKUP(ILACLISTE[[#This Row],[NAME]],Table5[#All],2,0),"")</f>
        <v/>
      </c>
    </row>
    <row r="990" spans="1:3" x14ac:dyDescent="0.3">
      <c r="A990" s="5" t="s">
        <v>1666</v>
      </c>
      <c r="B990" t="s">
        <v>7524</v>
      </c>
      <c r="C990" t="str">
        <f>IFERROR(VLOOKUP(ILACLISTE[[#This Row],[NAME]],Table5[#All],2,0),"")</f>
        <v/>
      </c>
    </row>
    <row r="991" spans="1:3" x14ac:dyDescent="0.3">
      <c r="A991" s="5" t="s">
        <v>1667</v>
      </c>
      <c r="B991" t="s">
        <v>7525</v>
      </c>
      <c r="C991" t="str">
        <f>IFERROR(VLOOKUP(ILACLISTE[[#This Row],[NAME]],Table5[#All],2,0),"")</f>
        <v/>
      </c>
    </row>
    <row r="992" spans="1:3" x14ac:dyDescent="0.3">
      <c r="A992" s="5" t="s">
        <v>1668</v>
      </c>
      <c r="B992" t="s">
        <v>7526</v>
      </c>
      <c r="C992" t="str">
        <f>IFERROR(VLOOKUP(ILACLISTE[[#This Row],[NAME]],Table5[#All],2,0),"")</f>
        <v/>
      </c>
    </row>
    <row r="993" spans="1:3" x14ac:dyDescent="0.3">
      <c r="A993" s="5" t="s">
        <v>1669</v>
      </c>
      <c r="B993" t="s">
        <v>7527</v>
      </c>
      <c r="C993" t="str">
        <f>IFERROR(VLOOKUP(ILACLISTE[[#This Row],[NAME]],Table5[#All],2,0),"")</f>
        <v/>
      </c>
    </row>
    <row r="994" spans="1:3" x14ac:dyDescent="0.3">
      <c r="A994" s="5" t="s">
        <v>1670</v>
      </c>
      <c r="B994" t="s">
        <v>7528</v>
      </c>
      <c r="C994" t="str">
        <f>IFERROR(VLOOKUP(ILACLISTE[[#This Row],[NAME]],Table5[#All],2,0),"")</f>
        <v/>
      </c>
    </row>
    <row r="995" spans="1:3" x14ac:dyDescent="0.3">
      <c r="A995" s="5" t="s">
        <v>1671</v>
      </c>
      <c r="B995" t="s">
        <v>7529</v>
      </c>
      <c r="C995" t="str">
        <f>IFERROR(VLOOKUP(ILACLISTE[[#This Row],[NAME]],Table5[#All],2,0),"")</f>
        <v/>
      </c>
    </row>
    <row r="996" spans="1:3" x14ac:dyDescent="0.3">
      <c r="A996" s="5" t="s">
        <v>1672</v>
      </c>
      <c r="B996" t="s">
        <v>7530</v>
      </c>
      <c r="C996" t="str">
        <f>IFERROR(VLOOKUP(ILACLISTE[[#This Row],[NAME]],Table5[#All],2,0),"")</f>
        <v/>
      </c>
    </row>
    <row r="997" spans="1:3" x14ac:dyDescent="0.3">
      <c r="A997" s="5" t="s">
        <v>1673</v>
      </c>
      <c r="B997" t="s">
        <v>7531</v>
      </c>
      <c r="C997" t="str">
        <f>IFERROR(VLOOKUP(ILACLISTE[[#This Row],[NAME]],Table5[#All],2,0),"")</f>
        <v/>
      </c>
    </row>
    <row r="998" spans="1:3" x14ac:dyDescent="0.3">
      <c r="A998" s="5" t="s">
        <v>1674</v>
      </c>
      <c r="B998" t="s">
        <v>7532</v>
      </c>
      <c r="C998" t="str">
        <f>IFERROR(VLOOKUP(ILACLISTE[[#This Row],[NAME]],Table5[#All],2,0),"")</f>
        <v/>
      </c>
    </row>
    <row r="999" spans="1:3" x14ac:dyDescent="0.3">
      <c r="A999" s="5" t="s">
        <v>1675</v>
      </c>
      <c r="B999" t="s">
        <v>7533</v>
      </c>
      <c r="C999" t="str">
        <f>IFERROR(VLOOKUP(ILACLISTE[[#This Row],[NAME]],Table5[#All],2,0),"")</f>
        <v/>
      </c>
    </row>
    <row r="1000" spans="1:3" x14ac:dyDescent="0.3">
      <c r="A1000" s="5" t="s">
        <v>1676</v>
      </c>
      <c r="B1000" t="s">
        <v>7534</v>
      </c>
      <c r="C1000" t="str">
        <f>IFERROR(VLOOKUP(ILACLISTE[[#This Row],[NAME]],Table5[#All],2,0),"")</f>
        <v/>
      </c>
    </row>
    <row r="1001" spans="1:3" x14ac:dyDescent="0.3">
      <c r="A1001" s="5" t="s">
        <v>1677</v>
      </c>
      <c r="B1001" t="s">
        <v>7535</v>
      </c>
      <c r="C1001" t="str">
        <f>IFERROR(VLOOKUP(ILACLISTE[[#This Row],[NAME]],Table5[#All],2,0),"")</f>
        <v/>
      </c>
    </row>
    <row r="1002" spans="1:3" x14ac:dyDescent="0.3">
      <c r="A1002" s="5" t="s">
        <v>1678</v>
      </c>
      <c r="B1002" t="s">
        <v>7536</v>
      </c>
      <c r="C1002" t="str">
        <f>IFERROR(VLOOKUP(ILACLISTE[[#This Row],[NAME]],Table5[#All],2,0),"")</f>
        <v/>
      </c>
    </row>
    <row r="1003" spans="1:3" x14ac:dyDescent="0.3">
      <c r="A1003" s="5" t="s">
        <v>1679</v>
      </c>
      <c r="B1003" t="s">
        <v>7537</v>
      </c>
      <c r="C1003" t="str">
        <f>IFERROR(VLOOKUP(ILACLISTE[[#This Row],[NAME]],Table5[#All],2,0),"")</f>
        <v/>
      </c>
    </row>
    <row r="1004" spans="1:3" x14ac:dyDescent="0.3">
      <c r="A1004" s="5" t="s">
        <v>1680</v>
      </c>
      <c r="B1004" t="s">
        <v>124</v>
      </c>
      <c r="C1004" t="str">
        <f>IFERROR(VLOOKUP(ILACLISTE[[#This Row],[NAME]],Table5[#All],2,0),"")</f>
        <v/>
      </c>
    </row>
    <row r="1005" spans="1:3" x14ac:dyDescent="0.3">
      <c r="A1005" s="5" t="s">
        <v>1681</v>
      </c>
      <c r="B1005" t="s">
        <v>7538</v>
      </c>
      <c r="C1005" t="str">
        <f>IFERROR(VLOOKUP(ILACLISTE[[#This Row],[NAME]],Table5[#All],2,0),"")</f>
        <v/>
      </c>
    </row>
    <row r="1006" spans="1:3" x14ac:dyDescent="0.3">
      <c r="A1006" s="5" t="s">
        <v>1682</v>
      </c>
      <c r="B1006" t="s">
        <v>7539</v>
      </c>
      <c r="C1006" t="str">
        <f>IFERROR(VLOOKUP(ILACLISTE[[#This Row],[NAME]],Table5[#All],2,0),"")</f>
        <v/>
      </c>
    </row>
    <row r="1007" spans="1:3" x14ac:dyDescent="0.3">
      <c r="A1007" s="5" t="s">
        <v>1683</v>
      </c>
      <c r="B1007" t="s">
        <v>7540</v>
      </c>
      <c r="C1007" t="str">
        <f>IFERROR(VLOOKUP(ILACLISTE[[#This Row],[NAME]],Table5[#All],2,0),"")</f>
        <v/>
      </c>
    </row>
    <row r="1008" spans="1:3" x14ac:dyDescent="0.3">
      <c r="A1008" s="5" t="s">
        <v>1684</v>
      </c>
      <c r="B1008" t="s">
        <v>7541</v>
      </c>
      <c r="C1008" t="str">
        <f>IFERROR(VLOOKUP(ILACLISTE[[#This Row],[NAME]],Table5[#All],2,0),"")</f>
        <v/>
      </c>
    </row>
    <row r="1009" spans="1:3" x14ac:dyDescent="0.3">
      <c r="A1009" s="5" t="s">
        <v>1685</v>
      </c>
      <c r="B1009" t="s">
        <v>7542</v>
      </c>
      <c r="C1009" t="str">
        <f>IFERROR(VLOOKUP(ILACLISTE[[#This Row],[NAME]],Table5[#All],2,0),"")</f>
        <v/>
      </c>
    </row>
    <row r="1010" spans="1:3" x14ac:dyDescent="0.3">
      <c r="A1010" s="5" t="s">
        <v>1686</v>
      </c>
      <c r="B1010" t="s">
        <v>7543</v>
      </c>
      <c r="C1010" t="str">
        <f>IFERROR(VLOOKUP(ILACLISTE[[#This Row],[NAME]],Table5[#All],2,0),"")</f>
        <v/>
      </c>
    </row>
    <row r="1011" spans="1:3" x14ac:dyDescent="0.3">
      <c r="A1011" s="5" t="s">
        <v>1687</v>
      </c>
      <c r="B1011" t="s">
        <v>7544</v>
      </c>
      <c r="C1011" t="str">
        <f>IFERROR(VLOOKUP(ILACLISTE[[#This Row],[NAME]],Table5[#All],2,0),"")</f>
        <v/>
      </c>
    </row>
    <row r="1012" spans="1:3" x14ac:dyDescent="0.3">
      <c r="A1012" s="5" t="s">
        <v>1688</v>
      </c>
      <c r="B1012" t="s">
        <v>7545</v>
      </c>
      <c r="C1012" t="str">
        <f>IFERROR(VLOOKUP(ILACLISTE[[#This Row],[NAME]],Table5[#All],2,0),"")</f>
        <v/>
      </c>
    </row>
    <row r="1013" spans="1:3" x14ac:dyDescent="0.3">
      <c r="A1013" s="5" t="s">
        <v>1689</v>
      </c>
      <c r="B1013" t="s">
        <v>7546</v>
      </c>
      <c r="C1013" t="str">
        <f>IFERROR(VLOOKUP(ILACLISTE[[#This Row],[NAME]],Table5[#All],2,0),"")</f>
        <v/>
      </c>
    </row>
    <row r="1014" spans="1:3" x14ac:dyDescent="0.3">
      <c r="A1014" s="5" t="s">
        <v>1690</v>
      </c>
      <c r="B1014" t="s">
        <v>7547</v>
      </c>
      <c r="C1014" t="str">
        <f>IFERROR(VLOOKUP(ILACLISTE[[#This Row],[NAME]],Table5[#All],2,0),"")</f>
        <v/>
      </c>
    </row>
    <row r="1015" spans="1:3" x14ac:dyDescent="0.3">
      <c r="A1015" s="5" t="s">
        <v>1691</v>
      </c>
      <c r="B1015" t="s">
        <v>7548</v>
      </c>
      <c r="C1015" t="str">
        <f>IFERROR(VLOOKUP(ILACLISTE[[#This Row],[NAME]],Table5[#All],2,0),"")</f>
        <v/>
      </c>
    </row>
    <row r="1016" spans="1:3" x14ac:dyDescent="0.3">
      <c r="A1016" s="5" t="s">
        <v>1692</v>
      </c>
      <c r="B1016" t="s">
        <v>7549</v>
      </c>
      <c r="C1016" t="str">
        <f>IFERROR(VLOOKUP(ILACLISTE[[#This Row],[NAME]],Table5[#All],2,0),"")</f>
        <v/>
      </c>
    </row>
    <row r="1017" spans="1:3" x14ac:dyDescent="0.3">
      <c r="A1017" s="5" t="s">
        <v>1693</v>
      </c>
      <c r="B1017" t="s">
        <v>7550</v>
      </c>
      <c r="C1017" t="str">
        <f>IFERROR(VLOOKUP(ILACLISTE[[#This Row],[NAME]],Table5[#All],2,0),"")</f>
        <v/>
      </c>
    </row>
    <row r="1018" spans="1:3" x14ac:dyDescent="0.3">
      <c r="A1018" s="5" t="s">
        <v>1694</v>
      </c>
      <c r="B1018" t="s">
        <v>7551</v>
      </c>
      <c r="C1018" t="str">
        <f>IFERROR(VLOOKUP(ILACLISTE[[#This Row],[NAME]],Table5[#All],2,0),"")</f>
        <v/>
      </c>
    </row>
    <row r="1019" spans="1:3" x14ac:dyDescent="0.3">
      <c r="A1019" s="5" t="s">
        <v>1695</v>
      </c>
      <c r="B1019" t="s">
        <v>7552</v>
      </c>
      <c r="C1019" t="str">
        <f>IFERROR(VLOOKUP(ILACLISTE[[#This Row],[NAME]],Table5[#All],2,0),"")</f>
        <v/>
      </c>
    </row>
    <row r="1020" spans="1:3" x14ac:dyDescent="0.3">
      <c r="A1020" s="5" t="s">
        <v>1696</v>
      </c>
      <c r="B1020" t="s">
        <v>7553</v>
      </c>
      <c r="C1020" t="str">
        <f>IFERROR(VLOOKUP(ILACLISTE[[#This Row],[NAME]],Table5[#All],2,0),"")</f>
        <v/>
      </c>
    </row>
    <row r="1021" spans="1:3" x14ac:dyDescent="0.3">
      <c r="A1021" s="5" t="s">
        <v>1697</v>
      </c>
      <c r="B1021" t="s">
        <v>7554</v>
      </c>
      <c r="C1021" t="str">
        <f>IFERROR(VLOOKUP(ILACLISTE[[#This Row],[NAME]],Table5[#All],2,0),"")</f>
        <v/>
      </c>
    </row>
    <row r="1022" spans="1:3" x14ac:dyDescent="0.3">
      <c r="A1022" s="5" t="s">
        <v>1698</v>
      </c>
      <c r="B1022" t="s">
        <v>7555</v>
      </c>
      <c r="C1022" t="str">
        <f>IFERROR(VLOOKUP(ILACLISTE[[#This Row],[NAME]],Table5[#All],2,0),"")</f>
        <v/>
      </c>
    </row>
    <row r="1023" spans="1:3" x14ac:dyDescent="0.3">
      <c r="A1023" s="5" t="s">
        <v>1699</v>
      </c>
      <c r="B1023" t="s">
        <v>7556</v>
      </c>
      <c r="C1023" t="str">
        <f>IFERROR(VLOOKUP(ILACLISTE[[#This Row],[NAME]],Table5[#All],2,0),"")</f>
        <v/>
      </c>
    </row>
    <row r="1024" spans="1:3" x14ac:dyDescent="0.3">
      <c r="A1024" s="5" t="s">
        <v>1700</v>
      </c>
      <c r="B1024" t="s">
        <v>7557</v>
      </c>
      <c r="C1024" t="str">
        <f>IFERROR(VLOOKUP(ILACLISTE[[#This Row],[NAME]],Table5[#All],2,0),"")</f>
        <v/>
      </c>
    </row>
    <row r="1025" spans="1:3" x14ac:dyDescent="0.3">
      <c r="A1025" s="5" t="s">
        <v>1701</v>
      </c>
      <c r="B1025" t="s">
        <v>7558</v>
      </c>
      <c r="C1025" t="str">
        <f>IFERROR(VLOOKUP(ILACLISTE[[#This Row],[NAME]],Table5[#All],2,0),"")</f>
        <v/>
      </c>
    </row>
    <row r="1026" spans="1:3" x14ac:dyDescent="0.3">
      <c r="A1026" s="5" t="s">
        <v>1702</v>
      </c>
      <c r="B1026" t="s">
        <v>7559</v>
      </c>
      <c r="C1026" t="str">
        <f>IFERROR(VLOOKUP(ILACLISTE[[#This Row],[NAME]],Table5[#All],2,0),"")</f>
        <v/>
      </c>
    </row>
    <row r="1027" spans="1:3" x14ac:dyDescent="0.3">
      <c r="A1027" s="5" t="s">
        <v>1703</v>
      </c>
      <c r="B1027" t="s">
        <v>7560</v>
      </c>
      <c r="C1027" t="str">
        <f>IFERROR(VLOOKUP(ILACLISTE[[#This Row],[NAME]],Table5[#All],2,0),"")</f>
        <v/>
      </c>
    </row>
    <row r="1028" spans="1:3" x14ac:dyDescent="0.3">
      <c r="A1028" s="5" t="s">
        <v>1704</v>
      </c>
      <c r="B1028" t="s">
        <v>7561</v>
      </c>
      <c r="C1028" t="str">
        <f>IFERROR(VLOOKUP(ILACLISTE[[#This Row],[NAME]],Table5[#All],2,0),"")</f>
        <v/>
      </c>
    </row>
    <row r="1029" spans="1:3" x14ac:dyDescent="0.3">
      <c r="A1029" s="5" t="s">
        <v>1705</v>
      </c>
      <c r="B1029" t="s">
        <v>125</v>
      </c>
      <c r="C1029" t="str">
        <f>IFERROR(VLOOKUP(ILACLISTE[[#This Row],[NAME]],Table5[#All],2,0),"")</f>
        <v/>
      </c>
    </row>
    <row r="1030" spans="1:3" x14ac:dyDescent="0.3">
      <c r="A1030" s="5" t="s">
        <v>1706</v>
      </c>
      <c r="B1030" t="s">
        <v>7562</v>
      </c>
      <c r="C1030" t="str">
        <f>IFERROR(VLOOKUP(ILACLISTE[[#This Row],[NAME]],Table5[#All],2,0),"")</f>
        <v/>
      </c>
    </row>
    <row r="1031" spans="1:3" x14ac:dyDescent="0.3">
      <c r="A1031" s="5" t="s">
        <v>7563</v>
      </c>
      <c r="B1031" t="s">
        <v>7564</v>
      </c>
      <c r="C1031" t="str">
        <f>IFERROR(VLOOKUP(ILACLISTE[[#This Row],[NAME]],Table5[#All],2,0),"")</f>
        <v/>
      </c>
    </row>
    <row r="1032" spans="1:3" x14ac:dyDescent="0.3">
      <c r="A1032" s="5" t="s">
        <v>7565</v>
      </c>
      <c r="B1032" t="s">
        <v>7566</v>
      </c>
      <c r="C1032" t="str">
        <f>IFERROR(VLOOKUP(ILACLISTE[[#This Row],[NAME]],Table5[#All],2,0),"")</f>
        <v/>
      </c>
    </row>
    <row r="1033" spans="1:3" x14ac:dyDescent="0.3">
      <c r="A1033" s="15" t="s">
        <v>12030</v>
      </c>
      <c r="B1033" t="s">
        <v>7567</v>
      </c>
      <c r="C1033" t="str">
        <f>IFERROR(VLOOKUP(ILACLISTE[[#This Row],[NAME]],Table5[#All],2,0),"")</f>
        <v/>
      </c>
    </row>
    <row r="1034" spans="1:3" x14ac:dyDescent="0.3">
      <c r="A1034" s="5" t="s">
        <v>7568</v>
      </c>
      <c r="B1034" t="s">
        <v>7569</v>
      </c>
      <c r="C1034" t="str">
        <f>IFERROR(VLOOKUP(ILACLISTE[[#This Row],[NAME]],Table5[#All],2,0),"")</f>
        <v/>
      </c>
    </row>
    <row r="1035" spans="1:3" x14ac:dyDescent="0.3">
      <c r="A1035" s="5" t="s">
        <v>7570</v>
      </c>
      <c r="B1035" t="s">
        <v>7571</v>
      </c>
      <c r="C1035" t="str">
        <f>IFERROR(VLOOKUP(ILACLISTE[[#This Row],[NAME]],Table5[#All],2,0),"")</f>
        <v/>
      </c>
    </row>
    <row r="1036" spans="1:3" x14ac:dyDescent="0.3">
      <c r="A1036" s="5" t="s">
        <v>7572</v>
      </c>
      <c r="B1036" t="s">
        <v>7573</v>
      </c>
      <c r="C1036" t="str">
        <f>IFERROR(VLOOKUP(ILACLISTE[[#This Row],[NAME]],Table5[#All],2,0),"")</f>
        <v/>
      </c>
    </row>
    <row r="1037" spans="1:3" x14ac:dyDescent="0.3">
      <c r="A1037" s="5" t="s">
        <v>1707</v>
      </c>
      <c r="B1037" t="s">
        <v>7574</v>
      </c>
      <c r="C1037" t="str">
        <f>IFERROR(VLOOKUP(ILACLISTE[[#This Row],[NAME]],Table5[#All],2,0),"")</f>
        <v/>
      </c>
    </row>
    <row r="1038" spans="1:3" x14ac:dyDescent="0.3">
      <c r="A1038" s="5" t="s">
        <v>1708</v>
      </c>
      <c r="B1038" t="s">
        <v>7575</v>
      </c>
      <c r="C1038" t="str">
        <f>IFERROR(VLOOKUP(ILACLISTE[[#This Row],[NAME]],Table5[#All],2,0),"")</f>
        <v/>
      </c>
    </row>
    <row r="1039" spans="1:3" x14ac:dyDescent="0.3">
      <c r="A1039" s="5" t="s">
        <v>1709</v>
      </c>
      <c r="B1039" t="s">
        <v>7576</v>
      </c>
      <c r="C1039" t="str">
        <f>IFERROR(VLOOKUP(ILACLISTE[[#This Row],[NAME]],Table5[#All],2,0),"")</f>
        <v/>
      </c>
    </row>
    <row r="1040" spans="1:3" x14ac:dyDescent="0.3">
      <c r="A1040" s="5" t="s">
        <v>1710</v>
      </c>
      <c r="B1040" t="s">
        <v>7577</v>
      </c>
      <c r="C1040" t="str">
        <f>IFERROR(VLOOKUP(ILACLISTE[[#This Row],[NAME]],Table5[#All],2,0),"")</f>
        <v/>
      </c>
    </row>
    <row r="1041" spans="1:3" x14ac:dyDescent="0.3">
      <c r="A1041" s="5" t="s">
        <v>1711</v>
      </c>
      <c r="B1041" t="s">
        <v>7578</v>
      </c>
      <c r="C1041" t="str">
        <f>IFERROR(VLOOKUP(ILACLISTE[[#This Row],[NAME]],Table5[#All],2,0),"")</f>
        <v/>
      </c>
    </row>
    <row r="1042" spans="1:3" x14ac:dyDescent="0.3">
      <c r="A1042" s="5" t="s">
        <v>1712</v>
      </c>
      <c r="B1042" t="s">
        <v>7579</v>
      </c>
      <c r="C1042" t="str">
        <f>IFERROR(VLOOKUP(ILACLISTE[[#This Row],[NAME]],Table5[#All],2,0),"")</f>
        <v/>
      </c>
    </row>
    <row r="1043" spans="1:3" x14ac:dyDescent="0.3">
      <c r="A1043" s="5" t="s">
        <v>1713</v>
      </c>
      <c r="B1043" t="s">
        <v>126</v>
      </c>
      <c r="C1043" t="str">
        <f>IFERROR(VLOOKUP(ILACLISTE[[#This Row],[NAME]],Table5[#All],2,0),"")</f>
        <v/>
      </c>
    </row>
    <row r="1044" spans="1:3" x14ac:dyDescent="0.3">
      <c r="A1044" s="5" t="s">
        <v>1714</v>
      </c>
      <c r="B1044" t="s">
        <v>127</v>
      </c>
      <c r="C1044" t="str">
        <f>IFERROR(VLOOKUP(ILACLISTE[[#This Row],[NAME]],Table5[#All],2,0),"")</f>
        <v/>
      </c>
    </row>
    <row r="1045" spans="1:3" x14ac:dyDescent="0.3">
      <c r="A1045" s="5" t="s">
        <v>1715</v>
      </c>
      <c r="B1045" t="s">
        <v>7580</v>
      </c>
      <c r="C1045" t="str">
        <f>IFERROR(VLOOKUP(ILACLISTE[[#This Row],[NAME]],Table5[#All],2,0),"")</f>
        <v/>
      </c>
    </row>
    <row r="1046" spans="1:3" x14ac:dyDescent="0.3">
      <c r="A1046" s="5" t="s">
        <v>1716</v>
      </c>
      <c r="B1046" t="s">
        <v>7581</v>
      </c>
      <c r="C1046" t="str">
        <f>IFERROR(VLOOKUP(ILACLISTE[[#This Row],[NAME]],Table5[#All],2,0),"")</f>
        <v/>
      </c>
    </row>
    <row r="1047" spans="1:3" x14ac:dyDescent="0.3">
      <c r="A1047" s="5" t="s">
        <v>1717</v>
      </c>
      <c r="B1047" t="s">
        <v>7582</v>
      </c>
      <c r="C1047" t="str">
        <f>IFERROR(VLOOKUP(ILACLISTE[[#This Row],[NAME]],Table5[#All],2,0),"")</f>
        <v/>
      </c>
    </row>
    <row r="1048" spans="1:3" x14ac:dyDescent="0.3">
      <c r="A1048" s="5" t="s">
        <v>1718</v>
      </c>
      <c r="B1048" t="s">
        <v>7583</v>
      </c>
      <c r="C1048" t="str">
        <f>IFERROR(VLOOKUP(ILACLISTE[[#This Row],[NAME]],Table5[#All],2,0),"")</f>
        <v/>
      </c>
    </row>
    <row r="1049" spans="1:3" x14ac:dyDescent="0.3">
      <c r="A1049" s="5" t="s">
        <v>1719</v>
      </c>
      <c r="B1049" t="s">
        <v>7584</v>
      </c>
      <c r="C1049" t="str">
        <f>IFERROR(VLOOKUP(ILACLISTE[[#This Row],[NAME]],Table5[#All],2,0),"")</f>
        <v/>
      </c>
    </row>
    <row r="1050" spans="1:3" x14ac:dyDescent="0.3">
      <c r="A1050" s="5" t="s">
        <v>7585</v>
      </c>
      <c r="B1050" t="s">
        <v>7586</v>
      </c>
      <c r="C1050" t="str">
        <f>IFERROR(VLOOKUP(ILACLISTE[[#This Row],[NAME]],Table5[#All],2,0),"")</f>
        <v/>
      </c>
    </row>
    <row r="1051" spans="1:3" x14ac:dyDescent="0.3">
      <c r="A1051" s="5" t="s">
        <v>1720</v>
      </c>
      <c r="B1051" t="s">
        <v>7587</v>
      </c>
      <c r="C1051" t="str">
        <f>IFERROR(VLOOKUP(ILACLISTE[[#This Row],[NAME]],Table5[#All],2,0),"")</f>
        <v/>
      </c>
    </row>
    <row r="1052" spans="1:3" x14ac:dyDescent="0.3">
      <c r="A1052" s="5" t="s">
        <v>1721</v>
      </c>
      <c r="B1052" t="s">
        <v>7588</v>
      </c>
      <c r="C1052" t="str">
        <f>IFERROR(VLOOKUP(ILACLISTE[[#This Row],[NAME]],Table5[#All],2,0),"")</f>
        <v/>
      </c>
    </row>
    <row r="1053" spans="1:3" x14ac:dyDescent="0.3">
      <c r="A1053" s="5" t="s">
        <v>1722</v>
      </c>
      <c r="B1053" t="s">
        <v>7589</v>
      </c>
      <c r="C1053" t="str">
        <f>IFERROR(VLOOKUP(ILACLISTE[[#This Row],[NAME]],Table5[#All],2,0),"")</f>
        <v/>
      </c>
    </row>
    <row r="1054" spans="1:3" x14ac:dyDescent="0.3">
      <c r="A1054" s="5" t="s">
        <v>1723</v>
      </c>
      <c r="B1054" t="s">
        <v>7590</v>
      </c>
      <c r="C1054" t="str">
        <f>IFERROR(VLOOKUP(ILACLISTE[[#This Row],[NAME]],Table5[#All],2,0),"")</f>
        <v/>
      </c>
    </row>
    <row r="1055" spans="1:3" x14ac:dyDescent="0.3">
      <c r="A1055" s="5" t="s">
        <v>1724</v>
      </c>
      <c r="B1055" t="s">
        <v>7591</v>
      </c>
      <c r="C1055" t="str">
        <f>IFERROR(VLOOKUP(ILACLISTE[[#This Row],[NAME]],Table5[#All],2,0),"")</f>
        <v/>
      </c>
    </row>
    <row r="1056" spans="1:3" x14ac:dyDescent="0.3">
      <c r="A1056" s="5" t="s">
        <v>1725</v>
      </c>
      <c r="B1056" t="s">
        <v>7592</v>
      </c>
      <c r="C1056" t="str">
        <f>IFERROR(VLOOKUP(ILACLISTE[[#This Row],[NAME]],Table5[#All],2,0),"")</f>
        <v/>
      </c>
    </row>
    <row r="1057" spans="1:3" x14ac:dyDescent="0.3">
      <c r="A1057" s="5" t="s">
        <v>1726</v>
      </c>
      <c r="B1057" t="s">
        <v>7593</v>
      </c>
      <c r="C1057" t="str">
        <f>IFERROR(VLOOKUP(ILACLISTE[[#This Row],[NAME]],Table5[#All],2,0),"")</f>
        <v/>
      </c>
    </row>
    <row r="1058" spans="1:3" x14ac:dyDescent="0.3">
      <c r="A1058" s="5" t="s">
        <v>1727</v>
      </c>
      <c r="B1058" t="s">
        <v>7594</v>
      </c>
      <c r="C1058" t="str">
        <f>IFERROR(VLOOKUP(ILACLISTE[[#This Row],[NAME]],Table5[#All],2,0),"")</f>
        <v/>
      </c>
    </row>
    <row r="1059" spans="1:3" x14ac:dyDescent="0.3">
      <c r="A1059" s="5" t="s">
        <v>1728</v>
      </c>
      <c r="B1059" t="s">
        <v>7595</v>
      </c>
      <c r="C1059" t="str">
        <f>IFERROR(VLOOKUP(ILACLISTE[[#This Row],[NAME]],Table5[#All],2,0),"")</f>
        <v/>
      </c>
    </row>
    <row r="1060" spans="1:3" x14ac:dyDescent="0.3">
      <c r="A1060" s="5" t="s">
        <v>1729</v>
      </c>
      <c r="B1060" t="s">
        <v>7596</v>
      </c>
      <c r="C1060" t="str">
        <f>IFERROR(VLOOKUP(ILACLISTE[[#This Row],[NAME]],Table5[#All],2,0),"")</f>
        <v/>
      </c>
    </row>
    <row r="1061" spans="1:3" x14ac:dyDescent="0.3">
      <c r="A1061" s="5" t="s">
        <v>1730</v>
      </c>
      <c r="B1061" t="s">
        <v>7597</v>
      </c>
      <c r="C1061" t="str">
        <f>IFERROR(VLOOKUP(ILACLISTE[[#This Row],[NAME]],Table5[#All],2,0),"")</f>
        <v/>
      </c>
    </row>
    <row r="1062" spans="1:3" x14ac:dyDescent="0.3">
      <c r="A1062" s="5" t="s">
        <v>1731</v>
      </c>
      <c r="B1062" t="s">
        <v>128</v>
      </c>
      <c r="C1062" t="str">
        <f>IFERROR(VLOOKUP(ILACLISTE[[#This Row],[NAME]],Table5[#All],2,0),"")</f>
        <v/>
      </c>
    </row>
    <row r="1063" spans="1:3" x14ac:dyDescent="0.3">
      <c r="A1063" s="5" t="s">
        <v>1732</v>
      </c>
      <c r="B1063" t="s">
        <v>7598</v>
      </c>
      <c r="C1063" t="str">
        <f>IFERROR(VLOOKUP(ILACLISTE[[#This Row],[NAME]],Table5[#All],2,0),"")</f>
        <v/>
      </c>
    </row>
    <row r="1064" spans="1:3" x14ac:dyDescent="0.3">
      <c r="A1064" s="5" t="s">
        <v>1733</v>
      </c>
      <c r="B1064" t="s">
        <v>7599</v>
      </c>
      <c r="C1064" t="str">
        <f>IFERROR(VLOOKUP(ILACLISTE[[#This Row],[NAME]],Table5[#All],2,0),"")</f>
        <v/>
      </c>
    </row>
    <row r="1065" spans="1:3" x14ac:dyDescent="0.3">
      <c r="A1065" s="5" t="s">
        <v>1734</v>
      </c>
      <c r="B1065" t="s">
        <v>129</v>
      </c>
      <c r="C1065" t="str">
        <f>IFERROR(VLOOKUP(ILACLISTE[[#This Row],[NAME]],Table5[#All],2,0),"")</f>
        <v/>
      </c>
    </row>
    <row r="1066" spans="1:3" x14ac:dyDescent="0.3">
      <c r="A1066" s="5" t="s">
        <v>1735</v>
      </c>
      <c r="B1066" t="s">
        <v>130</v>
      </c>
      <c r="C1066" t="str">
        <f>IFERROR(VLOOKUP(ILACLISTE[[#This Row],[NAME]],Table5[#All],2,0),"")</f>
        <v/>
      </c>
    </row>
    <row r="1067" spans="1:3" x14ac:dyDescent="0.3">
      <c r="A1067" s="5" t="s">
        <v>1736</v>
      </c>
      <c r="B1067" t="s">
        <v>131</v>
      </c>
      <c r="C1067" t="str">
        <f>IFERROR(VLOOKUP(ILACLISTE[[#This Row],[NAME]],Table5[#All],2,0),"")</f>
        <v/>
      </c>
    </row>
    <row r="1068" spans="1:3" x14ac:dyDescent="0.3">
      <c r="A1068" s="5" t="s">
        <v>1737</v>
      </c>
      <c r="B1068" t="s">
        <v>7600</v>
      </c>
      <c r="C1068" t="str">
        <f>IFERROR(VLOOKUP(ILACLISTE[[#This Row],[NAME]],Table5[#All],2,0),"")</f>
        <v/>
      </c>
    </row>
    <row r="1069" spans="1:3" x14ac:dyDescent="0.3">
      <c r="A1069" s="5" t="s">
        <v>1738</v>
      </c>
      <c r="B1069" t="s">
        <v>7601</v>
      </c>
      <c r="C1069" t="str">
        <f>IFERROR(VLOOKUP(ILACLISTE[[#This Row],[NAME]],Table5[#All],2,0),"")</f>
        <v/>
      </c>
    </row>
    <row r="1070" spans="1:3" x14ac:dyDescent="0.3">
      <c r="A1070" s="5" t="s">
        <v>1739</v>
      </c>
      <c r="B1070" t="s">
        <v>7602</v>
      </c>
      <c r="C1070" t="str">
        <f>IFERROR(VLOOKUP(ILACLISTE[[#This Row],[NAME]],Table5[#All],2,0),"")</f>
        <v/>
      </c>
    </row>
    <row r="1071" spans="1:3" x14ac:dyDescent="0.3">
      <c r="A1071" s="5" t="s">
        <v>1740</v>
      </c>
      <c r="B1071" t="s">
        <v>7603</v>
      </c>
      <c r="C1071" t="str">
        <f>IFERROR(VLOOKUP(ILACLISTE[[#This Row],[NAME]],Table5[#All],2,0),"")</f>
        <v/>
      </c>
    </row>
    <row r="1072" spans="1:3" x14ac:dyDescent="0.3">
      <c r="A1072" s="5" t="s">
        <v>1741</v>
      </c>
      <c r="B1072" t="s">
        <v>7604</v>
      </c>
      <c r="C1072" t="str">
        <f>IFERROR(VLOOKUP(ILACLISTE[[#This Row],[NAME]],Table5[#All],2,0),"")</f>
        <v/>
      </c>
    </row>
    <row r="1073" spans="1:3" x14ac:dyDescent="0.3">
      <c r="A1073" s="5" t="s">
        <v>1742</v>
      </c>
      <c r="B1073" t="s">
        <v>7605</v>
      </c>
      <c r="C1073" t="str">
        <f>IFERROR(VLOOKUP(ILACLISTE[[#This Row],[NAME]],Table5[#All],2,0),"")</f>
        <v/>
      </c>
    </row>
    <row r="1074" spans="1:3" x14ac:dyDescent="0.3">
      <c r="A1074" s="5" t="s">
        <v>1743</v>
      </c>
      <c r="B1074" t="s">
        <v>7606</v>
      </c>
      <c r="C1074" t="str">
        <f>IFERROR(VLOOKUP(ILACLISTE[[#This Row],[NAME]],Table5[#All],2,0),"")</f>
        <v/>
      </c>
    </row>
    <row r="1075" spans="1:3" x14ac:dyDescent="0.3">
      <c r="A1075" s="5" t="s">
        <v>1744</v>
      </c>
      <c r="B1075" t="s">
        <v>7607</v>
      </c>
      <c r="C1075" t="str">
        <f>IFERROR(VLOOKUP(ILACLISTE[[#This Row],[NAME]],Table5[#All],2,0),"")</f>
        <v/>
      </c>
    </row>
    <row r="1076" spans="1:3" x14ac:dyDescent="0.3">
      <c r="A1076" s="5" t="s">
        <v>1745</v>
      </c>
      <c r="B1076" t="s">
        <v>7608</v>
      </c>
      <c r="C1076" t="str">
        <f>IFERROR(VLOOKUP(ILACLISTE[[#This Row],[NAME]],Table5[#All],2,0),"")</f>
        <v/>
      </c>
    </row>
    <row r="1077" spans="1:3" x14ac:dyDescent="0.3">
      <c r="A1077" s="5" t="s">
        <v>1746</v>
      </c>
      <c r="B1077" t="s">
        <v>7609</v>
      </c>
      <c r="C1077" t="str">
        <f>IFERROR(VLOOKUP(ILACLISTE[[#This Row],[NAME]],Table5[#All],2,0),"")</f>
        <v/>
      </c>
    </row>
    <row r="1078" spans="1:3" x14ac:dyDescent="0.3">
      <c r="A1078" s="5" t="s">
        <v>1747</v>
      </c>
      <c r="B1078" t="s">
        <v>7610</v>
      </c>
      <c r="C1078" t="str">
        <f>IFERROR(VLOOKUP(ILACLISTE[[#This Row],[NAME]],Table5[#All],2,0),"")</f>
        <v/>
      </c>
    </row>
    <row r="1079" spans="1:3" x14ac:dyDescent="0.3">
      <c r="A1079" s="5" t="s">
        <v>1748</v>
      </c>
      <c r="B1079" t="s">
        <v>7611</v>
      </c>
      <c r="C1079" t="str">
        <f>IFERROR(VLOOKUP(ILACLISTE[[#This Row],[NAME]],Table5[#All],2,0),"")</f>
        <v/>
      </c>
    </row>
    <row r="1080" spans="1:3" x14ac:dyDescent="0.3">
      <c r="A1080" s="5" t="s">
        <v>1749</v>
      </c>
      <c r="B1080" t="s">
        <v>7612</v>
      </c>
      <c r="C1080" t="str">
        <f>IFERROR(VLOOKUP(ILACLISTE[[#This Row],[NAME]],Table5[#All],2,0),"")</f>
        <v/>
      </c>
    </row>
    <row r="1081" spans="1:3" x14ac:dyDescent="0.3">
      <c r="A1081" s="5" t="s">
        <v>1750</v>
      </c>
      <c r="B1081" t="s">
        <v>7613</v>
      </c>
      <c r="C1081" t="str">
        <f>IFERROR(VLOOKUP(ILACLISTE[[#This Row],[NAME]],Table5[#All],2,0),"")</f>
        <v/>
      </c>
    </row>
    <row r="1082" spans="1:3" x14ac:dyDescent="0.3">
      <c r="A1082" s="5" t="s">
        <v>1751</v>
      </c>
      <c r="B1082" t="s">
        <v>132</v>
      </c>
      <c r="C1082" t="str">
        <f>IFERROR(VLOOKUP(ILACLISTE[[#This Row],[NAME]],Table5[#All],2,0),"")</f>
        <v/>
      </c>
    </row>
    <row r="1083" spans="1:3" x14ac:dyDescent="0.3">
      <c r="A1083" s="5" t="s">
        <v>1752</v>
      </c>
      <c r="B1083" t="s">
        <v>7614</v>
      </c>
      <c r="C1083" t="str">
        <f>IFERROR(VLOOKUP(ILACLISTE[[#This Row],[NAME]],Table5[#All],2,0),"")</f>
        <v/>
      </c>
    </row>
    <row r="1084" spans="1:3" x14ac:dyDescent="0.3">
      <c r="A1084" s="5" t="s">
        <v>1753</v>
      </c>
      <c r="B1084" t="s">
        <v>7615</v>
      </c>
      <c r="C1084" t="str">
        <f>IFERROR(VLOOKUP(ILACLISTE[[#This Row],[NAME]],Table5[#All],2,0),"")</f>
        <v/>
      </c>
    </row>
    <row r="1085" spans="1:3" x14ac:dyDescent="0.3">
      <c r="A1085" s="5" t="s">
        <v>1754</v>
      </c>
      <c r="B1085" t="s">
        <v>7616</v>
      </c>
      <c r="C1085" t="str">
        <f>IFERROR(VLOOKUP(ILACLISTE[[#This Row],[NAME]],Table5[#All],2,0),"")</f>
        <v/>
      </c>
    </row>
    <row r="1086" spans="1:3" x14ac:dyDescent="0.3">
      <c r="A1086" s="5" t="s">
        <v>1755</v>
      </c>
      <c r="B1086" t="s">
        <v>7617</v>
      </c>
      <c r="C1086" t="str">
        <f>IFERROR(VLOOKUP(ILACLISTE[[#This Row],[NAME]],Table5[#All],2,0),"")</f>
        <v/>
      </c>
    </row>
    <row r="1087" spans="1:3" x14ac:dyDescent="0.3">
      <c r="A1087" s="5" t="s">
        <v>1756</v>
      </c>
      <c r="B1087" t="s">
        <v>133</v>
      </c>
      <c r="C1087" t="str">
        <f>IFERROR(VLOOKUP(ILACLISTE[[#This Row],[NAME]],Table5[#All],2,0),"")</f>
        <v/>
      </c>
    </row>
    <row r="1088" spans="1:3" x14ac:dyDescent="0.3">
      <c r="A1088" s="5" t="s">
        <v>1757</v>
      </c>
      <c r="B1088" t="s">
        <v>7618</v>
      </c>
      <c r="C1088" t="str">
        <f>IFERROR(VLOOKUP(ILACLISTE[[#This Row],[NAME]],Table5[#All],2,0),"")</f>
        <v/>
      </c>
    </row>
    <row r="1089" spans="1:3" x14ac:dyDescent="0.3">
      <c r="A1089" s="5" t="s">
        <v>1758</v>
      </c>
      <c r="B1089" t="s">
        <v>7619</v>
      </c>
      <c r="C1089" t="str">
        <f>IFERROR(VLOOKUP(ILACLISTE[[#This Row],[NAME]],Table5[#All],2,0),"")</f>
        <v/>
      </c>
    </row>
    <row r="1090" spans="1:3" x14ac:dyDescent="0.3">
      <c r="A1090" s="5" t="s">
        <v>1759</v>
      </c>
      <c r="B1090" t="s">
        <v>7620</v>
      </c>
      <c r="C1090" t="str">
        <f>IFERROR(VLOOKUP(ILACLISTE[[#This Row],[NAME]],Table5[#All],2,0),"")</f>
        <v/>
      </c>
    </row>
    <row r="1091" spans="1:3" x14ac:dyDescent="0.3">
      <c r="A1091" s="5" t="s">
        <v>1760</v>
      </c>
      <c r="B1091" t="s">
        <v>7621</v>
      </c>
      <c r="C1091" t="str">
        <f>IFERROR(VLOOKUP(ILACLISTE[[#This Row],[NAME]],Table5[#All],2,0),"")</f>
        <v/>
      </c>
    </row>
    <row r="1092" spans="1:3" x14ac:dyDescent="0.3">
      <c r="A1092" s="5" t="s">
        <v>1761</v>
      </c>
      <c r="B1092" t="s">
        <v>7622</v>
      </c>
      <c r="C1092" t="str">
        <f>IFERROR(VLOOKUP(ILACLISTE[[#This Row],[NAME]],Table5[#All],2,0),"")</f>
        <v/>
      </c>
    </row>
    <row r="1093" spans="1:3" x14ac:dyDescent="0.3">
      <c r="A1093" s="5" t="s">
        <v>1762</v>
      </c>
      <c r="B1093" t="s">
        <v>7623</v>
      </c>
      <c r="C1093" t="str">
        <f>IFERROR(VLOOKUP(ILACLISTE[[#This Row],[NAME]],Table5[#All],2,0),"")</f>
        <v/>
      </c>
    </row>
    <row r="1094" spans="1:3" x14ac:dyDescent="0.3">
      <c r="A1094" s="5" t="s">
        <v>1763</v>
      </c>
      <c r="B1094" t="s">
        <v>7624</v>
      </c>
      <c r="C1094" t="str">
        <f>IFERROR(VLOOKUP(ILACLISTE[[#This Row],[NAME]],Table5[#All],2,0),"")</f>
        <v/>
      </c>
    </row>
    <row r="1095" spans="1:3" x14ac:dyDescent="0.3">
      <c r="A1095" s="5" t="s">
        <v>1764</v>
      </c>
      <c r="B1095" t="s">
        <v>7625</v>
      </c>
      <c r="C1095" t="str">
        <f>IFERROR(VLOOKUP(ILACLISTE[[#This Row],[NAME]],Table5[#All],2,0),"")</f>
        <v/>
      </c>
    </row>
    <row r="1096" spans="1:3" x14ac:dyDescent="0.3">
      <c r="A1096" s="5" t="s">
        <v>1765</v>
      </c>
      <c r="B1096" t="s">
        <v>7626</v>
      </c>
      <c r="C1096" t="str">
        <f>IFERROR(VLOOKUP(ILACLISTE[[#This Row],[NAME]],Table5[#All],2,0),"")</f>
        <v/>
      </c>
    </row>
    <row r="1097" spans="1:3" x14ac:dyDescent="0.3">
      <c r="A1097" s="5" t="s">
        <v>1766</v>
      </c>
      <c r="B1097" t="s">
        <v>7627</v>
      </c>
      <c r="C1097" t="str">
        <f>IFERROR(VLOOKUP(ILACLISTE[[#This Row],[NAME]],Table5[#All],2,0),"")</f>
        <v/>
      </c>
    </row>
    <row r="1098" spans="1:3" x14ac:dyDescent="0.3">
      <c r="A1098" s="5" t="s">
        <v>1767</v>
      </c>
      <c r="B1098" t="s">
        <v>7628</v>
      </c>
      <c r="C1098" t="str">
        <f>IFERROR(VLOOKUP(ILACLISTE[[#This Row],[NAME]],Table5[#All],2,0),"")</f>
        <v/>
      </c>
    </row>
    <row r="1099" spans="1:3" x14ac:dyDescent="0.3">
      <c r="A1099" s="5" t="s">
        <v>1768</v>
      </c>
      <c r="B1099" t="s">
        <v>7629</v>
      </c>
      <c r="C1099" t="str">
        <f>IFERROR(VLOOKUP(ILACLISTE[[#This Row],[NAME]],Table5[#All],2,0),"")</f>
        <v/>
      </c>
    </row>
    <row r="1100" spans="1:3" x14ac:dyDescent="0.3">
      <c r="A1100" s="5" t="s">
        <v>1769</v>
      </c>
      <c r="B1100" t="s">
        <v>7630</v>
      </c>
      <c r="C1100" t="str">
        <f>IFERROR(VLOOKUP(ILACLISTE[[#This Row],[NAME]],Table5[#All],2,0),"")</f>
        <v/>
      </c>
    </row>
    <row r="1101" spans="1:3" x14ac:dyDescent="0.3">
      <c r="A1101" s="5" t="s">
        <v>1770</v>
      </c>
      <c r="B1101" t="s">
        <v>7631</v>
      </c>
      <c r="C1101" t="str">
        <f>IFERROR(VLOOKUP(ILACLISTE[[#This Row],[NAME]],Table5[#All],2,0),"")</f>
        <v/>
      </c>
    </row>
    <row r="1102" spans="1:3" x14ac:dyDescent="0.3">
      <c r="A1102" s="5" t="s">
        <v>1771</v>
      </c>
      <c r="B1102" t="s">
        <v>7632</v>
      </c>
      <c r="C1102" t="str">
        <f>IFERROR(VLOOKUP(ILACLISTE[[#This Row],[NAME]],Table5[#All],2,0),"")</f>
        <v/>
      </c>
    </row>
    <row r="1103" spans="1:3" x14ac:dyDescent="0.3">
      <c r="A1103" s="5" t="s">
        <v>1772</v>
      </c>
      <c r="B1103" t="s">
        <v>7633</v>
      </c>
      <c r="C1103" t="str">
        <f>IFERROR(VLOOKUP(ILACLISTE[[#This Row],[NAME]],Table5[#All],2,0),"")</f>
        <v/>
      </c>
    </row>
    <row r="1104" spans="1:3" x14ac:dyDescent="0.3">
      <c r="A1104" s="5" t="s">
        <v>1773</v>
      </c>
      <c r="B1104" t="s">
        <v>7634</v>
      </c>
      <c r="C1104" t="str">
        <f>IFERROR(VLOOKUP(ILACLISTE[[#This Row],[NAME]],Table5[#All],2,0),"")</f>
        <v/>
      </c>
    </row>
    <row r="1105" spans="1:3" x14ac:dyDescent="0.3">
      <c r="A1105" s="5" t="s">
        <v>1774</v>
      </c>
      <c r="B1105" t="s">
        <v>7635</v>
      </c>
      <c r="C1105" t="str">
        <f>IFERROR(VLOOKUP(ILACLISTE[[#This Row],[NAME]],Table5[#All],2,0),"")</f>
        <v/>
      </c>
    </row>
    <row r="1106" spans="1:3" x14ac:dyDescent="0.3">
      <c r="A1106" s="5" t="s">
        <v>1775</v>
      </c>
      <c r="B1106" t="s">
        <v>134</v>
      </c>
      <c r="C1106" t="str">
        <f>IFERROR(VLOOKUP(ILACLISTE[[#This Row],[NAME]],Table5[#All],2,0),"")</f>
        <v/>
      </c>
    </row>
    <row r="1107" spans="1:3" x14ac:dyDescent="0.3">
      <c r="A1107" s="5" t="s">
        <v>1776</v>
      </c>
      <c r="B1107" t="s">
        <v>7636</v>
      </c>
      <c r="C1107" t="str">
        <f>IFERROR(VLOOKUP(ILACLISTE[[#This Row],[NAME]],Table5[#All],2,0),"")</f>
        <v/>
      </c>
    </row>
    <row r="1108" spans="1:3" x14ac:dyDescent="0.3">
      <c r="A1108" s="5" t="s">
        <v>1777</v>
      </c>
      <c r="B1108" t="s">
        <v>7637</v>
      </c>
      <c r="C1108" t="str">
        <f>IFERROR(VLOOKUP(ILACLISTE[[#This Row],[NAME]],Table5[#All],2,0),"")</f>
        <v/>
      </c>
    </row>
    <row r="1109" spans="1:3" x14ac:dyDescent="0.3">
      <c r="A1109" s="5" t="s">
        <v>1778</v>
      </c>
      <c r="B1109" t="s">
        <v>7638</v>
      </c>
      <c r="C1109" t="str">
        <f>IFERROR(VLOOKUP(ILACLISTE[[#This Row],[NAME]],Table5[#All],2,0),"")</f>
        <v/>
      </c>
    </row>
    <row r="1110" spans="1:3" x14ac:dyDescent="0.3">
      <c r="A1110" s="5" t="s">
        <v>1779</v>
      </c>
      <c r="B1110" t="s">
        <v>7639</v>
      </c>
      <c r="C1110" t="str">
        <f>IFERROR(VLOOKUP(ILACLISTE[[#This Row],[NAME]],Table5[#All],2,0),"")</f>
        <v/>
      </c>
    </row>
    <row r="1111" spans="1:3" x14ac:dyDescent="0.3">
      <c r="A1111" s="5" t="s">
        <v>1780</v>
      </c>
      <c r="B1111" t="s">
        <v>7640</v>
      </c>
      <c r="C1111" t="str">
        <f>IFERROR(VLOOKUP(ILACLISTE[[#This Row],[NAME]],Table5[#All],2,0),"")</f>
        <v/>
      </c>
    </row>
    <row r="1112" spans="1:3" x14ac:dyDescent="0.3">
      <c r="A1112" s="5" t="s">
        <v>1781</v>
      </c>
      <c r="B1112" t="s">
        <v>7641</v>
      </c>
      <c r="C1112" t="str">
        <f>IFERROR(VLOOKUP(ILACLISTE[[#This Row],[NAME]],Table5[#All],2,0),"")</f>
        <v/>
      </c>
    </row>
    <row r="1113" spans="1:3" x14ac:dyDescent="0.3">
      <c r="A1113" s="5" t="s">
        <v>1782</v>
      </c>
      <c r="B1113" t="s">
        <v>7642</v>
      </c>
      <c r="C1113" t="str">
        <f>IFERROR(VLOOKUP(ILACLISTE[[#This Row],[NAME]],Table5[#All],2,0),"")</f>
        <v/>
      </c>
    </row>
    <row r="1114" spans="1:3" x14ac:dyDescent="0.3">
      <c r="A1114" s="5" t="s">
        <v>1783</v>
      </c>
      <c r="B1114" t="s">
        <v>7643</v>
      </c>
      <c r="C1114" t="str">
        <f>IFERROR(VLOOKUP(ILACLISTE[[#This Row],[NAME]],Table5[#All],2,0),"")</f>
        <v/>
      </c>
    </row>
    <row r="1115" spans="1:3" x14ac:dyDescent="0.3">
      <c r="A1115" s="5" t="s">
        <v>1784</v>
      </c>
      <c r="B1115" t="s">
        <v>7644</v>
      </c>
      <c r="C1115" t="str">
        <f>IFERROR(VLOOKUP(ILACLISTE[[#This Row],[NAME]],Table5[#All],2,0),"")</f>
        <v/>
      </c>
    </row>
    <row r="1116" spans="1:3" x14ac:dyDescent="0.3">
      <c r="A1116" s="5" t="s">
        <v>1785</v>
      </c>
      <c r="B1116" t="s">
        <v>7645</v>
      </c>
      <c r="C1116" t="str">
        <f>IFERROR(VLOOKUP(ILACLISTE[[#This Row],[NAME]],Table5[#All],2,0),"")</f>
        <v/>
      </c>
    </row>
    <row r="1117" spans="1:3" x14ac:dyDescent="0.3">
      <c r="A1117" s="5" t="s">
        <v>1786</v>
      </c>
      <c r="B1117" t="s">
        <v>7646</v>
      </c>
      <c r="C1117" t="str">
        <f>IFERROR(VLOOKUP(ILACLISTE[[#This Row],[NAME]],Table5[#All],2,0),"")</f>
        <v/>
      </c>
    </row>
    <row r="1118" spans="1:3" x14ac:dyDescent="0.3">
      <c r="A1118" s="5" t="s">
        <v>1787</v>
      </c>
      <c r="B1118" t="s">
        <v>7647</v>
      </c>
      <c r="C1118" t="str">
        <f>IFERROR(VLOOKUP(ILACLISTE[[#This Row],[NAME]],Table5[#All],2,0),"")</f>
        <v/>
      </c>
    </row>
    <row r="1119" spans="1:3" x14ac:dyDescent="0.3">
      <c r="A1119" s="5" t="s">
        <v>1788</v>
      </c>
      <c r="B1119" t="s">
        <v>7648</v>
      </c>
      <c r="C1119" t="str">
        <f>IFERROR(VLOOKUP(ILACLISTE[[#This Row],[NAME]],Table5[#All],2,0),"")</f>
        <v/>
      </c>
    </row>
    <row r="1120" spans="1:3" x14ac:dyDescent="0.3">
      <c r="A1120" s="5" t="s">
        <v>1789</v>
      </c>
      <c r="B1120" t="s">
        <v>7649</v>
      </c>
      <c r="C1120" t="str">
        <f>IFERROR(VLOOKUP(ILACLISTE[[#This Row],[NAME]],Table5[#All],2,0),"")</f>
        <v/>
      </c>
    </row>
    <row r="1121" spans="1:3" x14ac:dyDescent="0.3">
      <c r="A1121" s="5" t="s">
        <v>1790</v>
      </c>
      <c r="B1121" t="s">
        <v>7650</v>
      </c>
      <c r="C1121" t="str">
        <f>IFERROR(VLOOKUP(ILACLISTE[[#This Row],[NAME]],Table5[#All],2,0),"")</f>
        <v/>
      </c>
    </row>
    <row r="1122" spans="1:3" x14ac:dyDescent="0.3">
      <c r="A1122" s="5" t="s">
        <v>1791</v>
      </c>
      <c r="B1122" t="s">
        <v>135</v>
      </c>
      <c r="C1122" t="str">
        <f>IFERROR(VLOOKUP(ILACLISTE[[#This Row],[NAME]],Table5[#All],2,0),"")</f>
        <v/>
      </c>
    </row>
    <row r="1123" spans="1:3" x14ac:dyDescent="0.3">
      <c r="A1123" s="5" t="s">
        <v>1792</v>
      </c>
      <c r="B1123" t="s">
        <v>7651</v>
      </c>
      <c r="C1123" t="str">
        <f>IFERROR(VLOOKUP(ILACLISTE[[#This Row],[NAME]],Table5[#All],2,0),"")</f>
        <v/>
      </c>
    </row>
    <row r="1124" spans="1:3" x14ac:dyDescent="0.3">
      <c r="A1124" s="5" t="s">
        <v>1793</v>
      </c>
      <c r="B1124" t="s">
        <v>7652</v>
      </c>
      <c r="C1124" t="str">
        <f>IFERROR(VLOOKUP(ILACLISTE[[#This Row],[NAME]],Table5[#All],2,0),"")</f>
        <v/>
      </c>
    </row>
    <row r="1125" spans="1:3" x14ac:dyDescent="0.3">
      <c r="A1125" s="5" t="s">
        <v>1794</v>
      </c>
      <c r="B1125" t="s">
        <v>7653</v>
      </c>
      <c r="C1125" t="str">
        <f>IFERROR(VLOOKUP(ILACLISTE[[#This Row],[NAME]],Table5[#All],2,0),"")</f>
        <v/>
      </c>
    </row>
    <row r="1126" spans="1:3" x14ac:dyDescent="0.3">
      <c r="A1126" s="5" t="s">
        <v>1795</v>
      </c>
      <c r="B1126" t="s">
        <v>7654</v>
      </c>
      <c r="C1126" t="str">
        <f>IFERROR(VLOOKUP(ILACLISTE[[#This Row],[NAME]],Table5[#All],2,0),"")</f>
        <v/>
      </c>
    </row>
    <row r="1127" spans="1:3" x14ac:dyDescent="0.3">
      <c r="A1127" s="5" t="s">
        <v>1796</v>
      </c>
      <c r="B1127" t="s">
        <v>7655</v>
      </c>
      <c r="C1127" t="str">
        <f>IFERROR(VLOOKUP(ILACLISTE[[#This Row],[NAME]],Table5[#All],2,0),"")</f>
        <v/>
      </c>
    </row>
    <row r="1128" spans="1:3" x14ac:dyDescent="0.3">
      <c r="A1128" s="5" t="s">
        <v>1797</v>
      </c>
      <c r="B1128" t="s">
        <v>7656</v>
      </c>
      <c r="C1128" t="str">
        <f>IFERROR(VLOOKUP(ILACLISTE[[#This Row],[NAME]],Table5[#All],2,0),"")</f>
        <v/>
      </c>
    </row>
    <row r="1129" spans="1:3" x14ac:dyDescent="0.3">
      <c r="A1129" s="5" t="s">
        <v>1798</v>
      </c>
      <c r="B1129" t="s">
        <v>7657</v>
      </c>
      <c r="C1129" t="str">
        <f>IFERROR(VLOOKUP(ILACLISTE[[#This Row],[NAME]],Table5[#All],2,0),"")</f>
        <v/>
      </c>
    </row>
    <row r="1130" spans="1:3" x14ac:dyDescent="0.3">
      <c r="A1130" s="5" t="s">
        <v>1799</v>
      </c>
      <c r="B1130" t="s">
        <v>7658</v>
      </c>
      <c r="C1130" t="str">
        <f>IFERROR(VLOOKUP(ILACLISTE[[#This Row],[NAME]],Table5[#All],2,0),"")</f>
        <v/>
      </c>
    </row>
    <row r="1131" spans="1:3" x14ac:dyDescent="0.3">
      <c r="A1131" s="5" t="s">
        <v>1800</v>
      </c>
      <c r="B1131" t="s">
        <v>136</v>
      </c>
      <c r="C1131" t="str">
        <f>IFERROR(VLOOKUP(ILACLISTE[[#This Row],[NAME]],Table5[#All],2,0),"")</f>
        <v/>
      </c>
    </row>
    <row r="1132" spans="1:3" x14ac:dyDescent="0.3">
      <c r="A1132" s="5" t="s">
        <v>1801</v>
      </c>
      <c r="B1132" t="s">
        <v>137</v>
      </c>
      <c r="C1132" t="str">
        <f>IFERROR(VLOOKUP(ILACLISTE[[#This Row],[NAME]],Table5[#All],2,0),"")</f>
        <v/>
      </c>
    </row>
    <row r="1133" spans="1:3" x14ac:dyDescent="0.3">
      <c r="A1133" s="5" t="s">
        <v>1802</v>
      </c>
      <c r="B1133" t="s">
        <v>7659</v>
      </c>
      <c r="C1133" t="str">
        <f>IFERROR(VLOOKUP(ILACLISTE[[#This Row],[NAME]],Table5[#All],2,0),"")</f>
        <v/>
      </c>
    </row>
    <row r="1134" spans="1:3" x14ac:dyDescent="0.3">
      <c r="A1134" s="5" t="s">
        <v>1803</v>
      </c>
      <c r="B1134" t="s">
        <v>7660</v>
      </c>
      <c r="C1134" t="str">
        <f>IFERROR(VLOOKUP(ILACLISTE[[#This Row],[NAME]],Table5[#All],2,0),"")</f>
        <v/>
      </c>
    </row>
    <row r="1135" spans="1:3" x14ac:dyDescent="0.3">
      <c r="A1135" s="5" t="s">
        <v>1804</v>
      </c>
      <c r="B1135" t="s">
        <v>7661</v>
      </c>
      <c r="C1135" t="str">
        <f>IFERROR(VLOOKUP(ILACLISTE[[#This Row],[NAME]],Table5[#All],2,0),"")</f>
        <v/>
      </c>
    </row>
    <row r="1136" spans="1:3" x14ac:dyDescent="0.3">
      <c r="A1136" s="5" t="s">
        <v>1805</v>
      </c>
      <c r="B1136" t="s">
        <v>138</v>
      </c>
      <c r="C1136" t="str">
        <f>IFERROR(VLOOKUP(ILACLISTE[[#This Row],[NAME]],Table5[#All],2,0),"")</f>
        <v/>
      </c>
    </row>
    <row r="1137" spans="1:3" x14ac:dyDescent="0.3">
      <c r="A1137" s="5" t="s">
        <v>1806</v>
      </c>
      <c r="B1137" t="s">
        <v>7662</v>
      </c>
      <c r="C1137" t="str">
        <f>IFERROR(VLOOKUP(ILACLISTE[[#This Row],[NAME]],Table5[#All],2,0),"")</f>
        <v/>
      </c>
    </row>
    <row r="1138" spans="1:3" x14ac:dyDescent="0.3">
      <c r="A1138" s="5" t="s">
        <v>1807</v>
      </c>
      <c r="B1138" t="s">
        <v>7663</v>
      </c>
      <c r="C1138" t="str">
        <f>IFERROR(VLOOKUP(ILACLISTE[[#This Row],[NAME]],Table5[#All],2,0),"")</f>
        <v/>
      </c>
    </row>
    <row r="1139" spans="1:3" x14ac:dyDescent="0.3">
      <c r="A1139" s="5" t="s">
        <v>1808</v>
      </c>
      <c r="B1139" t="s">
        <v>7664</v>
      </c>
      <c r="C1139" t="str">
        <f>IFERROR(VLOOKUP(ILACLISTE[[#This Row],[NAME]],Table5[#All],2,0),"")</f>
        <v/>
      </c>
    </row>
    <row r="1140" spans="1:3" x14ac:dyDescent="0.3">
      <c r="A1140" s="5" t="s">
        <v>1809</v>
      </c>
      <c r="B1140" t="s">
        <v>7665</v>
      </c>
      <c r="C1140" t="str">
        <f>IFERROR(VLOOKUP(ILACLISTE[[#This Row],[NAME]],Table5[#All],2,0),"")</f>
        <v/>
      </c>
    </row>
    <row r="1141" spans="1:3" x14ac:dyDescent="0.3">
      <c r="A1141" s="5" t="s">
        <v>1810</v>
      </c>
      <c r="B1141" t="s">
        <v>7666</v>
      </c>
      <c r="C1141" t="str">
        <f>IFERROR(VLOOKUP(ILACLISTE[[#This Row],[NAME]],Table5[#All],2,0),"")</f>
        <v/>
      </c>
    </row>
    <row r="1142" spans="1:3" x14ac:dyDescent="0.3">
      <c r="A1142" s="5" t="s">
        <v>1811</v>
      </c>
      <c r="B1142" t="s">
        <v>7667</v>
      </c>
      <c r="C1142" t="str">
        <f>IFERROR(VLOOKUP(ILACLISTE[[#This Row],[NAME]],Table5[#All],2,0),"")</f>
        <v/>
      </c>
    </row>
    <row r="1143" spans="1:3" x14ac:dyDescent="0.3">
      <c r="A1143" s="5" t="s">
        <v>1812</v>
      </c>
      <c r="B1143" t="s">
        <v>7668</v>
      </c>
      <c r="C1143" t="str">
        <f>IFERROR(VLOOKUP(ILACLISTE[[#This Row],[NAME]],Table5[#All],2,0),"")</f>
        <v/>
      </c>
    </row>
    <row r="1144" spans="1:3" x14ac:dyDescent="0.3">
      <c r="A1144" s="5" t="s">
        <v>1813</v>
      </c>
      <c r="B1144" t="s">
        <v>139</v>
      </c>
      <c r="C1144" t="str">
        <f>IFERROR(VLOOKUP(ILACLISTE[[#This Row],[NAME]],Table5[#All],2,0),"")</f>
        <v/>
      </c>
    </row>
    <row r="1145" spans="1:3" x14ac:dyDescent="0.3">
      <c r="A1145" s="5" t="s">
        <v>1814</v>
      </c>
      <c r="B1145" t="s">
        <v>140</v>
      </c>
      <c r="C1145" t="str">
        <f>IFERROR(VLOOKUP(ILACLISTE[[#This Row],[NAME]],Table5[#All],2,0),"")</f>
        <v/>
      </c>
    </row>
    <row r="1146" spans="1:3" x14ac:dyDescent="0.3">
      <c r="A1146" s="5" t="s">
        <v>1815</v>
      </c>
      <c r="B1146" t="s">
        <v>141</v>
      </c>
      <c r="C1146" t="str">
        <f>IFERROR(VLOOKUP(ILACLISTE[[#This Row],[NAME]],Table5[#All],2,0),"")</f>
        <v/>
      </c>
    </row>
    <row r="1147" spans="1:3" x14ac:dyDescent="0.3">
      <c r="A1147" s="5" t="s">
        <v>1816</v>
      </c>
      <c r="B1147" t="s">
        <v>7669</v>
      </c>
      <c r="C1147" t="str">
        <f>IFERROR(VLOOKUP(ILACLISTE[[#This Row],[NAME]],Table5[#All],2,0),"")</f>
        <v/>
      </c>
    </row>
    <row r="1148" spans="1:3" x14ac:dyDescent="0.3">
      <c r="A1148" s="5" t="s">
        <v>1817</v>
      </c>
      <c r="B1148" t="s">
        <v>7670</v>
      </c>
      <c r="C1148" t="str">
        <f>IFERROR(VLOOKUP(ILACLISTE[[#This Row],[NAME]],Table5[#All],2,0),"")</f>
        <v/>
      </c>
    </row>
    <row r="1149" spans="1:3" x14ac:dyDescent="0.3">
      <c r="A1149" s="5" t="s">
        <v>1818</v>
      </c>
      <c r="B1149" t="s">
        <v>7671</v>
      </c>
      <c r="C1149" t="str">
        <f>IFERROR(VLOOKUP(ILACLISTE[[#This Row],[NAME]],Table5[#All],2,0),"")</f>
        <v/>
      </c>
    </row>
    <row r="1150" spans="1:3" x14ac:dyDescent="0.3">
      <c r="A1150" s="5" t="s">
        <v>1819</v>
      </c>
      <c r="B1150" t="s">
        <v>7672</v>
      </c>
      <c r="C1150" t="str">
        <f>IFERROR(VLOOKUP(ILACLISTE[[#This Row],[NAME]],Table5[#All],2,0),"")</f>
        <v/>
      </c>
    </row>
    <row r="1151" spans="1:3" x14ac:dyDescent="0.3">
      <c r="A1151" s="5" t="s">
        <v>1820</v>
      </c>
      <c r="B1151" t="s">
        <v>7673</v>
      </c>
      <c r="C1151" t="str">
        <f>IFERROR(VLOOKUP(ILACLISTE[[#This Row],[NAME]],Table5[#All],2,0),"")</f>
        <v/>
      </c>
    </row>
    <row r="1152" spans="1:3" x14ac:dyDescent="0.3">
      <c r="A1152" s="5" t="s">
        <v>1821</v>
      </c>
      <c r="B1152" t="s">
        <v>7674</v>
      </c>
      <c r="C1152" t="str">
        <f>IFERROR(VLOOKUP(ILACLISTE[[#This Row],[NAME]],Table5[#All],2,0),"")</f>
        <v/>
      </c>
    </row>
    <row r="1153" spans="1:3" x14ac:dyDescent="0.3">
      <c r="A1153" s="5" t="s">
        <v>1822</v>
      </c>
      <c r="B1153" t="s">
        <v>7675</v>
      </c>
      <c r="C1153" t="str">
        <f>IFERROR(VLOOKUP(ILACLISTE[[#This Row],[NAME]],Table5[#All],2,0),"")</f>
        <v/>
      </c>
    </row>
    <row r="1154" spans="1:3" x14ac:dyDescent="0.3">
      <c r="A1154" s="5" t="s">
        <v>1823</v>
      </c>
      <c r="B1154" t="s">
        <v>7676</v>
      </c>
      <c r="C1154" t="str">
        <f>IFERROR(VLOOKUP(ILACLISTE[[#This Row],[NAME]],Table5[#All],2,0),"")</f>
        <v/>
      </c>
    </row>
    <row r="1155" spans="1:3" x14ac:dyDescent="0.3">
      <c r="A1155" s="5" t="s">
        <v>1824</v>
      </c>
      <c r="B1155" t="s">
        <v>7677</v>
      </c>
      <c r="C1155" t="str">
        <f>IFERROR(VLOOKUP(ILACLISTE[[#This Row],[NAME]],Table5[#All],2,0),"")</f>
        <v/>
      </c>
    </row>
    <row r="1156" spans="1:3" x14ac:dyDescent="0.3">
      <c r="A1156" s="5" t="s">
        <v>1825</v>
      </c>
      <c r="B1156" t="s">
        <v>7678</v>
      </c>
      <c r="C1156" t="str">
        <f>IFERROR(VLOOKUP(ILACLISTE[[#This Row],[NAME]],Table5[#All],2,0),"")</f>
        <v/>
      </c>
    </row>
    <row r="1157" spans="1:3" x14ac:dyDescent="0.3">
      <c r="A1157" s="5" t="s">
        <v>1826</v>
      </c>
      <c r="B1157" t="s">
        <v>7679</v>
      </c>
      <c r="C1157" t="str">
        <f>IFERROR(VLOOKUP(ILACLISTE[[#This Row],[NAME]],Table5[#All],2,0),"")</f>
        <v/>
      </c>
    </row>
    <row r="1158" spans="1:3" x14ac:dyDescent="0.3">
      <c r="A1158" s="5" t="s">
        <v>1827</v>
      </c>
      <c r="B1158" t="s">
        <v>7680</v>
      </c>
      <c r="C1158" t="str">
        <f>IFERROR(VLOOKUP(ILACLISTE[[#This Row],[NAME]],Table5[#All],2,0),"")</f>
        <v/>
      </c>
    </row>
    <row r="1159" spans="1:3" x14ac:dyDescent="0.3">
      <c r="A1159" s="5" t="s">
        <v>1828</v>
      </c>
      <c r="B1159" t="s">
        <v>7681</v>
      </c>
      <c r="C1159" t="str">
        <f>IFERROR(VLOOKUP(ILACLISTE[[#This Row],[NAME]],Table5[#All],2,0),"")</f>
        <v/>
      </c>
    </row>
    <row r="1160" spans="1:3" x14ac:dyDescent="0.3">
      <c r="A1160" s="5" t="s">
        <v>1829</v>
      </c>
      <c r="B1160" t="s">
        <v>7682</v>
      </c>
      <c r="C1160" t="str">
        <f>IFERROR(VLOOKUP(ILACLISTE[[#This Row],[NAME]],Table5[#All],2,0),"")</f>
        <v/>
      </c>
    </row>
    <row r="1161" spans="1:3" x14ac:dyDescent="0.3">
      <c r="A1161" s="5" t="s">
        <v>1830</v>
      </c>
      <c r="B1161" t="s">
        <v>7683</v>
      </c>
      <c r="C1161" t="str">
        <f>IFERROR(VLOOKUP(ILACLISTE[[#This Row],[NAME]],Table5[#All],2,0),"")</f>
        <v/>
      </c>
    </row>
    <row r="1162" spans="1:3" x14ac:dyDescent="0.3">
      <c r="A1162" s="5" t="s">
        <v>1831</v>
      </c>
      <c r="B1162" t="s">
        <v>7684</v>
      </c>
      <c r="C1162" t="str">
        <f>IFERROR(VLOOKUP(ILACLISTE[[#This Row],[NAME]],Table5[#All],2,0),"")</f>
        <v/>
      </c>
    </row>
    <row r="1163" spans="1:3" x14ac:dyDescent="0.3">
      <c r="A1163" s="5" t="s">
        <v>1832</v>
      </c>
      <c r="B1163" t="s">
        <v>7685</v>
      </c>
      <c r="C1163" t="str">
        <f>IFERROR(VLOOKUP(ILACLISTE[[#This Row],[NAME]],Table5[#All],2,0),"")</f>
        <v/>
      </c>
    </row>
    <row r="1164" spans="1:3" x14ac:dyDescent="0.3">
      <c r="A1164" s="5" t="s">
        <v>1833</v>
      </c>
      <c r="B1164" t="s">
        <v>142</v>
      </c>
      <c r="C1164" t="str">
        <f>IFERROR(VLOOKUP(ILACLISTE[[#This Row],[NAME]],Table5[#All],2,0),"")</f>
        <v/>
      </c>
    </row>
    <row r="1165" spans="1:3" x14ac:dyDescent="0.3">
      <c r="A1165" s="5" t="s">
        <v>1834</v>
      </c>
      <c r="B1165" t="s">
        <v>7686</v>
      </c>
      <c r="C1165" t="str">
        <f>IFERROR(VLOOKUP(ILACLISTE[[#This Row],[NAME]],Table5[#All],2,0),"")</f>
        <v/>
      </c>
    </row>
    <row r="1166" spans="1:3" x14ac:dyDescent="0.3">
      <c r="A1166" s="5" t="s">
        <v>1835</v>
      </c>
      <c r="B1166" t="s">
        <v>7687</v>
      </c>
      <c r="C1166" t="str">
        <f>IFERROR(VLOOKUP(ILACLISTE[[#This Row],[NAME]],Table5[#All],2,0),"")</f>
        <v/>
      </c>
    </row>
    <row r="1167" spans="1:3" x14ac:dyDescent="0.3">
      <c r="A1167" s="5" t="s">
        <v>1836</v>
      </c>
      <c r="B1167" t="s">
        <v>7688</v>
      </c>
      <c r="C1167" t="str">
        <f>IFERROR(VLOOKUP(ILACLISTE[[#This Row],[NAME]],Table5[#All],2,0),"")</f>
        <v/>
      </c>
    </row>
    <row r="1168" spans="1:3" x14ac:dyDescent="0.3">
      <c r="A1168" s="5" t="s">
        <v>1837</v>
      </c>
      <c r="B1168" t="s">
        <v>7689</v>
      </c>
      <c r="C1168" t="str">
        <f>IFERROR(VLOOKUP(ILACLISTE[[#This Row],[NAME]],Table5[#All],2,0),"")</f>
        <v/>
      </c>
    </row>
    <row r="1169" spans="1:3" x14ac:dyDescent="0.3">
      <c r="A1169" s="5" t="s">
        <v>1838</v>
      </c>
      <c r="B1169" t="s">
        <v>7690</v>
      </c>
      <c r="C1169" t="str">
        <f>IFERROR(VLOOKUP(ILACLISTE[[#This Row],[NAME]],Table5[#All],2,0),"")</f>
        <v/>
      </c>
    </row>
    <row r="1170" spans="1:3" x14ac:dyDescent="0.3">
      <c r="A1170" s="5" t="s">
        <v>1839</v>
      </c>
      <c r="B1170" t="s">
        <v>7691</v>
      </c>
      <c r="C1170" t="str">
        <f>IFERROR(VLOOKUP(ILACLISTE[[#This Row],[NAME]],Table5[#All],2,0),"")</f>
        <v/>
      </c>
    </row>
    <row r="1171" spans="1:3" x14ac:dyDescent="0.3">
      <c r="A1171" s="5" t="s">
        <v>1840</v>
      </c>
      <c r="B1171" t="s">
        <v>143</v>
      </c>
      <c r="C1171" t="str">
        <f>IFERROR(VLOOKUP(ILACLISTE[[#This Row],[NAME]],Table5[#All],2,0),"")</f>
        <v/>
      </c>
    </row>
    <row r="1172" spans="1:3" x14ac:dyDescent="0.3">
      <c r="A1172" s="5" t="s">
        <v>1841</v>
      </c>
      <c r="B1172" t="s">
        <v>7692</v>
      </c>
      <c r="C1172" t="str">
        <f>IFERROR(VLOOKUP(ILACLISTE[[#This Row],[NAME]],Table5[#All],2,0),"")</f>
        <v/>
      </c>
    </row>
    <row r="1173" spans="1:3" x14ac:dyDescent="0.3">
      <c r="A1173" s="5" t="s">
        <v>1842</v>
      </c>
      <c r="B1173" t="s">
        <v>7693</v>
      </c>
      <c r="C1173" t="str">
        <f>IFERROR(VLOOKUP(ILACLISTE[[#This Row],[NAME]],Table5[#All],2,0),"")</f>
        <v/>
      </c>
    </row>
    <row r="1174" spans="1:3" x14ac:dyDescent="0.3">
      <c r="A1174" s="5" t="s">
        <v>1843</v>
      </c>
      <c r="B1174" t="s">
        <v>7694</v>
      </c>
      <c r="C1174" t="str">
        <f>IFERROR(VLOOKUP(ILACLISTE[[#This Row],[NAME]],Table5[#All],2,0),"")</f>
        <v/>
      </c>
    </row>
    <row r="1175" spans="1:3" x14ac:dyDescent="0.3">
      <c r="A1175" s="5" t="s">
        <v>1844</v>
      </c>
      <c r="B1175" t="s">
        <v>7695</v>
      </c>
      <c r="C1175" t="str">
        <f>IFERROR(VLOOKUP(ILACLISTE[[#This Row],[NAME]],Table5[#All],2,0),"")</f>
        <v/>
      </c>
    </row>
    <row r="1176" spans="1:3" x14ac:dyDescent="0.3">
      <c r="A1176" s="5" t="s">
        <v>1845</v>
      </c>
      <c r="B1176" t="s">
        <v>7696</v>
      </c>
      <c r="C1176" t="str">
        <f>IFERROR(VLOOKUP(ILACLISTE[[#This Row],[NAME]],Table5[#All],2,0),"")</f>
        <v/>
      </c>
    </row>
    <row r="1177" spans="1:3" x14ac:dyDescent="0.3">
      <c r="A1177" s="5" t="s">
        <v>1846</v>
      </c>
      <c r="B1177" t="s">
        <v>7697</v>
      </c>
      <c r="C1177" t="str">
        <f>IFERROR(VLOOKUP(ILACLISTE[[#This Row],[NAME]],Table5[#All],2,0),"")</f>
        <v/>
      </c>
    </row>
    <row r="1178" spans="1:3" x14ac:dyDescent="0.3">
      <c r="A1178" s="5" t="s">
        <v>1847</v>
      </c>
      <c r="B1178" t="s">
        <v>7698</v>
      </c>
      <c r="C1178" t="str">
        <f>IFERROR(VLOOKUP(ILACLISTE[[#This Row],[NAME]],Table5[#All],2,0),"")</f>
        <v/>
      </c>
    </row>
    <row r="1179" spans="1:3" x14ac:dyDescent="0.3">
      <c r="A1179" s="5" t="s">
        <v>1848</v>
      </c>
      <c r="B1179" t="s">
        <v>7699</v>
      </c>
      <c r="C1179" t="str">
        <f>IFERROR(VLOOKUP(ILACLISTE[[#This Row],[NAME]],Table5[#All],2,0),"")</f>
        <v/>
      </c>
    </row>
    <row r="1180" spans="1:3" x14ac:dyDescent="0.3">
      <c r="A1180" s="5" t="s">
        <v>1849</v>
      </c>
      <c r="B1180" t="s">
        <v>7700</v>
      </c>
      <c r="C1180" t="str">
        <f>IFERROR(VLOOKUP(ILACLISTE[[#This Row],[NAME]],Table5[#All],2,0),"")</f>
        <v/>
      </c>
    </row>
    <row r="1181" spans="1:3" x14ac:dyDescent="0.3">
      <c r="A1181" s="5" t="s">
        <v>1850</v>
      </c>
      <c r="B1181" t="s">
        <v>7701</v>
      </c>
      <c r="C1181" t="str">
        <f>IFERROR(VLOOKUP(ILACLISTE[[#This Row],[NAME]],Table5[#All],2,0),"")</f>
        <v/>
      </c>
    </row>
    <row r="1182" spans="1:3" x14ac:dyDescent="0.3">
      <c r="A1182" s="5" t="s">
        <v>1851</v>
      </c>
      <c r="B1182" t="s">
        <v>7702</v>
      </c>
      <c r="C1182" t="str">
        <f>IFERROR(VLOOKUP(ILACLISTE[[#This Row],[NAME]],Table5[#All],2,0),"")</f>
        <v/>
      </c>
    </row>
    <row r="1183" spans="1:3" x14ac:dyDescent="0.3">
      <c r="A1183" s="5" t="s">
        <v>1852</v>
      </c>
      <c r="B1183" t="s">
        <v>7703</v>
      </c>
      <c r="C1183" t="str">
        <f>IFERROR(VLOOKUP(ILACLISTE[[#This Row],[NAME]],Table5[#All],2,0),"")</f>
        <v/>
      </c>
    </row>
    <row r="1184" spans="1:3" x14ac:dyDescent="0.3">
      <c r="A1184" s="5" t="s">
        <v>1853</v>
      </c>
      <c r="B1184" t="s">
        <v>7704</v>
      </c>
      <c r="C1184" t="str">
        <f>IFERROR(VLOOKUP(ILACLISTE[[#This Row],[NAME]],Table5[#All],2,0),"")</f>
        <v/>
      </c>
    </row>
    <row r="1185" spans="1:3" x14ac:dyDescent="0.3">
      <c r="A1185" s="5" t="s">
        <v>1854</v>
      </c>
      <c r="B1185" t="s">
        <v>7705</v>
      </c>
      <c r="C1185" t="str">
        <f>IFERROR(VLOOKUP(ILACLISTE[[#This Row],[NAME]],Table5[#All],2,0),"")</f>
        <v/>
      </c>
    </row>
    <row r="1186" spans="1:3" x14ac:dyDescent="0.3">
      <c r="A1186" s="5" t="s">
        <v>1855</v>
      </c>
      <c r="B1186" t="s">
        <v>7706</v>
      </c>
      <c r="C1186" t="str">
        <f>IFERROR(VLOOKUP(ILACLISTE[[#This Row],[NAME]],Table5[#All],2,0),"")</f>
        <v/>
      </c>
    </row>
    <row r="1187" spans="1:3" x14ac:dyDescent="0.3">
      <c r="A1187" s="5" t="s">
        <v>1856</v>
      </c>
      <c r="B1187" t="s">
        <v>7707</v>
      </c>
      <c r="C1187" t="str">
        <f>IFERROR(VLOOKUP(ILACLISTE[[#This Row],[NAME]],Table5[#All],2,0),"")</f>
        <v/>
      </c>
    </row>
    <row r="1188" spans="1:3" x14ac:dyDescent="0.3">
      <c r="A1188" s="5" t="s">
        <v>1857</v>
      </c>
      <c r="B1188" t="s">
        <v>7708</v>
      </c>
      <c r="C1188" t="str">
        <f>IFERROR(VLOOKUP(ILACLISTE[[#This Row],[NAME]],Table5[#All],2,0),"")</f>
        <v/>
      </c>
    </row>
    <row r="1189" spans="1:3" x14ac:dyDescent="0.3">
      <c r="A1189" s="5" t="s">
        <v>1858</v>
      </c>
      <c r="B1189" t="s">
        <v>7709</v>
      </c>
      <c r="C1189" t="str">
        <f>IFERROR(VLOOKUP(ILACLISTE[[#This Row],[NAME]],Table5[#All],2,0),"")</f>
        <v/>
      </c>
    </row>
    <row r="1190" spans="1:3" x14ac:dyDescent="0.3">
      <c r="A1190" s="5" t="s">
        <v>1859</v>
      </c>
      <c r="B1190" t="s">
        <v>7710</v>
      </c>
      <c r="C1190" t="str">
        <f>IFERROR(VLOOKUP(ILACLISTE[[#This Row],[NAME]],Table5[#All],2,0),"")</f>
        <v/>
      </c>
    </row>
    <row r="1191" spans="1:3" x14ac:dyDescent="0.3">
      <c r="A1191" s="5" t="s">
        <v>1860</v>
      </c>
      <c r="B1191" t="s">
        <v>7711</v>
      </c>
      <c r="C1191" t="str">
        <f>IFERROR(VLOOKUP(ILACLISTE[[#This Row],[NAME]],Table5[#All],2,0),"")</f>
        <v/>
      </c>
    </row>
    <row r="1192" spans="1:3" x14ac:dyDescent="0.3">
      <c r="A1192" s="5" t="s">
        <v>1861</v>
      </c>
      <c r="B1192" t="s">
        <v>7712</v>
      </c>
      <c r="C1192" t="str">
        <f>IFERROR(VLOOKUP(ILACLISTE[[#This Row],[NAME]],Table5[#All],2,0),"")</f>
        <v/>
      </c>
    </row>
    <row r="1193" spans="1:3" x14ac:dyDescent="0.3">
      <c r="A1193" s="5" t="s">
        <v>1862</v>
      </c>
      <c r="B1193" t="s">
        <v>7713</v>
      </c>
      <c r="C1193" t="str">
        <f>IFERROR(VLOOKUP(ILACLISTE[[#This Row],[NAME]],Table5[#All],2,0),"")</f>
        <v/>
      </c>
    </row>
    <row r="1194" spans="1:3" x14ac:dyDescent="0.3">
      <c r="A1194" s="5" t="s">
        <v>1863</v>
      </c>
      <c r="B1194" t="s">
        <v>7714</v>
      </c>
      <c r="C1194" t="str">
        <f>IFERROR(VLOOKUP(ILACLISTE[[#This Row],[NAME]],Table5[#All],2,0),"")</f>
        <v/>
      </c>
    </row>
    <row r="1195" spans="1:3" x14ac:dyDescent="0.3">
      <c r="A1195" s="5" t="s">
        <v>1864</v>
      </c>
      <c r="B1195" t="s">
        <v>7715</v>
      </c>
      <c r="C1195" t="str">
        <f>IFERROR(VLOOKUP(ILACLISTE[[#This Row],[NAME]],Table5[#All],2,0),"")</f>
        <v/>
      </c>
    </row>
    <row r="1196" spans="1:3" x14ac:dyDescent="0.3">
      <c r="A1196" s="5" t="s">
        <v>1865</v>
      </c>
      <c r="B1196" t="s">
        <v>7716</v>
      </c>
      <c r="C1196" t="str">
        <f>IFERROR(VLOOKUP(ILACLISTE[[#This Row],[NAME]],Table5[#All],2,0),"")</f>
        <v/>
      </c>
    </row>
    <row r="1197" spans="1:3" x14ac:dyDescent="0.3">
      <c r="A1197" s="5" t="s">
        <v>1866</v>
      </c>
      <c r="B1197" t="s">
        <v>7717</v>
      </c>
      <c r="C1197" t="str">
        <f>IFERROR(VLOOKUP(ILACLISTE[[#This Row],[NAME]],Table5[#All],2,0),"")</f>
        <v/>
      </c>
    </row>
    <row r="1198" spans="1:3" x14ac:dyDescent="0.3">
      <c r="A1198" s="5" t="s">
        <v>1867</v>
      </c>
      <c r="B1198" t="s">
        <v>7718</v>
      </c>
      <c r="C1198" t="str">
        <f>IFERROR(VLOOKUP(ILACLISTE[[#This Row],[NAME]],Table5[#All],2,0),"")</f>
        <v/>
      </c>
    </row>
    <row r="1199" spans="1:3" x14ac:dyDescent="0.3">
      <c r="A1199" s="5" t="s">
        <v>1868</v>
      </c>
      <c r="B1199" t="s">
        <v>7719</v>
      </c>
      <c r="C1199" t="str">
        <f>IFERROR(VLOOKUP(ILACLISTE[[#This Row],[NAME]],Table5[#All],2,0),"")</f>
        <v/>
      </c>
    </row>
    <row r="1200" spans="1:3" x14ac:dyDescent="0.3">
      <c r="A1200" s="5" t="s">
        <v>1869</v>
      </c>
      <c r="B1200" t="s">
        <v>7720</v>
      </c>
      <c r="C1200" t="str">
        <f>IFERROR(VLOOKUP(ILACLISTE[[#This Row],[NAME]],Table5[#All],2,0),"")</f>
        <v/>
      </c>
    </row>
    <row r="1201" spans="1:3" x14ac:dyDescent="0.3">
      <c r="A1201" s="5" t="s">
        <v>1870</v>
      </c>
      <c r="B1201" t="s">
        <v>7721</v>
      </c>
      <c r="C1201" t="str">
        <f>IFERROR(VLOOKUP(ILACLISTE[[#This Row],[NAME]],Table5[#All],2,0),"")</f>
        <v/>
      </c>
    </row>
    <row r="1202" spans="1:3" x14ac:dyDescent="0.3">
      <c r="A1202" s="5" t="s">
        <v>1871</v>
      </c>
      <c r="B1202" t="s">
        <v>7722</v>
      </c>
      <c r="C1202" t="str">
        <f>IFERROR(VLOOKUP(ILACLISTE[[#This Row],[NAME]],Table5[#All],2,0),"")</f>
        <v/>
      </c>
    </row>
    <row r="1203" spans="1:3" x14ac:dyDescent="0.3">
      <c r="A1203" s="5" t="s">
        <v>1872</v>
      </c>
      <c r="B1203" t="s">
        <v>7723</v>
      </c>
      <c r="C1203" t="str">
        <f>IFERROR(VLOOKUP(ILACLISTE[[#This Row],[NAME]],Table5[#All],2,0),"")</f>
        <v/>
      </c>
    </row>
    <row r="1204" spans="1:3" x14ac:dyDescent="0.3">
      <c r="A1204" s="5" t="s">
        <v>1873</v>
      </c>
      <c r="B1204" t="s">
        <v>7724</v>
      </c>
      <c r="C1204" t="str">
        <f>IFERROR(VLOOKUP(ILACLISTE[[#This Row],[NAME]],Table5[#All],2,0),"")</f>
        <v/>
      </c>
    </row>
    <row r="1205" spans="1:3" x14ac:dyDescent="0.3">
      <c r="A1205" s="5" t="s">
        <v>1874</v>
      </c>
      <c r="B1205" t="s">
        <v>7725</v>
      </c>
      <c r="C1205" t="str">
        <f>IFERROR(VLOOKUP(ILACLISTE[[#This Row],[NAME]],Table5[#All],2,0),"")</f>
        <v/>
      </c>
    </row>
    <row r="1206" spans="1:3" x14ac:dyDescent="0.3">
      <c r="A1206" s="5" t="s">
        <v>1875</v>
      </c>
      <c r="B1206" t="s">
        <v>7726</v>
      </c>
      <c r="C1206" t="str">
        <f>IFERROR(VLOOKUP(ILACLISTE[[#This Row],[NAME]],Table5[#All],2,0),"")</f>
        <v/>
      </c>
    </row>
    <row r="1207" spans="1:3" x14ac:dyDescent="0.3">
      <c r="A1207" s="5" t="s">
        <v>1876</v>
      </c>
      <c r="B1207" t="s">
        <v>7727</v>
      </c>
      <c r="C1207" t="str">
        <f>IFERROR(VLOOKUP(ILACLISTE[[#This Row],[NAME]],Table5[#All],2,0),"")</f>
        <v/>
      </c>
    </row>
    <row r="1208" spans="1:3" x14ac:dyDescent="0.3">
      <c r="A1208" s="5" t="s">
        <v>1877</v>
      </c>
      <c r="B1208" t="s">
        <v>7728</v>
      </c>
      <c r="C1208" t="str">
        <f>IFERROR(VLOOKUP(ILACLISTE[[#This Row],[NAME]],Table5[#All],2,0),"")</f>
        <v/>
      </c>
    </row>
    <row r="1209" spans="1:3" x14ac:dyDescent="0.3">
      <c r="A1209" s="5" t="s">
        <v>1878</v>
      </c>
      <c r="B1209" t="s">
        <v>144</v>
      </c>
      <c r="C1209" t="str">
        <f>IFERROR(VLOOKUP(ILACLISTE[[#This Row],[NAME]],Table5[#All],2,0),"")</f>
        <v/>
      </c>
    </row>
    <row r="1210" spans="1:3" x14ac:dyDescent="0.3">
      <c r="A1210" s="5" t="s">
        <v>1879</v>
      </c>
      <c r="B1210" t="s">
        <v>145</v>
      </c>
      <c r="C1210" t="str">
        <f>IFERROR(VLOOKUP(ILACLISTE[[#This Row],[NAME]],Table5[#All],2,0),"")</f>
        <v/>
      </c>
    </row>
    <row r="1211" spans="1:3" x14ac:dyDescent="0.3">
      <c r="A1211" s="5" t="s">
        <v>1880</v>
      </c>
      <c r="B1211" t="s">
        <v>146</v>
      </c>
      <c r="C1211" t="str">
        <f>IFERROR(VLOOKUP(ILACLISTE[[#This Row],[NAME]],Table5[#All],2,0),"")</f>
        <v/>
      </c>
    </row>
    <row r="1212" spans="1:3" x14ac:dyDescent="0.3">
      <c r="A1212" s="5" t="s">
        <v>1881</v>
      </c>
      <c r="B1212" t="s">
        <v>7729</v>
      </c>
      <c r="C1212" t="str">
        <f>IFERROR(VLOOKUP(ILACLISTE[[#This Row],[NAME]],Table5[#All],2,0),"")</f>
        <v/>
      </c>
    </row>
    <row r="1213" spans="1:3" x14ac:dyDescent="0.3">
      <c r="A1213" s="5" t="s">
        <v>1882</v>
      </c>
      <c r="B1213" t="s">
        <v>7730</v>
      </c>
      <c r="C1213" t="str">
        <f>IFERROR(VLOOKUP(ILACLISTE[[#This Row],[NAME]],Table5[#All],2,0),"")</f>
        <v/>
      </c>
    </row>
    <row r="1214" spans="1:3" x14ac:dyDescent="0.3">
      <c r="A1214" s="5" t="s">
        <v>1883</v>
      </c>
      <c r="B1214" t="s">
        <v>7731</v>
      </c>
      <c r="C1214" t="str">
        <f>IFERROR(VLOOKUP(ILACLISTE[[#This Row],[NAME]],Table5[#All],2,0),"")</f>
        <v/>
      </c>
    </row>
    <row r="1215" spans="1:3" x14ac:dyDescent="0.3">
      <c r="A1215" s="5" t="s">
        <v>1884</v>
      </c>
      <c r="B1215" t="s">
        <v>7732</v>
      </c>
      <c r="C1215" t="str">
        <f>IFERROR(VLOOKUP(ILACLISTE[[#This Row],[NAME]],Table5[#All],2,0),"")</f>
        <v/>
      </c>
    </row>
    <row r="1216" spans="1:3" x14ac:dyDescent="0.3">
      <c r="A1216" s="5" t="s">
        <v>1885</v>
      </c>
      <c r="B1216" t="s">
        <v>7733</v>
      </c>
      <c r="C1216" t="str">
        <f>IFERROR(VLOOKUP(ILACLISTE[[#This Row],[NAME]],Table5[#All],2,0),"")</f>
        <v/>
      </c>
    </row>
    <row r="1217" spans="1:3" x14ac:dyDescent="0.3">
      <c r="A1217" s="5" t="s">
        <v>1886</v>
      </c>
      <c r="B1217" t="s">
        <v>7734</v>
      </c>
      <c r="C1217" t="str">
        <f>IFERROR(VLOOKUP(ILACLISTE[[#This Row],[NAME]],Table5[#All],2,0),"")</f>
        <v/>
      </c>
    </row>
    <row r="1218" spans="1:3" x14ac:dyDescent="0.3">
      <c r="A1218" s="5" t="s">
        <v>1887</v>
      </c>
      <c r="B1218" t="s">
        <v>7735</v>
      </c>
      <c r="C1218" t="str">
        <f>IFERROR(VLOOKUP(ILACLISTE[[#This Row],[NAME]],Table5[#All],2,0),"")</f>
        <v/>
      </c>
    </row>
    <row r="1219" spans="1:3" x14ac:dyDescent="0.3">
      <c r="A1219" s="5" t="s">
        <v>1888</v>
      </c>
      <c r="B1219" t="s">
        <v>7736</v>
      </c>
      <c r="C1219" t="str">
        <f>IFERROR(VLOOKUP(ILACLISTE[[#This Row],[NAME]],Table5[#All],2,0),"")</f>
        <v/>
      </c>
    </row>
    <row r="1220" spans="1:3" x14ac:dyDescent="0.3">
      <c r="A1220" s="5" t="s">
        <v>1889</v>
      </c>
      <c r="B1220" t="s">
        <v>7737</v>
      </c>
      <c r="C1220" t="str">
        <f>IFERROR(VLOOKUP(ILACLISTE[[#This Row],[NAME]],Table5[#All],2,0),"")</f>
        <v/>
      </c>
    </row>
    <row r="1221" spans="1:3" x14ac:dyDescent="0.3">
      <c r="A1221" s="5" t="s">
        <v>1890</v>
      </c>
      <c r="B1221" t="s">
        <v>7738</v>
      </c>
      <c r="C1221" t="str">
        <f>IFERROR(VLOOKUP(ILACLISTE[[#This Row],[NAME]],Table5[#All],2,0),"")</f>
        <v/>
      </c>
    </row>
    <row r="1222" spans="1:3" x14ac:dyDescent="0.3">
      <c r="A1222" s="5" t="s">
        <v>1891</v>
      </c>
      <c r="B1222" t="s">
        <v>7739</v>
      </c>
      <c r="C1222" t="str">
        <f>IFERROR(VLOOKUP(ILACLISTE[[#This Row],[NAME]],Table5[#All],2,0),"")</f>
        <v/>
      </c>
    </row>
    <row r="1223" spans="1:3" x14ac:dyDescent="0.3">
      <c r="A1223" s="5" t="s">
        <v>1892</v>
      </c>
      <c r="B1223" t="s">
        <v>7740</v>
      </c>
      <c r="C1223" t="str">
        <f>IFERROR(VLOOKUP(ILACLISTE[[#This Row],[NAME]],Table5[#All],2,0),"")</f>
        <v/>
      </c>
    </row>
    <row r="1224" spans="1:3" x14ac:dyDescent="0.3">
      <c r="A1224" s="5" t="s">
        <v>1893</v>
      </c>
      <c r="B1224" t="s">
        <v>7741</v>
      </c>
      <c r="C1224" t="str">
        <f>IFERROR(VLOOKUP(ILACLISTE[[#This Row],[NAME]],Table5[#All],2,0),"")</f>
        <v/>
      </c>
    </row>
    <row r="1225" spans="1:3" x14ac:dyDescent="0.3">
      <c r="A1225" s="5" t="s">
        <v>1894</v>
      </c>
      <c r="B1225" t="s">
        <v>147</v>
      </c>
      <c r="C1225" t="str">
        <f>IFERROR(VLOOKUP(ILACLISTE[[#This Row],[NAME]],Table5[#All],2,0),"")</f>
        <v/>
      </c>
    </row>
    <row r="1226" spans="1:3" x14ac:dyDescent="0.3">
      <c r="A1226" s="5" t="s">
        <v>1895</v>
      </c>
      <c r="B1226" t="s">
        <v>7742</v>
      </c>
      <c r="C1226" t="str">
        <f>IFERROR(VLOOKUP(ILACLISTE[[#This Row],[NAME]],Table5[#All],2,0),"")</f>
        <v/>
      </c>
    </row>
    <row r="1227" spans="1:3" x14ac:dyDescent="0.3">
      <c r="A1227" s="5" t="s">
        <v>1896</v>
      </c>
      <c r="B1227" t="s">
        <v>7743</v>
      </c>
      <c r="C1227" t="str">
        <f>IFERROR(VLOOKUP(ILACLISTE[[#This Row],[NAME]],Table5[#All],2,0),"")</f>
        <v/>
      </c>
    </row>
    <row r="1228" spans="1:3" x14ac:dyDescent="0.3">
      <c r="A1228" s="5" t="s">
        <v>1897</v>
      </c>
      <c r="B1228" t="s">
        <v>148</v>
      </c>
      <c r="C1228" t="str">
        <f>IFERROR(VLOOKUP(ILACLISTE[[#This Row],[NAME]],Table5[#All],2,0),"")</f>
        <v/>
      </c>
    </row>
    <row r="1229" spans="1:3" x14ac:dyDescent="0.3">
      <c r="A1229" s="5" t="s">
        <v>1898</v>
      </c>
      <c r="B1229" t="s">
        <v>149</v>
      </c>
      <c r="C1229" t="str">
        <f>IFERROR(VLOOKUP(ILACLISTE[[#This Row],[NAME]],Table5[#All],2,0),"")</f>
        <v/>
      </c>
    </row>
    <row r="1230" spans="1:3" x14ac:dyDescent="0.3">
      <c r="A1230" s="5" t="s">
        <v>1899</v>
      </c>
      <c r="B1230" t="s">
        <v>150</v>
      </c>
      <c r="C1230" t="str">
        <f>IFERROR(VLOOKUP(ILACLISTE[[#This Row],[NAME]],Table5[#All],2,0),"")</f>
        <v/>
      </c>
    </row>
    <row r="1231" spans="1:3" x14ac:dyDescent="0.3">
      <c r="A1231" s="5" t="s">
        <v>1900</v>
      </c>
      <c r="B1231" t="s">
        <v>151</v>
      </c>
      <c r="C1231" t="str">
        <f>IFERROR(VLOOKUP(ILACLISTE[[#This Row],[NAME]],Table5[#All],2,0),"")</f>
        <v/>
      </c>
    </row>
    <row r="1232" spans="1:3" x14ac:dyDescent="0.3">
      <c r="A1232" s="5" t="s">
        <v>1901</v>
      </c>
      <c r="B1232" t="s">
        <v>152</v>
      </c>
      <c r="C1232" t="str">
        <f>IFERROR(VLOOKUP(ILACLISTE[[#This Row],[NAME]],Table5[#All],2,0),"")</f>
        <v/>
      </c>
    </row>
    <row r="1233" spans="1:3" x14ac:dyDescent="0.3">
      <c r="A1233" s="5" t="s">
        <v>1902</v>
      </c>
      <c r="B1233" t="s">
        <v>7744</v>
      </c>
      <c r="C1233" t="str">
        <f>IFERROR(VLOOKUP(ILACLISTE[[#This Row],[NAME]],Table5[#All],2,0),"")</f>
        <v/>
      </c>
    </row>
    <row r="1234" spans="1:3" x14ac:dyDescent="0.3">
      <c r="A1234" s="5" t="s">
        <v>1903</v>
      </c>
      <c r="B1234" t="s">
        <v>7745</v>
      </c>
      <c r="C1234" t="str">
        <f>IFERROR(VLOOKUP(ILACLISTE[[#This Row],[NAME]],Table5[#All],2,0),"")</f>
        <v/>
      </c>
    </row>
    <row r="1235" spans="1:3" x14ac:dyDescent="0.3">
      <c r="A1235" s="5" t="s">
        <v>1904</v>
      </c>
      <c r="B1235" t="s">
        <v>153</v>
      </c>
      <c r="C1235" t="str">
        <f>IFERROR(VLOOKUP(ILACLISTE[[#This Row],[NAME]],Table5[#All],2,0),"")</f>
        <v/>
      </c>
    </row>
    <row r="1236" spans="1:3" x14ac:dyDescent="0.3">
      <c r="A1236" s="5" t="s">
        <v>1905</v>
      </c>
      <c r="B1236" t="s">
        <v>154</v>
      </c>
      <c r="C1236" t="str">
        <f>IFERROR(VLOOKUP(ILACLISTE[[#This Row],[NAME]],Table5[#All],2,0),"")</f>
        <v/>
      </c>
    </row>
    <row r="1237" spans="1:3" x14ac:dyDescent="0.3">
      <c r="A1237" s="5" t="s">
        <v>1906</v>
      </c>
      <c r="B1237" t="s">
        <v>7746</v>
      </c>
      <c r="C1237" t="str">
        <f>IFERROR(VLOOKUP(ILACLISTE[[#This Row],[NAME]],Table5[#All],2,0),"")</f>
        <v/>
      </c>
    </row>
    <row r="1238" spans="1:3" x14ac:dyDescent="0.3">
      <c r="A1238" s="5" t="s">
        <v>1907</v>
      </c>
      <c r="B1238" t="s">
        <v>7747</v>
      </c>
      <c r="C1238" t="str">
        <f>IFERROR(VLOOKUP(ILACLISTE[[#This Row],[NAME]],Table5[#All],2,0),"")</f>
        <v/>
      </c>
    </row>
    <row r="1239" spans="1:3" x14ac:dyDescent="0.3">
      <c r="A1239" s="5" t="s">
        <v>1908</v>
      </c>
      <c r="B1239" t="s">
        <v>7748</v>
      </c>
      <c r="C1239" t="str">
        <f>IFERROR(VLOOKUP(ILACLISTE[[#This Row],[NAME]],Table5[#All],2,0),"")</f>
        <v/>
      </c>
    </row>
    <row r="1240" spans="1:3" x14ac:dyDescent="0.3">
      <c r="A1240" s="5" t="s">
        <v>1909</v>
      </c>
      <c r="B1240" t="s">
        <v>7749</v>
      </c>
      <c r="C1240" t="str">
        <f>IFERROR(VLOOKUP(ILACLISTE[[#This Row],[NAME]],Table5[#All],2,0),"")</f>
        <v/>
      </c>
    </row>
    <row r="1241" spans="1:3" x14ac:dyDescent="0.3">
      <c r="A1241" s="5" t="s">
        <v>1910</v>
      </c>
      <c r="B1241" t="s">
        <v>7750</v>
      </c>
      <c r="C1241" t="str">
        <f>IFERROR(VLOOKUP(ILACLISTE[[#This Row],[NAME]],Table5[#All],2,0),"")</f>
        <v/>
      </c>
    </row>
    <row r="1242" spans="1:3" x14ac:dyDescent="0.3">
      <c r="A1242" s="5" t="s">
        <v>1911</v>
      </c>
      <c r="B1242" t="s">
        <v>7751</v>
      </c>
      <c r="C1242" t="str">
        <f>IFERROR(VLOOKUP(ILACLISTE[[#This Row],[NAME]],Table5[#All],2,0),"")</f>
        <v/>
      </c>
    </row>
    <row r="1243" spans="1:3" x14ac:dyDescent="0.3">
      <c r="A1243" s="5" t="s">
        <v>1912</v>
      </c>
      <c r="B1243" t="s">
        <v>7752</v>
      </c>
      <c r="C1243" t="str">
        <f>IFERROR(VLOOKUP(ILACLISTE[[#This Row],[NAME]],Table5[#All],2,0),"")</f>
        <v/>
      </c>
    </row>
    <row r="1244" spans="1:3" x14ac:dyDescent="0.3">
      <c r="A1244" s="5" t="s">
        <v>1913</v>
      </c>
      <c r="B1244" t="s">
        <v>7753</v>
      </c>
      <c r="C1244" t="str">
        <f>IFERROR(VLOOKUP(ILACLISTE[[#This Row],[NAME]],Table5[#All],2,0),"")</f>
        <v/>
      </c>
    </row>
    <row r="1245" spans="1:3" x14ac:dyDescent="0.3">
      <c r="A1245" s="5" t="s">
        <v>1914</v>
      </c>
      <c r="B1245" t="s">
        <v>7754</v>
      </c>
      <c r="C1245" t="str">
        <f>IFERROR(VLOOKUP(ILACLISTE[[#This Row],[NAME]],Table5[#All],2,0),"")</f>
        <v/>
      </c>
    </row>
    <row r="1246" spans="1:3" x14ac:dyDescent="0.3">
      <c r="A1246" s="5" t="s">
        <v>1915</v>
      </c>
      <c r="B1246" t="s">
        <v>7755</v>
      </c>
      <c r="C1246" t="str">
        <f>IFERROR(VLOOKUP(ILACLISTE[[#This Row],[NAME]],Table5[#All],2,0),"")</f>
        <v/>
      </c>
    </row>
    <row r="1247" spans="1:3" x14ac:dyDescent="0.3">
      <c r="A1247" s="5" t="s">
        <v>1916</v>
      </c>
      <c r="B1247" t="s">
        <v>155</v>
      </c>
      <c r="C1247" t="str">
        <f>IFERROR(VLOOKUP(ILACLISTE[[#This Row],[NAME]],Table5[#All],2,0),"")</f>
        <v/>
      </c>
    </row>
    <row r="1248" spans="1:3" x14ac:dyDescent="0.3">
      <c r="A1248" s="5" t="s">
        <v>1918</v>
      </c>
      <c r="B1248" t="s">
        <v>7756</v>
      </c>
      <c r="C1248" t="str">
        <f>IFERROR(VLOOKUP(ILACLISTE[[#This Row],[NAME]],Table5[#All],2,0),"")</f>
        <v/>
      </c>
    </row>
    <row r="1249" spans="1:3" x14ac:dyDescent="0.3">
      <c r="A1249" s="5" t="s">
        <v>1917</v>
      </c>
      <c r="B1249" t="s">
        <v>7757</v>
      </c>
      <c r="C1249" t="str">
        <f>IFERROR(VLOOKUP(ILACLISTE[[#This Row],[NAME]],Table5[#All],2,0),"")</f>
        <v/>
      </c>
    </row>
    <row r="1250" spans="1:3" x14ac:dyDescent="0.3">
      <c r="A1250" s="5" t="s">
        <v>1919</v>
      </c>
      <c r="B1250" t="s">
        <v>7758</v>
      </c>
      <c r="C1250" t="str">
        <f>IFERROR(VLOOKUP(ILACLISTE[[#This Row],[NAME]],Table5[#All],2,0),"")</f>
        <v/>
      </c>
    </row>
    <row r="1251" spans="1:3" x14ac:dyDescent="0.3">
      <c r="A1251" s="5" t="s">
        <v>1920</v>
      </c>
      <c r="B1251" t="s">
        <v>7759</v>
      </c>
      <c r="C1251" t="str">
        <f>IFERROR(VLOOKUP(ILACLISTE[[#This Row],[NAME]],Table5[#All],2,0),"")</f>
        <v/>
      </c>
    </row>
    <row r="1252" spans="1:3" x14ac:dyDescent="0.3">
      <c r="A1252" s="5" t="s">
        <v>1921</v>
      </c>
      <c r="B1252" t="s">
        <v>7760</v>
      </c>
      <c r="C1252" t="str">
        <f>IFERROR(VLOOKUP(ILACLISTE[[#This Row],[NAME]],Table5[#All],2,0),"")</f>
        <v/>
      </c>
    </row>
    <row r="1253" spans="1:3" x14ac:dyDescent="0.3">
      <c r="A1253" s="5" t="s">
        <v>1922</v>
      </c>
      <c r="B1253" t="s">
        <v>7761</v>
      </c>
      <c r="C1253" t="str">
        <f>IFERROR(VLOOKUP(ILACLISTE[[#This Row],[NAME]],Table5[#All],2,0),"")</f>
        <v/>
      </c>
    </row>
    <row r="1254" spans="1:3" x14ac:dyDescent="0.3">
      <c r="A1254" s="5" t="s">
        <v>1923</v>
      </c>
      <c r="B1254" t="s">
        <v>156</v>
      </c>
      <c r="C1254" t="str">
        <f>IFERROR(VLOOKUP(ILACLISTE[[#This Row],[NAME]],Table5[#All],2,0),"")</f>
        <v/>
      </c>
    </row>
    <row r="1255" spans="1:3" x14ac:dyDescent="0.3">
      <c r="A1255" s="5" t="s">
        <v>1924</v>
      </c>
      <c r="B1255" t="s">
        <v>157</v>
      </c>
      <c r="C1255" t="str">
        <f>IFERROR(VLOOKUP(ILACLISTE[[#This Row],[NAME]],Table5[#All],2,0),"")</f>
        <v/>
      </c>
    </row>
    <row r="1256" spans="1:3" x14ac:dyDescent="0.3">
      <c r="A1256" s="5" t="s">
        <v>1925</v>
      </c>
      <c r="B1256" t="s">
        <v>158</v>
      </c>
      <c r="C1256" t="str">
        <f>IFERROR(VLOOKUP(ILACLISTE[[#This Row],[NAME]],Table5[#All],2,0),"")</f>
        <v/>
      </c>
    </row>
    <row r="1257" spans="1:3" x14ac:dyDescent="0.3">
      <c r="A1257" s="5" t="s">
        <v>1926</v>
      </c>
      <c r="B1257" t="s">
        <v>159</v>
      </c>
      <c r="C1257" t="str">
        <f>IFERROR(VLOOKUP(ILACLISTE[[#This Row],[NAME]],Table5[#All],2,0),"")</f>
        <v/>
      </c>
    </row>
    <row r="1258" spans="1:3" x14ac:dyDescent="0.3">
      <c r="A1258" s="5" t="s">
        <v>1927</v>
      </c>
      <c r="B1258" t="s">
        <v>160</v>
      </c>
      <c r="C1258" t="str">
        <f>IFERROR(VLOOKUP(ILACLISTE[[#This Row],[NAME]],Table5[#All],2,0),"")</f>
        <v/>
      </c>
    </row>
    <row r="1259" spans="1:3" x14ac:dyDescent="0.3">
      <c r="A1259" s="5" t="s">
        <v>1928</v>
      </c>
      <c r="B1259" t="s">
        <v>7762</v>
      </c>
      <c r="C1259" t="str">
        <f>IFERROR(VLOOKUP(ILACLISTE[[#This Row],[NAME]],Table5[#All],2,0),"")</f>
        <v/>
      </c>
    </row>
    <row r="1260" spans="1:3" x14ac:dyDescent="0.3">
      <c r="A1260" s="5" t="s">
        <v>1929</v>
      </c>
      <c r="B1260" t="s">
        <v>7763</v>
      </c>
      <c r="C1260" t="str">
        <f>IFERROR(VLOOKUP(ILACLISTE[[#This Row],[NAME]],Table5[#All],2,0),"")</f>
        <v/>
      </c>
    </row>
    <row r="1261" spans="1:3" x14ac:dyDescent="0.3">
      <c r="A1261" s="5" t="s">
        <v>1930</v>
      </c>
      <c r="B1261" t="s">
        <v>7764</v>
      </c>
      <c r="C1261" t="str">
        <f>IFERROR(VLOOKUP(ILACLISTE[[#This Row],[NAME]],Table5[#All],2,0),"")</f>
        <v/>
      </c>
    </row>
    <row r="1262" spans="1:3" x14ac:dyDescent="0.3">
      <c r="A1262" s="5" t="s">
        <v>1931</v>
      </c>
      <c r="B1262" t="s">
        <v>161</v>
      </c>
      <c r="C1262" t="str">
        <f>IFERROR(VLOOKUP(ILACLISTE[[#This Row],[NAME]],Table5[#All],2,0),"")</f>
        <v/>
      </c>
    </row>
    <row r="1263" spans="1:3" x14ac:dyDescent="0.3">
      <c r="A1263" s="5" t="s">
        <v>1932</v>
      </c>
      <c r="B1263" t="s">
        <v>162</v>
      </c>
      <c r="C1263" t="str">
        <f>IFERROR(VLOOKUP(ILACLISTE[[#This Row],[NAME]],Table5[#All],2,0),"")</f>
        <v/>
      </c>
    </row>
    <row r="1264" spans="1:3" x14ac:dyDescent="0.3">
      <c r="A1264" s="5" t="s">
        <v>1933</v>
      </c>
      <c r="B1264" t="s">
        <v>163</v>
      </c>
      <c r="C1264" t="str">
        <f>IFERROR(VLOOKUP(ILACLISTE[[#This Row],[NAME]],Table5[#All],2,0),"")</f>
        <v/>
      </c>
    </row>
    <row r="1265" spans="1:3" x14ac:dyDescent="0.3">
      <c r="A1265" s="5" t="s">
        <v>1934</v>
      </c>
      <c r="B1265" t="s">
        <v>164</v>
      </c>
      <c r="C1265" t="str">
        <f>IFERROR(VLOOKUP(ILACLISTE[[#This Row],[NAME]],Table5[#All],2,0),"")</f>
        <v/>
      </c>
    </row>
    <row r="1266" spans="1:3" x14ac:dyDescent="0.3">
      <c r="A1266" s="5" t="s">
        <v>1935</v>
      </c>
      <c r="B1266" t="s">
        <v>7765</v>
      </c>
      <c r="C1266" t="str">
        <f>IFERROR(VLOOKUP(ILACLISTE[[#This Row],[NAME]],Table5[#All],2,0),"")</f>
        <v/>
      </c>
    </row>
    <row r="1267" spans="1:3" x14ac:dyDescent="0.3">
      <c r="A1267" s="5" t="s">
        <v>1936</v>
      </c>
      <c r="B1267" t="s">
        <v>7766</v>
      </c>
      <c r="C1267" t="str">
        <f>IFERROR(VLOOKUP(ILACLISTE[[#This Row],[NAME]],Table5[#All],2,0),"")</f>
        <v/>
      </c>
    </row>
    <row r="1268" spans="1:3" x14ac:dyDescent="0.3">
      <c r="A1268" s="5" t="s">
        <v>1937</v>
      </c>
      <c r="B1268" t="s">
        <v>7767</v>
      </c>
      <c r="C1268" t="str">
        <f>IFERROR(VLOOKUP(ILACLISTE[[#This Row],[NAME]],Table5[#All],2,0),"")</f>
        <v/>
      </c>
    </row>
    <row r="1269" spans="1:3" x14ac:dyDescent="0.3">
      <c r="A1269" s="5" t="s">
        <v>1938</v>
      </c>
      <c r="B1269" t="s">
        <v>7768</v>
      </c>
      <c r="C1269" t="str">
        <f>IFERROR(VLOOKUP(ILACLISTE[[#This Row],[NAME]],Table5[#All],2,0),"")</f>
        <v/>
      </c>
    </row>
    <row r="1270" spans="1:3" x14ac:dyDescent="0.3">
      <c r="A1270" s="5" t="s">
        <v>1939</v>
      </c>
      <c r="B1270" t="s">
        <v>7769</v>
      </c>
      <c r="C1270" t="str">
        <f>IFERROR(VLOOKUP(ILACLISTE[[#This Row],[NAME]],Table5[#All],2,0),"")</f>
        <v/>
      </c>
    </row>
    <row r="1271" spans="1:3" x14ac:dyDescent="0.3">
      <c r="A1271" s="5" t="s">
        <v>1940</v>
      </c>
      <c r="B1271" t="s">
        <v>7770</v>
      </c>
      <c r="C1271" t="str">
        <f>IFERROR(VLOOKUP(ILACLISTE[[#This Row],[NAME]],Table5[#All],2,0),"")</f>
        <v/>
      </c>
    </row>
    <row r="1272" spans="1:3" x14ac:dyDescent="0.3">
      <c r="A1272" s="5" t="s">
        <v>1941</v>
      </c>
      <c r="B1272" t="s">
        <v>7771</v>
      </c>
      <c r="C1272" t="str">
        <f>IFERROR(VLOOKUP(ILACLISTE[[#This Row],[NAME]],Table5[#All],2,0),"")</f>
        <v/>
      </c>
    </row>
    <row r="1273" spans="1:3" x14ac:dyDescent="0.3">
      <c r="A1273" s="5" t="s">
        <v>1942</v>
      </c>
      <c r="B1273" t="s">
        <v>7772</v>
      </c>
      <c r="C1273" t="str">
        <f>IFERROR(VLOOKUP(ILACLISTE[[#This Row],[NAME]],Table5[#All],2,0),"")</f>
        <v/>
      </c>
    </row>
    <row r="1274" spans="1:3" x14ac:dyDescent="0.3">
      <c r="A1274" s="5" t="s">
        <v>1943</v>
      </c>
      <c r="B1274" t="s">
        <v>7773</v>
      </c>
      <c r="C1274" t="str">
        <f>IFERROR(VLOOKUP(ILACLISTE[[#This Row],[NAME]],Table5[#All],2,0),"")</f>
        <v/>
      </c>
    </row>
    <row r="1275" spans="1:3" x14ac:dyDescent="0.3">
      <c r="A1275" s="5" t="s">
        <v>1944</v>
      </c>
      <c r="B1275" t="s">
        <v>7774</v>
      </c>
      <c r="C1275" t="str">
        <f>IFERROR(VLOOKUP(ILACLISTE[[#This Row],[NAME]],Table5[#All],2,0),"")</f>
        <v/>
      </c>
    </row>
    <row r="1276" spans="1:3" x14ac:dyDescent="0.3">
      <c r="A1276" s="5" t="s">
        <v>1945</v>
      </c>
      <c r="B1276" t="s">
        <v>7775</v>
      </c>
      <c r="C1276" t="str">
        <f>IFERROR(VLOOKUP(ILACLISTE[[#This Row],[NAME]],Table5[#All],2,0),"")</f>
        <v/>
      </c>
    </row>
    <row r="1277" spans="1:3" x14ac:dyDescent="0.3">
      <c r="A1277" s="5" t="s">
        <v>1946</v>
      </c>
      <c r="B1277" t="s">
        <v>7776</v>
      </c>
      <c r="C1277" t="str">
        <f>IFERROR(VLOOKUP(ILACLISTE[[#This Row],[NAME]],Table5[#All],2,0),"")</f>
        <v/>
      </c>
    </row>
    <row r="1278" spans="1:3" x14ac:dyDescent="0.3">
      <c r="A1278" s="5" t="s">
        <v>1947</v>
      </c>
      <c r="B1278" t="s">
        <v>7777</v>
      </c>
      <c r="C1278" t="str">
        <f>IFERROR(VLOOKUP(ILACLISTE[[#This Row],[NAME]],Table5[#All],2,0),"")</f>
        <v/>
      </c>
    </row>
    <row r="1279" spans="1:3" x14ac:dyDescent="0.3">
      <c r="A1279" s="5" t="s">
        <v>1948</v>
      </c>
      <c r="B1279" t="s">
        <v>7778</v>
      </c>
      <c r="C1279" t="str">
        <f>IFERROR(VLOOKUP(ILACLISTE[[#This Row],[NAME]],Table5[#All],2,0),"")</f>
        <v/>
      </c>
    </row>
    <row r="1280" spans="1:3" x14ac:dyDescent="0.3">
      <c r="A1280" s="5" t="s">
        <v>1949</v>
      </c>
      <c r="B1280" t="s">
        <v>7779</v>
      </c>
      <c r="C1280" t="str">
        <f>IFERROR(VLOOKUP(ILACLISTE[[#This Row],[NAME]],Table5[#All],2,0),"")</f>
        <v/>
      </c>
    </row>
    <row r="1281" spans="1:3" x14ac:dyDescent="0.3">
      <c r="A1281" s="5" t="s">
        <v>1950</v>
      </c>
      <c r="B1281" t="s">
        <v>7780</v>
      </c>
      <c r="C1281" t="str">
        <f>IFERROR(VLOOKUP(ILACLISTE[[#This Row],[NAME]],Table5[#All],2,0),"")</f>
        <v/>
      </c>
    </row>
    <row r="1282" spans="1:3" x14ac:dyDescent="0.3">
      <c r="A1282" s="5" t="s">
        <v>1951</v>
      </c>
      <c r="B1282" t="s">
        <v>7781</v>
      </c>
      <c r="C1282" t="str">
        <f>IFERROR(VLOOKUP(ILACLISTE[[#This Row],[NAME]],Table5[#All],2,0),"")</f>
        <v/>
      </c>
    </row>
    <row r="1283" spans="1:3" x14ac:dyDescent="0.3">
      <c r="A1283" s="5" t="s">
        <v>1952</v>
      </c>
      <c r="B1283" t="s">
        <v>7782</v>
      </c>
      <c r="C1283" t="str">
        <f>IFERROR(VLOOKUP(ILACLISTE[[#This Row],[NAME]],Table5[#All],2,0),"")</f>
        <v/>
      </c>
    </row>
    <row r="1284" spans="1:3" x14ac:dyDescent="0.3">
      <c r="A1284" s="5" t="s">
        <v>1953</v>
      </c>
      <c r="B1284" t="s">
        <v>7783</v>
      </c>
      <c r="C1284" t="str">
        <f>IFERROR(VLOOKUP(ILACLISTE[[#This Row],[NAME]],Table5[#All],2,0),"")</f>
        <v/>
      </c>
    </row>
    <row r="1285" spans="1:3" x14ac:dyDescent="0.3">
      <c r="A1285" s="5" t="s">
        <v>1954</v>
      </c>
      <c r="B1285" t="s">
        <v>165</v>
      </c>
      <c r="C1285" t="str">
        <f>IFERROR(VLOOKUP(ILACLISTE[[#This Row],[NAME]],Table5[#All],2,0),"")</f>
        <v/>
      </c>
    </row>
    <row r="1286" spans="1:3" x14ac:dyDescent="0.3">
      <c r="A1286" s="5" t="s">
        <v>1955</v>
      </c>
      <c r="B1286" t="s">
        <v>7784</v>
      </c>
      <c r="C1286" t="str">
        <f>IFERROR(VLOOKUP(ILACLISTE[[#This Row],[NAME]],Table5[#All],2,0),"")</f>
        <v/>
      </c>
    </row>
    <row r="1287" spans="1:3" x14ac:dyDescent="0.3">
      <c r="A1287" s="5" t="s">
        <v>1956</v>
      </c>
      <c r="B1287" t="s">
        <v>7785</v>
      </c>
      <c r="C1287" t="str">
        <f>IFERROR(VLOOKUP(ILACLISTE[[#This Row],[NAME]],Table5[#All],2,0),"")</f>
        <v/>
      </c>
    </row>
    <row r="1288" spans="1:3" x14ac:dyDescent="0.3">
      <c r="A1288" s="5" t="s">
        <v>1957</v>
      </c>
      <c r="B1288" t="s">
        <v>7786</v>
      </c>
      <c r="C1288" t="str">
        <f>IFERROR(VLOOKUP(ILACLISTE[[#This Row],[NAME]],Table5[#All],2,0),"")</f>
        <v/>
      </c>
    </row>
    <row r="1289" spans="1:3" x14ac:dyDescent="0.3">
      <c r="A1289" s="5" t="s">
        <v>1958</v>
      </c>
      <c r="B1289" t="s">
        <v>7787</v>
      </c>
      <c r="C1289" t="str">
        <f>IFERROR(VLOOKUP(ILACLISTE[[#This Row],[NAME]],Table5[#All],2,0),"")</f>
        <v/>
      </c>
    </row>
    <row r="1290" spans="1:3" x14ac:dyDescent="0.3">
      <c r="A1290" s="5" t="s">
        <v>1959</v>
      </c>
      <c r="B1290" t="s">
        <v>7788</v>
      </c>
      <c r="C1290" t="str">
        <f>IFERROR(VLOOKUP(ILACLISTE[[#This Row],[NAME]],Table5[#All],2,0),"")</f>
        <v/>
      </c>
    </row>
    <row r="1291" spans="1:3" x14ac:dyDescent="0.3">
      <c r="A1291" s="5" t="s">
        <v>1960</v>
      </c>
      <c r="B1291" t="s">
        <v>7789</v>
      </c>
      <c r="C1291" t="str">
        <f>IFERROR(VLOOKUP(ILACLISTE[[#This Row],[NAME]],Table5[#All],2,0),"")</f>
        <v/>
      </c>
    </row>
    <row r="1292" spans="1:3" x14ac:dyDescent="0.3">
      <c r="A1292" s="5" t="s">
        <v>1961</v>
      </c>
      <c r="B1292" t="s">
        <v>7790</v>
      </c>
      <c r="C1292" t="str">
        <f>IFERROR(VLOOKUP(ILACLISTE[[#This Row],[NAME]],Table5[#All],2,0),"")</f>
        <v/>
      </c>
    </row>
    <row r="1293" spans="1:3" x14ac:dyDescent="0.3">
      <c r="A1293" s="5" t="s">
        <v>1962</v>
      </c>
      <c r="B1293" t="s">
        <v>7791</v>
      </c>
      <c r="C1293" t="str">
        <f>IFERROR(VLOOKUP(ILACLISTE[[#This Row],[NAME]],Table5[#All],2,0),"")</f>
        <v/>
      </c>
    </row>
    <row r="1294" spans="1:3" x14ac:dyDescent="0.3">
      <c r="A1294" s="5" t="s">
        <v>1963</v>
      </c>
      <c r="B1294" t="s">
        <v>7792</v>
      </c>
      <c r="C1294" t="str">
        <f>IFERROR(VLOOKUP(ILACLISTE[[#This Row],[NAME]],Table5[#All],2,0),"")</f>
        <v/>
      </c>
    </row>
    <row r="1295" spans="1:3" x14ac:dyDescent="0.3">
      <c r="A1295" s="5" t="s">
        <v>1964</v>
      </c>
      <c r="B1295" t="s">
        <v>7793</v>
      </c>
      <c r="C1295" t="str">
        <f>IFERROR(VLOOKUP(ILACLISTE[[#This Row],[NAME]],Table5[#All],2,0),"")</f>
        <v/>
      </c>
    </row>
    <row r="1296" spans="1:3" x14ac:dyDescent="0.3">
      <c r="A1296" s="5" t="s">
        <v>1965</v>
      </c>
      <c r="B1296" t="s">
        <v>7794</v>
      </c>
      <c r="C1296" t="str">
        <f>IFERROR(VLOOKUP(ILACLISTE[[#This Row],[NAME]],Table5[#All],2,0),"")</f>
        <v/>
      </c>
    </row>
    <row r="1297" spans="1:3" x14ac:dyDescent="0.3">
      <c r="A1297" s="5" t="s">
        <v>1966</v>
      </c>
      <c r="B1297" t="s">
        <v>7795</v>
      </c>
      <c r="C1297" t="str">
        <f>IFERROR(VLOOKUP(ILACLISTE[[#This Row],[NAME]],Table5[#All],2,0),"")</f>
        <v/>
      </c>
    </row>
    <row r="1298" spans="1:3" x14ac:dyDescent="0.3">
      <c r="A1298" s="5" t="s">
        <v>1967</v>
      </c>
      <c r="B1298" t="s">
        <v>7796</v>
      </c>
      <c r="C1298" t="str">
        <f>IFERROR(VLOOKUP(ILACLISTE[[#This Row],[NAME]],Table5[#All],2,0),"")</f>
        <v/>
      </c>
    </row>
    <row r="1299" spans="1:3" x14ac:dyDescent="0.3">
      <c r="A1299" s="5" t="s">
        <v>1968</v>
      </c>
      <c r="B1299" t="s">
        <v>7797</v>
      </c>
      <c r="C1299" t="str">
        <f>IFERROR(VLOOKUP(ILACLISTE[[#This Row],[NAME]],Table5[#All],2,0),"")</f>
        <v/>
      </c>
    </row>
    <row r="1300" spans="1:3" x14ac:dyDescent="0.3">
      <c r="A1300" s="5" t="s">
        <v>1969</v>
      </c>
      <c r="B1300" t="s">
        <v>7798</v>
      </c>
      <c r="C1300" t="str">
        <f>IFERROR(VLOOKUP(ILACLISTE[[#This Row],[NAME]],Table5[#All],2,0),"")</f>
        <v/>
      </c>
    </row>
    <row r="1301" spans="1:3" x14ac:dyDescent="0.3">
      <c r="A1301" s="5" t="s">
        <v>1970</v>
      </c>
      <c r="B1301" t="s">
        <v>7799</v>
      </c>
      <c r="C1301" t="str">
        <f>IFERROR(VLOOKUP(ILACLISTE[[#This Row],[NAME]],Table5[#All],2,0),"")</f>
        <v/>
      </c>
    </row>
    <row r="1302" spans="1:3" x14ac:dyDescent="0.3">
      <c r="A1302" s="5" t="s">
        <v>1971</v>
      </c>
      <c r="B1302" t="s">
        <v>7800</v>
      </c>
      <c r="C1302" t="str">
        <f>IFERROR(VLOOKUP(ILACLISTE[[#This Row],[NAME]],Table5[#All],2,0),"")</f>
        <v/>
      </c>
    </row>
    <row r="1303" spans="1:3" x14ac:dyDescent="0.3">
      <c r="A1303" s="5" t="s">
        <v>1972</v>
      </c>
      <c r="B1303" t="s">
        <v>7801</v>
      </c>
      <c r="C1303" t="str">
        <f>IFERROR(VLOOKUP(ILACLISTE[[#This Row],[NAME]],Table5[#All],2,0),"")</f>
        <v/>
      </c>
    </row>
    <row r="1304" spans="1:3" x14ac:dyDescent="0.3">
      <c r="A1304" s="5" t="s">
        <v>1973</v>
      </c>
      <c r="B1304" t="s">
        <v>7802</v>
      </c>
      <c r="C1304" t="str">
        <f>IFERROR(VLOOKUP(ILACLISTE[[#This Row],[NAME]],Table5[#All],2,0),"")</f>
        <v/>
      </c>
    </row>
    <row r="1305" spans="1:3" x14ac:dyDescent="0.3">
      <c r="A1305" s="5" t="s">
        <v>1974</v>
      </c>
      <c r="B1305" t="s">
        <v>7803</v>
      </c>
      <c r="C1305" t="str">
        <f>IFERROR(VLOOKUP(ILACLISTE[[#This Row],[NAME]],Table5[#All],2,0),"")</f>
        <v/>
      </c>
    </row>
    <row r="1306" spans="1:3" x14ac:dyDescent="0.3">
      <c r="A1306" s="5" t="s">
        <v>1975</v>
      </c>
      <c r="B1306" t="s">
        <v>7804</v>
      </c>
      <c r="C1306" t="str">
        <f>IFERROR(VLOOKUP(ILACLISTE[[#This Row],[NAME]],Table5[#All],2,0),"")</f>
        <v/>
      </c>
    </row>
    <row r="1307" spans="1:3" x14ac:dyDescent="0.3">
      <c r="A1307" s="5" t="s">
        <v>1976</v>
      </c>
      <c r="B1307" t="s">
        <v>7805</v>
      </c>
      <c r="C1307" t="str">
        <f>IFERROR(VLOOKUP(ILACLISTE[[#This Row],[NAME]],Table5[#All],2,0),"")</f>
        <v/>
      </c>
    </row>
    <row r="1308" spans="1:3" x14ac:dyDescent="0.3">
      <c r="A1308" s="5" t="s">
        <v>1977</v>
      </c>
      <c r="B1308" t="s">
        <v>7806</v>
      </c>
      <c r="C1308" t="str">
        <f>IFERROR(VLOOKUP(ILACLISTE[[#This Row],[NAME]],Table5[#All],2,0),"")</f>
        <v/>
      </c>
    </row>
    <row r="1309" spans="1:3" x14ac:dyDescent="0.3">
      <c r="A1309" s="5" t="s">
        <v>1978</v>
      </c>
      <c r="B1309" t="s">
        <v>7807</v>
      </c>
      <c r="C1309" t="str">
        <f>IFERROR(VLOOKUP(ILACLISTE[[#This Row],[NAME]],Table5[#All],2,0),"")</f>
        <v/>
      </c>
    </row>
    <row r="1310" spans="1:3" x14ac:dyDescent="0.3">
      <c r="A1310" s="5" t="s">
        <v>1979</v>
      </c>
      <c r="B1310" t="s">
        <v>7808</v>
      </c>
      <c r="C1310" t="str">
        <f>IFERROR(VLOOKUP(ILACLISTE[[#This Row],[NAME]],Table5[#All],2,0),"")</f>
        <v/>
      </c>
    </row>
    <row r="1311" spans="1:3" x14ac:dyDescent="0.3">
      <c r="A1311" s="5" t="s">
        <v>1980</v>
      </c>
      <c r="B1311" t="s">
        <v>7809</v>
      </c>
      <c r="C1311" t="str">
        <f>IFERROR(VLOOKUP(ILACLISTE[[#This Row],[NAME]],Table5[#All],2,0),"")</f>
        <v/>
      </c>
    </row>
    <row r="1312" spans="1:3" x14ac:dyDescent="0.3">
      <c r="A1312" s="5" t="s">
        <v>1981</v>
      </c>
      <c r="B1312" t="s">
        <v>7810</v>
      </c>
      <c r="C1312" t="str">
        <f>IFERROR(VLOOKUP(ILACLISTE[[#This Row],[NAME]],Table5[#All],2,0),"")</f>
        <v/>
      </c>
    </row>
    <row r="1313" spans="1:3" x14ac:dyDescent="0.3">
      <c r="A1313" s="5" t="s">
        <v>1982</v>
      </c>
      <c r="B1313" t="s">
        <v>7811</v>
      </c>
      <c r="C1313" t="str">
        <f>IFERROR(VLOOKUP(ILACLISTE[[#This Row],[NAME]],Table5[#All],2,0),"")</f>
        <v/>
      </c>
    </row>
    <row r="1314" spans="1:3" x14ac:dyDescent="0.3">
      <c r="A1314" s="5" t="s">
        <v>1983</v>
      </c>
      <c r="B1314" t="s">
        <v>7812</v>
      </c>
      <c r="C1314" t="str">
        <f>IFERROR(VLOOKUP(ILACLISTE[[#This Row],[NAME]],Table5[#All],2,0),"")</f>
        <v/>
      </c>
    </row>
    <row r="1315" spans="1:3" x14ac:dyDescent="0.3">
      <c r="A1315" s="5" t="s">
        <v>1984</v>
      </c>
      <c r="B1315" t="s">
        <v>7813</v>
      </c>
      <c r="C1315" t="str">
        <f>IFERROR(VLOOKUP(ILACLISTE[[#This Row],[NAME]],Table5[#All],2,0),"")</f>
        <v/>
      </c>
    </row>
    <row r="1316" spans="1:3" x14ac:dyDescent="0.3">
      <c r="A1316" s="5" t="s">
        <v>1985</v>
      </c>
      <c r="B1316" t="s">
        <v>7814</v>
      </c>
      <c r="C1316" t="str">
        <f>IFERROR(VLOOKUP(ILACLISTE[[#This Row],[NAME]],Table5[#All],2,0),"")</f>
        <v/>
      </c>
    </row>
    <row r="1317" spans="1:3" x14ac:dyDescent="0.3">
      <c r="A1317" s="5" t="s">
        <v>1986</v>
      </c>
      <c r="B1317" t="s">
        <v>166</v>
      </c>
      <c r="C1317" t="str">
        <f>IFERROR(VLOOKUP(ILACLISTE[[#This Row],[NAME]],Table5[#All],2,0),"")</f>
        <v/>
      </c>
    </row>
    <row r="1318" spans="1:3" x14ac:dyDescent="0.3">
      <c r="A1318" s="5" t="s">
        <v>1987</v>
      </c>
      <c r="B1318" t="s">
        <v>167</v>
      </c>
      <c r="C1318" t="str">
        <f>IFERROR(VLOOKUP(ILACLISTE[[#This Row],[NAME]],Table5[#All],2,0),"")</f>
        <v/>
      </c>
    </row>
    <row r="1319" spans="1:3" x14ac:dyDescent="0.3">
      <c r="A1319" s="5" t="s">
        <v>1988</v>
      </c>
      <c r="B1319" t="s">
        <v>7815</v>
      </c>
      <c r="C1319" t="str">
        <f>IFERROR(VLOOKUP(ILACLISTE[[#This Row],[NAME]],Table5[#All],2,0),"")</f>
        <v/>
      </c>
    </row>
    <row r="1320" spans="1:3" x14ac:dyDescent="0.3">
      <c r="A1320" s="5" t="s">
        <v>1989</v>
      </c>
      <c r="B1320" t="s">
        <v>7816</v>
      </c>
      <c r="C1320" t="str">
        <f>IFERROR(VLOOKUP(ILACLISTE[[#This Row],[NAME]],Table5[#All],2,0),"")</f>
        <v/>
      </c>
    </row>
    <row r="1321" spans="1:3" x14ac:dyDescent="0.3">
      <c r="A1321" s="5" t="s">
        <v>1990</v>
      </c>
      <c r="B1321" t="s">
        <v>7817</v>
      </c>
      <c r="C1321" t="str">
        <f>IFERROR(VLOOKUP(ILACLISTE[[#This Row],[NAME]],Table5[#All],2,0),"")</f>
        <v/>
      </c>
    </row>
    <row r="1322" spans="1:3" x14ac:dyDescent="0.3">
      <c r="A1322" s="5" t="s">
        <v>7818</v>
      </c>
      <c r="B1322" t="s">
        <v>7819</v>
      </c>
      <c r="C1322" t="str">
        <f>IFERROR(VLOOKUP(ILACLISTE[[#This Row],[NAME]],Table5[#All],2,0),"")</f>
        <v/>
      </c>
    </row>
    <row r="1323" spans="1:3" x14ac:dyDescent="0.3">
      <c r="A1323" s="5" t="s">
        <v>1991</v>
      </c>
      <c r="B1323" t="s">
        <v>7820</v>
      </c>
      <c r="C1323" t="str">
        <f>IFERROR(VLOOKUP(ILACLISTE[[#This Row],[NAME]],Table5[#All],2,0),"")</f>
        <v/>
      </c>
    </row>
    <row r="1324" spans="1:3" x14ac:dyDescent="0.3">
      <c r="A1324" s="5" t="s">
        <v>1992</v>
      </c>
      <c r="B1324" t="s">
        <v>7821</v>
      </c>
      <c r="C1324" t="str">
        <f>IFERROR(VLOOKUP(ILACLISTE[[#This Row],[NAME]],Table5[#All],2,0),"")</f>
        <v/>
      </c>
    </row>
    <row r="1325" spans="1:3" x14ac:dyDescent="0.3">
      <c r="A1325" s="5" t="s">
        <v>1993</v>
      </c>
      <c r="B1325" t="s">
        <v>7822</v>
      </c>
      <c r="C1325" t="str">
        <f>IFERROR(VLOOKUP(ILACLISTE[[#This Row],[NAME]],Table5[#All],2,0),"")</f>
        <v/>
      </c>
    </row>
    <row r="1326" spans="1:3" x14ac:dyDescent="0.3">
      <c r="A1326" s="5" t="s">
        <v>1994</v>
      </c>
      <c r="B1326" t="s">
        <v>168</v>
      </c>
      <c r="C1326" t="str">
        <f>IFERROR(VLOOKUP(ILACLISTE[[#This Row],[NAME]],Table5[#All],2,0),"")</f>
        <v/>
      </c>
    </row>
    <row r="1327" spans="1:3" x14ac:dyDescent="0.3">
      <c r="A1327" s="5" t="s">
        <v>1995</v>
      </c>
      <c r="B1327" t="s">
        <v>7823</v>
      </c>
      <c r="C1327" t="str">
        <f>IFERROR(VLOOKUP(ILACLISTE[[#This Row],[NAME]],Table5[#All],2,0),"")</f>
        <v/>
      </c>
    </row>
    <row r="1328" spans="1:3" x14ac:dyDescent="0.3">
      <c r="A1328" s="5" t="s">
        <v>1996</v>
      </c>
      <c r="B1328" t="s">
        <v>7824</v>
      </c>
      <c r="C1328" t="str">
        <f>IFERROR(VLOOKUP(ILACLISTE[[#This Row],[NAME]],Table5[#All],2,0),"")</f>
        <v/>
      </c>
    </row>
    <row r="1329" spans="1:3" x14ac:dyDescent="0.3">
      <c r="A1329" s="5" t="s">
        <v>1997</v>
      </c>
      <c r="B1329" t="s">
        <v>7825</v>
      </c>
      <c r="C1329" t="str">
        <f>IFERROR(VLOOKUP(ILACLISTE[[#This Row],[NAME]],Table5[#All],2,0),"")</f>
        <v/>
      </c>
    </row>
    <row r="1330" spans="1:3" x14ac:dyDescent="0.3">
      <c r="A1330" s="5" t="s">
        <v>1998</v>
      </c>
      <c r="B1330" t="s">
        <v>7826</v>
      </c>
      <c r="C1330" t="str">
        <f>IFERROR(VLOOKUP(ILACLISTE[[#This Row],[NAME]],Table5[#All],2,0),"")</f>
        <v/>
      </c>
    </row>
    <row r="1331" spans="1:3" x14ac:dyDescent="0.3">
      <c r="A1331" s="5" t="s">
        <v>1999</v>
      </c>
      <c r="B1331" t="s">
        <v>7827</v>
      </c>
      <c r="C1331" t="str">
        <f>IFERROR(VLOOKUP(ILACLISTE[[#This Row],[NAME]],Table5[#All],2,0),"")</f>
        <v/>
      </c>
    </row>
    <row r="1332" spans="1:3" x14ac:dyDescent="0.3">
      <c r="A1332" s="5" t="s">
        <v>2000</v>
      </c>
      <c r="B1332" t="s">
        <v>7828</v>
      </c>
      <c r="C1332" t="str">
        <f>IFERROR(VLOOKUP(ILACLISTE[[#This Row],[NAME]],Table5[#All],2,0),"")</f>
        <v/>
      </c>
    </row>
    <row r="1333" spans="1:3" x14ac:dyDescent="0.3">
      <c r="A1333" s="5" t="s">
        <v>2001</v>
      </c>
      <c r="B1333" t="s">
        <v>7829</v>
      </c>
      <c r="C1333" t="str">
        <f>IFERROR(VLOOKUP(ILACLISTE[[#This Row],[NAME]],Table5[#All],2,0),"")</f>
        <v/>
      </c>
    </row>
    <row r="1334" spans="1:3" x14ac:dyDescent="0.3">
      <c r="A1334" s="5" t="s">
        <v>2002</v>
      </c>
      <c r="B1334" t="s">
        <v>7830</v>
      </c>
      <c r="C1334" t="str">
        <f>IFERROR(VLOOKUP(ILACLISTE[[#This Row],[NAME]],Table5[#All],2,0),"")</f>
        <v/>
      </c>
    </row>
    <row r="1335" spans="1:3" x14ac:dyDescent="0.3">
      <c r="A1335" s="5" t="s">
        <v>2003</v>
      </c>
      <c r="B1335" t="s">
        <v>7831</v>
      </c>
      <c r="C1335" t="str">
        <f>IFERROR(VLOOKUP(ILACLISTE[[#This Row],[NAME]],Table5[#All],2,0),"")</f>
        <v/>
      </c>
    </row>
    <row r="1336" spans="1:3" x14ac:dyDescent="0.3">
      <c r="A1336" s="5" t="s">
        <v>2004</v>
      </c>
      <c r="B1336" t="s">
        <v>7832</v>
      </c>
      <c r="C1336" t="str">
        <f>IFERROR(VLOOKUP(ILACLISTE[[#This Row],[NAME]],Table5[#All],2,0),"")</f>
        <v/>
      </c>
    </row>
    <row r="1337" spans="1:3" x14ac:dyDescent="0.3">
      <c r="A1337" s="5" t="s">
        <v>2005</v>
      </c>
      <c r="B1337" t="s">
        <v>7833</v>
      </c>
      <c r="C1337" t="str">
        <f>IFERROR(VLOOKUP(ILACLISTE[[#This Row],[NAME]],Table5[#All],2,0),"")</f>
        <v/>
      </c>
    </row>
    <row r="1338" spans="1:3" x14ac:dyDescent="0.3">
      <c r="A1338" s="5" t="s">
        <v>2006</v>
      </c>
      <c r="B1338" t="s">
        <v>7834</v>
      </c>
      <c r="C1338" t="str">
        <f>IFERROR(VLOOKUP(ILACLISTE[[#This Row],[NAME]],Table5[#All],2,0),"")</f>
        <v/>
      </c>
    </row>
    <row r="1339" spans="1:3" x14ac:dyDescent="0.3">
      <c r="A1339" s="5" t="s">
        <v>2007</v>
      </c>
      <c r="B1339" t="s">
        <v>7835</v>
      </c>
      <c r="C1339" t="str">
        <f>IFERROR(VLOOKUP(ILACLISTE[[#This Row],[NAME]],Table5[#All],2,0),"")</f>
        <v/>
      </c>
    </row>
    <row r="1340" spans="1:3" x14ac:dyDescent="0.3">
      <c r="A1340" s="5" t="s">
        <v>2008</v>
      </c>
      <c r="B1340" t="s">
        <v>169</v>
      </c>
      <c r="C1340" t="str">
        <f>IFERROR(VLOOKUP(ILACLISTE[[#This Row],[NAME]],Table5[#All],2,0),"")</f>
        <v/>
      </c>
    </row>
    <row r="1341" spans="1:3" x14ac:dyDescent="0.3">
      <c r="A1341" s="5" t="s">
        <v>2009</v>
      </c>
      <c r="B1341" t="s">
        <v>7836</v>
      </c>
      <c r="C1341" t="str">
        <f>IFERROR(VLOOKUP(ILACLISTE[[#This Row],[NAME]],Table5[#All],2,0),"")</f>
        <v/>
      </c>
    </row>
    <row r="1342" spans="1:3" x14ac:dyDescent="0.3">
      <c r="A1342" s="5" t="s">
        <v>2010</v>
      </c>
      <c r="B1342" t="s">
        <v>170</v>
      </c>
      <c r="C1342" t="str">
        <f>IFERROR(VLOOKUP(ILACLISTE[[#This Row],[NAME]],Table5[#All],2,0),"")</f>
        <v/>
      </c>
    </row>
    <row r="1343" spans="1:3" x14ac:dyDescent="0.3">
      <c r="A1343" s="5" t="s">
        <v>2011</v>
      </c>
      <c r="B1343" t="s">
        <v>7837</v>
      </c>
      <c r="C1343" t="str">
        <f>IFERROR(VLOOKUP(ILACLISTE[[#This Row],[NAME]],Table5[#All],2,0),"")</f>
        <v/>
      </c>
    </row>
    <row r="1344" spans="1:3" x14ac:dyDescent="0.3">
      <c r="A1344" s="5" t="s">
        <v>2012</v>
      </c>
      <c r="B1344" t="s">
        <v>7838</v>
      </c>
      <c r="C1344" t="str">
        <f>IFERROR(VLOOKUP(ILACLISTE[[#This Row],[NAME]],Table5[#All],2,0),"")</f>
        <v/>
      </c>
    </row>
    <row r="1345" spans="1:3" x14ac:dyDescent="0.3">
      <c r="A1345" s="5" t="s">
        <v>2013</v>
      </c>
      <c r="B1345" t="s">
        <v>7839</v>
      </c>
      <c r="C1345" t="str">
        <f>IFERROR(VLOOKUP(ILACLISTE[[#This Row],[NAME]],Table5[#All],2,0),"")</f>
        <v/>
      </c>
    </row>
    <row r="1346" spans="1:3" x14ac:dyDescent="0.3">
      <c r="A1346" s="5" t="s">
        <v>2014</v>
      </c>
      <c r="B1346" t="s">
        <v>7840</v>
      </c>
      <c r="C1346" t="str">
        <f>IFERROR(VLOOKUP(ILACLISTE[[#This Row],[NAME]],Table5[#All],2,0),"")</f>
        <v/>
      </c>
    </row>
    <row r="1347" spans="1:3" x14ac:dyDescent="0.3">
      <c r="A1347" s="5" t="s">
        <v>2015</v>
      </c>
      <c r="B1347" t="s">
        <v>7841</v>
      </c>
      <c r="C1347" t="str">
        <f>IFERROR(VLOOKUP(ILACLISTE[[#This Row],[NAME]],Table5[#All],2,0),"")</f>
        <v/>
      </c>
    </row>
    <row r="1348" spans="1:3" x14ac:dyDescent="0.3">
      <c r="A1348" s="5" t="s">
        <v>2016</v>
      </c>
      <c r="B1348" t="s">
        <v>7842</v>
      </c>
      <c r="C1348" t="str">
        <f>IFERROR(VLOOKUP(ILACLISTE[[#This Row],[NAME]],Table5[#All],2,0),"")</f>
        <v/>
      </c>
    </row>
    <row r="1349" spans="1:3" x14ac:dyDescent="0.3">
      <c r="A1349" s="5" t="s">
        <v>2017</v>
      </c>
      <c r="B1349" t="s">
        <v>7843</v>
      </c>
      <c r="C1349" t="str">
        <f>IFERROR(VLOOKUP(ILACLISTE[[#This Row],[NAME]],Table5[#All],2,0),"")</f>
        <v/>
      </c>
    </row>
    <row r="1350" spans="1:3" x14ac:dyDescent="0.3">
      <c r="A1350" s="5" t="s">
        <v>2018</v>
      </c>
      <c r="B1350" t="s">
        <v>171</v>
      </c>
      <c r="C1350" t="str">
        <f>IFERROR(VLOOKUP(ILACLISTE[[#This Row],[NAME]],Table5[#All],2,0),"")</f>
        <v/>
      </c>
    </row>
    <row r="1351" spans="1:3" x14ac:dyDescent="0.3">
      <c r="A1351" s="5" t="s">
        <v>2019</v>
      </c>
      <c r="B1351" t="s">
        <v>7844</v>
      </c>
      <c r="C1351" t="str">
        <f>IFERROR(VLOOKUP(ILACLISTE[[#This Row],[NAME]],Table5[#All],2,0),"")</f>
        <v/>
      </c>
    </row>
    <row r="1352" spans="1:3" x14ac:dyDescent="0.3">
      <c r="A1352" s="5" t="s">
        <v>2020</v>
      </c>
      <c r="B1352" t="s">
        <v>7845</v>
      </c>
      <c r="C1352" t="str">
        <f>IFERROR(VLOOKUP(ILACLISTE[[#This Row],[NAME]],Table5[#All],2,0),"")</f>
        <v/>
      </c>
    </row>
    <row r="1353" spans="1:3" x14ac:dyDescent="0.3">
      <c r="A1353" s="5" t="s">
        <v>2021</v>
      </c>
      <c r="B1353" t="s">
        <v>7846</v>
      </c>
      <c r="C1353" t="str">
        <f>IFERROR(VLOOKUP(ILACLISTE[[#This Row],[NAME]],Table5[#All],2,0),"")</f>
        <v/>
      </c>
    </row>
    <row r="1354" spans="1:3" x14ac:dyDescent="0.3">
      <c r="A1354" s="5" t="s">
        <v>2022</v>
      </c>
      <c r="B1354" t="s">
        <v>7847</v>
      </c>
      <c r="C1354" t="str">
        <f>IFERROR(VLOOKUP(ILACLISTE[[#This Row],[NAME]],Table5[#All],2,0),"")</f>
        <v/>
      </c>
    </row>
    <row r="1355" spans="1:3" x14ac:dyDescent="0.3">
      <c r="A1355" s="5" t="s">
        <v>2023</v>
      </c>
      <c r="B1355" t="s">
        <v>7848</v>
      </c>
      <c r="C1355" t="str">
        <f>IFERROR(VLOOKUP(ILACLISTE[[#This Row],[NAME]],Table5[#All],2,0),"")</f>
        <v/>
      </c>
    </row>
    <row r="1356" spans="1:3" x14ac:dyDescent="0.3">
      <c r="A1356" s="5" t="s">
        <v>2024</v>
      </c>
      <c r="B1356" t="s">
        <v>7849</v>
      </c>
      <c r="C1356" t="str">
        <f>IFERROR(VLOOKUP(ILACLISTE[[#This Row],[NAME]],Table5[#All],2,0),"")</f>
        <v/>
      </c>
    </row>
    <row r="1357" spans="1:3" x14ac:dyDescent="0.3">
      <c r="A1357" s="5" t="s">
        <v>2025</v>
      </c>
      <c r="B1357" t="s">
        <v>7850</v>
      </c>
      <c r="C1357" t="str">
        <f>IFERROR(VLOOKUP(ILACLISTE[[#This Row],[NAME]],Table5[#All],2,0),"")</f>
        <v/>
      </c>
    </row>
    <row r="1358" spans="1:3" x14ac:dyDescent="0.3">
      <c r="A1358" s="5" t="s">
        <v>2026</v>
      </c>
      <c r="B1358" t="s">
        <v>7851</v>
      </c>
      <c r="C1358" t="str">
        <f>IFERROR(VLOOKUP(ILACLISTE[[#This Row],[NAME]],Table5[#All],2,0),"")</f>
        <v/>
      </c>
    </row>
    <row r="1359" spans="1:3" x14ac:dyDescent="0.3">
      <c r="A1359" s="5" t="s">
        <v>2027</v>
      </c>
      <c r="B1359" t="s">
        <v>7852</v>
      </c>
      <c r="C1359" t="str">
        <f>IFERROR(VLOOKUP(ILACLISTE[[#This Row],[NAME]],Table5[#All],2,0),"")</f>
        <v/>
      </c>
    </row>
    <row r="1360" spans="1:3" x14ac:dyDescent="0.3">
      <c r="A1360" s="5" t="s">
        <v>2028</v>
      </c>
      <c r="B1360" t="s">
        <v>7853</v>
      </c>
      <c r="C1360" t="str">
        <f>IFERROR(VLOOKUP(ILACLISTE[[#This Row],[NAME]],Table5[#All],2,0),"")</f>
        <v/>
      </c>
    </row>
    <row r="1361" spans="1:3" x14ac:dyDescent="0.3">
      <c r="A1361" s="5" t="s">
        <v>2029</v>
      </c>
      <c r="B1361" t="s">
        <v>7854</v>
      </c>
      <c r="C1361" t="str">
        <f>IFERROR(VLOOKUP(ILACLISTE[[#This Row],[NAME]],Table5[#All],2,0),"")</f>
        <v/>
      </c>
    </row>
    <row r="1362" spans="1:3" x14ac:dyDescent="0.3">
      <c r="A1362" s="5" t="s">
        <v>2030</v>
      </c>
      <c r="B1362" t="s">
        <v>7855</v>
      </c>
      <c r="C1362" t="str">
        <f>IFERROR(VLOOKUP(ILACLISTE[[#This Row],[NAME]],Table5[#All],2,0),"")</f>
        <v/>
      </c>
    </row>
    <row r="1363" spans="1:3" x14ac:dyDescent="0.3">
      <c r="A1363" s="5" t="s">
        <v>2031</v>
      </c>
      <c r="B1363" t="s">
        <v>7856</v>
      </c>
      <c r="C1363" t="str">
        <f>IFERROR(VLOOKUP(ILACLISTE[[#This Row],[NAME]],Table5[#All],2,0),"")</f>
        <v/>
      </c>
    </row>
    <row r="1364" spans="1:3" x14ac:dyDescent="0.3">
      <c r="A1364" s="5" t="s">
        <v>2032</v>
      </c>
      <c r="B1364" t="s">
        <v>7857</v>
      </c>
      <c r="C1364" t="str">
        <f>IFERROR(VLOOKUP(ILACLISTE[[#This Row],[NAME]],Table5[#All],2,0),"")</f>
        <v/>
      </c>
    </row>
    <row r="1365" spans="1:3" x14ac:dyDescent="0.3">
      <c r="A1365" s="5" t="s">
        <v>2033</v>
      </c>
      <c r="B1365" t="s">
        <v>7858</v>
      </c>
      <c r="C1365" t="str">
        <f>IFERROR(VLOOKUP(ILACLISTE[[#This Row],[NAME]],Table5[#All],2,0),"")</f>
        <v/>
      </c>
    </row>
    <row r="1366" spans="1:3" x14ac:dyDescent="0.3">
      <c r="A1366" s="5" t="s">
        <v>2034</v>
      </c>
      <c r="B1366" t="s">
        <v>7859</v>
      </c>
      <c r="C1366" t="str">
        <f>IFERROR(VLOOKUP(ILACLISTE[[#This Row],[NAME]],Table5[#All],2,0),"")</f>
        <v/>
      </c>
    </row>
    <row r="1367" spans="1:3" x14ac:dyDescent="0.3">
      <c r="A1367" s="5" t="s">
        <v>2035</v>
      </c>
      <c r="B1367" t="s">
        <v>172</v>
      </c>
      <c r="C1367" t="str">
        <f>IFERROR(VLOOKUP(ILACLISTE[[#This Row],[NAME]],Table5[#All],2,0),"")</f>
        <v/>
      </c>
    </row>
    <row r="1368" spans="1:3" x14ac:dyDescent="0.3">
      <c r="A1368" s="5" t="s">
        <v>2036</v>
      </c>
      <c r="B1368" t="s">
        <v>7860</v>
      </c>
      <c r="C1368" t="str">
        <f>IFERROR(VLOOKUP(ILACLISTE[[#This Row],[NAME]],Table5[#All],2,0),"")</f>
        <v/>
      </c>
    </row>
    <row r="1369" spans="1:3" x14ac:dyDescent="0.3">
      <c r="A1369" s="5" t="s">
        <v>2037</v>
      </c>
      <c r="B1369" t="s">
        <v>7861</v>
      </c>
      <c r="C1369" t="str">
        <f>IFERROR(VLOOKUP(ILACLISTE[[#This Row],[NAME]],Table5[#All],2,0),"")</f>
        <v/>
      </c>
    </row>
    <row r="1370" spans="1:3" x14ac:dyDescent="0.3">
      <c r="A1370" s="5" t="s">
        <v>2038</v>
      </c>
      <c r="B1370" t="s">
        <v>173</v>
      </c>
      <c r="C1370" t="str">
        <f>IFERROR(VLOOKUP(ILACLISTE[[#This Row],[NAME]],Table5[#All],2,0),"")</f>
        <v/>
      </c>
    </row>
    <row r="1371" spans="1:3" x14ac:dyDescent="0.3">
      <c r="A1371" s="5" t="s">
        <v>2039</v>
      </c>
      <c r="B1371" t="s">
        <v>174</v>
      </c>
      <c r="C1371" t="str">
        <f>IFERROR(VLOOKUP(ILACLISTE[[#This Row],[NAME]],Table5[#All],2,0),"")</f>
        <v/>
      </c>
    </row>
    <row r="1372" spans="1:3" x14ac:dyDescent="0.3">
      <c r="A1372" s="5" t="s">
        <v>2040</v>
      </c>
      <c r="B1372" t="s">
        <v>7862</v>
      </c>
      <c r="C1372" t="str">
        <f>IFERROR(VLOOKUP(ILACLISTE[[#This Row],[NAME]],Table5[#All],2,0),"")</f>
        <v/>
      </c>
    </row>
    <row r="1373" spans="1:3" x14ac:dyDescent="0.3">
      <c r="A1373" s="5" t="s">
        <v>2041</v>
      </c>
      <c r="B1373" t="s">
        <v>7863</v>
      </c>
      <c r="C1373" t="str">
        <f>IFERROR(VLOOKUP(ILACLISTE[[#This Row],[NAME]],Table5[#All],2,0),"")</f>
        <v/>
      </c>
    </row>
    <row r="1374" spans="1:3" x14ac:dyDescent="0.3">
      <c r="A1374" s="5" t="s">
        <v>2042</v>
      </c>
      <c r="B1374" t="s">
        <v>7864</v>
      </c>
      <c r="C1374" t="str">
        <f>IFERROR(VLOOKUP(ILACLISTE[[#This Row],[NAME]],Table5[#All],2,0),"")</f>
        <v/>
      </c>
    </row>
    <row r="1375" spans="1:3" x14ac:dyDescent="0.3">
      <c r="A1375" s="5" t="s">
        <v>2043</v>
      </c>
      <c r="B1375" t="s">
        <v>7865</v>
      </c>
      <c r="C1375" t="str">
        <f>IFERROR(VLOOKUP(ILACLISTE[[#This Row],[NAME]],Table5[#All],2,0),"")</f>
        <v/>
      </c>
    </row>
    <row r="1376" spans="1:3" x14ac:dyDescent="0.3">
      <c r="A1376" s="5" t="s">
        <v>2044</v>
      </c>
      <c r="B1376" t="s">
        <v>7866</v>
      </c>
      <c r="C1376" t="str">
        <f>IFERROR(VLOOKUP(ILACLISTE[[#This Row],[NAME]],Table5[#All],2,0),"")</f>
        <v/>
      </c>
    </row>
    <row r="1377" spans="1:3" ht="20.399999999999999" x14ac:dyDescent="0.3">
      <c r="A1377" s="6" t="s">
        <v>2045</v>
      </c>
      <c r="B1377" t="s">
        <v>7867</v>
      </c>
      <c r="C1377" t="str">
        <f>IFERROR(VLOOKUP(ILACLISTE[[#This Row],[NAME]],Table5[#All],2,0),"")</f>
        <v/>
      </c>
    </row>
    <row r="1378" spans="1:3" x14ac:dyDescent="0.3">
      <c r="A1378" s="5" t="s">
        <v>2046</v>
      </c>
      <c r="B1378" t="s">
        <v>7868</v>
      </c>
      <c r="C1378" t="str">
        <f>IFERROR(VLOOKUP(ILACLISTE[[#This Row],[NAME]],Table5[#All],2,0),"")</f>
        <v/>
      </c>
    </row>
    <row r="1379" spans="1:3" x14ac:dyDescent="0.3">
      <c r="A1379" s="5" t="s">
        <v>2047</v>
      </c>
      <c r="B1379" t="s">
        <v>7869</v>
      </c>
      <c r="C1379" t="str">
        <f>IFERROR(VLOOKUP(ILACLISTE[[#This Row],[NAME]],Table5[#All],2,0),"")</f>
        <v/>
      </c>
    </row>
    <row r="1380" spans="1:3" x14ac:dyDescent="0.3">
      <c r="A1380" s="5" t="s">
        <v>2048</v>
      </c>
      <c r="B1380" t="s">
        <v>175</v>
      </c>
      <c r="C1380" t="str">
        <f>IFERROR(VLOOKUP(ILACLISTE[[#This Row],[NAME]],Table5[#All],2,0),"")</f>
        <v/>
      </c>
    </row>
    <row r="1381" spans="1:3" x14ac:dyDescent="0.3">
      <c r="A1381" s="5" t="s">
        <v>2049</v>
      </c>
      <c r="B1381" t="s">
        <v>7870</v>
      </c>
      <c r="C1381" t="str">
        <f>IFERROR(VLOOKUP(ILACLISTE[[#This Row],[NAME]],Table5[#All],2,0),"")</f>
        <v/>
      </c>
    </row>
    <row r="1382" spans="1:3" x14ac:dyDescent="0.3">
      <c r="A1382" s="5" t="s">
        <v>2050</v>
      </c>
      <c r="B1382" t="s">
        <v>7871</v>
      </c>
      <c r="C1382" t="str">
        <f>IFERROR(VLOOKUP(ILACLISTE[[#This Row],[NAME]],Table5[#All],2,0),"")</f>
        <v/>
      </c>
    </row>
    <row r="1383" spans="1:3" x14ac:dyDescent="0.3">
      <c r="A1383" s="5" t="s">
        <v>2051</v>
      </c>
      <c r="B1383" t="s">
        <v>7872</v>
      </c>
      <c r="C1383" t="str">
        <f>IFERROR(VLOOKUP(ILACLISTE[[#This Row],[NAME]],Table5[#All],2,0),"")</f>
        <v/>
      </c>
    </row>
    <row r="1384" spans="1:3" x14ac:dyDescent="0.3">
      <c r="A1384" s="5" t="s">
        <v>2052</v>
      </c>
      <c r="B1384" t="s">
        <v>7873</v>
      </c>
      <c r="C1384" t="str">
        <f>IFERROR(VLOOKUP(ILACLISTE[[#This Row],[NAME]],Table5[#All],2,0),"")</f>
        <v/>
      </c>
    </row>
    <row r="1385" spans="1:3" x14ac:dyDescent="0.3">
      <c r="A1385" s="5" t="s">
        <v>2053</v>
      </c>
      <c r="B1385" t="s">
        <v>7874</v>
      </c>
      <c r="C1385" t="str">
        <f>IFERROR(VLOOKUP(ILACLISTE[[#This Row],[NAME]],Table5[#All],2,0),"")</f>
        <v/>
      </c>
    </row>
    <row r="1386" spans="1:3" x14ac:dyDescent="0.3">
      <c r="A1386" s="5" t="s">
        <v>2054</v>
      </c>
      <c r="B1386" t="s">
        <v>176</v>
      </c>
      <c r="C1386" t="str">
        <f>IFERROR(VLOOKUP(ILACLISTE[[#This Row],[NAME]],Table5[#All],2,0),"")</f>
        <v/>
      </c>
    </row>
    <row r="1387" spans="1:3" x14ac:dyDescent="0.3">
      <c r="A1387" s="5" t="s">
        <v>2055</v>
      </c>
      <c r="B1387" t="s">
        <v>7875</v>
      </c>
      <c r="C1387" t="str">
        <f>IFERROR(VLOOKUP(ILACLISTE[[#This Row],[NAME]],Table5[#All],2,0),"")</f>
        <v/>
      </c>
    </row>
    <row r="1388" spans="1:3" x14ac:dyDescent="0.3">
      <c r="A1388" s="5" t="s">
        <v>2056</v>
      </c>
      <c r="B1388" t="s">
        <v>7876</v>
      </c>
      <c r="C1388" t="str">
        <f>IFERROR(VLOOKUP(ILACLISTE[[#This Row],[NAME]],Table5[#All],2,0),"")</f>
        <v/>
      </c>
    </row>
    <row r="1389" spans="1:3" x14ac:dyDescent="0.3">
      <c r="A1389" s="5" t="s">
        <v>2057</v>
      </c>
      <c r="B1389" t="s">
        <v>7877</v>
      </c>
      <c r="C1389" t="str">
        <f>IFERROR(VLOOKUP(ILACLISTE[[#This Row],[NAME]],Table5[#All],2,0),"")</f>
        <v/>
      </c>
    </row>
    <row r="1390" spans="1:3" x14ac:dyDescent="0.3">
      <c r="A1390" s="5" t="s">
        <v>2058</v>
      </c>
      <c r="B1390" t="s">
        <v>7878</v>
      </c>
      <c r="C1390" t="str">
        <f>IFERROR(VLOOKUP(ILACLISTE[[#This Row],[NAME]],Table5[#All],2,0),"")</f>
        <v/>
      </c>
    </row>
    <row r="1391" spans="1:3" x14ac:dyDescent="0.3">
      <c r="A1391" s="5" t="s">
        <v>2059</v>
      </c>
      <c r="B1391" t="s">
        <v>7879</v>
      </c>
      <c r="C1391" t="str">
        <f>IFERROR(VLOOKUP(ILACLISTE[[#This Row],[NAME]],Table5[#All],2,0),"")</f>
        <v/>
      </c>
    </row>
    <row r="1392" spans="1:3" x14ac:dyDescent="0.3">
      <c r="A1392" s="5" t="s">
        <v>2060</v>
      </c>
      <c r="B1392" t="s">
        <v>7880</v>
      </c>
      <c r="C1392" t="str">
        <f>IFERROR(VLOOKUP(ILACLISTE[[#This Row],[NAME]],Table5[#All],2,0),"")</f>
        <v/>
      </c>
    </row>
    <row r="1393" spans="1:3" x14ac:dyDescent="0.3">
      <c r="A1393" s="5" t="s">
        <v>2061</v>
      </c>
      <c r="B1393" t="s">
        <v>7881</v>
      </c>
      <c r="C1393" t="str">
        <f>IFERROR(VLOOKUP(ILACLISTE[[#This Row],[NAME]],Table5[#All],2,0),"")</f>
        <v/>
      </c>
    </row>
    <row r="1394" spans="1:3" x14ac:dyDescent="0.3">
      <c r="A1394" s="5" t="s">
        <v>2062</v>
      </c>
      <c r="B1394" t="s">
        <v>7882</v>
      </c>
      <c r="C1394" t="str">
        <f>IFERROR(VLOOKUP(ILACLISTE[[#This Row],[NAME]],Table5[#All],2,0),"")</f>
        <v/>
      </c>
    </row>
    <row r="1395" spans="1:3" x14ac:dyDescent="0.3">
      <c r="A1395" s="5" t="s">
        <v>2063</v>
      </c>
      <c r="B1395" t="s">
        <v>7883</v>
      </c>
      <c r="C1395" t="str">
        <f>IFERROR(VLOOKUP(ILACLISTE[[#This Row],[NAME]],Table5[#All],2,0),"")</f>
        <v/>
      </c>
    </row>
    <row r="1396" spans="1:3" x14ac:dyDescent="0.3">
      <c r="A1396" s="5" t="s">
        <v>2064</v>
      </c>
      <c r="B1396" t="s">
        <v>7884</v>
      </c>
      <c r="C1396" t="str">
        <f>IFERROR(VLOOKUP(ILACLISTE[[#This Row],[NAME]],Table5[#All],2,0),"")</f>
        <v/>
      </c>
    </row>
    <row r="1397" spans="1:3" x14ac:dyDescent="0.3">
      <c r="A1397" s="5" t="s">
        <v>2065</v>
      </c>
      <c r="B1397" t="s">
        <v>7885</v>
      </c>
      <c r="C1397" t="str">
        <f>IFERROR(VLOOKUP(ILACLISTE[[#This Row],[NAME]],Table5[#All],2,0),"")</f>
        <v/>
      </c>
    </row>
    <row r="1398" spans="1:3" x14ac:dyDescent="0.3">
      <c r="A1398" s="5" t="s">
        <v>2066</v>
      </c>
      <c r="B1398" t="s">
        <v>7886</v>
      </c>
      <c r="C1398" t="str">
        <f>IFERROR(VLOOKUP(ILACLISTE[[#This Row],[NAME]],Table5[#All],2,0),"")</f>
        <v/>
      </c>
    </row>
    <row r="1399" spans="1:3" x14ac:dyDescent="0.3">
      <c r="A1399" s="5" t="s">
        <v>2067</v>
      </c>
      <c r="B1399" t="s">
        <v>7887</v>
      </c>
      <c r="C1399" t="str">
        <f>IFERROR(VLOOKUP(ILACLISTE[[#This Row],[NAME]],Table5[#All],2,0),"")</f>
        <v/>
      </c>
    </row>
    <row r="1400" spans="1:3" x14ac:dyDescent="0.3">
      <c r="A1400" s="5" t="s">
        <v>2068</v>
      </c>
      <c r="B1400" t="s">
        <v>7888</v>
      </c>
      <c r="C1400" t="str">
        <f>IFERROR(VLOOKUP(ILACLISTE[[#This Row],[NAME]],Table5[#All],2,0),"")</f>
        <v/>
      </c>
    </row>
    <row r="1401" spans="1:3" x14ac:dyDescent="0.3">
      <c r="A1401" s="5" t="s">
        <v>2069</v>
      </c>
      <c r="B1401" t="s">
        <v>177</v>
      </c>
      <c r="C1401" t="str">
        <f>IFERROR(VLOOKUP(ILACLISTE[[#This Row],[NAME]],Table5[#All],2,0),"")</f>
        <v/>
      </c>
    </row>
    <row r="1402" spans="1:3" x14ac:dyDescent="0.3">
      <c r="A1402" s="5" t="s">
        <v>2070</v>
      </c>
      <c r="B1402" t="s">
        <v>7889</v>
      </c>
      <c r="C1402" t="str">
        <f>IFERROR(VLOOKUP(ILACLISTE[[#This Row],[NAME]],Table5[#All],2,0),"")</f>
        <v/>
      </c>
    </row>
    <row r="1403" spans="1:3" x14ac:dyDescent="0.3">
      <c r="A1403" s="5" t="s">
        <v>2071</v>
      </c>
      <c r="B1403" t="s">
        <v>7890</v>
      </c>
      <c r="C1403" t="str">
        <f>IFERROR(VLOOKUP(ILACLISTE[[#This Row],[NAME]],Table5[#All],2,0),"")</f>
        <v/>
      </c>
    </row>
    <row r="1404" spans="1:3" x14ac:dyDescent="0.3">
      <c r="A1404" s="5" t="s">
        <v>2072</v>
      </c>
      <c r="B1404" t="s">
        <v>178</v>
      </c>
      <c r="C1404" t="str">
        <f>IFERROR(VLOOKUP(ILACLISTE[[#This Row],[NAME]],Table5[#All],2,0),"")</f>
        <v/>
      </c>
    </row>
    <row r="1405" spans="1:3" x14ac:dyDescent="0.3">
      <c r="A1405" s="5" t="s">
        <v>2073</v>
      </c>
      <c r="B1405" t="s">
        <v>7891</v>
      </c>
      <c r="C1405" t="str">
        <f>IFERROR(VLOOKUP(ILACLISTE[[#This Row],[NAME]],Table5[#All],2,0),"")</f>
        <v/>
      </c>
    </row>
    <row r="1406" spans="1:3" x14ac:dyDescent="0.3">
      <c r="A1406" s="5" t="s">
        <v>2074</v>
      </c>
      <c r="B1406" t="s">
        <v>7892</v>
      </c>
      <c r="C1406" t="str">
        <f>IFERROR(VLOOKUP(ILACLISTE[[#This Row],[NAME]],Table5[#All],2,0),"")</f>
        <v/>
      </c>
    </row>
    <row r="1407" spans="1:3" x14ac:dyDescent="0.3">
      <c r="A1407" s="5" t="s">
        <v>2075</v>
      </c>
      <c r="B1407" t="s">
        <v>7893</v>
      </c>
      <c r="C1407" t="str">
        <f>IFERROR(VLOOKUP(ILACLISTE[[#This Row],[NAME]],Table5[#All],2,0),"")</f>
        <v/>
      </c>
    </row>
    <row r="1408" spans="1:3" x14ac:dyDescent="0.3">
      <c r="A1408" s="5" t="s">
        <v>2076</v>
      </c>
      <c r="B1408" t="s">
        <v>7894</v>
      </c>
      <c r="C1408" t="str">
        <f>IFERROR(VLOOKUP(ILACLISTE[[#This Row],[NAME]],Table5[#All],2,0),"")</f>
        <v/>
      </c>
    </row>
    <row r="1409" spans="1:3" x14ac:dyDescent="0.3">
      <c r="A1409" s="5" t="s">
        <v>2077</v>
      </c>
      <c r="B1409" t="s">
        <v>7895</v>
      </c>
      <c r="C1409" t="str">
        <f>IFERROR(VLOOKUP(ILACLISTE[[#This Row],[NAME]],Table5[#All],2,0),"")</f>
        <v/>
      </c>
    </row>
    <row r="1410" spans="1:3" x14ac:dyDescent="0.3">
      <c r="A1410" s="5" t="s">
        <v>2078</v>
      </c>
      <c r="B1410" t="s">
        <v>7896</v>
      </c>
      <c r="C1410" t="str">
        <f>IFERROR(VLOOKUP(ILACLISTE[[#This Row],[NAME]],Table5[#All],2,0),"")</f>
        <v/>
      </c>
    </row>
    <row r="1411" spans="1:3" x14ac:dyDescent="0.3">
      <c r="A1411" s="5" t="s">
        <v>2079</v>
      </c>
      <c r="B1411" t="s">
        <v>7897</v>
      </c>
      <c r="C1411" t="str">
        <f>IFERROR(VLOOKUP(ILACLISTE[[#This Row],[NAME]],Table5[#All],2,0),"")</f>
        <v/>
      </c>
    </row>
    <row r="1412" spans="1:3" x14ac:dyDescent="0.3">
      <c r="A1412" s="5" t="s">
        <v>2080</v>
      </c>
      <c r="B1412" t="s">
        <v>7898</v>
      </c>
      <c r="C1412" t="str">
        <f>IFERROR(VLOOKUP(ILACLISTE[[#This Row],[NAME]],Table5[#All],2,0),"")</f>
        <v/>
      </c>
    </row>
    <row r="1413" spans="1:3" x14ac:dyDescent="0.3">
      <c r="A1413" s="5" t="s">
        <v>2081</v>
      </c>
      <c r="B1413" t="s">
        <v>7899</v>
      </c>
      <c r="C1413" t="str">
        <f>IFERROR(VLOOKUP(ILACLISTE[[#This Row],[NAME]],Table5[#All],2,0),"")</f>
        <v/>
      </c>
    </row>
    <row r="1414" spans="1:3" x14ac:dyDescent="0.3">
      <c r="A1414" s="5" t="s">
        <v>2082</v>
      </c>
      <c r="B1414" t="s">
        <v>7900</v>
      </c>
      <c r="C1414" t="str">
        <f>IFERROR(VLOOKUP(ILACLISTE[[#This Row],[NAME]],Table5[#All],2,0),"")</f>
        <v/>
      </c>
    </row>
    <row r="1415" spans="1:3" x14ac:dyDescent="0.3">
      <c r="A1415" s="5" t="s">
        <v>2083</v>
      </c>
      <c r="B1415" t="s">
        <v>179</v>
      </c>
      <c r="C1415" t="str">
        <f>IFERROR(VLOOKUP(ILACLISTE[[#This Row],[NAME]],Table5[#All],2,0),"")</f>
        <v/>
      </c>
    </row>
    <row r="1416" spans="1:3" x14ac:dyDescent="0.3">
      <c r="A1416" s="5" t="s">
        <v>2084</v>
      </c>
      <c r="B1416" t="s">
        <v>7901</v>
      </c>
      <c r="C1416" t="str">
        <f>IFERROR(VLOOKUP(ILACLISTE[[#This Row],[NAME]],Table5[#All],2,0),"")</f>
        <v/>
      </c>
    </row>
    <row r="1417" spans="1:3" x14ac:dyDescent="0.3">
      <c r="A1417" s="5" t="s">
        <v>2085</v>
      </c>
      <c r="B1417" t="s">
        <v>7902</v>
      </c>
      <c r="C1417" t="str">
        <f>IFERROR(VLOOKUP(ILACLISTE[[#This Row],[NAME]],Table5[#All],2,0),"")</f>
        <v/>
      </c>
    </row>
    <row r="1418" spans="1:3" x14ac:dyDescent="0.3">
      <c r="A1418" s="5" t="s">
        <v>2086</v>
      </c>
      <c r="B1418" t="s">
        <v>7903</v>
      </c>
      <c r="C1418" t="str">
        <f>IFERROR(VLOOKUP(ILACLISTE[[#This Row],[NAME]],Table5[#All],2,0),"")</f>
        <v/>
      </c>
    </row>
    <row r="1419" spans="1:3" x14ac:dyDescent="0.3">
      <c r="A1419" s="5" t="s">
        <v>2087</v>
      </c>
      <c r="B1419" t="s">
        <v>7904</v>
      </c>
      <c r="C1419" t="str">
        <f>IFERROR(VLOOKUP(ILACLISTE[[#This Row],[NAME]],Table5[#All],2,0),"")</f>
        <v/>
      </c>
    </row>
    <row r="1420" spans="1:3" x14ac:dyDescent="0.3">
      <c r="A1420" s="5" t="s">
        <v>2088</v>
      </c>
      <c r="B1420" t="s">
        <v>7905</v>
      </c>
      <c r="C1420" t="str">
        <f>IFERROR(VLOOKUP(ILACLISTE[[#This Row],[NAME]],Table5[#All],2,0),"")</f>
        <v/>
      </c>
    </row>
    <row r="1421" spans="1:3" x14ac:dyDescent="0.3">
      <c r="A1421" s="5" t="s">
        <v>2089</v>
      </c>
      <c r="B1421" t="s">
        <v>7906</v>
      </c>
      <c r="C1421" t="str">
        <f>IFERROR(VLOOKUP(ILACLISTE[[#This Row],[NAME]],Table5[#All],2,0),"")</f>
        <v/>
      </c>
    </row>
    <row r="1422" spans="1:3" x14ac:dyDescent="0.3">
      <c r="A1422" s="5" t="s">
        <v>2090</v>
      </c>
      <c r="B1422" t="s">
        <v>7907</v>
      </c>
      <c r="C1422" t="str">
        <f>IFERROR(VLOOKUP(ILACLISTE[[#This Row],[NAME]],Table5[#All],2,0),"")</f>
        <v/>
      </c>
    </row>
    <row r="1423" spans="1:3" x14ac:dyDescent="0.3">
      <c r="A1423" s="5" t="s">
        <v>2091</v>
      </c>
      <c r="B1423" t="s">
        <v>7908</v>
      </c>
      <c r="C1423" t="str">
        <f>IFERROR(VLOOKUP(ILACLISTE[[#This Row],[NAME]],Table5[#All],2,0),"")</f>
        <v/>
      </c>
    </row>
    <row r="1424" spans="1:3" x14ac:dyDescent="0.3">
      <c r="A1424" s="5" t="s">
        <v>2092</v>
      </c>
      <c r="B1424" t="s">
        <v>7909</v>
      </c>
      <c r="C1424" t="str">
        <f>IFERROR(VLOOKUP(ILACLISTE[[#This Row],[NAME]],Table5[#All],2,0),"")</f>
        <v/>
      </c>
    </row>
    <row r="1425" spans="1:3" x14ac:dyDescent="0.3">
      <c r="A1425" s="5" t="s">
        <v>2093</v>
      </c>
      <c r="B1425" t="s">
        <v>7910</v>
      </c>
      <c r="C1425" t="str">
        <f>IFERROR(VLOOKUP(ILACLISTE[[#This Row],[NAME]],Table5[#All],2,0),"")</f>
        <v/>
      </c>
    </row>
    <row r="1426" spans="1:3" x14ac:dyDescent="0.3">
      <c r="A1426" s="5" t="s">
        <v>2094</v>
      </c>
      <c r="B1426" t="s">
        <v>7911</v>
      </c>
      <c r="C1426" t="str">
        <f>IFERROR(VLOOKUP(ILACLISTE[[#This Row],[NAME]],Table5[#All],2,0),"")</f>
        <v/>
      </c>
    </row>
    <row r="1427" spans="1:3" x14ac:dyDescent="0.3">
      <c r="A1427" s="5" t="s">
        <v>2095</v>
      </c>
      <c r="B1427" t="s">
        <v>7912</v>
      </c>
      <c r="C1427" t="str">
        <f>IFERROR(VLOOKUP(ILACLISTE[[#This Row],[NAME]],Table5[#All],2,0),"")</f>
        <v/>
      </c>
    </row>
    <row r="1428" spans="1:3" x14ac:dyDescent="0.3">
      <c r="A1428" s="5" t="s">
        <v>2096</v>
      </c>
      <c r="B1428" t="s">
        <v>7913</v>
      </c>
      <c r="C1428" t="str">
        <f>IFERROR(VLOOKUP(ILACLISTE[[#This Row],[NAME]],Table5[#All],2,0),"")</f>
        <v/>
      </c>
    </row>
    <row r="1429" spans="1:3" x14ac:dyDescent="0.3">
      <c r="A1429" s="5" t="s">
        <v>2097</v>
      </c>
      <c r="B1429" t="s">
        <v>7914</v>
      </c>
      <c r="C1429" t="str">
        <f>IFERROR(VLOOKUP(ILACLISTE[[#This Row],[NAME]],Table5[#All],2,0),"")</f>
        <v/>
      </c>
    </row>
    <row r="1430" spans="1:3" x14ac:dyDescent="0.3">
      <c r="A1430" s="5" t="s">
        <v>7915</v>
      </c>
      <c r="B1430" t="s">
        <v>7916</v>
      </c>
      <c r="C1430" t="str">
        <f>IFERROR(VLOOKUP(ILACLISTE[[#This Row],[NAME]],Table5[#All],2,0),"")</f>
        <v/>
      </c>
    </row>
    <row r="1431" spans="1:3" x14ac:dyDescent="0.3">
      <c r="A1431" s="5" t="s">
        <v>2098</v>
      </c>
      <c r="B1431" t="s">
        <v>7917</v>
      </c>
      <c r="C1431" t="str">
        <f>IFERROR(VLOOKUP(ILACLISTE[[#This Row],[NAME]],Table5[#All],2,0),"")</f>
        <v/>
      </c>
    </row>
    <row r="1432" spans="1:3" x14ac:dyDescent="0.3">
      <c r="A1432" s="5" t="s">
        <v>2099</v>
      </c>
      <c r="B1432" t="s">
        <v>7918</v>
      </c>
      <c r="C1432" t="str">
        <f>IFERROR(VLOOKUP(ILACLISTE[[#This Row],[NAME]],Table5[#All],2,0),"")</f>
        <v/>
      </c>
    </row>
    <row r="1433" spans="1:3" x14ac:dyDescent="0.3">
      <c r="A1433" s="5" t="s">
        <v>2100</v>
      </c>
      <c r="B1433" t="s">
        <v>7919</v>
      </c>
      <c r="C1433" t="str">
        <f>IFERROR(VLOOKUP(ILACLISTE[[#This Row],[NAME]],Table5[#All],2,0),"")</f>
        <v/>
      </c>
    </row>
    <row r="1434" spans="1:3" x14ac:dyDescent="0.3">
      <c r="A1434" s="5" t="s">
        <v>2101</v>
      </c>
      <c r="B1434" t="s">
        <v>7920</v>
      </c>
      <c r="C1434" t="str">
        <f>IFERROR(VLOOKUP(ILACLISTE[[#This Row],[NAME]],Table5[#All],2,0),"")</f>
        <v/>
      </c>
    </row>
    <row r="1435" spans="1:3" x14ac:dyDescent="0.3">
      <c r="A1435" s="5" t="s">
        <v>2102</v>
      </c>
      <c r="B1435" t="s">
        <v>7921</v>
      </c>
      <c r="C1435" t="str">
        <f>IFERROR(VLOOKUP(ILACLISTE[[#This Row],[NAME]],Table5[#All],2,0),"")</f>
        <v/>
      </c>
    </row>
    <row r="1436" spans="1:3" x14ac:dyDescent="0.3">
      <c r="A1436" s="5" t="s">
        <v>2103</v>
      </c>
      <c r="B1436" t="s">
        <v>7922</v>
      </c>
      <c r="C1436" t="str">
        <f>IFERROR(VLOOKUP(ILACLISTE[[#This Row],[NAME]],Table5[#All],2,0),"")</f>
        <v/>
      </c>
    </row>
    <row r="1437" spans="1:3" x14ac:dyDescent="0.3">
      <c r="A1437" s="5" t="s">
        <v>2104</v>
      </c>
      <c r="B1437" t="s">
        <v>7923</v>
      </c>
      <c r="C1437" t="str">
        <f>IFERROR(VLOOKUP(ILACLISTE[[#This Row],[NAME]],Table5[#All],2,0),"")</f>
        <v/>
      </c>
    </row>
    <row r="1438" spans="1:3" x14ac:dyDescent="0.3">
      <c r="A1438" s="5" t="s">
        <v>2105</v>
      </c>
      <c r="B1438" t="s">
        <v>7924</v>
      </c>
      <c r="C1438" t="str">
        <f>IFERROR(VLOOKUP(ILACLISTE[[#This Row],[NAME]],Table5[#All],2,0),"")</f>
        <v/>
      </c>
    </row>
    <row r="1439" spans="1:3" x14ac:dyDescent="0.3">
      <c r="A1439" s="5" t="s">
        <v>2106</v>
      </c>
      <c r="B1439" t="s">
        <v>7925</v>
      </c>
      <c r="C1439" t="str">
        <f>IFERROR(VLOOKUP(ILACLISTE[[#This Row],[NAME]],Table5[#All],2,0),"")</f>
        <v/>
      </c>
    </row>
    <row r="1440" spans="1:3" x14ac:dyDescent="0.3">
      <c r="A1440" s="5" t="s">
        <v>2107</v>
      </c>
      <c r="B1440" t="s">
        <v>7926</v>
      </c>
      <c r="C1440" t="str">
        <f>IFERROR(VLOOKUP(ILACLISTE[[#This Row],[NAME]],Table5[#All],2,0),"")</f>
        <v/>
      </c>
    </row>
    <row r="1441" spans="1:3" x14ac:dyDescent="0.3">
      <c r="A1441" s="5" t="s">
        <v>2108</v>
      </c>
      <c r="B1441" t="s">
        <v>7927</v>
      </c>
      <c r="C1441" t="str">
        <f>IFERROR(VLOOKUP(ILACLISTE[[#This Row],[NAME]],Table5[#All],2,0),"")</f>
        <v/>
      </c>
    </row>
    <row r="1442" spans="1:3" x14ac:dyDescent="0.3">
      <c r="A1442" s="5" t="s">
        <v>2109</v>
      </c>
      <c r="B1442" t="s">
        <v>7928</v>
      </c>
      <c r="C1442" t="str">
        <f>IFERROR(VLOOKUP(ILACLISTE[[#This Row],[NAME]],Table5[#All],2,0),"")</f>
        <v/>
      </c>
    </row>
    <row r="1443" spans="1:3" x14ac:dyDescent="0.3">
      <c r="A1443" s="5" t="s">
        <v>2110</v>
      </c>
      <c r="B1443" t="s">
        <v>7929</v>
      </c>
      <c r="C1443" t="str">
        <f>IFERROR(VLOOKUP(ILACLISTE[[#This Row],[NAME]],Table5[#All],2,0),"")</f>
        <v/>
      </c>
    </row>
    <row r="1444" spans="1:3" x14ac:dyDescent="0.3">
      <c r="A1444" s="5" t="s">
        <v>2111</v>
      </c>
      <c r="B1444" t="s">
        <v>7930</v>
      </c>
      <c r="C1444" t="str">
        <f>IFERROR(VLOOKUP(ILACLISTE[[#This Row],[NAME]],Table5[#All],2,0),"")</f>
        <v/>
      </c>
    </row>
    <row r="1445" spans="1:3" x14ac:dyDescent="0.3">
      <c r="A1445" s="5" t="s">
        <v>2112</v>
      </c>
      <c r="B1445" t="s">
        <v>7931</v>
      </c>
      <c r="C1445" t="str">
        <f>IFERROR(VLOOKUP(ILACLISTE[[#This Row],[NAME]],Table5[#All],2,0),"")</f>
        <v/>
      </c>
    </row>
    <row r="1446" spans="1:3" x14ac:dyDescent="0.3">
      <c r="A1446" s="5" t="s">
        <v>2113</v>
      </c>
      <c r="B1446" t="s">
        <v>7932</v>
      </c>
      <c r="C1446" t="str">
        <f>IFERROR(VLOOKUP(ILACLISTE[[#This Row],[NAME]],Table5[#All],2,0),"")</f>
        <v/>
      </c>
    </row>
    <row r="1447" spans="1:3" x14ac:dyDescent="0.3">
      <c r="A1447" s="5" t="s">
        <v>2114</v>
      </c>
      <c r="B1447" t="s">
        <v>7933</v>
      </c>
      <c r="C1447" t="str">
        <f>IFERROR(VLOOKUP(ILACLISTE[[#This Row],[NAME]],Table5[#All],2,0),"")</f>
        <v/>
      </c>
    </row>
    <row r="1448" spans="1:3" x14ac:dyDescent="0.3">
      <c r="A1448" s="5" t="s">
        <v>2115</v>
      </c>
      <c r="B1448" t="s">
        <v>7934</v>
      </c>
      <c r="C1448" t="str">
        <f>IFERROR(VLOOKUP(ILACLISTE[[#This Row],[NAME]],Table5[#All],2,0),"")</f>
        <v/>
      </c>
    </row>
    <row r="1449" spans="1:3" x14ac:dyDescent="0.3">
      <c r="A1449" s="5" t="s">
        <v>2116</v>
      </c>
      <c r="B1449" t="s">
        <v>7935</v>
      </c>
      <c r="C1449" t="str">
        <f>IFERROR(VLOOKUP(ILACLISTE[[#This Row],[NAME]],Table5[#All],2,0),"")</f>
        <v/>
      </c>
    </row>
    <row r="1450" spans="1:3" x14ac:dyDescent="0.3">
      <c r="A1450" s="5" t="s">
        <v>2117</v>
      </c>
      <c r="B1450" t="s">
        <v>7936</v>
      </c>
      <c r="C1450" t="str">
        <f>IFERROR(VLOOKUP(ILACLISTE[[#This Row],[NAME]],Table5[#All],2,0),"")</f>
        <v/>
      </c>
    </row>
    <row r="1451" spans="1:3" x14ac:dyDescent="0.3">
      <c r="A1451" s="5" t="s">
        <v>2118</v>
      </c>
      <c r="B1451" t="s">
        <v>7937</v>
      </c>
      <c r="C1451" t="str">
        <f>IFERROR(VLOOKUP(ILACLISTE[[#This Row],[NAME]],Table5[#All],2,0),"")</f>
        <v/>
      </c>
    </row>
    <row r="1452" spans="1:3" x14ac:dyDescent="0.3">
      <c r="A1452" s="5" t="s">
        <v>2119</v>
      </c>
      <c r="B1452" t="s">
        <v>7938</v>
      </c>
      <c r="C1452" t="str">
        <f>IFERROR(VLOOKUP(ILACLISTE[[#This Row],[NAME]],Table5[#All],2,0),"")</f>
        <v/>
      </c>
    </row>
    <row r="1453" spans="1:3" x14ac:dyDescent="0.3">
      <c r="A1453" s="5" t="s">
        <v>2120</v>
      </c>
      <c r="B1453" t="s">
        <v>7939</v>
      </c>
      <c r="C1453" t="str">
        <f>IFERROR(VLOOKUP(ILACLISTE[[#This Row],[NAME]],Table5[#All],2,0),"")</f>
        <v/>
      </c>
    </row>
    <row r="1454" spans="1:3" x14ac:dyDescent="0.3">
      <c r="A1454" s="5" t="s">
        <v>2121</v>
      </c>
      <c r="B1454" t="s">
        <v>7940</v>
      </c>
      <c r="C1454" t="str">
        <f>IFERROR(VLOOKUP(ILACLISTE[[#This Row],[NAME]],Table5[#All],2,0),"")</f>
        <v/>
      </c>
    </row>
    <row r="1455" spans="1:3" x14ac:dyDescent="0.3">
      <c r="A1455" s="5" t="s">
        <v>2122</v>
      </c>
      <c r="B1455" t="s">
        <v>7941</v>
      </c>
      <c r="C1455" t="str">
        <f>IFERROR(VLOOKUP(ILACLISTE[[#This Row],[NAME]],Table5[#All],2,0),"")</f>
        <v/>
      </c>
    </row>
    <row r="1456" spans="1:3" x14ac:dyDescent="0.3">
      <c r="A1456" s="5" t="s">
        <v>2123</v>
      </c>
      <c r="B1456" t="s">
        <v>7942</v>
      </c>
      <c r="C1456" t="str">
        <f>IFERROR(VLOOKUP(ILACLISTE[[#This Row],[NAME]],Table5[#All],2,0),"")</f>
        <v/>
      </c>
    </row>
    <row r="1457" spans="1:3" x14ac:dyDescent="0.3">
      <c r="A1457" s="5" t="s">
        <v>2124</v>
      </c>
      <c r="B1457" t="s">
        <v>7943</v>
      </c>
      <c r="C1457" t="str">
        <f>IFERROR(VLOOKUP(ILACLISTE[[#This Row],[NAME]],Table5[#All],2,0),"")</f>
        <v/>
      </c>
    </row>
    <row r="1458" spans="1:3" x14ac:dyDescent="0.3">
      <c r="A1458" s="5" t="s">
        <v>2125</v>
      </c>
      <c r="B1458" t="s">
        <v>7944</v>
      </c>
      <c r="C1458" t="str">
        <f>IFERROR(VLOOKUP(ILACLISTE[[#This Row],[NAME]],Table5[#All],2,0),"")</f>
        <v/>
      </c>
    </row>
    <row r="1459" spans="1:3" x14ac:dyDescent="0.3">
      <c r="A1459" s="5" t="s">
        <v>2126</v>
      </c>
      <c r="B1459" t="s">
        <v>7945</v>
      </c>
      <c r="C1459" t="str">
        <f>IFERROR(VLOOKUP(ILACLISTE[[#This Row],[NAME]],Table5[#All],2,0),"")</f>
        <v/>
      </c>
    </row>
    <row r="1460" spans="1:3" x14ac:dyDescent="0.3">
      <c r="A1460" s="5" t="s">
        <v>2127</v>
      </c>
      <c r="B1460" t="s">
        <v>7946</v>
      </c>
      <c r="C1460" t="str">
        <f>IFERROR(VLOOKUP(ILACLISTE[[#This Row],[NAME]],Table5[#All],2,0),"")</f>
        <v/>
      </c>
    </row>
    <row r="1461" spans="1:3" x14ac:dyDescent="0.3">
      <c r="A1461" s="5" t="s">
        <v>2128</v>
      </c>
      <c r="B1461" t="s">
        <v>7947</v>
      </c>
      <c r="C1461" t="str">
        <f>IFERROR(VLOOKUP(ILACLISTE[[#This Row],[NAME]],Table5[#All],2,0),"")</f>
        <v/>
      </c>
    </row>
    <row r="1462" spans="1:3" x14ac:dyDescent="0.3">
      <c r="A1462" s="5" t="s">
        <v>2129</v>
      </c>
      <c r="B1462" t="s">
        <v>7948</v>
      </c>
      <c r="C1462" t="str">
        <f>IFERROR(VLOOKUP(ILACLISTE[[#This Row],[NAME]],Table5[#All],2,0),"")</f>
        <v/>
      </c>
    </row>
    <row r="1463" spans="1:3" x14ac:dyDescent="0.3">
      <c r="A1463" s="5" t="s">
        <v>2130</v>
      </c>
      <c r="B1463" t="s">
        <v>7949</v>
      </c>
      <c r="C1463" t="str">
        <f>IFERROR(VLOOKUP(ILACLISTE[[#This Row],[NAME]],Table5[#All],2,0),"")</f>
        <v/>
      </c>
    </row>
    <row r="1464" spans="1:3" x14ac:dyDescent="0.3">
      <c r="A1464" s="5" t="s">
        <v>2131</v>
      </c>
      <c r="B1464" t="s">
        <v>7950</v>
      </c>
      <c r="C1464" t="str">
        <f>IFERROR(VLOOKUP(ILACLISTE[[#This Row],[NAME]],Table5[#All],2,0),"")</f>
        <v/>
      </c>
    </row>
    <row r="1465" spans="1:3" x14ac:dyDescent="0.3">
      <c r="A1465" s="5" t="s">
        <v>2132</v>
      </c>
      <c r="B1465" t="s">
        <v>7951</v>
      </c>
      <c r="C1465" t="str">
        <f>IFERROR(VLOOKUP(ILACLISTE[[#This Row],[NAME]],Table5[#All],2,0),"")</f>
        <v/>
      </c>
    </row>
    <row r="1466" spans="1:3" x14ac:dyDescent="0.3">
      <c r="A1466" s="5" t="s">
        <v>2133</v>
      </c>
      <c r="B1466" t="s">
        <v>7952</v>
      </c>
      <c r="C1466" t="str">
        <f>IFERROR(VLOOKUP(ILACLISTE[[#This Row],[NAME]],Table5[#All],2,0),"")</f>
        <v/>
      </c>
    </row>
    <row r="1467" spans="1:3" x14ac:dyDescent="0.3">
      <c r="A1467" s="5" t="s">
        <v>2134</v>
      </c>
      <c r="B1467" t="s">
        <v>7953</v>
      </c>
      <c r="C1467" t="str">
        <f>IFERROR(VLOOKUP(ILACLISTE[[#This Row],[NAME]],Table5[#All],2,0),"")</f>
        <v/>
      </c>
    </row>
    <row r="1468" spans="1:3" x14ac:dyDescent="0.3">
      <c r="A1468" s="5" t="s">
        <v>2135</v>
      </c>
      <c r="B1468" t="s">
        <v>7954</v>
      </c>
      <c r="C1468" t="str">
        <f>IFERROR(VLOOKUP(ILACLISTE[[#This Row],[NAME]],Table5[#All],2,0),"")</f>
        <v/>
      </c>
    </row>
    <row r="1469" spans="1:3" x14ac:dyDescent="0.3">
      <c r="A1469" s="5" t="s">
        <v>2136</v>
      </c>
      <c r="B1469" t="s">
        <v>7955</v>
      </c>
      <c r="C1469" t="str">
        <f>IFERROR(VLOOKUP(ILACLISTE[[#This Row],[NAME]],Table5[#All],2,0),"")</f>
        <v/>
      </c>
    </row>
    <row r="1470" spans="1:3" x14ac:dyDescent="0.3">
      <c r="A1470" s="5" t="s">
        <v>2137</v>
      </c>
      <c r="B1470" t="s">
        <v>7956</v>
      </c>
      <c r="C1470" t="str">
        <f>IFERROR(VLOOKUP(ILACLISTE[[#This Row],[NAME]],Table5[#All],2,0),"")</f>
        <v/>
      </c>
    </row>
    <row r="1471" spans="1:3" x14ac:dyDescent="0.3">
      <c r="A1471" s="5" t="s">
        <v>2138</v>
      </c>
      <c r="B1471" t="s">
        <v>7957</v>
      </c>
      <c r="C1471" t="str">
        <f>IFERROR(VLOOKUP(ILACLISTE[[#This Row],[NAME]],Table5[#All],2,0),"")</f>
        <v/>
      </c>
    </row>
    <row r="1472" spans="1:3" x14ac:dyDescent="0.3">
      <c r="A1472" s="5" t="s">
        <v>2139</v>
      </c>
      <c r="B1472" t="s">
        <v>7958</v>
      </c>
      <c r="C1472" t="str">
        <f>IFERROR(VLOOKUP(ILACLISTE[[#This Row],[NAME]],Table5[#All],2,0),"")</f>
        <v/>
      </c>
    </row>
    <row r="1473" spans="1:3" x14ac:dyDescent="0.3">
      <c r="A1473" s="5" t="s">
        <v>2140</v>
      </c>
      <c r="B1473" t="s">
        <v>7959</v>
      </c>
      <c r="C1473" t="str">
        <f>IFERROR(VLOOKUP(ILACLISTE[[#This Row],[NAME]],Table5[#All],2,0),"")</f>
        <v/>
      </c>
    </row>
    <row r="1474" spans="1:3" x14ac:dyDescent="0.3">
      <c r="A1474" s="5" t="s">
        <v>2141</v>
      </c>
      <c r="B1474" t="s">
        <v>7960</v>
      </c>
      <c r="C1474" t="str">
        <f>IFERROR(VLOOKUP(ILACLISTE[[#This Row],[NAME]],Table5[#All],2,0),"")</f>
        <v/>
      </c>
    </row>
    <row r="1475" spans="1:3" x14ac:dyDescent="0.3">
      <c r="A1475" s="5" t="s">
        <v>2142</v>
      </c>
      <c r="B1475" t="s">
        <v>7961</v>
      </c>
      <c r="C1475" t="str">
        <f>IFERROR(VLOOKUP(ILACLISTE[[#This Row],[NAME]],Table5[#All],2,0),"")</f>
        <v/>
      </c>
    </row>
    <row r="1476" spans="1:3" x14ac:dyDescent="0.3">
      <c r="A1476" s="5" t="s">
        <v>2143</v>
      </c>
      <c r="B1476" t="s">
        <v>7962</v>
      </c>
      <c r="C1476" t="str">
        <f>IFERROR(VLOOKUP(ILACLISTE[[#This Row],[NAME]],Table5[#All],2,0),"")</f>
        <v/>
      </c>
    </row>
    <row r="1477" spans="1:3" x14ac:dyDescent="0.3">
      <c r="A1477" s="5" t="s">
        <v>2144</v>
      </c>
      <c r="B1477" t="s">
        <v>7963</v>
      </c>
      <c r="C1477" t="str">
        <f>IFERROR(VLOOKUP(ILACLISTE[[#This Row],[NAME]],Table5[#All],2,0),"")</f>
        <v/>
      </c>
    </row>
    <row r="1478" spans="1:3" x14ac:dyDescent="0.3">
      <c r="A1478" s="5" t="s">
        <v>2145</v>
      </c>
      <c r="B1478" t="s">
        <v>7964</v>
      </c>
      <c r="C1478" t="str">
        <f>IFERROR(VLOOKUP(ILACLISTE[[#This Row],[NAME]],Table5[#All],2,0),"")</f>
        <v/>
      </c>
    </row>
    <row r="1479" spans="1:3" x14ac:dyDescent="0.3">
      <c r="A1479" s="5" t="s">
        <v>2146</v>
      </c>
      <c r="B1479" t="s">
        <v>7965</v>
      </c>
      <c r="C1479" t="str">
        <f>IFERROR(VLOOKUP(ILACLISTE[[#This Row],[NAME]],Table5[#All],2,0),"")</f>
        <v/>
      </c>
    </row>
    <row r="1480" spans="1:3" x14ac:dyDescent="0.3">
      <c r="A1480" s="5" t="s">
        <v>2147</v>
      </c>
      <c r="B1480" t="s">
        <v>7966</v>
      </c>
      <c r="C1480" t="str">
        <f>IFERROR(VLOOKUP(ILACLISTE[[#This Row],[NAME]],Table5[#All],2,0),"")</f>
        <v/>
      </c>
    </row>
    <row r="1481" spans="1:3" x14ac:dyDescent="0.3">
      <c r="A1481" s="5" t="s">
        <v>2148</v>
      </c>
      <c r="B1481" t="s">
        <v>7967</v>
      </c>
      <c r="C1481" t="str">
        <f>IFERROR(VLOOKUP(ILACLISTE[[#This Row],[NAME]],Table5[#All],2,0),"")</f>
        <v/>
      </c>
    </row>
    <row r="1482" spans="1:3" x14ac:dyDescent="0.3">
      <c r="A1482" s="5" t="s">
        <v>2149</v>
      </c>
      <c r="B1482" t="s">
        <v>7968</v>
      </c>
      <c r="C1482" t="str">
        <f>IFERROR(VLOOKUP(ILACLISTE[[#This Row],[NAME]],Table5[#All],2,0),"")</f>
        <v/>
      </c>
    </row>
    <row r="1483" spans="1:3" x14ac:dyDescent="0.3">
      <c r="A1483" s="5" t="s">
        <v>2150</v>
      </c>
      <c r="B1483" t="s">
        <v>7969</v>
      </c>
      <c r="C1483" t="str">
        <f>IFERROR(VLOOKUP(ILACLISTE[[#This Row],[NAME]],Table5[#All],2,0),"")</f>
        <v/>
      </c>
    </row>
    <row r="1484" spans="1:3" x14ac:dyDescent="0.3">
      <c r="A1484" s="5" t="s">
        <v>2151</v>
      </c>
      <c r="B1484" t="s">
        <v>7970</v>
      </c>
      <c r="C1484" t="str">
        <f>IFERROR(VLOOKUP(ILACLISTE[[#This Row],[NAME]],Table5[#All],2,0),"")</f>
        <v/>
      </c>
    </row>
    <row r="1485" spans="1:3" x14ac:dyDescent="0.3">
      <c r="A1485" s="5" t="s">
        <v>2152</v>
      </c>
      <c r="B1485" t="s">
        <v>180</v>
      </c>
      <c r="C1485" t="str">
        <f>IFERROR(VLOOKUP(ILACLISTE[[#This Row],[NAME]],Table5[#All],2,0),"")</f>
        <v/>
      </c>
    </row>
    <row r="1486" spans="1:3" x14ac:dyDescent="0.3">
      <c r="A1486" s="5" t="s">
        <v>2153</v>
      </c>
      <c r="B1486" t="s">
        <v>7971</v>
      </c>
      <c r="C1486" t="str">
        <f>IFERROR(VLOOKUP(ILACLISTE[[#This Row],[NAME]],Table5[#All],2,0),"")</f>
        <v/>
      </c>
    </row>
    <row r="1487" spans="1:3" x14ac:dyDescent="0.3">
      <c r="A1487" s="5" t="s">
        <v>2154</v>
      </c>
      <c r="B1487" t="s">
        <v>7972</v>
      </c>
      <c r="C1487" t="str">
        <f>IFERROR(VLOOKUP(ILACLISTE[[#This Row],[NAME]],Table5[#All],2,0),"")</f>
        <v/>
      </c>
    </row>
    <row r="1488" spans="1:3" x14ac:dyDescent="0.3">
      <c r="A1488" s="5" t="s">
        <v>2155</v>
      </c>
      <c r="B1488" t="s">
        <v>7973</v>
      </c>
      <c r="C1488" t="str">
        <f>IFERROR(VLOOKUP(ILACLISTE[[#This Row],[NAME]],Table5[#All],2,0),"")</f>
        <v/>
      </c>
    </row>
    <row r="1489" spans="1:3" x14ac:dyDescent="0.3">
      <c r="A1489" s="5" t="s">
        <v>2156</v>
      </c>
      <c r="B1489" t="s">
        <v>7974</v>
      </c>
      <c r="C1489" t="str">
        <f>IFERROR(VLOOKUP(ILACLISTE[[#This Row],[NAME]],Table5[#All],2,0),"")</f>
        <v/>
      </c>
    </row>
    <row r="1490" spans="1:3" x14ac:dyDescent="0.3">
      <c r="A1490" s="5" t="s">
        <v>2157</v>
      </c>
      <c r="B1490" t="s">
        <v>7975</v>
      </c>
      <c r="C1490" t="str">
        <f>IFERROR(VLOOKUP(ILACLISTE[[#This Row],[NAME]],Table5[#All],2,0),"")</f>
        <v/>
      </c>
    </row>
    <row r="1491" spans="1:3" x14ac:dyDescent="0.3">
      <c r="A1491" s="5" t="s">
        <v>2158</v>
      </c>
      <c r="B1491" t="s">
        <v>7976</v>
      </c>
      <c r="C1491" t="str">
        <f>IFERROR(VLOOKUP(ILACLISTE[[#This Row],[NAME]],Table5[#All],2,0),"")</f>
        <v/>
      </c>
    </row>
    <row r="1492" spans="1:3" x14ac:dyDescent="0.3">
      <c r="A1492" s="5" t="s">
        <v>2159</v>
      </c>
      <c r="B1492" t="s">
        <v>7977</v>
      </c>
      <c r="C1492" t="str">
        <f>IFERROR(VLOOKUP(ILACLISTE[[#This Row],[NAME]],Table5[#All],2,0),"")</f>
        <v/>
      </c>
    </row>
    <row r="1493" spans="1:3" x14ac:dyDescent="0.3">
      <c r="A1493" s="5" t="s">
        <v>2160</v>
      </c>
      <c r="B1493" t="s">
        <v>7978</v>
      </c>
      <c r="C1493" t="str">
        <f>IFERROR(VLOOKUP(ILACLISTE[[#This Row],[NAME]],Table5[#All],2,0),"")</f>
        <v/>
      </c>
    </row>
    <row r="1494" spans="1:3" ht="20.399999999999999" x14ac:dyDescent="0.3">
      <c r="A1494" s="7" t="s">
        <v>2161</v>
      </c>
      <c r="B1494" t="s">
        <v>7979</v>
      </c>
      <c r="C1494" t="str">
        <f>IFERROR(VLOOKUP(ILACLISTE[[#This Row],[NAME]],Table5[#All],2,0),"")</f>
        <v/>
      </c>
    </row>
    <row r="1495" spans="1:3" ht="20.399999999999999" x14ac:dyDescent="0.3">
      <c r="A1495" s="7" t="s">
        <v>2162</v>
      </c>
      <c r="B1495" t="s">
        <v>7980</v>
      </c>
      <c r="C1495" t="str">
        <f>IFERROR(VLOOKUP(ILACLISTE[[#This Row],[NAME]],Table5[#All],2,0),"")</f>
        <v/>
      </c>
    </row>
    <row r="1496" spans="1:3" ht="20.399999999999999" x14ac:dyDescent="0.3">
      <c r="A1496" s="6" t="s">
        <v>2163</v>
      </c>
      <c r="B1496" t="s">
        <v>7981</v>
      </c>
      <c r="C1496" t="str">
        <f>IFERROR(VLOOKUP(ILACLISTE[[#This Row],[NAME]],Table5[#All],2,0),"")</f>
        <v/>
      </c>
    </row>
    <row r="1497" spans="1:3" ht="20.399999999999999" x14ac:dyDescent="0.3">
      <c r="A1497" s="6" t="s">
        <v>2164</v>
      </c>
      <c r="B1497" t="s">
        <v>7982</v>
      </c>
      <c r="C1497" t="str">
        <f>IFERROR(VLOOKUP(ILACLISTE[[#This Row],[NAME]],Table5[#All],2,0),"")</f>
        <v/>
      </c>
    </row>
    <row r="1498" spans="1:3" x14ac:dyDescent="0.3">
      <c r="A1498" s="5" t="s">
        <v>2165</v>
      </c>
      <c r="B1498" t="s">
        <v>7983</v>
      </c>
      <c r="C1498" t="str">
        <f>IFERROR(VLOOKUP(ILACLISTE[[#This Row],[NAME]],Table5[#All],2,0),"")</f>
        <v/>
      </c>
    </row>
    <row r="1499" spans="1:3" x14ac:dyDescent="0.3">
      <c r="A1499" s="5" t="s">
        <v>2166</v>
      </c>
      <c r="B1499" t="s">
        <v>7984</v>
      </c>
      <c r="C1499" t="str">
        <f>IFERROR(VLOOKUP(ILACLISTE[[#This Row],[NAME]],Table5[#All],2,0),"")</f>
        <v/>
      </c>
    </row>
    <row r="1500" spans="1:3" x14ac:dyDescent="0.3">
      <c r="A1500" s="5" t="s">
        <v>2167</v>
      </c>
      <c r="B1500" t="s">
        <v>7985</v>
      </c>
      <c r="C1500" t="str">
        <f>IFERROR(VLOOKUP(ILACLISTE[[#This Row],[NAME]],Table5[#All],2,0),"")</f>
        <v/>
      </c>
    </row>
    <row r="1501" spans="1:3" x14ac:dyDescent="0.3">
      <c r="A1501" s="5" t="s">
        <v>2168</v>
      </c>
      <c r="B1501" t="s">
        <v>7986</v>
      </c>
      <c r="C1501" t="str">
        <f>IFERROR(VLOOKUP(ILACLISTE[[#This Row],[NAME]],Table5[#All],2,0),"")</f>
        <v/>
      </c>
    </row>
    <row r="1502" spans="1:3" x14ac:dyDescent="0.3">
      <c r="A1502" s="5" t="s">
        <v>2169</v>
      </c>
      <c r="B1502" t="s">
        <v>7987</v>
      </c>
      <c r="C1502" t="str">
        <f>IFERROR(VLOOKUP(ILACLISTE[[#This Row],[NAME]],Table5[#All],2,0),"")</f>
        <v/>
      </c>
    </row>
    <row r="1503" spans="1:3" x14ac:dyDescent="0.3">
      <c r="A1503" s="5" t="s">
        <v>2170</v>
      </c>
      <c r="B1503" t="s">
        <v>7988</v>
      </c>
      <c r="C1503" t="str">
        <f>IFERROR(VLOOKUP(ILACLISTE[[#This Row],[NAME]],Table5[#All],2,0),"")</f>
        <v/>
      </c>
    </row>
    <row r="1504" spans="1:3" x14ac:dyDescent="0.3">
      <c r="A1504" s="5" t="s">
        <v>2171</v>
      </c>
      <c r="B1504" t="s">
        <v>7989</v>
      </c>
      <c r="C1504" t="str">
        <f>IFERROR(VLOOKUP(ILACLISTE[[#This Row],[NAME]],Table5[#All],2,0),"")</f>
        <v/>
      </c>
    </row>
    <row r="1505" spans="1:3" x14ac:dyDescent="0.3">
      <c r="A1505" s="5" t="s">
        <v>2172</v>
      </c>
      <c r="B1505" t="s">
        <v>7990</v>
      </c>
      <c r="C1505" t="str">
        <f>IFERROR(VLOOKUP(ILACLISTE[[#This Row],[NAME]],Table5[#All],2,0),"")</f>
        <v/>
      </c>
    </row>
    <row r="1506" spans="1:3" x14ac:dyDescent="0.3">
      <c r="A1506" s="5" t="s">
        <v>2173</v>
      </c>
      <c r="B1506" t="s">
        <v>7991</v>
      </c>
      <c r="C1506" t="str">
        <f>IFERROR(VLOOKUP(ILACLISTE[[#This Row],[NAME]],Table5[#All],2,0),"")</f>
        <v/>
      </c>
    </row>
    <row r="1507" spans="1:3" x14ac:dyDescent="0.3">
      <c r="A1507" s="5" t="s">
        <v>2174</v>
      </c>
      <c r="B1507" t="s">
        <v>7992</v>
      </c>
      <c r="C1507" t="str">
        <f>IFERROR(VLOOKUP(ILACLISTE[[#This Row],[NAME]],Table5[#All],2,0),"")</f>
        <v/>
      </c>
    </row>
    <row r="1508" spans="1:3" x14ac:dyDescent="0.3">
      <c r="A1508" s="5" t="s">
        <v>2175</v>
      </c>
      <c r="B1508" t="s">
        <v>7993</v>
      </c>
      <c r="C1508" t="str">
        <f>IFERROR(VLOOKUP(ILACLISTE[[#This Row],[NAME]],Table5[#All],2,0),"")</f>
        <v/>
      </c>
    </row>
    <row r="1509" spans="1:3" x14ac:dyDescent="0.3">
      <c r="A1509" s="5" t="s">
        <v>2176</v>
      </c>
      <c r="B1509" t="s">
        <v>7994</v>
      </c>
      <c r="C1509" t="str">
        <f>IFERROR(VLOOKUP(ILACLISTE[[#This Row],[NAME]],Table5[#All],2,0),"")</f>
        <v/>
      </c>
    </row>
    <row r="1510" spans="1:3" x14ac:dyDescent="0.3">
      <c r="A1510" s="5" t="s">
        <v>2177</v>
      </c>
      <c r="B1510" t="s">
        <v>7995</v>
      </c>
      <c r="C1510" t="str">
        <f>IFERROR(VLOOKUP(ILACLISTE[[#This Row],[NAME]],Table5[#All],2,0),"")</f>
        <v/>
      </c>
    </row>
    <row r="1511" spans="1:3" x14ac:dyDescent="0.3">
      <c r="A1511" s="5" t="s">
        <v>2178</v>
      </c>
      <c r="B1511" t="s">
        <v>7996</v>
      </c>
      <c r="C1511" t="str">
        <f>IFERROR(VLOOKUP(ILACLISTE[[#This Row],[NAME]],Table5[#All],2,0),"")</f>
        <v/>
      </c>
    </row>
    <row r="1512" spans="1:3" x14ac:dyDescent="0.3">
      <c r="A1512" s="5" t="s">
        <v>2179</v>
      </c>
      <c r="B1512" t="s">
        <v>7997</v>
      </c>
      <c r="C1512" t="str">
        <f>IFERROR(VLOOKUP(ILACLISTE[[#This Row],[NAME]],Table5[#All],2,0),"")</f>
        <v/>
      </c>
    </row>
    <row r="1513" spans="1:3" x14ac:dyDescent="0.3">
      <c r="A1513" s="5" t="s">
        <v>2180</v>
      </c>
      <c r="B1513" t="s">
        <v>7998</v>
      </c>
      <c r="C1513" t="str">
        <f>IFERROR(VLOOKUP(ILACLISTE[[#This Row],[NAME]],Table5[#All],2,0),"")</f>
        <v/>
      </c>
    </row>
    <row r="1514" spans="1:3" x14ac:dyDescent="0.3">
      <c r="A1514" s="5" t="s">
        <v>2181</v>
      </c>
      <c r="B1514" t="s">
        <v>7999</v>
      </c>
      <c r="C1514" t="str">
        <f>IFERROR(VLOOKUP(ILACLISTE[[#This Row],[NAME]],Table5[#All],2,0),"")</f>
        <v/>
      </c>
    </row>
    <row r="1515" spans="1:3" x14ac:dyDescent="0.3">
      <c r="A1515" s="5" t="s">
        <v>2182</v>
      </c>
      <c r="B1515" t="s">
        <v>8000</v>
      </c>
      <c r="C1515" t="str">
        <f>IFERROR(VLOOKUP(ILACLISTE[[#This Row],[NAME]],Table5[#All],2,0),"")</f>
        <v/>
      </c>
    </row>
    <row r="1516" spans="1:3" x14ac:dyDescent="0.3">
      <c r="A1516" s="5" t="s">
        <v>2183</v>
      </c>
      <c r="B1516" t="s">
        <v>8001</v>
      </c>
      <c r="C1516" t="str">
        <f>IFERROR(VLOOKUP(ILACLISTE[[#This Row],[NAME]],Table5[#All],2,0),"")</f>
        <v/>
      </c>
    </row>
    <row r="1517" spans="1:3" x14ac:dyDescent="0.3">
      <c r="A1517" s="5" t="s">
        <v>2184</v>
      </c>
      <c r="B1517" t="s">
        <v>8002</v>
      </c>
      <c r="C1517" t="str">
        <f>IFERROR(VLOOKUP(ILACLISTE[[#This Row],[NAME]],Table5[#All],2,0),"")</f>
        <v/>
      </c>
    </row>
    <row r="1518" spans="1:3" x14ac:dyDescent="0.3">
      <c r="A1518" s="5" t="s">
        <v>2185</v>
      </c>
      <c r="B1518" t="s">
        <v>8003</v>
      </c>
      <c r="C1518" t="str">
        <f>IFERROR(VLOOKUP(ILACLISTE[[#This Row],[NAME]],Table5[#All],2,0),"")</f>
        <v/>
      </c>
    </row>
    <row r="1519" spans="1:3" x14ac:dyDescent="0.3">
      <c r="A1519" s="5" t="s">
        <v>2186</v>
      </c>
      <c r="B1519" t="s">
        <v>181</v>
      </c>
      <c r="C1519" t="str">
        <f>IFERROR(VLOOKUP(ILACLISTE[[#This Row],[NAME]],Table5[#All],2,0),"")</f>
        <v/>
      </c>
    </row>
    <row r="1520" spans="1:3" x14ac:dyDescent="0.3">
      <c r="A1520" s="5" t="s">
        <v>2187</v>
      </c>
      <c r="B1520" t="s">
        <v>8004</v>
      </c>
      <c r="C1520" t="str">
        <f>IFERROR(VLOOKUP(ILACLISTE[[#This Row],[NAME]],Table5[#All],2,0),"")</f>
        <v/>
      </c>
    </row>
    <row r="1521" spans="1:3" x14ac:dyDescent="0.3">
      <c r="A1521" s="5" t="s">
        <v>2188</v>
      </c>
      <c r="B1521" t="s">
        <v>8005</v>
      </c>
      <c r="C1521" t="str">
        <f>IFERROR(VLOOKUP(ILACLISTE[[#This Row],[NAME]],Table5[#All],2,0),"")</f>
        <v/>
      </c>
    </row>
    <row r="1522" spans="1:3" x14ac:dyDescent="0.3">
      <c r="A1522" s="5" t="s">
        <v>2189</v>
      </c>
      <c r="B1522" t="s">
        <v>8006</v>
      </c>
      <c r="C1522" t="str">
        <f>IFERROR(VLOOKUP(ILACLISTE[[#This Row],[NAME]],Table5[#All],2,0),"")</f>
        <v/>
      </c>
    </row>
    <row r="1523" spans="1:3" x14ac:dyDescent="0.3">
      <c r="A1523" s="5" t="s">
        <v>2190</v>
      </c>
      <c r="B1523" t="s">
        <v>8007</v>
      </c>
      <c r="C1523" t="str">
        <f>IFERROR(VLOOKUP(ILACLISTE[[#This Row],[NAME]],Table5[#All],2,0),"")</f>
        <v/>
      </c>
    </row>
    <row r="1524" spans="1:3" x14ac:dyDescent="0.3">
      <c r="A1524" s="5" t="s">
        <v>2191</v>
      </c>
      <c r="B1524" t="s">
        <v>8008</v>
      </c>
      <c r="C1524" t="str">
        <f>IFERROR(VLOOKUP(ILACLISTE[[#This Row],[NAME]],Table5[#All],2,0),"")</f>
        <v/>
      </c>
    </row>
    <row r="1525" spans="1:3" x14ac:dyDescent="0.3">
      <c r="A1525" s="5" t="s">
        <v>2192</v>
      </c>
      <c r="B1525" t="s">
        <v>8009</v>
      </c>
      <c r="C1525" t="str">
        <f>IFERROR(VLOOKUP(ILACLISTE[[#This Row],[NAME]],Table5[#All],2,0),"")</f>
        <v/>
      </c>
    </row>
    <row r="1526" spans="1:3" x14ac:dyDescent="0.3">
      <c r="A1526" s="5" t="s">
        <v>2193</v>
      </c>
      <c r="B1526" t="s">
        <v>8010</v>
      </c>
      <c r="C1526" t="str">
        <f>IFERROR(VLOOKUP(ILACLISTE[[#This Row],[NAME]],Table5[#All],2,0),"")</f>
        <v/>
      </c>
    </row>
    <row r="1527" spans="1:3" x14ac:dyDescent="0.3">
      <c r="A1527" s="5" t="s">
        <v>2194</v>
      </c>
      <c r="B1527" t="s">
        <v>8011</v>
      </c>
      <c r="C1527" t="str">
        <f>IFERROR(VLOOKUP(ILACLISTE[[#This Row],[NAME]],Table5[#All],2,0),"")</f>
        <v/>
      </c>
    </row>
    <row r="1528" spans="1:3" x14ac:dyDescent="0.3">
      <c r="A1528" s="5" t="s">
        <v>2195</v>
      </c>
      <c r="B1528" t="s">
        <v>8012</v>
      </c>
      <c r="C1528" t="str">
        <f>IFERROR(VLOOKUP(ILACLISTE[[#This Row],[NAME]],Table5[#All],2,0),"")</f>
        <v/>
      </c>
    </row>
    <row r="1529" spans="1:3" x14ac:dyDescent="0.3">
      <c r="A1529" s="5" t="s">
        <v>2196</v>
      </c>
      <c r="B1529" t="s">
        <v>8013</v>
      </c>
      <c r="C1529" t="str">
        <f>IFERROR(VLOOKUP(ILACLISTE[[#This Row],[NAME]],Table5[#All],2,0),"")</f>
        <v/>
      </c>
    </row>
    <row r="1530" spans="1:3" x14ac:dyDescent="0.3">
      <c r="A1530" s="5" t="s">
        <v>2197</v>
      </c>
      <c r="B1530" t="s">
        <v>8014</v>
      </c>
      <c r="C1530" t="str">
        <f>IFERROR(VLOOKUP(ILACLISTE[[#This Row],[NAME]],Table5[#All],2,0),"")</f>
        <v/>
      </c>
    </row>
    <row r="1531" spans="1:3" x14ac:dyDescent="0.3">
      <c r="A1531" s="5" t="s">
        <v>2198</v>
      </c>
      <c r="B1531" t="s">
        <v>8015</v>
      </c>
      <c r="C1531" t="str">
        <f>IFERROR(VLOOKUP(ILACLISTE[[#This Row],[NAME]],Table5[#All],2,0),"")</f>
        <v/>
      </c>
    </row>
    <row r="1532" spans="1:3" x14ac:dyDescent="0.3">
      <c r="A1532" s="5" t="s">
        <v>2199</v>
      </c>
      <c r="B1532" t="s">
        <v>8016</v>
      </c>
      <c r="C1532" t="str">
        <f>IFERROR(VLOOKUP(ILACLISTE[[#This Row],[NAME]],Table5[#All],2,0),"")</f>
        <v/>
      </c>
    </row>
    <row r="1533" spans="1:3" x14ac:dyDescent="0.3">
      <c r="A1533" s="5" t="s">
        <v>2200</v>
      </c>
      <c r="B1533" t="s">
        <v>182</v>
      </c>
      <c r="C1533" t="str">
        <f>IFERROR(VLOOKUP(ILACLISTE[[#This Row],[NAME]],Table5[#All],2,0),"")</f>
        <v/>
      </c>
    </row>
    <row r="1534" spans="1:3" x14ac:dyDescent="0.3">
      <c r="A1534" s="5" t="s">
        <v>2201</v>
      </c>
      <c r="B1534" t="s">
        <v>8017</v>
      </c>
      <c r="C1534" t="str">
        <f>IFERROR(VLOOKUP(ILACLISTE[[#This Row],[NAME]],Table5[#All],2,0),"")</f>
        <v/>
      </c>
    </row>
    <row r="1535" spans="1:3" x14ac:dyDescent="0.3">
      <c r="A1535" s="5" t="s">
        <v>2202</v>
      </c>
      <c r="B1535" t="s">
        <v>8018</v>
      </c>
      <c r="C1535" t="str">
        <f>IFERROR(VLOOKUP(ILACLISTE[[#This Row],[NAME]],Table5[#All],2,0),"")</f>
        <v/>
      </c>
    </row>
    <row r="1536" spans="1:3" ht="20.399999999999999" x14ac:dyDescent="0.3">
      <c r="A1536" s="7" t="s">
        <v>2203</v>
      </c>
      <c r="B1536" t="s">
        <v>8019</v>
      </c>
      <c r="C1536" t="str">
        <f>IFERROR(VLOOKUP(ILACLISTE[[#This Row],[NAME]],Table5[#All],2,0),"")</f>
        <v/>
      </c>
    </row>
    <row r="1537" spans="1:3" x14ac:dyDescent="0.3">
      <c r="A1537" s="5" t="s">
        <v>2204</v>
      </c>
      <c r="B1537" t="s">
        <v>8020</v>
      </c>
      <c r="C1537" t="str">
        <f>IFERROR(VLOOKUP(ILACLISTE[[#This Row],[NAME]],Table5[#All],2,0),"")</f>
        <v/>
      </c>
    </row>
    <row r="1538" spans="1:3" x14ac:dyDescent="0.3">
      <c r="A1538" s="5" t="s">
        <v>2205</v>
      </c>
      <c r="B1538" t="s">
        <v>8021</v>
      </c>
      <c r="C1538" t="str">
        <f>IFERROR(VLOOKUP(ILACLISTE[[#This Row],[NAME]],Table5[#All],2,0),"")</f>
        <v/>
      </c>
    </row>
    <row r="1539" spans="1:3" x14ac:dyDescent="0.3">
      <c r="A1539" s="5" t="s">
        <v>2206</v>
      </c>
      <c r="B1539" t="s">
        <v>8022</v>
      </c>
      <c r="C1539" t="str">
        <f>IFERROR(VLOOKUP(ILACLISTE[[#This Row],[NAME]],Table5[#All],2,0),"")</f>
        <v/>
      </c>
    </row>
    <row r="1540" spans="1:3" x14ac:dyDescent="0.3">
      <c r="A1540" s="5" t="s">
        <v>2207</v>
      </c>
      <c r="B1540" t="s">
        <v>8023</v>
      </c>
      <c r="C1540" t="str">
        <f>IFERROR(VLOOKUP(ILACLISTE[[#This Row],[NAME]],Table5[#All],2,0),"")</f>
        <v/>
      </c>
    </row>
    <row r="1541" spans="1:3" x14ac:dyDescent="0.3">
      <c r="A1541" s="5" t="s">
        <v>2208</v>
      </c>
      <c r="B1541" t="s">
        <v>8024</v>
      </c>
      <c r="C1541" t="str">
        <f>IFERROR(VLOOKUP(ILACLISTE[[#This Row],[NAME]],Table5[#All],2,0),"")</f>
        <v/>
      </c>
    </row>
    <row r="1542" spans="1:3" x14ac:dyDescent="0.3">
      <c r="A1542" s="5" t="s">
        <v>2209</v>
      </c>
      <c r="B1542" t="s">
        <v>8025</v>
      </c>
      <c r="C1542" t="str">
        <f>IFERROR(VLOOKUP(ILACLISTE[[#This Row],[NAME]],Table5[#All],2,0),"")</f>
        <v/>
      </c>
    </row>
    <row r="1543" spans="1:3" x14ac:dyDescent="0.3">
      <c r="A1543" s="5" t="s">
        <v>2210</v>
      </c>
      <c r="B1543" t="s">
        <v>8026</v>
      </c>
      <c r="C1543" t="str">
        <f>IFERROR(VLOOKUP(ILACLISTE[[#This Row],[NAME]],Table5[#All],2,0),"")</f>
        <v/>
      </c>
    </row>
    <row r="1544" spans="1:3" x14ac:dyDescent="0.3">
      <c r="A1544" s="5" t="s">
        <v>2211</v>
      </c>
      <c r="B1544" t="s">
        <v>8027</v>
      </c>
      <c r="C1544" t="str">
        <f>IFERROR(VLOOKUP(ILACLISTE[[#This Row],[NAME]],Table5[#All],2,0),"")</f>
        <v/>
      </c>
    </row>
    <row r="1545" spans="1:3" ht="20.399999999999999" x14ac:dyDescent="0.3">
      <c r="A1545" s="7" t="s">
        <v>2212</v>
      </c>
      <c r="B1545" t="s">
        <v>8028</v>
      </c>
      <c r="C1545" t="str">
        <f>IFERROR(VLOOKUP(ILACLISTE[[#This Row],[NAME]],Table5[#All],2,0),"")</f>
        <v/>
      </c>
    </row>
    <row r="1546" spans="1:3" ht="20.399999999999999" x14ac:dyDescent="0.3">
      <c r="A1546" s="6" t="s">
        <v>2213</v>
      </c>
      <c r="B1546" t="s">
        <v>8029</v>
      </c>
      <c r="C1546" t="str">
        <f>IFERROR(VLOOKUP(ILACLISTE[[#This Row],[NAME]],Table5[#All],2,0),"")</f>
        <v/>
      </c>
    </row>
    <row r="1547" spans="1:3" ht="20.399999999999999" x14ac:dyDescent="0.3">
      <c r="A1547" s="7" t="s">
        <v>2214</v>
      </c>
      <c r="B1547" t="s">
        <v>8030</v>
      </c>
      <c r="C1547" t="str">
        <f>IFERROR(VLOOKUP(ILACLISTE[[#This Row],[NAME]],Table5[#All],2,0),"")</f>
        <v/>
      </c>
    </row>
    <row r="1548" spans="1:3" ht="20.399999999999999" x14ac:dyDescent="0.3">
      <c r="A1548" s="6" t="s">
        <v>2215</v>
      </c>
      <c r="B1548" t="s">
        <v>8031</v>
      </c>
      <c r="C1548" t="str">
        <f>IFERROR(VLOOKUP(ILACLISTE[[#This Row],[NAME]],Table5[#All],2,0),"")</f>
        <v/>
      </c>
    </row>
    <row r="1549" spans="1:3" ht="20.399999999999999" x14ac:dyDescent="0.3">
      <c r="A1549" s="6" t="s">
        <v>2216</v>
      </c>
      <c r="B1549" t="s">
        <v>8032</v>
      </c>
      <c r="C1549" t="str">
        <f>IFERROR(VLOOKUP(ILACLISTE[[#This Row],[NAME]],Table5[#All],2,0),"")</f>
        <v/>
      </c>
    </row>
    <row r="1550" spans="1:3" x14ac:dyDescent="0.3">
      <c r="A1550" s="5" t="s">
        <v>2217</v>
      </c>
      <c r="B1550" t="s">
        <v>8033</v>
      </c>
      <c r="C1550" t="str">
        <f>IFERROR(VLOOKUP(ILACLISTE[[#This Row],[NAME]],Table5[#All],2,0),"")</f>
        <v/>
      </c>
    </row>
    <row r="1551" spans="1:3" x14ac:dyDescent="0.3">
      <c r="A1551" s="5" t="s">
        <v>2218</v>
      </c>
      <c r="B1551" t="s">
        <v>8034</v>
      </c>
      <c r="C1551" t="str">
        <f>IFERROR(VLOOKUP(ILACLISTE[[#This Row],[NAME]],Table5[#All],2,0),"")</f>
        <v/>
      </c>
    </row>
    <row r="1552" spans="1:3" x14ac:dyDescent="0.3">
      <c r="A1552" s="5" t="s">
        <v>2219</v>
      </c>
      <c r="B1552" t="s">
        <v>8035</v>
      </c>
      <c r="C1552" t="str">
        <f>IFERROR(VLOOKUP(ILACLISTE[[#This Row],[NAME]],Table5[#All],2,0),"")</f>
        <v/>
      </c>
    </row>
    <row r="1553" spans="1:3" x14ac:dyDescent="0.3">
      <c r="A1553" s="5" t="s">
        <v>2220</v>
      </c>
      <c r="B1553" t="s">
        <v>8036</v>
      </c>
      <c r="C1553" t="str">
        <f>IFERROR(VLOOKUP(ILACLISTE[[#This Row],[NAME]],Table5[#All],2,0),"")</f>
        <v/>
      </c>
    </row>
    <row r="1554" spans="1:3" x14ac:dyDescent="0.3">
      <c r="A1554" s="5" t="s">
        <v>2221</v>
      </c>
      <c r="B1554" t="s">
        <v>8037</v>
      </c>
      <c r="C1554" t="str">
        <f>IFERROR(VLOOKUP(ILACLISTE[[#This Row],[NAME]],Table5[#All],2,0),"")</f>
        <v/>
      </c>
    </row>
    <row r="1555" spans="1:3" x14ac:dyDescent="0.3">
      <c r="A1555" s="5" t="s">
        <v>2222</v>
      </c>
      <c r="B1555" t="s">
        <v>8038</v>
      </c>
      <c r="C1555" t="str">
        <f>IFERROR(VLOOKUP(ILACLISTE[[#This Row],[NAME]],Table5[#All],2,0),"")</f>
        <v/>
      </c>
    </row>
    <row r="1556" spans="1:3" x14ac:dyDescent="0.3">
      <c r="A1556" s="5" t="s">
        <v>2223</v>
      </c>
      <c r="B1556" t="s">
        <v>8039</v>
      </c>
      <c r="C1556" t="str">
        <f>IFERROR(VLOOKUP(ILACLISTE[[#This Row],[NAME]],Table5[#All],2,0),"")</f>
        <v/>
      </c>
    </row>
    <row r="1557" spans="1:3" x14ac:dyDescent="0.3">
      <c r="A1557" s="5" t="s">
        <v>2224</v>
      </c>
      <c r="B1557" t="s">
        <v>8040</v>
      </c>
      <c r="C1557" t="str">
        <f>IFERROR(VLOOKUP(ILACLISTE[[#This Row],[NAME]],Table5[#All],2,0),"")</f>
        <v/>
      </c>
    </row>
    <row r="1558" spans="1:3" x14ac:dyDescent="0.3">
      <c r="A1558" s="5" t="s">
        <v>2225</v>
      </c>
      <c r="B1558" t="s">
        <v>183</v>
      </c>
      <c r="C1558" t="str">
        <f>IFERROR(VLOOKUP(ILACLISTE[[#This Row],[NAME]],Table5[#All],2,0),"")</f>
        <v/>
      </c>
    </row>
    <row r="1559" spans="1:3" x14ac:dyDescent="0.3">
      <c r="A1559" s="5" t="s">
        <v>2226</v>
      </c>
      <c r="B1559" t="s">
        <v>8041</v>
      </c>
      <c r="C1559" t="str">
        <f>IFERROR(VLOOKUP(ILACLISTE[[#This Row],[NAME]],Table5[#All],2,0),"")</f>
        <v/>
      </c>
    </row>
    <row r="1560" spans="1:3" x14ac:dyDescent="0.3">
      <c r="A1560" s="5" t="s">
        <v>2227</v>
      </c>
      <c r="B1560" t="s">
        <v>184</v>
      </c>
      <c r="C1560" t="str">
        <f>IFERROR(VLOOKUP(ILACLISTE[[#This Row],[NAME]],Table5[#All],2,0),"")</f>
        <v/>
      </c>
    </row>
    <row r="1561" spans="1:3" x14ac:dyDescent="0.3">
      <c r="A1561" s="5" t="s">
        <v>2228</v>
      </c>
      <c r="B1561" t="s">
        <v>8042</v>
      </c>
      <c r="C1561" t="str">
        <f>IFERROR(VLOOKUP(ILACLISTE[[#This Row],[NAME]],Table5[#All],2,0),"")</f>
        <v/>
      </c>
    </row>
    <row r="1562" spans="1:3" x14ac:dyDescent="0.3">
      <c r="A1562" s="5" t="s">
        <v>2229</v>
      </c>
      <c r="B1562" t="s">
        <v>185</v>
      </c>
      <c r="C1562" t="str">
        <f>IFERROR(VLOOKUP(ILACLISTE[[#This Row],[NAME]],Table5[#All],2,0),"")</f>
        <v/>
      </c>
    </row>
    <row r="1563" spans="1:3" x14ac:dyDescent="0.3">
      <c r="A1563" s="5" t="s">
        <v>2230</v>
      </c>
      <c r="B1563" t="s">
        <v>186</v>
      </c>
      <c r="C1563" t="str">
        <f>IFERROR(VLOOKUP(ILACLISTE[[#This Row],[NAME]],Table5[#All],2,0),"")</f>
        <v/>
      </c>
    </row>
    <row r="1564" spans="1:3" x14ac:dyDescent="0.3">
      <c r="A1564" s="5" t="s">
        <v>2231</v>
      </c>
      <c r="B1564" t="s">
        <v>187</v>
      </c>
      <c r="C1564" t="str">
        <f>IFERROR(VLOOKUP(ILACLISTE[[#This Row],[NAME]],Table5[#All],2,0),"")</f>
        <v/>
      </c>
    </row>
    <row r="1565" spans="1:3" x14ac:dyDescent="0.3">
      <c r="A1565" s="5" t="s">
        <v>2232</v>
      </c>
      <c r="B1565" t="s">
        <v>8043</v>
      </c>
      <c r="C1565" t="str">
        <f>IFERROR(VLOOKUP(ILACLISTE[[#This Row],[NAME]],Table5[#All],2,0),"")</f>
        <v/>
      </c>
    </row>
    <row r="1566" spans="1:3" x14ac:dyDescent="0.3">
      <c r="A1566" s="5" t="s">
        <v>2233</v>
      </c>
      <c r="B1566" t="s">
        <v>8044</v>
      </c>
      <c r="C1566" t="str">
        <f>IFERROR(VLOOKUP(ILACLISTE[[#This Row],[NAME]],Table5[#All],2,0),"")</f>
        <v/>
      </c>
    </row>
    <row r="1567" spans="1:3" x14ac:dyDescent="0.3">
      <c r="A1567" s="5" t="s">
        <v>2234</v>
      </c>
      <c r="B1567" t="s">
        <v>8045</v>
      </c>
      <c r="C1567" t="str">
        <f>IFERROR(VLOOKUP(ILACLISTE[[#This Row],[NAME]],Table5[#All],2,0),"")</f>
        <v/>
      </c>
    </row>
    <row r="1568" spans="1:3" x14ac:dyDescent="0.3">
      <c r="A1568" s="5" t="s">
        <v>2235</v>
      </c>
      <c r="B1568" t="s">
        <v>8046</v>
      </c>
      <c r="C1568" t="str">
        <f>IFERROR(VLOOKUP(ILACLISTE[[#This Row],[NAME]],Table5[#All],2,0),"")</f>
        <v/>
      </c>
    </row>
    <row r="1569" spans="1:3" x14ac:dyDescent="0.3">
      <c r="A1569" s="5" t="s">
        <v>2236</v>
      </c>
      <c r="B1569" t="s">
        <v>8047</v>
      </c>
      <c r="C1569" t="str">
        <f>IFERROR(VLOOKUP(ILACLISTE[[#This Row],[NAME]],Table5[#All],2,0),"")</f>
        <v/>
      </c>
    </row>
    <row r="1570" spans="1:3" x14ac:dyDescent="0.3">
      <c r="A1570" s="5" t="s">
        <v>2237</v>
      </c>
      <c r="B1570" t="s">
        <v>8048</v>
      </c>
      <c r="C1570" t="str">
        <f>IFERROR(VLOOKUP(ILACLISTE[[#This Row],[NAME]],Table5[#All],2,0),"")</f>
        <v/>
      </c>
    </row>
    <row r="1571" spans="1:3" x14ac:dyDescent="0.3">
      <c r="A1571" s="5" t="s">
        <v>2238</v>
      </c>
      <c r="B1571" t="s">
        <v>8049</v>
      </c>
      <c r="C1571" t="str">
        <f>IFERROR(VLOOKUP(ILACLISTE[[#This Row],[NAME]],Table5[#All],2,0),"")</f>
        <v/>
      </c>
    </row>
    <row r="1572" spans="1:3" x14ac:dyDescent="0.3">
      <c r="A1572" s="5" t="s">
        <v>2239</v>
      </c>
      <c r="B1572" t="s">
        <v>8050</v>
      </c>
      <c r="C1572" t="str">
        <f>IFERROR(VLOOKUP(ILACLISTE[[#This Row],[NAME]],Table5[#All],2,0),"")</f>
        <v/>
      </c>
    </row>
    <row r="1573" spans="1:3" x14ac:dyDescent="0.3">
      <c r="A1573" s="5" t="s">
        <v>2240</v>
      </c>
      <c r="B1573" t="s">
        <v>8051</v>
      </c>
      <c r="C1573" t="str">
        <f>IFERROR(VLOOKUP(ILACLISTE[[#This Row],[NAME]],Table5[#All],2,0),"")</f>
        <v/>
      </c>
    </row>
    <row r="1574" spans="1:3" x14ac:dyDescent="0.3">
      <c r="A1574" s="15" t="s">
        <v>12032</v>
      </c>
      <c r="B1574" t="s">
        <v>8052</v>
      </c>
      <c r="C1574" t="str">
        <f>IFERROR(VLOOKUP(ILACLISTE[[#This Row],[NAME]],Table5[#All],2,0),"")</f>
        <v/>
      </c>
    </row>
    <row r="1575" spans="1:3" x14ac:dyDescent="0.3">
      <c r="A1575" s="5" t="s">
        <v>8053</v>
      </c>
      <c r="B1575" t="s">
        <v>8054</v>
      </c>
      <c r="C1575" t="str">
        <f>IFERROR(VLOOKUP(ILACLISTE[[#This Row],[NAME]],Table5[#All],2,0),"")</f>
        <v/>
      </c>
    </row>
    <row r="1576" spans="1:3" x14ac:dyDescent="0.3">
      <c r="A1576" s="5" t="s">
        <v>2241</v>
      </c>
      <c r="B1576" t="s">
        <v>8055</v>
      </c>
      <c r="C1576" t="str">
        <f>IFERROR(VLOOKUP(ILACLISTE[[#This Row],[NAME]],Table5[#All],2,0),"")</f>
        <v/>
      </c>
    </row>
    <row r="1577" spans="1:3" x14ac:dyDescent="0.3">
      <c r="A1577" s="5" t="s">
        <v>2242</v>
      </c>
      <c r="B1577" t="s">
        <v>8056</v>
      </c>
      <c r="C1577" t="str">
        <f>IFERROR(VLOOKUP(ILACLISTE[[#This Row],[NAME]],Table5[#All],2,0),"")</f>
        <v/>
      </c>
    </row>
    <row r="1578" spans="1:3" x14ac:dyDescent="0.3">
      <c r="A1578" s="5" t="s">
        <v>2243</v>
      </c>
      <c r="B1578" t="s">
        <v>8057</v>
      </c>
      <c r="C1578" t="str">
        <f>IFERROR(VLOOKUP(ILACLISTE[[#This Row],[NAME]],Table5[#All],2,0),"")</f>
        <v/>
      </c>
    </row>
    <row r="1579" spans="1:3" x14ac:dyDescent="0.3">
      <c r="A1579" s="5" t="s">
        <v>2244</v>
      </c>
      <c r="B1579" t="s">
        <v>8058</v>
      </c>
      <c r="C1579" t="str">
        <f>IFERROR(VLOOKUP(ILACLISTE[[#This Row],[NAME]],Table5[#All],2,0),"")</f>
        <v/>
      </c>
    </row>
    <row r="1580" spans="1:3" x14ac:dyDescent="0.3">
      <c r="A1580" s="5" t="s">
        <v>2245</v>
      </c>
      <c r="B1580" t="s">
        <v>8059</v>
      </c>
      <c r="C1580" t="str">
        <f>IFERROR(VLOOKUP(ILACLISTE[[#This Row],[NAME]],Table5[#All],2,0),"")</f>
        <v/>
      </c>
    </row>
    <row r="1581" spans="1:3" x14ac:dyDescent="0.3">
      <c r="A1581" s="5" t="s">
        <v>2246</v>
      </c>
      <c r="B1581" t="s">
        <v>8060</v>
      </c>
      <c r="C1581" t="str">
        <f>IFERROR(VLOOKUP(ILACLISTE[[#This Row],[NAME]],Table5[#All],2,0),"")</f>
        <v/>
      </c>
    </row>
    <row r="1582" spans="1:3" x14ac:dyDescent="0.3">
      <c r="A1582" s="5" t="s">
        <v>2247</v>
      </c>
      <c r="B1582" t="s">
        <v>8061</v>
      </c>
      <c r="C1582" t="str">
        <f>IFERROR(VLOOKUP(ILACLISTE[[#This Row],[NAME]],Table5[#All],2,0),"")</f>
        <v/>
      </c>
    </row>
    <row r="1583" spans="1:3" x14ac:dyDescent="0.3">
      <c r="A1583" s="5" t="s">
        <v>2248</v>
      </c>
      <c r="B1583" t="s">
        <v>8062</v>
      </c>
      <c r="C1583" t="str">
        <f>IFERROR(VLOOKUP(ILACLISTE[[#This Row],[NAME]],Table5[#All],2,0),"")</f>
        <v/>
      </c>
    </row>
    <row r="1584" spans="1:3" x14ac:dyDescent="0.3">
      <c r="A1584" s="5" t="s">
        <v>2249</v>
      </c>
      <c r="B1584" t="s">
        <v>8063</v>
      </c>
      <c r="C1584" t="str">
        <f>IFERROR(VLOOKUP(ILACLISTE[[#This Row],[NAME]],Table5[#All],2,0),"")</f>
        <v/>
      </c>
    </row>
    <row r="1585" spans="1:3" x14ac:dyDescent="0.3">
      <c r="A1585" s="5" t="s">
        <v>2250</v>
      </c>
      <c r="B1585" t="s">
        <v>8064</v>
      </c>
      <c r="C1585" t="str">
        <f>IFERROR(VLOOKUP(ILACLISTE[[#This Row],[NAME]],Table5[#All],2,0),"")</f>
        <v/>
      </c>
    </row>
    <row r="1586" spans="1:3" x14ac:dyDescent="0.3">
      <c r="A1586" s="5" t="s">
        <v>2251</v>
      </c>
      <c r="B1586" t="s">
        <v>8065</v>
      </c>
      <c r="C1586" t="str">
        <f>IFERROR(VLOOKUP(ILACLISTE[[#This Row],[NAME]],Table5[#All],2,0),"")</f>
        <v/>
      </c>
    </row>
    <row r="1587" spans="1:3" x14ac:dyDescent="0.3">
      <c r="A1587" s="5" t="s">
        <v>2252</v>
      </c>
      <c r="B1587" t="s">
        <v>8066</v>
      </c>
      <c r="C1587" t="str">
        <f>IFERROR(VLOOKUP(ILACLISTE[[#This Row],[NAME]],Table5[#All],2,0),"")</f>
        <v/>
      </c>
    </row>
    <row r="1588" spans="1:3" x14ac:dyDescent="0.3">
      <c r="A1588" s="5" t="s">
        <v>2253</v>
      </c>
      <c r="B1588" t="s">
        <v>8067</v>
      </c>
      <c r="C1588" t="str">
        <f>IFERROR(VLOOKUP(ILACLISTE[[#This Row],[NAME]],Table5[#All],2,0),"")</f>
        <v/>
      </c>
    </row>
    <row r="1589" spans="1:3" x14ac:dyDescent="0.3">
      <c r="A1589" s="5" t="s">
        <v>2254</v>
      </c>
      <c r="B1589" t="s">
        <v>8068</v>
      </c>
      <c r="C1589" t="str">
        <f>IFERROR(VLOOKUP(ILACLISTE[[#This Row],[NAME]],Table5[#All],2,0),"")</f>
        <v/>
      </c>
    </row>
    <row r="1590" spans="1:3" x14ac:dyDescent="0.3">
      <c r="A1590" s="5" t="s">
        <v>2255</v>
      </c>
      <c r="B1590" t="s">
        <v>8069</v>
      </c>
      <c r="C1590" t="str">
        <f>IFERROR(VLOOKUP(ILACLISTE[[#This Row],[NAME]],Table5[#All],2,0),"")</f>
        <v/>
      </c>
    </row>
    <row r="1591" spans="1:3" x14ac:dyDescent="0.3">
      <c r="A1591" s="5" t="s">
        <v>2256</v>
      </c>
      <c r="B1591" t="s">
        <v>8070</v>
      </c>
      <c r="C1591" t="str">
        <f>IFERROR(VLOOKUP(ILACLISTE[[#This Row],[NAME]],Table5[#All],2,0),"")</f>
        <v/>
      </c>
    </row>
    <row r="1592" spans="1:3" x14ac:dyDescent="0.3">
      <c r="A1592" s="5" t="s">
        <v>2257</v>
      </c>
      <c r="B1592" t="s">
        <v>8071</v>
      </c>
      <c r="C1592" t="str">
        <f>IFERROR(VLOOKUP(ILACLISTE[[#This Row],[NAME]],Table5[#All],2,0),"")</f>
        <v/>
      </c>
    </row>
    <row r="1593" spans="1:3" x14ac:dyDescent="0.3">
      <c r="A1593" s="5" t="s">
        <v>2258</v>
      </c>
      <c r="B1593" t="s">
        <v>8072</v>
      </c>
      <c r="C1593" t="str">
        <f>IFERROR(VLOOKUP(ILACLISTE[[#This Row],[NAME]],Table5[#All],2,0),"")</f>
        <v/>
      </c>
    </row>
    <row r="1594" spans="1:3" x14ac:dyDescent="0.3">
      <c r="A1594" s="5" t="s">
        <v>2259</v>
      </c>
      <c r="B1594" t="s">
        <v>8073</v>
      </c>
      <c r="C1594" t="str">
        <f>IFERROR(VLOOKUP(ILACLISTE[[#This Row],[NAME]],Table5[#All],2,0),"")</f>
        <v/>
      </c>
    </row>
    <row r="1595" spans="1:3" x14ac:dyDescent="0.3">
      <c r="A1595" s="5" t="s">
        <v>2260</v>
      </c>
      <c r="B1595" t="s">
        <v>8074</v>
      </c>
      <c r="C1595" t="str">
        <f>IFERROR(VLOOKUP(ILACLISTE[[#This Row],[NAME]],Table5[#All],2,0),"")</f>
        <v/>
      </c>
    </row>
    <row r="1596" spans="1:3" x14ac:dyDescent="0.3">
      <c r="A1596" s="5" t="s">
        <v>2261</v>
      </c>
      <c r="B1596" t="s">
        <v>8075</v>
      </c>
      <c r="C1596" t="str">
        <f>IFERROR(VLOOKUP(ILACLISTE[[#This Row],[NAME]],Table5[#All],2,0),"")</f>
        <v/>
      </c>
    </row>
    <row r="1597" spans="1:3" x14ac:dyDescent="0.3">
      <c r="A1597" s="5" t="s">
        <v>2262</v>
      </c>
      <c r="B1597" t="s">
        <v>8076</v>
      </c>
      <c r="C1597" t="str">
        <f>IFERROR(VLOOKUP(ILACLISTE[[#This Row],[NAME]],Table5[#All],2,0),"")</f>
        <v/>
      </c>
    </row>
    <row r="1598" spans="1:3" x14ac:dyDescent="0.3">
      <c r="A1598" s="5" t="s">
        <v>2263</v>
      </c>
      <c r="B1598" t="s">
        <v>8077</v>
      </c>
      <c r="C1598" t="str">
        <f>IFERROR(VLOOKUP(ILACLISTE[[#This Row],[NAME]],Table5[#All],2,0),"")</f>
        <v/>
      </c>
    </row>
    <row r="1599" spans="1:3" x14ac:dyDescent="0.3">
      <c r="A1599" s="5" t="s">
        <v>2264</v>
      </c>
      <c r="B1599" t="s">
        <v>8078</v>
      </c>
      <c r="C1599" t="str">
        <f>IFERROR(VLOOKUP(ILACLISTE[[#This Row],[NAME]],Table5[#All],2,0),"")</f>
        <v/>
      </c>
    </row>
    <row r="1600" spans="1:3" x14ac:dyDescent="0.3">
      <c r="A1600" s="5" t="s">
        <v>2265</v>
      </c>
      <c r="B1600" t="s">
        <v>8079</v>
      </c>
      <c r="C1600" t="str">
        <f>IFERROR(VLOOKUP(ILACLISTE[[#This Row],[NAME]],Table5[#All],2,0),"")</f>
        <v/>
      </c>
    </row>
    <row r="1601" spans="1:3" x14ac:dyDescent="0.3">
      <c r="A1601" s="5" t="s">
        <v>2266</v>
      </c>
      <c r="B1601" t="s">
        <v>188</v>
      </c>
      <c r="C1601" t="str">
        <f>IFERROR(VLOOKUP(ILACLISTE[[#This Row],[NAME]],Table5[#All],2,0),"")</f>
        <v/>
      </c>
    </row>
    <row r="1602" spans="1:3" x14ac:dyDescent="0.3">
      <c r="A1602" s="5" t="s">
        <v>2267</v>
      </c>
      <c r="B1602" t="s">
        <v>189</v>
      </c>
      <c r="C1602" t="str">
        <f>IFERROR(VLOOKUP(ILACLISTE[[#This Row],[NAME]],Table5[#All],2,0),"")</f>
        <v/>
      </c>
    </row>
    <row r="1603" spans="1:3" x14ac:dyDescent="0.3">
      <c r="A1603" s="5" t="s">
        <v>2268</v>
      </c>
      <c r="B1603" t="s">
        <v>190</v>
      </c>
      <c r="C1603" t="str">
        <f>IFERROR(VLOOKUP(ILACLISTE[[#This Row],[NAME]],Table5[#All],2,0),"")</f>
        <v/>
      </c>
    </row>
    <row r="1604" spans="1:3" x14ac:dyDescent="0.3">
      <c r="A1604" s="5" t="s">
        <v>2269</v>
      </c>
      <c r="B1604" t="s">
        <v>191</v>
      </c>
      <c r="C1604" t="str">
        <f>IFERROR(VLOOKUP(ILACLISTE[[#This Row],[NAME]],Table5[#All],2,0),"")</f>
        <v/>
      </c>
    </row>
    <row r="1605" spans="1:3" x14ac:dyDescent="0.3">
      <c r="A1605" s="5" t="s">
        <v>2270</v>
      </c>
      <c r="B1605" t="s">
        <v>192</v>
      </c>
      <c r="C1605" t="str">
        <f>IFERROR(VLOOKUP(ILACLISTE[[#This Row],[NAME]],Table5[#All],2,0),"")</f>
        <v/>
      </c>
    </row>
    <row r="1606" spans="1:3" x14ac:dyDescent="0.3">
      <c r="A1606" s="5" t="s">
        <v>2271</v>
      </c>
      <c r="B1606" t="s">
        <v>193</v>
      </c>
      <c r="C1606" t="str">
        <f>IFERROR(VLOOKUP(ILACLISTE[[#This Row],[NAME]],Table5[#All],2,0),"")</f>
        <v/>
      </c>
    </row>
    <row r="1607" spans="1:3" ht="20.399999999999999" x14ac:dyDescent="0.3">
      <c r="A1607" s="7" t="s">
        <v>2272</v>
      </c>
      <c r="B1607" t="s">
        <v>8080</v>
      </c>
      <c r="C1607" t="str">
        <f>IFERROR(VLOOKUP(ILACLISTE[[#This Row],[NAME]],Table5[#All],2,0),"")</f>
        <v/>
      </c>
    </row>
    <row r="1608" spans="1:3" x14ac:dyDescent="0.3">
      <c r="A1608" s="5" t="s">
        <v>2273</v>
      </c>
      <c r="B1608" t="s">
        <v>8081</v>
      </c>
      <c r="C1608" t="str">
        <f>IFERROR(VLOOKUP(ILACLISTE[[#This Row],[NAME]],Table5[#All],2,0),"")</f>
        <v/>
      </c>
    </row>
    <row r="1609" spans="1:3" x14ac:dyDescent="0.3">
      <c r="A1609" s="5" t="s">
        <v>2274</v>
      </c>
      <c r="B1609" t="s">
        <v>8082</v>
      </c>
      <c r="C1609" t="str">
        <f>IFERROR(VLOOKUP(ILACLISTE[[#This Row],[NAME]],Table5[#All],2,0),"")</f>
        <v/>
      </c>
    </row>
    <row r="1610" spans="1:3" ht="20.399999999999999" x14ac:dyDescent="0.3">
      <c r="A1610" s="6" t="s">
        <v>2275</v>
      </c>
      <c r="B1610" t="s">
        <v>8083</v>
      </c>
      <c r="C1610" t="str">
        <f>IFERROR(VLOOKUP(ILACLISTE[[#This Row],[NAME]],Table5[#All],2,0),"")</f>
        <v/>
      </c>
    </row>
    <row r="1611" spans="1:3" x14ac:dyDescent="0.3">
      <c r="A1611" s="5" t="s">
        <v>2276</v>
      </c>
      <c r="B1611" t="s">
        <v>194</v>
      </c>
      <c r="C1611" t="str">
        <f>IFERROR(VLOOKUP(ILACLISTE[[#This Row],[NAME]],Table5[#All],2,0),"")</f>
        <v/>
      </c>
    </row>
    <row r="1612" spans="1:3" x14ac:dyDescent="0.3">
      <c r="A1612" s="5" t="s">
        <v>2277</v>
      </c>
      <c r="B1612" t="s">
        <v>8084</v>
      </c>
      <c r="C1612" t="str">
        <f>IFERROR(VLOOKUP(ILACLISTE[[#This Row],[NAME]],Table5[#All],2,0),"")</f>
        <v/>
      </c>
    </row>
    <row r="1613" spans="1:3" x14ac:dyDescent="0.3">
      <c r="A1613" s="5" t="s">
        <v>2278</v>
      </c>
      <c r="B1613" t="s">
        <v>8085</v>
      </c>
      <c r="C1613" t="str">
        <f>IFERROR(VLOOKUP(ILACLISTE[[#This Row],[NAME]],Table5[#All],2,0),"")</f>
        <v/>
      </c>
    </row>
    <row r="1614" spans="1:3" x14ac:dyDescent="0.3">
      <c r="A1614" s="5" t="s">
        <v>2279</v>
      </c>
      <c r="B1614" t="s">
        <v>8086</v>
      </c>
      <c r="C1614" t="str">
        <f>IFERROR(VLOOKUP(ILACLISTE[[#This Row],[NAME]],Table5[#All],2,0),"")</f>
        <v/>
      </c>
    </row>
    <row r="1615" spans="1:3" x14ac:dyDescent="0.3">
      <c r="A1615" s="5" t="s">
        <v>2280</v>
      </c>
      <c r="B1615" t="s">
        <v>195</v>
      </c>
      <c r="C1615" t="str">
        <f>IFERROR(VLOOKUP(ILACLISTE[[#This Row],[NAME]],Table5[#All],2,0),"")</f>
        <v/>
      </c>
    </row>
    <row r="1616" spans="1:3" x14ac:dyDescent="0.3">
      <c r="A1616" s="5" t="s">
        <v>2281</v>
      </c>
      <c r="B1616" t="s">
        <v>8087</v>
      </c>
      <c r="C1616" t="str">
        <f>IFERROR(VLOOKUP(ILACLISTE[[#This Row],[NAME]],Table5[#All],2,0),"")</f>
        <v/>
      </c>
    </row>
    <row r="1617" spans="1:3" x14ac:dyDescent="0.3">
      <c r="A1617" s="5" t="s">
        <v>2282</v>
      </c>
      <c r="B1617" t="s">
        <v>8088</v>
      </c>
      <c r="C1617" t="str">
        <f>IFERROR(VLOOKUP(ILACLISTE[[#This Row],[NAME]],Table5[#All],2,0),"")</f>
        <v/>
      </c>
    </row>
    <row r="1618" spans="1:3" x14ac:dyDescent="0.3">
      <c r="A1618" s="5" t="s">
        <v>2283</v>
      </c>
      <c r="B1618" t="s">
        <v>8089</v>
      </c>
      <c r="C1618" t="str">
        <f>IFERROR(VLOOKUP(ILACLISTE[[#This Row],[NAME]],Table5[#All],2,0),"")</f>
        <v/>
      </c>
    </row>
    <row r="1619" spans="1:3" x14ac:dyDescent="0.3">
      <c r="A1619" s="5" t="s">
        <v>2284</v>
      </c>
      <c r="B1619" t="s">
        <v>8090</v>
      </c>
      <c r="C1619" t="str">
        <f>IFERROR(VLOOKUP(ILACLISTE[[#This Row],[NAME]],Table5[#All],2,0),"")</f>
        <v/>
      </c>
    </row>
    <row r="1620" spans="1:3" x14ac:dyDescent="0.3">
      <c r="A1620" s="5" t="s">
        <v>2285</v>
      </c>
      <c r="B1620" t="s">
        <v>8091</v>
      </c>
      <c r="C1620" t="str">
        <f>IFERROR(VLOOKUP(ILACLISTE[[#This Row],[NAME]],Table5[#All],2,0),"")</f>
        <v/>
      </c>
    </row>
    <row r="1621" spans="1:3" x14ac:dyDescent="0.3">
      <c r="A1621" s="5" t="s">
        <v>2286</v>
      </c>
      <c r="B1621" t="s">
        <v>8092</v>
      </c>
      <c r="C1621" t="str">
        <f>IFERROR(VLOOKUP(ILACLISTE[[#This Row],[NAME]],Table5[#All],2,0),"")</f>
        <v/>
      </c>
    </row>
    <row r="1622" spans="1:3" x14ac:dyDescent="0.3">
      <c r="A1622" s="5" t="s">
        <v>2287</v>
      </c>
      <c r="B1622" t="s">
        <v>8093</v>
      </c>
      <c r="C1622" t="str">
        <f>IFERROR(VLOOKUP(ILACLISTE[[#This Row],[NAME]],Table5[#All],2,0),"")</f>
        <v/>
      </c>
    </row>
    <row r="1623" spans="1:3" x14ac:dyDescent="0.3">
      <c r="A1623" s="5" t="s">
        <v>2288</v>
      </c>
      <c r="B1623" t="s">
        <v>8094</v>
      </c>
      <c r="C1623" t="str">
        <f>IFERROR(VLOOKUP(ILACLISTE[[#This Row],[NAME]],Table5[#All],2,0),"")</f>
        <v/>
      </c>
    </row>
    <row r="1624" spans="1:3" x14ac:dyDescent="0.3">
      <c r="A1624" s="5" t="s">
        <v>2289</v>
      </c>
      <c r="B1624" t="s">
        <v>8095</v>
      </c>
      <c r="C1624" t="str">
        <f>IFERROR(VLOOKUP(ILACLISTE[[#This Row],[NAME]],Table5[#All],2,0),"")</f>
        <v/>
      </c>
    </row>
    <row r="1625" spans="1:3" ht="20.399999999999999" x14ac:dyDescent="0.3">
      <c r="A1625" s="6" t="s">
        <v>2290</v>
      </c>
      <c r="B1625" t="s">
        <v>8096</v>
      </c>
      <c r="C1625" t="str">
        <f>IFERROR(VLOOKUP(ILACLISTE[[#This Row],[NAME]],Table5[#All],2,0),"")</f>
        <v/>
      </c>
    </row>
    <row r="1626" spans="1:3" x14ac:dyDescent="0.3">
      <c r="A1626" s="5" t="s">
        <v>2291</v>
      </c>
      <c r="B1626" t="s">
        <v>8097</v>
      </c>
      <c r="C1626" t="str">
        <f>IFERROR(VLOOKUP(ILACLISTE[[#This Row],[NAME]],Table5[#All],2,0),"")</f>
        <v/>
      </c>
    </row>
    <row r="1627" spans="1:3" x14ac:dyDescent="0.3">
      <c r="A1627" s="5" t="s">
        <v>2292</v>
      </c>
      <c r="B1627" t="s">
        <v>8098</v>
      </c>
      <c r="C1627" t="str">
        <f>IFERROR(VLOOKUP(ILACLISTE[[#This Row],[NAME]],Table5[#All],2,0),"")</f>
        <v/>
      </c>
    </row>
    <row r="1628" spans="1:3" x14ac:dyDescent="0.3">
      <c r="A1628" s="5" t="s">
        <v>2293</v>
      </c>
      <c r="B1628" t="s">
        <v>8099</v>
      </c>
      <c r="C1628" t="str">
        <f>IFERROR(VLOOKUP(ILACLISTE[[#This Row],[NAME]],Table5[#All],2,0),"")</f>
        <v/>
      </c>
    </row>
    <row r="1629" spans="1:3" x14ac:dyDescent="0.3">
      <c r="A1629" s="5" t="s">
        <v>2294</v>
      </c>
      <c r="B1629" t="s">
        <v>8100</v>
      </c>
      <c r="C1629" t="str">
        <f>IFERROR(VLOOKUP(ILACLISTE[[#This Row],[NAME]],Table5[#All],2,0),"")</f>
        <v/>
      </c>
    </row>
    <row r="1630" spans="1:3" x14ac:dyDescent="0.3">
      <c r="A1630" s="5" t="s">
        <v>2295</v>
      </c>
      <c r="B1630" t="s">
        <v>196</v>
      </c>
      <c r="C1630" t="str">
        <f>IFERROR(VLOOKUP(ILACLISTE[[#This Row],[NAME]],Table5[#All],2,0),"")</f>
        <v/>
      </c>
    </row>
    <row r="1631" spans="1:3" x14ac:dyDescent="0.3">
      <c r="A1631" s="5" t="s">
        <v>2296</v>
      </c>
      <c r="B1631" t="s">
        <v>8101</v>
      </c>
      <c r="C1631" t="str">
        <f>IFERROR(VLOOKUP(ILACLISTE[[#This Row],[NAME]],Table5[#All],2,0),"")</f>
        <v/>
      </c>
    </row>
    <row r="1632" spans="1:3" x14ac:dyDescent="0.3">
      <c r="A1632" s="5" t="s">
        <v>2297</v>
      </c>
      <c r="B1632" t="s">
        <v>8102</v>
      </c>
      <c r="C1632" t="str">
        <f>IFERROR(VLOOKUP(ILACLISTE[[#This Row],[NAME]],Table5[#All],2,0),"")</f>
        <v/>
      </c>
    </row>
    <row r="1633" spans="1:3" x14ac:dyDescent="0.3">
      <c r="A1633" s="5" t="s">
        <v>2298</v>
      </c>
      <c r="B1633" t="s">
        <v>8103</v>
      </c>
      <c r="C1633" t="str">
        <f>IFERROR(VLOOKUP(ILACLISTE[[#This Row],[NAME]],Table5[#All],2,0),"")</f>
        <v/>
      </c>
    </row>
    <row r="1634" spans="1:3" x14ac:dyDescent="0.3">
      <c r="A1634" s="5" t="s">
        <v>2299</v>
      </c>
      <c r="B1634" t="s">
        <v>8104</v>
      </c>
      <c r="C1634" t="str">
        <f>IFERROR(VLOOKUP(ILACLISTE[[#This Row],[NAME]],Table5[#All],2,0),"")</f>
        <v/>
      </c>
    </row>
    <row r="1635" spans="1:3" x14ac:dyDescent="0.3">
      <c r="A1635" s="5" t="s">
        <v>2300</v>
      </c>
      <c r="B1635" t="s">
        <v>197</v>
      </c>
      <c r="C1635" t="str">
        <f>IFERROR(VLOOKUP(ILACLISTE[[#This Row],[NAME]],Table5[#All],2,0),"")</f>
        <v/>
      </c>
    </row>
    <row r="1636" spans="1:3" x14ac:dyDescent="0.3">
      <c r="A1636" s="5" t="s">
        <v>2301</v>
      </c>
      <c r="B1636" t="s">
        <v>8105</v>
      </c>
      <c r="C1636" t="str">
        <f>IFERROR(VLOOKUP(ILACLISTE[[#This Row],[NAME]],Table5[#All],2,0),"")</f>
        <v/>
      </c>
    </row>
    <row r="1637" spans="1:3" x14ac:dyDescent="0.3">
      <c r="A1637" s="5" t="s">
        <v>2302</v>
      </c>
      <c r="B1637" t="s">
        <v>8106</v>
      </c>
      <c r="C1637" t="str">
        <f>IFERROR(VLOOKUP(ILACLISTE[[#This Row],[NAME]],Table5[#All],2,0),"")</f>
        <v/>
      </c>
    </row>
    <row r="1638" spans="1:3" x14ac:dyDescent="0.3">
      <c r="A1638" s="5" t="s">
        <v>2303</v>
      </c>
      <c r="B1638" t="s">
        <v>8107</v>
      </c>
      <c r="C1638" t="str">
        <f>IFERROR(VLOOKUP(ILACLISTE[[#This Row],[NAME]],Table5[#All],2,0),"")</f>
        <v/>
      </c>
    </row>
    <row r="1639" spans="1:3" x14ac:dyDescent="0.3">
      <c r="A1639" s="5" t="s">
        <v>2304</v>
      </c>
      <c r="B1639" t="s">
        <v>8108</v>
      </c>
      <c r="C1639" t="str">
        <f>IFERROR(VLOOKUP(ILACLISTE[[#This Row],[NAME]],Table5[#All],2,0),"")</f>
        <v/>
      </c>
    </row>
    <row r="1640" spans="1:3" x14ac:dyDescent="0.3">
      <c r="A1640" s="5" t="s">
        <v>2305</v>
      </c>
      <c r="B1640" t="s">
        <v>8109</v>
      </c>
      <c r="C1640" t="str">
        <f>IFERROR(VLOOKUP(ILACLISTE[[#This Row],[NAME]],Table5[#All],2,0),"")</f>
        <v/>
      </c>
    </row>
    <row r="1641" spans="1:3" x14ac:dyDescent="0.3">
      <c r="A1641" s="5" t="s">
        <v>2306</v>
      </c>
      <c r="B1641" t="s">
        <v>8110</v>
      </c>
      <c r="C1641" t="str">
        <f>IFERROR(VLOOKUP(ILACLISTE[[#This Row],[NAME]],Table5[#All],2,0),"")</f>
        <v/>
      </c>
    </row>
    <row r="1642" spans="1:3" x14ac:dyDescent="0.3">
      <c r="A1642" s="5" t="s">
        <v>2307</v>
      </c>
      <c r="B1642" t="s">
        <v>8111</v>
      </c>
      <c r="C1642" t="str">
        <f>IFERROR(VLOOKUP(ILACLISTE[[#This Row],[NAME]],Table5[#All],2,0),"")</f>
        <v/>
      </c>
    </row>
    <row r="1643" spans="1:3" x14ac:dyDescent="0.3">
      <c r="A1643" s="5" t="s">
        <v>2308</v>
      </c>
      <c r="B1643" t="s">
        <v>8112</v>
      </c>
      <c r="C1643" t="str">
        <f>IFERROR(VLOOKUP(ILACLISTE[[#This Row],[NAME]],Table5[#All],2,0),"")</f>
        <v/>
      </c>
    </row>
    <row r="1644" spans="1:3" x14ac:dyDescent="0.3">
      <c r="A1644" s="5" t="s">
        <v>2309</v>
      </c>
      <c r="B1644" t="s">
        <v>8113</v>
      </c>
      <c r="C1644" t="str">
        <f>IFERROR(VLOOKUP(ILACLISTE[[#This Row],[NAME]],Table5[#All],2,0),"")</f>
        <v/>
      </c>
    </row>
    <row r="1645" spans="1:3" x14ac:dyDescent="0.3">
      <c r="A1645" s="5" t="s">
        <v>2310</v>
      </c>
      <c r="B1645" t="s">
        <v>8114</v>
      </c>
      <c r="C1645" t="str">
        <f>IFERROR(VLOOKUP(ILACLISTE[[#This Row],[NAME]],Table5[#All],2,0),"")</f>
        <v/>
      </c>
    </row>
    <row r="1646" spans="1:3" x14ac:dyDescent="0.3">
      <c r="A1646" s="5" t="s">
        <v>2311</v>
      </c>
      <c r="B1646" t="s">
        <v>8115</v>
      </c>
      <c r="C1646" t="str">
        <f>IFERROR(VLOOKUP(ILACLISTE[[#This Row],[NAME]],Table5[#All],2,0),"")</f>
        <v/>
      </c>
    </row>
    <row r="1647" spans="1:3" x14ac:dyDescent="0.3">
      <c r="A1647" s="5" t="s">
        <v>2312</v>
      </c>
      <c r="B1647" t="s">
        <v>8116</v>
      </c>
      <c r="C1647" t="str">
        <f>IFERROR(VLOOKUP(ILACLISTE[[#This Row],[NAME]],Table5[#All],2,0),"")</f>
        <v/>
      </c>
    </row>
    <row r="1648" spans="1:3" x14ac:dyDescent="0.3">
      <c r="A1648" s="5" t="s">
        <v>2313</v>
      </c>
      <c r="B1648" t="s">
        <v>8117</v>
      </c>
      <c r="C1648" t="str">
        <f>IFERROR(VLOOKUP(ILACLISTE[[#This Row],[NAME]],Table5[#All],2,0),"")</f>
        <v/>
      </c>
    </row>
    <row r="1649" spans="1:3" x14ac:dyDescent="0.3">
      <c r="A1649" s="5" t="s">
        <v>2314</v>
      </c>
      <c r="B1649" t="s">
        <v>8118</v>
      </c>
      <c r="C1649" t="str">
        <f>IFERROR(VLOOKUP(ILACLISTE[[#This Row],[NAME]],Table5[#All],2,0),"")</f>
        <v/>
      </c>
    </row>
    <row r="1650" spans="1:3" x14ac:dyDescent="0.3">
      <c r="A1650" s="5" t="s">
        <v>2315</v>
      </c>
      <c r="B1650" t="s">
        <v>198</v>
      </c>
      <c r="C1650" t="str">
        <f>IFERROR(VLOOKUP(ILACLISTE[[#This Row],[NAME]],Table5[#All],2,0),"")</f>
        <v/>
      </c>
    </row>
    <row r="1651" spans="1:3" x14ac:dyDescent="0.3">
      <c r="A1651" s="5" t="s">
        <v>2316</v>
      </c>
      <c r="B1651" t="s">
        <v>8119</v>
      </c>
      <c r="C1651" t="str">
        <f>IFERROR(VLOOKUP(ILACLISTE[[#This Row],[NAME]],Table5[#All],2,0),"")</f>
        <v/>
      </c>
    </row>
    <row r="1652" spans="1:3" x14ac:dyDescent="0.3">
      <c r="A1652" s="5" t="s">
        <v>2317</v>
      </c>
      <c r="B1652" t="s">
        <v>8120</v>
      </c>
      <c r="C1652" t="str">
        <f>IFERROR(VLOOKUP(ILACLISTE[[#This Row],[NAME]],Table5[#All],2,0),"")</f>
        <v/>
      </c>
    </row>
    <row r="1653" spans="1:3" x14ac:dyDescent="0.3">
      <c r="A1653" s="5" t="s">
        <v>2318</v>
      </c>
      <c r="B1653" t="s">
        <v>8121</v>
      </c>
      <c r="C1653" t="str">
        <f>IFERROR(VLOOKUP(ILACLISTE[[#This Row],[NAME]],Table5[#All],2,0),"")</f>
        <v/>
      </c>
    </row>
    <row r="1654" spans="1:3" x14ac:dyDescent="0.3">
      <c r="A1654" s="5" t="s">
        <v>2319</v>
      </c>
      <c r="B1654" t="s">
        <v>199</v>
      </c>
      <c r="C1654" t="str">
        <f>IFERROR(VLOOKUP(ILACLISTE[[#This Row],[NAME]],Table5[#All],2,0),"")</f>
        <v/>
      </c>
    </row>
    <row r="1655" spans="1:3" x14ac:dyDescent="0.3">
      <c r="A1655" s="5" t="s">
        <v>2320</v>
      </c>
      <c r="B1655" t="s">
        <v>8122</v>
      </c>
      <c r="C1655" t="str">
        <f>IFERROR(VLOOKUP(ILACLISTE[[#This Row],[NAME]],Table5[#All],2,0),"")</f>
        <v/>
      </c>
    </row>
    <row r="1656" spans="1:3" x14ac:dyDescent="0.3">
      <c r="A1656" s="5" t="s">
        <v>2321</v>
      </c>
      <c r="B1656" t="s">
        <v>8123</v>
      </c>
      <c r="C1656" t="str">
        <f>IFERROR(VLOOKUP(ILACLISTE[[#This Row],[NAME]],Table5[#All],2,0),"")</f>
        <v/>
      </c>
    </row>
    <row r="1657" spans="1:3" x14ac:dyDescent="0.3">
      <c r="A1657" s="5" t="s">
        <v>2322</v>
      </c>
      <c r="B1657" t="s">
        <v>8124</v>
      </c>
      <c r="C1657" t="str">
        <f>IFERROR(VLOOKUP(ILACLISTE[[#This Row],[NAME]],Table5[#All],2,0),"")</f>
        <v/>
      </c>
    </row>
    <row r="1658" spans="1:3" x14ac:dyDescent="0.3">
      <c r="A1658" s="5" t="s">
        <v>2323</v>
      </c>
      <c r="B1658" t="s">
        <v>8125</v>
      </c>
      <c r="C1658" t="str">
        <f>IFERROR(VLOOKUP(ILACLISTE[[#This Row],[NAME]],Table5[#All],2,0),"")</f>
        <v/>
      </c>
    </row>
    <row r="1659" spans="1:3" x14ac:dyDescent="0.3">
      <c r="A1659" s="5" t="s">
        <v>2324</v>
      </c>
      <c r="B1659" t="s">
        <v>8126</v>
      </c>
      <c r="C1659" t="str">
        <f>IFERROR(VLOOKUP(ILACLISTE[[#This Row],[NAME]],Table5[#All],2,0),"")</f>
        <v/>
      </c>
    </row>
    <row r="1660" spans="1:3" x14ac:dyDescent="0.3">
      <c r="A1660" s="5" t="s">
        <v>2325</v>
      </c>
      <c r="B1660" t="s">
        <v>8127</v>
      </c>
      <c r="C1660" t="str">
        <f>IFERROR(VLOOKUP(ILACLISTE[[#This Row],[NAME]],Table5[#All],2,0),"")</f>
        <v/>
      </c>
    </row>
    <row r="1661" spans="1:3" x14ac:dyDescent="0.3">
      <c r="A1661" s="5" t="s">
        <v>2326</v>
      </c>
      <c r="B1661" t="s">
        <v>8128</v>
      </c>
      <c r="C1661" t="str">
        <f>IFERROR(VLOOKUP(ILACLISTE[[#This Row],[NAME]],Table5[#All],2,0),"")</f>
        <v/>
      </c>
    </row>
    <row r="1662" spans="1:3" x14ac:dyDescent="0.3">
      <c r="A1662" s="5" t="s">
        <v>2327</v>
      </c>
      <c r="B1662" t="s">
        <v>8129</v>
      </c>
      <c r="C1662" t="str">
        <f>IFERROR(VLOOKUP(ILACLISTE[[#This Row],[NAME]],Table5[#All],2,0),"")</f>
        <v/>
      </c>
    </row>
    <row r="1663" spans="1:3" x14ac:dyDescent="0.3">
      <c r="A1663" s="5" t="s">
        <v>2328</v>
      </c>
      <c r="B1663" t="s">
        <v>8130</v>
      </c>
      <c r="C1663" t="str">
        <f>IFERROR(VLOOKUP(ILACLISTE[[#This Row],[NAME]],Table5[#All],2,0),"")</f>
        <v/>
      </c>
    </row>
    <row r="1664" spans="1:3" x14ac:dyDescent="0.3">
      <c r="A1664" s="5" t="s">
        <v>8131</v>
      </c>
      <c r="B1664" t="s">
        <v>8132</v>
      </c>
      <c r="C1664" t="str">
        <f>IFERROR(VLOOKUP(ILACLISTE[[#This Row],[NAME]],Table5[#All],2,0),"")</f>
        <v/>
      </c>
    </row>
    <row r="1665" spans="1:3" x14ac:dyDescent="0.3">
      <c r="A1665" s="5" t="s">
        <v>8133</v>
      </c>
      <c r="B1665" t="s">
        <v>8134</v>
      </c>
      <c r="C1665" t="str">
        <f>IFERROR(VLOOKUP(ILACLISTE[[#This Row],[NAME]],Table5[#All],2,0),"")</f>
        <v/>
      </c>
    </row>
    <row r="1666" spans="1:3" x14ac:dyDescent="0.3">
      <c r="A1666" s="5" t="s">
        <v>2329</v>
      </c>
      <c r="B1666" t="s">
        <v>8135</v>
      </c>
      <c r="C1666" t="str">
        <f>IFERROR(VLOOKUP(ILACLISTE[[#This Row],[NAME]],Table5[#All],2,0),"")</f>
        <v/>
      </c>
    </row>
    <row r="1667" spans="1:3" x14ac:dyDescent="0.3">
      <c r="A1667" s="5" t="s">
        <v>2330</v>
      </c>
      <c r="B1667" t="s">
        <v>8136</v>
      </c>
      <c r="C1667" t="str">
        <f>IFERROR(VLOOKUP(ILACLISTE[[#This Row],[NAME]],Table5[#All],2,0),"")</f>
        <v/>
      </c>
    </row>
    <row r="1668" spans="1:3" x14ac:dyDescent="0.3">
      <c r="A1668" s="5" t="s">
        <v>2331</v>
      </c>
      <c r="B1668" t="s">
        <v>8137</v>
      </c>
      <c r="C1668" t="str">
        <f>IFERROR(VLOOKUP(ILACLISTE[[#This Row],[NAME]],Table5[#All],2,0),"")</f>
        <v/>
      </c>
    </row>
    <row r="1669" spans="1:3" ht="20.399999999999999" x14ac:dyDescent="0.3">
      <c r="A1669" s="7" t="s">
        <v>2332</v>
      </c>
      <c r="B1669" t="s">
        <v>8138</v>
      </c>
      <c r="C1669" t="str">
        <f>IFERROR(VLOOKUP(ILACLISTE[[#This Row],[NAME]],Table5[#All],2,0),"")</f>
        <v/>
      </c>
    </row>
    <row r="1670" spans="1:3" x14ac:dyDescent="0.3">
      <c r="A1670" s="5" t="s">
        <v>2333</v>
      </c>
      <c r="B1670" t="s">
        <v>8139</v>
      </c>
      <c r="C1670" t="str">
        <f>IFERROR(VLOOKUP(ILACLISTE[[#This Row],[NAME]],Table5[#All],2,0),"")</f>
        <v/>
      </c>
    </row>
    <row r="1671" spans="1:3" x14ac:dyDescent="0.3">
      <c r="A1671" s="5" t="s">
        <v>2334</v>
      </c>
      <c r="B1671" t="s">
        <v>8140</v>
      </c>
      <c r="C1671" t="str">
        <f>IFERROR(VLOOKUP(ILACLISTE[[#This Row],[NAME]],Table5[#All],2,0),"")</f>
        <v/>
      </c>
    </row>
    <row r="1672" spans="1:3" x14ac:dyDescent="0.3">
      <c r="A1672" s="5" t="s">
        <v>2335</v>
      </c>
      <c r="B1672" t="s">
        <v>8141</v>
      </c>
      <c r="C1672" t="str">
        <f>IFERROR(VLOOKUP(ILACLISTE[[#This Row],[NAME]],Table5[#All],2,0),"")</f>
        <v/>
      </c>
    </row>
    <row r="1673" spans="1:3" x14ac:dyDescent="0.3">
      <c r="A1673" s="5" t="s">
        <v>2336</v>
      </c>
      <c r="B1673" t="s">
        <v>8142</v>
      </c>
      <c r="C1673" t="str">
        <f>IFERROR(VLOOKUP(ILACLISTE[[#This Row],[NAME]],Table5[#All],2,0),"")</f>
        <v/>
      </c>
    </row>
    <row r="1674" spans="1:3" x14ac:dyDescent="0.3">
      <c r="A1674" s="5" t="s">
        <v>2337</v>
      </c>
      <c r="B1674" t="s">
        <v>8143</v>
      </c>
      <c r="C1674" t="str">
        <f>IFERROR(VLOOKUP(ILACLISTE[[#This Row],[NAME]],Table5[#All],2,0),"")</f>
        <v/>
      </c>
    </row>
    <row r="1675" spans="1:3" x14ac:dyDescent="0.3">
      <c r="A1675" s="5" t="s">
        <v>2338</v>
      </c>
      <c r="B1675" t="s">
        <v>8144</v>
      </c>
      <c r="C1675" t="str">
        <f>IFERROR(VLOOKUP(ILACLISTE[[#This Row],[NAME]],Table5[#All],2,0),"")</f>
        <v/>
      </c>
    </row>
    <row r="1676" spans="1:3" x14ac:dyDescent="0.3">
      <c r="A1676" s="5" t="s">
        <v>2339</v>
      </c>
      <c r="B1676" t="s">
        <v>8145</v>
      </c>
      <c r="C1676" t="str">
        <f>IFERROR(VLOOKUP(ILACLISTE[[#This Row],[NAME]],Table5[#All],2,0),"")</f>
        <v/>
      </c>
    </row>
    <row r="1677" spans="1:3" x14ac:dyDescent="0.3">
      <c r="A1677" s="5" t="s">
        <v>2340</v>
      </c>
      <c r="B1677" t="s">
        <v>8146</v>
      </c>
      <c r="C1677" t="str">
        <f>IFERROR(VLOOKUP(ILACLISTE[[#This Row],[NAME]],Table5[#All],2,0),"")</f>
        <v/>
      </c>
    </row>
    <row r="1678" spans="1:3" x14ac:dyDescent="0.3">
      <c r="A1678" s="5" t="s">
        <v>2341</v>
      </c>
      <c r="B1678" t="s">
        <v>8147</v>
      </c>
      <c r="C1678" t="str">
        <f>IFERROR(VLOOKUP(ILACLISTE[[#This Row],[NAME]],Table5[#All],2,0),"")</f>
        <v/>
      </c>
    </row>
    <row r="1679" spans="1:3" x14ac:dyDescent="0.3">
      <c r="A1679" s="5" t="s">
        <v>2342</v>
      </c>
      <c r="B1679" t="s">
        <v>8148</v>
      </c>
      <c r="C1679" t="str">
        <f>IFERROR(VLOOKUP(ILACLISTE[[#This Row],[NAME]],Table5[#All],2,0),"")</f>
        <v/>
      </c>
    </row>
    <row r="1680" spans="1:3" x14ac:dyDescent="0.3">
      <c r="A1680" s="5" t="s">
        <v>2343</v>
      </c>
      <c r="B1680" t="s">
        <v>8149</v>
      </c>
      <c r="C1680" t="str">
        <f>IFERROR(VLOOKUP(ILACLISTE[[#This Row],[NAME]],Table5[#All],2,0),"")</f>
        <v/>
      </c>
    </row>
    <row r="1681" spans="1:3" x14ac:dyDescent="0.3">
      <c r="A1681" s="5" t="s">
        <v>2344</v>
      </c>
      <c r="B1681" t="s">
        <v>8150</v>
      </c>
      <c r="C1681" t="str">
        <f>IFERROR(VLOOKUP(ILACLISTE[[#This Row],[NAME]],Table5[#All],2,0),"")</f>
        <v/>
      </c>
    </row>
    <row r="1682" spans="1:3" x14ac:dyDescent="0.3">
      <c r="A1682" s="5" t="s">
        <v>2345</v>
      </c>
      <c r="B1682" t="s">
        <v>8151</v>
      </c>
      <c r="C1682" t="str">
        <f>IFERROR(VLOOKUP(ILACLISTE[[#This Row],[NAME]],Table5[#All],2,0),"")</f>
        <v/>
      </c>
    </row>
    <row r="1683" spans="1:3" x14ac:dyDescent="0.3">
      <c r="A1683" s="5" t="s">
        <v>2346</v>
      </c>
      <c r="B1683" t="s">
        <v>8152</v>
      </c>
      <c r="C1683" t="str">
        <f>IFERROR(VLOOKUP(ILACLISTE[[#This Row],[NAME]],Table5[#All],2,0),"")</f>
        <v/>
      </c>
    </row>
    <row r="1684" spans="1:3" x14ac:dyDescent="0.3">
      <c r="A1684" s="5" t="s">
        <v>2347</v>
      </c>
      <c r="B1684" t="s">
        <v>8153</v>
      </c>
      <c r="C1684" t="str">
        <f>IFERROR(VLOOKUP(ILACLISTE[[#This Row],[NAME]],Table5[#All],2,0),"")</f>
        <v/>
      </c>
    </row>
    <row r="1685" spans="1:3" x14ac:dyDescent="0.3">
      <c r="A1685" s="5" t="s">
        <v>2348</v>
      </c>
      <c r="B1685" t="s">
        <v>8154</v>
      </c>
      <c r="C1685" t="str">
        <f>IFERROR(VLOOKUP(ILACLISTE[[#This Row],[NAME]],Table5[#All],2,0),"")</f>
        <v/>
      </c>
    </row>
    <row r="1686" spans="1:3" x14ac:dyDescent="0.3">
      <c r="A1686" s="5" t="s">
        <v>2349</v>
      </c>
      <c r="B1686" t="s">
        <v>8155</v>
      </c>
      <c r="C1686" t="str">
        <f>IFERROR(VLOOKUP(ILACLISTE[[#This Row],[NAME]],Table5[#All],2,0),"")</f>
        <v/>
      </c>
    </row>
    <row r="1687" spans="1:3" x14ac:dyDescent="0.3">
      <c r="A1687" s="5" t="s">
        <v>2350</v>
      </c>
      <c r="B1687" t="s">
        <v>8156</v>
      </c>
      <c r="C1687" t="str">
        <f>IFERROR(VLOOKUP(ILACLISTE[[#This Row],[NAME]],Table5[#All],2,0),"")</f>
        <v/>
      </c>
    </row>
    <row r="1688" spans="1:3" x14ac:dyDescent="0.3">
      <c r="A1688" s="5" t="s">
        <v>2351</v>
      </c>
      <c r="B1688" t="s">
        <v>8157</v>
      </c>
      <c r="C1688" t="str">
        <f>IFERROR(VLOOKUP(ILACLISTE[[#This Row],[NAME]],Table5[#All],2,0),"")</f>
        <v/>
      </c>
    </row>
    <row r="1689" spans="1:3" x14ac:dyDescent="0.3">
      <c r="A1689" s="5" t="s">
        <v>2352</v>
      </c>
      <c r="B1689" t="s">
        <v>8158</v>
      </c>
      <c r="C1689" t="str">
        <f>IFERROR(VLOOKUP(ILACLISTE[[#This Row],[NAME]],Table5[#All],2,0),"")</f>
        <v/>
      </c>
    </row>
    <row r="1690" spans="1:3" x14ac:dyDescent="0.3">
      <c r="A1690" s="5" t="s">
        <v>2353</v>
      </c>
      <c r="B1690" t="s">
        <v>8159</v>
      </c>
      <c r="C1690" t="str">
        <f>IFERROR(VLOOKUP(ILACLISTE[[#This Row],[NAME]],Table5[#All],2,0),"")</f>
        <v/>
      </c>
    </row>
    <row r="1691" spans="1:3" x14ac:dyDescent="0.3">
      <c r="A1691" s="5" t="s">
        <v>2354</v>
      </c>
      <c r="B1691" t="s">
        <v>8160</v>
      </c>
      <c r="C1691" t="str">
        <f>IFERROR(VLOOKUP(ILACLISTE[[#This Row],[NAME]],Table5[#All],2,0),"")</f>
        <v/>
      </c>
    </row>
    <row r="1692" spans="1:3" x14ac:dyDescent="0.3">
      <c r="A1692" s="5" t="s">
        <v>2355</v>
      </c>
      <c r="B1692" t="s">
        <v>8161</v>
      </c>
      <c r="C1692" t="str">
        <f>IFERROR(VLOOKUP(ILACLISTE[[#This Row],[NAME]],Table5[#All],2,0),"")</f>
        <v/>
      </c>
    </row>
    <row r="1693" spans="1:3" x14ac:dyDescent="0.3">
      <c r="A1693" s="5" t="s">
        <v>2356</v>
      </c>
      <c r="B1693" t="s">
        <v>8162</v>
      </c>
      <c r="C1693" t="str">
        <f>IFERROR(VLOOKUP(ILACLISTE[[#This Row],[NAME]],Table5[#All],2,0),"")</f>
        <v/>
      </c>
    </row>
    <row r="1694" spans="1:3" x14ac:dyDescent="0.3">
      <c r="A1694" s="5" t="s">
        <v>2357</v>
      </c>
      <c r="B1694" t="s">
        <v>8163</v>
      </c>
      <c r="C1694" t="str">
        <f>IFERROR(VLOOKUP(ILACLISTE[[#This Row],[NAME]],Table5[#All],2,0),"")</f>
        <v/>
      </c>
    </row>
    <row r="1695" spans="1:3" x14ac:dyDescent="0.3">
      <c r="A1695" s="5" t="s">
        <v>2358</v>
      </c>
      <c r="B1695" t="s">
        <v>8164</v>
      </c>
      <c r="C1695" t="str">
        <f>IFERROR(VLOOKUP(ILACLISTE[[#This Row],[NAME]],Table5[#All],2,0),"")</f>
        <v/>
      </c>
    </row>
    <row r="1696" spans="1:3" x14ac:dyDescent="0.3">
      <c r="A1696" s="5" t="s">
        <v>2359</v>
      </c>
      <c r="B1696" t="s">
        <v>8165</v>
      </c>
      <c r="C1696" t="str">
        <f>IFERROR(VLOOKUP(ILACLISTE[[#This Row],[NAME]],Table5[#All],2,0),"")</f>
        <v/>
      </c>
    </row>
    <row r="1697" spans="1:3" x14ac:dyDescent="0.3">
      <c r="A1697" s="5" t="s">
        <v>2360</v>
      </c>
      <c r="B1697" t="s">
        <v>8166</v>
      </c>
      <c r="C1697" t="str">
        <f>IFERROR(VLOOKUP(ILACLISTE[[#This Row],[NAME]],Table5[#All],2,0),"")</f>
        <v/>
      </c>
    </row>
    <row r="1698" spans="1:3" x14ac:dyDescent="0.3">
      <c r="A1698" s="5" t="s">
        <v>2361</v>
      </c>
      <c r="B1698" t="s">
        <v>8167</v>
      </c>
      <c r="C1698" t="str">
        <f>IFERROR(VLOOKUP(ILACLISTE[[#This Row],[NAME]],Table5[#All],2,0),"")</f>
        <v/>
      </c>
    </row>
    <row r="1699" spans="1:3" x14ac:dyDescent="0.3">
      <c r="A1699" s="5" t="s">
        <v>2362</v>
      </c>
      <c r="B1699" t="s">
        <v>8168</v>
      </c>
      <c r="C1699" t="str">
        <f>IFERROR(VLOOKUP(ILACLISTE[[#This Row],[NAME]],Table5[#All],2,0),"")</f>
        <v/>
      </c>
    </row>
    <row r="1700" spans="1:3" x14ac:dyDescent="0.3">
      <c r="A1700" s="5" t="s">
        <v>2363</v>
      </c>
      <c r="B1700" t="s">
        <v>8169</v>
      </c>
      <c r="C1700" t="str">
        <f>IFERROR(VLOOKUP(ILACLISTE[[#This Row],[NAME]],Table5[#All],2,0),"")</f>
        <v/>
      </c>
    </row>
    <row r="1701" spans="1:3" ht="20.399999999999999" x14ac:dyDescent="0.3">
      <c r="A1701" s="6" t="s">
        <v>2364</v>
      </c>
      <c r="B1701" t="s">
        <v>8170</v>
      </c>
      <c r="C1701" t="str">
        <f>IFERROR(VLOOKUP(ILACLISTE[[#This Row],[NAME]],Table5[#All],2,0),"")</f>
        <v/>
      </c>
    </row>
    <row r="1702" spans="1:3" x14ac:dyDescent="0.3">
      <c r="A1702" s="5" t="s">
        <v>2365</v>
      </c>
      <c r="B1702" t="s">
        <v>8171</v>
      </c>
      <c r="C1702" t="str">
        <f>IFERROR(VLOOKUP(ILACLISTE[[#This Row],[NAME]],Table5[#All],2,0),"")</f>
        <v/>
      </c>
    </row>
    <row r="1703" spans="1:3" x14ac:dyDescent="0.3">
      <c r="A1703" s="5" t="s">
        <v>2366</v>
      </c>
      <c r="B1703" t="s">
        <v>8172</v>
      </c>
      <c r="C1703" t="str">
        <f>IFERROR(VLOOKUP(ILACLISTE[[#This Row],[NAME]],Table5[#All],2,0),"")</f>
        <v/>
      </c>
    </row>
    <row r="1704" spans="1:3" x14ac:dyDescent="0.3">
      <c r="A1704" s="5" t="s">
        <v>2367</v>
      </c>
      <c r="B1704" t="s">
        <v>8173</v>
      </c>
      <c r="C1704" t="str">
        <f>IFERROR(VLOOKUP(ILACLISTE[[#This Row],[NAME]],Table5[#All],2,0),"")</f>
        <v/>
      </c>
    </row>
    <row r="1705" spans="1:3" x14ac:dyDescent="0.3">
      <c r="A1705" s="5" t="s">
        <v>2368</v>
      </c>
      <c r="B1705" t="s">
        <v>8174</v>
      </c>
      <c r="C1705" t="str">
        <f>IFERROR(VLOOKUP(ILACLISTE[[#This Row],[NAME]],Table5[#All],2,0),"")</f>
        <v/>
      </c>
    </row>
    <row r="1706" spans="1:3" x14ac:dyDescent="0.3">
      <c r="A1706" s="5" t="s">
        <v>2369</v>
      </c>
      <c r="B1706" t="s">
        <v>8175</v>
      </c>
      <c r="C1706" t="str">
        <f>IFERROR(VLOOKUP(ILACLISTE[[#This Row],[NAME]],Table5[#All],2,0),"")</f>
        <v/>
      </c>
    </row>
    <row r="1707" spans="1:3" x14ac:dyDescent="0.3">
      <c r="A1707" s="5" t="s">
        <v>2370</v>
      </c>
      <c r="B1707" t="s">
        <v>8176</v>
      </c>
      <c r="C1707" t="str">
        <f>IFERROR(VLOOKUP(ILACLISTE[[#This Row],[NAME]],Table5[#All],2,0),"")</f>
        <v/>
      </c>
    </row>
    <row r="1708" spans="1:3" x14ac:dyDescent="0.3">
      <c r="A1708" s="5" t="s">
        <v>2371</v>
      </c>
      <c r="B1708" t="s">
        <v>8177</v>
      </c>
      <c r="C1708" t="str">
        <f>IFERROR(VLOOKUP(ILACLISTE[[#This Row],[NAME]],Table5[#All],2,0),"")</f>
        <v/>
      </c>
    </row>
    <row r="1709" spans="1:3" x14ac:dyDescent="0.3">
      <c r="A1709" s="5" t="s">
        <v>2372</v>
      </c>
      <c r="B1709" t="s">
        <v>8178</v>
      </c>
      <c r="C1709" t="str">
        <f>IFERROR(VLOOKUP(ILACLISTE[[#This Row],[NAME]],Table5[#All],2,0),"")</f>
        <v/>
      </c>
    </row>
    <row r="1710" spans="1:3" x14ac:dyDescent="0.3">
      <c r="A1710" s="5" t="s">
        <v>2373</v>
      </c>
      <c r="B1710" t="s">
        <v>200</v>
      </c>
      <c r="C1710" t="str">
        <f>IFERROR(VLOOKUP(ILACLISTE[[#This Row],[NAME]],Table5[#All],2,0),"")</f>
        <v/>
      </c>
    </row>
    <row r="1711" spans="1:3" x14ac:dyDescent="0.3">
      <c r="A1711" s="5" t="s">
        <v>2374</v>
      </c>
      <c r="B1711" t="s">
        <v>8179</v>
      </c>
      <c r="C1711" t="str">
        <f>IFERROR(VLOOKUP(ILACLISTE[[#This Row],[NAME]],Table5[#All],2,0),"")</f>
        <v/>
      </c>
    </row>
    <row r="1712" spans="1:3" x14ac:dyDescent="0.3">
      <c r="A1712" s="5" t="s">
        <v>2375</v>
      </c>
      <c r="B1712" t="s">
        <v>8180</v>
      </c>
      <c r="C1712" t="str">
        <f>IFERROR(VLOOKUP(ILACLISTE[[#This Row],[NAME]],Table5[#All],2,0),"")</f>
        <v/>
      </c>
    </row>
    <row r="1713" spans="1:3" x14ac:dyDescent="0.3">
      <c r="A1713" s="5" t="s">
        <v>2376</v>
      </c>
      <c r="B1713" t="s">
        <v>8181</v>
      </c>
      <c r="C1713" t="str">
        <f>IFERROR(VLOOKUP(ILACLISTE[[#This Row],[NAME]],Table5[#All],2,0),"")</f>
        <v/>
      </c>
    </row>
    <row r="1714" spans="1:3" x14ac:dyDescent="0.3">
      <c r="A1714" s="5" t="s">
        <v>2377</v>
      </c>
      <c r="B1714" t="s">
        <v>201</v>
      </c>
      <c r="C1714" t="str">
        <f>IFERROR(VLOOKUP(ILACLISTE[[#This Row],[NAME]],Table5[#All],2,0),"")</f>
        <v/>
      </c>
    </row>
    <row r="1715" spans="1:3" x14ac:dyDescent="0.3">
      <c r="A1715" s="5" t="s">
        <v>2378</v>
      </c>
      <c r="B1715" t="s">
        <v>8182</v>
      </c>
      <c r="C1715" t="str">
        <f>IFERROR(VLOOKUP(ILACLISTE[[#This Row],[NAME]],Table5[#All],2,0),"")</f>
        <v/>
      </c>
    </row>
    <row r="1716" spans="1:3" x14ac:dyDescent="0.3">
      <c r="A1716" s="5" t="s">
        <v>2379</v>
      </c>
      <c r="B1716" t="s">
        <v>8183</v>
      </c>
      <c r="C1716" t="str">
        <f>IFERROR(VLOOKUP(ILACLISTE[[#This Row],[NAME]],Table5[#All],2,0),"")</f>
        <v/>
      </c>
    </row>
    <row r="1717" spans="1:3" x14ac:dyDescent="0.3">
      <c r="A1717" s="5" t="s">
        <v>2380</v>
      </c>
      <c r="B1717" t="s">
        <v>8184</v>
      </c>
      <c r="C1717" t="str">
        <f>IFERROR(VLOOKUP(ILACLISTE[[#This Row],[NAME]],Table5[#All],2,0),"")</f>
        <v/>
      </c>
    </row>
    <row r="1718" spans="1:3" x14ac:dyDescent="0.3">
      <c r="A1718" s="5" t="s">
        <v>2381</v>
      </c>
      <c r="B1718" t="s">
        <v>8185</v>
      </c>
      <c r="C1718" t="str">
        <f>IFERROR(VLOOKUP(ILACLISTE[[#This Row],[NAME]],Table5[#All],2,0),"")</f>
        <v/>
      </c>
    </row>
    <row r="1719" spans="1:3" x14ac:dyDescent="0.3">
      <c r="A1719" s="5" t="s">
        <v>2382</v>
      </c>
      <c r="B1719" t="s">
        <v>8186</v>
      </c>
      <c r="C1719" t="str">
        <f>IFERROR(VLOOKUP(ILACLISTE[[#This Row],[NAME]],Table5[#All],2,0),"")</f>
        <v/>
      </c>
    </row>
    <row r="1720" spans="1:3" x14ac:dyDescent="0.3">
      <c r="A1720" s="5" t="s">
        <v>2383</v>
      </c>
      <c r="B1720" t="s">
        <v>8187</v>
      </c>
      <c r="C1720" t="str">
        <f>IFERROR(VLOOKUP(ILACLISTE[[#This Row],[NAME]],Table5[#All],2,0),"")</f>
        <v/>
      </c>
    </row>
    <row r="1721" spans="1:3" x14ac:dyDescent="0.3">
      <c r="A1721" s="5" t="s">
        <v>2384</v>
      </c>
      <c r="B1721" t="s">
        <v>8188</v>
      </c>
      <c r="C1721" t="str">
        <f>IFERROR(VLOOKUP(ILACLISTE[[#This Row],[NAME]],Table5[#All],2,0),"")</f>
        <v/>
      </c>
    </row>
    <row r="1722" spans="1:3" x14ac:dyDescent="0.3">
      <c r="A1722" s="5" t="s">
        <v>2385</v>
      </c>
      <c r="B1722" t="s">
        <v>8189</v>
      </c>
      <c r="C1722" t="str">
        <f>IFERROR(VLOOKUP(ILACLISTE[[#This Row],[NAME]],Table5[#All],2,0),"")</f>
        <v/>
      </c>
    </row>
    <row r="1723" spans="1:3" ht="20.399999999999999" x14ac:dyDescent="0.3">
      <c r="A1723" s="6" t="s">
        <v>2386</v>
      </c>
      <c r="B1723" t="s">
        <v>8190</v>
      </c>
      <c r="C1723" t="str">
        <f>IFERROR(VLOOKUP(ILACLISTE[[#This Row],[NAME]],Table5[#All],2,0),"")</f>
        <v/>
      </c>
    </row>
    <row r="1724" spans="1:3" ht="20.399999999999999" x14ac:dyDescent="0.3">
      <c r="A1724" s="7" t="s">
        <v>2387</v>
      </c>
      <c r="B1724" t="s">
        <v>8191</v>
      </c>
      <c r="C1724" t="str">
        <f>IFERROR(VLOOKUP(ILACLISTE[[#This Row],[NAME]],Table5[#All],2,0),"")</f>
        <v/>
      </c>
    </row>
    <row r="1725" spans="1:3" x14ac:dyDescent="0.3">
      <c r="A1725" s="5" t="s">
        <v>2388</v>
      </c>
      <c r="B1725" t="s">
        <v>8192</v>
      </c>
      <c r="C1725" t="str">
        <f>IFERROR(VLOOKUP(ILACLISTE[[#This Row],[NAME]],Table5[#All],2,0),"")</f>
        <v/>
      </c>
    </row>
    <row r="1726" spans="1:3" x14ac:dyDescent="0.3">
      <c r="A1726" s="5" t="s">
        <v>2389</v>
      </c>
      <c r="B1726" t="s">
        <v>8193</v>
      </c>
      <c r="C1726" t="str">
        <f>IFERROR(VLOOKUP(ILACLISTE[[#This Row],[NAME]],Table5[#All],2,0),"")</f>
        <v/>
      </c>
    </row>
    <row r="1727" spans="1:3" x14ac:dyDescent="0.3">
      <c r="A1727" s="5" t="s">
        <v>2390</v>
      </c>
      <c r="B1727" t="s">
        <v>8194</v>
      </c>
      <c r="C1727" t="str">
        <f>IFERROR(VLOOKUP(ILACLISTE[[#This Row],[NAME]],Table5[#All],2,0),"")</f>
        <v/>
      </c>
    </row>
    <row r="1728" spans="1:3" x14ac:dyDescent="0.3">
      <c r="A1728" s="5" t="s">
        <v>2391</v>
      </c>
      <c r="B1728" t="s">
        <v>8195</v>
      </c>
      <c r="C1728" t="str">
        <f>IFERROR(VLOOKUP(ILACLISTE[[#This Row],[NAME]],Table5[#All],2,0),"")</f>
        <v/>
      </c>
    </row>
    <row r="1729" spans="1:3" x14ac:dyDescent="0.3">
      <c r="A1729" s="5" t="s">
        <v>2392</v>
      </c>
      <c r="B1729" t="s">
        <v>8196</v>
      </c>
      <c r="C1729" t="str">
        <f>IFERROR(VLOOKUP(ILACLISTE[[#This Row],[NAME]],Table5[#All],2,0),"")</f>
        <v/>
      </c>
    </row>
    <row r="1730" spans="1:3" x14ac:dyDescent="0.3">
      <c r="A1730" s="5" t="s">
        <v>2393</v>
      </c>
      <c r="B1730" t="s">
        <v>8197</v>
      </c>
      <c r="C1730" t="str">
        <f>IFERROR(VLOOKUP(ILACLISTE[[#This Row],[NAME]],Table5[#All],2,0),"")</f>
        <v/>
      </c>
    </row>
    <row r="1731" spans="1:3" x14ac:dyDescent="0.3">
      <c r="A1731" s="5" t="s">
        <v>2394</v>
      </c>
      <c r="B1731" t="s">
        <v>8198</v>
      </c>
      <c r="C1731" t="str">
        <f>IFERROR(VLOOKUP(ILACLISTE[[#This Row],[NAME]],Table5[#All],2,0),"")</f>
        <v/>
      </c>
    </row>
    <row r="1732" spans="1:3" x14ac:dyDescent="0.3">
      <c r="A1732" s="5" t="s">
        <v>2395</v>
      </c>
      <c r="B1732" t="s">
        <v>8199</v>
      </c>
      <c r="C1732" t="str">
        <f>IFERROR(VLOOKUP(ILACLISTE[[#This Row],[NAME]],Table5[#All],2,0),"")</f>
        <v/>
      </c>
    </row>
    <row r="1733" spans="1:3" x14ac:dyDescent="0.3">
      <c r="A1733" s="5" t="s">
        <v>2396</v>
      </c>
      <c r="B1733" t="s">
        <v>8200</v>
      </c>
      <c r="C1733" t="str">
        <f>IFERROR(VLOOKUP(ILACLISTE[[#This Row],[NAME]],Table5[#All],2,0),"")</f>
        <v/>
      </c>
    </row>
    <row r="1734" spans="1:3" x14ac:dyDescent="0.3">
      <c r="A1734" s="5" t="s">
        <v>2397</v>
      </c>
      <c r="B1734" t="s">
        <v>8201</v>
      </c>
      <c r="C1734" t="str">
        <f>IFERROR(VLOOKUP(ILACLISTE[[#This Row],[NAME]],Table5[#All],2,0),"")</f>
        <v/>
      </c>
    </row>
    <row r="1735" spans="1:3" x14ac:dyDescent="0.3">
      <c r="A1735" s="5" t="s">
        <v>2398</v>
      </c>
      <c r="B1735" t="s">
        <v>202</v>
      </c>
      <c r="C1735" t="str">
        <f>IFERROR(VLOOKUP(ILACLISTE[[#This Row],[NAME]],Table5[#All],2,0),"")</f>
        <v/>
      </c>
    </row>
    <row r="1736" spans="1:3" x14ac:dyDescent="0.3">
      <c r="A1736" s="5" t="s">
        <v>2399</v>
      </c>
      <c r="B1736" t="s">
        <v>8202</v>
      </c>
      <c r="C1736" t="str">
        <f>IFERROR(VLOOKUP(ILACLISTE[[#This Row],[NAME]],Table5[#All],2,0),"")</f>
        <v/>
      </c>
    </row>
    <row r="1737" spans="1:3" x14ac:dyDescent="0.3">
      <c r="A1737" s="5" t="s">
        <v>2400</v>
      </c>
      <c r="B1737" t="s">
        <v>8203</v>
      </c>
      <c r="C1737" t="str">
        <f>IFERROR(VLOOKUP(ILACLISTE[[#This Row],[NAME]],Table5[#All],2,0),"")</f>
        <v/>
      </c>
    </row>
    <row r="1738" spans="1:3" x14ac:dyDescent="0.3">
      <c r="A1738" s="5" t="s">
        <v>2401</v>
      </c>
      <c r="B1738" t="s">
        <v>8204</v>
      </c>
      <c r="C1738" t="str">
        <f>IFERROR(VLOOKUP(ILACLISTE[[#This Row],[NAME]],Table5[#All],2,0),"")</f>
        <v/>
      </c>
    </row>
    <row r="1739" spans="1:3" x14ac:dyDescent="0.3">
      <c r="A1739" s="5" t="s">
        <v>2402</v>
      </c>
      <c r="B1739" t="s">
        <v>8205</v>
      </c>
      <c r="C1739" t="str">
        <f>IFERROR(VLOOKUP(ILACLISTE[[#This Row],[NAME]],Table5[#All],2,0),"")</f>
        <v/>
      </c>
    </row>
    <row r="1740" spans="1:3" x14ac:dyDescent="0.3">
      <c r="A1740" s="5" t="s">
        <v>2403</v>
      </c>
      <c r="B1740" t="s">
        <v>8206</v>
      </c>
      <c r="C1740" t="str">
        <f>IFERROR(VLOOKUP(ILACLISTE[[#This Row],[NAME]],Table5[#All],2,0),"")</f>
        <v/>
      </c>
    </row>
    <row r="1741" spans="1:3" x14ac:dyDescent="0.3">
      <c r="A1741" s="5" t="s">
        <v>2404</v>
      </c>
      <c r="B1741" t="s">
        <v>8207</v>
      </c>
      <c r="C1741" t="str">
        <f>IFERROR(VLOOKUP(ILACLISTE[[#This Row],[NAME]],Table5[#All],2,0),"")</f>
        <v/>
      </c>
    </row>
    <row r="1742" spans="1:3" x14ac:dyDescent="0.3">
      <c r="A1742" s="5" t="s">
        <v>2405</v>
      </c>
      <c r="B1742" t="s">
        <v>8208</v>
      </c>
      <c r="C1742" t="str">
        <f>IFERROR(VLOOKUP(ILACLISTE[[#This Row],[NAME]],Table5[#All],2,0),"")</f>
        <v/>
      </c>
    </row>
    <row r="1743" spans="1:3" x14ac:dyDescent="0.3">
      <c r="A1743" s="5" t="s">
        <v>2406</v>
      </c>
      <c r="B1743" t="s">
        <v>8209</v>
      </c>
      <c r="C1743" t="str">
        <f>IFERROR(VLOOKUP(ILACLISTE[[#This Row],[NAME]],Table5[#All],2,0),"")</f>
        <v/>
      </c>
    </row>
    <row r="1744" spans="1:3" x14ac:dyDescent="0.3">
      <c r="A1744" s="5" t="s">
        <v>2407</v>
      </c>
      <c r="B1744" t="s">
        <v>8210</v>
      </c>
      <c r="C1744" t="str">
        <f>IFERROR(VLOOKUP(ILACLISTE[[#This Row],[NAME]],Table5[#All],2,0),"")</f>
        <v/>
      </c>
    </row>
    <row r="1745" spans="1:3" x14ac:dyDescent="0.3">
      <c r="A1745" s="5" t="s">
        <v>2408</v>
      </c>
      <c r="B1745" t="s">
        <v>8211</v>
      </c>
      <c r="C1745" t="str">
        <f>IFERROR(VLOOKUP(ILACLISTE[[#This Row],[NAME]],Table5[#All],2,0),"")</f>
        <v/>
      </c>
    </row>
    <row r="1746" spans="1:3" x14ac:dyDescent="0.3">
      <c r="A1746" s="5" t="s">
        <v>2409</v>
      </c>
      <c r="B1746" t="s">
        <v>8212</v>
      </c>
      <c r="C1746" t="str">
        <f>IFERROR(VLOOKUP(ILACLISTE[[#This Row],[NAME]],Table5[#All],2,0),"")</f>
        <v/>
      </c>
    </row>
    <row r="1747" spans="1:3" x14ac:dyDescent="0.3">
      <c r="A1747" s="5" t="s">
        <v>2410</v>
      </c>
      <c r="B1747" t="s">
        <v>8213</v>
      </c>
      <c r="C1747" t="str">
        <f>IFERROR(VLOOKUP(ILACLISTE[[#This Row],[NAME]],Table5[#All],2,0),"")</f>
        <v/>
      </c>
    </row>
    <row r="1748" spans="1:3" x14ac:dyDescent="0.3">
      <c r="A1748" s="5" t="s">
        <v>2411</v>
      </c>
      <c r="B1748" t="s">
        <v>8214</v>
      </c>
      <c r="C1748" t="str">
        <f>IFERROR(VLOOKUP(ILACLISTE[[#This Row],[NAME]],Table5[#All],2,0),"")</f>
        <v/>
      </c>
    </row>
    <row r="1749" spans="1:3" x14ac:dyDescent="0.3">
      <c r="A1749" s="5" t="s">
        <v>2412</v>
      </c>
      <c r="B1749" t="s">
        <v>8215</v>
      </c>
      <c r="C1749" t="str">
        <f>IFERROR(VLOOKUP(ILACLISTE[[#This Row],[NAME]],Table5[#All],2,0),"")</f>
        <v/>
      </c>
    </row>
    <row r="1750" spans="1:3" x14ac:dyDescent="0.3">
      <c r="A1750" s="5" t="s">
        <v>2413</v>
      </c>
      <c r="B1750" t="s">
        <v>8216</v>
      </c>
      <c r="C1750" t="str">
        <f>IFERROR(VLOOKUP(ILACLISTE[[#This Row],[NAME]],Table5[#All],2,0),"")</f>
        <v/>
      </c>
    </row>
    <row r="1751" spans="1:3" x14ac:dyDescent="0.3">
      <c r="A1751" s="5" t="s">
        <v>2414</v>
      </c>
      <c r="B1751" t="s">
        <v>8217</v>
      </c>
      <c r="C1751" t="str">
        <f>IFERROR(VLOOKUP(ILACLISTE[[#This Row],[NAME]],Table5[#All],2,0),"")</f>
        <v/>
      </c>
    </row>
    <row r="1752" spans="1:3" x14ac:dyDescent="0.3">
      <c r="A1752" s="5" t="s">
        <v>2415</v>
      </c>
      <c r="B1752" t="s">
        <v>8218</v>
      </c>
      <c r="C1752" t="str">
        <f>IFERROR(VLOOKUP(ILACLISTE[[#This Row],[NAME]],Table5[#All],2,0),"")</f>
        <v/>
      </c>
    </row>
    <row r="1753" spans="1:3" x14ac:dyDescent="0.3">
      <c r="A1753" s="5" t="s">
        <v>2416</v>
      </c>
      <c r="B1753" t="s">
        <v>8219</v>
      </c>
      <c r="C1753" t="str">
        <f>IFERROR(VLOOKUP(ILACLISTE[[#This Row],[NAME]],Table5[#All],2,0),"")</f>
        <v/>
      </c>
    </row>
    <row r="1754" spans="1:3" x14ac:dyDescent="0.3">
      <c r="A1754" s="5" t="s">
        <v>2417</v>
      </c>
      <c r="B1754" t="s">
        <v>8220</v>
      </c>
      <c r="C1754" t="str">
        <f>IFERROR(VLOOKUP(ILACLISTE[[#This Row],[NAME]],Table5[#All],2,0),"")</f>
        <v/>
      </c>
    </row>
    <row r="1755" spans="1:3" x14ac:dyDescent="0.3">
      <c r="A1755" s="5" t="s">
        <v>2418</v>
      </c>
      <c r="B1755" t="s">
        <v>8221</v>
      </c>
      <c r="C1755" t="str">
        <f>IFERROR(VLOOKUP(ILACLISTE[[#This Row],[NAME]],Table5[#All],2,0),"")</f>
        <v/>
      </c>
    </row>
    <row r="1756" spans="1:3" x14ac:dyDescent="0.3">
      <c r="A1756" s="5" t="s">
        <v>2419</v>
      </c>
      <c r="B1756" t="s">
        <v>8222</v>
      </c>
      <c r="C1756" t="str">
        <f>IFERROR(VLOOKUP(ILACLISTE[[#This Row],[NAME]],Table5[#All],2,0),"")</f>
        <v/>
      </c>
    </row>
    <row r="1757" spans="1:3" x14ac:dyDescent="0.3">
      <c r="A1757" s="5" t="s">
        <v>2420</v>
      </c>
      <c r="B1757" t="s">
        <v>8223</v>
      </c>
      <c r="C1757" t="str">
        <f>IFERROR(VLOOKUP(ILACLISTE[[#This Row],[NAME]],Table5[#All],2,0),"")</f>
        <v/>
      </c>
    </row>
    <row r="1758" spans="1:3" x14ac:dyDescent="0.3">
      <c r="A1758" s="5" t="s">
        <v>2421</v>
      </c>
      <c r="B1758" t="s">
        <v>8224</v>
      </c>
      <c r="C1758" t="str">
        <f>IFERROR(VLOOKUP(ILACLISTE[[#This Row],[NAME]],Table5[#All],2,0),"")</f>
        <v/>
      </c>
    </row>
    <row r="1759" spans="1:3" x14ac:dyDescent="0.3">
      <c r="A1759" s="5" t="s">
        <v>2422</v>
      </c>
      <c r="B1759" t="s">
        <v>203</v>
      </c>
      <c r="C1759" t="str">
        <f>IFERROR(VLOOKUP(ILACLISTE[[#This Row],[NAME]],Table5[#All],2,0),"")</f>
        <v/>
      </c>
    </row>
    <row r="1760" spans="1:3" x14ac:dyDescent="0.3">
      <c r="A1760" s="5" t="s">
        <v>2423</v>
      </c>
      <c r="B1760" t="s">
        <v>8225</v>
      </c>
      <c r="C1760" t="str">
        <f>IFERROR(VLOOKUP(ILACLISTE[[#This Row],[NAME]],Table5[#All],2,0),"")</f>
        <v/>
      </c>
    </row>
    <row r="1761" spans="1:3" x14ac:dyDescent="0.3">
      <c r="A1761" s="5" t="s">
        <v>8226</v>
      </c>
      <c r="B1761" t="s">
        <v>8227</v>
      </c>
      <c r="C1761" t="str">
        <f>IFERROR(VLOOKUP(ILACLISTE[[#This Row],[NAME]],Table5[#All],2,0),"")</f>
        <v/>
      </c>
    </row>
    <row r="1762" spans="1:3" x14ac:dyDescent="0.3">
      <c r="A1762" s="5" t="s">
        <v>2424</v>
      </c>
      <c r="B1762" t="s">
        <v>8228</v>
      </c>
      <c r="C1762" t="str">
        <f>IFERROR(VLOOKUP(ILACLISTE[[#This Row],[NAME]],Table5[#All],2,0),"")</f>
        <v/>
      </c>
    </row>
    <row r="1763" spans="1:3" x14ac:dyDescent="0.3">
      <c r="A1763" s="5" t="s">
        <v>2425</v>
      </c>
      <c r="B1763" t="s">
        <v>8229</v>
      </c>
      <c r="C1763" t="str">
        <f>IFERROR(VLOOKUP(ILACLISTE[[#This Row],[NAME]],Table5[#All],2,0),"")</f>
        <v/>
      </c>
    </row>
    <row r="1764" spans="1:3" x14ac:dyDescent="0.3">
      <c r="A1764" s="5" t="s">
        <v>2426</v>
      </c>
      <c r="B1764" t="s">
        <v>8230</v>
      </c>
      <c r="C1764" t="str">
        <f>IFERROR(VLOOKUP(ILACLISTE[[#This Row],[NAME]],Table5[#All],2,0),"")</f>
        <v/>
      </c>
    </row>
    <row r="1765" spans="1:3" x14ac:dyDescent="0.3">
      <c r="A1765" s="5" t="s">
        <v>2427</v>
      </c>
      <c r="B1765" t="s">
        <v>8231</v>
      </c>
      <c r="C1765" t="str">
        <f>IFERROR(VLOOKUP(ILACLISTE[[#This Row],[NAME]],Table5[#All],2,0),"")</f>
        <v/>
      </c>
    </row>
    <row r="1766" spans="1:3" x14ac:dyDescent="0.3">
      <c r="A1766" s="5" t="s">
        <v>2428</v>
      </c>
      <c r="B1766" t="s">
        <v>8232</v>
      </c>
      <c r="C1766" t="str">
        <f>IFERROR(VLOOKUP(ILACLISTE[[#This Row],[NAME]],Table5[#All],2,0),"")</f>
        <v/>
      </c>
    </row>
    <row r="1767" spans="1:3" x14ac:dyDescent="0.3">
      <c r="A1767" s="5" t="s">
        <v>2429</v>
      </c>
      <c r="B1767" t="s">
        <v>8233</v>
      </c>
      <c r="C1767" t="str">
        <f>IFERROR(VLOOKUP(ILACLISTE[[#This Row],[NAME]],Table5[#All],2,0),"")</f>
        <v/>
      </c>
    </row>
    <row r="1768" spans="1:3" x14ac:dyDescent="0.3">
      <c r="A1768" s="5" t="s">
        <v>2430</v>
      </c>
      <c r="B1768" t="s">
        <v>204</v>
      </c>
      <c r="C1768" t="str">
        <f>IFERROR(VLOOKUP(ILACLISTE[[#This Row],[NAME]],Table5[#All],2,0),"")</f>
        <v/>
      </c>
    </row>
    <row r="1769" spans="1:3" x14ac:dyDescent="0.3">
      <c r="A1769" s="5" t="s">
        <v>2431</v>
      </c>
      <c r="B1769" t="s">
        <v>8234</v>
      </c>
      <c r="C1769" t="str">
        <f>IFERROR(VLOOKUP(ILACLISTE[[#This Row],[NAME]],Table5[#All],2,0),"")</f>
        <v/>
      </c>
    </row>
    <row r="1770" spans="1:3" x14ac:dyDescent="0.3">
      <c r="A1770" s="5" t="s">
        <v>2432</v>
      </c>
      <c r="B1770" t="s">
        <v>8235</v>
      </c>
      <c r="C1770" t="str">
        <f>IFERROR(VLOOKUP(ILACLISTE[[#This Row],[NAME]],Table5[#All],2,0),"")</f>
        <v/>
      </c>
    </row>
    <row r="1771" spans="1:3" x14ac:dyDescent="0.3">
      <c r="A1771" s="5" t="s">
        <v>2433</v>
      </c>
      <c r="B1771" t="s">
        <v>8236</v>
      </c>
      <c r="C1771" t="str">
        <f>IFERROR(VLOOKUP(ILACLISTE[[#This Row],[NAME]],Table5[#All],2,0),"")</f>
        <v/>
      </c>
    </row>
    <row r="1772" spans="1:3" x14ac:dyDescent="0.3">
      <c r="A1772" s="5" t="s">
        <v>2434</v>
      </c>
      <c r="B1772" t="s">
        <v>8237</v>
      </c>
      <c r="C1772" t="str">
        <f>IFERROR(VLOOKUP(ILACLISTE[[#This Row],[NAME]],Table5[#All],2,0),"")</f>
        <v/>
      </c>
    </row>
    <row r="1773" spans="1:3" x14ac:dyDescent="0.3">
      <c r="A1773" s="5" t="s">
        <v>2435</v>
      </c>
      <c r="B1773" t="s">
        <v>8238</v>
      </c>
      <c r="C1773" t="str">
        <f>IFERROR(VLOOKUP(ILACLISTE[[#This Row],[NAME]],Table5[#All],2,0),"")</f>
        <v/>
      </c>
    </row>
    <row r="1774" spans="1:3" x14ac:dyDescent="0.3">
      <c r="A1774" s="5" t="s">
        <v>2436</v>
      </c>
      <c r="B1774" t="s">
        <v>8239</v>
      </c>
      <c r="C1774" t="str">
        <f>IFERROR(VLOOKUP(ILACLISTE[[#This Row],[NAME]],Table5[#All],2,0),"")</f>
        <v/>
      </c>
    </row>
    <row r="1775" spans="1:3" x14ac:dyDescent="0.3">
      <c r="A1775" s="5" t="s">
        <v>2437</v>
      </c>
      <c r="B1775" t="s">
        <v>8240</v>
      </c>
      <c r="C1775" t="str">
        <f>IFERROR(VLOOKUP(ILACLISTE[[#This Row],[NAME]],Table5[#All],2,0),"")</f>
        <v/>
      </c>
    </row>
    <row r="1776" spans="1:3" x14ac:dyDescent="0.3">
      <c r="A1776" s="5" t="s">
        <v>2438</v>
      </c>
      <c r="B1776" t="s">
        <v>8241</v>
      </c>
      <c r="C1776" t="str">
        <f>IFERROR(VLOOKUP(ILACLISTE[[#This Row],[NAME]],Table5[#All],2,0),"")</f>
        <v/>
      </c>
    </row>
    <row r="1777" spans="1:3" x14ac:dyDescent="0.3">
      <c r="A1777" s="5" t="s">
        <v>2439</v>
      </c>
      <c r="B1777" t="s">
        <v>8242</v>
      </c>
      <c r="C1777" t="str">
        <f>IFERROR(VLOOKUP(ILACLISTE[[#This Row],[NAME]],Table5[#All],2,0),"")</f>
        <v/>
      </c>
    </row>
    <row r="1778" spans="1:3" x14ac:dyDescent="0.3">
      <c r="A1778" s="5" t="s">
        <v>2440</v>
      </c>
      <c r="B1778" t="s">
        <v>8243</v>
      </c>
      <c r="C1778" t="str">
        <f>IFERROR(VLOOKUP(ILACLISTE[[#This Row],[NAME]],Table5[#All],2,0),"")</f>
        <v/>
      </c>
    </row>
    <row r="1779" spans="1:3" x14ac:dyDescent="0.3">
      <c r="A1779" s="5" t="s">
        <v>2441</v>
      </c>
      <c r="B1779" t="s">
        <v>8244</v>
      </c>
      <c r="C1779" t="str">
        <f>IFERROR(VLOOKUP(ILACLISTE[[#This Row],[NAME]],Table5[#All],2,0),"")</f>
        <v/>
      </c>
    </row>
    <row r="1780" spans="1:3" x14ac:dyDescent="0.3">
      <c r="A1780" s="5" t="s">
        <v>2442</v>
      </c>
      <c r="B1780" t="s">
        <v>8245</v>
      </c>
      <c r="C1780" t="str">
        <f>IFERROR(VLOOKUP(ILACLISTE[[#This Row],[NAME]],Table5[#All],2,0),"")</f>
        <v/>
      </c>
    </row>
    <row r="1781" spans="1:3" x14ac:dyDescent="0.3">
      <c r="A1781" s="5" t="s">
        <v>2443</v>
      </c>
      <c r="B1781" t="s">
        <v>8246</v>
      </c>
      <c r="C1781" t="str">
        <f>IFERROR(VLOOKUP(ILACLISTE[[#This Row],[NAME]],Table5[#All],2,0),"")</f>
        <v/>
      </c>
    </row>
    <row r="1782" spans="1:3" x14ac:dyDescent="0.3">
      <c r="A1782" s="5" t="s">
        <v>2444</v>
      </c>
      <c r="B1782" t="s">
        <v>8247</v>
      </c>
      <c r="C1782" t="str">
        <f>IFERROR(VLOOKUP(ILACLISTE[[#This Row],[NAME]],Table5[#All],2,0),"")</f>
        <v/>
      </c>
    </row>
    <row r="1783" spans="1:3" x14ac:dyDescent="0.3">
      <c r="A1783" s="5" t="s">
        <v>2445</v>
      </c>
      <c r="B1783" t="s">
        <v>8248</v>
      </c>
      <c r="C1783" t="str">
        <f>IFERROR(VLOOKUP(ILACLISTE[[#This Row],[NAME]],Table5[#All],2,0),"")</f>
        <v/>
      </c>
    </row>
    <row r="1784" spans="1:3" x14ac:dyDescent="0.3">
      <c r="A1784" s="5" t="s">
        <v>2446</v>
      </c>
      <c r="B1784" t="s">
        <v>205</v>
      </c>
      <c r="C1784" t="str">
        <f>IFERROR(VLOOKUP(ILACLISTE[[#This Row],[NAME]],Table5[#All],2,0),"")</f>
        <v/>
      </c>
    </row>
    <row r="1785" spans="1:3" x14ac:dyDescent="0.3">
      <c r="A1785" s="5" t="s">
        <v>2447</v>
      </c>
      <c r="B1785" t="s">
        <v>8249</v>
      </c>
      <c r="C1785" t="str">
        <f>IFERROR(VLOOKUP(ILACLISTE[[#This Row],[NAME]],Table5[#All],2,0),"")</f>
        <v/>
      </c>
    </row>
    <row r="1786" spans="1:3" x14ac:dyDescent="0.3">
      <c r="A1786" s="5" t="s">
        <v>2448</v>
      </c>
      <c r="B1786" t="s">
        <v>206</v>
      </c>
      <c r="C1786" t="str">
        <f>IFERROR(VLOOKUP(ILACLISTE[[#This Row],[NAME]],Table5[#All],2,0),"")</f>
        <v/>
      </c>
    </row>
    <row r="1787" spans="1:3" x14ac:dyDescent="0.3">
      <c r="A1787" s="5" t="s">
        <v>2449</v>
      </c>
      <c r="B1787" t="s">
        <v>8250</v>
      </c>
      <c r="C1787" t="str">
        <f>IFERROR(VLOOKUP(ILACLISTE[[#This Row],[NAME]],Table5[#All],2,0),"")</f>
        <v/>
      </c>
    </row>
    <row r="1788" spans="1:3" x14ac:dyDescent="0.3">
      <c r="A1788" s="5" t="s">
        <v>2450</v>
      </c>
      <c r="B1788" t="s">
        <v>8251</v>
      </c>
      <c r="C1788" t="str">
        <f>IFERROR(VLOOKUP(ILACLISTE[[#This Row],[NAME]],Table5[#All],2,0),"")</f>
        <v/>
      </c>
    </row>
    <row r="1789" spans="1:3" x14ac:dyDescent="0.3">
      <c r="A1789" s="5" t="s">
        <v>2451</v>
      </c>
      <c r="B1789" t="s">
        <v>8252</v>
      </c>
      <c r="C1789" t="str">
        <f>IFERROR(VLOOKUP(ILACLISTE[[#This Row],[NAME]],Table5[#All],2,0),"")</f>
        <v/>
      </c>
    </row>
    <row r="1790" spans="1:3" x14ac:dyDescent="0.3">
      <c r="A1790" s="5" t="s">
        <v>2452</v>
      </c>
      <c r="B1790" t="s">
        <v>8253</v>
      </c>
      <c r="C1790" t="str">
        <f>IFERROR(VLOOKUP(ILACLISTE[[#This Row],[NAME]],Table5[#All],2,0),"")</f>
        <v/>
      </c>
    </row>
    <row r="1791" spans="1:3" x14ac:dyDescent="0.3">
      <c r="A1791" s="5" t="s">
        <v>2453</v>
      </c>
      <c r="B1791" t="s">
        <v>8254</v>
      </c>
      <c r="C1791" t="str">
        <f>IFERROR(VLOOKUP(ILACLISTE[[#This Row],[NAME]],Table5[#All],2,0),"")</f>
        <v/>
      </c>
    </row>
    <row r="1792" spans="1:3" x14ac:dyDescent="0.3">
      <c r="A1792" s="5" t="s">
        <v>2454</v>
      </c>
      <c r="B1792" t="s">
        <v>8255</v>
      </c>
      <c r="C1792" t="str">
        <f>IFERROR(VLOOKUP(ILACLISTE[[#This Row],[NAME]],Table5[#All],2,0),"")</f>
        <v/>
      </c>
    </row>
    <row r="1793" spans="1:3" x14ac:dyDescent="0.3">
      <c r="A1793" s="5" t="s">
        <v>2455</v>
      </c>
      <c r="B1793" t="s">
        <v>8256</v>
      </c>
      <c r="C1793" t="str">
        <f>IFERROR(VLOOKUP(ILACLISTE[[#This Row],[NAME]],Table5[#All],2,0),"")</f>
        <v/>
      </c>
    </row>
    <row r="1794" spans="1:3" x14ac:dyDescent="0.3">
      <c r="A1794" s="5" t="s">
        <v>2456</v>
      </c>
      <c r="B1794" t="s">
        <v>8257</v>
      </c>
      <c r="C1794" t="str">
        <f>IFERROR(VLOOKUP(ILACLISTE[[#This Row],[NAME]],Table5[#All],2,0),"")</f>
        <v/>
      </c>
    </row>
    <row r="1795" spans="1:3" x14ac:dyDescent="0.3">
      <c r="A1795" s="5" t="s">
        <v>2457</v>
      </c>
      <c r="B1795" t="s">
        <v>8258</v>
      </c>
      <c r="C1795" t="str">
        <f>IFERROR(VLOOKUP(ILACLISTE[[#This Row],[NAME]],Table5[#All],2,0),"")</f>
        <v/>
      </c>
    </row>
    <row r="1796" spans="1:3" x14ac:dyDescent="0.3">
      <c r="A1796" s="5" t="s">
        <v>2458</v>
      </c>
      <c r="B1796" t="s">
        <v>8259</v>
      </c>
      <c r="C1796" t="str">
        <f>IFERROR(VLOOKUP(ILACLISTE[[#This Row],[NAME]],Table5[#All],2,0),"")</f>
        <v/>
      </c>
    </row>
    <row r="1797" spans="1:3" x14ac:dyDescent="0.3">
      <c r="A1797" s="5" t="s">
        <v>2459</v>
      </c>
      <c r="B1797" t="s">
        <v>207</v>
      </c>
      <c r="C1797" t="str">
        <f>IFERROR(VLOOKUP(ILACLISTE[[#This Row],[NAME]],Table5[#All],2,0),"")</f>
        <v/>
      </c>
    </row>
    <row r="1798" spans="1:3" x14ac:dyDescent="0.3">
      <c r="A1798" s="5" t="s">
        <v>2460</v>
      </c>
      <c r="B1798" t="s">
        <v>8260</v>
      </c>
      <c r="C1798" t="str">
        <f>IFERROR(VLOOKUP(ILACLISTE[[#This Row],[NAME]],Table5[#All],2,0),"")</f>
        <v/>
      </c>
    </row>
    <row r="1799" spans="1:3" x14ac:dyDescent="0.3">
      <c r="A1799" s="5" t="s">
        <v>2461</v>
      </c>
      <c r="B1799" t="s">
        <v>8261</v>
      </c>
      <c r="C1799" t="str">
        <f>IFERROR(VLOOKUP(ILACLISTE[[#This Row],[NAME]],Table5[#All],2,0),"")</f>
        <v/>
      </c>
    </row>
    <row r="1800" spans="1:3" x14ac:dyDescent="0.3">
      <c r="A1800" s="5" t="s">
        <v>2462</v>
      </c>
      <c r="B1800" t="s">
        <v>8262</v>
      </c>
      <c r="C1800" t="str">
        <f>IFERROR(VLOOKUP(ILACLISTE[[#This Row],[NAME]],Table5[#All],2,0),"")</f>
        <v/>
      </c>
    </row>
    <row r="1801" spans="1:3" x14ac:dyDescent="0.3">
      <c r="A1801" s="5" t="s">
        <v>2463</v>
      </c>
      <c r="B1801" t="s">
        <v>208</v>
      </c>
      <c r="C1801" t="str">
        <f>IFERROR(VLOOKUP(ILACLISTE[[#This Row],[NAME]],Table5[#All],2,0),"")</f>
        <v/>
      </c>
    </row>
    <row r="1802" spans="1:3" x14ac:dyDescent="0.3">
      <c r="A1802" s="5" t="s">
        <v>2464</v>
      </c>
      <c r="B1802" t="s">
        <v>8263</v>
      </c>
      <c r="C1802" t="str">
        <f>IFERROR(VLOOKUP(ILACLISTE[[#This Row],[NAME]],Table5[#All],2,0),"")</f>
        <v/>
      </c>
    </row>
    <row r="1803" spans="1:3" x14ac:dyDescent="0.3">
      <c r="A1803" s="5" t="s">
        <v>2465</v>
      </c>
      <c r="B1803" t="s">
        <v>8264</v>
      </c>
      <c r="C1803" t="str">
        <f>IFERROR(VLOOKUP(ILACLISTE[[#This Row],[NAME]],Table5[#All],2,0),"")</f>
        <v/>
      </c>
    </row>
    <row r="1804" spans="1:3" x14ac:dyDescent="0.3">
      <c r="A1804" s="5" t="s">
        <v>2466</v>
      </c>
      <c r="B1804" t="s">
        <v>8265</v>
      </c>
      <c r="C1804" t="str">
        <f>IFERROR(VLOOKUP(ILACLISTE[[#This Row],[NAME]],Table5[#All],2,0),"")</f>
        <v/>
      </c>
    </row>
    <row r="1805" spans="1:3" x14ac:dyDescent="0.3">
      <c r="A1805" s="5" t="s">
        <v>2467</v>
      </c>
      <c r="B1805" t="s">
        <v>8266</v>
      </c>
      <c r="C1805" t="str">
        <f>IFERROR(VLOOKUP(ILACLISTE[[#This Row],[NAME]],Table5[#All],2,0),"")</f>
        <v/>
      </c>
    </row>
    <row r="1806" spans="1:3" x14ac:dyDescent="0.3">
      <c r="A1806" s="5" t="s">
        <v>2468</v>
      </c>
      <c r="B1806" t="s">
        <v>8267</v>
      </c>
      <c r="C1806" t="str">
        <f>IFERROR(VLOOKUP(ILACLISTE[[#This Row],[NAME]],Table5[#All],2,0),"")</f>
        <v/>
      </c>
    </row>
    <row r="1807" spans="1:3" x14ac:dyDescent="0.3">
      <c r="A1807" s="5" t="s">
        <v>2469</v>
      </c>
      <c r="B1807" t="s">
        <v>8268</v>
      </c>
      <c r="C1807" t="str">
        <f>IFERROR(VLOOKUP(ILACLISTE[[#This Row],[NAME]],Table5[#All],2,0),"")</f>
        <v/>
      </c>
    </row>
    <row r="1808" spans="1:3" x14ac:dyDescent="0.3">
      <c r="A1808" s="5" t="s">
        <v>2470</v>
      </c>
      <c r="B1808" t="s">
        <v>8269</v>
      </c>
      <c r="C1808" t="str">
        <f>IFERROR(VLOOKUP(ILACLISTE[[#This Row],[NAME]],Table5[#All],2,0),"")</f>
        <v/>
      </c>
    </row>
    <row r="1809" spans="1:3" ht="20.399999999999999" x14ac:dyDescent="0.3">
      <c r="A1809" s="6" t="s">
        <v>2471</v>
      </c>
      <c r="B1809" t="s">
        <v>8270</v>
      </c>
      <c r="C1809" t="str">
        <f>IFERROR(VLOOKUP(ILACLISTE[[#This Row],[NAME]],Table5[#All],2,0),"")</f>
        <v/>
      </c>
    </row>
    <row r="1810" spans="1:3" x14ac:dyDescent="0.3">
      <c r="A1810" s="5" t="s">
        <v>2472</v>
      </c>
      <c r="B1810" t="s">
        <v>8271</v>
      </c>
      <c r="C1810" t="str">
        <f>IFERROR(VLOOKUP(ILACLISTE[[#This Row],[NAME]],Table5[#All],2,0),"")</f>
        <v/>
      </c>
    </row>
    <row r="1811" spans="1:3" x14ac:dyDescent="0.3">
      <c r="A1811" s="5" t="s">
        <v>2473</v>
      </c>
      <c r="B1811" t="s">
        <v>8272</v>
      </c>
      <c r="C1811" t="str">
        <f>IFERROR(VLOOKUP(ILACLISTE[[#This Row],[NAME]],Table5[#All],2,0),"")</f>
        <v/>
      </c>
    </row>
    <row r="1812" spans="1:3" x14ac:dyDescent="0.3">
      <c r="A1812" s="5" t="s">
        <v>2474</v>
      </c>
      <c r="B1812" t="s">
        <v>8273</v>
      </c>
      <c r="C1812" t="str">
        <f>IFERROR(VLOOKUP(ILACLISTE[[#This Row],[NAME]],Table5[#All],2,0),"")</f>
        <v/>
      </c>
    </row>
    <row r="1813" spans="1:3" x14ac:dyDescent="0.3">
      <c r="A1813" s="5" t="s">
        <v>2475</v>
      </c>
      <c r="B1813" t="s">
        <v>8274</v>
      </c>
      <c r="C1813" t="str">
        <f>IFERROR(VLOOKUP(ILACLISTE[[#This Row],[NAME]],Table5[#All],2,0),"")</f>
        <v/>
      </c>
    </row>
    <row r="1814" spans="1:3" x14ac:dyDescent="0.3">
      <c r="A1814" s="5" t="s">
        <v>2476</v>
      </c>
      <c r="B1814" t="s">
        <v>8275</v>
      </c>
      <c r="C1814" t="str">
        <f>IFERROR(VLOOKUP(ILACLISTE[[#This Row],[NAME]],Table5[#All],2,0),"")</f>
        <v/>
      </c>
    </row>
    <row r="1815" spans="1:3" x14ac:dyDescent="0.3">
      <c r="A1815" s="5" t="s">
        <v>2477</v>
      </c>
      <c r="B1815" t="s">
        <v>209</v>
      </c>
      <c r="C1815" t="str">
        <f>IFERROR(VLOOKUP(ILACLISTE[[#This Row],[NAME]],Table5[#All],2,0),"")</f>
        <v/>
      </c>
    </row>
    <row r="1816" spans="1:3" x14ac:dyDescent="0.3">
      <c r="A1816" s="5" t="s">
        <v>2478</v>
      </c>
      <c r="B1816" t="s">
        <v>8276</v>
      </c>
      <c r="C1816" t="str">
        <f>IFERROR(VLOOKUP(ILACLISTE[[#This Row],[NAME]],Table5[#All],2,0),"")</f>
        <v/>
      </c>
    </row>
    <row r="1817" spans="1:3" x14ac:dyDescent="0.3">
      <c r="A1817" s="5" t="s">
        <v>2479</v>
      </c>
      <c r="B1817" t="s">
        <v>8277</v>
      </c>
      <c r="C1817" t="str">
        <f>IFERROR(VLOOKUP(ILACLISTE[[#This Row],[NAME]],Table5[#All],2,0),"")</f>
        <v/>
      </c>
    </row>
    <row r="1818" spans="1:3" x14ac:dyDescent="0.3">
      <c r="A1818" s="5" t="s">
        <v>2480</v>
      </c>
      <c r="B1818" t="s">
        <v>8278</v>
      </c>
      <c r="C1818" t="str">
        <f>IFERROR(VLOOKUP(ILACLISTE[[#This Row],[NAME]],Table5[#All],2,0),"")</f>
        <v/>
      </c>
    </row>
    <row r="1819" spans="1:3" x14ac:dyDescent="0.3">
      <c r="A1819" s="5" t="s">
        <v>2481</v>
      </c>
      <c r="B1819" t="s">
        <v>8279</v>
      </c>
      <c r="C1819" t="str">
        <f>IFERROR(VLOOKUP(ILACLISTE[[#This Row],[NAME]],Table5[#All],2,0),"")</f>
        <v/>
      </c>
    </row>
    <row r="1820" spans="1:3" x14ac:dyDescent="0.3">
      <c r="A1820" s="5" t="s">
        <v>2482</v>
      </c>
      <c r="B1820" t="s">
        <v>8280</v>
      </c>
      <c r="C1820" t="str">
        <f>IFERROR(VLOOKUP(ILACLISTE[[#This Row],[NAME]],Table5[#All],2,0),"")</f>
        <v/>
      </c>
    </row>
    <row r="1821" spans="1:3" x14ac:dyDescent="0.3">
      <c r="A1821" s="5" t="s">
        <v>2483</v>
      </c>
      <c r="B1821" t="s">
        <v>210</v>
      </c>
      <c r="C1821" t="str">
        <f>IFERROR(VLOOKUP(ILACLISTE[[#This Row],[NAME]],Table5[#All],2,0),"")</f>
        <v/>
      </c>
    </row>
    <row r="1822" spans="1:3" x14ac:dyDescent="0.3">
      <c r="A1822" s="5" t="s">
        <v>2484</v>
      </c>
      <c r="B1822" t="s">
        <v>211</v>
      </c>
      <c r="C1822" t="str">
        <f>IFERROR(VLOOKUP(ILACLISTE[[#This Row],[NAME]],Table5[#All],2,0),"")</f>
        <v/>
      </c>
    </row>
    <row r="1823" spans="1:3" x14ac:dyDescent="0.3">
      <c r="A1823" s="5" t="s">
        <v>2485</v>
      </c>
      <c r="B1823" t="s">
        <v>8281</v>
      </c>
      <c r="C1823" t="str">
        <f>IFERROR(VLOOKUP(ILACLISTE[[#This Row],[NAME]],Table5[#All],2,0),"")</f>
        <v/>
      </c>
    </row>
    <row r="1824" spans="1:3" x14ac:dyDescent="0.3">
      <c r="A1824" s="5" t="s">
        <v>2486</v>
      </c>
      <c r="B1824" t="s">
        <v>8282</v>
      </c>
      <c r="C1824" t="str">
        <f>IFERROR(VLOOKUP(ILACLISTE[[#This Row],[NAME]],Table5[#All],2,0),"")</f>
        <v/>
      </c>
    </row>
    <row r="1825" spans="1:3" x14ac:dyDescent="0.3">
      <c r="A1825" s="5" t="s">
        <v>2487</v>
      </c>
      <c r="B1825" t="s">
        <v>8283</v>
      </c>
      <c r="C1825" t="str">
        <f>IFERROR(VLOOKUP(ILACLISTE[[#This Row],[NAME]],Table5[#All],2,0),"")</f>
        <v/>
      </c>
    </row>
    <row r="1826" spans="1:3" x14ac:dyDescent="0.3">
      <c r="A1826" s="5" t="s">
        <v>2488</v>
      </c>
      <c r="B1826" t="s">
        <v>8284</v>
      </c>
      <c r="C1826" t="str">
        <f>IFERROR(VLOOKUP(ILACLISTE[[#This Row],[NAME]],Table5[#All],2,0),"")</f>
        <v/>
      </c>
    </row>
    <row r="1827" spans="1:3" x14ac:dyDescent="0.3">
      <c r="A1827" s="5" t="s">
        <v>2489</v>
      </c>
      <c r="B1827" t="s">
        <v>8285</v>
      </c>
      <c r="C1827" t="str">
        <f>IFERROR(VLOOKUP(ILACLISTE[[#This Row],[NAME]],Table5[#All],2,0),"")</f>
        <v/>
      </c>
    </row>
    <row r="1828" spans="1:3" x14ac:dyDescent="0.3">
      <c r="A1828" s="5" t="s">
        <v>2490</v>
      </c>
      <c r="B1828" t="s">
        <v>8286</v>
      </c>
      <c r="C1828" t="str">
        <f>IFERROR(VLOOKUP(ILACLISTE[[#This Row],[NAME]],Table5[#All],2,0),"")</f>
        <v/>
      </c>
    </row>
    <row r="1829" spans="1:3" x14ac:dyDescent="0.3">
      <c r="A1829" s="5" t="s">
        <v>2491</v>
      </c>
      <c r="B1829" t="s">
        <v>8287</v>
      </c>
      <c r="C1829" t="str">
        <f>IFERROR(VLOOKUP(ILACLISTE[[#This Row],[NAME]],Table5[#All],2,0),"")</f>
        <v/>
      </c>
    </row>
    <row r="1830" spans="1:3" x14ac:dyDescent="0.3">
      <c r="A1830" s="5" t="s">
        <v>2492</v>
      </c>
      <c r="B1830" t="s">
        <v>8288</v>
      </c>
      <c r="C1830" t="str">
        <f>IFERROR(VLOOKUP(ILACLISTE[[#This Row],[NAME]],Table5[#All],2,0),"")</f>
        <v/>
      </c>
    </row>
    <row r="1831" spans="1:3" x14ac:dyDescent="0.3">
      <c r="A1831" s="5" t="s">
        <v>2493</v>
      </c>
      <c r="B1831" t="s">
        <v>8289</v>
      </c>
      <c r="C1831" t="str">
        <f>IFERROR(VLOOKUP(ILACLISTE[[#This Row],[NAME]],Table5[#All],2,0),"")</f>
        <v/>
      </c>
    </row>
    <row r="1832" spans="1:3" x14ac:dyDescent="0.3">
      <c r="A1832" s="5" t="s">
        <v>2494</v>
      </c>
      <c r="B1832" t="s">
        <v>8290</v>
      </c>
      <c r="C1832" t="str">
        <f>IFERROR(VLOOKUP(ILACLISTE[[#This Row],[NAME]],Table5[#All],2,0),"")</f>
        <v/>
      </c>
    </row>
    <row r="1833" spans="1:3" x14ac:dyDescent="0.3">
      <c r="A1833" s="5" t="s">
        <v>2495</v>
      </c>
      <c r="B1833" t="s">
        <v>8291</v>
      </c>
      <c r="C1833" t="str">
        <f>IFERROR(VLOOKUP(ILACLISTE[[#This Row],[NAME]],Table5[#All],2,0),"")</f>
        <v/>
      </c>
    </row>
    <row r="1834" spans="1:3" x14ac:dyDescent="0.3">
      <c r="A1834" s="5" t="s">
        <v>2496</v>
      </c>
      <c r="B1834" t="s">
        <v>8292</v>
      </c>
      <c r="C1834" t="str">
        <f>IFERROR(VLOOKUP(ILACLISTE[[#This Row],[NAME]],Table5[#All],2,0),"")</f>
        <v/>
      </c>
    </row>
    <row r="1835" spans="1:3" x14ac:dyDescent="0.3">
      <c r="A1835" s="5" t="s">
        <v>2497</v>
      </c>
      <c r="B1835" t="s">
        <v>8293</v>
      </c>
      <c r="C1835" t="str">
        <f>IFERROR(VLOOKUP(ILACLISTE[[#This Row],[NAME]],Table5[#All],2,0),"")</f>
        <v/>
      </c>
    </row>
    <row r="1836" spans="1:3" x14ac:dyDescent="0.3">
      <c r="A1836" s="5" t="s">
        <v>2498</v>
      </c>
      <c r="B1836" t="s">
        <v>8294</v>
      </c>
      <c r="C1836" t="str">
        <f>IFERROR(VLOOKUP(ILACLISTE[[#This Row],[NAME]],Table5[#All],2,0),"")</f>
        <v/>
      </c>
    </row>
    <row r="1837" spans="1:3" x14ac:dyDescent="0.3">
      <c r="A1837" s="5" t="s">
        <v>2499</v>
      </c>
      <c r="B1837" s="4" t="s">
        <v>8295</v>
      </c>
      <c r="C1837" t="str">
        <f>IFERROR(VLOOKUP(ILACLISTE[[#This Row],[NAME]],Table5[#All],2,0),"")</f>
        <v/>
      </c>
    </row>
    <row r="1838" spans="1:3" x14ac:dyDescent="0.3">
      <c r="A1838" s="5" t="s">
        <v>2500</v>
      </c>
      <c r="B1838" t="s">
        <v>8296</v>
      </c>
      <c r="C1838" t="str">
        <f>IFERROR(VLOOKUP(ILACLISTE[[#This Row],[NAME]],Table5[#All],2,0),"")</f>
        <v/>
      </c>
    </row>
    <row r="1839" spans="1:3" x14ac:dyDescent="0.3">
      <c r="A1839" s="5" t="s">
        <v>2501</v>
      </c>
      <c r="B1839" t="s">
        <v>8297</v>
      </c>
      <c r="C1839" t="str">
        <f>IFERROR(VLOOKUP(ILACLISTE[[#This Row],[NAME]],Table5[#All],2,0),"")</f>
        <v/>
      </c>
    </row>
    <row r="1840" spans="1:3" x14ac:dyDescent="0.3">
      <c r="A1840" s="5" t="s">
        <v>2502</v>
      </c>
      <c r="B1840" t="s">
        <v>8298</v>
      </c>
      <c r="C1840" t="str">
        <f>IFERROR(VLOOKUP(ILACLISTE[[#This Row],[NAME]],Table5[#All],2,0),"")</f>
        <v/>
      </c>
    </row>
    <row r="1841" spans="1:3" x14ac:dyDescent="0.3">
      <c r="A1841" s="5" t="s">
        <v>2503</v>
      </c>
      <c r="B1841" t="s">
        <v>8299</v>
      </c>
      <c r="C1841" t="str">
        <f>IFERROR(VLOOKUP(ILACLISTE[[#This Row],[NAME]],Table5[#All],2,0),"")</f>
        <v/>
      </c>
    </row>
    <row r="1842" spans="1:3" x14ac:dyDescent="0.3">
      <c r="A1842" s="5" t="s">
        <v>2504</v>
      </c>
      <c r="B1842" t="s">
        <v>8300</v>
      </c>
      <c r="C1842" t="str">
        <f>IFERROR(VLOOKUP(ILACLISTE[[#This Row],[NAME]],Table5[#All],2,0),"")</f>
        <v/>
      </c>
    </row>
    <row r="1843" spans="1:3" x14ac:dyDescent="0.3">
      <c r="A1843" s="5" t="s">
        <v>2505</v>
      </c>
      <c r="B1843" t="s">
        <v>8301</v>
      </c>
      <c r="C1843" t="str">
        <f>IFERROR(VLOOKUP(ILACLISTE[[#This Row],[NAME]],Table5[#All],2,0),"")</f>
        <v/>
      </c>
    </row>
    <row r="1844" spans="1:3" x14ac:dyDescent="0.3">
      <c r="A1844" s="5" t="s">
        <v>2506</v>
      </c>
      <c r="B1844" t="s">
        <v>8302</v>
      </c>
      <c r="C1844" t="str">
        <f>IFERROR(VLOOKUP(ILACLISTE[[#This Row],[NAME]],Table5[#All],2,0),"")</f>
        <v/>
      </c>
    </row>
    <row r="1845" spans="1:3" x14ac:dyDescent="0.3">
      <c r="A1845" s="5" t="s">
        <v>2507</v>
      </c>
      <c r="B1845" t="s">
        <v>8303</v>
      </c>
      <c r="C1845" t="str">
        <f>IFERROR(VLOOKUP(ILACLISTE[[#This Row],[NAME]],Table5[#All],2,0),"")</f>
        <v/>
      </c>
    </row>
    <row r="1846" spans="1:3" x14ac:dyDescent="0.3">
      <c r="A1846" s="5" t="s">
        <v>2508</v>
      </c>
      <c r="B1846" t="s">
        <v>8304</v>
      </c>
      <c r="C1846" t="str">
        <f>IFERROR(VLOOKUP(ILACLISTE[[#This Row],[NAME]],Table5[#All],2,0),"")</f>
        <v/>
      </c>
    </row>
    <row r="1847" spans="1:3" x14ac:dyDescent="0.3">
      <c r="A1847" s="5" t="s">
        <v>2509</v>
      </c>
      <c r="B1847" t="s">
        <v>8305</v>
      </c>
      <c r="C1847" t="str">
        <f>IFERROR(VLOOKUP(ILACLISTE[[#This Row],[NAME]],Table5[#All],2,0),"")</f>
        <v/>
      </c>
    </row>
    <row r="1848" spans="1:3" x14ac:dyDescent="0.3">
      <c r="A1848" s="5" t="s">
        <v>2510</v>
      </c>
      <c r="B1848" t="s">
        <v>8306</v>
      </c>
      <c r="C1848" t="str">
        <f>IFERROR(VLOOKUP(ILACLISTE[[#This Row],[NAME]],Table5[#All],2,0),"")</f>
        <v/>
      </c>
    </row>
    <row r="1849" spans="1:3" x14ac:dyDescent="0.3">
      <c r="A1849" s="5" t="s">
        <v>2511</v>
      </c>
      <c r="B1849" t="s">
        <v>8307</v>
      </c>
      <c r="C1849" t="str">
        <f>IFERROR(VLOOKUP(ILACLISTE[[#This Row],[NAME]],Table5[#All],2,0),"")</f>
        <v/>
      </c>
    </row>
    <row r="1850" spans="1:3" x14ac:dyDescent="0.3">
      <c r="A1850" s="5" t="s">
        <v>2512</v>
      </c>
      <c r="B1850" t="s">
        <v>8308</v>
      </c>
      <c r="C1850" t="str">
        <f>IFERROR(VLOOKUP(ILACLISTE[[#This Row],[NAME]],Table5[#All],2,0),"")</f>
        <v/>
      </c>
    </row>
    <row r="1851" spans="1:3" x14ac:dyDescent="0.3">
      <c r="A1851" s="5" t="s">
        <v>2513</v>
      </c>
      <c r="B1851" t="s">
        <v>8309</v>
      </c>
      <c r="C1851" t="str">
        <f>IFERROR(VLOOKUP(ILACLISTE[[#This Row],[NAME]],Table5[#All],2,0),"")</f>
        <v/>
      </c>
    </row>
    <row r="1852" spans="1:3" x14ac:dyDescent="0.3">
      <c r="A1852" s="5" t="s">
        <v>2514</v>
      </c>
      <c r="B1852" t="s">
        <v>8310</v>
      </c>
      <c r="C1852" t="str">
        <f>IFERROR(VLOOKUP(ILACLISTE[[#This Row],[NAME]],Table5[#All],2,0),"")</f>
        <v/>
      </c>
    </row>
    <row r="1853" spans="1:3" x14ac:dyDescent="0.3">
      <c r="A1853" s="5" t="s">
        <v>2515</v>
      </c>
      <c r="B1853" t="s">
        <v>8311</v>
      </c>
      <c r="C1853" t="str">
        <f>IFERROR(VLOOKUP(ILACLISTE[[#This Row],[NAME]],Table5[#All],2,0),"")</f>
        <v/>
      </c>
    </row>
    <row r="1854" spans="1:3" x14ac:dyDescent="0.3">
      <c r="A1854" s="5" t="s">
        <v>2516</v>
      </c>
      <c r="B1854" t="s">
        <v>8312</v>
      </c>
      <c r="C1854" t="str">
        <f>IFERROR(VLOOKUP(ILACLISTE[[#This Row],[NAME]],Table5[#All],2,0),"")</f>
        <v/>
      </c>
    </row>
    <row r="1855" spans="1:3" x14ac:dyDescent="0.3">
      <c r="A1855" s="5" t="s">
        <v>2517</v>
      </c>
      <c r="B1855" t="s">
        <v>8313</v>
      </c>
      <c r="C1855" t="str">
        <f>IFERROR(VLOOKUP(ILACLISTE[[#This Row],[NAME]],Table5[#All],2,0),"")</f>
        <v/>
      </c>
    </row>
    <row r="1856" spans="1:3" x14ac:dyDescent="0.3">
      <c r="A1856" s="5" t="s">
        <v>2518</v>
      </c>
      <c r="B1856" t="s">
        <v>8314</v>
      </c>
      <c r="C1856" t="str">
        <f>IFERROR(VLOOKUP(ILACLISTE[[#This Row],[NAME]],Table5[#All],2,0),"")</f>
        <v/>
      </c>
    </row>
    <row r="1857" spans="1:3" x14ac:dyDescent="0.3">
      <c r="A1857" s="5" t="s">
        <v>2519</v>
      </c>
      <c r="B1857" t="s">
        <v>8315</v>
      </c>
      <c r="C1857" t="str">
        <f>IFERROR(VLOOKUP(ILACLISTE[[#This Row],[NAME]],Table5[#All],2,0),"")</f>
        <v/>
      </c>
    </row>
    <row r="1858" spans="1:3" ht="20.399999999999999" x14ac:dyDescent="0.3">
      <c r="A1858" s="7" t="s">
        <v>2520</v>
      </c>
      <c r="B1858" t="s">
        <v>8316</v>
      </c>
      <c r="C1858" t="str">
        <f>IFERROR(VLOOKUP(ILACLISTE[[#This Row],[NAME]],Table5[#All],2,0),"")</f>
        <v/>
      </c>
    </row>
    <row r="1859" spans="1:3" ht="20.399999999999999" x14ac:dyDescent="0.3">
      <c r="A1859" s="6" t="s">
        <v>2521</v>
      </c>
      <c r="B1859" t="s">
        <v>212</v>
      </c>
      <c r="C1859" t="str">
        <f>IFERROR(VLOOKUP(ILACLISTE[[#This Row],[NAME]],Table5[#All],2,0),"")</f>
        <v/>
      </c>
    </row>
    <row r="1860" spans="1:3" x14ac:dyDescent="0.3">
      <c r="A1860" s="5" t="s">
        <v>2522</v>
      </c>
      <c r="B1860" t="s">
        <v>8317</v>
      </c>
      <c r="C1860" t="str">
        <f>IFERROR(VLOOKUP(ILACLISTE[[#This Row],[NAME]],Table5[#All],2,0),"")</f>
        <v/>
      </c>
    </row>
    <row r="1861" spans="1:3" x14ac:dyDescent="0.3">
      <c r="A1861" s="5" t="s">
        <v>2523</v>
      </c>
      <c r="B1861" t="s">
        <v>8318</v>
      </c>
      <c r="C1861" t="str">
        <f>IFERROR(VLOOKUP(ILACLISTE[[#This Row],[NAME]],Table5[#All],2,0),"")</f>
        <v/>
      </c>
    </row>
    <row r="1862" spans="1:3" x14ac:dyDescent="0.3">
      <c r="A1862" s="5" t="s">
        <v>2524</v>
      </c>
      <c r="B1862" t="s">
        <v>8319</v>
      </c>
      <c r="C1862" t="str">
        <f>IFERROR(VLOOKUP(ILACLISTE[[#This Row],[NAME]],Table5[#All],2,0),"")</f>
        <v/>
      </c>
    </row>
    <row r="1863" spans="1:3" x14ac:dyDescent="0.3">
      <c r="A1863" s="5" t="s">
        <v>2525</v>
      </c>
      <c r="B1863" t="s">
        <v>8320</v>
      </c>
      <c r="C1863" t="str">
        <f>IFERROR(VLOOKUP(ILACLISTE[[#This Row],[NAME]],Table5[#All],2,0),"")</f>
        <v/>
      </c>
    </row>
    <row r="1864" spans="1:3" x14ac:dyDescent="0.3">
      <c r="A1864" s="5" t="s">
        <v>2526</v>
      </c>
      <c r="B1864" t="s">
        <v>8321</v>
      </c>
      <c r="C1864" t="str">
        <f>IFERROR(VLOOKUP(ILACLISTE[[#This Row],[NAME]],Table5[#All],2,0),"")</f>
        <v/>
      </c>
    </row>
    <row r="1865" spans="1:3" x14ac:dyDescent="0.3">
      <c r="A1865" s="5" t="s">
        <v>2527</v>
      </c>
      <c r="B1865" t="s">
        <v>8322</v>
      </c>
      <c r="C1865" t="str">
        <f>IFERROR(VLOOKUP(ILACLISTE[[#This Row],[NAME]],Table5[#All],2,0),"")</f>
        <v/>
      </c>
    </row>
    <row r="1866" spans="1:3" x14ac:dyDescent="0.3">
      <c r="A1866" s="5" t="s">
        <v>2528</v>
      </c>
      <c r="B1866" t="s">
        <v>213</v>
      </c>
      <c r="C1866" t="str">
        <f>IFERROR(VLOOKUP(ILACLISTE[[#This Row],[NAME]],Table5[#All],2,0),"")</f>
        <v/>
      </c>
    </row>
    <row r="1867" spans="1:3" x14ac:dyDescent="0.3">
      <c r="A1867" s="5" t="s">
        <v>2529</v>
      </c>
      <c r="B1867" t="s">
        <v>214</v>
      </c>
      <c r="C1867" t="str">
        <f>IFERROR(VLOOKUP(ILACLISTE[[#This Row],[NAME]],Table5[#All],2,0),"")</f>
        <v/>
      </c>
    </row>
    <row r="1868" spans="1:3" x14ac:dyDescent="0.3">
      <c r="A1868" s="5" t="s">
        <v>2530</v>
      </c>
      <c r="B1868" t="s">
        <v>8323</v>
      </c>
      <c r="C1868" t="str">
        <f>IFERROR(VLOOKUP(ILACLISTE[[#This Row],[NAME]],Table5[#All],2,0),"")</f>
        <v/>
      </c>
    </row>
    <row r="1869" spans="1:3" x14ac:dyDescent="0.3">
      <c r="A1869" s="5" t="s">
        <v>2531</v>
      </c>
      <c r="B1869" t="s">
        <v>8324</v>
      </c>
      <c r="C1869" t="str">
        <f>IFERROR(VLOOKUP(ILACLISTE[[#This Row],[NAME]],Table5[#All],2,0),"")</f>
        <v/>
      </c>
    </row>
    <row r="1870" spans="1:3" x14ac:dyDescent="0.3">
      <c r="A1870" s="5" t="s">
        <v>2532</v>
      </c>
      <c r="B1870" t="s">
        <v>8325</v>
      </c>
      <c r="C1870" t="str">
        <f>IFERROR(VLOOKUP(ILACLISTE[[#This Row],[NAME]],Table5[#All],2,0),"")</f>
        <v/>
      </c>
    </row>
    <row r="1871" spans="1:3" x14ac:dyDescent="0.3">
      <c r="A1871" s="5" t="s">
        <v>2533</v>
      </c>
      <c r="B1871" t="s">
        <v>8326</v>
      </c>
      <c r="C1871" t="str">
        <f>IFERROR(VLOOKUP(ILACLISTE[[#This Row],[NAME]],Table5[#All],2,0),"")</f>
        <v/>
      </c>
    </row>
    <row r="1872" spans="1:3" x14ac:dyDescent="0.3">
      <c r="A1872" s="5" t="s">
        <v>2534</v>
      </c>
      <c r="B1872" t="s">
        <v>8327</v>
      </c>
      <c r="C1872" t="str">
        <f>IFERROR(VLOOKUP(ILACLISTE[[#This Row],[NAME]],Table5[#All],2,0),"")</f>
        <v/>
      </c>
    </row>
    <row r="1873" spans="1:3" x14ac:dyDescent="0.3">
      <c r="A1873" s="5" t="s">
        <v>2535</v>
      </c>
      <c r="B1873" t="s">
        <v>8328</v>
      </c>
      <c r="C1873" t="str">
        <f>IFERROR(VLOOKUP(ILACLISTE[[#This Row],[NAME]],Table5[#All],2,0),"")</f>
        <v/>
      </c>
    </row>
    <row r="1874" spans="1:3" x14ac:dyDescent="0.3">
      <c r="A1874" s="5" t="s">
        <v>2536</v>
      </c>
      <c r="B1874" t="s">
        <v>8329</v>
      </c>
      <c r="C1874" t="str">
        <f>IFERROR(VLOOKUP(ILACLISTE[[#This Row],[NAME]],Table5[#All],2,0),"")</f>
        <v/>
      </c>
    </row>
    <row r="1875" spans="1:3" x14ac:dyDescent="0.3">
      <c r="A1875" s="5" t="s">
        <v>2537</v>
      </c>
      <c r="B1875" t="s">
        <v>8330</v>
      </c>
      <c r="C1875" t="str">
        <f>IFERROR(VLOOKUP(ILACLISTE[[#This Row],[NAME]],Table5[#All],2,0),"")</f>
        <v/>
      </c>
    </row>
    <row r="1876" spans="1:3" x14ac:dyDescent="0.3">
      <c r="A1876" s="5" t="s">
        <v>2538</v>
      </c>
      <c r="B1876" t="s">
        <v>8331</v>
      </c>
      <c r="C1876" t="str">
        <f>IFERROR(VLOOKUP(ILACLISTE[[#This Row],[NAME]],Table5[#All],2,0),"")</f>
        <v/>
      </c>
    </row>
    <row r="1877" spans="1:3" x14ac:dyDescent="0.3">
      <c r="A1877" s="5" t="s">
        <v>2539</v>
      </c>
      <c r="B1877" t="s">
        <v>8332</v>
      </c>
      <c r="C1877" t="str">
        <f>IFERROR(VLOOKUP(ILACLISTE[[#This Row],[NAME]],Table5[#All],2,0),"")</f>
        <v/>
      </c>
    </row>
    <row r="1878" spans="1:3" x14ac:dyDescent="0.3">
      <c r="A1878" s="5" t="s">
        <v>2540</v>
      </c>
      <c r="B1878" t="s">
        <v>8333</v>
      </c>
      <c r="C1878" t="str">
        <f>IFERROR(VLOOKUP(ILACLISTE[[#This Row],[NAME]],Table5[#All],2,0),"")</f>
        <v/>
      </c>
    </row>
    <row r="1879" spans="1:3" x14ac:dyDescent="0.3">
      <c r="A1879" s="5" t="s">
        <v>2541</v>
      </c>
      <c r="B1879" t="s">
        <v>8334</v>
      </c>
      <c r="C1879" t="str">
        <f>IFERROR(VLOOKUP(ILACLISTE[[#This Row],[NAME]],Table5[#All],2,0),"")</f>
        <v/>
      </c>
    </row>
    <row r="1880" spans="1:3" x14ac:dyDescent="0.3">
      <c r="A1880" s="5" t="s">
        <v>2542</v>
      </c>
      <c r="B1880" t="s">
        <v>8335</v>
      </c>
      <c r="C1880" t="str">
        <f>IFERROR(VLOOKUP(ILACLISTE[[#This Row],[NAME]],Table5[#All],2,0),"")</f>
        <v/>
      </c>
    </row>
    <row r="1881" spans="1:3" x14ac:dyDescent="0.3">
      <c r="A1881" s="5" t="s">
        <v>2543</v>
      </c>
      <c r="B1881" t="s">
        <v>8336</v>
      </c>
      <c r="C1881" t="str">
        <f>IFERROR(VLOOKUP(ILACLISTE[[#This Row],[NAME]],Table5[#All],2,0),"")</f>
        <v/>
      </c>
    </row>
    <row r="1882" spans="1:3" x14ac:dyDescent="0.3">
      <c r="A1882" s="5" t="s">
        <v>2544</v>
      </c>
      <c r="B1882" t="s">
        <v>8337</v>
      </c>
      <c r="C1882" t="str">
        <f>IFERROR(VLOOKUP(ILACLISTE[[#This Row],[NAME]],Table5[#All],2,0),"")</f>
        <v/>
      </c>
    </row>
    <row r="1883" spans="1:3" x14ac:dyDescent="0.3">
      <c r="A1883" s="5" t="s">
        <v>2545</v>
      </c>
      <c r="B1883" t="s">
        <v>8338</v>
      </c>
      <c r="C1883" t="str">
        <f>IFERROR(VLOOKUP(ILACLISTE[[#This Row],[NAME]],Table5[#All],2,0),"")</f>
        <v/>
      </c>
    </row>
    <row r="1884" spans="1:3" x14ac:dyDescent="0.3">
      <c r="A1884" s="5" t="s">
        <v>2546</v>
      </c>
      <c r="B1884" t="s">
        <v>8339</v>
      </c>
      <c r="C1884" t="str">
        <f>IFERROR(VLOOKUP(ILACLISTE[[#This Row],[NAME]],Table5[#All],2,0),"")</f>
        <v/>
      </c>
    </row>
    <row r="1885" spans="1:3" x14ac:dyDescent="0.3">
      <c r="A1885" s="5" t="s">
        <v>2547</v>
      </c>
      <c r="B1885" t="s">
        <v>8340</v>
      </c>
      <c r="C1885" t="str">
        <f>IFERROR(VLOOKUP(ILACLISTE[[#This Row],[NAME]],Table5[#All],2,0),"")</f>
        <v/>
      </c>
    </row>
    <row r="1886" spans="1:3" x14ac:dyDescent="0.3">
      <c r="A1886" s="5" t="s">
        <v>2548</v>
      </c>
      <c r="B1886" t="s">
        <v>8341</v>
      </c>
      <c r="C1886" t="str">
        <f>IFERROR(VLOOKUP(ILACLISTE[[#This Row],[NAME]],Table5[#All],2,0),"")</f>
        <v/>
      </c>
    </row>
    <row r="1887" spans="1:3" x14ac:dyDescent="0.3">
      <c r="A1887" s="5" t="s">
        <v>2549</v>
      </c>
      <c r="B1887" t="s">
        <v>8342</v>
      </c>
      <c r="C1887" t="str">
        <f>IFERROR(VLOOKUP(ILACLISTE[[#This Row],[NAME]],Table5[#All],2,0),"")</f>
        <v/>
      </c>
    </row>
    <row r="1888" spans="1:3" x14ac:dyDescent="0.3">
      <c r="A1888" s="5" t="s">
        <v>2550</v>
      </c>
      <c r="B1888" t="s">
        <v>8343</v>
      </c>
      <c r="C1888" t="str">
        <f>IFERROR(VLOOKUP(ILACLISTE[[#This Row],[NAME]],Table5[#All],2,0),"")</f>
        <v/>
      </c>
    </row>
    <row r="1889" spans="1:3" x14ac:dyDescent="0.3">
      <c r="A1889" s="5" t="s">
        <v>2551</v>
      </c>
      <c r="B1889" t="s">
        <v>8344</v>
      </c>
      <c r="C1889" t="str">
        <f>IFERROR(VLOOKUP(ILACLISTE[[#This Row],[NAME]],Table5[#All],2,0),"")</f>
        <v/>
      </c>
    </row>
    <row r="1890" spans="1:3" x14ac:dyDescent="0.3">
      <c r="A1890" s="5" t="s">
        <v>2552</v>
      </c>
      <c r="B1890" t="s">
        <v>8345</v>
      </c>
      <c r="C1890" t="str">
        <f>IFERROR(VLOOKUP(ILACLISTE[[#This Row],[NAME]],Table5[#All],2,0),"")</f>
        <v/>
      </c>
    </row>
    <row r="1891" spans="1:3" x14ac:dyDescent="0.3">
      <c r="A1891" s="5" t="s">
        <v>2553</v>
      </c>
      <c r="B1891" t="s">
        <v>8346</v>
      </c>
      <c r="C1891" t="str">
        <f>IFERROR(VLOOKUP(ILACLISTE[[#This Row],[NAME]],Table5[#All],2,0),"")</f>
        <v/>
      </c>
    </row>
    <row r="1892" spans="1:3" x14ac:dyDescent="0.3">
      <c r="A1892" s="5" t="s">
        <v>2554</v>
      </c>
      <c r="B1892" t="s">
        <v>8347</v>
      </c>
      <c r="C1892" t="str">
        <f>IFERROR(VLOOKUP(ILACLISTE[[#This Row],[NAME]],Table5[#All],2,0),"")</f>
        <v/>
      </c>
    </row>
    <row r="1893" spans="1:3" x14ac:dyDescent="0.3">
      <c r="A1893" s="5" t="s">
        <v>2555</v>
      </c>
      <c r="B1893" t="s">
        <v>8348</v>
      </c>
      <c r="C1893" t="str">
        <f>IFERROR(VLOOKUP(ILACLISTE[[#This Row],[NAME]],Table5[#All],2,0),"")</f>
        <v/>
      </c>
    </row>
    <row r="1894" spans="1:3" x14ac:dyDescent="0.3">
      <c r="A1894" s="5" t="s">
        <v>2556</v>
      </c>
      <c r="B1894" t="s">
        <v>8349</v>
      </c>
      <c r="C1894" t="str">
        <f>IFERROR(VLOOKUP(ILACLISTE[[#This Row],[NAME]],Table5[#All],2,0),"")</f>
        <v/>
      </c>
    </row>
    <row r="1895" spans="1:3" x14ac:dyDescent="0.3">
      <c r="A1895" s="5" t="s">
        <v>2557</v>
      </c>
      <c r="B1895" t="s">
        <v>8350</v>
      </c>
      <c r="C1895" t="str">
        <f>IFERROR(VLOOKUP(ILACLISTE[[#This Row],[NAME]],Table5[#All],2,0),"")</f>
        <v/>
      </c>
    </row>
    <row r="1896" spans="1:3" x14ac:dyDescent="0.3">
      <c r="A1896" s="5" t="s">
        <v>2558</v>
      </c>
      <c r="B1896" t="s">
        <v>8351</v>
      </c>
      <c r="C1896" t="str">
        <f>IFERROR(VLOOKUP(ILACLISTE[[#This Row],[NAME]],Table5[#All],2,0),"")</f>
        <v/>
      </c>
    </row>
    <row r="1897" spans="1:3" x14ac:dyDescent="0.3">
      <c r="A1897" s="5" t="s">
        <v>2559</v>
      </c>
      <c r="B1897" t="s">
        <v>8352</v>
      </c>
      <c r="C1897" t="str">
        <f>IFERROR(VLOOKUP(ILACLISTE[[#This Row],[NAME]],Table5[#All],2,0),"")</f>
        <v/>
      </c>
    </row>
    <row r="1898" spans="1:3" x14ac:dyDescent="0.3">
      <c r="A1898" s="5" t="s">
        <v>2560</v>
      </c>
      <c r="B1898" t="s">
        <v>8353</v>
      </c>
      <c r="C1898" t="str">
        <f>IFERROR(VLOOKUP(ILACLISTE[[#This Row],[NAME]],Table5[#All],2,0),"")</f>
        <v/>
      </c>
    </row>
    <row r="1899" spans="1:3" x14ac:dyDescent="0.3">
      <c r="A1899" s="5" t="s">
        <v>2561</v>
      </c>
      <c r="B1899" t="s">
        <v>8354</v>
      </c>
      <c r="C1899" t="str">
        <f>IFERROR(VLOOKUP(ILACLISTE[[#This Row],[NAME]],Table5[#All],2,0),"")</f>
        <v/>
      </c>
    </row>
    <row r="1900" spans="1:3" x14ac:dyDescent="0.3">
      <c r="A1900" s="5" t="s">
        <v>2562</v>
      </c>
      <c r="B1900" t="s">
        <v>8355</v>
      </c>
      <c r="C1900" t="str">
        <f>IFERROR(VLOOKUP(ILACLISTE[[#This Row],[NAME]],Table5[#All],2,0),"")</f>
        <v/>
      </c>
    </row>
    <row r="1901" spans="1:3" x14ac:dyDescent="0.3">
      <c r="A1901" s="5" t="s">
        <v>2563</v>
      </c>
      <c r="B1901" t="s">
        <v>8356</v>
      </c>
      <c r="C1901" t="str">
        <f>IFERROR(VLOOKUP(ILACLISTE[[#This Row],[NAME]],Table5[#All],2,0),"")</f>
        <v/>
      </c>
    </row>
    <row r="1902" spans="1:3" x14ac:dyDescent="0.3">
      <c r="A1902" s="5" t="s">
        <v>2564</v>
      </c>
      <c r="B1902" t="s">
        <v>8357</v>
      </c>
      <c r="C1902" t="str">
        <f>IFERROR(VLOOKUP(ILACLISTE[[#This Row],[NAME]],Table5[#All],2,0),"")</f>
        <v/>
      </c>
    </row>
    <row r="1903" spans="1:3" x14ac:dyDescent="0.3">
      <c r="A1903" s="5" t="s">
        <v>2565</v>
      </c>
      <c r="B1903" t="s">
        <v>8358</v>
      </c>
      <c r="C1903" t="str">
        <f>IFERROR(VLOOKUP(ILACLISTE[[#This Row],[NAME]],Table5[#All],2,0),"")</f>
        <v/>
      </c>
    </row>
    <row r="1904" spans="1:3" x14ac:dyDescent="0.3">
      <c r="A1904" s="5" t="s">
        <v>2566</v>
      </c>
      <c r="B1904" t="s">
        <v>8359</v>
      </c>
      <c r="C1904" t="str">
        <f>IFERROR(VLOOKUP(ILACLISTE[[#This Row],[NAME]],Table5[#All],2,0),"")</f>
        <v/>
      </c>
    </row>
    <row r="1905" spans="1:3" x14ac:dyDescent="0.3">
      <c r="A1905" s="5" t="s">
        <v>2567</v>
      </c>
      <c r="B1905" t="s">
        <v>8360</v>
      </c>
      <c r="C1905" t="str">
        <f>IFERROR(VLOOKUP(ILACLISTE[[#This Row],[NAME]],Table5[#All],2,0),"")</f>
        <v/>
      </c>
    </row>
    <row r="1906" spans="1:3" x14ac:dyDescent="0.3">
      <c r="A1906" s="5" t="s">
        <v>2568</v>
      </c>
      <c r="B1906" t="s">
        <v>8361</v>
      </c>
      <c r="C1906" t="str">
        <f>IFERROR(VLOOKUP(ILACLISTE[[#This Row],[NAME]],Table5[#All],2,0),"")</f>
        <v/>
      </c>
    </row>
    <row r="1907" spans="1:3" x14ac:dyDescent="0.3">
      <c r="A1907" s="5" t="s">
        <v>2569</v>
      </c>
      <c r="B1907" t="s">
        <v>8362</v>
      </c>
      <c r="C1907" t="str">
        <f>IFERROR(VLOOKUP(ILACLISTE[[#This Row],[NAME]],Table5[#All],2,0),"")</f>
        <v/>
      </c>
    </row>
    <row r="1908" spans="1:3" x14ac:dyDescent="0.3">
      <c r="A1908" s="5" t="s">
        <v>2570</v>
      </c>
      <c r="B1908" t="s">
        <v>8363</v>
      </c>
      <c r="C1908" t="str">
        <f>IFERROR(VLOOKUP(ILACLISTE[[#This Row],[NAME]],Table5[#All],2,0),"")</f>
        <v/>
      </c>
    </row>
    <row r="1909" spans="1:3" x14ac:dyDescent="0.3">
      <c r="A1909" s="5" t="s">
        <v>2571</v>
      </c>
      <c r="B1909" t="s">
        <v>8364</v>
      </c>
      <c r="C1909" t="str">
        <f>IFERROR(VLOOKUP(ILACLISTE[[#This Row],[NAME]],Table5[#All],2,0),"")</f>
        <v/>
      </c>
    </row>
    <row r="1910" spans="1:3" x14ac:dyDescent="0.3">
      <c r="A1910" s="5" t="s">
        <v>2572</v>
      </c>
      <c r="B1910" t="s">
        <v>8365</v>
      </c>
      <c r="C1910" t="str">
        <f>IFERROR(VLOOKUP(ILACLISTE[[#This Row],[NAME]],Table5[#All],2,0),"")</f>
        <v/>
      </c>
    </row>
    <row r="1911" spans="1:3" x14ac:dyDescent="0.3">
      <c r="A1911" s="5" t="s">
        <v>2573</v>
      </c>
      <c r="B1911" t="s">
        <v>8366</v>
      </c>
      <c r="C1911" t="str">
        <f>IFERROR(VLOOKUP(ILACLISTE[[#This Row],[NAME]],Table5[#All],2,0),"")</f>
        <v/>
      </c>
    </row>
    <row r="1912" spans="1:3" x14ac:dyDescent="0.3">
      <c r="A1912" s="5" t="s">
        <v>2574</v>
      </c>
      <c r="B1912" t="s">
        <v>8367</v>
      </c>
      <c r="C1912" t="str">
        <f>IFERROR(VLOOKUP(ILACLISTE[[#This Row],[NAME]],Table5[#All],2,0),"")</f>
        <v/>
      </c>
    </row>
    <row r="1913" spans="1:3" x14ac:dyDescent="0.3">
      <c r="A1913" s="5" t="s">
        <v>2575</v>
      </c>
      <c r="B1913" t="s">
        <v>8368</v>
      </c>
      <c r="C1913" t="str">
        <f>IFERROR(VLOOKUP(ILACLISTE[[#This Row],[NAME]],Table5[#All],2,0),"")</f>
        <v/>
      </c>
    </row>
    <row r="1914" spans="1:3" x14ac:dyDescent="0.3">
      <c r="A1914" s="5" t="s">
        <v>2576</v>
      </c>
      <c r="B1914" t="s">
        <v>8369</v>
      </c>
      <c r="C1914" t="str">
        <f>IFERROR(VLOOKUP(ILACLISTE[[#This Row],[NAME]],Table5[#All],2,0),"")</f>
        <v/>
      </c>
    </row>
    <row r="1915" spans="1:3" x14ac:dyDescent="0.3">
      <c r="A1915" s="5" t="s">
        <v>2577</v>
      </c>
      <c r="B1915" t="s">
        <v>8370</v>
      </c>
      <c r="C1915" t="str">
        <f>IFERROR(VLOOKUP(ILACLISTE[[#This Row],[NAME]],Table5[#All],2,0),"")</f>
        <v/>
      </c>
    </row>
    <row r="1916" spans="1:3" x14ac:dyDescent="0.3">
      <c r="A1916" s="5" t="s">
        <v>2578</v>
      </c>
      <c r="B1916" t="s">
        <v>8371</v>
      </c>
      <c r="C1916" t="str">
        <f>IFERROR(VLOOKUP(ILACLISTE[[#This Row],[NAME]],Table5[#All],2,0),"")</f>
        <v/>
      </c>
    </row>
    <row r="1917" spans="1:3" x14ac:dyDescent="0.3">
      <c r="A1917" s="5" t="s">
        <v>2579</v>
      </c>
      <c r="B1917" t="s">
        <v>8372</v>
      </c>
      <c r="C1917" t="str">
        <f>IFERROR(VLOOKUP(ILACLISTE[[#This Row],[NAME]],Table5[#All],2,0),"")</f>
        <v/>
      </c>
    </row>
    <row r="1918" spans="1:3" x14ac:dyDescent="0.3">
      <c r="A1918" s="5" t="s">
        <v>2580</v>
      </c>
      <c r="B1918" t="s">
        <v>8373</v>
      </c>
      <c r="C1918" t="str">
        <f>IFERROR(VLOOKUP(ILACLISTE[[#This Row],[NAME]],Table5[#All],2,0),"")</f>
        <v/>
      </c>
    </row>
    <row r="1919" spans="1:3" x14ac:dyDescent="0.3">
      <c r="A1919" s="5" t="s">
        <v>2581</v>
      </c>
      <c r="B1919" t="s">
        <v>8374</v>
      </c>
      <c r="C1919" t="str">
        <f>IFERROR(VLOOKUP(ILACLISTE[[#This Row],[NAME]],Table5[#All],2,0),"")</f>
        <v/>
      </c>
    </row>
    <row r="1920" spans="1:3" x14ac:dyDescent="0.3">
      <c r="A1920" s="5" t="s">
        <v>2582</v>
      </c>
      <c r="B1920" t="s">
        <v>8375</v>
      </c>
      <c r="C1920" t="str">
        <f>IFERROR(VLOOKUP(ILACLISTE[[#This Row],[NAME]],Table5[#All],2,0),"")</f>
        <v/>
      </c>
    </row>
    <row r="1921" spans="1:3" x14ac:dyDescent="0.3">
      <c r="A1921" s="5" t="s">
        <v>2583</v>
      </c>
      <c r="B1921" t="s">
        <v>8376</v>
      </c>
      <c r="C1921" t="str">
        <f>IFERROR(VLOOKUP(ILACLISTE[[#This Row],[NAME]],Table5[#All],2,0),"")</f>
        <v/>
      </c>
    </row>
    <row r="1922" spans="1:3" x14ac:dyDescent="0.3">
      <c r="A1922" s="5" t="s">
        <v>2584</v>
      </c>
      <c r="B1922" t="s">
        <v>8377</v>
      </c>
      <c r="C1922" t="str">
        <f>IFERROR(VLOOKUP(ILACLISTE[[#This Row],[NAME]],Table5[#All],2,0),"")</f>
        <v/>
      </c>
    </row>
    <row r="1923" spans="1:3" x14ac:dyDescent="0.3">
      <c r="A1923" s="5" t="s">
        <v>2585</v>
      </c>
      <c r="B1923" t="s">
        <v>8378</v>
      </c>
      <c r="C1923" t="str">
        <f>IFERROR(VLOOKUP(ILACLISTE[[#This Row],[NAME]],Table5[#All],2,0),"")</f>
        <v/>
      </c>
    </row>
    <row r="1924" spans="1:3" x14ac:dyDescent="0.3">
      <c r="A1924" s="5" t="s">
        <v>2586</v>
      </c>
      <c r="B1924" t="s">
        <v>8379</v>
      </c>
      <c r="C1924" t="str">
        <f>IFERROR(VLOOKUP(ILACLISTE[[#This Row],[NAME]],Table5[#All],2,0),"")</f>
        <v/>
      </c>
    </row>
    <row r="1925" spans="1:3" x14ac:dyDescent="0.3">
      <c r="A1925" s="5" t="s">
        <v>2587</v>
      </c>
      <c r="B1925" t="s">
        <v>8380</v>
      </c>
      <c r="C1925" t="str">
        <f>IFERROR(VLOOKUP(ILACLISTE[[#This Row],[NAME]],Table5[#All],2,0),"")</f>
        <v/>
      </c>
    </row>
    <row r="1926" spans="1:3" x14ac:dyDescent="0.3">
      <c r="A1926" s="5" t="s">
        <v>2588</v>
      </c>
      <c r="B1926" t="s">
        <v>8381</v>
      </c>
      <c r="C1926" t="str">
        <f>IFERROR(VLOOKUP(ILACLISTE[[#This Row],[NAME]],Table5[#All],2,0),"")</f>
        <v/>
      </c>
    </row>
    <row r="1927" spans="1:3" x14ac:dyDescent="0.3">
      <c r="A1927" s="5" t="s">
        <v>2589</v>
      </c>
      <c r="B1927" t="s">
        <v>8382</v>
      </c>
      <c r="C1927" t="str">
        <f>IFERROR(VLOOKUP(ILACLISTE[[#This Row],[NAME]],Table5[#All],2,0),"")</f>
        <v/>
      </c>
    </row>
    <row r="1928" spans="1:3" x14ac:dyDescent="0.3">
      <c r="A1928" s="5" t="s">
        <v>2590</v>
      </c>
      <c r="B1928" t="s">
        <v>8383</v>
      </c>
      <c r="C1928" t="str">
        <f>IFERROR(VLOOKUP(ILACLISTE[[#This Row],[NAME]],Table5[#All],2,0),"")</f>
        <v/>
      </c>
    </row>
    <row r="1929" spans="1:3" x14ac:dyDescent="0.3">
      <c r="A1929" s="5" t="s">
        <v>2591</v>
      </c>
      <c r="B1929" t="s">
        <v>8384</v>
      </c>
      <c r="C1929" t="str">
        <f>IFERROR(VLOOKUP(ILACLISTE[[#This Row],[NAME]],Table5[#All],2,0),"")</f>
        <v/>
      </c>
    </row>
    <row r="1930" spans="1:3" x14ac:dyDescent="0.3">
      <c r="A1930" s="5" t="s">
        <v>2592</v>
      </c>
      <c r="B1930" t="s">
        <v>8385</v>
      </c>
      <c r="C1930" t="str">
        <f>IFERROR(VLOOKUP(ILACLISTE[[#This Row],[NAME]],Table5[#All],2,0),"")</f>
        <v/>
      </c>
    </row>
    <row r="1931" spans="1:3" x14ac:dyDescent="0.3">
      <c r="A1931" s="5" t="s">
        <v>2593</v>
      </c>
      <c r="B1931" t="s">
        <v>8386</v>
      </c>
      <c r="C1931" t="str">
        <f>IFERROR(VLOOKUP(ILACLISTE[[#This Row],[NAME]],Table5[#All],2,0),"")</f>
        <v/>
      </c>
    </row>
    <row r="1932" spans="1:3" x14ac:dyDescent="0.3">
      <c r="A1932" s="5" t="s">
        <v>2594</v>
      </c>
      <c r="B1932" t="s">
        <v>8387</v>
      </c>
      <c r="C1932" t="str">
        <f>IFERROR(VLOOKUP(ILACLISTE[[#This Row],[NAME]],Table5[#All],2,0),"")</f>
        <v/>
      </c>
    </row>
    <row r="1933" spans="1:3" x14ac:dyDescent="0.3">
      <c r="A1933" s="5" t="s">
        <v>2595</v>
      </c>
      <c r="B1933" t="s">
        <v>8388</v>
      </c>
      <c r="C1933" t="str">
        <f>IFERROR(VLOOKUP(ILACLISTE[[#This Row],[NAME]],Table5[#All],2,0),"")</f>
        <v/>
      </c>
    </row>
    <row r="1934" spans="1:3" x14ac:dyDescent="0.3">
      <c r="A1934" s="5" t="s">
        <v>2596</v>
      </c>
      <c r="B1934" t="s">
        <v>8389</v>
      </c>
      <c r="C1934" t="str">
        <f>IFERROR(VLOOKUP(ILACLISTE[[#This Row],[NAME]],Table5[#All],2,0),"")</f>
        <v/>
      </c>
    </row>
    <row r="1935" spans="1:3" x14ac:dyDescent="0.3">
      <c r="A1935" s="5" t="s">
        <v>2597</v>
      </c>
      <c r="B1935" t="s">
        <v>8390</v>
      </c>
      <c r="C1935" t="str">
        <f>IFERROR(VLOOKUP(ILACLISTE[[#This Row],[NAME]],Table5[#All],2,0),"")</f>
        <v/>
      </c>
    </row>
    <row r="1936" spans="1:3" x14ac:dyDescent="0.3">
      <c r="A1936" s="5" t="s">
        <v>2598</v>
      </c>
      <c r="B1936" t="s">
        <v>8391</v>
      </c>
      <c r="C1936" t="str">
        <f>IFERROR(VLOOKUP(ILACLISTE[[#This Row],[NAME]],Table5[#All],2,0),"")</f>
        <v/>
      </c>
    </row>
    <row r="1937" spans="1:3" x14ac:dyDescent="0.3">
      <c r="A1937" s="5" t="s">
        <v>2599</v>
      </c>
      <c r="B1937" t="s">
        <v>8392</v>
      </c>
      <c r="C1937" t="str">
        <f>IFERROR(VLOOKUP(ILACLISTE[[#This Row],[NAME]],Table5[#All],2,0),"")</f>
        <v/>
      </c>
    </row>
    <row r="1938" spans="1:3" x14ac:dyDescent="0.3">
      <c r="A1938" s="5" t="s">
        <v>2600</v>
      </c>
      <c r="B1938" t="s">
        <v>8393</v>
      </c>
      <c r="C1938" t="str">
        <f>IFERROR(VLOOKUP(ILACLISTE[[#This Row],[NAME]],Table5[#All],2,0),"")</f>
        <v/>
      </c>
    </row>
    <row r="1939" spans="1:3" x14ac:dyDescent="0.3">
      <c r="A1939" s="5" t="s">
        <v>2601</v>
      </c>
      <c r="B1939" t="s">
        <v>8394</v>
      </c>
      <c r="C1939" t="str">
        <f>IFERROR(VLOOKUP(ILACLISTE[[#This Row],[NAME]],Table5[#All],2,0),"")</f>
        <v/>
      </c>
    </row>
    <row r="1940" spans="1:3" x14ac:dyDescent="0.3">
      <c r="A1940" s="5" t="s">
        <v>2602</v>
      </c>
      <c r="B1940" t="s">
        <v>8395</v>
      </c>
      <c r="C1940" t="str">
        <f>IFERROR(VLOOKUP(ILACLISTE[[#This Row],[NAME]],Table5[#All],2,0),"")</f>
        <v/>
      </c>
    </row>
    <row r="1941" spans="1:3" x14ac:dyDescent="0.3">
      <c r="A1941" s="5" t="s">
        <v>2603</v>
      </c>
      <c r="B1941" t="s">
        <v>8396</v>
      </c>
      <c r="C1941" t="str">
        <f>IFERROR(VLOOKUP(ILACLISTE[[#This Row],[NAME]],Table5[#All],2,0),"")</f>
        <v/>
      </c>
    </row>
    <row r="1942" spans="1:3" x14ac:dyDescent="0.3">
      <c r="A1942" s="5" t="s">
        <v>2604</v>
      </c>
      <c r="B1942" t="s">
        <v>8397</v>
      </c>
      <c r="C1942" t="str">
        <f>IFERROR(VLOOKUP(ILACLISTE[[#This Row],[NAME]],Table5[#All],2,0),"")</f>
        <v/>
      </c>
    </row>
    <row r="1943" spans="1:3" x14ac:dyDescent="0.3">
      <c r="A1943" s="5" t="s">
        <v>2605</v>
      </c>
      <c r="B1943" t="s">
        <v>8398</v>
      </c>
      <c r="C1943" t="str">
        <f>IFERROR(VLOOKUP(ILACLISTE[[#This Row],[NAME]],Table5[#All],2,0),"")</f>
        <v/>
      </c>
    </row>
    <row r="1944" spans="1:3" x14ac:dyDescent="0.3">
      <c r="A1944" s="5" t="s">
        <v>2606</v>
      </c>
      <c r="B1944" t="s">
        <v>8399</v>
      </c>
      <c r="C1944" t="str">
        <f>IFERROR(VLOOKUP(ILACLISTE[[#This Row],[NAME]],Table5[#All],2,0),"")</f>
        <v/>
      </c>
    </row>
    <row r="1945" spans="1:3" x14ac:dyDescent="0.3">
      <c r="A1945" s="5" t="s">
        <v>2607</v>
      </c>
      <c r="B1945" t="s">
        <v>8400</v>
      </c>
      <c r="C1945" t="str">
        <f>IFERROR(VLOOKUP(ILACLISTE[[#This Row],[NAME]],Table5[#All],2,0),"")</f>
        <v/>
      </c>
    </row>
    <row r="1946" spans="1:3" x14ac:dyDescent="0.3">
      <c r="A1946" s="5" t="s">
        <v>2608</v>
      </c>
      <c r="B1946" t="s">
        <v>8401</v>
      </c>
      <c r="C1946" t="str">
        <f>IFERROR(VLOOKUP(ILACLISTE[[#This Row],[NAME]],Table5[#All],2,0),"")</f>
        <v/>
      </c>
    </row>
    <row r="1947" spans="1:3" x14ac:dyDescent="0.3">
      <c r="A1947" s="5" t="s">
        <v>2609</v>
      </c>
      <c r="B1947" t="s">
        <v>8402</v>
      </c>
      <c r="C1947" t="str">
        <f>IFERROR(VLOOKUP(ILACLISTE[[#This Row],[NAME]],Table5[#All],2,0),"")</f>
        <v/>
      </c>
    </row>
    <row r="1948" spans="1:3" x14ac:dyDescent="0.3">
      <c r="A1948" s="5" t="s">
        <v>2610</v>
      </c>
      <c r="B1948" t="s">
        <v>8403</v>
      </c>
      <c r="C1948" t="str">
        <f>IFERROR(VLOOKUP(ILACLISTE[[#This Row],[NAME]],Table5[#All],2,0),"")</f>
        <v/>
      </c>
    </row>
    <row r="1949" spans="1:3" x14ac:dyDescent="0.3">
      <c r="A1949" s="5" t="s">
        <v>2611</v>
      </c>
      <c r="B1949" t="s">
        <v>8404</v>
      </c>
      <c r="C1949" t="str">
        <f>IFERROR(VLOOKUP(ILACLISTE[[#This Row],[NAME]],Table5[#All],2,0),"")</f>
        <v/>
      </c>
    </row>
    <row r="1950" spans="1:3" x14ac:dyDescent="0.3">
      <c r="A1950" s="5" t="s">
        <v>2612</v>
      </c>
      <c r="B1950" t="s">
        <v>8405</v>
      </c>
      <c r="C1950" t="str">
        <f>IFERROR(VLOOKUP(ILACLISTE[[#This Row],[NAME]],Table5[#All],2,0),"")</f>
        <v/>
      </c>
    </row>
    <row r="1951" spans="1:3" x14ac:dyDescent="0.3">
      <c r="A1951" s="5" t="s">
        <v>2613</v>
      </c>
      <c r="B1951" t="s">
        <v>8406</v>
      </c>
      <c r="C1951" t="str">
        <f>IFERROR(VLOOKUP(ILACLISTE[[#This Row],[NAME]],Table5[#All],2,0),"")</f>
        <v/>
      </c>
    </row>
    <row r="1952" spans="1:3" x14ac:dyDescent="0.3">
      <c r="A1952" s="5" t="s">
        <v>2614</v>
      </c>
      <c r="B1952" t="s">
        <v>8407</v>
      </c>
      <c r="C1952" t="str">
        <f>IFERROR(VLOOKUP(ILACLISTE[[#This Row],[NAME]],Table5[#All],2,0),"")</f>
        <v/>
      </c>
    </row>
    <row r="1953" spans="1:3" x14ac:dyDescent="0.3">
      <c r="A1953" s="5" t="s">
        <v>2615</v>
      </c>
      <c r="B1953" t="s">
        <v>8408</v>
      </c>
      <c r="C1953" t="str">
        <f>IFERROR(VLOOKUP(ILACLISTE[[#This Row],[NAME]],Table5[#All],2,0),"")</f>
        <v/>
      </c>
    </row>
    <row r="1954" spans="1:3" x14ac:dyDescent="0.3">
      <c r="A1954" s="5" t="s">
        <v>2616</v>
      </c>
      <c r="B1954" t="s">
        <v>8409</v>
      </c>
      <c r="C1954" t="str">
        <f>IFERROR(VLOOKUP(ILACLISTE[[#This Row],[NAME]],Table5[#All],2,0),"")</f>
        <v/>
      </c>
    </row>
    <row r="1955" spans="1:3" x14ac:dyDescent="0.3">
      <c r="A1955" s="5" t="s">
        <v>2617</v>
      </c>
      <c r="B1955" t="s">
        <v>8410</v>
      </c>
      <c r="C1955" t="str">
        <f>IFERROR(VLOOKUP(ILACLISTE[[#This Row],[NAME]],Table5[#All],2,0),"")</f>
        <v/>
      </c>
    </row>
    <row r="1956" spans="1:3" x14ac:dyDescent="0.3">
      <c r="A1956" s="5" t="s">
        <v>2618</v>
      </c>
      <c r="B1956" t="s">
        <v>8411</v>
      </c>
      <c r="C1956" t="str">
        <f>IFERROR(VLOOKUP(ILACLISTE[[#This Row],[NAME]],Table5[#All],2,0),"")</f>
        <v/>
      </c>
    </row>
    <row r="1957" spans="1:3" x14ac:dyDescent="0.3">
      <c r="A1957" s="5" t="s">
        <v>2619</v>
      </c>
      <c r="B1957" t="s">
        <v>8412</v>
      </c>
      <c r="C1957" t="str">
        <f>IFERROR(VLOOKUP(ILACLISTE[[#This Row],[NAME]],Table5[#All],2,0),"")</f>
        <v/>
      </c>
    </row>
    <row r="1958" spans="1:3" x14ac:dyDescent="0.3">
      <c r="A1958" s="5" t="s">
        <v>2620</v>
      </c>
      <c r="B1958" t="s">
        <v>8413</v>
      </c>
      <c r="C1958" t="str">
        <f>IFERROR(VLOOKUP(ILACLISTE[[#This Row],[NAME]],Table5[#All],2,0),"")</f>
        <v/>
      </c>
    </row>
    <row r="1959" spans="1:3" x14ac:dyDescent="0.3">
      <c r="A1959" s="5" t="s">
        <v>2621</v>
      </c>
      <c r="B1959" t="s">
        <v>8414</v>
      </c>
      <c r="C1959" t="str">
        <f>IFERROR(VLOOKUP(ILACLISTE[[#This Row],[NAME]],Table5[#All],2,0),"")</f>
        <v/>
      </c>
    </row>
    <row r="1960" spans="1:3" x14ac:dyDescent="0.3">
      <c r="A1960" s="5" t="s">
        <v>2622</v>
      </c>
      <c r="B1960" t="s">
        <v>8415</v>
      </c>
      <c r="C1960" t="str">
        <f>IFERROR(VLOOKUP(ILACLISTE[[#This Row],[NAME]],Table5[#All],2,0),"")</f>
        <v/>
      </c>
    </row>
    <row r="1961" spans="1:3" x14ac:dyDescent="0.3">
      <c r="A1961" s="5" t="s">
        <v>2623</v>
      </c>
      <c r="B1961" t="s">
        <v>8416</v>
      </c>
      <c r="C1961" t="str">
        <f>IFERROR(VLOOKUP(ILACLISTE[[#This Row],[NAME]],Table5[#All],2,0),"")</f>
        <v/>
      </c>
    </row>
    <row r="1962" spans="1:3" x14ac:dyDescent="0.3">
      <c r="A1962" s="5" t="s">
        <v>2624</v>
      </c>
      <c r="B1962" t="s">
        <v>215</v>
      </c>
      <c r="C1962" t="str">
        <f>IFERROR(VLOOKUP(ILACLISTE[[#This Row],[NAME]],Table5[#All],2,0),"")</f>
        <v/>
      </c>
    </row>
    <row r="1963" spans="1:3" x14ac:dyDescent="0.3">
      <c r="A1963" s="5" t="s">
        <v>2625</v>
      </c>
      <c r="B1963" t="s">
        <v>216</v>
      </c>
      <c r="C1963" t="str">
        <f>IFERROR(VLOOKUP(ILACLISTE[[#This Row],[NAME]],Table5[#All],2,0),"")</f>
        <v/>
      </c>
    </row>
    <row r="1964" spans="1:3" x14ac:dyDescent="0.3">
      <c r="A1964" s="5" t="s">
        <v>2626</v>
      </c>
      <c r="B1964" t="s">
        <v>8417</v>
      </c>
      <c r="C1964" t="str">
        <f>IFERROR(VLOOKUP(ILACLISTE[[#This Row],[NAME]],Table5[#All],2,0),"")</f>
        <v/>
      </c>
    </row>
    <row r="1965" spans="1:3" x14ac:dyDescent="0.3">
      <c r="A1965" s="5" t="s">
        <v>2627</v>
      </c>
      <c r="B1965" t="s">
        <v>8418</v>
      </c>
      <c r="C1965" t="str">
        <f>IFERROR(VLOOKUP(ILACLISTE[[#This Row],[NAME]],Table5[#All],2,0),"")</f>
        <v/>
      </c>
    </row>
    <row r="1966" spans="1:3" x14ac:dyDescent="0.3">
      <c r="A1966" s="5" t="s">
        <v>2628</v>
      </c>
      <c r="B1966" t="s">
        <v>8419</v>
      </c>
      <c r="C1966" t="str">
        <f>IFERROR(VLOOKUP(ILACLISTE[[#This Row],[NAME]],Table5[#All],2,0),"")</f>
        <v/>
      </c>
    </row>
    <row r="1967" spans="1:3" x14ac:dyDescent="0.3">
      <c r="A1967" s="5" t="s">
        <v>2629</v>
      </c>
      <c r="B1967" t="s">
        <v>8420</v>
      </c>
      <c r="C1967" t="str">
        <f>IFERROR(VLOOKUP(ILACLISTE[[#This Row],[NAME]],Table5[#All],2,0),"")</f>
        <v/>
      </c>
    </row>
    <row r="1968" spans="1:3" x14ac:dyDescent="0.3">
      <c r="A1968" s="5" t="s">
        <v>2630</v>
      </c>
      <c r="B1968" t="s">
        <v>8421</v>
      </c>
      <c r="C1968" t="str">
        <f>IFERROR(VLOOKUP(ILACLISTE[[#This Row],[NAME]],Table5[#All],2,0),"")</f>
        <v/>
      </c>
    </row>
    <row r="1969" spans="1:3" x14ac:dyDescent="0.3">
      <c r="A1969" s="5" t="s">
        <v>2631</v>
      </c>
      <c r="B1969" t="s">
        <v>8422</v>
      </c>
      <c r="C1969" t="str">
        <f>IFERROR(VLOOKUP(ILACLISTE[[#This Row],[NAME]],Table5[#All],2,0),"")</f>
        <v/>
      </c>
    </row>
    <row r="1970" spans="1:3" x14ac:dyDescent="0.3">
      <c r="A1970" s="5" t="s">
        <v>2632</v>
      </c>
      <c r="B1970" t="s">
        <v>8423</v>
      </c>
      <c r="C1970" t="str">
        <f>IFERROR(VLOOKUP(ILACLISTE[[#This Row],[NAME]],Table5[#All],2,0),"")</f>
        <v/>
      </c>
    </row>
    <row r="1971" spans="1:3" x14ac:dyDescent="0.3">
      <c r="A1971" s="5" t="s">
        <v>2633</v>
      </c>
      <c r="B1971" t="s">
        <v>8424</v>
      </c>
      <c r="C1971" t="str">
        <f>IFERROR(VLOOKUP(ILACLISTE[[#This Row],[NAME]],Table5[#All],2,0),"")</f>
        <v/>
      </c>
    </row>
    <row r="1972" spans="1:3" x14ac:dyDescent="0.3">
      <c r="A1972" s="5" t="s">
        <v>2634</v>
      </c>
      <c r="B1972" t="s">
        <v>8425</v>
      </c>
      <c r="C1972" t="str">
        <f>IFERROR(VLOOKUP(ILACLISTE[[#This Row],[NAME]],Table5[#All],2,0),"")</f>
        <v/>
      </c>
    </row>
    <row r="1973" spans="1:3" x14ac:dyDescent="0.3">
      <c r="A1973" s="5" t="s">
        <v>2635</v>
      </c>
      <c r="B1973" t="s">
        <v>8426</v>
      </c>
      <c r="C1973" t="str">
        <f>IFERROR(VLOOKUP(ILACLISTE[[#This Row],[NAME]],Table5[#All],2,0),"")</f>
        <v/>
      </c>
    </row>
    <row r="1974" spans="1:3" x14ac:dyDescent="0.3">
      <c r="A1974" s="5" t="s">
        <v>2636</v>
      </c>
      <c r="B1974" t="s">
        <v>217</v>
      </c>
      <c r="C1974" t="str">
        <f>IFERROR(VLOOKUP(ILACLISTE[[#This Row],[NAME]],Table5[#All],2,0),"")</f>
        <v/>
      </c>
    </row>
    <row r="1975" spans="1:3" x14ac:dyDescent="0.3">
      <c r="A1975" s="5" t="s">
        <v>2637</v>
      </c>
      <c r="B1975" t="s">
        <v>218</v>
      </c>
      <c r="C1975" t="str">
        <f>IFERROR(VLOOKUP(ILACLISTE[[#This Row],[NAME]],Table5[#All],2,0),"")</f>
        <v/>
      </c>
    </row>
    <row r="1976" spans="1:3" x14ac:dyDescent="0.3">
      <c r="A1976" s="5" t="s">
        <v>2638</v>
      </c>
      <c r="B1976" t="s">
        <v>219</v>
      </c>
      <c r="C1976" t="str">
        <f>IFERROR(VLOOKUP(ILACLISTE[[#This Row],[NAME]],Table5[#All],2,0),"")</f>
        <v/>
      </c>
    </row>
    <row r="1977" spans="1:3" x14ac:dyDescent="0.3">
      <c r="A1977" s="5" t="s">
        <v>2639</v>
      </c>
      <c r="B1977" t="s">
        <v>8427</v>
      </c>
      <c r="C1977" t="str">
        <f>IFERROR(VLOOKUP(ILACLISTE[[#This Row],[NAME]],Table5[#All],2,0),"")</f>
        <v/>
      </c>
    </row>
    <row r="1978" spans="1:3" x14ac:dyDescent="0.3">
      <c r="A1978" s="5" t="s">
        <v>2640</v>
      </c>
      <c r="B1978" t="s">
        <v>8428</v>
      </c>
      <c r="C1978" t="str">
        <f>IFERROR(VLOOKUP(ILACLISTE[[#This Row],[NAME]],Table5[#All],2,0),"")</f>
        <v/>
      </c>
    </row>
    <row r="1979" spans="1:3" x14ac:dyDescent="0.3">
      <c r="A1979" s="5" t="s">
        <v>2641</v>
      </c>
      <c r="B1979" t="s">
        <v>220</v>
      </c>
      <c r="C1979" t="str">
        <f>IFERROR(VLOOKUP(ILACLISTE[[#This Row],[NAME]],Table5[#All],2,0),"")</f>
        <v/>
      </c>
    </row>
    <row r="1980" spans="1:3" x14ac:dyDescent="0.3">
      <c r="A1980" s="5" t="s">
        <v>2642</v>
      </c>
      <c r="B1980" t="s">
        <v>221</v>
      </c>
      <c r="C1980" t="str">
        <f>IFERROR(VLOOKUP(ILACLISTE[[#This Row],[NAME]],Table5[#All],2,0),"")</f>
        <v/>
      </c>
    </row>
    <row r="1981" spans="1:3" x14ac:dyDescent="0.3">
      <c r="A1981" s="5" t="s">
        <v>2643</v>
      </c>
      <c r="B1981" t="s">
        <v>222</v>
      </c>
      <c r="C1981" t="str">
        <f>IFERROR(VLOOKUP(ILACLISTE[[#This Row],[NAME]],Table5[#All],2,0),"")</f>
        <v/>
      </c>
    </row>
    <row r="1982" spans="1:3" x14ac:dyDescent="0.3">
      <c r="A1982" s="5" t="s">
        <v>2644</v>
      </c>
      <c r="B1982" t="s">
        <v>223</v>
      </c>
      <c r="C1982" t="str">
        <f>IFERROR(VLOOKUP(ILACLISTE[[#This Row],[NAME]],Table5[#All],2,0),"")</f>
        <v/>
      </c>
    </row>
    <row r="1983" spans="1:3" x14ac:dyDescent="0.3">
      <c r="A1983" s="5" t="s">
        <v>2645</v>
      </c>
      <c r="B1983" t="s">
        <v>224</v>
      </c>
      <c r="C1983" t="str">
        <f>IFERROR(VLOOKUP(ILACLISTE[[#This Row],[NAME]],Table5[#All],2,0),"")</f>
        <v/>
      </c>
    </row>
    <row r="1984" spans="1:3" x14ac:dyDescent="0.3">
      <c r="A1984" s="5" t="s">
        <v>2646</v>
      </c>
      <c r="B1984" t="s">
        <v>8429</v>
      </c>
      <c r="C1984" t="str">
        <f>IFERROR(VLOOKUP(ILACLISTE[[#This Row],[NAME]],Table5[#All],2,0),"")</f>
        <v/>
      </c>
    </row>
    <row r="1985" spans="1:3" x14ac:dyDescent="0.3">
      <c r="A1985" s="5" t="s">
        <v>2647</v>
      </c>
      <c r="B1985" t="s">
        <v>8430</v>
      </c>
      <c r="C1985" t="str">
        <f>IFERROR(VLOOKUP(ILACLISTE[[#This Row],[NAME]],Table5[#All],2,0),"")</f>
        <v/>
      </c>
    </row>
    <row r="1986" spans="1:3" x14ac:dyDescent="0.3">
      <c r="A1986" s="5" t="s">
        <v>2648</v>
      </c>
      <c r="B1986" t="s">
        <v>225</v>
      </c>
      <c r="C1986" t="str">
        <f>IFERROR(VLOOKUP(ILACLISTE[[#This Row],[NAME]],Table5[#All],2,0),"")</f>
        <v/>
      </c>
    </row>
    <row r="1987" spans="1:3" x14ac:dyDescent="0.3">
      <c r="A1987" s="5" t="s">
        <v>2649</v>
      </c>
      <c r="B1987" t="s">
        <v>226</v>
      </c>
      <c r="C1987" t="str">
        <f>IFERROR(VLOOKUP(ILACLISTE[[#This Row],[NAME]],Table5[#All],2,0),"")</f>
        <v/>
      </c>
    </row>
    <row r="1988" spans="1:3" x14ac:dyDescent="0.3">
      <c r="A1988" s="5" t="s">
        <v>2650</v>
      </c>
      <c r="B1988" t="s">
        <v>227</v>
      </c>
      <c r="C1988" t="str">
        <f>IFERROR(VLOOKUP(ILACLISTE[[#This Row],[NAME]],Table5[#All],2,0),"")</f>
        <v/>
      </c>
    </row>
    <row r="1989" spans="1:3" x14ac:dyDescent="0.3">
      <c r="A1989" s="5" t="s">
        <v>2651</v>
      </c>
      <c r="B1989" t="s">
        <v>228</v>
      </c>
      <c r="C1989" t="str">
        <f>IFERROR(VLOOKUP(ILACLISTE[[#This Row],[NAME]],Table5[#All],2,0),"")</f>
        <v/>
      </c>
    </row>
    <row r="1990" spans="1:3" x14ac:dyDescent="0.3">
      <c r="A1990" s="5" t="s">
        <v>2652</v>
      </c>
      <c r="B1990" t="s">
        <v>229</v>
      </c>
      <c r="C1990" t="str">
        <f>IFERROR(VLOOKUP(ILACLISTE[[#This Row],[NAME]],Table5[#All],2,0),"")</f>
        <v/>
      </c>
    </row>
    <row r="1991" spans="1:3" x14ac:dyDescent="0.3">
      <c r="A1991" s="5" t="s">
        <v>2653</v>
      </c>
      <c r="B1991" t="s">
        <v>230</v>
      </c>
      <c r="C1991" t="str">
        <f>IFERROR(VLOOKUP(ILACLISTE[[#This Row],[NAME]],Table5[#All],2,0),"")</f>
        <v/>
      </c>
    </row>
    <row r="1992" spans="1:3" x14ac:dyDescent="0.3">
      <c r="A1992" s="5" t="s">
        <v>2654</v>
      </c>
      <c r="B1992" t="s">
        <v>231</v>
      </c>
      <c r="C1992" t="str">
        <f>IFERROR(VLOOKUP(ILACLISTE[[#This Row],[NAME]],Table5[#All],2,0),"")</f>
        <v/>
      </c>
    </row>
    <row r="1993" spans="1:3" x14ac:dyDescent="0.3">
      <c r="A1993" s="5" t="s">
        <v>2655</v>
      </c>
      <c r="B1993" t="s">
        <v>232</v>
      </c>
      <c r="C1993" t="str">
        <f>IFERROR(VLOOKUP(ILACLISTE[[#This Row],[NAME]],Table5[#All],2,0),"")</f>
        <v/>
      </c>
    </row>
    <row r="1994" spans="1:3" x14ac:dyDescent="0.3">
      <c r="A1994" s="5" t="s">
        <v>2656</v>
      </c>
      <c r="B1994" t="s">
        <v>233</v>
      </c>
      <c r="C1994" t="str">
        <f>IFERROR(VLOOKUP(ILACLISTE[[#This Row],[NAME]],Table5[#All],2,0),"")</f>
        <v/>
      </c>
    </row>
    <row r="1995" spans="1:3" x14ac:dyDescent="0.3">
      <c r="A1995" s="5" t="s">
        <v>2657</v>
      </c>
      <c r="B1995" t="s">
        <v>234</v>
      </c>
      <c r="C1995" t="str">
        <f>IFERROR(VLOOKUP(ILACLISTE[[#This Row],[NAME]],Table5[#All],2,0),"")</f>
        <v/>
      </c>
    </row>
    <row r="1996" spans="1:3" x14ac:dyDescent="0.3">
      <c r="A1996" s="5" t="s">
        <v>2658</v>
      </c>
      <c r="B1996" t="s">
        <v>235</v>
      </c>
      <c r="C1996" t="str">
        <f>IFERROR(VLOOKUP(ILACLISTE[[#This Row],[NAME]],Table5[#All],2,0),"")</f>
        <v/>
      </c>
    </row>
    <row r="1997" spans="1:3" x14ac:dyDescent="0.3">
      <c r="A1997" s="5" t="s">
        <v>2659</v>
      </c>
      <c r="B1997" t="s">
        <v>236</v>
      </c>
      <c r="C1997" t="str">
        <f>IFERROR(VLOOKUP(ILACLISTE[[#This Row],[NAME]],Table5[#All],2,0),"")</f>
        <v/>
      </c>
    </row>
    <row r="1998" spans="1:3" x14ac:dyDescent="0.3">
      <c r="A1998" s="5" t="s">
        <v>2660</v>
      </c>
      <c r="B1998" t="s">
        <v>237</v>
      </c>
      <c r="C1998" t="str">
        <f>IFERROR(VLOOKUP(ILACLISTE[[#This Row],[NAME]],Table5[#All],2,0),"")</f>
        <v/>
      </c>
    </row>
    <row r="1999" spans="1:3" x14ac:dyDescent="0.3">
      <c r="A1999" s="5" t="s">
        <v>2661</v>
      </c>
      <c r="B1999" t="s">
        <v>238</v>
      </c>
      <c r="C1999" t="str">
        <f>IFERROR(VLOOKUP(ILACLISTE[[#This Row],[NAME]],Table5[#All],2,0),"")</f>
        <v/>
      </c>
    </row>
    <row r="2000" spans="1:3" x14ac:dyDescent="0.3">
      <c r="A2000" s="5" t="s">
        <v>2662</v>
      </c>
      <c r="B2000" t="s">
        <v>239</v>
      </c>
      <c r="C2000" t="str">
        <f>IFERROR(VLOOKUP(ILACLISTE[[#This Row],[NAME]],Table5[#All],2,0),"")</f>
        <v/>
      </c>
    </row>
    <row r="2001" spans="1:3" x14ac:dyDescent="0.3">
      <c r="A2001" s="5" t="s">
        <v>2663</v>
      </c>
      <c r="B2001" t="s">
        <v>240</v>
      </c>
      <c r="C2001" t="str">
        <f>IFERROR(VLOOKUP(ILACLISTE[[#This Row],[NAME]],Table5[#All],2,0),"")</f>
        <v/>
      </c>
    </row>
    <row r="2002" spans="1:3" x14ac:dyDescent="0.3">
      <c r="A2002" s="5" t="s">
        <v>2664</v>
      </c>
      <c r="B2002" t="s">
        <v>241</v>
      </c>
      <c r="C2002" t="str">
        <f>IFERROR(VLOOKUP(ILACLISTE[[#This Row],[NAME]],Table5[#All],2,0),"")</f>
        <v/>
      </c>
    </row>
    <row r="2003" spans="1:3" x14ac:dyDescent="0.3">
      <c r="A2003" s="5" t="s">
        <v>2665</v>
      </c>
      <c r="B2003" t="s">
        <v>242</v>
      </c>
      <c r="C2003" t="str">
        <f>IFERROR(VLOOKUP(ILACLISTE[[#This Row],[NAME]],Table5[#All],2,0),"")</f>
        <v/>
      </c>
    </row>
    <row r="2004" spans="1:3" x14ac:dyDescent="0.3">
      <c r="A2004" s="5" t="s">
        <v>2666</v>
      </c>
      <c r="B2004" t="s">
        <v>243</v>
      </c>
      <c r="C2004" t="str">
        <f>IFERROR(VLOOKUP(ILACLISTE[[#This Row],[NAME]],Table5[#All],2,0),"")</f>
        <v/>
      </c>
    </row>
    <row r="2005" spans="1:3" x14ac:dyDescent="0.3">
      <c r="A2005" s="5" t="s">
        <v>2667</v>
      </c>
      <c r="B2005" t="s">
        <v>8431</v>
      </c>
      <c r="C2005" t="str">
        <f>IFERROR(VLOOKUP(ILACLISTE[[#This Row],[NAME]],Table5[#All],2,0),"")</f>
        <v/>
      </c>
    </row>
    <row r="2006" spans="1:3" x14ac:dyDescent="0.3">
      <c r="A2006" s="5" t="s">
        <v>2668</v>
      </c>
      <c r="B2006" t="s">
        <v>8432</v>
      </c>
      <c r="C2006" t="str">
        <f>IFERROR(VLOOKUP(ILACLISTE[[#This Row],[NAME]],Table5[#All],2,0),"")</f>
        <v/>
      </c>
    </row>
    <row r="2007" spans="1:3" x14ac:dyDescent="0.3">
      <c r="A2007" s="5" t="s">
        <v>2669</v>
      </c>
      <c r="B2007" t="s">
        <v>8433</v>
      </c>
      <c r="C2007" t="str">
        <f>IFERROR(VLOOKUP(ILACLISTE[[#This Row],[NAME]],Table5[#All],2,0),"")</f>
        <v/>
      </c>
    </row>
    <row r="2008" spans="1:3" x14ac:dyDescent="0.3">
      <c r="A2008" s="5" t="s">
        <v>2670</v>
      </c>
      <c r="B2008" t="s">
        <v>8434</v>
      </c>
      <c r="C2008" t="str">
        <f>IFERROR(VLOOKUP(ILACLISTE[[#This Row],[NAME]],Table5[#All],2,0),"")</f>
        <v/>
      </c>
    </row>
    <row r="2009" spans="1:3" x14ac:dyDescent="0.3">
      <c r="A2009" s="5" t="s">
        <v>2671</v>
      </c>
      <c r="B2009" t="s">
        <v>8435</v>
      </c>
      <c r="C2009" t="str">
        <f>IFERROR(VLOOKUP(ILACLISTE[[#This Row],[NAME]],Table5[#All],2,0),"")</f>
        <v/>
      </c>
    </row>
    <row r="2010" spans="1:3" x14ac:dyDescent="0.3">
      <c r="A2010" s="5" t="s">
        <v>2672</v>
      </c>
      <c r="B2010" t="s">
        <v>244</v>
      </c>
      <c r="C2010" t="str">
        <f>IFERROR(VLOOKUP(ILACLISTE[[#This Row],[NAME]],Table5[#All],2,0),"")</f>
        <v/>
      </c>
    </row>
    <row r="2011" spans="1:3" x14ac:dyDescent="0.3">
      <c r="A2011" s="5" t="s">
        <v>2673</v>
      </c>
      <c r="B2011" t="s">
        <v>245</v>
      </c>
      <c r="C2011" t="str">
        <f>IFERROR(VLOOKUP(ILACLISTE[[#This Row],[NAME]],Table5[#All],2,0),"")</f>
        <v/>
      </c>
    </row>
    <row r="2012" spans="1:3" x14ac:dyDescent="0.3">
      <c r="A2012" s="5" t="s">
        <v>2674</v>
      </c>
      <c r="B2012" t="s">
        <v>246</v>
      </c>
      <c r="C2012" t="str">
        <f>IFERROR(VLOOKUP(ILACLISTE[[#This Row],[NAME]],Table5[#All],2,0),"")</f>
        <v/>
      </c>
    </row>
    <row r="2013" spans="1:3" x14ac:dyDescent="0.3">
      <c r="A2013" s="5" t="s">
        <v>2675</v>
      </c>
      <c r="B2013" t="s">
        <v>8436</v>
      </c>
      <c r="C2013" t="str">
        <f>IFERROR(VLOOKUP(ILACLISTE[[#This Row],[NAME]],Table5[#All],2,0),"")</f>
        <v/>
      </c>
    </row>
    <row r="2014" spans="1:3" x14ac:dyDescent="0.3">
      <c r="A2014" s="5" t="s">
        <v>2676</v>
      </c>
      <c r="B2014" t="s">
        <v>8437</v>
      </c>
      <c r="C2014" t="str">
        <f>IFERROR(VLOOKUP(ILACLISTE[[#This Row],[NAME]],Table5[#All],2,0),"")</f>
        <v/>
      </c>
    </row>
    <row r="2015" spans="1:3" x14ac:dyDescent="0.3">
      <c r="A2015" s="5" t="s">
        <v>2677</v>
      </c>
      <c r="B2015" t="s">
        <v>247</v>
      </c>
      <c r="C2015" t="str">
        <f>IFERROR(VLOOKUP(ILACLISTE[[#This Row],[NAME]],Table5[#All],2,0),"")</f>
        <v/>
      </c>
    </row>
    <row r="2016" spans="1:3" x14ac:dyDescent="0.3">
      <c r="A2016" s="5" t="s">
        <v>2678</v>
      </c>
      <c r="B2016" t="s">
        <v>8438</v>
      </c>
      <c r="C2016" t="str">
        <f>IFERROR(VLOOKUP(ILACLISTE[[#This Row],[NAME]],Table5[#All],2,0),"")</f>
        <v/>
      </c>
    </row>
    <row r="2017" spans="1:3" x14ac:dyDescent="0.3">
      <c r="A2017" s="5" t="s">
        <v>2679</v>
      </c>
      <c r="B2017" t="s">
        <v>8439</v>
      </c>
      <c r="C2017" t="str">
        <f>IFERROR(VLOOKUP(ILACLISTE[[#This Row],[NAME]],Table5[#All],2,0),"")</f>
        <v/>
      </c>
    </row>
    <row r="2018" spans="1:3" x14ac:dyDescent="0.3">
      <c r="A2018" s="5" t="s">
        <v>2680</v>
      </c>
      <c r="B2018" t="s">
        <v>8440</v>
      </c>
      <c r="C2018" t="str">
        <f>IFERROR(VLOOKUP(ILACLISTE[[#This Row],[NAME]],Table5[#All],2,0),"")</f>
        <v/>
      </c>
    </row>
    <row r="2019" spans="1:3" x14ac:dyDescent="0.3">
      <c r="A2019" s="5" t="s">
        <v>2681</v>
      </c>
      <c r="B2019" t="s">
        <v>8441</v>
      </c>
      <c r="C2019" t="str">
        <f>IFERROR(VLOOKUP(ILACLISTE[[#This Row],[NAME]],Table5[#All],2,0),"")</f>
        <v/>
      </c>
    </row>
    <row r="2020" spans="1:3" x14ac:dyDescent="0.3">
      <c r="A2020" s="5" t="s">
        <v>2682</v>
      </c>
      <c r="B2020" t="s">
        <v>8442</v>
      </c>
      <c r="C2020" t="str">
        <f>IFERROR(VLOOKUP(ILACLISTE[[#This Row],[NAME]],Table5[#All],2,0),"")</f>
        <v/>
      </c>
    </row>
    <row r="2021" spans="1:3" x14ac:dyDescent="0.3">
      <c r="A2021" s="5" t="s">
        <v>2683</v>
      </c>
      <c r="B2021" t="s">
        <v>8443</v>
      </c>
      <c r="C2021" t="str">
        <f>IFERROR(VLOOKUP(ILACLISTE[[#This Row],[NAME]],Table5[#All],2,0),"")</f>
        <v/>
      </c>
    </row>
    <row r="2022" spans="1:3" x14ac:dyDescent="0.3">
      <c r="A2022" s="5" t="s">
        <v>2684</v>
      </c>
      <c r="B2022" t="s">
        <v>8444</v>
      </c>
      <c r="C2022" t="str">
        <f>IFERROR(VLOOKUP(ILACLISTE[[#This Row],[NAME]],Table5[#All],2,0),"")</f>
        <v/>
      </c>
    </row>
    <row r="2023" spans="1:3" x14ac:dyDescent="0.3">
      <c r="A2023" s="5" t="s">
        <v>2685</v>
      </c>
      <c r="B2023" t="s">
        <v>8445</v>
      </c>
      <c r="C2023" t="str">
        <f>IFERROR(VLOOKUP(ILACLISTE[[#This Row],[NAME]],Table5[#All],2,0),"")</f>
        <v/>
      </c>
    </row>
    <row r="2024" spans="1:3" x14ac:dyDescent="0.3">
      <c r="A2024" s="5" t="s">
        <v>2686</v>
      </c>
      <c r="B2024" t="s">
        <v>8446</v>
      </c>
      <c r="C2024" t="str">
        <f>IFERROR(VLOOKUP(ILACLISTE[[#This Row],[NAME]],Table5[#All],2,0),"")</f>
        <v/>
      </c>
    </row>
    <row r="2025" spans="1:3" x14ac:dyDescent="0.3">
      <c r="A2025" s="5" t="s">
        <v>2687</v>
      </c>
      <c r="B2025" t="s">
        <v>8447</v>
      </c>
      <c r="C2025" t="str">
        <f>IFERROR(VLOOKUP(ILACLISTE[[#This Row],[NAME]],Table5[#All],2,0),"")</f>
        <v/>
      </c>
    </row>
    <row r="2026" spans="1:3" x14ac:dyDescent="0.3">
      <c r="A2026" s="5" t="s">
        <v>2688</v>
      </c>
      <c r="B2026" t="s">
        <v>8448</v>
      </c>
      <c r="C2026" t="str">
        <f>IFERROR(VLOOKUP(ILACLISTE[[#This Row],[NAME]],Table5[#All],2,0),"")</f>
        <v/>
      </c>
    </row>
    <row r="2027" spans="1:3" x14ac:dyDescent="0.3">
      <c r="A2027" s="5" t="s">
        <v>2689</v>
      </c>
      <c r="B2027" t="s">
        <v>248</v>
      </c>
      <c r="C2027" t="str">
        <f>IFERROR(VLOOKUP(ILACLISTE[[#This Row],[NAME]],Table5[#All],2,0),"")</f>
        <v/>
      </c>
    </row>
    <row r="2028" spans="1:3" x14ac:dyDescent="0.3">
      <c r="A2028" s="5" t="s">
        <v>2690</v>
      </c>
      <c r="B2028" t="s">
        <v>8449</v>
      </c>
      <c r="C2028" t="str">
        <f>IFERROR(VLOOKUP(ILACLISTE[[#This Row],[NAME]],Table5[#All],2,0),"")</f>
        <v/>
      </c>
    </row>
    <row r="2029" spans="1:3" x14ac:dyDescent="0.3">
      <c r="A2029" s="5" t="s">
        <v>2691</v>
      </c>
      <c r="B2029" t="s">
        <v>8450</v>
      </c>
      <c r="C2029" t="str">
        <f>IFERROR(VLOOKUP(ILACLISTE[[#This Row],[NAME]],Table5[#All],2,0),"")</f>
        <v/>
      </c>
    </row>
    <row r="2030" spans="1:3" x14ac:dyDescent="0.3">
      <c r="A2030" s="5" t="s">
        <v>2692</v>
      </c>
      <c r="B2030" t="s">
        <v>8451</v>
      </c>
      <c r="C2030" t="str">
        <f>IFERROR(VLOOKUP(ILACLISTE[[#This Row],[NAME]],Table5[#All],2,0),"")</f>
        <v/>
      </c>
    </row>
    <row r="2031" spans="1:3" x14ac:dyDescent="0.3">
      <c r="A2031" s="5" t="s">
        <v>2693</v>
      </c>
      <c r="B2031" t="s">
        <v>8452</v>
      </c>
      <c r="C2031" t="str">
        <f>IFERROR(VLOOKUP(ILACLISTE[[#This Row],[NAME]],Table5[#All],2,0),"")</f>
        <v/>
      </c>
    </row>
    <row r="2032" spans="1:3" x14ac:dyDescent="0.3">
      <c r="A2032" s="5" t="s">
        <v>2694</v>
      </c>
      <c r="B2032" t="s">
        <v>8453</v>
      </c>
      <c r="C2032" t="str">
        <f>IFERROR(VLOOKUP(ILACLISTE[[#This Row],[NAME]],Table5[#All],2,0),"")</f>
        <v/>
      </c>
    </row>
    <row r="2033" spans="1:3" x14ac:dyDescent="0.3">
      <c r="A2033" s="5" t="s">
        <v>2695</v>
      </c>
      <c r="B2033" t="s">
        <v>249</v>
      </c>
      <c r="C2033" t="str">
        <f>IFERROR(VLOOKUP(ILACLISTE[[#This Row],[NAME]],Table5[#All],2,0),"")</f>
        <v/>
      </c>
    </row>
    <row r="2034" spans="1:3" x14ac:dyDescent="0.3">
      <c r="A2034" s="5" t="s">
        <v>2696</v>
      </c>
      <c r="B2034" t="s">
        <v>250</v>
      </c>
      <c r="C2034" t="str">
        <f>IFERROR(VLOOKUP(ILACLISTE[[#This Row],[NAME]],Table5[#All],2,0),"")</f>
        <v/>
      </c>
    </row>
    <row r="2035" spans="1:3" x14ac:dyDescent="0.3">
      <c r="A2035" s="5" t="s">
        <v>2697</v>
      </c>
      <c r="B2035" t="s">
        <v>8454</v>
      </c>
      <c r="C2035" t="str">
        <f>IFERROR(VLOOKUP(ILACLISTE[[#This Row],[NAME]],Table5[#All],2,0),"")</f>
        <v/>
      </c>
    </row>
    <row r="2036" spans="1:3" x14ac:dyDescent="0.3">
      <c r="A2036" s="5" t="s">
        <v>2698</v>
      </c>
      <c r="B2036" t="s">
        <v>8455</v>
      </c>
      <c r="C2036" t="str">
        <f>IFERROR(VLOOKUP(ILACLISTE[[#This Row],[NAME]],Table5[#All],2,0),"")</f>
        <v/>
      </c>
    </row>
    <row r="2037" spans="1:3" x14ac:dyDescent="0.3">
      <c r="A2037" s="5" t="s">
        <v>2699</v>
      </c>
      <c r="B2037" t="s">
        <v>8456</v>
      </c>
      <c r="C2037" t="str">
        <f>IFERROR(VLOOKUP(ILACLISTE[[#This Row],[NAME]],Table5[#All],2,0),"")</f>
        <v/>
      </c>
    </row>
    <row r="2038" spans="1:3" x14ac:dyDescent="0.3">
      <c r="A2038" s="5" t="s">
        <v>2700</v>
      </c>
      <c r="B2038" t="s">
        <v>8457</v>
      </c>
      <c r="C2038" t="str">
        <f>IFERROR(VLOOKUP(ILACLISTE[[#This Row],[NAME]],Table5[#All],2,0),"")</f>
        <v/>
      </c>
    </row>
    <row r="2039" spans="1:3" x14ac:dyDescent="0.3">
      <c r="A2039" s="5" t="s">
        <v>2701</v>
      </c>
      <c r="B2039" t="s">
        <v>251</v>
      </c>
      <c r="C2039" t="str">
        <f>IFERROR(VLOOKUP(ILACLISTE[[#This Row],[NAME]],Table5[#All],2,0),"")</f>
        <v/>
      </c>
    </row>
    <row r="2040" spans="1:3" x14ac:dyDescent="0.3">
      <c r="A2040" s="5" t="s">
        <v>2702</v>
      </c>
      <c r="B2040" t="s">
        <v>252</v>
      </c>
      <c r="C2040" t="str">
        <f>IFERROR(VLOOKUP(ILACLISTE[[#This Row],[NAME]],Table5[#All],2,0),"")</f>
        <v/>
      </c>
    </row>
    <row r="2041" spans="1:3" x14ac:dyDescent="0.3">
      <c r="A2041" s="5" t="s">
        <v>2703</v>
      </c>
      <c r="B2041" t="s">
        <v>8458</v>
      </c>
      <c r="C2041" t="str">
        <f>IFERROR(VLOOKUP(ILACLISTE[[#This Row],[NAME]],Table5[#All],2,0),"")</f>
        <v/>
      </c>
    </row>
    <row r="2042" spans="1:3" x14ac:dyDescent="0.3">
      <c r="A2042" s="5" t="s">
        <v>2704</v>
      </c>
      <c r="B2042" t="s">
        <v>8459</v>
      </c>
      <c r="C2042" t="str">
        <f>IFERROR(VLOOKUP(ILACLISTE[[#This Row],[NAME]],Table5[#All],2,0),"")</f>
        <v/>
      </c>
    </row>
    <row r="2043" spans="1:3" x14ac:dyDescent="0.3">
      <c r="A2043" s="5" t="s">
        <v>2705</v>
      </c>
      <c r="B2043" t="s">
        <v>8460</v>
      </c>
      <c r="C2043" t="str">
        <f>IFERROR(VLOOKUP(ILACLISTE[[#This Row],[NAME]],Table5[#All],2,0),"")</f>
        <v/>
      </c>
    </row>
    <row r="2044" spans="1:3" x14ac:dyDescent="0.3">
      <c r="A2044" s="5" t="s">
        <v>2706</v>
      </c>
      <c r="B2044" t="s">
        <v>8461</v>
      </c>
      <c r="C2044" t="str">
        <f>IFERROR(VLOOKUP(ILACLISTE[[#This Row],[NAME]],Table5[#All],2,0),"")</f>
        <v/>
      </c>
    </row>
    <row r="2045" spans="1:3" x14ac:dyDescent="0.3">
      <c r="A2045" s="5" t="s">
        <v>2707</v>
      </c>
      <c r="B2045" t="s">
        <v>8462</v>
      </c>
      <c r="C2045" t="str">
        <f>IFERROR(VLOOKUP(ILACLISTE[[#This Row],[NAME]],Table5[#All],2,0),"")</f>
        <v/>
      </c>
    </row>
    <row r="2046" spans="1:3" x14ac:dyDescent="0.3">
      <c r="A2046" s="5" t="s">
        <v>2708</v>
      </c>
      <c r="B2046" t="s">
        <v>8463</v>
      </c>
      <c r="C2046" t="str">
        <f>IFERROR(VLOOKUP(ILACLISTE[[#This Row],[NAME]],Table5[#All],2,0),"")</f>
        <v/>
      </c>
    </row>
    <row r="2047" spans="1:3" x14ac:dyDescent="0.3">
      <c r="A2047" s="5" t="s">
        <v>2709</v>
      </c>
      <c r="B2047" t="s">
        <v>8464</v>
      </c>
      <c r="C2047" t="str">
        <f>IFERROR(VLOOKUP(ILACLISTE[[#This Row],[NAME]],Table5[#All],2,0),"")</f>
        <v/>
      </c>
    </row>
    <row r="2048" spans="1:3" x14ac:dyDescent="0.3">
      <c r="A2048" s="5" t="s">
        <v>2710</v>
      </c>
      <c r="B2048" t="s">
        <v>253</v>
      </c>
      <c r="C2048" t="str">
        <f>IFERROR(VLOOKUP(ILACLISTE[[#This Row],[NAME]],Table5[#All],2,0),"")</f>
        <v/>
      </c>
    </row>
    <row r="2049" spans="1:3" x14ac:dyDescent="0.3">
      <c r="A2049" s="5" t="s">
        <v>2711</v>
      </c>
      <c r="B2049" t="s">
        <v>8465</v>
      </c>
      <c r="C2049" t="str">
        <f>IFERROR(VLOOKUP(ILACLISTE[[#This Row],[NAME]],Table5[#All],2,0),"")</f>
        <v/>
      </c>
    </row>
    <row r="2050" spans="1:3" x14ac:dyDescent="0.3">
      <c r="A2050" s="5" t="s">
        <v>2712</v>
      </c>
      <c r="B2050" t="s">
        <v>8466</v>
      </c>
      <c r="C2050" t="str">
        <f>IFERROR(VLOOKUP(ILACLISTE[[#This Row],[NAME]],Table5[#All],2,0),"")</f>
        <v/>
      </c>
    </row>
    <row r="2051" spans="1:3" x14ac:dyDescent="0.3">
      <c r="A2051" s="5" t="s">
        <v>2713</v>
      </c>
      <c r="B2051" t="s">
        <v>254</v>
      </c>
      <c r="C2051" t="str">
        <f>IFERROR(VLOOKUP(ILACLISTE[[#This Row],[NAME]],Table5[#All],2,0),"")</f>
        <v/>
      </c>
    </row>
    <row r="2052" spans="1:3" x14ac:dyDescent="0.3">
      <c r="A2052" s="5" t="s">
        <v>2714</v>
      </c>
      <c r="B2052" t="s">
        <v>8467</v>
      </c>
      <c r="C2052" t="str">
        <f>IFERROR(VLOOKUP(ILACLISTE[[#This Row],[NAME]],Table5[#All],2,0),"")</f>
        <v/>
      </c>
    </row>
    <row r="2053" spans="1:3" x14ac:dyDescent="0.3">
      <c r="A2053" s="5" t="s">
        <v>2715</v>
      </c>
      <c r="B2053" t="s">
        <v>8468</v>
      </c>
      <c r="C2053" t="str">
        <f>IFERROR(VLOOKUP(ILACLISTE[[#This Row],[NAME]],Table5[#All],2,0),"")</f>
        <v/>
      </c>
    </row>
    <row r="2054" spans="1:3" x14ac:dyDescent="0.3">
      <c r="A2054" s="5" t="s">
        <v>2716</v>
      </c>
      <c r="B2054" t="s">
        <v>8469</v>
      </c>
      <c r="C2054" t="str">
        <f>IFERROR(VLOOKUP(ILACLISTE[[#This Row],[NAME]],Table5[#All],2,0),"")</f>
        <v/>
      </c>
    </row>
    <row r="2055" spans="1:3" x14ac:dyDescent="0.3">
      <c r="A2055" s="5" t="s">
        <v>2717</v>
      </c>
      <c r="B2055" t="s">
        <v>8470</v>
      </c>
      <c r="C2055" t="str">
        <f>IFERROR(VLOOKUP(ILACLISTE[[#This Row],[NAME]],Table5[#All],2,0),"")</f>
        <v/>
      </c>
    </row>
    <row r="2056" spans="1:3" x14ac:dyDescent="0.3">
      <c r="A2056" s="5" t="s">
        <v>2718</v>
      </c>
      <c r="B2056" t="s">
        <v>8471</v>
      </c>
      <c r="C2056" t="str">
        <f>IFERROR(VLOOKUP(ILACLISTE[[#This Row],[NAME]],Table5[#All],2,0),"")</f>
        <v/>
      </c>
    </row>
    <row r="2057" spans="1:3" x14ac:dyDescent="0.3">
      <c r="A2057" s="5" t="s">
        <v>2719</v>
      </c>
      <c r="B2057" t="s">
        <v>8472</v>
      </c>
      <c r="C2057" t="str">
        <f>IFERROR(VLOOKUP(ILACLISTE[[#This Row],[NAME]],Table5[#All],2,0),"")</f>
        <v/>
      </c>
    </row>
    <row r="2058" spans="1:3" x14ac:dyDescent="0.3">
      <c r="A2058" s="5" t="s">
        <v>2720</v>
      </c>
      <c r="B2058" t="s">
        <v>255</v>
      </c>
      <c r="C2058" t="str">
        <f>IFERROR(VLOOKUP(ILACLISTE[[#This Row],[NAME]],Table5[#All],2,0),"")</f>
        <v/>
      </c>
    </row>
    <row r="2059" spans="1:3" x14ac:dyDescent="0.3">
      <c r="A2059" s="5" t="s">
        <v>2721</v>
      </c>
      <c r="B2059" t="s">
        <v>8473</v>
      </c>
      <c r="C2059" t="str">
        <f>IFERROR(VLOOKUP(ILACLISTE[[#This Row],[NAME]],Table5[#All],2,0),"")</f>
        <v/>
      </c>
    </row>
    <row r="2060" spans="1:3" x14ac:dyDescent="0.3">
      <c r="A2060" s="5" t="s">
        <v>2722</v>
      </c>
      <c r="B2060" t="s">
        <v>8474</v>
      </c>
      <c r="C2060" t="str">
        <f>IFERROR(VLOOKUP(ILACLISTE[[#This Row],[NAME]],Table5[#All],2,0),"")</f>
        <v/>
      </c>
    </row>
    <row r="2061" spans="1:3" x14ac:dyDescent="0.3">
      <c r="A2061" s="5" t="s">
        <v>2723</v>
      </c>
      <c r="B2061" t="s">
        <v>8475</v>
      </c>
      <c r="C2061" t="str">
        <f>IFERROR(VLOOKUP(ILACLISTE[[#This Row],[NAME]],Table5[#All],2,0),"")</f>
        <v/>
      </c>
    </row>
    <row r="2062" spans="1:3" x14ac:dyDescent="0.3">
      <c r="A2062" s="5" t="s">
        <v>2724</v>
      </c>
      <c r="B2062" t="s">
        <v>256</v>
      </c>
      <c r="C2062" t="str">
        <f>IFERROR(VLOOKUP(ILACLISTE[[#This Row],[NAME]],Table5[#All],2,0),"")</f>
        <v/>
      </c>
    </row>
    <row r="2063" spans="1:3" x14ac:dyDescent="0.3">
      <c r="A2063" s="5" t="s">
        <v>2725</v>
      </c>
      <c r="B2063" t="s">
        <v>8476</v>
      </c>
      <c r="C2063" t="str">
        <f>IFERROR(VLOOKUP(ILACLISTE[[#This Row],[NAME]],Table5[#All],2,0),"")</f>
        <v/>
      </c>
    </row>
    <row r="2064" spans="1:3" x14ac:dyDescent="0.3">
      <c r="A2064" s="5" t="s">
        <v>2726</v>
      </c>
      <c r="B2064" t="s">
        <v>8477</v>
      </c>
      <c r="C2064" t="str">
        <f>IFERROR(VLOOKUP(ILACLISTE[[#This Row],[NAME]],Table5[#All],2,0),"")</f>
        <v/>
      </c>
    </row>
    <row r="2065" spans="1:3" x14ac:dyDescent="0.3">
      <c r="A2065" s="5" t="s">
        <v>2727</v>
      </c>
      <c r="B2065" t="s">
        <v>8478</v>
      </c>
      <c r="C2065" t="str">
        <f>IFERROR(VLOOKUP(ILACLISTE[[#This Row],[NAME]],Table5[#All],2,0),"")</f>
        <v/>
      </c>
    </row>
    <row r="2066" spans="1:3" x14ac:dyDescent="0.3">
      <c r="A2066" s="5" t="s">
        <v>2728</v>
      </c>
      <c r="B2066" t="s">
        <v>8479</v>
      </c>
      <c r="C2066" t="str">
        <f>IFERROR(VLOOKUP(ILACLISTE[[#This Row],[NAME]],Table5[#All],2,0),"")</f>
        <v/>
      </c>
    </row>
    <row r="2067" spans="1:3" x14ac:dyDescent="0.3">
      <c r="A2067" s="5" t="s">
        <v>2729</v>
      </c>
      <c r="B2067" t="s">
        <v>8480</v>
      </c>
      <c r="C2067" t="str">
        <f>IFERROR(VLOOKUP(ILACLISTE[[#This Row],[NAME]],Table5[#All],2,0),"")</f>
        <v/>
      </c>
    </row>
    <row r="2068" spans="1:3" x14ac:dyDescent="0.3">
      <c r="A2068" s="5" t="s">
        <v>2730</v>
      </c>
      <c r="B2068" t="s">
        <v>8481</v>
      </c>
      <c r="C2068" t="str">
        <f>IFERROR(VLOOKUP(ILACLISTE[[#This Row],[NAME]],Table5[#All],2,0),"")</f>
        <v/>
      </c>
    </row>
    <row r="2069" spans="1:3" x14ac:dyDescent="0.3">
      <c r="A2069" s="5" t="s">
        <v>2731</v>
      </c>
      <c r="B2069" t="s">
        <v>8482</v>
      </c>
      <c r="C2069" t="str">
        <f>IFERROR(VLOOKUP(ILACLISTE[[#This Row],[NAME]],Table5[#All],2,0),"")</f>
        <v/>
      </c>
    </row>
    <row r="2070" spans="1:3" x14ac:dyDescent="0.3">
      <c r="A2070" s="5" t="s">
        <v>2732</v>
      </c>
      <c r="B2070" t="s">
        <v>8483</v>
      </c>
      <c r="C2070" t="str">
        <f>IFERROR(VLOOKUP(ILACLISTE[[#This Row],[NAME]],Table5[#All],2,0),"")</f>
        <v/>
      </c>
    </row>
    <row r="2071" spans="1:3" x14ac:dyDescent="0.3">
      <c r="A2071" s="5" t="s">
        <v>2733</v>
      </c>
      <c r="B2071" t="s">
        <v>8484</v>
      </c>
      <c r="C2071" t="str">
        <f>IFERROR(VLOOKUP(ILACLISTE[[#This Row],[NAME]],Table5[#All],2,0),"")</f>
        <v/>
      </c>
    </row>
    <row r="2072" spans="1:3" x14ac:dyDescent="0.3">
      <c r="A2072" s="5" t="s">
        <v>2734</v>
      </c>
      <c r="B2072" t="s">
        <v>8485</v>
      </c>
      <c r="C2072" t="str">
        <f>IFERROR(VLOOKUP(ILACLISTE[[#This Row],[NAME]],Table5[#All],2,0),"")</f>
        <v/>
      </c>
    </row>
    <row r="2073" spans="1:3" x14ac:dyDescent="0.3">
      <c r="A2073" s="5" t="s">
        <v>2735</v>
      </c>
      <c r="B2073" t="s">
        <v>8486</v>
      </c>
      <c r="C2073" t="str">
        <f>IFERROR(VLOOKUP(ILACLISTE[[#This Row],[NAME]],Table5[#All],2,0),"")</f>
        <v/>
      </c>
    </row>
    <row r="2074" spans="1:3" x14ac:dyDescent="0.3">
      <c r="A2074" s="5" t="s">
        <v>2736</v>
      </c>
      <c r="B2074" t="s">
        <v>8487</v>
      </c>
      <c r="C2074" t="str">
        <f>IFERROR(VLOOKUP(ILACLISTE[[#This Row],[NAME]],Table5[#All],2,0),"")</f>
        <v/>
      </c>
    </row>
    <row r="2075" spans="1:3" x14ac:dyDescent="0.3">
      <c r="A2075" s="5" t="s">
        <v>2737</v>
      </c>
      <c r="B2075" t="s">
        <v>8488</v>
      </c>
      <c r="C2075" t="str">
        <f>IFERROR(VLOOKUP(ILACLISTE[[#This Row],[NAME]],Table5[#All],2,0),"")</f>
        <v/>
      </c>
    </row>
    <row r="2076" spans="1:3" x14ac:dyDescent="0.3">
      <c r="A2076" s="5" t="s">
        <v>2738</v>
      </c>
      <c r="B2076" t="s">
        <v>8489</v>
      </c>
      <c r="C2076" t="str">
        <f>IFERROR(VLOOKUP(ILACLISTE[[#This Row],[NAME]],Table5[#All],2,0),"")</f>
        <v/>
      </c>
    </row>
    <row r="2077" spans="1:3" x14ac:dyDescent="0.3">
      <c r="A2077" s="5" t="s">
        <v>2739</v>
      </c>
      <c r="B2077" t="s">
        <v>8490</v>
      </c>
      <c r="C2077" t="str">
        <f>IFERROR(VLOOKUP(ILACLISTE[[#This Row],[NAME]],Table5[#All],2,0),"")</f>
        <v/>
      </c>
    </row>
    <row r="2078" spans="1:3" x14ac:dyDescent="0.3">
      <c r="A2078" s="5" t="s">
        <v>2740</v>
      </c>
      <c r="B2078" t="s">
        <v>8491</v>
      </c>
      <c r="C2078" t="str">
        <f>IFERROR(VLOOKUP(ILACLISTE[[#This Row],[NAME]],Table5[#All],2,0),"")</f>
        <v/>
      </c>
    </row>
    <row r="2079" spans="1:3" x14ac:dyDescent="0.3">
      <c r="A2079" s="5" t="s">
        <v>2741</v>
      </c>
      <c r="B2079" t="s">
        <v>8492</v>
      </c>
      <c r="C2079" t="str">
        <f>IFERROR(VLOOKUP(ILACLISTE[[#This Row],[NAME]],Table5[#All],2,0),"")</f>
        <v/>
      </c>
    </row>
    <row r="2080" spans="1:3" x14ac:dyDescent="0.3">
      <c r="A2080" s="5" t="s">
        <v>2742</v>
      </c>
      <c r="B2080" t="s">
        <v>8493</v>
      </c>
      <c r="C2080" t="str">
        <f>IFERROR(VLOOKUP(ILACLISTE[[#This Row],[NAME]],Table5[#All],2,0),"")</f>
        <v/>
      </c>
    </row>
    <row r="2081" spans="1:3" x14ac:dyDescent="0.3">
      <c r="A2081" s="5" t="s">
        <v>2743</v>
      </c>
      <c r="B2081" t="s">
        <v>8494</v>
      </c>
      <c r="C2081" t="str">
        <f>IFERROR(VLOOKUP(ILACLISTE[[#This Row],[NAME]],Table5[#All],2,0),"")</f>
        <v/>
      </c>
    </row>
    <row r="2082" spans="1:3" x14ac:dyDescent="0.3">
      <c r="A2082" s="5" t="s">
        <v>2744</v>
      </c>
      <c r="B2082" t="s">
        <v>8495</v>
      </c>
      <c r="C2082" t="str">
        <f>IFERROR(VLOOKUP(ILACLISTE[[#This Row],[NAME]],Table5[#All],2,0),"")</f>
        <v/>
      </c>
    </row>
    <row r="2083" spans="1:3" x14ac:dyDescent="0.3">
      <c r="A2083" s="5" t="s">
        <v>2745</v>
      </c>
      <c r="B2083" t="s">
        <v>8496</v>
      </c>
      <c r="C2083" t="str">
        <f>IFERROR(VLOOKUP(ILACLISTE[[#This Row],[NAME]],Table5[#All],2,0),"")</f>
        <v/>
      </c>
    </row>
    <row r="2084" spans="1:3" x14ac:dyDescent="0.3">
      <c r="A2084" s="5" t="s">
        <v>2746</v>
      </c>
      <c r="B2084" t="s">
        <v>8497</v>
      </c>
      <c r="C2084" t="str">
        <f>IFERROR(VLOOKUP(ILACLISTE[[#This Row],[NAME]],Table5[#All],2,0),"")</f>
        <v/>
      </c>
    </row>
    <row r="2085" spans="1:3" x14ac:dyDescent="0.3">
      <c r="A2085" s="5" t="s">
        <v>2747</v>
      </c>
      <c r="B2085" t="s">
        <v>8498</v>
      </c>
      <c r="C2085" t="str">
        <f>IFERROR(VLOOKUP(ILACLISTE[[#This Row],[NAME]],Table5[#All],2,0),"")</f>
        <v/>
      </c>
    </row>
    <row r="2086" spans="1:3" x14ac:dyDescent="0.3">
      <c r="A2086" s="5" t="s">
        <v>2748</v>
      </c>
      <c r="B2086" t="s">
        <v>8499</v>
      </c>
      <c r="C2086" t="str">
        <f>IFERROR(VLOOKUP(ILACLISTE[[#This Row],[NAME]],Table5[#All],2,0),"")</f>
        <v/>
      </c>
    </row>
    <row r="2087" spans="1:3" x14ac:dyDescent="0.3">
      <c r="A2087" s="5" t="s">
        <v>2749</v>
      </c>
      <c r="B2087" t="s">
        <v>257</v>
      </c>
      <c r="C2087" t="str">
        <f>IFERROR(VLOOKUP(ILACLISTE[[#This Row],[NAME]],Table5[#All],2,0),"")</f>
        <v/>
      </c>
    </row>
    <row r="2088" spans="1:3" x14ac:dyDescent="0.3">
      <c r="A2088" s="5" t="s">
        <v>2750</v>
      </c>
      <c r="B2088" t="s">
        <v>258</v>
      </c>
      <c r="C2088" t="str">
        <f>IFERROR(VLOOKUP(ILACLISTE[[#This Row],[NAME]],Table5[#All],2,0),"")</f>
        <v/>
      </c>
    </row>
    <row r="2089" spans="1:3" x14ac:dyDescent="0.3">
      <c r="A2089" s="5" t="s">
        <v>2751</v>
      </c>
      <c r="B2089" t="s">
        <v>259</v>
      </c>
      <c r="C2089" t="str">
        <f>IFERROR(VLOOKUP(ILACLISTE[[#This Row],[NAME]],Table5[#All],2,0),"")</f>
        <v/>
      </c>
    </row>
    <row r="2090" spans="1:3" x14ac:dyDescent="0.3">
      <c r="A2090" s="5" t="s">
        <v>2752</v>
      </c>
      <c r="B2090" t="s">
        <v>8500</v>
      </c>
      <c r="C2090" t="str">
        <f>IFERROR(VLOOKUP(ILACLISTE[[#This Row],[NAME]],Table5[#All],2,0),"")</f>
        <v/>
      </c>
    </row>
    <row r="2091" spans="1:3" x14ac:dyDescent="0.3">
      <c r="A2091" s="5" t="s">
        <v>2753</v>
      </c>
      <c r="B2091" t="s">
        <v>8501</v>
      </c>
      <c r="C2091" t="str">
        <f>IFERROR(VLOOKUP(ILACLISTE[[#This Row],[NAME]],Table5[#All],2,0),"")</f>
        <v/>
      </c>
    </row>
    <row r="2092" spans="1:3" x14ac:dyDescent="0.3">
      <c r="A2092" s="5" t="s">
        <v>2754</v>
      </c>
      <c r="B2092" t="s">
        <v>8502</v>
      </c>
      <c r="C2092" t="str">
        <f>IFERROR(VLOOKUP(ILACLISTE[[#This Row],[NAME]],Table5[#All],2,0),"")</f>
        <v/>
      </c>
    </row>
    <row r="2093" spans="1:3" x14ac:dyDescent="0.3">
      <c r="A2093" s="5" t="s">
        <v>2755</v>
      </c>
      <c r="B2093" t="s">
        <v>8503</v>
      </c>
      <c r="C2093" t="str">
        <f>IFERROR(VLOOKUP(ILACLISTE[[#This Row],[NAME]],Table5[#All],2,0),"")</f>
        <v/>
      </c>
    </row>
    <row r="2094" spans="1:3" x14ac:dyDescent="0.3">
      <c r="A2094" s="5" t="s">
        <v>2756</v>
      </c>
      <c r="B2094" t="s">
        <v>8504</v>
      </c>
      <c r="C2094" t="str">
        <f>IFERROR(VLOOKUP(ILACLISTE[[#This Row],[NAME]],Table5[#All],2,0),"")</f>
        <v/>
      </c>
    </row>
    <row r="2095" spans="1:3" x14ac:dyDescent="0.3">
      <c r="A2095" s="5" t="s">
        <v>2757</v>
      </c>
      <c r="B2095" t="s">
        <v>8505</v>
      </c>
      <c r="C2095" t="str">
        <f>IFERROR(VLOOKUP(ILACLISTE[[#This Row],[NAME]],Table5[#All],2,0),"")</f>
        <v/>
      </c>
    </row>
    <row r="2096" spans="1:3" x14ac:dyDescent="0.3">
      <c r="A2096" s="5" t="s">
        <v>2758</v>
      </c>
      <c r="B2096" t="s">
        <v>8506</v>
      </c>
      <c r="C2096" t="str">
        <f>IFERROR(VLOOKUP(ILACLISTE[[#This Row],[NAME]],Table5[#All],2,0),"")</f>
        <v/>
      </c>
    </row>
    <row r="2097" spans="1:3" x14ac:dyDescent="0.3">
      <c r="A2097" s="5" t="s">
        <v>2759</v>
      </c>
      <c r="B2097" t="s">
        <v>260</v>
      </c>
      <c r="C2097" t="str">
        <f>IFERROR(VLOOKUP(ILACLISTE[[#This Row],[NAME]],Table5[#All],2,0),"")</f>
        <v/>
      </c>
    </row>
    <row r="2098" spans="1:3" x14ac:dyDescent="0.3">
      <c r="A2098" s="5" t="s">
        <v>2760</v>
      </c>
      <c r="B2098" t="s">
        <v>8507</v>
      </c>
      <c r="C2098" t="str">
        <f>IFERROR(VLOOKUP(ILACLISTE[[#This Row],[NAME]],Table5[#All],2,0),"")</f>
        <v/>
      </c>
    </row>
    <row r="2099" spans="1:3" x14ac:dyDescent="0.3">
      <c r="A2099" s="5" t="s">
        <v>2761</v>
      </c>
      <c r="B2099" t="s">
        <v>8508</v>
      </c>
      <c r="C2099" t="str">
        <f>IFERROR(VLOOKUP(ILACLISTE[[#This Row],[NAME]],Table5[#All],2,0),"")</f>
        <v/>
      </c>
    </row>
    <row r="2100" spans="1:3" x14ac:dyDescent="0.3">
      <c r="A2100" s="5" t="s">
        <v>2762</v>
      </c>
      <c r="B2100" t="s">
        <v>8509</v>
      </c>
      <c r="C2100" t="str">
        <f>IFERROR(VLOOKUP(ILACLISTE[[#This Row],[NAME]],Table5[#All],2,0),"")</f>
        <v/>
      </c>
    </row>
    <row r="2101" spans="1:3" x14ac:dyDescent="0.3">
      <c r="A2101" s="5" t="s">
        <v>2763</v>
      </c>
      <c r="B2101" t="s">
        <v>8510</v>
      </c>
      <c r="C2101" t="str">
        <f>IFERROR(VLOOKUP(ILACLISTE[[#This Row],[NAME]],Table5[#All],2,0),"")</f>
        <v/>
      </c>
    </row>
    <row r="2102" spans="1:3" x14ac:dyDescent="0.3">
      <c r="A2102" s="5" t="s">
        <v>2764</v>
      </c>
      <c r="B2102" t="s">
        <v>8511</v>
      </c>
      <c r="C2102" t="str">
        <f>IFERROR(VLOOKUP(ILACLISTE[[#This Row],[NAME]],Table5[#All],2,0),"")</f>
        <v/>
      </c>
    </row>
    <row r="2103" spans="1:3" x14ac:dyDescent="0.3">
      <c r="A2103" s="5" t="s">
        <v>2765</v>
      </c>
      <c r="B2103" t="s">
        <v>8512</v>
      </c>
      <c r="C2103" t="str">
        <f>IFERROR(VLOOKUP(ILACLISTE[[#This Row],[NAME]],Table5[#All],2,0),"")</f>
        <v/>
      </c>
    </row>
    <row r="2104" spans="1:3" x14ac:dyDescent="0.3">
      <c r="A2104" s="5" t="s">
        <v>2766</v>
      </c>
      <c r="B2104" t="s">
        <v>8513</v>
      </c>
      <c r="C2104" t="str">
        <f>IFERROR(VLOOKUP(ILACLISTE[[#This Row],[NAME]],Table5[#All],2,0),"")</f>
        <v/>
      </c>
    </row>
    <row r="2105" spans="1:3" x14ac:dyDescent="0.3">
      <c r="A2105" s="5" t="s">
        <v>2767</v>
      </c>
      <c r="B2105" t="s">
        <v>8514</v>
      </c>
      <c r="C2105" t="str">
        <f>IFERROR(VLOOKUP(ILACLISTE[[#This Row],[NAME]],Table5[#All],2,0),"")</f>
        <v/>
      </c>
    </row>
    <row r="2106" spans="1:3" x14ac:dyDescent="0.3">
      <c r="A2106" s="5" t="s">
        <v>2768</v>
      </c>
      <c r="B2106" t="s">
        <v>8515</v>
      </c>
      <c r="C2106" t="str">
        <f>IFERROR(VLOOKUP(ILACLISTE[[#This Row],[NAME]],Table5[#All],2,0),"")</f>
        <v/>
      </c>
    </row>
    <row r="2107" spans="1:3" x14ac:dyDescent="0.3">
      <c r="A2107" s="5" t="s">
        <v>2769</v>
      </c>
      <c r="B2107" t="s">
        <v>8516</v>
      </c>
      <c r="C2107" t="str">
        <f>IFERROR(VLOOKUP(ILACLISTE[[#This Row],[NAME]],Table5[#All],2,0),"")</f>
        <v/>
      </c>
    </row>
    <row r="2108" spans="1:3" x14ac:dyDescent="0.3">
      <c r="A2108" s="5" t="s">
        <v>2770</v>
      </c>
      <c r="B2108" t="s">
        <v>261</v>
      </c>
      <c r="C2108" t="str">
        <f>IFERROR(VLOOKUP(ILACLISTE[[#This Row],[NAME]],Table5[#All],2,0),"")</f>
        <v/>
      </c>
    </row>
    <row r="2109" spans="1:3" x14ac:dyDescent="0.3">
      <c r="A2109" s="5" t="s">
        <v>2771</v>
      </c>
      <c r="B2109" t="s">
        <v>8517</v>
      </c>
      <c r="C2109" t="str">
        <f>IFERROR(VLOOKUP(ILACLISTE[[#This Row],[NAME]],Table5[#All],2,0),"")</f>
        <v/>
      </c>
    </row>
    <row r="2110" spans="1:3" x14ac:dyDescent="0.3">
      <c r="A2110" s="5" t="s">
        <v>2772</v>
      </c>
      <c r="B2110" t="s">
        <v>8518</v>
      </c>
      <c r="C2110" t="str">
        <f>IFERROR(VLOOKUP(ILACLISTE[[#This Row],[NAME]],Table5[#All],2,0),"")</f>
        <v/>
      </c>
    </row>
    <row r="2111" spans="1:3" x14ac:dyDescent="0.3">
      <c r="A2111" s="5" t="s">
        <v>2773</v>
      </c>
      <c r="B2111" t="s">
        <v>8519</v>
      </c>
      <c r="C2111" t="str">
        <f>IFERROR(VLOOKUP(ILACLISTE[[#This Row],[NAME]],Table5[#All],2,0),"")</f>
        <v/>
      </c>
    </row>
    <row r="2112" spans="1:3" x14ac:dyDescent="0.3">
      <c r="A2112" s="5" t="s">
        <v>2774</v>
      </c>
      <c r="B2112" t="s">
        <v>8520</v>
      </c>
      <c r="C2112" t="str">
        <f>IFERROR(VLOOKUP(ILACLISTE[[#This Row],[NAME]],Table5[#All],2,0),"")</f>
        <v/>
      </c>
    </row>
    <row r="2113" spans="1:3" x14ac:dyDescent="0.3">
      <c r="A2113" s="5" t="s">
        <v>2775</v>
      </c>
      <c r="B2113" t="s">
        <v>8521</v>
      </c>
      <c r="C2113" t="str">
        <f>IFERROR(VLOOKUP(ILACLISTE[[#This Row],[NAME]],Table5[#All],2,0),"")</f>
        <v/>
      </c>
    </row>
    <row r="2114" spans="1:3" x14ac:dyDescent="0.3">
      <c r="A2114" s="5" t="s">
        <v>2776</v>
      </c>
      <c r="B2114" t="s">
        <v>8522</v>
      </c>
      <c r="C2114" t="str">
        <f>IFERROR(VLOOKUP(ILACLISTE[[#This Row],[NAME]],Table5[#All],2,0),"")</f>
        <v/>
      </c>
    </row>
    <row r="2115" spans="1:3" x14ac:dyDescent="0.3">
      <c r="A2115" s="5" t="s">
        <v>8523</v>
      </c>
      <c r="B2115" t="s">
        <v>8524</v>
      </c>
      <c r="C2115" t="str">
        <f>IFERROR(VLOOKUP(ILACLISTE[[#This Row],[NAME]],Table5[#All],2,0),"")</f>
        <v/>
      </c>
    </row>
    <row r="2116" spans="1:3" x14ac:dyDescent="0.3">
      <c r="A2116" s="5" t="s">
        <v>2777</v>
      </c>
      <c r="B2116" t="s">
        <v>8525</v>
      </c>
      <c r="C2116" t="str">
        <f>IFERROR(VLOOKUP(ILACLISTE[[#This Row],[NAME]],Table5[#All],2,0),"")</f>
        <v/>
      </c>
    </row>
    <row r="2117" spans="1:3" x14ac:dyDescent="0.3">
      <c r="A2117" s="5" t="s">
        <v>2778</v>
      </c>
      <c r="B2117" t="s">
        <v>8526</v>
      </c>
      <c r="C2117" t="str">
        <f>IFERROR(VLOOKUP(ILACLISTE[[#This Row],[NAME]],Table5[#All],2,0),"")</f>
        <v/>
      </c>
    </row>
    <row r="2118" spans="1:3" x14ac:dyDescent="0.3">
      <c r="A2118" s="5" t="s">
        <v>2779</v>
      </c>
      <c r="B2118" t="s">
        <v>8527</v>
      </c>
      <c r="C2118" t="str">
        <f>IFERROR(VLOOKUP(ILACLISTE[[#This Row],[NAME]],Table5[#All],2,0),"")</f>
        <v/>
      </c>
    </row>
    <row r="2119" spans="1:3" x14ac:dyDescent="0.3">
      <c r="A2119" s="5" t="s">
        <v>2780</v>
      </c>
      <c r="B2119" t="s">
        <v>8528</v>
      </c>
      <c r="C2119" t="str">
        <f>IFERROR(VLOOKUP(ILACLISTE[[#This Row],[NAME]],Table5[#All],2,0),"")</f>
        <v/>
      </c>
    </row>
    <row r="2120" spans="1:3" x14ac:dyDescent="0.3">
      <c r="A2120" s="5" t="s">
        <v>2781</v>
      </c>
      <c r="B2120" t="s">
        <v>8529</v>
      </c>
      <c r="C2120" t="str">
        <f>IFERROR(VLOOKUP(ILACLISTE[[#This Row],[NAME]],Table5[#All],2,0),"")</f>
        <v/>
      </c>
    </row>
    <row r="2121" spans="1:3" x14ac:dyDescent="0.3">
      <c r="A2121" s="5" t="s">
        <v>2782</v>
      </c>
      <c r="B2121" t="s">
        <v>8530</v>
      </c>
      <c r="C2121" t="str">
        <f>IFERROR(VLOOKUP(ILACLISTE[[#This Row],[NAME]],Table5[#All],2,0),"")</f>
        <v/>
      </c>
    </row>
    <row r="2122" spans="1:3" x14ac:dyDescent="0.3">
      <c r="A2122" s="5" t="s">
        <v>2783</v>
      </c>
      <c r="B2122" t="s">
        <v>8531</v>
      </c>
      <c r="C2122" t="str">
        <f>IFERROR(VLOOKUP(ILACLISTE[[#This Row],[NAME]],Table5[#All],2,0),"")</f>
        <v/>
      </c>
    </row>
    <row r="2123" spans="1:3" x14ac:dyDescent="0.3">
      <c r="A2123" s="5" t="s">
        <v>2784</v>
      </c>
      <c r="B2123" t="s">
        <v>8532</v>
      </c>
      <c r="C2123" t="str">
        <f>IFERROR(VLOOKUP(ILACLISTE[[#This Row],[NAME]],Table5[#All],2,0),"")</f>
        <v/>
      </c>
    </row>
    <row r="2124" spans="1:3" x14ac:dyDescent="0.3">
      <c r="A2124" s="5" t="s">
        <v>2785</v>
      </c>
      <c r="B2124" t="s">
        <v>8533</v>
      </c>
      <c r="C2124" t="str">
        <f>IFERROR(VLOOKUP(ILACLISTE[[#This Row],[NAME]],Table5[#All],2,0),"")</f>
        <v/>
      </c>
    </row>
    <row r="2125" spans="1:3" x14ac:dyDescent="0.3">
      <c r="A2125" s="5" t="s">
        <v>2786</v>
      </c>
      <c r="B2125" t="s">
        <v>8534</v>
      </c>
      <c r="C2125" t="str">
        <f>IFERROR(VLOOKUP(ILACLISTE[[#This Row],[NAME]],Table5[#All],2,0),"")</f>
        <v/>
      </c>
    </row>
    <row r="2126" spans="1:3" x14ac:dyDescent="0.3">
      <c r="A2126" s="5" t="s">
        <v>2787</v>
      </c>
      <c r="B2126" t="s">
        <v>8535</v>
      </c>
      <c r="C2126" t="str">
        <f>IFERROR(VLOOKUP(ILACLISTE[[#This Row],[NAME]],Table5[#All],2,0),"")</f>
        <v/>
      </c>
    </row>
    <row r="2127" spans="1:3" x14ac:dyDescent="0.3">
      <c r="A2127" s="5" t="s">
        <v>2788</v>
      </c>
      <c r="B2127" t="s">
        <v>8536</v>
      </c>
      <c r="C2127" t="str">
        <f>IFERROR(VLOOKUP(ILACLISTE[[#This Row],[NAME]],Table5[#All],2,0),"")</f>
        <v/>
      </c>
    </row>
    <row r="2128" spans="1:3" x14ac:dyDescent="0.3">
      <c r="A2128" s="5" t="s">
        <v>2789</v>
      </c>
      <c r="B2128" t="s">
        <v>8537</v>
      </c>
      <c r="C2128" t="str">
        <f>IFERROR(VLOOKUP(ILACLISTE[[#This Row],[NAME]],Table5[#All],2,0),"")</f>
        <v/>
      </c>
    </row>
    <row r="2129" spans="1:3" x14ac:dyDescent="0.3">
      <c r="A2129" s="5" t="s">
        <v>2790</v>
      </c>
      <c r="B2129" t="s">
        <v>8538</v>
      </c>
      <c r="C2129" t="str">
        <f>IFERROR(VLOOKUP(ILACLISTE[[#This Row],[NAME]],Table5[#All],2,0),"")</f>
        <v/>
      </c>
    </row>
    <row r="2130" spans="1:3" x14ac:dyDescent="0.3">
      <c r="A2130" s="5" t="s">
        <v>2791</v>
      </c>
      <c r="B2130" t="s">
        <v>8539</v>
      </c>
      <c r="C2130" t="str">
        <f>IFERROR(VLOOKUP(ILACLISTE[[#This Row],[NAME]],Table5[#All],2,0),"")</f>
        <v/>
      </c>
    </row>
    <row r="2131" spans="1:3" x14ac:dyDescent="0.3">
      <c r="A2131" s="5" t="s">
        <v>2792</v>
      </c>
      <c r="B2131" t="s">
        <v>8540</v>
      </c>
      <c r="C2131" t="str">
        <f>IFERROR(VLOOKUP(ILACLISTE[[#This Row],[NAME]],Table5[#All],2,0),"")</f>
        <v/>
      </c>
    </row>
    <row r="2132" spans="1:3" x14ac:dyDescent="0.3">
      <c r="A2132" s="5" t="s">
        <v>2793</v>
      </c>
      <c r="B2132" t="s">
        <v>8541</v>
      </c>
      <c r="C2132" t="str">
        <f>IFERROR(VLOOKUP(ILACLISTE[[#This Row],[NAME]],Table5[#All],2,0),"")</f>
        <v/>
      </c>
    </row>
    <row r="2133" spans="1:3" x14ac:dyDescent="0.3">
      <c r="A2133" s="5" t="s">
        <v>2794</v>
      </c>
      <c r="B2133" t="s">
        <v>8542</v>
      </c>
      <c r="C2133" t="str">
        <f>IFERROR(VLOOKUP(ILACLISTE[[#This Row],[NAME]],Table5[#All],2,0),"")</f>
        <v/>
      </c>
    </row>
    <row r="2134" spans="1:3" x14ac:dyDescent="0.3">
      <c r="A2134" s="5" t="s">
        <v>2795</v>
      </c>
      <c r="B2134" t="s">
        <v>8543</v>
      </c>
      <c r="C2134" t="str">
        <f>IFERROR(VLOOKUP(ILACLISTE[[#This Row],[NAME]],Table5[#All],2,0),"")</f>
        <v/>
      </c>
    </row>
    <row r="2135" spans="1:3" x14ac:dyDescent="0.3">
      <c r="A2135" s="5" t="s">
        <v>2796</v>
      </c>
      <c r="B2135" t="s">
        <v>8544</v>
      </c>
      <c r="C2135" t="str">
        <f>IFERROR(VLOOKUP(ILACLISTE[[#This Row],[NAME]],Table5[#All],2,0),"")</f>
        <v/>
      </c>
    </row>
    <row r="2136" spans="1:3" x14ac:dyDescent="0.3">
      <c r="A2136" s="5" t="s">
        <v>2797</v>
      </c>
      <c r="B2136" t="s">
        <v>8545</v>
      </c>
      <c r="C2136" t="str">
        <f>IFERROR(VLOOKUP(ILACLISTE[[#This Row],[NAME]],Table5[#All],2,0),"")</f>
        <v/>
      </c>
    </row>
    <row r="2137" spans="1:3" x14ac:dyDescent="0.3">
      <c r="A2137" s="5" t="s">
        <v>2798</v>
      </c>
      <c r="B2137" t="s">
        <v>8546</v>
      </c>
      <c r="C2137" t="str">
        <f>IFERROR(VLOOKUP(ILACLISTE[[#This Row],[NAME]],Table5[#All],2,0),"")</f>
        <v/>
      </c>
    </row>
    <row r="2138" spans="1:3" x14ac:dyDescent="0.3">
      <c r="A2138" s="5" t="s">
        <v>2799</v>
      </c>
      <c r="B2138" t="s">
        <v>8547</v>
      </c>
      <c r="C2138" t="str">
        <f>IFERROR(VLOOKUP(ILACLISTE[[#This Row],[NAME]],Table5[#All],2,0),"")</f>
        <v/>
      </c>
    </row>
    <row r="2139" spans="1:3" x14ac:dyDescent="0.3">
      <c r="A2139" s="5" t="s">
        <v>2800</v>
      </c>
      <c r="B2139" t="s">
        <v>8548</v>
      </c>
      <c r="C2139" t="str">
        <f>IFERROR(VLOOKUP(ILACLISTE[[#This Row],[NAME]],Table5[#All],2,0),"")</f>
        <v/>
      </c>
    </row>
    <row r="2140" spans="1:3" x14ac:dyDescent="0.3">
      <c r="A2140" s="5" t="s">
        <v>2801</v>
      </c>
      <c r="B2140" t="s">
        <v>8549</v>
      </c>
      <c r="C2140" t="str">
        <f>IFERROR(VLOOKUP(ILACLISTE[[#This Row],[NAME]],Table5[#All],2,0),"")</f>
        <v/>
      </c>
    </row>
    <row r="2141" spans="1:3" x14ac:dyDescent="0.3">
      <c r="A2141" s="5" t="s">
        <v>2802</v>
      </c>
      <c r="B2141" t="s">
        <v>8550</v>
      </c>
      <c r="C2141" t="str">
        <f>IFERROR(VLOOKUP(ILACLISTE[[#This Row],[NAME]],Table5[#All],2,0),"")</f>
        <v/>
      </c>
    </row>
    <row r="2142" spans="1:3" x14ac:dyDescent="0.3">
      <c r="A2142" s="5" t="s">
        <v>2803</v>
      </c>
      <c r="B2142" t="s">
        <v>8551</v>
      </c>
      <c r="C2142" t="str">
        <f>IFERROR(VLOOKUP(ILACLISTE[[#This Row],[NAME]],Table5[#All],2,0),"")</f>
        <v/>
      </c>
    </row>
    <row r="2143" spans="1:3" x14ac:dyDescent="0.3">
      <c r="A2143" s="5" t="s">
        <v>2804</v>
      </c>
      <c r="B2143" t="s">
        <v>8552</v>
      </c>
      <c r="C2143" t="str">
        <f>IFERROR(VLOOKUP(ILACLISTE[[#This Row],[NAME]],Table5[#All],2,0),"")</f>
        <v/>
      </c>
    </row>
    <row r="2144" spans="1:3" x14ac:dyDescent="0.3">
      <c r="A2144" s="5" t="s">
        <v>2805</v>
      </c>
      <c r="B2144" t="s">
        <v>8553</v>
      </c>
      <c r="C2144" t="str">
        <f>IFERROR(VLOOKUP(ILACLISTE[[#This Row],[NAME]],Table5[#All],2,0),"")</f>
        <v/>
      </c>
    </row>
    <row r="2145" spans="1:3" x14ac:dyDescent="0.3">
      <c r="A2145" s="5" t="s">
        <v>2806</v>
      </c>
      <c r="B2145" t="s">
        <v>8554</v>
      </c>
      <c r="C2145" t="str">
        <f>IFERROR(VLOOKUP(ILACLISTE[[#This Row],[NAME]],Table5[#All],2,0),"")</f>
        <v/>
      </c>
    </row>
    <row r="2146" spans="1:3" x14ac:dyDescent="0.3">
      <c r="A2146" s="5" t="s">
        <v>2807</v>
      </c>
      <c r="B2146" t="s">
        <v>8555</v>
      </c>
      <c r="C2146" t="str">
        <f>IFERROR(VLOOKUP(ILACLISTE[[#This Row],[NAME]],Table5[#All],2,0),"")</f>
        <v/>
      </c>
    </row>
    <row r="2147" spans="1:3" x14ac:dyDescent="0.3">
      <c r="A2147" s="5" t="s">
        <v>2808</v>
      </c>
      <c r="B2147" t="s">
        <v>8556</v>
      </c>
      <c r="C2147" t="str">
        <f>IFERROR(VLOOKUP(ILACLISTE[[#This Row],[NAME]],Table5[#All],2,0),"")</f>
        <v/>
      </c>
    </row>
    <row r="2148" spans="1:3" x14ac:dyDescent="0.3">
      <c r="A2148" s="5" t="s">
        <v>2809</v>
      </c>
      <c r="B2148" t="s">
        <v>8557</v>
      </c>
      <c r="C2148" t="str">
        <f>IFERROR(VLOOKUP(ILACLISTE[[#This Row],[NAME]],Table5[#All],2,0),"")</f>
        <v/>
      </c>
    </row>
    <row r="2149" spans="1:3" x14ac:dyDescent="0.3">
      <c r="A2149" s="5" t="s">
        <v>2810</v>
      </c>
      <c r="B2149" t="s">
        <v>8558</v>
      </c>
      <c r="C2149" t="str">
        <f>IFERROR(VLOOKUP(ILACLISTE[[#This Row],[NAME]],Table5[#All],2,0),"")</f>
        <v/>
      </c>
    </row>
    <row r="2150" spans="1:3" x14ac:dyDescent="0.3">
      <c r="A2150" s="5" t="s">
        <v>2811</v>
      </c>
      <c r="B2150" t="s">
        <v>8559</v>
      </c>
      <c r="C2150" t="str">
        <f>IFERROR(VLOOKUP(ILACLISTE[[#This Row],[NAME]],Table5[#All],2,0),"")</f>
        <v/>
      </c>
    </row>
    <row r="2151" spans="1:3" x14ac:dyDescent="0.3">
      <c r="A2151" s="5" t="s">
        <v>2812</v>
      </c>
      <c r="B2151" t="s">
        <v>8560</v>
      </c>
      <c r="C2151" t="str">
        <f>IFERROR(VLOOKUP(ILACLISTE[[#This Row],[NAME]],Table5[#All],2,0),"")</f>
        <v/>
      </c>
    </row>
    <row r="2152" spans="1:3" x14ac:dyDescent="0.3">
      <c r="A2152" s="5" t="s">
        <v>2813</v>
      </c>
      <c r="B2152" t="s">
        <v>8561</v>
      </c>
      <c r="C2152" t="str">
        <f>IFERROR(VLOOKUP(ILACLISTE[[#This Row],[NAME]],Table5[#All],2,0),"")</f>
        <v/>
      </c>
    </row>
    <row r="2153" spans="1:3" x14ac:dyDescent="0.3">
      <c r="A2153" s="5" t="s">
        <v>2814</v>
      </c>
      <c r="B2153" t="s">
        <v>8562</v>
      </c>
      <c r="C2153" t="str">
        <f>IFERROR(VLOOKUP(ILACLISTE[[#This Row],[NAME]],Table5[#All],2,0),"")</f>
        <v/>
      </c>
    </row>
    <row r="2154" spans="1:3" x14ac:dyDescent="0.3">
      <c r="A2154" s="5" t="s">
        <v>2815</v>
      </c>
      <c r="B2154" t="s">
        <v>8563</v>
      </c>
      <c r="C2154" t="str">
        <f>IFERROR(VLOOKUP(ILACLISTE[[#This Row],[NAME]],Table5[#All],2,0),"")</f>
        <v/>
      </c>
    </row>
    <row r="2155" spans="1:3" x14ac:dyDescent="0.3">
      <c r="A2155" s="5" t="s">
        <v>2816</v>
      </c>
      <c r="B2155" t="s">
        <v>8564</v>
      </c>
      <c r="C2155" t="str">
        <f>IFERROR(VLOOKUP(ILACLISTE[[#This Row],[NAME]],Table5[#All],2,0),"")</f>
        <v/>
      </c>
    </row>
    <row r="2156" spans="1:3" x14ac:dyDescent="0.3">
      <c r="A2156" s="5" t="s">
        <v>2817</v>
      </c>
      <c r="B2156" t="s">
        <v>8565</v>
      </c>
      <c r="C2156" t="str">
        <f>IFERROR(VLOOKUP(ILACLISTE[[#This Row],[NAME]],Table5[#All],2,0),"")</f>
        <v/>
      </c>
    </row>
    <row r="2157" spans="1:3" x14ac:dyDescent="0.3">
      <c r="A2157" s="5" t="s">
        <v>2818</v>
      </c>
      <c r="B2157" t="s">
        <v>8566</v>
      </c>
      <c r="C2157" t="str">
        <f>IFERROR(VLOOKUP(ILACLISTE[[#This Row],[NAME]],Table5[#All],2,0),"")</f>
        <v/>
      </c>
    </row>
    <row r="2158" spans="1:3" x14ac:dyDescent="0.3">
      <c r="A2158" s="5" t="s">
        <v>2819</v>
      </c>
      <c r="B2158" t="s">
        <v>8567</v>
      </c>
      <c r="C2158" t="str">
        <f>IFERROR(VLOOKUP(ILACLISTE[[#This Row],[NAME]],Table5[#All],2,0),"")</f>
        <v/>
      </c>
    </row>
    <row r="2159" spans="1:3" x14ac:dyDescent="0.3">
      <c r="A2159" s="5" t="s">
        <v>2820</v>
      </c>
      <c r="B2159" t="s">
        <v>262</v>
      </c>
      <c r="C2159" t="str">
        <f>IFERROR(VLOOKUP(ILACLISTE[[#This Row],[NAME]],Table5[#All],2,0),"")</f>
        <v/>
      </c>
    </row>
    <row r="2160" spans="1:3" x14ac:dyDescent="0.3">
      <c r="A2160" s="5" t="s">
        <v>2821</v>
      </c>
      <c r="B2160" t="s">
        <v>263</v>
      </c>
      <c r="C2160" t="str">
        <f>IFERROR(VLOOKUP(ILACLISTE[[#This Row],[NAME]],Table5[#All],2,0),"")</f>
        <v/>
      </c>
    </row>
    <row r="2161" spans="1:3" x14ac:dyDescent="0.3">
      <c r="A2161" s="5" t="s">
        <v>2822</v>
      </c>
      <c r="B2161" t="s">
        <v>8568</v>
      </c>
      <c r="C2161" t="str">
        <f>IFERROR(VLOOKUP(ILACLISTE[[#This Row],[NAME]],Table5[#All],2,0),"")</f>
        <v/>
      </c>
    </row>
    <row r="2162" spans="1:3" x14ac:dyDescent="0.3">
      <c r="A2162" s="5" t="s">
        <v>2823</v>
      </c>
      <c r="B2162" t="s">
        <v>264</v>
      </c>
      <c r="C2162" t="str">
        <f>IFERROR(VLOOKUP(ILACLISTE[[#This Row],[NAME]],Table5[#All],2,0),"")</f>
        <v/>
      </c>
    </row>
    <row r="2163" spans="1:3" x14ac:dyDescent="0.3">
      <c r="A2163" s="5" t="s">
        <v>2824</v>
      </c>
      <c r="B2163" t="s">
        <v>265</v>
      </c>
      <c r="C2163" t="str">
        <f>IFERROR(VLOOKUP(ILACLISTE[[#This Row],[NAME]],Table5[#All],2,0),"")</f>
        <v/>
      </c>
    </row>
    <row r="2164" spans="1:3" x14ac:dyDescent="0.3">
      <c r="A2164" s="5" t="s">
        <v>2825</v>
      </c>
      <c r="B2164" t="s">
        <v>266</v>
      </c>
      <c r="C2164" t="str">
        <f>IFERROR(VLOOKUP(ILACLISTE[[#This Row],[NAME]],Table5[#All],2,0),"")</f>
        <v/>
      </c>
    </row>
    <row r="2165" spans="1:3" x14ac:dyDescent="0.3">
      <c r="A2165" s="5" t="s">
        <v>2826</v>
      </c>
      <c r="B2165" t="s">
        <v>267</v>
      </c>
      <c r="C2165" t="str">
        <f>IFERROR(VLOOKUP(ILACLISTE[[#This Row],[NAME]],Table5[#All],2,0),"")</f>
        <v/>
      </c>
    </row>
    <row r="2166" spans="1:3" x14ac:dyDescent="0.3">
      <c r="A2166" s="5" t="s">
        <v>2827</v>
      </c>
      <c r="B2166" t="s">
        <v>8569</v>
      </c>
      <c r="C2166" t="str">
        <f>IFERROR(VLOOKUP(ILACLISTE[[#This Row],[NAME]],Table5[#All],2,0),"")</f>
        <v/>
      </c>
    </row>
    <row r="2167" spans="1:3" x14ac:dyDescent="0.3">
      <c r="A2167" s="5" t="s">
        <v>2828</v>
      </c>
      <c r="B2167" t="s">
        <v>8570</v>
      </c>
      <c r="C2167" t="str">
        <f>IFERROR(VLOOKUP(ILACLISTE[[#This Row],[NAME]],Table5[#All],2,0),"")</f>
        <v/>
      </c>
    </row>
    <row r="2168" spans="1:3" x14ac:dyDescent="0.3">
      <c r="A2168" s="5" t="s">
        <v>2829</v>
      </c>
      <c r="B2168" t="s">
        <v>268</v>
      </c>
      <c r="C2168" t="str">
        <f>IFERROR(VLOOKUP(ILACLISTE[[#This Row],[NAME]],Table5[#All],2,0),"")</f>
        <v/>
      </c>
    </row>
    <row r="2169" spans="1:3" x14ac:dyDescent="0.3">
      <c r="A2169" s="5" t="s">
        <v>2830</v>
      </c>
      <c r="B2169" t="s">
        <v>8571</v>
      </c>
      <c r="C2169" t="str">
        <f>IFERROR(VLOOKUP(ILACLISTE[[#This Row],[NAME]],Table5[#All],2,0),"")</f>
        <v/>
      </c>
    </row>
    <row r="2170" spans="1:3" x14ac:dyDescent="0.3">
      <c r="A2170" s="5" t="s">
        <v>2831</v>
      </c>
      <c r="B2170" t="s">
        <v>8572</v>
      </c>
      <c r="C2170" t="str">
        <f>IFERROR(VLOOKUP(ILACLISTE[[#This Row],[NAME]],Table5[#All],2,0),"")</f>
        <v/>
      </c>
    </row>
    <row r="2171" spans="1:3" x14ac:dyDescent="0.3">
      <c r="A2171" s="5" t="s">
        <v>2832</v>
      </c>
      <c r="B2171" t="s">
        <v>8573</v>
      </c>
      <c r="C2171" t="str">
        <f>IFERROR(VLOOKUP(ILACLISTE[[#This Row],[NAME]],Table5[#All],2,0),"")</f>
        <v/>
      </c>
    </row>
    <row r="2172" spans="1:3" x14ac:dyDescent="0.3">
      <c r="A2172" s="5" t="s">
        <v>2833</v>
      </c>
      <c r="B2172" t="s">
        <v>8574</v>
      </c>
      <c r="C2172" t="str">
        <f>IFERROR(VLOOKUP(ILACLISTE[[#This Row],[NAME]],Table5[#All],2,0),"")</f>
        <v/>
      </c>
    </row>
    <row r="2173" spans="1:3" x14ac:dyDescent="0.3">
      <c r="A2173" s="5" t="s">
        <v>2834</v>
      </c>
      <c r="B2173" t="s">
        <v>8575</v>
      </c>
      <c r="C2173" t="str">
        <f>IFERROR(VLOOKUP(ILACLISTE[[#This Row],[NAME]],Table5[#All],2,0),"")</f>
        <v/>
      </c>
    </row>
    <row r="2174" spans="1:3" x14ac:dyDescent="0.3">
      <c r="A2174" s="5" t="s">
        <v>2835</v>
      </c>
      <c r="B2174" t="s">
        <v>8576</v>
      </c>
      <c r="C2174" t="str">
        <f>IFERROR(VLOOKUP(ILACLISTE[[#This Row],[NAME]],Table5[#All],2,0),"")</f>
        <v/>
      </c>
    </row>
    <row r="2175" spans="1:3" x14ac:dyDescent="0.3">
      <c r="A2175" s="5" t="s">
        <v>2836</v>
      </c>
      <c r="B2175" t="s">
        <v>269</v>
      </c>
      <c r="C2175" t="str">
        <f>IFERROR(VLOOKUP(ILACLISTE[[#This Row],[NAME]],Table5[#All],2,0),"")</f>
        <v/>
      </c>
    </row>
    <row r="2176" spans="1:3" x14ac:dyDescent="0.3">
      <c r="A2176" s="5" t="s">
        <v>2837</v>
      </c>
      <c r="B2176" t="s">
        <v>8577</v>
      </c>
      <c r="C2176" t="str">
        <f>IFERROR(VLOOKUP(ILACLISTE[[#This Row],[NAME]],Table5[#All],2,0),"")</f>
        <v/>
      </c>
    </row>
    <row r="2177" spans="1:3" x14ac:dyDescent="0.3">
      <c r="A2177" s="5" t="s">
        <v>2838</v>
      </c>
      <c r="B2177" t="s">
        <v>8578</v>
      </c>
      <c r="C2177" t="str">
        <f>IFERROR(VLOOKUP(ILACLISTE[[#This Row],[NAME]],Table5[#All],2,0),"")</f>
        <v/>
      </c>
    </row>
    <row r="2178" spans="1:3" x14ac:dyDescent="0.3">
      <c r="A2178" s="5" t="s">
        <v>2839</v>
      </c>
      <c r="B2178" t="s">
        <v>270</v>
      </c>
      <c r="C2178" t="str">
        <f>IFERROR(VLOOKUP(ILACLISTE[[#This Row],[NAME]],Table5[#All],2,0),"")</f>
        <v/>
      </c>
    </row>
    <row r="2179" spans="1:3" x14ac:dyDescent="0.3">
      <c r="A2179" s="5" t="s">
        <v>2840</v>
      </c>
      <c r="B2179" t="s">
        <v>271</v>
      </c>
      <c r="C2179" t="str">
        <f>IFERROR(VLOOKUP(ILACLISTE[[#This Row],[NAME]],Table5[#All],2,0),"")</f>
        <v/>
      </c>
    </row>
    <row r="2180" spans="1:3" x14ac:dyDescent="0.3">
      <c r="A2180" s="5" t="s">
        <v>2841</v>
      </c>
      <c r="B2180" t="s">
        <v>8579</v>
      </c>
      <c r="C2180" t="str">
        <f>IFERROR(VLOOKUP(ILACLISTE[[#This Row],[NAME]],Table5[#All],2,0),"")</f>
        <v/>
      </c>
    </row>
    <row r="2181" spans="1:3" x14ac:dyDescent="0.3">
      <c r="A2181" s="5" t="s">
        <v>2842</v>
      </c>
      <c r="B2181" t="s">
        <v>272</v>
      </c>
      <c r="C2181" t="str">
        <f>IFERROR(VLOOKUP(ILACLISTE[[#This Row],[NAME]],Table5[#All],2,0),"")</f>
        <v/>
      </c>
    </row>
    <row r="2182" spans="1:3" x14ac:dyDescent="0.3">
      <c r="A2182" s="5" t="s">
        <v>2843</v>
      </c>
      <c r="B2182" t="s">
        <v>273</v>
      </c>
      <c r="C2182" t="str">
        <f>IFERROR(VLOOKUP(ILACLISTE[[#This Row],[NAME]],Table5[#All],2,0),"")</f>
        <v/>
      </c>
    </row>
    <row r="2183" spans="1:3" x14ac:dyDescent="0.3">
      <c r="A2183" s="5" t="s">
        <v>2844</v>
      </c>
      <c r="B2183" t="s">
        <v>8580</v>
      </c>
      <c r="C2183" t="str">
        <f>IFERROR(VLOOKUP(ILACLISTE[[#This Row],[NAME]],Table5[#All],2,0),"")</f>
        <v/>
      </c>
    </row>
    <row r="2184" spans="1:3" x14ac:dyDescent="0.3">
      <c r="A2184" s="5" t="s">
        <v>2845</v>
      </c>
      <c r="B2184" t="s">
        <v>8581</v>
      </c>
      <c r="C2184" t="str">
        <f>IFERROR(VLOOKUP(ILACLISTE[[#This Row],[NAME]],Table5[#All],2,0),"")</f>
        <v/>
      </c>
    </row>
    <row r="2185" spans="1:3" x14ac:dyDescent="0.3">
      <c r="A2185" s="5" t="s">
        <v>2846</v>
      </c>
      <c r="B2185" t="s">
        <v>8582</v>
      </c>
      <c r="C2185" t="str">
        <f>IFERROR(VLOOKUP(ILACLISTE[[#This Row],[NAME]],Table5[#All],2,0),"")</f>
        <v/>
      </c>
    </row>
    <row r="2186" spans="1:3" x14ac:dyDescent="0.3">
      <c r="A2186" s="5" t="s">
        <v>2847</v>
      </c>
      <c r="B2186" t="s">
        <v>274</v>
      </c>
      <c r="C2186" t="str">
        <f>IFERROR(VLOOKUP(ILACLISTE[[#This Row],[NAME]],Table5[#All],2,0),"")</f>
        <v/>
      </c>
    </row>
    <row r="2187" spans="1:3" x14ac:dyDescent="0.3">
      <c r="A2187" s="5" t="s">
        <v>2848</v>
      </c>
      <c r="B2187" t="s">
        <v>8583</v>
      </c>
      <c r="C2187" t="str">
        <f>IFERROR(VLOOKUP(ILACLISTE[[#This Row],[NAME]],Table5[#All],2,0),"")</f>
        <v/>
      </c>
    </row>
    <row r="2188" spans="1:3" x14ac:dyDescent="0.3">
      <c r="A2188" s="5" t="s">
        <v>2849</v>
      </c>
      <c r="B2188" t="s">
        <v>8584</v>
      </c>
      <c r="C2188" t="str">
        <f>IFERROR(VLOOKUP(ILACLISTE[[#This Row],[NAME]],Table5[#All],2,0),"")</f>
        <v/>
      </c>
    </row>
    <row r="2189" spans="1:3" x14ac:dyDescent="0.3">
      <c r="A2189" s="5" t="s">
        <v>2850</v>
      </c>
      <c r="B2189" t="s">
        <v>275</v>
      </c>
      <c r="C2189" t="str">
        <f>IFERROR(VLOOKUP(ILACLISTE[[#This Row],[NAME]],Table5[#All],2,0),"")</f>
        <v/>
      </c>
    </row>
    <row r="2190" spans="1:3" x14ac:dyDescent="0.3">
      <c r="A2190" s="5" t="s">
        <v>2851</v>
      </c>
      <c r="B2190" t="s">
        <v>8585</v>
      </c>
      <c r="C2190" t="str">
        <f>IFERROR(VLOOKUP(ILACLISTE[[#This Row],[NAME]],Table5[#All],2,0),"")</f>
        <v/>
      </c>
    </row>
    <row r="2191" spans="1:3" x14ac:dyDescent="0.3">
      <c r="A2191" s="5" t="s">
        <v>2852</v>
      </c>
      <c r="B2191" t="s">
        <v>8586</v>
      </c>
      <c r="C2191" t="str">
        <f>IFERROR(VLOOKUP(ILACLISTE[[#This Row],[NAME]],Table5[#All],2,0),"")</f>
        <v/>
      </c>
    </row>
    <row r="2192" spans="1:3" x14ac:dyDescent="0.3">
      <c r="A2192" s="5" t="s">
        <v>2853</v>
      </c>
      <c r="B2192" t="s">
        <v>8587</v>
      </c>
      <c r="C2192" t="str">
        <f>IFERROR(VLOOKUP(ILACLISTE[[#This Row],[NAME]],Table5[#All],2,0),"")</f>
        <v/>
      </c>
    </row>
    <row r="2193" spans="1:3" x14ac:dyDescent="0.3">
      <c r="A2193" s="5" t="s">
        <v>2854</v>
      </c>
      <c r="B2193" t="s">
        <v>8588</v>
      </c>
      <c r="C2193" t="str">
        <f>IFERROR(VLOOKUP(ILACLISTE[[#This Row],[NAME]],Table5[#All],2,0),"")</f>
        <v/>
      </c>
    </row>
    <row r="2194" spans="1:3" x14ac:dyDescent="0.3">
      <c r="A2194" s="5" t="s">
        <v>2855</v>
      </c>
      <c r="B2194" t="s">
        <v>8589</v>
      </c>
      <c r="C2194" t="str">
        <f>IFERROR(VLOOKUP(ILACLISTE[[#This Row],[NAME]],Table5[#All],2,0),"")</f>
        <v/>
      </c>
    </row>
    <row r="2195" spans="1:3" x14ac:dyDescent="0.3">
      <c r="A2195" s="5" t="s">
        <v>2856</v>
      </c>
      <c r="B2195" t="s">
        <v>8590</v>
      </c>
      <c r="C2195" t="str">
        <f>IFERROR(VLOOKUP(ILACLISTE[[#This Row],[NAME]],Table5[#All],2,0),"")</f>
        <v/>
      </c>
    </row>
    <row r="2196" spans="1:3" x14ac:dyDescent="0.3">
      <c r="A2196" s="5" t="s">
        <v>2857</v>
      </c>
      <c r="B2196" t="s">
        <v>8591</v>
      </c>
      <c r="C2196" t="str">
        <f>IFERROR(VLOOKUP(ILACLISTE[[#This Row],[NAME]],Table5[#All],2,0),"")</f>
        <v/>
      </c>
    </row>
    <row r="2197" spans="1:3" x14ac:dyDescent="0.3">
      <c r="A2197" s="5" t="s">
        <v>2858</v>
      </c>
      <c r="B2197" t="s">
        <v>8592</v>
      </c>
      <c r="C2197" t="str">
        <f>IFERROR(VLOOKUP(ILACLISTE[[#This Row],[NAME]],Table5[#All],2,0),"")</f>
        <v/>
      </c>
    </row>
    <row r="2198" spans="1:3" x14ac:dyDescent="0.3">
      <c r="A2198" s="5" t="s">
        <v>2859</v>
      </c>
      <c r="B2198" t="s">
        <v>8593</v>
      </c>
      <c r="C2198" t="str">
        <f>IFERROR(VLOOKUP(ILACLISTE[[#This Row],[NAME]],Table5[#All],2,0),"")</f>
        <v/>
      </c>
    </row>
    <row r="2199" spans="1:3" x14ac:dyDescent="0.3">
      <c r="A2199" s="5" t="s">
        <v>2860</v>
      </c>
      <c r="B2199" t="s">
        <v>8594</v>
      </c>
      <c r="C2199" t="str">
        <f>IFERROR(VLOOKUP(ILACLISTE[[#This Row],[NAME]],Table5[#All],2,0),"")</f>
        <v/>
      </c>
    </row>
    <row r="2200" spans="1:3" x14ac:dyDescent="0.3">
      <c r="A2200" s="5" t="s">
        <v>2861</v>
      </c>
      <c r="B2200" t="s">
        <v>8595</v>
      </c>
      <c r="C2200" t="str">
        <f>IFERROR(VLOOKUP(ILACLISTE[[#This Row],[NAME]],Table5[#All],2,0),"")</f>
        <v/>
      </c>
    </row>
    <row r="2201" spans="1:3" x14ac:dyDescent="0.3">
      <c r="A2201" s="5" t="s">
        <v>2862</v>
      </c>
      <c r="B2201" t="s">
        <v>8596</v>
      </c>
      <c r="C2201" t="str">
        <f>IFERROR(VLOOKUP(ILACLISTE[[#This Row],[NAME]],Table5[#All],2,0),"")</f>
        <v/>
      </c>
    </row>
    <row r="2202" spans="1:3" x14ac:dyDescent="0.3">
      <c r="A2202" s="5" t="s">
        <v>2863</v>
      </c>
      <c r="B2202" t="s">
        <v>8597</v>
      </c>
      <c r="C2202" t="str">
        <f>IFERROR(VLOOKUP(ILACLISTE[[#This Row],[NAME]],Table5[#All],2,0),"")</f>
        <v/>
      </c>
    </row>
    <row r="2203" spans="1:3" x14ac:dyDescent="0.3">
      <c r="A2203" s="5" t="s">
        <v>2864</v>
      </c>
      <c r="B2203" t="s">
        <v>8598</v>
      </c>
      <c r="C2203" t="str">
        <f>IFERROR(VLOOKUP(ILACLISTE[[#This Row],[NAME]],Table5[#All],2,0),"")</f>
        <v/>
      </c>
    </row>
    <row r="2204" spans="1:3" x14ac:dyDescent="0.3">
      <c r="A2204" s="5" t="s">
        <v>2865</v>
      </c>
      <c r="B2204" t="s">
        <v>8599</v>
      </c>
      <c r="C2204" t="str">
        <f>IFERROR(VLOOKUP(ILACLISTE[[#This Row],[NAME]],Table5[#All],2,0),"")</f>
        <v/>
      </c>
    </row>
    <row r="2205" spans="1:3" x14ac:dyDescent="0.3">
      <c r="A2205" s="5" t="s">
        <v>2866</v>
      </c>
      <c r="B2205" t="s">
        <v>276</v>
      </c>
      <c r="C2205" t="str">
        <f>IFERROR(VLOOKUP(ILACLISTE[[#This Row],[NAME]],Table5[#All],2,0),"")</f>
        <v/>
      </c>
    </row>
    <row r="2206" spans="1:3" x14ac:dyDescent="0.3">
      <c r="A2206" s="5" t="s">
        <v>2867</v>
      </c>
      <c r="B2206" t="s">
        <v>8600</v>
      </c>
      <c r="C2206" t="str">
        <f>IFERROR(VLOOKUP(ILACLISTE[[#This Row],[NAME]],Table5[#All],2,0),"")</f>
        <v/>
      </c>
    </row>
    <row r="2207" spans="1:3" x14ac:dyDescent="0.3">
      <c r="A2207" s="5" t="s">
        <v>2868</v>
      </c>
      <c r="B2207" t="s">
        <v>8601</v>
      </c>
      <c r="C2207" t="str">
        <f>IFERROR(VLOOKUP(ILACLISTE[[#This Row],[NAME]],Table5[#All],2,0),"")</f>
        <v/>
      </c>
    </row>
    <row r="2208" spans="1:3" x14ac:dyDescent="0.3">
      <c r="A2208" s="5" t="s">
        <v>2869</v>
      </c>
      <c r="B2208" t="s">
        <v>8602</v>
      </c>
      <c r="C2208" t="str">
        <f>IFERROR(VLOOKUP(ILACLISTE[[#This Row],[NAME]],Table5[#All],2,0),"")</f>
        <v/>
      </c>
    </row>
    <row r="2209" spans="1:3" x14ac:dyDescent="0.3">
      <c r="A2209" s="5" t="s">
        <v>2870</v>
      </c>
      <c r="B2209" t="s">
        <v>277</v>
      </c>
      <c r="C2209" t="str">
        <f>IFERROR(VLOOKUP(ILACLISTE[[#This Row],[NAME]],Table5[#All],2,0),"")</f>
        <v/>
      </c>
    </row>
    <row r="2210" spans="1:3" x14ac:dyDescent="0.3">
      <c r="A2210" s="5" t="s">
        <v>2871</v>
      </c>
      <c r="B2210" t="s">
        <v>8603</v>
      </c>
      <c r="C2210" t="str">
        <f>IFERROR(VLOOKUP(ILACLISTE[[#This Row],[NAME]],Table5[#All],2,0),"")</f>
        <v/>
      </c>
    </row>
    <row r="2211" spans="1:3" x14ac:dyDescent="0.3">
      <c r="A2211" s="5" t="s">
        <v>2872</v>
      </c>
      <c r="B2211" t="s">
        <v>8604</v>
      </c>
      <c r="C2211" t="str">
        <f>IFERROR(VLOOKUP(ILACLISTE[[#This Row],[NAME]],Table5[#All],2,0),"")</f>
        <v/>
      </c>
    </row>
    <row r="2212" spans="1:3" x14ac:dyDescent="0.3">
      <c r="A2212" s="5" t="s">
        <v>2873</v>
      </c>
      <c r="B2212" t="s">
        <v>8605</v>
      </c>
      <c r="C2212" t="str">
        <f>IFERROR(VLOOKUP(ILACLISTE[[#This Row],[NAME]],Table5[#All],2,0),"")</f>
        <v/>
      </c>
    </row>
    <row r="2213" spans="1:3" x14ac:dyDescent="0.3">
      <c r="A2213" s="5" t="s">
        <v>2874</v>
      </c>
      <c r="B2213" t="s">
        <v>8606</v>
      </c>
      <c r="C2213" t="str">
        <f>IFERROR(VLOOKUP(ILACLISTE[[#This Row],[NAME]],Table5[#All],2,0),"")</f>
        <v/>
      </c>
    </row>
    <row r="2214" spans="1:3" x14ac:dyDescent="0.3">
      <c r="A2214" s="5" t="s">
        <v>2875</v>
      </c>
      <c r="B2214" t="s">
        <v>8607</v>
      </c>
      <c r="C2214" t="str">
        <f>IFERROR(VLOOKUP(ILACLISTE[[#This Row],[NAME]],Table5[#All],2,0),"")</f>
        <v/>
      </c>
    </row>
    <row r="2215" spans="1:3" x14ac:dyDescent="0.3">
      <c r="A2215" s="5" t="s">
        <v>2876</v>
      </c>
      <c r="B2215" t="s">
        <v>8608</v>
      </c>
      <c r="C2215" t="str">
        <f>IFERROR(VLOOKUP(ILACLISTE[[#This Row],[NAME]],Table5[#All],2,0),"")</f>
        <v/>
      </c>
    </row>
    <row r="2216" spans="1:3" x14ac:dyDescent="0.3">
      <c r="A2216" s="5" t="s">
        <v>2877</v>
      </c>
      <c r="B2216" t="s">
        <v>278</v>
      </c>
      <c r="C2216" t="str">
        <f>IFERROR(VLOOKUP(ILACLISTE[[#This Row],[NAME]],Table5[#All],2,0),"")</f>
        <v/>
      </c>
    </row>
    <row r="2217" spans="1:3" x14ac:dyDescent="0.3">
      <c r="A2217" s="5" t="s">
        <v>2878</v>
      </c>
      <c r="B2217" t="s">
        <v>279</v>
      </c>
      <c r="C2217" t="str">
        <f>IFERROR(VLOOKUP(ILACLISTE[[#This Row],[NAME]],Table5[#All],2,0),"")</f>
        <v/>
      </c>
    </row>
    <row r="2218" spans="1:3" x14ac:dyDescent="0.3">
      <c r="A2218" s="5" t="s">
        <v>2879</v>
      </c>
      <c r="B2218" t="s">
        <v>280</v>
      </c>
      <c r="C2218" t="str">
        <f>IFERROR(VLOOKUP(ILACLISTE[[#This Row],[NAME]],Table5[#All],2,0),"")</f>
        <v/>
      </c>
    </row>
    <row r="2219" spans="1:3" x14ac:dyDescent="0.3">
      <c r="A2219" s="5" t="s">
        <v>2880</v>
      </c>
      <c r="B2219" t="s">
        <v>8609</v>
      </c>
      <c r="C2219" t="str">
        <f>IFERROR(VLOOKUP(ILACLISTE[[#This Row],[NAME]],Table5[#All],2,0),"")</f>
        <v/>
      </c>
    </row>
    <row r="2220" spans="1:3" x14ac:dyDescent="0.3">
      <c r="A2220" s="5" t="s">
        <v>2881</v>
      </c>
      <c r="B2220" t="s">
        <v>281</v>
      </c>
      <c r="C2220" t="str">
        <f>IFERROR(VLOOKUP(ILACLISTE[[#This Row],[NAME]],Table5[#All],2,0),"")</f>
        <v/>
      </c>
    </row>
    <row r="2221" spans="1:3" x14ac:dyDescent="0.3">
      <c r="A2221" s="5" t="s">
        <v>2882</v>
      </c>
      <c r="B2221" t="s">
        <v>282</v>
      </c>
      <c r="C2221" t="str">
        <f>IFERROR(VLOOKUP(ILACLISTE[[#This Row],[NAME]],Table5[#All],2,0),"")</f>
        <v/>
      </c>
    </row>
    <row r="2222" spans="1:3" x14ac:dyDescent="0.3">
      <c r="A2222" s="5" t="s">
        <v>2883</v>
      </c>
      <c r="B2222" t="s">
        <v>8610</v>
      </c>
      <c r="C2222" t="str">
        <f>IFERROR(VLOOKUP(ILACLISTE[[#This Row],[NAME]],Table5[#All],2,0),"")</f>
        <v/>
      </c>
    </row>
    <row r="2223" spans="1:3" x14ac:dyDescent="0.3">
      <c r="A2223" s="5" t="s">
        <v>2884</v>
      </c>
      <c r="B2223" t="s">
        <v>8611</v>
      </c>
      <c r="C2223" t="str">
        <f>IFERROR(VLOOKUP(ILACLISTE[[#This Row],[NAME]],Table5[#All],2,0),"")</f>
        <v/>
      </c>
    </row>
    <row r="2224" spans="1:3" x14ac:dyDescent="0.3">
      <c r="A2224" s="5" t="s">
        <v>2885</v>
      </c>
      <c r="B2224" t="s">
        <v>8612</v>
      </c>
      <c r="C2224" t="str">
        <f>IFERROR(VLOOKUP(ILACLISTE[[#This Row],[NAME]],Table5[#All],2,0),"")</f>
        <v/>
      </c>
    </row>
    <row r="2225" spans="1:3" x14ac:dyDescent="0.3">
      <c r="A2225" s="5" t="s">
        <v>2886</v>
      </c>
      <c r="B2225" t="s">
        <v>8613</v>
      </c>
      <c r="C2225" t="str">
        <f>IFERROR(VLOOKUP(ILACLISTE[[#This Row],[NAME]],Table5[#All],2,0),"")</f>
        <v/>
      </c>
    </row>
    <row r="2226" spans="1:3" x14ac:dyDescent="0.3">
      <c r="A2226" s="5" t="s">
        <v>2887</v>
      </c>
      <c r="B2226" t="s">
        <v>8614</v>
      </c>
      <c r="C2226" t="str">
        <f>IFERROR(VLOOKUP(ILACLISTE[[#This Row],[NAME]],Table5[#All],2,0),"")</f>
        <v/>
      </c>
    </row>
    <row r="2227" spans="1:3" x14ac:dyDescent="0.3">
      <c r="A2227" s="5" t="s">
        <v>2888</v>
      </c>
      <c r="B2227" t="s">
        <v>8615</v>
      </c>
      <c r="C2227" t="str">
        <f>IFERROR(VLOOKUP(ILACLISTE[[#This Row],[NAME]],Table5[#All],2,0),"")</f>
        <v/>
      </c>
    </row>
    <row r="2228" spans="1:3" x14ac:dyDescent="0.3">
      <c r="A2228" s="5" t="s">
        <v>2889</v>
      </c>
      <c r="B2228" t="s">
        <v>8616</v>
      </c>
      <c r="C2228" t="str">
        <f>IFERROR(VLOOKUP(ILACLISTE[[#This Row],[NAME]],Table5[#All],2,0),"")</f>
        <v/>
      </c>
    </row>
    <row r="2229" spans="1:3" x14ac:dyDescent="0.3">
      <c r="A2229" s="5" t="s">
        <v>2890</v>
      </c>
      <c r="B2229" t="s">
        <v>8617</v>
      </c>
      <c r="C2229" t="str">
        <f>IFERROR(VLOOKUP(ILACLISTE[[#This Row],[NAME]],Table5[#All],2,0),"")</f>
        <v/>
      </c>
    </row>
    <row r="2230" spans="1:3" x14ac:dyDescent="0.3">
      <c r="A2230" s="5" t="s">
        <v>2891</v>
      </c>
      <c r="B2230" t="s">
        <v>8618</v>
      </c>
      <c r="C2230" t="str">
        <f>IFERROR(VLOOKUP(ILACLISTE[[#This Row],[NAME]],Table5[#All],2,0),"")</f>
        <v/>
      </c>
    </row>
    <row r="2231" spans="1:3" x14ac:dyDescent="0.3">
      <c r="A2231" s="5" t="s">
        <v>2892</v>
      </c>
      <c r="B2231" t="s">
        <v>8619</v>
      </c>
      <c r="C2231" t="str">
        <f>IFERROR(VLOOKUP(ILACLISTE[[#This Row],[NAME]],Table5[#All],2,0),"")</f>
        <v/>
      </c>
    </row>
    <row r="2232" spans="1:3" x14ac:dyDescent="0.3">
      <c r="A2232" s="5" t="s">
        <v>2893</v>
      </c>
      <c r="B2232" t="s">
        <v>8620</v>
      </c>
      <c r="C2232" t="str">
        <f>IFERROR(VLOOKUP(ILACLISTE[[#This Row],[NAME]],Table5[#All],2,0),"")</f>
        <v/>
      </c>
    </row>
    <row r="2233" spans="1:3" x14ac:dyDescent="0.3">
      <c r="A2233" s="5" t="s">
        <v>2894</v>
      </c>
      <c r="B2233" t="s">
        <v>8621</v>
      </c>
      <c r="C2233" t="str">
        <f>IFERROR(VLOOKUP(ILACLISTE[[#This Row],[NAME]],Table5[#All],2,0),"")</f>
        <v/>
      </c>
    </row>
    <row r="2234" spans="1:3" x14ac:dyDescent="0.3">
      <c r="A2234" s="5" t="s">
        <v>2895</v>
      </c>
      <c r="B2234" t="s">
        <v>8622</v>
      </c>
      <c r="C2234" t="str">
        <f>IFERROR(VLOOKUP(ILACLISTE[[#This Row],[NAME]],Table5[#All],2,0),"")</f>
        <v/>
      </c>
    </row>
    <row r="2235" spans="1:3" x14ac:dyDescent="0.3">
      <c r="A2235" s="5" t="s">
        <v>2896</v>
      </c>
      <c r="B2235" t="s">
        <v>283</v>
      </c>
      <c r="C2235" t="str">
        <f>IFERROR(VLOOKUP(ILACLISTE[[#This Row],[NAME]],Table5[#All],2,0),"")</f>
        <v/>
      </c>
    </row>
    <row r="2236" spans="1:3" x14ac:dyDescent="0.3">
      <c r="A2236" s="5" t="s">
        <v>2897</v>
      </c>
      <c r="B2236" t="s">
        <v>8623</v>
      </c>
      <c r="C2236" t="str">
        <f>IFERROR(VLOOKUP(ILACLISTE[[#This Row],[NAME]],Table5[#All],2,0),"")</f>
        <v/>
      </c>
    </row>
    <row r="2237" spans="1:3" x14ac:dyDescent="0.3">
      <c r="A2237" s="5" t="s">
        <v>2898</v>
      </c>
      <c r="B2237" t="s">
        <v>8624</v>
      </c>
      <c r="C2237" t="str">
        <f>IFERROR(VLOOKUP(ILACLISTE[[#This Row],[NAME]],Table5[#All],2,0),"")</f>
        <v/>
      </c>
    </row>
    <row r="2238" spans="1:3" x14ac:dyDescent="0.3">
      <c r="A2238" s="5" t="s">
        <v>2899</v>
      </c>
      <c r="B2238" t="s">
        <v>8625</v>
      </c>
      <c r="C2238" t="str">
        <f>IFERROR(VLOOKUP(ILACLISTE[[#This Row],[NAME]],Table5[#All],2,0),"")</f>
        <v/>
      </c>
    </row>
    <row r="2239" spans="1:3" x14ac:dyDescent="0.3">
      <c r="A2239" s="5" t="s">
        <v>2900</v>
      </c>
      <c r="B2239" t="s">
        <v>284</v>
      </c>
      <c r="C2239" t="str">
        <f>IFERROR(VLOOKUP(ILACLISTE[[#This Row],[NAME]],Table5[#All],2,0),"")</f>
        <v/>
      </c>
    </row>
    <row r="2240" spans="1:3" x14ac:dyDescent="0.3">
      <c r="A2240" s="5" t="s">
        <v>2901</v>
      </c>
      <c r="B2240" t="s">
        <v>8626</v>
      </c>
      <c r="C2240" t="str">
        <f>IFERROR(VLOOKUP(ILACLISTE[[#This Row],[NAME]],Table5[#All],2,0),"")</f>
        <v/>
      </c>
    </row>
    <row r="2241" spans="1:3" x14ac:dyDescent="0.3">
      <c r="A2241" s="5" t="s">
        <v>2902</v>
      </c>
      <c r="B2241" t="s">
        <v>8627</v>
      </c>
      <c r="C2241" t="str">
        <f>IFERROR(VLOOKUP(ILACLISTE[[#This Row],[NAME]],Table5[#All],2,0),"")</f>
        <v/>
      </c>
    </row>
    <row r="2242" spans="1:3" x14ac:dyDescent="0.3">
      <c r="A2242" s="5" t="s">
        <v>2903</v>
      </c>
      <c r="B2242" t="s">
        <v>8628</v>
      </c>
      <c r="C2242" t="str">
        <f>IFERROR(VLOOKUP(ILACLISTE[[#This Row],[NAME]],Table5[#All],2,0),"")</f>
        <v/>
      </c>
    </row>
    <row r="2243" spans="1:3" x14ac:dyDescent="0.3">
      <c r="A2243" s="5" t="s">
        <v>2904</v>
      </c>
      <c r="B2243" t="s">
        <v>285</v>
      </c>
      <c r="C2243" t="str">
        <f>IFERROR(VLOOKUP(ILACLISTE[[#This Row],[NAME]],Table5[#All],2,0),"")</f>
        <v/>
      </c>
    </row>
    <row r="2244" spans="1:3" x14ac:dyDescent="0.3">
      <c r="A2244" s="5" t="s">
        <v>2905</v>
      </c>
      <c r="B2244" t="s">
        <v>8629</v>
      </c>
      <c r="C2244" t="str">
        <f>IFERROR(VLOOKUP(ILACLISTE[[#This Row],[NAME]],Table5[#All],2,0),"")</f>
        <v/>
      </c>
    </row>
    <row r="2245" spans="1:3" x14ac:dyDescent="0.3">
      <c r="A2245" s="5" t="s">
        <v>2906</v>
      </c>
      <c r="B2245" t="s">
        <v>8630</v>
      </c>
      <c r="C2245" t="str">
        <f>IFERROR(VLOOKUP(ILACLISTE[[#This Row],[NAME]],Table5[#All],2,0),"")</f>
        <v/>
      </c>
    </row>
    <row r="2246" spans="1:3" x14ac:dyDescent="0.3">
      <c r="A2246" s="5" t="s">
        <v>2907</v>
      </c>
      <c r="B2246" t="s">
        <v>8631</v>
      </c>
      <c r="C2246" t="str">
        <f>IFERROR(VLOOKUP(ILACLISTE[[#This Row],[NAME]],Table5[#All],2,0),"")</f>
        <v/>
      </c>
    </row>
    <row r="2247" spans="1:3" x14ac:dyDescent="0.3">
      <c r="A2247" s="5" t="s">
        <v>2908</v>
      </c>
      <c r="B2247" t="s">
        <v>8632</v>
      </c>
      <c r="C2247" t="str">
        <f>IFERROR(VLOOKUP(ILACLISTE[[#This Row],[NAME]],Table5[#All],2,0),"")</f>
        <v/>
      </c>
    </row>
    <row r="2248" spans="1:3" x14ac:dyDescent="0.3">
      <c r="A2248" s="5" t="s">
        <v>2909</v>
      </c>
      <c r="B2248" t="s">
        <v>8633</v>
      </c>
      <c r="C2248" t="str">
        <f>IFERROR(VLOOKUP(ILACLISTE[[#This Row],[NAME]],Table5[#All],2,0),"")</f>
        <v/>
      </c>
    </row>
    <row r="2249" spans="1:3" x14ac:dyDescent="0.3">
      <c r="A2249" s="5" t="s">
        <v>2910</v>
      </c>
      <c r="B2249" t="s">
        <v>8634</v>
      </c>
      <c r="C2249" t="str">
        <f>IFERROR(VLOOKUP(ILACLISTE[[#This Row],[NAME]],Table5[#All],2,0),"")</f>
        <v/>
      </c>
    </row>
    <row r="2250" spans="1:3" x14ac:dyDescent="0.3">
      <c r="A2250" s="5" t="s">
        <v>2911</v>
      </c>
      <c r="B2250" t="s">
        <v>8635</v>
      </c>
      <c r="C2250" t="str">
        <f>IFERROR(VLOOKUP(ILACLISTE[[#This Row],[NAME]],Table5[#All],2,0),"")</f>
        <v/>
      </c>
    </row>
    <row r="2251" spans="1:3" x14ac:dyDescent="0.3">
      <c r="A2251" s="5" t="s">
        <v>2912</v>
      </c>
      <c r="B2251" t="s">
        <v>8636</v>
      </c>
      <c r="C2251" t="str">
        <f>IFERROR(VLOOKUP(ILACLISTE[[#This Row],[NAME]],Table5[#All],2,0),"")</f>
        <v/>
      </c>
    </row>
    <row r="2252" spans="1:3" x14ac:dyDescent="0.3">
      <c r="A2252" s="5" t="s">
        <v>2913</v>
      </c>
      <c r="B2252" t="s">
        <v>286</v>
      </c>
      <c r="C2252" t="str">
        <f>IFERROR(VLOOKUP(ILACLISTE[[#This Row],[NAME]],Table5[#All],2,0),"")</f>
        <v/>
      </c>
    </row>
    <row r="2253" spans="1:3" x14ac:dyDescent="0.3">
      <c r="A2253" s="5" t="s">
        <v>2914</v>
      </c>
      <c r="B2253" t="s">
        <v>8637</v>
      </c>
      <c r="C2253" t="str">
        <f>IFERROR(VLOOKUP(ILACLISTE[[#This Row],[NAME]],Table5[#All],2,0),"")</f>
        <v/>
      </c>
    </row>
    <row r="2254" spans="1:3" x14ac:dyDescent="0.3">
      <c r="A2254" s="5" t="s">
        <v>2915</v>
      </c>
      <c r="B2254" t="s">
        <v>8638</v>
      </c>
      <c r="C2254" t="str">
        <f>IFERROR(VLOOKUP(ILACLISTE[[#This Row],[NAME]],Table5[#All],2,0),"")</f>
        <v/>
      </c>
    </row>
    <row r="2255" spans="1:3" x14ac:dyDescent="0.3">
      <c r="A2255" s="5" t="s">
        <v>2916</v>
      </c>
      <c r="B2255" t="s">
        <v>8639</v>
      </c>
      <c r="C2255" t="str">
        <f>IFERROR(VLOOKUP(ILACLISTE[[#This Row],[NAME]],Table5[#All],2,0),"")</f>
        <v/>
      </c>
    </row>
    <row r="2256" spans="1:3" x14ac:dyDescent="0.3">
      <c r="A2256" s="5" t="s">
        <v>2917</v>
      </c>
      <c r="B2256" t="s">
        <v>8640</v>
      </c>
      <c r="C2256" t="str">
        <f>IFERROR(VLOOKUP(ILACLISTE[[#This Row],[NAME]],Table5[#All],2,0),"")</f>
        <v/>
      </c>
    </row>
    <row r="2257" spans="1:3" x14ac:dyDescent="0.3">
      <c r="A2257" s="5" t="s">
        <v>2918</v>
      </c>
      <c r="B2257" t="s">
        <v>8641</v>
      </c>
      <c r="C2257" t="str">
        <f>IFERROR(VLOOKUP(ILACLISTE[[#This Row],[NAME]],Table5[#All],2,0),"")</f>
        <v/>
      </c>
    </row>
    <row r="2258" spans="1:3" x14ac:dyDescent="0.3">
      <c r="A2258" s="5" t="s">
        <v>2919</v>
      </c>
      <c r="B2258" t="s">
        <v>8642</v>
      </c>
      <c r="C2258" t="str">
        <f>IFERROR(VLOOKUP(ILACLISTE[[#This Row],[NAME]],Table5[#All],2,0),"")</f>
        <v/>
      </c>
    </row>
    <row r="2259" spans="1:3" x14ac:dyDescent="0.3">
      <c r="A2259" s="5" t="s">
        <v>2920</v>
      </c>
      <c r="B2259" t="s">
        <v>8643</v>
      </c>
      <c r="C2259" t="str">
        <f>IFERROR(VLOOKUP(ILACLISTE[[#This Row],[NAME]],Table5[#All],2,0),"")</f>
        <v/>
      </c>
    </row>
    <row r="2260" spans="1:3" x14ac:dyDescent="0.3">
      <c r="A2260" s="5" t="s">
        <v>2921</v>
      </c>
      <c r="B2260" t="s">
        <v>8644</v>
      </c>
      <c r="C2260" t="str">
        <f>IFERROR(VLOOKUP(ILACLISTE[[#This Row],[NAME]],Table5[#All],2,0),"")</f>
        <v/>
      </c>
    </row>
    <row r="2261" spans="1:3" x14ac:dyDescent="0.3">
      <c r="A2261" s="5" t="s">
        <v>2922</v>
      </c>
      <c r="B2261" t="s">
        <v>8645</v>
      </c>
      <c r="C2261" t="str">
        <f>IFERROR(VLOOKUP(ILACLISTE[[#This Row],[NAME]],Table5[#All],2,0),"")</f>
        <v/>
      </c>
    </row>
    <row r="2262" spans="1:3" x14ac:dyDescent="0.3">
      <c r="A2262" s="5" t="s">
        <v>2923</v>
      </c>
      <c r="B2262" t="s">
        <v>8646</v>
      </c>
      <c r="C2262" t="str">
        <f>IFERROR(VLOOKUP(ILACLISTE[[#This Row],[NAME]],Table5[#All],2,0),"")</f>
        <v/>
      </c>
    </row>
    <row r="2263" spans="1:3" x14ac:dyDescent="0.3">
      <c r="A2263" s="5" t="s">
        <v>2924</v>
      </c>
      <c r="B2263" t="s">
        <v>8647</v>
      </c>
      <c r="C2263" t="str">
        <f>IFERROR(VLOOKUP(ILACLISTE[[#This Row],[NAME]],Table5[#All],2,0),"")</f>
        <v/>
      </c>
    </row>
    <row r="2264" spans="1:3" x14ac:dyDescent="0.3">
      <c r="A2264" s="5" t="s">
        <v>2925</v>
      </c>
      <c r="B2264" t="s">
        <v>8648</v>
      </c>
      <c r="C2264" t="str">
        <f>IFERROR(VLOOKUP(ILACLISTE[[#This Row],[NAME]],Table5[#All],2,0),"")</f>
        <v/>
      </c>
    </row>
    <row r="2265" spans="1:3" x14ac:dyDescent="0.3">
      <c r="A2265" s="5" t="s">
        <v>2926</v>
      </c>
      <c r="B2265" t="s">
        <v>287</v>
      </c>
      <c r="C2265" t="str">
        <f>IFERROR(VLOOKUP(ILACLISTE[[#This Row],[NAME]],Table5[#All],2,0),"")</f>
        <v/>
      </c>
    </row>
    <row r="2266" spans="1:3" x14ac:dyDescent="0.3">
      <c r="A2266" s="5" t="s">
        <v>2927</v>
      </c>
      <c r="B2266" t="s">
        <v>8649</v>
      </c>
      <c r="C2266" t="str">
        <f>IFERROR(VLOOKUP(ILACLISTE[[#This Row],[NAME]],Table5[#All],2,0),"")</f>
        <v/>
      </c>
    </row>
    <row r="2267" spans="1:3" x14ac:dyDescent="0.3">
      <c r="A2267" s="5" t="s">
        <v>2928</v>
      </c>
      <c r="B2267" t="s">
        <v>8650</v>
      </c>
      <c r="C2267" t="str">
        <f>IFERROR(VLOOKUP(ILACLISTE[[#This Row],[NAME]],Table5[#All],2,0),"")</f>
        <v/>
      </c>
    </row>
    <row r="2268" spans="1:3" x14ac:dyDescent="0.3">
      <c r="A2268" s="5" t="s">
        <v>2929</v>
      </c>
      <c r="B2268" t="s">
        <v>8651</v>
      </c>
      <c r="C2268" t="str">
        <f>IFERROR(VLOOKUP(ILACLISTE[[#This Row],[NAME]],Table5[#All],2,0),"")</f>
        <v/>
      </c>
    </row>
    <row r="2269" spans="1:3" x14ac:dyDescent="0.3">
      <c r="A2269" s="5" t="s">
        <v>2930</v>
      </c>
      <c r="B2269" t="s">
        <v>8652</v>
      </c>
      <c r="C2269" t="str">
        <f>IFERROR(VLOOKUP(ILACLISTE[[#This Row],[NAME]],Table5[#All],2,0),"")</f>
        <v/>
      </c>
    </row>
    <row r="2270" spans="1:3" x14ac:dyDescent="0.3">
      <c r="A2270" s="5" t="s">
        <v>2931</v>
      </c>
      <c r="B2270" t="s">
        <v>8653</v>
      </c>
      <c r="C2270" t="str">
        <f>IFERROR(VLOOKUP(ILACLISTE[[#This Row],[NAME]],Table5[#All],2,0),"")</f>
        <v/>
      </c>
    </row>
    <row r="2271" spans="1:3" x14ac:dyDescent="0.3">
      <c r="A2271" s="5" t="s">
        <v>2932</v>
      </c>
      <c r="B2271" t="s">
        <v>8654</v>
      </c>
      <c r="C2271" t="str">
        <f>IFERROR(VLOOKUP(ILACLISTE[[#This Row],[NAME]],Table5[#All],2,0),"")</f>
        <v/>
      </c>
    </row>
    <row r="2272" spans="1:3" x14ac:dyDescent="0.3">
      <c r="A2272" s="5" t="s">
        <v>2933</v>
      </c>
      <c r="B2272" t="s">
        <v>8655</v>
      </c>
      <c r="C2272" t="str">
        <f>IFERROR(VLOOKUP(ILACLISTE[[#This Row],[NAME]],Table5[#All],2,0),"")</f>
        <v/>
      </c>
    </row>
    <row r="2273" spans="1:3" x14ac:dyDescent="0.3">
      <c r="A2273" s="5" t="s">
        <v>2934</v>
      </c>
      <c r="B2273" t="s">
        <v>8656</v>
      </c>
      <c r="C2273" t="str">
        <f>IFERROR(VLOOKUP(ILACLISTE[[#This Row],[NAME]],Table5[#All],2,0),"")</f>
        <v/>
      </c>
    </row>
    <row r="2274" spans="1:3" x14ac:dyDescent="0.3">
      <c r="A2274" s="5" t="s">
        <v>2935</v>
      </c>
      <c r="B2274" t="s">
        <v>8657</v>
      </c>
      <c r="C2274" t="str">
        <f>IFERROR(VLOOKUP(ILACLISTE[[#This Row],[NAME]],Table5[#All],2,0),"")</f>
        <v/>
      </c>
    </row>
    <row r="2275" spans="1:3" x14ac:dyDescent="0.3">
      <c r="A2275" s="5" t="s">
        <v>2936</v>
      </c>
      <c r="B2275" t="s">
        <v>8658</v>
      </c>
      <c r="C2275" t="str">
        <f>IFERROR(VLOOKUP(ILACLISTE[[#This Row],[NAME]],Table5[#All],2,0),"")</f>
        <v/>
      </c>
    </row>
    <row r="2276" spans="1:3" x14ac:dyDescent="0.3">
      <c r="A2276" s="5" t="s">
        <v>2937</v>
      </c>
      <c r="B2276" t="s">
        <v>8659</v>
      </c>
      <c r="C2276" t="str">
        <f>IFERROR(VLOOKUP(ILACLISTE[[#This Row],[NAME]],Table5[#All],2,0),"")</f>
        <v/>
      </c>
    </row>
    <row r="2277" spans="1:3" x14ac:dyDescent="0.3">
      <c r="A2277" s="5" t="s">
        <v>2938</v>
      </c>
      <c r="B2277" t="s">
        <v>8660</v>
      </c>
      <c r="C2277" t="str">
        <f>IFERROR(VLOOKUP(ILACLISTE[[#This Row],[NAME]],Table5[#All],2,0),"")</f>
        <v/>
      </c>
    </row>
    <row r="2278" spans="1:3" x14ac:dyDescent="0.3">
      <c r="A2278" s="5" t="s">
        <v>2939</v>
      </c>
      <c r="B2278" t="s">
        <v>8661</v>
      </c>
      <c r="C2278" t="str">
        <f>IFERROR(VLOOKUP(ILACLISTE[[#This Row],[NAME]],Table5[#All],2,0),"")</f>
        <v/>
      </c>
    </row>
    <row r="2279" spans="1:3" x14ac:dyDescent="0.3">
      <c r="A2279" s="5" t="s">
        <v>2940</v>
      </c>
      <c r="B2279" t="s">
        <v>8662</v>
      </c>
      <c r="C2279" t="str">
        <f>IFERROR(VLOOKUP(ILACLISTE[[#This Row],[NAME]],Table5[#All],2,0),"")</f>
        <v/>
      </c>
    </row>
    <row r="2280" spans="1:3" x14ac:dyDescent="0.3">
      <c r="A2280" s="5" t="s">
        <v>2941</v>
      </c>
      <c r="B2280" t="s">
        <v>8663</v>
      </c>
      <c r="C2280" t="str">
        <f>IFERROR(VLOOKUP(ILACLISTE[[#This Row],[NAME]],Table5[#All],2,0),"")</f>
        <v/>
      </c>
    </row>
    <row r="2281" spans="1:3" x14ac:dyDescent="0.3">
      <c r="A2281" s="5" t="s">
        <v>2942</v>
      </c>
      <c r="B2281" t="s">
        <v>8664</v>
      </c>
      <c r="C2281" t="str">
        <f>IFERROR(VLOOKUP(ILACLISTE[[#This Row],[NAME]],Table5[#All],2,0),"")</f>
        <v/>
      </c>
    </row>
    <row r="2282" spans="1:3" ht="20.399999999999999" x14ac:dyDescent="0.3">
      <c r="A2282" s="7" t="s">
        <v>2943</v>
      </c>
      <c r="B2282" t="s">
        <v>8665</v>
      </c>
      <c r="C2282" t="str">
        <f>IFERROR(VLOOKUP(ILACLISTE[[#This Row],[NAME]],Table5[#All],2,0),"")</f>
        <v/>
      </c>
    </row>
    <row r="2283" spans="1:3" x14ac:dyDescent="0.3">
      <c r="A2283" s="5" t="s">
        <v>2944</v>
      </c>
      <c r="B2283" t="s">
        <v>8666</v>
      </c>
      <c r="C2283" t="str">
        <f>IFERROR(VLOOKUP(ILACLISTE[[#This Row],[NAME]],Table5[#All],2,0),"")</f>
        <v/>
      </c>
    </row>
    <row r="2284" spans="1:3" x14ac:dyDescent="0.3">
      <c r="A2284" s="5" t="s">
        <v>2945</v>
      </c>
      <c r="B2284" t="s">
        <v>8667</v>
      </c>
      <c r="C2284" t="str">
        <f>IFERROR(VLOOKUP(ILACLISTE[[#This Row],[NAME]],Table5[#All],2,0),"")</f>
        <v/>
      </c>
    </row>
    <row r="2285" spans="1:3" x14ac:dyDescent="0.3">
      <c r="A2285" s="5" t="s">
        <v>2946</v>
      </c>
      <c r="B2285" t="s">
        <v>8668</v>
      </c>
      <c r="C2285" t="str">
        <f>IFERROR(VLOOKUP(ILACLISTE[[#This Row],[NAME]],Table5[#All],2,0),"")</f>
        <v/>
      </c>
    </row>
    <row r="2286" spans="1:3" x14ac:dyDescent="0.3">
      <c r="A2286" s="5" t="s">
        <v>2947</v>
      </c>
      <c r="B2286" t="s">
        <v>8669</v>
      </c>
      <c r="C2286" t="str">
        <f>IFERROR(VLOOKUP(ILACLISTE[[#This Row],[NAME]],Table5[#All],2,0),"")</f>
        <v/>
      </c>
    </row>
    <row r="2287" spans="1:3" x14ac:dyDescent="0.3">
      <c r="A2287" s="5" t="s">
        <v>2948</v>
      </c>
      <c r="B2287" t="s">
        <v>8670</v>
      </c>
      <c r="C2287" t="str">
        <f>IFERROR(VLOOKUP(ILACLISTE[[#This Row],[NAME]],Table5[#All],2,0),"")</f>
        <v/>
      </c>
    </row>
    <row r="2288" spans="1:3" x14ac:dyDescent="0.3">
      <c r="A2288" s="5" t="s">
        <v>2949</v>
      </c>
      <c r="B2288" t="s">
        <v>8671</v>
      </c>
      <c r="C2288" t="str">
        <f>IFERROR(VLOOKUP(ILACLISTE[[#This Row],[NAME]],Table5[#All],2,0),"")</f>
        <v/>
      </c>
    </row>
    <row r="2289" spans="1:3" x14ac:dyDescent="0.3">
      <c r="A2289" s="5" t="s">
        <v>2950</v>
      </c>
      <c r="B2289" t="s">
        <v>8672</v>
      </c>
      <c r="C2289" t="str">
        <f>IFERROR(VLOOKUP(ILACLISTE[[#This Row],[NAME]],Table5[#All],2,0),"")</f>
        <v/>
      </c>
    </row>
    <row r="2290" spans="1:3" x14ac:dyDescent="0.3">
      <c r="A2290" s="5" t="s">
        <v>2951</v>
      </c>
      <c r="B2290" t="s">
        <v>8673</v>
      </c>
      <c r="C2290" t="str">
        <f>IFERROR(VLOOKUP(ILACLISTE[[#This Row],[NAME]],Table5[#All],2,0),"")</f>
        <v/>
      </c>
    </row>
    <row r="2291" spans="1:3" x14ac:dyDescent="0.3">
      <c r="A2291" s="5" t="s">
        <v>2952</v>
      </c>
      <c r="B2291" t="s">
        <v>8674</v>
      </c>
      <c r="C2291" t="str">
        <f>IFERROR(VLOOKUP(ILACLISTE[[#This Row],[NAME]],Table5[#All],2,0),"")</f>
        <v/>
      </c>
    </row>
    <row r="2292" spans="1:3" x14ac:dyDescent="0.3">
      <c r="A2292" s="5" t="s">
        <v>2953</v>
      </c>
      <c r="B2292" t="s">
        <v>8675</v>
      </c>
      <c r="C2292" t="str">
        <f>IFERROR(VLOOKUP(ILACLISTE[[#This Row],[NAME]],Table5[#All],2,0),"")</f>
        <v/>
      </c>
    </row>
    <row r="2293" spans="1:3" x14ac:dyDescent="0.3">
      <c r="A2293" s="5" t="s">
        <v>2954</v>
      </c>
      <c r="B2293" t="s">
        <v>288</v>
      </c>
      <c r="C2293" t="str">
        <f>IFERROR(VLOOKUP(ILACLISTE[[#This Row],[NAME]],Table5[#All],2,0),"")</f>
        <v/>
      </c>
    </row>
    <row r="2294" spans="1:3" x14ac:dyDescent="0.3">
      <c r="A2294" s="5" t="s">
        <v>2955</v>
      </c>
      <c r="B2294" t="s">
        <v>8676</v>
      </c>
      <c r="C2294" t="str">
        <f>IFERROR(VLOOKUP(ILACLISTE[[#This Row],[NAME]],Table5[#All],2,0),"")</f>
        <v/>
      </c>
    </row>
    <row r="2295" spans="1:3" x14ac:dyDescent="0.3">
      <c r="A2295" s="5" t="s">
        <v>2956</v>
      </c>
      <c r="B2295" t="s">
        <v>8677</v>
      </c>
      <c r="C2295" t="str">
        <f>IFERROR(VLOOKUP(ILACLISTE[[#This Row],[NAME]],Table5[#All],2,0),"")</f>
        <v/>
      </c>
    </row>
    <row r="2296" spans="1:3" x14ac:dyDescent="0.3">
      <c r="A2296" s="5" t="s">
        <v>2957</v>
      </c>
      <c r="B2296" t="s">
        <v>289</v>
      </c>
      <c r="C2296" t="str">
        <f>IFERROR(VLOOKUP(ILACLISTE[[#This Row],[NAME]],Table5[#All],2,0),"")</f>
        <v/>
      </c>
    </row>
    <row r="2297" spans="1:3" x14ac:dyDescent="0.3">
      <c r="A2297" s="5" t="s">
        <v>2958</v>
      </c>
      <c r="B2297" t="s">
        <v>290</v>
      </c>
      <c r="C2297" t="str">
        <f>IFERROR(VLOOKUP(ILACLISTE[[#This Row],[NAME]],Table5[#All],2,0),"")</f>
        <v/>
      </c>
    </row>
    <row r="2298" spans="1:3" x14ac:dyDescent="0.3">
      <c r="A2298" s="5" t="s">
        <v>2959</v>
      </c>
      <c r="B2298" t="s">
        <v>291</v>
      </c>
      <c r="C2298" t="str">
        <f>IFERROR(VLOOKUP(ILACLISTE[[#This Row],[NAME]],Table5[#All],2,0),"")</f>
        <v/>
      </c>
    </row>
    <row r="2299" spans="1:3" x14ac:dyDescent="0.3">
      <c r="A2299" s="5" t="s">
        <v>2960</v>
      </c>
      <c r="B2299" t="s">
        <v>292</v>
      </c>
      <c r="C2299" t="str">
        <f>IFERROR(VLOOKUP(ILACLISTE[[#This Row],[NAME]],Table5[#All],2,0),"")</f>
        <v/>
      </c>
    </row>
    <row r="2300" spans="1:3" x14ac:dyDescent="0.3">
      <c r="A2300" s="5" t="s">
        <v>2961</v>
      </c>
      <c r="B2300" t="s">
        <v>8678</v>
      </c>
      <c r="C2300" t="str">
        <f>IFERROR(VLOOKUP(ILACLISTE[[#This Row],[NAME]],Table5[#All],2,0),"")</f>
        <v/>
      </c>
    </row>
    <row r="2301" spans="1:3" x14ac:dyDescent="0.3">
      <c r="A2301" s="5" t="s">
        <v>2962</v>
      </c>
      <c r="B2301" t="s">
        <v>8679</v>
      </c>
      <c r="C2301" t="str">
        <f>IFERROR(VLOOKUP(ILACLISTE[[#This Row],[NAME]],Table5[#All],2,0),"")</f>
        <v/>
      </c>
    </row>
    <row r="2302" spans="1:3" x14ac:dyDescent="0.3">
      <c r="A2302" s="5" t="s">
        <v>2963</v>
      </c>
      <c r="B2302" t="s">
        <v>8680</v>
      </c>
      <c r="C2302" t="str">
        <f>IFERROR(VLOOKUP(ILACLISTE[[#This Row],[NAME]],Table5[#All],2,0),"")</f>
        <v/>
      </c>
    </row>
    <row r="2303" spans="1:3" x14ac:dyDescent="0.3">
      <c r="A2303" s="5" t="s">
        <v>2964</v>
      </c>
      <c r="B2303" t="s">
        <v>293</v>
      </c>
      <c r="C2303" t="str">
        <f>IFERROR(VLOOKUP(ILACLISTE[[#This Row],[NAME]],Table5[#All],2,0),"")</f>
        <v/>
      </c>
    </row>
    <row r="2304" spans="1:3" x14ac:dyDescent="0.3">
      <c r="A2304" s="5" t="s">
        <v>2965</v>
      </c>
      <c r="B2304" t="s">
        <v>8681</v>
      </c>
      <c r="C2304" t="str">
        <f>IFERROR(VLOOKUP(ILACLISTE[[#This Row],[NAME]],Table5[#All],2,0),"")</f>
        <v/>
      </c>
    </row>
    <row r="2305" spans="1:3" x14ac:dyDescent="0.3">
      <c r="A2305" s="5" t="s">
        <v>2966</v>
      </c>
      <c r="B2305" t="s">
        <v>294</v>
      </c>
      <c r="C2305" t="str">
        <f>IFERROR(VLOOKUP(ILACLISTE[[#This Row],[NAME]],Table5[#All],2,0),"")</f>
        <v/>
      </c>
    </row>
    <row r="2306" spans="1:3" x14ac:dyDescent="0.3">
      <c r="A2306" s="5" t="s">
        <v>2967</v>
      </c>
      <c r="B2306" t="s">
        <v>8682</v>
      </c>
      <c r="C2306" t="str">
        <f>IFERROR(VLOOKUP(ILACLISTE[[#This Row],[NAME]],Table5[#All],2,0),"")</f>
        <v/>
      </c>
    </row>
    <row r="2307" spans="1:3" x14ac:dyDescent="0.3">
      <c r="A2307" s="5" t="s">
        <v>2968</v>
      </c>
      <c r="B2307" t="s">
        <v>295</v>
      </c>
      <c r="C2307" t="str">
        <f>IFERROR(VLOOKUP(ILACLISTE[[#This Row],[NAME]],Table5[#All],2,0),"")</f>
        <v/>
      </c>
    </row>
    <row r="2308" spans="1:3" x14ac:dyDescent="0.3">
      <c r="A2308" s="5" t="s">
        <v>2969</v>
      </c>
      <c r="B2308" t="s">
        <v>8683</v>
      </c>
      <c r="C2308" t="str">
        <f>IFERROR(VLOOKUP(ILACLISTE[[#This Row],[NAME]],Table5[#All],2,0),"")</f>
        <v/>
      </c>
    </row>
    <row r="2309" spans="1:3" x14ac:dyDescent="0.3">
      <c r="A2309" s="5" t="s">
        <v>2970</v>
      </c>
      <c r="B2309" t="s">
        <v>8684</v>
      </c>
      <c r="C2309" t="str">
        <f>IFERROR(VLOOKUP(ILACLISTE[[#This Row],[NAME]],Table5[#All],2,0),"")</f>
        <v/>
      </c>
    </row>
    <row r="2310" spans="1:3" x14ac:dyDescent="0.3">
      <c r="A2310" s="5" t="s">
        <v>2971</v>
      </c>
      <c r="B2310" t="s">
        <v>8685</v>
      </c>
      <c r="C2310" t="str">
        <f>IFERROR(VLOOKUP(ILACLISTE[[#This Row],[NAME]],Table5[#All],2,0),"")</f>
        <v/>
      </c>
    </row>
    <row r="2311" spans="1:3" x14ac:dyDescent="0.3">
      <c r="A2311" s="5" t="s">
        <v>2972</v>
      </c>
      <c r="B2311" t="s">
        <v>8686</v>
      </c>
      <c r="C2311" t="str">
        <f>IFERROR(VLOOKUP(ILACLISTE[[#This Row],[NAME]],Table5[#All],2,0),"")</f>
        <v/>
      </c>
    </row>
    <row r="2312" spans="1:3" x14ac:dyDescent="0.3">
      <c r="A2312" s="5" t="s">
        <v>2973</v>
      </c>
      <c r="B2312" t="s">
        <v>8687</v>
      </c>
      <c r="C2312" t="str">
        <f>IFERROR(VLOOKUP(ILACLISTE[[#This Row],[NAME]],Table5[#All],2,0),"")</f>
        <v/>
      </c>
    </row>
    <row r="2313" spans="1:3" x14ac:dyDescent="0.3">
      <c r="A2313" s="5" t="s">
        <v>2974</v>
      </c>
      <c r="B2313" t="s">
        <v>8688</v>
      </c>
      <c r="C2313" t="str">
        <f>IFERROR(VLOOKUP(ILACLISTE[[#This Row],[NAME]],Table5[#All],2,0),"")</f>
        <v/>
      </c>
    </row>
    <row r="2314" spans="1:3" x14ac:dyDescent="0.3">
      <c r="A2314" s="5" t="s">
        <v>2975</v>
      </c>
      <c r="B2314" t="s">
        <v>8689</v>
      </c>
      <c r="C2314" t="str">
        <f>IFERROR(VLOOKUP(ILACLISTE[[#This Row],[NAME]],Table5[#All],2,0),"")</f>
        <v/>
      </c>
    </row>
    <row r="2315" spans="1:3" x14ac:dyDescent="0.3">
      <c r="A2315" s="5" t="s">
        <v>2976</v>
      </c>
      <c r="B2315" t="s">
        <v>8690</v>
      </c>
      <c r="C2315" t="str">
        <f>IFERROR(VLOOKUP(ILACLISTE[[#This Row],[NAME]],Table5[#All],2,0),"")</f>
        <v/>
      </c>
    </row>
    <row r="2316" spans="1:3" x14ac:dyDescent="0.3">
      <c r="A2316" s="5" t="s">
        <v>2977</v>
      </c>
      <c r="B2316" t="s">
        <v>8691</v>
      </c>
      <c r="C2316" t="str">
        <f>IFERROR(VLOOKUP(ILACLISTE[[#This Row],[NAME]],Table5[#All],2,0),"")</f>
        <v/>
      </c>
    </row>
    <row r="2317" spans="1:3" x14ac:dyDescent="0.3">
      <c r="A2317" s="5" t="s">
        <v>2978</v>
      </c>
      <c r="B2317" t="s">
        <v>8692</v>
      </c>
      <c r="C2317" t="str">
        <f>IFERROR(VLOOKUP(ILACLISTE[[#This Row],[NAME]],Table5[#All],2,0),"")</f>
        <v/>
      </c>
    </row>
    <row r="2318" spans="1:3" x14ac:dyDescent="0.3">
      <c r="A2318" s="5" t="s">
        <v>2979</v>
      </c>
      <c r="B2318" t="s">
        <v>8693</v>
      </c>
      <c r="C2318" t="str">
        <f>IFERROR(VLOOKUP(ILACLISTE[[#This Row],[NAME]],Table5[#All],2,0),"")</f>
        <v/>
      </c>
    </row>
    <row r="2319" spans="1:3" x14ac:dyDescent="0.3">
      <c r="A2319" s="5" t="s">
        <v>2980</v>
      </c>
      <c r="B2319" t="s">
        <v>8694</v>
      </c>
      <c r="C2319" t="str">
        <f>IFERROR(VLOOKUP(ILACLISTE[[#This Row],[NAME]],Table5[#All],2,0),"")</f>
        <v/>
      </c>
    </row>
    <row r="2320" spans="1:3" x14ac:dyDescent="0.3">
      <c r="A2320" s="5" t="s">
        <v>2981</v>
      </c>
      <c r="B2320" t="s">
        <v>8695</v>
      </c>
      <c r="C2320" t="str">
        <f>IFERROR(VLOOKUP(ILACLISTE[[#This Row],[NAME]],Table5[#All],2,0),"")</f>
        <v/>
      </c>
    </row>
    <row r="2321" spans="1:3" x14ac:dyDescent="0.3">
      <c r="A2321" s="5" t="s">
        <v>2982</v>
      </c>
      <c r="B2321" t="s">
        <v>296</v>
      </c>
      <c r="C2321" t="str">
        <f>IFERROR(VLOOKUP(ILACLISTE[[#This Row],[NAME]],Table5[#All],2,0),"")</f>
        <v/>
      </c>
    </row>
    <row r="2322" spans="1:3" x14ac:dyDescent="0.3">
      <c r="A2322" s="5" t="s">
        <v>2983</v>
      </c>
      <c r="B2322" t="s">
        <v>8696</v>
      </c>
      <c r="C2322" t="str">
        <f>IFERROR(VLOOKUP(ILACLISTE[[#This Row],[NAME]],Table5[#All],2,0),"")</f>
        <v/>
      </c>
    </row>
    <row r="2323" spans="1:3" x14ac:dyDescent="0.3">
      <c r="A2323" s="5" t="s">
        <v>2984</v>
      </c>
      <c r="B2323" t="s">
        <v>8697</v>
      </c>
      <c r="C2323" t="str">
        <f>IFERROR(VLOOKUP(ILACLISTE[[#This Row],[NAME]],Table5[#All],2,0),"")</f>
        <v/>
      </c>
    </row>
    <row r="2324" spans="1:3" x14ac:dyDescent="0.3">
      <c r="A2324" s="5" t="s">
        <v>2985</v>
      </c>
      <c r="B2324" t="s">
        <v>8698</v>
      </c>
      <c r="C2324" t="str">
        <f>IFERROR(VLOOKUP(ILACLISTE[[#This Row],[NAME]],Table5[#All],2,0),"")</f>
        <v/>
      </c>
    </row>
    <row r="2325" spans="1:3" x14ac:dyDescent="0.3">
      <c r="A2325" s="5" t="s">
        <v>2986</v>
      </c>
      <c r="B2325" t="s">
        <v>8699</v>
      </c>
      <c r="C2325" t="str">
        <f>IFERROR(VLOOKUP(ILACLISTE[[#This Row],[NAME]],Table5[#All],2,0),"")</f>
        <v/>
      </c>
    </row>
    <row r="2326" spans="1:3" x14ac:dyDescent="0.3">
      <c r="A2326" s="5" t="s">
        <v>2987</v>
      </c>
      <c r="B2326" t="s">
        <v>8700</v>
      </c>
      <c r="C2326" t="str">
        <f>IFERROR(VLOOKUP(ILACLISTE[[#This Row],[NAME]],Table5[#All],2,0),"")</f>
        <v/>
      </c>
    </row>
    <row r="2327" spans="1:3" x14ac:dyDescent="0.3">
      <c r="A2327" s="5" t="s">
        <v>2988</v>
      </c>
      <c r="B2327" t="s">
        <v>8701</v>
      </c>
      <c r="C2327" t="str">
        <f>IFERROR(VLOOKUP(ILACLISTE[[#This Row],[NAME]],Table5[#All],2,0),"")</f>
        <v/>
      </c>
    </row>
    <row r="2328" spans="1:3" x14ac:dyDescent="0.3">
      <c r="A2328" s="5" t="s">
        <v>2989</v>
      </c>
      <c r="B2328" t="s">
        <v>8702</v>
      </c>
      <c r="C2328" t="str">
        <f>IFERROR(VLOOKUP(ILACLISTE[[#This Row],[NAME]],Table5[#All],2,0),"")</f>
        <v/>
      </c>
    </row>
    <row r="2329" spans="1:3" x14ac:dyDescent="0.3">
      <c r="A2329" s="5" t="s">
        <v>2990</v>
      </c>
      <c r="B2329" t="s">
        <v>8703</v>
      </c>
      <c r="C2329" t="str">
        <f>IFERROR(VLOOKUP(ILACLISTE[[#This Row],[NAME]],Table5[#All],2,0),"")</f>
        <v/>
      </c>
    </row>
    <row r="2330" spans="1:3" x14ac:dyDescent="0.3">
      <c r="A2330" s="5" t="s">
        <v>2991</v>
      </c>
      <c r="B2330" t="s">
        <v>8704</v>
      </c>
      <c r="C2330" t="str">
        <f>IFERROR(VLOOKUP(ILACLISTE[[#This Row],[NAME]],Table5[#All],2,0),"")</f>
        <v/>
      </c>
    </row>
    <row r="2331" spans="1:3" x14ac:dyDescent="0.3">
      <c r="A2331" s="5" t="s">
        <v>2992</v>
      </c>
      <c r="B2331" t="s">
        <v>8705</v>
      </c>
      <c r="C2331" t="str">
        <f>IFERROR(VLOOKUP(ILACLISTE[[#This Row],[NAME]],Table5[#All],2,0),"")</f>
        <v/>
      </c>
    </row>
    <row r="2332" spans="1:3" x14ac:dyDescent="0.3">
      <c r="A2332" s="5" t="s">
        <v>2993</v>
      </c>
      <c r="B2332" t="s">
        <v>297</v>
      </c>
      <c r="C2332" t="str">
        <f>IFERROR(VLOOKUP(ILACLISTE[[#This Row],[NAME]],Table5[#All],2,0),"")</f>
        <v/>
      </c>
    </row>
    <row r="2333" spans="1:3" x14ac:dyDescent="0.3">
      <c r="A2333" s="5" t="s">
        <v>2994</v>
      </c>
      <c r="B2333" t="s">
        <v>8706</v>
      </c>
      <c r="C2333" t="str">
        <f>IFERROR(VLOOKUP(ILACLISTE[[#This Row],[NAME]],Table5[#All],2,0),"")</f>
        <v/>
      </c>
    </row>
    <row r="2334" spans="1:3" x14ac:dyDescent="0.3">
      <c r="A2334" s="5" t="s">
        <v>2995</v>
      </c>
      <c r="B2334" t="s">
        <v>8707</v>
      </c>
      <c r="C2334" t="str">
        <f>IFERROR(VLOOKUP(ILACLISTE[[#This Row],[NAME]],Table5[#All],2,0),"")</f>
        <v/>
      </c>
    </row>
    <row r="2335" spans="1:3" x14ac:dyDescent="0.3">
      <c r="A2335" s="5" t="s">
        <v>2996</v>
      </c>
      <c r="B2335" t="s">
        <v>298</v>
      </c>
      <c r="C2335" t="str">
        <f>IFERROR(VLOOKUP(ILACLISTE[[#This Row],[NAME]],Table5[#All],2,0),"")</f>
        <v/>
      </c>
    </row>
    <row r="2336" spans="1:3" x14ac:dyDescent="0.3">
      <c r="A2336" s="5" t="s">
        <v>2997</v>
      </c>
      <c r="B2336" t="s">
        <v>8708</v>
      </c>
      <c r="C2336" t="str">
        <f>IFERROR(VLOOKUP(ILACLISTE[[#This Row],[NAME]],Table5[#All],2,0),"")</f>
        <v/>
      </c>
    </row>
    <row r="2337" spans="1:3" x14ac:dyDescent="0.3">
      <c r="A2337" s="5" t="s">
        <v>2998</v>
      </c>
      <c r="B2337" t="s">
        <v>299</v>
      </c>
      <c r="C2337" t="str">
        <f>IFERROR(VLOOKUP(ILACLISTE[[#This Row],[NAME]],Table5[#All],2,0),"")</f>
        <v/>
      </c>
    </row>
    <row r="2338" spans="1:3" x14ac:dyDescent="0.3">
      <c r="A2338" s="5" t="s">
        <v>2999</v>
      </c>
      <c r="B2338" t="s">
        <v>8709</v>
      </c>
      <c r="C2338" t="str">
        <f>IFERROR(VLOOKUP(ILACLISTE[[#This Row],[NAME]],Table5[#All],2,0),"")</f>
        <v/>
      </c>
    </row>
    <row r="2339" spans="1:3" x14ac:dyDescent="0.3">
      <c r="A2339" s="5" t="s">
        <v>3000</v>
      </c>
      <c r="B2339" t="s">
        <v>8710</v>
      </c>
      <c r="C2339" t="str">
        <f>IFERROR(VLOOKUP(ILACLISTE[[#This Row],[NAME]],Table5[#All],2,0),"")</f>
        <v/>
      </c>
    </row>
    <row r="2340" spans="1:3" x14ac:dyDescent="0.3">
      <c r="A2340" s="5" t="s">
        <v>3001</v>
      </c>
      <c r="B2340" t="s">
        <v>8711</v>
      </c>
      <c r="C2340" t="str">
        <f>IFERROR(VLOOKUP(ILACLISTE[[#This Row],[NAME]],Table5[#All],2,0),"")</f>
        <v/>
      </c>
    </row>
    <row r="2341" spans="1:3" x14ac:dyDescent="0.3">
      <c r="A2341" s="5" t="s">
        <v>3002</v>
      </c>
      <c r="B2341" t="s">
        <v>8712</v>
      </c>
      <c r="C2341" t="str">
        <f>IFERROR(VLOOKUP(ILACLISTE[[#This Row],[NAME]],Table5[#All],2,0),"")</f>
        <v/>
      </c>
    </row>
    <row r="2342" spans="1:3" x14ac:dyDescent="0.3">
      <c r="A2342" s="5" t="s">
        <v>3003</v>
      </c>
      <c r="B2342" t="s">
        <v>8713</v>
      </c>
      <c r="C2342" t="str">
        <f>IFERROR(VLOOKUP(ILACLISTE[[#This Row],[NAME]],Table5[#All],2,0),"")</f>
        <v/>
      </c>
    </row>
    <row r="2343" spans="1:3" x14ac:dyDescent="0.3">
      <c r="A2343" s="5" t="s">
        <v>3004</v>
      </c>
      <c r="B2343" t="s">
        <v>8714</v>
      </c>
      <c r="C2343" t="str">
        <f>IFERROR(VLOOKUP(ILACLISTE[[#This Row],[NAME]],Table5[#All],2,0),"")</f>
        <v/>
      </c>
    </row>
    <row r="2344" spans="1:3" x14ac:dyDescent="0.3">
      <c r="A2344" s="5" t="s">
        <v>3005</v>
      </c>
      <c r="B2344" t="s">
        <v>8715</v>
      </c>
      <c r="C2344" t="str">
        <f>IFERROR(VLOOKUP(ILACLISTE[[#This Row],[NAME]],Table5[#All],2,0),"")</f>
        <v/>
      </c>
    </row>
    <row r="2345" spans="1:3" x14ac:dyDescent="0.3">
      <c r="A2345" s="5" t="s">
        <v>3006</v>
      </c>
      <c r="B2345" t="s">
        <v>8716</v>
      </c>
      <c r="C2345" t="str">
        <f>IFERROR(VLOOKUP(ILACLISTE[[#This Row],[NAME]],Table5[#All],2,0),"")</f>
        <v/>
      </c>
    </row>
    <row r="2346" spans="1:3" x14ac:dyDescent="0.3">
      <c r="A2346" s="5" t="s">
        <v>3007</v>
      </c>
      <c r="B2346" t="s">
        <v>8717</v>
      </c>
      <c r="C2346" t="str">
        <f>IFERROR(VLOOKUP(ILACLISTE[[#This Row],[NAME]],Table5[#All],2,0),"")</f>
        <v/>
      </c>
    </row>
    <row r="2347" spans="1:3" x14ac:dyDescent="0.3">
      <c r="A2347" s="5" t="s">
        <v>3008</v>
      </c>
      <c r="B2347" t="s">
        <v>8718</v>
      </c>
      <c r="C2347" t="str">
        <f>IFERROR(VLOOKUP(ILACLISTE[[#This Row],[NAME]],Table5[#All],2,0),"")</f>
        <v/>
      </c>
    </row>
    <row r="2348" spans="1:3" x14ac:dyDescent="0.3">
      <c r="A2348" s="5" t="s">
        <v>3009</v>
      </c>
      <c r="B2348" t="s">
        <v>8719</v>
      </c>
      <c r="C2348" t="str">
        <f>IFERROR(VLOOKUP(ILACLISTE[[#This Row],[NAME]],Table5[#All],2,0),"")</f>
        <v/>
      </c>
    </row>
    <row r="2349" spans="1:3" x14ac:dyDescent="0.3">
      <c r="A2349" s="5" t="s">
        <v>3010</v>
      </c>
      <c r="B2349" t="s">
        <v>8720</v>
      </c>
      <c r="C2349" t="str">
        <f>IFERROR(VLOOKUP(ILACLISTE[[#This Row],[NAME]],Table5[#All],2,0),"")</f>
        <v/>
      </c>
    </row>
    <row r="2350" spans="1:3" x14ac:dyDescent="0.3">
      <c r="A2350" s="5" t="s">
        <v>3011</v>
      </c>
      <c r="B2350" t="s">
        <v>8721</v>
      </c>
      <c r="C2350" t="str">
        <f>IFERROR(VLOOKUP(ILACLISTE[[#This Row],[NAME]],Table5[#All],2,0),"")</f>
        <v/>
      </c>
    </row>
    <row r="2351" spans="1:3" x14ac:dyDescent="0.3">
      <c r="A2351" s="5" t="s">
        <v>3012</v>
      </c>
      <c r="B2351" t="s">
        <v>8722</v>
      </c>
      <c r="C2351" t="str">
        <f>IFERROR(VLOOKUP(ILACLISTE[[#This Row],[NAME]],Table5[#All],2,0),"")</f>
        <v/>
      </c>
    </row>
    <row r="2352" spans="1:3" x14ac:dyDescent="0.3">
      <c r="A2352" s="5" t="s">
        <v>3013</v>
      </c>
      <c r="B2352" t="s">
        <v>8723</v>
      </c>
      <c r="C2352" t="str">
        <f>IFERROR(VLOOKUP(ILACLISTE[[#This Row],[NAME]],Table5[#All],2,0),"")</f>
        <v/>
      </c>
    </row>
    <row r="2353" spans="1:3" x14ac:dyDescent="0.3">
      <c r="A2353" s="5" t="s">
        <v>3014</v>
      </c>
      <c r="B2353" t="s">
        <v>8724</v>
      </c>
      <c r="C2353" t="str">
        <f>IFERROR(VLOOKUP(ILACLISTE[[#This Row],[NAME]],Table5[#All],2,0),"")</f>
        <v/>
      </c>
    </row>
    <row r="2354" spans="1:3" x14ac:dyDescent="0.3">
      <c r="A2354" s="5" t="s">
        <v>3015</v>
      </c>
      <c r="B2354" t="s">
        <v>8725</v>
      </c>
      <c r="C2354" t="str">
        <f>IFERROR(VLOOKUP(ILACLISTE[[#This Row],[NAME]],Table5[#All],2,0),"")</f>
        <v/>
      </c>
    </row>
    <row r="2355" spans="1:3" x14ac:dyDescent="0.3">
      <c r="A2355" s="5" t="s">
        <v>3016</v>
      </c>
      <c r="B2355" t="s">
        <v>8726</v>
      </c>
      <c r="C2355" t="str">
        <f>IFERROR(VLOOKUP(ILACLISTE[[#This Row],[NAME]],Table5[#All],2,0),"")</f>
        <v/>
      </c>
    </row>
    <row r="2356" spans="1:3" x14ac:dyDescent="0.3">
      <c r="A2356" s="5" t="s">
        <v>3017</v>
      </c>
      <c r="B2356" t="s">
        <v>8727</v>
      </c>
      <c r="C2356" t="str">
        <f>IFERROR(VLOOKUP(ILACLISTE[[#This Row],[NAME]],Table5[#All],2,0),"")</f>
        <v/>
      </c>
    </row>
    <row r="2357" spans="1:3" x14ac:dyDescent="0.3">
      <c r="A2357" s="5" t="s">
        <v>3018</v>
      </c>
      <c r="B2357" t="s">
        <v>8728</v>
      </c>
      <c r="C2357" t="str">
        <f>IFERROR(VLOOKUP(ILACLISTE[[#This Row],[NAME]],Table5[#All],2,0),"")</f>
        <v/>
      </c>
    </row>
    <row r="2358" spans="1:3" x14ac:dyDescent="0.3">
      <c r="A2358" s="5" t="s">
        <v>3019</v>
      </c>
      <c r="B2358" t="s">
        <v>8729</v>
      </c>
      <c r="C2358" t="str">
        <f>IFERROR(VLOOKUP(ILACLISTE[[#This Row],[NAME]],Table5[#All],2,0),"")</f>
        <v/>
      </c>
    </row>
    <row r="2359" spans="1:3" x14ac:dyDescent="0.3">
      <c r="A2359" s="5" t="s">
        <v>3020</v>
      </c>
      <c r="B2359" t="s">
        <v>8730</v>
      </c>
      <c r="C2359" t="str">
        <f>IFERROR(VLOOKUP(ILACLISTE[[#This Row],[NAME]],Table5[#All],2,0),"")</f>
        <v/>
      </c>
    </row>
    <row r="2360" spans="1:3" x14ac:dyDescent="0.3">
      <c r="A2360" s="5" t="s">
        <v>3021</v>
      </c>
      <c r="B2360" t="s">
        <v>8731</v>
      </c>
      <c r="C2360" t="str">
        <f>IFERROR(VLOOKUP(ILACLISTE[[#This Row],[NAME]],Table5[#All],2,0),"")</f>
        <v/>
      </c>
    </row>
    <row r="2361" spans="1:3" x14ac:dyDescent="0.3">
      <c r="A2361" s="5" t="s">
        <v>3022</v>
      </c>
      <c r="B2361" t="s">
        <v>8732</v>
      </c>
      <c r="C2361" t="str">
        <f>IFERROR(VLOOKUP(ILACLISTE[[#This Row],[NAME]],Table5[#All],2,0),"")</f>
        <v/>
      </c>
    </row>
    <row r="2362" spans="1:3" x14ac:dyDescent="0.3">
      <c r="A2362" s="5" t="s">
        <v>3023</v>
      </c>
      <c r="B2362" t="s">
        <v>8733</v>
      </c>
      <c r="C2362" t="str">
        <f>IFERROR(VLOOKUP(ILACLISTE[[#This Row],[NAME]],Table5[#All],2,0),"")</f>
        <v/>
      </c>
    </row>
    <row r="2363" spans="1:3" x14ac:dyDescent="0.3">
      <c r="A2363" s="5" t="s">
        <v>3024</v>
      </c>
      <c r="B2363" t="s">
        <v>300</v>
      </c>
      <c r="C2363" t="str">
        <f>IFERROR(VLOOKUP(ILACLISTE[[#This Row],[NAME]],Table5[#All],2,0),"")</f>
        <v/>
      </c>
    </row>
    <row r="2364" spans="1:3" x14ac:dyDescent="0.3">
      <c r="A2364" s="5" t="s">
        <v>3025</v>
      </c>
      <c r="B2364" t="s">
        <v>8734</v>
      </c>
      <c r="C2364" t="str">
        <f>IFERROR(VLOOKUP(ILACLISTE[[#This Row],[NAME]],Table5[#All],2,0),"")</f>
        <v/>
      </c>
    </row>
    <row r="2365" spans="1:3" x14ac:dyDescent="0.3">
      <c r="A2365" s="5" t="s">
        <v>3026</v>
      </c>
      <c r="B2365" t="s">
        <v>8735</v>
      </c>
      <c r="C2365" t="str">
        <f>IFERROR(VLOOKUP(ILACLISTE[[#This Row],[NAME]],Table5[#All],2,0),"")</f>
        <v/>
      </c>
    </row>
    <row r="2366" spans="1:3" x14ac:dyDescent="0.3">
      <c r="A2366" s="5" t="s">
        <v>3027</v>
      </c>
      <c r="B2366" t="s">
        <v>8736</v>
      </c>
      <c r="C2366" t="str">
        <f>IFERROR(VLOOKUP(ILACLISTE[[#This Row],[NAME]],Table5[#All],2,0),"")</f>
        <v/>
      </c>
    </row>
    <row r="2367" spans="1:3" x14ac:dyDescent="0.3">
      <c r="A2367" s="5" t="s">
        <v>3028</v>
      </c>
      <c r="B2367" t="s">
        <v>8737</v>
      </c>
      <c r="C2367" t="str">
        <f>IFERROR(VLOOKUP(ILACLISTE[[#This Row],[NAME]],Table5[#All],2,0),"")</f>
        <v/>
      </c>
    </row>
    <row r="2368" spans="1:3" x14ac:dyDescent="0.3">
      <c r="A2368" s="5" t="s">
        <v>3029</v>
      </c>
      <c r="B2368" t="s">
        <v>8738</v>
      </c>
      <c r="C2368" t="str">
        <f>IFERROR(VLOOKUP(ILACLISTE[[#This Row],[NAME]],Table5[#All],2,0),"")</f>
        <v/>
      </c>
    </row>
    <row r="2369" spans="1:3" x14ac:dyDescent="0.3">
      <c r="A2369" s="5" t="s">
        <v>3030</v>
      </c>
      <c r="B2369" t="s">
        <v>8739</v>
      </c>
      <c r="C2369" t="str">
        <f>IFERROR(VLOOKUP(ILACLISTE[[#This Row],[NAME]],Table5[#All],2,0),"")</f>
        <v/>
      </c>
    </row>
    <row r="2370" spans="1:3" x14ac:dyDescent="0.3">
      <c r="A2370" s="5" t="s">
        <v>3031</v>
      </c>
      <c r="B2370" t="s">
        <v>8740</v>
      </c>
      <c r="C2370" t="str">
        <f>IFERROR(VLOOKUP(ILACLISTE[[#This Row],[NAME]],Table5[#All],2,0),"")</f>
        <v/>
      </c>
    </row>
    <row r="2371" spans="1:3" x14ac:dyDescent="0.3">
      <c r="A2371" s="5" t="s">
        <v>3032</v>
      </c>
      <c r="B2371" t="s">
        <v>8741</v>
      </c>
      <c r="C2371" t="str">
        <f>IFERROR(VLOOKUP(ILACLISTE[[#This Row],[NAME]],Table5[#All],2,0),"")</f>
        <v/>
      </c>
    </row>
    <row r="2372" spans="1:3" x14ac:dyDescent="0.3">
      <c r="A2372" s="5" t="s">
        <v>3033</v>
      </c>
      <c r="B2372" t="s">
        <v>8742</v>
      </c>
      <c r="C2372" t="str">
        <f>IFERROR(VLOOKUP(ILACLISTE[[#This Row],[NAME]],Table5[#All],2,0),"")</f>
        <v/>
      </c>
    </row>
    <row r="2373" spans="1:3" x14ac:dyDescent="0.3">
      <c r="A2373" s="5" t="s">
        <v>3034</v>
      </c>
      <c r="B2373" t="s">
        <v>8743</v>
      </c>
      <c r="C2373" t="str">
        <f>IFERROR(VLOOKUP(ILACLISTE[[#This Row],[NAME]],Table5[#All],2,0),"")</f>
        <v/>
      </c>
    </row>
    <row r="2374" spans="1:3" x14ac:dyDescent="0.3">
      <c r="A2374" s="5" t="s">
        <v>3035</v>
      </c>
      <c r="B2374" t="s">
        <v>8744</v>
      </c>
      <c r="C2374" t="str">
        <f>IFERROR(VLOOKUP(ILACLISTE[[#This Row],[NAME]],Table5[#All],2,0),"")</f>
        <v/>
      </c>
    </row>
    <row r="2375" spans="1:3" x14ac:dyDescent="0.3">
      <c r="A2375" s="5" t="s">
        <v>3036</v>
      </c>
      <c r="B2375" t="s">
        <v>8745</v>
      </c>
      <c r="C2375" t="str">
        <f>IFERROR(VLOOKUP(ILACLISTE[[#This Row],[NAME]],Table5[#All],2,0),"")</f>
        <v/>
      </c>
    </row>
    <row r="2376" spans="1:3" x14ac:dyDescent="0.3">
      <c r="A2376" s="5" t="s">
        <v>3037</v>
      </c>
      <c r="B2376" t="s">
        <v>8746</v>
      </c>
      <c r="C2376" t="str">
        <f>IFERROR(VLOOKUP(ILACLISTE[[#This Row],[NAME]],Table5[#All],2,0),"")</f>
        <v/>
      </c>
    </row>
    <row r="2377" spans="1:3" x14ac:dyDescent="0.3">
      <c r="A2377" s="5" t="s">
        <v>3038</v>
      </c>
      <c r="B2377" t="s">
        <v>8747</v>
      </c>
      <c r="C2377" t="str">
        <f>IFERROR(VLOOKUP(ILACLISTE[[#This Row],[NAME]],Table5[#All],2,0),"")</f>
        <v/>
      </c>
    </row>
    <row r="2378" spans="1:3" x14ac:dyDescent="0.3">
      <c r="A2378" s="5" t="s">
        <v>3039</v>
      </c>
      <c r="B2378" t="s">
        <v>8748</v>
      </c>
      <c r="C2378" t="str">
        <f>IFERROR(VLOOKUP(ILACLISTE[[#This Row],[NAME]],Table5[#All],2,0),"")</f>
        <v/>
      </c>
    </row>
    <row r="2379" spans="1:3" x14ac:dyDescent="0.3">
      <c r="A2379" s="5" t="s">
        <v>3040</v>
      </c>
      <c r="B2379" t="s">
        <v>8749</v>
      </c>
      <c r="C2379" t="str">
        <f>IFERROR(VLOOKUP(ILACLISTE[[#This Row],[NAME]],Table5[#All],2,0),"")</f>
        <v/>
      </c>
    </row>
    <row r="2380" spans="1:3" x14ac:dyDescent="0.3">
      <c r="A2380" s="5" t="s">
        <v>3041</v>
      </c>
      <c r="B2380" t="s">
        <v>8750</v>
      </c>
      <c r="C2380" t="str">
        <f>IFERROR(VLOOKUP(ILACLISTE[[#This Row],[NAME]],Table5[#All],2,0),"")</f>
        <v/>
      </c>
    </row>
    <row r="2381" spans="1:3" x14ac:dyDescent="0.3">
      <c r="A2381" s="5" t="s">
        <v>3042</v>
      </c>
      <c r="B2381" t="s">
        <v>8751</v>
      </c>
      <c r="C2381" t="str">
        <f>IFERROR(VLOOKUP(ILACLISTE[[#This Row],[NAME]],Table5[#All],2,0),"")</f>
        <v/>
      </c>
    </row>
    <row r="2382" spans="1:3" x14ac:dyDescent="0.3">
      <c r="A2382" s="5" t="s">
        <v>3043</v>
      </c>
      <c r="B2382" t="s">
        <v>8752</v>
      </c>
      <c r="C2382" t="str">
        <f>IFERROR(VLOOKUP(ILACLISTE[[#This Row],[NAME]],Table5[#All],2,0),"")</f>
        <v/>
      </c>
    </row>
    <row r="2383" spans="1:3" x14ac:dyDescent="0.3">
      <c r="A2383" s="5" t="s">
        <v>3044</v>
      </c>
      <c r="B2383" t="s">
        <v>301</v>
      </c>
      <c r="C2383" t="str">
        <f>IFERROR(VLOOKUP(ILACLISTE[[#This Row],[NAME]],Table5[#All],2,0),"")</f>
        <v/>
      </c>
    </row>
    <row r="2384" spans="1:3" x14ac:dyDescent="0.3">
      <c r="A2384" s="5" t="s">
        <v>3045</v>
      </c>
      <c r="B2384" t="s">
        <v>8753</v>
      </c>
      <c r="C2384" t="str">
        <f>IFERROR(VLOOKUP(ILACLISTE[[#This Row],[NAME]],Table5[#All],2,0),"")</f>
        <v/>
      </c>
    </row>
    <row r="2385" spans="1:3" x14ac:dyDescent="0.3">
      <c r="A2385" s="5" t="s">
        <v>3046</v>
      </c>
      <c r="B2385" t="s">
        <v>8754</v>
      </c>
      <c r="C2385" t="str">
        <f>IFERROR(VLOOKUP(ILACLISTE[[#This Row],[NAME]],Table5[#All],2,0),"")</f>
        <v/>
      </c>
    </row>
    <row r="2386" spans="1:3" x14ac:dyDescent="0.3">
      <c r="A2386" s="5" t="s">
        <v>3047</v>
      </c>
      <c r="B2386" t="s">
        <v>8755</v>
      </c>
      <c r="C2386" t="str">
        <f>IFERROR(VLOOKUP(ILACLISTE[[#This Row],[NAME]],Table5[#All],2,0),"")</f>
        <v/>
      </c>
    </row>
    <row r="2387" spans="1:3" x14ac:dyDescent="0.3">
      <c r="A2387" s="5" t="s">
        <v>3048</v>
      </c>
      <c r="B2387" t="s">
        <v>8756</v>
      </c>
      <c r="C2387" t="str">
        <f>IFERROR(VLOOKUP(ILACLISTE[[#This Row],[NAME]],Table5[#All],2,0),"")</f>
        <v/>
      </c>
    </row>
    <row r="2388" spans="1:3" x14ac:dyDescent="0.3">
      <c r="A2388" s="5" t="s">
        <v>3049</v>
      </c>
      <c r="B2388" t="s">
        <v>8757</v>
      </c>
      <c r="C2388" t="str">
        <f>IFERROR(VLOOKUP(ILACLISTE[[#This Row],[NAME]],Table5[#All],2,0),"")</f>
        <v/>
      </c>
    </row>
    <row r="2389" spans="1:3" x14ac:dyDescent="0.3">
      <c r="A2389" s="5" t="s">
        <v>3050</v>
      </c>
      <c r="B2389" t="s">
        <v>8758</v>
      </c>
      <c r="C2389" t="str">
        <f>IFERROR(VLOOKUP(ILACLISTE[[#This Row],[NAME]],Table5[#All],2,0),"")</f>
        <v/>
      </c>
    </row>
    <row r="2390" spans="1:3" x14ac:dyDescent="0.3">
      <c r="A2390" s="5" t="s">
        <v>3051</v>
      </c>
      <c r="B2390" t="s">
        <v>8759</v>
      </c>
      <c r="C2390" t="str">
        <f>IFERROR(VLOOKUP(ILACLISTE[[#This Row],[NAME]],Table5[#All],2,0),"")</f>
        <v/>
      </c>
    </row>
    <row r="2391" spans="1:3" x14ac:dyDescent="0.3">
      <c r="A2391" s="5" t="s">
        <v>3052</v>
      </c>
      <c r="B2391" t="s">
        <v>8760</v>
      </c>
      <c r="C2391" t="str">
        <f>IFERROR(VLOOKUP(ILACLISTE[[#This Row],[NAME]],Table5[#All],2,0),"")</f>
        <v/>
      </c>
    </row>
    <row r="2392" spans="1:3" x14ac:dyDescent="0.3">
      <c r="A2392" s="5" t="s">
        <v>3053</v>
      </c>
      <c r="B2392" t="s">
        <v>8761</v>
      </c>
      <c r="C2392" t="str">
        <f>IFERROR(VLOOKUP(ILACLISTE[[#This Row],[NAME]],Table5[#All],2,0),"")</f>
        <v/>
      </c>
    </row>
    <row r="2393" spans="1:3" x14ac:dyDescent="0.3">
      <c r="A2393" s="5" t="s">
        <v>3054</v>
      </c>
      <c r="B2393" t="s">
        <v>8762</v>
      </c>
      <c r="C2393" t="str">
        <f>IFERROR(VLOOKUP(ILACLISTE[[#This Row],[NAME]],Table5[#All],2,0),"")</f>
        <v/>
      </c>
    </row>
    <row r="2394" spans="1:3" x14ac:dyDescent="0.3">
      <c r="A2394" s="5" t="s">
        <v>3055</v>
      </c>
      <c r="B2394" t="s">
        <v>8763</v>
      </c>
      <c r="C2394" t="str">
        <f>IFERROR(VLOOKUP(ILACLISTE[[#This Row],[NAME]],Table5[#All],2,0),"")</f>
        <v/>
      </c>
    </row>
    <row r="2395" spans="1:3" x14ac:dyDescent="0.3">
      <c r="A2395" s="5" t="s">
        <v>3056</v>
      </c>
      <c r="B2395" t="s">
        <v>8764</v>
      </c>
      <c r="C2395" t="str">
        <f>IFERROR(VLOOKUP(ILACLISTE[[#This Row],[NAME]],Table5[#All],2,0),"")</f>
        <v/>
      </c>
    </row>
    <row r="2396" spans="1:3" x14ac:dyDescent="0.3">
      <c r="A2396" s="5" t="s">
        <v>3057</v>
      </c>
      <c r="B2396" t="s">
        <v>8765</v>
      </c>
      <c r="C2396" t="str">
        <f>IFERROR(VLOOKUP(ILACLISTE[[#This Row],[NAME]],Table5[#All],2,0),"")</f>
        <v/>
      </c>
    </row>
    <row r="2397" spans="1:3" x14ac:dyDescent="0.3">
      <c r="A2397" s="5" t="s">
        <v>3058</v>
      </c>
      <c r="B2397" t="s">
        <v>8766</v>
      </c>
      <c r="C2397" t="str">
        <f>IFERROR(VLOOKUP(ILACLISTE[[#This Row],[NAME]],Table5[#All],2,0),"")</f>
        <v/>
      </c>
    </row>
    <row r="2398" spans="1:3" x14ac:dyDescent="0.3">
      <c r="A2398" s="5" t="s">
        <v>3059</v>
      </c>
      <c r="B2398" t="s">
        <v>8767</v>
      </c>
      <c r="C2398" t="str">
        <f>IFERROR(VLOOKUP(ILACLISTE[[#This Row],[NAME]],Table5[#All],2,0),"")</f>
        <v/>
      </c>
    </row>
    <row r="2399" spans="1:3" x14ac:dyDescent="0.3">
      <c r="A2399" s="5" t="s">
        <v>3060</v>
      </c>
      <c r="B2399" t="s">
        <v>302</v>
      </c>
      <c r="C2399" t="str">
        <f>IFERROR(VLOOKUP(ILACLISTE[[#This Row],[NAME]],Table5[#All],2,0),"")</f>
        <v/>
      </c>
    </row>
    <row r="2400" spans="1:3" x14ac:dyDescent="0.3">
      <c r="A2400" s="5" t="s">
        <v>3061</v>
      </c>
      <c r="B2400" t="s">
        <v>8768</v>
      </c>
      <c r="C2400" t="str">
        <f>IFERROR(VLOOKUP(ILACLISTE[[#This Row],[NAME]],Table5[#All],2,0),"")</f>
        <v/>
      </c>
    </row>
    <row r="2401" spans="1:3" x14ac:dyDescent="0.3">
      <c r="A2401" s="5" t="s">
        <v>3062</v>
      </c>
      <c r="B2401" t="s">
        <v>8769</v>
      </c>
      <c r="C2401" t="str">
        <f>IFERROR(VLOOKUP(ILACLISTE[[#This Row],[NAME]],Table5[#All],2,0),"")</f>
        <v/>
      </c>
    </row>
    <row r="2402" spans="1:3" x14ac:dyDescent="0.3">
      <c r="A2402" s="5" t="s">
        <v>3063</v>
      </c>
      <c r="B2402" t="s">
        <v>8770</v>
      </c>
      <c r="C2402" t="str">
        <f>IFERROR(VLOOKUP(ILACLISTE[[#This Row],[NAME]],Table5[#All],2,0),"")</f>
        <v/>
      </c>
    </row>
    <row r="2403" spans="1:3" x14ac:dyDescent="0.3">
      <c r="A2403" s="5" t="s">
        <v>3064</v>
      </c>
      <c r="B2403" t="s">
        <v>8771</v>
      </c>
      <c r="C2403" t="str">
        <f>IFERROR(VLOOKUP(ILACLISTE[[#This Row],[NAME]],Table5[#All],2,0),"")</f>
        <v/>
      </c>
    </row>
    <row r="2404" spans="1:3" x14ac:dyDescent="0.3">
      <c r="A2404" s="5" t="s">
        <v>3065</v>
      </c>
      <c r="B2404" t="s">
        <v>8772</v>
      </c>
      <c r="C2404" t="str">
        <f>IFERROR(VLOOKUP(ILACLISTE[[#This Row],[NAME]],Table5[#All],2,0),"")</f>
        <v/>
      </c>
    </row>
    <row r="2405" spans="1:3" x14ac:dyDescent="0.3">
      <c r="A2405" s="5" t="s">
        <v>3066</v>
      </c>
      <c r="B2405" t="s">
        <v>8773</v>
      </c>
      <c r="C2405" t="str">
        <f>IFERROR(VLOOKUP(ILACLISTE[[#This Row],[NAME]],Table5[#All],2,0),"")</f>
        <v/>
      </c>
    </row>
    <row r="2406" spans="1:3" x14ac:dyDescent="0.3">
      <c r="A2406" s="5" t="s">
        <v>3067</v>
      </c>
      <c r="B2406" t="s">
        <v>8774</v>
      </c>
      <c r="C2406" t="str">
        <f>IFERROR(VLOOKUP(ILACLISTE[[#This Row],[NAME]],Table5[#All],2,0),"")</f>
        <v/>
      </c>
    </row>
    <row r="2407" spans="1:3" x14ac:dyDescent="0.3">
      <c r="A2407" s="5" t="s">
        <v>3068</v>
      </c>
      <c r="B2407" t="s">
        <v>8775</v>
      </c>
      <c r="C2407" t="str">
        <f>IFERROR(VLOOKUP(ILACLISTE[[#This Row],[NAME]],Table5[#All],2,0),"")</f>
        <v/>
      </c>
    </row>
    <row r="2408" spans="1:3" x14ac:dyDescent="0.3">
      <c r="A2408" s="5" t="s">
        <v>3069</v>
      </c>
      <c r="B2408" t="s">
        <v>8776</v>
      </c>
      <c r="C2408" t="str">
        <f>IFERROR(VLOOKUP(ILACLISTE[[#This Row],[NAME]],Table5[#All],2,0),"")</f>
        <v/>
      </c>
    </row>
    <row r="2409" spans="1:3" x14ac:dyDescent="0.3">
      <c r="A2409" s="5" t="s">
        <v>3070</v>
      </c>
      <c r="B2409" t="s">
        <v>8777</v>
      </c>
      <c r="C2409" t="str">
        <f>IFERROR(VLOOKUP(ILACLISTE[[#This Row],[NAME]],Table5[#All],2,0),"")</f>
        <v/>
      </c>
    </row>
    <row r="2410" spans="1:3" x14ac:dyDescent="0.3">
      <c r="A2410" s="5" t="s">
        <v>3071</v>
      </c>
      <c r="B2410" t="s">
        <v>8778</v>
      </c>
      <c r="C2410" t="str">
        <f>IFERROR(VLOOKUP(ILACLISTE[[#This Row],[NAME]],Table5[#All],2,0),"")</f>
        <v/>
      </c>
    </row>
    <row r="2411" spans="1:3" x14ac:dyDescent="0.3">
      <c r="A2411" s="5" t="s">
        <v>3072</v>
      </c>
      <c r="B2411" t="s">
        <v>8779</v>
      </c>
      <c r="C2411" t="str">
        <f>IFERROR(VLOOKUP(ILACLISTE[[#This Row],[NAME]],Table5[#All],2,0),"")</f>
        <v/>
      </c>
    </row>
    <row r="2412" spans="1:3" x14ac:dyDescent="0.3">
      <c r="A2412" s="5" t="s">
        <v>3073</v>
      </c>
      <c r="B2412" t="s">
        <v>8780</v>
      </c>
      <c r="C2412" t="str">
        <f>IFERROR(VLOOKUP(ILACLISTE[[#This Row],[NAME]],Table5[#All],2,0),"")</f>
        <v/>
      </c>
    </row>
    <row r="2413" spans="1:3" x14ac:dyDescent="0.3">
      <c r="A2413" s="5" t="s">
        <v>3074</v>
      </c>
      <c r="B2413" t="s">
        <v>8781</v>
      </c>
      <c r="C2413" t="str">
        <f>IFERROR(VLOOKUP(ILACLISTE[[#This Row],[NAME]],Table5[#All],2,0),"")</f>
        <v/>
      </c>
    </row>
    <row r="2414" spans="1:3" x14ac:dyDescent="0.3">
      <c r="A2414" s="5" t="s">
        <v>3075</v>
      </c>
      <c r="B2414" t="s">
        <v>8782</v>
      </c>
      <c r="C2414" t="str">
        <f>IFERROR(VLOOKUP(ILACLISTE[[#This Row],[NAME]],Table5[#All],2,0),"")</f>
        <v/>
      </c>
    </row>
    <row r="2415" spans="1:3" x14ac:dyDescent="0.3">
      <c r="A2415" s="5" t="s">
        <v>3076</v>
      </c>
      <c r="B2415" t="s">
        <v>8783</v>
      </c>
      <c r="C2415" t="str">
        <f>IFERROR(VLOOKUP(ILACLISTE[[#This Row],[NAME]],Table5[#All],2,0),"")</f>
        <v/>
      </c>
    </row>
    <row r="2416" spans="1:3" x14ac:dyDescent="0.3">
      <c r="A2416" s="5" t="s">
        <v>3077</v>
      </c>
      <c r="B2416" t="s">
        <v>8784</v>
      </c>
      <c r="C2416" t="str">
        <f>IFERROR(VLOOKUP(ILACLISTE[[#This Row],[NAME]],Table5[#All],2,0),"")</f>
        <v/>
      </c>
    </row>
    <row r="2417" spans="1:3" x14ac:dyDescent="0.3">
      <c r="A2417" s="5" t="s">
        <v>3078</v>
      </c>
      <c r="B2417" t="s">
        <v>8785</v>
      </c>
      <c r="C2417" t="str">
        <f>IFERROR(VLOOKUP(ILACLISTE[[#This Row],[NAME]],Table5[#All],2,0),"")</f>
        <v/>
      </c>
    </row>
    <row r="2418" spans="1:3" x14ac:dyDescent="0.3">
      <c r="A2418" s="5" t="s">
        <v>3079</v>
      </c>
      <c r="B2418" t="s">
        <v>8786</v>
      </c>
      <c r="C2418" t="str">
        <f>IFERROR(VLOOKUP(ILACLISTE[[#This Row],[NAME]],Table5[#All],2,0),"")</f>
        <v/>
      </c>
    </row>
    <row r="2419" spans="1:3" x14ac:dyDescent="0.3">
      <c r="A2419" s="5" t="s">
        <v>3080</v>
      </c>
      <c r="B2419" t="s">
        <v>8787</v>
      </c>
      <c r="C2419" t="str">
        <f>IFERROR(VLOOKUP(ILACLISTE[[#This Row],[NAME]],Table5[#All],2,0),"")</f>
        <v/>
      </c>
    </row>
    <row r="2420" spans="1:3" x14ac:dyDescent="0.3">
      <c r="A2420" s="5" t="s">
        <v>3081</v>
      </c>
      <c r="B2420" t="s">
        <v>8788</v>
      </c>
      <c r="C2420" t="str">
        <f>IFERROR(VLOOKUP(ILACLISTE[[#This Row],[NAME]],Table5[#All],2,0),"")</f>
        <v/>
      </c>
    </row>
    <row r="2421" spans="1:3" x14ac:dyDescent="0.3">
      <c r="A2421" s="5" t="s">
        <v>3082</v>
      </c>
      <c r="B2421" t="s">
        <v>8789</v>
      </c>
      <c r="C2421" t="str">
        <f>IFERROR(VLOOKUP(ILACLISTE[[#This Row],[NAME]],Table5[#All],2,0),"")</f>
        <v/>
      </c>
    </row>
    <row r="2422" spans="1:3" x14ac:dyDescent="0.3">
      <c r="A2422" s="5" t="s">
        <v>3083</v>
      </c>
      <c r="B2422" t="s">
        <v>8790</v>
      </c>
      <c r="C2422" t="str">
        <f>IFERROR(VLOOKUP(ILACLISTE[[#This Row],[NAME]],Table5[#All],2,0),"")</f>
        <v/>
      </c>
    </row>
    <row r="2423" spans="1:3" x14ac:dyDescent="0.3">
      <c r="A2423" s="5" t="s">
        <v>3084</v>
      </c>
      <c r="B2423" t="s">
        <v>8791</v>
      </c>
      <c r="C2423" t="str">
        <f>IFERROR(VLOOKUP(ILACLISTE[[#This Row],[NAME]],Table5[#All],2,0),"")</f>
        <v/>
      </c>
    </row>
    <row r="2424" spans="1:3" x14ac:dyDescent="0.3">
      <c r="A2424" s="5" t="s">
        <v>3085</v>
      </c>
      <c r="B2424" t="s">
        <v>8792</v>
      </c>
      <c r="C2424" t="str">
        <f>IFERROR(VLOOKUP(ILACLISTE[[#This Row],[NAME]],Table5[#All],2,0),"")</f>
        <v/>
      </c>
    </row>
    <row r="2425" spans="1:3" x14ac:dyDescent="0.3">
      <c r="A2425" s="5" t="s">
        <v>3086</v>
      </c>
      <c r="B2425" t="s">
        <v>8793</v>
      </c>
      <c r="C2425" t="str">
        <f>IFERROR(VLOOKUP(ILACLISTE[[#This Row],[NAME]],Table5[#All],2,0),"")</f>
        <v/>
      </c>
    </row>
    <row r="2426" spans="1:3" x14ac:dyDescent="0.3">
      <c r="A2426" s="5" t="s">
        <v>3087</v>
      </c>
      <c r="B2426" t="s">
        <v>8794</v>
      </c>
      <c r="C2426" t="str">
        <f>IFERROR(VLOOKUP(ILACLISTE[[#This Row],[NAME]],Table5[#All],2,0),"")</f>
        <v/>
      </c>
    </row>
    <row r="2427" spans="1:3" x14ac:dyDescent="0.3">
      <c r="A2427" s="5" t="s">
        <v>3088</v>
      </c>
      <c r="B2427" t="s">
        <v>8795</v>
      </c>
      <c r="C2427" t="str">
        <f>IFERROR(VLOOKUP(ILACLISTE[[#This Row],[NAME]],Table5[#All],2,0),"")</f>
        <v/>
      </c>
    </row>
    <row r="2428" spans="1:3" x14ac:dyDescent="0.3">
      <c r="A2428" s="5" t="s">
        <v>3089</v>
      </c>
      <c r="B2428" t="s">
        <v>8796</v>
      </c>
      <c r="C2428" t="str">
        <f>IFERROR(VLOOKUP(ILACLISTE[[#This Row],[NAME]],Table5[#All],2,0),"")</f>
        <v/>
      </c>
    </row>
    <row r="2429" spans="1:3" x14ac:dyDescent="0.3">
      <c r="A2429" s="5" t="s">
        <v>3090</v>
      </c>
      <c r="B2429" t="s">
        <v>303</v>
      </c>
      <c r="C2429" t="str">
        <f>IFERROR(VLOOKUP(ILACLISTE[[#This Row],[NAME]],Table5[#All],2,0),"")</f>
        <v/>
      </c>
    </row>
    <row r="2430" spans="1:3" x14ac:dyDescent="0.3">
      <c r="A2430" s="5" t="s">
        <v>3091</v>
      </c>
      <c r="B2430" t="s">
        <v>8797</v>
      </c>
      <c r="C2430" t="str">
        <f>IFERROR(VLOOKUP(ILACLISTE[[#This Row],[NAME]],Table5[#All],2,0),"")</f>
        <v/>
      </c>
    </row>
    <row r="2431" spans="1:3" x14ac:dyDescent="0.3">
      <c r="A2431" s="5" t="s">
        <v>3092</v>
      </c>
      <c r="B2431" t="s">
        <v>8798</v>
      </c>
      <c r="C2431" t="str">
        <f>IFERROR(VLOOKUP(ILACLISTE[[#This Row],[NAME]],Table5[#All],2,0),"")</f>
        <v/>
      </c>
    </row>
    <row r="2432" spans="1:3" x14ac:dyDescent="0.3">
      <c r="A2432" s="5" t="s">
        <v>3093</v>
      </c>
      <c r="B2432" t="s">
        <v>8799</v>
      </c>
      <c r="C2432" t="str">
        <f>IFERROR(VLOOKUP(ILACLISTE[[#This Row],[NAME]],Table5[#All],2,0),"")</f>
        <v/>
      </c>
    </row>
    <row r="2433" spans="1:3" x14ac:dyDescent="0.3">
      <c r="A2433" s="5" t="s">
        <v>3094</v>
      </c>
      <c r="B2433" t="s">
        <v>304</v>
      </c>
      <c r="C2433" t="str">
        <f>IFERROR(VLOOKUP(ILACLISTE[[#This Row],[NAME]],Table5[#All],2,0),"")</f>
        <v/>
      </c>
    </row>
    <row r="2434" spans="1:3" x14ac:dyDescent="0.3">
      <c r="A2434" s="5" t="s">
        <v>3095</v>
      </c>
      <c r="B2434" t="s">
        <v>8800</v>
      </c>
      <c r="C2434" t="str">
        <f>IFERROR(VLOOKUP(ILACLISTE[[#This Row],[NAME]],Table5[#All],2,0),"")</f>
        <v/>
      </c>
    </row>
    <row r="2435" spans="1:3" x14ac:dyDescent="0.3">
      <c r="A2435" s="5" t="s">
        <v>3096</v>
      </c>
      <c r="B2435" t="s">
        <v>305</v>
      </c>
      <c r="C2435" t="str">
        <f>IFERROR(VLOOKUP(ILACLISTE[[#This Row],[NAME]],Table5[#All],2,0),"")</f>
        <v/>
      </c>
    </row>
    <row r="2436" spans="1:3" ht="20.399999999999999" x14ac:dyDescent="0.3">
      <c r="A2436" s="6" t="s">
        <v>3097</v>
      </c>
      <c r="B2436" t="s">
        <v>8801</v>
      </c>
      <c r="C2436" t="str">
        <f>IFERROR(VLOOKUP(ILACLISTE[[#This Row],[NAME]],Table5[#All],2,0),"")</f>
        <v/>
      </c>
    </row>
    <row r="2437" spans="1:3" x14ac:dyDescent="0.3">
      <c r="A2437" s="5" t="s">
        <v>3098</v>
      </c>
      <c r="B2437" t="s">
        <v>306</v>
      </c>
      <c r="C2437" t="str">
        <f>IFERROR(VLOOKUP(ILACLISTE[[#This Row],[NAME]],Table5[#All],2,0),"")</f>
        <v/>
      </c>
    </row>
    <row r="2438" spans="1:3" x14ac:dyDescent="0.3">
      <c r="A2438" s="5" t="s">
        <v>3099</v>
      </c>
      <c r="B2438" t="s">
        <v>307</v>
      </c>
      <c r="C2438" t="str">
        <f>IFERROR(VLOOKUP(ILACLISTE[[#This Row],[NAME]],Table5[#All],2,0),"")</f>
        <v/>
      </c>
    </row>
    <row r="2439" spans="1:3" x14ac:dyDescent="0.3">
      <c r="A2439" s="5" t="s">
        <v>3100</v>
      </c>
      <c r="B2439" t="s">
        <v>8802</v>
      </c>
      <c r="C2439" t="str">
        <f>IFERROR(VLOOKUP(ILACLISTE[[#This Row],[NAME]],Table5[#All],2,0),"")</f>
        <v/>
      </c>
    </row>
    <row r="2440" spans="1:3" x14ac:dyDescent="0.3">
      <c r="A2440" s="5" t="s">
        <v>3101</v>
      </c>
      <c r="B2440" t="s">
        <v>308</v>
      </c>
      <c r="C2440" t="str">
        <f>IFERROR(VLOOKUP(ILACLISTE[[#This Row],[NAME]],Table5[#All],2,0),"")</f>
        <v/>
      </c>
    </row>
    <row r="2441" spans="1:3" x14ac:dyDescent="0.3">
      <c r="A2441" s="5" t="s">
        <v>3102</v>
      </c>
      <c r="B2441" t="s">
        <v>8803</v>
      </c>
      <c r="C2441" t="str">
        <f>IFERROR(VLOOKUP(ILACLISTE[[#This Row],[NAME]],Table5[#All],2,0),"")</f>
        <v/>
      </c>
    </row>
    <row r="2442" spans="1:3" x14ac:dyDescent="0.3">
      <c r="A2442" s="5" t="s">
        <v>3103</v>
      </c>
      <c r="B2442" t="s">
        <v>8804</v>
      </c>
      <c r="C2442" t="str">
        <f>IFERROR(VLOOKUP(ILACLISTE[[#This Row],[NAME]],Table5[#All],2,0),"")</f>
        <v/>
      </c>
    </row>
    <row r="2443" spans="1:3" x14ac:dyDescent="0.3">
      <c r="A2443" s="5" t="s">
        <v>3104</v>
      </c>
      <c r="B2443" t="s">
        <v>8805</v>
      </c>
      <c r="C2443" t="str">
        <f>IFERROR(VLOOKUP(ILACLISTE[[#This Row],[NAME]],Table5[#All],2,0),"")</f>
        <v/>
      </c>
    </row>
    <row r="2444" spans="1:3" x14ac:dyDescent="0.3">
      <c r="A2444" s="5" t="s">
        <v>3105</v>
      </c>
      <c r="B2444" t="s">
        <v>8806</v>
      </c>
      <c r="C2444" t="str">
        <f>IFERROR(VLOOKUP(ILACLISTE[[#This Row],[NAME]],Table5[#All],2,0),"")</f>
        <v/>
      </c>
    </row>
    <row r="2445" spans="1:3" x14ac:dyDescent="0.3">
      <c r="A2445" s="5" t="s">
        <v>3106</v>
      </c>
      <c r="B2445" t="s">
        <v>8807</v>
      </c>
      <c r="C2445" t="str">
        <f>IFERROR(VLOOKUP(ILACLISTE[[#This Row],[NAME]],Table5[#All],2,0),"")</f>
        <v/>
      </c>
    </row>
    <row r="2446" spans="1:3" x14ac:dyDescent="0.3">
      <c r="A2446" s="5" t="s">
        <v>3107</v>
      </c>
      <c r="B2446" t="s">
        <v>8808</v>
      </c>
      <c r="C2446" t="str">
        <f>IFERROR(VLOOKUP(ILACLISTE[[#This Row],[NAME]],Table5[#All],2,0),"")</f>
        <v/>
      </c>
    </row>
    <row r="2447" spans="1:3" x14ac:dyDescent="0.3">
      <c r="A2447" s="5" t="s">
        <v>3108</v>
      </c>
      <c r="B2447" t="s">
        <v>8809</v>
      </c>
      <c r="C2447" t="str">
        <f>IFERROR(VLOOKUP(ILACLISTE[[#This Row],[NAME]],Table5[#All],2,0),"")</f>
        <v/>
      </c>
    </row>
    <row r="2448" spans="1:3" x14ac:dyDescent="0.3">
      <c r="A2448" s="5" t="s">
        <v>3109</v>
      </c>
      <c r="B2448" t="s">
        <v>8810</v>
      </c>
      <c r="C2448" t="str">
        <f>IFERROR(VLOOKUP(ILACLISTE[[#This Row],[NAME]],Table5[#All],2,0),"")</f>
        <v/>
      </c>
    </row>
    <row r="2449" spans="1:3" x14ac:dyDescent="0.3">
      <c r="A2449" s="5" t="s">
        <v>3110</v>
      </c>
      <c r="B2449" t="s">
        <v>8811</v>
      </c>
      <c r="C2449" t="str">
        <f>IFERROR(VLOOKUP(ILACLISTE[[#This Row],[NAME]],Table5[#All],2,0),"")</f>
        <v/>
      </c>
    </row>
    <row r="2450" spans="1:3" x14ac:dyDescent="0.3">
      <c r="A2450" s="5" t="s">
        <v>3111</v>
      </c>
      <c r="B2450" t="s">
        <v>8812</v>
      </c>
      <c r="C2450" t="str">
        <f>IFERROR(VLOOKUP(ILACLISTE[[#This Row],[NAME]],Table5[#All],2,0),"")</f>
        <v/>
      </c>
    </row>
    <row r="2451" spans="1:3" x14ac:dyDescent="0.3">
      <c r="A2451" s="5" t="s">
        <v>3112</v>
      </c>
      <c r="B2451" t="s">
        <v>8813</v>
      </c>
      <c r="C2451" t="str">
        <f>IFERROR(VLOOKUP(ILACLISTE[[#This Row],[NAME]],Table5[#All],2,0),"")</f>
        <v/>
      </c>
    </row>
    <row r="2452" spans="1:3" x14ac:dyDescent="0.3">
      <c r="A2452" s="5" t="s">
        <v>3113</v>
      </c>
      <c r="B2452" t="s">
        <v>8814</v>
      </c>
      <c r="C2452" t="str">
        <f>IFERROR(VLOOKUP(ILACLISTE[[#This Row],[NAME]],Table5[#All],2,0),"")</f>
        <v/>
      </c>
    </row>
    <row r="2453" spans="1:3" x14ac:dyDescent="0.3">
      <c r="A2453" s="5" t="s">
        <v>3114</v>
      </c>
      <c r="B2453" t="s">
        <v>8815</v>
      </c>
      <c r="C2453" t="str">
        <f>IFERROR(VLOOKUP(ILACLISTE[[#This Row],[NAME]],Table5[#All],2,0),"")</f>
        <v/>
      </c>
    </row>
    <row r="2454" spans="1:3" x14ac:dyDescent="0.3">
      <c r="A2454" s="5" t="s">
        <v>3115</v>
      </c>
      <c r="B2454" t="s">
        <v>8816</v>
      </c>
      <c r="C2454" t="str">
        <f>IFERROR(VLOOKUP(ILACLISTE[[#This Row],[NAME]],Table5[#All],2,0),"")</f>
        <v/>
      </c>
    </row>
    <row r="2455" spans="1:3" x14ac:dyDescent="0.3">
      <c r="A2455" s="5" t="s">
        <v>3116</v>
      </c>
      <c r="B2455" t="s">
        <v>8817</v>
      </c>
      <c r="C2455" t="str">
        <f>IFERROR(VLOOKUP(ILACLISTE[[#This Row],[NAME]],Table5[#All],2,0),"")</f>
        <v/>
      </c>
    </row>
    <row r="2456" spans="1:3" x14ac:dyDescent="0.3">
      <c r="A2456" s="5" t="s">
        <v>3117</v>
      </c>
      <c r="B2456" t="s">
        <v>8818</v>
      </c>
      <c r="C2456" t="str">
        <f>IFERROR(VLOOKUP(ILACLISTE[[#This Row],[NAME]],Table5[#All],2,0),"")</f>
        <v/>
      </c>
    </row>
    <row r="2457" spans="1:3" x14ac:dyDescent="0.3">
      <c r="A2457" s="5" t="s">
        <v>3118</v>
      </c>
      <c r="B2457" t="s">
        <v>309</v>
      </c>
      <c r="C2457" t="str">
        <f>IFERROR(VLOOKUP(ILACLISTE[[#This Row],[NAME]],Table5[#All],2,0),"")</f>
        <v/>
      </c>
    </row>
    <row r="2458" spans="1:3" x14ac:dyDescent="0.3">
      <c r="A2458" s="5" t="s">
        <v>3119</v>
      </c>
      <c r="B2458" t="s">
        <v>8819</v>
      </c>
      <c r="C2458" t="str">
        <f>IFERROR(VLOOKUP(ILACLISTE[[#This Row],[NAME]],Table5[#All],2,0),"")</f>
        <v/>
      </c>
    </row>
    <row r="2459" spans="1:3" x14ac:dyDescent="0.3">
      <c r="A2459" s="5" t="s">
        <v>3120</v>
      </c>
      <c r="B2459" t="s">
        <v>8820</v>
      </c>
      <c r="C2459" t="str">
        <f>IFERROR(VLOOKUP(ILACLISTE[[#This Row],[NAME]],Table5[#All],2,0),"")</f>
        <v/>
      </c>
    </row>
    <row r="2460" spans="1:3" x14ac:dyDescent="0.3">
      <c r="A2460" s="5" t="s">
        <v>3121</v>
      </c>
      <c r="B2460" t="s">
        <v>310</v>
      </c>
      <c r="C2460" t="str">
        <f>IFERROR(VLOOKUP(ILACLISTE[[#This Row],[NAME]],Table5[#All],2,0),"")</f>
        <v/>
      </c>
    </row>
    <row r="2461" spans="1:3" x14ac:dyDescent="0.3">
      <c r="A2461" s="5" t="s">
        <v>3122</v>
      </c>
      <c r="B2461" t="s">
        <v>8821</v>
      </c>
      <c r="C2461" t="str">
        <f>IFERROR(VLOOKUP(ILACLISTE[[#This Row],[NAME]],Table5[#All],2,0),"")</f>
        <v/>
      </c>
    </row>
    <row r="2462" spans="1:3" x14ac:dyDescent="0.3">
      <c r="A2462" s="5" t="s">
        <v>3123</v>
      </c>
      <c r="B2462" t="s">
        <v>8822</v>
      </c>
      <c r="C2462" t="str">
        <f>IFERROR(VLOOKUP(ILACLISTE[[#This Row],[NAME]],Table5[#All],2,0),"")</f>
        <v/>
      </c>
    </row>
    <row r="2463" spans="1:3" x14ac:dyDescent="0.3">
      <c r="A2463" s="5" t="s">
        <v>3124</v>
      </c>
      <c r="B2463" t="s">
        <v>311</v>
      </c>
      <c r="C2463" t="str">
        <f>IFERROR(VLOOKUP(ILACLISTE[[#This Row],[NAME]],Table5[#All],2,0),"")</f>
        <v/>
      </c>
    </row>
    <row r="2464" spans="1:3" x14ac:dyDescent="0.3">
      <c r="A2464" s="5" t="s">
        <v>3125</v>
      </c>
      <c r="B2464" t="s">
        <v>8823</v>
      </c>
      <c r="C2464" t="str">
        <f>IFERROR(VLOOKUP(ILACLISTE[[#This Row],[NAME]],Table5[#All],2,0),"")</f>
        <v/>
      </c>
    </row>
    <row r="2465" spans="1:3" x14ac:dyDescent="0.3">
      <c r="A2465" s="5" t="s">
        <v>3126</v>
      </c>
      <c r="B2465" t="s">
        <v>312</v>
      </c>
      <c r="C2465" t="str">
        <f>IFERROR(VLOOKUP(ILACLISTE[[#This Row],[NAME]],Table5[#All],2,0),"")</f>
        <v/>
      </c>
    </row>
    <row r="2466" spans="1:3" x14ac:dyDescent="0.3">
      <c r="A2466" s="5" t="s">
        <v>3127</v>
      </c>
      <c r="B2466" t="s">
        <v>8824</v>
      </c>
      <c r="C2466" t="str">
        <f>IFERROR(VLOOKUP(ILACLISTE[[#This Row],[NAME]],Table5[#All],2,0),"")</f>
        <v/>
      </c>
    </row>
    <row r="2467" spans="1:3" x14ac:dyDescent="0.3">
      <c r="A2467" s="5" t="s">
        <v>3128</v>
      </c>
      <c r="B2467" t="s">
        <v>8825</v>
      </c>
      <c r="C2467" t="str">
        <f>IFERROR(VLOOKUP(ILACLISTE[[#This Row],[NAME]],Table5[#All],2,0),"")</f>
        <v/>
      </c>
    </row>
    <row r="2468" spans="1:3" x14ac:dyDescent="0.3">
      <c r="A2468" s="5" t="s">
        <v>3129</v>
      </c>
      <c r="B2468" t="s">
        <v>8826</v>
      </c>
      <c r="C2468" t="str">
        <f>IFERROR(VLOOKUP(ILACLISTE[[#This Row],[NAME]],Table5[#All],2,0),"")</f>
        <v/>
      </c>
    </row>
    <row r="2469" spans="1:3" x14ac:dyDescent="0.3">
      <c r="A2469" s="5" t="s">
        <v>3130</v>
      </c>
      <c r="B2469" t="s">
        <v>8827</v>
      </c>
      <c r="C2469" t="str">
        <f>IFERROR(VLOOKUP(ILACLISTE[[#This Row],[NAME]],Table5[#All],2,0),"")</f>
        <v/>
      </c>
    </row>
    <row r="2470" spans="1:3" x14ac:dyDescent="0.3">
      <c r="A2470" s="5" t="s">
        <v>3131</v>
      </c>
      <c r="B2470" t="s">
        <v>8828</v>
      </c>
      <c r="C2470" t="str">
        <f>IFERROR(VLOOKUP(ILACLISTE[[#This Row],[NAME]],Table5[#All],2,0),"")</f>
        <v/>
      </c>
    </row>
    <row r="2471" spans="1:3" x14ac:dyDescent="0.3">
      <c r="A2471" s="5" t="s">
        <v>3132</v>
      </c>
      <c r="B2471" t="s">
        <v>8829</v>
      </c>
      <c r="C2471" t="str">
        <f>IFERROR(VLOOKUP(ILACLISTE[[#This Row],[NAME]],Table5[#All],2,0),"")</f>
        <v/>
      </c>
    </row>
    <row r="2472" spans="1:3" x14ac:dyDescent="0.3">
      <c r="A2472" s="5" t="s">
        <v>3133</v>
      </c>
      <c r="B2472" t="s">
        <v>8830</v>
      </c>
      <c r="C2472" t="str">
        <f>IFERROR(VLOOKUP(ILACLISTE[[#This Row],[NAME]],Table5[#All],2,0),"")</f>
        <v/>
      </c>
    </row>
    <row r="2473" spans="1:3" x14ac:dyDescent="0.3">
      <c r="A2473" s="5" t="s">
        <v>3134</v>
      </c>
      <c r="B2473" t="s">
        <v>8831</v>
      </c>
      <c r="C2473" t="str">
        <f>IFERROR(VLOOKUP(ILACLISTE[[#This Row],[NAME]],Table5[#All],2,0),"")</f>
        <v/>
      </c>
    </row>
    <row r="2474" spans="1:3" x14ac:dyDescent="0.3">
      <c r="A2474" s="5" t="s">
        <v>3135</v>
      </c>
      <c r="B2474" t="s">
        <v>8832</v>
      </c>
      <c r="C2474" t="str">
        <f>IFERROR(VLOOKUP(ILACLISTE[[#This Row],[NAME]],Table5[#All],2,0),"")</f>
        <v/>
      </c>
    </row>
    <row r="2475" spans="1:3" x14ac:dyDescent="0.3">
      <c r="A2475" s="5" t="s">
        <v>3136</v>
      </c>
      <c r="B2475" t="s">
        <v>8833</v>
      </c>
      <c r="C2475" t="str">
        <f>IFERROR(VLOOKUP(ILACLISTE[[#This Row],[NAME]],Table5[#All],2,0),"")</f>
        <v/>
      </c>
    </row>
    <row r="2476" spans="1:3" x14ac:dyDescent="0.3">
      <c r="A2476" s="5" t="s">
        <v>3137</v>
      </c>
      <c r="B2476" t="s">
        <v>8834</v>
      </c>
      <c r="C2476" t="str">
        <f>IFERROR(VLOOKUP(ILACLISTE[[#This Row],[NAME]],Table5[#All],2,0),"")</f>
        <v/>
      </c>
    </row>
    <row r="2477" spans="1:3" x14ac:dyDescent="0.3">
      <c r="A2477" s="5" t="s">
        <v>3138</v>
      </c>
      <c r="B2477" t="s">
        <v>8835</v>
      </c>
      <c r="C2477" t="str">
        <f>IFERROR(VLOOKUP(ILACLISTE[[#This Row],[NAME]],Table5[#All],2,0),"")</f>
        <v/>
      </c>
    </row>
    <row r="2478" spans="1:3" x14ac:dyDescent="0.3">
      <c r="A2478" s="5" t="s">
        <v>3139</v>
      </c>
      <c r="B2478" t="s">
        <v>8836</v>
      </c>
      <c r="C2478" t="str">
        <f>IFERROR(VLOOKUP(ILACLISTE[[#This Row],[NAME]],Table5[#All],2,0),"")</f>
        <v/>
      </c>
    </row>
    <row r="2479" spans="1:3" x14ac:dyDescent="0.3">
      <c r="A2479" s="5" t="s">
        <v>3140</v>
      </c>
      <c r="B2479" t="s">
        <v>313</v>
      </c>
      <c r="C2479" t="str">
        <f>IFERROR(VLOOKUP(ILACLISTE[[#This Row],[NAME]],Table5[#All],2,0),"")</f>
        <v/>
      </c>
    </row>
    <row r="2480" spans="1:3" x14ac:dyDescent="0.3">
      <c r="A2480" s="5" t="s">
        <v>3141</v>
      </c>
      <c r="B2480" t="s">
        <v>314</v>
      </c>
      <c r="C2480" t="str">
        <f>IFERROR(VLOOKUP(ILACLISTE[[#This Row],[NAME]],Table5[#All],2,0),"")</f>
        <v/>
      </c>
    </row>
    <row r="2481" spans="1:3" x14ac:dyDescent="0.3">
      <c r="A2481" s="5" t="s">
        <v>3142</v>
      </c>
      <c r="B2481" t="s">
        <v>8837</v>
      </c>
      <c r="C2481" t="str">
        <f>IFERROR(VLOOKUP(ILACLISTE[[#This Row],[NAME]],Table5[#All],2,0),"")</f>
        <v/>
      </c>
    </row>
    <row r="2482" spans="1:3" x14ac:dyDescent="0.3">
      <c r="A2482" s="5" t="s">
        <v>3143</v>
      </c>
      <c r="B2482" t="s">
        <v>8838</v>
      </c>
      <c r="C2482" t="str">
        <f>IFERROR(VLOOKUP(ILACLISTE[[#This Row],[NAME]],Table5[#All],2,0),"")</f>
        <v/>
      </c>
    </row>
    <row r="2483" spans="1:3" x14ac:dyDescent="0.3">
      <c r="A2483" s="5" t="s">
        <v>3144</v>
      </c>
      <c r="B2483" t="s">
        <v>8839</v>
      </c>
      <c r="C2483" t="str">
        <f>IFERROR(VLOOKUP(ILACLISTE[[#This Row],[NAME]],Table5[#All],2,0),"")</f>
        <v/>
      </c>
    </row>
    <row r="2484" spans="1:3" x14ac:dyDescent="0.3">
      <c r="A2484" s="5" t="s">
        <v>3145</v>
      </c>
      <c r="B2484" t="s">
        <v>8840</v>
      </c>
      <c r="C2484" t="str">
        <f>IFERROR(VLOOKUP(ILACLISTE[[#This Row],[NAME]],Table5[#All],2,0),"")</f>
        <v/>
      </c>
    </row>
    <row r="2485" spans="1:3" x14ac:dyDescent="0.3">
      <c r="A2485" s="5" t="s">
        <v>3146</v>
      </c>
      <c r="B2485" t="s">
        <v>8841</v>
      </c>
      <c r="C2485" t="str">
        <f>IFERROR(VLOOKUP(ILACLISTE[[#This Row],[NAME]],Table5[#All],2,0),"")</f>
        <v/>
      </c>
    </row>
    <row r="2486" spans="1:3" x14ac:dyDescent="0.3">
      <c r="A2486" s="5" t="s">
        <v>3147</v>
      </c>
      <c r="B2486" t="s">
        <v>8842</v>
      </c>
      <c r="C2486" t="str">
        <f>IFERROR(VLOOKUP(ILACLISTE[[#This Row],[NAME]],Table5[#All],2,0),"")</f>
        <v/>
      </c>
    </row>
    <row r="2487" spans="1:3" x14ac:dyDescent="0.3">
      <c r="A2487" s="5" t="s">
        <v>3148</v>
      </c>
      <c r="B2487" t="s">
        <v>8843</v>
      </c>
      <c r="C2487" t="str">
        <f>IFERROR(VLOOKUP(ILACLISTE[[#This Row],[NAME]],Table5[#All],2,0),"")</f>
        <v/>
      </c>
    </row>
    <row r="2488" spans="1:3" x14ac:dyDescent="0.3">
      <c r="A2488" s="5" t="s">
        <v>3149</v>
      </c>
      <c r="B2488" t="s">
        <v>8844</v>
      </c>
      <c r="C2488" t="str">
        <f>IFERROR(VLOOKUP(ILACLISTE[[#This Row],[NAME]],Table5[#All],2,0),"")</f>
        <v/>
      </c>
    </row>
    <row r="2489" spans="1:3" x14ac:dyDescent="0.3">
      <c r="A2489" s="5" t="s">
        <v>3150</v>
      </c>
      <c r="B2489" t="s">
        <v>315</v>
      </c>
      <c r="C2489" t="str">
        <f>IFERROR(VLOOKUP(ILACLISTE[[#This Row],[NAME]],Table5[#All],2,0),"")</f>
        <v/>
      </c>
    </row>
    <row r="2490" spans="1:3" x14ac:dyDescent="0.3">
      <c r="A2490" s="5" t="s">
        <v>3151</v>
      </c>
      <c r="B2490" t="s">
        <v>8845</v>
      </c>
      <c r="C2490" t="str">
        <f>IFERROR(VLOOKUP(ILACLISTE[[#This Row],[NAME]],Table5[#All],2,0),"")</f>
        <v/>
      </c>
    </row>
    <row r="2491" spans="1:3" x14ac:dyDescent="0.3">
      <c r="A2491" s="5" t="s">
        <v>3152</v>
      </c>
      <c r="B2491" t="s">
        <v>8846</v>
      </c>
      <c r="C2491" t="str">
        <f>IFERROR(VLOOKUP(ILACLISTE[[#This Row],[NAME]],Table5[#All],2,0),"")</f>
        <v/>
      </c>
    </row>
    <row r="2492" spans="1:3" x14ac:dyDescent="0.3">
      <c r="A2492" s="5" t="s">
        <v>3153</v>
      </c>
      <c r="B2492" t="s">
        <v>8847</v>
      </c>
      <c r="C2492" t="str">
        <f>IFERROR(VLOOKUP(ILACLISTE[[#This Row],[NAME]],Table5[#All],2,0),"")</f>
        <v/>
      </c>
    </row>
    <row r="2493" spans="1:3" x14ac:dyDescent="0.3">
      <c r="A2493" s="5" t="s">
        <v>3154</v>
      </c>
      <c r="B2493" t="s">
        <v>8848</v>
      </c>
      <c r="C2493" t="str">
        <f>IFERROR(VLOOKUP(ILACLISTE[[#This Row],[NAME]],Table5[#All],2,0),"")</f>
        <v/>
      </c>
    </row>
    <row r="2494" spans="1:3" x14ac:dyDescent="0.3">
      <c r="A2494" s="5" t="s">
        <v>3155</v>
      </c>
      <c r="B2494" t="s">
        <v>8849</v>
      </c>
      <c r="C2494" t="str">
        <f>IFERROR(VLOOKUP(ILACLISTE[[#This Row],[NAME]],Table5[#All],2,0),"")</f>
        <v/>
      </c>
    </row>
    <row r="2495" spans="1:3" x14ac:dyDescent="0.3">
      <c r="A2495" s="5" t="s">
        <v>3156</v>
      </c>
      <c r="B2495" t="s">
        <v>8850</v>
      </c>
      <c r="C2495" t="str">
        <f>IFERROR(VLOOKUP(ILACLISTE[[#This Row],[NAME]],Table5[#All],2,0),"")</f>
        <v/>
      </c>
    </row>
    <row r="2496" spans="1:3" x14ac:dyDescent="0.3">
      <c r="A2496" s="5" t="s">
        <v>3157</v>
      </c>
      <c r="B2496" t="s">
        <v>8851</v>
      </c>
      <c r="C2496" t="str">
        <f>IFERROR(VLOOKUP(ILACLISTE[[#This Row],[NAME]],Table5[#All],2,0),"")</f>
        <v/>
      </c>
    </row>
    <row r="2497" spans="1:3" x14ac:dyDescent="0.3">
      <c r="A2497" s="5" t="s">
        <v>3158</v>
      </c>
      <c r="B2497" t="s">
        <v>8852</v>
      </c>
      <c r="C2497" t="str">
        <f>IFERROR(VLOOKUP(ILACLISTE[[#This Row],[NAME]],Table5[#All],2,0),"")</f>
        <v/>
      </c>
    </row>
    <row r="2498" spans="1:3" x14ac:dyDescent="0.3">
      <c r="A2498" s="5" t="s">
        <v>3159</v>
      </c>
      <c r="B2498" t="s">
        <v>8853</v>
      </c>
      <c r="C2498" t="str">
        <f>IFERROR(VLOOKUP(ILACLISTE[[#This Row],[NAME]],Table5[#All],2,0),"")</f>
        <v/>
      </c>
    </row>
    <row r="2499" spans="1:3" x14ac:dyDescent="0.3">
      <c r="A2499" s="5" t="s">
        <v>3160</v>
      </c>
      <c r="B2499" t="s">
        <v>316</v>
      </c>
      <c r="C2499" t="str">
        <f>IFERROR(VLOOKUP(ILACLISTE[[#This Row],[NAME]],Table5[#All],2,0),"")</f>
        <v/>
      </c>
    </row>
    <row r="2500" spans="1:3" x14ac:dyDescent="0.3">
      <c r="A2500" s="5" t="s">
        <v>3161</v>
      </c>
      <c r="B2500" t="s">
        <v>8854</v>
      </c>
      <c r="C2500" t="str">
        <f>IFERROR(VLOOKUP(ILACLISTE[[#This Row],[NAME]],Table5[#All],2,0),"")</f>
        <v/>
      </c>
    </row>
    <row r="2501" spans="1:3" x14ac:dyDescent="0.3">
      <c r="A2501" s="5" t="s">
        <v>3162</v>
      </c>
      <c r="B2501" t="s">
        <v>8855</v>
      </c>
      <c r="C2501" t="str">
        <f>IFERROR(VLOOKUP(ILACLISTE[[#This Row],[NAME]],Table5[#All],2,0),"")</f>
        <v/>
      </c>
    </row>
    <row r="2502" spans="1:3" x14ac:dyDescent="0.3">
      <c r="A2502" s="5" t="s">
        <v>3163</v>
      </c>
      <c r="B2502" t="s">
        <v>8856</v>
      </c>
      <c r="C2502" t="str">
        <f>IFERROR(VLOOKUP(ILACLISTE[[#This Row],[NAME]],Table5[#All],2,0),"")</f>
        <v/>
      </c>
    </row>
    <row r="2503" spans="1:3" x14ac:dyDescent="0.3">
      <c r="A2503" s="5" t="s">
        <v>3164</v>
      </c>
      <c r="B2503" t="s">
        <v>8857</v>
      </c>
      <c r="C2503" t="str">
        <f>IFERROR(VLOOKUP(ILACLISTE[[#This Row],[NAME]],Table5[#All],2,0),"")</f>
        <v/>
      </c>
    </row>
    <row r="2504" spans="1:3" x14ac:dyDescent="0.3">
      <c r="A2504" s="5" t="s">
        <v>3165</v>
      </c>
      <c r="B2504" t="s">
        <v>8858</v>
      </c>
      <c r="C2504" t="str">
        <f>IFERROR(VLOOKUP(ILACLISTE[[#This Row],[NAME]],Table5[#All],2,0),"")</f>
        <v/>
      </c>
    </row>
    <row r="2505" spans="1:3" x14ac:dyDescent="0.3">
      <c r="A2505" s="5" t="s">
        <v>3166</v>
      </c>
      <c r="B2505" t="s">
        <v>8859</v>
      </c>
      <c r="C2505" t="str">
        <f>IFERROR(VLOOKUP(ILACLISTE[[#This Row],[NAME]],Table5[#All],2,0),"")</f>
        <v/>
      </c>
    </row>
    <row r="2506" spans="1:3" x14ac:dyDescent="0.3">
      <c r="A2506" s="5" t="s">
        <v>3167</v>
      </c>
      <c r="B2506" t="s">
        <v>8860</v>
      </c>
      <c r="C2506" t="str">
        <f>IFERROR(VLOOKUP(ILACLISTE[[#This Row],[NAME]],Table5[#All],2,0),"")</f>
        <v/>
      </c>
    </row>
    <row r="2507" spans="1:3" x14ac:dyDescent="0.3">
      <c r="A2507" s="5" t="s">
        <v>3168</v>
      </c>
      <c r="B2507" t="s">
        <v>8861</v>
      </c>
      <c r="C2507" t="str">
        <f>IFERROR(VLOOKUP(ILACLISTE[[#This Row],[NAME]],Table5[#All],2,0),"")</f>
        <v/>
      </c>
    </row>
    <row r="2508" spans="1:3" x14ac:dyDescent="0.3">
      <c r="A2508" s="5" t="s">
        <v>3169</v>
      </c>
      <c r="B2508" t="s">
        <v>8862</v>
      </c>
      <c r="C2508" t="str">
        <f>IFERROR(VLOOKUP(ILACLISTE[[#This Row],[NAME]],Table5[#All],2,0),"")</f>
        <v/>
      </c>
    </row>
    <row r="2509" spans="1:3" x14ac:dyDescent="0.3">
      <c r="A2509" s="5" t="s">
        <v>3170</v>
      </c>
      <c r="B2509" t="s">
        <v>317</v>
      </c>
      <c r="C2509" t="str">
        <f>IFERROR(VLOOKUP(ILACLISTE[[#This Row],[NAME]],Table5[#All],2,0),"")</f>
        <v/>
      </c>
    </row>
    <row r="2510" spans="1:3" x14ac:dyDescent="0.3">
      <c r="A2510" s="5" t="s">
        <v>3171</v>
      </c>
      <c r="B2510" t="s">
        <v>8863</v>
      </c>
      <c r="C2510" t="str">
        <f>IFERROR(VLOOKUP(ILACLISTE[[#This Row],[NAME]],Table5[#All],2,0),"")</f>
        <v/>
      </c>
    </row>
    <row r="2511" spans="1:3" x14ac:dyDescent="0.3">
      <c r="A2511" s="5" t="s">
        <v>3172</v>
      </c>
      <c r="B2511" t="s">
        <v>8864</v>
      </c>
      <c r="C2511" t="str">
        <f>IFERROR(VLOOKUP(ILACLISTE[[#This Row],[NAME]],Table5[#All],2,0),"")</f>
        <v/>
      </c>
    </row>
    <row r="2512" spans="1:3" x14ac:dyDescent="0.3">
      <c r="A2512" s="5" t="s">
        <v>3173</v>
      </c>
      <c r="B2512" t="s">
        <v>8865</v>
      </c>
      <c r="C2512" t="str">
        <f>IFERROR(VLOOKUP(ILACLISTE[[#This Row],[NAME]],Table5[#All],2,0),"")</f>
        <v/>
      </c>
    </row>
    <row r="2513" spans="1:3" x14ac:dyDescent="0.3">
      <c r="A2513" s="5" t="s">
        <v>3174</v>
      </c>
      <c r="B2513" t="s">
        <v>8866</v>
      </c>
      <c r="C2513" t="str">
        <f>IFERROR(VLOOKUP(ILACLISTE[[#This Row],[NAME]],Table5[#All],2,0),"")</f>
        <v/>
      </c>
    </row>
    <row r="2514" spans="1:3" x14ac:dyDescent="0.3">
      <c r="A2514" s="5" t="s">
        <v>3175</v>
      </c>
      <c r="B2514" t="s">
        <v>8867</v>
      </c>
      <c r="C2514" t="str">
        <f>IFERROR(VLOOKUP(ILACLISTE[[#This Row],[NAME]],Table5[#All],2,0),"")</f>
        <v/>
      </c>
    </row>
    <row r="2515" spans="1:3" x14ac:dyDescent="0.3">
      <c r="A2515" s="5" t="s">
        <v>3176</v>
      </c>
      <c r="B2515" t="s">
        <v>8868</v>
      </c>
      <c r="C2515" t="str">
        <f>IFERROR(VLOOKUP(ILACLISTE[[#This Row],[NAME]],Table5[#All],2,0),"")</f>
        <v/>
      </c>
    </row>
    <row r="2516" spans="1:3" x14ac:dyDescent="0.3">
      <c r="A2516" s="5" t="s">
        <v>3177</v>
      </c>
      <c r="B2516" t="s">
        <v>8869</v>
      </c>
      <c r="C2516" t="str">
        <f>IFERROR(VLOOKUP(ILACLISTE[[#This Row],[NAME]],Table5[#All],2,0),"")</f>
        <v/>
      </c>
    </row>
    <row r="2517" spans="1:3" x14ac:dyDescent="0.3">
      <c r="A2517" s="5" t="s">
        <v>3178</v>
      </c>
      <c r="B2517" t="s">
        <v>8870</v>
      </c>
      <c r="C2517" t="str">
        <f>IFERROR(VLOOKUP(ILACLISTE[[#This Row],[NAME]],Table5[#All],2,0),"")</f>
        <v/>
      </c>
    </row>
    <row r="2518" spans="1:3" x14ac:dyDescent="0.3">
      <c r="A2518" s="5" t="s">
        <v>3179</v>
      </c>
      <c r="B2518" t="s">
        <v>8871</v>
      </c>
      <c r="C2518" t="str">
        <f>IFERROR(VLOOKUP(ILACLISTE[[#This Row],[NAME]],Table5[#All],2,0),"")</f>
        <v/>
      </c>
    </row>
    <row r="2519" spans="1:3" x14ac:dyDescent="0.3">
      <c r="A2519" s="5" t="s">
        <v>3180</v>
      </c>
      <c r="B2519" t="s">
        <v>8872</v>
      </c>
      <c r="C2519" t="str">
        <f>IFERROR(VLOOKUP(ILACLISTE[[#This Row],[NAME]],Table5[#All],2,0),"")</f>
        <v/>
      </c>
    </row>
    <row r="2520" spans="1:3" x14ac:dyDescent="0.3">
      <c r="A2520" s="5" t="s">
        <v>3181</v>
      </c>
      <c r="B2520" t="s">
        <v>8873</v>
      </c>
      <c r="C2520" t="str">
        <f>IFERROR(VLOOKUP(ILACLISTE[[#This Row],[NAME]],Table5[#All],2,0),"")</f>
        <v/>
      </c>
    </row>
    <row r="2521" spans="1:3" x14ac:dyDescent="0.3">
      <c r="A2521" s="5" t="s">
        <v>3182</v>
      </c>
      <c r="B2521" t="s">
        <v>318</v>
      </c>
      <c r="C2521" t="str">
        <f>IFERROR(VLOOKUP(ILACLISTE[[#This Row],[NAME]],Table5[#All],2,0),"")</f>
        <v/>
      </c>
    </row>
    <row r="2522" spans="1:3" x14ac:dyDescent="0.3">
      <c r="A2522" s="5" t="s">
        <v>3183</v>
      </c>
      <c r="B2522" t="s">
        <v>319</v>
      </c>
      <c r="C2522" t="str">
        <f>IFERROR(VLOOKUP(ILACLISTE[[#This Row],[NAME]],Table5[#All],2,0),"")</f>
        <v/>
      </c>
    </row>
    <row r="2523" spans="1:3" x14ac:dyDescent="0.3">
      <c r="A2523" s="5" t="s">
        <v>3184</v>
      </c>
      <c r="B2523" t="s">
        <v>320</v>
      </c>
      <c r="C2523" t="str">
        <f>IFERROR(VLOOKUP(ILACLISTE[[#This Row],[NAME]],Table5[#All],2,0),"")</f>
        <v/>
      </c>
    </row>
    <row r="2524" spans="1:3" x14ac:dyDescent="0.3">
      <c r="A2524" s="5" t="s">
        <v>3185</v>
      </c>
      <c r="B2524" t="s">
        <v>321</v>
      </c>
      <c r="C2524" t="str">
        <f>IFERROR(VLOOKUP(ILACLISTE[[#This Row],[NAME]],Table5[#All],2,0),"")</f>
        <v/>
      </c>
    </row>
    <row r="2525" spans="1:3" x14ac:dyDescent="0.3">
      <c r="A2525" s="5" t="s">
        <v>3186</v>
      </c>
      <c r="B2525" t="s">
        <v>322</v>
      </c>
      <c r="C2525" t="str">
        <f>IFERROR(VLOOKUP(ILACLISTE[[#This Row],[NAME]],Table5[#All],2,0),"")</f>
        <v/>
      </c>
    </row>
    <row r="2526" spans="1:3" x14ac:dyDescent="0.3">
      <c r="A2526" s="5" t="s">
        <v>3187</v>
      </c>
      <c r="B2526" t="s">
        <v>8874</v>
      </c>
      <c r="C2526" t="str">
        <f>IFERROR(VLOOKUP(ILACLISTE[[#This Row],[NAME]],Table5[#All],2,0),"")</f>
        <v/>
      </c>
    </row>
    <row r="2527" spans="1:3" x14ac:dyDescent="0.3">
      <c r="A2527" s="5" t="s">
        <v>3188</v>
      </c>
      <c r="B2527" t="s">
        <v>8875</v>
      </c>
      <c r="C2527" t="str">
        <f>IFERROR(VLOOKUP(ILACLISTE[[#This Row],[NAME]],Table5[#All],2,0),"")</f>
        <v/>
      </c>
    </row>
    <row r="2528" spans="1:3" x14ac:dyDescent="0.3">
      <c r="A2528" s="5" t="s">
        <v>3189</v>
      </c>
      <c r="B2528" t="s">
        <v>8876</v>
      </c>
      <c r="C2528" t="str">
        <f>IFERROR(VLOOKUP(ILACLISTE[[#This Row],[NAME]],Table5[#All],2,0),"")</f>
        <v/>
      </c>
    </row>
    <row r="2529" spans="1:3" x14ac:dyDescent="0.3">
      <c r="A2529" s="5" t="s">
        <v>3190</v>
      </c>
      <c r="B2529" t="s">
        <v>323</v>
      </c>
      <c r="C2529" t="str">
        <f>IFERROR(VLOOKUP(ILACLISTE[[#This Row],[NAME]],Table5[#All],2,0),"")</f>
        <v/>
      </c>
    </row>
    <row r="2530" spans="1:3" x14ac:dyDescent="0.3">
      <c r="A2530" s="5" t="s">
        <v>3191</v>
      </c>
      <c r="B2530" t="s">
        <v>324</v>
      </c>
      <c r="C2530" t="str">
        <f>IFERROR(VLOOKUP(ILACLISTE[[#This Row],[NAME]],Table5[#All],2,0),"")</f>
        <v/>
      </c>
    </row>
    <row r="2531" spans="1:3" x14ac:dyDescent="0.3">
      <c r="A2531" s="5" t="s">
        <v>3192</v>
      </c>
      <c r="B2531" t="s">
        <v>8877</v>
      </c>
      <c r="C2531" t="str">
        <f>IFERROR(VLOOKUP(ILACLISTE[[#This Row],[NAME]],Table5[#All],2,0),"")</f>
        <v/>
      </c>
    </row>
    <row r="2532" spans="1:3" x14ac:dyDescent="0.3">
      <c r="A2532" s="5" t="s">
        <v>3193</v>
      </c>
      <c r="B2532" t="s">
        <v>8878</v>
      </c>
      <c r="C2532" t="str">
        <f>IFERROR(VLOOKUP(ILACLISTE[[#This Row],[NAME]],Table5[#All],2,0),"")</f>
        <v/>
      </c>
    </row>
    <row r="2533" spans="1:3" x14ac:dyDescent="0.3">
      <c r="A2533" s="5" t="s">
        <v>3194</v>
      </c>
      <c r="B2533" t="s">
        <v>8879</v>
      </c>
      <c r="C2533" t="str">
        <f>IFERROR(VLOOKUP(ILACLISTE[[#This Row],[NAME]],Table5[#All],2,0),"")</f>
        <v/>
      </c>
    </row>
    <row r="2534" spans="1:3" x14ac:dyDescent="0.3">
      <c r="A2534" s="5" t="s">
        <v>3195</v>
      </c>
      <c r="B2534" t="s">
        <v>8880</v>
      </c>
      <c r="C2534" t="str">
        <f>IFERROR(VLOOKUP(ILACLISTE[[#This Row],[NAME]],Table5[#All],2,0),"")</f>
        <v/>
      </c>
    </row>
    <row r="2535" spans="1:3" x14ac:dyDescent="0.3">
      <c r="A2535" s="5" t="s">
        <v>3196</v>
      </c>
      <c r="B2535" t="s">
        <v>8881</v>
      </c>
      <c r="C2535" t="str">
        <f>IFERROR(VLOOKUP(ILACLISTE[[#This Row],[NAME]],Table5[#All],2,0),"")</f>
        <v/>
      </c>
    </row>
    <row r="2536" spans="1:3" x14ac:dyDescent="0.3">
      <c r="A2536" s="5" t="s">
        <v>3197</v>
      </c>
      <c r="B2536" t="s">
        <v>8882</v>
      </c>
      <c r="C2536" t="str">
        <f>IFERROR(VLOOKUP(ILACLISTE[[#This Row],[NAME]],Table5[#All],2,0),"")</f>
        <v/>
      </c>
    </row>
    <row r="2537" spans="1:3" x14ac:dyDescent="0.3">
      <c r="A2537" s="5" t="s">
        <v>3198</v>
      </c>
      <c r="B2537" t="s">
        <v>8883</v>
      </c>
      <c r="C2537" t="str">
        <f>IFERROR(VLOOKUP(ILACLISTE[[#This Row],[NAME]],Table5[#All],2,0),"")</f>
        <v/>
      </c>
    </row>
    <row r="2538" spans="1:3" x14ac:dyDescent="0.3">
      <c r="A2538" s="5" t="s">
        <v>3199</v>
      </c>
      <c r="B2538" t="s">
        <v>8884</v>
      </c>
      <c r="C2538" t="str">
        <f>IFERROR(VLOOKUP(ILACLISTE[[#This Row],[NAME]],Table5[#All],2,0),"")</f>
        <v/>
      </c>
    </row>
    <row r="2539" spans="1:3" x14ac:dyDescent="0.3">
      <c r="A2539" s="5" t="s">
        <v>3200</v>
      </c>
      <c r="B2539" t="s">
        <v>8885</v>
      </c>
      <c r="C2539" t="str">
        <f>IFERROR(VLOOKUP(ILACLISTE[[#This Row],[NAME]],Table5[#All],2,0),"")</f>
        <v/>
      </c>
    </row>
    <row r="2540" spans="1:3" x14ac:dyDescent="0.3">
      <c r="A2540" s="5" t="s">
        <v>3201</v>
      </c>
      <c r="B2540" t="s">
        <v>8886</v>
      </c>
      <c r="C2540" t="str">
        <f>IFERROR(VLOOKUP(ILACLISTE[[#This Row],[NAME]],Table5[#All],2,0),"")</f>
        <v/>
      </c>
    </row>
    <row r="2541" spans="1:3" x14ac:dyDescent="0.3">
      <c r="A2541" s="5" t="s">
        <v>3202</v>
      </c>
      <c r="B2541" t="s">
        <v>8887</v>
      </c>
      <c r="C2541" t="str">
        <f>IFERROR(VLOOKUP(ILACLISTE[[#This Row],[NAME]],Table5[#All],2,0),"")</f>
        <v/>
      </c>
    </row>
    <row r="2542" spans="1:3" x14ac:dyDescent="0.3">
      <c r="A2542" s="5" t="s">
        <v>3203</v>
      </c>
      <c r="B2542" t="s">
        <v>8888</v>
      </c>
      <c r="C2542" t="str">
        <f>IFERROR(VLOOKUP(ILACLISTE[[#This Row],[NAME]],Table5[#All],2,0),"")</f>
        <v/>
      </c>
    </row>
    <row r="2543" spans="1:3" x14ac:dyDescent="0.3">
      <c r="A2543" s="5" t="s">
        <v>3204</v>
      </c>
      <c r="B2543" t="s">
        <v>8889</v>
      </c>
      <c r="C2543" t="str">
        <f>IFERROR(VLOOKUP(ILACLISTE[[#This Row],[NAME]],Table5[#All],2,0),"")</f>
        <v/>
      </c>
    </row>
    <row r="2544" spans="1:3" x14ac:dyDescent="0.3">
      <c r="A2544" s="5" t="s">
        <v>3205</v>
      </c>
      <c r="B2544" t="s">
        <v>8890</v>
      </c>
      <c r="C2544" t="str">
        <f>IFERROR(VLOOKUP(ILACLISTE[[#This Row],[NAME]],Table5[#All],2,0),"")</f>
        <v/>
      </c>
    </row>
    <row r="2545" spans="1:3" x14ac:dyDescent="0.3">
      <c r="A2545" s="5" t="s">
        <v>3206</v>
      </c>
      <c r="B2545" t="s">
        <v>8891</v>
      </c>
      <c r="C2545" t="str">
        <f>IFERROR(VLOOKUP(ILACLISTE[[#This Row],[NAME]],Table5[#All],2,0),"")</f>
        <v/>
      </c>
    </row>
    <row r="2546" spans="1:3" x14ac:dyDescent="0.3">
      <c r="A2546" s="5" t="s">
        <v>3207</v>
      </c>
      <c r="B2546" t="s">
        <v>8892</v>
      </c>
      <c r="C2546" t="str">
        <f>IFERROR(VLOOKUP(ILACLISTE[[#This Row],[NAME]],Table5[#All],2,0),"")</f>
        <v/>
      </c>
    </row>
    <row r="2547" spans="1:3" x14ac:dyDescent="0.3">
      <c r="A2547" s="5" t="s">
        <v>3208</v>
      </c>
      <c r="B2547" t="s">
        <v>325</v>
      </c>
      <c r="C2547" t="str">
        <f>IFERROR(VLOOKUP(ILACLISTE[[#This Row],[NAME]],Table5[#All],2,0),"")</f>
        <v/>
      </c>
    </row>
    <row r="2548" spans="1:3" x14ac:dyDescent="0.3">
      <c r="A2548" s="5" t="s">
        <v>3209</v>
      </c>
      <c r="B2548" t="s">
        <v>326</v>
      </c>
      <c r="C2548" t="str">
        <f>IFERROR(VLOOKUP(ILACLISTE[[#This Row],[NAME]],Table5[#All],2,0),"")</f>
        <v/>
      </c>
    </row>
    <row r="2549" spans="1:3" x14ac:dyDescent="0.3">
      <c r="A2549" s="5" t="s">
        <v>3210</v>
      </c>
      <c r="B2549" t="s">
        <v>8893</v>
      </c>
      <c r="C2549" t="str">
        <f>IFERROR(VLOOKUP(ILACLISTE[[#This Row],[NAME]],Table5[#All],2,0),"")</f>
        <v/>
      </c>
    </row>
    <row r="2550" spans="1:3" x14ac:dyDescent="0.3">
      <c r="A2550" s="5" t="s">
        <v>3211</v>
      </c>
      <c r="B2550" t="s">
        <v>8894</v>
      </c>
      <c r="C2550" t="str">
        <f>IFERROR(VLOOKUP(ILACLISTE[[#This Row],[NAME]],Table5[#All],2,0),"")</f>
        <v/>
      </c>
    </row>
    <row r="2551" spans="1:3" x14ac:dyDescent="0.3">
      <c r="A2551" s="5" t="s">
        <v>3212</v>
      </c>
      <c r="B2551" t="s">
        <v>8895</v>
      </c>
      <c r="C2551" t="str">
        <f>IFERROR(VLOOKUP(ILACLISTE[[#This Row],[NAME]],Table5[#All],2,0),"")</f>
        <v/>
      </c>
    </row>
    <row r="2552" spans="1:3" x14ac:dyDescent="0.3">
      <c r="A2552" s="5" t="s">
        <v>3213</v>
      </c>
      <c r="B2552" t="s">
        <v>8896</v>
      </c>
      <c r="C2552" t="str">
        <f>IFERROR(VLOOKUP(ILACLISTE[[#This Row],[NAME]],Table5[#All],2,0),"")</f>
        <v/>
      </c>
    </row>
    <row r="2553" spans="1:3" x14ac:dyDescent="0.3">
      <c r="A2553" s="5" t="s">
        <v>3214</v>
      </c>
      <c r="B2553" t="s">
        <v>327</v>
      </c>
      <c r="C2553" t="str">
        <f>IFERROR(VLOOKUP(ILACLISTE[[#This Row],[NAME]],Table5[#All],2,0),"")</f>
        <v/>
      </c>
    </row>
    <row r="2554" spans="1:3" x14ac:dyDescent="0.3">
      <c r="A2554" s="5" t="s">
        <v>3215</v>
      </c>
      <c r="B2554" t="s">
        <v>8897</v>
      </c>
      <c r="C2554" t="str">
        <f>IFERROR(VLOOKUP(ILACLISTE[[#This Row],[NAME]],Table5[#All],2,0),"")</f>
        <v/>
      </c>
    </row>
    <row r="2555" spans="1:3" ht="20.399999999999999" x14ac:dyDescent="0.3">
      <c r="A2555" s="6" t="s">
        <v>3216</v>
      </c>
      <c r="B2555" t="s">
        <v>328</v>
      </c>
      <c r="C2555" t="str">
        <f>IFERROR(VLOOKUP(ILACLISTE[[#This Row],[NAME]],Table5[#All],2,0),"")</f>
        <v/>
      </c>
    </row>
    <row r="2556" spans="1:3" x14ac:dyDescent="0.3">
      <c r="A2556" s="5" t="s">
        <v>3217</v>
      </c>
      <c r="B2556" t="s">
        <v>8898</v>
      </c>
      <c r="C2556" t="str">
        <f>IFERROR(VLOOKUP(ILACLISTE[[#This Row],[NAME]],Table5[#All],2,0),"")</f>
        <v/>
      </c>
    </row>
    <row r="2557" spans="1:3" x14ac:dyDescent="0.3">
      <c r="A2557" s="5" t="s">
        <v>3218</v>
      </c>
      <c r="B2557" t="s">
        <v>329</v>
      </c>
      <c r="C2557" t="str">
        <f>IFERROR(VLOOKUP(ILACLISTE[[#This Row],[NAME]],Table5[#All],2,0),"")</f>
        <v/>
      </c>
    </row>
    <row r="2558" spans="1:3" x14ac:dyDescent="0.3">
      <c r="A2558" s="5" t="s">
        <v>3219</v>
      </c>
      <c r="B2558" t="s">
        <v>8899</v>
      </c>
      <c r="C2558" t="str">
        <f>IFERROR(VLOOKUP(ILACLISTE[[#This Row],[NAME]],Table5[#All],2,0),"")</f>
        <v/>
      </c>
    </row>
    <row r="2559" spans="1:3" x14ac:dyDescent="0.3">
      <c r="A2559" s="5" t="s">
        <v>3220</v>
      </c>
      <c r="B2559" t="s">
        <v>8900</v>
      </c>
      <c r="C2559" t="str">
        <f>IFERROR(VLOOKUP(ILACLISTE[[#This Row],[NAME]],Table5[#All],2,0),"")</f>
        <v/>
      </c>
    </row>
    <row r="2560" spans="1:3" x14ac:dyDescent="0.3">
      <c r="A2560" s="5" t="s">
        <v>3221</v>
      </c>
      <c r="B2560" t="s">
        <v>8901</v>
      </c>
      <c r="C2560" t="str">
        <f>IFERROR(VLOOKUP(ILACLISTE[[#This Row],[NAME]],Table5[#All],2,0),"")</f>
        <v/>
      </c>
    </row>
    <row r="2561" spans="1:3" x14ac:dyDescent="0.3">
      <c r="A2561" s="5" t="s">
        <v>3222</v>
      </c>
      <c r="B2561" t="s">
        <v>8902</v>
      </c>
      <c r="C2561" t="str">
        <f>IFERROR(VLOOKUP(ILACLISTE[[#This Row],[NAME]],Table5[#All],2,0),"")</f>
        <v/>
      </c>
    </row>
    <row r="2562" spans="1:3" x14ac:dyDescent="0.3">
      <c r="A2562" s="5" t="s">
        <v>3223</v>
      </c>
      <c r="B2562" t="s">
        <v>8903</v>
      </c>
      <c r="C2562" t="str">
        <f>IFERROR(VLOOKUP(ILACLISTE[[#This Row],[NAME]],Table5[#All],2,0),"")</f>
        <v/>
      </c>
    </row>
    <row r="2563" spans="1:3" x14ac:dyDescent="0.3">
      <c r="A2563" s="5" t="s">
        <v>3224</v>
      </c>
      <c r="B2563" t="s">
        <v>8904</v>
      </c>
      <c r="C2563" t="str">
        <f>IFERROR(VLOOKUP(ILACLISTE[[#This Row],[NAME]],Table5[#All],2,0),"")</f>
        <v/>
      </c>
    </row>
    <row r="2564" spans="1:3" x14ac:dyDescent="0.3">
      <c r="A2564" s="5" t="s">
        <v>3225</v>
      </c>
      <c r="B2564" t="s">
        <v>8905</v>
      </c>
      <c r="C2564" t="str">
        <f>IFERROR(VLOOKUP(ILACLISTE[[#This Row],[NAME]],Table5[#All],2,0),"")</f>
        <v/>
      </c>
    </row>
    <row r="2565" spans="1:3" x14ac:dyDescent="0.3">
      <c r="A2565" s="5" t="s">
        <v>3226</v>
      </c>
      <c r="B2565" t="s">
        <v>330</v>
      </c>
      <c r="C2565" t="str">
        <f>IFERROR(VLOOKUP(ILACLISTE[[#This Row],[NAME]],Table5[#All],2,0),"")</f>
        <v/>
      </c>
    </row>
    <row r="2566" spans="1:3" x14ac:dyDescent="0.3">
      <c r="A2566" s="5" t="s">
        <v>3227</v>
      </c>
      <c r="B2566" t="s">
        <v>8906</v>
      </c>
      <c r="C2566" t="str">
        <f>IFERROR(VLOOKUP(ILACLISTE[[#This Row],[NAME]],Table5[#All],2,0),"")</f>
        <v/>
      </c>
    </row>
    <row r="2567" spans="1:3" x14ac:dyDescent="0.3">
      <c r="A2567" s="5" t="s">
        <v>3228</v>
      </c>
      <c r="B2567" t="s">
        <v>8907</v>
      </c>
      <c r="C2567" t="str">
        <f>IFERROR(VLOOKUP(ILACLISTE[[#This Row],[NAME]],Table5[#All],2,0),"")</f>
        <v/>
      </c>
    </row>
    <row r="2568" spans="1:3" x14ac:dyDescent="0.3">
      <c r="A2568" s="5" t="s">
        <v>3229</v>
      </c>
      <c r="B2568" t="s">
        <v>8908</v>
      </c>
      <c r="C2568" t="str">
        <f>IFERROR(VLOOKUP(ILACLISTE[[#This Row],[NAME]],Table5[#All],2,0),"")</f>
        <v/>
      </c>
    </row>
    <row r="2569" spans="1:3" x14ac:dyDescent="0.3">
      <c r="A2569" s="5" t="s">
        <v>3230</v>
      </c>
      <c r="B2569" t="s">
        <v>8909</v>
      </c>
      <c r="C2569" t="str">
        <f>IFERROR(VLOOKUP(ILACLISTE[[#This Row],[NAME]],Table5[#All],2,0),"")</f>
        <v/>
      </c>
    </row>
    <row r="2570" spans="1:3" x14ac:dyDescent="0.3">
      <c r="A2570" s="5" t="s">
        <v>3231</v>
      </c>
      <c r="B2570" t="s">
        <v>8910</v>
      </c>
      <c r="C2570" t="str">
        <f>IFERROR(VLOOKUP(ILACLISTE[[#This Row],[NAME]],Table5[#All],2,0),"")</f>
        <v/>
      </c>
    </row>
    <row r="2571" spans="1:3" x14ac:dyDescent="0.3">
      <c r="A2571" s="5" t="s">
        <v>3232</v>
      </c>
      <c r="B2571" t="s">
        <v>8911</v>
      </c>
      <c r="C2571" t="str">
        <f>IFERROR(VLOOKUP(ILACLISTE[[#This Row],[NAME]],Table5[#All],2,0),"")</f>
        <v/>
      </c>
    </row>
    <row r="2572" spans="1:3" x14ac:dyDescent="0.3">
      <c r="A2572" s="5" t="s">
        <v>3233</v>
      </c>
      <c r="B2572" t="s">
        <v>8912</v>
      </c>
      <c r="C2572" t="str">
        <f>IFERROR(VLOOKUP(ILACLISTE[[#This Row],[NAME]],Table5[#All],2,0),"")</f>
        <v/>
      </c>
    </row>
    <row r="2573" spans="1:3" x14ac:dyDescent="0.3">
      <c r="A2573" s="5" t="s">
        <v>3234</v>
      </c>
      <c r="B2573" t="s">
        <v>8913</v>
      </c>
      <c r="C2573" t="str">
        <f>IFERROR(VLOOKUP(ILACLISTE[[#This Row],[NAME]],Table5[#All],2,0),"")</f>
        <v/>
      </c>
    </row>
    <row r="2574" spans="1:3" x14ac:dyDescent="0.3">
      <c r="A2574" s="5" t="s">
        <v>3235</v>
      </c>
      <c r="B2574" t="s">
        <v>8914</v>
      </c>
      <c r="C2574" t="str">
        <f>IFERROR(VLOOKUP(ILACLISTE[[#This Row],[NAME]],Table5[#All],2,0),"")</f>
        <v/>
      </c>
    </row>
    <row r="2575" spans="1:3" x14ac:dyDescent="0.3">
      <c r="A2575" s="5" t="s">
        <v>3236</v>
      </c>
      <c r="B2575" t="s">
        <v>8915</v>
      </c>
      <c r="C2575" t="str">
        <f>IFERROR(VLOOKUP(ILACLISTE[[#This Row],[NAME]],Table5[#All],2,0),"")</f>
        <v/>
      </c>
    </row>
    <row r="2576" spans="1:3" x14ac:dyDescent="0.3">
      <c r="A2576" s="5" t="s">
        <v>3237</v>
      </c>
      <c r="B2576" t="s">
        <v>8916</v>
      </c>
      <c r="C2576" t="str">
        <f>IFERROR(VLOOKUP(ILACLISTE[[#This Row],[NAME]],Table5[#All],2,0),"")</f>
        <v/>
      </c>
    </row>
    <row r="2577" spans="1:3" x14ac:dyDescent="0.3">
      <c r="A2577" s="5" t="s">
        <v>3238</v>
      </c>
      <c r="B2577" t="s">
        <v>8917</v>
      </c>
      <c r="C2577" t="str">
        <f>IFERROR(VLOOKUP(ILACLISTE[[#This Row],[NAME]],Table5[#All],2,0),"")</f>
        <v/>
      </c>
    </row>
    <row r="2578" spans="1:3" x14ac:dyDescent="0.3">
      <c r="A2578" s="5" t="s">
        <v>3239</v>
      </c>
      <c r="B2578" t="s">
        <v>8918</v>
      </c>
      <c r="C2578" t="str">
        <f>IFERROR(VLOOKUP(ILACLISTE[[#This Row],[NAME]],Table5[#All],2,0),"")</f>
        <v/>
      </c>
    </row>
    <row r="2579" spans="1:3" x14ac:dyDescent="0.3">
      <c r="A2579" s="5" t="s">
        <v>3240</v>
      </c>
      <c r="B2579" t="s">
        <v>331</v>
      </c>
      <c r="C2579" t="str">
        <f>IFERROR(VLOOKUP(ILACLISTE[[#This Row],[NAME]],Table5[#All],2,0),"")</f>
        <v/>
      </c>
    </row>
    <row r="2580" spans="1:3" x14ac:dyDescent="0.3">
      <c r="A2580" s="5" t="s">
        <v>3241</v>
      </c>
      <c r="B2580" t="s">
        <v>8919</v>
      </c>
      <c r="C2580" t="str">
        <f>IFERROR(VLOOKUP(ILACLISTE[[#This Row],[NAME]],Table5[#All],2,0),"")</f>
        <v/>
      </c>
    </row>
    <row r="2581" spans="1:3" x14ac:dyDescent="0.3">
      <c r="A2581" s="5" t="s">
        <v>3242</v>
      </c>
      <c r="B2581" t="s">
        <v>8920</v>
      </c>
      <c r="C2581" t="str">
        <f>IFERROR(VLOOKUP(ILACLISTE[[#This Row],[NAME]],Table5[#All],2,0),"")</f>
        <v/>
      </c>
    </row>
    <row r="2582" spans="1:3" x14ac:dyDescent="0.3">
      <c r="A2582" s="5" t="s">
        <v>3243</v>
      </c>
      <c r="B2582" t="s">
        <v>8921</v>
      </c>
      <c r="C2582" t="str">
        <f>IFERROR(VLOOKUP(ILACLISTE[[#This Row],[NAME]],Table5[#All],2,0),"")</f>
        <v/>
      </c>
    </row>
    <row r="2583" spans="1:3" x14ac:dyDescent="0.3">
      <c r="A2583" s="5" t="s">
        <v>8922</v>
      </c>
      <c r="B2583" t="s">
        <v>8923</v>
      </c>
      <c r="C2583" t="str">
        <f>IFERROR(VLOOKUP(ILACLISTE[[#This Row],[NAME]],Table5[#All],2,0),"")</f>
        <v/>
      </c>
    </row>
    <row r="2584" spans="1:3" x14ac:dyDescent="0.3">
      <c r="A2584" s="5" t="s">
        <v>3244</v>
      </c>
      <c r="B2584" t="s">
        <v>8924</v>
      </c>
      <c r="C2584" t="str">
        <f>IFERROR(VLOOKUP(ILACLISTE[[#This Row],[NAME]],Table5[#All],2,0),"")</f>
        <v/>
      </c>
    </row>
    <row r="2585" spans="1:3" x14ac:dyDescent="0.3">
      <c r="A2585" s="5" t="s">
        <v>3245</v>
      </c>
      <c r="B2585" t="s">
        <v>8925</v>
      </c>
      <c r="C2585" t="str">
        <f>IFERROR(VLOOKUP(ILACLISTE[[#This Row],[NAME]],Table5[#All],2,0),"")</f>
        <v/>
      </c>
    </row>
    <row r="2586" spans="1:3" x14ac:dyDescent="0.3">
      <c r="A2586" s="5" t="s">
        <v>3246</v>
      </c>
      <c r="B2586" t="s">
        <v>332</v>
      </c>
      <c r="C2586" t="str">
        <f>IFERROR(VLOOKUP(ILACLISTE[[#This Row],[NAME]],Table5[#All],2,0),"")</f>
        <v/>
      </c>
    </row>
    <row r="2587" spans="1:3" x14ac:dyDescent="0.3">
      <c r="A2587" s="5" t="s">
        <v>3247</v>
      </c>
      <c r="B2587" t="s">
        <v>8926</v>
      </c>
      <c r="C2587" t="str">
        <f>IFERROR(VLOOKUP(ILACLISTE[[#This Row],[NAME]],Table5[#All],2,0),"")</f>
        <v/>
      </c>
    </row>
    <row r="2588" spans="1:3" x14ac:dyDescent="0.3">
      <c r="A2588" s="5" t="s">
        <v>3248</v>
      </c>
      <c r="B2588" t="s">
        <v>8927</v>
      </c>
      <c r="C2588" t="str">
        <f>IFERROR(VLOOKUP(ILACLISTE[[#This Row],[NAME]],Table5[#All],2,0),"")</f>
        <v/>
      </c>
    </row>
    <row r="2589" spans="1:3" x14ac:dyDescent="0.3">
      <c r="A2589" s="5" t="s">
        <v>3249</v>
      </c>
      <c r="B2589" t="s">
        <v>8928</v>
      </c>
      <c r="C2589" t="str">
        <f>IFERROR(VLOOKUP(ILACLISTE[[#This Row],[NAME]],Table5[#All],2,0),"")</f>
        <v/>
      </c>
    </row>
    <row r="2590" spans="1:3" x14ac:dyDescent="0.3">
      <c r="A2590" s="5" t="s">
        <v>3250</v>
      </c>
      <c r="B2590" t="s">
        <v>8929</v>
      </c>
      <c r="C2590" t="str">
        <f>IFERROR(VLOOKUP(ILACLISTE[[#This Row],[NAME]],Table5[#All],2,0),"")</f>
        <v/>
      </c>
    </row>
    <row r="2591" spans="1:3" x14ac:dyDescent="0.3">
      <c r="A2591" s="5" t="s">
        <v>3251</v>
      </c>
      <c r="B2591" t="s">
        <v>8930</v>
      </c>
      <c r="C2591" t="str">
        <f>IFERROR(VLOOKUP(ILACLISTE[[#This Row],[NAME]],Table5[#All],2,0),"")</f>
        <v/>
      </c>
    </row>
    <row r="2592" spans="1:3" x14ac:dyDescent="0.3">
      <c r="A2592" s="5" t="s">
        <v>3252</v>
      </c>
      <c r="B2592" t="s">
        <v>8931</v>
      </c>
      <c r="C2592" t="str">
        <f>IFERROR(VLOOKUP(ILACLISTE[[#This Row],[NAME]],Table5[#All],2,0),"")</f>
        <v/>
      </c>
    </row>
    <row r="2593" spans="1:3" x14ac:dyDescent="0.3">
      <c r="A2593" s="5" t="s">
        <v>3253</v>
      </c>
      <c r="B2593" t="s">
        <v>8932</v>
      </c>
      <c r="C2593" t="str">
        <f>IFERROR(VLOOKUP(ILACLISTE[[#This Row],[NAME]],Table5[#All],2,0),"")</f>
        <v/>
      </c>
    </row>
    <row r="2594" spans="1:3" x14ac:dyDescent="0.3">
      <c r="A2594" s="5" t="s">
        <v>3254</v>
      </c>
      <c r="B2594" t="s">
        <v>8933</v>
      </c>
      <c r="C2594" t="str">
        <f>IFERROR(VLOOKUP(ILACLISTE[[#This Row],[NAME]],Table5[#All],2,0),"")</f>
        <v/>
      </c>
    </row>
    <row r="2595" spans="1:3" x14ac:dyDescent="0.3">
      <c r="A2595" s="5" t="s">
        <v>3255</v>
      </c>
      <c r="B2595" t="s">
        <v>8934</v>
      </c>
      <c r="C2595" t="str">
        <f>IFERROR(VLOOKUP(ILACLISTE[[#This Row],[NAME]],Table5[#All],2,0),"")</f>
        <v/>
      </c>
    </row>
    <row r="2596" spans="1:3" x14ac:dyDescent="0.3">
      <c r="A2596" s="5" t="s">
        <v>3256</v>
      </c>
      <c r="B2596" t="s">
        <v>8935</v>
      </c>
      <c r="C2596" t="str">
        <f>IFERROR(VLOOKUP(ILACLISTE[[#This Row],[NAME]],Table5[#All],2,0),"")</f>
        <v/>
      </c>
    </row>
    <row r="2597" spans="1:3" x14ac:dyDescent="0.3">
      <c r="A2597" s="5" t="s">
        <v>3257</v>
      </c>
      <c r="B2597" t="s">
        <v>8936</v>
      </c>
      <c r="C2597" t="str">
        <f>IFERROR(VLOOKUP(ILACLISTE[[#This Row],[NAME]],Table5[#All],2,0),"")</f>
        <v/>
      </c>
    </row>
    <row r="2598" spans="1:3" x14ac:dyDescent="0.3">
      <c r="A2598" s="5" t="s">
        <v>3258</v>
      </c>
      <c r="B2598" t="s">
        <v>8937</v>
      </c>
      <c r="C2598" t="str">
        <f>IFERROR(VLOOKUP(ILACLISTE[[#This Row],[NAME]],Table5[#All],2,0),"")</f>
        <v/>
      </c>
    </row>
    <row r="2599" spans="1:3" x14ac:dyDescent="0.3">
      <c r="A2599" s="5" t="s">
        <v>3259</v>
      </c>
      <c r="B2599" t="s">
        <v>8938</v>
      </c>
      <c r="C2599" t="str">
        <f>IFERROR(VLOOKUP(ILACLISTE[[#This Row],[NAME]],Table5[#All],2,0),"")</f>
        <v/>
      </c>
    </row>
    <row r="2600" spans="1:3" x14ac:dyDescent="0.3">
      <c r="A2600" s="5" t="s">
        <v>3260</v>
      </c>
      <c r="B2600" t="s">
        <v>8939</v>
      </c>
      <c r="C2600" t="str">
        <f>IFERROR(VLOOKUP(ILACLISTE[[#This Row],[NAME]],Table5[#All],2,0),"")</f>
        <v/>
      </c>
    </row>
    <row r="2601" spans="1:3" x14ac:dyDescent="0.3">
      <c r="A2601" s="5" t="s">
        <v>3261</v>
      </c>
      <c r="B2601" t="s">
        <v>8940</v>
      </c>
      <c r="C2601" t="str">
        <f>IFERROR(VLOOKUP(ILACLISTE[[#This Row],[NAME]],Table5[#All],2,0),"")</f>
        <v/>
      </c>
    </row>
    <row r="2602" spans="1:3" x14ac:dyDescent="0.3">
      <c r="A2602" s="5" t="s">
        <v>3262</v>
      </c>
      <c r="B2602" t="s">
        <v>8941</v>
      </c>
      <c r="C2602" t="str">
        <f>IFERROR(VLOOKUP(ILACLISTE[[#This Row],[NAME]],Table5[#All],2,0),"")</f>
        <v/>
      </c>
    </row>
    <row r="2603" spans="1:3" x14ac:dyDescent="0.3">
      <c r="A2603" s="5" t="s">
        <v>3263</v>
      </c>
      <c r="B2603" t="s">
        <v>8942</v>
      </c>
      <c r="C2603" t="str">
        <f>IFERROR(VLOOKUP(ILACLISTE[[#This Row],[NAME]],Table5[#All],2,0),"")</f>
        <v/>
      </c>
    </row>
    <row r="2604" spans="1:3" x14ac:dyDescent="0.3">
      <c r="A2604" s="5" t="s">
        <v>3264</v>
      </c>
      <c r="B2604" t="s">
        <v>8943</v>
      </c>
      <c r="C2604" t="str">
        <f>IFERROR(VLOOKUP(ILACLISTE[[#This Row],[NAME]],Table5[#All],2,0),"")</f>
        <v/>
      </c>
    </row>
    <row r="2605" spans="1:3" x14ac:dyDescent="0.3">
      <c r="A2605" s="5" t="s">
        <v>3265</v>
      </c>
      <c r="B2605" t="s">
        <v>8944</v>
      </c>
      <c r="C2605" t="str">
        <f>IFERROR(VLOOKUP(ILACLISTE[[#This Row],[NAME]],Table5[#All],2,0),"")</f>
        <v/>
      </c>
    </row>
    <row r="2606" spans="1:3" x14ac:dyDescent="0.3">
      <c r="A2606" s="5" t="s">
        <v>3266</v>
      </c>
      <c r="B2606" t="s">
        <v>8945</v>
      </c>
      <c r="C2606" t="str">
        <f>IFERROR(VLOOKUP(ILACLISTE[[#This Row],[NAME]],Table5[#All],2,0),"")</f>
        <v/>
      </c>
    </row>
    <row r="2607" spans="1:3" x14ac:dyDescent="0.3">
      <c r="A2607" s="5" t="s">
        <v>3267</v>
      </c>
      <c r="B2607" t="s">
        <v>8946</v>
      </c>
      <c r="C2607" t="str">
        <f>IFERROR(VLOOKUP(ILACLISTE[[#This Row],[NAME]],Table5[#All],2,0),"")</f>
        <v/>
      </c>
    </row>
    <row r="2608" spans="1:3" x14ac:dyDescent="0.3">
      <c r="A2608" s="5" t="s">
        <v>3268</v>
      </c>
      <c r="B2608" t="s">
        <v>8947</v>
      </c>
      <c r="C2608" t="str">
        <f>IFERROR(VLOOKUP(ILACLISTE[[#This Row],[NAME]],Table5[#All],2,0),"")</f>
        <v/>
      </c>
    </row>
    <row r="2609" spans="1:3" x14ac:dyDescent="0.3">
      <c r="A2609" s="5" t="s">
        <v>3269</v>
      </c>
      <c r="B2609" t="s">
        <v>8948</v>
      </c>
      <c r="C2609" t="str">
        <f>IFERROR(VLOOKUP(ILACLISTE[[#This Row],[NAME]],Table5[#All],2,0),"")</f>
        <v/>
      </c>
    </row>
    <row r="2610" spans="1:3" x14ac:dyDescent="0.3">
      <c r="A2610" s="5" t="s">
        <v>3270</v>
      </c>
      <c r="B2610" t="s">
        <v>8949</v>
      </c>
      <c r="C2610" t="str">
        <f>IFERROR(VLOOKUP(ILACLISTE[[#This Row],[NAME]],Table5[#All],2,0),"")</f>
        <v/>
      </c>
    </row>
    <row r="2611" spans="1:3" x14ac:dyDescent="0.3">
      <c r="A2611" s="5" t="s">
        <v>3271</v>
      </c>
      <c r="B2611" t="s">
        <v>8950</v>
      </c>
      <c r="C2611" t="str">
        <f>IFERROR(VLOOKUP(ILACLISTE[[#This Row],[NAME]],Table5[#All],2,0),"")</f>
        <v/>
      </c>
    </row>
    <row r="2612" spans="1:3" x14ac:dyDescent="0.3">
      <c r="A2612" s="5" t="s">
        <v>3272</v>
      </c>
      <c r="B2612" t="s">
        <v>8951</v>
      </c>
      <c r="C2612" t="str">
        <f>IFERROR(VLOOKUP(ILACLISTE[[#This Row],[NAME]],Table5[#All],2,0),"")</f>
        <v/>
      </c>
    </row>
    <row r="2613" spans="1:3" x14ac:dyDescent="0.3">
      <c r="A2613" s="5" t="s">
        <v>3273</v>
      </c>
      <c r="B2613" t="s">
        <v>8952</v>
      </c>
      <c r="C2613" t="str">
        <f>IFERROR(VLOOKUP(ILACLISTE[[#This Row],[NAME]],Table5[#All],2,0),"")</f>
        <v/>
      </c>
    </row>
    <row r="2614" spans="1:3" x14ac:dyDescent="0.3">
      <c r="A2614" s="5" t="s">
        <v>3274</v>
      </c>
      <c r="B2614" t="s">
        <v>8953</v>
      </c>
      <c r="C2614" t="str">
        <f>IFERROR(VLOOKUP(ILACLISTE[[#This Row],[NAME]],Table5[#All],2,0),"")</f>
        <v/>
      </c>
    </row>
    <row r="2615" spans="1:3" x14ac:dyDescent="0.3">
      <c r="A2615" s="5" t="s">
        <v>3275</v>
      </c>
      <c r="B2615" t="s">
        <v>8954</v>
      </c>
      <c r="C2615" t="str">
        <f>IFERROR(VLOOKUP(ILACLISTE[[#This Row],[NAME]],Table5[#All],2,0),"")</f>
        <v/>
      </c>
    </row>
    <row r="2616" spans="1:3" x14ac:dyDescent="0.3">
      <c r="A2616" s="5" t="s">
        <v>3276</v>
      </c>
      <c r="B2616" t="s">
        <v>8955</v>
      </c>
      <c r="C2616" t="str">
        <f>IFERROR(VLOOKUP(ILACLISTE[[#This Row],[NAME]],Table5[#All],2,0),"")</f>
        <v/>
      </c>
    </row>
    <row r="2617" spans="1:3" x14ac:dyDescent="0.3">
      <c r="A2617" s="5" t="s">
        <v>3277</v>
      </c>
      <c r="B2617" t="s">
        <v>8956</v>
      </c>
      <c r="C2617" t="str">
        <f>IFERROR(VLOOKUP(ILACLISTE[[#This Row],[NAME]],Table5[#All],2,0),"")</f>
        <v/>
      </c>
    </row>
    <row r="2618" spans="1:3" x14ac:dyDescent="0.3">
      <c r="A2618" s="5" t="s">
        <v>3278</v>
      </c>
      <c r="B2618" t="s">
        <v>8957</v>
      </c>
      <c r="C2618" t="str">
        <f>IFERROR(VLOOKUP(ILACLISTE[[#This Row],[NAME]],Table5[#All],2,0),"")</f>
        <v/>
      </c>
    </row>
    <row r="2619" spans="1:3" x14ac:dyDescent="0.3">
      <c r="A2619" s="5" t="s">
        <v>3279</v>
      </c>
      <c r="B2619" t="s">
        <v>8958</v>
      </c>
      <c r="C2619" t="str">
        <f>IFERROR(VLOOKUP(ILACLISTE[[#This Row],[NAME]],Table5[#All],2,0),"")</f>
        <v/>
      </c>
    </row>
    <row r="2620" spans="1:3" x14ac:dyDescent="0.3">
      <c r="A2620" s="5" t="s">
        <v>3280</v>
      </c>
      <c r="B2620" t="s">
        <v>8959</v>
      </c>
      <c r="C2620" t="str">
        <f>IFERROR(VLOOKUP(ILACLISTE[[#This Row],[NAME]],Table5[#All],2,0),"")</f>
        <v/>
      </c>
    </row>
    <row r="2621" spans="1:3" x14ac:dyDescent="0.3">
      <c r="A2621" s="5" t="s">
        <v>3281</v>
      </c>
      <c r="B2621" t="s">
        <v>8960</v>
      </c>
      <c r="C2621" t="str">
        <f>IFERROR(VLOOKUP(ILACLISTE[[#This Row],[NAME]],Table5[#All],2,0),"")</f>
        <v/>
      </c>
    </row>
    <row r="2622" spans="1:3" x14ac:dyDescent="0.3">
      <c r="A2622" s="5" t="s">
        <v>3282</v>
      </c>
      <c r="B2622" t="s">
        <v>333</v>
      </c>
      <c r="C2622" t="str">
        <f>IFERROR(VLOOKUP(ILACLISTE[[#This Row],[NAME]],Table5[#All],2,0),"")</f>
        <v/>
      </c>
    </row>
    <row r="2623" spans="1:3" x14ac:dyDescent="0.3">
      <c r="A2623" s="5" t="s">
        <v>3283</v>
      </c>
      <c r="B2623" t="s">
        <v>334</v>
      </c>
      <c r="C2623" t="str">
        <f>IFERROR(VLOOKUP(ILACLISTE[[#This Row],[NAME]],Table5[#All],2,0),"")</f>
        <v/>
      </c>
    </row>
    <row r="2624" spans="1:3" x14ac:dyDescent="0.3">
      <c r="A2624" s="5" t="s">
        <v>3284</v>
      </c>
      <c r="B2624" t="s">
        <v>8961</v>
      </c>
      <c r="C2624" t="str">
        <f>IFERROR(VLOOKUP(ILACLISTE[[#This Row],[NAME]],Table5[#All],2,0),"")</f>
        <v/>
      </c>
    </row>
    <row r="2625" spans="1:3" x14ac:dyDescent="0.3">
      <c r="A2625" s="5" t="s">
        <v>3285</v>
      </c>
      <c r="B2625" t="s">
        <v>8962</v>
      </c>
      <c r="C2625" t="str">
        <f>IFERROR(VLOOKUP(ILACLISTE[[#This Row],[NAME]],Table5[#All],2,0),"")</f>
        <v/>
      </c>
    </row>
    <row r="2626" spans="1:3" x14ac:dyDescent="0.3">
      <c r="A2626" s="5" t="s">
        <v>3286</v>
      </c>
      <c r="B2626" t="s">
        <v>8963</v>
      </c>
      <c r="C2626" t="str">
        <f>IFERROR(VLOOKUP(ILACLISTE[[#This Row],[NAME]],Table5[#All],2,0),"")</f>
        <v/>
      </c>
    </row>
    <row r="2627" spans="1:3" x14ac:dyDescent="0.3">
      <c r="A2627" s="5" t="s">
        <v>3287</v>
      </c>
      <c r="B2627" t="s">
        <v>8964</v>
      </c>
      <c r="C2627" t="str">
        <f>IFERROR(VLOOKUP(ILACLISTE[[#This Row],[NAME]],Table5[#All],2,0),"")</f>
        <v/>
      </c>
    </row>
    <row r="2628" spans="1:3" x14ac:dyDescent="0.3">
      <c r="A2628" s="5" t="s">
        <v>3288</v>
      </c>
      <c r="B2628" t="s">
        <v>8965</v>
      </c>
      <c r="C2628" t="str">
        <f>IFERROR(VLOOKUP(ILACLISTE[[#This Row],[NAME]],Table5[#All],2,0),"")</f>
        <v/>
      </c>
    </row>
    <row r="2629" spans="1:3" x14ac:dyDescent="0.3">
      <c r="A2629" s="5" t="s">
        <v>3289</v>
      </c>
      <c r="B2629" t="s">
        <v>8966</v>
      </c>
      <c r="C2629" t="str">
        <f>IFERROR(VLOOKUP(ILACLISTE[[#This Row],[NAME]],Table5[#All],2,0),"")</f>
        <v/>
      </c>
    </row>
    <row r="2630" spans="1:3" x14ac:dyDescent="0.3">
      <c r="A2630" s="5" t="s">
        <v>3290</v>
      </c>
      <c r="B2630" t="s">
        <v>8967</v>
      </c>
      <c r="C2630" t="str">
        <f>IFERROR(VLOOKUP(ILACLISTE[[#This Row],[NAME]],Table5[#All],2,0),"")</f>
        <v/>
      </c>
    </row>
    <row r="2631" spans="1:3" x14ac:dyDescent="0.3">
      <c r="A2631" s="5" t="s">
        <v>3291</v>
      </c>
      <c r="B2631" t="s">
        <v>8968</v>
      </c>
      <c r="C2631" t="str">
        <f>IFERROR(VLOOKUP(ILACLISTE[[#This Row],[NAME]],Table5[#All],2,0),"")</f>
        <v/>
      </c>
    </row>
    <row r="2632" spans="1:3" x14ac:dyDescent="0.3">
      <c r="A2632" s="5" t="s">
        <v>3292</v>
      </c>
      <c r="B2632" t="s">
        <v>8969</v>
      </c>
      <c r="C2632" t="str">
        <f>IFERROR(VLOOKUP(ILACLISTE[[#This Row],[NAME]],Table5[#All],2,0),"")</f>
        <v/>
      </c>
    </row>
    <row r="2633" spans="1:3" x14ac:dyDescent="0.3">
      <c r="A2633" s="5" t="s">
        <v>3293</v>
      </c>
      <c r="B2633" t="s">
        <v>8970</v>
      </c>
      <c r="C2633" t="str">
        <f>IFERROR(VLOOKUP(ILACLISTE[[#This Row],[NAME]],Table5[#All],2,0),"")</f>
        <v/>
      </c>
    </row>
    <row r="2634" spans="1:3" x14ac:dyDescent="0.3">
      <c r="A2634" s="5" t="s">
        <v>3294</v>
      </c>
      <c r="B2634" t="s">
        <v>8971</v>
      </c>
      <c r="C2634" t="str">
        <f>IFERROR(VLOOKUP(ILACLISTE[[#This Row],[NAME]],Table5[#All],2,0),"")</f>
        <v/>
      </c>
    </row>
    <row r="2635" spans="1:3" x14ac:dyDescent="0.3">
      <c r="A2635" s="5" t="s">
        <v>3295</v>
      </c>
      <c r="B2635" t="s">
        <v>8972</v>
      </c>
      <c r="C2635" t="str">
        <f>IFERROR(VLOOKUP(ILACLISTE[[#This Row],[NAME]],Table5[#All],2,0),"")</f>
        <v/>
      </c>
    </row>
    <row r="2636" spans="1:3" x14ac:dyDescent="0.3">
      <c r="A2636" s="5" t="s">
        <v>3296</v>
      </c>
      <c r="B2636" t="s">
        <v>8973</v>
      </c>
      <c r="C2636" t="str">
        <f>IFERROR(VLOOKUP(ILACLISTE[[#This Row],[NAME]],Table5[#All],2,0),"")</f>
        <v/>
      </c>
    </row>
    <row r="2637" spans="1:3" x14ac:dyDescent="0.3">
      <c r="A2637" s="5" t="s">
        <v>3297</v>
      </c>
      <c r="B2637" t="s">
        <v>8974</v>
      </c>
      <c r="C2637" t="str">
        <f>IFERROR(VLOOKUP(ILACLISTE[[#This Row],[NAME]],Table5[#All],2,0),"")</f>
        <v/>
      </c>
    </row>
    <row r="2638" spans="1:3" x14ac:dyDescent="0.3">
      <c r="A2638" s="5" t="s">
        <v>3298</v>
      </c>
      <c r="B2638" t="s">
        <v>8975</v>
      </c>
      <c r="C2638" t="str">
        <f>IFERROR(VLOOKUP(ILACLISTE[[#This Row],[NAME]],Table5[#All],2,0),"")</f>
        <v/>
      </c>
    </row>
    <row r="2639" spans="1:3" x14ac:dyDescent="0.3">
      <c r="A2639" s="5" t="s">
        <v>3299</v>
      </c>
      <c r="B2639" t="s">
        <v>8976</v>
      </c>
      <c r="C2639" t="str">
        <f>IFERROR(VLOOKUP(ILACLISTE[[#This Row],[NAME]],Table5[#All],2,0),"")</f>
        <v/>
      </c>
    </row>
    <row r="2640" spans="1:3" x14ac:dyDescent="0.3">
      <c r="A2640" s="5" t="s">
        <v>3300</v>
      </c>
      <c r="B2640" t="s">
        <v>8977</v>
      </c>
      <c r="C2640" t="str">
        <f>IFERROR(VLOOKUP(ILACLISTE[[#This Row],[NAME]],Table5[#All],2,0),"")</f>
        <v/>
      </c>
    </row>
    <row r="2641" spans="1:3" x14ac:dyDescent="0.3">
      <c r="A2641" s="5" t="s">
        <v>3301</v>
      </c>
      <c r="B2641" t="s">
        <v>8978</v>
      </c>
      <c r="C2641" t="str">
        <f>IFERROR(VLOOKUP(ILACLISTE[[#This Row],[NAME]],Table5[#All],2,0),"")</f>
        <v/>
      </c>
    </row>
    <row r="2642" spans="1:3" x14ac:dyDescent="0.3">
      <c r="A2642" s="5" t="s">
        <v>3302</v>
      </c>
      <c r="B2642" t="s">
        <v>8979</v>
      </c>
      <c r="C2642" t="str">
        <f>IFERROR(VLOOKUP(ILACLISTE[[#This Row],[NAME]],Table5[#All],2,0),"")</f>
        <v/>
      </c>
    </row>
    <row r="2643" spans="1:3" x14ac:dyDescent="0.3">
      <c r="A2643" s="5" t="s">
        <v>8980</v>
      </c>
      <c r="B2643" t="s">
        <v>8981</v>
      </c>
      <c r="C2643" t="str">
        <f>IFERROR(VLOOKUP(ILACLISTE[[#This Row],[NAME]],Table5[#All],2,0),"")</f>
        <v/>
      </c>
    </row>
    <row r="2644" spans="1:3" x14ac:dyDescent="0.3">
      <c r="A2644" s="5" t="s">
        <v>3303</v>
      </c>
      <c r="B2644" t="s">
        <v>8982</v>
      </c>
      <c r="C2644" t="str">
        <f>IFERROR(VLOOKUP(ILACLISTE[[#This Row],[NAME]],Table5[#All],2,0),"")</f>
        <v/>
      </c>
    </row>
    <row r="2645" spans="1:3" x14ac:dyDescent="0.3">
      <c r="A2645" s="5" t="s">
        <v>3304</v>
      </c>
      <c r="B2645" t="s">
        <v>8983</v>
      </c>
      <c r="C2645" t="str">
        <f>IFERROR(VLOOKUP(ILACLISTE[[#This Row],[NAME]],Table5[#All],2,0),"")</f>
        <v/>
      </c>
    </row>
    <row r="2646" spans="1:3" x14ac:dyDescent="0.3">
      <c r="A2646" s="5" t="s">
        <v>3305</v>
      </c>
      <c r="B2646" t="s">
        <v>8984</v>
      </c>
      <c r="C2646" t="str">
        <f>IFERROR(VLOOKUP(ILACLISTE[[#This Row],[NAME]],Table5[#All],2,0),"")</f>
        <v/>
      </c>
    </row>
    <row r="2647" spans="1:3" x14ac:dyDescent="0.3">
      <c r="A2647" s="5" t="s">
        <v>3306</v>
      </c>
      <c r="B2647" t="s">
        <v>8985</v>
      </c>
      <c r="C2647" t="str">
        <f>IFERROR(VLOOKUP(ILACLISTE[[#This Row],[NAME]],Table5[#All],2,0),"")</f>
        <v/>
      </c>
    </row>
    <row r="2648" spans="1:3" x14ac:dyDescent="0.3">
      <c r="A2648" s="5" t="s">
        <v>3307</v>
      </c>
      <c r="B2648" t="s">
        <v>8986</v>
      </c>
      <c r="C2648" t="str">
        <f>IFERROR(VLOOKUP(ILACLISTE[[#This Row],[NAME]],Table5[#All],2,0),"")</f>
        <v/>
      </c>
    </row>
    <row r="2649" spans="1:3" x14ac:dyDescent="0.3">
      <c r="A2649" s="5" t="s">
        <v>3308</v>
      </c>
      <c r="B2649" t="s">
        <v>8987</v>
      </c>
      <c r="C2649" t="str">
        <f>IFERROR(VLOOKUP(ILACLISTE[[#This Row],[NAME]],Table5[#All],2,0),"")</f>
        <v/>
      </c>
    </row>
    <row r="2650" spans="1:3" x14ac:dyDescent="0.3">
      <c r="A2650" s="5" t="s">
        <v>3309</v>
      </c>
      <c r="B2650" t="s">
        <v>8988</v>
      </c>
      <c r="C2650" t="str">
        <f>IFERROR(VLOOKUP(ILACLISTE[[#This Row],[NAME]],Table5[#All],2,0),"")</f>
        <v/>
      </c>
    </row>
    <row r="2651" spans="1:3" ht="20.399999999999999" x14ac:dyDescent="0.3">
      <c r="A2651" s="6" t="s">
        <v>3310</v>
      </c>
      <c r="B2651" t="s">
        <v>8989</v>
      </c>
      <c r="C2651" t="str">
        <f>IFERROR(VLOOKUP(ILACLISTE[[#This Row],[NAME]],Table5[#All],2,0),"")</f>
        <v/>
      </c>
    </row>
    <row r="2652" spans="1:3" ht="20.399999999999999" x14ac:dyDescent="0.3">
      <c r="A2652" s="7" t="s">
        <v>3311</v>
      </c>
      <c r="B2652" t="s">
        <v>8990</v>
      </c>
      <c r="C2652" t="str">
        <f>IFERROR(VLOOKUP(ILACLISTE[[#This Row],[NAME]],Table5[#All],2,0),"")</f>
        <v/>
      </c>
    </row>
    <row r="2653" spans="1:3" x14ac:dyDescent="0.3">
      <c r="A2653" s="5" t="s">
        <v>3312</v>
      </c>
      <c r="B2653" t="s">
        <v>8991</v>
      </c>
      <c r="C2653" t="str">
        <f>IFERROR(VLOOKUP(ILACLISTE[[#This Row],[NAME]],Table5[#All],2,0),"")</f>
        <v/>
      </c>
    </row>
    <row r="2654" spans="1:3" x14ac:dyDescent="0.3">
      <c r="A2654" s="5" t="s">
        <v>3313</v>
      </c>
      <c r="B2654" t="s">
        <v>8992</v>
      </c>
      <c r="C2654" t="str">
        <f>IFERROR(VLOOKUP(ILACLISTE[[#This Row],[NAME]],Table5[#All],2,0),"")</f>
        <v/>
      </c>
    </row>
    <row r="2655" spans="1:3" x14ac:dyDescent="0.3">
      <c r="A2655" s="5" t="s">
        <v>3314</v>
      </c>
      <c r="B2655" t="s">
        <v>8993</v>
      </c>
      <c r="C2655" t="str">
        <f>IFERROR(VLOOKUP(ILACLISTE[[#This Row],[NAME]],Table5[#All],2,0),"")</f>
        <v/>
      </c>
    </row>
    <row r="2656" spans="1:3" x14ac:dyDescent="0.3">
      <c r="A2656" s="5" t="s">
        <v>3315</v>
      </c>
      <c r="B2656" t="s">
        <v>8994</v>
      </c>
      <c r="C2656" t="str">
        <f>IFERROR(VLOOKUP(ILACLISTE[[#This Row],[NAME]],Table5[#All],2,0),"")</f>
        <v/>
      </c>
    </row>
    <row r="2657" spans="1:3" x14ac:dyDescent="0.3">
      <c r="A2657" s="5" t="s">
        <v>3316</v>
      </c>
      <c r="B2657" t="s">
        <v>8995</v>
      </c>
      <c r="C2657" t="str">
        <f>IFERROR(VLOOKUP(ILACLISTE[[#This Row],[NAME]],Table5[#All],2,0),"")</f>
        <v/>
      </c>
    </row>
    <row r="2658" spans="1:3" x14ac:dyDescent="0.3">
      <c r="A2658" s="5" t="s">
        <v>3317</v>
      </c>
      <c r="B2658" t="s">
        <v>8996</v>
      </c>
      <c r="C2658" t="str">
        <f>IFERROR(VLOOKUP(ILACLISTE[[#This Row],[NAME]],Table5[#All],2,0),"")</f>
        <v/>
      </c>
    </row>
    <row r="2659" spans="1:3" x14ac:dyDescent="0.3">
      <c r="A2659" s="5" t="s">
        <v>3318</v>
      </c>
      <c r="B2659" t="s">
        <v>8997</v>
      </c>
      <c r="C2659" t="str">
        <f>IFERROR(VLOOKUP(ILACLISTE[[#This Row],[NAME]],Table5[#All],2,0),"")</f>
        <v/>
      </c>
    </row>
    <row r="2660" spans="1:3" x14ac:dyDescent="0.3">
      <c r="A2660" s="5" t="s">
        <v>3319</v>
      </c>
      <c r="B2660" t="s">
        <v>8998</v>
      </c>
      <c r="C2660" t="str">
        <f>IFERROR(VLOOKUP(ILACLISTE[[#This Row],[NAME]],Table5[#All],2,0),"")</f>
        <v/>
      </c>
    </row>
    <row r="2661" spans="1:3" x14ac:dyDescent="0.3">
      <c r="A2661" s="5" t="s">
        <v>3320</v>
      </c>
      <c r="B2661" t="s">
        <v>8999</v>
      </c>
      <c r="C2661" t="str">
        <f>IFERROR(VLOOKUP(ILACLISTE[[#This Row],[NAME]],Table5[#All],2,0),"")</f>
        <v/>
      </c>
    </row>
    <row r="2662" spans="1:3" x14ac:dyDescent="0.3">
      <c r="A2662" s="5" t="s">
        <v>3321</v>
      </c>
      <c r="B2662" t="s">
        <v>9000</v>
      </c>
      <c r="C2662" t="str">
        <f>IFERROR(VLOOKUP(ILACLISTE[[#This Row],[NAME]],Table5[#All],2,0),"")</f>
        <v/>
      </c>
    </row>
    <row r="2663" spans="1:3" x14ac:dyDescent="0.3">
      <c r="A2663" s="5" t="s">
        <v>3322</v>
      </c>
      <c r="B2663" t="s">
        <v>9001</v>
      </c>
      <c r="C2663" t="str">
        <f>IFERROR(VLOOKUP(ILACLISTE[[#This Row],[NAME]],Table5[#All],2,0),"")</f>
        <v/>
      </c>
    </row>
    <row r="2664" spans="1:3" x14ac:dyDescent="0.3">
      <c r="A2664" s="5" t="s">
        <v>3323</v>
      </c>
      <c r="B2664" t="s">
        <v>9002</v>
      </c>
      <c r="C2664" t="str">
        <f>IFERROR(VLOOKUP(ILACLISTE[[#This Row],[NAME]],Table5[#All],2,0),"")</f>
        <v/>
      </c>
    </row>
    <row r="2665" spans="1:3" x14ac:dyDescent="0.3">
      <c r="A2665" s="5" t="s">
        <v>3324</v>
      </c>
      <c r="B2665" t="s">
        <v>9003</v>
      </c>
      <c r="C2665" t="str">
        <f>IFERROR(VLOOKUP(ILACLISTE[[#This Row],[NAME]],Table5[#All],2,0),"")</f>
        <v/>
      </c>
    </row>
    <row r="2666" spans="1:3" x14ac:dyDescent="0.3">
      <c r="A2666" s="5" t="s">
        <v>3325</v>
      </c>
      <c r="B2666" t="s">
        <v>9004</v>
      </c>
      <c r="C2666" t="str">
        <f>IFERROR(VLOOKUP(ILACLISTE[[#This Row],[NAME]],Table5[#All],2,0),"")</f>
        <v/>
      </c>
    </row>
    <row r="2667" spans="1:3" x14ac:dyDescent="0.3">
      <c r="A2667" s="5" t="s">
        <v>3326</v>
      </c>
      <c r="B2667" t="s">
        <v>9005</v>
      </c>
      <c r="C2667" t="str">
        <f>IFERROR(VLOOKUP(ILACLISTE[[#This Row],[NAME]],Table5[#All],2,0),"")</f>
        <v/>
      </c>
    </row>
    <row r="2668" spans="1:3" x14ac:dyDescent="0.3">
      <c r="A2668" s="5" t="s">
        <v>3327</v>
      </c>
      <c r="B2668" t="s">
        <v>9006</v>
      </c>
      <c r="C2668" t="str">
        <f>IFERROR(VLOOKUP(ILACLISTE[[#This Row],[NAME]],Table5[#All],2,0),"")</f>
        <v/>
      </c>
    </row>
    <row r="2669" spans="1:3" x14ac:dyDescent="0.3">
      <c r="A2669" s="5" t="s">
        <v>3328</v>
      </c>
      <c r="B2669" t="s">
        <v>9007</v>
      </c>
      <c r="C2669" t="str">
        <f>IFERROR(VLOOKUP(ILACLISTE[[#This Row],[NAME]],Table5[#All],2,0),"")</f>
        <v/>
      </c>
    </row>
    <row r="2670" spans="1:3" x14ac:dyDescent="0.3">
      <c r="A2670" s="5" t="s">
        <v>3329</v>
      </c>
      <c r="B2670" t="s">
        <v>9008</v>
      </c>
      <c r="C2670" t="str">
        <f>IFERROR(VLOOKUP(ILACLISTE[[#This Row],[NAME]],Table5[#All],2,0),"")</f>
        <v/>
      </c>
    </row>
    <row r="2671" spans="1:3" x14ac:dyDescent="0.3">
      <c r="A2671" s="5" t="s">
        <v>3330</v>
      </c>
      <c r="B2671" t="s">
        <v>9009</v>
      </c>
      <c r="C2671" t="str">
        <f>IFERROR(VLOOKUP(ILACLISTE[[#This Row],[NAME]],Table5[#All],2,0),"")</f>
        <v/>
      </c>
    </row>
    <row r="2672" spans="1:3" x14ac:dyDescent="0.3">
      <c r="A2672" s="5" t="s">
        <v>3331</v>
      </c>
      <c r="B2672" t="s">
        <v>9010</v>
      </c>
      <c r="C2672" t="str">
        <f>IFERROR(VLOOKUP(ILACLISTE[[#This Row],[NAME]],Table5[#All],2,0),"")</f>
        <v/>
      </c>
    </row>
    <row r="2673" spans="1:3" x14ac:dyDescent="0.3">
      <c r="A2673" s="5" t="s">
        <v>3332</v>
      </c>
      <c r="B2673" t="s">
        <v>9011</v>
      </c>
      <c r="C2673" t="str">
        <f>IFERROR(VLOOKUP(ILACLISTE[[#This Row],[NAME]],Table5[#All],2,0),"")</f>
        <v/>
      </c>
    </row>
    <row r="2674" spans="1:3" x14ac:dyDescent="0.3">
      <c r="A2674" s="5" t="s">
        <v>3333</v>
      </c>
      <c r="B2674" t="s">
        <v>9012</v>
      </c>
      <c r="C2674" t="str">
        <f>IFERROR(VLOOKUP(ILACLISTE[[#This Row],[NAME]],Table5[#All],2,0),"")</f>
        <v/>
      </c>
    </row>
    <row r="2675" spans="1:3" x14ac:dyDescent="0.3">
      <c r="A2675" s="5" t="s">
        <v>3334</v>
      </c>
      <c r="B2675" t="s">
        <v>9013</v>
      </c>
      <c r="C2675" t="str">
        <f>IFERROR(VLOOKUP(ILACLISTE[[#This Row],[NAME]],Table5[#All],2,0),"")</f>
        <v/>
      </c>
    </row>
    <row r="2676" spans="1:3" x14ac:dyDescent="0.3">
      <c r="A2676" s="5" t="s">
        <v>3335</v>
      </c>
      <c r="B2676" t="s">
        <v>9014</v>
      </c>
      <c r="C2676" t="str">
        <f>IFERROR(VLOOKUP(ILACLISTE[[#This Row],[NAME]],Table5[#All],2,0),"")</f>
        <v/>
      </c>
    </row>
    <row r="2677" spans="1:3" x14ac:dyDescent="0.3">
      <c r="A2677" s="5" t="s">
        <v>3336</v>
      </c>
      <c r="B2677" t="s">
        <v>9015</v>
      </c>
      <c r="C2677" t="str">
        <f>IFERROR(VLOOKUP(ILACLISTE[[#This Row],[NAME]],Table5[#All],2,0),"")</f>
        <v/>
      </c>
    </row>
    <row r="2678" spans="1:3" x14ac:dyDescent="0.3">
      <c r="A2678" s="5" t="s">
        <v>3337</v>
      </c>
      <c r="B2678" t="s">
        <v>9016</v>
      </c>
      <c r="C2678" t="str">
        <f>IFERROR(VLOOKUP(ILACLISTE[[#This Row],[NAME]],Table5[#All],2,0),"")</f>
        <v/>
      </c>
    </row>
    <row r="2679" spans="1:3" x14ac:dyDescent="0.3">
      <c r="A2679" s="5" t="s">
        <v>3338</v>
      </c>
      <c r="B2679" t="s">
        <v>335</v>
      </c>
      <c r="C2679" t="str">
        <f>IFERROR(VLOOKUP(ILACLISTE[[#This Row],[NAME]],Table5[#All],2,0),"")</f>
        <v/>
      </c>
    </row>
    <row r="2680" spans="1:3" x14ac:dyDescent="0.3">
      <c r="A2680" s="5" t="s">
        <v>3339</v>
      </c>
      <c r="B2680" t="s">
        <v>9017</v>
      </c>
      <c r="C2680" t="str">
        <f>IFERROR(VLOOKUP(ILACLISTE[[#This Row],[NAME]],Table5[#All],2,0),"")</f>
        <v/>
      </c>
    </row>
    <row r="2681" spans="1:3" x14ac:dyDescent="0.3">
      <c r="A2681" s="5" t="s">
        <v>3340</v>
      </c>
      <c r="B2681" t="s">
        <v>9018</v>
      </c>
      <c r="C2681" t="str">
        <f>IFERROR(VLOOKUP(ILACLISTE[[#This Row],[NAME]],Table5[#All],2,0),"")</f>
        <v/>
      </c>
    </row>
    <row r="2682" spans="1:3" x14ac:dyDescent="0.3">
      <c r="A2682" s="5" t="s">
        <v>3341</v>
      </c>
      <c r="B2682" t="s">
        <v>9019</v>
      </c>
      <c r="C2682" t="str">
        <f>IFERROR(VLOOKUP(ILACLISTE[[#This Row],[NAME]],Table5[#All],2,0),"")</f>
        <v/>
      </c>
    </row>
    <row r="2683" spans="1:3" x14ac:dyDescent="0.3">
      <c r="A2683" s="5" t="s">
        <v>3342</v>
      </c>
      <c r="B2683" t="s">
        <v>9020</v>
      </c>
      <c r="C2683" t="str">
        <f>IFERROR(VLOOKUP(ILACLISTE[[#This Row],[NAME]],Table5[#All],2,0),"")</f>
        <v/>
      </c>
    </row>
    <row r="2684" spans="1:3" x14ac:dyDescent="0.3">
      <c r="A2684" s="5" t="s">
        <v>3343</v>
      </c>
      <c r="B2684" t="s">
        <v>336</v>
      </c>
      <c r="C2684" t="str">
        <f>IFERROR(VLOOKUP(ILACLISTE[[#This Row],[NAME]],Table5[#All],2,0),"")</f>
        <v/>
      </c>
    </row>
    <row r="2685" spans="1:3" x14ac:dyDescent="0.3">
      <c r="A2685" s="5" t="s">
        <v>3344</v>
      </c>
      <c r="B2685" t="s">
        <v>337</v>
      </c>
      <c r="C2685" t="str">
        <f>IFERROR(VLOOKUP(ILACLISTE[[#This Row],[NAME]],Table5[#All],2,0),"")</f>
        <v/>
      </c>
    </row>
    <row r="2686" spans="1:3" x14ac:dyDescent="0.3">
      <c r="A2686" s="5" t="s">
        <v>3345</v>
      </c>
      <c r="B2686" t="s">
        <v>338</v>
      </c>
      <c r="C2686" t="str">
        <f>IFERROR(VLOOKUP(ILACLISTE[[#This Row],[NAME]],Table5[#All],2,0),"")</f>
        <v/>
      </c>
    </row>
    <row r="2687" spans="1:3" x14ac:dyDescent="0.3">
      <c r="A2687" s="5" t="s">
        <v>3346</v>
      </c>
      <c r="B2687" t="s">
        <v>9021</v>
      </c>
      <c r="C2687" t="str">
        <f>IFERROR(VLOOKUP(ILACLISTE[[#This Row],[NAME]],Table5[#All],2,0),"")</f>
        <v/>
      </c>
    </row>
    <row r="2688" spans="1:3" x14ac:dyDescent="0.3">
      <c r="A2688" s="5" t="s">
        <v>3347</v>
      </c>
      <c r="B2688" t="s">
        <v>9022</v>
      </c>
      <c r="C2688" t="str">
        <f>IFERROR(VLOOKUP(ILACLISTE[[#This Row],[NAME]],Table5[#All],2,0),"")</f>
        <v/>
      </c>
    </row>
    <row r="2689" spans="1:3" x14ac:dyDescent="0.3">
      <c r="A2689" s="5" t="s">
        <v>3348</v>
      </c>
      <c r="B2689" t="s">
        <v>9023</v>
      </c>
      <c r="C2689" t="str">
        <f>IFERROR(VLOOKUP(ILACLISTE[[#This Row],[NAME]],Table5[#All],2,0),"")</f>
        <v/>
      </c>
    </row>
    <row r="2690" spans="1:3" x14ac:dyDescent="0.3">
      <c r="A2690" s="5" t="s">
        <v>3349</v>
      </c>
      <c r="B2690" t="s">
        <v>339</v>
      </c>
      <c r="C2690" t="str">
        <f>IFERROR(VLOOKUP(ILACLISTE[[#This Row],[NAME]],Table5[#All],2,0),"")</f>
        <v/>
      </c>
    </row>
    <row r="2691" spans="1:3" x14ac:dyDescent="0.3">
      <c r="A2691" s="5" t="s">
        <v>3350</v>
      </c>
      <c r="B2691" t="s">
        <v>9024</v>
      </c>
      <c r="C2691" t="str">
        <f>IFERROR(VLOOKUP(ILACLISTE[[#This Row],[NAME]],Table5[#All],2,0),"")</f>
        <v/>
      </c>
    </row>
    <row r="2692" spans="1:3" x14ac:dyDescent="0.3">
      <c r="A2692" s="5" t="s">
        <v>3351</v>
      </c>
      <c r="B2692" t="s">
        <v>9025</v>
      </c>
      <c r="C2692" t="str">
        <f>IFERROR(VLOOKUP(ILACLISTE[[#This Row],[NAME]],Table5[#All],2,0),"")</f>
        <v/>
      </c>
    </row>
    <row r="2693" spans="1:3" x14ac:dyDescent="0.3">
      <c r="A2693" s="5" t="s">
        <v>3352</v>
      </c>
      <c r="B2693" t="s">
        <v>9026</v>
      </c>
      <c r="C2693" t="str">
        <f>IFERROR(VLOOKUP(ILACLISTE[[#This Row],[NAME]],Table5[#All],2,0),"")</f>
        <v/>
      </c>
    </row>
    <row r="2694" spans="1:3" x14ac:dyDescent="0.3">
      <c r="A2694" s="5" t="s">
        <v>3353</v>
      </c>
      <c r="B2694" t="s">
        <v>9027</v>
      </c>
      <c r="C2694" t="str">
        <f>IFERROR(VLOOKUP(ILACLISTE[[#This Row],[NAME]],Table5[#All],2,0),"")</f>
        <v/>
      </c>
    </row>
    <row r="2695" spans="1:3" x14ac:dyDescent="0.3">
      <c r="A2695" s="5" t="s">
        <v>3354</v>
      </c>
      <c r="B2695" t="s">
        <v>9028</v>
      </c>
      <c r="C2695" t="str">
        <f>IFERROR(VLOOKUP(ILACLISTE[[#This Row],[NAME]],Table5[#All],2,0),"")</f>
        <v/>
      </c>
    </row>
    <row r="2696" spans="1:3" x14ac:dyDescent="0.3">
      <c r="A2696" s="5" t="s">
        <v>3355</v>
      </c>
      <c r="B2696" t="s">
        <v>9029</v>
      </c>
      <c r="C2696" t="str">
        <f>IFERROR(VLOOKUP(ILACLISTE[[#This Row],[NAME]],Table5[#All],2,0),"")</f>
        <v/>
      </c>
    </row>
    <row r="2697" spans="1:3" x14ac:dyDescent="0.3">
      <c r="A2697" s="5" t="s">
        <v>3356</v>
      </c>
      <c r="B2697" t="s">
        <v>9030</v>
      </c>
      <c r="C2697" t="str">
        <f>IFERROR(VLOOKUP(ILACLISTE[[#This Row],[NAME]],Table5[#All],2,0),"")</f>
        <v/>
      </c>
    </row>
    <row r="2698" spans="1:3" x14ac:dyDescent="0.3">
      <c r="A2698" s="5" t="s">
        <v>3357</v>
      </c>
      <c r="B2698" t="s">
        <v>9031</v>
      </c>
      <c r="C2698" t="str">
        <f>IFERROR(VLOOKUP(ILACLISTE[[#This Row],[NAME]],Table5[#All],2,0),"")</f>
        <v/>
      </c>
    </row>
    <row r="2699" spans="1:3" x14ac:dyDescent="0.3">
      <c r="A2699" s="5" t="s">
        <v>3358</v>
      </c>
      <c r="B2699" t="s">
        <v>9032</v>
      </c>
      <c r="C2699" t="str">
        <f>IFERROR(VLOOKUP(ILACLISTE[[#This Row],[NAME]],Table5[#All],2,0),"")</f>
        <v/>
      </c>
    </row>
    <row r="2700" spans="1:3" x14ac:dyDescent="0.3">
      <c r="A2700" s="5" t="s">
        <v>3359</v>
      </c>
      <c r="B2700" t="s">
        <v>340</v>
      </c>
      <c r="C2700" t="str">
        <f>IFERROR(VLOOKUP(ILACLISTE[[#This Row],[NAME]],Table5[#All],2,0),"")</f>
        <v/>
      </c>
    </row>
    <row r="2701" spans="1:3" x14ac:dyDescent="0.3">
      <c r="A2701" s="5" t="s">
        <v>3360</v>
      </c>
      <c r="B2701" t="s">
        <v>341</v>
      </c>
      <c r="C2701" t="str">
        <f>IFERROR(VLOOKUP(ILACLISTE[[#This Row],[NAME]],Table5[#All],2,0),"")</f>
        <v/>
      </c>
    </row>
    <row r="2702" spans="1:3" x14ac:dyDescent="0.3">
      <c r="A2702" s="5" t="s">
        <v>3361</v>
      </c>
      <c r="B2702" t="s">
        <v>9033</v>
      </c>
      <c r="C2702" t="str">
        <f>IFERROR(VLOOKUP(ILACLISTE[[#This Row],[NAME]],Table5[#All],2,0),"")</f>
        <v/>
      </c>
    </row>
    <row r="2703" spans="1:3" x14ac:dyDescent="0.3">
      <c r="A2703" s="5" t="s">
        <v>3362</v>
      </c>
      <c r="B2703" t="s">
        <v>9034</v>
      </c>
      <c r="C2703" t="str">
        <f>IFERROR(VLOOKUP(ILACLISTE[[#This Row],[NAME]],Table5[#All],2,0),"")</f>
        <v/>
      </c>
    </row>
    <row r="2704" spans="1:3" x14ac:dyDescent="0.3">
      <c r="A2704" s="5" t="s">
        <v>3363</v>
      </c>
      <c r="B2704" t="s">
        <v>9035</v>
      </c>
      <c r="C2704" t="str">
        <f>IFERROR(VLOOKUP(ILACLISTE[[#This Row],[NAME]],Table5[#All],2,0),"")</f>
        <v/>
      </c>
    </row>
    <row r="2705" spans="1:3" x14ac:dyDescent="0.3">
      <c r="A2705" s="5" t="s">
        <v>3364</v>
      </c>
      <c r="B2705" t="s">
        <v>342</v>
      </c>
      <c r="C2705" t="str">
        <f>IFERROR(VLOOKUP(ILACLISTE[[#This Row],[NAME]],Table5[#All],2,0),"")</f>
        <v/>
      </c>
    </row>
    <row r="2706" spans="1:3" x14ac:dyDescent="0.3">
      <c r="A2706" s="5" t="s">
        <v>3365</v>
      </c>
      <c r="B2706" t="s">
        <v>9036</v>
      </c>
      <c r="C2706" t="str">
        <f>IFERROR(VLOOKUP(ILACLISTE[[#This Row],[NAME]],Table5[#All],2,0),"")</f>
        <v/>
      </c>
    </row>
    <row r="2707" spans="1:3" x14ac:dyDescent="0.3">
      <c r="A2707" s="5" t="s">
        <v>3366</v>
      </c>
      <c r="B2707" t="s">
        <v>9037</v>
      </c>
      <c r="C2707" t="str">
        <f>IFERROR(VLOOKUP(ILACLISTE[[#This Row],[NAME]],Table5[#All],2,0),"")</f>
        <v/>
      </c>
    </row>
    <row r="2708" spans="1:3" x14ac:dyDescent="0.3">
      <c r="A2708" s="5" t="s">
        <v>3367</v>
      </c>
      <c r="B2708" t="s">
        <v>343</v>
      </c>
      <c r="C2708" t="str">
        <f>IFERROR(VLOOKUP(ILACLISTE[[#This Row],[NAME]],Table5[#All],2,0),"")</f>
        <v/>
      </c>
    </row>
    <row r="2709" spans="1:3" x14ac:dyDescent="0.3">
      <c r="A2709" s="5" t="s">
        <v>3368</v>
      </c>
      <c r="B2709" t="s">
        <v>344</v>
      </c>
      <c r="C2709" t="str">
        <f>IFERROR(VLOOKUP(ILACLISTE[[#This Row],[NAME]],Table5[#All],2,0),"")</f>
        <v/>
      </c>
    </row>
    <row r="2710" spans="1:3" x14ac:dyDescent="0.3">
      <c r="A2710" s="5" t="s">
        <v>3369</v>
      </c>
      <c r="B2710" t="s">
        <v>9038</v>
      </c>
      <c r="C2710" t="str">
        <f>IFERROR(VLOOKUP(ILACLISTE[[#This Row],[NAME]],Table5[#All],2,0),"")</f>
        <v/>
      </c>
    </row>
    <row r="2711" spans="1:3" x14ac:dyDescent="0.3">
      <c r="A2711" s="5" t="s">
        <v>3370</v>
      </c>
      <c r="B2711" t="s">
        <v>9039</v>
      </c>
      <c r="C2711" t="str">
        <f>IFERROR(VLOOKUP(ILACLISTE[[#This Row],[NAME]],Table5[#All],2,0),"")</f>
        <v/>
      </c>
    </row>
    <row r="2712" spans="1:3" x14ac:dyDescent="0.3">
      <c r="A2712" s="5" t="s">
        <v>3371</v>
      </c>
      <c r="B2712" t="s">
        <v>9040</v>
      </c>
      <c r="C2712" t="str">
        <f>IFERROR(VLOOKUP(ILACLISTE[[#This Row],[NAME]],Table5[#All],2,0),"")</f>
        <v/>
      </c>
    </row>
    <row r="2713" spans="1:3" x14ac:dyDescent="0.3">
      <c r="A2713" s="5" t="s">
        <v>3372</v>
      </c>
      <c r="B2713" t="s">
        <v>9041</v>
      </c>
      <c r="C2713" t="str">
        <f>IFERROR(VLOOKUP(ILACLISTE[[#This Row],[NAME]],Table5[#All],2,0),"")</f>
        <v/>
      </c>
    </row>
    <row r="2714" spans="1:3" x14ac:dyDescent="0.3">
      <c r="A2714" s="5" t="s">
        <v>3373</v>
      </c>
      <c r="B2714" t="s">
        <v>9042</v>
      </c>
      <c r="C2714" t="str">
        <f>IFERROR(VLOOKUP(ILACLISTE[[#This Row],[NAME]],Table5[#All],2,0),"")</f>
        <v/>
      </c>
    </row>
    <row r="2715" spans="1:3" x14ac:dyDescent="0.3">
      <c r="A2715" s="5" t="s">
        <v>3374</v>
      </c>
      <c r="B2715" t="s">
        <v>345</v>
      </c>
      <c r="C2715" t="str">
        <f>IFERROR(VLOOKUP(ILACLISTE[[#This Row],[NAME]],Table5[#All],2,0),"")</f>
        <v/>
      </c>
    </row>
    <row r="2716" spans="1:3" x14ac:dyDescent="0.3">
      <c r="A2716" s="5" t="s">
        <v>3375</v>
      </c>
      <c r="B2716" t="s">
        <v>9043</v>
      </c>
      <c r="C2716" t="str">
        <f>IFERROR(VLOOKUP(ILACLISTE[[#This Row],[NAME]],Table5[#All],2,0),"")</f>
        <v/>
      </c>
    </row>
    <row r="2717" spans="1:3" x14ac:dyDescent="0.3">
      <c r="A2717" s="5" t="s">
        <v>3376</v>
      </c>
      <c r="B2717" t="s">
        <v>346</v>
      </c>
      <c r="C2717" t="str">
        <f>IFERROR(VLOOKUP(ILACLISTE[[#This Row],[NAME]],Table5[#All],2,0),"")</f>
        <v/>
      </c>
    </row>
    <row r="2718" spans="1:3" x14ac:dyDescent="0.3">
      <c r="A2718" s="5" t="s">
        <v>3377</v>
      </c>
      <c r="B2718" t="s">
        <v>9044</v>
      </c>
      <c r="C2718" t="str">
        <f>IFERROR(VLOOKUP(ILACLISTE[[#This Row],[NAME]],Table5[#All],2,0),"")</f>
        <v/>
      </c>
    </row>
    <row r="2719" spans="1:3" x14ac:dyDescent="0.3">
      <c r="A2719" s="5" t="s">
        <v>3378</v>
      </c>
      <c r="B2719" t="s">
        <v>9045</v>
      </c>
      <c r="C2719" t="str">
        <f>IFERROR(VLOOKUP(ILACLISTE[[#This Row],[NAME]],Table5[#All],2,0),"")</f>
        <v/>
      </c>
    </row>
    <row r="2720" spans="1:3" x14ac:dyDescent="0.3">
      <c r="A2720" s="5" t="s">
        <v>3379</v>
      </c>
      <c r="B2720" t="s">
        <v>9046</v>
      </c>
      <c r="C2720" t="str">
        <f>IFERROR(VLOOKUP(ILACLISTE[[#This Row],[NAME]],Table5[#All],2,0),"")</f>
        <v/>
      </c>
    </row>
    <row r="2721" spans="1:3" x14ac:dyDescent="0.3">
      <c r="A2721" s="5" t="s">
        <v>3380</v>
      </c>
      <c r="B2721" t="s">
        <v>9047</v>
      </c>
      <c r="C2721" t="str">
        <f>IFERROR(VLOOKUP(ILACLISTE[[#This Row],[NAME]],Table5[#All],2,0),"")</f>
        <v/>
      </c>
    </row>
    <row r="2722" spans="1:3" x14ac:dyDescent="0.3">
      <c r="A2722" s="5" t="s">
        <v>3381</v>
      </c>
      <c r="B2722" t="s">
        <v>9048</v>
      </c>
      <c r="C2722" t="str">
        <f>IFERROR(VLOOKUP(ILACLISTE[[#This Row],[NAME]],Table5[#All],2,0),"")</f>
        <v/>
      </c>
    </row>
    <row r="2723" spans="1:3" x14ac:dyDescent="0.3">
      <c r="A2723" s="5" t="s">
        <v>9049</v>
      </c>
      <c r="B2723" t="s">
        <v>9050</v>
      </c>
      <c r="C2723" t="str">
        <f>IFERROR(VLOOKUP(ILACLISTE[[#This Row],[NAME]],Table5[#All],2,0),"")</f>
        <v/>
      </c>
    </row>
    <row r="2724" spans="1:3" x14ac:dyDescent="0.3">
      <c r="A2724" s="5" t="s">
        <v>3382</v>
      </c>
      <c r="B2724" t="s">
        <v>9051</v>
      </c>
      <c r="C2724" t="str">
        <f>IFERROR(VLOOKUP(ILACLISTE[[#This Row],[NAME]],Table5[#All],2,0),"")</f>
        <v/>
      </c>
    </row>
    <row r="2725" spans="1:3" x14ac:dyDescent="0.3">
      <c r="A2725" s="5" t="s">
        <v>3383</v>
      </c>
      <c r="B2725" t="s">
        <v>9052</v>
      </c>
      <c r="C2725" t="str">
        <f>IFERROR(VLOOKUP(ILACLISTE[[#This Row],[NAME]],Table5[#All],2,0),"")</f>
        <v/>
      </c>
    </row>
    <row r="2726" spans="1:3" x14ac:dyDescent="0.3">
      <c r="A2726" s="5" t="s">
        <v>3384</v>
      </c>
      <c r="B2726" t="s">
        <v>9053</v>
      </c>
      <c r="C2726" t="str">
        <f>IFERROR(VLOOKUP(ILACLISTE[[#This Row],[NAME]],Table5[#All],2,0),"")</f>
        <v/>
      </c>
    </row>
    <row r="2727" spans="1:3" x14ac:dyDescent="0.3">
      <c r="A2727" s="5" t="s">
        <v>3385</v>
      </c>
      <c r="B2727" t="s">
        <v>9054</v>
      </c>
      <c r="C2727" t="str">
        <f>IFERROR(VLOOKUP(ILACLISTE[[#This Row],[NAME]],Table5[#All],2,0),"")</f>
        <v/>
      </c>
    </row>
    <row r="2728" spans="1:3" x14ac:dyDescent="0.3">
      <c r="A2728" s="5" t="s">
        <v>3386</v>
      </c>
      <c r="B2728" t="s">
        <v>9055</v>
      </c>
      <c r="C2728" t="str">
        <f>IFERROR(VLOOKUP(ILACLISTE[[#This Row],[NAME]],Table5[#All],2,0),"")</f>
        <v/>
      </c>
    </row>
    <row r="2729" spans="1:3" x14ac:dyDescent="0.3">
      <c r="A2729" s="5" t="s">
        <v>3387</v>
      </c>
      <c r="B2729" t="s">
        <v>9056</v>
      </c>
      <c r="C2729" t="str">
        <f>IFERROR(VLOOKUP(ILACLISTE[[#This Row],[NAME]],Table5[#All],2,0),"")</f>
        <v/>
      </c>
    </row>
    <row r="2730" spans="1:3" x14ac:dyDescent="0.3">
      <c r="A2730" s="5" t="s">
        <v>3388</v>
      </c>
      <c r="B2730" t="s">
        <v>9057</v>
      </c>
      <c r="C2730" t="str">
        <f>IFERROR(VLOOKUP(ILACLISTE[[#This Row],[NAME]],Table5[#All],2,0),"")</f>
        <v/>
      </c>
    </row>
    <row r="2731" spans="1:3" x14ac:dyDescent="0.3">
      <c r="A2731" s="5" t="s">
        <v>3389</v>
      </c>
      <c r="B2731" t="s">
        <v>9058</v>
      </c>
      <c r="C2731" t="str">
        <f>IFERROR(VLOOKUP(ILACLISTE[[#This Row],[NAME]],Table5[#All],2,0),"")</f>
        <v/>
      </c>
    </row>
    <row r="2732" spans="1:3" x14ac:dyDescent="0.3">
      <c r="A2732" s="5" t="s">
        <v>3390</v>
      </c>
      <c r="B2732" t="s">
        <v>9059</v>
      </c>
      <c r="C2732" t="str">
        <f>IFERROR(VLOOKUP(ILACLISTE[[#This Row],[NAME]],Table5[#All],2,0),"")</f>
        <v/>
      </c>
    </row>
    <row r="2733" spans="1:3" x14ac:dyDescent="0.3">
      <c r="A2733" s="5" t="s">
        <v>3391</v>
      </c>
      <c r="B2733" t="s">
        <v>347</v>
      </c>
      <c r="C2733" t="str">
        <f>IFERROR(VLOOKUP(ILACLISTE[[#This Row],[NAME]],Table5[#All],2,0),"")</f>
        <v/>
      </c>
    </row>
    <row r="2734" spans="1:3" x14ac:dyDescent="0.3">
      <c r="A2734" s="5" t="s">
        <v>3392</v>
      </c>
      <c r="B2734" t="s">
        <v>348</v>
      </c>
      <c r="C2734" t="str">
        <f>IFERROR(VLOOKUP(ILACLISTE[[#This Row],[NAME]],Table5[#All],2,0),"")</f>
        <v/>
      </c>
    </row>
    <row r="2735" spans="1:3" x14ac:dyDescent="0.3">
      <c r="A2735" s="5" t="s">
        <v>3393</v>
      </c>
      <c r="B2735" t="s">
        <v>9060</v>
      </c>
      <c r="C2735" t="str">
        <f>IFERROR(VLOOKUP(ILACLISTE[[#This Row],[NAME]],Table5[#All],2,0),"")</f>
        <v/>
      </c>
    </row>
    <row r="2736" spans="1:3" x14ac:dyDescent="0.3">
      <c r="A2736" s="5" t="s">
        <v>3394</v>
      </c>
      <c r="B2736" t="s">
        <v>349</v>
      </c>
      <c r="C2736" t="str">
        <f>IFERROR(VLOOKUP(ILACLISTE[[#This Row],[NAME]],Table5[#All],2,0),"")</f>
        <v/>
      </c>
    </row>
    <row r="2737" spans="1:3" x14ac:dyDescent="0.3">
      <c r="A2737" s="5" t="s">
        <v>3395</v>
      </c>
      <c r="B2737" t="s">
        <v>350</v>
      </c>
      <c r="C2737" t="str">
        <f>IFERROR(VLOOKUP(ILACLISTE[[#This Row],[NAME]],Table5[#All],2,0),"")</f>
        <v/>
      </c>
    </row>
    <row r="2738" spans="1:3" x14ac:dyDescent="0.3">
      <c r="A2738" s="5" t="s">
        <v>3396</v>
      </c>
      <c r="B2738" t="s">
        <v>9061</v>
      </c>
      <c r="C2738" t="str">
        <f>IFERROR(VLOOKUP(ILACLISTE[[#This Row],[NAME]],Table5[#All],2,0),"")</f>
        <v/>
      </c>
    </row>
    <row r="2739" spans="1:3" x14ac:dyDescent="0.3">
      <c r="A2739" s="5" t="s">
        <v>3397</v>
      </c>
      <c r="B2739" t="s">
        <v>9062</v>
      </c>
      <c r="C2739" t="str">
        <f>IFERROR(VLOOKUP(ILACLISTE[[#This Row],[NAME]],Table5[#All],2,0),"")</f>
        <v/>
      </c>
    </row>
    <row r="2740" spans="1:3" x14ac:dyDescent="0.3">
      <c r="A2740" s="5" t="s">
        <v>3398</v>
      </c>
      <c r="B2740" t="s">
        <v>9063</v>
      </c>
      <c r="C2740" t="str">
        <f>IFERROR(VLOOKUP(ILACLISTE[[#This Row],[NAME]],Table5[#All],2,0),"")</f>
        <v/>
      </c>
    </row>
    <row r="2741" spans="1:3" x14ac:dyDescent="0.3">
      <c r="A2741" s="5" t="s">
        <v>3399</v>
      </c>
      <c r="B2741" t="s">
        <v>9064</v>
      </c>
      <c r="C2741" t="str">
        <f>IFERROR(VLOOKUP(ILACLISTE[[#This Row],[NAME]],Table5[#All],2,0),"")</f>
        <v/>
      </c>
    </row>
    <row r="2742" spans="1:3" x14ac:dyDescent="0.3">
      <c r="A2742" s="5" t="s">
        <v>3400</v>
      </c>
      <c r="B2742" t="s">
        <v>9065</v>
      </c>
      <c r="C2742" t="str">
        <f>IFERROR(VLOOKUP(ILACLISTE[[#This Row],[NAME]],Table5[#All],2,0),"")</f>
        <v/>
      </c>
    </row>
    <row r="2743" spans="1:3" x14ac:dyDescent="0.3">
      <c r="A2743" s="5" t="s">
        <v>3401</v>
      </c>
      <c r="B2743" t="s">
        <v>9066</v>
      </c>
      <c r="C2743" t="str">
        <f>IFERROR(VLOOKUP(ILACLISTE[[#This Row],[NAME]],Table5[#All],2,0),"")</f>
        <v/>
      </c>
    </row>
    <row r="2744" spans="1:3" x14ac:dyDescent="0.3">
      <c r="A2744" s="5" t="s">
        <v>3402</v>
      </c>
      <c r="B2744" t="s">
        <v>9067</v>
      </c>
      <c r="C2744" t="str">
        <f>IFERROR(VLOOKUP(ILACLISTE[[#This Row],[NAME]],Table5[#All],2,0),"")</f>
        <v/>
      </c>
    </row>
    <row r="2745" spans="1:3" x14ac:dyDescent="0.3">
      <c r="A2745" s="5" t="s">
        <v>3403</v>
      </c>
      <c r="B2745" t="s">
        <v>9068</v>
      </c>
      <c r="C2745" t="str">
        <f>IFERROR(VLOOKUP(ILACLISTE[[#This Row],[NAME]],Table5[#All],2,0),"")</f>
        <v/>
      </c>
    </row>
    <row r="2746" spans="1:3" x14ac:dyDescent="0.3">
      <c r="A2746" s="5" t="s">
        <v>9069</v>
      </c>
      <c r="B2746" t="s">
        <v>9070</v>
      </c>
      <c r="C2746" t="str">
        <f>IFERROR(VLOOKUP(ILACLISTE[[#This Row],[NAME]],Table5[#All],2,0),"")</f>
        <v/>
      </c>
    </row>
    <row r="2747" spans="1:3" x14ac:dyDescent="0.3">
      <c r="A2747" s="5" t="s">
        <v>3404</v>
      </c>
      <c r="B2747" t="s">
        <v>9071</v>
      </c>
      <c r="C2747" t="str">
        <f>IFERROR(VLOOKUP(ILACLISTE[[#This Row],[NAME]],Table5[#All],2,0),"")</f>
        <v/>
      </c>
    </row>
    <row r="2748" spans="1:3" x14ac:dyDescent="0.3">
      <c r="A2748" s="5" t="s">
        <v>3405</v>
      </c>
      <c r="B2748" t="s">
        <v>9072</v>
      </c>
      <c r="C2748" t="str">
        <f>IFERROR(VLOOKUP(ILACLISTE[[#This Row],[NAME]],Table5[#All],2,0),"")</f>
        <v/>
      </c>
    </row>
    <row r="2749" spans="1:3" x14ac:dyDescent="0.3">
      <c r="A2749" s="5" t="s">
        <v>3406</v>
      </c>
      <c r="B2749" t="s">
        <v>9073</v>
      </c>
      <c r="C2749" t="str">
        <f>IFERROR(VLOOKUP(ILACLISTE[[#This Row],[NAME]],Table5[#All],2,0),"")</f>
        <v/>
      </c>
    </row>
    <row r="2750" spans="1:3" x14ac:dyDescent="0.3">
      <c r="A2750" s="5" t="s">
        <v>3407</v>
      </c>
      <c r="B2750" t="s">
        <v>9074</v>
      </c>
      <c r="C2750" t="str">
        <f>IFERROR(VLOOKUP(ILACLISTE[[#This Row],[NAME]],Table5[#All],2,0),"")</f>
        <v/>
      </c>
    </row>
    <row r="2751" spans="1:3" x14ac:dyDescent="0.3">
      <c r="A2751" s="5" t="s">
        <v>3408</v>
      </c>
      <c r="B2751" t="s">
        <v>9075</v>
      </c>
      <c r="C2751" t="str">
        <f>IFERROR(VLOOKUP(ILACLISTE[[#This Row],[NAME]],Table5[#All],2,0),"")</f>
        <v/>
      </c>
    </row>
    <row r="2752" spans="1:3" x14ac:dyDescent="0.3">
      <c r="A2752" s="5" t="s">
        <v>3409</v>
      </c>
      <c r="B2752" t="s">
        <v>9076</v>
      </c>
      <c r="C2752" t="str">
        <f>IFERROR(VLOOKUP(ILACLISTE[[#This Row],[NAME]],Table5[#All],2,0),"")</f>
        <v/>
      </c>
    </row>
    <row r="2753" spans="1:3" x14ac:dyDescent="0.3">
      <c r="A2753" s="5" t="s">
        <v>3410</v>
      </c>
      <c r="B2753" t="s">
        <v>9077</v>
      </c>
      <c r="C2753" t="str">
        <f>IFERROR(VLOOKUP(ILACLISTE[[#This Row],[NAME]],Table5[#All],2,0),"")</f>
        <v/>
      </c>
    </row>
    <row r="2754" spans="1:3" x14ac:dyDescent="0.3">
      <c r="A2754" s="5" t="s">
        <v>3411</v>
      </c>
      <c r="B2754" t="s">
        <v>9078</v>
      </c>
      <c r="C2754" t="str">
        <f>IFERROR(VLOOKUP(ILACLISTE[[#This Row],[NAME]],Table5[#All],2,0),"")</f>
        <v/>
      </c>
    </row>
    <row r="2755" spans="1:3" x14ac:dyDescent="0.3">
      <c r="A2755" s="5" t="s">
        <v>3412</v>
      </c>
      <c r="B2755" t="s">
        <v>9079</v>
      </c>
      <c r="C2755" t="str">
        <f>IFERROR(VLOOKUP(ILACLISTE[[#This Row],[NAME]],Table5[#All],2,0),"")</f>
        <v/>
      </c>
    </row>
    <row r="2756" spans="1:3" x14ac:dyDescent="0.3">
      <c r="A2756" s="5" t="s">
        <v>3413</v>
      </c>
      <c r="B2756" t="s">
        <v>9080</v>
      </c>
      <c r="C2756" t="str">
        <f>IFERROR(VLOOKUP(ILACLISTE[[#This Row],[NAME]],Table5[#All],2,0),"")</f>
        <v/>
      </c>
    </row>
    <row r="2757" spans="1:3" x14ac:dyDescent="0.3">
      <c r="A2757" s="5" t="s">
        <v>3414</v>
      </c>
      <c r="B2757" t="s">
        <v>9081</v>
      </c>
      <c r="C2757" t="str">
        <f>IFERROR(VLOOKUP(ILACLISTE[[#This Row],[NAME]],Table5[#All],2,0),"")</f>
        <v/>
      </c>
    </row>
    <row r="2758" spans="1:3" x14ac:dyDescent="0.3">
      <c r="A2758" s="5" t="s">
        <v>3415</v>
      </c>
      <c r="B2758" t="s">
        <v>9082</v>
      </c>
      <c r="C2758" t="str">
        <f>IFERROR(VLOOKUP(ILACLISTE[[#This Row],[NAME]],Table5[#All],2,0),"")</f>
        <v/>
      </c>
    </row>
    <row r="2759" spans="1:3" x14ac:dyDescent="0.3">
      <c r="A2759" s="5" t="s">
        <v>3416</v>
      </c>
      <c r="B2759" t="s">
        <v>9083</v>
      </c>
      <c r="C2759" t="str">
        <f>IFERROR(VLOOKUP(ILACLISTE[[#This Row],[NAME]],Table5[#All],2,0),"")</f>
        <v/>
      </c>
    </row>
    <row r="2760" spans="1:3" x14ac:dyDescent="0.3">
      <c r="A2760" s="5" t="s">
        <v>3417</v>
      </c>
      <c r="B2760" t="s">
        <v>9084</v>
      </c>
      <c r="C2760" t="str">
        <f>IFERROR(VLOOKUP(ILACLISTE[[#This Row],[NAME]],Table5[#All],2,0),"")</f>
        <v/>
      </c>
    </row>
    <row r="2761" spans="1:3" x14ac:dyDescent="0.3">
      <c r="A2761" s="5" t="s">
        <v>3418</v>
      </c>
      <c r="B2761" t="s">
        <v>9085</v>
      </c>
      <c r="C2761" t="str">
        <f>IFERROR(VLOOKUP(ILACLISTE[[#This Row],[NAME]],Table5[#All],2,0),"")</f>
        <v/>
      </c>
    </row>
    <row r="2762" spans="1:3" x14ac:dyDescent="0.3">
      <c r="A2762" s="5" t="s">
        <v>3419</v>
      </c>
      <c r="B2762" t="s">
        <v>9086</v>
      </c>
      <c r="C2762" t="str">
        <f>IFERROR(VLOOKUP(ILACLISTE[[#This Row],[NAME]],Table5[#All],2,0),"")</f>
        <v/>
      </c>
    </row>
    <row r="2763" spans="1:3" x14ac:dyDescent="0.3">
      <c r="A2763" s="5" t="s">
        <v>3420</v>
      </c>
      <c r="B2763" t="s">
        <v>9087</v>
      </c>
      <c r="C2763" t="str">
        <f>IFERROR(VLOOKUP(ILACLISTE[[#This Row],[NAME]],Table5[#All],2,0),"")</f>
        <v/>
      </c>
    </row>
    <row r="2764" spans="1:3" x14ac:dyDescent="0.3">
      <c r="A2764" s="5" t="s">
        <v>3421</v>
      </c>
      <c r="B2764" t="s">
        <v>9088</v>
      </c>
      <c r="C2764" t="str">
        <f>IFERROR(VLOOKUP(ILACLISTE[[#This Row],[NAME]],Table5[#All],2,0),"")</f>
        <v/>
      </c>
    </row>
    <row r="2765" spans="1:3" x14ac:dyDescent="0.3">
      <c r="A2765" s="5" t="s">
        <v>3422</v>
      </c>
      <c r="B2765" t="s">
        <v>9089</v>
      </c>
      <c r="C2765" t="str">
        <f>IFERROR(VLOOKUP(ILACLISTE[[#This Row],[NAME]],Table5[#All],2,0),"")</f>
        <v/>
      </c>
    </row>
    <row r="2766" spans="1:3" x14ac:dyDescent="0.3">
      <c r="A2766" s="5" t="s">
        <v>3423</v>
      </c>
      <c r="B2766" t="s">
        <v>9090</v>
      </c>
      <c r="C2766" t="str">
        <f>IFERROR(VLOOKUP(ILACLISTE[[#This Row],[NAME]],Table5[#All],2,0),"")</f>
        <v/>
      </c>
    </row>
    <row r="2767" spans="1:3" x14ac:dyDescent="0.3">
      <c r="A2767" s="5" t="s">
        <v>3424</v>
      </c>
      <c r="B2767" t="s">
        <v>9091</v>
      </c>
      <c r="C2767" t="str">
        <f>IFERROR(VLOOKUP(ILACLISTE[[#This Row],[NAME]],Table5[#All],2,0),"")</f>
        <v/>
      </c>
    </row>
    <row r="2768" spans="1:3" x14ac:dyDescent="0.3">
      <c r="A2768" s="5" t="s">
        <v>3425</v>
      </c>
      <c r="B2768" t="s">
        <v>9092</v>
      </c>
      <c r="C2768" t="str">
        <f>IFERROR(VLOOKUP(ILACLISTE[[#This Row],[NAME]],Table5[#All],2,0),"")</f>
        <v/>
      </c>
    </row>
    <row r="2769" spans="1:3" x14ac:dyDescent="0.3">
      <c r="A2769" s="5" t="s">
        <v>3426</v>
      </c>
      <c r="B2769" t="s">
        <v>9093</v>
      </c>
      <c r="C2769" t="str">
        <f>IFERROR(VLOOKUP(ILACLISTE[[#This Row],[NAME]],Table5[#All],2,0),"")</f>
        <v/>
      </c>
    </row>
    <row r="2770" spans="1:3" x14ac:dyDescent="0.3">
      <c r="A2770" s="5" t="s">
        <v>3427</v>
      </c>
      <c r="B2770" t="s">
        <v>9094</v>
      </c>
      <c r="C2770" t="str">
        <f>IFERROR(VLOOKUP(ILACLISTE[[#This Row],[NAME]],Table5[#All],2,0),"")</f>
        <v/>
      </c>
    </row>
    <row r="2771" spans="1:3" x14ac:dyDescent="0.3">
      <c r="A2771" s="5" t="s">
        <v>3428</v>
      </c>
      <c r="B2771" t="s">
        <v>9095</v>
      </c>
      <c r="C2771" t="str">
        <f>IFERROR(VLOOKUP(ILACLISTE[[#This Row],[NAME]],Table5[#All],2,0),"")</f>
        <v/>
      </c>
    </row>
    <row r="2772" spans="1:3" x14ac:dyDescent="0.3">
      <c r="A2772" s="5" t="s">
        <v>3429</v>
      </c>
      <c r="B2772" t="s">
        <v>9096</v>
      </c>
      <c r="C2772" t="str">
        <f>IFERROR(VLOOKUP(ILACLISTE[[#This Row],[NAME]],Table5[#All],2,0),"")</f>
        <v/>
      </c>
    </row>
    <row r="2773" spans="1:3" x14ac:dyDescent="0.3">
      <c r="A2773" s="5" t="s">
        <v>3430</v>
      </c>
      <c r="B2773" t="s">
        <v>9097</v>
      </c>
      <c r="C2773" t="str">
        <f>IFERROR(VLOOKUP(ILACLISTE[[#This Row],[NAME]],Table5[#All],2,0),"")</f>
        <v/>
      </c>
    </row>
    <row r="2774" spans="1:3" x14ac:dyDescent="0.3">
      <c r="A2774" s="5" t="s">
        <v>3431</v>
      </c>
      <c r="B2774" t="s">
        <v>9098</v>
      </c>
      <c r="C2774" t="str">
        <f>IFERROR(VLOOKUP(ILACLISTE[[#This Row],[NAME]],Table5[#All],2,0),"")</f>
        <v/>
      </c>
    </row>
    <row r="2775" spans="1:3" x14ac:dyDescent="0.3">
      <c r="A2775" s="5" t="s">
        <v>3432</v>
      </c>
      <c r="B2775" t="s">
        <v>9099</v>
      </c>
      <c r="C2775" t="str">
        <f>IFERROR(VLOOKUP(ILACLISTE[[#This Row],[NAME]],Table5[#All],2,0),"")</f>
        <v/>
      </c>
    </row>
    <row r="2776" spans="1:3" x14ac:dyDescent="0.3">
      <c r="A2776" s="5" t="s">
        <v>3433</v>
      </c>
      <c r="B2776" t="s">
        <v>9100</v>
      </c>
      <c r="C2776" t="str">
        <f>IFERROR(VLOOKUP(ILACLISTE[[#This Row],[NAME]],Table5[#All],2,0),"")</f>
        <v/>
      </c>
    </row>
    <row r="2777" spans="1:3" x14ac:dyDescent="0.3">
      <c r="A2777" s="5" t="s">
        <v>3434</v>
      </c>
      <c r="B2777" t="s">
        <v>9101</v>
      </c>
      <c r="C2777" t="str">
        <f>IFERROR(VLOOKUP(ILACLISTE[[#This Row],[NAME]],Table5[#All],2,0),"")</f>
        <v/>
      </c>
    </row>
    <row r="2778" spans="1:3" x14ac:dyDescent="0.3">
      <c r="A2778" s="5" t="s">
        <v>3435</v>
      </c>
      <c r="B2778" t="s">
        <v>9102</v>
      </c>
      <c r="C2778" t="str">
        <f>IFERROR(VLOOKUP(ILACLISTE[[#This Row],[NAME]],Table5[#All],2,0),"")</f>
        <v/>
      </c>
    </row>
    <row r="2779" spans="1:3" x14ac:dyDescent="0.3">
      <c r="A2779" s="5" t="s">
        <v>3436</v>
      </c>
      <c r="B2779" t="s">
        <v>9103</v>
      </c>
      <c r="C2779" t="str">
        <f>IFERROR(VLOOKUP(ILACLISTE[[#This Row],[NAME]],Table5[#All],2,0),"")</f>
        <v/>
      </c>
    </row>
    <row r="2780" spans="1:3" x14ac:dyDescent="0.3">
      <c r="A2780" s="5" t="s">
        <v>3437</v>
      </c>
      <c r="B2780" t="s">
        <v>9104</v>
      </c>
      <c r="C2780" t="str">
        <f>IFERROR(VLOOKUP(ILACLISTE[[#This Row],[NAME]],Table5[#All],2,0),"")</f>
        <v/>
      </c>
    </row>
    <row r="2781" spans="1:3" x14ac:dyDescent="0.3">
      <c r="A2781" s="5" t="s">
        <v>3438</v>
      </c>
      <c r="B2781" t="s">
        <v>9105</v>
      </c>
      <c r="C2781" t="str">
        <f>IFERROR(VLOOKUP(ILACLISTE[[#This Row],[NAME]],Table5[#All],2,0),"")</f>
        <v/>
      </c>
    </row>
    <row r="2782" spans="1:3" x14ac:dyDescent="0.3">
      <c r="A2782" s="5" t="s">
        <v>3439</v>
      </c>
      <c r="B2782" t="s">
        <v>9106</v>
      </c>
      <c r="C2782" t="str">
        <f>IFERROR(VLOOKUP(ILACLISTE[[#This Row],[NAME]],Table5[#All],2,0),"")</f>
        <v/>
      </c>
    </row>
    <row r="2783" spans="1:3" x14ac:dyDescent="0.3">
      <c r="A2783" s="5" t="s">
        <v>3440</v>
      </c>
      <c r="B2783" t="s">
        <v>351</v>
      </c>
      <c r="C2783" t="str">
        <f>IFERROR(VLOOKUP(ILACLISTE[[#This Row],[NAME]],Table5[#All],2,0),"")</f>
        <v/>
      </c>
    </row>
    <row r="2784" spans="1:3" x14ac:dyDescent="0.3">
      <c r="A2784" s="5" t="s">
        <v>3441</v>
      </c>
      <c r="B2784" t="s">
        <v>352</v>
      </c>
      <c r="C2784" t="str">
        <f>IFERROR(VLOOKUP(ILACLISTE[[#This Row],[NAME]],Table5[#All],2,0),"")</f>
        <v/>
      </c>
    </row>
    <row r="2785" spans="1:3" x14ac:dyDescent="0.3">
      <c r="A2785" s="5" t="s">
        <v>3442</v>
      </c>
      <c r="B2785" t="s">
        <v>9107</v>
      </c>
      <c r="C2785" t="str">
        <f>IFERROR(VLOOKUP(ILACLISTE[[#This Row],[NAME]],Table5[#All],2,0),"")</f>
        <v/>
      </c>
    </row>
    <row r="2786" spans="1:3" x14ac:dyDescent="0.3">
      <c r="A2786" s="5" t="s">
        <v>3443</v>
      </c>
      <c r="B2786" t="s">
        <v>353</v>
      </c>
      <c r="C2786" t="str">
        <f>IFERROR(VLOOKUP(ILACLISTE[[#This Row],[NAME]],Table5[#All],2,0),"")</f>
        <v/>
      </c>
    </row>
    <row r="2787" spans="1:3" x14ac:dyDescent="0.3">
      <c r="A2787" s="5" t="s">
        <v>3444</v>
      </c>
      <c r="B2787" t="s">
        <v>9108</v>
      </c>
      <c r="C2787" t="str">
        <f>IFERROR(VLOOKUP(ILACLISTE[[#This Row],[NAME]],Table5[#All],2,0),"")</f>
        <v/>
      </c>
    </row>
    <row r="2788" spans="1:3" x14ac:dyDescent="0.3">
      <c r="A2788" s="5" t="s">
        <v>3445</v>
      </c>
      <c r="B2788" t="s">
        <v>9109</v>
      </c>
      <c r="C2788" t="str">
        <f>IFERROR(VLOOKUP(ILACLISTE[[#This Row],[NAME]],Table5[#All],2,0),"")</f>
        <v/>
      </c>
    </row>
    <row r="2789" spans="1:3" x14ac:dyDescent="0.3">
      <c r="A2789" s="5" t="s">
        <v>3446</v>
      </c>
      <c r="B2789" t="s">
        <v>9110</v>
      </c>
      <c r="C2789" t="str">
        <f>IFERROR(VLOOKUP(ILACLISTE[[#This Row],[NAME]],Table5[#All],2,0),"")</f>
        <v/>
      </c>
    </row>
    <row r="2790" spans="1:3" x14ac:dyDescent="0.3">
      <c r="A2790" s="5" t="s">
        <v>3447</v>
      </c>
      <c r="B2790" t="s">
        <v>9111</v>
      </c>
      <c r="C2790" t="str">
        <f>IFERROR(VLOOKUP(ILACLISTE[[#This Row],[NAME]],Table5[#All],2,0),"")</f>
        <v/>
      </c>
    </row>
    <row r="2791" spans="1:3" x14ac:dyDescent="0.3">
      <c r="A2791" s="5" t="s">
        <v>3448</v>
      </c>
      <c r="B2791" t="s">
        <v>9112</v>
      </c>
      <c r="C2791" t="str">
        <f>IFERROR(VLOOKUP(ILACLISTE[[#This Row],[NAME]],Table5[#All],2,0),"")</f>
        <v/>
      </c>
    </row>
    <row r="2792" spans="1:3" x14ac:dyDescent="0.3">
      <c r="A2792" s="5" t="s">
        <v>3449</v>
      </c>
      <c r="B2792" t="s">
        <v>9113</v>
      </c>
      <c r="C2792" t="str">
        <f>IFERROR(VLOOKUP(ILACLISTE[[#This Row],[NAME]],Table5[#All],2,0),"")</f>
        <v/>
      </c>
    </row>
    <row r="2793" spans="1:3" x14ac:dyDescent="0.3">
      <c r="A2793" s="5" t="s">
        <v>3450</v>
      </c>
      <c r="B2793" t="s">
        <v>9114</v>
      </c>
      <c r="C2793" t="str">
        <f>IFERROR(VLOOKUP(ILACLISTE[[#This Row],[NAME]],Table5[#All],2,0),"")</f>
        <v/>
      </c>
    </row>
    <row r="2794" spans="1:3" x14ac:dyDescent="0.3">
      <c r="A2794" s="5" t="s">
        <v>3451</v>
      </c>
      <c r="B2794" t="s">
        <v>9115</v>
      </c>
      <c r="C2794" t="str">
        <f>IFERROR(VLOOKUP(ILACLISTE[[#This Row],[NAME]],Table5[#All],2,0),"")</f>
        <v/>
      </c>
    </row>
    <row r="2795" spans="1:3" x14ac:dyDescent="0.3">
      <c r="A2795" s="5" t="s">
        <v>3452</v>
      </c>
      <c r="B2795" t="s">
        <v>9116</v>
      </c>
      <c r="C2795" t="str">
        <f>IFERROR(VLOOKUP(ILACLISTE[[#This Row],[NAME]],Table5[#All],2,0),"")</f>
        <v/>
      </c>
    </row>
    <row r="2796" spans="1:3" x14ac:dyDescent="0.3">
      <c r="A2796" s="5" t="s">
        <v>3453</v>
      </c>
      <c r="B2796" t="s">
        <v>9117</v>
      </c>
      <c r="C2796" t="str">
        <f>IFERROR(VLOOKUP(ILACLISTE[[#This Row],[NAME]],Table5[#All],2,0),"")</f>
        <v/>
      </c>
    </row>
    <row r="2797" spans="1:3" x14ac:dyDescent="0.3">
      <c r="A2797" s="5" t="s">
        <v>3454</v>
      </c>
      <c r="B2797" t="s">
        <v>9118</v>
      </c>
      <c r="C2797" t="str">
        <f>IFERROR(VLOOKUP(ILACLISTE[[#This Row],[NAME]],Table5[#All],2,0),"")</f>
        <v/>
      </c>
    </row>
    <row r="2798" spans="1:3" x14ac:dyDescent="0.3">
      <c r="A2798" s="5" t="s">
        <v>3455</v>
      </c>
      <c r="B2798" t="s">
        <v>9119</v>
      </c>
      <c r="C2798" t="str">
        <f>IFERROR(VLOOKUP(ILACLISTE[[#This Row],[NAME]],Table5[#All],2,0),"")</f>
        <v/>
      </c>
    </row>
    <row r="2799" spans="1:3" x14ac:dyDescent="0.3">
      <c r="A2799" s="5" t="s">
        <v>3456</v>
      </c>
      <c r="B2799" t="s">
        <v>9120</v>
      </c>
      <c r="C2799" t="str">
        <f>IFERROR(VLOOKUP(ILACLISTE[[#This Row],[NAME]],Table5[#All],2,0),"")</f>
        <v/>
      </c>
    </row>
    <row r="2800" spans="1:3" x14ac:dyDescent="0.3">
      <c r="A2800" s="5" t="s">
        <v>3457</v>
      </c>
      <c r="B2800" t="s">
        <v>9121</v>
      </c>
      <c r="C2800" t="str">
        <f>IFERROR(VLOOKUP(ILACLISTE[[#This Row],[NAME]],Table5[#All],2,0),"")</f>
        <v/>
      </c>
    </row>
    <row r="2801" spans="1:3" x14ac:dyDescent="0.3">
      <c r="A2801" s="5" t="s">
        <v>3458</v>
      </c>
      <c r="B2801" t="s">
        <v>9122</v>
      </c>
      <c r="C2801" t="str">
        <f>IFERROR(VLOOKUP(ILACLISTE[[#This Row],[NAME]],Table5[#All],2,0),"")</f>
        <v/>
      </c>
    </row>
    <row r="2802" spans="1:3" x14ac:dyDescent="0.3">
      <c r="A2802" s="5" t="s">
        <v>3459</v>
      </c>
      <c r="B2802" t="s">
        <v>9123</v>
      </c>
      <c r="C2802" t="str">
        <f>IFERROR(VLOOKUP(ILACLISTE[[#This Row],[NAME]],Table5[#All],2,0),"")</f>
        <v/>
      </c>
    </row>
    <row r="2803" spans="1:3" x14ac:dyDescent="0.3">
      <c r="A2803" s="5" t="s">
        <v>3460</v>
      </c>
      <c r="B2803" t="s">
        <v>9124</v>
      </c>
      <c r="C2803" t="str">
        <f>IFERROR(VLOOKUP(ILACLISTE[[#This Row],[NAME]],Table5[#All],2,0),"")</f>
        <v/>
      </c>
    </row>
    <row r="2804" spans="1:3" x14ac:dyDescent="0.3">
      <c r="A2804" s="5" t="s">
        <v>3461</v>
      </c>
      <c r="B2804" t="s">
        <v>9125</v>
      </c>
      <c r="C2804" t="str">
        <f>IFERROR(VLOOKUP(ILACLISTE[[#This Row],[NAME]],Table5[#All],2,0),"")</f>
        <v/>
      </c>
    </row>
    <row r="2805" spans="1:3" x14ac:dyDescent="0.3">
      <c r="A2805" s="5" t="s">
        <v>3462</v>
      </c>
      <c r="B2805" t="s">
        <v>9126</v>
      </c>
      <c r="C2805" t="str">
        <f>IFERROR(VLOOKUP(ILACLISTE[[#This Row],[NAME]],Table5[#All],2,0),"")</f>
        <v/>
      </c>
    </row>
    <row r="2806" spans="1:3" x14ac:dyDescent="0.3">
      <c r="A2806" s="5" t="s">
        <v>3463</v>
      </c>
      <c r="B2806" t="s">
        <v>9127</v>
      </c>
      <c r="C2806" t="str">
        <f>IFERROR(VLOOKUP(ILACLISTE[[#This Row],[NAME]],Table5[#All],2,0),"")</f>
        <v/>
      </c>
    </row>
    <row r="2807" spans="1:3" x14ac:dyDescent="0.3">
      <c r="A2807" s="5" t="s">
        <v>3464</v>
      </c>
      <c r="B2807" t="s">
        <v>9128</v>
      </c>
      <c r="C2807" t="str">
        <f>IFERROR(VLOOKUP(ILACLISTE[[#This Row],[NAME]],Table5[#All],2,0),"")</f>
        <v/>
      </c>
    </row>
    <row r="2808" spans="1:3" x14ac:dyDescent="0.3">
      <c r="A2808" s="5" t="s">
        <v>3465</v>
      </c>
      <c r="B2808" t="s">
        <v>9129</v>
      </c>
      <c r="C2808" t="str">
        <f>IFERROR(VLOOKUP(ILACLISTE[[#This Row],[NAME]],Table5[#All],2,0),"")</f>
        <v/>
      </c>
    </row>
    <row r="2809" spans="1:3" x14ac:dyDescent="0.3">
      <c r="A2809" s="5" t="s">
        <v>3466</v>
      </c>
      <c r="B2809" t="s">
        <v>9130</v>
      </c>
      <c r="C2809" t="str">
        <f>IFERROR(VLOOKUP(ILACLISTE[[#This Row],[NAME]],Table5[#All],2,0),"")</f>
        <v/>
      </c>
    </row>
    <row r="2810" spans="1:3" x14ac:dyDescent="0.3">
      <c r="A2810" s="5" t="s">
        <v>3467</v>
      </c>
      <c r="B2810" t="s">
        <v>9131</v>
      </c>
      <c r="C2810" t="str">
        <f>IFERROR(VLOOKUP(ILACLISTE[[#This Row],[NAME]],Table5[#All],2,0),"")</f>
        <v/>
      </c>
    </row>
    <row r="2811" spans="1:3" x14ac:dyDescent="0.3">
      <c r="A2811" s="5" t="s">
        <v>3468</v>
      </c>
      <c r="B2811" t="s">
        <v>9132</v>
      </c>
      <c r="C2811" t="str">
        <f>IFERROR(VLOOKUP(ILACLISTE[[#This Row],[NAME]],Table5[#All],2,0),"")</f>
        <v/>
      </c>
    </row>
    <row r="2812" spans="1:3" x14ac:dyDescent="0.3">
      <c r="A2812" s="5" t="s">
        <v>3469</v>
      </c>
      <c r="B2812" t="s">
        <v>9133</v>
      </c>
      <c r="C2812" t="str">
        <f>IFERROR(VLOOKUP(ILACLISTE[[#This Row],[NAME]],Table5[#All],2,0),"")</f>
        <v/>
      </c>
    </row>
    <row r="2813" spans="1:3" x14ac:dyDescent="0.3">
      <c r="A2813" s="5" t="s">
        <v>3470</v>
      </c>
      <c r="B2813" t="s">
        <v>9134</v>
      </c>
      <c r="C2813" t="str">
        <f>IFERROR(VLOOKUP(ILACLISTE[[#This Row],[NAME]],Table5[#All],2,0),"")</f>
        <v/>
      </c>
    </row>
    <row r="2814" spans="1:3" x14ac:dyDescent="0.3">
      <c r="A2814" s="5" t="s">
        <v>3471</v>
      </c>
      <c r="B2814" t="s">
        <v>9135</v>
      </c>
      <c r="C2814" t="str">
        <f>IFERROR(VLOOKUP(ILACLISTE[[#This Row],[NAME]],Table5[#All],2,0),"")</f>
        <v/>
      </c>
    </row>
    <row r="2815" spans="1:3" x14ac:dyDescent="0.3">
      <c r="A2815" s="5" t="s">
        <v>3472</v>
      </c>
      <c r="B2815" t="s">
        <v>9136</v>
      </c>
      <c r="C2815" t="str">
        <f>IFERROR(VLOOKUP(ILACLISTE[[#This Row],[NAME]],Table5[#All],2,0),"")</f>
        <v/>
      </c>
    </row>
    <row r="2816" spans="1:3" x14ac:dyDescent="0.3">
      <c r="A2816" s="5" t="s">
        <v>3473</v>
      </c>
      <c r="B2816" t="s">
        <v>9137</v>
      </c>
      <c r="C2816" t="str">
        <f>IFERROR(VLOOKUP(ILACLISTE[[#This Row],[NAME]],Table5[#All],2,0),"")</f>
        <v/>
      </c>
    </row>
    <row r="2817" spans="1:3" x14ac:dyDescent="0.3">
      <c r="A2817" s="5" t="s">
        <v>3474</v>
      </c>
      <c r="B2817" t="s">
        <v>354</v>
      </c>
      <c r="C2817" t="str">
        <f>IFERROR(VLOOKUP(ILACLISTE[[#This Row],[NAME]],Table5[#All],2,0),"")</f>
        <v/>
      </c>
    </row>
    <row r="2818" spans="1:3" x14ac:dyDescent="0.3">
      <c r="A2818" s="5" t="s">
        <v>3475</v>
      </c>
      <c r="B2818" t="s">
        <v>9138</v>
      </c>
      <c r="C2818" t="str">
        <f>IFERROR(VLOOKUP(ILACLISTE[[#This Row],[NAME]],Table5[#All],2,0),"")</f>
        <v/>
      </c>
    </row>
    <row r="2819" spans="1:3" x14ac:dyDescent="0.3">
      <c r="A2819" s="5" t="s">
        <v>3476</v>
      </c>
      <c r="B2819" t="s">
        <v>355</v>
      </c>
      <c r="C2819" t="str">
        <f>IFERROR(VLOOKUP(ILACLISTE[[#This Row],[NAME]],Table5[#All],2,0),"")</f>
        <v/>
      </c>
    </row>
    <row r="2820" spans="1:3" x14ac:dyDescent="0.3">
      <c r="A2820" s="5" t="s">
        <v>3477</v>
      </c>
      <c r="B2820" t="s">
        <v>9139</v>
      </c>
      <c r="C2820" t="str">
        <f>IFERROR(VLOOKUP(ILACLISTE[[#This Row],[NAME]],Table5[#All],2,0),"")</f>
        <v/>
      </c>
    </row>
    <row r="2821" spans="1:3" x14ac:dyDescent="0.3">
      <c r="A2821" s="5" t="s">
        <v>3478</v>
      </c>
      <c r="B2821" t="s">
        <v>9140</v>
      </c>
      <c r="C2821" t="str">
        <f>IFERROR(VLOOKUP(ILACLISTE[[#This Row],[NAME]],Table5[#All],2,0),"")</f>
        <v/>
      </c>
    </row>
    <row r="2822" spans="1:3" x14ac:dyDescent="0.3">
      <c r="A2822" s="5" t="s">
        <v>3479</v>
      </c>
      <c r="B2822" t="s">
        <v>9141</v>
      </c>
      <c r="C2822" t="str">
        <f>IFERROR(VLOOKUP(ILACLISTE[[#This Row],[NAME]],Table5[#All],2,0),"")</f>
        <v/>
      </c>
    </row>
    <row r="2823" spans="1:3" x14ac:dyDescent="0.3">
      <c r="A2823" s="5" t="s">
        <v>3480</v>
      </c>
      <c r="B2823" t="s">
        <v>9142</v>
      </c>
      <c r="C2823" t="str">
        <f>IFERROR(VLOOKUP(ILACLISTE[[#This Row],[NAME]],Table5[#All],2,0),"")</f>
        <v/>
      </c>
    </row>
    <row r="2824" spans="1:3" x14ac:dyDescent="0.3">
      <c r="A2824" s="5" t="s">
        <v>3481</v>
      </c>
      <c r="B2824" t="s">
        <v>356</v>
      </c>
      <c r="C2824" t="str">
        <f>IFERROR(VLOOKUP(ILACLISTE[[#This Row],[NAME]],Table5[#All],2,0),"")</f>
        <v/>
      </c>
    </row>
    <row r="2825" spans="1:3" x14ac:dyDescent="0.3">
      <c r="A2825" s="5" t="s">
        <v>3482</v>
      </c>
      <c r="B2825" t="s">
        <v>9143</v>
      </c>
      <c r="C2825" t="str">
        <f>IFERROR(VLOOKUP(ILACLISTE[[#This Row],[NAME]],Table5[#All],2,0),"")</f>
        <v/>
      </c>
    </row>
    <row r="2826" spans="1:3" x14ac:dyDescent="0.3">
      <c r="A2826" s="5" t="s">
        <v>3483</v>
      </c>
      <c r="B2826" t="s">
        <v>9144</v>
      </c>
      <c r="C2826" t="str">
        <f>IFERROR(VLOOKUP(ILACLISTE[[#This Row],[NAME]],Table5[#All],2,0),"")</f>
        <v/>
      </c>
    </row>
    <row r="2827" spans="1:3" x14ac:dyDescent="0.3">
      <c r="A2827" s="5" t="s">
        <v>3484</v>
      </c>
      <c r="B2827" t="s">
        <v>9145</v>
      </c>
      <c r="C2827" t="str">
        <f>IFERROR(VLOOKUP(ILACLISTE[[#This Row],[NAME]],Table5[#All],2,0),"")</f>
        <v/>
      </c>
    </row>
    <row r="2828" spans="1:3" x14ac:dyDescent="0.3">
      <c r="A2828" s="5" t="s">
        <v>3485</v>
      </c>
      <c r="B2828" t="s">
        <v>357</v>
      </c>
      <c r="C2828" t="str">
        <f>IFERROR(VLOOKUP(ILACLISTE[[#This Row],[NAME]],Table5[#All],2,0),"")</f>
        <v/>
      </c>
    </row>
    <row r="2829" spans="1:3" x14ac:dyDescent="0.3">
      <c r="A2829" s="5" t="s">
        <v>3486</v>
      </c>
      <c r="B2829" t="s">
        <v>358</v>
      </c>
      <c r="C2829" t="str">
        <f>IFERROR(VLOOKUP(ILACLISTE[[#This Row],[NAME]],Table5[#All],2,0),"")</f>
        <v/>
      </c>
    </row>
    <row r="2830" spans="1:3" x14ac:dyDescent="0.3">
      <c r="A2830" s="5" t="s">
        <v>3487</v>
      </c>
      <c r="B2830" t="s">
        <v>359</v>
      </c>
      <c r="C2830" t="str">
        <f>IFERROR(VLOOKUP(ILACLISTE[[#This Row],[NAME]],Table5[#All],2,0),"")</f>
        <v/>
      </c>
    </row>
    <row r="2831" spans="1:3" x14ac:dyDescent="0.3">
      <c r="A2831" s="5" t="s">
        <v>3488</v>
      </c>
      <c r="B2831" t="s">
        <v>9146</v>
      </c>
      <c r="C2831" t="str">
        <f>IFERROR(VLOOKUP(ILACLISTE[[#This Row],[NAME]],Table5[#All],2,0),"")</f>
        <v/>
      </c>
    </row>
    <row r="2832" spans="1:3" x14ac:dyDescent="0.3">
      <c r="A2832" s="5" t="s">
        <v>3489</v>
      </c>
      <c r="B2832" t="s">
        <v>9147</v>
      </c>
      <c r="C2832" t="str">
        <f>IFERROR(VLOOKUP(ILACLISTE[[#This Row],[NAME]],Table5[#All],2,0),"")</f>
        <v/>
      </c>
    </row>
    <row r="2833" spans="1:3" x14ac:dyDescent="0.3">
      <c r="A2833" s="5" t="s">
        <v>3490</v>
      </c>
      <c r="B2833" t="s">
        <v>9148</v>
      </c>
      <c r="C2833" t="str">
        <f>IFERROR(VLOOKUP(ILACLISTE[[#This Row],[NAME]],Table5[#All],2,0),"")</f>
        <v/>
      </c>
    </row>
    <row r="2834" spans="1:3" x14ac:dyDescent="0.3">
      <c r="A2834" s="5" t="s">
        <v>3491</v>
      </c>
      <c r="B2834" t="s">
        <v>360</v>
      </c>
      <c r="C2834" t="str">
        <f>IFERROR(VLOOKUP(ILACLISTE[[#This Row],[NAME]],Table5[#All],2,0),"")</f>
        <v/>
      </c>
    </row>
    <row r="2835" spans="1:3" x14ac:dyDescent="0.3">
      <c r="A2835" s="5" t="s">
        <v>3492</v>
      </c>
      <c r="B2835" t="s">
        <v>9149</v>
      </c>
      <c r="C2835" t="str">
        <f>IFERROR(VLOOKUP(ILACLISTE[[#This Row],[NAME]],Table5[#All],2,0),"")</f>
        <v/>
      </c>
    </row>
    <row r="2836" spans="1:3" x14ac:dyDescent="0.3">
      <c r="A2836" s="5" t="s">
        <v>3493</v>
      </c>
      <c r="B2836" t="s">
        <v>9150</v>
      </c>
      <c r="C2836" t="str">
        <f>IFERROR(VLOOKUP(ILACLISTE[[#This Row],[NAME]],Table5[#All],2,0),"")</f>
        <v/>
      </c>
    </row>
    <row r="2837" spans="1:3" x14ac:dyDescent="0.3">
      <c r="A2837" s="5" t="s">
        <v>3494</v>
      </c>
      <c r="B2837" t="s">
        <v>9151</v>
      </c>
      <c r="C2837" t="str">
        <f>IFERROR(VLOOKUP(ILACLISTE[[#This Row],[NAME]],Table5[#All],2,0),"")</f>
        <v/>
      </c>
    </row>
    <row r="2838" spans="1:3" x14ac:dyDescent="0.3">
      <c r="A2838" s="5" t="s">
        <v>3495</v>
      </c>
      <c r="B2838" t="s">
        <v>9152</v>
      </c>
      <c r="C2838" t="str">
        <f>IFERROR(VLOOKUP(ILACLISTE[[#This Row],[NAME]],Table5[#All],2,0),"")</f>
        <v/>
      </c>
    </row>
    <row r="2839" spans="1:3" x14ac:dyDescent="0.3">
      <c r="A2839" s="5" t="s">
        <v>3496</v>
      </c>
      <c r="B2839" t="s">
        <v>9153</v>
      </c>
      <c r="C2839" t="str">
        <f>IFERROR(VLOOKUP(ILACLISTE[[#This Row],[NAME]],Table5[#All],2,0),"")</f>
        <v/>
      </c>
    </row>
    <row r="2840" spans="1:3" x14ac:dyDescent="0.3">
      <c r="A2840" s="5" t="s">
        <v>3497</v>
      </c>
      <c r="B2840" t="s">
        <v>9154</v>
      </c>
      <c r="C2840" t="str">
        <f>IFERROR(VLOOKUP(ILACLISTE[[#This Row],[NAME]],Table5[#All],2,0),"")</f>
        <v/>
      </c>
    </row>
    <row r="2841" spans="1:3" x14ac:dyDescent="0.3">
      <c r="A2841" s="5" t="s">
        <v>3498</v>
      </c>
      <c r="B2841" t="s">
        <v>9155</v>
      </c>
      <c r="C2841" t="str">
        <f>IFERROR(VLOOKUP(ILACLISTE[[#This Row],[NAME]],Table5[#All],2,0),"")</f>
        <v/>
      </c>
    </row>
    <row r="2842" spans="1:3" x14ac:dyDescent="0.3">
      <c r="A2842" s="5" t="s">
        <v>3500</v>
      </c>
      <c r="B2842" t="s">
        <v>9156</v>
      </c>
      <c r="C2842" t="str">
        <f>IFERROR(VLOOKUP(ILACLISTE[[#This Row],[NAME]],Table5[#All],2,0),"")</f>
        <v/>
      </c>
    </row>
    <row r="2843" spans="1:3" x14ac:dyDescent="0.3">
      <c r="A2843" s="5" t="s">
        <v>3501</v>
      </c>
      <c r="B2843" t="s">
        <v>9157</v>
      </c>
      <c r="C2843" t="str">
        <f>IFERROR(VLOOKUP(ILACLISTE[[#This Row],[NAME]],Table5[#All],2,0),"")</f>
        <v/>
      </c>
    </row>
    <row r="2844" spans="1:3" x14ac:dyDescent="0.3">
      <c r="A2844" s="5" t="s">
        <v>3502</v>
      </c>
      <c r="B2844" t="s">
        <v>9158</v>
      </c>
      <c r="C2844" t="str">
        <f>IFERROR(VLOOKUP(ILACLISTE[[#This Row],[NAME]],Table5[#All],2,0),"")</f>
        <v/>
      </c>
    </row>
    <row r="2845" spans="1:3" x14ac:dyDescent="0.3">
      <c r="A2845" s="5" t="s">
        <v>3499</v>
      </c>
      <c r="B2845" t="s">
        <v>9159</v>
      </c>
      <c r="C2845" t="str">
        <f>IFERROR(VLOOKUP(ILACLISTE[[#This Row],[NAME]],Table5[#All],2,0),"")</f>
        <v/>
      </c>
    </row>
    <row r="2846" spans="1:3" x14ac:dyDescent="0.3">
      <c r="A2846" s="5" t="s">
        <v>3503</v>
      </c>
      <c r="B2846" t="s">
        <v>9160</v>
      </c>
      <c r="C2846" t="str">
        <f>IFERROR(VLOOKUP(ILACLISTE[[#This Row],[NAME]],Table5[#All],2,0),"")</f>
        <v/>
      </c>
    </row>
    <row r="2847" spans="1:3" x14ac:dyDescent="0.3">
      <c r="A2847" s="5" t="s">
        <v>3504</v>
      </c>
      <c r="B2847" t="s">
        <v>9161</v>
      </c>
      <c r="C2847" t="str">
        <f>IFERROR(VLOOKUP(ILACLISTE[[#This Row],[NAME]],Table5[#All],2,0),"")</f>
        <v/>
      </c>
    </row>
    <row r="2848" spans="1:3" x14ac:dyDescent="0.3">
      <c r="A2848" s="5" t="s">
        <v>3505</v>
      </c>
      <c r="B2848" t="s">
        <v>9162</v>
      </c>
      <c r="C2848" t="str">
        <f>IFERROR(VLOOKUP(ILACLISTE[[#This Row],[NAME]],Table5[#All],2,0),"")</f>
        <v/>
      </c>
    </row>
    <row r="2849" spans="1:3" x14ac:dyDescent="0.3">
      <c r="A2849" s="5" t="s">
        <v>3506</v>
      </c>
      <c r="B2849" t="s">
        <v>9163</v>
      </c>
      <c r="C2849" t="str">
        <f>IFERROR(VLOOKUP(ILACLISTE[[#This Row],[NAME]],Table5[#All],2,0),"")</f>
        <v/>
      </c>
    </row>
    <row r="2850" spans="1:3" x14ac:dyDescent="0.3">
      <c r="A2850" s="5" t="s">
        <v>3507</v>
      </c>
      <c r="B2850" t="s">
        <v>9164</v>
      </c>
      <c r="C2850" t="str">
        <f>IFERROR(VLOOKUP(ILACLISTE[[#This Row],[NAME]],Table5[#All],2,0),"")</f>
        <v/>
      </c>
    </row>
    <row r="2851" spans="1:3" x14ac:dyDescent="0.3">
      <c r="A2851" s="5" t="s">
        <v>3508</v>
      </c>
      <c r="B2851" t="s">
        <v>9165</v>
      </c>
      <c r="C2851" t="str">
        <f>IFERROR(VLOOKUP(ILACLISTE[[#This Row],[NAME]],Table5[#All],2,0),"")</f>
        <v/>
      </c>
    </row>
    <row r="2852" spans="1:3" x14ac:dyDescent="0.3">
      <c r="A2852" s="5" t="s">
        <v>3509</v>
      </c>
      <c r="B2852" t="s">
        <v>9166</v>
      </c>
      <c r="C2852" t="str">
        <f>IFERROR(VLOOKUP(ILACLISTE[[#This Row],[NAME]],Table5[#All],2,0),"")</f>
        <v/>
      </c>
    </row>
    <row r="2853" spans="1:3" x14ac:dyDescent="0.3">
      <c r="A2853" s="5" t="s">
        <v>3510</v>
      </c>
      <c r="B2853" t="s">
        <v>9167</v>
      </c>
      <c r="C2853" t="str">
        <f>IFERROR(VLOOKUP(ILACLISTE[[#This Row],[NAME]],Table5[#All],2,0),"")</f>
        <v/>
      </c>
    </row>
    <row r="2854" spans="1:3" x14ac:dyDescent="0.3">
      <c r="A2854" s="5" t="s">
        <v>3511</v>
      </c>
      <c r="B2854" t="s">
        <v>9168</v>
      </c>
      <c r="C2854" t="str">
        <f>IFERROR(VLOOKUP(ILACLISTE[[#This Row],[NAME]],Table5[#All],2,0),"")</f>
        <v/>
      </c>
    </row>
    <row r="2855" spans="1:3" x14ac:dyDescent="0.3">
      <c r="A2855" s="5" t="s">
        <v>3512</v>
      </c>
      <c r="B2855" t="s">
        <v>9169</v>
      </c>
      <c r="C2855" t="str">
        <f>IFERROR(VLOOKUP(ILACLISTE[[#This Row],[NAME]],Table5[#All],2,0),"")</f>
        <v/>
      </c>
    </row>
    <row r="2856" spans="1:3" x14ac:dyDescent="0.3">
      <c r="A2856" s="5" t="s">
        <v>3513</v>
      </c>
      <c r="B2856" t="s">
        <v>9170</v>
      </c>
      <c r="C2856" t="str">
        <f>IFERROR(VLOOKUP(ILACLISTE[[#This Row],[NAME]],Table5[#All],2,0),"")</f>
        <v/>
      </c>
    </row>
    <row r="2857" spans="1:3" x14ac:dyDescent="0.3">
      <c r="A2857" s="5" t="s">
        <v>3514</v>
      </c>
      <c r="B2857" t="s">
        <v>9171</v>
      </c>
      <c r="C2857" t="str">
        <f>IFERROR(VLOOKUP(ILACLISTE[[#This Row],[NAME]],Table5[#All],2,0),"")</f>
        <v/>
      </c>
    </row>
    <row r="2858" spans="1:3" x14ac:dyDescent="0.3">
      <c r="A2858" s="5" t="s">
        <v>3515</v>
      </c>
      <c r="B2858" t="s">
        <v>9172</v>
      </c>
      <c r="C2858" t="str">
        <f>IFERROR(VLOOKUP(ILACLISTE[[#This Row],[NAME]],Table5[#All],2,0),"")</f>
        <v/>
      </c>
    </row>
    <row r="2859" spans="1:3" x14ac:dyDescent="0.3">
      <c r="A2859" s="5" t="s">
        <v>3516</v>
      </c>
      <c r="B2859" t="s">
        <v>9173</v>
      </c>
      <c r="C2859" t="str">
        <f>IFERROR(VLOOKUP(ILACLISTE[[#This Row],[NAME]],Table5[#All],2,0),"")</f>
        <v/>
      </c>
    </row>
    <row r="2860" spans="1:3" x14ac:dyDescent="0.3">
      <c r="A2860" s="5" t="s">
        <v>3517</v>
      </c>
      <c r="B2860" t="s">
        <v>9174</v>
      </c>
      <c r="C2860" t="str">
        <f>IFERROR(VLOOKUP(ILACLISTE[[#This Row],[NAME]],Table5[#All],2,0),"")</f>
        <v/>
      </c>
    </row>
    <row r="2861" spans="1:3" x14ac:dyDescent="0.3">
      <c r="A2861" s="5" t="s">
        <v>3518</v>
      </c>
      <c r="B2861" t="s">
        <v>9175</v>
      </c>
      <c r="C2861" t="str">
        <f>IFERROR(VLOOKUP(ILACLISTE[[#This Row],[NAME]],Table5[#All],2,0),"")</f>
        <v/>
      </c>
    </row>
    <row r="2862" spans="1:3" x14ac:dyDescent="0.3">
      <c r="A2862" s="5" t="s">
        <v>3519</v>
      </c>
      <c r="B2862" t="s">
        <v>9176</v>
      </c>
      <c r="C2862" t="str">
        <f>IFERROR(VLOOKUP(ILACLISTE[[#This Row],[NAME]],Table5[#All],2,0),"")</f>
        <v/>
      </c>
    </row>
    <row r="2863" spans="1:3" x14ac:dyDescent="0.3">
      <c r="A2863" s="5" t="s">
        <v>3520</v>
      </c>
      <c r="B2863" t="s">
        <v>9177</v>
      </c>
      <c r="C2863" t="str">
        <f>IFERROR(VLOOKUP(ILACLISTE[[#This Row],[NAME]],Table5[#All],2,0),"")</f>
        <v/>
      </c>
    </row>
    <row r="2864" spans="1:3" x14ac:dyDescent="0.3">
      <c r="A2864" s="5" t="s">
        <v>3521</v>
      </c>
      <c r="B2864" t="s">
        <v>9178</v>
      </c>
      <c r="C2864" t="str">
        <f>IFERROR(VLOOKUP(ILACLISTE[[#This Row],[NAME]],Table5[#All],2,0),"")</f>
        <v/>
      </c>
    </row>
    <row r="2865" spans="1:3" x14ac:dyDescent="0.3">
      <c r="A2865" s="5" t="s">
        <v>3522</v>
      </c>
      <c r="B2865" t="s">
        <v>9179</v>
      </c>
      <c r="C2865" t="str">
        <f>IFERROR(VLOOKUP(ILACLISTE[[#This Row],[NAME]],Table5[#All],2,0),"")</f>
        <v/>
      </c>
    </row>
    <row r="2866" spans="1:3" x14ac:dyDescent="0.3">
      <c r="A2866" s="5" t="s">
        <v>3523</v>
      </c>
      <c r="B2866" t="s">
        <v>361</v>
      </c>
      <c r="C2866" t="str">
        <f>IFERROR(VLOOKUP(ILACLISTE[[#This Row],[NAME]],Table5[#All],2,0),"")</f>
        <v/>
      </c>
    </row>
    <row r="2867" spans="1:3" x14ac:dyDescent="0.3">
      <c r="A2867" s="5" t="s">
        <v>3524</v>
      </c>
      <c r="B2867" t="s">
        <v>9180</v>
      </c>
      <c r="C2867" t="str">
        <f>IFERROR(VLOOKUP(ILACLISTE[[#This Row],[NAME]],Table5[#All],2,0),"")</f>
        <v/>
      </c>
    </row>
    <row r="2868" spans="1:3" x14ac:dyDescent="0.3">
      <c r="A2868" s="5" t="s">
        <v>3525</v>
      </c>
      <c r="B2868" t="s">
        <v>9181</v>
      </c>
      <c r="C2868" t="str">
        <f>IFERROR(VLOOKUP(ILACLISTE[[#This Row],[NAME]],Table5[#All],2,0),"")</f>
        <v/>
      </c>
    </row>
    <row r="2869" spans="1:3" x14ac:dyDescent="0.3">
      <c r="A2869" s="5" t="s">
        <v>3526</v>
      </c>
      <c r="B2869" t="s">
        <v>9182</v>
      </c>
      <c r="C2869" t="str">
        <f>IFERROR(VLOOKUP(ILACLISTE[[#This Row],[NAME]],Table5[#All],2,0),"")</f>
        <v/>
      </c>
    </row>
    <row r="2870" spans="1:3" x14ac:dyDescent="0.3">
      <c r="A2870" s="5" t="s">
        <v>3527</v>
      </c>
      <c r="B2870" t="s">
        <v>9183</v>
      </c>
      <c r="C2870" t="str">
        <f>IFERROR(VLOOKUP(ILACLISTE[[#This Row],[NAME]],Table5[#All],2,0),"")</f>
        <v/>
      </c>
    </row>
    <row r="2871" spans="1:3" x14ac:dyDescent="0.3">
      <c r="A2871" s="5" t="s">
        <v>3528</v>
      </c>
      <c r="B2871" t="s">
        <v>9184</v>
      </c>
      <c r="C2871" t="str">
        <f>IFERROR(VLOOKUP(ILACLISTE[[#This Row],[NAME]],Table5[#All],2,0),"")</f>
        <v/>
      </c>
    </row>
    <row r="2872" spans="1:3" x14ac:dyDescent="0.3">
      <c r="A2872" s="5" t="s">
        <v>3529</v>
      </c>
      <c r="B2872" t="s">
        <v>9185</v>
      </c>
      <c r="C2872" t="str">
        <f>IFERROR(VLOOKUP(ILACLISTE[[#This Row],[NAME]],Table5[#All],2,0),"")</f>
        <v/>
      </c>
    </row>
    <row r="2873" spans="1:3" x14ac:dyDescent="0.3">
      <c r="A2873" s="5" t="s">
        <v>3530</v>
      </c>
      <c r="B2873" t="s">
        <v>9186</v>
      </c>
      <c r="C2873" t="str">
        <f>IFERROR(VLOOKUP(ILACLISTE[[#This Row],[NAME]],Table5[#All],2,0),"")</f>
        <v/>
      </c>
    </row>
    <row r="2874" spans="1:3" x14ac:dyDescent="0.3">
      <c r="A2874" s="5" t="s">
        <v>3531</v>
      </c>
      <c r="B2874" t="s">
        <v>9187</v>
      </c>
      <c r="C2874" t="str">
        <f>IFERROR(VLOOKUP(ILACLISTE[[#This Row],[NAME]],Table5[#All],2,0),"")</f>
        <v/>
      </c>
    </row>
    <row r="2875" spans="1:3" x14ac:dyDescent="0.3">
      <c r="A2875" s="5" t="s">
        <v>3532</v>
      </c>
      <c r="B2875" t="s">
        <v>9188</v>
      </c>
      <c r="C2875" t="str">
        <f>IFERROR(VLOOKUP(ILACLISTE[[#This Row],[NAME]],Table5[#All],2,0),"")</f>
        <v/>
      </c>
    </row>
    <row r="2876" spans="1:3" x14ac:dyDescent="0.3">
      <c r="A2876" s="5" t="s">
        <v>3533</v>
      </c>
      <c r="B2876" t="s">
        <v>9189</v>
      </c>
      <c r="C2876" t="str">
        <f>IFERROR(VLOOKUP(ILACLISTE[[#This Row],[NAME]],Table5[#All],2,0),"")</f>
        <v/>
      </c>
    </row>
    <row r="2877" spans="1:3" x14ac:dyDescent="0.3">
      <c r="A2877" s="5" t="s">
        <v>3534</v>
      </c>
      <c r="B2877" t="s">
        <v>9190</v>
      </c>
      <c r="C2877" t="str">
        <f>IFERROR(VLOOKUP(ILACLISTE[[#This Row],[NAME]],Table5[#All],2,0),"")</f>
        <v/>
      </c>
    </row>
    <row r="2878" spans="1:3" x14ac:dyDescent="0.3">
      <c r="A2878" s="5" t="s">
        <v>3535</v>
      </c>
      <c r="B2878" t="s">
        <v>9191</v>
      </c>
      <c r="C2878" t="str">
        <f>IFERROR(VLOOKUP(ILACLISTE[[#This Row],[NAME]],Table5[#All],2,0),"")</f>
        <v/>
      </c>
    </row>
    <row r="2879" spans="1:3" x14ac:dyDescent="0.3">
      <c r="A2879" s="5" t="s">
        <v>3536</v>
      </c>
      <c r="B2879" t="s">
        <v>9192</v>
      </c>
      <c r="C2879" t="str">
        <f>IFERROR(VLOOKUP(ILACLISTE[[#This Row],[NAME]],Table5[#All],2,0),"")</f>
        <v/>
      </c>
    </row>
    <row r="2880" spans="1:3" x14ac:dyDescent="0.3">
      <c r="A2880" s="5" t="s">
        <v>3537</v>
      </c>
      <c r="B2880" t="s">
        <v>9193</v>
      </c>
      <c r="C2880" t="str">
        <f>IFERROR(VLOOKUP(ILACLISTE[[#This Row],[NAME]],Table5[#All],2,0),"")</f>
        <v/>
      </c>
    </row>
    <row r="2881" spans="1:3" x14ac:dyDescent="0.3">
      <c r="A2881" s="5" t="s">
        <v>3538</v>
      </c>
      <c r="B2881" t="s">
        <v>9194</v>
      </c>
      <c r="C2881" t="str">
        <f>IFERROR(VLOOKUP(ILACLISTE[[#This Row],[NAME]],Table5[#All],2,0),"")</f>
        <v/>
      </c>
    </row>
    <row r="2882" spans="1:3" x14ac:dyDescent="0.3">
      <c r="A2882" s="5" t="s">
        <v>3539</v>
      </c>
      <c r="B2882" t="s">
        <v>9195</v>
      </c>
      <c r="C2882" t="str">
        <f>IFERROR(VLOOKUP(ILACLISTE[[#This Row],[NAME]],Table5[#All],2,0),"")</f>
        <v/>
      </c>
    </row>
    <row r="2883" spans="1:3" x14ac:dyDescent="0.3">
      <c r="A2883" s="5" t="s">
        <v>3540</v>
      </c>
      <c r="B2883" t="s">
        <v>9196</v>
      </c>
      <c r="C2883" t="str">
        <f>IFERROR(VLOOKUP(ILACLISTE[[#This Row],[NAME]],Table5[#All],2,0),"")</f>
        <v/>
      </c>
    </row>
    <row r="2884" spans="1:3" x14ac:dyDescent="0.3">
      <c r="A2884" s="5" t="s">
        <v>3541</v>
      </c>
      <c r="B2884" t="s">
        <v>9197</v>
      </c>
      <c r="C2884" t="str">
        <f>IFERROR(VLOOKUP(ILACLISTE[[#This Row],[NAME]],Table5[#All],2,0),"")</f>
        <v/>
      </c>
    </row>
    <row r="2885" spans="1:3" x14ac:dyDescent="0.3">
      <c r="A2885" s="5" t="s">
        <v>3542</v>
      </c>
      <c r="B2885" t="s">
        <v>9198</v>
      </c>
      <c r="C2885" t="str">
        <f>IFERROR(VLOOKUP(ILACLISTE[[#This Row],[NAME]],Table5[#All],2,0),"")</f>
        <v/>
      </c>
    </row>
    <row r="2886" spans="1:3" x14ac:dyDescent="0.3">
      <c r="A2886" s="5" t="s">
        <v>3543</v>
      </c>
      <c r="B2886" t="s">
        <v>9199</v>
      </c>
      <c r="C2886" t="str">
        <f>IFERROR(VLOOKUP(ILACLISTE[[#This Row],[NAME]],Table5[#All],2,0),"")</f>
        <v/>
      </c>
    </row>
    <row r="2887" spans="1:3" x14ac:dyDescent="0.3">
      <c r="A2887" s="5" t="s">
        <v>3544</v>
      </c>
      <c r="B2887" t="s">
        <v>9200</v>
      </c>
      <c r="C2887" t="str">
        <f>IFERROR(VLOOKUP(ILACLISTE[[#This Row],[NAME]],Table5[#All],2,0),"")</f>
        <v/>
      </c>
    </row>
    <row r="2888" spans="1:3" x14ac:dyDescent="0.3">
      <c r="A2888" s="5" t="s">
        <v>3545</v>
      </c>
      <c r="B2888" t="s">
        <v>362</v>
      </c>
      <c r="C2888" t="str">
        <f>IFERROR(VLOOKUP(ILACLISTE[[#This Row],[NAME]],Table5[#All],2,0),"")</f>
        <v/>
      </c>
    </row>
    <row r="2889" spans="1:3" x14ac:dyDescent="0.3">
      <c r="A2889" s="5" t="s">
        <v>3546</v>
      </c>
      <c r="B2889" t="s">
        <v>9201</v>
      </c>
      <c r="C2889" t="str">
        <f>IFERROR(VLOOKUP(ILACLISTE[[#This Row],[NAME]],Table5[#All],2,0),"")</f>
        <v/>
      </c>
    </row>
    <row r="2890" spans="1:3" x14ac:dyDescent="0.3">
      <c r="A2890" s="5" t="s">
        <v>3547</v>
      </c>
      <c r="B2890" t="s">
        <v>363</v>
      </c>
      <c r="C2890" t="str">
        <f>IFERROR(VLOOKUP(ILACLISTE[[#This Row],[NAME]],Table5[#All],2,0),"")</f>
        <v/>
      </c>
    </row>
    <row r="2891" spans="1:3" x14ac:dyDescent="0.3">
      <c r="A2891" s="5" t="s">
        <v>3548</v>
      </c>
      <c r="B2891" t="s">
        <v>364</v>
      </c>
      <c r="C2891" t="str">
        <f>IFERROR(VLOOKUP(ILACLISTE[[#This Row],[NAME]],Table5[#All],2,0),"")</f>
        <v/>
      </c>
    </row>
    <row r="2892" spans="1:3" x14ac:dyDescent="0.3">
      <c r="A2892" s="5" t="s">
        <v>3549</v>
      </c>
      <c r="B2892" t="s">
        <v>365</v>
      </c>
      <c r="C2892" t="str">
        <f>IFERROR(VLOOKUP(ILACLISTE[[#This Row],[NAME]],Table5[#All],2,0),"")</f>
        <v/>
      </c>
    </row>
    <row r="2893" spans="1:3" x14ac:dyDescent="0.3">
      <c r="A2893" s="5" t="s">
        <v>3550</v>
      </c>
      <c r="B2893" t="s">
        <v>9202</v>
      </c>
      <c r="C2893" t="str">
        <f>IFERROR(VLOOKUP(ILACLISTE[[#This Row],[NAME]],Table5[#All],2,0),"")</f>
        <v/>
      </c>
    </row>
    <row r="2894" spans="1:3" x14ac:dyDescent="0.3">
      <c r="A2894" s="5" t="s">
        <v>3551</v>
      </c>
      <c r="B2894" t="s">
        <v>366</v>
      </c>
      <c r="C2894" t="str">
        <f>IFERROR(VLOOKUP(ILACLISTE[[#This Row],[NAME]],Table5[#All],2,0),"")</f>
        <v/>
      </c>
    </row>
    <row r="2895" spans="1:3" x14ac:dyDescent="0.3">
      <c r="A2895" s="5" t="s">
        <v>3552</v>
      </c>
      <c r="B2895" t="s">
        <v>367</v>
      </c>
      <c r="C2895" t="str">
        <f>IFERROR(VLOOKUP(ILACLISTE[[#This Row],[NAME]],Table5[#All],2,0),"")</f>
        <v/>
      </c>
    </row>
    <row r="2896" spans="1:3" x14ac:dyDescent="0.3">
      <c r="A2896" s="5" t="s">
        <v>3553</v>
      </c>
      <c r="B2896" t="s">
        <v>9203</v>
      </c>
      <c r="C2896" t="str">
        <f>IFERROR(VLOOKUP(ILACLISTE[[#This Row],[NAME]],Table5[#All],2,0),"")</f>
        <v/>
      </c>
    </row>
    <row r="2897" spans="1:3" x14ac:dyDescent="0.3">
      <c r="A2897" s="5" t="s">
        <v>3554</v>
      </c>
      <c r="B2897" t="s">
        <v>9204</v>
      </c>
      <c r="C2897" t="str">
        <f>IFERROR(VLOOKUP(ILACLISTE[[#This Row],[NAME]],Table5[#All],2,0),"")</f>
        <v/>
      </c>
    </row>
    <row r="2898" spans="1:3" x14ac:dyDescent="0.3">
      <c r="A2898" s="5" t="s">
        <v>3555</v>
      </c>
      <c r="B2898" t="s">
        <v>9205</v>
      </c>
      <c r="C2898" t="str">
        <f>IFERROR(VLOOKUP(ILACLISTE[[#This Row],[NAME]],Table5[#All],2,0),"")</f>
        <v/>
      </c>
    </row>
    <row r="2899" spans="1:3" x14ac:dyDescent="0.3">
      <c r="A2899" s="5" t="s">
        <v>3556</v>
      </c>
      <c r="B2899" t="s">
        <v>9206</v>
      </c>
      <c r="C2899" t="str">
        <f>IFERROR(VLOOKUP(ILACLISTE[[#This Row],[NAME]],Table5[#All],2,0),"")</f>
        <v/>
      </c>
    </row>
    <row r="2900" spans="1:3" x14ac:dyDescent="0.3">
      <c r="A2900" s="5" t="s">
        <v>3557</v>
      </c>
      <c r="B2900" t="s">
        <v>9207</v>
      </c>
      <c r="C2900" t="str">
        <f>IFERROR(VLOOKUP(ILACLISTE[[#This Row],[NAME]],Table5[#All],2,0),"")</f>
        <v/>
      </c>
    </row>
    <row r="2901" spans="1:3" x14ac:dyDescent="0.3">
      <c r="A2901" s="5" t="s">
        <v>3558</v>
      </c>
      <c r="B2901" t="s">
        <v>9208</v>
      </c>
      <c r="C2901" t="str">
        <f>IFERROR(VLOOKUP(ILACLISTE[[#This Row],[NAME]],Table5[#All],2,0),"")</f>
        <v/>
      </c>
    </row>
    <row r="2902" spans="1:3" x14ac:dyDescent="0.3">
      <c r="A2902" s="5" t="s">
        <v>3559</v>
      </c>
      <c r="B2902" t="s">
        <v>368</v>
      </c>
      <c r="C2902" t="str">
        <f>IFERROR(VLOOKUP(ILACLISTE[[#This Row],[NAME]],Table5[#All],2,0),"")</f>
        <v/>
      </c>
    </row>
    <row r="2903" spans="1:3" x14ac:dyDescent="0.3">
      <c r="A2903" s="5" t="s">
        <v>3560</v>
      </c>
      <c r="B2903" t="s">
        <v>369</v>
      </c>
      <c r="C2903" t="str">
        <f>IFERROR(VLOOKUP(ILACLISTE[[#This Row],[NAME]],Table5[#All],2,0),"")</f>
        <v/>
      </c>
    </row>
    <row r="2904" spans="1:3" x14ac:dyDescent="0.3">
      <c r="A2904" s="5" t="s">
        <v>3561</v>
      </c>
      <c r="B2904" t="s">
        <v>370</v>
      </c>
      <c r="C2904" t="str">
        <f>IFERROR(VLOOKUP(ILACLISTE[[#This Row],[NAME]],Table5[#All],2,0),"")</f>
        <v/>
      </c>
    </row>
    <row r="2905" spans="1:3" x14ac:dyDescent="0.3">
      <c r="A2905" s="5" t="s">
        <v>3562</v>
      </c>
      <c r="B2905" t="s">
        <v>371</v>
      </c>
      <c r="C2905" t="str">
        <f>IFERROR(VLOOKUP(ILACLISTE[[#This Row],[NAME]],Table5[#All],2,0),"")</f>
        <v/>
      </c>
    </row>
    <row r="2906" spans="1:3" x14ac:dyDescent="0.3">
      <c r="A2906" s="5" t="s">
        <v>3563</v>
      </c>
      <c r="B2906" t="s">
        <v>372</v>
      </c>
      <c r="C2906" t="str">
        <f>IFERROR(VLOOKUP(ILACLISTE[[#This Row],[NAME]],Table5[#All],2,0),"")</f>
        <v/>
      </c>
    </row>
    <row r="2907" spans="1:3" x14ac:dyDescent="0.3">
      <c r="A2907" s="5" t="s">
        <v>3564</v>
      </c>
      <c r="B2907" t="s">
        <v>373</v>
      </c>
      <c r="C2907" t="str">
        <f>IFERROR(VLOOKUP(ILACLISTE[[#This Row],[NAME]],Table5[#All],2,0),"")</f>
        <v/>
      </c>
    </row>
    <row r="2908" spans="1:3" x14ac:dyDescent="0.3">
      <c r="A2908" s="5" t="s">
        <v>3565</v>
      </c>
      <c r="B2908" t="s">
        <v>9209</v>
      </c>
      <c r="C2908" t="str">
        <f>IFERROR(VLOOKUP(ILACLISTE[[#This Row],[NAME]],Table5[#All],2,0),"")</f>
        <v/>
      </c>
    </row>
    <row r="2909" spans="1:3" x14ac:dyDescent="0.3">
      <c r="A2909" s="5" t="s">
        <v>3566</v>
      </c>
      <c r="B2909" t="s">
        <v>9210</v>
      </c>
      <c r="C2909" t="str">
        <f>IFERROR(VLOOKUP(ILACLISTE[[#This Row],[NAME]],Table5[#All],2,0),"")</f>
        <v/>
      </c>
    </row>
    <row r="2910" spans="1:3" x14ac:dyDescent="0.3">
      <c r="A2910" s="5" t="s">
        <v>3567</v>
      </c>
      <c r="B2910" t="s">
        <v>9211</v>
      </c>
      <c r="C2910" t="str">
        <f>IFERROR(VLOOKUP(ILACLISTE[[#This Row],[NAME]],Table5[#All],2,0),"")</f>
        <v/>
      </c>
    </row>
    <row r="2911" spans="1:3" x14ac:dyDescent="0.3">
      <c r="A2911" s="5" t="s">
        <v>3568</v>
      </c>
      <c r="B2911" t="s">
        <v>9212</v>
      </c>
      <c r="C2911" t="str">
        <f>IFERROR(VLOOKUP(ILACLISTE[[#This Row],[NAME]],Table5[#All],2,0),"")</f>
        <v/>
      </c>
    </row>
    <row r="2912" spans="1:3" x14ac:dyDescent="0.3">
      <c r="A2912" s="5" t="s">
        <v>3569</v>
      </c>
      <c r="B2912" t="s">
        <v>9213</v>
      </c>
      <c r="C2912" t="str">
        <f>IFERROR(VLOOKUP(ILACLISTE[[#This Row],[NAME]],Table5[#All],2,0),"")</f>
        <v/>
      </c>
    </row>
    <row r="2913" spans="1:3" x14ac:dyDescent="0.3">
      <c r="A2913" s="5" t="s">
        <v>3570</v>
      </c>
      <c r="B2913" t="s">
        <v>9214</v>
      </c>
      <c r="C2913" t="str">
        <f>IFERROR(VLOOKUP(ILACLISTE[[#This Row],[NAME]],Table5[#All],2,0),"")</f>
        <v/>
      </c>
    </row>
    <row r="2914" spans="1:3" x14ac:dyDescent="0.3">
      <c r="A2914" s="5" t="s">
        <v>3571</v>
      </c>
      <c r="B2914" t="s">
        <v>9215</v>
      </c>
      <c r="C2914" t="str">
        <f>IFERROR(VLOOKUP(ILACLISTE[[#This Row],[NAME]],Table5[#All],2,0),"")</f>
        <v/>
      </c>
    </row>
    <row r="2915" spans="1:3" x14ac:dyDescent="0.3">
      <c r="A2915" s="5" t="s">
        <v>3572</v>
      </c>
      <c r="B2915" t="s">
        <v>9216</v>
      </c>
      <c r="C2915" t="str">
        <f>IFERROR(VLOOKUP(ILACLISTE[[#This Row],[NAME]],Table5[#All],2,0),"")</f>
        <v/>
      </c>
    </row>
    <row r="2916" spans="1:3" x14ac:dyDescent="0.3">
      <c r="A2916" s="5" t="s">
        <v>3573</v>
      </c>
      <c r="B2916" t="s">
        <v>9217</v>
      </c>
      <c r="C2916" t="str">
        <f>IFERROR(VLOOKUP(ILACLISTE[[#This Row],[NAME]],Table5[#All],2,0),"")</f>
        <v/>
      </c>
    </row>
    <row r="2917" spans="1:3" x14ac:dyDescent="0.3">
      <c r="A2917" s="5" t="s">
        <v>3574</v>
      </c>
      <c r="B2917" t="s">
        <v>9218</v>
      </c>
      <c r="C2917" t="str">
        <f>IFERROR(VLOOKUP(ILACLISTE[[#This Row],[NAME]],Table5[#All],2,0),"")</f>
        <v/>
      </c>
    </row>
    <row r="2918" spans="1:3" x14ac:dyDescent="0.3">
      <c r="A2918" s="5" t="s">
        <v>3575</v>
      </c>
      <c r="B2918" t="s">
        <v>374</v>
      </c>
      <c r="C2918" t="str">
        <f>IFERROR(VLOOKUP(ILACLISTE[[#This Row],[NAME]],Table5[#All],2,0),"")</f>
        <v/>
      </c>
    </row>
    <row r="2919" spans="1:3" x14ac:dyDescent="0.3">
      <c r="A2919" s="5" t="s">
        <v>3576</v>
      </c>
      <c r="B2919" t="s">
        <v>9219</v>
      </c>
      <c r="C2919" t="str">
        <f>IFERROR(VLOOKUP(ILACLISTE[[#This Row],[NAME]],Table5[#All],2,0),"")</f>
        <v/>
      </c>
    </row>
    <row r="2920" spans="1:3" x14ac:dyDescent="0.3">
      <c r="A2920" s="5" t="s">
        <v>3577</v>
      </c>
      <c r="B2920" t="s">
        <v>375</v>
      </c>
      <c r="C2920" t="str">
        <f>IFERROR(VLOOKUP(ILACLISTE[[#This Row],[NAME]],Table5[#All],2,0),"")</f>
        <v/>
      </c>
    </row>
    <row r="2921" spans="1:3" x14ac:dyDescent="0.3">
      <c r="A2921" s="5" t="s">
        <v>3578</v>
      </c>
      <c r="B2921" t="s">
        <v>9220</v>
      </c>
      <c r="C2921" t="str">
        <f>IFERROR(VLOOKUP(ILACLISTE[[#This Row],[NAME]],Table5[#All],2,0),"")</f>
        <v/>
      </c>
    </row>
    <row r="2922" spans="1:3" x14ac:dyDescent="0.3">
      <c r="A2922" s="5" t="s">
        <v>3579</v>
      </c>
      <c r="B2922" t="s">
        <v>376</v>
      </c>
      <c r="C2922" t="str">
        <f>IFERROR(VLOOKUP(ILACLISTE[[#This Row],[NAME]],Table5[#All],2,0),"")</f>
        <v/>
      </c>
    </row>
    <row r="2923" spans="1:3" x14ac:dyDescent="0.3">
      <c r="A2923" s="5" t="s">
        <v>3580</v>
      </c>
      <c r="B2923" t="s">
        <v>377</v>
      </c>
      <c r="C2923" t="str">
        <f>IFERROR(VLOOKUP(ILACLISTE[[#This Row],[NAME]],Table5[#All],2,0),"")</f>
        <v/>
      </c>
    </row>
    <row r="2924" spans="1:3" x14ac:dyDescent="0.3">
      <c r="A2924" s="5" t="s">
        <v>3581</v>
      </c>
      <c r="B2924" t="s">
        <v>9221</v>
      </c>
      <c r="C2924" t="str">
        <f>IFERROR(VLOOKUP(ILACLISTE[[#This Row],[NAME]],Table5[#All],2,0),"")</f>
        <v/>
      </c>
    </row>
    <row r="2925" spans="1:3" x14ac:dyDescent="0.3">
      <c r="A2925" s="5" t="s">
        <v>3582</v>
      </c>
      <c r="B2925" t="s">
        <v>9222</v>
      </c>
      <c r="C2925" t="str">
        <f>IFERROR(VLOOKUP(ILACLISTE[[#This Row],[NAME]],Table5[#All],2,0),"")</f>
        <v/>
      </c>
    </row>
    <row r="2926" spans="1:3" x14ac:dyDescent="0.3">
      <c r="A2926" s="5" t="s">
        <v>3583</v>
      </c>
      <c r="B2926" t="s">
        <v>9223</v>
      </c>
      <c r="C2926" t="str">
        <f>IFERROR(VLOOKUP(ILACLISTE[[#This Row],[NAME]],Table5[#All],2,0),"")</f>
        <v/>
      </c>
    </row>
    <row r="2927" spans="1:3" x14ac:dyDescent="0.3">
      <c r="A2927" s="5" t="s">
        <v>3584</v>
      </c>
      <c r="B2927" t="s">
        <v>9224</v>
      </c>
      <c r="C2927" t="str">
        <f>IFERROR(VLOOKUP(ILACLISTE[[#This Row],[NAME]],Table5[#All],2,0),"")</f>
        <v/>
      </c>
    </row>
    <row r="2928" spans="1:3" x14ac:dyDescent="0.3">
      <c r="A2928" s="5" t="s">
        <v>3585</v>
      </c>
      <c r="B2928" t="s">
        <v>9225</v>
      </c>
      <c r="C2928" t="str">
        <f>IFERROR(VLOOKUP(ILACLISTE[[#This Row],[NAME]],Table5[#All],2,0),"")</f>
        <v/>
      </c>
    </row>
    <row r="2929" spans="1:3" x14ac:dyDescent="0.3">
      <c r="A2929" s="5" t="s">
        <v>3586</v>
      </c>
      <c r="B2929" t="s">
        <v>9226</v>
      </c>
      <c r="C2929" t="str">
        <f>IFERROR(VLOOKUP(ILACLISTE[[#This Row],[NAME]],Table5[#All],2,0),"")</f>
        <v/>
      </c>
    </row>
    <row r="2930" spans="1:3" x14ac:dyDescent="0.3">
      <c r="A2930" s="5" t="s">
        <v>3587</v>
      </c>
      <c r="B2930" t="s">
        <v>9227</v>
      </c>
      <c r="C2930" t="str">
        <f>IFERROR(VLOOKUP(ILACLISTE[[#This Row],[NAME]],Table5[#All],2,0),"")</f>
        <v/>
      </c>
    </row>
    <row r="2931" spans="1:3" x14ac:dyDescent="0.3">
      <c r="A2931" s="5" t="s">
        <v>3588</v>
      </c>
      <c r="B2931" t="s">
        <v>9228</v>
      </c>
      <c r="C2931" t="str">
        <f>IFERROR(VLOOKUP(ILACLISTE[[#This Row],[NAME]],Table5[#All],2,0),"")</f>
        <v/>
      </c>
    </row>
    <row r="2932" spans="1:3" x14ac:dyDescent="0.3">
      <c r="A2932" s="5" t="s">
        <v>3589</v>
      </c>
      <c r="B2932" t="s">
        <v>9229</v>
      </c>
      <c r="C2932" t="str">
        <f>IFERROR(VLOOKUP(ILACLISTE[[#This Row],[NAME]],Table5[#All],2,0),"")</f>
        <v/>
      </c>
    </row>
    <row r="2933" spans="1:3" x14ac:dyDescent="0.3">
      <c r="A2933" s="5" t="s">
        <v>3590</v>
      </c>
      <c r="B2933" t="s">
        <v>9230</v>
      </c>
      <c r="C2933" t="str">
        <f>IFERROR(VLOOKUP(ILACLISTE[[#This Row],[NAME]],Table5[#All],2,0),"")</f>
        <v/>
      </c>
    </row>
    <row r="2934" spans="1:3" x14ac:dyDescent="0.3">
      <c r="A2934" s="5" t="s">
        <v>3591</v>
      </c>
      <c r="B2934" t="s">
        <v>9231</v>
      </c>
      <c r="C2934" t="str">
        <f>IFERROR(VLOOKUP(ILACLISTE[[#This Row],[NAME]],Table5[#All],2,0),"")</f>
        <v/>
      </c>
    </row>
    <row r="2935" spans="1:3" x14ac:dyDescent="0.3">
      <c r="A2935" s="5" t="s">
        <v>3592</v>
      </c>
      <c r="B2935" t="s">
        <v>9232</v>
      </c>
      <c r="C2935" t="str">
        <f>IFERROR(VLOOKUP(ILACLISTE[[#This Row],[NAME]],Table5[#All],2,0),"")</f>
        <v/>
      </c>
    </row>
    <row r="2936" spans="1:3" x14ac:dyDescent="0.3">
      <c r="A2936" s="5" t="s">
        <v>3593</v>
      </c>
      <c r="B2936" t="s">
        <v>9233</v>
      </c>
      <c r="C2936" t="str">
        <f>IFERROR(VLOOKUP(ILACLISTE[[#This Row],[NAME]],Table5[#All],2,0),"")</f>
        <v/>
      </c>
    </row>
    <row r="2937" spans="1:3" x14ac:dyDescent="0.3">
      <c r="A2937" s="5" t="s">
        <v>3594</v>
      </c>
      <c r="B2937" t="s">
        <v>9234</v>
      </c>
      <c r="C2937" t="str">
        <f>IFERROR(VLOOKUP(ILACLISTE[[#This Row],[NAME]],Table5[#All],2,0),"")</f>
        <v/>
      </c>
    </row>
    <row r="2938" spans="1:3" x14ac:dyDescent="0.3">
      <c r="A2938" s="5" t="s">
        <v>3595</v>
      </c>
      <c r="B2938" t="s">
        <v>9235</v>
      </c>
      <c r="C2938" t="str">
        <f>IFERROR(VLOOKUP(ILACLISTE[[#This Row],[NAME]],Table5[#All],2,0),"")</f>
        <v/>
      </c>
    </row>
    <row r="2939" spans="1:3" x14ac:dyDescent="0.3">
      <c r="A2939" s="5" t="s">
        <v>3596</v>
      </c>
      <c r="B2939" t="s">
        <v>9236</v>
      </c>
      <c r="C2939" t="str">
        <f>IFERROR(VLOOKUP(ILACLISTE[[#This Row],[NAME]],Table5[#All],2,0),"")</f>
        <v/>
      </c>
    </row>
    <row r="2940" spans="1:3" x14ac:dyDescent="0.3">
      <c r="A2940" s="5" t="s">
        <v>3597</v>
      </c>
      <c r="B2940" t="s">
        <v>9237</v>
      </c>
      <c r="C2940" t="str">
        <f>IFERROR(VLOOKUP(ILACLISTE[[#This Row],[NAME]],Table5[#All],2,0),"")</f>
        <v/>
      </c>
    </row>
    <row r="2941" spans="1:3" x14ac:dyDescent="0.3">
      <c r="A2941" s="5" t="s">
        <v>3598</v>
      </c>
      <c r="B2941" t="s">
        <v>9238</v>
      </c>
      <c r="C2941" t="str">
        <f>IFERROR(VLOOKUP(ILACLISTE[[#This Row],[NAME]],Table5[#All],2,0),"")</f>
        <v/>
      </c>
    </row>
    <row r="2942" spans="1:3" x14ac:dyDescent="0.3">
      <c r="A2942" s="5" t="s">
        <v>3599</v>
      </c>
      <c r="B2942" t="s">
        <v>9239</v>
      </c>
      <c r="C2942" t="str">
        <f>IFERROR(VLOOKUP(ILACLISTE[[#This Row],[NAME]],Table5[#All],2,0),"")</f>
        <v/>
      </c>
    </row>
    <row r="2943" spans="1:3" x14ac:dyDescent="0.3">
      <c r="A2943" s="5" t="s">
        <v>3600</v>
      </c>
      <c r="B2943" t="s">
        <v>9240</v>
      </c>
      <c r="C2943" t="str">
        <f>IFERROR(VLOOKUP(ILACLISTE[[#This Row],[NAME]],Table5[#All],2,0),"")</f>
        <v/>
      </c>
    </row>
    <row r="2944" spans="1:3" x14ac:dyDescent="0.3">
      <c r="A2944" s="5" t="s">
        <v>3601</v>
      </c>
      <c r="B2944" t="s">
        <v>9241</v>
      </c>
      <c r="C2944" t="str">
        <f>IFERROR(VLOOKUP(ILACLISTE[[#This Row],[NAME]],Table5[#All],2,0),"")</f>
        <v/>
      </c>
    </row>
    <row r="2945" spans="1:3" x14ac:dyDescent="0.3">
      <c r="A2945" s="5" t="s">
        <v>3602</v>
      </c>
      <c r="B2945" t="s">
        <v>9242</v>
      </c>
      <c r="C2945" t="str">
        <f>IFERROR(VLOOKUP(ILACLISTE[[#This Row],[NAME]],Table5[#All],2,0),"")</f>
        <v/>
      </c>
    </row>
    <row r="2946" spans="1:3" x14ac:dyDescent="0.3">
      <c r="A2946" s="5" t="s">
        <v>3603</v>
      </c>
      <c r="B2946" t="s">
        <v>9243</v>
      </c>
      <c r="C2946" t="str">
        <f>IFERROR(VLOOKUP(ILACLISTE[[#This Row],[NAME]],Table5[#All],2,0),"")</f>
        <v/>
      </c>
    </row>
    <row r="2947" spans="1:3" x14ac:dyDescent="0.3">
      <c r="A2947" s="5" t="s">
        <v>3604</v>
      </c>
      <c r="B2947" t="s">
        <v>9244</v>
      </c>
      <c r="C2947" t="str">
        <f>IFERROR(VLOOKUP(ILACLISTE[[#This Row],[NAME]],Table5[#All],2,0),"")</f>
        <v/>
      </c>
    </row>
    <row r="2948" spans="1:3" x14ac:dyDescent="0.3">
      <c r="A2948" s="5" t="s">
        <v>3605</v>
      </c>
      <c r="B2948" t="s">
        <v>9245</v>
      </c>
      <c r="C2948" t="str">
        <f>IFERROR(VLOOKUP(ILACLISTE[[#This Row],[NAME]],Table5[#All],2,0),"")</f>
        <v/>
      </c>
    </row>
    <row r="2949" spans="1:3" x14ac:dyDescent="0.3">
      <c r="A2949" s="5" t="s">
        <v>3606</v>
      </c>
      <c r="B2949" t="s">
        <v>9246</v>
      </c>
      <c r="C2949" t="str">
        <f>IFERROR(VLOOKUP(ILACLISTE[[#This Row],[NAME]],Table5[#All],2,0),"")</f>
        <v/>
      </c>
    </row>
    <row r="2950" spans="1:3" x14ac:dyDescent="0.3">
      <c r="A2950" s="5" t="s">
        <v>3607</v>
      </c>
      <c r="B2950" t="s">
        <v>9247</v>
      </c>
      <c r="C2950" t="str">
        <f>IFERROR(VLOOKUP(ILACLISTE[[#This Row],[NAME]],Table5[#All],2,0),"")</f>
        <v/>
      </c>
    </row>
    <row r="2951" spans="1:3" x14ac:dyDescent="0.3">
      <c r="A2951" s="5" t="s">
        <v>3608</v>
      </c>
      <c r="B2951" t="s">
        <v>378</v>
      </c>
      <c r="C2951" t="str">
        <f>IFERROR(VLOOKUP(ILACLISTE[[#This Row],[NAME]],Table5[#All],2,0),"")</f>
        <v/>
      </c>
    </row>
    <row r="2952" spans="1:3" x14ac:dyDescent="0.3">
      <c r="A2952" s="5" t="s">
        <v>3609</v>
      </c>
      <c r="B2952" t="s">
        <v>9248</v>
      </c>
      <c r="C2952" t="str">
        <f>IFERROR(VLOOKUP(ILACLISTE[[#This Row],[NAME]],Table5[#All],2,0),"")</f>
        <v/>
      </c>
    </row>
    <row r="2953" spans="1:3" x14ac:dyDescent="0.3">
      <c r="A2953" s="5" t="s">
        <v>3610</v>
      </c>
      <c r="B2953" t="s">
        <v>9249</v>
      </c>
      <c r="C2953" t="str">
        <f>IFERROR(VLOOKUP(ILACLISTE[[#This Row],[NAME]],Table5[#All],2,0),"")</f>
        <v/>
      </c>
    </row>
    <row r="2954" spans="1:3" x14ac:dyDescent="0.3">
      <c r="A2954" s="5" t="s">
        <v>3611</v>
      </c>
      <c r="B2954" t="s">
        <v>9250</v>
      </c>
      <c r="C2954" t="str">
        <f>IFERROR(VLOOKUP(ILACLISTE[[#This Row],[NAME]],Table5[#All],2,0),"")</f>
        <v/>
      </c>
    </row>
    <row r="2955" spans="1:3" x14ac:dyDescent="0.3">
      <c r="A2955" s="5" t="s">
        <v>3612</v>
      </c>
      <c r="B2955" t="s">
        <v>9251</v>
      </c>
      <c r="C2955" t="str">
        <f>IFERROR(VLOOKUP(ILACLISTE[[#This Row],[NAME]],Table5[#All],2,0),"")</f>
        <v/>
      </c>
    </row>
    <row r="2956" spans="1:3" x14ac:dyDescent="0.3">
      <c r="A2956" s="5" t="s">
        <v>3613</v>
      </c>
      <c r="B2956" t="s">
        <v>9252</v>
      </c>
      <c r="C2956" t="str">
        <f>IFERROR(VLOOKUP(ILACLISTE[[#This Row],[NAME]],Table5[#All],2,0),"")</f>
        <v/>
      </c>
    </row>
    <row r="2957" spans="1:3" x14ac:dyDescent="0.3">
      <c r="A2957" s="5" t="s">
        <v>3614</v>
      </c>
      <c r="B2957" t="s">
        <v>9253</v>
      </c>
      <c r="C2957" t="str">
        <f>IFERROR(VLOOKUP(ILACLISTE[[#This Row],[NAME]],Table5[#All],2,0),"")</f>
        <v/>
      </c>
    </row>
    <row r="2958" spans="1:3" x14ac:dyDescent="0.3">
      <c r="A2958" s="5" t="s">
        <v>3615</v>
      </c>
      <c r="B2958" t="s">
        <v>9254</v>
      </c>
      <c r="C2958" t="str">
        <f>IFERROR(VLOOKUP(ILACLISTE[[#This Row],[NAME]],Table5[#All],2,0),"")</f>
        <v/>
      </c>
    </row>
    <row r="2959" spans="1:3" x14ac:dyDescent="0.3">
      <c r="A2959" s="5" t="s">
        <v>3616</v>
      </c>
      <c r="B2959" t="s">
        <v>9255</v>
      </c>
      <c r="C2959" t="str">
        <f>IFERROR(VLOOKUP(ILACLISTE[[#This Row],[NAME]],Table5[#All],2,0),"")</f>
        <v/>
      </c>
    </row>
    <row r="2960" spans="1:3" x14ac:dyDescent="0.3">
      <c r="A2960" s="5" t="s">
        <v>3617</v>
      </c>
      <c r="B2960" t="s">
        <v>9256</v>
      </c>
      <c r="C2960" t="str">
        <f>IFERROR(VLOOKUP(ILACLISTE[[#This Row],[NAME]],Table5[#All],2,0),"")</f>
        <v/>
      </c>
    </row>
    <row r="2961" spans="1:3" x14ac:dyDescent="0.3">
      <c r="A2961" s="5" t="s">
        <v>3618</v>
      </c>
      <c r="B2961" t="s">
        <v>9257</v>
      </c>
      <c r="C2961" t="str">
        <f>IFERROR(VLOOKUP(ILACLISTE[[#This Row],[NAME]],Table5[#All],2,0),"")</f>
        <v/>
      </c>
    </row>
    <row r="2962" spans="1:3" x14ac:dyDescent="0.3">
      <c r="A2962" s="5" t="s">
        <v>3619</v>
      </c>
      <c r="B2962" t="s">
        <v>379</v>
      </c>
      <c r="C2962" t="str">
        <f>IFERROR(VLOOKUP(ILACLISTE[[#This Row],[NAME]],Table5[#All],2,0),"")</f>
        <v/>
      </c>
    </row>
    <row r="2963" spans="1:3" x14ac:dyDescent="0.3">
      <c r="A2963" s="5" t="s">
        <v>3620</v>
      </c>
      <c r="B2963" t="s">
        <v>9258</v>
      </c>
      <c r="C2963" t="str">
        <f>IFERROR(VLOOKUP(ILACLISTE[[#This Row],[NAME]],Table5[#All],2,0),"")</f>
        <v/>
      </c>
    </row>
    <row r="2964" spans="1:3" x14ac:dyDescent="0.3">
      <c r="A2964" s="5" t="s">
        <v>3621</v>
      </c>
      <c r="B2964" t="s">
        <v>9259</v>
      </c>
      <c r="C2964" t="str">
        <f>IFERROR(VLOOKUP(ILACLISTE[[#This Row],[NAME]],Table5[#All],2,0),"")</f>
        <v/>
      </c>
    </row>
    <row r="2965" spans="1:3" x14ac:dyDescent="0.3">
      <c r="A2965" s="5" t="s">
        <v>3622</v>
      </c>
      <c r="B2965" t="s">
        <v>9260</v>
      </c>
      <c r="C2965" t="str">
        <f>IFERROR(VLOOKUP(ILACLISTE[[#This Row],[NAME]],Table5[#All],2,0),"")</f>
        <v/>
      </c>
    </row>
    <row r="2966" spans="1:3" x14ac:dyDescent="0.3">
      <c r="A2966" s="5" t="s">
        <v>3623</v>
      </c>
      <c r="B2966" t="s">
        <v>380</v>
      </c>
      <c r="C2966" t="str">
        <f>IFERROR(VLOOKUP(ILACLISTE[[#This Row],[NAME]],Table5[#All],2,0),"")</f>
        <v/>
      </c>
    </row>
    <row r="2967" spans="1:3" x14ac:dyDescent="0.3">
      <c r="A2967" s="5" t="s">
        <v>3624</v>
      </c>
      <c r="B2967" t="s">
        <v>381</v>
      </c>
      <c r="C2967" t="str">
        <f>IFERROR(VLOOKUP(ILACLISTE[[#This Row],[NAME]],Table5[#All],2,0),"")</f>
        <v/>
      </c>
    </row>
    <row r="2968" spans="1:3" x14ac:dyDescent="0.3">
      <c r="A2968" s="5" t="s">
        <v>3625</v>
      </c>
      <c r="B2968" t="s">
        <v>9261</v>
      </c>
      <c r="C2968" t="str">
        <f>IFERROR(VLOOKUP(ILACLISTE[[#This Row],[NAME]],Table5[#All],2,0),"")</f>
        <v/>
      </c>
    </row>
    <row r="2969" spans="1:3" x14ac:dyDescent="0.3">
      <c r="A2969" s="5" t="s">
        <v>3626</v>
      </c>
      <c r="B2969" t="s">
        <v>9262</v>
      </c>
      <c r="C2969" t="str">
        <f>IFERROR(VLOOKUP(ILACLISTE[[#This Row],[NAME]],Table5[#All],2,0),"")</f>
        <v/>
      </c>
    </row>
    <row r="2970" spans="1:3" x14ac:dyDescent="0.3">
      <c r="A2970" s="5" t="s">
        <v>3627</v>
      </c>
      <c r="B2970" t="s">
        <v>9263</v>
      </c>
      <c r="C2970" t="str">
        <f>IFERROR(VLOOKUP(ILACLISTE[[#This Row],[NAME]],Table5[#All],2,0),"")</f>
        <v/>
      </c>
    </row>
    <row r="2971" spans="1:3" x14ac:dyDescent="0.3">
      <c r="A2971" s="5" t="s">
        <v>3628</v>
      </c>
      <c r="B2971" t="s">
        <v>382</v>
      </c>
      <c r="C2971" t="str">
        <f>IFERROR(VLOOKUP(ILACLISTE[[#This Row],[NAME]],Table5[#All],2,0),"")</f>
        <v/>
      </c>
    </row>
    <row r="2972" spans="1:3" x14ac:dyDescent="0.3">
      <c r="A2972" s="5" t="s">
        <v>3629</v>
      </c>
      <c r="B2972" t="s">
        <v>383</v>
      </c>
      <c r="C2972" t="str">
        <f>IFERROR(VLOOKUP(ILACLISTE[[#This Row],[NAME]],Table5[#All],2,0),"")</f>
        <v/>
      </c>
    </row>
    <row r="2973" spans="1:3" x14ac:dyDescent="0.3">
      <c r="A2973" s="5" t="s">
        <v>3630</v>
      </c>
      <c r="B2973" t="s">
        <v>9264</v>
      </c>
      <c r="C2973" t="str">
        <f>IFERROR(VLOOKUP(ILACLISTE[[#This Row],[NAME]],Table5[#All],2,0),"")</f>
        <v/>
      </c>
    </row>
    <row r="2974" spans="1:3" x14ac:dyDescent="0.3">
      <c r="A2974" s="5" t="s">
        <v>3631</v>
      </c>
      <c r="B2974" t="s">
        <v>9265</v>
      </c>
      <c r="C2974" t="str">
        <f>IFERROR(VLOOKUP(ILACLISTE[[#This Row],[NAME]],Table5[#All],2,0),"")</f>
        <v/>
      </c>
    </row>
    <row r="2975" spans="1:3" x14ac:dyDescent="0.3">
      <c r="A2975" s="5" t="s">
        <v>3632</v>
      </c>
      <c r="B2975" t="s">
        <v>9266</v>
      </c>
      <c r="C2975" t="str">
        <f>IFERROR(VLOOKUP(ILACLISTE[[#This Row],[NAME]],Table5[#All],2,0),"")</f>
        <v/>
      </c>
    </row>
    <row r="2976" spans="1:3" x14ac:dyDescent="0.3">
      <c r="A2976" s="5" t="s">
        <v>3633</v>
      </c>
      <c r="B2976" t="s">
        <v>9267</v>
      </c>
      <c r="C2976" t="str">
        <f>IFERROR(VLOOKUP(ILACLISTE[[#This Row],[NAME]],Table5[#All],2,0),"")</f>
        <v/>
      </c>
    </row>
    <row r="2977" spans="1:3" x14ac:dyDescent="0.3">
      <c r="A2977" s="5" t="s">
        <v>3634</v>
      </c>
      <c r="B2977" t="s">
        <v>9268</v>
      </c>
      <c r="C2977" t="str">
        <f>IFERROR(VLOOKUP(ILACLISTE[[#This Row],[NAME]],Table5[#All],2,0),"")</f>
        <v/>
      </c>
    </row>
    <row r="2978" spans="1:3" x14ac:dyDescent="0.3">
      <c r="A2978" s="5" t="s">
        <v>3635</v>
      </c>
      <c r="B2978" t="s">
        <v>9269</v>
      </c>
      <c r="C2978" t="str">
        <f>IFERROR(VLOOKUP(ILACLISTE[[#This Row],[NAME]],Table5[#All],2,0),"")</f>
        <v/>
      </c>
    </row>
    <row r="2979" spans="1:3" x14ac:dyDescent="0.3">
      <c r="A2979" s="5" t="s">
        <v>3636</v>
      </c>
      <c r="B2979" t="s">
        <v>9270</v>
      </c>
      <c r="C2979" t="str">
        <f>IFERROR(VLOOKUP(ILACLISTE[[#This Row],[NAME]],Table5[#All],2,0),"")</f>
        <v/>
      </c>
    </row>
    <row r="2980" spans="1:3" x14ac:dyDescent="0.3">
      <c r="A2980" s="5" t="s">
        <v>3637</v>
      </c>
      <c r="B2980" t="s">
        <v>9271</v>
      </c>
      <c r="C2980" t="str">
        <f>IFERROR(VLOOKUP(ILACLISTE[[#This Row],[NAME]],Table5[#All],2,0),"")</f>
        <v/>
      </c>
    </row>
    <row r="2981" spans="1:3" x14ac:dyDescent="0.3">
      <c r="A2981" s="5" t="s">
        <v>3638</v>
      </c>
      <c r="B2981" t="s">
        <v>9272</v>
      </c>
      <c r="C2981" t="str">
        <f>IFERROR(VLOOKUP(ILACLISTE[[#This Row],[NAME]],Table5[#All],2,0),"")</f>
        <v/>
      </c>
    </row>
    <row r="2982" spans="1:3" x14ac:dyDescent="0.3">
      <c r="A2982" s="5" t="s">
        <v>3639</v>
      </c>
      <c r="B2982" t="s">
        <v>9273</v>
      </c>
      <c r="C2982" t="str">
        <f>IFERROR(VLOOKUP(ILACLISTE[[#This Row],[NAME]],Table5[#All],2,0),"")</f>
        <v/>
      </c>
    </row>
    <row r="2983" spans="1:3" x14ac:dyDescent="0.3">
      <c r="A2983" s="5" t="s">
        <v>3640</v>
      </c>
      <c r="B2983" t="s">
        <v>9274</v>
      </c>
      <c r="C2983" t="str">
        <f>IFERROR(VLOOKUP(ILACLISTE[[#This Row],[NAME]],Table5[#All],2,0),"")</f>
        <v/>
      </c>
    </row>
    <row r="2984" spans="1:3" x14ac:dyDescent="0.3">
      <c r="A2984" s="5" t="s">
        <v>3641</v>
      </c>
      <c r="B2984" t="s">
        <v>9275</v>
      </c>
      <c r="C2984" t="str">
        <f>IFERROR(VLOOKUP(ILACLISTE[[#This Row],[NAME]],Table5[#All],2,0),"")</f>
        <v/>
      </c>
    </row>
    <row r="2985" spans="1:3" x14ac:dyDescent="0.3">
      <c r="A2985" s="5" t="s">
        <v>3642</v>
      </c>
      <c r="B2985" t="s">
        <v>9276</v>
      </c>
      <c r="C2985" t="str">
        <f>IFERROR(VLOOKUP(ILACLISTE[[#This Row],[NAME]],Table5[#All],2,0),"")</f>
        <v/>
      </c>
    </row>
    <row r="2986" spans="1:3" x14ac:dyDescent="0.3">
      <c r="A2986" s="5" t="s">
        <v>3643</v>
      </c>
      <c r="B2986" t="s">
        <v>9277</v>
      </c>
      <c r="C2986" t="str">
        <f>IFERROR(VLOOKUP(ILACLISTE[[#This Row],[NAME]],Table5[#All],2,0),"")</f>
        <v/>
      </c>
    </row>
    <row r="2987" spans="1:3" x14ac:dyDescent="0.3">
      <c r="A2987" s="5" t="s">
        <v>3644</v>
      </c>
      <c r="B2987" t="s">
        <v>9278</v>
      </c>
      <c r="C2987" t="str">
        <f>IFERROR(VLOOKUP(ILACLISTE[[#This Row],[NAME]],Table5[#All],2,0),"")</f>
        <v/>
      </c>
    </row>
    <row r="2988" spans="1:3" x14ac:dyDescent="0.3">
      <c r="A2988" s="5" t="s">
        <v>3645</v>
      </c>
      <c r="B2988" t="s">
        <v>9279</v>
      </c>
      <c r="C2988" t="str">
        <f>IFERROR(VLOOKUP(ILACLISTE[[#This Row],[NAME]],Table5[#All],2,0),"")</f>
        <v/>
      </c>
    </row>
    <row r="2989" spans="1:3" x14ac:dyDescent="0.3">
      <c r="A2989" s="5" t="s">
        <v>3646</v>
      </c>
      <c r="B2989" t="s">
        <v>9280</v>
      </c>
      <c r="C2989" t="str">
        <f>IFERROR(VLOOKUP(ILACLISTE[[#This Row],[NAME]],Table5[#All],2,0),"")</f>
        <v/>
      </c>
    </row>
    <row r="2990" spans="1:3" x14ac:dyDescent="0.3">
      <c r="A2990" s="5" t="s">
        <v>3647</v>
      </c>
      <c r="B2990" t="s">
        <v>9281</v>
      </c>
      <c r="C2990" t="str">
        <f>IFERROR(VLOOKUP(ILACLISTE[[#This Row],[NAME]],Table5[#All],2,0),"")</f>
        <v/>
      </c>
    </row>
    <row r="2991" spans="1:3" x14ac:dyDescent="0.3">
      <c r="A2991" s="5" t="s">
        <v>3648</v>
      </c>
      <c r="B2991" t="s">
        <v>384</v>
      </c>
      <c r="C2991" t="str">
        <f>IFERROR(VLOOKUP(ILACLISTE[[#This Row],[NAME]],Table5[#All],2,0),"")</f>
        <v/>
      </c>
    </row>
    <row r="2992" spans="1:3" x14ac:dyDescent="0.3">
      <c r="A2992" s="5" t="s">
        <v>3649</v>
      </c>
      <c r="B2992" t="s">
        <v>385</v>
      </c>
      <c r="C2992" t="str">
        <f>IFERROR(VLOOKUP(ILACLISTE[[#This Row],[NAME]],Table5[#All],2,0),"")</f>
        <v/>
      </c>
    </row>
    <row r="2993" spans="1:3" x14ac:dyDescent="0.3">
      <c r="A2993" s="5" t="s">
        <v>3650</v>
      </c>
      <c r="B2993" t="s">
        <v>9282</v>
      </c>
      <c r="C2993" t="str">
        <f>IFERROR(VLOOKUP(ILACLISTE[[#This Row],[NAME]],Table5[#All],2,0),"")</f>
        <v/>
      </c>
    </row>
    <row r="2994" spans="1:3" x14ac:dyDescent="0.3">
      <c r="A2994" s="5" t="s">
        <v>3651</v>
      </c>
      <c r="B2994" t="s">
        <v>9283</v>
      </c>
      <c r="C2994" t="str">
        <f>IFERROR(VLOOKUP(ILACLISTE[[#This Row],[NAME]],Table5[#All],2,0),"")</f>
        <v/>
      </c>
    </row>
    <row r="2995" spans="1:3" x14ac:dyDescent="0.3">
      <c r="A2995" s="5" t="s">
        <v>3652</v>
      </c>
      <c r="B2995" t="s">
        <v>9284</v>
      </c>
      <c r="C2995" t="str">
        <f>IFERROR(VLOOKUP(ILACLISTE[[#This Row],[NAME]],Table5[#All],2,0),"")</f>
        <v/>
      </c>
    </row>
    <row r="2996" spans="1:3" x14ac:dyDescent="0.3">
      <c r="A2996" s="5" t="s">
        <v>3653</v>
      </c>
      <c r="B2996" t="s">
        <v>9285</v>
      </c>
      <c r="C2996" t="str">
        <f>IFERROR(VLOOKUP(ILACLISTE[[#This Row],[NAME]],Table5[#All],2,0),"")</f>
        <v/>
      </c>
    </row>
    <row r="2997" spans="1:3" x14ac:dyDescent="0.3">
      <c r="A2997" s="5" t="s">
        <v>3654</v>
      </c>
      <c r="B2997" t="s">
        <v>9286</v>
      </c>
      <c r="C2997" t="str">
        <f>IFERROR(VLOOKUP(ILACLISTE[[#This Row],[NAME]],Table5[#All],2,0),"")</f>
        <v/>
      </c>
    </row>
    <row r="2998" spans="1:3" x14ac:dyDescent="0.3">
      <c r="A2998" s="5" t="s">
        <v>3655</v>
      </c>
      <c r="B2998" t="s">
        <v>9287</v>
      </c>
      <c r="C2998" t="str">
        <f>IFERROR(VLOOKUP(ILACLISTE[[#This Row],[NAME]],Table5[#All],2,0),"")</f>
        <v/>
      </c>
    </row>
    <row r="2999" spans="1:3" x14ac:dyDescent="0.3">
      <c r="A2999" s="5" t="s">
        <v>3656</v>
      </c>
      <c r="B2999" t="s">
        <v>9288</v>
      </c>
      <c r="C2999" t="str">
        <f>IFERROR(VLOOKUP(ILACLISTE[[#This Row],[NAME]],Table5[#All],2,0),"")</f>
        <v/>
      </c>
    </row>
    <row r="3000" spans="1:3" x14ac:dyDescent="0.3">
      <c r="A3000" s="5" t="s">
        <v>3657</v>
      </c>
      <c r="B3000" t="s">
        <v>9289</v>
      </c>
      <c r="C3000" t="str">
        <f>IFERROR(VLOOKUP(ILACLISTE[[#This Row],[NAME]],Table5[#All],2,0),"")</f>
        <v/>
      </c>
    </row>
    <row r="3001" spans="1:3" x14ac:dyDescent="0.3">
      <c r="A3001" s="5" t="s">
        <v>3658</v>
      </c>
      <c r="B3001" t="s">
        <v>9290</v>
      </c>
      <c r="C3001" t="str">
        <f>IFERROR(VLOOKUP(ILACLISTE[[#This Row],[NAME]],Table5[#All],2,0),"")</f>
        <v/>
      </c>
    </row>
    <row r="3002" spans="1:3" x14ac:dyDescent="0.3">
      <c r="A3002" s="5" t="s">
        <v>3659</v>
      </c>
      <c r="B3002" t="s">
        <v>9291</v>
      </c>
      <c r="C3002" t="str">
        <f>IFERROR(VLOOKUP(ILACLISTE[[#This Row],[NAME]],Table5[#All],2,0),"")</f>
        <v/>
      </c>
    </row>
    <row r="3003" spans="1:3" x14ac:dyDescent="0.3">
      <c r="A3003" s="5" t="s">
        <v>3660</v>
      </c>
      <c r="B3003" t="s">
        <v>9292</v>
      </c>
      <c r="C3003" t="str">
        <f>IFERROR(VLOOKUP(ILACLISTE[[#This Row],[NAME]],Table5[#All],2,0),"")</f>
        <v/>
      </c>
    </row>
    <row r="3004" spans="1:3" x14ac:dyDescent="0.3">
      <c r="A3004" s="5" t="s">
        <v>3661</v>
      </c>
      <c r="B3004" t="s">
        <v>9293</v>
      </c>
      <c r="C3004" t="str">
        <f>IFERROR(VLOOKUP(ILACLISTE[[#This Row],[NAME]],Table5[#All],2,0),"")</f>
        <v/>
      </c>
    </row>
    <row r="3005" spans="1:3" x14ac:dyDescent="0.3">
      <c r="A3005" s="5" t="s">
        <v>3662</v>
      </c>
      <c r="B3005" t="s">
        <v>9294</v>
      </c>
      <c r="C3005" t="str">
        <f>IFERROR(VLOOKUP(ILACLISTE[[#This Row],[NAME]],Table5[#All],2,0),"")</f>
        <v/>
      </c>
    </row>
    <row r="3006" spans="1:3" x14ac:dyDescent="0.3">
      <c r="A3006" s="5" t="s">
        <v>3663</v>
      </c>
      <c r="B3006" t="s">
        <v>9295</v>
      </c>
      <c r="C3006" t="str">
        <f>IFERROR(VLOOKUP(ILACLISTE[[#This Row],[NAME]],Table5[#All],2,0),"")</f>
        <v/>
      </c>
    </row>
    <row r="3007" spans="1:3" x14ac:dyDescent="0.3">
      <c r="A3007" s="5" t="s">
        <v>3664</v>
      </c>
      <c r="B3007" t="s">
        <v>9296</v>
      </c>
      <c r="C3007" t="str">
        <f>IFERROR(VLOOKUP(ILACLISTE[[#This Row],[NAME]],Table5[#All],2,0),"")</f>
        <v/>
      </c>
    </row>
    <row r="3008" spans="1:3" x14ac:dyDescent="0.3">
      <c r="A3008" s="5" t="s">
        <v>3665</v>
      </c>
      <c r="B3008" t="s">
        <v>9297</v>
      </c>
      <c r="C3008" t="str">
        <f>IFERROR(VLOOKUP(ILACLISTE[[#This Row],[NAME]],Table5[#All],2,0),"")</f>
        <v/>
      </c>
    </row>
    <row r="3009" spans="1:3" x14ac:dyDescent="0.3">
      <c r="A3009" s="5" t="s">
        <v>3666</v>
      </c>
      <c r="B3009" t="s">
        <v>9298</v>
      </c>
      <c r="C3009" t="str">
        <f>IFERROR(VLOOKUP(ILACLISTE[[#This Row],[NAME]],Table5[#All],2,0),"")</f>
        <v/>
      </c>
    </row>
    <row r="3010" spans="1:3" x14ac:dyDescent="0.3">
      <c r="A3010" s="5" t="s">
        <v>3667</v>
      </c>
      <c r="B3010" t="s">
        <v>9299</v>
      </c>
      <c r="C3010" t="str">
        <f>IFERROR(VLOOKUP(ILACLISTE[[#This Row],[NAME]],Table5[#All],2,0),"")</f>
        <v/>
      </c>
    </row>
    <row r="3011" spans="1:3" x14ac:dyDescent="0.3">
      <c r="A3011" s="5" t="s">
        <v>3668</v>
      </c>
      <c r="B3011" t="s">
        <v>9300</v>
      </c>
      <c r="C3011" t="str">
        <f>IFERROR(VLOOKUP(ILACLISTE[[#This Row],[NAME]],Table5[#All],2,0),"")</f>
        <v/>
      </c>
    </row>
    <row r="3012" spans="1:3" x14ac:dyDescent="0.3">
      <c r="A3012" s="5" t="s">
        <v>3669</v>
      </c>
      <c r="B3012" t="s">
        <v>9301</v>
      </c>
      <c r="C3012" t="str">
        <f>IFERROR(VLOOKUP(ILACLISTE[[#This Row],[NAME]],Table5[#All],2,0),"")</f>
        <v/>
      </c>
    </row>
    <row r="3013" spans="1:3" x14ac:dyDescent="0.3">
      <c r="A3013" s="5" t="s">
        <v>3670</v>
      </c>
      <c r="B3013" t="s">
        <v>9302</v>
      </c>
      <c r="C3013" t="str">
        <f>IFERROR(VLOOKUP(ILACLISTE[[#This Row],[NAME]],Table5[#All],2,0),"")</f>
        <v/>
      </c>
    </row>
    <row r="3014" spans="1:3" x14ac:dyDescent="0.3">
      <c r="A3014" s="5" t="s">
        <v>692</v>
      </c>
      <c r="B3014" t="s">
        <v>9303</v>
      </c>
      <c r="C3014" t="str">
        <f>IFERROR(VLOOKUP(ILACLISTE[[#This Row],[NAME]],Table5[#All],2,0),"")</f>
        <v/>
      </c>
    </row>
    <row r="3015" spans="1:3" x14ac:dyDescent="0.3">
      <c r="A3015" s="5" t="s">
        <v>3671</v>
      </c>
      <c r="B3015" t="s">
        <v>9304</v>
      </c>
      <c r="C3015" t="str">
        <f>IFERROR(VLOOKUP(ILACLISTE[[#This Row],[NAME]],Table5[#All],2,0),"")</f>
        <v/>
      </c>
    </row>
    <row r="3016" spans="1:3" x14ac:dyDescent="0.3">
      <c r="A3016" s="5" t="s">
        <v>3672</v>
      </c>
      <c r="B3016" t="s">
        <v>9305</v>
      </c>
      <c r="C3016" t="str">
        <f>IFERROR(VLOOKUP(ILACLISTE[[#This Row],[NAME]],Table5[#All],2,0),"")</f>
        <v/>
      </c>
    </row>
    <row r="3017" spans="1:3" x14ac:dyDescent="0.3">
      <c r="A3017" s="5" t="s">
        <v>3673</v>
      </c>
      <c r="B3017" t="s">
        <v>9306</v>
      </c>
      <c r="C3017" t="str">
        <f>IFERROR(VLOOKUP(ILACLISTE[[#This Row],[NAME]],Table5[#All],2,0),"")</f>
        <v/>
      </c>
    </row>
    <row r="3018" spans="1:3" x14ac:dyDescent="0.3">
      <c r="A3018" s="5" t="s">
        <v>3674</v>
      </c>
      <c r="B3018" t="s">
        <v>386</v>
      </c>
      <c r="C3018" t="str">
        <f>IFERROR(VLOOKUP(ILACLISTE[[#This Row],[NAME]],Table5[#All],2,0),"")</f>
        <v/>
      </c>
    </row>
    <row r="3019" spans="1:3" x14ac:dyDescent="0.3">
      <c r="A3019" s="5" t="s">
        <v>3675</v>
      </c>
      <c r="B3019" t="s">
        <v>387</v>
      </c>
      <c r="C3019" t="str">
        <f>IFERROR(VLOOKUP(ILACLISTE[[#This Row],[NAME]],Table5[#All],2,0),"")</f>
        <v/>
      </c>
    </row>
    <row r="3020" spans="1:3" x14ac:dyDescent="0.3">
      <c r="A3020" s="5" t="s">
        <v>3676</v>
      </c>
      <c r="B3020" t="s">
        <v>9307</v>
      </c>
      <c r="C3020" t="str">
        <f>IFERROR(VLOOKUP(ILACLISTE[[#This Row],[NAME]],Table5[#All],2,0),"")</f>
        <v/>
      </c>
    </row>
    <row r="3021" spans="1:3" x14ac:dyDescent="0.3">
      <c r="A3021" s="5" t="s">
        <v>3677</v>
      </c>
      <c r="B3021" t="s">
        <v>9308</v>
      </c>
      <c r="C3021" t="str">
        <f>IFERROR(VLOOKUP(ILACLISTE[[#This Row],[NAME]],Table5[#All],2,0),"")</f>
        <v/>
      </c>
    </row>
    <row r="3022" spans="1:3" x14ac:dyDescent="0.3">
      <c r="A3022" s="5" t="s">
        <v>3678</v>
      </c>
      <c r="B3022" t="s">
        <v>9309</v>
      </c>
      <c r="C3022" t="str">
        <f>IFERROR(VLOOKUP(ILACLISTE[[#This Row],[NAME]],Table5[#All],2,0),"")</f>
        <v/>
      </c>
    </row>
    <row r="3023" spans="1:3" x14ac:dyDescent="0.3">
      <c r="A3023" s="5" t="s">
        <v>3679</v>
      </c>
      <c r="B3023" t="s">
        <v>9310</v>
      </c>
      <c r="C3023" t="str">
        <f>IFERROR(VLOOKUP(ILACLISTE[[#This Row],[NAME]],Table5[#All],2,0),"")</f>
        <v/>
      </c>
    </row>
    <row r="3024" spans="1:3" x14ac:dyDescent="0.3">
      <c r="A3024" s="5" t="s">
        <v>3680</v>
      </c>
      <c r="B3024" t="s">
        <v>9311</v>
      </c>
      <c r="C3024" t="str">
        <f>IFERROR(VLOOKUP(ILACLISTE[[#This Row],[NAME]],Table5[#All],2,0),"")</f>
        <v/>
      </c>
    </row>
    <row r="3025" spans="1:3" x14ac:dyDescent="0.3">
      <c r="A3025" s="5" t="s">
        <v>3681</v>
      </c>
      <c r="B3025" t="s">
        <v>9312</v>
      </c>
      <c r="C3025" t="str">
        <f>IFERROR(VLOOKUP(ILACLISTE[[#This Row],[NAME]],Table5[#All],2,0),"")</f>
        <v/>
      </c>
    </row>
    <row r="3026" spans="1:3" x14ac:dyDescent="0.3">
      <c r="A3026" s="5" t="s">
        <v>3682</v>
      </c>
      <c r="B3026" t="s">
        <v>9313</v>
      </c>
      <c r="C3026" t="str">
        <f>IFERROR(VLOOKUP(ILACLISTE[[#This Row],[NAME]],Table5[#All],2,0),"")</f>
        <v/>
      </c>
    </row>
    <row r="3027" spans="1:3" x14ac:dyDescent="0.3">
      <c r="A3027" s="5" t="s">
        <v>3683</v>
      </c>
      <c r="B3027" t="s">
        <v>388</v>
      </c>
      <c r="C3027" t="str">
        <f>IFERROR(VLOOKUP(ILACLISTE[[#This Row],[NAME]],Table5[#All],2,0),"")</f>
        <v/>
      </c>
    </row>
    <row r="3028" spans="1:3" x14ac:dyDescent="0.3">
      <c r="A3028" s="5" t="s">
        <v>3684</v>
      </c>
      <c r="B3028" t="s">
        <v>9314</v>
      </c>
      <c r="C3028" t="str">
        <f>IFERROR(VLOOKUP(ILACLISTE[[#This Row],[NAME]],Table5[#All],2,0),"")</f>
        <v/>
      </c>
    </row>
    <row r="3029" spans="1:3" x14ac:dyDescent="0.3">
      <c r="A3029" s="5" t="s">
        <v>3685</v>
      </c>
      <c r="B3029" t="s">
        <v>9315</v>
      </c>
      <c r="C3029" t="str">
        <f>IFERROR(VLOOKUP(ILACLISTE[[#This Row],[NAME]],Table5[#All],2,0),"")</f>
        <v/>
      </c>
    </row>
    <row r="3030" spans="1:3" x14ac:dyDescent="0.3">
      <c r="A3030" s="5" t="s">
        <v>3686</v>
      </c>
      <c r="B3030" t="s">
        <v>9316</v>
      </c>
      <c r="C3030" t="str">
        <f>IFERROR(VLOOKUP(ILACLISTE[[#This Row],[NAME]],Table5[#All],2,0),"")</f>
        <v/>
      </c>
    </row>
    <row r="3031" spans="1:3" x14ac:dyDescent="0.3">
      <c r="A3031" s="5" t="s">
        <v>3687</v>
      </c>
      <c r="B3031" t="s">
        <v>9317</v>
      </c>
      <c r="C3031" t="str">
        <f>IFERROR(VLOOKUP(ILACLISTE[[#This Row],[NAME]],Table5[#All],2,0),"")</f>
        <v/>
      </c>
    </row>
    <row r="3032" spans="1:3" x14ac:dyDescent="0.3">
      <c r="A3032" s="5" t="s">
        <v>3688</v>
      </c>
      <c r="B3032" t="s">
        <v>9318</v>
      </c>
      <c r="C3032" t="str">
        <f>IFERROR(VLOOKUP(ILACLISTE[[#This Row],[NAME]],Table5[#All],2,0),"")</f>
        <v/>
      </c>
    </row>
    <row r="3033" spans="1:3" x14ac:dyDescent="0.3">
      <c r="A3033" s="5" t="s">
        <v>3689</v>
      </c>
      <c r="B3033" t="s">
        <v>389</v>
      </c>
      <c r="C3033" t="str">
        <f>IFERROR(VLOOKUP(ILACLISTE[[#This Row],[NAME]],Table5[#All],2,0),"")</f>
        <v/>
      </c>
    </row>
    <row r="3034" spans="1:3" x14ac:dyDescent="0.3">
      <c r="A3034" s="5" t="s">
        <v>3690</v>
      </c>
      <c r="B3034" t="s">
        <v>390</v>
      </c>
      <c r="C3034" t="str">
        <f>IFERROR(VLOOKUP(ILACLISTE[[#This Row],[NAME]],Table5[#All],2,0),"")</f>
        <v/>
      </c>
    </row>
    <row r="3035" spans="1:3" x14ac:dyDescent="0.3">
      <c r="A3035" s="5" t="s">
        <v>3691</v>
      </c>
      <c r="B3035" t="s">
        <v>391</v>
      </c>
      <c r="C3035" t="str">
        <f>IFERROR(VLOOKUP(ILACLISTE[[#This Row],[NAME]],Table5[#All],2,0),"")</f>
        <v/>
      </c>
    </row>
    <row r="3036" spans="1:3" x14ac:dyDescent="0.3">
      <c r="A3036" s="5" t="s">
        <v>3692</v>
      </c>
      <c r="B3036" t="s">
        <v>392</v>
      </c>
      <c r="C3036" t="str">
        <f>IFERROR(VLOOKUP(ILACLISTE[[#This Row],[NAME]],Table5[#All],2,0),"")</f>
        <v/>
      </c>
    </row>
    <row r="3037" spans="1:3" x14ac:dyDescent="0.3">
      <c r="A3037" s="5" t="s">
        <v>3693</v>
      </c>
      <c r="B3037" t="s">
        <v>393</v>
      </c>
      <c r="C3037" t="str">
        <f>IFERROR(VLOOKUP(ILACLISTE[[#This Row],[NAME]],Table5[#All],2,0),"")</f>
        <v/>
      </c>
    </row>
    <row r="3038" spans="1:3" x14ac:dyDescent="0.3">
      <c r="A3038" s="5" t="s">
        <v>3694</v>
      </c>
      <c r="B3038" t="s">
        <v>9319</v>
      </c>
      <c r="C3038" t="str">
        <f>IFERROR(VLOOKUP(ILACLISTE[[#This Row],[NAME]],Table5[#All],2,0),"")</f>
        <v/>
      </c>
    </row>
    <row r="3039" spans="1:3" x14ac:dyDescent="0.3">
      <c r="A3039" s="5" t="s">
        <v>3695</v>
      </c>
      <c r="B3039" t="s">
        <v>9320</v>
      </c>
      <c r="C3039" t="str">
        <f>IFERROR(VLOOKUP(ILACLISTE[[#This Row],[NAME]],Table5[#All],2,0),"")</f>
        <v/>
      </c>
    </row>
    <row r="3040" spans="1:3" x14ac:dyDescent="0.3">
      <c r="A3040" s="5" t="s">
        <v>3696</v>
      </c>
      <c r="B3040" t="s">
        <v>9321</v>
      </c>
      <c r="C3040" t="str">
        <f>IFERROR(VLOOKUP(ILACLISTE[[#This Row],[NAME]],Table5[#All],2,0),"")</f>
        <v/>
      </c>
    </row>
    <row r="3041" spans="1:3" x14ac:dyDescent="0.3">
      <c r="A3041" s="5" t="s">
        <v>3697</v>
      </c>
      <c r="B3041" t="s">
        <v>394</v>
      </c>
      <c r="C3041" t="str">
        <f>IFERROR(VLOOKUP(ILACLISTE[[#This Row],[NAME]],Table5[#All],2,0),"")</f>
        <v/>
      </c>
    </row>
    <row r="3042" spans="1:3" x14ac:dyDescent="0.3">
      <c r="A3042" s="5" t="s">
        <v>3698</v>
      </c>
      <c r="B3042" t="s">
        <v>9322</v>
      </c>
      <c r="C3042" t="str">
        <f>IFERROR(VLOOKUP(ILACLISTE[[#This Row],[NAME]],Table5[#All],2,0),"")</f>
        <v/>
      </c>
    </row>
    <row r="3043" spans="1:3" x14ac:dyDescent="0.3">
      <c r="A3043" s="5" t="s">
        <v>3699</v>
      </c>
      <c r="B3043" t="s">
        <v>9323</v>
      </c>
      <c r="C3043" t="str">
        <f>IFERROR(VLOOKUP(ILACLISTE[[#This Row],[NAME]],Table5[#All],2,0),"")</f>
        <v/>
      </c>
    </row>
    <row r="3044" spans="1:3" x14ac:dyDescent="0.3">
      <c r="A3044" s="5" t="s">
        <v>3700</v>
      </c>
      <c r="B3044" t="s">
        <v>9324</v>
      </c>
      <c r="C3044" t="str">
        <f>IFERROR(VLOOKUP(ILACLISTE[[#This Row],[NAME]],Table5[#All],2,0),"")</f>
        <v/>
      </c>
    </row>
    <row r="3045" spans="1:3" x14ac:dyDescent="0.3">
      <c r="A3045" s="5" t="s">
        <v>3701</v>
      </c>
      <c r="B3045" t="s">
        <v>9325</v>
      </c>
      <c r="C3045" t="str">
        <f>IFERROR(VLOOKUP(ILACLISTE[[#This Row],[NAME]],Table5[#All],2,0),"")</f>
        <v/>
      </c>
    </row>
    <row r="3046" spans="1:3" x14ac:dyDescent="0.3">
      <c r="A3046" s="5" t="s">
        <v>3702</v>
      </c>
      <c r="B3046" t="s">
        <v>9326</v>
      </c>
      <c r="C3046" t="str">
        <f>IFERROR(VLOOKUP(ILACLISTE[[#This Row],[NAME]],Table5[#All],2,0),"")</f>
        <v/>
      </c>
    </row>
    <row r="3047" spans="1:3" x14ac:dyDescent="0.3">
      <c r="A3047" s="5" t="s">
        <v>3703</v>
      </c>
      <c r="B3047" t="s">
        <v>9327</v>
      </c>
      <c r="C3047" t="str">
        <f>IFERROR(VLOOKUP(ILACLISTE[[#This Row],[NAME]],Table5[#All],2,0),"")</f>
        <v/>
      </c>
    </row>
    <row r="3048" spans="1:3" x14ac:dyDescent="0.3">
      <c r="A3048" s="5" t="s">
        <v>3704</v>
      </c>
      <c r="B3048" t="s">
        <v>9328</v>
      </c>
      <c r="C3048" t="str">
        <f>IFERROR(VLOOKUP(ILACLISTE[[#This Row],[NAME]],Table5[#All],2,0),"")</f>
        <v/>
      </c>
    </row>
    <row r="3049" spans="1:3" x14ac:dyDescent="0.3">
      <c r="A3049" s="5" t="s">
        <v>3705</v>
      </c>
      <c r="B3049" t="s">
        <v>9329</v>
      </c>
      <c r="C3049" t="str">
        <f>IFERROR(VLOOKUP(ILACLISTE[[#This Row],[NAME]],Table5[#All],2,0),"")</f>
        <v/>
      </c>
    </row>
    <row r="3050" spans="1:3" x14ac:dyDescent="0.3">
      <c r="A3050" s="5" t="s">
        <v>3706</v>
      </c>
      <c r="B3050" t="s">
        <v>9330</v>
      </c>
      <c r="C3050" t="str">
        <f>IFERROR(VLOOKUP(ILACLISTE[[#This Row],[NAME]],Table5[#All],2,0),"")</f>
        <v/>
      </c>
    </row>
    <row r="3051" spans="1:3" x14ac:dyDescent="0.3">
      <c r="A3051" s="5" t="s">
        <v>3707</v>
      </c>
      <c r="B3051" t="s">
        <v>9331</v>
      </c>
      <c r="C3051" t="str">
        <f>IFERROR(VLOOKUP(ILACLISTE[[#This Row],[NAME]],Table5[#All],2,0),"")</f>
        <v/>
      </c>
    </row>
    <row r="3052" spans="1:3" x14ac:dyDescent="0.3">
      <c r="A3052" s="5" t="s">
        <v>3708</v>
      </c>
      <c r="B3052" t="s">
        <v>9332</v>
      </c>
      <c r="C3052" t="str">
        <f>IFERROR(VLOOKUP(ILACLISTE[[#This Row],[NAME]],Table5[#All],2,0),"")</f>
        <v/>
      </c>
    </row>
    <row r="3053" spans="1:3" x14ac:dyDescent="0.3">
      <c r="A3053" s="5" t="s">
        <v>3709</v>
      </c>
      <c r="B3053" t="s">
        <v>9333</v>
      </c>
      <c r="C3053" t="str">
        <f>IFERROR(VLOOKUP(ILACLISTE[[#This Row],[NAME]],Table5[#All],2,0),"")</f>
        <v/>
      </c>
    </row>
    <row r="3054" spans="1:3" x14ac:dyDescent="0.3">
      <c r="A3054" s="5" t="s">
        <v>3710</v>
      </c>
      <c r="B3054" t="s">
        <v>9334</v>
      </c>
      <c r="C3054" t="str">
        <f>IFERROR(VLOOKUP(ILACLISTE[[#This Row],[NAME]],Table5[#All],2,0),"")</f>
        <v/>
      </c>
    </row>
    <row r="3055" spans="1:3" x14ac:dyDescent="0.3">
      <c r="A3055" s="5" t="s">
        <v>3711</v>
      </c>
      <c r="B3055" t="s">
        <v>9335</v>
      </c>
      <c r="C3055" t="str">
        <f>IFERROR(VLOOKUP(ILACLISTE[[#This Row],[NAME]],Table5[#All],2,0),"")</f>
        <v/>
      </c>
    </row>
    <row r="3056" spans="1:3" x14ac:dyDescent="0.3">
      <c r="A3056" s="5" t="s">
        <v>3712</v>
      </c>
      <c r="B3056" t="s">
        <v>9336</v>
      </c>
      <c r="C3056" t="str">
        <f>IFERROR(VLOOKUP(ILACLISTE[[#This Row],[NAME]],Table5[#All],2,0),"")</f>
        <v/>
      </c>
    </row>
    <row r="3057" spans="1:3" x14ac:dyDescent="0.3">
      <c r="A3057" s="5" t="s">
        <v>3713</v>
      </c>
      <c r="B3057" t="s">
        <v>9337</v>
      </c>
      <c r="C3057" t="str">
        <f>IFERROR(VLOOKUP(ILACLISTE[[#This Row],[NAME]],Table5[#All],2,0),"")</f>
        <v/>
      </c>
    </row>
    <row r="3058" spans="1:3" x14ac:dyDescent="0.3">
      <c r="A3058" s="5" t="s">
        <v>3714</v>
      </c>
      <c r="B3058" t="s">
        <v>9338</v>
      </c>
      <c r="C3058" t="str">
        <f>IFERROR(VLOOKUP(ILACLISTE[[#This Row],[NAME]],Table5[#All],2,0),"")</f>
        <v/>
      </c>
    </row>
    <row r="3059" spans="1:3" x14ac:dyDescent="0.3">
      <c r="A3059" s="5" t="s">
        <v>3715</v>
      </c>
      <c r="B3059" t="s">
        <v>9339</v>
      </c>
      <c r="C3059" t="str">
        <f>IFERROR(VLOOKUP(ILACLISTE[[#This Row],[NAME]],Table5[#All],2,0),"")</f>
        <v/>
      </c>
    </row>
    <row r="3060" spans="1:3" x14ac:dyDescent="0.3">
      <c r="A3060" s="5" t="s">
        <v>3716</v>
      </c>
      <c r="B3060" t="s">
        <v>9340</v>
      </c>
      <c r="C3060" t="str">
        <f>IFERROR(VLOOKUP(ILACLISTE[[#This Row],[NAME]],Table5[#All],2,0),"")</f>
        <v/>
      </c>
    </row>
    <row r="3061" spans="1:3" x14ac:dyDescent="0.3">
      <c r="A3061" s="5" t="s">
        <v>3717</v>
      </c>
      <c r="B3061" t="s">
        <v>9341</v>
      </c>
      <c r="C3061" t="str">
        <f>IFERROR(VLOOKUP(ILACLISTE[[#This Row],[NAME]],Table5[#All],2,0),"")</f>
        <v/>
      </c>
    </row>
    <row r="3062" spans="1:3" x14ac:dyDescent="0.3">
      <c r="A3062" s="5" t="s">
        <v>3718</v>
      </c>
      <c r="B3062" t="s">
        <v>9342</v>
      </c>
      <c r="C3062" t="str">
        <f>IFERROR(VLOOKUP(ILACLISTE[[#This Row],[NAME]],Table5[#All],2,0),"")</f>
        <v/>
      </c>
    </row>
    <row r="3063" spans="1:3" x14ac:dyDescent="0.3">
      <c r="A3063" s="5" t="s">
        <v>3719</v>
      </c>
      <c r="B3063" t="s">
        <v>9343</v>
      </c>
      <c r="C3063" t="str">
        <f>IFERROR(VLOOKUP(ILACLISTE[[#This Row],[NAME]],Table5[#All],2,0),"")</f>
        <v/>
      </c>
    </row>
    <row r="3064" spans="1:3" x14ac:dyDescent="0.3">
      <c r="A3064" s="5" t="s">
        <v>3720</v>
      </c>
      <c r="B3064" t="s">
        <v>9344</v>
      </c>
      <c r="C3064" t="str">
        <f>IFERROR(VLOOKUP(ILACLISTE[[#This Row],[NAME]],Table5[#All],2,0),"")</f>
        <v/>
      </c>
    </row>
    <row r="3065" spans="1:3" x14ac:dyDescent="0.3">
      <c r="A3065" s="5" t="s">
        <v>3721</v>
      </c>
      <c r="B3065" t="s">
        <v>9345</v>
      </c>
      <c r="C3065" t="str">
        <f>IFERROR(VLOOKUP(ILACLISTE[[#This Row],[NAME]],Table5[#All],2,0),"")</f>
        <v/>
      </c>
    </row>
    <row r="3066" spans="1:3" x14ac:dyDescent="0.3">
      <c r="A3066" s="5" t="s">
        <v>3722</v>
      </c>
      <c r="B3066" t="s">
        <v>9346</v>
      </c>
      <c r="C3066" t="str">
        <f>IFERROR(VLOOKUP(ILACLISTE[[#This Row],[NAME]],Table5[#All],2,0),"")</f>
        <v/>
      </c>
    </row>
    <row r="3067" spans="1:3" x14ac:dyDescent="0.3">
      <c r="A3067" s="5" t="s">
        <v>3723</v>
      </c>
      <c r="B3067" t="s">
        <v>395</v>
      </c>
      <c r="C3067" t="str">
        <f>IFERROR(VLOOKUP(ILACLISTE[[#This Row],[NAME]],Table5[#All],2,0),"")</f>
        <v/>
      </c>
    </row>
    <row r="3068" spans="1:3" x14ac:dyDescent="0.3">
      <c r="A3068" s="5" t="s">
        <v>3724</v>
      </c>
      <c r="B3068" t="s">
        <v>396</v>
      </c>
      <c r="C3068" t="str">
        <f>IFERROR(VLOOKUP(ILACLISTE[[#This Row],[NAME]],Table5[#All],2,0),"")</f>
        <v/>
      </c>
    </row>
    <row r="3069" spans="1:3" x14ac:dyDescent="0.3">
      <c r="A3069" s="5" t="s">
        <v>3725</v>
      </c>
      <c r="B3069" t="s">
        <v>9347</v>
      </c>
      <c r="C3069" t="str">
        <f>IFERROR(VLOOKUP(ILACLISTE[[#This Row],[NAME]],Table5[#All],2,0),"")</f>
        <v/>
      </c>
    </row>
    <row r="3070" spans="1:3" x14ac:dyDescent="0.3">
      <c r="A3070" s="5" t="s">
        <v>3726</v>
      </c>
      <c r="B3070" t="s">
        <v>9348</v>
      </c>
      <c r="C3070" t="str">
        <f>IFERROR(VLOOKUP(ILACLISTE[[#This Row],[NAME]],Table5[#All],2,0),"")</f>
        <v/>
      </c>
    </row>
    <row r="3071" spans="1:3" x14ac:dyDescent="0.3">
      <c r="A3071" s="5" t="s">
        <v>3727</v>
      </c>
      <c r="B3071" t="s">
        <v>9349</v>
      </c>
      <c r="C3071" t="str">
        <f>IFERROR(VLOOKUP(ILACLISTE[[#This Row],[NAME]],Table5[#All],2,0),"")</f>
        <v/>
      </c>
    </row>
    <row r="3072" spans="1:3" x14ac:dyDescent="0.3">
      <c r="A3072" s="5" t="s">
        <v>3728</v>
      </c>
      <c r="B3072" t="s">
        <v>9350</v>
      </c>
      <c r="C3072" t="str">
        <f>IFERROR(VLOOKUP(ILACLISTE[[#This Row],[NAME]],Table5[#All],2,0),"")</f>
        <v/>
      </c>
    </row>
    <row r="3073" spans="1:3" x14ac:dyDescent="0.3">
      <c r="A3073" s="5" t="s">
        <v>3729</v>
      </c>
      <c r="B3073" t="s">
        <v>9351</v>
      </c>
      <c r="C3073" t="str">
        <f>IFERROR(VLOOKUP(ILACLISTE[[#This Row],[NAME]],Table5[#All],2,0),"")</f>
        <v/>
      </c>
    </row>
    <row r="3074" spans="1:3" x14ac:dyDescent="0.3">
      <c r="A3074" s="5" t="s">
        <v>3730</v>
      </c>
      <c r="B3074" t="s">
        <v>9352</v>
      </c>
      <c r="C3074" t="str">
        <f>IFERROR(VLOOKUP(ILACLISTE[[#This Row],[NAME]],Table5[#All],2,0),"")</f>
        <v/>
      </c>
    </row>
    <row r="3075" spans="1:3" x14ac:dyDescent="0.3">
      <c r="A3075" s="5" t="s">
        <v>3731</v>
      </c>
      <c r="B3075" t="s">
        <v>9353</v>
      </c>
      <c r="C3075" t="str">
        <f>IFERROR(VLOOKUP(ILACLISTE[[#This Row],[NAME]],Table5[#All],2,0),"")</f>
        <v/>
      </c>
    </row>
    <row r="3076" spans="1:3" x14ac:dyDescent="0.3">
      <c r="A3076" s="5" t="s">
        <v>3732</v>
      </c>
      <c r="B3076" t="s">
        <v>9354</v>
      </c>
      <c r="C3076" t="str">
        <f>IFERROR(VLOOKUP(ILACLISTE[[#This Row],[NAME]],Table5[#All],2,0),"")</f>
        <v/>
      </c>
    </row>
    <row r="3077" spans="1:3" x14ac:dyDescent="0.3">
      <c r="A3077" s="5" t="s">
        <v>3733</v>
      </c>
      <c r="B3077" t="s">
        <v>9355</v>
      </c>
      <c r="C3077" t="str">
        <f>IFERROR(VLOOKUP(ILACLISTE[[#This Row],[NAME]],Table5[#All],2,0),"")</f>
        <v/>
      </c>
    </row>
    <row r="3078" spans="1:3" x14ac:dyDescent="0.3">
      <c r="A3078" s="5" t="s">
        <v>3734</v>
      </c>
      <c r="B3078" t="s">
        <v>9356</v>
      </c>
      <c r="C3078" t="str">
        <f>IFERROR(VLOOKUP(ILACLISTE[[#This Row],[NAME]],Table5[#All],2,0),"")</f>
        <v/>
      </c>
    </row>
    <row r="3079" spans="1:3" x14ac:dyDescent="0.3">
      <c r="A3079" s="5" t="s">
        <v>3735</v>
      </c>
      <c r="B3079" t="s">
        <v>9357</v>
      </c>
      <c r="C3079" t="str">
        <f>IFERROR(VLOOKUP(ILACLISTE[[#This Row],[NAME]],Table5[#All],2,0),"")</f>
        <v/>
      </c>
    </row>
    <row r="3080" spans="1:3" x14ac:dyDescent="0.3">
      <c r="A3080" s="5" t="s">
        <v>3736</v>
      </c>
      <c r="B3080" t="s">
        <v>9358</v>
      </c>
      <c r="C3080" t="str">
        <f>IFERROR(VLOOKUP(ILACLISTE[[#This Row],[NAME]],Table5[#All],2,0),"")</f>
        <v/>
      </c>
    </row>
    <row r="3081" spans="1:3" x14ac:dyDescent="0.3">
      <c r="A3081" s="5" t="s">
        <v>3737</v>
      </c>
      <c r="B3081" t="s">
        <v>9359</v>
      </c>
      <c r="C3081" t="str">
        <f>IFERROR(VLOOKUP(ILACLISTE[[#This Row],[NAME]],Table5[#All],2,0),"")</f>
        <v/>
      </c>
    </row>
    <row r="3082" spans="1:3" x14ac:dyDescent="0.3">
      <c r="A3082" s="5" t="s">
        <v>3738</v>
      </c>
      <c r="B3082" t="s">
        <v>9360</v>
      </c>
      <c r="C3082" t="str">
        <f>IFERROR(VLOOKUP(ILACLISTE[[#This Row],[NAME]],Table5[#All],2,0),"")</f>
        <v/>
      </c>
    </row>
    <row r="3083" spans="1:3" x14ac:dyDescent="0.3">
      <c r="A3083" s="5" t="s">
        <v>3739</v>
      </c>
      <c r="B3083" t="s">
        <v>9361</v>
      </c>
      <c r="C3083" t="str">
        <f>IFERROR(VLOOKUP(ILACLISTE[[#This Row],[NAME]],Table5[#All],2,0),"")</f>
        <v/>
      </c>
    </row>
    <row r="3084" spans="1:3" x14ac:dyDescent="0.3">
      <c r="A3084" s="5" t="s">
        <v>3740</v>
      </c>
      <c r="B3084" t="s">
        <v>9362</v>
      </c>
      <c r="C3084" t="str">
        <f>IFERROR(VLOOKUP(ILACLISTE[[#This Row],[NAME]],Table5[#All],2,0),"")</f>
        <v/>
      </c>
    </row>
    <row r="3085" spans="1:3" x14ac:dyDescent="0.3">
      <c r="A3085" s="5" t="s">
        <v>3741</v>
      </c>
      <c r="B3085" t="s">
        <v>9363</v>
      </c>
      <c r="C3085" t="str">
        <f>IFERROR(VLOOKUP(ILACLISTE[[#This Row],[NAME]],Table5[#All],2,0),"")</f>
        <v/>
      </c>
    </row>
    <row r="3086" spans="1:3" x14ac:dyDescent="0.3">
      <c r="A3086" s="5" t="s">
        <v>3742</v>
      </c>
      <c r="B3086" t="s">
        <v>9364</v>
      </c>
      <c r="C3086" t="str">
        <f>IFERROR(VLOOKUP(ILACLISTE[[#This Row],[NAME]],Table5[#All],2,0),"")</f>
        <v/>
      </c>
    </row>
    <row r="3087" spans="1:3" x14ac:dyDescent="0.3">
      <c r="A3087" s="5" t="s">
        <v>3743</v>
      </c>
      <c r="B3087" t="s">
        <v>9365</v>
      </c>
      <c r="C3087" t="str">
        <f>IFERROR(VLOOKUP(ILACLISTE[[#This Row],[NAME]],Table5[#All],2,0),"")</f>
        <v/>
      </c>
    </row>
    <row r="3088" spans="1:3" x14ac:dyDescent="0.3">
      <c r="A3088" s="5" t="s">
        <v>3744</v>
      </c>
      <c r="B3088" t="s">
        <v>397</v>
      </c>
      <c r="C3088" t="str">
        <f>IFERROR(VLOOKUP(ILACLISTE[[#This Row],[NAME]],Table5[#All],2,0),"")</f>
        <v/>
      </c>
    </row>
    <row r="3089" spans="1:3" x14ac:dyDescent="0.3">
      <c r="A3089" s="5" t="s">
        <v>3745</v>
      </c>
      <c r="B3089" t="s">
        <v>9366</v>
      </c>
      <c r="C3089" t="str">
        <f>IFERROR(VLOOKUP(ILACLISTE[[#This Row],[NAME]],Table5[#All],2,0),"")</f>
        <v/>
      </c>
    </row>
    <row r="3090" spans="1:3" x14ac:dyDescent="0.3">
      <c r="A3090" s="5" t="s">
        <v>3746</v>
      </c>
      <c r="B3090" t="s">
        <v>9367</v>
      </c>
      <c r="C3090" t="str">
        <f>IFERROR(VLOOKUP(ILACLISTE[[#This Row],[NAME]],Table5[#All],2,0),"")</f>
        <v/>
      </c>
    </row>
    <row r="3091" spans="1:3" x14ac:dyDescent="0.3">
      <c r="A3091" s="5" t="s">
        <v>3747</v>
      </c>
      <c r="B3091" t="s">
        <v>9368</v>
      </c>
      <c r="C3091" t="str">
        <f>IFERROR(VLOOKUP(ILACLISTE[[#This Row],[NAME]],Table5[#All],2,0),"")</f>
        <v/>
      </c>
    </row>
    <row r="3092" spans="1:3" x14ac:dyDescent="0.3">
      <c r="A3092" s="5" t="s">
        <v>3748</v>
      </c>
      <c r="B3092" t="s">
        <v>9369</v>
      </c>
      <c r="C3092" t="str">
        <f>IFERROR(VLOOKUP(ILACLISTE[[#This Row],[NAME]],Table5[#All],2,0),"")</f>
        <v/>
      </c>
    </row>
    <row r="3093" spans="1:3" x14ac:dyDescent="0.3">
      <c r="A3093" s="5" t="s">
        <v>3749</v>
      </c>
      <c r="B3093" t="s">
        <v>9370</v>
      </c>
      <c r="C3093" t="str">
        <f>IFERROR(VLOOKUP(ILACLISTE[[#This Row],[NAME]],Table5[#All],2,0),"")</f>
        <v/>
      </c>
    </row>
    <row r="3094" spans="1:3" x14ac:dyDescent="0.3">
      <c r="A3094" s="5" t="s">
        <v>3750</v>
      </c>
      <c r="B3094" t="s">
        <v>9371</v>
      </c>
      <c r="C3094" t="str">
        <f>IFERROR(VLOOKUP(ILACLISTE[[#This Row],[NAME]],Table5[#All],2,0),"")</f>
        <v/>
      </c>
    </row>
    <row r="3095" spans="1:3" x14ac:dyDescent="0.3">
      <c r="A3095" s="5" t="s">
        <v>3751</v>
      </c>
      <c r="B3095" t="s">
        <v>9372</v>
      </c>
      <c r="C3095" t="str">
        <f>IFERROR(VLOOKUP(ILACLISTE[[#This Row],[NAME]],Table5[#All],2,0),"")</f>
        <v/>
      </c>
    </row>
    <row r="3096" spans="1:3" x14ac:dyDescent="0.3">
      <c r="A3096" s="5" t="s">
        <v>3752</v>
      </c>
      <c r="B3096" t="s">
        <v>9373</v>
      </c>
      <c r="C3096" t="str">
        <f>IFERROR(VLOOKUP(ILACLISTE[[#This Row],[NAME]],Table5[#All],2,0),"")</f>
        <v/>
      </c>
    </row>
    <row r="3097" spans="1:3" x14ac:dyDescent="0.3">
      <c r="A3097" s="5" t="s">
        <v>3753</v>
      </c>
      <c r="B3097" t="s">
        <v>9374</v>
      </c>
      <c r="C3097" t="str">
        <f>IFERROR(VLOOKUP(ILACLISTE[[#This Row],[NAME]],Table5[#All],2,0),"")</f>
        <v/>
      </c>
    </row>
    <row r="3098" spans="1:3" x14ac:dyDescent="0.3">
      <c r="A3098" s="5" t="s">
        <v>3754</v>
      </c>
      <c r="B3098" t="s">
        <v>9375</v>
      </c>
      <c r="C3098" t="str">
        <f>IFERROR(VLOOKUP(ILACLISTE[[#This Row],[NAME]],Table5[#All],2,0),"")</f>
        <v/>
      </c>
    </row>
    <row r="3099" spans="1:3" x14ac:dyDescent="0.3">
      <c r="A3099" s="5" t="s">
        <v>3755</v>
      </c>
      <c r="B3099" t="s">
        <v>9376</v>
      </c>
      <c r="C3099" t="str">
        <f>IFERROR(VLOOKUP(ILACLISTE[[#This Row],[NAME]],Table5[#All],2,0),"")</f>
        <v/>
      </c>
    </row>
    <row r="3100" spans="1:3" x14ac:dyDescent="0.3">
      <c r="A3100" s="5" t="s">
        <v>3756</v>
      </c>
      <c r="B3100" t="s">
        <v>9377</v>
      </c>
      <c r="C3100" t="str">
        <f>IFERROR(VLOOKUP(ILACLISTE[[#This Row],[NAME]],Table5[#All],2,0),"")</f>
        <v/>
      </c>
    </row>
    <row r="3101" spans="1:3" x14ac:dyDescent="0.3">
      <c r="A3101" s="5" t="s">
        <v>3757</v>
      </c>
      <c r="B3101" t="s">
        <v>9378</v>
      </c>
      <c r="C3101" t="str">
        <f>IFERROR(VLOOKUP(ILACLISTE[[#This Row],[NAME]],Table5[#All],2,0),"")</f>
        <v/>
      </c>
    </row>
    <row r="3102" spans="1:3" x14ac:dyDescent="0.3">
      <c r="A3102" s="5" t="s">
        <v>3758</v>
      </c>
      <c r="B3102" t="s">
        <v>9379</v>
      </c>
      <c r="C3102" t="str">
        <f>IFERROR(VLOOKUP(ILACLISTE[[#This Row],[NAME]],Table5[#All],2,0),"")</f>
        <v/>
      </c>
    </row>
    <row r="3103" spans="1:3" x14ac:dyDescent="0.3">
      <c r="A3103" s="5" t="s">
        <v>3759</v>
      </c>
      <c r="B3103" t="s">
        <v>9380</v>
      </c>
      <c r="C3103" t="str">
        <f>IFERROR(VLOOKUP(ILACLISTE[[#This Row],[NAME]],Table5[#All],2,0),"")</f>
        <v/>
      </c>
    </row>
    <row r="3104" spans="1:3" x14ac:dyDescent="0.3">
      <c r="A3104" s="5" t="s">
        <v>3760</v>
      </c>
      <c r="B3104" t="s">
        <v>9381</v>
      </c>
      <c r="C3104" t="str">
        <f>IFERROR(VLOOKUP(ILACLISTE[[#This Row],[NAME]],Table5[#All],2,0),"")</f>
        <v/>
      </c>
    </row>
    <row r="3105" spans="1:3" x14ac:dyDescent="0.3">
      <c r="A3105" s="5" t="s">
        <v>3761</v>
      </c>
      <c r="B3105" t="s">
        <v>9382</v>
      </c>
      <c r="C3105" t="str">
        <f>IFERROR(VLOOKUP(ILACLISTE[[#This Row],[NAME]],Table5[#All],2,0),"")</f>
        <v/>
      </c>
    </row>
    <row r="3106" spans="1:3" x14ac:dyDescent="0.3">
      <c r="A3106" s="5" t="s">
        <v>3762</v>
      </c>
      <c r="B3106" t="s">
        <v>9383</v>
      </c>
      <c r="C3106" t="str">
        <f>IFERROR(VLOOKUP(ILACLISTE[[#This Row],[NAME]],Table5[#All],2,0),"")</f>
        <v/>
      </c>
    </row>
    <row r="3107" spans="1:3" x14ac:dyDescent="0.3">
      <c r="A3107" s="5" t="s">
        <v>3763</v>
      </c>
      <c r="B3107" t="s">
        <v>9384</v>
      </c>
      <c r="C3107" t="str">
        <f>IFERROR(VLOOKUP(ILACLISTE[[#This Row],[NAME]],Table5[#All],2,0),"")</f>
        <v/>
      </c>
    </row>
    <row r="3108" spans="1:3" x14ac:dyDescent="0.3">
      <c r="A3108" s="5" t="s">
        <v>3764</v>
      </c>
      <c r="B3108" t="s">
        <v>9385</v>
      </c>
      <c r="C3108" t="str">
        <f>IFERROR(VLOOKUP(ILACLISTE[[#This Row],[NAME]],Table5[#All],2,0),"")</f>
        <v/>
      </c>
    </row>
    <row r="3109" spans="1:3" x14ac:dyDescent="0.3">
      <c r="A3109" s="5" t="s">
        <v>3765</v>
      </c>
      <c r="B3109" t="s">
        <v>9386</v>
      </c>
      <c r="C3109" t="str">
        <f>IFERROR(VLOOKUP(ILACLISTE[[#This Row],[NAME]],Table5[#All],2,0),"")</f>
        <v/>
      </c>
    </row>
    <row r="3110" spans="1:3" x14ac:dyDescent="0.3">
      <c r="A3110" s="5" t="s">
        <v>3766</v>
      </c>
      <c r="B3110" t="s">
        <v>9387</v>
      </c>
      <c r="C3110" t="str">
        <f>IFERROR(VLOOKUP(ILACLISTE[[#This Row],[NAME]],Table5[#All],2,0),"")</f>
        <v/>
      </c>
    </row>
    <row r="3111" spans="1:3" x14ac:dyDescent="0.3">
      <c r="A3111" s="5" t="s">
        <v>3767</v>
      </c>
      <c r="B3111" t="s">
        <v>9388</v>
      </c>
      <c r="C3111" t="str">
        <f>IFERROR(VLOOKUP(ILACLISTE[[#This Row],[NAME]],Table5[#All],2,0),"")</f>
        <v/>
      </c>
    </row>
    <row r="3112" spans="1:3" x14ac:dyDescent="0.3">
      <c r="A3112" s="5" t="s">
        <v>3768</v>
      </c>
      <c r="B3112" t="s">
        <v>9389</v>
      </c>
      <c r="C3112" t="str">
        <f>IFERROR(VLOOKUP(ILACLISTE[[#This Row],[NAME]],Table5[#All],2,0),"")</f>
        <v/>
      </c>
    </row>
    <row r="3113" spans="1:3" x14ac:dyDescent="0.3">
      <c r="A3113" s="5" t="s">
        <v>3769</v>
      </c>
      <c r="B3113" t="s">
        <v>9390</v>
      </c>
      <c r="C3113" t="str">
        <f>IFERROR(VLOOKUP(ILACLISTE[[#This Row],[NAME]],Table5[#All],2,0),"")</f>
        <v/>
      </c>
    </row>
    <row r="3114" spans="1:3" x14ac:dyDescent="0.3">
      <c r="A3114" s="5" t="s">
        <v>3770</v>
      </c>
      <c r="B3114" t="s">
        <v>9391</v>
      </c>
      <c r="C3114" t="str">
        <f>IFERROR(VLOOKUP(ILACLISTE[[#This Row],[NAME]],Table5[#All],2,0),"")</f>
        <v/>
      </c>
    </row>
    <row r="3115" spans="1:3" x14ac:dyDescent="0.3">
      <c r="A3115" s="5" t="s">
        <v>3771</v>
      </c>
      <c r="B3115" t="s">
        <v>9392</v>
      </c>
      <c r="C3115" t="str">
        <f>IFERROR(VLOOKUP(ILACLISTE[[#This Row],[NAME]],Table5[#All],2,0),"")</f>
        <v/>
      </c>
    </row>
    <row r="3116" spans="1:3" x14ac:dyDescent="0.3">
      <c r="A3116" s="5" t="s">
        <v>3772</v>
      </c>
      <c r="B3116" t="s">
        <v>9393</v>
      </c>
      <c r="C3116" t="str">
        <f>IFERROR(VLOOKUP(ILACLISTE[[#This Row],[NAME]],Table5[#All],2,0),"")</f>
        <v/>
      </c>
    </row>
    <row r="3117" spans="1:3" x14ac:dyDescent="0.3">
      <c r="A3117" s="5" t="s">
        <v>3773</v>
      </c>
      <c r="B3117" t="s">
        <v>9394</v>
      </c>
      <c r="C3117" t="str">
        <f>IFERROR(VLOOKUP(ILACLISTE[[#This Row],[NAME]],Table5[#All],2,0),"")</f>
        <v/>
      </c>
    </row>
    <row r="3118" spans="1:3" x14ac:dyDescent="0.3">
      <c r="A3118" s="5" t="s">
        <v>3774</v>
      </c>
      <c r="B3118" t="s">
        <v>9395</v>
      </c>
      <c r="C3118" t="str">
        <f>IFERROR(VLOOKUP(ILACLISTE[[#This Row],[NAME]],Table5[#All],2,0),"")</f>
        <v/>
      </c>
    </row>
    <row r="3119" spans="1:3" x14ac:dyDescent="0.3">
      <c r="A3119" s="5" t="s">
        <v>3775</v>
      </c>
      <c r="B3119" t="s">
        <v>9396</v>
      </c>
      <c r="C3119" t="str">
        <f>IFERROR(VLOOKUP(ILACLISTE[[#This Row],[NAME]],Table5[#All],2,0),"")</f>
        <v/>
      </c>
    </row>
    <row r="3120" spans="1:3" x14ac:dyDescent="0.3">
      <c r="A3120" s="5" t="s">
        <v>3776</v>
      </c>
      <c r="B3120" t="s">
        <v>9397</v>
      </c>
      <c r="C3120" t="str">
        <f>IFERROR(VLOOKUP(ILACLISTE[[#This Row],[NAME]],Table5[#All],2,0),"")</f>
        <v/>
      </c>
    </row>
    <row r="3121" spans="1:3" x14ac:dyDescent="0.3">
      <c r="A3121" s="5" t="s">
        <v>3777</v>
      </c>
      <c r="B3121" t="s">
        <v>9398</v>
      </c>
      <c r="C3121" t="str">
        <f>IFERROR(VLOOKUP(ILACLISTE[[#This Row],[NAME]],Table5[#All],2,0),"")</f>
        <v/>
      </c>
    </row>
    <row r="3122" spans="1:3" x14ac:dyDescent="0.3">
      <c r="A3122" s="5" t="s">
        <v>3778</v>
      </c>
      <c r="B3122" t="s">
        <v>9399</v>
      </c>
      <c r="C3122" t="str">
        <f>IFERROR(VLOOKUP(ILACLISTE[[#This Row],[NAME]],Table5[#All],2,0),"")</f>
        <v/>
      </c>
    </row>
    <row r="3123" spans="1:3" x14ac:dyDescent="0.3">
      <c r="A3123" s="5" t="s">
        <v>3779</v>
      </c>
      <c r="B3123" t="s">
        <v>9400</v>
      </c>
      <c r="C3123" t="str">
        <f>IFERROR(VLOOKUP(ILACLISTE[[#This Row],[NAME]],Table5[#All],2,0),"")</f>
        <v/>
      </c>
    </row>
    <row r="3124" spans="1:3" x14ac:dyDescent="0.3">
      <c r="A3124" s="5" t="s">
        <v>3780</v>
      </c>
      <c r="B3124" t="s">
        <v>9401</v>
      </c>
      <c r="C3124" t="str">
        <f>IFERROR(VLOOKUP(ILACLISTE[[#This Row],[NAME]],Table5[#All],2,0),"")</f>
        <v/>
      </c>
    </row>
    <row r="3125" spans="1:3" x14ac:dyDescent="0.3">
      <c r="A3125" s="5" t="s">
        <v>3781</v>
      </c>
      <c r="B3125" t="s">
        <v>9402</v>
      </c>
      <c r="C3125" t="str">
        <f>IFERROR(VLOOKUP(ILACLISTE[[#This Row],[NAME]],Table5[#All],2,0),"")</f>
        <v/>
      </c>
    </row>
    <row r="3126" spans="1:3" x14ac:dyDescent="0.3">
      <c r="A3126" s="5" t="s">
        <v>3782</v>
      </c>
      <c r="B3126" t="s">
        <v>9403</v>
      </c>
      <c r="C3126" t="str">
        <f>IFERROR(VLOOKUP(ILACLISTE[[#This Row],[NAME]],Table5[#All],2,0),"")</f>
        <v/>
      </c>
    </row>
    <row r="3127" spans="1:3" x14ac:dyDescent="0.3">
      <c r="A3127" s="5" t="s">
        <v>3783</v>
      </c>
      <c r="B3127" t="s">
        <v>9404</v>
      </c>
      <c r="C3127" t="str">
        <f>IFERROR(VLOOKUP(ILACLISTE[[#This Row],[NAME]],Table5[#All],2,0),"")</f>
        <v/>
      </c>
    </row>
    <row r="3128" spans="1:3" x14ac:dyDescent="0.3">
      <c r="A3128" s="5" t="s">
        <v>3784</v>
      </c>
      <c r="B3128" t="s">
        <v>9405</v>
      </c>
      <c r="C3128" t="str">
        <f>IFERROR(VLOOKUP(ILACLISTE[[#This Row],[NAME]],Table5[#All],2,0),"")</f>
        <v/>
      </c>
    </row>
    <row r="3129" spans="1:3" x14ac:dyDescent="0.3">
      <c r="A3129" s="5" t="s">
        <v>3785</v>
      </c>
      <c r="B3129" t="s">
        <v>9406</v>
      </c>
      <c r="C3129" t="str">
        <f>IFERROR(VLOOKUP(ILACLISTE[[#This Row],[NAME]],Table5[#All],2,0),"")</f>
        <v/>
      </c>
    </row>
    <row r="3130" spans="1:3" x14ac:dyDescent="0.3">
      <c r="A3130" s="5" t="s">
        <v>3786</v>
      </c>
      <c r="B3130" t="s">
        <v>9407</v>
      </c>
      <c r="C3130" t="str">
        <f>IFERROR(VLOOKUP(ILACLISTE[[#This Row],[NAME]],Table5[#All],2,0),"")</f>
        <v/>
      </c>
    </row>
    <row r="3131" spans="1:3" x14ac:dyDescent="0.3">
      <c r="A3131" s="5" t="s">
        <v>3787</v>
      </c>
      <c r="B3131" t="s">
        <v>9408</v>
      </c>
      <c r="C3131" t="str">
        <f>IFERROR(VLOOKUP(ILACLISTE[[#This Row],[NAME]],Table5[#All],2,0),"")</f>
        <v/>
      </c>
    </row>
    <row r="3132" spans="1:3" x14ac:dyDescent="0.3">
      <c r="A3132" s="5" t="s">
        <v>3788</v>
      </c>
      <c r="B3132" t="s">
        <v>9409</v>
      </c>
      <c r="C3132" t="str">
        <f>IFERROR(VLOOKUP(ILACLISTE[[#This Row],[NAME]],Table5[#All],2,0),"")</f>
        <v/>
      </c>
    </row>
    <row r="3133" spans="1:3" x14ac:dyDescent="0.3">
      <c r="A3133" s="5" t="s">
        <v>3789</v>
      </c>
      <c r="B3133" t="s">
        <v>9410</v>
      </c>
      <c r="C3133" t="str">
        <f>IFERROR(VLOOKUP(ILACLISTE[[#This Row],[NAME]],Table5[#All],2,0),"")</f>
        <v/>
      </c>
    </row>
    <row r="3134" spans="1:3" x14ac:dyDescent="0.3">
      <c r="A3134" s="5" t="s">
        <v>3790</v>
      </c>
      <c r="B3134" t="s">
        <v>9411</v>
      </c>
      <c r="C3134" t="str">
        <f>IFERROR(VLOOKUP(ILACLISTE[[#This Row],[NAME]],Table5[#All],2,0),"")</f>
        <v/>
      </c>
    </row>
    <row r="3135" spans="1:3" x14ac:dyDescent="0.3">
      <c r="A3135" s="5" t="s">
        <v>3791</v>
      </c>
      <c r="B3135" t="s">
        <v>9412</v>
      </c>
      <c r="C3135" t="str">
        <f>IFERROR(VLOOKUP(ILACLISTE[[#This Row],[NAME]],Table5[#All],2,0),"")</f>
        <v/>
      </c>
    </row>
    <row r="3136" spans="1:3" x14ac:dyDescent="0.3">
      <c r="A3136" s="5" t="s">
        <v>3792</v>
      </c>
      <c r="B3136" t="s">
        <v>9413</v>
      </c>
      <c r="C3136" t="str">
        <f>IFERROR(VLOOKUP(ILACLISTE[[#This Row],[NAME]],Table5[#All],2,0),"")</f>
        <v/>
      </c>
    </row>
    <row r="3137" spans="1:3" x14ac:dyDescent="0.3">
      <c r="A3137" s="5" t="s">
        <v>3793</v>
      </c>
      <c r="B3137" t="s">
        <v>9414</v>
      </c>
      <c r="C3137" t="str">
        <f>IFERROR(VLOOKUP(ILACLISTE[[#This Row],[NAME]],Table5[#All],2,0),"")</f>
        <v/>
      </c>
    </row>
    <row r="3138" spans="1:3" x14ac:dyDescent="0.3">
      <c r="A3138" s="5" t="s">
        <v>3794</v>
      </c>
      <c r="B3138" t="s">
        <v>9415</v>
      </c>
      <c r="C3138" t="str">
        <f>IFERROR(VLOOKUP(ILACLISTE[[#This Row],[NAME]],Table5[#All],2,0),"")</f>
        <v/>
      </c>
    </row>
    <row r="3139" spans="1:3" x14ac:dyDescent="0.3">
      <c r="A3139" s="5" t="s">
        <v>3795</v>
      </c>
      <c r="B3139" t="s">
        <v>9416</v>
      </c>
      <c r="C3139" t="str">
        <f>IFERROR(VLOOKUP(ILACLISTE[[#This Row],[NAME]],Table5[#All],2,0),"")</f>
        <v/>
      </c>
    </row>
    <row r="3140" spans="1:3" x14ac:dyDescent="0.3">
      <c r="A3140" s="5" t="s">
        <v>3796</v>
      </c>
      <c r="B3140" t="s">
        <v>9417</v>
      </c>
      <c r="C3140" t="str">
        <f>IFERROR(VLOOKUP(ILACLISTE[[#This Row],[NAME]],Table5[#All],2,0),"")</f>
        <v/>
      </c>
    </row>
    <row r="3141" spans="1:3" x14ac:dyDescent="0.3">
      <c r="A3141" s="5" t="s">
        <v>3797</v>
      </c>
      <c r="B3141" t="s">
        <v>9418</v>
      </c>
      <c r="C3141" t="str">
        <f>IFERROR(VLOOKUP(ILACLISTE[[#This Row],[NAME]],Table5[#All],2,0),"")</f>
        <v/>
      </c>
    </row>
    <row r="3142" spans="1:3" x14ac:dyDescent="0.3">
      <c r="A3142" s="5" t="s">
        <v>3798</v>
      </c>
      <c r="B3142" t="s">
        <v>9419</v>
      </c>
      <c r="C3142" t="str">
        <f>IFERROR(VLOOKUP(ILACLISTE[[#This Row],[NAME]],Table5[#All],2,0),"")</f>
        <v/>
      </c>
    </row>
    <row r="3143" spans="1:3" x14ac:dyDescent="0.3">
      <c r="A3143" s="5" t="s">
        <v>3799</v>
      </c>
      <c r="B3143" t="s">
        <v>9420</v>
      </c>
      <c r="C3143" t="str">
        <f>IFERROR(VLOOKUP(ILACLISTE[[#This Row],[NAME]],Table5[#All],2,0),"")</f>
        <v/>
      </c>
    </row>
    <row r="3144" spans="1:3" x14ac:dyDescent="0.3">
      <c r="A3144" s="5" t="s">
        <v>3800</v>
      </c>
      <c r="B3144" t="s">
        <v>9421</v>
      </c>
      <c r="C3144" t="str">
        <f>IFERROR(VLOOKUP(ILACLISTE[[#This Row],[NAME]],Table5[#All],2,0),"")</f>
        <v/>
      </c>
    </row>
    <row r="3145" spans="1:3" x14ac:dyDescent="0.3">
      <c r="A3145" s="5" t="s">
        <v>3801</v>
      </c>
      <c r="B3145" t="s">
        <v>9422</v>
      </c>
      <c r="C3145" t="str">
        <f>IFERROR(VLOOKUP(ILACLISTE[[#This Row],[NAME]],Table5[#All],2,0),"")</f>
        <v/>
      </c>
    </row>
    <row r="3146" spans="1:3" x14ac:dyDescent="0.3">
      <c r="A3146" s="5" t="s">
        <v>3802</v>
      </c>
      <c r="B3146" t="s">
        <v>9423</v>
      </c>
      <c r="C3146" t="str">
        <f>IFERROR(VLOOKUP(ILACLISTE[[#This Row],[NAME]],Table5[#All],2,0),"")</f>
        <v/>
      </c>
    </row>
    <row r="3147" spans="1:3" x14ac:dyDescent="0.3">
      <c r="A3147" s="5" t="s">
        <v>3803</v>
      </c>
      <c r="B3147" t="s">
        <v>9424</v>
      </c>
      <c r="C3147" t="str">
        <f>IFERROR(VLOOKUP(ILACLISTE[[#This Row],[NAME]],Table5[#All],2,0),"")</f>
        <v/>
      </c>
    </row>
    <row r="3148" spans="1:3" x14ac:dyDescent="0.3">
      <c r="A3148" s="5" t="s">
        <v>3804</v>
      </c>
      <c r="B3148" t="s">
        <v>9425</v>
      </c>
      <c r="C3148" t="str">
        <f>IFERROR(VLOOKUP(ILACLISTE[[#This Row],[NAME]],Table5[#All],2,0),"")</f>
        <v/>
      </c>
    </row>
    <row r="3149" spans="1:3" x14ac:dyDescent="0.3">
      <c r="A3149" s="5" t="s">
        <v>3805</v>
      </c>
      <c r="B3149" t="s">
        <v>9426</v>
      </c>
      <c r="C3149" t="str">
        <f>IFERROR(VLOOKUP(ILACLISTE[[#This Row],[NAME]],Table5[#All],2,0),"")</f>
        <v/>
      </c>
    </row>
    <row r="3150" spans="1:3" x14ac:dyDescent="0.3">
      <c r="A3150" s="5" t="s">
        <v>3806</v>
      </c>
      <c r="B3150" t="s">
        <v>398</v>
      </c>
      <c r="C3150" t="str">
        <f>IFERROR(VLOOKUP(ILACLISTE[[#This Row],[NAME]],Table5[#All],2,0),"")</f>
        <v/>
      </c>
    </row>
    <row r="3151" spans="1:3" x14ac:dyDescent="0.3">
      <c r="A3151" s="5" t="s">
        <v>3807</v>
      </c>
      <c r="B3151" t="s">
        <v>9427</v>
      </c>
      <c r="C3151" t="str">
        <f>IFERROR(VLOOKUP(ILACLISTE[[#This Row],[NAME]],Table5[#All],2,0),"")</f>
        <v/>
      </c>
    </row>
    <row r="3152" spans="1:3" x14ac:dyDescent="0.3">
      <c r="A3152" s="5" t="s">
        <v>3808</v>
      </c>
      <c r="B3152" t="s">
        <v>9428</v>
      </c>
      <c r="C3152" t="str">
        <f>IFERROR(VLOOKUP(ILACLISTE[[#This Row],[NAME]],Table5[#All],2,0),"")</f>
        <v/>
      </c>
    </row>
    <row r="3153" spans="1:3" x14ac:dyDescent="0.3">
      <c r="A3153" s="5" t="s">
        <v>3809</v>
      </c>
      <c r="B3153" t="s">
        <v>9429</v>
      </c>
      <c r="C3153" t="str">
        <f>IFERROR(VLOOKUP(ILACLISTE[[#This Row],[NAME]],Table5[#All],2,0),"")</f>
        <v/>
      </c>
    </row>
    <row r="3154" spans="1:3" x14ac:dyDescent="0.3">
      <c r="A3154" s="5" t="s">
        <v>3810</v>
      </c>
      <c r="B3154" t="s">
        <v>9430</v>
      </c>
      <c r="C3154" t="str">
        <f>IFERROR(VLOOKUP(ILACLISTE[[#This Row],[NAME]],Table5[#All],2,0),"")</f>
        <v/>
      </c>
    </row>
    <row r="3155" spans="1:3" x14ac:dyDescent="0.3">
      <c r="A3155" s="5" t="s">
        <v>3811</v>
      </c>
      <c r="B3155" t="s">
        <v>9431</v>
      </c>
      <c r="C3155" t="str">
        <f>IFERROR(VLOOKUP(ILACLISTE[[#This Row],[NAME]],Table5[#All],2,0),"")</f>
        <v/>
      </c>
    </row>
    <row r="3156" spans="1:3" x14ac:dyDescent="0.3">
      <c r="A3156" s="5" t="s">
        <v>3812</v>
      </c>
      <c r="B3156" t="s">
        <v>9432</v>
      </c>
      <c r="C3156" t="str">
        <f>IFERROR(VLOOKUP(ILACLISTE[[#This Row],[NAME]],Table5[#All],2,0),"")</f>
        <v/>
      </c>
    </row>
    <row r="3157" spans="1:3" x14ac:dyDescent="0.3">
      <c r="A3157" s="5" t="s">
        <v>3813</v>
      </c>
      <c r="B3157" t="s">
        <v>9433</v>
      </c>
      <c r="C3157" t="str">
        <f>IFERROR(VLOOKUP(ILACLISTE[[#This Row],[NAME]],Table5[#All],2,0),"")</f>
        <v/>
      </c>
    </row>
    <row r="3158" spans="1:3" x14ac:dyDescent="0.3">
      <c r="A3158" s="5" t="s">
        <v>3814</v>
      </c>
      <c r="B3158" t="s">
        <v>9434</v>
      </c>
      <c r="C3158" t="str">
        <f>IFERROR(VLOOKUP(ILACLISTE[[#This Row],[NAME]],Table5[#All],2,0),"")</f>
        <v/>
      </c>
    </row>
    <row r="3159" spans="1:3" x14ac:dyDescent="0.3">
      <c r="A3159" s="5" t="s">
        <v>3815</v>
      </c>
      <c r="B3159" t="s">
        <v>9435</v>
      </c>
      <c r="C3159" t="str">
        <f>IFERROR(VLOOKUP(ILACLISTE[[#This Row],[NAME]],Table5[#All],2,0),"")</f>
        <v/>
      </c>
    </row>
    <row r="3160" spans="1:3" x14ac:dyDescent="0.3">
      <c r="A3160" s="5" t="s">
        <v>3816</v>
      </c>
      <c r="B3160" t="s">
        <v>9436</v>
      </c>
      <c r="C3160" t="str">
        <f>IFERROR(VLOOKUP(ILACLISTE[[#This Row],[NAME]],Table5[#All],2,0),"")</f>
        <v/>
      </c>
    </row>
    <row r="3161" spans="1:3" x14ac:dyDescent="0.3">
      <c r="A3161" s="5" t="s">
        <v>3817</v>
      </c>
      <c r="B3161" t="s">
        <v>9437</v>
      </c>
      <c r="C3161" t="str">
        <f>IFERROR(VLOOKUP(ILACLISTE[[#This Row],[NAME]],Table5[#All],2,0),"")</f>
        <v/>
      </c>
    </row>
    <row r="3162" spans="1:3" x14ac:dyDescent="0.3">
      <c r="A3162" s="5" t="s">
        <v>3818</v>
      </c>
      <c r="B3162" t="s">
        <v>9438</v>
      </c>
      <c r="C3162" t="str">
        <f>IFERROR(VLOOKUP(ILACLISTE[[#This Row],[NAME]],Table5[#All],2,0),"")</f>
        <v/>
      </c>
    </row>
    <row r="3163" spans="1:3" x14ac:dyDescent="0.3">
      <c r="A3163" s="5" t="s">
        <v>3819</v>
      </c>
      <c r="B3163" t="s">
        <v>9439</v>
      </c>
      <c r="C3163" t="str">
        <f>IFERROR(VLOOKUP(ILACLISTE[[#This Row],[NAME]],Table5[#All],2,0),"")</f>
        <v/>
      </c>
    </row>
    <row r="3164" spans="1:3" x14ac:dyDescent="0.3">
      <c r="A3164" s="5" t="s">
        <v>3820</v>
      </c>
      <c r="B3164" t="s">
        <v>9440</v>
      </c>
      <c r="C3164" t="str">
        <f>IFERROR(VLOOKUP(ILACLISTE[[#This Row],[NAME]],Table5[#All],2,0),"")</f>
        <v/>
      </c>
    </row>
    <row r="3165" spans="1:3" x14ac:dyDescent="0.3">
      <c r="A3165" s="5" t="s">
        <v>3821</v>
      </c>
      <c r="B3165" t="s">
        <v>9441</v>
      </c>
      <c r="C3165" t="str">
        <f>IFERROR(VLOOKUP(ILACLISTE[[#This Row],[NAME]],Table5[#All],2,0),"")</f>
        <v/>
      </c>
    </row>
    <row r="3166" spans="1:3" x14ac:dyDescent="0.3">
      <c r="A3166" s="5" t="s">
        <v>3822</v>
      </c>
      <c r="B3166" t="s">
        <v>399</v>
      </c>
      <c r="C3166" t="str">
        <f>IFERROR(VLOOKUP(ILACLISTE[[#This Row],[NAME]],Table5[#All],2,0),"")</f>
        <v/>
      </c>
    </row>
    <row r="3167" spans="1:3" x14ac:dyDescent="0.3">
      <c r="A3167" s="5" t="s">
        <v>3823</v>
      </c>
      <c r="B3167" t="s">
        <v>9442</v>
      </c>
      <c r="C3167" t="str">
        <f>IFERROR(VLOOKUP(ILACLISTE[[#This Row],[NAME]],Table5[#All],2,0),"")</f>
        <v/>
      </c>
    </row>
    <row r="3168" spans="1:3" x14ac:dyDescent="0.3">
      <c r="A3168" s="5" t="s">
        <v>3824</v>
      </c>
      <c r="B3168" t="s">
        <v>9443</v>
      </c>
      <c r="C3168" t="str">
        <f>IFERROR(VLOOKUP(ILACLISTE[[#This Row],[NAME]],Table5[#All],2,0),"")</f>
        <v/>
      </c>
    </row>
    <row r="3169" spans="1:3" x14ac:dyDescent="0.3">
      <c r="A3169" s="5" t="s">
        <v>3825</v>
      </c>
      <c r="B3169" t="s">
        <v>9444</v>
      </c>
      <c r="C3169" t="str">
        <f>IFERROR(VLOOKUP(ILACLISTE[[#This Row],[NAME]],Table5[#All],2,0),"")</f>
        <v/>
      </c>
    </row>
    <row r="3170" spans="1:3" x14ac:dyDescent="0.3">
      <c r="A3170" s="5" t="s">
        <v>3826</v>
      </c>
      <c r="B3170" t="s">
        <v>9445</v>
      </c>
      <c r="C3170" t="str">
        <f>IFERROR(VLOOKUP(ILACLISTE[[#This Row],[NAME]],Table5[#All],2,0),"")</f>
        <v/>
      </c>
    </row>
    <row r="3171" spans="1:3" x14ac:dyDescent="0.3">
      <c r="A3171" s="5" t="s">
        <v>3827</v>
      </c>
      <c r="B3171" t="s">
        <v>9446</v>
      </c>
      <c r="C3171" t="str">
        <f>IFERROR(VLOOKUP(ILACLISTE[[#This Row],[NAME]],Table5[#All],2,0),"")</f>
        <v/>
      </c>
    </row>
    <row r="3172" spans="1:3" x14ac:dyDescent="0.3">
      <c r="A3172" s="5" t="s">
        <v>3828</v>
      </c>
      <c r="B3172" t="s">
        <v>9447</v>
      </c>
      <c r="C3172" t="str">
        <f>IFERROR(VLOOKUP(ILACLISTE[[#This Row],[NAME]],Table5[#All],2,0),"")</f>
        <v/>
      </c>
    </row>
    <row r="3173" spans="1:3" x14ac:dyDescent="0.3">
      <c r="A3173" s="5" t="s">
        <v>3829</v>
      </c>
      <c r="B3173" t="s">
        <v>9448</v>
      </c>
      <c r="C3173" t="str">
        <f>IFERROR(VLOOKUP(ILACLISTE[[#This Row],[NAME]],Table5[#All],2,0),"")</f>
        <v/>
      </c>
    </row>
    <row r="3174" spans="1:3" x14ac:dyDescent="0.3">
      <c r="A3174" s="5" t="s">
        <v>3830</v>
      </c>
      <c r="B3174" t="s">
        <v>9449</v>
      </c>
      <c r="C3174" t="str">
        <f>IFERROR(VLOOKUP(ILACLISTE[[#This Row],[NAME]],Table5[#All],2,0),"")</f>
        <v/>
      </c>
    </row>
    <row r="3175" spans="1:3" x14ac:dyDescent="0.3">
      <c r="A3175" s="5" t="s">
        <v>3831</v>
      </c>
      <c r="B3175" t="s">
        <v>400</v>
      </c>
      <c r="C3175" t="str">
        <f>IFERROR(VLOOKUP(ILACLISTE[[#This Row],[NAME]],Table5[#All],2,0),"")</f>
        <v/>
      </c>
    </row>
    <row r="3176" spans="1:3" x14ac:dyDescent="0.3">
      <c r="A3176" s="5" t="s">
        <v>3832</v>
      </c>
      <c r="B3176" t="s">
        <v>401</v>
      </c>
      <c r="C3176" t="str">
        <f>IFERROR(VLOOKUP(ILACLISTE[[#This Row],[NAME]],Table5[#All],2,0),"")</f>
        <v/>
      </c>
    </row>
    <row r="3177" spans="1:3" x14ac:dyDescent="0.3">
      <c r="A3177" s="5" t="s">
        <v>3833</v>
      </c>
      <c r="B3177" t="s">
        <v>9450</v>
      </c>
      <c r="C3177" t="str">
        <f>IFERROR(VLOOKUP(ILACLISTE[[#This Row],[NAME]],Table5[#All],2,0),"")</f>
        <v/>
      </c>
    </row>
    <row r="3178" spans="1:3" x14ac:dyDescent="0.3">
      <c r="A3178" s="5" t="s">
        <v>3834</v>
      </c>
      <c r="B3178" t="s">
        <v>9451</v>
      </c>
      <c r="C3178" t="str">
        <f>IFERROR(VLOOKUP(ILACLISTE[[#This Row],[NAME]],Table5[#All],2,0),"")</f>
        <v/>
      </c>
    </row>
    <row r="3179" spans="1:3" x14ac:dyDescent="0.3">
      <c r="A3179" s="5" t="s">
        <v>3835</v>
      </c>
      <c r="B3179" t="s">
        <v>402</v>
      </c>
      <c r="C3179" t="str">
        <f>IFERROR(VLOOKUP(ILACLISTE[[#This Row],[NAME]],Table5[#All],2,0),"")</f>
        <v/>
      </c>
    </row>
    <row r="3180" spans="1:3" x14ac:dyDescent="0.3">
      <c r="A3180" s="5" t="s">
        <v>3836</v>
      </c>
      <c r="B3180" t="s">
        <v>9452</v>
      </c>
      <c r="C3180" t="str">
        <f>IFERROR(VLOOKUP(ILACLISTE[[#This Row],[NAME]],Table5[#All],2,0),"")</f>
        <v/>
      </c>
    </row>
    <row r="3181" spans="1:3" x14ac:dyDescent="0.3">
      <c r="A3181" s="5" t="s">
        <v>3837</v>
      </c>
      <c r="B3181" t="s">
        <v>9453</v>
      </c>
      <c r="C3181" t="str">
        <f>IFERROR(VLOOKUP(ILACLISTE[[#This Row],[NAME]],Table5[#All],2,0),"")</f>
        <v/>
      </c>
    </row>
    <row r="3182" spans="1:3" x14ac:dyDescent="0.3">
      <c r="A3182" s="5" t="s">
        <v>3838</v>
      </c>
      <c r="B3182" t="s">
        <v>9454</v>
      </c>
      <c r="C3182" t="str">
        <f>IFERROR(VLOOKUP(ILACLISTE[[#This Row],[NAME]],Table5[#All],2,0),"")</f>
        <v/>
      </c>
    </row>
    <row r="3183" spans="1:3" x14ac:dyDescent="0.3">
      <c r="A3183" s="5" t="s">
        <v>3839</v>
      </c>
      <c r="B3183" t="s">
        <v>9455</v>
      </c>
      <c r="C3183" t="str">
        <f>IFERROR(VLOOKUP(ILACLISTE[[#This Row],[NAME]],Table5[#All],2,0),"")</f>
        <v/>
      </c>
    </row>
    <row r="3184" spans="1:3" x14ac:dyDescent="0.3">
      <c r="A3184" s="5" t="s">
        <v>3840</v>
      </c>
      <c r="B3184" t="s">
        <v>9456</v>
      </c>
      <c r="C3184" t="str">
        <f>IFERROR(VLOOKUP(ILACLISTE[[#This Row],[NAME]],Table5[#All],2,0),"")</f>
        <v/>
      </c>
    </row>
    <row r="3185" spans="1:3" x14ac:dyDescent="0.3">
      <c r="A3185" s="5" t="s">
        <v>3841</v>
      </c>
      <c r="B3185" t="s">
        <v>9457</v>
      </c>
      <c r="C3185" t="str">
        <f>IFERROR(VLOOKUP(ILACLISTE[[#This Row],[NAME]],Table5[#All],2,0),"")</f>
        <v/>
      </c>
    </row>
    <row r="3186" spans="1:3" x14ac:dyDescent="0.3">
      <c r="A3186" s="5" t="s">
        <v>3842</v>
      </c>
      <c r="B3186" t="s">
        <v>403</v>
      </c>
      <c r="C3186" t="str">
        <f>IFERROR(VLOOKUP(ILACLISTE[[#This Row],[NAME]],Table5[#All],2,0),"")</f>
        <v/>
      </c>
    </row>
    <row r="3187" spans="1:3" x14ac:dyDescent="0.3">
      <c r="A3187" s="5" t="s">
        <v>3843</v>
      </c>
      <c r="B3187" t="s">
        <v>9458</v>
      </c>
      <c r="C3187" t="str">
        <f>IFERROR(VLOOKUP(ILACLISTE[[#This Row],[NAME]],Table5[#All],2,0),"")</f>
        <v/>
      </c>
    </row>
    <row r="3188" spans="1:3" x14ac:dyDescent="0.3">
      <c r="A3188" s="5" t="s">
        <v>3844</v>
      </c>
      <c r="B3188" t="s">
        <v>9459</v>
      </c>
      <c r="C3188" t="str">
        <f>IFERROR(VLOOKUP(ILACLISTE[[#This Row],[NAME]],Table5[#All],2,0),"")</f>
        <v/>
      </c>
    </row>
    <row r="3189" spans="1:3" x14ac:dyDescent="0.3">
      <c r="A3189" s="5" t="s">
        <v>3845</v>
      </c>
      <c r="B3189" t="s">
        <v>9460</v>
      </c>
      <c r="C3189" t="str">
        <f>IFERROR(VLOOKUP(ILACLISTE[[#This Row],[NAME]],Table5[#All],2,0),"")</f>
        <v/>
      </c>
    </row>
    <row r="3190" spans="1:3" x14ac:dyDescent="0.3">
      <c r="A3190" s="5" t="s">
        <v>3846</v>
      </c>
      <c r="B3190" t="s">
        <v>9461</v>
      </c>
      <c r="C3190" t="str">
        <f>IFERROR(VLOOKUP(ILACLISTE[[#This Row],[NAME]],Table5[#All],2,0),"")</f>
        <v/>
      </c>
    </row>
    <row r="3191" spans="1:3" x14ac:dyDescent="0.3">
      <c r="A3191" s="5" t="s">
        <v>3847</v>
      </c>
      <c r="B3191" t="s">
        <v>9462</v>
      </c>
      <c r="C3191" t="str">
        <f>IFERROR(VLOOKUP(ILACLISTE[[#This Row],[NAME]],Table5[#All],2,0),"")</f>
        <v/>
      </c>
    </row>
    <row r="3192" spans="1:3" x14ac:dyDescent="0.3">
      <c r="A3192" s="5" t="s">
        <v>3848</v>
      </c>
      <c r="B3192" t="s">
        <v>9463</v>
      </c>
      <c r="C3192" t="str">
        <f>IFERROR(VLOOKUP(ILACLISTE[[#This Row],[NAME]],Table5[#All],2,0),"")</f>
        <v/>
      </c>
    </row>
    <row r="3193" spans="1:3" x14ac:dyDescent="0.3">
      <c r="A3193" s="5" t="s">
        <v>3849</v>
      </c>
      <c r="B3193" t="s">
        <v>9464</v>
      </c>
      <c r="C3193" t="str">
        <f>IFERROR(VLOOKUP(ILACLISTE[[#This Row],[NAME]],Table5[#All],2,0),"")</f>
        <v/>
      </c>
    </row>
    <row r="3194" spans="1:3" x14ac:dyDescent="0.3">
      <c r="A3194" s="5" t="s">
        <v>3850</v>
      </c>
      <c r="B3194" t="s">
        <v>9465</v>
      </c>
      <c r="C3194" t="str">
        <f>IFERROR(VLOOKUP(ILACLISTE[[#This Row],[NAME]],Table5[#All],2,0),"")</f>
        <v/>
      </c>
    </row>
    <row r="3195" spans="1:3" x14ac:dyDescent="0.3">
      <c r="A3195" s="5" t="s">
        <v>3851</v>
      </c>
      <c r="B3195" t="s">
        <v>404</v>
      </c>
      <c r="C3195" t="str">
        <f>IFERROR(VLOOKUP(ILACLISTE[[#This Row],[NAME]],Table5[#All],2,0),"")</f>
        <v/>
      </c>
    </row>
    <row r="3196" spans="1:3" x14ac:dyDescent="0.3">
      <c r="A3196" s="5" t="s">
        <v>3852</v>
      </c>
      <c r="B3196" t="s">
        <v>9466</v>
      </c>
      <c r="C3196" t="str">
        <f>IFERROR(VLOOKUP(ILACLISTE[[#This Row],[NAME]],Table5[#All],2,0),"")</f>
        <v/>
      </c>
    </row>
    <row r="3197" spans="1:3" x14ac:dyDescent="0.3">
      <c r="A3197" s="5" t="s">
        <v>3853</v>
      </c>
      <c r="B3197" t="s">
        <v>9467</v>
      </c>
      <c r="C3197" t="str">
        <f>IFERROR(VLOOKUP(ILACLISTE[[#This Row],[NAME]],Table5[#All],2,0),"")</f>
        <v/>
      </c>
    </row>
    <row r="3198" spans="1:3" x14ac:dyDescent="0.3">
      <c r="A3198" s="5" t="s">
        <v>3854</v>
      </c>
      <c r="B3198" t="s">
        <v>9468</v>
      </c>
      <c r="C3198" t="str">
        <f>IFERROR(VLOOKUP(ILACLISTE[[#This Row],[NAME]],Table5[#All],2,0),"")</f>
        <v/>
      </c>
    </row>
    <row r="3199" spans="1:3" x14ac:dyDescent="0.3">
      <c r="A3199" s="5" t="s">
        <v>3855</v>
      </c>
      <c r="B3199" t="s">
        <v>9469</v>
      </c>
      <c r="C3199" t="str">
        <f>IFERROR(VLOOKUP(ILACLISTE[[#This Row],[NAME]],Table5[#All],2,0),"")</f>
        <v/>
      </c>
    </row>
    <row r="3200" spans="1:3" x14ac:dyDescent="0.3">
      <c r="A3200" s="5" t="s">
        <v>3856</v>
      </c>
      <c r="B3200" t="s">
        <v>9470</v>
      </c>
      <c r="C3200" t="str">
        <f>IFERROR(VLOOKUP(ILACLISTE[[#This Row],[NAME]],Table5[#All],2,0),"")</f>
        <v/>
      </c>
    </row>
    <row r="3201" spans="1:3" x14ac:dyDescent="0.3">
      <c r="A3201" s="5" t="s">
        <v>3857</v>
      </c>
      <c r="B3201" t="s">
        <v>9471</v>
      </c>
      <c r="C3201" t="str">
        <f>IFERROR(VLOOKUP(ILACLISTE[[#This Row],[NAME]],Table5[#All],2,0),"")</f>
        <v/>
      </c>
    </row>
    <row r="3202" spans="1:3" x14ac:dyDescent="0.3">
      <c r="A3202" s="5" t="s">
        <v>3858</v>
      </c>
      <c r="B3202" t="s">
        <v>9472</v>
      </c>
      <c r="C3202" t="str">
        <f>IFERROR(VLOOKUP(ILACLISTE[[#This Row],[NAME]],Table5[#All],2,0),"")</f>
        <v/>
      </c>
    </row>
    <row r="3203" spans="1:3" x14ac:dyDescent="0.3">
      <c r="A3203" s="5" t="s">
        <v>3859</v>
      </c>
      <c r="B3203" t="s">
        <v>9473</v>
      </c>
      <c r="C3203" t="str">
        <f>IFERROR(VLOOKUP(ILACLISTE[[#This Row],[NAME]],Table5[#All],2,0),"")</f>
        <v/>
      </c>
    </row>
    <row r="3204" spans="1:3" x14ac:dyDescent="0.3">
      <c r="A3204" s="5" t="s">
        <v>3860</v>
      </c>
      <c r="B3204" t="s">
        <v>9474</v>
      </c>
      <c r="C3204" t="str">
        <f>IFERROR(VLOOKUP(ILACLISTE[[#This Row],[NAME]],Table5[#All],2,0),"")</f>
        <v/>
      </c>
    </row>
    <row r="3205" spans="1:3" x14ac:dyDescent="0.3">
      <c r="A3205" s="5" t="s">
        <v>3861</v>
      </c>
      <c r="B3205" t="s">
        <v>9475</v>
      </c>
      <c r="C3205" t="str">
        <f>IFERROR(VLOOKUP(ILACLISTE[[#This Row],[NAME]],Table5[#All],2,0),"")</f>
        <v/>
      </c>
    </row>
    <row r="3206" spans="1:3" x14ac:dyDescent="0.3">
      <c r="A3206" s="5" t="s">
        <v>3862</v>
      </c>
      <c r="B3206" t="s">
        <v>9476</v>
      </c>
      <c r="C3206" t="str">
        <f>IFERROR(VLOOKUP(ILACLISTE[[#This Row],[NAME]],Table5[#All],2,0),"")</f>
        <v/>
      </c>
    </row>
    <row r="3207" spans="1:3" x14ac:dyDescent="0.3">
      <c r="A3207" s="5" t="s">
        <v>3863</v>
      </c>
      <c r="B3207" t="s">
        <v>9477</v>
      </c>
      <c r="C3207" t="str">
        <f>IFERROR(VLOOKUP(ILACLISTE[[#This Row],[NAME]],Table5[#All],2,0),"")</f>
        <v/>
      </c>
    </row>
    <row r="3208" spans="1:3" x14ac:dyDescent="0.3">
      <c r="A3208" s="5" t="s">
        <v>3864</v>
      </c>
      <c r="B3208" t="s">
        <v>9478</v>
      </c>
      <c r="C3208" t="str">
        <f>IFERROR(VLOOKUP(ILACLISTE[[#This Row],[NAME]],Table5[#All],2,0),"")</f>
        <v/>
      </c>
    </row>
    <row r="3209" spans="1:3" x14ac:dyDescent="0.3">
      <c r="A3209" s="5" t="s">
        <v>3865</v>
      </c>
      <c r="B3209" t="s">
        <v>9479</v>
      </c>
      <c r="C3209" t="str">
        <f>IFERROR(VLOOKUP(ILACLISTE[[#This Row],[NAME]],Table5[#All],2,0),"")</f>
        <v/>
      </c>
    </row>
    <row r="3210" spans="1:3" x14ac:dyDescent="0.3">
      <c r="A3210" s="5" t="s">
        <v>3866</v>
      </c>
      <c r="B3210" t="s">
        <v>9480</v>
      </c>
      <c r="C3210" t="str">
        <f>IFERROR(VLOOKUP(ILACLISTE[[#This Row],[NAME]],Table5[#All],2,0),"")</f>
        <v/>
      </c>
    </row>
    <row r="3211" spans="1:3" x14ac:dyDescent="0.3">
      <c r="A3211" s="5" t="s">
        <v>3867</v>
      </c>
      <c r="B3211" t="s">
        <v>9481</v>
      </c>
      <c r="C3211" t="str">
        <f>IFERROR(VLOOKUP(ILACLISTE[[#This Row],[NAME]],Table5[#All],2,0),"")</f>
        <v/>
      </c>
    </row>
    <row r="3212" spans="1:3" x14ac:dyDescent="0.3">
      <c r="A3212" s="5" t="s">
        <v>3868</v>
      </c>
      <c r="B3212" t="s">
        <v>9482</v>
      </c>
      <c r="C3212" t="str">
        <f>IFERROR(VLOOKUP(ILACLISTE[[#This Row],[NAME]],Table5[#All],2,0),"")</f>
        <v/>
      </c>
    </row>
    <row r="3213" spans="1:3" x14ac:dyDescent="0.3">
      <c r="A3213" s="5" t="s">
        <v>3869</v>
      </c>
      <c r="B3213" t="s">
        <v>9483</v>
      </c>
      <c r="C3213" t="str">
        <f>IFERROR(VLOOKUP(ILACLISTE[[#This Row],[NAME]],Table5[#All],2,0),"")</f>
        <v/>
      </c>
    </row>
    <row r="3214" spans="1:3" x14ac:dyDescent="0.3">
      <c r="A3214" s="5" t="s">
        <v>3870</v>
      </c>
      <c r="B3214" t="s">
        <v>9484</v>
      </c>
      <c r="C3214" t="str">
        <f>IFERROR(VLOOKUP(ILACLISTE[[#This Row],[NAME]],Table5[#All],2,0),"")</f>
        <v/>
      </c>
    </row>
    <row r="3215" spans="1:3" x14ac:dyDescent="0.3">
      <c r="A3215" s="5" t="s">
        <v>3871</v>
      </c>
      <c r="B3215" t="s">
        <v>9485</v>
      </c>
      <c r="C3215" t="str">
        <f>IFERROR(VLOOKUP(ILACLISTE[[#This Row],[NAME]],Table5[#All],2,0),"")</f>
        <v/>
      </c>
    </row>
    <row r="3216" spans="1:3" x14ac:dyDescent="0.3">
      <c r="A3216" s="5" t="s">
        <v>3872</v>
      </c>
      <c r="B3216" t="s">
        <v>405</v>
      </c>
      <c r="C3216" t="str">
        <f>IFERROR(VLOOKUP(ILACLISTE[[#This Row],[NAME]],Table5[#All],2,0),"")</f>
        <v/>
      </c>
    </row>
    <row r="3217" spans="1:3" x14ac:dyDescent="0.3">
      <c r="A3217" s="5" t="s">
        <v>3873</v>
      </c>
      <c r="B3217" t="s">
        <v>9486</v>
      </c>
      <c r="C3217" t="str">
        <f>IFERROR(VLOOKUP(ILACLISTE[[#This Row],[NAME]],Table5[#All],2,0),"")</f>
        <v/>
      </c>
    </row>
    <row r="3218" spans="1:3" x14ac:dyDescent="0.3">
      <c r="A3218" s="5" t="s">
        <v>3874</v>
      </c>
      <c r="B3218" t="s">
        <v>9487</v>
      </c>
      <c r="C3218" t="str">
        <f>IFERROR(VLOOKUP(ILACLISTE[[#This Row],[NAME]],Table5[#All],2,0),"")</f>
        <v/>
      </c>
    </row>
    <row r="3219" spans="1:3" x14ac:dyDescent="0.3">
      <c r="A3219" s="5" t="s">
        <v>3875</v>
      </c>
      <c r="B3219" t="s">
        <v>9488</v>
      </c>
      <c r="C3219" t="str">
        <f>IFERROR(VLOOKUP(ILACLISTE[[#This Row],[NAME]],Table5[#All],2,0),"")</f>
        <v/>
      </c>
    </row>
    <row r="3220" spans="1:3" x14ac:dyDescent="0.3">
      <c r="A3220" s="5" t="s">
        <v>3876</v>
      </c>
      <c r="B3220" t="s">
        <v>9489</v>
      </c>
      <c r="C3220" t="str">
        <f>IFERROR(VLOOKUP(ILACLISTE[[#This Row],[NAME]],Table5[#All],2,0),"")</f>
        <v/>
      </c>
    </row>
    <row r="3221" spans="1:3" x14ac:dyDescent="0.3">
      <c r="A3221" s="5" t="s">
        <v>3877</v>
      </c>
      <c r="B3221" t="s">
        <v>9490</v>
      </c>
      <c r="C3221" t="str">
        <f>IFERROR(VLOOKUP(ILACLISTE[[#This Row],[NAME]],Table5[#All],2,0),"")</f>
        <v/>
      </c>
    </row>
    <row r="3222" spans="1:3" x14ac:dyDescent="0.3">
      <c r="A3222" s="5" t="s">
        <v>3878</v>
      </c>
      <c r="B3222" t="s">
        <v>9491</v>
      </c>
      <c r="C3222" t="str">
        <f>IFERROR(VLOOKUP(ILACLISTE[[#This Row],[NAME]],Table5[#All],2,0),"")</f>
        <v/>
      </c>
    </row>
    <row r="3223" spans="1:3" x14ac:dyDescent="0.3">
      <c r="A3223" s="5" t="s">
        <v>3879</v>
      </c>
      <c r="B3223" t="s">
        <v>9492</v>
      </c>
      <c r="C3223" t="str">
        <f>IFERROR(VLOOKUP(ILACLISTE[[#This Row],[NAME]],Table5[#All],2,0),"")</f>
        <v/>
      </c>
    </row>
    <row r="3224" spans="1:3" x14ac:dyDescent="0.3">
      <c r="A3224" s="5" t="s">
        <v>3880</v>
      </c>
      <c r="B3224" t="s">
        <v>9493</v>
      </c>
      <c r="C3224" t="str">
        <f>IFERROR(VLOOKUP(ILACLISTE[[#This Row],[NAME]],Table5[#All],2,0),"")</f>
        <v/>
      </c>
    </row>
    <row r="3225" spans="1:3" x14ac:dyDescent="0.3">
      <c r="A3225" s="5" t="s">
        <v>3881</v>
      </c>
      <c r="B3225" t="s">
        <v>9494</v>
      </c>
      <c r="C3225" t="str">
        <f>IFERROR(VLOOKUP(ILACLISTE[[#This Row],[NAME]],Table5[#All],2,0),"")</f>
        <v/>
      </c>
    </row>
    <row r="3226" spans="1:3" x14ac:dyDescent="0.3">
      <c r="A3226" s="5" t="s">
        <v>3882</v>
      </c>
      <c r="B3226" t="s">
        <v>9495</v>
      </c>
      <c r="C3226" t="str">
        <f>IFERROR(VLOOKUP(ILACLISTE[[#This Row],[NAME]],Table5[#All],2,0),"")</f>
        <v/>
      </c>
    </row>
    <row r="3227" spans="1:3" x14ac:dyDescent="0.3">
      <c r="A3227" s="5" t="s">
        <v>3883</v>
      </c>
      <c r="B3227" t="s">
        <v>9496</v>
      </c>
      <c r="C3227" t="str">
        <f>IFERROR(VLOOKUP(ILACLISTE[[#This Row],[NAME]],Table5[#All],2,0),"")</f>
        <v/>
      </c>
    </row>
    <row r="3228" spans="1:3" x14ac:dyDescent="0.3">
      <c r="A3228" s="5" t="s">
        <v>3884</v>
      </c>
      <c r="B3228" t="s">
        <v>9497</v>
      </c>
      <c r="C3228" t="str">
        <f>IFERROR(VLOOKUP(ILACLISTE[[#This Row],[NAME]],Table5[#All],2,0),"")</f>
        <v/>
      </c>
    </row>
    <row r="3229" spans="1:3" x14ac:dyDescent="0.3">
      <c r="A3229" s="5" t="s">
        <v>3885</v>
      </c>
      <c r="B3229" t="s">
        <v>9498</v>
      </c>
      <c r="C3229" t="str">
        <f>IFERROR(VLOOKUP(ILACLISTE[[#This Row],[NAME]],Table5[#All],2,0),"")</f>
        <v/>
      </c>
    </row>
    <row r="3230" spans="1:3" x14ac:dyDescent="0.3">
      <c r="A3230" s="5" t="s">
        <v>3886</v>
      </c>
      <c r="B3230" t="s">
        <v>9499</v>
      </c>
      <c r="C3230" t="str">
        <f>IFERROR(VLOOKUP(ILACLISTE[[#This Row],[NAME]],Table5[#All],2,0),"")</f>
        <v/>
      </c>
    </row>
    <row r="3231" spans="1:3" x14ac:dyDescent="0.3">
      <c r="A3231" s="5" t="s">
        <v>3887</v>
      </c>
      <c r="B3231" t="s">
        <v>9500</v>
      </c>
      <c r="C3231" t="str">
        <f>IFERROR(VLOOKUP(ILACLISTE[[#This Row],[NAME]],Table5[#All],2,0),"")</f>
        <v/>
      </c>
    </row>
    <row r="3232" spans="1:3" x14ac:dyDescent="0.3">
      <c r="A3232" s="5" t="s">
        <v>3888</v>
      </c>
      <c r="B3232" t="s">
        <v>9501</v>
      </c>
      <c r="C3232" t="str">
        <f>IFERROR(VLOOKUP(ILACLISTE[[#This Row],[NAME]],Table5[#All],2,0),"")</f>
        <v/>
      </c>
    </row>
    <row r="3233" spans="1:3" x14ac:dyDescent="0.3">
      <c r="A3233" s="5" t="s">
        <v>3889</v>
      </c>
      <c r="B3233" t="s">
        <v>9502</v>
      </c>
      <c r="C3233" t="str">
        <f>IFERROR(VLOOKUP(ILACLISTE[[#This Row],[NAME]],Table5[#All],2,0),"")</f>
        <v/>
      </c>
    </row>
    <row r="3234" spans="1:3" x14ac:dyDescent="0.3">
      <c r="A3234" s="5" t="s">
        <v>3890</v>
      </c>
      <c r="B3234" t="s">
        <v>9503</v>
      </c>
      <c r="C3234" t="str">
        <f>IFERROR(VLOOKUP(ILACLISTE[[#This Row],[NAME]],Table5[#All],2,0),"")</f>
        <v/>
      </c>
    </row>
    <row r="3235" spans="1:3" x14ac:dyDescent="0.3">
      <c r="A3235" s="5" t="s">
        <v>3891</v>
      </c>
      <c r="B3235" t="s">
        <v>9504</v>
      </c>
      <c r="C3235" t="str">
        <f>IFERROR(VLOOKUP(ILACLISTE[[#This Row],[NAME]],Table5[#All],2,0),"")</f>
        <v/>
      </c>
    </row>
    <row r="3236" spans="1:3" x14ac:dyDescent="0.3">
      <c r="A3236" s="5" t="s">
        <v>3892</v>
      </c>
      <c r="B3236" t="s">
        <v>9505</v>
      </c>
      <c r="C3236" t="str">
        <f>IFERROR(VLOOKUP(ILACLISTE[[#This Row],[NAME]],Table5[#All],2,0),"")</f>
        <v/>
      </c>
    </row>
    <row r="3237" spans="1:3" x14ac:dyDescent="0.3">
      <c r="A3237" s="5" t="s">
        <v>3893</v>
      </c>
      <c r="B3237" t="s">
        <v>9506</v>
      </c>
      <c r="C3237" t="str">
        <f>IFERROR(VLOOKUP(ILACLISTE[[#This Row],[NAME]],Table5[#All],2,0),"")</f>
        <v/>
      </c>
    </row>
    <row r="3238" spans="1:3" x14ac:dyDescent="0.3">
      <c r="A3238" s="5" t="s">
        <v>3894</v>
      </c>
      <c r="B3238" t="s">
        <v>9507</v>
      </c>
      <c r="C3238" t="str">
        <f>IFERROR(VLOOKUP(ILACLISTE[[#This Row],[NAME]],Table5[#All],2,0),"")</f>
        <v/>
      </c>
    </row>
    <row r="3239" spans="1:3" x14ac:dyDescent="0.3">
      <c r="A3239" s="5" t="s">
        <v>3895</v>
      </c>
      <c r="B3239" t="s">
        <v>406</v>
      </c>
      <c r="C3239" t="str">
        <f>IFERROR(VLOOKUP(ILACLISTE[[#This Row],[NAME]],Table5[#All],2,0),"")</f>
        <v/>
      </c>
    </row>
    <row r="3240" spans="1:3" x14ac:dyDescent="0.3">
      <c r="A3240" s="5" t="s">
        <v>3896</v>
      </c>
      <c r="B3240" t="s">
        <v>9508</v>
      </c>
      <c r="C3240" t="str">
        <f>IFERROR(VLOOKUP(ILACLISTE[[#This Row],[NAME]],Table5[#All],2,0),"")</f>
        <v/>
      </c>
    </row>
    <row r="3241" spans="1:3" x14ac:dyDescent="0.3">
      <c r="A3241" s="5" t="s">
        <v>3897</v>
      </c>
      <c r="B3241" t="s">
        <v>9509</v>
      </c>
      <c r="C3241" t="str">
        <f>IFERROR(VLOOKUP(ILACLISTE[[#This Row],[NAME]],Table5[#All],2,0),"")</f>
        <v/>
      </c>
    </row>
    <row r="3242" spans="1:3" x14ac:dyDescent="0.3">
      <c r="A3242" s="5" t="s">
        <v>3898</v>
      </c>
      <c r="B3242" t="s">
        <v>9510</v>
      </c>
      <c r="C3242" t="str">
        <f>IFERROR(VLOOKUP(ILACLISTE[[#This Row],[NAME]],Table5[#All],2,0),"")</f>
        <v/>
      </c>
    </row>
    <row r="3243" spans="1:3" x14ac:dyDescent="0.3">
      <c r="A3243" s="5" t="s">
        <v>3899</v>
      </c>
      <c r="B3243" t="s">
        <v>407</v>
      </c>
      <c r="C3243" t="str">
        <f>IFERROR(VLOOKUP(ILACLISTE[[#This Row],[NAME]],Table5[#All],2,0),"")</f>
        <v/>
      </c>
    </row>
    <row r="3244" spans="1:3" x14ac:dyDescent="0.3">
      <c r="A3244" s="5" t="s">
        <v>3900</v>
      </c>
      <c r="B3244" t="s">
        <v>9511</v>
      </c>
      <c r="C3244" t="str">
        <f>IFERROR(VLOOKUP(ILACLISTE[[#This Row],[NAME]],Table5[#All],2,0),"")</f>
        <v/>
      </c>
    </row>
    <row r="3245" spans="1:3" x14ac:dyDescent="0.3">
      <c r="A3245" s="5" t="s">
        <v>3901</v>
      </c>
      <c r="B3245" t="s">
        <v>9512</v>
      </c>
      <c r="C3245" t="str">
        <f>IFERROR(VLOOKUP(ILACLISTE[[#This Row],[NAME]],Table5[#All],2,0),"")</f>
        <v/>
      </c>
    </row>
    <row r="3246" spans="1:3" x14ac:dyDescent="0.3">
      <c r="A3246" s="5" t="s">
        <v>3902</v>
      </c>
      <c r="B3246" t="s">
        <v>9513</v>
      </c>
      <c r="C3246" t="str">
        <f>IFERROR(VLOOKUP(ILACLISTE[[#This Row],[NAME]],Table5[#All],2,0),"")</f>
        <v/>
      </c>
    </row>
    <row r="3247" spans="1:3" x14ac:dyDescent="0.3">
      <c r="A3247" s="5" t="s">
        <v>3903</v>
      </c>
      <c r="B3247" t="s">
        <v>408</v>
      </c>
      <c r="C3247" t="str">
        <f>IFERROR(VLOOKUP(ILACLISTE[[#This Row],[NAME]],Table5[#All],2,0),"")</f>
        <v/>
      </c>
    </row>
    <row r="3248" spans="1:3" x14ac:dyDescent="0.3">
      <c r="A3248" s="5" t="s">
        <v>3904</v>
      </c>
      <c r="B3248" t="s">
        <v>409</v>
      </c>
      <c r="C3248" t="str">
        <f>IFERROR(VLOOKUP(ILACLISTE[[#This Row],[NAME]],Table5[#All],2,0),"")</f>
        <v/>
      </c>
    </row>
    <row r="3249" spans="1:3" x14ac:dyDescent="0.3">
      <c r="A3249" s="5" t="s">
        <v>3905</v>
      </c>
      <c r="B3249" t="s">
        <v>9514</v>
      </c>
      <c r="C3249" t="str">
        <f>IFERROR(VLOOKUP(ILACLISTE[[#This Row],[NAME]],Table5[#All],2,0),"")</f>
        <v/>
      </c>
    </row>
    <row r="3250" spans="1:3" x14ac:dyDescent="0.3">
      <c r="A3250" s="5" t="s">
        <v>3906</v>
      </c>
      <c r="B3250" t="s">
        <v>9515</v>
      </c>
      <c r="C3250" t="str">
        <f>IFERROR(VLOOKUP(ILACLISTE[[#This Row],[NAME]],Table5[#All],2,0),"")</f>
        <v/>
      </c>
    </row>
    <row r="3251" spans="1:3" x14ac:dyDescent="0.3">
      <c r="A3251" s="5" t="s">
        <v>3907</v>
      </c>
      <c r="B3251" t="s">
        <v>9516</v>
      </c>
      <c r="C3251" t="str">
        <f>IFERROR(VLOOKUP(ILACLISTE[[#This Row],[NAME]],Table5[#All],2,0),"")</f>
        <v/>
      </c>
    </row>
    <row r="3252" spans="1:3" x14ac:dyDescent="0.3">
      <c r="A3252" s="5" t="s">
        <v>3908</v>
      </c>
      <c r="B3252" t="s">
        <v>9517</v>
      </c>
      <c r="C3252" t="str">
        <f>IFERROR(VLOOKUP(ILACLISTE[[#This Row],[NAME]],Table5[#All],2,0),"")</f>
        <v/>
      </c>
    </row>
    <row r="3253" spans="1:3" x14ac:dyDescent="0.3">
      <c r="A3253" s="5" t="s">
        <v>3909</v>
      </c>
      <c r="B3253" t="s">
        <v>9518</v>
      </c>
      <c r="C3253" t="str">
        <f>IFERROR(VLOOKUP(ILACLISTE[[#This Row],[NAME]],Table5[#All],2,0),"")</f>
        <v/>
      </c>
    </row>
    <row r="3254" spans="1:3" x14ac:dyDescent="0.3">
      <c r="A3254" s="5" t="s">
        <v>3910</v>
      </c>
      <c r="B3254" t="s">
        <v>9519</v>
      </c>
      <c r="C3254" t="str">
        <f>IFERROR(VLOOKUP(ILACLISTE[[#This Row],[NAME]],Table5[#All],2,0),"")</f>
        <v/>
      </c>
    </row>
    <row r="3255" spans="1:3" x14ac:dyDescent="0.3">
      <c r="A3255" s="5" t="s">
        <v>3911</v>
      </c>
      <c r="B3255" t="s">
        <v>9520</v>
      </c>
      <c r="C3255" t="str">
        <f>IFERROR(VLOOKUP(ILACLISTE[[#This Row],[NAME]],Table5[#All],2,0),"")</f>
        <v/>
      </c>
    </row>
    <row r="3256" spans="1:3" x14ac:dyDescent="0.3">
      <c r="A3256" s="5" t="s">
        <v>3912</v>
      </c>
      <c r="B3256" t="s">
        <v>9521</v>
      </c>
      <c r="C3256" t="str">
        <f>IFERROR(VLOOKUP(ILACLISTE[[#This Row],[NAME]],Table5[#All],2,0),"")</f>
        <v/>
      </c>
    </row>
    <row r="3257" spans="1:3" x14ac:dyDescent="0.3">
      <c r="A3257" s="5" t="s">
        <v>3913</v>
      </c>
      <c r="B3257" t="s">
        <v>9522</v>
      </c>
      <c r="C3257" t="str">
        <f>IFERROR(VLOOKUP(ILACLISTE[[#This Row],[NAME]],Table5[#All],2,0),"")</f>
        <v/>
      </c>
    </row>
    <row r="3258" spans="1:3" x14ac:dyDescent="0.3">
      <c r="A3258" s="5" t="s">
        <v>3914</v>
      </c>
      <c r="B3258" t="s">
        <v>9523</v>
      </c>
      <c r="C3258" t="str">
        <f>IFERROR(VLOOKUP(ILACLISTE[[#This Row],[NAME]],Table5[#All],2,0),"")</f>
        <v/>
      </c>
    </row>
    <row r="3259" spans="1:3" x14ac:dyDescent="0.3">
      <c r="A3259" s="5" t="s">
        <v>3915</v>
      </c>
      <c r="B3259" t="s">
        <v>9524</v>
      </c>
      <c r="C3259" t="str">
        <f>IFERROR(VLOOKUP(ILACLISTE[[#This Row],[NAME]],Table5[#All],2,0),"")</f>
        <v/>
      </c>
    </row>
    <row r="3260" spans="1:3" x14ac:dyDescent="0.3">
      <c r="A3260" s="5" t="s">
        <v>3916</v>
      </c>
      <c r="B3260" t="s">
        <v>9525</v>
      </c>
      <c r="C3260" t="str">
        <f>IFERROR(VLOOKUP(ILACLISTE[[#This Row],[NAME]],Table5[#All],2,0),"")</f>
        <v/>
      </c>
    </row>
    <row r="3261" spans="1:3" x14ac:dyDescent="0.3">
      <c r="A3261" s="5" t="s">
        <v>3917</v>
      </c>
      <c r="B3261" t="s">
        <v>9526</v>
      </c>
      <c r="C3261" t="str">
        <f>IFERROR(VLOOKUP(ILACLISTE[[#This Row],[NAME]],Table5[#All],2,0),"")</f>
        <v/>
      </c>
    </row>
    <row r="3262" spans="1:3" x14ac:dyDescent="0.3">
      <c r="A3262" s="5" t="s">
        <v>3918</v>
      </c>
      <c r="B3262" t="s">
        <v>9527</v>
      </c>
      <c r="C3262" t="str">
        <f>IFERROR(VLOOKUP(ILACLISTE[[#This Row],[NAME]],Table5[#All],2,0),"")</f>
        <v/>
      </c>
    </row>
    <row r="3263" spans="1:3" x14ac:dyDescent="0.3">
      <c r="A3263" s="5" t="s">
        <v>3919</v>
      </c>
      <c r="B3263" t="s">
        <v>9528</v>
      </c>
      <c r="C3263" t="str">
        <f>IFERROR(VLOOKUP(ILACLISTE[[#This Row],[NAME]],Table5[#All],2,0),"")</f>
        <v/>
      </c>
    </row>
    <row r="3264" spans="1:3" x14ac:dyDescent="0.3">
      <c r="A3264" s="5" t="s">
        <v>3920</v>
      </c>
      <c r="B3264" t="s">
        <v>410</v>
      </c>
      <c r="C3264" t="str">
        <f>IFERROR(VLOOKUP(ILACLISTE[[#This Row],[NAME]],Table5[#All],2,0),"")</f>
        <v/>
      </c>
    </row>
    <row r="3265" spans="1:3" x14ac:dyDescent="0.3">
      <c r="A3265" s="5" t="s">
        <v>3921</v>
      </c>
      <c r="B3265" t="s">
        <v>411</v>
      </c>
      <c r="C3265" t="str">
        <f>IFERROR(VLOOKUP(ILACLISTE[[#This Row],[NAME]],Table5[#All],2,0),"")</f>
        <v/>
      </c>
    </row>
    <row r="3266" spans="1:3" x14ac:dyDescent="0.3">
      <c r="A3266" s="5" t="s">
        <v>3922</v>
      </c>
      <c r="B3266" t="s">
        <v>9529</v>
      </c>
      <c r="C3266" t="str">
        <f>IFERROR(VLOOKUP(ILACLISTE[[#This Row],[NAME]],Table5[#All],2,0),"")</f>
        <v/>
      </c>
    </row>
    <row r="3267" spans="1:3" x14ac:dyDescent="0.3">
      <c r="A3267" s="5" t="s">
        <v>3923</v>
      </c>
      <c r="B3267" t="s">
        <v>9530</v>
      </c>
      <c r="C3267" t="str">
        <f>IFERROR(VLOOKUP(ILACLISTE[[#This Row],[NAME]],Table5[#All],2,0),"")</f>
        <v/>
      </c>
    </row>
    <row r="3268" spans="1:3" x14ac:dyDescent="0.3">
      <c r="A3268" s="5" t="s">
        <v>9531</v>
      </c>
      <c r="B3268" t="s">
        <v>9532</v>
      </c>
      <c r="C3268" t="str">
        <f>IFERROR(VLOOKUP(ILACLISTE[[#This Row],[NAME]],Table5[#All],2,0),"")</f>
        <v/>
      </c>
    </row>
    <row r="3269" spans="1:3" x14ac:dyDescent="0.3">
      <c r="A3269" s="5" t="s">
        <v>3924</v>
      </c>
      <c r="B3269" t="s">
        <v>9533</v>
      </c>
      <c r="C3269" t="str">
        <f>IFERROR(VLOOKUP(ILACLISTE[[#This Row],[NAME]],Table5[#All],2,0),"")</f>
        <v/>
      </c>
    </row>
    <row r="3270" spans="1:3" x14ac:dyDescent="0.3">
      <c r="A3270" s="5" t="s">
        <v>3925</v>
      </c>
      <c r="B3270" t="s">
        <v>9534</v>
      </c>
      <c r="C3270" t="str">
        <f>IFERROR(VLOOKUP(ILACLISTE[[#This Row],[NAME]],Table5[#All],2,0),"")</f>
        <v/>
      </c>
    </row>
    <row r="3271" spans="1:3" x14ac:dyDescent="0.3">
      <c r="A3271" s="5" t="s">
        <v>3926</v>
      </c>
      <c r="B3271" t="s">
        <v>9535</v>
      </c>
      <c r="C3271" t="str">
        <f>IFERROR(VLOOKUP(ILACLISTE[[#This Row],[NAME]],Table5[#All],2,0),"")</f>
        <v/>
      </c>
    </row>
    <row r="3272" spans="1:3" x14ac:dyDescent="0.3">
      <c r="A3272" s="5" t="s">
        <v>3927</v>
      </c>
      <c r="B3272" t="s">
        <v>9536</v>
      </c>
      <c r="C3272" t="str">
        <f>IFERROR(VLOOKUP(ILACLISTE[[#This Row],[NAME]],Table5[#All],2,0),"")</f>
        <v/>
      </c>
    </row>
    <row r="3273" spans="1:3" x14ac:dyDescent="0.3">
      <c r="A3273" s="5" t="s">
        <v>3928</v>
      </c>
      <c r="B3273" t="s">
        <v>9537</v>
      </c>
      <c r="C3273" t="str">
        <f>IFERROR(VLOOKUP(ILACLISTE[[#This Row],[NAME]],Table5[#All],2,0),"")</f>
        <v/>
      </c>
    </row>
    <row r="3274" spans="1:3" x14ac:dyDescent="0.3">
      <c r="A3274" s="5" t="s">
        <v>3929</v>
      </c>
      <c r="B3274" t="s">
        <v>9538</v>
      </c>
      <c r="C3274" t="str">
        <f>IFERROR(VLOOKUP(ILACLISTE[[#This Row],[NAME]],Table5[#All],2,0),"")</f>
        <v/>
      </c>
    </row>
    <row r="3275" spans="1:3" x14ac:dyDescent="0.3">
      <c r="A3275" s="5" t="s">
        <v>3930</v>
      </c>
      <c r="B3275" t="s">
        <v>9539</v>
      </c>
      <c r="C3275" t="str">
        <f>IFERROR(VLOOKUP(ILACLISTE[[#This Row],[NAME]],Table5[#All],2,0),"")</f>
        <v/>
      </c>
    </row>
    <row r="3276" spans="1:3" x14ac:dyDescent="0.3">
      <c r="A3276" s="5" t="s">
        <v>3931</v>
      </c>
      <c r="B3276" t="s">
        <v>9540</v>
      </c>
      <c r="C3276" t="str">
        <f>IFERROR(VLOOKUP(ILACLISTE[[#This Row],[NAME]],Table5[#All],2,0),"")</f>
        <v/>
      </c>
    </row>
    <row r="3277" spans="1:3" x14ac:dyDescent="0.3">
      <c r="A3277" s="5" t="s">
        <v>3932</v>
      </c>
      <c r="B3277" t="s">
        <v>9541</v>
      </c>
      <c r="C3277" t="str">
        <f>IFERROR(VLOOKUP(ILACLISTE[[#This Row],[NAME]],Table5[#All],2,0),"")</f>
        <v/>
      </c>
    </row>
    <row r="3278" spans="1:3" x14ac:dyDescent="0.3">
      <c r="A3278" s="5" t="s">
        <v>3933</v>
      </c>
      <c r="B3278" t="s">
        <v>9542</v>
      </c>
      <c r="C3278" t="str">
        <f>IFERROR(VLOOKUP(ILACLISTE[[#This Row],[NAME]],Table5[#All],2,0),"")</f>
        <v/>
      </c>
    </row>
    <row r="3279" spans="1:3" x14ac:dyDescent="0.3">
      <c r="A3279" s="5" t="s">
        <v>3934</v>
      </c>
      <c r="B3279" t="s">
        <v>9543</v>
      </c>
      <c r="C3279" t="str">
        <f>IFERROR(VLOOKUP(ILACLISTE[[#This Row],[NAME]],Table5[#All],2,0),"")</f>
        <v/>
      </c>
    </row>
    <row r="3280" spans="1:3" x14ac:dyDescent="0.3">
      <c r="A3280" s="5" t="s">
        <v>3935</v>
      </c>
      <c r="B3280" t="s">
        <v>9544</v>
      </c>
      <c r="C3280" t="str">
        <f>IFERROR(VLOOKUP(ILACLISTE[[#This Row],[NAME]],Table5[#All],2,0),"")</f>
        <v/>
      </c>
    </row>
    <row r="3281" spans="1:3" x14ac:dyDescent="0.3">
      <c r="A3281" s="5" t="s">
        <v>3936</v>
      </c>
      <c r="B3281" t="s">
        <v>9545</v>
      </c>
      <c r="C3281" t="str">
        <f>IFERROR(VLOOKUP(ILACLISTE[[#This Row],[NAME]],Table5[#All],2,0),"")</f>
        <v/>
      </c>
    </row>
    <row r="3282" spans="1:3" x14ac:dyDescent="0.3">
      <c r="A3282" s="5" t="s">
        <v>3937</v>
      </c>
      <c r="B3282" t="s">
        <v>9546</v>
      </c>
      <c r="C3282" t="str">
        <f>IFERROR(VLOOKUP(ILACLISTE[[#This Row],[NAME]],Table5[#All],2,0),"")</f>
        <v/>
      </c>
    </row>
    <row r="3283" spans="1:3" x14ac:dyDescent="0.3">
      <c r="A3283" s="5" t="s">
        <v>3938</v>
      </c>
      <c r="B3283" t="s">
        <v>9547</v>
      </c>
      <c r="C3283" t="str">
        <f>IFERROR(VLOOKUP(ILACLISTE[[#This Row],[NAME]],Table5[#All],2,0),"")</f>
        <v/>
      </c>
    </row>
    <row r="3284" spans="1:3" x14ac:dyDescent="0.3">
      <c r="A3284" s="5" t="s">
        <v>3939</v>
      </c>
      <c r="B3284" t="s">
        <v>9548</v>
      </c>
      <c r="C3284" t="str">
        <f>IFERROR(VLOOKUP(ILACLISTE[[#This Row],[NAME]],Table5[#All],2,0),"")</f>
        <v/>
      </c>
    </row>
    <row r="3285" spans="1:3" x14ac:dyDescent="0.3">
      <c r="A3285" s="5" t="s">
        <v>3940</v>
      </c>
      <c r="B3285" t="s">
        <v>9549</v>
      </c>
      <c r="C3285" t="str">
        <f>IFERROR(VLOOKUP(ILACLISTE[[#This Row],[NAME]],Table5[#All],2,0),"")</f>
        <v/>
      </c>
    </row>
    <row r="3286" spans="1:3" x14ac:dyDescent="0.3">
      <c r="A3286" s="5" t="s">
        <v>3941</v>
      </c>
      <c r="B3286" t="s">
        <v>9550</v>
      </c>
      <c r="C3286" t="str">
        <f>IFERROR(VLOOKUP(ILACLISTE[[#This Row],[NAME]],Table5[#All],2,0),"")</f>
        <v/>
      </c>
    </row>
    <row r="3287" spans="1:3" x14ac:dyDescent="0.3">
      <c r="A3287" s="5" t="s">
        <v>3942</v>
      </c>
      <c r="B3287" t="s">
        <v>9551</v>
      </c>
      <c r="C3287" t="str">
        <f>IFERROR(VLOOKUP(ILACLISTE[[#This Row],[NAME]],Table5[#All],2,0),"")</f>
        <v/>
      </c>
    </row>
    <row r="3288" spans="1:3" x14ac:dyDescent="0.3">
      <c r="A3288" s="5" t="s">
        <v>3943</v>
      </c>
      <c r="B3288" t="s">
        <v>9552</v>
      </c>
      <c r="C3288" t="str">
        <f>IFERROR(VLOOKUP(ILACLISTE[[#This Row],[NAME]],Table5[#All],2,0),"")</f>
        <v/>
      </c>
    </row>
    <row r="3289" spans="1:3" x14ac:dyDescent="0.3">
      <c r="A3289" s="5" t="s">
        <v>3944</v>
      </c>
      <c r="B3289" t="s">
        <v>9553</v>
      </c>
      <c r="C3289" t="str">
        <f>IFERROR(VLOOKUP(ILACLISTE[[#This Row],[NAME]],Table5[#All],2,0),"")</f>
        <v/>
      </c>
    </row>
    <row r="3290" spans="1:3" x14ac:dyDescent="0.3">
      <c r="A3290" s="5" t="s">
        <v>3945</v>
      </c>
      <c r="B3290" t="s">
        <v>9554</v>
      </c>
      <c r="C3290" t="str">
        <f>IFERROR(VLOOKUP(ILACLISTE[[#This Row],[NAME]],Table5[#All],2,0),"")</f>
        <v/>
      </c>
    </row>
    <row r="3291" spans="1:3" x14ac:dyDescent="0.3">
      <c r="A3291" s="5" t="s">
        <v>3946</v>
      </c>
      <c r="B3291" t="s">
        <v>9555</v>
      </c>
      <c r="C3291" t="str">
        <f>IFERROR(VLOOKUP(ILACLISTE[[#This Row],[NAME]],Table5[#All],2,0),"")</f>
        <v/>
      </c>
    </row>
    <row r="3292" spans="1:3" x14ac:dyDescent="0.3">
      <c r="A3292" s="5" t="s">
        <v>3947</v>
      </c>
      <c r="B3292" t="s">
        <v>9556</v>
      </c>
      <c r="C3292" t="str">
        <f>IFERROR(VLOOKUP(ILACLISTE[[#This Row],[NAME]],Table5[#All],2,0),"")</f>
        <v/>
      </c>
    </row>
    <row r="3293" spans="1:3" x14ac:dyDescent="0.3">
      <c r="A3293" s="5" t="s">
        <v>3948</v>
      </c>
      <c r="B3293" t="s">
        <v>9557</v>
      </c>
      <c r="C3293" t="str">
        <f>IFERROR(VLOOKUP(ILACLISTE[[#This Row],[NAME]],Table5[#All],2,0),"")</f>
        <v/>
      </c>
    </row>
    <row r="3294" spans="1:3" x14ac:dyDescent="0.3">
      <c r="A3294" s="5" t="s">
        <v>3949</v>
      </c>
      <c r="B3294" t="s">
        <v>9558</v>
      </c>
      <c r="C3294" t="str">
        <f>IFERROR(VLOOKUP(ILACLISTE[[#This Row],[NAME]],Table5[#All],2,0),"")</f>
        <v/>
      </c>
    </row>
    <row r="3295" spans="1:3" x14ac:dyDescent="0.3">
      <c r="A3295" s="5" t="s">
        <v>3950</v>
      </c>
      <c r="B3295" t="s">
        <v>9559</v>
      </c>
      <c r="C3295" t="str">
        <f>IFERROR(VLOOKUP(ILACLISTE[[#This Row],[NAME]],Table5[#All],2,0),"")</f>
        <v/>
      </c>
    </row>
    <row r="3296" spans="1:3" x14ac:dyDescent="0.3">
      <c r="A3296" s="5" t="s">
        <v>3951</v>
      </c>
      <c r="B3296" t="s">
        <v>9560</v>
      </c>
      <c r="C3296" t="str">
        <f>IFERROR(VLOOKUP(ILACLISTE[[#This Row],[NAME]],Table5[#All],2,0),"")</f>
        <v/>
      </c>
    </row>
    <row r="3297" spans="1:3" x14ac:dyDescent="0.3">
      <c r="A3297" s="5" t="s">
        <v>3952</v>
      </c>
      <c r="B3297" t="s">
        <v>9561</v>
      </c>
      <c r="C3297" t="str">
        <f>IFERROR(VLOOKUP(ILACLISTE[[#This Row],[NAME]],Table5[#All],2,0),"")</f>
        <v/>
      </c>
    </row>
    <row r="3298" spans="1:3" x14ac:dyDescent="0.3">
      <c r="A3298" s="5" t="s">
        <v>3953</v>
      </c>
      <c r="B3298" t="s">
        <v>412</v>
      </c>
      <c r="C3298" t="str">
        <f>IFERROR(VLOOKUP(ILACLISTE[[#This Row],[NAME]],Table5[#All],2,0),"")</f>
        <v/>
      </c>
    </row>
    <row r="3299" spans="1:3" x14ac:dyDescent="0.3">
      <c r="A3299" s="5" t="s">
        <v>3954</v>
      </c>
      <c r="B3299" t="s">
        <v>9562</v>
      </c>
      <c r="C3299" t="str">
        <f>IFERROR(VLOOKUP(ILACLISTE[[#This Row],[NAME]],Table5[#All],2,0),"")</f>
        <v/>
      </c>
    </row>
    <row r="3300" spans="1:3" x14ac:dyDescent="0.3">
      <c r="A3300" s="5" t="s">
        <v>3955</v>
      </c>
      <c r="B3300" t="s">
        <v>9563</v>
      </c>
      <c r="C3300" t="str">
        <f>IFERROR(VLOOKUP(ILACLISTE[[#This Row],[NAME]],Table5[#All],2,0),"")</f>
        <v/>
      </c>
    </row>
    <row r="3301" spans="1:3" x14ac:dyDescent="0.3">
      <c r="A3301" s="5" t="s">
        <v>3956</v>
      </c>
      <c r="B3301" t="s">
        <v>9564</v>
      </c>
      <c r="C3301" t="str">
        <f>IFERROR(VLOOKUP(ILACLISTE[[#This Row],[NAME]],Table5[#All],2,0),"")</f>
        <v/>
      </c>
    </row>
    <row r="3302" spans="1:3" x14ac:dyDescent="0.3">
      <c r="A3302" s="5" t="s">
        <v>3957</v>
      </c>
      <c r="B3302" t="s">
        <v>9565</v>
      </c>
      <c r="C3302" t="str">
        <f>IFERROR(VLOOKUP(ILACLISTE[[#This Row],[NAME]],Table5[#All],2,0),"")</f>
        <v/>
      </c>
    </row>
    <row r="3303" spans="1:3" x14ac:dyDescent="0.3">
      <c r="A3303" s="5" t="s">
        <v>3958</v>
      </c>
      <c r="B3303" t="s">
        <v>9566</v>
      </c>
      <c r="C3303" t="str">
        <f>IFERROR(VLOOKUP(ILACLISTE[[#This Row],[NAME]],Table5[#All],2,0),"")</f>
        <v/>
      </c>
    </row>
    <row r="3304" spans="1:3" x14ac:dyDescent="0.3">
      <c r="A3304" s="5" t="s">
        <v>3959</v>
      </c>
      <c r="B3304" t="s">
        <v>9567</v>
      </c>
      <c r="C3304" t="str">
        <f>IFERROR(VLOOKUP(ILACLISTE[[#This Row],[NAME]],Table5[#All],2,0),"")</f>
        <v/>
      </c>
    </row>
    <row r="3305" spans="1:3" x14ac:dyDescent="0.3">
      <c r="A3305" s="5" t="s">
        <v>3960</v>
      </c>
      <c r="B3305" t="s">
        <v>9568</v>
      </c>
      <c r="C3305" t="str">
        <f>IFERROR(VLOOKUP(ILACLISTE[[#This Row],[NAME]],Table5[#All],2,0),"")</f>
        <v/>
      </c>
    </row>
    <row r="3306" spans="1:3" x14ac:dyDescent="0.3">
      <c r="A3306" s="5" t="s">
        <v>3961</v>
      </c>
      <c r="B3306" t="s">
        <v>9569</v>
      </c>
      <c r="C3306" t="str">
        <f>IFERROR(VLOOKUP(ILACLISTE[[#This Row],[NAME]],Table5[#All],2,0),"")</f>
        <v/>
      </c>
    </row>
    <row r="3307" spans="1:3" x14ac:dyDescent="0.3">
      <c r="A3307" s="5" t="s">
        <v>3962</v>
      </c>
      <c r="B3307" t="s">
        <v>9570</v>
      </c>
      <c r="C3307" t="str">
        <f>IFERROR(VLOOKUP(ILACLISTE[[#This Row],[NAME]],Table5[#All],2,0),"")</f>
        <v/>
      </c>
    </row>
    <row r="3308" spans="1:3" x14ac:dyDescent="0.3">
      <c r="A3308" s="5" t="s">
        <v>3963</v>
      </c>
      <c r="B3308" t="s">
        <v>9571</v>
      </c>
      <c r="C3308" t="str">
        <f>IFERROR(VLOOKUP(ILACLISTE[[#This Row],[NAME]],Table5[#All],2,0),"")</f>
        <v/>
      </c>
    </row>
    <row r="3309" spans="1:3" x14ac:dyDescent="0.3">
      <c r="A3309" s="5" t="s">
        <v>3964</v>
      </c>
      <c r="B3309" t="s">
        <v>9572</v>
      </c>
      <c r="C3309" t="str">
        <f>IFERROR(VLOOKUP(ILACLISTE[[#This Row],[NAME]],Table5[#All],2,0),"")</f>
        <v/>
      </c>
    </row>
    <row r="3310" spans="1:3" x14ac:dyDescent="0.3">
      <c r="A3310" s="5" t="s">
        <v>3965</v>
      </c>
      <c r="B3310" t="s">
        <v>9573</v>
      </c>
      <c r="C3310" t="str">
        <f>IFERROR(VLOOKUP(ILACLISTE[[#This Row],[NAME]],Table5[#All],2,0),"")</f>
        <v/>
      </c>
    </row>
    <row r="3311" spans="1:3" x14ac:dyDescent="0.3">
      <c r="A3311" s="5" t="s">
        <v>3966</v>
      </c>
      <c r="B3311" t="s">
        <v>9574</v>
      </c>
      <c r="C3311" t="str">
        <f>IFERROR(VLOOKUP(ILACLISTE[[#This Row],[NAME]],Table5[#All],2,0),"")</f>
        <v/>
      </c>
    </row>
    <row r="3312" spans="1:3" x14ac:dyDescent="0.3">
      <c r="A3312" s="5" t="s">
        <v>3967</v>
      </c>
      <c r="B3312" t="s">
        <v>9575</v>
      </c>
      <c r="C3312" t="str">
        <f>IFERROR(VLOOKUP(ILACLISTE[[#This Row],[NAME]],Table5[#All],2,0),"")</f>
        <v/>
      </c>
    </row>
    <row r="3313" spans="1:3" x14ac:dyDescent="0.3">
      <c r="A3313" s="5" t="s">
        <v>3968</v>
      </c>
      <c r="B3313" t="s">
        <v>9576</v>
      </c>
      <c r="C3313" t="str">
        <f>IFERROR(VLOOKUP(ILACLISTE[[#This Row],[NAME]],Table5[#All],2,0),"")</f>
        <v/>
      </c>
    </row>
    <row r="3314" spans="1:3" x14ac:dyDescent="0.3">
      <c r="A3314" s="5" t="s">
        <v>3969</v>
      </c>
      <c r="B3314" t="s">
        <v>9577</v>
      </c>
      <c r="C3314" t="str">
        <f>IFERROR(VLOOKUP(ILACLISTE[[#This Row],[NAME]],Table5[#All],2,0),"")</f>
        <v/>
      </c>
    </row>
    <row r="3315" spans="1:3" x14ac:dyDescent="0.3">
      <c r="A3315" s="5" t="s">
        <v>3970</v>
      </c>
      <c r="B3315" t="s">
        <v>9578</v>
      </c>
      <c r="C3315" t="str">
        <f>IFERROR(VLOOKUP(ILACLISTE[[#This Row],[NAME]],Table5[#All],2,0),"")</f>
        <v/>
      </c>
    </row>
    <row r="3316" spans="1:3" x14ac:dyDescent="0.3">
      <c r="A3316" s="5" t="s">
        <v>3971</v>
      </c>
      <c r="B3316" t="s">
        <v>9579</v>
      </c>
      <c r="C3316" t="str">
        <f>IFERROR(VLOOKUP(ILACLISTE[[#This Row],[NAME]],Table5[#All],2,0),"")</f>
        <v/>
      </c>
    </row>
    <row r="3317" spans="1:3" x14ac:dyDescent="0.3">
      <c r="A3317" s="5" t="s">
        <v>3972</v>
      </c>
      <c r="B3317" t="s">
        <v>413</v>
      </c>
      <c r="C3317" t="str">
        <f>IFERROR(VLOOKUP(ILACLISTE[[#This Row],[NAME]],Table5[#All],2,0),"")</f>
        <v/>
      </c>
    </row>
    <row r="3318" spans="1:3" x14ac:dyDescent="0.3">
      <c r="A3318" s="5" t="s">
        <v>3973</v>
      </c>
      <c r="B3318" t="s">
        <v>9580</v>
      </c>
      <c r="C3318" t="str">
        <f>IFERROR(VLOOKUP(ILACLISTE[[#This Row],[NAME]],Table5[#All],2,0),"")</f>
        <v/>
      </c>
    </row>
    <row r="3319" spans="1:3" x14ac:dyDescent="0.3">
      <c r="A3319" s="5" t="s">
        <v>3974</v>
      </c>
      <c r="B3319" t="s">
        <v>9581</v>
      </c>
      <c r="C3319" t="str">
        <f>IFERROR(VLOOKUP(ILACLISTE[[#This Row],[NAME]],Table5[#All],2,0),"")</f>
        <v/>
      </c>
    </row>
    <row r="3320" spans="1:3" x14ac:dyDescent="0.3">
      <c r="A3320" s="5" t="s">
        <v>3975</v>
      </c>
      <c r="B3320" t="s">
        <v>9582</v>
      </c>
      <c r="C3320" t="str">
        <f>IFERROR(VLOOKUP(ILACLISTE[[#This Row],[NAME]],Table5[#All],2,0),"")</f>
        <v/>
      </c>
    </row>
    <row r="3321" spans="1:3" x14ac:dyDescent="0.3">
      <c r="A3321" s="5" t="s">
        <v>3976</v>
      </c>
      <c r="B3321" t="s">
        <v>9583</v>
      </c>
      <c r="C3321" t="str">
        <f>IFERROR(VLOOKUP(ILACLISTE[[#This Row],[NAME]],Table5[#All],2,0),"")</f>
        <v/>
      </c>
    </row>
    <row r="3322" spans="1:3" x14ac:dyDescent="0.3">
      <c r="A3322" s="5" t="s">
        <v>3977</v>
      </c>
      <c r="B3322" t="s">
        <v>9584</v>
      </c>
      <c r="C3322" t="str">
        <f>IFERROR(VLOOKUP(ILACLISTE[[#This Row],[NAME]],Table5[#All],2,0),"")</f>
        <v/>
      </c>
    </row>
    <row r="3323" spans="1:3" x14ac:dyDescent="0.3">
      <c r="A3323" s="5" t="s">
        <v>3978</v>
      </c>
      <c r="B3323" t="s">
        <v>9585</v>
      </c>
      <c r="C3323" t="str">
        <f>IFERROR(VLOOKUP(ILACLISTE[[#This Row],[NAME]],Table5[#All],2,0),"")</f>
        <v/>
      </c>
    </row>
    <row r="3324" spans="1:3" x14ac:dyDescent="0.3">
      <c r="A3324" s="5" t="s">
        <v>3979</v>
      </c>
      <c r="B3324" t="s">
        <v>414</v>
      </c>
      <c r="C3324" t="str">
        <f>IFERROR(VLOOKUP(ILACLISTE[[#This Row],[NAME]],Table5[#All],2,0),"")</f>
        <v/>
      </c>
    </row>
    <row r="3325" spans="1:3" x14ac:dyDescent="0.3">
      <c r="A3325" s="5" t="s">
        <v>3980</v>
      </c>
      <c r="B3325" t="s">
        <v>9586</v>
      </c>
      <c r="C3325" t="str">
        <f>IFERROR(VLOOKUP(ILACLISTE[[#This Row],[NAME]],Table5[#All],2,0),"")</f>
        <v/>
      </c>
    </row>
    <row r="3326" spans="1:3" x14ac:dyDescent="0.3">
      <c r="A3326" s="5" t="s">
        <v>3981</v>
      </c>
      <c r="B3326" t="s">
        <v>9587</v>
      </c>
      <c r="C3326" t="str">
        <f>IFERROR(VLOOKUP(ILACLISTE[[#This Row],[NAME]],Table5[#All],2,0),"")</f>
        <v/>
      </c>
    </row>
    <row r="3327" spans="1:3" x14ac:dyDescent="0.3">
      <c r="A3327" s="5" t="s">
        <v>3982</v>
      </c>
      <c r="B3327" t="s">
        <v>9588</v>
      </c>
      <c r="C3327" t="str">
        <f>IFERROR(VLOOKUP(ILACLISTE[[#This Row],[NAME]],Table5[#All],2,0),"")</f>
        <v/>
      </c>
    </row>
    <row r="3328" spans="1:3" x14ac:dyDescent="0.3">
      <c r="A3328" s="5" t="s">
        <v>3983</v>
      </c>
      <c r="B3328" t="s">
        <v>9589</v>
      </c>
      <c r="C3328" t="str">
        <f>IFERROR(VLOOKUP(ILACLISTE[[#This Row],[NAME]],Table5[#All],2,0),"")</f>
        <v/>
      </c>
    </row>
    <row r="3329" spans="1:3" x14ac:dyDescent="0.3">
      <c r="A3329" s="5" t="s">
        <v>3984</v>
      </c>
      <c r="B3329" t="s">
        <v>9590</v>
      </c>
      <c r="C3329" t="str">
        <f>IFERROR(VLOOKUP(ILACLISTE[[#This Row],[NAME]],Table5[#All],2,0),"")</f>
        <v/>
      </c>
    </row>
    <row r="3330" spans="1:3" x14ac:dyDescent="0.3">
      <c r="A3330" s="5" t="s">
        <v>3985</v>
      </c>
      <c r="B3330" t="s">
        <v>9591</v>
      </c>
      <c r="C3330" t="str">
        <f>IFERROR(VLOOKUP(ILACLISTE[[#This Row],[NAME]],Table5[#All],2,0),"")</f>
        <v/>
      </c>
    </row>
    <row r="3331" spans="1:3" x14ac:dyDescent="0.3">
      <c r="A3331" s="5" t="s">
        <v>3986</v>
      </c>
      <c r="B3331" t="s">
        <v>415</v>
      </c>
      <c r="C3331" t="str">
        <f>IFERROR(VLOOKUP(ILACLISTE[[#This Row],[NAME]],Table5[#All],2,0),"")</f>
        <v/>
      </c>
    </row>
    <row r="3332" spans="1:3" x14ac:dyDescent="0.3">
      <c r="A3332" s="5" t="s">
        <v>3987</v>
      </c>
      <c r="B3332" t="s">
        <v>9592</v>
      </c>
      <c r="C3332" t="str">
        <f>IFERROR(VLOOKUP(ILACLISTE[[#This Row],[NAME]],Table5[#All],2,0),"")</f>
        <v/>
      </c>
    </row>
    <row r="3333" spans="1:3" x14ac:dyDescent="0.3">
      <c r="A3333" s="5" t="s">
        <v>3988</v>
      </c>
      <c r="B3333" t="s">
        <v>9593</v>
      </c>
      <c r="C3333" t="str">
        <f>IFERROR(VLOOKUP(ILACLISTE[[#This Row],[NAME]],Table5[#All],2,0),"")</f>
        <v/>
      </c>
    </row>
    <row r="3334" spans="1:3" x14ac:dyDescent="0.3">
      <c r="A3334" s="5" t="s">
        <v>3989</v>
      </c>
      <c r="B3334" t="s">
        <v>9594</v>
      </c>
      <c r="C3334" t="str">
        <f>IFERROR(VLOOKUP(ILACLISTE[[#This Row],[NAME]],Table5[#All],2,0),"")</f>
        <v/>
      </c>
    </row>
    <row r="3335" spans="1:3" x14ac:dyDescent="0.3">
      <c r="A3335" s="5" t="s">
        <v>3990</v>
      </c>
      <c r="B3335" t="s">
        <v>9595</v>
      </c>
      <c r="C3335" t="str">
        <f>IFERROR(VLOOKUP(ILACLISTE[[#This Row],[NAME]],Table5[#All],2,0),"")</f>
        <v/>
      </c>
    </row>
    <row r="3336" spans="1:3" x14ac:dyDescent="0.3">
      <c r="A3336" s="5" t="s">
        <v>3991</v>
      </c>
      <c r="B3336" t="s">
        <v>9596</v>
      </c>
      <c r="C3336" t="str">
        <f>IFERROR(VLOOKUP(ILACLISTE[[#This Row],[NAME]],Table5[#All],2,0),"")</f>
        <v/>
      </c>
    </row>
    <row r="3337" spans="1:3" x14ac:dyDescent="0.3">
      <c r="A3337" s="5" t="s">
        <v>3992</v>
      </c>
      <c r="B3337" t="s">
        <v>9597</v>
      </c>
      <c r="C3337" t="str">
        <f>IFERROR(VLOOKUP(ILACLISTE[[#This Row],[NAME]],Table5[#All],2,0),"")</f>
        <v/>
      </c>
    </row>
    <row r="3338" spans="1:3" x14ac:dyDescent="0.3">
      <c r="A3338" s="5" t="s">
        <v>3993</v>
      </c>
      <c r="B3338" t="s">
        <v>9598</v>
      </c>
      <c r="C3338" t="str">
        <f>IFERROR(VLOOKUP(ILACLISTE[[#This Row],[NAME]],Table5[#All],2,0),"")</f>
        <v/>
      </c>
    </row>
    <row r="3339" spans="1:3" x14ac:dyDescent="0.3">
      <c r="A3339" s="5" t="s">
        <v>3994</v>
      </c>
      <c r="B3339" t="s">
        <v>9599</v>
      </c>
      <c r="C3339" t="str">
        <f>IFERROR(VLOOKUP(ILACLISTE[[#This Row],[NAME]],Table5[#All],2,0),"")</f>
        <v/>
      </c>
    </row>
    <row r="3340" spans="1:3" x14ac:dyDescent="0.3">
      <c r="A3340" s="5" t="s">
        <v>3995</v>
      </c>
      <c r="B3340" t="s">
        <v>9600</v>
      </c>
      <c r="C3340" t="str">
        <f>IFERROR(VLOOKUP(ILACLISTE[[#This Row],[NAME]],Table5[#All],2,0),"")</f>
        <v/>
      </c>
    </row>
    <row r="3341" spans="1:3" x14ac:dyDescent="0.3">
      <c r="A3341" s="5" t="s">
        <v>3996</v>
      </c>
      <c r="B3341" t="s">
        <v>9601</v>
      </c>
      <c r="C3341" t="str">
        <f>IFERROR(VLOOKUP(ILACLISTE[[#This Row],[NAME]],Table5[#All],2,0),"")</f>
        <v/>
      </c>
    </row>
    <row r="3342" spans="1:3" x14ac:dyDescent="0.3">
      <c r="A3342" s="5" t="s">
        <v>3997</v>
      </c>
      <c r="B3342" t="s">
        <v>9602</v>
      </c>
      <c r="C3342" t="str">
        <f>IFERROR(VLOOKUP(ILACLISTE[[#This Row],[NAME]],Table5[#All],2,0),"")</f>
        <v/>
      </c>
    </row>
    <row r="3343" spans="1:3" x14ac:dyDescent="0.3">
      <c r="A3343" s="5" t="s">
        <v>3998</v>
      </c>
      <c r="B3343" t="s">
        <v>9603</v>
      </c>
      <c r="C3343" t="str">
        <f>IFERROR(VLOOKUP(ILACLISTE[[#This Row],[NAME]],Table5[#All],2,0),"")</f>
        <v/>
      </c>
    </row>
    <row r="3344" spans="1:3" x14ac:dyDescent="0.3">
      <c r="A3344" s="5" t="s">
        <v>3999</v>
      </c>
      <c r="B3344" t="s">
        <v>9604</v>
      </c>
      <c r="C3344" t="str">
        <f>IFERROR(VLOOKUP(ILACLISTE[[#This Row],[NAME]],Table5[#All],2,0),"")</f>
        <v/>
      </c>
    </row>
    <row r="3345" spans="1:3" x14ac:dyDescent="0.3">
      <c r="A3345" s="5" t="s">
        <v>4000</v>
      </c>
      <c r="B3345" t="s">
        <v>416</v>
      </c>
      <c r="C3345" t="str">
        <f>IFERROR(VLOOKUP(ILACLISTE[[#This Row],[NAME]],Table5[#All],2,0),"")</f>
        <v/>
      </c>
    </row>
    <row r="3346" spans="1:3" x14ac:dyDescent="0.3">
      <c r="A3346" s="5" t="s">
        <v>4001</v>
      </c>
      <c r="B3346" t="s">
        <v>417</v>
      </c>
      <c r="C3346" t="str">
        <f>IFERROR(VLOOKUP(ILACLISTE[[#This Row],[NAME]],Table5[#All],2,0),"")</f>
        <v/>
      </c>
    </row>
    <row r="3347" spans="1:3" x14ac:dyDescent="0.3">
      <c r="A3347" s="5" t="s">
        <v>4002</v>
      </c>
      <c r="B3347" t="s">
        <v>418</v>
      </c>
      <c r="C3347" t="str">
        <f>IFERROR(VLOOKUP(ILACLISTE[[#This Row],[NAME]],Table5[#All],2,0),"")</f>
        <v/>
      </c>
    </row>
    <row r="3348" spans="1:3" x14ac:dyDescent="0.3">
      <c r="A3348" s="5" t="s">
        <v>4003</v>
      </c>
      <c r="B3348" t="s">
        <v>9605</v>
      </c>
      <c r="C3348" t="str">
        <f>IFERROR(VLOOKUP(ILACLISTE[[#This Row],[NAME]],Table5[#All],2,0),"")</f>
        <v/>
      </c>
    </row>
    <row r="3349" spans="1:3" x14ac:dyDescent="0.3">
      <c r="A3349" s="5" t="s">
        <v>4004</v>
      </c>
      <c r="B3349" t="s">
        <v>419</v>
      </c>
      <c r="C3349" t="str">
        <f>IFERROR(VLOOKUP(ILACLISTE[[#This Row],[NAME]],Table5[#All],2,0),"")</f>
        <v/>
      </c>
    </row>
    <row r="3350" spans="1:3" x14ac:dyDescent="0.3">
      <c r="A3350" s="5" t="s">
        <v>4005</v>
      </c>
      <c r="B3350" t="s">
        <v>420</v>
      </c>
      <c r="C3350" t="str">
        <f>IFERROR(VLOOKUP(ILACLISTE[[#This Row],[NAME]],Table5[#All],2,0),"")</f>
        <v/>
      </c>
    </row>
    <row r="3351" spans="1:3" x14ac:dyDescent="0.3">
      <c r="A3351" s="5" t="s">
        <v>4006</v>
      </c>
      <c r="B3351" t="s">
        <v>421</v>
      </c>
      <c r="C3351" t="str">
        <f>IFERROR(VLOOKUP(ILACLISTE[[#This Row],[NAME]],Table5[#All],2,0),"")</f>
        <v/>
      </c>
    </row>
    <row r="3352" spans="1:3" x14ac:dyDescent="0.3">
      <c r="A3352" s="5" t="s">
        <v>4007</v>
      </c>
      <c r="B3352" t="s">
        <v>422</v>
      </c>
      <c r="C3352" t="str">
        <f>IFERROR(VLOOKUP(ILACLISTE[[#This Row],[NAME]],Table5[#All],2,0),"")</f>
        <v/>
      </c>
    </row>
    <row r="3353" spans="1:3" x14ac:dyDescent="0.3">
      <c r="A3353" s="5" t="s">
        <v>4008</v>
      </c>
      <c r="B3353" t="s">
        <v>9606</v>
      </c>
      <c r="C3353" t="str">
        <f>IFERROR(VLOOKUP(ILACLISTE[[#This Row],[NAME]],Table5[#All],2,0),"")</f>
        <v/>
      </c>
    </row>
    <row r="3354" spans="1:3" x14ac:dyDescent="0.3">
      <c r="A3354" s="5" t="s">
        <v>4009</v>
      </c>
      <c r="B3354" t="s">
        <v>9607</v>
      </c>
      <c r="C3354" t="str">
        <f>IFERROR(VLOOKUP(ILACLISTE[[#This Row],[NAME]],Table5[#All],2,0),"")</f>
        <v/>
      </c>
    </row>
    <row r="3355" spans="1:3" x14ac:dyDescent="0.3">
      <c r="A3355" s="5" t="s">
        <v>4010</v>
      </c>
      <c r="B3355" t="s">
        <v>9608</v>
      </c>
      <c r="C3355" t="str">
        <f>IFERROR(VLOOKUP(ILACLISTE[[#This Row],[NAME]],Table5[#All],2,0),"")</f>
        <v/>
      </c>
    </row>
    <row r="3356" spans="1:3" x14ac:dyDescent="0.3">
      <c r="A3356" s="5" t="s">
        <v>4011</v>
      </c>
      <c r="B3356" t="s">
        <v>9609</v>
      </c>
      <c r="C3356" t="str">
        <f>IFERROR(VLOOKUP(ILACLISTE[[#This Row],[NAME]],Table5[#All],2,0),"")</f>
        <v/>
      </c>
    </row>
    <row r="3357" spans="1:3" x14ac:dyDescent="0.3">
      <c r="A3357" s="5" t="s">
        <v>4012</v>
      </c>
      <c r="B3357" t="s">
        <v>9610</v>
      </c>
      <c r="C3357" t="str">
        <f>IFERROR(VLOOKUP(ILACLISTE[[#This Row],[NAME]],Table5[#All],2,0),"")</f>
        <v/>
      </c>
    </row>
    <row r="3358" spans="1:3" x14ac:dyDescent="0.3">
      <c r="A3358" s="5" t="s">
        <v>4013</v>
      </c>
      <c r="B3358" t="s">
        <v>9611</v>
      </c>
      <c r="C3358" t="str">
        <f>IFERROR(VLOOKUP(ILACLISTE[[#This Row],[NAME]],Table5[#All],2,0),"")</f>
        <v/>
      </c>
    </row>
    <row r="3359" spans="1:3" x14ac:dyDescent="0.3">
      <c r="A3359" s="5" t="s">
        <v>4014</v>
      </c>
      <c r="B3359" t="s">
        <v>9612</v>
      </c>
      <c r="C3359" t="str">
        <f>IFERROR(VLOOKUP(ILACLISTE[[#This Row],[NAME]],Table5[#All],2,0),"")</f>
        <v/>
      </c>
    </row>
    <row r="3360" spans="1:3" x14ac:dyDescent="0.3">
      <c r="A3360" s="5" t="s">
        <v>4015</v>
      </c>
      <c r="B3360" t="s">
        <v>423</v>
      </c>
      <c r="C3360" t="str">
        <f>IFERROR(VLOOKUP(ILACLISTE[[#This Row],[NAME]],Table5[#All],2,0),"")</f>
        <v/>
      </c>
    </row>
    <row r="3361" spans="1:3" x14ac:dyDescent="0.3">
      <c r="A3361" s="5" t="s">
        <v>4016</v>
      </c>
      <c r="B3361" t="s">
        <v>9613</v>
      </c>
      <c r="C3361" t="str">
        <f>IFERROR(VLOOKUP(ILACLISTE[[#This Row],[NAME]],Table5[#All],2,0),"")</f>
        <v/>
      </c>
    </row>
    <row r="3362" spans="1:3" x14ac:dyDescent="0.3">
      <c r="A3362" s="5" t="s">
        <v>4017</v>
      </c>
      <c r="B3362" t="s">
        <v>424</v>
      </c>
      <c r="C3362" t="str">
        <f>IFERROR(VLOOKUP(ILACLISTE[[#This Row],[NAME]],Table5[#All],2,0),"")</f>
        <v/>
      </c>
    </row>
    <row r="3363" spans="1:3" x14ac:dyDescent="0.3">
      <c r="A3363" s="5" t="s">
        <v>4018</v>
      </c>
      <c r="B3363" t="s">
        <v>9614</v>
      </c>
      <c r="C3363" t="str">
        <f>IFERROR(VLOOKUP(ILACLISTE[[#This Row],[NAME]],Table5[#All],2,0),"")</f>
        <v/>
      </c>
    </row>
    <row r="3364" spans="1:3" x14ac:dyDescent="0.3">
      <c r="A3364" s="5" t="s">
        <v>4019</v>
      </c>
      <c r="B3364" t="s">
        <v>425</v>
      </c>
      <c r="C3364" t="str">
        <f>IFERROR(VLOOKUP(ILACLISTE[[#This Row],[NAME]],Table5[#All],2,0),"")</f>
        <v/>
      </c>
    </row>
    <row r="3365" spans="1:3" x14ac:dyDescent="0.3">
      <c r="A3365" s="5" t="s">
        <v>4020</v>
      </c>
      <c r="B3365" t="s">
        <v>9615</v>
      </c>
      <c r="C3365" t="str">
        <f>IFERROR(VLOOKUP(ILACLISTE[[#This Row],[NAME]],Table5[#All],2,0),"")</f>
        <v/>
      </c>
    </row>
    <row r="3366" spans="1:3" x14ac:dyDescent="0.3">
      <c r="A3366" s="5" t="s">
        <v>4021</v>
      </c>
      <c r="B3366" t="s">
        <v>426</v>
      </c>
      <c r="C3366" t="str">
        <f>IFERROR(VLOOKUP(ILACLISTE[[#This Row],[NAME]],Table5[#All],2,0),"")</f>
        <v/>
      </c>
    </row>
    <row r="3367" spans="1:3" x14ac:dyDescent="0.3">
      <c r="A3367" s="5" t="s">
        <v>4022</v>
      </c>
      <c r="B3367" t="s">
        <v>9616</v>
      </c>
      <c r="C3367" t="str">
        <f>IFERROR(VLOOKUP(ILACLISTE[[#This Row],[NAME]],Table5[#All],2,0),"")</f>
        <v/>
      </c>
    </row>
    <row r="3368" spans="1:3" x14ac:dyDescent="0.3">
      <c r="A3368" s="5" t="s">
        <v>4023</v>
      </c>
      <c r="B3368" t="s">
        <v>427</v>
      </c>
      <c r="C3368" t="str">
        <f>IFERROR(VLOOKUP(ILACLISTE[[#This Row],[NAME]],Table5[#All],2,0),"")</f>
        <v/>
      </c>
    </row>
    <row r="3369" spans="1:3" x14ac:dyDescent="0.3">
      <c r="A3369" s="5" t="s">
        <v>4024</v>
      </c>
      <c r="B3369" t="s">
        <v>428</v>
      </c>
      <c r="C3369" t="str">
        <f>IFERROR(VLOOKUP(ILACLISTE[[#This Row],[NAME]],Table5[#All],2,0),"")</f>
        <v/>
      </c>
    </row>
    <row r="3370" spans="1:3" x14ac:dyDescent="0.3">
      <c r="A3370" s="5" t="s">
        <v>4025</v>
      </c>
      <c r="B3370" t="s">
        <v>9617</v>
      </c>
      <c r="C3370" t="str">
        <f>IFERROR(VLOOKUP(ILACLISTE[[#This Row],[NAME]],Table5[#All],2,0),"")</f>
        <v/>
      </c>
    </row>
    <row r="3371" spans="1:3" x14ac:dyDescent="0.3">
      <c r="A3371" s="5" t="s">
        <v>4026</v>
      </c>
      <c r="B3371" t="s">
        <v>9618</v>
      </c>
      <c r="C3371" t="str">
        <f>IFERROR(VLOOKUP(ILACLISTE[[#This Row],[NAME]],Table5[#All],2,0),"")</f>
        <v/>
      </c>
    </row>
    <row r="3372" spans="1:3" x14ac:dyDescent="0.3">
      <c r="A3372" s="5" t="s">
        <v>4027</v>
      </c>
      <c r="B3372" t="s">
        <v>9619</v>
      </c>
      <c r="C3372" t="str">
        <f>IFERROR(VLOOKUP(ILACLISTE[[#This Row],[NAME]],Table5[#All],2,0),"")</f>
        <v/>
      </c>
    </row>
    <row r="3373" spans="1:3" x14ac:dyDescent="0.3">
      <c r="A3373" s="5" t="s">
        <v>4028</v>
      </c>
      <c r="B3373" t="s">
        <v>9620</v>
      </c>
      <c r="C3373" t="str">
        <f>IFERROR(VLOOKUP(ILACLISTE[[#This Row],[NAME]],Table5[#All],2,0),"")</f>
        <v/>
      </c>
    </row>
    <row r="3374" spans="1:3" x14ac:dyDescent="0.3">
      <c r="A3374" s="5" t="s">
        <v>4029</v>
      </c>
      <c r="B3374" t="s">
        <v>429</v>
      </c>
      <c r="C3374" t="str">
        <f>IFERROR(VLOOKUP(ILACLISTE[[#This Row],[NAME]],Table5[#All],2,0),"")</f>
        <v/>
      </c>
    </row>
    <row r="3375" spans="1:3" x14ac:dyDescent="0.3">
      <c r="A3375" s="5" t="s">
        <v>4030</v>
      </c>
      <c r="B3375" t="s">
        <v>9621</v>
      </c>
      <c r="C3375" t="str">
        <f>IFERROR(VLOOKUP(ILACLISTE[[#This Row],[NAME]],Table5[#All],2,0),"")</f>
        <v/>
      </c>
    </row>
    <row r="3376" spans="1:3" x14ac:dyDescent="0.3">
      <c r="A3376" s="5" t="s">
        <v>4031</v>
      </c>
      <c r="B3376" t="s">
        <v>9622</v>
      </c>
      <c r="C3376" t="str">
        <f>IFERROR(VLOOKUP(ILACLISTE[[#This Row],[NAME]],Table5[#All],2,0),"")</f>
        <v/>
      </c>
    </row>
    <row r="3377" spans="1:3" x14ac:dyDescent="0.3">
      <c r="A3377" s="5" t="s">
        <v>4032</v>
      </c>
      <c r="B3377" t="s">
        <v>9623</v>
      </c>
      <c r="C3377" t="str">
        <f>IFERROR(VLOOKUP(ILACLISTE[[#This Row],[NAME]],Table5[#All],2,0),"")</f>
        <v/>
      </c>
    </row>
    <row r="3378" spans="1:3" x14ac:dyDescent="0.3">
      <c r="A3378" s="5" t="s">
        <v>4033</v>
      </c>
      <c r="B3378" t="s">
        <v>9624</v>
      </c>
      <c r="C3378" t="str">
        <f>IFERROR(VLOOKUP(ILACLISTE[[#This Row],[NAME]],Table5[#All],2,0),"")</f>
        <v/>
      </c>
    </row>
    <row r="3379" spans="1:3" x14ac:dyDescent="0.3">
      <c r="A3379" s="5" t="s">
        <v>4034</v>
      </c>
      <c r="B3379" t="s">
        <v>9625</v>
      </c>
      <c r="C3379" t="str">
        <f>IFERROR(VLOOKUP(ILACLISTE[[#This Row],[NAME]],Table5[#All],2,0),"")</f>
        <v/>
      </c>
    </row>
    <row r="3380" spans="1:3" x14ac:dyDescent="0.3">
      <c r="A3380" s="5" t="s">
        <v>4035</v>
      </c>
      <c r="B3380" t="s">
        <v>9626</v>
      </c>
      <c r="C3380" t="str">
        <f>IFERROR(VLOOKUP(ILACLISTE[[#This Row],[NAME]],Table5[#All],2,0),"")</f>
        <v/>
      </c>
    </row>
    <row r="3381" spans="1:3" x14ac:dyDescent="0.3">
      <c r="A3381" s="5" t="s">
        <v>4036</v>
      </c>
      <c r="B3381" t="s">
        <v>9627</v>
      </c>
      <c r="C3381" t="str">
        <f>IFERROR(VLOOKUP(ILACLISTE[[#This Row],[NAME]],Table5[#All],2,0),"")</f>
        <v/>
      </c>
    </row>
    <row r="3382" spans="1:3" x14ac:dyDescent="0.3">
      <c r="A3382" s="5" t="s">
        <v>4037</v>
      </c>
      <c r="B3382" t="s">
        <v>9628</v>
      </c>
      <c r="C3382" t="str">
        <f>IFERROR(VLOOKUP(ILACLISTE[[#This Row],[NAME]],Table5[#All],2,0),"")</f>
        <v/>
      </c>
    </row>
    <row r="3383" spans="1:3" x14ac:dyDescent="0.3">
      <c r="A3383" s="5" t="s">
        <v>4038</v>
      </c>
      <c r="B3383" t="s">
        <v>9629</v>
      </c>
      <c r="C3383" t="str">
        <f>IFERROR(VLOOKUP(ILACLISTE[[#This Row],[NAME]],Table5[#All],2,0),"")</f>
        <v/>
      </c>
    </row>
    <row r="3384" spans="1:3" x14ac:dyDescent="0.3">
      <c r="A3384" s="5" t="s">
        <v>4039</v>
      </c>
      <c r="B3384" t="s">
        <v>9630</v>
      </c>
      <c r="C3384" t="str">
        <f>IFERROR(VLOOKUP(ILACLISTE[[#This Row],[NAME]],Table5[#All],2,0),"")</f>
        <v/>
      </c>
    </row>
    <row r="3385" spans="1:3" x14ac:dyDescent="0.3">
      <c r="A3385" s="5" t="s">
        <v>4040</v>
      </c>
      <c r="B3385" t="s">
        <v>430</v>
      </c>
      <c r="C3385" t="str">
        <f>IFERROR(VLOOKUP(ILACLISTE[[#This Row],[NAME]],Table5[#All],2,0),"")</f>
        <v/>
      </c>
    </row>
    <row r="3386" spans="1:3" x14ac:dyDescent="0.3">
      <c r="A3386" s="5" t="s">
        <v>4041</v>
      </c>
      <c r="B3386" t="s">
        <v>9631</v>
      </c>
      <c r="C3386" t="str">
        <f>IFERROR(VLOOKUP(ILACLISTE[[#This Row],[NAME]],Table5[#All],2,0),"")</f>
        <v/>
      </c>
    </row>
    <row r="3387" spans="1:3" x14ac:dyDescent="0.3">
      <c r="A3387" s="5" t="s">
        <v>4042</v>
      </c>
      <c r="B3387" t="s">
        <v>9632</v>
      </c>
      <c r="C3387" t="str">
        <f>IFERROR(VLOOKUP(ILACLISTE[[#This Row],[NAME]],Table5[#All],2,0),"")</f>
        <v/>
      </c>
    </row>
    <row r="3388" spans="1:3" x14ac:dyDescent="0.3">
      <c r="A3388" s="5" t="s">
        <v>4043</v>
      </c>
      <c r="B3388" t="s">
        <v>9633</v>
      </c>
      <c r="C3388" t="str">
        <f>IFERROR(VLOOKUP(ILACLISTE[[#This Row],[NAME]],Table5[#All],2,0),"")</f>
        <v/>
      </c>
    </row>
    <row r="3389" spans="1:3" x14ac:dyDescent="0.3">
      <c r="A3389" s="5" t="s">
        <v>4044</v>
      </c>
      <c r="B3389" t="s">
        <v>9634</v>
      </c>
      <c r="C3389" t="str">
        <f>IFERROR(VLOOKUP(ILACLISTE[[#This Row],[NAME]],Table5[#All],2,0),"")</f>
        <v/>
      </c>
    </row>
    <row r="3390" spans="1:3" x14ac:dyDescent="0.3">
      <c r="A3390" s="5" t="s">
        <v>4045</v>
      </c>
      <c r="B3390" t="s">
        <v>9635</v>
      </c>
      <c r="C3390" t="str">
        <f>IFERROR(VLOOKUP(ILACLISTE[[#This Row],[NAME]],Table5[#All],2,0),"")</f>
        <v/>
      </c>
    </row>
    <row r="3391" spans="1:3" x14ac:dyDescent="0.3">
      <c r="A3391" s="5" t="s">
        <v>4046</v>
      </c>
      <c r="B3391" t="s">
        <v>9636</v>
      </c>
      <c r="C3391" t="str">
        <f>IFERROR(VLOOKUP(ILACLISTE[[#This Row],[NAME]],Table5[#All],2,0),"")</f>
        <v/>
      </c>
    </row>
    <row r="3392" spans="1:3" x14ac:dyDescent="0.3">
      <c r="A3392" s="5" t="s">
        <v>4047</v>
      </c>
      <c r="B3392" t="s">
        <v>9637</v>
      </c>
      <c r="C3392" t="str">
        <f>IFERROR(VLOOKUP(ILACLISTE[[#This Row],[NAME]],Table5[#All],2,0),"")</f>
        <v/>
      </c>
    </row>
    <row r="3393" spans="1:3" x14ac:dyDescent="0.3">
      <c r="A3393" s="5" t="s">
        <v>4048</v>
      </c>
      <c r="B3393" t="s">
        <v>431</v>
      </c>
      <c r="C3393" t="str">
        <f>IFERROR(VLOOKUP(ILACLISTE[[#This Row],[NAME]],Table5[#All],2,0),"")</f>
        <v/>
      </c>
    </row>
    <row r="3394" spans="1:3" x14ac:dyDescent="0.3">
      <c r="A3394" s="5" t="s">
        <v>4049</v>
      </c>
      <c r="B3394" t="s">
        <v>432</v>
      </c>
      <c r="C3394" t="str">
        <f>IFERROR(VLOOKUP(ILACLISTE[[#This Row],[NAME]],Table5[#All],2,0),"")</f>
        <v/>
      </c>
    </row>
    <row r="3395" spans="1:3" x14ac:dyDescent="0.3">
      <c r="A3395" s="5" t="s">
        <v>4050</v>
      </c>
      <c r="B3395" t="s">
        <v>9638</v>
      </c>
      <c r="C3395" t="str">
        <f>IFERROR(VLOOKUP(ILACLISTE[[#This Row],[NAME]],Table5[#All],2,0),"")</f>
        <v/>
      </c>
    </row>
    <row r="3396" spans="1:3" x14ac:dyDescent="0.3">
      <c r="A3396" s="5" t="s">
        <v>4051</v>
      </c>
      <c r="B3396" t="s">
        <v>9639</v>
      </c>
      <c r="C3396" t="str">
        <f>IFERROR(VLOOKUP(ILACLISTE[[#This Row],[NAME]],Table5[#All],2,0),"")</f>
        <v/>
      </c>
    </row>
    <row r="3397" spans="1:3" x14ac:dyDescent="0.3">
      <c r="A3397" s="5" t="s">
        <v>4052</v>
      </c>
      <c r="B3397" t="s">
        <v>9640</v>
      </c>
      <c r="C3397" t="str">
        <f>IFERROR(VLOOKUP(ILACLISTE[[#This Row],[NAME]],Table5[#All],2,0),"")</f>
        <v/>
      </c>
    </row>
    <row r="3398" spans="1:3" x14ac:dyDescent="0.3">
      <c r="A3398" s="5" t="s">
        <v>4053</v>
      </c>
      <c r="B3398" t="s">
        <v>9641</v>
      </c>
      <c r="C3398" t="str">
        <f>IFERROR(VLOOKUP(ILACLISTE[[#This Row],[NAME]],Table5[#All],2,0),"")</f>
        <v/>
      </c>
    </row>
    <row r="3399" spans="1:3" x14ac:dyDescent="0.3">
      <c r="A3399" s="5" t="s">
        <v>4054</v>
      </c>
      <c r="B3399" t="s">
        <v>9642</v>
      </c>
      <c r="C3399" t="str">
        <f>IFERROR(VLOOKUP(ILACLISTE[[#This Row],[NAME]],Table5[#All],2,0),"")</f>
        <v/>
      </c>
    </row>
    <row r="3400" spans="1:3" x14ac:dyDescent="0.3">
      <c r="A3400" s="5" t="s">
        <v>4055</v>
      </c>
      <c r="B3400" t="s">
        <v>9643</v>
      </c>
      <c r="C3400" t="str">
        <f>IFERROR(VLOOKUP(ILACLISTE[[#This Row],[NAME]],Table5[#All],2,0),"")</f>
        <v/>
      </c>
    </row>
    <row r="3401" spans="1:3" x14ac:dyDescent="0.3">
      <c r="A3401" s="5" t="s">
        <v>4056</v>
      </c>
      <c r="B3401" t="s">
        <v>9644</v>
      </c>
      <c r="C3401" t="str">
        <f>IFERROR(VLOOKUP(ILACLISTE[[#This Row],[NAME]],Table5[#All],2,0),"")</f>
        <v/>
      </c>
    </row>
    <row r="3402" spans="1:3" x14ac:dyDescent="0.3">
      <c r="A3402" s="5" t="s">
        <v>4057</v>
      </c>
      <c r="B3402" t="s">
        <v>9645</v>
      </c>
      <c r="C3402" t="str">
        <f>IFERROR(VLOOKUP(ILACLISTE[[#This Row],[NAME]],Table5[#All],2,0),"")</f>
        <v/>
      </c>
    </row>
    <row r="3403" spans="1:3" x14ac:dyDescent="0.3">
      <c r="A3403" s="5" t="s">
        <v>4058</v>
      </c>
      <c r="B3403" t="s">
        <v>9646</v>
      </c>
      <c r="C3403" t="str">
        <f>IFERROR(VLOOKUP(ILACLISTE[[#This Row],[NAME]],Table5[#All],2,0),"")</f>
        <v/>
      </c>
    </row>
    <row r="3404" spans="1:3" x14ac:dyDescent="0.3">
      <c r="A3404" s="5" t="s">
        <v>4059</v>
      </c>
      <c r="B3404" t="s">
        <v>9647</v>
      </c>
      <c r="C3404" t="str">
        <f>IFERROR(VLOOKUP(ILACLISTE[[#This Row],[NAME]],Table5[#All],2,0),"")</f>
        <v/>
      </c>
    </row>
    <row r="3405" spans="1:3" x14ac:dyDescent="0.3">
      <c r="A3405" s="5" t="s">
        <v>4060</v>
      </c>
      <c r="B3405" t="s">
        <v>9648</v>
      </c>
      <c r="C3405" t="str">
        <f>IFERROR(VLOOKUP(ILACLISTE[[#This Row],[NAME]],Table5[#All],2,0),"")</f>
        <v/>
      </c>
    </row>
    <row r="3406" spans="1:3" x14ac:dyDescent="0.3">
      <c r="A3406" s="5" t="s">
        <v>4061</v>
      </c>
      <c r="B3406" t="s">
        <v>433</v>
      </c>
      <c r="C3406" t="str">
        <f>IFERROR(VLOOKUP(ILACLISTE[[#This Row],[NAME]],Table5[#All],2,0),"")</f>
        <v/>
      </c>
    </row>
    <row r="3407" spans="1:3" x14ac:dyDescent="0.3">
      <c r="A3407" s="5" t="s">
        <v>4062</v>
      </c>
      <c r="B3407" t="s">
        <v>9649</v>
      </c>
      <c r="C3407" t="str">
        <f>IFERROR(VLOOKUP(ILACLISTE[[#This Row],[NAME]],Table5[#All],2,0),"")</f>
        <v/>
      </c>
    </row>
    <row r="3408" spans="1:3" x14ac:dyDescent="0.3">
      <c r="A3408" s="5" t="s">
        <v>4063</v>
      </c>
      <c r="B3408" t="s">
        <v>9650</v>
      </c>
      <c r="C3408" t="str">
        <f>IFERROR(VLOOKUP(ILACLISTE[[#This Row],[NAME]],Table5[#All],2,0),"")</f>
        <v/>
      </c>
    </row>
    <row r="3409" spans="1:3" x14ac:dyDescent="0.3">
      <c r="A3409" s="5" t="s">
        <v>4064</v>
      </c>
      <c r="B3409" t="s">
        <v>9651</v>
      </c>
      <c r="C3409" t="str">
        <f>IFERROR(VLOOKUP(ILACLISTE[[#This Row],[NAME]],Table5[#All],2,0),"")</f>
        <v/>
      </c>
    </row>
    <row r="3410" spans="1:3" x14ac:dyDescent="0.3">
      <c r="A3410" s="5" t="s">
        <v>4065</v>
      </c>
      <c r="B3410" t="s">
        <v>434</v>
      </c>
      <c r="C3410" t="str">
        <f>IFERROR(VLOOKUP(ILACLISTE[[#This Row],[NAME]],Table5[#All],2,0),"")</f>
        <v/>
      </c>
    </row>
    <row r="3411" spans="1:3" x14ac:dyDescent="0.3">
      <c r="A3411" s="5" t="s">
        <v>4066</v>
      </c>
      <c r="B3411" t="s">
        <v>9652</v>
      </c>
      <c r="C3411" t="str">
        <f>IFERROR(VLOOKUP(ILACLISTE[[#This Row],[NAME]],Table5[#All],2,0),"")</f>
        <v/>
      </c>
    </row>
    <row r="3412" spans="1:3" x14ac:dyDescent="0.3">
      <c r="A3412" s="5" t="s">
        <v>4067</v>
      </c>
      <c r="B3412" t="s">
        <v>9653</v>
      </c>
      <c r="C3412" t="str">
        <f>IFERROR(VLOOKUP(ILACLISTE[[#This Row],[NAME]],Table5[#All],2,0),"")</f>
        <v/>
      </c>
    </row>
    <row r="3413" spans="1:3" x14ac:dyDescent="0.3">
      <c r="A3413" s="5" t="s">
        <v>4068</v>
      </c>
      <c r="B3413" t="s">
        <v>9654</v>
      </c>
      <c r="C3413" t="str">
        <f>IFERROR(VLOOKUP(ILACLISTE[[#This Row],[NAME]],Table5[#All],2,0),"")</f>
        <v/>
      </c>
    </row>
    <row r="3414" spans="1:3" x14ac:dyDescent="0.3">
      <c r="A3414" s="5" t="s">
        <v>4069</v>
      </c>
      <c r="B3414" t="s">
        <v>9655</v>
      </c>
      <c r="C3414" t="str">
        <f>IFERROR(VLOOKUP(ILACLISTE[[#This Row],[NAME]],Table5[#All],2,0),"")</f>
        <v/>
      </c>
    </row>
    <row r="3415" spans="1:3" x14ac:dyDescent="0.3">
      <c r="A3415" s="5" t="s">
        <v>4070</v>
      </c>
      <c r="B3415" t="s">
        <v>9656</v>
      </c>
      <c r="C3415" t="str">
        <f>IFERROR(VLOOKUP(ILACLISTE[[#This Row],[NAME]],Table5[#All],2,0),"")</f>
        <v/>
      </c>
    </row>
    <row r="3416" spans="1:3" x14ac:dyDescent="0.3">
      <c r="A3416" s="5" t="s">
        <v>4071</v>
      </c>
      <c r="B3416" t="s">
        <v>9657</v>
      </c>
      <c r="C3416" t="str">
        <f>IFERROR(VLOOKUP(ILACLISTE[[#This Row],[NAME]],Table5[#All],2,0),"")</f>
        <v/>
      </c>
    </row>
    <row r="3417" spans="1:3" x14ac:dyDescent="0.3">
      <c r="A3417" s="5" t="s">
        <v>4072</v>
      </c>
      <c r="B3417" t="s">
        <v>9658</v>
      </c>
      <c r="C3417" t="str">
        <f>IFERROR(VLOOKUP(ILACLISTE[[#This Row],[NAME]],Table5[#All],2,0),"")</f>
        <v/>
      </c>
    </row>
    <row r="3418" spans="1:3" x14ac:dyDescent="0.3">
      <c r="A3418" s="5" t="s">
        <v>4073</v>
      </c>
      <c r="B3418" t="s">
        <v>9659</v>
      </c>
      <c r="C3418" t="str">
        <f>IFERROR(VLOOKUP(ILACLISTE[[#This Row],[NAME]],Table5[#All],2,0),"")</f>
        <v/>
      </c>
    </row>
    <row r="3419" spans="1:3" x14ac:dyDescent="0.3">
      <c r="A3419" s="5" t="s">
        <v>4074</v>
      </c>
      <c r="B3419" t="s">
        <v>9660</v>
      </c>
      <c r="C3419" t="str">
        <f>IFERROR(VLOOKUP(ILACLISTE[[#This Row],[NAME]],Table5[#All],2,0),"")</f>
        <v/>
      </c>
    </row>
    <row r="3420" spans="1:3" x14ac:dyDescent="0.3">
      <c r="A3420" s="5" t="s">
        <v>4075</v>
      </c>
      <c r="B3420" t="s">
        <v>9661</v>
      </c>
      <c r="C3420" t="str">
        <f>IFERROR(VLOOKUP(ILACLISTE[[#This Row],[NAME]],Table5[#All],2,0),"")</f>
        <v/>
      </c>
    </row>
    <row r="3421" spans="1:3" x14ac:dyDescent="0.3">
      <c r="A3421" s="5" t="s">
        <v>4076</v>
      </c>
      <c r="B3421" t="s">
        <v>9662</v>
      </c>
      <c r="C3421" t="str">
        <f>IFERROR(VLOOKUP(ILACLISTE[[#This Row],[NAME]],Table5[#All],2,0),"")</f>
        <v/>
      </c>
    </row>
    <row r="3422" spans="1:3" x14ac:dyDescent="0.3">
      <c r="A3422" s="5" t="s">
        <v>4077</v>
      </c>
      <c r="B3422" t="s">
        <v>9663</v>
      </c>
      <c r="C3422" t="str">
        <f>IFERROR(VLOOKUP(ILACLISTE[[#This Row],[NAME]],Table5[#All],2,0),"")</f>
        <v/>
      </c>
    </row>
    <row r="3423" spans="1:3" x14ac:dyDescent="0.3">
      <c r="A3423" s="5" t="s">
        <v>4078</v>
      </c>
      <c r="B3423" t="s">
        <v>9664</v>
      </c>
      <c r="C3423" t="str">
        <f>IFERROR(VLOOKUP(ILACLISTE[[#This Row],[NAME]],Table5[#All],2,0),"")</f>
        <v/>
      </c>
    </row>
    <row r="3424" spans="1:3" x14ac:dyDescent="0.3">
      <c r="A3424" s="5" t="s">
        <v>4079</v>
      </c>
      <c r="B3424" t="s">
        <v>9665</v>
      </c>
      <c r="C3424" t="str">
        <f>IFERROR(VLOOKUP(ILACLISTE[[#This Row],[NAME]],Table5[#All],2,0),"")</f>
        <v/>
      </c>
    </row>
    <row r="3425" spans="1:3" x14ac:dyDescent="0.3">
      <c r="A3425" s="5" t="s">
        <v>4080</v>
      </c>
      <c r="B3425" t="s">
        <v>9666</v>
      </c>
      <c r="C3425" t="str">
        <f>IFERROR(VLOOKUP(ILACLISTE[[#This Row],[NAME]],Table5[#All],2,0),"")</f>
        <v/>
      </c>
    </row>
    <row r="3426" spans="1:3" x14ac:dyDescent="0.3">
      <c r="A3426" s="5" t="s">
        <v>4081</v>
      </c>
      <c r="B3426" t="s">
        <v>9667</v>
      </c>
      <c r="C3426" t="str">
        <f>IFERROR(VLOOKUP(ILACLISTE[[#This Row],[NAME]],Table5[#All],2,0),"")</f>
        <v/>
      </c>
    </row>
    <row r="3427" spans="1:3" x14ac:dyDescent="0.3">
      <c r="A3427" s="5" t="s">
        <v>4082</v>
      </c>
      <c r="B3427" s="4" t="s">
        <v>9668</v>
      </c>
      <c r="C3427" t="str">
        <f>IFERROR(VLOOKUP(ILACLISTE[[#This Row],[NAME]],Table5[#All],2,0),"")</f>
        <v/>
      </c>
    </row>
    <row r="3428" spans="1:3" x14ac:dyDescent="0.3">
      <c r="A3428" s="5" t="s">
        <v>4083</v>
      </c>
      <c r="B3428" t="s">
        <v>9669</v>
      </c>
      <c r="C3428" t="str">
        <f>IFERROR(VLOOKUP(ILACLISTE[[#This Row],[NAME]],Table5[#All],2,0),"")</f>
        <v/>
      </c>
    </row>
    <row r="3429" spans="1:3" x14ac:dyDescent="0.3">
      <c r="A3429" s="5" t="s">
        <v>4084</v>
      </c>
      <c r="B3429" t="s">
        <v>9670</v>
      </c>
      <c r="C3429" t="str">
        <f>IFERROR(VLOOKUP(ILACLISTE[[#This Row],[NAME]],Table5[#All],2,0),"")</f>
        <v/>
      </c>
    </row>
    <row r="3430" spans="1:3" x14ac:dyDescent="0.3">
      <c r="A3430" s="5" t="s">
        <v>4085</v>
      </c>
      <c r="B3430" t="s">
        <v>9671</v>
      </c>
      <c r="C3430" t="str">
        <f>IFERROR(VLOOKUP(ILACLISTE[[#This Row],[NAME]],Table5[#All],2,0),"")</f>
        <v/>
      </c>
    </row>
    <row r="3431" spans="1:3" x14ac:dyDescent="0.3">
      <c r="A3431" s="5" t="s">
        <v>4086</v>
      </c>
      <c r="B3431" t="s">
        <v>9672</v>
      </c>
      <c r="C3431" t="str">
        <f>IFERROR(VLOOKUP(ILACLISTE[[#This Row],[NAME]],Table5[#All],2,0),"")</f>
        <v/>
      </c>
    </row>
    <row r="3432" spans="1:3" x14ac:dyDescent="0.3">
      <c r="A3432" s="5" t="s">
        <v>4087</v>
      </c>
      <c r="B3432" t="s">
        <v>9673</v>
      </c>
      <c r="C3432" t="str">
        <f>IFERROR(VLOOKUP(ILACLISTE[[#This Row],[NAME]],Table5[#All],2,0),"")</f>
        <v/>
      </c>
    </row>
    <row r="3433" spans="1:3" x14ac:dyDescent="0.3">
      <c r="A3433" s="5" t="s">
        <v>4088</v>
      </c>
      <c r="B3433" t="s">
        <v>9674</v>
      </c>
      <c r="C3433" t="str">
        <f>IFERROR(VLOOKUP(ILACLISTE[[#This Row],[NAME]],Table5[#All],2,0),"")</f>
        <v/>
      </c>
    </row>
    <row r="3434" spans="1:3" x14ac:dyDescent="0.3">
      <c r="A3434" s="5" t="s">
        <v>4089</v>
      </c>
      <c r="B3434" t="s">
        <v>9675</v>
      </c>
      <c r="C3434" t="str">
        <f>IFERROR(VLOOKUP(ILACLISTE[[#This Row],[NAME]],Table5[#All],2,0),"")</f>
        <v/>
      </c>
    </row>
    <row r="3435" spans="1:3" x14ac:dyDescent="0.3">
      <c r="A3435" s="5" t="s">
        <v>4090</v>
      </c>
      <c r="B3435" t="s">
        <v>435</v>
      </c>
      <c r="C3435" t="str">
        <f>IFERROR(VLOOKUP(ILACLISTE[[#This Row],[NAME]],Table5[#All],2,0),"")</f>
        <v/>
      </c>
    </row>
    <row r="3436" spans="1:3" x14ac:dyDescent="0.3">
      <c r="A3436" s="5" t="s">
        <v>4091</v>
      </c>
      <c r="B3436" t="s">
        <v>436</v>
      </c>
      <c r="C3436" t="str">
        <f>IFERROR(VLOOKUP(ILACLISTE[[#This Row],[NAME]],Table5[#All],2,0),"")</f>
        <v/>
      </c>
    </row>
    <row r="3437" spans="1:3" x14ac:dyDescent="0.3">
      <c r="A3437" s="5" t="s">
        <v>4092</v>
      </c>
      <c r="B3437" t="s">
        <v>437</v>
      </c>
      <c r="C3437" t="str">
        <f>IFERROR(VLOOKUP(ILACLISTE[[#This Row],[NAME]],Table5[#All],2,0),"")</f>
        <v/>
      </c>
    </row>
    <row r="3438" spans="1:3" x14ac:dyDescent="0.3">
      <c r="A3438" s="5" t="s">
        <v>4093</v>
      </c>
      <c r="B3438" t="s">
        <v>438</v>
      </c>
      <c r="C3438" t="str">
        <f>IFERROR(VLOOKUP(ILACLISTE[[#This Row],[NAME]],Table5[#All],2,0),"")</f>
        <v/>
      </c>
    </row>
    <row r="3439" spans="1:3" x14ac:dyDescent="0.3">
      <c r="A3439" s="5" t="s">
        <v>4094</v>
      </c>
      <c r="B3439" t="s">
        <v>9676</v>
      </c>
      <c r="C3439" t="str">
        <f>IFERROR(VLOOKUP(ILACLISTE[[#This Row],[NAME]],Table5[#All],2,0),"")</f>
        <v/>
      </c>
    </row>
    <row r="3440" spans="1:3" x14ac:dyDescent="0.3">
      <c r="A3440" s="5" t="s">
        <v>4095</v>
      </c>
      <c r="B3440" t="s">
        <v>9677</v>
      </c>
      <c r="C3440" t="str">
        <f>IFERROR(VLOOKUP(ILACLISTE[[#This Row],[NAME]],Table5[#All],2,0),"")</f>
        <v/>
      </c>
    </row>
    <row r="3441" spans="1:3" x14ac:dyDescent="0.3">
      <c r="A3441" s="5" t="s">
        <v>4096</v>
      </c>
      <c r="B3441" t="s">
        <v>9678</v>
      </c>
      <c r="C3441" t="str">
        <f>IFERROR(VLOOKUP(ILACLISTE[[#This Row],[NAME]],Table5[#All],2,0),"")</f>
        <v/>
      </c>
    </row>
    <row r="3442" spans="1:3" x14ac:dyDescent="0.3">
      <c r="A3442" s="5" t="s">
        <v>4097</v>
      </c>
      <c r="B3442" t="s">
        <v>9679</v>
      </c>
      <c r="C3442" t="str">
        <f>IFERROR(VLOOKUP(ILACLISTE[[#This Row],[NAME]],Table5[#All],2,0),"")</f>
        <v/>
      </c>
    </row>
    <row r="3443" spans="1:3" x14ac:dyDescent="0.3">
      <c r="A3443" s="5" t="s">
        <v>4098</v>
      </c>
      <c r="B3443" t="s">
        <v>439</v>
      </c>
      <c r="C3443" t="str">
        <f>IFERROR(VLOOKUP(ILACLISTE[[#This Row],[NAME]],Table5[#All],2,0),"")</f>
        <v/>
      </c>
    </row>
    <row r="3444" spans="1:3" x14ac:dyDescent="0.3">
      <c r="A3444" s="5" t="s">
        <v>4099</v>
      </c>
      <c r="B3444" t="s">
        <v>9680</v>
      </c>
      <c r="C3444" t="str">
        <f>IFERROR(VLOOKUP(ILACLISTE[[#This Row],[NAME]],Table5[#All],2,0),"")</f>
        <v/>
      </c>
    </row>
    <row r="3445" spans="1:3" x14ac:dyDescent="0.3">
      <c r="A3445" s="5" t="s">
        <v>4100</v>
      </c>
      <c r="B3445" t="s">
        <v>9681</v>
      </c>
      <c r="C3445" t="str">
        <f>IFERROR(VLOOKUP(ILACLISTE[[#This Row],[NAME]],Table5[#All],2,0),"")</f>
        <v/>
      </c>
    </row>
    <row r="3446" spans="1:3" x14ac:dyDescent="0.3">
      <c r="A3446" s="5" t="s">
        <v>4101</v>
      </c>
      <c r="B3446" t="s">
        <v>9682</v>
      </c>
      <c r="C3446" t="str">
        <f>IFERROR(VLOOKUP(ILACLISTE[[#This Row],[NAME]],Table5[#All],2,0),"")</f>
        <v/>
      </c>
    </row>
    <row r="3447" spans="1:3" x14ac:dyDescent="0.3">
      <c r="A3447" s="5" t="s">
        <v>4102</v>
      </c>
      <c r="B3447" t="s">
        <v>9683</v>
      </c>
      <c r="C3447" t="str">
        <f>IFERROR(VLOOKUP(ILACLISTE[[#This Row],[NAME]],Table5[#All],2,0),"")</f>
        <v/>
      </c>
    </row>
    <row r="3448" spans="1:3" x14ac:dyDescent="0.3">
      <c r="A3448" s="5" t="s">
        <v>4103</v>
      </c>
      <c r="B3448" t="s">
        <v>9684</v>
      </c>
      <c r="C3448" t="str">
        <f>IFERROR(VLOOKUP(ILACLISTE[[#This Row],[NAME]],Table5[#All],2,0),"")</f>
        <v/>
      </c>
    </row>
    <row r="3449" spans="1:3" x14ac:dyDescent="0.3">
      <c r="A3449" s="5" t="s">
        <v>4104</v>
      </c>
      <c r="B3449" t="s">
        <v>9685</v>
      </c>
      <c r="C3449" t="str">
        <f>IFERROR(VLOOKUP(ILACLISTE[[#This Row],[NAME]],Table5[#All],2,0),"")</f>
        <v/>
      </c>
    </row>
    <row r="3450" spans="1:3" x14ac:dyDescent="0.3">
      <c r="A3450" s="5" t="s">
        <v>4105</v>
      </c>
      <c r="B3450" t="s">
        <v>9686</v>
      </c>
      <c r="C3450" t="str">
        <f>IFERROR(VLOOKUP(ILACLISTE[[#This Row],[NAME]],Table5[#All],2,0),"")</f>
        <v/>
      </c>
    </row>
    <row r="3451" spans="1:3" x14ac:dyDescent="0.3">
      <c r="A3451" s="5" t="s">
        <v>4106</v>
      </c>
      <c r="B3451" t="s">
        <v>9687</v>
      </c>
      <c r="C3451" t="str">
        <f>IFERROR(VLOOKUP(ILACLISTE[[#This Row],[NAME]],Table5[#All],2,0),"")</f>
        <v/>
      </c>
    </row>
    <row r="3452" spans="1:3" x14ac:dyDescent="0.3">
      <c r="A3452" s="5" t="s">
        <v>4107</v>
      </c>
      <c r="B3452" t="s">
        <v>9688</v>
      </c>
      <c r="C3452" t="str">
        <f>IFERROR(VLOOKUP(ILACLISTE[[#This Row],[NAME]],Table5[#All],2,0),"")</f>
        <v/>
      </c>
    </row>
    <row r="3453" spans="1:3" x14ac:dyDescent="0.3">
      <c r="A3453" s="5" t="s">
        <v>4108</v>
      </c>
      <c r="B3453" t="s">
        <v>9689</v>
      </c>
      <c r="C3453" t="str">
        <f>IFERROR(VLOOKUP(ILACLISTE[[#This Row],[NAME]],Table5[#All],2,0),"")</f>
        <v/>
      </c>
    </row>
    <row r="3454" spans="1:3" x14ac:dyDescent="0.3">
      <c r="A3454" s="5" t="s">
        <v>4109</v>
      </c>
      <c r="B3454" t="s">
        <v>9690</v>
      </c>
      <c r="C3454" t="str">
        <f>IFERROR(VLOOKUP(ILACLISTE[[#This Row],[NAME]],Table5[#All],2,0),"")</f>
        <v/>
      </c>
    </row>
    <row r="3455" spans="1:3" x14ac:dyDescent="0.3">
      <c r="A3455" s="5" t="s">
        <v>4110</v>
      </c>
      <c r="B3455" t="s">
        <v>440</v>
      </c>
      <c r="C3455" t="str">
        <f>IFERROR(VLOOKUP(ILACLISTE[[#This Row],[NAME]],Table5[#All],2,0),"")</f>
        <v/>
      </c>
    </row>
    <row r="3456" spans="1:3" x14ac:dyDescent="0.3">
      <c r="A3456" s="5" t="s">
        <v>9691</v>
      </c>
      <c r="B3456" t="s">
        <v>9692</v>
      </c>
      <c r="C3456" t="str">
        <f>IFERROR(VLOOKUP(ILACLISTE[[#This Row],[NAME]],Table5[#All],2,0),"")</f>
        <v/>
      </c>
    </row>
    <row r="3457" spans="1:3" x14ac:dyDescent="0.3">
      <c r="A3457" s="5" t="s">
        <v>4111</v>
      </c>
      <c r="B3457" t="s">
        <v>9693</v>
      </c>
      <c r="C3457" t="str">
        <f>IFERROR(VLOOKUP(ILACLISTE[[#This Row],[NAME]],Table5[#All],2,0),"")</f>
        <v/>
      </c>
    </row>
    <row r="3458" spans="1:3" x14ac:dyDescent="0.3">
      <c r="A3458" s="5" t="s">
        <v>4112</v>
      </c>
      <c r="B3458" t="s">
        <v>9694</v>
      </c>
      <c r="C3458" t="str">
        <f>IFERROR(VLOOKUP(ILACLISTE[[#This Row],[NAME]],Table5[#All],2,0),"")</f>
        <v/>
      </c>
    </row>
    <row r="3459" spans="1:3" x14ac:dyDescent="0.3">
      <c r="A3459" s="5" t="s">
        <v>4113</v>
      </c>
      <c r="B3459" t="s">
        <v>441</v>
      </c>
      <c r="C3459" t="str">
        <f>IFERROR(VLOOKUP(ILACLISTE[[#This Row],[NAME]],Table5[#All],2,0),"")</f>
        <v/>
      </c>
    </row>
    <row r="3460" spans="1:3" x14ac:dyDescent="0.3">
      <c r="A3460" s="5" t="s">
        <v>4114</v>
      </c>
      <c r="B3460" t="s">
        <v>9695</v>
      </c>
      <c r="C3460" t="str">
        <f>IFERROR(VLOOKUP(ILACLISTE[[#This Row],[NAME]],Table5[#All],2,0),"")</f>
        <v/>
      </c>
    </row>
    <row r="3461" spans="1:3" x14ac:dyDescent="0.3">
      <c r="A3461" s="5" t="s">
        <v>9696</v>
      </c>
      <c r="B3461" t="s">
        <v>9697</v>
      </c>
      <c r="C3461" t="str">
        <f>IFERROR(VLOOKUP(ILACLISTE[[#This Row],[NAME]],Table5[#All],2,0),"")</f>
        <v/>
      </c>
    </row>
    <row r="3462" spans="1:3" x14ac:dyDescent="0.3">
      <c r="A3462" s="5" t="s">
        <v>4115</v>
      </c>
      <c r="B3462" t="s">
        <v>9698</v>
      </c>
      <c r="C3462" t="str">
        <f>IFERROR(VLOOKUP(ILACLISTE[[#This Row],[NAME]],Table5[#All],2,0),"")</f>
        <v/>
      </c>
    </row>
    <row r="3463" spans="1:3" x14ac:dyDescent="0.3">
      <c r="A3463" s="5" t="s">
        <v>4116</v>
      </c>
      <c r="B3463" t="s">
        <v>9699</v>
      </c>
      <c r="C3463" t="str">
        <f>IFERROR(VLOOKUP(ILACLISTE[[#This Row],[NAME]],Table5[#All],2,0),"")</f>
        <v/>
      </c>
    </row>
    <row r="3464" spans="1:3" x14ac:dyDescent="0.3">
      <c r="A3464" s="5" t="s">
        <v>4117</v>
      </c>
      <c r="B3464" t="s">
        <v>9700</v>
      </c>
      <c r="C3464" t="str">
        <f>IFERROR(VLOOKUP(ILACLISTE[[#This Row],[NAME]],Table5[#All],2,0),"")</f>
        <v/>
      </c>
    </row>
    <row r="3465" spans="1:3" x14ac:dyDescent="0.3">
      <c r="A3465" s="5" t="s">
        <v>4118</v>
      </c>
      <c r="B3465" t="s">
        <v>9701</v>
      </c>
      <c r="C3465" t="str">
        <f>IFERROR(VLOOKUP(ILACLISTE[[#This Row],[NAME]],Table5[#All],2,0),"")</f>
        <v/>
      </c>
    </row>
    <row r="3466" spans="1:3" x14ac:dyDescent="0.3">
      <c r="A3466" s="5" t="s">
        <v>4119</v>
      </c>
      <c r="B3466" t="s">
        <v>9702</v>
      </c>
      <c r="C3466" t="str">
        <f>IFERROR(VLOOKUP(ILACLISTE[[#This Row],[NAME]],Table5[#All],2,0),"")</f>
        <v/>
      </c>
    </row>
    <row r="3467" spans="1:3" x14ac:dyDescent="0.3">
      <c r="A3467" s="5" t="s">
        <v>4120</v>
      </c>
      <c r="B3467" t="s">
        <v>9703</v>
      </c>
      <c r="C3467" t="str">
        <f>IFERROR(VLOOKUP(ILACLISTE[[#This Row],[NAME]],Table5[#All],2,0),"")</f>
        <v/>
      </c>
    </row>
    <row r="3468" spans="1:3" x14ac:dyDescent="0.3">
      <c r="A3468" s="5" t="s">
        <v>4121</v>
      </c>
      <c r="B3468" t="s">
        <v>9704</v>
      </c>
      <c r="C3468" t="str">
        <f>IFERROR(VLOOKUP(ILACLISTE[[#This Row],[NAME]],Table5[#All],2,0),"")</f>
        <v/>
      </c>
    </row>
    <row r="3469" spans="1:3" x14ac:dyDescent="0.3">
      <c r="A3469" s="5" t="s">
        <v>4122</v>
      </c>
      <c r="B3469" t="s">
        <v>9705</v>
      </c>
      <c r="C3469" t="str">
        <f>IFERROR(VLOOKUP(ILACLISTE[[#This Row],[NAME]],Table5[#All],2,0),"")</f>
        <v/>
      </c>
    </row>
    <row r="3470" spans="1:3" x14ac:dyDescent="0.3">
      <c r="A3470" s="5" t="s">
        <v>4123</v>
      </c>
      <c r="B3470" t="s">
        <v>9706</v>
      </c>
      <c r="C3470" t="str">
        <f>IFERROR(VLOOKUP(ILACLISTE[[#This Row],[NAME]],Table5[#All],2,0),"")</f>
        <v/>
      </c>
    </row>
    <row r="3471" spans="1:3" x14ac:dyDescent="0.3">
      <c r="A3471" s="5" t="s">
        <v>4124</v>
      </c>
      <c r="B3471" t="s">
        <v>9707</v>
      </c>
      <c r="C3471" t="str">
        <f>IFERROR(VLOOKUP(ILACLISTE[[#This Row],[NAME]],Table5[#All],2,0),"")</f>
        <v/>
      </c>
    </row>
    <row r="3472" spans="1:3" x14ac:dyDescent="0.3">
      <c r="A3472" s="5" t="s">
        <v>4125</v>
      </c>
      <c r="B3472" t="s">
        <v>9708</v>
      </c>
      <c r="C3472" t="str">
        <f>IFERROR(VLOOKUP(ILACLISTE[[#This Row],[NAME]],Table5[#All],2,0),"")</f>
        <v/>
      </c>
    </row>
    <row r="3473" spans="1:3" x14ac:dyDescent="0.3">
      <c r="A3473" s="5" t="s">
        <v>4126</v>
      </c>
      <c r="B3473" t="s">
        <v>9709</v>
      </c>
      <c r="C3473" t="str">
        <f>IFERROR(VLOOKUP(ILACLISTE[[#This Row],[NAME]],Table5[#All],2,0),"")</f>
        <v/>
      </c>
    </row>
    <row r="3474" spans="1:3" x14ac:dyDescent="0.3">
      <c r="A3474" s="5" t="s">
        <v>4127</v>
      </c>
      <c r="B3474" t="s">
        <v>9710</v>
      </c>
      <c r="C3474" t="str">
        <f>IFERROR(VLOOKUP(ILACLISTE[[#This Row],[NAME]],Table5[#All],2,0),"")</f>
        <v/>
      </c>
    </row>
    <row r="3475" spans="1:3" x14ac:dyDescent="0.3">
      <c r="A3475" s="5" t="s">
        <v>4128</v>
      </c>
      <c r="B3475" t="s">
        <v>9711</v>
      </c>
      <c r="C3475" t="str">
        <f>IFERROR(VLOOKUP(ILACLISTE[[#This Row],[NAME]],Table5[#All],2,0),"")</f>
        <v/>
      </c>
    </row>
    <row r="3476" spans="1:3" x14ac:dyDescent="0.3">
      <c r="A3476" s="5" t="s">
        <v>4129</v>
      </c>
      <c r="B3476" t="s">
        <v>9712</v>
      </c>
      <c r="C3476" t="str">
        <f>IFERROR(VLOOKUP(ILACLISTE[[#This Row],[NAME]],Table5[#All],2,0),"")</f>
        <v/>
      </c>
    </row>
    <row r="3477" spans="1:3" x14ac:dyDescent="0.3">
      <c r="A3477" s="5" t="s">
        <v>4130</v>
      </c>
      <c r="B3477" t="s">
        <v>9713</v>
      </c>
      <c r="C3477" t="str">
        <f>IFERROR(VLOOKUP(ILACLISTE[[#This Row],[NAME]],Table5[#All],2,0),"")</f>
        <v/>
      </c>
    </row>
    <row r="3478" spans="1:3" x14ac:dyDescent="0.3">
      <c r="A3478" s="5" t="s">
        <v>4131</v>
      </c>
      <c r="B3478" t="s">
        <v>9714</v>
      </c>
      <c r="C3478" t="str">
        <f>IFERROR(VLOOKUP(ILACLISTE[[#This Row],[NAME]],Table5[#All],2,0),"")</f>
        <v/>
      </c>
    </row>
    <row r="3479" spans="1:3" x14ac:dyDescent="0.3">
      <c r="A3479" s="5" t="s">
        <v>4132</v>
      </c>
      <c r="B3479" t="s">
        <v>442</v>
      </c>
      <c r="C3479" t="str">
        <f>IFERROR(VLOOKUP(ILACLISTE[[#This Row],[NAME]],Table5[#All],2,0),"")</f>
        <v/>
      </c>
    </row>
    <row r="3480" spans="1:3" x14ac:dyDescent="0.3">
      <c r="A3480" s="5" t="s">
        <v>4133</v>
      </c>
      <c r="B3480" t="s">
        <v>9715</v>
      </c>
      <c r="C3480" t="str">
        <f>IFERROR(VLOOKUP(ILACLISTE[[#This Row],[NAME]],Table5[#All],2,0),"")</f>
        <v/>
      </c>
    </row>
    <row r="3481" spans="1:3" x14ac:dyDescent="0.3">
      <c r="A3481" s="5" t="s">
        <v>4134</v>
      </c>
      <c r="B3481" t="s">
        <v>9716</v>
      </c>
      <c r="C3481" t="str">
        <f>IFERROR(VLOOKUP(ILACLISTE[[#This Row],[NAME]],Table5[#All],2,0),"")</f>
        <v/>
      </c>
    </row>
    <row r="3482" spans="1:3" x14ac:dyDescent="0.3">
      <c r="A3482" s="5" t="s">
        <v>4135</v>
      </c>
      <c r="B3482" t="s">
        <v>9717</v>
      </c>
      <c r="C3482" t="str">
        <f>IFERROR(VLOOKUP(ILACLISTE[[#This Row],[NAME]],Table5[#All],2,0),"")</f>
        <v/>
      </c>
    </row>
    <row r="3483" spans="1:3" x14ac:dyDescent="0.3">
      <c r="A3483" s="5" t="s">
        <v>4136</v>
      </c>
      <c r="B3483" t="s">
        <v>9718</v>
      </c>
      <c r="C3483" t="str">
        <f>IFERROR(VLOOKUP(ILACLISTE[[#This Row],[NAME]],Table5[#All],2,0),"")</f>
        <v/>
      </c>
    </row>
    <row r="3484" spans="1:3" x14ac:dyDescent="0.3">
      <c r="A3484" s="5" t="s">
        <v>4137</v>
      </c>
      <c r="B3484" t="s">
        <v>9719</v>
      </c>
      <c r="C3484" t="str">
        <f>IFERROR(VLOOKUP(ILACLISTE[[#This Row],[NAME]],Table5[#All],2,0),"")</f>
        <v/>
      </c>
    </row>
    <row r="3485" spans="1:3" x14ac:dyDescent="0.3">
      <c r="A3485" s="5" t="s">
        <v>4138</v>
      </c>
      <c r="B3485" t="s">
        <v>9720</v>
      </c>
      <c r="C3485" t="str">
        <f>IFERROR(VLOOKUP(ILACLISTE[[#This Row],[NAME]],Table5[#All],2,0),"")</f>
        <v/>
      </c>
    </row>
    <row r="3486" spans="1:3" x14ac:dyDescent="0.3">
      <c r="A3486" s="5" t="s">
        <v>4139</v>
      </c>
      <c r="B3486" t="s">
        <v>443</v>
      </c>
      <c r="C3486" t="str">
        <f>IFERROR(VLOOKUP(ILACLISTE[[#This Row],[NAME]],Table5[#All],2,0),"")</f>
        <v/>
      </c>
    </row>
    <row r="3487" spans="1:3" x14ac:dyDescent="0.3">
      <c r="A3487" s="5" t="s">
        <v>4140</v>
      </c>
      <c r="B3487" t="s">
        <v>9721</v>
      </c>
      <c r="C3487" t="str">
        <f>IFERROR(VLOOKUP(ILACLISTE[[#This Row],[NAME]],Table5[#All],2,0),"")</f>
        <v/>
      </c>
    </row>
    <row r="3488" spans="1:3" x14ac:dyDescent="0.3">
      <c r="A3488" s="5" t="s">
        <v>4141</v>
      </c>
      <c r="B3488" t="s">
        <v>9722</v>
      </c>
      <c r="C3488" t="str">
        <f>IFERROR(VLOOKUP(ILACLISTE[[#This Row],[NAME]],Table5[#All],2,0),"")</f>
        <v/>
      </c>
    </row>
    <row r="3489" spans="1:3" x14ac:dyDescent="0.3">
      <c r="A3489" s="5" t="s">
        <v>4142</v>
      </c>
      <c r="B3489" t="s">
        <v>9723</v>
      </c>
      <c r="C3489" t="str">
        <f>IFERROR(VLOOKUP(ILACLISTE[[#This Row],[NAME]],Table5[#All],2,0),"")</f>
        <v/>
      </c>
    </row>
    <row r="3490" spans="1:3" x14ac:dyDescent="0.3">
      <c r="A3490" s="5" t="s">
        <v>4143</v>
      </c>
      <c r="B3490" t="s">
        <v>9724</v>
      </c>
      <c r="C3490" t="str">
        <f>IFERROR(VLOOKUP(ILACLISTE[[#This Row],[NAME]],Table5[#All],2,0),"")</f>
        <v/>
      </c>
    </row>
    <row r="3491" spans="1:3" x14ac:dyDescent="0.3">
      <c r="A3491" s="5" t="s">
        <v>4144</v>
      </c>
      <c r="B3491" t="s">
        <v>9725</v>
      </c>
      <c r="C3491" t="str">
        <f>IFERROR(VLOOKUP(ILACLISTE[[#This Row],[NAME]],Table5[#All],2,0),"")</f>
        <v/>
      </c>
    </row>
    <row r="3492" spans="1:3" x14ac:dyDescent="0.3">
      <c r="A3492" s="5" t="s">
        <v>4145</v>
      </c>
      <c r="B3492" t="s">
        <v>9726</v>
      </c>
      <c r="C3492" t="str">
        <f>IFERROR(VLOOKUP(ILACLISTE[[#This Row],[NAME]],Table5[#All],2,0),"")</f>
        <v/>
      </c>
    </row>
    <row r="3493" spans="1:3" x14ac:dyDescent="0.3">
      <c r="A3493" s="5" t="s">
        <v>4146</v>
      </c>
      <c r="B3493" t="s">
        <v>9727</v>
      </c>
      <c r="C3493" t="str">
        <f>IFERROR(VLOOKUP(ILACLISTE[[#This Row],[NAME]],Table5[#All],2,0),"")</f>
        <v/>
      </c>
    </row>
    <row r="3494" spans="1:3" x14ac:dyDescent="0.3">
      <c r="A3494" s="5" t="s">
        <v>4147</v>
      </c>
      <c r="B3494" t="s">
        <v>9728</v>
      </c>
      <c r="C3494" t="str">
        <f>IFERROR(VLOOKUP(ILACLISTE[[#This Row],[NAME]],Table5[#All],2,0),"")</f>
        <v/>
      </c>
    </row>
    <row r="3495" spans="1:3" x14ac:dyDescent="0.3">
      <c r="A3495" s="5" t="s">
        <v>4148</v>
      </c>
      <c r="B3495" t="s">
        <v>9729</v>
      </c>
      <c r="C3495" t="str">
        <f>IFERROR(VLOOKUP(ILACLISTE[[#This Row],[NAME]],Table5[#All],2,0),"")</f>
        <v/>
      </c>
    </row>
    <row r="3496" spans="1:3" x14ac:dyDescent="0.3">
      <c r="A3496" s="5" t="s">
        <v>4149</v>
      </c>
      <c r="B3496" t="s">
        <v>9730</v>
      </c>
      <c r="C3496" t="str">
        <f>IFERROR(VLOOKUP(ILACLISTE[[#This Row],[NAME]],Table5[#All],2,0),"")</f>
        <v/>
      </c>
    </row>
    <row r="3497" spans="1:3" x14ac:dyDescent="0.3">
      <c r="A3497" s="5" t="s">
        <v>4150</v>
      </c>
      <c r="B3497" t="s">
        <v>9731</v>
      </c>
      <c r="C3497" t="str">
        <f>IFERROR(VLOOKUP(ILACLISTE[[#This Row],[NAME]],Table5[#All],2,0),"")</f>
        <v/>
      </c>
    </row>
    <row r="3498" spans="1:3" x14ac:dyDescent="0.3">
      <c r="A3498" s="5" t="s">
        <v>4151</v>
      </c>
      <c r="B3498" s="4" t="s">
        <v>444</v>
      </c>
      <c r="C3498" t="str">
        <f>IFERROR(VLOOKUP(ILACLISTE[[#This Row],[NAME]],Table5[#All],2,0),"")</f>
        <v/>
      </c>
    </row>
    <row r="3499" spans="1:3" x14ac:dyDescent="0.3">
      <c r="A3499" s="5" t="s">
        <v>4152</v>
      </c>
      <c r="B3499" s="4" t="s">
        <v>445</v>
      </c>
      <c r="C3499" t="str">
        <f>IFERROR(VLOOKUP(ILACLISTE[[#This Row],[NAME]],Table5[#All],2,0),"")</f>
        <v/>
      </c>
    </row>
    <row r="3500" spans="1:3" x14ac:dyDescent="0.3">
      <c r="A3500" s="5" t="s">
        <v>4153</v>
      </c>
      <c r="B3500" t="s">
        <v>9732</v>
      </c>
      <c r="C3500" t="str">
        <f>IFERROR(VLOOKUP(ILACLISTE[[#This Row],[NAME]],Table5[#All],2,0),"")</f>
        <v/>
      </c>
    </row>
    <row r="3501" spans="1:3" x14ac:dyDescent="0.3">
      <c r="A3501" s="5" t="s">
        <v>4154</v>
      </c>
      <c r="B3501" t="s">
        <v>9733</v>
      </c>
      <c r="C3501" t="str">
        <f>IFERROR(VLOOKUP(ILACLISTE[[#This Row],[NAME]],Table5[#All],2,0),"")</f>
        <v/>
      </c>
    </row>
    <row r="3502" spans="1:3" x14ac:dyDescent="0.3">
      <c r="A3502" s="5" t="s">
        <v>4155</v>
      </c>
      <c r="B3502" t="s">
        <v>9734</v>
      </c>
      <c r="C3502" t="str">
        <f>IFERROR(VLOOKUP(ILACLISTE[[#This Row],[NAME]],Table5[#All],2,0),"")</f>
        <v/>
      </c>
    </row>
    <row r="3503" spans="1:3" x14ac:dyDescent="0.3">
      <c r="A3503" s="5" t="s">
        <v>4156</v>
      </c>
      <c r="B3503" t="s">
        <v>9735</v>
      </c>
      <c r="C3503" t="str">
        <f>IFERROR(VLOOKUP(ILACLISTE[[#This Row],[NAME]],Table5[#All],2,0),"")</f>
        <v/>
      </c>
    </row>
    <row r="3504" spans="1:3" x14ac:dyDescent="0.3">
      <c r="A3504" s="5" t="s">
        <v>4157</v>
      </c>
      <c r="B3504" t="s">
        <v>446</v>
      </c>
      <c r="C3504" t="str">
        <f>IFERROR(VLOOKUP(ILACLISTE[[#This Row],[NAME]],Table5[#All],2,0),"")</f>
        <v/>
      </c>
    </row>
    <row r="3505" spans="1:3" x14ac:dyDescent="0.3">
      <c r="A3505" s="5" t="s">
        <v>4158</v>
      </c>
      <c r="B3505" t="s">
        <v>9736</v>
      </c>
      <c r="C3505" t="str">
        <f>IFERROR(VLOOKUP(ILACLISTE[[#This Row],[NAME]],Table5[#All],2,0),"")</f>
        <v/>
      </c>
    </row>
    <row r="3506" spans="1:3" x14ac:dyDescent="0.3">
      <c r="A3506" s="5" t="s">
        <v>4159</v>
      </c>
      <c r="B3506" t="s">
        <v>447</v>
      </c>
      <c r="C3506" t="str">
        <f>IFERROR(VLOOKUP(ILACLISTE[[#This Row],[NAME]],Table5[#All],2,0),"")</f>
        <v/>
      </c>
    </row>
    <row r="3507" spans="1:3" x14ac:dyDescent="0.3">
      <c r="A3507" s="5" t="s">
        <v>4160</v>
      </c>
      <c r="B3507" t="s">
        <v>9737</v>
      </c>
      <c r="C3507" t="str">
        <f>IFERROR(VLOOKUP(ILACLISTE[[#This Row],[NAME]],Table5[#All],2,0),"")</f>
        <v/>
      </c>
    </row>
    <row r="3508" spans="1:3" x14ac:dyDescent="0.3">
      <c r="A3508" s="5" t="s">
        <v>4161</v>
      </c>
      <c r="B3508" t="s">
        <v>9738</v>
      </c>
      <c r="C3508" t="str">
        <f>IFERROR(VLOOKUP(ILACLISTE[[#This Row],[NAME]],Table5[#All],2,0),"")</f>
        <v/>
      </c>
    </row>
    <row r="3509" spans="1:3" x14ac:dyDescent="0.3">
      <c r="A3509" s="5" t="s">
        <v>4162</v>
      </c>
      <c r="B3509" t="s">
        <v>9739</v>
      </c>
      <c r="C3509" t="str">
        <f>IFERROR(VLOOKUP(ILACLISTE[[#This Row],[NAME]],Table5[#All],2,0),"")</f>
        <v/>
      </c>
    </row>
    <row r="3510" spans="1:3" x14ac:dyDescent="0.3">
      <c r="A3510" s="5" t="s">
        <v>4163</v>
      </c>
      <c r="B3510" t="s">
        <v>9740</v>
      </c>
      <c r="C3510" t="str">
        <f>IFERROR(VLOOKUP(ILACLISTE[[#This Row],[NAME]],Table5[#All],2,0),"")</f>
        <v/>
      </c>
    </row>
    <row r="3511" spans="1:3" x14ac:dyDescent="0.3">
      <c r="A3511" s="5" t="s">
        <v>4164</v>
      </c>
      <c r="B3511" t="s">
        <v>9741</v>
      </c>
      <c r="C3511" t="str">
        <f>IFERROR(VLOOKUP(ILACLISTE[[#This Row],[NAME]],Table5[#All],2,0),"")</f>
        <v/>
      </c>
    </row>
    <row r="3512" spans="1:3" x14ac:dyDescent="0.3">
      <c r="A3512" s="5" t="s">
        <v>4165</v>
      </c>
      <c r="B3512" t="s">
        <v>9742</v>
      </c>
      <c r="C3512" t="str">
        <f>IFERROR(VLOOKUP(ILACLISTE[[#This Row],[NAME]],Table5[#All],2,0),"")</f>
        <v/>
      </c>
    </row>
    <row r="3513" spans="1:3" x14ac:dyDescent="0.3">
      <c r="A3513" s="5" t="s">
        <v>4166</v>
      </c>
      <c r="B3513" t="s">
        <v>9743</v>
      </c>
      <c r="C3513" t="str">
        <f>IFERROR(VLOOKUP(ILACLISTE[[#This Row],[NAME]],Table5[#All],2,0),"")</f>
        <v/>
      </c>
    </row>
    <row r="3514" spans="1:3" x14ac:dyDescent="0.3">
      <c r="A3514" s="5" t="s">
        <v>4167</v>
      </c>
      <c r="B3514" t="s">
        <v>9744</v>
      </c>
      <c r="C3514" t="str">
        <f>IFERROR(VLOOKUP(ILACLISTE[[#This Row],[NAME]],Table5[#All],2,0),"")</f>
        <v/>
      </c>
    </row>
    <row r="3515" spans="1:3" x14ac:dyDescent="0.3">
      <c r="A3515" s="5" t="s">
        <v>4168</v>
      </c>
      <c r="B3515" t="s">
        <v>448</v>
      </c>
      <c r="C3515" t="str">
        <f>IFERROR(VLOOKUP(ILACLISTE[[#This Row],[NAME]],Table5[#All],2,0),"")</f>
        <v/>
      </c>
    </row>
    <row r="3516" spans="1:3" x14ac:dyDescent="0.3">
      <c r="A3516" s="5" t="s">
        <v>4169</v>
      </c>
      <c r="B3516" t="s">
        <v>449</v>
      </c>
      <c r="C3516" t="str">
        <f>IFERROR(VLOOKUP(ILACLISTE[[#This Row],[NAME]],Table5[#All],2,0),"")</f>
        <v/>
      </c>
    </row>
    <row r="3517" spans="1:3" x14ac:dyDescent="0.3">
      <c r="A3517" s="5" t="s">
        <v>4170</v>
      </c>
      <c r="B3517" t="s">
        <v>9745</v>
      </c>
      <c r="C3517" t="str">
        <f>IFERROR(VLOOKUP(ILACLISTE[[#This Row],[NAME]],Table5[#All],2,0),"")</f>
        <v/>
      </c>
    </row>
    <row r="3518" spans="1:3" x14ac:dyDescent="0.3">
      <c r="A3518" s="5" t="s">
        <v>4171</v>
      </c>
      <c r="B3518" t="s">
        <v>9746</v>
      </c>
      <c r="C3518" t="str">
        <f>IFERROR(VLOOKUP(ILACLISTE[[#This Row],[NAME]],Table5[#All],2,0),"")</f>
        <v/>
      </c>
    </row>
    <row r="3519" spans="1:3" x14ac:dyDescent="0.3">
      <c r="A3519" s="5" t="s">
        <v>4172</v>
      </c>
      <c r="B3519" t="s">
        <v>9747</v>
      </c>
      <c r="C3519" t="str">
        <f>IFERROR(VLOOKUP(ILACLISTE[[#This Row],[NAME]],Table5[#All],2,0),"")</f>
        <v/>
      </c>
    </row>
    <row r="3520" spans="1:3" x14ac:dyDescent="0.3">
      <c r="A3520" s="5" t="s">
        <v>4173</v>
      </c>
      <c r="B3520" t="s">
        <v>9748</v>
      </c>
      <c r="C3520" t="str">
        <f>IFERROR(VLOOKUP(ILACLISTE[[#This Row],[NAME]],Table5[#All],2,0),"")</f>
        <v/>
      </c>
    </row>
    <row r="3521" spans="1:3" x14ac:dyDescent="0.3">
      <c r="A3521" s="5" t="s">
        <v>4174</v>
      </c>
      <c r="B3521" t="s">
        <v>9749</v>
      </c>
      <c r="C3521" t="str">
        <f>IFERROR(VLOOKUP(ILACLISTE[[#This Row],[NAME]],Table5[#All],2,0),"")</f>
        <v/>
      </c>
    </row>
    <row r="3522" spans="1:3" x14ac:dyDescent="0.3">
      <c r="A3522" s="5" t="s">
        <v>4175</v>
      </c>
      <c r="B3522" t="s">
        <v>9750</v>
      </c>
      <c r="C3522" t="str">
        <f>IFERROR(VLOOKUP(ILACLISTE[[#This Row],[NAME]],Table5[#All],2,0),"")</f>
        <v/>
      </c>
    </row>
    <row r="3523" spans="1:3" x14ac:dyDescent="0.3">
      <c r="A3523" s="5" t="s">
        <v>4176</v>
      </c>
      <c r="B3523" t="s">
        <v>9751</v>
      </c>
      <c r="C3523" t="str">
        <f>IFERROR(VLOOKUP(ILACLISTE[[#This Row],[NAME]],Table5[#All],2,0),"")</f>
        <v/>
      </c>
    </row>
    <row r="3524" spans="1:3" x14ac:dyDescent="0.3">
      <c r="A3524" s="5" t="s">
        <v>4177</v>
      </c>
      <c r="B3524" t="s">
        <v>450</v>
      </c>
      <c r="C3524" t="str">
        <f>IFERROR(VLOOKUP(ILACLISTE[[#This Row],[NAME]],Table5[#All],2,0),"")</f>
        <v/>
      </c>
    </row>
    <row r="3525" spans="1:3" x14ac:dyDescent="0.3">
      <c r="A3525" s="5" t="s">
        <v>4178</v>
      </c>
      <c r="B3525" t="s">
        <v>9752</v>
      </c>
      <c r="C3525" t="str">
        <f>IFERROR(VLOOKUP(ILACLISTE[[#This Row],[NAME]],Table5[#All],2,0),"")</f>
        <v/>
      </c>
    </row>
    <row r="3526" spans="1:3" x14ac:dyDescent="0.3">
      <c r="A3526" s="5" t="s">
        <v>4179</v>
      </c>
      <c r="B3526" t="s">
        <v>9753</v>
      </c>
      <c r="C3526" t="str">
        <f>IFERROR(VLOOKUP(ILACLISTE[[#This Row],[NAME]],Table5[#All],2,0),"")</f>
        <v/>
      </c>
    </row>
    <row r="3527" spans="1:3" x14ac:dyDescent="0.3">
      <c r="A3527" s="5" t="s">
        <v>4180</v>
      </c>
      <c r="B3527" t="s">
        <v>9754</v>
      </c>
      <c r="C3527" t="str">
        <f>IFERROR(VLOOKUP(ILACLISTE[[#This Row],[NAME]],Table5[#All],2,0),"")</f>
        <v/>
      </c>
    </row>
    <row r="3528" spans="1:3" x14ac:dyDescent="0.3">
      <c r="A3528" s="5" t="s">
        <v>4181</v>
      </c>
      <c r="B3528" t="s">
        <v>9755</v>
      </c>
      <c r="C3528" t="str">
        <f>IFERROR(VLOOKUP(ILACLISTE[[#This Row],[NAME]],Table5[#All],2,0),"")</f>
        <v/>
      </c>
    </row>
    <row r="3529" spans="1:3" x14ac:dyDescent="0.3">
      <c r="A3529" s="5" t="s">
        <v>4182</v>
      </c>
      <c r="B3529" t="s">
        <v>9756</v>
      </c>
      <c r="C3529" t="str">
        <f>IFERROR(VLOOKUP(ILACLISTE[[#This Row],[NAME]],Table5[#All],2,0),"")</f>
        <v/>
      </c>
    </row>
    <row r="3530" spans="1:3" x14ac:dyDescent="0.3">
      <c r="A3530" s="5" t="s">
        <v>4183</v>
      </c>
      <c r="B3530" t="s">
        <v>9757</v>
      </c>
      <c r="C3530" t="str">
        <f>IFERROR(VLOOKUP(ILACLISTE[[#This Row],[NAME]],Table5[#All],2,0),"")</f>
        <v/>
      </c>
    </row>
    <row r="3531" spans="1:3" x14ac:dyDescent="0.3">
      <c r="A3531" s="5" t="s">
        <v>4184</v>
      </c>
      <c r="B3531" t="s">
        <v>9758</v>
      </c>
      <c r="C3531" t="str">
        <f>IFERROR(VLOOKUP(ILACLISTE[[#This Row],[NAME]],Table5[#All],2,0),"")</f>
        <v/>
      </c>
    </row>
    <row r="3532" spans="1:3" x14ac:dyDescent="0.3">
      <c r="A3532" s="5" t="s">
        <v>4185</v>
      </c>
      <c r="B3532" t="s">
        <v>9759</v>
      </c>
      <c r="C3532" t="str">
        <f>IFERROR(VLOOKUP(ILACLISTE[[#This Row],[NAME]],Table5[#All],2,0),"")</f>
        <v/>
      </c>
    </row>
    <row r="3533" spans="1:3" x14ac:dyDescent="0.3">
      <c r="A3533" s="5" t="s">
        <v>4186</v>
      </c>
      <c r="B3533" t="s">
        <v>9760</v>
      </c>
      <c r="C3533" t="str">
        <f>IFERROR(VLOOKUP(ILACLISTE[[#This Row],[NAME]],Table5[#All],2,0),"")</f>
        <v/>
      </c>
    </row>
    <row r="3534" spans="1:3" x14ac:dyDescent="0.3">
      <c r="A3534" s="5" t="s">
        <v>4187</v>
      </c>
      <c r="B3534" t="s">
        <v>451</v>
      </c>
      <c r="C3534" t="str">
        <f>IFERROR(VLOOKUP(ILACLISTE[[#This Row],[NAME]],Table5[#All],2,0),"")</f>
        <v/>
      </c>
    </row>
    <row r="3535" spans="1:3" x14ac:dyDescent="0.3">
      <c r="A3535" s="5" t="s">
        <v>4188</v>
      </c>
      <c r="B3535" t="s">
        <v>9761</v>
      </c>
      <c r="C3535" t="str">
        <f>IFERROR(VLOOKUP(ILACLISTE[[#This Row],[NAME]],Table5[#All],2,0),"")</f>
        <v/>
      </c>
    </row>
    <row r="3536" spans="1:3" x14ac:dyDescent="0.3">
      <c r="A3536" s="5" t="s">
        <v>4189</v>
      </c>
      <c r="B3536" t="s">
        <v>9762</v>
      </c>
      <c r="C3536" t="str">
        <f>IFERROR(VLOOKUP(ILACLISTE[[#This Row],[NAME]],Table5[#All],2,0),"")</f>
        <v/>
      </c>
    </row>
    <row r="3537" spans="1:3" x14ac:dyDescent="0.3">
      <c r="A3537" s="5" t="s">
        <v>4190</v>
      </c>
      <c r="B3537" t="s">
        <v>9763</v>
      </c>
      <c r="C3537" t="str">
        <f>IFERROR(VLOOKUP(ILACLISTE[[#This Row],[NAME]],Table5[#All],2,0),"")</f>
        <v/>
      </c>
    </row>
    <row r="3538" spans="1:3" x14ac:dyDescent="0.3">
      <c r="A3538" s="5" t="s">
        <v>4191</v>
      </c>
      <c r="B3538" t="s">
        <v>9764</v>
      </c>
      <c r="C3538" t="str">
        <f>IFERROR(VLOOKUP(ILACLISTE[[#This Row],[NAME]],Table5[#All],2,0),"")</f>
        <v/>
      </c>
    </row>
    <row r="3539" spans="1:3" x14ac:dyDescent="0.3">
      <c r="A3539" s="5" t="s">
        <v>4192</v>
      </c>
      <c r="B3539" t="s">
        <v>9765</v>
      </c>
      <c r="C3539" t="str">
        <f>IFERROR(VLOOKUP(ILACLISTE[[#This Row],[NAME]],Table5[#All],2,0),"")</f>
        <v/>
      </c>
    </row>
    <row r="3540" spans="1:3" x14ac:dyDescent="0.3">
      <c r="A3540" s="5" t="s">
        <v>4193</v>
      </c>
      <c r="B3540" t="s">
        <v>452</v>
      </c>
      <c r="C3540" t="str">
        <f>IFERROR(VLOOKUP(ILACLISTE[[#This Row],[NAME]],Table5[#All],2,0),"")</f>
        <v/>
      </c>
    </row>
    <row r="3541" spans="1:3" x14ac:dyDescent="0.3">
      <c r="A3541" s="5" t="s">
        <v>4194</v>
      </c>
      <c r="B3541" t="s">
        <v>453</v>
      </c>
      <c r="C3541" t="str">
        <f>IFERROR(VLOOKUP(ILACLISTE[[#This Row],[NAME]],Table5[#All],2,0),"")</f>
        <v/>
      </c>
    </row>
    <row r="3542" spans="1:3" x14ac:dyDescent="0.3">
      <c r="A3542" s="5" t="s">
        <v>4195</v>
      </c>
      <c r="B3542" t="s">
        <v>9766</v>
      </c>
      <c r="C3542" t="str">
        <f>IFERROR(VLOOKUP(ILACLISTE[[#This Row],[NAME]],Table5[#All],2,0),"")</f>
        <v/>
      </c>
    </row>
    <row r="3543" spans="1:3" x14ac:dyDescent="0.3">
      <c r="A3543" s="5" t="s">
        <v>4196</v>
      </c>
      <c r="B3543" t="s">
        <v>454</v>
      </c>
      <c r="C3543" t="str">
        <f>IFERROR(VLOOKUP(ILACLISTE[[#This Row],[NAME]],Table5[#All],2,0),"")</f>
        <v/>
      </c>
    </row>
    <row r="3544" spans="1:3" x14ac:dyDescent="0.3">
      <c r="A3544" s="5" t="s">
        <v>4197</v>
      </c>
      <c r="B3544" t="s">
        <v>455</v>
      </c>
      <c r="C3544" t="str">
        <f>IFERROR(VLOOKUP(ILACLISTE[[#This Row],[NAME]],Table5[#All],2,0),"")</f>
        <v/>
      </c>
    </row>
    <row r="3545" spans="1:3" x14ac:dyDescent="0.3">
      <c r="A3545" s="5" t="s">
        <v>4198</v>
      </c>
      <c r="B3545" t="s">
        <v>456</v>
      </c>
      <c r="C3545" t="str">
        <f>IFERROR(VLOOKUP(ILACLISTE[[#This Row],[NAME]],Table5[#All],2,0),"")</f>
        <v/>
      </c>
    </row>
    <row r="3546" spans="1:3" x14ac:dyDescent="0.3">
      <c r="A3546" s="5" t="s">
        <v>4199</v>
      </c>
      <c r="B3546" t="s">
        <v>9767</v>
      </c>
      <c r="C3546" t="str">
        <f>IFERROR(VLOOKUP(ILACLISTE[[#This Row],[NAME]],Table5[#All],2,0),"")</f>
        <v/>
      </c>
    </row>
    <row r="3547" spans="1:3" x14ac:dyDescent="0.3">
      <c r="A3547" s="5" t="s">
        <v>4200</v>
      </c>
      <c r="B3547" t="s">
        <v>457</v>
      </c>
      <c r="C3547" t="str">
        <f>IFERROR(VLOOKUP(ILACLISTE[[#This Row],[NAME]],Table5[#All],2,0),"")</f>
        <v/>
      </c>
    </row>
    <row r="3548" spans="1:3" x14ac:dyDescent="0.3">
      <c r="A3548" s="5" t="s">
        <v>4201</v>
      </c>
      <c r="B3548" t="s">
        <v>9768</v>
      </c>
      <c r="C3548" t="str">
        <f>IFERROR(VLOOKUP(ILACLISTE[[#This Row],[NAME]],Table5[#All],2,0),"")</f>
        <v/>
      </c>
    </row>
    <row r="3549" spans="1:3" x14ac:dyDescent="0.3">
      <c r="A3549" s="5" t="s">
        <v>4202</v>
      </c>
      <c r="B3549" t="s">
        <v>9769</v>
      </c>
      <c r="C3549" t="str">
        <f>IFERROR(VLOOKUP(ILACLISTE[[#This Row],[NAME]],Table5[#All],2,0),"")</f>
        <v/>
      </c>
    </row>
    <row r="3550" spans="1:3" x14ac:dyDescent="0.3">
      <c r="A3550" s="5" t="s">
        <v>4203</v>
      </c>
      <c r="B3550" t="s">
        <v>9770</v>
      </c>
      <c r="C3550" t="str">
        <f>IFERROR(VLOOKUP(ILACLISTE[[#This Row],[NAME]],Table5[#All],2,0),"")</f>
        <v/>
      </c>
    </row>
    <row r="3551" spans="1:3" x14ac:dyDescent="0.3">
      <c r="A3551" s="5" t="s">
        <v>4204</v>
      </c>
      <c r="B3551" t="s">
        <v>9771</v>
      </c>
      <c r="C3551" t="str">
        <f>IFERROR(VLOOKUP(ILACLISTE[[#This Row],[NAME]],Table5[#All],2,0),"")</f>
        <v/>
      </c>
    </row>
    <row r="3552" spans="1:3" x14ac:dyDescent="0.3">
      <c r="A3552" s="5" t="s">
        <v>4205</v>
      </c>
      <c r="B3552" t="s">
        <v>9772</v>
      </c>
      <c r="C3552" t="str">
        <f>IFERROR(VLOOKUP(ILACLISTE[[#This Row],[NAME]],Table5[#All],2,0),"")</f>
        <v/>
      </c>
    </row>
    <row r="3553" spans="1:3" x14ac:dyDescent="0.3">
      <c r="A3553" s="5" t="s">
        <v>4206</v>
      </c>
      <c r="B3553" t="s">
        <v>9773</v>
      </c>
      <c r="C3553" t="str">
        <f>IFERROR(VLOOKUP(ILACLISTE[[#This Row],[NAME]],Table5[#All],2,0),"")</f>
        <v/>
      </c>
    </row>
    <row r="3554" spans="1:3" x14ac:dyDescent="0.3">
      <c r="A3554" s="5" t="s">
        <v>4207</v>
      </c>
      <c r="B3554" t="s">
        <v>458</v>
      </c>
      <c r="C3554" t="str">
        <f>IFERROR(VLOOKUP(ILACLISTE[[#This Row],[NAME]],Table5[#All],2,0),"")</f>
        <v/>
      </c>
    </row>
    <row r="3555" spans="1:3" x14ac:dyDescent="0.3">
      <c r="A3555" s="5" t="s">
        <v>4208</v>
      </c>
      <c r="B3555" t="s">
        <v>9774</v>
      </c>
      <c r="C3555" t="str">
        <f>IFERROR(VLOOKUP(ILACLISTE[[#This Row],[NAME]],Table5[#All],2,0),"")</f>
        <v/>
      </c>
    </row>
    <row r="3556" spans="1:3" x14ac:dyDescent="0.3">
      <c r="A3556" s="5" t="s">
        <v>4209</v>
      </c>
      <c r="B3556" t="s">
        <v>9775</v>
      </c>
      <c r="C3556" t="str">
        <f>IFERROR(VLOOKUP(ILACLISTE[[#This Row],[NAME]],Table5[#All],2,0),"")</f>
        <v/>
      </c>
    </row>
    <row r="3557" spans="1:3" x14ac:dyDescent="0.3">
      <c r="A3557" s="5" t="s">
        <v>4210</v>
      </c>
      <c r="B3557" t="s">
        <v>9776</v>
      </c>
      <c r="C3557" t="str">
        <f>IFERROR(VLOOKUP(ILACLISTE[[#This Row],[NAME]],Table5[#All],2,0),"")</f>
        <v/>
      </c>
    </row>
    <row r="3558" spans="1:3" x14ac:dyDescent="0.3">
      <c r="A3558" s="5" t="s">
        <v>4211</v>
      </c>
      <c r="B3558" t="s">
        <v>9777</v>
      </c>
      <c r="C3558" t="str">
        <f>IFERROR(VLOOKUP(ILACLISTE[[#This Row],[NAME]],Table5[#All],2,0),"")</f>
        <v/>
      </c>
    </row>
    <row r="3559" spans="1:3" x14ac:dyDescent="0.3">
      <c r="A3559" s="5" t="s">
        <v>4212</v>
      </c>
      <c r="B3559" t="s">
        <v>9778</v>
      </c>
      <c r="C3559" t="str">
        <f>IFERROR(VLOOKUP(ILACLISTE[[#This Row],[NAME]],Table5[#All],2,0),"")</f>
        <v/>
      </c>
    </row>
    <row r="3560" spans="1:3" x14ac:dyDescent="0.3">
      <c r="A3560" s="5" t="s">
        <v>4213</v>
      </c>
      <c r="B3560" t="s">
        <v>9779</v>
      </c>
      <c r="C3560" t="str">
        <f>IFERROR(VLOOKUP(ILACLISTE[[#This Row],[NAME]],Table5[#All],2,0),"")</f>
        <v/>
      </c>
    </row>
    <row r="3561" spans="1:3" x14ac:dyDescent="0.3">
      <c r="A3561" s="5" t="s">
        <v>4214</v>
      </c>
      <c r="B3561" t="s">
        <v>9780</v>
      </c>
      <c r="C3561" t="str">
        <f>IFERROR(VLOOKUP(ILACLISTE[[#This Row],[NAME]],Table5[#All],2,0),"")</f>
        <v/>
      </c>
    </row>
    <row r="3562" spans="1:3" x14ac:dyDescent="0.3">
      <c r="A3562" s="5" t="s">
        <v>4215</v>
      </c>
      <c r="B3562" t="s">
        <v>9781</v>
      </c>
      <c r="C3562" t="str">
        <f>IFERROR(VLOOKUP(ILACLISTE[[#This Row],[NAME]],Table5[#All],2,0),"")</f>
        <v/>
      </c>
    </row>
    <row r="3563" spans="1:3" x14ac:dyDescent="0.3">
      <c r="A3563" s="5" t="s">
        <v>4216</v>
      </c>
      <c r="B3563" t="s">
        <v>9782</v>
      </c>
      <c r="C3563" t="str">
        <f>IFERROR(VLOOKUP(ILACLISTE[[#This Row],[NAME]],Table5[#All],2,0),"")</f>
        <v/>
      </c>
    </row>
    <row r="3564" spans="1:3" x14ac:dyDescent="0.3">
      <c r="A3564" s="5" t="s">
        <v>4217</v>
      </c>
      <c r="B3564" t="s">
        <v>9783</v>
      </c>
      <c r="C3564" t="str">
        <f>IFERROR(VLOOKUP(ILACLISTE[[#This Row],[NAME]],Table5[#All],2,0),"")</f>
        <v/>
      </c>
    </row>
    <row r="3565" spans="1:3" x14ac:dyDescent="0.3">
      <c r="A3565" s="5" t="s">
        <v>4218</v>
      </c>
      <c r="B3565" t="s">
        <v>9784</v>
      </c>
      <c r="C3565" t="str">
        <f>IFERROR(VLOOKUP(ILACLISTE[[#This Row],[NAME]],Table5[#All],2,0),"")</f>
        <v/>
      </c>
    </row>
    <row r="3566" spans="1:3" x14ac:dyDescent="0.3">
      <c r="A3566" s="5" t="s">
        <v>4219</v>
      </c>
      <c r="B3566" t="s">
        <v>9785</v>
      </c>
      <c r="C3566" t="str">
        <f>IFERROR(VLOOKUP(ILACLISTE[[#This Row],[NAME]],Table5[#All],2,0),"")</f>
        <v/>
      </c>
    </row>
    <row r="3567" spans="1:3" x14ac:dyDescent="0.3">
      <c r="A3567" s="5" t="s">
        <v>4220</v>
      </c>
      <c r="B3567" t="s">
        <v>9786</v>
      </c>
      <c r="C3567" t="str">
        <f>IFERROR(VLOOKUP(ILACLISTE[[#This Row],[NAME]],Table5[#All],2,0),"")</f>
        <v/>
      </c>
    </row>
    <row r="3568" spans="1:3" x14ac:dyDescent="0.3">
      <c r="A3568" s="5" t="s">
        <v>4221</v>
      </c>
      <c r="B3568" t="s">
        <v>9787</v>
      </c>
      <c r="C3568" t="str">
        <f>IFERROR(VLOOKUP(ILACLISTE[[#This Row],[NAME]],Table5[#All],2,0),"")</f>
        <v/>
      </c>
    </row>
    <row r="3569" spans="1:3" ht="20.399999999999999" x14ac:dyDescent="0.3">
      <c r="A3569" s="6" t="s">
        <v>4222</v>
      </c>
      <c r="B3569" t="s">
        <v>9788</v>
      </c>
      <c r="C3569" t="str">
        <f>IFERROR(VLOOKUP(ILACLISTE[[#This Row],[NAME]],Table5[#All],2,0),"")</f>
        <v/>
      </c>
    </row>
    <row r="3570" spans="1:3" x14ac:dyDescent="0.3">
      <c r="A3570" s="5" t="s">
        <v>4223</v>
      </c>
      <c r="B3570" t="s">
        <v>9789</v>
      </c>
      <c r="C3570" t="str">
        <f>IFERROR(VLOOKUP(ILACLISTE[[#This Row],[NAME]],Table5[#All],2,0),"")</f>
        <v/>
      </c>
    </row>
    <row r="3571" spans="1:3" x14ac:dyDescent="0.3">
      <c r="A3571" s="5" t="s">
        <v>4224</v>
      </c>
      <c r="B3571" t="s">
        <v>9790</v>
      </c>
      <c r="C3571" t="str">
        <f>IFERROR(VLOOKUP(ILACLISTE[[#This Row],[NAME]],Table5[#All],2,0),"")</f>
        <v/>
      </c>
    </row>
    <row r="3572" spans="1:3" x14ac:dyDescent="0.3">
      <c r="A3572" s="5" t="s">
        <v>4225</v>
      </c>
      <c r="B3572" t="s">
        <v>9791</v>
      </c>
      <c r="C3572" t="str">
        <f>IFERROR(VLOOKUP(ILACLISTE[[#This Row],[NAME]],Table5[#All],2,0),"")</f>
        <v/>
      </c>
    </row>
    <row r="3573" spans="1:3" x14ac:dyDescent="0.3">
      <c r="A3573" s="5" t="s">
        <v>4226</v>
      </c>
      <c r="B3573" t="s">
        <v>9792</v>
      </c>
      <c r="C3573" t="str">
        <f>IFERROR(VLOOKUP(ILACLISTE[[#This Row],[NAME]],Table5[#All],2,0),"")</f>
        <v/>
      </c>
    </row>
    <row r="3574" spans="1:3" x14ac:dyDescent="0.3">
      <c r="A3574" s="5" t="s">
        <v>4227</v>
      </c>
      <c r="B3574" t="s">
        <v>9793</v>
      </c>
      <c r="C3574" t="str">
        <f>IFERROR(VLOOKUP(ILACLISTE[[#This Row],[NAME]],Table5[#All],2,0),"")</f>
        <v/>
      </c>
    </row>
    <row r="3575" spans="1:3" x14ac:dyDescent="0.3">
      <c r="A3575" s="5" t="s">
        <v>4228</v>
      </c>
      <c r="B3575" t="s">
        <v>9794</v>
      </c>
      <c r="C3575" t="str">
        <f>IFERROR(VLOOKUP(ILACLISTE[[#This Row],[NAME]],Table5[#All],2,0),"")</f>
        <v/>
      </c>
    </row>
    <row r="3576" spans="1:3" x14ac:dyDescent="0.3">
      <c r="A3576" s="5" t="s">
        <v>4229</v>
      </c>
      <c r="B3576" t="s">
        <v>9795</v>
      </c>
      <c r="C3576" t="str">
        <f>IFERROR(VLOOKUP(ILACLISTE[[#This Row],[NAME]],Table5[#All],2,0),"")</f>
        <v/>
      </c>
    </row>
    <row r="3577" spans="1:3" x14ac:dyDescent="0.3">
      <c r="A3577" s="5" t="s">
        <v>4230</v>
      </c>
      <c r="B3577" t="s">
        <v>9796</v>
      </c>
      <c r="C3577" t="str">
        <f>IFERROR(VLOOKUP(ILACLISTE[[#This Row],[NAME]],Table5[#All],2,0),"")</f>
        <v/>
      </c>
    </row>
    <row r="3578" spans="1:3" x14ac:dyDescent="0.3">
      <c r="A3578" s="5" t="s">
        <v>4231</v>
      </c>
      <c r="B3578" t="s">
        <v>9797</v>
      </c>
      <c r="C3578" t="str">
        <f>IFERROR(VLOOKUP(ILACLISTE[[#This Row],[NAME]],Table5[#All],2,0),"")</f>
        <v/>
      </c>
    </row>
    <row r="3579" spans="1:3" x14ac:dyDescent="0.3">
      <c r="A3579" s="5" t="s">
        <v>4232</v>
      </c>
      <c r="B3579" t="s">
        <v>459</v>
      </c>
      <c r="C3579" t="str">
        <f>IFERROR(VLOOKUP(ILACLISTE[[#This Row],[NAME]],Table5[#All],2,0),"")</f>
        <v/>
      </c>
    </row>
    <row r="3580" spans="1:3" x14ac:dyDescent="0.3">
      <c r="A3580" s="5" t="s">
        <v>4233</v>
      </c>
      <c r="B3580" t="s">
        <v>460</v>
      </c>
      <c r="C3580" t="str">
        <f>IFERROR(VLOOKUP(ILACLISTE[[#This Row],[NAME]],Table5[#All],2,0),"")</f>
        <v/>
      </c>
    </row>
    <row r="3581" spans="1:3" x14ac:dyDescent="0.3">
      <c r="A3581" s="5" t="s">
        <v>9798</v>
      </c>
      <c r="B3581" t="s">
        <v>9799</v>
      </c>
      <c r="C3581" t="str">
        <f>IFERROR(VLOOKUP(ILACLISTE[[#This Row],[NAME]],Table5[#All],2,0),"")</f>
        <v/>
      </c>
    </row>
    <row r="3582" spans="1:3" x14ac:dyDescent="0.3">
      <c r="A3582" s="5" t="s">
        <v>4234</v>
      </c>
      <c r="B3582" t="s">
        <v>9800</v>
      </c>
      <c r="C3582" t="str">
        <f>IFERROR(VLOOKUP(ILACLISTE[[#This Row],[NAME]],Table5[#All],2,0),"")</f>
        <v/>
      </c>
    </row>
    <row r="3583" spans="1:3" x14ac:dyDescent="0.3">
      <c r="A3583" s="5" t="s">
        <v>4235</v>
      </c>
      <c r="B3583" t="s">
        <v>9801</v>
      </c>
      <c r="C3583" t="str">
        <f>IFERROR(VLOOKUP(ILACLISTE[[#This Row],[NAME]],Table5[#All],2,0),"")</f>
        <v/>
      </c>
    </row>
    <row r="3584" spans="1:3" x14ac:dyDescent="0.3">
      <c r="A3584" s="5" t="s">
        <v>4236</v>
      </c>
      <c r="B3584" t="s">
        <v>9802</v>
      </c>
      <c r="C3584" t="str">
        <f>IFERROR(VLOOKUP(ILACLISTE[[#This Row],[NAME]],Table5[#All],2,0),"")</f>
        <v/>
      </c>
    </row>
    <row r="3585" spans="1:3" x14ac:dyDescent="0.3">
      <c r="A3585" s="5" t="s">
        <v>4237</v>
      </c>
      <c r="B3585" t="s">
        <v>9803</v>
      </c>
      <c r="C3585" t="str">
        <f>IFERROR(VLOOKUP(ILACLISTE[[#This Row],[NAME]],Table5[#All],2,0),"")</f>
        <v/>
      </c>
    </row>
    <row r="3586" spans="1:3" x14ac:dyDescent="0.3">
      <c r="A3586" s="5" t="s">
        <v>4238</v>
      </c>
      <c r="B3586" t="s">
        <v>9804</v>
      </c>
      <c r="C3586" t="str">
        <f>IFERROR(VLOOKUP(ILACLISTE[[#This Row],[NAME]],Table5[#All],2,0),"")</f>
        <v/>
      </c>
    </row>
    <row r="3587" spans="1:3" x14ac:dyDescent="0.3">
      <c r="A3587" s="5" t="s">
        <v>4239</v>
      </c>
      <c r="B3587" t="s">
        <v>9805</v>
      </c>
      <c r="C3587" t="str">
        <f>IFERROR(VLOOKUP(ILACLISTE[[#This Row],[NAME]],Table5[#All],2,0),"")</f>
        <v/>
      </c>
    </row>
    <row r="3588" spans="1:3" x14ac:dyDescent="0.3">
      <c r="A3588" s="5" t="s">
        <v>4240</v>
      </c>
      <c r="B3588" t="s">
        <v>9806</v>
      </c>
      <c r="C3588" t="str">
        <f>IFERROR(VLOOKUP(ILACLISTE[[#This Row],[NAME]],Table5[#All],2,0),"")</f>
        <v/>
      </c>
    </row>
    <row r="3589" spans="1:3" x14ac:dyDescent="0.3">
      <c r="A3589" s="5" t="s">
        <v>4241</v>
      </c>
      <c r="B3589" t="s">
        <v>9807</v>
      </c>
      <c r="C3589" t="str">
        <f>IFERROR(VLOOKUP(ILACLISTE[[#This Row],[NAME]],Table5[#All],2,0),"")</f>
        <v/>
      </c>
    </row>
    <row r="3590" spans="1:3" x14ac:dyDescent="0.3">
      <c r="A3590" s="5" t="s">
        <v>4242</v>
      </c>
      <c r="B3590" t="s">
        <v>9808</v>
      </c>
      <c r="C3590" t="str">
        <f>IFERROR(VLOOKUP(ILACLISTE[[#This Row],[NAME]],Table5[#All],2,0),"")</f>
        <v/>
      </c>
    </row>
    <row r="3591" spans="1:3" x14ac:dyDescent="0.3">
      <c r="A3591" s="5" t="s">
        <v>4243</v>
      </c>
      <c r="B3591" t="s">
        <v>9809</v>
      </c>
      <c r="C3591" t="str">
        <f>IFERROR(VLOOKUP(ILACLISTE[[#This Row],[NAME]],Table5[#All],2,0),"")</f>
        <v/>
      </c>
    </row>
    <row r="3592" spans="1:3" x14ac:dyDescent="0.3">
      <c r="A3592" s="5" t="s">
        <v>4244</v>
      </c>
      <c r="B3592" t="s">
        <v>9810</v>
      </c>
      <c r="C3592" t="str">
        <f>IFERROR(VLOOKUP(ILACLISTE[[#This Row],[NAME]],Table5[#All],2,0),"")</f>
        <v/>
      </c>
    </row>
    <row r="3593" spans="1:3" x14ac:dyDescent="0.3">
      <c r="A3593" s="5" t="s">
        <v>4245</v>
      </c>
      <c r="B3593" t="s">
        <v>9811</v>
      </c>
      <c r="C3593" t="str">
        <f>IFERROR(VLOOKUP(ILACLISTE[[#This Row],[NAME]],Table5[#All],2,0),"")</f>
        <v/>
      </c>
    </row>
    <row r="3594" spans="1:3" x14ac:dyDescent="0.3">
      <c r="A3594" s="5" t="s">
        <v>4246</v>
      </c>
      <c r="B3594" t="s">
        <v>9812</v>
      </c>
      <c r="C3594" t="str">
        <f>IFERROR(VLOOKUP(ILACLISTE[[#This Row],[NAME]],Table5[#All],2,0),"")</f>
        <v/>
      </c>
    </row>
    <row r="3595" spans="1:3" x14ac:dyDescent="0.3">
      <c r="A3595" s="5" t="s">
        <v>4247</v>
      </c>
      <c r="B3595" t="s">
        <v>9813</v>
      </c>
      <c r="C3595" t="str">
        <f>IFERROR(VLOOKUP(ILACLISTE[[#This Row],[NAME]],Table5[#All],2,0),"")</f>
        <v/>
      </c>
    </row>
    <row r="3596" spans="1:3" x14ac:dyDescent="0.3">
      <c r="A3596" s="5" t="s">
        <v>4248</v>
      </c>
      <c r="B3596" t="s">
        <v>9814</v>
      </c>
      <c r="C3596" t="str">
        <f>IFERROR(VLOOKUP(ILACLISTE[[#This Row],[NAME]],Table5[#All],2,0),"")</f>
        <v/>
      </c>
    </row>
    <row r="3597" spans="1:3" x14ac:dyDescent="0.3">
      <c r="A3597" s="5" t="s">
        <v>4249</v>
      </c>
      <c r="B3597" t="s">
        <v>9815</v>
      </c>
      <c r="C3597" t="str">
        <f>IFERROR(VLOOKUP(ILACLISTE[[#This Row],[NAME]],Table5[#All],2,0),"")</f>
        <v/>
      </c>
    </row>
    <row r="3598" spans="1:3" x14ac:dyDescent="0.3">
      <c r="A3598" s="5" t="s">
        <v>4250</v>
      </c>
      <c r="B3598" t="s">
        <v>9816</v>
      </c>
      <c r="C3598" t="str">
        <f>IFERROR(VLOOKUP(ILACLISTE[[#This Row],[NAME]],Table5[#All],2,0),"")</f>
        <v/>
      </c>
    </row>
    <row r="3599" spans="1:3" x14ac:dyDescent="0.3">
      <c r="A3599" s="5" t="s">
        <v>4251</v>
      </c>
      <c r="B3599" t="s">
        <v>9817</v>
      </c>
      <c r="C3599" t="str">
        <f>IFERROR(VLOOKUP(ILACLISTE[[#This Row],[NAME]],Table5[#All],2,0),"")</f>
        <v/>
      </c>
    </row>
    <row r="3600" spans="1:3" x14ac:dyDescent="0.3">
      <c r="A3600" s="5" t="s">
        <v>4252</v>
      </c>
      <c r="B3600" t="s">
        <v>9818</v>
      </c>
      <c r="C3600" t="str">
        <f>IFERROR(VLOOKUP(ILACLISTE[[#This Row],[NAME]],Table5[#All],2,0),"")</f>
        <v/>
      </c>
    </row>
    <row r="3601" spans="1:3" x14ac:dyDescent="0.3">
      <c r="A3601" s="5" t="s">
        <v>4253</v>
      </c>
      <c r="B3601" t="s">
        <v>9819</v>
      </c>
      <c r="C3601" t="str">
        <f>IFERROR(VLOOKUP(ILACLISTE[[#This Row],[NAME]],Table5[#All],2,0),"")</f>
        <v/>
      </c>
    </row>
    <row r="3602" spans="1:3" x14ac:dyDescent="0.3">
      <c r="A3602" s="5" t="s">
        <v>4254</v>
      </c>
      <c r="B3602" t="s">
        <v>9820</v>
      </c>
      <c r="C3602" t="str">
        <f>IFERROR(VLOOKUP(ILACLISTE[[#This Row],[NAME]],Table5[#All],2,0),"")</f>
        <v/>
      </c>
    </row>
    <row r="3603" spans="1:3" x14ac:dyDescent="0.3">
      <c r="A3603" s="5" t="s">
        <v>4255</v>
      </c>
      <c r="B3603" t="s">
        <v>9821</v>
      </c>
      <c r="C3603" t="str">
        <f>IFERROR(VLOOKUP(ILACLISTE[[#This Row],[NAME]],Table5[#All],2,0),"")</f>
        <v/>
      </c>
    </row>
    <row r="3604" spans="1:3" x14ac:dyDescent="0.3">
      <c r="A3604" s="5" t="s">
        <v>4256</v>
      </c>
      <c r="B3604" t="s">
        <v>9822</v>
      </c>
      <c r="C3604" t="str">
        <f>IFERROR(VLOOKUP(ILACLISTE[[#This Row],[NAME]],Table5[#All],2,0),"")</f>
        <v/>
      </c>
    </row>
    <row r="3605" spans="1:3" x14ac:dyDescent="0.3">
      <c r="A3605" s="5" t="s">
        <v>4257</v>
      </c>
      <c r="B3605" t="s">
        <v>9823</v>
      </c>
      <c r="C3605" t="str">
        <f>IFERROR(VLOOKUP(ILACLISTE[[#This Row],[NAME]],Table5[#All],2,0),"")</f>
        <v/>
      </c>
    </row>
    <row r="3606" spans="1:3" x14ac:dyDescent="0.3">
      <c r="A3606" s="5" t="s">
        <v>4258</v>
      </c>
      <c r="B3606" t="s">
        <v>9824</v>
      </c>
      <c r="C3606" t="str">
        <f>IFERROR(VLOOKUP(ILACLISTE[[#This Row],[NAME]],Table5[#All],2,0),"")</f>
        <v/>
      </c>
    </row>
    <row r="3607" spans="1:3" x14ac:dyDescent="0.3">
      <c r="A3607" s="5" t="s">
        <v>4259</v>
      </c>
      <c r="B3607" t="s">
        <v>9825</v>
      </c>
      <c r="C3607" t="str">
        <f>IFERROR(VLOOKUP(ILACLISTE[[#This Row],[NAME]],Table5[#All],2,0),"")</f>
        <v/>
      </c>
    </row>
    <row r="3608" spans="1:3" x14ac:dyDescent="0.3">
      <c r="A3608" s="5" t="s">
        <v>4260</v>
      </c>
      <c r="B3608" t="s">
        <v>9826</v>
      </c>
      <c r="C3608" t="str">
        <f>IFERROR(VLOOKUP(ILACLISTE[[#This Row],[NAME]],Table5[#All],2,0),"")</f>
        <v/>
      </c>
    </row>
    <row r="3609" spans="1:3" x14ac:dyDescent="0.3">
      <c r="A3609" s="5" t="s">
        <v>4261</v>
      </c>
      <c r="B3609" t="s">
        <v>9827</v>
      </c>
      <c r="C3609" t="str">
        <f>IFERROR(VLOOKUP(ILACLISTE[[#This Row],[NAME]],Table5[#All],2,0),"")</f>
        <v/>
      </c>
    </row>
    <row r="3610" spans="1:3" x14ac:dyDescent="0.3">
      <c r="A3610" s="5" t="s">
        <v>4262</v>
      </c>
      <c r="B3610" t="s">
        <v>9828</v>
      </c>
      <c r="C3610" t="str">
        <f>IFERROR(VLOOKUP(ILACLISTE[[#This Row],[NAME]],Table5[#All],2,0),"")</f>
        <v/>
      </c>
    </row>
    <row r="3611" spans="1:3" x14ac:dyDescent="0.3">
      <c r="A3611" s="5" t="s">
        <v>4263</v>
      </c>
      <c r="B3611" t="s">
        <v>461</v>
      </c>
      <c r="C3611" t="str">
        <f>IFERROR(VLOOKUP(ILACLISTE[[#This Row],[NAME]],Table5[#All],2,0),"")</f>
        <v/>
      </c>
    </row>
    <row r="3612" spans="1:3" x14ac:dyDescent="0.3">
      <c r="A3612" s="5" t="s">
        <v>4264</v>
      </c>
      <c r="B3612" t="s">
        <v>462</v>
      </c>
      <c r="C3612" t="str">
        <f>IFERROR(VLOOKUP(ILACLISTE[[#This Row],[NAME]],Table5[#All],2,0),"")</f>
        <v/>
      </c>
    </row>
    <row r="3613" spans="1:3" x14ac:dyDescent="0.3">
      <c r="A3613" s="5" t="s">
        <v>4265</v>
      </c>
      <c r="B3613" t="s">
        <v>9829</v>
      </c>
      <c r="C3613" t="str">
        <f>IFERROR(VLOOKUP(ILACLISTE[[#This Row],[NAME]],Table5[#All],2,0),"")</f>
        <v/>
      </c>
    </row>
    <row r="3614" spans="1:3" x14ac:dyDescent="0.3">
      <c r="A3614" s="5" t="s">
        <v>4266</v>
      </c>
      <c r="B3614" t="s">
        <v>9830</v>
      </c>
      <c r="C3614" t="str">
        <f>IFERROR(VLOOKUP(ILACLISTE[[#This Row],[NAME]],Table5[#All],2,0),"")</f>
        <v/>
      </c>
    </row>
    <row r="3615" spans="1:3" x14ac:dyDescent="0.3">
      <c r="A3615" s="5" t="s">
        <v>4267</v>
      </c>
      <c r="B3615" t="s">
        <v>9831</v>
      </c>
      <c r="C3615" t="str">
        <f>IFERROR(VLOOKUP(ILACLISTE[[#This Row],[NAME]],Table5[#All],2,0),"")</f>
        <v/>
      </c>
    </row>
    <row r="3616" spans="1:3" x14ac:dyDescent="0.3">
      <c r="A3616" s="5" t="s">
        <v>4268</v>
      </c>
      <c r="B3616" t="s">
        <v>9832</v>
      </c>
      <c r="C3616" t="str">
        <f>IFERROR(VLOOKUP(ILACLISTE[[#This Row],[NAME]],Table5[#All],2,0),"")</f>
        <v/>
      </c>
    </row>
    <row r="3617" spans="1:3" x14ac:dyDescent="0.3">
      <c r="A3617" s="5" t="s">
        <v>4269</v>
      </c>
      <c r="B3617" t="s">
        <v>9833</v>
      </c>
      <c r="C3617" t="str">
        <f>IFERROR(VLOOKUP(ILACLISTE[[#This Row],[NAME]],Table5[#All],2,0),"")</f>
        <v/>
      </c>
    </row>
    <row r="3618" spans="1:3" x14ac:dyDescent="0.3">
      <c r="A3618" s="5" t="s">
        <v>4270</v>
      </c>
      <c r="B3618" t="s">
        <v>9834</v>
      </c>
      <c r="C3618" t="str">
        <f>IFERROR(VLOOKUP(ILACLISTE[[#This Row],[NAME]],Table5[#All],2,0),"")</f>
        <v/>
      </c>
    </row>
    <row r="3619" spans="1:3" x14ac:dyDescent="0.3">
      <c r="A3619" s="5" t="s">
        <v>4271</v>
      </c>
      <c r="B3619" t="s">
        <v>9835</v>
      </c>
      <c r="C3619" t="str">
        <f>IFERROR(VLOOKUP(ILACLISTE[[#This Row],[NAME]],Table5[#All],2,0),"")</f>
        <v/>
      </c>
    </row>
    <row r="3620" spans="1:3" x14ac:dyDescent="0.3">
      <c r="A3620" s="5" t="s">
        <v>4272</v>
      </c>
      <c r="B3620" t="s">
        <v>9836</v>
      </c>
      <c r="C3620" t="str">
        <f>IFERROR(VLOOKUP(ILACLISTE[[#This Row],[NAME]],Table5[#All],2,0),"")</f>
        <v/>
      </c>
    </row>
    <row r="3621" spans="1:3" x14ac:dyDescent="0.3">
      <c r="A3621" s="5" t="s">
        <v>4273</v>
      </c>
      <c r="B3621" t="s">
        <v>463</v>
      </c>
      <c r="C3621" t="str">
        <f>IFERROR(VLOOKUP(ILACLISTE[[#This Row],[NAME]],Table5[#All],2,0),"")</f>
        <v/>
      </c>
    </row>
    <row r="3622" spans="1:3" x14ac:dyDescent="0.3">
      <c r="A3622" s="5" t="s">
        <v>4274</v>
      </c>
      <c r="B3622" t="s">
        <v>9837</v>
      </c>
      <c r="C3622" t="str">
        <f>IFERROR(VLOOKUP(ILACLISTE[[#This Row],[NAME]],Table5[#All],2,0),"")</f>
        <v/>
      </c>
    </row>
    <row r="3623" spans="1:3" x14ac:dyDescent="0.3">
      <c r="A3623" s="5" t="s">
        <v>4275</v>
      </c>
      <c r="B3623" t="s">
        <v>464</v>
      </c>
      <c r="C3623" t="str">
        <f>IFERROR(VLOOKUP(ILACLISTE[[#This Row],[NAME]],Table5[#All],2,0),"")</f>
        <v/>
      </c>
    </row>
    <row r="3624" spans="1:3" x14ac:dyDescent="0.3">
      <c r="A3624" s="5" t="s">
        <v>4276</v>
      </c>
      <c r="B3624" t="s">
        <v>9838</v>
      </c>
      <c r="C3624" t="str">
        <f>IFERROR(VLOOKUP(ILACLISTE[[#This Row],[NAME]],Table5[#All],2,0),"")</f>
        <v/>
      </c>
    </row>
    <row r="3625" spans="1:3" x14ac:dyDescent="0.3">
      <c r="A3625" s="5" t="s">
        <v>4277</v>
      </c>
      <c r="B3625" t="s">
        <v>465</v>
      </c>
      <c r="C3625" t="str">
        <f>IFERROR(VLOOKUP(ILACLISTE[[#This Row],[NAME]],Table5[#All],2,0),"")</f>
        <v/>
      </c>
    </row>
    <row r="3626" spans="1:3" x14ac:dyDescent="0.3">
      <c r="A3626" s="5" t="s">
        <v>4278</v>
      </c>
      <c r="B3626" t="s">
        <v>466</v>
      </c>
      <c r="C3626" t="str">
        <f>IFERROR(VLOOKUP(ILACLISTE[[#This Row],[NAME]],Table5[#All],2,0),"")</f>
        <v/>
      </c>
    </row>
    <row r="3627" spans="1:3" x14ac:dyDescent="0.3">
      <c r="A3627" s="5" t="s">
        <v>4279</v>
      </c>
      <c r="B3627" t="s">
        <v>9839</v>
      </c>
      <c r="C3627" t="str">
        <f>IFERROR(VLOOKUP(ILACLISTE[[#This Row],[NAME]],Table5[#All],2,0),"")</f>
        <v/>
      </c>
    </row>
    <row r="3628" spans="1:3" x14ac:dyDescent="0.3">
      <c r="A3628" s="5" t="s">
        <v>4280</v>
      </c>
      <c r="B3628" t="s">
        <v>9840</v>
      </c>
      <c r="C3628" t="str">
        <f>IFERROR(VLOOKUP(ILACLISTE[[#This Row],[NAME]],Table5[#All],2,0),"")</f>
        <v/>
      </c>
    </row>
    <row r="3629" spans="1:3" x14ac:dyDescent="0.3">
      <c r="A3629" s="5" t="s">
        <v>4281</v>
      </c>
      <c r="B3629" t="s">
        <v>9841</v>
      </c>
      <c r="C3629" t="str">
        <f>IFERROR(VLOOKUP(ILACLISTE[[#This Row],[NAME]],Table5[#All],2,0),"")</f>
        <v/>
      </c>
    </row>
    <row r="3630" spans="1:3" x14ac:dyDescent="0.3">
      <c r="A3630" s="5" t="s">
        <v>4282</v>
      </c>
      <c r="B3630" t="s">
        <v>9842</v>
      </c>
      <c r="C3630" t="str">
        <f>IFERROR(VLOOKUP(ILACLISTE[[#This Row],[NAME]],Table5[#All],2,0),"")</f>
        <v/>
      </c>
    </row>
    <row r="3631" spans="1:3" x14ac:dyDescent="0.3">
      <c r="A3631" s="5" t="s">
        <v>4283</v>
      </c>
      <c r="B3631" t="s">
        <v>9843</v>
      </c>
      <c r="C3631" t="str">
        <f>IFERROR(VLOOKUP(ILACLISTE[[#This Row],[NAME]],Table5[#All],2,0),"")</f>
        <v/>
      </c>
    </row>
    <row r="3632" spans="1:3" x14ac:dyDescent="0.3">
      <c r="A3632" s="5" t="s">
        <v>4284</v>
      </c>
      <c r="B3632" t="s">
        <v>467</v>
      </c>
      <c r="C3632" t="str">
        <f>IFERROR(VLOOKUP(ILACLISTE[[#This Row],[NAME]],Table5[#All],2,0),"")</f>
        <v/>
      </c>
    </row>
    <row r="3633" spans="1:3" x14ac:dyDescent="0.3">
      <c r="A3633" s="5" t="s">
        <v>4285</v>
      </c>
      <c r="B3633" t="s">
        <v>9844</v>
      </c>
      <c r="C3633" t="str">
        <f>IFERROR(VLOOKUP(ILACLISTE[[#This Row],[NAME]],Table5[#All],2,0),"")</f>
        <v/>
      </c>
    </row>
    <row r="3634" spans="1:3" x14ac:dyDescent="0.3">
      <c r="A3634" s="5" t="s">
        <v>4286</v>
      </c>
      <c r="B3634" t="s">
        <v>9845</v>
      </c>
      <c r="C3634" t="str">
        <f>IFERROR(VLOOKUP(ILACLISTE[[#This Row],[NAME]],Table5[#All],2,0),"")</f>
        <v/>
      </c>
    </row>
    <row r="3635" spans="1:3" x14ac:dyDescent="0.3">
      <c r="A3635" s="5" t="s">
        <v>4287</v>
      </c>
      <c r="B3635" t="s">
        <v>9846</v>
      </c>
      <c r="C3635" t="str">
        <f>IFERROR(VLOOKUP(ILACLISTE[[#This Row],[NAME]],Table5[#All],2,0),"")</f>
        <v/>
      </c>
    </row>
    <row r="3636" spans="1:3" x14ac:dyDescent="0.3">
      <c r="A3636" s="5" t="s">
        <v>4288</v>
      </c>
      <c r="B3636" t="s">
        <v>9847</v>
      </c>
      <c r="C3636" t="str">
        <f>IFERROR(VLOOKUP(ILACLISTE[[#This Row],[NAME]],Table5[#All],2,0),"")</f>
        <v/>
      </c>
    </row>
    <row r="3637" spans="1:3" x14ac:dyDescent="0.3">
      <c r="A3637" s="5" t="s">
        <v>9848</v>
      </c>
      <c r="B3637" t="s">
        <v>9849</v>
      </c>
      <c r="C3637" t="str">
        <f>IFERROR(VLOOKUP(ILACLISTE[[#This Row],[NAME]],Table5[#All],2,0),"")</f>
        <v/>
      </c>
    </row>
    <row r="3638" spans="1:3" x14ac:dyDescent="0.3">
      <c r="A3638" s="5" t="s">
        <v>4289</v>
      </c>
      <c r="B3638" t="s">
        <v>9850</v>
      </c>
      <c r="C3638" t="str">
        <f>IFERROR(VLOOKUP(ILACLISTE[[#This Row],[NAME]],Table5[#All],2,0),"")</f>
        <v/>
      </c>
    </row>
    <row r="3639" spans="1:3" x14ac:dyDescent="0.3">
      <c r="A3639" s="5" t="s">
        <v>4290</v>
      </c>
      <c r="B3639" t="s">
        <v>9851</v>
      </c>
      <c r="C3639" t="str">
        <f>IFERROR(VLOOKUP(ILACLISTE[[#This Row],[NAME]],Table5[#All],2,0),"")</f>
        <v/>
      </c>
    </row>
    <row r="3640" spans="1:3" x14ac:dyDescent="0.3">
      <c r="A3640" s="5" t="s">
        <v>4291</v>
      </c>
      <c r="B3640" t="s">
        <v>9852</v>
      </c>
      <c r="C3640" t="str">
        <f>IFERROR(VLOOKUP(ILACLISTE[[#This Row],[NAME]],Table5[#All],2,0),"")</f>
        <v/>
      </c>
    </row>
    <row r="3641" spans="1:3" x14ac:dyDescent="0.3">
      <c r="A3641" s="5" t="s">
        <v>4292</v>
      </c>
      <c r="B3641" t="s">
        <v>9853</v>
      </c>
      <c r="C3641" t="str">
        <f>IFERROR(VLOOKUP(ILACLISTE[[#This Row],[NAME]],Table5[#All],2,0),"")</f>
        <v/>
      </c>
    </row>
    <row r="3642" spans="1:3" x14ac:dyDescent="0.3">
      <c r="A3642" s="5" t="s">
        <v>4293</v>
      </c>
      <c r="B3642" t="s">
        <v>9854</v>
      </c>
      <c r="C3642" t="str">
        <f>IFERROR(VLOOKUP(ILACLISTE[[#This Row],[NAME]],Table5[#All],2,0),"")</f>
        <v/>
      </c>
    </row>
    <row r="3643" spans="1:3" x14ac:dyDescent="0.3">
      <c r="A3643" s="5" t="s">
        <v>4294</v>
      </c>
      <c r="B3643" t="s">
        <v>9855</v>
      </c>
      <c r="C3643" t="str">
        <f>IFERROR(VLOOKUP(ILACLISTE[[#This Row],[NAME]],Table5[#All],2,0),"")</f>
        <v/>
      </c>
    </row>
    <row r="3644" spans="1:3" x14ac:dyDescent="0.3">
      <c r="A3644" s="5" t="s">
        <v>4295</v>
      </c>
      <c r="B3644" t="s">
        <v>9856</v>
      </c>
      <c r="C3644" t="str">
        <f>IFERROR(VLOOKUP(ILACLISTE[[#This Row],[NAME]],Table5[#All],2,0),"")</f>
        <v/>
      </c>
    </row>
    <row r="3645" spans="1:3" x14ac:dyDescent="0.3">
      <c r="A3645" s="5" t="s">
        <v>4296</v>
      </c>
      <c r="B3645" t="s">
        <v>9857</v>
      </c>
      <c r="C3645" t="str">
        <f>IFERROR(VLOOKUP(ILACLISTE[[#This Row],[NAME]],Table5[#All],2,0),"")</f>
        <v/>
      </c>
    </row>
    <row r="3646" spans="1:3" x14ac:dyDescent="0.3">
      <c r="A3646" s="5" t="s">
        <v>4297</v>
      </c>
      <c r="B3646" t="s">
        <v>9858</v>
      </c>
      <c r="C3646" t="str">
        <f>IFERROR(VLOOKUP(ILACLISTE[[#This Row],[NAME]],Table5[#All],2,0),"")</f>
        <v/>
      </c>
    </row>
    <row r="3647" spans="1:3" x14ac:dyDescent="0.3">
      <c r="A3647" s="5" t="s">
        <v>4298</v>
      </c>
      <c r="B3647" t="s">
        <v>468</v>
      </c>
      <c r="C3647" t="str">
        <f>IFERROR(VLOOKUP(ILACLISTE[[#This Row],[NAME]],Table5[#All],2,0),"")</f>
        <v/>
      </c>
    </row>
    <row r="3648" spans="1:3" x14ac:dyDescent="0.3">
      <c r="A3648" s="5" t="s">
        <v>4299</v>
      </c>
      <c r="B3648" t="s">
        <v>469</v>
      </c>
      <c r="C3648" t="str">
        <f>IFERROR(VLOOKUP(ILACLISTE[[#This Row],[NAME]],Table5[#All],2,0),"")</f>
        <v/>
      </c>
    </row>
    <row r="3649" spans="1:3" x14ac:dyDescent="0.3">
      <c r="A3649" s="5" t="s">
        <v>4300</v>
      </c>
      <c r="B3649" t="s">
        <v>9859</v>
      </c>
      <c r="C3649" t="str">
        <f>IFERROR(VLOOKUP(ILACLISTE[[#This Row],[NAME]],Table5[#All],2,0),"")</f>
        <v/>
      </c>
    </row>
    <row r="3650" spans="1:3" x14ac:dyDescent="0.3">
      <c r="A3650" s="5" t="s">
        <v>4301</v>
      </c>
      <c r="B3650" t="s">
        <v>9860</v>
      </c>
      <c r="C3650" t="str">
        <f>IFERROR(VLOOKUP(ILACLISTE[[#This Row],[NAME]],Table5[#All],2,0),"")</f>
        <v/>
      </c>
    </row>
    <row r="3651" spans="1:3" x14ac:dyDescent="0.3">
      <c r="A3651" s="5" t="s">
        <v>4302</v>
      </c>
      <c r="B3651" t="s">
        <v>9861</v>
      </c>
      <c r="C3651" t="str">
        <f>IFERROR(VLOOKUP(ILACLISTE[[#This Row],[NAME]],Table5[#All],2,0),"")</f>
        <v/>
      </c>
    </row>
    <row r="3652" spans="1:3" x14ac:dyDescent="0.3">
      <c r="A3652" s="5" t="s">
        <v>4303</v>
      </c>
      <c r="B3652" t="s">
        <v>9862</v>
      </c>
      <c r="C3652" t="str">
        <f>IFERROR(VLOOKUP(ILACLISTE[[#This Row],[NAME]],Table5[#All],2,0),"")</f>
        <v/>
      </c>
    </row>
    <row r="3653" spans="1:3" x14ac:dyDescent="0.3">
      <c r="A3653" s="5" t="s">
        <v>4304</v>
      </c>
      <c r="B3653" t="s">
        <v>9863</v>
      </c>
      <c r="C3653" t="str">
        <f>IFERROR(VLOOKUP(ILACLISTE[[#This Row],[NAME]],Table5[#All],2,0),"")</f>
        <v/>
      </c>
    </row>
    <row r="3654" spans="1:3" x14ac:dyDescent="0.3">
      <c r="A3654" s="5" t="s">
        <v>4305</v>
      </c>
      <c r="B3654" t="s">
        <v>9864</v>
      </c>
      <c r="C3654" t="str">
        <f>IFERROR(VLOOKUP(ILACLISTE[[#This Row],[NAME]],Table5[#All],2,0),"")</f>
        <v/>
      </c>
    </row>
    <row r="3655" spans="1:3" x14ac:dyDescent="0.3">
      <c r="A3655" s="5" t="s">
        <v>4306</v>
      </c>
      <c r="B3655" t="s">
        <v>9865</v>
      </c>
      <c r="C3655" t="str">
        <f>IFERROR(VLOOKUP(ILACLISTE[[#This Row],[NAME]],Table5[#All],2,0),"")</f>
        <v/>
      </c>
    </row>
    <row r="3656" spans="1:3" x14ac:dyDescent="0.3">
      <c r="A3656" s="5" t="s">
        <v>4307</v>
      </c>
      <c r="B3656" t="s">
        <v>9866</v>
      </c>
      <c r="C3656" t="str">
        <f>IFERROR(VLOOKUP(ILACLISTE[[#This Row],[NAME]],Table5[#All],2,0),"")</f>
        <v/>
      </c>
    </row>
    <row r="3657" spans="1:3" x14ac:dyDescent="0.3">
      <c r="A3657" s="5" t="s">
        <v>4308</v>
      </c>
      <c r="B3657" t="s">
        <v>470</v>
      </c>
      <c r="C3657" t="str">
        <f>IFERROR(VLOOKUP(ILACLISTE[[#This Row],[NAME]],Table5[#All],2,0),"")</f>
        <v/>
      </c>
    </row>
    <row r="3658" spans="1:3" x14ac:dyDescent="0.3">
      <c r="A3658" s="5" t="s">
        <v>4309</v>
      </c>
      <c r="B3658" t="s">
        <v>471</v>
      </c>
      <c r="C3658" t="str">
        <f>IFERROR(VLOOKUP(ILACLISTE[[#This Row],[NAME]],Table5[#All],2,0),"")</f>
        <v/>
      </c>
    </row>
    <row r="3659" spans="1:3" x14ac:dyDescent="0.3">
      <c r="A3659" s="5" t="s">
        <v>4310</v>
      </c>
      <c r="B3659" t="s">
        <v>9867</v>
      </c>
      <c r="C3659" t="str">
        <f>IFERROR(VLOOKUP(ILACLISTE[[#This Row],[NAME]],Table5[#All],2,0),"")</f>
        <v/>
      </c>
    </row>
    <row r="3660" spans="1:3" x14ac:dyDescent="0.3">
      <c r="A3660" s="5" t="s">
        <v>4311</v>
      </c>
      <c r="B3660" t="s">
        <v>9868</v>
      </c>
      <c r="C3660" t="str">
        <f>IFERROR(VLOOKUP(ILACLISTE[[#This Row],[NAME]],Table5[#All],2,0),"")</f>
        <v/>
      </c>
    </row>
    <row r="3661" spans="1:3" x14ac:dyDescent="0.3">
      <c r="A3661" s="5" t="s">
        <v>4312</v>
      </c>
      <c r="B3661" t="s">
        <v>9869</v>
      </c>
      <c r="C3661" t="str">
        <f>IFERROR(VLOOKUP(ILACLISTE[[#This Row],[NAME]],Table5[#All],2,0),"")</f>
        <v/>
      </c>
    </row>
    <row r="3662" spans="1:3" x14ac:dyDescent="0.3">
      <c r="A3662" s="5" t="s">
        <v>4313</v>
      </c>
      <c r="B3662" t="s">
        <v>472</v>
      </c>
      <c r="C3662" t="str">
        <f>IFERROR(VLOOKUP(ILACLISTE[[#This Row],[NAME]],Table5[#All],2,0),"")</f>
        <v/>
      </c>
    </row>
    <row r="3663" spans="1:3" x14ac:dyDescent="0.3">
      <c r="A3663" s="5" t="s">
        <v>4314</v>
      </c>
      <c r="B3663" t="s">
        <v>9870</v>
      </c>
      <c r="C3663" t="str">
        <f>IFERROR(VLOOKUP(ILACLISTE[[#This Row],[NAME]],Table5[#All],2,0),"")</f>
        <v/>
      </c>
    </row>
    <row r="3664" spans="1:3" x14ac:dyDescent="0.3">
      <c r="A3664" s="5" t="s">
        <v>4315</v>
      </c>
      <c r="B3664" t="s">
        <v>9871</v>
      </c>
      <c r="C3664" t="str">
        <f>IFERROR(VLOOKUP(ILACLISTE[[#This Row],[NAME]],Table5[#All],2,0),"")</f>
        <v/>
      </c>
    </row>
    <row r="3665" spans="1:3" x14ac:dyDescent="0.3">
      <c r="A3665" s="5" t="s">
        <v>4316</v>
      </c>
      <c r="B3665" t="s">
        <v>9872</v>
      </c>
      <c r="C3665" t="str">
        <f>IFERROR(VLOOKUP(ILACLISTE[[#This Row],[NAME]],Table5[#All],2,0),"")</f>
        <v/>
      </c>
    </row>
    <row r="3666" spans="1:3" x14ac:dyDescent="0.3">
      <c r="A3666" s="5" t="s">
        <v>4317</v>
      </c>
      <c r="B3666" t="s">
        <v>9873</v>
      </c>
      <c r="C3666" t="str">
        <f>IFERROR(VLOOKUP(ILACLISTE[[#This Row],[NAME]],Table5[#All],2,0),"")</f>
        <v/>
      </c>
    </row>
    <row r="3667" spans="1:3" x14ac:dyDescent="0.3">
      <c r="A3667" s="5" t="s">
        <v>4318</v>
      </c>
      <c r="B3667" t="s">
        <v>9874</v>
      </c>
      <c r="C3667" t="str">
        <f>IFERROR(VLOOKUP(ILACLISTE[[#This Row],[NAME]],Table5[#All],2,0),"")</f>
        <v/>
      </c>
    </row>
    <row r="3668" spans="1:3" x14ac:dyDescent="0.3">
      <c r="A3668" s="5" t="s">
        <v>4319</v>
      </c>
      <c r="B3668" t="s">
        <v>9875</v>
      </c>
      <c r="C3668" t="str">
        <f>IFERROR(VLOOKUP(ILACLISTE[[#This Row],[NAME]],Table5[#All],2,0),"")</f>
        <v/>
      </c>
    </row>
    <row r="3669" spans="1:3" x14ac:dyDescent="0.3">
      <c r="A3669" s="5" t="s">
        <v>4320</v>
      </c>
      <c r="B3669" t="s">
        <v>9876</v>
      </c>
      <c r="C3669" t="str">
        <f>IFERROR(VLOOKUP(ILACLISTE[[#This Row],[NAME]],Table5[#All],2,0),"")</f>
        <v/>
      </c>
    </row>
    <row r="3670" spans="1:3" x14ac:dyDescent="0.3">
      <c r="A3670" s="5" t="s">
        <v>4321</v>
      </c>
      <c r="B3670" t="s">
        <v>9877</v>
      </c>
      <c r="C3670" t="str">
        <f>IFERROR(VLOOKUP(ILACLISTE[[#This Row],[NAME]],Table5[#All],2,0),"")</f>
        <v/>
      </c>
    </row>
    <row r="3671" spans="1:3" x14ac:dyDescent="0.3">
      <c r="A3671" s="5" t="s">
        <v>4322</v>
      </c>
      <c r="B3671" t="s">
        <v>9878</v>
      </c>
      <c r="C3671" t="str">
        <f>IFERROR(VLOOKUP(ILACLISTE[[#This Row],[NAME]],Table5[#All],2,0),"")</f>
        <v/>
      </c>
    </row>
    <row r="3672" spans="1:3" x14ac:dyDescent="0.3">
      <c r="A3672" s="5" t="s">
        <v>4323</v>
      </c>
      <c r="B3672" t="s">
        <v>9879</v>
      </c>
      <c r="C3672" t="str">
        <f>IFERROR(VLOOKUP(ILACLISTE[[#This Row],[NAME]],Table5[#All],2,0),"")</f>
        <v/>
      </c>
    </row>
    <row r="3673" spans="1:3" x14ac:dyDescent="0.3">
      <c r="A3673" s="5" t="s">
        <v>4324</v>
      </c>
      <c r="B3673" t="s">
        <v>9880</v>
      </c>
      <c r="C3673" t="str">
        <f>IFERROR(VLOOKUP(ILACLISTE[[#This Row],[NAME]],Table5[#All],2,0),"")</f>
        <v/>
      </c>
    </row>
    <row r="3674" spans="1:3" x14ac:dyDescent="0.3">
      <c r="A3674" s="5" t="s">
        <v>4325</v>
      </c>
      <c r="B3674" t="s">
        <v>9881</v>
      </c>
      <c r="C3674" t="str">
        <f>IFERROR(VLOOKUP(ILACLISTE[[#This Row],[NAME]],Table5[#All],2,0),"")</f>
        <v/>
      </c>
    </row>
    <row r="3675" spans="1:3" x14ac:dyDescent="0.3">
      <c r="A3675" s="5" t="s">
        <v>4326</v>
      </c>
      <c r="B3675" t="s">
        <v>9882</v>
      </c>
      <c r="C3675" t="str">
        <f>IFERROR(VLOOKUP(ILACLISTE[[#This Row],[NAME]],Table5[#All],2,0),"")</f>
        <v/>
      </c>
    </row>
    <row r="3676" spans="1:3" x14ac:dyDescent="0.3">
      <c r="A3676" s="5" t="s">
        <v>4327</v>
      </c>
      <c r="B3676" t="s">
        <v>9883</v>
      </c>
      <c r="C3676" t="str">
        <f>IFERROR(VLOOKUP(ILACLISTE[[#This Row],[NAME]],Table5[#All],2,0),"")</f>
        <v/>
      </c>
    </row>
    <row r="3677" spans="1:3" x14ac:dyDescent="0.3">
      <c r="A3677" s="5" t="s">
        <v>4328</v>
      </c>
      <c r="B3677" t="s">
        <v>9884</v>
      </c>
      <c r="C3677" t="str">
        <f>IFERROR(VLOOKUP(ILACLISTE[[#This Row],[NAME]],Table5[#All],2,0),"")</f>
        <v/>
      </c>
    </row>
    <row r="3678" spans="1:3" x14ac:dyDescent="0.3">
      <c r="A3678" s="5" t="s">
        <v>4329</v>
      </c>
      <c r="B3678" t="s">
        <v>9885</v>
      </c>
      <c r="C3678" t="str">
        <f>IFERROR(VLOOKUP(ILACLISTE[[#This Row],[NAME]],Table5[#All],2,0),"")</f>
        <v/>
      </c>
    </row>
    <row r="3679" spans="1:3" x14ac:dyDescent="0.3">
      <c r="A3679" s="5" t="s">
        <v>4330</v>
      </c>
      <c r="B3679" t="s">
        <v>9886</v>
      </c>
      <c r="C3679" t="str">
        <f>IFERROR(VLOOKUP(ILACLISTE[[#This Row],[NAME]],Table5[#All],2,0),"")</f>
        <v/>
      </c>
    </row>
    <row r="3680" spans="1:3" x14ac:dyDescent="0.3">
      <c r="A3680" s="5" t="s">
        <v>4331</v>
      </c>
      <c r="B3680" t="s">
        <v>9887</v>
      </c>
      <c r="C3680" t="str">
        <f>IFERROR(VLOOKUP(ILACLISTE[[#This Row],[NAME]],Table5[#All],2,0),"")</f>
        <v/>
      </c>
    </row>
    <row r="3681" spans="1:3" x14ac:dyDescent="0.3">
      <c r="A3681" s="5" t="s">
        <v>4332</v>
      </c>
      <c r="B3681" t="s">
        <v>9888</v>
      </c>
      <c r="C3681" t="str">
        <f>IFERROR(VLOOKUP(ILACLISTE[[#This Row],[NAME]],Table5[#All],2,0),"")</f>
        <v/>
      </c>
    </row>
    <row r="3682" spans="1:3" x14ac:dyDescent="0.3">
      <c r="A3682" s="5" t="s">
        <v>4333</v>
      </c>
      <c r="B3682" t="s">
        <v>9889</v>
      </c>
      <c r="C3682" t="str">
        <f>IFERROR(VLOOKUP(ILACLISTE[[#This Row],[NAME]],Table5[#All],2,0),"")</f>
        <v/>
      </c>
    </row>
    <row r="3683" spans="1:3" x14ac:dyDescent="0.3">
      <c r="A3683" s="5" t="s">
        <v>9890</v>
      </c>
      <c r="B3683" t="s">
        <v>9891</v>
      </c>
      <c r="C3683" t="str">
        <f>IFERROR(VLOOKUP(ILACLISTE[[#This Row],[NAME]],Table5[#All],2,0),"")</f>
        <v/>
      </c>
    </row>
    <row r="3684" spans="1:3" x14ac:dyDescent="0.3">
      <c r="A3684" s="5" t="s">
        <v>4334</v>
      </c>
      <c r="B3684" t="s">
        <v>9892</v>
      </c>
      <c r="C3684" t="str">
        <f>IFERROR(VLOOKUP(ILACLISTE[[#This Row],[NAME]],Table5[#All],2,0),"")</f>
        <v/>
      </c>
    </row>
    <row r="3685" spans="1:3" x14ac:dyDescent="0.3">
      <c r="A3685" s="5" t="s">
        <v>4335</v>
      </c>
      <c r="B3685" t="s">
        <v>473</v>
      </c>
      <c r="C3685" t="str">
        <f>IFERROR(VLOOKUP(ILACLISTE[[#This Row],[NAME]],Table5[#All],2,0),"")</f>
        <v/>
      </c>
    </row>
    <row r="3686" spans="1:3" x14ac:dyDescent="0.3">
      <c r="A3686" s="5" t="s">
        <v>4336</v>
      </c>
      <c r="B3686" t="s">
        <v>9893</v>
      </c>
      <c r="C3686" t="str">
        <f>IFERROR(VLOOKUP(ILACLISTE[[#This Row],[NAME]],Table5[#All],2,0),"")</f>
        <v/>
      </c>
    </row>
    <row r="3687" spans="1:3" x14ac:dyDescent="0.3">
      <c r="A3687" s="5" t="s">
        <v>4337</v>
      </c>
      <c r="B3687" t="s">
        <v>9894</v>
      </c>
      <c r="C3687" t="str">
        <f>IFERROR(VLOOKUP(ILACLISTE[[#This Row],[NAME]],Table5[#All],2,0),"")</f>
        <v/>
      </c>
    </row>
    <row r="3688" spans="1:3" x14ac:dyDescent="0.3">
      <c r="A3688" s="5" t="s">
        <v>4338</v>
      </c>
      <c r="B3688" t="s">
        <v>9895</v>
      </c>
      <c r="C3688" t="str">
        <f>IFERROR(VLOOKUP(ILACLISTE[[#This Row],[NAME]],Table5[#All],2,0),"")</f>
        <v/>
      </c>
    </row>
    <row r="3689" spans="1:3" x14ac:dyDescent="0.3">
      <c r="A3689" s="5" t="s">
        <v>4339</v>
      </c>
      <c r="B3689" t="s">
        <v>9896</v>
      </c>
      <c r="C3689" t="str">
        <f>IFERROR(VLOOKUP(ILACLISTE[[#This Row],[NAME]],Table5[#All],2,0),"")</f>
        <v/>
      </c>
    </row>
    <row r="3690" spans="1:3" x14ac:dyDescent="0.3">
      <c r="A3690" s="5" t="s">
        <v>4340</v>
      </c>
      <c r="B3690" t="s">
        <v>9897</v>
      </c>
      <c r="C3690" t="str">
        <f>IFERROR(VLOOKUP(ILACLISTE[[#This Row],[NAME]],Table5[#All],2,0),"")</f>
        <v/>
      </c>
    </row>
    <row r="3691" spans="1:3" x14ac:dyDescent="0.3">
      <c r="A3691" s="5" t="s">
        <v>4341</v>
      </c>
      <c r="B3691" t="s">
        <v>9898</v>
      </c>
      <c r="C3691" t="str">
        <f>IFERROR(VLOOKUP(ILACLISTE[[#This Row],[NAME]],Table5[#All],2,0),"")</f>
        <v/>
      </c>
    </row>
    <row r="3692" spans="1:3" x14ac:dyDescent="0.3">
      <c r="A3692" s="5" t="s">
        <v>4342</v>
      </c>
      <c r="B3692" t="s">
        <v>9899</v>
      </c>
      <c r="C3692" t="str">
        <f>IFERROR(VLOOKUP(ILACLISTE[[#This Row],[NAME]],Table5[#All],2,0),"")</f>
        <v/>
      </c>
    </row>
    <row r="3693" spans="1:3" x14ac:dyDescent="0.3">
      <c r="A3693" s="5" t="s">
        <v>4343</v>
      </c>
      <c r="B3693" t="s">
        <v>9900</v>
      </c>
      <c r="C3693" t="str">
        <f>IFERROR(VLOOKUP(ILACLISTE[[#This Row],[NAME]],Table5[#All],2,0),"")</f>
        <v/>
      </c>
    </row>
    <row r="3694" spans="1:3" x14ac:dyDescent="0.3">
      <c r="A3694" s="5" t="s">
        <v>4344</v>
      </c>
      <c r="B3694" t="s">
        <v>9901</v>
      </c>
      <c r="C3694" t="str">
        <f>IFERROR(VLOOKUP(ILACLISTE[[#This Row],[NAME]],Table5[#All],2,0),"")</f>
        <v/>
      </c>
    </row>
    <row r="3695" spans="1:3" x14ac:dyDescent="0.3">
      <c r="A3695" s="5" t="s">
        <v>4345</v>
      </c>
      <c r="B3695" t="s">
        <v>9902</v>
      </c>
      <c r="C3695" t="str">
        <f>IFERROR(VLOOKUP(ILACLISTE[[#This Row],[NAME]],Table5[#All],2,0),"")</f>
        <v/>
      </c>
    </row>
    <row r="3696" spans="1:3" x14ac:dyDescent="0.3">
      <c r="A3696" s="5" t="s">
        <v>4346</v>
      </c>
      <c r="B3696" t="s">
        <v>9903</v>
      </c>
      <c r="C3696" t="str">
        <f>IFERROR(VLOOKUP(ILACLISTE[[#This Row],[NAME]],Table5[#All],2,0),"")</f>
        <v/>
      </c>
    </row>
    <row r="3697" spans="1:3" x14ac:dyDescent="0.3">
      <c r="A3697" s="5" t="s">
        <v>4347</v>
      </c>
      <c r="B3697" t="s">
        <v>9904</v>
      </c>
      <c r="C3697" t="str">
        <f>IFERROR(VLOOKUP(ILACLISTE[[#This Row],[NAME]],Table5[#All],2,0),"")</f>
        <v/>
      </c>
    </row>
    <row r="3698" spans="1:3" x14ac:dyDescent="0.3">
      <c r="A3698" s="5" t="s">
        <v>4348</v>
      </c>
      <c r="B3698" t="s">
        <v>9905</v>
      </c>
      <c r="C3698" t="str">
        <f>IFERROR(VLOOKUP(ILACLISTE[[#This Row],[NAME]],Table5[#All],2,0),"")</f>
        <v/>
      </c>
    </row>
    <row r="3699" spans="1:3" x14ac:dyDescent="0.3">
      <c r="A3699" s="5" t="s">
        <v>4349</v>
      </c>
      <c r="B3699" t="s">
        <v>9906</v>
      </c>
      <c r="C3699" t="str">
        <f>IFERROR(VLOOKUP(ILACLISTE[[#This Row],[NAME]],Table5[#All],2,0),"")</f>
        <v/>
      </c>
    </row>
    <row r="3700" spans="1:3" x14ac:dyDescent="0.3">
      <c r="A3700" s="5" t="s">
        <v>4350</v>
      </c>
      <c r="B3700" t="s">
        <v>9907</v>
      </c>
      <c r="C3700" t="str">
        <f>IFERROR(VLOOKUP(ILACLISTE[[#This Row],[NAME]],Table5[#All],2,0),"")</f>
        <v/>
      </c>
    </row>
    <row r="3701" spans="1:3" x14ac:dyDescent="0.3">
      <c r="A3701" s="5" t="s">
        <v>4351</v>
      </c>
      <c r="B3701" t="s">
        <v>9908</v>
      </c>
      <c r="C3701" t="str">
        <f>IFERROR(VLOOKUP(ILACLISTE[[#This Row],[NAME]],Table5[#All],2,0),"")</f>
        <v/>
      </c>
    </row>
    <row r="3702" spans="1:3" x14ac:dyDescent="0.3">
      <c r="A3702" s="5" t="s">
        <v>4352</v>
      </c>
      <c r="B3702" t="s">
        <v>9909</v>
      </c>
      <c r="C3702" t="str">
        <f>IFERROR(VLOOKUP(ILACLISTE[[#This Row],[NAME]],Table5[#All],2,0),"")</f>
        <v/>
      </c>
    </row>
    <row r="3703" spans="1:3" x14ac:dyDescent="0.3">
      <c r="A3703" s="5" t="s">
        <v>4353</v>
      </c>
      <c r="B3703" t="s">
        <v>9910</v>
      </c>
      <c r="C3703" t="str">
        <f>IFERROR(VLOOKUP(ILACLISTE[[#This Row],[NAME]],Table5[#All],2,0),"")</f>
        <v/>
      </c>
    </row>
    <row r="3704" spans="1:3" x14ac:dyDescent="0.3">
      <c r="A3704" s="5" t="s">
        <v>4354</v>
      </c>
      <c r="B3704" t="s">
        <v>9911</v>
      </c>
      <c r="C3704" t="str">
        <f>IFERROR(VLOOKUP(ILACLISTE[[#This Row],[NAME]],Table5[#All],2,0),"")</f>
        <v/>
      </c>
    </row>
    <row r="3705" spans="1:3" x14ac:dyDescent="0.3">
      <c r="A3705" s="5" t="s">
        <v>4355</v>
      </c>
      <c r="B3705" t="s">
        <v>9912</v>
      </c>
      <c r="C3705" t="str">
        <f>IFERROR(VLOOKUP(ILACLISTE[[#This Row],[NAME]],Table5[#All],2,0),"")</f>
        <v/>
      </c>
    </row>
    <row r="3706" spans="1:3" x14ac:dyDescent="0.3">
      <c r="A3706" s="5" t="s">
        <v>4356</v>
      </c>
      <c r="B3706" t="s">
        <v>474</v>
      </c>
      <c r="C3706" t="str">
        <f>IFERROR(VLOOKUP(ILACLISTE[[#This Row],[NAME]],Table5[#All],2,0),"")</f>
        <v/>
      </c>
    </row>
    <row r="3707" spans="1:3" x14ac:dyDescent="0.3">
      <c r="A3707" s="5" t="s">
        <v>4357</v>
      </c>
      <c r="B3707" t="s">
        <v>9913</v>
      </c>
      <c r="C3707" t="str">
        <f>IFERROR(VLOOKUP(ILACLISTE[[#This Row],[NAME]],Table5[#All],2,0),"")</f>
        <v/>
      </c>
    </row>
    <row r="3708" spans="1:3" x14ac:dyDescent="0.3">
      <c r="A3708" s="5" t="s">
        <v>4358</v>
      </c>
      <c r="B3708" t="s">
        <v>9914</v>
      </c>
      <c r="C3708" t="str">
        <f>IFERROR(VLOOKUP(ILACLISTE[[#This Row],[NAME]],Table5[#All],2,0),"")</f>
        <v/>
      </c>
    </row>
    <row r="3709" spans="1:3" x14ac:dyDescent="0.3">
      <c r="A3709" s="5" t="s">
        <v>4359</v>
      </c>
      <c r="B3709" t="s">
        <v>9915</v>
      </c>
      <c r="C3709" t="str">
        <f>IFERROR(VLOOKUP(ILACLISTE[[#This Row],[NAME]],Table5[#All],2,0),"")</f>
        <v/>
      </c>
    </row>
    <row r="3710" spans="1:3" x14ac:dyDescent="0.3">
      <c r="A3710" s="5" t="s">
        <v>4360</v>
      </c>
      <c r="B3710" t="s">
        <v>9916</v>
      </c>
      <c r="C3710" t="str">
        <f>IFERROR(VLOOKUP(ILACLISTE[[#This Row],[NAME]],Table5[#All],2,0),"")</f>
        <v/>
      </c>
    </row>
    <row r="3711" spans="1:3" x14ac:dyDescent="0.3">
      <c r="A3711" s="5" t="s">
        <v>4361</v>
      </c>
      <c r="B3711" t="s">
        <v>9917</v>
      </c>
      <c r="C3711" t="str">
        <f>IFERROR(VLOOKUP(ILACLISTE[[#This Row],[NAME]],Table5[#All],2,0),"")</f>
        <v/>
      </c>
    </row>
    <row r="3712" spans="1:3" x14ac:dyDescent="0.3">
      <c r="A3712" s="5" t="s">
        <v>4362</v>
      </c>
      <c r="B3712" t="s">
        <v>9918</v>
      </c>
      <c r="C3712" t="str">
        <f>IFERROR(VLOOKUP(ILACLISTE[[#This Row],[NAME]],Table5[#All],2,0),"")</f>
        <v/>
      </c>
    </row>
    <row r="3713" spans="1:3" x14ac:dyDescent="0.3">
      <c r="A3713" s="5" t="s">
        <v>4363</v>
      </c>
      <c r="B3713" t="s">
        <v>9919</v>
      </c>
      <c r="C3713" t="str">
        <f>IFERROR(VLOOKUP(ILACLISTE[[#This Row],[NAME]],Table5[#All],2,0),"")</f>
        <v/>
      </c>
    </row>
    <row r="3714" spans="1:3" x14ac:dyDescent="0.3">
      <c r="A3714" s="5" t="s">
        <v>4364</v>
      </c>
      <c r="B3714" t="s">
        <v>9920</v>
      </c>
      <c r="C3714" t="str">
        <f>IFERROR(VLOOKUP(ILACLISTE[[#This Row],[NAME]],Table5[#All],2,0),"")</f>
        <v/>
      </c>
    </row>
    <row r="3715" spans="1:3" x14ac:dyDescent="0.3">
      <c r="A3715" s="5" t="s">
        <v>4365</v>
      </c>
      <c r="B3715" t="s">
        <v>9921</v>
      </c>
      <c r="C3715" t="str">
        <f>IFERROR(VLOOKUP(ILACLISTE[[#This Row],[NAME]],Table5[#All],2,0),"")</f>
        <v/>
      </c>
    </row>
    <row r="3716" spans="1:3" x14ac:dyDescent="0.3">
      <c r="A3716" s="5" t="s">
        <v>4366</v>
      </c>
      <c r="B3716" t="s">
        <v>9922</v>
      </c>
      <c r="C3716" t="str">
        <f>IFERROR(VLOOKUP(ILACLISTE[[#This Row],[NAME]],Table5[#All],2,0),"")</f>
        <v/>
      </c>
    </row>
    <row r="3717" spans="1:3" x14ac:dyDescent="0.3">
      <c r="A3717" s="5" t="s">
        <v>4367</v>
      </c>
      <c r="B3717" t="s">
        <v>9923</v>
      </c>
      <c r="C3717" t="str">
        <f>IFERROR(VLOOKUP(ILACLISTE[[#This Row],[NAME]],Table5[#All],2,0),"")</f>
        <v/>
      </c>
    </row>
    <row r="3718" spans="1:3" x14ac:dyDescent="0.3">
      <c r="A3718" s="5" t="s">
        <v>4368</v>
      </c>
      <c r="B3718" t="s">
        <v>9924</v>
      </c>
      <c r="C3718" t="str">
        <f>IFERROR(VLOOKUP(ILACLISTE[[#This Row],[NAME]],Table5[#All],2,0),"")</f>
        <v/>
      </c>
    </row>
    <row r="3719" spans="1:3" x14ac:dyDescent="0.3">
      <c r="A3719" s="5" t="s">
        <v>4369</v>
      </c>
      <c r="B3719" t="s">
        <v>475</v>
      </c>
      <c r="C3719" t="str">
        <f>IFERROR(VLOOKUP(ILACLISTE[[#This Row],[NAME]],Table5[#All],2,0),"")</f>
        <v/>
      </c>
    </row>
    <row r="3720" spans="1:3" x14ac:dyDescent="0.3">
      <c r="A3720" s="5" t="s">
        <v>4370</v>
      </c>
      <c r="B3720" t="s">
        <v>9925</v>
      </c>
      <c r="C3720" t="str">
        <f>IFERROR(VLOOKUP(ILACLISTE[[#This Row],[NAME]],Table5[#All],2,0),"")</f>
        <v/>
      </c>
    </row>
    <row r="3721" spans="1:3" x14ac:dyDescent="0.3">
      <c r="A3721" s="5" t="s">
        <v>4371</v>
      </c>
      <c r="B3721" t="s">
        <v>9926</v>
      </c>
      <c r="C3721" t="str">
        <f>IFERROR(VLOOKUP(ILACLISTE[[#This Row],[NAME]],Table5[#All],2,0),"")</f>
        <v/>
      </c>
    </row>
    <row r="3722" spans="1:3" x14ac:dyDescent="0.3">
      <c r="A3722" s="5" t="s">
        <v>4372</v>
      </c>
      <c r="B3722" t="s">
        <v>9927</v>
      </c>
      <c r="C3722" t="str">
        <f>IFERROR(VLOOKUP(ILACLISTE[[#This Row],[NAME]],Table5[#All],2,0),"")</f>
        <v/>
      </c>
    </row>
    <row r="3723" spans="1:3" x14ac:dyDescent="0.3">
      <c r="A3723" s="5" t="s">
        <v>4373</v>
      </c>
      <c r="B3723" t="s">
        <v>476</v>
      </c>
      <c r="C3723" t="str">
        <f>IFERROR(VLOOKUP(ILACLISTE[[#This Row],[NAME]],Table5[#All],2,0),"")</f>
        <v/>
      </c>
    </row>
    <row r="3724" spans="1:3" x14ac:dyDescent="0.3">
      <c r="A3724" s="5" t="s">
        <v>9928</v>
      </c>
      <c r="B3724" t="s">
        <v>9929</v>
      </c>
      <c r="C3724" t="str">
        <f>IFERROR(VLOOKUP(ILACLISTE[[#This Row],[NAME]],Table5[#All],2,0),"")</f>
        <v/>
      </c>
    </row>
    <row r="3725" spans="1:3" x14ac:dyDescent="0.3">
      <c r="A3725" s="5" t="s">
        <v>9930</v>
      </c>
      <c r="B3725" t="s">
        <v>9931</v>
      </c>
      <c r="C3725" t="str">
        <f>IFERROR(VLOOKUP(ILACLISTE[[#This Row],[NAME]],Table5[#All],2,0),"")</f>
        <v/>
      </c>
    </row>
    <row r="3726" spans="1:3" x14ac:dyDescent="0.3">
      <c r="A3726" s="5" t="s">
        <v>9932</v>
      </c>
      <c r="B3726" t="s">
        <v>9933</v>
      </c>
      <c r="C3726" t="str">
        <f>IFERROR(VLOOKUP(ILACLISTE[[#This Row],[NAME]],Table5[#All],2,0),"")</f>
        <v/>
      </c>
    </row>
    <row r="3727" spans="1:3" x14ac:dyDescent="0.3">
      <c r="A3727" s="5" t="s">
        <v>4374</v>
      </c>
      <c r="B3727" t="s">
        <v>9934</v>
      </c>
      <c r="C3727" t="str">
        <f>IFERROR(VLOOKUP(ILACLISTE[[#This Row],[NAME]],Table5[#All],2,0),"")</f>
        <v/>
      </c>
    </row>
    <row r="3728" spans="1:3" x14ac:dyDescent="0.3">
      <c r="A3728" s="5" t="s">
        <v>4375</v>
      </c>
      <c r="B3728" t="s">
        <v>9935</v>
      </c>
      <c r="C3728" t="str">
        <f>IFERROR(VLOOKUP(ILACLISTE[[#This Row],[NAME]],Table5[#All],2,0),"")</f>
        <v/>
      </c>
    </row>
    <row r="3729" spans="1:3" x14ac:dyDescent="0.3">
      <c r="A3729" s="5" t="s">
        <v>4376</v>
      </c>
      <c r="B3729" t="s">
        <v>9936</v>
      </c>
      <c r="C3729" t="str">
        <f>IFERROR(VLOOKUP(ILACLISTE[[#This Row],[NAME]],Table5[#All],2,0),"")</f>
        <v/>
      </c>
    </row>
    <row r="3730" spans="1:3" x14ac:dyDescent="0.3">
      <c r="A3730" s="5" t="s">
        <v>4377</v>
      </c>
      <c r="B3730" t="s">
        <v>477</v>
      </c>
      <c r="C3730" t="str">
        <f>IFERROR(VLOOKUP(ILACLISTE[[#This Row],[NAME]],Table5[#All],2,0),"")</f>
        <v/>
      </c>
    </row>
    <row r="3731" spans="1:3" x14ac:dyDescent="0.3">
      <c r="A3731" s="5" t="s">
        <v>4378</v>
      </c>
      <c r="B3731" t="s">
        <v>9937</v>
      </c>
      <c r="C3731" t="str">
        <f>IFERROR(VLOOKUP(ILACLISTE[[#This Row],[NAME]],Table5[#All],2,0),"")</f>
        <v/>
      </c>
    </row>
    <row r="3732" spans="1:3" x14ac:dyDescent="0.3">
      <c r="A3732" s="5" t="s">
        <v>4379</v>
      </c>
      <c r="B3732" t="s">
        <v>9938</v>
      </c>
      <c r="C3732" t="str">
        <f>IFERROR(VLOOKUP(ILACLISTE[[#This Row],[NAME]],Table5[#All],2,0),"")</f>
        <v/>
      </c>
    </row>
    <row r="3733" spans="1:3" x14ac:dyDescent="0.3">
      <c r="A3733" s="5" t="s">
        <v>4380</v>
      </c>
      <c r="B3733" t="s">
        <v>9939</v>
      </c>
      <c r="C3733" t="str">
        <f>IFERROR(VLOOKUP(ILACLISTE[[#This Row],[NAME]],Table5[#All],2,0),"")</f>
        <v/>
      </c>
    </row>
    <row r="3734" spans="1:3" x14ac:dyDescent="0.3">
      <c r="A3734" s="5" t="s">
        <v>4381</v>
      </c>
      <c r="B3734" t="s">
        <v>9940</v>
      </c>
      <c r="C3734" t="str">
        <f>IFERROR(VLOOKUP(ILACLISTE[[#This Row],[NAME]],Table5[#All],2,0),"")</f>
        <v/>
      </c>
    </row>
    <row r="3735" spans="1:3" x14ac:dyDescent="0.3">
      <c r="A3735" s="5" t="s">
        <v>4382</v>
      </c>
      <c r="B3735" t="s">
        <v>9941</v>
      </c>
      <c r="C3735" t="str">
        <f>IFERROR(VLOOKUP(ILACLISTE[[#This Row],[NAME]],Table5[#All],2,0),"")</f>
        <v/>
      </c>
    </row>
    <row r="3736" spans="1:3" x14ac:dyDescent="0.3">
      <c r="A3736" s="5" t="s">
        <v>4383</v>
      </c>
      <c r="B3736" t="s">
        <v>9942</v>
      </c>
      <c r="C3736" t="str">
        <f>IFERROR(VLOOKUP(ILACLISTE[[#This Row],[NAME]],Table5[#All],2,0),"")</f>
        <v/>
      </c>
    </row>
    <row r="3737" spans="1:3" x14ac:dyDescent="0.3">
      <c r="A3737" s="5" t="s">
        <v>4384</v>
      </c>
      <c r="B3737" t="s">
        <v>9943</v>
      </c>
      <c r="C3737" t="str">
        <f>IFERROR(VLOOKUP(ILACLISTE[[#This Row],[NAME]],Table5[#All],2,0),"")</f>
        <v/>
      </c>
    </row>
    <row r="3738" spans="1:3" x14ac:dyDescent="0.3">
      <c r="A3738" s="5" t="s">
        <v>4385</v>
      </c>
      <c r="B3738" t="s">
        <v>9944</v>
      </c>
      <c r="C3738" t="str">
        <f>IFERROR(VLOOKUP(ILACLISTE[[#This Row],[NAME]],Table5[#All],2,0),"")</f>
        <v/>
      </c>
    </row>
    <row r="3739" spans="1:3" x14ac:dyDescent="0.3">
      <c r="A3739" s="5" t="s">
        <v>4386</v>
      </c>
      <c r="B3739" t="s">
        <v>9945</v>
      </c>
      <c r="C3739" t="str">
        <f>IFERROR(VLOOKUP(ILACLISTE[[#This Row],[NAME]],Table5[#All],2,0),"")</f>
        <v/>
      </c>
    </row>
    <row r="3740" spans="1:3" x14ac:dyDescent="0.3">
      <c r="A3740" s="5" t="s">
        <v>4387</v>
      </c>
      <c r="B3740" t="s">
        <v>9946</v>
      </c>
      <c r="C3740" t="str">
        <f>IFERROR(VLOOKUP(ILACLISTE[[#This Row],[NAME]],Table5[#All],2,0),"")</f>
        <v/>
      </c>
    </row>
    <row r="3741" spans="1:3" x14ac:dyDescent="0.3">
      <c r="A3741" s="5" t="s">
        <v>4388</v>
      </c>
      <c r="B3741" t="s">
        <v>9947</v>
      </c>
      <c r="C3741" t="str">
        <f>IFERROR(VLOOKUP(ILACLISTE[[#This Row],[NAME]],Table5[#All],2,0),"")</f>
        <v/>
      </c>
    </row>
    <row r="3742" spans="1:3" x14ac:dyDescent="0.3">
      <c r="A3742" s="5" t="s">
        <v>4389</v>
      </c>
      <c r="B3742" t="s">
        <v>9948</v>
      </c>
      <c r="C3742" t="str">
        <f>IFERROR(VLOOKUP(ILACLISTE[[#This Row],[NAME]],Table5[#All],2,0),"")</f>
        <v/>
      </c>
    </row>
    <row r="3743" spans="1:3" x14ac:dyDescent="0.3">
      <c r="A3743" s="5" t="s">
        <v>4390</v>
      </c>
      <c r="B3743" t="s">
        <v>9949</v>
      </c>
      <c r="C3743" t="str">
        <f>IFERROR(VLOOKUP(ILACLISTE[[#This Row],[NAME]],Table5[#All],2,0),"")</f>
        <v/>
      </c>
    </row>
    <row r="3744" spans="1:3" x14ac:dyDescent="0.3">
      <c r="A3744" s="5" t="s">
        <v>4391</v>
      </c>
      <c r="B3744" t="s">
        <v>9950</v>
      </c>
      <c r="C3744" t="str">
        <f>IFERROR(VLOOKUP(ILACLISTE[[#This Row],[NAME]],Table5[#All],2,0),"")</f>
        <v/>
      </c>
    </row>
    <row r="3745" spans="1:3" x14ac:dyDescent="0.3">
      <c r="A3745" s="5" t="s">
        <v>4392</v>
      </c>
      <c r="B3745" t="s">
        <v>9951</v>
      </c>
      <c r="C3745" t="str">
        <f>IFERROR(VLOOKUP(ILACLISTE[[#This Row],[NAME]],Table5[#All],2,0),"")</f>
        <v/>
      </c>
    </row>
    <row r="3746" spans="1:3" x14ac:dyDescent="0.3">
      <c r="A3746" s="5" t="s">
        <v>4393</v>
      </c>
      <c r="B3746" t="s">
        <v>9952</v>
      </c>
      <c r="C3746" t="str">
        <f>IFERROR(VLOOKUP(ILACLISTE[[#This Row],[NAME]],Table5[#All],2,0),"")</f>
        <v/>
      </c>
    </row>
    <row r="3747" spans="1:3" x14ac:dyDescent="0.3">
      <c r="A3747" s="5" t="s">
        <v>4394</v>
      </c>
      <c r="B3747" t="s">
        <v>9953</v>
      </c>
      <c r="C3747" t="str">
        <f>IFERROR(VLOOKUP(ILACLISTE[[#This Row],[NAME]],Table5[#All],2,0),"")</f>
        <v/>
      </c>
    </row>
    <row r="3748" spans="1:3" x14ac:dyDescent="0.3">
      <c r="A3748" s="5" t="s">
        <v>4395</v>
      </c>
      <c r="B3748" t="s">
        <v>9954</v>
      </c>
      <c r="C3748" t="str">
        <f>IFERROR(VLOOKUP(ILACLISTE[[#This Row],[NAME]],Table5[#All],2,0),"")</f>
        <v/>
      </c>
    </row>
    <row r="3749" spans="1:3" x14ac:dyDescent="0.3">
      <c r="A3749" s="5" t="s">
        <v>4396</v>
      </c>
      <c r="B3749" t="s">
        <v>9955</v>
      </c>
      <c r="C3749" t="str">
        <f>IFERROR(VLOOKUP(ILACLISTE[[#This Row],[NAME]],Table5[#All],2,0),"")</f>
        <v/>
      </c>
    </row>
    <row r="3750" spans="1:3" x14ac:dyDescent="0.3">
      <c r="A3750" s="5" t="s">
        <v>4397</v>
      </c>
      <c r="B3750" t="s">
        <v>9956</v>
      </c>
      <c r="C3750" t="str">
        <f>IFERROR(VLOOKUP(ILACLISTE[[#This Row],[NAME]],Table5[#All],2,0),"")</f>
        <v/>
      </c>
    </row>
    <row r="3751" spans="1:3" x14ac:dyDescent="0.3">
      <c r="A3751" s="5" t="s">
        <v>4398</v>
      </c>
      <c r="B3751" t="s">
        <v>9957</v>
      </c>
      <c r="C3751" t="str">
        <f>IFERROR(VLOOKUP(ILACLISTE[[#This Row],[NAME]],Table5[#All],2,0),"")</f>
        <v/>
      </c>
    </row>
    <row r="3752" spans="1:3" x14ac:dyDescent="0.3">
      <c r="A3752" s="5" t="s">
        <v>4399</v>
      </c>
      <c r="B3752" t="s">
        <v>478</v>
      </c>
      <c r="C3752" t="str">
        <f>IFERROR(VLOOKUP(ILACLISTE[[#This Row],[NAME]],Table5[#All],2,0),"")</f>
        <v/>
      </c>
    </row>
    <row r="3753" spans="1:3" x14ac:dyDescent="0.3">
      <c r="A3753" s="5" t="s">
        <v>4400</v>
      </c>
      <c r="B3753" t="s">
        <v>9958</v>
      </c>
      <c r="C3753" t="str">
        <f>IFERROR(VLOOKUP(ILACLISTE[[#This Row],[NAME]],Table5[#All],2,0),"")</f>
        <v/>
      </c>
    </row>
    <row r="3754" spans="1:3" x14ac:dyDescent="0.3">
      <c r="A3754" s="5" t="s">
        <v>4401</v>
      </c>
      <c r="B3754" t="s">
        <v>9959</v>
      </c>
      <c r="C3754" t="str">
        <f>IFERROR(VLOOKUP(ILACLISTE[[#This Row],[NAME]],Table5[#All],2,0),"")</f>
        <v/>
      </c>
    </row>
    <row r="3755" spans="1:3" x14ac:dyDescent="0.3">
      <c r="A3755" s="5" t="s">
        <v>4402</v>
      </c>
      <c r="B3755" t="s">
        <v>9960</v>
      </c>
      <c r="C3755" t="str">
        <f>IFERROR(VLOOKUP(ILACLISTE[[#This Row],[NAME]],Table5[#All],2,0),"")</f>
        <v/>
      </c>
    </row>
    <row r="3756" spans="1:3" x14ac:dyDescent="0.3">
      <c r="A3756" s="5" t="s">
        <v>4403</v>
      </c>
      <c r="B3756" t="s">
        <v>9961</v>
      </c>
      <c r="C3756" t="str">
        <f>IFERROR(VLOOKUP(ILACLISTE[[#This Row],[NAME]],Table5[#All],2,0),"")</f>
        <v/>
      </c>
    </row>
    <row r="3757" spans="1:3" x14ac:dyDescent="0.3">
      <c r="A3757" s="5" t="s">
        <v>4404</v>
      </c>
      <c r="B3757" t="s">
        <v>9962</v>
      </c>
      <c r="C3757" t="str">
        <f>IFERROR(VLOOKUP(ILACLISTE[[#This Row],[NAME]],Table5[#All],2,0),"")</f>
        <v/>
      </c>
    </row>
    <row r="3758" spans="1:3" x14ac:dyDescent="0.3">
      <c r="A3758" s="5" t="s">
        <v>4405</v>
      </c>
      <c r="B3758" t="s">
        <v>9963</v>
      </c>
      <c r="C3758" t="str">
        <f>IFERROR(VLOOKUP(ILACLISTE[[#This Row],[NAME]],Table5[#All],2,0),"")</f>
        <v/>
      </c>
    </row>
    <row r="3759" spans="1:3" x14ac:dyDescent="0.3">
      <c r="A3759" s="5" t="s">
        <v>4406</v>
      </c>
      <c r="B3759" t="s">
        <v>9964</v>
      </c>
      <c r="C3759" t="str">
        <f>IFERROR(VLOOKUP(ILACLISTE[[#This Row],[NAME]],Table5[#All],2,0),"")</f>
        <v/>
      </c>
    </row>
    <row r="3760" spans="1:3" x14ac:dyDescent="0.3">
      <c r="A3760" s="5" t="s">
        <v>9965</v>
      </c>
      <c r="B3760" t="s">
        <v>9966</v>
      </c>
      <c r="C3760" t="str">
        <f>IFERROR(VLOOKUP(ILACLISTE[[#This Row],[NAME]],Table5[#All],2,0),"")</f>
        <v/>
      </c>
    </row>
    <row r="3761" spans="1:3" x14ac:dyDescent="0.3">
      <c r="A3761" s="5" t="s">
        <v>4407</v>
      </c>
      <c r="B3761" t="s">
        <v>479</v>
      </c>
      <c r="C3761" t="str">
        <f>IFERROR(VLOOKUP(ILACLISTE[[#This Row],[NAME]],Table5[#All],2,0),"")</f>
        <v/>
      </c>
    </row>
    <row r="3762" spans="1:3" x14ac:dyDescent="0.3">
      <c r="A3762" s="5" t="s">
        <v>4408</v>
      </c>
      <c r="B3762" t="s">
        <v>9967</v>
      </c>
      <c r="C3762" t="str">
        <f>IFERROR(VLOOKUP(ILACLISTE[[#This Row],[NAME]],Table5[#All],2,0),"")</f>
        <v/>
      </c>
    </row>
    <row r="3763" spans="1:3" x14ac:dyDescent="0.3">
      <c r="A3763" s="5" t="s">
        <v>4409</v>
      </c>
      <c r="B3763" t="s">
        <v>9968</v>
      </c>
      <c r="C3763" t="str">
        <f>IFERROR(VLOOKUP(ILACLISTE[[#This Row],[NAME]],Table5[#All],2,0),"")</f>
        <v/>
      </c>
    </row>
    <row r="3764" spans="1:3" x14ac:dyDescent="0.3">
      <c r="A3764" s="5" t="s">
        <v>4410</v>
      </c>
      <c r="B3764" t="s">
        <v>9969</v>
      </c>
      <c r="C3764" t="str">
        <f>IFERROR(VLOOKUP(ILACLISTE[[#This Row],[NAME]],Table5[#All],2,0),"")</f>
        <v/>
      </c>
    </row>
    <row r="3765" spans="1:3" x14ac:dyDescent="0.3">
      <c r="A3765" s="5" t="s">
        <v>4411</v>
      </c>
      <c r="B3765" t="s">
        <v>9970</v>
      </c>
      <c r="C3765" t="str">
        <f>IFERROR(VLOOKUP(ILACLISTE[[#This Row],[NAME]],Table5[#All],2,0),"")</f>
        <v/>
      </c>
    </row>
    <row r="3766" spans="1:3" x14ac:dyDescent="0.3">
      <c r="A3766" s="5" t="s">
        <v>4412</v>
      </c>
      <c r="B3766" t="s">
        <v>9971</v>
      </c>
      <c r="C3766" t="str">
        <f>IFERROR(VLOOKUP(ILACLISTE[[#This Row],[NAME]],Table5[#All],2,0),"")</f>
        <v/>
      </c>
    </row>
    <row r="3767" spans="1:3" x14ac:dyDescent="0.3">
      <c r="A3767" s="5" t="s">
        <v>4413</v>
      </c>
      <c r="B3767" t="s">
        <v>9972</v>
      </c>
      <c r="C3767" t="str">
        <f>IFERROR(VLOOKUP(ILACLISTE[[#This Row],[NAME]],Table5[#All],2,0),"")</f>
        <v/>
      </c>
    </row>
    <row r="3768" spans="1:3" x14ac:dyDescent="0.3">
      <c r="A3768" s="5" t="s">
        <v>4414</v>
      </c>
      <c r="B3768" t="s">
        <v>9973</v>
      </c>
      <c r="C3768" t="str">
        <f>IFERROR(VLOOKUP(ILACLISTE[[#This Row],[NAME]],Table5[#All],2,0),"")</f>
        <v/>
      </c>
    </row>
    <row r="3769" spans="1:3" x14ac:dyDescent="0.3">
      <c r="A3769" s="5" t="s">
        <v>4415</v>
      </c>
      <c r="B3769" t="s">
        <v>9974</v>
      </c>
      <c r="C3769" t="str">
        <f>IFERROR(VLOOKUP(ILACLISTE[[#This Row],[NAME]],Table5[#All],2,0),"")</f>
        <v/>
      </c>
    </row>
    <row r="3770" spans="1:3" x14ac:dyDescent="0.3">
      <c r="A3770" s="5" t="s">
        <v>4416</v>
      </c>
      <c r="B3770" t="s">
        <v>9975</v>
      </c>
      <c r="C3770" t="str">
        <f>IFERROR(VLOOKUP(ILACLISTE[[#This Row],[NAME]],Table5[#All],2,0),"")</f>
        <v/>
      </c>
    </row>
    <row r="3771" spans="1:3" x14ac:dyDescent="0.3">
      <c r="A3771" s="5" t="s">
        <v>4417</v>
      </c>
      <c r="B3771" t="s">
        <v>9976</v>
      </c>
      <c r="C3771" t="str">
        <f>IFERROR(VLOOKUP(ILACLISTE[[#This Row],[NAME]],Table5[#All],2,0),"")</f>
        <v/>
      </c>
    </row>
    <row r="3772" spans="1:3" x14ac:dyDescent="0.3">
      <c r="A3772" s="5" t="s">
        <v>4418</v>
      </c>
      <c r="B3772" t="s">
        <v>9977</v>
      </c>
      <c r="C3772" t="str">
        <f>IFERROR(VLOOKUP(ILACLISTE[[#This Row],[NAME]],Table5[#All],2,0),"")</f>
        <v/>
      </c>
    </row>
    <row r="3773" spans="1:3" x14ac:dyDescent="0.3">
      <c r="A3773" s="5" t="s">
        <v>4419</v>
      </c>
      <c r="B3773" t="s">
        <v>9978</v>
      </c>
      <c r="C3773" t="str">
        <f>IFERROR(VLOOKUP(ILACLISTE[[#This Row],[NAME]],Table5[#All],2,0),"")</f>
        <v/>
      </c>
    </row>
    <row r="3774" spans="1:3" x14ac:dyDescent="0.3">
      <c r="A3774" s="5" t="s">
        <v>4420</v>
      </c>
      <c r="B3774" t="s">
        <v>9979</v>
      </c>
      <c r="C3774" t="str">
        <f>IFERROR(VLOOKUP(ILACLISTE[[#This Row],[NAME]],Table5[#All],2,0),"")</f>
        <v/>
      </c>
    </row>
    <row r="3775" spans="1:3" x14ac:dyDescent="0.3">
      <c r="A3775" s="5" t="s">
        <v>4421</v>
      </c>
      <c r="B3775" t="s">
        <v>9980</v>
      </c>
      <c r="C3775" t="str">
        <f>IFERROR(VLOOKUP(ILACLISTE[[#This Row],[NAME]],Table5[#All],2,0),"")</f>
        <v/>
      </c>
    </row>
    <row r="3776" spans="1:3" x14ac:dyDescent="0.3">
      <c r="A3776" s="5" t="s">
        <v>4422</v>
      </c>
      <c r="B3776" t="s">
        <v>9981</v>
      </c>
      <c r="C3776" t="str">
        <f>IFERROR(VLOOKUP(ILACLISTE[[#This Row],[NAME]],Table5[#All],2,0),"")</f>
        <v/>
      </c>
    </row>
    <row r="3777" spans="1:3" x14ac:dyDescent="0.3">
      <c r="A3777" s="5" t="s">
        <v>4423</v>
      </c>
      <c r="B3777" t="s">
        <v>480</v>
      </c>
      <c r="C3777" t="str">
        <f>IFERROR(VLOOKUP(ILACLISTE[[#This Row],[NAME]],Table5[#All],2,0),"")</f>
        <v/>
      </c>
    </row>
    <row r="3778" spans="1:3" x14ac:dyDescent="0.3">
      <c r="A3778" s="5" t="s">
        <v>4424</v>
      </c>
      <c r="B3778" t="s">
        <v>9982</v>
      </c>
      <c r="C3778" t="str">
        <f>IFERROR(VLOOKUP(ILACLISTE[[#This Row],[NAME]],Table5[#All],2,0),"")</f>
        <v/>
      </c>
    </row>
    <row r="3779" spans="1:3" x14ac:dyDescent="0.3">
      <c r="A3779" s="5" t="s">
        <v>4425</v>
      </c>
      <c r="B3779" t="s">
        <v>9983</v>
      </c>
      <c r="C3779" t="str">
        <f>IFERROR(VLOOKUP(ILACLISTE[[#This Row],[NAME]],Table5[#All],2,0),"")</f>
        <v/>
      </c>
    </row>
    <row r="3780" spans="1:3" x14ac:dyDescent="0.3">
      <c r="A3780" s="5" t="s">
        <v>4426</v>
      </c>
      <c r="B3780" t="s">
        <v>9984</v>
      </c>
      <c r="C3780" t="str">
        <f>IFERROR(VLOOKUP(ILACLISTE[[#This Row],[NAME]],Table5[#All],2,0),"")</f>
        <v/>
      </c>
    </row>
    <row r="3781" spans="1:3" x14ac:dyDescent="0.3">
      <c r="A3781" s="5" t="s">
        <v>4427</v>
      </c>
      <c r="B3781" t="s">
        <v>9985</v>
      </c>
      <c r="C3781" t="str">
        <f>IFERROR(VLOOKUP(ILACLISTE[[#This Row],[NAME]],Table5[#All],2,0),"")</f>
        <v/>
      </c>
    </row>
    <row r="3782" spans="1:3" x14ac:dyDescent="0.3">
      <c r="A3782" s="5" t="s">
        <v>4428</v>
      </c>
      <c r="B3782" t="s">
        <v>9986</v>
      </c>
      <c r="C3782" t="str">
        <f>IFERROR(VLOOKUP(ILACLISTE[[#This Row],[NAME]],Table5[#All],2,0),"")</f>
        <v/>
      </c>
    </row>
    <row r="3783" spans="1:3" x14ac:dyDescent="0.3">
      <c r="A3783" s="5" t="s">
        <v>4429</v>
      </c>
      <c r="B3783" t="s">
        <v>9987</v>
      </c>
      <c r="C3783" t="str">
        <f>IFERROR(VLOOKUP(ILACLISTE[[#This Row],[NAME]],Table5[#All],2,0),"")</f>
        <v/>
      </c>
    </row>
    <row r="3784" spans="1:3" x14ac:dyDescent="0.3">
      <c r="A3784" s="5" t="s">
        <v>4430</v>
      </c>
      <c r="B3784" t="s">
        <v>9988</v>
      </c>
      <c r="C3784" t="str">
        <f>IFERROR(VLOOKUP(ILACLISTE[[#This Row],[NAME]],Table5[#All],2,0),"")</f>
        <v/>
      </c>
    </row>
    <row r="3785" spans="1:3" x14ac:dyDescent="0.3">
      <c r="A3785" s="5" t="s">
        <v>4431</v>
      </c>
      <c r="B3785" t="s">
        <v>9989</v>
      </c>
      <c r="C3785" t="str">
        <f>IFERROR(VLOOKUP(ILACLISTE[[#This Row],[NAME]],Table5[#All],2,0),"")</f>
        <v/>
      </c>
    </row>
    <row r="3786" spans="1:3" x14ac:dyDescent="0.3">
      <c r="A3786" s="5" t="s">
        <v>4432</v>
      </c>
      <c r="B3786" t="s">
        <v>9990</v>
      </c>
      <c r="C3786" t="str">
        <f>IFERROR(VLOOKUP(ILACLISTE[[#This Row],[NAME]],Table5[#All],2,0),"")</f>
        <v/>
      </c>
    </row>
    <row r="3787" spans="1:3" x14ac:dyDescent="0.3">
      <c r="A3787" s="5" t="s">
        <v>4433</v>
      </c>
      <c r="B3787" t="s">
        <v>9991</v>
      </c>
      <c r="C3787" t="str">
        <f>IFERROR(VLOOKUP(ILACLISTE[[#This Row],[NAME]],Table5[#All],2,0),"")</f>
        <v/>
      </c>
    </row>
    <row r="3788" spans="1:3" x14ac:dyDescent="0.3">
      <c r="A3788" s="5" t="s">
        <v>4434</v>
      </c>
      <c r="B3788" t="s">
        <v>9992</v>
      </c>
      <c r="C3788" t="str">
        <f>IFERROR(VLOOKUP(ILACLISTE[[#This Row],[NAME]],Table5[#All],2,0),"")</f>
        <v/>
      </c>
    </row>
    <row r="3789" spans="1:3" x14ac:dyDescent="0.3">
      <c r="A3789" s="5" t="s">
        <v>4435</v>
      </c>
      <c r="B3789" t="s">
        <v>9993</v>
      </c>
      <c r="C3789" t="str">
        <f>IFERROR(VLOOKUP(ILACLISTE[[#This Row],[NAME]],Table5[#All],2,0),"")</f>
        <v/>
      </c>
    </row>
    <row r="3790" spans="1:3" x14ac:dyDescent="0.3">
      <c r="A3790" s="5" t="s">
        <v>4436</v>
      </c>
      <c r="B3790" t="s">
        <v>9994</v>
      </c>
      <c r="C3790" t="str">
        <f>IFERROR(VLOOKUP(ILACLISTE[[#This Row],[NAME]],Table5[#All],2,0),"")</f>
        <v/>
      </c>
    </row>
    <row r="3791" spans="1:3" x14ac:dyDescent="0.3">
      <c r="A3791" s="5" t="s">
        <v>4437</v>
      </c>
      <c r="B3791" t="s">
        <v>9995</v>
      </c>
      <c r="C3791" t="str">
        <f>IFERROR(VLOOKUP(ILACLISTE[[#This Row],[NAME]],Table5[#All],2,0),"")</f>
        <v/>
      </c>
    </row>
    <row r="3792" spans="1:3" x14ac:dyDescent="0.3">
      <c r="A3792" s="5" t="s">
        <v>4438</v>
      </c>
      <c r="B3792" t="s">
        <v>9996</v>
      </c>
      <c r="C3792" t="str">
        <f>IFERROR(VLOOKUP(ILACLISTE[[#This Row],[NAME]],Table5[#All],2,0),"")</f>
        <v/>
      </c>
    </row>
    <row r="3793" spans="1:3" x14ac:dyDescent="0.3">
      <c r="A3793" s="5" t="s">
        <v>4439</v>
      </c>
      <c r="B3793" t="s">
        <v>9997</v>
      </c>
      <c r="C3793" t="str">
        <f>IFERROR(VLOOKUP(ILACLISTE[[#This Row],[NAME]],Table5[#All],2,0),"")</f>
        <v/>
      </c>
    </row>
    <row r="3794" spans="1:3" x14ac:dyDescent="0.3">
      <c r="A3794" s="5" t="s">
        <v>4440</v>
      </c>
      <c r="B3794" t="s">
        <v>9998</v>
      </c>
      <c r="C3794" t="str">
        <f>IFERROR(VLOOKUP(ILACLISTE[[#This Row],[NAME]],Table5[#All],2,0),"")</f>
        <v/>
      </c>
    </row>
    <row r="3795" spans="1:3" x14ac:dyDescent="0.3">
      <c r="A3795" s="5" t="s">
        <v>4441</v>
      </c>
      <c r="B3795" t="s">
        <v>9999</v>
      </c>
      <c r="C3795" t="str">
        <f>IFERROR(VLOOKUP(ILACLISTE[[#This Row],[NAME]],Table5[#All],2,0),"")</f>
        <v/>
      </c>
    </row>
    <row r="3796" spans="1:3" x14ac:dyDescent="0.3">
      <c r="A3796" s="5" t="s">
        <v>4442</v>
      </c>
      <c r="B3796" t="s">
        <v>10000</v>
      </c>
      <c r="C3796" t="str">
        <f>IFERROR(VLOOKUP(ILACLISTE[[#This Row],[NAME]],Table5[#All],2,0),"")</f>
        <v/>
      </c>
    </row>
    <row r="3797" spans="1:3" x14ac:dyDescent="0.3">
      <c r="A3797" s="5" t="s">
        <v>4443</v>
      </c>
      <c r="B3797" t="s">
        <v>481</v>
      </c>
      <c r="C3797" t="str">
        <f>IFERROR(VLOOKUP(ILACLISTE[[#This Row],[NAME]],Table5[#All],2,0),"")</f>
        <v/>
      </c>
    </row>
    <row r="3798" spans="1:3" x14ac:dyDescent="0.3">
      <c r="A3798" s="5" t="s">
        <v>4444</v>
      </c>
      <c r="B3798" t="s">
        <v>10001</v>
      </c>
      <c r="C3798" t="str">
        <f>IFERROR(VLOOKUP(ILACLISTE[[#This Row],[NAME]],Table5[#All],2,0),"")</f>
        <v/>
      </c>
    </row>
    <row r="3799" spans="1:3" x14ac:dyDescent="0.3">
      <c r="A3799" s="5" t="s">
        <v>4445</v>
      </c>
      <c r="B3799" t="s">
        <v>10002</v>
      </c>
      <c r="C3799" t="str">
        <f>IFERROR(VLOOKUP(ILACLISTE[[#This Row],[NAME]],Table5[#All],2,0),"")</f>
        <v/>
      </c>
    </row>
    <row r="3800" spans="1:3" x14ac:dyDescent="0.3">
      <c r="A3800" s="5" t="s">
        <v>4446</v>
      </c>
      <c r="B3800" t="s">
        <v>10003</v>
      </c>
      <c r="C3800" t="str">
        <f>IFERROR(VLOOKUP(ILACLISTE[[#This Row],[NAME]],Table5[#All],2,0),"")</f>
        <v/>
      </c>
    </row>
    <row r="3801" spans="1:3" x14ac:dyDescent="0.3">
      <c r="A3801" s="5" t="s">
        <v>4447</v>
      </c>
      <c r="B3801" t="s">
        <v>10004</v>
      </c>
      <c r="C3801" t="str">
        <f>IFERROR(VLOOKUP(ILACLISTE[[#This Row],[NAME]],Table5[#All],2,0),"")</f>
        <v/>
      </c>
    </row>
    <row r="3802" spans="1:3" x14ac:dyDescent="0.3">
      <c r="A3802" s="5" t="s">
        <v>4448</v>
      </c>
      <c r="B3802" t="s">
        <v>10005</v>
      </c>
      <c r="C3802" t="str">
        <f>IFERROR(VLOOKUP(ILACLISTE[[#This Row],[NAME]],Table5[#All],2,0),"")</f>
        <v/>
      </c>
    </row>
    <row r="3803" spans="1:3" x14ac:dyDescent="0.3">
      <c r="A3803" s="5" t="s">
        <v>4449</v>
      </c>
      <c r="B3803" t="s">
        <v>10006</v>
      </c>
      <c r="C3803" t="str">
        <f>IFERROR(VLOOKUP(ILACLISTE[[#This Row],[NAME]],Table5[#All],2,0),"")</f>
        <v/>
      </c>
    </row>
    <row r="3804" spans="1:3" x14ac:dyDescent="0.3">
      <c r="A3804" s="5" t="s">
        <v>4450</v>
      </c>
      <c r="B3804" t="s">
        <v>10007</v>
      </c>
      <c r="C3804" t="str">
        <f>IFERROR(VLOOKUP(ILACLISTE[[#This Row],[NAME]],Table5[#All],2,0),"")</f>
        <v/>
      </c>
    </row>
    <row r="3805" spans="1:3" x14ac:dyDescent="0.3">
      <c r="A3805" s="5" t="s">
        <v>4451</v>
      </c>
      <c r="B3805" t="s">
        <v>482</v>
      </c>
      <c r="C3805" t="str">
        <f>IFERROR(VLOOKUP(ILACLISTE[[#This Row],[NAME]],Table5[#All],2,0),"")</f>
        <v/>
      </c>
    </row>
    <row r="3806" spans="1:3" x14ac:dyDescent="0.3">
      <c r="A3806" s="5" t="s">
        <v>4452</v>
      </c>
      <c r="B3806" t="s">
        <v>483</v>
      </c>
      <c r="C3806" t="str">
        <f>IFERROR(VLOOKUP(ILACLISTE[[#This Row],[NAME]],Table5[#All],2,0),"")</f>
        <v/>
      </c>
    </row>
    <row r="3807" spans="1:3" x14ac:dyDescent="0.3">
      <c r="A3807" s="5" t="s">
        <v>4453</v>
      </c>
      <c r="B3807" t="s">
        <v>10008</v>
      </c>
      <c r="C3807" t="str">
        <f>IFERROR(VLOOKUP(ILACLISTE[[#This Row],[NAME]],Table5[#All],2,0),"")</f>
        <v/>
      </c>
    </row>
    <row r="3808" spans="1:3" x14ac:dyDescent="0.3">
      <c r="A3808" s="5" t="s">
        <v>4454</v>
      </c>
      <c r="B3808" t="s">
        <v>10009</v>
      </c>
      <c r="C3808" t="str">
        <f>IFERROR(VLOOKUP(ILACLISTE[[#This Row],[NAME]],Table5[#All],2,0),"")</f>
        <v/>
      </c>
    </row>
    <row r="3809" spans="1:3" x14ac:dyDescent="0.3">
      <c r="A3809" s="5" t="s">
        <v>4455</v>
      </c>
      <c r="B3809" t="s">
        <v>10010</v>
      </c>
      <c r="C3809" t="str">
        <f>IFERROR(VLOOKUP(ILACLISTE[[#This Row],[NAME]],Table5[#All],2,0),"")</f>
        <v/>
      </c>
    </row>
    <row r="3810" spans="1:3" x14ac:dyDescent="0.3">
      <c r="A3810" s="5" t="s">
        <v>4456</v>
      </c>
      <c r="B3810" t="s">
        <v>10011</v>
      </c>
      <c r="C3810" t="str">
        <f>IFERROR(VLOOKUP(ILACLISTE[[#This Row],[NAME]],Table5[#All],2,0),"")</f>
        <v/>
      </c>
    </row>
    <row r="3811" spans="1:3" x14ac:dyDescent="0.3">
      <c r="A3811" s="5" t="s">
        <v>4457</v>
      </c>
      <c r="B3811" t="s">
        <v>10012</v>
      </c>
      <c r="C3811" t="str">
        <f>IFERROR(VLOOKUP(ILACLISTE[[#This Row],[NAME]],Table5[#All],2,0),"")</f>
        <v/>
      </c>
    </row>
    <row r="3812" spans="1:3" x14ac:dyDescent="0.3">
      <c r="A3812" s="5" t="s">
        <v>4458</v>
      </c>
      <c r="B3812" t="s">
        <v>484</v>
      </c>
      <c r="C3812" t="str">
        <f>IFERROR(VLOOKUP(ILACLISTE[[#This Row],[NAME]],Table5[#All],2,0),"")</f>
        <v/>
      </c>
    </row>
    <row r="3813" spans="1:3" x14ac:dyDescent="0.3">
      <c r="A3813" s="5" t="s">
        <v>4459</v>
      </c>
      <c r="B3813" t="s">
        <v>485</v>
      </c>
      <c r="C3813" t="str">
        <f>IFERROR(VLOOKUP(ILACLISTE[[#This Row],[NAME]],Table5[#All],2,0),"")</f>
        <v/>
      </c>
    </row>
    <row r="3814" spans="1:3" x14ac:dyDescent="0.3">
      <c r="A3814" s="5" t="s">
        <v>4460</v>
      </c>
      <c r="B3814" t="s">
        <v>486</v>
      </c>
      <c r="C3814" t="str">
        <f>IFERROR(VLOOKUP(ILACLISTE[[#This Row],[NAME]],Table5[#All],2,0),"")</f>
        <v/>
      </c>
    </row>
    <row r="3815" spans="1:3" x14ac:dyDescent="0.3">
      <c r="A3815" s="5" t="s">
        <v>4461</v>
      </c>
      <c r="B3815" t="s">
        <v>10013</v>
      </c>
      <c r="C3815" t="str">
        <f>IFERROR(VLOOKUP(ILACLISTE[[#This Row],[NAME]],Table5[#All],2,0),"")</f>
        <v/>
      </c>
    </row>
    <row r="3816" spans="1:3" x14ac:dyDescent="0.3">
      <c r="A3816" s="5" t="s">
        <v>4462</v>
      </c>
      <c r="B3816" t="s">
        <v>10014</v>
      </c>
      <c r="C3816" t="str">
        <f>IFERROR(VLOOKUP(ILACLISTE[[#This Row],[NAME]],Table5[#All],2,0),"")</f>
        <v/>
      </c>
    </row>
    <row r="3817" spans="1:3" x14ac:dyDescent="0.3">
      <c r="A3817" s="5" t="s">
        <v>4463</v>
      </c>
      <c r="B3817" t="s">
        <v>10015</v>
      </c>
      <c r="C3817" t="str">
        <f>IFERROR(VLOOKUP(ILACLISTE[[#This Row],[NAME]],Table5[#All],2,0),"")</f>
        <v/>
      </c>
    </row>
    <row r="3818" spans="1:3" x14ac:dyDescent="0.3">
      <c r="A3818" s="5" t="s">
        <v>4464</v>
      </c>
      <c r="B3818" t="s">
        <v>10016</v>
      </c>
      <c r="C3818" t="str">
        <f>IFERROR(VLOOKUP(ILACLISTE[[#This Row],[NAME]],Table5[#All],2,0),"")</f>
        <v/>
      </c>
    </row>
    <row r="3819" spans="1:3" x14ac:dyDescent="0.3">
      <c r="A3819" s="5" t="s">
        <v>4465</v>
      </c>
      <c r="B3819" t="s">
        <v>10017</v>
      </c>
      <c r="C3819" t="str">
        <f>IFERROR(VLOOKUP(ILACLISTE[[#This Row],[NAME]],Table5[#All],2,0),"")</f>
        <v/>
      </c>
    </row>
    <row r="3820" spans="1:3" x14ac:dyDescent="0.3">
      <c r="A3820" s="5" t="s">
        <v>4466</v>
      </c>
      <c r="B3820" t="s">
        <v>10018</v>
      </c>
      <c r="C3820" t="str">
        <f>IFERROR(VLOOKUP(ILACLISTE[[#This Row],[NAME]],Table5[#All],2,0),"")</f>
        <v/>
      </c>
    </row>
    <row r="3821" spans="1:3" x14ac:dyDescent="0.3">
      <c r="A3821" s="5" t="s">
        <v>4467</v>
      </c>
      <c r="B3821" t="s">
        <v>10019</v>
      </c>
      <c r="C3821" t="str">
        <f>IFERROR(VLOOKUP(ILACLISTE[[#This Row],[NAME]],Table5[#All],2,0),"")</f>
        <v/>
      </c>
    </row>
    <row r="3822" spans="1:3" x14ac:dyDescent="0.3">
      <c r="A3822" s="5" t="s">
        <v>4468</v>
      </c>
      <c r="B3822" t="s">
        <v>487</v>
      </c>
      <c r="C3822" t="str">
        <f>IFERROR(VLOOKUP(ILACLISTE[[#This Row],[NAME]],Table5[#All],2,0),"")</f>
        <v/>
      </c>
    </row>
    <row r="3823" spans="1:3" x14ac:dyDescent="0.3">
      <c r="A3823" s="5" t="s">
        <v>4469</v>
      </c>
      <c r="B3823" t="s">
        <v>488</v>
      </c>
      <c r="C3823" t="str">
        <f>IFERROR(VLOOKUP(ILACLISTE[[#This Row],[NAME]],Table5[#All],2,0),"")</f>
        <v/>
      </c>
    </row>
    <row r="3824" spans="1:3" x14ac:dyDescent="0.3">
      <c r="A3824" s="5" t="s">
        <v>4470</v>
      </c>
      <c r="B3824" t="s">
        <v>10020</v>
      </c>
      <c r="C3824" t="str">
        <f>IFERROR(VLOOKUP(ILACLISTE[[#This Row],[NAME]],Table5[#All],2,0),"")</f>
        <v/>
      </c>
    </row>
    <row r="3825" spans="1:3" x14ac:dyDescent="0.3">
      <c r="A3825" s="5" t="s">
        <v>4471</v>
      </c>
      <c r="B3825" t="s">
        <v>10021</v>
      </c>
      <c r="C3825" t="str">
        <f>IFERROR(VLOOKUP(ILACLISTE[[#This Row],[NAME]],Table5[#All],2,0),"")</f>
        <v/>
      </c>
    </row>
    <row r="3826" spans="1:3" x14ac:dyDescent="0.3">
      <c r="A3826" s="5" t="s">
        <v>4472</v>
      </c>
      <c r="B3826" t="s">
        <v>10022</v>
      </c>
      <c r="C3826" t="str">
        <f>IFERROR(VLOOKUP(ILACLISTE[[#This Row],[NAME]],Table5[#All],2,0),"")</f>
        <v/>
      </c>
    </row>
    <row r="3827" spans="1:3" x14ac:dyDescent="0.3">
      <c r="A3827" s="5" t="s">
        <v>4473</v>
      </c>
      <c r="B3827" t="s">
        <v>10023</v>
      </c>
      <c r="C3827" t="str">
        <f>IFERROR(VLOOKUP(ILACLISTE[[#This Row],[NAME]],Table5[#All],2,0),"")</f>
        <v/>
      </c>
    </row>
    <row r="3828" spans="1:3" x14ac:dyDescent="0.3">
      <c r="A3828" s="5" t="s">
        <v>4474</v>
      </c>
      <c r="B3828" t="s">
        <v>10024</v>
      </c>
      <c r="C3828" t="str">
        <f>IFERROR(VLOOKUP(ILACLISTE[[#This Row],[NAME]],Table5[#All],2,0),"")</f>
        <v/>
      </c>
    </row>
    <row r="3829" spans="1:3" x14ac:dyDescent="0.3">
      <c r="A3829" s="5" t="s">
        <v>4475</v>
      </c>
      <c r="B3829" t="s">
        <v>10025</v>
      </c>
      <c r="C3829" t="str">
        <f>IFERROR(VLOOKUP(ILACLISTE[[#This Row],[NAME]],Table5[#All],2,0),"")</f>
        <v/>
      </c>
    </row>
    <row r="3830" spans="1:3" x14ac:dyDescent="0.3">
      <c r="A3830" s="5" t="s">
        <v>4476</v>
      </c>
      <c r="B3830" t="s">
        <v>10026</v>
      </c>
      <c r="C3830" t="str">
        <f>IFERROR(VLOOKUP(ILACLISTE[[#This Row],[NAME]],Table5[#All],2,0),"")</f>
        <v/>
      </c>
    </row>
    <row r="3831" spans="1:3" x14ac:dyDescent="0.3">
      <c r="A3831" s="5" t="s">
        <v>4477</v>
      </c>
      <c r="B3831" t="s">
        <v>10027</v>
      </c>
      <c r="C3831" t="str">
        <f>IFERROR(VLOOKUP(ILACLISTE[[#This Row],[NAME]],Table5[#All],2,0),"")</f>
        <v/>
      </c>
    </row>
    <row r="3832" spans="1:3" x14ac:dyDescent="0.3">
      <c r="A3832" s="5" t="s">
        <v>4478</v>
      </c>
      <c r="B3832" t="s">
        <v>10028</v>
      </c>
      <c r="C3832" t="str">
        <f>IFERROR(VLOOKUP(ILACLISTE[[#This Row],[NAME]],Table5[#All],2,0),"")</f>
        <v/>
      </c>
    </row>
    <row r="3833" spans="1:3" x14ac:dyDescent="0.3">
      <c r="A3833" s="5" t="s">
        <v>4479</v>
      </c>
      <c r="B3833" t="s">
        <v>10029</v>
      </c>
      <c r="C3833" t="str">
        <f>IFERROR(VLOOKUP(ILACLISTE[[#This Row],[NAME]],Table5[#All],2,0),"")</f>
        <v/>
      </c>
    </row>
    <row r="3834" spans="1:3" x14ac:dyDescent="0.3">
      <c r="A3834" s="5" t="s">
        <v>4480</v>
      </c>
      <c r="B3834" t="s">
        <v>10030</v>
      </c>
      <c r="C3834" t="str">
        <f>IFERROR(VLOOKUP(ILACLISTE[[#This Row],[NAME]],Table5[#All],2,0),"")</f>
        <v/>
      </c>
    </row>
    <row r="3835" spans="1:3" x14ac:dyDescent="0.3">
      <c r="A3835" s="5" t="s">
        <v>4481</v>
      </c>
      <c r="B3835" t="s">
        <v>10031</v>
      </c>
      <c r="C3835" t="str">
        <f>IFERROR(VLOOKUP(ILACLISTE[[#This Row],[NAME]],Table5[#All],2,0),"")</f>
        <v/>
      </c>
    </row>
    <row r="3836" spans="1:3" x14ac:dyDescent="0.3">
      <c r="A3836" s="5" t="s">
        <v>4482</v>
      </c>
      <c r="B3836" t="s">
        <v>10032</v>
      </c>
      <c r="C3836" t="str">
        <f>IFERROR(VLOOKUP(ILACLISTE[[#This Row],[NAME]],Table5[#All],2,0),"")</f>
        <v/>
      </c>
    </row>
    <row r="3837" spans="1:3" x14ac:dyDescent="0.3">
      <c r="A3837" s="5" t="s">
        <v>4483</v>
      </c>
      <c r="B3837" t="s">
        <v>10033</v>
      </c>
      <c r="C3837" t="str">
        <f>IFERROR(VLOOKUP(ILACLISTE[[#This Row],[NAME]],Table5[#All],2,0),"")</f>
        <v/>
      </c>
    </row>
    <row r="3838" spans="1:3" x14ac:dyDescent="0.3">
      <c r="A3838" s="5" t="s">
        <v>4484</v>
      </c>
      <c r="B3838" t="s">
        <v>10034</v>
      </c>
      <c r="C3838" t="str">
        <f>IFERROR(VLOOKUP(ILACLISTE[[#This Row],[NAME]],Table5[#All],2,0),"")</f>
        <v/>
      </c>
    </row>
    <row r="3839" spans="1:3" x14ac:dyDescent="0.3">
      <c r="A3839" s="5" t="s">
        <v>4485</v>
      </c>
      <c r="B3839" t="s">
        <v>10035</v>
      </c>
      <c r="C3839" t="str">
        <f>IFERROR(VLOOKUP(ILACLISTE[[#This Row],[NAME]],Table5[#All],2,0),"")</f>
        <v/>
      </c>
    </row>
    <row r="3840" spans="1:3" x14ac:dyDescent="0.3">
      <c r="A3840" s="5" t="s">
        <v>4486</v>
      </c>
      <c r="B3840" t="s">
        <v>10036</v>
      </c>
      <c r="C3840" t="str">
        <f>IFERROR(VLOOKUP(ILACLISTE[[#This Row],[NAME]],Table5[#All],2,0),"")</f>
        <v/>
      </c>
    </row>
    <row r="3841" spans="1:3" x14ac:dyDescent="0.3">
      <c r="A3841" s="5" t="s">
        <v>4487</v>
      </c>
      <c r="B3841" t="s">
        <v>10037</v>
      </c>
      <c r="C3841" t="str">
        <f>IFERROR(VLOOKUP(ILACLISTE[[#This Row],[NAME]],Table5[#All],2,0),"")</f>
        <v/>
      </c>
    </row>
    <row r="3842" spans="1:3" x14ac:dyDescent="0.3">
      <c r="A3842" s="5" t="s">
        <v>4488</v>
      </c>
      <c r="B3842" t="s">
        <v>10038</v>
      </c>
      <c r="C3842" t="str">
        <f>IFERROR(VLOOKUP(ILACLISTE[[#This Row],[NAME]],Table5[#All],2,0),"")</f>
        <v/>
      </c>
    </row>
    <row r="3843" spans="1:3" x14ac:dyDescent="0.3">
      <c r="A3843" s="5" t="s">
        <v>4489</v>
      </c>
      <c r="B3843" t="s">
        <v>489</v>
      </c>
      <c r="C3843" t="str">
        <f>IFERROR(VLOOKUP(ILACLISTE[[#This Row],[NAME]],Table5[#All],2,0),"")</f>
        <v/>
      </c>
    </row>
    <row r="3844" spans="1:3" x14ac:dyDescent="0.3">
      <c r="A3844" s="5" t="s">
        <v>4490</v>
      </c>
      <c r="B3844" t="s">
        <v>10039</v>
      </c>
      <c r="C3844" t="str">
        <f>IFERROR(VLOOKUP(ILACLISTE[[#This Row],[NAME]],Table5[#All],2,0),"")</f>
        <v/>
      </c>
    </row>
    <row r="3845" spans="1:3" x14ac:dyDescent="0.3">
      <c r="A3845" s="5" t="s">
        <v>4491</v>
      </c>
      <c r="B3845" t="s">
        <v>10040</v>
      </c>
      <c r="C3845" t="str">
        <f>IFERROR(VLOOKUP(ILACLISTE[[#This Row],[NAME]],Table5[#All],2,0),"")</f>
        <v/>
      </c>
    </row>
    <row r="3846" spans="1:3" x14ac:dyDescent="0.3">
      <c r="A3846" s="5" t="s">
        <v>4492</v>
      </c>
      <c r="B3846" t="s">
        <v>10041</v>
      </c>
      <c r="C3846" t="str">
        <f>IFERROR(VLOOKUP(ILACLISTE[[#This Row],[NAME]],Table5[#All],2,0),"")</f>
        <v/>
      </c>
    </row>
    <row r="3847" spans="1:3" x14ac:dyDescent="0.3">
      <c r="A3847" s="5" t="s">
        <v>4493</v>
      </c>
      <c r="B3847" t="s">
        <v>10042</v>
      </c>
      <c r="C3847" t="str">
        <f>IFERROR(VLOOKUP(ILACLISTE[[#This Row],[NAME]],Table5[#All],2,0),"")</f>
        <v/>
      </c>
    </row>
    <row r="3848" spans="1:3" x14ac:dyDescent="0.3">
      <c r="A3848" s="5" t="s">
        <v>4494</v>
      </c>
      <c r="B3848" t="s">
        <v>10043</v>
      </c>
      <c r="C3848" t="str">
        <f>IFERROR(VLOOKUP(ILACLISTE[[#This Row],[NAME]],Table5[#All],2,0),"")</f>
        <v/>
      </c>
    </row>
    <row r="3849" spans="1:3" x14ac:dyDescent="0.3">
      <c r="A3849" s="5" t="s">
        <v>4495</v>
      </c>
      <c r="B3849" t="s">
        <v>10044</v>
      </c>
      <c r="C3849" t="str">
        <f>IFERROR(VLOOKUP(ILACLISTE[[#This Row],[NAME]],Table5[#All],2,0),"")</f>
        <v/>
      </c>
    </row>
    <row r="3850" spans="1:3" x14ac:dyDescent="0.3">
      <c r="A3850" s="5" t="s">
        <v>4496</v>
      </c>
      <c r="B3850" t="s">
        <v>10045</v>
      </c>
      <c r="C3850" t="str">
        <f>IFERROR(VLOOKUP(ILACLISTE[[#This Row],[NAME]],Table5[#All],2,0),"")</f>
        <v/>
      </c>
    </row>
    <row r="3851" spans="1:3" x14ac:dyDescent="0.3">
      <c r="A3851" s="5" t="s">
        <v>4497</v>
      </c>
      <c r="B3851" t="s">
        <v>10046</v>
      </c>
      <c r="C3851" t="str">
        <f>IFERROR(VLOOKUP(ILACLISTE[[#This Row],[NAME]],Table5[#All],2,0),"")</f>
        <v/>
      </c>
    </row>
    <row r="3852" spans="1:3" x14ac:dyDescent="0.3">
      <c r="A3852" s="5" t="s">
        <v>4498</v>
      </c>
      <c r="B3852" t="s">
        <v>10047</v>
      </c>
      <c r="C3852" t="str">
        <f>IFERROR(VLOOKUP(ILACLISTE[[#This Row],[NAME]],Table5[#All],2,0),"")</f>
        <v/>
      </c>
    </row>
    <row r="3853" spans="1:3" x14ac:dyDescent="0.3">
      <c r="A3853" s="5" t="s">
        <v>4499</v>
      </c>
      <c r="B3853" t="s">
        <v>10048</v>
      </c>
      <c r="C3853" t="str">
        <f>IFERROR(VLOOKUP(ILACLISTE[[#This Row],[NAME]],Table5[#All],2,0),"")</f>
        <v/>
      </c>
    </row>
    <row r="3854" spans="1:3" x14ac:dyDescent="0.3">
      <c r="A3854" s="5" t="s">
        <v>4500</v>
      </c>
      <c r="B3854" t="s">
        <v>10049</v>
      </c>
      <c r="C3854" t="str">
        <f>IFERROR(VLOOKUP(ILACLISTE[[#This Row],[NAME]],Table5[#All],2,0),"")</f>
        <v/>
      </c>
    </row>
    <row r="3855" spans="1:3" x14ac:dyDescent="0.3">
      <c r="A3855" s="5" t="s">
        <v>4501</v>
      </c>
      <c r="B3855" t="s">
        <v>10050</v>
      </c>
      <c r="C3855" t="str">
        <f>IFERROR(VLOOKUP(ILACLISTE[[#This Row],[NAME]],Table5[#All],2,0),"")</f>
        <v/>
      </c>
    </row>
    <row r="3856" spans="1:3" x14ac:dyDescent="0.3">
      <c r="A3856" s="5" t="s">
        <v>4502</v>
      </c>
      <c r="B3856" t="s">
        <v>10051</v>
      </c>
      <c r="C3856" t="str">
        <f>IFERROR(VLOOKUP(ILACLISTE[[#This Row],[NAME]],Table5[#All],2,0),"")</f>
        <v/>
      </c>
    </row>
    <row r="3857" spans="1:3" x14ac:dyDescent="0.3">
      <c r="A3857" s="5" t="s">
        <v>4503</v>
      </c>
      <c r="B3857" t="s">
        <v>10052</v>
      </c>
      <c r="C3857" t="str">
        <f>IFERROR(VLOOKUP(ILACLISTE[[#This Row],[NAME]],Table5[#All],2,0),"")</f>
        <v/>
      </c>
    </row>
    <row r="3858" spans="1:3" x14ac:dyDescent="0.3">
      <c r="A3858" s="5" t="s">
        <v>4504</v>
      </c>
      <c r="B3858" t="s">
        <v>10053</v>
      </c>
      <c r="C3858" t="str">
        <f>IFERROR(VLOOKUP(ILACLISTE[[#This Row],[NAME]],Table5[#All],2,0),"")</f>
        <v/>
      </c>
    </row>
    <row r="3859" spans="1:3" x14ac:dyDescent="0.3">
      <c r="A3859" s="5" t="s">
        <v>4505</v>
      </c>
      <c r="B3859" t="s">
        <v>10054</v>
      </c>
      <c r="C3859" t="str">
        <f>IFERROR(VLOOKUP(ILACLISTE[[#This Row],[NAME]],Table5[#All],2,0),"")</f>
        <v/>
      </c>
    </row>
    <row r="3860" spans="1:3" x14ac:dyDescent="0.3">
      <c r="A3860" s="5" t="s">
        <v>4506</v>
      </c>
      <c r="B3860" t="s">
        <v>10055</v>
      </c>
      <c r="C3860" t="str">
        <f>IFERROR(VLOOKUP(ILACLISTE[[#This Row],[NAME]],Table5[#All],2,0),"")</f>
        <v/>
      </c>
    </row>
    <row r="3861" spans="1:3" x14ac:dyDescent="0.3">
      <c r="A3861" s="5" t="s">
        <v>4507</v>
      </c>
      <c r="B3861" t="s">
        <v>10056</v>
      </c>
      <c r="C3861" t="str">
        <f>IFERROR(VLOOKUP(ILACLISTE[[#This Row],[NAME]],Table5[#All],2,0),"")</f>
        <v/>
      </c>
    </row>
    <row r="3862" spans="1:3" x14ac:dyDescent="0.3">
      <c r="A3862" s="5" t="s">
        <v>4508</v>
      </c>
      <c r="B3862" t="s">
        <v>10057</v>
      </c>
      <c r="C3862" t="str">
        <f>IFERROR(VLOOKUP(ILACLISTE[[#This Row],[NAME]],Table5[#All],2,0),"")</f>
        <v/>
      </c>
    </row>
    <row r="3863" spans="1:3" x14ac:dyDescent="0.3">
      <c r="A3863" s="5" t="s">
        <v>4509</v>
      </c>
      <c r="B3863" t="s">
        <v>10058</v>
      </c>
      <c r="C3863" t="str">
        <f>IFERROR(VLOOKUP(ILACLISTE[[#This Row],[NAME]],Table5[#All],2,0),"")</f>
        <v/>
      </c>
    </row>
    <row r="3864" spans="1:3" x14ac:dyDescent="0.3">
      <c r="A3864" s="5" t="s">
        <v>4510</v>
      </c>
      <c r="B3864" t="s">
        <v>490</v>
      </c>
      <c r="C3864" t="str">
        <f>IFERROR(VLOOKUP(ILACLISTE[[#This Row],[NAME]],Table5[#All],2,0),"")</f>
        <v/>
      </c>
    </row>
    <row r="3865" spans="1:3" x14ac:dyDescent="0.3">
      <c r="A3865" s="5" t="s">
        <v>4511</v>
      </c>
      <c r="B3865" t="s">
        <v>10059</v>
      </c>
      <c r="C3865" t="str">
        <f>IFERROR(VLOOKUP(ILACLISTE[[#This Row],[NAME]],Table5[#All],2,0),"")</f>
        <v/>
      </c>
    </row>
    <row r="3866" spans="1:3" x14ac:dyDescent="0.3">
      <c r="A3866" s="5" t="s">
        <v>4512</v>
      </c>
      <c r="B3866" t="s">
        <v>10060</v>
      </c>
      <c r="C3866" t="str">
        <f>IFERROR(VLOOKUP(ILACLISTE[[#This Row],[NAME]],Table5[#All],2,0),"")</f>
        <v/>
      </c>
    </row>
    <row r="3867" spans="1:3" x14ac:dyDescent="0.3">
      <c r="A3867" s="5" t="s">
        <v>4513</v>
      </c>
      <c r="B3867" t="s">
        <v>10061</v>
      </c>
      <c r="C3867" t="str">
        <f>IFERROR(VLOOKUP(ILACLISTE[[#This Row],[NAME]],Table5[#All],2,0),"")</f>
        <v/>
      </c>
    </row>
    <row r="3868" spans="1:3" x14ac:dyDescent="0.3">
      <c r="A3868" s="5" t="s">
        <v>4514</v>
      </c>
      <c r="B3868" t="s">
        <v>10062</v>
      </c>
      <c r="C3868" t="str">
        <f>IFERROR(VLOOKUP(ILACLISTE[[#This Row],[NAME]],Table5[#All],2,0),"")</f>
        <v/>
      </c>
    </row>
    <row r="3869" spans="1:3" x14ac:dyDescent="0.3">
      <c r="A3869" s="5" t="s">
        <v>4515</v>
      </c>
      <c r="B3869" t="s">
        <v>10063</v>
      </c>
      <c r="C3869" t="str">
        <f>IFERROR(VLOOKUP(ILACLISTE[[#This Row],[NAME]],Table5[#All],2,0),"")</f>
        <v/>
      </c>
    </row>
    <row r="3870" spans="1:3" x14ac:dyDescent="0.3">
      <c r="A3870" s="5" t="s">
        <v>4516</v>
      </c>
      <c r="B3870" t="s">
        <v>10064</v>
      </c>
      <c r="C3870" t="str">
        <f>IFERROR(VLOOKUP(ILACLISTE[[#This Row],[NAME]],Table5[#All],2,0),"")</f>
        <v/>
      </c>
    </row>
    <row r="3871" spans="1:3" x14ac:dyDescent="0.3">
      <c r="A3871" s="5" t="s">
        <v>4517</v>
      </c>
      <c r="B3871" t="s">
        <v>10065</v>
      </c>
      <c r="C3871" t="str">
        <f>IFERROR(VLOOKUP(ILACLISTE[[#This Row],[NAME]],Table5[#All],2,0),"")</f>
        <v/>
      </c>
    </row>
    <row r="3872" spans="1:3" x14ac:dyDescent="0.3">
      <c r="A3872" s="5" t="s">
        <v>4518</v>
      </c>
      <c r="B3872" t="s">
        <v>491</v>
      </c>
      <c r="C3872" t="str">
        <f>IFERROR(VLOOKUP(ILACLISTE[[#This Row],[NAME]],Table5[#All],2,0),"")</f>
        <v/>
      </c>
    </row>
    <row r="3873" spans="1:3" x14ac:dyDescent="0.3">
      <c r="A3873" s="5" t="s">
        <v>4519</v>
      </c>
      <c r="B3873" t="s">
        <v>10066</v>
      </c>
      <c r="C3873" t="str">
        <f>IFERROR(VLOOKUP(ILACLISTE[[#This Row],[NAME]],Table5[#All],2,0),"")</f>
        <v/>
      </c>
    </row>
    <row r="3874" spans="1:3" x14ac:dyDescent="0.3">
      <c r="A3874" s="5" t="s">
        <v>4520</v>
      </c>
      <c r="B3874" t="s">
        <v>492</v>
      </c>
      <c r="C3874" t="str">
        <f>IFERROR(VLOOKUP(ILACLISTE[[#This Row],[NAME]],Table5[#All],2,0),"")</f>
        <v/>
      </c>
    </row>
    <row r="3875" spans="1:3" x14ac:dyDescent="0.3">
      <c r="A3875" s="5" t="s">
        <v>4521</v>
      </c>
      <c r="B3875" t="s">
        <v>10067</v>
      </c>
      <c r="C3875" t="str">
        <f>IFERROR(VLOOKUP(ILACLISTE[[#This Row],[NAME]],Table5[#All],2,0),"")</f>
        <v/>
      </c>
    </row>
    <row r="3876" spans="1:3" x14ac:dyDescent="0.3">
      <c r="A3876" s="5" t="s">
        <v>4522</v>
      </c>
      <c r="B3876" t="s">
        <v>10068</v>
      </c>
      <c r="C3876" t="str">
        <f>IFERROR(VLOOKUP(ILACLISTE[[#This Row],[NAME]],Table5[#All],2,0),"")</f>
        <v/>
      </c>
    </row>
    <row r="3877" spans="1:3" x14ac:dyDescent="0.3">
      <c r="A3877" s="5" t="s">
        <v>10069</v>
      </c>
      <c r="B3877" t="s">
        <v>10070</v>
      </c>
      <c r="C3877" t="str">
        <f>IFERROR(VLOOKUP(ILACLISTE[[#This Row],[NAME]],Table5[#All],2,0),"")</f>
        <v/>
      </c>
    </row>
    <row r="3878" spans="1:3" x14ac:dyDescent="0.3">
      <c r="A3878" s="5" t="s">
        <v>4523</v>
      </c>
      <c r="B3878" t="s">
        <v>10071</v>
      </c>
      <c r="C3878" t="str">
        <f>IFERROR(VLOOKUP(ILACLISTE[[#This Row],[NAME]],Table5[#All],2,0),"")</f>
        <v/>
      </c>
    </row>
    <row r="3879" spans="1:3" x14ac:dyDescent="0.3">
      <c r="A3879" s="5" t="s">
        <v>4524</v>
      </c>
      <c r="B3879" t="s">
        <v>10072</v>
      </c>
      <c r="C3879" t="str">
        <f>IFERROR(VLOOKUP(ILACLISTE[[#This Row],[NAME]],Table5[#All],2,0),"")</f>
        <v/>
      </c>
    </row>
    <row r="3880" spans="1:3" x14ac:dyDescent="0.3">
      <c r="A3880" s="5" t="s">
        <v>4525</v>
      </c>
      <c r="B3880" t="s">
        <v>10073</v>
      </c>
      <c r="C3880" t="str">
        <f>IFERROR(VLOOKUP(ILACLISTE[[#This Row],[NAME]],Table5[#All],2,0),"")</f>
        <v/>
      </c>
    </row>
    <row r="3881" spans="1:3" x14ac:dyDescent="0.3">
      <c r="A3881" s="5" t="s">
        <v>4526</v>
      </c>
      <c r="B3881" t="s">
        <v>10074</v>
      </c>
      <c r="C3881" t="str">
        <f>IFERROR(VLOOKUP(ILACLISTE[[#This Row],[NAME]],Table5[#All],2,0),"")</f>
        <v/>
      </c>
    </row>
    <row r="3882" spans="1:3" x14ac:dyDescent="0.3">
      <c r="A3882" s="5" t="s">
        <v>4527</v>
      </c>
      <c r="B3882" t="s">
        <v>10075</v>
      </c>
      <c r="C3882" t="str">
        <f>IFERROR(VLOOKUP(ILACLISTE[[#This Row],[NAME]],Table5[#All],2,0),"")</f>
        <v/>
      </c>
    </row>
    <row r="3883" spans="1:3" x14ac:dyDescent="0.3">
      <c r="A3883" s="5" t="s">
        <v>4528</v>
      </c>
      <c r="B3883" t="s">
        <v>10076</v>
      </c>
      <c r="C3883" t="str">
        <f>IFERROR(VLOOKUP(ILACLISTE[[#This Row],[NAME]],Table5[#All],2,0),"")</f>
        <v/>
      </c>
    </row>
    <row r="3884" spans="1:3" x14ac:dyDescent="0.3">
      <c r="A3884" s="5" t="s">
        <v>4529</v>
      </c>
      <c r="B3884" t="s">
        <v>10077</v>
      </c>
      <c r="C3884" t="str">
        <f>IFERROR(VLOOKUP(ILACLISTE[[#This Row],[NAME]],Table5[#All],2,0),"")</f>
        <v/>
      </c>
    </row>
    <row r="3885" spans="1:3" x14ac:dyDescent="0.3">
      <c r="A3885" s="5" t="s">
        <v>4530</v>
      </c>
      <c r="B3885" t="s">
        <v>10078</v>
      </c>
      <c r="C3885" t="str">
        <f>IFERROR(VLOOKUP(ILACLISTE[[#This Row],[NAME]],Table5[#All],2,0),"")</f>
        <v/>
      </c>
    </row>
    <row r="3886" spans="1:3" x14ac:dyDescent="0.3">
      <c r="A3886" s="5" t="s">
        <v>4531</v>
      </c>
      <c r="B3886" t="s">
        <v>10079</v>
      </c>
      <c r="C3886" t="str">
        <f>IFERROR(VLOOKUP(ILACLISTE[[#This Row],[NAME]],Table5[#All],2,0),"")</f>
        <v/>
      </c>
    </row>
    <row r="3887" spans="1:3" x14ac:dyDescent="0.3">
      <c r="A3887" s="5" t="s">
        <v>4532</v>
      </c>
      <c r="B3887" t="s">
        <v>10080</v>
      </c>
      <c r="C3887" t="str">
        <f>IFERROR(VLOOKUP(ILACLISTE[[#This Row],[NAME]],Table5[#All],2,0),"")</f>
        <v/>
      </c>
    </row>
    <row r="3888" spans="1:3" x14ac:dyDescent="0.3">
      <c r="A3888" s="5" t="s">
        <v>4533</v>
      </c>
      <c r="B3888" t="s">
        <v>10081</v>
      </c>
      <c r="C3888" t="str">
        <f>IFERROR(VLOOKUP(ILACLISTE[[#This Row],[NAME]],Table5[#All],2,0),"")</f>
        <v/>
      </c>
    </row>
    <row r="3889" spans="1:3" x14ac:dyDescent="0.3">
      <c r="A3889" s="5" t="s">
        <v>4534</v>
      </c>
      <c r="B3889" t="s">
        <v>10082</v>
      </c>
      <c r="C3889" t="str">
        <f>IFERROR(VLOOKUP(ILACLISTE[[#This Row],[NAME]],Table5[#All],2,0),"")</f>
        <v/>
      </c>
    </row>
    <row r="3890" spans="1:3" x14ac:dyDescent="0.3">
      <c r="A3890" s="5" t="s">
        <v>4535</v>
      </c>
      <c r="B3890" t="s">
        <v>10083</v>
      </c>
      <c r="C3890" t="str">
        <f>IFERROR(VLOOKUP(ILACLISTE[[#This Row],[NAME]],Table5[#All],2,0),"")</f>
        <v/>
      </c>
    </row>
    <row r="3891" spans="1:3" x14ac:dyDescent="0.3">
      <c r="A3891" s="5" t="s">
        <v>4536</v>
      </c>
      <c r="B3891" t="s">
        <v>10084</v>
      </c>
      <c r="C3891" t="str">
        <f>IFERROR(VLOOKUP(ILACLISTE[[#This Row],[NAME]],Table5[#All],2,0),"")</f>
        <v/>
      </c>
    </row>
    <row r="3892" spans="1:3" x14ac:dyDescent="0.3">
      <c r="A3892" s="5" t="s">
        <v>4537</v>
      </c>
      <c r="B3892" t="s">
        <v>10085</v>
      </c>
      <c r="C3892" t="str">
        <f>IFERROR(VLOOKUP(ILACLISTE[[#This Row],[NAME]],Table5[#All],2,0),"")</f>
        <v/>
      </c>
    </row>
    <row r="3893" spans="1:3" x14ac:dyDescent="0.3">
      <c r="A3893" s="5" t="s">
        <v>4538</v>
      </c>
      <c r="B3893" t="s">
        <v>10086</v>
      </c>
      <c r="C3893" t="str">
        <f>IFERROR(VLOOKUP(ILACLISTE[[#This Row],[NAME]],Table5[#All],2,0),"")</f>
        <v/>
      </c>
    </row>
    <row r="3894" spans="1:3" x14ac:dyDescent="0.3">
      <c r="A3894" s="5" t="s">
        <v>4539</v>
      </c>
      <c r="B3894" t="s">
        <v>10087</v>
      </c>
      <c r="C3894" t="str">
        <f>IFERROR(VLOOKUP(ILACLISTE[[#This Row],[NAME]],Table5[#All],2,0),"")</f>
        <v/>
      </c>
    </row>
    <row r="3895" spans="1:3" x14ac:dyDescent="0.3">
      <c r="A3895" s="5" t="s">
        <v>4540</v>
      </c>
      <c r="B3895" t="s">
        <v>10088</v>
      </c>
      <c r="C3895" t="str">
        <f>IFERROR(VLOOKUP(ILACLISTE[[#This Row],[NAME]],Table5[#All],2,0),"")</f>
        <v/>
      </c>
    </row>
    <row r="3896" spans="1:3" x14ac:dyDescent="0.3">
      <c r="A3896" s="5" t="s">
        <v>4541</v>
      </c>
      <c r="B3896" t="s">
        <v>493</v>
      </c>
      <c r="C3896" t="str">
        <f>IFERROR(VLOOKUP(ILACLISTE[[#This Row],[NAME]],Table5[#All],2,0),"")</f>
        <v/>
      </c>
    </row>
    <row r="3897" spans="1:3" x14ac:dyDescent="0.3">
      <c r="A3897" s="5" t="s">
        <v>4542</v>
      </c>
      <c r="B3897" t="s">
        <v>10089</v>
      </c>
      <c r="C3897" t="str">
        <f>IFERROR(VLOOKUP(ILACLISTE[[#This Row],[NAME]],Table5[#All],2,0),"")</f>
        <v/>
      </c>
    </row>
    <row r="3898" spans="1:3" x14ac:dyDescent="0.3">
      <c r="A3898" s="5" t="s">
        <v>4543</v>
      </c>
      <c r="B3898" t="s">
        <v>10090</v>
      </c>
      <c r="C3898" t="str">
        <f>IFERROR(VLOOKUP(ILACLISTE[[#This Row],[NAME]],Table5[#All],2,0),"")</f>
        <v/>
      </c>
    </row>
    <row r="3899" spans="1:3" x14ac:dyDescent="0.3">
      <c r="A3899" s="5" t="s">
        <v>4544</v>
      </c>
      <c r="B3899" t="s">
        <v>10091</v>
      </c>
      <c r="C3899" t="str">
        <f>IFERROR(VLOOKUP(ILACLISTE[[#This Row],[NAME]],Table5[#All],2,0),"")</f>
        <v/>
      </c>
    </row>
    <row r="3900" spans="1:3" x14ac:dyDescent="0.3">
      <c r="A3900" s="5" t="s">
        <v>4545</v>
      </c>
      <c r="B3900" t="s">
        <v>10092</v>
      </c>
      <c r="C3900" t="str">
        <f>IFERROR(VLOOKUP(ILACLISTE[[#This Row],[NAME]],Table5[#All],2,0),"")</f>
        <v/>
      </c>
    </row>
    <row r="3901" spans="1:3" x14ac:dyDescent="0.3">
      <c r="A3901" s="5" t="s">
        <v>4546</v>
      </c>
      <c r="B3901" t="s">
        <v>10093</v>
      </c>
      <c r="C3901" t="str">
        <f>IFERROR(VLOOKUP(ILACLISTE[[#This Row],[NAME]],Table5[#All],2,0),"")</f>
        <v/>
      </c>
    </row>
    <row r="3902" spans="1:3" x14ac:dyDescent="0.3">
      <c r="A3902" s="5" t="s">
        <v>4547</v>
      </c>
      <c r="B3902" t="s">
        <v>494</v>
      </c>
      <c r="C3902" t="str">
        <f>IFERROR(VLOOKUP(ILACLISTE[[#This Row],[NAME]],Table5[#All],2,0),"")</f>
        <v/>
      </c>
    </row>
    <row r="3903" spans="1:3" x14ac:dyDescent="0.3">
      <c r="A3903" s="5" t="s">
        <v>4548</v>
      </c>
      <c r="B3903" t="s">
        <v>10094</v>
      </c>
      <c r="C3903" t="str">
        <f>IFERROR(VLOOKUP(ILACLISTE[[#This Row],[NAME]],Table5[#All],2,0),"")</f>
        <v/>
      </c>
    </row>
    <row r="3904" spans="1:3" x14ac:dyDescent="0.3">
      <c r="A3904" s="5" t="s">
        <v>4549</v>
      </c>
      <c r="B3904" t="s">
        <v>495</v>
      </c>
      <c r="C3904" t="str">
        <f>IFERROR(VLOOKUP(ILACLISTE[[#This Row],[NAME]],Table5[#All],2,0),"")</f>
        <v/>
      </c>
    </row>
    <row r="3905" spans="1:3" x14ac:dyDescent="0.3">
      <c r="A3905" s="5" t="s">
        <v>4550</v>
      </c>
      <c r="B3905" t="s">
        <v>10095</v>
      </c>
      <c r="C3905" t="str">
        <f>IFERROR(VLOOKUP(ILACLISTE[[#This Row],[NAME]],Table5[#All],2,0),"")</f>
        <v/>
      </c>
    </row>
    <row r="3906" spans="1:3" x14ac:dyDescent="0.3">
      <c r="A3906" s="5" t="s">
        <v>4551</v>
      </c>
      <c r="B3906" t="s">
        <v>10096</v>
      </c>
      <c r="C3906" t="str">
        <f>IFERROR(VLOOKUP(ILACLISTE[[#This Row],[NAME]],Table5[#All],2,0),"")</f>
        <v/>
      </c>
    </row>
    <row r="3907" spans="1:3" x14ac:dyDescent="0.3">
      <c r="A3907" s="5" t="s">
        <v>4552</v>
      </c>
      <c r="B3907" t="s">
        <v>496</v>
      </c>
      <c r="C3907" t="str">
        <f>IFERROR(VLOOKUP(ILACLISTE[[#This Row],[NAME]],Table5[#All],2,0),"")</f>
        <v/>
      </c>
    </row>
    <row r="3908" spans="1:3" x14ac:dyDescent="0.3">
      <c r="A3908" s="5" t="s">
        <v>4553</v>
      </c>
      <c r="B3908" t="s">
        <v>10097</v>
      </c>
      <c r="C3908" t="str">
        <f>IFERROR(VLOOKUP(ILACLISTE[[#This Row],[NAME]],Table5[#All],2,0),"")</f>
        <v/>
      </c>
    </row>
    <row r="3909" spans="1:3" x14ac:dyDescent="0.3">
      <c r="A3909" s="5" t="s">
        <v>4554</v>
      </c>
      <c r="B3909" t="s">
        <v>10098</v>
      </c>
      <c r="C3909" t="str">
        <f>IFERROR(VLOOKUP(ILACLISTE[[#This Row],[NAME]],Table5[#All],2,0),"")</f>
        <v/>
      </c>
    </row>
    <row r="3910" spans="1:3" x14ac:dyDescent="0.3">
      <c r="A3910" s="5" t="s">
        <v>4555</v>
      </c>
      <c r="B3910" t="s">
        <v>10099</v>
      </c>
      <c r="C3910" t="str">
        <f>IFERROR(VLOOKUP(ILACLISTE[[#This Row],[NAME]],Table5[#All],2,0),"")</f>
        <v/>
      </c>
    </row>
    <row r="3911" spans="1:3" x14ac:dyDescent="0.3">
      <c r="A3911" s="5" t="s">
        <v>4556</v>
      </c>
      <c r="B3911" t="s">
        <v>10100</v>
      </c>
      <c r="C3911" t="str">
        <f>IFERROR(VLOOKUP(ILACLISTE[[#This Row],[NAME]],Table5[#All],2,0),"")</f>
        <v/>
      </c>
    </row>
    <row r="3912" spans="1:3" x14ac:dyDescent="0.3">
      <c r="A3912" s="5" t="s">
        <v>4557</v>
      </c>
      <c r="B3912" t="s">
        <v>10101</v>
      </c>
      <c r="C3912" t="str">
        <f>IFERROR(VLOOKUP(ILACLISTE[[#This Row],[NAME]],Table5[#All],2,0),"")</f>
        <v/>
      </c>
    </row>
    <row r="3913" spans="1:3" x14ac:dyDescent="0.3">
      <c r="A3913" s="5" t="s">
        <v>4558</v>
      </c>
      <c r="B3913" t="s">
        <v>10102</v>
      </c>
      <c r="C3913" t="str">
        <f>IFERROR(VLOOKUP(ILACLISTE[[#This Row],[NAME]],Table5[#All],2,0),"")</f>
        <v/>
      </c>
    </row>
    <row r="3914" spans="1:3" x14ac:dyDescent="0.3">
      <c r="A3914" s="5" t="s">
        <v>4559</v>
      </c>
      <c r="B3914" t="s">
        <v>10103</v>
      </c>
      <c r="C3914" t="str">
        <f>IFERROR(VLOOKUP(ILACLISTE[[#This Row],[NAME]],Table5[#All],2,0),"")</f>
        <v/>
      </c>
    </row>
    <row r="3915" spans="1:3" x14ac:dyDescent="0.3">
      <c r="A3915" s="5" t="s">
        <v>4560</v>
      </c>
      <c r="B3915" t="s">
        <v>10104</v>
      </c>
      <c r="C3915" t="str">
        <f>IFERROR(VLOOKUP(ILACLISTE[[#This Row],[NAME]],Table5[#All],2,0),"")</f>
        <v/>
      </c>
    </row>
    <row r="3916" spans="1:3" x14ac:dyDescent="0.3">
      <c r="A3916" s="5" t="s">
        <v>4561</v>
      </c>
      <c r="B3916" t="s">
        <v>10105</v>
      </c>
      <c r="C3916" t="str">
        <f>IFERROR(VLOOKUP(ILACLISTE[[#This Row],[NAME]],Table5[#All],2,0),"")</f>
        <v/>
      </c>
    </row>
    <row r="3917" spans="1:3" x14ac:dyDescent="0.3">
      <c r="A3917" s="5" t="s">
        <v>4562</v>
      </c>
      <c r="B3917" t="s">
        <v>10106</v>
      </c>
      <c r="C3917" t="str">
        <f>IFERROR(VLOOKUP(ILACLISTE[[#This Row],[NAME]],Table5[#All],2,0),"")</f>
        <v/>
      </c>
    </row>
    <row r="3918" spans="1:3" x14ac:dyDescent="0.3">
      <c r="A3918" s="5" t="s">
        <v>4563</v>
      </c>
      <c r="B3918" t="s">
        <v>10107</v>
      </c>
      <c r="C3918" t="str">
        <f>IFERROR(VLOOKUP(ILACLISTE[[#This Row],[NAME]],Table5[#All],2,0),"")</f>
        <v/>
      </c>
    </row>
    <row r="3919" spans="1:3" x14ac:dyDescent="0.3">
      <c r="A3919" s="5" t="s">
        <v>4564</v>
      </c>
      <c r="B3919" t="s">
        <v>10108</v>
      </c>
      <c r="C3919" t="str">
        <f>IFERROR(VLOOKUP(ILACLISTE[[#This Row],[NAME]],Table5[#All],2,0),"")</f>
        <v/>
      </c>
    </row>
    <row r="3920" spans="1:3" x14ac:dyDescent="0.3">
      <c r="A3920" s="5" t="s">
        <v>4565</v>
      </c>
      <c r="B3920" t="s">
        <v>10109</v>
      </c>
      <c r="C3920" t="str">
        <f>IFERROR(VLOOKUP(ILACLISTE[[#This Row],[NAME]],Table5[#All],2,0),"")</f>
        <v/>
      </c>
    </row>
    <row r="3921" spans="1:3" x14ac:dyDescent="0.3">
      <c r="A3921" s="5" t="s">
        <v>4566</v>
      </c>
      <c r="B3921" t="s">
        <v>497</v>
      </c>
      <c r="C3921" t="str">
        <f>IFERROR(VLOOKUP(ILACLISTE[[#This Row],[NAME]],Table5[#All],2,0),"")</f>
        <v/>
      </c>
    </row>
    <row r="3922" spans="1:3" x14ac:dyDescent="0.3">
      <c r="A3922" s="5" t="s">
        <v>4567</v>
      </c>
      <c r="B3922" t="s">
        <v>10110</v>
      </c>
      <c r="C3922" t="str">
        <f>IFERROR(VLOOKUP(ILACLISTE[[#This Row],[NAME]],Table5[#All],2,0),"")</f>
        <v/>
      </c>
    </row>
    <row r="3923" spans="1:3" x14ac:dyDescent="0.3">
      <c r="A3923" s="5" t="s">
        <v>4568</v>
      </c>
      <c r="B3923" t="s">
        <v>498</v>
      </c>
      <c r="C3923" t="str">
        <f>IFERROR(VLOOKUP(ILACLISTE[[#This Row],[NAME]],Table5[#All],2,0),"")</f>
        <v/>
      </c>
    </row>
    <row r="3924" spans="1:3" x14ac:dyDescent="0.3">
      <c r="A3924" s="5" t="s">
        <v>4569</v>
      </c>
      <c r="B3924" t="s">
        <v>499</v>
      </c>
      <c r="C3924" t="str">
        <f>IFERROR(VLOOKUP(ILACLISTE[[#This Row],[NAME]],Table5[#All],2,0),"")</f>
        <v/>
      </c>
    </row>
    <row r="3925" spans="1:3" x14ac:dyDescent="0.3">
      <c r="A3925" s="5" t="s">
        <v>4570</v>
      </c>
      <c r="B3925" t="s">
        <v>10111</v>
      </c>
      <c r="C3925" t="str">
        <f>IFERROR(VLOOKUP(ILACLISTE[[#This Row],[NAME]],Table5[#All],2,0),"")</f>
        <v/>
      </c>
    </row>
    <row r="3926" spans="1:3" x14ac:dyDescent="0.3">
      <c r="A3926" s="5" t="s">
        <v>4571</v>
      </c>
      <c r="B3926" t="s">
        <v>10112</v>
      </c>
      <c r="C3926" t="str">
        <f>IFERROR(VLOOKUP(ILACLISTE[[#This Row],[NAME]],Table5[#All],2,0),"")</f>
        <v/>
      </c>
    </row>
    <row r="3927" spans="1:3" x14ac:dyDescent="0.3">
      <c r="A3927" s="5" t="s">
        <v>4572</v>
      </c>
      <c r="B3927" t="s">
        <v>10113</v>
      </c>
      <c r="C3927" t="str">
        <f>IFERROR(VLOOKUP(ILACLISTE[[#This Row],[NAME]],Table5[#All],2,0),"")</f>
        <v/>
      </c>
    </row>
    <row r="3928" spans="1:3" x14ac:dyDescent="0.3">
      <c r="A3928" s="5" t="s">
        <v>4573</v>
      </c>
      <c r="B3928" t="s">
        <v>10114</v>
      </c>
      <c r="C3928" t="str">
        <f>IFERROR(VLOOKUP(ILACLISTE[[#This Row],[NAME]],Table5[#All],2,0),"")</f>
        <v/>
      </c>
    </row>
    <row r="3929" spans="1:3" x14ac:dyDescent="0.3">
      <c r="A3929" s="5" t="s">
        <v>4574</v>
      </c>
      <c r="B3929" t="s">
        <v>10115</v>
      </c>
      <c r="C3929" t="str">
        <f>IFERROR(VLOOKUP(ILACLISTE[[#This Row],[NAME]],Table5[#All],2,0),"")</f>
        <v/>
      </c>
    </row>
    <row r="3930" spans="1:3" x14ac:dyDescent="0.3">
      <c r="A3930" s="5" t="s">
        <v>4575</v>
      </c>
      <c r="B3930" t="s">
        <v>10116</v>
      </c>
      <c r="C3930" t="str">
        <f>IFERROR(VLOOKUP(ILACLISTE[[#This Row],[NAME]],Table5[#All],2,0),"")</f>
        <v/>
      </c>
    </row>
    <row r="3931" spans="1:3" x14ac:dyDescent="0.3">
      <c r="A3931" s="5" t="s">
        <v>4576</v>
      </c>
      <c r="B3931" t="s">
        <v>500</v>
      </c>
      <c r="C3931" t="str">
        <f>IFERROR(VLOOKUP(ILACLISTE[[#This Row],[NAME]],Table5[#All],2,0),"")</f>
        <v/>
      </c>
    </row>
    <row r="3932" spans="1:3" x14ac:dyDescent="0.3">
      <c r="A3932" s="5" t="s">
        <v>4577</v>
      </c>
      <c r="B3932" t="s">
        <v>501</v>
      </c>
      <c r="C3932" t="str">
        <f>IFERROR(VLOOKUP(ILACLISTE[[#This Row],[NAME]],Table5[#All],2,0),"")</f>
        <v/>
      </c>
    </row>
    <row r="3933" spans="1:3" x14ac:dyDescent="0.3">
      <c r="A3933" s="5" t="s">
        <v>4578</v>
      </c>
      <c r="B3933" t="s">
        <v>10117</v>
      </c>
      <c r="C3933" t="str">
        <f>IFERROR(VLOOKUP(ILACLISTE[[#This Row],[NAME]],Table5[#All],2,0),"")</f>
        <v/>
      </c>
    </row>
    <row r="3934" spans="1:3" x14ac:dyDescent="0.3">
      <c r="A3934" s="5" t="s">
        <v>4579</v>
      </c>
      <c r="B3934" t="s">
        <v>10118</v>
      </c>
      <c r="C3934" t="str">
        <f>IFERROR(VLOOKUP(ILACLISTE[[#This Row],[NAME]],Table5[#All],2,0),"")</f>
        <v/>
      </c>
    </row>
    <row r="3935" spans="1:3" x14ac:dyDescent="0.3">
      <c r="A3935" s="5" t="s">
        <v>4580</v>
      </c>
      <c r="B3935" t="s">
        <v>10119</v>
      </c>
      <c r="C3935" t="str">
        <f>IFERROR(VLOOKUP(ILACLISTE[[#This Row],[NAME]],Table5[#All],2,0),"")</f>
        <v/>
      </c>
    </row>
    <row r="3936" spans="1:3" x14ac:dyDescent="0.3">
      <c r="A3936" s="5" t="s">
        <v>4581</v>
      </c>
      <c r="B3936" t="s">
        <v>10120</v>
      </c>
      <c r="C3936" t="str">
        <f>IFERROR(VLOOKUP(ILACLISTE[[#This Row],[NAME]],Table5[#All],2,0),"")</f>
        <v/>
      </c>
    </row>
    <row r="3937" spans="1:3" x14ac:dyDescent="0.3">
      <c r="A3937" s="5" t="s">
        <v>4582</v>
      </c>
      <c r="B3937" t="s">
        <v>10121</v>
      </c>
      <c r="C3937" t="str">
        <f>IFERROR(VLOOKUP(ILACLISTE[[#This Row],[NAME]],Table5[#All],2,0),"")</f>
        <v/>
      </c>
    </row>
    <row r="3938" spans="1:3" x14ac:dyDescent="0.3">
      <c r="A3938" s="5" t="s">
        <v>4583</v>
      </c>
      <c r="B3938" t="s">
        <v>10122</v>
      </c>
      <c r="C3938" t="str">
        <f>IFERROR(VLOOKUP(ILACLISTE[[#This Row],[NAME]],Table5[#All],2,0),"")</f>
        <v/>
      </c>
    </row>
    <row r="3939" spans="1:3" x14ac:dyDescent="0.3">
      <c r="A3939" s="5" t="s">
        <v>4584</v>
      </c>
      <c r="B3939" t="s">
        <v>10123</v>
      </c>
      <c r="C3939" t="str">
        <f>IFERROR(VLOOKUP(ILACLISTE[[#This Row],[NAME]],Table5[#All],2,0),"")</f>
        <v/>
      </c>
    </row>
    <row r="3940" spans="1:3" x14ac:dyDescent="0.3">
      <c r="A3940" s="5" t="s">
        <v>4585</v>
      </c>
      <c r="B3940" t="s">
        <v>10124</v>
      </c>
      <c r="C3940" t="str">
        <f>IFERROR(VLOOKUP(ILACLISTE[[#This Row],[NAME]],Table5[#All],2,0),"")</f>
        <v/>
      </c>
    </row>
    <row r="3941" spans="1:3" x14ac:dyDescent="0.3">
      <c r="A3941" s="5" t="s">
        <v>4586</v>
      </c>
      <c r="B3941" t="s">
        <v>10125</v>
      </c>
      <c r="C3941" t="str">
        <f>IFERROR(VLOOKUP(ILACLISTE[[#This Row],[NAME]],Table5[#All],2,0),"")</f>
        <v/>
      </c>
    </row>
    <row r="3942" spans="1:3" x14ac:dyDescent="0.3">
      <c r="A3942" s="5" t="s">
        <v>4587</v>
      </c>
      <c r="B3942" t="s">
        <v>10126</v>
      </c>
      <c r="C3942" t="str">
        <f>IFERROR(VLOOKUP(ILACLISTE[[#This Row],[NAME]],Table5[#All],2,0),"")</f>
        <v/>
      </c>
    </row>
    <row r="3943" spans="1:3" x14ac:dyDescent="0.3">
      <c r="A3943" s="5" t="s">
        <v>4588</v>
      </c>
      <c r="B3943" t="s">
        <v>10127</v>
      </c>
      <c r="C3943" t="str">
        <f>IFERROR(VLOOKUP(ILACLISTE[[#This Row],[NAME]],Table5[#All],2,0),"")</f>
        <v/>
      </c>
    </row>
    <row r="3944" spans="1:3" x14ac:dyDescent="0.3">
      <c r="A3944" s="5" t="s">
        <v>4589</v>
      </c>
      <c r="B3944" t="s">
        <v>10128</v>
      </c>
      <c r="C3944" t="str">
        <f>IFERROR(VLOOKUP(ILACLISTE[[#This Row],[NAME]],Table5[#All],2,0),"")</f>
        <v/>
      </c>
    </row>
    <row r="3945" spans="1:3" x14ac:dyDescent="0.3">
      <c r="A3945" s="5" t="s">
        <v>4590</v>
      </c>
      <c r="B3945" t="s">
        <v>10129</v>
      </c>
      <c r="C3945" t="str">
        <f>IFERROR(VLOOKUP(ILACLISTE[[#This Row],[NAME]],Table5[#All],2,0),"")</f>
        <v/>
      </c>
    </row>
    <row r="3946" spans="1:3" x14ac:dyDescent="0.3">
      <c r="A3946" s="5" t="s">
        <v>4591</v>
      </c>
      <c r="B3946" t="s">
        <v>10130</v>
      </c>
      <c r="C3946" t="str">
        <f>IFERROR(VLOOKUP(ILACLISTE[[#This Row],[NAME]],Table5[#All],2,0),"")</f>
        <v/>
      </c>
    </row>
    <row r="3947" spans="1:3" x14ac:dyDescent="0.3">
      <c r="A3947" s="5" t="s">
        <v>4592</v>
      </c>
      <c r="B3947" t="s">
        <v>10131</v>
      </c>
      <c r="C3947" t="str">
        <f>IFERROR(VLOOKUP(ILACLISTE[[#This Row],[NAME]],Table5[#All],2,0),"")</f>
        <v/>
      </c>
    </row>
    <row r="3948" spans="1:3" x14ac:dyDescent="0.3">
      <c r="A3948" s="5" t="s">
        <v>4593</v>
      </c>
      <c r="B3948" t="s">
        <v>10132</v>
      </c>
      <c r="C3948" t="str">
        <f>IFERROR(VLOOKUP(ILACLISTE[[#This Row],[NAME]],Table5[#All],2,0),"")</f>
        <v/>
      </c>
    </row>
    <row r="3949" spans="1:3" x14ac:dyDescent="0.3">
      <c r="A3949" s="5" t="s">
        <v>4594</v>
      </c>
      <c r="B3949" t="s">
        <v>10133</v>
      </c>
      <c r="C3949" t="str">
        <f>IFERROR(VLOOKUP(ILACLISTE[[#This Row],[NAME]],Table5[#All],2,0),"")</f>
        <v/>
      </c>
    </row>
    <row r="3950" spans="1:3" x14ac:dyDescent="0.3">
      <c r="A3950" s="5" t="s">
        <v>4595</v>
      </c>
      <c r="B3950" t="s">
        <v>10134</v>
      </c>
      <c r="C3950" t="str">
        <f>IFERROR(VLOOKUP(ILACLISTE[[#This Row],[NAME]],Table5[#All],2,0),"")</f>
        <v/>
      </c>
    </row>
    <row r="3951" spans="1:3" x14ac:dyDescent="0.3">
      <c r="A3951" s="5" t="s">
        <v>4596</v>
      </c>
      <c r="B3951" t="s">
        <v>10135</v>
      </c>
      <c r="C3951" t="str">
        <f>IFERROR(VLOOKUP(ILACLISTE[[#This Row],[NAME]],Table5[#All],2,0),"")</f>
        <v/>
      </c>
    </row>
    <row r="3952" spans="1:3" x14ac:dyDescent="0.3">
      <c r="A3952" s="5" t="s">
        <v>4597</v>
      </c>
      <c r="B3952" t="s">
        <v>10136</v>
      </c>
      <c r="C3952" t="str">
        <f>IFERROR(VLOOKUP(ILACLISTE[[#This Row],[NAME]],Table5[#All],2,0),"")</f>
        <v/>
      </c>
    </row>
    <row r="3953" spans="1:3" x14ac:dyDescent="0.3">
      <c r="A3953" s="5" t="s">
        <v>4598</v>
      </c>
      <c r="B3953" t="s">
        <v>10137</v>
      </c>
      <c r="C3953" t="str">
        <f>IFERROR(VLOOKUP(ILACLISTE[[#This Row],[NAME]],Table5[#All],2,0),"")</f>
        <v/>
      </c>
    </row>
    <row r="3954" spans="1:3" x14ac:dyDescent="0.3">
      <c r="A3954" s="5" t="s">
        <v>4599</v>
      </c>
      <c r="B3954" t="s">
        <v>10138</v>
      </c>
      <c r="C3954" t="str">
        <f>IFERROR(VLOOKUP(ILACLISTE[[#This Row],[NAME]],Table5[#All],2,0),"")</f>
        <v/>
      </c>
    </row>
    <row r="3955" spans="1:3" x14ac:dyDescent="0.3">
      <c r="A3955" s="5" t="s">
        <v>4600</v>
      </c>
      <c r="B3955" t="s">
        <v>10139</v>
      </c>
      <c r="C3955" t="str">
        <f>IFERROR(VLOOKUP(ILACLISTE[[#This Row],[NAME]],Table5[#All],2,0),"")</f>
        <v/>
      </c>
    </row>
    <row r="3956" spans="1:3" x14ac:dyDescent="0.3">
      <c r="A3956" s="5" t="s">
        <v>4601</v>
      </c>
      <c r="B3956" t="s">
        <v>10140</v>
      </c>
      <c r="C3956" t="str">
        <f>IFERROR(VLOOKUP(ILACLISTE[[#This Row],[NAME]],Table5[#All],2,0),"")</f>
        <v/>
      </c>
    </row>
    <row r="3957" spans="1:3" x14ac:dyDescent="0.3">
      <c r="A3957" s="5" t="s">
        <v>4602</v>
      </c>
      <c r="B3957" t="s">
        <v>10141</v>
      </c>
      <c r="C3957" t="str">
        <f>IFERROR(VLOOKUP(ILACLISTE[[#This Row],[NAME]],Table5[#All],2,0),"")</f>
        <v/>
      </c>
    </row>
    <row r="3958" spans="1:3" x14ac:dyDescent="0.3">
      <c r="A3958" s="5" t="s">
        <v>4603</v>
      </c>
      <c r="B3958" t="s">
        <v>10142</v>
      </c>
      <c r="C3958" t="str">
        <f>IFERROR(VLOOKUP(ILACLISTE[[#This Row],[NAME]],Table5[#All],2,0),"")</f>
        <v/>
      </c>
    </row>
    <row r="3959" spans="1:3" x14ac:dyDescent="0.3">
      <c r="A3959" s="5" t="s">
        <v>4604</v>
      </c>
      <c r="B3959" t="s">
        <v>10143</v>
      </c>
      <c r="C3959" t="str">
        <f>IFERROR(VLOOKUP(ILACLISTE[[#This Row],[NAME]],Table5[#All],2,0),"")</f>
        <v/>
      </c>
    </row>
    <row r="3960" spans="1:3" x14ac:dyDescent="0.3">
      <c r="A3960" s="5" t="s">
        <v>4605</v>
      </c>
      <c r="B3960" t="s">
        <v>10144</v>
      </c>
      <c r="C3960" t="str">
        <f>IFERROR(VLOOKUP(ILACLISTE[[#This Row],[NAME]],Table5[#All],2,0),"")</f>
        <v/>
      </c>
    </row>
    <row r="3961" spans="1:3" x14ac:dyDescent="0.3">
      <c r="A3961" s="5" t="s">
        <v>4606</v>
      </c>
      <c r="B3961" t="s">
        <v>10145</v>
      </c>
      <c r="C3961" t="str">
        <f>IFERROR(VLOOKUP(ILACLISTE[[#This Row],[NAME]],Table5[#All],2,0),"")</f>
        <v/>
      </c>
    </row>
    <row r="3962" spans="1:3" x14ac:dyDescent="0.3">
      <c r="A3962" s="5" t="s">
        <v>4607</v>
      </c>
      <c r="B3962" t="s">
        <v>10146</v>
      </c>
      <c r="C3962" t="str">
        <f>IFERROR(VLOOKUP(ILACLISTE[[#This Row],[NAME]],Table5[#All],2,0),"")</f>
        <v/>
      </c>
    </row>
    <row r="3963" spans="1:3" x14ac:dyDescent="0.3">
      <c r="A3963" s="5" t="s">
        <v>4608</v>
      </c>
      <c r="B3963" t="s">
        <v>10147</v>
      </c>
      <c r="C3963" t="str">
        <f>IFERROR(VLOOKUP(ILACLISTE[[#This Row],[NAME]],Table5[#All],2,0),"")</f>
        <v/>
      </c>
    </row>
    <row r="3964" spans="1:3" x14ac:dyDescent="0.3">
      <c r="A3964" s="5" t="s">
        <v>4609</v>
      </c>
      <c r="B3964" t="s">
        <v>10148</v>
      </c>
      <c r="C3964" t="str">
        <f>IFERROR(VLOOKUP(ILACLISTE[[#This Row],[NAME]],Table5[#All],2,0),"")</f>
        <v/>
      </c>
    </row>
    <row r="3965" spans="1:3" x14ac:dyDescent="0.3">
      <c r="A3965" s="5" t="s">
        <v>4610</v>
      </c>
      <c r="B3965" t="s">
        <v>10149</v>
      </c>
      <c r="C3965" t="str">
        <f>IFERROR(VLOOKUP(ILACLISTE[[#This Row],[NAME]],Table5[#All],2,0),"")</f>
        <v/>
      </c>
    </row>
    <row r="3966" spans="1:3" x14ac:dyDescent="0.3">
      <c r="A3966" s="5" t="s">
        <v>4611</v>
      </c>
      <c r="B3966" t="s">
        <v>10150</v>
      </c>
      <c r="C3966" t="str">
        <f>IFERROR(VLOOKUP(ILACLISTE[[#This Row],[NAME]],Table5[#All],2,0),"")</f>
        <v/>
      </c>
    </row>
    <row r="3967" spans="1:3" x14ac:dyDescent="0.3">
      <c r="A3967" s="5" t="s">
        <v>4612</v>
      </c>
      <c r="B3967" t="s">
        <v>10151</v>
      </c>
      <c r="C3967" t="str">
        <f>IFERROR(VLOOKUP(ILACLISTE[[#This Row],[NAME]],Table5[#All],2,0),"")</f>
        <v/>
      </c>
    </row>
    <row r="3968" spans="1:3" x14ac:dyDescent="0.3">
      <c r="A3968" s="5" t="s">
        <v>4613</v>
      </c>
      <c r="B3968" t="s">
        <v>10152</v>
      </c>
      <c r="C3968" t="str">
        <f>IFERROR(VLOOKUP(ILACLISTE[[#This Row],[NAME]],Table5[#All],2,0),"")</f>
        <v/>
      </c>
    </row>
    <row r="3969" spans="1:3" x14ac:dyDescent="0.3">
      <c r="A3969" s="5" t="s">
        <v>4614</v>
      </c>
      <c r="B3969" t="s">
        <v>10153</v>
      </c>
      <c r="C3969" t="str">
        <f>IFERROR(VLOOKUP(ILACLISTE[[#This Row],[NAME]],Table5[#All],2,0),"")</f>
        <v/>
      </c>
    </row>
    <row r="3970" spans="1:3" x14ac:dyDescent="0.3">
      <c r="A3970" s="5" t="s">
        <v>4615</v>
      </c>
      <c r="B3970" t="s">
        <v>10154</v>
      </c>
      <c r="C3970" t="str">
        <f>IFERROR(VLOOKUP(ILACLISTE[[#This Row],[NAME]],Table5[#All],2,0),"")</f>
        <v/>
      </c>
    </row>
    <row r="3971" spans="1:3" x14ac:dyDescent="0.3">
      <c r="A3971" s="5" t="s">
        <v>4617</v>
      </c>
      <c r="B3971" t="s">
        <v>10155</v>
      </c>
      <c r="C3971" t="str">
        <f>IFERROR(VLOOKUP(ILACLISTE[[#This Row],[NAME]],Table5[#All],2,0),"")</f>
        <v/>
      </c>
    </row>
    <row r="3972" spans="1:3" x14ac:dyDescent="0.3">
      <c r="A3972" s="5" t="s">
        <v>4616</v>
      </c>
      <c r="B3972" t="s">
        <v>10156</v>
      </c>
      <c r="C3972" t="str">
        <f>IFERROR(VLOOKUP(ILACLISTE[[#This Row],[NAME]],Table5[#All],2,0),"")</f>
        <v/>
      </c>
    </row>
    <row r="3973" spans="1:3" x14ac:dyDescent="0.3">
      <c r="A3973" s="5" t="s">
        <v>4618</v>
      </c>
      <c r="B3973" t="s">
        <v>10157</v>
      </c>
      <c r="C3973" t="str">
        <f>IFERROR(VLOOKUP(ILACLISTE[[#This Row],[NAME]],Table5[#All],2,0),"")</f>
        <v/>
      </c>
    </row>
    <row r="3974" spans="1:3" x14ac:dyDescent="0.3">
      <c r="A3974" s="5" t="s">
        <v>4619</v>
      </c>
      <c r="B3974" t="s">
        <v>10158</v>
      </c>
      <c r="C3974" t="str">
        <f>IFERROR(VLOOKUP(ILACLISTE[[#This Row],[NAME]],Table5[#All],2,0),"")</f>
        <v/>
      </c>
    </row>
    <row r="3975" spans="1:3" x14ac:dyDescent="0.3">
      <c r="A3975" s="5" t="s">
        <v>4620</v>
      </c>
      <c r="B3975" t="s">
        <v>10159</v>
      </c>
      <c r="C3975" t="str">
        <f>IFERROR(VLOOKUP(ILACLISTE[[#This Row],[NAME]],Table5[#All],2,0),"")</f>
        <v/>
      </c>
    </row>
    <row r="3976" spans="1:3" x14ac:dyDescent="0.3">
      <c r="A3976" s="5" t="s">
        <v>4621</v>
      </c>
      <c r="B3976" t="s">
        <v>10160</v>
      </c>
      <c r="C3976" t="str">
        <f>IFERROR(VLOOKUP(ILACLISTE[[#This Row],[NAME]],Table5[#All],2,0),"")</f>
        <v/>
      </c>
    </row>
    <row r="3977" spans="1:3" x14ac:dyDescent="0.3">
      <c r="A3977" s="5" t="s">
        <v>4622</v>
      </c>
      <c r="B3977" t="s">
        <v>10161</v>
      </c>
      <c r="C3977" t="str">
        <f>IFERROR(VLOOKUP(ILACLISTE[[#This Row],[NAME]],Table5[#All],2,0),"")</f>
        <v/>
      </c>
    </row>
    <row r="3978" spans="1:3" x14ac:dyDescent="0.3">
      <c r="A3978" s="5" t="s">
        <v>4623</v>
      </c>
      <c r="B3978" t="s">
        <v>10162</v>
      </c>
      <c r="C3978" t="str">
        <f>IFERROR(VLOOKUP(ILACLISTE[[#This Row],[NAME]],Table5[#All],2,0),"")</f>
        <v/>
      </c>
    </row>
    <row r="3979" spans="1:3" x14ac:dyDescent="0.3">
      <c r="A3979" s="5" t="s">
        <v>4624</v>
      </c>
      <c r="B3979" t="s">
        <v>10163</v>
      </c>
      <c r="C3979" t="str">
        <f>IFERROR(VLOOKUP(ILACLISTE[[#This Row],[NAME]],Table5[#All],2,0),"")</f>
        <v/>
      </c>
    </row>
    <row r="3980" spans="1:3" x14ac:dyDescent="0.3">
      <c r="A3980" s="5" t="s">
        <v>4625</v>
      </c>
      <c r="B3980" t="s">
        <v>10164</v>
      </c>
      <c r="C3980" t="str">
        <f>IFERROR(VLOOKUP(ILACLISTE[[#This Row],[NAME]],Table5[#All],2,0),"")</f>
        <v/>
      </c>
    </row>
    <row r="3981" spans="1:3" x14ac:dyDescent="0.3">
      <c r="A3981" s="5" t="s">
        <v>4626</v>
      </c>
      <c r="B3981" t="s">
        <v>10165</v>
      </c>
      <c r="C3981" t="str">
        <f>IFERROR(VLOOKUP(ILACLISTE[[#This Row],[NAME]],Table5[#All],2,0),"")</f>
        <v/>
      </c>
    </row>
    <row r="3982" spans="1:3" x14ac:dyDescent="0.3">
      <c r="A3982" s="5" t="s">
        <v>4627</v>
      </c>
      <c r="B3982" t="s">
        <v>10166</v>
      </c>
      <c r="C3982" t="str">
        <f>IFERROR(VLOOKUP(ILACLISTE[[#This Row],[NAME]],Table5[#All],2,0),"")</f>
        <v/>
      </c>
    </row>
    <row r="3983" spans="1:3" x14ac:dyDescent="0.3">
      <c r="A3983" s="5" t="s">
        <v>4628</v>
      </c>
      <c r="B3983" t="s">
        <v>10167</v>
      </c>
      <c r="C3983" t="str">
        <f>IFERROR(VLOOKUP(ILACLISTE[[#This Row],[NAME]],Table5[#All],2,0),"")</f>
        <v/>
      </c>
    </row>
    <row r="3984" spans="1:3" x14ac:dyDescent="0.3">
      <c r="A3984" s="5" t="s">
        <v>4629</v>
      </c>
      <c r="B3984" t="s">
        <v>10168</v>
      </c>
      <c r="C3984" t="str">
        <f>IFERROR(VLOOKUP(ILACLISTE[[#This Row],[NAME]],Table5[#All],2,0),"")</f>
        <v/>
      </c>
    </row>
    <row r="3985" spans="1:3" x14ac:dyDescent="0.3">
      <c r="A3985" s="5" t="s">
        <v>4630</v>
      </c>
      <c r="B3985" t="s">
        <v>502</v>
      </c>
      <c r="C3985" t="str">
        <f>IFERROR(VLOOKUP(ILACLISTE[[#This Row],[NAME]],Table5[#All],2,0),"")</f>
        <v/>
      </c>
    </row>
    <row r="3986" spans="1:3" x14ac:dyDescent="0.3">
      <c r="A3986" s="5" t="s">
        <v>4631</v>
      </c>
      <c r="B3986" t="s">
        <v>10169</v>
      </c>
      <c r="C3986" t="str">
        <f>IFERROR(VLOOKUP(ILACLISTE[[#This Row],[NAME]],Table5[#All],2,0),"")</f>
        <v/>
      </c>
    </row>
    <row r="3987" spans="1:3" x14ac:dyDescent="0.3">
      <c r="A3987" s="5" t="s">
        <v>4632</v>
      </c>
      <c r="B3987" t="s">
        <v>10170</v>
      </c>
      <c r="C3987" t="str">
        <f>IFERROR(VLOOKUP(ILACLISTE[[#This Row],[NAME]],Table5[#All],2,0),"")</f>
        <v/>
      </c>
    </row>
    <row r="3988" spans="1:3" x14ac:dyDescent="0.3">
      <c r="A3988" s="5" t="s">
        <v>4633</v>
      </c>
      <c r="B3988" t="s">
        <v>503</v>
      </c>
      <c r="C3988" t="str">
        <f>IFERROR(VLOOKUP(ILACLISTE[[#This Row],[NAME]],Table5[#All],2,0),"")</f>
        <v/>
      </c>
    </row>
    <row r="3989" spans="1:3" x14ac:dyDescent="0.3">
      <c r="A3989" s="5" t="s">
        <v>4634</v>
      </c>
      <c r="B3989" t="s">
        <v>10171</v>
      </c>
      <c r="C3989" t="str">
        <f>IFERROR(VLOOKUP(ILACLISTE[[#This Row],[NAME]],Table5[#All],2,0),"")</f>
        <v/>
      </c>
    </row>
    <row r="3990" spans="1:3" x14ac:dyDescent="0.3">
      <c r="A3990" s="5" t="s">
        <v>4635</v>
      </c>
      <c r="B3990" t="s">
        <v>10172</v>
      </c>
      <c r="C3990" t="str">
        <f>IFERROR(VLOOKUP(ILACLISTE[[#This Row],[NAME]],Table5[#All],2,0),"")</f>
        <v/>
      </c>
    </row>
    <row r="3991" spans="1:3" x14ac:dyDescent="0.3">
      <c r="A3991" s="5" t="s">
        <v>4636</v>
      </c>
      <c r="B3991" t="s">
        <v>10173</v>
      </c>
      <c r="C3991" t="str">
        <f>IFERROR(VLOOKUP(ILACLISTE[[#This Row],[NAME]],Table5[#All],2,0),"")</f>
        <v/>
      </c>
    </row>
    <row r="3992" spans="1:3" x14ac:dyDescent="0.3">
      <c r="A3992" s="5" t="s">
        <v>4637</v>
      </c>
      <c r="B3992" t="s">
        <v>10174</v>
      </c>
      <c r="C3992" t="str">
        <f>IFERROR(VLOOKUP(ILACLISTE[[#This Row],[NAME]],Table5[#All],2,0),"")</f>
        <v/>
      </c>
    </row>
    <row r="3993" spans="1:3" x14ac:dyDescent="0.3">
      <c r="A3993" s="5" t="s">
        <v>4638</v>
      </c>
      <c r="B3993" t="s">
        <v>10175</v>
      </c>
      <c r="C3993" t="str">
        <f>IFERROR(VLOOKUP(ILACLISTE[[#This Row],[NAME]],Table5[#All],2,0),"")</f>
        <v/>
      </c>
    </row>
    <row r="3994" spans="1:3" x14ac:dyDescent="0.3">
      <c r="A3994" s="5" t="s">
        <v>4639</v>
      </c>
      <c r="B3994" t="s">
        <v>10176</v>
      </c>
      <c r="C3994" t="str">
        <f>IFERROR(VLOOKUP(ILACLISTE[[#This Row],[NAME]],Table5[#All],2,0),"")</f>
        <v/>
      </c>
    </row>
    <row r="3995" spans="1:3" x14ac:dyDescent="0.3">
      <c r="A3995" s="5" t="s">
        <v>4640</v>
      </c>
      <c r="B3995" t="s">
        <v>10177</v>
      </c>
      <c r="C3995" t="str">
        <f>IFERROR(VLOOKUP(ILACLISTE[[#This Row],[NAME]],Table5[#All],2,0),"")</f>
        <v/>
      </c>
    </row>
    <row r="3996" spans="1:3" x14ac:dyDescent="0.3">
      <c r="A3996" s="5" t="s">
        <v>4641</v>
      </c>
      <c r="B3996" t="s">
        <v>10178</v>
      </c>
      <c r="C3996" t="str">
        <f>IFERROR(VLOOKUP(ILACLISTE[[#This Row],[NAME]],Table5[#All],2,0),"")</f>
        <v/>
      </c>
    </row>
    <row r="3997" spans="1:3" x14ac:dyDescent="0.3">
      <c r="A3997" s="5" t="s">
        <v>4642</v>
      </c>
      <c r="B3997" t="s">
        <v>10179</v>
      </c>
      <c r="C3997" t="str">
        <f>IFERROR(VLOOKUP(ILACLISTE[[#This Row],[NAME]],Table5[#All],2,0),"")</f>
        <v/>
      </c>
    </row>
    <row r="3998" spans="1:3" x14ac:dyDescent="0.3">
      <c r="A3998" s="5" t="s">
        <v>4643</v>
      </c>
      <c r="B3998" t="s">
        <v>10180</v>
      </c>
      <c r="C3998" t="str">
        <f>IFERROR(VLOOKUP(ILACLISTE[[#This Row],[NAME]],Table5[#All],2,0),"")</f>
        <v/>
      </c>
    </row>
    <row r="3999" spans="1:3" x14ac:dyDescent="0.3">
      <c r="A3999" s="5" t="s">
        <v>4644</v>
      </c>
      <c r="B3999" t="s">
        <v>10181</v>
      </c>
      <c r="C3999" t="str">
        <f>IFERROR(VLOOKUP(ILACLISTE[[#This Row],[NAME]],Table5[#All],2,0),"")</f>
        <v/>
      </c>
    </row>
    <row r="4000" spans="1:3" x14ac:dyDescent="0.3">
      <c r="A4000" s="5" t="s">
        <v>4645</v>
      </c>
      <c r="B4000" t="s">
        <v>10182</v>
      </c>
      <c r="C4000" t="str">
        <f>IFERROR(VLOOKUP(ILACLISTE[[#This Row],[NAME]],Table5[#All],2,0),"")</f>
        <v/>
      </c>
    </row>
    <row r="4001" spans="1:3" x14ac:dyDescent="0.3">
      <c r="A4001" s="5" t="s">
        <v>4646</v>
      </c>
      <c r="B4001" t="s">
        <v>10183</v>
      </c>
      <c r="C4001" t="str">
        <f>IFERROR(VLOOKUP(ILACLISTE[[#This Row],[NAME]],Table5[#All],2,0),"")</f>
        <v/>
      </c>
    </row>
    <row r="4002" spans="1:3" x14ac:dyDescent="0.3">
      <c r="A4002" s="5" t="s">
        <v>4647</v>
      </c>
      <c r="B4002" t="s">
        <v>10184</v>
      </c>
      <c r="C4002" t="str">
        <f>IFERROR(VLOOKUP(ILACLISTE[[#This Row],[NAME]],Table5[#All],2,0),"")</f>
        <v/>
      </c>
    </row>
    <row r="4003" spans="1:3" x14ac:dyDescent="0.3">
      <c r="A4003" s="5" t="s">
        <v>4648</v>
      </c>
      <c r="B4003" t="s">
        <v>10185</v>
      </c>
      <c r="C4003" t="str">
        <f>IFERROR(VLOOKUP(ILACLISTE[[#This Row],[NAME]],Table5[#All],2,0),"")</f>
        <v/>
      </c>
    </row>
    <row r="4004" spans="1:3" x14ac:dyDescent="0.3">
      <c r="A4004" s="5" t="s">
        <v>4649</v>
      </c>
      <c r="B4004" t="s">
        <v>10186</v>
      </c>
      <c r="C4004" t="str">
        <f>IFERROR(VLOOKUP(ILACLISTE[[#This Row],[NAME]],Table5[#All],2,0),"")</f>
        <v/>
      </c>
    </row>
    <row r="4005" spans="1:3" x14ac:dyDescent="0.3">
      <c r="A4005" s="5" t="s">
        <v>4650</v>
      </c>
      <c r="B4005" t="s">
        <v>10187</v>
      </c>
      <c r="C4005" t="str">
        <f>IFERROR(VLOOKUP(ILACLISTE[[#This Row],[NAME]],Table5[#All],2,0),"")</f>
        <v/>
      </c>
    </row>
    <row r="4006" spans="1:3" x14ac:dyDescent="0.3">
      <c r="A4006" s="5" t="s">
        <v>4651</v>
      </c>
      <c r="B4006" t="s">
        <v>10188</v>
      </c>
      <c r="C4006" t="str">
        <f>IFERROR(VLOOKUP(ILACLISTE[[#This Row],[NAME]],Table5[#All],2,0),"")</f>
        <v/>
      </c>
    </row>
    <row r="4007" spans="1:3" x14ac:dyDescent="0.3">
      <c r="A4007" s="5" t="s">
        <v>4652</v>
      </c>
      <c r="B4007" t="s">
        <v>10189</v>
      </c>
      <c r="C4007" t="str">
        <f>IFERROR(VLOOKUP(ILACLISTE[[#This Row],[NAME]],Table5[#All],2,0),"")</f>
        <v/>
      </c>
    </row>
    <row r="4008" spans="1:3" x14ac:dyDescent="0.3">
      <c r="A4008" s="5" t="s">
        <v>4653</v>
      </c>
      <c r="B4008" t="s">
        <v>504</v>
      </c>
      <c r="C4008" t="str">
        <f>IFERROR(VLOOKUP(ILACLISTE[[#This Row],[NAME]],Table5[#All],2,0),"")</f>
        <v/>
      </c>
    </row>
    <row r="4009" spans="1:3" x14ac:dyDescent="0.3">
      <c r="A4009" s="5" t="s">
        <v>4654</v>
      </c>
      <c r="B4009" t="s">
        <v>10190</v>
      </c>
      <c r="C4009" t="str">
        <f>IFERROR(VLOOKUP(ILACLISTE[[#This Row],[NAME]],Table5[#All],2,0),"")</f>
        <v/>
      </c>
    </row>
    <row r="4010" spans="1:3" x14ac:dyDescent="0.3">
      <c r="A4010" s="5" t="s">
        <v>4655</v>
      </c>
      <c r="B4010" t="s">
        <v>505</v>
      </c>
      <c r="C4010" t="str">
        <f>IFERROR(VLOOKUP(ILACLISTE[[#This Row],[NAME]],Table5[#All],2,0),"")</f>
        <v/>
      </c>
    </row>
    <row r="4011" spans="1:3" x14ac:dyDescent="0.3">
      <c r="A4011" s="5" t="s">
        <v>4656</v>
      </c>
      <c r="B4011" t="s">
        <v>506</v>
      </c>
      <c r="C4011" t="str">
        <f>IFERROR(VLOOKUP(ILACLISTE[[#This Row],[NAME]],Table5[#All],2,0),"")</f>
        <v/>
      </c>
    </row>
    <row r="4012" spans="1:3" x14ac:dyDescent="0.3">
      <c r="A4012" s="5" t="s">
        <v>4657</v>
      </c>
      <c r="B4012" t="s">
        <v>507</v>
      </c>
      <c r="C4012" t="str">
        <f>IFERROR(VLOOKUP(ILACLISTE[[#This Row],[NAME]],Table5[#All],2,0),"")</f>
        <v/>
      </c>
    </row>
    <row r="4013" spans="1:3" x14ac:dyDescent="0.3">
      <c r="A4013" s="5" t="s">
        <v>4658</v>
      </c>
      <c r="B4013" t="s">
        <v>10191</v>
      </c>
      <c r="C4013" t="str">
        <f>IFERROR(VLOOKUP(ILACLISTE[[#This Row],[NAME]],Table5[#All],2,0),"")</f>
        <v/>
      </c>
    </row>
    <row r="4014" spans="1:3" x14ac:dyDescent="0.3">
      <c r="A4014" s="5" t="s">
        <v>4659</v>
      </c>
      <c r="B4014" t="s">
        <v>508</v>
      </c>
      <c r="C4014" t="str">
        <f>IFERROR(VLOOKUP(ILACLISTE[[#This Row],[NAME]],Table5[#All],2,0),"")</f>
        <v/>
      </c>
    </row>
    <row r="4015" spans="1:3" x14ac:dyDescent="0.3">
      <c r="A4015" s="5" t="s">
        <v>4660</v>
      </c>
      <c r="B4015" t="s">
        <v>10192</v>
      </c>
      <c r="C4015" t="str">
        <f>IFERROR(VLOOKUP(ILACLISTE[[#This Row],[NAME]],Table5[#All],2,0),"")</f>
        <v/>
      </c>
    </row>
    <row r="4016" spans="1:3" x14ac:dyDescent="0.3">
      <c r="A4016" s="5" t="s">
        <v>4661</v>
      </c>
      <c r="B4016" t="s">
        <v>10193</v>
      </c>
      <c r="C4016" t="str">
        <f>IFERROR(VLOOKUP(ILACLISTE[[#This Row],[NAME]],Table5[#All],2,0),"")</f>
        <v/>
      </c>
    </row>
    <row r="4017" spans="1:3" x14ac:dyDescent="0.3">
      <c r="A4017" s="5" t="s">
        <v>4662</v>
      </c>
      <c r="B4017" t="s">
        <v>10194</v>
      </c>
      <c r="C4017" t="str">
        <f>IFERROR(VLOOKUP(ILACLISTE[[#This Row],[NAME]],Table5[#All],2,0),"")</f>
        <v/>
      </c>
    </row>
    <row r="4018" spans="1:3" x14ac:dyDescent="0.3">
      <c r="A4018" s="5" t="s">
        <v>4663</v>
      </c>
      <c r="B4018" t="s">
        <v>10195</v>
      </c>
      <c r="C4018" t="str">
        <f>IFERROR(VLOOKUP(ILACLISTE[[#This Row],[NAME]],Table5[#All],2,0),"")</f>
        <v/>
      </c>
    </row>
    <row r="4019" spans="1:3" x14ac:dyDescent="0.3">
      <c r="A4019" s="5" t="s">
        <v>4664</v>
      </c>
      <c r="B4019" t="s">
        <v>10196</v>
      </c>
      <c r="C4019" t="str">
        <f>IFERROR(VLOOKUP(ILACLISTE[[#This Row],[NAME]],Table5[#All],2,0),"")</f>
        <v/>
      </c>
    </row>
    <row r="4020" spans="1:3" x14ac:dyDescent="0.3">
      <c r="A4020" s="5" t="s">
        <v>4665</v>
      </c>
      <c r="B4020" t="s">
        <v>10197</v>
      </c>
      <c r="C4020" t="str">
        <f>IFERROR(VLOOKUP(ILACLISTE[[#This Row],[NAME]],Table5[#All],2,0),"")</f>
        <v/>
      </c>
    </row>
    <row r="4021" spans="1:3" ht="20.399999999999999" x14ac:dyDescent="0.3">
      <c r="A4021" s="6" t="s">
        <v>4666</v>
      </c>
      <c r="B4021" t="s">
        <v>10198</v>
      </c>
      <c r="C4021" t="str">
        <f>IFERROR(VLOOKUP(ILACLISTE[[#This Row],[NAME]],Table5[#All],2,0),"")</f>
        <v/>
      </c>
    </row>
    <row r="4022" spans="1:3" x14ac:dyDescent="0.3">
      <c r="A4022" s="5" t="s">
        <v>4667</v>
      </c>
      <c r="B4022" t="s">
        <v>10199</v>
      </c>
      <c r="C4022" t="str">
        <f>IFERROR(VLOOKUP(ILACLISTE[[#This Row],[NAME]],Table5[#All],2,0),"")</f>
        <v/>
      </c>
    </row>
    <row r="4023" spans="1:3" x14ac:dyDescent="0.3">
      <c r="A4023" s="5" t="s">
        <v>4668</v>
      </c>
      <c r="B4023" t="s">
        <v>10200</v>
      </c>
      <c r="C4023" t="str">
        <f>IFERROR(VLOOKUP(ILACLISTE[[#This Row],[NAME]],Table5[#All],2,0),"")</f>
        <v/>
      </c>
    </row>
    <row r="4024" spans="1:3" x14ac:dyDescent="0.3">
      <c r="A4024" s="5" t="s">
        <v>4669</v>
      </c>
      <c r="B4024" t="s">
        <v>10201</v>
      </c>
      <c r="C4024" t="str">
        <f>IFERROR(VLOOKUP(ILACLISTE[[#This Row],[NAME]],Table5[#All],2,0),"")</f>
        <v/>
      </c>
    </row>
    <row r="4025" spans="1:3" x14ac:dyDescent="0.3">
      <c r="A4025" s="5" t="s">
        <v>4670</v>
      </c>
      <c r="B4025" t="s">
        <v>10202</v>
      </c>
      <c r="C4025" t="str">
        <f>IFERROR(VLOOKUP(ILACLISTE[[#This Row],[NAME]],Table5[#All],2,0),"")</f>
        <v/>
      </c>
    </row>
    <row r="4026" spans="1:3" x14ac:dyDescent="0.3">
      <c r="A4026" s="5" t="s">
        <v>4671</v>
      </c>
      <c r="B4026" t="s">
        <v>10203</v>
      </c>
      <c r="C4026" t="str">
        <f>IFERROR(VLOOKUP(ILACLISTE[[#This Row],[NAME]],Table5[#All],2,0),"")</f>
        <v/>
      </c>
    </row>
    <row r="4027" spans="1:3" x14ac:dyDescent="0.3">
      <c r="A4027" s="5" t="s">
        <v>4672</v>
      </c>
      <c r="B4027" t="s">
        <v>10204</v>
      </c>
      <c r="C4027" t="str">
        <f>IFERROR(VLOOKUP(ILACLISTE[[#This Row],[NAME]],Table5[#All],2,0),"")</f>
        <v/>
      </c>
    </row>
    <row r="4028" spans="1:3" x14ac:dyDescent="0.3">
      <c r="A4028" s="5" t="s">
        <v>4673</v>
      </c>
      <c r="B4028" t="s">
        <v>10205</v>
      </c>
      <c r="C4028" t="str">
        <f>IFERROR(VLOOKUP(ILACLISTE[[#This Row],[NAME]],Table5[#All],2,0),"")</f>
        <v/>
      </c>
    </row>
    <row r="4029" spans="1:3" x14ac:dyDescent="0.3">
      <c r="A4029" s="5" t="s">
        <v>4674</v>
      </c>
      <c r="B4029" t="s">
        <v>10206</v>
      </c>
      <c r="C4029" t="str">
        <f>IFERROR(VLOOKUP(ILACLISTE[[#This Row],[NAME]],Table5[#All],2,0),"")</f>
        <v/>
      </c>
    </row>
    <row r="4030" spans="1:3" x14ac:dyDescent="0.3">
      <c r="A4030" s="5" t="s">
        <v>4675</v>
      </c>
      <c r="B4030" t="s">
        <v>10207</v>
      </c>
      <c r="C4030" t="str">
        <f>IFERROR(VLOOKUP(ILACLISTE[[#This Row],[NAME]],Table5[#All],2,0),"")</f>
        <v/>
      </c>
    </row>
    <row r="4031" spans="1:3" x14ac:dyDescent="0.3">
      <c r="A4031" s="5" t="s">
        <v>4676</v>
      </c>
      <c r="B4031" t="s">
        <v>10208</v>
      </c>
      <c r="C4031" t="str">
        <f>IFERROR(VLOOKUP(ILACLISTE[[#This Row],[NAME]],Table5[#All],2,0),"")</f>
        <v/>
      </c>
    </row>
    <row r="4032" spans="1:3" x14ac:dyDescent="0.3">
      <c r="A4032" s="5" t="s">
        <v>4677</v>
      </c>
      <c r="B4032" t="s">
        <v>10209</v>
      </c>
      <c r="C4032" t="str">
        <f>IFERROR(VLOOKUP(ILACLISTE[[#This Row],[NAME]],Table5[#All],2,0),"")</f>
        <v/>
      </c>
    </row>
    <row r="4033" spans="1:3" x14ac:dyDescent="0.3">
      <c r="A4033" s="5" t="s">
        <v>4678</v>
      </c>
      <c r="B4033" t="s">
        <v>10210</v>
      </c>
      <c r="C4033" t="str">
        <f>IFERROR(VLOOKUP(ILACLISTE[[#This Row],[NAME]],Table5[#All],2,0),"")</f>
        <v/>
      </c>
    </row>
    <row r="4034" spans="1:3" x14ac:dyDescent="0.3">
      <c r="A4034" s="5" t="s">
        <v>4679</v>
      </c>
      <c r="B4034" t="s">
        <v>10211</v>
      </c>
      <c r="C4034" t="str">
        <f>IFERROR(VLOOKUP(ILACLISTE[[#This Row],[NAME]],Table5[#All],2,0),"")</f>
        <v/>
      </c>
    </row>
    <row r="4035" spans="1:3" x14ac:dyDescent="0.3">
      <c r="A4035" s="5" t="s">
        <v>4680</v>
      </c>
      <c r="B4035" t="s">
        <v>10212</v>
      </c>
      <c r="C4035" t="str">
        <f>IFERROR(VLOOKUP(ILACLISTE[[#This Row],[NAME]],Table5[#All],2,0),"")</f>
        <v/>
      </c>
    </row>
    <row r="4036" spans="1:3" x14ac:dyDescent="0.3">
      <c r="A4036" s="5" t="s">
        <v>4681</v>
      </c>
      <c r="B4036" t="s">
        <v>10213</v>
      </c>
      <c r="C4036" t="str">
        <f>IFERROR(VLOOKUP(ILACLISTE[[#This Row],[NAME]],Table5[#All],2,0),"")</f>
        <v/>
      </c>
    </row>
    <row r="4037" spans="1:3" x14ac:dyDescent="0.3">
      <c r="A4037" s="5" t="s">
        <v>4682</v>
      </c>
      <c r="B4037" t="s">
        <v>10214</v>
      </c>
      <c r="C4037" t="str">
        <f>IFERROR(VLOOKUP(ILACLISTE[[#This Row],[NAME]],Table5[#All],2,0),"")</f>
        <v/>
      </c>
    </row>
    <row r="4038" spans="1:3" x14ac:dyDescent="0.3">
      <c r="A4038" s="5" t="s">
        <v>4683</v>
      </c>
      <c r="B4038" t="s">
        <v>10215</v>
      </c>
      <c r="C4038" t="str">
        <f>IFERROR(VLOOKUP(ILACLISTE[[#This Row],[NAME]],Table5[#All],2,0),"")</f>
        <v/>
      </c>
    </row>
    <row r="4039" spans="1:3" x14ac:dyDescent="0.3">
      <c r="A4039" s="5" t="s">
        <v>4684</v>
      </c>
      <c r="B4039" t="s">
        <v>10216</v>
      </c>
      <c r="C4039" t="str">
        <f>IFERROR(VLOOKUP(ILACLISTE[[#This Row],[NAME]],Table5[#All],2,0),"")</f>
        <v/>
      </c>
    </row>
    <row r="4040" spans="1:3" x14ac:dyDescent="0.3">
      <c r="A4040" s="5" t="s">
        <v>4685</v>
      </c>
      <c r="B4040" t="s">
        <v>10217</v>
      </c>
      <c r="C4040" t="str">
        <f>IFERROR(VLOOKUP(ILACLISTE[[#This Row],[NAME]],Table5[#All],2,0),"")</f>
        <v/>
      </c>
    </row>
    <row r="4041" spans="1:3" x14ac:dyDescent="0.3">
      <c r="A4041" s="5" t="s">
        <v>4686</v>
      </c>
      <c r="B4041" t="s">
        <v>10218</v>
      </c>
      <c r="C4041" t="str">
        <f>IFERROR(VLOOKUP(ILACLISTE[[#This Row],[NAME]],Table5[#All],2,0),"")</f>
        <v/>
      </c>
    </row>
    <row r="4042" spans="1:3" x14ac:dyDescent="0.3">
      <c r="A4042" s="5" t="s">
        <v>4687</v>
      </c>
      <c r="B4042" t="s">
        <v>10219</v>
      </c>
      <c r="C4042" t="str">
        <f>IFERROR(VLOOKUP(ILACLISTE[[#This Row],[NAME]],Table5[#All],2,0),"")</f>
        <v/>
      </c>
    </row>
    <row r="4043" spans="1:3" x14ac:dyDescent="0.3">
      <c r="A4043" s="5" t="s">
        <v>4688</v>
      </c>
      <c r="B4043" t="s">
        <v>10220</v>
      </c>
      <c r="C4043" t="str">
        <f>IFERROR(VLOOKUP(ILACLISTE[[#This Row],[NAME]],Table5[#All],2,0),"")</f>
        <v/>
      </c>
    </row>
    <row r="4044" spans="1:3" x14ac:dyDescent="0.3">
      <c r="A4044" s="5" t="s">
        <v>4689</v>
      </c>
      <c r="B4044" t="s">
        <v>10221</v>
      </c>
      <c r="C4044" t="str">
        <f>IFERROR(VLOOKUP(ILACLISTE[[#This Row],[NAME]],Table5[#All],2,0),"")</f>
        <v/>
      </c>
    </row>
    <row r="4045" spans="1:3" x14ac:dyDescent="0.3">
      <c r="A4045" s="5" t="s">
        <v>4690</v>
      </c>
      <c r="B4045" t="s">
        <v>10222</v>
      </c>
      <c r="C4045" t="str">
        <f>IFERROR(VLOOKUP(ILACLISTE[[#This Row],[NAME]],Table5[#All],2,0),"")</f>
        <v/>
      </c>
    </row>
    <row r="4046" spans="1:3" x14ac:dyDescent="0.3">
      <c r="A4046" s="5" t="s">
        <v>4691</v>
      </c>
      <c r="B4046" t="s">
        <v>10223</v>
      </c>
      <c r="C4046" t="str">
        <f>IFERROR(VLOOKUP(ILACLISTE[[#This Row],[NAME]],Table5[#All],2,0),"")</f>
        <v/>
      </c>
    </row>
    <row r="4047" spans="1:3" x14ac:dyDescent="0.3">
      <c r="A4047" s="5" t="s">
        <v>4692</v>
      </c>
      <c r="B4047" t="s">
        <v>10224</v>
      </c>
      <c r="C4047" t="str">
        <f>IFERROR(VLOOKUP(ILACLISTE[[#This Row],[NAME]],Table5[#All],2,0),"")</f>
        <v/>
      </c>
    </row>
    <row r="4048" spans="1:3" x14ac:dyDescent="0.3">
      <c r="A4048" s="5" t="s">
        <v>4693</v>
      </c>
      <c r="B4048" t="s">
        <v>509</v>
      </c>
      <c r="C4048" t="str">
        <f>IFERROR(VLOOKUP(ILACLISTE[[#This Row],[NAME]],Table5[#All],2,0),"")</f>
        <v/>
      </c>
    </row>
    <row r="4049" spans="1:3" x14ac:dyDescent="0.3">
      <c r="A4049" s="5" t="s">
        <v>4694</v>
      </c>
      <c r="B4049" t="s">
        <v>10225</v>
      </c>
      <c r="C4049" t="str">
        <f>IFERROR(VLOOKUP(ILACLISTE[[#This Row],[NAME]],Table5[#All],2,0),"")</f>
        <v/>
      </c>
    </row>
    <row r="4050" spans="1:3" x14ac:dyDescent="0.3">
      <c r="A4050" s="5" t="s">
        <v>4695</v>
      </c>
      <c r="B4050" t="s">
        <v>10226</v>
      </c>
      <c r="C4050" t="str">
        <f>IFERROR(VLOOKUP(ILACLISTE[[#This Row],[NAME]],Table5[#All],2,0),"")</f>
        <v/>
      </c>
    </row>
    <row r="4051" spans="1:3" x14ac:dyDescent="0.3">
      <c r="A4051" s="5" t="s">
        <v>4696</v>
      </c>
      <c r="B4051" t="s">
        <v>510</v>
      </c>
      <c r="C4051" t="str">
        <f>IFERROR(VLOOKUP(ILACLISTE[[#This Row],[NAME]],Table5[#All],2,0),"")</f>
        <v/>
      </c>
    </row>
    <row r="4052" spans="1:3" x14ac:dyDescent="0.3">
      <c r="A4052" s="5" t="s">
        <v>4697</v>
      </c>
      <c r="B4052" t="s">
        <v>10227</v>
      </c>
      <c r="C4052" t="str">
        <f>IFERROR(VLOOKUP(ILACLISTE[[#This Row],[NAME]],Table5[#All],2,0),"")</f>
        <v/>
      </c>
    </row>
    <row r="4053" spans="1:3" x14ac:dyDescent="0.3">
      <c r="A4053" s="5" t="s">
        <v>4698</v>
      </c>
      <c r="B4053" t="s">
        <v>10228</v>
      </c>
      <c r="C4053" t="str">
        <f>IFERROR(VLOOKUP(ILACLISTE[[#This Row],[NAME]],Table5[#All],2,0),"")</f>
        <v/>
      </c>
    </row>
    <row r="4054" spans="1:3" x14ac:dyDescent="0.3">
      <c r="A4054" s="5" t="s">
        <v>4699</v>
      </c>
      <c r="B4054" t="s">
        <v>511</v>
      </c>
      <c r="C4054" t="str">
        <f>IFERROR(VLOOKUP(ILACLISTE[[#This Row],[NAME]],Table5[#All],2,0),"")</f>
        <v/>
      </c>
    </row>
    <row r="4055" spans="1:3" x14ac:dyDescent="0.3">
      <c r="A4055" s="5" t="s">
        <v>4700</v>
      </c>
      <c r="B4055" t="s">
        <v>10229</v>
      </c>
      <c r="C4055" t="str">
        <f>IFERROR(VLOOKUP(ILACLISTE[[#This Row],[NAME]],Table5[#All],2,0),"")</f>
        <v/>
      </c>
    </row>
    <row r="4056" spans="1:3" x14ac:dyDescent="0.3">
      <c r="A4056" s="5" t="s">
        <v>4701</v>
      </c>
      <c r="B4056" t="s">
        <v>10230</v>
      </c>
      <c r="C4056" t="str">
        <f>IFERROR(VLOOKUP(ILACLISTE[[#This Row],[NAME]],Table5[#All],2,0),"")</f>
        <v/>
      </c>
    </row>
    <row r="4057" spans="1:3" x14ac:dyDescent="0.3">
      <c r="A4057" s="5" t="s">
        <v>4702</v>
      </c>
      <c r="B4057" t="s">
        <v>512</v>
      </c>
      <c r="C4057" t="str">
        <f>IFERROR(VLOOKUP(ILACLISTE[[#This Row],[NAME]],Table5[#All],2,0),"")</f>
        <v/>
      </c>
    </row>
    <row r="4058" spans="1:3" x14ac:dyDescent="0.3">
      <c r="A4058" s="5" t="s">
        <v>4703</v>
      </c>
      <c r="B4058" t="s">
        <v>513</v>
      </c>
      <c r="C4058" t="str">
        <f>IFERROR(VLOOKUP(ILACLISTE[[#This Row],[NAME]],Table5[#All],2,0),"")</f>
        <v/>
      </c>
    </row>
    <row r="4059" spans="1:3" x14ac:dyDescent="0.3">
      <c r="A4059" s="5" t="s">
        <v>4704</v>
      </c>
      <c r="B4059" t="s">
        <v>10231</v>
      </c>
      <c r="C4059" t="str">
        <f>IFERROR(VLOOKUP(ILACLISTE[[#This Row],[NAME]],Table5[#All],2,0),"")</f>
        <v/>
      </c>
    </row>
    <row r="4060" spans="1:3" x14ac:dyDescent="0.3">
      <c r="A4060" s="5" t="s">
        <v>4705</v>
      </c>
      <c r="B4060" t="s">
        <v>10232</v>
      </c>
      <c r="C4060" t="str">
        <f>IFERROR(VLOOKUP(ILACLISTE[[#This Row],[NAME]],Table5[#All],2,0),"")</f>
        <v/>
      </c>
    </row>
    <row r="4061" spans="1:3" x14ac:dyDescent="0.3">
      <c r="A4061" s="5" t="s">
        <v>4706</v>
      </c>
      <c r="B4061" t="s">
        <v>10233</v>
      </c>
      <c r="C4061" t="str">
        <f>IFERROR(VLOOKUP(ILACLISTE[[#This Row],[NAME]],Table5[#All],2,0),"")</f>
        <v/>
      </c>
    </row>
    <row r="4062" spans="1:3" x14ac:dyDescent="0.3">
      <c r="A4062" s="5" t="s">
        <v>4707</v>
      </c>
      <c r="B4062" t="s">
        <v>10234</v>
      </c>
      <c r="C4062" t="str">
        <f>IFERROR(VLOOKUP(ILACLISTE[[#This Row],[NAME]],Table5[#All],2,0),"")</f>
        <v/>
      </c>
    </row>
    <row r="4063" spans="1:3" x14ac:dyDescent="0.3">
      <c r="A4063" s="5" t="s">
        <v>4708</v>
      </c>
      <c r="B4063" t="s">
        <v>10235</v>
      </c>
      <c r="C4063" t="str">
        <f>IFERROR(VLOOKUP(ILACLISTE[[#This Row],[NAME]],Table5[#All],2,0),"")</f>
        <v/>
      </c>
    </row>
    <row r="4064" spans="1:3" x14ac:dyDescent="0.3">
      <c r="A4064" s="5" t="s">
        <v>4709</v>
      </c>
      <c r="B4064" t="s">
        <v>10236</v>
      </c>
      <c r="C4064" t="str">
        <f>IFERROR(VLOOKUP(ILACLISTE[[#This Row],[NAME]],Table5[#All],2,0),"")</f>
        <v/>
      </c>
    </row>
    <row r="4065" spans="1:3" x14ac:dyDescent="0.3">
      <c r="A4065" s="5" t="s">
        <v>4710</v>
      </c>
      <c r="B4065" t="s">
        <v>10237</v>
      </c>
      <c r="C4065" t="str">
        <f>IFERROR(VLOOKUP(ILACLISTE[[#This Row],[NAME]],Table5[#All],2,0),"")</f>
        <v/>
      </c>
    </row>
    <row r="4066" spans="1:3" x14ac:dyDescent="0.3">
      <c r="A4066" s="5" t="s">
        <v>4711</v>
      </c>
      <c r="B4066" t="s">
        <v>10238</v>
      </c>
      <c r="C4066" t="str">
        <f>IFERROR(VLOOKUP(ILACLISTE[[#This Row],[NAME]],Table5[#All],2,0),"")</f>
        <v/>
      </c>
    </row>
    <row r="4067" spans="1:3" x14ac:dyDescent="0.3">
      <c r="A4067" s="5" t="s">
        <v>4712</v>
      </c>
      <c r="B4067" t="s">
        <v>10239</v>
      </c>
      <c r="C4067" t="str">
        <f>IFERROR(VLOOKUP(ILACLISTE[[#This Row],[NAME]],Table5[#All],2,0),"")</f>
        <v/>
      </c>
    </row>
    <row r="4068" spans="1:3" x14ac:dyDescent="0.3">
      <c r="A4068" s="5" t="s">
        <v>4713</v>
      </c>
      <c r="B4068" t="s">
        <v>10240</v>
      </c>
      <c r="C4068" t="str">
        <f>IFERROR(VLOOKUP(ILACLISTE[[#This Row],[NAME]],Table5[#All],2,0),"")</f>
        <v/>
      </c>
    </row>
    <row r="4069" spans="1:3" x14ac:dyDescent="0.3">
      <c r="A4069" s="5" t="s">
        <v>4714</v>
      </c>
      <c r="B4069" t="s">
        <v>10241</v>
      </c>
      <c r="C4069" t="str">
        <f>IFERROR(VLOOKUP(ILACLISTE[[#This Row],[NAME]],Table5[#All],2,0),"")</f>
        <v/>
      </c>
    </row>
    <row r="4070" spans="1:3" x14ac:dyDescent="0.3">
      <c r="A4070" s="5" t="s">
        <v>4715</v>
      </c>
      <c r="B4070" t="s">
        <v>10242</v>
      </c>
      <c r="C4070" t="str">
        <f>IFERROR(VLOOKUP(ILACLISTE[[#This Row],[NAME]],Table5[#All],2,0),"")</f>
        <v/>
      </c>
    </row>
    <row r="4071" spans="1:3" x14ac:dyDescent="0.3">
      <c r="A4071" s="5" t="s">
        <v>4716</v>
      </c>
      <c r="B4071" t="s">
        <v>10243</v>
      </c>
      <c r="C4071" t="str">
        <f>IFERROR(VLOOKUP(ILACLISTE[[#This Row],[NAME]],Table5[#All],2,0),"")</f>
        <v/>
      </c>
    </row>
    <row r="4072" spans="1:3" x14ac:dyDescent="0.3">
      <c r="A4072" s="5" t="s">
        <v>4717</v>
      </c>
      <c r="B4072" t="s">
        <v>514</v>
      </c>
      <c r="C4072" t="str">
        <f>IFERROR(VLOOKUP(ILACLISTE[[#This Row],[NAME]],Table5[#All],2,0),"")</f>
        <v/>
      </c>
    </row>
    <row r="4073" spans="1:3" x14ac:dyDescent="0.3">
      <c r="A4073" s="5" t="s">
        <v>4718</v>
      </c>
      <c r="B4073" t="s">
        <v>10244</v>
      </c>
      <c r="C4073" t="str">
        <f>IFERROR(VLOOKUP(ILACLISTE[[#This Row],[NAME]],Table5[#All],2,0),"")</f>
        <v/>
      </c>
    </row>
    <row r="4074" spans="1:3" x14ac:dyDescent="0.3">
      <c r="A4074" s="5" t="s">
        <v>4719</v>
      </c>
      <c r="B4074" t="s">
        <v>10245</v>
      </c>
      <c r="C4074" t="str">
        <f>IFERROR(VLOOKUP(ILACLISTE[[#This Row],[NAME]],Table5[#All],2,0),"")</f>
        <v/>
      </c>
    </row>
    <row r="4075" spans="1:3" x14ac:dyDescent="0.3">
      <c r="A4075" s="5" t="s">
        <v>4720</v>
      </c>
      <c r="B4075" t="s">
        <v>10246</v>
      </c>
      <c r="C4075" t="str">
        <f>IFERROR(VLOOKUP(ILACLISTE[[#This Row],[NAME]],Table5[#All],2,0),"")</f>
        <v/>
      </c>
    </row>
    <row r="4076" spans="1:3" x14ac:dyDescent="0.3">
      <c r="A4076" s="5" t="s">
        <v>4721</v>
      </c>
      <c r="B4076" t="s">
        <v>10247</v>
      </c>
      <c r="C4076" t="str">
        <f>IFERROR(VLOOKUP(ILACLISTE[[#This Row],[NAME]],Table5[#All],2,0),"")</f>
        <v/>
      </c>
    </row>
    <row r="4077" spans="1:3" x14ac:dyDescent="0.3">
      <c r="A4077" s="5" t="s">
        <v>4722</v>
      </c>
      <c r="B4077" t="s">
        <v>10248</v>
      </c>
      <c r="C4077" t="str">
        <f>IFERROR(VLOOKUP(ILACLISTE[[#This Row],[NAME]],Table5[#All],2,0),"")</f>
        <v/>
      </c>
    </row>
    <row r="4078" spans="1:3" x14ac:dyDescent="0.3">
      <c r="A4078" s="5" t="s">
        <v>4723</v>
      </c>
      <c r="B4078" t="s">
        <v>10249</v>
      </c>
      <c r="C4078" t="str">
        <f>IFERROR(VLOOKUP(ILACLISTE[[#This Row],[NAME]],Table5[#All],2,0),"")</f>
        <v/>
      </c>
    </row>
    <row r="4079" spans="1:3" x14ac:dyDescent="0.3">
      <c r="A4079" s="5" t="s">
        <v>4724</v>
      </c>
      <c r="B4079" t="s">
        <v>10250</v>
      </c>
      <c r="C4079" t="str">
        <f>IFERROR(VLOOKUP(ILACLISTE[[#This Row],[NAME]],Table5[#All],2,0),"")</f>
        <v/>
      </c>
    </row>
    <row r="4080" spans="1:3" x14ac:dyDescent="0.3">
      <c r="A4080" s="5" t="s">
        <v>4725</v>
      </c>
      <c r="B4080" t="s">
        <v>10251</v>
      </c>
      <c r="C4080" t="str">
        <f>IFERROR(VLOOKUP(ILACLISTE[[#This Row],[NAME]],Table5[#All],2,0),"")</f>
        <v/>
      </c>
    </row>
    <row r="4081" spans="1:3" x14ac:dyDescent="0.3">
      <c r="A4081" s="5" t="s">
        <v>4726</v>
      </c>
      <c r="B4081" t="s">
        <v>10252</v>
      </c>
      <c r="C4081" t="str">
        <f>IFERROR(VLOOKUP(ILACLISTE[[#This Row],[NAME]],Table5[#All],2,0),"")</f>
        <v/>
      </c>
    </row>
    <row r="4082" spans="1:3" x14ac:dyDescent="0.3">
      <c r="A4082" s="5" t="s">
        <v>10253</v>
      </c>
      <c r="B4082" t="s">
        <v>10254</v>
      </c>
      <c r="C4082" t="str">
        <f>IFERROR(VLOOKUP(ILACLISTE[[#This Row],[NAME]],Table5[#All],2,0),"")</f>
        <v/>
      </c>
    </row>
    <row r="4083" spans="1:3" x14ac:dyDescent="0.3">
      <c r="A4083" s="5" t="s">
        <v>4727</v>
      </c>
      <c r="B4083" t="s">
        <v>10255</v>
      </c>
      <c r="C4083" t="str">
        <f>IFERROR(VLOOKUP(ILACLISTE[[#This Row],[NAME]],Table5[#All],2,0),"")</f>
        <v/>
      </c>
    </row>
    <row r="4084" spans="1:3" x14ac:dyDescent="0.3">
      <c r="A4084" s="5" t="s">
        <v>4728</v>
      </c>
      <c r="B4084" t="s">
        <v>10256</v>
      </c>
      <c r="C4084" t="str">
        <f>IFERROR(VLOOKUP(ILACLISTE[[#This Row],[NAME]],Table5[#All],2,0),"")</f>
        <v/>
      </c>
    </row>
    <row r="4085" spans="1:3" x14ac:dyDescent="0.3">
      <c r="A4085" s="5" t="s">
        <v>4729</v>
      </c>
      <c r="B4085" t="s">
        <v>10257</v>
      </c>
      <c r="C4085" t="str">
        <f>IFERROR(VLOOKUP(ILACLISTE[[#This Row],[NAME]],Table5[#All],2,0),"")</f>
        <v/>
      </c>
    </row>
    <row r="4086" spans="1:3" x14ac:dyDescent="0.3">
      <c r="A4086" s="5" t="s">
        <v>4730</v>
      </c>
      <c r="B4086" t="s">
        <v>10258</v>
      </c>
      <c r="C4086" t="str">
        <f>IFERROR(VLOOKUP(ILACLISTE[[#This Row],[NAME]],Table5[#All],2,0),"")</f>
        <v/>
      </c>
    </row>
    <row r="4087" spans="1:3" x14ac:dyDescent="0.3">
      <c r="A4087" s="5" t="s">
        <v>4731</v>
      </c>
      <c r="B4087" t="s">
        <v>10259</v>
      </c>
      <c r="C4087" t="str">
        <f>IFERROR(VLOOKUP(ILACLISTE[[#This Row],[NAME]],Table5[#All],2,0),"")</f>
        <v/>
      </c>
    </row>
    <row r="4088" spans="1:3" x14ac:dyDescent="0.3">
      <c r="A4088" s="5" t="s">
        <v>4732</v>
      </c>
      <c r="B4088" t="s">
        <v>10260</v>
      </c>
      <c r="C4088" t="str">
        <f>IFERROR(VLOOKUP(ILACLISTE[[#This Row],[NAME]],Table5[#All],2,0),"")</f>
        <v/>
      </c>
    </row>
    <row r="4089" spans="1:3" x14ac:dyDescent="0.3">
      <c r="A4089" s="5" t="s">
        <v>4733</v>
      </c>
      <c r="B4089" t="s">
        <v>10261</v>
      </c>
      <c r="C4089" t="str">
        <f>IFERROR(VLOOKUP(ILACLISTE[[#This Row],[NAME]],Table5[#All],2,0),"")</f>
        <v/>
      </c>
    </row>
    <row r="4090" spans="1:3" x14ac:dyDescent="0.3">
      <c r="A4090" s="5" t="s">
        <v>4734</v>
      </c>
      <c r="B4090" t="s">
        <v>10262</v>
      </c>
      <c r="C4090" t="str">
        <f>IFERROR(VLOOKUP(ILACLISTE[[#This Row],[NAME]],Table5[#All],2,0),"")</f>
        <v/>
      </c>
    </row>
    <row r="4091" spans="1:3" x14ac:dyDescent="0.3">
      <c r="A4091" s="5" t="s">
        <v>4735</v>
      </c>
      <c r="B4091" t="s">
        <v>10263</v>
      </c>
      <c r="C4091" t="str">
        <f>IFERROR(VLOOKUP(ILACLISTE[[#This Row],[NAME]],Table5[#All],2,0),"")</f>
        <v/>
      </c>
    </row>
    <row r="4092" spans="1:3" x14ac:dyDescent="0.3">
      <c r="A4092" s="5" t="s">
        <v>4736</v>
      </c>
      <c r="B4092" t="s">
        <v>10264</v>
      </c>
      <c r="C4092" t="str">
        <f>IFERROR(VLOOKUP(ILACLISTE[[#This Row],[NAME]],Table5[#All],2,0),"")</f>
        <v/>
      </c>
    </row>
    <row r="4093" spans="1:3" x14ac:dyDescent="0.3">
      <c r="A4093" s="5" t="s">
        <v>4737</v>
      </c>
      <c r="B4093" t="s">
        <v>10265</v>
      </c>
      <c r="C4093" t="str">
        <f>IFERROR(VLOOKUP(ILACLISTE[[#This Row],[NAME]],Table5[#All],2,0),"")</f>
        <v/>
      </c>
    </row>
    <row r="4094" spans="1:3" x14ac:dyDescent="0.3">
      <c r="A4094" s="5" t="s">
        <v>4738</v>
      </c>
      <c r="B4094" t="s">
        <v>10266</v>
      </c>
      <c r="C4094" t="str">
        <f>IFERROR(VLOOKUP(ILACLISTE[[#This Row],[NAME]],Table5[#All],2,0),"")</f>
        <v/>
      </c>
    </row>
    <row r="4095" spans="1:3" x14ac:dyDescent="0.3">
      <c r="A4095" s="5" t="s">
        <v>4739</v>
      </c>
      <c r="B4095" t="s">
        <v>10267</v>
      </c>
      <c r="C4095" t="str">
        <f>IFERROR(VLOOKUP(ILACLISTE[[#This Row],[NAME]],Table5[#All],2,0),"")</f>
        <v/>
      </c>
    </row>
    <row r="4096" spans="1:3" x14ac:dyDescent="0.3">
      <c r="A4096" s="5" t="s">
        <v>4740</v>
      </c>
      <c r="B4096" t="s">
        <v>10268</v>
      </c>
      <c r="C4096" t="str">
        <f>IFERROR(VLOOKUP(ILACLISTE[[#This Row],[NAME]],Table5[#All],2,0),"")</f>
        <v/>
      </c>
    </row>
    <row r="4097" spans="1:3" x14ac:dyDescent="0.3">
      <c r="A4097" s="5" t="s">
        <v>4741</v>
      </c>
      <c r="B4097" t="s">
        <v>10269</v>
      </c>
      <c r="C4097" t="str">
        <f>IFERROR(VLOOKUP(ILACLISTE[[#This Row],[NAME]],Table5[#All],2,0),"")</f>
        <v/>
      </c>
    </row>
    <row r="4098" spans="1:3" x14ac:dyDescent="0.3">
      <c r="A4098" s="5" t="s">
        <v>4742</v>
      </c>
      <c r="B4098" t="s">
        <v>10270</v>
      </c>
      <c r="C4098" t="str">
        <f>IFERROR(VLOOKUP(ILACLISTE[[#This Row],[NAME]],Table5[#All],2,0),"")</f>
        <v/>
      </c>
    </row>
    <row r="4099" spans="1:3" x14ac:dyDescent="0.3">
      <c r="A4099" s="5" t="s">
        <v>4743</v>
      </c>
      <c r="B4099" t="s">
        <v>10271</v>
      </c>
      <c r="C4099" t="str">
        <f>IFERROR(VLOOKUP(ILACLISTE[[#This Row],[NAME]],Table5[#All],2,0),"")</f>
        <v/>
      </c>
    </row>
    <row r="4100" spans="1:3" x14ac:dyDescent="0.3">
      <c r="A4100" s="5" t="s">
        <v>4744</v>
      </c>
      <c r="B4100" t="s">
        <v>10272</v>
      </c>
      <c r="C4100" t="str">
        <f>IFERROR(VLOOKUP(ILACLISTE[[#This Row],[NAME]],Table5[#All],2,0),"")</f>
        <v/>
      </c>
    </row>
    <row r="4101" spans="1:3" x14ac:dyDescent="0.3">
      <c r="A4101" s="5" t="s">
        <v>4745</v>
      </c>
      <c r="B4101" t="s">
        <v>10273</v>
      </c>
      <c r="C4101" t="str">
        <f>IFERROR(VLOOKUP(ILACLISTE[[#This Row],[NAME]],Table5[#All],2,0),"")</f>
        <v/>
      </c>
    </row>
    <row r="4102" spans="1:3" x14ac:dyDescent="0.3">
      <c r="A4102" s="5" t="s">
        <v>4746</v>
      </c>
      <c r="B4102" t="s">
        <v>10274</v>
      </c>
      <c r="C4102" t="str">
        <f>IFERROR(VLOOKUP(ILACLISTE[[#This Row],[NAME]],Table5[#All],2,0),"")</f>
        <v/>
      </c>
    </row>
    <row r="4103" spans="1:3" x14ac:dyDescent="0.3">
      <c r="A4103" s="5" t="s">
        <v>4747</v>
      </c>
      <c r="B4103" t="s">
        <v>10275</v>
      </c>
      <c r="C4103" t="str">
        <f>IFERROR(VLOOKUP(ILACLISTE[[#This Row],[NAME]],Table5[#All],2,0),"")</f>
        <v/>
      </c>
    </row>
    <row r="4104" spans="1:3" x14ac:dyDescent="0.3">
      <c r="A4104" s="5" t="s">
        <v>4748</v>
      </c>
      <c r="B4104" t="s">
        <v>10276</v>
      </c>
      <c r="C4104" t="str">
        <f>IFERROR(VLOOKUP(ILACLISTE[[#This Row],[NAME]],Table5[#All],2,0),"")</f>
        <v/>
      </c>
    </row>
    <row r="4105" spans="1:3" x14ac:dyDescent="0.3">
      <c r="A4105" s="5" t="s">
        <v>4749</v>
      </c>
      <c r="B4105" t="s">
        <v>10277</v>
      </c>
      <c r="C4105" t="str">
        <f>IFERROR(VLOOKUP(ILACLISTE[[#This Row],[NAME]],Table5[#All],2,0),"")</f>
        <v/>
      </c>
    </row>
    <row r="4106" spans="1:3" x14ac:dyDescent="0.3">
      <c r="A4106" s="5" t="s">
        <v>4750</v>
      </c>
      <c r="B4106" t="s">
        <v>10278</v>
      </c>
      <c r="C4106" t="str">
        <f>IFERROR(VLOOKUP(ILACLISTE[[#This Row],[NAME]],Table5[#All],2,0),"")</f>
        <v/>
      </c>
    </row>
    <row r="4107" spans="1:3" x14ac:dyDescent="0.3">
      <c r="A4107" s="5" t="s">
        <v>4751</v>
      </c>
      <c r="B4107" t="s">
        <v>10279</v>
      </c>
      <c r="C4107" t="str">
        <f>IFERROR(VLOOKUP(ILACLISTE[[#This Row],[NAME]],Table5[#All],2,0),"")</f>
        <v/>
      </c>
    </row>
    <row r="4108" spans="1:3" x14ac:dyDescent="0.3">
      <c r="A4108" s="5" t="s">
        <v>4752</v>
      </c>
      <c r="B4108" t="s">
        <v>10280</v>
      </c>
      <c r="C4108" t="str">
        <f>IFERROR(VLOOKUP(ILACLISTE[[#This Row],[NAME]],Table5[#All],2,0),"")</f>
        <v/>
      </c>
    </row>
    <row r="4109" spans="1:3" x14ac:dyDescent="0.3">
      <c r="A4109" s="5" t="s">
        <v>4753</v>
      </c>
      <c r="B4109" t="s">
        <v>10281</v>
      </c>
      <c r="C4109" t="str">
        <f>IFERROR(VLOOKUP(ILACLISTE[[#This Row],[NAME]],Table5[#All],2,0),"")</f>
        <v/>
      </c>
    </row>
    <row r="4110" spans="1:3" x14ac:dyDescent="0.3">
      <c r="A4110" s="5" t="s">
        <v>4754</v>
      </c>
      <c r="B4110" t="s">
        <v>10282</v>
      </c>
      <c r="C4110" t="str">
        <f>IFERROR(VLOOKUP(ILACLISTE[[#This Row],[NAME]],Table5[#All],2,0),"")</f>
        <v/>
      </c>
    </row>
    <row r="4111" spans="1:3" x14ac:dyDescent="0.3">
      <c r="A4111" s="5" t="s">
        <v>4755</v>
      </c>
      <c r="B4111" t="s">
        <v>10283</v>
      </c>
      <c r="C4111" t="str">
        <f>IFERROR(VLOOKUP(ILACLISTE[[#This Row],[NAME]],Table5[#All],2,0),"")</f>
        <v/>
      </c>
    </row>
    <row r="4112" spans="1:3" x14ac:dyDescent="0.3">
      <c r="A4112" s="5" t="s">
        <v>4756</v>
      </c>
      <c r="B4112" t="s">
        <v>10284</v>
      </c>
      <c r="C4112" t="str">
        <f>IFERROR(VLOOKUP(ILACLISTE[[#This Row],[NAME]],Table5[#All],2,0),"")</f>
        <v/>
      </c>
    </row>
    <row r="4113" spans="1:3" x14ac:dyDescent="0.3">
      <c r="A4113" s="5" t="s">
        <v>4757</v>
      </c>
      <c r="B4113" t="s">
        <v>10285</v>
      </c>
      <c r="C4113" t="str">
        <f>IFERROR(VLOOKUP(ILACLISTE[[#This Row],[NAME]],Table5[#All],2,0),"")</f>
        <v/>
      </c>
    </row>
    <row r="4114" spans="1:3" x14ac:dyDescent="0.3">
      <c r="A4114" s="5" t="s">
        <v>4758</v>
      </c>
      <c r="B4114" t="s">
        <v>10286</v>
      </c>
      <c r="C4114" t="str">
        <f>IFERROR(VLOOKUP(ILACLISTE[[#This Row],[NAME]],Table5[#All],2,0),"")</f>
        <v/>
      </c>
    </row>
    <row r="4115" spans="1:3" x14ac:dyDescent="0.3">
      <c r="A4115" s="5" t="s">
        <v>4759</v>
      </c>
      <c r="B4115" t="s">
        <v>10287</v>
      </c>
      <c r="C4115" t="str">
        <f>IFERROR(VLOOKUP(ILACLISTE[[#This Row],[NAME]],Table5[#All],2,0),"")</f>
        <v/>
      </c>
    </row>
    <row r="4116" spans="1:3" x14ac:dyDescent="0.3">
      <c r="A4116" s="5" t="s">
        <v>4760</v>
      </c>
      <c r="B4116" t="s">
        <v>10288</v>
      </c>
      <c r="C4116" t="str">
        <f>IFERROR(VLOOKUP(ILACLISTE[[#This Row],[NAME]],Table5[#All],2,0),"")</f>
        <v/>
      </c>
    </row>
    <row r="4117" spans="1:3" x14ac:dyDescent="0.3">
      <c r="A4117" s="5" t="s">
        <v>4761</v>
      </c>
      <c r="B4117" t="s">
        <v>10289</v>
      </c>
      <c r="C4117" t="str">
        <f>IFERROR(VLOOKUP(ILACLISTE[[#This Row],[NAME]],Table5[#All],2,0),"")</f>
        <v/>
      </c>
    </row>
    <row r="4118" spans="1:3" x14ac:dyDescent="0.3">
      <c r="A4118" s="5" t="s">
        <v>4762</v>
      </c>
      <c r="B4118" t="s">
        <v>10290</v>
      </c>
      <c r="C4118" t="str">
        <f>IFERROR(VLOOKUP(ILACLISTE[[#This Row],[NAME]],Table5[#All],2,0),"")</f>
        <v/>
      </c>
    </row>
    <row r="4119" spans="1:3" x14ac:dyDescent="0.3">
      <c r="A4119" s="5" t="s">
        <v>4763</v>
      </c>
      <c r="B4119" t="s">
        <v>10291</v>
      </c>
      <c r="C4119" t="str">
        <f>IFERROR(VLOOKUP(ILACLISTE[[#This Row],[NAME]],Table5[#All],2,0),"")</f>
        <v/>
      </c>
    </row>
    <row r="4120" spans="1:3" x14ac:dyDescent="0.3">
      <c r="A4120" s="5" t="s">
        <v>4764</v>
      </c>
      <c r="B4120" t="s">
        <v>10292</v>
      </c>
      <c r="C4120" t="str">
        <f>IFERROR(VLOOKUP(ILACLISTE[[#This Row],[NAME]],Table5[#All],2,0),"")</f>
        <v/>
      </c>
    </row>
    <row r="4121" spans="1:3" ht="20.399999999999999" x14ac:dyDescent="0.3">
      <c r="A4121" s="6" t="s">
        <v>4765</v>
      </c>
      <c r="B4121" t="s">
        <v>10293</v>
      </c>
      <c r="C4121" t="str">
        <f>IFERROR(VLOOKUP(ILACLISTE[[#This Row],[NAME]],Table5[#All],2,0),"")</f>
        <v/>
      </c>
    </row>
    <row r="4122" spans="1:3" x14ac:dyDescent="0.3">
      <c r="A4122" s="5" t="s">
        <v>4766</v>
      </c>
      <c r="B4122" t="s">
        <v>10294</v>
      </c>
      <c r="C4122" t="str">
        <f>IFERROR(VLOOKUP(ILACLISTE[[#This Row],[NAME]],Table5[#All],2,0),"")</f>
        <v/>
      </c>
    </row>
    <row r="4123" spans="1:3" x14ac:dyDescent="0.3">
      <c r="A4123" s="5" t="s">
        <v>4767</v>
      </c>
      <c r="B4123" t="s">
        <v>10295</v>
      </c>
      <c r="C4123" t="str">
        <f>IFERROR(VLOOKUP(ILACLISTE[[#This Row],[NAME]],Table5[#All],2,0),"")</f>
        <v/>
      </c>
    </row>
    <row r="4124" spans="1:3" x14ac:dyDescent="0.3">
      <c r="A4124" s="5" t="s">
        <v>4768</v>
      </c>
      <c r="B4124" t="s">
        <v>10296</v>
      </c>
      <c r="C4124" t="str">
        <f>IFERROR(VLOOKUP(ILACLISTE[[#This Row],[NAME]],Table5[#All],2,0),"")</f>
        <v/>
      </c>
    </row>
    <row r="4125" spans="1:3" x14ac:dyDescent="0.3">
      <c r="A4125" s="5" t="s">
        <v>4769</v>
      </c>
      <c r="B4125" t="s">
        <v>10297</v>
      </c>
      <c r="C4125" t="str">
        <f>IFERROR(VLOOKUP(ILACLISTE[[#This Row],[NAME]],Table5[#All],2,0),"")</f>
        <v/>
      </c>
    </row>
    <row r="4126" spans="1:3" x14ac:dyDescent="0.3">
      <c r="A4126" s="5" t="s">
        <v>4770</v>
      </c>
      <c r="B4126" t="s">
        <v>10298</v>
      </c>
      <c r="C4126" t="str">
        <f>IFERROR(VLOOKUP(ILACLISTE[[#This Row],[NAME]],Table5[#All],2,0),"")</f>
        <v/>
      </c>
    </row>
    <row r="4127" spans="1:3" x14ac:dyDescent="0.3">
      <c r="A4127" s="5" t="s">
        <v>4771</v>
      </c>
      <c r="B4127" t="s">
        <v>10299</v>
      </c>
      <c r="C4127" t="str">
        <f>IFERROR(VLOOKUP(ILACLISTE[[#This Row],[NAME]],Table5[#All],2,0),"")</f>
        <v/>
      </c>
    </row>
    <row r="4128" spans="1:3" x14ac:dyDescent="0.3">
      <c r="A4128" s="5" t="s">
        <v>4772</v>
      </c>
      <c r="B4128" t="s">
        <v>10300</v>
      </c>
      <c r="C4128" t="str">
        <f>IFERROR(VLOOKUP(ILACLISTE[[#This Row],[NAME]],Table5[#All],2,0),"")</f>
        <v/>
      </c>
    </row>
    <row r="4129" spans="1:3" x14ac:dyDescent="0.3">
      <c r="A4129" s="5" t="s">
        <v>4773</v>
      </c>
      <c r="B4129" t="s">
        <v>10301</v>
      </c>
      <c r="C4129" t="str">
        <f>IFERROR(VLOOKUP(ILACLISTE[[#This Row],[NAME]],Table5[#All],2,0),"")</f>
        <v/>
      </c>
    </row>
    <row r="4130" spans="1:3" x14ac:dyDescent="0.3">
      <c r="A4130" s="5" t="s">
        <v>4774</v>
      </c>
      <c r="B4130" t="s">
        <v>10302</v>
      </c>
      <c r="C4130" t="str">
        <f>IFERROR(VLOOKUP(ILACLISTE[[#This Row],[NAME]],Table5[#All],2,0),"")</f>
        <v/>
      </c>
    </row>
    <row r="4131" spans="1:3" x14ac:dyDescent="0.3">
      <c r="A4131" s="5" t="s">
        <v>10303</v>
      </c>
      <c r="B4131" t="s">
        <v>10304</v>
      </c>
      <c r="C4131" t="str">
        <f>IFERROR(VLOOKUP(ILACLISTE[[#This Row],[NAME]],Table5[#All],2,0),"")</f>
        <v/>
      </c>
    </row>
    <row r="4132" spans="1:3" x14ac:dyDescent="0.3">
      <c r="A4132" s="5" t="s">
        <v>4775</v>
      </c>
      <c r="B4132" t="s">
        <v>10305</v>
      </c>
      <c r="C4132" t="str">
        <f>IFERROR(VLOOKUP(ILACLISTE[[#This Row],[NAME]],Table5[#All],2,0),"")</f>
        <v/>
      </c>
    </row>
    <row r="4133" spans="1:3" x14ac:dyDescent="0.3">
      <c r="A4133" s="5" t="s">
        <v>4776</v>
      </c>
      <c r="B4133" t="s">
        <v>10306</v>
      </c>
      <c r="C4133" t="str">
        <f>IFERROR(VLOOKUP(ILACLISTE[[#This Row],[NAME]],Table5[#All],2,0),"")</f>
        <v/>
      </c>
    </row>
    <row r="4134" spans="1:3" x14ac:dyDescent="0.3">
      <c r="A4134" s="5" t="s">
        <v>4777</v>
      </c>
      <c r="B4134" t="s">
        <v>10307</v>
      </c>
      <c r="C4134" t="str">
        <f>IFERROR(VLOOKUP(ILACLISTE[[#This Row],[NAME]],Table5[#All],2,0),"")</f>
        <v/>
      </c>
    </row>
    <row r="4135" spans="1:3" x14ac:dyDescent="0.3">
      <c r="A4135" s="5" t="s">
        <v>4778</v>
      </c>
      <c r="B4135" t="s">
        <v>10308</v>
      </c>
      <c r="C4135" t="str">
        <f>IFERROR(VLOOKUP(ILACLISTE[[#This Row],[NAME]],Table5[#All],2,0),"")</f>
        <v/>
      </c>
    </row>
    <row r="4136" spans="1:3" x14ac:dyDescent="0.3">
      <c r="A4136" s="5" t="s">
        <v>4779</v>
      </c>
      <c r="B4136" t="s">
        <v>515</v>
      </c>
      <c r="C4136" t="str">
        <f>IFERROR(VLOOKUP(ILACLISTE[[#This Row],[NAME]],Table5[#All],2,0),"")</f>
        <v/>
      </c>
    </row>
    <row r="4137" spans="1:3" x14ac:dyDescent="0.3">
      <c r="A4137" s="5" t="s">
        <v>4780</v>
      </c>
      <c r="B4137" t="s">
        <v>516</v>
      </c>
      <c r="C4137" t="str">
        <f>IFERROR(VLOOKUP(ILACLISTE[[#This Row],[NAME]],Table5[#All],2,0),"")</f>
        <v/>
      </c>
    </row>
    <row r="4138" spans="1:3" x14ac:dyDescent="0.3">
      <c r="A4138" s="5" t="s">
        <v>4781</v>
      </c>
      <c r="B4138" t="s">
        <v>517</v>
      </c>
      <c r="C4138" t="str">
        <f>IFERROR(VLOOKUP(ILACLISTE[[#This Row],[NAME]],Table5[#All],2,0),"")</f>
        <v/>
      </c>
    </row>
    <row r="4139" spans="1:3" x14ac:dyDescent="0.3">
      <c r="A4139" s="5" t="s">
        <v>4782</v>
      </c>
      <c r="B4139" t="s">
        <v>10309</v>
      </c>
      <c r="C4139" t="str">
        <f>IFERROR(VLOOKUP(ILACLISTE[[#This Row],[NAME]],Table5[#All],2,0),"")</f>
        <v/>
      </c>
    </row>
    <row r="4140" spans="1:3" x14ac:dyDescent="0.3">
      <c r="A4140" s="5" t="s">
        <v>4783</v>
      </c>
      <c r="B4140" t="s">
        <v>518</v>
      </c>
      <c r="C4140" t="str">
        <f>IFERROR(VLOOKUP(ILACLISTE[[#This Row],[NAME]],Table5[#All],2,0),"")</f>
        <v/>
      </c>
    </row>
    <row r="4141" spans="1:3" x14ac:dyDescent="0.3">
      <c r="A4141" s="5" t="s">
        <v>4784</v>
      </c>
      <c r="B4141" t="s">
        <v>10310</v>
      </c>
      <c r="C4141" t="str">
        <f>IFERROR(VLOOKUP(ILACLISTE[[#This Row],[NAME]],Table5[#All],2,0),"")</f>
        <v/>
      </c>
    </row>
    <row r="4142" spans="1:3" x14ac:dyDescent="0.3">
      <c r="A4142" s="5" t="s">
        <v>4785</v>
      </c>
      <c r="B4142" t="s">
        <v>10311</v>
      </c>
      <c r="C4142" t="str">
        <f>IFERROR(VLOOKUP(ILACLISTE[[#This Row],[NAME]],Table5[#All],2,0),"")</f>
        <v/>
      </c>
    </row>
    <row r="4143" spans="1:3" x14ac:dyDescent="0.3">
      <c r="A4143" s="5" t="s">
        <v>4786</v>
      </c>
      <c r="B4143" t="s">
        <v>10312</v>
      </c>
      <c r="C4143" t="str">
        <f>IFERROR(VLOOKUP(ILACLISTE[[#This Row],[NAME]],Table5[#All],2,0),"")</f>
        <v/>
      </c>
    </row>
    <row r="4144" spans="1:3" x14ac:dyDescent="0.3">
      <c r="A4144" s="5" t="s">
        <v>4787</v>
      </c>
      <c r="B4144" t="s">
        <v>10313</v>
      </c>
      <c r="C4144" t="str">
        <f>IFERROR(VLOOKUP(ILACLISTE[[#This Row],[NAME]],Table5[#All],2,0),"")</f>
        <v/>
      </c>
    </row>
    <row r="4145" spans="1:3" x14ac:dyDescent="0.3">
      <c r="A4145" s="5" t="s">
        <v>4788</v>
      </c>
      <c r="B4145" t="s">
        <v>10314</v>
      </c>
      <c r="C4145" t="str">
        <f>IFERROR(VLOOKUP(ILACLISTE[[#This Row],[NAME]],Table5[#All],2,0),"")</f>
        <v/>
      </c>
    </row>
    <row r="4146" spans="1:3" x14ac:dyDescent="0.3">
      <c r="A4146" s="5" t="s">
        <v>4789</v>
      </c>
      <c r="B4146" t="s">
        <v>10315</v>
      </c>
      <c r="C4146" t="str">
        <f>IFERROR(VLOOKUP(ILACLISTE[[#This Row],[NAME]],Table5[#All],2,0),"")</f>
        <v/>
      </c>
    </row>
    <row r="4147" spans="1:3" x14ac:dyDescent="0.3">
      <c r="A4147" s="5" t="s">
        <v>4790</v>
      </c>
      <c r="B4147" t="s">
        <v>10316</v>
      </c>
      <c r="C4147" t="str">
        <f>IFERROR(VLOOKUP(ILACLISTE[[#This Row],[NAME]],Table5[#All],2,0),"")</f>
        <v/>
      </c>
    </row>
    <row r="4148" spans="1:3" x14ac:dyDescent="0.3">
      <c r="A4148" s="5" t="s">
        <v>4791</v>
      </c>
      <c r="B4148" t="s">
        <v>10317</v>
      </c>
      <c r="C4148" t="str">
        <f>IFERROR(VLOOKUP(ILACLISTE[[#This Row],[NAME]],Table5[#All],2,0),"")</f>
        <v/>
      </c>
    </row>
    <row r="4149" spans="1:3" x14ac:dyDescent="0.3">
      <c r="A4149" s="5" t="s">
        <v>4792</v>
      </c>
      <c r="B4149" t="s">
        <v>10318</v>
      </c>
      <c r="C4149" t="str">
        <f>IFERROR(VLOOKUP(ILACLISTE[[#This Row],[NAME]],Table5[#All],2,0),"")</f>
        <v/>
      </c>
    </row>
    <row r="4150" spans="1:3" x14ac:dyDescent="0.3">
      <c r="A4150" s="5" t="s">
        <v>4793</v>
      </c>
      <c r="B4150" t="s">
        <v>10319</v>
      </c>
      <c r="C4150" t="str">
        <f>IFERROR(VLOOKUP(ILACLISTE[[#This Row],[NAME]],Table5[#All],2,0),"")</f>
        <v/>
      </c>
    </row>
    <row r="4151" spans="1:3" x14ac:dyDescent="0.3">
      <c r="A4151" s="5" t="s">
        <v>4794</v>
      </c>
      <c r="B4151" t="s">
        <v>10320</v>
      </c>
      <c r="C4151" t="str">
        <f>IFERROR(VLOOKUP(ILACLISTE[[#This Row],[NAME]],Table5[#All],2,0),"")</f>
        <v/>
      </c>
    </row>
    <row r="4152" spans="1:3" x14ac:dyDescent="0.3">
      <c r="A4152" s="5" t="s">
        <v>4795</v>
      </c>
      <c r="B4152" t="s">
        <v>10321</v>
      </c>
      <c r="C4152" t="str">
        <f>IFERROR(VLOOKUP(ILACLISTE[[#This Row],[NAME]],Table5[#All],2,0),"")</f>
        <v/>
      </c>
    </row>
    <row r="4153" spans="1:3" x14ac:dyDescent="0.3">
      <c r="A4153" s="5" t="s">
        <v>4796</v>
      </c>
      <c r="B4153" t="s">
        <v>10322</v>
      </c>
      <c r="C4153" t="str">
        <f>IFERROR(VLOOKUP(ILACLISTE[[#This Row],[NAME]],Table5[#All],2,0),"")</f>
        <v/>
      </c>
    </row>
    <row r="4154" spans="1:3" x14ac:dyDescent="0.3">
      <c r="A4154" s="5" t="s">
        <v>4797</v>
      </c>
      <c r="B4154" t="s">
        <v>10323</v>
      </c>
      <c r="C4154" t="str">
        <f>IFERROR(VLOOKUP(ILACLISTE[[#This Row],[NAME]],Table5[#All],2,0),"")</f>
        <v/>
      </c>
    </row>
    <row r="4155" spans="1:3" x14ac:dyDescent="0.3">
      <c r="A4155" s="5" t="s">
        <v>4798</v>
      </c>
      <c r="B4155" t="s">
        <v>10324</v>
      </c>
      <c r="C4155" t="str">
        <f>IFERROR(VLOOKUP(ILACLISTE[[#This Row],[NAME]],Table5[#All],2,0),"")</f>
        <v/>
      </c>
    </row>
    <row r="4156" spans="1:3" x14ac:dyDescent="0.3">
      <c r="A4156" s="5" t="s">
        <v>4799</v>
      </c>
      <c r="B4156" t="s">
        <v>10325</v>
      </c>
      <c r="C4156" t="str">
        <f>IFERROR(VLOOKUP(ILACLISTE[[#This Row],[NAME]],Table5[#All],2,0),"")</f>
        <v/>
      </c>
    </row>
    <row r="4157" spans="1:3" x14ac:dyDescent="0.3">
      <c r="A4157" s="5" t="s">
        <v>4800</v>
      </c>
      <c r="B4157" t="s">
        <v>10326</v>
      </c>
      <c r="C4157" t="str">
        <f>IFERROR(VLOOKUP(ILACLISTE[[#This Row],[NAME]],Table5[#All],2,0),"")</f>
        <v/>
      </c>
    </row>
    <row r="4158" spans="1:3" x14ac:dyDescent="0.3">
      <c r="A4158" s="5" t="s">
        <v>4801</v>
      </c>
      <c r="B4158" t="s">
        <v>10327</v>
      </c>
      <c r="C4158" t="str">
        <f>IFERROR(VLOOKUP(ILACLISTE[[#This Row],[NAME]],Table5[#All],2,0),"")</f>
        <v/>
      </c>
    </row>
    <row r="4159" spans="1:3" x14ac:dyDescent="0.3">
      <c r="A4159" s="5" t="s">
        <v>4802</v>
      </c>
      <c r="B4159" t="s">
        <v>10328</v>
      </c>
      <c r="C4159" t="str">
        <f>IFERROR(VLOOKUP(ILACLISTE[[#This Row],[NAME]],Table5[#All],2,0),"")</f>
        <v/>
      </c>
    </row>
    <row r="4160" spans="1:3" x14ac:dyDescent="0.3">
      <c r="A4160" s="5" t="s">
        <v>4803</v>
      </c>
      <c r="B4160" t="s">
        <v>10329</v>
      </c>
      <c r="C4160" t="str">
        <f>IFERROR(VLOOKUP(ILACLISTE[[#This Row],[NAME]],Table5[#All],2,0),"")</f>
        <v/>
      </c>
    </row>
    <row r="4161" spans="1:3" x14ac:dyDescent="0.3">
      <c r="A4161" s="5" t="s">
        <v>4804</v>
      </c>
      <c r="B4161" t="s">
        <v>10330</v>
      </c>
      <c r="C4161" t="str">
        <f>IFERROR(VLOOKUP(ILACLISTE[[#This Row],[NAME]],Table5[#All],2,0),"")</f>
        <v/>
      </c>
    </row>
    <row r="4162" spans="1:3" x14ac:dyDescent="0.3">
      <c r="A4162" s="5" t="s">
        <v>4805</v>
      </c>
      <c r="B4162" t="s">
        <v>10331</v>
      </c>
      <c r="C4162" t="str">
        <f>IFERROR(VLOOKUP(ILACLISTE[[#This Row],[NAME]],Table5[#All],2,0),"")</f>
        <v/>
      </c>
    </row>
    <row r="4163" spans="1:3" x14ac:dyDescent="0.3">
      <c r="A4163" s="5" t="s">
        <v>4806</v>
      </c>
      <c r="B4163" t="s">
        <v>10332</v>
      </c>
      <c r="C4163" t="str">
        <f>IFERROR(VLOOKUP(ILACLISTE[[#This Row],[NAME]],Table5[#All],2,0),"")</f>
        <v/>
      </c>
    </row>
    <row r="4164" spans="1:3" x14ac:dyDescent="0.3">
      <c r="A4164" s="5" t="s">
        <v>4807</v>
      </c>
      <c r="B4164" t="s">
        <v>10333</v>
      </c>
      <c r="C4164" t="str">
        <f>IFERROR(VLOOKUP(ILACLISTE[[#This Row],[NAME]],Table5[#All],2,0),"")</f>
        <v/>
      </c>
    </row>
    <row r="4165" spans="1:3" x14ac:dyDescent="0.3">
      <c r="A4165" s="5" t="s">
        <v>4808</v>
      </c>
      <c r="B4165" t="s">
        <v>10334</v>
      </c>
      <c r="C4165" t="str">
        <f>IFERROR(VLOOKUP(ILACLISTE[[#This Row],[NAME]],Table5[#All],2,0),"")</f>
        <v/>
      </c>
    </row>
    <row r="4166" spans="1:3" x14ac:dyDescent="0.3">
      <c r="A4166" s="5" t="s">
        <v>4809</v>
      </c>
      <c r="B4166" t="s">
        <v>519</v>
      </c>
      <c r="C4166" t="str">
        <f>IFERROR(VLOOKUP(ILACLISTE[[#This Row],[NAME]],Table5[#All],2,0),"")</f>
        <v/>
      </c>
    </row>
    <row r="4167" spans="1:3" x14ac:dyDescent="0.3">
      <c r="A4167" s="5" t="s">
        <v>4810</v>
      </c>
      <c r="B4167" t="s">
        <v>10335</v>
      </c>
      <c r="C4167" t="str">
        <f>IFERROR(VLOOKUP(ILACLISTE[[#This Row],[NAME]],Table5[#All],2,0),"")</f>
        <v/>
      </c>
    </row>
    <row r="4168" spans="1:3" x14ac:dyDescent="0.3">
      <c r="A4168" s="5" t="s">
        <v>4811</v>
      </c>
      <c r="B4168" t="s">
        <v>520</v>
      </c>
      <c r="C4168" t="str">
        <f>IFERROR(VLOOKUP(ILACLISTE[[#This Row],[NAME]],Table5[#All],2,0),"")</f>
        <v/>
      </c>
    </row>
    <row r="4169" spans="1:3" x14ac:dyDescent="0.3">
      <c r="A4169" s="5" t="s">
        <v>4812</v>
      </c>
      <c r="B4169" t="s">
        <v>521</v>
      </c>
      <c r="C4169" t="str">
        <f>IFERROR(VLOOKUP(ILACLISTE[[#This Row],[NAME]],Table5[#All],2,0),"")</f>
        <v/>
      </c>
    </row>
    <row r="4170" spans="1:3" x14ac:dyDescent="0.3">
      <c r="A4170" s="5" t="s">
        <v>4813</v>
      </c>
      <c r="B4170" t="s">
        <v>522</v>
      </c>
      <c r="C4170" t="str">
        <f>IFERROR(VLOOKUP(ILACLISTE[[#This Row],[NAME]],Table5[#All],2,0),"")</f>
        <v/>
      </c>
    </row>
    <row r="4171" spans="1:3" x14ac:dyDescent="0.3">
      <c r="A4171" s="5" t="s">
        <v>4814</v>
      </c>
      <c r="B4171" t="s">
        <v>523</v>
      </c>
      <c r="C4171" t="str">
        <f>IFERROR(VLOOKUP(ILACLISTE[[#This Row],[NAME]],Table5[#All],2,0),"")</f>
        <v/>
      </c>
    </row>
    <row r="4172" spans="1:3" x14ac:dyDescent="0.3">
      <c r="A4172" s="5" t="s">
        <v>4815</v>
      </c>
      <c r="B4172" t="s">
        <v>10336</v>
      </c>
      <c r="C4172" t="str">
        <f>IFERROR(VLOOKUP(ILACLISTE[[#This Row],[NAME]],Table5[#All],2,0),"")</f>
        <v/>
      </c>
    </row>
    <row r="4173" spans="1:3" x14ac:dyDescent="0.3">
      <c r="A4173" s="5" t="s">
        <v>4816</v>
      </c>
      <c r="B4173" t="s">
        <v>524</v>
      </c>
      <c r="C4173" t="str">
        <f>IFERROR(VLOOKUP(ILACLISTE[[#This Row],[NAME]],Table5[#All],2,0),"")</f>
        <v/>
      </c>
    </row>
    <row r="4174" spans="1:3" x14ac:dyDescent="0.3">
      <c r="A4174" s="5" t="s">
        <v>4817</v>
      </c>
      <c r="B4174" t="s">
        <v>10337</v>
      </c>
      <c r="C4174" t="str">
        <f>IFERROR(VLOOKUP(ILACLISTE[[#This Row],[NAME]],Table5[#All],2,0),"")</f>
        <v/>
      </c>
    </row>
    <row r="4175" spans="1:3" x14ac:dyDescent="0.3">
      <c r="A4175" s="5" t="s">
        <v>4818</v>
      </c>
      <c r="B4175" t="s">
        <v>10338</v>
      </c>
      <c r="C4175" t="str">
        <f>IFERROR(VLOOKUP(ILACLISTE[[#This Row],[NAME]],Table5[#All],2,0),"")</f>
        <v/>
      </c>
    </row>
    <row r="4176" spans="1:3" x14ac:dyDescent="0.3">
      <c r="A4176" s="5" t="s">
        <v>4819</v>
      </c>
      <c r="B4176" t="s">
        <v>10339</v>
      </c>
      <c r="C4176" t="str">
        <f>IFERROR(VLOOKUP(ILACLISTE[[#This Row],[NAME]],Table5[#All],2,0),"")</f>
        <v/>
      </c>
    </row>
    <row r="4177" spans="1:3" x14ac:dyDescent="0.3">
      <c r="A4177" s="5" t="s">
        <v>4820</v>
      </c>
      <c r="B4177" t="s">
        <v>10340</v>
      </c>
      <c r="C4177" t="str">
        <f>IFERROR(VLOOKUP(ILACLISTE[[#This Row],[NAME]],Table5[#All],2,0),"")</f>
        <v/>
      </c>
    </row>
    <row r="4178" spans="1:3" x14ac:dyDescent="0.3">
      <c r="A4178" s="5" t="s">
        <v>4821</v>
      </c>
      <c r="B4178" t="s">
        <v>10341</v>
      </c>
      <c r="C4178" t="str">
        <f>IFERROR(VLOOKUP(ILACLISTE[[#This Row],[NAME]],Table5[#All],2,0),"")</f>
        <v/>
      </c>
    </row>
    <row r="4179" spans="1:3" x14ac:dyDescent="0.3">
      <c r="A4179" s="5" t="s">
        <v>4822</v>
      </c>
      <c r="B4179" t="s">
        <v>525</v>
      </c>
      <c r="C4179" t="str">
        <f>IFERROR(VLOOKUP(ILACLISTE[[#This Row],[NAME]],Table5[#All],2,0),"")</f>
        <v/>
      </c>
    </row>
    <row r="4180" spans="1:3" x14ac:dyDescent="0.3">
      <c r="A4180" s="5" t="s">
        <v>4823</v>
      </c>
      <c r="B4180" t="s">
        <v>526</v>
      </c>
      <c r="C4180" t="str">
        <f>IFERROR(VLOOKUP(ILACLISTE[[#This Row],[NAME]],Table5[#All],2,0),"")</f>
        <v/>
      </c>
    </row>
    <row r="4181" spans="1:3" x14ac:dyDescent="0.3">
      <c r="A4181" s="5" t="s">
        <v>4824</v>
      </c>
      <c r="B4181" t="s">
        <v>527</v>
      </c>
      <c r="C4181" t="str">
        <f>IFERROR(VLOOKUP(ILACLISTE[[#This Row],[NAME]],Table5[#All],2,0),"")</f>
        <v/>
      </c>
    </row>
    <row r="4182" spans="1:3" x14ac:dyDescent="0.3">
      <c r="A4182" s="5" t="s">
        <v>4825</v>
      </c>
      <c r="B4182" t="s">
        <v>10342</v>
      </c>
      <c r="C4182" t="str">
        <f>IFERROR(VLOOKUP(ILACLISTE[[#This Row],[NAME]],Table5[#All],2,0),"")</f>
        <v/>
      </c>
    </row>
    <row r="4183" spans="1:3" x14ac:dyDescent="0.3">
      <c r="A4183" s="5" t="s">
        <v>4826</v>
      </c>
      <c r="B4183" t="s">
        <v>10343</v>
      </c>
      <c r="C4183" t="str">
        <f>IFERROR(VLOOKUP(ILACLISTE[[#This Row],[NAME]],Table5[#All],2,0),"")</f>
        <v/>
      </c>
    </row>
    <row r="4184" spans="1:3" x14ac:dyDescent="0.3">
      <c r="A4184" s="5" t="s">
        <v>4827</v>
      </c>
      <c r="B4184" t="s">
        <v>10344</v>
      </c>
      <c r="C4184" t="str">
        <f>IFERROR(VLOOKUP(ILACLISTE[[#This Row],[NAME]],Table5[#All],2,0),"")</f>
        <v/>
      </c>
    </row>
    <row r="4185" spans="1:3" x14ac:dyDescent="0.3">
      <c r="A4185" s="5" t="s">
        <v>4828</v>
      </c>
      <c r="B4185" t="s">
        <v>10345</v>
      </c>
      <c r="C4185" t="str">
        <f>IFERROR(VLOOKUP(ILACLISTE[[#This Row],[NAME]],Table5[#All],2,0),"")</f>
        <v/>
      </c>
    </row>
    <row r="4186" spans="1:3" x14ac:dyDescent="0.3">
      <c r="A4186" s="5" t="s">
        <v>4829</v>
      </c>
      <c r="B4186" t="s">
        <v>10346</v>
      </c>
      <c r="C4186" t="str">
        <f>IFERROR(VLOOKUP(ILACLISTE[[#This Row],[NAME]],Table5[#All],2,0),"")</f>
        <v/>
      </c>
    </row>
    <row r="4187" spans="1:3" x14ac:dyDescent="0.3">
      <c r="A4187" s="5" t="s">
        <v>4830</v>
      </c>
      <c r="B4187" t="s">
        <v>10347</v>
      </c>
      <c r="C4187" t="str">
        <f>IFERROR(VLOOKUP(ILACLISTE[[#This Row],[NAME]],Table5[#All],2,0),"")</f>
        <v/>
      </c>
    </row>
    <row r="4188" spans="1:3" x14ac:dyDescent="0.3">
      <c r="A4188" s="5" t="s">
        <v>4831</v>
      </c>
      <c r="B4188" t="s">
        <v>10348</v>
      </c>
      <c r="C4188" t="str">
        <f>IFERROR(VLOOKUP(ILACLISTE[[#This Row],[NAME]],Table5[#All],2,0),"")</f>
        <v/>
      </c>
    </row>
    <row r="4189" spans="1:3" x14ac:dyDescent="0.3">
      <c r="A4189" s="5" t="s">
        <v>4832</v>
      </c>
      <c r="B4189" t="s">
        <v>10349</v>
      </c>
      <c r="C4189" t="str">
        <f>IFERROR(VLOOKUP(ILACLISTE[[#This Row],[NAME]],Table5[#All],2,0),"")</f>
        <v/>
      </c>
    </row>
    <row r="4190" spans="1:3" x14ac:dyDescent="0.3">
      <c r="A4190" s="5" t="s">
        <v>4833</v>
      </c>
      <c r="B4190" t="s">
        <v>10350</v>
      </c>
      <c r="C4190" t="str">
        <f>IFERROR(VLOOKUP(ILACLISTE[[#This Row],[NAME]],Table5[#All],2,0),"")</f>
        <v/>
      </c>
    </row>
    <row r="4191" spans="1:3" x14ac:dyDescent="0.3">
      <c r="A4191" s="5" t="s">
        <v>4834</v>
      </c>
      <c r="B4191" t="s">
        <v>10351</v>
      </c>
      <c r="C4191" t="str">
        <f>IFERROR(VLOOKUP(ILACLISTE[[#This Row],[NAME]],Table5[#All],2,0),"")</f>
        <v/>
      </c>
    </row>
    <row r="4192" spans="1:3" x14ac:dyDescent="0.3">
      <c r="A4192" s="5" t="s">
        <v>4835</v>
      </c>
      <c r="B4192" t="s">
        <v>528</v>
      </c>
      <c r="C4192" t="str">
        <f>IFERROR(VLOOKUP(ILACLISTE[[#This Row],[NAME]],Table5[#All],2,0),"")</f>
        <v/>
      </c>
    </row>
    <row r="4193" spans="1:3" x14ac:dyDescent="0.3">
      <c r="A4193" s="5" t="s">
        <v>4836</v>
      </c>
      <c r="B4193" t="s">
        <v>529</v>
      </c>
      <c r="C4193" t="str">
        <f>IFERROR(VLOOKUP(ILACLISTE[[#This Row],[NAME]],Table5[#All],2,0),"")</f>
        <v/>
      </c>
    </row>
    <row r="4194" spans="1:3" x14ac:dyDescent="0.3">
      <c r="A4194" s="5" t="s">
        <v>4837</v>
      </c>
      <c r="B4194" t="s">
        <v>10352</v>
      </c>
      <c r="C4194" t="str">
        <f>IFERROR(VLOOKUP(ILACLISTE[[#This Row],[NAME]],Table5[#All],2,0),"")</f>
        <v/>
      </c>
    </row>
    <row r="4195" spans="1:3" x14ac:dyDescent="0.3">
      <c r="A4195" s="5" t="s">
        <v>4838</v>
      </c>
      <c r="B4195" t="s">
        <v>530</v>
      </c>
      <c r="C4195" t="str">
        <f>IFERROR(VLOOKUP(ILACLISTE[[#This Row],[NAME]],Table5[#All],2,0),"")</f>
        <v/>
      </c>
    </row>
    <row r="4196" spans="1:3" x14ac:dyDescent="0.3">
      <c r="A4196" s="5" t="s">
        <v>4839</v>
      </c>
      <c r="B4196" t="s">
        <v>10353</v>
      </c>
      <c r="C4196" t="str">
        <f>IFERROR(VLOOKUP(ILACLISTE[[#This Row],[NAME]],Table5[#All],2,0),"")</f>
        <v/>
      </c>
    </row>
    <row r="4197" spans="1:3" x14ac:dyDescent="0.3">
      <c r="A4197" s="5" t="s">
        <v>4840</v>
      </c>
      <c r="B4197" t="s">
        <v>531</v>
      </c>
      <c r="C4197" t="str">
        <f>IFERROR(VLOOKUP(ILACLISTE[[#This Row],[NAME]],Table5[#All],2,0),"")</f>
        <v/>
      </c>
    </row>
    <row r="4198" spans="1:3" x14ac:dyDescent="0.3">
      <c r="A4198" s="5" t="s">
        <v>4841</v>
      </c>
      <c r="B4198" t="s">
        <v>10354</v>
      </c>
      <c r="C4198" t="str">
        <f>IFERROR(VLOOKUP(ILACLISTE[[#This Row],[NAME]],Table5[#All],2,0),"")</f>
        <v/>
      </c>
    </row>
    <row r="4199" spans="1:3" x14ac:dyDescent="0.3">
      <c r="A4199" s="5" t="s">
        <v>4842</v>
      </c>
      <c r="B4199" t="s">
        <v>10355</v>
      </c>
      <c r="C4199" t="str">
        <f>IFERROR(VLOOKUP(ILACLISTE[[#This Row],[NAME]],Table5[#All],2,0),"")</f>
        <v/>
      </c>
    </row>
    <row r="4200" spans="1:3" x14ac:dyDescent="0.3">
      <c r="A4200" s="5" t="s">
        <v>4843</v>
      </c>
      <c r="B4200" t="s">
        <v>532</v>
      </c>
      <c r="C4200" t="str">
        <f>IFERROR(VLOOKUP(ILACLISTE[[#This Row],[NAME]],Table5[#All],2,0),"")</f>
        <v/>
      </c>
    </row>
    <row r="4201" spans="1:3" x14ac:dyDescent="0.3">
      <c r="A4201" s="5" t="s">
        <v>4844</v>
      </c>
      <c r="B4201" t="s">
        <v>10356</v>
      </c>
      <c r="C4201" t="str">
        <f>IFERROR(VLOOKUP(ILACLISTE[[#This Row],[NAME]],Table5[#All],2,0),"")</f>
        <v/>
      </c>
    </row>
    <row r="4202" spans="1:3" x14ac:dyDescent="0.3">
      <c r="A4202" s="5" t="s">
        <v>4845</v>
      </c>
      <c r="B4202" t="s">
        <v>10357</v>
      </c>
      <c r="C4202" t="str">
        <f>IFERROR(VLOOKUP(ILACLISTE[[#This Row],[NAME]],Table5[#All],2,0),"")</f>
        <v/>
      </c>
    </row>
    <row r="4203" spans="1:3" x14ac:dyDescent="0.3">
      <c r="A4203" s="5" t="s">
        <v>4846</v>
      </c>
      <c r="B4203" t="s">
        <v>10358</v>
      </c>
      <c r="C4203" t="str">
        <f>IFERROR(VLOOKUP(ILACLISTE[[#This Row],[NAME]],Table5[#All],2,0),"")</f>
        <v/>
      </c>
    </row>
    <row r="4204" spans="1:3" x14ac:dyDescent="0.3">
      <c r="A4204" s="5" t="s">
        <v>4847</v>
      </c>
      <c r="B4204" t="s">
        <v>10359</v>
      </c>
      <c r="C4204" t="str">
        <f>IFERROR(VLOOKUP(ILACLISTE[[#This Row],[NAME]],Table5[#All],2,0),"")</f>
        <v/>
      </c>
    </row>
    <row r="4205" spans="1:3" x14ac:dyDescent="0.3">
      <c r="A4205" s="5" t="s">
        <v>4848</v>
      </c>
      <c r="B4205" t="s">
        <v>10360</v>
      </c>
      <c r="C4205" t="str">
        <f>IFERROR(VLOOKUP(ILACLISTE[[#This Row],[NAME]],Table5[#All],2,0),"")</f>
        <v/>
      </c>
    </row>
    <row r="4206" spans="1:3" x14ac:dyDescent="0.3">
      <c r="A4206" s="5" t="s">
        <v>4849</v>
      </c>
      <c r="B4206" t="s">
        <v>10361</v>
      </c>
      <c r="C4206" t="str">
        <f>IFERROR(VLOOKUP(ILACLISTE[[#This Row],[NAME]],Table5[#All],2,0),"")</f>
        <v/>
      </c>
    </row>
    <row r="4207" spans="1:3" x14ac:dyDescent="0.3">
      <c r="A4207" s="5" t="s">
        <v>4850</v>
      </c>
      <c r="B4207" t="s">
        <v>10362</v>
      </c>
      <c r="C4207" t="str">
        <f>IFERROR(VLOOKUP(ILACLISTE[[#This Row],[NAME]],Table5[#All],2,0),"")</f>
        <v/>
      </c>
    </row>
    <row r="4208" spans="1:3" x14ac:dyDescent="0.3">
      <c r="A4208" s="5" t="s">
        <v>4851</v>
      </c>
      <c r="B4208" t="s">
        <v>10363</v>
      </c>
      <c r="C4208" t="str">
        <f>IFERROR(VLOOKUP(ILACLISTE[[#This Row],[NAME]],Table5[#All],2,0),"")</f>
        <v/>
      </c>
    </row>
    <row r="4209" spans="1:3" x14ac:dyDescent="0.3">
      <c r="A4209" s="5" t="s">
        <v>4852</v>
      </c>
      <c r="B4209" t="s">
        <v>10364</v>
      </c>
      <c r="C4209" t="str">
        <f>IFERROR(VLOOKUP(ILACLISTE[[#This Row],[NAME]],Table5[#All],2,0),"")</f>
        <v/>
      </c>
    </row>
    <row r="4210" spans="1:3" x14ac:dyDescent="0.3">
      <c r="A4210" s="5" t="s">
        <v>4853</v>
      </c>
      <c r="B4210" t="s">
        <v>10365</v>
      </c>
      <c r="C4210" t="str">
        <f>IFERROR(VLOOKUP(ILACLISTE[[#This Row],[NAME]],Table5[#All],2,0),"")</f>
        <v/>
      </c>
    </row>
    <row r="4211" spans="1:3" x14ac:dyDescent="0.3">
      <c r="A4211" s="5" t="s">
        <v>4854</v>
      </c>
      <c r="B4211" t="s">
        <v>10366</v>
      </c>
      <c r="C4211" t="str">
        <f>IFERROR(VLOOKUP(ILACLISTE[[#This Row],[NAME]],Table5[#All],2,0),"")</f>
        <v/>
      </c>
    </row>
    <row r="4212" spans="1:3" x14ac:dyDescent="0.3">
      <c r="A4212" s="5" t="s">
        <v>4855</v>
      </c>
      <c r="B4212" t="s">
        <v>10367</v>
      </c>
      <c r="C4212" t="str">
        <f>IFERROR(VLOOKUP(ILACLISTE[[#This Row],[NAME]],Table5[#All],2,0),"")</f>
        <v/>
      </c>
    </row>
    <row r="4213" spans="1:3" x14ac:dyDescent="0.3">
      <c r="A4213" s="5" t="s">
        <v>4856</v>
      </c>
      <c r="B4213" t="s">
        <v>10368</v>
      </c>
      <c r="C4213" t="str">
        <f>IFERROR(VLOOKUP(ILACLISTE[[#This Row],[NAME]],Table5[#All],2,0),"")</f>
        <v/>
      </c>
    </row>
    <row r="4214" spans="1:3" x14ac:dyDescent="0.3">
      <c r="A4214" s="5" t="s">
        <v>4857</v>
      </c>
      <c r="B4214" t="s">
        <v>10369</v>
      </c>
      <c r="C4214" t="str">
        <f>IFERROR(VLOOKUP(ILACLISTE[[#This Row],[NAME]],Table5[#All],2,0),"")</f>
        <v/>
      </c>
    </row>
    <row r="4215" spans="1:3" x14ac:dyDescent="0.3">
      <c r="A4215" s="5" t="s">
        <v>4858</v>
      </c>
      <c r="B4215" t="s">
        <v>10370</v>
      </c>
      <c r="C4215" t="str">
        <f>IFERROR(VLOOKUP(ILACLISTE[[#This Row],[NAME]],Table5[#All],2,0),"")</f>
        <v/>
      </c>
    </row>
    <row r="4216" spans="1:3" x14ac:dyDescent="0.3">
      <c r="A4216" s="5" t="s">
        <v>4859</v>
      </c>
      <c r="B4216" t="s">
        <v>10371</v>
      </c>
      <c r="C4216" t="str">
        <f>IFERROR(VLOOKUP(ILACLISTE[[#This Row],[NAME]],Table5[#All],2,0),"")</f>
        <v/>
      </c>
    </row>
    <row r="4217" spans="1:3" x14ac:dyDescent="0.3">
      <c r="A4217" s="5" t="s">
        <v>4860</v>
      </c>
      <c r="B4217" t="s">
        <v>10372</v>
      </c>
      <c r="C4217" t="str">
        <f>IFERROR(VLOOKUP(ILACLISTE[[#This Row],[NAME]],Table5[#All],2,0),"")</f>
        <v/>
      </c>
    </row>
    <row r="4218" spans="1:3" x14ac:dyDescent="0.3">
      <c r="A4218" s="5" t="s">
        <v>4861</v>
      </c>
      <c r="B4218" t="s">
        <v>10373</v>
      </c>
      <c r="C4218" t="str">
        <f>IFERROR(VLOOKUP(ILACLISTE[[#This Row],[NAME]],Table5[#All],2,0),"")</f>
        <v/>
      </c>
    </row>
    <row r="4219" spans="1:3" x14ac:dyDescent="0.3">
      <c r="A4219" s="5" t="s">
        <v>4862</v>
      </c>
      <c r="B4219" t="s">
        <v>10374</v>
      </c>
      <c r="C4219" t="str">
        <f>IFERROR(VLOOKUP(ILACLISTE[[#This Row],[NAME]],Table5[#All],2,0),"")</f>
        <v/>
      </c>
    </row>
    <row r="4220" spans="1:3" x14ac:dyDescent="0.3">
      <c r="A4220" s="5" t="s">
        <v>4863</v>
      </c>
      <c r="B4220" t="s">
        <v>10375</v>
      </c>
      <c r="C4220" t="str">
        <f>IFERROR(VLOOKUP(ILACLISTE[[#This Row],[NAME]],Table5[#All],2,0),"")</f>
        <v/>
      </c>
    </row>
    <row r="4221" spans="1:3" x14ac:dyDescent="0.3">
      <c r="A4221" s="5" t="s">
        <v>4864</v>
      </c>
      <c r="B4221" t="s">
        <v>10376</v>
      </c>
      <c r="C4221" t="str">
        <f>IFERROR(VLOOKUP(ILACLISTE[[#This Row],[NAME]],Table5[#All],2,0),"")</f>
        <v/>
      </c>
    </row>
    <row r="4222" spans="1:3" x14ac:dyDescent="0.3">
      <c r="A4222" s="5" t="s">
        <v>4865</v>
      </c>
      <c r="B4222" t="s">
        <v>10377</v>
      </c>
      <c r="C4222" t="str">
        <f>IFERROR(VLOOKUP(ILACLISTE[[#This Row],[NAME]],Table5[#All],2,0),"")</f>
        <v/>
      </c>
    </row>
    <row r="4223" spans="1:3" x14ac:dyDescent="0.3">
      <c r="A4223" s="5" t="s">
        <v>4866</v>
      </c>
      <c r="B4223" t="s">
        <v>533</v>
      </c>
      <c r="C4223" t="str">
        <f>IFERROR(VLOOKUP(ILACLISTE[[#This Row],[NAME]],Table5[#All],2,0),"")</f>
        <v/>
      </c>
    </row>
    <row r="4224" spans="1:3" x14ac:dyDescent="0.3">
      <c r="A4224" s="5" t="s">
        <v>4867</v>
      </c>
      <c r="B4224" t="s">
        <v>534</v>
      </c>
      <c r="C4224" t="str">
        <f>IFERROR(VLOOKUP(ILACLISTE[[#This Row],[NAME]],Table5[#All],2,0),"")</f>
        <v/>
      </c>
    </row>
    <row r="4225" spans="1:3" x14ac:dyDescent="0.3">
      <c r="A4225" s="5" t="s">
        <v>4868</v>
      </c>
      <c r="B4225" t="s">
        <v>10378</v>
      </c>
      <c r="C4225" t="str">
        <f>IFERROR(VLOOKUP(ILACLISTE[[#This Row],[NAME]],Table5[#All],2,0),"")</f>
        <v/>
      </c>
    </row>
    <row r="4226" spans="1:3" x14ac:dyDescent="0.3">
      <c r="A4226" s="5" t="s">
        <v>4869</v>
      </c>
      <c r="B4226" t="s">
        <v>10379</v>
      </c>
      <c r="C4226" t="str">
        <f>IFERROR(VLOOKUP(ILACLISTE[[#This Row],[NAME]],Table5[#All],2,0),"")</f>
        <v/>
      </c>
    </row>
    <row r="4227" spans="1:3" x14ac:dyDescent="0.3">
      <c r="A4227" s="5" t="s">
        <v>4870</v>
      </c>
      <c r="B4227" t="s">
        <v>10380</v>
      </c>
      <c r="C4227" t="str">
        <f>IFERROR(VLOOKUP(ILACLISTE[[#This Row],[NAME]],Table5[#All],2,0),"")</f>
        <v/>
      </c>
    </row>
    <row r="4228" spans="1:3" x14ac:dyDescent="0.3">
      <c r="A4228" s="5" t="s">
        <v>4871</v>
      </c>
      <c r="B4228" t="s">
        <v>535</v>
      </c>
      <c r="C4228" t="str">
        <f>IFERROR(VLOOKUP(ILACLISTE[[#This Row],[NAME]],Table5[#All],2,0),"")</f>
        <v/>
      </c>
    </row>
    <row r="4229" spans="1:3" x14ac:dyDescent="0.3">
      <c r="A4229" s="5" t="s">
        <v>4872</v>
      </c>
      <c r="B4229" t="s">
        <v>10381</v>
      </c>
      <c r="C4229" t="str">
        <f>IFERROR(VLOOKUP(ILACLISTE[[#This Row],[NAME]],Table5[#All],2,0),"")</f>
        <v/>
      </c>
    </row>
    <row r="4230" spans="1:3" x14ac:dyDescent="0.3">
      <c r="A4230" s="5" t="s">
        <v>4873</v>
      </c>
      <c r="B4230" t="s">
        <v>10382</v>
      </c>
      <c r="C4230" t="str">
        <f>IFERROR(VLOOKUP(ILACLISTE[[#This Row],[NAME]],Table5[#All],2,0),"")</f>
        <v/>
      </c>
    </row>
    <row r="4231" spans="1:3" x14ac:dyDescent="0.3">
      <c r="A4231" s="5" t="s">
        <v>4874</v>
      </c>
      <c r="B4231" t="s">
        <v>10383</v>
      </c>
      <c r="C4231" t="str">
        <f>IFERROR(VLOOKUP(ILACLISTE[[#This Row],[NAME]],Table5[#All],2,0),"")</f>
        <v/>
      </c>
    </row>
    <row r="4232" spans="1:3" x14ac:dyDescent="0.3">
      <c r="A4232" s="5" t="s">
        <v>4875</v>
      </c>
      <c r="B4232" t="s">
        <v>10384</v>
      </c>
      <c r="C4232" t="str">
        <f>IFERROR(VLOOKUP(ILACLISTE[[#This Row],[NAME]],Table5[#All],2,0),"")</f>
        <v/>
      </c>
    </row>
    <row r="4233" spans="1:3" x14ac:dyDescent="0.3">
      <c r="A4233" s="5" t="s">
        <v>4876</v>
      </c>
      <c r="B4233" t="s">
        <v>10385</v>
      </c>
      <c r="C4233" t="str">
        <f>IFERROR(VLOOKUP(ILACLISTE[[#This Row],[NAME]],Table5[#All],2,0),"")</f>
        <v/>
      </c>
    </row>
    <row r="4234" spans="1:3" x14ac:dyDescent="0.3">
      <c r="A4234" s="5" t="s">
        <v>4877</v>
      </c>
      <c r="B4234" t="s">
        <v>10386</v>
      </c>
      <c r="C4234" t="str">
        <f>IFERROR(VLOOKUP(ILACLISTE[[#This Row],[NAME]],Table5[#All],2,0),"")</f>
        <v/>
      </c>
    </row>
    <row r="4235" spans="1:3" x14ac:dyDescent="0.3">
      <c r="A4235" s="5" t="s">
        <v>4878</v>
      </c>
      <c r="B4235" t="s">
        <v>10387</v>
      </c>
      <c r="C4235" t="str">
        <f>IFERROR(VLOOKUP(ILACLISTE[[#This Row],[NAME]],Table5[#All],2,0),"")</f>
        <v/>
      </c>
    </row>
    <row r="4236" spans="1:3" x14ac:dyDescent="0.3">
      <c r="A4236" s="5" t="s">
        <v>4879</v>
      </c>
      <c r="B4236" t="s">
        <v>10388</v>
      </c>
      <c r="C4236" t="str">
        <f>IFERROR(VLOOKUP(ILACLISTE[[#This Row],[NAME]],Table5[#All],2,0),"")</f>
        <v/>
      </c>
    </row>
    <row r="4237" spans="1:3" x14ac:dyDescent="0.3">
      <c r="A4237" s="5" t="s">
        <v>4880</v>
      </c>
      <c r="B4237" t="s">
        <v>10389</v>
      </c>
      <c r="C4237" t="str">
        <f>IFERROR(VLOOKUP(ILACLISTE[[#This Row],[NAME]],Table5[#All],2,0),"")</f>
        <v/>
      </c>
    </row>
    <row r="4238" spans="1:3" x14ac:dyDescent="0.3">
      <c r="A4238" s="5" t="s">
        <v>4881</v>
      </c>
      <c r="B4238" t="s">
        <v>10390</v>
      </c>
      <c r="C4238" t="str">
        <f>IFERROR(VLOOKUP(ILACLISTE[[#This Row],[NAME]],Table5[#All],2,0),"")</f>
        <v/>
      </c>
    </row>
    <row r="4239" spans="1:3" x14ac:dyDescent="0.3">
      <c r="A4239" s="5" t="s">
        <v>4882</v>
      </c>
      <c r="B4239" t="s">
        <v>10391</v>
      </c>
      <c r="C4239" t="str">
        <f>IFERROR(VLOOKUP(ILACLISTE[[#This Row],[NAME]],Table5[#All],2,0),"")</f>
        <v/>
      </c>
    </row>
    <row r="4240" spans="1:3" x14ac:dyDescent="0.3">
      <c r="A4240" s="5" t="s">
        <v>4883</v>
      </c>
      <c r="B4240" t="s">
        <v>10392</v>
      </c>
      <c r="C4240" t="str">
        <f>IFERROR(VLOOKUP(ILACLISTE[[#This Row],[NAME]],Table5[#All],2,0),"")</f>
        <v/>
      </c>
    </row>
    <row r="4241" spans="1:3" x14ac:dyDescent="0.3">
      <c r="A4241" s="5" t="s">
        <v>4884</v>
      </c>
      <c r="B4241" t="s">
        <v>10393</v>
      </c>
      <c r="C4241" t="str">
        <f>IFERROR(VLOOKUP(ILACLISTE[[#This Row],[NAME]],Table5[#All],2,0),"")</f>
        <v/>
      </c>
    </row>
    <row r="4242" spans="1:3" x14ac:dyDescent="0.3">
      <c r="A4242" s="5" t="s">
        <v>4885</v>
      </c>
      <c r="B4242" t="s">
        <v>10394</v>
      </c>
      <c r="C4242" t="str">
        <f>IFERROR(VLOOKUP(ILACLISTE[[#This Row],[NAME]],Table5[#All],2,0),"")</f>
        <v/>
      </c>
    </row>
    <row r="4243" spans="1:3" x14ac:dyDescent="0.3">
      <c r="A4243" s="5" t="s">
        <v>4886</v>
      </c>
      <c r="B4243" t="s">
        <v>10395</v>
      </c>
      <c r="C4243" t="str">
        <f>IFERROR(VLOOKUP(ILACLISTE[[#This Row],[NAME]],Table5[#All],2,0),"")</f>
        <v/>
      </c>
    </row>
    <row r="4244" spans="1:3" x14ac:dyDescent="0.3">
      <c r="A4244" s="5" t="s">
        <v>4887</v>
      </c>
      <c r="B4244" t="s">
        <v>10396</v>
      </c>
      <c r="C4244" t="str">
        <f>IFERROR(VLOOKUP(ILACLISTE[[#This Row],[NAME]],Table5[#All],2,0),"")</f>
        <v/>
      </c>
    </row>
    <row r="4245" spans="1:3" x14ac:dyDescent="0.3">
      <c r="A4245" s="5" t="s">
        <v>4888</v>
      </c>
      <c r="B4245" t="s">
        <v>10397</v>
      </c>
      <c r="C4245" t="str">
        <f>IFERROR(VLOOKUP(ILACLISTE[[#This Row],[NAME]],Table5[#All],2,0),"")</f>
        <v/>
      </c>
    </row>
    <row r="4246" spans="1:3" x14ac:dyDescent="0.3">
      <c r="A4246" s="5" t="s">
        <v>4889</v>
      </c>
      <c r="B4246" t="s">
        <v>10398</v>
      </c>
      <c r="C4246" t="str">
        <f>IFERROR(VLOOKUP(ILACLISTE[[#This Row],[NAME]],Table5[#All],2,0),"")</f>
        <v/>
      </c>
    </row>
    <row r="4247" spans="1:3" x14ac:dyDescent="0.3">
      <c r="A4247" s="5" t="s">
        <v>4890</v>
      </c>
      <c r="B4247" t="s">
        <v>10399</v>
      </c>
      <c r="C4247" t="str">
        <f>IFERROR(VLOOKUP(ILACLISTE[[#This Row],[NAME]],Table5[#All],2,0),"")</f>
        <v/>
      </c>
    </row>
    <row r="4248" spans="1:3" x14ac:dyDescent="0.3">
      <c r="A4248" s="5" t="s">
        <v>4891</v>
      </c>
      <c r="B4248" t="s">
        <v>10400</v>
      </c>
      <c r="C4248" t="str">
        <f>IFERROR(VLOOKUP(ILACLISTE[[#This Row],[NAME]],Table5[#All],2,0),"")</f>
        <v/>
      </c>
    </row>
    <row r="4249" spans="1:3" x14ac:dyDescent="0.3">
      <c r="A4249" s="5" t="s">
        <v>4892</v>
      </c>
      <c r="B4249" t="s">
        <v>10401</v>
      </c>
      <c r="C4249" t="str">
        <f>IFERROR(VLOOKUP(ILACLISTE[[#This Row],[NAME]],Table5[#All],2,0),"")</f>
        <v/>
      </c>
    </row>
    <row r="4250" spans="1:3" x14ac:dyDescent="0.3">
      <c r="A4250" s="5" t="s">
        <v>4893</v>
      </c>
      <c r="B4250" t="s">
        <v>10402</v>
      </c>
      <c r="C4250" t="str">
        <f>IFERROR(VLOOKUP(ILACLISTE[[#This Row],[NAME]],Table5[#All],2,0),"")</f>
        <v/>
      </c>
    </row>
    <row r="4251" spans="1:3" x14ac:dyDescent="0.3">
      <c r="A4251" s="5" t="s">
        <v>4894</v>
      </c>
      <c r="B4251" t="s">
        <v>10403</v>
      </c>
      <c r="C4251" t="str">
        <f>IFERROR(VLOOKUP(ILACLISTE[[#This Row],[NAME]],Table5[#All],2,0),"")</f>
        <v/>
      </c>
    </row>
    <row r="4252" spans="1:3" x14ac:dyDescent="0.3">
      <c r="A4252" s="5" t="s">
        <v>4895</v>
      </c>
      <c r="B4252" t="s">
        <v>10404</v>
      </c>
      <c r="C4252" t="str">
        <f>IFERROR(VLOOKUP(ILACLISTE[[#This Row],[NAME]],Table5[#All],2,0),"")</f>
        <v/>
      </c>
    </row>
    <row r="4253" spans="1:3" x14ac:dyDescent="0.3">
      <c r="A4253" s="5" t="s">
        <v>4896</v>
      </c>
      <c r="B4253" t="s">
        <v>10405</v>
      </c>
      <c r="C4253" t="str">
        <f>IFERROR(VLOOKUP(ILACLISTE[[#This Row],[NAME]],Table5[#All],2,0),"")</f>
        <v/>
      </c>
    </row>
    <row r="4254" spans="1:3" x14ac:dyDescent="0.3">
      <c r="A4254" s="5" t="s">
        <v>4897</v>
      </c>
      <c r="B4254" t="s">
        <v>10406</v>
      </c>
      <c r="C4254" t="str">
        <f>IFERROR(VLOOKUP(ILACLISTE[[#This Row],[NAME]],Table5[#All],2,0),"")</f>
        <v/>
      </c>
    </row>
    <row r="4255" spans="1:3" x14ac:dyDescent="0.3">
      <c r="A4255" s="5" t="s">
        <v>4898</v>
      </c>
      <c r="B4255" t="s">
        <v>10407</v>
      </c>
      <c r="C4255" t="str">
        <f>IFERROR(VLOOKUP(ILACLISTE[[#This Row],[NAME]],Table5[#All],2,0),"")</f>
        <v/>
      </c>
    </row>
    <row r="4256" spans="1:3" x14ac:dyDescent="0.3">
      <c r="A4256" s="5" t="s">
        <v>4899</v>
      </c>
      <c r="B4256" t="s">
        <v>10408</v>
      </c>
      <c r="C4256" t="str">
        <f>IFERROR(VLOOKUP(ILACLISTE[[#This Row],[NAME]],Table5[#All],2,0),"")</f>
        <v/>
      </c>
    </row>
    <row r="4257" spans="1:3" x14ac:dyDescent="0.3">
      <c r="A4257" s="5" t="s">
        <v>4900</v>
      </c>
      <c r="B4257" t="s">
        <v>10409</v>
      </c>
      <c r="C4257" t="str">
        <f>IFERROR(VLOOKUP(ILACLISTE[[#This Row],[NAME]],Table5[#All],2,0),"")</f>
        <v/>
      </c>
    </row>
    <row r="4258" spans="1:3" x14ac:dyDescent="0.3">
      <c r="A4258" s="5" t="s">
        <v>4901</v>
      </c>
      <c r="B4258" t="s">
        <v>10410</v>
      </c>
      <c r="C4258" t="str">
        <f>IFERROR(VLOOKUP(ILACLISTE[[#This Row],[NAME]],Table5[#All],2,0),"")</f>
        <v/>
      </c>
    </row>
    <row r="4259" spans="1:3" x14ac:dyDescent="0.3">
      <c r="A4259" s="5" t="s">
        <v>4902</v>
      </c>
      <c r="B4259" t="s">
        <v>10411</v>
      </c>
      <c r="C4259" t="str">
        <f>IFERROR(VLOOKUP(ILACLISTE[[#This Row],[NAME]],Table5[#All],2,0),"")</f>
        <v/>
      </c>
    </row>
    <row r="4260" spans="1:3" x14ac:dyDescent="0.3">
      <c r="A4260" s="5" t="s">
        <v>4903</v>
      </c>
      <c r="B4260" t="s">
        <v>10412</v>
      </c>
      <c r="C4260" t="str">
        <f>IFERROR(VLOOKUP(ILACLISTE[[#This Row],[NAME]],Table5[#All],2,0),"")</f>
        <v/>
      </c>
    </row>
    <row r="4261" spans="1:3" x14ac:dyDescent="0.3">
      <c r="A4261" s="5" t="s">
        <v>4904</v>
      </c>
      <c r="B4261" t="s">
        <v>10413</v>
      </c>
      <c r="C4261" t="str">
        <f>IFERROR(VLOOKUP(ILACLISTE[[#This Row],[NAME]],Table5[#All],2,0),"")</f>
        <v/>
      </c>
    </row>
    <row r="4262" spans="1:3" x14ac:dyDescent="0.3">
      <c r="A4262" s="5" t="s">
        <v>4905</v>
      </c>
      <c r="B4262" t="s">
        <v>10414</v>
      </c>
      <c r="C4262" t="str">
        <f>IFERROR(VLOOKUP(ILACLISTE[[#This Row],[NAME]],Table5[#All],2,0),"")</f>
        <v/>
      </c>
    </row>
    <row r="4263" spans="1:3" x14ac:dyDescent="0.3">
      <c r="A4263" s="5" t="s">
        <v>4906</v>
      </c>
      <c r="B4263" t="s">
        <v>10415</v>
      </c>
      <c r="C4263" t="str">
        <f>IFERROR(VLOOKUP(ILACLISTE[[#This Row],[NAME]],Table5[#All],2,0),"")</f>
        <v/>
      </c>
    </row>
    <row r="4264" spans="1:3" x14ac:dyDescent="0.3">
      <c r="A4264" s="5" t="s">
        <v>4907</v>
      </c>
      <c r="B4264" t="s">
        <v>10416</v>
      </c>
      <c r="C4264" t="str">
        <f>IFERROR(VLOOKUP(ILACLISTE[[#This Row],[NAME]],Table5[#All],2,0),"")</f>
        <v/>
      </c>
    </row>
    <row r="4265" spans="1:3" x14ac:dyDescent="0.3">
      <c r="A4265" s="5" t="s">
        <v>4908</v>
      </c>
      <c r="B4265" t="s">
        <v>10417</v>
      </c>
      <c r="C4265" t="str">
        <f>IFERROR(VLOOKUP(ILACLISTE[[#This Row],[NAME]],Table5[#All],2,0),"")</f>
        <v/>
      </c>
    </row>
    <row r="4266" spans="1:3" x14ac:dyDescent="0.3">
      <c r="A4266" s="5" t="s">
        <v>4909</v>
      </c>
      <c r="B4266" t="s">
        <v>10418</v>
      </c>
      <c r="C4266" t="str">
        <f>IFERROR(VLOOKUP(ILACLISTE[[#This Row],[NAME]],Table5[#All],2,0),"")</f>
        <v/>
      </c>
    </row>
    <row r="4267" spans="1:3" x14ac:dyDescent="0.3">
      <c r="A4267" s="5" t="s">
        <v>4910</v>
      </c>
      <c r="B4267" t="s">
        <v>536</v>
      </c>
      <c r="C4267" t="str">
        <f>IFERROR(VLOOKUP(ILACLISTE[[#This Row],[NAME]],Table5[#All],2,0),"")</f>
        <v/>
      </c>
    </row>
    <row r="4268" spans="1:3" x14ac:dyDescent="0.3">
      <c r="A4268" s="5" t="s">
        <v>4911</v>
      </c>
      <c r="B4268" t="s">
        <v>10419</v>
      </c>
      <c r="C4268" t="str">
        <f>IFERROR(VLOOKUP(ILACLISTE[[#This Row],[NAME]],Table5[#All],2,0),"")</f>
        <v/>
      </c>
    </row>
    <row r="4269" spans="1:3" x14ac:dyDescent="0.3">
      <c r="A4269" s="5" t="s">
        <v>4912</v>
      </c>
      <c r="B4269" t="s">
        <v>537</v>
      </c>
      <c r="C4269" t="str">
        <f>IFERROR(VLOOKUP(ILACLISTE[[#This Row],[NAME]],Table5[#All],2,0),"")</f>
        <v/>
      </c>
    </row>
    <row r="4270" spans="1:3" x14ac:dyDescent="0.3">
      <c r="A4270" s="5" t="s">
        <v>4913</v>
      </c>
      <c r="B4270" t="s">
        <v>10420</v>
      </c>
      <c r="C4270" t="str">
        <f>IFERROR(VLOOKUP(ILACLISTE[[#This Row],[NAME]],Table5[#All],2,0),"")</f>
        <v/>
      </c>
    </row>
    <row r="4271" spans="1:3" x14ac:dyDescent="0.3">
      <c r="A4271" s="5" t="s">
        <v>4914</v>
      </c>
      <c r="B4271" t="s">
        <v>10421</v>
      </c>
      <c r="C4271" t="str">
        <f>IFERROR(VLOOKUP(ILACLISTE[[#This Row],[NAME]],Table5[#All],2,0),"")</f>
        <v/>
      </c>
    </row>
    <row r="4272" spans="1:3" x14ac:dyDescent="0.3">
      <c r="A4272" s="5" t="s">
        <v>4915</v>
      </c>
      <c r="B4272" t="s">
        <v>538</v>
      </c>
      <c r="C4272" t="str">
        <f>IFERROR(VLOOKUP(ILACLISTE[[#This Row],[NAME]],Table5[#All],2,0),"")</f>
        <v/>
      </c>
    </row>
    <row r="4273" spans="1:3" x14ac:dyDescent="0.3">
      <c r="A4273" s="5" t="s">
        <v>4916</v>
      </c>
      <c r="B4273" t="s">
        <v>10422</v>
      </c>
      <c r="C4273" t="str">
        <f>IFERROR(VLOOKUP(ILACLISTE[[#This Row],[NAME]],Table5[#All],2,0),"")</f>
        <v/>
      </c>
    </row>
    <row r="4274" spans="1:3" x14ac:dyDescent="0.3">
      <c r="A4274" s="5" t="s">
        <v>4917</v>
      </c>
      <c r="B4274" t="s">
        <v>10423</v>
      </c>
      <c r="C4274" t="str">
        <f>IFERROR(VLOOKUP(ILACLISTE[[#This Row],[NAME]],Table5[#All],2,0),"")</f>
        <v/>
      </c>
    </row>
    <row r="4275" spans="1:3" x14ac:dyDescent="0.3">
      <c r="A4275" s="5" t="s">
        <v>4918</v>
      </c>
      <c r="B4275" t="s">
        <v>10424</v>
      </c>
      <c r="C4275" t="str">
        <f>IFERROR(VLOOKUP(ILACLISTE[[#This Row],[NAME]],Table5[#All],2,0),"")</f>
        <v/>
      </c>
    </row>
    <row r="4276" spans="1:3" x14ac:dyDescent="0.3">
      <c r="A4276" s="5" t="s">
        <v>4919</v>
      </c>
      <c r="B4276" t="s">
        <v>10425</v>
      </c>
      <c r="C4276" t="str">
        <f>IFERROR(VLOOKUP(ILACLISTE[[#This Row],[NAME]],Table5[#All],2,0),"")</f>
        <v/>
      </c>
    </row>
    <row r="4277" spans="1:3" x14ac:dyDescent="0.3">
      <c r="A4277" s="5" t="s">
        <v>4920</v>
      </c>
      <c r="B4277" t="s">
        <v>10426</v>
      </c>
      <c r="C4277" t="str">
        <f>IFERROR(VLOOKUP(ILACLISTE[[#This Row],[NAME]],Table5[#All],2,0),"")</f>
        <v/>
      </c>
    </row>
    <row r="4278" spans="1:3" x14ac:dyDescent="0.3">
      <c r="A4278" s="5" t="s">
        <v>4921</v>
      </c>
      <c r="B4278" t="s">
        <v>10427</v>
      </c>
      <c r="C4278" t="str">
        <f>IFERROR(VLOOKUP(ILACLISTE[[#This Row],[NAME]],Table5[#All],2,0),"")</f>
        <v/>
      </c>
    </row>
    <row r="4279" spans="1:3" x14ac:dyDescent="0.3">
      <c r="A4279" s="5" t="s">
        <v>4922</v>
      </c>
      <c r="B4279" t="s">
        <v>10428</v>
      </c>
      <c r="C4279" t="str">
        <f>IFERROR(VLOOKUP(ILACLISTE[[#This Row],[NAME]],Table5[#All],2,0),"")</f>
        <v/>
      </c>
    </row>
    <row r="4280" spans="1:3" x14ac:dyDescent="0.3">
      <c r="A4280" s="5" t="s">
        <v>4923</v>
      </c>
      <c r="B4280" t="s">
        <v>10429</v>
      </c>
      <c r="C4280" t="str">
        <f>IFERROR(VLOOKUP(ILACLISTE[[#This Row],[NAME]],Table5[#All],2,0),"")</f>
        <v/>
      </c>
    </row>
    <row r="4281" spans="1:3" x14ac:dyDescent="0.3">
      <c r="A4281" s="5" t="s">
        <v>4924</v>
      </c>
      <c r="B4281" t="s">
        <v>10430</v>
      </c>
      <c r="C4281" t="str">
        <f>IFERROR(VLOOKUP(ILACLISTE[[#This Row],[NAME]],Table5[#All],2,0),"")</f>
        <v/>
      </c>
    </row>
    <row r="4282" spans="1:3" x14ac:dyDescent="0.3">
      <c r="A4282" s="5" t="s">
        <v>4925</v>
      </c>
      <c r="B4282" t="s">
        <v>10431</v>
      </c>
      <c r="C4282" t="str">
        <f>IFERROR(VLOOKUP(ILACLISTE[[#This Row],[NAME]],Table5[#All],2,0),"")</f>
        <v/>
      </c>
    </row>
    <row r="4283" spans="1:3" x14ac:dyDescent="0.3">
      <c r="A4283" s="5" t="s">
        <v>4926</v>
      </c>
      <c r="B4283" t="s">
        <v>10432</v>
      </c>
      <c r="C4283" t="str">
        <f>IFERROR(VLOOKUP(ILACLISTE[[#This Row],[NAME]],Table5[#All],2,0),"")</f>
        <v/>
      </c>
    </row>
    <row r="4284" spans="1:3" x14ac:dyDescent="0.3">
      <c r="A4284" s="5" t="s">
        <v>4927</v>
      </c>
      <c r="B4284" t="s">
        <v>10433</v>
      </c>
      <c r="C4284" t="str">
        <f>IFERROR(VLOOKUP(ILACLISTE[[#This Row],[NAME]],Table5[#All],2,0),"")</f>
        <v/>
      </c>
    </row>
    <row r="4285" spans="1:3" x14ac:dyDescent="0.3">
      <c r="A4285" s="5" t="s">
        <v>4928</v>
      </c>
      <c r="B4285" t="s">
        <v>10434</v>
      </c>
      <c r="C4285" t="str">
        <f>IFERROR(VLOOKUP(ILACLISTE[[#This Row],[NAME]],Table5[#All],2,0),"")</f>
        <v/>
      </c>
    </row>
    <row r="4286" spans="1:3" x14ac:dyDescent="0.3">
      <c r="A4286" s="5" t="s">
        <v>4929</v>
      </c>
      <c r="B4286" t="s">
        <v>10435</v>
      </c>
      <c r="C4286" t="str">
        <f>IFERROR(VLOOKUP(ILACLISTE[[#This Row],[NAME]],Table5[#All],2,0),"")</f>
        <v/>
      </c>
    </row>
    <row r="4287" spans="1:3" x14ac:dyDescent="0.3">
      <c r="A4287" s="5" t="s">
        <v>4930</v>
      </c>
      <c r="B4287" t="s">
        <v>10436</v>
      </c>
      <c r="C4287" t="str">
        <f>IFERROR(VLOOKUP(ILACLISTE[[#This Row],[NAME]],Table5[#All],2,0),"")</f>
        <v/>
      </c>
    </row>
    <row r="4288" spans="1:3" x14ac:dyDescent="0.3">
      <c r="A4288" s="5" t="s">
        <v>4931</v>
      </c>
      <c r="B4288" t="s">
        <v>10437</v>
      </c>
      <c r="C4288" t="str">
        <f>IFERROR(VLOOKUP(ILACLISTE[[#This Row],[NAME]],Table5[#All],2,0),"")</f>
        <v/>
      </c>
    </row>
    <row r="4289" spans="1:3" x14ac:dyDescent="0.3">
      <c r="A4289" s="5" t="s">
        <v>4932</v>
      </c>
      <c r="B4289" t="s">
        <v>10438</v>
      </c>
      <c r="C4289" t="str">
        <f>IFERROR(VLOOKUP(ILACLISTE[[#This Row],[NAME]],Table5[#All],2,0),"")</f>
        <v/>
      </c>
    </row>
    <row r="4290" spans="1:3" x14ac:dyDescent="0.3">
      <c r="A4290" s="5" t="s">
        <v>4933</v>
      </c>
      <c r="B4290" t="s">
        <v>10439</v>
      </c>
      <c r="C4290" t="str">
        <f>IFERROR(VLOOKUP(ILACLISTE[[#This Row],[NAME]],Table5[#All],2,0),"")</f>
        <v/>
      </c>
    </row>
    <row r="4291" spans="1:3" x14ac:dyDescent="0.3">
      <c r="A4291" s="5" t="s">
        <v>4934</v>
      </c>
      <c r="B4291" t="s">
        <v>10440</v>
      </c>
      <c r="C4291" t="str">
        <f>IFERROR(VLOOKUP(ILACLISTE[[#This Row],[NAME]],Table5[#All],2,0),"")</f>
        <v/>
      </c>
    </row>
    <row r="4292" spans="1:3" x14ac:dyDescent="0.3">
      <c r="A4292" s="5" t="s">
        <v>4935</v>
      </c>
      <c r="B4292" t="s">
        <v>10441</v>
      </c>
      <c r="C4292" t="str">
        <f>IFERROR(VLOOKUP(ILACLISTE[[#This Row],[NAME]],Table5[#All],2,0),"")</f>
        <v/>
      </c>
    </row>
    <row r="4293" spans="1:3" x14ac:dyDescent="0.3">
      <c r="A4293" s="5" t="s">
        <v>4936</v>
      </c>
      <c r="B4293" t="s">
        <v>10442</v>
      </c>
      <c r="C4293" t="str">
        <f>IFERROR(VLOOKUP(ILACLISTE[[#This Row],[NAME]],Table5[#All],2,0),"")</f>
        <v/>
      </c>
    </row>
    <row r="4294" spans="1:3" x14ac:dyDescent="0.3">
      <c r="A4294" s="5" t="s">
        <v>4937</v>
      </c>
      <c r="B4294" t="s">
        <v>10443</v>
      </c>
      <c r="C4294" t="str">
        <f>IFERROR(VLOOKUP(ILACLISTE[[#This Row],[NAME]],Table5[#All],2,0),"")</f>
        <v/>
      </c>
    </row>
    <row r="4295" spans="1:3" x14ac:dyDescent="0.3">
      <c r="A4295" s="5" t="s">
        <v>4938</v>
      </c>
      <c r="B4295" t="s">
        <v>10444</v>
      </c>
      <c r="C4295" t="str">
        <f>IFERROR(VLOOKUP(ILACLISTE[[#This Row],[NAME]],Table5[#All],2,0),"")</f>
        <v/>
      </c>
    </row>
    <row r="4296" spans="1:3" x14ac:dyDescent="0.3">
      <c r="A4296" s="5" t="s">
        <v>4939</v>
      </c>
      <c r="B4296" t="s">
        <v>539</v>
      </c>
      <c r="C4296" t="str">
        <f>IFERROR(VLOOKUP(ILACLISTE[[#This Row],[NAME]],Table5[#All],2,0),"")</f>
        <v/>
      </c>
    </row>
    <row r="4297" spans="1:3" x14ac:dyDescent="0.3">
      <c r="A4297" s="5" t="s">
        <v>4940</v>
      </c>
      <c r="B4297" t="s">
        <v>10445</v>
      </c>
      <c r="C4297" t="str">
        <f>IFERROR(VLOOKUP(ILACLISTE[[#This Row],[NAME]],Table5[#All],2,0),"")</f>
        <v/>
      </c>
    </row>
    <row r="4298" spans="1:3" x14ac:dyDescent="0.3">
      <c r="A4298" s="5" t="s">
        <v>4941</v>
      </c>
      <c r="B4298" t="s">
        <v>10446</v>
      </c>
      <c r="C4298" t="str">
        <f>IFERROR(VLOOKUP(ILACLISTE[[#This Row],[NAME]],Table5[#All],2,0),"")</f>
        <v/>
      </c>
    </row>
    <row r="4299" spans="1:3" x14ac:dyDescent="0.3">
      <c r="A4299" s="5" t="s">
        <v>4942</v>
      </c>
      <c r="B4299" t="s">
        <v>10447</v>
      </c>
      <c r="C4299" t="str">
        <f>IFERROR(VLOOKUP(ILACLISTE[[#This Row],[NAME]],Table5[#All],2,0),"")</f>
        <v/>
      </c>
    </row>
    <row r="4300" spans="1:3" x14ac:dyDescent="0.3">
      <c r="A4300" s="5" t="s">
        <v>4943</v>
      </c>
      <c r="B4300" t="s">
        <v>10448</v>
      </c>
      <c r="C4300" t="str">
        <f>IFERROR(VLOOKUP(ILACLISTE[[#This Row],[NAME]],Table5[#All],2,0),"")</f>
        <v/>
      </c>
    </row>
    <row r="4301" spans="1:3" x14ac:dyDescent="0.3">
      <c r="A4301" s="5" t="s">
        <v>4944</v>
      </c>
      <c r="B4301" t="s">
        <v>540</v>
      </c>
      <c r="C4301" t="str">
        <f>IFERROR(VLOOKUP(ILACLISTE[[#This Row],[NAME]],Table5[#All],2,0),"")</f>
        <v/>
      </c>
    </row>
    <row r="4302" spans="1:3" x14ac:dyDescent="0.3">
      <c r="A4302" s="5" t="s">
        <v>4945</v>
      </c>
      <c r="B4302" t="s">
        <v>10449</v>
      </c>
      <c r="C4302" t="str">
        <f>IFERROR(VLOOKUP(ILACLISTE[[#This Row],[NAME]],Table5[#All],2,0),"")</f>
        <v/>
      </c>
    </row>
    <row r="4303" spans="1:3" x14ac:dyDescent="0.3">
      <c r="A4303" s="5" t="s">
        <v>4946</v>
      </c>
      <c r="B4303" t="s">
        <v>10450</v>
      </c>
      <c r="C4303" t="str">
        <f>IFERROR(VLOOKUP(ILACLISTE[[#This Row],[NAME]],Table5[#All],2,0),"")</f>
        <v/>
      </c>
    </row>
    <row r="4304" spans="1:3" x14ac:dyDescent="0.3">
      <c r="A4304" s="5" t="s">
        <v>4947</v>
      </c>
      <c r="B4304" t="s">
        <v>10451</v>
      </c>
      <c r="C4304" t="str">
        <f>IFERROR(VLOOKUP(ILACLISTE[[#This Row],[NAME]],Table5[#All],2,0),"")</f>
        <v/>
      </c>
    </row>
    <row r="4305" spans="1:3" x14ac:dyDescent="0.3">
      <c r="A4305" s="5" t="s">
        <v>4948</v>
      </c>
      <c r="B4305" t="s">
        <v>10452</v>
      </c>
      <c r="C4305" t="str">
        <f>IFERROR(VLOOKUP(ILACLISTE[[#This Row],[NAME]],Table5[#All],2,0),"")</f>
        <v/>
      </c>
    </row>
    <row r="4306" spans="1:3" x14ac:dyDescent="0.3">
      <c r="A4306" s="5" t="s">
        <v>4949</v>
      </c>
      <c r="B4306" t="s">
        <v>10453</v>
      </c>
      <c r="C4306" t="str">
        <f>IFERROR(VLOOKUP(ILACLISTE[[#This Row],[NAME]],Table5[#All],2,0),"")</f>
        <v/>
      </c>
    </row>
    <row r="4307" spans="1:3" x14ac:dyDescent="0.3">
      <c r="A4307" s="5" t="s">
        <v>4950</v>
      </c>
      <c r="B4307" t="s">
        <v>10454</v>
      </c>
      <c r="C4307" t="str">
        <f>IFERROR(VLOOKUP(ILACLISTE[[#This Row],[NAME]],Table5[#All],2,0),"")</f>
        <v/>
      </c>
    </row>
    <row r="4308" spans="1:3" x14ac:dyDescent="0.3">
      <c r="A4308" s="5" t="s">
        <v>4951</v>
      </c>
      <c r="B4308" t="s">
        <v>10455</v>
      </c>
      <c r="C4308" t="str">
        <f>IFERROR(VLOOKUP(ILACLISTE[[#This Row],[NAME]],Table5[#All],2,0),"")</f>
        <v/>
      </c>
    </row>
    <row r="4309" spans="1:3" x14ac:dyDescent="0.3">
      <c r="A4309" s="5" t="s">
        <v>4952</v>
      </c>
      <c r="B4309" t="s">
        <v>10456</v>
      </c>
      <c r="C4309" t="str">
        <f>IFERROR(VLOOKUP(ILACLISTE[[#This Row],[NAME]],Table5[#All],2,0),"")</f>
        <v/>
      </c>
    </row>
    <row r="4310" spans="1:3" x14ac:dyDescent="0.3">
      <c r="A4310" s="5" t="s">
        <v>4953</v>
      </c>
      <c r="B4310" t="s">
        <v>541</v>
      </c>
      <c r="C4310" t="str">
        <f>IFERROR(VLOOKUP(ILACLISTE[[#This Row],[NAME]],Table5[#All],2,0),"")</f>
        <v/>
      </c>
    </row>
    <row r="4311" spans="1:3" x14ac:dyDescent="0.3">
      <c r="A4311" s="5" t="s">
        <v>4954</v>
      </c>
      <c r="B4311" t="s">
        <v>542</v>
      </c>
      <c r="C4311" t="str">
        <f>IFERROR(VLOOKUP(ILACLISTE[[#This Row],[NAME]],Table5[#All],2,0),"")</f>
        <v/>
      </c>
    </row>
    <row r="4312" spans="1:3" x14ac:dyDescent="0.3">
      <c r="A4312" s="5" t="s">
        <v>4955</v>
      </c>
      <c r="B4312" t="s">
        <v>543</v>
      </c>
      <c r="C4312" t="str">
        <f>IFERROR(VLOOKUP(ILACLISTE[[#This Row],[NAME]],Table5[#All],2,0),"")</f>
        <v/>
      </c>
    </row>
    <row r="4313" spans="1:3" x14ac:dyDescent="0.3">
      <c r="A4313" s="5" t="s">
        <v>4956</v>
      </c>
      <c r="B4313" t="s">
        <v>544</v>
      </c>
      <c r="C4313" t="str">
        <f>IFERROR(VLOOKUP(ILACLISTE[[#This Row],[NAME]],Table5[#All],2,0),"")</f>
        <v/>
      </c>
    </row>
    <row r="4314" spans="1:3" x14ac:dyDescent="0.3">
      <c r="A4314" s="5" t="s">
        <v>4957</v>
      </c>
      <c r="B4314" t="s">
        <v>10457</v>
      </c>
      <c r="C4314" t="str">
        <f>IFERROR(VLOOKUP(ILACLISTE[[#This Row],[NAME]],Table5[#All],2,0),"")</f>
        <v/>
      </c>
    </row>
    <row r="4315" spans="1:3" x14ac:dyDescent="0.3">
      <c r="A4315" s="5" t="s">
        <v>4958</v>
      </c>
      <c r="B4315" t="s">
        <v>10458</v>
      </c>
      <c r="C4315" t="str">
        <f>IFERROR(VLOOKUP(ILACLISTE[[#This Row],[NAME]],Table5[#All],2,0),"")</f>
        <v/>
      </c>
    </row>
    <row r="4316" spans="1:3" x14ac:dyDescent="0.3">
      <c r="A4316" s="5" t="s">
        <v>4959</v>
      </c>
      <c r="B4316" t="s">
        <v>10459</v>
      </c>
      <c r="C4316" t="str">
        <f>IFERROR(VLOOKUP(ILACLISTE[[#This Row],[NAME]],Table5[#All],2,0),"")</f>
        <v/>
      </c>
    </row>
    <row r="4317" spans="1:3" x14ac:dyDescent="0.3">
      <c r="A4317" s="5" t="s">
        <v>4960</v>
      </c>
      <c r="B4317" t="s">
        <v>10460</v>
      </c>
      <c r="C4317" t="str">
        <f>IFERROR(VLOOKUP(ILACLISTE[[#This Row],[NAME]],Table5[#All],2,0),"")</f>
        <v/>
      </c>
    </row>
    <row r="4318" spans="1:3" x14ac:dyDescent="0.3">
      <c r="A4318" s="5" t="s">
        <v>4961</v>
      </c>
      <c r="B4318" t="s">
        <v>10461</v>
      </c>
      <c r="C4318" t="str">
        <f>IFERROR(VLOOKUP(ILACLISTE[[#This Row],[NAME]],Table5[#All],2,0),"")</f>
        <v/>
      </c>
    </row>
    <row r="4319" spans="1:3" x14ac:dyDescent="0.3">
      <c r="A4319" s="5" t="s">
        <v>4962</v>
      </c>
      <c r="B4319" t="s">
        <v>10462</v>
      </c>
      <c r="C4319" t="str">
        <f>IFERROR(VLOOKUP(ILACLISTE[[#This Row],[NAME]],Table5[#All],2,0),"")</f>
        <v/>
      </c>
    </row>
    <row r="4320" spans="1:3" x14ac:dyDescent="0.3">
      <c r="A4320" s="5" t="s">
        <v>4963</v>
      </c>
      <c r="B4320" t="s">
        <v>10463</v>
      </c>
      <c r="C4320" t="str">
        <f>IFERROR(VLOOKUP(ILACLISTE[[#This Row],[NAME]],Table5[#All],2,0),"")</f>
        <v/>
      </c>
    </row>
    <row r="4321" spans="1:3" x14ac:dyDescent="0.3">
      <c r="A4321" s="5" t="s">
        <v>4964</v>
      </c>
      <c r="B4321" t="s">
        <v>10464</v>
      </c>
      <c r="C4321" t="str">
        <f>IFERROR(VLOOKUP(ILACLISTE[[#This Row],[NAME]],Table5[#All],2,0),"")</f>
        <v/>
      </c>
    </row>
    <row r="4322" spans="1:3" x14ac:dyDescent="0.3">
      <c r="A4322" s="5" t="s">
        <v>4965</v>
      </c>
      <c r="B4322" t="s">
        <v>10465</v>
      </c>
      <c r="C4322" t="str">
        <f>IFERROR(VLOOKUP(ILACLISTE[[#This Row],[NAME]],Table5[#All],2,0),"")</f>
        <v/>
      </c>
    </row>
    <row r="4323" spans="1:3" x14ac:dyDescent="0.3">
      <c r="A4323" s="5" t="s">
        <v>4966</v>
      </c>
      <c r="B4323" t="s">
        <v>10466</v>
      </c>
      <c r="C4323" t="str">
        <f>IFERROR(VLOOKUP(ILACLISTE[[#This Row],[NAME]],Table5[#All],2,0),"")</f>
        <v/>
      </c>
    </row>
    <row r="4324" spans="1:3" x14ac:dyDescent="0.3">
      <c r="A4324" s="5" t="s">
        <v>4967</v>
      </c>
      <c r="B4324" t="s">
        <v>10467</v>
      </c>
      <c r="C4324" t="str">
        <f>IFERROR(VLOOKUP(ILACLISTE[[#This Row],[NAME]],Table5[#All],2,0),"")</f>
        <v/>
      </c>
    </row>
    <row r="4325" spans="1:3" x14ac:dyDescent="0.3">
      <c r="A4325" s="5" t="s">
        <v>4968</v>
      </c>
      <c r="B4325" t="s">
        <v>10468</v>
      </c>
      <c r="C4325" t="str">
        <f>IFERROR(VLOOKUP(ILACLISTE[[#This Row],[NAME]],Table5[#All],2,0),"")</f>
        <v/>
      </c>
    </row>
    <row r="4326" spans="1:3" x14ac:dyDescent="0.3">
      <c r="A4326" s="5" t="s">
        <v>4969</v>
      </c>
      <c r="B4326" t="s">
        <v>10469</v>
      </c>
      <c r="C4326" t="str">
        <f>IFERROR(VLOOKUP(ILACLISTE[[#This Row],[NAME]],Table5[#All],2,0),"")</f>
        <v/>
      </c>
    </row>
    <row r="4327" spans="1:3" x14ac:dyDescent="0.3">
      <c r="A4327" s="5" t="s">
        <v>4970</v>
      </c>
      <c r="B4327" t="s">
        <v>10470</v>
      </c>
      <c r="C4327" t="str">
        <f>IFERROR(VLOOKUP(ILACLISTE[[#This Row],[NAME]],Table5[#All],2,0),"")</f>
        <v/>
      </c>
    </row>
    <row r="4328" spans="1:3" x14ac:dyDescent="0.3">
      <c r="A4328" s="5" t="s">
        <v>4971</v>
      </c>
      <c r="B4328" t="s">
        <v>10471</v>
      </c>
      <c r="C4328" t="str">
        <f>IFERROR(VLOOKUP(ILACLISTE[[#This Row],[NAME]],Table5[#All],2,0),"")</f>
        <v/>
      </c>
    </row>
    <row r="4329" spans="1:3" x14ac:dyDescent="0.3">
      <c r="A4329" s="5" t="s">
        <v>4972</v>
      </c>
      <c r="B4329" t="s">
        <v>10472</v>
      </c>
      <c r="C4329" t="str">
        <f>IFERROR(VLOOKUP(ILACLISTE[[#This Row],[NAME]],Table5[#All],2,0),"")</f>
        <v/>
      </c>
    </row>
    <row r="4330" spans="1:3" x14ac:dyDescent="0.3">
      <c r="A4330" s="5" t="s">
        <v>4973</v>
      </c>
      <c r="B4330" t="s">
        <v>545</v>
      </c>
      <c r="C4330" t="str">
        <f>IFERROR(VLOOKUP(ILACLISTE[[#This Row],[NAME]],Table5[#All],2,0),"")</f>
        <v/>
      </c>
    </row>
    <row r="4331" spans="1:3" x14ac:dyDescent="0.3">
      <c r="A4331" s="5" t="s">
        <v>4974</v>
      </c>
      <c r="B4331" t="s">
        <v>546</v>
      </c>
      <c r="C4331" t="str">
        <f>IFERROR(VLOOKUP(ILACLISTE[[#This Row],[NAME]],Table5[#All],2,0),"")</f>
        <v/>
      </c>
    </row>
    <row r="4332" spans="1:3" x14ac:dyDescent="0.3">
      <c r="A4332" s="5" t="s">
        <v>4975</v>
      </c>
      <c r="B4332" t="s">
        <v>10473</v>
      </c>
      <c r="C4332" t="str">
        <f>IFERROR(VLOOKUP(ILACLISTE[[#This Row],[NAME]],Table5[#All],2,0),"")</f>
        <v/>
      </c>
    </row>
    <row r="4333" spans="1:3" x14ac:dyDescent="0.3">
      <c r="A4333" s="5" t="s">
        <v>4976</v>
      </c>
      <c r="B4333" t="s">
        <v>10474</v>
      </c>
      <c r="C4333" t="str">
        <f>IFERROR(VLOOKUP(ILACLISTE[[#This Row],[NAME]],Table5[#All],2,0),"")</f>
        <v/>
      </c>
    </row>
    <row r="4334" spans="1:3" x14ac:dyDescent="0.3">
      <c r="A4334" s="5" t="s">
        <v>4977</v>
      </c>
      <c r="B4334" t="s">
        <v>10475</v>
      </c>
      <c r="C4334" t="str">
        <f>IFERROR(VLOOKUP(ILACLISTE[[#This Row],[NAME]],Table5[#All],2,0),"")</f>
        <v/>
      </c>
    </row>
    <row r="4335" spans="1:3" x14ac:dyDescent="0.3">
      <c r="A4335" s="5" t="s">
        <v>4978</v>
      </c>
      <c r="B4335" t="s">
        <v>10476</v>
      </c>
      <c r="C4335" t="str">
        <f>IFERROR(VLOOKUP(ILACLISTE[[#This Row],[NAME]],Table5[#All],2,0),"")</f>
        <v/>
      </c>
    </row>
    <row r="4336" spans="1:3" x14ac:dyDescent="0.3">
      <c r="A4336" s="5" t="s">
        <v>4979</v>
      </c>
      <c r="B4336" t="s">
        <v>10477</v>
      </c>
      <c r="C4336" t="str">
        <f>IFERROR(VLOOKUP(ILACLISTE[[#This Row],[NAME]],Table5[#All],2,0),"")</f>
        <v/>
      </c>
    </row>
    <row r="4337" spans="1:3" x14ac:dyDescent="0.3">
      <c r="A4337" s="5" t="s">
        <v>4980</v>
      </c>
      <c r="B4337" t="s">
        <v>10478</v>
      </c>
      <c r="C4337" t="str">
        <f>IFERROR(VLOOKUP(ILACLISTE[[#This Row],[NAME]],Table5[#All],2,0),"")</f>
        <v/>
      </c>
    </row>
    <row r="4338" spans="1:3" x14ac:dyDescent="0.3">
      <c r="A4338" s="5" t="s">
        <v>4981</v>
      </c>
      <c r="B4338" t="s">
        <v>10479</v>
      </c>
      <c r="C4338" t="str">
        <f>IFERROR(VLOOKUP(ILACLISTE[[#This Row],[NAME]],Table5[#All],2,0),"")</f>
        <v/>
      </c>
    </row>
    <row r="4339" spans="1:3" x14ac:dyDescent="0.3">
      <c r="A4339" s="5" t="s">
        <v>4982</v>
      </c>
      <c r="B4339" t="s">
        <v>10480</v>
      </c>
      <c r="C4339" t="str">
        <f>IFERROR(VLOOKUP(ILACLISTE[[#This Row],[NAME]],Table5[#All],2,0),"")</f>
        <v/>
      </c>
    </row>
    <row r="4340" spans="1:3" x14ac:dyDescent="0.3">
      <c r="A4340" s="5" t="s">
        <v>4983</v>
      </c>
      <c r="B4340" t="s">
        <v>10481</v>
      </c>
      <c r="C4340" t="str">
        <f>IFERROR(VLOOKUP(ILACLISTE[[#This Row],[NAME]],Table5[#All],2,0),"")</f>
        <v/>
      </c>
    </row>
    <row r="4341" spans="1:3" x14ac:dyDescent="0.3">
      <c r="A4341" s="5" t="s">
        <v>4984</v>
      </c>
      <c r="B4341" t="s">
        <v>10482</v>
      </c>
      <c r="C4341" t="str">
        <f>IFERROR(VLOOKUP(ILACLISTE[[#This Row],[NAME]],Table5[#All],2,0),"")</f>
        <v/>
      </c>
    </row>
    <row r="4342" spans="1:3" x14ac:dyDescent="0.3">
      <c r="A4342" s="5" t="s">
        <v>4985</v>
      </c>
      <c r="B4342" t="s">
        <v>10483</v>
      </c>
      <c r="C4342" t="str">
        <f>IFERROR(VLOOKUP(ILACLISTE[[#This Row],[NAME]],Table5[#All],2,0),"")</f>
        <v/>
      </c>
    </row>
    <row r="4343" spans="1:3" x14ac:dyDescent="0.3">
      <c r="A4343" s="5" t="s">
        <v>4986</v>
      </c>
      <c r="B4343" t="s">
        <v>10484</v>
      </c>
      <c r="C4343" t="str">
        <f>IFERROR(VLOOKUP(ILACLISTE[[#This Row],[NAME]],Table5[#All],2,0),"")</f>
        <v/>
      </c>
    </row>
    <row r="4344" spans="1:3" x14ac:dyDescent="0.3">
      <c r="A4344" s="5" t="s">
        <v>4987</v>
      </c>
      <c r="B4344" t="s">
        <v>10485</v>
      </c>
      <c r="C4344" t="str">
        <f>IFERROR(VLOOKUP(ILACLISTE[[#This Row],[NAME]],Table5[#All],2,0),"")</f>
        <v/>
      </c>
    </row>
    <row r="4345" spans="1:3" x14ac:dyDescent="0.3">
      <c r="A4345" s="5" t="s">
        <v>4988</v>
      </c>
      <c r="B4345" t="s">
        <v>10486</v>
      </c>
      <c r="C4345" t="str">
        <f>IFERROR(VLOOKUP(ILACLISTE[[#This Row],[NAME]],Table5[#All],2,0),"")</f>
        <v/>
      </c>
    </row>
    <row r="4346" spans="1:3" x14ac:dyDescent="0.3">
      <c r="A4346" s="5" t="s">
        <v>4989</v>
      </c>
      <c r="B4346" t="s">
        <v>10487</v>
      </c>
      <c r="C4346" t="str">
        <f>IFERROR(VLOOKUP(ILACLISTE[[#This Row],[NAME]],Table5[#All],2,0),"")</f>
        <v/>
      </c>
    </row>
    <row r="4347" spans="1:3" x14ac:dyDescent="0.3">
      <c r="A4347" s="5" t="s">
        <v>4990</v>
      </c>
      <c r="B4347" t="s">
        <v>10488</v>
      </c>
      <c r="C4347" t="str">
        <f>IFERROR(VLOOKUP(ILACLISTE[[#This Row],[NAME]],Table5[#All],2,0),"")</f>
        <v/>
      </c>
    </row>
    <row r="4348" spans="1:3" x14ac:dyDescent="0.3">
      <c r="A4348" s="5" t="s">
        <v>4991</v>
      </c>
      <c r="B4348" t="s">
        <v>10489</v>
      </c>
      <c r="C4348" t="str">
        <f>IFERROR(VLOOKUP(ILACLISTE[[#This Row],[NAME]],Table5[#All],2,0),"")</f>
        <v/>
      </c>
    </row>
    <row r="4349" spans="1:3" x14ac:dyDescent="0.3">
      <c r="A4349" s="5" t="s">
        <v>4992</v>
      </c>
      <c r="B4349" t="s">
        <v>547</v>
      </c>
      <c r="C4349" t="str">
        <f>IFERROR(VLOOKUP(ILACLISTE[[#This Row],[NAME]],Table5[#All],2,0),"")</f>
        <v/>
      </c>
    </row>
    <row r="4350" spans="1:3" x14ac:dyDescent="0.3">
      <c r="A4350" s="5" t="s">
        <v>4993</v>
      </c>
      <c r="B4350" t="s">
        <v>10490</v>
      </c>
      <c r="C4350" t="str">
        <f>IFERROR(VLOOKUP(ILACLISTE[[#This Row],[NAME]],Table5[#All],2,0),"")</f>
        <v/>
      </c>
    </row>
    <row r="4351" spans="1:3" x14ac:dyDescent="0.3">
      <c r="A4351" s="5" t="s">
        <v>4994</v>
      </c>
      <c r="B4351" t="s">
        <v>10491</v>
      </c>
      <c r="C4351" t="str">
        <f>IFERROR(VLOOKUP(ILACLISTE[[#This Row],[NAME]],Table5[#All],2,0),"")</f>
        <v/>
      </c>
    </row>
    <row r="4352" spans="1:3" x14ac:dyDescent="0.3">
      <c r="A4352" s="5" t="s">
        <v>4995</v>
      </c>
      <c r="B4352" t="s">
        <v>10492</v>
      </c>
      <c r="C4352" t="str">
        <f>IFERROR(VLOOKUP(ILACLISTE[[#This Row],[NAME]],Table5[#All],2,0),"")</f>
        <v/>
      </c>
    </row>
    <row r="4353" spans="1:3" x14ac:dyDescent="0.3">
      <c r="A4353" s="5" t="s">
        <v>4996</v>
      </c>
      <c r="B4353" t="s">
        <v>10493</v>
      </c>
      <c r="C4353" t="str">
        <f>IFERROR(VLOOKUP(ILACLISTE[[#This Row],[NAME]],Table5[#All],2,0),"")</f>
        <v/>
      </c>
    </row>
    <row r="4354" spans="1:3" x14ac:dyDescent="0.3">
      <c r="A4354" s="5" t="s">
        <v>4997</v>
      </c>
      <c r="B4354" t="s">
        <v>10494</v>
      </c>
      <c r="C4354" t="str">
        <f>IFERROR(VLOOKUP(ILACLISTE[[#This Row],[NAME]],Table5[#All],2,0),"")</f>
        <v/>
      </c>
    </row>
    <row r="4355" spans="1:3" x14ac:dyDescent="0.3">
      <c r="A4355" s="5" t="s">
        <v>4998</v>
      </c>
      <c r="B4355" t="s">
        <v>10495</v>
      </c>
      <c r="C4355" t="str">
        <f>IFERROR(VLOOKUP(ILACLISTE[[#This Row],[NAME]],Table5[#All],2,0),"")</f>
        <v/>
      </c>
    </row>
    <row r="4356" spans="1:3" x14ac:dyDescent="0.3">
      <c r="A4356" s="5" t="s">
        <v>4999</v>
      </c>
      <c r="B4356" t="s">
        <v>10496</v>
      </c>
      <c r="C4356" t="str">
        <f>IFERROR(VLOOKUP(ILACLISTE[[#This Row],[NAME]],Table5[#All],2,0),"")</f>
        <v/>
      </c>
    </row>
    <row r="4357" spans="1:3" x14ac:dyDescent="0.3">
      <c r="A4357" s="5" t="s">
        <v>5000</v>
      </c>
      <c r="B4357" t="s">
        <v>548</v>
      </c>
      <c r="C4357" t="str">
        <f>IFERROR(VLOOKUP(ILACLISTE[[#This Row],[NAME]],Table5[#All],2,0),"")</f>
        <v/>
      </c>
    </row>
    <row r="4358" spans="1:3" x14ac:dyDescent="0.3">
      <c r="A4358" s="5" t="s">
        <v>5001</v>
      </c>
      <c r="B4358" t="s">
        <v>10497</v>
      </c>
      <c r="C4358" t="str">
        <f>IFERROR(VLOOKUP(ILACLISTE[[#This Row],[NAME]],Table5[#All],2,0),"")</f>
        <v/>
      </c>
    </row>
    <row r="4359" spans="1:3" x14ac:dyDescent="0.3">
      <c r="A4359" s="5" t="s">
        <v>5002</v>
      </c>
      <c r="B4359" t="s">
        <v>10498</v>
      </c>
      <c r="C4359" t="str">
        <f>IFERROR(VLOOKUP(ILACLISTE[[#This Row],[NAME]],Table5[#All],2,0),"")</f>
        <v/>
      </c>
    </row>
    <row r="4360" spans="1:3" x14ac:dyDescent="0.3">
      <c r="A4360" s="5" t="s">
        <v>5003</v>
      </c>
      <c r="B4360" t="s">
        <v>10499</v>
      </c>
      <c r="C4360" t="str">
        <f>IFERROR(VLOOKUP(ILACLISTE[[#This Row],[NAME]],Table5[#All],2,0),"")</f>
        <v/>
      </c>
    </row>
    <row r="4361" spans="1:3" x14ac:dyDescent="0.3">
      <c r="A4361" s="5" t="s">
        <v>5004</v>
      </c>
      <c r="B4361" t="s">
        <v>10500</v>
      </c>
      <c r="C4361" t="str">
        <f>IFERROR(VLOOKUP(ILACLISTE[[#This Row],[NAME]],Table5[#All],2,0),"")</f>
        <v/>
      </c>
    </row>
    <row r="4362" spans="1:3" x14ac:dyDescent="0.3">
      <c r="A4362" s="5" t="s">
        <v>5005</v>
      </c>
      <c r="B4362" t="s">
        <v>10501</v>
      </c>
      <c r="C4362" t="str">
        <f>IFERROR(VLOOKUP(ILACLISTE[[#This Row],[NAME]],Table5[#All],2,0),"")</f>
        <v/>
      </c>
    </row>
    <row r="4363" spans="1:3" x14ac:dyDescent="0.3">
      <c r="A4363" s="5" t="s">
        <v>5006</v>
      </c>
      <c r="B4363" t="s">
        <v>10502</v>
      </c>
      <c r="C4363" t="str">
        <f>IFERROR(VLOOKUP(ILACLISTE[[#This Row],[NAME]],Table5[#All],2,0),"")</f>
        <v/>
      </c>
    </row>
    <row r="4364" spans="1:3" x14ac:dyDescent="0.3">
      <c r="A4364" s="5" t="s">
        <v>5007</v>
      </c>
      <c r="B4364" t="s">
        <v>10503</v>
      </c>
      <c r="C4364" t="str">
        <f>IFERROR(VLOOKUP(ILACLISTE[[#This Row],[NAME]],Table5[#All],2,0),"")</f>
        <v/>
      </c>
    </row>
    <row r="4365" spans="1:3" x14ac:dyDescent="0.3">
      <c r="A4365" s="5" t="s">
        <v>5008</v>
      </c>
      <c r="B4365" t="s">
        <v>10504</v>
      </c>
      <c r="C4365" t="str">
        <f>IFERROR(VLOOKUP(ILACLISTE[[#This Row],[NAME]],Table5[#All],2,0),"")</f>
        <v/>
      </c>
    </row>
    <row r="4366" spans="1:3" x14ac:dyDescent="0.3">
      <c r="A4366" s="5" t="s">
        <v>5009</v>
      </c>
      <c r="B4366" t="s">
        <v>10505</v>
      </c>
      <c r="C4366" t="str">
        <f>IFERROR(VLOOKUP(ILACLISTE[[#This Row],[NAME]],Table5[#All],2,0),"")</f>
        <v/>
      </c>
    </row>
    <row r="4367" spans="1:3" x14ac:dyDescent="0.3">
      <c r="A4367" s="5" t="s">
        <v>5010</v>
      </c>
      <c r="B4367" t="s">
        <v>10506</v>
      </c>
      <c r="C4367" t="str">
        <f>IFERROR(VLOOKUP(ILACLISTE[[#This Row],[NAME]],Table5[#All],2,0),"")</f>
        <v/>
      </c>
    </row>
    <row r="4368" spans="1:3" x14ac:dyDescent="0.3">
      <c r="A4368" s="5" t="s">
        <v>5011</v>
      </c>
      <c r="B4368" t="s">
        <v>10507</v>
      </c>
      <c r="C4368" t="str">
        <f>IFERROR(VLOOKUP(ILACLISTE[[#This Row],[NAME]],Table5[#All],2,0),"")</f>
        <v/>
      </c>
    </row>
    <row r="4369" spans="1:3" x14ac:dyDescent="0.3">
      <c r="A4369" s="5" t="s">
        <v>5012</v>
      </c>
      <c r="B4369" t="s">
        <v>10508</v>
      </c>
      <c r="C4369" t="str">
        <f>IFERROR(VLOOKUP(ILACLISTE[[#This Row],[NAME]],Table5[#All],2,0),"")</f>
        <v/>
      </c>
    </row>
    <row r="4370" spans="1:3" x14ac:dyDescent="0.3">
      <c r="A4370" s="5" t="s">
        <v>5013</v>
      </c>
      <c r="B4370" t="s">
        <v>10509</v>
      </c>
      <c r="C4370" t="str">
        <f>IFERROR(VLOOKUP(ILACLISTE[[#This Row],[NAME]],Table5[#All],2,0),"")</f>
        <v/>
      </c>
    </row>
    <row r="4371" spans="1:3" x14ac:dyDescent="0.3">
      <c r="A4371" s="5" t="s">
        <v>5014</v>
      </c>
      <c r="B4371" t="s">
        <v>10510</v>
      </c>
      <c r="C4371" t="str">
        <f>IFERROR(VLOOKUP(ILACLISTE[[#This Row],[NAME]],Table5[#All],2,0),"")</f>
        <v/>
      </c>
    </row>
    <row r="4372" spans="1:3" x14ac:dyDescent="0.3">
      <c r="A4372" s="5" t="s">
        <v>5015</v>
      </c>
      <c r="B4372" t="s">
        <v>10511</v>
      </c>
      <c r="C4372" t="str">
        <f>IFERROR(VLOOKUP(ILACLISTE[[#This Row],[NAME]],Table5[#All],2,0),"")</f>
        <v/>
      </c>
    </row>
    <row r="4373" spans="1:3" x14ac:dyDescent="0.3">
      <c r="A4373" s="5" t="s">
        <v>5016</v>
      </c>
      <c r="B4373" t="s">
        <v>10512</v>
      </c>
      <c r="C4373" t="str">
        <f>IFERROR(VLOOKUP(ILACLISTE[[#This Row],[NAME]],Table5[#All],2,0),"")</f>
        <v/>
      </c>
    </row>
    <row r="4374" spans="1:3" x14ac:dyDescent="0.3">
      <c r="A4374" s="5" t="s">
        <v>5017</v>
      </c>
      <c r="B4374" t="s">
        <v>10513</v>
      </c>
      <c r="C4374" t="str">
        <f>IFERROR(VLOOKUP(ILACLISTE[[#This Row],[NAME]],Table5[#All],2,0),"")</f>
        <v/>
      </c>
    </row>
    <row r="4375" spans="1:3" x14ac:dyDescent="0.3">
      <c r="A4375" s="5" t="s">
        <v>5018</v>
      </c>
      <c r="B4375" t="s">
        <v>10514</v>
      </c>
      <c r="C4375" t="str">
        <f>IFERROR(VLOOKUP(ILACLISTE[[#This Row],[NAME]],Table5[#All],2,0),"")</f>
        <v/>
      </c>
    </row>
    <row r="4376" spans="1:3" x14ac:dyDescent="0.3">
      <c r="A4376" s="5" t="s">
        <v>5019</v>
      </c>
      <c r="B4376" t="s">
        <v>10515</v>
      </c>
      <c r="C4376" t="str">
        <f>IFERROR(VLOOKUP(ILACLISTE[[#This Row],[NAME]],Table5[#All],2,0),"")</f>
        <v/>
      </c>
    </row>
    <row r="4377" spans="1:3" x14ac:dyDescent="0.3">
      <c r="A4377" s="5" t="s">
        <v>5020</v>
      </c>
      <c r="B4377" t="s">
        <v>10516</v>
      </c>
      <c r="C4377" t="str">
        <f>IFERROR(VLOOKUP(ILACLISTE[[#This Row],[NAME]],Table5[#All],2,0),"")</f>
        <v/>
      </c>
    </row>
    <row r="4378" spans="1:3" x14ac:dyDescent="0.3">
      <c r="A4378" s="5" t="s">
        <v>5021</v>
      </c>
      <c r="B4378" t="s">
        <v>10517</v>
      </c>
      <c r="C4378" t="str">
        <f>IFERROR(VLOOKUP(ILACLISTE[[#This Row],[NAME]],Table5[#All],2,0),"")</f>
        <v/>
      </c>
    </row>
    <row r="4379" spans="1:3" x14ac:dyDescent="0.3">
      <c r="A4379" s="5" t="s">
        <v>5022</v>
      </c>
      <c r="B4379" t="s">
        <v>10518</v>
      </c>
      <c r="C4379" t="str">
        <f>IFERROR(VLOOKUP(ILACLISTE[[#This Row],[NAME]],Table5[#All],2,0),"")</f>
        <v/>
      </c>
    </row>
    <row r="4380" spans="1:3" x14ac:dyDescent="0.3">
      <c r="A4380" s="5" t="s">
        <v>5023</v>
      </c>
      <c r="B4380" t="s">
        <v>10519</v>
      </c>
      <c r="C4380" t="str">
        <f>IFERROR(VLOOKUP(ILACLISTE[[#This Row],[NAME]],Table5[#All],2,0),"")</f>
        <v/>
      </c>
    </row>
    <row r="4381" spans="1:3" x14ac:dyDescent="0.3">
      <c r="A4381" s="5" t="s">
        <v>5024</v>
      </c>
      <c r="B4381" t="s">
        <v>10520</v>
      </c>
      <c r="C4381" t="str">
        <f>IFERROR(VLOOKUP(ILACLISTE[[#This Row],[NAME]],Table5[#All],2,0),"")</f>
        <v/>
      </c>
    </row>
    <row r="4382" spans="1:3" x14ac:dyDescent="0.3">
      <c r="A4382" s="5" t="s">
        <v>5025</v>
      </c>
      <c r="B4382" t="s">
        <v>10521</v>
      </c>
      <c r="C4382" t="str">
        <f>IFERROR(VLOOKUP(ILACLISTE[[#This Row],[NAME]],Table5[#All],2,0),"")</f>
        <v/>
      </c>
    </row>
    <row r="4383" spans="1:3" x14ac:dyDescent="0.3">
      <c r="A4383" s="5" t="s">
        <v>5026</v>
      </c>
      <c r="B4383" t="s">
        <v>10522</v>
      </c>
      <c r="C4383" t="str">
        <f>IFERROR(VLOOKUP(ILACLISTE[[#This Row],[NAME]],Table5[#All],2,0),"")</f>
        <v/>
      </c>
    </row>
    <row r="4384" spans="1:3" x14ac:dyDescent="0.3">
      <c r="A4384" s="5" t="s">
        <v>5027</v>
      </c>
      <c r="B4384" t="s">
        <v>10523</v>
      </c>
      <c r="C4384" t="str">
        <f>IFERROR(VLOOKUP(ILACLISTE[[#This Row],[NAME]],Table5[#All],2,0),"")</f>
        <v/>
      </c>
    </row>
    <row r="4385" spans="1:3" x14ac:dyDescent="0.3">
      <c r="A4385" s="5" t="s">
        <v>5028</v>
      </c>
      <c r="B4385" t="s">
        <v>10524</v>
      </c>
      <c r="C4385" t="str">
        <f>IFERROR(VLOOKUP(ILACLISTE[[#This Row],[NAME]],Table5[#All],2,0),"")</f>
        <v/>
      </c>
    </row>
    <row r="4386" spans="1:3" x14ac:dyDescent="0.3">
      <c r="A4386" s="5" t="s">
        <v>5029</v>
      </c>
      <c r="B4386" t="s">
        <v>10525</v>
      </c>
      <c r="C4386" t="str">
        <f>IFERROR(VLOOKUP(ILACLISTE[[#This Row],[NAME]],Table5[#All],2,0),"")</f>
        <v/>
      </c>
    </row>
    <row r="4387" spans="1:3" x14ac:dyDescent="0.3">
      <c r="A4387" s="5" t="s">
        <v>5030</v>
      </c>
      <c r="B4387" t="s">
        <v>10526</v>
      </c>
      <c r="C4387" t="str">
        <f>IFERROR(VLOOKUP(ILACLISTE[[#This Row],[NAME]],Table5[#All],2,0),"")</f>
        <v/>
      </c>
    </row>
    <row r="4388" spans="1:3" x14ac:dyDescent="0.3">
      <c r="A4388" s="5" t="s">
        <v>5031</v>
      </c>
      <c r="B4388" t="s">
        <v>10527</v>
      </c>
      <c r="C4388" t="str">
        <f>IFERROR(VLOOKUP(ILACLISTE[[#This Row],[NAME]],Table5[#All],2,0),"")</f>
        <v/>
      </c>
    </row>
    <row r="4389" spans="1:3" x14ac:dyDescent="0.3">
      <c r="A4389" s="5" t="s">
        <v>5032</v>
      </c>
      <c r="B4389" t="s">
        <v>10528</v>
      </c>
      <c r="C4389" t="str">
        <f>IFERROR(VLOOKUP(ILACLISTE[[#This Row],[NAME]],Table5[#All],2,0),"")</f>
        <v/>
      </c>
    </row>
    <row r="4390" spans="1:3" x14ac:dyDescent="0.3">
      <c r="A4390" s="5" t="s">
        <v>5033</v>
      </c>
      <c r="B4390" t="s">
        <v>10529</v>
      </c>
      <c r="C4390" t="str">
        <f>IFERROR(VLOOKUP(ILACLISTE[[#This Row],[NAME]],Table5[#All],2,0),"")</f>
        <v/>
      </c>
    </row>
    <row r="4391" spans="1:3" x14ac:dyDescent="0.3">
      <c r="A4391" s="5" t="s">
        <v>5034</v>
      </c>
      <c r="B4391" t="s">
        <v>10530</v>
      </c>
      <c r="C4391" t="str">
        <f>IFERROR(VLOOKUP(ILACLISTE[[#This Row],[NAME]],Table5[#All],2,0),"")</f>
        <v/>
      </c>
    </row>
    <row r="4392" spans="1:3" x14ac:dyDescent="0.3">
      <c r="A4392" s="5" t="s">
        <v>5035</v>
      </c>
      <c r="B4392" t="s">
        <v>10531</v>
      </c>
      <c r="C4392" t="str">
        <f>IFERROR(VLOOKUP(ILACLISTE[[#This Row],[NAME]],Table5[#All],2,0),"")</f>
        <v/>
      </c>
    </row>
    <row r="4393" spans="1:3" x14ac:dyDescent="0.3">
      <c r="A4393" s="5" t="s">
        <v>5036</v>
      </c>
      <c r="B4393" t="s">
        <v>10532</v>
      </c>
      <c r="C4393" t="str">
        <f>IFERROR(VLOOKUP(ILACLISTE[[#This Row],[NAME]],Table5[#All],2,0),"")</f>
        <v/>
      </c>
    </row>
    <row r="4394" spans="1:3" x14ac:dyDescent="0.3">
      <c r="A4394" s="5" t="s">
        <v>5037</v>
      </c>
      <c r="B4394" t="s">
        <v>10533</v>
      </c>
      <c r="C4394" t="str">
        <f>IFERROR(VLOOKUP(ILACLISTE[[#This Row],[NAME]],Table5[#All],2,0),"")</f>
        <v/>
      </c>
    </row>
    <row r="4395" spans="1:3" x14ac:dyDescent="0.3">
      <c r="A4395" s="5" t="s">
        <v>5038</v>
      </c>
      <c r="B4395" t="s">
        <v>10534</v>
      </c>
      <c r="C4395" t="str">
        <f>IFERROR(VLOOKUP(ILACLISTE[[#This Row],[NAME]],Table5[#All],2,0),"")</f>
        <v/>
      </c>
    </row>
    <row r="4396" spans="1:3" x14ac:dyDescent="0.3">
      <c r="A4396" s="5" t="s">
        <v>5039</v>
      </c>
      <c r="B4396" t="s">
        <v>10535</v>
      </c>
      <c r="C4396" t="str">
        <f>IFERROR(VLOOKUP(ILACLISTE[[#This Row],[NAME]],Table5[#All],2,0),"")</f>
        <v/>
      </c>
    </row>
    <row r="4397" spans="1:3" x14ac:dyDescent="0.3">
      <c r="A4397" s="5" t="s">
        <v>5040</v>
      </c>
      <c r="B4397" t="s">
        <v>10536</v>
      </c>
      <c r="C4397" t="str">
        <f>IFERROR(VLOOKUP(ILACLISTE[[#This Row],[NAME]],Table5[#All],2,0),"")</f>
        <v/>
      </c>
    </row>
    <row r="4398" spans="1:3" x14ac:dyDescent="0.3">
      <c r="A4398" s="5" t="s">
        <v>5041</v>
      </c>
      <c r="B4398" t="s">
        <v>10537</v>
      </c>
      <c r="C4398" t="str">
        <f>IFERROR(VLOOKUP(ILACLISTE[[#This Row],[NAME]],Table5[#All],2,0),"")</f>
        <v/>
      </c>
    </row>
    <row r="4399" spans="1:3" x14ac:dyDescent="0.3">
      <c r="A4399" s="5" t="s">
        <v>5042</v>
      </c>
      <c r="B4399" t="s">
        <v>10538</v>
      </c>
      <c r="C4399" t="str">
        <f>IFERROR(VLOOKUP(ILACLISTE[[#This Row],[NAME]],Table5[#All],2,0),"")</f>
        <v/>
      </c>
    </row>
    <row r="4400" spans="1:3" x14ac:dyDescent="0.3">
      <c r="A4400" s="5" t="s">
        <v>5043</v>
      </c>
      <c r="B4400" t="s">
        <v>10539</v>
      </c>
      <c r="C4400" t="str">
        <f>IFERROR(VLOOKUP(ILACLISTE[[#This Row],[NAME]],Table5[#All],2,0),"")</f>
        <v/>
      </c>
    </row>
    <row r="4401" spans="1:3" x14ac:dyDescent="0.3">
      <c r="A4401" s="5" t="s">
        <v>5044</v>
      </c>
      <c r="B4401" t="s">
        <v>10540</v>
      </c>
      <c r="C4401" t="str">
        <f>IFERROR(VLOOKUP(ILACLISTE[[#This Row],[NAME]],Table5[#All],2,0),"")</f>
        <v/>
      </c>
    </row>
    <row r="4402" spans="1:3" x14ac:dyDescent="0.3">
      <c r="A4402" s="5" t="s">
        <v>5045</v>
      </c>
      <c r="B4402" t="s">
        <v>10541</v>
      </c>
      <c r="C4402" t="str">
        <f>IFERROR(VLOOKUP(ILACLISTE[[#This Row],[NAME]],Table5[#All],2,0),"")</f>
        <v/>
      </c>
    </row>
    <row r="4403" spans="1:3" x14ac:dyDescent="0.3">
      <c r="A4403" s="5" t="s">
        <v>5046</v>
      </c>
      <c r="B4403" t="s">
        <v>10542</v>
      </c>
      <c r="C4403" t="str">
        <f>IFERROR(VLOOKUP(ILACLISTE[[#This Row],[NAME]],Table5[#All],2,0),"")</f>
        <v/>
      </c>
    </row>
    <row r="4404" spans="1:3" x14ac:dyDescent="0.3">
      <c r="A4404" s="5" t="s">
        <v>5047</v>
      </c>
      <c r="B4404" t="s">
        <v>10543</v>
      </c>
      <c r="C4404" t="str">
        <f>IFERROR(VLOOKUP(ILACLISTE[[#This Row],[NAME]],Table5[#All],2,0),"")</f>
        <v/>
      </c>
    </row>
    <row r="4405" spans="1:3" x14ac:dyDescent="0.3">
      <c r="A4405" s="5" t="s">
        <v>5048</v>
      </c>
      <c r="B4405" t="s">
        <v>10544</v>
      </c>
      <c r="C4405" t="str">
        <f>IFERROR(VLOOKUP(ILACLISTE[[#This Row],[NAME]],Table5[#All],2,0),"")</f>
        <v/>
      </c>
    </row>
    <row r="4406" spans="1:3" x14ac:dyDescent="0.3">
      <c r="A4406" s="5" t="s">
        <v>5049</v>
      </c>
      <c r="B4406" t="s">
        <v>10545</v>
      </c>
      <c r="C4406" t="str">
        <f>IFERROR(VLOOKUP(ILACLISTE[[#This Row],[NAME]],Table5[#All],2,0),"")</f>
        <v/>
      </c>
    </row>
    <row r="4407" spans="1:3" ht="20.399999999999999" x14ac:dyDescent="0.3">
      <c r="A4407" s="7" t="s">
        <v>5050</v>
      </c>
      <c r="B4407" t="s">
        <v>10546</v>
      </c>
      <c r="C4407" t="str">
        <f>IFERROR(VLOOKUP(ILACLISTE[[#This Row],[NAME]],Table5[#All],2,0),"")</f>
        <v/>
      </c>
    </row>
    <row r="4408" spans="1:3" x14ac:dyDescent="0.3">
      <c r="A4408" s="5" t="s">
        <v>5051</v>
      </c>
      <c r="B4408" t="s">
        <v>10547</v>
      </c>
      <c r="C4408" t="str">
        <f>IFERROR(VLOOKUP(ILACLISTE[[#This Row],[NAME]],Table5[#All],2,0),"")</f>
        <v/>
      </c>
    </row>
    <row r="4409" spans="1:3" x14ac:dyDescent="0.3">
      <c r="A4409" s="5" t="s">
        <v>5052</v>
      </c>
      <c r="B4409" t="s">
        <v>10548</v>
      </c>
      <c r="C4409" t="str">
        <f>IFERROR(VLOOKUP(ILACLISTE[[#This Row],[NAME]],Table5[#All],2,0),"")</f>
        <v/>
      </c>
    </row>
    <row r="4410" spans="1:3" x14ac:dyDescent="0.3">
      <c r="A4410" s="5" t="s">
        <v>5053</v>
      </c>
      <c r="B4410" t="s">
        <v>10549</v>
      </c>
      <c r="C4410" t="str">
        <f>IFERROR(VLOOKUP(ILACLISTE[[#This Row],[NAME]],Table5[#All],2,0),"")</f>
        <v/>
      </c>
    </row>
    <row r="4411" spans="1:3" x14ac:dyDescent="0.3">
      <c r="A4411" s="5" t="s">
        <v>5054</v>
      </c>
      <c r="B4411" t="s">
        <v>549</v>
      </c>
      <c r="C4411" t="str">
        <f>IFERROR(VLOOKUP(ILACLISTE[[#This Row],[NAME]],Table5[#All],2,0),"")</f>
        <v/>
      </c>
    </row>
    <row r="4412" spans="1:3" x14ac:dyDescent="0.3">
      <c r="A4412" s="5" t="s">
        <v>5055</v>
      </c>
      <c r="B4412" t="s">
        <v>550</v>
      </c>
      <c r="C4412" t="str">
        <f>IFERROR(VLOOKUP(ILACLISTE[[#This Row],[NAME]],Table5[#All],2,0),"")</f>
        <v/>
      </c>
    </row>
    <row r="4413" spans="1:3" x14ac:dyDescent="0.3">
      <c r="A4413" s="5" t="s">
        <v>5056</v>
      </c>
      <c r="B4413" t="s">
        <v>10550</v>
      </c>
      <c r="C4413" t="str">
        <f>IFERROR(VLOOKUP(ILACLISTE[[#This Row],[NAME]],Table5[#All],2,0),"")</f>
        <v/>
      </c>
    </row>
    <row r="4414" spans="1:3" x14ac:dyDescent="0.3">
      <c r="A4414" s="5" t="s">
        <v>5057</v>
      </c>
      <c r="B4414" t="s">
        <v>10551</v>
      </c>
      <c r="C4414" t="str">
        <f>IFERROR(VLOOKUP(ILACLISTE[[#This Row],[NAME]],Table5[#All],2,0),"")</f>
        <v/>
      </c>
    </row>
    <row r="4415" spans="1:3" x14ac:dyDescent="0.3">
      <c r="A4415" s="5" t="s">
        <v>5058</v>
      </c>
      <c r="B4415" t="s">
        <v>10552</v>
      </c>
      <c r="C4415" t="str">
        <f>IFERROR(VLOOKUP(ILACLISTE[[#This Row],[NAME]],Table5[#All],2,0),"")</f>
        <v/>
      </c>
    </row>
    <row r="4416" spans="1:3" x14ac:dyDescent="0.3">
      <c r="A4416" s="5" t="s">
        <v>5059</v>
      </c>
      <c r="B4416" t="s">
        <v>10553</v>
      </c>
      <c r="C4416" t="str">
        <f>IFERROR(VLOOKUP(ILACLISTE[[#This Row],[NAME]],Table5[#All],2,0),"")</f>
        <v/>
      </c>
    </row>
    <row r="4417" spans="1:3" x14ac:dyDescent="0.3">
      <c r="A4417" s="5" t="s">
        <v>5060</v>
      </c>
      <c r="B4417" t="s">
        <v>10554</v>
      </c>
      <c r="C4417" t="str">
        <f>IFERROR(VLOOKUP(ILACLISTE[[#This Row],[NAME]],Table5[#All],2,0),"")</f>
        <v/>
      </c>
    </row>
    <row r="4418" spans="1:3" x14ac:dyDescent="0.3">
      <c r="A4418" s="5" t="s">
        <v>5061</v>
      </c>
      <c r="B4418" t="s">
        <v>10555</v>
      </c>
      <c r="C4418" t="str">
        <f>IFERROR(VLOOKUP(ILACLISTE[[#This Row],[NAME]],Table5[#All],2,0),"")</f>
        <v/>
      </c>
    </row>
    <row r="4419" spans="1:3" x14ac:dyDescent="0.3">
      <c r="A4419" s="5" t="s">
        <v>5062</v>
      </c>
      <c r="B4419" t="s">
        <v>10556</v>
      </c>
      <c r="C4419" t="str">
        <f>IFERROR(VLOOKUP(ILACLISTE[[#This Row],[NAME]],Table5[#All],2,0),"")</f>
        <v/>
      </c>
    </row>
    <row r="4420" spans="1:3" x14ac:dyDescent="0.3">
      <c r="A4420" s="5" t="s">
        <v>5063</v>
      </c>
      <c r="B4420" t="s">
        <v>10557</v>
      </c>
      <c r="C4420" t="str">
        <f>IFERROR(VLOOKUP(ILACLISTE[[#This Row],[NAME]],Table5[#All],2,0),"")</f>
        <v/>
      </c>
    </row>
    <row r="4421" spans="1:3" x14ac:dyDescent="0.3">
      <c r="A4421" s="5" t="s">
        <v>5064</v>
      </c>
      <c r="B4421" t="s">
        <v>10558</v>
      </c>
      <c r="C4421" t="str">
        <f>IFERROR(VLOOKUP(ILACLISTE[[#This Row],[NAME]],Table5[#All],2,0),"")</f>
        <v/>
      </c>
    </row>
    <row r="4422" spans="1:3" x14ac:dyDescent="0.3">
      <c r="A4422" s="5" t="s">
        <v>5065</v>
      </c>
      <c r="B4422" t="s">
        <v>10559</v>
      </c>
      <c r="C4422" t="str">
        <f>IFERROR(VLOOKUP(ILACLISTE[[#This Row],[NAME]],Table5[#All],2,0),"")</f>
        <v/>
      </c>
    </row>
    <row r="4423" spans="1:3" x14ac:dyDescent="0.3">
      <c r="A4423" s="5" t="s">
        <v>5066</v>
      </c>
      <c r="B4423" t="s">
        <v>10560</v>
      </c>
      <c r="C4423" t="str">
        <f>IFERROR(VLOOKUP(ILACLISTE[[#This Row],[NAME]],Table5[#All],2,0),"")</f>
        <v/>
      </c>
    </row>
    <row r="4424" spans="1:3" x14ac:dyDescent="0.3">
      <c r="A4424" s="5" t="s">
        <v>5067</v>
      </c>
      <c r="B4424" t="s">
        <v>10561</v>
      </c>
      <c r="C4424" t="str">
        <f>IFERROR(VLOOKUP(ILACLISTE[[#This Row],[NAME]],Table5[#All],2,0),"")</f>
        <v/>
      </c>
    </row>
    <row r="4425" spans="1:3" x14ac:dyDescent="0.3">
      <c r="A4425" s="5" t="s">
        <v>5068</v>
      </c>
      <c r="B4425" t="s">
        <v>10562</v>
      </c>
      <c r="C4425" t="str">
        <f>IFERROR(VLOOKUP(ILACLISTE[[#This Row],[NAME]],Table5[#All],2,0),"")</f>
        <v/>
      </c>
    </row>
    <row r="4426" spans="1:3" x14ac:dyDescent="0.3">
      <c r="A4426" s="5" t="s">
        <v>5069</v>
      </c>
      <c r="B4426" t="s">
        <v>10563</v>
      </c>
      <c r="C4426" t="str">
        <f>IFERROR(VLOOKUP(ILACLISTE[[#This Row],[NAME]],Table5[#All],2,0),"")</f>
        <v/>
      </c>
    </row>
    <row r="4427" spans="1:3" x14ac:dyDescent="0.3">
      <c r="A4427" s="5" t="s">
        <v>5070</v>
      </c>
      <c r="B4427" t="s">
        <v>10564</v>
      </c>
      <c r="C4427" t="str">
        <f>IFERROR(VLOOKUP(ILACLISTE[[#This Row],[NAME]],Table5[#All],2,0),"")</f>
        <v/>
      </c>
    </row>
    <row r="4428" spans="1:3" x14ac:dyDescent="0.3">
      <c r="A4428" s="5" t="s">
        <v>5071</v>
      </c>
      <c r="B4428" t="s">
        <v>10565</v>
      </c>
      <c r="C4428" t="str">
        <f>IFERROR(VLOOKUP(ILACLISTE[[#This Row],[NAME]],Table5[#All],2,0),"")</f>
        <v/>
      </c>
    </row>
    <row r="4429" spans="1:3" x14ac:dyDescent="0.3">
      <c r="A4429" s="5" t="s">
        <v>5072</v>
      </c>
      <c r="B4429" t="s">
        <v>10566</v>
      </c>
      <c r="C4429" t="str">
        <f>IFERROR(VLOOKUP(ILACLISTE[[#This Row],[NAME]],Table5[#All],2,0),"")</f>
        <v/>
      </c>
    </row>
    <row r="4430" spans="1:3" x14ac:dyDescent="0.3">
      <c r="A4430" s="5" t="s">
        <v>5073</v>
      </c>
      <c r="B4430" t="s">
        <v>10567</v>
      </c>
      <c r="C4430" t="str">
        <f>IFERROR(VLOOKUP(ILACLISTE[[#This Row],[NAME]],Table5[#All],2,0),"")</f>
        <v/>
      </c>
    </row>
    <row r="4431" spans="1:3" x14ac:dyDescent="0.3">
      <c r="A4431" s="5" t="s">
        <v>5074</v>
      </c>
      <c r="B4431" t="s">
        <v>10568</v>
      </c>
      <c r="C4431" t="str">
        <f>IFERROR(VLOOKUP(ILACLISTE[[#This Row],[NAME]],Table5[#All],2,0),"")</f>
        <v/>
      </c>
    </row>
    <row r="4432" spans="1:3" x14ac:dyDescent="0.3">
      <c r="A4432" s="5" t="s">
        <v>5075</v>
      </c>
      <c r="B4432" t="s">
        <v>10569</v>
      </c>
      <c r="C4432" t="str">
        <f>IFERROR(VLOOKUP(ILACLISTE[[#This Row],[NAME]],Table5[#All],2,0),"")</f>
        <v/>
      </c>
    </row>
    <row r="4433" spans="1:3" x14ac:dyDescent="0.3">
      <c r="A4433" s="5" t="s">
        <v>5076</v>
      </c>
      <c r="B4433" t="s">
        <v>10570</v>
      </c>
      <c r="C4433" t="str">
        <f>IFERROR(VLOOKUP(ILACLISTE[[#This Row],[NAME]],Table5[#All],2,0),"")</f>
        <v/>
      </c>
    </row>
    <row r="4434" spans="1:3" x14ac:dyDescent="0.3">
      <c r="A4434" s="5" t="s">
        <v>5077</v>
      </c>
      <c r="B4434" t="s">
        <v>10571</v>
      </c>
      <c r="C4434" t="str">
        <f>IFERROR(VLOOKUP(ILACLISTE[[#This Row],[NAME]],Table5[#All],2,0),"")</f>
        <v/>
      </c>
    </row>
    <row r="4435" spans="1:3" x14ac:dyDescent="0.3">
      <c r="A4435" s="5" t="s">
        <v>5078</v>
      </c>
      <c r="B4435" t="s">
        <v>10572</v>
      </c>
      <c r="C4435" t="str">
        <f>IFERROR(VLOOKUP(ILACLISTE[[#This Row],[NAME]],Table5[#All],2,0),"")</f>
        <v/>
      </c>
    </row>
    <row r="4436" spans="1:3" x14ac:dyDescent="0.3">
      <c r="A4436" s="5" t="s">
        <v>5079</v>
      </c>
      <c r="B4436" t="s">
        <v>10573</v>
      </c>
      <c r="C4436" t="str">
        <f>IFERROR(VLOOKUP(ILACLISTE[[#This Row],[NAME]],Table5[#All],2,0),"")</f>
        <v/>
      </c>
    </row>
    <row r="4437" spans="1:3" x14ac:dyDescent="0.3">
      <c r="A4437" s="5" t="s">
        <v>5080</v>
      </c>
      <c r="B4437" t="s">
        <v>10574</v>
      </c>
      <c r="C4437" t="str">
        <f>IFERROR(VLOOKUP(ILACLISTE[[#This Row],[NAME]],Table5[#All],2,0),"")</f>
        <v/>
      </c>
    </row>
    <row r="4438" spans="1:3" x14ac:dyDescent="0.3">
      <c r="A4438" s="5" t="s">
        <v>5081</v>
      </c>
      <c r="B4438" t="s">
        <v>10575</v>
      </c>
      <c r="C4438" t="str">
        <f>IFERROR(VLOOKUP(ILACLISTE[[#This Row],[NAME]],Table5[#All],2,0),"")</f>
        <v/>
      </c>
    </row>
    <row r="4439" spans="1:3" x14ac:dyDescent="0.3">
      <c r="A4439" s="5" t="s">
        <v>5082</v>
      </c>
      <c r="B4439" t="s">
        <v>10576</v>
      </c>
      <c r="C4439" t="str">
        <f>IFERROR(VLOOKUP(ILACLISTE[[#This Row],[NAME]],Table5[#All],2,0),"")</f>
        <v/>
      </c>
    </row>
    <row r="4440" spans="1:3" x14ac:dyDescent="0.3">
      <c r="A4440" s="5" t="s">
        <v>5083</v>
      </c>
      <c r="B4440" t="s">
        <v>10577</v>
      </c>
      <c r="C4440" t="str">
        <f>IFERROR(VLOOKUP(ILACLISTE[[#This Row],[NAME]],Table5[#All],2,0),"")</f>
        <v/>
      </c>
    </row>
    <row r="4441" spans="1:3" x14ac:dyDescent="0.3">
      <c r="A4441" s="5" t="s">
        <v>5084</v>
      </c>
      <c r="B4441" t="s">
        <v>10578</v>
      </c>
      <c r="C4441" t="str">
        <f>IFERROR(VLOOKUP(ILACLISTE[[#This Row],[NAME]],Table5[#All],2,0),"")</f>
        <v/>
      </c>
    </row>
    <row r="4442" spans="1:3" x14ac:dyDescent="0.3">
      <c r="A4442" s="5" t="s">
        <v>10579</v>
      </c>
      <c r="B4442" t="s">
        <v>10580</v>
      </c>
      <c r="C4442" t="str">
        <f>IFERROR(VLOOKUP(ILACLISTE[[#This Row],[NAME]],Table5[#All],2,0),"")</f>
        <v/>
      </c>
    </row>
    <row r="4443" spans="1:3" x14ac:dyDescent="0.3">
      <c r="A4443" s="5" t="s">
        <v>5085</v>
      </c>
      <c r="B4443" t="s">
        <v>10581</v>
      </c>
      <c r="C4443" t="str">
        <f>IFERROR(VLOOKUP(ILACLISTE[[#This Row],[NAME]],Table5[#All],2,0),"")</f>
        <v/>
      </c>
    </row>
    <row r="4444" spans="1:3" x14ac:dyDescent="0.3">
      <c r="A4444" s="5" t="s">
        <v>5086</v>
      </c>
      <c r="B4444" t="s">
        <v>10582</v>
      </c>
      <c r="C4444" t="str">
        <f>IFERROR(VLOOKUP(ILACLISTE[[#This Row],[NAME]],Table5[#All],2,0),"")</f>
        <v/>
      </c>
    </row>
    <row r="4445" spans="1:3" x14ac:dyDescent="0.3">
      <c r="A4445" s="5" t="s">
        <v>5087</v>
      </c>
      <c r="B4445" t="s">
        <v>10583</v>
      </c>
      <c r="C4445" t="str">
        <f>IFERROR(VLOOKUP(ILACLISTE[[#This Row],[NAME]],Table5[#All],2,0),"")</f>
        <v/>
      </c>
    </row>
    <row r="4446" spans="1:3" x14ac:dyDescent="0.3">
      <c r="A4446" s="5" t="s">
        <v>5088</v>
      </c>
      <c r="B4446" t="s">
        <v>10584</v>
      </c>
      <c r="C4446" t="str">
        <f>IFERROR(VLOOKUP(ILACLISTE[[#This Row],[NAME]],Table5[#All],2,0),"")</f>
        <v/>
      </c>
    </row>
    <row r="4447" spans="1:3" x14ac:dyDescent="0.3">
      <c r="A4447" s="5" t="s">
        <v>5089</v>
      </c>
      <c r="B4447" t="s">
        <v>10585</v>
      </c>
      <c r="C4447" t="str">
        <f>IFERROR(VLOOKUP(ILACLISTE[[#This Row],[NAME]],Table5[#All],2,0),"")</f>
        <v/>
      </c>
    </row>
    <row r="4448" spans="1:3" x14ac:dyDescent="0.3">
      <c r="A4448" s="5" t="s">
        <v>5090</v>
      </c>
      <c r="B4448" t="s">
        <v>10586</v>
      </c>
      <c r="C4448" t="str">
        <f>IFERROR(VLOOKUP(ILACLISTE[[#This Row],[NAME]],Table5[#All],2,0),"")</f>
        <v/>
      </c>
    </row>
    <row r="4449" spans="1:3" x14ac:dyDescent="0.3">
      <c r="A4449" s="5" t="s">
        <v>5091</v>
      </c>
      <c r="B4449" t="s">
        <v>10587</v>
      </c>
      <c r="C4449" t="str">
        <f>IFERROR(VLOOKUP(ILACLISTE[[#This Row],[NAME]],Table5[#All],2,0),"")</f>
        <v/>
      </c>
    </row>
    <row r="4450" spans="1:3" x14ac:dyDescent="0.3">
      <c r="A4450" s="5" t="s">
        <v>5092</v>
      </c>
      <c r="B4450" t="s">
        <v>10588</v>
      </c>
      <c r="C4450" t="str">
        <f>IFERROR(VLOOKUP(ILACLISTE[[#This Row],[NAME]],Table5[#All],2,0),"")</f>
        <v/>
      </c>
    </row>
    <row r="4451" spans="1:3" x14ac:dyDescent="0.3">
      <c r="A4451" s="5" t="s">
        <v>5093</v>
      </c>
      <c r="B4451" t="s">
        <v>10589</v>
      </c>
      <c r="C4451" t="str">
        <f>IFERROR(VLOOKUP(ILACLISTE[[#This Row],[NAME]],Table5[#All],2,0),"")</f>
        <v/>
      </c>
    </row>
    <row r="4452" spans="1:3" x14ac:dyDescent="0.3">
      <c r="A4452" s="5" t="s">
        <v>5094</v>
      </c>
      <c r="B4452" t="s">
        <v>10590</v>
      </c>
      <c r="C4452" t="str">
        <f>IFERROR(VLOOKUP(ILACLISTE[[#This Row],[NAME]],Table5[#All],2,0),"")</f>
        <v/>
      </c>
    </row>
    <row r="4453" spans="1:3" x14ac:dyDescent="0.3">
      <c r="A4453" s="5" t="s">
        <v>5095</v>
      </c>
      <c r="B4453" t="s">
        <v>10591</v>
      </c>
      <c r="C4453" t="str">
        <f>IFERROR(VLOOKUP(ILACLISTE[[#This Row],[NAME]],Table5[#All],2,0),"")</f>
        <v/>
      </c>
    </row>
    <row r="4454" spans="1:3" x14ac:dyDescent="0.3">
      <c r="A4454" s="5" t="s">
        <v>5096</v>
      </c>
      <c r="B4454" t="s">
        <v>10592</v>
      </c>
      <c r="C4454" t="str">
        <f>IFERROR(VLOOKUP(ILACLISTE[[#This Row],[NAME]],Table5[#All],2,0),"")</f>
        <v/>
      </c>
    </row>
    <row r="4455" spans="1:3" x14ac:dyDescent="0.3">
      <c r="A4455" s="5" t="s">
        <v>5097</v>
      </c>
      <c r="B4455" t="s">
        <v>10593</v>
      </c>
      <c r="C4455" t="str">
        <f>IFERROR(VLOOKUP(ILACLISTE[[#This Row],[NAME]],Table5[#All],2,0),"")</f>
        <v/>
      </c>
    </row>
    <row r="4456" spans="1:3" x14ac:dyDescent="0.3">
      <c r="A4456" s="5" t="s">
        <v>5098</v>
      </c>
      <c r="B4456" t="s">
        <v>10594</v>
      </c>
      <c r="C4456" t="str">
        <f>IFERROR(VLOOKUP(ILACLISTE[[#This Row],[NAME]],Table5[#All],2,0),"")</f>
        <v/>
      </c>
    </row>
    <row r="4457" spans="1:3" x14ac:dyDescent="0.3">
      <c r="A4457" s="5" t="s">
        <v>5099</v>
      </c>
      <c r="B4457" t="s">
        <v>10595</v>
      </c>
      <c r="C4457" t="str">
        <f>IFERROR(VLOOKUP(ILACLISTE[[#This Row],[NAME]],Table5[#All],2,0),"")</f>
        <v/>
      </c>
    </row>
    <row r="4458" spans="1:3" x14ac:dyDescent="0.3">
      <c r="A4458" s="5" t="s">
        <v>5100</v>
      </c>
      <c r="B4458" t="s">
        <v>10596</v>
      </c>
      <c r="C4458" t="str">
        <f>IFERROR(VLOOKUP(ILACLISTE[[#This Row],[NAME]],Table5[#All],2,0),"")</f>
        <v/>
      </c>
    </row>
    <row r="4459" spans="1:3" x14ac:dyDescent="0.3">
      <c r="A4459" s="5" t="s">
        <v>5101</v>
      </c>
      <c r="B4459" t="s">
        <v>10597</v>
      </c>
      <c r="C4459" t="str">
        <f>IFERROR(VLOOKUP(ILACLISTE[[#This Row],[NAME]],Table5[#All],2,0),"")</f>
        <v/>
      </c>
    </row>
    <row r="4460" spans="1:3" x14ac:dyDescent="0.3">
      <c r="A4460" s="5" t="s">
        <v>5102</v>
      </c>
      <c r="B4460" t="s">
        <v>10598</v>
      </c>
      <c r="C4460" t="str">
        <f>IFERROR(VLOOKUP(ILACLISTE[[#This Row],[NAME]],Table5[#All],2,0),"")</f>
        <v/>
      </c>
    </row>
    <row r="4461" spans="1:3" x14ac:dyDescent="0.3">
      <c r="A4461" s="5" t="s">
        <v>5103</v>
      </c>
      <c r="B4461" t="s">
        <v>10599</v>
      </c>
      <c r="C4461" t="str">
        <f>IFERROR(VLOOKUP(ILACLISTE[[#This Row],[NAME]],Table5[#All],2,0),"")</f>
        <v/>
      </c>
    </row>
    <row r="4462" spans="1:3" x14ac:dyDescent="0.3">
      <c r="A4462" s="5" t="s">
        <v>5104</v>
      </c>
      <c r="B4462" t="s">
        <v>10600</v>
      </c>
      <c r="C4462" t="str">
        <f>IFERROR(VLOOKUP(ILACLISTE[[#This Row],[NAME]],Table5[#All],2,0),"")</f>
        <v/>
      </c>
    </row>
    <row r="4463" spans="1:3" x14ac:dyDescent="0.3">
      <c r="A4463" s="5" t="s">
        <v>5105</v>
      </c>
      <c r="B4463" t="s">
        <v>10601</v>
      </c>
      <c r="C4463" t="str">
        <f>IFERROR(VLOOKUP(ILACLISTE[[#This Row],[NAME]],Table5[#All],2,0),"")</f>
        <v/>
      </c>
    </row>
    <row r="4464" spans="1:3" x14ac:dyDescent="0.3">
      <c r="A4464" s="5" t="s">
        <v>5106</v>
      </c>
      <c r="B4464" t="s">
        <v>551</v>
      </c>
      <c r="C4464" t="str">
        <f>IFERROR(VLOOKUP(ILACLISTE[[#This Row],[NAME]],Table5[#All],2,0),"")</f>
        <v/>
      </c>
    </row>
    <row r="4465" spans="1:3" x14ac:dyDescent="0.3">
      <c r="A4465" s="5" t="s">
        <v>5107</v>
      </c>
      <c r="B4465" t="s">
        <v>10602</v>
      </c>
      <c r="C4465" t="str">
        <f>IFERROR(VLOOKUP(ILACLISTE[[#This Row],[NAME]],Table5[#All],2,0),"")</f>
        <v/>
      </c>
    </row>
    <row r="4466" spans="1:3" x14ac:dyDescent="0.3">
      <c r="A4466" s="5" t="s">
        <v>5108</v>
      </c>
      <c r="B4466" t="s">
        <v>10603</v>
      </c>
      <c r="C4466" t="str">
        <f>IFERROR(VLOOKUP(ILACLISTE[[#This Row],[NAME]],Table5[#All],2,0),"")</f>
        <v/>
      </c>
    </row>
    <row r="4467" spans="1:3" x14ac:dyDescent="0.3">
      <c r="A4467" s="5" t="s">
        <v>5109</v>
      </c>
      <c r="B4467" t="s">
        <v>10604</v>
      </c>
      <c r="C4467" t="str">
        <f>IFERROR(VLOOKUP(ILACLISTE[[#This Row],[NAME]],Table5[#All],2,0),"")</f>
        <v/>
      </c>
    </row>
    <row r="4468" spans="1:3" x14ac:dyDescent="0.3">
      <c r="A4468" s="5" t="s">
        <v>10605</v>
      </c>
      <c r="B4468" t="s">
        <v>10606</v>
      </c>
      <c r="C4468" t="str">
        <f>IFERROR(VLOOKUP(ILACLISTE[[#This Row],[NAME]],Table5[#All],2,0),"")</f>
        <v/>
      </c>
    </row>
    <row r="4469" spans="1:3" x14ac:dyDescent="0.3">
      <c r="A4469" s="5" t="s">
        <v>5110</v>
      </c>
      <c r="B4469" t="s">
        <v>10607</v>
      </c>
      <c r="C4469" t="str">
        <f>IFERROR(VLOOKUP(ILACLISTE[[#This Row],[NAME]],Table5[#All],2,0),"")</f>
        <v/>
      </c>
    </row>
    <row r="4470" spans="1:3" x14ac:dyDescent="0.3">
      <c r="A4470" s="5" t="s">
        <v>5111</v>
      </c>
      <c r="B4470" t="s">
        <v>10608</v>
      </c>
      <c r="C4470" t="str">
        <f>IFERROR(VLOOKUP(ILACLISTE[[#This Row],[NAME]],Table5[#All],2,0),"")</f>
        <v/>
      </c>
    </row>
    <row r="4471" spans="1:3" x14ac:dyDescent="0.3">
      <c r="A4471" s="5" t="s">
        <v>5112</v>
      </c>
      <c r="B4471" t="s">
        <v>10609</v>
      </c>
      <c r="C4471" t="str">
        <f>IFERROR(VLOOKUP(ILACLISTE[[#This Row],[NAME]],Table5[#All],2,0),"")</f>
        <v/>
      </c>
    </row>
    <row r="4472" spans="1:3" x14ac:dyDescent="0.3">
      <c r="A4472" s="5" t="s">
        <v>5113</v>
      </c>
      <c r="B4472" t="s">
        <v>10610</v>
      </c>
      <c r="C4472" t="str">
        <f>IFERROR(VLOOKUP(ILACLISTE[[#This Row],[NAME]],Table5[#All],2,0),"")</f>
        <v/>
      </c>
    </row>
    <row r="4473" spans="1:3" x14ac:dyDescent="0.3">
      <c r="A4473" s="5" t="s">
        <v>5114</v>
      </c>
      <c r="B4473" t="s">
        <v>10611</v>
      </c>
      <c r="C4473" t="str">
        <f>IFERROR(VLOOKUP(ILACLISTE[[#This Row],[NAME]],Table5[#All],2,0),"")</f>
        <v/>
      </c>
    </row>
    <row r="4474" spans="1:3" x14ac:dyDescent="0.3">
      <c r="A4474" s="5" t="s">
        <v>5115</v>
      </c>
      <c r="B4474" t="s">
        <v>10612</v>
      </c>
      <c r="C4474" t="str">
        <f>IFERROR(VLOOKUP(ILACLISTE[[#This Row],[NAME]],Table5[#All],2,0),"")</f>
        <v/>
      </c>
    </row>
    <row r="4475" spans="1:3" x14ac:dyDescent="0.3">
      <c r="A4475" s="5" t="s">
        <v>5116</v>
      </c>
      <c r="B4475" t="s">
        <v>10613</v>
      </c>
      <c r="C4475" t="str">
        <f>IFERROR(VLOOKUP(ILACLISTE[[#This Row],[NAME]],Table5[#All],2,0),"")</f>
        <v/>
      </c>
    </row>
    <row r="4476" spans="1:3" x14ac:dyDescent="0.3">
      <c r="A4476" s="5" t="s">
        <v>5117</v>
      </c>
      <c r="B4476" t="s">
        <v>10614</v>
      </c>
      <c r="C4476" t="str">
        <f>IFERROR(VLOOKUP(ILACLISTE[[#This Row],[NAME]],Table5[#All],2,0),"")</f>
        <v/>
      </c>
    </row>
    <row r="4477" spans="1:3" x14ac:dyDescent="0.3">
      <c r="A4477" s="5" t="s">
        <v>5118</v>
      </c>
      <c r="B4477" t="s">
        <v>10615</v>
      </c>
      <c r="C4477" t="str">
        <f>IFERROR(VLOOKUP(ILACLISTE[[#This Row],[NAME]],Table5[#All],2,0),"")</f>
        <v/>
      </c>
    </row>
    <row r="4478" spans="1:3" x14ac:dyDescent="0.3">
      <c r="A4478" s="5" t="s">
        <v>5119</v>
      </c>
      <c r="B4478" t="s">
        <v>10616</v>
      </c>
      <c r="C4478" t="str">
        <f>IFERROR(VLOOKUP(ILACLISTE[[#This Row],[NAME]],Table5[#All],2,0),"")</f>
        <v/>
      </c>
    </row>
    <row r="4479" spans="1:3" x14ac:dyDescent="0.3">
      <c r="A4479" s="5" t="s">
        <v>5120</v>
      </c>
      <c r="B4479" t="s">
        <v>10617</v>
      </c>
      <c r="C4479" t="str">
        <f>IFERROR(VLOOKUP(ILACLISTE[[#This Row],[NAME]],Table5[#All],2,0),"")</f>
        <v/>
      </c>
    </row>
    <row r="4480" spans="1:3" x14ac:dyDescent="0.3">
      <c r="A4480" s="5" t="s">
        <v>5121</v>
      </c>
      <c r="B4480" t="s">
        <v>552</v>
      </c>
      <c r="C4480" t="str">
        <f>IFERROR(VLOOKUP(ILACLISTE[[#This Row],[NAME]],Table5[#All],2,0),"")</f>
        <v/>
      </c>
    </row>
    <row r="4481" spans="1:3" x14ac:dyDescent="0.3">
      <c r="A4481" s="5" t="s">
        <v>5122</v>
      </c>
      <c r="B4481" t="s">
        <v>553</v>
      </c>
      <c r="C4481" t="str">
        <f>IFERROR(VLOOKUP(ILACLISTE[[#This Row],[NAME]],Table5[#All],2,0),"")</f>
        <v/>
      </c>
    </row>
    <row r="4482" spans="1:3" x14ac:dyDescent="0.3">
      <c r="A4482" s="5" t="s">
        <v>5123</v>
      </c>
      <c r="B4482" t="s">
        <v>554</v>
      </c>
      <c r="C4482" t="str">
        <f>IFERROR(VLOOKUP(ILACLISTE[[#This Row],[NAME]],Table5[#All],2,0),"")</f>
        <v/>
      </c>
    </row>
    <row r="4483" spans="1:3" x14ac:dyDescent="0.3">
      <c r="A4483" s="5" t="s">
        <v>5124</v>
      </c>
      <c r="B4483" t="s">
        <v>10618</v>
      </c>
      <c r="C4483" t="str">
        <f>IFERROR(VLOOKUP(ILACLISTE[[#This Row],[NAME]],Table5[#All],2,0),"")</f>
        <v/>
      </c>
    </row>
    <row r="4484" spans="1:3" x14ac:dyDescent="0.3">
      <c r="A4484" s="5" t="s">
        <v>5125</v>
      </c>
      <c r="B4484" t="s">
        <v>10619</v>
      </c>
      <c r="C4484" t="str">
        <f>IFERROR(VLOOKUP(ILACLISTE[[#This Row],[NAME]],Table5[#All],2,0),"")</f>
        <v/>
      </c>
    </row>
    <row r="4485" spans="1:3" x14ac:dyDescent="0.3">
      <c r="A4485" s="5" t="s">
        <v>5126</v>
      </c>
      <c r="B4485" t="s">
        <v>10620</v>
      </c>
      <c r="C4485" t="str">
        <f>IFERROR(VLOOKUP(ILACLISTE[[#This Row],[NAME]],Table5[#All],2,0),"")</f>
        <v/>
      </c>
    </row>
    <row r="4486" spans="1:3" x14ac:dyDescent="0.3">
      <c r="A4486" s="5" t="s">
        <v>5127</v>
      </c>
      <c r="B4486" t="s">
        <v>10621</v>
      </c>
      <c r="C4486" t="str">
        <f>IFERROR(VLOOKUP(ILACLISTE[[#This Row],[NAME]],Table5[#All],2,0),"")</f>
        <v/>
      </c>
    </row>
    <row r="4487" spans="1:3" x14ac:dyDescent="0.3">
      <c r="A4487" s="5" t="s">
        <v>5128</v>
      </c>
      <c r="B4487" t="s">
        <v>555</v>
      </c>
      <c r="C4487" t="str">
        <f>IFERROR(VLOOKUP(ILACLISTE[[#This Row],[NAME]],Table5[#All],2,0),"")</f>
        <v/>
      </c>
    </row>
    <row r="4488" spans="1:3" x14ac:dyDescent="0.3">
      <c r="A4488" s="5" t="s">
        <v>5129</v>
      </c>
      <c r="B4488" t="s">
        <v>10622</v>
      </c>
      <c r="C4488" t="str">
        <f>IFERROR(VLOOKUP(ILACLISTE[[#This Row],[NAME]],Table5[#All],2,0),"")</f>
        <v/>
      </c>
    </row>
    <row r="4489" spans="1:3" x14ac:dyDescent="0.3">
      <c r="A4489" s="5" t="s">
        <v>5130</v>
      </c>
      <c r="B4489" t="s">
        <v>556</v>
      </c>
      <c r="C4489" t="str">
        <f>IFERROR(VLOOKUP(ILACLISTE[[#This Row],[NAME]],Table5[#All],2,0),"")</f>
        <v/>
      </c>
    </row>
    <row r="4490" spans="1:3" x14ac:dyDescent="0.3">
      <c r="A4490" s="5" t="s">
        <v>5131</v>
      </c>
      <c r="B4490" t="s">
        <v>10623</v>
      </c>
      <c r="C4490" t="str">
        <f>IFERROR(VLOOKUP(ILACLISTE[[#This Row],[NAME]],Table5[#All],2,0),"")</f>
        <v/>
      </c>
    </row>
    <row r="4491" spans="1:3" x14ac:dyDescent="0.3">
      <c r="A4491" s="5" t="s">
        <v>5132</v>
      </c>
      <c r="B4491" t="s">
        <v>10624</v>
      </c>
      <c r="C4491" t="str">
        <f>IFERROR(VLOOKUP(ILACLISTE[[#This Row],[NAME]],Table5[#All],2,0),"")</f>
        <v/>
      </c>
    </row>
    <row r="4492" spans="1:3" x14ac:dyDescent="0.3">
      <c r="A4492" s="5" t="s">
        <v>5133</v>
      </c>
      <c r="B4492" t="s">
        <v>10625</v>
      </c>
      <c r="C4492" t="str">
        <f>IFERROR(VLOOKUP(ILACLISTE[[#This Row],[NAME]],Table5[#All],2,0),"")</f>
        <v/>
      </c>
    </row>
    <row r="4493" spans="1:3" x14ac:dyDescent="0.3">
      <c r="A4493" s="5" t="s">
        <v>5134</v>
      </c>
      <c r="B4493" t="s">
        <v>557</v>
      </c>
      <c r="C4493" t="str">
        <f>IFERROR(VLOOKUP(ILACLISTE[[#This Row],[NAME]],Table5[#All],2,0),"")</f>
        <v/>
      </c>
    </row>
    <row r="4494" spans="1:3" x14ac:dyDescent="0.3">
      <c r="A4494" s="5" t="s">
        <v>5135</v>
      </c>
      <c r="B4494" t="s">
        <v>10626</v>
      </c>
      <c r="C4494" t="str">
        <f>IFERROR(VLOOKUP(ILACLISTE[[#This Row],[NAME]],Table5[#All],2,0),"")</f>
        <v/>
      </c>
    </row>
    <row r="4495" spans="1:3" x14ac:dyDescent="0.3">
      <c r="A4495" s="5" t="s">
        <v>5136</v>
      </c>
      <c r="B4495" t="s">
        <v>10627</v>
      </c>
      <c r="C4495" t="str">
        <f>IFERROR(VLOOKUP(ILACLISTE[[#This Row],[NAME]],Table5[#All],2,0),"")</f>
        <v/>
      </c>
    </row>
    <row r="4496" spans="1:3" x14ac:dyDescent="0.3">
      <c r="A4496" s="5" t="s">
        <v>5137</v>
      </c>
      <c r="B4496" t="s">
        <v>10628</v>
      </c>
      <c r="C4496" t="str">
        <f>IFERROR(VLOOKUP(ILACLISTE[[#This Row],[NAME]],Table5[#All],2,0),"")</f>
        <v/>
      </c>
    </row>
    <row r="4497" spans="1:3" x14ac:dyDescent="0.3">
      <c r="A4497" s="5" t="s">
        <v>5138</v>
      </c>
      <c r="B4497" t="s">
        <v>10629</v>
      </c>
      <c r="C4497" t="str">
        <f>IFERROR(VLOOKUP(ILACLISTE[[#This Row],[NAME]],Table5[#All],2,0),"")</f>
        <v/>
      </c>
    </row>
    <row r="4498" spans="1:3" x14ac:dyDescent="0.3">
      <c r="A4498" s="5" t="s">
        <v>5139</v>
      </c>
      <c r="B4498" t="s">
        <v>10630</v>
      </c>
      <c r="C4498" t="str">
        <f>IFERROR(VLOOKUP(ILACLISTE[[#This Row],[NAME]],Table5[#All],2,0),"")</f>
        <v/>
      </c>
    </row>
    <row r="4499" spans="1:3" x14ac:dyDescent="0.3">
      <c r="A4499" s="5" t="s">
        <v>5140</v>
      </c>
      <c r="B4499" t="s">
        <v>10631</v>
      </c>
      <c r="C4499" t="str">
        <f>IFERROR(VLOOKUP(ILACLISTE[[#This Row],[NAME]],Table5[#All],2,0),"")</f>
        <v/>
      </c>
    </row>
    <row r="4500" spans="1:3" x14ac:dyDescent="0.3">
      <c r="A4500" s="5" t="s">
        <v>5141</v>
      </c>
      <c r="B4500" t="s">
        <v>10632</v>
      </c>
      <c r="C4500" t="str">
        <f>IFERROR(VLOOKUP(ILACLISTE[[#This Row],[NAME]],Table5[#All],2,0),"")</f>
        <v/>
      </c>
    </row>
    <row r="4501" spans="1:3" x14ac:dyDescent="0.3">
      <c r="A4501" s="5" t="s">
        <v>5142</v>
      </c>
      <c r="B4501" t="s">
        <v>10633</v>
      </c>
      <c r="C4501" t="str">
        <f>IFERROR(VLOOKUP(ILACLISTE[[#This Row],[NAME]],Table5[#All],2,0),"")</f>
        <v/>
      </c>
    </row>
    <row r="4502" spans="1:3" x14ac:dyDescent="0.3">
      <c r="A4502" s="5" t="s">
        <v>5143</v>
      </c>
      <c r="B4502" t="s">
        <v>10634</v>
      </c>
      <c r="C4502" t="str">
        <f>IFERROR(VLOOKUP(ILACLISTE[[#This Row],[NAME]],Table5[#All],2,0),"")</f>
        <v/>
      </c>
    </row>
    <row r="4503" spans="1:3" x14ac:dyDescent="0.3">
      <c r="A4503" s="5" t="s">
        <v>5144</v>
      </c>
      <c r="B4503" t="s">
        <v>10635</v>
      </c>
      <c r="C4503" t="str">
        <f>IFERROR(VLOOKUP(ILACLISTE[[#This Row],[NAME]],Table5[#All],2,0),"")</f>
        <v/>
      </c>
    </row>
    <row r="4504" spans="1:3" x14ac:dyDescent="0.3">
      <c r="A4504" s="5" t="s">
        <v>5145</v>
      </c>
      <c r="B4504" t="s">
        <v>10636</v>
      </c>
      <c r="C4504" t="str">
        <f>IFERROR(VLOOKUP(ILACLISTE[[#This Row],[NAME]],Table5[#All],2,0),"")</f>
        <v/>
      </c>
    </row>
    <row r="4505" spans="1:3" x14ac:dyDescent="0.3">
      <c r="A4505" s="5" t="s">
        <v>5146</v>
      </c>
      <c r="B4505" t="s">
        <v>10637</v>
      </c>
      <c r="C4505" t="str">
        <f>IFERROR(VLOOKUP(ILACLISTE[[#This Row],[NAME]],Table5[#All],2,0),"")</f>
        <v/>
      </c>
    </row>
    <row r="4506" spans="1:3" x14ac:dyDescent="0.3">
      <c r="A4506" s="5" t="s">
        <v>5147</v>
      </c>
      <c r="B4506" t="s">
        <v>10638</v>
      </c>
      <c r="C4506" t="str">
        <f>IFERROR(VLOOKUP(ILACLISTE[[#This Row],[NAME]],Table5[#All],2,0),"")</f>
        <v/>
      </c>
    </row>
    <row r="4507" spans="1:3" x14ac:dyDescent="0.3">
      <c r="A4507" s="5" t="s">
        <v>5148</v>
      </c>
      <c r="B4507" t="s">
        <v>10639</v>
      </c>
      <c r="C4507" t="str">
        <f>IFERROR(VLOOKUP(ILACLISTE[[#This Row],[NAME]],Table5[#All],2,0),"")</f>
        <v/>
      </c>
    </row>
    <row r="4508" spans="1:3" x14ac:dyDescent="0.3">
      <c r="A4508" s="5" t="s">
        <v>5149</v>
      </c>
      <c r="B4508" t="s">
        <v>10640</v>
      </c>
      <c r="C4508" t="str">
        <f>IFERROR(VLOOKUP(ILACLISTE[[#This Row],[NAME]],Table5[#All],2,0),"")</f>
        <v/>
      </c>
    </row>
    <row r="4509" spans="1:3" x14ac:dyDescent="0.3">
      <c r="A4509" s="5" t="s">
        <v>5150</v>
      </c>
      <c r="B4509" t="s">
        <v>10641</v>
      </c>
      <c r="C4509" t="str">
        <f>IFERROR(VLOOKUP(ILACLISTE[[#This Row],[NAME]],Table5[#All],2,0),"")</f>
        <v/>
      </c>
    </row>
    <row r="4510" spans="1:3" x14ac:dyDescent="0.3">
      <c r="A4510" s="5" t="s">
        <v>5151</v>
      </c>
      <c r="B4510" t="s">
        <v>10642</v>
      </c>
      <c r="C4510" t="str">
        <f>IFERROR(VLOOKUP(ILACLISTE[[#This Row],[NAME]],Table5[#All],2,0),"")</f>
        <v/>
      </c>
    </row>
    <row r="4511" spans="1:3" x14ac:dyDescent="0.3">
      <c r="A4511" s="5" t="s">
        <v>5152</v>
      </c>
      <c r="B4511" t="s">
        <v>10643</v>
      </c>
      <c r="C4511" t="str">
        <f>IFERROR(VLOOKUP(ILACLISTE[[#This Row],[NAME]],Table5[#All],2,0),"")</f>
        <v/>
      </c>
    </row>
    <row r="4512" spans="1:3" x14ac:dyDescent="0.3">
      <c r="A4512" s="5" t="s">
        <v>5153</v>
      </c>
      <c r="B4512" t="s">
        <v>10644</v>
      </c>
      <c r="C4512" t="str">
        <f>IFERROR(VLOOKUP(ILACLISTE[[#This Row],[NAME]],Table5[#All],2,0),"")</f>
        <v/>
      </c>
    </row>
    <row r="4513" spans="1:3" x14ac:dyDescent="0.3">
      <c r="A4513" s="5" t="s">
        <v>5154</v>
      </c>
      <c r="B4513" t="s">
        <v>10645</v>
      </c>
      <c r="C4513" t="str">
        <f>IFERROR(VLOOKUP(ILACLISTE[[#This Row],[NAME]],Table5[#All],2,0),"")</f>
        <v/>
      </c>
    </row>
    <row r="4514" spans="1:3" x14ac:dyDescent="0.3">
      <c r="A4514" s="5" t="s">
        <v>5155</v>
      </c>
      <c r="B4514" t="s">
        <v>10646</v>
      </c>
      <c r="C4514" t="str">
        <f>IFERROR(VLOOKUP(ILACLISTE[[#This Row],[NAME]],Table5[#All],2,0),"")</f>
        <v/>
      </c>
    </row>
    <row r="4515" spans="1:3" x14ac:dyDescent="0.3">
      <c r="A4515" s="5" t="s">
        <v>5156</v>
      </c>
      <c r="B4515" t="s">
        <v>10647</v>
      </c>
      <c r="C4515" t="str">
        <f>IFERROR(VLOOKUP(ILACLISTE[[#This Row],[NAME]],Table5[#All],2,0),"")</f>
        <v/>
      </c>
    </row>
    <row r="4516" spans="1:3" x14ac:dyDescent="0.3">
      <c r="A4516" s="5" t="s">
        <v>5157</v>
      </c>
      <c r="B4516" t="s">
        <v>10648</v>
      </c>
      <c r="C4516" t="str">
        <f>IFERROR(VLOOKUP(ILACLISTE[[#This Row],[NAME]],Table5[#All],2,0),"")</f>
        <v/>
      </c>
    </row>
    <row r="4517" spans="1:3" x14ac:dyDescent="0.3">
      <c r="A4517" s="5" t="s">
        <v>5158</v>
      </c>
      <c r="B4517" t="s">
        <v>10649</v>
      </c>
      <c r="C4517" t="str">
        <f>IFERROR(VLOOKUP(ILACLISTE[[#This Row],[NAME]],Table5[#All],2,0),"")</f>
        <v/>
      </c>
    </row>
    <row r="4518" spans="1:3" x14ac:dyDescent="0.3">
      <c r="A4518" s="5" t="s">
        <v>5159</v>
      </c>
      <c r="B4518" t="s">
        <v>10650</v>
      </c>
      <c r="C4518" t="str">
        <f>IFERROR(VLOOKUP(ILACLISTE[[#This Row],[NAME]],Table5[#All],2,0),"")</f>
        <v/>
      </c>
    </row>
    <row r="4519" spans="1:3" x14ac:dyDescent="0.3">
      <c r="A4519" s="5" t="s">
        <v>5160</v>
      </c>
      <c r="B4519" t="s">
        <v>10651</v>
      </c>
      <c r="C4519" t="str">
        <f>IFERROR(VLOOKUP(ILACLISTE[[#This Row],[NAME]],Table5[#All],2,0),"")</f>
        <v/>
      </c>
    </row>
    <row r="4520" spans="1:3" x14ac:dyDescent="0.3">
      <c r="A4520" s="5" t="s">
        <v>5161</v>
      </c>
      <c r="B4520" t="s">
        <v>10652</v>
      </c>
      <c r="C4520" t="str">
        <f>IFERROR(VLOOKUP(ILACLISTE[[#This Row],[NAME]],Table5[#All],2,0),"")</f>
        <v/>
      </c>
    </row>
    <row r="4521" spans="1:3" x14ac:dyDescent="0.3">
      <c r="A4521" s="5" t="s">
        <v>5162</v>
      </c>
      <c r="B4521" t="s">
        <v>10653</v>
      </c>
      <c r="C4521" t="str">
        <f>IFERROR(VLOOKUP(ILACLISTE[[#This Row],[NAME]],Table5[#All],2,0),"")</f>
        <v/>
      </c>
    </row>
    <row r="4522" spans="1:3" x14ac:dyDescent="0.3">
      <c r="A4522" s="5" t="s">
        <v>5163</v>
      </c>
      <c r="B4522" t="s">
        <v>10654</v>
      </c>
      <c r="C4522" t="str">
        <f>IFERROR(VLOOKUP(ILACLISTE[[#This Row],[NAME]],Table5[#All],2,0),"")</f>
        <v/>
      </c>
    </row>
    <row r="4523" spans="1:3" x14ac:dyDescent="0.3">
      <c r="A4523" s="5" t="s">
        <v>5164</v>
      </c>
      <c r="B4523" t="s">
        <v>10655</v>
      </c>
      <c r="C4523" t="str">
        <f>IFERROR(VLOOKUP(ILACLISTE[[#This Row],[NAME]],Table5[#All],2,0),"")</f>
        <v/>
      </c>
    </row>
    <row r="4524" spans="1:3" x14ac:dyDescent="0.3">
      <c r="A4524" s="5" t="s">
        <v>5165</v>
      </c>
      <c r="B4524" t="s">
        <v>10656</v>
      </c>
      <c r="C4524" t="str">
        <f>IFERROR(VLOOKUP(ILACLISTE[[#This Row],[NAME]],Table5[#All],2,0),"")</f>
        <v/>
      </c>
    </row>
    <row r="4525" spans="1:3" x14ac:dyDescent="0.3">
      <c r="A4525" s="5" t="s">
        <v>5166</v>
      </c>
      <c r="B4525" t="s">
        <v>10657</v>
      </c>
      <c r="C4525" t="str">
        <f>IFERROR(VLOOKUP(ILACLISTE[[#This Row],[NAME]],Table5[#All],2,0),"")</f>
        <v/>
      </c>
    </row>
    <row r="4526" spans="1:3" x14ac:dyDescent="0.3">
      <c r="A4526" s="5" t="s">
        <v>5167</v>
      </c>
      <c r="B4526" t="s">
        <v>10658</v>
      </c>
      <c r="C4526" t="str">
        <f>IFERROR(VLOOKUP(ILACLISTE[[#This Row],[NAME]],Table5[#All],2,0),"")</f>
        <v/>
      </c>
    </row>
    <row r="4527" spans="1:3" x14ac:dyDescent="0.3">
      <c r="A4527" s="5" t="s">
        <v>5168</v>
      </c>
      <c r="B4527" t="s">
        <v>10659</v>
      </c>
      <c r="C4527" t="str">
        <f>IFERROR(VLOOKUP(ILACLISTE[[#This Row],[NAME]],Table5[#All],2,0),"")</f>
        <v/>
      </c>
    </row>
    <row r="4528" spans="1:3" x14ac:dyDescent="0.3">
      <c r="A4528" s="5" t="s">
        <v>5169</v>
      </c>
      <c r="B4528" t="s">
        <v>10660</v>
      </c>
      <c r="C4528" t="str">
        <f>IFERROR(VLOOKUP(ILACLISTE[[#This Row],[NAME]],Table5[#All],2,0),"")</f>
        <v/>
      </c>
    </row>
    <row r="4529" spans="1:3" x14ac:dyDescent="0.3">
      <c r="A4529" s="5" t="s">
        <v>5170</v>
      </c>
      <c r="B4529" t="s">
        <v>10661</v>
      </c>
      <c r="C4529" t="str">
        <f>IFERROR(VLOOKUP(ILACLISTE[[#This Row],[NAME]],Table5[#All],2,0),"")</f>
        <v/>
      </c>
    </row>
    <row r="4530" spans="1:3" x14ac:dyDescent="0.3">
      <c r="A4530" s="5" t="s">
        <v>5171</v>
      </c>
      <c r="B4530" t="s">
        <v>10662</v>
      </c>
      <c r="C4530" t="str">
        <f>IFERROR(VLOOKUP(ILACLISTE[[#This Row],[NAME]],Table5[#All],2,0),"")</f>
        <v/>
      </c>
    </row>
    <row r="4531" spans="1:3" x14ac:dyDescent="0.3">
      <c r="A4531" s="5" t="s">
        <v>5172</v>
      </c>
      <c r="B4531" t="s">
        <v>10663</v>
      </c>
      <c r="C4531" t="str">
        <f>IFERROR(VLOOKUP(ILACLISTE[[#This Row],[NAME]],Table5[#All],2,0),"")</f>
        <v/>
      </c>
    </row>
    <row r="4532" spans="1:3" x14ac:dyDescent="0.3">
      <c r="A4532" s="5" t="s">
        <v>5173</v>
      </c>
      <c r="B4532" t="s">
        <v>10664</v>
      </c>
      <c r="C4532" t="str">
        <f>IFERROR(VLOOKUP(ILACLISTE[[#This Row],[NAME]],Table5[#All],2,0),"")</f>
        <v/>
      </c>
    </row>
    <row r="4533" spans="1:3" x14ac:dyDescent="0.3">
      <c r="A4533" s="5" t="s">
        <v>5174</v>
      </c>
      <c r="B4533" t="s">
        <v>10665</v>
      </c>
      <c r="C4533" t="str">
        <f>IFERROR(VLOOKUP(ILACLISTE[[#This Row],[NAME]],Table5[#All],2,0),"")</f>
        <v/>
      </c>
    </row>
    <row r="4534" spans="1:3" x14ac:dyDescent="0.3">
      <c r="A4534" s="5" t="s">
        <v>5175</v>
      </c>
      <c r="B4534" t="s">
        <v>10666</v>
      </c>
      <c r="C4534" t="str">
        <f>IFERROR(VLOOKUP(ILACLISTE[[#This Row],[NAME]],Table5[#All],2,0),"")</f>
        <v/>
      </c>
    </row>
    <row r="4535" spans="1:3" x14ac:dyDescent="0.3">
      <c r="A4535" s="5" t="s">
        <v>5176</v>
      </c>
      <c r="B4535" t="s">
        <v>10667</v>
      </c>
      <c r="C4535" t="str">
        <f>IFERROR(VLOOKUP(ILACLISTE[[#This Row],[NAME]],Table5[#All],2,0),"")</f>
        <v/>
      </c>
    </row>
    <row r="4536" spans="1:3" x14ac:dyDescent="0.3">
      <c r="A4536" s="5" t="s">
        <v>5177</v>
      </c>
      <c r="B4536" t="s">
        <v>10668</v>
      </c>
      <c r="C4536" t="str">
        <f>IFERROR(VLOOKUP(ILACLISTE[[#This Row],[NAME]],Table5[#All],2,0),"")</f>
        <v/>
      </c>
    </row>
    <row r="4537" spans="1:3" x14ac:dyDescent="0.3">
      <c r="A4537" s="5" t="s">
        <v>5178</v>
      </c>
      <c r="B4537" t="s">
        <v>10669</v>
      </c>
      <c r="C4537" t="str">
        <f>IFERROR(VLOOKUP(ILACLISTE[[#This Row],[NAME]],Table5[#All],2,0),"")</f>
        <v/>
      </c>
    </row>
    <row r="4538" spans="1:3" x14ac:dyDescent="0.3">
      <c r="A4538" s="5" t="s">
        <v>5179</v>
      </c>
      <c r="B4538" t="s">
        <v>10670</v>
      </c>
      <c r="C4538" t="str">
        <f>IFERROR(VLOOKUP(ILACLISTE[[#This Row],[NAME]],Table5[#All],2,0),"")</f>
        <v/>
      </c>
    </row>
    <row r="4539" spans="1:3" x14ac:dyDescent="0.3">
      <c r="A4539" s="5" t="s">
        <v>5180</v>
      </c>
      <c r="B4539" t="s">
        <v>10671</v>
      </c>
      <c r="C4539" t="str">
        <f>IFERROR(VLOOKUP(ILACLISTE[[#This Row],[NAME]],Table5[#All],2,0),"")</f>
        <v/>
      </c>
    </row>
    <row r="4540" spans="1:3" x14ac:dyDescent="0.3">
      <c r="A4540" s="5" t="s">
        <v>5181</v>
      </c>
      <c r="B4540" t="s">
        <v>10672</v>
      </c>
      <c r="C4540" t="str">
        <f>IFERROR(VLOOKUP(ILACLISTE[[#This Row],[NAME]],Table5[#All],2,0),"")</f>
        <v/>
      </c>
    </row>
    <row r="4541" spans="1:3" x14ac:dyDescent="0.3">
      <c r="A4541" s="5" t="s">
        <v>5182</v>
      </c>
      <c r="B4541" t="s">
        <v>10673</v>
      </c>
      <c r="C4541" t="str">
        <f>IFERROR(VLOOKUP(ILACLISTE[[#This Row],[NAME]],Table5[#All],2,0),"")</f>
        <v/>
      </c>
    </row>
    <row r="4542" spans="1:3" x14ac:dyDescent="0.3">
      <c r="A4542" s="5" t="s">
        <v>5183</v>
      </c>
      <c r="B4542" t="s">
        <v>10674</v>
      </c>
      <c r="C4542" t="str">
        <f>IFERROR(VLOOKUP(ILACLISTE[[#This Row],[NAME]],Table5[#All],2,0),"")</f>
        <v/>
      </c>
    </row>
    <row r="4543" spans="1:3" x14ac:dyDescent="0.3">
      <c r="A4543" s="5" t="s">
        <v>5184</v>
      </c>
      <c r="B4543" t="s">
        <v>10675</v>
      </c>
      <c r="C4543" t="str">
        <f>IFERROR(VLOOKUP(ILACLISTE[[#This Row],[NAME]],Table5[#All],2,0),"")</f>
        <v/>
      </c>
    </row>
    <row r="4544" spans="1:3" x14ac:dyDescent="0.3">
      <c r="A4544" s="5" t="s">
        <v>5185</v>
      </c>
      <c r="B4544" t="s">
        <v>10676</v>
      </c>
      <c r="C4544" t="str">
        <f>IFERROR(VLOOKUP(ILACLISTE[[#This Row],[NAME]],Table5[#All],2,0),"")</f>
        <v/>
      </c>
    </row>
    <row r="4545" spans="1:3" x14ac:dyDescent="0.3">
      <c r="A4545" s="5" t="s">
        <v>5186</v>
      </c>
      <c r="B4545" t="s">
        <v>10677</v>
      </c>
      <c r="C4545" t="str">
        <f>IFERROR(VLOOKUP(ILACLISTE[[#This Row],[NAME]],Table5[#All],2,0),"")</f>
        <v/>
      </c>
    </row>
    <row r="4546" spans="1:3" x14ac:dyDescent="0.3">
      <c r="A4546" s="5" t="s">
        <v>5187</v>
      </c>
      <c r="B4546" t="s">
        <v>10678</v>
      </c>
      <c r="C4546" t="str">
        <f>IFERROR(VLOOKUP(ILACLISTE[[#This Row],[NAME]],Table5[#All],2,0),"")</f>
        <v/>
      </c>
    </row>
    <row r="4547" spans="1:3" x14ac:dyDescent="0.3">
      <c r="A4547" s="5" t="s">
        <v>5188</v>
      </c>
      <c r="B4547" t="s">
        <v>10679</v>
      </c>
      <c r="C4547" t="str">
        <f>IFERROR(VLOOKUP(ILACLISTE[[#This Row],[NAME]],Table5[#All],2,0),"")</f>
        <v/>
      </c>
    </row>
    <row r="4548" spans="1:3" x14ac:dyDescent="0.3">
      <c r="A4548" s="5" t="s">
        <v>5189</v>
      </c>
      <c r="B4548" t="s">
        <v>10680</v>
      </c>
      <c r="C4548" t="str">
        <f>IFERROR(VLOOKUP(ILACLISTE[[#This Row],[NAME]],Table5[#All],2,0),"")</f>
        <v/>
      </c>
    </row>
    <row r="4549" spans="1:3" x14ac:dyDescent="0.3">
      <c r="A4549" s="5" t="s">
        <v>5190</v>
      </c>
      <c r="B4549" t="s">
        <v>10681</v>
      </c>
      <c r="C4549" t="str">
        <f>IFERROR(VLOOKUP(ILACLISTE[[#This Row],[NAME]],Table5[#All],2,0),"")</f>
        <v/>
      </c>
    </row>
    <row r="4550" spans="1:3" x14ac:dyDescent="0.3">
      <c r="A4550" s="5" t="s">
        <v>5191</v>
      </c>
      <c r="B4550" t="s">
        <v>10682</v>
      </c>
      <c r="C4550" t="str">
        <f>IFERROR(VLOOKUP(ILACLISTE[[#This Row],[NAME]],Table5[#All],2,0),"")</f>
        <v/>
      </c>
    </row>
    <row r="4551" spans="1:3" x14ac:dyDescent="0.3">
      <c r="A4551" s="5" t="s">
        <v>5192</v>
      </c>
      <c r="B4551" t="s">
        <v>10683</v>
      </c>
      <c r="C4551" t="str">
        <f>IFERROR(VLOOKUP(ILACLISTE[[#This Row],[NAME]],Table5[#All],2,0),"")</f>
        <v/>
      </c>
    </row>
    <row r="4552" spans="1:3" x14ac:dyDescent="0.3">
      <c r="A4552" s="5" t="s">
        <v>5193</v>
      </c>
      <c r="B4552" t="s">
        <v>10684</v>
      </c>
      <c r="C4552" t="str">
        <f>IFERROR(VLOOKUP(ILACLISTE[[#This Row],[NAME]],Table5[#All],2,0),"")</f>
        <v/>
      </c>
    </row>
    <row r="4553" spans="1:3" x14ac:dyDescent="0.3">
      <c r="A4553" s="5" t="s">
        <v>5194</v>
      </c>
      <c r="B4553" t="s">
        <v>10685</v>
      </c>
      <c r="C4553" t="str">
        <f>IFERROR(VLOOKUP(ILACLISTE[[#This Row],[NAME]],Table5[#All],2,0),"")</f>
        <v/>
      </c>
    </row>
    <row r="4554" spans="1:3" x14ac:dyDescent="0.3">
      <c r="A4554" s="5" t="s">
        <v>5195</v>
      </c>
      <c r="B4554" t="s">
        <v>10686</v>
      </c>
      <c r="C4554" t="str">
        <f>IFERROR(VLOOKUP(ILACLISTE[[#This Row],[NAME]],Table5[#All],2,0),"")</f>
        <v/>
      </c>
    </row>
    <row r="4555" spans="1:3" x14ac:dyDescent="0.3">
      <c r="A4555" s="5" t="s">
        <v>5196</v>
      </c>
      <c r="B4555" t="s">
        <v>10687</v>
      </c>
      <c r="C4555" t="str">
        <f>IFERROR(VLOOKUP(ILACLISTE[[#This Row],[NAME]],Table5[#All],2,0),"")</f>
        <v/>
      </c>
    </row>
    <row r="4556" spans="1:3" x14ac:dyDescent="0.3">
      <c r="A4556" s="5" t="s">
        <v>5197</v>
      </c>
      <c r="B4556" t="s">
        <v>10688</v>
      </c>
      <c r="C4556" t="str">
        <f>IFERROR(VLOOKUP(ILACLISTE[[#This Row],[NAME]],Table5[#All],2,0),"")</f>
        <v/>
      </c>
    </row>
    <row r="4557" spans="1:3" x14ac:dyDescent="0.3">
      <c r="A4557" s="5" t="s">
        <v>5198</v>
      </c>
      <c r="B4557" t="s">
        <v>10689</v>
      </c>
      <c r="C4557" t="str">
        <f>IFERROR(VLOOKUP(ILACLISTE[[#This Row],[NAME]],Table5[#All],2,0),"")</f>
        <v/>
      </c>
    </row>
    <row r="4558" spans="1:3" x14ac:dyDescent="0.3">
      <c r="A4558" s="5" t="s">
        <v>5199</v>
      </c>
      <c r="B4558" t="s">
        <v>10690</v>
      </c>
      <c r="C4558" t="str">
        <f>IFERROR(VLOOKUP(ILACLISTE[[#This Row],[NAME]],Table5[#All],2,0),"")</f>
        <v/>
      </c>
    </row>
    <row r="4559" spans="1:3" x14ac:dyDescent="0.3">
      <c r="A4559" s="5" t="s">
        <v>5200</v>
      </c>
      <c r="B4559" t="s">
        <v>10691</v>
      </c>
      <c r="C4559" t="str">
        <f>IFERROR(VLOOKUP(ILACLISTE[[#This Row],[NAME]],Table5[#All],2,0),"")</f>
        <v/>
      </c>
    </row>
    <row r="4560" spans="1:3" x14ac:dyDescent="0.3">
      <c r="A4560" s="5" t="s">
        <v>5201</v>
      </c>
      <c r="B4560" t="s">
        <v>10692</v>
      </c>
      <c r="C4560" t="str">
        <f>IFERROR(VLOOKUP(ILACLISTE[[#This Row],[NAME]],Table5[#All],2,0),"")</f>
        <v/>
      </c>
    </row>
    <row r="4561" spans="1:3" x14ac:dyDescent="0.3">
      <c r="A4561" s="5" t="s">
        <v>5202</v>
      </c>
      <c r="B4561" t="s">
        <v>10693</v>
      </c>
      <c r="C4561" t="str">
        <f>IFERROR(VLOOKUP(ILACLISTE[[#This Row],[NAME]],Table5[#All],2,0),"")</f>
        <v/>
      </c>
    </row>
    <row r="4562" spans="1:3" x14ac:dyDescent="0.3">
      <c r="A4562" s="5" t="s">
        <v>5203</v>
      </c>
      <c r="B4562" t="s">
        <v>10694</v>
      </c>
      <c r="C4562" t="str">
        <f>IFERROR(VLOOKUP(ILACLISTE[[#This Row],[NAME]],Table5[#All],2,0),"")</f>
        <v/>
      </c>
    </row>
    <row r="4563" spans="1:3" x14ac:dyDescent="0.3">
      <c r="A4563" s="5" t="s">
        <v>5204</v>
      </c>
      <c r="B4563" t="s">
        <v>10695</v>
      </c>
      <c r="C4563" t="str">
        <f>IFERROR(VLOOKUP(ILACLISTE[[#This Row],[NAME]],Table5[#All],2,0),"")</f>
        <v/>
      </c>
    </row>
    <row r="4564" spans="1:3" x14ac:dyDescent="0.3">
      <c r="A4564" s="5" t="s">
        <v>5205</v>
      </c>
      <c r="B4564" t="s">
        <v>10696</v>
      </c>
      <c r="C4564" t="str">
        <f>IFERROR(VLOOKUP(ILACLISTE[[#This Row],[NAME]],Table5[#All],2,0),"")</f>
        <v/>
      </c>
    </row>
    <row r="4565" spans="1:3" x14ac:dyDescent="0.3">
      <c r="A4565" s="5" t="s">
        <v>5206</v>
      </c>
      <c r="B4565" t="s">
        <v>10697</v>
      </c>
      <c r="C4565" t="str">
        <f>IFERROR(VLOOKUP(ILACLISTE[[#This Row],[NAME]],Table5[#All],2,0),"")</f>
        <v/>
      </c>
    </row>
    <row r="4566" spans="1:3" x14ac:dyDescent="0.3">
      <c r="A4566" s="5" t="s">
        <v>5207</v>
      </c>
      <c r="B4566" t="s">
        <v>10698</v>
      </c>
      <c r="C4566" t="str">
        <f>IFERROR(VLOOKUP(ILACLISTE[[#This Row],[NAME]],Table5[#All],2,0),"")</f>
        <v/>
      </c>
    </row>
    <row r="4567" spans="1:3" x14ac:dyDescent="0.3">
      <c r="A4567" s="5" t="s">
        <v>5208</v>
      </c>
      <c r="B4567" t="s">
        <v>10699</v>
      </c>
      <c r="C4567" t="str">
        <f>IFERROR(VLOOKUP(ILACLISTE[[#This Row],[NAME]],Table5[#All],2,0),"")</f>
        <v/>
      </c>
    </row>
    <row r="4568" spans="1:3" x14ac:dyDescent="0.3">
      <c r="A4568" s="5" t="s">
        <v>5209</v>
      </c>
      <c r="B4568" t="s">
        <v>10700</v>
      </c>
      <c r="C4568" t="str">
        <f>IFERROR(VLOOKUP(ILACLISTE[[#This Row],[NAME]],Table5[#All],2,0),"")</f>
        <v/>
      </c>
    </row>
    <row r="4569" spans="1:3" x14ac:dyDescent="0.3">
      <c r="A4569" s="5" t="s">
        <v>5210</v>
      </c>
      <c r="B4569" t="s">
        <v>10701</v>
      </c>
      <c r="C4569" t="str">
        <f>IFERROR(VLOOKUP(ILACLISTE[[#This Row],[NAME]],Table5[#All],2,0),"")</f>
        <v/>
      </c>
    </row>
    <row r="4570" spans="1:3" x14ac:dyDescent="0.3">
      <c r="A4570" s="5" t="s">
        <v>5211</v>
      </c>
      <c r="B4570" t="s">
        <v>10702</v>
      </c>
      <c r="C4570" t="str">
        <f>IFERROR(VLOOKUP(ILACLISTE[[#This Row],[NAME]],Table5[#All],2,0),"")</f>
        <v/>
      </c>
    </row>
    <row r="4571" spans="1:3" x14ac:dyDescent="0.3">
      <c r="A4571" s="5" t="s">
        <v>5212</v>
      </c>
      <c r="B4571" t="s">
        <v>10703</v>
      </c>
      <c r="C4571" t="str">
        <f>IFERROR(VLOOKUP(ILACLISTE[[#This Row],[NAME]],Table5[#All],2,0),"")</f>
        <v/>
      </c>
    </row>
    <row r="4572" spans="1:3" x14ac:dyDescent="0.3">
      <c r="A4572" s="5" t="s">
        <v>5213</v>
      </c>
      <c r="B4572" t="s">
        <v>10704</v>
      </c>
      <c r="C4572" t="str">
        <f>IFERROR(VLOOKUP(ILACLISTE[[#This Row],[NAME]],Table5[#All],2,0),"")</f>
        <v/>
      </c>
    </row>
    <row r="4573" spans="1:3" x14ac:dyDescent="0.3">
      <c r="A4573" s="5" t="s">
        <v>5214</v>
      </c>
      <c r="B4573" t="s">
        <v>10705</v>
      </c>
      <c r="C4573" t="str">
        <f>IFERROR(VLOOKUP(ILACLISTE[[#This Row],[NAME]],Table5[#All],2,0),"")</f>
        <v/>
      </c>
    </row>
    <row r="4574" spans="1:3" x14ac:dyDescent="0.3">
      <c r="A4574" s="5" t="s">
        <v>5215</v>
      </c>
      <c r="B4574" t="s">
        <v>10706</v>
      </c>
      <c r="C4574" t="str">
        <f>IFERROR(VLOOKUP(ILACLISTE[[#This Row],[NAME]],Table5[#All],2,0),"")</f>
        <v/>
      </c>
    </row>
    <row r="4575" spans="1:3" x14ac:dyDescent="0.3">
      <c r="A4575" s="5" t="s">
        <v>5216</v>
      </c>
      <c r="B4575" t="s">
        <v>10707</v>
      </c>
      <c r="C4575" t="str">
        <f>IFERROR(VLOOKUP(ILACLISTE[[#This Row],[NAME]],Table5[#All],2,0),"")</f>
        <v/>
      </c>
    </row>
    <row r="4576" spans="1:3" x14ac:dyDescent="0.3">
      <c r="A4576" s="5" t="s">
        <v>5217</v>
      </c>
      <c r="B4576" t="s">
        <v>10708</v>
      </c>
      <c r="C4576" t="str">
        <f>IFERROR(VLOOKUP(ILACLISTE[[#This Row],[NAME]],Table5[#All],2,0),"")</f>
        <v/>
      </c>
    </row>
    <row r="4577" spans="1:3" x14ac:dyDescent="0.3">
      <c r="A4577" s="5" t="s">
        <v>5218</v>
      </c>
      <c r="B4577" t="s">
        <v>10709</v>
      </c>
      <c r="C4577" t="str">
        <f>IFERROR(VLOOKUP(ILACLISTE[[#This Row],[NAME]],Table5[#All],2,0),"")</f>
        <v/>
      </c>
    </row>
    <row r="4578" spans="1:3" x14ac:dyDescent="0.3">
      <c r="A4578" s="5" t="s">
        <v>5219</v>
      </c>
      <c r="B4578" t="s">
        <v>10710</v>
      </c>
      <c r="C4578" t="str">
        <f>IFERROR(VLOOKUP(ILACLISTE[[#This Row],[NAME]],Table5[#All],2,0),"")</f>
        <v/>
      </c>
    </row>
    <row r="4579" spans="1:3" x14ac:dyDescent="0.3">
      <c r="A4579" s="5" t="s">
        <v>5220</v>
      </c>
      <c r="B4579" t="s">
        <v>10711</v>
      </c>
      <c r="C4579" t="str">
        <f>IFERROR(VLOOKUP(ILACLISTE[[#This Row],[NAME]],Table5[#All],2,0),"")</f>
        <v/>
      </c>
    </row>
    <row r="4580" spans="1:3" x14ac:dyDescent="0.3">
      <c r="A4580" s="5" t="s">
        <v>5221</v>
      </c>
      <c r="B4580" t="s">
        <v>10712</v>
      </c>
      <c r="C4580" t="str">
        <f>IFERROR(VLOOKUP(ILACLISTE[[#This Row],[NAME]],Table5[#All],2,0),"")</f>
        <v/>
      </c>
    </row>
    <row r="4581" spans="1:3" x14ac:dyDescent="0.3">
      <c r="A4581" s="5" t="s">
        <v>5222</v>
      </c>
      <c r="B4581" t="s">
        <v>10713</v>
      </c>
      <c r="C4581" t="str">
        <f>IFERROR(VLOOKUP(ILACLISTE[[#This Row],[NAME]],Table5[#All],2,0),"")</f>
        <v/>
      </c>
    </row>
    <row r="4582" spans="1:3" x14ac:dyDescent="0.3">
      <c r="A4582" s="5" t="s">
        <v>5223</v>
      </c>
      <c r="B4582" t="s">
        <v>10714</v>
      </c>
      <c r="C4582" t="str">
        <f>IFERROR(VLOOKUP(ILACLISTE[[#This Row],[NAME]],Table5[#All],2,0),"")</f>
        <v/>
      </c>
    </row>
    <row r="4583" spans="1:3" x14ac:dyDescent="0.3">
      <c r="A4583" s="5" t="s">
        <v>5224</v>
      </c>
      <c r="B4583" t="s">
        <v>10715</v>
      </c>
      <c r="C4583" t="str">
        <f>IFERROR(VLOOKUP(ILACLISTE[[#This Row],[NAME]],Table5[#All],2,0),"")</f>
        <v/>
      </c>
    </row>
    <row r="4584" spans="1:3" x14ac:dyDescent="0.3">
      <c r="A4584" s="5" t="s">
        <v>5225</v>
      </c>
      <c r="B4584" t="s">
        <v>10716</v>
      </c>
      <c r="C4584" t="str">
        <f>IFERROR(VLOOKUP(ILACLISTE[[#This Row],[NAME]],Table5[#All],2,0),"")</f>
        <v/>
      </c>
    </row>
    <row r="4585" spans="1:3" x14ac:dyDescent="0.3">
      <c r="A4585" s="5" t="s">
        <v>5226</v>
      </c>
      <c r="B4585" t="s">
        <v>10717</v>
      </c>
      <c r="C4585" t="str">
        <f>IFERROR(VLOOKUP(ILACLISTE[[#This Row],[NAME]],Table5[#All],2,0),"")</f>
        <v/>
      </c>
    </row>
    <row r="4586" spans="1:3" x14ac:dyDescent="0.3">
      <c r="A4586" s="5" t="s">
        <v>5227</v>
      </c>
      <c r="B4586" t="s">
        <v>10718</v>
      </c>
      <c r="C4586" t="str">
        <f>IFERROR(VLOOKUP(ILACLISTE[[#This Row],[NAME]],Table5[#All],2,0),"")</f>
        <v/>
      </c>
    </row>
    <row r="4587" spans="1:3" x14ac:dyDescent="0.3">
      <c r="A4587" s="5" t="s">
        <v>5228</v>
      </c>
      <c r="B4587" t="s">
        <v>10719</v>
      </c>
      <c r="C4587" t="str">
        <f>IFERROR(VLOOKUP(ILACLISTE[[#This Row],[NAME]],Table5[#All],2,0),"")</f>
        <v/>
      </c>
    </row>
    <row r="4588" spans="1:3" x14ac:dyDescent="0.3">
      <c r="A4588" s="5" t="s">
        <v>5229</v>
      </c>
      <c r="B4588" t="s">
        <v>10720</v>
      </c>
      <c r="C4588" t="str">
        <f>IFERROR(VLOOKUP(ILACLISTE[[#This Row],[NAME]],Table5[#All],2,0),"")</f>
        <v/>
      </c>
    </row>
    <row r="4589" spans="1:3" x14ac:dyDescent="0.3">
      <c r="A4589" s="5" t="s">
        <v>5230</v>
      </c>
      <c r="B4589" t="s">
        <v>10721</v>
      </c>
      <c r="C4589" t="str">
        <f>IFERROR(VLOOKUP(ILACLISTE[[#This Row],[NAME]],Table5[#All],2,0),"")</f>
        <v/>
      </c>
    </row>
    <row r="4590" spans="1:3" x14ac:dyDescent="0.3">
      <c r="A4590" s="5" t="s">
        <v>5231</v>
      </c>
      <c r="B4590" t="s">
        <v>558</v>
      </c>
      <c r="C4590" t="str">
        <f>IFERROR(VLOOKUP(ILACLISTE[[#This Row],[NAME]],Table5[#All],2,0),"")</f>
        <v/>
      </c>
    </row>
    <row r="4591" spans="1:3" x14ac:dyDescent="0.3">
      <c r="A4591" s="5" t="s">
        <v>5232</v>
      </c>
      <c r="B4591" t="s">
        <v>10722</v>
      </c>
      <c r="C4591" t="str">
        <f>IFERROR(VLOOKUP(ILACLISTE[[#This Row],[NAME]],Table5[#All],2,0),"")</f>
        <v/>
      </c>
    </row>
    <row r="4592" spans="1:3" x14ac:dyDescent="0.3">
      <c r="A4592" s="5" t="s">
        <v>5233</v>
      </c>
      <c r="B4592" t="s">
        <v>10723</v>
      </c>
      <c r="C4592" t="str">
        <f>IFERROR(VLOOKUP(ILACLISTE[[#This Row],[NAME]],Table5[#All],2,0),"")</f>
        <v/>
      </c>
    </row>
    <row r="4593" spans="1:3" x14ac:dyDescent="0.3">
      <c r="A4593" s="5" t="s">
        <v>5234</v>
      </c>
      <c r="B4593" t="s">
        <v>10724</v>
      </c>
      <c r="C4593" t="str">
        <f>IFERROR(VLOOKUP(ILACLISTE[[#This Row],[NAME]],Table5[#All],2,0),"")</f>
        <v/>
      </c>
    </row>
    <row r="4594" spans="1:3" x14ac:dyDescent="0.3">
      <c r="A4594" s="5" t="s">
        <v>5235</v>
      </c>
      <c r="B4594" t="s">
        <v>10725</v>
      </c>
      <c r="C4594" t="str">
        <f>IFERROR(VLOOKUP(ILACLISTE[[#This Row],[NAME]],Table5[#All],2,0),"")</f>
        <v/>
      </c>
    </row>
    <row r="4595" spans="1:3" x14ac:dyDescent="0.3">
      <c r="A4595" s="5" t="s">
        <v>5236</v>
      </c>
      <c r="B4595" t="s">
        <v>10726</v>
      </c>
      <c r="C4595" t="str">
        <f>IFERROR(VLOOKUP(ILACLISTE[[#This Row],[NAME]],Table5[#All],2,0),"")</f>
        <v/>
      </c>
    </row>
    <row r="4596" spans="1:3" x14ac:dyDescent="0.3">
      <c r="A4596" s="5" t="s">
        <v>5237</v>
      </c>
      <c r="B4596" t="s">
        <v>10727</v>
      </c>
      <c r="C4596" t="str">
        <f>IFERROR(VLOOKUP(ILACLISTE[[#This Row],[NAME]],Table5[#All],2,0),"")</f>
        <v/>
      </c>
    </row>
    <row r="4597" spans="1:3" x14ac:dyDescent="0.3">
      <c r="A4597" s="5" t="s">
        <v>5238</v>
      </c>
      <c r="B4597" t="s">
        <v>10728</v>
      </c>
      <c r="C4597" t="str">
        <f>IFERROR(VLOOKUP(ILACLISTE[[#This Row],[NAME]],Table5[#All],2,0),"")</f>
        <v/>
      </c>
    </row>
    <row r="4598" spans="1:3" x14ac:dyDescent="0.3">
      <c r="A4598" s="5" t="s">
        <v>5239</v>
      </c>
      <c r="B4598" t="s">
        <v>10729</v>
      </c>
      <c r="C4598" t="str">
        <f>IFERROR(VLOOKUP(ILACLISTE[[#This Row],[NAME]],Table5[#All],2,0),"")</f>
        <v/>
      </c>
    </row>
    <row r="4599" spans="1:3" x14ac:dyDescent="0.3">
      <c r="A4599" s="5" t="s">
        <v>5240</v>
      </c>
      <c r="B4599" t="s">
        <v>10730</v>
      </c>
      <c r="C4599" t="str">
        <f>IFERROR(VLOOKUP(ILACLISTE[[#This Row],[NAME]],Table5[#All],2,0),"")</f>
        <v/>
      </c>
    </row>
    <row r="4600" spans="1:3" x14ac:dyDescent="0.3">
      <c r="A4600" s="5" t="s">
        <v>5241</v>
      </c>
      <c r="B4600" t="s">
        <v>10731</v>
      </c>
      <c r="C4600" t="str">
        <f>IFERROR(VLOOKUP(ILACLISTE[[#This Row],[NAME]],Table5[#All],2,0),"")</f>
        <v/>
      </c>
    </row>
    <row r="4601" spans="1:3" x14ac:dyDescent="0.3">
      <c r="A4601" s="5" t="s">
        <v>5242</v>
      </c>
      <c r="B4601" t="s">
        <v>10732</v>
      </c>
      <c r="C4601" t="str">
        <f>IFERROR(VLOOKUP(ILACLISTE[[#This Row],[NAME]],Table5[#All],2,0),"")</f>
        <v/>
      </c>
    </row>
    <row r="4602" spans="1:3" x14ac:dyDescent="0.3">
      <c r="A4602" s="5" t="s">
        <v>5243</v>
      </c>
      <c r="B4602" t="s">
        <v>10733</v>
      </c>
      <c r="C4602" t="str">
        <f>IFERROR(VLOOKUP(ILACLISTE[[#This Row],[NAME]],Table5[#All],2,0),"")</f>
        <v/>
      </c>
    </row>
    <row r="4603" spans="1:3" x14ac:dyDescent="0.3">
      <c r="A4603" s="5" t="s">
        <v>5244</v>
      </c>
      <c r="B4603" t="s">
        <v>10734</v>
      </c>
      <c r="C4603" t="str">
        <f>IFERROR(VLOOKUP(ILACLISTE[[#This Row],[NAME]],Table5[#All],2,0),"")</f>
        <v/>
      </c>
    </row>
    <row r="4604" spans="1:3" x14ac:dyDescent="0.3">
      <c r="A4604" s="5" t="s">
        <v>5245</v>
      </c>
      <c r="B4604" t="s">
        <v>10735</v>
      </c>
      <c r="C4604" t="str">
        <f>IFERROR(VLOOKUP(ILACLISTE[[#This Row],[NAME]],Table5[#All],2,0),"")</f>
        <v/>
      </c>
    </row>
    <row r="4605" spans="1:3" x14ac:dyDescent="0.3">
      <c r="A4605" s="5" t="s">
        <v>5246</v>
      </c>
      <c r="B4605" t="s">
        <v>10736</v>
      </c>
      <c r="C4605" t="str">
        <f>IFERROR(VLOOKUP(ILACLISTE[[#This Row],[NAME]],Table5[#All],2,0),"")</f>
        <v/>
      </c>
    </row>
    <row r="4606" spans="1:3" x14ac:dyDescent="0.3">
      <c r="A4606" s="5" t="s">
        <v>5247</v>
      </c>
      <c r="B4606" t="s">
        <v>10737</v>
      </c>
      <c r="C4606" t="str">
        <f>IFERROR(VLOOKUP(ILACLISTE[[#This Row],[NAME]],Table5[#All],2,0),"")</f>
        <v/>
      </c>
    </row>
    <row r="4607" spans="1:3" x14ac:dyDescent="0.3">
      <c r="A4607" s="5" t="s">
        <v>5248</v>
      </c>
      <c r="B4607" t="s">
        <v>559</v>
      </c>
      <c r="C4607" t="str">
        <f>IFERROR(VLOOKUP(ILACLISTE[[#This Row],[NAME]],Table5[#All],2,0),"")</f>
        <v/>
      </c>
    </row>
    <row r="4608" spans="1:3" x14ac:dyDescent="0.3">
      <c r="A4608" s="5" t="s">
        <v>5249</v>
      </c>
      <c r="B4608" t="s">
        <v>560</v>
      </c>
      <c r="C4608" t="str">
        <f>IFERROR(VLOOKUP(ILACLISTE[[#This Row],[NAME]],Table5[#All],2,0),"")</f>
        <v/>
      </c>
    </row>
    <row r="4609" spans="1:3" x14ac:dyDescent="0.3">
      <c r="A4609" s="5" t="s">
        <v>5250</v>
      </c>
      <c r="B4609" t="s">
        <v>10738</v>
      </c>
      <c r="C4609" t="str">
        <f>IFERROR(VLOOKUP(ILACLISTE[[#This Row],[NAME]],Table5[#All],2,0),"")</f>
        <v/>
      </c>
    </row>
    <row r="4610" spans="1:3" x14ac:dyDescent="0.3">
      <c r="A4610" s="5" t="s">
        <v>5251</v>
      </c>
      <c r="B4610" t="s">
        <v>10739</v>
      </c>
      <c r="C4610" t="str">
        <f>IFERROR(VLOOKUP(ILACLISTE[[#This Row],[NAME]],Table5[#All],2,0),"")</f>
        <v/>
      </c>
    </row>
    <row r="4611" spans="1:3" x14ac:dyDescent="0.3">
      <c r="A4611" s="5" t="s">
        <v>5252</v>
      </c>
      <c r="B4611" t="s">
        <v>10740</v>
      </c>
      <c r="C4611" t="str">
        <f>IFERROR(VLOOKUP(ILACLISTE[[#This Row],[NAME]],Table5[#All],2,0),"")</f>
        <v/>
      </c>
    </row>
    <row r="4612" spans="1:3" x14ac:dyDescent="0.3">
      <c r="A4612" s="5" t="s">
        <v>5253</v>
      </c>
      <c r="B4612" t="s">
        <v>10741</v>
      </c>
      <c r="C4612" t="str">
        <f>IFERROR(VLOOKUP(ILACLISTE[[#This Row],[NAME]],Table5[#All],2,0),"")</f>
        <v/>
      </c>
    </row>
    <row r="4613" spans="1:3" x14ac:dyDescent="0.3">
      <c r="A4613" s="5" t="s">
        <v>5254</v>
      </c>
      <c r="B4613" t="s">
        <v>10742</v>
      </c>
      <c r="C4613" t="str">
        <f>IFERROR(VLOOKUP(ILACLISTE[[#This Row],[NAME]],Table5[#All],2,0),"")</f>
        <v/>
      </c>
    </row>
    <row r="4614" spans="1:3" x14ac:dyDescent="0.3">
      <c r="A4614" s="5" t="s">
        <v>5255</v>
      </c>
      <c r="B4614" t="s">
        <v>10743</v>
      </c>
      <c r="C4614" t="str">
        <f>IFERROR(VLOOKUP(ILACLISTE[[#This Row],[NAME]],Table5[#All],2,0),"")</f>
        <v/>
      </c>
    </row>
    <row r="4615" spans="1:3" x14ac:dyDescent="0.3">
      <c r="A4615" s="5" t="s">
        <v>5256</v>
      </c>
      <c r="B4615" t="s">
        <v>10744</v>
      </c>
      <c r="C4615" t="str">
        <f>IFERROR(VLOOKUP(ILACLISTE[[#This Row],[NAME]],Table5[#All],2,0),"")</f>
        <v/>
      </c>
    </row>
    <row r="4616" spans="1:3" x14ac:dyDescent="0.3">
      <c r="A4616" s="5" t="s">
        <v>5257</v>
      </c>
      <c r="B4616" t="s">
        <v>10745</v>
      </c>
      <c r="C4616" t="str">
        <f>IFERROR(VLOOKUP(ILACLISTE[[#This Row],[NAME]],Table5[#All],2,0),"")</f>
        <v/>
      </c>
    </row>
    <row r="4617" spans="1:3" x14ac:dyDescent="0.3">
      <c r="A4617" s="5" t="s">
        <v>5258</v>
      </c>
      <c r="B4617" t="s">
        <v>10746</v>
      </c>
      <c r="C4617" t="str">
        <f>IFERROR(VLOOKUP(ILACLISTE[[#This Row],[NAME]],Table5[#All],2,0),"")</f>
        <v/>
      </c>
    </row>
    <row r="4618" spans="1:3" x14ac:dyDescent="0.3">
      <c r="A4618" s="5" t="s">
        <v>5259</v>
      </c>
      <c r="B4618" t="s">
        <v>10747</v>
      </c>
      <c r="C4618" t="str">
        <f>IFERROR(VLOOKUP(ILACLISTE[[#This Row],[NAME]],Table5[#All],2,0),"")</f>
        <v/>
      </c>
    </row>
    <row r="4619" spans="1:3" x14ac:dyDescent="0.3">
      <c r="A4619" s="5" t="s">
        <v>5260</v>
      </c>
      <c r="B4619" t="s">
        <v>10748</v>
      </c>
      <c r="C4619" t="str">
        <f>IFERROR(VLOOKUP(ILACLISTE[[#This Row],[NAME]],Table5[#All],2,0),"")</f>
        <v/>
      </c>
    </row>
    <row r="4620" spans="1:3" x14ac:dyDescent="0.3">
      <c r="A4620" s="5" t="s">
        <v>5261</v>
      </c>
      <c r="B4620" t="s">
        <v>10749</v>
      </c>
      <c r="C4620" t="str">
        <f>IFERROR(VLOOKUP(ILACLISTE[[#This Row],[NAME]],Table5[#All],2,0),"")</f>
        <v/>
      </c>
    </row>
    <row r="4621" spans="1:3" x14ac:dyDescent="0.3">
      <c r="A4621" s="5" t="s">
        <v>5262</v>
      </c>
      <c r="B4621" t="s">
        <v>10750</v>
      </c>
      <c r="C4621" t="str">
        <f>IFERROR(VLOOKUP(ILACLISTE[[#This Row],[NAME]],Table5[#All],2,0),"")</f>
        <v/>
      </c>
    </row>
    <row r="4622" spans="1:3" x14ac:dyDescent="0.3">
      <c r="A4622" s="5" t="s">
        <v>5263</v>
      </c>
      <c r="B4622" t="s">
        <v>10751</v>
      </c>
      <c r="C4622" t="str">
        <f>IFERROR(VLOOKUP(ILACLISTE[[#This Row],[NAME]],Table5[#All],2,0),"")</f>
        <v/>
      </c>
    </row>
    <row r="4623" spans="1:3" x14ac:dyDescent="0.3">
      <c r="A4623" s="5" t="s">
        <v>5264</v>
      </c>
      <c r="B4623" t="s">
        <v>10752</v>
      </c>
      <c r="C4623" t="str">
        <f>IFERROR(VLOOKUP(ILACLISTE[[#This Row],[NAME]],Table5[#All],2,0),"")</f>
        <v/>
      </c>
    </row>
    <row r="4624" spans="1:3" x14ac:dyDescent="0.3">
      <c r="A4624" s="5" t="s">
        <v>5265</v>
      </c>
      <c r="B4624" t="s">
        <v>10753</v>
      </c>
      <c r="C4624" t="str">
        <f>IFERROR(VLOOKUP(ILACLISTE[[#This Row],[NAME]],Table5[#All],2,0),"")</f>
        <v/>
      </c>
    </row>
    <row r="4625" spans="1:3" x14ac:dyDescent="0.3">
      <c r="A4625" s="5" t="s">
        <v>5266</v>
      </c>
      <c r="B4625" t="s">
        <v>10754</v>
      </c>
      <c r="C4625" t="str">
        <f>IFERROR(VLOOKUP(ILACLISTE[[#This Row],[NAME]],Table5[#All],2,0),"")</f>
        <v/>
      </c>
    </row>
    <row r="4626" spans="1:3" x14ac:dyDescent="0.3">
      <c r="A4626" s="5" t="s">
        <v>5267</v>
      </c>
      <c r="B4626" t="s">
        <v>10755</v>
      </c>
      <c r="C4626" t="str">
        <f>IFERROR(VLOOKUP(ILACLISTE[[#This Row],[NAME]],Table5[#All],2,0),"")</f>
        <v/>
      </c>
    </row>
    <row r="4627" spans="1:3" x14ac:dyDescent="0.3">
      <c r="A4627" s="5" t="s">
        <v>5268</v>
      </c>
      <c r="B4627" t="s">
        <v>10756</v>
      </c>
      <c r="C4627" t="str">
        <f>IFERROR(VLOOKUP(ILACLISTE[[#This Row],[NAME]],Table5[#All],2,0),"")</f>
        <v/>
      </c>
    </row>
    <row r="4628" spans="1:3" x14ac:dyDescent="0.3">
      <c r="A4628" s="5" t="s">
        <v>5269</v>
      </c>
      <c r="B4628" t="s">
        <v>561</v>
      </c>
      <c r="C4628" t="str">
        <f>IFERROR(VLOOKUP(ILACLISTE[[#This Row],[NAME]],Table5[#All],2,0),"")</f>
        <v/>
      </c>
    </row>
    <row r="4629" spans="1:3" x14ac:dyDescent="0.3">
      <c r="A4629" s="5" t="s">
        <v>5270</v>
      </c>
      <c r="B4629" t="s">
        <v>562</v>
      </c>
      <c r="C4629" t="str">
        <f>IFERROR(VLOOKUP(ILACLISTE[[#This Row],[NAME]],Table5[#All],2,0),"")</f>
        <v/>
      </c>
    </row>
    <row r="4630" spans="1:3" x14ac:dyDescent="0.3">
      <c r="A4630" s="5" t="s">
        <v>5271</v>
      </c>
      <c r="B4630" t="s">
        <v>10757</v>
      </c>
      <c r="C4630" t="str">
        <f>IFERROR(VLOOKUP(ILACLISTE[[#This Row],[NAME]],Table5[#All],2,0),"")</f>
        <v/>
      </c>
    </row>
    <row r="4631" spans="1:3" x14ac:dyDescent="0.3">
      <c r="A4631" s="5" t="s">
        <v>5272</v>
      </c>
      <c r="B4631" t="s">
        <v>10758</v>
      </c>
      <c r="C4631" t="str">
        <f>IFERROR(VLOOKUP(ILACLISTE[[#This Row],[NAME]],Table5[#All],2,0),"")</f>
        <v/>
      </c>
    </row>
    <row r="4632" spans="1:3" x14ac:dyDescent="0.3">
      <c r="A4632" s="5" t="s">
        <v>5273</v>
      </c>
      <c r="B4632" t="s">
        <v>10759</v>
      </c>
      <c r="C4632" t="str">
        <f>IFERROR(VLOOKUP(ILACLISTE[[#This Row],[NAME]],Table5[#All],2,0),"")</f>
        <v/>
      </c>
    </row>
    <row r="4633" spans="1:3" x14ac:dyDescent="0.3">
      <c r="A4633" s="5" t="s">
        <v>5274</v>
      </c>
      <c r="B4633" t="s">
        <v>10760</v>
      </c>
      <c r="C4633" t="str">
        <f>IFERROR(VLOOKUP(ILACLISTE[[#This Row],[NAME]],Table5[#All],2,0),"")</f>
        <v/>
      </c>
    </row>
    <row r="4634" spans="1:3" x14ac:dyDescent="0.3">
      <c r="A4634" s="5" t="s">
        <v>5275</v>
      </c>
      <c r="B4634" t="s">
        <v>10761</v>
      </c>
      <c r="C4634" t="str">
        <f>IFERROR(VLOOKUP(ILACLISTE[[#This Row],[NAME]],Table5[#All],2,0),"")</f>
        <v/>
      </c>
    </row>
    <row r="4635" spans="1:3" x14ac:dyDescent="0.3">
      <c r="A4635" s="5" t="s">
        <v>5276</v>
      </c>
      <c r="B4635" t="s">
        <v>10762</v>
      </c>
      <c r="C4635" t="str">
        <f>IFERROR(VLOOKUP(ILACLISTE[[#This Row],[NAME]],Table5[#All],2,0),"")</f>
        <v/>
      </c>
    </row>
    <row r="4636" spans="1:3" x14ac:dyDescent="0.3">
      <c r="A4636" s="5" t="s">
        <v>5277</v>
      </c>
      <c r="B4636" t="s">
        <v>10763</v>
      </c>
      <c r="C4636" t="str">
        <f>IFERROR(VLOOKUP(ILACLISTE[[#This Row],[NAME]],Table5[#All],2,0),"")</f>
        <v/>
      </c>
    </row>
    <row r="4637" spans="1:3" x14ac:dyDescent="0.3">
      <c r="A4637" s="5" t="s">
        <v>5278</v>
      </c>
      <c r="B4637" t="s">
        <v>10764</v>
      </c>
      <c r="C4637" t="str">
        <f>IFERROR(VLOOKUP(ILACLISTE[[#This Row],[NAME]],Table5[#All],2,0),"")</f>
        <v/>
      </c>
    </row>
    <row r="4638" spans="1:3" x14ac:dyDescent="0.3">
      <c r="A4638" s="5" t="s">
        <v>5279</v>
      </c>
      <c r="B4638" t="s">
        <v>10765</v>
      </c>
      <c r="C4638" t="str">
        <f>IFERROR(VLOOKUP(ILACLISTE[[#This Row],[NAME]],Table5[#All],2,0),"")</f>
        <v/>
      </c>
    </row>
    <row r="4639" spans="1:3" x14ac:dyDescent="0.3">
      <c r="A4639" s="5" t="s">
        <v>5280</v>
      </c>
      <c r="B4639" t="s">
        <v>10766</v>
      </c>
      <c r="C4639" t="str">
        <f>IFERROR(VLOOKUP(ILACLISTE[[#This Row],[NAME]],Table5[#All],2,0),"")</f>
        <v/>
      </c>
    </row>
    <row r="4640" spans="1:3" x14ac:dyDescent="0.3">
      <c r="A4640" s="5" t="s">
        <v>5281</v>
      </c>
      <c r="B4640" t="s">
        <v>10767</v>
      </c>
      <c r="C4640" t="str">
        <f>IFERROR(VLOOKUP(ILACLISTE[[#This Row],[NAME]],Table5[#All],2,0),"")</f>
        <v/>
      </c>
    </row>
    <row r="4641" spans="1:3" x14ac:dyDescent="0.3">
      <c r="A4641" s="5" t="s">
        <v>5282</v>
      </c>
      <c r="B4641" t="s">
        <v>563</v>
      </c>
      <c r="C4641" t="str">
        <f>IFERROR(VLOOKUP(ILACLISTE[[#This Row],[NAME]],Table5[#All],2,0),"")</f>
        <v/>
      </c>
    </row>
    <row r="4642" spans="1:3" x14ac:dyDescent="0.3">
      <c r="A4642" s="5" t="s">
        <v>5283</v>
      </c>
      <c r="B4642" t="s">
        <v>10768</v>
      </c>
      <c r="C4642" t="str">
        <f>IFERROR(VLOOKUP(ILACLISTE[[#This Row],[NAME]],Table5[#All],2,0),"")</f>
        <v/>
      </c>
    </row>
    <row r="4643" spans="1:3" x14ac:dyDescent="0.3">
      <c r="A4643" s="5" t="s">
        <v>5284</v>
      </c>
      <c r="B4643" t="s">
        <v>10769</v>
      </c>
      <c r="C4643" t="str">
        <f>IFERROR(VLOOKUP(ILACLISTE[[#This Row],[NAME]],Table5[#All],2,0),"")</f>
        <v/>
      </c>
    </row>
    <row r="4644" spans="1:3" x14ac:dyDescent="0.3">
      <c r="A4644" s="5" t="s">
        <v>5285</v>
      </c>
      <c r="B4644" t="s">
        <v>10770</v>
      </c>
      <c r="C4644" t="str">
        <f>IFERROR(VLOOKUP(ILACLISTE[[#This Row],[NAME]],Table5[#All],2,0),"")</f>
        <v/>
      </c>
    </row>
    <row r="4645" spans="1:3" x14ac:dyDescent="0.3">
      <c r="A4645" s="5" t="s">
        <v>5286</v>
      </c>
      <c r="B4645" t="s">
        <v>10771</v>
      </c>
      <c r="C4645" t="str">
        <f>IFERROR(VLOOKUP(ILACLISTE[[#This Row],[NAME]],Table5[#All],2,0),"")</f>
        <v/>
      </c>
    </row>
    <row r="4646" spans="1:3" x14ac:dyDescent="0.3">
      <c r="A4646" s="5" t="s">
        <v>5287</v>
      </c>
      <c r="B4646" t="s">
        <v>10772</v>
      </c>
      <c r="C4646" t="str">
        <f>IFERROR(VLOOKUP(ILACLISTE[[#This Row],[NAME]],Table5[#All],2,0),"")</f>
        <v/>
      </c>
    </row>
    <row r="4647" spans="1:3" x14ac:dyDescent="0.3">
      <c r="A4647" s="5" t="s">
        <v>5288</v>
      </c>
      <c r="B4647" t="s">
        <v>10773</v>
      </c>
      <c r="C4647" t="str">
        <f>IFERROR(VLOOKUP(ILACLISTE[[#This Row],[NAME]],Table5[#All],2,0),"")</f>
        <v/>
      </c>
    </row>
    <row r="4648" spans="1:3" x14ac:dyDescent="0.3">
      <c r="A4648" s="5" t="s">
        <v>5289</v>
      </c>
      <c r="B4648" t="s">
        <v>564</v>
      </c>
      <c r="C4648" t="str">
        <f>IFERROR(VLOOKUP(ILACLISTE[[#This Row],[NAME]],Table5[#All],2,0),"")</f>
        <v/>
      </c>
    </row>
    <row r="4649" spans="1:3" x14ac:dyDescent="0.3">
      <c r="A4649" s="5" t="s">
        <v>5290</v>
      </c>
      <c r="B4649" t="s">
        <v>565</v>
      </c>
      <c r="C4649" t="str">
        <f>IFERROR(VLOOKUP(ILACLISTE[[#This Row],[NAME]],Table5[#All],2,0),"")</f>
        <v/>
      </c>
    </row>
    <row r="4650" spans="1:3" x14ac:dyDescent="0.3">
      <c r="A4650" s="5" t="s">
        <v>5291</v>
      </c>
      <c r="B4650" t="s">
        <v>566</v>
      </c>
      <c r="C4650" t="str">
        <f>IFERROR(VLOOKUP(ILACLISTE[[#This Row],[NAME]],Table5[#All],2,0),"")</f>
        <v/>
      </c>
    </row>
    <row r="4651" spans="1:3" x14ac:dyDescent="0.3">
      <c r="A4651" s="5" t="s">
        <v>5292</v>
      </c>
      <c r="B4651" t="s">
        <v>567</v>
      </c>
      <c r="C4651" t="str">
        <f>IFERROR(VLOOKUP(ILACLISTE[[#This Row],[NAME]],Table5[#All],2,0),"")</f>
        <v/>
      </c>
    </row>
    <row r="4652" spans="1:3" x14ac:dyDescent="0.3">
      <c r="A4652" s="5" t="s">
        <v>5293</v>
      </c>
      <c r="B4652" t="s">
        <v>10774</v>
      </c>
      <c r="C4652" t="str">
        <f>IFERROR(VLOOKUP(ILACLISTE[[#This Row],[NAME]],Table5[#All],2,0),"")</f>
        <v/>
      </c>
    </row>
    <row r="4653" spans="1:3" x14ac:dyDescent="0.3">
      <c r="A4653" s="5" t="s">
        <v>5294</v>
      </c>
      <c r="B4653" t="s">
        <v>10775</v>
      </c>
      <c r="C4653" t="str">
        <f>IFERROR(VLOOKUP(ILACLISTE[[#This Row],[NAME]],Table5[#All],2,0),"")</f>
        <v/>
      </c>
    </row>
    <row r="4654" spans="1:3" x14ac:dyDescent="0.3">
      <c r="A4654" s="5" t="s">
        <v>5295</v>
      </c>
      <c r="B4654" t="s">
        <v>10776</v>
      </c>
      <c r="C4654" t="str">
        <f>IFERROR(VLOOKUP(ILACLISTE[[#This Row],[NAME]],Table5[#All],2,0),"")</f>
        <v/>
      </c>
    </row>
    <row r="4655" spans="1:3" x14ac:dyDescent="0.3">
      <c r="A4655" s="5" t="s">
        <v>5296</v>
      </c>
      <c r="B4655" t="s">
        <v>10777</v>
      </c>
      <c r="C4655" t="str">
        <f>IFERROR(VLOOKUP(ILACLISTE[[#This Row],[NAME]],Table5[#All],2,0),"")</f>
        <v/>
      </c>
    </row>
    <row r="4656" spans="1:3" x14ac:dyDescent="0.3">
      <c r="A4656" s="5" t="s">
        <v>5297</v>
      </c>
      <c r="B4656" t="s">
        <v>568</v>
      </c>
      <c r="C4656" t="str">
        <f>IFERROR(VLOOKUP(ILACLISTE[[#This Row],[NAME]],Table5[#All],2,0),"")</f>
        <v/>
      </c>
    </row>
    <row r="4657" spans="1:3" x14ac:dyDescent="0.3">
      <c r="A4657" s="5" t="s">
        <v>5298</v>
      </c>
      <c r="B4657" t="s">
        <v>569</v>
      </c>
      <c r="C4657" t="str">
        <f>IFERROR(VLOOKUP(ILACLISTE[[#This Row],[NAME]],Table5[#All],2,0),"")</f>
        <v/>
      </c>
    </row>
    <row r="4658" spans="1:3" x14ac:dyDescent="0.3">
      <c r="A4658" s="5" t="s">
        <v>5299</v>
      </c>
      <c r="B4658" t="s">
        <v>570</v>
      </c>
      <c r="C4658" t="str">
        <f>IFERROR(VLOOKUP(ILACLISTE[[#This Row],[NAME]],Table5[#All],2,0),"")</f>
        <v/>
      </c>
    </row>
    <row r="4659" spans="1:3" x14ac:dyDescent="0.3">
      <c r="A4659" s="5" t="s">
        <v>5300</v>
      </c>
      <c r="B4659" t="s">
        <v>10778</v>
      </c>
      <c r="C4659" t="str">
        <f>IFERROR(VLOOKUP(ILACLISTE[[#This Row],[NAME]],Table5[#All],2,0),"")</f>
        <v/>
      </c>
    </row>
    <row r="4660" spans="1:3" x14ac:dyDescent="0.3">
      <c r="A4660" s="5" t="s">
        <v>5301</v>
      </c>
      <c r="B4660" t="s">
        <v>10779</v>
      </c>
      <c r="C4660" t="str">
        <f>IFERROR(VLOOKUP(ILACLISTE[[#This Row],[NAME]],Table5[#All],2,0),"")</f>
        <v/>
      </c>
    </row>
    <row r="4661" spans="1:3" x14ac:dyDescent="0.3">
      <c r="A4661" s="5" t="s">
        <v>5302</v>
      </c>
      <c r="B4661" t="s">
        <v>571</v>
      </c>
      <c r="C4661" t="str">
        <f>IFERROR(VLOOKUP(ILACLISTE[[#This Row],[NAME]],Table5[#All],2,0),"")</f>
        <v/>
      </c>
    </row>
    <row r="4662" spans="1:3" x14ac:dyDescent="0.3">
      <c r="A4662" s="5" t="s">
        <v>5303</v>
      </c>
      <c r="B4662" t="s">
        <v>572</v>
      </c>
      <c r="C4662" t="str">
        <f>IFERROR(VLOOKUP(ILACLISTE[[#This Row],[NAME]],Table5[#All],2,0),"")</f>
        <v/>
      </c>
    </row>
    <row r="4663" spans="1:3" x14ac:dyDescent="0.3">
      <c r="A4663" s="5" t="s">
        <v>5304</v>
      </c>
      <c r="B4663" t="s">
        <v>10780</v>
      </c>
      <c r="C4663" t="str">
        <f>IFERROR(VLOOKUP(ILACLISTE[[#This Row],[NAME]],Table5[#All],2,0),"")</f>
        <v/>
      </c>
    </row>
    <row r="4664" spans="1:3" x14ac:dyDescent="0.3">
      <c r="A4664" s="5" t="s">
        <v>5305</v>
      </c>
      <c r="B4664" t="s">
        <v>10781</v>
      </c>
      <c r="C4664" t="str">
        <f>IFERROR(VLOOKUP(ILACLISTE[[#This Row],[NAME]],Table5[#All],2,0),"")</f>
        <v/>
      </c>
    </row>
    <row r="4665" spans="1:3" x14ac:dyDescent="0.3">
      <c r="A4665" s="5" t="s">
        <v>5306</v>
      </c>
      <c r="B4665" t="s">
        <v>10782</v>
      </c>
      <c r="C4665" t="str">
        <f>IFERROR(VLOOKUP(ILACLISTE[[#This Row],[NAME]],Table5[#All],2,0),"")</f>
        <v/>
      </c>
    </row>
    <row r="4666" spans="1:3" x14ac:dyDescent="0.3">
      <c r="A4666" s="5" t="s">
        <v>5307</v>
      </c>
      <c r="B4666" t="s">
        <v>573</v>
      </c>
      <c r="C4666" t="str">
        <f>IFERROR(VLOOKUP(ILACLISTE[[#This Row],[NAME]],Table5[#All],2,0),"")</f>
        <v/>
      </c>
    </row>
    <row r="4667" spans="1:3" x14ac:dyDescent="0.3">
      <c r="A4667" s="5" t="s">
        <v>5308</v>
      </c>
      <c r="B4667" t="s">
        <v>10783</v>
      </c>
      <c r="C4667" t="str">
        <f>IFERROR(VLOOKUP(ILACLISTE[[#This Row],[NAME]],Table5[#All],2,0),"")</f>
        <v/>
      </c>
    </row>
    <row r="4668" spans="1:3" x14ac:dyDescent="0.3">
      <c r="A4668" s="5" t="s">
        <v>5309</v>
      </c>
      <c r="B4668" t="s">
        <v>574</v>
      </c>
      <c r="C4668" t="str">
        <f>IFERROR(VLOOKUP(ILACLISTE[[#This Row],[NAME]],Table5[#All],2,0),"")</f>
        <v/>
      </c>
    </row>
    <row r="4669" spans="1:3" x14ac:dyDescent="0.3">
      <c r="A4669" s="5" t="s">
        <v>5310</v>
      </c>
      <c r="B4669" t="s">
        <v>10784</v>
      </c>
      <c r="C4669" t="str">
        <f>IFERROR(VLOOKUP(ILACLISTE[[#This Row],[NAME]],Table5[#All],2,0),"")</f>
        <v/>
      </c>
    </row>
    <row r="4670" spans="1:3" x14ac:dyDescent="0.3">
      <c r="A4670" s="5" t="s">
        <v>5311</v>
      </c>
      <c r="B4670" t="s">
        <v>575</v>
      </c>
      <c r="C4670" t="str">
        <f>IFERROR(VLOOKUP(ILACLISTE[[#This Row],[NAME]],Table5[#All],2,0),"")</f>
        <v/>
      </c>
    </row>
    <row r="4671" spans="1:3" x14ac:dyDescent="0.3">
      <c r="A4671" s="5" t="s">
        <v>5312</v>
      </c>
      <c r="B4671" t="s">
        <v>10785</v>
      </c>
      <c r="C4671" t="str">
        <f>IFERROR(VLOOKUP(ILACLISTE[[#This Row],[NAME]],Table5[#All],2,0),"")</f>
        <v/>
      </c>
    </row>
    <row r="4672" spans="1:3" x14ac:dyDescent="0.3">
      <c r="A4672" s="5" t="s">
        <v>5313</v>
      </c>
      <c r="B4672" t="s">
        <v>10786</v>
      </c>
      <c r="C4672" t="str">
        <f>IFERROR(VLOOKUP(ILACLISTE[[#This Row],[NAME]],Table5[#All],2,0),"")</f>
        <v/>
      </c>
    </row>
    <row r="4673" spans="1:3" x14ac:dyDescent="0.3">
      <c r="A4673" s="5" t="s">
        <v>5314</v>
      </c>
      <c r="B4673" t="s">
        <v>10787</v>
      </c>
      <c r="C4673" t="str">
        <f>IFERROR(VLOOKUP(ILACLISTE[[#This Row],[NAME]],Table5[#All],2,0),"")</f>
        <v/>
      </c>
    </row>
    <row r="4674" spans="1:3" x14ac:dyDescent="0.3">
      <c r="A4674" s="5" t="s">
        <v>5315</v>
      </c>
      <c r="B4674" t="s">
        <v>10788</v>
      </c>
      <c r="C4674" t="str">
        <f>IFERROR(VLOOKUP(ILACLISTE[[#This Row],[NAME]],Table5[#All],2,0),"")</f>
        <v/>
      </c>
    </row>
    <row r="4675" spans="1:3" x14ac:dyDescent="0.3">
      <c r="A4675" s="5" t="s">
        <v>5316</v>
      </c>
      <c r="B4675" t="s">
        <v>576</v>
      </c>
      <c r="C4675" t="str">
        <f>IFERROR(VLOOKUP(ILACLISTE[[#This Row],[NAME]],Table5[#All],2,0),"")</f>
        <v/>
      </c>
    </row>
    <row r="4676" spans="1:3" x14ac:dyDescent="0.3">
      <c r="A4676" s="5" t="s">
        <v>5317</v>
      </c>
      <c r="B4676" t="s">
        <v>577</v>
      </c>
      <c r="C4676" t="str">
        <f>IFERROR(VLOOKUP(ILACLISTE[[#This Row],[NAME]],Table5[#All],2,0),"")</f>
        <v/>
      </c>
    </row>
    <row r="4677" spans="1:3" x14ac:dyDescent="0.3">
      <c r="A4677" s="5" t="s">
        <v>5318</v>
      </c>
      <c r="B4677" t="s">
        <v>578</v>
      </c>
      <c r="C4677" t="str">
        <f>IFERROR(VLOOKUP(ILACLISTE[[#This Row],[NAME]],Table5[#All],2,0),"")</f>
        <v/>
      </c>
    </row>
    <row r="4678" spans="1:3" x14ac:dyDescent="0.3">
      <c r="A4678" s="5" t="s">
        <v>5319</v>
      </c>
      <c r="B4678" t="s">
        <v>579</v>
      </c>
      <c r="C4678" t="str">
        <f>IFERROR(VLOOKUP(ILACLISTE[[#This Row],[NAME]],Table5[#All],2,0),"")</f>
        <v/>
      </c>
    </row>
    <row r="4679" spans="1:3" x14ac:dyDescent="0.3">
      <c r="A4679" s="5" t="s">
        <v>5320</v>
      </c>
      <c r="B4679" t="s">
        <v>10789</v>
      </c>
      <c r="C4679" t="str">
        <f>IFERROR(VLOOKUP(ILACLISTE[[#This Row],[NAME]],Table5[#All],2,0),"")</f>
        <v/>
      </c>
    </row>
    <row r="4680" spans="1:3" x14ac:dyDescent="0.3">
      <c r="A4680" s="5" t="s">
        <v>5321</v>
      </c>
      <c r="B4680" t="s">
        <v>10790</v>
      </c>
      <c r="C4680" t="str">
        <f>IFERROR(VLOOKUP(ILACLISTE[[#This Row],[NAME]],Table5[#All],2,0),"")</f>
        <v/>
      </c>
    </row>
    <row r="4681" spans="1:3" x14ac:dyDescent="0.3">
      <c r="A4681" s="5" t="s">
        <v>5322</v>
      </c>
      <c r="B4681" t="s">
        <v>10791</v>
      </c>
      <c r="C4681" t="str">
        <f>IFERROR(VLOOKUP(ILACLISTE[[#This Row],[NAME]],Table5[#All],2,0),"")</f>
        <v/>
      </c>
    </row>
    <row r="4682" spans="1:3" x14ac:dyDescent="0.3">
      <c r="A4682" s="5" t="s">
        <v>5323</v>
      </c>
      <c r="B4682" t="s">
        <v>10792</v>
      </c>
      <c r="C4682" t="str">
        <f>IFERROR(VLOOKUP(ILACLISTE[[#This Row],[NAME]],Table5[#All],2,0),"")</f>
        <v/>
      </c>
    </row>
    <row r="4683" spans="1:3" x14ac:dyDescent="0.3">
      <c r="A4683" s="5" t="s">
        <v>5324</v>
      </c>
      <c r="B4683" t="s">
        <v>580</v>
      </c>
      <c r="C4683" t="str">
        <f>IFERROR(VLOOKUP(ILACLISTE[[#This Row],[NAME]],Table5[#All],2,0),"")</f>
        <v/>
      </c>
    </row>
    <row r="4684" spans="1:3" x14ac:dyDescent="0.3">
      <c r="A4684" s="5" t="s">
        <v>5325</v>
      </c>
      <c r="B4684" t="s">
        <v>10793</v>
      </c>
      <c r="C4684" t="str">
        <f>IFERROR(VLOOKUP(ILACLISTE[[#This Row],[NAME]],Table5[#All],2,0),"")</f>
        <v/>
      </c>
    </row>
    <row r="4685" spans="1:3" x14ac:dyDescent="0.3">
      <c r="A4685" s="5" t="s">
        <v>5326</v>
      </c>
      <c r="B4685" t="s">
        <v>10794</v>
      </c>
      <c r="C4685" t="str">
        <f>IFERROR(VLOOKUP(ILACLISTE[[#This Row],[NAME]],Table5[#All],2,0),"")</f>
        <v/>
      </c>
    </row>
    <row r="4686" spans="1:3" x14ac:dyDescent="0.3">
      <c r="A4686" s="5" t="s">
        <v>5327</v>
      </c>
      <c r="B4686" t="s">
        <v>10795</v>
      </c>
      <c r="C4686" t="str">
        <f>IFERROR(VLOOKUP(ILACLISTE[[#This Row],[NAME]],Table5[#All],2,0),"")</f>
        <v/>
      </c>
    </row>
    <row r="4687" spans="1:3" x14ac:dyDescent="0.3">
      <c r="A4687" s="5" t="s">
        <v>5328</v>
      </c>
      <c r="B4687" t="s">
        <v>10796</v>
      </c>
      <c r="C4687" t="str">
        <f>IFERROR(VLOOKUP(ILACLISTE[[#This Row],[NAME]],Table5[#All],2,0),"")</f>
        <v/>
      </c>
    </row>
    <row r="4688" spans="1:3" x14ac:dyDescent="0.3">
      <c r="A4688" s="5" t="s">
        <v>5329</v>
      </c>
      <c r="B4688" t="s">
        <v>10797</v>
      </c>
      <c r="C4688" t="str">
        <f>IFERROR(VLOOKUP(ILACLISTE[[#This Row],[NAME]],Table5[#All],2,0),"")</f>
        <v/>
      </c>
    </row>
    <row r="4689" spans="1:3" x14ac:dyDescent="0.3">
      <c r="A4689" s="5" t="s">
        <v>5330</v>
      </c>
      <c r="B4689" t="s">
        <v>10798</v>
      </c>
      <c r="C4689" t="str">
        <f>IFERROR(VLOOKUP(ILACLISTE[[#This Row],[NAME]],Table5[#All],2,0),"")</f>
        <v/>
      </c>
    </row>
    <row r="4690" spans="1:3" x14ac:dyDescent="0.3">
      <c r="A4690" s="5" t="s">
        <v>5331</v>
      </c>
      <c r="B4690" t="s">
        <v>10799</v>
      </c>
      <c r="C4690" t="str">
        <f>IFERROR(VLOOKUP(ILACLISTE[[#This Row],[NAME]],Table5[#All],2,0),"")</f>
        <v/>
      </c>
    </row>
    <row r="4691" spans="1:3" x14ac:dyDescent="0.3">
      <c r="A4691" s="5" t="s">
        <v>5332</v>
      </c>
      <c r="B4691" t="s">
        <v>10800</v>
      </c>
      <c r="C4691" t="str">
        <f>IFERROR(VLOOKUP(ILACLISTE[[#This Row],[NAME]],Table5[#All],2,0),"")</f>
        <v/>
      </c>
    </row>
    <row r="4692" spans="1:3" x14ac:dyDescent="0.3">
      <c r="A4692" s="5" t="s">
        <v>5333</v>
      </c>
      <c r="B4692" t="s">
        <v>10801</v>
      </c>
      <c r="C4692" t="str">
        <f>IFERROR(VLOOKUP(ILACLISTE[[#This Row],[NAME]],Table5[#All],2,0),"")</f>
        <v/>
      </c>
    </row>
    <row r="4693" spans="1:3" x14ac:dyDescent="0.3">
      <c r="A4693" s="5" t="s">
        <v>5334</v>
      </c>
      <c r="B4693" t="s">
        <v>10802</v>
      </c>
      <c r="C4693" t="str">
        <f>IFERROR(VLOOKUP(ILACLISTE[[#This Row],[NAME]],Table5[#All],2,0),"")</f>
        <v/>
      </c>
    </row>
    <row r="4694" spans="1:3" x14ac:dyDescent="0.3">
      <c r="A4694" s="5" t="s">
        <v>5335</v>
      </c>
      <c r="B4694" t="s">
        <v>10803</v>
      </c>
      <c r="C4694" t="str">
        <f>IFERROR(VLOOKUP(ILACLISTE[[#This Row],[NAME]],Table5[#All],2,0),"")</f>
        <v/>
      </c>
    </row>
    <row r="4695" spans="1:3" x14ac:dyDescent="0.3">
      <c r="A4695" s="5" t="s">
        <v>5336</v>
      </c>
      <c r="B4695" t="s">
        <v>10804</v>
      </c>
      <c r="C4695" t="str">
        <f>IFERROR(VLOOKUP(ILACLISTE[[#This Row],[NAME]],Table5[#All],2,0),"")</f>
        <v/>
      </c>
    </row>
    <row r="4696" spans="1:3" x14ac:dyDescent="0.3">
      <c r="A4696" s="5" t="s">
        <v>5337</v>
      </c>
      <c r="B4696" t="s">
        <v>10805</v>
      </c>
      <c r="C4696" t="str">
        <f>IFERROR(VLOOKUP(ILACLISTE[[#This Row],[NAME]],Table5[#All],2,0),"")</f>
        <v/>
      </c>
    </row>
    <row r="4697" spans="1:3" x14ac:dyDescent="0.3">
      <c r="A4697" s="5" t="s">
        <v>5338</v>
      </c>
      <c r="B4697" t="s">
        <v>10806</v>
      </c>
      <c r="C4697" t="str">
        <f>IFERROR(VLOOKUP(ILACLISTE[[#This Row],[NAME]],Table5[#All],2,0),"")</f>
        <v/>
      </c>
    </row>
    <row r="4698" spans="1:3" x14ac:dyDescent="0.3">
      <c r="A4698" s="5" t="s">
        <v>5339</v>
      </c>
      <c r="B4698" t="s">
        <v>10807</v>
      </c>
      <c r="C4698" t="str">
        <f>IFERROR(VLOOKUP(ILACLISTE[[#This Row],[NAME]],Table5[#All],2,0),"")</f>
        <v/>
      </c>
    </row>
    <row r="4699" spans="1:3" x14ac:dyDescent="0.3">
      <c r="A4699" s="5" t="s">
        <v>5340</v>
      </c>
      <c r="B4699" t="s">
        <v>10808</v>
      </c>
      <c r="C4699" t="str">
        <f>IFERROR(VLOOKUP(ILACLISTE[[#This Row],[NAME]],Table5[#All],2,0),"")</f>
        <v/>
      </c>
    </row>
    <row r="4700" spans="1:3" x14ac:dyDescent="0.3">
      <c r="A4700" s="5" t="s">
        <v>5341</v>
      </c>
      <c r="B4700" t="s">
        <v>10809</v>
      </c>
      <c r="C4700" t="str">
        <f>IFERROR(VLOOKUP(ILACLISTE[[#This Row],[NAME]],Table5[#All],2,0),"")</f>
        <v/>
      </c>
    </row>
    <row r="4701" spans="1:3" x14ac:dyDescent="0.3">
      <c r="A4701" s="5" t="s">
        <v>5342</v>
      </c>
      <c r="B4701" t="s">
        <v>10810</v>
      </c>
      <c r="C4701" t="str">
        <f>IFERROR(VLOOKUP(ILACLISTE[[#This Row],[NAME]],Table5[#All],2,0),"")</f>
        <v/>
      </c>
    </row>
    <row r="4702" spans="1:3" x14ac:dyDescent="0.3">
      <c r="A4702" s="5" t="s">
        <v>5343</v>
      </c>
      <c r="B4702" t="s">
        <v>10811</v>
      </c>
      <c r="C4702" t="str">
        <f>IFERROR(VLOOKUP(ILACLISTE[[#This Row],[NAME]],Table5[#All],2,0),"")</f>
        <v/>
      </c>
    </row>
    <row r="4703" spans="1:3" x14ac:dyDescent="0.3">
      <c r="A4703" s="5" t="s">
        <v>5344</v>
      </c>
      <c r="B4703" t="s">
        <v>10812</v>
      </c>
      <c r="C4703" t="str">
        <f>IFERROR(VLOOKUP(ILACLISTE[[#This Row],[NAME]],Table5[#All],2,0),"")</f>
        <v/>
      </c>
    </row>
    <row r="4704" spans="1:3" x14ac:dyDescent="0.3">
      <c r="A4704" s="5" t="s">
        <v>5345</v>
      </c>
      <c r="B4704" t="s">
        <v>10813</v>
      </c>
      <c r="C4704" t="str">
        <f>IFERROR(VLOOKUP(ILACLISTE[[#This Row],[NAME]],Table5[#All],2,0),"")</f>
        <v/>
      </c>
    </row>
    <row r="4705" spans="1:3" x14ac:dyDescent="0.3">
      <c r="A4705" s="5" t="s">
        <v>5346</v>
      </c>
      <c r="B4705" t="s">
        <v>10814</v>
      </c>
      <c r="C4705" t="str">
        <f>IFERROR(VLOOKUP(ILACLISTE[[#This Row],[NAME]],Table5[#All],2,0),"")</f>
        <v/>
      </c>
    </row>
    <row r="4706" spans="1:3" x14ac:dyDescent="0.3">
      <c r="A4706" s="5" t="s">
        <v>5347</v>
      </c>
      <c r="B4706" t="s">
        <v>10815</v>
      </c>
      <c r="C4706" t="str">
        <f>IFERROR(VLOOKUP(ILACLISTE[[#This Row],[NAME]],Table5[#All],2,0),"")</f>
        <v/>
      </c>
    </row>
    <row r="4707" spans="1:3" x14ac:dyDescent="0.3">
      <c r="A4707" s="5" t="s">
        <v>5348</v>
      </c>
      <c r="B4707" t="s">
        <v>10816</v>
      </c>
      <c r="C4707" t="str">
        <f>IFERROR(VLOOKUP(ILACLISTE[[#This Row],[NAME]],Table5[#All],2,0),"")</f>
        <v/>
      </c>
    </row>
    <row r="4708" spans="1:3" x14ac:dyDescent="0.3">
      <c r="A4708" s="5" t="s">
        <v>5349</v>
      </c>
      <c r="B4708" t="s">
        <v>10817</v>
      </c>
      <c r="C4708" t="str">
        <f>IFERROR(VLOOKUP(ILACLISTE[[#This Row],[NAME]],Table5[#All],2,0),"")</f>
        <v/>
      </c>
    </row>
    <row r="4709" spans="1:3" x14ac:dyDescent="0.3">
      <c r="A4709" s="5" t="s">
        <v>5350</v>
      </c>
      <c r="B4709" t="s">
        <v>10818</v>
      </c>
      <c r="C4709" t="str">
        <f>IFERROR(VLOOKUP(ILACLISTE[[#This Row],[NAME]],Table5[#All],2,0),"")</f>
        <v/>
      </c>
    </row>
    <row r="4710" spans="1:3" x14ac:dyDescent="0.3">
      <c r="A4710" s="5" t="s">
        <v>5351</v>
      </c>
      <c r="B4710" t="s">
        <v>10819</v>
      </c>
      <c r="C4710" t="str">
        <f>IFERROR(VLOOKUP(ILACLISTE[[#This Row],[NAME]],Table5[#All],2,0),"")</f>
        <v/>
      </c>
    </row>
    <row r="4711" spans="1:3" x14ac:dyDescent="0.3">
      <c r="A4711" s="5" t="s">
        <v>5352</v>
      </c>
      <c r="B4711" t="s">
        <v>10820</v>
      </c>
      <c r="C4711" t="str">
        <f>IFERROR(VLOOKUP(ILACLISTE[[#This Row],[NAME]],Table5[#All],2,0),"")</f>
        <v/>
      </c>
    </row>
    <row r="4712" spans="1:3" x14ac:dyDescent="0.3">
      <c r="A4712" s="5" t="s">
        <v>5353</v>
      </c>
      <c r="B4712" t="s">
        <v>10821</v>
      </c>
      <c r="C4712" t="str">
        <f>IFERROR(VLOOKUP(ILACLISTE[[#This Row],[NAME]],Table5[#All],2,0),"")</f>
        <v/>
      </c>
    </row>
    <row r="4713" spans="1:3" x14ac:dyDescent="0.3">
      <c r="A4713" s="5" t="s">
        <v>5354</v>
      </c>
      <c r="B4713" t="s">
        <v>10822</v>
      </c>
      <c r="C4713" t="str">
        <f>IFERROR(VLOOKUP(ILACLISTE[[#This Row],[NAME]],Table5[#All],2,0),"")</f>
        <v/>
      </c>
    </row>
    <row r="4714" spans="1:3" x14ac:dyDescent="0.3">
      <c r="A4714" s="5" t="s">
        <v>5355</v>
      </c>
      <c r="B4714" t="s">
        <v>10823</v>
      </c>
      <c r="C4714" t="str">
        <f>IFERROR(VLOOKUP(ILACLISTE[[#This Row],[NAME]],Table5[#All],2,0),"")</f>
        <v/>
      </c>
    </row>
    <row r="4715" spans="1:3" x14ac:dyDescent="0.3">
      <c r="A4715" s="5" t="s">
        <v>5356</v>
      </c>
      <c r="B4715" t="s">
        <v>10824</v>
      </c>
      <c r="C4715" t="str">
        <f>IFERROR(VLOOKUP(ILACLISTE[[#This Row],[NAME]],Table5[#All],2,0),"")</f>
        <v/>
      </c>
    </row>
    <row r="4716" spans="1:3" x14ac:dyDescent="0.3">
      <c r="A4716" s="5" t="s">
        <v>5357</v>
      </c>
      <c r="B4716" t="s">
        <v>10825</v>
      </c>
      <c r="C4716" t="str">
        <f>IFERROR(VLOOKUP(ILACLISTE[[#This Row],[NAME]],Table5[#All],2,0),"")</f>
        <v/>
      </c>
    </row>
    <row r="4717" spans="1:3" x14ac:dyDescent="0.3">
      <c r="A4717" s="5" t="s">
        <v>5358</v>
      </c>
      <c r="B4717" t="s">
        <v>10826</v>
      </c>
      <c r="C4717" t="str">
        <f>IFERROR(VLOOKUP(ILACLISTE[[#This Row],[NAME]],Table5[#All],2,0),"")</f>
        <v/>
      </c>
    </row>
    <row r="4718" spans="1:3" x14ac:dyDescent="0.3">
      <c r="A4718" s="5" t="s">
        <v>5359</v>
      </c>
      <c r="B4718" t="s">
        <v>10827</v>
      </c>
      <c r="C4718" t="str">
        <f>IFERROR(VLOOKUP(ILACLISTE[[#This Row],[NAME]],Table5[#All],2,0),"")</f>
        <v/>
      </c>
    </row>
    <row r="4719" spans="1:3" x14ac:dyDescent="0.3">
      <c r="A4719" s="5" t="s">
        <v>5360</v>
      </c>
      <c r="B4719" t="s">
        <v>10828</v>
      </c>
      <c r="C4719" t="str">
        <f>IFERROR(VLOOKUP(ILACLISTE[[#This Row],[NAME]],Table5[#All],2,0),"")</f>
        <v/>
      </c>
    </row>
    <row r="4720" spans="1:3" x14ac:dyDescent="0.3">
      <c r="A4720" s="5" t="s">
        <v>5361</v>
      </c>
      <c r="B4720" t="s">
        <v>10829</v>
      </c>
      <c r="C4720" t="str">
        <f>IFERROR(VLOOKUP(ILACLISTE[[#This Row],[NAME]],Table5[#All],2,0),"")</f>
        <v/>
      </c>
    </row>
    <row r="4721" spans="1:3" x14ac:dyDescent="0.3">
      <c r="A4721" s="5" t="s">
        <v>5362</v>
      </c>
      <c r="B4721" t="s">
        <v>10830</v>
      </c>
      <c r="C4721" t="str">
        <f>IFERROR(VLOOKUP(ILACLISTE[[#This Row],[NAME]],Table5[#All],2,0),"")</f>
        <v/>
      </c>
    </row>
    <row r="4722" spans="1:3" x14ac:dyDescent="0.3">
      <c r="A4722" s="5" t="s">
        <v>5363</v>
      </c>
      <c r="B4722" t="s">
        <v>10831</v>
      </c>
      <c r="C4722" t="str">
        <f>IFERROR(VLOOKUP(ILACLISTE[[#This Row],[NAME]],Table5[#All],2,0),"")</f>
        <v/>
      </c>
    </row>
    <row r="4723" spans="1:3" x14ac:dyDescent="0.3">
      <c r="A4723" s="5" t="s">
        <v>5364</v>
      </c>
      <c r="B4723" t="s">
        <v>10832</v>
      </c>
      <c r="C4723" t="str">
        <f>IFERROR(VLOOKUP(ILACLISTE[[#This Row],[NAME]],Table5[#All],2,0),"")</f>
        <v/>
      </c>
    </row>
    <row r="4724" spans="1:3" x14ac:dyDescent="0.3">
      <c r="A4724" s="5" t="s">
        <v>5365</v>
      </c>
      <c r="B4724" t="s">
        <v>10833</v>
      </c>
      <c r="C4724" t="str">
        <f>IFERROR(VLOOKUP(ILACLISTE[[#This Row],[NAME]],Table5[#All],2,0),"")</f>
        <v/>
      </c>
    </row>
    <row r="4725" spans="1:3" x14ac:dyDescent="0.3">
      <c r="A4725" s="5" t="s">
        <v>5366</v>
      </c>
      <c r="B4725" t="s">
        <v>10834</v>
      </c>
      <c r="C4725" t="str">
        <f>IFERROR(VLOOKUP(ILACLISTE[[#This Row],[NAME]],Table5[#All],2,0),"")</f>
        <v/>
      </c>
    </row>
    <row r="4726" spans="1:3" x14ac:dyDescent="0.3">
      <c r="A4726" s="5" t="s">
        <v>5367</v>
      </c>
      <c r="B4726" t="s">
        <v>10835</v>
      </c>
      <c r="C4726" t="str">
        <f>IFERROR(VLOOKUP(ILACLISTE[[#This Row],[NAME]],Table5[#All],2,0),"")</f>
        <v/>
      </c>
    </row>
    <row r="4727" spans="1:3" x14ac:dyDescent="0.3">
      <c r="A4727" s="5" t="s">
        <v>5368</v>
      </c>
      <c r="B4727" t="s">
        <v>10836</v>
      </c>
      <c r="C4727" t="str">
        <f>IFERROR(VLOOKUP(ILACLISTE[[#This Row],[NAME]],Table5[#All],2,0),"")</f>
        <v/>
      </c>
    </row>
    <row r="4728" spans="1:3" x14ac:dyDescent="0.3">
      <c r="A4728" s="5" t="s">
        <v>5369</v>
      </c>
      <c r="B4728" t="s">
        <v>10837</v>
      </c>
      <c r="C4728" t="str">
        <f>IFERROR(VLOOKUP(ILACLISTE[[#This Row],[NAME]],Table5[#All],2,0),"")</f>
        <v/>
      </c>
    </row>
    <row r="4729" spans="1:3" x14ac:dyDescent="0.3">
      <c r="A4729" s="5" t="s">
        <v>5370</v>
      </c>
      <c r="B4729" t="s">
        <v>10838</v>
      </c>
      <c r="C4729" t="str">
        <f>IFERROR(VLOOKUP(ILACLISTE[[#This Row],[NAME]],Table5[#All],2,0),"")</f>
        <v/>
      </c>
    </row>
    <row r="4730" spans="1:3" x14ac:dyDescent="0.3">
      <c r="A4730" s="5" t="s">
        <v>5371</v>
      </c>
      <c r="B4730" t="s">
        <v>10839</v>
      </c>
      <c r="C4730" t="str">
        <f>IFERROR(VLOOKUP(ILACLISTE[[#This Row],[NAME]],Table5[#All],2,0),"")</f>
        <v/>
      </c>
    </row>
    <row r="4731" spans="1:3" x14ac:dyDescent="0.3">
      <c r="A4731" s="5" t="s">
        <v>5372</v>
      </c>
      <c r="B4731" t="s">
        <v>10840</v>
      </c>
      <c r="C4731" t="str">
        <f>IFERROR(VLOOKUP(ILACLISTE[[#This Row],[NAME]],Table5[#All],2,0),"")</f>
        <v/>
      </c>
    </row>
    <row r="4732" spans="1:3" x14ac:dyDescent="0.3">
      <c r="A4732" s="5" t="s">
        <v>5373</v>
      </c>
      <c r="B4732" t="s">
        <v>10841</v>
      </c>
      <c r="C4732" t="str">
        <f>IFERROR(VLOOKUP(ILACLISTE[[#This Row],[NAME]],Table5[#All],2,0),"")</f>
        <v/>
      </c>
    </row>
    <row r="4733" spans="1:3" x14ac:dyDescent="0.3">
      <c r="A4733" s="5" t="s">
        <v>5374</v>
      </c>
      <c r="B4733" t="s">
        <v>10842</v>
      </c>
      <c r="C4733" t="str">
        <f>IFERROR(VLOOKUP(ILACLISTE[[#This Row],[NAME]],Table5[#All],2,0),"")</f>
        <v/>
      </c>
    </row>
    <row r="4734" spans="1:3" x14ac:dyDescent="0.3">
      <c r="A4734" s="5" t="s">
        <v>5375</v>
      </c>
      <c r="B4734" t="s">
        <v>10843</v>
      </c>
      <c r="C4734" t="str">
        <f>IFERROR(VLOOKUP(ILACLISTE[[#This Row],[NAME]],Table5[#All],2,0),"")</f>
        <v/>
      </c>
    </row>
    <row r="4735" spans="1:3" x14ac:dyDescent="0.3">
      <c r="A4735" s="5" t="s">
        <v>5376</v>
      </c>
      <c r="B4735" t="s">
        <v>10844</v>
      </c>
      <c r="C4735" t="str">
        <f>IFERROR(VLOOKUP(ILACLISTE[[#This Row],[NAME]],Table5[#All],2,0),"")</f>
        <v/>
      </c>
    </row>
    <row r="4736" spans="1:3" x14ac:dyDescent="0.3">
      <c r="A4736" s="5" t="s">
        <v>5377</v>
      </c>
      <c r="B4736" t="s">
        <v>581</v>
      </c>
      <c r="C4736" t="str">
        <f>IFERROR(VLOOKUP(ILACLISTE[[#This Row],[NAME]],Table5[#All],2,0),"")</f>
        <v/>
      </c>
    </row>
    <row r="4737" spans="1:3" x14ac:dyDescent="0.3">
      <c r="A4737" s="5" t="s">
        <v>5378</v>
      </c>
      <c r="B4737" t="s">
        <v>582</v>
      </c>
      <c r="C4737" t="str">
        <f>IFERROR(VLOOKUP(ILACLISTE[[#This Row],[NAME]],Table5[#All],2,0),"")</f>
        <v/>
      </c>
    </row>
    <row r="4738" spans="1:3" x14ac:dyDescent="0.3">
      <c r="A4738" s="5" t="s">
        <v>5379</v>
      </c>
      <c r="B4738" t="s">
        <v>10845</v>
      </c>
      <c r="C4738" t="str">
        <f>IFERROR(VLOOKUP(ILACLISTE[[#This Row],[NAME]],Table5[#All],2,0),"")</f>
        <v/>
      </c>
    </row>
    <row r="4739" spans="1:3" x14ac:dyDescent="0.3">
      <c r="A4739" s="5" t="s">
        <v>5380</v>
      </c>
      <c r="B4739" t="s">
        <v>583</v>
      </c>
      <c r="C4739" t="str">
        <f>IFERROR(VLOOKUP(ILACLISTE[[#This Row],[NAME]],Table5[#All],2,0),"")</f>
        <v/>
      </c>
    </row>
    <row r="4740" spans="1:3" x14ac:dyDescent="0.3">
      <c r="A4740" s="5" t="s">
        <v>5381</v>
      </c>
      <c r="B4740" t="s">
        <v>10846</v>
      </c>
      <c r="C4740" t="str">
        <f>IFERROR(VLOOKUP(ILACLISTE[[#This Row],[NAME]],Table5[#All],2,0),"")</f>
        <v/>
      </c>
    </row>
    <row r="4741" spans="1:3" x14ac:dyDescent="0.3">
      <c r="A4741" s="5" t="s">
        <v>5382</v>
      </c>
      <c r="B4741" t="s">
        <v>10847</v>
      </c>
      <c r="C4741" t="str">
        <f>IFERROR(VLOOKUP(ILACLISTE[[#This Row],[NAME]],Table5[#All],2,0),"")</f>
        <v/>
      </c>
    </row>
    <row r="4742" spans="1:3" x14ac:dyDescent="0.3">
      <c r="A4742" s="5" t="s">
        <v>5383</v>
      </c>
      <c r="B4742" t="s">
        <v>10848</v>
      </c>
      <c r="C4742" t="str">
        <f>IFERROR(VLOOKUP(ILACLISTE[[#This Row],[NAME]],Table5[#All],2,0),"")</f>
        <v/>
      </c>
    </row>
    <row r="4743" spans="1:3" x14ac:dyDescent="0.3">
      <c r="A4743" s="5" t="s">
        <v>5384</v>
      </c>
      <c r="B4743" t="s">
        <v>10849</v>
      </c>
      <c r="C4743" t="str">
        <f>IFERROR(VLOOKUP(ILACLISTE[[#This Row],[NAME]],Table5[#All],2,0),"")</f>
        <v/>
      </c>
    </row>
    <row r="4744" spans="1:3" x14ac:dyDescent="0.3">
      <c r="A4744" s="5" t="s">
        <v>5385</v>
      </c>
      <c r="B4744" t="s">
        <v>10850</v>
      </c>
      <c r="C4744" t="str">
        <f>IFERROR(VLOOKUP(ILACLISTE[[#This Row],[NAME]],Table5[#All],2,0),"")</f>
        <v/>
      </c>
    </row>
    <row r="4745" spans="1:3" x14ac:dyDescent="0.3">
      <c r="A4745" s="5" t="s">
        <v>5386</v>
      </c>
      <c r="B4745" t="s">
        <v>10851</v>
      </c>
      <c r="C4745" t="str">
        <f>IFERROR(VLOOKUP(ILACLISTE[[#This Row],[NAME]],Table5[#All],2,0),"")</f>
        <v/>
      </c>
    </row>
    <row r="4746" spans="1:3" x14ac:dyDescent="0.3">
      <c r="A4746" s="5" t="s">
        <v>5387</v>
      </c>
      <c r="B4746" t="s">
        <v>584</v>
      </c>
      <c r="C4746" t="str">
        <f>IFERROR(VLOOKUP(ILACLISTE[[#This Row],[NAME]],Table5[#All],2,0),"")</f>
        <v/>
      </c>
    </row>
    <row r="4747" spans="1:3" x14ac:dyDescent="0.3">
      <c r="A4747" s="5" t="s">
        <v>5388</v>
      </c>
      <c r="B4747" t="s">
        <v>10852</v>
      </c>
      <c r="C4747" t="str">
        <f>IFERROR(VLOOKUP(ILACLISTE[[#This Row],[NAME]],Table5[#All],2,0),"")</f>
        <v/>
      </c>
    </row>
    <row r="4748" spans="1:3" x14ac:dyDescent="0.3">
      <c r="A4748" s="5" t="s">
        <v>5389</v>
      </c>
      <c r="B4748" t="s">
        <v>10853</v>
      </c>
      <c r="C4748" t="str">
        <f>IFERROR(VLOOKUP(ILACLISTE[[#This Row],[NAME]],Table5[#All],2,0),"")</f>
        <v/>
      </c>
    </row>
    <row r="4749" spans="1:3" x14ac:dyDescent="0.3">
      <c r="A4749" s="5" t="s">
        <v>5390</v>
      </c>
      <c r="B4749" t="s">
        <v>10854</v>
      </c>
      <c r="C4749" t="str">
        <f>IFERROR(VLOOKUP(ILACLISTE[[#This Row],[NAME]],Table5[#All],2,0),"")</f>
        <v/>
      </c>
    </row>
    <row r="4750" spans="1:3" x14ac:dyDescent="0.3">
      <c r="A4750" s="5" t="s">
        <v>5391</v>
      </c>
      <c r="B4750" t="s">
        <v>10855</v>
      </c>
      <c r="C4750" t="str">
        <f>IFERROR(VLOOKUP(ILACLISTE[[#This Row],[NAME]],Table5[#All],2,0),"")</f>
        <v/>
      </c>
    </row>
    <row r="4751" spans="1:3" x14ac:dyDescent="0.3">
      <c r="A4751" s="5" t="s">
        <v>5392</v>
      </c>
      <c r="B4751" t="s">
        <v>585</v>
      </c>
      <c r="C4751" t="str">
        <f>IFERROR(VLOOKUP(ILACLISTE[[#This Row],[NAME]],Table5[#All],2,0),"")</f>
        <v/>
      </c>
    </row>
    <row r="4752" spans="1:3" x14ac:dyDescent="0.3">
      <c r="A4752" s="5" t="s">
        <v>5393</v>
      </c>
      <c r="B4752" t="s">
        <v>586</v>
      </c>
      <c r="C4752" t="str">
        <f>IFERROR(VLOOKUP(ILACLISTE[[#This Row],[NAME]],Table5[#All],2,0),"")</f>
        <v/>
      </c>
    </row>
    <row r="4753" spans="1:3" x14ac:dyDescent="0.3">
      <c r="A4753" s="5" t="s">
        <v>5394</v>
      </c>
      <c r="B4753" t="s">
        <v>587</v>
      </c>
      <c r="C4753" t="str">
        <f>IFERROR(VLOOKUP(ILACLISTE[[#This Row],[NAME]],Table5[#All],2,0),"")</f>
        <v/>
      </c>
    </row>
    <row r="4754" spans="1:3" x14ac:dyDescent="0.3">
      <c r="A4754" s="5" t="s">
        <v>5395</v>
      </c>
      <c r="B4754" t="s">
        <v>10856</v>
      </c>
      <c r="C4754" t="str">
        <f>IFERROR(VLOOKUP(ILACLISTE[[#This Row],[NAME]],Table5[#All],2,0),"")</f>
        <v/>
      </c>
    </row>
    <row r="4755" spans="1:3" x14ac:dyDescent="0.3">
      <c r="A4755" s="5" t="s">
        <v>5396</v>
      </c>
      <c r="B4755" t="s">
        <v>10857</v>
      </c>
      <c r="C4755" t="str">
        <f>IFERROR(VLOOKUP(ILACLISTE[[#This Row],[NAME]],Table5[#All],2,0),"")</f>
        <v/>
      </c>
    </row>
    <row r="4756" spans="1:3" x14ac:dyDescent="0.3">
      <c r="A4756" s="5" t="s">
        <v>5397</v>
      </c>
      <c r="B4756" t="s">
        <v>10858</v>
      </c>
      <c r="C4756" t="str">
        <f>IFERROR(VLOOKUP(ILACLISTE[[#This Row],[NAME]],Table5[#All],2,0),"")</f>
        <v/>
      </c>
    </row>
    <row r="4757" spans="1:3" x14ac:dyDescent="0.3">
      <c r="A4757" s="5" t="s">
        <v>5398</v>
      </c>
      <c r="B4757" t="s">
        <v>10859</v>
      </c>
      <c r="C4757" t="str">
        <f>IFERROR(VLOOKUP(ILACLISTE[[#This Row],[NAME]],Table5[#All],2,0),"")</f>
        <v/>
      </c>
    </row>
    <row r="4758" spans="1:3" x14ac:dyDescent="0.3">
      <c r="A4758" s="5" t="s">
        <v>5399</v>
      </c>
      <c r="B4758" t="s">
        <v>10860</v>
      </c>
      <c r="C4758" t="str">
        <f>IFERROR(VLOOKUP(ILACLISTE[[#This Row],[NAME]],Table5[#All],2,0),"")</f>
        <v/>
      </c>
    </row>
    <row r="4759" spans="1:3" x14ac:dyDescent="0.3">
      <c r="A4759" s="5" t="s">
        <v>5400</v>
      </c>
      <c r="B4759" t="s">
        <v>10861</v>
      </c>
      <c r="C4759" t="str">
        <f>IFERROR(VLOOKUP(ILACLISTE[[#This Row],[NAME]],Table5[#All],2,0),"")</f>
        <v/>
      </c>
    </row>
    <row r="4760" spans="1:3" x14ac:dyDescent="0.3">
      <c r="A4760" s="5" t="s">
        <v>5401</v>
      </c>
      <c r="B4760" t="s">
        <v>10862</v>
      </c>
      <c r="C4760" t="str">
        <f>IFERROR(VLOOKUP(ILACLISTE[[#This Row],[NAME]],Table5[#All],2,0),"")</f>
        <v/>
      </c>
    </row>
    <row r="4761" spans="1:3" x14ac:dyDescent="0.3">
      <c r="A4761" s="5" t="s">
        <v>5402</v>
      </c>
      <c r="B4761" t="s">
        <v>10863</v>
      </c>
      <c r="C4761" t="str">
        <f>IFERROR(VLOOKUP(ILACLISTE[[#This Row],[NAME]],Table5[#All],2,0),"")</f>
        <v/>
      </c>
    </row>
    <row r="4762" spans="1:3" x14ac:dyDescent="0.3">
      <c r="A4762" s="5" t="s">
        <v>5403</v>
      </c>
      <c r="B4762" t="s">
        <v>10864</v>
      </c>
      <c r="C4762" t="str">
        <f>IFERROR(VLOOKUP(ILACLISTE[[#This Row],[NAME]],Table5[#All],2,0),"")</f>
        <v/>
      </c>
    </row>
    <row r="4763" spans="1:3" x14ac:dyDescent="0.3">
      <c r="A4763" s="5" t="s">
        <v>5404</v>
      </c>
      <c r="B4763" t="s">
        <v>10865</v>
      </c>
      <c r="C4763" t="str">
        <f>IFERROR(VLOOKUP(ILACLISTE[[#This Row],[NAME]],Table5[#All],2,0),"")</f>
        <v/>
      </c>
    </row>
    <row r="4764" spans="1:3" x14ac:dyDescent="0.3">
      <c r="A4764" s="5" t="s">
        <v>5405</v>
      </c>
      <c r="B4764" t="s">
        <v>10866</v>
      </c>
      <c r="C4764" t="str">
        <f>IFERROR(VLOOKUP(ILACLISTE[[#This Row],[NAME]],Table5[#All],2,0),"")</f>
        <v/>
      </c>
    </row>
    <row r="4765" spans="1:3" x14ac:dyDescent="0.3">
      <c r="A4765" s="5" t="s">
        <v>5406</v>
      </c>
      <c r="B4765" t="s">
        <v>10867</v>
      </c>
      <c r="C4765" t="str">
        <f>IFERROR(VLOOKUP(ILACLISTE[[#This Row],[NAME]],Table5[#All],2,0),"")</f>
        <v/>
      </c>
    </row>
    <row r="4766" spans="1:3" x14ac:dyDescent="0.3">
      <c r="A4766" s="5" t="s">
        <v>5407</v>
      </c>
      <c r="B4766" t="s">
        <v>10868</v>
      </c>
      <c r="C4766" t="str">
        <f>IFERROR(VLOOKUP(ILACLISTE[[#This Row],[NAME]],Table5[#All],2,0),"")</f>
        <v/>
      </c>
    </row>
    <row r="4767" spans="1:3" x14ac:dyDescent="0.3">
      <c r="A4767" s="5" t="s">
        <v>5408</v>
      </c>
      <c r="B4767" t="s">
        <v>10869</v>
      </c>
      <c r="C4767" t="str">
        <f>IFERROR(VLOOKUP(ILACLISTE[[#This Row],[NAME]],Table5[#All],2,0),"")</f>
        <v/>
      </c>
    </row>
    <row r="4768" spans="1:3" x14ac:dyDescent="0.3">
      <c r="A4768" s="5" t="s">
        <v>5409</v>
      </c>
      <c r="B4768" t="s">
        <v>10870</v>
      </c>
      <c r="C4768" t="str">
        <f>IFERROR(VLOOKUP(ILACLISTE[[#This Row],[NAME]],Table5[#All],2,0),"")</f>
        <v/>
      </c>
    </row>
    <row r="4769" spans="1:3" x14ac:dyDescent="0.3">
      <c r="A4769" s="5" t="s">
        <v>5410</v>
      </c>
      <c r="B4769" t="s">
        <v>10871</v>
      </c>
      <c r="C4769" t="str">
        <f>IFERROR(VLOOKUP(ILACLISTE[[#This Row],[NAME]],Table5[#All],2,0),"")</f>
        <v/>
      </c>
    </row>
    <row r="4770" spans="1:3" x14ac:dyDescent="0.3">
      <c r="A4770" s="5" t="s">
        <v>5411</v>
      </c>
      <c r="B4770" t="s">
        <v>10872</v>
      </c>
      <c r="C4770" t="str">
        <f>IFERROR(VLOOKUP(ILACLISTE[[#This Row],[NAME]],Table5[#All],2,0),"")</f>
        <v/>
      </c>
    </row>
    <row r="4771" spans="1:3" x14ac:dyDescent="0.3">
      <c r="A4771" s="5" t="s">
        <v>5412</v>
      </c>
      <c r="B4771" t="s">
        <v>10873</v>
      </c>
      <c r="C4771" t="str">
        <f>IFERROR(VLOOKUP(ILACLISTE[[#This Row],[NAME]],Table5[#All],2,0),"")</f>
        <v/>
      </c>
    </row>
    <row r="4772" spans="1:3" x14ac:dyDescent="0.3">
      <c r="A4772" s="5" t="s">
        <v>5413</v>
      </c>
      <c r="B4772" t="s">
        <v>10874</v>
      </c>
      <c r="C4772" t="str">
        <f>IFERROR(VLOOKUP(ILACLISTE[[#This Row],[NAME]],Table5[#All],2,0),"")</f>
        <v/>
      </c>
    </row>
    <row r="4773" spans="1:3" x14ac:dyDescent="0.3">
      <c r="A4773" s="5" t="s">
        <v>5414</v>
      </c>
      <c r="B4773" t="s">
        <v>10875</v>
      </c>
      <c r="C4773" t="str">
        <f>IFERROR(VLOOKUP(ILACLISTE[[#This Row],[NAME]],Table5[#All],2,0),"")</f>
        <v/>
      </c>
    </row>
    <row r="4774" spans="1:3" x14ac:dyDescent="0.3">
      <c r="A4774" s="5" t="s">
        <v>5415</v>
      </c>
      <c r="B4774" t="s">
        <v>10876</v>
      </c>
      <c r="C4774" t="str">
        <f>IFERROR(VLOOKUP(ILACLISTE[[#This Row],[NAME]],Table5[#All],2,0),"")</f>
        <v/>
      </c>
    </row>
    <row r="4775" spans="1:3" x14ac:dyDescent="0.3">
      <c r="A4775" s="5" t="s">
        <v>5416</v>
      </c>
      <c r="B4775" t="s">
        <v>10877</v>
      </c>
      <c r="C4775" t="str">
        <f>IFERROR(VLOOKUP(ILACLISTE[[#This Row],[NAME]],Table5[#All],2,0),"")</f>
        <v/>
      </c>
    </row>
    <row r="4776" spans="1:3" x14ac:dyDescent="0.3">
      <c r="A4776" s="5" t="s">
        <v>5417</v>
      </c>
      <c r="B4776" t="s">
        <v>10878</v>
      </c>
      <c r="C4776" t="str">
        <f>IFERROR(VLOOKUP(ILACLISTE[[#This Row],[NAME]],Table5[#All],2,0),"")</f>
        <v/>
      </c>
    </row>
    <row r="4777" spans="1:3" x14ac:dyDescent="0.3">
      <c r="A4777" s="5" t="s">
        <v>5418</v>
      </c>
      <c r="B4777" t="s">
        <v>10879</v>
      </c>
      <c r="C4777" t="str">
        <f>IFERROR(VLOOKUP(ILACLISTE[[#This Row],[NAME]],Table5[#All],2,0),"")</f>
        <v/>
      </c>
    </row>
    <row r="4778" spans="1:3" x14ac:dyDescent="0.3">
      <c r="A4778" s="5" t="s">
        <v>5419</v>
      </c>
      <c r="B4778" t="s">
        <v>10880</v>
      </c>
      <c r="C4778" t="str">
        <f>IFERROR(VLOOKUP(ILACLISTE[[#This Row],[NAME]],Table5[#All],2,0),"")</f>
        <v/>
      </c>
    </row>
    <row r="4779" spans="1:3" x14ac:dyDescent="0.3">
      <c r="A4779" s="5" t="s">
        <v>5420</v>
      </c>
      <c r="B4779" t="s">
        <v>588</v>
      </c>
      <c r="C4779" t="str">
        <f>IFERROR(VLOOKUP(ILACLISTE[[#This Row],[NAME]],Table5[#All],2,0),"")</f>
        <v/>
      </c>
    </row>
    <row r="4780" spans="1:3" x14ac:dyDescent="0.3">
      <c r="A4780" s="5" t="s">
        <v>5421</v>
      </c>
      <c r="B4780" t="s">
        <v>10881</v>
      </c>
      <c r="C4780" t="str">
        <f>IFERROR(VLOOKUP(ILACLISTE[[#This Row],[NAME]],Table5[#All],2,0),"")</f>
        <v/>
      </c>
    </row>
    <row r="4781" spans="1:3" x14ac:dyDescent="0.3">
      <c r="A4781" s="5" t="s">
        <v>5422</v>
      </c>
      <c r="B4781" t="s">
        <v>589</v>
      </c>
      <c r="C4781" t="str">
        <f>IFERROR(VLOOKUP(ILACLISTE[[#This Row],[NAME]],Table5[#All],2,0),"")</f>
        <v/>
      </c>
    </row>
    <row r="4782" spans="1:3" x14ac:dyDescent="0.3">
      <c r="A4782" s="5" t="s">
        <v>5423</v>
      </c>
      <c r="B4782" t="s">
        <v>10882</v>
      </c>
      <c r="C4782" t="str">
        <f>IFERROR(VLOOKUP(ILACLISTE[[#This Row],[NAME]],Table5[#All],2,0),"")</f>
        <v/>
      </c>
    </row>
    <row r="4783" spans="1:3" x14ac:dyDescent="0.3">
      <c r="A4783" s="5" t="s">
        <v>5424</v>
      </c>
      <c r="B4783" t="s">
        <v>590</v>
      </c>
      <c r="C4783" t="str">
        <f>IFERROR(VLOOKUP(ILACLISTE[[#This Row],[NAME]],Table5[#All],2,0),"")</f>
        <v/>
      </c>
    </row>
    <row r="4784" spans="1:3" x14ac:dyDescent="0.3">
      <c r="A4784" s="5" t="s">
        <v>5425</v>
      </c>
      <c r="B4784" t="s">
        <v>591</v>
      </c>
      <c r="C4784" t="str">
        <f>IFERROR(VLOOKUP(ILACLISTE[[#This Row],[NAME]],Table5[#All],2,0),"")</f>
        <v/>
      </c>
    </row>
    <row r="4785" spans="1:3" x14ac:dyDescent="0.3">
      <c r="A4785" s="5" t="s">
        <v>5426</v>
      </c>
      <c r="B4785" t="s">
        <v>10883</v>
      </c>
      <c r="C4785" t="str">
        <f>IFERROR(VLOOKUP(ILACLISTE[[#This Row],[NAME]],Table5[#All],2,0),"")</f>
        <v/>
      </c>
    </row>
    <row r="4786" spans="1:3" x14ac:dyDescent="0.3">
      <c r="A4786" s="5" t="s">
        <v>5427</v>
      </c>
      <c r="B4786" t="s">
        <v>10884</v>
      </c>
      <c r="C4786" t="str">
        <f>IFERROR(VLOOKUP(ILACLISTE[[#This Row],[NAME]],Table5[#All],2,0),"")</f>
        <v/>
      </c>
    </row>
    <row r="4787" spans="1:3" x14ac:dyDescent="0.3">
      <c r="A4787" s="5" t="s">
        <v>5428</v>
      </c>
      <c r="B4787" t="s">
        <v>10885</v>
      </c>
      <c r="C4787" t="str">
        <f>IFERROR(VLOOKUP(ILACLISTE[[#This Row],[NAME]],Table5[#All],2,0),"")</f>
        <v/>
      </c>
    </row>
    <row r="4788" spans="1:3" x14ac:dyDescent="0.3">
      <c r="A4788" s="5" t="s">
        <v>5429</v>
      </c>
      <c r="B4788" t="s">
        <v>10886</v>
      </c>
      <c r="C4788" t="str">
        <f>IFERROR(VLOOKUP(ILACLISTE[[#This Row],[NAME]],Table5[#All],2,0),"")</f>
        <v/>
      </c>
    </row>
    <row r="4789" spans="1:3" x14ac:dyDescent="0.3">
      <c r="A4789" s="5" t="s">
        <v>5430</v>
      </c>
      <c r="B4789" t="s">
        <v>10887</v>
      </c>
      <c r="C4789" t="str">
        <f>IFERROR(VLOOKUP(ILACLISTE[[#This Row],[NAME]],Table5[#All],2,0),"")</f>
        <v/>
      </c>
    </row>
    <row r="4790" spans="1:3" x14ac:dyDescent="0.3">
      <c r="A4790" s="5" t="s">
        <v>5431</v>
      </c>
      <c r="B4790" t="s">
        <v>10888</v>
      </c>
      <c r="C4790" t="str">
        <f>IFERROR(VLOOKUP(ILACLISTE[[#This Row],[NAME]],Table5[#All],2,0),"")</f>
        <v/>
      </c>
    </row>
    <row r="4791" spans="1:3" x14ac:dyDescent="0.3">
      <c r="A4791" s="5" t="s">
        <v>5432</v>
      </c>
      <c r="B4791" t="s">
        <v>10889</v>
      </c>
      <c r="C4791" t="str">
        <f>IFERROR(VLOOKUP(ILACLISTE[[#This Row],[NAME]],Table5[#All],2,0),"")</f>
        <v/>
      </c>
    </row>
    <row r="4792" spans="1:3" x14ac:dyDescent="0.3">
      <c r="A4792" s="5" t="s">
        <v>5433</v>
      </c>
      <c r="B4792" t="s">
        <v>592</v>
      </c>
      <c r="C4792" t="str">
        <f>IFERROR(VLOOKUP(ILACLISTE[[#This Row],[NAME]],Table5[#All],2,0),"")</f>
        <v/>
      </c>
    </row>
    <row r="4793" spans="1:3" x14ac:dyDescent="0.3">
      <c r="A4793" s="5" t="s">
        <v>5434</v>
      </c>
      <c r="B4793" t="s">
        <v>10890</v>
      </c>
      <c r="C4793" t="str">
        <f>IFERROR(VLOOKUP(ILACLISTE[[#This Row],[NAME]],Table5[#All],2,0),"")</f>
        <v/>
      </c>
    </row>
    <row r="4794" spans="1:3" x14ac:dyDescent="0.3">
      <c r="A4794" s="5" t="s">
        <v>5435</v>
      </c>
      <c r="B4794" t="s">
        <v>10891</v>
      </c>
      <c r="C4794" t="str">
        <f>IFERROR(VLOOKUP(ILACLISTE[[#This Row],[NAME]],Table5[#All],2,0),"")</f>
        <v/>
      </c>
    </row>
    <row r="4795" spans="1:3" x14ac:dyDescent="0.3">
      <c r="A4795" s="5" t="s">
        <v>5436</v>
      </c>
      <c r="B4795" t="s">
        <v>10892</v>
      </c>
      <c r="C4795" t="str">
        <f>IFERROR(VLOOKUP(ILACLISTE[[#This Row],[NAME]],Table5[#All],2,0),"")</f>
        <v/>
      </c>
    </row>
    <row r="4796" spans="1:3" x14ac:dyDescent="0.3">
      <c r="A4796" s="5" t="s">
        <v>5437</v>
      </c>
      <c r="B4796" t="s">
        <v>10893</v>
      </c>
      <c r="C4796" t="str">
        <f>IFERROR(VLOOKUP(ILACLISTE[[#This Row],[NAME]],Table5[#All],2,0),"")</f>
        <v/>
      </c>
    </row>
    <row r="4797" spans="1:3" x14ac:dyDescent="0.3">
      <c r="A4797" s="5" t="s">
        <v>5438</v>
      </c>
      <c r="B4797" t="s">
        <v>10894</v>
      </c>
      <c r="C4797" t="str">
        <f>IFERROR(VLOOKUP(ILACLISTE[[#This Row],[NAME]],Table5[#All],2,0),"")</f>
        <v/>
      </c>
    </row>
    <row r="4798" spans="1:3" x14ac:dyDescent="0.3">
      <c r="A4798" s="5" t="s">
        <v>5439</v>
      </c>
      <c r="B4798" t="s">
        <v>10895</v>
      </c>
      <c r="C4798" t="str">
        <f>IFERROR(VLOOKUP(ILACLISTE[[#This Row],[NAME]],Table5[#All],2,0),"")</f>
        <v/>
      </c>
    </row>
    <row r="4799" spans="1:3" x14ac:dyDescent="0.3">
      <c r="A4799" s="5" t="s">
        <v>5440</v>
      </c>
      <c r="B4799" t="s">
        <v>10896</v>
      </c>
      <c r="C4799" t="str">
        <f>IFERROR(VLOOKUP(ILACLISTE[[#This Row],[NAME]],Table5[#All],2,0),"")</f>
        <v/>
      </c>
    </row>
    <row r="4800" spans="1:3" x14ac:dyDescent="0.3">
      <c r="A4800" s="5" t="s">
        <v>5441</v>
      </c>
      <c r="B4800" t="s">
        <v>10897</v>
      </c>
      <c r="C4800" t="str">
        <f>IFERROR(VLOOKUP(ILACLISTE[[#This Row],[NAME]],Table5[#All],2,0),"")</f>
        <v/>
      </c>
    </row>
    <row r="4801" spans="1:3" x14ac:dyDescent="0.3">
      <c r="A4801" s="5" t="s">
        <v>5442</v>
      </c>
      <c r="B4801" t="s">
        <v>10898</v>
      </c>
      <c r="C4801" t="str">
        <f>IFERROR(VLOOKUP(ILACLISTE[[#This Row],[NAME]],Table5[#All],2,0),"")</f>
        <v/>
      </c>
    </row>
    <row r="4802" spans="1:3" x14ac:dyDescent="0.3">
      <c r="A4802" s="5" t="s">
        <v>5443</v>
      </c>
      <c r="B4802" t="s">
        <v>10899</v>
      </c>
      <c r="C4802" t="str">
        <f>IFERROR(VLOOKUP(ILACLISTE[[#This Row],[NAME]],Table5[#All],2,0),"")</f>
        <v/>
      </c>
    </row>
    <row r="4803" spans="1:3" x14ac:dyDescent="0.3">
      <c r="A4803" s="5" t="s">
        <v>10900</v>
      </c>
      <c r="B4803" t="s">
        <v>10901</v>
      </c>
      <c r="C4803" t="str">
        <f>IFERROR(VLOOKUP(ILACLISTE[[#This Row],[NAME]],Table5[#All],2,0),"")</f>
        <v/>
      </c>
    </row>
    <row r="4804" spans="1:3" x14ac:dyDescent="0.3">
      <c r="A4804" s="5" t="s">
        <v>5444</v>
      </c>
      <c r="B4804" t="s">
        <v>10902</v>
      </c>
      <c r="C4804" t="str">
        <f>IFERROR(VLOOKUP(ILACLISTE[[#This Row],[NAME]],Table5[#All],2,0),"")</f>
        <v/>
      </c>
    </row>
    <row r="4805" spans="1:3" x14ac:dyDescent="0.3">
      <c r="A4805" s="5" t="s">
        <v>5445</v>
      </c>
      <c r="B4805" t="s">
        <v>10903</v>
      </c>
      <c r="C4805" t="str">
        <f>IFERROR(VLOOKUP(ILACLISTE[[#This Row],[NAME]],Table5[#All],2,0),"")</f>
        <v/>
      </c>
    </row>
    <row r="4806" spans="1:3" x14ac:dyDescent="0.3">
      <c r="A4806" s="5" t="s">
        <v>5446</v>
      </c>
      <c r="B4806" t="s">
        <v>10904</v>
      </c>
      <c r="C4806" t="str">
        <f>IFERROR(VLOOKUP(ILACLISTE[[#This Row],[NAME]],Table5[#All],2,0),"")</f>
        <v/>
      </c>
    </row>
    <row r="4807" spans="1:3" x14ac:dyDescent="0.3">
      <c r="A4807" s="5" t="s">
        <v>5447</v>
      </c>
      <c r="B4807" t="s">
        <v>10905</v>
      </c>
      <c r="C4807" t="str">
        <f>IFERROR(VLOOKUP(ILACLISTE[[#This Row],[NAME]],Table5[#All],2,0),"")</f>
        <v/>
      </c>
    </row>
    <row r="4808" spans="1:3" x14ac:dyDescent="0.3">
      <c r="A4808" s="5" t="s">
        <v>5448</v>
      </c>
      <c r="B4808" t="s">
        <v>10906</v>
      </c>
      <c r="C4808" t="str">
        <f>IFERROR(VLOOKUP(ILACLISTE[[#This Row],[NAME]],Table5[#All],2,0),"")</f>
        <v/>
      </c>
    </row>
    <row r="4809" spans="1:3" x14ac:dyDescent="0.3">
      <c r="A4809" s="5" t="s">
        <v>5449</v>
      </c>
      <c r="B4809" t="s">
        <v>10907</v>
      </c>
      <c r="C4809" t="str">
        <f>IFERROR(VLOOKUP(ILACLISTE[[#This Row],[NAME]],Table5[#All],2,0),"")</f>
        <v/>
      </c>
    </row>
    <row r="4810" spans="1:3" x14ac:dyDescent="0.3">
      <c r="A4810" s="5" t="s">
        <v>5450</v>
      </c>
      <c r="B4810" t="s">
        <v>10908</v>
      </c>
      <c r="C4810" t="str">
        <f>IFERROR(VLOOKUP(ILACLISTE[[#This Row],[NAME]],Table5[#All],2,0),"")</f>
        <v/>
      </c>
    </row>
    <row r="4811" spans="1:3" x14ac:dyDescent="0.3">
      <c r="A4811" s="5" t="s">
        <v>5451</v>
      </c>
      <c r="B4811" t="s">
        <v>10909</v>
      </c>
      <c r="C4811" t="str">
        <f>IFERROR(VLOOKUP(ILACLISTE[[#This Row],[NAME]],Table5[#All],2,0),"")</f>
        <v/>
      </c>
    </row>
    <row r="4812" spans="1:3" x14ac:dyDescent="0.3">
      <c r="A4812" s="5" t="s">
        <v>5452</v>
      </c>
      <c r="B4812" t="s">
        <v>10910</v>
      </c>
      <c r="C4812" t="str">
        <f>IFERROR(VLOOKUP(ILACLISTE[[#This Row],[NAME]],Table5[#All],2,0),"")</f>
        <v/>
      </c>
    </row>
    <row r="4813" spans="1:3" x14ac:dyDescent="0.3">
      <c r="A4813" s="5" t="s">
        <v>5453</v>
      </c>
      <c r="B4813" t="s">
        <v>10911</v>
      </c>
      <c r="C4813" t="str">
        <f>IFERROR(VLOOKUP(ILACLISTE[[#This Row],[NAME]],Table5[#All],2,0),"")</f>
        <v/>
      </c>
    </row>
    <row r="4814" spans="1:3" x14ac:dyDescent="0.3">
      <c r="A4814" s="5" t="s">
        <v>5454</v>
      </c>
      <c r="B4814" t="s">
        <v>10912</v>
      </c>
      <c r="C4814" t="str">
        <f>IFERROR(VLOOKUP(ILACLISTE[[#This Row],[NAME]],Table5[#All],2,0),"")</f>
        <v/>
      </c>
    </row>
    <row r="4815" spans="1:3" x14ac:dyDescent="0.3">
      <c r="A4815" s="5" t="s">
        <v>5455</v>
      </c>
      <c r="B4815" t="s">
        <v>10913</v>
      </c>
      <c r="C4815" t="str">
        <f>IFERROR(VLOOKUP(ILACLISTE[[#This Row],[NAME]],Table5[#All],2,0),"")</f>
        <v/>
      </c>
    </row>
    <row r="4816" spans="1:3" x14ac:dyDescent="0.3">
      <c r="A4816" s="5" t="s">
        <v>5456</v>
      </c>
      <c r="B4816" t="s">
        <v>10914</v>
      </c>
      <c r="C4816" t="str">
        <f>IFERROR(VLOOKUP(ILACLISTE[[#This Row],[NAME]],Table5[#All],2,0),"")</f>
        <v/>
      </c>
    </row>
    <row r="4817" spans="1:3" x14ac:dyDescent="0.3">
      <c r="A4817" s="5" t="s">
        <v>5457</v>
      </c>
      <c r="B4817" t="s">
        <v>10915</v>
      </c>
      <c r="C4817" t="str">
        <f>IFERROR(VLOOKUP(ILACLISTE[[#This Row],[NAME]],Table5[#All],2,0),"")</f>
        <v/>
      </c>
    </row>
    <row r="4818" spans="1:3" x14ac:dyDescent="0.3">
      <c r="A4818" s="5" t="s">
        <v>5458</v>
      </c>
      <c r="B4818" t="s">
        <v>10916</v>
      </c>
      <c r="C4818" t="str">
        <f>IFERROR(VLOOKUP(ILACLISTE[[#This Row],[NAME]],Table5[#All],2,0),"")</f>
        <v/>
      </c>
    </row>
    <row r="4819" spans="1:3" x14ac:dyDescent="0.3">
      <c r="A4819" s="5" t="s">
        <v>5459</v>
      </c>
      <c r="B4819" t="s">
        <v>10917</v>
      </c>
      <c r="C4819" t="str">
        <f>IFERROR(VLOOKUP(ILACLISTE[[#This Row],[NAME]],Table5[#All],2,0),"")</f>
        <v/>
      </c>
    </row>
    <row r="4820" spans="1:3" x14ac:dyDescent="0.3">
      <c r="A4820" s="5" t="s">
        <v>5460</v>
      </c>
      <c r="B4820" t="s">
        <v>10918</v>
      </c>
      <c r="C4820" t="str">
        <f>IFERROR(VLOOKUP(ILACLISTE[[#This Row],[NAME]],Table5[#All],2,0),"")</f>
        <v/>
      </c>
    </row>
    <row r="4821" spans="1:3" x14ac:dyDescent="0.3">
      <c r="A4821" s="5" t="s">
        <v>5461</v>
      </c>
      <c r="B4821" t="s">
        <v>10919</v>
      </c>
      <c r="C4821" t="str">
        <f>IFERROR(VLOOKUP(ILACLISTE[[#This Row],[NAME]],Table5[#All],2,0),"")</f>
        <v/>
      </c>
    </row>
    <row r="4822" spans="1:3" x14ac:dyDescent="0.3">
      <c r="A4822" s="5" t="s">
        <v>5462</v>
      </c>
      <c r="B4822" t="s">
        <v>10920</v>
      </c>
      <c r="C4822" t="str">
        <f>IFERROR(VLOOKUP(ILACLISTE[[#This Row],[NAME]],Table5[#All],2,0),"")</f>
        <v/>
      </c>
    </row>
    <row r="4823" spans="1:3" x14ac:dyDescent="0.3">
      <c r="A4823" s="5" t="s">
        <v>5463</v>
      </c>
      <c r="B4823" t="s">
        <v>10921</v>
      </c>
      <c r="C4823" t="str">
        <f>IFERROR(VLOOKUP(ILACLISTE[[#This Row],[NAME]],Table5[#All],2,0),"")</f>
        <v/>
      </c>
    </row>
    <row r="4824" spans="1:3" x14ac:dyDescent="0.3">
      <c r="A4824" s="5" t="s">
        <v>5464</v>
      </c>
      <c r="B4824" t="s">
        <v>10922</v>
      </c>
      <c r="C4824" t="str">
        <f>IFERROR(VLOOKUP(ILACLISTE[[#This Row],[NAME]],Table5[#All],2,0),"")</f>
        <v/>
      </c>
    </row>
    <row r="4825" spans="1:3" x14ac:dyDescent="0.3">
      <c r="A4825" s="5" t="s">
        <v>5465</v>
      </c>
      <c r="B4825" t="s">
        <v>10923</v>
      </c>
      <c r="C4825" t="str">
        <f>IFERROR(VLOOKUP(ILACLISTE[[#This Row],[NAME]],Table5[#All],2,0),"")</f>
        <v/>
      </c>
    </row>
    <row r="4826" spans="1:3" x14ac:dyDescent="0.3">
      <c r="A4826" s="5" t="s">
        <v>5466</v>
      </c>
      <c r="B4826" t="s">
        <v>10924</v>
      </c>
      <c r="C4826" t="str">
        <f>IFERROR(VLOOKUP(ILACLISTE[[#This Row],[NAME]],Table5[#All],2,0),"")</f>
        <v/>
      </c>
    </row>
    <row r="4827" spans="1:3" x14ac:dyDescent="0.3">
      <c r="A4827" s="5" t="s">
        <v>5467</v>
      </c>
      <c r="B4827" t="s">
        <v>10925</v>
      </c>
      <c r="C4827" t="str">
        <f>IFERROR(VLOOKUP(ILACLISTE[[#This Row],[NAME]],Table5[#All],2,0),"")</f>
        <v/>
      </c>
    </row>
    <row r="4828" spans="1:3" x14ac:dyDescent="0.3">
      <c r="A4828" s="5" t="s">
        <v>5468</v>
      </c>
      <c r="B4828" t="s">
        <v>10926</v>
      </c>
      <c r="C4828" t="str">
        <f>IFERROR(VLOOKUP(ILACLISTE[[#This Row],[NAME]],Table5[#All],2,0),"")</f>
        <v/>
      </c>
    </row>
    <row r="4829" spans="1:3" x14ac:dyDescent="0.3">
      <c r="A4829" s="5" t="s">
        <v>5469</v>
      </c>
      <c r="B4829" t="s">
        <v>10927</v>
      </c>
      <c r="C4829" t="str">
        <f>IFERROR(VLOOKUP(ILACLISTE[[#This Row],[NAME]],Table5[#All],2,0),"")</f>
        <v/>
      </c>
    </row>
    <row r="4830" spans="1:3" x14ac:dyDescent="0.3">
      <c r="A4830" s="5" t="s">
        <v>5470</v>
      </c>
      <c r="B4830" t="s">
        <v>10928</v>
      </c>
      <c r="C4830" t="str">
        <f>IFERROR(VLOOKUP(ILACLISTE[[#This Row],[NAME]],Table5[#All],2,0),"")</f>
        <v/>
      </c>
    </row>
    <row r="4831" spans="1:3" x14ac:dyDescent="0.3">
      <c r="A4831" s="5" t="s">
        <v>5471</v>
      </c>
      <c r="B4831" t="s">
        <v>10929</v>
      </c>
      <c r="C4831" t="str">
        <f>IFERROR(VLOOKUP(ILACLISTE[[#This Row],[NAME]],Table5[#All],2,0),"")</f>
        <v/>
      </c>
    </row>
    <row r="4832" spans="1:3" x14ac:dyDescent="0.3">
      <c r="A4832" s="5" t="s">
        <v>5472</v>
      </c>
      <c r="B4832" t="s">
        <v>10930</v>
      </c>
      <c r="C4832" t="str">
        <f>IFERROR(VLOOKUP(ILACLISTE[[#This Row],[NAME]],Table5[#All],2,0),"")</f>
        <v/>
      </c>
    </row>
    <row r="4833" spans="1:3" x14ac:dyDescent="0.3">
      <c r="A4833" s="5" t="s">
        <v>5473</v>
      </c>
      <c r="B4833" t="s">
        <v>10931</v>
      </c>
      <c r="C4833" t="str">
        <f>IFERROR(VLOOKUP(ILACLISTE[[#This Row],[NAME]],Table5[#All],2,0),"")</f>
        <v/>
      </c>
    </row>
    <row r="4834" spans="1:3" x14ac:dyDescent="0.3">
      <c r="A4834" s="5" t="s">
        <v>5474</v>
      </c>
      <c r="B4834" t="s">
        <v>10932</v>
      </c>
      <c r="C4834" t="str">
        <f>IFERROR(VLOOKUP(ILACLISTE[[#This Row],[NAME]],Table5[#All],2,0),"")</f>
        <v/>
      </c>
    </row>
    <row r="4835" spans="1:3" x14ac:dyDescent="0.3">
      <c r="A4835" s="5" t="s">
        <v>5475</v>
      </c>
      <c r="B4835" t="s">
        <v>10933</v>
      </c>
      <c r="C4835" t="str">
        <f>IFERROR(VLOOKUP(ILACLISTE[[#This Row],[NAME]],Table5[#All],2,0),"")</f>
        <v/>
      </c>
    </row>
    <row r="4836" spans="1:3" x14ac:dyDescent="0.3">
      <c r="A4836" s="5" t="s">
        <v>5476</v>
      </c>
      <c r="B4836" t="s">
        <v>10934</v>
      </c>
      <c r="C4836" t="str">
        <f>IFERROR(VLOOKUP(ILACLISTE[[#This Row],[NAME]],Table5[#All],2,0),"")</f>
        <v/>
      </c>
    </row>
    <row r="4837" spans="1:3" x14ac:dyDescent="0.3">
      <c r="A4837" s="5" t="s">
        <v>5477</v>
      </c>
      <c r="B4837" t="s">
        <v>10935</v>
      </c>
      <c r="C4837" t="str">
        <f>IFERROR(VLOOKUP(ILACLISTE[[#This Row],[NAME]],Table5[#All],2,0),"")</f>
        <v/>
      </c>
    </row>
    <row r="4838" spans="1:3" x14ac:dyDescent="0.3">
      <c r="A4838" s="5" t="s">
        <v>5478</v>
      </c>
      <c r="B4838" t="s">
        <v>10936</v>
      </c>
      <c r="C4838" t="str">
        <f>IFERROR(VLOOKUP(ILACLISTE[[#This Row],[NAME]],Table5[#All],2,0),"")</f>
        <v/>
      </c>
    </row>
    <row r="4839" spans="1:3" x14ac:dyDescent="0.3">
      <c r="A4839" s="5" t="s">
        <v>5479</v>
      </c>
      <c r="B4839" t="s">
        <v>10937</v>
      </c>
      <c r="C4839" t="str">
        <f>IFERROR(VLOOKUP(ILACLISTE[[#This Row],[NAME]],Table5[#All],2,0),"")</f>
        <v/>
      </c>
    </row>
    <row r="4840" spans="1:3" x14ac:dyDescent="0.3">
      <c r="A4840" s="5" t="s">
        <v>5480</v>
      </c>
      <c r="B4840" t="s">
        <v>10938</v>
      </c>
      <c r="C4840" t="str">
        <f>IFERROR(VLOOKUP(ILACLISTE[[#This Row],[NAME]],Table5[#All],2,0),"")</f>
        <v/>
      </c>
    </row>
    <row r="4841" spans="1:3" x14ac:dyDescent="0.3">
      <c r="A4841" s="5" t="s">
        <v>5481</v>
      </c>
      <c r="B4841" t="s">
        <v>593</v>
      </c>
      <c r="C4841" t="str">
        <f>IFERROR(VLOOKUP(ILACLISTE[[#This Row],[NAME]],Table5[#All],2,0),"")</f>
        <v/>
      </c>
    </row>
    <row r="4842" spans="1:3" x14ac:dyDescent="0.3">
      <c r="A4842" s="5" t="s">
        <v>5482</v>
      </c>
      <c r="B4842" t="s">
        <v>10939</v>
      </c>
      <c r="C4842" t="str">
        <f>IFERROR(VLOOKUP(ILACLISTE[[#This Row],[NAME]],Table5[#All],2,0),"")</f>
        <v/>
      </c>
    </row>
    <row r="4843" spans="1:3" x14ac:dyDescent="0.3">
      <c r="A4843" s="5" t="s">
        <v>5483</v>
      </c>
      <c r="B4843" t="s">
        <v>10940</v>
      </c>
      <c r="C4843" t="str">
        <f>IFERROR(VLOOKUP(ILACLISTE[[#This Row],[NAME]],Table5[#All],2,0),"")</f>
        <v/>
      </c>
    </row>
    <row r="4844" spans="1:3" x14ac:dyDescent="0.3">
      <c r="A4844" s="5" t="s">
        <v>5484</v>
      </c>
      <c r="B4844" t="s">
        <v>10941</v>
      </c>
      <c r="C4844" t="str">
        <f>IFERROR(VLOOKUP(ILACLISTE[[#This Row],[NAME]],Table5[#All],2,0),"")</f>
        <v/>
      </c>
    </row>
    <row r="4845" spans="1:3" x14ac:dyDescent="0.3">
      <c r="A4845" s="5" t="s">
        <v>5485</v>
      </c>
      <c r="B4845" t="s">
        <v>594</v>
      </c>
      <c r="C4845" t="str">
        <f>IFERROR(VLOOKUP(ILACLISTE[[#This Row],[NAME]],Table5[#All],2,0),"")</f>
        <v/>
      </c>
    </row>
    <row r="4846" spans="1:3" x14ac:dyDescent="0.3">
      <c r="A4846" s="5" t="s">
        <v>5486</v>
      </c>
      <c r="B4846" t="s">
        <v>10942</v>
      </c>
      <c r="C4846" t="str">
        <f>IFERROR(VLOOKUP(ILACLISTE[[#This Row],[NAME]],Table5[#All],2,0),"")</f>
        <v/>
      </c>
    </row>
    <row r="4847" spans="1:3" x14ac:dyDescent="0.3">
      <c r="A4847" s="5" t="s">
        <v>5487</v>
      </c>
      <c r="B4847" t="s">
        <v>10943</v>
      </c>
      <c r="C4847" t="str">
        <f>IFERROR(VLOOKUP(ILACLISTE[[#This Row],[NAME]],Table5[#All],2,0),"")</f>
        <v/>
      </c>
    </row>
    <row r="4848" spans="1:3" x14ac:dyDescent="0.3">
      <c r="A4848" s="5" t="s">
        <v>5488</v>
      </c>
      <c r="B4848" t="s">
        <v>10944</v>
      </c>
      <c r="C4848" t="str">
        <f>IFERROR(VLOOKUP(ILACLISTE[[#This Row],[NAME]],Table5[#All],2,0),"")</f>
        <v/>
      </c>
    </row>
    <row r="4849" spans="1:3" x14ac:dyDescent="0.3">
      <c r="A4849" s="5" t="s">
        <v>5489</v>
      </c>
      <c r="B4849" t="s">
        <v>10945</v>
      </c>
      <c r="C4849" t="str">
        <f>IFERROR(VLOOKUP(ILACLISTE[[#This Row],[NAME]],Table5[#All],2,0),"")</f>
        <v/>
      </c>
    </row>
    <row r="4850" spans="1:3" x14ac:dyDescent="0.3">
      <c r="A4850" s="5" t="s">
        <v>5490</v>
      </c>
      <c r="B4850" t="s">
        <v>10946</v>
      </c>
      <c r="C4850" t="str">
        <f>IFERROR(VLOOKUP(ILACLISTE[[#This Row],[NAME]],Table5[#All],2,0),"")</f>
        <v/>
      </c>
    </row>
    <row r="4851" spans="1:3" x14ac:dyDescent="0.3">
      <c r="A4851" s="5" t="s">
        <v>5491</v>
      </c>
      <c r="B4851" t="s">
        <v>10947</v>
      </c>
      <c r="C4851" t="str">
        <f>IFERROR(VLOOKUP(ILACLISTE[[#This Row],[NAME]],Table5[#All],2,0),"")</f>
        <v/>
      </c>
    </row>
    <row r="4852" spans="1:3" x14ac:dyDescent="0.3">
      <c r="A4852" s="5" t="s">
        <v>5492</v>
      </c>
      <c r="B4852" t="s">
        <v>10948</v>
      </c>
      <c r="C4852" t="str">
        <f>IFERROR(VLOOKUP(ILACLISTE[[#This Row],[NAME]],Table5[#All],2,0),"")</f>
        <v/>
      </c>
    </row>
    <row r="4853" spans="1:3" x14ac:dyDescent="0.3">
      <c r="A4853" s="5" t="s">
        <v>5493</v>
      </c>
      <c r="B4853" t="s">
        <v>10949</v>
      </c>
      <c r="C4853" t="str">
        <f>IFERROR(VLOOKUP(ILACLISTE[[#This Row],[NAME]],Table5[#All],2,0),"")</f>
        <v/>
      </c>
    </row>
    <row r="4854" spans="1:3" x14ac:dyDescent="0.3">
      <c r="A4854" s="5" t="s">
        <v>5494</v>
      </c>
      <c r="B4854" t="s">
        <v>10950</v>
      </c>
      <c r="C4854" t="str">
        <f>IFERROR(VLOOKUP(ILACLISTE[[#This Row],[NAME]],Table5[#All],2,0),"")</f>
        <v/>
      </c>
    </row>
    <row r="4855" spans="1:3" x14ac:dyDescent="0.3">
      <c r="A4855" s="5" t="s">
        <v>5495</v>
      </c>
      <c r="B4855" t="s">
        <v>595</v>
      </c>
      <c r="C4855" t="str">
        <f>IFERROR(VLOOKUP(ILACLISTE[[#This Row],[NAME]],Table5[#All],2,0),"")</f>
        <v/>
      </c>
    </row>
    <row r="4856" spans="1:3" x14ac:dyDescent="0.3">
      <c r="A4856" s="5" t="s">
        <v>5496</v>
      </c>
      <c r="B4856" t="s">
        <v>10951</v>
      </c>
      <c r="C4856" t="str">
        <f>IFERROR(VLOOKUP(ILACLISTE[[#This Row],[NAME]],Table5[#All],2,0),"")</f>
        <v/>
      </c>
    </row>
    <row r="4857" spans="1:3" x14ac:dyDescent="0.3">
      <c r="A4857" s="5" t="s">
        <v>5497</v>
      </c>
      <c r="B4857" t="s">
        <v>10952</v>
      </c>
      <c r="C4857" t="str">
        <f>IFERROR(VLOOKUP(ILACLISTE[[#This Row],[NAME]],Table5[#All],2,0),"")</f>
        <v/>
      </c>
    </row>
    <row r="4858" spans="1:3" x14ac:dyDescent="0.3">
      <c r="A4858" s="5" t="s">
        <v>5498</v>
      </c>
      <c r="B4858" t="s">
        <v>10953</v>
      </c>
      <c r="C4858" t="str">
        <f>IFERROR(VLOOKUP(ILACLISTE[[#This Row],[NAME]],Table5[#All],2,0),"")</f>
        <v/>
      </c>
    </row>
    <row r="4859" spans="1:3" x14ac:dyDescent="0.3">
      <c r="A4859" s="5" t="s">
        <v>5499</v>
      </c>
      <c r="B4859" t="s">
        <v>596</v>
      </c>
      <c r="C4859" t="str">
        <f>IFERROR(VLOOKUP(ILACLISTE[[#This Row],[NAME]],Table5[#All],2,0),"")</f>
        <v/>
      </c>
    </row>
    <row r="4860" spans="1:3" x14ac:dyDescent="0.3">
      <c r="A4860" s="5" t="s">
        <v>5500</v>
      </c>
      <c r="B4860" t="s">
        <v>10954</v>
      </c>
      <c r="C4860" t="str">
        <f>IFERROR(VLOOKUP(ILACLISTE[[#This Row],[NAME]],Table5[#All],2,0),"")</f>
        <v/>
      </c>
    </row>
    <row r="4861" spans="1:3" x14ac:dyDescent="0.3">
      <c r="A4861" s="5" t="s">
        <v>5501</v>
      </c>
      <c r="B4861" t="s">
        <v>10955</v>
      </c>
      <c r="C4861" t="str">
        <f>IFERROR(VLOOKUP(ILACLISTE[[#This Row],[NAME]],Table5[#All],2,0),"")</f>
        <v/>
      </c>
    </row>
    <row r="4862" spans="1:3" x14ac:dyDescent="0.3">
      <c r="A4862" s="5" t="s">
        <v>5502</v>
      </c>
      <c r="B4862" t="s">
        <v>10956</v>
      </c>
      <c r="C4862" t="str">
        <f>IFERROR(VLOOKUP(ILACLISTE[[#This Row],[NAME]],Table5[#All],2,0),"")</f>
        <v/>
      </c>
    </row>
    <row r="4863" spans="1:3" x14ac:dyDescent="0.3">
      <c r="A4863" s="5" t="s">
        <v>5503</v>
      </c>
      <c r="B4863" t="s">
        <v>597</v>
      </c>
      <c r="C4863" t="str">
        <f>IFERROR(VLOOKUP(ILACLISTE[[#This Row],[NAME]],Table5[#All],2,0),"")</f>
        <v/>
      </c>
    </row>
    <row r="4864" spans="1:3" x14ac:dyDescent="0.3">
      <c r="A4864" s="5" t="s">
        <v>5504</v>
      </c>
      <c r="B4864" t="s">
        <v>598</v>
      </c>
      <c r="C4864" t="str">
        <f>IFERROR(VLOOKUP(ILACLISTE[[#This Row],[NAME]],Table5[#All],2,0),"")</f>
        <v/>
      </c>
    </row>
    <row r="4865" spans="1:3" x14ac:dyDescent="0.3">
      <c r="A4865" s="5" t="s">
        <v>5505</v>
      </c>
      <c r="B4865" t="s">
        <v>10957</v>
      </c>
      <c r="C4865" t="str">
        <f>IFERROR(VLOOKUP(ILACLISTE[[#This Row],[NAME]],Table5[#All],2,0),"")</f>
        <v/>
      </c>
    </row>
    <row r="4866" spans="1:3" x14ac:dyDescent="0.3">
      <c r="A4866" s="5" t="s">
        <v>5506</v>
      </c>
      <c r="B4866" t="s">
        <v>10958</v>
      </c>
      <c r="C4866" t="str">
        <f>IFERROR(VLOOKUP(ILACLISTE[[#This Row],[NAME]],Table5[#All],2,0),"")</f>
        <v/>
      </c>
    </row>
    <row r="4867" spans="1:3" x14ac:dyDescent="0.3">
      <c r="A4867" s="5" t="s">
        <v>5507</v>
      </c>
      <c r="B4867" t="s">
        <v>599</v>
      </c>
      <c r="C4867" t="str">
        <f>IFERROR(VLOOKUP(ILACLISTE[[#This Row],[NAME]],Table5[#All],2,0),"")</f>
        <v/>
      </c>
    </row>
    <row r="4868" spans="1:3" x14ac:dyDescent="0.3">
      <c r="A4868" s="5" t="s">
        <v>5508</v>
      </c>
      <c r="B4868" t="s">
        <v>10959</v>
      </c>
      <c r="C4868" t="str">
        <f>IFERROR(VLOOKUP(ILACLISTE[[#This Row],[NAME]],Table5[#All],2,0),"")</f>
        <v/>
      </c>
    </row>
    <row r="4869" spans="1:3" x14ac:dyDescent="0.3">
      <c r="A4869" s="5" t="s">
        <v>5509</v>
      </c>
      <c r="B4869" t="s">
        <v>10960</v>
      </c>
      <c r="C4869" t="str">
        <f>IFERROR(VLOOKUP(ILACLISTE[[#This Row],[NAME]],Table5[#All],2,0),"")</f>
        <v/>
      </c>
    </row>
    <row r="4870" spans="1:3" x14ac:dyDescent="0.3">
      <c r="A4870" s="5" t="s">
        <v>5510</v>
      </c>
      <c r="B4870" t="s">
        <v>10961</v>
      </c>
      <c r="C4870" t="str">
        <f>IFERROR(VLOOKUP(ILACLISTE[[#This Row],[NAME]],Table5[#All],2,0),"")</f>
        <v/>
      </c>
    </row>
    <row r="4871" spans="1:3" x14ac:dyDescent="0.3">
      <c r="A4871" s="5" t="s">
        <v>5511</v>
      </c>
      <c r="B4871" t="s">
        <v>10962</v>
      </c>
      <c r="C4871" t="str">
        <f>IFERROR(VLOOKUP(ILACLISTE[[#This Row],[NAME]],Table5[#All],2,0),"")</f>
        <v/>
      </c>
    </row>
    <row r="4872" spans="1:3" x14ac:dyDescent="0.3">
      <c r="A4872" s="5" t="s">
        <v>5512</v>
      </c>
      <c r="B4872" t="s">
        <v>10963</v>
      </c>
      <c r="C4872" t="str">
        <f>IFERROR(VLOOKUP(ILACLISTE[[#This Row],[NAME]],Table5[#All],2,0),"")</f>
        <v/>
      </c>
    </row>
    <row r="4873" spans="1:3" x14ac:dyDescent="0.3">
      <c r="A4873" s="5" t="s">
        <v>5513</v>
      </c>
      <c r="B4873" t="s">
        <v>10964</v>
      </c>
      <c r="C4873" t="str">
        <f>IFERROR(VLOOKUP(ILACLISTE[[#This Row],[NAME]],Table5[#All],2,0),"")</f>
        <v/>
      </c>
    </row>
    <row r="4874" spans="1:3" x14ac:dyDescent="0.3">
      <c r="A4874" s="5" t="s">
        <v>5514</v>
      </c>
      <c r="B4874" t="s">
        <v>10965</v>
      </c>
      <c r="C4874" t="str">
        <f>IFERROR(VLOOKUP(ILACLISTE[[#This Row],[NAME]],Table5[#All],2,0),"")</f>
        <v/>
      </c>
    </row>
    <row r="4875" spans="1:3" x14ac:dyDescent="0.3">
      <c r="A4875" s="5" t="s">
        <v>5515</v>
      </c>
      <c r="B4875" t="s">
        <v>10966</v>
      </c>
      <c r="C4875" t="str">
        <f>IFERROR(VLOOKUP(ILACLISTE[[#This Row],[NAME]],Table5[#All],2,0),"")</f>
        <v/>
      </c>
    </row>
    <row r="4876" spans="1:3" x14ac:dyDescent="0.3">
      <c r="A4876" s="5" t="s">
        <v>5516</v>
      </c>
      <c r="B4876" t="s">
        <v>10967</v>
      </c>
      <c r="C4876" t="str">
        <f>IFERROR(VLOOKUP(ILACLISTE[[#This Row],[NAME]],Table5[#All],2,0),"")</f>
        <v/>
      </c>
    </row>
    <row r="4877" spans="1:3" x14ac:dyDescent="0.3">
      <c r="A4877" s="5" t="s">
        <v>5517</v>
      </c>
      <c r="B4877" t="s">
        <v>10968</v>
      </c>
      <c r="C4877" t="str">
        <f>IFERROR(VLOOKUP(ILACLISTE[[#This Row],[NAME]],Table5[#All],2,0),"")</f>
        <v/>
      </c>
    </row>
    <row r="4878" spans="1:3" x14ac:dyDescent="0.3">
      <c r="A4878" s="5" t="s">
        <v>5518</v>
      </c>
      <c r="B4878" t="s">
        <v>10969</v>
      </c>
      <c r="C4878" t="str">
        <f>IFERROR(VLOOKUP(ILACLISTE[[#This Row],[NAME]],Table5[#All],2,0),"")</f>
        <v/>
      </c>
    </row>
    <row r="4879" spans="1:3" x14ac:dyDescent="0.3">
      <c r="A4879" s="5" t="s">
        <v>5519</v>
      </c>
      <c r="B4879" t="s">
        <v>10970</v>
      </c>
      <c r="C4879" t="str">
        <f>IFERROR(VLOOKUP(ILACLISTE[[#This Row],[NAME]],Table5[#All],2,0),"")</f>
        <v/>
      </c>
    </row>
    <row r="4880" spans="1:3" x14ac:dyDescent="0.3">
      <c r="A4880" s="5" t="s">
        <v>5520</v>
      </c>
      <c r="B4880" t="s">
        <v>10971</v>
      </c>
      <c r="C4880" t="str">
        <f>IFERROR(VLOOKUP(ILACLISTE[[#This Row],[NAME]],Table5[#All],2,0),"")</f>
        <v/>
      </c>
    </row>
    <row r="4881" spans="1:3" x14ac:dyDescent="0.3">
      <c r="A4881" s="5" t="s">
        <v>5521</v>
      </c>
      <c r="B4881" t="s">
        <v>10972</v>
      </c>
      <c r="C4881" t="str">
        <f>IFERROR(VLOOKUP(ILACLISTE[[#This Row],[NAME]],Table5[#All],2,0),"")</f>
        <v/>
      </c>
    </row>
    <row r="4882" spans="1:3" x14ac:dyDescent="0.3">
      <c r="A4882" s="5" t="s">
        <v>5522</v>
      </c>
      <c r="B4882" t="s">
        <v>10973</v>
      </c>
      <c r="C4882" t="str">
        <f>IFERROR(VLOOKUP(ILACLISTE[[#This Row],[NAME]],Table5[#All],2,0),"")</f>
        <v/>
      </c>
    </row>
    <row r="4883" spans="1:3" x14ac:dyDescent="0.3">
      <c r="A4883" s="5" t="s">
        <v>5523</v>
      </c>
      <c r="B4883" t="s">
        <v>10974</v>
      </c>
      <c r="C4883" t="str">
        <f>IFERROR(VLOOKUP(ILACLISTE[[#This Row],[NAME]],Table5[#All],2,0),"")</f>
        <v/>
      </c>
    </row>
    <row r="4884" spans="1:3" x14ac:dyDescent="0.3">
      <c r="A4884" s="5" t="s">
        <v>5524</v>
      </c>
      <c r="B4884" t="s">
        <v>600</v>
      </c>
      <c r="C4884" t="str">
        <f>IFERROR(VLOOKUP(ILACLISTE[[#This Row],[NAME]],Table5[#All],2,0),"")</f>
        <v/>
      </c>
    </row>
    <row r="4885" spans="1:3" x14ac:dyDescent="0.3">
      <c r="A4885" s="5" t="s">
        <v>5525</v>
      </c>
      <c r="B4885" t="s">
        <v>10975</v>
      </c>
      <c r="C4885" t="str">
        <f>IFERROR(VLOOKUP(ILACLISTE[[#This Row],[NAME]],Table5[#All],2,0),"")</f>
        <v/>
      </c>
    </row>
    <row r="4886" spans="1:3" x14ac:dyDescent="0.3">
      <c r="A4886" s="5" t="s">
        <v>5526</v>
      </c>
      <c r="B4886" t="s">
        <v>10976</v>
      </c>
      <c r="C4886" t="str">
        <f>IFERROR(VLOOKUP(ILACLISTE[[#This Row],[NAME]],Table5[#All],2,0),"")</f>
        <v/>
      </c>
    </row>
    <row r="4887" spans="1:3" x14ac:dyDescent="0.3">
      <c r="A4887" s="5" t="s">
        <v>5527</v>
      </c>
      <c r="B4887" t="s">
        <v>10977</v>
      </c>
      <c r="C4887" t="str">
        <f>IFERROR(VLOOKUP(ILACLISTE[[#This Row],[NAME]],Table5[#All],2,0),"")</f>
        <v/>
      </c>
    </row>
    <row r="4888" spans="1:3" x14ac:dyDescent="0.3">
      <c r="A4888" s="5" t="s">
        <v>5528</v>
      </c>
      <c r="B4888" t="s">
        <v>10978</v>
      </c>
      <c r="C4888" t="str">
        <f>IFERROR(VLOOKUP(ILACLISTE[[#This Row],[NAME]],Table5[#All],2,0),"")</f>
        <v/>
      </c>
    </row>
    <row r="4889" spans="1:3" x14ac:dyDescent="0.3">
      <c r="A4889" s="5" t="s">
        <v>5529</v>
      </c>
      <c r="B4889" t="s">
        <v>10979</v>
      </c>
      <c r="C4889" t="str">
        <f>IFERROR(VLOOKUP(ILACLISTE[[#This Row],[NAME]],Table5[#All],2,0),"")</f>
        <v/>
      </c>
    </row>
    <row r="4890" spans="1:3" x14ac:dyDescent="0.3">
      <c r="A4890" s="5" t="s">
        <v>5530</v>
      </c>
      <c r="B4890" t="s">
        <v>10980</v>
      </c>
      <c r="C4890" t="str">
        <f>IFERROR(VLOOKUP(ILACLISTE[[#This Row],[NAME]],Table5[#All],2,0),"")</f>
        <v/>
      </c>
    </row>
    <row r="4891" spans="1:3" x14ac:dyDescent="0.3">
      <c r="A4891" s="5" t="s">
        <v>5531</v>
      </c>
      <c r="B4891" t="s">
        <v>10981</v>
      </c>
      <c r="C4891" t="str">
        <f>IFERROR(VLOOKUP(ILACLISTE[[#This Row],[NAME]],Table5[#All],2,0),"")</f>
        <v/>
      </c>
    </row>
    <row r="4892" spans="1:3" x14ac:dyDescent="0.3">
      <c r="A4892" s="5" t="s">
        <v>5532</v>
      </c>
      <c r="B4892" t="s">
        <v>10982</v>
      </c>
      <c r="C4892" t="str">
        <f>IFERROR(VLOOKUP(ILACLISTE[[#This Row],[NAME]],Table5[#All],2,0),"")</f>
        <v/>
      </c>
    </row>
    <row r="4893" spans="1:3" x14ac:dyDescent="0.3">
      <c r="A4893" s="5" t="s">
        <v>5533</v>
      </c>
      <c r="B4893" t="s">
        <v>10983</v>
      </c>
      <c r="C4893" t="str">
        <f>IFERROR(VLOOKUP(ILACLISTE[[#This Row],[NAME]],Table5[#All],2,0),"")</f>
        <v/>
      </c>
    </row>
    <row r="4894" spans="1:3" x14ac:dyDescent="0.3">
      <c r="A4894" s="5" t="s">
        <v>5534</v>
      </c>
      <c r="B4894" t="s">
        <v>10984</v>
      </c>
      <c r="C4894" t="str">
        <f>IFERROR(VLOOKUP(ILACLISTE[[#This Row],[NAME]],Table5[#All],2,0),"")</f>
        <v/>
      </c>
    </row>
    <row r="4895" spans="1:3" x14ac:dyDescent="0.3">
      <c r="A4895" s="5" t="s">
        <v>5535</v>
      </c>
      <c r="B4895" t="s">
        <v>10985</v>
      </c>
      <c r="C4895" t="str">
        <f>IFERROR(VLOOKUP(ILACLISTE[[#This Row],[NAME]],Table5[#All],2,0),"")</f>
        <v/>
      </c>
    </row>
    <row r="4896" spans="1:3" x14ac:dyDescent="0.3">
      <c r="A4896" s="5" t="s">
        <v>5536</v>
      </c>
      <c r="B4896" t="s">
        <v>10986</v>
      </c>
      <c r="C4896" t="str">
        <f>IFERROR(VLOOKUP(ILACLISTE[[#This Row],[NAME]],Table5[#All],2,0),"")</f>
        <v/>
      </c>
    </row>
    <row r="4897" spans="1:3" x14ac:dyDescent="0.3">
      <c r="A4897" s="5" t="s">
        <v>5537</v>
      </c>
      <c r="B4897" t="s">
        <v>10987</v>
      </c>
      <c r="C4897" t="str">
        <f>IFERROR(VLOOKUP(ILACLISTE[[#This Row],[NAME]],Table5[#All],2,0),"")</f>
        <v/>
      </c>
    </row>
    <row r="4898" spans="1:3" x14ac:dyDescent="0.3">
      <c r="A4898" s="5" t="s">
        <v>5538</v>
      </c>
      <c r="B4898" t="s">
        <v>601</v>
      </c>
      <c r="C4898" t="str">
        <f>IFERROR(VLOOKUP(ILACLISTE[[#This Row],[NAME]],Table5[#All],2,0),"")</f>
        <v/>
      </c>
    </row>
    <row r="4899" spans="1:3" x14ac:dyDescent="0.3">
      <c r="A4899" s="5" t="s">
        <v>5539</v>
      </c>
      <c r="B4899" t="s">
        <v>10988</v>
      </c>
      <c r="C4899" t="str">
        <f>IFERROR(VLOOKUP(ILACLISTE[[#This Row],[NAME]],Table5[#All],2,0),"")</f>
        <v/>
      </c>
    </row>
    <row r="4900" spans="1:3" x14ac:dyDescent="0.3">
      <c r="A4900" s="5" t="s">
        <v>5540</v>
      </c>
      <c r="B4900" t="s">
        <v>10989</v>
      </c>
      <c r="C4900" t="str">
        <f>IFERROR(VLOOKUP(ILACLISTE[[#This Row],[NAME]],Table5[#All],2,0),"")</f>
        <v/>
      </c>
    </row>
    <row r="4901" spans="1:3" x14ac:dyDescent="0.3">
      <c r="A4901" s="5" t="s">
        <v>5541</v>
      </c>
      <c r="B4901" t="s">
        <v>10990</v>
      </c>
      <c r="C4901" t="str">
        <f>IFERROR(VLOOKUP(ILACLISTE[[#This Row],[NAME]],Table5[#All],2,0),"")</f>
        <v/>
      </c>
    </row>
    <row r="4902" spans="1:3" x14ac:dyDescent="0.3">
      <c r="A4902" s="5" t="s">
        <v>5542</v>
      </c>
      <c r="B4902" t="s">
        <v>10991</v>
      </c>
      <c r="C4902" t="str">
        <f>IFERROR(VLOOKUP(ILACLISTE[[#This Row],[NAME]],Table5[#All],2,0),"")</f>
        <v/>
      </c>
    </row>
    <row r="4903" spans="1:3" x14ac:dyDescent="0.3">
      <c r="A4903" s="5" t="s">
        <v>5543</v>
      </c>
      <c r="B4903" t="s">
        <v>10992</v>
      </c>
      <c r="C4903" t="str">
        <f>IFERROR(VLOOKUP(ILACLISTE[[#This Row],[NAME]],Table5[#All],2,0),"")</f>
        <v/>
      </c>
    </row>
    <row r="4904" spans="1:3" x14ac:dyDescent="0.3">
      <c r="A4904" s="5" t="s">
        <v>5544</v>
      </c>
      <c r="B4904" t="s">
        <v>10993</v>
      </c>
      <c r="C4904" t="str">
        <f>IFERROR(VLOOKUP(ILACLISTE[[#This Row],[NAME]],Table5[#All],2,0),"")</f>
        <v/>
      </c>
    </row>
    <row r="4905" spans="1:3" x14ac:dyDescent="0.3">
      <c r="A4905" s="5" t="s">
        <v>5545</v>
      </c>
      <c r="B4905" t="s">
        <v>10994</v>
      </c>
      <c r="C4905" t="str">
        <f>IFERROR(VLOOKUP(ILACLISTE[[#This Row],[NAME]],Table5[#All],2,0),"")</f>
        <v/>
      </c>
    </row>
    <row r="4906" spans="1:3" x14ac:dyDescent="0.3">
      <c r="A4906" s="5" t="s">
        <v>5546</v>
      </c>
      <c r="B4906" t="s">
        <v>10995</v>
      </c>
      <c r="C4906" t="str">
        <f>IFERROR(VLOOKUP(ILACLISTE[[#This Row],[NAME]],Table5[#All],2,0),"")</f>
        <v/>
      </c>
    </row>
    <row r="4907" spans="1:3" x14ac:dyDescent="0.3">
      <c r="A4907" s="5" t="s">
        <v>5547</v>
      </c>
      <c r="B4907" t="s">
        <v>10996</v>
      </c>
      <c r="C4907" t="str">
        <f>IFERROR(VLOOKUP(ILACLISTE[[#This Row],[NAME]],Table5[#All],2,0),"")</f>
        <v/>
      </c>
    </row>
    <row r="4908" spans="1:3" x14ac:dyDescent="0.3">
      <c r="A4908" s="5" t="s">
        <v>5548</v>
      </c>
      <c r="B4908" t="s">
        <v>10997</v>
      </c>
      <c r="C4908" t="str">
        <f>IFERROR(VLOOKUP(ILACLISTE[[#This Row],[NAME]],Table5[#All],2,0),"")</f>
        <v/>
      </c>
    </row>
    <row r="4909" spans="1:3" x14ac:dyDescent="0.3">
      <c r="A4909" s="5" t="s">
        <v>5549</v>
      </c>
      <c r="B4909" t="s">
        <v>10998</v>
      </c>
      <c r="C4909" t="str">
        <f>IFERROR(VLOOKUP(ILACLISTE[[#This Row],[NAME]],Table5[#All],2,0),"")</f>
        <v/>
      </c>
    </row>
    <row r="4910" spans="1:3" x14ac:dyDescent="0.3">
      <c r="A4910" s="5" t="s">
        <v>5550</v>
      </c>
      <c r="B4910" t="s">
        <v>10999</v>
      </c>
      <c r="C4910" t="str">
        <f>IFERROR(VLOOKUP(ILACLISTE[[#This Row],[NAME]],Table5[#All],2,0),"")</f>
        <v/>
      </c>
    </row>
    <row r="4911" spans="1:3" x14ac:dyDescent="0.3">
      <c r="A4911" s="5" t="s">
        <v>5551</v>
      </c>
      <c r="B4911" t="s">
        <v>11000</v>
      </c>
      <c r="C4911" t="str">
        <f>IFERROR(VLOOKUP(ILACLISTE[[#This Row],[NAME]],Table5[#All],2,0),"")</f>
        <v/>
      </c>
    </row>
    <row r="4912" spans="1:3" x14ac:dyDescent="0.3">
      <c r="A4912" s="5" t="s">
        <v>5552</v>
      </c>
      <c r="B4912" t="s">
        <v>11001</v>
      </c>
      <c r="C4912" t="str">
        <f>IFERROR(VLOOKUP(ILACLISTE[[#This Row],[NAME]],Table5[#All],2,0),"")</f>
        <v/>
      </c>
    </row>
    <row r="4913" spans="1:3" x14ac:dyDescent="0.3">
      <c r="A4913" s="5" t="s">
        <v>5553</v>
      </c>
      <c r="B4913" t="s">
        <v>11002</v>
      </c>
      <c r="C4913" t="str">
        <f>IFERROR(VLOOKUP(ILACLISTE[[#This Row],[NAME]],Table5[#All],2,0),"")</f>
        <v/>
      </c>
    </row>
    <row r="4914" spans="1:3" x14ac:dyDescent="0.3">
      <c r="A4914" s="5" t="s">
        <v>5554</v>
      </c>
      <c r="B4914" t="s">
        <v>11003</v>
      </c>
      <c r="C4914" t="str">
        <f>IFERROR(VLOOKUP(ILACLISTE[[#This Row],[NAME]],Table5[#All],2,0),"")</f>
        <v/>
      </c>
    </row>
    <row r="4915" spans="1:3" x14ac:dyDescent="0.3">
      <c r="A4915" s="5" t="s">
        <v>5555</v>
      </c>
      <c r="B4915" t="s">
        <v>602</v>
      </c>
      <c r="C4915" t="str">
        <f>IFERROR(VLOOKUP(ILACLISTE[[#This Row],[NAME]],Table5[#All],2,0),"")</f>
        <v/>
      </c>
    </row>
    <row r="4916" spans="1:3" x14ac:dyDescent="0.3">
      <c r="A4916" s="5" t="s">
        <v>5556</v>
      </c>
      <c r="B4916" t="s">
        <v>11004</v>
      </c>
      <c r="C4916" t="str">
        <f>IFERROR(VLOOKUP(ILACLISTE[[#This Row],[NAME]],Table5[#All],2,0),"")</f>
        <v/>
      </c>
    </row>
    <row r="4917" spans="1:3" x14ac:dyDescent="0.3">
      <c r="A4917" s="5" t="s">
        <v>5557</v>
      </c>
      <c r="B4917" t="s">
        <v>11005</v>
      </c>
      <c r="C4917" t="str">
        <f>IFERROR(VLOOKUP(ILACLISTE[[#This Row],[NAME]],Table5[#All],2,0),"")</f>
        <v/>
      </c>
    </row>
    <row r="4918" spans="1:3" x14ac:dyDescent="0.3">
      <c r="A4918" s="5" t="s">
        <v>5558</v>
      </c>
      <c r="B4918" t="s">
        <v>11006</v>
      </c>
      <c r="C4918" t="str">
        <f>IFERROR(VLOOKUP(ILACLISTE[[#This Row],[NAME]],Table5[#All],2,0),"")</f>
        <v/>
      </c>
    </row>
    <row r="4919" spans="1:3" x14ac:dyDescent="0.3">
      <c r="A4919" s="5" t="s">
        <v>5559</v>
      </c>
      <c r="B4919" t="s">
        <v>11007</v>
      </c>
      <c r="C4919" t="str">
        <f>IFERROR(VLOOKUP(ILACLISTE[[#This Row],[NAME]],Table5[#All],2,0),"")</f>
        <v/>
      </c>
    </row>
    <row r="4920" spans="1:3" x14ac:dyDescent="0.3">
      <c r="A4920" s="5" t="s">
        <v>5560</v>
      </c>
      <c r="B4920" t="s">
        <v>11008</v>
      </c>
      <c r="C4920" t="str">
        <f>IFERROR(VLOOKUP(ILACLISTE[[#This Row],[NAME]],Table5[#All],2,0),"")</f>
        <v/>
      </c>
    </row>
    <row r="4921" spans="1:3" x14ac:dyDescent="0.3">
      <c r="A4921" s="5" t="s">
        <v>5561</v>
      </c>
      <c r="B4921" t="s">
        <v>11009</v>
      </c>
      <c r="C4921" t="str">
        <f>IFERROR(VLOOKUP(ILACLISTE[[#This Row],[NAME]],Table5[#All],2,0),"")</f>
        <v/>
      </c>
    </row>
    <row r="4922" spans="1:3" x14ac:dyDescent="0.3">
      <c r="A4922" s="5" t="s">
        <v>5562</v>
      </c>
      <c r="B4922" t="s">
        <v>11010</v>
      </c>
      <c r="C4922" t="str">
        <f>IFERROR(VLOOKUP(ILACLISTE[[#This Row],[NAME]],Table5[#All],2,0),"")</f>
        <v/>
      </c>
    </row>
    <row r="4923" spans="1:3" x14ac:dyDescent="0.3">
      <c r="A4923" s="5" t="s">
        <v>5563</v>
      </c>
      <c r="B4923" t="s">
        <v>11011</v>
      </c>
      <c r="C4923" t="str">
        <f>IFERROR(VLOOKUP(ILACLISTE[[#This Row],[NAME]],Table5[#All],2,0),"")</f>
        <v/>
      </c>
    </row>
    <row r="4924" spans="1:3" x14ac:dyDescent="0.3">
      <c r="A4924" s="5" t="s">
        <v>5564</v>
      </c>
      <c r="B4924" t="s">
        <v>11012</v>
      </c>
      <c r="C4924" t="str">
        <f>IFERROR(VLOOKUP(ILACLISTE[[#This Row],[NAME]],Table5[#All],2,0),"")</f>
        <v/>
      </c>
    </row>
    <row r="4925" spans="1:3" x14ac:dyDescent="0.3">
      <c r="A4925" s="5" t="s">
        <v>5565</v>
      </c>
      <c r="B4925" t="s">
        <v>11013</v>
      </c>
      <c r="C4925" t="str">
        <f>IFERROR(VLOOKUP(ILACLISTE[[#This Row],[NAME]],Table5[#All],2,0),"")</f>
        <v/>
      </c>
    </row>
    <row r="4926" spans="1:3" x14ac:dyDescent="0.3">
      <c r="A4926" s="5" t="s">
        <v>5566</v>
      </c>
      <c r="B4926" t="s">
        <v>11014</v>
      </c>
      <c r="C4926" t="str">
        <f>IFERROR(VLOOKUP(ILACLISTE[[#This Row],[NAME]],Table5[#All],2,0),"")</f>
        <v/>
      </c>
    </row>
    <row r="4927" spans="1:3" x14ac:dyDescent="0.3">
      <c r="A4927" s="5" t="s">
        <v>5567</v>
      </c>
      <c r="B4927" t="s">
        <v>11015</v>
      </c>
      <c r="C4927" t="str">
        <f>IFERROR(VLOOKUP(ILACLISTE[[#This Row],[NAME]],Table5[#All],2,0),"")</f>
        <v/>
      </c>
    </row>
    <row r="4928" spans="1:3" x14ac:dyDescent="0.3">
      <c r="A4928" s="5" t="s">
        <v>5568</v>
      </c>
      <c r="B4928" t="s">
        <v>11016</v>
      </c>
      <c r="C4928" t="str">
        <f>IFERROR(VLOOKUP(ILACLISTE[[#This Row],[NAME]],Table5[#All],2,0),"")</f>
        <v/>
      </c>
    </row>
    <row r="4929" spans="1:3" x14ac:dyDescent="0.3">
      <c r="A4929" s="5" t="s">
        <v>5569</v>
      </c>
      <c r="B4929" t="s">
        <v>11017</v>
      </c>
      <c r="C4929" t="str">
        <f>IFERROR(VLOOKUP(ILACLISTE[[#This Row],[NAME]],Table5[#All],2,0),"")</f>
        <v/>
      </c>
    </row>
    <row r="4930" spans="1:3" x14ac:dyDescent="0.3">
      <c r="A4930" s="5" t="s">
        <v>5570</v>
      </c>
      <c r="B4930" t="s">
        <v>11018</v>
      </c>
      <c r="C4930" t="str">
        <f>IFERROR(VLOOKUP(ILACLISTE[[#This Row],[NAME]],Table5[#All],2,0),"")</f>
        <v/>
      </c>
    </row>
    <row r="4931" spans="1:3" x14ac:dyDescent="0.3">
      <c r="A4931" s="5" t="s">
        <v>5571</v>
      </c>
      <c r="B4931" t="s">
        <v>603</v>
      </c>
      <c r="C4931" t="str">
        <f>IFERROR(VLOOKUP(ILACLISTE[[#This Row],[NAME]],Table5[#All],2,0),"")</f>
        <v/>
      </c>
    </row>
    <row r="4932" spans="1:3" x14ac:dyDescent="0.3">
      <c r="A4932" s="5" t="s">
        <v>5572</v>
      </c>
      <c r="B4932" t="s">
        <v>604</v>
      </c>
      <c r="C4932" t="str">
        <f>IFERROR(VLOOKUP(ILACLISTE[[#This Row],[NAME]],Table5[#All],2,0),"")</f>
        <v/>
      </c>
    </row>
    <row r="4933" spans="1:3" x14ac:dyDescent="0.3">
      <c r="A4933" s="5" t="s">
        <v>5573</v>
      </c>
      <c r="B4933" t="s">
        <v>605</v>
      </c>
      <c r="C4933" t="str">
        <f>IFERROR(VLOOKUP(ILACLISTE[[#This Row],[NAME]],Table5[#All],2,0),"")</f>
        <v/>
      </c>
    </row>
    <row r="4934" spans="1:3" x14ac:dyDescent="0.3">
      <c r="A4934" s="5" t="s">
        <v>5574</v>
      </c>
      <c r="B4934" t="s">
        <v>606</v>
      </c>
      <c r="C4934" t="str">
        <f>IFERROR(VLOOKUP(ILACLISTE[[#This Row],[NAME]],Table5[#All],2,0),"")</f>
        <v/>
      </c>
    </row>
    <row r="4935" spans="1:3" x14ac:dyDescent="0.3">
      <c r="A4935" s="5" t="s">
        <v>5575</v>
      </c>
      <c r="B4935" t="s">
        <v>607</v>
      </c>
      <c r="C4935" t="str">
        <f>IFERROR(VLOOKUP(ILACLISTE[[#This Row],[NAME]],Table5[#All],2,0),"")</f>
        <v/>
      </c>
    </row>
    <row r="4936" spans="1:3" x14ac:dyDescent="0.3">
      <c r="A4936" s="5" t="s">
        <v>5576</v>
      </c>
      <c r="B4936" t="s">
        <v>11019</v>
      </c>
      <c r="C4936" t="str">
        <f>IFERROR(VLOOKUP(ILACLISTE[[#This Row],[NAME]],Table5[#All],2,0),"")</f>
        <v/>
      </c>
    </row>
    <row r="4937" spans="1:3" x14ac:dyDescent="0.3">
      <c r="A4937" s="5" t="s">
        <v>5577</v>
      </c>
      <c r="B4937" t="s">
        <v>11020</v>
      </c>
      <c r="C4937" t="str">
        <f>IFERROR(VLOOKUP(ILACLISTE[[#This Row],[NAME]],Table5[#All],2,0),"")</f>
        <v/>
      </c>
    </row>
    <row r="4938" spans="1:3" x14ac:dyDescent="0.3">
      <c r="A4938" s="5" t="s">
        <v>5578</v>
      </c>
      <c r="B4938" t="s">
        <v>11021</v>
      </c>
      <c r="C4938" t="str">
        <f>IFERROR(VLOOKUP(ILACLISTE[[#This Row],[NAME]],Table5[#All],2,0),"")</f>
        <v/>
      </c>
    </row>
    <row r="4939" spans="1:3" x14ac:dyDescent="0.3">
      <c r="A4939" s="5" t="s">
        <v>5579</v>
      </c>
      <c r="B4939" t="s">
        <v>11022</v>
      </c>
      <c r="C4939" t="str">
        <f>IFERROR(VLOOKUP(ILACLISTE[[#This Row],[NAME]],Table5[#All],2,0),"")</f>
        <v/>
      </c>
    </row>
    <row r="4940" spans="1:3" x14ac:dyDescent="0.3">
      <c r="A4940" s="5" t="s">
        <v>5580</v>
      </c>
      <c r="B4940" t="s">
        <v>11023</v>
      </c>
      <c r="C4940" t="str">
        <f>IFERROR(VLOOKUP(ILACLISTE[[#This Row],[NAME]],Table5[#All],2,0),"")</f>
        <v/>
      </c>
    </row>
    <row r="4941" spans="1:3" x14ac:dyDescent="0.3">
      <c r="A4941" s="5" t="s">
        <v>5581</v>
      </c>
      <c r="B4941" t="s">
        <v>11024</v>
      </c>
      <c r="C4941" t="str">
        <f>IFERROR(VLOOKUP(ILACLISTE[[#This Row],[NAME]],Table5[#All],2,0),"")</f>
        <v/>
      </c>
    </row>
    <row r="4942" spans="1:3" x14ac:dyDescent="0.3">
      <c r="A4942" s="5" t="s">
        <v>5582</v>
      </c>
      <c r="B4942" t="s">
        <v>11025</v>
      </c>
      <c r="C4942" t="str">
        <f>IFERROR(VLOOKUP(ILACLISTE[[#This Row],[NAME]],Table5[#All],2,0),"")</f>
        <v/>
      </c>
    </row>
    <row r="4943" spans="1:3" x14ac:dyDescent="0.3">
      <c r="A4943" s="5" t="s">
        <v>5583</v>
      </c>
      <c r="B4943" t="s">
        <v>11026</v>
      </c>
      <c r="C4943" t="str">
        <f>IFERROR(VLOOKUP(ILACLISTE[[#This Row],[NAME]],Table5[#All],2,0),"")</f>
        <v/>
      </c>
    </row>
    <row r="4944" spans="1:3" x14ac:dyDescent="0.3">
      <c r="A4944" s="5" t="s">
        <v>5584</v>
      </c>
      <c r="B4944" t="s">
        <v>11027</v>
      </c>
      <c r="C4944" t="str">
        <f>IFERROR(VLOOKUP(ILACLISTE[[#This Row],[NAME]],Table5[#All],2,0),"")</f>
        <v/>
      </c>
    </row>
    <row r="4945" spans="1:3" x14ac:dyDescent="0.3">
      <c r="A4945" s="5" t="s">
        <v>5585</v>
      </c>
      <c r="B4945" t="s">
        <v>11028</v>
      </c>
      <c r="C4945" t="str">
        <f>IFERROR(VLOOKUP(ILACLISTE[[#This Row],[NAME]],Table5[#All],2,0),"")</f>
        <v/>
      </c>
    </row>
    <row r="4946" spans="1:3" x14ac:dyDescent="0.3">
      <c r="A4946" s="5" t="s">
        <v>5586</v>
      </c>
      <c r="B4946" t="s">
        <v>11029</v>
      </c>
      <c r="C4946" t="str">
        <f>IFERROR(VLOOKUP(ILACLISTE[[#This Row],[NAME]],Table5[#All],2,0),"")</f>
        <v/>
      </c>
    </row>
    <row r="4947" spans="1:3" x14ac:dyDescent="0.3">
      <c r="A4947" s="5" t="s">
        <v>5587</v>
      </c>
      <c r="B4947" t="s">
        <v>11030</v>
      </c>
      <c r="C4947" t="str">
        <f>IFERROR(VLOOKUP(ILACLISTE[[#This Row],[NAME]],Table5[#All],2,0),"")</f>
        <v/>
      </c>
    </row>
    <row r="4948" spans="1:3" x14ac:dyDescent="0.3">
      <c r="A4948" s="5" t="s">
        <v>5588</v>
      </c>
      <c r="B4948" t="s">
        <v>11031</v>
      </c>
      <c r="C4948" t="str">
        <f>IFERROR(VLOOKUP(ILACLISTE[[#This Row],[NAME]],Table5[#All],2,0),"")</f>
        <v/>
      </c>
    </row>
    <row r="4949" spans="1:3" x14ac:dyDescent="0.3">
      <c r="A4949" s="5" t="s">
        <v>5589</v>
      </c>
      <c r="B4949" t="s">
        <v>11032</v>
      </c>
      <c r="C4949" t="str">
        <f>IFERROR(VLOOKUP(ILACLISTE[[#This Row],[NAME]],Table5[#All],2,0),"")</f>
        <v/>
      </c>
    </row>
    <row r="4950" spans="1:3" x14ac:dyDescent="0.3">
      <c r="A4950" s="5" t="s">
        <v>5590</v>
      </c>
      <c r="B4950" t="s">
        <v>11033</v>
      </c>
      <c r="C4950" t="str">
        <f>IFERROR(VLOOKUP(ILACLISTE[[#This Row],[NAME]],Table5[#All],2,0),"")</f>
        <v/>
      </c>
    </row>
    <row r="4951" spans="1:3" x14ac:dyDescent="0.3">
      <c r="A4951" s="5" t="s">
        <v>5591</v>
      </c>
      <c r="B4951" t="s">
        <v>608</v>
      </c>
      <c r="C4951" t="str">
        <f>IFERROR(VLOOKUP(ILACLISTE[[#This Row],[NAME]],Table5[#All],2,0),"")</f>
        <v/>
      </c>
    </row>
    <row r="4952" spans="1:3" x14ac:dyDescent="0.3">
      <c r="A4952" s="5" t="s">
        <v>5592</v>
      </c>
      <c r="B4952" t="s">
        <v>11034</v>
      </c>
      <c r="C4952" t="str">
        <f>IFERROR(VLOOKUP(ILACLISTE[[#This Row],[NAME]],Table5[#All],2,0),"")</f>
        <v/>
      </c>
    </row>
    <row r="4953" spans="1:3" x14ac:dyDescent="0.3">
      <c r="A4953" s="5" t="s">
        <v>5593</v>
      </c>
      <c r="B4953" t="s">
        <v>11035</v>
      </c>
      <c r="C4953" t="str">
        <f>IFERROR(VLOOKUP(ILACLISTE[[#This Row],[NAME]],Table5[#All],2,0),"")</f>
        <v/>
      </c>
    </row>
    <row r="4954" spans="1:3" x14ac:dyDescent="0.3">
      <c r="A4954" s="5" t="s">
        <v>5594</v>
      </c>
      <c r="B4954" t="s">
        <v>11036</v>
      </c>
      <c r="C4954" t="str">
        <f>IFERROR(VLOOKUP(ILACLISTE[[#This Row],[NAME]],Table5[#All],2,0),"")</f>
        <v/>
      </c>
    </row>
    <row r="4955" spans="1:3" x14ac:dyDescent="0.3">
      <c r="A4955" s="5" t="s">
        <v>5595</v>
      </c>
      <c r="B4955" t="s">
        <v>11037</v>
      </c>
      <c r="C4955" t="str">
        <f>IFERROR(VLOOKUP(ILACLISTE[[#This Row],[NAME]],Table5[#All],2,0),"")</f>
        <v/>
      </c>
    </row>
    <row r="4956" spans="1:3" x14ac:dyDescent="0.3">
      <c r="A4956" s="5" t="s">
        <v>5596</v>
      </c>
      <c r="B4956" t="s">
        <v>11038</v>
      </c>
      <c r="C4956" t="str">
        <f>IFERROR(VLOOKUP(ILACLISTE[[#This Row],[NAME]],Table5[#All],2,0),"")</f>
        <v/>
      </c>
    </row>
    <row r="4957" spans="1:3" x14ac:dyDescent="0.3">
      <c r="A4957" s="5" t="s">
        <v>5597</v>
      </c>
      <c r="B4957" t="s">
        <v>11039</v>
      </c>
      <c r="C4957" t="str">
        <f>IFERROR(VLOOKUP(ILACLISTE[[#This Row],[NAME]],Table5[#All],2,0),"")</f>
        <v/>
      </c>
    </row>
    <row r="4958" spans="1:3" x14ac:dyDescent="0.3">
      <c r="A4958" s="5" t="s">
        <v>5598</v>
      </c>
      <c r="B4958" t="s">
        <v>11040</v>
      </c>
      <c r="C4958" t="str">
        <f>IFERROR(VLOOKUP(ILACLISTE[[#This Row],[NAME]],Table5[#All],2,0),"")</f>
        <v/>
      </c>
    </row>
    <row r="4959" spans="1:3" x14ac:dyDescent="0.3">
      <c r="A4959" s="5" t="s">
        <v>5599</v>
      </c>
      <c r="B4959" t="s">
        <v>11041</v>
      </c>
      <c r="C4959" t="str">
        <f>IFERROR(VLOOKUP(ILACLISTE[[#This Row],[NAME]],Table5[#All],2,0),"")</f>
        <v/>
      </c>
    </row>
    <row r="4960" spans="1:3" x14ac:dyDescent="0.3">
      <c r="A4960" s="5" t="s">
        <v>5600</v>
      </c>
      <c r="B4960" t="s">
        <v>11042</v>
      </c>
      <c r="C4960" t="str">
        <f>IFERROR(VLOOKUP(ILACLISTE[[#This Row],[NAME]],Table5[#All],2,0),"")</f>
        <v/>
      </c>
    </row>
    <row r="4961" spans="1:3" x14ac:dyDescent="0.3">
      <c r="A4961" s="5" t="s">
        <v>5601</v>
      </c>
      <c r="B4961" t="s">
        <v>11043</v>
      </c>
      <c r="C4961" t="str">
        <f>IFERROR(VLOOKUP(ILACLISTE[[#This Row],[NAME]],Table5[#All],2,0),"")</f>
        <v/>
      </c>
    </row>
    <row r="4962" spans="1:3" x14ac:dyDescent="0.3">
      <c r="A4962" s="5" t="s">
        <v>5602</v>
      </c>
      <c r="B4962" t="s">
        <v>11044</v>
      </c>
      <c r="C4962" t="str">
        <f>IFERROR(VLOOKUP(ILACLISTE[[#This Row],[NAME]],Table5[#All],2,0),"")</f>
        <v/>
      </c>
    </row>
    <row r="4963" spans="1:3" x14ac:dyDescent="0.3">
      <c r="A4963" s="5" t="s">
        <v>5603</v>
      </c>
      <c r="B4963" t="s">
        <v>11045</v>
      </c>
      <c r="C4963" t="str">
        <f>IFERROR(VLOOKUP(ILACLISTE[[#This Row],[NAME]],Table5[#All],2,0),"")</f>
        <v/>
      </c>
    </row>
    <row r="4964" spans="1:3" x14ac:dyDescent="0.3">
      <c r="A4964" s="5" t="s">
        <v>5604</v>
      </c>
      <c r="B4964" t="s">
        <v>11046</v>
      </c>
      <c r="C4964" t="str">
        <f>IFERROR(VLOOKUP(ILACLISTE[[#This Row],[NAME]],Table5[#All],2,0),"")</f>
        <v/>
      </c>
    </row>
    <row r="4965" spans="1:3" x14ac:dyDescent="0.3">
      <c r="A4965" s="5" t="s">
        <v>5605</v>
      </c>
      <c r="B4965" t="s">
        <v>11047</v>
      </c>
      <c r="C4965" t="str">
        <f>IFERROR(VLOOKUP(ILACLISTE[[#This Row],[NAME]],Table5[#All],2,0),"")</f>
        <v/>
      </c>
    </row>
    <row r="4966" spans="1:3" x14ac:dyDescent="0.3">
      <c r="A4966" s="5" t="s">
        <v>11048</v>
      </c>
      <c r="B4966" t="s">
        <v>11049</v>
      </c>
      <c r="C4966" t="str">
        <f>IFERROR(VLOOKUP(ILACLISTE[[#This Row],[NAME]],Table5[#All],2,0),"")</f>
        <v/>
      </c>
    </row>
    <row r="4967" spans="1:3" x14ac:dyDescent="0.3">
      <c r="A4967" s="5" t="s">
        <v>5606</v>
      </c>
      <c r="B4967" t="s">
        <v>11050</v>
      </c>
      <c r="C4967" t="str">
        <f>IFERROR(VLOOKUP(ILACLISTE[[#This Row],[NAME]],Table5[#All],2,0),"")</f>
        <v/>
      </c>
    </row>
    <row r="4968" spans="1:3" x14ac:dyDescent="0.3">
      <c r="A4968" s="5" t="s">
        <v>5607</v>
      </c>
      <c r="B4968" t="s">
        <v>11051</v>
      </c>
      <c r="C4968" t="str">
        <f>IFERROR(VLOOKUP(ILACLISTE[[#This Row],[NAME]],Table5[#All],2,0),"")</f>
        <v/>
      </c>
    </row>
    <row r="4969" spans="1:3" x14ac:dyDescent="0.3">
      <c r="A4969" s="5" t="s">
        <v>5608</v>
      </c>
      <c r="B4969" t="s">
        <v>11052</v>
      </c>
      <c r="C4969" t="str">
        <f>IFERROR(VLOOKUP(ILACLISTE[[#This Row],[NAME]],Table5[#All],2,0),"")</f>
        <v/>
      </c>
    </row>
    <row r="4970" spans="1:3" x14ac:dyDescent="0.3">
      <c r="A4970" s="5" t="s">
        <v>5609</v>
      </c>
      <c r="B4970" t="s">
        <v>11053</v>
      </c>
      <c r="C4970" t="str">
        <f>IFERROR(VLOOKUP(ILACLISTE[[#This Row],[NAME]],Table5[#All],2,0),"")</f>
        <v/>
      </c>
    </row>
    <row r="4971" spans="1:3" x14ac:dyDescent="0.3">
      <c r="A4971" s="5" t="s">
        <v>5610</v>
      </c>
      <c r="B4971" t="s">
        <v>11054</v>
      </c>
      <c r="C4971" t="str">
        <f>IFERROR(VLOOKUP(ILACLISTE[[#This Row],[NAME]],Table5[#All],2,0),"")</f>
        <v/>
      </c>
    </row>
    <row r="4972" spans="1:3" x14ac:dyDescent="0.3">
      <c r="A4972" s="5" t="s">
        <v>5611</v>
      </c>
      <c r="B4972" t="s">
        <v>11055</v>
      </c>
      <c r="C4972" t="str">
        <f>IFERROR(VLOOKUP(ILACLISTE[[#This Row],[NAME]],Table5[#All],2,0),"")</f>
        <v/>
      </c>
    </row>
    <row r="4973" spans="1:3" x14ac:dyDescent="0.3">
      <c r="A4973" s="5" t="s">
        <v>5612</v>
      </c>
      <c r="B4973" t="s">
        <v>11056</v>
      </c>
      <c r="C4973" t="str">
        <f>IFERROR(VLOOKUP(ILACLISTE[[#This Row],[NAME]],Table5[#All],2,0),"")</f>
        <v/>
      </c>
    </row>
    <row r="4974" spans="1:3" x14ac:dyDescent="0.3">
      <c r="A4974" s="5" t="s">
        <v>5613</v>
      </c>
      <c r="B4974" t="s">
        <v>11057</v>
      </c>
      <c r="C4974" t="str">
        <f>IFERROR(VLOOKUP(ILACLISTE[[#This Row],[NAME]],Table5[#All],2,0),"")</f>
        <v/>
      </c>
    </row>
    <row r="4975" spans="1:3" x14ac:dyDescent="0.3">
      <c r="A4975" s="5" t="s">
        <v>5614</v>
      </c>
      <c r="B4975" t="s">
        <v>11058</v>
      </c>
      <c r="C4975" t="str">
        <f>IFERROR(VLOOKUP(ILACLISTE[[#This Row],[NAME]],Table5[#All],2,0),"")</f>
        <v/>
      </c>
    </row>
    <row r="4976" spans="1:3" x14ac:dyDescent="0.3">
      <c r="A4976" s="5" t="s">
        <v>5615</v>
      </c>
      <c r="B4976" t="s">
        <v>11059</v>
      </c>
      <c r="C4976" t="str">
        <f>IFERROR(VLOOKUP(ILACLISTE[[#This Row],[NAME]],Table5[#All],2,0),"")</f>
        <v/>
      </c>
    </row>
    <row r="4977" spans="1:3" x14ac:dyDescent="0.3">
      <c r="A4977" s="5" t="s">
        <v>5616</v>
      </c>
      <c r="B4977" t="s">
        <v>11060</v>
      </c>
      <c r="C4977" t="str">
        <f>IFERROR(VLOOKUP(ILACLISTE[[#This Row],[NAME]],Table5[#All],2,0),"")</f>
        <v/>
      </c>
    </row>
    <row r="4978" spans="1:3" x14ac:dyDescent="0.3">
      <c r="A4978" s="5" t="s">
        <v>5617</v>
      </c>
      <c r="B4978" t="s">
        <v>11061</v>
      </c>
      <c r="C4978" t="str">
        <f>IFERROR(VLOOKUP(ILACLISTE[[#This Row],[NAME]],Table5[#All],2,0),"")</f>
        <v/>
      </c>
    </row>
    <row r="4979" spans="1:3" x14ac:dyDescent="0.3">
      <c r="A4979" s="5" t="s">
        <v>5618</v>
      </c>
      <c r="B4979" t="s">
        <v>11062</v>
      </c>
      <c r="C4979" t="str">
        <f>IFERROR(VLOOKUP(ILACLISTE[[#This Row],[NAME]],Table5[#All],2,0),"")</f>
        <v/>
      </c>
    </row>
    <row r="4980" spans="1:3" x14ac:dyDescent="0.3">
      <c r="A4980" s="5" t="s">
        <v>5619</v>
      </c>
      <c r="B4980" t="s">
        <v>11063</v>
      </c>
      <c r="C4980" t="str">
        <f>IFERROR(VLOOKUP(ILACLISTE[[#This Row],[NAME]],Table5[#All],2,0),"")</f>
        <v/>
      </c>
    </row>
    <row r="4981" spans="1:3" x14ac:dyDescent="0.3">
      <c r="A4981" s="5" t="s">
        <v>5620</v>
      </c>
      <c r="B4981" t="s">
        <v>11064</v>
      </c>
      <c r="C4981" t="str">
        <f>IFERROR(VLOOKUP(ILACLISTE[[#This Row],[NAME]],Table5[#All],2,0),"")</f>
        <v/>
      </c>
    </row>
    <row r="4982" spans="1:3" x14ac:dyDescent="0.3">
      <c r="A4982" s="5" t="s">
        <v>5621</v>
      </c>
      <c r="B4982" t="s">
        <v>11065</v>
      </c>
      <c r="C4982" t="str">
        <f>IFERROR(VLOOKUP(ILACLISTE[[#This Row],[NAME]],Table5[#All],2,0),"")</f>
        <v/>
      </c>
    </row>
    <row r="4983" spans="1:3" x14ac:dyDescent="0.3">
      <c r="A4983" s="5" t="s">
        <v>5622</v>
      </c>
      <c r="B4983" t="s">
        <v>11066</v>
      </c>
      <c r="C4983" t="str">
        <f>IFERROR(VLOOKUP(ILACLISTE[[#This Row],[NAME]],Table5[#All],2,0),"")</f>
        <v/>
      </c>
    </row>
    <row r="4984" spans="1:3" x14ac:dyDescent="0.3">
      <c r="A4984" s="5" t="s">
        <v>5623</v>
      </c>
      <c r="B4984" t="s">
        <v>11067</v>
      </c>
      <c r="C4984" t="str">
        <f>IFERROR(VLOOKUP(ILACLISTE[[#This Row],[NAME]],Table5[#All],2,0),"")</f>
        <v/>
      </c>
    </row>
    <row r="4985" spans="1:3" x14ac:dyDescent="0.3">
      <c r="A4985" s="5" t="s">
        <v>5624</v>
      </c>
      <c r="B4985" t="s">
        <v>11068</v>
      </c>
      <c r="C4985" t="str">
        <f>IFERROR(VLOOKUP(ILACLISTE[[#This Row],[NAME]],Table5[#All],2,0),"")</f>
        <v/>
      </c>
    </row>
    <row r="4986" spans="1:3" x14ac:dyDescent="0.3">
      <c r="A4986" s="5" t="s">
        <v>5625</v>
      </c>
      <c r="B4986" t="s">
        <v>11069</v>
      </c>
      <c r="C4986" t="str">
        <f>IFERROR(VLOOKUP(ILACLISTE[[#This Row],[NAME]],Table5[#All],2,0),"")</f>
        <v/>
      </c>
    </row>
    <row r="4987" spans="1:3" x14ac:dyDescent="0.3">
      <c r="A4987" s="5" t="s">
        <v>5626</v>
      </c>
      <c r="B4987" t="s">
        <v>11070</v>
      </c>
      <c r="C4987" t="str">
        <f>IFERROR(VLOOKUP(ILACLISTE[[#This Row],[NAME]],Table5[#All],2,0),"")</f>
        <v/>
      </c>
    </row>
    <row r="4988" spans="1:3" x14ac:dyDescent="0.3">
      <c r="A4988" s="5" t="s">
        <v>5627</v>
      </c>
      <c r="B4988" t="s">
        <v>11071</v>
      </c>
      <c r="C4988" t="str">
        <f>IFERROR(VLOOKUP(ILACLISTE[[#This Row],[NAME]],Table5[#All],2,0),"")</f>
        <v/>
      </c>
    </row>
    <row r="4989" spans="1:3" x14ac:dyDescent="0.3">
      <c r="A4989" s="5" t="s">
        <v>5628</v>
      </c>
      <c r="B4989" t="s">
        <v>11072</v>
      </c>
      <c r="C4989" t="str">
        <f>IFERROR(VLOOKUP(ILACLISTE[[#This Row],[NAME]],Table5[#All],2,0),"")</f>
        <v/>
      </c>
    </row>
    <row r="4990" spans="1:3" x14ac:dyDescent="0.3">
      <c r="A4990" s="5" t="s">
        <v>5629</v>
      </c>
      <c r="B4990" t="s">
        <v>11073</v>
      </c>
      <c r="C4990" t="str">
        <f>IFERROR(VLOOKUP(ILACLISTE[[#This Row],[NAME]],Table5[#All],2,0),"")</f>
        <v/>
      </c>
    </row>
    <row r="4991" spans="1:3" x14ac:dyDescent="0.3">
      <c r="A4991" s="5" t="s">
        <v>5630</v>
      </c>
      <c r="B4991" t="s">
        <v>609</v>
      </c>
      <c r="C4991" t="str">
        <f>IFERROR(VLOOKUP(ILACLISTE[[#This Row],[NAME]],Table5[#All],2,0),"")</f>
        <v/>
      </c>
    </row>
    <row r="4992" spans="1:3" x14ac:dyDescent="0.3">
      <c r="A4992" s="5" t="s">
        <v>5631</v>
      </c>
      <c r="B4992" t="s">
        <v>11074</v>
      </c>
      <c r="C4992" t="str">
        <f>IFERROR(VLOOKUP(ILACLISTE[[#This Row],[NAME]],Table5[#All],2,0),"")</f>
        <v/>
      </c>
    </row>
    <row r="4993" spans="1:3" x14ac:dyDescent="0.3">
      <c r="A4993" s="5" t="s">
        <v>5632</v>
      </c>
      <c r="B4993" t="s">
        <v>11075</v>
      </c>
      <c r="C4993" t="str">
        <f>IFERROR(VLOOKUP(ILACLISTE[[#This Row],[NAME]],Table5[#All],2,0),"")</f>
        <v/>
      </c>
    </row>
    <row r="4994" spans="1:3" x14ac:dyDescent="0.3">
      <c r="A4994" s="5" t="s">
        <v>5633</v>
      </c>
      <c r="B4994" t="s">
        <v>11076</v>
      </c>
      <c r="C4994" t="str">
        <f>IFERROR(VLOOKUP(ILACLISTE[[#This Row],[NAME]],Table5[#All],2,0),"")</f>
        <v/>
      </c>
    </row>
    <row r="4995" spans="1:3" x14ac:dyDescent="0.3">
      <c r="A4995" s="5" t="s">
        <v>5634</v>
      </c>
      <c r="B4995" t="s">
        <v>11077</v>
      </c>
      <c r="C4995" t="str">
        <f>IFERROR(VLOOKUP(ILACLISTE[[#This Row],[NAME]],Table5[#All],2,0),"")</f>
        <v/>
      </c>
    </row>
    <row r="4996" spans="1:3" x14ac:dyDescent="0.3">
      <c r="A4996" s="5" t="s">
        <v>5635</v>
      </c>
      <c r="B4996" t="s">
        <v>11078</v>
      </c>
      <c r="C4996" t="str">
        <f>IFERROR(VLOOKUP(ILACLISTE[[#This Row],[NAME]],Table5[#All],2,0),"")</f>
        <v/>
      </c>
    </row>
    <row r="4997" spans="1:3" x14ac:dyDescent="0.3">
      <c r="A4997" s="5" t="s">
        <v>5636</v>
      </c>
      <c r="B4997" t="s">
        <v>11079</v>
      </c>
      <c r="C4997" t="str">
        <f>IFERROR(VLOOKUP(ILACLISTE[[#This Row],[NAME]],Table5[#All],2,0),"")</f>
        <v/>
      </c>
    </row>
    <row r="4998" spans="1:3" x14ac:dyDescent="0.3">
      <c r="A4998" s="5" t="s">
        <v>5637</v>
      </c>
      <c r="B4998" t="s">
        <v>11080</v>
      </c>
      <c r="C4998" t="str">
        <f>IFERROR(VLOOKUP(ILACLISTE[[#This Row],[NAME]],Table5[#All],2,0),"")</f>
        <v/>
      </c>
    </row>
    <row r="4999" spans="1:3" x14ac:dyDescent="0.3">
      <c r="A4999" s="5" t="s">
        <v>5638</v>
      </c>
      <c r="B4999" t="s">
        <v>11081</v>
      </c>
      <c r="C4999" t="str">
        <f>IFERROR(VLOOKUP(ILACLISTE[[#This Row],[NAME]],Table5[#All],2,0),"")</f>
        <v/>
      </c>
    </row>
    <row r="5000" spans="1:3" x14ac:dyDescent="0.3">
      <c r="A5000" s="5" t="s">
        <v>5639</v>
      </c>
      <c r="B5000" t="s">
        <v>11082</v>
      </c>
      <c r="C5000" t="str">
        <f>IFERROR(VLOOKUP(ILACLISTE[[#This Row],[NAME]],Table5[#All],2,0),"")</f>
        <v/>
      </c>
    </row>
    <row r="5001" spans="1:3" x14ac:dyDescent="0.3">
      <c r="A5001" s="5" t="s">
        <v>5640</v>
      </c>
      <c r="B5001" t="s">
        <v>11083</v>
      </c>
      <c r="C5001" t="str">
        <f>IFERROR(VLOOKUP(ILACLISTE[[#This Row],[NAME]],Table5[#All],2,0),"")</f>
        <v/>
      </c>
    </row>
    <row r="5002" spans="1:3" x14ac:dyDescent="0.3">
      <c r="A5002" s="5" t="s">
        <v>5641</v>
      </c>
      <c r="B5002" t="s">
        <v>11084</v>
      </c>
      <c r="C5002" t="str">
        <f>IFERROR(VLOOKUP(ILACLISTE[[#This Row],[NAME]],Table5[#All],2,0),"")</f>
        <v/>
      </c>
    </row>
    <row r="5003" spans="1:3" x14ac:dyDescent="0.3">
      <c r="A5003" s="5" t="s">
        <v>5642</v>
      </c>
      <c r="B5003" t="s">
        <v>11085</v>
      </c>
      <c r="C5003" t="str">
        <f>IFERROR(VLOOKUP(ILACLISTE[[#This Row],[NAME]],Table5[#All],2,0),"")</f>
        <v/>
      </c>
    </row>
    <row r="5004" spans="1:3" x14ac:dyDescent="0.3">
      <c r="A5004" s="5" t="s">
        <v>5643</v>
      </c>
      <c r="B5004" t="s">
        <v>11086</v>
      </c>
      <c r="C5004" t="str">
        <f>IFERROR(VLOOKUP(ILACLISTE[[#This Row],[NAME]],Table5[#All],2,0),"")</f>
        <v/>
      </c>
    </row>
    <row r="5005" spans="1:3" x14ac:dyDescent="0.3">
      <c r="A5005" s="5" t="s">
        <v>5644</v>
      </c>
      <c r="B5005" t="s">
        <v>11087</v>
      </c>
      <c r="C5005" t="str">
        <f>IFERROR(VLOOKUP(ILACLISTE[[#This Row],[NAME]],Table5[#All],2,0),"")</f>
        <v/>
      </c>
    </row>
    <row r="5006" spans="1:3" x14ac:dyDescent="0.3">
      <c r="A5006" s="5" t="s">
        <v>5645</v>
      </c>
      <c r="B5006" t="s">
        <v>11088</v>
      </c>
      <c r="C5006" t="str">
        <f>IFERROR(VLOOKUP(ILACLISTE[[#This Row],[NAME]],Table5[#All],2,0),"")</f>
        <v/>
      </c>
    </row>
    <row r="5007" spans="1:3" x14ac:dyDescent="0.3">
      <c r="A5007" s="5" t="s">
        <v>5646</v>
      </c>
      <c r="B5007" t="s">
        <v>11089</v>
      </c>
      <c r="C5007" t="str">
        <f>IFERROR(VLOOKUP(ILACLISTE[[#This Row],[NAME]],Table5[#All],2,0),"")</f>
        <v/>
      </c>
    </row>
    <row r="5008" spans="1:3" x14ac:dyDescent="0.3">
      <c r="A5008" s="5" t="s">
        <v>5647</v>
      </c>
      <c r="B5008" t="s">
        <v>11090</v>
      </c>
      <c r="C5008" t="str">
        <f>IFERROR(VLOOKUP(ILACLISTE[[#This Row],[NAME]],Table5[#All],2,0),"")</f>
        <v/>
      </c>
    </row>
    <row r="5009" spans="1:3" x14ac:dyDescent="0.3">
      <c r="A5009" s="5" t="s">
        <v>5648</v>
      </c>
      <c r="B5009" t="s">
        <v>11091</v>
      </c>
      <c r="C5009" t="str">
        <f>IFERROR(VLOOKUP(ILACLISTE[[#This Row],[NAME]],Table5[#All],2,0),"")</f>
        <v/>
      </c>
    </row>
    <row r="5010" spans="1:3" x14ac:dyDescent="0.3">
      <c r="A5010" s="5" t="s">
        <v>5649</v>
      </c>
      <c r="B5010" t="s">
        <v>11092</v>
      </c>
      <c r="C5010" t="str">
        <f>IFERROR(VLOOKUP(ILACLISTE[[#This Row],[NAME]],Table5[#All],2,0),"")</f>
        <v/>
      </c>
    </row>
    <row r="5011" spans="1:3" x14ac:dyDescent="0.3">
      <c r="A5011" s="5" t="s">
        <v>5650</v>
      </c>
      <c r="B5011" t="s">
        <v>11093</v>
      </c>
      <c r="C5011" t="str">
        <f>IFERROR(VLOOKUP(ILACLISTE[[#This Row],[NAME]],Table5[#All],2,0),"")</f>
        <v/>
      </c>
    </row>
    <row r="5012" spans="1:3" x14ac:dyDescent="0.3">
      <c r="A5012" s="5" t="s">
        <v>5651</v>
      </c>
      <c r="B5012" t="s">
        <v>11094</v>
      </c>
      <c r="C5012" t="str">
        <f>IFERROR(VLOOKUP(ILACLISTE[[#This Row],[NAME]],Table5[#All],2,0),"")</f>
        <v/>
      </c>
    </row>
    <row r="5013" spans="1:3" x14ac:dyDescent="0.3">
      <c r="A5013" s="5" t="s">
        <v>5652</v>
      </c>
      <c r="B5013" t="s">
        <v>11095</v>
      </c>
      <c r="C5013" t="str">
        <f>IFERROR(VLOOKUP(ILACLISTE[[#This Row],[NAME]],Table5[#All],2,0),"")</f>
        <v/>
      </c>
    </row>
    <row r="5014" spans="1:3" x14ac:dyDescent="0.3">
      <c r="A5014" s="5" t="s">
        <v>5653</v>
      </c>
      <c r="B5014" t="s">
        <v>11096</v>
      </c>
      <c r="C5014" t="str">
        <f>IFERROR(VLOOKUP(ILACLISTE[[#This Row],[NAME]],Table5[#All],2,0),"")</f>
        <v/>
      </c>
    </row>
    <row r="5015" spans="1:3" x14ac:dyDescent="0.3">
      <c r="A5015" s="5" t="s">
        <v>5654</v>
      </c>
      <c r="B5015" t="s">
        <v>11097</v>
      </c>
      <c r="C5015" t="str">
        <f>IFERROR(VLOOKUP(ILACLISTE[[#This Row],[NAME]],Table5[#All],2,0),"")</f>
        <v/>
      </c>
    </row>
    <row r="5016" spans="1:3" x14ac:dyDescent="0.3">
      <c r="A5016" s="5" t="s">
        <v>5655</v>
      </c>
      <c r="B5016" t="s">
        <v>610</v>
      </c>
      <c r="C5016" t="str">
        <f>IFERROR(VLOOKUP(ILACLISTE[[#This Row],[NAME]],Table5[#All],2,0),"")</f>
        <v/>
      </c>
    </row>
    <row r="5017" spans="1:3" x14ac:dyDescent="0.3">
      <c r="A5017" s="5" t="s">
        <v>5656</v>
      </c>
      <c r="B5017" t="s">
        <v>11098</v>
      </c>
      <c r="C5017" t="str">
        <f>IFERROR(VLOOKUP(ILACLISTE[[#This Row],[NAME]],Table5[#All],2,0),"")</f>
        <v/>
      </c>
    </row>
    <row r="5018" spans="1:3" x14ac:dyDescent="0.3">
      <c r="A5018" s="5" t="s">
        <v>5657</v>
      </c>
      <c r="B5018" t="s">
        <v>11099</v>
      </c>
      <c r="C5018" t="str">
        <f>IFERROR(VLOOKUP(ILACLISTE[[#This Row],[NAME]],Table5[#All],2,0),"")</f>
        <v/>
      </c>
    </row>
    <row r="5019" spans="1:3" x14ac:dyDescent="0.3">
      <c r="A5019" s="5" t="s">
        <v>5658</v>
      </c>
      <c r="B5019" t="s">
        <v>11100</v>
      </c>
      <c r="C5019" t="str">
        <f>IFERROR(VLOOKUP(ILACLISTE[[#This Row],[NAME]],Table5[#All],2,0),"")</f>
        <v/>
      </c>
    </row>
    <row r="5020" spans="1:3" x14ac:dyDescent="0.3">
      <c r="A5020" s="5" t="s">
        <v>5659</v>
      </c>
      <c r="B5020" t="s">
        <v>11101</v>
      </c>
      <c r="C5020" t="str">
        <f>IFERROR(VLOOKUP(ILACLISTE[[#This Row],[NAME]],Table5[#All],2,0),"")</f>
        <v/>
      </c>
    </row>
    <row r="5021" spans="1:3" x14ac:dyDescent="0.3">
      <c r="A5021" s="5" t="s">
        <v>5660</v>
      </c>
      <c r="B5021" t="s">
        <v>11102</v>
      </c>
      <c r="C5021" t="str">
        <f>IFERROR(VLOOKUP(ILACLISTE[[#This Row],[NAME]],Table5[#All],2,0),"")</f>
        <v/>
      </c>
    </row>
    <row r="5022" spans="1:3" x14ac:dyDescent="0.3">
      <c r="A5022" s="5" t="s">
        <v>11103</v>
      </c>
      <c r="B5022" t="s">
        <v>11104</v>
      </c>
      <c r="C5022" t="str">
        <f>IFERROR(VLOOKUP(ILACLISTE[[#This Row],[NAME]],Table5[#All],2,0),"")</f>
        <v/>
      </c>
    </row>
    <row r="5023" spans="1:3" x14ac:dyDescent="0.3">
      <c r="A5023" s="5" t="s">
        <v>5661</v>
      </c>
      <c r="B5023" t="s">
        <v>11105</v>
      </c>
      <c r="C5023" t="str">
        <f>IFERROR(VLOOKUP(ILACLISTE[[#This Row],[NAME]],Table5[#All],2,0),"")</f>
        <v/>
      </c>
    </row>
    <row r="5024" spans="1:3" x14ac:dyDescent="0.3">
      <c r="A5024" s="5" t="s">
        <v>5662</v>
      </c>
      <c r="B5024" t="s">
        <v>11106</v>
      </c>
      <c r="C5024" t="str">
        <f>IFERROR(VLOOKUP(ILACLISTE[[#This Row],[NAME]],Table5[#All],2,0),"")</f>
        <v/>
      </c>
    </row>
    <row r="5025" spans="1:3" x14ac:dyDescent="0.3">
      <c r="A5025" s="5" t="s">
        <v>5663</v>
      </c>
      <c r="B5025" t="s">
        <v>11107</v>
      </c>
      <c r="C5025" t="str">
        <f>IFERROR(VLOOKUP(ILACLISTE[[#This Row],[NAME]],Table5[#All],2,0),"")</f>
        <v/>
      </c>
    </row>
    <row r="5026" spans="1:3" x14ac:dyDescent="0.3">
      <c r="A5026" s="5" t="s">
        <v>5664</v>
      </c>
      <c r="B5026" t="s">
        <v>11108</v>
      </c>
      <c r="C5026" t="str">
        <f>IFERROR(VLOOKUP(ILACLISTE[[#This Row],[NAME]],Table5[#All],2,0),"")</f>
        <v/>
      </c>
    </row>
    <row r="5027" spans="1:3" x14ac:dyDescent="0.3">
      <c r="A5027" s="5" t="s">
        <v>5665</v>
      </c>
      <c r="B5027" t="s">
        <v>11109</v>
      </c>
      <c r="C5027" t="str">
        <f>IFERROR(VLOOKUP(ILACLISTE[[#This Row],[NAME]],Table5[#All],2,0),"")</f>
        <v/>
      </c>
    </row>
    <row r="5028" spans="1:3" x14ac:dyDescent="0.3">
      <c r="A5028" s="5" t="s">
        <v>5666</v>
      </c>
      <c r="B5028" t="s">
        <v>11110</v>
      </c>
      <c r="C5028" t="str">
        <f>IFERROR(VLOOKUP(ILACLISTE[[#This Row],[NAME]],Table5[#All],2,0),"")</f>
        <v/>
      </c>
    </row>
    <row r="5029" spans="1:3" x14ac:dyDescent="0.3">
      <c r="A5029" s="5" t="s">
        <v>5667</v>
      </c>
      <c r="B5029" t="s">
        <v>11111</v>
      </c>
      <c r="C5029" t="str">
        <f>IFERROR(VLOOKUP(ILACLISTE[[#This Row],[NAME]],Table5[#All],2,0),"")</f>
        <v/>
      </c>
    </row>
    <row r="5030" spans="1:3" x14ac:dyDescent="0.3">
      <c r="A5030" s="5" t="s">
        <v>5668</v>
      </c>
      <c r="B5030" t="s">
        <v>11112</v>
      </c>
      <c r="C5030" t="str">
        <f>IFERROR(VLOOKUP(ILACLISTE[[#This Row],[NAME]],Table5[#All],2,0),"")</f>
        <v/>
      </c>
    </row>
    <row r="5031" spans="1:3" x14ac:dyDescent="0.3">
      <c r="A5031" s="5" t="s">
        <v>11113</v>
      </c>
      <c r="B5031" t="s">
        <v>11114</v>
      </c>
      <c r="C5031" t="str">
        <f>IFERROR(VLOOKUP(ILACLISTE[[#This Row],[NAME]],Table5[#All],2,0),"")</f>
        <v/>
      </c>
    </row>
    <row r="5032" spans="1:3" x14ac:dyDescent="0.3">
      <c r="A5032" s="5" t="s">
        <v>5669</v>
      </c>
      <c r="B5032" t="s">
        <v>11115</v>
      </c>
      <c r="C5032" t="str">
        <f>IFERROR(VLOOKUP(ILACLISTE[[#This Row],[NAME]],Table5[#All],2,0),"")</f>
        <v/>
      </c>
    </row>
    <row r="5033" spans="1:3" x14ac:dyDescent="0.3">
      <c r="A5033" s="5" t="s">
        <v>5670</v>
      </c>
      <c r="B5033" t="s">
        <v>11116</v>
      </c>
      <c r="C5033" t="str">
        <f>IFERROR(VLOOKUP(ILACLISTE[[#This Row],[NAME]],Table5[#All],2,0),"")</f>
        <v/>
      </c>
    </row>
    <row r="5034" spans="1:3" x14ac:dyDescent="0.3">
      <c r="A5034" s="5" t="s">
        <v>5671</v>
      </c>
      <c r="B5034" t="s">
        <v>11117</v>
      </c>
      <c r="C5034" t="str">
        <f>IFERROR(VLOOKUP(ILACLISTE[[#This Row],[NAME]],Table5[#All],2,0),"")</f>
        <v/>
      </c>
    </row>
    <row r="5035" spans="1:3" x14ac:dyDescent="0.3">
      <c r="A5035" s="5" t="s">
        <v>5672</v>
      </c>
      <c r="B5035" t="s">
        <v>11118</v>
      </c>
      <c r="C5035" t="str">
        <f>IFERROR(VLOOKUP(ILACLISTE[[#This Row],[NAME]],Table5[#All],2,0),"")</f>
        <v/>
      </c>
    </row>
    <row r="5036" spans="1:3" x14ac:dyDescent="0.3">
      <c r="A5036" s="5" t="s">
        <v>5673</v>
      </c>
      <c r="B5036" t="s">
        <v>11119</v>
      </c>
      <c r="C5036" t="str">
        <f>IFERROR(VLOOKUP(ILACLISTE[[#This Row],[NAME]],Table5[#All],2,0),"")</f>
        <v/>
      </c>
    </row>
    <row r="5037" spans="1:3" x14ac:dyDescent="0.3">
      <c r="A5037" s="5" t="s">
        <v>5674</v>
      </c>
      <c r="B5037" t="s">
        <v>11120</v>
      </c>
      <c r="C5037" t="str">
        <f>IFERROR(VLOOKUP(ILACLISTE[[#This Row],[NAME]],Table5[#All],2,0),"")</f>
        <v/>
      </c>
    </row>
    <row r="5038" spans="1:3" x14ac:dyDescent="0.3">
      <c r="A5038" s="5" t="s">
        <v>5675</v>
      </c>
      <c r="B5038" t="s">
        <v>11121</v>
      </c>
      <c r="C5038" t="str">
        <f>IFERROR(VLOOKUP(ILACLISTE[[#This Row],[NAME]],Table5[#All],2,0),"")</f>
        <v/>
      </c>
    </row>
    <row r="5039" spans="1:3" x14ac:dyDescent="0.3">
      <c r="A5039" s="5" t="s">
        <v>5676</v>
      </c>
      <c r="B5039" t="s">
        <v>11122</v>
      </c>
      <c r="C5039" t="str">
        <f>IFERROR(VLOOKUP(ILACLISTE[[#This Row],[NAME]],Table5[#All],2,0),"")</f>
        <v/>
      </c>
    </row>
    <row r="5040" spans="1:3" x14ac:dyDescent="0.3">
      <c r="A5040" s="5" t="s">
        <v>5677</v>
      </c>
      <c r="B5040" t="s">
        <v>11123</v>
      </c>
      <c r="C5040" t="str">
        <f>IFERROR(VLOOKUP(ILACLISTE[[#This Row],[NAME]],Table5[#All],2,0),"")</f>
        <v/>
      </c>
    </row>
    <row r="5041" spans="1:3" x14ac:dyDescent="0.3">
      <c r="A5041" s="5" t="s">
        <v>5678</v>
      </c>
      <c r="B5041" t="s">
        <v>11124</v>
      </c>
      <c r="C5041" t="str">
        <f>IFERROR(VLOOKUP(ILACLISTE[[#This Row],[NAME]],Table5[#All],2,0),"")</f>
        <v/>
      </c>
    </row>
    <row r="5042" spans="1:3" x14ac:dyDescent="0.3">
      <c r="A5042" s="5" t="s">
        <v>5679</v>
      </c>
      <c r="B5042" t="s">
        <v>11125</v>
      </c>
      <c r="C5042" t="str">
        <f>IFERROR(VLOOKUP(ILACLISTE[[#This Row],[NAME]],Table5[#All],2,0),"")</f>
        <v/>
      </c>
    </row>
    <row r="5043" spans="1:3" x14ac:dyDescent="0.3">
      <c r="A5043" s="5" t="s">
        <v>5680</v>
      </c>
      <c r="B5043" t="s">
        <v>11126</v>
      </c>
      <c r="C5043" t="str">
        <f>IFERROR(VLOOKUP(ILACLISTE[[#This Row],[NAME]],Table5[#All],2,0),"")</f>
        <v/>
      </c>
    </row>
    <row r="5044" spans="1:3" x14ac:dyDescent="0.3">
      <c r="A5044" s="5" t="s">
        <v>5681</v>
      </c>
      <c r="B5044" t="s">
        <v>11127</v>
      </c>
      <c r="C5044" t="str">
        <f>IFERROR(VLOOKUP(ILACLISTE[[#This Row],[NAME]],Table5[#All],2,0),"")</f>
        <v/>
      </c>
    </row>
    <row r="5045" spans="1:3" x14ac:dyDescent="0.3">
      <c r="A5045" s="5" t="s">
        <v>5682</v>
      </c>
      <c r="B5045" t="s">
        <v>11128</v>
      </c>
      <c r="C5045" t="str">
        <f>IFERROR(VLOOKUP(ILACLISTE[[#This Row],[NAME]],Table5[#All],2,0),"")</f>
        <v/>
      </c>
    </row>
    <row r="5046" spans="1:3" x14ac:dyDescent="0.3">
      <c r="A5046" s="5" t="s">
        <v>5683</v>
      </c>
      <c r="B5046" t="s">
        <v>11129</v>
      </c>
      <c r="C5046" t="str">
        <f>IFERROR(VLOOKUP(ILACLISTE[[#This Row],[NAME]],Table5[#All],2,0),"")</f>
        <v/>
      </c>
    </row>
    <row r="5047" spans="1:3" x14ac:dyDescent="0.3">
      <c r="A5047" s="5" t="s">
        <v>5684</v>
      </c>
      <c r="B5047" t="s">
        <v>611</v>
      </c>
      <c r="C5047" t="str">
        <f>IFERROR(VLOOKUP(ILACLISTE[[#This Row],[NAME]],Table5[#All],2,0),"")</f>
        <v/>
      </c>
    </row>
    <row r="5048" spans="1:3" x14ac:dyDescent="0.3">
      <c r="A5048" s="5" t="s">
        <v>5685</v>
      </c>
      <c r="B5048" t="s">
        <v>612</v>
      </c>
      <c r="C5048" t="str">
        <f>IFERROR(VLOOKUP(ILACLISTE[[#This Row],[NAME]],Table5[#All],2,0),"")</f>
        <v/>
      </c>
    </row>
    <row r="5049" spans="1:3" x14ac:dyDescent="0.3">
      <c r="A5049" s="5" t="s">
        <v>5686</v>
      </c>
      <c r="B5049" t="s">
        <v>11130</v>
      </c>
      <c r="C5049" t="str">
        <f>IFERROR(VLOOKUP(ILACLISTE[[#This Row],[NAME]],Table5[#All],2,0),"")</f>
        <v/>
      </c>
    </row>
    <row r="5050" spans="1:3" x14ac:dyDescent="0.3">
      <c r="A5050" s="5" t="s">
        <v>5687</v>
      </c>
      <c r="B5050" t="s">
        <v>11131</v>
      </c>
      <c r="C5050" t="str">
        <f>IFERROR(VLOOKUP(ILACLISTE[[#This Row],[NAME]],Table5[#All],2,0),"")</f>
        <v/>
      </c>
    </row>
    <row r="5051" spans="1:3" x14ac:dyDescent="0.3">
      <c r="A5051" s="5" t="s">
        <v>5688</v>
      </c>
      <c r="B5051" t="s">
        <v>11132</v>
      </c>
      <c r="C5051" t="str">
        <f>IFERROR(VLOOKUP(ILACLISTE[[#This Row],[NAME]],Table5[#All],2,0),"")</f>
        <v/>
      </c>
    </row>
    <row r="5052" spans="1:3" x14ac:dyDescent="0.3">
      <c r="A5052" s="5" t="s">
        <v>5689</v>
      </c>
      <c r="B5052" t="s">
        <v>11133</v>
      </c>
      <c r="C5052" t="str">
        <f>IFERROR(VLOOKUP(ILACLISTE[[#This Row],[NAME]],Table5[#All],2,0),"")</f>
        <v/>
      </c>
    </row>
    <row r="5053" spans="1:3" x14ac:dyDescent="0.3">
      <c r="A5053" s="5" t="s">
        <v>5690</v>
      </c>
      <c r="B5053" t="s">
        <v>613</v>
      </c>
      <c r="C5053" t="str">
        <f>IFERROR(VLOOKUP(ILACLISTE[[#This Row],[NAME]],Table5[#All],2,0),"")</f>
        <v/>
      </c>
    </row>
    <row r="5054" spans="1:3" x14ac:dyDescent="0.3">
      <c r="A5054" s="5" t="s">
        <v>5691</v>
      </c>
      <c r="B5054" t="s">
        <v>614</v>
      </c>
      <c r="C5054" t="str">
        <f>IFERROR(VLOOKUP(ILACLISTE[[#This Row],[NAME]],Table5[#All],2,0),"")</f>
        <v/>
      </c>
    </row>
    <row r="5055" spans="1:3" x14ac:dyDescent="0.3">
      <c r="A5055" s="5" t="s">
        <v>5692</v>
      </c>
      <c r="B5055" t="s">
        <v>615</v>
      </c>
      <c r="C5055" t="str">
        <f>IFERROR(VLOOKUP(ILACLISTE[[#This Row],[NAME]],Table5[#All],2,0),"")</f>
        <v/>
      </c>
    </row>
    <row r="5056" spans="1:3" x14ac:dyDescent="0.3">
      <c r="A5056" s="5" t="s">
        <v>5693</v>
      </c>
      <c r="B5056" t="s">
        <v>11134</v>
      </c>
      <c r="C5056" t="str">
        <f>IFERROR(VLOOKUP(ILACLISTE[[#This Row],[NAME]],Table5[#All],2,0),"")</f>
        <v/>
      </c>
    </row>
    <row r="5057" spans="1:3" x14ac:dyDescent="0.3">
      <c r="A5057" s="5" t="s">
        <v>5694</v>
      </c>
      <c r="B5057" t="s">
        <v>11135</v>
      </c>
      <c r="C5057" t="str">
        <f>IFERROR(VLOOKUP(ILACLISTE[[#This Row],[NAME]],Table5[#All],2,0),"")</f>
        <v/>
      </c>
    </row>
    <row r="5058" spans="1:3" x14ac:dyDescent="0.3">
      <c r="A5058" s="5" t="s">
        <v>5695</v>
      </c>
      <c r="B5058" t="s">
        <v>11136</v>
      </c>
      <c r="C5058" t="str">
        <f>IFERROR(VLOOKUP(ILACLISTE[[#This Row],[NAME]],Table5[#All],2,0),"")</f>
        <v/>
      </c>
    </row>
    <row r="5059" spans="1:3" x14ac:dyDescent="0.3">
      <c r="A5059" s="5" t="s">
        <v>5696</v>
      </c>
      <c r="B5059" t="s">
        <v>11137</v>
      </c>
      <c r="C5059" t="str">
        <f>IFERROR(VLOOKUP(ILACLISTE[[#This Row],[NAME]],Table5[#All],2,0),"")</f>
        <v/>
      </c>
    </row>
    <row r="5060" spans="1:3" x14ac:dyDescent="0.3">
      <c r="A5060" s="5" t="s">
        <v>5697</v>
      </c>
      <c r="B5060" t="s">
        <v>11138</v>
      </c>
      <c r="C5060" t="str">
        <f>IFERROR(VLOOKUP(ILACLISTE[[#This Row],[NAME]],Table5[#All],2,0),"")</f>
        <v/>
      </c>
    </row>
    <row r="5061" spans="1:3" x14ac:dyDescent="0.3">
      <c r="A5061" s="5" t="s">
        <v>5698</v>
      </c>
      <c r="B5061" t="s">
        <v>11139</v>
      </c>
      <c r="C5061" t="str">
        <f>IFERROR(VLOOKUP(ILACLISTE[[#This Row],[NAME]],Table5[#All],2,0),"")</f>
        <v/>
      </c>
    </row>
    <row r="5062" spans="1:3" x14ac:dyDescent="0.3">
      <c r="A5062" s="5" t="s">
        <v>5699</v>
      </c>
      <c r="B5062" t="s">
        <v>11140</v>
      </c>
      <c r="C5062" t="str">
        <f>IFERROR(VLOOKUP(ILACLISTE[[#This Row],[NAME]],Table5[#All],2,0),"")</f>
        <v/>
      </c>
    </row>
    <row r="5063" spans="1:3" x14ac:dyDescent="0.3">
      <c r="A5063" s="5" t="s">
        <v>5700</v>
      </c>
      <c r="B5063" t="s">
        <v>11141</v>
      </c>
      <c r="C5063" t="str">
        <f>IFERROR(VLOOKUP(ILACLISTE[[#This Row],[NAME]],Table5[#All],2,0),"")</f>
        <v/>
      </c>
    </row>
    <row r="5064" spans="1:3" x14ac:dyDescent="0.3">
      <c r="A5064" s="5" t="s">
        <v>5701</v>
      </c>
      <c r="B5064" t="s">
        <v>11142</v>
      </c>
      <c r="C5064" t="str">
        <f>IFERROR(VLOOKUP(ILACLISTE[[#This Row],[NAME]],Table5[#All],2,0),"")</f>
        <v/>
      </c>
    </row>
    <row r="5065" spans="1:3" x14ac:dyDescent="0.3">
      <c r="A5065" s="5" t="s">
        <v>5702</v>
      </c>
      <c r="B5065" t="s">
        <v>11143</v>
      </c>
      <c r="C5065" t="str">
        <f>IFERROR(VLOOKUP(ILACLISTE[[#This Row],[NAME]],Table5[#All],2,0),"")</f>
        <v/>
      </c>
    </row>
    <row r="5066" spans="1:3" x14ac:dyDescent="0.3">
      <c r="A5066" s="5" t="s">
        <v>5703</v>
      </c>
      <c r="B5066" t="s">
        <v>11144</v>
      </c>
      <c r="C5066" t="str">
        <f>IFERROR(VLOOKUP(ILACLISTE[[#This Row],[NAME]],Table5[#All],2,0),"")</f>
        <v/>
      </c>
    </row>
    <row r="5067" spans="1:3" x14ac:dyDescent="0.3">
      <c r="A5067" s="5" t="s">
        <v>5704</v>
      </c>
      <c r="B5067" t="s">
        <v>11145</v>
      </c>
      <c r="C5067" t="str">
        <f>IFERROR(VLOOKUP(ILACLISTE[[#This Row],[NAME]],Table5[#All],2,0),"")</f>
        <v/>
      </c>
    </row>
    <row r="5068" spans="1:3" x14ac:dyDescent="0.3">
      <c r="A5068" s="5" t="s">
        <v>5705</v>
      </c>
      <c r="B5068" t="s">
        <v>11146</v>
      </c>
      <c r="C5068" t="str">
        <f>IFERROR(VLOOKUP(ILACLISTE[[#This Row],[NAME]],Table5[#All],2,0),"")</f>
        <v/>
      </c>
    </row>
    <row r="5069" spans="1:3" x14ac:dyDescent="0.3">
      <c r="A5069" s="5" t="s">
        <v>5706</v>
      </c>
      <c r="B5069" t="s">
        <v>11147</v>
      </c>
      <c r="C5069" t="str">
        <f>IFERROR(VLOOKUP(ILACLISTE[[#This Row],[NAME]],Table5[#All],2,0),"")</f>
        <v/>
      </c>
    </row>
    <row r="5070" spans="1:3" x14ac:dyDescent="0.3">
      <c r="A5070" s="5" t="s">
        <v>5707</v>
      </c>
      <c r="B5070" t="s">
        <v>616</v>
      </c>
      <c r="C5070" t="str">
        <f>IFERROR(VLOOKUP(ILACLISTE[[#This Row],[NAME]],Table5[#All],2,0),"")</f>
        <v/>
      </c>
    </row>
    <row r="5071" spans="1:3" x14ac:dyDescent="0.3">
      <c r="A5071" s="5" t="s">
        <v>5708</v>
      </c>
      <c r="B5071" t="s">
        <v>11148</v>
      </c>
      <c r="C5071" t="str">
        <f>IFERROR(VLOOKUP(ILACLISTE[[#This Row],[NAME]],Table5[#All],2,0),"")</f>
        <v/>
      </c>
    </row>
    <row r="5072" spans="1:3" x14ac:dyDescent="0.3">
      <c r="A5072" s="5" t="s">
        <v>5709</v>
      </c>
      <c r="B5072" t="s">
        <v>11149</v>
      </c>
      <c r="C5072" t="str">
        <f>IFERROR(VLOOKUP(ILACLISTE[[#This Row],[NAME]],Table5[#All],2,0),"")</f>
        <v/>
      </c>
    </row>
    <row r="5073" spans="1:3" x14ac:dyDescent="0.3">
      <c r="A5073" s="5" t="s">
        <v>5710</v>
      </c>
      <c r="B5073" t="s">
        <v>11150</v>
      </c>
      <c r="C5073" t="str">
        <f>IFERROR(VLOOKUP(ILACLISTE[[#This Row],[NAME]],Table5[#All],2,0),"")</f>
        <v/>
      </c>
    </row>
    <row r="5074" spans="1:3" x14ac:dyDescent="0.3">
      <c r="A5074" s="5" t="s">
        <v>5711</v>
      </c>
      <c r="B5074" t="s">
        <v>11151</v>
      </c>
      <c r="C5074" t="str">
        <f>IFERROR(VLOOKUP(ILACLISTE[[#This Row],[NAME]],Table5[#All],2,0),"")</f>
        <v/>
      </c>
    </row>
    <row r="5075" spans="1:3" x14ac:dyDescent="0.3">
      <c r="A5075" s="5" t="s">
        <v>5712</v>
      </c>
      <c r="B5075" t="s">
        <v>11152</v>
      </c>
      <c r="C5075" t="str">
        <f>IFERROR(VLOOKUP(ILACLISTE[[#This Row],[NAME]],Table5[#All],2,0),"")</f>
        <v/>
      </c>
    </row>
    <row r="5076" spans="1:3" x14ac:dyDescent="0.3">
      <c r="A5076" s="5" t="s">
        <v>5713</v>
      </c>
      <c r="B5076" t="s">
        <v>11153</v>
      </c>
      <c r="C5076" t="str">
        <f>IFERROR(VLOOKUP(ILACLISTE[[#This Row],[NAME]],Table5[#All],2,0),"")</f>
        <v/>
      </c>
    </row>
    <row r="5077" spans="1:3" x14ac:dyDescent="0.3">
      <c r="A5077" s="5" t="s">
        <v>5714</v>
      </c>
      <c r="B5077" t="s">
        <v>11154</v>
      </c>
      <c r="C5077" t="str">
        <f>IFERROR(VLOOKUP(ILACLISTE[[#This Row],[NAME]],Table5[#All],2,0),"")</f>
        <v/>
      </c>
    </row>
    <row r="5078" spans="1:3" x14ac:dyDescent="0.3">
      <c r="A5078" s="5" t="s">
        <v>5715</v>
      </c>
      <c r="B5078" t="s">
        <v>617</v>
      </c>
      <c r="C5078" t="str">
        <f>IFERROR(VLOOKUP(ILACLISTE[[#This Row],[NAME]],Table5[#All],2,0),"")</f>
        <v/>
      </c>
    </row>
    <row r="5079" spans="1:3" x14ac:dyDescent="0.3">
      <c r="A5079" s="5" t="s">
        <v>5716</v>
      </c>
      <c r="B5079" t="s">
        <v>11155</v>
      </c>
      <c r="C5079" t="str">
        <f>IFERROR(VLOOKUP(ILACLISTE[[#This Row],[NAME]],Table5[#All],2,0),"")</f>
        <v/>
      </c>
    </row>
    <row r="5080" spans="1:3" x14ac:dyDescent="0.3">
      <c r="A5080" s="5" t="s">
        <v>5717</v>
      </c>
      <c r="B5080" t="s">
        <v>11156</v>
      </c>
      <c r="C5080" t="str">
        <f>IFERROR(VLOOKUP(ILACLISTE[[#This Row],[NAME]],Table5[#All],2,0),"")</f>
        <v/>
      </c>
    </row>
    <row r="5081" spans="1:3" x14ac:dyDescent="0.3">
      <c r="A5081" s="5" t="s">
        <v>5718</v>
      </c>
      <c r="B5081" t="s">
        <v>11157</v>
      </c>
      <c r="C5081" t="str">
        <f>IFERROR(VLOOKUP(ILACLISTE[[#This Row],[NAME]],Table5[#All],2,0),"")</f>
        <v/>
      </c>
    </row>
    <row r="5082" spans="1:3" x14ac:dyDescent="0.3">
      <c r="A5082" s="5" t="s">
        <v>5719</v>
      </c>
      <c r="B5082" t="s">
        <v>11158</v>
      </c>
      <c r="C5082" t="str">
        <f>IFERROR(VLOOKUP(ILACLISTE[[#This Row],[NAME]],Table5[#All],2,0),"")</f>
        <v/>
      </c>
    </row>
    <row r="5083" spans="1:3" x14ac:dyDescent="0.3">
      <c r="A5083" s="5" t="s">
        <v>5720</v>
      </c>
      <c r="B5083" t="s">
        <v>11159</v>
      </c>
      <c r="C5083" t="str">
        <f>IFERROR(VLOOKUP(ILACLISTE[[#This Row],[NAME]],Table5[#All],2,0),"")</f>
        <v/>
      </c>
    </row>
    <row r="5084" spans="1:3" x14ac:dyDescent="0.3">
      <c r="A5084" s="5" t="s">
        <v>5721</v>
      </c>
      <c r="B5084" t="s">
        <v>11160</v>
      </c>
      <c r="C5084" t="str">
        <f>IFERROR(VLOOKUP(ILACLISTE[[#This Row],[NAME]],Table5[#All],2,0),"")</f>
        <v/>
      </c>
    </row>
    <row r="5085" spans="1:3" x14ac:dyDescent="0.3">
      <c r="A5085" s="5" t="s">
        <v>5722</v>
      </c>
      <c r="B5085" t="s">
        <v>11161</v>
      </c>
      <c r="C5085" t="str">
        <f>IFERROR(VLOOKUP(ILACLISTE[[#This Row],[NAME]],Table5[#All],2,0),"")</f>
        <v/>
      </c>
    </row>
    <row r="5086" spans="1:3" x14ac:dyDescent="0.3">
      <c r="A5086" s="5" t="s">
        <v>5723</v>
      </c>
      <c r="B5086" t="s">
        <v>11162</v>
      </c>
      <c r="C5086" t="str">
        <f>IFERROR(VLOOKUP(ILACLISTE[[#This Row],[NAME]],Table5[#All],2,0),"")</f>
        <v/>
      </c>
    </row>
    <row r="5087" spans="1:3" x14ac:dyDescent="0.3">
      <c r="A5087" s="5" t="s">
        <v>5724</v>
      </c>
      <c r="B5087" t="s">
        <v>11163</v>
      </c>
      <c r="C5087" t="str">
        <f>IFERROR(VLOOKUP(ILACLISTE[[#This Row],[NAME]],Table5[#All],2,0),"")</f>
        <v/>
      </c>
    </row>
    <row r="5088" spans="1:3" x14ac:dyDescent="0.3">
      <c r="A5088" s="5" t="s">
        <v>5725</v>
      </c>
      <c r="B5088" t="s">
        <v>11164</v>
      </c>
      <c r="C5088" t="str">
        <f>IFERROR(VLOOKUP(ILACLISTE[[#This Row],[NAME]],Table5[#All],2,0),"")</f>
        <v/>
      </c>
    </row>
    <row r="5089" spans="1:3" x14ac:dyDescent="0.3">
      <c r="A5089" s="5" t="s">
        <v>5726</v>
      </c>
      <c r="B5089" t="s">
        <v>11165</v>
      </c>
      <c r="C5089" t="str">
        <f>IFERROR(VLOOKUP(ILACLISTE[[#This Row],[NAME]],Table5[#All],2,0),"")</f>
        <v/>
      </c>
    </row>
    <row r="5090" spans="1:3" x14ac:dyDescent="0.3">
      <c r="A5090" s="5" t="s">
        <v>5727</v>
      </c>
      <c r="B5090" t="s">
        <v>11166</v>
      </c>
      <c r="C5090" t="str">
        <f>IFERROR(VLOOKUP(ILACLISTE[[#This Row],[NAME]],Table5[#All],2,0),"")</f>
        <v/>
      </c>
    </row>
    <row r="5091" spans="1:3" x14ac:dyDescent="0.3">
      <c r="A5091" s="5" t="s">
        <v>5728</v>
      </c>
      <c r="B5091" t="s">
        <v>11167</v>
      </c>
      <c r="C5091" t="str">
        <f>IFERROR(VLOOKUP(ILACLISTE[[#This Row],[NAME]],Table5[#All],2,0),"")</f>
        <v/>
      </c>
    </row>
    <row r="5092" spans="1:3" x14ac:dyDescent="0.3">
      <c r="A5092" s="5" t="s">
        <v>5729</v>
      </c>
      <c r="B5092" t="s">
        <v>11168</v>
      </c>
      <c r="C5092" t="str">
        <f>IFERROR(VLOOKUP(ILACLISTE[[#This Row],[NAME]],Table5[#All],2,0),"")</f>
        <v/>
      </c>
    </row>
    <row r="5093" spans="1:3" x14ac:dyDescent="0.3">
      <c r="A5093" s="5" t="s">
        <v>5730</v>
      </c>
      <c r="B5093" t="s">
        <v>11169</v>
      </c>
      <c r="C5093" t="str">
        <f>IFERROR(VLOOKUP(ILACLISTE[[#This Row],[NAME]],Table5[#All],2,0),"")</f>
        <v/>
      </c>
    </row>
    <row r="5094" spans="1:3" x14ac:dyDescent="0.3">
      <c r="A5094" s="5" t="s">
        <v>5731</v>
      </c>
      <c r="B5094" t="s">
        <v>11170</v>
      </c>
      <c r="C5094" t="str">
        <f>IFERROR(VLOOKUP(ILACLISTE[[#This Row],[NAME]],Table5[#All],2,0),"")</f>
        <v/>
      </c>
    </row>
    <row r="5095" spans="1:3" x14ac:dyDescent="0.3">
      <c r="A5095" s="5" t="s">
        <v>5732</v>
      </c>
      <c r="B5095" t="s">
        <v>11171</v>
      </c>
      <c r="C5095" t="str">
        <f>IFERROR(VLOOKUP(ILACLISTE[[#This Row],[NAME]],Table5[#All],2,0),"")</f>
        <v/>
      </c>
    </row>
    <row r="5096" spans="1:3" x14ac:dyDescent="0.3">
      <c r="A5096" s="5" t="s">
        <v>5733</v>
      </c>
      <c r="B5096" t="s">
        <v>11172</v>
      </c>
      <c r="C5096" t="str">
        <f>IFERROR(VLOOKUP(ILACLISTE[[#This Row],[NAME]],Table5[#All],2,0),"")</f>
        <v/>
      </c>
    </row>
    <row r="5097" spans="1:3" x14ac:dyDescent="0.3">
      <c r="A5097" s="5" t="s">
        <v>5734</v>
      </c>
      <c r="B5097" t="s">
        <v>11173</v>
      </c>
      <c r="C5097" t="str">
        <f>IFERROR(VLOOKUP(ILACLISTE[[#This Row],[NAME]],Table5[#All],2,0),"")</f>
        <v/>
      </c>
    </row>
    <row r="5098" spans="1:3" x14ac:dyDescent="0.3">
      <c r="A5098" s="5" t="s">
        <v>5735</v>
      </c>
      <c r="B5098" t="s">
        <v>11174</v>
      </c>
      <c r="C5098" t="str">
        <f>IFERROR(VLOOKUP(ILACLISTE[[#This Row],[NAME]],Table5[#All],2,0),"")</f>
        <v/>
      </c>
    </row>
    <row r="5099" spans="1:3" x14ac:dyDescent="0.3">
      <c r="A5099" s="5" t="s">
        <v>5736</v>
      </c>
      <c r="B5099" t="s">
        <v>11175</v>
      </c>
      <c r="C5099" t="str">
        <f>IFERROR(VLOOKUP(ILACLISTE[[#This Row],[NAME]],Table5[#All],2,0),"")</f>
        <v/>
      </c>
    </row>
    <row r="5100" spans="1:3" x14ac:dyDescent="0.3">
      <c r="A5100" s="5" t="s">
        <v>5737</v>
      </c>
      <c r="B5100" t="s">
        <v>11176</v>
      </c>
      <c r="C5100" t="str">
        <f>IFERROR(VLOOKUP(ILACLISTE[[#This Row],[NAME]],Table5[#All],2,0),"")</f>
        <v/>
      </c>
    </row>
    <row r="5101" spans="1:3" x14ac:dyDescent="0.3">
      <c r="A5101" s="5" t="s">
        <v>5738</v>
      </c>
      <c r="B5101" t="s">
        <v>11177</v>
      </c>
      <c r="C5101" t="str">
        <f>IFERROR(VLOOKUP(ILACLISTE[[#This Row],[NAME]],Table5[#All],2,0),"")</f>
        <v/>
      </c>
    </row>
    <row r="5102" spans="1:3" x14ac:dyDescent="0.3">
      <c r="A5102" s="5" t="s">
        <v>5739</v>
      </c>
      <c r="B5102" t="s">
        <v>11178</v>
      </c>
      <c r="C5102" t="str">
        <f>IFERROR(VLOOKUP(ILACLISTE[[#This Row],[NAME]],Table5[#All],2,0),"")</f>
        <v/>
      </c>
    </row>
    <row r="5103" spans="1:3" x14ac:dyDescent="0.3">
      <c r="A5103" s="5" t="s">
        <v>5740</v>
      </c>
      <c r="B5103" t="s">
        <v>11179</v>
      </c>
      <c r="C5103" t="str">
        <f>IFERROR(VLOOKUP(ILACLISTE[[#This Row],[NAME]],Table5[#All],2,0),"")</f>
        <v/>
      </c>
    </row>
    <row r="5104" spans="1:3" x14ac:dyDescent="0.3">
      <c r="A5104" s="5" t="s">
        <v>5741</v>
      </c>
      <c r="B5104" t="s">
        <v>11180</v>
      </c>
      <c r="C5104" t="str">
        <f>IFERROR(VLOOKUP(ILACLISTE[[#This Row],[NAME]],Table5[#All],2,0),"")</f>
        <v/>
      </c>
    </row>
    <row r="5105" spans="1:3" x14ac:dyDescent="0.3">
      <c r="A5105" s="5" t="s">
        <v>5742</v>
      </c>
      <c r="B5105" t="s">
        <v>618</v>
      </c>
      <c r="C5105" t="str">
        <f>IFERROR(VLOOKUP(ILACLISTE[[#This Row],[NAME]],Table5[#All],2,0),"")</f>
        <v/>
      </c>
    </row>
    <row r="5106" spans="1:3" x14ac:dyDescent="0.3">
      <c r="A5106" s="5" t="s">
        <v>5743</v>
      </c>
      <c r="B5106" t="s">
        <v>11181</v>
      </c>
      <c r="C5106" t="str">
        <f>IFERROR(VLOOKUP(ILACLISTE[[#This Row],[NAME]],Table5[#All],2,0),"")</f>
        <v/>
      </c>
    </row>
    <row r="5107" spans="1:3" x14ac:dyDescent="0.3">
      <c r="A5107" s="5" t="s">
        <v>5744</v>
      </c>
      <c r="B5107" t="s">
        <v>11182</v>
      </c>
      <c r="C5107" t="str">
        <f>IFERROR(VLOOKUP(ILACLISTE[[#This Row],[NAME]],Table5[#All],2,0),"")</f>
        <v/>
      </c>
    </row>
    <row r="5108" spans="1:3" x14ac:dyDescent="0.3">
      <c r="A5108" s="5" t="s">
        <v>5745</v>
      </c>
      <c r="B5108" t="s">
        <v>11183</v>
      </c>
      <c r="C5108" t="str">
        <f>IFERROR(VLOOKUP(ILACLISTE[[#This Row],[NAME]],Table5[#All],2,0),"")</f>
        <v/>
      </c>
    </row>
    <row r="5109" spans="1:3" x14ac:dyDescent="0.3">
      <c r="A5109" s="5" t="s">
        <v>5746</v>
      </c>
      <c r="B5109" t="s">
        <v>11184</v>
      </c>
      <c r="C5109" t="str">
        <f>IFERROR(VLOOKUP(ILACLISTE[[#This Row],[NAME]],Table5[#All],2,0),"")</f>
        <v/>
      </c>
    </row>
    <row r="5110" spans="1:3" x14ac:dyDescent="0.3">
      <c r="A5110" s="5" t="s">
        <v>5747</v>
      </c>
      <c r="B5110" t="s">
        <v>11185</v>
      </c>
      <c r="C5110" t="str">
        <f>IFERROR(VLOOKUP(ILACLISTE[[#This Row],[NAME]],Table5[#All],2,0),"")</f>
        <v/>
      </c>
    </row>
    <row r="5111" spans="1:3" x14ac:dyDescent="0.3">
      <c r="A5111" s="5" t="s">
        <v>5748</v>
      </c>
      <c r="B5111" t="s">
        <v>11186</v>
      </c>
      <c r="C5111" t="str">
        <f>IFERROR(VLOOKUP(ILACLISTE[[#This Row],[NAME]],Table5[#All],2,0),"")</f>
        <v/>
      </c>
    </row>
    <row r="5112" spans="1:3" x14ac:dyDescent="0.3">
      <c r="A5112" s="5" t="s">
        <v>5749</v>
      </c>
      <c r="B5112" t="s">
        <v>11187</v>
      </c>
      <c r="C5112" t="str">
        <f>IFERROR(VLOOKUP(ILACLISTE[[#This Row],[NAME]],Table5[#All],2,0),"")</f>
        <v/>
      </c>
    </row>
    <row r="5113" spans="1:3" x14ac:dyDescent="0.3">
      <c r="A5113" s="5" t="s">
        <v>5750</v>
      </c>
      <c r="B5113" t="s">
        <v>11188</v>
      </c>
      <c r="C5113" t="str">
        <f>IFERROR(VLOOKUP(ILACLISTE[[#This Row],[NAME]],Table5[#All],2,0),"")</f>
        <v/>
      </c>
    </row>
    <row r="5114" spans="1:3" x14ac:dyDescent="0.3">
      <c r="A5114" s="5" t="s">
        <v>5751</v>
      </c>
      <c r="B5114" t="s">
        <v>11189</v>
      </c>
      <c r="C5114" t="str">
        <f>IFERROR(VLOOKUP(ILACLISTE[[#This Row],[NAME]],Table5[#All],2,0),"")</f>
        <v/>
      </c>
    </row>
    <row r="5115" spans="1:3" x14ac:dyDescent="0.3">
      <c r="A5115" s="5" t="s">
        <v>5752</v>
      </c>
      <c r="B5115" t="s">
        <v>11190</v>
      </c>
      <c r="C5115" t="str">
        <f>IFERROR(VLOOKUP(ILACLISTE[[#This Row],[NAME]],Table5[#All],2,0),"")</f>
        <v/>
      </c>
    </row>
    <row r="5116" spans="1:3" x14ac:dyDescent="0.3">
      <c r="A5116" s="5" t="s">
        <v>5753</v>
      </c>
      <c r="B5116" t="s">
        <v>11191</v>
      </c>
      <c r="C5116" t="str">
        <f>IFERROR(VLOOKUP(ILACLISTE[[#This Row],[NAME]],Table5[#All],2,0),"")</f>
        <v/>
      </c>
    </row>
    <row r="5117" spans="1:3" x14ac:dyDescent="0.3">
      <c r="A5117" s="5" t="s">
        <v>5754</v>
      </c>
      <c r="B5117" t="s">
        <v>11192</v>
      </c>
      <c r="C5117" t="str">
        <f>IFERROR(VLOOKUP(ILACLISTE[[#This Row],[NAME]],Table5[#All],2,0),"")</f>
        <v/>
      </c>
    </row>
    <row r="5118" spans="1:3" x14ac:dyDescent="0.3">
      <c r="A5118" s="5" t="s">
        <v>5755</v>
      </c>
      <c r="B5118" t="s">
        <v>619</v>
      </c>
      <c r="C5118" t="str">
        <f>IFERROR(VLOOKUP(ILACLISTE[[#This Row],[NAME]],Table5[#All],2,0),"")</f>
        <v/>
      </c>
    </row>
    <row r="5119" spans="1:3" x14ac:dyDescent="0.3">
      <c r="A5119" s="5" t="s">
        <v>5756</v>
      </c>
      <c r="B5119" t="s">
        <v>11193</v>
      </c>
      <c r="C5119" t="str">
        <f>IFERROR(VLOOKUP(ILACLISTE[[#This Row],[NAME]],Table5[#All],2,0),"")</f>
        <v/>
      </c>
    </row>
    <row r="5120" spans="1:3" x14ac:dyDescent="0.3">
      <c r="A5120" s="5" t="s">
        <v>5757</v>
      </c>
      <c r="B5120" t="s">
        <v>11194</v>
      </c>
      <c r="C5120" t="str">
        <f>IFERROR(VLOOKUP(ILACLISTE[[#This Row],[NAME]],Table5[#All],2,0),"")</f>
        <v/>
      </c>
    </row>
    <row r="5121" spans="1:3" x14ac:dyDescent="0.3">
      <c r="A5121" s="5" t="s">
        <v>5758</v>
      </c>
      <c r="B5121" t="s">
        <v>620</v>
      </c>
      <c r="C5121" t="str">
        <f>IFERROR(VLOOKUP(ILACLISTE[[#This Row],[NAME]],Table5[#All],2,0),"")</f>
        <v/>
      </c>
    </row>
    <row r="5122" spans="1:3" x14ac:dyDescent="0.3">
      <c r="A5122" s="5" t="s">
        <v>5759</v>
      </c>
      <c r="B5122" t="s">
        <v>11195</v>
      </c>
      <c r="C5122" t="str">
        <f>IFERROR(VLOOKUP(ILACLISTE[[#This Row],[NAME]],Table5[#All],2,0),"")</f>
        <v/>
      </c>
    </row>
    <row r="5123" spans="1:3" x14ac:dyDescent="0.3">
      <c r="A5123" s="5" t="s">
        <v>5760</v>
      </c>
      <c r="B5123" t="s">
        <v>11196</v>
      </c>
      <c r="C5123" t="str">
        <f>IFERROR(VLOOKUP(ILACLISTE[[#This Row],[NAME]],Table5[#All],2,0),"")</f>
        <v/>
      </c>
    </row>
    <row r="5124" spans="1:3" x14ac:dyDescent="0.3">
      <c r="A5124" s="5" t="s">
        <v>5761</v>
      </c>
      <c r="B5124" t="s">
        <v>621</v>
      </c>
      <c r="C5124" t="str">
        <f>IFERROR(VLOOKUP(ILACLISTE[[#This Row],[NAME]],Table5[#All],2,0),"")</f>
        <v/>
      </c>
    </row>
    <row r="5125" spans="1:3" x14ac:dyDescent="0.3">
      <c r="A5125" s="5" t="s">
        <v>5762</v>
      </c>
      <c r="B5125" t="s">
        <v>11197</v>
      </c>
      <c r="C5125" t="str">
        <f>IFERROR(VLOOKUP(ILACLISTE[[#This Row],[NAME]],Table5[#All],2,0),"")</f>
        <v/>
      </c>
    </row>
    <row r="5126" spans="1:3" x14ac:dyDescent="0.3">
      <c r="A5126" s="5" t="s">
        <v>5763</v>
      </c>
      <c r="B5126" s="4" t="s">
        <v>11198</v>
      </c>
      <c r="C5126" t="str">
        <f>IFERROR(VLOOKUP(ILACLISTE[[#This Row],[NAME]],Table5[#All],2,0),"")</f>
        <v/>
      </c>
    </row>
    <row r="5127" spans="1:3" x14ac:dyDescent="0.3">
      <c r="A5127" s="5" t="s">
        <v>5764</v>
      </c>
      <c r="B5127" s="4" t="s">
        <v>11199</v>
      </c>
      <c r="C5127" t="str">
        <f>IFERROR(VLOOKUP(ILACLISTE[[#This Row],[NAME]],Table5[#All],2,0),"")</f>
        <v/>
      </c>
    </row>
    <row r="5128" spans="1:3" x14ac:dyDescent="0.3">
      <c r="A5128" s="5" t="s">
        <v>5765</v>
      </c>
      <c r="B5128" t="s">
        <v>11200</v>
      </c>
      <c r="C5128" t="str">
        <f>IFERROR(VLOOKUP(ILACLISTE[[#This Row],[NAME]],Table5[#All],2,0),"")</f>
        <v/>
      </c>
    </row>
    <row r="5129" spans="1:3" x14ac:dyDescent="0.3">
      <c r="A5129" s="5" t="s">
        <v>5766</v>
      </c>
      <c r="B5129" t="s">
        <v>11201</v>
      </c>
      <c r="C5129" t="str">
        <f>IFERROR(VLOOKUP(ILACLISTE[[#This Row],[NAME]],Table5[#All],2,0),"")</f>
        <v/>
      </c>
    </row>
    <row r="5130" spans="1:3" x14ac:dyDescent="0.3">
      <c r="A5130" s="5" t="s">
        <v>5767</v>
      </c>
      <c r="B5130" t="s">
        <v>11202</v>
      </c>
      <c r="C5130" t="str">
        <f>IFERROR(VLOOKUP(ILACLISTE[[#This Row],[NAME]],Table5[#All],2,0),"")</f>
        <v/>
      </c>
    </row>
    <row r="5131" spans="1:3" x14ac:dyDescent="0.3">
      <c r="A5131" s="5" t="s">
        <v>5768</v>
      </c>
      <c r="B5131" t="s">
        <v>11203</v>
      </c>
      <c r="C5131" t="str">
        <f>IFERROR(VLOOKUP(ILACLISTE[[#This Row],[NAME]],Table5[#All],2,0),"")</f>
        <v/>
      </c>
    </row>
    <row r="5132" spans="1:3" x14ac:dyDescent="0.3">
      <c r="A5132" s="5" t="s">
        <v>5769</v>
      </c>
      <c r="B5132" t="s">
        <v>11204</v>
      </c>
      <c r="C5132" t="str">
        <f>IFERROR(VLOOKUP(ILACLISTE[[#This Row],[NAME]],Table5[#All],2,0),"")</f>
        <v/>
      </c>
    </row>
    <row r="5133" spans="1:3" x14ac:dyDescent="0.3">
      <c r="A5133" s="5" t="s">
        <v>5770</v>
      </c>
      <c r="B5133" t="s">
        <v>11205</v>
      </c>
      <c r="C5133" t="str">
        <f>IFERROR(VLOOKUP(ILACLISTE[[#This Row],[NAME]],Table5[#All],2,0),"")</f>
        <v/>
      </c>
    </row>
    <row r="5134" spans="1:3" x14ac:dyDescent="0.3">
      <c r="A5134" s="5" t="s">
        <v>5771</v>
      </c>
      <c r="B5134" t="s">
        <v>11206</v>
      </c>
      <c r="C5134" t="str">
        <f>IFERROR(VLOOKUP(ILACLISTE[[#This Row],[NAME]],Table5[#All],2,0),"")</f>
        <v/>
      </c>
    </row>
    <row r="5135" spans="1:3" x14ac:dyDescent="0.3">
      <c r="A5135" s="5" t="s">
        <v>5772</v>
      </c>
      <c r="B5135" t="s">
        <v>11207</v>
      </c>
      <c r="C5135" t="str">
        <f>IFERROR(VLOOKUP(ILACLISTE[[#This Row],[NAME]],Table5[#All],2,0),"")</f>
        <v/>
      </c>
    </row>
    <row r="5136" spans="1:3" x14ac:dyDescent="0.3">
      <c r="A5136" s="5" t="s">
        <v>5773</v>
      </c>
      <c r="B5136" t="s">
        <v>11208</v>
      </c>
      <c r="C5136" t="str">
        <f>IFERROR(VLOOKUP(ILACLISTE[[#This Row],[NAME]],Table5[#All],2,0),"")</f>
        <v/>
      </c>
    </row>
    <row r="5137" spans="1:3" x14ac:dyDescent="0.3">
      <c r="A5137" s="5" t="s">
        <v>5774</v>
      </c>
      <c r="B5137" t="s">
        <v>622</v>
      </c>
      <c r="C5137" t="str">
        <f>IFERROR(VLOOKUP(ILACLISTE[[#This Row],[NAME]],Table5[#All],2,0),"")</f>
        <v/>
      </c>
    </row>
    <row r="5138" spans="1:3" x14ac:dyDescent="0.3">
      <c r="A5138" s="5" t="s">
        <v>5775</v>
      </c>
      <c r="B5138" t="s">
        <v>11209</v>
      </c>
      <c r="C5138" t="str">
        <f>IFERROR(VLOOKUP(ILACLISTE[[#This Row],[NAME]],Table5[#All],2,0),"")</f>
        <v/>
      </c>
    </row>
    <row r="5139" spans="1:3" x14ac:dyDescent="0.3">
      <c r="A5139" s="5" t="s">
        <v>5776</v>
      </c>
      <c r="B5139" t="s">
        <v>11210</v>
      </c>
      <c r="C5139" t="str">
        <f>IFERROR(VLOOKUP(ILACLISTE[[#This Row],[NAME]],Table5[#All],2,0),"")</f>
        <v/>
      </c>
    </row>
    <row r="5140" spans="1:3" x14ac:dyDescent="0.3">
      <c r="A5140" s="5" t="s">
        <v>5777</v>
      </c>
      <c r="B5140" t="s">
        <v>11211</v>
      </c>
      <c r="C5140" t="str">
        <f>IFERROR(VLOOKUP(ILACLISTE[[#This Row],[NAME]],Table5[#All],2,0),"")</f>
        <v/>
      </c>
    </row>
    <row r="5141" spans="1:3" x14ac:dyDescent="0.3">
      <c r="A5141" s="5" t="s">
        <v>5778</v>
      </c>
      <c r="B5141" t="s">
        <v>11212</v>
      </c>
      <c r="C5141" t="str">
        <f>IFERROR(VLOOKUP(ILACLISTE[[#This Row],[NAME]],Table5[#All],2,0),"")</f>
        <v/>
      </c>
    </row>
    <row r="5142" spans="1:3" x14ac:dyDescent="0.3">
      <c r="A5142" s="5" t="s">
        <v>5779</v>
      </c>
      <c r="B5142" t="s">
        <v>11213</v>
      </c>
      <c r="C5142" t="str">
        <f>IFERROR(VLOOKUP(ILACLISTE[[#This Row],[NAME]],Table5[#All],2,0),"")</f>
        <v/>
      </c>
    </row>
    <row r="5143" spans="1:3" x14ac:dyDescent="0.3">
      <c r="A5143" s="5" t="s">
        <v>5780</v>
      </c>
      <c r="B5143" t="s">
        <v>11214</v>
      </c>
      <c r="C5143" t="str">
        <f>IFERROR(VLOOKUP(ILACLISTE[[#This Row],[NAME]],Table5[#All],2,0),"")</f>
        <v/>
      </c>
    </row>
    <row r="5144" spans="1:3" x14ac:dyDescent="0.3">
      <c r="A5144" s="5" t="s">
        <v>5781</v>
      </c>
      <c r="B5144" t="s">
        <v>11215</v>
      </c>
      <c r="C5144" t="str">
        <f>IFERROR(VLOOKUP(ILACLISTE[[#This Row],[NAME]],Table5[#All],2,0),"")</f>
        <v/>
      </c>
    </row>
    <row r="5145" spans="1:3" x14ac:dyDescent="0.3">
      <c r="A5145" s="5" t="s">
        <v>5782</v>
      </c>
      <c r="B5145" t="s">
        <v>11216</v>
      </c>
      <c r="C5145" t="str">
        <f>IFERROR(VLOOKUP(ILACLISTE[[#This Row],[NAME]],Table5[#All],2,0),"")</f>
        <v/>
      </c>
    </row>
    <row r="5146" spans="1:3" x14ac:dyDescent="0.3">
      <c r="A5146" s="5" t="s">
        <v>5783</v>
      </c>
      <c r="B5146" t="s">
        <v>11217</v>
      </c>
      <c r="C5146" t="str">
        <f>IFERROR(VLOOKUP(ILACLISTE[[#This Row],[NAME]],Table5[#All],2,0),"")</f>
        <v/>
      </c>
    </row>
    <row r="5147" spans="1:3" x14ac:dyDescent="0.3">
      <c r="A5147" s="5" t="s">
        <v>5784</v>
      </c>
      <c r="B5147" t="s">
        <v>11218</v>
      </c>
      <c r="C5147" t="str">
        <f>IFERROR(VLOOKUP(ILACLISTE[[#This Row],[NAME]],Table5[#All],2,0),"")</f>
        <v/>
      </c>
    </row>
    <row r="5148" spans="1:3" x14ac:dyDescent="0.3">
      <c r="A5148" s="5" t="s">
        <v>5785</v>
      </c>
      <c r="B5148" t="s">
        <v>623</v>
      </c>
      <c r="C5148" t="str">
        <f>IFERROR(VLOOKUP(ILACLISTE[[#This Row],[NAME]],Table5[#All],2,0),"")</f>
        <v/>
      </c>
    </row>
    <row r="5149" spans="1:3" x14ac:dyDescent="0.3">
      <c r="A5149" s="5" t="s">
        <v>5786</v>
      </c>
      <c r="B5149" t="s">
        <v>11219</v>
      </c>
      <c r="C5149" t="str">
        <f>IFERROR(VLOOKUP(ILACLISTE[[#This Row],[NAME]],Table5[#All],2,0),"")</f>
        <v/>
      </c>
    </row>
    <row r="5150" spans="1:3" x14ac:dyDescent="0.3">
      <c r="A5150" s="5" t="s">
        <v>5787</v>
      </c>
      <c r="B5150" t="s">
        <v>11220</v>
      </c>
      <c r="C5150" t="str">
        <f>IFERROR(VLOOKUP(ILACLISTE[[#This Row],[NAME]],Table5[#All],2,0),"")</f>
        <v/>
      </c>
    </row>
    <row r="5151" spans="1:3" x14ac:dyDescent="0.3">
      <c r="A5151" s="5" t="s">
        <v>5788</v>
      </c>
      <c r="B5151" t="s">
        <v>11221</v>
      </c>
      <c r="C5151" t="str">
        <f>IFERROR(VLOOKUP(ILACLISTE[[#This Row],[NAME]],Table5[#All],2,0),"")</f>
        <v/>
      </c>
    </row>
    <row r="5152" spans="1:3" x14ac:dyDescent="0.3">
      <c r="A5152" s="5" t="s">
        <v>5789</v>
      </c>
      <c r="B5152" t="s">
        <v>11222</v>
      </c>
      <c r="C5152" t="str">
        <f>IFERROR(VLOOKUP(ILACLISTE[[#This Row],[NAME]],Table5[#All],2,0),"")</f>
        <v/>
      </c>
    </row>
    <row r="5153" spans="1:3" x14ac:dyDescent="0.3">
      <c r="A5153" s="5" t="s">
        <v>5790</v>
      </c>
      <c r="B5153" t="s">
        <v>11223</v>
      </c>
      <c r="C5153" t="str">
        <f>IFERROR(VLOOKUP(ILACLISTE[[#This Row],[NAME]],Table5[#All],2,0),"")</f>
        <v/>
      </c>
    </row>
    <row r="5154" spans="1:3" x14ac:dyDescent="0.3">
      <c r="A5154" s="5" t="s">
        <v>5791</v>
      </c>
      <c r="B5154" t="s">
        <v>11224</v>
      </c>
      <c r="C5154" t="str">
        <f>IFERROR(VLOOKUP(ILACLISTE[[#This Row],[NAME]],Table5[#All],2,0),"")</f>
        <v/>
      </c>
    </row>
    <row r="5155" spans="1:3" x14ac:dyDescent="0.3">
      <c r="A5155" s="5" t="s">
        <v>5792</v>
      </c>
      <c r="B5155" t="s">
        <v>11225</v>
      </c>
      <c r="C5155" t="str">
        <f>IFERROR(VLOOKUP(ILACLISTE[[#This Row],[NAME]],Table5[#All],2,0),"")</f>
        <v/>
      </c>
    </row>
    <row r="5156" spans="1:3" x14ac:dyDescent="0.3">
      <c r="A5156" s="5" t="s">
        <v>5793</v>
      </c>
      <c r="B5156" t="s">
        <v>11226</v>
      </c>
      <c r="C5156" t="str">
        <f>IFERROR(VLOOKUP(ILACLISTE[[#This Row],[NAME]],Table5[#All],2,0),"")</f>
        <v/>
      </c>
    </row>
    <row r="5157" spans="1:3" x14ac:dyDescent="0.3">
      <c r="A5157" s="5" t="s">
        <v>5794</v>
      </c>
      <c r="B5157" t="s">
        <v>11227</v>
      </c>
      <c r="C5157" t="str">
        <f>IFERROR(VLOOKUP(ILACLISTE[[#This Row],[NAME]],Table5[#All],2,0),"")</f>
        <v/>
      </c>
    </row>
    <row r="5158" spans="1:3" x14ac:dyDescent="0.3">
      <c r="A5158" s="5" t="s">
        <v>5795</v>
      </c>
      <c r="B5158" t="s">
        <v>11228</v>
      </c>
      <c r="C5158" t="str">
        <f>IFERROR(VLOOKUP(ILACLISTE[[#This Row],[NAME]],Table5[#All],2,0),"")</f>
        <v/>
      </c>
    </row>
    <row r="5159" spans="1:3" x14ac:dyDescent="0.3">
      <c r="A5159" s="5" t="s">
        <v>5796</v>
      </c>
      <c r="B5159" t="s">
        <v>11229</v>
      </c>
      <c r="C5159" t="str">
        <f>IFERROR(VLOOKUP(ILACLISTE[[#This Row],[NAME]],Table5[#All],2,0),"")</f>
        <v/>
      </c>
    </row>
    <row r="5160" spans="1:3" x14ac:dyDescent="0.3">
      <c r="A5160" s="5" t="s">
        <v>5797</v>
      </c>
      <c r="B5160" t="s">
        <v>11230</v>
      </c>
      <c r="C5160" t="str">
        <f>IFERROR(VLOOKUP(ILACLISTE[[#This Row],[NAME]],Table5[#All],2,0),"")</f>
        <v/>
      </c>
    </row>
    <row r="5161" spans="1:3" x14ac:dyDescent="0.3">
      <c r="A5161" s="5" t="s">
        <v>5798</v>
      </c>
      <c r="B5161" t="s">
        <v>11231</v>
      </c>
      <c r="C5161" t="str">
        <f>IFERROR(VLOOKUP(ILACLISTE[[#This Row],[NAME]],Table5[#All],2,0),"")</f>
        <v/>
      </c>
    </row>
    <row r="5162" spans="1:3" x14ac:dyDescent="0.3">
      <c r="A5162" s="5" t="s">
        <v>5799</v>
      </c>
      <c r="B5162" t="s">
        <v>11232</v>
      </c>
      <c r="C5162" t="str">
        <f>IFERROR(VLOOKUP(ILACLISTE[[#This Row],[NAME]],Table5[#All],2,0),"")</f>
        <v/>
      </c>
    </row>
    <row r="5163" spans="1:3" x14ac:dyDescent="0.3">
      <c r="A5163" s="5" t="s">
        <v>5800</v>
      </c>
      <c r="B5163" t="s">
        <v>11233</v>
      </c>
      <c r="C5163" t="str">
        <f>IFERROR(VLOOKUP(ILACLISTE[[#This Row],[NAME]],Table5[#All],2,0),"")</f>
        <v/>
      </c>
    </row>
    <row r="5164" spans="1:3" x14ac:dyDescent="0.3">
      <c r="A5164" s="5" t="s">
        <v>5801</v>
      </c>
      <c r="B5164" t="s">
        <v>11234</v>
      </c>
      <c r="C5164" t="str">
        <f>IFERROR(VLOOKUP(ILACLISTE[[#This Row],[NAME]],Table5[#All],2,0),"")</f>
        <v/>
      </c>
    </row>
    <row r="5165" spans="1:3" x14ac:dyDescent="0.3">
      <c r="A5165" s="5" t="s">
        <v>5802</v>
      </c>
      <c r="B5165" t="s">
        <v>11235</v>
      </c>
      <c r="C5165" t="str">
        <f>IFERROR(VLOOKUP(ILACLISTE[[#This Row],[NAME]],Table5[#All],2,0),"")</f>
        <v/>
      </c>
    </row>
    <row r="5166" spans="1:3" x14ac:dyDescent="0.3">
      <c r="A5166" s="5" t="s">
        <v>5803</v>
      </c>
      <c r="B5166" t="s">
        <v>11236</v>
      </c>
      <c r="C5166" t="str">
        <f>IFERROR(VLOOKUP(ILACLISTE[[#This Row],[NAME]],Table5[#All],2,0),"")</f>
        <v/>
      </c>
    </row>
    <row r="5167" spans="1:3" x14ac:dyDescent="0.3">
      <c r="A5167" s="5" t="s">
        <v>5804</v>
      </c>
      <c r="B5167" t="s">
        <v>11237</v>
      </c>
      <c r="C5167" t="str">
        <f>IFERROR(VLOOKUP(ILACLISTE[[#This Row],[NAME]],Table5[#All],2,0),"")</f>
        <v/>
      </c>
    </row>
    <row r="5168" spans="1:3" x14ac:dyDescent="0.3">
      <c r="A5168" s="5" t="s">
        <v>5805</v>
      </c>
      <c r="B5168" t="s">
        <v>11238</v>
      </c>
      <c r="C5168" t="str">
        <f>IFERROR(VLOOKUP(ILACLISTE[[#This Row],[NAME]],Table5[#All],2,0),"")</f>
        <v/>
      </c>
    </row>
    <row r="5169" spans="1:3" x14ac:dyDescent="0.3">
      <c r="A5169" s="5" t="s">
        <v>5806</v>
      </c>
      <c r="B5169" t="s">
        <v>11239</v>
      </c>
      <c r="C5169" t="str">
        <f>IFERROR(VLOOKUP(ILACLISTE[[#This Row],[NAME]],Table5[#All],2,0),"")</f>
        <v/>
      </c>
    </row>
    <row r="5170" spans="1:3" x14ac:dyDescent="0.3">
      <c r="A5170" s="5" t="s">
        <v>5807</v>
      </c>
      <c r="B5170" t="s">
        <v>624</v>
      </c>
      <c r="C5170" t="str">
        <f>IFERROR(VLOOKUP(ILACLISTE[[#This Row],[NAME]],Table5[#All],2,0),"")</f>
        <v/>
      </c>
    </row>
    <row r="5171" spans="1:3" x14ac:dyDescent="0.3">
      <c r="A5171" s="5" t="s">
        <v>5808</v>
      </c>
      <c r="B5171" t="s">
        <v>625</v>
      </c>
      <c r="C5171" t="str">
        <f>IFERROR(VLOOKUP(ILACLISTE[[#This Row],[NAME]],Table5[#All],2,0),"")</f>
        <v/>
      </c>
    </row>
    <row r="5172" spans="1:3" x14ac:dyDescent="0.3">
      <c r="A5172" s="5" t="s">
        <v>5809</v>
      </c>
      <c r="B5172" t="s">
        <v>11240</v>
      </c>
      <c r="C5172" t="str">
        <f>IFERROR(VLOOKUP(ILACLISTE[[#This Row],[NAME]],Table5[#All],2,0),"")</f>
        <v/>
      </c>
    </row>
    <row r="5173" spans="1:3" x14ac:dyDescent="0.3">
      <c r="A5173" s="5" t="s">
        <v>5810</v>
      </c>
      <c r="B5173" t="s">
        <v>11241</v>
      </c>
      <c r="C5173" t="str">
        <f>IFERROR(VLOOKUP(ILACLISTE[[#This Row],[NAME]],Table5[#All],2,0),"")</f>
        <v/>
      </c>
    </row>
    <row r="5174" spans="1:3" x14ac:dyDescent="0.3">
      <c r="A5174" s="5" t="s">
        <v>5811</v>
      </c>
      <c r="B5174" t="s">
        <v>11242</v>
      </c>
      <c r="C5174" t="str">
        <f>IFERROR(VLOOKUP(ILACLISTE[[#This Row],[NAME]],Table5[#All],2,0),"")</f>
        <v/>
      </c>
    </row>
    <row r="5175" spans="1:3" x14ac:dyDescent="0.3">
      <c r="A5175" s="5" t="s">
        <v>5812</v>
      </c>
      <c r="B5175" t="s">
        <v>11243</v>
      </c>
      <c r="C5175" t="str">
        <f>IFERROR(VLOOKUP(ILACLISTE[[#This Row],[NAME]],Table5[#All],2,0),"")</f>
        <v/>
      </c>
    </row>
    <row r="5176" spans="1:3" x14ac:dyDescent="0.3">
      <c r="A5176" s="5" t="s">
        <v>5813</v>
      </c>
      <c r="B5176" t="s">
        <v>11244</v>
      </c>
      <c r="C5176" t="str">
        <f>IFERROR(VLOOKUP(ILACLISTE[[#This Row],[NAME]],Table5[#All],2,0),"")</f>
        <v/>
      </c>
    </row>
    <row r="5177" spans="1:3" x14ac:dyDescent="0.3">
      <c r="A5177" s="5" t="s">
        <v>5814</v>
      </c>
      <c r="B5177" t="s">
        <v>11245</v>
      </c>
      <c r="C5177" t="str">
        <f>IFERROR(VLOOKUP(ILACLISTE[[#This Row],[NAME]],Table5[#All],2,0),"")</f>
        <v/>
      </c>
    </row>
    <row r="5178" spans="1:3" x14ac:dyDescent="0.3">
      <c r="A5178" s="5" t="s">
        <v>5815</v>
      </c>
      <c r="B5178" t="s">
        <v>11246</v>
      </c>
      <c r="C5178" t="str">
        <f>IFERROR(VLOOKUP(ILACLISTE[[#This Row],[NAME]],Table5[#All],2,0),"")</f>
        <v/>
      </c>
    </row>
    <row r="5179" spans="1:3" x14ac:dyDescent="0.3">
      <c r="A5179" s="5" t="s">
        <v>5816</v>
      </c>
      <c r="B5179" t="s">
        <v>11247</v>
      </c>
      <c r="C5179" t="str">
        <f>IFERROR(VLOOKUP(ILACLISTE[[#This Row],[NAME]],Table5[#All],2,0),"")</f>
        <v/>
      </c>
    </row>
    <row r="5180" spans="1:3" x14ac:dyDescent="0.3">
      <c r="A5180" s="5" t="s">
        <v>5817</v>
      </c>
      <c r="B5180" t="s">
        <v>11248</v>
      </c>
      <c r="C5180" t="str">
        <f>IFERROR(VLOOKUP(ILACLISTE[[#This Row],[NAME]],Table5[#All],2,0),"")</f>
        <v/>
      </c>
    </row>
    <row r="5181" spans="1:3" x14ac:dyDescent="0.3">
      <c r="A5181" s="5" t="s">
        <v>5818</v>
      </c>
      <c r="B5181" t="s">
        <v>11249</v>
      </c>
      <c r="C5181" t="str">
        <f>IFERROR(VLOOKUP(ILACLISTE[[#This Row],[NAME]],Table5[#All],2,0),"")</f>
        <v/>
      </c>
    </row>
    <row r="5182" spans="1:3" x14ac:dyDescent="0.3">
      <c r="A5182" s="5" t="s">
        <v>5819</v>
      </c>
      <c r="B5182" t="s">
        <v>11250</v>
      </c>
      <c r="C5182" t="str">
        <f>IFERROR(VLOOKUP(ILACLISTE[[#This Row],[NAME]],Table5[#All],2,0),"")</f>
        <v/>
      </c>
    </row>
    <row r="5183" spans="1:3" x14ac:dyDescent="0.3">
      <c r="A5183" s="5" t="s">
        <v>5820</v>
      </c>
      <c r="B5183" t="s">
        <v>11251</v>
      </c>
      <c r="C5183" t="str">
        <f>IFERROR(VLOOKUP(ILACLISTE[[#This Row],[NAME]],Table5[#All],2,0),"")</f>
        <v/>
      </c>
    </row>
    <row r="5184" spans="1:3" x14ac:dyDescent="0.3">
      <c r="A5184" s="5" t="s">
        <v>5821</v>
      </c>
      <c r="B5184" t="s">
        <v>626</v>
      </c>
      <c r="C5184" t="str">
        <f>IFERROR(VLOOKUP(ILACLISTE[[#This Row],[NAME]],Table5[#All],2,0),"")</f>
        <v/>
      </c>
    </row>
    <row r="5185" spans="1:3" x14ac:dyDescent="0.3">
      <c r="A5185" s="5" t="s">
        <v>5822</v>
      </c>
      <c r="B5185" t="s">
        <v>11252</v>
      </c>
      <c r="C5185" t="str">
        <f>IFERROR(VLOOKUP(ILACLISTE[[#This Row],[NAME]],Table5[#All],2,0),"")</f>
        <v/>
      </c>
    </row>
    <row r="5186" spans="1:3" x14ac:dyDescent="0.3">
      <c r="A5186" s="5" t="s">
        <v>5823</v>
      </c>
      <c r="B5186" t="s">
        <v>11253</v>
      </c>
      <c r="C5186" t="str">
        <f>IFERROR(VLOOKUP(ILACLISTE[[#This Row],[NAME]],Table5[#All],2,0),"")</f>
        <v/>
      </c>
    </row>
    <row r="5187" spans="1:3" x14ac:dyDescent="0.3">
      <c r="A5187" s="5" t="s">
        <v>5824</v>
      </c>
      <c r="B5187" t="s">
        <v>11254</v>
      </c>
      <c r="C5187" t="str">
        <f>IFERROR(VLOOKUP(ILACLISTE[[#This Row],[NAME]],Table5[#All],2,0),"")</f>
        <v/>
      </c>
    </row>
    <row r="5188" spans="1:3" x14ac:dyDescent="0.3">
      <c r="A5188" s="5" t="s">
        <v>5825</v>
      </c>
      <c r="B5188" t="s">
        <v>11255</v>
      </c>
      <c r="C5188" t="str">
        <f>IFERROR(VLOOKUP(ILACLISTE[[#This Row],[NAME]],Table5[#All],2,0),"")</f>
        <v/>
      </c>
    </row>
    <row r="5189" spans="1:3" x14ac:dyDescent="0.3">
      <c r="A5189" s="5" t="s">
        <v>5826</v>
      </c>
      <c r="B5189" t="s">
        <v>11256</v>
      </c>
      <c r="C5189" t="str">
        <f>IFERROR(VLOOKUP(ILACLISTE[[#This Row],[NAME]],Table5[#All],2,0),"")</f>
        <v/>
      </c>
    </row>
    <row r="5190" spans="1:3" x14ac:dyDescent="0.3">
      <c r="A5190" s="5" t="s">
        <v>5827</v>
      </c>
      <c r="B5190" t="s">
        <v>11257</v>
      </c>
      <c r="C5190" t="str">
        <f>IFERROR(VLOOKUP(ILACLISTE[[#This Row],[NAME]],Table5[#All],2,0),"")</f>
        <v/>
      </c>
    </row>
    <row r="5191" spans="1:3" x14ac:dyDescent="0.3">
      <c r="A5191" s="5" t="s">
        <v>5828</v>
      </c>
      <c r="B5191" t="s">
        <v>11258</v>
      </c>
      <c r="C5191" t="str">
        <f>IFERROR(VLOOKUP(ILACLISTE[[#This Row],[NAME]],Table5[#All],2,0),"")</f>
        <v/>
      </c>
    </row>
    <row r="5192" spans="1:3" x14ac:dyDescent="0.3">
      <c r="A5192" s="5" t="s">
        <v>5829</v>
      </c>
      <c r="B5192" t="s">
        <v>11259</v>
      </c>
      <c r="C5192" t="str">
        <f>IFERROR(VLOOKUP(ILACLISTE[[#This Row],[NAME]],Table5[#All],2,0),"")</f>
        <v/>
      </c>
    </row>
    <row r="5193" spans="1:3" x14ac:dyDescent="0.3">
      <c r="A5193" s="5" t="s">
        <v>5830</v>
      </c>
      <c r="B5193" t="s">
        <v>11260</v>
      </c>
      <c r="C5193" t="str">
        <f>IFERROR(VLOOKUP(ILACLISTE[[#This Row],[NAME]],Table5[#All],2,0),"")</f>
        <v/>
      </c>
    </row>
    <row r="5194" spans="1:3" x14ac:dyDescent="0.3">
      <c r="A5194" s="5" t="s">
        <v>5831</v>
      </c>
      <c r="B5194" t="s">
        <v>11261</v>
      </c>
      <c r="C5194" t="str">
        <f>IFERROR(VLOOKUP(ILACLISTE[[#This Row],[NAME]],Table5[#All],2,0),"")</f>
        <v/>
      </c>
    </row>
    <row r="5195" spans="1:3" x14ac:dyDescent="0.3">
      <c r="A5195" s="5" t="s">
        <v>5832</v>
      </c>
      <c r="B5195" t="s">
        <v>11262</v>
      </c>
      <c r="C5195" t="str">
        <f>IFERROR(VLOOKUP(ILACLISTE[[#This Row],[NAME]],Table5[#All],2,0),"")</f>
        <v/>
      </c>
    </row>
    <row r="5196" spans="1:3" x14ac:dyDescent="0.3">
      <c r="A5196" s="5" t="s">
        <v>5833</v>
      </c>
      <c r="B5196" t="s">
        <v>11263</v>
      </c>
      <c r="C5196" t="str">
        <f>IFERROR(VLOOKUP(ILACLISTE[[#This Row],[NAME]],Table5[#All],2,0),"")</f>
        <v/>
      </c>
    </row>
    <row r="5197" spans="1:3" x14ac:dyDescent="0.3">
      <c r="A5197" s="5" t="s">
        <v>5834</v>
      </c>
      <c r="B5197" t="s">
        <v>11264</v>
      </c>
      <c r="C5197" t="str">
        <f>IFERROR(VLOOKUP(ILACLISTE[[#This Row],[NAME]],Table5[#All],2,0),"")</f>
        <v/>
      </c>
    </row>
    <row r="5198" spans="1:3" x14ac:dyDescent="0.3">
      <c r="A5198" s="5" t="s">
        <v>5835</v>
      </c>
      <c r="B5198" t="s">
        <v>11265</v>
      </c>
      <c r="C5198" t="str">
        <f>IFERROR(VLOOKUP(ILACLISTE[[#This Row],[NAME]],Table5[#All],2,0),"")</f>
        <v/>
      </c>
    </row>
    <row r="5199" spans="1:3" x14ac:dyDescent="0.3">
      <c r="A5199" s="5" t="s">
        <v>5836</v>
      </c>
      <c r="B5199" t="s">
        <v>11266</v>
      </c>
      <c r="C5199" t="str">
        <f>IFERROR(VLOOKUP(ILACLISTE[[#This Row],[NAME]],Table5[#All],2,0),"")</f>
        <v/>
      </c>
    </row>
    <row r="5200" spans="1:3" x14ac:dyDescent="0.3">
      <c r="A5200" s="5" t="s">
        <v>5837</v>
      </c>
      <c r="B5200" t="s">
        <v>11267</v>
      </c>
      <c r="C5200" t="str">
        <f>IFERROR(VLOOKUP(ILACLISTE[[#This Row],[NAME]],Table5[#All],2,0),"")</f>
        <v/>
      </c>
    </row>
    <row r="5201" spans="1:3" x14ac:dyDescent="0.3">
      <c r="A5201" s="5" t="s">
        <v>5838</v>
      </c>
      <c r="B5201" t="s">
        <v>11268</v>
      </c>
      <c r="C5201" t="str">
        <f>IFERROR(VLOOKUP(ILACLISTE[[#This Row],[NAME]],Table5[#All],2,0),"")</f>
        <v/>
      </c>
    </row>
    <row r="5202" spans="1:3" x14ac:dyDescent="0.3">
      <c r="A5202" s="5" t="s">
        <v>5839</v>
      </c>
      <c r="B5202" t="s">
        <v>11269</v>
      </c>
      <c r="C5202" t="str">
        <f>IFERROR(VLOOKUP(ILACLISTE[[#This Row],[NAME]],Table5[#All],2,0),"")</f>
        <v/>
      </c>
    </row>
    <row r="5203" spans="1:3" x14ac:dyDescent="0.3">
      <c r="A5203" s="5" t="s">
        <v>5840</v>
      </c>
      <c r="B5203" t="s">
        <v>11270</v>
      </c>
      <c r="C5203" t="str">
        <f>IFERROR(VLOOKUP(ILACLISTE[[#This Row],[NAME]],Table5[#All],2,0),"")</f>
        <v/>
      </c>
    </row>
    <row r="5204" spans="1:3" x14ac:dyDescent="0.3">
      <c r="A5204" s="5" t="s">
        <v>5841</v>
      </c>
      <c r="B5204" t="s">
        <v>11271</v>
      </c>
      <c r="C5204" t="str">
        <f>IFERROR(VLOOKUP(ILACLISTE[[#This Row],[NAME]],Table5[#All],2,0),"")</f>
        <v/>
      </c>
    </row>
    <row r="5205" spans="1:3" x14ac:dyDescent="0.3">
      <c r="A5205" s="5" t="s">
        <v>5842</v>
      </c>
      <c r="B5205" t="s">
        <v>11272</v>
      </c>
      <c r="C5205" t="str">
        <f>IFERROR(VLOOKUP(ILACLISTE[[#This Row],[NAME]],Table5[#All],2,0),"")</f>
        <v/>
      </c>
    </row>
    <row r="5206" spans="1:3" x14ac:dyDescent="0.3">
      <c r="A5206" s="5" t="s">
        <v>5843</v>
      </c>
      <c r="B5206" t="s">
        <v>11273</v>
      </c>
      <c r="C5206" t="str">
        <f>IFERROR(VLOOKUP(ILACLISTE[[#This Row],[NAME]],Table5[#All],2,0),"")</f>
        <v/>
      </c>
    </row>
    <row r="5207" spans="1:3" x14ac:dyDescent="0.3">
      <c r="A5207" s="5" t="s">
        <v>5844</v>
      </c>
      <c r="B5207" t="s">
        <v>11274</v>
      </c>
      <c r="C5207" t="str">
        <f>IFERROR(VLOOKUP(ILACLISTE[[#This Row],[NAME]],Table5[#All],2,0),"")</f>
        <v/>
      </c>
    </row>
    <row r="5208" spans="1:3" x14ac:dyDescent="0.3">
      <c r="A5208" s="5" t="s">
        <v>5845</v>
      </c>
      <c r="B5208" t="s">
        <v>11275</v>
      </c>
      <c r="C5208" t="str">
        <f>IFERROR(VLOOKUP(ILACLISTE[[#This Row],[NAME]],Table5[#All],2,0),"")</f>
        <v/>
      </c>
    </row>
    <row r="5209" spans="1:3" x14ac:dyDescent="0.3">
      <c r="A5209" s="5" t="s">
        <v>5846</v>
      </c>
      <c r="B5209" t="s">
        <v>11276</v>
      </c>
      <c r="C5209" t="str">
        <f>IFERROR(VLOOKUP(ILACLISTE[[#This Row],[NAME]],Table5[#All],2,0),"")</f>
        <v/>
      </c>
    </row>
    <row r="5210" spans="1:3" x14ac:dyDescent="0.3">
      <c r="A5210" s="5" t="s">
        <v>5847</v>
      </c>
      <c r="B5210" t="s">
        <v>11277</v>
      </c>
      <c r="C5210" t="str">
        <f>IFERROR(VLOOKUP(ILACLISTE[[#This Row],[NAME]],Table5[#All],2,0),"")</f>
        <v/>
      </c>
    </row>
    <row r="5211" spans="1:3" x14ac:dyDescent="0.3">
      <c r="A5211" s="5" t="s">
        <v>5848</v>
      </c>
      <c r="B5211" t="s">
        <v>11278</v>
      </c>
      <c r="C5211" t="str">
        <f>IFERROR(VLOOKUP(ILACLISTE[[#This Row],[NAME]],Table5[#All],2,0),"")</f>
        <v/>
      </c>
    </row>
    <row r="5212" spans="1:3" x14ac:dyDescent="0.3">
      <c r="A5212" s="5" t="s">
        <v>5849</v>
      </c>
      <c r="B5212" t="s">
        <v>11279</v>
      </c>
      <c r="C5212" t="str">
        <f>IFERROR(VLOOKUP(ILACLISTE[[#This Row],[NAME]],Table5[#All],2,0),"")</f>
        <v/>
      </c>
    </row>
    <row r="5213" spans="1:3" x14ac:dyDescent="0.3">
      <c r="A5213" s="5" t="s">
        <v>5850</v>
      </c>
      <c r="B5213" t="s">
        <v>11280</v>
      </c>
      <c r="C5213" t="str">
        <f>IFERROR(VLOOKUP(ILACLISTE[[#This Row],[NAME]],Table5[#All],2,0),"")</f>
        <v/>
      </c>
    </row>
    <row r="5214" spans="1:3" x14ac:dyDescent="0.3">
      <c r="A5214" s="5" t="s">
        <v>5851</v>
      </c>
      <c r="B5214" t="s">
        <v>11281</v>
      </c>
      <c r="C5214" t="str">
        <f>IFERROR(VLOOKUP(ILACLISTE[[#This Row],[NAME]],Table5[#All],2,0),"")</f>
        <v/>
      </c>
    </row>
    <row r="5215" spans="1:3" x14ac:dyDescent="0.3">
      <c r="A5215" s="5" t="s">
        <v>5852</v>
      </c>
      <c r="B5215" t="s">
        <v>11282</v>
      </c>
      <c r="C5215" t="str">
        <f>IFERROR(VLOOKUP(ILACLISTE[[#This Row],[NAME]],Table5[#All],2,0),"")</f>
        <v/>
      </c>
    </row>
    <row r="5216" spans="1:3" x14ac:dyDescent="0.3">
      <c r="A5216" s="5" t="s">
        <v>5853</v>
      </c>
      <c r="B5216" t="s">
        <v>11283</v>
      </c>
      <c r="C5216" t="str">
        <f>IFERROR(VLOOKUP(ILACLISTE[[#This Row],[NAME]],Table5[#All],2,0),"")</f>
        <v/>
      </c>
    </row>
    <row r="5217" spans="1:3" x14ac:dyDescent="0.3">
      <c r="A5217" s="5" t="s">
        <v>5854</v>
      </c>
      <c r="B5217" t="s">
        <v>11284</v>
      </c>
      <c r="C5217" t="str">
        <f>IFERROR(VLOOKUP(ILACLISTE[[#This Row],[NAME]],Table5[#All],2,0),"")</f>
        <v/>
      </c>
    </row>
    <row r="5218" spans="1:3" x14ac:dyDescent="0.3">
      <c r="A5218" s="5" t="s">
        <v>5855</v>
      </c>
      <c r="B5218" t="s">
        <v>11285</v>
      </c>
      <c r="C5218" t="str">
        <f>IFERROR(VLOOKUP(ILACLISTE[[#This Row],[NAME]],Table5[#All],2,0),"")</f>
        <v/>
      </c>
    </row>
    <row r="5219" spans="1:3" x14ac:dyDescent="0.3">
      <c r="A5219" s="5" t="s">
        <v>5856</v>
      </c>
      <c r="B5219" t="s">
        <v>11286</v>
      </c>
      <c r="C5219" t="str">
        <f>IFERROR(VLOOKUP(ILACLISTE[[#This Row],[NAME]],Table5[#All],2,0),"")</f>
        <v/>
      </c>
    </row>
    <row r="5220" spans="1:3" x14ac:dyDescent="0.3">
      <c r="A5220" s="5" t="s">
        <v>5857</v>
      </c>
      <c r="B5220" t="s">
        <v>11287</v>
      </c>
      <c r="C5220" t="str">
        <f>IFERROR(VLOOKUP(ILACLISTE[[#This Row],[NAME]],Table5[#All],2,0),"")</f>
        <v/>
      </c>
    </row>
    <row r="5221" spans="1:3" x14ac:dyDescent="0.3">
      <c r="A5221" s="5" t="s">
        <v>5858</v>
      </c>
      <c r="B5221" t="s">
        <v>11288</v>
      </c>
      <c r="C5221" t="str">
        <f>IFERROR(VLOOKUP(ILACLISTE[[#This Row],[NAME]],Table5[#All],2,0),"")</f>
        <v/>
      </c>
    </row>
    <row r="5222" spans="1:3" x14ac:dyDescent="0.3">
      <c r="A5222" s="5" t="s">
        <v>5859</v>
      </c>
      <c r="B5222" t="s">
        <v>11289</v>
      </c>
      <c r="C5222" t="str">
        <f>IFERROR(VLOOKUP(ILACLISTE[[#This Row],[NAME]],Table5[#All],2,0),"")</f>
        <v/>
      </c>
    </row>
    <row r="5223" spans="1:3" x14ac:dyDescent="0.3">
      <c r="A5223" s="5" t="s">
        <v>5860</v>
      </c>
      <c r="B5223" t="s">
        <v>11290</v>
      </c>
      <c r="C5223" t="str">
        <f>IFERROR(VLOOKUP(ILACLISTE[[#This Row],[NAME]],Table5[#All],2,0),"")</f>
        <v/>
      </c>
    </row>
    <row r="5224" spans="1:3" x14ac:dyDescent="0.3">
      <c r="A5224" s="5" t="s">
        <v>5861</v>
      </c>
      <c r="B5224" t="s">
        <v>627</v>
      </c>
      <c r="C5224" t="str">
        <f>IFERROR(VLOOKUP(ILACLISTE[[#This Row],[NAME]],Table5[#All],2,0),"")</f>
        <v/>
      </c>
    </row>
    <row r="5225" spans="1:3" x14ac:dyDescent="0.3">
      <c r="A5225" s="5" t="s">
        <v>5862</v>
      </c>
      <c r="B5225" t="s">
        <v>11291</v>
      </c>
      <c r="C5225" t="str">
        <f>IFERROR(VLOOKUP(ILACLISTE[[#This Row],[NAME]],Table5[#All],2,0),"")</f>
        <v/>
      </c>
    </row>
    <row r="5226" spans="1:3" x14ac:dyDescent="0.3">
      <c r="A5226" s="5" t="s">
        <v>5863</v>
      </c>
      <c r="B5226" t="s">
        <v>11292</v>
      </c>
      <c r="C5226" t="str">
        <f>IFERROR(VLOOKUP(ILACLISTE[[#This Row],[NAME]],Table5[#All],2,0),"")</f>
        <v/>
      </c>
    </row>
    <row r="5227" spans="1:3" x14ac:dyDescent="0.3">
      <c r="A5227" s="5" t="s">
        <v>5864</v>
      </c>
      <c r="B5227" t="s">
        <v>11293</v>
      </c>
      <c r="C5227" t="str">
        <f>IFERROR(VLOOKUP(ILACLISTE[[#This Row],[NAME]],Table5[#All],2,0),"")</f>
        <v/>
      </c>
    </row>
    <row r="5228" spans="1:3" x14ac:dyDescent="0.3">
      <c r="A5228" s="5" t="s">
        <v>5865</v>
      </c>
      <c r="B5228" t="s">
        <v>11294</v>
      </c>
      <c r="C5228" t="str">
        <f>IFERROR(VLOOKUP(ILACLISTE[[#This Row],[NAME]],Table5[#All],2,0),"")</f>
        <v/>
      </c>
    </row>
    <row r="5229" spans="1:3" x14ac:dyDescent="0.3">
      <c r="A5229" s="5" t="s">
        <v>5866</v>
      </c>
      <c r="B5229" t="s">
        <v>11295</v>
      </c>
      <c r="C5229" t="str">
        <f>IFERROR(VLOOKUP(ILACLISTE[[#This Row],[NAME]],Table5[#All],2,0),"")</f>
        <v/>
      </c>
    </row>
    <row r="5230" spans="1:3" x14ac:dyDescent="0.3">
      <c r="A5230" s="5" t="s">
        <v>5867</v>
      </c>
      <c r="B5230" t="s">
        <v>11296</v>
      </c>
      <c r="C5230" t="str">
        <f>IFERROR(VLOOKUP(ILACLISTE[[#This Row],[NAME]],Table5[#All],2,0),"")</f>
        <v/>
      </c>
    </row>
    <row r="5231" spans="1:3" x14ac:dyDescent="0.3">
      <c r="A5231" s="5" t="s">
        <v>5868</v>
      </c>
      <c r="B5231" t="s">
        <v>11297</v>
      </c>
      <c r="C5231" t="str">
        <f>IFERROR(VLOOKUP(ILACLISTE[[#This Row],[NAME]],Table5[#All],2,0),"")</f>
        <v/>
      </c>
    </row>
    <row r="5232" spans="1:3" x14ac:dyDescent="0.3">
      <c r="A5232" s="5" t="s">
        <v>5869</v>
      </c>
      <c r="B5232" t="s">
        <v>11298</v>
      </c>
      <c r="C5232" t="str">
        <f>IFERROR(VLOOKUP(ILACLISTE[[#This Row],[NAME]],Table5[#All],2,0),"")</f>
        <v/>
      </c>
    </row>
    <row r="5233" spans="1:3" x14ac:dyDescent="0.3">
      <c r="A5233" s="5" t="s">
        <v>5870</v>
      </c>
      <c r="B5233" t="s">
        <v>11299</v>
      </c>
      <c r="C5233" t="str">
        <f>IFERROR(VLOOKUP(ILACLISTE[[#This Row],[NAME]],Table5[#All],2,0),"")</f>
        <v/>
      </c>
    </row>
    <row r="5234" spans="1:3" x14ac:dyDescent="0.3">
      <c r="A5234" s="5" t="s">
        <v>5871</v>
      </c>
      <c r="B5234" t="s">
        <v>11300</v>
      </c>
      <c r="C5234" t="str">
        <f>IFERROR(VLOOKUP(ILACLISTE[[#This Row],[NAME]],Table5[#All],2,0),"")</f>
        <v/>
      </c>
    </row>
    <row r="5235" spans="1:3" x14ac:dyDescent="0.3">
      <c r="A5235" s="5" t="s">
        <v>5872</v>
      </c>
      <c r="B5235" t="s">
        <v>11301</v>
      </c>
      <c r="C5235" t="str">
        <f>IFERROR(VLOOKUP(ILACLISTE[[#This Row],[NAME]],Table5[#All],2,0),"")</f>
        <v/>
      </c>
    </row>
    <row r="5236" spans="1:3" x14ac:dyDescent="0.3">
      <c r="A5236" s="5" t="s">
        <v>5873</v>
      </c>
      <c r="B5236" t="s">
        <v>11302</v>
      </c>
      <c r="C5236" t="str">
        <f>IFERROR(VLOOKUP(ILACLISTE[[#This Row],[NAME]],Table5[#All],2,0),"")</f>
        <v/>
      </c>
    </row>
    <row r="5237" spans="1:3" x14ac:dyDescent="0.3">
      <c r="A5237" s="5" t="s">
        <v>5874</v>
      </c>
      <c r="B5237" t="s">
        <v>11303</v>
      </c>
      <c r="C5237" t="str">
        <f>IFERROR(VLOOKUP(ILACLISTE[[#This Row],[NAME]],Table5[#All],2,0),"")</f>
        <v/>
      </c>
    </row>
    <row r="5238" spans="1:3" x14ac:dyDescent="0.3">
      <c r="A5238" s="5" t="s">
        <v>5875</v>
      </c>
      <c r="B5238" t="s">
        <v>11304</v>
      </c>
      <c r="C5238" t="str">
        <f>IFERROR(VLOOKUP(ILACLISTE[[#This Row],[NAME]],Table5[#All],2,0),"")</f>
        <v/>
      </c>
    </row>
    <row r="5239" spans="1:3" x14ac:dyDescent="0.3">
      <c r="A5239" s="5" t="s">
        <v>5876</v>
      </c>
      <c r="B5239" t="s">
        <v>11305</v>
      </c>
      <c r="C5239" t="str">
        <f>IFERROR(VLOOKUP(ILACLISTE[[#This Row],[NAME]],Table5[#All],2,0),"")</f>
        <v/>
      </c>
    </row>
    <row r="5240" spans="1:3" x14ac:dyDescent="0.3">
      <c r="A5240" s="5" t="s">
        <v>5877</v>
      </c>
      <c r="B5240" t="s">
        <v>11306</v>
      </c>
      <c r="C5240" t="str">
        <f>IFERROR(VLOOKUP(ILACLISTE[[#This Row],[NAME]],Table5[#All],2,0),"")</f>
        <v/>
      </c>
    </row>
    <row r="5241" spans="1:3" x14ac:dyDescent="0.3">
      <c r="A5241" s="5" t="s">
        <v>5878</v>
      </c>
      <c r="B5241" t="s">
        <v>11307</v>
      </c>
      <c r="C5241" t="str">
        <f>IFERROR(VLOOKUP(ILACLISTE[[#This Row],[NAME]],Table5[#All],2,0),"")</f>
        <v/>
      </c>
    </row>
    <row r="5242" spans="1:3" x14ac:dyDescent="0.3">
      <c r="A5242" s="5" t="s">
        <v>5879</v>
      </c>
      <c r="B5242" t="s">
        <v>11308</v>
      </c>
      <c r="C5242" t="str">
        <f>IFERROR(VLOOKUP(ILACLISTE[[#This Row],[NAME]],Table5[#All],2,0),"")</f>
        <v/>
      </c>
    </row>
    <row r="5243" spans="1:3" x14ac:dyDescent="0.3">
      <c r="A5243" s="5" t="s">
        <v>5880</v>
      </c>
      <c r="B5243" t="s">
        <v>11309</v>
      </c>
      <c r="C5243" t="str">
        <f>IFERROR(VLOOKUP(ILACLISTE[[#This Row],[NAME]],Table5[#All],2,0),"")</f>
        <v/>
      </c>
    </row>
    <row r="5244" spans="1:3" x14ac:dyDescent="0.3">
      <c r="A5244" s="5" t="s">
        <v>5881</v>
      </c>
      <c r="B5244" t="s">
        <v>11310</v>
      </c>
      <c r="C5244" t="str">
        <f>IFERROR(VLOOKUP(ILACLISTE[[#This Row],[NAME]],Table5[#All],2,0),"")</f>
        <v/>
      </c>
    </row>
    <row r="5245" spans="1:3" x14ac:dyDescent="0.3">
      <c r="A5245" s="5" t="s">
        <v>5882</v>
      </c>
      <c r="B5245" t="s">
        <v>11311</v>
      </c>
      <c r="C5245" t="str">
        <f>IFERROR(VLOOKUP(ILACLISTE[[#This Row],[NAME]],Table5[#All],2,0),"")</f>
        <v/>
      </c>
    </row>
    <row r="5246" spans="1:3" x14ac:dyDescent="0.3">
      <c r="A5246" s="5" t="s">
        <v>5883</v>
      </c>
      <c r="B5246" t="s">
        <v>11312</v>
      </c>
      <c r="C5246" t="str">
        <f>IFERROR(VLOOKUP(ILACLISTE[[#This Row],[NAME]],Table5[#All],2,0),"")</f>
        <v/>
      </c>
    </row>
    <row r="5247" spans="1:3" x14ac:dyDescent="0.3">
      <c r="A5247" s="5" t="s">
        <v>5884</v>
      </c>
      <c r="B5247" t="s">
        <v>11313</v>
      </c>
      <c r="C5247" t="str">
        <f>IFERROR(VLOOKUP(ILACLISTE[[#This Row],[NAME]],Table5[#All],2,0),"")</f>
        <v/>
      </c>
    </row>
    <row r="5248" spans="1:3" x14ac:dyDescent="0.3">
      <c r="A5248" s="5" t="s">
        <v>5885</v>
      </c>
      <c r="B5248" t="s">
        <v>11314</v>
      </c>
      <c r="C5248" t="str">
        <f>IFERROR(VLOOKUP(ILACLISTE[[#This Row],[NAME]],Table5[#All],2,0),"")</f>
        <v/>
      </c>
    </row>
    <row r="5249" spans="1:3" x14ac:dyDescent="0.3">
      <c r="A5249" s="5" t="s">
        <v>5886</v>
      </c>
      <c r="B5249" t="s">
        <v>11315</v>
      </c>
      <c r="C5249" t="str">
        <f>IFERROR(VLOOKUP(ILACLISTE[[#This Row],[NAME]],Table5[#All],2,0),"")</f>
        <v/>
      </c>
    </row>
    <row r="5250" spans="1:3" x14ac:dyDescent="0.3">
      <c r="A5250" s="5" t="s">
        <v>5887</v>
      </c>
      <c r="B5250" t="s">
        <v>11316</v>
      </c>
      <c r="C5250" t="str">
        <f>IFERROR(VLOOKUP(ILACLISTE[[#This Row],[NAME]],Table5[#All],2,0),"")</f>
        <v/>
      </c>
    </row>
    <row r="5251" spans="1:3" x14ac:dyDescent="0.3">
      <c r="A5251" s="5" t="s">
        <v>5888</v>
      </c>
      <c r="B5251" t="s">
        <v>11317</v>
      </c>
      <c r="C5251" t="str">
        <f>IFERROR(VLOOKUP(ILACLISTE[[#This Row],[NAME]],Table5[#All],2,0),"")</f>
        <v/>
      </c>
    </row>
    <row r="5252" spans="1:3" x14ac:dyDescent="0.3">
      <c r="A5252" s="5" t="s">
        <v>5889</v>
      </c>
      <c r="B5252" t="s">
        <v>11318</v>
      </c>
      <c r="C5252" t="str">
        <f>IFERROR(VLOOKUP(ILACLISTE[[#This Row],[NAME]],Table5[#All],2,0),"")</f>
        <v/>
      </c>
    </row>
    <row r="5253" spans="1:3" x14ac:dyDescent="0.3">
      <c r="A5253" s="5" t="s">
        <v>5890</v>
      </c>
      <c r="B5253" t="s">
        <v>11319</v>
      </c>
      <c r="C5253" t="str">
        <f>IFERROR(VLOOKUP(ILACLISTE[[#This Row],[NAME]],Table5[#All],2,0),"")</f>
        <v/>
      </c>
    </row>
    <row r="5254" spans="1:3" x14ac:dyDescent="0.3">
      <c r="A5254" s="5" t="s">
        <v>5891</v>
      </c>
      <c r="B5254" t="s">
        <v>11320</v>
      </c>
      <c r="C5254" t="str">
        <f>IFERROR(VLOOKUP(ILACLISTE[[#This Row],[NAME]],Table5[#All],2,0),"")</f>
        <v/>
      </c>
    </row>
    <row r="5255" spans="1:3" x14ac:dyDescent="0.3">
      <c r="A5255" s="5" t="s">
        <v>5892</v>
      </c>
      <c r="B5255" t="s">
        <v>628</v>
      </c>
      <c r="C5255" t="str">
        <f>IFERROR(VLOOKUP(ILACLISTE[[#This Row],[NAME]],Table5[#All],2,0),"")</f>
        <v/>
      </c>
    </row>
    <row r="5256" spans="1:3" x14ac:dyDescent="0.3">
      <c r="A5256" s="5" t="s">
        <v>5893</v>
      </c>
      <c r="B5256" t="s">
        <v>11321</v>
      </c>
      <c r="C5256" t="str">
        <f>IFERROR(VLOOKUP(ILACLISTE[[#This Row],[NAME]],Table5[#All],2,0),"")</f>
        <v/>
      </c>
    </row>
    <row r="5257" spans="1:3" x14ac:dyDescent="0.3">
      <c r="A5257" s="5" t="s">
        <v>5894</v>
      </c>
      <c r="B5257" t="s">
        <v>11322</v>
      </c>
      <c r="C5257" t="str">
        <f>IFERROR(VLOOKUP(ILACLISTE[[#This Row],[NAME]],Table5[#All],2,0),"")</f>
        <v/>
      </c>
    </row>
    <row r="5258" spans="1:3" x14ac:dyDescent="0.3">
      <c r="A5258" s="5" t="s">
        <v>5895</v>
      </c>
      <c r="B5258" t="s">
        <v>11323</v>
      </c>
      <c r="C5258" t="str">
        <f>IFERROR(VLOOKUP(ILACLISTE[[#This Row],[NAME]],Table5[#All],2,0),"")</f>
        <v/>
      </c>
    </row>
    <row r="5259" spans="1:3" x14ac:dyDescent="0.3">
      <c r="A5259" s="5" t="s">
        <v>5896</v>
      </c>
      <c r="B5259" t="s">
        <v>629</v>
      </c>
      <c r="C5259" t="str">
        <f>IFERROR(VLOOKUP(ILACLISTE[[#This Row],[NAME]],Table5[#All],2,0),"")</f>
        <v/>
      </c>
    </row>
    <row r="5260" spans="1:3" x14ac:dyDescent="0.3">
      <c r="A5260" s="5" t="s">
        <v>5897</v>
      </c>
      <c r="B5260" t="s">
        <v>11324</v>
      </c>
      <c r="C5260" t="str">
        <f>IFERROR(VLOOKUP(ILACLISTE[[#This Row],[NAME]],Table5[#All],2,0),"")</f>
        <v/>
      </c>
    </row>
    <row r="5261" spans="1:3" x14ac:dyDescent="0.3">
      <c r="A5261" s="5" t="s">
        <v>5898</v>
      </c>
      <c r="B5261" t="s">
        <v>11325</v>
      </c>
      <c r="C5261" t="str">
        <f>IFERROR(VLOOKUP(ILACLISTE[[#This Row],[NAME]],Table5[#All],2,0),"")</f>
        <v/>
      </c>
    </row>
    <row r="5262" spans="1:3" x14ac:dyDescent="0.3">
      <c r="A5262" s="5" t="s">
        <v>5899</v>
      </c>
      <c r="B5262" t="s">
        <v>11326</v>
      </c>
      <c r="C5262" t="str">
        <f>IFERROR(VLOOKUP(ILACLISTE[[#This Row],[NAME]],Table5[#All],2,0),"")</f>
        <v/>
      </c>
    </row>
    <row r="5263" spans="1:3" x14ac:dyDescent="0.3">
      <c r="A5263" s="5" t="s">
        <v>5900</v>
      </c>
      <c r="B5263" t="s">
        <v>11327</v>
      </c>
      <c r="C5263" t="str">
        <f>IFERROR(VLOOKUP(ILACLISTE[[#This Row],[NAME]],Table5[#All],2,0),"")</f>
        <v/>
      </c>
    </row>
    <row r="5264" spans="1:3" x14ac:dyDescent="0.3">
      <c r="A5264" s="5" t="s">
        <v>5901</v>
      </c>
      <c r="B5264" t="s">
        <v>11328</v>
      </c>
      <c r="C5264" t="str">
        <f>IFERROR(VLOOKUP(ILACLISTE[[#This Row],[NAME]],Table5[#All],2,0),"")</f>
        <v/>
      </c>
    </row>
    <row r="5265" spans="1:3" x14ac:dyDescent="0.3">
      <c r="A5265" s="5" t="s">
        <v>5902</v>
      </c>
      <c r="B5265" t="s">
        <v>11329</v>
      </c>
      <c r="C5265" t="str">
        <f>IFERROR(VLOOKUP(ILACLISTE[[#This Row],[NAME]],Table5[#All],2,0),"")</f>
        <v/>
      </c>
    </row>
    <row r="5266" spans="1:3" x14ac:dyDescent="0.3">
      <c r="A5266" s="5" t="s">
        <v>5903</v>
      </c>
      <c r="B5266" t="s">
        <v>11330</v>
      </c>
      <c r="C5266" t="str">
        <f>IFERROR(VLOOKUP(ILACLISTE[[#This Row],[NAME]],Table5[#All],2,0),"")</f>
        <v/>
      </c>
    </row>
    <row r="5267" spans="1:3" x14ac:dyDescent="0.3">
      <c r="A5267" s="5" t="s">
        <v>5904</v>
      </c>
      <c r="B5267" t="s">
        <v>11331</v>
      </c>
      <c r="C5267" t="str">
        <f>IFERROR(VLOOKUP(ILACLISTE[[#This Row],[NAME]],Table5[#All],2,0),"")</f>
        <v/>
      </c>
    </row>
    <row r="5268" spans="1:3" x14ac:dyDescent="0.3">
      <c r="A5268" s="5" t="s">
        <v>5905</v>
      </c>
      <c r="B5268" t="s">
        <v>11332</v>
      </c>
      <c r="C5268" t="str">
        <f>IFERROR(VLOOKUP(ILACLISTE[[#This Row],[NAME]],Table5[#All],2,0),"")</f>
        <v/>
      </c>
    </row>
    <row r="5269" spans="1:3" x14ac:dyDescent="0.3">
      <c r="A5269" s="5" t="s">
        <v>5906</v>
      </c>
      <c r="B5269" t="s">
        <v>11333</v>
      </c>
      <c r="C5269" t="str">
        <f>IFERROR(VLOOKUP(ILACLISTE[[#This Row],[NAME]],Table5[#All],2,0),"")</f>
        <v/>
      </c>
    </row>
    <row r="5270" spans="1:3" x14ac:dyDescent="0.3">
      <c r="A5270" s="5" t="s">
        <v>5907</v>
      </c>
      <c r="B5270" t="s">
        <v>11334</v>
      </c>
      <c r="C5270" t="str">
        <f>IFERROR(VLOOKUP(ILACLISTE[[#This Row],[NAME]],Table5[#All],2,0),"")</f>
        <v/>
      </c>
    </row>
    <row r="5271" spans="1:3" x14ac:dyDescent="0.3">
      <c r="A5271" s="5" t="s">
        <v>5908</v>
      </c>
      <c r="B5271" t="s">
        <v>11335</v>
      </c>
      <c r="C5271" t="str">
        <f>IFERROR(VLOOKUP(ILACLISTE[[#This Row],[NAME]],Table5[#All],2,0),"")</f>
        <v/>
      </c>
    </row>
    <row r="5272" spans="1:3" x14ac:dyDescent="0.3">
      <c r="A5272" s="5" t="s">
        <v>5909</v>
      </c>
      <c r="B5272" t="s">
        <v>11336</v>
      </c>
      <c r="C5272" t="str">
        <f>IFERROR(VLOOKUP(ILACLISTE[[#This Row],[NAME]],Table5[#All],2,0),"")</f>
        <v/>
      </c>
    </row>
    <row r="5273" spans="1:3" x14ac:dyDescent="0.3">
      <c r="A5273" s="5" t="s">
        <v>5910</v>
      </c>
      <c r="B5273" t="s">
        <v>11337</v>
      </c>
      <c r="C5273" t="str">
        <f>IFERROR(VLOOKUP(ILACLISTE[[#This Row],[NAME]],Table5[#All],2,0),"")</f>
        <v/>
      </c>
    </row>
    <row r="5274" spans="1:3" x14ac:dyDescent="0.3">
      <c r="A5274" s="5" t="s">
        <v>5911</v>
      </c>
      <c r="B5274" t="s">
        <v>11338</v>
      </c>
      <c r="C5274" t="str">
        <f>IFERROR(VLOOKUP(ILACLISTE[[#This Row],[NAME]],Table5[#All],2,0),"")</f>
        <v/>
      </c>
    </row>
    <row r="5275" spans="1:3" x14ac:dyDescent="0.3">
      <c r="A5275" s="5" t="s">
        <v>5912</v>
      </c>
      <c r="B5275" t="s">
        <v>11339</v>
      </c>
      <c r="C5275" t="str">
        <f>IFERROR(VLOOKUP(ILACLISTE[[#This Row],[NAME]],Table5[#All],2,0),"")</f>
        <v/>
      </c>
    </row>
    <row r="5276" spans="1:3" x14ac:dyDescent="0.3">
      <c r="A5276" s="5" t="s">
        <v>5913</v>
      </c>
      <c r="B5276" t="s">
        <v>11340</v>
      </c>
      <c r="C5276" t="str">
        <f>IFERROR(VLOOKUP(ILACLISTE[[#This Row],[NAME]],Table5[#All],2,0),"")</f>
        <v/>
      </c>
    </row>
    <row r="5277" spans="1:3" x14ac:dyDescent="0.3">
      <c r="A5277" s="5" t="s">
        <v>5914</v>
      </c>
      <c r="B5277" t="s">
        <v>11341</v>
      </c>
      <c r="C5277" t="str">
        <f>IFERROR(VLOOKUP(ILACLISTE[[#This Row],[NAME]],Table5[#All],2,0),"")</f>
        <v/>
      </c>
    </row>
    <row r="5278" spans="1:3" x14ac:dyDescent="0.3">
      <c r="A5278" s="5" t="s">
        <v>5915</v>
      </c>
      <c r="B5278" t="s">
        <v>11342</v>
      </c>
      <c r="C5278" t="str">
        <f>IFERROR(VLOOKUP(ILACLISTE[[#This Row],[NAME]],Table5[#All],2,0),"")</f>
        <v/>
      </c>
    </row>
    <row r="5279" spans="1:3" x14ac:dyDescent="0.3">
      <c r="A5279" s="5" t="s">
        <v>5916</v>
      </c>
      <c r="B5279" t="s">
        <v>11343</v>
      </c>
      <c r="C5279" t="str">
        <f>IFERROR(VLOOKUP(ILACLISTE[[#This Row],[NAME]],Table5[#All],2,0),"")</f>
        <v/>
      </c>
    </row>
    <row r="5280" spans="1:3" x14ac:dyDescent="0.3">
      <c r="A5280" s="5" t="s">
        <v>5917</v>
      </c>
      <c r="B5280" t="s">
        <v>11344</v>
      </c>
      <c r="C5280" t="str">
        <f>IFERROR(VLOOKUP(ILACLISTE[[#This Row],[NAME]],Table5[#All],2,0),"")</f>
        <v/>
      </c>
    </row>
    <row r="5281" spans="1:3" x14ac:dyDescent="0.3">
      <c r="A5281" s="5" t="s">
        <v>5918</v>
      </c>
      <c r="B5281" t="s">
        <v>11345</v>
      </c>
      <c r="C5281" t="str">
        <f>IFERROR(VLOOKUP(ILACLISTE[[#This Row],[NAME]],Table5[#All],2,0),"")</f>
        <v/>
      </c>
    </row>
    <row r="5282" spans="1:3" x14ac:dyDescent="0.3">
      <c r="A5282" s="5" t="s">
        <v>5919</v>
      </c>
      <c r="B5282" t="s">
        <v>11346</v>
      </c>
      <c r="C5282" t="str">
        <f>IFERROR(VLOOKUP(ILACLISTE[[#This Row],[NAME]],Table5[#All],2,0),"")</f>
        <v/>
      </c>
    </row>
    <row r="5283" spans="1:3" x14ac:dyDescent="0.3">
      <c r="A5283" s="5" t="s">
        <v>5920</v>
      </c>
      <c r="B5283" t="s">
        <v>11347</v>
      </c>
      <c r="C5283" t="str">
        <f>IFERROR(VLOOKUP(ILACLISTE[[#This Row],[NAME]],Table5[#All],2,0),"")</f>
        <v/>
      </c>
    </row>
    <row r="5284" spans="1:3" x14ac:dyDescent="0.3">
      <c r="A5284" s="5" t="s">
        <v>5921</v>
      </c>
      <c r="B5284" t="s">
        <v>11348</v>
      </c>
      <c r="C5284" t="str">
        <f>IFERROR(VLOOKUP(ILACLISTE[[#This Row],[NAME]],Table5[#All],2,0),"")</f>
        <v/>
      </c>
    </row>
    <row r="5285" spans="1:3" x14ac:dyDescent="0.3">
      <c r="A5285" s="5" t="s">
        <v>5922</v>
      </c>
      <c r="B5285" t="s">
        <v>11349</v>
      </c>
      <c r="C5285" t="str">
        <f>IFERROR(VLOOKUP(ILACLISTE[[#This Row],[NAME]],Table5[#All],2,0),"")</f>
        <v/>
      </c>
    </row>
    <row r="5286" spans="1:3" x14ac:dyDescent="0.3">
      <c r="A5286" s="5" t="s">
        <v>5923</v>
      </c>
      <c r="B5286" t="s">
        <v>11350</v>
      </c>
      <c r="C5286" t="str">
        <f>IFERROR(VLOOKUP(ILACLISTE[[#This Row],[NAME]],Table5[#All],2,0),"")</f>
        <v/>
      </c>
    </row>
    <row r="5287" spans="1:3" x14ac:dyDescent="0.3">
      <c r="A5287" s="5" t="s">
        <v>5924</v>
      </c>
      <c r="B5287" t="s">
        <v>11351</v>
      </c>
      <c r="C5287" t="str">
        <f>IFERROR(VLOOKUP(ILACLISTE[[#This Row],[NAME]],Table5[#All],2,0),"")</f>
        <v/>
      </c>
    </row>
    <row r="5288" spans="1:3" x14ac:dyDescent="0.3">
      <c r="A5288" s="5" t="s">
        <v>5925</v>
      </c>
      <c r="B5288" t="s">
        <v>11352</v>
      </c>
      <c r="C5288" t="str">
        <f>IFERROR(VLOOKUP(ILACLISTE[[#This Row],[NAME]],Table5[#All],2,0),"")</f>
        <v/>
      </c>
    </row>
    <row r="5289" spans="1:3" x14ac:dyDescent="0.3">
      <c r="A5289" s="5" t="s">
        <v>5926</v>
      </c>
      <c r="B5289" t="s">
        <v>11353</v>
      </c>
      <c r="C5289" t="str">
        <f>IFERROR(VLOOKUP(ILACLISTE[[#This Row],[NAME]],Table5[#All],2,0),"")</f>
        <v/>
      </c>
    </row>
    <row r="5290" spans="1:3" x14ac:dyDescent="0.3">
      <c r="A5290" s="5" t="s">
        <v>5927</v>
      </c>
      <c r="B5290" t="s">
        <v>11354</v>
      </c>
      <c r="C5290" t="str">
        <f>IFERROR(VLOOKUP(ILACLISTE[[#This Row],[NAME]],Table5[#All],2,0),"")</f>
        <v/>
      </c>
    </row>
    <row r="5291" spans="1:3" x14ac:dyDescent="0.3">
      <c r="A5291" s="5" t="s">
        <v>5928</v>
      </c>
      <c r="B5291" t="s">
        <v>11355</v>
      </c>
      <c r="C5291" t="str">
        <f>IFERROR(VLOOKUP(ILACLISTE[[#This Row],[NAME]],Table5[#All],2,0),"")</f>
        <v/>
      </c>
    </row>
    <row r="5292" spans="1:3" x14ac:dyDescent="0.3">
      <c r="A5292" s="5" t="s">
        <v>5929</v>
      </c>
      <c r="B5292" t="s">
        <v>11356</v>
      </c>
      <c r="C5292" t="str">
        <f>IFERROR(VLOOKUP(ILACLISTE[[#This Row],[NAME]],Table5[#All],2,0),"")</f>
        <v/>
      </c>
    </row>
    <row r="5293" spans="1:3" x14ac:dyDescent="0.3">
      <c r="A5293" s="5" t="s">
        <v>5930</v>
      </c>
      <c r="B5293" t="s">
        <v>11357</v>
      </c>
      <c r="C5293" t="str">
        <f>IFERROR(VLOOKUP(ILACLISTE[[#This Row],[NAME]],Table5[#All],2,0),"")</f>
        <v/>
      </c>
    </row>
    <row r="5294" spans="1:3" x14ac:dyDescent="0.3">
      <c r="A5294" s="5" t="s">
        <v>5931</v>
      </c>
      <c r="B5294" t="s">
        <v>11358</v>
      </c>
      <c r="C5294" t="str">
        <f>IFERROR(VLOOKUP(ILACLISTE[[#This Row],[NAME]],Table5[#All],2,0),"")</f>
        <v/>
      </c>
    </row>
    <row r="5295" spans="1:3" x14ac:dyDescent="0.3">
      <c r="A5295" s="5" t="s">
        <v>5932</v>
      </c>
      <c r="B5295" t="s">
        <v>11359</v>
      </c>
      <c r="C5295" t="str">
        <f>IFERROR(VLOOKUP(ILACLISTE[[#This Row],[NAME]],Table5[#All],2,0),"")</f>
        <v/>
      </c>
    </row>
    <row r="5296" spans="1:3" x14ac:dyDescent="0.3">
      <c r="A5296" s="5" t="s">
        <v>5933</v>
      </c>
      <c r="B5296" t="s">
        <v>11360</v>
      </c>
      <c r="C5296" t="str">
        <f>IFERROR(VLOOKUP(ILACLISTE[[#This Row],[NAME]],Table5[#All],2,0),"")</f>
        <v/>
      </c>
    </row>
    <row r="5297" spans="1:3" x14ac:dyDescent="0.3">
      <c r="A5297" s="5" t="s">
        <v>5934</v>
      </c>
      <c r="B5297" t="s">
        <v>11361</v>
      </c>
      <c r="C5297" t="str">
        <f>IFERROR(VLOOKUP(ILACLISTE[[#This Row],[NAME]],Table5[#All],2,0),"")</f>
        <v/>
      </c>
    </row>
    <row r="5298" spans="1:3" x14ac:dyDescent="0.3">
      <c r="A5298" s="5" t="s">
        <v>5935</v>
      </c>
      <c r="B5298" t="s">
        <v>11362</v>
      </c>
      <c r="C5298" t="str">
        <f>IFERROR(VLOOKUP(ILACLISTE[[#This Row],[NAME]],Table5[#All],2,0),"")</f>
        <v/>
      </c>
    </row>
    <row r="5299" spans="1:3" x14ac:dyDescent="0.3">
      <c r="A5299" s="5" t="s">
        <v>5936</v>
      </c>
      <c r="B5299" t="s">
        <v>11363</v>
      </c>
      <c r="C5299" t="str">
        <f>IFERROR(VLOOKUP(ILACLISTE[[#This Row],[NAME]],Table5[#All],2,0),"")</f>
        <v/>
      </c>
    </row>
    <row r="5300" spans="1:3" x14ac:dyDescent="0.3">
      <c r="A5300" s="5" t="s">
        <v>5937</v>
      </c>
      <c r="B5300" t="s">
        <v>11364</v>
      </c>
      <c r="C5300" t="str">
        <f>IFERROR(VLOOKUP(ILACLISTE[[#This Row],[NAME]],Table5[#All],2,0),"")</f>
        <v/>
      </c>
    </row>
    <row r="5301" spans="1:3" x14ac:dyDescent="0.3">
      <c r="A5301" s="5" t="s">
        <v>5938</v>
      </c>
      <c r="B5301" t="s">
        <v>11365</v>
      </c>
      <c r="C5301" t="str">
        <f>IFERROR(VLOOKUP(ILACLISTE[[#This Row],[NAME]],Table5[#All],2,0),"")</f>
        <v/>
      </c>
    </row>
    <row r="5302" spans="1:3" x14ac:dyDescent="0.3">
      <c r="A5302" s="5" t="s">
        <v>5939</v>
      </c>
      <c r="B5302" t="s">
        <v>11366</v>
      </c>
      <c r="C5302" t="str">
        <f>IFERROR(VLOOKUP(ILACLISTE[[#This Row],[NAME]],Table5[#All],2,0),"")</f>
        <v/>
      </c>
    </row>
    <row r="5303" spans="1:3" x14ac:dyDescent="0.3">
      <c r="A5303" s="5" t="s">
        <v>5940</v>
      </c>
      <c r="B5303" t="s">
        <v>11367</v>
      </c>
      <c r="C5303" t="str">
        <f>IFERROR(VLOOKUP(ILACLISTE[[#This Row],[NAME]],Table5[#All],2,0),"")</f>
        <v/>
      </c>
    </row>
    <row r="5304" spans="1:3" x14ac:dyDescent="0.3">
      <c r="A5304" s="5" t="s">
        <v>5941</v>
      </c>
      <c r="B5304" t="s">
        <v>630</v>
      </c>
      <c r="C5304" t="str">
        <f>IFERROR(VLOOKUP(ILACLISTE[[#This Row],[NAME]],Table5[#All],2,0),"")</f>
        <v/>
      </c>
    </row>
    <row r="5305" spans="1:3" x14ac:dyDescent="0.3">
      <c r="A5305" s="5" t="s">
        <v>5942</v>
      </c>
      <c r="B5305" t="s">
        <v>11368</v>
      </c>
      <c r="C5305" t="str">
        <f>IFERROR(VLOOKUP(ILACLISTE[[#This Row],[NAME]],Table5[#All],2,0),"")</f>
        <v/>
      </c>
    </row>
    <row r="5306" spans="1:3" x14ac:dyDescent="0.3">
      <c r="A5306" s="5" t="s">
        <v>5943</v>
      </c>
      <c r="B5306" t="s">
        <v>11369</v>
      </c>
      <c r="C5306" t="str">
        <f>IFERROR(VLOOKUP(ILACLISTE[[#This Row],[NAME]],Table5[#All],2,0),"")</f>
        <v/>
      </c>
    </row>
    <row r="5307" spans="1:3" x14ac:dyDescent="0.3">
      <c r="A5307" s="5" t="s">
        <v>5944</v>
      </c>
      <c r="B5307" t="s">
        <v>11370</v>
      </c>
      <c r="C5307" t="str">
        <f>IFERROR(VLOOKUP(ILACLISTE[[#This Row],[NAME]],Table5[#All],2,0),"")</f>
        <v/>
      </c>
    </row>
    <row r="5308" spans="1:3" x14ac:dyDescent="0.3">
      <c r="A5308" s="5" t="s">
        <v>5945</v>
      </c>
      <c r="B5308" t="s">
        <v>11371</v>
      </c>
      <c r="C5308" t="str">
        <f>IFERROR(VLOOKUP(ILACLISTE[[#This Row],[NAME]],Table5[#All],2,0),"")</f>
        <v/>
      </c>
    </row>
    <row r="5309" spans="1:3" x14ac:dyDescent="0.3">
      <c r="A5309" s="5" t="s">
        <v>5946</v>
      </c>
      <c r="B5309" t="s">
        <v>11372</v>
      </c>
      <c r="C5309" t="str">
        <f>IFERROR(VLOOKUP(ILACLISTE[[#This Row],[NAME]],Table5[#All],2,0),"")</f>
        <v/>
      </c>
    </row>
    <row r="5310" spans="1:3" x14ac:dyDescent="0.3">
      <c r="A5310" s="5" t="s">
        <v>5947</v>
      </c>
      <c r="B5310" t="s">
        <v>11373</v>
      </c>
      <c r="C5310" t="str">
        <f>IFERROR(VLOOKUP(ILACLISTE[[#This Row],[NAME]],Table5[#All],2,0),"")</f>
        <v/>
      </c>
    </row>
    <row r="5311" spans="1:3" x14ac:dyDescent="0.3">
      <c r="A5311" s="5" t="s">
        <v>5948</v>
      </c>
      <c r="B5311" t="s">
        <v>11374</v>
      </c>
      <c r="C5311" t="str">
        <f>IFERROR(VLOOKUP(ILACLISTE[[#This Row],[NAME]],Table5[#All],2,0),"")</f>
        <v/>
      </c>
    </row>
    <row r="5312" spans="1:3" x14ac:dyDescent="0.3">
      <c r="A5312" s="5" t="s">
        <v>5949</v>
      </c>
      <c r="B5312" t="s">
        <v>11375</v>
      </c>
      <c r="C5312" t="str">
        <f>IFERROR(VLOOKUP(ILACLISTE[[#This Row],[NAME]],Table5[#All],2,0),"")</f>
        <v/>
      </c>
    </row>
    <row r="5313" spans="1:3" x14ac:dyDescent="0.3">
      <c r="A5313" s="5" t="s">
        <v>5950</v>
      </c>
      <c r="B5313" t="s">
        <v>11376</v>
      </c>
      <c r="C5313" t="str">
        <f>IFERROR(VLOOKUP(ILACLISTE[[#This Row],[NAME]],Table5[#All],2,0),"")</f>
        <v/>
      </c>
    </row>
    <row r="5314" spans="1:3" x14ac:dyDescent="0.3">
      <c r="A5314" s="5" t="s">
        <v>5951</v>
      </c>
      <c r="B5314" t="s">
        <v>11377</v>
      </c>
      <c r="C5314" t="str">
        <f>IFERROR(VLOOKUP(ILACLISTE[[#This Row],[NAME]],Table5[#All],2,0),"")</f>
        <v/>
      </c>
    </row>
    <row r="5315" spans="1:3" x14ac:dyDescent="0.3">
      <c r="A5315" s="5" t="s">
        <v>5952</v>
      </c>
      <c r="B5315" t="s">
        <v>11378</v>
      </c>
      <c r="C5315" t="str">
        <f>IFERROR(VLOOKUP(ILACLISTE[[#This Row],[NAME]],Table5[#All],2,0),"")</f>
        <v/>
      </c>
    </row>
    <row r="5316" spans="1:3" x14ac:dyDescent="0.3">
      <c r="A5316" s="5" t="s">
        <v>5953</v>
      </c>
      <c r="B5316" t="s">
        <v>11379</v>
      </c>
      <c r="C5316" t="str">
        <f>IFERROR(VLOOKUP(ILACLISTE[[#This Row],[NAME]],Table5[#All],2,0),"")</f>
        <v/>
      </c>
    </row>
    <row r="5317" spans="1:3" x14ac:dyDescent="0.3">
      <c r="A5317" s="5" t="s">
        <v>5954</v>
      </c>
      <c r="B5317" t="s">
        <v>11380</v>
      </c>
      <c r="C5317" t="str">
        <f>IFERROR(VLOOKUP(ILACLISTE[[#This Row],[NAME]],Table5[#All],2,0),"")</f>
        <v/>
      </c>
    </row>
    <row r="5318" spans="1:3" x14ac:dyDescent="0.3">
      <c r="A5318" s="5" t="s">
        <v>5955</v>
      </c>
      <c r="B5318" t="s">
        <v>11381</v>
      </c>
      <c r="C5318" t="str">
        <f>IFERROR(VLOOKUP(ILACLISTE[[#This Row],[NAME]],Table5[#All],2,0),"")</f>
        <v/>
      </c>
    </row>
    <row r="5319" spans="1:3" x14ac:dyDescent="0.3">
      <c r="A5319" s="5" t="s">
        <v>5956</v>
      </c>
      <c r="B5319" t="s">
        <v>11382</v>
      </c>
      <c r="C5319" t="str">
        <f>IFERROR(VLOOKUP(ILACLISTE[[#This Row],[NAME]],Table5[#All],2,0),"")</f>
        <v/>
      </c>
    </row>
    <row r="5320" spans="1:3" x14ac:dyDescent="0.3">
      <c r="A5320" s="5" t="s">
        <v>5957</v>
      </c>
      <c r="B5320" t="s">
        <v>11383</v>
      </c>
      <c r="C5320" t="str">
        <f>IFERROR(VLOOKUP(ILACLISTE[[#This Row],[NAME]],Table5[#All],2,0),"")</f>
        <v/>
      </c>
    </row>
    <row r="5321" spans="1:3" x14ac:dyDescent="0.3">
      <c r="A5321" s="5" t="s">
        <v>5958</v>
      </c>
      <c r="B5321" t="s">
        <v>11384</v>
      </c>
      <c r="C5321" t="str">
        <f>IFERROR(VLOOKUP(ILACLISTE[[#This Row],[NAME]],Table5[#All],2,0),"")</f>
        <v/>
      </c>
    </row>
    <row r="5322" spans="1:3" x14ac:dyDescent="0.3">
      <c r="A5322" s="5" t="s">
        <v>5959</v>
      </c>
      <c r="B5322" t="s">
        <v>11385</v>
      </c>
      <c r="C5322" t="str">
        <f>IFERROR(VLOOKUP(ILACLISTE[[#This Row],[NAME]],Table5[#All],2,0),"")</f>
        <v/>
      </c>
    </row>
    <row r="5323" spans="1:3" x14ac:dyDescent="0.3">
      <c r="A5323" s="5" t="s">
        <v>5960</v>
      </c>
      <c r="B5323" t="s">
        <v>11386</v>
      </c>
      <c r="C5323" t="str">
        <f>IFERROR(VLOOKUP(ILACLISTE[[#This Row],[NAME]],Table5[#All],2,0),"")</f>
        <v/>
      </c>
    </row>
    <row r="5324" spans="1:3" x14ac:dyDescent="0.3">
      <c r="A5324" s="5" t="s">
        <v>5961</v>
      </c>
      <c r="B5324" t="s">
        <v>11387</v>
      </c>
      <c r="C5324" t="str">
        <f>IFERROR(VLOOKUP(ILACLISTE[[#This Row],[NAME]],Table5[#All],2,0),"")</f>
        <v/>
      </c>
    </row>
    <row r="5325" spans="1:3" x14ac:dyDescent="0.3">
      <c r="A5325" s="5" t="s">
        <v>5962</v>
      </c>
      <c r="B5325" t="s">
        <v>11388</v>
      </c>
      <c r="C5325" t="str">
        <f>IFERROR(VLOOKUP(ILACLISTE[[#This Row],[NAME]],Table5[#All],2,0),"")</f>
        <v/>
      </c>
    </row>
    <row r="5326" spans="1:3" x14ac:dyDescent="0.3">
      <c r="A5326" s="5" t="s">
        <v>5963</v>
      </c>
      <c r="B5326" t="s">
        <v>11389</v>
      </c>
      <c r="C5326" t="str">
        <f>IFERROR(VLOOKUP(ILACLISTE[[#This Row],[NAME]],Table5[#All],2,0),"")</f>
        <v/>
      </c>
    </row>
    <row r="5327" spans="1:3" x14ac:dyDescent="0.3">
      <c r="A5327" s="5" t="s">
        <v>5964</v>
      </c>
      <c r="B5327" t="s">
        <v>11390</v>
      </c>
      <c r="C5327" t="str">
        <f>IFERROR(VLOOKUP(ILACLISTE[[#This Row],[NAME]],Table5[#All],2,0),"")</f>
        <v/>
      </c>
    </row>
    <row r="5328" spans="1:3" x14ac:dyDescent="0.3">
      <c r="A5328" s="5" t="s">
        <v>5965</v>
      </c>
      <c r="B5328" t="s">
        <v>11391</v>
      </c>
      <c r="C5328" t="str">
        <f>IFERROR(VLOOKUP(ILACLISTE[[#This Row],[NAME]],Table5[#All],2,0),"")</f>
        <v/>
      </c>
    </row>
    <row r="5329" spans="1:3" x14ac:dyDescent="0.3">
      <c r="A5329" s="5" t="s">
        <v>5966</v>
      </c>
      <c r="B5329" t="s">
        <v>11392</v>
      </c>
      <c r="C5329" t="str">
        <f>IFERROR(VLOOKUP(ILACLISTE[[#This Row],[NAME]],Table5[#All],2,0),"")</f>
        <v/>
      </c>
    </row>
    <row r="5330" spans="1:3" x14ac:dyDescent="0.3">
      <c r="A5330" s="5" t="s">
        <v>5967</v>
      </c>
      <c r="B5330" t="s">
        <v>11393</v>
      </c>
      <c r="C5330" t="str">
        <f>IFERROR(VLOOKUP(ILACLISTE[[#This Row],[NAME]],Table5[#All],2,0),"")</f>
        <v/>
      </c>
    </row>
    <row r="5331" spans="1:3" x14ac:dyDescent="0.3">
      <c r="A5331" s="5" t="s">
        <v>5968</v>
      </c>
      <c r="B5331" t="s">
        <v>11394</v>
      </c>
      <c r="C5331" t="str">
        <f>IFERROR(VLOOKUP(ILACLISTE[[#This Row],[NAME]],Table5[#All],2,0),"")</f>
        <v/>
      </c>
    </row>
    <row r="5332" spans="1:3" x14ac:dyDescent="0.3">
      <c r="A5332" s="5" t="s">
        <v>5969</v>
      </c>
      <c r="B5332" t="s">
        <v>11395</v>
      </c>
      <c r="C5332" t="str">
        <f>IFERROR(VLOOKUP(ILACLISTE[[#This Row],[NAME]],Table5[#All],2,0),"")</f>
        <v/>
      </c>
    </row>
    <row r="5333" spans="1:3" x14ac:dyDescent="0.3">
      <c r="A5333" s="5" t="s">
        <v>5970</v>
      </c>
      <c r="B5333" t="s">
        <v>11396</v>
      </c>
      <c r="C5333" t="str">
        <f>IFERROR(VLOOKUP(ILACLISTE[[#This Row],[NAME]],Table5[#All],2,0),"")</f>
        <v/>
      </c>
    </row>
    <row r="5334" spans="1:3" x14ac:dyDescent="0.3">
      <c r="A5334" s="5" t="s">
        <v>5971</v>
      </c>
      <c r="B5334" t="s">
        <v>631</v>
      </c>
      <c r="C5334" t="str">
        <f>IFERROR(VLOOKUP(ILACLISTE[[#This Row],[NAME]],Table5[#All],2,0),"")</f>
        <v/>
      </c>
    </row>
    <row r="5335" spans="1:3" x14ac:dyDescent="0.3">
      <c r="A5335" s="5" t="s">
        <v>5972</v>
      </c>
      <c r="B5335" t="s">
        <v>11397</v>
      </c>
      <c r="C5335" t="str">
        <f>IFERROR(VLOOKUP(ILACLISTE[[#This Row],[NAME]],Table5[#All],2,0),"")</f>
        <v/>
      </c>
    </row>
    <row r="5336" spans="1:3" x14ac:dyDescent="0.3">
      <c r="A5336" s="5" t="s">
        <v>5973</v>
      </c>
      <c r="B5336" t="s">
        <v>11398</v>
      </c>
      <c r="C5336" t="str">
        <f>IFERROR(VLOOKUP(ILACLISTE[[#This Row],[NAME]],Table5[#All],2,0),"")</f>
        <v/>
      </c>
    </row>
    <row r="5337" spans="1:3" x14ac:dyDescent="0.3">
      <c r="A5337" s="5" t="s">
        <v>5974</v>
      </c>
      <c r="B5337" t="s">
        <v>11399</v>
      </c>
      <c r="C5337" t="str">
        <f>IFERROR(VLOOKUP(ILACLISTE[[#This Row],[NAME]],Table5[#All],2,0),"")</f>
        <v/>
      </c>
    </row>
    <row r="5338" spans="1:3" x14ac:dyDescent="0.3">
      <c r="A5338" s="5" t="s">
        <v>5975</v>
      </c>
      <c r="B5338" t="s">
        <v>11400</v>
      </c>
      <c r="C5338" t="str">
        <f>IFERROR(VLOOKUP(ILACLISTE[[#This Row],[NAME]],Table5[#All],2,0),"")</f>
        <v/>
      </c>
    </row>
    <row r="5339" spans="1:3" x14ac:dyDescent="0.3">
      <c r="A5339" s="5" t="s">
        <v>5976</v>
      </c>
      <c r="B5339" t="s">
        <v>11401</v>
      </c>
      <c r="C5339" t="str">
        <f>IFERROR(VLOOKUP(ILACLISTE[[#This Row],[NAME]],Table5[#All],2,0),"")</f>
        <v/>
      </c>
    </row>
    <row r="5340" spans="1:3" x14ac:dyDescent="0.3">
      <c r="A5340" s="5" t="s">
        <v>5977</v>
      </c>
      <c r="B5340" t="s">
        <v>11402</v>
      </c>
      <c r="C5340" t="str">
        <f>IFERROR(VLOOKUP(ILACLISTE[[#This Row],[NAME]],Table5[#All],2,0),"")</f>
        <v/>
      </c>
    </row>
    <row r="5341" spans="1:3" x14ac:dyDescent="0.3">
      <c r="A5341" s="5" t="s">
        <v>5978</v>
      </c>
      <c r="B5341" t="s">
        <v>11403</v>
      </c>
      <c r="C5341" t="str">
        <f>IFERROR(VLOOKUP(ILACLISTE[[#This Row],[NAME]],Table5[#All],2,0),"")</f>
        <v/>
      </c>
    </row>
    <row r="5342" spans="1:3" x14ac:dyDescent="0.3">
      <c r="A5342" s="5" t="s">
        <v>5979</v>
      </c>
      <c r="B5342" t="s">
        <v>11404</v>
      </c>
      <c r="C5342" t="str">
        <f>IFERROR(VLOOKUP(ILACLISTE[[#This Row],[NAME]],Table5[#All],2,0),"")</f>
        <v/>
      </c>
    </row>
    <row r="5343" spans="1:3" x14ac:dyDescent="0.3">
      <c r="A5343" s="5" t="s">
        <v>5980</v>
      </c>
      <c r="B5343" t="s">
        <v>11405</v>
      </c>
      <c r="C5343" t="str">
        <f>IFERROR(VLOOKUP(ILACLISTE[[#This Row],[NAME]],Table5[#All],2,0),"")</f>
        <v/>
      </c>
    </row>
    <row r="5344" spans="1:3" x14ac:dyDescent="0.3">
      <c r="A5344" s="5" t="s">
        <v>5981</v>
      </c>
      <c r="B5344" t="s">
        <v>632</v>
      </c>
      <c r="C5344" t="str">
        <f>IFERROR(VLOOKUP(ILACLISTE[[#This Row],[NAME]],Table5[#All],2,0),"")</f>
        <v/>
      </c>
    </row>
    <row r="5345" spans="1:3" x14ac:dyDescent="0.3">
      <c r="A5345" s="5" t="s">
        <v>5982</v>
      </c>
      <c r="B5345" t="s">
        <v>11406</v>
      </c>
      <c r="C5345" t="str">
        <f>IFERROR(VLOOKUP(ILACLISTE[[#This Row],[NAME]],Table5[#All],2,0),"")</f>
        <v/>
      </c>
    </row>
    <row r="5346" spans="1:3" x14ac:dyDescent="0.3">
      <c r="A5346" s="5" t="s">
        <v>5983</v>
      </c>
      <c r="B5346" t="s">
        <v>11407</v>
      </c>
      <c r="C5346" t="str">
        <f>IFERROR(VLOOKUP(ILACLISTE[[#This Row],[NAME]],Table5[#All],2,0),"")</f>
        <v/>
      </c>
    </row>
    <row r="5347" spans="1:3" x14ac:dyDescent="0.3">
      <c r="A5347" s="5" t="s">
        <v>5984</v>
      </c>
      <c r="B5347" t="s">
        <v>11408</v>
      </c>
      <c r="C5347" t="str">
        <f>IFERROR(VLOOKUP(ILACLISTE[[#This Row],[NAME]],Table5[#All],2,0),"")</f>
        <v/>
      </c>
    </row>
    <row r="5348" spans="1:3" x14ac:dyDescent="0.3">
      <c r="A5348" s="5" t="s">
        <v>5985</v>
      </c>
      <c r="B5348" t="s">
        <v>11409</v>
      </c>
      <c r="C5348" t="str">
        <f>IFERROR(VLOOKUP(ILACLISTE[[#This Row],[NAME]],Table5[#All],2,0),"")</f>
        <v/>
      </c>
    </row>
    <row r="5349" spans="1:3" x14ac:dyDescent="0.3">
      <c r="A5349" s="5" t="s">
        <v>5986</v>
      </c>
      <c r="B5349" t="s">
        <v>11410</v>
      </c>
      <c r="C5349" t="str">
        <f>IFERROR(VLOOKUP(ILACLISTE[[#This Row],[NAME]],Table5[#All],2,0),"")</f>
        <v/>
      </c>
    </row>
    <row r="5350" spans="1:3" x14ac:dyDescent="0.3">
      <c r="A5350" s="5" t="s">
        <v>5987</v>
      </c>
      <c r="B5350" t="s">
        <v>11411</v>
      </c>
      <c r="C5350" t="str">
        <f>IFERROR(VLOOKUP(ILACLISTE[[#This Row],[NAME]],Table5[#All],2,0),"")</f>
        <v/>
      </c>
    </row>
    <row r="5351" spans="1:3" x14ac:dyDescent="0.3">
      <c r="A5351" s="5" t="s">
        <v>5988</v>
      </c>
      <c r="B5351" t="s">
        <v>633</v>
      </c>
      <c r="C5351" t="str">
        <f>IFERROR(VLOOKUP(ILACLISTE[[#This Row],[NAME]],Table5[#All],2,0),"")</f>
        <v/>
      </c>
    </row>
    <row r="5352" spans="1:3" x14ac:dyDescent="0.3">
      <c r="A5352" s="5" t="s">
        <v>5989</v>
      </c>
      <c r="B5352" t="s">
        <v>11412</v>
      </c>
      <c r="C5352" t="str">
        <f>IFERROR(VLOOKUP(ILACLISTE[[#This Row],[NAME]],Table5[#All],2,0),"")</f>
        <v/>
      </c>
    </row>
    <row r="5353" spans="1:3" x14ac:dyDescent="0.3">
      <c r="A5353" s="5" t="s">
        <v>5990</v>
      </c>
      <c r="B5353" t="s">
        <v>11413</v>
      </c>
      <c r="C5353" t="str">
        <f>IFERROR(VLOOKUP(ILACLISTE[[#This Row],[NAME]],Table5[#All],2,0),"")</f>
        <v/>
      </c>
    </row>
    <row r="5354" spans="1:3" x14ac:dyDescent="0.3">
      <c r="A5354" s="5" t="s">
        <v>5991</v>
      </c>
      <c r="B5354" t="s">
        <v>11414</v>
      </c>
      <c r="C5354" t="str">
        <f>IFERROR(VLOOKUP(ILACLISTE[[#This Row],[NAME]],Table5[#All],2,0),"")</f>
        <v/>
      </c>
    </row>
    <row r="5355" spans="1:3" x14ac:dyDescent="0.3">
      <c r="A5355" s="5" t="s">
        <v>5992</v>
      </c>
      <c r="B5355" t="s">
        <v>11415</v>
      </c>
      <c r="C5355" t="str">
        <f>IFERROR(VLOOKUP(ILACLISTE[[#This Row],[NAME]],Table5[#All],2,0),"")</f>
        <v/>
      </c>
    </row>
    <row r="5356" spans="1:3" x14ac:dyDescent="0.3">
      <c r="A5356" s="5" t="s">
        <v>5993</v>
      </c>
      <c r="B5356" t="s">
        <v>11416</v>
      </c>
      <c r="C5356" t="str">
        <f>IFERROR(VLOOKUP(ILACLISTE[[#This Row],[NAME]],Table5[#All],2,0),"")</f>
        <v/>
      </c>
    </row>
    <row r="5357" spans="1:3" x14ac:dyDescent="0.3">
      <c r="A5357" s="5" t="s">
        <v>5994</v>
      </c>
      <c r="B5357" t="s">
        <v>11417</v>
      </c>
      <c r="C5357" t="str">
        <f>IFERROR(VLOOKUP(ILACLISTE[[#This Row],[NAME]],Table5[#All],2,0),"")</f>
        <v/>
      </c>
    </row>
    <row r="5358" spans="1:3" x14ac:dyDescent="0.3">
      <c r="A5358" s="5" t="s">
        <v>5995</v>
      </c>
      <c r="B5358" t="s">
        <v>11418</v>
      </c>
      <c r="C5358" t="str">
        <f>IFERROR(VLOOKUP(ILACLISTE[[#This Row],[NAME]],Table5[#All],2,0),"")</f>
        <v/>
      </c>
    </row>
    <row r="5359" spans="1:3" x14ac:dyDescent="0.3">
      <c r="A5359" s="5" t="s">
        <v>5996</v>
      </c>
      <c r="B5359" t="s">
        <v>11419</v>
      </c>
      <c r="C5359" t="str">
        <f>IFERROR(VLOOKUP(ILACLISTE[[#This Row],[NAME]],Table5[#All],2,0),"")</f>
        <v/>
      </c>
    </row>
    <row r="5360" spans="1:3" x14ac:dyDescent="0.3">
      <c r="A5360" s="5" t="s">
        <v>5997</v>
      </c>
      <c r="B5360" t="s">
        <v>11420</v>
      </c>
      <c r="C5360" t="str">
        <f>IFERROR(VLOOKUP(ILACLISTE[[#This Row],[NAME]],Table5[#All],2,0),"")</f>
        <v/>
      </c>
    </row>
    <row r="5361" spans="1:3" x14ac:dyDescent="0.3">
      <c r="A5361" s="5" t="s">
        <v>5998</v>
      </c>
      <c r="B5361" t="s">
        <v>11421</v>
      </c>
      <c r="C5361" t="str">
        <f>IFERROR(VLOOKUP(ILACLISTE[[#This Row],[NAME]],Table5[#All],2,0),"")</f>
        <v/>
      </c>
    </row>
    <row r="5362" spans="1:3" x14ac:dyDescent="0.3">
      <c r="A5362" s="5" t="s">
        <v>5999</v>
      </c>
      <c r="B5362" t="s">
        <v>11422</v>
      </c>
      <c r="C5362" t="str">
        <f>IFERROR(VLOOKUP(ILACLISTE[[#This Row],[NAME]],Table5[#All],2,0),"")</f>
        <v/>
      </c>
    </row>
    <row r="5363" spans="1:3" x14ac:dyDescent="0.3">
      <c r="A5363" s="5" t="s">
        <v>6000</v>
      </c>
      <c r="B5363" t="s">
        <v>11423</v>
      </c>
      <c r="C5363" t="str">
        <f>IFERROR(VLOOKUP(ILACLISTE[[#This Row],[NAME]],Table5[#All],2,0),"")</f>
        <v/>
      </c>
    </row>
    <row r="5364" spans="1:3" ht="20.399999999999999" x14ac:dyDescent="0.3">
      <c r="A5364" s="6" t="s">
        <v>6001</v>
      </c>
      <c r="B5364" t="s">
        <v>11424</v>
      </c>
      <c r="C5364" t="str">
        <f>IFERROR(VLOOKUP(ILACLISTE[[#This Row],[NAME]],Table5[#All],2,0),"")</f>
        <v/>
      </c>
    </row>
    <row r="5365" spans="1:3" x14ac:dyDescent="0.3">
      <c r="A5365" s="5" t="s">
        <v>6002</v>
      </c>
      <c r="B5365" t="s">
        <v>11425</v>
      </c>
      <c r="C5365" t="str">
        <f>IFERROR(VLOOKUP(ILACLISTE[[#This Row],[NAME]],Table5[#All],2,0),"")</f>
        <v/>
      </c>
    </row>
    <row r="5366" spans="1:3" x14ac:dyDescent="0.3">
      <c r="A5366" s="5" t="s">
        <v>6003</v>
      </c>
      <c r="B5366" t="s">
        <v>11426</v>
      </c>
      <c r="C5366" t="str">
        <f>IFERROR(VLOOKUP(ILACLISTE[[#This Row],[NAME]],Table5[#All],2,0),"")</f>
        <v/>
      </c>
    </row>
    <row r="5367" spans="1:3" x14ac:dyDescent="0.3">
      <c r="A5367" s="5" t="s">
        <v>6004</v>
      </c>
      <c r="B5367" t="s">
        <v>11427</v>
      </c>
      <c r="C5367" t="str">
        <f>IFERROR(VLOOKUP(ILACLISTE[[#This Row],[NAME]],Table5[#All],2,0),"")</f>
        <v/>
      </c>
    </row>
    <row r="5368" spans="1:3" ht="20.399999999999999" x14ac:dyDescent="0.3">
      <c r="A5368" s="7" t="s">
        <v>6005</v>
      </c>
      <c r="B5368" t="s">
        <v>11428</v>
      </c>
      <c r="C5368" t="str">
        <f>IFERROR(VLOOKUP(ILACLISTE[[#This Row],[NAME]],Table5[#All],2,0),"")</f>
        <v/>
      </c>
    </row>
    <row r="5369" spans="1:3" x14ac:dyDescent="0.3">
      <c r="A5369" s="5" t="s">
        <v>6006</v>
      </c>
      <c r="B5369" t="s">
        <v>634</v>
      </c>
      <c r="C5369" t="str">
        <f>IFERROR(VLOOKUP(ILACLISTE[[#This Row],[NAME]],Table5[#All],2,0),"")</f>
        <v/>
      </c>
    </row>
    <row r="5370" spans="1:3" x14ac:dyDescent="0.3">
      <c r="A5370" s="5" t="s">
        <v>6007</v>
      </c>
      <c r="B5370" t="s">
        <v>11429</v>
      </c>
      <c r="C5370" t="str">
        <f>IFERROR(VLOOKUP(ILACLISTE[[#This Row],[NAME]],Table5[#All],2,0),"")</f>
        <v/>
      </c>
    </row>
    <row r="5371" spans="1:3" x14ac:dyDescent="0.3">
      <c r="A5371" s="5" t="s">
        <v>6008</v>
      </c>
      <c r="B5371" t="s">
        <v>11430</v>
      </c>
      <c r="C5371" t="str">
        <f>IFERROR(VLOOKUP(ILACLISTE[[#This Row],[NAME]],Table5[#All],2,0),"")</f>
        <v/>
      </c>
    </row>
    <row r="5372" spans="1:3" x14ac:dyDescent="0.3">
      <c r="A5372" s="5" t="s">
        <v>6009</v>
      </c>
      <c r="B5372" t="s">
        <v>11431</v>
      </c>
      <c r="C5372" t="str">
        <f>IFERROR(VLOOKUP(ILACLISTE[[#This Row],[NAME]],Table5[#All],2,0),"")</f>
        <v/>
      </c>
    </row>
    <row r="5373" spans="1:3" x14ac:dyDescent="0.3">
      <c r="A5373" s="5" t="s">
        <v>6010</v>
      </c>
      <c r="B5373" t="s">
        <v>11432</v>
      </c>
      <c r="C5373" t="str">
        <f>IFERROR(VLOOKUP(ILACLISTE[[#This Row],[NAME]],Table5[#All],2,0),"")</f>
        <v/>
      </c>
    </row>
    <row r="5374" spans="1:3" x14ac:dyDescent="0.3">
      <c r="A5374" s="5" t="s">
        <v>6011</v>
      </c>
      <c r="B5374" t="s">
        <v>11433</v>
      </c>
      <c r="C5374" t="str">
        <f>IFERROR(VLOOKUP(ILACLISTE[[#This Row],[NAME]],Table5[#All],2,0),"")</f>
        <v/>
      </c>
    </row>
    <row r="5375" spans="1:3" x14ac:dyDescent="0.3">
      <c r="A5375" s="5" t="s">
        <v>6012</v>
      </c>
      <c r="B5375" t="s">
        <v>11434</v>
      </c>
      <c r="C5375" t="str">
        <f>IFERROR(VLOOKUP(ILACLISTE[[#This Row],[NAME]],Table5[#All],2,0),"")</f>
        <v/>
      </c>
    </row>
    <row r="5376" spans="1:3" x14ac:dyDescent="0.3">
      <c r="A5376" s="5" t="s">
        <v>6013</v>
      </c>
      <c r="B5376" t="s">
        <v>11435</v>
      </c>
      <c r="C5376" t="str">
        <f>IFERROR(VLOOKUP(ILACLISTE[[#This Row],[NAME]],Table5[#All],2,0),"")</f>
        <v/>
      </c>
    </row>
    <row r="5377" spans="1:3" x14ac:dyDescent="0.3">
      <c r="A5377" s="5" t="s">
        <v>6014</v>
      </c>
      <c r="B5377" t="s">
        <v>11436</v>
      </c>
      <c r="C5377" t="str">
        <f>IFERROR(VLOOKUP(ILACLISTE[[#This Row],[NAME]],Table5[#All],2,0),"")</f>
        <v/>
      </c>
    </row>
    <row r="5378" spans="1:3" x14ac:dyDescent="0.3">
      <c r="A5378" s="5" t="s">
        <v>6015</v>
      </c>
      <c r="B5378" t="s">
        <v>11437</v>
      </c>
      <c r="C5378" t="str">
        <f>IFERROR(VLOOKUP(ILACLISTE[[#This Row],[NAME]],Table5[#All],2,0),"")</f>
        <v/>
      </c>
    </row>
    <row r="5379" spans="1:3" x14ac:dyDescent="0.3">
      <c r="A5379" s="5" t="s">
        <v>6016</v>
      </c>
      <c r="B5379" t="s">
        <v>11438</v>
      </c>
      <c r="C5379" t="str">
        <f>IFERROR(VLOOKUP(ILACLISTE[[#This Row],[NAME]],Table5[#All],2,0),"")</f>
        <v/>
      </c>
    </row>
    <row r="5380" spans="1:3" x14ac:dyDescent="0.3">
      <c r="A5380" s="5" t="s">
        <v>6017</v>
      </c>
      <c r="B5380" t="s">
        <v>11439</v>
      </c>
      <c r="C5380" t="str">
        <f>IFERROR(VLOOKUP(ILACLISTE[[#This Row],[NAME]],Table5[#All],2,0),"")</f>
        <v/>
      </c>
    </row>
    <row r="5381" spans="1:3" x14ac:dyDescent="0.3">
      <c r="A5381" s="5" t="s">
        <v>6018</v>
      </c>
      <c r="B5381" s="4" t="s">
        <v>11440</v>
      </c>
      <c r="C5381" t="str">
        <f>IFERROR(VLOOKUP(ILACLISTE[[#This Row],[NAME]],Table5[#All],2,0),"")</f>
        <v/>
      </c>
    </row>
    <row r="5382" spans="1:3" x14ac:dyDescent="0.3">
      <c r="A5382" s="5" t="s">
        <v>6019</v>
      </c>
      <c r="B5382" t="s">
        <v>11441</v>
      </c>
      <c r="C5382" t="str">
        <f>IFERROR(VLOOKUP(ILACLISTE[[#This Row],[NAME]],Table5[#All],2,0),"")</f>
        <v/>
      </c>
    </row>
    <row r="5383" spans="1:3" ht="20.399999999999999" x14ac:dyDescent="0.3">
      <c r="A5383" s="6" t="s">
        <v>6020</v>
      </c>
      <c r="B5383" t="s">
        <v>11442</v>
      </c>
      <c r="C5383" t="str">
        <f>IFERROR(VLOOKUP(ILACLISTE[[#This Row],[NAME]],Table5[#All],2,0),"")</f>
        <v/>
      </c>
    </row>
    <row r="5384" spans="1:3" x14ac:dyDescent="0.3">
      <c r="A5384" s="5" t="s">
        <v>6021</v>
      </c>
      <c r="B5384" t="s">
        <v>635</v>
      </c>
      <c r="C5384" t="str">
        <f>IFERROR(VLOOKUP(ILACLISTE[[#This Row],[NAME]],Table5[#All],2,0),"")</f>
        <v/>
      </c>
    </row>
    <row r="5385" spans="1:3" x14ac:dyDescent="0.3">
      <c r="A5385" s="5" t="s">
        <v>6022</v>
      </c>
      <c r="B5385" t="s">
        <v>11443</v>
      </c>
      <c r="C5385" t="str">
        <f>IFERROR(VLOOKUP(ILACLISTE[[#This Row],[NAME]],Table5[#All],2,0),"")</f>
        <v/>
      </c>
    </row>
    <row r="5386" spans="1:3" x14ac:dyDescent="0.3">
      <c r="A5386" s="5" t="s">
        <v>6023</v>
      </c>
      <c r="B5386" t="s">
        <v>11444</v>
      </c>
      <c r="C5386" t="str">
        <f>IFERROR(VLOOKUP(ILACLISTE[[#This Row],[NAME]],Table5[#All],2,0),"")</f>
        <v/>
      </c>
    </row>
    <row r="5387" spans="1:3" x14ac:dyDescent="0.3">
      <c r="A5387" s="5" t="s">
        <v>6024</v>
      </c>
      <c r="B5387" t="s">
        <v>11445</v>
      </c>
      <c r="C5387" t="str">
        <f>IFERROR(VLOOKUP(ILACLISTE[[#This Row],[NAME]],Table5[#All],2,0),"")</f>
        <v/>
      </c>
    </row>
    <row r="5388" spans="1:3" x14ac:dyDescent="0.3">
      <c r="A5388" s="5" t="s">
        <v>6025</v>
      </c>
      <c r="B5388" t="s">
        <v>11446</v>
      </c>
      <c r="C5388" t="str">
        <f>IFERROR(VLOOKUP(ILACLISTE[[#This Row],[NAME]],Table5[#All],2,0),"")</f>
        <v/>
      </c>
    </row>
    <row r="5389" spans="1:3" x14ac:dyDescent="0.3">
      <c r="A5389" s="5" t="s">
        <v>6026</v>
      </c>
      <c r="B5389" t="s">
        <v>11447</v>
      </c>
      <c r="C5389" t="str">
        <f>IFERROR(VLOOKUP(ILACLISTE[[#This Row],[NAME]],Table5[#All],2,0),"")</f>
        <v/>
      </c>
    </row>
    <row r="5390" spans="1:3" x14ac:dyDescent="0.3">
      <c r="A5390" s="5" t="s">
        <v>6027</v>
      </c>
      <c r="B5390" t="s">
        <v>11448</v>
      </c>
      <c r="C5390" t="str">
        <f>IFERROR(VLOOKUP(ILACLISTE[[#This Row],[NAME]],Table5[#All],2,0),"")</f>
        <v/>
      </c>
    </row>
    <row r="5391" spans="1:3" x14ac:dyDescent="0.3">
      <c r="A5391" s="5" t="s">
        <v>6028</v>
      </c>
      <c r="B5391" t="s">
        <v>11449</v>
      </c>
      <c r="C5391" t="str">
        <f>IFERROR(VLOOKUP(ILACLISTE[[#This Row],[NAME]],Table5[#All],2,0),"")</f>
        <v/>
      </c>
    </row>
    <row r="5392" spans="1:3" x14ac:dyDescent="0.3">
      <c r="A5392" s="5" t="s">
        <v>6029</v>
      </c>
      <c r="B5392" t="s">
        <v>11450</v>
      </c>
      <c r="C5392" t="str">
        <f>IFERROR(VLOOKUP(ILACLISTE[[#This Row],[NAME]],Table5[#All],2,0),"")</f>
        <v/>
      </c>
    </row>
    <row r="5393" spans="1:3" x14ac:dyDescent="0.3">
      <c r="A5393" s="5" t="s">
        <v>6030</v>
      </c>
      <c r="B5393" t="s">
        <v>11451</v>
      </c>
      <c r="C5393" t="str">
        <f>IFERROR(VLOOKUP(ILACLISTE[[#This Row],[NAME]],Table5[#All],2,0),"")</f>
        <v/>
      </c>
    </row>
    <row r="5394" spans="1:3" x14ac:dyDescent="0.3">
      <c r="A5394" s="5" t="s">
        <v>6031</v>
      </c>
      <c r="B5394" t="s">
        <v>11452</v>
      </c>
      <c r="C5394" t="str">
        <f>IFERROR(VLOOKUP(ILACLISTE[[#This Row],[NAME]],Table5[#All],2,0),"")</f>
        <v/>
      </c>
    </row>
    <row r="5395" spans="1:3" x14ac:dyDescent="0.3">
      <c r="A5395" s="5" t="s">
        <v>6032</v>
      </c>
      <c r="B5395" t="s">
        <v>11453</v>
      </c>
      <c r="C5395" t="str">
        <f>IFERROR(VLOOKUP(ILACLISTE[[#This Row],[NAME]],Table5[#All],2,0),"")</f>
        <v/>
      </c>
    </row>
    <row r="5396" spans="1:3" x14ac:dyDescent="0.3">
      <c r="A5396" s="5" t="s">
        <v>6033</v>
      </c>
      <c r="B5396" t="s">
        <v>11454</v>
      </c>
      <c r="C5396" t="str">
        <f>IFERROR(VLOOKUP(ILACLISTE[[#This Row],[NAME]],Table5[#All],2,0),"")</f>
        <v/>
      </c>
    </row>
    <row r="5397" spans="1:3" x14ac:dyDescent="0.3">
      <c r="A5397" s="5" t="s">
        <v>6034</v>
      </c>
      <c r="B5397" t="s">
        <v>11455</v>
      </c>
      <c r="C5397" t="str">
        <f>IFERROR(VLOOKUP(ILACLISTE[[#This Row],[NAME]],Table5[#All],2,0),"")</f>
        <v/>
      </c>
    </row>
    <row r="5398" spans="1:3" x14ac:dyDescent="0.3">
      <c r="A5398" s="5" t="s">
        <v>6035</v>
      </c>
      <c r="B5398" t="s">
        <v>11456</v>
      </c>
      <c r="C5398" t="str">
        <f>IFERROR(VLOOKUP(ILACLISTE[[#This Row],[NAME]],Table5[#All],2,0),"")</f>
        <v/>
      </c>
    </row>
    <row r="5399" spans="1:3" x14ac:dyDescent="0.3">
      <c r="A5399" s="5" t="s">
        <v>6036</v>
      </c>
      <c r="B5399" t="s">
        <v>11457</v>
      </c>
      <c r="C5399" t="str">
        <f>IFERROR(VLOOKUP(ILACLISTE[[#This Row],[NAME]],Table5[#All],2,0),"")</f>
        <v/>
      </c>
    </row>
    <row r="5400" spans="1:3" x14ac:dyDescent="0.3">
      <c r="A5400" s="5" t="s">
        <v>6037</v>
      </c>
      <c r="B5400" t="s">
        <v>11458</v>
      </c>
      <c r="C5400" t="str">
        <f>IFERROR(VLOOKUP(ILACLISTE[[#This Row],[NAME]],Table5[#All],2,0),"")</f>
        <v/>
      </c>
    </row>
    <row r="5401" spans="1:3" ht="20.399999999999999" x14ac:dyDescent="0.3">
      <c r="A5401" s="6" t="s">
        <v>6038</v>
      </c>
      <c r="B5401" t="s">
        <v>11459</v>
      </c>
      <c r="C5401" t="str">
        <f>IFERROR(VLOOKUP(ILACLISTE[[#This Row],[NAME]],Table5[#All],2,0),"")</f>
        <v/>
      </c>
    </row>
    <row r="5402" spans="1:3" ht="20.399999999999999" x14ac:dyDescent="0.3">
      <c r="A5402" s="6" t="s">
        <v>6039</v>
      </c>
      <c r="B5402" t="s">
        <v>11460</v>
      </c>
      <c r="C5402" t="str">
        <f>IFERROR(VLOOKUP(ILACLISTE[[#This Row],[NAME]],Table5[#All],2,0),"")</f>
        <v/>
      </c>
    </row>
    <row r="5403" spans="1:3" x14ac:dyDescent="0.3">
      <c r="A5403" s="5" t="s">
        <v>6040</v>
      </c>
      <c r="B5403" t="s">
        <v>11461</v>
      </c>
      <c r="C5403" t="str">
        <f>IFERROR(VLOOKUP(ILACLISTE[[#This Row],[NAME]],Table5[#All],2,0),"")</f>
        <v/>
      </c>
    </row>
    <row r="5404" spans="1:3" x14ac:dyDescent="0.3">
      <c r="A5404" s="5" t="s">
        <v>6041</v>
      </c>
      <c r="B5404" t="s">
        <v>11462</v>
      </c>
      <c r="C5404" t="str">
        <f>IFERROR(VLOOKUP(ILACLISTE[[#This Row],[NAME]],Table5[#All],2,0),"")</f>
        <v/>
      </c>
    </row>
    <row r="5405" spans="1:3" x14ac:dyDescent="0.3">
      <c r="A5405" s="5" t="s">
        <v>6042</v>
      </c>
      <c r="B5405" t="s">
        <v>11463</v>
      </c>
      <c r="C5405" t="str">
        <f>IFERROR(VLOOKUP(ILACLISTE[[#This Row],[NAME]],Table5[#All],2,0),"")</f>
        <v/>
      </c>
    </row>
    <row r="5406" spans="1:3" x14ac:dyDescent="0.3">
      <c r="A5406" s="5" t="s">
        <v>6043</v>
      </c>
      <c r="B5406" t="s">
        <v>11464</v>
      </c>
      <c r="C5406" t="str">
        <f>IFERROR(VLOOKUP(ILACLISTE[[#This Row],[NAME]],Table5[#All],2,0),"")</f>
        <v/>
      </c>
    </row>
    <row r="5407" spans="1:3" x14ac:dyDescent="0.3">
      <c r="A5407" s="5" t="s">
        <v>6044</v>
      </c>
      <c r="B5407" t="s">
        <v>11465</v>
      </c>
      <c r="C5407" t="str">
        <f>IFERROR(VLOOKUP(ILACLISTE[[#This Row],[NAME]],Table5[#All],2,0),"")</f>
        <v/>
      </c>
    </row>
    <row r="5408" spans="1:3" x14ac:dyDescent="0.3">
      <c r="A5408" s="5" t="s">
        <v>6045</v>
      </c>
      <c r="B5408" t="s">
        <v>11466</v>
      </c>
      <c r="C5408" t="str">
        <f>IFERROR(VLOOKUP(ILACLISTE[[#This Row],[NAME]],Table5[#All],2,0),"")</f>
        <v/>
      </c>
    </row>
    <row r="5409" spans="1:3" x14ac:dyDescent="0.3">
      <c r="A5409" s="5" t="s">
        <v>6046</v>
      </c>
      <c r="B5409" t="s">
        <v>11467</v>
      </c>
      <c r="C5409" t="str">
        <f>IFERROR(VLOOKUP(ILACLISTE[[#This Row],[NAME]],Table5[#All],2,0),"")</f>
        <v/>
      </c>
    </row>
    <row r="5410" spans="1:3" x14ac:dyDescent="0.3">
      <c r="A5410" s="5" t="s">
        <v>6047</v>
      </c>
      <c r="B5410" t="s">
        <v>11468</v>
      </c>
      <c r="C5410" t="str">
        <f>IFERROR(VLOOKUP(ILACLISTE[[#This Row],[NAME]],Table5[#All],2,0),"")</f>
        <v/>
      </c>
    </row>
    <row r="5411" spans="1:3" x14ac:dyDescent="0.3">
      <c r="A5411" s="5" t="s">
        <v>6048</v>
      </c>
      <c r="B5411" t="s">
        <v>11469</v>
      </c>
      <c r="C5411" t="str">
        <f>IFERROR(VLOOKUP(ILACLISTE[[#This Row],[NAME]],Table5[#All],2,0),"")</f>
        <v/>
      </c>
    </row>
    <row r="5412" spans="1:3" x14ac:dyDescent="0.3">
      <c r="A5412" s="5" t="s">
        <v>6049</v>
      </c>
      <c r="B5412" t="s">
        <v>636</v>
      </c>
      <c r="C5412" t="str">
        <f>IFERROR(VLOOKUP(ILACLISTE[[#This Row],[NAME]],Table5[#All],2,0),"")</f>
        <v/>
      </c>
    </row>
    <row r="5413" spans="1:3" ht="20.399999999999999" x14ac:dyDescent="0.3">
      <c r="A5413" s="7" t="s">
        <v>6050</v>
      </c>
      <c r="B5413" t="s">
        <v>11470</v>
      </c>
      <c r="C5413" t="str">
        <f>IFERROR(VLOOKUP(ILACLISTE[[#This Row],[NAME]],Table5[#All],2,0),"")</f>
        <v/>
      </c>
    </row>
    <row r="5414" spans="1:3" x14ac:dyDescent="0.3">
      <c r="A5414" s="5" t="s">
        <v>6051</v>
      </c>
      <c r="B5414" t="s">
        <v>11471</v>
      </c>
      <c r="C5414" t="str">
        <f>IFERROR(VLOOKUP(ILACLISTE[[#This Row],[NAME]],Table5[#All],2,0),"")</f>
        <v/>
      </c>
    </row>
    <row r="5415" spans="1:3" x14ac:dyDescent="0.3">
      <c r="A5415" s="5" t="s">
        <v>6052</v>
      </c>
      <c r="B5415" t="s">
        <v>11472</v>
      </c>
      <c r="C5415" t="str">
        <f>IFERROR(VLOOKUP(ILACLISTE[[#This Row],[NAME]],Table5[#All],2,0),"")</f>
        <v/>
      </c>
    </row>
    <row r="5416" spans="1:3" x14ac:dyDescent="0.3">
      <c r="A5416" s="5" t="s">
        <v>11473</v>
      </c>
      <c r="B5416" t="s">
        <v>11474</v>
      </c>
      <c r="C5416" t="str">
        <f>IFERROR(VLOOKUP(ILACLISTE[[#This Row],[NAME]],Table5[#All],2,0),"")</f>
        <v/>
      </c>
    </row>
    <row r="5417" spans="1:3" x14ac:dyDescent="0.3">
      <c r="A5417" s="5" t="s">
        <v>6053</v>
      </c>
      <c r="B5417" t="s">
        <v>637</v>
      </c>
      <c r="C5417" t="str">
        <f>IFERROR(VLOOKUP(ILACLISTE[[#This Row],[NAME]],Table5[#All],2,0),"")</f>
        <v/>
      </c>
    </row>
    <row r="5418" spans="1:3" x14ac:dyDescent="0.3">
      <c r="A5418" s="5" t="s">
        <v>6054</v>
      </c>
      <c r="B5418" t="s">
        <v>11475</v>
      </c>
      <c r="C5418" t="str">
        <f>IFERROR(VLOOKUP(ILACLISTE[[#This Row],[NAME]],Table5[#All],2,0),"")</f>
        <v/>
      </c>
    </row>
    <row r="5419" spans="1:3" x14ac:dyDescent="0.3">
      <c r="A5419" s="5" t="s">
        <v>6055</v>
      </c>
      <c r="B5419" t="s">
        <v>638</v>
      </c>
      <c r="C5419" t="str">
        <f>IFERROR(VLOOKUP(ILACLISTE[[#This Row],[NAME]],Table5[#All],2,0),"")</f>
        <v/>
      </c>
    </row>
    <row r="5420" spans="1:3" x14ac:dyDescent="0.3">
      <c r="A5420" s="5" t="s">
        <v>6056</v>
      </c>
      <c r="B5420" t="s">
        <v>639</v>
      </c>
      <c r="C5420" t="str">
        <f>IFERROR(VLOOKUP(ILACLISTE[[#This Row],[NAME]],Table5[#All],2,0),"")</f>
        <v/>
      </c>
    </row>
    <row r="5421" spans="1:3" x14ac:dyDescent="0.3">
      <c r="A5421" s="5" t="s">
        <v>6057</v>
      </c>
      <c r="B5421" t="s">
        <v>640</v>
      </c>
      <c r="C5421" t="str">
        <f>IFERROR(VLOOKUP(ILACLISTE[[#This Row],[NAME]],Table5[#All],2,0),"")</f>
        <v/>
      </c>
    </row>
    <row r="5422" spans="1:3" x14ac:dyDescent="0.3">
      <c r="A5422" s="5" t="s">
        <v>6058</v>
      </c>
      <c r="B5422" t="s">
        <v>11476</v>
      </c>
      <c r="C5422" t="str">
        <f>IFERROR(VLOOKUP(ILACLISTE[[#This Row],[NAME]],Table5[#All],2,0),"")</f>
        <v/>
      </c>
    </row>
    <row r="5423" spans="1:3" x14ac:dyDescent="0.3">
      <c r="A5423" s="5" t="s">
        <v>6059</v>
      </c>
      <c r="B5423" t="s">
        <v>641</v>
      </c>
      <c r="C5423" t="str">
        <f>IFERROR(VLOOKUP(ILACLISTE[[#This Row],[NAME]],Table5[#All],2,0),"")</f>
        <v/>
      </c>
    </row>
    <row r="5424" spans="1:3" x14ac:dyDescent="0.3">
      <c r="A5424" s="5" t="s">
        <v>6060</v>
      </c>
      <c r="B5424" t="s">
        <v>11477</v>
      </c>
      <c r="C5424" t="str">
        <f>IFERROR(VLOOKUP(ILACLISTE[[#This Row],[NAME]],Table5[#All],2,0),"")</f>
        <v/>
      </c>
    </row>
    <row r="5425" spans="1:3" x14ac:dyDescent="0.3">
      <c r="A5425" s="5" t="s">
        <v>6061</v>
      </c>
      <c r="B5425" t="s">
        <v>11478</v>
      </c>
      <c r="C5425" t="str">
        <f>IFERROR(VLOOKUP(ILACLISTE[[#This Row],[NAME]],Table5[#All],2,0),"")</f>
        <v/>
      </c>
    </row>
    <row r="5426" spans="1:3" x14ac:dyDescent="0.3">
      <c r="A5426" s="5" t="s">
        <v>6062</v>
      </c>
      <c r="B5426" t="s">
        <v>11479</v>
      </c>
      <c r="C5426" t="str">
        <f>IFERROR(VLOOKUP(ILACLISTE[[#This Row],[NAME]],Table5[#All],2,0),"")</f>
        <v/>
      </c>
    </row>
    <row r="5427" spans="1:3" x14ac:dyDescent="0.3">
      <c r="A5427" s="5" t="s">
        <v>6063</v>
      </c>
      <c r="B5427" t="s">
        <v>11480</v>
      </c>
      <c r="C5427" t="str">
        <f>IFERROR(VLOOKUP(ILACLISTE[[#This Row],[NAME]],Table5[#All],2,0),"")</f>
        <v/>
      </c>
    </row>
    <row r="5428" spans="1:3" x14ac:dyDescent="0.3">
      <c r="A5428" s="5" t="s">
        <v>6064</v>
      </c>
      <c r="B5428" t="s">
        <v>11481</v>
      </c>
      <c r="C5428" t="str">
        <f>IFERROR(VLOOKUP(ILACLISTE[[#This Row],[NAME]],Table5[#All],2,0),"")</f>
        <v/>
      </c>
    </row>
    <row r="5429" spans="1:3" x14ac:dyDescent="0.3">
      <c r="A5429" s="5" t="s">
        <v>6065</v>
      </c>
      <c r="B5429" t="s">
        <v>11482</v>
      </c>
      <c r="C5429" t="str">
        <f>IFERROR(VLOOKUP(ILACLISTE[[#This Row],[NAME]],Table5[#All],2,0),"")</f>
        <v/>
      </c>
    </row>
    <row r="5430" spans="1:3" x14ac:dyDescent="0.3">
      <c r="A5430" s="5" t="s">
        <v>6066</v>
      </c>
      <c r="B5430" t="s">
        <v>11483</v>
      </c>
      <c r="C5430" t="str">
        <f>IFERROR(VLOOKUP(ILACLISTE[[#This Row],[NAME]],Table5[#All],2,0),"")</f>
        <v/>
      </c>
    </row>
    <row r="5431" spans="1:3" x14ac:dyDescent="0.3">
      <c r="A5431" s="5" t="s">
        <v>11484</v>
      </c>
      <c r="B5431" t="s">
        <v>11485</v>
      </c>
      <c r="C5431" t="str">
        <f>IFERROR(VLOOKUP(ILACLISTE[[#This Row],[NAME]],Table5[#All],2,0),"")</f>
        <v/>
      </c>
    </row>
    <row r="5432" spans="1:3" x14ac:dyDescent="0.3">
      <c r="A5432" s="5" t="s">
        <v>6067</v>
      </c>
      <c r="B5432" t="s">
        <v>11486</v>
      </c>
      <c r="C5432" t="str">
        <f>IFERROR(VLOOKUP(ILACLISTE[[#This Row],[NAME]],Table5[#All],2,0),"")</f>
        <v/>
      </c>
    </row>
    <row r="5433" spans="1:3" x14ac:dyDescent="0.3">
      <c r="A5433" s="5" t="s">
        <v>6068</v>
      </c>
      <c r="B5433" t="s">
        <v>11487</v>
      </c>
      <c r="C5433" t="str">
        <f>IFERROR(VLOOKUP(ILACLISTE[[#This Row],[NAME]],Table5[#All],2,0),"")</f>
        <v/>
      </c>
    </row>
    <row r="5434" spans="1:3" x14ac:dyDescent="0.3">
      <c r="A5434" s="5" t="s">
        <v>6069</v>
      </c>
      <c r="B5434" t="s">
        <v>11488</v>
      </c>
      <c r="C5434" t="str">
        <f>IFERROR(VLOOKUP(ILACLISTE[[#This Row],[NAME]],Table5[#All],2,0),"")</f>
        <v/>
      </c>
    </row>
    <row r="5435" spans="1:3" x14ac:dyDescent="0.3">
      <c r="A5435" s="5" t="s">
        <v>6070</v>
      </c>
      <c r="B5435" t="s">
        <v>11489</v>
      </c>
      <c r="C5435" t="str">
        <f>IFERROR(VLOOKUP(ILACLISTE[[#This Row],[NAME]],Table5[#All],2,0),"")</f>
        <v/>
      </c>
    </row>
    <row r="5436" spans="1:3" x14ac:dyDescent="0.3">
      <c r="A5436" s="5" t="s">
        <v>6071</v>
      </c>
      <c r="B5436" t="s">
        <v>11490</v>
      </c>
      <c r="C5436" t="str">
        <f>IFERROR(VLOOKUP(ILACLISTE[[#This Row],[NAME]],Table5[#All],2,0),"")</f>
        <v/>
      </c>
    </row>
    <row r="5437" spans="1:3" x14ac:dyDescent="0.3">
      <c r="A5437" s="5" t="s">
        <v>6072</v>
      </c>
      <c r="B5437" t="s">
        <v>11491</v>
      </c>
      <c r="C5437" t="str">
        <f>IFERROR(VLOOKUP(ILACLISTE[[#This Row],[NAME]],Table5[#All],2,0),"")</f>
        <v/>
      </c>
    </row>
    <row r="5438" spans="1:3" x14ac:dyDescent="0.3">
      <c r="A5438" s="5" t="s">
        <v>6073</v>
      </c>
      <c r="B5438" t="s">
        <v>11492</v>
      </c>
      <c r="C5438" t="str">
        <f>IFERROR(VLOOKUP(ILACLISTE[[#This Row],[NAME]],Table5[#All],2,0),"")</f>
        <v/>
      </c>
    </row>
    <row r="5439" spans="1:3" x14ac:dyDescent="0.3">
      <c r="A5439" s="5" t="s">
        <v>6074</v>
      </c>
      <c r="B5439" t="s">
        <v>11493</v>
      </c>
      <c r="C5439" t="str">
        <f>IFERROR(VLOOKUP(ILACLISTE[[#This Row],[NAME]],Table5[#All],2,0),"")</f>
        <v/>
      </c>
    </row>
    <row r="5440" spans="1:3" x14ac:dyDescent="0.3">
      <c r="A5440" s="5" t="s">
        <v>6075</v>
      </c>
      <c r="B5440" t="s">
        <v>11494</v>
      </c>
      <c r="C5440" t="str">
        <f>IFERROR(VLOOKUP(ILACLISTE[[#This Row],[NAME]],Table5[#All],2,0),"")</f>
        <v/>
      </c>
    </row>
    <row r="5441" spans="1:3" x14ac:dyDescent="0.3">
      <c r="A5441" s="5" t="s">
        <v>6076</v>
      </c>
      <c r="B5441" t="s">
        <v>11495</v>
      </c>
      <c r="C5441" t="str">
        <f>IFERROR(VLOOKUP(ILACLISTE[[#This Row],[NAME]],Table5[#All],2,0),"")</f>
        <v/>
      </c>
    </row>
    <row r="5442" spans="1:3" x14ac:dyDescent="0.3">
      <c r="A5442" s="5" t="s">
        <v>6077</v>
      </c>
      <c r="B5442" t="s">
        <v>11496</v>
      </c>
      <c r="C5442" t="str">
        <f>IFERROR(VLOOKUP(ILACLISTE[[#This Row],[NAME]],Table5[#All],2,0),"")</f>
        <v/>
      </c>
    </row>
    <row r="5443" spans="1:3" x14ac:dyDescent="0.3">
      <c r="A5443" s="5" t="s">
        <v>6078</v>
      </c>
      <c r="B5443" t="s">
        <v>11497</v>
      </c>
      <c r="C5443" t="str">
        <f>IFERROR(VLOOKUP(ILACLISTE[[#This Row],[NAME]],Table5[#All],2,0),"")</f>
        <v/>
      </c>
    </row>
    <row r="5444" spans="1:3" x14ac:dyDescent="0.3">
      <c r="A5444" s="5" t="s">
        <v>6079</v>
      </c>
      <c r="B5444" t="s">
        <v>642</v>
      </c>
      <c r="C5444" t="str">
        <f>IFERROR(VLOOKUP(ILACLISTE[[#This Row],[NAME]],Table5[#All],2,0),"")</f>
        <v/>
      </c>
    </row>
    <row r="5445" spans="1:3" x14ac:dyDescent="0.3">
      <c r="A5445" s="5" t="s">
        <v>6080</v>
      </c>
      <c r="B5445" t="s">
        <v>11498</v>
      </c>
      <c r="C5445" t="str">
        <f>IFERROR(VLOOKUP(ILACLISTE[[#This Row],[NAME]],Table5[#All],2,0),"")</f>
        <v/>
      </c>
    </row>
    <row r="5446" spans="1:3" x14ac:dyDescent="0.3">
      <c r="A5446" s="5" t="s">
        <v>6081</v>
      </c>
      <c r="B5446" t="s">
        <v>643</v>
      </c>
      <c r="C5446" t="str">
        <f>IFERROR(VLOOKUP(ILACLISTE[[#This Row],[NAME]],Table5[#All],2,0),"")</f>
        <v/>
      </c>
    </row>
    <row r="5447" spans="1:3" x14ac:dyDescent="0.3">
      <c r="A5447" s="5" t="s">
        <v>6082</v>
      </c>
      <c r="B5447" t="s">
        <v>11499</v>
      </c>
      <c r="C5447" t="str">
        <f>IFERROR(VLOOKUP(ILACLISTE[[#This Row],[NAME]],Table5[#All],2,0),"")</f>
        <v/>
      </c>
    </row>
    <row r="5448" spans="1:3" x14ac:dyDescent="0.3">
      <c r="A5448" s="5" t="s">
        <v>6083</v>
      </c>
      <c r="B5448" t="s">
        <v>11500</v>
      </c>
      <c r="C5448" t="str">
        <f>IFERROR(VLOOKUP(ILACLISTE[[#This Row],[NAME]],Table5[#All],2,0),"")</f>
        <v/>
      </c>
    </row>
    <row r="5449" spans="1:3" x14ac:dyDescent="0.3">
      <c r="A5449" s="5" t="s">
        <v>6084</v>
      </c>
      <c r="B5449" t="s">
        <v>11501</v>
      </c>
      <c r="C5449" t="str">
        <f>IFERROR(VLOOKUP(ILACLISTE[[#This Row],[NAME]],Table5[#All],2,0),"")</f>
        <v/>
      </c>
    </row>
    <row r="5450" spans="1:3" x14ac:dyDescent="0.3">
      <c r="A5450" s="5" t="s">
        <v>6085</v>
      </c>
      <c r="B5450" t="s">
        <v>11502</v>
      </c>
      <c r="C5450" t="str">
        <f>IFERROR(VLOOKUP(ILACLISTE[[#This Row],[NAME]],Table5[#All],2,0),"")</f>
        <v/>
      </c>
    </row>
    <row r="5451" spans="1:3" x14ac:dyDescent="0.3">
      <c r="A5451" s="5" t="s">
        <v>6086</v>
      </c>
      <c r="B5451" t="s">
        <v>11503</v>
      </c>
      <c r="C5451" t="str">
        <f>IFERROR(VLOOKUP(ILACLISTE[[#This Row],[NAME]],Table5[#All],2,0),"")</f>
        <v/>
      </c>
    </row>
    <row r="5452" spans="1:3" x14ac:dyDescent="0.3">
      <c r="A5452" s="5" t="s">
        <v>6087</v>
      </c>
      <c r="B5452" t="s">
        <v>11504</v>
      </c>
      <c r="C5452" t="str">
        <f>IFERROR(VLOOKUP(ILACLISTE[[#This Row],[NAME]],Table5[#All],2,0),"")</f>
        <v/>
      </c>
    </row>
    <row r="5453" spans="1:3" x14ac:dyDescent="0.3">
      <c r="A5453" s="5" t="s">
        <v>6088</v>
      </c>
      <c r="B5453" t="s">
        <v>11505</v>
      </c>
      <c r="C5453" t="str">
        <f>IFERROR(VLOOKUP(ILACLISTE[[#This Row],[NAME]],Table5[#All],2,0),"")</f>
        <v/>
      </c>
    </row>
    <row r="5454" spans="1:3" x14ac:dyDescent="0.3">
      <c r="A5454" s="5" t="s">
        <v>6089</v>
      </c>
      <c r="B5454" t="s">
        <v>11506</v>
      </c>
      <c r="C5454" t="str">
        <f>IFERROR(VLOOKUP(ILACLISTE[[#This Row],[NAME]],Table5[#All],2,0),"")</f>
        <v/>
      </c>
    </row>
    <row r="5455" spans="1:3" x14ac:dyDescent="0.3">
      <c r="A5455" s="5" t="s">
        <v>6090</v>
      </c>
      <c r="B5455" t="s">
        <v>11507</v>
      </c>
      <c r="C5455" t="str">
        <f>IFERROR(VLOOKUP(ILACLISTE[[#This Row],[NAME]],Table5[#All],2,0),"")</f>
        <v/>
      </c>
    </row>
    <row r="5456" spans="1:3" x14ac:dyDescent="0.3">
      <c r="A5456" s="5" t="s">
        <v>6091</v>
      </c>
      <c r="B5456" t="s">
        <v>11508</v>
      </c>
      <c r="C5456" t="str">
        <f>IFERROR(VLOOKUP(ILACLISTE[[#This Row],[NAME]],Table5[#All],2,0),"")</f>
        <v/>
      </c>
    </row>
    <row r="5457" spans="1:3" x14ac:dyDescent="0.3">
      <c r="A5457" s="5" t="s">
        <v>6092</v>
      </c>
      <c r="B5457" t="s">
        <v>11509</v>
      </c>
      <c r="C5457" t="str">
        <f>IFERROR(VLOOKUP(ILACLISTE[[#This Row],[NAME]],Table5[#All],2,0),"")</f>
        <v/>
      </c>
    </row>
    <row r="5458" spans="1:3" x14ac:dyDescent="0.3">
      <c r="A5458" s="5" t="s">
        <v>6093</v>
      </c>
      <c r="B5458" t="s">
        <v>11510</v>
      </c>
      <c r="C5458" t="str">
        <f>IFERROR(VLOOKUP(ILACLISTE[[#This Row],[NAME]],Table5[#All],2,0),"")</f>
        <v/>
      </c>
    </row>
    <row r="5459" spans="1:3" x14ac:dyDescent="0.3">
      <c r="A5459" s="5" t="s">
        <v>6094</v>
      </c>
      <c r="B5459" t="s">
        <v>11511</v>
      </c>
      <c r="C5459" t="str">
        <f>IFERROR(VLOOKUP(ILACLISTE[[#This Row],[NAME]],Table5[#All],2,0),"")</f>
        <v/>
      </c>
    </row>
    <row r="5460" spans="1:3" x14ac:dyDescent="0.3">
      <c r="A5460" s="5" t="s">
        <v>6095</v>
      </c>
      <c r="B5460" t="s">
        <v>11512</v>
      </c>
      <c r="C5460" t="str">
        <f>IFERROR(VLOOKUP(ILACLISTE[[#This Row],[NAME]],Table5[#All],2,0),"")</f>
        <v/>
      </c>
    </row>
    <row r="5461" spans="1:3" x14ac:dyDescent="0.3">
      <c r="A5461" s="5" t="s">
        <v>6096</v>
      </c>
      <c r="B5461" t="s">
        <v>11513</v>
      </c>
      <c r="C5461" t="str">
        <f>IFERROR(VLOOKUP(ILACLISTE[[#This Row],[NAME]],Table5[#All],2,0),"")</f>
        <v/>
      </c>
    </row>
    <row r="5462" spans="1:3" x14ac:dyDescent="0.3">
      <c r="A5462" s="5" t="s">
        <v>6097</v>
      </c>
      <c r="B5462" t="s">
        <v>644</v>
      </c>
      <c r="C5462" t="str">
        <f>IFERROR(VLOOKUP(ILACLISTE[[#This Row],[NAME]],Table5[#All],2,0),"")</f>
        <v/>
      </c>
    </row>
    <row r="5463" spans="1:3" x14ac:dyDescent="0.3">
      <c r="A5463" s="5" t="s">
        <v>6098</v>
      </c>
      <c r="B5463" t="s">
        <v>645</v>
      </c>
      <c r="C5463" t="str">
        <f>IFERROR(VLOOKUP(ILACLISTE[[#This Row],[NAME]],Table5[#All],2,0),"")</f>
        <v/>
      </c>
    </row>
    <row r="5464" spans="1:3" x14ac:dyDescent="0.3">
      <c r="A5464" s="5" t="s">
        <v>6099</v>
      </c>
      <c r="B5464" t="s">
        <v>11514</v>
      </c>
      <c r="C5464" t="str">
        <f>IFERROR(VLOOKUP(ILACLISTE[[#This Row],[NAME]],Table5[#All],2,0),"")</f>
        <v/>
      </c>
    </row>
    <row r="5465" spans="1:3" x14ac:dyDescent="0.3">
      <c r="A5465" s="5" t="s">
        <v>6100</v>
      </c>
      <c r="B5465" t="s">
        <v>646</v>
      </c>
      <c r="C5465" t="str">
        <f>IFERROR(VLOOKUP(ILACLISTE[[#This Row],[NAME]],Table5[#All],2,0),"")</f>
        <v/>
      </c>
    </row>
    <row r="5466" spans="1:3" x14ac:dyDescent="0.3">
      <c r="A5466" s="5" t="s">
        <v>6101</v>
      </c>
      <c r="B5466" t="s">
        <v>647</v>
      </c>
      <c r="C5466" t="str">
        <f>IFERROR(VLOOKUP(ILACLISTE[[#This Row],[NAME]],Table5[#All],2,0),"")</f>
        <v/>
      </c>
    </row>
    <row r="5467" spans="1:3" x14ac:dyDescent="0.3">
      <c r="A5467" s="5" t="s">
        <v>6102</v>
      </c>
      <c r="B5467" t="s">
        <v>648</v>
      </c>
      <c r="C5467" t="str">
        <f>IFERROR(VLOOKUP(ILACLISTE[[#This Row],[NAME]],Table5[#All],2,0),"")</f>
        <v/>
      </c>
    </row>
    <row r="5468" spans="1:3" x14ac:dyDescent="0.3">
      <c r="A5468" s="5" t="s">
        <v>6103</v>
      </c>
      <c r="B5468" t="s">
        <v>649</v>
      </c>
      <c r="C5468" t="str">
        <f>IFERROR(VLOOKUP(ILACLISTE[[#This Row],[NAME]],Table5[#All],2,0),"")</f>
        <v/>
      </c>
    </row>
    <row r="5469" spans="1:3" x14ac:dyDescent="0.3">
      <c r="A5469" s="5" t="s">
        <v>6104</v>
      </c>
      <c r="B5469" t="s">
        <v>650</v>
      </c>
      <c r="C5469" t="str">
        <f>IFERROR(VLOOKUP(ILACLISTE[[#This Row],[NAME]],Table5[#All],2,0),"")</f>
        <v/>
      </c>
    </row>
    <row r="5470" spans="1:3" x14ac:dyDescent="0.3">
      <c r="A5470" s="5" t="s">
        <v>6105</v>
      </c>
      <c r="B5470" t="s">
        <v>11515</v>
      </c>
      <c r="C5470" t="str">
        <f>IFERROR(VLOOKUP(ILACLISTE[[#This Row],[NAME]],Table5[#All],2,0),"")</f>
        <v/>
      </c>
    </row>
    <row r="5471" spans="1:3" x14ac:dyDescent="0.3">
      <c r="A5471" s="5" t="s">
        <v>6106</v>
      </c>
      <c r="B5471" t="s">
        <v>11516</v>
      </c>
      <c r="C5471" t="str">
        <f>IFERROR(VLOOKUP(ILACLISTE[[#This Row],[NAME]],Table5[#All],2,0),"")</f>
        <v/>
      </c>
    </row>
    <row r="5472" spans="1:3" x14ac:dyDescent="0.3">
      <c r="A5472" s="5" t="s">
        <v>6107</v>
      </c>
      <c r="B5472" t="s">
        <v>11517</v>
      </c>
      <c r="C5472" t="str">
        <f>IFERROR(VLOOKUP(ILACLISTE[[#This Row],[NAME]],Table5[#All],2,0),"")</f>
        <v/>
      </c>
    </row>
    <row r="5473" spans="1:3" x14ac:dyDescent="0.3">
      <c r="A5473" s="5" t="s">
        <v>6108</v>
      </c>
      <c r="B5473" t="s">
        <v>11518</v>
      </c>
      <c r="C5473" t="str">
        <f>IFERROR(VLOOKUP(ILACLISTE[[#This Row],[NAME]],Table5[#All],2,0),"")</f>
        <v/>
      </c>
    </row>
    <row r="5474" spans="1:3" x14ac:dyDescent="0.3">
      <c r="A5474" s="5" t="s">
        <v>6109</v>
      </c>
      <c r="B5474" t="s">
        <v>11519</v>
      </c>
      <c r="C5474" t="str">
        <f>IFERROR(VLOOKUP(ILACLISTE[[#This Row],[NAME]],Table5[#All],2,0),"")</f>
        <v/>
      </c>
    </row>
    <row r="5475" spans="1:3" x14ac:dyDescent="0.3">
      <c r="A5475" s="5" t="s">
        <v>6110</v>
      </c>
      <c r="B5475" t="s">
        <v>11520</v>
      </c>
      <c r="C5475" t="str">
        <f>IFERROR(VLOOKUP(ILACLISTE[[#This Row],[NAME]],Table5[#All],2,0),"")</f>
        <v/>
      </c>
    </row>
    <row r="5476" spans="1:3" x14ac:dyDescent="0.3">
      <c r="A5476" s="5" t="s">
        <v>6111</v>
      </c>
      <c r="B5476" t="s">
        <v>11521</v>
      </c>
      <c r="C5476" t="str">
        <f>IFERROR(VLOOKUP(ILACLISTE[[#This Row],[NAME]],Table5[#All],2,0),"")</f>
        <v/>
      </c>
    </row>
    <row r="5477" spans="1:3" x14ac:dyDescent="0.3">
      <c r="A5477" s="5" t="s">
        <v>6112</v>
      </c>
      <c r="B5477" t="s">
        <v>11522</v>
      </c>
      <c r="C5477" t="str">
        <f>IFERROR(VLOOKUP(ILACLISTE[[#This Row],[NAME]],Table5[#All],2,0),"")</f>
        <v/>
      </c>
    </row>
    <row r="5478" spans="1:3" x14ac:dyDescent="0.3">
      <c r="A5478" s="5" t="s">
        <v>6113</v>
      </c>
      <c r="B5478" t="s">
        <v>11523</v>
      </c>
      <c r="C5478" t="str">
        <f>IFERROR(VLOOKUP(ILACLISTE[[#This Row],[NAME]],Table5[#All],2,0),"")</f>
        <v/>
      </c>
    </row>
    <row r="5479" spans="1:3" x14ac:dyDescent="0.3">
      <c r="A5479" s="5" t="s">
        <v>6114</v>
      </c>
      <c r="B5479" t="s">
        <v>11524</v>
      </c>
      <c r="C5479" t="str">
        <f>IFERROR(VLOOKUP(ILACLISTE[[#This Row],[NAME]],Table5[#All],2,0),"")</f>
        <v/>
      </c>
    </row>
    <row r="5480" spans="1:3" x14ac:dyDescent="0.3">
      <c r="A5480" s="5" t="s">
        <v>6115</v>
      </c>
      <c r="B5480" t="s">
        <v>11525</v>
      </c>
      <c r="C5480" t="str">
        <f>IFERROR(VLOOKUP(ILACLISTE[[#This Row],[NAME]],Table5[#All],2,0),"")</f>
        <v/>
      </c>
    </row>
    <row r="5481" spans="1:3" x14ac:dyDescent="0.3">
      <c r="A5481" s="5" t="s">
        <v>6116</v>
      </c>
      <c r="B5481" t="s">
        <v>651</v>
      </c>
      <c r="C5481" t="str">
        <f>IFERROR(VLOOKUP(ILACLISTE[[#This Row],[NAME]],Table5[#All],2,0),"")</f>
        <v/>
      </c>
    </row>
    <row r="5482" spans="1:3" x14ac:dyDescent="0.3">
      <c r="A5482" s="5" t="s">
        <v>6117</v>
      </c>
      <c r="B5482" t="s">
        <v>652</v>
      </c>
      <c r="C5482" t="str">
        <f>IFERROR(VLOOKUP(ILACLISTE[[#This Row],[NAME]],Table5[#All],2,0),"")</f>
        <v/>
      </c>
    </row>
    <row r="5483" spans="1:3" x14ac:dyDescent="0.3">
      <c r="A5483" s="5" t="s">
        <v>6118</v>
      </c>
      <c r="B5483" t="s">
        <v>653</v>
      </c>
      <c r="C5483" t="str">
        <f>IFERROR(VLOOKUP(ILACLISTE[[#This Row],[NAME]],Table5[#All],2,0),"")</f>
        <v/>
      </c>
    </row>
    <row r="5484" spans="1:3" x14ac:dyDescent="0.3">
      <c r="A5484" s="5" t="s">
        <v>6119</v>
      </c>
      <c r="B5484" t="s">
        <v>11526</v>
      </c>
      <c r="C5484" t="str">
        <f>IFERROR(VLOOKUP(ILACLISTE[[#This Row],[NAME]],Table5[#All],2,0),"")</f>
        <v/>
      </c>
    </row>
    <row r="5485" spans="1:3" ht="20.399999999999999" x14ac:dyDescent="0.3">
      <c r="A5485" s="7" t="s">
        <v>6120</v>
      </c>
      <c r="B5485" t="s">
        <v>11527</v>
      </c>
      <c r="C5485" t="str">
        <f>IFERROR(VLOOKUP(ILACLISTE[[#This Row],[NAME]],Table5[#All],2,0),"")</f>
        <v/>
      </c>
    </row>
    <row r="5486" spans="1:3" x14ac:dyDescent="0.3">
      <c r="A5486" s="5" t="s">
        <v>6121</v>
      </c>
      <c r="B5486" t="s">
        <v>11528</v>
      </c>
      <c r="C5486" t="str">
        <f>IFERROR(VLOOKUP(ILACLISTE[[#This Row],[NAME]],Table5[#All],2,0),"")</f>
        <v/>
      </c>
    </row>
    <row r="5487" spans="1:3" x14ac:dyDescent="0.3">
      <c r="A5487" s="5" t="s">
        <v>11529</v>
      </c>
      <c r="B5487" t="s">
        <v>11530</v>
      </c>
      <c r="C5487" t="str">
        <f>IFERROR(VLOOKUP(ILACLISTE[[#This Row],[NAME]],Table5[#All],2,0),"")</f>
        <v/>
      </c>
    </row>
    <row r="5488" spans="1:3" x14ac:dyDescent="0.3">
      <c r="A5488" s="5" t="s">
        <v>6122</v>
      </c>
      <c r="B5488" t="s">
        <v>11531</v>
      </c>
      <c r="C5488" t="str">
        <f>IFERROR(VLOOKUP(ILACLISTE[[#This Row],[NAME]],Table5[#All],2,0),"")</f>
        <v/>
      </c>
    </row>
    <row r="5489" spans="1:3" x14ac:dyDescent="0.3">
      <c r="A5489" s="5" t="s">
        <v>6123</v>
      </c>
      <c r="B5489" t="s">
        <v>11532</v>
      </c>
      <c r="C5489" t="str">
        <f>IFERROR(VLOOKUP(ILACLISTE[[#This Row],[NAME]],Table5[#All],2,0),"")</f>
        <v/>
      </c>
    </row>
    <row r="5490" spans="1:3" x14ac:dyDescent="0.3">
      <c r="A5490" s="5" t="s">
        <v>6124</v>
      </c>
      <c r="B5490" t="s">
        <v>11533</v>
      </c>
      <c r="C5490" t="str">
        <f>IFERROR(VLOOKUP(ILACLISTE[[#This Row],[NAME]],Table5[#All],2,0),"")</f>
        <v/>
      </c>
    </row>
    <row r="5491" spans="1:3" x14ac:dyDescent="0.3">
      <c r="A5491" s="5" t="s">
        <v>6125</v>
      </c>
      <c r="B5491" t="s">
        <v>11534</v>
      </c>
      <c r="C5491" t="str">
        <f>IFERROR(VLOOKUP(ILACLISTE[[#This Row],[NAME]],Table5[#All],2,0),"")</f>
        <v/>
      </c>
    </row>
    <row r="5492" spans="1:3" ht="20.399999999999999" x14ac:dyDescent="0.3">
      <c r="A5492" s="6" t="s">
        <v>6126</v>
      </c>
      <c r="B5492" t="s">
        <v>11535</v>
      </c>
      <c r="C5492" t="str">
        <f>IFERROR(VLOOKUP(ILACLISTE[[#This Row],[NAME]],Table5[#All],2,0),"")</f>
        <v/>
      </c>
    </row>
    <row r="5493" spans="1:3" x14ac:dyDescent="0.3">
      <c r="A5493" s="5" t="s">
        <v>6127</v>
      </c>
      <c r="B5493" t="s">
        <v>654</v>
      </c>
      <c r="C5493" t="str">
        <f>IFERROR(VLOOKUP(ILACLISTE[[#This Row],[NAME]],Table5[#All],2,0),"")</f>
        <v/>
      </c>
    </row>
    <row r="5494" spans="1:3" x14ac:dyDescent="0.3">
      <c r="A5494" s="5" t="s">
        <v>6128</v>
      </c>
      <c r="B5494" t="s">
        <v>11536</v>
      </c>
      <c r="C5494" t="str">
        <f>IFERROR(VLOOKUP(ILACLISTE[[#This Row],[NAME]],Table5[#All],2,0),"")</f>
        <v/>
      </c>
    </row>
    <row r="5495" spans="1:3" x14ac:dyDescent="0.3">
      <c r="A5495" s="5" t="s">
        <v>11537</v>
      </c>
      <c r="B5495" t="s">
        <v>11538</v>
      </c>
      <c r="C5495" t="str">
        <f>IFERROR(VLOOKUP(ILACLISTE[[#This Row],[NAME]],Table5[#All],2,0),"")</f>
        <v/>
      </c>
    </row>
    <row r="5496" spans="1:3" x14ac:dyDescent="0.3">
      <c r="A5496" s="5" t="s">
        <v>6129</v>
      </c>
      <c r="B5496" t="s">
        <v>11539</v>
      </c>
      <c r="C5496" t="str">
        <f>IFERROR(VLOOKUP(ILACLISTE[[#This Row],[NAME]],Table5[#All],2,0),"")</f>
        <v/>
      </c>
    </row>
    <row r="5497" spans="1:3" x14ac:dyDescent="0.3">
      <c r="A5497" s="5" t="s">
        <v>6130</v>
      </c>
      <c r="B5497" t="s">
        <v>11540</v>
      </c>
      <c r="C5497" t="str">
        <f>IFERROR(VLOOKUP(ILACLISTE[[#This Row],[NAME]],Table5[#All],2,0),"")</f>
        <v/>
      </c>
    </row>
    <row r="5498" spans="1:3" x14ac:dyDescent="0.3">
      <c r="A5498" s="5" t="s">
        <v>6131</v>
      </c>
      <c r="B5498" t="s">
        <v>11541</v>
      </c>
      <c r="C5498" t="str">
        <f>IFERROR(VLOOKUP(ILACLISTE[[#This Row],[NAME]],Table5[#All],2,0),"")</f>
        <v/>
      </c>
    </row>
    <row r="5499" spans="1:3" x14ac:dyDescent="0.3">
      <c r="A5499" s="5" t="s">
        <v>6132</v>
      </c>
      <c r="B5499" t="s">
        <v>655</v>
      </c>
      <c r="C5499" t="str">
        <f>IFERROR(VLOOKUP(ILACLISTE[[#This Row],[NAME]],Table5[#All],2,0),"")</f>
        <v/>
      </c>
    </row>
    <row r="5500" spans="1:3" x14ac:dyDescent="0.3">
      <c r="A5500" s="5" t="s">
        <v>6133</v>
      </c>
      <c r="B5500" t="s">
        <v>11542</v>
      </c>
      <c r="C5500" t="str">
        <f>IFERROR(VLOOKUP(ILACLISTE[[#This Row],[NAME]],Table5[#All],2,0),"")</f>
        <v/>
      </c>
    </row>
    <row r="5501" spans="1:3" x14ac:dyDescent="0.3">
      <c r="A5501" s="5" t="s">
        <v>6134</v>
      </c>
      <c r="B5501" t="s">
        <v>11543</v>
      </c>
      <c r="C5501" t="str">
        <f>IFERROR(VLOOKUP(ILACLISTE[[#This Row],[NAME]],Table5[#All],2,0),"")</f>
        <v/>
      </c>
    </row>
    <row r="5502" spans="1:3" x14ac:dyDescent="0.3">
      <c r="A5502" s="5" t="s">
        <v>6135</v>
      </c>
      <c r="B5502" t="s">
        <v>11544</v>
      </c>
      <c r="C5502" t="str">
        <f>IFERROR(VLOOKUP(ILACLISTE[[#This Row],[NAME]],Table5[#All],2,0),"")</f>
        <v/>
      </c>
    </row>
    <row r="5503" spans="1:3" x14ac:dyDescent="0.3">
      <c r="A5503" s="5" t="s">
        <v>6136</v>
      </c>
      <c r="B5503" t="s">
        <v>11545</v>
      </c>
      <c r="C5503" t="str">
        <f>IFERROR(VLOOKUP(ILACLISTE[[#This Row],[NAME]],Table5[#All],2,0),"")</f>
        <v/>
      </c>
    </row>
    <row r="5504" spans="1:3" x14ac:dyDescent="0.3">
      <c r="A5504" s="5" t="s">
        <v>6137</v>
      </c>
      <c r="B5504" t="s">
        <v>11546</v>
      </c>
      <c r="C5504" t="str">
        <f>IFERROR(VLOOKUP(ILACLISTE[[#This Row],[NAME]],Table5[#All],2,0),"")</f>
        <v/>
      </c>
    </row>
    <row r="5505" spans="1:3" x14ac:dyDescent="0.3">
      <c r="A5505" s="5" t="s">
        <v>6138</v>
      </c>
      <c r="B5505" t="s">
        <v>11547</v>
      </c>
      <c r="C5505" t="str">
        <f>IFERROR(VLOOKUP(ILACLISTE[[#This Row],[NAME]],Table5[#All],2,0),"")</f>
        <v/>
      </c>
    </row>
    <row r="5506" spans="1:3" x14ac:dyDescent="0.3">
      <c r="A5506" s="5" t="s">
        <v>6139</v>
      </c>
      <c r="B5506" t="s">
        <v>11548</v>
      </c>
      <c r="C5506" t="str">
        <f>IFERROR(VLOOKUP(ILACLISTE[[#This Row],[NAME]],Table5[#All],2,0),"")</f>
        <v/>
      </c>
    </row>
    <row r="5507" spans="1:3" x14ac:dyDescent="0.3">
      <c r="A5507" s="5" t="s">
        <v>6140</v>
      </c>
      <c r="B5507" t="s">
        <v>11549</v>
      </c>
      <c r="C5507" t="str">
        <f>IFERROR(VLOOKUP(ILACLISTE[[#This Row],[NAME]],Table5[#All],2,0),"")</f>
        <v/>
      </c>
    </row>
    <row r="5508" spans="1:3" x14ac:dyDescent="0.3">
      <c r="A5508" s="5" t="s">
        <v>6141</v>
      </c>
      <c r="B5508" t="s">
        <v>11550</v>
      </c>
      <c r="C5508" t="str">
        <f>IFERROR(VLOOKUP(ILACLISTE[[#This Row],[NAME]],Table5[#All],2,0),"")</f>
        <v/>
      </c>
    </row>
    <row r="5509" spans="1:3" x14ac:dyDescent="0.3">
      <c r="A5509" s="5" t="s">
        <v>6142</v>
      </c>
      <c r="B5509" t="s">
        <v>11551</v>
      </c>
      <c r="C5509" t="str">
        <f>IFERROR(VLOOKUP(ILACLISTE[[#This Row],[NAME]],Table5[#All],2,0),"")</f>
        <v/>
      </c>
    </row>
    <row r="5510" spans="1:3" x14ac:dyDescent="0.3">
      <c r="A5510" s="5" t="s">
        <v>6143</v>
      </c>
      <c r="B5510" t="s">
        <v>11552</v>
      </c>
      <c r="C5510" t="str">
        <f>IFERROR(VLOOKUP(ILACLISTE[[#This Row],[NAME]],Table5[#All],2,0),"")</f>
        <v/>
      </c>
    </row>
    <row r="5511" spans="1:3" x14ac:dyDescent="0.3">
      <c r="A5511" s="5" t="s">
        <v>6144</v>
      </c>
      <c r="B5511" t="s">
        <v>11553</v>
      </c>
      <c r="C5511" t="str">
        <f>IFERROR(VLOOKUP(ILACLISTE[[#This Row],[NAME]],Table5[#All],2,0),"")</f>
        <v/>
      </c>
    </row>
    <row r="5512" spans="1:3" x14ac:dyDescent="0.3">
      <c r="A5512" s="5" t="s">
        <v>6145</v>
      </c>
      <c r="B5512" t="s">
        <v>11554</v>
      </c>
      <c r="C5512" t="str">
        <f>IFERROR(VLOOKUP(ILACLISTE[[#This Row],[NAME]],Table5[#All],2,0),"")</f>
        <v/>
      </c>
    </row>
    <row r="5513" spans="1:3" x14ac:dyDescent="0.3">
      <c r="A5513" s="5" t="s">
        <v>6146</v>
      </c>
      <c r="B5513" t="s">
        <v>11555</v>
      </c>
      <c r="C5513" t="str">
        <f>IFERROR(VLOOKUP(ILACLISTE[[#This Row],[NAME]],Table5[#All],2,0),"")</f>
        <v/>
      </c>
    </row>
    <row r="5514" spans="1:3" x14ac:dyDescent="0.3">
      <c r="A5514" s="5" t="s">
        <v>6147</v>
      </c>
      <c r="B5514" t="s">
        <v>11556</v>
      </c>
      <c r="C5514" t="str">
        <f>IFERROR(VLOOKUP(ILACLISTE[[#This Row],[NAME]],Table5[#All],2,0),"")</f>
        <v/>
      </c>
    </row>
    <row r="5515" spans="1:3" x14ac:dyDescent="0.3">
      <c r="A5515" s="5" t="s">
        <v>6148</v>
      </c>
      <c r="B5515" t="s">
        <v>11557</v>
      </c>
      <c r="C5515" t="str">
        <f>IFERROR(VLOOKUP(ILACLISTE[[#This Row],[NAME]],Table5[#All],2,0),"")</f>
        <v/>
      </c>
    </row>
    <row r="5516" spans="1:3" x14ac:dyDescent="0.3">
      <c r="A5516" s="5" t="s">
        <v>6149</v>
      </c>
      <c r="B5516" t="s">
        <v>11558</v>
      </c>
      <c r="C5516" t="str">
        <f>IFERROR(VLOOKUP(ILACLISTE[[#This Row],[NAME]],Table5[#All],2,0),"")</f>
        <v/>
      </c>
    </row>
    <row r="5517" spans="1:3" x14ac:dyDescent="0.3">
      <c r="A5517" s="5" t="s">
        <v>6150</v>
      </c>
      <c r="B5517" t="s">
        <v>11559</v>
      </c>
      <c r="C5517" t="str">
        <f>IFERROR(VLOOKUP(ILACLISTE[[#This Row],[NAME]],Table5[#All],2,0),"")</f>
        <v/>
      </c>
    </row>
    <row r="5518" spans="1:3" x14ac:dyDescent="0.3">
      <c r="A5518" s="5" t="s">
        <v>6151</v>
      </c>
      <c r="B5518" t="s">
        <v>656</v>
      </c>
      <c r="C5518" t="str">
        <f>IFERROR(VLOOKUP(ILACLISTE[[#This Row],[NAME]],Table5[#All],2,0),"")</f>
        <v/>
      </c>
    </row>
    <row r="5519" spans="1:3" x14ac:dyDescent="0.3">
      <c r="A5519" s="5" t="s">
        <v>6152</v>
      </c>
      <c r="B5519" t="s">
        <v>11560</v>
      </c>
      <c r="C5519" t="str">
        <f>IFERROR(VLOOKUP(ILACLISTE[[#This Row],[NAME]],Table5[#All],2,0),"")</f>
        <v/>
      </c>
    </row>
    <row r="5520" spans="1:3" x14ac:dyDescent="0.3">
      <c r="A5520" s="5" t="s">
        <v>6153</v>
      </c>
      <c r="B5520" t="s">
        <v>11561</v>
      </c>
      <c r="C5520" t="str">
        <f>IFERROR(VLOOKUP(ILACLISTE[[#This Row],[NAME]],Table5[#All],2,0),"")</f>
        <v/>
      </c>
    </row>
    <row r="5521" spans="1:3" x14ac:dyDescent="0.3">
      <c r="A5521" s="5" t="s">
        <v>6154</v>
      </c>
      <c r="B5521" t="s">
        <v>11562</v>
      </c>
      <c r="C5521" t="str">
        <f>IFERROR(VLOOKUP(ILACLISTE[[#This Row],[NAME]],Table5[#All],2,0),"")</f>
        <v/>
      </c>
    </row>
    <row r="5522" spans="1:3" x14ac:dyDescent="0.3">
      <c r="A5522" s="5" t="s">
        <v>6155</v>
      </c>
      <c r="B5522" t="s">
        <v>11563</v>
      </c>
      <c r="C5522" t="str">
        <f>IFERROR(VLOOKUP(ILACLISTE[[#This Row],[NAME]],Table5[#All],2,0),"")</f>
        <v/>
      </c>
    </row>
    <row r="5523" spans="1:3" x14ac:dyDescent="0.3">
      <c r="A5523" s="5" t="s">
        <v>6156</v>
      </c>
      <c r="B5523" t="s">
        <v>11564</v>
      </c>
      <c r="C5523" t="str">
        <f>IFERROR(VLOOKUP(ILACLISTE[[#This Row],[NAME]],Table5[#All],2,0),"")</f>
        <v/>
      </c>
    </row>
    <row r="5524" spans="1:3" x14ac:dyDescent="0.3">
      <c r="A5524" s="5" t="s">
        <v>6157</v>
      </c>
      <c r="B5524" t="s">
        <v>11565</v>
      </c>
      <c r="C5524" t="str">
        <f>IFERROR(VLOOKUP(ILACLISTE[[#This Row],[NAME]],Table5[#All],2,0),"")</f>
        <v/>
      </c>
    </row>
    <row r="5525" spans="1:3" x14ac:dyDescent="0.3">
      <c r="A5525" s="5" t="s">
        <v>6158</v>
      </c>
      <c r="B5525" t="s">
        <v>657</v>
      </c>
      <c r="C5525" t="str">
        <f>IFERROR(VLOOKUP(ILACLISTE[[#This Row],[NAME]],Table5[#All],2,0),"")</f>
        <v/>
      </c>
    </row>
    <row r="5526" spans="1:3" x14ac:dyDescent="0.3">
      <c r="A5526" s="5" t="s">
        <v>6159</v>
      </c>
      <c r="B5526" t="s">
        <v>11566</v>
      </c>
      <c r="C5526" t="str">
        <f>IFERROR(VLOOKUP(ILACLISTE[[#This Row],[NAME]],Table5[#All],2,0),"")</f>
        <v/>
      </c>
    </row>
    <row r="5527" spans="1:3" x14ac:dyDescent="0.3">
      <c r="A5527" s="5" t="s">
        <v>6160</v>
      </c>
      <c r="B5527" t="s">
        <v>658</v>
      </c>
      <c r="C5527" t="str">
        <f>IFERROR(VLOOKUP(ILACLISTE[[#This Row],[NAME]],Table5[#All],2,0),"")</f>
        <v/>
      </c>
    </row>
    <row r="5528" spans="1:3" x14ac:dyDescent="0.3">
      <c r="A5528" s="5" t="s">
        <v>6161</v>
      </c>
      <c r="B5528" t="s">
        <v>659</v>
      </c>
      <c r="C5528" t="str">
        <f>IFERROR(VLOOKUP(ILACLISTE[[#This Row],[NAME]],Table5[#All],2,0),"")</f>
        <v/>
      </c>
    </row>
    <row r="5529" spans="1:3" x14ac:dyDescent="0.3">
      <c r="A5529" s="5" t="s">
        <v>6162</v>
      </c>
      <c r="B5529" t="s">
        <v>11567</v>
      </c>
      <c r="C5529" t="str">
        <f>IFERROR(VLOOKUP(ILACLISTE[[#This Row],[NAME]],Table5[#All],2,0),"")</f>
        <v/>
      </c>
    </row>
    <row r="5530" spans="1:3" x14ac:dyDescent="0.3">
      <c r="A5530" s="5" t="s">
        <v>6163</v>
      </c>
      <c r="B5530" t="s">
        <v>11568</v>
      </c>
      <c r="C5530" t="str">
        <f>IFERROR(VLOOKUP(ILACLISTE[[#This Row],[NAME]],Table5[#All],2,0),"")</f>
        <v/>
      </c>
    </row>
    <row r="5531" spans="1:3" x14ac:dyDescent="0.3">
      <c r="A5531" s="5" t="s">
        <v>6164</v>
      </c>
      <c r="B5531" t="s">
        <v>11569</v>
      </c>
      <c r="C5531" t="str">
        <f>IFERROR(VLOOKUP(ILACLISTE[[#This Row],[NAME]],Table5[#All],2,0),"")</f>
        <v/>
      </c>
    </row>
    <row r="5532" spans="1:3" x14ac:dyDescent="0.3">
      <c r="A5532" s="5" t="s">
        <v>6165</v>
      </c>
      <c r="B5532" t="s">
        <v>11570</v>
      </c>
      <c r="C5532" t="str">
        <f>IFERROR(VLOOKUP(ILACLISTE[[#This Row],[NAME]],Table5[#All],2,0),"")</f>
        <v/>
      </c>
    </row>
    <row r="5533" spans="1:3" x14ac:dyDescent="0.3">
      <c r="A5533" s="5" t="s">
        <v>6166</v>
      </c>
      <c r="B5533" t="s">
        <v>11571</v>
      </c>
      <c r="C5533" t="str">
        <f>IFERROR(VLOOKUP(ILACLISTE[[#This Row],[NAME]],Table5[#All],2,0),"")</f>
        <v/>
      </c>
    </row>
    <row r="5534" spans="1:3" x14ac:dyDescent="0.3">
      <c r="A5534" s="5" t="s">
        <v>6167</v>
      </c>
      <c r="B5534" t="s">
        <v>11572</v>
      </c>
      <c r="C5534" t="str">
        <f>IFERROR(VLOOKUP(ILACLISTE[[#This Row],[NAME]],Table5[#All],2,0),"")</f>
        <v/>
      </c>
    </row>
    <row r="5535" spans="1:3" x14ac:dyDescent="0.3">
      <c r="A5535" s="5" t="s">
        <v>6168</v>
      </c>
      <c r="B5535" t="s">
        <v>11573</v>
      </c>
      <c r="C5535" t="str">
        <f>IFERROR(VLOOKUP(ILACLISTE[[#This Row],[NAME]],Table5[#All],2,0),"")</f>
        <v/>
      </c>
    </row>
    <row r="5536" spans="1:3" x14ac:dyDescent="0.3">
      <c r="A5536" s="5" t="s">
        <v>6169</v>
      </c>
      <c r="B5536" t="s">
        <v>11574</v>
      </c>
      <c r="C5536" t="str">
        <f>IFERROR(VLOOKUP(ILACLISTE[[#This Row],[NAME]],Table5[#All],2,0),"")</f>
        <v/>
      </c>
    </row>
    <row r="5537" spans="1:3" x14ac:dyDescent="0.3">
      <c r="A5537" s="5" t="s">
        <v>6170</v>
      </c>
      <c r="B5537" t="s">
        <v>11575</v>
      </c>
      <c r="C5537" t="str">
        <f>IFERROR(VLOOKUP(ILACLISTE[[#This Row],[NAME]],Table5[#All],2,0),"")</f>
        <v/>
      </c>
    </row>
    <row r="5538" spans="1:3" x14ac:dyDescent="0.3">
      <c r="A5538" s="5" t="s">
        <v>6171</v>
      </c>
      <c r="B5538" t="s">
        <v>11576</v>
      </c>
      <c r="C5538" t="str">
        <f>IFERROR(VLOOKUP(ILACLISTE[[#This Row],[NAME]],Table5[#All],2,0),"")</f>
        <v/>
      </c>
    </row>
    <row r="5539" spans="1:3" x14ac:dyDescent="0.3">
      <c r="A5539" s="5" t="s">
        <v>6172</v>
      </c>
      <c r="B5539" t="s">
        <v>11577</v>
      </c>
      <c r="C5539" t="str">
        <f>IFERROR(VLOOKUP(ILACLISTE[[#This Row],[NAME]],Table5[#All],2,0),"")</f>
        <v/>
      </c>
    </row>
    <row r="5540" spans="1:3" x14ac:dyDescent="0.3">
      <c r="A5540" s="5" t="s">
        <v>6173</v>
      </c>
      <c r="B5540" t="s">
        <v>11578</v>
      </c>
      <c r="C5540" t="str">
        <f>IFERROR(VLOOKUP(ILACLISTE[[#This Row],[NAME]],Table5[#All],2,0),"")</f>
        <v/>
      </c>
    </row>
    <row r="5541" spans="1:3" x14ac:dyDescent="0.3">
      <c r="A5541" s="5" t="s">
        <v>6174</v>
      </c>
      <c r="B5541" t="s">
        <v>11579</v>
      </c>
      <c r="C5541" t="str">
        <f>IFERROR(VLOOKUP(ILACLISTE[[#This Row],[NAME]],Table5[#All],2,0),"")</f>
        <v/>
      </c>
    </row>
    <row r="5542" spans="1:3" x14ac:dyDescent="0.3">
      <c r="A5542" s="5" t="s">
        <v>6175</v>
      </c>
      <c r="B5542" t="s">
        <v>11580</v>
      </c>
      <c r="C5542" t="str">
        <f>IFERROR(VLOOKUP(ILACLISTE[[#This Row],[NAME]],Table5[#All],2,0),"")</f>
        <v/>
      </c>
    </row>
    <row r="5543" spans="1:3" x14ac:dyDescent="0.3">
      <c r="A5543" s="5" t="s">
        <v>6176</v>
      </c>
      <c r="B5543" t="s">
        <v>11581</v>
      </c>
      <c r="C5543" t="str">
        <f>IFERROR(VLOOKUP(ILACLISTE[[#This Row],[NAME]],Table5[#All],2,0),"")</f>
        <v/>
      </c>
    </row>
    <row r="5544" spans="1:3" x14ac:dyDescent="0.3">
      <c r="A5544" s="5" t="s">
        <v>6177</v>
      </c>
      <c r="B5544" t="s">
        <v>11582</v>
      </c>
      <c r="C5544" t="str">
        <f>IFERROR(VLOOKUP(ILACLISTE[[#This Row],[NAME]],Table5[#All],2,0),"")</f>
        <v/>
      </c>
    </row>
    <row r="5545" spans="1:3" x14ac:dyDescent="0.3">
      <c r="A5545" s="5" t="s">
        <v>6178</v>
      </c>
      <c r="B5545" t="s">
        <v>11583</v>
      </c>
      <c r="C5545" t="str">
        <f>IFERROR(VLOOKUP(ILACLISTE[[#This Row],[NAME]],Table5[#All],2,0),"")</f>
        <v/>
      </c>
    </row>
    <row r="5546" spans="1:3" x14ac:dyDescent="0.3">
      <c r="A5546" s="5" t="s">
        <v>6179</v>
      </c>
      <c r="B5546" t="s">
        <v>11584</v>
      </c>
      <c r="C5546" t="str">
        <f>IFERROR(VLOOKUP(ILACLISTE[[#This Row],[NAME]],Table5[#All],2,0),"")</f>
        <v/>
      </c>
    </row>
    <row r="5547" spans="1:3" x14ac:dyDescent="0.3">
      <c r="A5547" s="5" t="s">
        <v>6180</v>
      </c>
      <c r="B5547" t="s">
        <v>11585</v>
      </c>
      <c r="C5547" t="str">
        <f>IFERROR(VLOOKUP(ILACLISTE[[#This Row],[NAME]],Table5[#All],2,0),"")</f>
        <v/>
      </c>
    </row>
    <row r="5548" spans="1:3" x14ac:dyDescent="0.3">
      <c r="A5548" s="5" t="s">
        <v>6181</v>
      </c>
      <c r="B5548" t="s">
        <v>11586</v>
      </c>
      <c r="C5548" t="str">
        <f>IFERROR(VLOOKUP(ILACLISTE[[#This Row],[NAME]],Table5[#All],2,0),"")</f>
        <v/>
      </c>
    </row>
    <row r="5549" spans="1:3" x14ac:dyDescent="0.3">
      <c r="A5549" s="5" t="s">
        <v>6182</v>
      </c>
      <c r="B5549" t="s">
        <v>11587</v>
      </c>
      <c r="C5549" t="str">
        <f>IFERROR(VLOOKUP(ILACLISTE[[#This Row],[NAME]],Table5[#All],2,0),"")</f>
        <v/>
      </c>
    </row>
    <row r="5550" spans="1:3" x14ac:dyDescent="0.3">
      <c r="A5550" s="5" t="s">
        <v>6183</v>
      </c>
      <c r="B5550" t="s">
        <v>11588</v>
      </c>
      <c r="C5550" t="str">
        <f>IFERROR(VLOOKUP(ILACLISTE[[#This Row],[NAME]],Table5[#All],2,0),"")</f>
        <v/>
      </c>
    </row>
    <row r="5551" spans="1:3" x14ac:dyDescent="0.3">
      <c r="A5551" s="5" t="s">
        <v>6184</v>
      </c>
      <c r="B5551" t="s">
        <v>11589</v>
      </c>
      <c r="C5551" t="str">
        <f>IFERROR(VLOOKUP(ILACLISTE[[#This Row],[NAME]],Table5[#All],2,0),"")</f>
        <v/>
      </c>
    </row>
    <row r="5552" spans="1:3" x14ac:dyDescent="0.3">
      <c r="A5552" s="5" t="s">
        <v>6185</v>
      </c>
      <c r="B5552" t="s">
        <v>660</v>
      </c>
      <c r="C5552" t="str">
        <f>IFERROR(VLOOKUP(ILACLISTE[[#This Row],[NAME]],Table5[#All],2,0),"")</f>
        <v/>
      </c>
    </row>
    <row r="5553" spans="1:3" x14ac:dyDescent="0.3">
      <c r="A5553" s="5" t="s">
        <v>6186</v>
      </c>
      <c r="B5553" t="s">
        <v>11590</v>
      </c>
      <c r="C5553" t="str">
        <f>IFERROR(VLOOKUP(ILACLISTE[[#This Row],[NAME]],Table5[#All],2,0),"")</f>
        <v/>
      </c>
    </row>
    <row r="5554" spans="1:3" x14ac:dyDescent="0.3">
      <c r="A5554" s="5" t="s">
        <v>6187</v>
      </c>
      <c r="B5554" t="s">
        <v>11591</v>
      </c>
      <c r="C5554" t="str">
        <f>IFERROR(VLOOKUP(ILACLISTE[[#This Row],[NAME]],Table5[#All],2,0),"")</f>
        <v/>
      </c>
    </row>
    <row r="5555" spans="1:3" x14ac:dyDescent="0.3">
      <c r="A5555" s="5" t="s">
        <v>6188</v>
      </c>
      <c r="B5555" t="s">
        <v>11592</v>
      </c>
      <c r="C5555" t="str">
        <f>IFERROR(VLOOKUP(ILACLISTE[[#This Row],[NAME]],Table5[#All],2,0),"")</f>
        <v/>
      </c>
    </row>
    <row r="5556" spans="1:3" x14ac:dyDescent="0.3">
      <c r="A5556" s="5" t="s">
        <v>6189</v>
      </c>
      <c r="B5556" t="s">
        <v>11593</v>
      </c>
      <c r="C5556" t="str">
        <f>IFERROR(VLOOKUP(ILACLISTE[[#This Row],[NAME]],Table5[#All],2,0),"")</f>
        <v/>
      </c>
    </row>
    <row r="5557" spans="1:3" x14ac:dyDescent="0.3">
      <c r="A5557" s="5" t="s">
        <v>6190</v>
      </c>
      <c r="B5557" t="s">
        <v>11594</v>
      </c>
      <c r="C5557" t="str">
        <f>IFERROR(VLOOKUP(ILACLISTE[[#This Row],[NAME]],Table5[#All],2,0),"")</f>
        <v/>
      </c>
    </row>
    <row r="5558" spans="1:3" x14ac:dyDescent="0.3">
      <c r="A5558" s="5" t="s">
        <v>6191</v>
      </c>
      <c r="B5558" t="s">
        <v>11595</v>
      </c>
      <c r="C5558" t="str">
        <f>IFERROR(VLOOKUP(ILACLISTE[[#This Row],[NAME]],Table5[#All],2,0),"")</f>
        <v/>
      </c>
    </row>
    <row r="5559" spans="1:3" x14ac:dyDescent="0.3">
      <c r="A5559" s="5" t="s">
        <v>6192</v>
      </c>
      <c r="B5559" t="s">
        <v>11596</v>
      </c>
      <c r="C5559" t="str">
        <f>IFERROR(VLOOKUP(ILACLISTE[[#This Row],[NAME]],Table5[#All],2,0),"")</f>
        <v/>
      </c>
    </row>
    <row r="5560" spans="1:3" x14ac:dyDescent="0.3">
      <c r="A5560" s="5" t="s">
        <v>6193</v>
      </c>
      <c r="B5560" t="s">
        <v>11597</v>
      </c>
      <c r="C5560" t="str">
        <f>IFERROR(VLOOKUP(ILACLISTE[[#This Row],[NAME]],Table5[#All],2,0),"")</f>
        <v/>
      </c>
    </row>
    <row r="5561" spans="1:3" x14ac:dyDescent="0.3">
      <c r="A5561" s="5" t="s">
        <v>6194</v>
      </c>
      <c r="B5561" t="s">
        <v>11598</v>
      </c>
      <c r="C5561" t="str">
        <f>IFERROR(VLOOKUP(ILACLISTE[[#This Row],[NAME]],Table5[#All],2,0),"")</f>
        <v/>
      </c>
    </row>
    <row r="5562" spans="1:3" x14ac:dyDescent="0.3">
      <c r="A5562" s="5" t="s">
        <v>6195</v>
      </c>
      <c r="B5562" t="s">
        <v>11599</v>
      </c>
      <c r="C5562" t="str">
        <f>IFERROR(VLOOKUP(ILACLISTE[[#This Row],[NAME]],Table5[#All],2,0),"")</f>
        <v/>
      </c>
    </row>
    <row r="5563" spans="1:3" x14ac:dyDescent="0.3">
      <c r="A5563" s="5" t="s">
        <v>6196</v>
      </c>
      <c r="B5563" t="s">
        <v>11600</v>
      </c>
      <c r="C5563" t="str">
        <f>IFERROR(VLOOKUP(ILACLISTE[[#This Row],[NAME]],Table5[#All],2,0),"")</f>
        <v/>
      </c>
    </row>
    <row r="5564" spans="1:3" x14ac:dyDescent="0.3">
      <c r="A5564" s="5" t="s">
        <v>6197</v>
      </c>
      <c r="B5564" t="s">
        <v>11601</v>
      </c>
      <c r="C5564" t="str">
        <f>IFERROR(VLOOKUP(ILACLISTE[[#This Row],[NAME]],Table5[#All],2,0),"")</f>
        <v/>
      </c>
    </row>
    <row r="5565" spans="1:3" x14ac:dyDescent="0.3">
      <c r="A5565" s="5" t="s">
        <v>6198</v>
      </c>
      <c r="B5565" t="s">
        <v>11602</v>
      </c>
      <c r="C5565" t="str">
        <f>IFERROR(VLOOKUP(ILACLISTE[[#This Row],[NAME]],Table5[#All],2,0),"")</f>
        <v/>
      </c>
    </row>
    <row r="5566" spans="1:3" x14ac:dyDescent="0.3">
      <c r="A5566" s="5" t="s">
        <v>6199</v>
      </c>
      <c r="B5566" t="s">
        <v>11603</v>
      </c>
      <c r="C5566" t="str">
        <f>IFERROR(VLOOKUP(ILACLISTE[[#This Row],[NAME]],Table5[#All],2,0),"")</f>
        <v/>
      </c>
    </row>
    <row r="5567" spans="1:3" x14ac:dyDescent="0.3">
      <c r="A5567" s="5" t="s">
        <v>6200</v>
      </c>
      <c r="B5567" t="s">
        <v>11604</v>
      </c>
      <c r="C5567" t="str">
        <f>IFERROR(VLOOKUP(ILACLISTE[[#This Row],[NAME]],Table5[#All],2,0),"")</f>
        <v/>
      </c>
    </row>
    <row r="5568" spans="1:3" x14ac:dyDescent="0.3">
      <c r="A5568" s="5" t="s">
        <v>6201</v>
      </c>
      <c r="B5568" t="s">
        <v>11605</v>
      </c>
      <c r="C5568" t="str">
        <f>IFERROR(VLOOKUP(ILACLISTE[[#This Row],[NAME]],Table5[#All],2,0),"")</f>
        <v/>
      </c>
    </row>
    <row r="5569" spans="1:3" x14ac:dyDescent="0.3">
      <c r="A5569" s="5" t="s">
        <v>6202</v>
      </c>
      <c r="B5569" t="s">
        <v>11606</v>
      </c>
      <c r="C5569" t="str">
        <f>IFERROR(VLOOKUP(ILACLISTE[[#This Row],[NAME]],Table5[#All],2,0),"")</f>
        <v/>
      </c>
    </row>
    <row r="5570" spans="1:3" x14ac:dyDescent="0.3">
      <c r="A5570" s="5" t="s">
        <v>6203</v>
      </c>
      <c r="B5570" t="s">
        <v>11607</v>
      </c>
      <c r="C5570" t="str">
        <f>IFERROR(VLOOKUP(ILACLISTE[[#This Row],[NAME]],Table5[#All],2,0),"")</f>
        <v/>
      </c>
    </row>
    <row r="5571" spans="1:3" x14ac:dyDescent="0.3">
      <c r="A5571" s="5" t="s">
        <v>6204</v>
      </c>
      <c r="B5571" t="s">
        <v>661</v>
      </c>
      <c r="C5571" t="str">
        <f>IFERROR(VLOOKUP(ILACLISTE[[#This Row],[NAME]],Table5[#All],2,0),"")</f>
        <v/>
      </c>
    </row>
    <row r="5572" spans="1:3" x14ac:dyDescent="0.3">
      <c r="A5572" s="5" t="s">
        <v>6205</v>
      </c>
      <c r="B5572" t="s">
        <v>11608</v>
      </c>
      <c r="C5572" t="str">
        <f>IFERROR(VLOOKUP(ILACLISTE[[#This Row],[NAME]],Table5[#All],2,0),"")</f>
        <v/>
      </c>
    </row>
    <row r="5573" spans="1:3" x14ac:dyDescent="0.3">
      <c r="A5573" s="5" t="s">
        <v>6206</v>
      </c>
      <c r="B5573" t="s">
        <v>11609</v>
      </c>
      <c r="C5573" t="str">
        <f>IFERROR(VLOOKUP(ILACLISTE[[#This Row],[NAME]],Table5[#All],2,0),"")</f>
        <v/>
      </c>
    </row>
    <row r="5574" spans="1:3" x14ac:dyDescent="0.3">
      <c r="A5574" s="5" t="s">
        <v>6207</v>
      </c>
      <c r="B5574" t="s">
        <v>11610</v>
      </c>
      <c r="C5574" t="str">
        <f>IFERROR(VLOOKUP(ILACLISTE[[#This Row],[NAME]],Table5[#All],2,0),"")</f>
        <v/>
      </c>
    </row>
    <row r="5575" spans="1:3" x14ac:dyDescent="0.3">
      <c r="A5575" s="5" t="s">
        <v>6208</v>
      </c>
      <c r="B5575" t="s">
        <v>11611</v>
      </c>
      <c r="C5575" t="str">
        <f>IFERROR(VLOOKUP(ILACLISTE[[#This Row],[NAME]],Table5[#All],2,0),"")</f>
        <v/>
      </c>
    </row>
    <row r="5576" spans="1:3" x14ac:dyDescent="0.3">
      <c r="A5576" s="5" t="s">
        <v>6209</v>
      </c>
      <c r="B5576" t="s">
        <v>11612</v>
      </c>
      <c r="C5576" t="str">
        <f>IFERROR(VLOOKUP(ILACLISTE[[#This Row],[NAME]],Table5[#All],2,0),"")</f>
        <v/>
      </c>
    </row>
    <row r="5577" spans="1:3" x14ac:dyDescent="0.3">
      <c r="A5577" s="5" t="s">
        <v>6210</v>
      </c>
      <c r="B5577" t="s">
        <v>11613</v>
      </c>
      <c r="C5577" t="str">
        <f>IFERROR(VLOOKUP(ILACLISTE[[#This Row],[NAME]],Table5[#All],2,0),"")</f>
        <v/>
      </c>
    </row>
    <row r="5578" spans="1:3" x14ac:dyDescent="0.3">
      <c r="A5578" s="5" t="s">
        <v>6211</v>
      </c>
      <c r="B5578" t="s">
        <v>11614</v>
      </c>
      <c r="C5578" t="str">
        <f>IFERROR(VLOOKUP(ILACLISTE[[#This Row],[NAME]],Table5[#All],2,0),"")</f>
        <v/>
      </c>
    </row>
    <row r="5579" spans="1:3" x14ac:dyDescent="0.3">
      <c r="A5579" s="5" t="s">
        <v>6212</v>
      </c>
      <c r="B5579" t="s">
        <v>11615</v>
      </c>
      <c r="C5579" t="str">
        <f>IFERROR(VLOOKUP(ILACLISTE[[#This Row],[NAME]],Table5[#All],2,0),"")</f>
        <v/>
      </c>
    </row>
    <row r="5580" spans="1:3" x14ac:dyDescent="0.3">
      <c r="A5580" s="5" t="s">
        <v>6213</v>
      </c>
      <c r="B5580" t="s">
        <v>11616</v>
      </c>
      <c r="C5580" t="str">
        <f>IFERROR(VLOOKUP(ILACLISTE[[#This Row],[NAME]],Table5[#All],2,0),"")</f>
        <v/>
      </c>
    </row>
    <row r="5581" spans="1:3" x14ac:dyDescent="0.3">
      <c r="A5581" s="5" t="s">
        <v>6214</v>
      </c>
      <c r="B5581" t="s">
        <v>11617</v>
      </c>
      <c r="C5581" t="str">
        <f>IFERROR(VLOOKUP(ILACLISTE[[#This Row],[NAME]],Table5[#All],2,0),"")</f>
        <v/>
      </c>
    </row>
    <row r="5582" spans="1:3" x14ac:dyDescent="0.3">
      <c r="A5582" s="5" t="s">
        <v>6215</v>
      </c>
      <c r="B5582" t="s">
        <v>11618</v>
      </c>
      <c r="C5582" t="str">
        <f>IFERROR(VLOOKUP(ILACLISTE[[#This Row],[NAME]],Table5[#All],2,0),"")</f>
        <v/>
      </c>
    </row>
    <row r="5583" spans="1:3" x14ac:dyDescent="0.3">
      <c r="A5583" s="5" t="s">
        <v>6216</v>
      </c>
      <c r="B5583" t="s">
        <v>11619</v>
      </c>
      <c r="C5583" t="str">
        <f>IFERROR(VLOOKUP(ILACLISTE[[#This Row],[NAME]],Table5[#All],2,0),"")</f>
        <v/>
      </c>
    </row>
    <row r="5584" spans="1:3" x14ac:dyDescent="0.3">
      <c r="A5584" s="5" t="s">
        <v>6217</v>
      </c>
      <c r="B5584" t="s">
        <v>11620</v>
      </c>
      <c r="C5584" t="str">
        <f>IFERROR(VLOOKUP(ILACLISTE[[#This Row],[NAME]],Table5[#All],2,0),"")</f>
        <v/>
      </c>
    </row>
    <row r="5585" spans="1:3" x14ac:dyDescent="0.3">
      <c r="A5585" s="5" t="s">
        <v>6218</v>
      </c>
      <c r="B5585" t="s">
        <v>11621</v>
      </c>
      <c r="C5585" t="str">
        <f>IFERROR(VLOOKUP(ILACLISTE[[#This Row],[NAME]],Table5[#All],2,0),"")</f>
        <v/>
      </c>
    </row>
    <row r="5586" spans="1:3" x14ac:dyDescent="0.3">
      <c r="A5586" s="5" t="s">
        <v>6219</v>
      </c>
      <c r="B5586" t="s">
        <v>11622</v>
      </c>
      <c r="C5586" t="str">
        <f>IFERROR(VLOOKUP(ILACLISTE[[#This Row],[NAME]],Table5[#All],2,0),"")</f>
        <v/>
      </c>
    </row>
    <row r="5587" spans="1:3" x14ac:dyDescent="0.3">
      <c r="A5587" s="5" t="s">
        <v>6220</v>
      </c>
      <c r="B5587" t="s">
        <v>11623</v>
      </c>
      <c r="C5587" t="str">
        <f>IFERROR(VLOOKUP(ILACLISTE[[#This Row],[NAME]],Table5[#All],2,0),"")</f>
        <v/>
      </c>
    </row>
    <row r="5588" spans="1:3" x14ac:dyDescent="0.3">
      <c r="A5588" s="5" t="s">
        <v>6221</v>
      </c>
      <c r="B5588" t="s">
        <v>11624</v>
      </c>
      <c r="C5588" t="str">
        <f>IFERROR(VLOOKUP(ILACLISTE[[#This Row],[NAME]],Table5[#All],2,0),"")</f>
        <v/>
      </c>
    </row>
    <row r="5589" spans="1:3" x14ac:dyDescent="0.3">
      <c r="A5589" s="5" t="s">
        <v>6222</v>
      </c>
      <c r="B5589" t="s">
        <v>11625</v>
      </c>
      <c r="C5589" t="str">
        <f>IFERROR(VLOOKUP(ILACLISTE[[#This Row],[NAME]],Table5[#All],2,0),"")</f>
        <v/>
      </c>
    </row>
    <row r="5590" spans="1:3" x14ac:dyDescent="0.3">
      <c r="A5590" s="5" t="s">
        <v>6223</v>
      </c>
      <c r="B5590" t="s">
        <v>11626</v>
      </c>
      <c r="C5590" t="str">
        <f>IFERROR(VLOOKUP(ILACLISTE[[#This Row],[NAME]],Table5[#All],2,0),"")</f>
        <v/>
      </c>
    </row>
    <row r="5591" spans="1:3" x14ac:dyDescent="0.3">
      <c r="A5591" s="5" t="s">
        <v>6224</v>
      </c>
      <c r="B5591" t="s">
        <v>11627</v>
      </c>
      <c r="C5591" t="str">
        <f>IFERROR(VLOOKUP(ILACLISTE[[#This Row],[NAME]],Table5[#All],2,0),"")</f>
        <v/>
      </c>
    </row>
    <row r="5592" spans="1:3" x14ac:dyDescent="0.3">
      <c r="A5592" s="5" t="s">
        <v>6225</v>
      </c>
      <c r="B5592" t="s">
        <v>11628</v>
      </c>
      <c r="C5592" t="str">
        <f>IFERROR(VLOOKUP(ILACLISTE[[#This Row],[NAME]],Table5[#All],2,0),"")</f>
        <v/>
      </c>
    </row>
    <row r="5593" spans="1:3" x14ac:dyDescent="0.3">
      <c r="A5593" s="5" t="s">
        <v>6226</v>
      </c>
      <c r="B5593" t="s">
        <v>11629</v>
      </c>
      <c r="C5593" t="str">
        <f>IFERROR(VLOOKUP(ILACLISTE[[#This Row],[NAME]],Table5[#All],2,0),"")</f>
        <v/>
      </c>
    </row>
    <row r="5594" spans="1:3" x14ac:dyDescent="0.3">
      <c r="A5594" s="5" t="s">
        <v>6227</v>
      </c>
      <c r="B5594" t="s">
        <v>11630</v>
      </c>
      <c r="C5594" t="str">
        <f>IFERROR(VLOOKUP(ILACLISTE[[#This Row],[NAME]],Table5[#All],2,0),"")</f>
        <v/>
      </c>
    </row>
    <row r="5595" spans="1:3" x14ac:dyDescent="0.3">
      <c r="A5595" s="5" t="s">
        <v>6228</v>
      </c>
      <c r="B5595" t="s">
        <v>11631</v>
      </c>
      <c r="C5595" t="str">
        <f>IFERROR(VLOOKUP(ILACLISTE[[#This Row],[NAME]],Table5[#All],2,0),"")</f>
        <v/>
      </c>
    </row>
    <row r="5596" spans="1:3" x14ac:dyDescent="0.3">
      <c r="A5596" s="5" t="s">
        <v>6229</v>
      </c>
      <c r="B5596" t="s">
        <v>662</v>
      </c>
      <c r="C5596" t="str">
        <f>IFERROR(VLOOKUP(ILACLISTE[[#This Row],[NAME]],Table5[#All],2,0),"")</f>
        <v/>
      </c>
    </row>
    <row r="5597" spans="1:3" x14ac:dyDescent="0.3">
      <c r="A5597" s="5" t="s">
        <v>6230</v>
      </c>
      <c r="B5597" t="s">
        <v>11632</v>
      </c>
      <c r="C5597" t="str">
        <f>IFERROR(VLOOKUP(ILACLISTE[[#This Row],[NAME]],Table5[#All],2,0),"")</f>
        <v/>
      </c>
    </row>
    <row r="5598" spans="1:3" x14ac:dyDescent="0.3">
      <c r="A5598" s="5" t="s">
        <v>6231</v>
      </c>
      <c r="B5598" t="s">
        <v>11633</v>
      </c>
      <c r="C5598" t="str">
        <f>IFERROR(VLOOKUP(ILACLISTE[[#This Row],[NAME]],Table5[#All],2,0),"")</f>
        <v/>
      </c>
    </row>
    <row r="5599" spans="1:3" x14ac:dyDescent="0.3">
      <c r="A5599" s="5" t="s">
        <v>6232</v>
      </c>
      <c r="B5599" t="s">
        <v>11634</v>
      </c>
      <c r="C5599" t="str">
        <f>IFERROR(VLOOKUP(ILACLISTE[[#This Row],[NAME]],Table5[#All],2,0),"")</f>
        <v/>
      </c>
    </row>
    <row r="5600" spans="1:3" x14ac:dyDescent="0.3">
      <c r="A5600" s="5" t="s">
        <v>6233</v>
      </c>
      <c r="B5600" t="s">
        <v>11635</v>
      </c>
      <c r="C5600" t="str">
        <f>IFERROR(VLOOKUP(ILACLISTE[[#This Row],[NAME]],Table5[#All],2,0),"")</f>
        <v/>
      </c>
    </row>
    <row r="5601" spans="1:3" x14ac:dyDescent="0.3">
      <c r="A5601" s="5" t="s">
        <v>6234</v>
      </c>
      <c r="B5601" t="s">
        <v>11636</v>
      </c>
      <c r="C5601" t="str">
        <f>IFERROR(VLOOKUP(ILACLISTE[[#This Row],[NAME]],Table5[#All],2,0),"")</f>
        <v/>
      </c>
    </row>
    <row r="5602" spans="1:3" x14ac:dyDescent="0.3">
      <c r="A5602" s="5" t="s">
        <v>6235</v>
      </c>
      <c r="B5602" t="s">
        <v>11637</v>
      </c>
      <c r="C5602" t="str">
        <f>IFERROR(VLOOKUP(ILACLISTE[[#This Row],[NAME]],Table5[#All],2,0),"")</f>
        <v/>
      </c>
    </row>
    <row r="5603" spans="1:3" x14ac:dyDescent="0.3">
      <c r="A5603" s="5" t="s">
        <v>6236</v>
      </c>
      <c r="B5603" t="s">
        <v>11638</v>
      </c>
      <c r="C5603" t="str">
        <f>IFERROR(VLOOKUP(ILACLISTE[[#This Row],[NAME]],Table5[#All],2,0),"")</f>
        <v/>
      </c>
    </row>
    <row r="5604" spans="1:3" x14ac:dyDescent="0.3">
      <c r="A5604" s="5" t="s">
        <v>6237</v>
      </c>
      <c r="B5604" t="s">
        <v>11639</v>
      </c>
      <c r="C5604" t="str">
        <f>IFERROR(VLOOKUP(ILACLISTE[[#This Row],[NAME]],Table5[#All],2,0),"")</f>
        <v/>
      </c>
    </row>
    <row r="5605" spans="1:3" x14ac:dyDescent="0.3">
      <c r="A5605" s="5" t="s">
        <v>11640</v>
      </c>
      <c r="B5605" t="s">
        <v>11641</v>
      </c>
      <c r="C5605" t="str">
        <f>IFERROR(VLOOKUP(ILACLISTE[[#This Row],[NAME]],Table5[#All],2,0),"")</f>
        <v/>
      </c>
    </row>
    <row r="5606" spans="1:3" x14ac:dyDescent="0.3">
      <c r="A5606" s="5" t="s">
        <v>11642</v>
      </c>
      <c r="B5606" t="s">
        <v>11643</v>
      </c>
      <c r="C5606" t="str">
        <f>IFERROR(VLOOKUP(ILACLISTE[[#This Row],[NAME]],Table5[#All],2,0),"")</f>
        <v/>
      </c>
    </row>
    <row r="5607" spans="1:3" x14ac:dyDescent="0.3">
      <c r="A5607" s="5" t="s">
        <v>6238</v>
      </c>
      <c r="B5607" t="s">
        <v>11644</v>
      </c>
      <c r="C5607" t="str">
        <f>IFERROR(VLOOKUP(ILACLISTE[[#This Row],[NAME]],Table5[#All],2,0),"")</f>
        <v/>
      </c>
    </row>
    <row r="5608" spans="1:3" x14ac:dyDescent="0.3">
      <c r="A5608" s="5" t="s">
        <v>6239</v>
      </c>
      <c r="B5608" t="s">
        <v>11645</v>
      </c>
      <c r="C5608" t="str">
        <f>IFERROR(VLOOKUP(ILACLISTE[[#This Row],[NAME]],Table5[#All],2,0),"")</f>
        <v/>
      </c>
    </row>
    <row r="5609" spans="1:3" x14ac:dyDescent="0.3">
      <c r="A5609" s="5" t="s">
        <v>6240</v>
      </c>
      <c r="B5609" t="s">
        <v>11646</v>
      </c>
      <c r="C5609" t="str">
        <f>IFERROR(VLOOKUP(ILACLISTE[[#This Row],[NAME]],Table5[#All],2,0),"")</f>
        <v/>
      </c>
    </row>
    <row r="5610" spans="1:3" x14ac:dyDescent="0.3">
      <c r="A5610" s="5" t="s">
        <v>6241</v>
      </c>
      <c r="B5610" t="s">
        <v>11647</v>
      </c>
      <c r="C5610" t="str">
        <f>IFERROR(VLOOKUP(ILACLISTE[[#This Row],[NAME]],Table5[#All],2,0),"")</f>
        <v/>
      </c>
    </row>
    <row r="5611" spans="1:3" x14ac:dyDescent="0.3">
      <c r="A5611" s="5" t="s">
        <v>6242</v>
      </c>
      <c r="B5611" t="s">
        <v>11648</v>
      </c>
      <c r="C5611" t="str">
        <f>IFERROR(VLOOKUP(ILACLISTE[[#This Row],[NAME]],Table5[#All],2,0),"")</f>
        <v/>
      </c>
    </row>
    <row r="5612" spans="1:3" x14ac:dyDescent="0.3">
      <c r="A5612" s="5" t="s">
        <v>6243</v>
      </c>
      <c r="B5612" t="s">
        <v>11649</v>
      </c>
      <c r="C5612" t="str">
        <f>IFERROR(VLOOKUP(ILACLISTE[[#This Row],[NAME]],Table5[#All],2,0),"")</f>
        <v/>
      </c>
    </row>
    <row r="5613" spans="1:3" x14ac:dyDescent="0.3">
      <c r="A5613" s="5" t="s">
        <v>6244</v>
      </c>
      <c r="B5613" t="s">
        <v>11650</v>
      </c>
      <c r="C5613" t="str">
        <f>IFERROR(VLOOKUP(ILACLISTE[[#This Row],[NAME]],Table5[#All],2,0),"")</f>
        <v/>
      </c>
    </row>
    <row r="5614" spans="1:3" x14ac:dyDescent="0.3">
      <c r="A5614" s="5" t="s">
        <v>6245</v>
      </c>
      <c r="B5614" t="s">
        <v>11651</v>
      </c>
      <c r="C5614" t="str">
        <f>IFERROR(VLOOKUP(ILACLISTE[[#This Row],[NAME]],Table5[#All],2,0),"")</f>
        <v/>
      </c>
    </row>
    <row r="5615" spans="1:3" x14ac:dyDescent="0.3">
      <c r="A5615" s="5" t="s">
        <v>6246</v>
      </c>
      <c r="B5615" t="s">
        <v>11652</v>
      </c>
      <c r="C5615" t="str">
        <f>IFERROR(VLOOKUP(ILACLISTE[[#This Row],[NAME]],Table5[#All],2,0),"")</f>
        <v/>
      </c>
    </row>
    <row r="5616" spans="1:3" x14ac:dyDescent="0.3">
      <c r="A5616" s="5" t="s">
        <v>6247</v>
      </c>
      <c r="B5616" t="s">
        <v>11653</v>
      </c>
      <c r="C5616" t="str">
        <f>IFERROR(VLOOKUP(ILACLISTE[[#This Row],[NAME]],Table5[#All],2,0),"")</f>
        <v/>
      </c>
    </row>
    <row r="5617" spans="1:3" x14ac:dyDescent="0.3">
      <c r="A5617" s="5" t="s">
        <v>6248</v>
      </c>
      <c r="B5617" t="s">
        <v>11654</v>
      </c>
      <c r="C5617" t="str">
        <f>IFERROR(VLOOKUP(ILACLISTE[[#This Row],[NAME]],Table5[#All],2,0),"")</f>
        <v/>
      </c>
    </row>
    <row r="5618" spans="1:3" x14ac:dyDescent="0.3">
      <c r="A5618" s="5" t="s">
        <v>6249</v>
      </c>
      <c r="B5618" t="s">
        <v>11655</v>
      </c>
      <c r="C5618" t="str">
        <f>IFERROR(VLOOKUP(ILACLISTE[[#This Row],[NAME]],Table5[#All],2,0),"")</f>
        <v/>
      </c>
    </row>
    <row r="5619" spans="1:3" x14ac:dyDescent="0.3">
      <c r="A5619" s="5" t="s">
        <v>6250</v>
      </c>
      <c r="B5619" t="s">
        <v>11656</v>
      </c>
      <c r="C5619" t="str">
        <f>IFERROR(VLOOKUP(ILACLISTE[[#This Row],[NAME]],Table5[#All],2,0),"")</f>
        <v/>
      </c>
    </row>
    <row r="5620" spans="1:3" x14ac:dyDescent="0.3">
      <c r="A5620" s="5" t="s">
        <v>6251</v>
      </c>
      <c r="B5620" t="s">
        <v>11657</v>
      </c>
      <c r="C5620" t="str">
        <f>IFERROR(VLOOKUP(ILACLISTE[[#This Row],[NAME]],Table5[#All],2,0),"")</f>
        <v/>
      </c>
    </row>
    <row r="5621" spans="1:3" x14ac:dyDescent="0.3">
      <c r="A5621" s="5" t="s">
        <v>6252</v>
      </c>
      <c r="B5621" t="s">
        <v>11658</v>
      </c>
      <c r="C5621" t="str">
        <f>IFERROR(VLOOKUP(ILACLISTE[[#This Row],[NAME]],Table5[#All],2,0),"")</f>
        <v/>
      </c>
    </row>
    <row r="5622" spans="1:3" x14ac:dyDescent="0.3">
      <c r="A5622" s="5" t="s">
        <v>6253</v>
      </c>
      <c r="B5622" t="s">
        <v>11659</v>
      </c>
      <c r="C5622" t="str">
        <f>IFERROR(VLOOKUP(ILACLISTE[[#This Row],[NAME]],Table5[#All],2,0),"")</f>
        <v/>
      </c>
    </row>
    <row r="5623" spans="1:3" x14ac:dyDescent="0.3">
      <c r="A5623" s="5" t="s">
        <v>6254</v>
      </c>
      <c r="B5623" t="s">
        <v>11660</v>
      </c>
      <c r="C5623" t="str">
        <f>IFERROR(VLOOKUP(ILACLISTE[[#This Row],[NAME]],Table5[#All],2,0),"")</f>
        <v/>
      </c>
    </row>
    <row r="5624" spans="1:3" x14ac:dyDescent="0.3">
      <c r="A5624" s="5" t="s">
        <v>6255</v>
      </c>
      <c r="B5624" t="s">
        <v>11661</v>
      </c>
      <c r="C5624" t="str">
        <f>IFERROR(VLOOKUP(ILACLISTE[[#This Row],[NAME]],Table5[#All],2,0),"")</f>
        <v/>
      </c>
    </row>
    <row r="5625" spans="1:3" x14ac:dyDescent="0.3">
      <c r="A5625" s="5" t="s">
        <v>6256</v>
      </c>
      <c r="B5625" t="s">
        <v>11662</v>
      </c>
      <c r="C5625" t="str">
        <f>IFERROR(VLOOKUP(ILACLISTE[[#This Row],[NAME]],Table5[#All],2,0),"")</f>
        <v/>
      </c>
    </row>
    <row r="5626" spans="1:3" x14ac:dyDescent="0.3">
      <c r="A5626" s="5" t="s">
        <v>6257</v>
      </c>
      <c r="B5626" t="s">
        <v>11663</v>
      </c>
      <c r="C5626" t="str">
        <f>IFERROR(VLOOKUP(ILACLISTE[[#This Row],[NAME]],Table5[#All],2,0),"")</f>
        <v/>
      </c>
    </row>
    <row r="5627" spans="1:3" x14ac:dyDescent="0.3">
      <c r="A5627" s="5" t="s">
        <v>6258</v>
      </c>
      <c r="B5627" t="s">
        <v>11664</v>
      </c>
      <c r="C5627" t="str">
        <f>IFERROR(VLOOKUP(ILACLISTE[[#This Row],[NAME]],Table5[#All],2,0),"")</f>
        <v/>
      </c>
    </row>
    <row r="5628" spans="1:3" x14ac:dyDescent="0.3">
      <c r="A5628" s="5" t="s">
        <v>6259</v>
      </c>
      <c r="B5628" t="s">
        <v>11665</v>
      </c>
      <c r="C5628" t="str">
        <f>IFERROR(VLOOKUP(ILACLISTE[[#This Row],[NAME]],Table5[#All],2,0),"")</f>
        <v/>
      </c>
    </row>
    <row r="5629" spans="1:3" x14ac:dyDescent="0.3">
      <c r="A5629" s="5" t="s">
        <v>6260</v>
      </c>
      <c r="B5629" t="s">
        <v>11666</v>
      </c>
      <c r="C5629" t="str">
        <f>IFERROR(VLOOKUP(ILACLISTE[[#This Row],[NAME]],Table5[#All],2,0),"")</f>
        <v/>
      </c>
    </row>
    <row r="5630" spans="1:3" x14ac:dyDescent="0.3">
      <c r="A5630" s="5" t="s">
        <v>6261</v>
      </c>
      <c r="B5630" t="s">
        <v>11667</v>
      </c>
      <c r="C5630" t="str">
        <f>IFERROR(VLOOKUP(ILACLISTE[[#This Row],[NAME]],Table5[#All],2,0),"")</f>
        <v/>
      </c>
    </row>
    <row r="5631" spans="1:3" x14ac:dyDescent="0.3">
      <c r="A5631" s="5" t="s">
        <v>6262</v>
      </c>
      <c r="B5631" t="s">
        <v>663</v>
      </c>
      <c r="C5631" t="str">
        <f>IFERROR(VLOOKUP(ILACLISTE[[#This Row],[NAME]],Table5[#All],2,0),"")</f>
        <v/>
      </c>
    </row>
    <row r="5632" spans="1:3" x14ac:dyDescent="0.3">
      <c r="A5632" s="5" t="s">
        <v>6263</v>
      </c>
      <c r="B5632" t="s">
        <v>664</v>
      </c>
      <c r="C5632" t="str">
        <f>IFERROR(VLOOKUP(ILACLISTE[[#This Row],[NAME]],Table5[#All],2,0),"")</f>
        <v/>
      </c>
    </row>
    <row r="5633" spans="1:3" x14ac:dyDescent="0.3">
      <c r="A5633" s="5" t="s">
        <v>6264</v>
      </c>
      <c r="B5633" t="s">
        <v>11668</v>
      </c>
      <c r="C5633" t="str">
        <f>IFERROR(VLOOKUP(ILACLISTE[[#This Row],[NAME]],Table5[#All],2,0),"")</f>
        <v/>
      </c>
    </row>
    <row r="5634" spans="1:3" x14ac:dyDescent="0.3">
      <c r="A5634" s="5" t="s">
        <v>6265</v>
      </c>
      <c r="B5634" t="s">
        <v>11669</v>
      </c>
      <c r="C5634" t="str">
        <f>IFERROR(VLOOKUP(ILACLISTE[[#This Row],[NAME]],Table5[#All],2,0),"")</f>
        <v/>
      </c>
    </row>
    <row r="5635" spans="1:3" x14ac:dyDescent="0.3">
      <c r="A5635" s="5" t="s">
        <v>6266</v>
      </c>
      <c r="B5635" t="s">
        <v>11670</v>
      </c>
      <c r="C5635" t="str">
        <f>IFERROR(VLOOKUP(ILACLISTE[[#This Row],[NAME]],Table5[#All],2,0),"")</f>
        <v/>
      </c>
    </row>
    <row r="5636" spans="1:3" x14ac:dyDescent="0.3">
      <c r="A5636" s="5" t="s">
        <v>6267</v>
      </c>
      <c r="B5636" t="s">
        <v>11671</v>
      </c>
      <c r="C5636" t="str">
        <f>IFERROR(VLOOKUP(ILACLISTE[[#This Row],[NAME]],Table5[#All],2,0),"")</f>
        <v/>
      </c>
    </row>
    <row r="5637" spans="1:3" x14ac:dyDescent="0.3">
      <c r="A5637" s="5" t="s">
        <v>6268</v>
      </c>
      <c r="B5637" t="s">
        <v>11672</v>
      </c>
      <c r="C5637" t="str">
        <f>IFERROR(VLOOKUP(ILACLISTE[[#This Row],[NAME]],Table5[#All],2,0),"")</f>
        <v/>
      </c>
    </row>
    <row r="5638" spans="1:3" x14ac:dyDescent="0.3">
      <c r="A5638" s="5" t="s">
        <v>6269</v>
      </c>
      <c r="B5638" t="s">
        <v>11673</v>
      </c>
      <c r="C5638" t="str">
        <f>IFERROR(VLOOKUP(ILACLISTE[[#This Row],[NAME]],Table5[#All],2,0),"")</f>
        <v/>
      </c>
    </row>
    <row r="5639" spans="1:3" x14ac:dyDescent="0.3">
      <c r="A5639" s="5" t="s">
        <v>6270</v>
      </c>
      <c r="B5639" t="s">
        <v>11674</v>
      </c>
      <c r="C5639" t="str">
        <f>IFERROR(VLOOKUP(ILACLISTE[[#This Row],[NAME]],Table5[#All],2,0),"")</f>
        <v/>
      </c>
    </row>
    <row r="5640" spans="1:3" x14ac:dyDescent="0.3">
      <c r="A5640" s="5" t="s">
        <v>6271</v>
      </c>
      <c r="B5640" t="s">
        <v>11675</v>
      </c>
      <c r="C5640" t="str">
        <f>IFERROR(VLOOKUP(ILACLISTE[[#This Row],[NAME]],Table5[#All],2,0),"")</f>
        <v/>
      </c>
    </row>
    <row r="5641" spans="1:3" x14ac:dyDescent="0.3">
      <c r="A5641" s="5" t="s">
        <v>6272</v>
      </c>
      <c r="B5641" t="s">
        <v>11676</v>
      </c>
      <c r="C5641" t="str">
        <f>IFERROR(VLOOKUP(ILACLISTE[[#This Row],[NAME]],Table5[#All],2,0),"")</f>
        <v/>
      </c>
    </row>
    <row r="5642" spans="1:3" x14ac:dyDescent="0.3">
      <c r="A5642" s="5" t="s">
        <v>6273</v>
      </c>
      <c r="B5642" t="s">
        <v>11677</v>
      </c>
      <c r="C5642" t="str">
        <f>IFERROR(VLOOKUP(ILACLISTE[[#This Row],[NAME]],Table5[#All],2,0),"")</f>
        <v/>
      </c>
    </row>
    <row r="5643" spans="1:3" x14ac:dyDescent="0.3">
      <c r="A5643" s="5" t="s">
        <v>6274</v>
      </c>
      <c r="B5643" t="s">
        <v>11678</v>
      </c>
      <c r="C5643" t="str">
        <f>IFERROR(VLOOKUP(ILACLISTE[[#This Row],[NAME]],Table5[#All],2,0),"")</f>
        <v/>
      </c>
    </row>
    <row r="5644" spans="1:3" x14ac:dyDescent="0.3">
      <c r="A5644" s="5" t="s">
        <v>6275</v>
      </c>
      <c r="B5644" t="s">
        <v>665</v>
      </c>
      <c r="C5644" t="str">
        <f>IFERROR(VLOOKUP(ILACLISTE[[#This Row],[NAME]],Table5[#All],2,0),"")</f>
        <v/>
      </c>
    </row>
    <row r="5645" spans="1:3" x14ac:dyDescent="0.3">
      <c r="A5645" s="5" t="s">
        <v>6276</v>
      </c>
      <c r="B5645" t="s">
        <v>666</v>
      </c>
      <c r="C5645" t="str">
        <f>IFERROR(VLOOKUP(ILACLISTE[[#This Row],[NAME]],Table5[#All],2,0),"")</f>
        <v/>
      </c>
    </row>
    <row r="5646" spans="1:3" x14ac:dyDescent="0.3">
      <c r="A5646" s="5" t="s">
        <v>6277</v>
      </c>
      <c r="B5646" t="s">
        <v>11679</v>
      </c>
      <c r="C5646" t="str">
        <f>IFERROR(VLOOKUP(ILACLISTE[[#This Row],[NAME]],Table5[#All],2,0),"")</f>
        <v/>
      </c>
    </row>
    <row r="5647" spans="1:3" x14ac:dyDescent="0.3">
      <c r="A5647" s="5" t="s">
        <v>6278</v>
      </c>
      <c r="B5647" t="s">
        <v>11680</v>
      </c>
      <c r="C5647" t="str">
        <f>IFERROR(VLOOKUP(ILACLISTE[[#This Row],[NAME]],Table5[#All],2,0),"")</f>
        <v/>
      </c>
    </row>
    <row r="5648" spans="1:3" x14ac:dyDescent="0.3">
      <c r="A5648" s="5" t="s">
        <v>6279</v>
      </c>
      <c r="B5648" t="s">
        <v>11681</v>
      </c>
      <c r="C5648" t="str">
        <f>IFERROR(VLOOKUP(ILACLISTE[[#This Row],[NAME]],Table5[#All],2,0),"")</f>
        <v/>
      </c>
    </row>
    <row r="5649" spans="1:3" x14ac:dyDescent="0.3">
      <c r="A5649" s="5" t="s">
        <v>6280</v>
      </c>
      <c r="B5649" t="s">
        <v>11682</v>
      </c>
      <c r="C5649" t="str">
        <f>IFERROR(VLOOKUP(ILACLISTE[[#This Row],[NAME]],Table5[#All],2,0),"")</f>
        <v/>
      </c>
    </row>
    <row r="5650" spans="1:3" x14ac:dyDescent="0.3">
      <c r="A5650" s="5" t="s">
        <v>6281</v>
      </c>
      <c r="B5650" t="s">
        <v>11683</v>
      </c>
      <c r="C5650" t="str">
        <f>IFERROR(VLOOKUP(ILACLISTE[[#This Row],[NAME]],Table5[#All],2,0),"")</f>
        <v/>
      </c>
    </row>
    <row r="5651" spans="1:3" x14ac:dyDescent="0.3">
      <c r="A5651" s="5" t="s">
        <v>6282</v>
      </c>
      <c r="B5651" t="s">
        <v>11684</v>
      </c>
      <c r="C5651" t="str">
        <f>IFERROR(VLOOKUP(ILACLISTE[[#This Row],[NAME]],Table5[#All],2,0),"")</f>
        <v/>
      </c>
    </row>
    <row r="5652" spans="1:3" x14ac:dyDescent="0.3">
      <c r="A5652" s="5" t="s">
        <v>6283</v>
      </c>
      <c r="B5652" t="s">
        <v>11685</v>
      </c>
      <c r="C5652" t="str">
        <f>IFERROR(VLOOKUP(ILACLISTE[[#This Row],[NAME]],Table5[#All],2,0),"")</f>
        <v/>
      </c>
    </row>
    <row r="5653" spans="1:3" x14ac:dyDescent="0.3">
      <c r="A5653" s="5" t="s">
        <v>6284</v>
      </c>
      <c r="B5653" t="s">
        <v>11686</v>
      </c>
      <c r="C5653" t="str">
        <f>IFERROR(VLOOKUP(ILACLISTE[[#This Row],[NAME]],Table5[#All],2,0),"")</f>
        <v/>
      </c>
    </row>
    <row r="5654" spans="1:3" x14ac:dyDescent="0.3">
      <c r="A5654" s="5" t="s">
        <v>6285</v>
      </c>
      <c r="B5654" t="s">
        <v>11687</v>
      </c>
      <c r="C5654" t="str">
        <f>IFERROR(VLOOKUP(ILACLISTE[[#This Row],[NAME]],Table5[#All],2,0),"")</f>
        <v/>
      </c>
    </row>
    <row r="5655" spans="1:3" x14ac:dyDescent="0.3">
      <c r="A5655" s="5" t="s">
        <v>6286</v>
      </c>
      <c r="B5655" t="s">
        <v>11688</v>
      </c>
      <c r="C5655" t="str">
        <f>IFERROR(VLOOKUP(ILACLISTE[[#This Row],[NAME]],Table5[#All],2,0),"")</f>
        <v/>
      </c>
    </row>
    <row r="5656" spans="1:3" x14ac:dyDescent="0.3">
      <c r="A5656" s="5" t="s">
        <v>6287</v>
      </c>
      <c r="B5656" t="s">
        <v>11689</v>
      </c>
      <c r="C5656" t="str">
        <f>IFERROR(VLOOKUP(ILACLISTE[[#This Row],[NAME]],Table5[#All],2,0),"")</f>
        <v/>
      </c>
    </row>
    <row r="5657" spans="1:3" x14ac:dyDescent="0.3">
      <c r="A5657" s="5" t="s">
        <v>6288</v>
      </c>
      <c r="B5657" t="s">
        <v>11690</v>
      </c>
      <c r="C5657" t="str">
        <f>IFERROR(VLOOKUP(ILACLISTE[[#This Row],[NAME]],Table5[#All],2,0),"")</f>
        <v/>
      </c>
    </row>
    <row r="5658" spans="1:3" x14ac:dyDescent="0.3">
      <c r="A5658" s="5" t="s">
        <v>6289</v>
      </c>
      <c r="B5658" t="s">
        <v>11691</v>
      </c>
      <c r="C5658" t="str">
        <f>IFERROR(VLOOKUP(ILACLISTE[[#This Row],[NAME]],Table5[#All],2,0),"")</f>
        <v/>
      </c>
    </row>
    <row r="5659" spans="1:3" x14ac:dyDescent="0.3">
      <c r="A5659" s="5" t="s">
        <v>6290</v>
      </c>
      <c r="B5659" t="s">
        <v>11692</v>
      </c>
      <c r="C5659" t="str">
        <f>IFERROR(VLOOKUP(ILACLISTE[[#This Row],[NAME]],Table5[#All],2,0),"")</f>
        <v/>
      </c>
    </row>
    <row r="5660" spans="1:3" x14ac:dyDescent="0.3">
      <c r="A5660" s="5" t="s">
        <v>6291</v>
      </c>
      <c r="B5660" t="s">
        <v>11693</v>
      </c>
      <c r="C5660" t="str">
        <f>IFERROR(VLOOKUP(ILACLISTE[[#This Row],[NAME]],Table5[#All],2,0),"")</f>
        <v/>
      </c>
    </row>
    <row r="5661" spans="1:3" x14ac:dyDescent="0.3">
      <c r="A5661" s="5" t="s">
        <v>6292</v>
      </c>
      <c r="B5661" t="s">
        <v>11694</v>
      </c>
      <c r="C5661" t="str">
        <f>IFERROR(VLOOKUP(ILACLISTE[[#This Row],[NAME]],Table5[#All],2,0),"")</f>
        <v/>
      </c>
    </row>
    <row r="5662" spans="1:3" x14ac:dyDescent="0.3">
      <c r="A5662" s="5" t="s">
        <v>6293</v>
      </c>
      <c r="B5662" t="s">
        <v>11695</v>
      </c>
      <c r="C5662" t="str">
        <f>IFERROR(VLOOKUP(ILACLISTE[[#This Row],[NAME]],Table5[#All],2,0),"")</f>
        <v/>
      </c>
    </row>
    <row r="5663" spans="1:3" ht="20.399999999999999" x14ac:dyDescent="0.3">
      <c r="A5663" s="7" t="s">
        <v>6294</v>
      </c>
      <c r="B5663" t="s">
        <v>11696</v>
      </c>
      <c r="C5663" t="str">
        <f>IFERROR(VLOOKUP(ILACLISTE[[#This Row],[NAME]],Table5[#All],2,0),"")</f>
        <v/>
      </c>
    </row>
    <row r="5664" spans="1:3" x14ac:dyDescent="0.3">
      <c r="A5664" s="5" t="s">
        <v>6295</v>
      </c>
      <c r="B5664" t="s">
        <v>11697</v>
      </c>
      <c r="C5664" t="str">
        <f>IFERROR(VLOOKUP(ILACLISTE[[#This Row],[NAME]],Table5[#All],2,0),"")</f>
        <v/>
      </c>
    </row>
    <row r="5665" spans="1:3" x14ac:dyDescent="0.3">
      <c r="A5665" s="5" t="s">
        <v>6296</v>
      </c>
      <c r="B5665" t="s">
        <v>11698</v>
      </c>
      <c r="C5665" t="str">
        <f>IFERROR(VLOOKUP(ILACLISTE[[#This Row],[NAME]],Table5[#All],2,0),"")</f>
        <v/>
      </c>
    </row>
    <row r="5666" spans="1:3" x14ac:dyDescent="0.3">
      <c r="A5666" s="5" t="s">
        <v>6297</v>
      </c>
      <c r="B5666" t="s">
        <v>11699</v>
      </c>
      <c r="C5666" t="str">
        <f>IFERROR(VLOOKUP(ILACLISTE[[#This Row],[NAME]],Table5[#All],2,0),"")</f>
        <v/>
      </c>
    </row>
    <row r="5667" spans="1:3" x14ac:dyDescent="0.3">
      <c r="A5667" s="5" t="s">
        <v>6298</v>
      </c>
      <c r="B5667" t="s">
        <v>11700</v>
      </c>
      <c r="C5667" t="str">
        <f>IFERROR(VLOOKUP(ILACLISTE[[#This Row],[NAME]],Table5[#All],2,0),"")</f>
        <v/>
      </c>
    </row>
    <row r="5668" spans="1:3" x14ac:dyDescent="0.3">
      <c r="A5668" s="5" t="s">
        <v>6299</v>
      </c>
      <c r="B5668" t="s">
        <v>11701</v>
      </c>
      <c r="C5668" t="str">
        <f>IFERROR(VLOOKUP(ILACLISTE[[#This Row],[NAME]],Table5[#All],2,0),"")</f>
        <v/>
      </c>
    </row>
    <row r="5669" spans="1:3" x14ac:dyDescent="0.3">
      <c r="A5669" s="5" t="s">
        <v>6300</v>
      </c>
      <c r="B5669" t="s">
        <v>11702</v>
      </c>
      <c r="C5669" t="str">
        <f>IFERROR(VLOOKUP(ILACLISTE[[#This Row],[NAME]],Table5[#All],2,0),"")</f>
        <v/>
      </c>
    </row>
    <row r="5670" spans="1:3" x14ac:dyDescent="0.3">
      <c r="A5670" s="5" t="s">
        <v>6301</v>
      </c>
      <c r="B5670" t="s">
        <v>667</v>
      </c>
      <c r="C5670" t="str">
        <f>IFERROR(VLOOKUP(ILACLISTE[[#This Row],[NAME]],Table5[#All],2,0),"")</f>
        <v/>
      </c>
    </row>
    <row r="5671" spans="1:3" x14ac:dyDescent="0.3">
      <c r="A5671" s="5" t="s">
        <v>6302</v>
      </c>
      <c r="B5671" t="s">
        <v>668</v>
      </c>
      <c r="C5671" t="str">
        <f>IFERROR(VLOOKUP(ILACLISTE[[#This Row],[NAME]],Table5[#All],2,0),"")</f>
        <v/>
      </c>
    </row>
    <row r="5672" spans="1:3" x14ac:dyDescent="0.3">
      <c r="A5672" s="5" t="s">
        <v>6303</v>
      </c>
      <c r="B5672" t="s">
        <v>11703</v>
      </c>
      <c r="C5672" t="str">
        <f>IFERROR(VLOOKUP(ILACLISTE[[#This Row],[NAME]],Table5[#All],2,0),"")</f>
        <v/>
      </c>
    </row>
    <row r="5673" spans="1:3" x14ac:dyDescent="0.3">
      <c r="A5673" s="5" t="s">
        <v>6304</v>
      </c>
      <c r="B5673" t="s">
        <v>11704</v>
      </c>
      <c r="C5673" t="str">
        <f>IFERROR(VLOOKUP(ILACLISTE[[#This Row],[NAME]],Table5[#All],2,0),"")</f>
        <v/>
      </c>
    </row>
    <row r="5674" spans="1:3" x14ac:dyDescent="0.3">
      <c r="A5674" s="5" t="s">
        <v>6305</v>
      </c>
      <c r="B5674" t="s">
        <v>11705</v>
      </c>
      <c r="C5674" t="str">
        <f>IFERROR(VLOOKUP(ILACLISTE[[#This Row],[NAME]],Table5[#All],2,0),"")</f>
        <v/>
      </c>
    </row>
    <row r="5675" spans="1:3" x14ac:dyDescent="0.3">
      <c r="A5675" s="5" t="s">
        <v>6306</v>
      </c>
      <c r="B5675" t="s">
        <v>669</v>
      </c>
      <c r="C5675" t="str">
        <f>IFERROR(VLOOKUP(ILACLISTE[[#This Row],[NAME]],Table5[#All],2,0),"")</f>
        <v/>
      </c>
    </row>
    <row r="5676" spans="1:3" x14ac:dyDescent="0.3">
      <c r="A5676" s="5" t="s">
        <v>6307</v>
      </c>
      <c r="B5676" t="s">
        <v>11706</v>
      </c>
      <c r="C5676" t="str">
        <f>IFERROR(VLOOKUP(ILACLISTE[[#This Row],[NAME]],Table5[#All],2,0),"")</f>
        <v/>
      </c>
    </row>
    <row r="5677" spans="1:3" x14ac:dyDescent="0.3">
      <c r="A5677" s="5" t="s">
        <v>6308</v>
      </c>
      <c r="B5677" t="s">
        <v>11707</v>
      </c>
      <c r="C5677" t="str">
        <f>IFERROR(VLOOKUP(ILACLISTE[[#This Row],[NAME]],Table5[#All],2,0),"")</f>
        <v/>
      </c>
    </row>
    <row r="5678" spans="1:3" x14ac:dyDescent="0.3">
      <c r="A5678" s="5" t="s">
        <v>6309</v>
      </c>
      <c r="B5678" t="s">
        <v>670</v>
      </c>
      <c r="C5678" t="str">
        <f>IFERROR(VLOOKUP(ILACLISTE[[#This Row],[NAME]],Table5[#All],2,0),"")</f>
        <v/>
      </c>
    </row>
    <row r="5679" spans="1:3" x14ac:dyDescent="0.3">
      <c r="A5679" s="5" t="s">
        <v>6310</v>
      </c>
      <c r="B5679" t="s">
        <v>11708</v>
      </c>
      <c r="C5679" t="str">
        <f>IFERROR(VLOOKUP(ILACLISTE[[#This Row],[NAME]],Table5[#All],2,0),"")</f>
        <v/>
      </c>
    </row>
    <row r="5680" spans="1:3" x14ac:dyDescent="0.3">
      <c r="A5680" s="5" t="s">
        <v>6311</v>
      </c>
      <c r="B5680" t="s">
        <v>671</v>
      </c>
      <c r="C5680" t="str">
        <f>IFERROR(VLOOKUP(ILACLISTE[[#This Row],[NAME]],Table5[#All],2,0),"")</f>
        <v/>
      </c>
    </row>
    <row r="5681" spans="1:3" x14ac:dyDescent="0.3">
      <c r="A5681" s="5" t="s">
        <v>6312</v>
      </c>
      <c r="B5681" t="s">
        <v>11709</v>
      </c>
      <c r="C5681" t="str">
        <f>IFERROR(VLOOKUP(ILACLISTE[[#This Row],[NAME]],Table5[#All],2,0),"")</f>
        <v/>
      </c>
    </row>
    <row r="5682" spans="1:3" x14ac:dyDescent="0.3">
      <c r="A5682" s="5" t="s">
        <v>6313</v>
      </c>
      <c r="B5682" t="s">
        <v>11710</v>
      </c>
      <c r="C5682" t="str">
        <f>IFERROR(VLOOKUP(ILACLISTE[[#This Row],[NAME]],Table5[#All],2,0),"")</f>
        <v/>
      </c>
    </row>
    <row r="5683" spans="1:3" x14ac:dyDescent="0.3">
      <c r="A5683" s="5" t="s">
        <v>6314</v>
      </c>
      <c r="B5683" t="s">
        <v>11711</v>
      </c>
      <c r="C5683" t="str">
        <f>IFERROR(VLOOKUP(ILACLISTE[[#This Row],[NAME]],Table5[#All],2,0),"")</f>
        <v/>
      </c>
    </row>
    <row r="5684" spans="1:3" x14ac:dyDescent="0.3">
      <c r="A5684" s="5" t="s">
        <v>6315</v>
      </c>
      <c r="B5684" t="s">
        <v>11712</v>
      </c>
      <c r="C5684" t="str">
        <f>IFERROR(VLOOKUP(ILACLISTE[[#This Row],[NAME]],Table5[#All],2,0),"")</f>
        <v/>
      </c>
    </row>
    <row r="5685" spans="1:3" x14ac:dyDescent="0.3">
      <c r="A5685" s="5" t="s">
        <v>6316</v>
      </c>
      <c r="B5685" t="s">
        <v>11713</v>
      </c>
      <c r="C5685" t="str">
        <f>IFERROR(VLOOKUP(ILACLISTE[[#This Row],[NAME]],Table5[#All],2,0),"")</f>
        <v/>
      </c>
    </row>
    <row r="5686" spans="1:3" x14ac:dyDescent="0.3">
      <c r="A5686" s="5" t="s">
        <v>6317</v>
      </c>
      <c r="B5686" t="s">
        <v>11714</v>
      </c>
      <c r="C5686" t="str">
        <f>IFERROR(VLOOKUP(ILACLISTE[[#This Row],[NAME]],Table5[#All],2,0),"")</f>
        <v/>
      </c>
    </row>
    <row r="5687" spans="1:3" x14ac:dyDescent="0.3">
      <c r="A5687" s="5" t="s">
        <v>6318</v>
      </c>
      <c r="B5687" t="s">
        <v>11715</v>
      </c>
      <c r="C5687" t="str">
        <f>IFERROR(VLOOKUP(ILACLISTE[[#This Row],[NAME]],Table5[#All],2,0),"")</f>
        <v/>
      </c>
    </row>
    <row r="5688" spans="1:3" x14ac:dyDescent="0.3">
      <c r="A5688" s="5" t="s">
        <v>6319</v>
      </c>
      <c r="B5688" t="s">
        <v>11716</v>
      </c>
      <c r="C5688" t="str">
        <f>IFERROR(VLOOKUP(ILACLISTE[[#This Row],[NAME]],Table5[#All],2,0),"")</f>
        <v/>
      </c>
    </row>
    <row r="5689" spans="1:3" x14ac:dyDescent="0.3">
      <c r="A5689" s="5" t="s">
        <v>6320</v>
      </c>
      <c r="B5689" t="s">
        <v>11717</v>
      </c>
      <c r="C5689" t="str">
        <f>IFERROR(VLOOKUP(ILACLISTE[[#This Row],[NAME]],Table5[#All],2,0),"")</f>
        <v/>
      </c>
    </row>
    <row r="5690" spans="1:3" x14ac:dyDescent="0.3">
      <c r="A5690" s="5" t="s">
        <v>6321</v>
      </c>
      <c r="B5690" t="s">
        <v>11718</v>
      </c>
      <c r="C5690" t="str">
        <f>IFERROR(VLOOKUP(ILACLISTE[[#This Row],[NAME]],Table5[#All],2,0),"")</f>
        <v/>
      </c>
    </row>
    <row r="5691" spans="1:3" x14ac:dyDescent="0.3">
      <c r="A5691" s="5" t="s">
        <v>6322</v>
      </c>
      <c r="B5691" t="s">
        <v>11719</v>
      </c>
      <c r="C5691" t="str">
        <f>IFERROR(VLOOKUP(ILACLISTE[[#This Row],[NAME]],Table5[#All],2,0),"")</f>
        <v/>
      </c>
    </row>
    <row r="5692" spans="1:3" x14ac:dyDescent="0.3">
      <c r="A5692" s="5" t="s">
        <v>6323</v>
      </c>
      <c r="B5692" t="s">
        <v>11720</v>
      </c>
      <c r="C5692" t="str">
        <f>IFERROR(VLOOKUP(ILACLISTE[[#This Row],[NAME]],Table5[#All],2,0),"")</f>
        <v/>
      </c>
    </row>
    <row r="5693" spans="1:3" x14ac:dyDescent="0.3">
      <c r="A5693" s="5" t="s">
        <v>6324</v>
      </c>
      <c r="B5693" t="s">
        <v>11721</v>
      </c>
      <c r="C5693" t="str">
        <f>IFERROR(VLOOKUP(ILACLISTE[[#This Row],[NAME]],Table5[#All],2,0),"")</f>
        <v/>
      </c>
    </row>
    <row r="5694" spans="1:3" x14ac:dyDescent="0.3">
      <c r="A5694" s="5" t="s">
        <v>6325</v>
      </c>
      <c r="B5694" t="s">
        <v>11722</v>
      </c>
      <c r="C5694" t="str">
        <f>IFERROR(VLOOKUP(ILACLISTE[[#This Row],[NAME]],Table5[#All],2,0),"")</f>
        <v/>
      </c>
    </row>
    <row r="5695" spans="1:3" x14ac:dyDescent="0.3">
      <c r="A5695" s="5" t="s">
        <v>6326</v>
      </c>
      <c r="B5695" t="s">
        <v>11723</v>
      </c>
      <c r="C5695" t="str">
        <f>IFERROR(VLOOKUP(ILACLISTE[[#This Row],[NAME]],Table5[#All],2,0),"")</f>
        <v/>
      </c>
    </row>
    <row r="5696" spans="1:3" x14ac:dyDescent="0.3">
      <c r="A5696" s="5" t="s">
        <v>6327</v>
      </c>
      <c r="B5696" t="s">
        <v>11724</v>
      </c>
      <c r="C5696" t="str">
        <f>IFERROR(VLOOKUP(ILACLISTE[[#This Row],[NAME]],Table5[#All],2,0),"")</f>
        <v/>
      </c>
    </row>
    <row r="5697" spans="1:3" x14ac:dyDescent="0.3">
      <c r="A5697" s="5" t="s">
        <v>6328</v>
      </c>
      <c r="B5697" t="s">
        <v>11725</v>
      </c>
      <c r="C5697" t="str">
        <f>IFERROR(VLOOKUP(ILACLISTE[[#This Row],[NAME]],Table5[#All],2,0),"")</f>
        <v/>
      </c>
    </row>
    <row r="5698" spans="1:3" x14ac:dyDescent="0.3">
      <c r="A5698" s="5" t="s">
        <v>6329</v>
      </c>
      <c r="B5698" t="s">
        <v>11726</v>
      </c>
      <c r="C5698" t="str">
        <f>IFERROR(VLOOKUP(ILACLISTE[[#This Row],[NAME]],Table5[#All],2,0),"")</f>
        <v/>
      </c>
    </row>
    <row r="5699" spans="1:3" x14ac:dyDescent="0.3">
      <c r="A5699" s="5" t="s">
        <v>6330</v>
      </c>
      <c r="B5699" t="s">
        <v>11727</v>
      </c>
      <c r="C5699" t="str">
        <f>IFERROR(VLOOKUP(ILACLISTE[[#This Row],[NAME]],Table5[#All],2,0),"")</f>
        <v/>
      </c>
    </row>
    <row r="5700" spans="1:3" x14ac:dyDescent="0.3">
      <c r="A5700" s="5" t="s">
        <v>6331</v>
      </c>
      <c r="B5700" t="s">
        <v>11728</v>
      </c>
      <c r="C5700" t="str">
        <f>IFERROR(VLOOKUP(ILACLISTE[[#This Row],[NAME]],Table5[#All],2,0),"")</f>
        <v/>
      </c>
    </row>
    <row r="5701" spans="1:3" x14ac:dyDescent="0.3">
      <c r="A5701" s="5" t="s">
        <v>6332</v>
      </c>
      <c r="B5701" t="s">
        <v>11729</v>
      </c>
      <c r="C5701" t="str">
        <f>IFERROR(VLOOKUP(ILACLISTE[[#This Row],[NAME]],Table5[#All],2,0),"")</f>
        <v/>
      </c>
    </row>
    <row r="5702" spans="1:3" x14ac:dyDescent="0.3">
      <c r="A5702" s="5" t="s">
        <v>6333</v>
      </c>
      <c r="B5702" t="s">
        <v>11730</v>
      </c>
      <c r="C5702" t="str">
        <f>IFERROR(VLOOKUP(ILACLISTE[[#This Row],[NAME]],Table5[#All],2,0),"")</f>
        <v/>
      </c>
    </row>
    <row r="5703" spans="1:3" x14ac:dyDescent="0.3">
      <c r="A5703" s="5" t="s">
        <v>6334</v>
      </c>
      <c r="B5703" t="s">
        <v>11731</v>
      </c>
      <c r="C5703" t="str">
        <f>IFERROR(VLOOKUP(ILACLISTE[[#This Row],[NAME]],Table5[#All],2,0),"")</f>
        <v/>
      </c>
    </row>
    <row r="5704" spans="1:3" x14ac:dyDescent="0.3">
      <c r="A5704" s="5" t="s">
        <v>6335</v>
      </c>
      <c r="B5704" t="s">
        <v>11732</v>
      </c>
      <c r="C5704" t="str">
        <f>IFERROR(VLOOKUP(ILACLISTE[[#This Row],[NAME]],Table5[#All],2,0),"")</f>
        <v/>
      </c>
    </row>
    <row r="5705" spans="1:3" x14ac:dyDescent="0.3">
      <c r="A5705" s="5" t="s">
        <v>6336</v>
      </c>
      <c r="B5705" t="s">
        <v>672</v>
      </c>
      <c r="C5705" t="str">
        <f>IFERROR(VLOOKUP(ILACLISTE[[#This Row],[NAME]],Table5[#All],2,0),"")</f>
        <v/>
      </c>
    </row>
    <row r="5706" spans="1:3" ht="20.399999999999999" x14ac:dyDescent="0.3">
      <c r="A5706" s="6" t="s">
        <v>6337</v>
      </c>
      <c r="B5706" t="s">
        <v>11733</v>
      </c>
      <c r="C5706" t="str">
        <f>IFERROR(VLOOKUP(ILACLISTE[[#This Row],[NAME]],Table5[#All],2,0),"")</f>
        <v/>
      </c>
    </row>
    <row r="5707" spans="1:3" x14ac:dyDescent="0.3">
      <c r="A5707" s="5" t="s">
        <v>6338</v>
      </c>
      <c r="B5707" t="s">
        <v>11734</v>
      </c>
      <c r="C5707" t="str">
        <f>IFERROR(VLOOKUP(ILACLISTE[[#This Row],[NAME]],Table5[#All],2,0),"")</f>
        <v/>
      </c>
    </row>
    <row r="5708" spans="1:3" x14ac:dyDescent="0.3">
      <c r="A5708" s="5" t="s">
        <v>6339</v>
      </c>
      <c r="B5708" t="s">
        <v>11735</v>
      </c>
      <c r="C5708" t="str">
        <f>IFERROR(VLOOKUP(ILACLISTE[[#This Row],[NAME]],Table5[#All],2,0),"")</f>
        <v/>
      </c>
    </row>
    <row r="5709" spans="1:3" x14ac:dyDescent="0.3">
      <c r="A5709" s="5" t="s">
        <v>6340</v>
      </c>
      <c r="B5709" t="s">
        <v>11736</v>
      </c>
      <c r="C5709" t="str">
        <f>IFERROR(VLOOKUP(ILACLISTE[[#This Row],[NAME]],Table5[#All],2,0),"")</f>
        <v/>
      </c>
    </row>
    <row r="5710" spans="1:3" x14ac:dyDescent="0.3">
      <c r="A5710" s="5" t="s">
        <v>6341</v>
      </c>
      <c r="B5710" t="s">
        <v>673</v>
      </c>
      <c r="C5710" t="str">
        <f>IFERROR(VLOOKUP(ILACLISTE[[#This Row],[NAME]],Table5[#All],2,0),"")</f>
        <v/>
      </c>
    </row>
    <row r="5711" spans="1:3" x14ac:dyDescent="0.3">
      <c r="A5711" s="5" t="s">
        <v>6342</v>
      </c>
      <c r="B5711" t="s">
        <v>11737</v>
      </c>
      <c r="C5711" t="str">
        <f>IFERROR(VLOOKUP(ILACLISTE[[#This Row],[NAME]],Table5[#All],2,0),"")</f>
        <v/>
      </c>
    </row>
    <row r="5712" spans="1:3" x14ac:dyDescent="0.3">
      <c r="A5712" s="5" t="s">
        <v>6343</v>
      </c>
      <c r="B5712" t="s">
        <v>11738</v>
      </c>
      <c r="C5712" t="str">
        <f>IFERROR(VLOOKUP(ILACLISTE[[#This Row],[NAME]],Table5[#All],2,0),"")</f>
        <v/>
      </c>
    </row>
    <row r="5713" spans="1:3" x14ac:dyDescent="0.3">
      <c r="A5713" s="5" t="s">
        <v>6344</v>
      </c>
      <c r="B5713" t="s">
        <v>11739</v>
      </c>
      <c r="C5713" t="str">
        <f>IFERROR(VLOOKUP(ILACLISTE[[#This Row],[NAME]],Table5[#All],2,0),"")</f>
        <v/>
      </c>
    </row>
    <row r="5714" spans="1:3" x14ac:dyDescent="0.3">
      <c r="A5714" s="5" t="s">
        <v>6345</v>
      </c>
      <c r="B5714" t="s">
        <v>11740</v>
      </c>
      <c r="C5714" t="str">
        <f>IFERROR(VLOOKUP(ILACLISTE[[#This Row],[NAME]],Table5[#All],2,0),"")</f>
        <v/>
      </c>
    </row>
    <row r="5715" spans="1:3" x14ac:dyDescent="0.3">
      <c r="A5715" s="5" t="s">
        <v>6346</v>
      </c>
      <c r="B5715" t="s">
        <v>11741</v>
      </c>
      <c r="C5715" t="str">
        <f>IFERROR(VLOOKUP(ILACLISTE[[#This Row],[NAME]],Table5[#All],2,0),"")</f>
        <v/>
      </c>
    </row>
    <row r="5716" spans="1:3" x14ac:dyDescent="0.3">
      <c r="A5716" s="5" t="s">
        <v>6347</v>
      </c>
      <c r="B5716" t="s">
        <v>11742</v>
      </c>
      <c r="C5716" t="str">
        <f>IFERROR(VLOOKUP(ILACLISTE[[#This Row],[NAME]],Table5[#All],2,0),"")</f>
        <v/>
      </c>
    </row>
    <row r="5717" spans="1:3" x14ac:dyDescent="0.3">
      <c r="A5717" s="5" t="s">
        <v>6348</v>
      </c>
      <c r="B5717" t="s">
        <v>11743</v>
      </c>
      <c r="C5717" t="str">
        <f>IFERROR(VLOOKUP(ILACLISTE[[#This Row],[NAME]],Table5[#All],2,0),"")</f>
        <v/>
      </c>
    </row>
    <row r="5718" spans="1:3" x14ac:dyDescent="0.3">
      <c r="A5718" s="5" t="s">
        <v>6349</v>
      </c>
      <c r="B5718" t="s">
        <v>11744</v>
      </c>
      <c r="C5718" t="str">
        <f>IFERROR(VLOOKUP(ILACLISTE[[#This Row],[NAME]],Table5[#All],2,0),"")</f>
        <v/>
      </c>
    </row>
    <row r="5719" spans="1:3" x14ac:dyDescent="0.3">
      <c r="A5719" s="5" t="s">
        <v>6350</v>
      </c>
      <c r="B5719" t="s">
        <v>11745</v>
      </c>
      <c r="C5719" t="str">
        <f>IFERROR(VLOOKUP(ILACLISTE[[#This Row],[NAME]],Table5[#All],2,0),"")</f>
        <v/>
      </c>
    </row>
    <row r="5720" spans="1:3" x14ac:dyDescent="0.3">
      <c r="A5720" s="5" t="s">
        <v>6351</v>
      </c>
      <c r="B5720" t="s">
        <v>11746</v>
      </c>
      <c r="C5720" t="str">
        <f>IFERROR(VLOOKUP(ILACLISTE[[#This Row],[NAME]],Table5[#All],2,0),"")</f>
        <v/>
      </c>
    </row>
    <row r="5721" spans="1:3" x14ac:dyDescent="0.3">
      <c r="A5721" s="5" t="s">
        <v>6352</v>
      </c>
      <c r="B5721" t="s">
        <v>674</v>
      </c>
      <c r="C5721" t="str">
        <f>IFERROR(VLOOKUP(ILACLISTE[[#This Row],[NAME]],Table5[#All],2,0),"")</f>
        <v/>
      </c>
    </row>
    <row r="5722" spans="1:3" x14ac:dyDescent="0.3">
      <c r="A5722" s="5" t="s">
        <v>6353</v>
      </c>
      <c r="B5722" t="s">
        <v>11747</v>
      </c>
      <c r="C5722" t="str">
        <f>IFERROR(VLOOKUP(ILACLISTE[[#This Row],[NAME]],Table5[#All],2,0),"")</f>
        <v/>
      </c>
    </row>
    <row r="5723" spans="1:3" x14ac:dyDescent="0.3">
      <c r="A5723" s="5" t="s">
        <v>6354</v>
      </c>
      <c r="B5723" t="s">
        <v>11748</v>
      </c>
      <c r="C5723" t="str">
        <f>IFERROR(VLOOKUP(ILACLISTE[[#This Row],[NAME]],Table5[#All],2,0),"")</f>
        <v/>
      </c>
    </row>
    <row r="5724" spans="1:3" x14ac:dyDescent="0.3">
      <c r="A5724" s="5" t="s">
        <v>6355</v>
      </c>
      <c r="B5724" t="s">
        <v>11749</v>
      </c>
      <c r="C5724" t="str">
        <f>IFERROR(VLOOKUP(ILACLISTE[[#This Row],[NAME]],Table5[#All],2,0),"")</f>
        <v/>
      </c>
    </row>
    <row r="5725" spans="1:3" x14ac:dyDescent="0.3">
      <c r="A5725" s="5" t="s">
        <v>6356</v>
      </c>
      <c r="B5725" t="s">
        <v>11750</v>
      </c>
      <c r="C5725" t="str">
        <f>IFERROR(VLOOKUP(ILACLISTE[[#This Row],[NAME]],Table5[#All],2,0),"")</f>
        <v/>
      </c>
    </row>
    <row r="5726" spans="1:3" x14ac:dyDescent="0.3">
      <c r="A5726" s="5" t="s">
        <v>6357</v>
      </c>
      <c r="B5726" t="s">
        <v>11751</v>
      </c>
      <c r="C5726" t="str">
        <f>IFERROR(VLOOKUP(ILACLISTE[[#This Row],[NAME]],Table5[#All],2,0),"")</f>
        <v/>
      </c>
    </row>
    <row r="5727" spans="1:3" x14ac:dyDescent="0.3">
      <c r="A5727" s="5" t="s">
        <v>6358</v>
      </c>
      <c r="B5727" t="s">
        <v>11752</v>
      </c>
      <c r="C5727" t="str">
        <f>IFERROR(VLOOKUP(ILACLISTE[[#This Row],[NAME]],Table5[#All],2,0),"")</f>
        <v/>
      </c>
    </row>
    <row r="5728" spans="1:3" x14ac:dyDescent="0.3">
      <c r="A5728" s="5" t="s">
        <v>6359</v>
      </c>
      <c r="B5728" t="s">
        <v>11753</v>
      </c>
      <c r="C5728" t="str">
        <f>IFERROR(VLOOKUP(ILACLISTE[[#This Row],[NAME]],Table5[#All],2,0),"")</f>
        <v/>
      </c>
    </row>
    <row r="5729" spans="1:3" x14ac:dyDescent="0.3">
      <c r="A5729" s="5" t="s">
        <v>6360</v>
      </c>
      <c r="B5729" t="s">
        <v>11754</v>
      </c>
      <c r="C5729" t="str">
        <f>IFERROR(VLOOKUP(ILACLISTE[[#This Row],[NAME]],Table5[#All],2,0),"")</f>
        <v/>
      </c>
    </row>
    <row r="5730" spans="1:3" x14ac:dyDescent="0.3">
      <c r="A5730" s="5" t="s">
        <v>6361</v>
      </c>
      <c r="B5730" t="s">
        <v>11755</v>
      </c>
      <c r="C5730" t="str">
        <f>IFERROR(VLOOKUP(ILACLISTE[[#This Row],[NAME]],Table5[#All],2,0),"")</f>
        <v/>
      </c>
    </row>
    <row r="5731" spans="1:3" x14ac:dyDescent="0.3">
      <c r="A5731" s="5" t="s">
        <v>6362</v>
      </c>
      <c r="B5731" t="s">
        <v>11756</v>
      </c>
      <c r="C5731" t="str">
        <f>IFERROR(VLOOKUP(ILACLISTE[[#This Row],[NAME]],Table5[#All],2,0),"")</f>
        <v/>
      </c>
    </row>
    <row r="5732" spans="1:3" x14ac:dyDescent="0.3">
      <c r="A5732" s="5" t="s">
        <v>6363</v>
      </c>
      <c r="B5732" t="s">
        <v>11757</v>
      </c>
      <c r="C5732" t="str">
        <f>IFERROR(VLOOKUP(ILACLISTE[[#This Row],[NAME]],Table5[#All],2,0),"")</f>
        <v/>
      </c>
    </row>
    <row r="5733" spans="1:3" x14ac:dyDescent="0.3">
      <c r="A5733" s="5" t="s">
        <v>6364</v>
      </c>
      <c r="B5733" t="s">
        <v>11758</v>
      </c>
      <c r="C5733" t="str">
        <f>IFERROR(VLOOKUP(ILACLISTE[[#This Row],[NAME]],Table5[#All],2,0),"")</f>
        <v/>
      </c>
    </row>
    <row r="5734" spans="1:3" x14ac:dyDescent="0.3">
      <c r="A5734" s="5" t="s">
        <v>6365</v>
      </c>
      <c r="B5734" t="s">
        <v>11759</v>
      </c>
      <c r="C5734" t="str">
        <f>IFERROR(VLOOKUP(ILACLISTE[[#This Row],[NAME]],Table5[#All],2,0),"")</f>
        <v/>
      </c>
    </row>
    <row r="5735" spans="1:3" x14ac:dyDescent="0.3">
      <c r="A5735" s="5" t="s">
        <v>6366</v>
      </c>
      <c r="B5735" t="s">
        <v>11760</v>
      </c>
      <c r="C5735" t="str">
        <f>IFERROR(VLOOKUP(ILACLISTE[[#This Row],[NAME]],Table5[#All],2,0),"")</f>
        <v/>
      </c>
    </row>
    <row r="5736" spans="1:3" x14ac:dyDescent="0.3">
      <c r="A5736" s="5" t="s">
        <v>6367</v>
      </c>
      <c r="B5736" t="s">
        <v>11761</v>
      </c>
      <c r="C5736" t="str">
        <f>IFERROR(VLOOKUP(ILACLISTE[[#This Row],[NAME]],Table5[#All],2,0),"")</f>
        <v/>
      </c>
    </row>
    <row r="5737" spans="1:3" x14ac:dyDescent="0.3">
      <c r="A5737" s="5" t="s">
        <v>6368</v>
      </c>
      <c r="B5737" t="s">
        <v>11762</v>
      </c>
      <c r="C5737" t="str">
        <f>IFERROR(VLOOKUP(ILACLISTE[[#This Row],[NAME]],Table5[#All],2,0),"")</f>
        <v/>
      </c>
    </row>
    <row r="5738" spans="1:3" x14ac:dyDescent="0.3">
      <c r="A5738" s="5" t="s">
        <v>6369</v>
      </c>
      <c r="B5738" t="s">
        <v>11763</v>
      </c>
      <c r="C5738" t="str">
        <f>IFERROR(VLOOKUP(ILACLISTE[[#This Row],[NAME]],Table5[#All],2,0),"")</f>
        <v/>
      </c>
    </row>
    <row r="5739" spans="1:3" ht="20.399999999999999" x14ac:dyDescent="0.3">
      <c r="A5739" s="6" t="s">
        <v>6370</v>
      </c>
      <c r="B5739" t="s">
        <v>11764</v>
      </c>
      <c r="C5739" t="str">
        <f>IFERROR(VLOOKUP(ILACLISTE[[#This Row],[NAME]],Table5[#All],2,0),"")</f>
        <v/>
      </c>
    </row>
    <row r="5740" spans="1:3" x14ac:dyDescent="0.3">
      <c r="A5740" s="5" t="s">
        <v>6371</v>
      </c>
      <c r="B5740" t="s">
        <v>11765</v>
      </c>
      <c r="C5740" t="str">
        <f>IFERROR(VLOOKUP(ILACLISTE[[#This Row],[NAME]],Table5[#All],2,0),"")</f>
        <v/>
      </c>
    </row>
    <row r="5741" spans="1:3" x14ac:dyDescent="0.3">
      <c r="A5741" s="5" t="s">
        <v>6372</v>
      </c>
      <c r="B5741" t="s">
        <v>11766</v>
      </c>
      <c r="C5741" t="str">
        <f>IFERROR(VLOOKUP(ILACLISTE[[#This Row],[NAME]],Table5[#All],2,0),"")</f>
        <v/>
      </c>
    </row>
    <row r="5742" spans="1:3" x14ac:dyDescent="0.3">
      <c r="A5742" s="5" t="s">
        <v>6373</v>
      </c>
      <c r="B5742" t="s">
        <v>11767</v>
      </c>
      <c r="C5742" t="str">
        <f>IFERROR(VLOOKUP(ILACLISTE[[#This Row],[NAME]],Table5[#All],2,0),"")</f>
        <v/>
      </c>
    </row>
    <row r="5743" spans="1:3" x14ac:dyDescent="0.3">
      <c r="A5743" s="5" t="s">
        <v>6374</v>
      </c>
      <c r="B5743" t="s">
        <v>11768</v>
      </c>
      <c r="C5743" t="str">
        <f>IFERROR(VLOOKUP(ILACLISTE[[#This Row],[NAME]],Table5[#All],2,0),"")</f>
        <v/>
      </c>
    </row>
    <row r="5744" spans="1:3" x14ac:dyDescent="0.3">
      <c r="A5744" s="5" t="s">
        <v>6375</v>
      </c>
      <c r="B5744" t="s">
        <v>11769</v>
      </c>
      <c r="C5744" t="str">
        <f>IFERROR(VLOOKUP(ILACLISTE[[#This Row],[NAME]],Table5[#All],2,0),"")</f>
        <v/>
      </c>
    </row>
    <row r="5745" spans="1:3" x14ac:dyDescent="0.3">
      <c r="A5745" s="5" t="s">
        <v>6376</v>
      </c>
      <c r="B5745" t="s">
        <v>675</v>
      </c>
      <c r="C5745" t="str">
        <f>IFERROR(VLOOKUP(ILACLISTE[[#This Row],[NAME]],Table5[#All],2,0),"")</f>
        <v/>
      </c>
    </row>
    <row r="5746" spans="1:3" x14ac:dyDescent="0.3">
      <c r="A5746" s="5" t="s">
        <v>6377</v>
      </c>
      <c r="B5746" t="s">
        <v>676</v>
      </c>
      <c r="C5746" t="str">
        <f>IFERROR(VLOOKUP(ILACLISTE[[#This Row],[NAME]],Table5[#All],2,0),"")</f>
        <v/>
      </c>
    </row>
    <row r="5747" spans="1:3" x14ac:dyDescent="0.3">
      <c r="A5747" s="5" t="s">
        <v>6378</v>
      </c>
      <c r="B5747" t="s">
        <v>677</v>
      </c>
      <c r="C5747" t="str">
        <f>IFERROR(VLOOKUP(ILACLISTE[[#This Row],[NAME]],Table5[#All],2,0),"")</f>
        <v/>
      </c>
    </row>
    <row r="5748" spans="1:3" x14ac:dyDescent="0.3">
      <c r="A5748" s="5" t="s">
        <v>6379</v>
      </c>
      <c r="B5748" t="s">
        <v>678</v>
      </c>
      <c r="C5748" t="str">
        <f>IFERROR(VLOOKUP(ILACLISTE[[#This Row],[NAME]],Table5[#All],2,0),"")</f>
        <v/>
      </c>
    </row>
    <row r="5749" spans="1:3" x14ac:dyDescent="0.3">
      <c r="A5749" s="5" t="s">
        <v>6380</v>
      </c>
      <c r="B5749" t="s">
        <v>11770</v>
      </c>
      <c r="C5749" t="str">
        <f>IFERROR(VLOOKUP(ILACLISTE[[#This Row],[NAME]],Table5[#All],2,0),"")</f>
        <v/>
      </c>
    </row>
    <row r="5750" spans="1:3" x14ac:dyDescent="0.3">
      <c r="A5750" s="5" t="s">
        <v>6381</v>
      </c>
      <c r="B5750" t="s">
        <v>679</v>
      </c>
      <c r="C5750" t="str">
        <f>IFERROR(VLOOKUP(ILACLISTE[[#This Row],[NAME]],Table5[#All],2,0),"")</f>
        <v/>
      </c>
    </row>
    <row r="5751" spans="1:3" x14ac:dyDescent="0.3">
      <c r="A5751" s="5" t="s">
        <v>6382</v>
      </c>
      <c r="B5751" t="s">
        <v>11771</v>
      </c>
      <c r="C5751" t="str">
        <f>IFERROR(VLOOKUP(ILACLISTE[[#This Row],[NAME]],Table5[#All],2,0),"")</f>
        <v/>
      </c>
    </row>
    <row r="5752" spans="1:3" x14ac:dyDescent="0.3">
      <c r="A5752" s="5" t="s">
        <v>6383</v>
      </c>
      <c r="B5752" t="s">
        <v>680</v>
      </c>
      <c r="C5752" t="str">
        <f>IFERROR(VLOOKUP(ILACLISTE[[#This Row],[NAME]],Table5[#All],2,0),"")</f>
        <v/>
      </c>
    </row>
    <row r="5753" spans="1:3" x14ac:dyDescent="0.3">
      <c r="A5753" s="5" t="s">
        <v>6384</v>
      </c>
      <c r="B5753" t="s">
        <v>11772</v>
      </c>
      <c r="C5753" t="str">
        <f>IFERROR(VLOOKUP(ILACLISTE[[#This Row],[NAME]],Table5[#All],2,0),"")</f>
        <v/>
      </c>
    </row>
    <row r="5754" spans="1:3" x14ac:dyDescent="0.3">
      <c r="A5754" s="5" t="s">
        <v>6385</v>
      </c>
      <c r="B5754" t="s">
        <v>11773</v>
      </c>
      <c r="C5754" t="str">
        <f>IFERROR(VLOOKUP(ILACLISTE[[#This Row],[NAME]],Table5[#All],2,0),"")</f>
        <v/>
      </c>
    </row>
    <row r="5755" spans="1:3" x14ac:dyDescent="0.3">
      <c r="A5755" s="5" t="s">
        <v>6386</v>
      </c>
      <c r="B5755" t="s">
        <v>11774</v>
      </c>
      <c r="C5755" t="str">
        <f>IFERROR(VLOOKUP(ILACLISTE[[#This Row],[NAME]],Table5[#All],2,0),"")</f>
        <v/>
      </c>
    </row>
    <row r="5756" spans="1:3" x14ac:dyDescent="0.3">
      <c r="A5756" s="5" t="s">
        <v>6387</v>
      </c>
      <c r="B5756" t="s">
        <v>11775</v>
      </c>
      <c r="C5756" t="str">
        <f>IFERROR(VLOOKUP(ILACLISTE[[#This Row],[NAME]],Table5[#All],2,0),"")</f>
        <v/>
      </c>
    </row>
    <row r="5757" spans="1:3" x14ac:dyDescent="0.3">
      <c r="A5757" s="5" t="s">
        <v>6388</v>
      </c>
      <c r="B5757" t="s">
        <v>11776</v>
      </c>
      <c r="C5757" t="str">
        <f>IFERROR(VLOOKUP(ILACLISTE[[#This Row],[NAME]],Table5[#All],2,0),"")</f>
        <v/>
      </c>
    </row>
    <row r="5758" spans="1:3" x14ac:dyDescent="0.3">
      <c r="A5758" s="5" t="s">
        <v>6389</v>
      </c>
      <c r="B5758" t="s">
        <v>11777</v>
      </c>
      <c r="C5758" t="str">
        <f>IFERROR(VLOOKUP(ILACLISTE[[#This Row],[NAME]],Table5[#All],2,0),"")</f>
        <v/>
      </c>
    </row>
    <row r="5759" spans="1:3" x14ac:dyDescent="0.3">
      <c r="A5759" s="5" t="s">
        <v>6390</v>
      </c>
      <c r="B5759" t="s">
        <v>11778</v>
      </c>
      <c r="C5759" t="str">
        <f>IFERROR(VLOOKUP(ILACLISTE[[#This Row],[NAME]],Table5[#All],2,0),"")</f>
        <v/>
      </c>
    </row>
    <row r="5760" spans="1:3" x14ac:dyDescent="0.3">
      <c r="A5760" s="5" t="s">
        <v>6391</v>
      </c>
      <c r="B5760" t="s">
        <v>11779</v>
      </c>
      <c r="C5760" t="str">
        <f>IFERROR(VLOOKUP(ILACLISTE[[#This Row],[NAME]],Table5[#All],2,0),"")</f>
        <v/>
      </c>
    </row>
    <row r="5761" spans="1:3" x14ac:dyDescent="0.3">
      <c r="A5761" s="5" t="s">
        <v>6392</v>
      </c>
      <c r="B5761" t="s">
        <v>11780</v>
      </c>
      <c r="C5761" t="str">
        <f>IFERROR(VLOOKUP(ILACLISTE[[#This Row],[NAME]],Table5[#All],2,0),"")</f>
        <v/>
      </c>
    </row>
    <row r="5762" spans="1:3" x14ac:dyDescent="0.3">
      <c r="A5762" s="5" t="s">
        <v>6393</v>
      </c>
      <c r="B5762" t="s">
        <v>11781</v>
      </c>
      <c r="C5762" t="str">
        <f>IFERROR(VLOOKUP(ILACLISTE[[#This Row],[NAME]],Table5[#All],2,0),"")</f>
        <v/>
      </c>
    </row>
    <row r="5763" spans="1:3" x14ac:dyDescent="0.3">
      <c r="A5763" s="5" t="s">
        <v>6394</v>
      </c>
      <c r="B5763" t="s">
        <v>11782</v>
      </c>
      <c r="C5763" t="str">
        <f>IFERROR(VLOOKUP(ILACLISTE[[#This Row],[NAME]],Table5[#All],2,0),"")</f>
        <v/>
      </c>
    </row>
    <row r="5764" spans="1:3" x14ac:dyDescent="0.3">
      <c r="A5764" s="5" t="s">
        <v>6395</v>
      </c>
      <c r="B5764" t="s">
        <v>11783</v>
      </c>
      <c r="C5764" t="str">
        <f>IFERROR(VLOOKUP(ILACLISTE[[#This Row],[NAME]],Table5[#All],2,0),"")</f>
        <v/>
      </c>
    </row>
    <row r="5765" spans="1:3" x14ac:dyDescent="0.3">
      <c r="A5765" s="5" t="s">
        <v>6396</v>
      </c>
      <c r="B5765" t="s">
        <v>11784</v>
      </c>
      <c r="C5765" t="str">
        <f>IFERROR(VLOOKUP(ILACLISTE[[#This Row],[NAME]],Table5[#All],2,0),"")</f>
        <v/>
      </c>
    </row>
    <row r="5766" spans="1:3" x14ac:dyDescent="0.3">
      <c r="A5766" s="5" t="s">
        <v>6397</v>
      </c>
      <c r="B5766" t="s">
        <v>11785</v>
      </c>
      <c r="C5766" t="str">
        <f>IFERROR(VLOOKUP(ILACLISTE[[#This Row],[NAME]],Table5[#All],2,0),"")</f>
        <v/>
      </c>
    </row>
    <row r="5767" spans="1:3" x14ac:dyDescent="0.3">
      <c r="A5767" s="5" t="s">
        <v>6398</v>
      </c>
      <c r="B5767" t="s">
        <v>11786</v>
      </c>
      <c r="C5767" t="str">
        <f>IFERROR(VLOOKUP(ILACLISTE[[#This Row],[NAME]],Table5[#All],2,0),"")</f>
        <v/>
      </c>
    </row>
    <row r="5768" spans="1:3" x14ac:dyDescent="0.3">
      <c r="A5768" s="5" t="s">
        <v>6399</v>
      </c>
      <c r="B5768" t="s">
        <v>11787</v>
      </c>
      <c r="C5768" t="str">
        <f>IFERROR(VLOOKUP(ILACLISTE[[#This Row],[NAME]],Table5[#All],2,0),"")</f>
        <v/>
      </c>
    </row>
    <row r="5769" spans="1:3" x14ac:dyDescent="0.3">
      <c r="A5769" s="5" t="s">
        <v>6400</v>
      </c>
      <c r="B5769" t="s">
        <v>11788</v>
      </c>
      <c r="C5769" t="str">
        <f>IFERROR(VLOOKUP(ILACLISTE[[#This Row],[NAME]],Table5[#All],2,0),"")</f>
        <v/>
      </c>
    </row>
    <row r="5770" spans="1:3" x14ac:dyDescent="0.3">
      <c r="A5770" s="5" t="s">
        <v>6401</v>
      </c>
      <c r="B5770" t="s">
        <v>11789</v>
      </c>
      <c r="C5770" t="str">
        <f>IFERROR(VLOOKUP(ILACLISTE[[#This Row],[NAME]],Table5[#All],2,0),"")</f>
        <v/>
      </c>
    </row>
    <row r="5771" spans="1:3" x14ac:dyDescent="0.3">
      <c r="A5771" s="5" t="s">
        <v>6402</v>
      </c>
      <c r="B5771" t="s">
        <v>11790</v>
      </c>
      <c r="C5771" t="str">
        <f>IFERROR(VLOOKUP(ILACLISTE[[#This Row],[NAME]],Table5[#All],2,0),"")</f>
        <v/>
      </c>
    </row>
    <row r="5772" spans="1:3" x14ac:dyDescent="0.3">
      <c r="A5772" s="5" t="s">
        <v>6403</v>
      </c>
      <c r="B5772" t="s">
        <v>11791</v>
      </c>
      <c r="C5772" t="str">
        <f>IFERROR(VLOOKUP(ILACLISTE[[#This Row],[NAME]],Table5[#All],2,0),"")</f>
        <v/>
      </c>
    </row>
    <row r="5773" spans="1:3" x14ac:dyDescent="0.3">
      <c r="A5773" s="5" t="s">
        <v>6404</v>
      </c>
      <c r="B5773" t="s">
        <v>11792</v>
      </c>
      <c r="C5773" t="str">
        <f>IFERROR(VLOOKUP(ILACLISTE[[#This Row],[NAME]],Table5[#All],2,0),"")</f>
        <v/>
      </c>
    </row>
    <row r="5774" spans="1:3" x14ac:dyDescent="0.3">
      <c r="A5774" s="5" t="s">
        <v>6405</v>
      </c>
      <c r="B5774" t="s">
        <v>11793</v>
      </c>
      <c r="C5774" t="str">
        <f>IFERROR(VLOOKUP(ILACLISTE[[#This Row],[NAME]],Table5[#All],2,0),"")</f>
        <v/>
      </c>
    </row>
    <row r="5775" spans="1:3" x14ac:dyDescent="0.3">
      <c r="A5775" s="5" t="s">
        <v>6406</v>
      </c>
      <c r="B5775" t="s">
        <v>11794</v>
      </c>
      <c r="C5775" t="str">
        <f>IFERROR(VLOOKUP(ILACLISTE[[#This Row],[NAME]],Table5[#All],2,0),"")</f>
        <v/>
      </c>
    </row>
    <row r="5776" spans="1:3" ht="20.399999999999999" x14ac:dyDescent="0.3">
      <c r="A5776" s="6" t="s">
        <v>6407</v>
      </c>
      <c r="B5776" t="s">
        <v>11795</v>
      </c>
      <c r="C5776" t="str">
        <f>IFERROR(VLOOKUP(ILACLISTE[[#This Row],[NAME]],Table5[#All],2,0),"")</f>
        <v/>
      </c>
    </row>
    <row r="5777" spans="1:3" x14ac:dyDescent="0.3">
      <c r="A5777" s="5" t="s">
        <v>6408</v>
      </c>
      <c r="B5777" t="s">
        <v>11796</v>
      </c>
      <c r="C5777" t="str">
        <f>IFERROR(VLOOKUP(ILACLISTE[[#This Row],[NAME]],Table5[#All],2,0),"")</f>
        <v/>
      </c>
    </row>
    <row r="5778" spans="1:3" x14ac:dyDescent="0.3">
      <c r="A5778" s="5" t="s">
        <v>6409</v>
      </c>
      <c r="B5778" t="s">
        <v>11797</v>
      </c>
      <c r="C5778" t="str">
        <f>IFERROR(VLOOKUP(ILACLISTE[[#This Row],[NAME]],Table5[#All],2,0),"")</f>
        <v/>
      </c>
    </row>
    <row r="5779" spans="1:3" x14ac:dyDescent="0.3">
      <c r="A5779" s="5" t="s">
        <v>6410</v>
      </c>
      <c r="B5779" t="s">
        <v>11798</v>
      </c>
      <c r="C5779" t="str">
        <f>IFERROR(VLOOKUP(ILACLISTE[[#This Row],[NAME]],Table5[#All],2,0),"")</f>
        <v/>
      </c>
    </row>
    <row r="5780" spans="1:3" x14ac:dyDescent="0.3">
      <c r="A5780" s="5" t="s">
        <v>6411</v>
      </c>
      <c r="B5780" t="s">
        <v>11799</v>
      </c>
      <c r="C5780" t="str">
        <f>IFERROR(VLOOKUP(ILACLISTE[[#This Row],[NAME]],Table5[#All],2,0),"")</f>
        <v/>
      </c>
    </row>
    <row r="5781" spans="1:3" x14ac:dyDescent="0.3">
      <c r="A5781" s="5" t="s">
        <v>6412</v>
      </c>
      <c r="B5781" t="s">
        <v>11800</v>
      </c>
      <c r="C5781" t="str">
        <f>IFERROR(VLOOKUP(ILACLISTE[[#This Row],[NAME]],Table5[#All],2,0),"")</f>
        <v/>
      </c>
    </row>
    <row r="5782" spans="1:3" x14ac:dyDescent="0.3">
      <c r="A5782" s="5" t="s">
        <v>6413</v>
      </c>
      <c r="B5782" t="s">
        <v>11801</v>
      </c>
      <c r="C5782" t="str">
        <f>IFERROR(VLOOKUP(ILACLISTE[[#This Row],[NAME]],Table5[#All],2,0),"")</f>
        <v/>
      </c>
    </row>
    <row r="5783" spans="1:3" x14ac:dyDescent="0.3">
      <c r="A5783" s="5" t="s">
        <v>6414</v>
      </c>
      <c r="B5783" t="s">
        <v>11802</v>
      </c>
      <c r="C5783" t="str">
        <f>IFERROR(VLOOKUP(ILACLISTE[[#This Row],[NAME]],Table5[#All],2,0),"")</f>
        <v/>
      </c>
    </row>
    <row r="5784" spans="1:3" x14ac:dyDescent="0.3">
      <c r="A5784" s="5" t="s">
        <v>6415</v>
      </c>
      <c r="B5784" t="s">
        <v>11803</v>
      </c>
      <c r="C5784" t="str">
        <f>IFERROR(VLOOKUP(ILACLISTE[[#This Row],[NAME]],Table5[#All],2,0),"")</f>
        <v/>
      </c>
    </row>
    <row r="5785" spans="1:3" x14ac:dyDescent="0.3">
      <c r="A5785" s="5" t="s">
        <v>6416</v>
      </c>
      <c r="B5785" t="s">
        <v>11804</v>
      </c>
      <c r="C5785" t="str">
        <f>IFERROR(VLOOKUP(ILACLISTE[[#This Row],[NAME]],Table5[#All],2,0),"")</f>
        <v/>
      </c>
    </row>
    <row r="5786" spans="1:3" x14ac:dyDescent="0.3">
      <c r="A5786" s="5" t="s">
        <v>6417</v>
      </c>
      <c r="B5786" t="s">
        <v>11805</v>
      </c>
      <c r="C5786" t="str">
        <f>IFERROR(VLOOKUP(ILACLISTE[[#This Row],[NAME]],Table5[#All],2,0),"")</f>
        <v/>
      </c>
    </row>
    <row r="5787" spans="1:3" x14ac:dyDescent="0.3">
      <c r="A5787" s="5" t="s">
        <v>6418</v>
      </c>
      <c r="B5787" t="s">
        <v>11806</v>
      </c>
      <c r="C5787" t="str">
        <f>IFERROR(VLOOKUP(ILACLISTE[[#This Row],[NAME]],Table5[#All],2,0),"")</f>
        <v/>
      </c>
    </row>
    <row r="5788" spans="1:3" x14ac:dyDescent="0.3">
      <c r="A5788" s="5" t="s">
        <v>6419</v>
      </c>
      <c r="B5788" t="s">
        <v>11807</v>
      </c>
      <c r="C5788" t="str">
        <f>IFERROR(VLOOKUP(ILACLISTE[[#This Row],[NAME]],Table5[#All],2,0),"")</f>
        <v/>
      </c>
    </row>
    <row r="5789" spans="1:3" x14ac:dyDescent="0.3">
      <c r="A5789" s="5" t="s">
        <v>6420</v>
      </c>
      <c r="B5789" t="s">
        <v>11808</v>
      </c>
      <c r="C5789" t="str">
        <f>IFERROR(VLOOKUP(ILACLISTE[[#This Row],[NAME]],Table5[#All],2,0),"")</f>
        <v/>
      </c>
    </row>
    <row r="5790" spans="1:3" x14ac:dyDescent="0.3">
      <c r="A5790" s="5" t="s">
        <v>6421</v>
      </c>
      <c r="B5790" t="s">
        <v>11809</v>
      </c>
      <c r="C5790" t="str">
        <f>IFERROR(VLOOKUP(ILACLISTE[[#This Row],[NAME]],Table5[#All],2,0),"")</f>
        <v/>
      </c>
    </row>
    <row r="5791" spans="1:3" x14ac:dyDescent="0.3">
      <c r="A5791" s="5" t="s">
        <v>6422</v>
      </c>
      <c r="B5791" t="s">
        <v>11810</v>
      </c>
      <c r="C5791" t="str">
        <f>IFERROR(VLOOKUP(ILACLISTE[[#This Row],[NAME]],Table5[#All],2,0),"")</f>
        <v/>
      </c>
    </row>
    <row r="5792" spans="1:3" x14ac:dyDescent="0.3">
      <c r="A5792" s="5" t="s">
        <v>6423</v>
      </c>
      <c r="B5792" t="s">
        <v>11811</v>
      </c>
      <c r="C5792" t="str">
        <f>IFERROR(VLOOKUP(ILACLISTE[[#This Row],[NAME]],Table5[#All],2,0),"")</f>
        <v/>
      </c>
    </row>
    <row r="5793" spans="1:3" x14ac:dyDescent="0.3">
      <c r="A5793" s="5" t="s">
        <v>6424</v>
      </c>
      <c r="B5793" t="s">
        <v>11812</v>
      </c>
      <c r="C5793" t="str">
        <f>IFERROR(VLOOKUP(ILACLISTE[[#This Row],[NAME]],Table5[#All],2,0),"")</f>
        <v/>
      </c>
    </row>
    <row r="5794" spans="1:3" x14ac:dyDescent="0.3">
      <c r="A5794" s="5" t="s">
        <v>6425</v>
      </c>
      <c r="B5794" t="s">
        <v>11813</v>
      </c>
      <c r="C5794" t="str">
        <f>IFERROR(VLOOKUP(ILACLISTE[[#This Row],[NAME]],Table5[#All],2,0),"")</f>
        <v/>
      </c>
    </row>
    <row r="5795" spans="1:3" x14ac:dyDescent="0.3">
      <c r="A5795" s="5" t="s">
        <v>6426</v>
      </c>
      <c r="B5795" t="s">
        <v>11814</v>
      </c>
      <c r="C5795" t="str">
        <f>IFERROR(VLOOKUP(ILACLISTE[[#This Row],[NAME]],Table5[#All],2,0),"")</f>
        <v/>
      </c>
    </row>
    <row r="5796" spans="1:3" x14ac:dyDescent="0.3">
      <c r="A5796" s="5" t="s">
        <v>6427</v>
      </c>
      <c r="B5796" t="s">
        <v>11815</v>
      </c>
      <c r="C5796" t="str">
        <f>IFERROR(VLOOKUP(ILACLISTE[[#This Row],[NAME]],Table5[#All],2,0),"")</f>
        <v/>
      </c>
    </row>
    <row r="5797" spans="1:3" x14ac:dyDescent="0.3">
      <c r="A5797" s="5" t="s">
        <v>6428</v>
      </c>
      <c r="B5797" t="s">
        <v>11816</v>
      </c>
      <c r="C5797" t="str">
        <f>IFERROR(VLOOKUP(ILACLISTE[[#This Row],[NAME]],Table5[#All],2,0),"")</f>
        <v/>
      </c>
    </row>
    <row r="5798" spans="1:3" x14ac:dyDescent="0.3">
      <c r="A5798" s="5" t="s">
        <v>6429</v>
      </c>
      <c r="B5798" t="s">
        <v>681</v>
      </c>
      <c r="C5798" t="str">
        <f>IFERROR(VLOOKUP(ILACLISTE[[#This Row],[NAME]],Table5[#All],2,0),"")</f>
        <v/>
      </c>
    </row>
    <row r="5799" spans="1:3" x14ac:dyDescent="0.3">
      <c r="A5799" s="5" t="s">
        <v>6430</v>
      </c>
      <c r="B5799" t="s">
        <v>682</v>
      </c>
      <c r="C5799" t="str">
        <f>IFERROR(VLOOKUP(ILACLISTE[[#This Row],[NAME]],Table5[#All],2,0),"")</f>
        <v/>
      </c>
    </row>
    <row r="5800" spans="1:3" x14ac:dyDescent="0.3">
      <c r="A5800" s="5" t="s">
        <v>6431</v>
      </c>
      <c r="B5800" t="s">
        <v>11817</v>
      </c>
      <c r="C5800" t="str">
        <f>IFERROR(VLOOKUP(ILACLISTE[[#This Row],[NAME]],Table5[#All],2,0),"")</f>
        <v/>
      </c>
    </row>
    <row r="5801" spans="1:3" x14ac:dyDescent="0.3">
      <c r="A5801" s="5" t="s">
        <v>6432</v>
      </c>
      <c r="B5801" t="s">
        <v>11818</v>
      </c>
      <c r="C5801" t="str">
        <f>IFERROR(VLOOKUP(ILACLISTE[[#This Row],[NAME]],Table5[#All],2,0),"")</f>
        <v/>
      </c>
    </row>
    <row r="5802" spans="1:3" x14ac:dyDescent="0.3">
      <c r="A5802" s="5" t="s">
        <v>6433</v>
      </c>
      <c r="B5802" t="s">
        <v>11819</v>
      </c>
      <c r="C5802" t="str">
        <f>IFERROR(VLOOKUP(ILACLISTE[[#This Row],[NAME]],Table5[#All],2,0),"")</f>
        <v/>
      </c>
    </row>
    <row r="5803" spans="1:3" x14ac:dyDescent="0.3">
      <c r="A5803" s="5" t="s">
        <v>6434</v>
      </c>
      <c r="B5803" t="s">
        <v>11820</v>
      </c>
      <c r="C5803" t="str">
        <f>IFERROR(VLOOKUP(ILACLISTE[[#This Row],[NAME]],Table5[#All],2,0),"")</f>
        <v/>
      </c>
    </row>
    <row r="5804" spans="1:3" x14ac:dyDescent="0.3">
      <c r="A5804" s="5" t="s">
        <v>6435</v>
      </c>
      <c r="B5804" t="s">
        <v>11821</v>
      </c>
      <c r="C5804" t="str">
        <f>IFERROR(VLOOKUP(ILACLISTE[[#This Row],[NAME]],Table5[#All],2,0),"")</f>
        <v/>
      </c>
    </row>
    <row r="5805" spans="1:3" x14ac:dyDescent="0.3">
      <c r="A5805" s="5" t="s">
        <v>6436</v>
      </c>
      <c r="B5805" t="s">
        <v>11822</v>
      </c>
      <c r="C5805" t="str">
        <f>IFERROR(VLOOKUP(ILACLISTE[[#This Row],[NAME]],Table5[#All],2,0),"")</f>
        <v/>
      </c>
    </row>
    <row r="5806" spans="1:3" x14ac:dyDescent="0.3">
      <c r="A5806" s="5" t="s">
        <v>6437</v>
      </c>
      <c r="B5806" t="s">
        <v>11823</v>
      </c>
      <c r="C5806" t="str">
        <f>IFERROR(VLOOKUP(ILACLISTE[[#This Row],[NAME]],Table5[#All],2,0),"")</f>
        <v/>
      </c>
    </row>
    <row r="5807" spans="1:3" x14ac:dyDescent="0.3">
      <c r="A5807" s="5" t="s">
        <v>6438</v>
      </c>
      <c r="B5807" t="s">
        <v>11824</v>
      </c>
      <c r="C5807" t="str">
        <f>IFERROR(VLOOKUP(ILACLISTE[[#This Row],[NAME]],Table5[#All],2,0),"")</f>
        <v/>
      </c>
    </row>
    <row r="5808" spans="1:3" x14ac:dyDescent="0.3">
      <c r="A5808" s="5" t="s">
        <v>6439</v>
      </c>
      <c r="B5808" t="s">
        <v>11825</v>
      </c>
      <c r="C5808" t="str">
        <f>IFERROR(VLOOKUP(ILACLISTE[[#This Row],[NAME]],Table5[#All],2,0),"")</f>
        <v/>
      </c>
    </row>
    <row r="5809" spans="1:3" x14ac:dyDescent="0.3">
      <c r="A5809" s="5" t="s">
        <v>11826</v>
      </c>
      <c r="B5809" t="s">
        <v>11827</v>
      </c>
      <c r="C5809" t="str">
        <f>IFERROR(VLOOKUP(ILACLISTE[[#This Row],[NAME]],Table5[#All],2,0),"")</f>
        <v/>
      </c>
    </row>
    <row r="5810" spans="1:3" x14ac:dyDescent="0.3">
      <c r="A5810" s="5" t="s">
        <v>11828</v>
      </c>
      <c r="B5810" t="s">
        <v>11829</v>
      </c>
      <c r="C5810" t="str">
        <f>IFERROR(VLOOKUP(ILACLISTE[[#This Row],[NAME]],Table5[#All],2,0),"")</f>
        <v/>
      </c>
    </row>
    <row r="5811" spans="1:3" x14ac:dyDescent="0.3">
      <c r="A5811" s="5" t="s">
        <v>6440</v>
      </c>
      <c r="B5811" t="s">
        <v>11830</v>
      </c>
      <c r="C5811" t="str">
        <f>IFERROR(VLOOKUP(ILACLISTE[[#This Row],[NAME]],Table5[#All],2,0),"")</f>
        <v/>
      </c>
    </row>
    <row r="5812" spans="1:3" x14ac:dyDescent="0.3">
      <c r="A5812" s="5" t="s">
        <v>11831</v>
      </c>
      <c r="B5812" t="s">
        <v>11832</v>
      </c>
      <c r="C5812" t="str">
        <f>IFERROR(VLOOKUP(ILACLISTE[[#This Row],[NAME]],Table5[#All],2,0),"")</f>
        <v/>
      </c>
    </row>
    <row r="5813" spans="1:3" x14ac:dyDescent="0.3">
      <c r="A5813" s="5" t="s">
        <v>6441</v>
      </c>
      <c r="B5813" t="s">
        <v>11833</v>
      </c>
      <c r="C5813" t="str">
        <f>IFERROR(VLOOKUP(ILACLISTE[[#This Row],[NAME]],Table5[#All],2,0),"")</f>
        <v/>
      </c>
    </row>
    <row r="5814" spans="1:3" x14ac:dyDescent="0.3">
      <c r="A5814" s="5" t="s">
        <v>6442</v>
      </c>
      <c r="B5814" t="s">
        <v>11834</v>
      </c>
      <c r="C5814" t="str">
        <f>IFERROR(VLOOKUP(ILACLISTE[[#This Row],[NAME]],Table5[#All],2,0),"")</f>
        <v/>
      </c>
    </row>
    <row r="5815" spans="1:3" x14ac:dyDescent="0.3">
      <c r="A5815" s="5" t="s">
        <v>6443</v>
      </c>
      <c r="B5815" t="s">
        <v>11835</v>
      </c>
      <c r="C5815" t="str">
        <f>IFERROR(VLOOKUP(ILACLISTE[[#This Row],[NAME]],Table5[#All],2,0),"")</f>
        <v/>
      </c>
    </row>
    <row r="5816" spans="1:3" x14ac:dyDescent="0.3">
      <c r="A5816" s="5" t="s">
        <v>6444</v>
      </c>
      <c r="B5816" t="s">
        <v>11836</v>
      </c>
      <c r="C5816" t="str">
        <f>IFERROR(VLOOKUP(ILACLISTE[[#This Row],[NAME]],Table5[#All],2,0),"")</f>
        <v/>
      </c>
    </row>
    <row r="5817" spans="1:3" x14ac:dyDescent="0.3">
      <c r="A5817" s="5" t="s">
        <v>6445</v>
      </c>
      <c r="B5817" t="s">
        <v>11837</v>
      </c>
      <c r="C5817" t="str">
        <f>IFERROR(VLOOKUP(ILACLISTE[[#This Row],[NAME]],Table5[#All],2,0),"")</f>
        <v/>
      </c>
    </row>
    <row r="5818" spans="1:3" x14ac:dyDescent="0.3">
      <c r="A5818" s="5" t="s">
        <v>6446</v>
      </c>
      <c r="B5818" t="s">
        <v>11838</v>
      </c>
      <c r="C5818" t="str">
        <f>IFERROR(VLOOKUP(ILACLISTE[[#This Row],[NAME]],Table5[#All],2,0),"")</f>
        <v/>
      </c>
    </row>
    <row r="5819" spans="1:3" x14ac:dyDescent="0.3">
      <c r="A5819" s="5" t="s">
        <v>6447</v>
      </c>
      <c r="B5819" t="s">
        <v>11839</v>
      </c>
      <c r="C5819" t="str">
        <f>IFERROR(VLOOKUP(ILACLISTE[[#This Row],[NAME]],Table5[#All],2,0),"")</f>
        <v/>
      </c>
    </row>
    <row r="5820" spans="1:3" x14ac:dyDescent="0.3">
      <c r="A5820" s="5" t="s">
        <v>6448</v>
      </c>
      <c r="B5820" t="s">
        <v>11840</v>
      </c>
      <c r="C5820" t="str">
        <f>IFERROR(VLOOKUP(ILACLISTE[[#This Row],[NAME]],Table5[#All],2,0),"")</f>
        <v/>
      </c>
    </row>
    <row r="5821" spans="1:3" x14ac:dyDescent="0.3">
      <c r="A5821" s="5" t="s">
        <v>6449</v>
      </c>
      <c r="B5821" t="s">
        <v>11841</v>
      </c>
      <c r="C5821" t="str">
        <f>IFERROR(VLOOKUP(ILACLISTE[[#This Row],[NAME]],Table5[#All],2,0),"")</f>
        <v/>
      </c>
    </row>
    <row r="5822" spans="1:3" x14ac:dyDescent="0.3">
      <c r="A5822" s="5" t="s">
        <v>6450</v>
      </c>
      <c r="B5822" t="s">
        <v>11842</v>
      </c>
      <c r="C5822" t="str">
        <f>IFERROR(VLOOKUP(ILACLISTE[[#This Row],[NAME]],Table5[#All],2,0),"")</f>
        <v/>
      </c>
    </row>
    <row r="5823" spans="1:3" x14ac:dyDescent="0.3">
      <c r="A5823" s="5" t="s">
        <v>11843</v>
      </c>
      <c r="B5823" t="s">
        <v>11844</v>
      </c>
      <c r="C5823" t="str">
        <f>IFERROR(VLOOKUP(ILACLISTE[[#This Row],[NAME]],Table5[#All],2,0),"")</f>
        <v/>
      </c>
    </row>
    <row r="5824" spans="1:3" x14ac:dyDescent="0.3">
      <c r="A5824" s="5" t="s">
        <v>6451</v>
      </c>
      <c r="B5824" t="s">
        <v>11845</v>
      </c>
      <c r="C5824" t="str">
        <f>IFERROR(VLOOKUP(ILACLISTE[[#This Row],[NAME]],Table5[#All],2,0),"")</f>
        <v/>
      </c>
    </row>
    <row r="5825" spans="1:3" x14ac:dyDescent="0.3">
      <c r="A5825" s="5" t="s">
        <v>6452</v>
      </c>
      <c r="B5825" t="s">
        <v>11846</v>
      </c>
      <c r="C5825" t="str">
        <f>IFERROR(VLOOKUP(ILACLISTE[[#This Row],[NAME]],Table5[#All],2,0),"")</f>
        <v/>
      </c>
    </row>
    <row r="5826" spans="1:3" x14ac:dyDescent="0.3">
      <c r="A5826" s="5" t="s">
        <v>6453</v>
      </c>
      <c r="B5826" t="s">
        <v>11847</v>
      </c>
      <c r="C5826" t="str">
        <f>IFERROR(VLOOKUP(ILACLISTE[[#This Row],[NAME]],Table5[#All],2,0),"")</f>
        <v/>
      </c>
    </row>
    <row r="5827" spans="1:3" x14ac:dyDescent="0.3">
      <c r="A5827" s="5" t="s">
        <v>6454</v>
      </c>
      <c r="B5827" t="s">
        <v>11848</v>
      </c>
      <c r="C5827" t="str">
        <f>IFERROR(VLOOKUP(ILACLISTE[[#This Row],[NAME]],Table5[#All],2,0),"")</f>
        <v/>
      </c>
    </row>
    <row r="5828" spans="1:3" x14ac:dyDescent="0.3">
      <c r="A5828" s="5" t="s">
        <v>6455</v>
      </c>
      <c r="B5828" t="s">
        <v>11849</v>
      </c>
      <c r="C5828" t="str">
        <f>IFERROR(VLOOKUP(ILACLISTE[[#This Row],[NAME]],Table5[#All],2,0),"")</f>
        <v/>
      </c>
    </row>
    <row r="5829" spans="1:3" x14ac:dyDescent="0.3">
      <c r="A5829" s="5" t="s">
        <v>6456</v>
      </c>
      <c r="B5829" t="s">
        <v>11850</v>
      </c>
      <c r="C5829" t="str">
        <f>IFERROR(VLOOKUP(ILACLISTE[[#This Row],[NAME]],Table5[#All],2,0),"")</f>
        <v/>
      </c>
    </row>
    <row r="5830" spans="1:3" x14ac:dyDescent="0.3">
      <c r="A5830" s="5" t="s">
        <v>6457</v>
      </c>
      <c r="B5830" t="s">
        <v>11851</v>
      </c>
      <c r="C5830" t="str">
        <f>IFERROR(VLOOKUP(ILACLISTE[[#This Row],[NAME]],Table5[#All],2,0),"")</f>
        <v/>
      </c>
    </row>
    <row r="5831" spans="1:3" x14ac:dyDescent="0.3">
      <c r="A5831" s="5" t="s">
        <v>6458</v>
      </c>
      <c r="B5831" t="s">
        <v>11852</v>
      </c>
      <c r="C5831" t="str">
        <f>IFERROR(VLOOKUP(ILACLISTE[[#This Row],[NAME]],Table5[#All],2,0),"")</f>
        <v/>
      </c>
    </row>
    <row r="5832" spans="1:3" x14ac:dyDescent="0.3">
      <c r="A5832" s="5" t="s">
        <v>6459</v>
      </c>
      <c r="B5832" t="s">
        <v>683</v>
      </c>
      <c r="C5832" t="str">
        <f>IFERROR(VLOOKUP(ILACLISTE[[#This Row],[NAME]],Table5[#All],2,0),"")</f>
        <v/>
      </c>
    </row>
    <row r="5833" spans="1:3" x14ac:dyDescent="0.3">
      <c r="A5833" s="5" t="s">
        <v>6460</v>
      </c>
      <c r="B5833" t="s">
        <v>684</v>
      </c>
      <c r="C5833" t="str">
        <f>IFERROR(VLOOKUP(ILACLISTE[[#This Row],[NAME]],Table5[#All],2,0),"")</f>
        <v/>
      </c>
    </row>
    <row r="5834" spans="1:3" x14ac:dyDescent="0.3">
      <c r="A5834" s="5" t="s">
        <v>6461</v>
      </c>
      <c r="B5834" t="s">
        <v>11853</v>
      </c>
      <c r="C5834" t="str">
        <f>IFERROR(VLOOKUP(ILACLISTE[[#This Row],[NAME]],Table5[#All],2,0),"")</f>
        <v/>
      </c>
    </row>
    <row r="5835" spans="1:3" x14ac:dyDescent="0.3">
      <c r="A5835" s="5" t="s">
        <v>6462</v>
      </c>
      <c r="B5835" t="s">
        <v>11854</v>
      </c>
      <c r="C5835" t="str">
        <f>IFERROR(VLOOKUP(ILACLISTE[[#This Row],[NAME]],Table5[#All],2,0),"")</f>
        <v/>
      </c>
    </row>
    <row r="5836" spans="1:3" x14ac:dyDescent="0.3">
      <c r="A5836" s="5" t="s">
        <v>6463</v>
      </c>
      <c r="B5836" t="s">
        <v>11855</v>
      </c>
      <c r="C5836" t="str">
        <f>IFERROR(VLOOKUP(ILACLISTE[[#This Row],[NAME]],Table5[#All],2,0),"")</f>
        <v/>
      </c>
    </row>
    <row r="5837" spans="1:3" x14ac:dyDescent="0.3">
      <c r="A5837" s="5" t="s">
        <v>6464</v>
      </c>
      <c r="B5837" t="s">
        <v>11856</v>
      </c>
      <c r="C5837" t="str">
        <f>IFERROR(VLOOKUP(ILACLISTE[[#This Row],[NAME]],Table5[#All],2,0),"")</f>
        <v/>
      </c>
    </row>
    <row r="5838" spans="1:3" x14ac:dyDescent="0.3">
      <c r="A5838" s="5" t="s">
        <v>6465</v>
      </c>
      <c r="B5838" t="s">
        <v>11857</v>
      </c>
      <c r="C5838" t="str">
        <f>IFERROR(VLOOKUP(ILACLISTE[[#This Row],[NAME]],Table5[#All],2,0),"")</f>
        <v/>
      </c>
    </row>
    <row r="5839" spans="1:3" x14ac:dyDescent="0.3">
      <c r="A5839" s="5" t="s">
        <v>6466</v>
      </c>
      <c r="B5839" t="s">
        <v>11858</v>
      </c>
      <c r="C5839" t="str">
        <f>IFERROR(VLOOKUP(ILACLISTE[[#This Row],[NAME]],Table5[#All],2,0),"")</f>
        <v/>
      </c>
    </row>
    <row r="5840" spans="1:3" x14ac:dyDescent="0.3">
      <c r="A5840" s="5" t="s">
        <v>6467</v>
      </c>
      <c r="B5840" t="s">
        <v>11859</v>
      </c>
      <c r="C5840" t="str">
        <f>IFERROR(VLOOKUP(ILACLISTE[[#This Row],[NAME]],Table5[#All],2,0),"")</f>
        <v/>
      </c>
    </row>
    <row r="5841" spans="1:3" x14ac:dyDescent="0.3">
      <c r="A5841" s="5" t="s">
        <v>6468</v>
      </c>
      <c r="B5841" t="s">
        <v>11860</v>
      </c>
      <c r="C5841" t="str">
        <f>IFERROR(VLOOKUP(ILACLISTE[[#This Row],[NAME]],Table5[#All],2,0),"")</f>
        <v/>
      </c>
    </row>
    <row r="5842" spans="1:3" x14ac:dyDescent="0.3">
      <c r="A5842" s="5" t="s">
        <v>6469</v>
      </c>
      <c r="B5842" t="s">
        <v>11861</v>
      </c>
      <c r="C5842" t="str">
        <f>IFERROR(VLOOKUP(ILACLISTE[[#This Row],[NAME]],Table5[#All],2,0),"")</f>
        <v/>
      </c>
    </row>
    <row r="5843" spans="1:3" x14ac:dyDescent="0.3">
      <c r="A5843" s="5" t="s">
        <v>6470</v>
      </c>
      <c r="B5843" t="s">
        <v>11862</v>
      </c>
      <c r="C5843" t="str">
        <f>IFERROR(VLOOKUP(ILACLISTE[[#This Row],[NAME]],Table5[#All],2,0),"")</f>
        <v/>
      </c>
    </row>
    <row r="5844" spans="1:3" x14ac:dyDescent="0.3">
      <c r="A5844" s="5" t="s">
        <v>6471</v>
      </c>
      <c r="B5844" t="s">
        <v>11863</v>
      </c>
      <c r="C5844" t="str">
        <f>IFERROR(VLOOKUP(ILACLISTE[[#This Row],[NAME]],Table5[#All],2,0),"")</f>
        <v/>
      </c>
    </row>
    <row r="5845" spans="1:3" x14ac:dyDescent="0.3">
      <c r="A5845" s="5" t="s">
        <v>6472</v>
      </c>
      <c r="B5845" t="s">
        <v>11864</v>
      </c>
      <c r="C5845" t="str">
        <f>IFERROR(VLOOKUP(ILACLISTE[[#This Row],[NAME]],Table5[#All],2,0),"")</f>
        <v/>
      </c>
    </row>
    <row r="5846" spans="1:3" x14ac:dyDescent="0.3">
      <c r="A5846" s="5" t="s">
        <v>6473</v>
      </c>
      <c r="B5846" t="s">
        <v>11865</v>
      </c>
      <c r="C5846" t="str">
        <f>IFERROR(VLOOKUP(ILACLISTE[[#This Row],[NAME]],Table5[#All],2,0),"")</f>
        <v/>
      </c>
    </row>
    <row r="5847" spans="1:3" x14ac:dyDescent="0.3">
      <c r="A5847" s="5" t="s">
        <v>6474</v>
      </c>
      <c r="B5847" t="s">
        <v>11866</v>
      </c>
      <c r="C5847" t="str">
        <f>IFERROR(VLOOKUP(ILACLISTE[[#This Row],[NAME]],Table5[#All],2,0),"")</f>
        <v/>
      </c>
    </row>
    <row r="5848" spans="1:3" x14ac:dyDescent="0.3">
      <c r="A5848" s="5" t="s">
        <v>6475</v>
      </c>
      <c r="B5848" t="s">
        <v>11867</v>
      </c>
      <c r="C5848" t="str">
        <f>IFERROR(VLOOKUP(ILACLISTE[[#This Row],[NAME]],Table5[#All],2,0),"")</f>
        <v/>
      </c>
    </row>
    <row r="5849" spans="1:3" x14ac:dyDescent="0.3">
      <c r="A5849" s="5" t="s">
        <v>6476</v>
      </c>
      <c r="B5849" t="s">
        <v>11868</v>
      </c>
      <c r="C5849" t="str">
        <f>IFERROR(VLOOKUP(ILACLISTE[[#This Row],[NAME]],Table5[#All],2,0),"")</f>
        <v/>
      </c>
    </row>
    <row r="5850" spans="1:3" x14ac:dyDescent="0.3">
      <c r="A5850" s="5" t="s">
        <v>6477</v>
      </c>
      <c r="B5850" t="s">
        <v>11869</v>
      </c>
      <c r="C5850" t="str">
        <f>IFERROR(VLOOKUP(ILACLISTE[[#This Row],[NAME]],Table5[#All],2,0),"")</f>
        <v/>
      </c>
    </row>
    <row r="5851" spans="1:3" x14ac:dyDescent="0.3">
      <c r="A5851" s="5" t="s">
        <v>6478</v>
      </c>
      <c r="B5851" t="s">
        <v>11870</v>
      </c>
      <c r="C5851" t="str">
        <f>IFERROR(VLOOKUP(ILACLISTE[[#This Row],[NAME]],Table5[#All],2,0),"")</f>
        <v/>
      </c>
    </row>
    <row r="5852" spans="1:3" x14ac:dyDescent="0.3">
      <c r="A5852" s="5" t="s">
        <v>6479</v>
      </c>
      <c r="B5852" t="s">
        <v>11871</v>
      </c>
      <c r="C5852" t="str">
        <f>IFERROR(VLOOKUP(ILACLISTE[[#This Row],[NAME]],Table5[#All],2,0),"")</f>
        <v/>
      </c>
    </row>
    <row r="5853" spans="1:3" x14ac:dyDescent="0.3">
      <c r="A5853" s="5" t="s">
        <v>6480</v>
      </c>
      <c r="B5853" t="s">
        <v>11872</v>
      </c>
      <c r="C5853" t="str">
        <f>IFERROR(VLOOKUP(ILACLISTE[[#This Row],[NAME]],Table5[#All],2,0),"")</f>
        <v/>
      </c>
    </row>
    <row r="5854" spans="1:3" x14ac:dyDescent="0.3">
      <c r="A5854" s="5" t="s">
        <v>6481</v>
      </c>
      <c r="B5854" t="s">
        <v>11873</v>
      </c>
      <c r="C5854" t="str">
        <f>IFERROR(VLOOKUP(ILACLISTE[[#This Row],[NAME]],Table5[#All],2,0),"")</f>
        <v/>
      </c>
    </row>
    <row r="5855" spans="1:3" x14ac:dyDescent="0.3">
      <c r="A5855" s="5" t="s">
        <v>6482</v>
      </c>
      <c r="B5855" t="s">
        <v>11874</v>
      </c>
      <c r="C5855" t="str">
        <f>IFERROR(VLOOKUP(ILACLISTE[[#This Row],[NAME]],Table5[#All],2,0),"")</f>
        <v/>
      </c>
    </row>
    <row r="5856" spans="1:3" x14ac:dyDescent="0.3">
      <c r="A5856" s="5" t="s">
        <v>6483</v>
      </c>
      <c r="B5856" t="s">
        <v>11875</v>
      </c>
      <c r="C5856" t="str">
        <f>IFERROR(VLOOKUP(ILACLISTE[[#This Row],[NAME]],Table5[#All],2,0),"")</f>
        <v/>
      </c>
    </row>
    <row r="5857" spans="1:3" x14ac:dyDescent="0.3">
      <c r="A5857" s="5" t="s">
        <v>6484</v>
      </c>
      <c r="B5857" t="s">
        <v>11876</v>
      </c>
      <c r="C5857" t="str">
        <f>IFERROR(VLOOKUP(ILACLISTE[[#This Row],[NAME]],Table5[#All],2,0),"")</f>
        <v/>
      </c>
    </row>
    <row r="5858" spans="1:3" x14ac:dyDescent="0.3">
      <c r="A5858" s="5" t="s">
        <v>6485</v>
      </c>
      <c r="B5858" t="s">
        <v>11877</v>
      </c>
      <c r="C5858" t="str">
        <f>IFERROR(VLOOKUP(ILACLISTE[[#This Row],[NAME]],Table5[#All],2,0),"")</f>
        <v/>
      </c>
    </row>
    <row r="5859" spans="1:3" x14ac:dyDescent="0.3">
      <c r="A5859" s="5" t="s">
        <v>6486</v>
      </c>
      <c r="B5859" t="s">
        <v>11878</v>
      </c>
      <c r="C5859" t="str">
        <f>IFERROR(VLOOKUP(ILACLISTE[[#This Row],[NAME]],Table5[#All],2,0),"")</f>
        <v/>
      </c>
    </row>
    <row r="5860" spans="1:3" x14ac:dyDescent="0.3">
      <c r="A5860" s="5" t="s">
        <v>6487</v>
      </c>
      <c r="B5860" t="s">
        <v>11879</v>
      </c>
      <c r="C5860" t="str">
        <f>IFERROR(VLOOKUP(ILACLISTE[[#This Row],[NAME]],Table5[#All],2,0),"")</f>
        <v/>
      </c>
    </row>
    <row r="5861" spans="1:3" x14ac:dyDescent="0.3">
      <c r="A5861" s="5" t="s">
        <v>6488</v>
      </c>
      <c r="B5861" t="s">
        <v>685</v>
      </c>
      <c r="C5861" t="str">
        <f>IFERROR(VLOOKUP(ILACLISTE[[#This Row],[NAME]],Table5[#All],2,0),"")</f>
        <v/>
      </c>
    </row>
    <row r="5862" spans="1:3" x14ac:dyDescent="0.3">
      <c r="A5862" s="5" t="s">
        <v>6489</v>
      </c>
      <c r="B5862" t="s">
        <v>11880</v>
      </c>
      <c r="C5862" t="str">
        <f>IFERROR(VLOOKUP(ILACLISTE[[#This Row],[NAME]],Table5[#All],2,0),"")</f>
        <v/>
      </c>
    </row>
    <row r="5863" spans="1:3" x14ac:dyDescent="0.3">
      <c r="A5863" s="5" t="s">
        <v>6490</v>
      </c>
      <c r="B5863" t="s">
        <v>11881</v>
      </c>
      <c r="C5863" t="str">
        <f>IFERROR(VLOOKUP(ILACLISTE[[#This Row],[NAME]],Table5[#All],2,0),"")</f>
        <v/>
      </c>
    </row>
    <row r="5864" spans="1:3" x14ac:dyDescent="0.3">
      <c r="A5864" s="5" t="s">
        <v>6491</v>
      </c>
      <c r="B5864" t="s">
        <v>11882</v>
      </c>
      <c r="C5864" t="str">
        <f>IFERROR(VLOOKUP(ILACLISTE[[#This Row],[NAME]],Table5[#All],2,0),"")</f>
        <v/>
      </c>
    </row>
    <row r="5865" spans="1:3" x14ac:dyDescent="0.3">
      <c r="A5865" s="5" t="s">
        <v>6492</v>
      </c>
      <c r="B5865" t="s">
        <v>11883</v>
      </c>
      <c r="C5865" t="str">
        <f>IFERROR(VLOOKUP(ILACLISTE[[#This Row],[NAME]],Table5[#All],2,0),"")</f>
        <v/>
      </c>
    </row>
    <row r="5866" spans="1:3" x14ac:dyDescent="0.3">
      <c r="A5866" s="5" t="s">
        <v>6493</v>
      </c>
      <c r="B5866" t="s">
        <v>11884</v>
      </c>
      <c r="C5866" t="str">
        <f>IFERROR(VLOOKUP(ILACLISTE[[#This Row],[NAME]],Table5[#All],2,0),"")</f>
        <v/>
      </c>
    </row>
    <row r="5867" spans="1:3" x14ac:dyDescent="0.3">
      <c r="A5867" s="5" t="s">
        <v>6494</v>
      </c>
      <c r="B5867" t="s">
        <v>11885</v>
      </c>
      <c r="C5867" t="str">
        <f>IFERROR(VLOOKUP(ILACLISTE[[#This Row],[NAME]],Table5[#All],2,0),"")</f>
        <v/>
      </c>
    </row>
    <row r="5868" spans="1:3" x14ac:dyDescent="0.3">
      <c r="A5868" s="5" t="s">
        <v>6495</v>
      </c>
      <c r="B5868" t="s">
        <v>11886</v>
      </c>
      <c r="C5868" t="str">
        <f>IFERROR(VLOOKUP(ILACLISTE[[#This Row],[NAME]],Table5[#All],2,0),"")</f>
        <v/>
      </c>
    </row>
    <row r="5869" spans="1:3" x14ac:dyDescent="0.3">
      <c r="A5869" s="5" t="s">
        <v>6496</v>
      </c>
      <c r="B5869" t="s">
        <v>11887</v>
      </c>
      <c r="C5869" t="str">
        <f>IFERROR(VLOOKUP(ILACLISTE[[#This Row],[NAME]],Table5[#All],2,0),"")</f>
        <v/>
      </c>
    </row>
    <row r="5870" spans="1:3" x14ac:dyDescent="0.3">
      <c r="A5870" s="5" t="s">
        <v>6497</v>
      </c>
      <c r="B5870" t="s">
        <v>686</v>
      </c>
      <c r="C5870" t="str">
        <f>IFERROR(VLOOKUP(ILACLISTE[[#This Row],[NAME]],Table5[#All],2,0),"")</f>
        <v/>
      </c>
    </row>
    <row r="5871" spans="1:3" x14ac:dyDescent="0.3">
      <c r="A5871" s="5" t="s">
        <v>6498</v>
      </c>
      <c r="B5871" t="s">
        <v>11888</v>
      </c>
      <c r="C5871" t="str">
        <f>IFERROR(VLOOKUP(ILACLISTE[[#This Row],[NAME]],Table5[#All],2,0),"")</f>
        <v/>
      </c>
    </row>
    <row r="5872" spans="1:3" x14ac:dyDescent="0.3">
      <c r="A5872" s="5" t="s">
        <v>6499</v>
      </c>
      <c r="B5872" t="s">
        <v>11889</v>
      </c>
      <c r="C5872" t="str">
        <f>IFERROR(VLOOKUP(ILACLISTE[[#This Row],[NAME]],Table5[#All],2,0),"")</f>
        <v/>
      </c>
    </row>
    <row r="5873" spans="1:3" x14ac:dyDescent="0.3">
      <c r="A5873" s="5" t="s">
        <v>6500</v>
      </c>
      <c r="B5873" t="s">
        <v>11890</v>
      </c>
      <c r="C5873" t="str">
        <f>IFERROR(VLOOKUP(ILACLISTE[[#This Row],[NAME]],Table5[#All],2,0),"")</f>
        <v/>
      </c>
    </row>
    <row r="5874" spans="1:3" x14ac:dyDescent="0.3">
      <c r="A5874" s="5" t="s">
        <v>6501</v>
      </c>
      <c r="B5874" t="s">
        <v>11891</v>
      </c>
      <c r="C5874" t="str">
        <f>IFERROR(VLOOKUP(ILACLISTE[[#This Row],[NAME]],Table5[#All],2,0),"")</f>
        <v/>
      </c>
    </row>
    <row r="5875" spans="1:3" x14ac:dyDescent="0.3">
      <c r="A5875" s="5" t="s">
        <v>6502</v>
      </c>
      <c r="B5875" t="s">
        <v>11892</v>
      </c>
      <c r="C5875" t="str">
        <f>IFERROR(VLOOKUP(ILACLISTE[[#This Row],[NAME]],Table5[#All],2,0),"")</f>
        <v/>
      </c>
    </row>
    <row r="5876" spans="1:3" x14ac:dyDescent="0.3">
      <c r="A5876" s="5" t="s">
        <v>6503</v>
      </c>
      <c r="B5876" t="s">
        <v>11893</v>
      </c>
      <c r="C5876" t="str">
        <f>IFERROR(VLOOKUP(ILACLISTE[[#This Row],[NAME]],Table5[#All],2,0),"")</f>
        <v/>
      </c>
    </row>
    <row r="5877" spans="1:3" x14ac:dyDescent="0.3">
      <c r="A5877" s="5" t="s">
        <v>6504</v>
      </c>
      <c r="B5877" t="s">
        <v>11894</v>
      </c>
      <c r="C5877" t="str">
        <f>IFERROR(VLOOKUP(ILACLISTE[[#This Row],[NAME]],Table5[#All],2,0),"")</f>
        <v/>
      </c>
    </row>
    <row r="5878" spans="1:3" x14ac:dyDescent="0.3">
      <c r="A5878" s="5" t="s">
        <v>6505</v>
      </c>
      <c r="B5878" t="s">
        <v>11895</v>
      </c>
      <c r="C5878" t="str">
        <f>IFERROR(VLOOKUP(ILACLISTE[[#This Row],[NAME]],Table5[#All],2,0),"")</f>
        <v/>
      </c>
    </row>
    <row r="5879" spans="1:3" x14ac:dyDescent="0.3">
      <c r="A5879" s="5" t="s">
        <v>6506</v>
      </c>
      <c r="B5879" t="s">
        <v>11896</v>
      </c>
      <c r="C5879" t="str">
        <f>IFERROR(VLOOKUP(ILACLISTE[[#This Row],[NAME]],Table5[#All],2,0),"")</f>
        <v/>
      </c>
    </row>
    <row r="5880" spans="1:3" x14ac:dyDescent="0.3">
      <c r="A5880" s="5" t="s">
        <v>6507</v>
      </c>
      <c r="B5880" t="s">
        <v>11897</v>
      </c>
      <c r="C5880" t="str">
        <f>IFERROR(VLOOKUP(ILACLISTE[[#This Row],[NAME]],Table5[#All],2,0),"")</f>
        <v/>
      </c>
    </row>
    <row r="5881" spans="1:3" x14ac:dyDescent="0.3">
      <c r="A5881" s="5" t="s">
        <v>6508</v>
      </c>
      <c r="B5881" t="s">
        <v>11898</v>
      </c>
      <c r="C5881" t="str">
        <f>IFERROR(VLOOKUP(ILACLISTE[[#This Row],[NAME]],Table5[#All],2,0),"")</f>
        <v/>
      </c>
    </row>
    <row r="5882" spans="1:3" x14ac:dyDescent="0.3">
      <c r="A5882" s="5" t="s">
        <v>6509</v>
      </c>
      <c r="B5882" t="s">
        <v>11899</v>
      </c>
      <c r="C5882" t="str">
        <f>IFERROR(VLOOKUP(ILACLISTE[[#This Row],[NAME]],Table5[#All],2,0),"")</f>
        <v/>
      </c>
    </row>
    <row r="5883" spans="1:3" x14ac:dyDescent="0.3">
      <c r="A5883" s="5" t="s">
        <v>6510</v>
      </c>
      <c r="B5883" t="s">
        <v>11900</v>
      </c>
      <c r="C5883" t="str">
        <f>IFERROR(VLOOKUP(ILACLISTE[[#This Row],[NAME]],Table5[#All],2,0),"")</f>
        <v/>
      </c>
    </row>
    <row r="5884" spans="1:3" x14ac:dyDescent="0.3">
      <c r="A5884" s="5" t="s">
        <v>6511</v>
      </c>
      <c r="B5884" t="s">
        <v>11901</v>
      </c>
      <c r="C5884" t="str">
        <f>IFERROR(VLOOKUP(ILACLISTE[[#This Row],[NAME]],Table5[#All],2,0),"")</f>
        <v/>
      </c>
    </row>
    <row r="5885" spans="1:3" x14ac:dyDescent="0.3">
      <c r="A5885" s="5" t="s">
        <v>6512</v>
      </c>
      <c r="B5885" t="s">
        <v>11902</v>
      </c>
      <c r="C5885" t="str">
        <f>IFERROR(VLOOKUP(ILACLISTE[[#This Row],[NAME]],Table5[#All],2,0),"")</f>
        <v/>
      </c>
    </row>
    <row r="5886" spans="1:3" x14ac:dyDescent="0.3">
      <c r="A5886" s="5" t="s">
        <v>6513</v>
      </c>
      <c r="B5886" t="s">
        <v>11903</v>
      </c>
      <c r="C5886" t="str">
        <f>IFERROR(VLOOKUP(ILACLISTE[[#This Row],[NAME]],Table5[#All],2,0),"")</f>
        <v/>
      </c>
    </row>
    <row r="5887" spans="1:3" x14ac:dyDescent="0.3">
      <c r="A5887" s="5" t="s">
        <v>6514</v>
      </c>
      <c r="B5887" t="s">
        <v>11904</v>
      </c>
      <c r="C5887" t="str">
        <f>IFERROR(VLOOKUP(ILACLISTE[[#This Row],[NAME]],Table5[#All],2,0),"")</f>
        <v/>
      </c>
    </row>
    <row r="5888" spans="1:3" x14ac:dyDescent="0.3">
      <c r="A5888" s="5" t="s">
        <v>6515</v>
      </c>
      <c r="B5888" t="s">
        <v>11905</v>
      </c>
      <c r="C5888" t="str">
        <f>IFERROR(VLOOKUP(ILACLISTE[[#This Row],[NAME]],Table5[#All],2,0),"")</f>
        <v/>
      </c>
    </row>
    <row r="5889" spans="1:3" x14ac:dyDescent="0.3">
      <c r="A5889" s="5" t="s">
        <v>6516</v>
      </c>
      <c r="B5889" t="s">
        <v>11906</v>
      </c>
      <c r="C5889" t="str">
        <f>IFERROR(VLOOKUP(ILACLISTE[[#This Row],[NAME]],Table5[#All],2,0),"")</f>
        <v/>
      </c>
    </row>
    <row r="5890" spans="1:3" x14ac:dyDescent="0.3">
      <c r="A5890" s="5" t="s">
        <v>6517</v>
      </c>
      <c r="B5890" t="s">
        <v>11907</v>
      </c>
      <c r="C5890" t="str">
        <f>IFERROR(VLOOKUP(ILACLISTE[[#This Row],[NAME]],Table5[#All],2,0),"")</f>
        <v/>
      </c>
    </row>
    <row r="5891" spans="1:3" x14ac:dyDescent="0.3">
      <c r="A5891" s="5" t="s">
        <v>6518</v>
      </c>
      <c r="B5891" t="s">
        <v>11908</v>
      </c>
      <c r="C5891" t="str">
        <f>IFERROR(VLOOKUP(ILACLISTE[[#This Row],[NAME]],Table5[#All],2,0),"")</f>
        <v/>
      </c>
    </row>
    <row r="5892" spans="1:3" x14ac:dyDescent="0.3">
      <c r="A5892" s="5" t="s">
        <v>6519</v>
      </c>
      <c r="B5892" t="s">
        <v>11909</v>
      </c>
      <c r="C5892" t="str">
        <f>IFERROR(VLOOKUP(ILACLISTE[[#This Row],[NAME]],Table5[#All],2,0),"")</f>
        <v/>
      </c>
    </row>
    <row r="5893" spans="1:3" x14ac:dyDescent="0.3">
      <c r="A5893" s="5" t="s">
        <v>6520</v>
      </c>
      <c r="B5893" t="s">
        <v>11910</v>
      </c>
      <c r="C5893" t="str">
        <f>IFERROR(VLOOKUP(ILACLISTE[[#This Row],[NAME]],Table5[#All],2,0),"")</f>
        <v/>
      </c>
    </row>
    <row r="5894" spans="1:3" x14ac:dyDescent="0.3">
      <c r="A5894" s="5" t="s">
        <v>6521</v>
      </c>
      <c r="B5894" t="s">
        <v>11911</v>
      </c>
      <c r="C5894" t="str">
        <f>IFERROR(VLOOKUP(ILACLISTE[[#This Row],[NAME]],Table5[#All],2,0),"")</f>
        <v/>
      </c>
    </row>
    <row r="5895" spans="1:3" x14ac:dyDescent="0.3">
      <c r="A5895" s="5" t="s">
        <v>6522</v>
      </c>
      <c r="B5895" t="s">
        <v>11912</v>
      </c>
      <c r="C5895" t="str">
        <f>IFERROR(VLOOKUP(ILACLISTE[[#This Row],[NAME]],Table5[#All],2,0),"")</f>
        <v/>
      </c>
    </row>
    <row r="5896" spans="1:3" x14ac:dyDescent="0.3">
      <c r="A5896" s="5" t="s">
        <v>6523</v>
      </c>
      <c r="B5896" t="s">
        <v>11913</v>
      </c>
      <c r="C5896" t="str">
        <f>IFERROR(VLOOKUP(ILACLISTE[[#This Row],[NAME]],Table5[#All],2,0),"")</f>
        <v/>
      </c>
    </row>
    <row r="5897" spans="1:3" x14ac:dyDescent="0.3">
      <c r="A5897" s="5" t="s">
        <v>6524</v>
      </c>
      <c r="B5897" t="s">
        <v>11914</v>
      </c>
      <c r="C5897" t="str">
        <f>IFERROR(VLOOKUP(ILACLISTE[[#This Row],[NAME]],Table5[#All],2,0),"")</f>
        <v/>
      </c>
    </row>
    <row r="5898" spans="1:3" x14ac:dyDescent="0.3">
      <c r="A5898" s="5" t="s">
        <v>6525</v>
      </c>
      <c r="B5898" t="s">
        <v>11915</v>
      </c>
      <c r="C5898" t="str">
        <f>IFERROR(VLOOKUP(ILACLISTE[[#This Row],[NAME]],Table5[#All],2,0),"")</f>
        <v/>
      </c>
    </row>
    <row r="5899" spans="1:3" x14ac:dyDescent="0.3">
      <c r="A5899" s="5" t="s">
        <v>6526</v>
      </c>
      <c r="B5899" t="s">
        <v>11916</v>
      </c>
      <c r="C5899" t="str">
        <f>IFERROR(VLOOKUP(ILACLISTE[[#This Row],[NAME]],Table5[#All],2,0),"")</f>
        <v/>
      </c>
    </row>
    <row r="5900" spans="1:3" x14ac:dyDescent="0.3">
      <c r="A5900" s="5" t="s">
        <v>6527</v>
      </c>
      <c r="B5900" t="s">
        <v>11917</v>
      </c>
      <c r="C5900" t="str">
        <f>IFERROR(VLOOKUP(ILACLISTE[[#This Row],[NAME]],Table5[#All],2,0),"")</f>
        <v/>
      </c>
    </row>
    <row r="5901" spans="1:3" x14ac:dyDescent="0.3">
      <c r="A5901" s="5" t="s">
        <v>6528</v>
      </c>
      <c r="B5901" t="s">
        <v>11918</v>
      </c>
      <c r="C5901" t="str">
        <f>IFERROR(VLOOKUP(ILACLISTE[[#This Row],[NAME]],Table5[#All],2,0),"")</f>
        <v/>
      </c>
    </row>
    <row r="5902" spans="1:3" x14ac:dyDescent="0.3">
      <c r="A5902" s="5" t="s">
        <v>6529</v>
      </c>
      <c r="B5902" t="s">
        <v>11919</v>
      </c>
      <c r="C5902" t="str">
        <f>IFERROR(VLOOKUP(ILACLISTE[[#This Row],[NAME]],Table5[#All],2,0),"")</f>
        <v/>
      </c>
    </row>
    <row r="5903" spans="1:3" x14ac:dyDescent="0.3">
      <c r="A5903" s="5" t="s">
        <v>6530</v>
      </c>
      <c r="B5903" t="s">
        <v>11920</v>
      </c>
      <c r="C5903" t="str">
        <f>IFERROR(VLOOKUP(ILACLISTE[[#This Row],[NAME]],Table5[#All],2,0),"")</f>
        <v/>
      </c>
    </row>
    <row r="5904" spans="1:3" x14ac:dyDescent="0.3">
      <c r="A5904" s="5" t="s">
        <v>6531</v>
      </c>
      <c r="B5904" t="s">
        <v>11921</v>
      </c>
      <c r="C5904" t="str">
        <f>IFERROR(VLOOKUP(ILACLISTE[[#This Row],[NAME]],Table5[#All],2,0),"")</f>
        <v/>
      </c>
    </row>
    <row r="5905" spans="1:3" x14ac:dyDescent="0.3">
      <c r="A5905" s="5" t="s">
        <v>6532</v>
      </c>
      <c r="B5905" t="s">
        <v>11922</v>
      </c>
      <c r="C5905" t="str">
        <f>IFERROR(VLOOKUP(ILACLISTE[[#This Row],[NAME]],Table5[#All],2,0),"")</f>
        <v/>
      </c>
    </row>
    <row r="5906" spans="1:3" x14ac:dyDescent="0.3">
      <c r="A5906" s="5" t="s">
        <v>6533</v>
      </c>
      <c r="B5906" t="s">
        <v>11923</v>
      </c>
      <c r="C5906" t="str">
        <f>IFERROR(VLOOKUP(ILACLISTE[[#This Row],[NAME]],Table5[#All],2,0),"")</f>
        <v/>
      </c>
    </row>
    <row r="5907" spans="1:3" x14ac:dyDescent="0.3">
      <c r="A5907" s="5" t="s">
        <v>6534</v>
      </c>
      <c r="B5907" t="s">
        <v>11924</v>
      </c>
      <c r="C5907" t="str">
        <f>IFERROR(VLOOKUP(ILACLISTE[[#This Row],[NAME]],Table5[#All],2,0),"")</f>
        <v/>
      </c>
    </row>
    <row r="5908" spans="1:3" x14ac:dyDescent="0.3">
      <c r="A5908" s="5" t="s">
        <v>6535</v>
      </c>
      <c r="B5908" t="s">
        <v>11925</v>
      </c>
      <c r="C5908" t="str">
        <f>IFERROR(VLOOKUP(ILACLISTE[[#This Row],[NAME]],Table5[#All],2,0),"")</f>
        <v/>
      </c>
    </row>
    <row r="5909" spans="1:3" x14ac:dyDescent="0.3">
      <c r="A5909" s="5" t="s">
        <v>6536</v>
      </c>
      <c r="B5909" t="s">
        <v>11926</v>
      </c>
      <c r="C5909" t="str">
        <f>IFERROR(VLOOKUP(ILACLISTE[[#This Row],[NAME]],Table5[#All],2,0),"")</f>
        <v/>
      </c>
    </row>
    <row r="5910" spans="1:3" x14ac:dyDescent="0.3">
      <c r="A5910" s="5" t="s">
        <v>6537</v>
      </c>
      <c r="B5910" t="s">
        <v>11927</v>
      </c>
      <c r="C5910" t="str">
        <f>IFERROR(VLOOKUP(ILACLISTE[[#This Row],[NAME]],Table5[#All],2,0),"")</f>
        <v/>
      </c>
    </row>
    <row r="5911" spans="1:3" x14ac:dyDescent="0.3">
      <c r="A5911" s="5" t="s">
        <v>6538</v>
      </c>
      <c r="B5911" t="s">
        <v>11928</v>
      </c>
      <c r="C5911" t="str">
        <f>IFERROR(VLOOKUP(ILACLISTE[[#This Row],[NAME]],Table5[#All],2,0),"")</f>
        <v/>
      </c>
    </row>
    <row r="5912" spans="1:3" x14ac:dyDescent="0.3">
      <c r="A5912" s="5" t="s">
        <v>6539</v>
      </c>
      <c r="B5912" t="s">
        <v>11929</v>
      </c>
      <c r="C5912" t="str">
        <f>IFERROR(VLOOKUP(ILACLISTE[[#This Row],[NAME]],Table5[#All],2,0),"")</f>
        <v/>
      </c>
    </row>
    <row r="5913" spans="1:3" x14ac:dyDescent="0.3">
      <c r="A5913" s="5" t="s">
        <v>6540</v>
      </c>
      <c r="B5913" t="s">
        <v>11930</v>
      </c>
      <c r="C5913" t="str">
        <f>IFERROR(VLOOKUP(ILACLISTE[[#This Row],[NAME]],Table5[#All],2,0),"")</f>
        <v/>
      </c>
    </row>
    <row r="5914" spans="1:3" x14ac:dyDescent="0.3">
      <c r="A5914" s="5" t="s">
        <v>6541</v>
      </c>
      <c r="B5914" t="s">
        <v>11931</v>
      </c>
      <c r="C5914" t="str">
        <f>IFERROR(VLOOKUP(ILACLISTE[[#This Row],[NAME]],Table5[#All],2,0),"")</f>
        <v/>
      </c>
    </row>
    <row r="5915" spans="1:3" x14ac:dyDescent="0.3">
      <c r="A5915" s="5" t="s">
        <v>6542</v>
      </c>
      <c r="B5915" t="s">
        <v>11932</v>
      </c>
      <c r="C5915" t="str">
        <f>IFERROR(VLOOKUP(ILACLISTE[[#This Row],[NAME]],Table5[#All],2,0),"")</f>
        <v/>
      </c>
    </row>
    <row r="5916" spans="1:3" x14ac:dyDescent="0.3">
      <c r="A5916" s="5" t="s">
        <v>6543</v>
      </c>
      <c r="B5916" t="s">
        <v>11933</v>
      </c>
      <c r="C5916" t="str">
        <f>IFERROR(VLOOKUP(ILACLISTE[[#This Row],[NAME]],Table5[#All],2,0),"")</f>
        <v/>
      </c>
    </row>
    <row r="5917" spans="1:3" x14ac:dyDescent="0.3">
      <c r="A5917" s="5" t="s">
        <v>6544</v>
      </c>
      <c r="B5917" t="s">
        <v>11934</v>
      </c>
      <c r="C5917" t="str">
        <f>IFERROR(VLOOKUP(ILACLISTE[[#This Row],[NAME]],Table5[#All],2,0),"")</f>
        <v/>
      </c>
    </row>
    <row r="5918" spans="1:3" x14ac:dyDescent="0.3">
      <c r="A5918" s="5" t="s">
        <v>6545</v>
      </c>
      <c r="B5918" t="s">
        <v>11935</v>
      </c>
      <c r="C5918" t="str">
        <f>IFERROR(VLOOKUP(ILACLISTE[[#This Row],[NAME]],Table5[#All],2,0),"")</f>
        <v/>
      </c>
    </row>
    <row r="5919" spans="1:3" x14ac:dyDescent="0.3">
      <c r="A5919" s="5" t="s">
        <v>6546</v>
      </c>
      <c r="B5919" t="s">
        <v>11936</v>
      </c>
      <c r="C5919" t="str">
        <f>IFERROR(VLOOKUP(ILACLISTE[[#This Row],[NAME]],Table5[#All],2,0),"")</f>
        <v/>
      </c>
    </row>
    <row r="5920" spans="1:3" x14ac:dyDescent="0.3">
      <c r="A5920" s="5" t="s">
        <v>6547</v>
      </c>
      <c r="B5920" t="s">
        <v>11937</v>
      </c>
      <c r="C5920" t="str">
        <f>IFERROR(VLOOKUP(ILACLISTE[[#This Row],[NAME]],Table5[#All],2,0),"")</f>
        <v/>
      </c>
    </row>
    <row r="5921" spans="1:3" x14ac:dyDescent="0.3">
      <c r="A5921" s="5" t="s">
        <v>6548</v>
      </c>
      <c r="B5921" t="s">
        <v>11938</v>
      </c>
      <c r="C5921" t="str">
        <f>IFERROR(VLOOKUP(ILACLISTE[[#This Row],[NAME]],Table5[#All],2,0),"")</f>
        <v/>
      </c>
    </row>
    <row r="5922" spans="1:3" x14ac:dyDescent="0.3">
      <c r="A5922" s="5" t="s">
        <v>6549</v>
      </c>
      <c r="B5922" t="s">
        <v>11939</v>
      </c>
      <c r="C5922" t="str">
        <f>IFERROR(VLOOKUP(ILACLISTE[[#This Row],[NAME]],Table5[#All],2,0),"")</f>
        <v/>
      </c>
    </row>
    <row r="5923" spans="1:3" x14ac:dyDescent="0.3">
      <c r="A5923" s="5" t="s">
        <v>6550</v>
      </c>
      <c r="B5923" t="s">
        <v>11940</v>
      </c>
      <c r="C5923" t="str">
        <f>IFERROR(VLOOKUP(ILACLISTE[[#This Row],[NAME]],Table5[#All],2,0),"")</f>
        <v/>
      </c>
    </row>
    <row r="5924" spans="1:3" x14ac:dyDescent="0.3">
      <c r="A5924" s="5" t="s">
        <v>6551</v>
      </c>
      <c r="B5924" t="s">
        <v>687</v>
      </c>
      <c r="C5924" t="str">
        <f>IFERROR(VLOOKUP(ILACLISTE[[#This Row],[NAME]],Table5[#All],2,0),"")</f>
        <v/>
      </c>
    </row>
    <row r="5925" spans="1:3" x14ac:dyDescent="0.3">
      <c r="A5925" s="5" t="s">
        <v>6552</v>
      </c>
      <c r="B5925" t="s">
        <v>11941</v>
      </c>
      <c r="C5925" t="str">
        <f>IFERROR(VLOOKUP(ILACLISTE[[#This Row],[NAME]],Table5[#All],2,0),"")</f>
        <v/>
      </c>
    </row>
    <row r="5926" spans="1:3" x14ac:dyDescent="0.3">
      <c r="A5926" s="5" t="s">
        <v>6553</v>
      </c>
      <c r="B5926" t="s">
        <v>11942</v>
      </c>
      <c r="C5926" t="str">
        <f>IFERROR(VLOOKUP(ILACLISTE[[#This Row],[NAME]],Table5[#All],2,0),"")</f>
        <v/>
      </c>
    </row>
    <row r="5927" spans="1:3" x14ac:dyDescent="0.3">
      <c r="A5927" s="5" t="s">
        <v>6554</v>
      </c>
      <c r="B5927" t="s">
        <v>11943</v>
      </c>
      <c r="C5927" t="str">
        <f>IFERROR(VLOOKUP(ILACLISTE[[#This Row],[NAME]],Table5[#All],2,0),"")</f>
        <v/>
      </c>
    </row>
    <row r="5928" spans="1:3" x14ac:dyDescent="0.3">
      <c r="A5928" s="5" t="s">
        <v>6555</v>
      </c>
      <c r="B5928" t="s">
        <v>11944</v>
      </c>
      <c r="C5928" t="str">
        <f>IFERROR(VLOOKUP(ILACLISTE[[#This Row],[NAME]],Table5[#All],2,0),"")</f>
        <v/>
      </c>
    </row>
    <row r="5929" spans="1:3" x14ac:dyDescent="0.3">
      <c r="A5929" s="5" t="s">
        <v>6556</v>
      </c>
      <c r="B5929" t="s">
        <v>11945</v>
      </c>
      <c r="C5929" t="str">
        <f>IFERROR(VLOOKUP(ILACLISTE[[#This Row],[NAME]],Table5[#All],2,0),"")</f>
        <v/>
      </c>
    </row>
    <row r="5930" spans="1:3" x14ac:dyDescent="0.3">
      <c r="A5930" s="5" t="s">
        <v>6557</v>
      </c>
      <c r="B5930" t="s">
        <v>688</v>
      </c>
      <c r="C5930" t="str">
        <f>IFERROR(VLOOKUP(ILACLISTE[[#This Row],[NAME]],Table5[#All],2,0),"")</f>
        <v/>
      </c>
    </row>
    <row r="5931" spans="1:3" x14ac:dyDescent="0.3">
      <c r="A5931" s="5" t="s">
        <v>6558</v>
      </c>
      <c r="B5931" t="s">
        <v>11946</v>
      </c>
      <c r="C5931" t="str">
        <f>IFERROR(VLOOKUP(ILACLISTE[[#This Row],[NAME]],Table5[#All],2,0),"")</f>
        <v/>
      </c>
    </row>
    <row r="5932" spans="1:3" x14ac:dyDescent="0.3">
      <c r="A5932" s="5" t="s">
        <v>6559</v>
      </c>
      <c r="B5932" t="s">
        <v>11947</v>
      </c>
      <c r="C5932" t="str">
        <f>IFERROR(VLOOKUP(ILACLISTE[[#This Row],[NAME]],Table5[#All],2,0),"")</f>
        <v/>
      </c>
    </row>
    <row r="5933" spans="1:3" x14ac:dyDescent="0.3">
      <c r="A5933" s="5" t="s">
        <v>6560</v>
      </c>
      <c r="B5933" t="s">
        <v>11948</v>
      </c>
      <c r="C5933" t="str">
        <f>IFERROR(VLOOKUP(ILACLISTE[[#This Row],[NAME]],Table5[#All],2,0),"")</f>
        <v/>
      </c>
    </row>
    <row r="5934" spans="1:3" x14ac:dyDescent="0.3">
      <c r="A5934" s="5" t="s">
        <v>6561</v>
      </c>
      <c r="B5934" t="s">
        <v>11949</v>
      </c>
      <c r="C5934" t="str">
        <f>IFERROR(VLOOKUP(ILACLISTE[[#This Row],[NAME]],Table5[#All],2,0),"")</f>
        <v/>
      </c>
    </row>
    <row r="5935" spans="1:3" x14ac:dyDescent="0.3">
      <c r="A5935" s="5" t="s">
        <v>6562</v>
      </c>
      <c r="B5935" t="s">
        <v>11950</v>
      </c>
      <c r="C5935" t="str">
        <f>IFERROR(VLOOKUP(ILACLISTE[[#This Row],[NAME]],Table5[#All],2,0),"")</f>
        <v/>
      </c>
    </row>
    <row r="5936" spans="1:3" x14ac:dyDescent="0.3">
      <c r="A5936" s="5" t="s">
        <v>6563</v>
      </c>
      <c r="B5936" t="s">
        <v>11951</v>
      </c>
      <c r="C5936" t="str">
        <f>IFERROR(VLOOKUP(ILACLISTE[[#This Row],[NAME]],Table5[#All],2,0),"")</f>
        <v/>
      </c>
    </row>
    <row r="5937" spans="1:3" x14ac:dyDescent="0.3">
      <c r="A5937" s="5" t="s">
        <v>6564</v>
      </c>
      <c r="B5937" t="s">
        <v>11952</v>
      </c>
      <c r="C5937" t="str">
        <f>IFERROR(VLOOKUP(ILACLISTE[[#This Row],[NAME]],Table5[#All],2,0),"")</f>
        <v/>
      </c>
    </row>
    <row r="5938" spans="1:3" x14ac:dyDescent="0.3">
      <c r="A5938" s="5" t="s">
        <v>6565</v>
      </c>
      <c r="B5938" t="s">
        <v>11953</v>
      </c>
      <c r="C5938" t="str">
        <f>IFERROR(VLOOKUP(ILACLISTE[[#This Row],[NAME]],Table5[#All],2,0),"")</f>
        <v/>
      </c>
    </row>
    <row r="5939" spans="1:3" x14ac:dyDescent="0.3">
      <c r="A5939" s="5" t="s">
        <v>6566</v>
      </c>
      <c r="B5939" t="s">
        <v>689</v>
      </c>
      <c r="C5939" t="str">
        <f>IFERROR(VLOOKUP(ILACLISTE[[#This Row],[NAME]],Table5[#All],2,0),"")</f>
        <v/>
      </c>
    </row>
    <row r="5940" spans="1:3" x14ac:dyDescent="0.3">
      <c r="A5940" s="5" t="s">
        <v>6567</v>
      </c>
      <c r="B5940" t="s">
        <v>11954</v>
      </c>
      <c r="C5940" t="str">
        <f>IFERROR(VLOOKUP(ILACLISTE[[#This Row],[NAME]],Table5[#All],2,0),"")</f>
        <v/>
      </c>
    </row>
    <row r="5941" spans="1:3" x14ac:dyDescent="0.3">
      <c r="A5941" s="5" t="s">
        <v>6568</v>
      </c>
      <c r="B5941" t="s">
        <v>11955</v>
      </c>
      <c r="C5941" t="str">
        <f>IFERROR(VLOOKUP(ILACLISTE[[#This Row],[NAME]],Table5[#All],2,0),"")</f>
        <v/>
      </c>
    </row>
    <row r="5942" spans="1:3" x14ac:dyDescent="0.3">
      <c r="A5942" s="5" t="s">
        <v>6569</v>
      </c>
      <c r="B5942" t="s">
        <v>11956</v>
      </c>
      <c r="C5942" t="str">
        <f>IFERROR(VLOOKUP(ILACLISTE[[#This Row],[NAME]],Table5[#All],2,0),"")</f>
        <v/>
      </c>
    </row>
    <row r="5943" spans="1:3" x14ac:dyDescent="0.3">
      <c r="A5943" s="5" t="s">
        <v>6570</v>
      </c>
      <c r="B5943" t="s">
        <v>11957</v>
      </c>
      <c r="C5943" t="str">
        <f>IFERROR(VLOOKUP(ILACLISTE[[#This Row],[NAME]],Table5[#All],2,0),"")</f>
        <v/>
      </c>
    </row>
    <row r="5944" spans="1:3" x14ac:dyDescent="0.3">
      <c r="A5944" s="5" t="s">
        <v>6571</v>
      </c>
      <c r="B5944" t="s">
        <v>11958</v>
      </c>
      <c r="C5944" t="str">
        <f>IFERROR(VLOOKUP(ILACLISTE[[#This Row],[NAME]],Table5[#All],2,0),"")</f>
        <v/>
      </c>
    </row>
    <row r="5945" spans="1:3" x14ac:dyDescent="0.3">
      <c r="A5945" s="5" t="s">
        <v>6572</v>
      </c>
      <c r="B5945" t="s">
        <v>11959</v>
      </c>
      <c r="C5945" t="str">
        <f>IFERROR(VLOOKUP(ILACLISTE[[#This Row],[NAME]],Table5[#All],2,0),"")</f>
        <v/>
      </c>
    </row>
    <row r="5946" spans="1:3" ht="20.399999999999999" x14ac:dyDescent="0.3">
      <c r="A5946" s="6" t="s">
        <v>6573</v>
      </c>
      <c r="B5946" t="s">
        <v>11960</v>
      </c>
      <c r="C5946" t="str">
        <f>IFERROR(VLOOKUP(ILACLISTE[[#This Row],[NAME]],Table5[#All],2,0),"")</f>
        <v/>
      </c>
    </row>
    <row r="5947" spans="1:3" x14ac:dyDescent="0.3">
      <c r="A5947" s="5" t="s">
        <v>6574</v>
      </c>
      <c r="B5947" t="s">
        <v>11961</v>
      </c>
      <c r="C5947" t="str">
        <f>IFERROR(VLOOKUP(ILACLISTE[[#This Row],[NAME]],Table5[#All],2,0),"")</f>
        <v/>
      </c>
    </row>
    <row r="5948" spans="1:3" x14ac:dyDescent="0.3">
      <c r="A5948" s="5" t="s">
        <v>6575</v>
      </c>
      <c r="B5948" t="s">
        <v>11962</v>
      </c>
      <c r="C5948" t="str">
        <f>IFERROR(VLOOKUP(ILACLISTE[[#This Row],[NAME]],Table5[#All],2,0),"")</f>
        <v/>
      </c>
    </row>
    <row r="5949" spans="1:3" x14ac:dyDescent="0.3">
      <c r="A5949" s="5" t="s">
        <v>6576</v>
      </c>
      <c r="B5949" t="s">
        <v>11963</v>
      </c>
      <c r="C5949" t="str">
        <f>IFERROR(VLOOKUP(ILACLISTE[[#This Row],[NAME]],Table5[#All],2,0),"")</f>
        <v/>
      </c>
    </row>
    <row r="5950" spans="1:3" x14ac:dyDescent="0.3">
      <c r="A5950" s="5" t="s">
        <v>6577</v>
      </c>
      <c r="B5950" t="s">
        <v>11964</v>
      </c>
      <c r="C5950" t="str">
        <f>IFERROR(VLOOKUP(ILACLISTE[[#This Row],[NAME]],Table5[#All],2,0),"")</f>
        <v/>
      </c>
    </row>
    <row r="5951" spans="1:3" x14ac:dyDescent="0.3">
      <c r="A5951" s="5" t="s">
        <v>6578</v>
      </c>
      <c r="B5951" t="s">
        <v>11965</v>
      </c>
      <c r="C5951" t="str">
        <f>IFERROR(VLOOKUP(ILACLISTE[[#This Row],[NAME]],Table5[#All],2,0),"")</f>
        <v/>
      </c>
    </row>
    <row r="5952" spans="1:3" x14ac:dyDescent="0.3">
      <c r="A5952" s="5" t="s">
        <v>6579</v>
      </c>
      <c r="B5952" t="s">
        <v>11966</v>
      </c>
      <c r="C5952" t="str">
        <f>IFERROR(VLOOKUP(ILACLISTE[[#This Row],[NAME]],Table5[#All],2,0),"")</f>
        <v/>
      </c>
    </row>
    <row r="5953" spans="1:3" x14ac:dyDescent="0.3">
      <c r="A5953" s="5" t="s">
        <v>6580</v>
      </c>
      <c r="B5953" t="s">
        <v>11967</v>
      </c>
      <c r="C5953" t="str">
        <f>IFERROR(VLOOKUP(ILACLISTE[[#This Row],[NAME]],Table5[#All],2,0),"")</f>
        <v/>
      </c>
    </row>
    <row r="5954" spans="1:3" x14ac:dyDescent="0.3">
      <c r="A5954" s="5" t="s">
        <v>6581</v>
      </c>
      <c r="B5954" t="s">
        <v>11968</v>
      </c>
      <c r="C5954" t="str">
        <f>IFERROR(VLOOKUP(ILACLISTE[[#This Row],[NAME]],Table5[#All],2,0),"")</f>
        <v/>
      </c>
    </row>
    <row r="5955" spans="1:3" x14ac:dyDescent="0.3">
      <c r="A5955" s="5" t="s">
        <v>6582</v>
      </c>
      <c r="B5955" t="s">
        <v>11969</v>
      </c>
      <c r="C5955" t="str">
        <f>IFERROR(VLOOKUP(ILACLISTE[[#This Row],[NAME]],Table5[#All],2,0),"")</f>
        <v/>
      </c>
    </row>
    <row r="5956" spans="1:3" x14ac:dyDescent="0.3">
      <c r="A5956" s="5" t="s">
        <v>6583</v>
      </c>
      <c r="B5956" t="s">
        <v>11970</v>
      </c>
      <c r="C5956" t="str">
        <f>IFERROR(VLOOKUP(ILACLISTE[[#This Row],[NAME]],Table5[#All],2,0),"")</f>
        <v/>
      </c>
    </row>
    <row r="5957" spans="1:3" x14ac:dyDescent="0.3">
      <c r="A5957" s="5" t="s">
        <v>6584</v>
      </c>
      <c r="B5957" t="s">
        <v>11971</v>
      </c>
      <c r="C5957" t="str">
        <f>IFERROR(VLOOKUP(ILACLISTE[[#This Row],[NAME]],Table5[#All],2,0),"")</f>
        <v/>
      </c>
    </row>
    <row r="5958" spans="1:3" x14ac:dyDescent="0.3">
      <c r="A5958" s="5" t="s">
        <v>6585</v>
      </c>
      <c r="B5958" t="s">
        <v>11972</v>
      </c>
      <c r="C5958" t="str">
        <f>IFERROR(VLOOKUP(ILACLISTE[[#This Row],[NAME]],Table5[#All],2,0),"")</f>
        <v/>
      </c>
    </row>
    <row r="5959" spans="1:3" x14ac:dyDescent="0.3">
      <c r="A5959" s="5" t="s">
        <v>6586</v>
      </c>
      <c r="B5959" t="s">
        <v>11973</v>
      </c>
      <c r="C5959" t="str">
        <f>IFERROR(VLOOKUP(ILACLISTE[[#This Row],[NAME]],Table5[#All],2,0),"")</f>
        <v/>
      </c>
    </row>
    <row r="5960" spans="1:3" x14ac:dyDescent="0.3">
      <c r="A5960" s="5" t="s">
        <v>6587</v>
      </c>
      <c r="B5960" t="s">
        <v>11974</v>
      </c>
      <c r="C5960" t="str">
        <f>IFERROR(VLOOKUP(ILACLISTE[[#This Row],[NAME]],Table5[#All],2,0),"")</f>
        <v/>
      </c>
    </row>
    <row r="5961" spans="1:3" x14ac:dyDescent="0.3">
      <c r="A5961" s="5" t="s">
        <v>6588</v>
      </c>
      <c r="B5961" t="s">
        <v>11975</v>
      </c>
      <c r="C5961" t="str">
        <f>IFERROR(VLOOKUP(ILACLISTE[[#This Row],[NAME]],Table5[#All],2,0),"")</f>
        <v/>
      </c>
    </row>
    <row r="5962" spans="1:3" x14ac:dyDescent="0.3">
      <c r="A5962" s="5" t="s">
        <v>6589</v>
      </c>
      <c r="B5962" t="s">
        <v>11976</v>
      </c>
      <c r="C5962" t="str">
        <f>IFERROR(VLOOKUP(ILACLISTE[[#This Row],[NAME]],Table5[#All],2,0),"")</f>
        <v/>
      </c>
    </row>
    <row r="5963" spans="1:3" x14ac:dyDescent="0.3">
      <c r="A5963" s="5" t="s">
        <v>6590</v>
      </c>
      <c r="B5963" t="s">
        <v>11977</v>
      </c>
      <c r="C5963" t="str">
        <f>IFERROR(VLOOKUP(ILACLISTE[[#This Row],[NAME]],Table5[#All],2,0),"")</f>
        <v/>
      </c>
    </row>
    <row r="5964" spans="1:3" x14ac:dyDescent="0.3">
      <c r="A5964" s="5" t="s">
        <v>6591</v>
      </c>
      <c r="B5964" t="s">
        <v>11978</v>
      </c>
      <c r="C5964" t="str">
        <f>IFERROR(VLOOKUP(ILACLISTE[[#This Row],[NAME]],Table5[#All],2,0),"")</f>
        <v/>
      </c>
    </row>
    <row r="5965" spans="1:3" x14ac:dyDescent="0.3">
      <c r="A5965" s="5" t="s">
        <v>6592</v>
      </c>
      <c r="B5965" t="s">
        <v>11979</v>
      </c>
      <c r="C5965" t="str">
        <f>IFERROR(VLOOKUP(ILACLISTE[[#This Row],[NAME]],Table5[#All],2,0),"")</f>
        <v/>
      </c>
    </row>
    <row r="5966" spans="1:3" ht="20.399999999999999" x14ac:dyDescent="0.3">
      <c r="A5966" s="7" t="s">
        <v>6593</v>
      </c>
      <c r="B5966" t="s">
        <v>11980</v>
      </c>
      <c r="C5966" t="str">
        <f>IFERROR(VLOOKUP(ILACLISTE[[#This Row],[NAME]],Table5[#All],2,0),"")</f>
        <v/>
      </c>
    </row>
    <row r="5967" spans="1:3" x14ac:dyDescent="0.3">
      <c r="A5967" s="5" t="s">
        <v>6594</v>
      </c>
      <c r="B5967" t="s">
        <v>11981</v>
      </c>
      <c r="C5967" t="str">
        <f>IFERROR(VLOOKUP(ILACLISTE[[#This Row],[NAME]],Table5[#All],2,0),"")</f>
        <v/>
      </c>
    </row>
    <row r="5968" spans="1:3" x14ac:dyDescent="0.3">
      <c r="A5968" s="5" t="s">
        <v>6595</v>
      </c>
      <c r="B5968" t="s">
        <v>11982</v>
      </c>
      <c r="C5968" t="str">
        <f>IFERROR(VLOOKUP(ILACLISTE[[#This Row],[NAME]],Table5[#All],2,0),"")</f>
        <v/>
      </c>
    </row>
    <row r="5969" spans="1:3" x14ac:dyDescent="0.3">
      <c r="A5969" s="5" t="s">
        <v>6596</v>
      </c>
      <c r="B5969" t="s">
        <v>11983</v>
      </c>
      <c r="C5969" t="str">
        <f>IFERROR(VLOOKUP(ILACLISTE[[#This Row],[NAME]],Table5[#All],2,0),"")</f>
        <v/>
      </c>
    </row>
    <row r="5970" spans="1:3" x14ac:dyDescent="0.3">
      <c r="A5970" s="5" t="s">
        <v>6597</v>
      </c>
      <c r="B5970" t="s">
        <v>11984</v>
      </c>
      <c r="C5970" t="str">
        <f>IFERROR(VLOOKUP(ILACLISTE[[#This Row],[NAME]],Table5[#All],2,0),"")</f>
        <v/>
      </c>
    </row>
    <row r="5971" spans="1:3" x14ac:dyDescent="0.3">
      <c r="A5971" s="5" t="s">
        <v>6598</v>
      </c>
      <c r="B5971" t="s">
        <v>11985</v>
      </c>
      <c r="C5971" t="str">
        <f>IFERROR(VLOOKUP(ILACLISTE[[#This Row],[NAME]],Table5[#All],2,0),"")</f>
        <v/>
      </c>
    </row>
    <row r="5972" spans="1:3" x14ac:dyDescent="0.3">
      <c r="A5972" s="5" t="s">
        <v>6599</v>
      </c>
      <c r="B5972" t="s">
        <v>11986</v>
      </c>
      <c r="C5972" t="str">
        <f>IFERROR(VLOOKUP(ILACLISTE[[#This Row],[NAME]],Table5[#All],2,0),"")</f>
        <v/>
      </c>
    </row>
    <row r="5973" spans="1:3" x14ac:dyDescent="0.3">
      <c r="A5973" s="5" t="s">
        <v>6600</v>
      </c>
      <c r="B5973" t="s">
        <v>11987</v>
      </c>
      <c r="C5973" t="str">
        <f>IFERROR(VLOOKUP(ILACLISTE[[#This Row],[NAME]],Table5[#All],2,0),"")</f>
        <v/>
      </c>
    </row>
    <row r="5974" spans="1:3" x14ac:dyDescent="0.3">
      <c r="A5974" s="5" t="s">
        <v>6601</v>
      </c>
      <c r="B5974" t="s">
        <v>11988</v>
      </c>
      <c r="C5974" t="str">
        <f>IFERROR(VLOOKUP(ILACLISTE[[#This Row],[NAME]],Table5[#All],2,0),"")</f>
        <v/>
      </c>
    </row>
    <row r="5975" spans="1:3" x14ac:dyDescent="0.3">
      <c r="A5975" s="5" t="s">
        <v>6602</v>
      </c>
      <c r="B5975" t="s">
        <v>11989</v>
      </c>
      <c r="C5975" t="str">
        <f>IFERROR(VLOOKUP(ILACLISTE[[#This Row],[NAME]],Table5[#All],2,0),"")</f>
        <v/>
      </c>
    </row>
    <row r="5976" spans="1:3" x14ac:dyDescent="0.3">
      <c r="A5976" s="5" t="s">
        <v>6603</v>
      </c>
      <c r="B5976" t="s">
        <v>11990</v>
      </c>
      <c r="C5976" t="str">
        <f>IFERROR(VLOOKUP(ILACLISTE[[#This Row],[NAME]],Table5[#All],2,0),"")</f>
        <v/>
      </c>
    </row>
    <row r="5977" spans="1:3" x14ac:dyDescent="0.3">
      <c r="A5977" s="5" t="s">
        <v>6604</v>
      </c>
      <c r="B5977" s="4" t="s">
        <v>11991</v>
      </c>
      <c r="C5977" t="str">
        <f>IFERROR(VLOOKUP(ILACLISTE[[#This Row],[NAME]],Table5[#All],2,0),"")</f>
        <v/>
      </c>
    </row>
    <row r="5978" spans="1:3" x14ac:dyDescent="0.3">
      <c r="A5978" s="5" t="s">
        <v>6605</v>
      </c>
      <c r="B5978" t="s">
        <v>11992</v>
      </c>
      <c r="C5978" t="str">
        <f>IFERROR(VLOOKUP(ILACLISTE[[#This Row],[NAME]],Table5[#All],2,0),"")</f>
        <v/>
      </c>
    </row>
    <row r="5979" spans="1:3" x14ac:dyDescent="0.3">
      <c r="A5979" s="5" t="s">
        <v>6606</v>
      </c>
      <c r="B5979" t="s">
        <v>11993</v>
      </c>
      <c r="C5979" t="str">
        <f>IFERROR(VLOOKUP(ILACLISTE[[#This Row],[NAME]],Table5[#All],2,0),"")</f>
        <v/>
      </c>
    </row>
    <row r="5980" spans="1:3" x14ac:dyDescent="0.3">
      <c r="A5980" s="5" t="s">
        <v>6607</v>
      </c>
      <c r="B5980" t="s">
        <v>690</v>
      </c>
      <c r="C5980" t="str">
        <f>IFERROR(VLOOKUP(ILACLISTE[[#This Row],[NAME]],Table5[#All],2,0),"")</f>
        <v/>
      </c>
    </row>
    <row r="5981" spans="1:3" x14ac:dyDescent="0.3">
      <c r="A5981" s="5" t="s">
        <v>6608</v>
      </c>
      <c r="B5981" t="s">
        <v>11994</v>
      </c>
      <c r="C5981" t="str">
        <f>IFERROR(VLOOKUP(ILACLISTE[[#This Row],[NAME]],Table5[#All],2,0),"")</f>
        <v/>
      </c>
    </row>
    <row r="5982" spans="1:3" x14ac:dyDescent="0.3">
      <c r="A5982" s="5" t="s">
        <v>6609</v>
      </c>
      <c r="B5982" t="s">
        <v>11995</v>
      </c>
      <c r="C5982" t="str">
        <f>IFERROR(VLOOKUP(ILACLISTE[[#This Row],[NAME]],Table5[#All],2,0),"")</f>
        <v/>
      </c>
    </row>
    <row r="5983" spans="1:3" x14ac:dyDescent="0.3">
      <c r="A5983" s="5" t="s">
        <v>6610</v>
      </c>
      <c r="B5983" t="s">
        <v>11996</v>
      </c>
      <c r="C5983" t="str">
        <f>IFERROR(VLOOKUP(ILACLISTE[[#This Row],[NAME]],Table5[#All],2,0),"")</f>
        <v/>
      </c>
    </row>
    <row r="5984" spans="1:3" x14ac:dyDescent="0.3">
      <c r="A5984" s="5" t="s">
        <v>6611</v>
      </c>
      <c r="B5984" t="s">
        <v>691</v>
      </c>
      <c r="C5984" t="str">
        <f>IFERROR(VLOOKUP(ILACLISTE[[#This Row],[NAME]],Table5[#All],2,0),"")</f>
        <v/>
      </c>
    </row>
    <row r="5985" spans="1:3" x14ac:dyDescent="0.3">
      <c r="A5985" s="5" t="s">
        <v>6612</v>
      </c>
      <c r="B5985" t="s">
        <v>11997</v>
      </c>
      <c r="C5985" t="str">
        <f>IFERROR(VLOOKUP(ILACLISTE[[#This Row],[NAME]],Table5[#All],2,0),"")</f>
        <v/>
      </c>
    </row>
    <row r="5986" spans="1:3" x14ac:dyDescent="0.3">
      <c r="A5986" s="5" t="s">
        <v>6613</v>
      </c>
      <c r="B5986" t="s">
        <v>11998</v>
      </c>
      <c r="C5986" t="str">
        <f>IFERROR(VLOOKUP(ILACLISTE[[#This Row],[NAME]],Table5[#All],2,0),"")</f>
        <v/>
      </c>
    </row>
    <row r="5987" spans="1:3" x14ac:dyDescent="0.3">
      <c r="A5987" s="5" t="s">
        <v>6614</v>
      </c>
      <c r="B5987" t="s">
        <v>11999</v>
      </c>
      <c r="C5987" t="str">
        <f>IFERROR(VLOOKUP(ILACLISTE[[#This Row],[NAME]],Table5[#All],2,0),"")</f>
        <v/>
      </c>
    </row>
    <row r="5988" spans="1:3" x14ac:dyDescent="0.3">
      <c r="A5988" s="5" t="s">
        <v>6615</v>
      </c>
      <c r="B5988" t="s">
        <v>12000</v>
      </c>
      <c r="C5988" t="str">
        <f>IFERROR(VLOOKUP(ILACLISTE[[#This Row],[NAME]],Table5[#All],2,0),"")</f>
        <v/>
      </c>
    </row>
    <row r="5989" spans="1:3" x14ac:dyDescent="0.3">
      <c r="A5989" s="5" t="s">
        <v>6616</v>
      </c>
      <c r="B5989" t="s">
        <v>12001</v>
      </c>
      <c r="C5989" t="str">
        <f>IFERROR(VLOOKUP(ILACLISTE[[#This Row],[NAME]],Table5[#All],2,0),"")</f>
        <v/>
      </c>
    </row>
    <row r="5990" spans="1:3" x14ac:dyDescent="0.3">
      <c r="A5990" s="9" t="s">
        <v>6617</v>
      </c>
      <c r="B5990" t="s">
        <v>12002</v>
      </c>
      <c r="C5990" s="2" t="str">
        <f>IFERROR(VLOOKUP(ILACLISTE[[#This Row],[NAME]],Table5[#All],2,0),"")</f>
        <v/>
      </c>
    </row>
    <row r="5991" spans="1:3" x14ac:dyDescent="0.3">
      <c r="A5991" s="10" t="s">
        <v>6618</v>
      </c>
      <c r="B5991" t="s">
        <v>12003</v>
      </c>
      <c r="C5991" s="2" t="str">
        <f>IFERROR(VLOOKUP(ILACLISTE[[#This Row],[NAME]],Table5[#All],2,0),"")</f>
        <v/>
      </c>
    </row>
    <row r="5992" spans="1:3" x14ac:dyDescent="0.3">
      <c r="A5992" s="10" t="s">
        <v>6619</v>
      </c>
      <c r="B5992" t="s">
        <v>12004</v>
      </c>
      <c r="C5992" s="2" t="str">
        <f>IFERROR(VLOOKUP(ILACLISTE[[#This Row],[NAME]],Table5[#All],2,0),"")</f>
        <v/>
      </c>
    </row>
    <row r="5993" spans="1:3" x14ac:dyDescent="0.3">
      <c r="A5993" s="10" t="s">
        <v>6620</v>
      </c>
      <c r="B5993" t="s">
        <v>12005</v>
      </c>
      <c r="C5993" s="2" t="str">
        <f>IFERROR(VLOOKUP(ILACLISTE[[#This Row],[NAME]],Table5[#All],2,0),"")</f>
        <v/>
      </c>
    </row>
    <row r="5994" spans="1:3" x14ac:dyDescent="0.3">
      <c r="A5994" s="10" t="s">
        <v>6621</v>
      </c>
      <c r="B5994" t="s">
        <v>12006</v>
      </c>
      <c r="C5994" s="2" t="str">
        <f>IFERROR(VLOOKUP(ILACLISTE[[#This Row],[NAME]],Table5[#All],2,0),"")</f>
        <v/>
      </c>
    </row>
    <row r="5995" spans="1:3" x14ac:dyDescent="0.3">
      <c r="A5995" s="10" t="s">
        <v>6622</v>
      </c>
      <c r="B5995" t="s">
        <v>12007</v>
      </c>
      <c r="C5995" s="2" t="str">
        <f>IFERROR(VLOOKUP(ILACLISTE[[#This Row],[NAME]],Table5[#All],2,0),"")</f>
        <v/>
      </c>
    </row>
    <row r="5996" spans="1:3" x14ac:dyDescent="0.3">
      <c r="A5996" s="10" t="s">
        <v>6623</v>
      </c>
      <c r="B5996" t="s">
        <v>12008</v>
      </c>
      <c r="C5996" s="2" t="str">
        <f>IFERROR(VLOOKUP(ILACLISTE[[#This Row],[NAME]],Table5[#All],2,0),"")</f>
        <v/>
      </c>
    </row>
    <row r="5997" spans="1:3" x14ac:dyDescent="0.3">
      <c r="A5997" s="10" t="s">
        <v>6624</v>
      </c>
      <c r="B5997" t="s">
        <v>12009</v>
      </c>
      <c r="C5997" s="2" t="str">
        <f>IFERROR(VLOOKUP(ILACLISTE[[#This Row],[NAME]],Table5[#All],2,0),"")</f>
        <v/>
      </c>
    </row>
    <row r="5998" spans="1:3" x14ac:dyDescent="0.3">
      <c r="A5998" s="10" t="s">
        <v>6625</v>
      </c>
      <c r="B5998" t="s">
        <v>12010</v>
      </c>
      <c r="C5998" s="2" t="str">
        <f>IFERROR(VLOOKUP(ILACLISTE[[#This Row],[NAME]],Table5[#All],2,0),"")</f>
        <v/>
      </c>
    </row>
    <row r="5999" spans="1:3" x14ac:dyDescent="0.3">
      <c r="A5999" s="10" t="s">
        <v>6626</v>
      </c>
      <c r="B5999" t="s">
        <v>12011</v>
      </c>
      <c r="C5999" s="2" t="str">
        <f>IFERROR(VLOOKUP(ILACLISTE[[#This Row],[NAME]],Table5[#All],2,0),"")</f>
        <v/>
      </c>
    </row>
    <row r="6000" spans="1:3" x14ac:dyDescent="0.3">
      <c r="A6000" s="10" t="s">
        <v>6627</v>
      </c>
      <c r="B6000" t="s">
        <v>12012</v>
      </c>
      <c r="C6000" s="2" t="str">
        <f>IFERROR(VLOOKUP(ILACLISTE[[#This Row],[NAME]],Table5[#All],2,0),"")</f>
        <v/>
      </c>
    </row>
    <row r="6001" spans="1:3" x14ac:dyDescent="0.3">
      <c r="A6001" s="10" t="s">
        <v>6628</v>
      </c>
      <c r="B6001" t="s">
        <v>12013</v>
      </c>
      <c r="C6001" s="2" t="str">
        <f>IFERROR(VLOOKUP(ILACLISTE[[#This Row],[NAME]],Table5[#All],2,0),"")</f>
        <v/>
      </c>
    </row>
    <row r="6002" spans="1:3" x14ac:dyDescent="0.3">
      <c r="A6002" s="10" t="s">
        <v>6629</v>
      </c>
      <c r="B6002" t="s">
        <v>12014</v>
      </c>
      <c r="C6002" s="2" t="str">
        <f>IFERROR(VLOOKUP(ILACLISTE[[#This Row],[NAME]],Table5[#All],2,0),"")</f>
        <v/>
      </c>
    </row>
    <row r="6003" spans="1:3" x14ac:dyDescent="0.3">
      <c r="A6003" s="10" t="s">
        <v>6630</v>
      </c>
      <c r="B6003" t="s">
        <v>12015</v>
      </c>
      <c r="C6003" s="2" t="str">
        <f>IFERROR(VLOOKUP(ILACLISTE[[#This Row],[NAME]],Table5[#All],2,0),"")</f>
        <v/>
      </c>
    </row>
    <row r="6004" spans="1:3" x14ac:dyDescent="0.3">
      <c r="A6004" s="10" t="s">
        <v>6631</v>
      </c>
      <c r="B6004" t="s">
        <v>12016</v>
      </c>
      <c r="C6004" s="2" t="str">
        <f>IFERROR(VLOOKUP(ILACLISTE[[#This Row],[NAME]],Table5[#All],2,0),"")</f>
        <v/>
      </c>
    </row>
    <row r="6005" spans="1:3" x14ac:dyDescent="0.3">
      <c r="A6005" s="10" t="s">
        <v>6632</v>
      </c>
      <c r="B6005" t="s">
        <v>12017</v>
      </c>
      <c r="C6005" s="2" t="str">
        <f>IFERROR(VLOOKUP(ILACLISTE[[#This Row],[NAME]],Table5[#All],2,0),"")</f>
        <v/>
      </c>
    </row>
    <row r="6006" spans="1:3" x14ac:dyDescent="0.3">
      <c r="A6006" s="10" t="s">
        <v>6633</v>
      </c>
      <c r="B6006" t="s">
        <v>12018</v>
      </c>
      <c r="C6006" s="2" t="str">
        <f>IFERROR(VLOOKUP(ILACLISTE[[#This Row],[NAME]],Table5[#All],2,0),"")</f>
        <v/>
      </c>
    </row>
    <row r="6007" spans="1:3" x14ac:dyDescent="0.3">
      <c r="A6007" s="10" t="s">
        <v>6634</v>
      </c>
      <c r="B6007" t="s">
        <v>12019</v>
      </c>
      <c r="C6007" s="2" t="str">
        <f>IFERROR(VLOOKUP(ILACLISTE[[#This Row],[NAME]],Table5[#All],2,0),"")</f>
        <v/>
      </c>
    </row>
    <row r="6008" spans="1:3" x14ac:dyDescent="0.3">
      <c r="A6008" s="10" t="s">
        <v>6635</v>
      </c>
      <c r="B6008" t="s">
        <v>12020</v>
      </c>
      <c r="C6008" s="2" t="str">
        <f>IFERROR(VLOOKUP(ILACLISTE[[#This Row],[NAME]],Table5[#All],2,0),"")</f>
        <v/>
      </c>
    </row>
    <row r="6009" spans="1:3" x14ac:dyDescent="0.3">
      <c r="A6009" s="10" t="s">
        <v>6636</v>
      </c>
      <c r="B6009" t="s">
        <v>12021</v>
      </c>
      <c r="C6009" s="2" t="str">
        <f>IFERROR(VLOOKUP(ILACLISTE[[#This Row],[NAME]],Table5[#All],2,0),"")</f>
        <v/>
      </c>
    </row>
    <row r="6010" spans="1:3" x14ac:dyDescent="0.3">
      <c r="A6010" s="10" t="s">
        <v>6637</v>
      </c>
      <c r="B6010" t="s">
        <v>12022</v>
      </c>
      <c r="C6010" s="2" t="str">
        <f>IFERROR(VLOOKUP(ILACLISTE[[#This Row],[NAME]],Table5[#All],2,0),"")</f>
        <v/>
      </c>
    </row>
    <row r="6011" spans="1:3" x14ac:dyDescent="0.3">
      <c r="A6011" s="10" t="s">
        <v>6638</v>
      </c>
      <c r="B6011" t="s">
        <v>12023</v>
      </c>
      <c r="C6011" s="2" t="str">
        <f>IFERROR(VLOOKUP(ILACLISTE[[#This Row],[NAME]],Table5[#All],2,0),"")</f>
        <v/>
      </c>
    </row>
    <row r="6012" spans="1:3" x14ac:dyDescent="0.3">
      <c r="A6012" s="10" t="s">
        <v>6639</v>
      </c>
      <c r="B6012" t="s">
        <v>12024</v>
      </c>
      <c r="C6012" s="2" t="str">
        <f>IFERROR(VLOOKUP(ILACLISTE[[#This Row],[NAME]],Table5[#All],2,0),"")</f>
        <v/>
      </c>
    </row>
    <row r="6013" spans="1:3" x14ac:dyDescent="0.3">
      <c r="A6013" s="10" t="s">
        <v>6640</v>
      </c>
      <c r="B6013" t="s">
        <v>12025</v>
      </c>
      <c r="C6013" s="2" t="str">
        <f>IFERROR(VLOOKUP(ILACLISTE[[#This Row],[NAME]],Table5[#All],2,0),"")</f>
        <v/>
      </c>
    </row>
    <row r="6014" spans="1:3" x14ac:dyDescent="0.3">
      <c r="A6014" s="10" t="s">
        <v>6641</v>
      </c>
      <c r="B6014" t="s">
        <v>12026</v>
      </c>
      <c r="C6014" s="2" t="str">
        <f>IFERROR(VLOOKUP(ILACLISTE[[#This Row],[NAME]],Table5[#All],2,0),"")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9B60-DCAC-46A1-B470-DB5A7E00CA80}">
  <sheetPr codeName="Sheet3"/>
  <dimension ref="A1:L4007"/>
  <sheetViews>
    <sheetView topLeftCell="B1" workbookViewId="0">
      <selection activeCell="K3" sqref="K2:K3"/>
    </sheetView>
  </sheetViews>
  <sheetFormatPr defaultRowHeight="14.4" x14ac:dyDescent="0.3"/>
  <cols>
    <col min="1" max="1" width="16.109375" bestFit="1" customWidth="1"/>
    <col min="2" max="2" width="8.109375" bestFit="1" customWidth="1"/>
    <col min="4" max="4" width="8.88671875" style="14"/>
    <col min="6" max="6" width="20.33203125" style="12" customWidth="1"/>
    <col min="7" max="7" width="22.109375" style="13" bestFit="1" customWidth="1"/>
    <col min="8" max="8" width="9.44140625" style="11" bestFit="1" customWidth="1"/>
    <col min="10" max="10" width="57.33203125" bestFit="1" customWidth="1"/>
    <col min="12" max="12" width="28.88671875" bestFit="1" customWidth="1"/>
  </cols>
  <sheetData>
    <row r="1" spans="1:12" x14ac:dyDescent="0.3">
      <c r="A1" t="s">
        <v>1</v>
      </c>
      <c r="B1" t="s">
        <v>12027</v>
      </c>
      <c r="K1" t="s">
        <v>12029</v>
      </c>
    </row>
    <row r="2" spans="1:12" x14ac:dyDescent="0.3">
      <c r="A2">
        <f>IF(J2="0",0,IF(COUNTIF($J$2:J2,J2)=1,1,0))</f>
        <v>1</v>
      </c>
      <c r="B2" s="12" t="e">
        <f>MID(MAIN!A7,K2,2)</f>
        <v>#VALUE!</v>
      </c>
      <c r="C2" s="12" t="e">
        <f>"20"&amp;B2</f>
        <v>#VALUE!</v>
      </c>
      <c r="D2" s="12" t="e">
        <f>MID(MAIN!A7,K2+2,2)</f>
        <v>#VALUE!</v>
      </c>
      <c r="E2" s="12" t="e">
        <f>MID(MAIN!A7,K2+4,2)</f>
        <v>#VALUE!</v>
      </c>
      <c r="F2" s="2" t="e">
        <f>C2&amp;"/"&amp;D2&amp;"/"&amp;E2</f>
        <v>#VALUE!</v>
      </c>
      <c r="G2" s="13" t="e">
        <f>DATEVALUE(F2)</f>
        <v>#VALUE!</v>
      </c>
      <c r="J2" t="str">
        <f>MAIN!A7&amp;"B"</f>
        <v>B</v>
      </c>
      <c r="K2" s="12" t="e">
        <f t="shared" ref="K2:K66" si="0">FIND("172",J2,30)+2</f>
        <v>#VALUE!</v>
      </c>
      <c r="L2" t="str">
        <f>MAIN!C7</f>
        <v/>
      </c>
    </row>
    <row r="3" spans="1:12" x14ac:dyDescent="0.3">
      <c r="A3">
        <f>IF(J3="0",0,IF(COUNTIF($J$2:J3,J3)=1,1,0))</f>
        <v>0</v>
      </c>
      <c r="B3" s="12" t="e">
        <f>MID(MAIN!A8,K3,2)</f>
        <v>#VALUE!</v>
      </c>
      <c r="C3" s="12" t="e">
        <f t="shared" ref="C3:C66" si="1">"20"&amp;B3</f>
        <v>#VALUE!</v>
      </c>
      <c r="D3" s="12" t="e">
        <f>MID(MAIN!A8,K3+2,2)</f>
        <v>#VALUE!</v>
      </c>
      <c r="E3" s="12" t="e">
        <f>MID(MAIN!A8,K3+4,2)</f>
        <v>#VALUE!</v>
      </c>
      <c r="F3" s="2" t="e">
        <f t="shared" ref="F3:F66" si="2">C3&amp;"/"&amp;D3&amp;"/"&amp;E3</f>
        <v>#VALUE!</v>
      </c>
      <c r="G3" s="13" t="e">
        <f t="shared" ref="G3:G66" si="3">DATEVALUE(F3)</f>
        <v>#VALUE!</v>
      </c>
      <c r="J3" t="str">
        <f>MAIN!A8&amp;"B"</f>
        <v>B</v>
      </c>
      <c r="K3" s="12" t="e">
        <f t="shared" si="0"/>
        <v>#VALUE!</v>
      </c>
      <c r="L3" t="str">
        <f>MAIN!C8</f>
        <v/>
      </c>
    </row>
    <row r="4" spans="1:12" x14ac:dyDescent="0.3">
      <c r="A4">
        <f>IF(J4="0",0,IF(COUNTIF($J$2:J4,J4)=1,1,0))</f>
        <v>0</v>
      </c>
      <c r="B4" s="12" t="e">
        <f>MID(MAIN!A9,K4,2)</f>
        <v>#VALUE!</v>
      </c>
      <c r="C4" s="12" t="e">
        <f t="shared" si="1"/>
        <v>#VALUE!</v>
      </c>
      <c r="D4" s="12" t="e">
        <f>MID(MAIN!A9,K4+2,2)</f>
        <v>#VALUE!</v>
      </c>
      <c r="E4" s="12" t="e">
        <f>MID(MAIN!A9,K4+4,2)</f>
        <v>#VALUE!</v>
      </c>
      <c r="F4" s="2" t="e">
        <f t="shared" si="2"/>
        <v>#VALUE!</v>
      </c>
      <c r="G4" s="13" t="e">
        <f t="shared" si="3"/>
        <v>#VALUE!</v>
      </c>
      <c r="J4" t="str">
        <f>MAIN!A9&amp;"B"</f>
        <v>B</v>
      </c>
      <c r="K4" s="12" t="e">
        <f t="shared" si="0"/>
        <v>#VALUE!</v>
      </c>
      <c r="L4" t="str">
        <f>MAIN!C9</f>
        <v/>
      </c>
    </row>
    <row r="5" spans="1:12" x14ac:dyDescent="0.3">
      <c r="A5">
        <f>IF(J5="0",0,IF(COUNTIF($J$2:J5,J5)=1,1,0))</f>
        <v>0</v>
      </c>
      <c r="B5" s="12" t="e">
        <f>MID(MAIN!A10,K5,2)</f>
        <v>#VALUE!</v>
      </c>
      <c r="C5" s="12" t="e">
        <f t="shared" si="1"/>
        <v>#VALUE!</v>
      </c>
      <c r="D5" s="12" t="e">
        <f>MID(MAIN!A10,K5+2,2)</f>
        <v>#VALUE!</v>
      </c>
      <c r="E5" s="12" t="e">
        <f>MID(MAIN!A10,K5+4,2)</f>
        <v>#VALUE!</v>
      </c>
      <c r="F5" s="2" t="e">
        <f t="shared" si="2"/>
        <v>#VALUE!</v>
      </c>
      <c r="G5" s="13" t="e">
        <f t="shared" si="3"/>
        <v>#VALUE!</v>
      </c>
      <c r="J5" t="str">
        <f>MAIN!A10&amp;"B"</f>
        <v>B</v>
      </c>
      <c r="K5" s="12" t="e">
        <f t="shared" si="0"/>
        <v>#VALUE!</v>
      </c>
      <c r="L5" t="str">
        <f>MAIN!C10</f>
        <v/>
      </c>
    </row>
    <row r="6" spans="1:12" x14ac:dyDescent="0.3">
      <c r="A6">
        <f>IF(J6="0",0,IF(COUNTIF($J$2:J6,J6)=1,1,0))</f>
        <v>0</v>
      </c>
      <c r="B6" s="12" t="e">
        <f>MID(MAIN!A11,K6,2)</f>
        <v>#VALUE!</v>
      </c>
      <c r="C6" s="12" t="e">
        <f t="shared" si="1"/>
        <v>#VALUE!</v>
      </c>
      <c r="D6" s="12" t="e">
        <f>MID(MAIN!A11,K6+2,2)</f>
        <v>#VALUE!</v>
      </c>
      <c r="E6" s="12" t="e">
        <f>MID(MAIN!A11,K6+4,2)</f>
        <v>#VALUE!</v>
      </c>
      <c r="F6" s="2" t="e">
        <f t="shared" si="2"/>
        <v>#VALUE!</v>
      </c>
      <c r="G6" s="13" t="e">
        <f t="shared" si="3"/>
        <v>#VALUE!</v>
      </c>
      <c r="J6" t="str">
        <f>MAIN!A11&amp;"B"</f>
        <v>B</v>
      </c>
      <c r="K6" s="12" t="e">
        <f t="shared" si="0"/>
        <v>#VALUE!</v>
      </c>
      <c r="L6" t="str">
        <f>MAIN!C11</f>
        <v/>
      </c>
    </row>
    <row r="7" spans="1:12" x14ac:dyDescent="0.3">
      <c r="A7">
        <f>IF(J7="0",0,IF(COUNTIF($J$2:J7,J7)=1,1,0))</f>
        <v>0</v>
      </c>
      <c r="B7" s="12" t="e">
        <f>MID(MAIN!A12,K7,2)</f>
        <v>#VALUE!</v>
      </c>
      <c r="C7" s="12" t="e">
        <f t="shared" si="1"/>
        <v>#VALUE!</v>
      </c>
      <c r="D7" s="12" t="e">
        <f>MID(MAIN!A12,K7+2,2)</f>
        <v>#VALUE!</v>
      </c>
      <c r="E7" s="12" t="e">
        <f>MID(MAIN!A12,K7+4,2)</f>
        <v>#VALUE!</v>
      </c>
      <c r="F7" s="2" t="e">
        <f t="shared" si="2"/>
        <v>#VALUE!</v>
      </c>
      <c r="G7" s="13" t="e">
        <f t="shared" si="3"/>
        <v>#VALUE!</v>
      </c>
      <c r="J7" t="str">
        <f>MAIN!A12&amp;"B"</f>
        <v>B</v>
      </c>
      <c r="K7" s="12" t="e">
        <f t="shared" si="0"/>
        <v>#VALUE!</v>
      </c>
      <c r="L7" t="str">
        <f>MAIN!C12</f>
        <v/>
      </c>
    </row>
    <row r="8" spans="1:12" x14ac:dyDescent="0.3">
      <c r="A8">
        <f>IF(J8="0",0,IF(COUNTIF($J$2:J8,J8)=1,1,0))</f>
        <v>0</v>
      </c>
      <c r="B8" s="12" t="e">
        <f>MID(MAIN!A13,K8,2)</f>
        <v>#VALUE!</v>
      </c>
      <c r="C8" s="12" t="e">
        <f t="shared" si="1"/>
        <v>#VALUE!</v>
      </c>
      <c r="D8" s="12" t="e">
        <f>MID(MAIN!A13,K8+2,2)</f>
        <v>#VALUE!</v>
      </c>
      <c r="E8" s="12" t="e">
        <f>MID(MAIN!A13,K8+4,2)</f>
        <v>#VALUE!</v>
      </c>
      <c r="F8" s="2" t="e">
        <f t="shared" si="2"/>
        <v>#VALUE!</v>
      </c>
      <c r="G8" s="13" t="e">
        <f t="shared" si="3"/>
        <v>#VALUE!</v>
      </c>
      <c r="J8" t="str">
        <f>MAIN!A13&amp;"B"</f>
        <v>B</v>
      </c>
      <c r="K8" s="12" t="e">
        <f t="shared" si="0"/>
        <v>#VALUE!</v>
      </c>
      <c r="L8" t="str">
        <f>MAIN!C13</f>
        <v/>
      </c>
    </row>
    <row r="9" spans="1:12" x14ac:dyDescent="0.3">
      <c r="A9">
        <f>IF(J9="0",0,IF(COUNTIF($J$2:J9,J9)=1,1,0))</f>
        <v>0</v>
      </c>
      <c r="B9" s="12" t="e">
        <f>MID(MAIN!A14,K9,2)</f>
        <v>#VALUE!</v>
      </c>
      <c r="C9" s="12" t="e">
        <f t="shared" si="1"/>
        <v>#VALUE!</v>
      </c>
      <c r="D9" s="12" t="e">
        <f>MID(MAIN!A14,K9+2,2)</f>
        <v>#VALUE!</v>
      </c>
      <c r="E9" s="12" t="e">
        <f>MID(MAIN!A14,K9+4,2)</f>
        <v>#VALUE!</v>
      </c>
      <c r="F9" s="2" t="e">
        <f t="shared" si="2"/>
        <v>#VALUE!</v>
      </c>
      <c r="G9" s="13" t="e">
        <f t="shared" si="3"/>
        <v>#VALUE!</v>
      </c>
      <c r="J9" t="str">
        <f>MAIN!A14&amp;"B"</f>
        <v>B</v>
      </c>
      <c r="K9" s="12" t="e">
        <f t="shared" si="0"/>
        <v>#VALUE!</v>
      </c>
      <c r="L9" t="str">
        <f>MAIN!C14</f>
        <v/>
      </c>
    </row>
    <row r="10" spans="1:12" x14ac:dyDescent="0.3">
      <c r="A10">
        <f>IF(J10="0",0,IF(COUNTIF($J$2:J10,J10)=1,1,0))</f>
        <v>0</v>
      </c>
      <c r="B10" s="12" t="e">
        <f>MID(MAIN!A15,K10,2)</f>
        <v>#VALUE!</v>
      </c>
      <c r="C10" s="12" t="e">
        <f t="shared" si="1"/>
        <v>#VALUE!</v>
      </c>
      <c r="D10" s="12" t="e">
        <f>MID(MAIN!A15,K10+2,2)</f>
        <v>#VALUE!</v>
      </c>
      <c r="E10" s="12" t="e">
        <f>MID(MAIN!A15,K10+4,2)</f>
        <v>#VALUE!</v>
      </c>
      <c r="F10" s="2" t="e">
        <f t="shared" si="2"/>
        <v>#VALUE!</v>
      </c>
      <c r="G10" s="13" t="e">
        <f t="shared" si="3"/>
        <v>#VALUE!</v>
      </c>
      <c r="J10" t="str">
        <f>MAIN!A15&amp;"B"</f>
        <v>B</v>
      </c>
      <c r="K10" s="12" t="e">
        <f t="shared" si="0"/>
        <v>#VALUE!</v>
      </c>
      <c r="L10" t="str">
        <f>MAIN!C15</f>
        <v/>
      </c>
    </row>
    <row r="11" spans="1:12" x14ac:dyDescent="0.3">
      <c r="A11">
        <f>IF(J11="0",0,IF(COUNTIF($J$2:J11,J11)=1,1,0))</f>
        <v>0</v>
      </c>
      <c r="B11" s="12" t="e">
        <f>MID(MAIN!A16,K11,2)</f>
        <v>#VALUE!</v>
      </c>
      <c r="C11" s="12" t="e">
        <f t="shared" si="1"/>
        <v>#VALUE!</v>
      </c>
      <c r="D11" s="12" t="e">
        <f>MID(MAIN!A16,K11+2,2)</f>
        <v>#VALUE!</v>
      </c>
      <c r="E11" s="12" t="e">
        <f>MID(MAIN!A16,K11+4,2)</f>
        <v>#VALUE!</v>
      </c>
      <c r="F11" s="2" t="e">
        <f t="shared" si="2"/>
        <v>#VALUE!</v>
      </c>
      <c r="G11" s="13" t="e">
        <f t="shared" si="3"/>
        <v>#VALUE!</v>
      </c>
      <c r="J11" t="str">
        <f>MAIN!A16&amp;"B"</f>
        <v>B</v>
      </c>
      <c r="K11" s="12" t="e">
        <f t="shared" si="0"/>
        <v>#VALUE!</v>
      </c>
      <c r="L11" t="str">
        <f>MAIN!C16</f>
        <v/>
      </c>
    </row>
    <row r="12" spans="1:12" x14ac:dyDescent="0.3">
      <c r="A12">
        <f>IF(J12="0",0,IF(COUNTIF($J$2:J12,J12)=1,1,0))</f>
        <v>0</v>
      </c>
      <c r="B12" s="12" t="e">
        <f>MID(MAIN!A17,K12,2)</f>
        <v>#VALUE!</v>
      </c>
      <c r="C12" s="12" t="e">
        <f t="shared" si="1"/>
        <v>#VALUE!</v>
      </c>
      <c r="D12" s="12" t="e">
        <f>MID(MAIN!A17,K12+2,2)</f>
        <v>#VALUE!</v>
      </c>
      <c r="E12" s="12" t="e">
        <f>MID(MAIN!A17,K12+4,2)</f>
        <v>#VALUE!</v>
      </c>
      <c r="F12" s="2" t="e">
        <f t="shared" si="2"/>
        <v>#VALUE!</v>
      </c>
      <c r="G12" s="13" t="e">
        <f t="shared" si="3"/>
        <v>#VALUE!</v>
      </c>
      <c r="J12" t="str">
        <f>MAIN!A17&amp;"B"</f>
        <v>B</v>
      </c>
      <c r="K12" s="12" t="e">
        <f t="shared" si="0"/>
        <v>#VALUE!</v>
      </c>
      <c r="L12" t="str">
        <f>MAIN!C17</f>
        <v/>
      </c>
    </row>
    <row r="13" spans="1:12" x14ac:dyDescent="0.3">
      <c r="A13">
        <f>IF(J13="0",0,IF(COUNTIF($J$2:J13,J13)=1,1,0))</f>
        <v>0</v>
      </c>
      <c r="B13" s="12" t="e">
        <f>MID(MAIN!A18,K13,2)</f>
        <v>#VALUE!</v>
      </c>
      <c r="C13" s="12" t="e">
        <f t="shared" si="1"/>
        <v>#VALUE!</v>
      </c>
      <c r="D13" s="12" t="e">
        <f>MID(MAIN!A18,K13+2,2)</f>
        <v>#VALUE!</v>
      </c>
      <c r="E13" s="12" t="e">
        <f>MID(MAIN!A18,K13+4,2)</f>
        <v>#VALUE!</v>
      </c>
      <c r="F13" s="2" t="e">
        <f t="shared" si="2"/>
        <v>#VALUE!</v>
      </c>
      <c r="G13" s="13" t="e">
        <f t="shared" si="3"/>
        <v>#VALUE!</v>
      </c>
      <c r="J13" t="str">
        <f>MAIN!A18&amp;"B"</f>
        <v>B</v>
      </c>
      <c r="K13" s="12" t="e">
        <f t="shared" si="0"/>
        <v>#VALUE!</v>
      </c>
      <c r="L13" t="str">
        <f>MAIN!C18</f>
        <v/>
      </c>
    </row>
    <row r="14" spans="1:12" x14ac:dyDescent="0.3">
      <c r="A14">
        <f>IF(J14="0",0,IF(COUNTIF($J$2:J14,J14)=1,1,0))</f>
        <v>0</v>
      </c>
      <c r="B14" s="12" t="e">
        <f>MID(MAIN!A19,K14,2)</f>
        <v>#VALUE!</v>
      </c>
      <c r="C14" s="12" t="e">
        <f t="shared" si="1"/>
        <v>#VALUE!</v>
      </c>
      <c r="D14" s="12" t="e">
        <f>MID(MAIN!A19,K14+2,2)</f>
        <v>#VALUE!</v>
      </c>
      <c r="E14" s="12" t="e">
        <f>MID(MAIN!A19,K14+4,2)</f>
        <v>#VALUE!</v>
      </c>
      <c r="F14" s="2" t="e">
        <f t="shared" si="2"/>
        <v>#VALUE!</v>
      </c>
      <c r="G14" s="13" t="e">
        <f t="shared" si="3"/>
        <v>#VALUE!</v>
      </c>
      <c r="J14" t="str">
        <f>MAIN!A19&amp;"B"</f>
        <v>B</v>
      </c>
      <c r="K14" s="12" t="e">
        <f t="shared" si="0"/>
        <v>#VALUE!</v>
      </c>
      <c r="L14" t="str">
        <f>MAIN!C19</f>
        <v/>
      </c>
    </row>
    <row r="15" spans="1:12" x14ac:dyDescent="0.3">
      <c r="A15">
        <f>IF(J15="0",0,IF(COUNTIF($J$2:J15,J15)=1,1,0))</f>
        <v>0</v>
      </c>
      <c r="B15" s="12" t="e">
        <f>MID(MAIN!A20,K15,2)</f>
        <v>#VALUE!</v>
      </c>
      <c r="C15" s="12" t="e">
        <f t="shared" si="1"/>
        <v>#VALUE!</v>
      </c>
      <c r="D15" s="12" t="e">
        <f>MID(MAIN!A20,K15+2,2)</f>
        <v>#VALUE!</v>
      </c>
      <c r="E15" s="12" t="e">
        <f>MID(MAIN!A20,K15+4,2)</f>
        <v>#VALUE!</v>
      </c>
      <c r="F15" s="2" t="e">
        <f t="shared" si="2"/>
        <v>#VALUE!</v>
      </c>
      <c r="G15" s="13" t="e">
        <f t="shared" si="3"/>
        <v>#VALUE!</v>
      </c>
      <c r="J15" t="str">
        <f>MAIN!A20&amp;"B"</f>
        <v>B</v>
      </c>
      <c r="K15" s="12" t="e">
        <f t="shared" si="0"/>
        <v>#VALUE!</v>
      </c>
      <c r="L15" t="str">
        <f>MAIN!C20</f>
        <v/>
      </c>
    </row>
    <row r="16" spans="1:12" x14ac:dyDescent="0.3">
      <c r="A16">
        <f>IF(J16="0",0,IF(COUNTIF($J$2:J16,J16)=1,1,0))</f>
        <v>0</v>
      </c>
      <c r="B16" s="12" t="e">
        <f>MID(MAIN!A21,K16,2)</f>
        <v>#VALUE!</v>
      </c>
      <c r="C16" s="12" t="e">
        <f t="shared" si="1"/>
        <v>#VALUE!</v>
      </c>
      <c r="D16" s="12" t="e">
        <f>MID(MAIN!A21,K16+2,2)</f>
        <v>#VALUE!</v>
      </c>
      <c r="E16" s="12" t="e">
        <f>MID(MAIN!A21,K16+4,2)</f>
        <v>#VALUE!</v>
      </c>
      <c r="F16" s="2" t="e">
        <f t="shared" si="2"/>
        <v>#VALUE!</v>
      </c>
      <c r="G16" s="13" t="e">
        <f t="shared" si="3"/>
        <v>#VALUE!</v>
      </c>
      <c r="J16" t="str">
        <f>MAIN!A21&amp;"B"</f>
        <v>B</v>
      </c>
      <c r="K16" s="12" t="e">
        <f t="shared" si="0"/>
        <v>#VALUE!</v>
      </c>
      <c r="L16" t="str">
        <f>MAIN!C21</f>
        <v/>
      </c>
    </row>
    <row r="17" spans="1:12" x14ac:dyDescent="0.3">
      <c r="A17">
        <f>IF(J17="0",0,IF(COUNTIF($J$2:J17,J17)=1,1,0))</f>
        <v>0</v>
      </c>
      <c r="B17" s="12" t="e">
        <f>MID(MAIN!A22,K17,2)</f>
        <v>#VALUE!</v>
      </c>
      <c r="C17" s="12" t="e">
        <f t="shared" si="1"/>
        <v>#VALUE!</v>
      </c>
      <c r="D17" s="12" t="e">
        <f>MID(MAIN!A22,K17+2,2)</f>
        <v>#VALUE!</v>
      </c>
      <c r="E17" s="12" t="e">
        <f>MID(MAIN!A22,K17+4,2)</f>
        <v>#VALUE!</v>
      </c>
      <c r="F17" s="2" t="e">
        <f t="shared" si="2"/>
        <v>#VALUE!</v>
      </c>
      <c r="G17" s="13" t="e">
        <f t="shared" si="3"/>
        <v>#VALUE!</v>
      </c>
      <c r="J17" t="str">
        <f>MAIN!A22&amp;"B"</f>
        <v>B</v>
      </c>
      <c r="K17" s="12" t="e">
        <f t="shared" si="0"/>
        <v>#VALUE!</v>
      </c>
      <c r="L17" t="str">
        <f>MAIN!C22</f>
        <v/>
      </c>
    </row>
    <row r="18" spans="1:12" x14ac:dyDescent="0.3">
      <c r="A18">
        <f>IF(J18="0",0,IF(COUNTIF($J$2:J18,J18)=1,1,0))</f>
        <v>0</v>
      </c>
      <c r="B18" s="12" t="e">
        <f>MID(MAIN!A23,K18,2)</f>
        <v>#VALUE!</v>
      </c>
      <c r="C18" s="12" t="e">
        <f t="shared" si="1"/>
        <v>#VALUE!</v>
      </c>
      <c r="D18" s="12" t="e">
        <f>MID(MAIN!A23,K18+2,2)</f>
        <v>#VALUE!</v>
      </c>
      <c r="E18" s="12" t="e">
        <f>MID(MAIN!A23,K18+4,2)</f>
        <v>#VALUE!</v>
      </c>
      <c r="F18" s="2" t="e">
        <f t="shared" si="2"/>
        <v>#VALUE!</v>
      </c>
      <c r="G18" s="13" t="e">
        <f t="shared" si="3"/>
        <v>#VALUE!</v>
      </c>
      <c r="J18" t="str">
        <f>MAIN!A23&amp;"B"</f>
        <v>B</v>
      </c>
      <c r="K18" s="12" t="e">
        <f t="shared" si="0"/>
        <v>#VALUE!</v>
      </c>
      <c r="L18" t="str">
        <f>MAIN!C23</f>
        <v/>
      </c>
    </row>
    <row r="19" spans="1:12" x14ac:dyDescent="0.3">
      <c r="A19">
        <f>IF(J19="0",0,IF(COUNTIF($J$2:J19,J19)=1,1,0))</f>
        <v>0</v>
      </c>
      <c r="B19" s="12" t="e">
        <f>MID(MAIN!A24,K19,2)</f>
        <v>#VALUE!</v>
      </c>
      <c r="C19" s="12" t="e">
        <f t="shared" si="1"/>
        <v>#VALUE!</v>
      </c>
      <c r="D19" s="12" t="e">
        <f>MID(MAIN!A24,K19+2,2)</f>
        <v>#VALUE!</v>
      </c>
      <c r="E19" s="12" t="e">
        <f>MID(MAIN!A24,K19+4,2)</f>
        <v>#VALUE!</v>
      </c>
      <c r="F19" s="2" t="e">
        <f t="shared" si="2"/>
        <v>#VALUE!</v>
      </c>
      <c r="G19" s="13" t="e">
        <f t="shared" si="3"/>
        <v>#VALUE!</v>
      </c>
      <c r="J19" t="str">
        <f>MAIN!A24&amp;"B"</f>
        <v>B</v>
      </c>
      <c r="K19" s="12" t="e">
        <f t="shared" si="0"/>
        <v>#VALUE!</v>
      </c>
      <c r="L19" t="str">
        <f>MAIN!C24</f>
        <v/>
      </c>
    </row>
    <row r="20" spans="1:12" x14ac:dyDescent="0.3">
      <c r="A20">
        <f>IF(J20="0",0,IF(COUNTIF($J$2:J20,J20)=1,1,0))</f>
        <v>0</v>
      </c>
      <c r="B20" s="12" t="e">
        <f>MID(MAIN!A25,K20,2)</f>
        <v>#VALUE!</v>
      </c>
      <c r="C20" s="12" t="e">
        <f t="shared" si="1"/>
        <v>#VALUE!</v>
      </c>
      <c r="D20" s="12" t="e">
        <f>MID(MAIN!A25,K20+2,2)</f>
        <v>#VALUE!</v>
      </c>
      <c r="E20" s="12" t="e">
        <f>MID(MAIN!A25,K20+4,2)</f>
        <v>#VALUE!</v>
      </c>
      <c r="F20" s="2" t="e">
        <f t="shared" si="2"/>
        <v>#VALUE!</v>
      </c>
      <c r="G20" s="13" t="e">
        <f t="shared" si="3"/>
        <v>#VALUE!</v>
      </c>
      <c r="J20" t="str">
        <f>MAIN!A25&amp;"B"</f>
        <v>B</v>
      </c>
      <c r="K20" s="12" t="e">
        <f t="shared" si="0"/>
        <v>#VALUE!</v>
      </c>
      <c r="L20" t="str">
        <f>MAIN!C25</f>
        <v/>
      </c>
    </row>
    <row r="21" spans="1:12" x14ac:dyDescent="0.3">
      <c r="A21">
        <f>IF(J21="0",0,IF(COUNTIF($J$2:J21,J21)=1,1,0))</f>
        <v>0</v>
      </c>
      <c r="B21" s="12" t="e">
        <f>MID(MAIN!A26,K21,2)</f>
        <v>#VALUE!</v>
      </c>
      <c r="C21" s="12" t="e">
        <f t="shared" si="1"/>
        <v>#VALUE!</v>
      </c>
      <c r="D21" s="12" t="e">
        <f>MID(MAIN!A26,K21+2,2)</f>
        <v>#VALUE!</v>
      </c>
      <c r="E21" s="12" t="e">
        <f>MID(MAIN!A26,K21+4,2)</f>
        <v>#VALUE!</v>
      </c>
      <c r="F21" s="2" t="e">
        <f t="shared" si="2"/>
        <v>#VALUE!</v>
      </c>
      <c r="G21" s="13" t="e">
        <f t="shared" si="3"/>
        <v>#VALUE!</v>
      </c>
      <c r="J21" t="str">
        <f>MAIN!A26&amp;"B"</f>
        <v>B</v>
      </c>
      <c r="K21" s="12" t="e">
        <f t="shared" si="0"/>
        <v>#VALUE!</v>
      </c>
      <c r="L21" t="str">
        <f>MAIN!C26</f>
        <v/>
      </c>
    </row>
    <row r="22" spans="1:12" x14ac:dyDescent="0.3">
      <c r="A22">
        <f>IF(J22="0",0,IF(COUNTIF($J$2:J22,J22)=1,1,0))</f>
        <v>0</v>
      </c>
      <c r="B22" s="12" t="e">
        <f>MID(MAIN!A27,K22,2)</f>
        <v>#VALUE!</v>
      </c>
      <c r="C22" s="12" t="e">
        <f t="shared" si="1"/>
        <v>#VALUE!</v>
      </c>
      <c r="D22" s="12" t="e">
        <f>MID(MAIN!A27,K22+2,2)</f>
        <v>#VALUE!</v>
      </c>
      <c r="E22" s="12" t="e">
        <f>MID(MAIN!A27,K22+4,2)</f>
        <v>#VALUE!</v>
      </c>
      <c r="F22" s="2" t="e">
        <f t="shared" si="2"/>
        <v>#VALUE!</v>
      </c>
      <c r="G22" s="13" t="e">
        <f t="shared" si="3"/>
        <v>#VALUE!</v>
      </c>
      <c r="J22" t="str">
        <f>MAIN!A27&amp;"B"</f>
        <v>B</v>
      </c>
      <c r="K22" s="12" t="e">
        <f t="shared" si="0"/>
        <v>#VALUE!</v>
      </c>
      <c r="L22" t="str">
        <f>MAIN!C27</f>
        <v/>
      </c>
    </row>
    <row r="23" spans="1:12" x14ac:dyDescent="0.3">
      <c r="A23">
        <f>IF(J23="0",0,IF(COUNTIF($J$2:J23,J23)=1,1,0))</f>
        <v>0</v>
      </c>
      <c r="B23" s="12" t="e">
        <f>MID(MAIN!A28,K23,2)</f>
        <v>#VALUE!</v>
      </c>
      <c r="C23" s="12" t="e">
        <f t="shared" si="1"/>
        <v>#VALUE!</v>
      </c>
      <c r="D23" s="12" t="e">
        <f>MID(MAIN!A28,K23+2,2)</f>
        <v>#VALUE!</v>
      </c>
      <c r="E23" s="12" t="e">
        <f>MID(MAIN!A28,K23+4,2)</f>
        <v>#VALUE!</v>
      </c>
      <c r="F23" s="2" t="e">
        <f t="shared" si="2"/>
        <v>#VALUE!</v>
      </c>
      <c r="G23" s="13" t="e">
        <f t="shared" si="3"/>
        <v>#VALUE!</v>
      </c>
      <c r="J23" t="str">
        <f>MAIN!A28&amp;"B"</f>
        <v>B</v>
      </c>
      <c r="K23" s="12" t="e">
        <f t="shared" si="0"/>
        <v>#VALUE!</v>
      </c>
      <c r="L23" t="str">
        <f>MAIN!C28</f>
        <v/>
      </c>
    </row>
    <row r="24" spans="1:12" x14ac:dyDescent="0.3">
      <c r="A24">
        <f>IF(J24="0",0,IF(COUNTIF($J$2:J24,J24)=1,1,0))</f>
        <v>0</v>
      </c>
      <c r="B24" s="12" t="e">
        <f>MID(MAIN!A29,K24,2)</f>
        <v>#VALUE!</v>
      </c>
      <c r="C24" s="12" t="e">
        <f t="shared" si="1"/>
        <v>#VALUE!</v>
      </c>
      <c r="D24" s="12" t="e">
        <f>MID(MAIN!A29,K24+2,2)</f>
        <v>#VALUE!</v>
      </c>
      <c r="E24" s="12" t="e">
        <f>MID(MAIN!A29,K24+4,2)</f>
        <v>#VALUE!</v>
      </c>
      <c r="F24" s="2" t="e">
        <f t="shared" si="2"/>
        <v>#VALUE!</v>
      </c>
      <c r="G24" s="13" t="e">
        <f t="shared" si="3"/>
        <v>#VALUE!</v>
      </c>
      <c r="J24" t="str">
        <f>MAIN!A29&amp;"B"</f>
        <v>B</v>
      </c>
      <c r="K24" s="12" t="e">
        <f t="shared" si="0"/>
        <v>#VALUE!</v>
      </c>
      <c r="L24" t="str">
        <f>MAIN!C29</f>
        <v/>
      </c>
    </row>
    <row r="25" spans="1:12" x14ac:dyDescent="0.3">
      <c r="A25">
        <f>IF(J25="0",0,IF(COUNTIF($J$2:J25,J25)=1,1,0))</f>
        <v>0</v>
      </c>
      <c r="B25" s="12" t="e">
        <f>MID(MAIN!A30,K25,2)</f>
        <v>#VALUE!</v>
      </c>
      <c r="C25" s="12" t="e">
        <f t="shared" si="1"/>
        <v>#VALUE!</v>
      </c>
      <c r="D25" s="12" t="e">
        <f>MID(MAIN!A30,K25+2,2)</f>
        <v>#VALUE!</v>
      </c>
      <c r="E25" s="12" t="e">
        <f>MID(MAIN!A30,K25+4,2)</f>
        <v>#VALUE!</v>
      </c>
      <c r="F25" s="2" t="e">
        <f t="shared" si="2"/>
        <v>#VALUE!</v>
      </c>
      <c r="G25" s="13" t="e">
        <f t="shared" si="3"/>
        <v>#VALUE!</v>
      </c>
      <c r="J25" t="str">
        <f>MAIN!A30&amp;"B"</f>
        <v>B</v>
      </c>
      <c r="K25" s="12" t="e">
        <f t="shared" si="0"/>
        <v>#VALUE!</v>
      </c>
      <c r="L25" t="str">
        <f>MAIN!C30</f>
        <v/>
      </c>
    </row>
    <row r="26" spans="1:12" x14ac:dyDescent="0.3">
      <c r="A26">
        <f>IF(J26="0",0,IF(COUNTIF($J$2:J26,J26)=1,1,0))</f>
        <v>0</v>
      </c>
      <c r="B26" s="12" t="e">
        <f>MID(MAIN!A31,K26,2)</f>
        <v>#VALUE!</v>
      </c>
      <c r="C26" s="12" t="e">
        <f t="shared" si="1"/>
        <v>#VALUE!</v>
      </c>
      <c r="D26" s="12" t="e">
        <f>MID(MAIN!A31,K26+2,2)</f>
        <v>#VALUE!</v>
      </c>
      <c r="E26" s="12" t="e">
        <f>MID(MAIN!A31,K26+4,2)</f>
        <v>#VALUE!</v>
      </c>
      <c r="F26" s="2" t="e">
        <f t="shared" si="2"/>
        <v>#VALUE!</v>
      </c>
      <c r="G26" s="13" t="e">
        <f t="shared" si="3"/>
        <v>#VALUE!</v>
      </c>
      <c r="J26" t="str">
        <f>MAIN!A31&amp;"B"</f>
        <v>B</v>
      </c>
      <c r="K26" s="12" t="e">
        <f t="shared" si="0"/>
        <v>#VALUE!</v>
      </c>
      <c r="L26" t="str">
        <f>MAIN!C31</f>
        <v/>
      </c>
    </row>
    <row r="27" spans="1:12" x14ac:dyDescent="0.3">
      <c r="A27">
        <f>IF(J27="0",0,IF(COUNTIF($J$2:J27,J27)=1,1,0))</f>
        <v>0</v>
      </c>
      <c r="B27" s="12" t="e">
        <f>MID(MAIN!A32,K27,2)</f>
        <v>#VALUE!</v>
      </c>
      <c r="C27" s="12" t="e">
        <f t="shared" si="1"/>
        <v>#VALUE!</v>
      </c>
      <c r="D27" s="12" t="e">
        <f>MID(MAIN!A32,K27+2,2)</f>
        <v>#VALUE!</v>
      </c>
      <c r="E27" s="12" t="e">
        <f>MID(MAIN!A32,K27+4,2)</f>
        <v>#VALUE!</v>
      </c>
      <c r="F27" s="2" t="e">
        <f t="shared" si="2"/>
        <v>#VALUE!</v>
      </c>
      <c r="G27" s="13" t="e">
        <f t="shared" si="3"/>
        <v>#VALUE!</v>
      </c>
      <c r="J27" t="str">
        <f>MAIN!A32&amp;"B"</f>
        <v>B</v>
      </c>
      <c r="K27" s="12" t="e">
        <f t="shared" si="0"/>
        <v>#VALUE!</v>
      </c>
      <c r="L27" t="str">
        <f>MAIN!C32</f>
        <v/>
      </c>
    </row>
    <row r="28" spans="1:12" x14ac:dyDescent="0.3">
      <c r="A28">
        <f>IF(J28="0",0,IF(COUNTIF($J$2:J28,J28)=1,1,0))</f>
        <v>0</v>
      </c>
      <c r="B28" s="12" t="e">
        <f>MID(MAIN!A33,K28,2)</f>
        <v>#VALUE!</v>
      </c>
      <c r="C28" s="12" t="e">
        <f t="shared" si="1"/>
        <v>#VALUE!</v>
      </c>
      <c r="D28" s="12" t="e">
        <f>MID(MAIN!A33,K28+2,2)</f>
        <v>#VALUE!</v>
      </c>
      <c r="E28" s="12" t="e">
        <f>MID(MAIN!A33,K28+4,2)</f>
        <v>#VALUE!</v>
      </c>
      <c r="F28" s="2" t="e">
        <f t="shared" si="2"/>
        <v>#VALUE!</v>
      </c>
      <c r="G28" s="13" t="e">
        <f t="shared" si="3"/>
        <v>#VALUE!</v>
      </c>
      <c r="J28" t="str">
        <f>MAIN!A33&amp;"B"</f>
        <v>B</v>
      </c>
      <c r="K28" s="12" t="e">
        <f t="shared" si="0"/>
        <v>#VALUE!</v>
      </c>
      <c r="L28" t="str">
        <f>MAIN!C33</f>
        <v/>
      </c>
    </row>
    <row r="29" spans="1:12" x14ac:dyDescent="0.3">
      <c r="A29">
        <f>IF(J29="0",0,IF(COUNTIF($J$2:J29,J29)=1,1,0))</f>
        <v>0</v>
      </c>
      <c r="B29" s="12" t="e">
        <f>MID(MAIN!A34,K29,2)</f>
        <v>#VALUE!</v>
      </c>
      <c r="C29" s="12" t="e">
        <f t="shared" si="1"/>
        <v>#VALUE!</v>
      </c>
      <c r="D29" s="12" t="e">
        <f>MID(MAIN!A34,K29+2,2)</f>
        <v>#VALUE!</v>
      </c>
      <c r="E29" s="12" t="e">
        <f>MID(MAIN!A34,K29+4,2)</f>
        <v>#VALUE!</v>
      </c>
      <c r="F29" s="2" t="e">
        <f t="shared" si="2"/>
        <v>#VALUE!</v>
      </c>
      <c r="G29" s="13" t="e">
        <f t="shared" si="3"/>
        <v>#VALUE!</v>
      </c>
      <c r="J29" t="str">
        <f>MAIN!A34&amp;"B"</f>
        <v>B</v>
      </c>
      <c r="K29" s="12" t="e">
        <f t="shared" si="0"/>
        <v>#VALUE!</v>
      </c>
      <c r="L29" t="str">
        <f>MAIN!C34</f>
        <v/>
      </c>
    </row>
    <row r="30" spans="1:12" x14ac:dyDescent="0.3">
      <c r="A30">
        <f>IF(J30="0",0,IF(COUNTIF($J$2:J30,J30)=1,1,0))</f>
        <v>0</v>
      </c>
      <c r="B30" s="12" t="e">
        <f>MID(MAIN!A35,K30,2)</f>
        <v>#VALUE!</v>
      </c>
      <c r="C30" s="12" t="e">
        <f t="shared" si="1"/>
        <v>#VALUE!</v>
      </c>
      <c r="D30" s="12" t="e">
        <f>MID(MAIN!A35,K30+2,2)</f>
        <v>#VALUE!</v>
      </c>
      <c r="E30" s="12" t="e">
        <f>MID(MAIN!A35,K30+4,2)</f>
        <v>#VALUE!</v>
      </c>
      <c r="F30" s="2" t="e">
        <f t="shared" si="2"/>
        <v>#VALUE!</v>
      </c>
      <c r="G30" s="13" t="e">
        <f t="shared" si="3"/>
        <v>#VALUE!</v>
      </c>
      <c r="J30" t="str">
        <f>MAIN!A35&amp;"B"</f>
        <v>B</v>
      </c>
      <c r="K30" s="12" t="e">
        <f t="shared" si="0"/>
        <v>#VALUE!</v>
      </c>
      <c r="L30" t="str">
        <f>MAIN!C35</f>
        <v/>
      </c>
    </row>
    <row r="31" spans="1:12" x14ac:dyDescent="0.3">
      <c r="A31">
        <f>IF(J31="0",0,IF(COUNTIF($J$2:J31,J31)=1,1,0))</f>
        <v>0</v>
      </c>
      <c r="B31" s="12" t="e">
        <f>MID(MAIN!A36,K31,2)</f>
        <v>#VALUE!</v>
      </c>
      <c r="C31" s="12" t="e">
        <f t="shared" si="1"/>
        <v>#VALUE!</v>
      </c>
      <c r="D31" s="12" t="e">
        <f>MID(MAIN!A36,K31+2,2)</f>
        <v>#VALUE!</v>
      </c>
      <c r="E31" s="12" t="e">
        <f>MID(MAIN!A36,K31+4,2)</f>
        <v>#VALUE!</v>
      </c>
      <c r="F31" s="2" t="e">
        <f t="shared" si="2"/>
        <v>#VALUE!</v>
      </c>
      <c r="G31" s="13" t="e">
        <f t="shared" si="3"/>
        <v>#VALUE!</v>
      </c>
      <c r="J31" t="str">
        <f>MAIN!A36&amp;"B"</f>
        <v>B</v>
      </c>
      <c r="K31" s="12" t="e">
        <f t="shared" si="0"/>
        <v>#VALUE!</v>
      </c>
      <c r="L31" t="str">
        <f>MAIN!C36</f>
        <v/>
      </c>
    </row>
    <row r="32" spans="1:12" x14ac:dyDescent="0.3">
      <c r="A32">
        <f>IF(J32="0",0,IF(COUNTIF($J$2:J32,J32)=1,1,0))</f>
        <v>0</v>
      </c>
      <c r="B32" s="12" t="e">
        <f>MID(MAIN!A37,K32,2)</f>
        <v>#VALUE!</v>
      </c>
      <c r="C32" s="12" t="e">
        <f t="shared" si="1"/>
        <v>#VALUE!</v>
      </c>
      <c r="D32" s="12" t="e">
        <f>MID(MAIN!A37,K32+2,2)</f>
        <v>#VALUE!</v>
      </c>
      <c r="E32" s="12" t="e">
        <f>MID(MAIN!A37,K32+4,2)</f>
        <v>#VALUE!</v>
      </c>
      <c r="F32" s="2" t="e">
        <f t="shared" si="2"/>
        <v>#VALUE!</v>
      </c>
      <c r="G32" s="13" t="e">
        <f t="shared" si="3"/>
        <v>#VALUE!</v>
      </c>
      <c r="J32" t="str">
        <f>MAIN!A37&amp;"B"</f>
        <v>B</v>
      </c>
      <c r="K32" s="12" t="e">
        <f t="shared" si="0"/>
        <v>#VALUE!</v>
      </c>
      <c r="L32" t="str">
        <f>MAIN!C37</f>
        <v/>
      </c>
    </row>
    <row r="33" spans="1:12" x14ac:dyDescent="0.3">
      <c r="A33">
        <f>IF(J33="0",0,IF(COUNTIF($J$2:J33,J33)=1,1,0))</f>
        <v>0</v>
      </c>
      <c r="B33" s="12" t="e">
        <f>MID(MAIN!A38,K33,2)</f>
        <v>#VALUE!</v>
      </c>
      <c r="C33" s="12" t="e">
        <f t="shared" si="1"/>
        <v>#VALUE!</v>
      </c>
      <c r="D33" s="12" t="e">
        <f>MID(MAIN!A38,K33+2,2)</f>
        <v>#VALUE!</v>
      </c>
      <c r="E33" s="12" t="e">
        <f>MID(MAIN!A38,K33+4,2)</f>
        <v>#VALUE!</v>
      </c>
      <c r="F33" s="2" t="e">
        <f t="shared" si="2"/>
        <v>#VALUE!</v>
      </c>
      <c r="G33" s="13" t="e">
        <f t="shared" si="3"/>
        <v>#VALUE!</v>
      </c>
      <c r="J33" t="str">
        <f>MAIN!A38&amp;"B"</f>
        <v>B</v>
      </c>
      <c r="K33" s="12" t="e">
        <f t="shared" si="0"/>
        <v>#VALUE!</v>
      </c>
      <c r="L33" t="str">
        <f>MAIN!C38</f>
        <v/>
      </c>
    </row>
    <row r="34" spans="1:12" x14ac:dyDescent="0.3">
      <c r="A34">
        <f>IF(J34="0",0,IF(COUNTIF($J$2:J34,J34)=1,1,0))</f>
        <v>0</v>
      </c>
      <c r="B34" s="12" t="e">
        <f>MID(MAIN!A39,K34,2)</f>
        <v>#VALUE!</v>
      </c>
      <c r="C34" s="12" t="e">
        <f t="shared" si="1"/>
        <v>#VALUE!</v>
      </c>
      <c r="D34" s="12" t="e">
        <f>MID(MAIN!A39,K34+2,2)</f>
        <v>#VALUE!</v>
      </c>
      <c r="E34" s="12" t="e">
        <f>MID(MAIN!A39,K34+4,2)</f>
        <v>#VALUE!</v>
      </c>
      <c r="F34" s="2" t="e">
        <f t="shared" si="2"/>
        <v>#VALUE!</v>
      </c>
      <c r="G34" s="13" t="e">
        <f t="shared" si="3"/>
        <v>#VALUE!</v>
      </c>
      <c r="J34" t="str">
        <f>MAIN!A39&amp;"B"</f>
        <v>B</v>
      </c>
      <c r="K34" s="12" t="e">
        <f t="shared" si="0"/>
        <v>#VALUE!</v>
      </c>
      <c r="L34" t="str">
        <f>MAIN!C39</f>
        <v/>
      </c>
    </row>
    <row r="35" spans="1:12" x14ac:dyDescent="0.3">
      <c r="A35">
        <f>IF(J35="0",0,IF(COUNTIF($J$2:J35,J35)=1,1,0))</f>
        <v>0</v>
      </c>
      <c r="B35" s="12" t="e">
        <f>MID(MAIN!A40,K35,2)</f>
        <v>#VALUE!</v>
      </c>
      <c r="C35" s="12" t="e">
        <f t="shared" si="1"/>
        <v>#VALUE!</v>
      </c>
      <c r="D35" s="12" t="e">
        <f>MID(MAIN!A40,K35+2,2)</f>
        <v>#VALUE!</v>
      </c>
      <c r="E35" s="12" t="e">
        <f>MID(MAIN!A40,K35+4,2)</f>
        <v>#VALUE!</v>
      </c>
      <c r="F35" s="2" t="e">
        <f t="shared" si="2"/>
        <v>#VALUE!</v>
      </c>
      <c r="G35" s="13" t="e">
        <f t="shared" si="3"/>
        <v>#VALUE!</v>
      </c>
      <c r="J35" t="str">
        <f>MAIN!A40&amp;"B"</f>
        <v>B</v>
      </c>
      <c r="K35" s="12" t="e">
        <f t="shared" si="0"/>
        <v>#VALUE!</v>
      </c>
      <c r="L35" t="str">
        <f>MAIN!C40</f>
        <v/>
      </c>
    </row>
    <row r="36" spans="1:12" x14ac:dyDescent="0.3">
      <c r="A36">
        <f>IF(J36="0",0,IF(COUNTIF($J$2:J36,J36)=1,1,0))</f>
        <v>0</v>
      </c>
      <c r="B36" s="12" t="e">
        <f>MID(MAIN!A41,K36,2)</f>
        <v>#VALUE!</v>
      </c>
      <c r="C36" s="12" t="e">
        <f t="shared" si="1"/>
        <v>#VALUE!</v>
      </c>
      <c r="D36" s="12" t="e">
        <f>MID(MAIN!A41,K36+2,2)</f>
        <v>#VALUE!</v>
      </c>
      <c r="E36" s="12" t="e">
        <f>MID(MAIN!A41,K36+4,2)</f>
        <v>#VALUE!</v>
      </c>
      <c r="F36" s="2" t="e">
        <f t="shared" si="2"/>
        <v>#VALUE!</v>
      </c>
      <c r="G36" s="13" t="e">
        <f t="shared" si="3"/>
        <v>#VALUE!</v>
      </c>
      <c r="J36" t="str">
        <f>MAIN!A41&amp;"B"</f>
        <v>B</v>
      </c>
      <c r="K36" s="12" t="e">
        <f t="shared" si="0"/>
        <v>#VALUE!</v>
      </c>
      <c r="L36" t="str">
        <f>MAIN!C41</f>
        <v/>
      </c>
    </row>
    <row r="37" spans="1:12" x14ac:dyDescent="0.3">
      <c r="A37">
        <f>IF(J37="0",0,IF(COUNTIF($J$2:J37,J37)=1,1,0))</f>
        <v>0</v>
      </c>
      <c r="B37" s="12" t="e">
        <f>MID(MAIN!A42,K37,2)</f>
        <v>#VALUE!</v>
      </c>
      <c r="C37" s="12" t="e">
        <f t="shared" si="1"/>
        <v>#VALUE!</v>
      </c>
      <c r="D37" s="12" t="e">
        <f>MID(MAIN!A42,K37+2,2)</f>
        <v>#VALUE!</v>
      </c>
      <c r="E37" s="12" t="e">
        <f>MID(MAIN!A42,K37+4,2)</f>
        <v>#VALUE!</v>
      </c>
      <c r="F37" s="2" t="e">
        <f t="shared" si="2"/>
        <v>#VALUE!</v>
      </c>
      <c r="G37" s="13" t="e">
        <f t="shared" si="3"/>
        <v>#VALUE!</v>
      </c>
      <c r="J37" t="str">
        <f>MAIN!A42&amp;"B"</f>
        <v>B</v>
      </c>
      <c r="K37" s="12" t="e">
        <f t="shared" si="0"/>
        <v>#VALUE!</v>
      </c>
      <c r="L37" t="str">
        <f>MAIN!C42</f>
        <v/>
      </c>
    </row>
    <row r="38" spans="1:12" x14ac:dyDescent="0.3">
      <c r="A38">
        <f>IF(J38="0",0,IF(COUNTIF($J$2:J38,J38)=1,1,0))</f>
        <v>0</v>
      </c>
      <c r="B38" s="12" t="e">
        <f>MID(MAIN!A43,K38,2)</f>
        <v>#VALUE!</v>
      </c>
      <c r="C38" s="12" t="e">
        <f t="shared" si="1"/>
        <v>#VALUE!</v>
      </c>
      <c r="D38" s="12" t="e">
        <f>MID(MAIN!A43,K38+2,2)</f>
        <v>#VALUE!</v>
      </c>
      <c r="E38" s="12" t="e">
        <f>MID(MAIN!A43,K38+4,2)</f>
        <v>#VALUE!</v>
      </c>
      <c r="F38" s="2" t="e">
        <f t="shared" si="2"/>
        <v>#VALUE!</v>
      </c>
      <c r="G38" s="13" t="e">
        <f t="shared" si="3"/>
        <v>#VALUE!</v>
      </c>
      <c r="J38" t="str">
        <f>MAIN!A43&amp;"B"</f>
        <v>B</v>
      </c>
      <c r="K38" s="12" t="e">
        <f t="shared" si="0"/>
        <v>#VALUE!</v>
      </c>
      <c r="L38" t="str">
        <f>MAIN!C43</f>
        <v/>
      </c>
    </row>
    <row r="39" spans="1:12" x14ac:dyDescent="0.3">
      <c r="A39">
        <f>IF(J39="0",0,IF(COUNTIF($J$2:J39,J39)=1,1,0))</f>
        <v>0</v>
      </c>
      <c r="B39" s="12" t="e">
        <f>MID(MAIN!A44,K39,2)</f>
        <v>#VALUE!</v>
      </c>
      <c r="C39" s="12" t="e">
        <f t="shared" si="1"/>
        <v>#VALUE!</v>
      </c>
      <c r="D39" s="12" t="e">
        <f>MID(MAIN!A44,K39+2,2)</f>
        <v>#VALUE!</v>
      </c>
      <c r="E39" s="12" t="e">
        <f>MID(MAIN!A44,K39+4,2)</f>
        <v>#VALUE!</v>
      </c>
      <c r="F39" s="2" t="e">
        <f t="shared" si="2"/>
        <v>#VALUE!</v>
      </c>
      <c r="G39" s="13" t="e">
        <f t="shared" si="3"/>
        <v>#VALUE!</v>
      </c>
      <c r="J39" t="str">
        <f>MAIN!A44&amp;"B"</f>
        <v>B</v>
      </c>
      <c r="K39" s="12" t="e">
        <f t="shared" si="0"/>
        <v>#VALUE!</v>
      </c>
      <c r="L39" t="str">
        <f>MAIN!C44</f>
        <v/>
      </c>
    </row>
    <row r="40" spans="1:12" x14ac:dyDescent="0.3">
      <c r="A40">
        <f>IF(J40="0",0,IF(COUNTIF($J$2:J40,J40)=1,1,0))</f>
        <v>0</v>
      </c>
      <c r="B40" s="12" t="e">
        <f>MID(MAIN!A45,K40,2)</f>
        <v>#VALUE!</v>
      </c>
      <c r="C40" s="12" t="e">
        <f t="shared" si="1"/>
        <v>#VALUE!</v>
      </c>
      <c r="D40" s="12" t="e">
        <f>MID(MAIN!A45,K40+2,2)</f>
        <v>#VALUE!</v>
      </c>
      <c r="E40" s="12" t="e">
        <f>MID(MAIN!A45,K40+4,2)</f>
        <v>#VALUE!</v>
      </c>
      <c r="F40" s="2" t="e">
        <f t="shared" si="2"/>
        <v>#VALUE!</v>
      </c>
      <c r="G40" s="13" t="e">
        <f t="shared" si="3"/>
        <v>#VALUE!</v>
      </c>
      <c r="J40" t="str">
        <f>MAIN!A45&amp;"B"</f>
        <v>B</v>
      </c>
      <c r="K40" s="12" t="e">
        <f t="shared" si="0"/>
        <v>#VALUE!</v>
      </c>
      <c r="L40" t="str">
        <f>MAIN!C45</f>
        <v/>
      </c>
    </row>
    <row r="41" spans="1:12" x14ac:dyDescent="0.3">
      <c r="A41">
        <f>IF(J41="0",0,IF(COUNTIF($J$2:J41,J41)=1,1,0))</f>
        <v>0</v>
      </c>
      <c r="B41" s="12" t="e">
        <f>MID(MAIN!A46,K41,2)</f>
        <v>#VALUE!</v>
      </c>
      <c r="C41" s="12" t="e">
        <f t="shared" si="1"/>
        <v>#VALUE!</v>
      </c>
      <c r="D41" s="12" t="e">
        <f>MID(MAIN!A46,K41+2,2)</f>
        <v>#VALUE!</v>
      </c>
      <c r="E41" s="12" t="e">
        <f>MID(MAIN!A46,K41+4,2)</f>
        <v>#VALUE!</v>
      </c>
      <c r="F41" s="2" t="e">
        <f t="shared" si="2"/>
        <v>#VALUE!</v>
      </c>
      <c r="G41" s="13" t="e">
        <f t="shared" si="3"/>
        <v>#VALUE!</v>
      </c>
      <c r="J41" t="str">
        <f>MAIN!A46&amp;"B"</f>
        <v>B</v>
      </c>
      <c r="K41" s="12" t="e">
        <f t="shared" si="0"/>
        <v>#VALUE!</v>
      </c>
      <c r="L41" t="str">
        <f>MAIN!C46</f>
        <v/>
      </c>
    </row>
    <row r="42" spans="1:12" x14ac:dyDescent="0.3">
      <c r="A42">
        <f>IF(J42="0",0,IF(COUNTIF($J$2:J42,J42)=1,1,0))</f>
        <v>0</v>
      </c>
      <c r="B42" s="12" t="e">
        <f>MID(MAIN!A47,K42,2)</f>
        <v>#VALUE!</v>
      </c>
      <c r="C42" s="12" t="e">
        <f t="shared" si="1"/>
        <v>#VALUE!</v>
      </c>
      <c r="D42" s="12" t="e">
        <f>MID(MAIN!A47,K42+2,2)</f>
        <v>#VALUE!</v>
      </c>
      <c r="E42" s="12" t="e">
        <f>MID(MAIN!A47,K42+4,2)</f>
        <v>#VALUE!</v>
      </c>
      <c r="F42" s="2" t="e">
        <f t="shared" si="2"/>
        <v>#VALUE!</v>
      </c>
      <c r="G42" s="13" t="e">
        <f t="shared" si="3"/>
        <v>#VALUE!</v>
      </c>
      <c r="J42" t="str">
        <f>MAIN!A47&amp;"B"</f>
        <v>B</v>
      </c>
      <c r="K42" s="12" t="e">
        <f t="shared" si="0"/>
        <v>#VALUE!</v>
      </c>
      <c r="L42" t="str">
        <f>MAIN!C47</f>
        <v/>
      </c>
    </row>
    <row r="43" spans="1:12" x14ac:dyDescent="0.3">
      <c r="A43">
        <f>IF(J43="0",0,IF(COUNTIF($J$2:J43,J43)=1,1,0))</f>
        <v>0</v>
      </c>
      <c r="B43" s="12" t="e">
        <f>MID(MAIN!A48,K43,2)</f>
        <v>#VALUE!</v>
      </c>
      <c r="C43" s="12" t="e">
        <f t="shared" si="1"/>
        <v>#VALUE!</v>
      </c>
      <c r="D43" s="12" t="e">
        <f>MID(MAIN!A48,K43+2,2)</f>
        <v>#VALUE!</v>
      </c>
      <c r="E43" s="12" t="e">
        <f>MID(MAIN!A48,K43+4,2)</f>
        <v>#VALUE!</v>
      </c>
      <c r="F43" s="2" t="e">
        <f t="shared" si="2"/>
        <v>#VALUE!</v>
      </c>
      <c r="G43" s="13" t="e">
        <f t="shared" si="3"/>
        <v>#VALUE!</v>
      </c>
      <c r="J43" t="str">
        <f>MAIN!A48&amp;"B"</f>
        <v>B</v>
      </c>
      <c r="K43" s="12" t="e">
        <f t="shared" si="0"/>
        <v>#VALUE!</v>
      </c>
      <c r="L43" t="str">
        <f>MAIN!C48</f>
        <v/>
      </c>
    </row>
    <row r="44" spans="1:12" x14ac:dyDescent="0.3">
      <c r="A44">
        <f>IF(J44="0",0,IF(COUNTIF($J$2:J44,J44)=1,1,0))</f>
        <v>0</v>
      </c>
      <c r="B44" s="12" t="e">
        <f>MID(MAIN!A49,K44,2)</f>
        <v>#VALUE!</v>
      </c>
      <c r="C44" s="12" t="e">
        <f t="shared" si="1"/>
        <v>#VALUE!</v>
      </c>
      <c r="D44" s="12" t="e">
        <f>MID(MAIN!A49,K44+2,2)</f>
        <v>#VALUE!</v>
      </c>
      <c r="E44" s="12" t="e">
        <f>MID(MAIN!A49,K44+4,2)</f>
        <v>#VALUE!</v>
      </c>
      <c r="F44" s="2" t="e">
        <f t="shared" si="2"/>
        <v>#VALUE!</v>
      </c>
      <c r="G44" s="13" t="e">
        <f t="shared" si="3"/>
        <v>#VALUE!</v>
      </c>
      <c r="J44" t="str">
        <f>MAIN!A49&amp;"B"</f>
        <v>B</v>
      </c>
      <c r="K44" s="12" t="e">
        <f t="shared" si="0"/>
        <v>#VALUE!</v>
      </c>
      <c r="L44" t="str">
        <f>MAIN!C49</f>
        <v/>
      </c>
    </row>
    <row r="45" spans="1:12" x14ac:dyDescent="0.3">
      <c r="A45">
        <f>IF(J45="0",0,IF(COUNTIF($J$2:J45,J45)=1,1,0))</f>
        <v>0</v>
      </c>
      <c r="B45" s="12" t="e">
        <f>MID(MAIN!A50,K45,2)</f>
        <v>#VALUE!</v>
      </c>
      <c r="C45" s="12" t="e">
        <f t="shared" si="1"/>
        <v>#VALUE!</v>
      </c>
      <c r="D45" s="12" t="e">
        <f>MID(MAIN!A50,K45+2,2)</f>
        <v>#VALUE!</v>
      </c>
      <c r="E45" s="12" t="e">
        <f>MID(MAIN!A50,K45+4,2)</f>
        <v>#VALUE!</v>
      </c>
      <c r="F45" s="2" t="e">
        <f t="shared" si="2"/>
        <v>#VALUE!</v>
      </c>
      <c r="G45" s="13" t="e">
        <f t="shared" si="3"/>
        <v>#VALUE!</v>
      </c>
      <c r="J45" t="str">
        <f>MAIN!A50&amp;"B"</f>
        <v>B</v>
      </c>
      <c r="K45" s="12" t="e">
        <f t="shared" si="0"/>
        <v>#VALUE!</v>
      </c>
      <c r="L45" t="str">
        <f>MAIN!C50</f>
        <v/>
      </c>
    </row>
    <row r="46" spans="1:12" x14ac:dyDescent="0.3">
      <c r="A46">
        <f>IF(J46="0",0,IF(COUNTIF($J$2:J46,J46)=1,1,0))</f>
        <v>0</v>
      </c>
      <c r="B46" s="12" t="e">
        <f>MID(MAIN!A51,K46,2)</f>
        <v>#VALUE!</v>
      </c>
      <c r="C46" s="12" t="e">
        <f t="shared" si="1"/>
        <v>#VALUE!</v>
      </c>
      <c r="D46" s="12" t="e">
        <f>MID(MAIN!A51,K46+2,2)</f>
        <v>#VALUE!</v>
      </c>
      <c r="E46" s="12" t="e">
        <f>MID(MAIN!A51,K46+4,2)</f>
        <v>#VALUE!</v>
      </c>
      <c r="F46" s="2" t="e">
        <f t="shared" si="2"/>
        <v>#VALUE!</v>
      </c>
      <c r="G46" s="13" t="e">
        <f t="shared" si="3"/>
        <v>#VALUE!</v>
      </c>
      <c r="J46" t="str">
        <f>MAIN!A51&amp;"B"</f>
        <v>B</v>
      </c>
      <c r="K46" s="12" t="e">
        <f t="shared" si="0"/>
        <v>#VALUE!</v>
      </c>
      <c r="L46" t="str">
        <f>MAIN!C51</f>
        <v/>
      </c>
    </row>
    <row r="47" spans="1:12" x14ac:dyDescent="0.3">
      <c r="A47">
        <f>IF(J47="0",0,IF(COUNTIF($J$2:J47,J47)=1,1,0))</f>
        <v>0</v>
      </c>
      <c r="B47" s="12" t="e">
        <f>MID(MAIN!A52,K47,2)</f>
        <v>#VALUE!</v>
      </c>
      <c r="C47" s="12" t="e">
        <f t="shared" si="1"/>
        <v>#VALUE!</v>
      </c>
      <c r="D47" s="12" t="e">
        <f>MID(MAIN!A52,K47+2,2)</f>
        <v>#VALUE!</v>
      </c>
      <c r="E47" s="12" t="e">
        <f>MID(MAIN!A52,K47+4,2)</f>
        <v>#VALUE!</v>
      </c>
      <c r="F47" s="2" t="e">
        <f t="shared" si="2"/>
        <v>#VALUE!</v>
      </c>
      <c r="G47" s="13" t="e">
        <f t="shared" si="3"/>
        <v>#VALUE!</v>
      </c>
      <c r="J47" t="str">
        <f>MAIN!A52&amp;"B"</f>
        <v>B</v>
      </c>
      <c r="K47" s="12" t="e">
        <f t="shared" si="0"/>
        <v>#VALUE!</v>
      </c>
      <c r="L47" t="str">
        <f>MAIN!C52</f>
        <v/>
      </c>
    </row>
    <row r="48" spans="1:12" x14ac:dyDescent="0.3">
      <c r="A48">
        <f>IF(J48="0",0,IF(COUNTIF($J$2:J48,J48)=1,1,0))</f>
        <v>0</v>
      </c>
      <c r="B48" s="12" t="e">
        <f>MID(MAIN!A53,K48,2)</f>
        <v>#VALUE!</v>
      </c>
      <c r="C48" s="12" t="e">
        <f t="shared" si="1"/>
        <v>#VALUE!</v>
      </c>
      <c r="D48" s="12" t="e">
        <f>MID(MAIN!A53,K48+2,2)</f>
        <v>#VALUE!</v>
      </c>
      <c r="E48" s="12" t="e">
        <f>MID(MAIN!A53,K48+4,2)</f>
        <v>#VALUE!</v>
      </c>
      <c r="F48" s="2" t="e">
        <f t="shared" si="2"/>
        <v>#VALUE!</v>
      </c>
      <c r="G48" s="13" t="e">
        <f t="shared" si="3"/>
        <v>#VALUE!</v>
      </c>
      <c r="J48" t="str">
        <f>MAIN!A53&amp;"B"</f>
        <v>B</v>
      </c>
      <c r="K48" s="12" t="e">
        <f t="shared" si="0"/>
        <v>#VALUE!</v>
      </c>
      <c r="L48" t="str">
        <f>MAIN!C53</f>
        <v/>
      </c>
    </row>
    <row r="49" spans="1:12" x14ac:dyDescent="0.3">
      <c r="A49">
        <f>IF(J49="0",0,IF(COUNTIF($J$2:J49,J49)=1,1,0))</f>
        <v>0</v>
      </c>
      <c r="B49" s="12" t="e">
        <f>MID(MAIN!A54,K49,2)</f>
        <v>#VALUE!</v>
      </c>
      <c r="C49" s="12" t="e">
        <f t="shared" si="1"/>
        <v>#VALUE!</v>
      </c>
      <c r="D49" s="12" t="e">
        <f>MID(MAIN!A54,K49+2,2)</f>
        <v>#VALUE!</v>
      </c>
      <c r="E49" s="12" t="e">
        <f>MID(MAIN!A54,K49+4,2)</f>
        <v>#VALUE!</v>
      </c>
      <c r="F49" s="2" t="e">
        <f t="shared" si="2"/>
        <v>#VALUE!</v>
      </c>
      <c r="G49" s="13" t="e">
        <f t="shared" si="3"/>
        <v>#VALUE!</v>
      </c>
      <c r="J49" t="str">
        <f>MAIN!A54&amp;"B"</f>
        <v>B</v>
      </c>
      <c r="K49" s="12" t="e">
        <f t="shared" si="0"/>
        <v>#VALUE!</v>
      </c>
      <c r="L49" t="str">
        <f>MAIN!C54</f>
        <v/>
      </c>
    </row>
    <row r="50" spans="1:12" x14ac:dyDescent="0.3">
      <c r="A50">
        <f>IF(J50="0",0,IF(COUNTIF($J$2:J50,J50)=1,1,0))</f>
        <v>0</v>
      </c>
      <c r="B50" s="12" t="e">
        <f>MID(MAIN!A55,K50,2)</f>
        <v>#VALUE!</v>
      </c>
      <c r="C50" s="12" t="e">
        <f t="shared" si="1"/>
        <v>#VALUE!</v>
      </c>
      <c r="D50" s="12" t="e">
        <f>MID(MAIN!A55,K50+2,2)</f>
        <v>#VALUE!</v>
      </c>
      <c r="E50" s="12" t="e">
        <f>MID(MAIN!A55,K50+4,2)</f>
        <v>#VALUE!</v>
      </c>
      <c r="F50" s="2" t="e">
        <f t="shared" si="2"/>
        <v>#VALUE!</v>
      </c>
      <c r="G50" s="13" t="e">
        <f t="shared" si="3"/>
        <v>#VALUE!</v>
      </c>
      <c r="J50" t="str">
        <f>MAIN!A55&amp;"B"</f>
        <v>B</v>
      </c>
      <c r="K50" s="12" t="e">
        <f t="shared" si="0"/>
        <v>#VALUE!</v>
      </c>
      <c r="L50" t="str">
        <f>MAIN!C55</f>
        <v/>
      </c>
    </row>
    <row r="51" spans="1:12" x14ac:dyDescent="0.3">
      <c r="A51">
        <f>IF(J51="0",0,IF(COUNTIF($J$2:J51,J51)=1,1,0))</f>
        <v>0</v>
      </c>
      <c r="B51" s="12" t="e">
        <f>MID(MAIN!A56,K51,2)</f>
        <v>#VALUE!</v>
      </c>
      <c r="C51" s="12" t="e">
        <f t="shared" si="1"/>
        <v>#VALUE!</v>
      </c>
      <c r="D51" s="12" t="e">
        <f>MID(MAIN!A56,K51+2,2)</f>
        <v>#VALUE!</v>
      </c>
      <c r="E51" s="12" t="e">
        <f>MID(MAIN!A56,K51+4,2)</f>
        <v>#VALUE!</v>
      </c>
      <c r="F51" s="2" t="e">
        <f t="shared" si="2"/>
        <v>#VALUE!</v>
      </c>
      <c r="G51" s="13" t="e">
        <f t="shared" si="3"/>
        <v>#VALUE!</v>
      </c>
      <c r="J51" t="str">
        <f>MAIN!A56&amp;"B"</f>
        <v>B</v>
      </c>
      <c r="K51" s="12" t="e">
        <f t="shared" si="0"/>
        <v>#VALUE!</v>
      </c>
      <c r="L51" t="str">
        <f>MAIN!C56</f>
        <v/>
      </c>
    </row>
    <row r="52" spans="1:12" x14ac:dyDescent="0.3">
      <c r="A52">
        <f>IF(J52="0",0,IF(COUNTIF($J$2:J52,J52)=1,1,0))</f>
        <v>0</v>
      </c>
      <c r="B52" s="12" t="e">
        <f>MID(MAIN!A57,K52,2)</f>
        <v>#VALUE!</v>
      </c>
      <c r="C52" s="12" t="e">
        <f t="shared" si="1"/>
        <v>#VALUE!</v>
      </c>
      <c r="D52" s="12" t="e">
        <f>MID(MAIN!A57,K52+2,2)</f>
        <v>#VALUE!</v>
      </c>
      <c r="E52" s="12" t="e">
        <f>MID(MAIN!A57,K52+4,2)</f>
        <v>#VALUE!</v>
      </c>
      <c r="F52" s="2" t="e">
        <f t="shared" si="2"/>
        <v>#VALUE!</v>
      </c>
      <c r="G52" s="13" t="e">
        <f t="shared" si="3"/>
        <v>#VALUE!</v>
      </c>
      <c r="J52" t="str">
        <f>MAIN!A57&amp;"B"</f>
        <v>B</v>
      </c>
      <c r="K52" s="12" t="e">
        <f t="shared" si="0"/>
        <v>#VALUE!</v>
      </c>
      <c r="L52" t="str">
        <f>MAIN!C57</f>
        <v/>
      </c>
    </row>
    <row r="53" spans="1:12" x14ac:dyDescent="0.3">
      <c r="A53">
        <f>IF(J53="0",0,IF(COUNTIF($J$2:J53,J53)=1,1,0))</f>
        <v>0</v>
      </c>
      <c r="B53" s="12" t="e">
        <f>MID(MAIN!A58,K53,2)</f>
        <v>#VALUE!</v>
      </c>
      <c r="C53" s="12" t="e">
        <f t="shared" si="1"/>
        <v>#VALUE!</v>
      </c>
      <c r="D53" s="12" t="e">
        <f>MID(MAIN!A58,K53+2,2)</f>
        <v>#VALUE!</v>
      </c>
      <c r="E53" s="12" t="e">
        <f>MID(MAIN!A58,K53+4,2)</f>
        <v>#VALUE!</v>
      </c>
      <c r="F53" s="2" t="e">
        <f t="shared" si="2"/>
        <v>#VALUE!</v>
      </c>
      <c r="G53" s="13" t="e">
        <f t="shared" si="3"/>
        <v>#VALUE!</v>
      </c>
      <c r="J53" t="str">
        <f>MAIN!A58&amp;"B"</f>
        <v>B</v>
      </c>
      <c r="K53" s="12" t="e">
        <f t="shared" si="0"/>
        <v>#VALUE!</v>
      </c>
      <c r="L53" t="str">
        <f>MAIN!C58</f>
        <v/>
      </c>
    </row>
    <row r="54" spans="1:12" x14ac:dyDescent="0.3">
      <c r="A54">
        <f>IF(J54="0",0,IF(COUNTIF($J$2:J54,J54)=1,1,0))</f>
        <v>0</v>
      </c>
      <c r="B54" s="12" t="e">
        <f>MID(MAIN!A59,K54,2)</f>
        <v>#VALUE!</v>
      </c>
      <c r="C54" s="12" t="e">
        <f t="shared" si="1"/>
        <v>#VALUE!</v>
      </c>
      <c r="D54" s="12" t="e">
        <f>MID(MAIN!A59,K54+2,2)</f>
        <v>#VALUE!</v>
      </c>
      <c r="E54" s="12" t="e">
        <f>MID(MAIN!A59,K54+4,2)</f>
        <v>#VALUE!</v>
      </c>
      <c r="F54" s="2" t="e">
        <f t="shared" si="2"/>
        <v>#VALUE!</v>
      </c>
      <c r="G54" s="13" t="e">
        <f t="shared" si="3"/>
        <v>#VALUE!</v>
      </c>
      <c r="J54" t="str">
        <f>MAIN!A59&amp;"B"</f>
        <v>B</v>
      </c>
      <c r="K54" s="12" t="e">
        <f t="shared" si="0"/>
        <v>#VALUE!</v>
      </c>
      <c r="L54" t="str">
        <f>MAIN!C59</f>
        <v/>
      </c>
    </row>
    <row r="55" spans="1:12" x14ac:dyDescent="0.3">
      <c r="A55">
        <f>IF(J55="0",0,IF(COUNTIF($J$2:J55,J55)=1,1,0))</f>
        <v>0</v>
      </c>
      <c r="B55" s="12" t="e">
        <f>MID(MAIN!A60,K55,2)</f>
        <v>#VALUE!</v>
      </c>
      <c r="C55" s="12" t="e">
        <f t="shared" si="1"/>
        <v>#VALUE!</v>
      </c>
      <c r="D55" s="12" t="e">
        <f>MID(MAIN!A60,K55+2,2)</f>
        <v>#VALUE!</v>
      </c>
      <c r="E55" s="12" t="e">
        <f>MID(MAIN!A60,K55+4,2)</f>
        <v>#VALUE!</v>
      </c>
      <c r="F55" s="2" t="e">
        <f t="shared" si="2"/>
        <v>#VALUE!</v>
      </c>
      <c r="G55" s="13" t="e">
        <f t="shared" si="3"/>
        <v>#VALUE!</v>
      </c>
      <c r="J55" t="str">
        <f>MAIN!A60&amp;"B"</f>
        <v>B</v>
      </c>
      <c r="K55" s="12" t="e">
        <f t="shared" si="0"/>
        <v>#VALUE!</v>
      </c>
      <c r="L55" t="str">
        <f>MAIN!C60</f>
        <v/>
      </c>
    </row>
    <row r="56" spans="1:12" x14ac:dyDescent="0.3">
      <c r="A56">
        <f>IF(J56="0",0,IF(COUNTIF($J$2:J56,J56)=1,1,0))</f>
        <v>0</v>
      </c>
      <c r="B56" s="12" t="e">
        <f>MID(MAIN!A61,K56,2)</f>
        <v>#VALUE!</v>
      </c>
      <c r="C56" s="12" t="e">
        <f t="shared" si="1"/>
        <v>#VALUE!</v>
      </c>
      <c r="D56" s="12" t="e">
        <f>MID(MAIN!A61,K56+2,2)</f>
        <v>#VALUE!</v>
      </c>
      <c r="E56" s="12" t="e">
        <f>MID(MAIN!A61,K56+4,2)</f>
        <v>#VALUE!</v>
      </c>
      <c r="F56" s="2" t="e">
        <f t="shared" si="2"/>
        <v>#VALUE!</v>
      </c>
      <c r="G56" s="13" t="e">
        <f t="shared" si="3"/>
        <v>#VALUE!</v>
      </c>
      <c r="J56" t="str">
        <f>MAIN!A61&amp;"B"</f>
        <v>B</v>
      </c>
      <c r="K56" s="12" t="e">
        <f t="shared" si="0"/>
        <v>#VALUE!</v>
      </c>
      <c r="L56" t="str">
        <f>MAIN!C61</f>
        <v/>
      </c>
    </row>
    <row r="57" spans="1:12" x14ac:dyDescent="0.3">
      <c r="A57">
        <f>IF(J57="0",0,IF(COUNTIF($J$2:J57,J57)=1,1,0))</f>
        <v>0</v>
      </c>
      <c r="B57" s="12" t="e">
        <f>MID(MAIN!A62,K57,2)</f>
        <v>#VALUE!</v>
      </c>
      <c r="C57" s="12" t="e">
        <f t="shared" si="1"/>
        <v>#VALUE!</v>
      </c>
      <c r="D57" s="12" t="e">
        <f>MID(MAIN!A62,K57+2,2)</f>
        <v>#VALUE!</v>
      </c>
      <c r="E57" s="12" t="e">
        <f>MID(MAIN!A62,K57+4,2)</f>
        <v>#VALUE!</v>
      </c>
      <c r="F57" s="2" t="e">
        <f t="shared" si="2"/>
        <v>#VALUE!</v>
      </c>
      <c r="G57" s="13" t="e">
        <f t="shared" si="3"/>
        <v>#VALUE!</v>
      </c>
      <c r="J57" t="str">
        <f>MAIN!A62&amp;"B"</f>
        <v>B</v>
      </c>
      <c r="K57" s="12" t="e">
        <f t="shared" si="0"/>
        <v>#VALUE!</v>
      </c>
      <c r="L57" t="str">
        <f>MAIN!C62</f>
        <v/>
      </c>
    </row>
    <row r="58" spans="1:12" x14ac:dyDescent="0.3">
      <c r="A58">
        <f>IF(J58="0",0,IF(COUNTIF($J$2:J58,J58)=1,1,0))</f>
        <v>0</v>
      </c>
      <c r="B58" s="12" t="e">
        <f>MID(MAIN!A63,K58,2)</f>
        <v>#VALUE!</v>
      </c>
      <c r="C58" s="12" t="e">
        <f t="shared" si="1"/>
        <v>#VALUE!</v>
      </c>
      <c r="D58" s="12" t="e">
        <f>MID(MAIN!A63,K58+2,2)</f>
        <v>#VALUE!</v>
      </c>
      <c r="E58" s="12" t="e">
        <f>MID(MAIN!A63,K58+4,2)</f>
        <v>#VALUE!</v>
      </c>
      <c r="F58" s="2" t="e">
        <f t="shared" si="2"/>
        <v>#VALUE!</v>
      </c>
      <c r="G58" s="13" t="e">
        <f t="shared" si="3"/>
        <v>#VALUE!</v>
      </c>
      <c r="J58" t="str">
        <f>MAIN!A63&amp;"B"</f>
        <v>B</v>
      </c>
      <c r="K58" s="12" t="e">
        <f t="shared" si="0"/>
        <v>#VALUE!</v>
      </c>
      <c r="L58" t="str">
        <f>MAIN!C63</f>
        <v/>
      </c>
    </row>
    <row r="59" spans="1:12" x14ac:dyDescent="0.3">
      <c r="A59">
        <f>IF(J59="0",0,IF(COUNTIF($J$2:J59,J59)=1,1,0))</f>
        <v>0</v>
      </c>
      <c r="B59" s="12" t="e">
        <f>MID(MAIN!A64,K59,2)</f>
        <v>#VALUE!</v>
      </c>
      <c r="C59" s="12" t="e">
        <f t="shared" si="1"/>
        <v>#VALUE!</v>
      </c>
      <c r="D59" s="12" t="e">
        <f>MID(MAIN!A64,K59+2,2)</f>
        <v>#VALUE!</v>
      </c>
      <c r="E59" s="12" t="e">
        <f>MID(MAIN!A64,K59+4,2)</f>
        <v>#VALUE!</v>
      </c>
      <c r="F59" s="2" t="e">
        <f t="shared" si="2"/>
        <v>#VALUE!</v>
      </c>
      <c r="G59" s="13" t="e">
        <f t="shared" si="3"/>
        <v>#VALUE!</v>
      </c>
      <c r="J59" t="str">
        <f>MAIN!A64&amp;"B"</f>
        <v>B</v>
      </c>
      <c r="K59" s="12" t="e">
        <f t="shared" si="0"/>
        <v>#VALUE!</v>
      </c>
      <c r="L59" t="str">
        <f>MAIN!C64</f>
        <v/>
      </c>
    </row>
    <row r="60" spans="1:12" x14ac:dyDescent="0.3">
      <c r="A60">
        <f>IF(J60="0",0,IF(COUNTIF($J$2:J60,J60)=1,1,0))</f>
        <v>0</v>
      </c>
      <c r="B60" s="12" t="e">
        <f>MID(MAIN!A65,K60,2)</f>
        <v>#VALUE!</v>
      </c>
      <c r="C60" s="12" t="e">
        <f t="shared" si="1"/>
        <v>#VALUE!</v>
      </c>
      <c r="D60" s="12" t="e">
        <f>MID(MAIN!A65,K60+2,2)</f>
        <v>#VALUE!</v>
      </c>
      <c r="E60" s="12" t="e">
        <f>MID(MAIN!A65,K60+4,2)</f>
        <v>#VALUE!</v>
      </c>
      <c r="F60" s="2" t="e">
        <f t="shared" si="2"/>
        <v>#VALUE!</v>
      </c>
      <c r="G60" s="13" t="e">
        <f t="shared" si="3"/>
        <v>#VALUE!</v>
      </c>
      <c r="J60" t="str">
        <f>MAIN!A65&amp;"B"</f>
        <v>B</v>
      </c>
      <c r="K60" s="12" t="e">
        <f t="shared" si="0"/>
        <v>#VALUE!</v>
      </c>
      <c r="L60" t="str">
        <f>MAIN!C65</f>
        <v/>
      </c>
    </row>
    <row r="61" spans="1:12" x14ac:dyDescent="0.3">
      <c r="A61">
        <f>IF(J61="0",0,IF(COUNTIF($J$2:J61,J61)=1,1,0))</f>
        <v>0</v>
      </c>
      <c r="B61" s="12" t="e">
        <f>MID(MAIN!A66,K61,2)</f>
        <v>#VALUE!</v>
      </c>
      <c r="C61" s="12" t="e">
        <f t="shared" si="1"/>
        <v>#VALUE!</v>
      </c>
      <c r="D61" s="12" t="e">
        <f>MID(MAIN!A66,K61+2,2)</f>
        <v>#VALUE!</v>
      </c>
      <c r="E61" s="12" t="e">
        <f>MID(MAIN!A66,K61+4,2)</f>
        <v>#VALUE!</v>
      </c>
      <c r="F61" s="2" t="e">
        <f t="shared" si="2"/>
        <v>#VALUE!</v>
      </c>
      <c r="G61" s="13" t="e">
        <f t="shared" si="3"/>
        <v>#VALUE!</v>
      </c>
      <c r="J61" t="str">
        <f>MAIN!A66&amp;"B"</f>
        <v>B</v>
      </c>
      <c r="K61" s="12" t="e">
        <f t="shared" si="0"/>
        <v>#VALUE!</v>
      </c>
      <c r="L61" t="str">
        <f>MAIN!C66</f>
        <v/>
      </c>
    </row>
    <row r="62" spans="1:12" x14ac:dyDescent="0.3">
      <c r="A62">
        <f>IF(J62="0",0,IF(COUNTIF($J$2:J62,J62)=1,1,0))</f>
        <v>0</v>
      </c>
      <c r="B62" s="12" t="e">
        <f>MID(MAIN!A67,K62,2)</f>
        <v>#VALUE!</v>
      </c>
      <c r="C62" s="12" t="e">
        <f t="shared" si="1"/>
        <v>#VALUE!</v>
      </c>
      <c r="D62" s="12" t="e">
        <f>MID(MAIN!A67,K62+2,2)</f>
        <v>#VALUE!</v>
      </c>
      <c r="E62" s="12" t="e">
        <f>MID(MAIN!A67,K62+4,2)</f>
        <v>#VALUE!</v>
      </c>
      <c r="F62" s="2" t="e">
        <f t="shared" si="2"/>
        <v>#VALUE!</v>
      </c>
      <c r="G62" s="13" t="e">
        <f t="shared" si="3"/>
        <v>#VALUE!</v>
      </c>
      <c r="J62" t="str">
        <f>MAIN!A67&amp;"B"</f>
        <v>B</v>
      </c>
      <c r="K62" s="12" t="e">
        <f t="shared" si="0"/>
        <v>#VALUE!</v>
      </c>
      <c r="L62" t="str">
        <f>MAIN!C67</f>
        <v/>
      </c>
    </row>
    <row r="63" spans="1:12" x14ac:dyDescent="0.3">
      <c r="A63">
        <f>IF(J63="0",0,IF(COUNTIF($J$2:J63,J63)=1,1,0))</f>
        <v>0</v>
      </c>
      <c r="B63" s="12" t="e">
        <f>MID(MAIN!A68,K63,2)</f>
        <v>#VALUE!</v>
      </c>
      <c r="C63" s="12" t="e">
        <f t="shared" si="1"/>
        <v>#VALUE!</v>
      </c>
      <c r="D63" s="12" t="e">
        <f>MID(MAIN!A68,K63+2,2)</f>
        <v>#VALUE!</v>
      </c>
      <c r="E63" s="12" t="e">
        <f>MID(MAIN!A68,K63+4,2)</f>
        <v>#VALUE!</v>
      </c>
      <c r="F63" s="2" t="e">
        <f t="shared" si="2"/>
        <v>#VALUE!</v>
      </c>
      <c r="G63" s="13" t="e">
        <f t="shared" si="3"/>
        <v>#VALUE!</v>
      </c>
      <c r="J63" t="str">
        <f>MAIN!A68&amp;"B"</f>
        <v>B</v>
      </c>
      <c r="K63" s="12" t="e">
        <f t="shared" si="0"/>
        <v>#VALUE!</v>
      </c>
      <c r="L63" t="str">
        <f>MAIN!C68</f>
        <v/>
      </c>
    </row>
    <row r="64" spans="1:12" x14ac:dyDescent="0.3">
      <c r="A64">
        <f>IF(J64="0",0,IF(COUNTIF($J$2:J64,J64)=1,1,0))</f>
        <v>0</v>
      </c>
      <c r="B64" s="12" t="e">
        <f>MID(MAIN!A69,K64,2)</f>
        <v>#VALUE!</v>
      </c>
      <c r="C64" s="12" t="e">
        <f t="shared" si="1"/>
        <v>#VALUE!</v>
      </c>
      <c r="D64" s="12" t="e">
        <f>MID(MAIN!A69,K64+2,2)</f>
        <v>#VALUE!</v>
      </c>
      <c r="E64" s="12" t="e">
        <f>MID(MAIN!A69,K64+4,2)</f>
        <v>#VALUE!</v>
      </c>
      <c r="F64" s="2" t="e">
        <f t="shared" si="2"/>
        <v>#VALUE!</v>
      </c>
      <c r="G64" s="13" t="e">
        <f t="shared" si="3"/>
        <v>#VALUE!</v>
      </c>
      <c r="J64" t="str">
        <f>MAIN!A69&amp;"B"</f>
        <v>B</v>
      </c>
      <c r="K64" s="12" t="e">
        <f t="shared" si="0"/>
        <v>#VALUE!</v>
      </c>
      <c r="L64" t="str">
        <f>MAIN!C69</f>
        <v/>
      </c>
    </row>
    <row r="65" spans="1:12" x14ac:dyDescent="0.3">
      <c r="A65">
        <f>IF(J65="0",0,IF(COUNTIF($J$2:J65,J65)=1,1,0))</f>
        <v>0</v>
      </c>
      <c r="B65" s="12" t="e">
        <f>MID(MAIN!A70,K65,2)</f>
        <v>#VALUE!</v>
      </c>
      <c r="C65" s="12" t="e">
        <f t="shared" si="1"/>
        <v>#VALUE!</v>
      </c>
      <c r="D65" s="12" t="e">
        <f>MID(MAIN!A70,K65+2,2)</f>
        <v>#VALUE!</v>
      </c>
      <c r="E65" s="12" t="e">
        <f>MID(MAIN!A70,K65+4,2)</f>
        <v>#VALUE!</v>
      </c>
      <c r="F65" s="2" t="e">
        <f t="shared" si="2"/>
        <v>#VALUE!</v>
      </c>
      <c r="G65" s="13" t="e">
        <f t="shared" si="3"/>
        <v>#VALUE!</v>
      </c>
      <c r="J65" t="str">
        <f>MAIN!A70&amp;"B"</f>
        <v>B</v>
      </c>
      <c r="K65" s="12" t="e">
        <f t="shared" si="0"/>
        <v>#VALUE!</v>
      </c>
      <c r="L65" t="str">
        <f>MAIN!C70</f>
        <v/>
      </c>
    </row>
    <row r="66" spans="1:12" x14ac:dyDescent="0.3">
      <c r="A66">
        <f>IF(J66="0",0,IF(COUNTIF($J$2:J66,J66)=1,1,0))</f>
        <v>0</v>
      </c>
      <c r="B66" s="12" t="e">
        <f>MID(MAIN!A71,K66,2)</f>
        <v>#VALUE!</v>
      </c>
      <c r="C66" s="12" t="e">
        <f t="shared" si="1"/>
        <v>#VALUE!</v>
      </c>
      <c r="D66" s="12" t="e">
        <f>MID(MAIN!A71,K66+2,2)</f>
        <v>#VALUE!</v>
      </c>
      <c r="E66" s="12" t="e">
        <f>MID(MAIN!A71,K66+4,2)</f>
        <v>#VALUE!</v>
      </c>
      <c r="F66" s="2" t="e">
        <f t="shared" si="2"/>
        <v>#VALUE!</v>
      </c>
      <c r="G66" s="13" t="e">
        <f t="shared" si="3"/>
        <v>#VALUE!</v>
      </c>
      <c r="J66" t="str">
        <f>MAIN!A71&amp;"B"</f>
        <v>B</v>
      </c>
      <c r="K66" s="12" t="e">
        <f t="shared" si="0"/>
        <v>#VALUE!</v>
      </c>
      <c r="L66" t="str">
        <f>MAIN!C71</f>
        <v/>
      </c>
    </row>
    <row r="67" spans="1:12" x14ac:dyDescent="0.3">
      <c r="A67">
        <f>IF(J67="0",0,IF(COUNTIF($J$2:J67,J67)=1,1,0))</f>
        <v>0</v>
      </c>
      <c r="B67" s="12" t="e">
        <f>MID(MAIN!A72,K67,2)</f>
        <v>#VALUE!</v>
      </c>
      <c r="C67" s="12" t="e">
        <f t="shared" ref="C67:C130" si="4">"20"&amp;B67</f>
        <v>#VALUE!</v>
      </c>
      <c r="D67" s="12" t="e">
        <f>MID(MAIN!A72,K67+2,2)</f>
        <v>#VALUE!</v>
      </c>
      <c r="E67" s="12" t="e">
        <f>MID(MAIN!A72,K67+4,2)</f>
        <v>#VALUE!</v>
      </c>
      <c r="F67" s="2" t="e">
        <f t="shared" ref="F67:F130" si="5">C67&amp;"/"&amp;D67&amp;"/"&amp;E67</f>
        <v>#VALUE!</v>
      </c>
      <c r="G67" s="13" t="e">
        <f t="shared" ref="G67:G130" si="6">DATEVALUE(F67)</f>
        <v>#VALUE!</v>
      </c>
      <c r="J67" t="str">
        <f>MAIN!A72&amp;"B"</f>
        <v>B</v>
      </c>
      <c r="K67" s="12" t="e">
        <f t="shared" ref="K67:K129" si="7">FIND("172",J67,30)+2</f>
        <v>#VALUE!</v>
      </c>
      <c r="L67" t="str">
        <f>MAIN!C72</f>
        <v/>
      </c>
    </row>
    <row r="68" spans="1:12" x14ac:dyDescent="0.3">
      <c r="A68">
        <f>IF(J68="0",0,IF(COUNTIF($J$2:J68,J68)=1,1,0))</f>
        <v>0</v>
      </c>
      <c r="B68" s="12" t="e">
        <f>MID(MAIN!A73,K68,2)</f>
        <v>#VALUE!</v>
      </c>
      <c r="C68" s="12" t="e">
        <f t="shared" si="4"/>
        <v>#VALUE!</v>
      </c>
      <c r="D68" s="12" t="e">
        <f>MID(MAIN!A73,K68+2,2)</f>
        <v>#VALUE!</v>
      </c>
      <c r="E68" s="12" t="e">
        <f>MID(MAIN!A73,K68+4,2)</f>
        <v>#VALUE!</v>
      </c>
      <c r="F68" s="2" t="e">
        <f t="shared" si="5"/>
        <v>#VALUE!</v>
      </c>
      <c r="G68" s="13" t="e">
        <f t="shared" si="6"/>
        <v>#VALUE!</v>
      </c>
      <c r="J68" t="str">
        <f>MAIN!A73&amp;"B"</f>
        <v>B</v>
      </c>
      <c r="K68" s="12" t="e">
        <f t="shared" si="7"/>
        <v>#VALUE!</v>
      </c>
      <c r="L68" t="str">
        <f>MAIN!C73</f>
        <v/>
      </c>
    </row>
    <row r="69" spans="1:12" x14ac:dyDescent="0.3">
      <c r="A69">
        <f>IF(J69="0",0,IF(COUNTIF($J$2:J69,J69)=1,1,0))</f>
        <v>0</v>
      </c>
      <c r="B69" s="12" t="e">
        <f>MID(MAIN!A74,K69,2)</f>
        <v>#VALUE!</v>
      </c>
      <c r="C69" s="12" t="e">
        <f t="shared" si="4"/>
        <v>#VALUE!</v>
      </c>
      <c r="D69" s="12" t="e">
        <f>MID(MAIN!A74,K69+2,2)</f>
        <v>#VALUE!</v>
      </c>
      <c r="E69" s="12" t="e">
        <f>MID(MAIN!A74,K69+4,2)</f>
        <v>#VALUE!</v>
      </c>
      <c r="F69" s="2" t="e">
        <f t="shared" si="5"/>
        <v>#VALUE!</v>
      </c>
      <c r="G69" s="13" t="e">
        <f t="shared" si="6"/>
        <v>#VALUE!</v>
      </c>
      <c r="J69" t="str">
        <f>MAIN!A74&amp;"B"</f>
        <v>B</v>
      </c>
      <c r="K69" s="12" t="e">
        <f t="shared" si="7"/>
        <v>#VALUE!</v>
      </c>
      <c r="L69" t="str">
        <f>MAIN!C74</f>
        <v/>
      </c>
    </row>
    <row r="70" spans="1:12" x14ac:dyDescent="0.3">
      <c r="A70">
        <f>IF(J70="0",0,IF(COUNTIF($J$2:J70,J70)=1,1,0))</f>
        <v>0</v>
      </c>
      <c r="B70" s="12" t="e">
        <f>MID(MAIN!A75,K70,2)</f>
        <v>#VALUE!</v>
      </c>
      <c r="C70" s="12" t="e">
        <f t="shared" si="4"/>
        <v>#VALUE!</v>
      </c>
      <c r="D70" s="12" t="e">
        <f>MID(MAIN!A75,K70+2,2)</f>
        <v>#VALUE!</v>
      </c>
      <c r="E70" s="12" t="e">
        <f>MID(MAIN!A75,K70+4,2)</f>
        <v>#VALUE!</v>
      </c>
      <c r="F70" s="2" t="e">
        <f t="shared" si="5"/>
        <v>#VALUE!</v>
      </c>
      <c r="G70" s="13" t="e">
        <f t="shared" si="6"/>
        <v>#VALUE!</v>
      </c>
      <c r="J70" t="str">
        <f>MAIN!A75&amp;"B"</f>
        <v>B</v>
      </c>
      <c r="K70" s="12" t="e">
        <f t="shared" si="7"/>
        <v>#VALUE!</v>
      </c>
      <c r="L70" t="str">
        <f>MAIN!C75</f>
        <v/>
      </c>
    </row>
    <row r="71" spans="1:12" x14ac:dyDescent="0.3">
      <c r="A71">
        <f>IF(J71="0",0,IF(COUNTIF($J$2:J71,J71)=1,1,0))</f>
        <v>0</v>
      </c>
      <c r="B71" s="12" t="e">
        <f>MID(MAIN!A76,K71,2)</f>
        <v>#VALUE!</v>
      </c>
      <c r="C71" s="12" t="e">
        <f t="shared" si="4"/>
        <v>#VALUE!</v>
      </c>
      <c r="D71" s="12" t="e">
        <f>MID(MAIN!A76,K71+2,2)</f>
        <v>#VALUE!</v>
      </c>
      <c r="E71" s="12" t="e">
        <f>MID(MAIN!A76,K71+4,2)</f>
        <v>#VALUE!</v>
      </c>
      <c r="F71" s="2" t="e">
        <f t="shared" si="5"/>
        <v>#VALUE!</v>
      </c>
      <c r="G71" s="13" t="e">
        <f t="shared" si="6"/>
        <v>#VALUE!</v>
      </c>
      <c r="J71" t="str">
        <f>MAIN!A76&amp;"B"</f>
        <v>B</v>
      </c>
      <c r="K71" s="12" t="e">
        <f t="shared" si="7"/>
        <v>#VALUE!</v>
      </c>
      <c r="L71" t="str">
        <f>MAIN!C76</f>
        <v/>
      </c>
    </row>
    <row r="72" spans="1:12" x14ac:dyDescent="0.3">
      <c r="A72">
        <f>IF(J72="0",0,IF(COUNTIF($J$2:J72,J72)=1,1,0))</f>
        <v>0</v>
      </c>
      <c r="B72" s="12" t="e">
        <f>MID(MAIN!A77,K72,2)</f>
        <v>#VALUE!</v>
      </c>
      <c r="C72" s="12" t="e">
        <f t="shared" si="4"/>
        <v>#VALUE!</v>
      </c>
      <c r="D72" s="12" t="e">
        <f>MID(MAIN!A77,K72+2,2)</f>
        <v>#VALUE!</v>
      </c>
      <c r="E72" s="12" t="e">
        <f>MID(MAIN!A77,K72+4,2)</f>
        <v>#VALUE!</v>
      </c>
      <c r="F72" s="2" t="e">
        <f t="shared" si="5"/>
        <v>#VALUE!</v>
      </c>
      <c r="G72" s="13" t="e">
        <f t="shared" si="6"/>
        <v>#VALUE!</v>
      </c>
      <c r="J72" t="str">
        <f>MAIN!A77&amp;"B"</f>
        <v>B</v>
      </c>
      <c r="K72" s="12" t="e">
        <f t="shared" si="7"/>
        <v>#VALUE!</v>
      </c>
      <c r="L72" t="str">
        <f>MAIN!C77</f>
        <v/>
      </c>
    </row>
    <row r="73" spans="1:12" x14ac:dyDescent="0.3">
      <c r="A73">
        <f>IF(J73="0",0,IF(COUNTIF($J$2:J73,J73)=1,1,0))</f>
        <v>0</v>
      </c>
      <c r="B73" s="12" t="e">
        <f>MID(MAIN!A78,K73,2)</f>
        <v>#VALUE!</v>
      </c>
      <c r="C73" s="12" t="e">
        <f t="shared" si="4"/>
        <v>#VALUE!</v>
      </c>
      <c r="D73" s="12" t="e">
        <f>MID(MAIN!A78,K73+2,2)</f>
        <v>#VALUE!</v>
      </c>
      <c r="E73" s="12" t="e">
        <f>MID(MAIN!A78,K73+4,2)</f>
        <v>#VALUE!</v>
      </c>
      <c r="F73" s="2" t="e">
        <f t="shared" si="5"/>
        <v>#VALUE!</v>
      </c>
      <c r="G73" s="13" t="e">
        <f t="shared" si="6"/>
        <v>#VALUE!</v>
      </c>
      <c r="J73" t="str">
        <f>MAIN!A78&amp;"B"</f>
        <v>B</v>
      </c>
      <c r="K73" s="12" t="e">
        <f t="shared" si="7"/>
        <v>#VALUE!</v>
      </c>
      <c r="L73" t="str">
        <f>MAIN!C78</f>
        <v/>
      </c>
    </row>
    <row r="74" spans="1:12" x14ac:dyDescent="0.3">
      <c r="A74">
        <f>IF(J74="0",0,IF(COUNTIF($J$2:J74,J74)=1,1,0))</f>
        <v>0</v>
      </c>
      <c r="B74" s="12" t="e">
        <f>MID(MAIN!A79,K74,2)</f>
        <v>#VALUE!</v>
      </c>
      <c r="C74" s="12" t="e">
        <f t="shared" si="4"/>
        <v>#VALUE!</v>
      </c>
      <c r="D74" s="12" t="e">
        <f>MID(MAIN!A79,K74+2,2)</f>
        <v>#VALUE!</v>
      </c>
      <c r="E74" s="12" t="e">
        <f>MID(MAIN!A79,K74+4,2)</f>
        <v>#VALUE!</v>
      </c>
      <c r="F74" s="2" t="e">
        <f t="shared" si="5"/>
        <v>#VALUE!</v>
      </c>
      <c r="G74" s="13" t="e">
        <f t="shared" si="6"/>
        <v>#VALUE!</v>
      </c>
      <c r="J74" t="str">
        <f>MAIN!A79&amp;"B"</f>
        <v>B</v>
      </c>
      <c r="K74" s="12" t="e">
        <f t="shared" si="7"/>
        <v>#VALUE!</v>
      </c>
      <c r="L74" t="str">
        <f>MAIN!C79</f>
        <v/>
      </c>
    </row>
    <row r="75" spans="1:12" x14ac:dyDescent="0.3">
      <c r="A75">
        <f>IF(J75="0",0,IF(COUNTIF($J$2:J75,J75)=1,1,0))</f>
        <v>0</v>
      </c>
      <c r="B75" s="12" t="e">
        <f>MID(MAIN!A80,K75,2)</f>
        <v>#VALUE!</v>
      </c>
      <c r="C75" s="12" t="e">
        <f t="shared" si="4"/>
        <v>#VALUE!</v>
      </c>
      <c r="D75" s="12" t="e">
        <f>MID(MAIN!A80,K75+2,2)</f>
        <v>#VALUE!</v>
      </c>
      <c r="E75" s="12" t="e">
        <f>MID(MAIN!A80,K75+4,2)</f>
        <v>#VALUE!</v>
      </c>
      <c r="F75" s="2" t="e">
        <f t="shared" si="5"/>
        <v>#VALUE!</v>
      </c>
      <c r="G75" s="13" t="e">
        <f t="shared" si="6"/>
        <v>#VALUE!</v>
      </c>
      <c r="J75" t="str">
        <f>MAIN!A80&amp;"B"</f>
        <v>B</v>
      </c>
      <c r="K75" s="12" t="e">
        <f t="shared" si="7"/>
        <v>#VALUE!</v>
      </c>
      <c r="L75" t="str">
        <f>MAIN!C80</f>
        <v/>
      </c>
    </row>
    <row r="76" spans="1:12" x14ac:dyDescent="0.3">
      <c r="A76">
        <f>IF(J76="0",0,IF(COUNTIF($J$2:J76,J76)=1,1,0))</f>
        <v>0</v>
      </c>
      <c r="B76" s="12" t="e">
        <f>MID(MAIN!A81,K76,2)</f>
        <v>#VALUE!</v>
      </c>
      <c r="C76" s="12" t="e">
        <f t="shared" si="4"/>
        <v>#VALUE!</v>
      </c>
      <c r="D76" s="12" t="e">
        <f>MID(MAIN!A81,K76+2,2)</f>
        <v>#VALUE!</v>
      </c>
      <c r="E76" s="12" t="e">
        <f>MID(MAIN!A81,K76+4,2)</f>
        <v>#VALUE!</v>
      </c>
      <c r="F76" s="2" t="e">
        <f t="shared" si="5"/>
        <v>#VALUE!</v>
      </c>
      <c r="G76" s="13" t="e">
        <f t="shared" si="6"/>
        <v>#VALUE!</v>
      </c>
      <c r="J76" t="str">
        <f>MAIN!A81&amp;"B"</f>
        <v>B</v>
      </c>
      <c r="K76" s="12" t="e">
        <f t="shared" si="7"/>
        <v>#VALUE!</v>
      </c>
      <c r="L76" t="str">
        <f>MAIN!C81</f>
        <v/>
      </c>
    </row>
    <row r="77" spans="1:12" x14ac:dyDescent="0.3">
      <c r="A77">
        <f>IF(J77="0",0,IF(COUNTIF($J$2:J77,J77)=1,1,0))</f>
        <v>0</v>
      </c>
      <c r="B77" s="12" t="e">
        <f>MID(MAIN!A82,K77,2)</f>
        <v>#VALUE!</v>
      </c>
      <c r="C77" s="12" t="e">
        <f t="shared" si="4"/>
        <v>#VALUE!</v>
      </c>
      <c r="D77" s="12" t="e">
        <f>MID(MAIN!A82,K77+2,2)</f>
        <v>#VALUE!</v>
      </c>
      <c r="E77" s="12" t="e">
        <f>MID(MAIN!A82,K77+4,2)</f>
        <v>#VALUE!</v>
      </c>
      <c r="F77" s="2" t="e">
        <f t="shared" si="5"/>
        <v>#VALUE!</v>
      </c>
      <c r="G77" s="13" t="e">
        <f t="shared" si="6"/>
        <v>#VALUE!</v>
      </c>
      <c r="J77" t="str">
        <f>MAIN!A82&amp;"B"</f>
        <v>B</v>
      </c>
      <c r="K77" s="12" t="e">
        <f t="shared" si="7"/>
        <v>#VALUE!</v>
      </c>
      <c r="L77" t="str">
        <f>MAIN!C82</f>
        <v/>
      </c>
    </row>
    <row r="78" spans="1:12" x14ac:dyDescent="0.3">
      <c r="A78">
        <f>IF(J78="0",0,IF(COUNTIF($J$2:J78,J78)=1,1,0))</f>
        <v>0</v>
      </c>
      <c r="B78" s="12" t="e">
        <f>MID(MAIN!A83,K78,2)</f>
        <v>#VALUE!</v>
      </c>
      <c r="C78" s="12" t="e">
        <f t="shared" si="4"/>
        <v>#VALUE!</v>
      </c>
      <c r="D78" s="12" t="e">
        <f>MID(MAIN!A83,K78+2,2)</f>
        <v>#VALUE!</v>
      </c>
      <c r="E78" s="12" t="e">
        <f>MID(MAIN!A83,K78+4,2)</f>
        <v>#VALUE!</v>
      </c>
      <c r="F78" s="2" t="e">
        <f t="shared" si="5"/>
        <v>#VALUE!</v>
      </c>
      <c r="G78" s="13" t="e">
        <f t="shared" si="6"/>
        <v>#VALUE!</v>
      </c>
      <c r="J78" t="str">
        <f>MAIN!A83&amp;"B"</f>
        <v>B</v>
      </c>
      <c r="K78" s="12" t="e">
        <f t="shared" si="7"/>
        <v>#VALUE!</v>
      </c>
      <c r="L78" t="str">
        <f>MAIN!C83</f>
        <v/>
      </c>
    </row>
    <row r="79" spans="1:12" x14ac:dyDescent="0.3">
      <c r="A79">
        <f>IF(J79="0",0,IF(COUNTIF($J$2:J79,J79)=1,1,0))</f>
        <v>0</v>
      </c>
      <c r="B79" s="12" t="e">
        <f>MID(MAIN!A84,K79,2)</f>
        <v>#VALUE!</v>
      </c>
      <c r="C79" s="12" t="e">
        <f t="shared" si="4"/>
        <v>#VALUE!</v>
      </c>
      <c r="D79" s="12" t="e">
        <f>MID(MAIN!A84,K79+2,2)</f>
        <v>#VALUE!</v>
      </c>
      <c r="E79" s="12" t="e">
        <f>MID(MAIN!A84,K79+4,2)</f>
        <v>#VALUE!</v>
      </c>
      <c r="F79" s="2" t="e">
        <f t="shared" si="5"/>
        <v>#VALUE!</v>
      </c>
      <c r="G79" s="13" t="e">
        <f t="shared" si="6"/>
        <v>#VALUE!</v>
      </c>
      <c r="J79" t="str">
        <f>MAIN!A84&amp;"B"</f>
        <v>B</v>
      </c>
      <c r="K79" s="12" t="e">
        <f t="shared" si="7"/>
        <v>#VALUE!</v>
      </c>
      <c r="L79" t="str">
        <f>MAIN!C84</f>
        <v/>
      </c>
    </row>
    <row r="80" spans="1:12" x14ac:dyDescent="0.3">
      <c r="A80">
        <f>IF(J80="0",0,IF(COUNTIF($J$2:J80,J80)=1,1,0))</f>
        <v>0</v>
      </c>
      <c r="B80" s="12" t="e">
        <f>MID(MAIN!A85,K80,2)</f>
        <v>#VALUE!</v>
      </c>
      <c r="C80" s="12" t="e">
        <f t="shared" si="4"/>
        <v>#VALUE!</v>
      </c>
      <c r="D80" s="12" t="e">
        <f>MID(MAIN!A85,K80+2,2)</f>
        <v>#VALUE!</v>
      </c>
      <c r="E80" s="12" t="e">
        <f>MID(MAIN!A85,K80+4,2)</f>
        <v>#VALUE!</v>
      </c>
      <c r="F80" s="2" t="e">
        <f t="shared" si="5"/>
        <v>#VALUE!</v>
      </c>
      <c r="G80" s="13" t="e">
        <f t="shared" si="6"/>
        <v>#VALUE!</v>
      </c>
      <c r="J80" t="str">
        <f>MAIN!A85&amp;"B"</f>
        <v>B</v>
      </c>
      <c r="K80" s="12" t="e">
        <f t="shared" si="7"/>
        <v>#VALUE!</v>
      </c>
      <c r="L80" t="str">
        <f>MAIN!C85</f>
        <v/>
      </c>
    </row>
    <row r="81" spans="1:12" x14ac:dyDescent="0.3">
      <c r="A81">
        <f>IF(J81="0",0,IF(COUNTIF($J$2:J81,J81)=1,1,0))</f>
        <v>0</v>
      </c>
      <c r="B81" s="12" t="e">
        <f>MID(MAIN!A86,K81,2)</f>
        <v>#VALUE!</v>
      </c>
      <c r="C81" s="12" t="e">
        <f t="shared" si="4"/>
        <v>#VALUE!</v>
      </c>
      <c r="D81" s="12" t="e">
        <f>MID(MAIN!A86,K81+2,2)</f>
        <v>#VALUE!</v>
      </c>
      <c r="E81" s="12" t="e">
        <f>MID(MAIN!A86,K81+4,2)</f>
        <v>#VALUE!</v>
      </c>
      <c r="F81" s="2" t="e">
        <f t="shared" si="5"/>
        <v>#VALUE!</v>
      </c>
      <c r="G81" s="13" t="e">
        <f t="shared" si="6"/>
        <v>#VALUE!</v>
      </c>
      <c r="J81" t="str">
        <f>MAIN!A86&amp;"B"</f>
        <v>B</v>
      </c>
      <c r="K81" s="12" t="e">
        <f t="shared" si="7"/>
        <v>#VALUE!</v>
      </c>
      <c r="L81" t="str">
        <f>MAIN!C86</f>
        <v/>
      </c>
    </row>
    <row r="82" spans="1:12" x14ac:dyDescent="0.3">
      <c r="A82">
        <f>IF(J82="0",0,IF(COUNTIF($J$2:J82,J82)=1,1,0))</f>
        <v>0</v>
      </c>
      <c r="B82" s="12" t="e">
        <f>MID(MAIN!A87,K82,2)</f>
        <v>#VALUE!</v>
      </c>
      <c r="C82" s="12" t="e">
        <f t="shared" si="4"/>
        <v>#VALUE!</v>
      </c>
      <c r="D82" s="12" t="e">
        <f>MID(MAIN!A87,K82+2,2)</f>
        <v>#VALUE!</v>
      </c>
      <c r="E82" s="12" t="e">
        <f>MID(MAIN!A87,K82+4,2)</f>
        <v>#VALUE!</v>
      </c>
      <c r="F82" s="2" t="e">
        <f t="shared" si="5"/>
        <v>#VALUE!</v>
      </c>
      <c r="G82" s="13" t="e">
        <f t="shared" si="6"/>
        <v>#VALUE!</v>
      </c>
      <c r="J82" t="str">
        <f>MAIN!A87&amp;"B"</f>
        <v>B</v>
      </c>
      <c r="K82" s="12" t="e">
        <f t="shared" si="7"/>
        <v>#VALUE!</v>
      </c>
      <c r="L82" t="str">
        <f>MAIN!C87</f>
        <v/>
      </c>
    </row>
    <row r="83" spans="1:12" x14ac:dyDescent="0.3">
      <c r="A83">
        <f>IF(J83="0",0,IF(COUNTIF($J$2:J83,J83)=1,1,0))</f>
        <v>0</v>
      </c>
      <c r="B83" s="12" t="e">
        <f>MID(MAIN!A88,K83,2)</f>
        <v>#VALUE!</v>
      </c>
      <c r="C83" s="12" t="e">
        <f t="shared" si="4"/>
        <v>#VALUE!</v>
      </c>
      <c r="D83" s="12" t="e">
        <f>MID(MAIN!A88,K83+2,2)</f>
        <v>#VALUE!</v>
      </c>
      <c r="E83" s="12" t="e">
        <f>MID(MAIN!A88,K83+4,2)</f>
        <v>#VALUE!</v>
      </c>
      <c r="F83" s="2" t="e">
        <f t="shared" si="5"/>
        <v>#VALUE!</v>
      </c>
      <c r="G83" s="13" t="e">
        <f t="shared" si="6"/>
        <v>#VALUE!</v>
      </c>
      <c r="J83" t="str">
        <f>MAIN!A88&amp;"B"</f>
        <v>B</v>
      </c>
      <c r="K83" s="12" t="e">
        <f t="shared" si="7"/>
        <v>#VALUE!</v>
      </c>
      <c r="L83" t="str">
        <f>MAIN!C88</f>
        <v/>
      </c>
    </row>
    <row r="84" spans="1:12" x14ac:dyDescent="0.3">
      <c r="A84">
        <f>IF(J84="0",0,IF(COUNTIF($J$2:J84,J84)=1,1,0))</f>
        <v>0</v>
      </c>
      <c r="B84" s="12" t="e">
        <f>MID(MAIN!A89,K84,2)</f>
        <v>#VALUE!</v>
      </c>
      <c r="C84" s="12" t="e">
        <f t="shared" si="4"/>
        <v>#VALUE!</v>
      </c>
      <c r="D84" s="12" t="e">
        <f>MID(MAIN!A89,K84+2,2)</f>
        <v>#VALUE!</v>
      </c>
      <c r="E84" s="12" t="e">
        <f>MID(MAIN!A89,K84+4,2)</f>
        <v>#VALUE!</v>
      </c>
      <c r="F84" s="2" t="e">
        <f t="shared" si="5"/>
        <v>#VALUE!</v>
      </c>
      <c r="G84" s="13" t="e">
        <f t="shared" si="6"/>
        <v>#VALUE!</v>
      </c>
      <c r="J84" t="str">
        <f>MAIN!A89&amp;"B"</f>
        <v>B</v>
      </c>
      <c r="K84" s="12" t="e">
        <f t="shared" si="7"/>
        <v>#VALUE!</v>
      </c>
      <c r="L84" t="str">
        <f>MAIN!C89</f>
        <v/>
      </c>
    </row>
    <row r="85" spans="1:12" x14ac:dyDescent="0.3">
      <c r="A85">
        <f>IF(J85="0",0,IF(COUNTIF($J$2:J85,J85)=1,1,0))</f>
        <v>0</v>
      </c>
      <c r="B85" s="12" t="e">
        <f>MID(MAIN!A90,K85,2)</f>
        <v>#VALUE!</v>
      </c>
      <c r="C85" s="12" t="e">
        <f t="shared" si="4"/>
        <v>#VALUE!</v>
      </c>
      <c r="D85" s="12" t="e">
        <f>MID(MAIN!A90,K85+2,2)</f>
        <v>#VALUE!</v>
      </c>
      <c r="E85" s="12" t="e">
        <f>MID(MAIN!A90,K85+4,2)</f>
        <v>#VALUE!</v>
      </c>
      <c r="F85" s="2" t="e">
        <f t="shared" si="5"/>
        <v>#VALUE!</v>
      </c>
      <c r="G85" s="13" t="e">
        <f t="shared" si="6"/>
        <v>#VALUE!</v>
      </c>
      <c r="J85" t="str">
        <f>MAIN!A90&amp;"B"</f>
        <v>B</v>
      </c>
      <c r="K85" s="12" t="e">
        <f t="shared" si="7"/>
        <v>#VALUE!</v>
      </c>
      <c r="L85" t="str">
        <f>MAIN!C90</f>
        <v/>
      </c>
    </row>
    <row r="86" spans="1:12" x14ac:dyDescent="0.3">
      <c r="A86">
        <f>IF(J86="0",0,IF(COUNTIF($J$2:J86,J86)=1,1,0))</f>
        <v>0</v>
      </c>
      <c r="B86" s="12" t="e">
        <f>MID(MAIN!A91,K86,2)</f>
        <v>#VALUE!</v>
      </c>
      <c r="C86" s="12" t="e">
        <f t="shared" si="4"/>
        <v>#VALUE!</v>
      </c>
      <c r="D86" s="12" t="e">
        <f>MID(MAIN!A91,K86+2,2)</f>
        <v>#VALUE!</v>
      </c>
      <c r="E86" s="12" t="e">
        <f>MID(MAIN!A91,K86+4,2)</f>
        <v>#VALUE!</v>
      </c>
      <c r="F86" s="2" t="e">
        <f t="shared" si="5"/>
        <v>#VALUE!</v>
      </c>
      <c r="G86" s="13" t="e">
        <f t="shared" si="6"/>
        <v>#VALUE!</v>
      </c>
      <c r="J86" t="str">
        <f>MAIN!A91&amp;"B"</f>
        <v>B</v>
      </c>
      <c r="K86" s="12" t="e">
        <f t="shared" si="7"/>
        <v>#VALUE!</v>
      </c>
      <c r="L86" t="str">
        <f>MAIN!C91</f>
        <v/>
      </c>
    </row>
    <row r="87" spans="1:12" x14ac:dyDescent="0.3">
      <c r="A87">
        <f>IF(J87="0",0,IF(COUNTIF($J$2:J87,J87)=1,1,0))</f>
        <v>0</v>
      </c>
      <c r="B87" s="12" t="e">
        <f>MID(MAIN!A92,K87,2)</f>
        <v>#VALUE!</v>
      </c>
      <c r="C87" s="12" t="e">
        <f t="shared" si="4"/>
        <v>#VALUE!</v>
      </c>
      <c r="D87" s="12" t="e">
        <f>MID(MAIN!A92,K87+2,2)</f>
        <v>#VALUE!</v>
      </c>
      <c r="E87" s="12" t="e">
        <f>MID(MAIN!A92,K87+4,2)</f>
        <v>#VALUE!</v>
      </c>
      <c r="F87" s="2" t="e">
        <f t="shared" si="5"/>
        <v>#VALUE!</v>
      </c>
      <c r="G87" s="13" t="e">
        <f t="shared" si="6"/>
        <v>#VALUE!</v>
      </c>
      <c r="J87" t="str">
        <f>MAIN!A92&amp;"B"</f>
        <v>B</v>
      </c>
      <c r="K87" s="12" t="e">
        <f t="shared" si="7"/>
        <v>#VALUE!</v>
      </c>
      <c r="L87" t="str">
        <f>MAIN!C92</f>
        <v/>
      </c>
    </row>
    <row r="88" spans="1:12" x14ac:dyDescent="0.3">
      <c r="A88">
        <f>IF(J88="0",0,IF(COUNTIF($J$2:J88,J88)=1,1,0))</f>
        <v>0</v>
      </c>
      <c r="B88" s="12" t="e">
        <f>MID(MAIN!A93,K88,2)</f>
        <v>#VALUE!</v>
      </c>
      <c r="C88" s="12" t="e">
        <f t="shared" si="4"/>
        <v>#VALUE!</v>
      </c>
      <c r="D88" s="12" t="e">
        <f>MID(MAIN!A93,K88+2,2)</f>
        <v>#VALUE!</v>
      </c>
      <c r="E88" s="12" t="e">
        <f>MID(MAIN!A93,K88+4,2)</f>
        <v>#VALUE!</v>
      </c>
      <c r="F88" s="2" t="e">
        <f t="shared" si="5"/>
        <v>#VALUE!</v>
      </c>
      <c r="G88" s="13" t="e">
        <f t="shared" si="6"/>
        <v>#VALUE!</v>
      </c>
      <c r="J88" t="str">
        <f>MAIN!A93&amp;"B"</f>
        <v>B</v>
      </c>
      <c r="K88" s="12" t="e">
        <f t="shared" si="7"/>
        <v>#VALUE!</v>
      </c>
      <c r="L88" t="str">
        <f>MAIN!C93</f>
        <v/>
      </c>
    </row>
    <row r="89" spans="1:12" x14ac:dyDescent="0.3">
      <c r="A89">
        <f>IF(J89="0",0,IF(COUNTIF($J$2:J89,J89)=1,1,0))</f>
        <v>0</v>
      </c>
      <c r="B89" s="12" t="e">
        <f>MID(MAIN!A94,K89,2)</f>
        <v>#VALUE!</v>
      </c>
      <c r="C89" s="12" t="e">
        <f t="shared" si="4"/>
        <v>#VALUE!</v>
      </c>
      <c r="D89" s="12" t="e">
        <f>MID(MAIN!A94,K89+2,2)</f>
        <v>#VALUE!</v>
      </c>
      <c r="E89" s="12" t="e">
        <f>MID(MAIN!A94,K89+4,2)</f>
        <v>#VALUE!</v>
      </c>
      <c r="F89" s="2" t="e">
        <f t="shared" si="5"/>
        <v>#VALUE!</v>
      </c>
      <c r="G89" s="13" t="e">
        <f t="shared" si="6"/>
        <v>#VALUE!</v>
      </c>
      <c r="J89" t="str">
        <f>MAIN!A94&amp;"B"</f>
        <v>B</v>
      </c>
      <c r="K89" s="12" t="e">
        <f t="shared" si="7"/>
        <v>#VALUE!</v>
      </c>
      <c r="L89" t="str">
        <f>MAIN!C94</f>
        <v/>
      </c>
    </row>
    <row r="90" spans="1:12" x14ac:dyDescent="0.3">
      <c r="A90">
        <f>IF(J90="0",0,IF(COUNTIF($J$2:J90,J90)=1,1,0))</f>
        <v>0</v>
      </c>
      <c r="B90" s="12" t="e">
        <f>MID(MAIN!A95,K90,2)</f>
        <v>#VALUE!</v>
      </c>
      <c r="C90" s="12" t="e">
        <f t="shared" si="4"/>
        <v>#VALUE!</v>
      </c>
      <c r="D90" s="12" t="e">
        <f>MID(MAIN!A95,K90+2,2)</f>
        <v>#VALUE!</v>
      </c>
      <c r="E90" s="12" t="e">
        <f>MID(MAIN!A95,K90+4,2)</f>
        <v>#VALUE!</v>
      </c>
      <c r="F90" s="2" t="e">
        <f t="shared" si="5"/>
        <v>#VALUE!</v>
      </c>
      <c r="G90" s="13" t="e">
        <f t="shared" si="6"/>
        <v>#VALUE!</v>
      </c>
      <c r="J90" t="str">
        <f>MAIN!A95&amp;"B"</f>
        <v>B</v>
      </c>
      <c r="K90" s="12" t="e">
        <f t="shared" si="7"/>
        <v>#VALUE!</v>
      </c>
      <c r="L90" t="str">
        <f>MAIN!C95</f>
        <v/>
      </c>
    </row>
    <row r="91" spans="1:12" x14ac:dyDescent="0.3">
      <c r="A91">
        <f>IF(J91="0",0,IF(COUNTIF($J$2:J91,J91)=1,1,0))</f>
        <v>0</v>
      </c>
      <c r="B91" s="12" t="e">
        <f>MID(MAIN!A96,K91,2)</f>
        <v>#VALUE!</v>
      </c>
      <c r="C91" s="12" t="e">
        <f t="shared" si="4"/>
        <v>#VALUE!</v>
      </c>
      <c r="D91" s="12" t="e">
        <f>MID(MAIN!A96,K91+2,2)</f>
        <v>#VALUE!</v>
      </c>
      <c r="E91" s="12" t="e">
        <f>MID(MAIN!A96,K91+4,2)</f>
        <v>#VALUE!</v>
      </c>
      <c r="F91" s="2" t="e">
        <f t="shared" si="5"/>
        <v>#VALUE!</v>
      </c>
      <c r="G91" s="13" t="e">
        <f t="shared" si="6"/>
        <v>#VALUE!</v>
      </c>
      <c r="J91" t="str">
        <f>MAIN!A96&amp;"B"</f>
        <v>B</v>
      </c>
      <c r="K91" s="12" t="e">
        <f t="shared" si="7"/>
        <v>#VALUE!</v>
      </c>
      <c r="L91" t="str">
        <f>MAIN!C96</f>
        <v/>
      </c>
    </row>
    <row r="92" spans="1:12" x14ac:dyDescent="0.3">
      <c r="A92">
        <f>IF(J92="0",0,IF(COUNTIF($J$2:J92,J92)=1,1,0))</f>
        <v>0</v>
      </c>
      <c r="B92" s="12" t="e">
        <f>MID(MAIN!A97,K92,2)</f>
        <v>#VALUE!</v>
      </c>
      <c r="C92" s="12" t="e">
        <f t="shared" si="4"/>
        <v>#VALUE!</v>
      </c>
      <c r="D92" s="12" t="e">
        <f>MID(MAIN!A97,K92+2,2)</f>
        <v>#VALUE!</v>
      </c>
      <c r="E92" s="12" t="e">
        <f>MID(MAIN!A97,K92+4,2)</f>
        <v>#VALUE!</v>
      </c>
      <c r="F92" s="2" t="e">
        <f t="shared" si="5"/>
        <v>#VALUE!</v>
      </c>
      <c r="G92" s="13" t="e">
        <f t="shared" si="6"/>
        <v>#VALUE!</v>
      </c>
      <c r="J92" t="str">
        <f>MAIN!A97&amp;"B"</f>
        <v>B</v>
      </c>
      <c r="K92" s="12" t="e">
        <f t="shared" si="7"/>
        <v>#VALUE!</v>
      </c>
      <c r="L92" t="str">
        <f>MAIN!C97</f>
        <v/>
      </c>
    </row>
    <row r="93" spans="1:12" x14ac:dyDescent="0.3">
      <c r="A93">
        <f>IF(J93="0",0,IF(COUNTIF($J$2:J93,J93)=1,1,0))</f>
        <v>0</v>
      </c>
      <c r="B93" s="12" t="e">
        <f>MID(MAIN!A98,K93,2)</f>
        <v>#VALUE!</v>
      </c>
      <c r="C93" s="12" t="e">
        <f t="shared" si="4"/>
        <v>#VALUE!</v>
      </c>
      <c r="D93" s="12" t="e">
        <f>MID(MAIN!A98,K93+2,2)</f>
        <v>#VALUE!</v>
      </c>
      <c r="E93" s="12" t="e">
        <f>MID(MAIN!A98,K93+4,2)</f>
        <v>#VALUE!</v>
      </c>
      <c r="F93" s="2" t="e">
        <f t="shared" si="5"/>
        <v>#VALUE!</v>
      </c>
      <c r="G93" s="13" t="e">
        <f t="shared" si="6"/>
        <v>#VALUE!</v>
      </c>
      <c r="J93" t="str">
        <f>MAIN!A98&amp;"B"</f>
        <v>B</v>
      </c>
      <c r="K93" s="12" t="e">
        <f t="shared" si="7"/>
        <v>#VALUE!</v>
      </c>
      <c r="L93" t="str">
        <f>MAIN!C98</f>
        <v/>
      </c>
    </row>
    <row r="94" spans="1:12" x14ac:dyDescent="0.3">
      <c r="A94">
        <f>IF(J94="0",0,IF(COUNTIF($J$2:J94,J94)=1,1,0))</f>
        <v>0</v>
      </c>
      <c r="B94" s="12" t="e">
        <f>MID(MAIN!A99,K94,2)</f>
        <v>#VALUE!</v>
      </c>
      <c r="C94" s="12" t="e">
        <f t="shared" si="4"/>
        <v>#VALUE!</v>
      </c>
      <c r="D94" s="12" t="e">
        <f>MID(MAIN!A99,K94+2,2)</f>
        <v>#VALUE!</v>
      </c>
      <c r="E94" s="12" t="e">
        <f>MID(MAIN!A99,K94+4,2)</f>
        <v>#VALUE!</v>
      </c>
      <c r="F94" s="2" t="e">
        <f t="shared" si="5"/>
        <v>#VALUE!</v>
      </c>
      <c r="G94" s="13" t="e">
        <f t="shared" si="6"/>
        <v>#VALUE!</v>
      </c>
      <c r="J94" t="str">
        <f>MAIN!A99&amp;"B"</f>
        <v>B</v>
      </c>
      <c r="K94" s="12" t="e">
        <f t="shared" si="7"/>
        <v>#VALUE!</v>
      </c>
      <c r="L94" t="str">
        <f>MAIN!C99</f>
        <v/>
      </c>
    </row>
    <row r="95" spans="1:12" x14ac:dyDescent="0.3">
      <c r="A95">
        <f>IF(J95="0",0,IF(COUNTIF($J$2:J95,J95)=1,1,0))</f>
        <v>0</v>
      </c>
      <c r="B95" s="12" t="e">
        <f>MID(MAIN!A100,K95,2)</f>
        <v>#VALUE!</v>
      </c>
      <c r="C95" s="12" t="e">
        <f t="shared" si="4"/>
        <v>#VALUE!</v>
      </c>
      <c r="D95" s="12" t="e">
        <f>MID(MAIN!A100,K95+2,2)</f>
        <v>#VALUE!</v>
      </c>
      <c r="E95" s="12" t="e">
        <f>MID(MAIN!A100,K95+4,2)</f>
        <v>#VALUE!</v>
      </c>
      <c r="F95" s="2" t="e">
        <f t="shared" si="5"/>
        <v>#VALUE!</v>
      </c>
      <c r="G95" s="13" t="e">
        <f t="shared" si="6"/>
        <v>#VALUE!</v>
      </c>
      <c r="J95" t="str">
        <f>MAIN!A100&amp;"B"</f>
        <v>B</v>
      </c>
      <c r="K95" s="12" t="e">
        <f t="shared" si="7"/>
        <v>#VALUE!</v>
      </c>
      <c r="L95" t="str">
        <f>MAIN!C100</f>
        <v/>
      </c>
    </row>
    <row r="96" spans="1:12" x14ac:dyDescent="0.3">
      <c r="A96">
        <f>IF(J96="0",0,IF(COUNTIF($J$2:J96,J96)=1,1,0))</f>
        <v>0</v>
      </c>
      <c r="B96" s="12" t="e">
        <f>MID(MAIN!A101,K96,2)</f>
        <v>#VALUE!</v>
      </c>
      <c r="C96" s="12" t="e">
        <f t="shared" si="4"/>
        <v>#VALUE!</v>
      </c>
      <c r="D96" s="12" t="e">
        <f>MID(MAIN!A101,K96+2,2)</f>
        <v>#VALUE!</v>
      </c>
      <c r="E96" s="12" t="e">
        <f>MID(MAIN!A101,K96+4,2)</f>
        <v>#VALUE!</v>
      </c>
      <c r="F96" s="2" t="e">
        <f t="shared" si="5"/>
        <v>#VALUE!</v>
      </c>
      <c r="G96" s="13" t="e">
        <f t="shared" si="6"/>
        <v>#VALUE!</v>
      </c>
      <c r="J96" t="str">
        <f>MAIN!A101&amp;"B"</f>
        <v>B</v>
      </c>
      <c r="K96" s="12" t="e">
        <f t="shared" si="7"/>
        <v>#VALUE!</v>
      </c>
      <c r="L96" t="str">
        <f>MAIN!C101</f>
        <v/>
      </c>
    </row>
    <row r="97" spans="1:12" x14ac:dyDescent="0.3">
      <c r="A97">
        <f>IF(J97="0",0,IF(COUNTIF($J$2:J97,J97)=1,1,0))</f>
        <v>0</v>
      </c>
      <c r="B97" s="12" t="e">
        <f>MID(MAIN!A102,K97,2)</f>
        <v>#VALUE!</v>
      </c>
      <c r="C97" s="12" t="e">
        <f t="shared" si="4"/>
        <v>#VALUE!</v>
      </c>
      <c r="D97" s="12" t="e">
        <f>MID(MAIN!A102,K97+2,2)</f>
        <v>#VALUE!</v>
      </c>
      <c r="E97" s="12" t="e">
        <f>MID(MAIN!A102,K97+4,2)</f>
        <v>#VALUE!</v>
      </c>
      <c r="F97" s="2" t="e">
        <f t="shared" si="5"/>
        <v>#VALUE!</v>
      </c>
      <c r="G97" s="13" t="e">
        <f t="shared" si="6"/>
        <v>#VALUE!</v>
      </c>
      <c r="J97" t="str">
        <f>MAIN!A102&amp;"B"</f>
        <v>B</v>
      </c>
      <c r="K97" s="12" t="e">
        <f t="shared" si="7"/>
        <v>#VALUE!</v>
      </c>
      <c r="L97" t="str">
        <f>MAIN!C102</f>
        <v/>
      </c>
    </row>
    <row r="98" spans="1:12" x14ac:dyDescent="0.3">
      <c r="A98">
        <f>IF(J98="0",0,IF(COUNTIF($J$2:J98,J98)=1,1,0))</f>
        <v>0</v>
      </c>
      <c r="B98" s="12" t="e">
        <f>MID(MAIN!A103,K98,2)</f>
        <v>#VALUE!</v>
      </c>
      <c r="C98" s="12" t="e">
        <f t="shared" si="4"/>
        <v>#VALUE!</v>
      </c>
      <c r="D98" s="12" t="e">
        <f>MID(MAIN!A103,K98+2,2)</f>
        <v>#VALUE!</v>
      </c>
      <c r="E98" s="12" t="e">
        <f>MID(MAIN!A103,K98+4,2)</f>
        <v>#VALUE!</v>
      </c>
      <c r="F98" s="2" t="e">
        <f t="shared" si="5"/>
        <v>#VALUE!</v>
      </c>
      <c r="G98" s="13" t="e">
        <f t="shared" si="6"/>
        <v>#VALUE!</v>
      </c>
      <c r="J98" t="str">
        <f>MAIN!A103&amp;"B"</f>
        <v>B</v>
      </c>
      <c r="K98" s="12" t="e">
        <f t="shared" si="7"/>
        <v>#VALUE!</v>
      </c>
      <c r="L98" t="str">
        <f>MAIN!C103</f>
        <v/>
      </c>
    </row>
    <row r="99" spans="1:12" x14ac:dyDescent="0.3">
      <c r="A99">
        <f>IF(J99="0",0,IF(COUNTIF($J$2:J99,J99)=1,1,0))</f>
        <v>0</v>
      </c>
      <c r="B99" s="12" t="e">
        <f>MID(MAIN!A104,K99,2)</f>
        <v>#VALUE!</v>
      </c>
      <c r="C99" s="12" t="e">
        <f t="shared" si="4"/>
        <v>#VALUE!</v>
      </c>
      <c r="D99" s="12" t="e">
        <f>MID(MAIN!A104,K99+2,2)</f>
        <v>#VALUE!</v>
      </c>
      <c r="E99" s="12" t="e">
        <f>MID(MAIN!A104,K99+4,2)</f>
        <v>#VALUE!</v>
      </c>
      <c r="F99" s="2" t="e">
        <f t="shared" si="5"/>
        <v>#VALUE!</v>
      </c>
      <c r="G99" s="13" t="e">
        <f t="shared" si="6"/>
        <v>#VALUE!</v>
      </c>
      <c r="J99" t="str">
        <f>MAIN!A104&amp;"B"</f>
        <v>B</v>
      </c>
      <c r="K99" s="12" t="e">
        <f t="shared" si="7"/>
        <v>#VALUE!</v>
      </c>
      <c r="L99" t="str">
        <f>MAIN!C104</f>
        <v/>
      </c>
    </row>
    <row r="100" spans="1:12" x14ac:dyDescent="0.3">
      <c r="A100">
        <f>IF(J100="0",0,IF(COUNTIF($J$2:J100,J100)=1,1,0))</f>
        <v>0</v>
      </c>
      <c r="B100" s="12" t="e">
        <f>MID(MAIN!A105,K100,2)</f>
        <v>#VALUE!</v>
      </c>
      <c r="C100" s="12" t="e">
        <f t="shared" si="4"/>
        <v>#VALUE!</v>
      </c>
      <c r="D100" s="12" t="e">
        <f>MID(MAIN!A105,K100+2,2)</f>
        <v>#VALUE!</v>
      </c>
      <c r="E100" s="12" t="e">
        <f>MID(MAIN!A105,K100+4,2)</f>
        <v>#VALUE!</v>
      </c>
      <c r="F100" s="2" t="e">
        <f t="shared" si="5"/>
        <v>#VALUE!</v>
      </c>
      <c r="G100" s="13" t="e">
        <f t="shared" si="6"/>
        <v>#VALUE!</v>
      </c>
      <c r="J100" t="str">
        <f>MAIN!A105&amp;"B"</f>
        <v>B</v>
      </c>
      <c r="K100" s="12" t="e">
        <f t="shared" si="7"/>
        <v>#VALUE!</v>
      </c>
      <c r="L100" t="str">
        <f>MAIN!C105</f>
        <v/>
      </c>
    </row>
    <row r="101" spans="1:12" x14ac:dyDescent="0.3">
      <c r="A101">
        <f>IF(J101="0",0,IF(COUNTIF($J$2:J101,J101)=1,1,0))</f>
        <v>0</v>
      </c>
      <c r="B101" s="12" t="e">
        <f>MID(MAIN!A106,K101,2)</f>
        <v>#VALUE!</v>
      </c>
      <c r="C101" s="12" t="e">
        <f t="shared" si="4"/>
        <v>#VALUE!</v>
      </c>
      <c r="D101" s="12" t="e">
        <f>MID(MAIN!A106,K101+2,2)</f>
        <v>#VALUE!</v>
      </c>
      <c r="E101" s="12" t="e">
        <f>MID(MAIN!A106,K101+4,2)</f>
        <v>#VALUE!</v>
      </c>
      <c r="F101" s="2" t="e">
        <f t="shared" si="5"/>
        <v>#VALUE!</v>
      </c>
      <c r="G101" s="13" t="e">
        <f t="shared" si="6"/>
        <v>#VALUE!</v>
      </c>
      <c r="J101" t="str">
        <f>MAIN!A106&amp;"B"</f>
        <v>B</v>
      </c>
      <c r="K101" s="12" t="e">
        <f t="shared" si="7"/>
        <v>#VALUE!</v>
      </c>
      <c r="L101" t="str">
        <f>MAIN!C106</f>
        <v/>
      </c>
    </row>
    <row r="102" spans="1:12" x14ac:dyDescent="0.3">
      <c r="A102">
        <f>IF(J102="0",0,IF(COUNTIF($J$2:J102,J102)=1,1,0))</f>
        <v>0</v>
      </c>
      <c r="B102" s="12" t="e">
        <f>MID(MAIN!A107,K102,2)</f>
        <v>#VALUE!</v>
      </c>
      <c r="C102" s="12" t="e">
        <f t="shared" si="4"/>
        <v>#VALUE!</v>
      </c>
      <c r="D102" s="12" t="e">
        <f>MID(MAIN!A107,K102+2,2)</f>
        <v>#VALUE!</v>
      </c>
      <c r="E102" s="12" t="e">
        <f>MID(MAIN!A107,K102+4,2)</f>
        <v>#VALUE!</v>
      </c>
      <c r="F102" s="2" t="e">
        <f t="shared" si="5"/>
        <v>#VALUE!</v>
      </c>
      <c r="G102" s="13" t="e">
        <f t="shared" si="6"/>
        <v>#VALUE!</v>
      </c>
      <c r="J102" t="str">
        <f>MAIN!A107&amp;"B"</f>
        <v>B</v>
      </c>
      <c r="K102" s="12" t="e">
        <f t="shared" si="7"/>
        <v>#VALUE!</v>
      </c>
      <c r="L102" t="str">
        <f>MAIN!C107</f>
        <v/>
      </c>
    </row>
    <row r="103" spans="1:12" x14ac:dyDescent="0.3">
      <c r="A103">
        <f>IF(J103="0",0,IF(COUNTIF($J$2:J103,J103)=1,1,0))</f>
        <v>0</v>
      </c>
      <c r="B103" s="12" t="e">
        <f>MID(MAIN!A108,K103,2)</f>
        <v>#VALUE!</v>
      </c>
      <c r="C103" s="12" t="e">
        <f t="shared" si="4"/>
        <v>#VALUE!</v>
      </c>
      <c r="D103" s="12" t="e">
        <f>MID(MAIN!A108,K103+2,2)</f>
        <v>#VALUE!</v>
      </c>
      <c r="E103" s="12" t="e">
        <f>MID(MAIN!A108,K103+4,2)</f>
        <v>#VALUE!</v>
      </c>
      <c r="F103" s="2" t="e">
        <f t="shared" si="5"/>
        <v>#VALUE!</v>
      </c>
      <c r="G103" s="13" t="e">
        <f t="shared" si="6"/>
        <v>#VALUE!</v>
      </c>
      <c r="J103" t="str">
        <f>MAIN!A108&amp;"B"</f>
        <v>B</v>
      </c>
      <c r="K103" s="12" t="e">
        <f t="shared" si="7"/>
        <v>#VALUE!</v>
      </c>
      <c r="L103" t="str">
        <f>MAIN!C108</f>
        <v/>
      </c>
    </row>
    <row r="104" spans="1:12" x14ac:dyDescent="0.3">
      <c r="A104">
        <f>IF(J104="0",0,IF(COUNTIF($J$2:J104,J104)=1,1,0))</f>
        <v>0</v>
      </c>
      <c r="B104" s="12" t="e">
        <f>MID(MAIN!A109,K104,2)</f>
        <v>#VALUE!</v>
      </c>
      <c r="C104" s="12" t="e">
        <f t="shared" si="4"/>
        <v>#VALUE!</v>
      </c>
      <c r="D104" s="12" t="e">
        <f>MID(MAIN!A109,K104+2,2)</f>
        <v>#VALUE!</v>
      </c>
      <c r="E104" s="12" t="e">
        <f>MID(MAIN!A109,K104+4,2)</f>
        <v>#VALUE!</v>
      </c>
      <c r="F104" s="2" t="e">
        <f t="shared" si="5"/>
        <v>#VALUE!</v>
      </c>
      <c r="G104" s="13" t="e">
        <f t="shared" si="6"/>
        <v>#VALUE!</v>
      </c>
      <c r="J104" t="str">
        <f>MAIN!A109&amp;"B"</f>
        <v>B</v>
      </c>
      <c r="K104" s="12" t="e">
        <f t="shared" si="7"/>
        <v>#VALUE!</v>
      </c>
      <c r="L104" t="str">
        <f>MAIN!C109</f>
        <v/>
      </c>
    </row>
    <row r="105" spans="1:12" x14ac:dyDescent="0.3">
      <c r="A105">
        <f>IF(J105="0",0,IF(COUNTIF($J$2:J105,J105)=1,1,0))</f>
        <v>0</v>
      </c>
      <c r="B105" s="12" t="e">
        <f>MID(MAIN!A110,K105,2)</f>
        <v>#VALUE!</v>
      </c>
      <c r="C105" s="12" t="e">
        <f t="shared" si="4"/>
        <v>#VALUE!</v>
      </c>
      <c r="D105" s="12" t="e">
        <f>MID(MAIN!A110,K105+2,2)</f>
        <v>#VALUE!</v>
      </c>
      <c r="E105" s="12" t="e">
        <f>MID(MAIN!A110,K105+4,2)</f>
        <v>#VALUE!</v>
      </c>
      <c r="F105" s="2" t="e">
        <f t="shared" si="5"/>
        <v>#VALUE!</v>
      </c>
      <c r="G105" s="13" t="e">
        <f t="shared" si="6"/>
        <v>#VALUE!</v>
      </c>
      <c r="J105" t="str">
        <f>MAIN!A110&amp;"B"</f>
        <v>B</v>
      </c>
      <c r="K105" s="12" t="e">
        <f t="shared" si="7"/>
        <v>#VALUE!</v>
      </c>
      <c r="L105" t="str">
        <f>MAIN!C110</f>
        <v/>
      </c>
    </row>
    <row r="106" spans="1:12" x14ac:dyDescent="0.3">
      <c r="A106">
        <f>IF(J106="0",0,IF(COUNTIF($J$2:J106,J106)=1,1,0))</f>
        <v>0</v>
      </c>
      <c r="B106" s="12" t="e">
        <f>MID(MAIN!A111,K106,2)</f>
        <v>#VALUE!</v>
      </c>
      <c r="C106" s="12" t="e">
        <f t="shared" si="4"/>
        <v>#VALUE!</v>
      </c>
      <c r="D106" s="12" t="e">
        <f>MID(MAIN!A111,K106+2,2)</f>
        <v>#VALUE!</v>
      </c>
      <c r="E106" s="12" t="e">
        <f>MID(MAIN!A111,K106+4,2)</f>
        <v>#VALUE!</v>
      </c>
      <c r="F106" s="2" t="e">
        <f t="shared" si="5"/>
        <v>#VALUE!</v>
      </c>
      <c r="G106" s="13" t="e">
        <f t="shared" si="6"/>
        <v>#VALUE!</v>
      </c>
      <c r="J106" t="str">
        <f>MAIN!A111&amp;"B"</f>
        <v>B</v>
      </c>
      <c r="K106" s="12" t="e">
        <f t="shared" si="7"/>
        <v>#VALUE!</v>
      </c>
      <c r="L106" t="str">
        <f>MAIN!C111</f>
        <v/>
      </c>
    </row>
    <row r="107" spans="1:12" x14ac:dyDescent="0.3">
      <c r="A107">
        <f>IF(J107="0",0,IF(COUNTIF($J$2:J107,J107)=1,1,0))</f>
        <v>0</v>
      </c>
      <c r="B107" s="12" t="e">
        <f>MID(MAIN!A112,K107,2)</f>
        <v>#VALUE!</v>
      </c>
      <c r="C107" s="12" t="e">
        <f t="shared" si="4"/>
        <v>#VALUE!</v>
      </c>
      <c r="D107" s="12" t="e">
        <f>MID(MAIN!A112,K107+2,2)</f>
        <v>#VALUE!</v>
      </c>
      <c r="E107" s="12" t="e">
        <f>MID(MAIN!A112,K107+4,2)</f>
        <v>#VALUE!</v>
      </c>
      <c r="F107" s="2" t="e">
        <f t="shared" si="5"/>
        <v>#VALUE!</v>
      </c>
      <c r="G107" s="13" t="e">
        <f t="shared" si="6"/>
        <v>#VALUE!</v>
      </c>
      <c r="J107" t="str">
        <f>MAIN!A112&amp;"B"</f>
        <v>B</v>
      </c>
      <c r="K107" s="12" t="e">
        <f t="shared" si="7"/>
        <v>#VALUE!</v>
      </c>
      <c r="L107" t="str">
        <f>MAIN!C112</f>
        <v/>
      </c>
    </row>
    <row r="108" spans="1:12" x14ac:dyDescent="0.3">
      <c r="A108">
        <f>IF(J108="0",0,IF(COUNTIF($J$2:J108,J108)=1,1,0))</f>
        <v>0</v>
      </c>
      <c r="B108" s="12" t="e">
        <f>MID(MAIN!A113,K108,2)</f>
        <v>#VALUE!</v>
      </c>
      <c r="C108" s="12" t="e">
        <f t="shared" si="4"/>
        <v>#VALUE!</v>
      </c>
      <c r="D108" s="12" t="e">
        <f>MID(MAIN!A113,K108+2,2)</f>
        <v>#VALUE!</v>
      </c>
      <c r="E108" s="12" t="e">
        <f>MID(MAIN!A113,K108+4,2)</f>
        <v>#VALUE!</v>
      </c>
      <c r="F108" s="2" t="e">
        <f t="shared" si="5"/>
        <v>#VALUE!</v>
      </c>
      <c r="G108" s="13" t="e">
        <f t="shared" si="6"/>
        <v>#VALUE!</v>
      </c>
      <c r="J108" t="str">
        <f>MAIN!A113&amp;"B"</f>
        <v>B</v>
      </c>
      <c r="K108" s="12" t="e">
        <f t="shared" si="7"/>
        <v>#VALUE!</v>
      </c>
      <c r="L108" t="str">
        <f>MAIN!C113</f>
        <v/>
      </c>
    </row>
    <row r="109" spans="1:12" x14ac:dyDescent="0.3">
      <c r="A109">
        <f>IF(J109="0",0,IF(COUNTIF($J$2:J109,J109)=1,1,0))</f>
        <v>0</v>
      </c>
      <c r="B109" s="12" t="e">
        <f>MID(MAIN!A114,K109,2)</f>
        <v>#VALUE!</v>
      </c>
      <c r="C109" s="12" t="e">
        <f t="shared" si="4"/>
        <v>#VALUE!</v>
      </c>
      <c r="D109" s="12" t="e">
        <f>MID(MAIN!A114,K109+2,2)</f>
        <v>#VALUE!</v>
      </c>
      <c r="E109" s="12" t="e">
        <f>MID(MAIN!A114,K109+4,2)</f>
        <v>#VALUE!</v>
      </c>
      <c r="F109" s="2" t="e">
        <f t="shared" si="5"/>
        <v>#VALUE!</v>
      </c>
      <c r="G109" s="13" t="e">
        <f t="shared" si="6"/>
        <v>#VALUE!</v>
      </c>
      <c r="J109" t="str">
        <f>MAIN!A114&amp;"B"</f>
        <v>B</v>
      </c>
      <c r="K109" s="12" t="e">
        <f t="shared" si="7"/>
        <v>#VALUE!</v>
      </c>
      <c r="L109" t="str">
        <f>MAIN!C114</f>
        <v/>
      </c>
    </row>
    <row r="110" spans="1:12" x14ac:dyDescent="0.3">
      <c r="A110">
        <f>IF(J110="0",0,IF(COUNTIF($J$2:J110,J110)=1,1,0))</f>
        <v>0</v>
      </c>
      <c r="B110" s="12" t="e">
        <f>MID(MAIN!A115,K110,2)</f>
        <v>#VALUE!</v>
      </c>
      <c r="C110" s="12" t="e">
        <f t="shared" si="4"/>
        <v>#VALUE!</v>
      </c>
      <c r="D110" s="12" t="e">
        <f>MID(MAIN!A115,K110+2,2)</f>
        <v>#VALUE!</v>
      </c>
      <c r="E110" s="12" t="e">
        <f>MID(MAIN!A115,K110+4,2)</f>
        <v>#VALUE!</v>
      </c>
      <c r="F110" s="2" t="e">
        <f t="shared" si="5"/>
        <v>#VALUE!</v>
      </c>
      <c r="G110" s="13" t="e">
        <f t="shared" si="6"/>
        <v>#VALUE!</v>
      </c>
      <c r="J110" t="str">
        <f>MAIN!A115&amp;"B"</f>
        <v>B</v>
      </c>
      <c r="K110" s="12" t="e">
        <f t="shared" si="7"/>
        <v>#VALUE!</v>
      </c>
      <c r="L110" t="str">
        <f>MAIN!C115</f>
        <v/>
      </c>
    </row>
    <row r="111" spans="1:12" x14ac:dyDescent="0.3">
      <c r="A111">
        <f>IF(J111="0",0,IF(COUNTIF($J$2:J111,J111)=1,1,0))</f>
        <v>0</v>
      </c>
      <c r="B111" s="12" t="e">
        <f>MID(MAIN!A116,K111,2)</f>
        <v>#VALUE!</v>
      </c>
      <c r="C111" s="12" t="e">
        <f t="shared" si="4"/>
        <v>#VALUE!</v>
      </c>
      <c r="D111" s="12" t="e">
        <f>MID(MAIN!A116,K111+2,2)</f>
        <v>#VALUE!</v>
      </c>
      <c r="E111" s="12" t="e">
        <f>MID(MAIN!A116,K111+4,2)</f>
        <v>#VALUE!</v>
      </c>
      <c r="F111" s="2" t="e">
        <f t="shared" si="5"/>
        <v>#VALUE!</v>
      </c>
      <c r="G111" s="13" t="e">
        <f t="shared" si="6"/>
        <v>#VALUE!</v>
      </c>
      <c r="J111" t="str">
        <f>MAIN!A116&amp;"B"</f>
        <v>B</v>
      </c>
      <c r="K111" s="12" t="e">
        <f t="shared" si="7"/>
        <v>#VALUE!</v>
      </c>
      <c r="L111" t="str">
        <f>MAIN!C116</f>
        <v/>
      </c>
    </row>
    <row r="112" spans="1:12" x14ac:dyDescent="0.3">
      <c r="A112">
        <f>IF(J112="0",0,IF(COUNTIF($J$2:J112,J112)=1,1,0))</f>
        <v>0</v>
      </c>
      <c r="B112" s="12" t="e">
        <f>MID(MAIN!A117,K112,2)</f>
        <v>#VALUE!</v>
      </c>
      <c r="C112" s="12" t="e">
        <f t="shared" si="4"/>
        <v>#VALUE!</v>
      </c>
      <c r="D112" s="12" t="e">
        <f>MID(MAIN!A117,K112+2,2)</f>
        <v>#VALUE!</v>
      </c>
      <c r="E112" s="12" t="e">
        <f>MID(MAIN!A117,K112+4,2)</f>
        <v>#VALUE!</v>
      </c>
      <c r="F112" s="2" t="e">
        <f t="shared" si="5"/>
        <v>#VALUE!</v>
      </c>
      <c r="G112" s="13" t="e">
        <f t="shared" si="6"/>
        <v>#VALUE!</v>
      </c>
      <c r="J112" t="str">
        <f>MAIN!A117&amp;"B"</f>
        <v>B</v>
      </c>
      <c r="K112" s="12" t="e">
        <f>FIND("172",J112,35)+2</f>
        <v>#VALUE!</v>
      </c>
      <c r="L112" t="str">
        <f>MAIN!C117</f>
        <v/>
      </c>
    </row>
    <row r="113" spans="1:12" x14ac:dyDescent="0.3">
      <c r="A113">
        <f>IF(J113="0",0,IF(COUNTIF($J$2:J113,J113)=1,1,0))</f>
        <v>0</v>
      </c>
      <c r="B113" s="12" t="e">
        <f>MID(MAIN!A118,K113,2)</f>
        <v>#VALUE!</v>
      </c>
      <c r="C113" s="12" t="e">
        <f t="shared" si="4"/>
        <v>#VALUE!</v>
      </c>
      <c r="D113" s="12" t="e">
        <f>MID(MAIN!A118,K113+2,2)</f>
        <v>#VALUE!</v>
      </c>
      <c r="E113" s="12" t="e">
        <f>MID(MAIN!A118,K113+4,2)</f>
        <v>#VALUE!</v>
      </c>
      <c r="F113" s="2" t="e">
        <f t="shared" si="5"/>
        <v>#VALUE!</v>
      </c>
      <c r="G113" s="13" t="e">
        <f t="shared" si="6"/>
        <v>#VALUE!</v>
      </c>
      <c r="J113" t="str">
        <f>MAIN!A118&amp;"B"</f>
        <v>B</v>
      </c>
      <c r="K113" s="12" t="e">
        <f t="shared" si="7"/>
        <v>#VALUE!</v>
      </c>
      <c r="L113" t="str">
        <f>MAIN!C118</f>
        <v/>
      </c>
    </row>
    <row r="114" spans="1:12" x14ac:dyDescent="0.3">
      <c r="A114">
        <f>IF(J114="0",0,IF(COUNTIF($J$2:J114,J114)=1,1,0))</f>
        <v>0</v>
      </c>
      <c r="B114" s="12" t="e">
        <f>MID(MAIN!A119,K114,2)</f>
        <v>#VALUE!</v>
      </c>
      <c r="C114" s="12" t="e">
        <f t="shared" si="4"/>
        <v>#VALUE!</v>
      </c>
      <c r="D114" s="12" t="e">
        <f>MID(MAIN!A119,K114+2,2)</f>
        <v>#VALUE!</v>
      </c>
      <c r="E114" s="12" t="e">
        <f>MID(MAIN!A119,K114+4,2)</f>
        <v>#VALUE!</v>
      </c>
      <c r="F114" s="2" t="e">
        <f t="shared" si="5"/>
        <v>#VALUE!</v>
      </c>
      <c r="G114" s="13" t="e">
        <f t="shared" si="6"/>
        <v>#VALUE!</v>
      </c>
      <c r="J114" t="str">
        <f>MAIN!A119&amp;"B"</f>
        <v>B</v>
      </c>
      <c r="K114" s="12" t="e">
        <f t="shared" si="7"/>
        <v>#VALUE!</v>
      </c>
      <c r="L114" t="str">
        <f>MAIN!C119</f>
        <v/>
      </c>
    </row>
    <row r="115" spans="1:12" x14ac:dyDescent="0.3">
      <c r="A115">
        <f>IF(J115="0",0,IF(COUNTIF($J$2:J115,J115)=1,1,0))</f>
        <v>0</v>
      </c>
      <c r="B115" s="12" t="e">
        <f>MID(MAIN!A120,K115,2)</f>
        <v>#VALUE!</v>
      </c>
      <c r="C115" s="12" t="e">
        <f t="shared" si="4"/>
        <v>#VALUE!</v>
      </c>
      <c r="D115" s="12" t="e">
        <f>MID(MAIN!A120,K115+2,2)</f>
        <v>#VALUE!</v>
      </c>
      <c r="E115" s="12" t="e">
        <f>MID(MAIN!A120,K115+4,2)</f>
        <v>#VALUE!</v>
      </c>
      <c r="F115" s="2" t="e">
        <f t="shared" si="5"/>
        <v>#VALUE!</v>
      </c>
      <c r="G115" s="13" t="e">
        <f t="shared" si="6"/>
        <v>#VALUE!</v>
      </c>
      <c r="J115" t="str">
        <f>MAIN!A120&amp;"B"</f>
        <v>B</v>
      </c>
      <c r="K115" s="12" t="e">
        <f t="shared" si="7"/>
        <v>#VALUE!</v>
      </c>
      <c r="L115" t="str">
        <f>MAIN!C120</f>
        <v/>
      </c>
    </row>
    <row r="116" spans="1:12" x14ac:dyDescent="0.3">
      <c r="A116">
        <f>IF(J116="0",0,IF(COUNTIF($J$2:J116,J116)=1,1,0))</f>
        <v>0</v>
      </c>
      <c r="B116" s="12" t="e">
        <f>MID(MAIN!A121,K116,2)</f>
        <v>#VALUE!</v>
      </c>
      <c r="C116" s="12" t="e">
        <f t="shared" si="4"/>
        <v>#VALUE!</v>
      </c>
      <c r="D116" s="12" t="e">
        <f>MID(MAIN!A121,K116+2,2)</f>
        <v>#VALUE!</v>
      </c>
      <c r="E116" s="12" t="e">
        <f>MID(MAIN!A121,K116+4,2)</f>
        <v>#VALUE!</v>
      </c>
      <c r="F116" s="2" t="e">
        <f t="shared" si="5"/>
        <v>#VALUE!</v>
      </c>
      <c r="G116" s="13" t="e">
        <f t="shared" si="6"/>
        <v>#VALUE!</v>
      </c>
      <c r="J116" t="str">
        <f>MAIN!A121&amp;"B"</f>
        <v>B</v>
      </c>
      <c r="K116" s="12" t="e">
        <f t="shared" si="7"/>
        <v>#VALUE!</v>
      </c>
      <c r="L116" t="str">
        <f>MAIN!C121</f>
        <v/>
      </c>
    </row>
    <row r="117" spans="1:12" x14ac:dyDescent="0.3">
      <c r="A117">
        <f>IF(J117="0",0,IF(COUNTIF($J$2:J117,J117)=1,1,0))</f>
        <v>0</v>
      </c>
      <c r="B117" s="12" t="e">
        <f>MID(MAIN!A122,K117,2)</f>
        <v>#VALUE!</v>
      </c>
      <c r="C117" s="12" t="e">
        <f t="shared" si="4"/>
        <v>#VALUE!</v>
      </c>
      <c r="D117" s="12" t="e">
        <f>MID(MAIN!A122,K117+2,2)</f>
        <v>#VALUE!</v>
      </c>
      <c r="E117" s="12" t="e">
        <f>MID(MAIN!A122,K117+4,2)</f>
        <v>#VALUE!</v>
      </c>
      <c r="F117" s="2" t="e">
        <f t="shared" si="5"/>
        <v>#VALUE!</v>
      </c>
      <c r="G117" s="13" t="e">
        <f t="shared" si="6"/>
        <v>#VALUE!</v>
      </c>
      <c r="J117" t="str">
        <f>MAIN!A122&amp;"B"</f>
        <v>B</v>
      </c>
      <c r="K117" s="12" t="e">
        <f t="shared" si="7"/>
        <v>#VALUE!</v>
      </c>
      <c r="L117" t="str">
        <f>MAIN!C122</f>
        <v/>
      </c>
    </row>
    <row r="118" spans="1:12" x14ac:dyDescent="0.3">
      <c r="A118">
        <f>IF(J118="0",0,IF(COUNTIF($J$2:J118,J118)=1,1,0))</f>
        <v>0</v>
      </c>
      <c r="B118" s="12" t="e">
        <f>MID(MAIN!A123,K118,2)</f>
        <v>#VALUE!</v>
      </c>
      <c r="C118" s="12" t="e">
        <f t="shared" si="4"/>
        <v>#VALUE!</v>
      </c>
      <c r="D118" s="12" t="e">
        <f>MID(MAIN!A123,K118+2,2)</f>
        <v>#VALUE!</v>
      </c>
      <c r="E118" s="12" t="e">
        <f>MID(MAIN!A123,K118+4,2)</f>
        <v>#VALUE!</v>
      </c>
      <c r="F118" s="2" t="e">
        <f t="shared" si="5"/>
        <v>#VALUE!</v>
      </c>
      <c r="G118" s="13" t="e">
        <f t="shared" si="6"/>
        <v>#VALUE!</v>
      </c>
      <c r="J118" t="str">
        <f>MAIN!A123&amp;"B"</f>
        <v>B</v>
      </c>
      <c r="K118" s="12" t="e">
        <f t="shared" si="7"/>
        <v>#VALUE!</v>
      </c>
      <c r="L118" t="str">
        <f>MAIN!C123</f>
        <v/>
      </c>
    </row>
    <row r="119" spans="1:12" x14ac:dyDescent="0.3">
      <c r="A119">
        <f>IF(J119="0",0,IF(COUNTIF($J$2:J119,J119)=1,1,0))</f>
        <v>0</v>
      </c>
      <c r="B119" s="12" t="e">
        <f>MID(MAIN!A124,K119,2)</f>
        <v>#VALUE!</v>
      </c>
      <c r="C119" s="12" t="e">
        <f t="shared" si="4"/>
        <v>#VALUE!</v>
      </c>
      <c r="D119" s="12" t="e">
        <f>MID(MAIN!A124,K119+2,2)</f>
        <v>#VALUE!</v>
      </c>
      <c r="E119" s="12" t="e">
        <f>MID(MAIN!A124,K119+4,2)</f>
        <v>#VALUE!</v>
      </c>
      <c r="F119" s="2" t="e">
        <f t="shared" si="5"/>
        <v>#VALUE!</v>
      </c>
      <c r="G119" s="13" t="e">
        <f t="shared" si="6"/>
        <v>#VALUE!</v>
      </c>
      <c r="J119" t="str">
        <f>MAIN!A124&amp;"B"</f>
        <v>B</v>
      </c>
      <c r="K119" s="12" t="e">
        <f t="shared" si="7"/>
        <v>#VALUE!</v>
      </c>
      <c r="L119" t="str">
        <f>MAIN!C124</f>
        <v/>
      </c>
    </row>
    <row r="120" spans="1:12" x14ac:dyDescent="0.3">
      <c r="A120">
        <f>IF(J120="0",0,IF(COUNTIF($J$2:J120,J120)=1,1,0))</f>
        <v>0</v>
      </c>
      <c r="B120" s="12" t="e">
        <f>MID(MAIN!A125,K120,2)</f>
        <v>#VALUE!</v>
      </c>
      <c r="C120" s="12" t="e">
        <f t="shared" si="4"/>
        <v>#VALUE!</v>
      </c>
      <c r="D120" s="12" t="e">
        <f>MID(MAIN!A125,K120+2,2)</f>
        <v>#VALUE!</v>
      </c>
      <c r="E120" s="12" t="e">
        <f>MID(MAIN!A125,K120+4,2)</f>
        <v>#VALUE!</v>
      </c>
      <c r="F120" s="2" t="e">
        <f t="shared" si="5"/>
        <v>#VALUE!</v>
      </c>
      <c r="G120" s="13" t="e">
        <f t="shared" si="6"/>
        <v>#VALUE!</v>
      </c>
      <c r="J120" t="str">
        <f>MAIN!A125&amp;"B"</f>
        <v>B</v>
      </c>
      <c r="K120" s="12" t="e">
        <f t="shared" si="7"/>
        <v>#VALUE!</v>
      </c>
      <c r="L120" t="str">
        <f>MAIN!C125</f>
        <v/>
      </c>
    </row>
    <row r="121" spans="1:12" x14ac:dyDescent="0.3">
      <c r="A121">
        <f>IF(J121="0",0,IF(COUNTIF($J$2:J121,J121)=1,1,0))</f>
        <v>0</v>
      </c>
      <c r="B121" s="12" t="e">
        <f>MID(MAIN!A126,K121,2)</f>
        <v>#VALUE!</v>
      </c>
      <c r="C121" s="12" t="e">
        <f t="shared" si="4"/>
        <v>#VALUE!</v>
      </c>
      <c r="D121" s="12" t="e">
        <f>MID(MAIN!A126,K121+2,2)</f>
        <v>#VALUE!</v>
      </c>
      <c r="E121" s="12" t="e">
        <f>MID(MAIN!A126,K121+4,2)</f>
        <v>#VALUE!</v>
      </c>
      <c r="F121" s="2" t="e">
        <f t="shared" si="5"/>
        <v>#VALUE!</v>
      </c>
      <c r="G121" s="13" t="e">
        <f t="shared" si="6"/>
        <v>#VALUE!</v>
      </c>
      <c r="J121" t="str">
        <f>MAIN!A126&amp;"B"</f>
        <v>B</v>
      </c>
      <c r="K121" s="12" t="e">
        <f t="shared" si="7"/>
        <v>#VALUE!</v>
      </c>
      <c r="L121" t="str">
        <f>MAIN!C126</f>
        <v/>
      </c>
    </row>
    <row r="122" spans="1:12" x14ac:dyDescent="0.3">
      <c r="A122">
        <f>IF(J122="0",0,IF(COUNTIF($J$2:J122,J122)=1,1,0))</f>
        <v>0</v>
      </c>
      <c r="B122" s="12" t="e">
        <f>MID(MAIN!A127,K122,2)</f>
        <v>#VALUE!</v>
      </c>
      <c r="C122" s="12" t="e">
        <f t="shared" si="4"/>
        <v>#VALUE!</v>
      </c>
      <c r="D122" s="12" t="e">
        <f>MID(MAIN!A127,K122+2,2)</f>
        <v>#VALUE!</v>
      </c>
      <c r="E122" s="12" t="e">
        <f>MID(MAIN!A127,K122+4,2)</f>
        <v>#VALUE!</v>
      </c>
      <c r="F122" s="2" t="e">
        <f t="shared" si="5"/>
        <v>#VALUE!</v>
      </c>
      <c r="G122" s="13" t="e">
        <f t="shared" si="6"/>
        <v>#VALUE!</v>
      </c>
      <c r="J122" t="str">
        <f>MAIN!A127&amp;"B"</f>
        <v>B</v>
      </c>
      <c r="K122" s="12" t="e">
        <f t="shared" si="7"/>
        <v>#VALUE!</v>
      </c>
      <c r="L122" t="str">
        <f>MAIN!C127</f>
        <v/>
      </c>
    </row>
    <row r="123" spans="1:12" x14ac:dyDescent="0.3">
      <c r="A123">
        <f>IF(J123="0",0,IF(COUNTIF($J$2:J123,J123)=1,1,0))</f>
        <v>0</v>
      </c>
      <c r="B123" s="12" t="e">
        <f>MID(MAIN!A128,K123,2)</f>
        <v>#VALUE!</v>
      </c>
      <c r="C123" s="12" t="e">
        <f t="shared" si="4"/>
        <v>#VALUE!</v>
      </c>
      <c r="D123" s="12" t="e">
        <f>MID(MAIN!A128,K123+2,2)</f>
        <v>#VALUE!</v>
      </c>
      <c r="E123" s="12" t="e">
        <f>MID(MAIN!A128,K123+4,2)</f>
        <v>#VALUE!</v>
      </c>
      <c r="F123" s="2" t="e">
        <f t="shared" si="5"/>
        <v>#VALUE!</v>
      </c>
      <c r="G123" s="13" t="e">
        <f t="shared" si="6"/>
        <v>#VALUE!</v>
      </c>
      <c r="J123" t="str">
        <f>MAIN!A128&amp;"B"</f>
        <v>B</v>
      </c>
      <c r="K123" s="12" t="e">
        <f t="shared" si="7"/>
        <v>#VALUE!</v>
      </c>
      <c r="L123" t="str">
        <f>MAIN!C128</f>
        <v/>
      </c>
    </row>
    <row r="124" spans="1:12" x14ac:dyDescent="0.3">
      <c r="A124">
        <f>IF(J124="0",0,IF(COUNTIF($J$2:J124,J124)=1,1,0))</f>
        <v>0</v>
      </c>
      <c r="B124" s="12" t="e">
        <f>MID(MAIN!A129,K124,2)</f>
        <v>#VALUE!</v>
      </c>
      <c r="C124" s="12" t="e">
        <f t="shared" si="4"/>
        <v>#VALUE!</v>
      </c>
      <c r="D124" s="12" t="e">
        <f>MID(MAIN!A129,K124+2,2)</f>
        <v>#VALUE!</v>
      </c>
      <c r="E124" s="12" t="e">
        <f>MID(MAIN!A129,K124+4,2)</f>
        <v>#VALUE!</v>
      </c>
      <c r="F124" s="2" t="e">
        <f t="shared" si="5"/>
        <v>#VALUE!</v>
      </c>
      <c r="G124" s="13" t="e">
        <f t="shared" si="6"/>
        <v>#VALUE!</v>
      </c>
      <c r="J124" t="str">
        <f>MAIN!A129&amp;"B"</f>
        <v>B</v>
      </c>
      <c r="K124" s="12" t="e">
        <f t="shared" si="7"/>
        <v>#VALUE!</v>
      </c>
      <c r="L124" t="str">
        <f>MAIN!C129</f>
        <v/>
      </c>
    </row>
    <row r="125" spans="1:12" x14ac:dyDescent="0.3">
      <c r="A125">
        <f>IF(J125="0",0,IF(COUNTIF($J$2:J125,J125)=1,1,0))</f>
        <v>0</v>
      </c>
      <c r="B125" s="12" t="e">
        <f>MID(MAIN!A130,K125,2)</f>
        <v>#VALUE!</v>
      </c>
      <c r="C125" s="12" t="e">
        <f t="shared" si="4"/>
        <v>#VALUE!</v>
      </c>
      <c r="D125" s="12" t="e">
        <f>MID(MAIN!A130,K125+2,2)</f>
        <v>#VALUE!</v>
      </c>
      <c r="E125" s="12" t="e">
        <f>MID(MAIN!A130,K125+4,2)</f>
        <v>#VALUE!</v>
      </c>
      <c r="F125" s="2" t="e">
        <f t="shared" si="5"/>
        <v>#VALUE!</v>
      </c>
      <c r="G125" s="13" t="e">
        <f t="shared" si="6"/>
        <v>#VALUE!</v>
      </c>
      <c r="J125" t="str">
        <f>MAIN!A130&amp;"B"</f>
        <v>B</v>
      </c>
      <c r="K125" s="12" t="e">
        <f t="shared" si="7"/>
        <v>#VALUE!</v>
      </c>
      <c r="L125" t="str">
        <f>MAIN!C130</f>
        <v/>
      </c>
    </row>
    <row r="126" spans="1:12" x14ac:dyDescent="0.3">
      <c r="A126">
        <f>IF(J126="0",0,IF(COUNTIF($J$2:J126,J126)=1,1,0))</f>
        <v>0</v>
      </c>
      <c r="B126" s="12" t="e">
        <f>MID(MAIN!A131,K126,2)</f>
        <v>#VALUE!</v>
      </c>
      <c r="C126" s="12" t="e">
        <f t="shared" si="4"/>
        <v>#VALUE!</v>
      </c>
      <c r="D126" s="12" t="e">
        <f>MID(MAIN!A131,K126+2,2)</f>
        <v>#VALUE!</v>
      </c>
      <c r="E126" s="12" t="e">
        <f>MID(MAIN!A131,K126+4,2)</f>
        <v>#VALUE!</v>
      </c>
      <c r="F126" s="2" t="e">
        <f t="shared" si="5"/>
        <v>#VALUE!</v>
      </c>
      <c r="G126" s="13" t="e">
        <f t="shared" si="6"/>
        <v>#VALUE!</v>
      </c>
      <c r="J126" t="str">
        <f>MAIN!A131&amp;"B"</f>
        <v>B</v>
      </c>
      <c r="K126" s="12" t="e">
        <f t="shared" si="7"/>
        <v>#VALUE!</v>
      </c>
      <c r="L126" t="str">
        <f>MAIN!C131</f>
        <v/>
      </c>
    </row>
    <row r="127" spans="1:12" x14ac:dyDescent="0.3">
      <c r="A127">
        <f>IF(J127="0",0,IF(COUNTIF($J$2:J127,J127)=1,1,0))</f>
        <v>0</v>
      </c>
      <c r="B127" s="12" t="e">
        <f>MID(MAIN!A132,K127,2)</f>
        <v>#VALUE!</v>
      </c>
      <c r="C127" s="12" t="e">
        <f t="shared" si="4"/>
        <v>#VALUE!</v>
      </c>
      <c r="D127" s="12" t="e">
        <f>MID(MAIN!A132,K127+2,2)</f>
        <v>#VALUE!</v>
      </c>
      <c r="E127" s="12" t="e">
        <f>MID(MAIN!A132,K127+4,2)</f>
        <v>#VALUE!</v>
      </c>
      <c r="F127" s="2" t="e">
        <f t="shared" si="5"/>
        <v>#VALUE!</v>
      </c>
      <c r="G127" s="13" t="e">
        <f t="shared" si="6"/>
        <v>#VALUE!</v>
      </c>
      <c r="J127" t="str">
        <f>MAIN!A132&amp;"B"</f>
        <v>B</v>
      </c>
      <c r="K127" s="12" t="e">
        <f t="shared" si="7"/>
        <v>#VALUE!</v>
      </c>
      <c r="L127" t="str">
        <f>MAIN!C132</f>
        <v/>
      </c>
    </row>
    <row r="128" spans="1:12" x14ac:dyDescent="0.3">
      <c r="A128">
        <f>IF(J128="0",0,IF(COUNTIF($J$2:J128,J128)=1,1,0))</f>
        <v>0</v>
      </c>
      <c r="B128" s="12" t="e">
        <f>MID(MAIN!A133,K128,2)</f>
        <v>#VALUE!</v>
      </c>
      <c r="C128" s="12" t="e">
        <f t="shared" si="4"/>
        <v>#VALUE!</v>
      </c>
      <c r="D128" s="12" t="e">
        <f>MID(MAIN!A133,K128+2,2)</f>
        <v>#VALUE!</v>
      </c>
      <c r="E128" s="12" t="e">
        <f>MID(MAIN!A133,K128+4,2)</f>
        <v>#VALUE!</v>
      </c>
      <c r="F128" s="2" t="e">
        <f t="shared" si="5"/>
        <v>#VALUE!</v>
      </c>
      <c r="G128" s="13" t="e">
        <f t="shared" si="6"/>
        <v>#VALUE!</v>
      </c>
      <c r="J128" t="str">
        <f>MAIN!A133&amp;"B"</f>
        <v>B</v>
      </c>
      <c r="K128" s="12" t="e">
        <f t="shared" si="7"/>
        <v>#VALUE!</v>
      </c>
      <c r="L128" t="str">
        <f>MAIN!C133</f>
        <v/>
      </c>
    </row>
    <row r="129" spans="1:12" x14ac:dyDescent="0.3">
      <c r="A129">
        <f>IF(J129="0",0,IF(COUNTIF($J$2:J129,J129)=1,1,0))</f>
        <v>0</v>
      </c>
      <c r="B129" s="12" t="e">
        <f>MID(MAIN!A134,K129,2)</f>
        <v>#VALUE!</v>
      </c>
      <c r="C129" s="12" t="e">
        <f t="shared" si="4"/>
        <v>#VALUE!</v>
      </c>
      <c r="D129" s="12" t="e">
        <f>MID(MAIN!A134,K129+2,2)</f>
        <v>#VALUE!</v>
      </c>
      <c r="E129" s="12" t="e">
        <f>MID(MAIN!A134,K129+4,2)</f>
        <v>#VALUE!</v>
      </c>
      <c r="F129" s="2" t="e">
        <f t="shared" si="5"/>
        <v>#VALUE!</v>
      </c>
      <c r="G129" s="13" t="e">
        <f t="shared" si="6"/>
        <v>#VALUE!</v>
      </c>
      <c r="J129" t="str">
        <f>MAIN!A134&amp;"B"</f>
        <v>B</v>
      </c>
      <c r="K129" s="12" t="e">
        <f t="shared" si="7"/>
        <v>#VALUE!</v>
      </c>
      <c r="L129" t="str">
        <f>MAIN!C134</f>
        <v/>
      </c>
    </row>
    <row r="130" spans="1:12" x14ac:dyDescent="0.3">
      <c r="A130">
        <f>IF(J130="0",0,IF(COUNTIF($J$2:J130,J130)=1,1,0))</f>
        <v>0</v>
      </c>
      <c r="B130" s="12" t="str">
        <f>MID(MAIN!A135,K130,2)</f>
        <v/>
      </c>
      <c r="C130" s="12" t="str">
        <f t="shared" si="4"/>
        <v>20</v>
      </c>
      <c r="D130" s="12" t="str">
        <f>MID(MAIN!A135,K130+2,2)</f>
        <v/>
      </c>
      <c r="E130" s="12" t="str">
        <f>MID(MAIN!A135,K130+4,2)</f>
        <v/>
      </c>
      <c r="F130" s="2" t="str">
        <f t="shared" si="5"/>
        <v>20//</v>
      </c>
      <c r="G130" s="13" t="e">
        <f t="shared" si="6"/>
        <v>#VALUE!</v>
      </c>
      <c r="J130" t="str">
        <f>MAIN!A135&amp;"B"</f>
        <v>B</v>
      </c>
      <c r="K130" s="12">
        <v>41</v>
      </c>
      <c r="L130" t="str">
        <f>MAIN!C135</f>
        <v/>
      </c>
    </row>
    <row r="131" spans="1:12" x14ac:dyDescent="0.3">
      <c r="A131">
        <f>IF(J131="0",0,IF(COUNTIF($J$2:J131,J131)=1,1,0))</f>
        <v>0</v>
      </c>
      <c r="B131" s="12" t="e">
        <f>MID(MAIN!A136,K131,2)</f>
        <v>#VALUE!</v>
      </c>
      <c r="C131" s="12" t="e">
        <f t="shared" ref="C131:C194" si="8">"20"&amp;B131</f>
        <v>#VALUE!</v>
      </c>
      <c r="D131" s="12" t="e">
        <f>MID(MAIN!A136,K131+2,2)</f>
        <v>#VALUE!</v>
      </c>
      <c r="E131" s="12" t="e">
        <f>MID(MAIN!A136,K131+4,2)</f>
        <v>#VALUE!</v>
      </c>
      <c r="F131" s="2" t="e">
        <f t="shared" ref="F131:F194" si="9">C131&amp;"/"&amp;D131&amp;"/"&amp;E131</f>
        <v>#VALUE!</v>
      </c>
      <c r="G131" s="13" t="e">
        <f t="shared" ref="G131:G194" si="10">DATEVALUE(F131)</f>
        <v>#VALUE!</v>
      </c>
      <c r="J131" t="str">
        <f>MAIN!A136&amp;"B"</f>
        <v>B</v>
      </c>
      <c r="K131" s="12" t="e">
        <f t="shared" ref="K131:K194" si="11">FIND("172",J131,30)+2</f>
        <v>#VALUE!</v>
      </c>
      <c r="L131" t="str">
        <f>MAIN!C136</f>
        <v/>
      </c>
    </row>
    <row r="132" spans="1:12" x14ac:dyDescent="0.3">
      <c r="A132">
        <f>IF(J132="0",0,IF(COUNTIF($J$2:J132,J132)=1,1,0))</f>
        <v>0</v>
      </c>
      <c r="B132" s="12" t="e">
        <f>MID(MAIN!A137,K132,2)</f>
        <v>#VALUE!</v>
      </c>
      <c r="C132" s="12" t="e">
        <f t="shared" si="8"/>
        <v>#VALUE!</v>
      </c>
      <c r="D132" s="12" t="e">
        <f>MID(MAIN!A137,K132+2,2)</f>
        <v>#VALUE!</v>
      </c>
      <c r="E132" s="12" t="e">
        <f>MID(MAIN!A137,K132+4,2)</f>
        <v>#VALUE!</v>
      </c>
      <c r="F132" s="2" t="e">
        <f t="shared" si="9"/>
        <v>#VALUE!</v>
      </c>
      <c r="G132" s="13" t="e">
        <f t="shared" si="10"/>
        <v>#VALUE!</v>
      </c>
      <c r="J132" t="str">
        <f>MAIN!A137&amp;"B"</f>
        <v>B</v>
      </c>
      <c r="K132" s="12" t="e">
        <f t="shared" si="11"/>
        <v>#VALUE!</v>
      </c>
      <c r="L132" t="str">
        <f>MAIN!C137</f>
        <v/>
      </c>
    </row>
    <row r="133" spans="1:12" x14ac:dyDescent="0.3">
      <c r="A133">
        <f>IF(J133="0",0,IF(COUNTIF($J$2:J133,J133)=1,1,0))</f>
        <v>0</v>
      </c>
      <c r="B133" s="12" t="e">
        <f>MID(MAIN!A138,K133,2)</f>
        <v>#VALUE!</v>
      </c>
      <c r="C133" s="12" t="e">
        <f t="shared" si="8"/>
        <v>#VALUE!</v>
      </c>
      <c r="D133" s="12" t="e">
        <f>MID(MAIN!A138,K133+2,2)</f>
        <v>#VALUE!</v>
      </c>
      <c r="E133" s="12" t="e">
        <f>MID(MAIN!A138,K133+4,2)</f>
        <v>#VALUE!</v>
      </c>
      <c r="F133" s="2" t="e">
        <f t="shared" si="9"/>
        <v>#VALUE!</v>
      </c>
      <c r="G133" s="13" t="e">
        <f t="shared" si="10"/>
        <v>#VALUE!</v>
      </c>
      <c r="J133" t="str">
        <f>MAIN!A138&amp;"B"</f>
        <v>B</v>
      </c>
      <c r="K133" s="12" t="e">
        <f t="shared" si="11"/>
        <v>#VALUE!</v>
      </c>
      <c r="L133" t="str">
        <f>MAIN!C138</f>
        <v/>
      </c>
    </row>
    <row r="134" spans="1:12" x14ac:dyDescent="0.3">
      <c r="A134">
        <f>IF(J134="0",0,IF(COUNTIF($J$2:J134,J134)=1,1,0))</f>
        <v>0</v>
      </c>
      <c r="B134" s="12" t="e">
        <f>MID(MAIN!A139,K134,2)</f>
        <v>#VALUE!</v>
      </c>
      <c r="C134" s="12" t="e">
        <f t="shared" si="8"/>
        <v>#VALUE!</v>
      </c>
      <c r="D134" s="12" t="e">
        <f>MID(MAIN!A139,K134+2,2)</f>
        <v>#VALUE!</v>
      </c>
      <c r="E134" s="12" t="e">
        <f>MID(MAIN!A139,K134+4,2)</f>
        <v>#VALUE!</v>
      </c>
      <c r="F134" s="2" t="e">
        <f t="shared" si="9"/>
        <v>#VALUE!</v>
      </c>
      <c r="G134" s="13" t="e">
        <f t="shared" si="10"/>
        <v>#VALUE!</v>
      </c>
      <c r="J134" t="str">
        <f>MAIN!A139&amp;"B"</f>
        <v>B</v>
      </c>
      <c r="K134" s="12" t="e">
        <f t="shared" si="11"/>
        <v>#VALUE!</v>
      </c>
      <c r="L134" t="str">
        <f>MAIN!C139</f>
        <v/>
      </c>
    </row>
    <row r="135" spans="1:12" x14ac:dyDescent="0.3">
      <c r="A135">
        <f>IF(J135="0",0,IF(COUNTIF($J$2:J135,J135)=1,1,0))</f>
        <v>0</v>
      </c>
      <c r="B135" s="12" t="e">
        <f>MID(MAIN!A140,K135,2)</f>
        <v>#VALUE!</v>
      </c>
      <c r="C135" s="12" t="e">
        <f t="shared" si="8"/>
        <v>#VALUE!</v>
      </c>
      <c r="D135" s="12" t="e">
        <f>MID(MAIN!A140,K135+2,2)</f>
        <v>#VALUE!</v>
      </c>
      <c r="E135" s="12" t="e">
        <f>MID(MAIN!A140,K135+4,2)</f>
        <v>#VALUE!</v>
      </c>
      <c r="F135" s="2" t="e">
        <f t="shared" si="9"/>
        <v>#VALUE!</v>
      </c>
      <c r="G135" s="13" t="e">
        <f t="shared" si="10"/>
        <v>#VALUE!</v>
      </c>
      <c r="J135" t="str">
        <f>MAIN!A140&amp;"B"</f>
        <v>B</v>
      </c>
      <c r="K135" s="12" t="e">
        <f t="shared" si="11"/>
        <v>#VALUE!</v>
      </c>
      <c r="L135" t="str">
        <f>MAIN!C140</f>
        <v/>
      </c>
    </row>
    <row r="136" spans="1:12" x14ac:dyDescent="0.3">
      <c r="A136">
        <f>IF(J136="0",0,IF(COUNTIF($J$2:J136,J136)=1,1,0))</f>
        <v>0</v>
      </c>
      <c r="B136" s="12" t="e">
        <f>MID(MAIN!A141,K136,2)</f>
        <v>#VALUE!</v>
      </c>
      <c r="C136" s="12" t="e">
        <f t="shared" si="8"/>
        <v>#VALUE!</v>
      </c>
      <c r="D136" s="12" t="e">
        <f>MID(MAIN!A141,K136+2,2)</f>
        <v>#VALUE!</v>
      </c>
      <c r="E136" s="12" t="e">
        <f>MID(MAIN!A141,K136+4,2)</f>
        <v>#VALUE!</v>
      </c>
      <c r="F136" s="2" t="e">
        <f t="shared" si="9"/>
        <v>#VALUE!</v>
      </c>
      <c r="G136" s="13" t="e">
        <f t="shared" si="10"/>
        <v>#VALUE!</v>
      </c>
      <c r="J136" t="str">
        <f>MAIN!A141&amp;"B"</f>
        <v>B</v>
      </c>
      <c r="K136" s="12" t="e">
        <f t="shared" si="11"/>
        <v>#VALUE!</v>
      </c>
      <c r="L136" t="str">
        <f>MAIN!C141</f>
        <v/>
      </c>
    </row>
    <row r="137" spans="1:12" x14ac:dyDescent="0.3">
      <c r="A137">
        <f>IF(J137="0",0,IF(COUNTIF($J$2:J137,J137)=1,1,0))</f>
        <v>0</v>
      </c>
      <c r="B137" s="12" t="e">
        <f>MID(MAIN!A142,K137,2)</f>
        <v>#VALUE!</v>
      </c>
      <c r="C137" s="12" t="e">
        <f t="shared" si="8"/>
        <v>#VALUE!</v>
      </c>
      <c r="D137" s="12" t="e">
        <f>MID(MAIN!A142,K137+2,2)</f>
        <v>#VALUE!</v>
      </c>
      <c r="E137" s="12" t="e">
        <f>MID(MAIN!A142,K137+4,2)</f>
        <v>#VALUE!</v>
      </c>
      <c r="F137" s="2" t="e">
        <f t="shared" si="9"/>
        <v>#VALUE!</v>
      </c>
      <c r="G137" s="13" t="e">
        <f t="shared" si="10"/>
        <v>#VALUE!</v>
      </c>
      <c r="J137" t="str">
        <f>MAIN!A142&amp;"B"</f>
        <v>B</v>
      </c>
      <c r="K137" s="12" t="e">
        <f t="shared" si="11"/>
        <v>#VALUE!</v>
      </c>
      <c r="L137" t="str">
        <f>MAIN!C142</f>
        <v/>
      </c>
    </row>
    <row r="138" spans="1:12" x14ac:dyDescent="0.3">
      <c r="A138">
        <f>IF(J138="0",0,IF(COUNTIF($J$2:J138,J138)=1,1,0))</f>
        <v>0</v>
      </c>
      <c r="B138" s="12" t="e">
        <f>MID(MAIN!A143,K138,2)</f>
        <v>#VALUE!</v>
      </c>
      <c r="C138" s="12" t="e">
        <f t="shared" si="8"/>
        <v>#VALUE!</v>
      </c>
      <c r="D138" s="12" t="e">
        <f>MID(MAIN!A143,K138+2,2)</f>
        <v>#VALUE!</v>
      </c>
      <c r="E138" s="12" t="e">
        <f>MID(MAIN!A143,K138+4,2)</f>
        <v>#VALUE!</v>
      </c>
      <c r="F138" s="2" t="e">
        <f t="shared" si="9"/>
        <v>#VALUE!</v>
      </c>
      <c r="G138" s="13" t="e">
        <f t="shared" si="10"/>
        <v>#VALUE!</v>
      </c>
      <c r="J138" t="str">
        <f>MAIN!A143&amp;"B"</f>
        <v>B</v>
      </c>
      <c r="K138" s="12" t="e">
        <f t="shared" si="11"/>
        <v>#VALUE!</v>
      </c>
      <c r="L138" t="str">
        <f>MAIN!C143</f>
        <v/>
      </c>
    </row>
    <row r="139" spans="1:12" x14ac:dyDescent="0.3">
      <c r="A139">
        <f>IF(J139="0",0,IF(COUNTIF($J$2:J139,J139)=1,1,0))</f>
        <v>0</v>
      </c>
      <c r="B139" s="12" t="e">
        <f>MID(MAIN!A144,K139,2)</f>
        <v>#VALUE!</v>
      </c>
      <c r="C139" s="12" t="e">
        <f t="shared" si="8"/>
        <v>#VALUE!</v>
      </c>
      <c r="D139" s="12" t="e">
        <f>MID(MAIN!A144,K139+2,2)</f>
        <v>#VALUE!</v>
      </c>
      <c r="E139" s="12" t="e">
        <f>MID(MAIN!A144,K139+4,2)</f>
        <v>#VALUE!</v>
      </c>
      <c r="F139" s="2" t="e">
        <f t="shared" si="9"/>
        <v>#VALUE!</v>
      </c>
      <c r="G139" s="13" t="e">
        <f t="shared" si="10"/>
        <v>#VALUE!</v>
      </c>
      <c r="J139" t="str">
        <f>MAIN!A144&amp;"B"</f>
        <v>B</v>
      </c>
      <c r="K139" s="12" t="e">
        <f t="shared" si="11"/>
        <v>#VALUE!</v>
      </c>
      <c r="L139" t="str">
        <f>MAIN!C144</f>
        <v/>
      </c>
    </row>
    <row r="140" spans="1:12" x14ac:dyDescent="0.3">
      <c r="A140">
        <f>IF(J140="0",0,IF(COUNTIF($J$2:J140,J140)=1,1,0))</f>
        <v>0</v>
      </c>
      <c r="B140" s="12" t="e">
        <f>MID(MAIN!A145,K140,2)</f>
        <v>#VALUE!</v>
      </c>
      <c r="C140" s="12" t="e">
        <f t="shared" si="8"/>
        <v>#VALUE!</v>
      </c>
      <c r="D140" s="12" t="e">
        <f>MID(MAIN!A145,K140+2,2)</f>
        <v>#VALUE!</v>
      </c>
      <c r="E140" s="12" t="e">
        <f>MID(MAIN!A145,K140+4,2)</f>
        <v>#VALUE!</v>
      </c>
      <c r="F140" s="2" t="e">
        <f t="shared" si="9"/>
        <v>#VALUE!</v>
      </c>
      <c r="G140" s="13" t="e">
        <f t="shared" si="10"/>
        <v>#VALUE!</v>
      </c>
      <c r="J140" t="str">
        <f>MAIN!A145&amp;"B"</f>
        <v>B</v>
      </c>
      <c r="K140" s="12" t="e">
        <f t="shared" si="11"/>
        <v>#VALUE!</v>
      </c>
      <c r="L140" t="str">
        <f>MAIN!C145</f>
        <v/>
      </c>
    </row>
    <row r="141" spans="1:12" x14ac:dyDescent="0.3">
      <c r="A141">
        <f>IF(J141="0",0,IF(COUNTIF($J$2:J141,J141)=1,1,0))</f>
        <v>0</v>
      </c>
      <c r="B141" s="12" t="e">
        <f>MID(MAIN!A146,K141,2)</f>
        <v>#VALUE!</v>
      </c>
      <c r="C141" s="12" t="e">
        <f t="shared" si="8"/>
        <v>#VALUE!</v>
      </c>
      <c r="D141" s="12" t="e">
        <f>MID(MAIN!A146,K141+2,2)</f>
        <v>#VALUE!</v>
      </c>
      <c r="E141" s="12" t="e">
        <f>MID(MAIN!A146,K141+4,2)</f>
        <v>#VALUE!</v>
      </c>
      <c r="F141" s="2" t="e">
        <f t="shared" si="9"/>
        <v>#VALUE!</v>
      </c>
      <c r="G141" s="13" t="e">
        <f t="shared" si="10"/>
        <v>#VALUE!</v>
      </c>
      <c r="J141" t="str">
        <f>MAIN!A146&amp;"B"</f>
        <v>B</v>
      </c>
      <c r="K141" s="12" t="e">
        <f t="shared" si="11"/>
        <v>#VALUE!</v>
      </c>
      <c r="L141" t="str">
        <f>MAIN!C146</f>
        <v/>
      </c>
    </row>
    <row r="142" spans="1:12" x14ac:dyDescent="0.3">
      <c r="A142">
        <f>IF(J142="0",0,IF(COUNTIF($J$2:J142,J142)=1,1,0))</f>
        <v>0</v>
      </c>
      <c r="B142" s="12" t="e">
        <f>MID(MAIN!A147,K142,2)</f>
        <v>#VALUE!</v>
      </c>
      <c r="C142" s="12" t="e">
        <f t="shared" si="8"/>
        <v>#VALUE!</v>
      </c>
      <c r="D142" s="12" t="e">
        <f>MID(MAIN!A147,K142+2,2)</f>
        <v>#VALUE!</v>
      </c>
      <c r="E142" s="12" t="e">
        <f>MID(MAIN!A147,K142+4,2)</f>
        <v>#VALUE!</v>
      </c>
      <c r="F142" s="2" t="e">
        <f t="shared" si="9"/>
        <v>#VALUE!</v>
      </c>
      <c r="G142" s="13" t="e">
        <f t="shared" si="10"/>
        <v>#VALUE!</v>
      </c>
      <c r="J142" t="str">
        <f>MAIN!A147&amp;"B"</f>
        <v>B</v>
      </c>
      <c r="K142" s="12" t="e">
        <f t="shared" si="11"/>
        <v>#VALUE!</v>
      </c>
      <c r="L142" t="str">
        <f>MAIN!C147</f>
        <v/>
      </c>
    </row>
    <row r="143" spans="1:12" x14ac:dyDescent="0.3">
      <c r="A143">
        <f>IF(J143="0",0,IF(COUNTIF($J$2:J143,J143)=1,1,0))</f>
        <v>0</v>
      </c>
      <c r="B143" s="12" t="e">
        <f>MID(MAIN!A148,K143,2)</f>
        <v>#VALUE!</v>
      </c>
      <c r="C143" s="12" t="e">
        <f t="shared" si="8"/>
        <v>#VALUE!</v>
      </c>
      <c r="D143" s="12" t="e">
        <f>MID(MAIN!A148,K143+2,2)</f>
        <v>#VALUE!</v>
      </c>
      <c r="E143" s="12" t="e">
        <f>MID(MAIN!A148,K143+4,2)</f>
        <v>#VALUE!</v>
      </c>
      <c r="F143" s="2" t="e">
        <f t="shared" si="9"/>
        <v>#VALUE!</v>
      </c>
      <c r="G143" s="13" t="e">
        <f t="shared" si="10"/>
        <v>#VALUE!</v>
      </c>
      <c r="J143" t="str">
        <f>MAIN!A148&amp;"B"</f>
        <v>B</v>
      </c>
      <c r="K143" s="12" t="e">
        <f t="shared" si="11"/>
        <v>#VALUE!</v>
      </c>
      <c r="L143" t="str">
        <f>MAIN!C148</f>
        <v/>
      </c>
    </row>
    <row r="144" spans="1:12" x14ac:dyDescent="0.3">
      <c r="A144">
        <f>IF(J144="0",0,IF(COUNTIF($J$2:J144,J144)=1,1,0))</f>
        <v>0</v>
      </c>
      <c r="B144" s="12" t="e">
        <f>MID(MAIN!A149,K144,2)</f>
        <v>#VALUE!</v>
      </c>
      <c r="C144" s="12" t="e">
        <f t="shared" si="8"/>
        <v>#VALUE!</v>
      </c>
      <c r="D144" s="12" t="e">
        <f>MID(MAIN!A149,K144+2,2)</f>
        <v>#VALUE!</v>
      </c>
      <c r="E144" s="12" t="e">
        <f>MID(MAIN!A149,K144+4,2)</f>
        <v>#VALUE!</v>
      </c>
      <c r="F144" s="2" t="e">
        <f t="shared" si="9"/>
        <v>#VALUE!</v>
      </c>
      <c r="G144" s="13" t="e">
        <f t="shared" si="10"/>
        <v>#VALUE!</v>
      </c>
      <c r="J144" t="str">
        <f>MAIN!A149&amp;"B"</f>
        <v>B</v>
      </c>
      <c r="K144" s="12" t="e">
        <f t="shared" si="11"/>
        <v>#VALUE!</v>
      </c>
      <c r="L144" t="str">
        <f>MAIN!C149</f>
        <v/>
      </c>
    </row>
    <row r="145" spans="1:12" x14ac:dyDescent="0.3">
      <c r="A145">
        <f>IF(J145="0",0,IF(COUNTIF($J$2:J145,J145)=1,1,0))</f>
        <v>0</v>
      </c>
      <c r="B145" s="12" t="e">
        <f>MID(MAIN!A150,K145,2)</f>
        <v>#VALUE!</v>
      </c>
      <c r="C145" s="12" t="e">
        <f t="shared" si="8"/>
        <v>#VALUE!</v>
      </c>
      <c r="D145" s="12" t="e">
        <f>MID(MAIN!A150,K145+2,2)</f>
        <v>#VALUE!</v>
      </c>
      <c r="E145" s="12" t="e">
        <f>MID(MAIN!A150,K145+4,2)</f>
        <v>#VALUE!</v>
      </c>
      <c r="F145" s="2" t="e">
        <f t="shared" si="9"/>
        <v>#VALUE!</v>
      </c>
      <c r="G145" s="13" t="e">
        <f t="shared" si="10"/>
        <v>#VALUE!</v>
      </c>
      <c r="J145" t="str">
        <f>MAIN!A150&amp;"B"</f>
        <v>B</v>
      </c>
      <c r="K145" s="12" t="e">
        <f t="shared" si="11"/>
        <v>#VALUE!</v>
      </c>
      <c r="L145" t="str">
        <f>MAIN!C150</f>
        <v/>
      </c>
    </row>
    <row r="146" spans="1:12" x14ac:dyDescent="0.3">
      <c r="A146">
        <f>IF(J146="0",0,IF(COUNTIF($J$2:J146,J146)=1,1,0))</f>
        <v>0</v>
      </c>
      <c r="B146" s="12" t="e">
        <f>MID(MAIN!A151,K146,2)</f>
        <v>#VALUE!</v>
      </c>
      <c r="C146" s="12" t="e">
        <f t="shared" si="8"/>
        <v>#VALUE!</v>
      </c>
      <c r="D146" s="12" t="e">
        <f>MID(MAIN!A151,K146+2,2)</f>
        <v>#VALUE!</v>
      </c>
      <c r="E146" s="12" t="e">
        <f>MID(MAIN!A151,K146+4,2)</f>
        <v>#VALUE!</v>
      </c>
      <c r="F146" s="2" t="e">
        <f t="shared" si="9"/>
        <v>#VALUE!</v>
      </c>
      <c r="G146" s="13" t="e">
        <f t="shared" si="10"/>
        <v>#VALUE!</v>
      </c>
      <c r="J146" t="str">
        <f>MAIN!A151&amp;"B"</f>
        <v>B</v>
      </c>
      <c r="K146" s="12" t="e">
        <f t="shared" si="11"/>
        <v>#VALUE!</v>
      </c>
      <c r="L146" t="str">
        <f>MAIN!C151</f>
        <v/>
      </c>
    </row>
    <row r="147" spans="1:12" x14ac:dyDescent="0.3">
      <c r="A147">
        <f>IF(J147="0",0,IF(COUNTIF($J$2:J147,J147)=1,1,0))</f>
        <v>0</v>
      </c>
      <c r="B147" s="12" t="e">
        <f>MID(MAIN!A152,K147,2)</f>
        <v>#VALUE!</v>
      </c>
      <c r="C147" s="12" t="e">
        <f t="shared" si="8"/>
        <v>#VALUE!</v>
      </c>
      <c r="D147" s="12" t="e">
        <f>MID(MAIN!A152,K147+2,2)</f>
        <v>#VALUE!</v>
      </c>
      <c r="E147" s="12" t="e">
        <f>MID(MAIN!A152,K147+4,2)</f>
        <v>#VALUE!</v>
      </c>
      <c r="F147" s="2" t="e">
        <f t="shared" si="9"/>
        <v>#VALUE!</v>
      </c>
      <c r="G147" s="13" t="e">
        <f t="shared" si="10"/>
        <v>#VALUE!</v>
      </c>
      <c r="J147" t="str">
        <f>MAIN!A152&amp;"B"</f>
        <v>B</v>
      </c>
      <c r="K147" s="12" t="e">
        <f t="shared" si="11"/>
        <v>#VALUE!</v>
      </c>
      <c r="L147" t="str">
        <f>MAIN!C152</f>
        <v/>
      </c>
    </row>
    <row r="148" spans="1:12" x14ac:dyDescent="0.3">
      <c r="A148">
        <f>IF(J148="0",0,IF(COUNTIF($J$2:J148,J148)=1,1,0))</f>
        <v>0</v>
      </c>
      <c r="B148" s="12" t="e">
        <f>MID(MAIN!A153,K148,2)</f>
        <v>#VALUE!</v>
      </c>
      <c r="C148" s="12" t="e">
        <f t="shared" si="8"/>
        <v>#VALUE!</v>
      </c>
      <c r="D148" s="12" t="e">
        <f>MID(MAIN!A153,K148+2,2)</f>
        <v>#VALUE!</v>
      </c>
      <c r="E148" s="12" t="e">
        <f>MID(MAIN!A153,K148+4,2)</f>
        <v>#VALUE!</v>
      </c>
      <c r="F148" s="2" t="e">
        <f t="shared" si="9"/>
        <v>#VALUE!</v>
      </c>
      <c r="G148" s="13" t="e">
        <f t="shared" si="10"/>
        <v>#VALUE!</v>
      </c>
      <c r="J148" t="str">
        <f>MAIN!A153&amp;"B"</f>
        <v>B</v>
      </c>
      <c r="K148" s="12" t="e">
        <f t="shared" si="11"/>
        <v>#VALUE!</v>
      </c>
      <c r="L148" t="str">
        <f>MAIN!C153</f>
        <v/>
      </c>
    </row>
    <row r="149" spans="1:12" x14ac:dyDescent="0.3">
      <c r="A149">
        <f>IF(J149="0",0,IF(COUNTIF($J$2:J149,J149)=1,1,0))</f>
        <v>0</v>
      </c>
      <c r="B149" s="12" t="e">
        <f>MID(MAIN!A154,K149,2)</f>
        <v>#VALUE!</v>
      </c>
      <c r="C149" s="12" t="e">
        <f t="shared" si="8"/>
        <v>#VALUE!</v>
      </c>
      <c r="D149" s="12" t="e">
        <f>MID(MAIN!A154,K149+2,2)</f>
        <v>#VALUE!</v>
      </c>
      <c r="E149" s="12" t="e">
        <f>MID(MAIN!A154,K149+4,2)</f>
        <v>#VALUE!</v>
      </c>
      <c r="F149" s="2" t="e">
        <f t="shared" si="9"/>
        <v>#VALUE!</v>
      </c>
      <c r="G149" s="13" t="e">
        <f t="shared" si="10"/>
        <v>#VALUE!</v>
      </c>
      <c r="J149" t="str">
        <f>MAIN!A154&amp;"B"</f>
        <v>B</v>
      </c>
      <c r="K149" s="12" t="e">
        <f t="shared" si="11"/>
        <v>#VALUE!</v>
      </c>
      <c r="L149" t="str">
        <f>MAIN!C154</f>
        <v/>
      </c>
    </row>
    <row r="150" spans="1:12" x14ac:dyDescent="0.3">
      <c r="A150">
        <f>IF(J150="0",0,IF(COUNTIF($J$2:J150,J150)=1,1,0))</f>
        <v>0</v>
      </c>
      <c r="B150" s="12" t="e">
        <f>MID(MAIN!A155,K150,2)</f>
        <v>#VALUE!</v>
      </c>
      <c r="C150" s="12" t="e">
        <f t="shared" si="8"/>
        <v>#VALUE!</v>
      </c>
      <c r="D150" s="12" t="e">
        <f>MID(MAIN!A155,K150+2,2)</f>
        <v>#VALUE!</v>
      </c>
      <c r="E150" s="12" t="e">
        <f>MID(MAIN!A155,K150+4,2)</f>
        <v>#VALUE!</v>
      </c>
      <c r="F150" s="2" t="e">
        <f t="shared" si="9"/>
        <v>#VALUE!</v>
      </c>
      <c r="G150" s="13" t="e">
        <f t="shared" si="10"/>
        <v>#VALUE!</v>
      </c>
      <c r="J150" t="str">
        <f>MAIN!A155&amp;"B"</f>
        <v>B</v>
      </c>
      <c r="K150" s="12" t="e">
        <f t="shared" si="11"/>
        <v>#VALUE!</v>
      </c>
      <c r="L150" t="str">
        <f>MAIN!C155</f>
        <v/>
      </c>
    </row>
    <row r="151" spans="1:12" x14ac:dyDescent="0.3">
      <c r="A151">
        <f>IF(J151="0",0,IF(COUNTIF($J$2:J151,J151)=1,1,0))</f>
        <v>0</v>
      </c>
      <c r="B151" s="12" t="e">
        <f>MID(MAIN!A156,K151,2)</f>
        <v>#VALUE!</v>
      </c>
      <c r="C151" s="12" t="e">
        <f t="shared" si="8"/>
        <v>#VALUE!</v>
      </c>
      <c r="D151" s="12" t="e">
        <f>MID(MAIN!A156,K151+2,2)</f>
        <v>#VALUE!</v>
      </c>
      <c r="E151" s="12" t="e">
        <f>MID(MAIN!A156,K151+4,2)</f>
        <v>#VALUE!</v>
      </c>
      <c r="F151" s="2" t="e">
        <f t="shared" si="9"/>
        <v>#VALUE!</v>
      </c>
      <c r="G151" s="13" t="e">
        <f t="shared" si="10"/>
        <v>#VALUE!</v>
      </c>
      <c r="J151" t="str">
        <f>MAIN!A156&amp;"B"</f>
        <v>B</v>
      </c>
      <c r="K151" s="12" t="e">
        <f t="shared" si="11"/>
        <v>#VALUE!</v>
      </c>
      <c r="L151" t="str">
        <f>MAIN!C156</f>
        <v/>
      </c>
    </row>
    <row r="152" spans="1:12" x14ac:dyDescent="0.3">
      <c r="A152">
        <f>IF(J152="0",0,IF(COUNTIF($J$2:J152,J152)=1,1,0))</f>
        <v>0</v>
      </c>
      <c r="B152" s="12" t="e">
        <f>MID(MAIN!A157,K152,2)</f>
        <v>#VALUE!</v>
      </c>
      <c r="C152" s="12" t="e">
        <f t="shared" si="8"/>
        <v>#VALUE!</v>
      </c>
      <c r="D152" s="12" t="e">
        <f>MID(MAIN!A157,K152+2,2)</f>
        <v>#VALUE!</v>
      </c>
      <c r="E152" s="12" t="e">
        <f>MID(MAIN!A157,K152+4,2)</f>
        <v>#VALUE!</v>
      </c>
      <c r="F152" s="2" t="e">
        <f t="shared" si="9"/>
        <v>#VALUE!</v>
      </c>
      <c r="G152" s="13" t="e">
        <f t="shared" si="10"/>
        <v>#VALUE!</v>
      </c>
      <c r="J152" t="str">
        <f>MAIN!A157&amp;"B"</f>
        <v>B</v>
      </c>
      <c r="K152" s="12" t="e">
        <f t="shared" si="11"/>
        <v>#VALUE!</v>
      </c>
      <c r="L152" t="str">
        <f>MAIN!C157</f>
        <v/>
      </c>
    </row>
    <row r="153" spans="1:12" x14ac:dyDescent="0.3">
      <c r="A153">
        <f>IF(J153="0",0,IF(COUNTIF($J$2:J153,J153)=1,1,0))</f>
        <v>0</v>
      </c>
      <c r="B153" s="12" t="e">
        <f>MID(MAIN!A158,K153,2)</f>
        <v>#VALUE!</v>
      </c>
      <c r="C153" s="12" t="e">
        <f t="shared" si="8"/>
        <v>#VALUE!</v>
      </c>
      <c r="D153" s="12" t="e">
        <f>MID(MAIN!A158,K153+2,2)</f>
        <v>#VALUE!</v>
      </c>
      <c r="E153" s="12" t="e">
        <f>MID(MAIN!A158,K153+4,2)</f>
        <v>#VALUE!</v>
      </c>
      <c r="F153" s="2" t="e">
        <f t="shared" si="9"/>
        <v>#VALUE!</v>
      </c>
      <c r="G153" s="13" t="e">
        <f t="shared" si="10"/>
        <v>#VALUE!</v>
      </c>
      <c r="J153" t="str">
        <f>MAIN!A158&amp;"B"</f>
        <v>B</v>
      </c>
      <c r="K153" s="12" t="e">
        <f t="shared" si="11"/>
        <v>#VALUE!</v>
      </c>
      <c r="L153" t="str">
        <f>MAIN!C158</f>
        <v/>
      </c>
    </row>
    <row r="154" spans="1:12" x14ac:dyDescent="0.3">
      <c r="A154">
        <f>IF(J154="0",0,IF(COUNTIF($J$2:J154,J154)=1,1,0))</f>
        <v>0</v>
      </c>
      <c r="B154" s="12" t="e">
        <f>MID(MAIN!A159,K154,2)</f>
        <v>#VALUE!</v>
      </c>
      <c r="C154" s="12" t="e">
        <f t="shared" si="8"/>
        <v>#VALUE!</v>
      </c>
      <c r="D154" s="12" t="e">
        <f>MID(MAIN!A159,K154+2,2)</f>
        <v>#VALUE!</v>
      </c>
      <c r="E154" s="12" t="e">
        <f>MID(MAIN!A159,K154+4,2)</f>
        <v>#VALUE!</v>
      </c>
      <c r="F154" s="2" t="e">
        <f t="shared" si="9"/>
        <v>#VALUE!</v>
      </c>
      <c r="G154" s="13" t="e">
        <f t="shared" si="10"/>
        <v>#VALUE!</v>
      </c>
      <c r="J154" t="str">
        <f>MAIN!A159&amp;"B"</f>
        <v>B</v>
      </c>
      <c r="K154" s="12" t="e">
        <f t="shared" si="11"/>
        <v>#VALUE!</v>
      </c>
      <c r="L154" t="str">
        <f>MAIN!C159</f>
        <v/>
      </c>
    </row>
    <row r="155" spans="1:12" x14ac:dyDescent="0.3">
      <c r="A155">
        <f>IF(J155="0",0,IF(COUNTIF($J$2:J155,J155)=1,1,0))</f>
        <v>0</v>
      </c>
      <c r="B155" s="12" t="e">
        <f>MID(MAIN!A160,K155,2)</f>
        <v>#VALUE!</v>
      </c>
      <c r="C155" s="12" t="e">
        <f t="shared" si="8"/>
        <v>#VALUE!</v>
      </c>
      <c r="D155" s="12" t="e">
        <f>MID(MAIN!A160,K155+2,2)</f>
        <v>#VALUE!</v>
      </c>
      <c r="E155" s="12" t="e">
        <f>MID(MAIN!A160,K155+4,2)</f>
        <v>#VALUE!</v>
      </c>
      <c r="F155" s="2" t="e">
        <f t="shared" si="9"/>
        <v>#VALUE!</v>
      </c>
      <c r="G155" s="13" t="e">
        <f t="shared" si="10"/>
        <v>#VALUE!</v>
      </c>
      <c r="J155" t="str">
        <f>MAIN!A160&amp;"B"</f>
        <v>B</v>
      </c>
      <c r="K155" s="12" t="e">
        <f t="shared" si="11"/>
        <v>#VALUE!</v>
      </c>
      <c r="L155" t="str">
        <f>MAIN!C160</f>
        <v/>
      </c>
    </row>
    <row r="156" spans="1:12" x14ac:dyDescent="0.3">
      <c r="A156">
        <f>IF(J156="0",0,IF(COUNTIF($J$2:J156,J156)=1,1,0))</f>
        <v>0</v>
      </c>
      <c r="B156" s="12" t="e">
        <f>MID(MAIN!A161,K156,2)</f>
        <v>#VALUE!</v>
      </c>
      <c r="C156" s="12" t="e">
        <f t="shared" si="8"/>
        <v>#VALUE!</v>
      </c>
      <c r="D156" s="12" t="e">
        <f>MID(MAIN!A161,K156+2,2)</f>
        <v>#VALUE!</v>
      </c>
      <c r="E156" s="12" t="e">
        <f>MID(MAIN!A161,K156+4,2)</f>
        <v>#VALUE!</v>
      </c>
      <c r="F156" s="2" t="e">
        <f t="shared" si="9"/>
        <v>#VALUE!</v>
      </c>
      <c r="G156" s="13" t="e">
        <f t="shared" si="10"/>
        <v>#VALUE!</v>
      </c>
      <c r="J156" t="str">
        <f>MAIN!A161&amp;"B"</f>
        <v>B</v>
      </c>
      <c r="K156" s="12" t="e">
        <f t="shared" si="11"/>
        <v>#VALUE!</v>
      </c>
      <c r="L156" t="str">
        <f>MAIN!C161</f>
        <v/>
      </c>
    </row>
    <row r="157" spans="1:12" x14ac:dyDescent="0.3">
      <c r="A157">
        <f>IF(J157="0",0,IF(COUNTIF($J$2:J157,J157)=1,1,0))</f>
        <v>0</v>
      </c>
      <c r="B157" s="12" t="e">
        <f>MID(MAIN!A162,K157,2)</f>
        <v>#VALUE!</v>
      </c>
      <c r="C157" s="12" t="e">
        <f t="shared" si="8"/>
        <v>#VALUE!</v>
      </c>
      <c r="D157" s="12" t="e">
        <f>MID(MAIN!A162,K157+2,2)</f>
        <v>#VALUE!</v>
      </c>
      <c r="E157" s="12" t="e">
        <f>MID(MAIN!A162,K157+4,2)</f>
        <v>#VALUE!</v>
      </c>
      <c r="F157" s="2" t="e">
        <f t="shared" si="9"/>
        <v>#VALUE!</v>
      </c>
      <c r="G157" s="13" t="e">
        <f t="shared" si="10"/>
        <v>#VALUE!</v>
      </c>
      <c r="J157" t="str">
        <f>MAIN!A162&amp;"B"</f>
        <v>B</v>
      </c>
      <c r="K157" s="12" t="e">
        <f t="shared" si="11"/>
        <v>#VALUE!</v>
      </c>
      <c r="L157" t="str">
        <f>MAIN!C162</f>
        <v/>
      </c>
    </row>
    <row r="158" spans="1:12" x14ac:dyDescent="0.3">
      <c r="A158">
        <f>IF(J158="0",0,IF(COUNTIF($J$2:J158,J158)=1,1,0))</f>
        <v>0</v>
      </c>
      <c r="B158" s="12" t="e">
        <f>MID(MAIN!A163,K158,2)</f>
        <v>#VALUE!</v>
      </c>
      <c r="C158" s="12" t="e">
        <f t="shared" si="8"/>
        <v>#VALUE!</v>
      </c>
      <c r="D158" s="12" t="e">
        <f>MID(MAIN!A163,K158+2,2)</f>
        <v>#VALUE!</v>
      </c>
      <c r="E158" s="12" t="e">
        <f>MID(MAIN!A163,K158+4,2)</f>
        <v>#VALUE!</v>
      </c>
      <c r="F158" s="2" t="e">
        <f t="shared" si="9"/>
        <v>#VALUE!</v>
      </c>
      <c r="G158" s="13" t="e">
        <f t="shared" si="10"/>
        <v>#VALUE!</v>
      </c>
      <c r="J158" t="str">
        <f>MAIN!A163&amp;"B"</f>
        <v>B</v>
      </c>
      <c r="K158" s="12" t="e">
        <f t="shared" si="11"/>
        <v>#VALUE!</v>
      </c>
      <c r="L158" t="str">
        <f>MAIN!C163</f>
        <v/>
      </c>
    </row>
    <row r="159" spans="1:12" x14ac:dyDescent="0.3">
      <c r="A159">
        <f>IF(J159="0",0,IF(COUNTIF($J$2:J159,J159)=1,1,0))</f>
        <v>0</v>
      </c>
      <c r="B159" s="12" t="e">
        <f>MID(MAIN!A164,K159,2)</f>
        <v>#VALUE!</v>
      </c>
      <c r="C159" s="12" t="e">
        <f t="shared" si="8"/>
        <v>#VALUE!</v>
      </c>
      <c r="D159" s="12" t="e">
        <f>MID(MAIN!A164,K159+2,2)</f>
        <v>#VALUE!</v>
      </c>
      <c r="E159" s="12" t="e">
        <f>MID(MAIN!A164,K159+4,2)</f>
        <v>#VALUE!</v>
      </c>
      <c r="F159" s="2" t="e">
        <f t="shared" si="9"/>
        <v>#VALUE!</v>
      </c>
      <c r="G159" s="13" t="e">
        <f t="shared" si="10"/>
        <v>#VALUE!</v>
      </c>
      <c r="J159" t="str">
        <f>MAIN!A164&amp;"B"</f>
        <v>B</v>
      </c>
      <c r="K159" s="12" t="e">
        <f t="shared" si="11"/>
        <v>#VALUE!</v>
      </c>
      <c r="L159" t="str">
        <f>MAIN!C164</f>
        <v/>
      </c>
    </row>
    <row r="160" spans="1:12" x14ac:dyDescent="0.3">
      <c r="A160">
        <f>IF(J160="0",0,IF(COUNTIF($J$2:J160,J160)=1,1,0))</f>
        <v>0</v>
      </c>
      <c r="B160" s="12" t="e">
        <f>MID(MAIN!A165,K160,2)</f>
        <v>#VALUE!</v>
      </c>
      <c r="C160" s="12" t="e">
        <f t="shared" si="8"/>
        <v>#VALUE!</v>
      </c>
      <c r="D160" s="12" t="e">
        <f>MID(MAIN!A165,K160+2,2)</f>
        <v>#VALUE!</v>
      </c>
      <c r="E160" s="12" t="e">
        <f>MID(MAIN!A165,K160+4,2)</f>
        <v>#VALUE!</v>
      </c>
      <c r="F160" s="2" t="e">
        <f t="shared" si="9"/>
        <v>#VALUE!</v>
      </c>
      <c r="G160" s="13" t="e">
        <f t="shared" si="10"/>
        <v>#VALUE!</v>
      </c>
      <c r="J160" t="str">
        <f>MAIN!A165&amp;"B"</f>
        <v>B</v>
      </c>
      <c r="K160" s="12" t="e">
        <f t="shared" si="11"/>
        <v>#VALUE!</v>
      </c>
      <c r="L160" t="str">
        <f>MAIN!C165</f>
        <v/>
      </c>
    </row>
    <row r="161" spans="1:12" x14ac:dyDescent="0.3">
      <c r="A161">
        <f>IF(J161="0",0,IF(COUNTIF($J$2:J161,J161)=1,1,0))</f>
        <v>0</v>
      </c>
      <c r="B161" s="12" t="e">
        <f>MID(MAIN!A166,K161,2)</f>
        <v>#VALUE!</v>
      </c>
      <c r="C161" s="12" t="e">
        <f t="shared" si="8"/>
        <v>#VALUE!</v>
      </c>
      <c r="D161" s="12" t="e">
        <f>MID(MAIN!A166,K161+2,2)</f>
        <v>#VALUE!</v>
      </c>
      <c r="E161" s="12" t="e">
        <f>MID(MAIN!A166,K161+4,2)</f>
        <v>#VALUE!</v>
      </c>
      <c r="F161" s="2" t="e">
        <f t="shared" si="9"/>
        <v>#VALUE!</v>
      </c>
      <c r="G161" s="13" t="e">
        <f t="shared" si="10"/>
        <v>#VALUE!</v>
      </c>
      <c r="J161" t="str">
        <f>MAIN!A166&amp;"B"</f>
        <v>B</v>
      </c>
      <c r="K161" s="12" t="e">
        <f t="shared" si="11"/>
        <v>#VALUE!</v>
      </c>
      <c r="L161" t="str">
        <f>MAIN!C166</f>
        <v/>
      </c>
    </row>
    <row r="162" spans="1:12" x14ac:dyDescent="0.3">
      <c r="A162">
        <f>IF(J162="0",0,IF(COUNTIF($J$2:J162,J162)=1,1,0))</f>
        <v>0</v>
      </c>
      <c r="B162" s="12" t="e">
        <f>MID(MAIN!A167,K162,2)</f>
        <v>#VALUE!</v>
      </c>
      <c r="C162" s="12" t="e">
        <f t="shared" si="8"/>
        <v>#VALUE!</v>
      </c>
      <c r="D162" s="12" t="e">
        <f>MID(MAIN!A167,K162+2,2)</f>
        <v>#VALUE!</v>
      </c>
      <c r="E162" s="12" t="e">
        <f>MID(MAIN!A167,K162+4,2)</f>
        <v>#VALUE!</v>
      </c>
      <c r="F162" s="2" t="e">
        <f t="shared" si="9"/>
        <v>#VALUE!</v>
      </c>
      <c r="G162" s="13" t="e">
        <f t="shared" si="10"/>
        <v>#VALUE!</v>
      </c>
      <c r="J162" t="str">
        <f>MAIN!A167&amp;"B"</f>
        <v>B</v>
      </c>
      <c r="K162" s="12" t="e">
        <f t="shared" si="11"/>
        <v>#VALUE!</v>
      </c>
      <c r="L162" t="str">
        <f>MAIN!C167</f>
        <v/>
      </c>
    </row>
    <row r="163" spans="1:12" x14ac:dyDescent="0.3">
      <c r="A163">
        <f>IF(J163="0",0,IF(COUNTIF($J$2:J163,J163)=1,1,0))</f>
        <v>0</v>
      </c>
      <c r="B163" s="12" t="e">
        <f>MID(MAIN!A168,K163,2)</f>
        <v>#VALUE!</v>
      </c>
      <c r="C163" s="12" t="e">
        <f t="shared" si="8"/>
        <v>#VALUE!</v>
      </c>
      <c r="D163" s="12" t="e">
        <f>MID(MAIN!A168,K163+2,2)</f>
        <v>#VALUE!</v>
      </c>
      <c r="E163" s="12" t="e">
        <f>MID(MAIN!A168,K163+4,2)</f>
        <v>#VALUE!</v>
      </c>
      <c r="F163" s="2" t="e">
        <f t="shared" si="9"/>
        <v>#VALUE!</v>
      </c>
      <c r="G163" s="13" t="e">
        <f t="shared" si="10"/>
        <v>#VALUE!</v>
      </c>
      <c r="J163" t="str">
        <f>MAIN!A168&amp;"B"</f>
        <v>B</v>
      </c>
      <c r="K163" s="12" t="e">
        <f t="shared" si="11"/>
        <v>#VALUE!</v>
      </c>
      <c r="L163" t="str">
        <f>MAIN!C168</f>
        <v/>
      </c>
    </row>
    <row r="164" spans="1:12" x14ac:dyDescent="0.3">
      <c r="A164">
        <f>IF(J164="0",0,IF(COUNTIF($J$2:J164,J164)=1,1,0))</f>
        <v>0</v>
      </c>
      <c r="B164" s="12" t="e">
        <f>MID(MAIN!A169,K164,2)</f>
        <v>#VALUE!</v>
      </c>
      <c r="C164" s="12" t="e">
        <f t="shared" si="8"/>
        <v>#VALUE!</v>
      </c>
      <c r="D164" s="12" t="e">
        <f>MID(MAIN!A169,K164+2,2)</f>
        <v>#VALUE!</v>
      </c>
      <c r="E164" s="12" t="e">
        <f>MID(MAIN!A169,K164+4,2)</f>
        <v>#VALUE!</v>
      </c>
      <c r="F164" s="2" t="e">
        <f t="shared" si="9"/>
        <v>#VALUE!</v>
      </c>
      <c r="G164" s="13" t="e">
        <f t="shared" si="10"/>
        <v>#VALUE!</v>
      </c>
      <c r="J164" t="str">
        <f>MAIN!A169&amp;"B"</f>
        <v>B</v>
      </c>
      <c r="K164" s="12" t="e">
        <f t="shared" si="11"/>
        <v>#VALUE!</v>
      </c>
      <c r="L164" t="str">
        <f>MAIN!C169</f>
        <v/>
      </c>
    </row>
    <row r="165" spans="1:12" x14ac:dyDescent="0.3">
      <c r="A165">
        <f>IF(J165="0",0,IF(COUNTIF($J$2:J165,J165)=1,1,0))</f>
        <v>0</v>
      </c>
      <c r="B165" s="12" t="e">
        <f>MID(MAIN!A170,K165,2)</f>
        <v>#VALUE!</v>
      </c>
      <c r="C165" s="12" t="e">
        <f t="shared" si="8"/>
        <v>#VALUE!</v>
      </c>
      <c r="D165" s="12" t="e">
        <f>MID(MAIN!A170,K165+2,2)</f>
        <v>#VALUE!</v>
      </c>
      <c r="E165" s="12" t="e">
        <f>MID(MAIN!A170,K165+4,2)</f>
        <v>#VALUE!</v>
      </c>
      <c r="F165" s="2" t="e">
        <f t="shared" si="9"/>
        <v>#VALUE!</v>
      </c>
      <c r="G165" s="13" t="e">
        <f t="shared" si="10"/>
        <v>#VALUE!</v>
      </c>
      <c r="J165" t="str">
        <f>MAIN!A170&amp;"B"</f>
        <v>B</v>
      </c>
      <c r="K165" s="12" t="e">
        <f t="shared" si="11"/>
        <v>#VALUE!</v>
      </c>
      <c r="L165" t="str">
        <f>MAIN!C170</f>
        <v/>
      </c>
    </row>
    <row r="166" spans="1:12" x14ac:dyDescent="0.3">
      <c r="A166">
        <f>IF(J166="0",0,IF(COUNTIF($J$2:J166,J166)=1,1,0))</f>
        <v>0</v>
      </c>
      <c r="B166" s="12" t="e">
        <f>MID(MAIN!A171,K166,2)</f>
        <v>#VALUE!</v>
      </c>
      <c r="C166" s="12" t="e">
        <f t="shared" si="8"/>
        <v>#VALUE!</v>
      </c>
      <c r="D166" s="12" t="e">
        <f>MID(MAIN!A171,K166+2,2)</f>
        <v>#VALUE!</v>
      </c>
      <c r="E166" s="12" t="e">
        <f>MID(MAIN!A171,K166+4,2)</f>
        <v>#VALUE!</v>
      </c>
      <c r="F166" s="2" t="e">
        <f t="shared" si="9"/>
        <v>#VALUE!</v>
      </c>
      <c r="G166" s="13" t="e">
        <f t="shared" si="10"/>
        <v>#VALUE!</v>
      </c>
      <c r="J166" t="str">
        <f>MAIN!A171&amp;"B"</f>
        <v>B</v>
      </c>
      <c r="K166" s="12" t="e">
        <f t="shared" si="11"/>
        <v>#VALUE!</v>
      </c>
      <c r="L166" t="str">
        <f>MAIN!C171</f>
        <v/>
      </c>
    </row>
    <row r="167" spans="1:12" x14ac:dyDescent="0.3">
      <c r="A167">
        <f>IF(J167="0",0,IF(COUNTIF($J$2:J167,J167)=1,1,0))</f>
        <v>0</v>
      </c>
      <c r="B167" s="12" t="e">
        <f>MID(MAIN!A172,K167,2)</f>
        <v>#VALUE!</v>
      </c>
      <c r="C167" s="12" t="e">
        <f t="shared" si="8"/>
        <v>#VALUE!</v>
      </c>
      <c r="D167" s="12" t="e">
        <f>MID(MAIN!A172,K167+2,2)</f>
        <v>#VALUE!</v>
      </c>
      <c r="E167" s="12" t="e">
        <f>MID(MAIN!A172,K167+4,2)</f>
        <v>#VALUE!</v>
      </c>
      <c r="F167" s="2" t="e">
        <f t="shared" si="9"/>
        <v>#VALUE!</v>
      </c>
      <c r="G167" s="13" t="e">
        <f t="shared" si="10"/>
        <v>#VALUE!</v>
      </c>
      <c r="J167" t="str">
        <f>MAIN!A172&amp;"B"</f>
        <v>B</v>
      </c>
      <c r="K167" s="12" t="e">
        <f t="shared" si="11"/>
        <v>#VALUE!</v>
      </c>
      <c r="L167" t="str">
        <f>MAIN!C172</f>
        <v/>
      </c>
    </row>
    <row r="168" spans="1:12" x14ac:dyDescent="0.3">
      <c r="A168">
        <f>IF(J168="0",0,IF(COUNTIF($J$2:J168,J168)=1,1,0))</f>
        <v>0</v>
      </c>
      <c r="B168" s="12" t="e">
        <f>MID(MAIN!A173,K168,2)</f>
        <v>#VALUE!</v>
      </c>
      <c r="C168" s="12" t="e">
        <f t="shared" si="8"/>
        <v>#VALUE!</v>
      </c>
      <c r="D168" s="12" t="e">
        <f>MID(MAIN!A173,K168+2,2)</f>
        <v>#VALUE!</v>
      </c>
      <c r="E168" s="12" t="e">
        <f>MID(MAIN!A173,K168+4,2)</f>
        <v>#VALUE!</v>
      </c>
      <c r="F168" s="2" t="e">
        <f t="shared" si="9"/>
        <v>#VALUE!</v>
      </c>
      <c r="G168" s="13" t="e">
        <f t="shared" si="10"/>
        <v>#VALUE!</v>
      </c>
      <c r="J168" t="str">
        <f>MAIN!A173&amp;"B"</f>
        <v>B</v>
      </c>
      <c r="K168" s="12" t="e">
        <f t="shared" si="11"/>
        <v>#VALUE!</v>
      </c>
      <c r="L168" t="str">
        <f>MAIN!C173</f>
        <v/>
      </c>
    </row>
    <row r="169" spans="1:12" x14ac:dyDescent="0.3">
      <c r="A169">
        <f>IF(J169="0",0,IF(COUNTIF($J$2:J169,J169)=1,1,0))</f>
        <v>0</v>
      </c>
      <c r="B169" s="12" t="e">
        <f>MID(MAIN!A174,K169,2)</f>
        <v>#VALUE!</v>
      </c>
      <c r="C169" s="12" t="e">
        <f t="shared" si="8"/>
        <v>#VALUE!</v>
      </c>
      <c r="D169" s="12" t="e">
        <f>MID(MAIN!A174,K169+2,2)</f>
        <v>#VALUE!</v>
      </c>
      <c r="E169" s="12" t="e">
        <f>MID(MAIN!A174,K169+4,2)</f>
        <v>#VALUE!</v>
      </c>
      <c r="F169" s="2" t="e">
        <f t="shared" si="9"/>
        <v>#VALUE!</v>
      </c>
      <c r="G169" s="13" t="e">
        <f t="shared" si="10"/>
        <v>#VALUE!</v>
      </c>
      <c r="J169" t="str">
        <f>MAIN!A174&amp;"B"</f>
        <v>B</v>
      </c>
      <c r="K169" s="12" t="e">
        <f t="shared" si="11"/>
        <v>#VALUE!</v>
      </c>
      <c r="L169" t="str">
        <f>MAIN!C174</f>
        <v/>
      </c>
    </row>
    <row r="170" spans="1:12" x14ac:dyDescent="0.3">
      <c r="A170">
        <f>IF(J170="0",0,IF(COUNTIF($J$2:J170,J170)=1,1,0))</f>
        <v>0</v>
      </c>
      <c r="B170" s="12" t="e">
        <f>MID(MAIN!A175,K170,2)</f>
        <v>#VALUE!</v>
      </c>
      <c r="C170" s="12" t="e">
        <f t="shared" si="8"/>
        <v>#VALUE!</v>
      </c>
      <c r="D170" s="12" t="e">
        <f>MID(MAIN!A175,K170+2,2)</f>
        <v>#VALUE!</v>
      </c>
      <c r="E170" s="12" t="e">
        <f>MID(MAIN!A175,K170+4,2)</f>
        <v>#VALUE!</v>
      </c>
      <c r="F170" s="2" t="e">
        <f t="shared" si="9"/>
        <v>#VALUE!</v>
      </c>
      <c r="G170" s="13" t="e">
        <f t="shared" si="10"/>
        <v>#VALUE!</v>
      </c>
      <c r="J170" t="str">
        <f>MAIN!A175&amp;"B"</f>
        <v>B</v>
      </c>
      <c r="K170" s="12" t="e">
        <f t="shared" si="11"/>
        <v>#VALUE!</v>
      </c>
      <c r="L170" t="str">
        <f>MAIN!C175</f>
        <v/>
      </c>
    </row>
    <row r="171" spans="1:12" x14ac:dyDescent="0.3">
      <c r="A171">
        <f>IF(J171="0",0,IF(COUNTIF($J$2:J171,J171)=1,1,0))</f>
        <v>0</v>
      </c>
      <c r="B171" s="12" t="e">
        <f>MID(MAIN!A176,K171,2)</f>
        <v>#VALUE!</v>
      </c>
      <c r="C171" s="12" t="e">
        <f t="shared" si="8"/>
        <v>#VALUE!</v>
      </c>
      <c r="D171" s="12" t="e">
        <f>MID(MAIN!A176,K171+2,2)</f>
        <v>#VALUE!</v>
      </c>
      <c r="E171" s="12" t="e">
        <f>MID(MAIN!A176,K171+4,2)</f>
        <v>#VALUE!</v>
      </c>
      <c r="F171" s="2" t="e">
        <f t="shared" si="9"/>
        <v>#VALUE!</v>
      </c>
      <c r="G171" s="13" t="e">
        <f t="shared" si="10"/>
        <v>#VALUE!</v>
      </c>
      <c r="J171" t="str">
        <f>MAIN!A176&amp;"B"</f>
        <v>B</v>
      </c>
      <c r="K171" s="12" t="e">
        <f t="shared" si="11"/>
        <v>#VALUE!</v>
      </c>
      <c r="L171" t="str">
        <f>MAIN!C176</f>
        <v/>
      </c>
    </row>
    <row r="172" spans="1:12" x14ac:dyDescent="0.3">
      <c r="A172">
        <f>IF(J172="0",0,IF(COUNTIF($J$2:J172,J172)=1,1,0))</f>
        <v>0</v>
      </c>
      <c r="B172" s="12" t="e">
        <f>MID(MAIN!A177,K172,2)</f>
        <v>#VALUE!</v>
      </c>
      <c r="C172" s="12" t="e">
        <f t="shared" si="8"/>
        <v>#VALUE!</v>
      </c>
      <c r="D172" s="12" t="e">
        <f>MID(MAIN!A177,K172+2,2)</f>
        <v>#VALUE!</v>
      </c>
      <c r="E172" s="12" t="e">
        <f>MID(MAIN!A177,K172+4,2)</f>
        <v>#VALUE!</v>
      </c>
      <c r="F172" s="2" t="e">
        <f t="shared" si="9"/>
        <v>#VALUE!</v>
      </c>
      <c r="G172" s="13" t="e">
        <f t="shared" si="10"/>
        <v>#VALUE!</v>
      </c>
      <c r="J172" t="str">
        <f>MAIN!A177&amp;"B"</f>
        <v>B</v>
      </c>
      <c r="K172" s="12" t="e">
        <f t="shared" si="11"/>
        <v>#VALUE!</v>
      </c>
      <c r="L172" t="str">
        <f>MAIN!C177</f>
        <v/>
      </c>
    </row>
    <row r="173" spans="1:12" x14ac:dyDescent="0.3">
      <c r="A173">
        <f>IF(J173="0",0,IF(COUNTIF($J$2:J173,J173)=1,1,0))</f>
        <v>0</v>
      </c>
      <c r="B173" s="12" t="e">
        <f>MID(MAIN!A178,K173,2)</f>
        <v>#VALUE!</v>
      </c>
      <c r="C173" s="12" t="e">
        <f t="shared" si="8"/>
        <v>#VALUE!</v>
      </c>
      <c r="D173" s="12" t="e">
        <f>MID(MAIN!A178,K173+2,2)</f>
        <v>#VALUE!</v>
      </c>
      <c r="E173" s="12" t="e">
        <f>MID(MAIN!A178,K173+4,2)</f>
        <v>#VALUE!</v>
      </c>
      <c r="F173" s="2" t="e">
        <f t="shared" si="9"/>
        <v>#VALUE!</v>
      </c>
      <c r="G173" s="13" t="e">
        <f t="shared" si="10"/>
        <v>#VALUE!</v>
      </c>
      <c r="J173" t="str">
        <f>MAIN!A178&amp;"B"</f>
        <v>B</v>
      </c>
      <c r="K173" s="12" t="e">
        <f t="shared" si="11"/>
        <v>#VALUE!</v>
      </c>
      <c r="L173" t="str">
        <f>MAIN!C178</f>
        <v/>
      </c>
    </row>
    <row r="174" spans="1:12" x14ac:dyDescent="0.3">
      <c r="A174">
        <f>IF(J174="0",0,IF(COUNTIF($J$2:J174,J174)=1,1,0))</f>
        <v>0</v>
      </c>
      <c r="B174" s="12" t="e">
        <f>MID(MAIN!A179,K174,2)</f>
        <v>#VALUE!</v>
      </c>
      <c r="C174" s="12" t="e">
        <f t="shared" si="8"/>
        <v>#VALUE!</v>
      </c>
      <c r="D174" s="12" t="e">
        <f>MID(MAIN!A179,K174+2,2)</f>
        <v>#VALUE!</v>
      </c>
      <c r="E174" s="12" t="e">
        <f>MID(MAIN!A179,K174+4,2)</f>
        <v>#VALUE!</v>
      </c>
      <c r="F174" s="2" t="e">
        <f t="shared" si="9"/>
        <v>#VALUE!</v>
      </c>
      <c r="G174" s="13" t="e">
        <f t="shared" si="10"/>
        <v>#VALUE!</v>
      </c>
      <c r="J174" t="str">
        <f>MAIN!A179&amp;"B"</f>
        <v>B</v>
      </c>
      <c r="K174" s="12" t="e">
        <f t="shared" si="11"/>
        <v>#VALUE!</v>
      </c>
      <c r="L174" t="str">
        <f>MAIN!C179</f>
        <v/>
      </c>
    </row>
    <row r="175" spans="1:12" x14ac:dyDescent="0.3">
      <c r="A175">
        <f>IF(J175="0",0,IF(COUNTIF($J$2:J175,J175)=1,1,0))</f>
        <v>0</v>
      </c>
      <c r="B175" s="12" t="e">
        <f>MID(MAIN!A180,K175,2)</f>
        <v>#VALUE!</v>
      </c>
      <c r="C175" s="12" t="e">
        <f t="shared" si="8"/>
        <v>#VALUE!</v>
      </c>
      <c r="D175" s="12" t="e">
        <f>MID(MAIN!A180,K175+2,2)</f>
        <v>#VALUE!</v>
      </c>
      <c r="E175" s="12" t="e">
        <f>MID(MAIN!A180,K175+4,2)</f>
        <v>#VALUE!</v>
      </c>
      <c r="F175" s="2" t="e">
        <f t="shared" si="9"/>
        <v>#VALUE!</v>
      </c>
      <c r="G175" s="13" t="e">
        <f t="shared" si="10"/>
        <v>#VALUE!</v>
      </c>
      <c r="J175" t="str">
        <f>MAIN!A180&amp;"B"</f>
        <v>B</v>
      </c>
      <c r="K175" s="12" t="e">
        <f t="shared" si="11"/>
        <v>#VALUE!</v>
      </c>
      <c r="L175" t="str">
        <f>MAIN!C180</f>
        <v/>
      </c>
    </row>
    <row r="176" spans="1:12" x14ac:dyDescent="0.3">
      <c r="A176">
        <f>IF(J176="0",0,IF(COUNTIF($J$2:J176,J176)=1,1,0))</f>
        <v>0</v>
      </c>
      <c r="B176" s="12" t="e">
        <f>MID(MAIN!A181,K176,2)</f>
        <v>#VALUE!</v>
      </c>
      <c r="C176" s="12" t="e">
        <f t="shared" si="8"/>
        <v>#VALUE!</v>
      </c>
      <c r="D176" s="12" t="e">
        <f>MID(MAIN!A181,K176+2,2)</f>
        <v>#VALUE!</v>
      </c>
      <c r="E176" s="12" t="e">
        <f>MID(MAIN!A181,K176+4,2)</f>
        <v>#VALUE!</v>
      </c>
      <c r="F176" s="2" t="e">
        <f t="shared" si="9"/>
        <v>#VALUE!</v>
      </c>
      <c r="G176" s="13" t="e">
        <f t="shared" si="10"/>
        <v>#VALUE!</v>
      </c>
      <c r="J176" t="str">
        <f>MAIN!A181&amp;"B"</f>
        <v>B</v>
      </c>
      <c r="K176" s="12" t="e">
        <f t="shared" si="11"/>
        <v>#VALUE!</v>
      </c>
      <c r="L176" t="str">
        <f>MAIN!C181</f>
        <v/>
      </c>
    </row>
    <row r="177" spans="1:12" x14ac:dyDescent="0.3">
      <c r="A177">
        <f>IF(J177="0",0,IF(COUNTIF($J$2:J177,J177)=1,1,0))</f>
        <v>0</v>
      </c>
      <c r="B177" s="12" t="e">
        <f>MID(MAIN!A182,K177,2)</f>
        <v>#VALUE!</v>
      </c>
      <c r="C177" s="12" t="e">
        <f t="shared" si="8"/>
        <v>#VALUE!</v>
      </c>
      <c r="D177" s="12" t="e">
        <f>MID(MAIN!A182,K177+2,2)</f>
        <v>#VALUE!</v>
      </c>
      <c r="E177" s="12" t="e">
        <f>MID(MAIN!A182,K177+4,2)</f>
        <v>#VALUE!</v>
      </c>
      <c r="F177" s="2" t="e">
        <f t="shared" si="9"/>
        <v>#VALUE!</v>
      </c>
      <c r="G177" s="13" t="e">
        <f t="shared" si="10"/>
        <v>#VALUE!</v>
      </c>
      <c r="J177" t="str">
        <f>MAIN!A182&amp;"B"</f>
        <v>B</v>
      </c>
      <c r="K177" s="12" t="e">
        <f t="shared" si="11"/>
        <v>#VALUE!</v>
      </c>
      <c r="L177" t="str">
        <f>MAIN!C182</f>
        <v/>
      </c>
    </row>
    <row r="178" spans="1:12" x14ac:dyDescent="0.3">
      <c r="A178">
        <f>IF(J178="0",0,IF(COUNTIF($J$2:J178,J178)=1,1,0))</f>
        <v>0</v>
      </c>
      <c r="B178" s="12" t="e">
        <f>MID(MAIN!A183,K178,2)</f>
        <v>#VALUE!</v>
      </c>
      <c r="C178" s="12" t="e">
        <f t="shared" si="8"/>
        <v>#VALUE!</v>
      </c>
      <c r="D178" s="12" t="e">
        <f>MID(MAIN!A183,K178+2,2)</f>
        <v>#VALUE!</v>
      </c>
      <c r="E178" s="12" t="e">
        <f>MID(MAIN!A183,K178+4,2)</f>
        <v>#VALUE!</v>
      </c>
      <c r="F178" s="2" t="e">
        <f t="shared" si="9"/>
        <v>#VALUE!</v>
      </c>
      <c r="G178" s="13" t="e">
        <f t="shared" si="10"/>
        <v>#VALUE!</v>
      </c>
      <c r="J178" t="str">
        <f>MAIN!A183&amp;"B"</f>
        <v>B</v>
      </c>
      <c r="K178" s="12" t="e">
        <f t="shared" si="11"/>
        <v>#VALUE!</v>
      </c>
      <c r="L178" t="str">
        <f>MAIN!C183</f>
        <v/>
      </c>
    </row>
    <row r="179" spans="1:12" x14ac:dyDescent="0.3">
      <c r="A179">
        <f>IF(J179="0",0,IF(COUNTIF($J$2:J179,J179)=1,1,0))</f>
        <v>0</v>
      </c>
      <c r="B179" s="12" t="e">
        <f>MID(MAIN!A184,K179,2)</f>
        <v>#VALUE!</v>
      </c>
      <c r="C179" s="12" t="e">
        <f t="shared" si="8"/>
        <v>#VALUE!</v>
      </c>
      <c r="D179" s="12" t="e">
        <f>MID(MAIN!A184,K179+2,2)</f>
        <v>#VALUE!</v>
      </c>
      <c r="E179" s="12" t="e">
        <f>MID(MAIN!A184,K179+4,2)</f>
        <v>#VALUE!</v>
      </c>
      <c r="F179" s="2" t="e">
        <f t="shared" si="9"/>
        <v>#VALUE!</v>
      </c>
      <c r="G179" s="13" t="e">
        <f t="shared" si="10"/>
        <v>#VALUE!</v>
      </c>
      <c r="J179" t="str">
        <f>MAIN!A184&amp;"B"</f>
        <v>B</v>
      </c>
      <c r="K179" s="12" t="e">
        <f t="shared" si="11"/>
        <v>#VALUE!</v>
      </c>
      <c r="L179" t="str">
        <f>MAIN!C184</f>
        <v/>
      </c>
    </row>
    <row r="180" spans="1:12" x14ac:dyDescent="0.3">
      <c r="A180">
        <f>IF(J180="0",0,IF(COUNTIF($J$2:J180,J180)=1,1,0))</f>
        <v>0</v>
      </c>
      <c r="B180" s="12" t="e">
        <f>MID(MAIN!A185,K180,2)</f>
        <v>#VALUE!</v>
      </c>
      <c r="C180" s="12" t="e">
        <f t="shared" si="8"/>
        <v>#VALUE!</v>
      </c>
      <c r="D180" s="12" t="e">
        <f>MID(MAIN!A185,K180+2,2)</f>
        <v>#VALUE!</v>
      </c>
      <c r="E180" s="12" t="e">
        <f>MID(MAIN!A185,K180+4,2)</f>
        <v>#VALUE!</v>
      </c>
      <c r="F180" s="2" t="e">
        <f t="shared" si="9"/>
        <v>#VALUE!</v>
      </c>
      <c r="G180" s="13" t="e">
        <f t="shared" si="10"/>
        <v>#VALUE!</v>
      </c>
      <c r="J180" t="str">
        <f>MAIN!A185&amp;"B"</f>
        <v>B</v>
      </c>
      <c r="K180" s="12" t="e">
        <f t="shared" si="11"/>
        <v>#VALUE!</v>
      </c>
      <c r="L180" t="str">
        <f>MAIN!C185</f>
        <v/>
      </c>
    </row>
    <row r="181" spans="1:12" x14ac:dyDescent="0.3">
      <c r="A181">
        <f>IF(J181="0",0,IF(COUNTIF($J$2:J181,J181)=1,1,0))</f>
        <v>0</v>
      </c>
      <c r="B181" s="12" t="e">
        <f>MID(MAIN!A186,K181,2)</f>
        <v>#VALUE!</v>
      </c>
      <c r="C181" s="12" t="e">
        <f t="shared" si="8"/>
        <v>#VALUE!</v>
      </c>
      <c r="D181" s="12" t="e">
        <f>MID(MAIN!A186,K181+2,2)</f>
        <v>#VALUE!</v>
      </c>
      <c r="E181" s="12" t="e">
        <f>MID(MAIN!A186,K181+4,2)</f>
        <v>#VALUE!</v>
      </c>
      <c r="F181" s="2" t="e">
        <f t="shared" si="9"/>
        <v>#VALUE!</v>
      </c>
      <c r="G181" s="13" t="e">
        <f t="shared" si="10"/>
        <v>#VALUE!</v>
      </c>
      <c r="J181" t="str">
        <f>MAIN!A186&amp;"B"</f>
        <v>B</v>
      </c>
      <c r="K181" s="12" t="e">
        <f t="shared" si="11"/>
        <v>#VALUE!</v>
      </c>
      <c r="L181" t="str">
        <f>MAIN!C186</f>
        <v/>
      </c>
    </row>
    <row r="182" spans="1:12" x14ac:dyDescent="0.3">
      <c r="A182">
        <f>IF(J182="0",0,IF(COUNTIF($J$2:J182,J182)=1,1,0))</f>
        <v>0</v>
      </c>
      <c r="B182" s="12" t="e">
        <f>MID(MAIN!A187,K182,2)</f>
        <v>#VALUE!</v>
      </c>
      <c r="C182" s="12" t="e">
        <f t="shared" si="8"/>
        <v>#VALUE!</v>
      </c>
      <c r="D182" s="12" t="e">
        <f>MID(MAIN!A187,K182+2,2)</f>
        <v>#VALUE!</v>
      </c>
      <c r="E182" s="12" t="e">
        <f>MID(MAIN!A187,K182+4,2)</f>
        <v>#VALUE!</v>
      </c>
      <c r="F182" s="2" t="e">
        <f t="shared" si="9"/>
        <v>#VALUE!</v>
      </c>
      <c r="G182" s="13" t="e">
        <f t="shared" si="10"/>
        <v>#VALUE!</v>
      </c>
      <c r="J182" t="str">
        <f>MAIN!A187&amp;"B"</f>
        <v>B</v>
      </c>
      <c r="K182" s="12" t="e">
        <f t="shared" si="11"/>
        <v>#VALUE!</v>
      </c>
      <c r="L182" t="str">
        <f>MAIN!C187</f>
        <v/>
      </c>
    </row>
    <row r="183" spans="1:12" x14ac:dyDescent="0.3">
      <c r="A183">
        <f>IF(J183="0",0,IF(COUNTIF($J$2:J183,J183)=1,1,0))</f>
        <v>0</v>
      </c>
      <c r="B183" s="12" t="e">
        <f>MID(MAIN!A188,K183,2)</f>
        <v>#VALUE!</v>
      </c>
      <c r="C183" s="12" t="e">
        <f t="shared" si="8"/>
        <v>#VALUE!</v>
      </c>
      <c r="D183" s="12" t="e">
        <f>MID(MAIN!A188,K183+2,2)</f>
        <v>#VALUE!</v>
      </c>
      <c r="E183" s="12" t="e">
        <f>MID(MAIN!A188,K183+4,2)</f>
        <v>#VALUE!</v>
      </c>
      <c r="F183" s="2" t="e">
        <f t="shared" si="9"/>
        <v>#VALUE!</v>
      </c>
      <c r="G183" s="13" t="e">
        <f t="shared" si="10"/>
        <v>#VALUE!</v>
      </c>
      <c r="J183" t="str">
        <f>MAIN!A188&amp;"B"</f>
        <v>B</v>
      </c>
      <c r="K183" s="12" t="e">
        <f t="shared" si="11"/>
        <v>#VALUE!</v>
      </c>
      <c r="L183" t="str">
        <f>MAIN!C188</f>
        <v/>
      </c>
    </row>
    <row r="184" spans="1:12" x14ac:dyDescent="0.3">
      <c r="A184">
        <f>IF(J184="0",0,IF(COUNTIF($J$2:J184,J184)=1,1,0))</f>
        <v>0</v>
      </c>
      <c r="B184" s="12" t="e">
        <f>MID(MAIN!A189,K184,2)</f>
        <v>#VALUE!</v>
      </c>
      <c r="C184" s="12" t="e">
        <f t="shared" si="8"/>
        <v>#VALUE!</v>
      </c>
      <c r="D184" s="12" t="e">
        <f>MID(MAIN!A189,K184+2,2)</f>
        <v>#VALUE!</v>
      </c>
      <c r="E184" s="12" t="e">
        <f>MID(MAIN!A189,K184+4,2)</f>
        <v>#VALUE!</v>
      </c>
      <c r="F184" s="2" t="e">
        <f t="shared" si="9"/>
        <v>#VALUE!</v>
      </c>
      <c r="G184" s="13" t="e">
        <f t="shared" si="10"/>
        <v>#VALUE!</v>
      </c>
      <c r="J184" t="str">
        <f>MAIN!A189&amp;"B"</f>
        <v>B</v>
      </c>
      <c r="K184" s="12" t="e">
        <f t="shared" si="11"/>
        <v>#VALUE!</v>
      </c>
      <c r="L184" t="str">
        <f>MAIN!C189</f>
        <v/>
      </c>
    </row>
    <row r="185" spans="1:12" x14ac:dyDescent="0.3">
      <c r="A185">
        <f>IF(J185="0",0,IF(COUNTIF($J$2:J185,J185)=1,1,0))</f>
        <v>0</v>
      </c>
      <c r="B185" s="12" t="e">
        <f>MID(MAIN!A190,K185,2)</f>
        <v>#VALUE!</v>
      </c>
      <c r="C185" s="12" t="e">
        <f t="shared" si="8"/>
        <v>#VALUE!</v>
      </c>
      <c r="D185" s="12" t="e">
        <f>MID(MAIN!A190,K185+2,2)</f>
        <v>#VALUE!</v>
      </c>
      <c r="E185" s="12" t="e">
        <f>MID(MAIN!A190,K185+4,2)</f>
        <v>#VALUE!</v>
      </c>
      <c r="F185" s="2" t="e">
        <f t="shared" si="9"/>
        <v>#VALUE!</v>
      </c>
      <c r="G185" s="13" t="e">
        <f t="shared" si="10"/>
        <v>#VALUE!</v>
      </c>
      <c r="J185" t="str">
        <f>MAIN!A190&amp;"B"</f>
        <v>B</v>
      </c>
      <c r="K185" s="12" t="e">
        <f t="shared" si="11"/>
        <v>#VALUE!</v>
      </c>
      <c r="L185" t="str">
        <f>MAIN!C190</f>
        <v/>
      </c>
    </row>
    <row r="186" spans="1:12" x14ac:dyDescent="0.3">
      <c r="A186">
        <f>IF(J186="0",0,IF(COUNTIF($J$2:J186,J186)=1,1,0))</f>
        <v>0</v>
      </c>
      <c r="B186" s="12" t="e">
        <f>MID(MAIN!A191,K186,2)</f>
        <v>#VALUE!</v>
      </c>
      <c r="C186" s="12" t="e">
        <f t="shared" si="8"/>
        <v>#VALUE!</v>
      </c>
      <c r="D186" s="12" t="e">
        <f>MID(MAIN!A191,K186+2,2)</f>
        <v>#VALUE!</v>
      </c>
      <c r="E186" s="12" t="e">
        <f>MID(MAIN!A191,K186+4,2)</f>
        <v>#VALUE!</v>
      </c>
      <c r="F186" s="2" t="e">
        <f t="shared" si="9"/>
        <v>#VALUE!</v>
      </c>
      <c r="G186" s="13" t="e">
        <f t="shared" si="10"/>
        <v>#VALUE!</v>
      </c>
      <c r="J186" t="str">
        <f>MAIN!A191&amp;"B"</f>
        <v>B</v>
      </c>
      <c r="K186" s="12" t="e">
        <f t="shared" si="11"/>
        <v>#VALUE!</v>
      </c>
      <c r="L186" t="str">
        <f>MAIN!C191</f>
        <v/>
      </c>
    </row>
    <row r="187" spans="1:12" x14ac:dyDescent="0.3">
      <c r="A187">
        <f>IF(J187="0",0,IF(COUNTIF($J$2:J187,J187)=1,1,0))</f>
        <v>0</v>
      </c>
      <c r="B187" s="12" t="e">
        <f>MID(MAIN!A192,K187,2)</f>
        <v>#VALUE!</v>
      </c>
      <c r="C187" s="12" t="e">
        <f t="shared" si="8"/>
        <v>#VALUE!</v>
      </c>
      <c r="D187" s="12" t="e">
        <f>MID(MAIN!A192,K187+2,2)</f>
        <v>#VALUE!</v>
      </c>
      <c r="E187" s="12" t="e">
        <f>MID(MAIN!A192,K187+4,2)</f>
        <v>#VALUE!</v>
      </c>
      <c r="F187" s="2" t="e">
        <f t="shared" si="9"/>
        <v>#VALUE!</v>
      </c>
      <c r="G187" s="13" t="e">
        <f t="shared" si="10"/>
        <v>#VALUE!</v>
      </c>
      <c r="J187" t="str">
        <f>MAIN!A192&amp;"B"</f>
        <v>B</v>
      </c>
      <c r="K187" s="12" t="e">
        <f t="shared" si="11"/>
        <v>#VALUE!</v>
      </c>
      <c r="L187" t="str">
        <f>MAIN!C192</f>
        <v/>
      </c>
    </row>
    <row r="188" spans="1:12" x14ac:dyDescent="0.3">
      <c r="A188">
        <f>IF(J188="0",0,IF(COUNTIF($J$2:J188,J188)=1,1,0))</f>
        <v>0</v>
      </c>
      <c r="B188" s="12" t="e">
        <f>MID(MAIN!A193,K188,2)</f>
        <v>#VALUE!</v>
      </c>
      <c r="C188" s="12" t="e">
        <f t="shared" si="8"/>
        <v>#VALUE!</v>
      </c>
      <c r="D188" s="12" t="e">
        <f>MID(MAIN!A193,K188+2,2)</f>
        <v>#VALUE!</v>
      </c>
      <c r="E188" s="12" t="e">
        <f>MID(MAIN!A193,K188+4,2)</f>
        <v>#VALUE!</v>
      </c>
      <c r="F188" s="2" t="e">
        <f t="shared" si="9"/>
        <v>#VALUE!</v>
      </c>
      <c r="G188" s="13" t="e">
        <f t="shared" si="10"/>
        <v>#VALUE!</v>
      </c>
      <c r="J188" t="str">
        <f>MAIN!A193&amp;"B"</f>
        <v>B</v>
      </c>
      <c r="K188" s="12" t="e">
        <f t="shared" si="11"/>
        <v>#VALUE!</v>
      </c>
      <c r="L188" t="str">
        <f>MAIN!C193</f>
        <v/>
      </c>
    </row>
    <row r="189" spans="1:12" x14ac:dyDescent="0.3">
      <c r="A189">
        <f>IF(J189="0",0,IF(COUNTIF($J$2:J189,J189)=1,1,0))</f>
        <v>0</v>
      </c>
      <c r="B189" s="12" t="e">
        <f>MID(MAIN!A194,K189,2)</f>
        <v>#VALUE!</v>
      </c>
      <c r="C189" s="12" t="e">
        <f t="shared" si="8"/>
        <v>#VALUE!</v>
      </c>
      <c r="D189" s="12" t="e">
        <f>MID(MAIN!A194,K189+2,2)</f>
        <v>#VALUE!</v>
      </c>
      <c r="E189" s="12" t="e">
        <f>MID(MAIN!A194,K189+4,2)</f>
        <v>#VALUE!</v>
      </c>
      <c r="F189" s="2" t="e">
        <f t="shared" si="9"/>
        <v>#VALUE!</v>
      </c>
      <c r="G189" s="13" t="e">
        <f t="shared" si="10"/>
        <v>#VALUE!</v>
      </c>
      <c r="J189" t="str">
        <f>MAIN!A194&amp;"B"</f>
        <v>B</v>
      </c>
      <c r="K189" s="12" t="e">
        <f t="shared" si="11"/>
        <v>#VALUE!</v>
      </c>
      <c r="L189" t="str">
        <f>MAIN!C194</f>
        <v/>
      </c>
    </row>
    <row r="190" spans="1:12" x14ac:dyDescent="0.3">
      <c r="A190">
        <f>IF(J190="0",0,IF(COUNTIF($J$2:J190,J190)=1,1,0))</f>
        <v>0</v>
      </c>
      <c r="B190" s="12" t="e">
        <f>MID(MAIN!A195,K190,2)</f>
        <v>#VALUE!</v>
      </c>
      <c r="C190" s="12" t="e">
        <f t="shared" si="8"/>
        <v>#VALUE!</v>
      </c>
      <c r="D190" s="12" t="e">
        <f>MID(MAIN!A195,K190+2,2)</f>
        <v>#VALUE!</v>
      </c>
      <c r="E190" s="12" t="e">
        <f>MID(MAIN!A195,K190+4,2)</f>
        <v>#VALUE!</v>
      </c>
      <c r="F190" s="2" t="e">
        <f t="shared" si="9"/>
        <v>#VALUE!</v>
      </c>
      <c r="G190" s="13" t="e">
        <f t="shared" si="10"/>
        <v>#VALUE!</v>
      </c>
      <c r="J190" t="str">
        <f>MAIN!A195&amp;"B"</f>
        <v>B</v>
      </c>
      <c r="K190" s="12" t="e">
        <f t="shared" si="11"/>
        <v>#VALUE!</v>
      </c>
      <c r="L190" t="str">
        <f>MAIN!C195</f>
        <v/>
      </c>
    </row>
    <row r="191" spans="1:12" x14ac:dyDescent="0.3">
      <c r="A191">
        <f>IF(J191="0",0,IF(COUNTIF($J$2:J191,J191)=1,1,0))</f>
        <v>0</v>
      </c>
      <c r="B191" s="12" t="e">
        <f>MID(MAIN!A196,K191,2)</f>
        <v>#VALUE!</v>
      </c>
      <c r="C191" s="12" t="e">
        <f t="shared" si="8"/>
        <v>#VALUE!</v>
      </c>
      <c r="D191" s="12" t="e">
        <f>MID(MAIN!A196,K191+2,2)</f>
        <v>#VALUE!</v>
      </c>
      <c r="E191" s="12" t="e">
        <f>MID(MAIN!A196,K191+4,2)</f>
        <v>#VALUE!</v>
      </c>
      <c r="F191" s="2" t="e">
        <f t="shared" si="9"/>
        <v>#VALUE!</v>
      </c>
      <c r="G191" s="13" t="e">
        <f t="shared" si="10"/>
        <v>#VALUE!</v>
      </c>
      <c r="J191" t="str">
        <f>MAIN!A196&amp;"B"</f>
        <v>B</v>
      </c>
      <c r="K191" s="12" t="e">
        <f t="shared" si="11"/>
        <v>#VALUE!</v>
      </c>
      <c r="L191" t="str">
        <f>MAIN!C196</f>
        <v/>
      </c>
    </row>
    <row r="192" spans="1:12" x14ac:dyDescent="0.3">
      <c r="A192">
        <f>IF(J192="0",0,IF(COUNTIF($J$2:J192,J192)=1,1,0))</f>
        <v>0</v>
      </c>
      <c r="B192" s="12" t="e">
        <f>MID(MAIN!A197,K192,2)</f>
        <v>#VALUE!</v>
      </c>
      <c r="C192" s="12" t="e">
        <f t="shared" si="8"/>
        <v>#VALUE!</v>
      </c>
      <c r="D192" s="12" t="e">
        <f>MID(MAIN!A197,K192+2,2)</f>
        <v>#VALUE!</v>
      </c>
      <c r="E192" s="12" t="e">
        <f>MID(MAIN!A197,K192+4,2)</f>
        <v>#VALUE!</v>
      </c>
      <c r="F192" s="2" t="e">
        <f t="shared" si="9"/>
        <v>#VALUE!</v>
      </c>
      <c r="G192" s="13" t="e">
        <f t="shared" si="10"/>
        <v>#VALUE!</v>
      </c>
      <c r="J192" t="str">
        <f>MAIN!A197&amp;"B"</f>
        <v>B</v>
      </c>
      <c r="K192" s="12" t="e">
        <f t="shared" si="11"/>
        <v>#VALUE!</v>
      </c>
      <c r="L192" t="str">
        <f>MAIN!C197</f>
        <v/>
      </c>
    </row>
    <row r="193" spans="1:12" x14ac:dyDescent="0.3">
      <c r="A193">
        <f>IF(J193="0",0,IF(COUNTIF($J$2:J193,J193)=1,1,0))</f>
        <v>0</v>
      </c>
      <c r="B193" s="12" t="e">
        <f>MID(MAIN!A198,K193,2)</f>
        <v>#VALUE!</v>
      </c>
      <c r="C193" s="12" t="e">
        <f t="shared" si="8"/>
        <v>#VALUE!</v>
      </c>
      <c r="D193" s="12" t="e">
        <f>MID(MAIN!A198,K193+2,2)</f>
        <v>#VALUE!</v>
      </c>
      <c r="E193" s="12" t="e">
        <f>MID(MAIN!A198,K193+4,2)</f>
        <v>#VALUE!</v>
      </c>
      <c r="F193" s="2" t="e">
        <f t="shared" si="9"/>
        <v>#VALUE!</v>
      </c>
      <c r="G193" s="13" t="e">
        <f t="shared" si="10"/>
        <v>#VALUE!</v>
      </c>
      <c r="J193" t="str">
        <f>MAIN!A198&amp;"B"</f>
        <v>B</v>
      </c>
      <c r="K193" s="12" t="e">
        <f t="shared" si="11"/>
        <v>#VALUE!</v>
      </c>
      <c r="L193" t="str">
        <f>MAIN!C198</f>
        <v/>
      </c>
    </row>
    <row r="194" spans="1:12" x14ac:dyDescent="0.3">
      <c r="A194">
        <f>IF(J194="0",0,IF(COUNTIF($J$2:J194,J194)=1,1,0))</f>
        <v>0</v>
      </c>
      <c r="B194" s="12" t="e">
        <f>MID(MAIN!A199,K194,2)</f>
        <v>#VALUE!</v>
      </c>
      <c r="C194" s="12" t="e">
        <f t="shared" si="8"/>
        <v>#VALUE!</v>
      </c>
      <c r="D194" s="12" t="e">
        <f>MID(MAIN!A199,K194+2,2)</f>
        <v>#VALUE!</v>
      </c>
      <c r="E194" s="12" t="e">
        <f>MID(MAIN!A199,K194+4,2)</f>
        <v>#VALUE!</v>
      </c>
      <c r="F194" s="2" t="e">
        <f t="shared" si="9"/>
        <v>#VALUE!</v>
      </c>
      <c r="G194" s="13" t="e">
        <f t="shared" si="10"/>
        <v>#VALUE!</v>
      </c>
      <c r="J194" t="str">
        <f>MAIN!A199&amp;"B"</f>
        <v>B</v>
      </c>
      <c r="K194" s="12" t="e">
        <f t="shared" si="11"/>
        <v>#VALUE!</v>
      </c>
      <c r="L194" t="str">
        <f>MAIN!C199</f>
        <v/>
      </c>
    </row>
    <row r="195" spans="1:12" x14ac:dyDescent="0.3">
      <c r="A195">
        <f>IF(J195="0",0,IF(COUNTIF($J$2:J195,J195)=1,1,0))</f>
        <v>0</v>
      </c>
      <c r="B195" s="12" t="e">
        <f>MID(MAIN!A200,K195,2)</f>
        <v>#VALUE!</v>
      </c>
      <c r="C195" s="12" t="e">
        <f t="shared" ref="C195:C258" si="12">"20"&amp;B195</f>
        <v>#VALUE!</v>
      </c>
      <c r="D195" s="12" t="e">
        <f>MID(MAIN!A200,K195+2,2)</f>
        <v>#VALUE!</v>
      </c>
      <c r="E195" s="12" t="e">
        <f>MID(MAIN!A200,K195+4,2)</f>
        <v>#VALUE!</v>
      </c>
      <c r="F195" s="2" t="e">
        <f t="shared" ref="F195:F258" si="13">C195&amp;"/"&amp;D195&amp;"/"&amp;E195</f>
        <v>#VALUE!</v>
      </c>
      <c r="G195" s="13" t="e">
        <f t="shared" ref="G195:G258" si="14">DATEVALUE(F195)</f>
        <v>#VALUE!</v>
      </c>
      <c r="J195" t="str">
        <f>MAIN!A200&amp;"B"</f>
        <v>B</v>
      </c>
      <c r="K195" s="12" t="e">
        <f t="shared" ref="K195:K258" si="15">FIND("172",J195,30)+2</f>
        <v>#VALUE!</v>
      </c>
      <c r="L195" t="str">
        <f>MAIN!C200</f>
        <v/>
      </c>
    </row>
    <row r="196" spans="1:12" x14ac:dyDescent="0.3">
      <c r="A196">
        <f>IF(J196="0",0,IF(COUNTIF($J$2:J196,J196)=1,1,0))</f>
        <v>0</v>
      </c>
      <c r="B196" s="12" t="e">
        <f>MID(MAIN!A201,K196,2)</f>
        <v>#VALUE!</v>
      </c>
      <c r="C196" s="12" t="e">
        <f t="shared" si="12"/>
        <v>#VALUE!</v>
      </c>
      <c r="D196" s="12" t="e">
        <f>MID(MAIN!A201,K196+2,2)</f>
        <v>#VALUE!</v>
      </c>
      <c r="E196" s="12" t="e">
        <f>MID(MAIN!A201,K196+4,2)</f>
        <v>#VALUE!</v>
      </c>
      <c r="F196" s="2" t="e">
        <f t="shared" si="13"/>
        <v>#VALUE!</v>
      </c>
      <c r="G196" s="13" t="e">
        <f t="shared" si="14"/>
        <v>#VALUE!</v>
      </c>
      <c r="J196" t="str">
        <f>MAIN!A201&amp;"B"</f>
        <v>B</v>
      </c>
      <c r="K196" s="12" t="e">
        <f t="shared" si="15"/>
        <v>#VALUE!</v>
      </c>
      <c r="L196" t="str">
        <f>MAIN!C201</f>
        <v/>
      </c>
    </row>
    <row r="197" spans="1:12" x14ac:dyDescent="0.3">
      <c r="A197">
        <f>IF(J197="0",0,IF(COUNTIF($J$2:J197,J197)=1,1,0))</f>
        <v>0</v>
      </c>
      <c r="B197" s="12" t="e">
        <f>MID(MAIN!A202,K197,2)</f>
        <v>#VALUE!</v>
      </c>
      <c r="C197" s="12" t="e">
        <f t="shared" si="12"/>
        <v>#VALUE!</v>
      </c>
      <c r="D197" s="12" t="e">
        <f>MID(MAIN!A202,K197+2,2)</f>
        <v>#VALUE!</v>
      </c>
      <c r="E197" s="12" t="e">
        <f>MID(MAIN!A202,K197+4,2)</f>
        <v>#VALUE!</v>
      </c>
      <c r="F197" s="2" t="e">
        <f t="shared" si="13"/>
        <v>#VALUE!</v>
      </c>
      <c r="G197" s="13" t="e">
        <f t="shared" si="14"/>
        <v>#VALUE!</v>
      </c>
      <c r="J197" t="str">
        <f>MAIN!A202&amp;"B"</f>
        <v>B</v>
      </c>
      <c r="K197" s="12" t="e">
        <f t="shared" si="15"/>
        <v>#VALUE!</v>
      </c>
      <c r="L197" t="str">
        <f>MAIN!C202</f>
        <v/>
      </c>
    </row>
    <row r="198" spans="1:12" x14ac:dyDescent="0.3">
      <c r="A198">
        <f>IF(J198="0",0,IF(COUNTIF($J$2:J198,J198)=1,1,0))</f>
        <v>0</v>
      </c>
      <c r="B198" s="12" t="e">
        <f>MID(MAIN!A203,K198,2)</f>
        <v>#VALUE!</v>
      </c>
      <c r="C198" s="12" t="e">
        <f t="shared" si="12"/>
        <v>#VALUE!</v>
      </c>
      <c r="D198" s="12" t="e">
        <f>MID(MAIN!A203,K198+2,2)</f>
        <v>#VALUE!</v>
      </c>
      <c r="E198" s="12" t="e">
        <f>MID(MAIN!A203,K198+4,2)</f>
        <v>#VALUE!</v>
      </c>
      <c r="F198" s="2" t="e">
        <f t="shared" si="13"/>
        <v>#VALUE!</v>
      </c>
      <c r="G198" s="13" t="e">
        <f t="shared" si="14"/>
        <v>#VALUE!</v>
      </c>
      <c r="J198" t="str">
        <f>MAIN!A203&amp;"B"</f>
        <v>B</v>
      </c>
      <c r="K198" s="12" t="e">
        <f t="shared" si="15"/>
        <v>#VALUE!</v>
      </c>
      <c r="L198" t="str">
        <f>MAIN!C203</f>
        <v/>
      </c>
    </row>
    <row r="199" spans="1:12" x14ac:dyDescent="0.3">
      <c r="A199">
        <f>IF(J199="0",0,IF(COUNTIF($J$2:J199,J199)=1,1,0))</f>
        <v>0</v>
      </c>
      <c r="B199" s="12" t="e">
        <f>MID(MAIN!A204,K199,2)</f>
        <v>#VALUE!</v>
      </c>
      <c r="C199" s="12" t="e">
        <f t="shared" si="12"/>
        <v>#VALUE!</v>
      </c>
      <c r="D199" s="12" t="e">
        <f>MID(MAIN!A204,K199+2,2)</f>
        <v>#VALUE!</v>
      </c>
      <c r="E199" s="12" t="e">
        <f>MID(MAIN!A204,K199+4,2)</f>
        <v>#VALUE!</v>
      </c>
      <c r="F199" s="2" t="e">
        <f t="shared" si="13"/>
        <v>#VALUE!</v>
      </c>
      <c r="G199" s="13" t="e">
        <f t="shared" si="14"/>
        <v>#VALUE!</v>
      </c>
      <c r="J199" t="str">
        <f>MAIN!A204&amp;"B"</f>
        <v>B</v>
      </c>
      <c r="K199" s="12" t="e">
        <f t="shared" si="15"/>
        <v>#VALUE!</v>
      </c>
      <c r="L199" t="str">
        <f>MAIN!C204</f>
        <v/>
      </c>
    </row>
    <row r="200" spans="1:12" x14ac:dyDescent="0.3">
      <c r="A200">
        <f>IF(J200="0",0,IF(COUNTIF($J$2:J200,J200)=1,1,0))</f>
        <v>0</v>
      </c>
      <c r="B200" s="12" t="e">
        <f>MID(MAIN!A205,K200,2)</f>
        <v>#VALUE!</v>
      </c>
      <c r="C200" s="12" t="e">
        <f t="shared" si="12"/>
        <v>#VALUE!</v>
      </c>
      <c r="D200" s="12" t="e">
        <f>MID(MAIN!A205,K200+2,2)</f>
        <v>#VALUE!</v>
      </c>
      <c r="E200" s="12" t="e">
        <f>MID(MAIN!A205,K200+4,2)</f>
        <v>#VALUE!</v>
      </c>
      <c r="F200" s="2" t="e">
        <f t="shared" si="13"/>
        <v>#VALUE!</v>
      </c>
      <c r="G200" s="13" t="e">
        <f t="shared" si="14"/>
        <v>#VALUE!</v>
      </c>
      <c r="J200" t="str">
        <f>MAIN!A205&amp;"B"</f>
        <v>B</v>
      </c>
      <c r="K200" s="12" t="e">
        <f t="shared" si="15"/>
        <v>#VALUE!</v>
      </c>
      <c r="L200" t="str">
        <f>MAIN!C205</f>
        <v/>
      </c>
    </row>
    <row r="201" spans="1:12" x14ac:dyDescent="0.3">
      <c r="A201">
        <f>IF(J201="0",0,IF(COUNTIF($J$2:J201,J201)=1,1,0))</f>
        <v>0</v>
      </c>
      <c r="B201" s="12" t="e">
        <f>MID(MAIN!A206,K201,2)</f>
        <v>#VALUE!</v>
      </c>
      <c r="C201" s="12" t="e">
        <f t="shared" si="12"/>
        <v>#VALUE!</v>
      </c>
      <c r="D201" s="12" t="e">
        <f>MID(MAIN!A206,K201+2,2)</f>
        <v>#VALUE!</v>
      </c>
      <c r="E201" s="12" t="e">
        <f>MID(MAIN!A206,K201+4,2)</f>
        <v>#VALUE!</v>
      </c>
      <c r="F201" s="2" t="e">
        <f t="shared" si="13"/>
        <v>#VALUE!</v>
      </c>
      <c r="G201" s="13" t="e">
        <f t="shared" si="14"/>
        <v>#VALUE!</v>
      </c>
      <c r="J201" t="str">
        <f>MAIN!A206&amp;"B"</f>
        <v>B</v>
      </c>
      <c r="K201" s="12" t="e">
        <f t="shared" si="15"/>
        <v>#VALUE!</v>
      </c>
      <c r="L201" t="str">
        <f>MAIN!C206</f>
        <v/>
      </c>
    </row>
    <row r="202" spans="1:12" x14ac:dyDescent="0.3">
      <c r="A202">
        <f>IF(J202="0",0,IF(COUNTIF($J$2:J202,J202)=1,1,0))</f>
        <v>0</v>
      </c>
      <c r="B202" s="12" t="e">
        <f>MID(MAIN!A207,K202,2)</f>
        <v>#VALUE!</v>
      </c>
      <c r="C202" s="12" t="e">
        <f t="shared" si="12"/>
        <v>#VALUE!</v>
      </c>
      <c r="D202" s="12" t="e">
        <f>MID(MAIN!A207,K202+2,2)</f>
        <v>#VALUE!</v>
      </c>
      <c r="E202" s="12" t="e">
        <f>MID(MAIN!A207,K202+4,2)</f>
        <v>#VALUE!</v>
      </c>
      <c r="F202" s="2" t="e">
        <f t="shared" si="13"/>
        <v>#VALUE!</v>
      </c>
      <c r="G202" s="13" t="e">
        <f t="shared" si="14"/>
        <v>#VALUE!</v>
      </c>
      <c r="J202" t="str">
        <f>MAIN!A207&amp;"B"</f>
        <v>B</v>
      </c>
      <c r="K202" s="12" t="e">
        <f t="shared" si="15"/>
        <v>#VALUE!</v>
      </c>
      <c r="L202" t="str">
        <f>MAIN!C207</f>
        <v/>
      </c>
    </row>
    <row r="203" spans="1:12" x14ac:dyDescent="0.3">
      <c r="A203">
        <f>IF(J203="0",0,IF(COUNTIF($J$2:J203,J203)=1,1,0))</f>
        <v>0</v>
      </c>
      <c r="B203" s="12" t="e">
        <f>MID(MAIN!A208,K203,2)</f>
        <v>#VALUE!</v>
      </c>
      <c r="C203" s="12" t="e">
        <f t="shared" si="12"/>
        <v>#VALUE!</v>
      </c>
      <c r="D203" s="12" t="e">
        <f>MID(MAIN!A208,K203+2,2)</f>
        <v>#VALUE!</v>
      </c>
      <c r="E203" s="12" t="e">
        <f>MID(MAIN!A208,K203+4,2)</f>
        <v>#VALUE!</v>
      </c>
      <c r="F203" s="2" t="e">
        <f t="shared" si="13"/>
        <v>#VALUE!</v>
      </c>
      <c r="G203" s="13" t="e">
        <f t="shared" si="14"/>
        <v>#VALUE!</v>
      </c>
      <c r="J203" t="str">
        <f>MAIN!A208&amp;"B"</f>
        <v>B</v>
      </c>
      <c r="K203" s="12" t="e">
        <f t="shared" si="15"/>
        <v>#VALUE!</v>
      </c>
      <c r="L203" t="str">
        <f>MAIN!C208</f>
        <v/>
      </c>
    </row>
    <row r="204" spans="1:12" x14ac:dyDescent="0.3">
      <c r="A204">
        <f>IF(J204="0",0,IF(COUNTIF($J$2:J204,J204)=1,1,0))</f>
        <v>0</v>
      </c>
      <c r="B204" s="12" t="e">
        <f>MID(MAIN!A209,K204,2)</f>
        <v>#VALUE!</v>
      </c>
      <c r="C204" s="12" t="e">
        <f t="shared" si="12"/>
        <v>#VALUE!</v>
      </c>
      <c r="D204" s="12" t="e">
        <f>MID(MAIN!A209,K204+2,2)</f>
        <v>#VALUE!</v>
      </c>
      <c r="E204" s="12" t="e">
        <f>MID(MAIN!A209,K204+4,2)</f>
        <v>#VALUE!</v>
      </c>
      <c r="F204" s="2" t="e">
        <f t="shared" si="13"/>
        <v>#VALUE!</v>
      </c>
      <c r="G204" s="13" t="e">
        <f t="shared" si="14"/>
        <v>#VALUE!</v>
      </c>
      <c r="J204" t="str">
        <f>MAIN!A209&amp;"B"</f>
        <v>B</v>
      </c>
      <c r="K204" s="12" t="e">
        <f t="shared" si="15"/>
        <v>#VALUE!</v>
      </c>
      <c r="L204" t="str">
        <f>MAIN!C209</f>
        <v/>
      </c>
    </row>
    <row r="205" spans="1:12" x14ac:dyDescent="0.3">
      <c r="A205">
        <f>IF(J205="0",0,IF(COUNTIF($J$2:J205,J205)=1,1,0))</f>
        <v>0</v>
      </c>
      <c r="B205" s="12" t="e">
        <f>MID(MAIN!A210,K205,2)</f>
        <v>#VALUE!</v>
      </c>
      <c r="C205" s="12" t="e">
        <f t="shared" si="12"/>
        <v>#VALUE!</v>
      </c>
      <c r="D205" s="12" t="e">
        <f>MID(MAIN!A210,K205+2,2)</f>
        <v>#VALUE!</v>
      </c>
      <c r="E205" s="12" t="e">
        <f>MID(MAIN!A210,K205+4,2)</f>
        <v>#VALUE!</v>
      </c>
      <c r="F205" s="2" t="e">
        <f t="shared" si="13"/>
        <v>#VALUE!</v>
      </c>
      <c r="G205" s="13" t="e">
        <f t="shared" si="14"/>
        <v>#VALUE!</v>
      </c>
      <c r="J205" t="str">
        <f>MAIN!A210&amp;"B"</f>
        <v>B</v>
      </c>
      <c r="K205" s="12" t="e">
        <f t="shared" si="15"/>
        <v>#VALUE!</v>
      </c>
      <c r="L205" t="str">
        <f>MAIN!C210</f>
        <v/>
      </c>
    </row>
    <row r="206" spans="1:12" x14ac:dyDescent="0.3">
      <c r="A206">
        <f>IF(J206="0",0,IF(COUNTIF($J$2:J206,J206)=1,1,0))</f>
        <v>0</v>
      </c>
      <c r="B206" s="12" t="e">
        <f>MID(MAIN!A211,K206,2)</f>
        <v>#VALUE!</v>
      </c>
      <c r="C206" s="12" t="e">
        <f t="shared" si="12"/>
        <v>#VALUE!</v>
      </c>
      <c r="D206" s="12" t="e">
        <f>MID(MAIN!A211,K206+2,2)</f>
        <v>#VALUE!</v>
      </c>
      <c r="E206" s="12" t="e">
        <f>MID(MAIN!A211,K206+4,2)</f>
        <v>#VALUE!</v>
      </c>
      <c r="F206" s="2" t="e">
        <f t="shared" si="13"/>
        <v>#VALUE!</v>
      </c>
      <c r="G206" s="13" t="e">
        <f t="shared" si="14"/>
        <v>#VALUE!</v>
      </c>
      <c r="J206" t="str">
        <f>MAIN!A211&amp;"B"</f>
        <v>B</v>
      </c>
      <c r="K206" s="12" t="e">
        <f t="shared" si="15"/>
        <v>#VALUE!</v>
      </c>
      <c r="L206" t="str">
        <f>MAIN!C211</f>
        <v/>
      </c>
    </row>
    <row r="207" spans="1:12" x14ac:dyDescent="0.3">
      <c r="A207">
        <f>IF(J207="0",0,IF(COUNTIF($J$2:J207,J207)=1,1,0))</f>
        <v>0</v>
      </c>
      <c r="B207" s="12" t="e">
        <f>MID(MAIN!A212,K207,2)</f>
        <v>#VALUE!</v>
      </c>
      <c r="C207" s="12" t="e">
        <f t="shared" si="12"/>
        <v>#VALUE!</v>
      </c>
      <c r="D207" s="12" t="e">
        <f>MID(MAIN!A212,K207+2,2)</f>
        <v>#VALUE!</v>
      </c>
      <c r="E207" s="12" t="e">
        <f>MID(MAIN!A212,K207+4,2)</f>
        <v>#VALUE!</v>
      </c>
      <c r="F207" s="2" t="e">
        <f t="shared" si="13"/>
        <v>#VALUE!</v>
      </c>
      <c r="G207" s="13" t="e">
        <f t="shared" si="14"/>
        <v>#VALUE!</v>
      </c>
      <c r="J207" t="str">
        <f>MAIN!A212&amp;"B"</f>
        <v>B</v>
      </c>
      <c r="K207" s="12" t="e">
        <f t="shared" si="15"/>
        <v>#VALUE!</v>
      </c>
      <c r="L207" t="str">
        <f>MAIN!C212</f>
        <v/>
      </c>
    </row>
    <row r="208" spans="1:12" x14ac:dyDescent="0.3">
      <c r="A208">
        <f>IF(J208="0",0,IF(COUNTIF($J$2:J208,J208)=1,1,0))</f>
        <v>0</v>
      </c>
      <c r="B208" s="12" t="e">
        <f>MID(MAIN!A213,K208,2)</f>
        <v>#VALUE!</v>
      </c>
      <c r="C208" s="12" t="e">
        <f t="shared" si="12"/>
        <v>#VALUE!</v>
      </c>
      <c r="D208" s="12" t="e">
        <f>MID(MAIN!A213,K208+2,2)</f>
        <v>#VALUE!</v>
      </c>
      <c r="E208" s="12" t="e">
        <f>MID(MAIN!A213,K208+4,2)</f>
        <v>#VALUE!</v>
      </c>
      <c r="F208" s="2" t="e">
        <f t="shared" si="13"/>
        <v>#VALUE!</v>
      </c>
      <c r="G208" s="13" t="e">
        <f t="shared" si="14"/>
        <v>#VALUE!</v>
      </c>
      <c r="J208" t="str">
        <f>MAIN!A213&amp;"B"</f>
        <v>B</v>
      </c>
      <c r="K208" s="12" t="e">
        <f t="shared" si="15"/>
        <v>#VALUE!</v>
      </c>
      <c r="L208" t="str">
        <f>MAIN!C213</f>
        <v/>
      </c>
    </row>
    <row r="209" spans="1:12" x14ac:dyDescent="0.3">
      <c r="A209">
        <f>IF(J209="0",0,IF(COUNTIF($J$2:J209,J209)=1,1,0))</f>
        <v>0</v>
      </c>
      <c r="B209" s="12" t="e">
        <f>MID(MAIN!A214,K209,2)</f>
        <v>#VALUE!</v>
      </c>
      <c r="C209" s="12" t="e">
        <f t="shared" si="12"/>
        <v>#VALUE!</v>
      </c>
      <c r="D209" s="12" t="e">
        <f>MID(MAIN!A214,K209+2,2)</f>
        <v>#VALUE!</v>
      </c>
      <c r="E209" s="12" t="e">
        <f>MID(MAIN!A214,K209+4,2)</f>
        <v>#VALUE!</v>
      </c>
      <c r="F209" s="2" t="e">
        <f t="shared" si="13"/>
        <v>#VALUE!</v>
      </c>
      <c r="G209" s="13" t="e">
        <f t="shared" si="14"/>
        <v>#VALUE!</v>
      </c>
      <c r="J209" t="str">
        <f>MAIN!A214&amp;"B"</f>
        <v>B</v>
      </c>
      <c r="K209" s="12" t="e">
        <f t="shared" si="15"/>
        <v>#VALUE!</v>
      </c>
      <c r="L209" t="str">
        <f>MAIN!C214</f>
        <v/>
      </c>
    </row>
    <row r="210" spans="1:12" x14ac:dyDescent="0.3">
      <c r="A210">
        <f>IF(J210="0",0,IF(COUNTIF($J$2:J210,J210)=1,1,0))</f>
        <v>0</v>
      </c>
      <c r="B210" s="12" t="e">
        <f>MID(MAIN!A215,K210,2)</f>
        <v>#VALUE!</v>
      </c>
      <c r="C210" s="12" t="e">
        <f t="shared" si="12"/>
        <v>#VALUE!</v>
      </c>
      <c r="D210" s="12" t="e">
        <f>MID(MAIN!A215,K210+2,2)</f>
        <v>#VALUE!</v>
      </c>
      <c r="E210" s="12" t="e">
        <f>MID(MAIN!A215,K210+4,2)</f>
        <v>#VALUE!</v>
      </c>
      <c r="F210" s="2" t="e">
        <f t="shared" si="13"/>
        <v>#VALUE!</v>
      </c>
      <c r="G210" s="13" t="e">
        <f t="shared" si="14"/>
        <v>#VALUE!</v>
      </c>
      <c r="J210" t="str">
        <f>MAIN!A215&amp;"B"</f>
        <v>B</v>
      </c>
      <c r="K210" s="12" t="e">
        <f t="shared" si="15"/>
        <v>#VALUE!</v>
      </c>
      <c r="L210" t="str">
        <f>MAIN!C215</f>
        <v/>
      </c>
    </row>
    <row r="211" spans="1:12" x14ac:dyDescent="0.3">
      <c r="A211">
        <f>IF(J211="0",0,IF(COUNTIF($J$2:J211,J211)=1,1,0))</f>
        <v>0</v>
      </c>
      <c r="B211" s="12" t="e">
        <f>MID(MAIN!A216,K211,2)</f>
        <v>#VALUE!</v>
      </c>
      <c r="C211" s="12" t="e">
        <f t="shared" si="12"/>
        <v>#VALUE!</v>
      </c>
      <c r="D211" s="12" t="e">
        <f>MID(MAIN!A216,K211+2,2)</f>
        <v>#VALUE!</v>
      </c>
      <c r="E211" s="12" t="e">
        <f>MID(MAIN!A216,K211+4,2)</f>
        <v>#VALUE!</v>
      </c>
      <c r="F211" s="2" t="e">
        <f t="shared" si="13"/>
        <v>#VALUE!</v>
      </c>
      <c r="G211" s="13" t="e">
        <f t="shared" si="14"/>
        <v>#VALUE!</v>
      </c>
      <c r="J211" t="str">
        <f>MAIN!A216&amp;"B"</f>
        <v>B</v>
      </c>
      <c r="K211" s="12" t="e">
        <f t="shared" si="15"/>
        <v>#VALUE!</v>
      </c>
      <c r="L211" t="str">
        <f>MAIN!C216</f>
        <v/>
      </c>
    </row>
    <row r="212" spans="1:12" x14ac:dyDescent="0.3">
      <c r="A212">
        <f>IF(J212="0",0,IF(COUNTIF($J$2:J212,J212)=1,1,0))</f>
        <v>0</v>
      </c>
      <c r="B212" s="12" t="e">
        <f>MID(MAIN!A217,K212,2)</f>
        <v>#VALUE!</v>
      </c>
      <c r="C212" s="12" t="e">
        <f t="shared" si="12"/>
        <v>#VALUE!</v>
      </c>
      <c r="D212" s="12" t="e">
        <f>MID(MAIN!A217,K212+2,2)</f>
        <v>#VALUE!</v>
      </c>
      <c r="E212" s="12" t="e">
        <f>MID(MAIN!A217,K212+4,2)</f>
        <v>#VALUE!</v>
      </c>
      <c r="F212" s="2" t="e">
        <f t="shared" si="13"/>
        <v>#VALUE!</v>
      </c>
      <c r="G212" s="13" t="e">
        <f t="shared" si="14"/>
        <v>#VALUE!</v>
      </c>
      <c r="J212" t="str">
        <f>MAIN!A217&amp;"B"</f>
        <v>B</v>
      </c>
      <c r="K212" s="12" t="e">
        <f t="shared" si="15"/>
        <v>#VALUE!</v>
      </c>
      <c r="L212" t="str">
        <f>MAIN!C217</f>
        <v/>
      </c>
    </row>
    <row r="213" spans="1:12" x14ac:dyDescent="0.3">
      <c r="A213">
        <f>IF(J213="0",0,IF(COUNTIF($J$2:J213,J213)=1,1,0))</f>
        <v>0</v>
      </c>
      <c r="B213" s="12" t="e">
        <f>MID(MAIN!A218,K213,2)</f>
        <v>#VALUE!</v>
      </c>
      <c r="C213" s="12" t="e">
        <f t="shared" si="12"/>
        <v>#VALUE!</v>
      </c>
      <c r="D213" s="12" t="e">
        <f>MID(MAIN!A218,K213+2,2)</f>
        <v>#VALUE!</v>
      </c>
      <c r="E213" s="12" t="e">
        <f>MID(MAIN!A218,K213+4,2)</f>
        <v>#VALUE!</v>
      </c>
      <c r="F213" s="2" t="e">
        <f t="shared" si="13"/>
        <v>#VALUE!</v>
      </c>
      <c r="G213" s="13" t="e">
        <f t="shared" si="14"/>
        <v>#VALUE!</v>
      </c>
      <c r="J213" t="str">
        <f>MAIN!A218&amp;"B"</f>
        <v>B</v>
      </c>
      <c r="K213" s="12" t="e">
        <f t="shared" si="15"/>
        <v>#VALUE!</v>
      </c>
      <c r="L213" t="str">
        <f>MAIN!C218</f>
        <v/>
      </c>
    </row>
    <row r="214" spans="1:12" x14ac:dyDescent="0.3">
      <c r="A214">
        <f>IF(J214="0",0,IF(COUNTIF($J$2:J214,J214)=1,1,0))</f>
        <v>0</v>
      </c>
      <c r="B214" s="12" t="e">
        <f>MID(MAIN!A219,K214,2)</f>
        <v>#VALUE!</v>
      </c>
      <c r="C214" s="12" t="e">
        <f t="shared" si="12"/>
        <v>#VALUE!</v>
      </c>
      <c r="D214" s="12" t="e">
        <f>MID(MAIN!A219,K214+2,2)</f>
        <v>#VALUE!</v>
      </c>
      <c r="E214" s="12" t="e">
        <f>MID(MAIN!A219,K214+4,2)</f>
        <v>#VALUE!</v>
      </c>
      <c r="F214" s="2" t="e">
        <f t="shared" si="13"/>
        <v>#VALUE!</v>
      </c>
      <c r="G214" s="13" t="e">
        <f t="shared" si="14"/>
        <v>#VALUE!</v>
      </c>
      <c r="J214" t="str">
        <f>MAIN!A219&amp;"B"</f>
        <v>B</v>
      </c>
      <c r="K214" s="12" t="e">
        <f t="shared" si="15"/>
        <v>#VALUE!</v>
      </c>
      <c r="L214" t="str">
        <f>MAIN!C219</f>
        <v/>
      </c>
    </row>
    <row r="215" spans="1:12" x14ac:dyDescent="0.3">
      <c r="A215">
        <f>IF(J215="0",0,IF(COUNTIF($J$2:J215,J215)=1,1,0))</f>
        <v>0</v>
      </c>
      <c r="B215" s="12" t="e">
        <f>MID(MAIN!A220,K215,2)</f>
        <v>#VALUE!</v>
      </c>
      <c r="C215" s="12" t="e">
        <f t="shared" si="12"/>
        <v>#VALUE!</v>
      </c>
      <c r="D215" s="12" t="e">
        <f>MID(MAIN!A220,K215+2,2)</f>
        <v>#VALUE!</v>
      </c>
      <c r="E215" s="12" t="e">
        <f>MID(MAIN!A220,K215+4,2)</f>
        <v>#VALUE!</v>
      </c>
      <c r="F215" s="2" t="e">
        <f t="shared" si="13"/>
        <v>#VALUE!</v>
      </c>
      <c r="G215" s="13" t="e">
        <f t="shared" si="14"/>
        <v>#VALUE!</v>
      </c>
      <c r="J215" t="str">
        <f>MAIN!A220&amp;"B"</f>
        <v>B</v>
      </c>
      <c r="K215" s="12" t="e">
        <f t="shared" si="15"/>
        <v>#VALUE!</v>
      </c>
      <c r="L215" t="str">
        <f>MAIN!C220</f>
        <v/>
      </c>
    </row>
    <row r="216" spans="1:12" x14ac:dyDescent="0.3">
      <c r="A216">
        <f>IF(J216="0",0,IF(COUNTIF($J$2:J216,J216)=1,1,0))</f>
        <v>0</v>
      </c>
      <c r="B216" s="12" t="e">
        <f>MID(MAIN!A221,K216,2)</f>
        <v>#VALUE!</v>
      </c>
      <c r="C216" s="12" t="e">
        <f t="shared" si="12"/>
        <v>#VALUE!</v>
      </c>
      <c r="D216" s="12" t="e">
        <f>MID(MAIN!A221,K216+2,2)</f>
        <v>#VALUE!</v>
      </c>
      <c r="E216" s="12" t="e">
        <f>MID(MAIN!A221,K216+4,2)</f>
        <v>#VALUE!</v>
      </c>
      <c r="F216" s="2" t="e">
        <f t="shared" si="13"/>
        <v>#VALUE!</v>
      </c>
      <c r="G216" s="13" t="e">
        <f t="shared" si="14"/>
        <v>#VALUE!</v>
      </c>
      <c r="J216" t="str">
        <f>MAIN!A221&amp;"B"</f>
        <v>B</v>
      </c>
      <c r="K216" s="12" t="e">
        <f t="shared" si="15"/>
        <v>#VALUE!</v>
      </c>
      <c r="L216" t="str">
        <f>MAIN!C221</f>
        <v/>
      </c>
    </row>
    <row r="217" spans="1:12" x14ac:dyDescent="0.3">
      <c r="A217">
        <f>IF(J217="0",0,IF(COUNTIF($J$2:J217,J217)=1,1,0))</f>
        <v>0</v>
      </c>
      <c r="B217" s="12" t="e">
        <f>MID(MAIN!A222,K217,2)</f>
        <v>#VALUE!</v>
      </c>
      <c r="C217" s="12" t="e">
        <f t="shared" si="12"/>
        <v>#VALUE!</v>
      </c>
      <c r="D217" s="12" t="e">
        <f>MID(MAIN!A222,K217+2,2)</f>
        <v>#VALUE!</v>
      </c>
      <c r="E217" s="12" t="e">
        <f>MID(MAIN!A222,K217+4,2)</f>
        <v>#VALUE!</v>
      </c>
      <c r="F217" s="2" t="e">
        <f t="shared" si="13"/>
        <v>#VALUE!</v>
      </c>
      <c r="G217" s="13" t="e">
        <f t="shared" si="14"/>
        <v>#VALUE!</v>
      </c>
      <c r="J217" t="str">
        <f>MAIN!A222&amp;"B"</f>
        <v>B</v>
      </c>
      <c r="K217" s="12" t="e">
        <f t="shared" si="15"/>
        <v>#VALUE!</v>
      </c>
      <c r="L217" t="str">
        <f>MAIN!C222</f>
        <v/>
      </c>
    </row>
    <row r="218" spans="1:12" x14ac:dyDescent="0.3">
      <c r="A218">
        <f>IF(J218="0",0,IF(COUNTIF($J$2:J218,J218)=1,1,0))</f>
        <v>0</v>
      </c>
      <c r="B218" s="12" t="e">
        <f>MID(MAIN!A223,K218,2)</f>
        <v>#VALUE!</v>
      </c>
      <c r="C218" s="12" t="e">
        <f t="shared" si="12"/>
        <v>#VALUE!</v>
      </c>
      <c r="D218" s="12" t="e">
        <f>MID(MAIN!A223,K218+2,2)</f>
        <v>#VALUE!</v>
      </c>
      <c r="E218" s="12" t="e">
        <f>MID(MAIN!A223,K218+4,2)</f>
        <v>#VALUE!</v>
      </c>
      <c r="F218" s="2" t="e">
        <f t="shared" si="13"/>
        <v>#VALUE!</v>
      </c>
      <c r="G218" s="13" t="e">
        <f t="shared" si="14"/>
        <v>#VALUE!</v>
      </c>
      <c r="J218" t="str">
        <f>MAIN!A223&amp;"B"</f>
        <v>B</v>
      </c>
      <c r="K218" s="12" t="e">
        <f t="shared" si="15"/>
        <v>#VALUE!</v>
      </c>
      <c r="L218" t="str">
        <f>MAIN!C223</f>
        <v/>
      </c>
    </row>
    <row r="219" spans="1:12" x14ac:dyDescent="0.3">
      <c r="A219">
        <f>IF(J219="0",0,IF(COUNTIF($J$2:J219,J219)=1,1,0))</f>
        <v>0</v>
      </c>
      <c r="B219" s="12" t="e">
        <f>MID(MAIN!A224,K219,2)</f>
        <v>#VALUE!</v>
      </c>
      <c r="C219" s="12" t="e">
        <f t="shared" si="12"/>
        <v>#VALUE!</v>
      </c>
      <c r="D219" s="12" t="e">
        <f>MID(MAIN!A224,K219+2,2)</f>
        <v>#VALUE!</v>
      </c>
      <c r="E219" s="12" t="e">
        <f>MID(MAIN!A224,K219+4,2)</f>
        <v>#VALUE!</v>
      </c>
      <c r="F219" s="2" t="e">
        <f t="shared" si="13"/>
        <v>#VALUE!</v>
      </c>
      <c r="G219" s="13" t="e">
        <f t="shared" si="14"/>
        <v>#VALUE!</v>
      </c>
      <c r="J219" t="str">
        <f>MAIN!A224&amp;"B"</f>
        <v>B</v>
      </c>
      <c r="K219" s="12" t="e">
        <f t="shared" si="15"/>
        <v>#VALUE!</v>
      </c>
      <c r="L219" t="str">
        <f>MAIN!C224</f>
        <v/>
      </c>
    </row>
    <row r="220" spans="1:12" x14ac:dyDescent="0.3">
      <c r="A220">
        <f>IF(J220="0",0,IF(COUNTIF($J$2:J220,J220)=1,1,0))</f>
        <v>0</v>
      </c>
      <c r="B220" s="12" t="e">
        <f>MID(MAIN!A225,K220,2)</f>
        <v>#VALUE!</v>
      </c>
      <c r="C220" s="12" t="e">
        <f t="shared" si="12"/>
        <v>#VALUE!</v>
      </c>
      <c r="D220" s="12" t="e">
        <f>MID(MAIN!A225,K220+2,2)</f>
        <v>#VALUE!</v>
      </c>
      <c r="E220" s="12" t="e">
        <f>MID(MAIN!A225,K220+4,2)</f>
        <v>#VALUE!</v>
      </c>
      <c r="F220" s="2" t="e">
        <f t="shared" si="13"/>
        <v>#VALUE!</v>
      </c>
      <c r="G220" s="13" t="e">
        <f t="shared" si="14"/>
        <v>#VALUE!</v>
      </c>
      <c r="J220" t="str">
        <f>MAIN!A225&amp;"B"</f>
        <v>B</v>
      </c>
      <c r="K220" s="12" t="e">
        <f t="shared" si="15"/>
        <v>#VALUE!</v>
      </c>
      <c r="L220" t="str">
        <f>MAIN!C225</f>
        <v/>
      </c>
    </row>
    <row r="221" spans="1:12" x14ac:dyDescent="0.3">
      <c r="A221">
        <f>IF(J221="0",0,IF(COUNTIF($J$2:J221,J221)=1,1,0))</f>
        <v>0</v>
      </c>
      <c r="B221" s="12" t="e">
        <f>MID(MAIN!A226,K221,2)</f>
        <v>#VALUE!</v>
      </c>
      <c r="C221" s="12" t="e">
        <f t="shared" si="12"/>
        <v>#VALUE!</v>
      </c>
      <c r="D221" s="12" t="e">
        <f>MID(MAIN!A226,K221+2,2)</f>
        <v>#VALUE!</v>
      </c>
      <c r="E221" s="12" t="e">
        <f>MID(MAIN!A226,K221+4,2)</f>
        <v>#VALUE!</v>
      </c>
      <c r="F221" s="2" t="e">
        <f t="shared" si="13"/>
        <v>#VALUE!</v>
      </c>
      <c r="G221" s="13" t="e">
        <f t="shared" si="14"/>
        <v>#VALUE!</v>
      </c>
      <c r="J221" t="str">
        <f>MAIN!A226&amp;"B"</f>
        <v>B</v>
      </c>
      <c r="K221" s="12" t="e">
        <f t="shared" si="15"/>
        <v>#VALUE!</v>
      </c>
      <c r="L221" t="str">
        <f>MAIN!C226</f>
        <v/>
      </c>
    </row>
    <row r="222" spans="1:12" x14ac:dyDescent="0.3">
      <c r="A222">
        <f>IF(J222="0",0,IF(COUNTIF($J$2:J222,J222)=1,1,0))</f>
        <v>0</v>
      </c>
      <c r="B222" s="12" t="e">
        <f>MID(MAIN!A227,K222,2)</f>
        <v>#VALUE!</v>
      </c>
      <c r="C222" s="12" t="e">
        <f t="shared" si="12"/>
        <v>#VALUE!</v>
      </c>
      <c r="D222" s="12" t="e">
        <f>MID(MAIN!A227,K222+2,2)</f>
        <v>#VALUE!</v>
      </c>
      <c r="E222" s="12" t="e">
        <f>MID(MAIN!A227,K222+4,2)</f>
        <v>#VALUE!</v>
      </c>
      <c r="F222" s="2" t="e">
        <f t="shared" si="13"/>
        <v>#VALUE!</v>
      </c>
      <c r="G222" s="13" t="e">
        <f t="shared" si="14"/>
        <v>#VALUE!</v>
      </c>
      <c r="J222" t="str">
        <f>MAIN!A227&amp;"B"</f>
        <v>B</v>
      </c>
      <c r="K222" s="12" t="e">
        <f t="shared" si="15"/>
        <v>#VALUE!</v>
      </c>
      <c r="L222" t="str">
        <f>MAIN!C227</f>
        <v/>
      </c>
    </row>
    <row r="223" spans="1:12" x14ac:dyDescent="0.3">
      <c r="A223">
        <f>IF(J223="0",0,IF(COUNTIF($J$2:J223,J223)=1,1,0))</f>
        <v>0</v>
      </c>
      <c r="B223" s="12" t="e">
        <f>MID(MAIN!A228,K223,2)</f>
        <v>#VALUE!</v>
      </c>
      <c r="C223" s="12" t="e">
        <f t="shared" si="12"/>
        <v>#VALUE!</v>
      </c>
      <c r="D223" s="12" t="e">
        <f>MID(MAIN!A228,K223+2,2)</f>
        <v>#VALUE!</v>
      </c>
      <c r="E223" s="12" t="e">
        <f>MID(MAIN!A228,K223+4,2)</f>
        <v>#VALUE!</v>
      </c>
      <c r="F223" s="2" t="e">
        <f t="shared" si="13"/>
        <v>#VALUE!</v>
      </c>
      <c r="G223" s="13" t="e">
        <f t="shared" si="14"/>
        <v>#VALUE!</v>
      </c>
      <c r="J223" t="str">
        <f>MAIN!A228&amp;"B"</f>
        <v>B</v>
      </c>
      <c r="K223" s="12" t="e">
        <f t="shared" si="15"/>
        <v>#VALUE!</v>
      </c>
      <c r="L223" t="str">
        <f>MAIN!C228</f>
        <v/>
      </c>
    </row>
    <row r="224" spans="1:12" x14ac:dyDescent="0.3">
      <c r="A224">
        <f>IF(J224="0",0,IF(COUNTIF($J$2:J224,J224)=1,1,0))</f>
        <v>0</v>
      </c>
      <c r="B224" s="12" t="e">
        <f>MID(MAIN!A229,K224,2)</f>
        <v>#VALUE!</v>
      </c>
      <c r="C224" s="12" t="e">
        <f t="shared" si="12"/>
        <v>#VALUE!</v>
      </c>
      <c r="D224" s="12" t="e">
        <f>MID(MAIN!A229,K224+2,2)</f>
        <v>#VALUE!</v>
      </c>
      <c r="E224" s="12" t="e">
        <f>MID(MAIN!A229,K224+4,2)</f>
        <v>#VALUE!</v>
      </c>
      <c r="F224" s="2" t="e">
        <f t="shared" si="13"/>
        <v>#VALUE!</v>
      </c>
      <c r="G224" s="13" t="e">
        <f t="shared" si="14"/>
        <v>#VALUE!</v>
      </c>
      <c r="J224" t="str">
        <f>MAIN!A229&amp;"B"</f>
        <v>B</v>
      </c>
      <c r="K224" s="12" t="e">
        <f t="shared" si="15"/>
        <v>#VALUE!</v>
      </c>
      <c r="L224" t="str">
        <f>MAIN!C229</f>
        <v/>
      </c>
    </row>
    <row r="225" spans="1:12" x14ac:dyDescent="0.3">
      <c r="A225">
        <f>IF(J225="0",0,IF(COUNTIF($J$2:J225,J225)=1,1,0))</f>
        <v>0</v>
      </c>
      <c r="B225" s="12" t="e">
        <f>MID(MAIN!A230,K225,2)</f>
        <v>#VALUE!</v>
      </c>
      <c r="C225" s="12" t="e">
        <f t="shared" si="12"/>
        <v>#VALUE!</v>
      </c>
      <c r="D225" s="12" t="e">
        <f>MID(MAIN!A230,K225+2,2)</f>
        <v>#VALUE!</v>
      </c>
      <c r="E225" s="12" t="e">
        <f>MID(MAIN!A230,K225+4,2)</f>
        <v>#VALUE!</v>
      </c>
      <c r="F225" s="2" t="e">
        <f t="shared" si="13"/>
        <v>#VALUE!</v>
      </c>
      <c r="G225" s="13" t="e">
        <f t="shared" si="14"/>
        <v>#VALUE!</v>
      </c>
      <c r="J225" t="str">
        <f>MAIN!A230&amp;"B"</f>
        <v>B</v>
      </c>
      <c r="K225" s="12" t="e">
        <f t="shared" si="15"/>
        <v>#VALUE!</v>
      </c>
      <c r="L225" t="str">
        <f>MAIN!C230</f>
        <v/>
      </c>
    </row>
    <row r="226" spans="1:12" x14ac:dyDescent="0.3">
      <c r="A226">
        <f>IF(J226="0",0,IF(COUNTIF($J$2:J226,J226)=1,1,0))</f>
        <v>0</v>
      </c>
      <c r="B226" s="12" t="e">
        <f>MID(MAIN!A231,K226,2)</f>
        <v>#VALUE!</v>
      </c>
      <c r="C226" s="12" t="e">
        <f t="shared" si="12"/>
        <v>#VALUE!</v>
      </c>
      <c r="D226" s="12" t="e">
        <f>MID(MAIN!A231,K226+2,2)</f>
        <v>#VALUE!</v>
      </c>
      <c r="E226" s="12" t="e">
        <f>MID(MAIN!A231,K226+4,2)</f>
        <v>#VALUE!</v>
      </c>
      <c r="F226" s="2" t="e">
        <f t="shared" si="13"/>
        <v>#VALUE!</v>
      </c>
      <c r="G226" s="13" t="e">
        <f t="shared" si="14"/>
        <v>#VALUE!</v>
      </c>
      <c r="J226" t="str">
        <f>MAIN!A231&amp;"B"</f>
        <v>B</v>
      </c>
      <c r="K226" s="12" t="e">
        <f t="shared" si="15"/>
        <v>#VALUE!</v>
      </c>
      <c r="L226" t="str">
        <f>MAIN!C231</f>
        <v/>
      </c>
    </row>
    <row r="227" spans="1:12" x14ac:dyDescent="0.3">
      <c r="A227">
        <f>IF(J227="0",0,IF(COUNTIF($J$2:J227,J227)=1,1,0))</f>
        <v>0</v>
      </c>
      <c r="B227" s="12" t="e">
        <f>MID(MAIN!A232,K227,2)</f>
        <v>#VALUE!</v>
      </c>
      <c r="C227" s="12" t="e">
        <f t="shared" si="12"/>
        <v>#VALUE!</v>
      </c>
      <c r="D227" s="12" t="e">
        <f>MID(MAIN!A232,K227+2,2)</f>
        <v>#VALUE!</v>
      </c>
      <c r="E227" s="12" t="e">
        <f>MID(MAIN!A232,K227+4,2)</f>
        <v>#VALUE!</v>
      </c>
      <c r="F227" s="2" t="e">
        <f t="shared" si="13"/>
        <v>#VALUE!</v>
      </c>
      <c r="G227" s="13" t="e">
        <f t="shared" si="14"/>
        <v>#VALUE!</v>
      </c>
      <c r="J227" t="str">
        <f>MAIN!A232&amp;"B"</f>
        <v>B</v>
      </c>
      <c r="K227" s="12" t="e">
        <f t="shared" si="15"/>
        <v>#VALUE!</v>
      </c>
      <c r="L227" t="str">
        <f>MAIN!C232</f>
        <v/>
      </c>
    </row>
    <row r="228" spans="1:12" x14ac:dyDescent="0.3">
      <c r="A228">
        <f>IF(J228="0",0,IF(COUNTIF($J$2:J228,J228)=1,1,0))</f>
        <v>0</v>
      </c>
      <c r="B228" s="12" t="e">
        <f>MID(MAIN!A233,K228,2)</f>
        <v>#VALUE!</v>
      </c>
      <c r="C228" s="12" t="e">
        <f t="shared" si="12"/>
        <v>#VALUE!</v>
      </c>
      <c r="D228" s="12" t="e">
        <f>MID(MAIN!A233,K228+2,2)</f>
        <v>#VALUE!</v>
      </c>
      <c r="E228" s="12" t="e">
        <f>MID(MAIN!A233,K228+4,2)</f>
        <v>#VALUE!</v>
      </c>
      <c r="F228" s="2" t="e">
        <f t="shared" si="13"/>
        <v>#VALUE!</v>
      </c>
      <c r="G228" s="13" t="e">
        <f t="shared" si="14"/>
        <v>#VALUE!</v>
      </c>
      <c r="J228" t="str">
        <f>MAIN!A233&amp;"B"</f>
        <v>B</v>
      </c>
      <c r="K228" s="12" t="e">
        <f t="shared" si="15"/>
        <v>#VALUE!</v>
      </c>
      <c r="L228" t="str">
        <f>MAIN!C233</f>
        <v/>
      </c>
    </row>
    <row r="229" spans="1:12" x14ac:dyDescent="0.3">
      <c r="A229">
        <f>IF(J229="0",0,IF(COUNTIF($J$2:J229,J229)=1,1,0))</f>
        <v>0</v>
      </c>
      <c r="B229" s="12" t="e">
        <f>MID(MAIN!A234,K229,2)</f>
        <v>#VALUE!</v>
      </c>
      <c r="C229" s="12" t="e">
        <f t="shared" si="12"/>
        <v>#VALUE!</v>
      </c>
      <c r="D229" s="12" t="e">
        <f>MID(MAIN!A234,K229+2,2)</f>
        <v>#VALUE!</v>
      </c>
      <c r="E229" s="12" t="e">
        <f>MID(MAIN!A234,K229+4,2)</f>
        <v>#VALUE!</v>
      </c>
      <c r="F229" s="2" t="e">
        <f t="shared" si="13"/>
        <v>#VALUE!</v>
      </c>
      <c r="G229" s="13" t="e">
        <f t="shared" si="14"/>
        <v>#VALUE!</v>
      </c>
      <c r="J229" t="str">
        <f>MAIN!A234&amp;"B"</f>
        <v>B</v>
      </c>
      <c r="K229" s="12" t="e">
        <f t="shared" si="15"/>
        <v>#VALUE!</v>
      </c>
      <c r="L229" t="str">
        <f>MAIN!C234</f>
        <v/>
      </c>
    </row>
    <row r="230" spans="1:12" x14ac:dyDescent="0.3">
      <c r="A230">
        <f>IF(J230="0",0,IF(COUNTIF($J$2:J230,J230)=1,1,0))</f>
        <v>0</v>
      </c>
      <c r="B230" s="12" t="e">
        <f>MID(MAIN!A235,K230,2)</f>
        <v>#VALUE!</v>
      </c>
      <c r="C230" s="12" t="e">
        <f t="shared" si="12"/>
        <v>#VALUE!</v>
      </c>
      <c r="D230" s="12" t="e">
        <f>MID(MAIN!A235,K230+2,2)</f>
        <v>#VALUE!</v>
      </c>
      <c r="E230" s="12" t="e">
        <f>MID(MAIN!A235,K230+4,2)</f>
        <v>#VALUE!</v>
      </c>
      <c r="F230" s="2" t="e">
        <f t="shared" si="13"/>
        <v>#VALUE!</v>
      </c>
      <c r="G230" s="13" t="e">
        <f t="shared" si="14"/>
        <v>#VALUE!</v>
      </c>
      <c r="J230" t="str">
        <f>MAIN!A235&amp;"B"</f>
        <v>B</v>
      </c>
      <c r="K230" s="12" t="e">
        <f t="shared" si="15"/>
        <v>#VALUE!</v>
      </c>
      <c r="L230" t="str">
        <f>MAIN!C235</f>
        <v/>
      </c>
    </row>
    <row r="231" spans="1:12" x14ac:dyDescent="0.3">
      <c r="A231">
        <f>IF(J231="0",0,IF(COUNTIF($J$2:J231,J231)=1,1,0))</f>
        <v>0</v>
      </c>
      <c r="B231" s="12" t="e">
        <f>MID(MAIN!A236,K231,2)</f>
        <v>#VALUE!</v>
      </c>
      <c r="C231" s="12" t="e">
        <f t="shared" si="12"/>
        <v>#VALUE!</v>
      </c>
      <c r="D231" s="12" t="e">
        <f>MID(MAIN!A236,K231+2,2)</f>
        <v>#VALUE!</v>
      </c>
      <c r="E231" s="12" t="e">
        <f>MID(MAIN!A236,K231+4,2)</f>
        <v>#VALUE!</v>
      </c>
      <c r="F231" s="2" t="e">
        <f t="shared" si="13"/>
        <v>#VALUE!</v>
      </c>
      <c r="G231" s="13" t="e">
        <f t="shared" si="14"/>
        <v>#VALUE!</v>
      </c>
      <c r="J231" t="str">
        <f>MAIN!A236&amp;"B"</f>
        <v>B</v>
      </c>
      <c r="K231" s="12" t="e">
        <f t="shared" si="15"/>
        <v>#VALUE!</v>
      </c>
      <c r="L231" t="str">
        <f>MAIN!C236</f>
        <v/>
      </c>
    </row>
    <row r="232" spans="1:12" x14ac:dyDescent="0.3">
      <c r="A232">
        <f>IF(J232="0",0,IF(COUNTIF($J$2:J232,J232)=1,1,0))</f>
        <v>0</v>
      </c>
      <c r="B232" s="12" t="e">
        <f>MID(MAIN!A237,K232,2)</f>
        <v>#VALUE!</v>
      </c>
      <c r="C232" s="12" t="e">
        <f t="shared" si="12"/>
        <v>#VALUE!</v>
      </c>
      <c r="D232" s="12" t="e">
        <f>MID(MAIN!A237,K232+2,2)</f>
        <v>#VALUE!</v>
      </c>
      <c r="E232" s="12" t="e">
        <f>MID(MAIN!A237,K232+4,2)</f>
        <v>#VALUE!</v>
      </c>
      <c r="F232" s="2" t="e">
        <f t="shared" si="13"/>
        <v>#VALUE!</v>
      </c>
      <c r="G232" s="13" t="e">
        <f t="shared" si="14"/>
        <v>#VALUE!</v>
      </c>
      <c r="J232" t="str">
        <f>MAIN!A237&amp;"B"</f>
        <v>B</v>
      </c>
      <c r="K232" s="12" t="e">
        <f t="shared" si="15"/>
        <v>#VALUE!</v>
      </c>
      <c r="L232" t="str">
        <f>MAIN!C237</f>
        <v/>
      </c>
    </row>
    <row r="233" spans="1:12" x14ac:dyDescent="0.3">
      <c r="A233">
        <f>IF(J233="0",0,IF(COUNTIF($J$2:J233,J233)=1,1,0))</f>
        <v>0</v>
      </c>
      <c r="B233" s="12" t="e">
        <f>MID(MAIN!A238,K233,2)</f>
        <v>#VALUE!</v>
      </c>
      <c r="C233" s="12" t="e">
        <f t="shared" si="12"/>
        <v>#VALUE!</v>
      </c>
      <c r="D233" s="12" t="e">
        <f>MID(MAIN!A238,K233+2,2)</f>
        <v>#VALUE!</v>
      </c>
      <c r="E233" s="12" t="e">
        <f>MID(MAIN!A238,K233+4,2)</f>
        <v>#VALUE!</v>
      </c>
      <c r="F233" s="2" t="e">
        <f t="shared" si="13"/>
        <v>#VALUE!</v>
      </c>
      <c r="G233" s="13" t="e">
        <f t="shared" si="14"/>
        <v>#VALUE!</v>
      </c>
      <c r="J233" t="str">
        <f>MAIN!A238&amp;"B"</f>
        <v>B</v>
      </c>
      <c r="K233" s="12" t="e">
        <f t="shared" si="15"/>
        <v>#VALUE!</v>
      </c>
      <c r="L233" t="str">
        <f>MAIN!C238</f>
        <v/>
      </c>
    </row>
    <row r="234" spans="1:12" x14ac:dyDescent="0.3">
      <c r="A234">
        <f>IF(J234="0",0,IF(COUNTIF($J$2:J234,J234)=1,1,0))</f>
        <v>0</v>
      </c>
      <c r="B234" s="12" t="e">
        <f>MID(MAIN!A239,K234,2)</f>
        <v>#VALUE!</v>
      </c>
      <c r="C234" s="12" t="e">
        <f t="shared" si="12"/>
        <v>#VALUE!</v>
      </c>
      <c r="D234" s="12" t="e">
        <f>MID(MAIN!A239,K234+2,2)</f>
        <v>#VALUE!</v>
      </c>
      <c r="E234" s="12" t="e">
        <f>MID(MAIN!A239,K234+4,2)</f>
        <v>#VALUE!</v>
      </c>
      <c r="F234" s="2" t="e">
        <f t="shared" si="13"/>
        <v>#VALUE!</v>
      </c>
      <c r="G234" s="13" t="e">
        <f t="shared" si="14"/>
        <v>#VALUE!</v>
      </c>
      <c r="J234" t="str">
        <f>MAIN!A239&amp;"B"</f>
        <v>B</v>
      </c>
      <c r="K234" s="12" t="e">
        <f t="shared" si="15"/>
        <v>#VALUE!</v>
      </c>
      <c r="L234" t="str">
        <f>MAIN!C239</f>
        <v/>
      </c>
    </row>
    <row r="235" spans="1:12" x14ac:dyDescent="0.3">
      <c r="A235">
        <f>IF(J235="0",0,IF(COUNTIF($J$2:J235,J235)=1,1,0))</f>
        <v>0</v>
      </c>
      <c r="B235" s="12" t="e">
        <f>MID(MAIN!A240,K235,2)</f>
        <v>#VALUE!</v>
      </c>
      <c r="C235" s="12" t="e">
        <f t="shared" si="12"/>
        <v>#VALUE!</v>
      </c>
      <c r="D235" s="12" t="e">
        <f>MID(MAIN!A240,K235+2,2)</f>
        <v>#VALUE!</v>
      </c>
      <c r="E235" s="12" t="e">
        <f>MID(MAIN!A240,K235+4,2)</f>
        <v>#VALUE!</v>
      </c>
      <c r="F235" s="2" t="e">
        <f t="shared" si="13"/>
        <v>#VALUE!</v>
      </c>
      <c r="G235" s="13" t="e">
        <f t="shared" si="14"/>
        <v>#VALUE!</v>
      </c>
      <c r="J235" t="str">
        <f>MAIN!A240&amp;"B"</f>
        <v>B</v>
      </c>
      <c r="K235" s="12" t="e">
        <f t="shared" si="15"/>
        <v>#VALUE!</v>
      </c>
      <c r="L235" t="str">
        <f>MAIN!C240</f>
        <v/>
      </c>
    </row>
    <row r="236" spans="1:12" x14ac:dyDescent="0.3">
      <c r="A236">
        <f>IF(J236="0",0,IF(COUNTIF($J$2:J236,J236)=1,1,0))</f>
        <v>0</v>
      </c>
      <c r="B236" s="12" t="e">
        <f>MID(MAIN!A241,K236,2)</f>
        <v>#VALUE!</v>
      </c>
      <c r="C236" s="12" t="e">
        <f t="shared" si="12"/>
        <v>#VALUE!</v>
      </c>
      <c r="D236" s="12" t="e">
        <f>MID(MAIN!A241,K236+2,2)</f>
        <v>#VALUE!</v>
      </c>
      <c r="E236" s="12" t="e">
        <f>MID(MAIN!A241,K236+4,2)</f>
        <v>#VALUE!</v>
      </c>
      <c r="F236" s="2" t="e">
        <f t="shared" si="13"/>
        <v>#VALUE!</v>
      </c>
      <c r="G236" s="13" t="e">
        <f t="shared" si="14"/>
        <v>#VALUE!</v>
      </c>
      <c r="J236" t="str">
        <f>MAIN!A241&amp;"B"</f>
        <v>B</v>
      </c>
      <c r="K236" s="12" t="e">
        <f t="shared" si="15"/>
        <v>#VALUE!</v>
      </c>
      <c r="L236" t="str">
        <f>MAIN!C241</f>
        <v/>
      </c>
    </row>
    <row r="237" spans="1:12" x14ac:dyDescent="0.3">
      <c r="A237">
        <f>IF(J237="0",0,IF(COUNTIF($J$2:J237,J237)=1,1,0))</f>
        <v>0</v>
      </c>
      <c r="B237" s="12" t="e">
        <f>MID(MAIN!A242,K237,2)</f>
        <v>#VALUE!</v>
      </c>
      <c r="C237" s="12" t="e">
        <f t="shared" si="12"/>
        <v>#VALUE!</v>
      </c>
      <c r="D237" s="12" t="e">
        <f>MID(MAIN!A242,K237+2,2)</f>
        <v>#VALUE!</v>
      </c>
      <c r="E237" s="12" t="e">
        <f>MID(MAIN!A242,K237+4,2)</f>
        <v>#VALUE!</v>
      </c>
      <c r="F237" s="2" t="e">
        <f t="shared" si="13"/>
        <v>#VALUE!</v>
      </c>
      <c r="G237" s="13" t="e">
        <f t="shared" si="14"/>
        <v>#VALUE!</v>
      </c>
      <c r="J237" t="str">
        <f>MAIN!A242&amp;"B"</f>
        <v>B</v>
      </c>
      <c r="K237" s="12" t="e">
        <f t="shared" si="15"/>
        <v>#VALUE!</v>
      </c>
      <c r="L237" t="str">
        <f>MAIN!C242</f>
        <v/>
      </c>
    </row>
    <row r="238" spans="1:12" x14ac:dyDescent="0.3">
      <c r="A238">
        <f>IF(J238="0",0,IF(COUNTIF($J$2:J238,J238)=1,1,0))</f>
        <v>0</v>
      </c>
      <c r="B238" s="12" t="e">
        <f>MID(MAIN!A243,K238,2)</f>
        <v>#VALUE!</v>
      </c>
      <c r="C238" s="12" t="e">
        <f t="shared" si="12"/>
        <v>#VALUE!</v>
      </c>
      <c r="D238" s="12" t="e">
        <f>MID(MAIN!A243,K238+2,2)</f>
        <v>#VALUE!</v>
      </c>
      <c r="E238" s="12" t="e">
        <f>MID(MAIN!A243,K238+4,2)</f>
        <v>#VALUE!</v>
      </c>
      <c r="F238" s="2" t="e">
        <f t="shared" si="13"/>
        <v>#VALUE!</v>
      </c>
      <c r="G238" s="13" t="e">
        <f t="shared" si="14"/>
        <v>#VALUE!</v>
      </c>
      <c r="J238" t="str">
        <f>MAIN!A243&amp;"B"</f>
        <v>B</v>
      </c>
      <c r="K238" s="12" t="e">
        <f t="shared" si="15"/>
        <v>#VALUE!</v>
      </c>
      <c r="L238" t="str">
        <f>MAIN!C243</f>
        <v/>
      </c>
    </row>
    <row r="239" spans="1:12" x14ac:dyDescent="0.3">
      <c r="A239">
        <f>IF(J239="0",0,IF(COUNTIF($J$2:J239,J239)=1,1,0))</f>
        <v>0</v>
      </c>
      <c r="B239" s="12" t="e">
        <f>MID(MAIN!A244,K239,2)</f>
        <v>#VALUE!</v>
      </c>
      <c r="C239" s="12" t="e">
        <f t="shared" si="12"/>
        <v>#VALUE!</v>
      </c>
      <c r="D239" s="12" t="e">
        <f>MID(MAIN!A244,K239+2,2)</f>
        <v>#VALUE!</v>
      </c>
      <c r="E239" s="12" t="e">
        <f>MID(MAIN!A244,K239+4,2)</f>
        <v>#VALUE!</v>
      </c>
      <c r="F239" s="2" t="e">
        <f t="shared" si="13"/>
        <v>#VALUE!</v>
      </c>
      <c r="G239" s="13" t="e">
        <f t="shared" si="14"/>
        <v>#VALUE!</v>
      </c>
      <c r="J239" t="str">
        <f>MAIN!A244&amp;"B"</f>
        <v>B</v>
      </c>
      <c r="K239" s="12" t="e">
        <f t="shared" si="15"/>
        <v>#VALUE!</v>
      </c>
      <c r="L239" t="str">
        <f>MAIN!C244</f>
        <v/>
      </c>
    </row>
    <row r="240" spans="1:12" x14ac:dyDescent="0.3">
      <c r="A240">
        <f>IF(J240="0",0,IF(COUNTIF($J$2:J240,J240)=1,1,0))</f>
        <v>0</v>
      </c>
      <c r="B240" s="12" t="e">
        <f>MID(MAIN!A245,K240,2)</f>
        <v>#VALUE!</v>
      </c>
      <c r="C240" s="12" t="e">
        <f t="shared" si="12"/>
        <v>#VALUE!</v>
      </c>
      <c r="D240" s="12" t="e">
        <f>MID(MAIN!A245,K240+2,2)</f>
        <v>#VALUE!</v>
      </c>
      <c r="E240" s="12" t="e">
        <f>MID(MAIN!A245,K240+4,2)</f>
        <v>#VALUE!</v>
      </c>
      <c r="F240" s="2" t="e">
        <f t="shared" si="13"/>
        <v>#VALUE!</v>
      </c>
      <c r="G240" s="13" t="e">
        <f t="shared" si="14"/>
        <v>#VALUE!</v>
      </c>
      <c r="J240" t="str">
        <f>MAIN!A245&amp;"B"</f>
        <v>B</v>
      </c>
      <c r="K240" s="12" t="e">
        <f t="shared" si="15"/>
        <v>#VALUE!</v>
      </c>
      <c r="L240" t="str">
        <f>MAIN!C245</f>
        <v/>
      </c>
    </row>
    <row r="241" spans="1:12" x14ac:dyDescent="0.3">
      <c r="A241">
        <f>IF(J241="0",0,IF(COUNTIF($J$2:J241,J241)=1,1,0))</f>
        <v>0</v>
      </c>
      <c r="B241" s="12" t="e">
        <f>MID(MAIN!A246,K241,2)</f>
        <v>#VALUE!</v>
      </c>
      <c r="C241" s="12" t="e">
        <f t="shared" si="12"/>
        <v>#VALUE!</v>
      </c>
      <c r="D241" s="12" t="e">
        <f>MID(MAIN!A246,K241+2,2)</f>
        <v>#VALUE!</v>
      </c>
      <c r="E241" s="12" t="e">
        <f>MID(MAIN!A246,K241+4,2)</f>
        <v>#VALUE!</v>
      </c>
      <c r="F241" s="2" t="e">
        <f t="shared" si="13"/>
        <v>#VALUE!</v>
      </c>
      <c r="G241" s="13" t="e">
        <f t="shared" si="14"/>
        <v>#VALUE!</v>
      </c>
      <c r="J241" t="str">
        <f>MAIN!A246&amp;"B"</f>
        <v>B</v>
      </c>
      <c r="K241" s="12" t="e">
        <f t="shared" si="15"/>
        <v>#VALUE!</v>
      </c>
      <c r="L241" t="str">
        <f>MAIN!C246</f>
        <v/>
      </c>
    </row>
    <row r="242" spans="1:12" x14ac:dyDescent="0.3">
      <c r="A242">
        <f>IF(J242="0",0,IF(COUNTIF($J$2:J242,J242)=1,1,0))</f>
        <v>0</v>
      </c>
      <c r="B242" s="12" t="e">
        <f>MID(MAIN!A247,K242,2)</f>
        <v>#VALUE!</v>
      </c>
      <c r="C242" s="12" t="e">
        <f t="shared" si="12"/>
        <v>#VALUE!</v>
      </c>
      <c r="D242" s="12" t="e">
        <f>MID(MAIN!A247,K242+2,2)</f>
        <v>#VALUE!</v>
      </c>
      <c r="E242" s="12" t="e">
        <f>MID(MAIN!A247,K242+4,2)</f>
        <v>#VALUE!</v>
      </c>
      <c r="F242" s="2" t="e">
        <f t="shared" si="13"/>
        <v>#VALUE!</v>
      </c>
      <c r="G242" s="13" t="e">
        <f t="shared" si="14"/>
        <v>#VALUE!</v>
      </c>
      <c r="J242" t="str">
        <f>MAIN!A247&amp;"B"</f>
        <v>B</v>
      </c>
      <c r="K242" s="12" t="e">
        <f t="shared" si="15"/>
        <v>#VALUE!</v>
      </c>
      <c r="L242" t="str">
        <f>MAIN!C247</f>
        <v/>
      </c>
    </row>
    <row r="243" spans="1:12" x14ac:dyDescent="0.3">
      <c r="A243">
        <f>IF(J243="0",0,IF(COUNTIF($J$2:J243,J243)=1,1,0))</f>
        <v>0</v>
      </c>
      <c r="B243" s="12" t="e">
        <f>MID(MAIN!A248,K243,2)</f>
        <v>#VALUE!</v>
      </c>
      <c r="C243" s="12" t="e">
        <f t="shared" si="12"/>
        <v>#VALUE!</v>
      </c>
      <c r="D243" s="12" t="e">
        <f>MID(MAIN!A248,K243+2,2)</f>
        <v>#VALUE!</v>
      </c>
      <c r="E243" s="12" t="e">
        <f>MID(MAIN!A248,K243+4,2)</f>
        <v>#VALUE!</v>
      </c>
      <c r="F243" s="2" t="e">
        <f t="shared" si="13"/>
        <v>#VALUE!</v>
      </c>
      <c r="G243" s="13" t="e">
        <f t="shared" si="14"/>
        <v>#VALUE!</v>
      </c>
      <c r="J243" t="str">
        <f>MAIN!A248&amp;"B"</f>
        <v>B</v>
      </c>
      <c r="K243" s="12" t="e">
        <f t="shared" si="15"/>
        <v>#VALUE!</v>
      </c>
      <c r="L243" t="str">
        <f>MAIN!C248</f>
        <v/>
      </c>
    </row>
    <row r="244" spans="1:12" x14ac:dyDescent="0.3">
      <c r="A244">
        <f>IF(J244="0",0,IF(COUNTIF($J$2:J244,J244)=1,1,0))</f>
        <v>0</v>
      </c>
      <c r="B244" s="12" t="e">
        <f>MID(MAIN!A249,K244,2)</f>
        <v>#VALUE!</v>
      </c>
      <c r="C244" s="12" t="e">
        <f t="shared" si="12"/>
        <v>#VALUE!</v>
      </c>
      <c r="D244" s="12" t="e">
        <f>MID(MAIN!A249,K244+2,2)</f>
        <v>#VALUE!</v>
      </c>
      <c r="E244" s="12" t="e">
        <f>MID(MAIN!A249,K244+4,2)</f>
        <v>#VALUE!</v>
      </c>
      <c r="F244" s="2" t="e">
        <f t="shared" si="13"/>
        <v>#VALUE!</v>
      </c>
      <c r="G244" s="13" t="e">
        <f t="shared" si="14"/>
        <v>#VALUE!</v>
      </c>
      <c r="J244" t="str">
        <f>MAIN!A249&amp;"B"</f>
        <v>B</v>
      </c>
      <c r="K244" s="12" t="e">
        <f t="shared" si="15"/>
        <v>#VALUE!</v>
      </c>
      <c r="L244" t="str">
        <f>MAIN!C249</f>
        <v/>
      </c>
    </row>
    <row r="245" spans="1:12" x14ac:dyDescent="0.3">
      <c r="A245">
        <f>IF(J245="0",0,IF(COUNTIF($J$2:J245,J245)=1,1,0))</f>
        <v>0</v>
      </c>
      <c r="B245" s="12" t="e">
        <f>MID(MAIN!A250,K245,2)</f>
        <v>#VALUE!</v>
      </c>
      <c r="C245" s="12" t="e">
        <f t="shared" si="12"/>
        <v>#VALUE!</v>
      </c>
      <c r="D245" s="12" t="e">
        <f>MID(MAIN!A250,K245+2,2)</f>
        <v>#VALUE!</v>
      </c>
      <c r="E245" s="12" t="e">
        <f>MID(MAIN!A250,K245+4,2)</f>
        <v>#VALUE!</v>
      </c>
      <c r="F245" s="2" t="e">
        <f t="shared" si="13"/>
        <v>#VALUE!</v>
      </c>
      <c r="G245" s="13" t="e">
        <f t="shared" si="14"/>
        <v>#VALUE!</v>
      </c>
      <c r="J245" t="str">
        <f>MAIN!A250&amp;"B"</f>
        <v>B</v>
      </c>
      <c r="K245" s="12" t="e">
        <f t="shared" si="15"/>
        <v>#VALUE!</v>
      </c>
      <c r="L245" t="str">
        <f>MAIN!C250</f>
        <v/>
      </c>
    </row>
    <row r="246" spans="1:12" x14ac:dyDescent="0.3">
      <c r="A246">
        <f>IF(J246="0",0,IF(COUNTIF($J$2:J246,J246)=1,1,0))</f>
        <v>0</v>
      </c>
      <c r="B246" s="12" t="e">
        <f>MID(MAIN!A251,K246,2)</f>
        <v>#VALUE!</v>
      </c>
      <c r="C246" s="12" t="e">
        <f t="shared" si="12"/>
        <v>#VALUE!</v>
      </c>
      <c r="D246" s="12" t="e">
        <f>MID(MAIN!A251,K246+2,2)</f>
        <v>#VALUE!</v>
      </c>
      <c r="E246" s="12" t="e">
        <f>MID(MAIN!A251,K246+4,2)</f>
        <v>#VALUE!</v>
      </c>
      <c r="F246" s="2" t="e">
        <f t="shared" si="13"/>
        <v>#VALUE!</v>
      </c>
      <c r="G246" s="13" t="e">
        <f t="shared" si="14"/>
        <v>#VALUE!</v>
      </c>
      <c r="J246" t="str">
        <f>MAIN!A251&amp;"B"</f>
        <v>B</v>
      </c>
      <c r="K246" s="12" t="e">
        <f t="shared" si="15"/>
        <v>#VALUE!</v>
      </c>
      <c r="L246" t="str">
        <f>MAIN!C251</f>
        <v/>
      </c>
    </row>
    <row r="247" spans="1:12" x14ac:dyDescent="0.3">
      <c r="A247">
        <f>IF(J247="0",0,IF(COUNTIF($J$2:J247,J247)=1,1,0))</f>
        <v>0</v>
      </c>
      <c r="B247" s="12" t="e">
        <f>MID(MAIN!A252,K247,2)</f>
        <v>#VALUE!</v>
      </c>
      <c r="C247" s="12" t="e">
        <f t="shared" si="12"/>
        <v>#VALUE!</v>
      </c>
      <c r="D247" s="12" t="e">
        <f>MID(MAIN!A252,K247+2,2)</f>
        <v>#VALUE!</v>
      </c>
      <c r="E247" s="12" t="e">
        <f>MID(MAIN!A252,K247+4,2)</f>
        <v>#VALUE!</v>
      </c>
      <c r="F247" s="2" t="e">
        <f t="shared" si="13"/>
        <v>#VALUE!</v>
      </c>
      <c r="G247" s="13" t="e">
        <f t="shared" si="14"/>
        <v>#VALUE!</v>
      </c>
      <c r="J247" t="str">
        <f>MAIN!A252&amp;"B"</f>
        <v>B</v>
      </c>
      <c r="K247" s="12" t="e">
        <f t="shared" si="15"/>
        <v>#VALUE!</v>
      </c>
      <c r="L247" t="str">
        <f>MAIN!C252</f>
        <v/>
      </c>
    </row>
    <row r="248" spans="1:12" x14ac:dyDescent="0.3">
      <c r="A248">
        <f>IF(J248="0",0,IF(COUNTIF($J$2:J248,J248)=1,1,0))</f>
        <v>0</v>
      </c>
      <c r="B248" s="12" t="e">
        <f>MID(MAIN!A253,K248,2)</f>
        <v>#VALUE!</v>
      </c>
      <c r="C248" s="12" t="e">
        <f t="shared" si="12"/>
        <v>#VALUE!</v>
      </c>
      <c r="D248" s="12" t="e">
        <f>MID(MAIN!A253,K248+2,2)</f>
        <v>#VALUE!</v>
      </c>
      <c r="E248" s="12" t="e">
        <f>MID(MAIN!A253,K248+4,2)</f>
        <v>#VALUE!</v>
      </c>
      <c r="F248" s="2" t="e">
        <f t="shared" si="13"/>
        <v>#VALUE!</v>
      </c>
      <c r="G248" s="13" t="e">
        <f t="shared" si="14"/>
        <v>#VALUE!</v>
      </c>
      <c r="J248" t="str">
        <f>MAIN!A253&amp;"B"</f>
        <v>B</v>
      </c>
      <c r="K248" s="12" t="e">
        <f t="shared" si="15"/>
        <v>#VALUE!</v>
      </c>
      <c r="L248" t="str">
        <f>MAIN!C253</f>
        <v/>
      </c>
    </row>
    <row r="249" spans="1:12" x14ac:dyDescent="0.3">
      <c r="A249">
        <f>IF(J249="0",0,IF(COUNTIF($J$2:J249,J249)=1,1,0))</f>
        <v>0</v>
      </c>
      <c r="B249" s="12" t="e">
        <f>MID(MAIN!A254,K249,2)</f>
        <v>#VALUE!</v>
      </c>
      <c r="C249" s="12" t="e">
        <f t="shared" si="12"/>
        <v>#VALUE!</v>
      </c>
      <c r="D249" s="12" t="e">
        <f>MID(MAIN!A254,K249+2,2)</f>
        <v>#VALUE!</v>
      </c>
      <c r="E249" s="12" t="e">
        <f>MID(MAIN!A254,K249+4,2)</f>
        <v>#VALUE!</v>
      </c>
      <c r="F249" s="2" t="e">
        <f t="shared" si="13"/>
        <v>#VALUE!</v>
      </c>
      <c r="G249" s="13" t="e">
        <f t="shared" si="14"/>
        <v>#VALUE!</v>
      </c>
      <c r="J249" t="str">
        <f>MAIN!A254&amp;"B"</f>
        <v>B</v>
      </c>
      <c r="K249" s="12" t="e">
        <f t="shared" si="15"/>
        <v>#VALUE!</v>
      </c>
      <c r="L249" t="str">
        <f>MAIN!C254</f>
        <v/>
      </c>
    </row>
    <row r="250" spans="1:12" x14ac:dyDescent="0.3">
      <c r="A250">
        <f>IF(J250="0",0,IF(COUNTIF($J$2:J250,J250)=1,1,0))</f>
        <v>0</v>
      </c>
      <c r="B250" s="12" t="e">
        <f>MID(MAIN!A255,K250,2)</f>
        <v>#VALUE!</v>
      </c>
      <c r="C250" s="12" t="e">
        <f t="shared" si="12"/>
        <v>#VALUE!</v>
      </c>
      <c r="D250" s="12" t="e">
        <f>MID(MAIN!A255,K250+2,2)</f>
        <v>#VALUE!</v>
      </c>
      <c r="E250" s="12" t="e">
        <f>MID(MAIN!A255,K250+4,2)</f>
        <v>#VALUE!</v>
      </c>
      <c r="F250" s="2" t="e">
        <f t="shared" si="13"/>
        <v>#VALUE!</v>
      </c>
      <c r="G250" s="13" t="e">
        <f t="shared" si="14"/>
        <v>#VALUE!</v>
      </c>
      <c r="J250" t="str">
        <f>MAIN!A255&amp;"B"</f>
        <v>B</v>
      </c>
      <c r="K250" s="12" t="e">
        <f t="shared" si="15"/>
        <v>#VALUE!</v>
      </c>
      <c r="L250" t="str">
        <f>MAIN!C255</f>
        <v/>
      </c>
    </row>
    <row r="251" spans="1:12" x14ac:dyDescent="0.3">
      <c r="A251">
        <f>IF(J251="0",0,IF(COUNTIF($J$2:J251,J251)=1,1,0))</f>
        <v>0</v>
      </c>
      <c r="B251" s="12" t="e">
        <f>MID(MAIN!A256,K251,2)</f>
        <v>#VALUE!</v>
      </c>
      <c r="C251" s="12" t="e">
        <f t="shared" si="12"/>
        <v>#VALUE!</v>
      </c>
      <c r="D251" s="12" t="e">
        <f>MID(MAIN!A256,K251+2,2)</f>
        <v>#VALUE!</v>
      </c>
      <c r="E251" s="12" t="e">
        <f>MID(MAIN!A256,K251+4,2)</f>
        <v>#VALUE!</v>
      </c>
      <c r="F251" s="2" t="e">
        <f t="shared" si="13"/>
        <v>#VALUE!</v>
      </c>
      <c r="G251" s="13" t="e">
        <f t="shared" si="14"/>
        <v>#VALUE!</v>
      </c>
      <c r="J251" t="str">
        <f>MAIN!A256&amp;"B"</f>
        <v>B</v>
      </c>
      <c r="K251" s="12" t="e">
        <f t="shared" si="15"/>
        <v>#VALUE!</v>
      </c>
      <c r="L251" t="str">
        <f>MAIN!C256</f>
        <v/>
      </c>
    </row>
    <row r="252" spans="1:12" x14ac:dyDescent="0.3">
      <c r="A252">
        <f>IF(J252="0",0,IF(COUNTIF($J$2:J252,J252)=1,1,0))</f>
        <v>0</v>
      </c>
      <c r="B252" s="12" t="e">
        <f>MID(MAIN!A257,K252,2)</f>
        <v>#VALUE!</v>
      </c>
      <c r="C252" s="12" t="e">
        <f t="shared" si="12"/>
        <v>#VALUE!</v>
      </c>
      <c r="D252" s="12" t="e">
        <f>MID(MAIN!A257,K252+2,2)</f>
        <v>#VALUE!</v>
      </c>
      <c r="E252" s="12" t="e">
        <f>MID(MAIN!A257,K252+4,2)</f>
        <v>#VALUE!</v>
      </c>
      <c r="F252" s="2" t="e">
        <f t="shared" si="13"/>
        <v>#VALUE!</v>
      </c>
      <c r="G252" s="13" t="e">
        <f t="shared" si="14"/>
        <v>#VALUE!</v>
      </c>
      <c r="J252" t="str">
        <f>MAIN!A257&amp;"B"</f>
        <v>B</v>
      </c>
      <c r="K252" s="12" t="e">
        <f t="shared" si="15"/>
        <v>#VALUE!</v>
      </c>
      <c r="L252" t="str">
        <f>MAIN!C257</f>
        <v/>
      </c>
    </row>
    <row r="253" spans="1:12" x14ac:dyDescent="0.3">
      <c r="A253">
        <f>IF(J253="0",0,IF(COUNTIF($J$2:J253,J253)=1,1,0))</f>
        <v>0</v>
      </c>
      <c r="B253" s="12" t="e">
        <f>MID(MAIN!A258,K253,2)</f>
        <v>#VALUE!</v>
      </c>
      <c r="C253" s="12" t="e">
        <f t="shared" si="12"/>
        <v>#VALUE!</v>
      </c>
      <c r="D253" s="12" t="e">
        <f>MID(MAIN!A258,K253+2,2)</f>
        <v>#VALUE!</v>
      </c>
      <c r="E253" s="12" t="e">
        <f>MID(MAIN!A258,K253+4,2)</f>
        <v>#VALUE!</v>
      </c>
      <c r="F253" s="2" t="e">
        <f t="shared" si="13"/>
        <v>#VALUE!</v>
      </c>
      <c r="G253" s="13" t="e">
        <f t="shared" si="14"/>
        <v>#VALUE!</v>
      </c>
      <c r="J253" t="str">
        <f>MAIN!A258&amp;"B"</f>
        <v>B</v>
      </c>
      <c r="K253" s="12" t="e">
        <f t="shared" si="15"/>
        <v>#VALUE!</v>
      </c>
      <c r="L253" t="str">
        <f>MAIN!C258</f>
        <v/>
      </c>
    </row>
    <row r="254" spans="1:12" x14ac:dyDescent="0.3">
      <c r="A254">
        <f>IF(J254="0",0,IF(COUNTIF($J$2:J254,J254)=1,1,0))</f>
        <v>0</v>
      </c>
      <c r="B254" s="12" t="e">
        <f>MID(MAIN!A259,K254,2)</f>
        <v>#VALUE!</v>
      </c>
      <c r="C254" s="12" t="e">
        <f t="shared" si="12"/>
        <v>#VALUE!</v>
      </c>
      <c r="D254" s="12" t="e">
        <f>MID(MAIN!A259,K254+2,2)</f>
        <v>#VALUE!</v>
      </c>
      <c r="E254" s="12" t="e">
        <f>MID(MAIN!A259,K254+4,2)</f>
        <v>#VALUE!</v>
      </c>
      <c r="F254" s="2" t="e">
        <f t="shared" si="13"/>
        <v>#VALUE!</v>
      </c>
      <c r="G254" s="13" t="e">
        <f t="shared" si="14"/>
        <v>#VALUE!</v>
      </c>
      <c r="J254" t="str">
        <f>MAIN!A259&amp;"B"</f>
        <v>B</v>
      </c>
      <c r="K254" s="12" t="e">
        <f t="shared" si="15"/>
        <v>#VALUE!</v>
      </c>
      <c r="L254" t="str">
        <f>MAIN!C259</f>
        <v/>
      </c>
    </row>
    <row r="255" spans="1:12" x14ac:dyDescent="0.3">
      <c r="A255">
        <f>IF(J255="0",0,IF(COUNTIF($J$2:J255,J255)=1,1,0))</f>
        <v>0</v>
      </c>
      <c r="B255" s="12" t="e">
        <f>MID(MAIN!A260,K255,2)</f>
        <v>#VALUE!</v>
      </c>
      <c r="C255" s="12" t="e">
        <f t="shared" si="12"/>
        <v>#VALUE!</v>
      </c>
      <c r="D255" s="12" t="e">
        <f>MID(MAIN!A260,K255+2,2)</f>
        <v>#VALUE!</v>
      </c>
      <c r="E255" s="12" t="e">
        <f>MID(MAIN!A260,K255+4,2)</f>
        <v>#VALUE!</v>
      </c>
      <c r="F255" s="2" t="e">
        <f t="shared" si="13"/>
        <v>#VALUE!</v>
      </c>
      <c r="G255" s="13" t="e">
        <f t="shared" si="14"/>
        <v>#VALUE!</v>
      </c>
      <c r="J255" t="str">
        <f>MAIN!A260&amp;"B"</f>
        <v>B</v>
      </c>
      <c r="K255" s="12" t="e">
        <f t="shared" si="15"/>
        <v>#VALUE!</v>
      </c>
      <c r="L255" t="str">
        <f>MAIN!C260</f>
        <v/>
      </c>
    </row>
    <row r="256" spans="1:12" x14ac:dyDescent="0.3">
      <c r="A256">
        <f>IF(J256="0",0,IF(COUNTIF($J$2:J256,J256)=1,1,0))</f>
        <v>0</v>
      </c>
      <c r="B256" s="12" t="e">
        <f>MID(MAIN!A261,K256,2)</f>
        <v>#VALUE!</v>
      </c>
      <c r="C256" s="12" t="e">
        <f t="shared" si="12"/>
        <v>#VALUE!</v>
      </c>
      <c r="D256" s="12" t="e">
        <f>MID(MAIN!A261,K256+2,2)</f>
        <v>#VALUE!</v>
      </c>
      <c r="E256" s="12" t="e">
        <f>MID(MAIN!A261,K256+4,2)</f>
        <v>#VALUE!</v>
      </c>
      <c r="F256" s="2" t="e">
        <f t="shared" si="13"/>
        <v>#VALUE!</v>
      </c>
      <c r="G256" s="13" t="e">
        <f t="shared" si="14"/>
        <v>#VALUE!</v>
      </c>
      <c r="J256" t="str">
        <f>MAIN!A261&amp;"B"</f>
        <v>B</v>
      </c>
      <c r="K256" s="12" t="e">
        <f t="shared" si="15"/>
        <v>#VALUE!</v>
      </c>
      <c r="L256" t="str">
        <f>MAIN!C261</f>
        <v/>
      </c>
    </row>
    <row r="257" spans="1:12" x14ac:dyDescent="0.3">
      <c r="A257">
        <f>IF(J257="0",0,IF(COUNTIF($J$2:J257,J257)=1,1,0))</f>
        <v>0</v>
      </c>
      <c r="B257" s="12" t="e">
        <f>MID(MAIN!A262,K257,2)</f>
        <v>#VALUE!</v>
      </c>
      <c r="C257" s="12" t="e">
        <f t="shared" si="12"/>
        <v>#VALUE!</v>
      </c>
      <c r="D257" s="12" t="e">
        <f>MID(MAIN!A262,K257+2,2)</f>
        <v>#VALUE!</v>
      </c>
      <c r="E257" s="12" t="e">
        <f>MID(MAIN!A262,K257+4,2)</f>
        <v>#VALUE!</v>
      </c>
      <c r="F257" s="2" t="e">
        <f t="shared" si="13"/>
        <v>#VALUE!</v>
      </c>
      <c r="G257" s="13" t="e">
        <f t="shared" si="14"/>
        <v>#VALUE!</v>
      </c>
      <c r="J257" t="str">
        <f>MAIN!A262&amp;"B"</f>
        <v>B</v>
      </c>
      <c r="K257" s="12" t="e">
        <f t="shared" si="15"/>
        <v>#VALUE!</v>
      </c>
      <c r="L257" t="str">
        <f>MAIN!C262</f>
        <v/>
      </c>
    </row>
    <row r="258" spans="1:12" x14ac:dyDescent="0.3">
      <c r="A258">
        <f>IF(J258="0",0,IF(COUNTIF($J$2:J258,J258)=1,1,0))</f>
        <v>0</v>
      </c>
      <c r="B258" s="12" t="e">
        <f>MID(MAIN!A263,K258,2)</f>
        <v>#VALUE!</v>
      </c>
      <c r="C258" s="12" t="e">
        <f t="shared" si="12"/>
        <v>#VALUE!</v>
      </c>
      <c r="D258" s="12" t="e">
        <f>MID(MAIN!A263,K258+2,2)</f>
        <v>#VALUE!</v>
      </c>
      <c r="E258" s="12" t="e">
        <f>MID(MAIN!A263,K258+4,2)</f>
        <v>#VALUE!</v>
      </c>
      <c r="F258" s="2" t="e">
        <f t="shared" si="13"/>
        <v>#VALUE!</v>
      </c>
      <c r="G258" s="13" t="e">
        <f t="shared" si="14"/>
        <v>#VALUE!</v>
      </c>
      <c r="J258" t="str">
        <f>MAIN!A263&amp;"B"</f>
        <v>B</v>
      </c>
      <c r="K258" s="12" t="e">
        <f t="shared" si="15"/>
        <v>#VALUE!</v>
      </c>
      <c r="L258" t="str">
        <f>MAIN!C263</f>
        <v/>
      </c>
    </row>
    <row r="259" spans="1:12" x14ac:dyDescent="0.3">
      <c r="A259">
        <f>IF(J259="0",0,IF(COUNTIF($J$2:J259,J259)=1,1,0))</f>
        <v>0</v>
      </c>
      <c r="B259" s="12" t="e">
        <f>MID(MAIN!A264,K259,2)</f>
        <v>#VALUE!</v>
      </c>
      <c r="C259" s="12" t="e">
        <f t="shared" ref="C259:C322" si="16">"20"&amp;B259</f>
        <v>#VALUE!</v>
      </c>
      <c r="D259" s="12" t="e">
        <f>MID(MAIN!A264,K259+2,2)</f>
        <v>#VALUE!</v>
      </c>
      <c r="E259" s="12" t="e">
        <f>MID(MAIN!A264,K259+4,2)</f>
        <v>#VALUE!</v>
      </c>
      <c r="F259" s="2" t="e">
        <f t="shared" ref="F259:F322" si="17">C259&amp;"/"&amp;D259&amp;"/"&amp;E259</f>
        <v>#VALUE!</v>
      </c>
      <c r="G259" s="13" t="e">
        <f t="shared" ref="G259:G322" si="18">DATEVALUE(F259)</f>
        <v>#VALUE!</v>
      </c>
      <c r="J259" t="str">
        <f>MAIN!A264&amp;"B"</f>
        <v>B</v>
      </c>
      <c r="K259" s="12" t="e">
        <f t="shared" ref="K259:K322" si="19">FIND("172",J259,30)+2</f>
        <v>#VALUE!</v>
      </c>
      <c r="L259" t="str">
        <f>MAIN!C264</f>
        <v/>
      </c>
    </row>
    <row r="260" spans="1:12" x14ac:dyDescent="0.3">
      <c r="A260">
        <f>IF(J260="0",0,IF(COUNTIF($J$2:J260,J260)=1,1,0))</f>
        <v>0</v>
      </c>
      <c r="B260" s="12" t="e">
        <f>MID(MAIN!A265,K260,2)</f>
        <v>#VALUE!</v>
      </c>
      <c r="C260" s="12" t="e">
        <f t="shared" si="16"/>
        <v>#VALUE!</v>
      </c>
      <c r="D260" s="12" t="e">
        <f>MID(MAIN!A265,K260+2,2)</f>
        <v>#VALUE!</v>
      </c>
      <c r="E260" s="12" t="e">
        <f>MID(MAIN!A265,K260+4,2)</f>
        <v>#VALUE!</v>
      </c>
      <c r="F260" s="2" t="e">
        <f t="shared" si="17"/>
        <v>#VALUE!</v>
      </c>
      <c r="G260" s="13" t="e">
        <f t="shared" si="18"/>
        <v>#VALUE!</v>
      </c>
      <c r="J260" t="str">
        <f>MAIN!A265&amp;"B"</f>
        <v>B</v>
      </c>
      <c r="K260" s="12" t="e">
        <f t="shared" si="19"/>
        <v>#VALUE!</v>
      </c>
      <c r="L260" t="str">
        <f>MAIN!C265</f>
        <v/>
      </c>
    </row>
    <row r="261" spans="1:12" x14ac:dyDescent="0.3">
      <c r="A261">
        <f>IF(J261="0",0,IF(COUNTIF($J$2:J261,J261)=1,1,0))</f>
        <v>0</v>
      </c>
      <c r="B261" s="12" t="e">
        <f>MID(MAIN!A266,K261,2)</f>
        <v>#VALUE!</v>
      </c>
      <c r="C261" s="12" t="e">
        <f t="shared" si="16"/>
        <v>#VALUE!</v>
      </c>
      <c r="D261" s="12" t="e">
        <f>MID(MAIN!A266,K261+2,2)</f>
        <v>#VALUE!</v>
      </c>
      <c r="E261" s="12" t="e">
        <f>MID(MAIN!A266,K261+4,2)</f>
        <v>#VALUE!</v>
      </c>
      <c r="F261" s="2" t="e">
        <f t="shared" si="17"/>
        <v>#VALUE!</v>
      </c>
      <c r="G261" s="13" t="e">
        <f t="shared" si="18"/>
        <v>#VALUE!</v>
      </c>
      <c r="J261" t="str">
        <f>MAIN!A266&amp;"B"</f>
        <v>B</v>
      </c>
      <c r="K261" s="12" t="e">
        <f t="shared" si="19"/>
        <v>#VALUE!</v>
      </c>
      <c r="L261" t="str">
        <f>MAIN!C266</f>
        <v/>
      </c>
    </row>
    <row r="262" spans="1:12" x14ac:dyDescent="0.3">
      <c r="A262">
        <f>IF(J262="0",0,IF(COUNTIF($J$2:J262,J262)=1,1,0))</f>
        <v>0</v>
      </c>
      <c r="B262" s="12" t="e">
        <f>MID(MAIN!A267,K262,2)</f>
        <v>#VALUE!</v>
      </c>
      <c r="C262" s="12" t="e">
        <f t="shared" si="16"/>
        <v>#VALUE!</v>
      </c>
      <c r="D262" s="12" t="e">
        <f>MID(MAIN!A267,K262+2,2)</f>
        <v>#VALUE!</v>
      </c>
      <c r="E262" s="12" t="e">
        <f>MID(MAIN!A267,K262+4,2)</f>
        <v>#VALUE!</v>
      </c>
      <c r="F262" s="2" t="e">
        <f t="shared" si="17"/>
        <v>#VALUE!</v>
      </c>
      <c r="G262" s="13" t="e">
        <f t="shared" si="18"/>
        <v>#VALUE!</v>
      </c>
      <c r="J262" t="str">
        <f>MAIN!A267&amp;"B"</f>
        <v>B</v>
      </c>
      <c r="K262" s="12" t="e">
        <f t="shared" si="19"/>
        <v>#VALUE!</v>
      </c>
      <c r="L262" t="str">
        <f>MAIN!C267</f>
        <v/>
      </c>
    </row>
    <row r="263" spans="1:12" x14ac:dyDescent="0.3">
      <c r="A263">
        <f>IF(J263="0",0,IF(COUNTIF($J$2:J263,J263)=1,1,0))</f>
        <v>0</v>
      </c>
      <c r="B263" s="12" t="e">
        <f>MID(MAIN!A268,K263,2)</f>
        <v>#VALUE!</v>
      </c>
      <c r="C263" s="12" t="e">
        <f t="shared" si="16"/>
        <v>#VALUE!</v>
      </c>
      <c r="D263" s="12" t="e">
        <f>MID(MAIN!A268,K263+2,2)</f>
        <v>#VALUE!</v>
      </c>
      <c r="E263" s="12" t="e">
        <f>MID(MAIN!A268,K263+4,2)</f>
        <v>#VALUE!</v>
      </c>
      <c r="F263" s="2" t="e">
        <f t="shared" si="17"/>
        <v>#VALUE!</v>
      </c>
      <c r="G263" s="13" t="e">
        <f t="shared" si="18"/>
        <v>#VALUE!</v>
      </c>
      <c r="J263" t="str">
        <f>MAIN!A268&amp;"B"</f>
        <v>B</v>
      </c>
      <c r="K263" s="12" t="e">
        <f t="shared" si="19"/>
        <v>#VALUE!</v>
      </c>
      <c r="L263" t="str">
        <f>MAIN!C268</f>
        <v/>
      </c>
    </row>
    <row r="264" spans="1:12" x14ac:dyDescent="0.3">
      <c r="A264">
        <f>IF(J264="0",0,IF(COUNTIF($J$2:J264,J264)=1,1,0))</f>
        <v>0</v>
      </c>
      <c r="B264" s="12" t="e">
        <f>MID(MAIN!A269,K264,2)</f>
        <v>#VALUE!</v>
      </c>
      <c r="C264" s="12" t="e">
        <f t="shared" si="16"/>
        <v>#VALUE!</v>
      </c>
      <c r="D264" s="12" t="e">
        <f>MID(MAIN!A269,K264+2,2)</f>
        <v>#VALUE!</v>
      </c>
      <c r="E264" s="12" t="e">
        <f>MID(MAIN!A269,K264+4,2)</f>
        <v>#VALUE!</v>
      </c>
      <c r="F264" s="2" t="e">
        <f t="shared" si="17"/>
        <v>#VALUE!</v>
      </c>
      <c r="G264" s="13" t="e">
        <f t="shared" si="18"/>
        <v>#VALUE!</v>
      </c>
      <c r="J264" t="str">
        <f>MAIN!A269&amp;"B"</f>
        <v>B</v>
      </c>
      <c r="K264" s="12" t="e">
        <f t="shared" si="19"/>
        <v>#VALUE!</v>
      </c>
      <c r="L264" t="str">
        <f>MAIN!C269</f>
        <v/>
      </c>
    </row>
    <row r="265" spans="1:12" x14ac:dyDescent="0.3">
      <c r="A265">
        <f>IF(J265="0",0,IF(COUNTIF($J$2:J265,J265)=1,1,0))</f>
        <v>0</v>
      </c>
      <c r="B265" s="12" t="e">
        <f>MID(MAIN!A270,K265,2)</f>
        <v>#VALUE!</v>
      </c>
      <c r="C265" s="12" t="e">
        <f t="shared" si="16"/>
        <v>#VALUE!</v>
      </c>
      <c r="D265" s="12" t="e">
        <f>MID(MAIN!A270,K265+2,2)</f>
        <v>#VALUE!</v>
      </c>
      <c r="E265" s="12" t="e">
        <f>MID(MAIN!A270,K265+4,2)</f>
        <v>#VALUE!</v>
      </c>
      <c r="F265" s="2" t="e">
        <f t="shared" si="17"/>
        <v>#VALUE!</v>
      </c>
      <c r="G265" s="13" t="e">
        <f t="shared" si="18"/>
        <v>#VALUE!</v>
      </c>
      <c r="J265" t="str">
        <f>MAIN!A270&amp;"B"</f>
        <v>B</v>
      </c>
      <c r="K265" s="12" t="e">
        <f t="shared" si="19"/>
        <v>#VALUE!</v>
      </c>
      <c r="L265" t="str">
        <f>MAIN!C270</f>
        <v/>
      </c>
    </row>
    <row r="266" spans="1:12" x14ac:dyDescent="0.3">
      <c r="A266">
        <f>IF(J266="0",0,IF(COUNTIF($J$2:J266,J266)=1,1,0))</f>
        <v>0</v>
      </c>
      <c r="B266" s="12" t="e">
        <f>MID(MAIN!A271,K266,2)</f>
        <v>#VALUE!</v>
      </c>
      <c r="C266" s="12" t="e">
        <f t="shared" si="16"/>
        <v>#VALUE!</v>
      </c>
      <c r="D266" s="12" t="e">
        <f>MID(MAIN!A271,K266+2,2)</f>
        <v>#VALUE!</v>
      </c>
      <c r="E266" s="12" t="e">
        <f>MID(MAIN!A271,K266+4,2)</f>
        <v>#VALUE!</v>
      </c>
      <c r="F266" s="2" t="e">
        <f t="shared" si="17"/>
        <v>#VALUE!</v>
      </c>
      <c r="G266" s="13" t="e">
        <f t="shared" si="18"/>
        <v>#VALUE!</v>
      </c>
      <c r="J266" t="str">
        <f>MAIN!A271&amp;"B"</f>
        <v>B</v>
      </c>
      <c r="K266" s="12" t="e">
        <f t="shared" si="19"/>
        <v>#VALUE!</v>
      </c>
      <c r="L266" t="str">
        <f>MAIN!C271</f>
        <v/>
      </c>
    </row>
    <row r="267" spans="1:12" x14ac:dyDescent="0.3">
      <c r="A267">
        <f>IF(J267="0",0,IF(COUNTIF($J$2:J267,J267)=1,1,0))</f>
        <v>0</v>
      </c>
      <c r="B267" s="12" t="e">
        <f>MID(MAIN!A272,K267,2)</f>
        <v>#VALUE!</v>
      </c>
      <c r="C267" s="12" t="e">
        <f t="shared" si="16"/>
        <v>#VALUE!</v>
      </c>
      <c r="D267" s="12" t="e">
        <f>MID(MAIN!A272,K267+2,2)</f>
        <v>#VALUE!</v>
      </c>
      <c r="E267" s="12" t="e">
        <f>MID(MAIN!A272,K267+4,2)</f>
        <v>#VALUE!</v>
      </c>
      <c r="F267" s="2" t="e">
        <f t="shared" si="17"/>
        <v>#VALUE!</v>
      </c>
      <c r="G267" s="13" t="e">
        <f t="shared" si="18"/>
        <v>#VALUE!</v>
      </c>
      <c r="J267" t="str">
        <f>MAIN!A272&amp;"B"</f>
        <v>B</v>
      </c>
      <c r="K267" s="12" t="e">
        <f t="shared" si="19"/>
        <v>#VALUE!</v>
      </c>
      <c r="L267" t="str">
        <f>MAIN!C272</f>
        <v/>
      </c>
    </row>
    <row r="268" spans="1:12" x14ac:dyDescent="0.3">
      <c r="A268">
        <f>IF(J268="0",0,IF(COUNTIF($J$2:J268,J268)=1,1,0))</f>
        <v>0</v>
      </c>
      <c r="B268" s="12" t="e">
        <f>MID(MAIN!A273,K268,2)</f>
        <v>#VALUE!</v>
      </c>
      <c r="C268" s="12" t="e">
        <f t="shared" si="16"/>
        <v>#VALUE!</v>
      </c>
      <c r="D268" s="12" t="e">
        <f>MID(MAIN!A273,K268+2,2)</f>
        <v>#VALUE!</v>
      </c>
      <c r="E268" s="12" t="e">
        <f>MID(MAIN!A273,K268+4,2)</f>
        <v>#VALUE!</v>
      </c>
      <c r="F268" s="2" t="e">
        <f t="shared" si="17"/>
        <v>#VALUE!</v>
      </c>
      <c r="G268" s="13" t="e">
        <f t="shared" si="18"/>
        <v>#VALUE!</v>
      </c>
      <c r="J268" t="str">
        <f>MAIN!A273&amp;"B"</f>
        <v>B</v>
      </c>
      <c r="K268" s="12" t="e">
        <f t="shared" si="19"/>
        <v>#VALUE!</v>
      </c>
      <c r="L268" t="str">
        <f>MAIN!C273</f>
        <v/>
      </c>
    </row>
    <row r="269" spans="1:12" x14ac:dyDescent="0.3">
      <c r="A269">
        <f>IF(J269="0",0,IF(COUNTIF($J$2:J269,J269)=1,1,0))</f>
        <v>0</v>
      </c>
      <c r="B269" s="12" t="e">
        <f>MID(MAIN!A274,K269,2)</f>
        <v>#VALUE!</v>
      </c>
      <c r="C269" s="12" t="e">
        <f t="shared" si="16"/>
        <v>#VALUE!</v>
      </c>
      <c r="D269" s="12" t="e">
        <f>MID(MAIN!A274,K269+2,2)</f>
        <v>#VALUE!</v>
      </c>
      <c r="E269" s="12" t="e">
        <f>MID(MAIN!A274,K269+4,2)</f>
        <v>#VALUE!</v>
      </c>
      <c r="F269" s="2" t="e">
        <f t="shared" si="17"/>
        <v>#VALUE!</v>
      </c>
      <c r="G269" s="13" t="e">
        <f t="shared" si="18"/>
        <v>#VALUE!</v>
      </c>
      <c r="J269" t="str">
        <f>MAIN!A274&amp;"B"</f>
        <v>B</v>
      </c>
      <c r="K269" s="12" t="e">
        <f t="shared" si="19"/>
        <v>#VALUE!</v>
      </c>
      <c r="L269" t="str">
        <f>MAIN!C274</f>
        <v/>
      </c>
    </row>
    <row r="270" spans="1:12" x14ac:dyDescent="0.3">
      <c r="A270">
        <f>IF(J270="0",0,IF(COUNTIF($J$2:J270,J270)=1,1,0))</f>
        <v>0</v>
      </c>
      <c r="B270" s="12" t="e">
        <f>MID(MAIN!A275,K270,2)</f>
        <v>#VALUE!</v>
      </c>
      <c r="C270" s="12" t="e">
        <f t="shared" si="16"/>
        <v>#VALUE!</v>
      </c>
      <c r="D270" s="12" t="e">
        <f>MID(MAIN!A275,K270+2,2)</f>
        <v>#VALUE!</v>
      </c>
      <c r="E270" s="12" t="e">
        <f>MID(MAIN!A275,K270+4,2)</f>
        <v>#VALUE!</v>
      </c>
      <c r="F270" s="2" t="e">
        <f t="shared" si="17"/>
        <v>#VALUE!</v>
      </c>
      <c r="G270" s="13" t="e">
        <f t="shared" si="18"/>
        <v>#VALUE!</v>
      </c>
      <c r="J270" t="str">
        <f>MAIN!A275&amp;"B"</f>
        <v>B</v>
      </c>
      <c r="K270" s="12" t="e">
        <f t="shared" si="19"/>
        <v>#VALUE!</v>
      </c>
      <c r="L270" t="str">
        <f>MAIN!C275</f>
        <v/>
      </c>
    </row>
    <row r="271" spans="1:12" x14ac:dyDescent="0.3">
      <c r="A271">
        <f>IF(J271="0",0,IF(COUNTIF($J$2:J271,J271)=1,1,0))</f>
        <v>0</v>
      </c>
      <c r="B271" s="12" t="e">
        <f>MID(MAIN!A276,K271,2)</f>
        <v>#VALUE!</v>
      </c>
      <c r="C271" s="12" t="e">
        <f t="shared" si="16"/>
        <v>#VALUE!</v>
      </c>
      <c r="D271" s="12" t="e">
        <f>MID(MAIN!A276,K271+2,2)</f>
        <v>#VALUE!</v>
      </c>
      <c r="E271" s="12" t="e">
        <f>MID(MAIN!A276,K271+4,2)</f>
        <v>#VALUE!</v>
      </c>
      <c r="F271" s="2" t="e">
        <f t="shared" si="17"/>
        <v>#VALUE!</v>
      </c>
      <c r="G271" s="13" t="e">
        <f t="shared" si="18"/>
        <v>#VALUE!</v>
      </c>
      <c r="J271" t="str">
        <f>MAIN!A276&amp;"B"</f>
        <v>B</v>
      </c>
      <c r="K271" s="12" t="e">
        <f t="shared" si="19"/>
        <v>#VALUE!</v>
      </c>
      <c r="L271" t="str">
        <f>MAIN!C276</f>
        <v/>
      </c>
    </row>
    <row r="272" spans="1:12" x14ac:dyDescent="0.3">
      <c r="A272">
        <f>IF(J272="0",0,IF(COUNTIF($J$2:J272,J272)=1,1,0))</f>
        <v>0</v>
      </c>
      <c r="B272" s="12" t="e">
        <f>MID(MAIN!A277,K272,2)</f>
        <v>#VALUE!</v>
      </c>
      <c r="C272" s="12" t="e">
        <f t="shared" si="16"/>
        <v>#VALUE!</v>
      </c>
      <c r="D272" s="12" t="e">
        <f>MID(MAIN!A277,K272+2,2)</f>
        <v>#VALUE!</v>
      </c>
      <c r="E272" s="12" t="e">
        <f>MID(MAIN!A277,K272+4,2)</f>
        <v>#VALUE!</v>
      </c>
      <c r="F272" s="2" t="e">
        <f t="shared" si="17"/>
        <v>#VALUE!</v>
      </c>
      <c r="G272" s="13" t="e">
        <f t="shared" si="18"/>
        <v>#VALUE!</v>
      </c>
      <c r="J272" t="str">
        <f>MAIN!A277&amp;"B"</f>
        <v>B</v>
      </c>
      <c r="K272" s="12" t="e">
        <f t="shared" si="19"/>
        <v>#VALUE!</v>
      </c>
      <c r="L272" t="str">
        <f>MAIN!C277</f>
        <v/>
      </c>
    </row>
    <row r="273" spans="1:12" x14ac:dyDescent="0.3">
      <c r="A273">
        <f>IF(J273="0",0,IF(COUNTIF($J$2:J273,J273)=1,1,0))</f>
        <v>0</v>
      </c>
      <c r="B273" s="12" t="e">
        <f>MID(MAIN!A278,K273,2)</f>
        <v>#VALUE!</v>
      </c>
      <c r="C273" s="12" t="e">
        <f t="shared" si="16"/>
        <v>#VALUE!</v>
      </c>
      <c r="D273" s="12" t="e">
        <f>MID(MAIN!A278,K273+2,2)</f>
        <v>#VALUE!</v>
      </c>
      <c r="E273" s="12" t="e">
        <f>MID(MAIN!A278,K273+4,2)</f>
        <v>#VALUE!</v>
      </c>
      <c r="F273" s="2" t="e">
        <f t="shared" si="17"/>
        <v>#VALUE!</v>
      </c>
      <c r="G273" s="13" t="e">
        <f t="shared" si="18"/>
        <v>#VALUE!</v>
      </c>
      <c r="J273" t="str">
        <f>MAIN!A278&amp;"B"</f>
        <v>B</v>
      </c>
      <c r="K273" s="12" t="e">
        <f t="shared" si="19"/>
        <v>#VALUE!</v>
      </c>
      <c r="L273" t="str">
        <f>MAIN!C278</f>
        <v/>
      </c>
    </row>
    <row r="274" spans="1:12" x14ac:dyDescent="0.3">
      <c r="A274">
        <f>IF(J274="0",0,IF(COUNTIF($J$2:J274,J274)=1,1,0))</f>
        <v>0</v>
      </c>
      <c r="B274" s="12" t="e">
        <f>MID(MAIN!A279,K274,2)</f>
        <v>#VALUE!</v>
      </c>
      <c r="C274" s="12" t="e">
        <f t="shared" si="16"/>
        <v>#VALUE!</v>
      </c>
      <c r="D274" s="12" t="e">
        <f>MID(MAIN!A279,K274+2,2)</f>
        <v>#VALUE!</v>
      </c>
      <c r="E274" s="12" t="e">
        <f>MID(MAIN!A279,K274+4,2)</f>
        <v>#VALUE!</v>
      </c>
      <c r="F274" s="2" t="e">
        <f t="shared" si="17"/>
        <v>#VALUE!</v>
      </c>
      <c r="G274" s="13" t="e">
        <f t="shared" si="18"/>
        <v>#VALUE!</v>
      </c>
      <c r="J274" t="str">
        <f>MAIN!A279&amp;"B"</f>
        <v>B</v>
      </c>
      <c r="K274" s="12" t="e">
        <f t="shared" si="19"/>
        <v>#VALUE!</v>
      </c>
      <c r="L274" t="str">
        <f>MAIN!C279</f>
        <v/>
      </c>
    </row>
    <row r="275" spans="1:12" x14ac:dyDescent="0.3">
      <c r="A275">
        <f>IF(J275="0",0,IF(COUNTIF($J$2:J275,J275)=1,1,0))</f>
        <v>0</v>
      </c>
      <c r="B275" s="12" t="e">
        <f>MID(MAIN!A280,K275,2)</f>
        <v>#VALUE!</v>
      </c>
      <c r="C275" s="12" t="e">
        <f t="shared" si="16"/>
        <v>#VALUE!</v>
      </c>
      <c r="D275" s="12" t="e">
        <f>MID(MAIN!A280,K275+2,2)</f>
        <v>#VALUE!</v>
      </c>
      <c r="E275" s="12" t="e">
        <f>MID(MAIN!A280,K275+4,2)</f>
        <v>#VALUE!</v>
      </c>
      <c r="F275" s="2" t="e">
        <f t="shared" si="17"/>
        <v>#VALUE!</v>
      </c>
      <c r="G275" s="13" t="e">
        <f t="shared" si="18"/>
        <v>#VALUE!</v>
      </c>
      <c r="J275" t="str">
        <f>MAIN!A280&amp;"B"</f>
        <v>B</v>
      </c>
      <c r="K275" s="12" t="e">
        <f t="shared" si="19"/>
        <v>#VALUE!</v>
      </c>
      <c r="L275" t="str">
        <f>MAIN!C280</f>
        <v/>
      </c>
    </row>
    <row r="276" spans="1:12" x14ac:dyDescent="0.3">
      <c r="A276">
        <f>IF(J276="0",0,IF(COUNTIF($J$2:J276,J276)=1,1,0))</f>
        <v>0</v>
      </c>
      <c r="B276" s="12" t="e">
        <f>MID(MAIN!A281,K276,2)</f>
        <v>#VALUE!</v>
      </c>
      <c r="C276" s="12" t="e">
        <f t="shared" si="16"/>
        <v>#VALUE!</v>
      </c>
      <c r="D276" s="12" t="e">
        <f>MID(MAIN!A281,K276+2,2)</f>
        <v>#VALUE!</v>
      </c>
      <c r="E276" s="12" t="e">
        <f>MID(MAIN!A281,K276+4,2)</f>
        <v>#VALUE!</v>
      </c>
      <c r="F276" s="2" t="e">
        <f t="shared" si="17"/>
        <v>#VALUE!</v>
      </c>
      <c r="G276" s="13" t="e">
        <f t="shared" si="18"/>
        <v>#VALUE!</v>
      </c>
      <c r="J276" t="str">
        <f>MAIN!A281&amp;"B"</f>
        <v>B</v>
      </c>
      <c r="K276" s="12" t="e">
        <f t="shared" si="19"/>
        <v>#VALUE!</v>
      </c>
      <c r="L276" t="str">
        <f>MAIN!C281</f>
        <v/>
      </c>
    </row>
    <row r="277" spans="1:12" x14ac:dyDescent="0.3">
      <c r="A277">
        <f>IF(J277="0",0,IF(COUNTIF($J$2:J277,J277)=1,1,0))</f>
        <v>0</v>
      </c>
      <c r="B277" s="12" t="e">
        <f>MID(MAIN!A282,K277,2)</f>
        <v>#VALUE!</v>
      </c>
      <c r="C277" s="12" t="e">
        <f t="shared" si="16"/>
        <v>#VALUE!</v>
      </c>
      <c r="D277" s="12" t="e">
        <f>MID(MAIN!A282,K277+2,2)</f>
        <v>#VALUE!</v>
      </c>
      <c r="E277" s="12" t="e">
        <f>MID(MAIN!A282,K277+4,2)</f>
        <v>#VALUE!</v>
      </c>
      <c r="F277" s="2" t="e">
        <f t="shared" si="17"/>
        <v>#VALUE!</v>
      </c>
      <c r="G277" s="13" t="e">
        <f t="shared" si="18"/>
        <v>#VALUE!</v>
      </c>
      <c r="J277" t="str">
        <f>MAIN!A282&amp;"B"</f>
        <v>B</v>
      </c>
      <c r="K277" s="12" t="e">
        <f t="shared" si="19"/>
        <v>#VALUE!</v>
      </c>
      <c r="L277" t="str">
        <f>MAIN!C282</f>
        <v/>
      </c>
    </row>
    <row r="278" spans="1:12" x14ac:dyDescent="0.3">
      <c r="A278">
        <f>IF(J278="0",0,IF(COUNTIF($J$2:J278,J278)=1,1,0))</f>
        <v>0</v>
      </c>
      <c r="B278" s="12" t="e">
        <f>MID(MAIN!A283,K278,2)</f>
        <v>#VALUE!</v>
      </c>
      <c r="C278" s="12" t="e">
        <f t="shared" si="16"/>
        <v>#VALUE!</v>
      </c>
      <c r="D278" s="12" t="e">
        <f>MID(MAIN!A283,K278+2,2)</f>
        <v>#VALUE!</v>
      </c>
      <c r="E278" s="12" t="e">
        <f>MID(MAIN!A283,K278+4,2)</f>
        <v>#VALUE!</v>
      </c>
      <c r="F278" s="2" t="e">
        <f t="shared" si="17"/>
        <v>#VALUE!</v>
      </c>
      <c r="G278" s="13" t="e">
        <f t="shared" si="18"/>
        <v>#VALUE!</v>
      </c>
      <c r="J278" t="str">
        <f>MAIN!A283&amp;"B"</f>
        <v>B</v>
      </c>
      <c r="K278" s="12" t="e">
        <f t="shared" si="19"/>
        <v>#VALUE!</v>
      </c>
      <c r="L278" t="str">
        <f>MAIN!C283</f>
        <v/>
      </c>
    </row>
    <row r="279" spans="1:12" x14ac:dyDescent="0.3">
      <c r="A279">
        <f>IF(J279="0",0,IF(COUNTIF($J$2:J279,J279)=1,1,0))</f>
        <v>0</v>
      </c>
      <c r="B279" s="12" t="e">
        <f>MID(MAIN!A284,K279,2)</f>
        <v>#VALUE!</v>
      </c>
      <c r="C279" s="12" t="e">
        <f t="shared" si="16"/>
        <v>#VALUE!</v>
      </c>
      <c r="D279" s="12" t="e">
        <f>MID(MAIN!A284,K279+2,2)</f>
        <v>#VALUE!</v>
      </c>
      <c r="E279" s="12" t="e">
        <f>MID(MAIN!A284,K279+4,2)</f>
        <v>#VALUE!</v>
      </c>
      <c r="F279" s="2" t="e">
        <f t="shared" si="17"/>
        <v>#VALUE!</v>
      </c>
      <c r="G279" s="13" t="e">
        <f t="shared" si="18"/>
        <v>#VALUE!</v>
      </c>
      <c r="J279" t="str">
        <f>MAIN!A284&amp;"B"</f>
        <v>B</v>
      </c>
      <c r="K279" s="12" t="e">
        <f t="shared" si="19"/>
        <v>#VALUE!</v>
      </c>
      <c r="L279" t="str">
        <f>MAIN!C284</f>
        <v/>
      </c>
    </row>
    <row r="280" spans="1:12" x14ac:dyDescent="0.3">
      <c r="A280">
        <f>IF(J280="0",0,IF(COUNTIF($J$2:J280,J280)=1,1,0))</f>
        <v>0</v>
      </c>
      <c r="B280" s="12" t="e">
        <f>MID(MAIN!A285,K280,2)</f>
        <v>#VALUE!</v>
      </c>
      <c r="C280" s="12" t="e">
        <f t="shared" si="16"/>
        <v>#VALUE!</v>
      </c>
      <c r="D280" s="12" t="e">
        <f>MID(MAIN!A285,K280+2,2)</f>
        <v>#VALUE!</v>
      </c>
      <c r="E280" s="12" t="e">
        <f>MID(MAIN!A285,K280+4,2)</f>
        <v>#VALUE!</v>
      </c>
      <c r="F280" s="2" t="e">
        <f t="shared" si="17"/>
        <v>#VALUE!</v>
      </c>
      <c r="G280" s="13" t="e">
        <f t="shared" si="18"/>
        <v>#VALUE!</v>
      </c>
      <c r="J280" t="str">
        <f>MAIN!A285&amp;"B"</f>
        <v>B</v>
      </c>
      <c r="K280" s="12" t="e">
        <f t="shared" si="19"/>
        <v>#VALUE!</v>
      </c>
      <c r="L280" t="str">
        <f>MAIN!C285</f>
        <v/>
      </c>
    </row>
    <row r="281" spans="1:12" x14ac:dyDescent="0.3">
      <c r="A281">
        <f>IF(J281="0",0,IF(COUNTIF($J$2:J281,J281)=1,1,0))</f>
        <v>0</v>
      </c>
      <c r="B281" s="12" t="e">
        <f>MID(MAIN!A286,K281,2)</f>
        <v>#VALUE!</v>
      </c>
      <c r="C281" s="12" t="e">
        <f t="shared" si="16"/>
        <v>#VALUE!</v>
      </c>
      <c r="D281" s="12" t="e">
        <f>MID(MAIN!A286,K281+2,2)</f>
        <v>#VALUE!</v>
      </c>
      <c r="E281" s="12" t="e">
        <f>MID(MAIN!A286,K281+4,2)</f>
        <v>#VALUE!</v>
      </c>
      <c r="F281" s="2" t="e">
        <f t="shared" si="17"/>
        <v>#VALUE!</v>
      </c>
      <c r="G281" s="13" t="e">
        <f t="shared" si="18"/>
        <v>#VALUE!</v>
      </c>
      <c r="J281" t="str">
        <f>MAIN!A286&amp;"B"</f>
        <v>B</v>
      </c>
      <c r="K281" s="12" t="e">
        <f t="shared" si="19"/>
        <v>#VALUE!</v>
      </c>
      <c r="L281" t="str">
        <f>MAIN!C286</f>
        <v/>
      </c>
    </row>
    <row r="282" spans="1:12" x14ac:dyDescent="0.3">
      <c r="A282">
        <f>IF(J282="0",0,IF(COUNTIF($J$2:J282,J282)=1,1,0))</f>
        <v>0</v>
      </c>
      <c r="B282" s="12" t="e">
        <f>MID(MAIN!A287,K282,2)</f>
        <v>#VALUE!</v>
      </c>
      <c r="C282" s="12" t="e">
        <f t="shared" si="16"/>
        <v>#VALUE!</v>
      </c>
      <c r="D282" s="12" t="e">
        <f>MID(MAIN!A287,K282+2,2)</f>
        <v>#VALUE!</v>
      </c>
      <c r="E282" s="12" t="e">
        <f>MID(MAIN!A287,K282+4,2)</f>
        <v>#VALUE!</v>
      </c>
      <c r="F282" s="2" t="e">
        <f t="shared" si="17"/>
        <v>#VALUE!</v>
      </c>
      <c r="G282" s="13" t="e">
        <f t="shared" si="18"/>
        <v>#VALUE!</v>
      </c>
      <c r="J282" t="str">
        <f>MAIN!A287&amp;"B"</f>
        <v>B</v>
      </c>
      <c r="K282" s="12" t="e">
        <f t="shared" si="19"/>
        <v>#VALUE!</v>
      </c>
      <c r="L282" t="str">
        <f>MAIN!C287</f>
        <v/>
      </c>
    </row>
    <row r="283" spans="1:12" x14ac:dyDescent="0.3">
      <c r="A283">
        <f>IF(J283="0",0,IF(COUNTIF($J$2:J283,J283)=1,1,0))</f>
        <v>0</v>
      </c>
      <c r="B283" s="12" t="e">
        <f>MID(MAIN!A288,K283,2)</f>
        <v>#VALUE!</v>
      </c>
      <c r="C283" s="12" t="e">
        <f t="shared" si="16"/>
        <v>#VALUE!</v>
      </c>
      <c r="D283" s="12" t="e">
        <f>MID(MAIN!A288,K283+2,2)</f>
        <v>#VALUE!</v>
      </c>
      <c r="E283" s="12" t="e">
        <f>MID(MAIN!A288,K283+4,2)</f>
        <v>#VALUE!</v>
      </c>
      <c r="F283" s="2" t="e">
        <f t="shared" si="17"/>
        <v>#VALUE!</v>
      </c>
      <c r="G283" s="13" t="e">
        <f t="shared" si="18"/>
        <v>#VALUE!</v>
      </c>
      <c r="J283" t="str">
        <f>MAIN!A288&amp;"B"</f>
        <v>B</v>
      </c>
      <c r="K283" s="12" t="e">
        <f t="shared" si="19"/>
        <v>#VALUE!</v>
      </c>
      <c r="L283" t="str">
        <f>MAIN!C288</f>
        <v/>
      </c>
    </row>
    <row r="284" spans="1:12" x14ac:dyDescent="0.3">
      <c r="A284">
        <f>IF(J284="0",0,IF(COUNTIF($J$2:J284,J284)=1,1,0))</f>
        <v>0</v>
      </c>
      <c r="B284" s="12" t="e">
        <f>MID(MAIN!A289,K284,2)</f>
        <v>#VALUE!</v>
      </c>
      <c r="C284" s="12" t="e">
        <f t="shared" si="16"/>
        <v>#VALUE!</v>
      </c>
      <c r="D284" s="12" t="e">
        <f>MID(MAIN!A289,K284+2,2)</f>
        <v>#VALUE!</v>
      </c>
      <c r="E284" s="12" t="e">
        <f>MID(MAIN!A289,K284+4,2)</f>
        <v>#VALUE!</v>
      </c>
      <c r="F284" s="2" t="e">
        <f t="shared" si="17"/>
        <v>#VALUE!</v>
      </c>
      <c r="G284" s="13" t="e">
        <f t="shared" si="18"/>
        <v>#VALUE!</v>
      </c>
      <c r="J284" t="str">
        <f>MAIN!A289&amp;"B"</f>
        <v>B</v>
      </c>
      <c r="K284" s="12" t="e">
        <f t="shared" si="19"/>
        <v>#VALUE!</v>
      </c>
      <c r="L284" t="str">
        <f>MAIN!C289</f>
        <v/>
      </c>
    </row>
    <row r="285" spans="1:12" x14ac:dyDescent="0.3">
      <c r="A285">
        <f>IF(J285="0",0,IF(COUNTIF($J$2:J285,J285)=1,1,0))</f>
        <v>0</v>
      </c>
      <c r="B285" s="12" t="e">
        <f>MID(MAIN!A290,K285,2)</f>
        <v>#VALUE!</v>
      </c>
      <c r="C285" s="12" t="e">
        <f t="shared" si="16"/>
        <v>#VALUE!</v>
      </c>
      <c r="D285" s="12" t="e">
        <f>MID(MAIN!A290,K285+2,2)</f>
        <v>#VALUE!</v>
      </c>
      <c r="E285" s="12" t="e">
        <f>MID(MAIN!A290,K285+4,2)</f>
        <v>#VALUE!</v>
      </c>
      <c r="F285" s="2" t="e">
        <f t="shared" si="17"/>
        <v>#VALUE!</v>
      </c>
      <c r="G285" s="13" t="e">
        <f t="shared" si="18"/>
        <v>#VALUE!</v>
      </c>
      <c r="J285" t="str">
        <f>MAIN!A290&amp;"B"</f>
        <v>B</v>
      </c>
      <c r="K285" s="12" t="e">
        <f t="shared" si="19"/>
        <v>#VALUE!</v>
      </c>
      <c r="L285" t="str">
        <f>MAIN!C290</f>
        <v/>
      </c>
    </row>
    <row r="286" spans="1:12" x14ac:dyDescent="0.3">
      <c r="A286">
        <f>IF(J286="0",0,IF(COUNTIF($J$2:J286,J286)=1,1,0))</f>
        <v>0</v>
      </c>
      <c r="B286" s="12" t="e">
        <f>MID(MAIN!A291,K286,2)</f>
        <v>#VALUE!</v>
      </c>
      <c r="C286" s="12" t="e">
        <f t="shared" si="16"/>
        <v>#VALUE!</v>
      </c>
      <c r="D286" s="12" t="e">
        <f>MID(MAIN!A291,K286+2,2)</f>
        <v>#VALUE!</v>
      </c>
      <c r="E286" s="12" t="e">
        <f>MID(MAIN!A291,K286+4,2)</f>
        <v>#VALUE!</v>
      </c>
      <c r="F286" s="2" t="e">
        <f t="shared" si="17"/>
        <v>#VALUE!</v>
      </c>
      <c r="G286" s="13" t="e">
        <f t="shared" si="18"/>
        <v>#VALUE!</v>
      </c>
      <c r="J286" t="str">
        <f>MAIN!A291&amp;"B"</f>
        <v>B</v>
      </c>
      <c r="K286" s="12" t="e">
        <f t="shared" si="19"/>
        <v>#VALUE!</v>
      </c>
      <c r="L286" t="str">
        <f>MAIN!C291</f>
        <v/>
      </c>
    </row>
    <row r="287" spans="1:12" x14ac:dyDescent="0.3">
      <c r="A287">
        <f>IF(J287="0",0,IF(COUNTIF($J$2:J287,J287)=1,1,0))</f>
        <v>0</v>
      </c>
      <c r="B287" s="12" t="e">
        <f>MID(MAIN!A292,K287,2)</f>
        <v>#VALUE!</v>
      </c>
      <c r="C287" s="12" t="e">
        <f t="shared" si="16"/>
        <v>#VALUE!</v>
      </c>
      <c r="D287" s="12" t="e">
        <f>MID(MAIN!A292,K287+2,2)</f>
        <v>#VALUE!</v>
      </c>
      <c r="E287" s="12" t="e">
        <f>MID(MAIN!A292,K287+4,2)</f>
        <v>#VALUE!</v>
      </c>
      <c r="F287" s="2" t="e">
        <f t="shared" si="17"/>
        <v>#VALUE!</v>
      </c>
      <c r="G287" s="13" t="e">
        <f t="shared" si="18"/>
        <v>#VALUE!</v>
      </c>
      <c r="J287" t="str">
        <f>MAIN!A292&amp;"B"</f>
        <v>B</v>
      </c>
      <c r="K287" s="12" t="e">
        <f t="shared" si="19"/>
        <v>#VALUE!</v>
      </c>
      <c r="L287" t="str">
        <f>MAIN!C292</f>
        <v/>
      </c>
    </row>
    <row r="288" spans="1:12" x14ac:dyDescent="0.3">
      <c r="A288">
        <f>IF(J288="0",0,IF(COUNTIF($J$2:J288,J288)=1,1,0))</f>
        <v>0</v>
      </c>
      <c r="B288" s="12" t="e">
        <f>MID(MAIN!A293,K288,2)</f>
        <v>#VALUE!</v>
      </c>
      <c r="C288" s="12" t="e">
        <f t="shared" si="16"/>
        <v>#VALUE!</v>
      </c>
      <c r="D288" s="12" t="e">
        <f>MID(MAIN!A293,K288+2,2)</f>
        <v>#VALUE!</v>
      </c>
      <c r="E288" s="12" t="e">
        <f>MID(MAIN!A293,K288+4,2)</f>
        <v>#VALUE!</v>
      </c>
      <c r="F288" s="2" t="e">
        <f t="shared" si="17"/>
        <v>#VALUE!</v>
      </c>
      <c r="G288" s="13" t="e">
        <f t="shared" si="18"/>
        <v>#VALUE!</v>
      </c>
      <c r="J288" t="str">
        <f>MAIN!A293&amp;"B"</f>
        <v>B</v>
      </c>
      <c r="K288" s="12" t="e">
        <f t="shared" si="19"/>
        <v>#VALUE!</v>
      </c>
      <c r="L288" t="str">
        <f>MAIN!C293</f>
        <v/>
      </c>
    </row>
    <row r="289" spans="1:12" x14ac:dyDescent="0.3">
      <c r="A289">
        <f>IF(J289="0",0,IF(COUNTIF($J$2:J289,J289)=1,1,0))</f>
        <v>0</v>
      </c>
      <c r="B289" s="12" t="e">
        <f>MID(MAIN!A294,K289,2)</f>
        <v>#VALUE!</v>
      </c>
      <c r="C289" s="12" t="e">
        <f t="shared" si="16"/>
        <v>#VALUE!</v>
      </c>
      <c r="D289" s="12" t="e">
        <f>MID(MAIN!A294,K289+2,2)</f>
        <v>#VALUE!</v>
      </c>
      <c r="E289" s="12" t="e">
        <f>MID(MAIN!A294,K289+4,2)</f>
        <v>#VALUE!</v>
      </c>
      <c r="F289" s="2" t="e">
        <f t="shared" si="17"/>
        <v>#VALUE!</v>
      </c>
      <c r="G289" s="13" t="e">
        <f t="shared" si="18"/>
        <v>#VALUE!</v>
      </c>
      <c r="J289" t="str">
        <f>MAIN!A294&amp;"B"</f>
        <v>B</v>
      </c>
      <c r="K289" s="12" t="e">
        <f t="shared" si="19"/>
        <v>#VALUE!</v>
      </c>
      <c r="L289" t="str">
        <f>MAIN!C294</f>
        <v/>
      </c>
    </row>
    <row r="290" spans="1:12" x14ac:dyDescent="0.3">
      <c r="A290">
        <f>IF(J290="0",0,IF(COUNTIF($J$2:J290,J290)=1,1,0))</f>
        <v>0</v>
      </c>
      <c r="B290" s="12" t="e">
        <f>MID(MAIN!A295,K290,2)</f>
        <v>#VALUE!</v>
      </c>
      <c r="C290" s="12" t="e">
        <f t="shared" si="16"/>
        <v>#VALUE!</v>
      </c>
      <c r="D290" s="12" t="e">
        <f>MID(MAIN!A295,K290+2,2)</f>
        <v>#VALUE!</v>
      </c>
      <c r="E290" s="12" t="e">
        <f>MID(MAIN!A295,K290+4,2)</f>
        <v>#VALUE!</v>
      </c>
      <c r="F290" s="2" t="e">
        <f t="shared" si="17"/>
        <v>#VALUE!</v>
      </c>
      <c r="G290" s="13" t="e">
        <f t="shared" si="18"/>
        <v>#VALUE!</v>
      </c>
      <c r="J290" t="str">
        <f>MAIN!A295&amp;"B"</f>
        <v>B</v>
      </c>
      <c r="K290" s="12" t="e">
        <f t="shared" si="19"/>
        <v>#VALUE!</v>
      </c>
      <c r="L290" t="str">
        <f>MAIN!C295</f>
        <v/>
      </c>
    </row>
    <row r="291" spans="1:12" x14ac:dyDescent="0.3">
      <c r="A291">
        <f>IF(J291="0",0,IF(COUNTIF($J$2:J291,J291)=1,1,0))</f>
        <v>0</v>
      </c>
      <c r="B291" s="12" t="e">
        <f>MID(MAIN!A296,K291,2)</f>
        <v>#VALUE!</v>
      </c>
      <c r="C291" s="12" t="e">
        <f t="shared" si="16"/>
        <v>#VALUE!</v>
      </c>
      <c r="D291" s="12" t="e">
        <f>MID(MAIN!A296,K291+2,2)</f>
        <v>#VALUE!</v>
      </c>
      <c r="E291" s="12" t="e">
        <f>MID(MAIN!A296,K291+4,2)</f>
        <v>#VALUE!</v>
      </c>
      <c r="F291" s="2" t="e">
        <f t="shared" si="17"/>
        <v>#VALUE!</v>
      </c>
      <c r="G291" s="13" t="e">
        <f t="shared" si="18"/>
        <v>#VALUE!</v>
      </c>
      <c r="J291" t="str">
        <f>MAIN!A296&amp;"B"</f>
        <v>B</v>
      </c>
      <c r="K291" s="12" t="e">
        <f t="shared" si="19"/>
        <v>#VALUE!</v>
      </c>
      <c r="L291" t="str">
        <f>MAIN!C296</f>
        <v/>
      </c>
    </row>
    <row r="292" spans="1:12" x14ac:dyDescent="0.3">
      <c r="A292">
        <f>IF(J292="0",0,IF(COUNTIF($J$2:J292,J292)=1,1,0))</f>
        <v>0</v>
      </c>
      <c r="B292" s="12" t="e">
        <f>MID(MAIN!A297,K292,2)</f>
        <v>#VALUE!</v>
      </c>
      <c r="C292" s="12" t="e">
        <f t="shared" si="16"/>
        <v>#VALUE!</v>
      </c>
      <c r="D292" s="12" t="e">
        <f>MID(MAIN!A297,K292+2,2)</f>
        <v>#VALUE!</v>
      </c>
      <c r="E292" s="12" t="e">
        <f>MID(MAIN!A297,K292+4,2)</f>
        <v>#VALUE!</v>
      </c>
      <c r="F292" s="2" t="e">
        <f t="shared" si="17"/>
        <v>#VALUE!</v>
      </c>
      <c r="G292" s="13" t="e">
        <f t="shared" si="18"/>
        <v>#VALUE!</v>
      </c>
      <c r="J292" t="str">
        <f>MAIN!A297&amp;"B"</f>
        <v>B</v>
      </c>
      <c r="K292" s="12" t="e">
        <f t="shared" si="19"/>
        <v>#VALUE!</v>
      </c>
      <c r="L292" t="str">
        <f>MAIN!C297</f>
        <v/>
      </c>
    </row>
    <row r="293" spans="1:12" x14ac:dyDescent="0.3">
      <c r="A293">
        <f>IF(J293="0",0,IF(COUNTIF($J$2:J293,J293)=1,1,0))</f>
        <v>0</v>
      </c>
      <c r="B293" s="12" t="e">
        <f>MID(MAIN!A298,K293,2)</f>
        <v>#VALUE!</v>
      </c>
      <c r="C293" s="12" t="e">
        <f t="shared" si="16"/>
        <v>#VALUE!</v>
      </c>
      <c r="D293" s="12" t="e">
        <f>MID(MAIN!A298,K293+2,2)</f>
        <v>#VALUE!</v>
      </c>
      <c r="E293" s="12" t="e">
        <f>MID(MAIN!A298,K293+4,2)</f>
        <v>#VALUE!</v>
      </c>
      <c r="F293" s="2" t="e">
        <f t="shared" si="17"/>
        <v>#VALUE!</v>
      </c>
      <c r="G293" s="13" t="e">
        <f t="shared" si="18"/>
        <v>#VALUE!</v>
      </c>
      <c r="J293" t="str">
        <f>MAIN!A298&amp;"B"</f>
        <v>B</v>
      </c>
      <c r="K293" s="12" t="e">
        <f t="shared" si="19"/>
        <v>#VALUE!</v>
      </c>
      <c r="L293" t="str">
        <f>MAIN!C298</f>
        <v/>
      </c>
    </row>
    <row r="294" spans="1:12" x14ac:dyDescent="0.3">
      <c r="A294">
        <f>IF(J294="0",0,IF(COUNTIF($J$2:J294,J294)=1,1,0))</f>
        <v>0</v>
      </c>
      <c r="B294" s="12" t="e">
        <f>MID(MAIN!A299,K294,2)</f>
        <v>#VALUE!</v>
      </c>
      <c r="C294" s="12" t="e">
        <f t="shared" si="16"/>
        <v>#VALUE!</v>
      </c>
      <c r="D294" s="12" t="e">
        <f>MID(MAIN!A299,K294+2,2)</f>
        <v>#VALUE!</v>
      </c>
      <c r="E294" s="12" t="e">
        <f>MID(MAIN!A299,K294+4,2)</f>
        <v>#VALUE!</v>
      </c>
      <c r="F294" s="2" t="e">
        <f t="shared" si="17"/>
        <v>#VALUE!</v>
      </c>
      <c r="G294" s="13" t="e">
        <f t="shared" si="18"/>
        <v>#VALUE!</v>
      </c>
      <c r="J294" t="str">
        <f>MAIN!A299&amp;"B"</f>
        <v>B</v>
      </c>
      <c r="K294" s="12" t="e">
        <f t="shared" si="19"/>
        <v>#VALUE!</v>
      </c>
      <c r="L294" t="str">
        <f>MAIN!C299</f>
        <v/>
      </c>
    </row>
    <row r="295" spans="1:12" x14ac:dyDescent="0.3">
      <c r="A295">
        <f>IF(J295="0",0,IF(COUNTIF($J$2:J295,J295)=1,1,0))</f>
        <v>0</v>
      </c>
      <c r="B295" s="12" t="e">
        <f>MID(MAIN!A300,K295,2)</f>
        <v>#VALUE!</v>
      </c>
      <c r="C295" s="12" t="e">
        <f t="shared" si="16"/>
        <v>#VALUE!</v>
      </c>
      <c r="D295" s="12" t="e">
        <f>MID(MAIN!A300,K295+2,2)</f>
        <v>#VALUE!</v>
      </c>
      <c r="E295" s="12" t="e">
        <f>MID(MAIN!A300,K295+4,2)</f>
        <v>#VALUE!</v>
      </c>
      <c r="F295" s="2" t="e">
        <f t="shared" si="17"/>
        <v>#VALUE!</v>
      </c>
      <c r="G295" s="13" t="e">
        <f t="shared" si="18"/>
        <v>#VALUE!</v>
      </c>
      <c r="J295" t="str">
        <f>MAIN!A300&amp;"B"</f>
        <v>B</v>
      </c>
      <c r="K295" s="12" t="e">
        <f t="shared" si="19"/>
        <v>#VALUE!</v>
      </c>
      <c r="L295" t="str">
        <f>MAIN!C300</f>
        <v/>
      </c>
    </row>
    <row r="296" spans="1:12" x14ac:dyDescent="0.3">
      <c r="A296">
        <f>IF(J296="0",0,IF(COUNTIF($J$2:J296,J296)=1,1,0))</f>
        <v>0</v>
      </c>
      <c r="B296" s="12" t="e">
        <f>MID(MAIN!A301,K296,2)</f>
        <v>#VALUE!</v>
      </c>
      <c r="C296" s="12" t="e">
        <f t="shared" si="16"/>
        <v>#VALUE!</v>
      </c>
      <c r="D296" s="12" t="e">
        <f>MID(MAIN!A301,K296+2,2)</f>
        <v>#VALUE!</v>
      </c>
      <c r="E296" s="12" t="e">
        <f>MID(MAIN!A301,K296+4,2)</f>
        <v>#VALUE!</v>
      </c>
      <c r="F296" s="2" t="e">
        <f t="shared" si="17"/>
        <v>#VALUE!</v>
      </c>
      <c r="G296" s="13" t="e">
        <f t="shared" si="18"/>
        <v>#VALUE!</v>
      </c>
      <c r="J296" t="str">
        <f>MAIN!A301&amp;"B"</f>
        <v>B</v>
      </c>
      <c r="K296" s="12" t="e">
        <f t="shared" si="19"/>
        <v>#VALUE!</v>
      </c>
      <c r="L296" t="str">
        <f>MAIN!C301</f>
        <v/>
      </c>
    </row>
    <row r="297" spans="1:12" x14ac:dyDescent="0.3">
      <c r="A297">
        <f>IF(J297="0",0,IF(COUNTIF($J$2:J297,J297)=1,1,0))</f>
        <v>0</v>
      </c>
      <c r="B297" s="12" t="e">
        <f>MID(MAIN!A302,K297,2)</f>
        <v>#VALUE!</v>
      </c>
      <c r="C297" s="12" t="e">
        <f t="shared" si="16"/>
        <v>#VALUE!</v>
      </c>
      <c r="D297" s="12" t="e">
        <f>MID(MAIN!A302,K297+2,2)</f>
        <v>#VALUE!</v>
      </c>
      <c r="E297" s="12" t="e">
        <f>MID(MAIN!A302,K297+4,2)</f>
        <v>#VALUE!</v>
      </c>
      <c r="F297" s="2" t="e">
        <f t="shared" si="17"/>
        <v>#VALUE!</v>
      </c>
      <c r="G297" s="13" t="e">
        <f t="shared" si="18"/>
        <v>#VALUE!</v>
      </c>
      <c r="J297" t="str">
        <f>MAIN!A302&amp;"B"</f>
        <v>B</v>
      </c>
      <c r="K297" s="12" t="e">
        <f t="shared" si="19"/>
        <v>#VALUE!</v>
      </c>
      <c r="L297" t="str">
        <f>MAIN!C302</f>
        <v/>
      </c>
    </row>
    <row r="298" spans="1:12" x14ac:dyDescent="0.3">
      <c r="A298">
        <f>IF(J298="0",0,IF(COUNTIF($J$2:J298,J298)=1,1,0))</f>
        <v>0</v>
      </c>
      <c r="B298" s="12" t="e">
        <f>MID(MAIN!A303,K298,2)</f>
        <v>#VALUE!</v>
      </c>
      <c r="C298" s="12" t="e">
        <f t="shared" si="16"/>
        <v>#VALUE!</v>
      </c>
      <c r="D298" s="12" t="e">
        <f>MID(MAIN!A303,K298+2,2)</f>
        <v>#VALUE!</v>
      </c>
      <c r="E298" s="12" t="e">
        <f>MID(MAIN!A303,K298+4,2)</f>
        <v>#VALUE!</v>
      </c>
      <c r="F298" s="2" t="e">
        <f t="shared" si="17"/>
        <v>#VALUE!</v>
      </c>
      <c r="G298" s="13" t="e">
        <f t="shared" si="18"/>
        <v>#VALUE!</v>
      </c>
      <c r="J298" t="str">
        <f>MAIN!A303&amp;"B"</f>
        <v>B</v>
      </c>
      <c r="K298" s="12" t="e">
        <f t="shared" si="19"/>
        <v>#VALUE!</v>
      </c>
      <c r="L298" t="str">
        <f>MAIN!C303</f>
        <v/>
      </c>
    </row>
    <row r="299" spans="1:12" x14ac:dyDescent="0.3">
      <c r="A299">
        <f>IF(J299="0",0,IF(COUNTIF($J$2:J299,J299)=1,1,0))</f>
        <v>0</v>
      </c>
      <c r="B299" s="12" t="e">
        <f>MID(MAIN!A304,K299,2)</f>
        <v>#VALUE!</v>
      </c>
      <c r="C299" s="12" t="e">
        <f t="shared" si="16"/>
        <v>#VALUE!</v>
      </c>
      <c r="D299" s="12" t="e">
        <f>MID(MAIN!A304,K299+2,2)</f>
        <v>#VALUE!</v>
      </c>
      <c r="E299" s="12" t="e">
        <f>MID(MAIN!A304,K299+4,2)</f>
        <v>#VALUE!</v>
      </c>
      <c r="F299" s="2" t="e">
        <f t="shared" si="17"/>
        <v>#VALUE!</v>
      </c>
      <c r="G299" s="13" t="e">
        <f t="shared" si="18"/>
        <v>#VALUE!</v>
      </c>
      <c r="J299" t="str">
        <f>MAIN!A304&amp;"B"</f>
        <v>B</v>
      </c>
      <c r="K299" s="12" t="e">
        <f t="shared" si="19"/>
        <v>#VALUE!</v>
      </c>
      <c r="L299" t="str">
        <f>MAIN!C304</f>
        <v/>
      </c>
    </row>
    <row r="300" spans="1:12" x14ac:dyDescent="0.3">
      <c r="A300">
        <f>IF(J300="0",0,IF(COUNTIF($J$2:J300,J300)=1,1,0))</f>
        <v>0</v>
      </c>
      <c r="B300" s="12" t="e">
        <f>MID(MAIN!A305,K300,2)</f>
        <v>#VALUE!</v>
      </c>
      <c r="C300" s="12" t="e">
        <f t="shared" si="16"/>
        <v>#VALUE!</v>
      </c>
      <c r="D300" s="12" t="e">
        <f>MID(MAIN!A305,K300+2,2)</f>
        <v>#VALUE!</v>
      </c>
      <c r="E300" s="12" t="e">
        <f>MID(MAIN!A305,K300+4,2)</f>
        <v>#VALUE!</v>
      </c>
      <c r="F300" s="2" t="e">
        <f t="shared" si="17"/>
        <v>#VALUE!</v>
      </c>
      <c r="G300" s="13" t="e">
        <f t="shared" si="18"/>
        <v>#VALUE!</v>
      </c>
      <c r="J300" t="str">
        <f>MAIN!A305&amp;"B"</f>
        <v>B</v>
      </c>
      <c r="K300" s="12" t="e">
        <f t="shared" si="19"/>
        <v>#VALUE!</v>
      </c>
      <c r="L300" t="str">
        <f>MAIN!C305</f>
        <v/>
      </c>
    </row>
    <row r="301" spans="1:12" x14ac:dyDescent="0.3">
      <c r="A301">
        <f>IF(J301="0",0,IF(COUNTIF($J$2:J301,J301)=1,1,0))</f>
        <v>0</v>
      </c>
      <c r="B301" s="12" t="e">
        <f>MID(MAIN!A306,K301,2)</f>
        <v>#VALUE!</v>
      </c>
      <c r="C301" s="12" t="e">
        <f t="shared" si="16"/>
        <v>#VALUE!</v>
      </c>
      <c r="D301" s="12" t="e">
        <f>MID(MAIN!A306,K301+2,2)</f>
        <v>#VALUE!</v>
      </c>
      <c r="E301" s="12" t="e">
        <f>MID(MAIN!A306,K301+4,2)</f>
        <v>#VALUE!</v>
      </c>
      <c r="F301" s="2" t="e">
        <f t="shared" si="17"/>
        <v>#VALUE!</v>
      </c>
      <c r="G301" s="13" t="e">
        <f t="shared" si="18"/>
        <v>#VALUE!</v>
      </c>
      <c r="J301" t="str">
        <f>MAIN!A306&amp;"B"</f>
        <v>B</v>
      </c>
      <c r="K301" s="12" t="e">
        <f t="shared" si="19"/>
        <v>#VALUE!</v>
      </c>
      <c r="L301" t="str">
        <f>MAIN!C306</f>
        <v/>
      </c>
    </row>
    <row r="302" spans="1:12" x14ac:dyDescent="0.3">
      <c r="A302">
        <f>IF(J302="0",0,IF(COUNTIF($J$2:J302,J302)=1,1,0))</f>
        <v>0</v>
      </c>
      <c r="B302" s="12" t="e">
        <f>MID(MAIN!A307,K302,2)</f>
        <v>#VALUE!</v>
      </c>
      <c r="C302" s="12" t="e">
        <f t="shared" si="16"/>
        <v>#VALUE!</v>
      </c>
      <c r="D302" s="12" t="e">
        <f>MID(MAIN!A307,K302+2,2)</f>
        <v>#VALUE!</v>
      </c>
      <c r="E302" s="12" t="e">
        <f>MID(MAIN!A307,K302+4,2)</f>
        <v>#VALUE!</v>
      </c>
      <c r="F302" s="2" t="e">
        <f t="shared" si="17"/>
        <v>#VALUE!</v>
      </c>
      <c r="G302" s="13" t="e">
        <f t="shared" si="18"/>
        <v>#VALUE!</v>
      </c>
      <c r="J302" t="str">
        <f>MAIN!A307&amp;"B"</f>
        <v>B</v>
      </c>
      <c r="K302" s="12" t="e">
        <f t="shared" si="19"/>
        <v>#VALUE!</v>
      </c>
      <c r="L302" t="str">
        <f>MAIN!C307</f>
        <v/>
      </c>
    </row>
    <row r="303" spans="1:12" x14ac:dyDescent="0.3">
      <c r="A303">
        <f>IF(J303="0",0,IF(COUNTIF($J$2:J303,J303)=1,1,0))</f>
        <v>0</v>
      </c>
      <c r="B303" s="12" t="e">
        <f>MID(MAIN!A308,K303,2)</f>
        <v>#VALUE!</v>
      </c>
      <c r="C303" s="12" t="e">
        <f t="shared" si="16"/>
        <v>#VALUE!</v>
      </c>
      <c r="D303" s="12" t="e">
        <f>MID(MAIN!A308,K303+2,2)</f>
        <v>#VALUE!</v>
      </c>
      <c r="E303" s="12" t="e">
        <f>MID(MAIN!A308,K303+4,2)</f>
        <v>#VALUE!</v>
      </c>
      <c r="F303" s="2" t="e">
        <f t="shared" si="17"/>
        <v>#VALUE!</v>
      </c>
      <c r="G303" s="13" t="e">
        <f t="shared" si="18"/>
        <v>#VALUE!</v>
      </c>
      <c r="J303" t="str">
        <f>MAIN!A308&amp;"B"</f>
        <v>B</v>
      </c>
      <c r="K303" s="12" t="e">
        <f t="shared" si="19"/>
        <v>#VALUE!</v>
      </c>
      <c r="L303" t="str">
        <f>MAIN!C308</f>
        <v/>
      </c>
    </row>
    <row r="304" spans="1:12" x14ac:dyDescent="0.3">
      <c r="A304">
        <f>IF(J304="0",0,IF(COUNTIF($J$2:J304,J304)=1,1,0))</f>
        <v>0</v>
      </c>
      <c r="B304" s="12" t="e">
        <f>MID(MAIN!A309,K304,2)</f>
        <v>#VALUE!</v>
      </c>
      <c r="C304" s="12" t="e">
        <f t="shared" si="16"/>
        <v>#VALUE!</v>
      </c>
      <c r="D304" s="12" t="e">
        <f>MID(MAIN!A309,K304+2,2)</f>
        <v>#VALUE!</v>
      </c>
      <c r="E304" s="12" t="e">
        <f>MID(MAIN!A309,K304+4,2)</f>
        <v>#VALUE!</v>
      </c>
      <c r="F304" s="2" t="e">
        <f t="shared" si="17"/>
        <v>#VALUE!</v>
      </c>
      <c r="G304" s="13" t="e">
        <f t="shared" si="18"/>
        <v>#VALUE!</v>
      </c>
      <c r="J304" t="str">
        <f>MAIN!A309&amp;"B"</f>
        <v>B</v>
      </c>
      <c r="K304" s="12" t="e">
        <f t="shared" si="19"/>
        <v>#VALUE!</v>
      </c>
      <c r="L304" t="str">
        <f>MAIN!C309</f>
        <v/>
      </c>
    </row>
    <row r="305" spans="1:12" x14ac:dyDescent="0.3">
      <c r="A305">
        <f>IF(J305="0",0,IF(COUNTIF($J$2:J305,J305)=1,1,0))</f>
        <v>0</v>
      </c>
      <c r="B305" s="12" t="e">
        <f>MID(MAIN!A310,K305,2)</f>
        <v>#VALUE!</v>
      </c>
      <c r="C305" s="12" t="e">
        <f t="shared" si="16"/>
        <v>#VALUE!</v>
      </c>
      <c r="D305" s="12" t="e">
        <f>MID(MAIN!A310,K305+2,2)</f>
        <v>#VALUE!</v>
      </c>
      <c r="E305" s="12" t="e">
        <f>MID(MAIN!A310,K305+4,2)</f>
        <v>#VALUE!</v>
      </c>
      <c r="F305" s="2" t="e">
        <f t="shared" si="17"/>
        <v>#VALUE!</v>
      </c>
      <c r="G305" s="13" t="e">
        <f t="shared" si="18"/>
        <v>#VALUE!</v>
      </c>
      <c r="J305" t="str">
        <f>MAIN!A310&amp;"B"</f>
        <v>B</v>
      </c>
      <c r="K305" s="12" t="e">
        <f t="shared" si="19"/>
        <v>#VALUE!</v>
      </c>
      <c r="L305" t="str">
        <f>MAIN!C310</f>
        <v/>
      </c>
    </row>
    <row r="306" spans="1:12" x14ac:dyDescent="0.3">
      <c r="A306">
        <f>IF(J306="0",0,IF(COUNTIF($J$2:J306,J306)=1,1,0))</f>
        <v>0</v>
      </c>
      <c r="B306" s="12" t="e">
        <f>MID(MAIN!A311,K306,2)</f>
        <v>#VALUE!</v>
      </c>
      <c r="C306" s="12" t="e">
        <f t="shared" si="16"/>
        <v>#VALUE!</v>
      </c>
      <c r="D306" s="12" t="e">
        <f>MID(MAIN!A311,K306+2,2)</f>
        <v>#VALUE!</v>
      </c>
      <c r="E306" s="12" t="e">
        <f>MID(MAIN!A311,K306+4,2)</f>
        <v>#VALUE!</v>
      </c>
      <c r="F306" s="2" t="e">
        <f t="shared" si="17"/>
        <v>#VALUE!</v>
      </c>
      <c r="G306" s="13" t="e">
        <f t="shared" si="18"/>
        <v>#VALUE!</v>
      </c>
      <c r="J306" t="str">
        <f>MAIN!A311&amp;"B"</f>
        <v>B</v>
      </c>
      <c r="K306" s="12" t="e">
        <f t="shared" si="19"/>
        <v>#VALUE!</v>
      </c>
      <c r="L306" t="str">
        <f>MAIN!C311</f>
        <v/>
      </c>
    </row>
    <row r="307" spans="1:12" x14ac:dyDescent="0.3">
      <c r="A307">
        <f>IF(J307="0",0,IF(COUNTIF($J$2:J307,J307)=1,1,0))</f>
        <v>0</v>
      </c>
      <c r="B307" s="12" t="e">
        <f>MID(MAIN!A312,K307,2)</f>
        <v>#VALUE!</v>
      </c>
      <c r="C307" s="12" t="e">
        <f t="shared" si="16"/>
        <v>#VALUE!</v>
      </c>
      <c r="D307" s="12" t="e">
        <f>MID(MAIN!A312,K307+2,2)</f>
        <v>#VALUE!</v>
      </c>
      <c r="E307" s="12" t="e">
        <f>MID(MAIN!A312,K307+4,2)</f>
        <v>#VALUE!</v>
      </c>
      <c r="F307" s="2" t="e">
        <f t="shared" si="17"/>
        <v>#VALUE!</v>
      </c>
      <c r="G307" s="13" t="e">
        <f t="shared" si="18"/>
        <v>#VALUE!</v>
      </c>
      <c r="J307" t="str">
        <f>MAIN!A312&amp;"B"</f>
        <v>B</v>
      </c>
      <c r="K307" s="12" t="e">
        <f t="shared" si="19"/>
        <v>#VALUE!</v>
      </c>
      <c r="L307" t="str">
        <f>MAIN!C312</f>
        <v/>
      </c>
    </row>
    <row r="308" spans="1:12" x14ac:dyDescent="0.3">
      <c r="A308">
        <f>IF(J308="0",0,IF(COUNTIF($J$2:J308,J308)=1,1,0))</f>
        <v>0</v>
      </c>
      <c r="B308" s="12" t="e">
        <f>MID(MAIN!A313,K308,2)</f>
        <v>#VALUE!</v>
      </c>
      <c r="C308" s="12" t="e">
        <f t="shared" si="16"/>
        <v>#VALUE!</v>
      </c>
      <c r="D308" s="12" t="e">
        <f>MID(MAIN!A313,K308+2,2)</f>
        <v>#VALUE!</v>
      </c>
      <c r="E308" s="12" t="e">
        <f>MID(MAIN!A313,K308+4,2)</f>
        <v>#VALUE!</v>
      </c>
      <c r="F308" s="2" t="e">
        <f t="shared" si="17"/>
        <v>#VALUE!</v>
      </c>
      <c r="G308" s="13" t="e">
        <f t="shared" si="18"/>
        <v>#VALUE!</v>
      </c>
      <c r="J308" t="str">
        <f>MAIN!A313&amp;"B"</f>
        <v>B</v>
      </c>
      <c r="K308" s="12" t="e">
        <f t="shared" si="19"/>
        <v>#VALUE!</v>
      </c>
      <c r="L308" t="str">
        <f>MAIN!C313</f>
        <v/>
      </c>
    </row>
    <row r="309" spans="1:12" x14ac:dyDescent="0.3">
      <c r="A309">
        <f>IF(J309="0",0,IF(COUNTIF($J$2:J309,J309)=1,1,0))</f>
        <v>0</v>
      </c>
      <c r="B309" s="12" t="e">
        <f>MID(MAIN!A314,K309,2)</f>
        <v>#VALUE!</v>
      </c>
      <c r="C309" s="12" t="e">
        <f t="shared" si="16"/>
        <v>#VALUE!</v>
      </c>
      <c r="D309" s="12" t="e">
        <f>MID(MAIN!A314,K309+2,2)</f>
        <v>#VALUE!</v>
      </c>
      <c r="E309" s="12" t="e">
        <f>MID(MAIN!A314,K309+4,2)</f>
        <v>#VALUE!</v>
      </c>
      <c r="F309" s="2" t="e">
        <f t="shared" si="17"/>
        <v>#VALUE!</v>
      </c>
      <c r="G309" s="13" t="e">
        <f t="shared" si="18"/>
        <v>#VALUE!</v>
      </c>
      <c r="J309" t="str">
        <f>MAIN!A314&amp;"B"</f>
        <v>B</v>
      </c>
      <c r="K309" s="12" t="e">
        <f t="shared" si="19"/>
        <v>#VALUE!</v>
      </c>
      <c r="L309" t="str">
        <f>MAIN!C314</f>
        <v/>
      </c>
    </row>
    <row r="310" spans="1:12" x14ac:dyDescent="0.3">
      <c r="A310">
        <f>IF(J310="0",0,IF(COUNTIF($J$2:J310,J310)=1,1,0))</f>
        <v>0</v>
      </c>
      <c r="B310" s="12" t="e">
        <f>MID(MAIN!A315,K310,2)</f>
        <v>#VALUE!</v>
      </c>
      <c r="C310" s="12" t="e">
        <f t="shared" si="16"/>
        <v>#VALUE!</v>
      </c>
      <c r="D310" s="12" t="e">
        <f>MID(MAIN!A315,K310+2,2)</f>
        <v>#VALUE!</v>
      </c>
      <c r="E310" s="12" t="e">
        <f>MID(MAIN!A315,K310+4,2)</f>
        <v>#VALUE!</v>
      </c>
      <c r="F310" s="2" t="e">
        <f t="shared" si="17"/>
        <v>#VALUE!</v>
      </c>
      <c r="G310" s="13" t="e">
        <f t="shared" si="18"/>
        <v>#VALUE!</v>
      </c>
      <c r="J310" t="str">
        <f>MAIN!A315&amp;"B"</f>
        <v>B</v>
      </c>
      <c r="K310" s="12" t="e">
        <f t="shared" si="19"/>
        <v>#VALUE!</v>
      </c>
      <c r="L310" t="str">
        <f>MAIN!C315</f>
        <v/>
      </c>
    </row>
    <row r="311" spans="1:12" x14ac:dyDescent="0.3">
      <c r="A311">
        <f>IF(J311="0",0,IF(COUNTIF($J$2:J311,J311)=1,1,0))</f>
        <v>0</v>
      </c>
      <c r="B311" s="12" t="e">
        <f>MID(MAIN!A316,K311,2)</f>
        <v>#VALUE!</v>
      </c>
      <c r="C311" s="12" t="e">
        <f t="shared" si="16"/>
        <v>#VALUE!</v>
      </c>
      <c r="D311" s="12" t="e">
        <f>MID(MAIN!A316,K311+2,2)</f>
        <v>#VALUE!</v>
      </c>
      <c r="E311" s="12" t="e">
        <f>MID(MAIN!A316,K311+4,2)</f>
        <v>#VALUE!</v>
      </c>
      <c r="F311" s="2" t="e">
        <f t="shared" si="17"/>
        <v>#VALUE!</v>
      </c>
      <c r="G311" s="13" t="e">
        <f t="shared" si="18"/>
        <v>#VALUE!</v>
      </c>
      <c r="J311" t="str">
        <f>MAIN!A316&amp;"B"</f>
        <v>B</v>
      </c>
      <c r="K311" s="12" t="e">
        <f t="shared" si="19"/>
        <v>#VALUE!</v>
      </c>
      <c r="L311" t="str">
        <f>MAIN!C316</f>
        <v/>
      </c>
    </row>
    <row r="312" spans="1:12" x14ac:dyDescent="0.3">
      <c r="A312">
        <f>IF(J312="0",0,IF(COUNTIF($J$2:J312,J312)=1,1,0))</f>
        <v>0</v>
      </c>
      <c r="B312" s="12" t="e">
        <f>MID(MAIN!A317,K312,2)</f>
        <v>#VALUE!</v>
      </c>
      <c r="C312" s="12" t="e">
        <f t="shared" si="16"/>
        <v>#VALUE!</v>
      </c>
      <c r="D312" s="12" t="e">
        <f>MID(MAIN!A317,K312+2,2)</f>
        <v>#VALUE!</v>
      </c>
      <c r="E312" s="12" t="e">
        <f>MID(MAIN!A317,K312+4,2)</f>
        <v>#VALUE!</v>
      </c>
      <c r="F312" s="2" t="e">
        <f t="shared" si="17"/>
        <v>#VALUE!</v>
      </c>
      <c r="G312" s="13" t="e">
        <f t="shared" si="18"/>
        <v>#VALUE!</v>
      </c>
      <c r="J312" t="str">
        <f>MAIN!A317&amp;"B"</f>
        <v>B</v>
      </c>
      <c r="K312" s="12" t="e">
        <f t="shared" si="19"/>
        <v>#VALUE!</v>
      </c>
      <c r="L312" t="str">
        <f>MAIN!C317</f>
        <v/>
      </c>
    </row>
    <row r="313" spans="1:12" x14ac:dyDescent="0.3">
      <c r="A313">
        <f>IF(J313="0",0,IF(COUNTIF($J$2:J313,J313)=1,1,0))</f>
        <v>0</v>
      </c>
      <c r="B313" s="12" t="e">
        <f>MID(MAIN!A318,K313,2)</f>
        <v>#VALUE!</v>
      </c>
      <c r="C313" s="12" t="e">
        <f t="shared" si="16"/>
        <v>#VALUE!</v>
      </c>
      <c r="D313" s="12" t="e">
        <f>MID(MAIN!A318,K313+2,2)</f>
        <v>#VALUE!</v>
      </c>
      <c r="E313" s="12" t="e">
        <f>MID(MAIN!A318,K313+4,2)</f>
        <v>#VALUE!</v>
      </c>
      <c r="F313" s="2" t="e">
        <f t="shared" si="17"/>
        <v>#VALUE!</v>
      </c>
      <c r="G313" s="13" t="e">
        <f t="shared" si="18"/>
        <v>#VALUE!</v>
      </c>
      <c r="J313" t="str">
        <f>MAIN!A318&amp;"B"</f>
        <v>B</v>
      </c>
      <c r="K313" s="12" t="e">
        <f t="shared" si="19"/>
        <v>#VALUE!</v>
      </c>
      <c r="L313" t="str">
        <f>MAIN!C318</f>
        <v/>
      </c>
    </row>
    <row r="314" spans="1:12" x14ac:dyDescent="0.3">
      <c r="A314">
        <f>IF(J314="0",0,IF(COUNTIF($J$2:J314,J314)=1,1,0))</f>
        <v>0</v>
      </c>
      <c r="B314" s="12" t="e">
        <f>MID(MAIN!A319,K314,2)</f>
        <v>#VALUE!</v>
      </c>
      <c r="C314" s="12" t="e">
        <f t="shared" si="16"/>
        <v>#VALUE!</v>
      </c>
      <c r="D314" s="12" t="e">
        <f>MID(MAIN!A319,K314+2,2)</f>
        <v>#VALUE!</v>
      </c>
      <c r="E314" s="12" t="e">
        <f>MID(MAIN!A319,K314+4,2)</f>
        <v>#VALUE!</v>
      </c>
      <c r="F314" s="2" t="e">
        <f t="shared" si="17"/>
        <v>#VALUE!</v>
      </c>
      <c r="G314" s="13" t="e">
        <f t="shared" si="18"/>
        <v>#VALUE!</v>
      </c>
      <c r="J314" t="str">
        <f>MAIN!A319&amp;"B"</f>
        <v>B</v>
      </c>
      <c r="K314" s="12" t="e">
        <f t="shared" si="19"/>
        <v>#VALUE!</v>
      </c>
      <c r="L314" t="str">
        <f>MAIN!C319</f>
        <v/>
      </c>
    </row>
    <row r="315" spans="1:12" x14ac:dyDescent="0.3">
      <c r="A315">
        <f>IF(J315="0",0,IF(COUNTIF($J$2:J315,J315)=1,1,0))</f>
        <v>0</v>
      </c>
      <c r="B315" s="12" t="e">
        <f>MID(MAIN!A320,K315,2)</f>
        <v>#VALUE!</v>
      </c>
      <c r="C315" s="12" t="e">
        <f t="shared" si="16"/>
        <v>#VALUE!</v>
      </c>
      <c r="D315" s="12" t="e">
        <f>MID(MAIN!A320,K315+2,2)</f>
        <v>#VALUE!</v>
      </c>
      <c r="E315" s="12" t="e">
        <f>MID(MAIN!A320,K315+4,2)</f>
        <v>#VALUE!</v>
      </c>
      <c r="F315" s="2" t="e">
        <f t="shared" si="17"/>
        <v>#VALUE!</v>
      </c>
      <c r="G315" s="13" t="e">
        <f t="shared" si="18"/>
        <v>#VALUE!</v>
      </c>
      <c r="J315" t="str">
        <f>MAIN!A320&amp;"B"</f>
        <v>B</v>
      </c>
      <c r="K315" s="12" t="e">
        <f t="shared" si="19"/>
        <v>#VALUE!</v>
      </c>
      <c r="L315" t="str">
        <f>MAIN!C320</f>
        <v/>
      </c>
    </row>
    <row r="316" spans="1:12" x14ac:dyDescent="0.3">
      <c r="A316">
        <f>IF(J316="0",0,IF(COUNTIF($J$2:J316,J316)=1,1,0))</f>
        <v>0</v>
      </c>
      <c r="B316" s="12" t="e">
        <f>MID(MAIN!A321,K316,2)</f>
        <v>#VALUE!</v>
      </c>
      <c r="C316" s="12" t="e">
        <f t="shared" si="16"/>
        <v>#VALUE!</v>
      </c>
      <c r="D316" s="12" t="e">
        <f>MID(MAIN!A321,K316+2,2)</f>
        <v>#VALUE!</v>
      </c>
      <c r="E316" s="12" t="e">
        <f>MID(MAIN!A321,K316+4,2)</f>
        <v>#VALUE!</v>
      </c>
      <c r="F316" s="2" t="e">
        <f t="shared" si="17"/>
        <v>#VALUE!</v>
      </c>
      <c r="G316" s="13" t="e">
        <f t="shared" si="18"/>
        <v>#VALUE!</v>
      </c>
      <c r="J316" t="str">
        <f>MAIN!A321&amp;"B"</f>
        <v>B</v>
      </c>
      <c r="K316" s="12" t="e">
        <f t="shared" si="19"/>
        <v>#VALUE!</v>
      </c>
      <c r="L316" t="str">
        <f>MAIN!C321</f>
        <v/>
      </c>
    </row>
    <row r="317" spans="1:12" x14ac:dyDescent="0.3">
      <c r="A317">
        <f>IF(J317="0",0,IF(COUNTIF($J$2:J317,J317)=1,1,0))</f>
        <v>0</v>
      </c>
      <c r="B317" s="12" t="e">
        <f>MID(MAIN!A322,K317,2)</f>
        <v>#VALUE!</v>
      </c>
      <c r="C317" s="12" t="e">
        <f t="shared" si="16"/>
        <v>#VALUE!</v>
      </c>
      <c r="D317" s="12" t="e">
        <f>MID(MAIN!A322,K317+2,2)</f>
        <v>#VALUE!</v>
      </c>
      <c r="E317" s="12" t="e">
        <f>MID(MAIN!A322,K317+4,2)</f>
        <v>#VALUE!</v>
      </c>
      <c r="F317" s="2" t="e">
        <f t="shared" si="17"/>
        <v>#VALUE!</v>
      </c>
      <c r="G317" s="13" t="e">
        <f t="shared" si="18"/>
        <v>#VALUE!</v>
      </c>
      <c r="J317" t="str">
        <f>MAIN!A322&amp;"B"</f>
        <v>B</v>
      </c>
      <c r="K317" s="12" t="e">
        <f t="shared" si="19"/>
        <v>#VALUE!</v>
      </c>
      <c r="L317" t="str">
        <f>MAIN!C322</f>
        <v/>
      </c>
    </row>
    <row r="318" spans="1:12" x14ac:dyDescent="0.3">
      <c r="A318">
        <f>IF(J318="0",0,IF(COUNTIF($J$2:J318,J318)=1,1,0))</f>
        <v>0</v>
      </c>
      <c r="B318" s="12" t="e">
        <f>MID(MAIN!A323,K318,2)</f>
        <v>#VALUE!</v>
      </c>
      <c r="C318" s="12" t="e">
        <f t="shared" si="16"/>
        <v>#VALUE!</v>
      </c>
      <c r="D318" s="12" t="e">
        <f>MID(MAIN!A323,K318+2,2)</f>
        <v>#VALUE!</v>
      </c>
      <c r="E318" s="12" t="e">
        <f>MID(MAIN!A323,K318+4,2)</f>
        <v>#VALUE!</v>
      </c>
      <c r="F318" s="2" t="e">
        <f t="shared" si="17"/>
        <v>#VALUE!</v>
      </c>
      <c r="G318" s="13" t="e">
        <f t="shared" si="18"/>
        <v>#VALUE!</v>
      </c>
      <c r="J318" t="str">
        <f>MAIN!A323&amp;"B"</f>
        <v>B</v>
      </c>
      <c r="K318" s="12" t="e">
        <f t="shared" si="19"/>
        <v>#VALUE!</v>
      </c>
      <c r="L318" t="str">
        <f>MAIN!C323</f>
        <v/>
      </c>
    </row>
    <row r="319" spans="1:12" x14ac:dyDescent="0.3">
      <c r="A319">
        <f>IF(J319="0",0,IF(COUNTIF($J$2:J319,J319)=1,1,0))</f>
        <v>0</v>
      </c>
      <c r="B319" s="12" t="e">
        <f>MID(MAIN!A324,K319,2)</f>
        <v>#VALUE!</v>
      </c>
      <c r="C319" s="12" t="e">
        <f t="shared" si="16"/>
        <v>#VALUE!</v>
      </c>
      <c r="D319" s="12" t="e">
        <f>MID(MAIN!A324,K319+2,2)</f>
        <v>#VALUE!</v>
      </c>
      <c r="E319" s="12" t="e">
        <f>MID(MAIN!A324,K319+4,2)</f>
        <v>#VALUE!</v>
      </c>
      <c r="F319" s="2" t="e">
        <f t="shared" si="17"/>
        <v>#VALUE!</v>
      </c>
      <c r="G319" s="13" t="e">
        <f t="shared" si="18"/>
        <v>#VALUE!</v>
      </c>
      <c r="J319" t="str">
        <f>MAIN!A324&amp;"B"</f>
        <v>B</v>
      </c>
      <c r="K319" s="12" t="e">
        <f t="shared" si="19"/>
        <v>#VALUE!</v>
      </c>
      <c r="L319" t="str">
        <f>MAIN!C324</f>
        <v/>
      </c>
    </row>
    <row r="320" spans="1:12" x14ac:dyDescent="0.3">
      <c r="A320">
        <f>IF(J320="0",0,IF(COUNTIF($J$2:J320,J320)=1,1,0))</f>
        <v>0</v>
      </c>
      <c r="B320" s="12" t="e">
        <f>MID(MAIN!A325,K320,2)</f>
        <v>#VALUE!</v>
      </c>
      <c r="C320" s="12" t="e">
        <f t="shared" si="16"/>
        <v>#VALUE!</v>
      </c>
      <c r="D320" s="12" t="e">
        <f>MID(MAIN!A325,K320+2,2)</f>
        <v>#VALUE!</v>
      </c>
      <c r="E320" s="12" t="e">
        <f>MID(MAIN!A325,K320+4,2)</f>
        <v>#VALUE!</v>
      </c>
      <c r="F320" s="2" t="e">
        <f t="shared" si="17"/>
        <v>#VALUE!</v>
      </c>
      <c r="G320" s="13" t="e">
        <f t="shared" si="18"/>
        <v>#VALUE!</v>
      </c>
      <c r="J320" t="str">
        <f>MAIN!A325&amp;"B"</f>
        <v>B</v>
      </c>
      <c r="K320" s="12" t="e">
        <f t="shared" si="19"/>
        <v>#VALUE!</v>
      </c>
      <c r="L320" t="str">
        <f>MAIN!C325</f>
        <v/>
      </c>
    </row>
    <row r="321" spans="1:12" x14ac:dyDescent="0.3">
      <c r="A321">
        <f>IF(J321="0",0,IF(COUNTIF($J$2:J321,J321)=1,1,0))</f>
        <v>0</v>
      </c>
      <c r="B321" s="12" t="e">
        <f>MID(MAIN!A326,K321,2)</f>
        <v>#VALUE!</v>
      </c>
      <c r="C321" s="12" t="e">
        <f t="shared" si="16"/>
        <v>#VALUE!</v>
      </c>
      <c r="D321" s="12" t="e">
        <f>MID(MAIN!A326,K321+2,2)</f>
        <v>#VALUE!</v>
      </c>
      <c r="E321" s="12" t="e">
        <f>MID(MAIN!A326,K321+4,2)</f>
        <v>#VALUE!</v>
      </c>
      <c r="F321" s="2" t="e">
        <f t="shared" si="17"/>
        <v>#VALUE!</v>
      </c>
      <c r="G321" s="13" t="e">
        <f t="shared" si="18"/>
        <v>#VALUE!</v>
      </c>
      <c r="J321" t="str">
        <f>MAIN!A326&amp;"B"</f>
        <v>B</v>
      </c>
      <c r="K321" s="12" t="e">
        <f t="shared" si="19"/>
        <v>#VALUE!</v>
      </c>
      <c r="L321" t="str">
        <f>MAIN!C326</f>
        <v/>
      </c>
    </row>
    <row r="322" spans="1:12" x14ac:dyDescent="0.3">
      <c r="A322">
        <f>IF(J322="0",0,IF(COUNTIF($J$2:J322,J322)=1,1,0))</f>
        <v>0</v>
      </c>
      <c r="B322" s="12" t="e">
        <f>MID(MAIN!A327,K322,2)</f>
        <v>#VALUE!</v>
      </c>
      <c r="C322" s="12" t="e">
        <f t="shared" si="16"/>
        <v>#VALUE!</v>
      </c>
      <c r="D322" s="12" t="e">
        <f>MID(MAIN!A327,K322+2,2)</f>
        <v>#VALUE!</v>
      </c>
      <c r="E322" s="12" t="e">
        <f>MID(MAIN!A327,K322+4,2)</f>
        <v>#VALUE!</v>
      </c>
      <c r="F322" s="2" t="e">
        <f t="shared" si="17"/>
        <v>#VALUE!</v>
      </c>
      <c r="G322" s="13" t="e">
        <f t="shared" si="18"/>
        <v>#VALUE!</v>
      </c>
      <c r="J322" t="str">
        <f>MAIN!A327&amp;"B"</f>
        <v>B</v>
      </c>
      <c r="K322" s="12" t="e">
        <f t="shared" si="19"/>
        <v>#VALUE!</v>
      </c>
      <c r="L322" t="str">
        <f>MAIN!C327</f>
        <v/>
      </c>
    </row>
    <row r="323" spans="1:12" x14ac:dyDescent="0.3">
      <c r="A323">
        <f>IF(J323="0",0,IF(COUNTIF($J$2:J323,J323)=1,1,0))</f>
        <v>0</v>
      </c>
      <c r="B323" s="12" t="e">
        <f>MID(MAIN!A328,K323,2)</f>
        <v>#VALUE!</v>
      </c>
      <c r="C323" s="12" t="e">
        <f t="shared" ref="C323:C386" si="20">"20"&amp;B323</f>
        <v>#VALUE!</v>
      </c>
      <c r="D323" s="12" t="e">
        <f>MID(MAIN!A328,K323+2,2)</f>
        <v>#VALUE!</v>
      </c>
      <c r="E323" s="12" t="e">
        <f>MID(MAIN!A328,K323+4,2)</f>
        <v>#VALUE!</v>
      </c>
      <c r="F323" s="2" t="e">
        <f t="shared" ref="F323:F386" si="21">C323&amp;"/"&amp;D323&amp;"/"&amp;E323</f>
        <v>#VALUE!</v>
      </c>
      <c r="G323" s="13" t="e">
        <f t="shared" ref="G323:G386" si="22">DATEVALUE(F323)</f>
        <v>#VALUE!</v>
      </c>
      <c r="J323" t="str">
        <f>MAIN!A328&amp;"B"</f>
        <v>B</v>
      </c>
      <c r="K323" s="12" t="e">
        <f t="shared" ref="K323:K386" si="23">FIND("172",J323,30)+2</f>
        <v>#VALUE!</v>
      </c>
      <c r="L323" t="str">
        <f>MAIN!C328</f>
        <v/>
      </c>
    </row>
    <row r="324" spans="1:12" x14ac:dyDescent="0.3">
      <c r="A324">
        <f>IF(J324="0",0,IF(COUNTIF($J$2:J324,J324)=1,1,0))</f>
        <v>0</v>
      </c>
      <c r="B324" s="12" t="e">
        <f>MID(MAIN!A329,K324,2)</f>
        <v>#VALUE!</v>
      </c>
      <c r="C324" s="12" t="e">
        <f t="shared" si="20"/>
        <v>#VALUE!</v>
      </c>
      <c r="D324" s="12" t="e">
        <f>MID(MAIN!A329,K324+2,2)</f>
        <v>#VALUE!</v>
      </c>
      <c r="E324" s="12" t="e">
        <f>MID(MAIN!A329,K324+4,2)</f>
        <v>#VALUE!</v>
      </c>
      <c r="F324" s="2" t="e">
        <f t="shared" si="21"/>
        <v>#VALUE!</v>
      </c>
      <c r="G324" s="13" t="e">
        <f t="shared" si="22"/>
        <v>#VALUE!</v>
      </c>
      <c r="J324" t="str">
        <f>MAIN!A329&amp;"B"</f>
        <v>B</v>
      </c>
      <c r="K324" s="12" t="e">
        <f t="shared" si="23"/>
        <v>#VALUE!</v>
      </c>
      <c r="L324" t="str">
        <f>MAIN!C329</f>
        <v/>
      </c>
    </row>
    <row r="325" spans="1:12" x14ac:dyDescent="0.3">
      <c r="A325">
        <f>IF(J325="0",0,IF(COUNTIF($J$2:J325,J325)=1,1,0))</f>
        <v>0</v>
      </c>
      <c r="B325" s="12" t="e">
        <f>MID(MAIN!A330,K325,2)</f>
        <v>#VALUE!</v>
      </c>
      <c r="C325" s="12" t="e">
        <f t="shared" si="20"/>
        <v>#VALUE!</v>
      </c>
      <c r="D325" s="12" t="e">
        <f>MID(MAIN!A330,K325+2,2)</f>
        <v>#VALUE!</v>
      </c>
      <c r="E325" s="12" t="e">
        <f>MID(MAIN!A330,K325+4,2)</f>
        <v>#VALUE!</v>
      </c>
      <c r="F325" s="2" t="e">
        <f t="shared" si="21"/>
        <v>#VALUE!</v>
      </c>
      <c r="G325" s="13" t="e">
        <f t="shared" si="22"/>
        <v>#VALUE!</v>
      </c>
      <c r="J325" t="str">
        <f>MAIN!A330&amp;"B"</f>
        <v>B</v>
      </c>
      <c r="K325" s="12" t="e">
        <f t="shared" si="23"/>
        <v>#VALUE!</v>
      </c>
      <c r="L325" t="str">
        <f>MAIN!C330</f>
        <v/>
      </c>
    </row>
    <row r="326" spans="1:12" x14ac:dyDescent="0.3">
      <c r="A326">
        <f>IF(J326="0",0,IF(COUNTIF($J$2:J326,J326)=1,1,0))</f>
        <v>0</v>
      </c>
      <c r="B326" s="12" t="e">
        <f>MID(MAIN!A331,K326,2)</f>
        <v>#VALUE!</v>
      </c>
      <c r="C326" s="12" t="e">
        <f t="shared" si="20"/>
        <v>#VALUE!</v>
      </c>
      <c r="D326" s="12" t="e">
        <f>MID(MAIN!A331,K326+2,2)</f>
        <v>#VALUE!</v>
      </c>
      <c r="E326" s="12" t="e">
        <f>MID(MAIN!A331,K326+4,2)</f>
        <v>#VALUE!</v>
      </c>
      <c r="F326" s="2" t="e">
        <f t="shared" si="21"/>
        <v>#VALUE!</v>
      </c>
      <c r="G326" s="13" t="e">
        <f t="shared" si="22"/>
        <v>#VALUE!</v>
      </c>
      <c r="J326" t="str">
        <f>MAIN!A331&amp;"B"</f>
        <v>B</v>
      </c>
      <c r="K326" s="12" t="e">
        <f t="shared" si="23"/>
        <v>#VALUE!</v>
      </c>
      <c r="L326" t="str">
        <f>MAIN!C331</f>
        <v/>
      </c>
    </row>
    <row r="327" spans="1:12" x14ac:dyDescent="0.3">
      <c r="A327">
        <f>IF(J327="0",0,IF(COUNTIF($J$2:J327,J327)=1,1,0))</f>
        <v>0</v>
      </c>
      <c r="B327" s="12" t="e">
        <f>MID(MAIN!A332,K327,2)</f>
        <v>#VALUE!</v>
      </c>
      <c r="C327" s="12" t="e">
        <f t="shared" si="20"/>
        <v>#VALUE!</v>
      </c>
      <c r="D327" s="12" t="e">
        <f>MID(MAIN!A332,K327+2,2)</f>
        <v>#VALUE!</v>
      </c>
      <c r="E327" s="12" t="e">
        <f>MID(MAIN!A332,K327+4,2)</f>
        <v>#VALUE!</v>
      </c>
      <c r="F327" s="2" t="e">
        <f t="shared" si="21"/>
        <v>#VALUE!</v>
      </c>
      <c r="G327" s="13" t="e">
        <f t="shared" si="22"/>
        <v>#VALUE!</v>
      </c>
      <c r="J327" t="str">
        <f>MAIN!A332&amp;"B"</f>
        <v>B</v>
      </c>
      <c r="K327" s="12" t="e">
        <f t="shared" si="23"/>
        <v>#VALUE!</v>
      </c>
      <c r="L327" t="str">
        <f>MAIN!C332</f>
        <v/>
      </c>
    </row>
    <row r="328" spans="1:12" x14ac:dyDescent="0.3">
      <c r="A328">
        <f>IF(J328="0",0,IF(COUNTIF($J$2:J328,J328)=1,1,0))</f>
        <v>0</v>
      </c>
      <c r="B328" s="12" t="e">
        <f>MID(MAIN!A333,K328,2)</f>
        <v>#VALUE!</v>
      </c>
      <c r="C328" s="12" t="e">
        <f t="shared" si="20"/>
        <v>#VALUE!</v>
      </c>
      <c r="D328" s="12" t="e">
        <f>MID(MAIN!A333,K328+2,2)</f>
        <v>#VALUE!</v>
      </c>
      <c r="E328" s="12" t="e">
        <f>MID(MAIN!A333,K328+4,2)</f>
        <v>#VALUE!</v>
      </c>
      <c r="F328" s="2" t="e">
        <f t="shared" si="21"/>
        <v>#VALUE!</v>
      </c>
      <c r="G328" s="13" t="e">
        <f t="shared" si="22"/>
        <v>#VALUE!</v>
      </c>
      <c r="J328" t="str">
        <f>MAIN!A333&amp;"B"</f>
        <v>B</v>
      </c>
      <c r="K328" s="12" t="e">
        <f t="shared" si="23"/>
        <v>#VALUE!</v>
      </c>
      <c r="L328" t="str">
        <f>MAIN!C333</f>
        <v/>
      </c>
    </row>
    <row r="329" spans="1:12" x14ac:dyDescent="0.3">
      <c r="A329">
        <f>IF(J329="0",0,IF(COUNTIF($J$2:J329,J329)=1,1,0))</f>
        <v>0</v>
      </c>
      <c r="B329" s="12" t="e">
        <f>MID(MAIN!A334,K329,2)</f>
        <v>#VALUE!</v>
      </c>
      <c r="C329" s="12" t="e">
        <f t="shared" si="20"/>
        <v>#VALUE!</v>
      </c>
      <c r="D329" s="12" t="e">
        <f>MID(MAIN!A334,K329+2,2)</f>
        <v>#VALUE!</v>
      </c>
      <c r="E329" s="12" t="e">
        <f>MID(MAIN!A334,K329+4,2)</f>
        <v>#VALUE!</v>
      </c>
      <c r="F329" s="2" t="e">
        <f t="shared" si="21"/>
        <v>#VALUE!</v>
      </c>
      <c r="G329" s="13" t="e">
        <f t="shared" si="22"/>
        <v>#VALUE!</v>
      </c>
      <c r="J329" t="str">
        <f>MAIN!A334&amp;"B"</f>
        <v>B</v>
      </c>
      <c r="K329" s="12" t="e">
        <f t="shared" si="23"/>
        <v>#VALUE!</v>
      </c>
      <c r="L329" t="str">
        <f>MAIN!C334</f>
        <v/>
      </c>
    </row>
    <row r="330" spans="1:12" x14ac:dyDescent="0.3">
      <c r="A330">
        <f>IF(J330="0",0,IF(COUNTIF($J$2:J330,J330)=1,1,0))</f>
        <v>0</v>
      </c>
      <c r="B330" s="12" t="e">
        <f>MID(MAIN!A335,K330,2)</f>
        <v>#VALUE!</v>
      </c>
      <c r="C330" s="12" t="e">
        <f t="shared" si="20"/>
        <v>#VALUE!</v>
      </c>
      <c r="D330" s="12" t="e">
        <f>MID(MAIN!A335,K330+2,2)</f>
        <v>#VALUE!</v>
      </c>
      <c r="E330" s="12" t="e">
        <f>MID(MAIN!A335,K330+4,2)</f>
        <v>#VALUE!</v>
      </c>
      <c r="F330" s="2" t="e">
        <f t="shared" si="21"/>
        <v>#VALUE!</v>
      </c>
      <c r="G330" s="13" t="e">
        <f t="shared" si="22"/>
        <v>#VALUE!</v>
      </c>
      <c r="J330" t="str">
        <f>MAIN!A335&amp;"B"</f>
        <v>B</v>
      </c>
      <c r="K330" s="12" t="e">
        <f t="shared" si="23"/>
        <v>#VALUE!</v>
      </c>
      <c r="L330" t="str">
        <f>MAIN!C335</f>
        <v/>
      </c>
    </row>
    <row r="331" spans="1:12" x14ac:dyDescent="0.3">
      <c r="A331">
        <f>IF(J331="0",0,IF(COUNTIF($J$2:J331,J331)=1,1,0))</f>
        <v>0</v>
      </c>
      <c r="B331" s="12" t="e">
        <f>MID(MAIN!A336,K331,2)</f>
        <v>#VALUE!</v>
      </c>
      <c r="C331" s="12" t="e">
        <f t="shared" si="20"/>
        <v>#VALUE!</v>
      </c>
      <c r="D331" s="12" t="e">
        <f>MID(MAIN!A336,K331+2,2)</f>
        <v>#VALUE!</v>
      </c>
      <c r="E331" s="12" t="e">
        <f>MID(MAIN!A336,K331+4,2)</f>
        <v>#VALUE!</v>
      </c>
      <c r="F331" s="2" t="e">
        <f t="shared" si="21"/>
        <v>#VALUE!</v>
      </c>
      <c r="G331" s="13" t="e">
        <f t="shared" si="22"/>
        <v>#VALUE!</v>
      </c>
      <c r="J331" t="str">
        <f>MAIN!A336&amp;"B"</f>
        <v>B</v>
      </c>
      <c r="K331" s="12" t="e">
        <f t="shared" si="23"/>
        <v>#VALUE!</v>
      </c>
      <c r="L331" t="str">
        <f>MAIN!C336</f>
        <v/>
      </c>
    </row>
    <row r="332" spans="1:12" x14ac:dyDescent="0.3">
      <c r="A332">
        <f>IF(J332="0",0,IF(COUNTIF($J$2:J332,J332)=1,1,0))</f>
        <v>0</v>
      </c>
      <c r="B332" s="12" t="e">
        <f>MID(MAIN!A337,K332,2)</f>
        <v>#VALUE!</v>
      </c>
      <c r="C332" s="12" t="e">
        <f t="shared" si="20"/>
        <v>#VALUE!</v>
      </c>
      <c r="D332" s="12" t="e">
        <f>MID(MAIN!A337,K332+2,2)</f>
        <v>#VALUE!</v>
      </c>
      <c r="E332" s="12" t="e">
        <f>MID(MAIN!A337,K332+4,2)</f>
        <v>#VALUE!</v>
      </c>
      <c r="F332" s="2" t="e">
        <f t="shared" si="21"/>
        <v>#VALUE!</v>
      </c>
      <c r="G332" s="13" t="e">
        <f t="shared" si="22"/>
        <v>#VALUE!</v>
      </c>
      <c r="J332" t="str">
        <f>MAIN!A337&amp;"B"</f>
        <v>B</v>
      </c>
      <c r="K332" s="12" t="e">
        <f t="shared" si="23"/>
        <v>#VALUE!</v>
      </c>
      <c r="L332" t="str">
        <f>MAIN!C337</f>
        <v/>
      </c>
    </row>
    <row r="333" spans="1:12" x14ac:dyDescent="0.3">
      <c r="A333">
        <f>IF(J333="0",0,IF(COUNTIF($J$2:J333,J333)=1,1,0))</f>
        <v>0</v>
      </c>
      <c r="B333" s="12" t="e">
        <f>MID(MAIN!A338,K333,2)</f>
        <v>#VALUE!</v>
      </c>
      <c r="C333" s="12" t="e">
        <f t="shared" si="20"/>
        <v>#VALUE!</v>
      </c>
      <c r="D333" s="12" t="e">
        <f>MID(MAIN!A338,K333+2,2)</f>
        <v>#VALUE!</v>
      </c>
      <c r="E333" s="12" t="e">
        <f>MID(MAIN!A338,K333+4,2)</f>
        <v>#VALUE!</v>
      </c>
      <c r="F333" s="2" t="e">
        <f t="shared" si="21"/>
        <v>#VALUE!</v>
      </c>
      <c r="G333" s="13" t="e">
        <f t="shared" si="22"/>
        <v>#VALUE!</v>
      </c>
      <c r="J333" t="str">
        <f>MAIN!A338&amp;"B"</f>
        <v>B</v>
      </c>
      <c r="K333" s="12" t="e">
        <f t="shared" si="23"/>
        <v>#VALUE!</v>
      </c>
      <c r="L333" t="str">
        <f>MAIN!C338</f>
        <v/>
      </c>
    </row>
    <row r="334" spans="1:12" x14ac:dyDescent="0.3">
      <c r="A334">
        <f>IF(J334="0",0,IF(COUNTIF($J$2:J334,J334)=1,1,0))</f>
        <v>0</v>
      </c>
      <c r="B334" s="12" t="e">
        <f>MID(MAIN!A339,K334,2)</f>
        <v>#VALUE!</v>
      </c>
      <c r="C334" s="12" t="e">
        <f t="shared" si="20"/>
        <v>#VALUE!</v>
      </c>
      <c r="D334" s="12" t="e">
        <f>MID(MAIN!A339,K334+2,2)</f>
        <v>#VALUE!</v>
      </c>
      <c r="E334" s="12" t="e">
        <f>MID(MAIN!A339,K334+4,2)</f>
        <v>#VALUE!</v>
      </c>
      <c r="F334" s="2" t="e">
        <f t="shared" si="21"/>
        <v>#VALUE!</v>
      </c>
      <c r="G334" s="13" t="e">
        <f t="shared" si="22"/>
        <v>#VALUE!</v>
      </c>
      <c r="J334" t="str">
        <f>MAIN!A339&amp;"B"</f>
        <v>B</v>
      </c>
      <c r="K334" s="12" t="e">
        <f t="shared" si="23"/>
        <v>#VALUE!</v>
      </c>
      <c r="L334" t="str">
        <f>MAIN!C339</f>
        <v/>
      </c>
    </row>
    <row r="335" spans="1:12" x14ac:dyDescent="0.3">
      <c r="A335">
        <f>IF(J335="0",0,IF(COUNTIF($J$2:J335,J335)=1,1,0))</f>
        <v>0</v>
      </c>
      <c r="B335" s="12" t="e">
        <f>MID(MAIN!A340,K335,2)</f>
        <v>#VALUE!</v>
      </c>
      <c r="C335" s="12" t="e">
        <f t="shared" si="20"/>
        <v>#VALUE!</v>
      </c>
      <c r="D335" s="12" t="e">
        <f>MID(MAIN!A340,K335+2,2)</f>
        <v>#VALUE!</v>
      </c>
      <c r="E335" s="12" t="e">
        <f>MID(MAIN!A340,K335+4,2)</f>
        <v>#VALUE!</v>
      </c>
      <c r="F335" s="2" t="e">
        <f t="shared" si="21"/>
        <v>#VALUE!</v>
      </c>
      <c r="G335" s="13" t="e">
        <f t="shared" si="22"/>
        <v>#VALUE!</v>
      </c>
      <c r="J335" t="str">
        <f>MAIN!A340&amp;"B"</f>
        <v>B</v>
      </c>
      <c r="K335" s="12" t="e">
        <f t="shared" si="23"/>
        <v>#VALUE!</v>
      </c>
      <c r="L335" t="str">
        <f>MAIN!C340</f>
        <v/>
      </c>
    </row>
    <row r="336" spans="1:12" x14ac:dyDescent="0.3">
      <c r="A336">
        <f>IF(J336="0",0,IF(COUNTIF($J$2:J336,J336)=1,1,0))</f>
        <v>0</v>
      </c>
      <c r="B336" s="12" t="e">
        <f>MID(MAIN!A341,K336,2)</f>
        <v>#VALUE!</v>
      </c>
      <c r="C336" s="12" t="e">
        <f t="shared" si="20"/>
        <v>#VALUE!</v>
      </c>
      <c r="D336" s="12" t="e">
        <f>MID(MAIN!A341,K336+2,2)</f>
        <v>#VALUE!</v>
      </c>
      <c r="E336" s="12" t="e">
        <f>MID(MAIN!A341,K336+4,2)</f>
        <v>#VALUE!</v>
      </c>
      <c r="F336" s="2" t="e">
        <f t="shared" si="21"/>
        <v>#VALUE!</v>
      </c>
      <c r="G336" s="13" t="e">
        <f t="shared" si="22"/>
        <v>#VALUE!</v>
      </c>
      <c r="J336" t="str">
        <f>MAIN!A341&amp;"B"</f>
        <v>B</v>
      </c>
      <c r="K336" s="12" t="e">
        <f t="shared" si="23"/>
        <v>#VALUE!</v>
      </c>
      <c r="L336" t="str">
        <f>MAIN!C341</f>
        <v/>
      </c>
    </row>
    <row r="337" spans="1:12" x14ac:dyDescent="0.3">
      <c r="A337">
        <f>IF(J337="0",0,IF(COUNTIF($J$2:J337,J337)=1,1,0))</f>
        <v>0</v>
      </c>
      <c r="B337" s="12" t="e">
        <f>MID(MAIN!A342,K337,2)</f>
        <v>#VALUE!</v>
      </c>
      <c r="C337" s="12" t="e">
        <f t="shared" si="20"/>
        <v>#VALUE!</v>
      </c>
      <c r="D337" s="12" t="e">
        <f>MID(MAIN!A342,K337+2,2)</f>
        <v>#VALUE!</v>
      </c>
      <c r="E337" s="12" t="e">
        <f>MID(MAIN!A342,K337+4,2)</f>
        <v>#VALUE!</v>
      </c>
      <c r="F337" s="2" t="e">
        <f t="shared" si="21"/>
        <v>#VALUE!</v>
      </c>
      <c r="G337" s="13" t="e">
        <f t="shared" si="22"/>
        <v>#VALUE!</v>
      </c>
      <c r="J337" t="str">
        <f>MAIN!A342&amp;"B"</f>
        <v>B</v>
      </c>
      <c r="K337" s="12" t="e">
        <f t="shared" si="23"/>
        <v>#VALUE!</v>
      </c>
      <c r="L337" t="str">
        <f>MAIN!C342</f>
        <v/>
      </c>
    </row>
    <row r="338" spans="1:12" x14ac:dyDescent="0.3">
      <c r="A338">
        <f>IF(J338="0",0,IF(COUNTIF($J$2:J338,J338)=1,1,0))</f>
        <v>0</v>
      </c>
      <c r="B338" s="12" t="e">
        <f>MID(MAIN!A343,K338,2)</f>
        <v>#VALUE!</v>
      </c>
      <c r="C338" s="12" t="e">
        <f t="shared" si="20"/>
        <v>#VALUE!</v>
      </c>
      <c r="D338" s="12" t="e">
        <f>MID(MAIN!A343,K338+2,2)</f>
        <v>#VALUE!</v>
      </c>
      <c r="E338" s="12" t="e">
        <f>MID(MAIN!A343,K338+4,2)</f>
        <v>#VALUE!</v>
      </c>
      <c r="F338" s="2" t="e">
        <f t="shared" si="21"/>
        <v>#VALUE!</v>
      </c>
      <c r="G338" s="13" t="e">
        <f t="shared" si="22"/>
        <v>#VALUE!</v>
      </c>
      <c r="J338" t="str">
        <f>MAIN!A343&amp;"B"</f>
        <v>B</v>
      </c>
      <c r="K338" s="12" t="e">
        <f t="shared" si="23"/>
        <v>#VALUE!</v>
      </c>
      <c r="L338" t="str">
        <f>MAIN!C343</f>
        <v/>
      </c>
    </row>
    <row r="339" spans="1:12" x14ac:dyDescent="0.3">
      <c r="A339">
        <f>IF(J339="0",0,IF(COUNTIF($J$2:J339,J339)=1,1,0))</f>
        <v>0</v>
      </c>
      <c r="B339" s="12" t="e">
        <f>MID(MAIN!A344,K339,2)</f>
        <v>#VALUE!</v>
      </c>
      <c r="C339" s="12" t="e">
        <f t="shared" si="20"/>
        <v>#VALUE!</v>
      </c>
      <c r="D339" s="12" t="e">
        <f>MID(MAIN!A344,K339+2,2)</f>
        <v>#VALUE!</v>
      </c>
      <c r="E339" s="12" t="e">
        <f>MID(MAIN!A344,K339+4,2)</f>
        <v>#VALUE!</v>
      </c>
      <c r="F339" s="2" t="e">
        <f t="shared" si="21"/>
        <v>#VALUE!</v>
      </c>
      <c r="G339" s="13" t="e">
        <f t="shared" si="22"/>
        <v>#VALUE!</v>
      </c>
      <c r="J339" t="str">
        <f>MAIN!A344&amp;"B"</f>
        <v>B</v>
      </c>
      <c r="K339" s="12" t="e">
        <f t="shared" si="23"/>
        <v>#VALUE!</v>
      </c>
      <c r="L339" t="str">
        <f>MAIN!C344</f>
        <v/>
      </c>
    </row>
    <row r="340" spans="1:12" x14ac:dyDescent="0.3">
      <c r="A340">
        <f>IF(J340="0",0,IF(COUNTIF($J$2:J340,J340)=1,1,0))</f>
        <v>0</v>
      </c>
      <c r="B340" s="12" t="e">
        <f>MID(MAIN!A345,K340,2)</f>
        <v>#VALUE!</v>
      </c>
      <c r="C340" s="12" t="e">
        <f t="shared" si="20"/>
        <v>#VALUE!</v>
      </c>
      <c r="D340" s="12" t="e">
        <f>MID(MAIN!A345,K340+2,2)</f>
        <v>#VALUE!</v>
      </c>
      <c r="E340" s="12" t="e">
        <f>MID(MAIN!A345,K340+4,2)</f>
        <v>#VALUE!</v>
      </c>
      <c r="F340" s="2" t="e">
        <f t="shared" si="21"/>
        <v>#VALUE!</v>
      </c>
      <c r="G340" s="13" t="e">
        <f t="shared" si="22"/>
        <v>#VALUE!</v>
      </c>
      <c r="J340" t="str">
        <f>MAIN!A345&amp;"B"</f>
        <v>B</v>
      </c>
      <c r="K340" s="12" t="e">
        <f t="shared" si="23"/>
        <v>#VALUE!</v>
      </c>
      <c r="L340" t="str">
        <f>MAIN!C345</f>
        <v/>
      </c>
    </row>
    <row r="341" spans="1:12" x14ac:dyDescent="0.3">
      <c r="A341">
        <f>IF(J341="0",0,IF(COUNTIF($J$2:J341,J341)=1,1,0))</f>
        <v>0</v>
      </c>
      <c r="B341" s="12" t="e">
        <f>MID(MAIN!A346,K341,2)</f>
        <v>#VALUE!</v>
      </c>
      <c r="C341" s="12" t="e">
        <f t="shared" si="20"/>
        <v>#VALUE!</v>
      </c>
      <c r="D341" s="12" t="e">
        <f>MID(MAIN!A346,K341+2,2)</f>
        <v>#VALUE!</v>
      </c>
      <c r="E341" s="12" t="e">
        <f>MID(MAIN!A346,K341+4,2)</f>
        <v>#VALUE!</v>
      </c>
      <c r="F341" s="2" t="e">
        <f t="shared" si="21"/>
        <v>#VALUE!</v>
      </c>
      <c r="G341" s="13" t="e">
        <f t="shared" si="22"/>
        <v>#VALUE!</v>
      </c>
      <c r="J341" t="str">
        <f>MAIN!A346&amp;"B"</f>
        <v>B</v>
      </c>
      <c r="K341" s="12" t="e">
        <f t="shared" si="23"/>
        <v>#VALUE!</v>
      </c>
      <c r="L341" t="str">
        <f>MAIN!C346</f>
        <v/>
      </c>
    </row>
    <row r="342" spans="1:12" x14ac:dyDescent="0.3">
      <c r="A342">
        <f>IF(J342="0",0,IF(COUNTIF($J$2:J342,J342)=1,1,0))</f>
        <v>0</v>
      </c>
      <c r="B342" s="12" t="e">
        <f>MID(MAIN!A347,K342,2)</f>
        <v>#VALUE!</v>
      </c>
      <c r="C342" s="12" t="e">
        <f t="shared" si="20"/>
        <v>#VALUE!</v>
      </c>
      <c r="D342" s="12" t="e">
        <f>MID(MAIN!A347,K342+2,2)</f>
        <v>#VALUE!</v>
      </c>
      <c r="E342" s="12" t="e">
        <f>MID(MAIN!A347,K342+4,2)</f>
        <v>#VALUE!</v>
      </c>
      <c r="F342" s="2" t="e">
        <f t="shared" si="21"/>
        <v>#VALUE!</v>
      </c>
      <c r="G342" s="13" t="e">
        <f t="shared" si="22"/>
        <v>#VALUE!</v>
      </c>
      <c r="J342" t="str">
        <f>MAIN!A347&amp;"B"</f>
        <v>B</v>
      </c>
      <c r="K342" s="12" t="e">
        <f t="shared" si="23"/>
        <v>#VALUE!</v>
      </c>
      <c r="L342" t="str">
        <f>MAIN!C347</f>
        <v/>
      </c>
    </row>
    <row r="343" spans="1:12" x14ac:dyDescent="0.3">
      <c r="A343">
        <f>IF(J343="0",0,IF(COUNTIF($J$2:J343,J343)=1,1,0))</f>
        <v>0</v>
      </c>
      <c r="B343" s="12" t="e">
        <f>MID(MAIN!A348,K343,2)</f>
        <v>#VALUE!</v>
      </c>
      <c r="C343" s="12" t="e">
        <f t="shared" si="20"/>
        <v>#VALUE!</v>
      </c>
      <c r="D343" s="12" t="e">
        <f>MID(MAIN!A348,K343+2,2)</f>
        <v>#VALUE!</v>
      </c>
      <c r="E343" s="12" t="e">
        <f>MID(MAIN!A348,K343+4,2)</f>
        <v>#VALUE!</v>
      </c>
      <c r="F343" s="2" t="e">
        <f t="shared" si="21"/>
        <v>#VALUE!</v>
      </c>
      <c r="G343" s="13" t="e">
        <f t="shared" si="22"/>
        <v>#VALUE!</v>
      </c>
      <c r="J343" t="str">
        <f>MAIN!A348&amp;"B"</f>
        <v>B</v>
      </c>
      <c r="K343" s="12" t="e">
        <f t="shared" si="23"/>
        <v>#VALUE!</v>
      </c>
      <c r="L343" t="str">
        <f>MAIN!C348</f>
        <v/>
      </c>
    </row>
    <row r="344" spans="1:12" x14ac:dyDescent="0.3">
      <c r="A344">
        <f>IF(J344="0",0,IF(COUNTIF($J$2:J344,J344)=1,1,0))</f>
        <v>0</v>
      </c>
      <c r="B344" s="12" t="e">
        <f>MID(MAIN!A349,K344,2)</f>
        <v>#VALUE!</v>
      </c>
      <c r="C344" s="12" t="e">
        <f t="shared" si="20"/>
        <v>#VALUE!</v>
      </c>
      <c r="D344" s="12" t="e">
        <f>MID(MAIN!A349,K344+2,2)</f>
        <v>#VALUE!</v>
      </c>
      <c r="E344" s="12" t="e">
        <f>MID(MAIN!A349,K344+4,2)</f>
        <v>#VALUE!</v>
      </c>
      <c r="F344" s="2" t="e">
        <f t="shared" si="21"/>
        <v>#VALUE!</v>
      </c>
      <c r="G344" s="13" t="e">
        <f t="shared" si="22"/>
        <v>#VALUE!</v>
      </c>
      <c r="J344" t="str">
        <f>MAIN!A349&amp;"B"</f>
        <v>B</v>
      </c>
      <c r="K344" s="12" t="e">
        <f t="shared" si="23"/>
        <v>#VALUE!</v>
      </c>
      <c r="L344" t="str">
        <f>MAIN!C349</f>
        <v/>
      </c>
    </row>
    <row r="345" spans="1:12" x14ac:dyDescent="0.3">
      <c r="A345">
        <f>IF(J345="0",0,IF(COUNTIF($J$2:J345,J345)=1,1,0))</f>
        <v>0</v>
      </c>
      <c r="B345" s="12" t="e">
        <f>MID(MAIN!A350,K345,2)</f>
        <v>#VALUE!</v>
      </c>
      <c r="C345" s="12" t="e">
        <f t="shared" si="20"/>
        <v>#VALUE!</v>
      </c>
      <c r="D345" s="12" t="e">
        <f>MID(MAIN!A350,K345+2,2)</f>
        <v>#VALUE!</v>
      </c>
      <c r="E345" s="12" t="e">
        <f>MID(MAIN!A350,K345+4,2)</f>
        <v>#VALUE!</v>
      </c>
      <c r="F345" s="2" t="e">
        <f t="shared" si="21"/>
        <v>#VALUE!</v>
      </c>
      <c r="G345" s="13" t="e">
        <f t="shared" si="22"/>
        <v>#VALUE!</v>
      </c>
      <c r="J345" t="str">
        <f>MAIN!A350&amp;"B"</f>
        <v>B</v>
      </c>
      <c r="K345" s="12" t="e">
        <f t="shared" si="23"/>
        <v>#VALUE!</v>
      </c>
      <c r="L345" t="str">
        <f>MAIN!C350</f>
        <v/>
      </c>
    </row>
    <row r="346" spans="1:12" x14ac:dyDescent="0.3">
      <c r="A346">
        <f>IF(J346="0",0,IF(COUNTIF($J$2:J346,J346)=1,1,0))</f>
        <v>0</v>
      </c>
      <c r="B346" s="12" t="e">
        <f>MID(MAIN!A351,K346,2)</f>
        <v>#VALUE!</v>
      </c>
      <c r="C346" s="12" t="e">
        <f t="shared" si="20"/>
        <v>#VALUE!</v>
      </c>
      <c r="D346" s="12" t="e">
        <f>MID(MAIN!A351,K346+2,2)</f>
        <v>#VALUE!</v>
      </c>
      <c r="E346" s="12" t="e">
        <f>MID(MAIN!A351,K346+4,2)</f>
        <v>#VALUE!</v>
      </c>
      <c r="F346" s="2" t="e">
        <f t="shared" si="21"/>
        <v>#VALUE!</v>
      </c>
      <c r="G346" s="13" t="e">
        <f t="shared" si="22"/>
        <v>#VALUE!</v>
      </c>
      <c r="J346" t="str">
        <f>MAIN!A351&amp;"B"</f>
        <v>B</v>
      </c>
      <c r="K346" s="12" t="e">
        <f t="shared" si="23"/>
        <v>#VALUE!</v>
      </c>
      <c r="L346" t="str">
        <f>MAIN!C351</f>
        <v/>
      </c>
    </row>
    <row r="347" spans="1:12" x14ac:dyDescent="0.3">
      <c r="A347">
        <f>IF(J347="0",0,IF(COUNTIF($J$2:J347,J347)=1,1,0))</f>
        <v>0</v>
      </c>
      <c r="B347" s="12" t="e">
        <f>MID(MAIN!A352,K347,2)</f>
        <v>#VALUE!</v>
      </c>
      <c r="C347" s="12" t="e">
        <f t="shared" si="20"/>
        <v>#VALUE!</v>
      </c>
      <c r="D347" s="12" t="e">
        <f>MID(MAIN!A352,K347+2,2)</f>
        <v>#VALUE!</v>
      </c>
      <c r="E347" s="12" t="e">
        <f>MID(MAIN!A352,K347+4,2)</f>
        <v>#VALUE!</v>
      </c>
      <c r="F347" s="2" t="e">
        <f t="shared" si="21"/>
        <v>#VALUE!</v>
      </c>
      <c r="G347" s="13" t="e">
        <f t="shared" si="22"/>
        <v>#VALUE!</v>
      </c>
      <c r="J347" t="str">
        <f>MAIN!A352&amp;"B"</f>
        <v>B</v>
      </c>
      <c r="K347" s="12" t="e">
        <f t="shared" si="23"/>
        <v>#VALUE!</v>
      </c>
      <c r="L347" t="str">
        <f>MAIN!C352</f>
        <v/>
      </c>
    </row>
    <row r="348" spans="1:12" x14ac:dyDescent="0.3">
      <c r="A348">
        <f>IF(J348="0",0,IF(COUNTIF($J$2:J348,J348)=1,1,0))</f>
        <v>0</v>
      </c>
      <c r="B348" s="12" t="e">
        <f>MID(MAIN!A353,K348,2)</f>
        <v>#VALUE!</v>
      </c>
      <c r="C348" s="12" t="e">
        <f t="shared" si="20"/>
        <v>#VALUE!</v>
      </c>
      <c r="D348" s="12" t="e">
        <f>MID(MAIN!A353,K348+2,2)</f>
        <v>#VALUE!</v>
      </c>
      <c r="E348" s="12" t="e">
        <f>MID(MAIN!A353,K348+4,2)</f>
        <v>#VALUE!</v>
      </c>
      <c r="F348" s="2" t="e">
        <f t="shared" si="21"/>
        <v>#VALUE!</v>
      </c>
      <c r="G348" s="13" t="e">
        <f t="shared" si="22"/>
        <v>#VALUE!</v>
      </c>
      <c r="J348" t="str">
        <f>MAIN!A353&amp;"B"</f>
        <v>B</v>
      </c>
      <c r="K348" s="12" t="e">
        <f t="shared" si="23"/>
        <v>#VALUE!</v>
      </c>
      <c r="L348" t="str">
        <f>MAIN!C353</f>
        <v/>
      </c>
    </row>
    <row r="349" spans="1:12" x14ac:dyDescent="0.3">
      <c r="A349">
        <f>IF(J349="0",0,IF(COUNTIF($J$2:J349,J349)=1,1,0))</f>
        <v>0</v>
      </c>
      <c r="B349" s="12" t="e">
        <f>MID(MAIN!A354,K349,2)</f>
        <v>#VALUE!</v>
      </c>
      <c r="C349" s="12" t="e">
        <f t="shared" si="20"/>
        <v>#VALUE!</v>
      </c>
      <c r="D349" s="12" t="e">
        <f>MID(MAIN!A354,K349+2,2)</f>
        <v>#VALUE!</v>
      </c>
      <c r="E349" s="12" t="e">
        <f>MID(MAIN!A354,K349+4,2)</f>
        <v>#VALUE!</v>
      </c>
      <c r="F349" s="2" t="e">
        <f t="shared" si="21"/>
        <v>#VALUE!</v>
      </c>
      <c r="G349" s="13" t="e">
        <f t="shared" si="22"/>
        <v>#VALUE!</v>
      </c>
      <c r="J349" t="str">
        <f>MAIN!A354&amp;"B"</f>
        <v>B</v>
      </c>
      <c r="K349" s="12" t="e">
        <f t="shared" si="23"/>
        <v>#VALUE!</v>
      </c>
      <c r="L349" t="str">
        <f>MAIN!C354</f>
        <v/>
      </c>
    </row>
    <row r="350" spans="1:12" x14ac:dyDescent="0.3">
      <c r="A350">
        <f>IF(J350="0",0,IF(COUNTIF($J$2:J350,J350)=1,1,0))</f>
        <v>0</v>
      </c>
      <c r="B350" s="12" t="e">
        <f>MID(MAIN!A355,K350,2)</f>
        <v>#VALUE!</v>
      </c>
      <c r="C350" s="12" t="e">
        <f t="shared" si="20"/>
        <v>#VALUE!</v>
      </c>
      <c r="D350" s="12" t="e">
        <f>MID(MAIN!A355,K350+2,2)</f>
        <v>#VALUE!</v>
      </c>
      <c r="E350" s="12" t="e">
        <f>MID(MAIN!A355,K350+4,2)</f>
        <v>#VALUE!</v>
      </c>
      <c r="F350" s="2" t="e">
        <f t="shared" si="21"/>
        <v>#VALUE!</v>
      </c>
      <c r="G350" s="13" t="e">
        <f t="shared" si="22"/>
        <v>#VALUE!</v>
      </c>
      <c r="J350" t="str">
        <f>MAIN!A355&amp;"B"</f>
        <v>B</v>
      </c>
      <c r="K350" s="12" t="e">
        <f t="shared" si="23"/>
        <v>#VALUE!</v>
      </c>
      <c r="L350" t="str">
        <f>MAIN!C355</f>
        <v/>
      </c>
    </row>
    <row r="351" spans="1:12" x14ac:dyDescent="0.3">
      <c r="A351">
        <f>IF(J351="0",0,IF(COUNTIF($J$2:J351,J351)=1,1,0))</f>
        <v>0</v>
      </c>
      <c r="B351" s="12" t="e">
        <f>MID(MAIN!A356,K351,2)</f>
        <v>#VALUE!</v>
      </c>
      <c r="C351" s="12" t="e">
        <f t="shared" si="20"/>
        <v>#VALUE!</v>
      </c>
      <c r="D351" s="12" t="e">
        <f>MID(MAIN!A356,K351+2,2)</f>
        <v>#VALUE!</v>
      </c>
      <c r="E351" s="12" t="e">
        <f>MID(MAIN!A356,K351+4,2)</f>
        <v>#VALUE!</v>
      </c>
      <c r="F351" s="2" t="e">
        <f t="shared" si="21"/>
        <v>#VALUE!</v>
      </c>
      <c r="G351" s="13" t="e">
        <f t="shared" si="22"/>
        <v>#VALUE!</v>
      </c>
      <c r="J351" t="str">
        <f>MAIN!A356&amp;"B"</f>
        <v>B</v>
      </c>
      <c r="K351" s="12" t="e">
        <f t="shared" si="23"/>
        <v>#VALUE!</v>
      </c>
      <c r="L351" t="str">
        <f>MAIN!C356</f>
        <v/>
      </c>
    </row>
    <row r="352" spans="1:12" x14ac:dyDescent="0.3">
      <c r="A352">
        <f>IF(J352="0",0,IF(COUNTIF($J$2:J352,J352)=1,1,0))</f>
        <v>0</v>
      </c>
      <c r="B352" s="12" t="e">
        <f>MID(MAIN!A357,K352,2)</f>
        <v>#VALUE!</v>
      </c>
      <c r="C352" s="12" t="e">
        <f t="shared" si="20"/>
        <v>#VALUE!</v>
      </c>
      <c r="D352" s="12" t="e">
        <f>MID(MAIN!A357,K352+2,2)</f>
        <v>#VALUE!</v>
      </c>
      <c r="E352" s="12" t="e">
        <f>MID(MAIN!A357,K352+4,2)</f>
        <v>#VALUE!</v>
      </c>
      <c r="F352" s="2" t="e">
        <f t="shared" si="21"/>
        <v>#VALUE!</v>
      </c>
      <c r="G352" s="13" t="e">
        <f t="shared" si="22"/>
        <v>#VALUE!</v>
      </c>
      <c r="J352" t="str">
        <f>MAIN!A357&amp;"B"</f>
        <v>B</v>
      </c>
      <c r="K352" s="12" t="e">
        <f t="shared" si="23"/>
        <v>#VALUE!</v>
      </c>
      <c r="L352" t="str">
        <f>MAIN!C357</f>
        <v/>
      </c>
    </row>
    <row r="353" spans="1:12" x14ac:dyDescent="0.3">
      <c r="A353">
        <f>IF(J353="0",0,IF(COUNTIF($J$2:J353,J353)=1,1,0))</f>
        <v>0</v>
      </c>
      <c r="B353" s="12" t="e">
        <f>MID(MAIN!A358,K353,2)</f>
        <v>#VALUE!</v>
      </c>
      <c r="C353" s="12" t="e">
        <f t="shared" si="20"/>
        <v>#VALUE!</v>
      </c>
      <c r="D353" s="12" t="e">
        <f>MID(MAIN!A358,K353+2,2)</f>
        <v>#VALUE!</v>
      </c>
      <c r="E353" s="12" t="e">
        <f>MID(MAIN!A358,K353+4,2)</f>
        <v>#VALUE!</v>
      </c>
      <c r="F353" s="2" t="e">
        <f t="shared" si="21"/>
        <v>#VALUE!</v>
      </c>
      <c r="G353" s="13" t="e">
        <f t="shared" si="22"/>
        <v>#VALUE!</v>
      </c>
      <c r="J353" t="str">
        <f>MAIN!A358&amp;"B"</f>
        <v>B</v>
      </c>
      <c r="K353" s="12" t="e">
        <f t="shared" si="23"/>
        <v>#VALUE!</v>
      </c>
      <c r="L353" t="str">
        <f>MAIN!C358</f>
        <v/>
      </c>
    </row>
    <row r="354" spans="1:12" x14ac:dyDescent="0.3">
      <c r="A354">
        <f>IF(J354="0",0,IF(COUNTIF($J$2:J354,J354)=1,1,0))</f>
        <v>0</v>
      </c>
      <c r="B354" s="12" t="e">
        <f>MID(MAIN!A359,K354,2)</f>
        <v>#VALUE!</v>
      </c>
      <c r="C354" s="12" t="e">
        <f t="shared" si="20"/>
        <v>#VALUE!</v>
      </c>
      <c r="D354" s="12" t="e">
        <f>MID(MAIN!A359,K354+2,2)</f>
        <v>#VALUE!</v>
      </c>
      <c r="E354" s="12" t="e">
        <f>MID(MAIN!A359,K354+4,2)</f>
        <v>#VALUE!</v>
      </c>
      <c r="F354" s="2" t="e">
        <f t="shared" si="21"/>
        <v>#VALUE!</v>
      </c>
      <c r="G354" s="13" t="e">
        <f t="shared" si="22"/>
        <v>#VALUE!</v>
      </c>
      <c r="J354" t="str">
        <f>MAIN!A359&amp;"B"</f>
        <v>B</v>
      </c>
      <c r="K354" s="12" t="e">
        <f t="shared" si="23"/>
        <v>#VALUE!</v>
      </c>
      <c r="L354" t="str">
        <f>MAIN!C359</f>
        <v/>
      </c>
    </row>
    <row r="355" spans="1:12" x14ac:dyDescent="0.3">
      <c r="A355">
        <f>IF(J355="0",0,IF(COUNTIF($J$2:J355,J355)=1,1,0))</f>
        <v>0</v>
      </c>
      <c r="B355" s="12" t="e">
        <f>MID(MAIN!A360,K355,2)</f>
        <v>#VALUE!</v>
      </c>
      <c r="C355" s="12" t="e">
        <f t="shared" si="20"/>
        <v>#VALUE!</v>
      </c>
      <c r="D355" s="12" t="e">
        <f>MID(MAIN!A360,K355+2,2)</f>
        <v>#VALUE!</v>
      </c>
      <c r="E355" s="12" t="e">
        <f>MID(MAIN!A360,K355+4,2)</f>
        <v>#VALUE!</v>
      </c>
      <c r="F355" s="2" t="e">
        <f t="shared" si="21"/>
        <v>#VALUE!</v>
      </c>
      <c r="G355" s="13" t="e">
        <f t="shared" si="22"/>
        <v>#VALUE!</v>
      </c>
      <c r="J355" t="str">
        <f>MAIN!A360&amp;"B"</f>
        <v>B</v>
      </c>
      <c r="K355" s="12" t="e">
        <f t="shared" si="23"/>
        <v>#VALUE!</v>
      </c>
      <c r="L355" t="str">
        <f>MAIN!C360</f>
        <v/>
      </c>
    </row>
    <row r="356" spans="1:12" x14ac:dyDescent="0.3">
      <c r="A356">
        <f>IF(J356="0",0,IF(COUNTIF($J$2:J356,J356)=1,1,0))</f>
        <v>0</v>
      </c>
      <c r="B356" s="12" t="e">
        <f>MID(MAIN!A361,K356,2)</f>
        <v>#VALUE!</v>
      </c>
      <c r="C356" s="12" t="e">
        <f t="shared" si="20"/>
        <v>#VALUE!</v>
      </c>
      <c r="D356" s="12" t="e">
        <f>MID(MAIN!A361,K356+2,2)</f>
        <v>#VALUE!</v>
      </c>
      <c r="E356" s="12" t="e">
        <f>MID(MAIN!A361,K356+4,2)</f>
        <v>#VALUE!</v>
      </c>
      <c r="F356" s="2" t="e">
        <f t="shared" si="21"/>
        <v>#VALUE!</v>
      </c>
      <c r="G356" s="13" t="e">
        <f t="shared" si="22"/>
        <v>#VALUE!</v>
      </c>
      <c r="J356" t="str">
        <f>MAIN!A361&amp;"B"</f>
        <v>B</v>
      </c>
      <c r="K356" s="12" t="e">
        <f t="shared" si="23"/>
        <v>#VALUE!</v>
      </c>
      <c r="L356" t="str">
        <f>MAIN!C361</f>
        <v/>
      </c>
    </row>
    <row r="357" spans="1:12" x14ac:dyDescent="0.3">
      <c r="A357">
        <f>IF(J357="0",0,IF(COUNTIF($J$2:J357,J357)=1,1,0))</f>
        <v>0</v>
      </c>
      <c r="B357" s="12" t="e">
        <f>MID(MAIN!A362,K357,2)</f>
        <v>#VALUE!</v>
      </c>
      <c r="C357" s="12" t="e">
        <f t="shared" si="20"/>
        <v>#VALUE!</v>
      </c>
      <c r="D357" s="12" t="e">
        <f>MID(MAIN!A362,K357+2,2)</f>
        <v>#VALUE!</v>
      </c>
      <c r="E357" s="12" t="e">
        <f>MID(MAIN!A362,K357+4,2)</f>
        <v>#VALUE!</v>
      </c>
      <c r="F357" s="2" t="e">
        <f t="shared" si="21"/>
        <v>#VALUE!</v>
      </c>
      <c r="G357" s="13" t="e">
        <f t="shared" si="22"/>
        <v>#VALUE!</v>
      </c>
      <c r="J357" t="str">
        <f>MAIN!A362&amp;"B"</f>
        <v>B</v>
      </c>
      <c r="K357" s="12" t="e">
        <f t="shared" si="23"/>
        <v>#VALUE!</v>
      </c>
      <c r="L357" t="str">
        <f>MAIN!C362</f>
        <v/>
      </c>
    </row>
    <row r="358" spans="1:12" x14ac:dyDescent="0.3">
      <c r="A358">
        <f>IF(J358="0",0,IF(COUNTIF($J$2:J358,J358)=1,1,0))</f>
        <v>0</v>
      </c>
      <c r="B358" s="12" t="e">
        <f>MID(MAIN!A363,K358,2)</f>
        <v>#VALUE!</v>
      </c>
      <c r="C358" s="12" t="e">
        <f t="shared" si="20"/>
        <v>#VALUE!</v>
      </c>
      <c r="D358" s="12" t="e">
        <f>MID(MAIN!A363,K358+2,2)</f>
        <v>#VALUE!</v>
      </c>
      <c r="E358" s="12" t="e">
        <f>MID(MAIN!A363,K358+4,2)</f>
        <v>#VALUE!</v>
      </c>
      <c r="F358" s="2" t="e">
        <f t="shared" si="21"/>
        <v>#VALUE!</v>
      </c>
      <c r="G358" s="13" t="e">
        <f t="shared" si="22"/>
        <v>#VALUE!</v>
      </c>
      <c r="J358" t="str">
        <f>MAIN!A363&amp;"B"</f>
        <v>B</v>
      </c>
      <c r="K358" s="12" t="e">
        <f t="shared" si="23"/>
        <v>#VALUE!</v>
      </c>
      <c r="L358" t="str">
        <f>MAIN!C363</f>
        <v/>
      </c>
    </row>
    <row r="359" spans="1:12" x14ac:dyDescent="0.3">
      <c r="A359">
        <f>IF(J359="0",0,IF(COUNTIF($J$2:J359,J359)=1,1,0))</f>
        <v>0</v>
      </c>
      <c r="B359" s="12" t="e">
        <f>MID(MAIN!A364,K359,2)</f>
        <v>#VALUE!</v>
      </c>
      <c r="C359" s="12" t="e">
        <f t="shared" si="20"/>
        <v>#VALUE!</v>
      </c>
      <c r="D359" s="12" t="e">
        <f>MID(MAIN!A364,K359+2,2)</f>
        <v>#VALUE!</v>
      </c>
      <c r="E359" s="12" t="e">
        <f>MID(MAIN!A364,K359+4,2)</f>
        <v>#VALUE!</v>
      </c>
      <c r="F359" s="2" t="e">
        <f t="shared" si="21"/>
        <v>#VALUE!</v>
      </c>
      <c r="G359" s="13" t="e">
        <f t="shared" si="22"/>
        <v>#VALUE!</v>
      </c>
      <c r="J359" t="str">
        <f>MAIN!A364&amp;"B"</f>
        <v>B</v>
      </c>
      <c r="K359" s="12" t="e">
        <f t="shared" si="23"/>
        <v>#VALUE!</v>
      </c>
      <c r="L359" t="str">
        <f>MAIN!C364</f>
        <v/>
      </c>
    </row>
    <row r="360" spans="1:12" x14ac:dyDescent="0.3">
      <c r="A360">
        <f>IF(J360="0",0,IF(COUNTIF($J$2:J360,J360)=1,1,0))</f>
        <v>0</v>
      </c>
      <c r="B360" s="12" t="e">
        <f>MID(MAIN!A365,K360,2)</f>
        <v>#VALUE!</v>
      </c>
      <c r="C360" s="12" t="e">
        <f t="shared" si="20"/>
        <v>#VALUE!</v>
      </c>
      <c r="D360" s="12" t="e">
        <f>MID(MAIN!A365,K360+2,2)</f>
        <v>#VALUE!</v>
      </c>
      <c r="E360" s="12" t="e">
        <f>MID(MAIN!A365,K360+4,2)</f>
        <v>#VALUE!</v>
      </c>
      <c r="F360" s="2" t="e">
        <f t="shared" si="21"/>
        <v>#VALUE!</v>
      </c>
      <c r="G360" s="13" t="e">
        <f t="shared" si="22"/>
        <v>#VALUE!</v>
      </c>
      <c r="J360" t="str">
        <f>MAIN!A365&amp;"B"</f>
        <v>B</v>
      </c>
      <c r="K360" s="12" t="e">
        <f t="shared" si="23"/>
        <v>#VALUE!</v>
      </c>
      <c r="L360" t="str">
        <f>MAIN!C365</f>
        <v/>
      </c>
    </row>
    <row r="361" spans="1:12" x14ac:dyDescent="0.3">
      <c r="A361">
        <f>IF(J361="0",0,IF(COUNTIF($J$2:J361,J361)=1,1,0))</f>
        <v>0</v>
      </c>
      <c r="B361" s="12" t="e">
        <f>MID(MAIN!A366,K361,2)</f>
        <v>#VALUE!</v>
      </c>
      <c r="C361" s="12" t="e">
        <f t="shared" si="20"/>
        <v>#VALUE!</v>
      </c>
      <c r="D361" s="12" t="e">
        <f>MID(MAIN!A366,K361+2,2)</f>
        <v>#VALUE!</v>
      </c>
      <c r="E361" s="12" t="e">
        <f>MID(MAIN!A366,K361+4,2)</f>
        <v>#VALUE!</v>
      </c>
      <c r="F361" s="2" t="e">
        <f t="shared" si="21"/>
        <v>#VALUE!</v>
      </c>
      <c r="G361" s="13" t="e">
        <f t="shared" si="22"/>
        <v>#VALUE!</v>
      </c>
      <c r="J361" t="str">
        <f>MAIN!A366&amp;"B"</f>
        <v>B</v>
      </c>
      <c r="K361" s="12" t="e">
        <f t="shared" si="23"/>
        <v>#VALUE!</v>
      </c>
      <c r="L361" t="str">
        <f>MAIN!C366</f>
        <v/>
      </c>
    </row>
    <row r="362" spans="1:12" x14ac:dyDescent="0.3">
      <c r="A362">
        <f>IF(J362="0",0,IF(COUNTIF($J$2:J362,J362)=1,1,0))</f>
        <v>0</v>
      </c>
      <c r="B362" s="12" t="e">
        <f>MID(MAIN!A367,K362,2)</f>
        <v>#VALUE!</v>
      </c>
      <c r="C362" s="12" t="e">
        <f t="shared" si="20"/>
        <v>#VALUE!</v>
      </c>
      <c r="D362" s="12" t="e">
        <f>MID(MAIN!A367,K362+2,2)</f>
        <v>#VALUE!</v>
      </c>
      <c r="E362" s="12" t="e">
        <f>MID(MAIN!A367,K362+4,2)</f>
        <v>#VALUE!</v>
      </c>
      <c r="F362" s="2" t="e">
        <f t="shared" si="21"/>
        <v>#VALUE!</v>
      </c>
      <c r="G362" s="13" t="e">
        <f t="shared" si="22"/>
        <v>#VALUE!</v>
      </c>
      <c r="J362" t="str">
        <f>MAIN!A367&amp;"B"</f>
        <v>B</v>
      </c>
      <c r="K362" s="12" t="e">
        <f t="shared" si="23"/>
        <v>#VALUE!</v>
      </c>
      <c r="L362" t="str">
        <f>MAIN!C367</f>
        <v/>
      </c>
    </row>
    <row r="363" spans="1:12" x14ac:dyDescent="0.3">
      <c r="A363">
        <f>IF(J363="0",0,IF(COUNTIF($J$2:J363,J363)=1,1,0))</f>
        <v>0</v>
      </c>
      <c r="B363" s="12" t="e">
        <f>MID(MAIN!A368,K363,2)</f>
        <v>#VALUE!</v>
      </c>
      <c r="C363" s="12" t="e">
        <f t="shared" si="20"/>
        <v>#VALUE!</v>
      </c>
      <c r="D363" s="12" t="e">
        <f>MID(MAIN!A368,K363+2,2)</f>
        <v>#VALUE!</v>
      </c>
      <c r="E363" s="12" t="e">
        <f>MID(MAIN!A368,K363+4,2)</f>
        <v>#VALUE!</v>
      </c>
      <c r="F363" s="2" t="e">
        <f t="shared" si="21"/>
        <v>#VALUE!</v>
      </c>
      <c r="G363" s="13" t="e">
        <f t="shared" si="22"/>
        <v>#VALUE!</v>
      </c>
      <c r="J363" t="str">
        <f>MAIN!A368&amp;"B"</f>
        <v>B</v>
      </c>
      <c r="K363" s="12" t="e">
        <f t="shared" si="23"/>
        <v>#VALUE!</v>
      </c>
      <c r="L363" t="str">
        <f>MAIN!C368</f>
        <v/>
      </c>
    </row>
    <row r="364" spans="1:12" x14ac:dyDescent="0.3">
      <c r="A364">
        <f>IF(J364="0",0,IF(COUNTIF($J$2:J364,J364)=1,1,0))</f>
        <v>0</v>
      </c>
      <c r="B364" s="12" t="e">
        <f>MID(MAIN!A369,K364,2)</f>
        <v>#VALUE!</v>
      </c>
      <c r="C364" s="12" t="e">
        <f t="shared" si="20"/>
        <v>#VALUE!</v>
      </c>
      <c r="D364" s="12" t="e">
        <f>MID(MAIN!A369,K364+2,2)</f>
        <v>#VALUE!</v>
      </c>
      <c r="E364" s="12" t="e">
        <f>MID(MAIN!A369,K364+4,2)</f>
        <v>#VALUE!</v>
      </c>
      <c r="F364" s="2" t="e">
        <f t="shared" si="21"/>
        <v>#VALUE!</v>
      </c>
      <c r="G364" s="13" t="e">
        <f t="shared" si="22"/>
        <v>#VALUE!</v>
      </c>
      <c r="J364" t="str">
        <f>MAIN!A369&amp;"B"</f>
        <v>B</v>
      </c>
      <c r="K364" s="12" t="e">
        <f t="shared" si="23"/>
        <v>#VALUE!</v>
      </c>
      <c r="L364" t="str">
        <f>MAIN!C369</f>
        <v/>
      </c>
    </row>
    <row r="365" spans="1:12" x14ac:dyDescent="0.3">
      <c r="A365">
        <f>IF(J365="0",0,IF(COUNTIF($J$2:J365,J365)=1,1,0))</f>
        <v>0</v>
      </c>
      <c r="B365" s="12" t="e">
        <f>MID(MAIN!A370,K365,2)</f>
        <v>#VALUE!</v>
      </c>
      <c r="C365" s="12" t="e">
        <f t="shared" si="20"/>
        <v>#VALUE!</v>
      </c>
      <c r="D365" s="12" t="e">
        <f>MID(MAIN!A370,K365+2,2)</f>
        <v>#VALUE!</v>
      </c>
      <c r="E365" s="12" t="e">
        <f>MID(MAIN!A370,K365+4,2)</f>
        <v>#VALUE!</v>
      </c>
      <c r="F365" s="2" t="e">
        <f t="shared" si="21"/>
        <v>#VALUE!</v>
      </c>
      <c r="G365" s="13" t="e">
        <f t="shared" si="22"/>
        <v>#VALUE!</v>
      </c>
      <c r="J365" t="str">
        <f>MAIN!A370&amp;"B"</f>
        <v>B</v>
      </c>
      <c r="K365" s="12" t="e">
        <f t="shared" si="23"/>
        <v>#VALUE!</v>
      </c>
      <c r="L365" t="str">
        <f>MAIN!C370</f>
        <v/>
      </c>
    </row>
    <row r="366" spans="1:12" x14ac:dyDescent="0.3">
      <c r="A366">
        <f>IF(J366="0",0,IF(COUNTIF($J$2:J366,J366)=1,1,0))</f>
        <v>0</v>
      </c>
      <c r="B366" s="12" t="e">
        <f>MID(MAIN!A371,K366,2)</f>
        <v>#VALUE!</v>
      </c>
      <c r="C366" s="12" t="e">
        <f t="shared" si="20"/>
        <v>#VALUE!</v>
      </c>
      <c r="D366" s="12" t="e">
        <f>MID(MAIN!A371,K366+2,2)</f>
        <v>#VALUE!</v>
      </c>
      <c r="E366" s="12" t="e">
        <f>MID(MAIN!A371,K366+4,2)</f>
        <v>#VALUE!</v>
      </c>
      <c r="F366" s="2" t="e">
        <f t="shared" si="21"/>
        <v>#VALUE!</v>
      </c>
      <c r="G366" s="13" t="e">
        <f t="shared" si="22"/>
        <v>#VALUE!</v>
      </c>
      <c r="J366" t="str">
        <f>MAIN!A371&amp;"B"</f>
        <v>B</v>
      </c>
      <c r="K366" s="12" t="e">
        <f t="shared" si="23"/>
        <v>#VALUE!</v>
      </c>
      <c r="L366" t="str">
        <f>MAIN!C371</f>
        <v/>
      </c>
    </row>
    <row r="367" spans="1:12" x14ac:dyDescent="0.3">
      <c r="A367">
        <f>IF(J367="0",0,IF(COUNTIF($J$2:J367,J367)=1,1,0))</f>
        <v>0</v>
      </c>
      <c r="B367" s="12" t="e">
        <f>MID(MAIN!A372,K367,2)</f>
        <v>#VALUE!</v>
      </c>
      <c r="C367" s="12" t="e">
        <f t="shared" si="20"/>
        <v>#VALUE!</v>
      </c>
      <c r="D367" s="12" t="e">
        <f>MID(MAIN!A372,K367+2,2)</f>
        <v>#VALUE!</v>
      </c>
      <c r="E367" s="12" t="e">
        <f>MID(MAIN!A372,K367+4,2)</f>
        <v>#VALUE!</v>
      </c>
      <c r="F367" s="2" t="e">
        <f t="shared" si="21"/>
        <v>#VALUE!</v>
      </c>
      <c r="G367" s="13" t="e">
        <f t="shared" si="22"/>
        <v>#VALUE!</v>
      </c>
      <c r="J367" t="str">
        <f>MAIN!A372&amp;"B"</f>
        <v>B</v>
      </c>
      <c r="K367" s="12" t="e">
        <f t="shared" si="23"/>
        <v>#VALUE!</v>
      </c>
      <c r="L367" t="str">
        <f>MAIN!C372</f>
        <v/>
      </c>
    </row>
    <row r="368" spans="1:12" x14ac:dyDescent="0.3">
      <c r="A368">
        <f>IF(J368="0",0,IF(COUNTIF($J$2:J368,J368)=1,1,0))</f>
        <v>0</v>
      </c>
      <c r="B368" s="12" t="e">
        <f>MID(MAIN!A373,K368,2)</f>
        <v>#VALUE!</v>
      </c>
      <c r="C368" s="12" t="e">
        <f t="shared" si="20"/>
        <v>#VALUE!</v>
      </c>
      <c r="D368" s="12" t="e">
        <f>MID(MAIN!A373,K368+2,2)</f>
        <v>#VALUE!</v>
      </c>
      <c r="E368" s="12" t="e">
        <f>MID(MAIN!A373,K368+4,2)</f>
        <v>#VALUE!</v>
      </c>
      <c r="F368" s="2" t="e">
        <f t="shared" si="21"/>
        <v>#VALUE!</v>
      </c>
      <c r="G368" s="13" t="e">
        <f t="shared" si="22"/>
        <v>#VALUE!</v>
      </c>
      <c r="J368" t="str">
        <f>MAIN!A373&amp;"B"</f>
        <v>B</v>
      </c>
      <c r="K368" s="12" t="e">
        <f t="shared" si="23"/>
        <v>#VALUE!</v>
      </c>
      <c r="L368" t="str">
        <f>MAIN!C373</f>
        <v/>
      </c>
    </row>
    <row r="369" spans="1:12" x14ac:dyDescent="0.3">
      <c r="A369">
        <f>IF(J369="0",0,IF(COUNTIF($J$2:J369,J369)=1,1,0))</f>
        <v>0</v>
      </c>
      <c r="B369" s="12" t="e">
        <f>MID(MAIN!A374,K369,2)</f>
        <v>#VALUE!</v>
      </c>
      <c r="C369" s="12" t="e">
        <f t="shared" si="20"/>
        <v>#VALUE!</v>
      </c>
      <c r="D369" s="12" t="e">
        <f>MID(MAIN!A374,K369+2,2)</f>
        <v>#VALUE!</v>
      </c>
      <c r="E369" s="12" t="e">
        <f>MID(MAIN!A374,K369+4,2)</f>
        <v>#VALUE!</v>
      </c>
      <c r="F369" s="2" t="e">
        <f t="shared" si="21"/>
        <v>#VALUE!</v>
      </c>
      <c r="G369" s="13" t="e">
        <f t="shared" si="22"/>
        <v>#VALUE!</v>
      </c>
      <c r="J369" t="str">
        <f>MAIN!A374&amp;"B"</f>
        <v>B</v>
      </c>
      <c r="K369" s="12" t="e">
        <f t="shared" si="23"/>
        <v>#VALUE!</v>
      </c>
      <c r="L369" t="str">
        <f>MAIN!C374</f>
        <v/>
      </c>
    </row>
    <row r="370" spans="1:12" x14ac:dyDescent="0.3">
      <c r="A370">
        <f>IF(J370="0",0,IF(COUNTIF($J$2:J370,J370)=1,1,0))</f>
        <v>0</v>
      </c>
      <c r="B370" s="12" t="e">
        <f>MID(MAIN!A375,K370,2)</f>
        <v>#VALUE!</v>
      </c>
      <c r="C370" s="12" t="e">
        <f t="shared" si="20"/>
        <v>#VALUE!</v>
      </c>
      <c r="D370" s="12" t="e">
        <f>MID(MAIN!A375,K370+2,2)</f>
        <v>#VALUE!</v>
      </c>
      <c r="E370" s="12" t="e">
        <f>MID(MAIN!A375,K370+4,2)</f>
        <v>#VALUE!</v>
      </c>
      <c r="F370" s="2" t="e">
        <f t="shared" si="21"/>
        <v>#VALUE!</v>
      </c>
      <c r="G370" s="13" t="e">
        <f t="shared" si="22"/>
        <v>#VALUE!</v>
      </c>
      <c r="J370" t="str">
        <f>MAIN!A375&amp;"B"</f>
        <v>B</v>
      </c>
      <c r="K370" s="12" t="e">
        <f t="shared" si="23"/>
        <v>#VALUE!</v>
      </c>
      <c r="L370" t="str">
        <f>MAIN!C375</f>
        <v/>
      </c>
    </row>
    <row r="371" spans="1:12" x14ac:dyDescent="0.3">
      <c r="A371">
        <f>IF(J371="0",0,IF(COUNTIF($J$2:J371,J371)=1,1,0))</f>
        <v>0</v>
      </c>
      <c r="B371" s="12" t="e">
        <f>MID(MAIN!A376,K371,2)</f>
        <v>#VALUE!</v>
      </c>
      <c r="C371" s="12" t="e">
        <f t="shared" si="20"/>
        <v>#VALUE!</v>
      </c>
      <c r="D371" s="12" t="e">
        <f>MID(MAIN!A376,K371+2,2)</f>
        <v>#VALUE!</v>
      </c>
      <c r="E371" s="12" t="e">
        <f>MID(MAIN!A376,K371+4,2)</f>
        <v>#VALUE!</v>
      </c>
      <c r="F371" s="2" t="e">
        <f t="shared" si="21"/>
        <v>#VALUE!</v>
      </c>
      <c r="G371" s="13" t="e">
        <f t="shared" si="22"/>
        <v>#VALUE!</v>
      </c>
      <c r="J371" t="str">
        <f>MAIN!A376&amp;"B"</f>
        <v>B</v>
      </c>
      <c r="K371" s="12" t="e">
        <f t="shared" si="23"/>
        <v>#VALUE!</v>
      </c>
      <c r="L371" t="str">
        <f>MAIN!C376</f>
        <v/>
      </c>
    </row>
    <row r="372" spans="1:12" x14ac:dyDescent="0.3">
      <c r="A372">
        <f>IF(J372="0",0,IF(COUNTIF($J$2:J372,J372)=1,1,0))</f>
        <v>0</v>
      </c>
      <c r="B372" s="12" t="e">
        <f>MID(MAIN!A377,K372,2)</f>
        <v>#VALUE!</v>
      </c>
      <c r="C372" s="12" t="e">
        <f t="shared" si="20"/>
        <v>#VALUE!</v>
      </c>
      <c r="D372" s="12" t="e">
        <f>MID(MAIN!A377,K372+2,2)</f>
        <v>#VALUE!</v>
      </c>
      <c r="E372" s="12" t="e">
        <f>MID(MAIN!A377,K372+4,2)</f>
        <v>#VALUE!</v>
      </c>
      <c r="F372" s="2" t="e">
        <f t="shared" si="21"/>
        <v>#VALUE!</v>
      </c>
      <c r="G372" s="13" t="e">
        <f t="shared" si="22"/>
        <v>#VALUE!</v>
      </c>
      <c r="J372" t="str">
        <f>MAIN!A377&amp;"B"</f>
        <v>B</v>
      </c>
      <c r="K372" s="12" t="e">
        <f t="shared" si="23"/>
        <v>#VALUE!</v>
      </c>
      <c r="L372" t="str">
        <f>MAIN!C377</f>
        <v/>
      </c>
    </row>
    <row r="373" spans="1:12" x14ac:dyDescent="0.3">
      <c r="A373">
        <f>IF(J373="0",0,IF(COUNTIF($J$2:J373,J373)=1,1,0))</f>
        <v>0</v>
      </c>
      <c r="B373" s="12" t="e">
        <f>MID(MAIN!A378,K373,2)</f>
        <v>#VALUE!</v>
      </c>
      <c r="C373" s="12" t="e">
        <f t="shared" si="20"/>
        <v>#VALUE!</v>
      </c>
      <c r="D373" s="12" t="e">
        <f>MID(MAIN!A378,K373+2,2)</f>
        <v>#VALUE!</v>
      </c>
      <c r="E373" s="12" t="e">
        <f>MID(MAIN!A378,K373+4,2)</f>
        <v>#VALUE!</v>
      </c>
      <c r="F373" s="2" t="e">
        <f t="shared" si="21"/>
        <v>#VALUE!</v>
      </c>
      <c r="G373" s="13" t="e">
        <f t="shared" si="22"/>
        <v>#VALUE!</v>
      </c>
      <c r="J373" t="str">
        <f>MAIN!A378&amp;"B"</f>
        <v>B</v>
      </c>
      <c r="K373" s="12" t="e">
        <f t="shared" si="23"/>
        <v>#VALUE!</v>
      </c>
      <c r="L373" t="str">
        <f>MAIN!C378</f>
        <v/>
      </c>
    </row>
    <row r="374" spans="1:12" x14ac:dyDescent="0.3">
      <c r="A374">
        <f>IF(J374="0",0,IF(COUNTIF($J$2:J374,J374)=1,1,0))</f>
        <v>0</v>
      </c>
      <c r="B374" s="12" t="e">
        <f>MID(MAIN!A379,K374,2)</f>
        <v>#VALUE!</v>
      </c>
      <c r="C374" s="12" t="e">
        <f t="shared" si="20"/>
        <v>#VALUE!</v>
      </c>
      <c r="D374" s="12" t="e">
        <f>MID(MAIN!A379,K374+2,2)</f>
        <v>#VALUE!</v>
      </c>
      <c r="E374" s="12" t="e">
        <f>MID(MAIN!A379,K374+4,2)</f>
        <v>#VALUE!</v>
      </c>
      <c r="F374" s="2" t="e">
        <f t="shared" si="21"/>
        <v>#VALUE!</v>
      </c>
      <c r="G374" s="13" t="e">
        <f t="shared" si="22"/>
        <v>#VALUE!</v>
      </c>
      <c r="J374" t="str">
        <f>MAIN!A379&amp;"B"</f>
        <v>B</v>
      </c>
      <c r="K374" s="12" t="e">
        <f t="shared" si="23"/>
        <v>#VALUE!</v>
      </c>
      <c r="L374" t="str">
        <f>MAIN!C379</f>
        <v/>
      </c>
    </row>
    <row r="375" spans="1:12" x14ac:dyDescent="0.3">
      <c r="A375">
        <f>IF(J375="0",0,IF(COUNTIF($J$2:J375,J375)=1,1,0))</f>
        <v>0</v>
      </c>
      <c r="B375" s="12" t="e">
        <f>MID(MAIN!A380,K375,2)</f>
        <v>#VALUE!</v>
      </c>
      <c r="C375" s="12" t="e">
        <f t="shared" si="20"/>
        <v>#VALUE!</v>
      </c>
      <c r="D375" s="12" t="e">
        <f>MID(MAIN!A380,K375+2,2)</f>
        <v>#VALUE!</v>
      </c>
      <c r="E375" s="12" t="e">
        <f>MID(MAIN!A380,K375+4,2)</f>
        <v>#VALUE!</v>
      </c>
      <c r="F375" s="2" t="e">
        <f t="shared" si="21"/>
        <v>#VALUE!</v>
      </c>
      <c r="G375" s="13" t="e">
        <f t="shared" si="22"/>
        <v>#VALUE!</v>
      </c>
      <c r="J375" t="str">
        <f>MAIN!A380&amp;"B"</f>
        <v>B</v>
      </c>
      <c r="K375" s="12" t="e">
        <f t="shared" si="23"/>
        <v>#VALUE!</v>
      </c>
      <c r="L375" t="str">
        <f>MAIN!C380</f>
        <v/>
      </c>
    </row>
    <row r="376" spans="1:12" x14ac:dyDescent="0.3">
      <c r="A376">
        <f>IF(J376="0",0,IF(COUNTIF($J$2:J376,J376)=1,1,0))</f>
        <v>0</v>
      </c>
      <c r="B376" s="12" t="e">
        <f>MID(MAIN!A381,K376,2)</f>
        <v>#VALUE!</v>
      </c>
      <c r="C376" s="12" t="e">
        <f t="shared" si="20"/>
        <v>#VALUE!</v>
      </c>
      <c r="D376" s="12" t="e">
        <f>MID(MAIN!A381,K376+2,2)</f>
        <v>#VALUE!</v>
      </c>
      <c r="E376" s="12" t="e">
        <f>MID(MAIN!A381,K376+4,2)</f>
        <v>#VALUE!</v>
      </c>
      <c r="F376" s="2" t="e">
        <f t="shared" si="21"/>
        <v>#VALUE!</v>
      </c>
      <c r="G376" s="13" t="e">
        <f t="shared" si="22"/>
        <v>#VALUE!</v>
      </c>
      <c r="J376" t="str">
        <f>MAIN!A381&amp;"B"</f>
        <v>B</v>
      </c>
      <c r="K376" s="12" t="e">
        <f t="shared" si="23"/>
        <v>#VALUE!</v>
      </c>
      <c r="L376" t="str">
        <f>MAIN!C381</f>
        <v/>
      </c>
    </row>
    <row r="377" spans="1:12" x14ac:dyDescent="0.3">
      <c r="A377">
        <f>IF(J377="0",0,IF(COUNTIF($J$2:J377,J377)=1,1,0))</f>
        <v>0</v>
      </c>
      <c r="B377" s="12" t="e">
        <f>MID(MAIN!A382,K377,2)</f>
        <v>#VALUE!</v>
      </c>
      <c r="C377" s="12" t="e">
        <f t="shared" si="20"/>
        <v>#VALUE!</v>
      </c>
      <c r="D377" s="12" t="e">
        <f>MID(MAIN!A382,K377+2,2)</f>
        <v>#VALUE!</v>
      </c>
      <c r="E377" s="12" t="e">
        <f>MID(MAIN!A382,K377+4,2)</f>
        <v>#VALUE!</v>
      </c>
      <c r="F377" s="2" t="e">
        <f t="shared" si="21"/>
        <v>#VALUE!</v>
      </c>
      <c r="G377" s="13" t="e">
        <f t="shared" si="22"/>
        <v>#VALUE!</v>
      </c>
      <c r="J377" t="str">
        <f>MAIN!A382&amp;"B"</f>
        <v>B</v>
      </c>
      <c r="K377" s="12" t="e">
        <f t="shared" si="23"/>
        <v>#VALUE!</v>
      </c>
      <c r="L377" t="str">
        <f>MAIN!C382</f>
        <v/>
      </c>
    </row>
    <row r="378" spans="1:12" x14ac:dyDescent="0.3">
      <c r="A378">
        <f>IF(J378="0",0,IF(COUNTIF($J$2:J378,J378)=1,1,0))</f>
        <v>0</v>
      </c>
      <c r="B378" s="12" t="e">
        <f>MID(MAIN!A383,K378,2)</f>
        <v>#VALUE!</v>
      </c>
      <c r="C378" s="12" t="e">
        <f t="shared" si="20"/>
        <v>#VALUE!</v>
      </c>
      <c r="D378" s="12" t="e">
        <f>MID(MAIN!A383,K378+2,2)</f>
        <v>#VALUE!</v>
      </c>
      <c r="E378" s="12" t="e">
        <f>MID(MAIN!A383,K378+4,2)</f>
        <v>#VALUE!</v>
      </c>
      <c r="F378" s="2" t="e">
        <f t="shared" si="21"/>
        <v>#VALUE!</v>
      </c>
      <c r="G378" s="13" t="e">
        <f t="shared" si="22"/>
        <v>#VALUE!</v>
      </c>
      <c r="J378" t="str">
        <f>MAIN!A383&amp;"B"</f>
        <v>B</v>
      </c>
      <c r="K378" s="12" t="e">
        <f t="shared" si="23"/>
        <v>#VALUE!</v>
      </c>
      <c r="L378" t="str">
        <f>MAIN!C383</f>
        <v/>
      </c>
    </row>
    <row r="379" spans="1:12" x14ac:dyDescent="0.3">
      <c r="A379">
        <f>IF(J379="0",0,IF(COUNTIF($J$2:J379,J379)=1,1,0))</f>
        <v>0</v>
      </c>
      <c r="B379" s="12" t="e">
        <f>MID(MAIN!A384,K379,2)</f>
        <v>#VALUE!</v>
      </c>
      <c r="C379" s="12" t="e">
        <f t="shared" si="20"/>
        <v>#VALUE!</v>
      </c>
      <c r="D379" s="12" t="e">
        <f>MID(MAIN!A384,K379+2,2)</f>
        <v>#VALUE!</v>
      </c>
      <c r="E379" s="12" t="e">
        <f>MID(MAIN!A384,K379+4,2)</f>
        <v>#VALUE!</v>
      </c>
      <c r="F379" s="2" t="e">
        <f t="shared" si="21"/>
        <v>#VALUE!</v>
      </c>
      <c r="G379" s="13" t="e">
        <f t="shared" si="22"/>
        <v>#VALUE!</v>
      </c>
      <c r="J379" t="str">
        <f>MAIN!A384&amp;"B"</f>
        <v>B</v>
      </c>
      <c r="K379" s="12" t="e">
        <f t="shared" si="23"/>
        <v>#VALUE!</v>
      </c>
      <c r="L379" t="str">
        <f>MAIN!C384</f>
        <v/>
      </c>
    </row>
    <row r="380" spans="1:12" x14ac:dyDescent="0.3">
      <c r="A380">
        <f>IF(J380="0",0,IF(COUNTIF($J$2:J380,J380)=1,1,0))</f>
        <v>0</v>
      </c>
      <c r="B380" s="12" t="e">
        <f>MID(MAIN!A385,K380,2)</f>
        <v>#VALUE!</v>
      </c>
      <c r="C380" s="12" t="e">
        <f t="shared" si="20"/>
        <v>#VALUE!</v>
      </c>
      <c r="D380" s="12" t="e">
        <f>MID(MAIN!A385,K380+2,2)</f>
        <v>#VALUE!</v>
      </c>
      <c r="E380" s="12" t="e">
        <f>MID(MAIN!A385,K380+4,2)</f>
        <v>#VALUE!</v>
      </c>
      <c r="F380" s="2" t="e">
        <f t="shared" si="21"/>
        <v>#VALUE!</v>
      </c>
      <c r="G380" s="13" t="e">
        <f t="shared" si="22"/>
        <v>#VALUE!</v>
      </c>
      <c r="J380" t="str">
        <f>MAIN!A385&amp;"B"</f>
        <v>B</v>
      </c>
      <c r="K380" s="12" t="e">
        <f t="shared" si="23"/>
        <v>#VALUE!</v>
      </c>
      <c r="L380" t="str">
        <f>MAIN!C385</f>
        <v/>
      </c>
    </row>
    <row r="381" spans="1:12" x14ac:dyDescent="0.3">
      <c r="A381">
        <f>IF(J381="0",0,IF(COUNTIF($J$2:J381,J381)=1,1,0))</f>
        <v>0</v>
      </c>
      <c r="B381" s="12" t="e">
        <f>MID(MAIN!A386,K381,2)</f>
        <v>#VALUE!</v>
      </c>
      <c r="C381" s="12" t="e">
        <f t="shared" si="20"/>
        <v>#VALUE!</v>
      </c>
      <c r="D381" s="12" t="e">
        <f>MID(MAIN!A386,K381+2,2)</f>
        <v>#VALUE!</v>
      </c>
      <c r="E381" s="12" t="e">
        <f>MID(MAIN!A386,K381+4,2)</f>
        <v>#VALUE!</v>
      </c>
      <c r="F381" s="2" t="e">
        <f t="shared" si="21"/>
        <v>#VALUE!</v>
      </c>
      <c r="G381" s="13" t="e">
        <f t="shared" si="22"/>
        <v>#VALUE!</v>
      </c>
      <c r="J381" t="str">
        <f>MAIN!A386&amp;"B"</f>
        <v>B</v>
      </c>
      <c r="K381" s="12" t="e">
        <f t="shared" si="23"/>
        <v>#VALUE!</v>
      </c>
      <c r="L381" t="str">
        <f>MAIN!C386</f>
        <v/>
      </c>
    </row>
    <row r="382" spans="1:12" x14ac:dyDescent="0.3">
      <c r="A382">
        <f>IF(J382="0",0,IF(COUNTIF($J$2:J382,J382)=1,1,0))</f>
        <v>0</v>
      </c>
      <c r="B382" s="12" t="e">
        <f>MID(MAIN!A387,K382,2)</f>
        <v>#VALUE!</v>
      </c>
      <c r="C382" s="12" t="e">
        <f t="shared" si="20"/>
        <v>#VALUE!</v>
      </c>
      <c r="D382" s="12" t="e">
        <f>MID(MAIN!A387,K382+2,2)</f>
        <v>#VALUE!</v>
      </c>
      <c r="E382" s="12" t="e">
        <f>MID(MAIN!A387,K382+4,2)</f>
        <v>#VALUE!</v>
      </c>
      <c r="F382" s="2" t="e">
        <f t="shared" si="21"/>
        <v>#VALUE!</v>
      </c>
      <c r="G382" s="13" t="e">
        <f t="shared" si="22"/>
        <v>#VALUE!</v>
      </c>
      <c r="J382" t="str">
        <f>MAIN!A387&amp;"B"</f>
        <v>B</v>
      </c>
      <c r="K382" s="12" t="e">
        <f t="shared" si="23"/>
        <v>#VALUE!</v>
      </c>
      <c r="L382" t="str">
        <f>MAIN!C387</f>
        <v/>
      </c>
    </row>
    <row r="383" spans="1:12" x14ac:dyDescent="0.3">
      <c r="A383">
        <f>IF(J383="0",0,IF(COUNTIF($J$2:J383,J383)=1,1,0))</f>
        <v>0</v>
      </c>
      <c r="B383" s="12" t="e">
        <f>MID(MAIN!A388,K383,2)</f>
        <v>#VALUE!</v>
      </c>
      <c r="C383" s="12" t="e">
        <f t="shared" si="20"/>
        <v>#VALUE!</v>
      </c>
      <c r="D383" s="12" t="e">
        <f>MID(MAIN!A388,K383+2,2)</f>
        <v>#VALUE!</v>
      </c>
      <c r="E383" s="12" t="e">
        <f>MID(MAIN!A388,K383+4,2)</f>
        <v>#VALUE!</v>
      </c>
      <c r="F383" s="2" t="e">
        <f t="shared" si="21"/>
        <v>#VALUE!</v>
      </c>
      <c r="G383" s="13" t="e">
        <f t="shared" si="22"/>
        <v>#VALUE!</v>
      </c>
      <c r="J383" t="str">
        <f>MAIN!A388&amp;"B"</f>
        <v>B</v>
      </c>
      <c r="K383" s="12" t="e">
        <f t="shared" si="23"/>
        <v>#VALUE!</v>
      </c>
      <c r="L383" t="str">
        <f>MAIN!C388</f>
        <v/>
      </c>
    </row>
    <row r="384" spans="1:12" x14ac:dyDescent="0.3">
      <c r="A384">
        <f>IF(J384="0",0,IF(COUNTIF($J$2:J384,J384)=1,1,0))</f>
        <v>0</v>
      </c>
      <c r="B384" s="12" t="e">
        <f>MID(MAIN!A389,K384,2)</f>
        <v>#VALUE!</v>
      </c>
      <c r="C384" s="12" t="e">
        <f t="shared" si="20"/>
        <v>#VALUE!</v>
      </c>
      <c r="D384" s="12" t="e">
        <f>MID(MAIN!A389,K384+2,2)</f>
        <v>#VALUE!</v>
      </c>
      <c r="E384" s="12" t="e">
        <f>MID(MAIN!A389,K384+4,2)</f>
        <v>#VALUE!</v>
      </c>
      <c r="F384" s="2" t="e">
        <f t="shared" si="21"/>
        <v>#VALUE!</v>
      </c>
      <c r="G384" s="13" t="e">
        <f t="shared" si="22"/>
        <v>#VALUE!</v>
      </c>
      <c r="J384" t="str">
        <f>MAIN!A389&amp;"B"</f>
        <v>B</v>
      </c>
      <c r="K384" s="12" t="e">
        <f t="shared" si="23"/>
        <v>#VALUE!</v>
      </c>
      <c r="L384" t="str">
        <f>MAIN!C389</f>
        <v/>
      </c>
    </row>
    <row r="385" spans="1:12" x14ac:dyDescent="0.3">
      <c r="A385">
        <f>IF(J385="0",0,IF(COUNTIF($J$2:J385,J385)=1,1,0))</f>
        <v>0</v>
      </c>
      <c r="B385" s="12" t="e">
        <f>MID(MAIN!A390,K385,2)</f>
        <v>#VALUE!</v>
      </c>
      <c r="C385" s="12" t="e">
        <f t="shared" si="20"/>
        <v>#VALUE!</v>
      </c>
      <c r="D385" s="12" t="e">
        <f>MID(MAIN!A390,K385+2,2)</f>
        <v>#VALUE!</v>
      </c>
      <c r="E385" s="12" t="e">
        <f>MID(MAIN!A390,K385+4,2)</f>
        <v>#VALUE!</v>
      </c>
      <c r="F385" s="2" t="e">
        <f t="shared" si="21"/>
        <v>#VALUE!</v>
      </c>
      <c r="G385" s="13" t="e">
        <f t="shared" si="22"/>
        <v>#VALUE!</v>
      </c>
      <c r="J385" t="str">
        <f>MAIN!A390&amp;"B"</f>
        <v>B</v>
      </c>
      <c r="K385" s="12" t="e">
        <f t="shared" si="23"/>
        <v>#VALUE!</v>
      </c>
      <c r="L385" t="str">
        <f>MAIN!C390</f>
        <v/>
      </c>
    </row>
    <row r="386" spans="1:12" x14ac:dyDescent="0.3">
      <c r="A386">
        <f>IF(J386="0",0,IF(COUNTIF($J$2:J386,J386)=1,1,0))</f>
        <v>0</v>
      </c>
      <c r="B386" s="12" t="e">
        <f>MID(MAIN!A391,K386,2)</f>
        <v>#VALUE!</v>
      </c>
      <c r="C386" s="12" t="e">
        <f t="shared" si="20"/>
        <v>#VALUE!</v>
      </c>
      <c r="D386" s="12" t="e">
        <f>MID(MAIN!A391,K386+2,2)</f>
        <v>#VALUE!</v>
      </c>
      <c r="E386" s="12" t="e">
        <f>MID(MAIN!A391,K386+4,2)</f>
        <v>#VALUE!</v>
      </c>
      <c r="F386" s="2" t="e">
        <f t="shared" si="21"/>
        <v>#VALUE!</v>
      </c>
      <c r="G386" s="13" t="e">
        <f t="shared" si="22"/>
        <v>#VALUE!</v>
      </c>
      <c r="J386" t="str">
        <f>MAIN!A391&amp;"B"</f>
        <v>B</v>
      </c>
      <c r="K386" s="12" t="e">
        <f t="shared" si="23"/>
        <v>#VALUE!</v>
      </c>
      <c r="L386" t="str">
        <f>MAIN!C391</f>
        <v/>
      </c>
    </row>
    <row r="387" spans="1:12" x14ac:dyDescent="0.3">
      <c r="A387">
        <f>IF(J387="0",0,IF(COUNTIF($J$2:J387,J387)=1,1,0))</f>
        <v>0</v>
      </c>
      <c r="B387" s="12" t="e">
        <f>MID(MAIN!A392,K387,2)</f>
        <v>#VALUE!</v>
      </c>
      <c r="C387" s="12" t="e">
        <f t="shared" ref="C387:C450" si="24">"20"&amp;B387</f>
        <v>#VALUE!</v>
      </c>
      <c r="D387" s="12" t="e">
        <f>MID(MAIN!A392,K387+2,2)</f>
        <v>#VALUE!</v>
      </c>
      <c r="E387" s="12" t="e">
        <f>MID(MAIN!A392,K387+4,2)</f>
        <v>#VALUE!</v>
      </c>
      <c r="F387" s="2" t="e">
        <f t="shared" ref="F387:F450" si="25">C387&amp;"/"&amp;D387&amp;"/"&amp;E387</f>
        <v>#VALUE!</v>
      </c>
      <c r="G387" s="13" t="e">
        <f t="shared" ref="G387:G450" si="26">DATEVALUE(F387)</f>
        <v>#VALUE!</v>
      </c>
      <c r="J387" t="str">
        <f>MAIN!A392&amp;"B"</f>
        <v>B</v>
      </c>
      <c r="K387" s="12" t="e">
        <f t="shared" ref="K387:K450" si="27">FIND("172",J387,30)+2</f>
        <v>#VALUE!</v>
      </c>
      <c r="L387" t="str">
        <f>MAIN!C392</f>
        <v/>
      </c>
    </row>
    <row r="388" spans="1:12" x14ac:dyDescent="0.3">
      <c r="A388">
        <f>IF(J388="0",0,IF(COUNTIF($J$2:J388,J388)=1,1,0))</f>
        <v>0</v>
      </c>
      <c r="B388" s="12" t="e">
        <f>MID(MAIN!A393,K388,2)</f>
        <v>#VALUE!</v>
      </c>
      <c r="C388" s="12" t="e">
        <f t="shared" si="24"/>
        <v>#VALUE!</v>
      </c>
      <c r="D388" s="12" t="e">
        <f>MID(MAIN!A393,K388+2,2)</f>
        <v>#VALUE!</v>
      </c>
      <c r="E388" s="12" t="e">
        <f>MID(MAIN!A393,K388+4,2)</f>
        <v>#VALUE!</v>
      </c>
      <c r="F388" s="2" t="e">
        <f t="shared" si="25"/>
        <v>#VALUE!</v>
      </c>
      <c r="G388" s="13" t="e">
        <f t="shared" si="26"/>
        <v>#VALUE!</v>
      </c>
      <c r="J388" t="str">
        <f>MAIN!A393&amp;"B"</f>
        <v>B</v>
      </c>
      <c r="K388" s="12" t="e">
        <f t="shared" si="27"/>
        <v>#VALUE!</v>
      </c>
      <c r="L388" t="str">
        <f>MAIN!C393</f>
        <v/>
      </c>
    </row>
    <row r="389" spans="1:12" x14ac:dyDescent="0.3">
      <c r="A389">
        <f>IF(J389="0",0,IF(COUNTIF($J$2:J389,J389)=1,1,0))</f>
        <v>0</v>
      </c>
      <c r="B389" s="12" t="e">
        <f>MID(MAIN!A394,K389,2)</f>
        <v>#VALUE!</v>
      </c>
      <c r="C389" s="12" t="e">
        <f t="shared" si="24"/>
        <v>#VALUE!</v>
      </c>
      <c r="D389" s="12" t="e">
        <f>MID(MAIN!A394,K389+2,2)</f>
        <v>#VALUE!</v>
      </c>
      <c r="E389" s="12" t="e">
        <f>MID(MAIN!A394,K389+4,2)</f>
        <v>#VALUE!</v>
      </c>
      <c r="F389" s="2" t="e">
        <f t="shared" si="25"/>
        <v>#VALUE!</v>
      </c>
      <c r="G389" s="13" t="e">
        <f t="shared" si="26"/>
        <v>#VALUE!</v>
      </c>
      <c r="J389" t="str">
        <f>MAIN!A394&amp;"B"</f>
        <v>B</v>
      </c>
      <c r="K389" s="12" t="e">
        <f t="shared" si="27"/>
        <v>#VALUE!</v>
      </c>
      <c r="L389" t="str">
        <f>MAIN!C394</f>
        <v/>
      </c>
    </row>
    <row r="390" spans="1:12" x14ac:dyDescent="0.3">
      <c r="A390">
        <f>IF(J390="0",0,IF(COUNTIF($J$2:J390,J390)=1,1,0))</f>
        <v>0</v>
      </c>
      <c r="B390" s="12" t="e">
        <f>MID(MAIN!A395,K390,2)</f>
        <v>#VALUE!</v>
      </c>
      <c r="C390" s="12" t="e">
        <f t="shared" si="24"/>
        <v>#VALUE!</v>
      </c>
      <c r="D390" s="12" t="e">
        <f>MID(MAIN!A395,K390+2,2)</f>
        <v>#VALUE!</v>
      </c>
      <c r="E390" s="12" t="e">
        <f>MID(MAIN!A395,K390+4,2)</f>
        <v>#VALUE!</v>
      </c>
      <c r="F390" s="2" t="e">
        <f t="shared" si="25"/>
        <v>#VALUE!</v>
      </c>
      <c r="G390" s="13" t="e">
        <f t="shared" si="26"/>
        <v>#VALUE!</v>
      </c>
      <c r="J390" t="str">
        <f>MAIN!A395&amp;"B"</f>
        <v>B</v>
      </c>
      <c r="K390" s="12" t="e">
        <f t="shared" si="27"/>
        <v>#VALUE!</v>
      </c>
      <c r="L390" t="str">
        <f>MAIN!C395</f>
        <v/>
      </c>
    </row>
    <row r="391" spans="1:12" x14ac:dyDescent="0.3">
      <c r="A391">
        <f>IF(J391="0",0,IF(COUNTIF($J$2:J391,J391)=1,1,0))</f>
        <v>0</v>
      </c>
      <c r="B391" s="12" t="e">
        <f>MID(MAIN!A396,K391,2)</f>
        <v>#VALUE!</v>
      </c>
      <c r="C391" s="12" t="e">
        <f t="shared" si="24"/>
        <v>#VALUE!</v>
      </c>
      <c r="D391" s="12" t="e">
        <f>MID(MAIN!A396,K391+2,2)</f>
        <v>#VALUE!</v>
      </c>
      <c r="E391" s="12" t="e">
        <f>MID(MAIN!A396,K391+4,2)</f>
        <v>#VALUE!</v>
      </c>
      <c r="F391" s="2" t="e">
        <f t="shared" si="25"/>
        <v>#VALUE!</v>
      </c>
      <c r="G391" s="13" t="e">
        <f t="shared" si="26"/>
        <v>#VALUE!</v>
      </c>
      <c r="J391" t="str">
        <f>MAIN!A396&amp;"B"</f>
        <v>B</v>
      </c>
      <c r="K391" s="12" t="e">
        <f t="shared" si="27"/>
        <v>#VALUE!</v>
      </c>
      <c r="L391" t="str">
        <f>MAIN!C396</f>
        <v/>
      </c>
    </row>
    <row r="392" spans="1:12" x14ac:dyDescent="0.3">
      <c r="A392">
        <f>IF(J392="0",0,IF(COUNTIF($J$2:J392,J392)=1,1,0))</f>
        <v>0</v>
      </c>
      <c r="B392" s="12" t="e">
        <f>MID(MAIN!A397,K392,2)</f>
        <v>#VALUE!</v>
      </c>
      <c r="C392" s="12" t="e">
        <f t="shared" si="24"/>
        <v>#VALUE!</v>
      </c>
      <c r="D392" s="12" t="e">
        <f>MID(MAIN!A397,K392+2,2)</f>
        <v>#VALUE!</v>
      </c>
      <c r="E392" s="12" t="e">
        <f>MID(MAIN!A397,K392+4,2)</f>
        <v>#VALUE!</v>
      </c>
      <c r="F392" s="2" t="e">
        <f t="shared" si="25"/>
        <v>#VALUE!</v>
      </c>
      <c r="G392" s="13" t="e">
        <f t="shared" si="26"/>
        <v>#VALUE!</v>
      </c>
      <c r="J392" t="str">
        <f>MAIN!A397&amp;"B"</f>
        <v>B</v>
      </c>
      <c r="K392" s="12" t="e">
        <f t="shared" si="27"/>
        <v>#VALUE!</v>
      </c>
      <c r="L392" t="str">
        <f>MAIN!C397</f>
        <v/>
      </c>
    </row>
    <row r="393" spans="1:12" x14ac:dyDescent="0.3">
      <c r="A393">
        <f>IF(J393="0",0,IF(COUNTIF($J$2:J393,J393)=1,1,0))</f>
        <v>0</v>
      </c>
      <c r="B393" s="12" t="e">
        <f>MID(MAIN!A398,K393,2)</f>
        <v>#VALUE!</v>
      </c>
      <c r="C393" s="12" t="e">
        <f t="shared" si="24"/>
        <v>#VALUE!</v>
      </c>
      <c r="D393" s="12" t="e">
        <f>MID(MAIN!A398,K393+2,2)</f>
        <v>#VALUE!</v>
      </c>
      <c r="E393" s="12" t="e">
        <f>MID(MAIN!A398,K393+4,2)</f>
        <v>#VALUE!</v>
      </c>
      <c r="F393" s="2" t="e">
        <f t="shared" si="25"/>
        <v>#VALUE!</v>
      </c>
      <c r="G393" s="13" t="e">
        <f t="shared" si="26"/>
        <v>#VALUE!</v>
      </c>
      <c r="J393" t="str">
        <f>MAIN!A398&amp;"B"</f>
        <v>B</v>
      </c>
      <c r="K393" s="12" t="e">
        <f t="shared" si="27"/>
        <v>#VALUE!</v>
      </c>
      <c r="L393" t="str">
        <f>MAIN!C398</f>
        <v/>
      </c>
    </row>
    <row r="394" spans="1:12" x14ac:dyDescent="0.3">
      <c r="A394">
        <f>IF(J394="0",0,IF(COUNTIF($J$2:J394,J394)=1,1,0))</f>
        <v>0</v>
      </c>
      <c r="B394" s="12" t="e">
        <f>MID(MAIN!A399,K394,2)</f>
        <v>#VALUE!</v>
      </c>
      <c r="C394" s="12" t="e">
        <f t="shared" si="24"/>
        <v>#VALUE!</v>
      </c>
      <c r="D394" s="12" t="e">
        <f>MID(MAIN!A399,K394+2,2)</f>
        <v>#VALUE!</v>
      </c>
      <c r="E394" s="12" t="e">
        <f>MID(MAIN!A399,K394+4,2)</f>
        <v>#VALUE!</v>
      </c>
      <c r="F394" s="2" t="e">
        <f t="shared" si="25"/>
        <v>#VALUE!</v>
      </c>
      <c r="G394" s="13" t="e">
        <f t="shared" si="26"/>
        <v>#VALUE!</v>
      </c>
      <c r="J394" t="str">
        <f>MAIN!A399&amp;"B"</f>
        <v>B</v>
      </c>
      <c r="K394" s="12" t="e">
        <f t="shared" si="27"/>
        <v>#VALUE!</v>
      </c>
      <c r="L394" t="str">
        <f>MAIN!C399</f>
        <v/>
      </c>
    </row>
    <row r="395" spans="1:12" x14ac:dyDescent="0.3">
      <c r="A395">
        <f>IF(J395="0",0,IF(COUNTIF($J$2:J395,J395)=1,1,0))</f>
        <v>0</v>
      </c>
      <c r="B395" s="12" t="e">
        <f>MID(MAIN!A400,K395,2)</f>
        <v>#VALUE!</v>
      </c>
      <c r="C395" s="12" t="e">
        <f t="shared" si="24"/>
        <v>#VALUE!</v>
      </c>
      <c r="D395" s="12" t="e">
        <f>MID(MAIN!A400,K395+2,2)</f>
        <v>#VALUE!</v>
      </c>
      <c r="E395" s="12" t="e">
        <f>MID(MAIN!A400,K395+4,2)</f>
        <v>#VALUE!</v>
      </c>
      <c r="F395" s="2" t="e">
        <f t="shared" si="25"/>
        <v>#VALUE!</v>
      </c>
      <c r="G395" s="13" t="e">
        <f t="shared" si="26"/>
        <v>#VALUE!</v>
      </c>
      <c r="J395" t="str">
        <f>MAIN!A400&amp;"B"</f>
        <v>B</v>
      </c>
      <c r="K395" s="12" t="e">
        <f t="shared" si="27"/>
        <v>#VALUE!</v>
      </c>
      <c r="L395" t="str">
        <f>MAIN!C400</f>
        <v/>
      </c>
    </row>
    <row r="396" spans="1:12" x14ac:dyDescent="0.3">
      <c r="A396">
        <f>IF(J396="0",0,IF(COUNTIF($J$2:J396,J396)=1,1,0))</f>
        <v>0</v>
      </c>
      <c r="B396" s="12" t="e">
        <f>MID(MAIN!A401,K396,2)</f>
        <v>#VALUE!</v>
      </c>
      <c r="C396" s="12" t="e">
        <f t="shared" si="24"/>
        <v>#VALUE!</v>
      </c>
      <c r="D396" s="12" t="e">
        <f>MID(MAIN!A401,K396+2,2)</f>
        <v>#VALUE!</v>
      </c>
      <c r="E396" s="12" t="e">
        <f>MID(MAIN!A401,K396+4,2)</f>
        <v>#VALUE!</v>
      </c>
      <c r="F396" s="2" t="e">
        <f t="shared" si="25"/>
        <v>#VALUE!</v>
      </c>
      <c r="G396" s="13" t="e">
        <f t="shared" si="26"/>
        <v>#VALUE!</v>
      </c>
      <c r="J396" t="str">
        <f>MAIN!A401&amp;"B"</f>
        <v>B</v>
      </c>
      <c r="K396" s="12" t="e">
        <f t="shared" si="27"/>
        <v>#VALUE!</v>
      </c>
      <c r="L396" t="str">
        <f>MAIN!C401</f>
        <v/>
      </c>
    </row>
    <row r="397" spans="1:12" x14ac:dyDescent="0.3">
      <c r="A397">
        <f>IF(J397="0",0,IF(COUNTIF($J$2:J397,J397)=1,1,0))</f>
        <v>0</v>
      </c>
      <c r="B397" s="12" t="e">
        <f>MID(MAIN!A402,K397,2)</f>
        <v>#VALUE!</v>
      </c>
      <c r="C397" s="12" t="e">
        <f t="shared" si="24"/>
        <v>#VALUE!</v>
      </c>
      <c r="D397" s="12" t="e">
        <f>MID(MAIN!A402,K397+2,2)</f>
        <v>#VALUE!</v>
      </c>
      <c r="E397" s="12" t="e">
        <f>MID(MAIN!A402,K397+4,2)</f>
        <v>#VALUE!</v>
      </c>
      <c r="F397" s="2" t="e">
        <f t="shared" si="25"/>
        <v>#VALUE!</v>
      </c>
      <c r="G397" s="13" t="e">
        <f t="shared" si="26"/>
        <v>#VALUE!</v>
      </c>
      <c r="J397" t="str">
        <f>MAIN!A402&amp;"B"</f>
        <v>B</v>
      </c>
      <c r="K397" s="12" t="e">
        <f t="shared" si="27"/>
        <v>#VALUE!</v>
      </c>
      <c r="L397" t="str">
        <f>MAIN!C402</f>
        <v/>
      </c>
    </row>
    <row r="398" spans="1:12" x14ac:dyDescent="0.3">
      <c r="A398">
        <f>IF(J398="0",0,IF(COUNTIF($J$2:J398,J398)=1,1,0))</f>
        <v>0</v>
      </c>
      <c r="B398" s="12" t="e">
        <f>MID(MAIN!A403,K398,2)</f>
        <v>#VALUE!</v>
      </c>
      <c r="C398" s="12" t="e">
        <f t="shared" si="24"/>
        <v>#VALUE!</v>
      </c>
      <c r="D398" s="12" t="e">
        <f>MID(MAIN!A403,K398+2,2)</f>
        <v>#VALUE!</v>
      </c>
      <c r="E398" s="12" t="e">
        <f>MID(MAIN!A403,K398+4,2)</f>
        <v>#VALUE!</v>
      </c>
      <c r="F398" s="2" t="e">
        <f t="shared" si="25"/>
        <v>#VALUE!</v>
      </c>
      <c r="G398" s="13" t="e">
        <f t="shared" si="26"/>
        <v>#VALUE!</v>
      </c>
      <c r="J398" t="str">
        <f>MAIN!A403&amp;"B"</f>
        <v>B</v>
      </c>
      <c r="K398" s="12" t="e">
        <f t="shared" si="27"/>
        <v>#VALUE!</v>
      </c>
      <c r="L398" t="str">
        <f>MAIN!C403</f>
        <v/>
      </c>
    </row>
    <row r="399" spans="1:12" x14ac:dyDescent="0.3">
      <c r="A399">
        <f>IF(J399="0",0,IF(COUNTIF($J$2:J399,J399)=1,1,0))</f>
        <v>0</v>
      </c>
      <c r="B399" s="12" t="e">
        <f>MID(MAIN!A404,K399,2)</f>
        <v>#VALUE!</v>
      </c>
      <c r="C399" s="12" t="e">
        <f t="shared" si="24"/>
        <v>#VALUE!</v>
      </c>
      <c r="D399" s="12" t="e">
        <f>MID(MAIN!A404,K399+2,2)</f>
        <v>#VALUE!</v>
      </c>
      <c r="E399" s="12" t="e">
        <f>MID(MAIN!A404,K399+4,2)</f>
        <v>#VALUE!</v>
      </c>
      <c r="F399" s="2" t="e">
        <f t="shared" si="25"/>
        <v>#VALUE!</v>
      </c>
      <c r="G399" s="13" t="e">
        <f t="shared" si="26"/>
        <v>#VALUE!</v>
      </c>
      <c r="J399" t="str">
        <f>MAIN!A404&amp;"B"</f>
        <v>B</v>
      </c>
      <c r="K399" s="12" t="e">
        <f t="shared" si="27"/>
        <v>#VALUE!</v>
      </c>
      <c r="L399" t="str">
        <f>MAIN!C404</f>
        <v/>
      </c>
    </row>
    <row r="400" spans="1:12" x14ac:dyDescent="0.3">
      <c r="A400">
        <f>IF(J400="0",0,IF(COUNTIF($J$2:J400,J400)=1,1,0))</f>
        <v>0</v>
      </c>
      <c r="B400" s="12" t="e">
        <f>MID(MAIN!A405,K400,2)</f>
        <v>#VALUE!</v>
      </c>
      <c r="C400" s="12" t="e">
        <f t="shared" si="24"/>
        <v>#VALUE!</v>
      </c>
      <c r="D400" s="12" t="e">
        <f>MID(MAIN!A405,K400+2,2)</f>
        <v>#VALUE!</v>
      </c>
      <c r="E400" s="12" t="e">
        <f>MID(MAIN!A405,K400+4,2)</f>
        <v>#VALUE!</v>
      </c>
      <c r="F400" s="2" t="e">
        <f t="shared" si="25"/>
        <v>#VALUE!</v>
      </c>
      <c r="G400" s="13" t="e">
        <f t="shared" si="26"/>
        <v>#VALUE!</v>
      </c>
      <c r="J400" t="str">
        <f>MAIN!A405&amp;"B"</f>
        <v>B</v>
      </c>
      <c r="K400" s="12" t="e">
        <f t="shared" si="27"/>
        <v>#VALUE!</v>
      </c>
      <c r="L400" t="str">
        <f>MAIN!C405</f>
        <v/>
      </c>
    </row>
    <row r="401" spans="1:12" x14ac:dyDescent="0.3">
      <c r="A401">
        <f>IF(J401="0",0,IF(COUNTIF($J$2:J401,J401)=1,1,0))</f>
        <v>0</v>
      </c>
      <c r="B401" s="12" t="e">
        <f>MID(MAIN!A406,K401,2)</f>
        <v>#VALUE!</v>
      </c>
      <c r="C401" s="12" t="e">
        <f t="shared" si="24"/>
        <v>#VALUE!</v>
      </c>
      <c r="D401" s="12" t="e">
        <f>MID(MAIN!A406,K401+2,2)</f>
        <v>#VALUE!</v>
      </c>
      <c r="E401" s="12" t="e">
        <f>MID(MAIN!A406,K401+4,2)</f>
        <v>#VALUE!</v>
      </c>
      <c r="F401" s="2" t="e">
        <f t="shared" si="25"/>
        <v>#VALUE!</v>
      </c>
      <c r="G401" s="13" t="e">
        <f t="shared" si="26"/>
        <v>#VALUE!</v>
      </c>
      <c r="J401" t="str">
        <f>MAIN!A406&amp;"B"</f>
        <v>B</v>
      </c>
      <c r="K401" s="12" t="e">
        <f t="shared" si="27"/>
        <v>#VALUE!</v>
      </c>
      <c r="L401" t="str">
        <f>MAIN!C406</f>
        <v/>
      </c>
    </row>
    <row r="402" spans="1:12" x14ac:dyDescent="0.3">
      <c r="A402">
        <f>IF(J402="0",0,IF(COUNTIF($J$2:J402,J402)=1,1,0))</f>
        <v>0</v>
      </c>
      <c r="B402" s="12" t="e">
        <f>MID(MAIN!A407,K402,2)</f>
        <v>#VALUE!</v>
      </c>
      <c r="C402" s="12" t="e">
        <f t="shared" si="24"/>
        <v>#VALUE!</v>
      </c>
      <c r="D402" s="12" t="e">
        <f>MID(MAIN!A407,K402+2,2)</f>
        <v>#VALUE!</v>
      </c>
      <c r="E402" s="12" t="e">
        <f>MID(MAIN!A407,K402+4,2)</f>
        <v>#VALUE!</v>
      </c>
      <c r="F402" s="2" t="e">
        <f t="shared" si="25"/>
        <v>#VALUE!</v>
      </c>
      <c r="G402" s="13" t="e">
        <f t="shared" si="26"/>
        <v>#VALUE!</v>
      </c>
      <c r="J402" t="str">
        <f>MAIN!A407&amp;"B"</f>
        <v>B</v>
      </c>
      <c r="K402" s="12" t="e">
        <f t="shared" si="27"/>
        <v>#VALUE!</v>
      </c>
      <c r="L402" t="str">
        <f>MAIN!C407</f>
        <v/>
      </c>
    </row>
    <row r="403" spans="1:12" x14ac:dyDescent="0.3">
      <c r="A403">
        <f>IF(J403="0",0,IF(COUNTIF($J$2:J403,J403)=1,1,0))</f>
        <v>0</v>
      </c>
      <c r="B403" s="12" t="e">
        <f>MID(MAIN!A408,K403,2)</f>
        <v>#VALUE!</v>
      </c>
      <c r="C403" s="12" t="e">
        <f t="shared" si="24"/>
        <v>#VALUE!</v>
      </c>
      <c r="D403" s="12" t="e">
        <f>MID(MAIN!A408,K403+2,2)</f>
        <v>#VALUE!</v>
      </c>
      <c r="E403" s="12" t="e">
        <f>MID(MAIN!A408,K403+4,2)</f>
        <v>#VALUE!</v>
      </c>
      <c r="F403" s="2" t="e">
        <f t="shared" si="25"/>
        <v>#VALUE!</v>
      </c>
      <c r="G403" s="13" t="e">
        <f t="shared" si="26"/>
        <v>#VALUE!</v>
      </c>
      <c r="J403" t="str">
        <f>MAIN!A408&amp;"B"</f>
        <v>B</v>
      </c>
      <c r="K403" s="12" t="e">
        <f t="shared" si="27"/>
        <v>#VALUE!</v>
      </c>
      <c r="L403" t="str">
        <f>MAIN!C408</f>
        <v/>
      </c>
    </row>
    <row r="404" spans="1:12" x14ac:dyDescent="0.3">
      <c r="A404">
        <f>IF(J404="0",0,IF(COUNTIF($J$2:J404,J404)=1,1,0))</f>
        <v>0</v>
      </c>
      <c r="B404" s="12" t="e">
        <f>MID(MAIN!A409,K404,2)</f>
        <v>#VALUE!</v>
      </c>
      <c r="C404" s="12" t="e">
        <f t="shared" si="24"/>
        <v>#VALUE!</v>
      </c>
      <c r="D404" s="12" t="e">
        <f>MID(MAIN!A409,K404+2,2)</f>
        <v>#VALUE!</v>
      </c>
      <c r="E404" s="12" t="e">
        <f>MID(MAIN!A409,K404+4,2)</f>
        <v>#VALUE!</v>
      </c>
      <c r="F404" s="2" t="e">
        <f t="shared" si="25"/>
        <v>#VALUE!</v>
      </c>
      <c r="G404" s="13" t="e">
        <f t="shared" si="26"/>
        <v>#VALUE!</v>
      </c>
      <c r="J404" t="str">
        <f>MAIN!A409&amp;"B"</f>
        <v>B</v>
      </c>
      <c r="K404" s="12" t="e">
        <f t="shared" si="27"/>
        <v>#VALUE!</v>
      </c>
      <c r="L404" t="str">
        <f>MAIN!C409</f>
        <v/>
      </c>
    </row>
    <row r="405" spans="1:12" x14ac:dyDescent="0.3">
      <c r="A405">
        <f>IF(J405="0",0,IF(COUNTIF($J$2:J405,J405)=1,1,0))</f>
        <v>0</v>
      </c>
      <c r="B405" s="12" t="e">
        <f>MID(MAIN!A410,K405,2)</f>
        <v>#VALUE!</v>
      </c>
      <c r="C405" s="12" t="e">
        <f t="shared" si="24"/>
        <v>#VALUE!</v>
      </c>
      <c r="D405" s="12" t="e">
        <f>MID(MAIN!A410,K405+2,2)</f>
        <v>#VALUE!</v>
      </c>
      <c r="E405" s="12" t="e">
        <f>MID(MAIN!A410,K405+4,2)</f>
        <v>#VALUE!</v>
      </c>
      <c r="F405" s="2" t="e">
        <f t="shared" si="25"/>
        <v>#VALUE!</v>
      </c>
      <c r="G405" s="13" t="e">
        <f t="shared" si="26"/>
        <v>#VALUE!</v>
      </c>
      <c r="J405" t="str">
        <f>MAIN!A410&amp;"B"</f>
        <v>B</v>
      </c>
      <c r="K405" s="12" t="e">
        <f t="shared" si="27"/>
        <v>#VALUE!</v>
      </c>
      <c r="L405" t="str">
        <f>MAIN!C410</f>
        <v/>
      </c>
    </row>
    <row r="406" spans="1:12" x14ac:dyDescent="0.3">
      <c r="A406">
        <f>IF(J406="0",0,IF(COUNTIF($J$2:J406,J406)=1,1,0))</f>
        <v>0</v>
      </c>
      <c r="B406" s="12" t="e">
        <f>MID(MAIN!A411,K406,2)</f>
        <v>#VALUE!</v>
      </c>
      <c r="C406" s="12" t="e">
        <f t="shared" si="24"/>
        <v>#VALUE!</v>
      </c>
      <c r="D406" s="12" t="e">
        <f>MID(MAIN!A411,K406+2,2)</f>
        <v>#VALUE!</v>
      </c>
      <c r="E406" s="12" t="e">
        <f>MID(MAIN!A411,K406+4,2)</f>
        <v>#VALUE!</v>
      </c>
      <c r="F406" s="2" t="e">
        <f t="shared" si="25"/>
        <v>#VALUE!</v>
      </c>
      <c r="G406" s="13" t="e">
        <f t="shared" si="26"/>
        <v>#VALUE!</v>
      </c>
      <c r="J406" t="str">
        <f>MAIN!A411&amp;"B"</f>
        <v>B</v>
      </c>
      <c r="K406" s="12" t="e">
        <f t="shared" si="27"/>
        <v>#VALUE!</v>
      </c>
      <c r="L406" t="str">
        <f>MAIN!C411</f>
        <v/>
      </c>
    </row>
    <row r="407" spans="1:12" x14ac:dyDescent="0.3">
      <c r="A407">
        <f>IF(J407="0",0,IF(COUNTIF($J$2:J407,J407)=1,1,0))</f>
        <v>0</v>
      </c>
      <c r="B407" s="12" t="e">
        <f>MID(MAIN!A412,K407,2)</f>
        <v>#VALUE!</v>
      </c>
      <c r="C407" s="12" t="e">
        <f t="shared" si="24"/>
        <v>#VALUE!</v>
      </c>
      <c r="D407" s="12" t="e">
        <f>MID(MAIN!A412,K407+2,2)</f>
        <v>#VALUE!</v>
      </c>
      <c r="E407" s="12" t="e">
        <f>MID(MAIN!A412,K407+4,2)</f>
        <v>#VALUE!</v>
      </c>
      <c r="F407" s="2" t="e">
        <f t="shared" si="25"/>
        <v>#VALUE!</v>
      </c>
      <c r="G407" s="13" t="e">
        <f t="shared" si="26"/>
        <v>#VALUE!</v>
      </c>
      <c r="J407" t="str">
        <f>MAIN!A412&amp;"B"</f>
        <v>B</v>
      </c>
      <c r="K407" s="12" t="e">
        <f t="shared" si="27"/>
        <v>#VALUE!</v>
      </c>
      <c r="L407" t="str">
        <f>MAIN!C412</f>
        <v/>
      </c>
    </row>
    <row r="408" spans="1:12" x14ac:dyDescent="0.3">
      <c r="A408">
        <f>IF(J408="0",0,IF(COUNTIF($J$2:J408,J408)=1,1,0))</f>
        <v>0</v>
      </c>
      <c r="B408" s="12" t="e">
        <f>MID(MAIN!A413,K408,2)</f>
        <v>#VALUE!</v>
      </c>
      <c r="C408" s="12" t="e">
        <f t="shared" si="24"/>
        <v>#VALUE!</v>
      </c>
      <c r="D408" s="12" t="e">
        <f>MID(MAIN!A413,K408+2,2)</f>
        <v>#VALUE!</v>
      </c>
      <c r="E408" s="12" t="e">
        <f>MID(MAIN!A413,K408+4,2)</f>
        <v>#VALUE!</v>
      </c>
      <c r="F408" s="2" t="e">
        <f t="shared" si="25"/>
        <v>#VALUE!</v>
      </c>
      <c r="G408" s="13" t="e">
        <f t="shared" si="26"/>
        <v>#VALUE!</v>
      </c>
      <c r="J408" t="str">
        <f>MAIN!A413&amp;"B"</f>
        <v>B</v>
      </c>
      <c r="K408" s="12" t="e">
        <f t="shared" si="27"/>
        <v>#VALUE!</v>
      </c>
      <c r="L408" t="str">
        <f>MAIN!C413</f>
        <v/>
      </c>
    </row>
    <row r="409" spans="1:12" x14ac:dyDescent="0.3">
      <c r="A409">
        <f>IF(J409="0",0,IF(COUNTIF($J$2:J409,J409)=1,1,0))</f>
        <v>0</v>
      </c>
      <c r="B409" s="12" t="e">
        <f>MID(MAIN!A414,K409,2)</f>
        <v>#VALUE!</v>
      </c>
      <c r="C409" s="12" t="e">
        <f t="shared" si="24"/>
        <v>#VALUE!</v>
      </c>
      <c r="D409" s="12" t="e">
        <f>MID(MAIN!A414,K409+2,2)</f>
        <v>#VALUE!</v>
      </c>
      <c r="E409" s="12" t="e">
        <f>MID(MAIN!A414,K409+4,2)</f>
        <v>#VALUE!</v>
      </c>
      <c r="F409" s="2" t="e">
        <f t="shared" si="25"/>
        <v>#VALUE!</v>
      </c>
      <c r="G409" s="13" t="e">
        <f t="shared" si="26"/>
        <v>#VALUE!</v>
      </c>
      <c r="J409" t="str">
        <f>MAIN!A414&amp;"B"</f>
        <v>B</v>
      </c>
      <c r="K409" s="12" t="e">
        <f t="shared" si="27"/>
        <v>#VALUE!</v>
      </c>
      <c r="L409" t="str">
        <f>MAIN!C414</f>
        <v/>
      </c>
    </row>
    <row r="410" spans="1:12" x14ac:dyDescent="0.3">
      <c r="A410">
        <f>IF(J410="0",0,IF(COUNTIF($J$2:J410,J410)=1,1,0))</f>
        <v>0</v>
      </c>
      <c r="B410" s="12" t="e">
        <f>MID(MAIN!A415,K410,2)</f>
        <v>#VALUE!</v>
      </c>
      <c r="C410" s="12" t="e">
        <f t="shared" si="24"/>
        <v>#VALUE!</v>
      </c>
      <c r="D410" s="12" t="e">
        <f>MID(MAIN!A415,K410+2,2)</f>
        <v>#VALUE!</v>
      </c>
      <c r="E410" s="12" t="e">
        <f>MID(MAIN!A415,K410+4,2)</f>
        <v>#VALUE!</v>
      </c>
      <c r="F410" s="2" t="e">
        <f t="shared" si="25"/>
        <v>#VALUE!</v>
      </c>
      <c r="G410" s="13" t="e">
        <f t="shared" si="26"/>
        <v>#VALUE!</v>
      </c>
      <c r="J410" t="str">
        <f>MAIN!A415&amp;"B"</f>
        <v>B</v>
      </c>
      <c r="K410" s="12" t="e">
        <f t="shared" si="27"/>
        <v>#VALUE!</v>
      </c>
      <c r="L410" t="str">
        <f>MAIN!C415</f>
        <v/>
      </c>
    </row>
    <row r="411" spans="1:12" x14ac:dyDescent="0.3">
      <c r="A411">
        <f>IF(J411="0",0,IF(COUNTIF($J$2:J411,J411)=1,1,0))</f>
        <v>0</v>
      </c>
      <c r="B411" s="12" t="e">
        <f>MID(MAIN!A416,K411,2)</f>
        <v>#VALUE!</v>
      </c>
      <c r="C411" s="12" t="e">
        <f t="shared" si="24"/>
        <v>#VALUE!</v>
      </c>
      <c r="D411" s="12" t="e">
        <f>MID(MAIN!A416,K411+2,2)</f>
        <v>#VALUE!</v>
      </c>
      <c r="E411" s="12" t="e">
        <f>MID(MAIN!A416,K411+4,2)</f>
        <v>#VALUE!</v>
      </c>
      <c r="F411" s="2" t="e">
        <f t="shared" si="25"/>
        <v>#VALUE!</v>
      </c>
      <c r="G411" s="13" t="e">
        <f t="shared" si="26"/>
        <v>#VALUE!</v>
      </c>
      <c r="J411" t="str">
        <f>MAIN!A416&amp;"B"</f>
        <v>B</v>
      </c>
      <c r="K411" s="12" t="e">
        <f t="shared" si="27"/>
        <v>#VALUE!</v>
      </c>
      <c r="L411" t="str">
        <f>MAIN!C416</f>
        <v/>
      </c>
    </row>
    <row r="412" spans="1:12" x14ac:dyDescent="0.3">
      <c r="A412">
        <f>IF(J412="0",0,IF(COUNTIF($J$2:J412,J412)=1,1,0))</f>
        <v>0</v>
      </c>
      <c r="B412" s="12" t="e">
        <f>MID(MAIN!A417,K412,2)</f>
        <v>#VALUE!</v>
      </c>
      <c r="C412" s="12" t="e">
        <f t="shared" si="24"/>
        <v>#VALUE!</v>
      </c>
      <c r="D412" s="12" t="e">
        <f>MID(MAIN!A417,K412+2,2)</f>
        <v>#VALUE!</v>
      </c>
      <c r="E412" s="12" t="e">
        <f>MID(MAIN!A417,K412+4,2)</f>
        <v>#VALUE!</v>
      </c>
      <c r="F412" s="2" t="e">
        <f t="shared" si="25"/>
        <v>#VALUE!</v>
      </c>
      <c r="G412" s="13" t="e">
        <f t="shared" si="26"/>
        <v>#VALUE!</v>
      </c>
      <c r="J412" t="str">
        <f>MAIN!A417&amp;"B"</f>
        <v>B</v>
      </c>
      <c r="K412" s="12" t="e">
        <f t="shared" si="27"/>
        <v>#VALUE!</v>
      </c>
      <c r="L412" t="str">
        <f>MAIN!C417</f>
        <v/>
      </c>
    </row>
    <row r="413" spans="1:12" x14ac:dyDescent="0.3">
      <c r="A413">
        <f>IF(J413="0",0,IF(COUNTIF($J$2:J413,J413)=1,1,0))</f>
        <v>0</v>
      </c>
      <c r="B413" s="12" t="e">
        <f>MID(MAIN!A418,K413,2)</f>
        <v>#VALUE!</v>
      </c>
      <c r="C413" s="12" t="e">
        <f t="shared" si="24"/>
        <v>#VALUE!</v>
      </c>
      <c r="D413" s="12" t="e">
        <f>MID(MAIN!A418,K413+2,2)</f>
        <v>#VALUE!</v>
      </c>
      <c r="E413" s="12" t="e">
        <f>MID(MAIN!A418,K413+4,2)</f>
        <v>#VALUE!</v>
      </c>
      <c r="F413" s="2" t="e">
        <f t="shared" si="25"/>
        <v>#VALUE!</v>
      </c>
      <c r="G413" s="13" t="e">
        <f t="shared" si="26"/>
        <v>#VALUE!</v>
      </c>
      <c r="J413" t="str">
        <f>MAIN!A418&amp;"B"</f>
        <v>B</v>
      </c>
      <c r="K413" s="12" t="e">
        <f t="shared" si="27"/>
        <v>#VALUE!</v>
      </c>
      <c r="L413" t="str">
        <f>MAIN!C418</f>
        <v/>
      </c>
    </row>
    <row r="414" spans="1:12" x14ac:dyDescent="0.3">
      <c r="A414">
        <f>IF(J414="0",0,IF(COUNTIF($J$2:J414,J414)=1,1,0))</f>
        <v>0</v>
      </c>
      <c r="B414" s="12" t="e">
        <f>MID(MAIN!A419,K414,2)</f>
        <v>#VALUE!</v>
      </c>
      <c r="C414" s="12" t="e">
        <f t="shared" si="24"/>
        <v>#VALUE!</v>
      </c>
      <c r="D414" s="12" t="e">
        <f>MID(MAIN!A419,K414+2,2)</f>
        <v>#VALUE!</v>
      </c>
      <c r="E414" s="12" t="e">
        <f>MID(MAIN!A419,K414+4,2)</f>
        <v>#VALUE!</v>
      </c>
      <c r="F414" s="2" t="e">
        <f t="shared" si="25"/>
        <v>#VALUE!</v>
      </c>
      <c r="G414" s="13" t="e">
        <f t="shared" si="26"/>
        <v>#VALUE!</v>
      </c>
      <c r="J414" t="str">
        <f>MAIN!A419&amp;"B"</f>
        <v>B</v>
      </c>
      <c r="K414" s="12" t="e">
        <f t="shared" si="27"/>
        <v>#VALUE!</v>
      </c>
      <c r="L414" t="str">
        <f>MAIN!C419</f>
        <v/>
      </c>
    </row>
    <row r="415" spans="1:12" x14ac:dyDescent="0.3">
      <c r="A415">
        <f>IF(J415="0",0,IF(COUNTIF($J$2:J415,J415)=1,1,0))</f>
        <v>0</v>
      </c>
      <c r="B415" s="12" t="e">
        <f>MID(MAIN!A420,K415,2)</f>
        <v>#VALUE!</v>
      </c>
      <c r="C415" s="12" t="e">
        <f t="shared" si="24"/>
        <v>#VALUE!</v>
      </c>
      <c r="D415" s="12" t="e">
        <f>MID(MAIN!A420,K415+2,2)</f>
        <v>#VALUE!</v>
      </c>
      <c r="E415" s="12" t="e">
        <f>MID(MAIN!A420,K415+4,2)</f>
        <v>#VALUE!</v>
      </c>
      <c r="F415" s="2" t="e">
        <f t="shared" si="25"/>
        <v>#VALUE!</v>
      </c>
      <c r="G415" s="13" t="e">
        <f t="shared" si="26"/>
        <v>#VALUE!</v>
      </c>
      <c r="J415" t="str">
        <f>MAIN!A420&amp;"B"</f>
        <v>B</v>
      </c>
      <c r="K415" s="12" t="e">
        <f t="shared" si="27"/>
        <v>#VALUE!</v>
      </c>
      <c r="L415" t="str">
        <f>MAIN!C420</f>
        <v/>
      </c>
    </row>
    <row r="416" spans="1:12" x14ac:dyDescent="0.3">
      <c r="A416">
        <f>IF(J416="0",0,IF(COUNTIF($J$2:J416,J416)=1,1,0))</f>
        <v>0</v>
      </c>
      <c r="B416" s="12" t="e">
        <f>MID(MAIN!A421,K416,2)</f>
        <v>#VALUE!</v>
      </c>
      <c r="C416" s="12" t="e">
        <f t="shared" si="24"/>
        <v>#VALUE!</v>
      </c>
      <c r="D416" s="12" t="e">
        <f>MID(MAIN!A421,K416+2,2)</f>
        <v>#VALUE!</v>
      </c>
      <c r="E416" s="12" t="e">
        <f>MID(MAIN!A421,K416+4,2)</f>
        <v>#VALUE!</v>
      </c>
      <c r="F416" s="2" t="e">
        <f t="shared" si="25"/>
        <v>#VALUE!</v>
      </c>
      <c r="G416" s="13" t="e">
        <f t="shared" si="26"/>
        <v>#VALUE!</v>
      </c>
      <c r="J416" t="str">
        <f>MAIN!A421&amp;"B"</f>
        <v>B</v>
      </c>
      <c r="K416" s="12" t="e">
        <f t="shared" si="27"/>
        <v>#VALUE!</v>
      </c>
      <c r="L416" t="str">
        <f>MAIN!C421</f>
        <v/>
      </c>
    </row>
    <row r="417" spans="1:12" x14ac:dyDescent="0.3">
      <c r="A417">
        <f>IF(J417="0",0,IF(COUNTIF($J$2:J417,J417)=1,1,0))</f>
        <v>0</v>
      </c>
      <c r="B417" s="12" t="e">
        <f>MID(MAIN!A422,K417,2)</f>
        <v>#VALUE!</v>
      </c>
      <c r="C417" s="12" t="e">
        <f t="shared" si="24"/>
        <v>#VALUE!</v>
      </c>
      <c r="D417" s="12" t="e">
        <f>MID(MAIN!A422,K417+2,2)</f>
        <v>#VALUE!</v>
      </c>
      <c r="E417" s="12" t="e">
        <f>MID(MAIN!A422,K417+4,2)</f>
        <v>#VALUE!</v>
      </c>
      <c r="F417" s="2" t="e">
        <f t="shared" si="25"/>
        <v>#VALUE!</v>
      </c>
      <c r="G417" s="13" t="e">
        <f t="shared" si="26"/>
        <v>#VALUE!</v>
      </c>
      <c r="J417" t="str">
        <f>MAIN!A422&amp;"B"</f>
        <v>B</v>
      </c>
      <c r="K417" s="12" t="e">
        <f t="shared" si="27"/>
        <v>#VALUE!</v>
      </c>
      <c r="L417" t="str">
        <f>MAIN!C422</f>
        <v/>
      </c>
    </row>
    <row r="418" spans="1:12" x14ac:dyDescent="0.3">
      <c r="A418">
        <f>IF(J418="0",0,IF(COUNTIF($J$2:J418,J418)=1,1,0))</f>
        <v>0</v>
      </c>
      <c r="B418" s="12" t="e">
        <f>MID(MAIN!A423,K418,2)</f>
        <v>#VALUE!</v>
      </c>
      <c r="C418" s="12" t="e">
        <f t="shared" si="24"/>
        <v>#VALUE!</v>
      </c>
      <c r="D418" s="12" t="e">
        <f>MID(MAIN!A423,K418+2,2)</f>
        <v>#VALUE!</v>
      </c>
      <c r="E418" s="12" t="e">
        <f>MID(MAIN!A423,K418+4,2)</f>
        <v>#VALUE!</v>
      </c>
      <c r="F418" s="2" t="e">
        <f t="shared" si="25"/>
        <v>#VALUE!</v>
      </c>
      <c r="G418" s="13" t="e">
        <f t="shared" si="26"/>
        <v>#VALUE!</v>
      </c>
      <c r="J418" t="str">
        <f>MAIN!A423&amp;"B"</f>
        <v>B</v>
      </c>
      <c r="K418" s="12" t="e">
        <f t="shared" si="27"/>
        <v>#VALUE!</v>
      </c>
      <c r="L418" t="str">
        <f>MAIN!C423</f>
        <v/>
      </c>
    </row>
    <row r="419" spans="1:12" x14ac:dyDescent="0.3">
      <c r="A419">
        <f>IF(J419="0",0,IF(COUNTIF($J$2:J419,J419)=1,1,0))</f>
        <v>0</v>
      </c>
      <c r="B419" s="12" t="e">
        <f>MID(MAIN!A424,K419,2)</f>
        <v>#VALUE!</v>
      </c>
      <c r="C419" s="12" t="e">
        <f t="shared" si="24"/>
        <v>#VALUE!</v>
      </c>
      <c r="D419" s="12" t="e">
        <f>MID(MAIN!A424,K419+2,2)</f>
        <v>#VALUE!</v>
      </c>
      <c r="E419" s="12" t="e">
        <f>MID(MAIN!A424,K419+4,2)</f>
        <v>#VALUE!</v>
      </c>
      <c r="F419" s="2" t="e">
        <f t="shared" si="25"/>
        <v>#VALUE!</v>
      </c>
      <c r="G419" s="13" t="e">
        <f t="shared" si="26"/>
        <v>#VALUE!</v>
      </c>
      <c r="J419" t="str">
        <f>MAIN!A424&amp;"B"</f>
        <v>B</v>
      </c>
      <c r="K419" s="12" t="e">
        <f t="shared" si="27"/>
        <v>#VALUE!</v>
      </c>
      <c r="L419" t="str">
        <f>MAIN!C424</f>
        <v/>
      </c>
    </row>
    <row r="420" spans="1:12" x14ac:dyDescent="0.3">
      <c r="A420">
        <f>IF(J420="0",0,IF(COUNTIF($J$2:J420,J420)=1,1,0))</f>
        <v>0</v>
      </c>
      <c r="B420" s="12" t="e">
        <f>MID(MAIN!A425,K420,2)</f>
        <v>#VALUE!</v>
      </c>
      <c r="C420" s="12" t="e">
        <f t="shared" si="24"/>
        <v>#VALUE!</v>
      </c>
      <c r="D420" s="12" t="e">
        <f>MID(MAIN!A425,K420+2,2)</f>
        <v>#VALUE!</v>
      </c>
      <c r="E420" s="12" t="e">
        <f>MID(MAIN!A425,K420+4,2)</f>
        <v>#VALUE!</v>
      </c>
      <c r="F420" s="2" t="e">
        <f t="shared" si="25"/>
        <v>#VALUE!</v>
      </c>
      <c r="G420" s="13" t="e">
        <f t="shared" si="26"/>
        <v>#VALUE!</v>
      </c>
      <c r="J420" t="str">
        <f>MAIN!A425&amp;"B"</f>
        <v>B</v>
      </c>
      <c r="K420" s="12" t="e">
        <f t="shared" si="27"/>
        <v>#VALUE!</v>
      </c>
      <c r="L420" t="str">
        <f>MAIN!C425</f>
        <v/>
      </c>
    </row>
    <row r="421" spans="1:12" x14ac:dyDescent="0.3">
      <c r="A421">
        <f>IF(J421="0",0,IF(COUNTIF($J$2:J421,J421)=1,1,0))</f>
        <v>0</v>
      </c>
      <c r="B421" s="12" t="e">
        <f>MID(MAIN!A426,K421,2)</f>
        <v>#VALUE!</v>
      </c>
      <c r="C421" s="12" t="e">
        <f t="shared" si="24"/>
        <v>#VALUE!</v>
      </c>
      <c r="D421" s="12" t="e">
        <f>MID(MAIN!A426,K421+2,2)</f>
        <v>#VALUE!</v>
      </c>
      <c r="E421" s="12" t="e">
        <f>MID(MAIN!A426,K421+4,2)</f>
        <v>#VALUE!</v>
      </c>
      <c r="F421" s="2" t="e">
        <f t="shared" si="25"/>
        <v>#VALUE!</v>
      </c>
      <c r="G421" s="13" t="e">
        <f t="shared" si="26"/>
        <v>#VALUE!</v>
      </c>
      <c r="J421" t="str">
        <f>MAIN!A426&amp;"B"</f>
        <v>B</v>
      </c>
      <c r="K421" s="12" t="e">
        <f t="shared" si="27"/>
        <v>#VALUE!</v>
      </c>
      <c r="L421" t="str">
        <f>MAIN!C426</f>
        <v/>
      </c>
    </row>
    <row r="422" spans="1:12" x14ac:dyDescent="0.3">
      <c r="A422">
        <f>IF(J422="0",0,IF(COUNTIF($J$2:J422,J422)=1,1,0))</f>
        <v>0</v>
      </c>
      <c r="B422" s="12" t="e">
        <f>MID(MAIN!A427,K422,2)</f>
        <v>#VALUE!</v>
      </c>
      <c r="C422" s="12" t="e">
        <f t="shared" si="24"/>
        <v>#VALUE!</v>
      </c>
      <c r="D422" s="12" t="e">
        <f>MID(MAIN!A427,K422+2,2)</f>
        <v>#VALUE!</v>
      </c>
      <c r="E422" s="12" t="e">
        <f>MID(MAIN!A427,K422+4,2)</f>
        <v>#VALUE!</v>
      </c>
      <c r="F422" s="2" t="e">
        <f t="shared" si="25"/>
        <v>#VALUE!</v>
      </c>
      <c r="G422" s="13" t="e">
        <f t="shared" si="26"/>
        <v>#VALUE!</v>
      </c>
      <c r="J422" t="str">
        <f>MAIN!A427&amp;"B"</f>
        <v>B</v>
      </c>
      <c r="K422" s="12" t="e">
        <f t="shared" si="27"/>
        <v>#VALUE!</v>
      </c>
      <c r="L422" t="str">
        <f>MAIN!C427</f>
        <v/>
      </c>
    </row>
    <row r="423" spans="1:12" x14ac:dyDescent="0.3">
      <c r="A423">
        <f>IF(J423="0",0,IF(COUNTIF($J$2:J423,J423)=1,1,0))</f>
        <v>0</v>
      </c>
      <c r="B423" s="12" t="e">
        <f>MID(MAIN!A428,K423,2)</f>
        <v>#VALUE!</v>
      </c>
      <c r="C423" s="12" t="e">
        <f t="shared" si="24"/>
        <v>#VALUE!</v>
      </c>
      <c r="D423" s="12" t="e">
        <f>MID(MAIN!A428,K423+2,2)</f>
        <v>#VALUE!</v>
      </c>
      <c r="E423" s="12" t="e">
        <f>MID(MAIN!A428,K423+4,2)</f>
        <v>#VALUE!</v>
      </c>
      <c r="F423" s="2" t="e">
        <f t="shared" si="25"/>
        <v>#VALUE!</v>
      </c>
      <c r="G423" s="13" t="e">
        <f t="shared" si="26"/>
        <v>#VALUE!</v>
      </c>
      <c r="J423" t="str">
        <f>MAIN!A428&amp;"B"</f>
        <v>B</v>
      </c>
      <c r="K423" s="12" t="e">
        <f t="shared" si="27"/>
        <v>#VALUE!</v>
      </c>
      <c r="L423" t="str">
        <f>MAIN!C428</f>
        <v/>
      </c>
    </row>
    <row r="424" spans="1:12" x14ac:dyDescent="0.3">
      <c r="A424">
        <f>IF(J424="0",0,IF(COUNTIF($J$2:J424,J424)=1,1,0))</f>
        <v>0</v>
      </c>
      <c r="B424" s="12" t="e">
        <f>MID(MAIN!A429,K424,2)</f>
        <v>#VALUE!</v>
      </c>
      <c r="C424" s="12" t="e">
        <f t="shared" si="24"/>
        <v>#VALUE!</v>
      </c>
      <c r="D424" s="12" t="e">
        <f>MID(MAIN!A429,K424+2,2)</f>
        <v>#VALUE!</v>
      </c>
      <c r="E424" s="12" t="e">
        <f>MID(MAIN!A429,K424+4,2)</f>
        <v>#VALUE!</v>
      </c>
      <c r="F424" s="2" t="e">
        <f t="shared" si="25"/>
        <v>#VALUE!</v>
      </c>
      <c r="G424" s="13" t="e">
        <f t="shared" si="26"/>
        <v>#VALUE!</v>
      </c>
      <c r="J424" t="str">
        <f>MAIN!A429&amp;"B"</f>
        <v>B</v>
      </c>
      <c r="K424" s="12" t="e">
        <f t="shared" si="27"/>
        <v>#VALUE!</v>
      </c>
      <c r="L424" t="str">
        <f>MAIN!C429</f>
        <v/>
      </c>
    </row>
    <row r="425" spans="1:12" x14ac:dyDescent="0.3">
      <c r="A425">
        <f>IF(J425="0",0,IF(COUNTIF($J$2:J425,J425)=1,1,0))</f>
        <v>0</v>
      </c>
      <c r="B425" s="12" t="e">
        <f>MID(MAIN!A430,K425,2)</f>
        <v>#VALUE!</v>
      </c>
      <c r="C425" s="12" t="e">
        <f t="shared" si="24"/>
        <v>#VALUE!</v>
      </c>
      <c r="D425" s="12" t="e">
        <f>MID(MAIN!A430,K425+2,2)</f>
        <v>#VALUE!</v>
      </c>
      <c r="E425" s="12" t="e">
        <f>MID(MAIN!A430,K425+4,2)</f>
        <v>#VALUE!</v>
      </c>
      <c r="F425" s="2" t="e">
        <f t="shared" si="25"/>
        <v>#VALUE!</v>
      </c>
      <c r="G425" s="13" t="e">
        <f t="shared" si="26"/>
        <v>#VALUE!</v>
      </c>
      <c r="J425" t="str">
        <f>MAIN!A430&amp;"B"</f>
        <v>B</v>
      </c>
      <c r="K425" s="12" t="e">
        <f t="shared" si="27"/>
        <v>#VALUE!</v>
      </c>
      <c r="L425" t="str">
        <f>MAIN!C430</f>
        <v/>
      </c>
    </row>
    <row r="426" spans="1:12" x14ac:dyDescent="0.3">
      <c r="A426">
        <f>IF(J426="0",0,IF(COUNTIF($J$2:J426,J426)=1,1,0))</f>
        <v>0</v>
      </c>
      <c r="B426" s="12" t="e">
        <f>MID(MAIN!A431,K426,2)</f>
        <v>#VALUE!</v>
      </c>
      <c r="C426" s="12" t="e">
        <f t="shared" si="24"/>
        <v>#VALUE!</v>
      </c>
      <c r="D426" s="12" t="e">
        <f>MID(MAIN!A431,K426+2,2)</f>
        <v>#VALUE!</v>
      </c>
      <c r="E426" s="12" t="e">
        <f>MID(MAIN!A431,K426+4,2)</f>
        <v>#VALUE!</v>
      </c>
      <c r="F426" s="2" t="e">
        <f t="shared" si="25"/>
        <v>#VALUE!</v>
      </c>
      <c r="G426" s="13" t="e">
        <f t="shared" si="26"/>
        <v>#VALUE!</v>
      </c>
      <c r="J426" t="str">
        <f>MAIN!A431&amp;"B"</f>
        <v>B</v>
      </c>
      <c r="K426" s="12" t="e">
        <f t="shared" si="27"/>
        <v>#VALUE!</v>
      </c>
      <c r="L426" t="str">
        <f>MAIN!C431</f>
        <v/>
      </c>
    </row>
    <row r="427" spans="1:12" x14ac:dyDescent="0.3">
      <c r="A427">
        <f>IF(J427="0",0,IF(COUNTIF($J$2:J427,J427)=1,1,0))</f>
        <v>0</v>
      </c>
      <c r="B427" s="12" t="e">
        <f>MID(MAIN!A432,K427,2)</f>
        <v>#VALUE!</v>
      </c>
      <c r="C427" s="12" t="e">
        <f t="shared" si="24"/>
        <v>#VALUE!</v>
      </c>
      <c r="D427" s="12" t="e">
        <f>MID(MAIN!A432,K427+2,2)</f>
        <v>#VALUE!</v>
      </c>
      <c r="E427" s="12" t="e">
        <f>MID(MAIN!A432,K427+4,2)</f>
        <v>#VALUE!</v>
      </c>
      <c r="F427" s="2" t="e">
        <f t="shared" si="25"/>
        <v>#VALUE!</v>
      </c>
      <c r="G427" s="13" t="e">
        <f t="shared" si="26"/>
        <v>#VALUE!</v>
      </c>
      <c r="J427" t="str">
        <f>MAIN!A432&amp;"B"</f>
        <v>B</v>
      </c>
      <c r="K427" s="12" t="e">
        <f t="shared" si="27"/>
        <v>#VALUE!</v>
      </c>
      <c r="L427" t="str">
        <f>MAIN!C432</f>
        <v/>
      </c>
    </row>
    <row r="428" spans="1:12" x14ac:dyDescent="0.3">
      <c r="A428">
        <f>IF(J428="0",0,IF(COUNTIF($J$2:J428,J428)=1,1,0))</f>
        <v>0</v>
      </c>
      <c r="B428" s="12" t="e">
        <f>MID(MAIN!A433,K428,2)</f>
        <v>#VALUE!</v>
      </c>
      <c r="C428" s="12" t="e">
        <f t="shared" si="24"/>
        <v>#VALUE!</v>
      </c>
      <c r="D428" s="12" t="e">
        <f>MID(MAIN!A433,K428+2,2)</f>
        <v>#VALUE!</v>
      </c>
      <c r="E428" s="12" t="e">
        <f>MID(MAIN!A433,K428+4,2)</f>
        <v>#VALUE!</v>
      </c>
      <c r="F428" s="2" t="e">
        <f t="shared" si="25"/>
        <v>#VALUE!</v>
      </c>
      <c r="G428" s="13" t="e">
        <f t="shared" si="26"/>
        <v>#VALUE!</v>
      </c>
      <c r="J428" t="str">
        <f>MAIN!A433&amp;"B"</f>
        <v>B</v>
      </c>
      <c r="K428" s="12" t="e">
        <f t="shared" si="27"/>
        <v>#VALUE!</v>
      </c>
      <c r="L428" t="str">
        <f>MAIN!C433</f>
        <v/>
      </c>
    </row>
    <row r="429" spans="1:12" x14ac:dyDescent="0.3">
      <c r="A429">
        <f>IF(J429="0",0,IF(COUNTIF($J$2:J429,J429)=1,1,0))</f>
        <v>0</v>
      </c>
      <c r="B429" s="12" t="e">
        <f>MID(MAIN!A434,K429,2)</f>
        <v>#VALUE!</v>
      </c>
      <c r="C429" s="12" t="e">
        <f t="shared" si="24"/>
        <v>#VALUE!</v>
      </c>
      <c r="D429" s="12" t="e">
        <f>MID(MAIN!A434,K429+2,2)</f>
        <v>#VALUE!</v>
      </c>
      <c r="E429" s="12" t="e">
        <f>MID(MAIN!A434,K429+4,2)</f>
        <v>#VALUE!</v>
      </c>
      <c r="F429" s="2" t="e">
        <f t="shared" si="25"/>
        <v>#VALUE!</v>
      </c>
      <c r="G429" s="13" t="e">
        <f t="shared" si="26"/>
        <v>#VALUE!</v>
      </c>
      <c r="J429" t="str">
        <f>MAIN!A434&amp;"B"</f>
        <v>B</v>
      </c>
      <c r="K429" s="12" t="e">
        <f t="shared" si="27"/>
        <v>#VALUE!</v>
      </c>
      <c r="L429" t="str">
        <f>MAIN!C434</f>
        <v/>
      </c>
    </row>
    <row r="430" spans="1:12" x14ac:dyDescent="0.3">
      <c r="A430">
        <f>IF(J430="0",0,IF(COUNTIF($J$2:J430,J430)=1,1,0))</f>
        <v>0</v>
      </c>
      <c r="B430" s="12" t="e">
        <f>MID(MAIN!A435,K430,2)</f>
        <v>#VALUE!</v>
      </c>
      <c r="C430" s="12" t="e">
        <f t="shared" si="24"/>
        <v>#VALUE!</v>
      </c>
      <c r="D430" s="12" t="e">
        <f>MID(MAIN!A435,K430+2,2)</f>
        <v>#VALUE!</v>
      </c>
      <c r="E430" s="12" t="e">
        <f>MID(MAIN!A435,K430+4,2)</f>
        <v>#VALUE!</v>
      </c>
      <c r="F430" s="2" t="e">
        <f t="shared" si="25"/>
        <v>#VALUE!</v>
      </c>
      <c r="G430" s="13" t="e">
        <f t="shared" si="26"/>
        <v>#VALUE!</v>
      </c>
      <c r="J430" t="str">
        <f>MAIN!A435&amp;"B"</f>
        <v>B</v>
      </c>
      <c r="K430" s="12" t="e">
        <f t="shared" si="27"/>
        <v>#VALUE!</v>
      </c>
      <c r="L430" t="str">
        <f>MAIN!C435</f>
        <v/>
      </c>
    </row>
    <row r="431" spans="1:12" x14ac:dyDescent="0.3">
      <c r="A431">
        <f>IF(J431="0",0,IF(COUNTIF($J$2:J431,J431)=1,1,0))</f>
        <v>0</v>
      </c>
      <c r="B431" s="12" t="e">
        <f>MID(MAIN!A436,K431,2)</f>
        <v>#VALUE!</v>
      </c>
      <c r="C431" s="12" t="e">
        <f t="shared" si="24"/>
        <v>#VALUE!</v>
      </c>
      <c r="D431" s="12" t="e">
        <f>MID(MAIN!A436,K431+2,2)</f>
        <v>#VALUE!</v>
      </c>
      <c r="E431" s="12" t="e">
        <f>MID(MAIN!A436,K431+4,2)</f>
        <v>#VALUE!</v>
      </c>
      <c r="F431" s="2" t="e">
        <f t="shared" si="25"/>
        <v>#VALUE!</v>
      </c>
      <c r="G431" s="13" t="e">
        <f t="shared" si="26"/>
        <v>#VALUE!</v>
      </c>
      <c r="J431" t="str">
        <f>MAIN!A436&amp;"B"</f>
        <v>B</v>
      </c>
      <c r="K431" s="12" t="e">
        <f t="shared" si="27"/>
        <v>#VALUE!</v>
      </c>
      <c r="L431" t="str">
        <f>MAIN!C436</f>
        <v/>
      </c>
    </row>
    <row r="432" spans="1:12" x14ac:dyDescent="0.3">
      <c r="A432">
        <f>IF(J432="0",0,IF(COUNTIF($J$2:J432,J432)=1,1,0))</f>
        <v>0</v>
      </c>
      <c r="B432" s="12" t="e">
        <f>MID(MAIN!A437,K432,2)</f>
        <v>#VALUE!</v>
      </c>
      <c r="C432" s="12" t="e">
        <f t="shared" si="24"/>
        <v>#VALUE!</v>
      </c>
      <c r="D432" s="12" t="e">
        <f>MID(MAIN!A437,K432+2,2)</f>
        <v>#VALUE!</v>
      </c>
      <c r="E432" s="12" t="e">
        <f>MID(MAIN!A437,K432+4,2)</f>
        <v>#VALUE!</v>
      </c>
      <c r="F432" s="2" t="e">
        <f t="shared" si="25"/>
        <v>#VALUE!</v>
      </c>
      <c r="G432" s="13" t="e">
        <f t="shared" si="26"/>
        <v>#VALUE!</v>
      </c>
      <c r="J432" t="str">
        <f>MAIN!A437&amp;"B"</f>
        <v>B</v>
      </c>
      <c r="K432" s="12" t="e">
        <f t="shared" si="27"/>
        <v>#VALUE!</v>
      </c>
      <c r="L432" t="str">
        <f>MAIN!C437</f>
        <v/>
      </c>
    </row>
    <row r="433" spans="1:12" x14ac:dyDescent="0.3">
      <c r="A433">
        <f>IF(J433="0",0,IF(COUNTIF($J$2:J433,J433)=1,1,0))</f>
        <v>0</v>
      </c>
      <c r="B433" s="12" t="e">
        <f>MID(MAIN!A438,K433,2)</f>
        <v>#VALUE!</v>
      </c>
      <c r="C433" s="12" t="e">
        <f t="shared" si="24"/>
        <v>#VALUE!</v>
      </c>
      <c r="D433" s="12" t="e">
        <f>MID(MAIN!A438,K433+2,2)</f>
        <v>#VALUE!</v>
      </c>
      <c r="E433" s="12" t="e">
        <f>MID(MAIN!A438,K433+4,2)</f>
        <v>#VALUE!</v>
      </c>
      <c r="F433" s="2" t="e">
        <f t="shared" si="25"/>
        <v>#VALUE!</v>
      </c>
      <c r="G433" s="13" t="e">
        <f t="shared" si="26"/>
        <v>#VALUE!</v>
      </c>
      <c r="J433" t="str">
        <f>MAIN!A438&amp;"B"</f>
        <v>B</v>
      </c>
      <c r="K433" s="12" t="e">
        <f t="shared" si="27"/>
        <v>#VALUE!</v>
      </c>
      <c r="L433" t="str">
        <f>MAIN!C438</f>
        <v/>
      </c>
    </row>
    <row r="434" spans="1:12" x14ac:dyDescent="0.3">
      <c r="A434">
        <f>IF(J434="0",0,IF(COUNTIF($J$2:J434,J434)=1,1,0))</f>
        <v>0</v>
      </c>
      <c r="B434" s="12" t="e">
        <f>MID(MAIN!A439,K434,2)</f>
        <v>#VALUE!</v>
      </c>
      <c r="C434" s="12" t="e">
        <f t="shared" si="24"/>
        <v>#VALUE!</v>
      </c>
      <c r="D434" s="12" t="e">
        <f>MID(MAIN!A439,K434+2,2)</f>
        <v>#VALUE!</v>
      </c>
      <c r="E434" s="12" t="e">
        <f>MID(MAIN!A439,K434+4,2)</f>
        <v>#VALUE!</v>
      </c>
      <c r="F434" s="2" t="e">
        <f t="shared" si="25"/>
        <v>#VALUE!</v>
      </c>
      <c r="G434" s="13" t="e">
        <f t="shared" si="26"/>
        <v>#VALUE!</v>
      </c>
      <c r="J434" t="str">
        <f>MAIN!A439&amp;"B"</f>
        <v>B</v>
      </c>
      <c r="K434" s="12" t="e">
        <f t="shared" si="27"/>
        <v>#VALUE!</v>
      </c>
      <c r="L434" t="str">
        <f>MAIN!C439</f>
        <v/>
      </c>
    </row>
    <row r="435" spans="1:12" x14ac:dyDescent="0.3">
      <c r="A435">
        <f>IF(J435="0",0,IF(COUNTIF($J$2:J435,J435)=1,1,0))</f>
        <v>0</v>
      </c>
      <c r="B435" s="12" t="e">
        <f>MID(MAIN!A440,K435,2)</f>
        <v>#VALUE!</v>
      </c>
      <c r="C435" s="12" t="e">
        <f t="shared" si="24"/>
        <v>#VALUE!</v>
      </c>
      <c r="D435" s="12" t="e">
        <f>MID(MAIN!A440,K435+2,2)</f>
        <v>#VALUE!</v>
      </c>
      <c r="E435" s="12" t="e">
        <f>MID(MAIN!A440,K435+4,2)</f>
        <v>#VALUE!</v>
      </c>
      <c r="F435" s="2" t="e">
        <f t="shared" si="25"/>
        <v>#VALUE!</v>
      </c>
      <c r="G435" s="13" t="e">
        <f t="shared" si="26"/>
        <v>#VALUE!</v>
      </c>
      <c r="J435" t="str">
        <f>MAIN!A440&amp;"B"</f>
        <v>B</v>
      </c>
      <c r="K435" s="12" t="e">
        <f t="shared" si="27"/>
        <v>#VALUE!</v>
      </c>
      <c r="L435" t="str">
        <f>MAIN!C440</f>
        <v/>
      </c>
    </row>
    <row r="436" spans="1:12" x14ac:dyDescent="0.3">
      <c r="A436">
        <f>IF(J436="0",0,IF(COUNTIF($J$2:J436,J436)=1,1,0))</f>
        <v>0</v>
      </c>
      <c r="B436" s="12" t="e">
        <f>MID(MAIN!A441,K436,2)</f>
        <v>#VALUE!</v>
      </c>
      <c r="C436" s="12" t="e">
        <f t="shared" si="24"/>
        <v>#VALUE!</v>
      </c>
      <c r="D436" s="12" t="e">
        <f>MID(MAIN!A441,K436+2,2)</f>
        <v>#VALUE!</v>
      </c>
      <c r="E436" s="12" t="e">
        <f>MID(MAIN!A441,K436+4,2)</f>
        <v>#VALUE!</v>
      </c>
      <c r="F436" s="2" t="e">
        <f t="shared" si="25"/>
        <v>#VALUE!</v>
      </c>
      <c r="G436" s="13" t="e">
        <f t="shared" si="26"/>
        <v>#VALUE!</v>
      </c>
      <c r="J436" t="str">
        <f>MAIN!A441&amp;"B"</f>
        <v>B</v>
      </c>
      <c r="K436" s="12" t="e">
        <f t="shared" si="27"/>
        <v>#VALUE!</v>
      </c>
      <c r="L436" t="str">
        <f>MAIN!C441</f>
        <v/>
      </c>
    </row>
    <row r="437" spans="1:12" x14ac:dyDescent="0.3">
      <c r="A437">
        <f>IF(J437="0",0,IF(COUNTIF($J$2:J437,J437)=1,1,0))</f>
        <v>0</v>
      </c>
      <c r="B437" s="12" t="e">
        <f>MID(MAIN!A442,K437,2)</f>
        <v>#VALUE!</v>
      </c>
      <c r="C437" s="12" t="e">
        <f t="shared" si="24"/>
        <v>#VALUE!</v>
      </c>
      <c r="D437" s="12" t="e">
        <f>MID(MAIN!A442,K437+2,2)</f>
        <v>#VALUE!</v>
      </c>
      <c r="E437" s="12" t="e">
        <f>MID(MAIN!A442,K437+4,2)</f>
        <v>#VALUE!</v>
      </c>
      <c r="F437" s="2" t="e">
        <f t="shared" si="25"/>
        <v>#VALUE!</v>
      </c>
      <c r="G437" s="13" t="e">
        <f t="shared" si="26"/>
        <v>#VALUE!</v>
      </c>
      <c r="J437" t="str">
        <f>MAIN!A442&amp;"B"</f>
        <v>B</v>
      </c>
      <c r="K437" s="12" t="e">
        <f t="shared" si="27"/>
        <v>#VALUE!</v>
      </c>
      <c r="L437" t="str">
        <f>MAIN!C442</f>
        <v/>
      </c>
    </row>
    <row r="438" spans="1:12" x14ac:dyDescent="0.3">
      <c r="A438">
        <f>IF(J438="0",0,IF(COUNTIF($J$2:J438,J438)=1,1,0))</f>
        <v>0</v>
      </c>
      <c r="B438" s="12" t="e">
        <f>MID(MAIN!A443,K438,2)</f>
        <v>#VALUE!</v>
      </c>
      <c r="C438" s="12" t="e">
        <f t="shared" si="24"/>
        <v>#VALUE!</v>
      </c>
      <c r="D438" s="12" t="e">
        <f>MID(MAIN!A443,K438+2,2)</f>
        <v>#VALUE!</v>
      </c>
      <c r="E438" s="12" t="e">
        <f>MID(MAIN!A443,K438+4,2)</f>
        <v>#VALUE!</v>
      </c>
      <c r="F438" s="2" t="e">
        <f t="shared" si="25"/>
        <v>#VALUE!</v>
      </c>
      <c r="G438" s="13" t="e">
        <f t="shared" si="26"/>
        <v>#VALUE!</v>
      </c>
      <c r="J438" t="str">
        <f>MAIN!A443&amp;"B"</f>
        <v>B</v>
      </c>
      <c r="K438" s="12" t="e">
        <f t="shared" si="27"/>
        <v>#VALUE!</v>
      </c>
      <c r="L438" t="str">
        <f>MAIN!C443</f>
        <v/>
      </c>
    </row>
    <row r="439" spans="1:12" x14ac:dyDescent="0.3">
      <c r="A439">
        <f>IF(J439="0",0,IF(COUNTIF($J$2:J439,J439)=1,1,0))</f>
        <v>0</v>
      </c>
      <c r="B439" s="12" t="e">
        <f>MID(MAIN!A444,K439,2)</f>
        <v>#VALUE!</v>
      </c>
      <c r="C439" s="12" t="e">
        <f t="shared" si="24"/>
        <v>#VALUE!</v>
      </c>
      <c r="D439" s="12" t="e">
        <f>MID(MAIN!A444,K439+2,2)</f>
        <v>#VALUE!</v>
      </c>
      <c r="E439" s="12" t="e">
        <f>MID(MAIN!A444,K439+4,2)</f>
        <v>#VALUE!</v>
      </c>
      <c r="F439" s="2" t="e">
        <f t="shared" si="25"/>
        <v>#VALUE!</v>
      </c>
      <c r="G439" s="13" t="e">
        <f t="shared" si="26"/>
        <v>#VALUE!</v>
      </c>
      <c r="J439" t="str">
        <f>MAIN!A444&amp;"B"</f>
        <v>B</v>
      </c>
      <c r="K439" s="12" t="e">
        <f t="shared" si="27"/>
        <v>#VALUE!</v>
      </c>
      <c r="L439" t="str">
        <f>MAIN!C444</f>
        <v/>
      </c>
    </row>
    <row r="440" spans="1:12" x14ac:dyDescent="0.3">
      <c r="A440">
        <f>IF(J440="0",0,IF(COUNTIF($J$2:J440,J440)=1,1,0))</f>
        <v>0</v>
      </c>
      <c r="B440" s="12" t="e">
        <f>MID(MAIN!A445,K440,2)</f>
        <v>#VALUE!</v>
      </c>
      <c r="C440" s="12" t="e">
        <f t="shared" si="24"/>
        <v>#VALUE!</v>
      </c>
      <c r="D440" s="12" t="e">
        <f>MID(MAIN!A445,K440+2,2)</f>
        <v>#VALUE!</v>
      </c>
      <c r="E440" s="12" t="e">
        <f>MID(MAIN!A445,K440+4,2)</f>
        <v>#VALUE!</v>
      </c>
      <c r="F440" s="2" t="e">
        <f t="shared" si="25"/>
        <v>#VALUE!</v>
      </c>
      <c r="G440" s="13" t="e">
        <f t="shared" si="26"/>
        <v>#VALUE!</v>
      </c>
      <c r="J440" t="str">
        <f>MAIN!A445&amp;"B"</f>
        <v>B</v>
      </c>
      <c r="K440" s="12" t="e">
        <f t="shared" si="27"/>
        <v>#VALUE!</v>
      </c>
      <c r="L440" t="str">
        <f>MAIN!C445</f>
        <v/>
      </c>
    </row>
    <row r="441" spans="1:12" x14ac:dyDescent="0.3">
      <c r="A441">
        <f>IF(J441="0",0,IF(COUNTIF($J$2:J441,J441)=1,1,0))</f>
        <v>0</v>
      </c>
      <c r="B441" s="12" t="e">
        <f>MID(MAIN!A446,K441,2)</f>
        <v>#VALUE!</v>
      </c>
      <c r="C441" s="12" t="e">
        <f t="shared" si="24"/>
        <v>#VALUE!</v>
      </c>
      <c r="D441" s="12" t="e">
        <f>MID(MAIN!A446,K441+2,2)</f>
        <v>#VALUE!</v>
      </c>
      <c r="E441" s="12" t="e">
        <f>MID(MAIN!A446,K441+4,2)</f>
        <v>#VALUE!</v>
      </c>
      <c r="F441" s="2" t="e">
        <f t="shared" si="25"/>
        <v>#VALUE!</v>
      </c>
      <c r="G441" s="13" t="e">
        <f t="shared" si="26"/>
        <v>#VALUE!</v>
      </c>
      <c r="J441" t="str">
        <f>MAIN!A446&amp;"B"</f>
        <v>B</v>
      </c>
      <c r="K441" s="12" t="e">
        <f t="shared" si="27"/>
        <v>#VALUE!</v>
      </c>
      <c r="L441" t="str">
        <f>MAIN!C446</f>
        <v/>
      </c>
    </row>
    <row r="442" spans="1:12" x14ac:dyDescent="0.3">
      <c r="A442">
        <f>IF(J442="0",0,IF(COUNTIF($J$2:J442,J442)=1,1,0))</f>
        <v>0</v>
      </c>
      <c r="B442" s="12" t="e">
        <f>MID(MAIN!A447,K442,2)</f>
        <v>#VALUE!</v>
      </c>
      <c r="C442" s="12" t="e">
        <f t="shared" si="24"/>
        <v>#VALUE!</v>
      </c>
      <c r="D442" s="12" t="e">
        <f>MID(MAIN!A447,K442+2,2)</f>
        <v>#VALUE!</v>
      </c>
      <c r="E442" s="12" t="e">
        <f>MID(MAIN!A447,K442+4,2)</f>
        <v>#VALUE!</v>
      </c>
      <c r="F442" s="2" t="e">
        <f t="shared" si="25"/>
        <v>#VALUE!</v>
      </c>
      <c r="G442" s="13" t="e">
        <f t="shared" si="26"/>
        <v>#VALUE!</v>
      </c>
      <c r="J442" t="str">
        <f>MAIN!A447&amp;"B"</f>
        <v>B</v>
      </c>
      <c r="K442" s="12" t="e">
        <f t="shared" si="27"/>
        <v>#VALUE!</v>
      </c>
      <c r="L442" t="str">
        <f>MAIN!C447</f>
        <v/>
      </c>
    </row>
    <row r="443" spans="1:12" x14ac:dyDescent="0.3">
      <c r="A443">
        <f>IF(J443="0",0,IF(COUNTIF($J$2:J443,J443)=1,1,0))</f>
        <v>0</v>
      </c>
      <c r="B443" s="12" t="e">
        <f>MID(MAIN!A448,K443,2)</f>
        <v>#VALUE!</v>
      </c>
      <c r="C443" s="12" t="e">
        <f t="shared" si="24"/>
        <v>#VALUE!</v>
      </c>
      <c r="D443" s="12" t="e">
        <f>MID(MAIN!A448,K443+2,2)</f>
        <v>#VALUE!</v>
      </c>
      <c r="E443" s="12" t="e">
        <f>MID(MAIN!A448,K443+4,2)</f>
        <v>#VALUE!</v>
      </c>
      <c r="F443" s="2" t="e">
        <f t="shared" si="25"/>
        <v>#VALUE!</v>
      </c>
      <c r="G443" s="13" t="e">
        <f t="shared" si="26"/>
        <v>#VALUE!</v>
      </c>
      <c r="J443" t="str">
        <f>MAIN!A448&amp;"B"</f>
        <v>B</v>
      </c>
      <c r="K443" s="12" t="e">
        <f t="shared" si="27"/>
        <v>#VALUE!</v>
      </c>
      <c r="L443" t="str">
        <f>MAIN!C448</f>
        <v/>
      </c>
    </row>
    <row r="444" spans="1:12" x14ac:dyDescent="0.3">
      <c r="A444">
        <f>IF(J444="0",0,IF(COUNTIF($J$2:J444,J444)=1,1,0))</f>
        <v>0</v>
      </c>
      <c r="B444" s="12" t="e">
        <f>MID(MAIN!A449,K444,2)</f>
        <v>#VALUE!</v>
      </c>
      <c r="C444" s="12" t="e">
        <f t="shared" si="24"/>
        <v>#VALUE!</v>
      </c>
      <c r="D444" s="12" t="e">
        <f>MID(MAIN!A449,K444+2,2)</f>
        <v>#VALUE!</v>
      </c>
      <c r="E444" s="12" t="e">
        <f>MID(MAIN!A449,K444+4,2)</f>
        <v>#VALUE!</v>
      </c>
      <c r="F444" s="2" t="e">
        <f t="shared" si="25"/>
        <v>#VALUE!</v>
      </c>
      <c r="G444" s="13" t="e">
        <f t="shared" si="26"/>
        <v>#VALUE!</v>
      </c>
      <c r="J444" t="str">
        <f>MAIN!A449&amp;"B"</f>
        <v>B</v>
      </c>
      <c r="K444" s="12" t="e">
        <f t="shared" si="27"/>
        <v>#VALUE!</v>
      </c>
      <c r="L444" t="str">
        <f>MAIN!C449</f>
        <v/>
      </c>
    </row>
    <row r="445" spans="1:12" x14ac:dyDescent="0.3">
      <c r="A445">
        <f>IF(J445="0",0,IF(COUNTIF($J$2:J445,J445)=1,1,0))</f>
        <v>0</v>
      </c>
      <c r="B445" s="12" t="e">
        <f>MID(MAIN!A450,K445,2)</f>
        <v>#VALUE!</v>
      </c>
      <c r="C445" s="12" t="e">
        <f t="shared" si="24"/>
        <v>#VALUE!</v>
      </c>
      <c r="D445" s="12" t="e">
        <f>MID(MAIN!A450,K445+2,2)</f>
        <v>#VALUE!</v>
      </c>
      <c r="E445" s="12" t="e">
        <f>MID(MAIN!A450,K445+4,2)</f>
        <v>#VALUE!</v>
      </c>
      <c r="F445" s="2" t="e">
        <f t="shared" si="25"/>
        <v>#VALUE!</v>
      </c>
      <c r="G445" s="13" t="e">
        <f t="shared" si="26"/>
        <v>#VALUE!</v>
      </c>
      <c r="J445" t="str">
        <f>MAIN!A450&amp;"B"</f>
        <v>B</v>
      </c>
      <c r="K445" s="12" t="e">
        <f t="shared" si="27"/>
        <v>#VALUE!</v>
      </c>
      <c r="L445" t="str">
        <f>MAIN!C450</f>
        <v/>
      </c>
    </row>
    <row r="446" spans="1:12" x14ac:dyDescent="0.3">
      <c r="A446">
        <f>IF(J446="0",0,IF(COUNTIF($J$2:J446,J446)=1,1,0))</f>
        <v>0</v>
      </c>
      <c r="B446" s="12" t="e">
        <f>MID(MAIN!A451,K446,2)</f>
        <v>#VALUE!</v>
      </c>
      <c r="C446" s="12" t="e">
        <f t="shared" si="24"/>
        <v>#VALUE!</v>
      </c>
      <c r="D446" s="12" t="e">
        <f>MID(MAIN!A451,K446+2,2)</f>
        <v>#VALUE!</v>
      </c>
      <c r="E446" s="12" t="e">
        <f>MID(MAIN!A451,K446+4,2)</f>
        <v>#VALUE!</v>
      </c>
      <c r="F446" s="2" t="e">
        <f t="shared" si="25"/>
        <v>#VALUE!</v>
      </c>
      <c r="G446" s="13" t="e">
        <f t="shared" si="26"/>
        <v>#VALUE!</v>
      </c>
      <c r="J446" t="str">
        <f>MAIN!A451&amp;"B"</f>
        <v>B</v>
      </c>
      <c r="K446" s="12" t="e">
        <f t="shared" si="27"/>
        <v>#VALUE!</v>
      </c>
      <c r="L446" t="str">
        <f>MAIN!C451</f>
        <v/>
      </c>
    </row>
    <row r="447" spans="1:12" x14ac:dyDescent="0.3">
      <c r="A447">
        <f>IF(J447="0",0,IF(COUNTIF($J$2:J447,J447)=1,1,0))</f>
        <v>0</v>
      </c>
      <c r="B447" s="12" t="e">
        <f>MID(MAIN!A452,K447,2)</f>
        <v>#VALUE!</v>
      </c>
      <c r="C447" s="12" t="e">
        <f t="shared" si="24"/>
        <v>#VALUE!</v>
      </c>
      <c r="D447" s="12" t="e">
        <f>MID(MAIN!A452,K447+2,2)</f>
        <v>#VALUE!</v>
      </c>
      <c r="E447" s="12" t="e">
        <f>MID(MAIN!A452,K447+4,2)</f>
        <v>#VALUE!</v>
      </c>
      <c r="F447" s="2" t="e">
        <f t="shared" si="25"/>
        <v>#VALUE!</v>
      </c>
      <c r="G447" s="13" t="e">
        <f t="shared" si="26"/>
        <v>#VALUE!</v>
      </c>
      <c r="J447" t="str">
        <f>MAIN!A452&amp;"B"</f>
        <v>B</v>
      </c>
      <c r="K447" s="12" t="e">
        <f t="shared" si="27"/>
        <v>#VALUE!</v>
      </c>
      <c r="L447" t="str">
        <f>MAIN!C452</f>
        <v/>
      </c>
    </row>
    <row r="448" spans="1:12" x14ac:dyDescent="0.3">
      <c r="A448">
        <f>IF(J448="0",0,IF(COUNTIF($J$2:J448,J448)=1,1,0))</f>
        <v>0</v>
      </c>
      <c r="B448" s="12" t="e">
        <f>MID(MAIN!A453,K448,2)</f>
        <v>#VALUE!</v>
      </c>
      <c r="C448" s="12" t="e">
        <f t="shared" si="24"/>
        <v>#VALUE!</v>
      </c>
      <c r="D448" s="12" t="e">
        <f>MID(MAIN!A453,K448+2,2)</f>
        <v>#VALUE!</v>
      </c>
      <c r="E448" s="12" t="e">
        <f>MID(MAIN!A453,K448+4,2)</f>
        <v>#VALUE!</v>
      </c>
      <c r="F448" s="2" t="e">
        <f t="shared" si="25"/>
        <v>#VALUE!</v>
      </c>
      <c r="G448" s="13" t="e">
        <f t="shared" si="26"/>
        <v>#VALUE!</v>
      </c>
      <c r="J448" t="str">
        <f>MAIN!A453&amp;"B"</f>
        <v>B</v>
      </c>
      <c r="K448" s="12" t="e">
        <f t="shared" si="27"/>
        <v>#VALUE!</v>
      </c>
      <c r="L448" t="str">
        <f>MAIN!C453</f>
        <v/>
      </c>
    </row>
    <row r="449" spans="1:12" x14ac:dyDescent="0.3">
      <c r="A449">
        <f>IF(J449="0",0,IF(COUNTIF($J$2:J449,J449)=1,1,0))</f>
        <v>0</v>
      </c>
      <c r="B449" s="12" t="e">
        <f>MID(MAIN!A454,K449,2)</f>
        <v>#VALUE!</v>
      </c>
      <c r="C449" s="12" t="e">
        <f t="shared" si="24"/>
        <v>#VALUE!</v>
      </c>
      <c r="D449" s="12" t="e">
        <f>MID(MAIN!A454,K449+2,2)</f>
        <v>#VALUE!</v>
      </c>
      <c r="E449" s="12" t="e">
        <f>MID(MAIN!A454,K449+4,2)</f>
        <v>#VALUE!</v>
      </c>
      <c r="F449" s="2" t="e">
        <f t="shared" si="25"/>
        <v>#VALUE!</v>
      </c>
      <c r="G449" s="13" t="e">
        <f t="shared" si="26"/>
        <v>#VALUE!</v>
      </c>
      <c r="J449" t="str">
        <f>MAIN!A454&amp;"B"</f>
        <v>B</v>
      </c>
      <c r="K449" s="12" t="e">
        <f t="shared" si="27"/>
        <v>#VALUE!</v>
      </c>
      <c r="L449" t="str">
        <f>MAIN!C454</f>
        <v/>
      </c>
    </row>
    <row r="450" spans="1:12" x14ac:dyDescent="0.3">
      <c r="A450">
        <f>IF(J450="0",0,IF(COUNTIF($J$2:J450,J450)=1,1,0))</f>
        <v>0</v>
      </c>
      <c r="B450" s="12" t="e">
        <f>MID(MAIN!A455,K450,2)</f>
        <v>#VALUE!</v>
      </c>
      <c r="C450" s="12" t="e">
        <f t="shared" si="24"/>
        <v>#VALUE!</v>
      </c>
      <c r="D450" s="12" t="e">
        <f>MID(MAIN!A455,K450+2,2)</f>
        <v>#VALUE!</v>
      </c>
      <c r="E450" s="12" t="e">
        <f>MID(MAIN!A455,K450+4,2)</f>
        <v>#VALUE!</v>
      </c>
      <c r="F450" s="2" t="e">
        <f t="shared" si="25"/>
        <v>#VALUE!</v>
      </c>
      <c r="G450" s="13" t="e">
        <f t="shared" si="26"/>
        <v>#VALUE!</v>
      </c>
      <c r="J450" t="str">
        <f>MAIN!A455&amp;"B"</f>
        <v>B</v>
      </c>
      <c r="K450" s="12" t="e">
        <f t="shared" si="27"/>
        <v>#VALUE!</v>
      </c>
      <c r="L450" t="str">
        <f>MAIN!C455</f>
        <v/>
      </c>
    </row>
    <row r="451" spans="1:12" x14ac:dyDescent="0.3">
      <c r="A451">
        <f>IF(J451="0",0,IF(COUNTIF($J$2:J451,J451)=1,1,0))</f>
        <v>0</v>
      </c>
      <c r="B451" s="12" t="e">
        <f>MID(MAIN!A456,K451,2)</f>
        <v>#VALUE!</v>
      </c>
      <c r="C451" s="12" t="e">
        <f t="shared" ref="C451:C514" si="28">"20"&amp;B451</f>
        <v>#VALUE!</v>
      </c>
      <c r="D451" s="12" t="e">
        <f>MID(MAIN!A456,K451+2,2)</f>
        <v>#VALUE!</v>
      </c>
      <c r="E451" s="12" t="e">
        <f>MID(MAIN!A456,K451+4,2)</f>
        <v>#VALUE!</v>
      </c>
      <c r="F451" s="2" t="e">
        <f t="shared" ref="F451:F514" si="29">C451&amp;"/"&amp;D451&amp;"/"&amp;E451</f>
        <v>#VALUE!</v>
      </c>
      <c r="G451" s="13" t="e">
        <f t="shared" ref="G451:G514" si="30">DATEVALUE(F451)</f>
        <v>#VALUE!</v>
      </c>
      <c r="J451" t="str">
        <f>MAIN!A456&amp;"B"</f>
        <v>B</v>
      </c>
      <c r="K451" s="12" t="e">
        <f t="shared" ref="K451:K514" si="31">FIND("172",J451,30)+2</f>
        <v>#VALUE!</v>
      </c>
      <c r="L451" t="str">
        <f>MAIN!C456</f>
        <v/>
      </c>
    </row>
    <row r="452" spans="1:12" x14ac:dyDescent="0.3">
      <c r="A452">
        <f>IF(J452="0",0,IF(COUNTIF($J$2:J452,J452)=1,1,0))</f>
        <v>0</v>
      </c>
      <c r="B452" s="12" t="e">
        <f>MID(MAIN!A457,K452,2)</f>
        <v>#VALUE!</v>
      </c>
      <c r="C452" s="12" t="e">
        <f t="shared" si="28"/>
        <v>#VALUE!</v>
      </c>
      <c r="D452" s="12" t="e">
        <f>MID(MAIN!A457,K452+2,2)</f>
        <v>#VALUE!</v>
      </c>
      <c r="E452" s="12" t="e">
        <f>MID(MAIN!A457,K452+4,2)</f>
        <v>#VALUE!</v>
      </c>
      <c r="F452" s="2" t="e">
        <f t="shared" si="29"/>
        <v>#VALUE!</v>
      </c>
      <c r="G452" s="13" t="e">
        <f t="shared" si="30"/>
        <v>#VALUE!</v>
      </c>
      <c r="J452" t="str">
        <f>MAIN!A457&amp;"B"</f>
        <v>B</v>
      </c>
      <c r="K452" s="12" t="e">
        <f t="shared" si="31"/>
        <v>#VALUE!</v>
      </c>
      <c r="L452" t="str">
        <f>MAIN!C457</f>
        <v/>
      </c>
    </row>
    <row r="453" spans="1:12" x14ac:dyDescent="0.3">
      <c r="A453">
        <f>IF(J453="0",0,IF(COUNTIF($J$2:J453,J453)=1,1,0))</f>
        <v>0</v>
      </c>
      <c r="B453" s="12" t="e">
        <f>MID(MAIN!A458,K453,2)</f>
        <v>#VALUE!</v>
      </c>
      <c r="C453" s="12" t="e">
        <f t="shared" si="28"/>
        <v>#VALUE!</v>
      </c>
      <c r="D453" s="12" t="e">
        <f>MID(MAIN!A458,K453+2,2)</f>
        <v>#VALUE!</v>
      </c>
      <c r="E453" s="12" t="e">
        <f>MID(MAIN!A458,K453+4,2)</f>
        <v>#VALUE!</v>
      </c>
      <c r="F453" s="2" t="e">
        <f t="shared" si="29"/>
        <v>#VALUE!</v>
      </c>
      <c r="G453" s="13" t="e">
        <f t="shared" si="30"/>
        <v>#VALUE!</v>
      </c>
      <c r="J453" t="str">
        <f>MAIN!A458&amp;"B"</f>
        <v>B</v>
      </c>
      <c r="K453" s="12" t="e">
        <f t="shared" si="31"/>
        <v>#VALUE!</v>
      </c>
      <c r="L453" t="str">
        <f>MAIN!C458</f>
        <v/>
      </c>
    </row>
    <row r="454" spans="1:12" x14ac:dyDescent="0.3">
      <c r="A454">
        <f>IF(J454="0",0,IF(COUNTIF($J$2:J454,J454)=1,1,0))</f>
        <v>0</v>
      </c>
      <c r="B454" s="12" t="e">
        <f>MID(MAIN!A459,K454,2)</f>
        <v>#VALUE!</v>
      </c>
      <c r="C454" s="12" t="e">
        <f t="shared" si="28"/>
        <v>#VALUE!</v>
      </c>
      <c r="D454" s="12" t="e">
        <f>MID(MAIN!A459,K454+2,2)</f>
        <v>#VALUE!</v>
      </c>
      <c r="E454" s="12" t="e">
        <f>MID(MAIN!A459,K454+4,2)</f>
        <v>#VALUE!</v>
      </c>
      <c r="F454" s="2" t="e">
        <f t="shared" si="29"/>
        <v>#VALUE!</v>
      </c>
      <c r="G454" s="13" t="e">
        <f t="shared" si="30"/>
        <v>#VALUE!</v>
      </c>
      <c r="J454" t="str">
        <f>MAIN!A459&amp;"B"</f>
        <v>B</v>
      </c>
      <c r="K454" s="12" t="e">
        <f t="shared" si="31"/>
        <v>#VALUE!</v>
      </c>
      <c r="L454" t="str">
        <f>MAIN!C459</f>
        <v/>
      </c>
    </row>
    <row r="455" spans="1:12" x14ac:dyDescent="0.3">
      <c r="A455">
        <f>IF(J455="0",0,IF(COUNTIF($J$2:J455,J455)=1,1,0))</f>
        <v>0</v>
      </c>
      <c r="B455" s="12" t="e">
        <f>MID(MAIN!A460,K455,2)</f>
        <v>#VALUE!</v>
      </c>
      <c r="C455" s="12" t="e">
        <f t="shared" si="28"/>
        <v>#VALUE!</v>
      </c>
      <c r="D455" s="12" t="e">
        <f>MID(MAIN!A460,K455+2,2)</f>
        <v>#VALUE!</v>
      </c>
      <c r="E455" s="12" t="e">
        <f>MID(MAIN!A460,K455+4,2)</f>
        <v>#VALUE!</v>
      </c>
      <c r="F455" s="2" t="e">
        <f t="shared" si="29"/>
        <v>#VALUE!</v>
      </c>
      <c r="G455" s="13" t="e">
        <f t="shared" si="30"/>
        <v>#VALUE!</v>
      </c>
      <c r="J455" t="str">
        <f>MAIN!A460&amp;"B"</f>
        <v>B</v>
      </c>
      <c r="K455" s="12" t="e">
        <f t="shared" si="31"/>
        <v>#VALUE!</v>
      </c>
      <c r="L455" t="str">
        <f>MAIN!C460</f>
        <v/>
      </c>
    </row>
    <row r="456" spans="1:12" x14ac:dyDescent="0.3">
      <c r="A456">
        <f>IF(J456="0",0,IF(COUNTIF($J$2:J456,J456)=1,1,0))</f>
        <v>0</v>
      </c>
      <c r="B456" s="12" t="e">
        <f>MID(MAIN!A461,K456,2)</f>
        <v>#VALUE!</v>
      </c>
      <c r="C456" s="12" t="e">
        <f t="shared" si="28"/>
        <v>#VALUE!</v>
      </c>
      <c r="D456" s="12" t="e">
        <f>MID(MAIN!A461,K456+2,2)</f>
        <v>#VALUE!</v>
      </c>
      <c r="E456" s="12" t="e">
        <f>MID(MAIN!A461,K456+4,2)</f>
        <v>#VALUE!</v>
      </c>
      <c r="F456" s="2" t="e">
        <f t="shared" si="29"/>
        <v>#VALUE!</v>
      </c>
      <c r="G456" s="13" t="e">
        <f t="shared" si="30"/>
        <v>#VALUE!</v>
      </c>
      <c r="J456" t="str">
        <f>MAIN!A461&amp;"B"</f>
        <v>B</v>
      </c>
      <c r="K456" s="12" t="e">
        <f t="shared" si="31"/>
        <v>#VALUE!</v>
      </c>
      <c r="L456" t="str">
        <f>MAIN!C461</f>
        <v/>
      </c>
    </row>
    <row r="457" spans="1:12" x14ac:dyDescent="0.3">
      <c r="A457">
        <f>IF(J457="0",0,IF(COUNTIF($J$2:J457,J457)=1,1,0))</f>
        <v>0</v>
      </c>
      <c r="B457" s="12" t="e">
        <f>MID(MAIN!A462,K457,2)</f>
        <v>#VALUE!</v>
      </c>
      <c r="C457" s="12" t="e">
        <f t="shared" si="28"/>
        <v>#VALUE!</v>
      </c>
      <c r="D457" s="12" t="e">
        <f>MID(MAIN!A462,K457+2,2)</f>
        <v>#VALUE!</v>
      </c>
      <c r="E457" s="12" t="e">
        <f>MID(MAIN!A462,K457+4,2)</f>
        <v>#VALUE!</v>
      </c>
      <c r="F457" s="2" t="e">
        <f t="shared" si="29"/>
        <v>#VALUE!</v>
      </c>
      <c r="G457" s="13" t="e">
        <f t="shared" si="30"/>
        <v>#VALUE!</v>
      </c>
      <c r="J457" t="str">
        <f>MAIN!A462&amp;"B"</f>
        <v>B</v>
      </c>
      <c r="K457" s="12" t="e">
        <f t="shared" si="31"/>
        <v>#VALUE!</v>
      </c>
      <c r="L457" t="str">
        <f>MAIN!C462</f>
        <v/>
      </c>
    </row>
    <row r="458" spans="1:12" x14ac:dyDescent="0.3">
      <c r="A458">
        <f>IF(J458="0",0,IF(COUNTIF($J$2:J458,J458)=1,1,0))</f>
        <v>0</v>
      </c>
      <c r="B458" s="12" t="e">
        <f>MID(MAIN!A463,K458,2)</f>
        <v>#VALUE!</v>
      </c>
      <c r="C458" s="12" t="e">
        <f t="shared" si="28"/>
        <v>#VALUE!</v>
      </c>
      <c r="D458" s="12" t="e">
        <f>MID(MAIN!A463,K458+2,2)</f>
        <v>#VALUE!</v>
      </c>
      <c r="E458" s="12" t="e">
        <f>MID(MAIN!A463,K458+4,2)</f>
        <v>#VALUE!</v>
      </c>
      <c r="F458" s="2" t="e">
        <f t="shared" si="29"/>
        <v>#VALUE!</v>
      </c>
      <c r="G458" s="13" t="e">
        <f t="shared" si="30"/>
        <v>#VALUE!</v>
      </c>
      <c r="J458" t="str">
        <f>MAIN!A463&amp;"B"</f>
        <v>B</v>
      </c>
      <c r="K458" s="12" t="e">
        <f t="shared" si="31"/>
        <v>#VALUE!</v>
      </c>
      <c r="L458" t="str">
        <f>MAIN!C463</f>
        <v/>
      </c>
    </row>
    <row r="459" spans="1:12" x14ac:dyDescent="0.3">
      <c r="A459">
        <f>IF(J459="0",0,IF(COUNTIF($J$2:J459,J459)=1,1,0))</f>
        <v>0</v>
      </c>
      <c r="B459" s="12" t="e">
        <f>MID(MAIN!A464,K459,2)</f>
        <v>#VALUE!</v>
      </c>
      <c r="C459" s="12" t="e">
        <f t="shared" si="28"/>
        <v>#VALUE!</v>
      </c>
      <c r="D459" s="12" t="e">
        <f>MID(MAIN!A464,K459+2,2)</f>
        <v>#VALUE!</v>
      </c>
      <c r="E459" s="12" t="e">
        <f>MID(MAIN!A464,K459+4,2)</f>
        <v>#VALUE!</v>
      </c>
      <c r="F459" s="2" t="e">
        <f t="shared" si="29"/>
        <v>#VALUE!</v>
      </c>
      <c r="G459" s="13" t="e">
        <f t="shared" si="30"/>
        <v>#VALUE!</v>
      </c>
      <c r="J459" t="str">
        <f>MAIN!A464&amp;"B"</f>
        <v>B</v>
      </c>
      <c r="K459" s="12" t="e">
        <f t="shared" si="31"/>
        <v>#VALUE!</v>
      </c>
      <c r="L459" t="str">
        <f>MAIN!C464</f>
        <v/>
      </c>
    </row>
    <row r="460" spans="1:12" x14ac:dyDescent="0.3">
      <c r="A460">
        <f>IF(J460="0",0,IF(COUNTIF($J$2:J460,J460)=1,1,0))</f>
        <v>0</v>
      </c>
      <c r="B460" s="12" t="e">
        <f>MID(MAIN!A465,K460,2)</f>
        <v>#VALUE!</v>
      </c>
      <c r="C460" s="12" t="e">
        <f t="shared" si="28"/>
        <v>#VALUE!</v>
      </c>
      <c r="D460" s="12" t="e">
        <f>MID(MAIN!A465,K460+2,2)</f>
        <v>#VALUE!</v>
      </c>
      <c r="E460" s="12" t="e">
        <f>MID(MAIN!A465,K460+4,2)</f>
        <v>#VALUE!</v>
      </c>
      <c r="F460" s="2" t="e">
        <f t="shared" si="29"/>
        <v>#VALUE!</v>
      </c>
      <c r="G460" s="13" t="e">
        <f t="shared" si="30"/>
        <v>#VALUE!</v>
      </c>
      <c r="J460" t="str">
        <f>MAIN!A465&amp;"B"</f>
        <v>B</v>
      </c>
      <c r="K460" s="12" t="e">
        <f t="shared" si="31"/>
        <v>#VALUE!</v>
      </c>
      <c r="L460" t="str">
        <f>MAIN!C465</f>
        <v/>
      </c>
    </row>
    <row r="461" spans="1:12" x14ac:dyDescent="0.3">
      <c r="A461">
        <f>IF(J461="0",0,IF(COUNTIF($J$2:J461,J461)=1,1,0))</f>
        <v>0</v>
      </c>
      <c r="B461" s="12" t="e">
        <f>MID(MAIN!A466,K461,2)</f>
        <v>#VALUE!</v>
      </c>
      <c r="C461" s="12" t="e">
        <f t="shared" si="28"/>
        <v>#VALUE!</v>
      </c>
      <c r="D461" s="12" t="e">
        <f>MID(MAIN!A466,K461+2,2)</f>
        <v>#VALUE!</v>
      </c>
      <c r="E461" s="12" t="e">
        <f>MID(MAIN!A466,K461+4,2)</f>
        <v>#VALUE!</v>
      </c>
      <c r="F461" s="2" t="e">
        <f t="shared" si="29"/>
        <v>#VALUE!</v>
      </c>
      <c r="G461" s="13" t="e">
        <f t="shared" si="30"/>
        <v>#VALUE!</v>
      </c>
      <c r="J461" t="str">
        <f>MAIN!A466&amp;"B"</f>
        <v>B</v>
      </c>
      <c r="K461" s="12" t="e">
        <f t="shared" si="31"/>
        <v>#VALUE!</v>
      </c>
      <c r="L461" t="str">
        <f>MAIN!C466</f>
        <v/>
      </c>
    </row>
    <row r="462" spans="1:12" x14ac:dyDescent="0.3">
      <c r="A462">
        <f>IF(J462="0",0,IF(COUNTIF($J$2:J462,J462)=1,1,0))</f>
        <v>0</v>
      </c>
      <c r="B462" s="12" t="e">
        <f>MID(MAIN!A467,K462,2)</f>
        <v>#VALUE!</v>
      </c>
      <c r="C462" s="12" t="e">
        <f t="shared" si="28"/>
        <v>#VALUE!</v>
      </c>
      <c r="D462" s="12" t="e">
        <f>MID(MAIN!A467,K462+2,2)</f>
        <v>#VALUE!</v>
      </c>
      <c r="E462" s="12" t="e">
        <f>MID(MAIN!A467,K462+4,2)</f>
        <v>#VALUE!</v>
      </c>
      <c r="F462" s="2" t="e">
        <f t="shared" si="29"/>
        <v>#VALUE!</v>
      </c>
      <c r="G462" s="13" t="e">
        <f t="shared" si="30"/>
        <v>#VALUE!</v>
      </c>
      <c r="J462" t="str">
        <f>MAIN!A467&amp;"B"</f>
        <v>B</v>
      </c>
      <c r="K462" s="12" t="e">
        <f t="shared" si="31"/>
        <v>#VALUE!</v>
      </c>
      <c r="L462" t="str">
        <f>MAIN!C467</f>
        <v/>
      </c>
    </row>
    <row r="463" spans="1:12" x14ac:dyDescent="0.3">
      <c r="A463">
        <f>IF(J463="0",0,IF(COUNTIF($J$2:J463,J463)=1,1,0))</f>
        <v>0</v>
      </c>
      <c r="B463" s="12" t="e">
        <f>MID(MAIN!A468,K463,2)</f>
        <v>#VALUE!</v>
      </c>
      <c r="C463" s="12" t="e">
        <f t="shared" si="28"/>
        <v>#VALUE!</v>
      </c>
      <c r="D463" s="12" t="e">
        <f>MID(MAIN!A468,K463+2,2)</f>
        <v>#VALUE!</v>
      </c>
      <c r="E463" s="12" t="e">
        <f>MID(MAIN!A468,K463+4,2)</f>
        <v>#VALUE!</v>
      </c>
      <c r="F463" s="2" t="e">
        <f t="shared" si="29"/>
        <v>#VALUE!</v>
      </c>
      <c r="G463" s="13" t="e">
        <f t="shared" si="30"/>
        <v>#VALUE!</v>
      </c>
      <c r="J463" t="str">
        <f>MAIN!A468&amp;"B"</f>
        <v>B</v>
      </c>
      <c r="K463" s="12" t="e">
        <f t="shared" si="31"/>
        <v>#VALUE!</v>
      </c>
      <c r="L463" t="str">
        <f>MAIN!C468</f>
        <v/>
      </c>
    </row>
    <row r="464" spans="1:12" x14ac:dyDescent="0.3">
      <c r="A464">
        <f>IF(J464="0",0,IF(COUNTIF($J$2:J464,J464)=1,1,0))</f>
        <v>0</v>
      </c>
      <c r="B464" s="12" t="e">
        <f>MID(MAIN!A469,K464,2)</f>
        <v>#VALUE!</v>
      </c>
      <c r="C464" s="12" t="e">
        <f t="shared" si="28"/>
        <v>#VALUE!</v>
      </c>
      <c r="D464" s="12" t="e">
        <f>MID(MAIN!A469,K464+2,2)</f>
        <v>#VALUE!</v>
      </c>
      <c r="E464" s="12" t="e">
        <f>MID(MAIN!A469,K464+4,2)</f>
        <v>#VALUE!</v>
      </c>
      <c r="F464" s="2" t="e">
        <f t="shared" si="29"/>
        <v>#VALUE!</v>
      </c>
      <c r="G464" s="13" t="e">
        <f t="shared" si="30"/>
        <v>#VALUE!</v>
      </c>
      <c r="J464" t="str">
        <f>MAIN!A469&amp;"B"</f>
        <v>B</v>
      </c>
      <c r="K464" s="12" t="e">
        <f t="shared" si="31"/>
        <v>#VALUE!</v>
      </c>
      <c r="L464" t="str">
        <f>MAIN!C469</f>
        <v/>
      </c>
    </row>
    <row r="465" spans="1:12" x14ac:dyDescent="0.3">
      <c r="A465">
        <f>IF(J465="0",0,IF(COUNTIF($J$2:J465,J465)=1,1,0))</f>
        <v>0</v>
      </c>
      <c r="B465" s="12" t="e">
        <f>MID(MAIN!A470,K465,2)</f>
        <v>#VALUE!</v>
      </c>
      <c r="C465" s="12" t="e">
        <f t="shared" si="28"/>
        <v>#VALUE!</v>
      </c>
      <c r="D465" s="12" t="e">
        <f>MID(MAIN!A470,K465+2,2)</f>
        <v>#VALUE!</v>
      </c>
      <c r="E465" s="12" t="e">
        <f>MID(MAIN!A470,K465+4,2)</f>
        <v>#VALUE!</v>
      </c>
      <c r="F465" s="2" t="e">
        <f t="shared" si="29"/>
        <v>#VALUE!</v>
      </c>
      <c r="G465" s="13" t="e">
        <f t="shared" si="30"/>
        <v>#VALUE!</v>
      </c>
      <c r="J465" t="str">
        <f>MAIN!A470&amp;"B"</f>
        <v>B</v>
      </c>
      <c r="K465" s="12" t="e">
        <f t="shared" si="31"/>
        <v>#VALUE!</v>
      </c>
      <c r="L465" t="str">
        <f>MAIN!C470</f>
        <v/>
      </c>
    </row>
    <row r="466" spans="1:12" x14ac:dyDescent="0.3">
      <c r="A466">
        <f>IF(J466="0",0,IF(COUNTIF($J$2:J466,J466)=1,1,0))</f>
        <v>0</v>
      </c>
      <c r="B466" s="12" t="e">
        <f>MID(MAIN!A471,K466,2)</f>
        <v>#VALUE!</v>
      </c>
      <c r="C466" s="12" t="e">
        <f t="shared" si="28"/>
        <v>#VALUE!</v>
      </c>
      <c r="D466" s="12" t="e">
        <f>MID(MAIN!A471,K466+2,2)</f>
        <v>#VALUE!</v>
      </c>
      <c r="E466" s="12" t="e">
        <f>MID(MAIN!A471,K466+4,2)</f>
        <v>#VALUE!</v>
      </c>
      <c r="F466" s="2" t="e">
        <f t="shared" si="29"/>
        <v>#VALUE!</v>
      </c>
      <c r="G466" s="13" t="e">
        <f t="shared" si="30"/>
        <v>#VALUE!</v>
      </c>
      <c r="J466" t="str">
        <f>MAIN!A471&amp;"B"</f>
        <v>B</v>
      </c>
      <c r="K466" s="12" t="e">
        <f t="shared" si="31"/>
        <v>#VALUE!</v>
      </c>
      <c r="L466" t="str">
        <f>MAIN!C471</f>
        <v/>
      </c>
    </row>
    <row r="467" spans="1:12" x14ac:dyDescent="0.3">
      <c r="A467">
        <f>IF(J467="0",0,IF(COUNTIF($J$2:J467,J467)=1,1,0))</f>
        <v>0</v>
      </c>
      <c r="B467" s="12" t="e">
        <f>MID(MAIN!A472,K467,2)</f>
        <v>#VALUE!</v>
      </c>
      <c r="C467" s="12" t="e">
        <f t="shared" si="28"/>
        <v>#VALUE!</v>
      </c>
      <c r="D467" s="12" t="e">
        <f>MID(MAIN!A472,K467+2,2)</f>
        <v>#VALUE!</v>
      </c>
      <c r="E467" s="12" t="e">
        <f>MID(MAIN!A472,K467+4,2)</f>
        <v>#VALUE!</v>
      </c>
      <c r="F467" s="2" t="e">
        <f t="shared" si="29"/>
        <v>#VALUE!</v>
      </c>
      <c r="G467" s="13" t="e">
        <f t="shared" si="30"/>
        <v>#VALUE!</v>
      </c>
      <c r="J467" t="str">
        <f>MAIN!A472&amp;"B"</f>
        <v>B</v>
      </c>
      <c r="K467" s="12" t="e">
        <f t="shared" si="31"/>
        <v>#VALUE!</v>
      </c>
      <c r="L467" t="str">
        <f>MAIN!C472</f>
        <v/>
      </c>
    </row>
    <row r="468" spans="1:12" x14ac:dyDescent="0.3">
      <c r="A468">
        <f>IF(J468="0",0,IF(COUNTIF($J$2:J468,J468)=1,1,0))</f>
        <v>0</v>
      </c>
      <c r="B468" s="12" t="e">
        <f>MID(MAIN!A473,K468,2)</f>
        <v>#VALUE!</v>
      </c>
      <c r="C468" s="12" t="e">
        <f t="shared" si="28"/>
        <v>#VALUE!</v>
      </c>
      <c r="D468" s="12" t="e">
        <f>MID(MAIN!A473,K468+2,2)</f>
        <v>#VALUE!</v>
      </c>
      <c r="E468" s="12" t="e">
        <f>MID(MAIN!A473,K468+4,2)</f>
        <v>#VALUE!</v>
      </c>
      <c r="F468" s="2" t="e">
        <f t="shared" si="29"/>
        <v>#VALUE!</v>
      </c>
      <c r="G468" s="13" t="e">
        <f t="shared" si="30"/>
        <v>#VALUE!</v>
      </c>
      <c r="J468" t="str">
        <f>MAIN!A473&amp;"B"</f>
        <v>B</v>
      </c>
      <c r="K468" s="12" t="e">
        <f t="shared" si="31"/>
        <v>#VALUE!</v>
      </c>
      <c r="L468" t="str">
        <f>MAIN!C473</f>
        <v/>
      </c>
    </row>
    <row r="469" spans="1:12" x14ac:dyDescent="0.3">
      <c r="A469">
        <f>IF(J469="0",0,IF(COUNTIF($J$2:J469,J469)=1,1,0))</f>
        <v>0</v>
      </c>
      <c r="B469" s="12" t="e">
        <f>MID(MAIN!A474,K469,2)</f>
        <v>#VALUE!</v>
      </c>
      <c r="C469" s="12" t="e">
        <f t="shared" si="28"/>
        <v>#VALUE!</v>
      </c>
      <c r="D469" s="12" t="e">
        <f>MID(MAIN!A474,K469+2,2)</f>
        <v>#VALUE!</v>
      </c>
      <c r="E469" s="12" t="e">
        <f>MID(MAIN!A474,K469+4,2)</f>
        <v>#VALUE!</v>
      </c>
      <c r="F469" s="2" t="e">
        <f t="shared" si="29"/>
        <v>#VALUE!</v>
      </c>
      <c r="G469" s="13" t="e">
        <f t="shared" si="30"/>
        <v>#VALUE!</v>
      </c>
      <c r="J469" t="str">
        <f>MAIN!A474&amp;"B"</f>
        <v>B</v>
      </c>
      <c r="K469" s="12" t="e">
        <f t="shared" si="31"/>
        <v>#VALUE!</v>
      </c>
      <c r="L469" t="str">
        <f>MAIN!C474</f>
        <v/>
      </c>
    </row>
    <row r="470" spans="1:12" x14ac:dyDescent="0.3">
      <c r="A470">
        <f>IF(J470="0",0,IF(COUNTIF($J$2:J470,J470)=1,1,0))</f>
        <v>0</v>
      </c>
      <c r="B470" s="12" t="e">
        <f>MID(MAIN!A475,K470,2)</f>
        <v>#VALUE!</v>
      </c>
      <c r="C470" s="12" t="e">
        <f t="shared" si="28"/>
        <v>#VALUE!</v>
      </c>
      <c r="D470" s="12" t="e">
        <f>MID(MAIN!A475,K470+2,2)</f>
        <v>#VALUE!</v>
      </c>
      <c r="E470" s="12" t="e">
        <f>MID(MAIN!A475,K470+4,2)</f>
        <v>#VALUE!</v>
      </c>
      <c r="F470" s="2" t="e">
        <f t="shared" si="29"/>
        <v>#VALUE!</v>
      </c>
      <c r="G470" s="13" t="e">
        <f t="shared" si="30"/>
        <v>#VALUE!</v>
      </c>
      <c r="J470" t="str">
        <f>MAIN!A475&amp;"B"</f>
        <v>B</v>
      </c>
      <c r="K470" s="12" t="e">
        <f t="shared" si="31"/>
        <v>#VALUE!</v>
      </c>
      <c r="L470" t="str">
        <f>MAIN!C475</f>
        <v/>
      </c>
    </row>
    <row r="471" spans="1:12" x14ac:dyDescent="0.3">
      <c r="A471">
        <f>IF(J471="0",0,IF(COUNTIF($J$2:J471,J471)=1,1,0))</f>
        <v>0</v>
      </c>
      <c r="B471" s="12" t="e">
        <f>MID(MAIN!A476,K471,2)</f>
        <v>#VALUE!</v>
      </c>
      <c r="C471" s="12" t="e">
        <f t="shared" si="28"/>
        <v>#VALUE!</v>
      </c>
      <c r="D471" s="12" t="e">
        <f>MID(MAIN!A476,K471+2,2)</f>
        <v>#VALUE!</v>
      </c>
      <c r="E471" s="12" t="e">
        <f>MID(MAIN!A476,K471+4,2)</f>
        <v>#VALUE!</v>
      </c>
      <c r="F471" s="2" t="e">
        <f t="shared" si="29"/>
        <v>#VALUE!</v>
      </c>
      <c r="G471" s="13" t="e">
        <f t="shared" si="30"/>
        <v>#VALUE!</v>
      </c>
      <c r="J471" t="str">
        <f>MAIN!A476&amp;"B"</f>
        <v>B</v>
      </c>
      <c r="K471" s="12" t="e">
        <f t="shared" si="31"/>
        <v>#VALUE!</v>
      </c>
      <c r="L471" t="str">
        <f>MAIN!C476</f>
        <v/>
      </c>
    </row>
    <row r="472" spans="1:12" x14ac:dyDescent="0.3">
      <c r="A472">
        <f>IF(J472="0",0,IF(COUNTIF($J$2:J472,J472)=1,1,0))</f>
        <v>0</v>
      </c>
      <c r="B472" s="12" t="e">
        <f>MID(MAIN!A477,K472,2)</f>
        <v>#VALUE!</v>
      </c>
      <c r="C472" s="12" t="e">
        <f t="shared" si="28"/>
        <v>#VALUE!</v>
      </c>
      <c r="D472" s="12" t="e">
        <f>MID(MAIN!A477,K472+2,2)</f>
        <v>#VALUE!</v>
      </c>
      <c r="E472" s="12" t="e">
        <f>MID(MAIN!A477,K472+4,2)</f>
        <v>#VALUE!</v>
      </c>
      <c r="F472" s="2" t="e">
        <f t="shared" si="29"/>
        <v>#VALUE!</v>
      </c>
      <c r="G472" s="13" t="e">
        <f t="shared" si="30"/>
        <v>#VALUE!</v>
      </c>
      <c r="J472" t="str">
        <f>MAIN!A477&amp;"B"</f>
        <v>B</v>
      </c>
      <c r="K472" s="12" t="e">
        <f t="shared" si="31"/>
        <v>#VALUE!</v>
      </c>
      <c r="L472" t="str">
        <f>MAIN!C477</f>
        <v/>
      </c>
    </row>
    <row r="473" spans="1:12" x14ac:dyDescent="0.3">
      <c r="A473">
        <f>IF(J473="0",0,IF(COUNTIF($J$2:J473,J473)=1,1,0))</f>
        <v>0</v>
      </c>
      <c r="B473" s="12" t="e">
        <f>MID(MAIN!A478,K473,2)</f>
        <v>#VALUE!</v>
      </c>
      <c r="C473" s="12" t="e">
        <f t="shared" si="28"/>
        <v>#VALUE!</v>
      </c>
      <c r="D473" s="12" t="e">
        <f>MID(MAIN!A478,K473+2,2)</f>
        <v>#VALUE!</v>
      </c>
      <c r="E473" s="12" t="e">
        <f>MID(MAIN!A478,K473+4,2)</f>
        <v>#VALUE!</v>
      </c>
      <c r="F473" s="2" t="e">
        <f t="shared" si="29"/>
        <v>#VALUE!</v>
      </c>
      <c r="G473" s="13" t="e">
        <f t="shared" si="30"/>
        <v>#VALUE!</v>
      </c>
      <c r="J473" t="str">
        <f>MAIN!A478&amp;"B"</f>
        <v>B</v>
      </c>
      <c r="K473" s="12" t="e">
        <f t="shared" si="31"/>
        <v>#VALUE!</v>
      </c>
      <c r="L473" t="str">
        <f>MAIN!C478</f>
        <v/>
      </c>
    </row>
    <row r="474" spans="1:12" x14ac:dyDescent="0.3">
      <c r="A474">
        <f>IF(J474="0",0,IF(COUNTIF($J$2:J474,J474)=1,1,0))</f>
        <v>0</v>
      </c>
      <c r="B474" s="12" t="e">
        <f>MID(MAIN!A479,K474,2)</f>
        <v>#VALUE!</v>
      </c>
      <c r="C474" s="12" t="e">
        <f t="shared" si="28"/>
        <v>#VALUE!</v>
      </c>
      <c r="D474" s="12" t="e">
        <f>MID(MAIN!A479,K474+2,2)</f>
        <v>#VALUE!</v>
      </c>
      <c r="E474" s="12" t="e">
        <f>MID(MAIN!A479,K474+4,2)</f>
        <v>#VALUE!</v>
      </c>
      <c r="F474" s="2" t="e">
        <f t="shared" si="29"/>
        <v>#VALUE!</v>
      </c>
      <c r="G474" s="13" t="e">
        <f t="shared" si="30"/>
        <v>#VALUE!</v>
      </c>
      <c r="J474" t="str">
        <f>MAIN!A479&amp;"B"</f>
        <v>B</v>
      </c>
      <c r="K474" s="12" t="e">
        <f t="shared" si="31"/>
        <v>#VALUE!</v>
      </c>
      <c r="L474" t="str">
        <f>MAIN!C479</f>
        <v/>
      </c>
    </row>
    <row r="475" spans="1:12" x14ac:dyDescent="0.3">
      <c r="A475">
        <f>IF(J475="0",0,IF(COUNTIF($J$2:J475,J475)=1,1,0))</f>
        <v>0</v>
      </c>
      <c r="B475" s="12" t="e">
        <f>MID(MAIN!A480,K475,2)</f>
        <v>#VALUE!</v>
      </c>
      <c r="C475" s="12" t="e">
        <f t="shared" si="28"/>
        <v>#VALUE!</v>
      </c>
      <c r="D475" s="12" t="e">
        <f>MID(MAIN!A480,K475+2,2)</f>
        <v>#VALUE!</v>
      </c>
      <c r="E475" s="12" t="e">
        <f>MID(MAIN!A480,K475+4,2)</f>
        <v>#VALUE!</v>
      </c>
      <c r="F475" s="2" t="e">
        <f t="shared" si="29"/>
        <v>#VALUE!</v>
      </c>
      <c r="G475" s="13" t="e">
        <f t="shared" si="30"/>
        <v>#VALUE!</v>
      </c>
      <c r="J475" t="str">
        <f>MAIN!A480&amp;"B"</f>
        <v>B</v>
      </c>
      <c r="K475" s="12" t="e">
        <f t="shared" si="31"/>
        <v>#VALUE!</v>
      </c>
      <c r="L475" t="str">
        <f>MAIN!C480</f>
        <v/>
      </c>
    </row>
    <row r="476" spans="1:12" x14ac:dyDescent="0.3">
      <c r="A476">
        <f>IF(J476="0",0,IF(COUNTIF($J$2:J476,J476)=1,1,0))</f>
        <v>0</v>
      </c>
      <c r="B476" s="12" t="e">
        <f>MID(MAIN!A481,K476,2)</f>
        <v>#VALUE!</v>
      </c>
      <c r="C476" s="12" t="e">
        <f t="shared" si="28"/>
        <v>#VALUE!</v>
      </c>
      <c r="D476" s="12" t="e">
        <f>MID(MAIN!A481,K476+2,2)</f>
        <v>#VALUE!</v>
      </c>
      <c r="E476" s="12" t="e">
        <f>MID(MAIN!A481,K476+4,2)</f>
        <v>#VALUE!</v>
      </c>
      <c r="F476" s="2" t="e">
        <f t="shared" si="29"/>
        <v>#VALUE!</v>
      </c>
      <c r="G476" s="13" t="e">
        <f t="shared" si="30"/>
        <v>#VALUE!</v>
      </c>
      <c r="J476" t="str">
        <f>MAIN!A481&amp;"B"</f>
        <v>B</v>
      </c>
      <c r="K476" s="12" t="e">
        <f t="shared" si="31"/>
        <v>#VALUE!</v>
      </c>
      <c r="L476" t="str">
        <f>MAIN!C481</f>
        <v/>
      </c>
    </row>
    <row r="477" spans="1:12" x14ac:dyDescent="0.3">
      <c r="A477">
        <f>IF(J477="0",0,IF(COUNTIF($J$2:J477,J477)=1,1,0))</f>
        <v>0</v>
      </c>
      <c r="B477" s="12" t="e">
        <f>MID(MAIN!A482,K477,2)</f>
        <v>#VALUE!</v>
      </c>
      <c r="C477" s="12" t="e">
        <f t="shared" si="28"/>
        <v>#VALUE!</v>
      </c>
      <c r="D477" s="12" t="e">
        <f>MID(MAIN!A482,K477+2,2)</f>
        <v>#VALUE!</v>
      </c>
      <c r="E477" s="12" t="e">
        <f>MID(MAIN!A482,K477+4,2)</f>
        <v>#VALUE!</v>
      </c>
      <c r="F477" s="2" t="e">
        <f t="shared" si="29"/>
        <v>#VALUE!</v>
      </c>
      <c r="G477" s="13" t="e">
        <f t="shared" si="30"/>
        <v>#VALUE!</v>
      </c>
      <c r="J477" t="str">
        <f>MAIN!A482&amp;"B"</f>
        <v>B</v>
      </c>
      <c r="K477" s="12" t="e">
        <f t="shared" si="31"/>
        <v>#VALUE!</v>
      </c>
      <c r="L477" t="str">
        <f>MAIN!C482</f>
        <v/>
      </c>
    </row>
    <row r="478" spans="1:12" x14ac:dyDescent="0.3">
      <c r="A478">
        <f>IF(J478="0",0,IF(COUNTIF($J$2:J478,J478)=1,1,0))</f>
        <v>0</v>
      </c>
      <c r="B478" s="12" t="e">
        <f>MID(MAIN!A483,K478,2)</f>
        <v>#VALUE!</v>
      </c>
      <c r="C478" s="12" t="e">
        <f t="shared" si="28"/>
        <v>#VALUE!</v>
      </c>
      <c r="D478" s="12" t="e">
        <f>MID(MAIN!A483,K478+2,2)</f>
        <v>#VALUE!</v>
      </c>
      <c r="E478" s="12" t="e">
        <f>MID(MAIN!A483,K478+4,2)</f>
        <v>#VALUE!</v>
      </c>
      <c r="F478" s="2" t="e">
        <f t="shared" si="29"/>
        <v>#VALUE!</v>
      </c>
      <c r="G478" s="13" t="e">
        <f t="shared" si="30"/>
        <v>#VALUE!</v>
      </c>
      <c r="J478" t="str">
        <f>MAIN!A483&amp;"B"</f>
        <v>B</v>
      </c>
      <c r="K478" s="12" t="e">
        <f t="shared" si="31"/>
        <v>#VALUE!</v>
      </c>
      <c r="L478" t="str">
        <f>MAIN!C483</f>
        <v/>
      </c>
    </row>
    <row r="479" spans="1:12" x14ac:dyDescent="0.3">
      <c r="A479">
        <f>IF(J479="0",0,IF(COUNTIF($J$2:J479,J479)=1,1,0))</f>
        <v>0</v>
      </c>
      <c r="B479" s="12" t="e">
        <f>MID(MAIN!A484,K479,2)</f>
        <v>#VALUE!</v>
      </c>
      <c r="C479" s="12" t="e">
        <f t="shared" si="28"/>
        <v>#VALUE!</v>
      </c>
      <c r="D479" s="12" t="e">
        <f>MID(MAIN!A484,K479+2,2)</f>
        <v>#VALUE!</v>
      </c>
      <c r="E479" s="12" t="e">
        <f>MID(MAIN!A484,K479+4,2)</f>
        <v>#VALUE!</v>
      </c>
      <c r="F479" s="2" t="e">
        <f t="shared" si="29"/>
        <v>#VALUE!</v>
      </c>
      <c r="G479" s="13" t="e">
        <f t="shared" si="30"/>
        <v>#VALUE!</v>
      </c>
      <c r="J479" t="str">
        <f>MAIN!A484&amp;"B"</f>
        <v>B</v>
      </c>
      <c r="K479" s="12" t="e">
        <f t="shared" si="31"/>
        <v>#VALUE!</v>
      </c>
      <c r="L479" t="str">
        <f>MAIN!C484</f>
        <v/>
      </c>
    </row>
    <row r="480" spans="1:12" x14ac:dyDescent="0.3">
      <c r="A480">
        <f>IF(J480="0",0,IF(COUNTIF($J$2:J480,J480)=1,1,0))</f>
        <v>0</v>
      </c>
      <c r="B480" s="12" t="e">
        <f>MID(MAIN!A485,K480,2)</f>
        <v>#VALUE!</v>
      </c>
      <c r="C480" s="12" t="e">
        <f t="shared" si="28"/>
        <v>#VALUE!</v>
      </c>
      <c r="D480" s="12" t="e">
        <f>MID(MAIN!A485,K480+2,2)</f>
        <v>#VALUE!</v>
      </c>
      <c r="E480" s="12" t="e">
        <f>MID(MAIN!A485,K480+4,2)</f>
        <v>#VALUE!</v>
      </c>
      <c r="F480" s="2" t="e">
        <f t="shared" si="29"/>
        <v>#VALUE!</v>
      </c>
      <c r="G480" s="13" t="e">
        <f t="shared" si="30"/>
        <v>#VALUE!</v>
      </c>
      <c r="J480" t="str">
        <f>MAIN!A485&amp;"B"</f>
        <v>B</v>
      </c>
      <c r="K480" s="12" t="e">
        <f t="shared" si="31"/>
        <v>#VALUE!</v>
      </c>
      <c r="L480" t="str">
        <f>MAIN!C485</f>
        <v/>
      </c>
    </row>
    <row r="481" spans="1:12" x14ac:dyDescent="0.3">
      <c r="A481">
        <f>IF(J481="0",0,IF(COUNTIF($J$2:J481,J481)=1,1,0))</f>
        <v>0</v>
      </c>
      <c r="B481" s="12" t="e">
        <f>MID(MAIN!A486,K481,2)</f>
        <v>#VALUE!</v>
      </c>
      <c r="C481" s="12" t="e">
        <f t="shared" si="28"/>
        <v>#VALUE!</v>
      </c>
      <c r="D481" s="12" t="e">
        <f>MID(MAIN!A486,K481+2,2)</f>
        <v>#VALUE!</v>
      </c>
      <c r="E481" s="12" t="e">
        <f>MID(MAIN!A486,K481+4,2)</f>
        <v>#VALUE!</v>
      </c>
      <c r="F481" s="2" t="e">
        <f t="shared" si="29"/>
        <v>#VALUE!</v>
      </c>
      <c r="G481" s="13" t="e">
        <f t="shared" si="30"/>
        <v>#VALUE!</v>
      </c>
      <c r="J481" t="str">
        <f>MAIN!A486&amp;"B"</f>
        <v>B</v>
      </c>
      <c r="K481" s="12" t="e">
        <f t="shared" si="31"/>
        <v>#VALUE!</v>
      </c>
      <c r="L481" t="str">
        <f>MAIN!C486</f>
        <v/>
      </c>
    </row>
    <row r="482" spans="1:12" x14ac:dyDescent="0.3">
      <c r="A482">
        <f>IF(J482="0",0,IF(COUNTIF($J$2:J482,J482)=1,1,0))</f>
        <v>0</v>
      </c>
      <c r="B482" s="12" t="e">
        <f>MID(MAIN!A487,K482,2)</f>
        <v>#VALUE!</v>
      </c>
      <c r="C482" s="12" t="e">
        <f t="shared" si="28"/>
        <v>#VALUE!</v>
      </c>
      <c r="D482" s="12" t="e">
        <f>MID(MAIN!A487,K482+2,2)</f>
        <v>#VALUE!</v>
      </c>
      <c r="E482" s="12" t="e">
        <f>MID(MAIN!A487,K482+4,2)</f>
        <v>#VALUE!</v>
      </c>
      <c r="F482" s="2" t="e">
        <f t="shared" si="29"/>
        <v>#VALUE!</v>
      </c>
      <c r="G482" s="13" t="e">
        <f t="shared" si="30"/>
        <v>#VALUE!</v>
      </c>
      <c r="J482" t="str">
        <f>MAIN!A487&amp;"B"</f>
        <v>B</v>
      </c>
      <c r="K482" s="12" t="e">
        <f t="shared" si="31"/>
        <v>#VALUE!</v>
      </c>
      <c r="L482" t="str">
        <f>MAIN!C487</f>
        <v/>
      </c>
    </row>
    <row r="483" spans="1:12" x14ac:dyDescent="0.3">
      <c r="A483">
        <f>IF(J483="0",0,IF(COUNTIF($J$2:J483,J483)=1,1,0))</f>
        <v>0</v>
      </c>
      <c r="B483" s="12" t="e">
        <f>MID(MAIN!A488,K483,2)</f>
        <v>#VALUE!</v>
      </c>
      <c r="C483" s="12" t="e">
        <f t="shared" si="28"/>
        <v>#VALUE!</v>
      </c>
      <c r="D483" s="12" t="e">
        <f>MID(MAIN!A488,K483+2,2)</f>
        <v>#VALUE!</v>
      </c>
      <c r="E483" s="12" t="e">
        <f>MID(MAIN!A488,K483+4,2)</f>
        <v>#VALUE!</v>
      </c>
      <c r="F483" s="2" t="e">
        <f t="shared" si="29"/>
        <v>#VALUE!</v>
      </c>
      <c r="G483" s="13" t="e">
        <f t="shared" si="30"/>
        <v>#VALUE!</v>
      </c>
      <c r="J483" t="str">
        <f>MAIN!A488&amp;"B"</f>
        <v>B</v>
      </c>
      <c r="K483" s="12" t="e">
        <f t="shared" si="31"/>
        <v>#VALUE!</v>
      </c>
      <c r="L483" t="str">
        <f>MAIN!C488</f>
        <v/>
      </c>
    </row>
    <row r="484" spans="1:12" x14ac:dyDescent="0.3">
      <c r="A484">
        <f>IF(J484="0",0,IF(COUNTIF($J$2:J484,J484)=1,1,0))</f>
        <v>0</v>
      </c>
      <c r="B484" s="12" t="e">
        <f>MID(MAIN!A489,K484,2)</f>
        <v>#VALUE!</v>
      </c>
      <c r="C484" s="12" t="e">
        <f t="shared" si="28"/>
        <v>#VALUE!</v>
      </c>
      <c r="D484" s="12" t="e">
        <f>MID(MAIN!A489,K484+2,2)</f>
        <v>#VALUE!</v>
      </c>
      <c r="E484" s="12" t="e">
        <f>MID(MAIN!A489,K484+4,2)</f>
        <v>#VALUE!</v>
      </c>
      <c r="F484" s="2" t="e">
        <f t="shared" si="29"/>
        <v>#VALUE!</v>
      </c>
      <c r="G484" s="13" t="e">
        <f t="shared" si="30"/>
        <v>#VALUE!</v>
      </c>
      <c r="J484" t="str">
        <f>MAIN!A489&amp;"B"</f>
        <v>B</v>
      </c>
      <c r="K484" s="12" t="e">
        <f t="shared" si="31"/>
        <v>#VALUE!</v>
      </c>
      <c r="L484" t="str">
        <f>MAIN!C489</f>
        <v/>
      </c>
    </row>
    <row r="485" spans="1:12" x14ac:dyDescent="0.3">
      <c r="A485">
        <f>IF(J485="0",0,IF(COUNTIF($J$2:J485,J485)=1,1,0))</f>
        <v>0</v>
      </c>
      <c r="B485" s="12" t="e">
        <f>MID(MAIN!A490,K485,2)</f>
        <v>#VALUE!</v>
      </c>
      <c r="C485" s="12" t="e">
        <f t="shared" si="28"/>
        <v>#VALUE!</v>
      </c>
      <c r="D485" s="12" t="e">
        <f>MID(MAIN!A490,K485+2,2)</f>
        <v>#VALUE!</v>
      </c>
      <c r="E485" s="12" t="e">
        <f>MID(MAIN!A490,K485+4,2)</f>
        <v>#VALUE!</v>
      </c>
      <c r="F485" s="2" t="e">
        <f t="shared" si="29"/>
        <v>#VALUE!</v>
      </c>
      <c r="G485" s="13" t="e">
        <f t="shared" si="30"/>
        <v>#VALUE!</v>
      </c>
      <c r="J485" t="str">
        <f>MAIN!A490&amp;"B"</f>
        <v>B</v>
      </c>
      <c r="K485" s="12" t="e">
        <f t="shared" si="31"/>
        <v>#VALUE!</v>
      </c>
      <c r="L485" t="str">
        <f>MAIN!C490</f>
        <v/>
      </c>
    </row>
    <row r="486" spans="1:12" x14ac:dyDescent="0.3">
      <c r="A486">
        <f>IF(J486="0",0,IF(COUNTIF($J$2:J486,J486)=1,1,0))</f>
        <v>0</v>
      </c>
      <c r="B486" s="12" t="e">
        <f>MID(MAIN!A491,K486,2)</f>
        <v>#VALUE!</v>
      </c>
      <c r="C486" s="12" t="e">
        <f t="shared" si="28"/>
        <v>#VALUE!</v>
      </c>
      <c r="D486" s="12" t="e">
        <f>MID(MAIN!A491,K486+2,2)</f>
        <v>#VALUE!</v>
      </c>
      <c r="E486" s="12" t="e">
        <f>MID(MAIN!A491,K486+4,2)</f>
        <v>#VALUE!</v>
      </c>
      <c r="F486" s="2" t="e">
        <f t="shared" si="29"/>
        <v>#VALUE!</v>
      </c>
      <c r="G486" s="13" t="e">
        <f t="shared" si="30"/>
        <v>#VALUE!</v>
      </c>
      <c r="J486" t="str">
        <f>MAIN!A491&amp;"B"</f>
        <v>B</v>
      </c>
      <c r="K486" s="12" t="e">
        <f t="shared" si="31"/>
        <v>#VALUE!</v>
      </c>
      <c r="L486" t="str">
        <f>MAIN!C491</f>
        <v/>
      </c>
    </row>
    <row r="487" spans="1:12" x14ac:dyDescent="0.3">
      <c r="A487">
        <f>IF(J487="0",0,IF(COUNTIF($J$2:J487,J487)=1,1,0))</f>
        <v>0</v>
      </c>
      <c r="B487" s="12" t="e">
        <f>MID(MAIN!A492,K487,2)</f>
        <v>#VALUE!</v>
      </c>
      <c r="C487" s="12" t="e">
        <f t="shared" si="28"/>
        <v>#VALUE!</v>
      </c>
      <c r="D487" s="12" t="e">
        <f>MID(MAIN!A492,K487+2,2)</f>
        <v>#VALUE!</v>
      </c>
      <c r="E487" s="12" t="e">
        <f>MID(MAIN!A492,K487+4,2)</f>
        <v>#VALUE!</v>
      </c>
      <c r="F487" s="2" t="e">
        <f t="shared" si="29"/>
        <v>#VALUE!</v>
      </c>
      <c r="G487" s="13" t="e">
        <f t="shared" si="30"/>
        <v>#VALUE!</v>
      </c>
      <c r="J487" t="str">
        <f>MAIN!A492&amp;"B"</f>
        <v>B</v>
      </c>
      <c r="K487" s="12" t="e">
        <f t="shared" si="31"/>
        <v>#VALUE!</v>
      </c>
      <c r="L487" t="str">
        <f>MAIN!C492</f>
        <v/>
      </c>
    </row>
    <row r="488" spans="1:12" x14ac:dyDescent="0.3">
      <c r="A488">
        <f>IF(J488="0",0,IF(COUNTIF($J$2:J488,J488)=1,1,0))</f>
        <v>0</v>
      </c>
      <c r="B488" s="12" t="e">
        <f>MID(MAIN!A493,K488,2)</f>
        <v>#VALUE!</v>
      </c>
      <c r="C488" s="12" t="e">
        <f t="shared" si="28"/>
        <v>#VALUE!</v>
      </c>
      <c r="D488" s="12" t="e">
        <f>MID(MAIN!A493,K488+2,2)</f>
        <v>#VALUE!</v>
      </c>
      <c r="E488" s="12" t="e">
        <f>MID(MAIN!A493,K488+4,2)</f>
        <v>#VALUE!</v>
      </c>
      <c r="F488" s="2" t="e">
        <f t="shared" si="29"/>
        <v>#VALUE!</v>
      </c>
      <c r="G488" s="13" t="e">
        <f t="shared" si="30"/>
        <v>#VALUE!</v>
      </c>
      <c r="J488" t="str">
        <f>MAIN!A493&amp;"B"</f>
        <v>B</v>
      </c>
      <c r="K488" s="12" t="e">
        <f t="shared" si="31"/>
        <v>#VALUE!</v>
      </c>
      <c r="L488" t="str">
        <f>MAIN!C493</f>
        <v/>
      </c>
    </row>
    <row r="489" spans="1:12" x14ac:dyDescent="0.3">
      <c r="A489">
        <f>IF(J489="0",0,IF(COUNTIF($J$2:J489,J489)=1,1,0))</f>
        <v>0</v>
      </c>
      <c r="B489" s="12" t="e">
        <f>MID(MAIN!A494,K489,2)</f>
        <v>#VALUE!</v>
      </c>
      <c r="C489" s="12" t="e">
        <f t="shared" si="28"/>
        <v>#VALUE!</v>
      </c>
      <c r="D489" s="12" t="e">
        <f>MID(MAIN!A494,K489+2,2)</f>
        <v>#VALUE!</v>
      </c>
      <c r="E489" s="12" t="e">
        <f>MID(MAIN!A494,K489+4,2)</f>
        <v>#VALUE!</v>
      </c>
      <c r="F489" s="2" t="e">
        <f t="shared" si="29"/>
        <v>#VALUE!</v>
      </c>
      <c r="G489" s="13" t="e">
        <f t="shared" si="30"/>
        <v>#VALUE!</v>
      </c>
      <c r="J489" t="str">
        <f>MAIN!A494&amp;"B"</f>
        <v>B</v>
      </c>
      <c r="K489" s="12" t="e">
        <f t="shared" si="31"/>
        <v>#VALUE!</v>
      </c>
      <c r="L489" t="str">
        <f>MAIN!C494</f>
        <v/>
      </c>
    </row>
    <row r="490" spans="1:12" x14ac:dyDescent="0.3">
      <c r="A490">
        <f>IF(J490="0",0,IF(COUNTIF($J$2:J490,J490)=1,1,0))</f>
        <v>0</v>
      </c>
      <c r="B490" s="12" t="e">
        <f>MID(MAIN!A495,K490,2)</f>
        <v>#VALUE!</v>
      </c>
      <c r="C490" s="12" t="e">
        <f t="shared" si="28"/>
        <v>#VALUE!</v>
      </c>
      <c r="D490" s="12" t="e">
        <f>MID(MAIN!A495,K490+2,2)</f>
        <v>#VALUE!</v>
      </c>
      <c r="E490" s="12" t="e">
        <f>MID(MAIN!A495,K490+4,2)</f>
        <v>#VALUE!</v>
      </c>
      <c r="F490" s="2" t="e">
        <f t="shared" si="29"/>
        <v>#VALUE!</v>
      </c>
      <c r="G490" s="13" t="e">
        <f t="shared" si="30"/>
        <v>#VALUE!</v>
      </c>
      <c r="J490" t="str">
        <f>MAIN!A495&amp;"B"</f>
        <v>B</v>
      </c>
      <c r="K490" s="12" t="e">
        <f t="shared" si="31"/>
        <v>#VALUE!</v>
      </c>
      <c r="L490" t="str">
        <f>MAIN!C495</f>
        <v/>
      </c>
    </row>
    <row r="491" spans="1:12" x14ac:dyDescent="0.3">
      <c r="A491">
        <f>IF(J491="0",0,IF(COUNTIF($J$2:J491,J491)=1,1,0))</f>
        <v>0</v>
      </c>
      <c r="B491" s="12" t="e">
        <f>MID(MAIN!A496,K491,2)</f>
        <v>#VALUE!</v>
      </c>
      <c r="C491" s="12" t="e">
        <f t="shared" si="28"/>
        <v>#VALUE!</v>
      </c>
      <c r="D491" s="12" t="e">
        <f>MID(MAIN!A496,K491+2,2)</f>
        <v>#VALUE!</v>
      </c>
      <c r="E491" s="12" t="e">
        <f>MID(MAIN!A496,K491+4,2)</f>
        <v>#VALUE!</v>
      </c>
      <c r="F491" s="2" t="e">
        <f t="shared" si="29"/>
        <v>#VALUE!</v>
      </c>
      <c r="G491" s="13" t="e">
        <f t="shared" si="30"/>
        <v>#VALUE!</v>
      </c>
      <c r="J491" t="str">
        <f>MAIN!A496&amp;"B"</f>
        <v>B</v>
      </c>
      <c r="K491" s="12" t="e">
        <f t="shared" si="31"/>
        <v>#VALUE!</v>
      </c>
      <c r="L491" t="str">
        <f>MAIN!C496</f>
        <v/>
      </c>
    </row>
    <row r="492" spans="1:12" x14ac:dyDescent="0.3">
      <c r="A492">
        <f>IF(J492="0",0,IF(COUNTIF($J$2:J492,J492)=1,1,0))</f>
        <v>0</v>
      </c>
      <c r="B492" s="12" t="e">
        <f>MID(MAIN!A497,K492,2)</f>
        <v>#VALUE!</v>
      </c>
      <c r="C492" s="12" t="e">
        <f t="shared" si="28"/>
        <v>#VALUE!</v>
      </c>
      <c r="D492" s="12" t="e">
        <f>MID(MAIN!A497,K492+2,2)</f>
        <v>#VALUE!</v>
      </c>
      <c r="E492" s="12" t="e">
        <f>MID(MAIN!A497,K492+4,2)</f>
        <v>#VALUE!</v>
      </c>
      <c r="F492" s="2" t="e">
        <f t="shared" si="29"/>
        <v>#VALUE!</v>
      </c>
      <c r="G492" s="13" t="e">
        <f t="shared" si="30"/>
        <v>#VALUE!</v>
      </c>
      <c r="J492" t="str">
        <f>MAIN!A497&amp;"B"</f>
        <v>B</v>
      </c>
      <c r="K492" s="12" t="e">
        <f t="shared" si="31"/>
        <v>#VALUE!</v>
      </c>
      <c r="L492" t="str">
        <f>MAIN!C497</f>
        <v/>
      </c>
    </row>
    <row r="493" spans="1:12" x14ac:dyDescent="0.3">
      <c r="A493">
        <f>IF(J493="0",0,IF(COUNTIF($J$2:J493,J493)=1,1,0))</f>
        <v>0</v>
      </c>
      <c r="B493" s="12" t="e">
        <f>MID(MAIN!A498,K493,2)</f>
        <v>#VALUE!</v>
      </c>
      <c r="C493" s="12" t="e">
        <f t="shared" si="28"/>
        <v>#VALUE!</v>
      </c>
      <c r="D493" s="12" t="e">
        <f>MID(MAIN!A498,K493+2,2)</f>
        <v>#VALUE!</v>
      </c>
      <c r="E493" s="12" t="e">
        <f>MID(MAIN!A498,K493+4,2)</f>
        <v>#VALUE!</v>
      </c>
      <c r="F493" s="2" t="e">
        <f t="shared" si="29"/>
        <v>#VALUE!</v>
      </c>
      <c r="G493" s="13" t="e">
        <f t="shared" si="30"/>
        <v>#VALUE!</v>
      </c>
      <c r="J493" t="str">
        <f>MAIN!A498&amp;"B"</f>
        <v>B</v>
      </c>
      <c r="K493" s="12" t="e">
        <f t="shared" si="31"/>
        <v>#VALUE!</v>
      </c>
      <c r="L493" t="str">
        <f>MAIN!C498</f>
        <v/>
      </c>
    </row>
    <row r="494" spans="1:12" x14ac:dyDescent="0.3">
      <c r="A494">
        <f>IF(J494="0",0,IF(COUNTIF($J$2:J494,J494)=1,1,0))</f>
        <v>0</v>
      </c>
      <c r="B494" s="12" t="e">
        <f>MID(MAIN!A499,K494,2)</f>
        <v>#VALUE!</v>
      </c>
      <c r="C494" s="12" t="e">
        <f t="shared" si="28"/>
        <v>#VALUE!</v>
      </c>
      <c r="D494" s="12" t="e">
        <f>MID(MAIN!A499,K494+2,2)</f>
        <v>#VALUE!</v>
      </c>
      <c r="E494" s="12" t="e">
        <f>MID(MAIN!A499,K494+4,2)</f>
        <v>#VALUE!</v>
      </c>
      <c r="F494" s="2" t="e">
        <f t="shared" si="29"/>
        <v>#VALUE!</v>
      </c>
      <c r="G494" s="13" t="e">
        <f t="shared" si="30"/>
        <v>#VALUE!</v>
      </c>
      <c r="J494" t="str">
        <f>MAIN!A499&amp;"B"</f>
        <v>B</v>
      </c>
      <c r="K494" s="12" t="e">
        <f t="shared" si="31"/>
        <v>#VALUE!</v>
      </c>
      <c r="L494" t="str">
        <f>MAIN!C499</f>
        <v/>
      </c>
    </row>
    <row r="495" spans="1:12" x14ac:dyDescent="0.3">
      <c r="A495">
        <f>IF(J495="0",0,IF(COUNTIF($J$2:J495,J495)=1,1,0))</f>
        <v>0</v>
      </c>
      <c r="B495" s="12" t="e">
        <f>MID(MAIN!A500,K495,2)</f>
        <v>#VALUE!</v>
      </c>
      <c r="C495" s="12" t="e">
        <f t="shared" si="28"/>
        <v>#VALUE!</v>
      </c>
      <c r="D495" s="12" t="e">
        <f>MID(MAIN!A500,K495+2,2)</f>
        <v>#VALUE!</v>
      </c>
      <c r="E495" s="12" t="e">
        <f>MID(MAIN!A500,K495+4,2)</f>
        <v>#VALUE!</v>
      </c>
      <c r="F495" s="2" t="e">
        <f t="shared" si="29"/>
        <v>#VALUE!</v>
      </c>
      <c r="G495" s="13" t="e">
        <f t="shared" si="30"/>
        <v>#VALUE!</v>
      </c>
      <c r="J495" t="str">
        <f>MAIN!A500&amp;"B"</f>
        <v>B</v>
      </c>
      <c r="K495" s="12" t="e">
        <f t="shared" si="31"/>
        <v>#VALUE!</v>
      </c>
      <c r="L495" t="str">
        <f>MAIN!C500</f>
        <v/>
      </c>
    </row>
    <row r="496" spans="1:12" x14ac:dyDescent="0.3">
      <c r="A496">
        <f>IF(J496="0",0,IF(COUNTIF($J$2:J496,J496)=1,1,0))</f>
        <v>0</v>
      </c>
      <c r="B496" s="12" t="e">
        <f>MID(MAIN!A501,K496,2)</f>
        <v>#VALUE!</v>
      </c>
      <c r="C496" s="12" t="e">
        <f t="shared" si="28"/>
        <v>#VALUE!</v>
      </c>
      <c r="D496" s="12" t="e">
        <f>MID(MAIN!A501,K496+2,2)</f>
        <v>#VALUE!</v>
      </c>
      <c r="E496" s="12" t="e">
        <f>MID(MAIN!A501,K496+4,2)</f>
        <v>#VALUE!</v>
      </c>
      <c r="F496" s="2" t="e">
        <f t="shared" si="29"/>
        <v>#VALUE!</v>
      </c>
      <c r="G496" s="13" t="e">
        <f t="shared" si="30"/>
        <v>#VALUE!</v>
      </c>
      <c r="J496" t="str">
        <f>MAIN!A501&amp;"B"</f>
        <v>B</v>
      </c>
      <c r="K496" s="12" t="e">
        <f t="shared" si="31"/>
        <v>#VALUE!</v>
      </c>
      <c r="L496" t="str">
        <f>MAIN!C501</f>
        <v/>
      </c>
    </row>
    <row r="497" spans="1:12" x14ac:dyDescent="0.3">
      <c r="A497">
        <f>IF(J497="0",0,IF(COUNTIF($J$2:J497,J497)=1,1,0))</f>
        <v>0</v>
      </c>
      <c r="B497" s="12" t="e">
        <f>MID(MAIN!A502,K497,2)</f>
        <v>#VALUE!</v>
      </c>
      <c r="C497" s="12" t="e">
        <f t="shared" si="28"/>
        <v>#VALUE!</v>
      </c>
      <c r="D497" s="12" t="e">
        <f>MID(MAIN!A502,K497+2,2)</f>
        <v>#VALUE!</v>
      </c>
      <c r="E497" s="12" t="e">
        <f>MID(MAIN!A502,K497+4,2)</f>
        <v>#VALUE!</v>
      </c>
      <c r="F497" s="2" t="e">
        <f t="shared" si="29"/>
        <v>#VALUE!</v>
      </c>
      <c r="G497" s="13" t="e">
        <f t="shared" si="30"/>
        <v>#VALUE!</v>
      </c>
      <c r="J497" t="str">
        <f>MAIN!A502&amp;"B"</f>
        <v>B</v>
      </c>
      <c r="K497" s="12" t="e">
        <f t="shared" si="31"/>
        <v>#VALUE!</v>
      </c>
      <c r="L497" t="str">
        <f>MAIN!C502</f>
        <v/>
      </c>
    </row>
    <row r="498" spans="1:12" x14ac:dyDescent="0.3">
      <c r="A498">
        <f>IF(J498="0",0,IF(COUNTIF($J$2:J498,J498)=1,1,0))</f>
        <v>0</v>
      </c>
      <c r="B498" s="12" t="e">
        <f>MID(MAIN!A503,K498,2)</f>
        <v>#VALUE!</v>
      </c>
      <c r="C498" s="12" t="e">
        <f t="shared" si="28"/>
        <v>#VALUE!</v>
      </c>
      <c r="D498" s="12" t="e">
        <f>MID(MAIN!A503,K498+2,2)</f>
        <v>#VALUE!</v>
      </c>
      <c r="E498" s="12" t="e">
        <f>MID(MAIN!A503,K498+4,2)</f>
        <v>#VALUE!</v>
      </c>
      <c r="F498" s="2" t="e">
        <f t="shared" si="29"/>
        <v>#VALUE!</v>
      </c>
      <c r="G498" s="13" t="e">
        <f t="shared" si="30"/>
        <v>#VALUE!</v>
      </c>
      <c r="J498" t="str">
        <f>MAIN!A503&amp;"B"</f>
        <v>B</v>
      </c>
      <c r="K498" s="12" t="e">
        <f t="shared" si="31"/>
        <v>#VALUE!</v>
      </c>
      <c r="L498" t="str">
        <f>MAIN!C503</f>
        <v/>
      </c>
    </row>
    <row r="499" spans="1:12" x14ac:dyDescent="0.3">
      <c r="A499">
        <f>IF(J499="0",0,IF(COUNTIF($J$2:J499,J499)=1,1,0))</f>
        <v>0</v>
      </c>
      <c r="B499" s="12" t="e">
        <f>MID(MAIN!A504,K499,2)</f>
        <v>#VALUE!</v>
      </c>
      <c r="C499" s="12" t="e">
        <f t="shared" si="28"/>
        <v>#VALUE!</v>
      </c>
      <c r="D499" s="12" t="e">
        <f>MID(MAIN!A504,K499+2,2)</f>
        <v>#VALUE!</v>
      </c>
      <c r="E499" s="12" t="e">
        <f>MID(MAIN!A504,K499+4,2)</f>
        <v>#VALUE!</v>
      </c>
      <c r="F499" s="2" t="e">
        <f t="shared" si="29"/>
        <v>#VALUE!</v>
      </c>
      <c r="G499" s="13" t="e">
        <f t="shared" si="30"/>
        <v>#VALUE!</v>
      </c>
      <c r="J499" t="str">
        <f>MAIN!A504&amp;"B"</f>
        <v>B</v>
      </c>
      <c r="K499" s="12" t="e">
        <f t="shared" si="31"/>
        <v>#VALUE!</v>
      </c>
      <c r="L499" t="str">
        <f>MAIN!C504</f>
        <v/>
      </c>
    </row>
    <row r="500" spans="1:12" x14ac:dyDescent="0.3">
      <c r="A500">
        <f>IF(J500="0",0,IF(COUNTIF($J$2:J500,J500)=1,1,0))</f>
        <v>0</v>
      </c>
      <c r="B500" s="12" t="e">
        <f>MID(MAIN!A505,K500,2)</f>
        <v>#VALUE!</v>
      </c>
      <c r="C500" s="12" t="e">
        <f t="shared" si="28"/>
        <v>#VALUE!</v>
      </c>
      <c r="D500" s="12" t="e">
        <f>MID(MAIN!A505,K500+2,2)</f>
        <v>#VALUE!</v>
      </c>
      <c r="E500" s="12" t="e">
        <f>MID(MAIN!A505,K500+4,2)</f>
        <v>#VALUE!</v>
      </c>
      <c r="F500" s="2" t="e">
        <f t="shared" si="29"/>
        <v>#VALUE!</v>
      </c>
      <c r="G500" s="13" t="e">
        <f t="shared" si="30"/>
        <v>#VALUE!</v>
      </c>
      <c r="J500" t="str">
        <f>MAIN!A505&amp;"B"</f>
        <v>B</v>
      </c>
      <c r="K500" s="12" t="e">
        <f t="shared" si="31"/>
        <v>#VALUE!</v>
      </c>
      <c r="L500" t="str">
        <f>MAIN!C505</f>
        <v/>
      </c>
    </row>
    <row r="501" spans="1:12" x14ac:dyDescent="0.3">
      <c r="A501">
        <f>IF(J501="0",0,IF(COUNTIF($J$2:J501,J501)=1,1,0))</f>
        <v>0</v>
      </c>
      <c r="B501" s="12" t="e">
        <f>MID(MAIN!A506,K501,2)</f>
        <v>#VALUE!</v>
      </c>
      <c r="C501" s="12" t="e">
        <f t="shared" si="28"/>
        <v>#VALUE!</v>
      </c>
      <c r="D501" s="12" t="e">
        <f>MID(MAIN!A506,K501+2,2)</f>
        <v>#VALUE!</v>
      </c>
      <c r="E501" s="12" t="e">
        <f>MID(MAIN!A506,K501+4,2)</f>
        <v>#VALUE!</v>
      </c>
      <c r="F501" s="2" t="e">
        <f t="shared" si="29"/>
        <v>#VALUE!</v>
      </c>
      <c r="G501" s="13" t="e">
        <f t="shared" si="30"/>
        <v>#VALUE!</v>
      </c>
      <c r="J501" t="str">
        <f>MAIN!A506&amp;"B"</f>
        <v>B</v>
      </c>
      <c r="K501" s="12" t="e">
        <f t="shared" si="31"/>
        <v>#VALUE!</v>
      </c>
      <c r="L501" t="str">
        <f>MAIN!C506</f>
        <v/>
      </c>
    </row>
    <row r="502" spans="1:12" x14ac:dyDescent="0.3">
      <c r="A502">
        <f>IF(J502="0",0,IF(COUNTIF($J$2:J502,J502)=1,1,0))</f>
        <v>0</v>
      </c>
      <c r="B502" s="12" t="e">
        <f>MID(MAIN!A507,K502,2)</f>
        <v>#VALUE!</v>
      </c>
      <c r="C502" s="12" t="e">
        <f t="shared" si="28"/>
        <v>#VALUE!</v>
      </c>
      <c r="D502" s="12" t="e">
        <f>MID(MAIN!A507,K502+2,2)</f>
        <v>#VALUE!</v>
      </c>
      <c r="E502" s="12" t="e">
        <f>MID(MAIN!A507,K502+4,2)</f>
        <v>#VALUE!</v>
      </c>
      <c r="F502" s="2" t="e">
        <f t="shared" si="29"/>
        <v>#VALUE!</v>
      </c>
      <c r="G502" s="13" t="e">
        <f t="shared" si="30"/>
        <v>#VALUE!</v>
      </c>
      <c r="J502" t="str">
        <f>MAIN!A507&amp;"B"</f>
        <v>B</v>
      </c>
      <c r="K502" s="12" t="e">
        <f t="shared" si="31"/>
        <v>#VALUE!</v>
      </c>
      <c r="L502" t="str">
        <f>MAIN!C507</f>
        <v/>
      </c>
    </row>
    <row r="503" spans="1:12" x14ac:dyDescent="0.3">
      <c r="A503">
        <f>IF(J503="0",0,IF(COUNTIF($J$2:J503,J503)=1,1,0))</f>
        <v>0</v>
      </c>
      <c r="B503" s="12" t="e">
        <f>MID(MAIN!A508,K503,2)</f>
        <v>#VALUE!</v>
      </c>
      <c r="C503" s="12" t="e">
        <f t="shared" si="28"/>
        <v>#VALUE!</v>
      </c>
      <c r="D503" s="12" t="e">
        <f>MID(MAIN!A508,K503+2,2)</f>
        <v>#VALUE!</v>
      </c>
      <c r="E503" s="12" t="e">
        <f>MID(MAIN!A508,K503+4,2)</f>
        <v>#VALUE!</v>
      </c>
      <c r="F503" s="2" t="e">
        <f t="shared" si="29"/>
        <v>#VALUE!</v>
      </c>
      <c r="G503" s="13" t="e">
        <f t="shared" si="30"/>
        <v>#VALUE!</v>
      </c>
      <c r="J503" t="str">
        <f>MAIN!A508&amp;"B"</f>
        <v>B</v>
      </c>
      <c r="K503" s="12" t="e">
        <f t="shared" si="31"/>
        <v>#VALUE!</v>
      </c>
      <c r="L503" t="str">
        <f>MAIN!C508</f>
        <v/>
      </c>
    </row>
    <row r="504" spans="1:12" x14ac:dyDescent="0.3">
      <c r="A504">
        <f>IF(J504="0",0,IF(COUNTIF($J$2:J504,J504)=1,1,0))</f>
        <v>0</v>
      </c>
      <c r="B504" s="12" t="e">
        <f>MID(MAIN!A509,K504,2)</f>
        <v>#VALUE!</v>
      </c>
      <c r="C504" s="12" t="e">
        <f t="shared" si="28"/>
        <v>#VALUE!</v>
      </c>
      <c r="D504" s="12" t="e">
        <f>MID(MAIN!A509,K504+2,2)</f>
        <v>#VALUE!</v>
      </c>
      <c r="E504" s="12" t="e">
        <f>MID(MAIN!A509,K504+4,2)</f>
        <v>#VALUE!</v>
      </c>
      <c r="F504" s="2" t="e">
        <f t="shared" si="29"/>
        <v>#VALUE!</v>
      </c>
      <c r="G504" s="13" t="e">
        <f t="shared" si="30"/>
        <v>#VALUE!</v>
      </c>
      <c r="J504" t="str">
        <f>MAIN!A509&amp;"B"</f>
        <v>B</v>
      </c>
      <c r="K504" s="12" t="e">
        <f t="shared" si="31"/>
        <v>#VALUE!</v>
      </c>
      <c r="L504" t="str">
        <f>MAIN!C509</f>
        <v/>
      </c>
    </row>
    <row r="505" spans="1:12" x14ac:dyDescent="0.3">
      <c r="A505">
        <f>IF(J505="0",0,IF(COUNTIF($J$2:J505,J505)=1,1,0))</f>
        <v>0</v>
      </c>
      <c r="B505" s="12" t="e">
        <f>MID(MAIN!A510,K505,2)</f>
        <v>#VALUE!</v>
      </c>
      <c r="C505" s="12" t="e">
        <f t="shared" si="28"/>
        <v>#VALUE!</v>
      </c>
      <c r="D505" s="12" t="e">
        <f>MID(MAIN!A510,K505+2,2)</f>
        <v>#VALUE!</v>
      </c>
      <c r="E505" s="12" t="e">
        <f>MID(MAIN!A510,K505+4,2)</f>
        <v>#VALUE!</v>
      </c>
      <c r="F505" s="2" t="e">
        <f t="shared" si="29"/>
        <v>#VALUE!</v>
      </c>
      <c r="G505" s="13" t="e">
        <f t="shared" si="30"/>
        <v>#VALUE!</v>
      </c>
      <c r="J505" t="str">
        <f>MAIN!A510&amp;"B"</f>
        <v>B</v>
      </c>
      <c r="K505" s="12" t="e">
        <f t="shared" si="31"/>
        <v>#VALUE!</v>
      </c>
      <c r="L505" t="str">
        <f>MAIN!C510</f>
        <v/>
      </c>
    </row>
    <row r="506" spans="1:12" x14ac:dyDescent="0.3">
      <c r="A506">
        <f>IF(J506="0",0,IF(COUNTIF($J$2:J506,J506)=1,1,0))</f>
        <v>0</v>
      </c>
      <c r="B506" s="12" t="e">
        <f>MID(MAIN!A511,K506,2)</f>
        <v>#VALUE!</v>
      </c>
      <c r="C506" s="12" t="e">
        <f t="shared" si="28"/>
        <v>#VALUE!</v>
      </c>
      <c r="D506" s="12" t="e">
        <f>MID(MAIN!A511,K506+2,2)</f>
        <v>#VALUE!</v>
      </c>
      <c r="E506" s="12" t="e">
        <f>MID(MAIN!A511,K506+4,2)</f>
        <v>#VALUE!</v>
      </c>
      <c r="F506" s="2" t="e">
        <f t="shared" si="29"/>
        <v>#VALUE!</v>
      </c>
      <c r="G506" s="13" t="e">
        <f t="shared" si="30"/>
        <v>#VALUE!</v>
      </c>
      <c r="J506" t="str">
        <f>MAIN!A511&amp;"B"</f>
        <v>B</v>
      </c>
      <c r="K506" s="12" t="e">
        <f t="shared" si="31"/>
        <v>#VALUE!</v>
      </c>
      <c r="L506" t="str">
        <f>MAIN!C511</f>
        <v/>
      </c>
    </row>
    <row r="507" spans="1:12" x14ac:dyDescent="0.3">
      <c r="A507">
        <f>IF(J507="0",0,IF(COUNTIF($J$2:J507,J507)=1,1,0))</f>
        <v>0</v>
      </c>
      <c r="B507" s="12" t="e">
        <f>MID(MAIN!A512,K507,2)</f>
        <v>#VALUE!</v>
      </c>
      <c r="C507" s="12" t="e">
        <f t="shared" si="28"/>
        <v>#VALUE!</v>
      </c>
      <c r="D507" s="12" t="e">
        <f>MID(MAIN!A512,K507+2,2)</f>
        <v>#VALUE!</v>
      </c>
      <c r="E507" s="12" t="e">
        <f>MID(MAIN!A512,K507+4,2)</f>
        <v>#VALUE!</v>
      </c>
      <c r="F507" s="2" t="e">
        <f t="shared" si="29"/>
        <v>#VALUE!</v>
      </c>
      <c r="G507" s="13" t="e">
        <f t="shared" si="30"/>
        <v>#VALUE!</v>
      </c>
      <c r="J507" t="str">
        <f>MAIN!A512&amp;"B"</f>
        <v>B</v>
      </c>
      <c r="K507" s="12" t="e">
        <f t="shared" si="31"/>
        <v>#VALUE!</v>
      </c>
      <c r="L507" t="str">
        <f>MAIN!C512</f>
        <v/>
      </c>
    </row>
    <row r="508" spans="1:12" x14ac:dyDescent="0.3">
      <c r="A508">
        <f>IF(J508="0",0,IF(COUNTIF($J$2:J508,J508)=1,1,0))</f>
        <v>0</v>
      </c>
      <c r="B508" s="12" t="e">
        <f>MID(MAIN!A513,K508,2)</f>
        <v>#VALUE!</v>
      </c>
      <c r="C508" s="12" t="e">
        <f t="shared" si="28"/>
        <v>#VALUE!</v>
      </c>
      <c r="D508" s="12" t="e">
        <f>MID(MAIN!A513,K508+2,2)</f>
        <v>#VALUE!</v>
      </c>
      <c r="E508" s="12" t="e">
        <f>MID(MAIN!A513,K508+4,2)</f>
        <v>#VALUE!</v>
      </c>
      <c r="F508" s="2" t="e">
        <f t="shared" si="29"/>
        <v>#VALUE!</v>
      </c>
      <c r="G508" s="13" t="e">
        <f t="shared" si="30"/>
        <v>#VALUE!</v>
      </c>
      <c r="J508" t="str">
        <f>MAIN!A513&amp;"B"</f>
        <v>B</v>
      </c>
      <c r="K508" s="12" t="e">
        <f t="shared" si="31"/>
        <v>#VALUE!</v>
      </c>
      <c r="L508" t="str">
        <f>MAIN!C513</f>
        <v/>
      </c>
    </row>
    <row r="509" spans="1:12" x14ac:dyDescent="0.3">
      <c r="A509">
        <f>IF(J509="0",0,IF(COUNTIF($J$2:J509,J509)=1,1,0))</f>
        <v>0</v>
      </c>
      <c r="B509" s="12" t="e">
        <f>MID(MAIN!A514,K509,2)</f>
        <v>#VALUE!</v>
      </c>
      <c r="C509" s="12" t="e">
        <f t="shared" si="28"/>
        <v>#VALUE!</v>
      </c>
      <c r="D509" s="12" t="e">
        <f>MID(MAIN!A514,K509+2,2)</f>
        <v>#VALUE!</v>
      </c>
      <c r="E509" s="12" t="e">
        <f>MID(MAIN!A514,K509+4,2)</f>
        <v>#VALUE!</v>
      </c>
      <c r="F509" s="2" t="e">
        <f t="shared" si="29"/>
        <v>#VALUE!</v>
      </c>
      <c r="G509" s="13" t="e">
        <f t="shared" si="30"/>
        <v>#VALUE!</v>
      </c>
      <c r="J509" t="str">
        <f>MAIN!A514&amp;"B"</f>
        <v>B</v>
      </c>
      <c r="K509" s="12" t="e">
        <f t="shared" si="31"/>
        <v>#VALUE!</v>
      </c>
      <c r="L509" t="str">
        <f>MAIN!C514</f>
        <v/>
      </c>
    </row>
    <row r="510" spans="1:12" x14ac:dyDescent="0.3">
      <c r="A510">
        <f>IF(J510="0",0,IF(COUNTIF($J$2:J510,J510)=1,1,0))</f>
        <v>0</v>
      </c>
      <c r="B510" s="12" t="e">
        <f>MID(MAIN!A515,K510,2)</f>
        <v>#VALUE!</v>
      </c>
      <c r="C510" s="12" t="e">
        <f t="shared" si="28"/>
        <v>#VALUE!</v>
      </c>
      <c r="D510" s="12" t="e">
        <f>MID(MAIN!A515,K510+2,2)</f>
        <v>#VALUE!</v>
      </c>
      <c r="E510" s="12" t="e">
        <f>MID(MAIN!A515,K510+4,2)</f>
        <v>#VALUE!</v>
      </c>
      <c r="F510" s="2" t="e">
        <f t="shared" si="29"/>
        <v>#VALUE!</v>
      </c>
      <c r="G510" s="13" t="e">
        <f t="shared" si="30"/>
        <v>#VALUE!</v>
      </c>
      <c r="J510" t="str">
        <f>MAIN!A515&amp;"B"</f>
        <v>B</v>
      </c>
      <c r="K510" s="12" t="e">
        <f t="shared" si="31"/>
        <v>#VALUE!</v>
      </c>
      <c r="L510" t="str">
        <f>MAIN!C515</f>
        <v/>
      </c>
    </row>
    <row r="511" spans="1:12" x14ac:dyDescent="0.3">
      <c r="A511">
        <f>IF(J511="0",0,IF(COUNTIF($J$2:J511,J511)=1,1,0))</f>
        <v>0</v>
      </c>
      <c r="B511" s="12" t="e">
        <f>MID(MAIN!A516,K511,2)</f>
        <v>#VALUE!</v>
      </c>
      <c r="C511" s="12" t="e">
        <f t="shared" si="28"/>
        <v>#VALUE!</v>
      </c>
      <c r="D511" s="12" t="e">
        <f>MID(MAIN!A516,K511+2,2)</f>
        <v>#VALUE!</v>
      </c>
      <c r="E511" s="12" t="e">
        <f>MID(MAIN!A516,K511+4,2)</f>
        <v>#VALUE!</v>
      </c>
      <c r="F511" s="2" t="e">
        <f t="shared" si="29"/>
        <v>#VALUE!</v>
      </c>
      <c r="G511" s="13" t="e">
        <f t="shared" si="30"/>
        <v>#VALUE!</v>
      </c>
      <c r="J511" t="str">
        <f>MAIN!A516&amp;"B"</f>
        <v>B</v>
      </c>
      <c r="K511" s="12" t="e">
        <f t="shared" si="31"/>
        <v>#VALUE!</v>
      </c>
      <c r="L511" t="str">
        <f>MAIN!C516</f>
        <v/>
      </c>
    </row>
    <row r="512" spans="1:12" x14ac:dyDescent="0.3">
      <c r="A512">
        <f>IF(J512="0",0,IF(COUNTIF($J$2:J512,J512)=1,1,0))</f>
        <v>0</v>
      </c>
      <c r="B512" s="12" t="e">
        <f>MID(MAIN!A517,K512,2)</f>
        <v>#VALUE!</v>
      </c>
      <c r="C512" s="12" t="e">
        <f t="shared" si="28"/>
        <v>#VALUE!</v>
      </c>
      <c r="D512" s="12" t="e">
        <f>MID(MAIN!A517,K512+2,2)</f>
        <v>#VALUE!</v>
      </c>
      <c r="E512" s="12" t="e">
        <f>MID(MAIN!A517,K512+4,2)</f>
        <v>#VALUE!</v>
      </c>
      <c r="F512" s="2" t="e">
        <f t="shared" si="29"/>
        <v>#VALUE!</v>
      </c>
      <c r="G512" s="13" t="e">
        <f t="shared" si="30"/>
        <v>#VALUE!</v>
      </c>
      <c r="J512" t="str">
        <f>MAIN!A517&amp;"B"</f>
        <v>B</v>
      </c>
      <c r="K512" s="12" t="e">
        <f t="shared" si="31"/>
        <v>#VALUE!</v>
      </c>
      <c r="L512" t="str">
        <f>MAIN!C517</f>
        <v/>
      </c>
    </row>
    <row r="513" spans="1:12" x14ac:dyDescent="0.3">
      <c r="A513">
        <f>IF(J513="0",0,IF(COUNTIF($J$2:J513,J513)=1,1,0))</f>
        <v>0</v>
      </c>
      <c r="B513" s="12" t="e">
        <f>MID(MAIN!A518,K513,2)</f>
        <v>#VALUE!</v>
      </c>
      <c r="C513" s="12" t="e">
        <f t="shared" si="28"/>
        <v>#VALUE!</v>
      </c>
      <c r="D513" s="12" t="e">
        <f>MID(MAIN!A518,K513+2,2)</f>
        <v>#VALUE!</v>
      </c>
      <c r="E513" s="12" t="e">
        <f>MID(MAIN!A518,K513+4,2)</f>
        <v>#VALUE!</v>
      </c>
      <c r="F513" s="2" t="e">
        <f t="shared" si="29"/>
        <v>#VALUE!</v>
      </c>
      <c r="G513" s="13" t="e">
        <f t="shared" si="30"/>
        <v>#VALUE!</v>
      </c>
      <c r="J513" t="str">
        <f>MAIN!A518&amp;"B"</f>
        <v>B</v>
      </c>
      <c r="K513" s="12" t="e">
        <f t="shared" si="31"/>
        <v>#VALUE!</v>
      </c>
      <c r="L513" t="str">
        <f>MAIN!C518</f>
        <v/>
      </c>
    </row>
    <row r="514" spans="1:12" x14ac:dyDescent="0.3">
      <c r="A514">
        <f>IF(J514="0",0,IF(COUNTIF($J$2:J514,J514)=1,1,0))</f>
        <v>0</v>
      </c>
      <c r="B514" s="12" t="e">
        <f>MID(MAIN!A519,K514,2)</f>
        <v>#VALUE!</v>
      </c>
      <c r="C514" s="12" t="e">
        <f t="shared" si="28"/>
        <v>#VALUE!</v>
      </c>
      <c r="D514" s="12" t="e">
        <f>MID(MAIN!A519,K514+2,2)</f>
        <v>#VALUE!</v>
      </c>
      <c r="E514" s="12" t="e">
        <f>MID(MAIN!A519,K514+4,2)</f>
        <v>#VALUE!</v>
      </c>
      <c r="F514" s="2" t="e">
        <f t="shared" si="29"/>
        <v>#VALUE!</v>
      </c>
      <c r="G514" s="13" t="e">
        <f t="shared" si="30"/>
        <v>#VALUE!</v>
      </c>
      <c r="J514" t="str">
        <f>MAIN!A519&amp;"B"</f>
        <v>B</v>
      </c>
      <c r="K514" s="12" t="e">
        <f t="shared" si="31"/>
        <v>#VALUE!</v>
      </c>
      <c r="L514" t="str">
        <f>MAIN!C519</f>
        <v/>
      </c>
    </row>
    <row r="515" spans="1:12" x14ac:dyDescent="0.3">
      <c r="A515">
        <f>IF(J515="0",0,IF(COUNTIF($J$2:J515,J515)=1,1,0))</f>
        <v>0</v>
      </c>
      <c r="B515" s="12" t="e">
        <f>MID(MAIN!A520,K515,2)</f>
        <v>#VALUE!</v>
      </c>
      <c r="C515" s="12" t="e">
        <f t="shared" ref="C515:C578" si="32">"20"&amp;B515</f>
        <v>#VALUE!</v>
      </c>
      <c r="D515" s="12" t="e">
        <f>MID(MAIN!A520,K515+2,2)</f>
        <v>#VALUE!</v>
      </c>
      <c r="E515" s="12" t="e">
        <f>MID(MAIN!A520,K515+4,2)</f>
        <v>#VALUE!</v>
      </c>
      <c r="F515" s="2" t="e">
        <f t="shared" ref="F515:F578" si="33">C515&amp;"/"&amp;D515&amp;"/"&amp;E515</f>
        <v>#VALUE!</v>
      </c>
      <c r="G515" s="13" t="e">
        <f t="shared" ref="G515:G578" si="34">DATEVALUE(F515)</f>
        <v>#VALUE!</v>
      </c>
      <c r="J515" t="str">
        <f>MAIN!A520&amp;"B"</f>
        <v>B</v>
      </c>
      <c r="K515" s="12" t="e">
        <f t="shared" ref="K515:K578" si="35">FIND("172",J515,30)+2</f>
        <v>#VALUE!</v>
      </c>
      <c r="L515" t="str">
        <f>MAIN!C520</f>
        <v/>
      </c>
    </row>
    <row r="516" spans="1:12" x14ac:dyDescent="0.3">
      <c r="A516">
        <f>IF(J516="0",0,IF(COUNTIF($J$2:J516,J516)=1,1,0))</f>
        <v>0</v>
      </c>
      <c r="B516" s="12" t="e">
        <f>MID(MAIN!A521,K516,2)</f>
        <v>#VALUE!</v>
      </c>
      <c r="C516" s="12" t="e">
        <f t="shared" si="32"/>
        <v>#VALUE!</v>
      </c>
      <c r="D516" s="12" t="e">
        <f>MID(MAIN!A521,K516+2,2)</f>
        <v>#VALUE!</v>
      </c>
      <c r="E516" s="12" t="e">
        <f>MID(MAIN!A521,K516+4,2)</f>
        <v>#VALUE!</v>
      </c>
      <c r="F516" s="2" t="e">
        <f t="shared" si="33"/>
        <v>#VALUE!</v>
      </c>
      <c r="G516" s="13" t="e">
        <f t="shared" si="34"/>
        <v>#VALUE!</v>
      </c>
      <c r="J516" t="str">
        <f>MAIN!A521&amp;"B"</f>
        <v>B</v>
      </c>
      <c r="K516" s="12" t="e">
        <f t="shared" si="35"/>
        <v>#VALUE!</v>
      </c>
      <c r="L516" t="str">
        <f>MAIN!C521</f>
        <v/>
      </c>
    </row>
    <row r="517" spans="1:12" x14ac:dyDescent="0.3">
      <c r="A517">
        <f>IF(J517="0",0,IF(COUNTIF($J$2:J517,J517)=1,1,0))</f>
        <v>0</v>
      </c>
      <c r="B517" s="12" t="e">
        <f>MID(MAIN!A522,K517,2)</f>
        <v>#VALUE!</v>
      </c>
      <c r="C517" s="12" t="e">
        <f t="shared" si="32"/>
        <v>#VALUE!</v>
      </c>
      <c r="D517" s="12" t="e">
        <f>MID(MAIN!A522,K517+2,2)</f>
        <v>#VALUE!</v>
      </c>
      <c r="E517" s="12" t="e">
        <f>MID(MAIN!A522,K517+4,2)</f>
        <v>#VALUE!</v>
      </c>
      <c r="F517" s="2" t="e">
        <f t="shared" si="33"/>
        <v>#VALUE!</v>
      </c>
      <c r="G517" s="13" t="e">
        <f t="shared" si="34"/>
        <v>#VALUE!</v>
      </c>
      <c r="J517" t="str">
        <f>MAIN!A522&amp;"B"</f>
        <v>B</v>
      </c>
      <c r="K517" s="12" t="e">
        <f t="shared" si="35"/>
        <v>#VALUE!</v>
      </c>
      <c r="L517" t="str">
        <f>MAIN!C522</f>
        <v/>
      </c>
    </row>
    <row r="518" spans="1:12" x14ac:dyDescent="0.3">
      <c r="A518">
        <f>IF(J518="0",0,IF(COUNTIF($J$2:J518,J518)=1,1,0))</f>
        <v>0</v>
      </c>
      <c r="B518" s="12" t="e">
        <f>MID(MAIN!A523,K518,2)</f>
        <v>#VALUE!</v>
      </c>
      <c r="C518" s="12" t="e">
        <f t="shared" si="32"/>
        <v>#VALUE!</v>
      </c>
      <c r="D518" s="12" t="e">
        <f>MID(MAIN!A523,K518+2,2)</f>
        <v>#VALUE!</v>
      </c>
      <c r="E518" s="12" t="e">
        <f>MID(MAIN!A523,K518+4,2)</f>
        <v>#VALUE!</v>
      </c>
      <c r="F518" s="2" t="e">
        <f t="shared" si="33"/>
        <v>#VALUE!</v>
      </c>
      <c r="G518" s="13" t="e">
        <f t="shared" si="34"/>
        <v>#VALUE!</v>
      </c>
      <c r="J518" t="str">
        <f>MAIN!A523&amp;"B"</f>
        <v>B</v>
      </c>
      <c r="K518" s="12" t="e">
        <f t="shared" si="35"/>
        <v>#VALUE!</v>
      </c>
      <c r="L518" t="str">
        <f>MAIN!C523</f>
        <v/>
      </c>
    </row>
    <row r="519" spans="1:12" x14ac:dyDescent="0.3">
      <c r="A519">
        <f>IF(J519="0",0,IF(COUNTIF($J$2:J519,J519)=1,1,0))</f>
        <v>0</v>
      </c>
      <c r="B519" s="12" t="e">
        <f>MID(MAIN!A524,K519,2)</f>
        <v>#VALUE!</v>
      </c>
      <c r="C519" s="12" t="e">
        <f t="shared" si="32"/>
        <v>#VALUE!</v>
      </c>
      <c r="D519" s="12" t="e">
        <f>MID(MAIN!A524,K519+2,2)</f>
        <v>#VALUE!</v>
      </c>
      <c r="E519" s="12" t="e">
        <f>MID(MAIN!A524,K519+4,2)</f>
        <v>#VALUE!</v>
      </c>
      <c r="F519" s="2" t="e">
        <f t="shared" si="33"/>
        <v>#VALUE!</v>
      </c>
      <c r="G519" s="13" t="e">
        <f t="shared" si="34"/>
        <v>#VALUE!</v>
      </c>
      <c r="J519" t="str">
        <f>MAIN!A524&amp;"B"</f>
        <v>B</v>
      </c>
      <c r="K519" s="12" t="e">
        <f t="shared" si="35"/>
        <v>#VALUE!</v>
      </c>
      <c r="L519" t="str">
        <f>MAIN!C524</f>
        <v/>
      </c>
    </row>
    <row r="520" spans="1:12" x14ac:dyDescent="0.3">
      <c r="A520">
        <f>IF(J520="0",0,IF(COUNTIF($J$2:J520,J520)=1,1,0))</f>
        <v>0</v>
      </c>
      <c r="B520" s="12" t="e">
        <f>MID(MAIN!A525,K520,2)</f>
        <v>#VALUE!</v>
      </c>
      <c r="C520" s="12" t="e">
        <f t="shared" si="32"/>
        <v>#VALUE!</v>
      </c>
      <c r="D520" s="12" t="e">
        <f>MID(MAIN!A525,K520+2,2)</f>
        <v>#VALUE!</v>
      </c>
      <c r="E520" s="12" t="e">
        <f>MID(MAIN!A525,K520+4,2)</f>
        <v>#VALUE!</v>
      </c>
      <c r="F520" s="2" t="e">
        <f t="shared" si="33"/>
        <v>#VALUE!</v>
      </c>
      <c r="G520" s="13" t="e">
        <f t="shared" si="34"/>
        <v>#VALUE!</v>
      </c>
      <c r="J520" t="str">
        <f>MAIN!A525&amp;"B"</f>
        <v>B</v>
      </c>
      <c r="K520" s="12" t="e">
        <f t="shared" si="35"/>
        <v>#VALUE!</v>
      </c>
      <c r="L520" t="str">
        <f>MAIN!C525</f>
        <v/>
      </c>
    </row>
    <row r="521" spans="1:12" x14ac:dyDescent="0.3">
      <c r="A521">
        <f>IF(J521="0",0,IF(COUNTIF($J$2:J521,J521)=1,1,0))</f>
        <v>0</v>
      </c>
      <c r="B521" s="12" t="e">
        <f>MID(MAIN!A526,K521,2)</f>
        <v>#VALUE!</v>
      </c>
      <c r="C521" s="12" t="e">
        <f t="shared" si="32"/>
        <v>#VALUE!</v>
      </c>
      <c r="D521" s="12" t="e">
        <f>MID(MAIN!A526,K521+2,2)</f>
        <v>#VALUE!</v>
      </c>
      <c r="E521" s="12" t="e">
        <f>MID(MAIN!A526,K521+4,2)</f>
        <v>#VALUE!</v>
      </c>
      <c r="F521" s="2" t="e">
        <f t="shared" si="33"/>
        <v>#VALUE!</v>
      </c>
      <c r="G521" s="13" t="e">
        <f t="shared" si="34"/>
        <v>#VALUE!</v>
      </c>
      <c r="J521" t="str">
        <f>MAIN!A526&amp;"B"</f>
        <v>B</v>
      </c>
      <c r="K521" s="12" t="e">
        <f t="shared" si="35"/>
        <v>#VALUE!</v>
      </c>
      <c r="L521" t="str">
        <f>MAIN!C526</f>
        <v/>
      </c>
    </row>
    <row r="522" spans="1:12" x14ac:dyDescent="0.3">
      <c r="A522">
        <f>IF(J522="0",0,IF(COUNTIF($J$2:J522,J522)=1,1,0))</f>
        <v>0</v>
      </c>
      <c r="B522" s="12" t="e">
        <f>MID(MAIN!A527,K522,2)</f>
        <v>#VALUE!</v>
      </c>
      <c r="C522" s="12" t="e">
        <f t="shared" si="32"/>
        <v>#VALUE!</v>
      </c>
      <c r="D522" s="12" t="e">
        <f>MID(MAIN!A527,K522+2,2)</f>
        <v>#VALUE!</v>
      </c>
      <c r="E522" s="12" t="e">
        <f>MID(MAIN!A527,K522+4,2)</f>
        <v>#VALUE!</v>
      </c>
      <c r="F522" s="2" t="e">
        <f t="shared" si="33"/>
        <v>#VALUE!</v>
      </c>
      <c r="G522" s="13" t="e">
        <f t="shared" si="34"/>
        <v>#VALUE!</v>
      </c>
      <c r="J522" t="str">
        <f>MAIN!A527&amp;"B"</f>
        <v>B</v>
      </c>
      <c r="K522" s="12" t="e">
        <f t="shared" si="35"/>
        <v>#VALUE!</v>
      </c>
      <c r="L522" t="str">
        <f>MAIN!C527</f>
        <v/>
      </c>
    </row>
    <row r="523" spans="1:12" x14ac:dyDescent="0.3">
      <c r="A523">
        <f>IF(J523="0",0,IF(COUNTIF($J$2:J523,J523)=1,1,0))</f>
        <v>0</v>
      </c>
      <c r="B523" s="12" t="e">
        <f>MID(MAIN!A528,K523,2)</f>
        <v>#VALUE!</v>
      </c>
      <c r="C523" s="12" t="e">
        <f t="shared" si="32"/>
        <v>#VALUE!</v>
      </c>
      <c r="D523" s="12" t="e">
        <f>MID(MAIN!A528,K523+2,2)</f>
        <v>#VALUE!</v>
      </c>
      <c r="E523" s="12" t="e">
        <f>MID(MAIN!A528,K523+4,2)</f>
        <v>#VALUE!</v>
      </c>
      <c r="F523" s="2" t="e">
        <f t="shared" si="33"/>
        <v>#VALUE!</v>
      </c>
      <c r="G523" s="13" t="e">
        <f t="shared" si="34"/>
        <v>#VALUE!</v>
      </c>
      <c r="J523" t="str">
        <f>MAIN!A528&amp;"B"</f>
        <v>B</v>
      </c>
      <c r="K523" s="12" t="e">
        <f t="shared" si="35"/>
        <v>#VALUE!</v>
      </c>
      <c r="L523" t="str">
        <f>MAIN!C528</f>
        <v/>
      </c>
    </row>
    <row r="524" spans="1:12" x14ac:dyDescent="0.3">
      <c r="A524">
        <f>IF(J524="0",0,IF(COUNTIF($J$2:J524,J524)=1,1,0))</f>
        <v>0</v>
      </c>
      <c r="B524" s="12" t="e">
        <f>MID(MAIN!A529,K524,2)</f>
        <v>#VALUE!</v>
      </c>
      <c r="C524" s="12" t="e">
        <f t="shared" si="32"/>
        <v>#VALUE!</v>
      </c>
      <c r="D524" s="12" t="e">
        <f>MID(MAIN!A529,K524+2,2)</f>
        <v>#VALUE!</v>
      </c>
      <c r="E524" s="12" t="e">
        <f>MID(MAIN!A529,K524+4,2)</f>
        <v>#VALUE!</v>
      </c>
      <c r="F524" s="2" t="e">
        <f t="shared" si="33"/>
        <v>#VALUE!</v>
      </c>
      <c r="G524" s="13" t="e">
        <f t="shared" si="34"/>
        <v>#VALUE!</v>
      </c>
      <c r="J524" t="str">
        <f>MAIN!A529&amp;"B"</f>
        <v>B</v>
      </c>
      <c r="K524" s="12" t="e">
        <f t="shared" si="35"/>
        <v>#VALUE!</v>
      </c>
      <c r="L524" t="str">
        <f>MAIN!C529</f>
        <v/>
      </c>
    </row>
    <row r="525" spans="1:12" x14ac:dyDescent="0.3">
      <c r="A525">
        <f>IF(J525="0",0,IF(COUNTIF($J$2:J525,J525)=1,1,0))</f>
        <v>0</v>
      </c>
      <c r="B525" s="12" t="e">
        <f>MID(MAIN!A530,K525,2)</f>
        <v>#VALUE!</v>
      </c>
      <c r="C525" s="12" t="e">
        <f t="shared" si="32"/>
        <v>#VALUE!</v>
      </c>
      <c r="D525" s="12" t="e">
        <f>MID(MAIN!A530,K525+2,2)</f>
        <v>#VALUE!</v>
      </c>
      <c r="E525" s="12" t="e">
        <f>MID(MAIN!A530,K525+4,2)</f>
        <v>#VALUE!</v>
      </c>
      <c r="F525" s="2" t="e">
        <f t="shared" si="33"/>
        <v>#VALUE!</v>
      </c>
      <c r="G525" s="13" t="e">
        <f t="shared" si="34"/>
        <v>#VALUE!</v>
      </c>
      <c r="J525" t="str">
        <f>MAIN!A530&amp;"B"</f>
        <v>B</v>
      </c>
      <c r="K525" s="12" t="e">
        <f t="shared" si="35"/>
        <v>#VALUE!</v>
      </c>
      <c r="L525" t="str">
        <f>MAIN!C530</f>
        <v/>
      </c>
    </row>
    <row r="526" spans="1:12" x14ac:dyDescent="0.3">
      <c r="A526">
        <f>IF(J526="0",0,IF(COUNTIF($J$2:J526,J526)=1,1,0))</f>
        <v>0</v>
      </c>
      <c r="B526" s="12" t="e">
        <f>MID(MAIN!A531,K526,2)</f>
        <v>#VALUE!</v>
      </c>
      <c r="C526" s="12" t="e">
        <f t="shared" si="32"/>
        <v>#VALUE!</v>
      </c>
      <c r="D526" s="12" t="e">
        <f>MID(MAIN!A531,K526+2,2)</f>
        <v>#VALUE!</v>
      </c>
      <c r="E526" s="12" t="e">
        <f>MID(MAIN!A531,K526+4,2)</f>
        <v>#VALUE!</v>
      </c>
      <c r="F526" s="2" t="e">
        <f t="shared" si="33"/>
        <v>#VALUE!</v>
      </c>
      <c r="G526" s="13" t="e">
        <f t="shared" si="34"/>
        <v>#VALUE!</v>
      </c>
      <c r="J526" t="str">
        <f>MAIN!A531&amp;"B"</f>
        <v>B</v>
      </c>
      <c r="K526" s="12" t="e">
        <f t="shared" si="35"/>
        <v>#VALUE!</v>
      </c>
      <c r="L526" t="str">
        <f>MAIN!C531</f>
        <v/>
      </c>
    </row>
    <row r="527" spans="1:12" x14ac:dyDescent="0.3">
      <c r="A527">
        <f>IF(J527="0",0,IF(COUNTIF($J$2:J527,J527)=1,1,0))</f>
        <v>0</v>
      </c>
      <c r="B527" s="12" t="e">
        <f>MID(MAIN!A532,K527,2)</f>
        <v>#VALUE!</v>
      </c>
      <c r="C527" s="12" t="e">
        <f t="shared" si="32"/>
        <v>#VALUE!</v>
      </c>
      <c r="D527" s="12" t="e">
        <f>MID(MAIN!A532,K527+2,2)</f>
        <v>#VALUE!</v>
      </c>
      <c r="E527" s="12" t="e">
        <f>MID(MAIN!A532,K527+4,2)</f>
        <v>#VALUE!</v>
      </c>
      <c r="F527" s="2" t="e">
        <f t="shared" si="33"/>
        <v>#VALUE!</v>
      </c>
      <c r="G527" s="13" t="e">
        <f t="shared" si="34"/>
        <v>#VALUE!</v>
      </c>
      <c r="J527" t="str">
        <f>MAIN!A532&amp;"B"</f>
        <v>B</v>
      </c>
      <c r="K527" s="12" t="e">
        <f t="shared" si="35"/>
        <v>#VALUE!</v>
      </c>
      <c r="L527" t="str">
        <f>MAIN!C532</f>
        <v/>
      </c>
    </row>
    <row r="528" spans="1:12" x14ac:dyDescent="0.3">
      <c r="A528">
        <f>IF(J528="0",0,IF(COUNTIF($J$2:J528,J528)=1,1,0))</f>
        <v>0</v>
      </c>
      <c r="B528" s="12" t="e">
        <f>MID(MAIN!A533,K528,2)</f>
        <v>#VALUE!</v>
      </c>
      <c r="C528" s="12" t="e">
        <f t="shared" si="32"/>
        <v>#VALUE!</v>
      </c>
      <c r="D528" s="12" t="e">
        <f>MID(MAIN!A533,K528+2,2)</f>
        <v>#VALUE!</v>
      </c>
      <c r="E528" s="12" t="e">
        <f>MID(MAIN!A533,K528+4,2)</f>
        <v>#VALUE!</v>
      </c>
      <c r="F528" s="2" t="e">
        <f t="shared" si="33"/>
        <v>#VALUE!</v>
      </c>
      <c r="G528" s="13" t="e">
        <f t="shared" si="34"/>
        <v>#VALUE!</v>
      </c>
      <c r="J528" t="str">
        <f>MAIN!A533&amp;"B"</f>
        <v>B</v>
      </c>
      <c r="K528" s="12" t="e">
        <f t="shared" si="35"/>
        <v>#VALUE!</v>
      </c>
      <c r="L528" t="str">
        <f>MAIN!C533</f>
        <v/>
      </c>
    </row>
    <row r="529" spans="1:12" x14ac:dyDescent="0.3">
      <c r="A529">
        <f>IF(J529="0",0,IF(COUNTIF($J$2:J529,J529)=1,1,0))</f>
        <v>0</v>
      </c>
      <c r="B529" s="12" t="e">
        <f>MID(MAIN!A534,K529,2)</f>
        <v>#VALUE!</v>
      </c>
      <c r="C529" s="12" t="e">
        <f t="shared" si="32"/>
        <v>#VALUE!</v>
      </c>
      <c r="D529" s="12" t="e">
        <f>MID(MAIN!A534,K529+2,2)</f>
        <v>#VALUE!</v>
      </c>
      <c r="E529" s="12" t="e">
        <f>MID(MAIN!A534,K529+4,2)</f>
        <v>#VALUE!</v>
      </c>
      <c r="F529" s="2" t="e">
        <f t="shared" si="33"/>
        <v>#VALUE!</v>
      </c>
      <c r="G529" s="13" t="e">
        <f t="shared" si="34"/>
        <v>#VALUE!</v>
      </c>
      <c r="J529" t="str">
        <f>MAIN!A534&amp;"B"</f>
        <v>B</v>
      </c>
      <c r="K529" s="12" t="e">
        <f t="shared" si="35"/>
        <v>#VALUE!</v>
      </c>
      <c r="L529" t="str">
        <f>MAIN!C534</f>
        <v/>
      </c>
    </row>
    <row r="530" spans="1:12" x14ac:dyDescent="0.3">
      <c r="A530">
        <f>IF(J530="0",0,IF(COUNTIF($J$2:J530,J530)=1,1,0))</f>
        <v>0</v>
      </c>
      <c r="B530" s="12" t="e">
        <f>MID(MAIN!A535,K530,2)</f>
        <v>#VALUE!</v>
      </c>
      <c r="C530" s="12" t="e">
        <f t="shared" si="32"/>
        <v>#VALUE!</v>
      </c>
      <c r="D530" s="12" t="e">
        <f>MID(MAIN!A535,K530+2,2)</f>
        <v>#VALUE!</v>
      </c>
      <c r="E530" s="12" t="e">
        <f>MID(MAIN!A535,K530+4,2)</f>
        <v>#VALUE!</v>
      </c>
      <c r="F530" s="2" t="e">
        <f t="shared" si="33"/>
        <v>#VALUE!</v>
      </c>
      <c r="G530" s="13" t="e">
        <f t="shared" si="34"/>
        <v>#VALUE!</v>
      </c>
      <c r="J530" t="str">
        <f>MAIN!A535&amp;"B"</f>
        <v>B</v>
      </c>
      <c r="K530" s="12" t="e">
        <f t="shared" si="35"/>
        <v>#VALUE!</v>
      </c>
      <c r="L530" t="str">
        <f>MAIN!C535</f>
        <v/>
      </c>
    </row>
    <row r="531" spans="1:12" x14ac:dyDescent="0.3">
      <c r="A531">
        <f>IF(J531="0",0,IF(COUNTIF($J$2:J531,J531)=1,1,0))</f>
        <v>0</v>
      </c>
      <c r="B531" s="12" t="e">
        <f>MID(MAIN!A536,K531,2)</f>
        <v>#VALUE!</v>
      </c>
      <c r="C531" s="12" t="e">
        <f t="shared" si="32"/>
        <v>#VALUE!</v>
      </c>
      <c r="D531" s="12" t="e">
        <f>MID(MAIN!A536,K531+2,2)</f>
        <v>#VALUE!</v>
      </c>
      <c r="E531" s="12" t="e">
        <f>MID(MAIN!A536,K531+4,2)</f>
        <v>#VALUE!</v>
      </c>
      <c r="F531" s="2" t="e">
        <f t="shared" si="33"/>
        <v>#VALUE!</v>
      </c>
      <c r="G531" s="13" t="e">
        <f t="shared" si="34"/>
        <v>#VALUE!</v>
      </c>
      <c r="J531" t="str">
        <f>MAIN!A536&amp;"B"</f>
        <v>B</v>
      </c>
      <c r="K531" s="12" t="e">
        <f t="shared" si="35"/>
        <v>#VALUE!</v>
      </c>
      <c r="L531" t="str">
        <f>MAIN!C536</f>
        <v/>
      </c>
    </row>
    <row r="532" spans="1:12" x14ac:dyDescent="0.3">
      <c r="A532">
        <f>IF(J532="0",0,IF(COUNTIF($J$2:J532,J532)=1,1,0))</f>
        <v>0</v>
      </c>
      <c r="B532" s="12" t="e">
        <f>MID(MAIN!A537,K532,2)</f>
        <v>#VALUE!</v>
      </c>
      <c r="C532" s="12" t="e">
        <f t="shared" si="32"/>
        <v>#VALUE!</v>
      </c>
      <c r="D532" s="12" t="e">
        <f>MID(MAIN!A537,K532+2,2)</f>
        <v>#VALUE!</v>
      </c>
      <c r="E532" s="12" t="e">
        <f>MID(MAIN!A537,K532+4,2)</f>
        <v>#VALUE!</v>
      </c>
      <c r="F532" s="2" t="e">
        <f t="shared" si="33"/>
        <v>#VALUE!</v>
      </c>
      <c r="G532" s="13" t="e">
        <f t="shared" si="34"/>
        <v>#VALUE!</v>
      </c>
      <c r="J532" t="str">
        <f>MAIN!A537&amp;"B"</f>
        <v>B</v>
      </c>
      <c r="K532" s="12" t="e">
        <f t="shared" si="35"/>
        <v>#VALUE!</v>
      </c>
      <c r="L532" t="str">
        <f>MAIN!C537</f>
        <v/>
      </c>
    </row>
    <row r="533" spans="1:12" x14ac:dyDescent="0.3">
      <c r="A533">
        <f>IF(J533="0",0,IF(COUNTIF($J$2:J533,J533)=1,1,0))</f>
        <v>0</v>
      </c>
      <c r="B533" s="12" t="e">
        <f>MID(MAIN!A538,K533,2)</f>
        <v>#VALUE!</v>
      </c>
      <c r="C533" s="12" t="e">
        <f t="shared" si="32"/>
        <v>#VALUE!</v>
      </c>
      <c r="D533" s="12" t="e">
        <f>MID(MAIN!A538,K533+2,2)</f>
        <v>#VALUE!</v>
      </c>
      <c r="E533" s="12" t="e">
        <f>MID(MAIN!A538,K533+4,2)</f>
        <v>#VALUE!</v>
      </c>
      <c r="F533" s="2" t="e">
        <f t="shared" si="33"/>
        <v>#VALUE!</v>
      </c>
      <c r="G533" s="13" t="e">
        <f t="shared" si="34"/>
        <v>#VALUE!</v>
      </c>
      <c r="J533" t="str">
        <f>MAIN!A538&amp;"B"</f>
        <v>B</v>
      </c>
      <c r="K533" s="12" t="e">
        <f t="shared" si="35"/>
        <v>#VALUE!</v>
      </c>
      <c r="L533" t="str">
        <f>MAIN!C538</f>
        <v/>
      </c>
    </row>
    <row r="534" spans="1:12" x14ac:dyDescent="0.3">
      <c r="A534">
        <f>IF(J534="0",0,IF(COUNTIF($J$2:J534,J534)=1,1,0))</f>
        <v>0</v>
      </c>
      <c r="B534" s="12" t="e">
        <f>MID(MAIN!A539,K534,2)</f>
        <v>#VALUE!</v>
      </c>
      <c r="C534" s="12" t="e">
        <f t="shared" si="32"/>
        <v>#VALUE!</v>
      </c>
      <c r="D534" s="12" t="e">
        <f>MID(MAIN!A539,K534+2,2)</f>
        <v>#VALUE!</v>
      </c>
      <c r="E534" s="12" t="e">
        <f>MID(MAIN!A539,K534+4,2)</f>
        <v>#VALUE!</v>
      </c>
      <c r="F534" s="2" t="e">
        <f t="shared" si="33"/>
        <v>#VALUE!</v>
      </c>
      <c r="G534" s="13" t="e">
        <f t="shared" si="34"/>
        <v>#VALUE!</v>
      </c>
      <c r="J534" t="str">
        <f>MAIN!A539&amp;"B"</f>
        <v>B</v>
      </c>
      <c r="K534" s="12" t="e">
        <f t="shared" si="35"/>
        <v>#VALUE!</v>
      </c>
      <c r="L534" t="str">
        <f>MAIN!C539</f>
        <v/>
      </c>
    </row>
    <row r="535" spans="1:12" x14ac:dyDescent="0.3">
      <c r="A535">
        <f>IF(J535="0",0,IF(COUNTIF($J$2:J535,J535)=1,1,0))</f>
        <v>0</v>
      </c>
      <c r="B535" s="12" t="e">
        <f>MID(MAIN!A540,K535,2)</f>
        <v>#VALUE!</v>
      </c>
      <c r="C535" s="12" t="e">
        <f t="shared" si="32"/>
        <v>#VALUE!</v>
      </c>
      <c r="D535" s="12" t="e">
        <f>MID(MAIN!A540,K535+2,2)</f>
        <v>#VALUE!</v>
      </c>
      <c r="E535" s="12" t="e">
        <f>MID(MAIN!A540,K535+4,2)</f>
        <v>#VALUE!</v>
      </c>
      <c r="F535" s="2" t="e">
        <f t="shared" si="33"/>
        <v>#VALUE!</v>
      </c>
      <c r="G535" s="13" t="e">
        <f t="shared" si="34"/>
        <v>#VALUE!</v>
      </c>
      <c r="J535" t="str">
        <f>MAIN!A540&amp;"B"</f>
        <v>B</v>
      </c>
      <c r="K535" s="12" t="e">
        <f t="shared" si="35"/>
        <v>#VALUE!</v>
      </c>
      <c r="L535" t="str">
        <f>MAIN!C540</f>
        <v/>
      </c>
    </row>
    <row r="536" spans="1:12" x14ac:dyDescent="0.3">
      <c r="A536">
        <f>IF(J536="0",0,IF(COUNTIF($J$2:J536,J536)=1,1,0))</f>
        <v>0</v>
      </c>
      <c r="B536" s="12" t="e">
        <f>MID(MAIN!A541,K536,2)</f>
        <v>#VALUE!</v>
      </c>
      <c r="C536" s="12" t="e">
        <f t="shared" si="32"/>
        <v>#VALUE!</v>
      </c>
      <c r="D536" s="12" t="e">
        <f>MID(MAIN!A541,K536+2,2)</f>
        <v>#VALUE!</v>
      </c>
      <c r="E536" s="12" t="e">
        <f>MID(MAIN!A541,K536+4,2)</f>
        <v>#VALUE!</v>
      </c>
      <c r="F536" s="2" t="e">
        <f t="shared" si="33"/>
        <v>#VALUE!</v>
      </c>
      <c r="G536" s="13" t="e">
        <f t="shared" si="34"/>
        <v>#VALUE!</v>
      </c>
      <c r="J536" t="str">
        <f>MAIN!A541&amp;"B"</f>
        <v>B</v>
      </c>
      <c r="K536" s="12" t="e">
        <f t="shared" si="35"/>
        <v>#VALUE!</v>
      </c>
      <c r="L536" t="str">
        <f>MAIN!C541</f>
        <v/>
      </c>
    </row>
    <row r="537" spans="1:12" x14ac:dyDescent="0.3">
      <c r="A537">
        <f>IF(J537="0",0,IF(COUNTIF($J$2:J537,J537)=1,1,0))</f>
        <v>0</v>
      </c>
      <c r="B537" s="12" t="e">
        <f>MID(MAIN!A542,K537,2)</f>
        <v>#VALUE!</v>
      </c>
      <c r="C537" s="12" t="e">
        <f t="shared" si="32"/>
        <v>#VALUE!</v>
      </c>
      <c r="D537" s="12" t="e">
        <f>MID(MAIN!A542,K537+2,2)</f>
        <v>#VALUE!</v>
      </c>
      <c r="E537" s="12" t="e">
        <f>MID(MAIN!A542,K537+4,2)</f>
        <v>#VALUE!</v>
      </c>
      <c r="F537" s="2" t="e">
        <f t="shared" si="33"/>
        <v>#VALUE!</v>
      </c>
      <c r="G537" s="13" t="e">
        <f t="shared" si="34"/>
        <v>#VALUE!</v>
      </c>
      <c r="J537" t="str">
        <f>MAIN!A542&amp;"B"</f>
        <v>B</v>
      </c>
      <c r="K537" s="12" t="e">
        <f t="shared" si="35"/>
        <v>#VALUE!</v>
      </c>
      <c r="L537" t="str">
        <f>MAIN!C542</f>
        <v/>
      </c>
    </row>
    <row r="538" spans="1:12" x14ac:dyDescent="0.3">
      <c r="A538">
        <f>IF(J538="0",0,IF(COUNTIF($J$2:J538,J538)=1,1,0))</f>
        <v>0</v>
      </c>
      <c r="B538" s="12" t="e">
        <f>MID(MAIN!A543,K538,2)</f>
        <v>#VALUE!</v>
      </c>
      <c r="C538" s="12" t="e">
        <f t="shared" si="32"/>
        <v>#VALUE!</v>
      </c>
      <c r="D538" s="12" t="e">
        <f>MID(MAIN!A543,K538+2,2)</f>
        <v>#VALUE!</v>
      </c>
      <c r="E538" s="12" t="e">
        <f>MID(MAIN!A543,K538+4,2)</f>
        <v>#VALUE!</v>
      </c>
      <c r="F538" s="2" t="e">
        <f t="shared" si="33"/>
        <v>#VALUE!</v>
      </c>
      <c r="G538" s="13" t="e">
        <f t="shared" si="34"/>
        <v>#VALUE!</v>
      </c>
      <c r="J538" t="str">
        <f>MAIN!A543&amp;"B"</f>
        <v>B</v>
      </c>
      <c r="K538" s="12" t="e">
        <f t="shared" si="35"/>
        <v>#VALUE!</v>
      </c>
      <c r="L538" t="str">
        <f>MAIN!C543</f>
        <v/>
      </c>
    </row>
    <row r="539" spans="1:12" x14ac:dyDescent="0.3">
      <c r="A539">
        <f>IF(J539="0",0,IF(COUNTIF($J$2:J539,J539)=1,1,0))</f>
        <v>0</v>
      </c>
      <c r="B539" s="12" t="e">
        <f>MID(MAIN!A544,K539,2)</f>
        <v>#VALUE!</v>
      </c>
      <c r="C539" s="12" t="e">
        <f t="shared" si="32"/>
        <v>#VALUE!</v>
      </c>
      <c r="D539" s="12" t="e">
        <f>MID(MAIN!A544,K539+2,2)</f>
        <v>#VALUE!</v>
      </c>
      <c r="E539" s="12" t="e">
        <f>MID(MAIN!A544,K539+4,2)</f>
        <v>#VALUE!</v>
      </c>
      <c r="F539" s="2" t="e">
        <f t="shared" si="33"/>
        <v>#VALUE!</v>
      </c>
      <c r="G539" s="13" t="e">
        <f t="shared" si="34"/>
        <v>#VALUE!</v>
      </c>
      <c r="J539" t="str">
        <f>MAIN!A544&amp;"B"</f>
        <v>B</v>
      </c>
      <c r="K539" s="12" t="e">
        <f t="shared" si="35"/>
        <v>#VALUE!</v>
      </c>
      <c r="L539" t="str">
        <f>MAIN!C544</f>
        <v/>
      </c>
    </row>
    <row r="540" spans="1:12" x14ac:dyDescent="0.3">
      <c r="A540">
        <f>IF(J540="0",0,IF(COUNTIF($J$2:J540,J540)=1,1,0))</f>
        <v>0</v>
      </c>
      <c r="B540" s="12" t="e">
        <f>MID(MAIN!A545,K540,2)</f>
        <v>#VALUE!</v>
      </c>
      <c r="C540" s="12" t="e">
        <f t="shared" si="32"/>
        <v>#VALUE!</v>
      </c>
      <c r="D540" s="12" t="e">
        <f>MID(MAIN!A545,K540+2,2)</f>
        <v>#VALUE!</v>
      </c>
      <c r="E540" s="12" t="e">
        <f>MID(MAIN!A545,K540+4,2)</f>
        <v>#VALUE!</v>
      </c>
      <c r="F540" s="2" t="e">
        <f t="shared" si="33"/>
        <v>#VALUE!</v>
      </c>
      <c r="G540" s="13" t="e">
        <f t="shared" si="34"/>
        <v>#VALUE!</v>
      </c>
      <c r="J540" t="str">
        <f>MAIN!A545&amp;"B"</f>
        <v>B</v>
      </c>
      <c r="K540" s="12" t="e">
        <f t="shared" si="35"/>
        <v>#VALUE!</v>
      </c>
      <c r="L540" t="str">
        <f>MAIN!C545</f>
        <v/>
      </c>
    </row>
    <row r="541" spans="1:12" x14ac:dyDescent="0.3">
      <c r="A541">
        <f>IF(J541="0",0,IF(COUNTIF($J$2:J541,J541)=1,1,0))</f>
        <v>0</v>
      </c>
      <c r="B541" s="12" t="e">
        <f>MID(MAIN!A546,K541,2)</f>
        <v>#VALUE!</v>
      </c>
      <c r="C541" s="12" t="e">
        <f t="shared" si="32"/>
        <v>#VALUE!</v>
      </c>
      <c r="D541" s="12" t="e">
        <f>MID(MAIN!A546,K541+2,2)</f>
        <v>#VALUE!</v>
      </c>
      <c r="E541" s="12" t="e">
        <f>MID(MAIN!A546,K541+4,2)</f>
        <v>#VALUE!</v>
      </c>
      <c r="F541" s="2" t="e">
        <f t="shared" si="33"/>
        <v>#VALUE!</v>
      </c>
      <c r="G541" s="13" t="e">
        <f t="shared" si="34"/>
        <v>#VALUE!</v>
      </c>
      <c r="J541" t="str">
        <f>MAIN!A546&amp;"B"</f>
        <v>B</v>
      </c>
      <c r="K541" s="12" t="e">
        <f t="shared" si="35"/>
        <v>#VALUE!</v>
      </c>
      <c r="L541" t="str">
        <f>MAIN!C546</f>
        <v/>
      </c>
    </row>
    <row r="542" spans="1:12" x14ac:dyDescent="0.3">
      <c r="A542">
        <f>IF(J542="0",0,IF(COUNTIF($J$2:J542,J542)=1,1,0))</f>
        <v>0</v>
      </c>
      <c r="B542" s="12" t="e">
        <f>MID(MAIN!A547,K542,2)</f>
        <v>#VALUE!</v>
      </c>
      <c r="C542" s="12" t="e">
        <f t="shared" si="32"/>
        <v>#VALUE!</v>
      </c>
      <c r="D542" s="12" t="e">
        <f>MID(MAIN!A547,K542+2,2)</f>
        <v>#VALUE!</v>
      </c>
      <c r="E542" s="12" t="e">
        <f>MID(MAIN!A547,K542+4,2)</f>
        <v>#VALUE!</v>
      </c>
      <c r="F542" s="2" t="e">
        <f t="shared" si="33"/>
        <v>#VALUE!</v>
      </c>
      <c r="G542" s="13" t="e">
        <f t="shared" si="34"/>
        <v>#VALUE!</v>
      </c>
      <c r="J542" t="str">
        <f>MAIN!A547&amp;"B"</f>
        <v>B</v>
      </c>
      <c r="K542" s="12" t="e">
        <f t="shared" si="35"/>
        <v>#VALUE!</v>
      </c>
      <c r="L542" t="str">
        <f>MAIN!C547</f>
        <v/>
      </c>
    </row>
    <row r="543" spans="1:12" x14ac:dyDescent="0.3">
      <c r="A543">
        <f>IF(J543="0",0,IF(COUNTIF($J$2:J543,J543)=1,1,0))</f>
        <v>0</v>
      </c>
      <c r="B543" s="12" t="e">
        <f>MID(MAIN!A548,K543,2)</f>
        <v>#VALUE!</v>
      </c>
      <c r="C543" s="12" t="e">
        <f t="shared" si="32"/>
        <v>#VALUE!</v>
      </c>
      <c r="D543" s="12" t="e">
        <f>MID(MAIN!A548,K543+2,2)</f>
        <v>#VALUE!</v>
      </c>
      <c r="E543" s="12" t="e">
        <f>MID(MAIN!A548,K543+4,2)</f>
        <v>#VALUE!</v>
      </c>
      <c r="F543" s="2" t="e">
        <f t="shared" si="33"/>
        <v>#VALUE!</v>
      </c>
      <c r="G543" s="13" t="e">
        <f t="shared" si="34"/>
        <v>#VALUE!</v>
      </c>
      <c r="J543" t="str">
        <f>MAIN!A548&amp;"B"</f>
        <v>B</v>
      </c>
      <c r="K543" s="12" t="e">
        <f t="shared" si="35"/>
        <v>#VALUE!</v>
      </c>
      <c r="L543" t="str">
        <f>MAIN!C548</f>
        <v/>
      </c>
    </row>
    <row r="544" spans="1:12" x14ac:dyDescent="0.3">
      <c r="A544">
        <f>IF(J544="0",0,IF(COUNTIF($J$2:J544,J544)=1,1,0))</f>
        <v>0</v>
      </c>
      <c r="B544" s="12" t="e">
        <f>MID(MAIN!A549,K544,2)</f>
        <v>#VALUE!</v>
      </c>
      <c r="C544" s="12" t="e">
        <f t="shared" si="32"/>
        <v>#VALUE!</v>
      </c>
      <c r="D544" s="12" t="e">
        <f>MID(MAIN!A549,K544+2,2)</f>
        <v>#VALUE!</v>
      </c>
      <c r="E544" s="12" t="e">
        <f>MID(MAIN!A549,K544+4,2)</f>
        <v>#VALUE!</v>
      </c>
      <c r="F544" s="2" t="e">
        <f t="shared" si="33"/>
        <v>#VALUE!</v>
      </c>
      <c r="G544" s="13" t="e">
        <f t="shared" si="34"/>
        <v>#VALUE!</v>
      </c>
      <c r="J544" t="str">
        <f>MAIN!A549&amp;"B"</f>
        <v>B</v>
      </c>
      <c r="K544" s="12" t="e">
        <f t="shared" si="35"/>
        <v>#VALUE!</v>
      </c>
      <c r="L544" t="str">
        <f>MAIN!C549</f>
        <v/>
      </c>
    </row>
    <row r="545" spans="1:12" x14ac:dyDescent="0.3">
      <c r="A545">
        <f>IF(J545="0",0,IF(COUNTIF($J$2:J545,J545)=1,1,0))</f>
        <v>0</v>
      </c>
      <c r="B545" s="12" t="e">
        <f>MID(MAIN!A550,K545,2)</f>
        <v>#VALUE!</v>
      </c>
      <c r="C545" s="12" t="e">
        <f t="shared" si="32"/>
        <v>#VALUE!</v>
      </c>
      <c r="D545" s="12" t="e">
        <f>MID(MAIN!A550,K545+2,2)</f>
        <v>#VALUE!</v>
      </c>
      <c r="E545" s="12" t="e">
        <f>MID(MAIN!A550,K545+4,2)</f>
        <v>#VALUE!</v>
      </c>
      <c r="F545" s="2" t="e">
        <f t="shared" si="33"/>
        <v>#VALUE!</v>
      </c>
      <c r="G545" s="13" t="e">
        <f t="shared" si="34"/>
        <v>#VALUE!</v>
      </c>
      <c r="J545" t="str">
        <f>MAIN!A550&amp;"B"</f>
        <v>B</v>
      </c>
      <c r="K545" s="12" t="e">
        <f t="shared" si="35"/>
        <v>#VALUE!</v>
      </c>
      <c r="L545" t="str">
        <f>MAIN!C550</f>
        <v/>
      </c>
    </row>
    <row r="546" spans="1:12" x14ac:dyDescent="0.3">
      <c r="A546">
        <f>IF(J546="0",0,IF(COUNTIF($J$2:J546,J546)=1,1,0))</f>
        <v>0</v>
      </c>
      <c r="B546" s="12" t="e">
        <f>MID(MAIN!A551,K546,2)</f>
        <v>#VALUE!</v>
      </c>
      <c r="C546" s="12" t="e">
        <f t="shared" si="32"/>
        <v>#VALUE!</v>
      </c>
      <c r="D546" s="12" t="e">
        <f>MID(MAIN!A551,K546+2,2)</f>
        <v>#VALUE!</v>
      </c>
      <c r="E546" s="12" t="e">
        <f>MID(MAIN!A551,K546+4,2)</f>
        <v>#VALUE!</v>
      </c>
      <c r="F546" s="2" t="e">
        <f t="shared" si="33"/>
        <v>#VALUE!</v>
      </c>
      <c r="G546" s="13" t="e">
        <f t="shared" si="34"/>
        <v>#VALUE!</v>
      </c>
      <c r="J546" t="str">
        <f>MAIN!A551&amp;"B"</f>
        <v>B</v>
      </c>
      <c r="K546" s="12" t="e">
        <f t="shared" si="35"/>
        <v>#VALUE!</v>
      </c>
      <c r="L546" t="str">
        <f>MAIN!C551</f>
        <v/>
      </c>
    </row>
    <row r="547" spans="1:12" x14ac:dyDescent="0.3">
      <c r="A547">
        <f>IF(J547="0",0,IF(COUNTIF($J$2:J547,J547)=1,1,0))</f>
        <v>0</v>
      </c>
      <c r="B547" s="12" t="e">
        <f>MID(MAIN!A552,K547,2)</f>
        <v>#VALUE!</v>
      </c>
      <c r="C547" s="12" t="e">
        <f t="shared" si="32"/>
        <v>#VALUE!</v>
      </c>
      <c r="D547" s="12" t="e">
        <f>MID(MAIN!A552,K547+2,2)</f>
        <v>#VALUE!</v>
      </c>
      <c r="E547" s="12" t="e">
        <f>MID(MAIN!A552,K547+4,2)</f>
        <v>#VALUE!</v>
      </c>
      <c r="F547" s="2" t="e">
        <f t="shared" si="33"/>
        <v>#VALUE!</v>
      </c>
      <c r="G547" s="13" t="e">
        <f t="shared" si="34"/>
        <v>#VALUE!</v>
      </c>
      <c r="J547" t="str">
        <f>MAIN!A552&amp;"B"</f>
        <v>B</v>
      </c>
      <c r="K547" s="12" t="e">
        <f t="shared" si="35"/>
        <v>#VALUE!</v>
      </c>
      <c r="L547" t="str">
        <f>MAIN!C552</f>
        <v/>
      </c>
    </row>
    <row r="548" spans="1:12" x14ac:dyDescent="0.3">
      <c r="A548">
        <f>IF(J548="0",0,IF(COUNTIF($J$2:J548,J548)=1,1,0))</f>
        <v>0</v>
      </c>
      <c r="B548" s="12" t="e">
        <f>MID(MAIN!A553,K548,2)</f>
        <v>#VALUE!</v>
      </c>
      <c r="C548" s="12" t="e">
        <f t="shared" si="32"/>
        <v>#VALUE!</v>
      </c>
      <c r="D548" s="12" t="e">
        <f>MID(MAIN!A553,K548+2,2)</f>
        <v>#VALUE!</v>
      </c>
      <c r="E548" s="12" t="e">
        <f>MID(MAIN!A553,K548+4,2)</f>
        <v>#VALUE!</v>
      </c>
      <c r="F548" s="2" t="e">
        <f t="shared" si="33"/>
        <v>#VALUE!</v>
      </c>
      <c r="G548" s="13" t="e">
        <f t="shared" si="34"/>
        <v>#VALUE!</v>
      </c>
      <c r="J548" t="str">
        <f>MAIN!A553&amp;"B"</f>
        <v>B</v>
      </c>
      <c r="K548" s="12" t="e">
        <f t="shared" si="35"/>
        <v>#VALUE!</v>
      </c>
      <c r="L548" t="str">
        <f>MAIN!C553</f>
        <v/>
      </c>
    </row>
    <row r="549" spans="1:12" x14ac:dyDescent="0.3">
      <c r="A549">
        <f>IF(J549="0",0,IF(COUNTIF($J$2:J549,J549)=1,1,0))</f>
        <v>0</v>
      </c>
      <c r="B549" s="12" t="e">
        <f>MID(MAIN!A554,K549,2)</f>
        <v>#VALUE!</v>
      </c>
      <c r="C549" s="12" t="e">
        <f t="shared" si="32"/>
        <v>#VALUE!</v>
      </c>
      <c r="D549" s="12" t="e">
        <f>MID(MAIN!A554,K549+2,2)</f>
        <v>#VALUE!</v>
      </c>
      <c r="E549" s="12" t="e">
        <f>MID(MAIN!A554,K549+4,2)</f>
        <v>#VALUE!</v>
      </c>
      <c r="F549" s="2" t="e">
        <f t="shared" si="33"/>
        <v>#VALUE!</v>
      </c>
      <c r="G549" s="13" t="e">
        <f t="shared" si="34"/>
        <v>#VALUE!</v>
      </c>
      <c r="J549" t="str">
        <f>MAIN!A554&amp;"B"</f>
        <v>B</v>
      </c>
      <c r="K549" s="12" t="e">
        <f t="shared" si="35"/>
        <v>#VALUE!</v>
      </c>
      <c r="L549" t="str">
        <f>MAIN!C554</f>
        <v/>
      </c>
    </row>
    <row r="550" spans="1:12" x14ac:dyDescent="0.3">
      <c r="A550">
        <f>IF(J550="0",0,IF(COUNTIF($J$2:J550,J550)=1,1,0))</f>
        <v>0</v>
      </c>
      <c r="B550" s="12" t="e">
        <f>MID(MAIN!A555,K550,2)</f>
        <v>#VALUE!</v>
      </c>
      <c r="C550" s="12" t="e">
        <f t="shared" si="32"/>
        <v>#VALUE!</v>
      </c>
      <c r="D550" s="12" t="e">
        <f>MID(MAIN!A555,K550+2,2)</f>
        <v>#VALUE!</v>
      </c>
      <c r="E550" s="12" t="e">
        <f>MID(MAIN!A555,K550+4,2)</f>
        <v>#VALUE!</v>
      </c>
      <c r="F550" s="2" t="e">
        <f t="shared" si="33"/>
        <v>#VALUE!</v>
      </c>
      <c r="G550" s="13" t="e">
        <f t="shared" si="34"/>
        <v>#VALUE!</v>
      </c>
      <c r="J550" t="str">
        <f>MAIN!A555&amp;"B"</f>
        <v>B</v>
      </c>
      <c r="K550" s="12" t="e">
        <f t="shared" si="35"/>
        <v>#VALUE!</v>
      </c>
      <c r="L550" t="str">
        <f>MAIN!C555</f>
        <v/>
      </c>
    </row>
    <row r="551" spans="1:12" x14ac:dyDescent="0.3">
      <c r="A551">
        <f>IF(J551="0",0,IF(COUNTIF($J$2:J551,J551)=1,1,0))</f>
        <v>0</v>
      </c>
      <c r="B551" s="12" t="e">
        <f>MID(MAIN!A556,K551,2)</f>
        <v>#VALUE!</v>
      </c>
      <c r="C551" s="12" t="e">
        <f t="shared" si="32"/>
        <v>#VALUE!</v>
      </c>
      <c r="D551" s="12" t="e">
        <f>MID(MAIN!A556,K551+2,2)</f>
        <v>#VALUE!</v>
      </c>
      <c r="E551" s="12" t="e">
        <f>MID(MAIN!A556,K551+4,2)</f>
        <v>#VALUE!</v>
      </c>
      <c r="F551" s="2" t="e">
        <f t="shared" si="33"/>
        <v>#VALUE!</v>
      </c>
      <c r="G551" s="13" t="e">
        <f t="shared" si="34"/>
        <v>#VALUE!</v>
      </c>
      <c r="J551" t="str">
        <f>MAIN!A556&amp;"B"</f>
        <v>B</v>
      </c>
      <c r="K551" s="12" t="e">
        <f t="shared" si="35"/>
        <v>#VALUE!</v>
      </c>
      <c r="L551" t="str">
        <f>MAIN!C556</f>
        <v/>
      </c>
    </row>
    <row r="552" spans="1:12" x14ac:dyDescent="0.3">
      <c r="A552">
        <f>IF(J552="0",0,IF(COUNTIF($J$2:J552,J552)=1,1,0))</f>
        <v>0</v>
      </c>
      <c r="B552" s="12" t="e">
        <f>MID(MAIN!A557,K552,2)</f>
        <v>#VALUE!</v>
      </c>
      <c r="C552" s="12" t="e">
        <f t="shared" si="32"/>
        <v>#VALUE!</v>
      </c>
      <c r="D552" s="12" t="e">
        <f>MID(MAIN!A557,K552+2,2)</f>
        <v>#VALUE!</v>
      </c>
      <c r="E552" s="12" t="e">
        <f>MID(MAIN!A557,K552+4,2)</f>
        <v>#VALUE!</v>
      </c>
      <c r="F552" s="2" t="e">
        <f t="shared" si="33"/>
        <v>#VALUE!</v>
      </c>
      <c r="G552" s="13" t="e">
        <f t="shared" si="34"/>
        <v>#VALUE!</v>
      </c>
      <c r="J552" t="str">
        <f>MAIN!A557&amp;"B"</f>
        <v>B</v>
      </c>
      <c r="K552" s="12" t="e">
        <f t="shared" si="35"/>
        <v>#VALUE!</v>
      </c>
      <c r="L552" t="str">
        <f>MAIN!C557</f>
        <v/>
      </c>
    </row>
    <row r="553" spans="1:12" x14ac:dyDescent="0.3">
      <c r="A553">
        <f>IF(J553="0",0,IF(COUNTIF($J$2:J553,J553)=1,1,0))</f>
        <v>0</v>
      </c>
      <c r="B553" s="12" t="e">
        <f>MID(MAIN!A558,K553,2)</f>
        <v>#VALUE!</v>
      </c>
      <c r="C553" s="12" t="e">
        <f t="shared" si="32"/>
        <v>#VALUE!</v>
      </c>
      <c r="D553" s="12" t="e">
        <f>MID(MAIN!A558,K553+2,2)</f>
        <v>#VALUE!</v>
      </c>
      <c r="E553" s="12" t="e">
        <f>MID(MAIN!A558,K553+4,2)</f>
        <v>#VALUE!</v>
      </c>
      <c r="F553" s="2" t="e">
        <f t="shared" si="33"/>
        <v>#VALUE!</v>
      </c>
      <c r="G553" s="13" t="e">
        <f t="shared" si="34"/>
        <v>#VALUE!</v>
      </c>
      <c r="J553" t="str">
        <f>MAIN!A558&amp;"B"</f>
        <v>B</v>
      </c>
      <c r="K553" s="12" t="e">
        <f t="shared" si="35"/>
        <v>#VALUE!</v>
      </c>
      <c r="L553" t="str">
        <f>MAIN!C558</f>
        <v/>
      </c>
    </row>
    <row r="554" spans="1:12" x14ac:dyDescent="0.3">
      <c r="A554">
        <f>IF(J554="0",0,IF(COUNTIF($J$2:J554,J554)=1,1,0))</f>
        <v>0</v>
      </c>
      <c r="B554" s="12" t="e">
        <f>MID(MAIN!A559,K554,2)</f>
        <v>#VALUE!</v>
      </c>
      <c r="C554" s="12" t="e">
        <f t="shared" si="32"/>
        <v>#VALUE!</v>
      </c>
      <c r="D554" s="12" t="e">
        <f>MID(MAIN!A559,K554+2,2)</f>
        <v>#VALUE!</v>
      </c>
      <c r="E554" s="12" t="e">
        <f>MID(MAIN!A559,K554+4,2)</f>
        <v>#VALUE!</v>
      </c>
      <c r="F554" s="2" t="e">
        <f t="shared" si="33"/>
        <v>#VALUE!</v>
      </c>
      <c r="G554" s="13" t="e">
        <f t="shared" si="34"/>
        <v>#VALUE!</v>
      </c>
      <c r="J554" t="str">
        <f>MAIN!A559&amp;"B"</f>
        <v>B</v>
      </c>
      <c r="K554" s="12" t="e">
        <f t="shared" si="35"/>
        <v>#VALUE!</v>
      </c>
      <c r="L554" t="str">
        <f>MAIN!C559</f>
        <v/>
      </c>
    </row>
    <row r="555" spans="1:12" x14ac:dyDescent="0.3">
      <c r="A555">
        <f>IF(J555="0",0,IF(COUNTIF($J$2:J555,J555)=1,1,0))</f>
        <v>0</v>
      </c>
      <c r="B555" s="12" t="e">
        <f>MID(MAIN!A560,K555,2)</f>
        <v>#VALUE!</v>
      </c>
      <c r="C555" s="12" t="e">
        <f t="shared" si="32"/>
        <v>#VALUE!</v>
      </c>
      <c r="D555" s="12" t="e">
        <f>MID(MAIN!A560,K555+2,2)</f>
        <v>#VALUE!</v>
      </c>
      <c r="E555" s="12" t="e">
        <f>MID(MAIN!A560,K555+4,2)</f>
        <v>#VALUE!</v>
      </c>
      <c r="F555" s="2" t="e">
        <f t="shared" si="33"/>
        <v>#VALUE!</v>
      </c>
      <c r="G555" s="13" t="e">
        <f t="shared" si="34"/>
        <v>#VALUE!</v>
      </c>
      <c r="J555" t="str">
        <f>MAIN!A560&amp;"B"</f>
        <v>B</v>
      </c>
      <c r="K555" s="12" t="e">
        <f t="shared" si="35"/>
        <v>#VALUE!</v>
      </c>
      <c r="L555" t="str">
        <f>MAIN!C560</f>
        <v/>
      </c>
    </row>
    <row r="556" spans="1:12" x14ac:dyDescent="0.3">
      <c r="A556">
        <f>IF(J556="0",0,IF(COUNTIF($J$2:J556,J556)=1,1,0))</f>
        <v>0</v>
      </c>
      <c r="B556" s="12" t="e">
        <f>MID(MAIN!A561,K556,2)</f>
        <v>#VALUE!</v>
      </c>
      <c r="C556" s="12" t="e">
        <f t="shared" si="32"/>
        <v>#VALUE!</v>
      </c>
      <c r="D556" s="12" t="e">
        <f>MID(MAIN!A561,K556+2,2)</f>
        <v>#VALUE!</v>
      </c>
      <c r="E556" s="12" t="e">
        <f>MID(MAIN!A561,K556+4,2)</f>
        <v>#VALUE!</v>
      </c>
      <c r="F556" s="2" t="e">
        <f t="shared" si="33"/>
        <v>#VALUE!</v>
      </c>
      <c r="G556" s="13" t="e">
        <f t="shared" si="34"/>
        <v>#VALUE!</v>
      </c>
      <c r="J556" t="str">
        <f>MAIN!A561&amp;"B"</f>
        <v>B</v>
      </c>
      <c r="K556" s="12" t="e">
        <f t="shared" si="35"/>
        <v>#VALUE!</v>
      </c>
      <c r="L556" t="str">
        <f>MAIN!C561</f>
        <v/>
      </c>
    </row>
    <row r="557" spans="1:12" x14ac:dyDescent="0.3">
      <c r="A557">
        <f>IF(J557="0",0,IF(COUNTIF($J$2:J557,J557)=1,1,0))</f>
        <v>0</v>
      </c>
      <c r="B557" s="12" t="e">
        <f>MID(MAIN!A562,K557,2)</f>
        <v>#VALUE!</v>
      </c>
      <c r="C557" s="12" t="e">
        <f t="shared" si="32"/>
        <v>#VALUE!</v>
      </c>
      <c r="D557" s="12" t="e">
        <f>MID(MAIN!A562,K557+2,2)</f>
        <v>#VALUE!</v>
      </c>
      <c r="E557" s="12" t="e">
        <f>MID(MAIN!A562,K557+4,2)</f>
        <v>#VALUE!</v>
      </c>
      <c r="F557" s="2" t="e">
        <f t="shared" si="33"/>
        <v>#VALUE!</v>
      </c>
      <c r="G557" s="13" t="e">
        <f t="shared" si="34"/>
        <v>#VALUE!</v>
      </c>
      <c r="J557" t="str">
        <f>MAIN!A562&amp;"B"</f>
        <v>B</v>
      </c>
      <c r="K557" s="12" t="e">
        <f t="shared" si="35"/>
        <v>#VALUE!</v>
      </c>
      <c r="L557" t="str">
        <f>MAIN!C562</f>
        <v/>
      </c>
    </row>
    <row r="558" spans="1:12" x14ac:dyDescent="0.3">
      <c r="A558">
        <f>IF(J558="0",0,IF(COUNTIF($J$2:J558,J558)=1,1,0))</f>
        <v>0</v>
      </c>
      <c r="B558" s="12" t="e">
        <f>MID(MAIN!A563,K558,2)</f>
        <v>#VALUE!</v>
      </c>
      <c r="C558" s="12" t="e">
        <f t="shared" si="32"/>
        <v>#VALUE!</v>
      </c>
      <c r="D558" s="12" t="e">
        <f>MID(MAIN!A563,K558+2,2)</f>
        <v>#VALUE!</v>
      </c>
      <c r="E558" s="12" t="e">
        <f>MID(MAIN!A563,K558+4,2)</f>
        <v>#VALUE!</v>
      </c>
      <c r="F558" s="2" t="e">
        <f t="shared" si="33"/>
        <v>#VALUE!</v>
      </c>
      <c r="G558" s="13" t="e">
        <f t="shared" si="34"/>
        <v>#VALUE!</v>
      </c>
      <c r="J558" t="str">
        <f>MAIN!A563&amp;"B"</f>
        <v>B</v>
      </c>
      <c r="K558" s="12" t="e">
        <f t="shared" si="35"/>
        <v>#VALUE!</v>
      </c>
      <c r="L558" t="str">
        <f>MAIN!C563</f>
        <v/>
      </c>
    </row>
    <row r="559" spans="1:12" x14ac:dyDescent="0.3">
      <c r="A559">
        <f>IF(J559="0",0,IF(COUNTIF($J$2:J559,J559)=1,1,0))</f>
        <v>0</v>
      </c>
      <c r="B559" s="12" t="e">
        <f>MID(MAIN!A564,K559,2)</f>
        <v>#VALUE!</v>
      </c>
      <c r="C559" s="12" t="e">
        <f t="shared" si="32"/>
        <v>#VALUE!</v>
      </c>
      <c r="D559" s="12" t="e">
        <f>MID(MAIN!A564,K559+2,2)</f>
        <v>#VALUE!</v>
      </c>
      <c r="E559" s="12" t="e">
        <f>MID(MAIN!A564,K559+4,2)</f>
        <v>#VALUE!</v>
      </c>
      <c r="F559" s="2" t="e">
        <f t="shared" si="33"/>
        <v>#VALUE!</v>
      </c>
      <c r="G559" s="13" t="e">
        <f t="shared" si="34"/>
        <v>#VALUE!</v>
      </c>
      <c r="J559" t="str">
        <f>MAIN!A564&amp;"B"</f>
        <v>B</v>
      </c>
      <c r="K559" s="12" t="e">
        <f t="shared" si="35"/>
        <v>#VALUE!</v>
      </c>
      <c r="L559" t="str">
        <f>MAIN!C564</f>
        <v/>
      </c>
    </row>
    <row r="560" spans="1:12" x14ac:dyDescent="0.3">
      <c r="A560">
        <f>IF(J560="0",0,IF(COUNTIF($J$2:J560,J560)=1,1,0))</f>
        <v>0</v>
      </c>
      <c r="B560" s="12" t="e">
        <f>MID(MAIN!A565,K560,2)</f>
        <v>#VALUE!</v>
      </c>
      <c r="C560" s="12" t="e">
        <f t="shared" si="32"/>
        <v>#VALUE!</v>
      </c>
      <c r="D560" s="12" t="e">
        <f>MID(MAIN!A565,K560+2,2)</f>
        <v>#VALUE!</v>
      </c>
      <c r="E560" s="12" t="e">
        <f>MID(MAIN!A565,K560+4,2)</f>
        <v>#VALUE!</v>
      </c>
      <c r="F560" s="2" t="e">
        <f t="shared" si="33"/>
        <v>#VALUE!</v>
      </c>
      <c r="G560" s="13" t="e">
        <f t="shared" si="34"/>
        <v>#VALUE!</v>
      </c>
      <c r="J560" t="str">
        <f>MAIN!A565&amp;"B"</f>
        <v>B</v>
      </c>
      <c r="K560" s="12" t="e">
        <f t="shared" si="35"/>
        <v>#VALUE!</v>
      </c>
      <c r="L560" t="str">
        <f>MAIN!C565</f>
        <v/>
      </c>
    </row>
    <row r="561" spans="1:12" x14ac:dyDescent="0.3">
      <c r="A561">
        <f>IF(J561="0",0,IF(COUNTIF($J$2:J561,J561)=1,1,0))</f>
        <v>0</v>
      </c>
      <c r="B561" s="12" t="e">
        <f>MID(MAIN!A566,K561,2)</f>
        <v>#VALUE!</v>
      </c>
      <c r="C561" s="12" t="e">
        <f t="shared" si="32"/>
        <v>#VALUE!</v>
      </c>
      <c r="D561" s="12" t="e">
        <f>MID(MAIN!A566,K561+2,2)</f>
        <v>#VALUE!</v>
      </c>
      <c r="E561" s="12" t="e">
        <f>MID(MAIN!A566,K561+4,2)</f>
        <v>#VALUE!</v>
      </c>
      <c r="F561" s="2" t="e">
        <f t="shared" si="33"/>
        <v>#VALUE!</v>
      </c>
      <c r="G561" s="13" t="e">
        <f t="shared" si="34"/>
        <v>#VALUE!</v>
      </c>
      <c r="J561" t="str">
        <f>MAIN!A566&amp;"B"</f>
        <v>B</v>
      </c>
      <c r="K561" s="12" t="e">
        <f t="shared" si="35"/>
        <v>#VALUE!</v>
      </c>
      <c r="L561" t="str">
        <f>MAIN!C566</f>
        <v/>
      </c>
    </row>
    <row r="562" spans="1:12" x14ac:dyDescent="0.3">
      <c r="A562">
        <f>IF(J562="0",0,IF(COUNTIF($J$2:J562,J562)=1,1,0))</f>
        <v>0</v>
      </c>
      <c r="B562" s="12" t="e">
        <f>MID(MAIN!A567,K562,2)</f>
        <v>#VALUE!</v>
      </c>
      <c r="C562" s="12" t="e">
        <f t="shared" si="32"/>
        <v>#VALUE!</v>
      </c>
      <c r="D562" s="12" t="e">
        <f>MID(MAIN!A567,K562+2,2)</f>
        <v>#VALUE!</v>
      </c>
      <c r="E562" s="12" t="e">
        <f>MID(MAIN!A567,K562+4,2)</f>
        <v>#VALUE!</v>
      </c>
      <c r="F562" s="2" t="e">
        <f t="shared" si="33"/>
        <v>#VALUE!</v>
      </c>
      <c r="G562" s="13" t="e">
        <f t="shared" si="34"/>
        <v>#VALUE!</v>
      </c>
      <c r="J562" t="str">
        <f>MAIN!A567&amp;"B"</f>
        <v>B</v>
      </c>
      <c r="K562" s="12" t="e">
        <f t="shared" si="35"/>
        <v>#VALUE!</v>
      </c>
      <c r="L562" t="str">
        <f>MAIN!C567</f>
        <v/>
      </c>
    </row>
    <row r="563" spans="1:12" x14ac:dyDescent="0.3">
      <c r="A563">
        <f>IF(J563="0",0,IF(COUNTIF($J$2:J563,J563)=1,1,0))</f>
        <v>0</v>
      </c>
      <c r="B563" s="12" t="e">
        <f>MID(MAIN!A568,K563,2)</f>
        <v>#VALUE!</v>
      </c>
      <c r="C563" s="12" t="e">
        <f t="shared" si="32"/>
        <v>#VALUE!</v>
      </c>
      <c r="D563" s="12" t="e">
        <f>MID(MAIN!A568,K563+2,2)</f>
        <v>#VALUE!</v>
      </c>
      <c r="E563" s="12" t="e">
        <f>MID(MAIN!A568,K563+4,2)</f>
        <v>#VALUE!</v>
      </c>
      <c r="F563" s="2" t="e">
        <f t="shared" si="33"/>
        <v>#VALUE!</v>
      </c>
      <c r="G563" s="13" t="e">
        <f t="shared" si="34"/>
        <v>#VALUE!</v>
      </c>
      <c r="J563" t="str">
        <f>MAIN!A568&amp;"B"</f>
        <v>B</v>
      </c>
      <c r="K563" s="12" t="e">
        <f t="shared" si="35"/>
        <v>#VALUE!</v>
      </c>
      <c r="L563" t="str">
        <f>MAIN!C568</f>
        <v/>
      </c>
    </row>
    <row r="564" spans="1:12" x14ac:dyDescent="0.3">
      <c r="A564">
        <f>IF(J564="0",0,IF(COUNTIF($J$2:J564,J564)=1,1,0))</f>
        <v>0</v>
      </c>
      <c r="B564" s="12" t="e">
        <f>MID(MAIN!A569,K564,2)</f>
        <v>#VALUE!</v>
      </c>
      <c r="C564" s="12" t="e">
        <f t="shared" si="32"/>
        <v>#VALUE!</v>
      </c>
      <c r="D564" s="12" t="e">
        <f>MID(MAIN!A569,K564+2,2)</f>
        <v>#VALUE!</v>
      </c>
      <c r="E564" s="12" t="e">
        <f>MID(MAIN!A569,K564+4,2)</f>
        <v>#VALUE!</v>
      </c>
      <c r="F564" s="2" t="e">
        <f t="shared" si="33"/>
        <v>#VALUE!</v>
      </c>
      <c r="G564" s="13" t="e">
        <f t="shared" si="34"/>
        <v>#VALUE!</v>
      </c>
      <c r="J564" t="str">
        <f>MAIN!A569&amp;"B"</f>
        <v>B</v>
      </c>
      <c r="K564" s="12" t="e">
        <f t="shared" si="35"/>
        <v>#VALUE!</v>
      </c>
      <c r="L564" t="str">
        <f>MAIN!C569</f>
        <v/>
      </c>
    </row>
    <row r="565" spans="1:12" x14ac:dyDescent="0.3">
      <c r="A565">
        <f>IF(J565="0",0,IF(COUNTIF($J$2:J565,J565)=1,1,0))</f>
        <v>0</v>
      </c>
      <c r="B565" s="12" t="e">
        <f>MID(MAIN!A570,K565,2)</f>
        <v>#VALUE!</v>
      </c>
      <c r="C565" s="12" t="e">
        <f t="shared" si="32"/>
        <v>#VALUE!</v>
      </c>
      <c r="D565" s="12" t="e">
        <f>MID(MAIN!A570,K565+2,2)</f>
        <v>#VALUE!</v>
      </c>
      <c r="E565" s="12" t="e">
        <f>MID(MAIN!A570,K565+4,2)</f>
        <v>#VALUE!</v>
      </c>
      <c r="F565" s="2" t="e">
        <f t="shared" si="33"/>
        <v>#VALUE!</v>
      </c>
      <c r="G565" s="13" t="e">
        <f t="shared" si="34"/>
        <v>#VALUE!</v>
      </c>
      <c r="J565" t="str">
        <f>MAIN!A570&amp;"B"</f>
        <v>B</v>
      </c>
      <c r="K565" s="12" t="e">
        <f t="shared" si="35"/>
        <v>#VALUE!</v>
      </c>
      <c r="L565" t="str">
        <f>MAIN!C570</f>
        <v/>
      </c>
    </row>
    <row r="566" spans="1:12" x14ac:dyDescent="0.3">
      <c r="A566">
        <f>IF(J566="0",0,IF(COUNTIF($J$2:J566,J566)=1,1,0))</f>
        <v>0</v>
      </c>
      <c r="B566" s="12" t="e">
        <f>MID(MAIN!A571,K566,2)</f>
        <v>#VALUE!</v>
      </c>
      <c r="C566" s="12" t="e">
        <f t="shared" si="32"/>
        <v>#VALUE!</v>
      </c>
      <c r="D566" s="12" t="e">
        <f>MID(MAIN!A571,K566+2,2)</f>
        <v>#VALUE!</v>
      </c>
      <c r="E566" s="12" t="e">
        <f>MID(MAIN!A571,K566+4,2)</f>
        <v>#VALUE!</v>
      </c>
      <c r="F566" s="2" t="e">
        <f t="shared" si="33"/>
        <v>#VALUE!</v>
      </c>
      <c r="G566" s="13" t="e">
        <f t="shared" si="34"/>
        <v>#VALUE!</v>
      </c>
      <c r="J566" t="str">
        <f>MAIN!A571&amp;"B"</f>
        <v>B</v>
      </c>
      <c r="K566" s="12" t="e">
        <f t="shared" si="35"/>
        <v>#VALUE!</v>
      </c>
      <c r="L566" t="str">
        <f>MAIN!C571</f>
        <v/>
      </c>
    </row>
    <row r="567" spans="1:12" x14ac:dyDescent="0.3">
      <c r="A567">
        <f>IF(J567="0",0,IF(COUNTIF($J$2:J567,J567)=1,1,0))</f>
        <v>0</v>
      </c>
      <c r="B567" s="12" t="e">
        <f>MID(MAIN!A572,K567,2)</f>
        <v>#VALUE!</v>
      </c>
      <c r="C567" s="12" t="e">
        <f t="shared" si="32"/>
        <v>#VALUE!</v>
      </c>
      <c r="D567" s="12" t="e">
        <f>MID(MAIN!A572,K567+2,2)</f>
        <v>#VALUE!</v>
      </c>
      <c r="E567" s="12" t="e">
        <f>MID(MAIN!A572,K567+4,2)</f>
        <v>#VALUE!</v>
      </c>
      <c r="F567" s="2" t="e">
        <f t="shared" si="33"/>
        <v>#VALUE!</v>
      </c>
      <c r="G567" s="13" t="e">
        <f t="shared" si="34"/>
        <v>#VALUE!</v>
      </c>
      <c r="J567" t="str">
        <f>MAIN!A572&amp;"B"</f>
        <v>B</v>
      </c>
      <c r="K567" s="12" t="e">
        <f t="shared" si="35"/>
        <v>#VALUE!</v>
      </c>
      <c r="L567" t="str">
        <f>MAIN!C572</f>
        <v/>
      </c>
    </row>
    <row r="568" spans="1:12" x14ac:dyDescent="0.3">
      <c r="A568">
        <f>IF(J568="0",0,IF(COUNTIF($J$2:J568,J568)=1,1,0))</f>
        <v>0</v>
      </c>
      <c r="B568" s="12" t="e">
        <f>MID(MAIN!A573,K568,2)</f>
        <v>#VALUE!</v>
      </c>
      <c r="C568" s="12" t="e">
        <f t="shared" si="32"/>
        <v>#VALUE!</v>
      </c>
      <c r="D568" s="12" t="e">
        <f>MID(MAIN!A573,K568+2,2)</f>
        <v>#VALUE!</v>
      </c>
      <c r="E568" s="12" t="e">
        <f>MID(MAIN!A573,K568+4,2)</f>
        <v>#VALUE!</v>
      </c>
      <c r="F568" s="2" t="e">
        <f t="shared" si="33"/>
        <v>#VALUE!</v>
      </c>
      <c r="G568" s="13" t="e">
        <f t="shared" si="34"/>
        <v>#VALUE!</v>
      </c>
      <c r="J568" t="str">
        <f>MAIN!A573&amp;"B"</f>
        <v>B</v>
      </c>
      <c r="K568" s="12" t="e">
        <f t="shared" si="35"/>
        <v>#VALUE!</v>
      </c>
      <c r="L568" t="str">
        <f>MAIN!C573</f>
        <v/>
      </c>
    </row>
    <row r="569" spans="1:12" x14ac:dyDescent="0.3">
      <c r="A569">
        <f>IF(J569="0",0,IF(COUNTIF($J$2:J569,J569)=1,1,0))</f>
        <v>0</v>
      </c>
      <c r="B569" s="12" t="e">
        <f>MID(MAIN!A574,K569,2)</f>
        <v>#VALUE!</v>
      </c>
      <c r="C569" s="12" t="e">
        <f t="shared" si="32"/>
        <v>#VALUE!</v>
      </c>
      <c r="D569" s="12" t="e">
        <f>MID(MAIN!A574,K569+2,2)</f>
        <v>#VALUE!</v>
      </c>
      <c r="E569" s="12" t="e">
        <f>MID(MAIN!A574,K569+4,2)</f>
        <v>#VALUE!</v>
      </c>
      <c r="F569" s="2" t="e">
        <f t="shared" si="33"/>
        <v>#VALUE!</v>
      </c>
      <c r="G569" s="13" t="e">
        <f t="shared" si="34"/>
        <v>#VALUE!</v>
      </c>
      <c r="J569" t="str">
        <f>MAIN!A574&amp;"B"</f>
        <v>B</v>
      </c>
      <c r="K569" s="12" t="e">
        <f t="shared" si="35"/>
        <v>#VALUE!</v>
      </c>
      <c r="L569" t="str">
        <f>MAIN!C574</f>
        <v/>
      </c>
    </row>
    <row r="570" spans="1:12" x14ac:dyDescent="0.3">
      <c r="A570">
        <f>IF(J570="0",0,IF(COUNTIF($J$2:J570,J570)=1,1,0))</f>
        <v>0</v>
      </c>
      <c r="B570" s="12" t="e">
        <f>MID(MAIN!A575,K570,2)</f>
        <v>#VALUE!</v>
      </c>
      <c r="C570" s="12" t="e">
        <f t="shared" si="32"/>
        <v>#VALUE!</v>
      </c>
      <c r="D570" s="12" t="e">
        <f>MID(MAIN!A575,K570+2,2)</f>
        <v>#VALUE!</v>
      </c>
      <c r="E570" s="12" t="e">
        <f>MID(MAIN!A575,K570+4,2)</f>
        <v>#VALUE!</v>
      </c>
      <c r="F570" s="2" t="e">
        <f t="shared" si="33"/>
        <v>#VALUE!</v>
      </c>
      <c r="G570" s="13" t="e">
        <f t="shared" si="34"/>
        <v>#VALUE!</v>
      </c>
      <c r="J570" t="str">
        <f>MAIN!A575&amp;"B"</f>
        <v>B</v>
      </c>
      <c r="K570" s="12" t="e">
        <f t="shared" si="35"/>
        <v>#VALUE!</v>
      </c>
      <c r="L570" t="str">
        <f>MAIN!C575</f>
        <v/>
      </c>
    </row>
    <row r="571" spans="1:12" x14ac:dyDescent="0.3">
      <c r="A571">
        <f>IF(J571="0",0,IF(COUNTIF($J$2:J571,J571)=1,1,0))</f>
        <v>0</v>
      </c>
      <c r="B571" s="12" t="e">
        <f>MID(MAIN!A576,K571,2)</f>
        <v>#VALUE!</v>
      </c>
      <c r="C571" s="12" t="e">
        <f t="shared" si="32"/>
        <v>#VALUE!</v>
      </c>
      <c r="D571" s="12" t="e">
        <f>MID(MAIN!A576,K571+2,2)</f>
        <v>#VALUE!</v>
      </c>
      <c r="E571" s="12" t="e">
        <f>MID(MAIN!A576,K571+4,2)</f>
        <v>#VALUE!</v>
      </c>
      <c r="F571" s="2" t="e">
        <f t="shared" si="33"/>
        <v>#VALUE!</v>
      </c>
      <c r="G571" s="13" t="e">
        <f t="shared" si="34"/>
        <v>#VALUE!</v>
      </c>
      <c r="J571" t="str">
        <f>MAIN!A576&amp;"B"</f>
        <v>B</v>
      </c>
      <c r="K571" s="12" t="e">
        <f t="shared" si="35"/>
        <v>#VALUE!</v>
      </c>
      <c r="L571" t="str">
        <f>MAIN!C576</f>
        <v/>
      </c>
    </row>
    <row r="572" spans="1:12" x14ac:dyDescent="0.3">
      <c r="A572">
        <f>IF(J572="0",0,IF(COUNTIF($J$2:J572,J572)=1,1,0))</f>
        <v>0</v>
      </c>
      <c r="B572" s="12" t="e">
        <f>MID(MAIN!A577,K572,2)</f>
        <v>#VALUE!</v>
      </c>
      <c r="C572" s="12" t="e">
        <f t="shared" si="32"/>
        <v>#VALUE!</v>
      </c>
      <c r="D572" s="12" t="e">
        <f>MID(MAIN!A577,K572+2,2)</f>
        <v>#VALUE!</v>
      </c>
      <c r="E572" s="12" t="e">
        <f>MID(MAIN!A577,K572+4,2)</f>
        <v>#VALUE!</v>
      </c>
      <c r="F572" s="2" t="e">
        <f t="shared" si="33"/>
        <v>#VALUE!</v>
      </c>
      <c r="G572" s="13" t="e">
        <f t="shared" si="34"/>
        <v>#VALUE!</v>
      </c>
      <c r="J572" t="str">
        <f>MAIN!A577&amp;"B"</f>
        <v>B</v>
      </c>
      <c r="K572" s="12" t="e">
        <f t="shared" si="35"/>
        <v>#VALUE!</v>
      </c>
      <c r="L572" t="str">
        <f>MAIN!C577</f>
        <v/>
      </c>
    </row>
    <row r="573" spans="1:12" x14ac:dyDescent="0.3">
      <c r="A573">
        <f>IF(J573="0",0,IF(COUNTIF($J$2:J573,J573)=1,1,0))</f>
        <v>0</v>
      </c>
      <c r="B573" s="12" t="e">
        <f>MID(MAIN!A578,K573,2)</f>
        <v>#VALUE!</v>
      </c>
      <c r="C573" s="12" t="e">
        <f t="shared" si="32"/>
        <v>#VALUE!</v>
      </c>
      <c r="D573" s="12" t="e">
        <f>MID(MAIN!A578,K573+2,2)</f>
        <v>#VALUE!</v>
      </c>
      <c r="E573" s="12" t="e">
        <f>MID(MAIN!A578,K573+4,2)</f>
        <v>#VALUE!</v>
      </c>
      <c r="F573" s="2" t="e">
        <f t="shared" si="33"/>
        <v>#VALUE!</v>
      </c>
      <c r="G573" s="13" t="e">
        <f t="shared" si="34"/>
        <v>#VALUE!</v>
      </c>
      <c r="J573" t="str">
        <f>MAIN!A578&amp;"B"</f>
        <v>B</v>
      </c>
      <c r="K573" s="12" t="e">
        <f t="shared" si="35"/>
        <v>#VALUE!</v>
      </c>
      <c r="L573" t="str">
        <f>MAIN!C578</f>
        <v/>
      </c>
    </row>
    <row r="574" spans="1:12" x14ac:dyDescent="0.3">
      <c r="A574">
        <f>IF(J574="0",0,IF(COUNTIF($J$2:J574,J574)=1,1,0))</f>
        <v>0</v>
      </c>
      <c r="B574" s="12" t="e">
        <f>MID(MAIN!A579,K574,2)</f>
        <v>#VALUE!</v>
      </c>
      <c r="C574" s="12" t="e">
        <f t="shared" si="32"/>
        <v>#VALUE!</v>
      </c>
      <c r="D574" s="12" t="e">
        <f>MID(MAIN!A579,K574+2,2)</f>
        <v>#VALUE!</v>
      </c>
      <c r="E574" s="12" t="e">
        <f>MID(MAIN!A579,K574+4,2)</f>
        <v>#VALUE!</v>
      </c>
      <c r="F574" s="2" t="e">
        <f t="shared" si="33"/>
        <v>#VALUE!</v>
      </c>
      <c r="G574" s="13" t="e">
        <f t="shared" si="34"/>
        <v>#VALUE!</v>
      </c>
      <c r="J574" t="str">
        <f>MAIN!A579&amp;"B"</f>
        <v>B</v>
      </c>
      <c r="K574" s="12" t="e">
        <f t="shared" si="35"/>
        <v>#VALUE!</v>
      </c>
      <c r="L574" t="str">
        <f>MAIN!C579</f>
        <v/>
      </c>
    </row>
    <row r="575" spans="1:12" x14ac:dyDescent="0.3">
      <c r="A575">
        <f>IF(J575="0",0,IF(COUNTIF($J$2:J575,J575)=1,1,0))</f>
        <v>0</v>
      </c>
      <c r="B575" s="12" t="e">
        <f>MID(MAIN!A580,K575,2)</f>
        <v>#VALUE!</v>
      </c>
      <c r="C575" s="12" t="e">
        <f t="shared" si="32"/>
        <v>#VALUE!</v>
      </c>
      <c r="D575" s="12" t="e">
        <f>MID(MAIN!A580,K575+2,2)</f>
        <v>#VALUE!</v>
      </c>
      <c r="E575" s="12" t="e">
        <f>MID(MAIN!A580,K575+4,2)</f>
        <v>#VALUE!</v>
      </c>
      <c r="F575" s="2" t="e">
        <f t="shared" si="33"/>
        <v>#VALUE!</v>
      </c>
      <c r="G575" s="13" t="e">
        <f t="shared" si="34"/>
        <v>#VALUE!</v>
      </c>
      <c r="J575" t="str">
        <f>MAIN!A580&amp;"B"</f>
        <v>B</v>
      </c>
      <c r="K575" s="12" t="e">
        <f t="shared" si="35"/>
        <v>#VALUE!</v>
      </c>
      <c r="L575" t="str">
        <f>MAIN!C580</f>
        <v/>
      </c>
    </row>
    <row r="576" spans="1:12" x14ac:dyDescent="0.3">
      <c r="A576">
        <f>IF(J576="0",0,IF(COUNTIF($J$2:J576,J576)=1,1,0))</f>
        <v>0</v>
      </c>
      <c r="B576" s="12" t="e">
        <f>MID(MAIN!A581,K576,2)</f>
        <v>#VALUE!</v>
      </c>
      <c r="C576" s="12" t="e">
        <f t="shared" si="32"/>
        <v>#VALUE!</v>
      </c>
      <c r="D576" s="12" t="e">
        <f>MID(MAIN!A581,K576+2,2)</f>
        <v>#VALUE!</v>
      </c>
      <c r="E576" s="12" t="e">
        <f>MID(MAIN!A581,K576+4,2)</f>
        <v>#VALUE!</v>
      </c>
      <c r="F576" s="2" t="e">
        <f t="shared" si="33"/>
        <v>#VALUE!</v>
      </c>
      <c r="G576" s="13" t="e">
        <f t="shared" si="34"/>
        <v>#VALUE!</v>
      </c>
      <c r="J576" t="str">
        <f>MAIN!A581&amp;"B"</f>
        <v>B</v>
      </c>
      <c r="K576" s="12" t="e">
        <f t="shared" si="35"/>
        <v>#VALUE!</v>
      </c>
      <c r="L576" t="str">
        <f>MAIN!C581</f>
        <v/>
      </c>
    </row>
    <row r="577" spans="1:12" x14ac:dyDescent="0.3">
      <c r="A577">
        <f>IF(J577="0",0,IF(COUNTIF($J$2:J577,J577)=1,1,0))</f>
        <v>0</v>
      </c>
      <c r="B577" s="12" t="e">
        <f>MID(MAIN!A582,K577,2)</f>
        <v>#VALUE!</v>
      </c>
      <c r="C577" s="12" t="e">
        <f t="shared" si="32"/>
        <v>#VALUE!</v>
      </c>
      <c r="D577" s="12" t="e">
        <f>MID(MAIN!A582,K577+2,2)</f>
        <v>#VALUE!</v>
      </c>
      <c r="E577" s="12" t="e">
        <f>MID(MAIN!A582,K577+4,2)</f>
        <v>#VALUE!</v>
      </c>
      <c r="F577" s="2" t="e">
        <f t="shared" si="33"/>
        <v>#VALUE!</v>
      </c>
      <c r="G577" s="13" t="e">
        <f t="shared" si="34"/>
        <v>#VALUE!</v>
      </c>
      <c r="J577" t="str">
        <f>MAIN!A582&amp;"B"</f>
        <v>B</v>
      </c>
      <c r="K577" s="12" t="e">
        <f t="shared" si="35"/>
        <v>#VALUE!</v>
      </c>
      <c r="L577" t="str">
        <f>MAIN!C582</f>
        <v/>
      </c>
    </row>
    <row r="578" spans="1:12" x14ac:dyDescent="0.3">
      <c r="A578">
        <f>IF(J578="0",0,IF(COUNTIF($J$2:J578,J578)=1,1,0))</f>
        <v>0</v>
      </c>
      <c r="B578" s="12" t="e">
        <f>MID(MAIN!A583,K578,2)</f>
        <v>#VALUE!</v>
      </c>
      <c r="C578" s="12" t="e">
        <f t="shared" si="32"/>
        <v>#VALUE!</v>
      </c>
      <c r="D578" s="12" t="e">
        <f>MID(MAIN!A583,K578+2,2)</f>
        <v>#VALUE!</v>
      </c>
      <c r="E578" s="12" t="e">
        <f>MID(MAIN!A583,K578+4,2)</f>
        <v>#VALUE!</v>
      </c>
      <c r="F578" s="2" t="e">
        <f t="shared" si="33"/>
        <v>#VALUE!</v>
      </c>
      <c r="G578" s="13" t="e">
        <f t="shared" si="34"/>
        <v>#VALUE!</v>
      </c>
      <c r="J578" t="str">
        <f>MAIN!A583&amp;"B"</f>
        <v>B</v>
      </c>
      <c r="K578" s="12" t="e">
        <f t="shared" si="35"/>
        <v>#VALUE!</v>
      </c>
      <c r="L578" t="str">
        <f>MAIN!C583</f>
        <v/>
      </c>
    </row>
    <row r="579" spans="1:12" x14ac:dyDescent="0.3">
      <c r="A579">
        <f>IF(J579="0",0,IF(COUNTIF($J$2:J579,J579)=1,1,0))</f>
        <v>0</v>
      </c>
      <c r="B579" s="12" t="e">
        <f>MID(MAIN!A584,K579,2)</f>
        <v>#VALUE!</v>
      </c>
      <c r="C579" s="12" t="e">
        <f t="shared" ref="C579:C642" si="36">"20"&amp;B579</f>
        <v>#VALUE!</v>
      </c>
      <c r="D579" s="12" t="e">
        <f>MID(MAIN!A584,K579+2,2)</f>
        <v>#VALUE!</v>
      </c>
      <c r="E579" s="12" t="e">
        <f>MID(MAIN!A584,K579+4,2)</f>
        <v>#VALUE!</v>
      </c>
      <c r="F579" s="2" t="e">
        <f t="shared" ref="F579:F642" si="37">C579&amp;"/"&amp;D579&amp;"/"&amp;E579</f>
        <v>#VALUE!</v>
      </c>
      <c r="G579" s="13" t="e">
        <f t="shared" ref="G579:G642" si="38">DATEVALUE(F579)</f>
        <v>#VALUE!</v>
      </c>
      <c r="J579" t="str">
        <f>MAIN!A584&amp;"B"</f>
        <v>B</v>
      </c>
      <c r="K579" s="12" t="e">
        <f t="shared" ref="K579:K642" si="39">FIND("172",J579,30)+2</f>
        <v>#VALUE!</v>
      </c>
      <c r="L579" t="str">
        <f>MAIN!C584</f>
        <v/>
      </c>
    </row>
    <row r="580" spans="1:12" x14ac:dyDescent="0.3">
      <c r="A580">
        <f>IF(J580="0",0,IF(COUNTIF($J$2:J580,J580)=1,1,0))</f>
        <v>0</v>
      </c>
      <c r="B580" s="12" t="e">
        <f>MID(MAIN!A585,K580,2)</f>
        <v>#VALUE!</v>
      </c>
      <c r="C580" s="12" t="e">
        <f t="shared" si="36"/>
        <v>#VALUE!</v>
      </c>
      <c r="D580" s="12" t="e">
        <f>MID(MAIN!A585,K580+2,2)</f>
        <v>#VALUE!</v>
      </c>
      <c r="E580" s="12" t="e">
        <f>MID(MAIN!A585,K580+4,2)</f>
        <v>#VALUE!</v>
      </c>
      <c r="F580" s="2" t="e">
        <f t="shared" si="37"/>
        <v>#VALUE!</v>
      </c>
      <c r="G580" s="13" t="e">
        <f t="shared" si="38"/>
        <v>#VALUE!</v>
      </c>
      <c r="J580" t="str">
        <f>MAIN!A585&amp;"B"</f>
        <v>B</v>
      </c>
      <c r="K580" s="12" t="e">
        <f t="shared" si="39"/>
        <v>#VALUE!</v>
      </c>
      <c r="L580" t="str">
        <f>MAIN!C585</f>
        <v/>
      </c>
    </row>
    <row r="581" spans="1:12" x14ac:dyDescent="0.3">
      <c r="A581">
        <f>IF(J581="0",0,IF(COUNTIF($J$2:J581,J581)=1,1,0))</f>
        <v>0</v>
      </c>
      <c r="B581" s="12" t="e">
        <f>MID(MAIN!A586,K581,2)</f>
        <v>#VALUE!</v>
      </c>
      <c r="C581" s="12" t="e">
        <f t="shared" si="36"/>
        <v>#VALUE!</v>
      </c>
      <c r="D581" s="12" t="e">
        <f>MID(MAIN!A586,K581+2,2)</f>
        <v>#VALUE!</v>
      </c>
      <c r="E581" s="12" t="e">
        <f>MID(MAIN!A586,K581+4,2)</f>
        <v>#VALUE!</v>
      </c>
      <c r="F581" s="2" t="e">
        <f t="shared" si="37"/>
        <v>#VALUE!</v>
      </c>
      <c r="G581" s="13" t="e">
        <f t="shared" si="38"/>
        <v>#VALUE!</v>
      </c>
      <c r="J581" t="str">
        <f>MAIN!A586&amp;"B"</f>
        <v>B</v>
      </c>
      <c r="K581" s="12" t="e">
        <f t="shared" si="39"/>
        <v>#VALUE!</v>
      </c>
      <c r="L581" t="str">
        <f>MAIN!C586</f>
        <v/>
      </c>
    </row>
    <row r="582" spans="1:12" x14ac:dyDescent="0.3">
      <c r="A582">
        <f>IF(J582="0",0,IF(COUNTIF($J$2:J582,J582)=1,1,0))</f>
        <v>0</v>
      </c>
      <c r="B582" s="12" t="e">
        <f>MID(MAIN!A587,K582,2)</f>
        <v>#VALUE!</v>
      </c>
      <c r="C582" s="12" t="e">
        <f t="shared" si="36"/>
        <v>#VALUE!</v>
      </c>
      <c r="D582" s="12" t="e">
        <f>MID(MAIN!A587,K582+2,2)</f>
        <v>#VALUE!</v>
      </c>
      <c r="E582" s="12" t="e">
        <f>MID(MAIN!A587,K582+4,2)</f>
        <v>#VALUE!</v>
      </c>
      <c r="F582" s="2" t="e">
        <f t="shared" si="37"/>
        <v>#VALUE!</v>
      </c>
      <c r="G582" s="13" t="e">
        <f t="shared" si="38"/>
        <v>#VALUE!</v>
      </c>
      <c r="J582" t="str">
        <f>MAIN!A587&amp;"B"</f>
        <v>B</v>
      </c>
      <c r="K582" s="12" t="e">
        <f t="shared" si="39"/>
        <v>#VALUE!</v>
      </c>
      <c r="L582" t="str">
        <f>MAIN!C587</f>
        <v/>
      </c>
    </row>
    <row r="583" spans="1:12" x14ac:dyDescent="0.3">
      <c r="A583">
        <f>IF(J583="0",0,IF(COUNTIF($J$2:J583,J583)=1,1,0))</f>
        <v>0</v>
      </c>
      <c r="B583" s="12" t="e">
        <f>MID(MAIN!A588,K583,2)</f>
        <v>#VALUE!</v>
      </c>
      <c r="C583" s="12" t="e">
        <f t="shared" si="36"/>
        <v>#VALUE!</v>
      </c>
      <c r="D583" s="12" t="e">
        <f>MID(MAIN!A588,K583+2,2)</f>
        <v>#VALUE!</v>
      </c>
      <c r="E583" s="12" t="e">
        <f>MID(MAIN!A588,K583+4,2)</f>
        <v>#VALUE!</v>
      </c>
      <c r="F583" s="2" t="e">
        <f t="shared" si="37"/>
        <v>#VALUE!</v>
      </c>
      <c r="G583" s="13" t="e">
        <f t="shared" si="38"/>
        <v>#VALUE!</v>
      </c>
      <c r="J583" t="str">
        <f>MAIN!A588&amp;"B"</f>
        <v>B</v>
      </c>
      <c r="K583" s="12" t="e">
        <f t="shared" si="39"/>
        <v>#VALUE!</v>
      </c>
      <c r="L583" t="str">
        <f>MAIN!C588</f>
        <v/>
      </c>
    </row>
    <row r="584" spans="1:12" x14ac:dyDescent="0.3">
      <c r="A584">
        <f>IF(J584="0",0,IF(COUNTIF($J$2:J584,J584)=1,1,0))</f>
        <v>0</v>
      </c>
      <c r="B584" s="12" t="e">
        <f>MID(MAIN!A589,K584,2)</f>
        <v>#VALUE!</v>
      </c>
      <c r="C584" s="12" t="e">
        <f t="shared" si="36"/>
        <v>#VALUE!</v>
      </c>
      <c r="D584" s="12" t="e">
        <f>MID(MAIN!A589,K584+2,2)</f>
        <v>#VALUE!</v>
      </c>
      <c r="E584" s="12" t="e">
        <f>MID(MAIN!A589,K584+4,2)</f>
        <v>#VALUE!</v>
      </c>
      <c r="F584" s="2" t="e">
        <f t="shared" si="37"/>
        <v>#VALUE!</v>
      </c>
      <c r="G584" s="13" t="e">
        <f t="shared" si="38"/>
        <v>#VALUE!</v>
      </c>
      <c r="J584" t="str">
        <f>MAIN!A589&amp;"B"</f>
        <v>B</v>
      </c>
      <c r="K584" s="12" t="e">
        <f t="shared" si="39"/>
        <v>#VALUE!</v>
      </c>
      <c r="L584" t="str">
        <f>MAIN!C589</f>
        <v/>
      </c>
    </row>
    <row r="585" spans="1:12" x14ac:dyDescent="0.3">
      <c r="A585">
        <f>IF(J585="0",0,IF(COUNTIF($J$2:J585,J585)=1,1,0))</f>
        <v>0</v>
      </c>
      <c r="B585" s="12" t="e">
        <f>MID(MAIN!A590,K585,2)</f>
        <v>#VALUE!</v>
      </c>
      <c r="C585" s="12" t="e">
        <f t="shared" si="36"/>
        <v>#VALUE!</v>
      </c>
      <c r="D585" s="12" t="e">
        <f>MID(MAIN!A590,K585+2,2)</f>
        <v>#VALUE!</v>
      </c>
      <c r="E585" s="12" t="e">
        <f>MID(MAIN!A590,K585+4,2)</f>
        <v>#VALUE!</v>
      </c>
      <c r="F585" s="2" t="e">
        <f t="shared" si="37"/>
        <v>#VALUE!</v>
      </c>
      <c r="G585" s="13" t="e">
        <f t="shared" si="38"/>
        <v>#VALUE!</v>
      </c>
      <c r="J585" t="str">
        <f>MAIN!A590&amp;"B"</f>
        <v>B</v>
      </c>
      <c r="K585" s="12" t="e">
        <f t="shared" si="39"/>
        <v>#VALUE!</v>
      </c>
      <c r="L585" t="str">
        <f>MAIN!C590</f>
        <v/>
      </c>
    </row>
    <row r="586" spans="1:12" x14ac:dyDescent="0.3">
      <c r="A586">
        <f>IF(J586="0",0,IF(COUNTIF($J$2:J586,J586)=1,1,0))</f>
        <v>0</v>
      </c>
      <c r="B586" s="12" t="e">
        <f>MID(MAIN!A591,K586,2)</f>
        <v>#VALUE!</v>
      </c>
      <c r="C586" s="12" t="e">
        <f t="shared" si="36"/>
        <v>#VALUE!</v>
      </c>
      <c r="D586" s="12" t="e">
        <f>MID(MAIN!A591,K586+2,2)</f>
        <v>#VALUE!</v>
      </c>
      <c r="E586" s="12" t="e">
        <f>MID(MAIN!A591,K586+4,2)</f>
        <v>#VALUE!</v>
      </c>
      <c r="F586" s="2" t="e">
        <f t="shared" si="37"/>
        <v>#VALUE!</v>
      </c>
      <c r="G586" s="13" t="e">
        <f t="shared" si="38"/>
        <v>#VALUE!</v>
      </c>
      <c r="J586" t="str">
        <f>MAIN!A591&amp;"B"</f>
        <v>B</v>
      </c>
      <c r="K586" s="12" t="e">
        <f t="shared" si="39"/>
        <v>#VALUE!</v>
      </c>
      <c r="L586" t="str">
        <f>MAIN!C591</f>
        <v/>
      </c>
    </row>
    <row r="587" spans="1:12" x14ac:dyDescent="0.3">
      <c r="A587">
        <f>IF(J587="0",0,IF(COUNTIF($J$2:J587,J587)=1,1,0))</f>
        <v>0</v>
      </c>
      <c r="B587" s="12" t="e">
        <f>MID(MAIN!A592,K587,2)</f>
        <v>#VALUE!</v>
      </c>
      <c r="C587" s="12" t="e">
        <f t="shared" si="36"/>
        <v>#VALUE!</v>
      </c>
      <c r="D587" s="12" t="e">
        <f>MID(MAIN!A592,K587+2,2)</f>
        <v>#VALUE!</v>
      </c>
      <c r="E587" s="12" t="e">
        <f>MID(MAIN!A592,K587+4,2)</f>
        <v>#VALUE!</v>
      </c>
      <c r="F587" s="2" t="e">
        <f t="shared" si="37"/>
        <v>#VALUE!</v>
      </c>
      <c r="G587" s="13" t="e">
        <f t="shared" si="38"/>
        <v>#VALUE!</v>
      </c>
      <c r="J587" t="str">
        <f>MAIN!A592&amp;"B"</f>
        <v>B</v>
      </c>
      <c r="K587" s="12" t="e">
        <f t="shared" si="39"/>
        <v>#VALUE!</v>
      </c>
      <c r="L587" t="str">
        <f>MAIN!C592</f>
        <v/>
      </c>
    </row>
    <row r="588" spans="1:12" x14ac:dyDescent="0.3">
      <c r="A588">
        <f>IF(J588="0",0,IF(COUNTIF($J$2:J588,J588)=1,1,0))</f>
        <v>0</v>
      </c>
      <c r="B588" s="12" t="e">
        <f>MID(MAIN!A593,K588,2)</f>
        <v>#VALUE!</v>
      </c>
      <c r="C588" s="12" t="e">
        <f t="shared" si="36"/>
        <v>#VALUE!</v>
      </c>
      <c r="D588" s="12" t="e">
        <f>MID(MAIN!A593,K588+2,2)</f>
        <v>#VALUE!</v>
      </c>
      <c r="E588" s="12" t="e">
        <f>MID(MAIN!A593,K588+4,2)</f>
        <v>#VALUE!</v>
      </c>
      <c r="F588" s="2" t="e">
        <f t="shared" si="37"/>
        <v>#VALUE!</v>
      </c>
      <c r="G588" s="13" t="e">
        <f t="shared" si="38"/>
        <v>#VALUE!</v>
      </c>
      <c r="J588" t="str">
        <f>MAIN!A593&amp;"B"</f>
        <v>B</v>
      </c>
      <c r="K588" s="12" t="e">
        <f t="shared" si="39"/>
        <v>#VALUE!</v>
      </c>
      <c r="L588" t="str">
        <f>MAIN!C593</f>
        <v/>
      </c>
    </row>
    <row r="589" spans="1:12" x14ac:dyDescent="0.3">
      <c r="A589">
        <f>IF(J589="0",0,IF(COUNTIF($J$2:J589,J589)=1,1,0))</f>
        <v>0</v>
      </c>
      <c r="B589" s="12" t="e">
        <f>MID(MAIN!A594,K589,2)</f>
        <v>#VALUE!</v>
      </c>
      <c r="C589" s="12" t="e">
        <f t="shared" si="36"/>
        <v>#VALUE!</v>
      </c>
      <c r="D589" s="12" t="e">
        <f>MID(MAIN!A594,K589+2,2)</f>
        <v>#VALUE!</v>
      </c>
      <c r="E589" s="12" t="e">
        <f>MID(MAIN!A594,K589+4,2)</f>
        <v>#VALUE!</v>
      </c>
      <c r="F589" s="2" t="e">
        <f t="shared" si="37"/>
        <v>#VALUE!</v>
      </c>
      <c r="G589" s="13" t="e">
        <f t="shared" si="38"/>
        <v>#VALUE!</v>
      </c>
      <c r="J589" t="str">
        <f>MAIN!A594&amp;"B"</f>
        <v>B</v>
      </c>
      <c r="K589" s="12" t="e">
        <f t="shared" si="39"/>
        <v>#VALUE!</v>
      </c>
      <c r="L589" t="str">
        <f>MAIN!C594</f>
        <v/>
      </c>
    </row>
    <row r="590" spans="1:12" x14ac:dyDescent="0.3">
      <c r="A590">
        <f>IF(J590="0",0,IF(COUNTIF($J$2:J590,J590)=1,1,0))</f>
        <v>0</v>
      </c>
      <c r="B590" s="12" t="e">
        <f>MID(MAIN!A595,K590,2)</f>
        <v>#VALUE!</v>
      </c>
      <c r="C590" s="12" t="e">
        <f t="shared" si="36"/>
        <v>#VALUE!</v>
      </c>
      <c r="D590" s="12" t="e">
        <f>MID(MAIN!A595,K590+2,2)</f>
        <v>#VALUE!</v>
      </c>
      <c r="E590" s="12" t="e">
        <f>MID(MAIN!A595,K590+4,2)</f>
        <v>#VALUE!</v>
      </c>
      <c r="F590" s="2" t="e">
        <f t="shared" si="37"/>
        <v>#VALUE!</v>
      </c>
      <c r="G590" s="13" t="e">
        <f t="shared" si="38"/>
        <v>#VALUE!</v>
      </c>
      <c r="J590" t="str">
        <f>MAIN!A595&amp;"B"</f>
        <v>B</v>
      </c>
      <c r="K590" s="12" t="e">
        <f t="shared" si="39"/>
        <v>#VALUE!</v>
      </c>
      <c r="L590" t="str">
        <f>MAIN!C595</f>
        <v/>
      </c>
    </row>
    <row r="591" spans="1:12" x14ac:dyDescent="0.3">
      <c r="A591">
        <f>IF(J591="0",0,IF(COUNTIF($J$2:J591,J591)=1,1,0))</f>
        <v>0</v>
      </c>
      <c r="B591" s="12" t="e">
        <f>MID(MAIN!A596,K591,2)</f>
        <v>#VALUE!</v>
      </c>
      <c r="C591" s="12" t="e">
        <f t="shared" si="36"/>
        <v>#VALUE!</v>
      </c>
      <c r="D591" s="12" t="e">
        <f>MID(MAIN!A596,K591+2,2)</f>
        <v>#VALUE!</v>
      </c>
      <c r="E591" s="12" t="e">
        <f>MID(MAIN!A596,K591+4,2)</f>
        <v>#VALUE!</v>
      </c>
      <c r="F591" s="2" t="e">
        <f t="shared" si="37"/>
        <v>#VALUE!</v>
      </c>
      <c r="G591" s="13" t="e">
        <f t="shared" si="38"/>
        <v>#VALUE!</v>
      </c>
      <c r="J591" t="str">
        <f>MAIN!A596&amp;"B"</f>
        <v>B</v>
      </c>
      <c r="K591" s="12" t="e">
        <f t="shared" si="39"/>
        <v>#VALUE!</v>
      </c>
      <c r="L591" t="str">
        <f>MAIN!C596</f>
        <v/>
      </c>
    </row>
    <row r="592" spans="1:12" x14ac:dyDescent="0.3">
      <c r="A592">
        <f>IF(J592="0",0,IF(COUNTIF($J$2:J592,J592)=1,1,0))</f>
        <v>0</v>
      </c>
      <c r="B592" s="12" t="e">
        <f>MID(MAIN!A597,K592,2)</f>
        <v>#VALUE!</v>
      </c>
      <c r="C592" s="12" t="e">
        <f t="shared" si="36"/>
        <v>#VALUE!</v>
      </c>
      <c r="D592" s="12" t="e">
        <f>MID(MAIN!A597,K592+2,2)</f>
        <v>#VALUE!</v>
      </c>
      <c r="E592" s="12" t="e">
        <f>MID(MAIN!A597,K592+4,2)</f>
        <v>#VALUE!</v>
      </c>
      <c r="F592" s="2" t="e">
        <f t="shared" si="37"/>
        <v>#VALUE!</v>
      </c>
      <c r="G592" s="13" t="e">
        <f t="shared" si="38"/>
        <v>#VALUE!</v>
      </c>
      <c r="J592" t="str">
        <f>MAIN!A597&amp;"B"</f>
        <v>B</v>
      </c>
      <c r="K592" s="12" t="e">
        <f t="shared" si="39"/>
        <v>#VALUE!</v>
      </c>
      <c r="L592" t="str">
        <f>MAIN!C597</f>
        <v/>
      </c>
    </row>
    <row r="593" spans="1:12" x14ac:dyDescent="0.3">
      <c r="A593">
        <f>IF(J593="0",0,IF(COUNTIF($J$2:J593,J593)=1,1,0))</f>
        <v>0</v>
      </c>
      <c r="B593" s="12" t="e">
        <f>MID(MAIN!A598,K593,2)</f>
        <v>#VALUE!</v>
      </c>
      <c r="C593" s="12" t="e">
        <f t="shared" si="36"/>
        <v>#VALUE!</v>
      </c>
      <c r="D593" s="12" t="e">
        <f>MID(MAIN!A598,K593+2,2)</f>
        <v>#VALUE!</v>
      </c>
      <c r="E593" s="12" t="e">
        <f>MID(MAIN!A598,K593+4,2)</f>
        <v>#VALUE!</v>
      </c>
      <c r="F593" s="2" t="e">
        <f t="shared" si="37"/>
        <v>#VALUE!</v>
      </c>
      <c r="G593" s="13" t="e">
        <f t="shared" si="38"/>
        <v>#VALUE!</v>
      </c>
      <c r="J593" t="str">
        <f>MAIN!A598&amp;"B"</f>
        <v>B</v>
      </c>
      <c r="K593" s="12" t="e">
        <f t="shared" si="39"/>
        <v>#VALUE!</v>
      </c>
      <c r="L593" t="str">
        <f>MAIN!C598</f>
        <v/>
      </c>
    </row>
    <row r="594" spans="1:12" x14ac:dyDescent="0.3">
      <c r="A594">
        <f>IF(J594="0",0,IF(COUNTIF($J$2:J594,J594)=1,1,0))</f>
        <v>0</v>
      </c>
      <c r="B594" s="12" t="e">
        <f>MID(MAIN!A599,K594,2)</f>
        <v>#VALUE!</v>
      </c>
      <c r="C594" s="12" t="e">
        <f t="shared" si="36"/>
        <v>#VALUE!</v>
      </c>
      <c r="D594" s="12" t="e">
        <f>MID(MAIN!A599,K594+2,2)</f>
        <v>#VALUE!</v>
      </c>
      <c r="E594" s="12" t="e">
        <f>MID(MAIN!A599,K594+4,2)</f>
        <v>#VALUE!</v>
      </c>
      <c r="F594" s="2" t="e">
        <f t="shared" si="37"/>
        <v>#VALUE!</v>
      </c>
      <c r="G594" s="13" t="e">
        <f t="shared" si="38"/>
        <v>#VALUE!</v>
      </c>
      <c r="J594" t="str">
        <f>MAIN!A599&amp;"B"</f>
        <v>B</v>
      </c>
      <c r="K594" s="12" t="e">
        <f t="shared" si="39"/>
        <v>#VALUE!</v>
      </c>
      <c r="L594" t="str">
        <f>MAIN!C599</f>
        <v/>
      </c>
    </row>
    <row r="595" spans="1:12" x14ac:dyDescent="0.3">
      <c r="A595">
        <f>IF(J595="0",0,IF(COUNTIF($J$2:J595,J595)=1,1,0))</f>
        <v>0</v>
      </c>
      <c r="B595" s="12" t="e">
        <f>MID(MAIN!A600,K595,2)</f>
        <v>#VALUE!</v>
      </c>
      <c r="C595" s="12" t="e">
        <f t="shared" si="36"/>
        <v>#VALUE!</v>
      </c>
      <c r="D595" s="12" t="e">
        <f>MID(MAIN!A600,K595+2,2)</f>
        <v>#VALUE!</v>
      </c>
      <c r="E595" s="12" t="e">
        <f>MID(MAIN!A600,K595+4,2)</f>
        <v>#VALUE!</v>
      </c>
      <c r="F595" s="2" t="e">
        <f t="shared" si="37"/>
        <v>#VALUE!</v>
      </c>
      <c r="G595" s="13" t="e">
        <f t="shared" si="38"/>
        <v>#VALUE!</v>
      </c>
      <c r="J595" t="str">
        <f>MAIN!A600&amp;"B"</f>
        <v>B</v>
      </c>
      <c r="K595" s="12" t="e">
        <f t="shared" si="39"/>
        <v>#VALUE!</v>
      </c>
      <c r="L595" t="str">
        <f>MAIN!C600</f>
        <v/>
      </c>
    </row>
    <row r="596" spans="1:12" x14ac:dyDescent="0.3">
      <c r="A596">
        <f>IF(J596="0",0,IF(COUNTIF($J$2:J596,J596)=1,1,0))</f>
        <v>0</v>
      </c>
      <c r="B596" s="12" t="e">
        <f>MID(MAIN!A601,K596,2)</f>
        <v>#VALUE!</v>
      </c>
      <c r="C596" s="12" t="e">
        <f t="shared" si="36"/>
        <v>#VALUE!</v>
      </c>
      <c r="D596" s="12" t="e">
        <f>MID(MAIN!A601,K596+2,2)</f>
        <v>#VALUE!</v>
      </c>
      <c r="E596" s="12" t="e">
        <f>MID(MAIN!A601,K596+4,2)</f>
        <v>#VALUE!</v>
      </c>
      <c r="F596" s="2" t="e">
        <f t="shared" si="37"/>
        <v>#VALUE!</v>
      </c>
      <c r="G596" s="13" t="e">
        <f t="shared" si="38"/>
        <v>#VALUE!</v>
      </c>
      <c r="J596" t="str">
        <f>MAIN!A601&amp;"B"</f>
        <v>B</v>
      </c>
      <c r="K596" s="12" t="e">
        <f t="shared" si="39"/>
        <v>#VALUE!</v>
      </c>
      <c r="L596" t="str">
        <f>MAIN!C601</f>
        <v/>
      </c>
    </row>
    <row r="597" spans="1:12" x14ac:dyDescent="0.3">
      <c r="A597">
        <f>IF(J597="0",0,IF(COUNTIF($J$2:J597,J597)=1,1,0))</f>
        <v>0</v>
      </c>
      <c r="B597" s="12" t="e">
        <f>MID(MAIN!A602,K597,2)</f>
        <v>#VALUE!</v>
      </c>
      <c r="C597" s="12" t="e">
        <f t="shared" si="36"/>
        <v>#VALUE!</v>
      </c>
      <c r="D597" s="12" t="e">
        <f>MID(MAIN!A602,K597+2,2)</f>
        <v>#VALUE!</v>
      </c>
      <c r="E597" s="12" t="e">
        <f>MID(MAIN!A602,K597+4,2)</f>
        <v>#VALUE!</v>
      </c>
      <c r="F597" s="2" t="e">
        <f t="shared" si="37"/>
        <v>#VALUE!</v>
      </c>
      <c r="G597" s="13" t="e">
        <f t="shared" si="38"/>
        <v>#VALUE!</v>
      </c>
      <c r="J597" t="str">
        <f>MAIN!A602&amp;"B"</f>
        <v>B</v>
      </c>
      <c r="K597" s="12" t="e">
        <f t="shared" si="39"/>
        <v>#VALUE!</v>
      </c>
      <c r="L597" t="str">
        <f>MAIN!C602</f>
        <v/>
      </c>
    </row>
    <row r="598" spans="1:12" x14ac:dyDescent="0.3">
      <c r="A598">
        <f>IF(J598="0",0,IF(COUNTIF($J$2:J598,J598)=1,1,0))</f>
        <v>0</v>
      </c>
      <c r="B598" s="12" t="e">
        <f>MID(MAIN!A603,K598,2)</f>
        <v>#VALUE!</v>
      </c>
      <c r="C598" s="12" t="e">
        <f t="shared" si="36"/>
        <v>#VALUE!</v>
      </c>
      <c r="D598" s="12" t="e">
        <f>MID(MAIN!A603,K598+2,2)</f>
        <v>#VALUE!</v>
      </c>
      <c r="E598" s="12" t="e">
        <f>MID(MAIN!A603,K598+4,2)</f>
        <v>#VALUE!</v>
      </c>
      <c r="F598" s="2" t="e">
        <f t="shared" si="37"/>
        <v>#VALUE!</v>
      </c>
      <c r="G598" s="13" t="e">
        <f t="shared" si="38"/>
        <v>#VALUE!</v>
      </c>
      <c r="J598" t="str">
        <f>MAIN!A603&amp;"B"</f>
        <v>B</v>
      </c>
      <c r="K598" s="12" t="e">
        <f t="shared" si="39"/>
        <v>#VALUE!</v>
      </c>
      <c r="L598" t="str">
        <f>MAIN!C603</f>
        <v/>
      </c>
    </row>
    <row r="599" spans="1:12" x14ac:dyDescent="0.3">
      <c r="A599">
        <f>IF(J599="0",0,IF(COUNTIF($J$2:J599,J599)=1,1,0))</f>
        <v>0</v>
      </c>
      <c r="B599" s="12" t="e">
        <f>MID(MAIN!A604,K599,2)</f>
        <v>#VALUE!</v>
      </c>
      <c r="C599" s="12" t="e">
        <f t="shared" si="36"/>
        <v>#VALUE!</v>
      </c>
      <c r="D599" s="12" t="e">
        <f>MID(MAIN!A604,K599+2,2)</f>
        <v>#VALUE!</v>
      </c>
      <c r="E599" s="12" t="e">
        <f>MID(MAIN!A604,K599+4,2)</f>
        <v>#VALUE!</v>
      </c>
      <c r="F599" s="2" t="e">
        <f t="shared" si="37"/>
        <v>#VALUE!</v>
      </c>
      <c r="G599" s="13" t="e">
        <f t="shared" si="38"/>
        <v>#VALUE!</v>
      </c>
      <c r="J599" t="str">
        <f>MAIN!A604&amp;"B"</f>
        <v>B</v>
      </c>
      <c r="K599" s="12" t="e">
        <f t="shared" si="39"/>
        <v>#VALUE!</v>
      </c>
      <c r="L599" t="str">
        <f>MAIN!C604</f>
        <v/>
      </c>
    </row>
    <row r="600" spans="1:12" x14ac:dyDescent="0.3">
      <c r="A600">
        <f>IF(J600="0",0,IF(COUNTIF($J$2:J600,J600)=1,1,0))</f>
        <v>0</v>
      </c>
      <c r="B600" s="12" t="e">
        <f>MID(MAIN!A605,K600,2)</f>
        <v>#VALUE!</v>
      </c>
      <c r="C600" s="12" t="e">
        <f t="shared" si="36"/>
        <v>#VALUE!</v>
      </c>
      <c r="D600" s="12" t="e">
        <f>MID(MAIN!A605,K600+2,2)</f>
        <v>#VALUE!</v>
      </c>
      <c r="E600" s="12" t="e">
        <f>MID(MAIN!A605,K600+4,2)</f>
        <v>#VALUE!</v>
      </c>
      <c r="F600" s="2" t="e">
        <f t="shared" si="37"/>
        <v>#VALUE!</v>
      </c>
      <c r="G600" s="13" t="e">
        <f t="shared" si="38"/>
        <v>#VALUE!</v>
      </c>
      <c r="J600" t="str">
        <f>MAIN!A605&amp;"B"</f>
        <v>B</v>
      </c>
      <c r="K600" s="12" t="e">
        <f t="shared" si="39"/>
        <v>#VALUE!</v>
      </c>
      <c r="L600" t="str">
        <f>MAIN!C605</f>
        <v/>
      </c>
    </row>
    <row r="601" spans="1:12" x14ac:dyDescent="0.3">
      <c r="A601">
        <f>IF(J601="0",0,IF(COUNTIF($J$2:J601,J601)=1,1,0))</f>
        <v>0</v>
      </c>
      <c r="B601" s="12" t="e">
        <f>MID(MAIN!A606,K601,2)</f>
        <v>#VALUE!</v>
      </c>
      <c r="C601" s="12" t="e">
        <f t="shared" si="36"/>
        <v>#VALUE!</v>
      </c>
      <c r="D601" s="12" t="e">
        <f>MID(MAIN!A606,K601+2,2)</f>
        <v>#VALUE!</v>
      </c>
      <c r="E601" s="12" t="e">
        <f>MID(MAIN!A606,K601+4,2)</f>
        <v>#VALUE!</v>
      </c>
      <c r="F601" s="2" t="e">
        <f t="shared" si="37"/>
        <v>#VALUE!</v>
      </c>
      <c r="G601" s="13" t="e">
        <f t="shared" si="38"/>
        <v>#VALUE!</v>
      </c>
      <c r="J601" t="str">
        <f>MAIN!A606&amp;"B"</f>
        <v>B</v>
      </c>
      <c r="K601" s="12" t="e">
        <f t="shared" si="39"/>
        <v>#VALUE!</v>
      </c>
      <c r="L601" t="str">
        <f>MAIN!C606</f>
        <v/>
      </c>
    </row>
    <row r="602" spans="1:12" x14ac:dyDescent="0.3">
      <c r="A602">
        <f>IF(J602="0",0,IF(COUNTIF($J$2:J602,J602)=1,1,0))</f>
        <v>0</v>
      </c>
      <c r="B602" s="12" t="e">
        <f>MID(MAIN!A607,K602,2)</f>
        <v>#VALUE!</v>
      </c>
      <c r="C602" s="12" t="e">
        <f t="shared" si="36"/>
        <v>#VALUE!</v>
      </c>
      <c r="D602" s="12" t="e">
        <f>MID(MAIN!A607,K602+2,2)</f>
        <v>#VALUE!</v>
      </c>
      <c r="E602" s="12" t="e">
        <f>MID(MAIN!A607,K602+4,2)</f>
        <v>#VALUE!</v>
      </c>
      <c r="F602" s="2" t="e">
        <f t="shared" si="37"/>
        <v>#VALUE!</v>
      </c>
      <c r="G602" s="13" t="e">
        <f t="shared" si="38"/>
        <v>#VALUE!</v>
      </c>
      <c r="J602" t="str">
        <f>MAIN!A607&amp;"B"</f>
        <v>B</v>
      </c>
      <c r="K602" s="12" t="e">
        <f t="shared" si="39"/>
        <v>#VALUE!</v>
      </c>
      <c r="L602" t="str">
        <f>MAIN!C607</f>
        <v/>
      </c>
    </row>
    <row r="603" spans="1:12" x14ac:dyDescent="0.3">
      <c r="A603">
        <f>IF(J603="0",0,IF(COUNTIF($J$2:J603,J603)=1,1,0))</f>
        <v>0</v>
      </c>
      <c r="B603" s="12" t="e">
        <f>MID(MAIN!A608,K603,2)</f>
        <v>#VALUE!</v>
      </c>
      <c r="C603" s="12" t="e">
        <f t="shared" si="36"/>
        <v>#VALUE!</v>
      </c>
      <c r="D603" s="12" t="e">
        <f>MID(MAIN!A608,K603+2,2)</f>
        <v>#VALUE!</v>
      </c>
      <c r="E603" s="12" t="e">
        <f>MID(MAIN!A608,K603+4,2)</f>
        <v>#VALUE!</v>
      </c>
      <c r="F603" s="2" t="e">
        <f t="shared" si="37"/>
        <v>#VALUE!</v>
      </c>
      <c r="G603" s="13" t="e">
        <f t="shared" si="38"/>
        <v>#VALUE!</v>
      </c>
      <c r="J603" t="str">
        <f>MAIN!A608&amp;"B"</f>
        <v>B</v>
      </c>
      <c r="K603" s="12" t="e">
        <f t="shared" si="39"/>
        <v>#VALUE!</v>
      </c>
      <c r="L603" t="str">
        <f>MAIN!C608</f>
        <v/>
      </c>
    </row>
    <row r="604" spans="1:12" x14ac:dyDescent="0.3">
      <c r="A604">
        <f>IF(J604="0",0,IF(COUNTIF($J$2:J604,J604)=1,1,0))</f>
        <v>0</v>
      </c>
      <c r="B604" s="12" t="e">
        <f>MID(MAIN!A609,K604,2)</f>
        <v>#VALUE!</v>
      </c>
      <c r="C604" s="12" t="e">
        <f t="shared" si="36"/>
        <v>#VALUE!</v>
      </c>
      <c r="D604" s="12" t="e">
        <f>MID(MAIN!A609,K604+2,2)</f>
        <v>#VALUE!</v>
      </c>
      <c r="E604" s="12" t="e">
        <f>MID(MAIN!A609,K604+4,2)</f>
        <v>#VALUE!</v>
      </c>
      <c r="F604" s="2" t="e">
        <f t="shared" si="37"/>
        <v>#VALUE!</v>
      </c>
      <c r="G604" s="13" t="e">
        <f t="shared" si="38"/>
        <v>#VALUE!</v>
      </c>
      <c r="J604" t="str">
        <f>MAIN!A609&amp;"B"</f>
        <v>B</v>
      </c>
      <c r="K604" s="12" t="e">
        <f t="shared" si="39"/>
        <v>#VALUE!</v>
      </c>
      <c r="L604" t="str">
        <f>MAIN!C609</f>
        <v/>
      </c>
    </row>
    <row r="605" spans="1:12" x14ac:dyDescent="0.3">
      <c r="A605">
        <f>IF(J605="0",0,IF(COUNTIF($J$2:J605,J605)=1,1,0))</f>
        <v>0</v>
      </c>
      <c r="B605" s="12" t="e">
        <f>MID(MAIN!A610,K605,2)</f>
        <v>#VALUE!</v>
      </c>
      <c r="C605" s="12" t="e">
        <f t="shared" si="36"/>
        <v>#VALUE!</v>
      </c>
      <c r="D605" s="12" t="e">
        <f>MID(MAIN!A610,K605+2,2)</f>
        <v>#VALUE!</v>
      </c>
      <c r="E605" s="12" t="e">
        <f>MID(MAIN!A610,K605+4,2)</f>
        <v>#VALUE!</v>
      </c>
      <c r="F605" s="2" t="e">
        <f t="shared" si="37"/>
        <v>#VALUE!</v>
      </c>
      <c r="G605" s="13" t="e">
        <f t="shared" si="38"/>
        <v>#VALUE!</v>
      </c>
      <c r="J605" t="str">
        <f>MAIN!A610&amp;"B"</f>
        <v>B</v>
      </c>
      <c r="K605" s="12" t="e">
        <f t="shared" si="39"/>
        <v>#VALUE!</v>
      </c>
      <c r="L605" t="str">
        <f>MAIN!C610</f>
        <v/>
      </c>
    </row>
    <row r="606" spans="1:12" x14ac:dyDescent="0.3">
      <c r="A606">
        <f>IF(J606="0",0,IF(COUNTIF($J$2:J606,J606)=1,1,0))</f>
        <v>0</v>
      </c>
      <c r="B606" s="12" t="e">
        <f>MID(MAIN!A611,K606,2)</f>
        <v>#VALUE!</v>
      </c>
      <c r="C606" s="12" t="e">
        <f t="shared" si="36"/>
        <v>#VALUE!</v>
      </c>
      <c r="D606" s="12" t="e">
        <f>MID(MAIN!A611,K606+2,2)</f>
        <v>#VALUE!</v>
      </c>
      <c r="E606" s="12" t="e">
        <f>MID(MAIN!A611,K606+4,2)</f>
        <v>#VALUE!</v>
      </c>
      <c r="F606" s="2" t="e">
        <f t="shared" si="37"/>
        <v>#VALUE!</v>
      </c>
      <c r="G606" s="13" t="e">
        <f t="shared" si="38"/>
        <v>#VALUE!</v>
      </c>
      <c r="J606" t="str">
        <f>MAIN!A611&amp;"B"</f>
        <v>B</v>
      </c>
      <c r="K606" s="12" t="e">
        <f t="shared" si="39"/>
        <v>#VALUE!</v>
      </c>
      <c r="L606" t="str">
        <f>MAIN!C611</f>
        <v/>
      </c>
    </row>
    <row r="607" spans="1:12" x14ac:dyDescent="0.3">
      <c r="A607">
        <f>IF(J607="0",0,IF(COUNTIF($J$2:J607,J607)=1,1,0))</f>
        <v>0</v>
      </c>
      <c r="B607" s="12" t="e">
        <f>MID(MAIN!A612,K607,2)</f>
        <v>#VALUE!</v>
      </c>
      <c r="C607" s="12" t="e">
        <f t="shared" si="36"/>
        <v>#VALUE!</v>
      </c>
      <c r="D607" s="12" t="e">
        <f>MID(MAIN!A612,K607+2,2)</f>
        <v>#VALUE!</v>
      </c>
      <c r="E607" s="12" t="e">
        <f>MID(MAIN!A612,K607+4,2)</f>
        <v>#VALUE!</v>
      </c>
      <c r="F607" s="2" t="e">
        <f t="shared" si="37"/>
        <v>#VALUE!</v>
      </c>
      <c r="G607" s="13" t="e">
        <f t="shared" si="38"/>
        <v>#VALUE!</v>
      </c>
      <c r="J607" t="str">
        <f>MAIN!A612&amp;"B"</f>
        <v>B</v>
      </c>
      <c r="K607" s="12" t="e">
        <f t="shared" si="39"/>
        <v>#VALUE!</v>
      </c>
      <c r="L607" t="str">
        <f>MAIN!C612</f>
        <v/>
      </c>
    </row>
    <row r="608" spans="1:12" x14ac:dyDescent="0.3">
      <c r="A608">
        <f>IF(J608="0",0,IF(COUNTIF($J$2:J608,J608)=1,1,0))</f>
        <v>0</v>
      </c>
      <c r="B608" s="12" t="e">
        <f>MID(MAIN!A613,K608,2)</f>
        <v>#VALUE!</v>
      </c>
      <c r="C608" s="12" t="e">
        <f t="shared" si="36"/>
        <v>#VALUE!</v>
      </c>
      <c r="D608" s="12" t="e">
        <f>MID(MAIN!A613,K608+2,2)</f>
        <v>#VALUE!</v>
      </c>
      <c r="E608" s="12" t="e">
        <f>MID(MAIN!A613,K608+4,2)</f>
        <v>#VALUE!</v>
      </c>
      <c r="F608" s="2" t="e">
        <f t="shared" si="37"/>
        <v>#VALUE!</v>
      </c>
      <c r="G608" s="13" t="e">
        <f t="shared" si="38"/>
        <v>#VALUE!</v>
      </c>
      <c r="J608" t="str">
        <f>MAIN!A613&amp;"B"</f>
        <v>B</v>
      </c>
      <c r="K608" s="12" t="e">
        <f t="shared" si="39"/>
        <v>#VALUE!</v>
      </c>
      <c r="L608" t="str">
        <f>MAIN!C613</f>
        <v/>
      </c>
    </row>
    <row r="609" spans="1:12" x14ac:dyDescent="0.3">
      <c r="A609">
        <f>IF(J609="0",0,IF(COUNTIF($J$2:J609,J609)=1,1,0))</f>
        <v>0</v>
      </c>
      <c r="B609" s="12" t="e">
        <f>MID(MAIN!A614,K609,2)</f>
        <v>#VALUE!</v>
      </c>
      <c r="C609" s="12" t="e">
        <f t="shared" si="36"/>
        <v>#VALUE!</v>
      </c>
      <c r="D609" s="12" t="e">
        <f>MID(MAIN!A614,K609+2,2)</f>
        <v>#VALUE!</v>
      </c>
      <c r="E609" s="12" t="e">
        <f>MID(MAIN!A614,K609+4,2)</f>
        <v>#VALUE!</v>
      </c>
      <c r="F609" s="2" t="e">
        <f t="shared" si="37"/>
        <v>#VALUE!</v>
      </c>
      <c r="G609" s="13" t="e">
        <f t="shared" si="38"/>
        <v>#VALUE!</v>
      </c>
      <c r="J609" t="str">
        <f>MAIN!A614&amp;"B"</f>
        <v>B</v>
      </c>
      <c r="K609" s="12" t="e">
        <f t="shared" si="39"/>
        <v>#VALUE!</v>
      </c>
      <c r="L609" t="str">
        <f>MAIN!C614</f>
        <v/>
      </c>
    </row>
    <row r="610" spans="1:12" x14ac:dyDescent="0.3">
      <c r="A610">
        <f>IF(J610="0",0,IF(COUNTIF($J$2:J610,J610)=1,1,0))</f>
        <v>0</v>
      </c>
      <c r="B610" s="12" t="e">
        <f>MID(MAIN!A615,K610,2)</f>
        <v>#VALUE!</v>
      </c>
      <c r="C610" s="12" t="e">
        <f t="shared" si="36"/>
        <v>#VALUE!</v>
      </c>
      <c r="D610" s="12" t="e">
        <f>MID(MAIN!A615,K610+2,2)</f>
        <v>#VALUE!</v>
      </c>
      <c r="E610" s="12" t="e">
        <f>MID(MAIN!A615,K610+4,2)</f>
        <v>#VALUE!</v>
      </c>
      <c r="F610" s="2" t="e">
        <f t="shared" si="37"/>
        <v>#VALUE!</v>
      </c>
      <c r="G610" s="13" t="e">
        <f t="shared" si="38"/>
        <v>#VALUE!</v>
      </c>
      <c r="J610" t="str">
        <f>MAIN!A615&amp;"B"</f>
        <v>B</v>
      </c>
      <c r="K610" s="12" t="e">
        <f t="shared" si="39"/>
        <v>#VALUE!</v>
      </c>
      <c r="L610" t="str">
        <f>MAIN!C615</f>
        <v/>
      </c>
    </row>
    <row r="611" spans="1:12" x14ac:dyDescent="0.3">
      <c r="A611">
        <f>IF(J611="0",0,IF(COUNTIF($J$2:J611,J611)=1,1,0))</f>
        <v>0</v>
      </c>
      <c r="B611" s="12" t="e">
        <f>MID(MAIN!A616,K611,2)</f>
        <v>#VALUE!</v>
      </c>
      <c r="C611" s="12" t="e">
        <f t="shared" si="36"/>
        <v>#VALUE!</v>
      </c>
      <c r="D611" s="12" t="e">
        <f>MID(MAIN!A616,K611+2,2)</f>
        <v>#VALUE!</v>
      </c>
      <c r="E611" s="12" t="e">
        <f>MID(MAIN!A616,K611+4,2)</f>
        <v>#VALUE!</v>
      </c>
      <c r="F611" s="2" t="e">
        <f t="shared" si="37"/>
        <v>#VALUE!</v>
      </c>
      <c r="G611" s="13" t="e">
        <f t="shared" si="38"/>
        <v>#VALUE!</v>
      </c>
      <c r="J611" t="str">
        <f>MAIN!A616&amp;"B"</f>
        <v>B</v>
      </c>
      <c r="K611" s="12" t="e">
        <f t="shared" si="39"/>
        <v>#VALUE!</v>
      </c>
      <c r="L611" t="str">
        <f>MAIN!C616</f>
        <v/>
      </c>
    </row>
    <row r="612" spans="1:12" x14ac:dyDescent="0.3">
      <c r="A612">
        <f>IF(J612="0",0,IF(COUNTIF($J$2:J612,J612)=1,1,0))</f>
        <v>0</v>
      </c>
      <c r="B612" s="12" t="e">
        <f>MID(MAIN!A617,K612,2)</f>
        <v>#VALUE!</v>
      </c>
      <c r="C612" s="12" t="e">
        <f t="shared" si="36"/>
        <v>#VALUE!</v>
      </c>
      <c r="D612" s="12" t="e">
        <f>MID(MAIN!A617,K612+2,2)</f>
        <v>#VALUE!</v>
      </c>
      <c r="E612" s="12" t="e">
        <f>MID(MAIN!A617,K612+4,2)</f>
        <v>#VALUE!</v>
      </c>
      <c r="F612" s="2" t="e">
        <f t="shared" si="37"/>
        <v>#VALUE!</v>
      </c>
      <c r="G612" s="13" t="e">
        <f t="shared" si="38"/>
        <v>#VALUE!</v>
      </c>
      <c r="J612" t="str">
        <f>MAIN!A617&amp;"B"</f>
        <v>B</v>
      </c>
      <c r="K612" s="12" t="e">
        <f t="shared" si="39"/>
        <v>#VALUE!</v>
      </c>
      <c r="L612" t="str">
        <f>MAIN!C617</f>
        <v/>
      </c>
    </row>
    <row r="613" spans="1:12" x14ac:dyDescent="0.3">
      <c r="A613">
        <f>IF(J613="0",0,IF(COUNTIF($J$2:J613,J613)=1,1,0))</f>
        <v>0</v>
      </c>
      <c r="B613" s="12" t="e">
        <f>MID(MAIN!A618,K613,2)</f>
        <v>#VALUE!</v>
      </c>
      <c r="C613" s="12" t="e">
        <f t="shared" si="36"/>
        <v>#VALUE!</v>
      </c>
      <c r="D613" s="12" t="e">
        <f>MID(MAIN!A618,K613+2,2)</f>
        <v>#VALUE!</v>
      </c>
      <c r="E613" s="12" t="e">
        <f>MID(MAIN!A618,K613+4,2)</f>
        <v>#VALUE!</v>
      </c>
      <c r="F613" s="2" t="e">
        <f t="shared" si="37"/>
        <v>#VALUE!</v>
      </c>
      <c r="G613" s="13" t="e">
        <f t="shared" si="38"/>
        <v>#VALUE!</v>
      </c>
      <c r="J613" t="str">
        <f>MAIN!A618&amp;"B"</f>
        <v>B</v>
      </c>
      <c r="K613" s="12" t="e">
        <f t="shared" si="39"/>
        <v>#VALUE!</v>
      </c>
      <c r="L613" t="str">
        <f>MAIN!C618</f>
        <v/>
      </c>
    </row>
    <row r="614" spans="1:12" x14ac:dyDescent="0.3">
      <c r="A614">
        <f>IF(J614="0",0,IF(COUNTIF($J$2:J614,J614)=1,1,0))</f>
        <v>0</v>
      </c>
      <c r="B614" s="12" t="e">
        <f>MID(MAIN!A619,K614,2)</f>
        <v>#VALUE!</v>
      </c>
      <c r="C614" s="12" t="e">
        <f t="shared" si="36"/>
        <v>#VALUE!</v>
      </c>
      <c r="D614" s="12" t="e">
        <f>MID(MAIN!A619,K614+2,2)</f>
        <v>#VALUE!</v>
      </c>
      <c r="E614" s="12" t="e">
        <f>MID(MAIN!A619,K614+4,2)</f>
        <v>#VALUE!</v>
      </c>
      <c r="F614" s="2" t="e">
        <f t="shared" si="37"/>
        <v>#VALUE!</v>
      </c>
      <c r="G614" s="13" t="e">
        <f t="shared" si="38"/>
        <v>#VALUE!</v>
      </c>
      <c r="J614" t="str">
        <f>MAIN!A619&amp;"B"</f>
        <v>B</v>
      </c>
      <c r="K614" s="12" t="e">
        <f t="shared" si="39"/>
        <v>#VALUE!</v>
      </c>
      <c r="L614" t="str">
        <f>MAIN!C619</f>
        <v/>
      </c>
    </row>
    <row r="615" spans="1:12" x14ac:dyDescent="0.3">
      <c r="A615">
        <f>IF(J615="0",0,IF(COUNTIF($J$2:J615,J615)=1,1,0))</f>
        <v>0</v>
      </c>
      <c r="B615" s="12" t="e">
        <f>MID(MAIN!A620,K615,2)</f>
        <v>#VALUE!</v>
      </c>
      <c r="C615" s="12" t="e">
        <f t="shared" si="36"/>
        <v>#VALUE!</v>
      </c>
      <c r="D615" s="12" t="e">
        <f>MID(MAIN!A620,K615+2,2)</f>
        <v>#VALUE!</v>
      </c>
      <c r="E615" s="12" t="e">
        <f>MID(MAIN!A620,K615+4,2)</f>
        <v>#VALUE!</v>
      </c>
      <c r="F615" s="2" t="e">
        <f t="shared" si="37"/>
        <v>#VALUE!</v>
      </c>
      <c r="G615" s="13" t="e">
        <f t="shared" si="38"/>
        <v>#VALUE!</v>
      </c>
      <c r="J615" t="str">
        <f>MAIN!A620&amp;"B"</f>
        <v>B</v>
      </c>
      <c r="K615" s="12" t="e">
        <f t="shared" si="39"/>
        <v>#VALUE!</v>
      </c>
      <c r="L615" t="str">
        <f>MAIN!C620</f>
        <v/>
      </c>
    </row>
    <row r="616" spans="1:12" x14ac:dyDescent="0.3">
      <c r="A616">
        <f>IF(J616="0",0,IF(COUNTIF($J$2:J616,J616)=1,1,0))</f>
        <v>0</v>
      </c>
      <c r="B616" s="12" t="e">
        <f>MID(MAIN!A621,K616,2)</f>
        <v>#VALUE!</v>
      </c>
      <c r="C616" s="12" t="e">
        <f t="shared" si="36"/>
        <v>#VALUE!</v>
      </c>
      <c r="D616" s="12" t="e">
        <f>MID(MAIN!A621,K616+2,2)</f>
        <v>#VALUE!</v>
      </c>
      <c r="E616" s="12" t="e">
        <f>MID(MAIN!A621,K616+4,2)</f>
        <v>#VALUE!</v>
      </c>
      <c r="F616" s="2" t="e">
        <f t="shared" si="37"/>
        <v>#VALUE!</v>
      </c>
      <c r="G616" s="13" t="e">
        <f t="shared" si="38"/>
        <v>#VALUE!</v>
      </c>
      <c r="J616" t="str">
        <f>MAIN!A621&amp;"B"</f>
        <v>B</v>
      </c>
      <c r="K616" s="12" t="e">
        <f t="shared" si="39"/>
        <v>#VALUE!</v>
      </c>
      <c r="L616" t="str">
        <f>MAIN!C621</f>
        <v/>
      </c>
    </row>
    <row r="617" spans="1:12" x14ac:dyDescent="0.3">
      <c r="A617">
        <f>IF(J617="0",0,IF(COUNTIF($J$2:J617,J617)=1,1,0))</f>
        <v>0</v>
      </c>
      <c r="B617" s="12" t="e">
        <f>MID(MAIN!A622,K617,2)</f>
        <v>#VALUE!</v>
      </c>
      <c r="C617" s="12" t="e">
        <f t="shared" si="36"/>
        <v>#VALUE!</v>
      </c>
      <c r="D617" s="12" t="e">
        <f>MID(MAIN!A622,K617+2,2)</f>
        <v>#VALUE!</v>
      </c>
      <c r="E617" s="12" t="e">
        <f>MID(MAIN!A622,K617+4,2)</f>
        <v>#VALUE!</v>
      </c>
      <c r="F617" s="2" t="e">
        <f t="shared" si="37"/>
        <v>#VALUE!</v>
      </c>
      <c r="G617" s="13" t="e">
        <f t="shared" si="38"/>
        <v>#VALUE!</v>
      </c>
      <c r="J617" t="str">
        <f>MAIN!A622&amp;"B"</f>
        <v>B</v>
      </c>
      <c r="K617" s="12" t="e">
        <f t="shared" si="39"/>
        <v>#VALUE!</v>
      </c>
      <c r="L617" t="str">
        <f>MAIN!C622</f>
        <v/>
      </c>
    </row>
    <row r="618" spans="1:12" x14ac:dyDescent="0.3">
      <c r="A618">
        <f>IF(J618="0",0,IF(COUNTIF($J$2:J618,J618)=1,1,0))</f>
        <v>0</v>
      </c>
      <c r="B618" s="12" t="e">
        <f>MID(MAIN!A623,K618,2)</f>
        <v>#VALUE!</v>
      </c>
      <c r="C618" s="12" t="e">
        <f t="shared" si="36"/>
        <v>#VALUE!</v>
      </c>
      <c r="D618" s="12" t="e">
        <f>MID(MAIN!A623,K618+2,2)</f>
        <v>#VALUE!</v>
      </c>
      <c r="E618" s="12" t="e">
        <f>MID(MAIN!A623,K618+4,2)</f>
        <v>#VALUE!</v>
      </c>
      <c r="F618" s="2" t="e">
        <f t="shared" si="37"/>
        <v>#VALUE!</v>
      </c>
      <c r="G618" s="13" t="e">
        <f t="shared" si="38"/>
        <v>#VALUE!</v>
      </c>
      <c r="J618" t="str">
        <f>MAIN!A623&amp;"B"</f>
        <v>B</v>
      </c>
      <c r="K618" s="12" t="e">
        <f t="shared" si="39"/>
        <v>#VALUE!</v>
      </c>
      <c r="L618" t="str">
        <f>MAIN!C623</f>
        <v/>
      </c>
    </row>
    <row r="619" spans="1:12" x14ac:dyDescent="0.3">
      <c r="A619">
        <f>IF(J619="0",0,IF(COUNTIF($J$2:J619,J619)=1,1,0))</f>
        <v>0</v>
      </c>
      <c r="B619" s="12" t="e">
        <f>MID(MAIN!A624,K619,2)</f>
        <v>#VALUE!</v>
      </c>
      <c r="C619" s="12" t="e">
        <f t="shared" si="36"/>
        <v>#VALUE!</v>
      </c>
      <c r="D619" s="12" t="e">
        <f>MID(MAIN!A624,K619+2,2)</f>
        <v>#VALUE!</v>
      </c>
      <c r="E619" s="12" t="e">
        <f>MID(MAIN!A624,K619+4,2)</f>
        <v>#VALUE!</v>
      </c>
      <c r="F619" s="2" t="e">
        <f t="shared" si="37"/>
        <v>#VALUE!</v>
      </c>
      <c r="G619" s="13" t="e">
        <f t="shared" si="38"/>
        <v>#VALUE!</v>
      </c>
      <c r="J619" t="str">
        <f>MAIN!A624&amp;"B"</f>
        <v>B</v>
      </c>
      <c r="K619" s="12" t="e">
        <f t="shared" si="39"/>
        <v>#VALUE!</v>
      </c>
      <c r="L619" t="str">
        <f>MAIN!C624</f>
        <v/>
      </c>
    </row>
    <row r="620" spans="1:12" x14ac:dyDescent="0.3">
      <c r="A620">
        <f>IF(J620="0",0,IF(COUNTIF($J$2:J620,J620)=1,1,0))</f>
        <v>0</v>
      </c>
      <c r="B620" s="12" t="e">
        <f>MID(MAIN!A625,K620,2)</f>
        <v>#VALUE!</v>
      </c>
      <c r="C620" s="12" t="e">
        <f t="shared" si="36"/>
        <v>#VALUE!</v>
      </c>
      <c r="D620" s="12" t="e">
        <f>MID(MAIN!A625,K620+2,2)</f>
        <v>#VALUE!</v>
      </c>
      <c r="E620" s="12" t="e">
        <f>MID(MAIN!A625,K620+4,2)</f>
        <v>#VALUE!</v>
      </c>
      <c r="F620" s="2" t="e">
        <f t="shared" si="37"/>
        <v>#VALUE!</v>
      </c>
      <c r="G620" s="13" t="e">
        <f t="shared" si="38"/>
        <v>#VALUE!</v>
      </c>
      <c r="J620" t="str">
        <f>MAIN!A625&amp;"B"</f>
        <v>B</v>
      </c>
      <c r="K620" s="12" t="e">
        <f t="shared" si="39"/>
        <v>#VALUE!</v>
      </c>
      <c r="L620" t="str">
        <f>MAIN!C625</f>
        <v/>
      </c>
    </row>
    <row r="621" spans="1:12" x14ac:dyDescent="0.3">
      <c r="A621">
        <f>IF(J621="0",0,IF(COUNTIF($J$2:J621,J621)=1,1,0))</f>
        <v>0</v>
      </c>
      <c r="B621" s="12" t="e">
        <f>MID(MAIN!A626,K621,2)</f>
        <v>#VALUE!</v>
      </c>
      <c r="C621" s="12" t="e">
        <f t="shared" si="36"/>
        <v>#VALUE!</v>
      </c>
      <c r="D621" s="12" t="e">
        <f>MID(MAIN!A626,K621+2,2)</f>
        <v>#VALUE!</v>
      </c>
      <c r="E621" s="12" t="e">
        <f>MID(MAIN!A626,K621+4,2)</f>
        <v>#VALUE!</v>
      </c>
      <c r="F621" s="2" t="e">
        <f t="shared" si="37"/>
        <v>#VALUE!</v>
      </c>
      <c r="G621" s="13" t="e">
        <f t="shared" si="38"/>
        <v>#VALUE!</v>
      </c>
      <c r="J621" t="str">
        <f>MAIN!A626&amp;"B"</f>
        <v>B</v>
      </c>
      <c r="K621" s="12" t="e">
        <f t="shared" si="39"/>
        <v>#VALUE!</v>
      </c>
      <c r="L621" t="str">
        <f>MAIN!C626</f>
        <v/>
      </c>
    </row>
    <row r="622" spans="1:12" x14ac:dyDescent="0.3">
      <c r="A622">
        <f>IF(J622="0",0,IF(COUNTIF($J$2:J622,J622)=1,1,0))</f>
        <v>0</v>
      </c>
      <c r="B622" s="12" t="e">
        <f>MID(MAIN!A627,K622,2)</f>
        <v>#VALUE!</v>
      </c>
      <c r="C622" s="12" t="e">
        <f t="shared" si="36"/>
        <v>#VALUE!</v>
      </c>
      <c r="D622" s="12" t="e">
        <f>MID(MAIN!A627,K622+2,2)</f>
        <v>#VALUE!</v>
      </c>
      <c r="E622" s="12" t="e">
        <f>MID(MAIN!A627,K622+4,2)</f>
        <v>#VALUE!</v>
      </c>
      <c r="F622" s="2" t="e">
        <f t="shared" si="37"/>
        <v>#VALUE!</v>
      </c>
      <c r="G622" s="13" t="e">
        <f t="shared" si="38"/>
        <v>#VALUE!</v>
      </c>
      <c r="J622" t="str">
        <f>MAIN!A627&amp;"B"</f>
        <v>B</v>
      </c>
      <c r="K622" s="12" t="e">
        <f t="shared" si="39"/>
        <v>#VALUE!</v>
      </c>
      <c r="L622" t="str">
        <f>MAIN!C627</f>
        <v/>
      </c>
    </row>
    <row r="623" spans="1:12" x14ac:dyDescent="0.3">
      <c r="A623">
        <f>IF(J623="0",0,IF(COUNTIF($J$2:J623,J623)=1,1,0))</f>
        <v>0</v>
      </c>
      <c r="B623" s="12" t="e">
        <f>MID(MAIN!A628,K623,2)</f>
        <v>#VALUE!</v>
      </c>
      <c r="C623" s="12" t="e">
        <f t="shared" si="36"/>
        <v>#VALUE!</v>
      </c>
      <c r="D623" s="12" t="e">
        <f>MID(MAIN!A628,K623+2,2)</f>
        <v>#VALUE!</v>
      </c>
      <c r="E623" s="12" t="e">
        <f>MID(MAIN!A628,K623+4,2)</f>
        <v>#VALUE!</v>
      </c>
      <c r="F623" s="2" t="e">
        <f t="shared" si="37"/>
        <v>#VALUE!</v>
      </c>
      <c r="G623" s="13" t="e">
        <f t="shared" si="38"/>
        <v>#VALUE!</v>
      </c>
      <c r="J623" t="str">
        <f>MAIN!A628&amp;"B"</f>
        <v>B</v>
      </c>
      <c r="K623" s="12" t="e">
        <f t="shared" si="39"/>
        <v>#VALUE!</v>
      </c>
      <c r="L623" t="str">
        <f>MAIN!C628</f>
        <v/>
      </c>
    </row>
    <row r="624" spans="1:12" x14ac:dyDescent="0.3">
      <c r="A624">
        <f>IF(J624="0",0,IF(COUNTIF($J$2:J624,J624)=1,1,0))</f>
        <v>0</v>
      </c>
      <c r="B624" s="12" t="e">
        <f>MID(MAIN!A629,K624,2)</f>
        <v>#VALUE!</v>
      </c>
      <c r="C624" s="12" t="e">
        <f t="shared" si="36"/>
        <v>#VALUE!</v>
      </c>
      <c r="D624" s="12" t="e">
        <f>MID(MAIN!A629,K624+2,2)</f>
        <v>#VALUE!</v>
      </c>
      <c r="E624" s="12" t="e">
        <f>MID(MAIN!A629,K624+4,2)</f>
        <v>#VALUE!</v>
      </c>
      <c r="F624" s="2" t="e">
        <f t="shared" si="37"/>
        <v>#VALUE!</v>
      </c>
      <c r="G624" s="13" t="e">
        <f t="shared" si="38"/>
        <v>#VALUE!</v>
      </c>
      <c r="J624" t="str">
        <f>MAIN!A629&amp;"B"</f>
        <v>B</v>
      </c>
      <c r="K624" s="12" t="e">
        <f t="shared" si="39"/>
        <v>#VALUE!</v>
      </c>
      <c r="L624" t="str">
        <f>MAIN!C629</f>
        <v/>
      </c>
    </row>
    <row r="625" spans="1:12" x14ac:dyDescent="0.3">
      <c r="A625">
        <f>IF(J625="0",0,IF(COUNTIF($J$2:J625,J625)=1,1,0))</f>
        <v>0</v>
      </c>
      <c r="B625" s="12" t="e">
        <f>MID(MAIN!A630,K625,2)</f>
        <v>#VALUE!</v>
      </c>
      <c r="C625" s="12" t="e">
        <f t="shared" si="36"/>
        <v>#VALUE!</v>
      </c>
      <c r="D625" s="12" t="e">
        <f>MID(MAIN!A630,K625+2,2)</f>
        <v>#VALUE!</v>
      </c>
      <c r="E625" s="12" t="e">
        <f>MID(MAIN!A630,K625+4,2)</f>
        <v>#VALUE!</v>
      </c>
      <c r="F625" s="2" t="e">
        <f t="shared" si="37"/>
        <v>#VALUE!</v>
      </c>
      <c r="G625" s="13" t="e">
        <f t="shared" si="38"/>
        <v>#VALUE!</v>
      </c>
      <c r="J625" t="str">
        <f>MAIN!A630&amp;"B"</f>
        <v>B</v>
      </c>
      <c r="K625" s="12" t="e">
        <f t="shared" si="39"/>
        <v>#VALUE!</v>
      </c>
      <c r="L625" t="str">
        <f>MAIN!C630</f>
        <v/>
      </c>
    </row>
    <row r="626" spans="1:12" x14ac:dyDescent="0.3">
      <c r="A626">
        <f>IF(J626="0",0,IF(COUNTIF($J$2:J626,J626)=1,1,0))</f>
        <v>0</v>
      </c>
      <c r="B626" s="12" t="e">
        <f>MID(MAIN!A631,K626,2)</f>
        <v>#VALUE!</v>
      </c>
      <c r="C626" s="12" t="e">
        <f t="shared" si="36"/>
        <v>#VALUE!</v>
      </c>
      <c r="D626" s="12" t="e">
        <f>MID(MAIN!A631,K626+2,2)</f>
        <v>#VALUE!</v>
      </c>
      <c r="E626" s="12" t="e">
        <f>MID(MAIN!A631,K626+4,2)</f>
        <v>#VALUE!</v>
      </c>
      <c r="F626" s="2" t="e">
        <f t="shared" si="37"/>
        <v>#VALUE!</v>
      </c>
      <c r="G626" s="13" t="e">
        <f t="shared" si="38"/>
        <v>#VALUE!</v>
      </c>
      <c r="J626" t="str">
        <f>MAIN!A631&amp;"B"</f>
        <v>B</v>
      </c>
      <c r="K626" s="12" t="e">
        <f t="shared" si="39"/>
        <v>#VALUE!</v>
      </c>
      <c r="L626" t="str">
        <f>MAIN!C631</f>
        <v/>
      </c>
    </row>
    <row r="627" spans="1:12" x14ac:dyDescent="0.3">
      <c r="A627">
        <f>IF(J627="0",0,IF(COUNTIF($J$2:J627,J627)=1,1,0))</f>
        <v>0</v>
      </c>
      <c r="B627" s="12" t="e">
        <f>MID(MAIN!A632,K627,2)</f>
        <v>#VALUE!</v>
      </c>
      <c r="C627" s="12" t="e">
        <f t="shared" si="36"/>
        <v>#VALUE!</v>
      </c>
      <c r="D627" s="12" t="e">
        <f>MID(MAIN!A632,K627+2,2)</f>
        <v>#VALUE!</v>
      </c>
      <c r="E627" s="12" t="e">
        <f>MID(MAIN!A632,K627+4,2)</f>
        <v>#VALUE!</v>
      </c>
      <c r="F627" s="2" t="e">
        <f t="shared" si="37"/>
        <v>#VALUE!</v>
      </c>
      <c r="G627" s="13" t="e">
        <f t="shared" si="38"/>
        <v>#VALUE!</v>
      </c>
      <c r="J627" t="str">
        <f>MAIN!A632&amp;"B"</f>
        <v>B</v>
      </c>
      <c r="K627" s="12" t="e">
        <f t="shared" si="39"/>
        <v>#VALUE!</v>
      </c>
      <c r="L627" t="str">
        <f>MAIN!C632</f>
        <v/>
      </c>
    </row>
    <row r="628" spans="1:12" x14ac:dyDescent="0.3">
      <c r="A628">
        <f>IF(J628="0",0,IF(COUNTIF($J$2:J628,J628)=1,1,0))</f>
        <v>0</v>
      </c>
      <c r="B628" s="12" t="e">
        <f>MID(MAIN!A633,K628,2)</f>
        <v>#VALUE!</v>
      </c>
      <c r="C628" s="12" t="e">
        <f t="shared" si="36"/>
        <v>#VALUE!</v>
      </c>
      <c r="D628" s="12" t="e">
        <f>MID(MAIN!A633,K628+2,2)</f>
        <v>#VALUE!</v>
      </c>
      <c r="E628" s="12" t="e">
        <f>MID(MAIN!A633,K628+4,2)</f>
        <v>#VALUE!</v>
      </c>
      <c r="F628" s="2" t="e">
        <f t="shared" si="37"/>
        <v>#VALUE!</v>
      </c>
      <c r="G628" s="13" t="e">
        <f t="shared" si="38"/>
        <v>#VALUE!</v>
      </c>
      <c r="J628" t="str">
        <f>MAIN!A633&amp;"B"</f>
        <v>B</v>
      </c>
      <c r="K628" s="12" t="e">
        <f t="shared" si="39"/>
        <v>#VALUE!</v>
      </c>
      <c r="L628" t="str">
        <f>MAIN!C633</f>
        <v/>
      </c>
    </row>
    <row r="629" spans="1:12" x14ac:dyDescent="0.3">
      <c r="A629">
        <f>IF(J629="0",0,IF(COUNTIF($J$2:J629,J629)=1,1,0))</f>
        <v>0</v>
      </c>
      <c r="B629" s="12" t="e">
        <f>MID(MAIN!A634,K629,2)</f>
        <v>#VALUE!</v>
      </c>
      <c r="C629" s="12" t="e">
        <f t="shared" si="36"/>
        <v>#VALUE!</v>
      </c>
      <c r="D629" s="12" t="e">
        <f>MID(MAIN!A634,K629+2,2)</f>
        <v>#VALUE!</v>
      </c>
      <c r="E629" s="12" t="e">
        <f>MID(MAIN!A634,K629+4,2)</f>
        <v>#VALUE!</v>
      </c>
      <c r="F629" s="2" t="e">
        <f t="shared" si="37"/>
        <v>#VALUE!</v>
      </c>
      <c r="G629" s="13" t="e">
        <f t="shared" si="38"/>
        <v>#VALUE!</v>
      </c>
      <c r="J629" t="str">
        <f>MAIN!A634&amp;"B"</f>
        <v>B</v>
      </c>
      <c r="K629" s="12" t="e">
        <f t="shared" si="39"/>
        <v>#VALUE!</v>
      </c>
      <c r="L629" t="str">
        <f>MAIN!C634</f>
        <v/>
      </c>
    </row>
    <row r="630" spans="1:12" x14ac:dyDescent="0.3">
      <c r="A630">
        <f>IF(J630="0",0,IF(COUNTIF($J$2:J630,J630)=1,1,0))</f>
        <v>0</v>
      </c>
      <c r="B630" s="12" t="e">
        <f>MID(MAIN!A635,K630,2)</f>
        <v>#VALUE!</v>
      </c>
      <c r="C630" s="12" t="e">
        <f t="shared" si="36"/>
        <v>#VALUE!</v>
      </c>
      <c r="D630" s="12" t="e">
        <f>MID(MAIN!A635,K630+2,2)</f>
        <v>#VALUE!</v>
      </c>
      <c r="E630" s="12" t="e">
        <f>MID(MAIN!A635,K630+4,2)</f>
        <v>#VALUE!</v>
      </c>
      <c r="F630" s="2" t="e">
        <f t="shared" si="37"/>
        <v>#VALUE!</v>
      </c>
      <c r="G630" s="13" t="e">
        <f t="shared" si="38"/>
        <v>#VALUE!</v>
      </c>
      <c r="J630" t="str">
        <f>MAIN!A635&amp;"B"</f>
        <v>B</v>
      </c>
      <c r="K630" s="12" t="e">
        <f t="shared" si="39"/>
        <v>#VALUE!</v>
      </c>
      <c r="L630" t="str">
        <f>MAIN!C635</f>
        <v/>
      </c>
    </row>
    <row r="631" spans="1:12" x14ac:dyDescent="0.3">
      <c r="A631">
        <f>IF(J631="0",0,IF(COUNTIF($J$2:J631,J631)=1,1,0))</f>
        <v>0</v>
      </c>
      <c r="B631" s="12" t="e">
        <f>MID(MAIN!A636,K631,2)</f>
        <v>#VALUE!</v>
      </c>
      <c r="C631" s="12" t="e">
        <f t="shared" si="36"/>
        <v>#VALUE!</v>
      </c>
      <c r="D631" s="12" t="e">
        <f>MID(MAIN!A636,K631+2,2)</f>
        <v>#VALUE!</v>
      </c>
      <c r="E631" s="12" t="e">
        <f>MID(MAIN!A636,K631+4,2)</f>
        <v>#VALUE!</v>
      </c>
      <c r="F631" s="2" t="e">
        <f t="shared" si="37"/>
        <v>#VALUE!</v>
      </c>
      <c r="G631" s="13" t="e">
        <f t="shared" si="38"/>
        <v>#VALUE!</v>
      </c>
      <c r="J631" t="str">
        <f>MAIN!A636&amp;"B"</f>
        <v>B</v>
      </c>
      <c r="K631" s="12" t="e">
        <f t="shared" si="39"/>
        <v>#VALUE!</v>
      </c>
      <c r="L631" t="str">
        <f>MAIN!C636</f>
        <v/>
      </c>
    </row>
    <row r="632" spans="1:12" x14ac:dyDescent="0.3">
      <c r="A632">
        <f>IF(J632="0",0,IF(COUNTIF($J$2:J632,J632)=1,1,0))</f>
        <v>0</v>
      </c>
      <c r="B632" s="12" t="e">
        <f>MID(MAIN!A637,K632,2)</f>
        <v>#VALUE!</v>
      </c>
      <c r="C632" s="12" t="e">
        <f t="shared" si="36"/>
        <v>#VALUE!</v>
      </c>
      <c r="D632" s="12" t="e">
        <f>MID(MAIN!A637,K632+2,2)</f>
        <v>#VALUE!</v>
      </c>
      <c r="E632" s="12" t="e">
        <f>MID(MAIN!A637,K632+4,2)</f>
        <v>#VALUE!</v>
      </c>
      <c r="F632" s="2" t="e">
        <f t="shared" si="37"/>
        <v>#VALUE!</v>
      </c>
      <c r="G632" s="13" t="e">
        <f t="shared" si="38"/>
        <v>#VALUE!</v>
      </c>
      <c r="J632" t="str">
        <f>MAIN!A637&amp;"B"</f>
        <v>B</v>
      </c>
      <c r="K632" s="12" t="e">
        <f t="shared" si="39"/>
        <v>#VALUE!</v>
      </c>
      <c r="L632" t="str">
        <f>MAIN!C637</f>
        <v/>
      </c>
    </row>
    <row r="633" spans="1:12" x14ac:dyDescent="0.3">
      <c r="A633">
        <f>IF(J633="0",0,IF(COUNTIF($J$2:J633,J633)=1,1,0))</f>
        <v>0</v>
      </c>
      <c r="B633" s="12" t="e">
        <f>MID(MAIN!A638,K633,2)</f>
        <v>#VALUE!</v>
      </c>
      <c r="C633" s="12" t="e">
        <f t="shared" si="36"/>
        <v>#VALUE!</v>
      </c>
      <c r="D633" s="12" t="e">
        <f>MID(MAIN!A638,K633+2,2)</f>
        <v>#VALUE!</v>
      </c>
      <c r="E633" s="12" t="e">
        <f>MID(MAIN!A638,K633+4,2)</f>
        <v>#VALUE!</v>
      </c>
      <c r="F633" s="2" t="e">
        <f t="shared" si="37"/>
        <v>#VALUE!</v>
      </c>
      <c r="G633" s="13" t="e">
        <f t="shared" si="38"/>
        <v>#VALUE!</v>
      </c>
      <c r="J633" t="str">
        <f>MAIN!A638&amp;"B"</f>
        <v>B</v>
      </c>
      <c r="K633" s="12" t="e">
        <f t="shared" si="39"/>
        <v>#VALUE!</v>
      </c>
      <c r="L633" t="str">
        <f>MAIN!C638</f>
        <v/>
      </c>
    </row>
    <row r="634" spans="1:12" x14ac:dyDescent="0.3">
      <c r="A634">
        <f>IF(J634="0",0,IF(COUNTIF($J$2:J634,J634)=1,1,0))</f>
        <v>0</v>
      </c>
      <c r="B634" s="12" t="e">
        <f>MID(MAIN!A639,K634,2)</f>
        <v>#VALUE!</v>
      </c>
      <c r="C634" s="12" t="e">
        <f t="shared" si="36"/>
        <v>#VALUE!</v>
      </c>
      <c r="D634" s="12" t="e">
        <f>MID(MAIN!A639,K634+2,2)</f>
        <v>#VALUE!</v>
      </c>
      <c r="E634" s="12" t="e">
        <f>MID(MAIN!A639,K634+4,2)</f>
        <v>#VALUE!</v>
      </c>
      <c r="F634" s="2" t="e">
        <f t="shared" si="37"/>
        <v>#VALUE!</v>
      </c>
      <c r="G634" s="13" t="e">
        <f t="shared" si="38"/>
        <v>#VALUE!</v>
      </c>
      <c r="J634" t="str">
        <f>MAIN!A639&amp;"B"</f>
        <v>B</v>
      </c>
      <c r="K634" s="12" t="e">
        <f t="shared" si="39"/>
        <v>#VALUE!</v>
      </c>
      <c r="L634" t="str">
        <f>MAIN!C639</f>
        <v/>
      </c>
    </row>
    <row r="635" spans="1:12" x14ac:dyDescent="0.3">
      <c r="A635">
        <f>IF(J635="0",0,IF(COUNTIF($J$2:J635,J635)=1,1,0))</f>
        <v>0</v>
      </c>
      <c r="B635" s="12" t="e">
        <f>MID(MAIN!A640,K635,2)</f>
        <v>#VALUE!</v>
      </c>
      <c r="C635" s="12" t="e">
        <f t="shared" si="36"/>
        <v>#VALUE!</v>
      </c>
      <c r="D635" s="12" t="e">
        <f>MID(MAIN!A640,K635+2,2)</f>
        <v>#VALUE!</v>
      </c>
      <c r="E635" s="12" t="e">
        <f>MID(MAIN!A640,K635+4,2)</f>
        <v>#VALUE!</v>
      </c>
      <c r="F635" s="2" t="e">
        <f t="shared" si="37"/>
        <v>#VALUE!</v>
      </c>
      <c r="G635" s="13" t="e">
        <f t="shared" si="38"/>
        <v>#VALUE!</v>
      </c>
      <c r="J635" t="str">
        <f>MAIN!A640&amp;"B"</f>
        <v>B</v>
      </c>
      <c r="K635" s="12" t="e">
        <f t="shared" si="39"/>
        <v>#VALUE!</v>
      </c>
      <c r="L635" t="str">
        <f>MAIN!C640</f>
        <v/>
      </c>
    </row>
    <row r="636" spans="1:12" x14ac:dyDescent="0.3">
      <c r="A636">
        <f>IF(J636="0",0,IF(COUNTIF($J$2:J636,J636)=1,1,0))</f>
        <v>0</v>
      </c>
      <c r="B636" s="12" t="e">
        <f>MID(MAIN!A641,K636,2)</f>
        <v>#VALUE!</v>
      </c>
      <c r="C636" s="12" t="e">
        <f t="shared" si="36"/>
        <v>#VALUE!</v>
      </c>
      <c r="D636" s="12" t="e">
        <f>MID(MAIN!A641,K636+2,2)</f>
        <v>#VALUE!</v>
      </c>
      <c r="E636" s="12" t="e">
        <f>MID(MAIN!A641,K636+4,2)</f>
        <v>#VALUE!</v>
      </c>
      <c r="F636" s="2" t="e">
        <f t="shared" si="37"/>
        <v>#VALUE!</v>
      </c>
      <c r="G636" s="13" t="e">
        <f t="shared" si="38"/>
        <v>#VALUE!</v>
      </c>
      <c r="J636" t="str">
        <f>MAIN!A641&amp;"B"</f>
        <v>B</v>
      </c>
      <c r="K636" s="12" t="e">
        <f t="shared" si="39"/>
        <v>#VALUE!</v>
      </c>
      <c r="L636" t="str">
        <f>MAIN!C641</f>
        <v/>
      </c>
    </row>
    <row r="637" spans="1:12" x14ac:dyDescent="0.3">
      <c r="A637">
        <f>IF(J637="0",0,IF(COUNTIF($J$2:J637,J637)=1,1,0))</f>
        <v>0</v>
      </c>
      <c r="B637" s="12" t="e">
        <f>MID(MAIN!A642,K637,2)</f>
        <v>#VALUE!</v>
      </c>
      <c r="C637" s="12" t="e">
        <f t="shared" si="36"/>
        <v>#VALUE!</v>
      </c>
      <c r="D637" s="12" t="e">
        <f>MID(MAIN!A642,K637+2,2)</f>
        <v>#VALUE!</v>
      </c>
      <c r="E637" s="12" t="e">
        <f>MID(MAIN!A642,K637+4,2)</f>
        <v>#VALUE!</v>
      </c>
      <c r="F637" s="2" t="e">
        <f t="shared" si="37"/>
        <v>#VALUE!</v>
      </c>
      <c r="G637" s="13" t="e">
        <f t="shared" si="38"/>
        <v>#VALUE!</v>
      </c>
      <c r="J637" t="str">
        <f>MAIN!A642&amp;"B"</f>
        <v>B</v>
      </c>
      <c r="K637" s="12" t="e">
        <f t="shared" si="39"/>
        <v>#VALUE!</v>
      </c>
      <c r="L637" t="str">
        <f>MAIN!C642</f>
        <v/>
      </c>
    </row>
    <row r="638" spans="1:12" x14ac:dyDescent="0.3">
      <c r="A638">
        <f>IF(J638="0",0,IF(COUNTIF($J$2:J638,J638)=1,1,0))</f>
        <v>0</v>
      </c>
      <c r="B638" s="12" t="e">
        <f>MID(MAIN!A643,K638,2)</f>
        <v>#VALUE!</v>
      </c>
      <c r="C638" s="12" t="e">
        <f t="shared" si="36"/>
        <v>#VALUE!</v>
      </c>
      <c r="D638" s="12" t="e">
        <f>MID(MAIN!A643,K638+2,2)</f>
        <v>#VALUE!</v>
      </c>
      <c r="E638" s="12" t="e">
        <f>MID(MAIN!A643,K638+4,2)</f>
        <v>#VALUE!</v>
      </c>
      <c r="F638" s="2" t="e">
        <f t="shared" si="37"/>
        <v>#VALUE!</v>
      </c>
      <c r="G638" s="13" t="e">
        <f t="shared" si="38"/>
        <v>#VALUE!</v>
      </c>
      <c r="J638" t="str">
        <f>MAIN!A643&amp;"B"</f>
        <v>B</v>
      </c>
      <c r="K638" s="12" t="e">
        <f t="shared" si="39"/>
        <v>#VALUE!</v>
      </c>
      <c r="L638" t="str">
        <f>MAIN!C643</f>
        <v/>
      </c>
    </row>
    <row r="639" spans="1:12" x14ac:dyDescent="0.3">
      <c r="A639">
        <f>IF(J639="0",0,IF(COUNTIF($J$2:J639,J639)=1,1,0))</f>
        <v>0</v>
      </c>
      <c r="B639" s="12" t="e">
        <f>MID(MAIN!A644,K639,2)</f>
        <v>#VALUE!</v>
      </c>
      <c r="C639" s="12" t="e">
        <f t="shared" si="36"/>
        <v>#VALUE!</v>
      </c>
      <c r="D639" s="12" t="e">
        <f>MID(MAIN!A644,K639+2,2)</f>
        <v>#VALUE!</v>
      </c>
      <c r="E639" s="12" t="e">
        <f>MID(MAIN!A644,K639+4,2)</f>
        <v>#VALUE!</v>
      </c>
      <c r="F639" s="2" t="e">
        <f t="shared" si="37"/>
        <v>#VALUE!</v>
      </c>
      <c r="G639" s="13" t="e">
        <f t="shared" si="38"/>
        <v>#VALUE!</v>
      </c>
      <c r="J639" t="str">
        <f>MAIN!A644&amp;"B"</f>
        <v>B</v>
      </c>
      <c r="K639" s="12" t="e">
        <f t="shared" si="39"/>
        <v>#VALUE!</v>
      </c>
      <c r="L639" t="str">
        <f>MAIN!C644</f>
        <v/>
      </c>
    </row>
    <row r="640" spans="1:12" x14ac:dyDescent="0.3">
      <c r="A640">
        <f>IF(J640="0",0,IF(COUNTIF($J$2:J640,J640)=1,1,0))</f>
        <v>0</v>
      </c>
      <c r="B640" s="12" t="e">
        <f>MID(MAIN!A645,K640,2)</f>
        <v>#VALUE!</v>
      </c>
      <c r="C640" s="12" t="e">
        <f t="shared" si="36"/>
        <v>#VALUE!</v>
      </c>
      <c r="D640" s="12" t="e">
        <f>MID(MAIN!A645,K640+2,2)</f>
        <v>#VALUE!</v>
      </c>
      <c r="E640" s="12" t="e">
        <f>MID(MAIN!A645,K640+4,2)</f>
        <v>#VALUE!</v>
      </c>
      <c r="F640" s="2" t="e">
        <f t="shared" si="37"/>
        <v>#VALUE!</v>
      </c>
      <c r="G640" s="13" t="e">
        <f t="shared" si="38"/>
        <v>#VALUE!</v>
      </c>
      <c r="J640" t="str">
        <f>MAIN!A645&amp;"B"</f>
        <v>B</v>
      </c>
      <c r="K640" s="12" t="e">
        <f t="shared" si="39"/>
        <v>#VALUE!</v>
      </c>
      <c r="L640" t="str">
        <f>MAIN!C645</f>
        <v/>
      </c>
    </row>
    <row r="641" spans="1:12" x14ac:dyDescent="0.3">
      <c r="A641">
        <f>IF(J641="0",0,IF(COUNTIF($J$2:J641,J641)=1,1,0))</f>
        <v>0</v>
      </c>
      <c r="B641" s="12" t="e">
        <f>MID(MAIN!A646,K641,2)</f>
        <v>#VALUE!</v>
      </c>
      <c r="C641" s="12" t="e">
        <f t="shared" si="36"/>
        <v>#VALUE!</v>
      </c>
      <c r="D641" s="12" t="e">
        <f>MID(MAIN!A646,K641+2,2)</f>
        <v>#VALUE!</v>
      </c>
      <c r="E641" s="12" t="e">
        <f>MID(MAIN!A646,K641+4,2)</f>
        <v>#VALUE!</v>
      </c>
      <c r="F641" s="2" t="e">
        <f t="shared" si="37"/>
        <v>#VALUE!</v>
      </c>
      <c r="G641" s="13" t="e">
        <f t="shared" si="38"/>
        <v>#VALUE!</v>
      </c>
      <c r="J641" t="str">
        <f>MAIN!A646&amp;"B"</f>
        <v>B</v>
      </c>
      <c r="K641" s="12" t="e">
        <f t="shared" si="39"/>
        <v>#VALUE!</v>
      </c>
      <c r="L641" t="str">
        <f>MAIN!C646</f>
        <v/>
      </c>
    </row>
    <row r="642" spans="1:12" x14ac:dyDescent="0.3">
      <c r="A642">
        <f>IF(J642="0",0,IF(COUNTIF($J$2:J642,J642)=1,1,0))</f>
        <v>0</v>
      </c>
      <c r="B642" s="12" t="e">
        <f>MID(MAIN!A647,K642,2)</f>
        <v>#VALUE!</v>
      </c>
      <c r="C642" s="12" t="e">
        <f t="shared" si="36"/>
        <v>#VALUE!</v>
      </c>
      <c r="D642" s="12" t="e">
        <f>MID(MAIN!A647,K642+2,2)</f>
        <v>#VALUE!</v>
      </c>
      <c r="E642" s="12" t="e">
        <f>MID(MAIN!A647,K642+4,2)</f>
        <v>#VALUE!</v>
      </c>
      <c r="F642" s="2" t="e">
        <f t="shared" si="37"/>
        <v>#VALUE!</v>
      </c>
      <c r="G642" s="13" t="e">
        <f t="shared" si="38"/>
        <v>#VALUE!</v>
      </c>
      <c r="J642" t="str">
        <f>MAIN!A647&amp;"B"</f>
        <v>B</v>
      </c>
      <c r="K642" s="12" t="e">
        <f t="shared" si="39"/>
        <v>#VALUE!</v>
      </c>
      <c r="L642" t="str">
        <f>MAIN!C647</f>
        <v/>
      </c>
    </row>
    <row r="643" spans="1:12" x14ac:dyDescent="0.3">
      <c r="A643">
        <f>IF(J643="0",0,IF(COUNTIF($J$2:J643,J643)=1,1,0))</f>
        <v>0</v>
      </c>
      <c r="B643" s="12" t="e">
        <f>MID(MAIN!A648,K643,2)</f>
        <v>#VALUE!</v>
      </c>
      <c r="C643" s="12" t="e">
        <f t="shared" ref="C643:C706" si="40">"20"&amp;B643</f>
        <v>#VALUE!</v>
      </c>
      <c r="D643" s="12" t="e">
        <f>MID(MAIN!A648,K643+2,2)</f>
        <v>#VALUE!</v>
      </c>
      <c r="E643" s="12" t="e">
        <f>MID(MAIN!A648,K643+4,2)</f>
        <v>#VALUE!</v>
      </c>
      <c r="F643" s="2" t="e">
        <f t="shared" ref="F643:F706" si="41">C643&amp;"/"&amp;D643&amp;"/"&amp;E643</f>
        <v>#VALUE!</v>
      </c>
      <c r="G643" s="13" t="e">
        <f t="shared" ref="G643:G706" si="42">DATEVALUE(F643)</f>
        <v>#VALUE!</v>
      </c>
      <c r="J643" t="str">
        <f>MAIN!A648&amp;"B"</f>
        <v>B</v>
      </c>
      <c r="K643" s="12" t="e">
        <f t="shared" ref="K643:K706" si="43">FIND("172",J643,30)+2</f>
        <v>#VALUE!</v>
      </c>
      <c r="L643" t="str">
        <f>MAIN!C648</f>
        <v/>
      </c>
    </row>
    <row r="644" spans="1:12" x14ac:dyDescent="0.3">
      <c r="A644">
        <f>IF(J644="0",0,IF(COUNTIF($J$2:J644,J644)=1,1,0))</f>
        <v>0</v>
      </c>
      <c r="B644" s="12" t="e">
        <f>MID(MAIN!A649,K644,2)</f>
        <v>#VALUE!</v>
      </c>
      <c r="C644" s="12" t="e">
        <f t="shared" si="40"/>
        <v>#VALUE!</v>
      </c>
      <c r="D644" s="12" t="e">
        <f>MID(MAIN!A649,K644+2,2)</f>
        <v>#VALUE!</v>
      </c>
      <c r="E644" s="12" t="e">
        <f>MID(MAIN!A649,K644+4,2)</f>
        <v>#VALUE!</v>
      </c>
      <c r="F644" s="2" t="e">
        <f t="shared" si="41"/>
        <v>#VALUE!</v>
      </c>
      <c r="G644" s="13" t="e">
        <f t="shared" si="42"/>
        <v>#VALUE!</v>
      </c>
      <c r="J644" t="str">
        <f>MAIN!A649&amp;"B"</f>
        <v>B</v>
      </c>
      <c r="K644" s="12" t="e">
        <f t="shared" si="43"/>
        <v>#VALUE!</v>
      </c>
      <c r="L644" t="str">
        <f>MAIN!C649</f>
        <v/>
      </c>
    </row>
    <row r="645" spans="1:12" x14ac:dyDescent="0.3">
      <c r="A645">
        <f>IF(J645="0",0,IF(COUNTIF($J$2:J645,J645)=1,1,0))</f>
        <v>0</v>
      </c>
      <c r="B645" s="12" t="e">
        <f>MID(MAIN!A650,K645,2)</f>
        <v>#VALUE!</v>
      </c>
      <c r="C645" s="12" t="e">
        <f t="shared" si="40"/>
        <v>#VALUE!</v>
      </c>
      <c r="D645" s="12" t="e">
        <f>MID(MAIN!A650,K645+2,2)</f>
        <v>#VALUE!</v>
      </c>
      <c r="E645" s="12" t="e">
        <f>MID(MAIN!A650,K645+4,2)</f>
        <v>#VALUE!</v>
      </c>
      <c r="F645" s="2" t="e">
        <f t="shared" si="41"/>
        <v>#VALUE!</v>
      </c>
      <c r="G645" s="13" t="e">
        <f t="shared" si="42"/>
        <v>#VALUE!</v>
      </c>
      <c r="J645" t="str">
        <f>MAIN!A650&amp;"B"</f>
        <v>B</v>
      </c>
      <c r="K645" s="12" t="e">
        <f t="shared" si="43"/>
        <v>#VALUE!</v>
      </c>
      <c r="L645" t="str">
        <f>MAIN!C650</f>
        <v/>
      </c>
    </row>
    <row r="646" spans="1:12" x14ac:dyDescent="0.3">
      <c r="A646">
        <f>IF(J646="0",0,IF(COUNTIF($J$2:J646,J646)=1,1,0))</f>
        <v>0</v>
      </c>
      <c r="B646" s="12" t="e">
        <f>MID(MAIN!A651,K646,2)</f>
        <v>#VALUE!</v>
      </c>
      <c r="C646" s="12" t="e">
        <f t="shared" si="40"/>
        <v>#VALUE!</v>
      </c>
      <c r="D646" s="12" t="e">
        <f>MID(MAIN!A651,K646+2,2)</f>
        <v>#VALUE!</v>
      </c>
      <c r="E646" s="12" t="e">
        <f>MID(MAIN!A651,K646+4,2)</f>
        <v>#VALUE!</v>
      </c>
      <c r="F646" s="2" t="e">
        <f t="shared" si="41"/>
        <v>#VALUE!</v>
      </c>
      <c r="G646" s="13" t="e">
        <f t="shared" si="42"/>
        <v>#VALUE!</v>
      </c>
      <c r="J646" t="str">
        <f>MAIN!A651&amp;"B"</f>
        <v>B</v>
      </c>
      <c r="K646" s="12" t="e">
        <f t="shared" si="43"/>
        <v>#VALUE!</v>
      </c>
      <c r="L646" t="str">
        <f>MAIN!C651</f>
        <v/>
      </c>
    </row>
    <row r="647" spans="1:12" x14ac:dyDescent="0.3">
      <c r="A647">
        <f>IF(J647="0",0,IF(COUNTIF($J$2:J647,J647)=1,1,0))</f>
        <v>0</v>
      </c>
      <c r="B647" s="12" t="e">
        <f>MID(MAIN!A652,K647,2)</f>
        <v>#VALUE!</v>
      </c>
      <c r="C647" s="12" t="e">
        <f t="shared" si="40"/>
        <v>#VALUE!</v>
      </c>
      <c r="D647" s="12" t="e">
        <f>MID(MAIN!A652,K647+2,2)</f>
        <v>#VALUE!</v>
      </c>
      <c r="E647" s="12" t="e">
        <f>MID(MAIN!A652,K647+4,2)</f>
        <v>#VALUE!</v>
      </c>
      <c r="F647" s="2" t="e">
        <f t="shared" si="41"/>
        <v>#VALUE!</v>
      </c>
      <c r="G647" s="13" t="e">
        <f t="shared" si="42"/>
        <v>#VALUE!</v>
      </c>
      <c r="J647" t="str">
        <f>MAIN!A652&amp;"B"</f>
        <v>B</v>
      </c>
      <c r="K647" s="12" t="e">
        <f t="shared" si="43"/>
        <v>#VALUE!</v>
      </c>
      <c r="L647" t="str">
        <f>MAIN!C652</f>
        <v/>
      </c>
    </row>
    <row r="648" spans="1:12" x14ac:dyDescent="0.3">
      <c r="A648">
        <f>IF(J648="0",0,IF(COUNTIF($J$2:J648,J648)=1,1,0))</f>
        <v>0</v>
      </c>
      <c r="B648" s="12" t="e">
        <f>MID(MAIN!A653,K648,2)</f>
        <v>#VALUE!</v>
      </c>
      <c r="C648" s="12" t="e">
        <f t="shared" si="40"/>
        <v>#VALUE!</v>
      </c>
      <c r="D648" s="12" t="e">
        <f>MID(MAIN!A653,K648+2,2)</f>
        <v>#VALUE!</v>
      </c>
      <c r="E648" s="12" t="e">
        <f>MID(MAIN!A653,K648+4,2)</f>
        <v>#VALUE!</v>
      </c>
      <c r="F648" s="2" t="e">
        <f t="shared" si="41"/>
        <v>#VALUE!</v>
      </c>
      <c r="G648" s="13" t="e">
        <f t="shared" si="42"/>
        <v>#VALUE!</v>
      </c>
      <c r="J648" t="str">
        <f>MAIN!A653&amp;"B"</f>
        <v>B</v>
      </c>
      <c r="K648" s="12" t="e">
        <f t="shared" si="43"/>
        <v>#VALUE!</v>
      </c>
      <c r="L648" t="str">
        <f>MAIN!C653</f>
        <v/>
      </c>
    </row>
    <row r="649" spans="1:12" x14ac:dyDescent="0.3">
      <c r="A649">
        <f>IF(J649="0",0,IF(COUNTIF($J$2:J649,J649)=1,1,0))</f>
        <v>0</v>
      </c>
      <c r="B649" s="12" t="e">
        <f>MID(MAIN!A654,K649,2)</f>
        <v>#VALUE!</v>
      </c>
      <c r="C649" s="12" t="e">
        <f t="shared" si="40"/>
        <v>#VALUE!</v>
      </c>
      <c r="D649" s="12" t="e">
        <f>MID(MAIN!A654,K649+2,2)</f>
        <v>#VALUE!</v>
      </c>
      <c r="E649" s="12" t="e">
        <f>MID(MAIN!A654,K649+4,2)</f>
        <v>#VALUE!</v>
      </c>
      <c r="F649" s="2" t="e">
        <f t="shared" si="41"/>
        <v>#VALUE!</v>
      </c>
      <c r="G649" s="13" t="e">
        <f t="shared" si="42"/>
        <v>#VALUE!</v>
      </c>
      <c r="J649" t="str">
        <f>MAIN!A654&amp;"B"</f>
        <v>B</v>
      </c>
      <c r="K649" s="12" t="e">
        <f t="shared" si="43"/>
        <v>#VALUE!</v>
      </c>
      <c r="L649" t="str">
        <f>MAIN!C654</f>
        <v/>
      </c>
    </row>
    <row r="650" spans="1:12" x14ac:dyDescent="0.3">
      <c r="A650">
        <f>IF(J650="0",0,IF(COUNTIF($J$2:J650,J650)=1,1,0))</f>
        <v>0</v>
      </c>
      <c r="B650" s="12" t="e">
        <f>MID(MAIN!A655,K650,2)</f>
        <v>#VALUE!</v>
      </c>
      <c r="C650" s="12" t="e">
        <f t="shared" si="40"/>
        <v>#VALUE!</v>
      </c>
      <c r="D650" s="12" t="e">
        <f>MID(MAIN!A655,K650+2,2)</f>
        <v>#VALUE!</v>
      </c>
      <c r="E650" s="12" t="e">
        <f>MID(MAIN!A655,K650+4,2)</f>
        <v>#VALUE!</v>
      </c>
      <c r="F650" s="2" t="e">
        <f t="shared" si="41"/>
        <v>#VALUE!</v>
      </c>
      <c r="G650" s="13" t="e">
        <f t="shared" si="42"/>
        <v>#VALUE!</v>
      </c>
      <c r="J650" t="str">
        <f>MAIN!A655&amp;"B"</f>
        <v>B</v>
      </c>
      <c r="K650" s="12" t="e">
        <f t="shared" si="43"/>
        <v>#VALUE!</v>
      </c>
      <c r="L650" t="str">
        <f>MAIN!C655</f>
        <v/>
      </c>
    </row>
    <row r="651" spans="1:12" x14ac:dyDescent="0.3">
      <c r="A651">
        <f>IF(J651="0",0,IF(COUNTIF($J$2:J651,J651)=1,1,0))</f>
        <v>0</v>
      </c>
      <c r="B651" s="12" t="e">
        <f>MID(MAIN!A656,K651,2)</f>
        <v>#VALUE!</v>
      </c>
      <c r="C651" s="12" t="e">
        <f t="shared" si="40"/>
        <v>#VALUE!</v>
      </c>
      <c r="D651" s="12" t="e">
        <f>MID(MAIN!A656,K651+2,2)</f>
        <v>#VALUE!</v>
      </c>
      <c r="E651" s="12" t="e">
        <f>MID(MAIN!A656,K651+4,2)</f>
        <v>#VALUE!</v>
      </c>
      <c r="F651" s="2" t="e">
        <f t="shared" si="41"/>
        <v>#VALUE!</v>
      </c>
      <c r="G651" s="13" t="e">
        <f t="shared" si="42"/>
        <v>#VALUE!</v>
      </c>
      <c r="J651" t="str">
        <f>MAIN!A656&amp;"B"</f>
        <v>B</v>
      </c>
      <c r="K651" s="12" t="e">
        <f t="shared" si="43"/>
        <v>#VALUE!</v>
      </c>
      <c r="L651" t="str">
        <f>MAIN!C656</f>
        <v/>
      </c>
    </row>
    <row r="652" spans="1:12" x14ac:dyDescent="0.3">
      <c r="A652">
        <f>IF(J652="0",0,IF(COUNTIF($J$2:J652,J652)=1,1,0))</f>
        <v>0</v>
      </c>
      <c r="B652" s="12" t="e">
        <f>MID(MAIN!A657,K652,2)</f>
        <v>#VALUE!</v>
      </c>
      <c r="C652" s="12" t="e">
        <f t="shared" si="40"/>
        <v>#VALUE!</v>
      </c>
      <c r="D652" s="12" t="e">
        <f>MID(MAIN!A657,K652+2,2)</f>
        <v>#VALUE!</v>
      </c>
      <c r="E652" s="12" t="e">
        <f>MID(MAIN!A657,K652+4,2)</f>
        <v>#VALUE!</v>
      </c>
      <c r="F652" s="2" t="e">
        <f t="shared" si="41"/>
        <v>#VALUE!</v>
      </c>
      <c r="G652" s="13" t="e">
        <f t="shared" si="42"/>
        <v>#VALUE!</v>
      </c>
      <c r="J652" t="str">
        <f>MAIN!A657&amp;"B"</f>
        <v>B</v>
      </c>
      <c r="K652" s="12" t="e">
        <f t="shared" si="43"/>
        <v>#VALUE!</v>
      </c>
      <c r="L652" t="str">
        <f>MAIN!C657</f>
        <v/>
      </c>
    </row>
    <row r="653" spans="1:12" x14ac:dyDescent="0.3">
      <c r="A653">
        <f>IF(J653="0",0,IF(COUNTIF($J$2:J653,J653)=1,1,0))</f>
        <v>0</v>
      </c>
      <c r="B653" s="12" t="e">
        <f>MID(MAIN!A658,K653,2)</f>
        <v>#VALUE!</v>
      </c>
      <c r="C653" s="12" t="e">
        <f t="shared" si="40"/>
        <v>#VALUE!</v>
      </c>
      <c r="D653" s="12" t="e">
        <f>MID(MAIN!A658,K653+2,2)</f>
        <v>#VALUE!</v>
      </c>
      <c r="E653" s="12" t="e">
        <f>MID(MAIN!A658,K653+4,2)</f>
        <v>#VALUE!</v>
      </c>
      <c r="F653" s="2" t="e">
        <f t="shared" si="41"/>
        <v>#VALUE!</v>
      </c>
      <c r="G653" s="13" t="e">
        <f t="shared" si="42"/>
        <v>#VALUE!</v>
      </c>
      <c r="J653" t="str">
        <f>MAIN!A658&amp;"B"</f>
        <v>B</v>
      </c>
      <c r="K653" s="12" t="e">
        <f t="shared" si="43"/>
        <v>#VALUE!</v>
      </c>
      <c r="L653" t="str">
        <f>MAIN!C658</f>
        <v/>
      </c>
    </row>
    <row r="654" spans="1:12" x14ac:dyDescent="0.3">
      <c r="A654">
        <f>IF(J654="0",0,IF(COUNTIF($J$2:J654,J654)=1,1,0))</f>
        <v>0</v>
      </c>
      <c r="B654" s="12" t="e">
        <f>MID(MAIN!A659,K654,2)</f>
        <v>#VALUE!</v>
      </c>
      <c r="C654" s="12" t="e">
        <f t="shared" si="40"/>
        <v>#VALUE!</v>
      </c>
      <c r="D654" s="12" t="e">
        <f>MID(MAIN!A659,K654+2,2)</f>
        <v>#VALUE!</v>
      </c>
      <c r="E654" s="12" t="e">
        <f>MID(MAIN!A659,K654+4,2)</f>
        <v>#VALUE!</v>
      </c>
      <c r="F654" s="2" t="e">
        <f t="shared" si="41"/>
        <v>#VALUE!</v>
      </c>
      <c r="G654" s="13" t="e">
        <f t="shared" si="42"/>
        <v>#VALUE!</v>
      </c>
      <c r="J654" t="str">
        <f>MAIN!A659&amp;"B"</f>
        <v>B</v>
      </c>
      <c r="K654" s="12" t="e">
        <f t="shared" si="43"/>
        <v>#VALUE!</v>
      </c>
      <c r="L654" t="str">
        <f>MAIN!C659</f>
        <v/>
      </c>
    </row>
    <row r="655" spans="1:12" x14ac:dyDescent="0.3">
      <c r="A655">
        <f>IF(J655="0",0,IF(COUNTIF($J$2:J655,J655)=1,1,0))</f>
        <v>0</v>
      </c>
      <c r="B655" s="12" t="e">
        <f>MID(MAIN!A660,K655,2)</f>
        <v>#VALUE!</v>
      </c>
      <c r="C655" s="12" t="e">
        <f t="shared" si="40"/>
        <v>#VALUE!</v>
      </c>
      <c r="D655" s="12" t="e">
        <f>MID(MAIN!A660,K655+2,2)</f>
        <v>#VALUE!</v>
      </c>
      <c r="E655" s="12" t="e">
        <f>MID(MAIN!A660,K655+4,2)</f>
        <v>#VALUE!</v>
      </c>
      <c r="F655" s="2" t="e">
        <f t="shared" si="41"/>
        <v>#VALUE!</v>
      </c>
      <c r="G655" s="13" t="e">
        <f t="shared" si="42"/>
        <v>#VALUE!</v>
      </c>
      <c r="J655" t="str">
        <f>MAIN!A660&amp;"B"</f>
        <v>B</v>
      </c>
      <c r="K655" s="12" t="e">
        <f t="shared" si="43"/>
        <v>#VALUE!</v>
      </c>
      <c r="L655" t="str">
        <f>MAIN!C660</f>
        <v/>
      </c>
    </row>
    <row r="656" spans="1:12" x14ac:dyDescent="0.3">
      <c r="A656">
        <f>IF(J656="0",0,IF(COUNTIF($J$2:J656,J656)=1,1,0))</f>
        <v>0</v>
      </c>
      <c r="B656" s="12" t="e">
        <f>MID(MAIN!A661,K656,2)</f>
        <v>#VALUE!</v>
      </c>
      <c r="C656" s="12" t="e">
        <f t="shared" si="40"/>
        <v>#VALUE!</v>
      </c>
      <c r="D656" s="12" t="e">
        <f>MID(MAIN!A661,K656+2,2)</f>
        <v>#VALUE!</v>
      </c>
      <c r="E656" s="12" t="e">
        <f>MID(MAIN!A661,K656+4,2)</f>
        <v>#VALUE!</v>
      </c>
      <c r="F656" s="2" t="e">
        <f t="shared" si="41"/>
        <v>#VALUE!</v>
      </c>
      <c r="G656" s="13" t="e">
        <f t="shared" si="42"/>
        <v>#VALUE!</v>
      </c>
      <c r="J656" t="str">
        <f>MAIN!A661&amp;"B"</f>
        <v>B</v>
      </c>
      <c r="K656" s="12" t="e">
        <f t="shared" si="43"/>
        <v>#VALUE!</v>
      </c>
      <c r="L656" t="str">
        <f>MAIN!C661</f>
        <v/>
      </c>
    </row>
    <row r="657" spans="1:12" x14ac:dyDescent="0.3">
      <c r="A657">
        <f>IF(J657="0",0,IF(COUNTIF($J$2:J657,J657)=1,1,0))</f>
        <v>0</v>
      </c>
      <c r="B657" s="12" t="e">
        <f>MID(MAIN!A662,K657,2)</f>
        <v>#VALUE!</v>
      </c>
      <c r="C657" s="12" t="e">
        <f t="shared" si="40"/>
        <v>#VALUE!</v>
      </c>
      <c r="D657" s="12" t="e">
        <f>MID(MAIN!A662,K657+2,2)</f>
        <v>#VALUE!</v>
      </c>
      <c r="E657" s="12" t="e">
        <f>MID(MAIN!A662,K657+4,2)</f>
        <v>#VALUE!</v>
      </c>
      <c r="F657" s="2" t="e">
        <f t="shared" si="41"/>
        <v>#VALUE!</v>
      </c>
      <c r="G657" s="13" t="e">
        <f t="shared" si="42"/>
        <v>#VALUE!</v>
      </c>
      <c r="J657" t="str">
        <f>MAIN!A662&amp;"B"</f>
        <v>B</v>
      </c>
      <c r="K657" s="12" t="e">
        <f t="shared" si="43"/>
        <v>#VALUE!</v>
      </c>
      <c r="L657" t="str">
        <f>MAIN!C662</f>
        <v/>
      </c>
    </row>
    <row r="658" spans="1:12" x14ac:dyDescent="0.3">
      <c r="A658">
        <f>IF(J658="0",0,IF(COUNTIF($J$2:J658,J658)=1,1,0))</f>
        <v>0</v>
      </c>
      <c r="B658" s="12" t="e">
        <f>MID(MAIN!A663,K658,2)</f>
        <v>#VALUE!</v>
      </c>
      <c r="C658" s="12" t="e">
        <f t="shared" si="40"/>
        <v>#VALUE!</v>
      </c>
      <c r="D658" s="12" t="e">
        <f>MID(MAIN!A663,K658+2,2)</f>
        <v>#VALUE!</v>
      </c>
      <c r="E658" s="12" t="e">
        <f>MID(MAIN!A663,K658+4,2)</f>
        <v>#VALUE!</v>
      </c>
      <c r="F658" s="2" t="e">
        <f t="shared" si="41"/>
        <v>#VALUE!</v>
      </c>
      <c r="G658" s="13" t="e">
        <f t="shared" si="42"/>
        <v>#VALUE!</v>
      </c>
      <c r="J658" t="str">
        <f>MAIN!A663&amp;"B"</f>
        <v>B</v>
      </c>
      <c r="K658" s="12" t="e">
        <f t="shared" si="43"/>
        <v>#VALUE!</v>
      </c>
      <c r="L658" t="str">
        <f>MAIN!C663</f>
        <v/>
      </c>
    </row>
    <row r="659" spans="1:12" x14ac:dyDescent="0.3">
      <c r="A659">
        <f>IF(J659="0",0,IF(COUNTIF($J$2:J659,J659)=1,1,0))</f>
        <v>0</v>
      </c>
      <c r="B659" s="12" t="e">
        <f>MID(MAIN!A664,K659,2)</f>
        <v>#VALUE!</v>
      </c>
      <c r="C659" s="12" t="e">
        <f t="shared" si="40"/>
        <v>#VALUE!</v>
      </c>
      <c r="D659" s="12" t="e">
        <f>MID(MAIN!A664,K659+2,2)</f>
        <v>#VALUE!</v>
      </c>
      <c r="E659" s="12" t="e">
        <f>MID(MAIN!A664,K659+4,2)</f>
        <v>#VALUE!</v>
      </c>
      <c r="F659" s="2" t="e">
        <f t="shared" si="41"/>
        <v>#VALUE!</v>
      </c>
      <c r="G659" s="13" t="e">
        <f t="shared" si="42"/>
        <v>#VALUE!</v>
      </c>
      <c r="J659" t="str">
        <f>MAIN!A664&amp;"B"</f>
        <v>B</v>
      </c>
      <c r="K659" s="12" t="e">
        <f t="shared" si="43"/>
        <v>#VALUE!</v>
      </c>
      <c r="L659" t="str">
        <f>MAIN!C664</f>
        <v/>
      </c>
    </row>
    <row r="660" spans="1:12" x14ac:dyDescent="0.3">
      <c r="A660">
        <f>IF(J660="0",0,IF(COUNTIF($J$2:J660,J660)=1,1,0))</f>
        <v>0</v>
      </c>
      <c r="B660" s="12" t="e">
        <f>MID(MAIN!A665,K660,2)</f>
        <v>#VALUE!</v>
      </c>
      <c r="C660" s="12" t="e">
        <f t="shared" si="40"/>
        <v>#VALUE!</v>
      </c>
      <c r="D660" s="12" t="e">
        <f>MID(MAIN!A665,K660+2,2)</f>
        <v>#VALUE!</v>
      </c>
      <c r="E660" s="12" t="e">
        <f>MID(MAIN!A665,K660+4,2)</f>
        <v>#VALUE!</v>
      </c>
      <c r="F660" s="2" t="e">
        <f t="shared" si="41"/>
        <v>#VALUE!</v>
      </c>
      <c r="G660" s="13" t="e">
        <f t="shared" si="42"/>
        <v>#VALUE!</v>
      </c>
      <c r="J660" t="str">
        <f>MAIN!A665&amp;"B"</f>
        <v>B</v>
      </c>
      <c r="K660" s="12" t="e">
        <f t="shared" si="43"/>
        <v>#VALUE!</v>
      </c>
      <c r="L660" t="str">
        <f>MAIN!C665</f>
        <v/>
      </c>
    </row>
    <row r="661" spans="1:12" x14ac:dyDescent="0.3">
      <c r="A661">
        <f>IF(J661="0",0,IF(COUNTIF($J$2:J661,J661)=1,1,0))</f>
        <v>0</v>
      </c>
      <c r="B661" s="12" t="e">
        <f>MID(MAIN!A666,K661,2)</f>
        <v>#VALUE!</v>
      </c>
      <c r="C661" s="12" t="e">
        <f t="shared" si="40"/>
        <v>#VALUE!</v>
      </c>
      <c r="D661" s="12" t="e">
        <f>MID(MAIN!A666,K661+2,2)</f>
        <v>#VALUE!</v>
      </c>
      <c r="E661" s="12" t="e">
        <f>MID(MAIN!A666,K661+4,2)</f>
        <v>#VALUE!</v>
      </c>
      <c r="F661" s="2" t="e">
        <f t="shared" si="41"/>
        <v>#VALUE!</v>
      </c>
      <c r="G661" s="13" t="e">
        <f t="shared" si="42"/>
        <v>#VALUE!</v>
      </c>
      <c r="J661" t="str">
        <f>MAIN!A666&amp;"B"</f>
        <v>B</v>
      </c>
      <c r="K661" s="12" t="e">
        <f t="shared" si="43"/>
        <v>#VALUE!</v>
      </c>
      <c r="L661" t="str">
        <f>MAIN!C666</f>
        <v/>
      </c>
    </row>
    <row r="662" spans="1:12" x14ac:dyDescent="0.3">
      <c r="A662">
        <f>IF(J662="0",0,IF(COUNTIF($J$2:J662,J662)=1,1,0))</f>
        <v>0</v>
      </c>
      <c r="B662" s="12" t="e">
        <f>MID(MAIN!A667,K662,2)</f>
        <v>#VALUE!</v>
      </c>
      <c r="C662" s="12" t="e">
        <f t="shared" si="40"/>
        <v>#VALUE!</v>
      </c>
      <c r="D662" s="12" t="e">
        <f>MID(MAIN!A667,K662+2,2)</f>
        <v>#VALUE!</v>
      </c>
      <c r="E662" s="12" t="e">
        <f>MID(MAIN!A667,K662+4,2)</f>
        <v>#VALUE!</v>
      </c>
      <c r="F662" s="2" t="e">
        <f t="shared" si="41"/>
        <v>#VALUE!</v>
      </c>
      <c r="G662" s="13" t="e">
        <f t="shared" si="42"/>
        <v>#VALUE!</v>
      </c>
      <c r="J662" t="str">
        <f>MAIN!A667&amp;"B"</f>
        <v>B</v>
      </c>
      <c r="K662" s="12" t="e">
        <f t="shared" si="43"/>
        <v>#VALUE!</v>
      </c>
      <c r="L662" t="str">
        <f>MAIN!C667</f>
        <v/>
      </c>
    </row>
    <row r="663" spans="1:12" x14ac:dyDescent="0.3">
      <c r="A663">
        <f>IF(J663="0",0,IF(COUNTIF($J$2:J663,J663)=1,1,0))</f>
        <v>0</v>
      </c>
      <c r="B663" s="12" t="e">
        <f>MID(MAIN!A668,K663,2)</f>
        <v>#VALUE!</v>
      </c>
      <c r="C663" s="12" t="e">
        <f t="shared" si="40"/>
        <v>#VALUE!</v>
      </c>
      <c r="D663" s="12" t="e">
        <f>MID(MAIN!A668,K663+2,2)</f>
        <v>#VALUE!</v>
      </c>
      <c r="E663" s="12" t="e">
        <f>MID(MAIN!A668,K663+4,2)</f>
        <v>#VALUE!</v>
      </c>
      <c r="F663" s="2" t="e">
        <f t="shared" si="41"/>
        <v>#VALUE!</v>
      </c>
      <c r="G663" s="13" t="e">
        <f t="shared" si="42"/>
        <v>#VALUE!</v>
      </c>
      <c r="J663" t="str">
        <f>MAIN!A668&amp;"B"</f>
        <v>B</v>
      </c>
      <c r="K663" s="12" t="e">
        <f t="shared" si="43"/>
        <v>#VALUE!</v>
      </c>
      <c r="L663" t="str">
        <f>MAIN!C668</f>
        <v/>
      </c>
    </row>
    <row r="664" spans="1:12" x14ac:dyDescent="0.3">
      <c r="A664">
        <f>IF(J664="0",0,IF(COUNTIF($J$2:J664,J664)=1,1,0))</f>
        <v>0</v>
      </c>
      <c r="B664" s="12" t="e">
        <f>MID(MAIN!A669,K664,2)</f>
        <v>#VALUE!</v>
      </c>
      <c r="C664" s="12" t="e">
        <f t="shared" si="40"/>
        <v>#VALUE!</v>
      </c>
      <c r="D664" s="12" t="e">
        <f>MID(MAIN!A669,K664+2,2)</f>
        <v>#VALUE!</v>
      </c>
      <c r="E664" s="12" t="e">
        <f>MID(MAIN!A669,K664+4,2)</f>
        <v>#VALUE!</v>
      </c>
      <c r="F664" s="2" t="e">
        <f t="shared" si="41"/>
        <v>#VALUE!</v>
      </c>
      <c r="G664" s="13" t="e">
        <f t="shared" si="42"/>
        <v>#VALUE!</v>
      </c>
      <c r="J664" t="str">
        <f>MAIN!A669&amp;"B"</f>
        <v>B</v>
      </c>
      <c r="K664" s="12" t="e">
        <f t="shared" si="43"/>
        <v>#VALUE!</v>
      </c>
      <c r="L664" t="str">
        <f>MAIN!C669</f>
        <v/>
      </c>
    </row>
    <row r="665" spans="1:12" x14ac:dyDescent="0.3">
      <c r="A665">
        <f>IF(J665="0",0,IF(COUNTIF($J$2:J665,J665)=1,1,0))</f>
        <v>0</v>
      </c>
      <c r="B665" s="12" t="e">
        <f>MID(MAIN!A670,K665,2)</f>
        <v>#VALUE!</v>
      </c>
      <c r="C665" s="12" t="e">
        <f t="shared" si="40"/>
        <v>#VALUE!</v>
      </c>
      <c r="D665" s="12" t="e">
        <f>MID(MAIN!A670,K665+2,2)</f>
        <v>#VALUE!</v>
      </c>
      <c r="E665" s="12" t="e">
        <f>MID(MAIN!A670,K665+4,2)</f>
        <v>#VALUE!</v>
      </c>
      <c r="F665" s="2" t="e">
        <f t="shared" si="41"/>
        <v>#VALUE!</v>
      </c>
      <c r="G665" s="13" t="e">
        <f t="shared" si="42"/>
        <v>#VALUE!</v>
      </c>
      <c r="J665" t="str">
        <f>MAIN!A670&amp;"B"</f>
        <v>B</v>
      </c>
      <c r="K665" s="12" t="e">
        <f t="shared" si="43"/>
        <v>#VALUE!</v>
      </c>
      <c r="L665" t="str">
        <f>MAIN!C670</f>
        <v/>
      </c>
    </row>
    <row r="666" spans="1:12" x14ac:dyDescent="0.3">
      <c r="A666">
        <f>IF(J666="0",0,IF(COUNTIF($J$2:J666,J666)=1,1,0))</f>
        <v>0</v>
      </c>
      <c r="B666" s="12" t="e">
        <f>MID(MAIN!A671,K666,2)</f>
        <v>#VALUE!</v>
      </c>
      <c r="C666" s="12" t="e">
        <f t="shared" si="40"/>
        <v>#VALUE!</v>
      </c>
      <c r="D666" s="12" t="e">
        <f>MID(MAIN!A671,K666+2,2)</f>
        <v>#VALUE!</v>
      </c>
      <c r="E666" s="12" t="e">
        <f>MID(MAIN!A671,K666+4,2)</f>
        <v>#VALUE!</v>
      </c>
      <c r="F666" s="2" t="e">
        <f t="shared" si="41"/>
        <v>#VALUE!</v>
      </c>
      <c r="G666" s="13" t="e">
        <f t="shared" si="42"/>
        <v>#VALUE!</v>
      </c>
      <c r="J666" t="str">
        <f>MAIN!A671&amp;"B"</f>
        <v>B</v>
      </c>
      <c r="K666" s="12" t="e">
        <f t="shared" si="43"/>
        <v>#VALUE!</v>
      </c>
      <c r="L666" t="str">
        <f>MAIN!C671</f>
        <v/>
      </c>
    </row>
    <row r="667" spans="1:12" x14ac:dyDescent="0.3">
      <c r="A667">
        <f>IF(J667="0",0,IF(COUNTIF($J$2:J667,J667)=1,1,0))</f>
        <v>0</v>
      </c>
      <c r="B667" s="12" t="e">
        <f>MID(MAIN!A672,K667,2)</f>
        <v>#VALUE!</v>
      </c>
      <c r="C667" s="12" t="e">
        <f t="shared" si="40"/>
        <v>#VALUE!</v>
      </c>
      <c r="D667" s="12" t="e">
        <f>MID(MAIN!A672,K667+2,2)</f>
        <v>#VALUE!</v>
      </c>
      <c r="E667" s="12" t="e">
        <f>MID(MAIN!A672,K667+4,2)</f>
        <v>#VALUE!</v>
      </c>
      <c r="F667" s="2" t="e">
        <f t="shared" si="41"/>
        <v>#VALUE!</v>
      </c>
      <c r="G667" s="13" t="e">
        <f t="shared" si="42"/>
        <v>#VALUE!</v>
      </c>
      <c r="J667" t="str">
        <f>MAIN!A672&amp;"B"</f>
        <v>B</v>
      </c>
      <c r="K667" s="12" t="e">
        <f t="shared" si="43"/>
        <v>#VALUE!</v>
      </c>
      <c r="L667" t="str">
        <f>MAIN!C672</f>
        <v/>
      </c>
    </row>
    <row r="668" spans="1:12" x14ac:dyDescent="0.3">
      <c r="A668">
        <f>IF(J668="0",0,IF(COUNTIF($J$2:J668,J668)=1,1,0))</f>
        <v>0</v>
      </c>
      <c r="B668" s="12" t="e">
        <f>MID(MAIN!A673,K668,2)</f>
        <v>#VALUE!</v>
      </c>
      <c r="C668" s="12" t="e">
        <f t="shared" si="40"/>
        <v>#VALUE!</v>
      </c>
      <c r="D668" s="12" t="e">
        <f>MID(MAIN!A673,K668+2,2)</f>
        <v>#VALUE!</v>
      </c>
      <c r="E668" s="12" t="e">
        <f>MID(MAIN!A673,K668+4,2)</f>
        <v>#VALUE!</v>
      </c>
      <c r="F668" s="2" t="e">
        <f t="shared" si="41"/>
        <v>#VALUE!</v>
      </c>
      <c r="G668" s="13" t="e">
        <f t="shared" si="42"/>
        <v>#VALUE!</v>
      </c>
      <c r="J668" t="str">
        <f>MAIN!A673&amp;"B"</f>
        <v>B</v>
      </c>
      <c r="K668" s="12" t="e">
        <f t="shared" si="43"/>
        <v>#VALUE!</v>
      </c>
      <c r="L668" t="str">
        <f>MAIN!C673</f>
        <v/>
      </c>
    </row>
    <row r="669" spans="1:12" x14ac:dyDescent="0.3">
      <c r="A669">
        <f>IF(J669="0",0,IF(COUNTIF($J$2:J669,J669)=1,1,0))</f>
        <v>0</v>
      </c>
      <c r="B669" s="12" t="e">
        <f>MID(MAIN!A674,K669,2)</f>
        <v>#VALUE!</v>
      </c>
      <c r="C669" s="12" t="e">
        <f t="shared" si="40"/>
        <v>#VALUE!</v>
      </c>
      <c r="D669" s="12" t="e">
        <f>MID(MAIN!A674,K669+2,2)</f>
        <v>#VALUE!</v>
      </c>
      <c r="E669" s="12" t="e">
        <f>MID(MAIN!A674,K669+4,2)</f>
        <v>#VALUE!</v>
      </c>
      <c r="F669" s="2" t="e">
        <f t="shared" si="41"/>
        <v>#VALUE!</v>
      </c>
      <c r="G669" s="13" t="e">
        <f t="shared" si="42"/>
        <v>#VALUE!</v>
      </c>
      <c r="J669" t="str">
        <f>MAIN!A674&amp;"B"</f>
        <v>B</v>
      </c>
      <c r="K669" s="12" t="e">
        <f t="shared" si="43"/>
        <v>#VALUE!</v>
      </c>
      <c r="L669" t="str">
        <f>MAIN!C674</f>
        <v/>
      </c>
    </row>
    <row r="670" spans="1:12" x14ac:dyDescent="0.3">
      <c r="A670">
        <f>IF(J670="0",0,IF(COUNTIF($J$2:J670,J670)=1,1,0))</f>
        <v>0</v>
      </c>
      <c r="B670" s="12" t="e">
        <f>MID(MAIN!A675,K670,2)</f>
        <v>#VALUE!</v>
      </c>
      <c r="C670" s="12" t="e">
        <f t="shared" si="40"/>
        <v>#VALUE!</v>
      </c>
      <c r="D670" s="12" t="e">
        <f>MID(MAIN!A675,K670+2,2)</f>
        <v>#VALUE!</v>
      </c>
      <c r="E670" s="12" t="e">
        <f>MID(MAIN!A675,K670+4,2)</f>
        <v>#VALUE!</v>
      </c>
      <c r="F670" s="2" t="e">
        <f t="shared" si="41"/>
        <v>#VALUE!</v>
      </c>
      <c r="G670" s="13" t="e">
        <f t="shared" si="42"/>
        <v>#VALUE!</v>
      </c>
      <c r="J670" t="str">
        <f>MAIN!A675&amp;"B"</f>
        <v>B</v>
      </c>
      <c r="K670" s="12" t="e">
        <f t="shared" si="43"/>
        <v>#VALUE!</v>
      </c>
      <c r="L670" t="str">
        <f>MAIN!C675</f>
        <v/>
      </c>
    </row>
    <row r="671" spans="1:12" x14ac:dyDescent="0.3">
      <c r="A671">
        <f>IF(J671="0",0,IF(COUNTIF($J$2:J671,J671)=1,1,0))</f>
        <v>0</v>
      </c>
      <c r="B671" s="12" t="e">
        <f>MID(MAIN!A676,K671,2)</f>
        <v>#VALUE!</v>
      </c>
      <c r="C671" s="12" t="e">
        <f t="shared" si="40"/>
        <v>#VALUE!</v>
      </c>
      <c r="D671" s="12" t="e">
        <f>MID(MAIN!A676,K671+2,2)</f>
        <v>#VALUE!</v>
      </c>
      <c r="E671" s="12" t="e">
        <f>MID(MAIN!A676,K671+4,2)</f>
        <v>#VALUE!</v>
      </c>
      <c r="F671" s="2" t="e">
        <f t="shared" si="41"/>
        <v>#VALUE!</v>
      </c>
      <c r="G671" s="13" t="e">
        <f t="shared" si="42"/>
        <v>#VALUE!</v>
      </c>
      <c r="J671" t="str">
        <f>MAIN!A676&amp;"B"</f>
        <v>B</v>
      </c>
      <c r="K671" s="12" t="e">
        <f t="shared" si="43"/>
        <v>#VALUE!</v>
      </c>
      <c r="L671" t="str">
        <f>MAIN!C676</f>
        <v/>
      </c>
    </row>
    <row r="672" spans="1:12" x14ac:dyDescent="0.3">
      <c r="A672">
        <f>IF(J672="0",0,IF(COUNTIF($J$2:J672,J672)=1,1,0))</f>
        <v>0</v>
      </c>
      <c r="B672" s="12" t="e">
        <f>MID(MAIN!A677,K672,2)</f>
        <v>#VALUE!</v>
      </c>
      <c r="C672" s="12" t="e">
        <f t="shared" si="40"/>
        <v>#VALUE!</v>
      </c>
      <c r="D672" s="12" t="e">
        <f>MID(MAIN!A677,K672+2,2)</f>
        <v>#VALUE!</v>
      </c>
      <c r="E672" s="12" t="e">
        <f>MID(MAIN!A677,K672+4,2)</f>
        <v>#VALUE!</v>
      </c>
      <c r="F672" s="2" t="e">
        <f t="shared" si="41"/>
        <v>#VALUE!</v>
      </c>
      <c r="G672" s="13" t="e">
        <f t="shared" si="42"/>
        <v>#VALUE!</v>
      </c>
      <c r="J672" t="str">
        <f>MAIN!A677&amp;"B"</f>
        <v>B</v>
      </c>
      <c r="K672" s="12" t="e">
        <f t="shared" si="43"/>
        <v>#VALUE!</v>
      </c>
      <c r="L672" t="str">
        <f>MAIN!C677</f>
        <v/>
      </c>
    </row>
    <row r="673" spans="1:12" x14ac:dyDescent="0.3">
      <c r="A673">
        <f>IF(J673="0",0,IF(COUNTIF($J$2:J673,J673)=1,1,0))</f>
        <v>0</v>
      </c>
      <c r="B673" s="12" t="e">
        <f>MID(MAIN!A678,K673,2)</f>
        <v>#VALUE!</v>
      </c>
      <c r="C673" s="12" t="e">
        <f t="shared" si="40"/>
        <v>#VALUE!</v>
      </c>
      <c r="D673" s="12" t="e">
        <f>MID(MAIN!A678,K673+2,2)</f>
        <v>#VALUE!</v>
      </c>
      <c r="E673" s="12" t="e">
        <f>MID(MAIN!A678,K673+4,2)</f>
        <v>#VALUE!</v>
      </c>
      <c r="F673" s="2" t="e">
        <f t="shared" si="41"/>
        <v>#VALUE!</v>
      </c>
      <c r="G673" s="13" t="e">
        <f t="shared" si="42"/>
        <v>#VALUE!</v>
      </c>
      <c r="J673" t="str">
        <f>MAIN!A678&amp;"B"</f>
        <v>B</v>
      </c>
      <c r="K673" s="12" t="e">
        <f t="shared" si="43"/>
        <v>#VALUE!</v>
      </c>
      <c r="L673" t="str">
        <f>MAIN!C678</f>
        <v/>
      </c>
    </row>
    <row r="674" spans="1:12" x14ac:dyDescent="0.3">
      <c r="A674">
        <f>IF(J674="0",0,IF(COUNTIF($J$2:J674,J674)=1,1,0))</f>
        <v>0</v>
      </c>
      <c r="B674" s="12" t="e">
        <f>MID(MAIN!A679,K674,2)</f>
        <v>#VALUE!</v>
      </c>
      <c r="C674" s="12" t="e">
        <f t="shared" si="40"/>
        <v>#VALUE!</v>
      </c>
      <c r="D674" s="12" t="e">
        <f>MID(MAIN!A679,K674+2,2)</f>
        <v>#VALUE!</v>
      </c>
      <c r="E674" s="12" t="e">
        <f>MID(MAIN!A679,K674+4,2)</f>
        <v>#VALUE!</v>
      </c>
      <c r="F674" s="2" t="e">
        <f t="shared" si="41"/>
        <v>#VALUE!</v>
      </c>
      <c r="G674" s="13" t="e">
        <f t="shared" si="42"/>
        <v>#VALUE!</v>
      </c>
      <c r="J674" t="str">
        <f>MAIN!A679&amp;"B"</f>
        <v>B</v>
      </c>
      <c r="K674" s="12" t="e">
        <f t="shared" si="43"/>
        <v>#VALUE!</v>
      </c>
      <c r="L674" t="str">
        <f>MAIN!C679</f>
        <v/>
      </c>
    </row>
    <row r="675" spans="1:12" x14ac:dyDescent="0.3">
      <c r="A675">
        <f>IF(J675="0",0,IF(COUNTIF($J$2:J675,J675)=1,1,0))</f>
        <v>0</v>
      </c>
      <c r="B675" s="12" t="e">
        <f>MID(MAIN!A680,K675,2)</f>
        <v>#VALUE!</v>
      </c>
      <c r="C675" s="12" t="e">
        <f t="shared" si="40"/>
        <v>#VALUE!</v>
      </c>
      <c r="D675" s="12" t="e">
        <f>MID(MAIN!A680,K675+2,2)</f>
        <v>#VALUE!</v>
      </c>
      <c r="E675" s="12" t="e">
        <f>MID(MAIN!A680,K675+4,2)</f>
        <v>#VALUE!</v>
      </c>
      <c r="F675" s="2" t="e">
        <f t="shared" si="41"/>
        <v>#VALUE!</v>
      </c>
      <c r="G675" s="13" t="e">
        <f t="shared" si="42"/>
        <v>#VALUE!</v>
      </c>
      <c r="J675" t="str">
        <f>MAIN!A680&amp;"B"</f>
        <v>B</v>
      </c>
      <c r="K675" s="12" t="e">
        <f t="shared" si="43"/>
        <v>#VALUE!</v>
      </c>
      <c r="L675" t="str">
        <f>MAIN!C680</f>
        <v/>
      </c>
    </row>
    <row r="676" spans="1:12" x14ac:dyDescent="0.3">
      <c r="A676">
        <f>IF(J676="0",0,IF(COUNTIF($J$2:J676,J676)=1,1,0))</f>
        <v>0</v>
      </c>
      <c r="B676" s="12" t="e">
        <f>MID(MAIN!A681,K676,2)</f>
        <v>#VALUE!</v>
      </c>
      <c r="C676" s="12" t="e">
        <f t="shared" si="40"/>
        <v>#VALUE!</v>
      </c>
      <c r="D676" s="12" t="e">
        <f>MID(MAIN!A681,K676+2,2)</f>
        <v>#VALUE!</v>
      </c>
      <c r="E676" s="12" t="e">
        <f>MID(MAIN!A681,K676+4,2)</f>
        <v>#VALUE!</v>
      </c>
      <c r="F676" s="2" t="e">
        <f t="shared" si="41"/>
        <v>#VALUE!</v>
      </c>
      <c r="G676" s="13" t="e">
        <f t="shared" si="42"/>
        <v>#VALUE!</v>
      </c>
      <c r="J676" t="str">
        <f>MAIN!A681&amp;"B"</f>
        <v>B</v>
      </c>
      <c r="K676" s="12" t="e">
        <f t="shared" si="43"/>
        <v>#VALUE!</v>
      </c>
      <c r="L676" t="str">
        <f>MAIN!C681</f>
        <v/>
      </c>
    </row>
    <row r="677" spans="1:12" x14ac:dyDescent="0.3">
      <c r="A677">
        <f>IF(J677="0",0,IF(COUNTIF($J$2:J677,J677)=1,1,0))</f>
        <v>0</v>
      </c>
      <c r="B677" s="12" t="e">
        <f>MID(MAIN!A682,K677,2)</f>
        <v>#VALUE!</v>
      </c>
      <c r="C677" s="12" t="e">
        <f t="shared" si="40"/>
        <v>#VALUE!</v>
      </c>
      <c r="D677" s="12" t="e">
        <f>MID(MAIN!A682,K677+2,2)</f>
        <v>#VALUE!</v>
      </c>
      <c r="E677" s="12" t="e">
        <f>MID(MAIN!A682,K677+4,2)</f>
        <v>#VALUE!</v>
      </c>
      <c r="F677" s="2" t="e">
        <f t="shared" si="41"/>
        <v>#VALUE!</v>
      </c>
      <c r="G677" s="13" t="e">
        <f t="shared" si="42"/>
        <v>#VALUE!</v>
      </c>
      <c r="J677" t="str">
        <f>MAIN!A682&amp;"B"</f>
        <v>B</v>
      </c>
      <c r="K677" s="12" t="e">
        <f t="shared" si="43"/>
        <v>#VALUE!</v>
      </c>
      <c r="L677" t="str">
        <f>MAIN!C682</f>
        <v/>
      </c>
    </row>
    <row r="678" spans="1:12" x14ac:dyDescent="0.3">
      <c r="A678">
        <f>IF(J678="0",0,IF(COUNTIF($J$2:J678,J678)=1,1,0))</f>
        <v>0</v>
      </c>
      <c r="B678" s="12" t="e">
        <f>MID(MAIN!A683,K678,2)</f>
        <v>#VALUE!</v>
      </c>
      <c r="C678" s="12" t="e">
        <f t="shared" si="40"/>
        <v>#VALUE!</v>
      </c>
      <c r="D678" s="12" t="e">
        <f>MID(MAIN!A683,K678+2,2)</f>
        <v>#VALUE!</v>
      </c>
      <c r="E678" s="12" t="e">
        <f>MID(MAIN!A683,K678+4,2)</f>
        <v>#VALUE!</v>
      </c>
      <c r="F678" s="2" t="e">
        <f t="shared" si="41"/>
        <v>#VALUE!</v>
      </c>
      <c r="G678" s="13" t="e">
        <f t="shared" si="42"/>
        <v>#VALUE!</v>
      </c>
      <c r="J678" t="str">
        <f>MAIN!A683&amp;"B"</f>
        <v>B</v>
      </c>
      <c r="K678" s="12" t="e">
        <f t="shared" si="43"/>
        <v>#VALUE!</v>
      </c>
      <c r="L678" t="str">
        <f>MAIN!C683</f>
        <v/>
      </c>
    </row>
    <row r="679" spans="1:12" x14ac:dyDescent="0.3">
      <c r="A679">
        <f>IF(J679="0",0,IF(COUNTIF($J$2:J679,J679)=1,1,0))</f>
        <v>0</v>
      </c>
      <c r="B679" s="12" t="e">
        <f>MID(MAIN!A684,K679,2)</f>
        <v>#VALUE!</v>
      </c>
      <c r="C679" s="12" t="e">
        <f t="shared" si="40"/>
        <v>#VALUE!</v>
      </c>
      <c r="D679" s="12" t="e">
        <f>MID(MAIN!A684,K679+2,2)</f>
        <v>#VALUE!</v>
      </c>
      <c r="E679" s="12" t="e">
        <f>MID(MAIN!A684,K679+4,2)</f>
        <v>#VALUE!</v>
      </c>
      <c r="F679" s="2" t="e">
        <f t="shared" si="41"/>
        <v>#VALUE!</v>
      </c>
      <c r="G679" s="13" t="e">
        <f t="shared" si="42"/>
        <v>#VALUE!</v>
      </c>
      <c r="J679" t="str">
        <f>MAIN!A684&amp;"B"</f>
        <v>B</v>
      </c>
      <c r="K679" s="12" t="e">
        <f t="shared" si="43"/>
        <v>#VALUE!</v>
      </c>
      <c r="L679" t="str">
        <f>MAIN!C684</f>
        <v/>
      </c>
    </row>
    <row r="680" spans="1:12" x14ac:dyDescent="0.3">
      <c r="A680">
        <f>IF(J680="0",0,IF(COUNTIF($J$2:J680,J680)=1,1,0))</f>
        <v>0</v>
      </c>
      <c r="B680" s="12" t="e">
        <f>MID(MAIN!A685,K680,2)</f>
        <v>#VALUE!</v>
      </c>
      <c r="C680" s="12" t="e">
        <f t="shared" si="40"/>
        <v>#VALUE!</v>
      </c>
      <c r="D680" s="12" t="e">
        <f>MID(MAIN!A685,K680+2,2)</f>
        <v>#VALUE!</v>
      </c>
      <c r="E680" s="12" t="e">
        <f>MID(MAIN!A685,K680+4,2)</f>
        <v>#VALUE!</v>
      </c>
      <c r="F680" s="2" t="e">
        <f t="shared" si="41"/>
        <v>#VALUE!</v>
      </c>
      <c r="G680" s="13" t="e">
        <f t="shared" si="42"/>
        <v>#VALUE!</v>
      </c>
      <c r="J680" t="str">
        <f>MAIN!A685&amp;"B"</f>
        <v>B</v>
      </c>
      <c r="K680" s="12" t="e">
        <f t="shared" si="43"/>
        <v>#VALUE!</v>
      </c>
      <c r="L680" t="str">
        <f>MAIN!C685</f>
        <v/>
      </c>
    </row>
    <row r="681" spans="1:12" x14ac:dyDescent="0.3">
      <c r="A681">
        <f>IF(J681="0",0,IF(COUNTIF($J$2:J681,J681)=1,1,0))</f>
        <v>0</v>
      </c>
      <c r="B681" s="12" t="e">
        <f>MID(MAIN!A686,K681,2)</f>
        <v>#VALUE!</v>
      </c>
      <c r="C681" s="12" t="e">
        <f t="shared" si="40"/>
        <v>#VALUE!</v>
      </c>
      <c r="D681" s="12" t="e">
        <f>MID(MAIN!A686,K681+2,2)</f>
        <v>#VALUE!</v>
      </c>
      <c r="E681" s="12" t="e">
        <f>MID(MAIN!A686,K681+4,2)</f>
        <v>#VALUE!</v>
      </c>
      <c r="F681" s="2" t="e">
        <f t="shared" si="41"/>
        <v>#VALUE!</v>
      </c>
      <c r="G681" s="13" t="e">
        <f t="shared" si="42"/>
        <v>#VALUE!</v>
      </c>
      <c r="J681" t="str">
        <f>MAIN!A686&amp;"B"</f>
        <v>B</v>
      </c>
      <c r="K681" s="12" t="e">
        <f t="shared" si="43"/>
        <v>#VALUE!</v>
      </c>
      <c r="L681" t="str">
        <f>MAIN!C686</f>
        <v/>
      </c>
    </row>
    <row r="682" spans="1:12" x14ac:dyDescent="0.3">
      <c r="A682">
        <f>IF(J682="0",0,IF(COUNTIF($J$2:J682,J682)=1,1,0))</f>
        <v>0</v>
      </c>
      <c r="B682" s="12" t="e">
        <f>MID(MAIN!A687,K682,2)</f>
        <v>#VALUE!</v>
      </c>
      <c r="C682" s="12" t="e">
        <f t="shared" si="40"/>
        <v>#VALUE!</v>
      </c>
      <c r="D682" s="12" t="e">
        <f>MID(MAIN!A687,K682+2,2)</f>
        <v>#VALUE!</v>
      </c>
      <c r="E682" s="12" t="e">
        <f>MID(MAIN!A687,K682+4,2)</f>
        <v>#VALUE!</v>
      </c>
      <c r="F682" s="2" t="e">
        <f t="shared" si="41"/>
        <v>#VALUE!</v>
      </c>
      <c r="G682" s="13" t="e">
        <f t="shared" si="42"/>
        <v>#VALUE!</v>
      </c>
      <c r="J682" t="str">
        <f>MAIN!A687&amp;"B"</f>
        <v>B</v>
      </c>
      <c r="K682" s="12" t="e">
        <f t="shared" si="43"/>
        <v>#VALUE!</v>
      </c>
      <c r="L682" t="str">
        <f>MAIN!C687</f>
        <v/>
      </c>
    </row>
    <row r="683" spans="1:12" x14ac:dyDescent="0.3">
      <c r="A683">
        <f>IF(J683="0",0,IF(COUNTIF($J$2:J683,J683)=1,1,0))</f>
        <v>0</v>
      </c>
      <c r="B683" s="12" t="e">
        <f>MID(MAIN!A688,K683,2)</f>
        <v>#VALUE!</v>
      </c>
      <c r="C683" s="12" t="e">
        <f t="shared" si="40"/>
        <v>#VALUE!</v>
      </c>
      <c r="D683" s="12" t="e">
        <f>MID(MAIN!A688,K683+2,2)</f>
        <v>#VALUE!</v>
      </c>
      <c r="E683" s="12" t="e">
        <f>MID(MAIN!A688,K683+4,2)</f>
        <v>#VALUE!</v>
      </c>
      <c r="F683" s="2" t="e">
        <f t="shared" si="41"/>
        <v>#VALUE!</v>
      </c>
      <c r="G683" s="13" t="e">
        <f t="shared" si="42"/>
        <v>#VALUE!</v>
      </c>
      <c r="J683" t="str">
        <f>MAIN!A688&amp;"B"</f>
        <v>B</v>
      </c>
      <c r="K683" s="12" t="e">
        <f t="shared" si="43"/>
        <v>#VALUE!</v>
      </c>
      <c r="L683" t="str">
        <f>MAIN!C688</f>
        <v/>
      </c>
    </row>
    <row r="684" spans="1:12" x14ac:dyDescent="0.3">
      <c r="A684">
        <f>IF(J684="0",0,IF(COUNTIF($J$2:J684,J684)=1,1,0))</f>
        <v>0</v>
      </c>
      <c r="B684" s="12" t="e">
        <f>MID(MAIN!A689,K684,2)</f>
        <v>#VALUE!</v>
      </c>
      <c r="C684" s="12" t="e">
        <f t="shared" si="40"/>
        <v>#VALUE!</v>
      </c>
      <c r="D684" s="12" t="e">
        <f>MID(MAIN!A689,K684+2,2)</f>
        <v>#VALUE!</v>
      </c>
      <c r="E684" s="12" t="e">
        <f>MID(MAIN!A689,K684+4,2)</f>
        <v>#VALUE!</v>
      </c>
      <c r="F684" s="2" t="e">
        <f t="shared" si="41"/>
        <v>#VALUE!</v>
      </c>
      <c r="G684" s="13" t="e">
        <f t="shared" si="42"/>
        <v>#VALUE!</v>
      </c>
      <c r="J684" t="str">
        <f>MAIN!A689&amp;"B"</f>
        <v>B</v>
      </c>
      <c r="K684" s="12" t="e">
        <f t="shared" si="43"/>
        <v>#VALUE!</v>
      </c>
      <c r="L684" t="str">
        <f>MAIN!C689</f>
        <v/>
      </c>
    </row>
    <row r="685" spans="1:12" x14ac:dyDescent="0.3">
      <c r="A685">
        <f>IF(J685="0",0,IF(COUNTIF($J$2:J685,J685)=1,1,0))</f>
        <v>0</v>
      </c>
      <c r="B685" s="12" t="e">
        <f>MID(MAIN!A690,K685,2)</f>
        <v>#VALUE!</v>
      </c>
      <c r="C685" s="12" t="e">
        <f t="shared" si="40"/>
        <v>#VALUE!</v>
      </c>
      <c r="D685" s="12" t="e">
        <f>MID(MAIN!A690,K685+2,2)</f>
        <v>#VALUE!</v>
      </c>
      <c r="E685" s="12" t="e">
        <f>MID(MAIN!A690,K685+4,2)</f>
        <v>#VALUE!</v>
      </c>
      <c r="F685" s="2" t="e">
        <f t="shared" si="41"/>
        <v>#VALUE!</v>
      </c>
      <c r="G685" s="13" t="e">
        <f t="shared" si="42"/>
        <v>#VALUE!</v>
      </c>
      <c r="J685" t="str">
        <f>MAIN!A690&amp;"B"</f>
        <v>B</v>
      </c>
      <c r="K685" s="12" t="e">
        <f t="shared" si="43"/>
        <v>#VALUE!</v>
      </c>
      <c r="L685" t="str">
        <f>MAIN!C690</f>
        <v/>
      </c>
    </row>
    <row r="686" spans="1:12" x14ac:dyDescent="0.3">
      <c r="A686">
        <f>IF(J686="0",0,IF(COUNTIF($J$2:J686,J686)=1,1,0))</f>
        <v>0</v>
      </c>
      <c r="B686" s="12" t="e">
        <f>MID(MAIN!A691,K686,2)</f>
        <v>#VALUE!</v>
      </c>
      <c r="C686" s="12" t="e">
        <f t="shared" si="40"/>
        <v>#VALUE!</v>
      </c>
      <c r="D686" s="12" t="e">
        <f>MID(MAIN!A691,K686+2,2)</f>
        <v>#VALUE!</v>
      </c>
      <c r="E686" s="12" t="e">
        <f>MID(MAIN!A691,K686+4,2)</f>
        <v>#VALUE!</v>
      </c>
      <c r="F686" s="2" t="e">
        <f t="shared" si="41"/>
        <v>#VALUE!</v>
      </c>
      <c r="G686" s="13" t="e">
        <f t="shared" si="42"/>
        <v>#VALUE!</v>
      </c>
      <c r="J686" t="str">
        <f>MAIN!A691&amp;"B"</f>
        <v>B</v>
      </c>
      <c r="K686" s="12" t="e">
        <f t="shared" si="43"/>
        <v>#VALUE!</v>
      </c>
      <c r="L686" t="str">
        <f>MAIN!C691</f>
        <v/>
      </c>
    </row>
    <row r="687" spans="1:12" x14ac:dyDescent="0.3">
      <c r="A687">
        <f>IF(J687="0",0,IF(COUNTIF($J$2:J687,J687)=1,1,0))</f>
        <v>0</v>
      </c>
      <c r="B687" s="12" t="e">
        <f>MID(MAIN!A692,K687,2)</f>
        <v>#VALUE!</v>
      </c>
      <c r="C687" s="12" t="e">
        <f t="shared" si="40"/>
        <v>#VALUE!</v>
      </c>
      <c r="D687" s="12" t="e">
        <f>MID(MAIN!A692,K687+2,2)</f>
        <v>#VALUE!</v>
      </c>
      <c r="E687" s="12" t="e">
        <f>MID(MAIN!A692,K687+4,2)</f>
        <v>#VALUE!</v>
      </c>
      <c r="F687" s="2" t="e">
        <f t="shared" si="41"/>
        <v>#VALUE!</v>
      </c>
      <c r="G687" s="13" t="e">
        <f t="shared" si="42"/>
        <v>#VALUE!</v>
      </c>
      <c r="J687" t="str">
        <f>MAIN!A692&amp;"B"</f>
        <v>B</v>
      </c>
      <c r="K687" s="12" t="e">
        <f t="shared" si="43"/>
        <v>#VALUE!</v>
      </c>
      <c r="L687" t="str">
        <f>MAIN!C692</f>
        <v/>
      </c>
    </row>
    <row r="688" spans="1:12" x14ac:dyDescent="0.3">
      <c r="A688">
        <f>IF(J688="0",0,IF(COUNTIF($J$2:J688,J688)=1,1,0))</f>
        <v>0</v>
      </c>
      <c r="B688" s="12" t="e">
        <f>MID(MAIN!A693,K688,2)</f>
        <v>#VALUE!</v>
      </c>
      <c r="C688" s="12" t="e">
        <f t="shared" si="40"/>
        <v>#VALUE!</v>
      </c>
      <c r="D688" s="12" t="e">
        <f>MID(MAIN!A693,K688+2,2)</f>
        <v>#VALUE!</v>
      </c>
      <c r="E688" s="12" t="e">
        <f>MID(MAIN!A693,K688+4,2)</f>
        <v>#VALUE!</v>
      </c>
      <c r="F688" s="2" t="e">
        <f t="shared" si="41"/>
        <v>#VALUE!</v>
      </c>
      <c r="G688" s="13" t="e">
        <f t="shared" si="42"/>
        <v>#VALUE!</v>
      </c>
      <c r="J688" t="str">
        <f>MAIN!A693&amp;"B"</f>
        <v>B</v>
      </c>
      <c r="K688" s="12" t="e">
        <f t="shared" si="43"/>
        <v>#VALUE!</v>
      </c>
      <c r="L688" t="str">
        <f>MAIN!C693</f>
        <v/>
      </c>
    </row>
    <row r="689" spans="1:12" x14ac:dyDescent="0.3">
      <c r="A689">
        <f>IF(J689="0",0,IF(COUNTIF($J$2:J689,J689)=1,1,0))</f>
        <v>0</v>
      </c>
      <c r="B689" s="12" t="e">
        <f>MID(MAIN!A694,K689,2)</f>
        <v>#VALUE!</v>
      </c>
      <c r="C689" s="12" t="e">
        <f t="shared" si="40"/>
        <v>#VALUE!</v>
      </c>
      <c r="D689" s="12" t="e">
        <f>MID(MAIN!A694,K689+2,2)</f>
        <v>#VALUE!</v>
      </c>
      <c r="E689" s="12" t="e">
        <f>MID(MAIN!A694,K689+4,2)</f>
        <v>#VALUE!</v>
      </c>
      <c r="F689" s="2" t="e">
        <f t="shared" si="41"/>
        <v>#VALUE!</v>
      </c>
      <c r="G689" s="13" t="e">
        <f t="shared" si="42"/>
        <v>#VALUE!</v>
      </c>
      <c r="J689" t="str">
        <f>MAIN!A694&amp;"B"</f>
        <v>B</v>
      </c>
      <c r="K689" s="12" t="e">
        <f t="shared" si="43"/>
        <v>#VALUE!</v>
      </c>
      <c r="L689" t="str">
        <f>MAIN!C694</f>
        <v/>
      </c>
    </row>
    <row r="690" spans="1:12" x14ac:dyDescent="0.3">
      <c r="A690">
        <f>IF(J690="0",0,IF(COUNTIF($J$2:J690,J690)=1,1,0))</f>
        <v>0</v>
      </c>
      <c r="B690" s="12" t="e">
        <f>MID(MAIN!A695,K690,2)</f>
        <v>#VALUE!</v>
      </c>
      <c r="C690" s="12" t="e">
        <f t="shared" si="40"/>
        <v>#VALUE!</v>
      </c>
      <c r="D690" s="12" t="e">
        <f>MID(MAIN!A695,K690+2,2)</f>
        <v>#VALUE!</v>
      </c>
      <c r="E690" s="12" t="e">
        <f>MID(MAIN!A695,K690+4,2)</f>
        <v>#VALUE!</v>
      </c>
      <c r="F690" s="2" t="e">
        <f t="shared" si="41"/>
        <v>#VALUE!</v>
      </c>
      <c r="G690" s="13" t="e">
        <f t="shared" si="42"/>
        <v>#VALUE!</v>
      </c>
      <c r="J690" t="str">
        <f>MAIN!A695&amp;"B"</f>
        <v>B</v>
      </c>
      <c r="K690" s="12" t="e">
        <f t="shared" si="43"/>
        <v>#VALUE!</v>
      </c>
      <c r="L690" t="str">
        <f>MAIN!C695</f>
        <v/>
      </c>
    </row>
    <row r="691" spans="1:12" x14ac:dyDescent="0.3">
      <c r="A691">
        <f>IF(J691="0",0,IF(COUNTIF($J$2:J691,J691)=1,1,0))</f>
        <v>0</v>
      </c>
      <c r="B691" s="12" t="e">
        <f>MID(MAIN!A696,K691,2)</f>
        <v>#VALUE!</v>
      </c>
      <c r="C691" s="12" t="e">
        <f t="shared" si="40"/>
        <v>#VALUE!</v>
      </c>
      <c r="D691" s="12" t="e">
        <f>MID(MAIN!A696,K691+2,2)</f>
        <v>#VALUE!</v>
      </c>
      <c r="E691" s="12" t="e">
        <f>MID(MAIN!A696,K691+4,2)</f>
        <v>#VALUE!</v>
      </c>
      <c r="F691" s="2" t="e">
        <f t="shared" si="41"/>
        <v>#VALUE!</v>
      </c>
      <c r="G691" s="13" t="e">
        <f t="shared" si="42"/>
        <v>#VALUE!</v>
      </c>
      <c r="J691" t="str">
        <f>MAIN!A696&amp;"B"</f>
        <v>B</v>
      </c>
      <c r="K691" s="12" t="e">
        <f t="shared" si="43"/>
        <v>#VALUE!</v>
      </c>
      <c r="L691" t="str">
        <f>MAIN!C696</f>
        <v/>
      </c>
    </row>
    <row r="692" spans="1:12" x14ac:dyDescent="0.3">
      <c r="A692">
        <f>IF(J692="0",0,IF(COUNTIF($J$2:J692,J692)=1,1,0))</f>
        <v>0</v>
      </c>
      <c r="B692" s="12" t="e">
        <f>MID(MAIN!A697,K692,2)</f>
        <v>#VALUE!</v>
      </c>
      <c r="C692" s="12" t="e">
        <f t="shared" si="40"/>
        <v>#VALUE!</v>
      </c>
      <c r="D692" s="12" t="e">
        <f>MID(MAIN!A697,K692+2,2)</f>
        <v>#VALUE!</v>
      </c>
      <c r="E692" s="12" t="e">
        <f>MID(MAIN!A697,K692+4,2)</f>
        <v>#VALUE!</v>
      </c>
      <c r="F692" s="2" t="e">
        <f t="shared" si="41"/>
        <v>#VALUE!</v>
      </c>
      <c r="G692" s="13" t="e">
        <f t="shared" si="42"/>
        <v>#VALUE!</v>
      </c>
      <c r="J692" t="str">
        <f>MAIN!A697&amp;"B"</f>
        <v>B</v>
      </c>
      <c r="K692" s="12" t="e">
        <f t="shared" si="43"/>
        <v>#VALUE!</v>
      </c>
      <c r="L692" t="str">
        <f>MAIN!C697</f>
        <v/>
      </c>
    </row>
    <row r="693" spans="1:12" x14ac:dyDescent="0.3">
      <c r="A693">
        <f>IF(J693="0",0,IF(COUNTIF($J$2:J693,J693)=1,1,0))</f>
        <v>0</v>
      </c>
      <c r="B693" s="12" t="e">
        <f>MID(MAIN!A698,K693,2)</f>
        <v>#VALUE!</v>
      </c>
      <c r="C693" s="12" t="e">
        <f t="shared" si="40"/>
        <v>#VALUE!</v>
      </c>
      <c r="D693" s="12" t="e">
        <f>MID(MAIN!A698,K693+2,2)</f>
        <v>#VALUE!</v>
      </c>
      <c r="E693" s="12" t="e">
        <f>MID(MAIN!A698,K693+4,2)</f>
        <v>#VALUE!</v>
      </c>
      <c r="F693" s="2" t="e">
        <f t="shared" si="41"/>
        <v>#VALUE!</v>
      </c>
      <c r="G693" s="13" t="e">
        <f t="shared" si="42"/>
        <v>#VALUE!</v>
      </c>
      <c r="J693" t="str">
        <f>MAIN!A698&amp;"B"</f>
        <v>B</v>
      </c>
      <c r="K693" s="12" t="e">
        <f t="shared" si="43"/>
        <v>#VALUE!</v>
      </c>
      <c r="L693" t="str">
        <f>MAIN!C698</f>
        <v/>
      </c>
    </row>
    <row r="694" spans="1:12" x14ac:dyDescent="0.3">
      <c r="A694">
        <f>IF(J694="0",0,IF(COUNTIF($J$2:J694,J694)=1,1,0))</f>
        <v>0</v>
      </c>
      <c r="B694" s="12" t="e">
        <f>MID(MAIN!A699,K694,2)</f>
        <v>#VALUE!</v>
      </c>
      <c r="C694" s="12" t="e">
        <f t="shared" si="40"/>
        <v>#VALUE!</v>
      </c>
      <c r="D694" s="12" t="e">
        <f>MID(MAIN!A699,K694+2,2)</f>
        <v>#VALUE!</v>
      </c>
      <c r="E694" s="12" t="e">
        <f>MID(MAIN!A699,K694+4,2)</f>
        <v>#VALUE!</v>
      </c>
      <c r="F694" s="2" t="e">
        <f t="shared" si="41"/>
        <v>#VALUE!</v>
      </c>
      <c r="G694" s="13" t="e">
        <f t="shared" si="42"/>
        <v>#VALUE!</v>
      </c>
      <c r="J694" t="str">
        <f>MAIN!A699&amp;"B"</f>
        <v>B</v>
      </c>
      <c r="K694" s="12" t="e">
        <f t="shared" si="43"/>
        <v>#VALUE!</v>
      </c>
      <c r="L694" t="str">
        <f>MAIN!C699</f>
        <v/>
      </c>
    </row>
    <row r="695" spans="1:12" x14ac:dyDescent="0.3">
      <c r="A695">
        <f>IF(J695="0",0,IF(COUNTIF($J$2:J695,J695)=1,1,0))</f>
        <v>0</v>
      </c>
      <c r="B695" s="12" t="e">
        <f>MID(MAIN!A700,K695,2)</f>
        <v>#VALUE!</v>
      </c>
      <c r="C695" s="12" t="e">
        <f t="shared" si="40"/>
        <v>#VALUE!</v>
      </c>
      <c r="D695" s="12" t="e">
        <f>MID(MAIN!A700,K695+2,2)</f>
        <v>#VALUE!</v>
      </c>
      <c r="E695" s="12" t="e">
        <f>MID(MAIN!A700,K695+4,2)</f>
        <v>#VALUE!</v>
      </c>
      <c r="F695" s="2" t="e">
        <f t="shared" si="41"/>
        <v>#VALUE!</v>
      </c>
      <c r="G695" s="13" t="e">
        <f t="shared" si="42"/>
        <v>#VALUE!</v>
      </c>
      <c r="J695" t="str">
        <f>MAIN!A700&amp;"B"</f>
        <v>B</v>
      </c>
      <c r="K695" s="12" t="e">
        <f t="shared" si="43"/>
        <v>#VALUE!</v>
      </c>
      <c r="L695" t="str">
        <f>MAIN!C700</f>
        <v/>
      </c>
    </row>
    <row r="696" spans="1:12" x14ac:dyDescent="0.3">
      <c r="A696">
        <f>IF(J696="0",0,IF(COUNTIF($J$2:J696,J696)=1,1,0))</f>
        <v>0</v>
      </c>
      <c r="B696" s="12" t="e">
        <f>MID(MAIN!A701,K696,2)</f>
        <v>#VALUE!</v>
      </c>
      <c r="C696" s="12" t="e">
        <f t="shared" si="40"/>
        <v>#VALUE!</v>
      </c>
      <c r="D696" s="12" t="e">
        <f>MID(MAIN!A701,K696+2,2)</f>
        <v>#VALUE!</v>
      </c>
      <c r="E696" s="12" t="e">
        <f>MID(MAIN!A701,K696+4,2)</f>
        <v>#VALUE!</v>
      </c>
      <c r="F696" s="2" t="e">
        <f t="shared" si="41"/>
        <v>#VALUE!</v>
      </c>
      <c r="G696" s="13" t="e">
        <f t="shared" si="42"/>
        <v>#VALUE!</v>
      </c>
      <c r="J696" t="str">
        <f>MAIN!A701&amp;"B"</f>
        <v>B</v>
      </c>
      <c r="K696" s="12" t="e">
        <f t="shared" si="43"/>
        <v>#VALUE!</v>
      </c>
      <c r="L696" t="str">
        <f>MAIN!C701</f>
        <v/>
      </c>
    </row>
    <row r="697" spans="1:12" x14ac:dyDescent="0.3">
      <c r="A697">
        <f>IF(J697="0",0,IF(COUNTIF($J$2:J697,J697)=1,1,0))</f>
        <v>0</v>
      </c>
      <c r="B697" s="12" t="e">
        <f>MID(MAIN!A702,K697,2)</f>
        <v>#VALUE!</v>
      </c>
      <c r="C697" s="12" t="e">
        <f t="shared" si="40"/>
        <v>#VALUE!</v>
      </c>
      <c r="D697" s="12" t="e">
        <f>MID(MAIN!A702,K697+2,2)</f>
        <v>#VALUE!</v>
      </c>
      <c r="E697" s="12" t="e">
        <f>MID(MAIN!A702,K697+4,2)</f>
        <v>#VALUE!</v>
      </c>
      <c r="F697" s="2" t="e">
        <f t="shared" si="41"/>
        <v>#VALUE!</v>
      </c>
      <c r="G697" s="13" t="e">
        <f t="shared" si="42"/>
        <v>#VALUE!</v>
      </c>
      <c r="J697" t="str">
        <f>MAIN!A702&amp;"B"</f>
        <v>B</v>
      </c>
      <c r="K697" s="12" t="e">
        <f t="shared" si="43"/>
        <v>#VALUE!</v>
      </c>
      <c r="L697" t="str">
        <f>MAIN!C702</f>
        <v/>
      </c>
    </row>
    <row r="698" spans="1:12" x14ac:dyDescent="0.3">
      <c r="A698">
        <f>IF(J698="0",0,IF(COUNTIF($J$2:J698,J698)=1,1,0))</f>
        <v>0</v>
      </c>
      <c r="B698" s="12" t="e">
        <f>MID(MAIN!A703,K698,2)</f>
        <v>#VALUE!</v>
      </c>
      <c r="C698" s="12" t="e">
        <f t="shared" si="40"/>
        <v>#VALUE!</v>
      </c>
      <c r="D698" s="12" t="e">
        <f>MID(MAIN!A703,K698+2,2)</f>
        <v>#VALUE!</v>
      </c>
      <c r="E698" s="12" t="e">
        <f>MID(MAIN!A703,K698+4,2)</f>
        <v>#VALUE!</v>
      </c>
      <c r="F698" s="2" t="e">
        <f t="shared" si="41"/>
        <v>#VALUE!</v>
      </c>
      <c r="G698" s="13" t="e">
        <f t="shared" si="42"/>
        <v>#VALUE!</v>
      </c>
      <c r="J698" t="str">
        <f>MAIN!A703&amp;"B"</f>
        <v>B</v>
      </c>
      <c r="K698" s="12" t="e">
        <f t="shared" si="43"/>
        <v>#VALUE!</v>
      </c>
      <c r="L698" t="str">
        <f>MAIN!C703</f>
        <v/>
      </c>
    </row>
    <row r="699" spans="1:12" x14ac:dyDescent="0.3">
      <c r="A699">
        <f>IF(J699="0",0,IF(COUNTIF($J$2:J699,J699)=1,1,0))</f>
        <v>0</v>
      </c>
      <c r="B699" s="12" t="e">
        <f>MID(MAIN!A704,K699,2)</f>
        <v>#VALUE!</v>
      </c>
      <c r="C699" s="12" t="e">
        <f t="shared" si="40"/>
        <v>#VALUE!</v>
      </c>
      <c r="D699" s="12" t="e">
        <f>MID(MAIN!A704,K699+2,2)</f>
        <v>#VALUE!</v>
      </c>
      <c r="E699" s="12" t="e">
        <f>MID(MAIN!A704,K699+4,2)</f>
        <v>#VALUE!</v>
      </c>
      <c r="F699" s="2" t="e">
        <f t="shared" si="41"/>
        <v>#VALUE!</v>
      </c>
      <c r="G699" s="13" t="e">
        <f t="shared" si="42"/>
        <v>#VALUE!</v>
      </c>
      <c r="J699" t="str">
        <f>MAIN!A704&amp;"B"</f>
        <v>B</v>
      </c>
      <c r="K699" s="12" t="e">
        <f t="shared" si="43"/>
        <v>#VALUE!</v>
      </c>
      <c r="L699" t="str">
        <f>MAIN!C704</f>
        <v/>
      </c>
    </row>
    <row r="700" spans="1:12" x14ac:dyDescent="0.3">
      <c r="A700">
        <f>IF(J700="0",0,IF(COUNTIF($J$2:J700,J700)=1,1,0))</f>
        <v>0</v>
      </c>
      <c r="B700" s="12" t="e">
        <f>MID(MAIN!A705,K700,2)</f>
        <v>#VALUE!</v>
      </c>
      <c r="C700" s="12" t="e">
        <f t="shared" si="40"/>
        <v>#VALUE!</v>
      </c>
      <c r="D700" s="12" t="e">
        <f>MID(MAIN!A705,K700+2,2)</f>
        <v>#VALUE!</v>
      </c>
      <c r="E700" s="12" t="e">
        <f>MID(MAIN!A705,K700+4,2)</f>
        <v>#VALUE!</v>
      </c>
      <c r="F700" s="2" t="e">
        <f t="shared" si="41"/>
        <v>#VALUE!</v>
      </c>
      <c r="G700" s="13" t="e">
        <f t="shared" si="42"/>
        <v>#VALUE!</v>
      </c>
      <c r="J700" t="str">
        <f>MAIN!A705&amp;"B"</f>
        <v>B</v>
      </c>
      <c r="K700" s="12" t="e">
        <f t="shared" si="43"/>
        <v>#VALUE!</v>
      </c>
      <c r="L700" t="str">
        <f>MAIN!C705</f>
        <v/>
      </c>
    </row>
    <row r="701" spans="1:12" x14ac:dyDescent="0.3">
      <c r="A701">
        <f>IF(J701="0",0,IF(COUNTIF($J$2:J701,J701)=1,1,0))</f>
        <v>0</v>
      </c>
      <c r="B701" s="12" t="e">
        <f>MID(MAIN!A706,K701,2)</f>
        <v>#VALUE!</v>
      </c>
      <c r="C701" s="12" t="e">
        <f t="shared" si="40"/>
        <v>#VALUE!</v>
      </c>
      <c r="D701" s="12" t="e">
        <f>MID(MAIN!A706,K701+2,2)</f>
        <v>#VALUE!</v>
      </c>
      <c r="E701" s="12" t="e">
        <f>MID(MAIN!A706,K701+4,2)</f>
        <v>#VALUE!</v>
      </c>
      <c r="F701" s="2" t="e">
        <f t="shared" si="41"/>
        <v>#VALUE!</v>
      </c>
      <c r="G701" s="13" t="e">
        <f t="shared" si="42"/>
        <v>#VALUE!</v>
      </c>
      <c r="J701" t="str">
        <f>MAIN!A706&amp;"B"</f>
        <v>B</v>
      </c>
      <c r="K701" s="12" t="e">
        <f t="shared" si="43"/>
        <v>#VALUE!</v>
      </c>
      <c r="L701" t="str">
        <f>MAIN!C706</f>
        <v/>
      </c>
    </row>
    <row r="702" spans="1:12" x14ac:dyDescent="0.3">
      <c r="A702">
        <f>IF(J702="0",0,IF(COUNTIF($J$2:J702,J702)=1,1,0))</f>
        <v>0</v>
      </c>
      <c r="B702" s="12" t="e">
        <f>MID(MAIN!A707,K702,2)</f>
        <v>#VALUE!</v>
      </c>
      <c r="C702" s="12" t="e">
        <f t="shared" si="40"/>
        <v>#VALUE!</v>
      </c>
      <c r="D702" s="12" t="e">
        <f>MID(MAIN!A707,K702+2,2)</f>
        <v>#VALUE!</v>
      </c>
      <c r="E702" s="12" t="e">
        <f>MID(MAIN!A707,K702+4,2)</f>
        <v>#VALUE!</v>
      </c>
      <c r="F702" s="2" t="e">
        <f t="shared" si="41"/>
        <v>#VALUE!</v>
      </c>
      <c r="G702" s="13" t="e">
        <f t="shared" si="42"/>
        <v>#VALUE!</v>
      </c>
      <c r="J702" t="str">
        <f>MAIN!A707&amp;"B"</f>
        <v>B</v>
      </c>
      <c r="K702" s="12" t="e">
        <f t="shared" si="43"/>
        <v>#VALUE!</v>
      </c>
      <c r="L702" t="str">
        <f>MAIN!C707</f>
        <v/>
      </c>
    </row>
    <row r="703" spans="1:12" x14ac:dyDescent="0.3">
      <c r="A703">
        <f>IF(J703="0",0,IF(COUNTIF($J$2:J703,J703)=1,1,0))</f>
        <v>0</v>
      </c>
      <c r="B703" s="12" t="e">
        <f>MID(MAIN!A708,K703,2)</f>
        <v>#VALUE!</v>
      </c>
      <c r="C703" s="12" t="e">
        <f t="shared" si="40"/>
        <v>#VALUE!</v>
      </c>
      <c r="D703" s="12" t="e">
        <f>MID(MAIN!A708,K703+2,2)</f>
        <v>#VALUE!</v>
      </c>
      <c r="E703" s="12" t="e">
        <f>MID(MAIN!A708,K703+4,2)</f>
        <v>#VALUE!</v>
      </c>
      <c r="F703" s="2" t="e">
        <f t="shared" si="41"/>
        <v>#VALUE!</v>
      </c>
      <c r="G703" s="13" t="e">
        <f t="shared" si="42"/>
        <v>#VALUE!</v>
      </c>
      <c r="J703" t="str">
        <f>MAIN!A708&amp;"B"</f>
        <v>B</v>
      </c>
      <c r="K703" s="12" t="e">
        <f t="shared" si="43"/>
        <v>#VALUE!</v>
      </c>
      <c r="L703" t="str">
        <f>MAIN!C708</f>
        <v/>
      </c>
    </row>
    <row r="704" spans="1:12" x14ac:dyDescent="0.3">
      <c r="A704">
        <f>IF(J704="0",0,IF(COUNTIF($J$2:J704,J704)=1,1,0))</f>
        <v>0</v>
      </c>
      <c r="B704" s="12" t="e">
        <f>MID(MAIN!A709,K704,2)</f>
        <v>#VALUE!</v>
      </c>
      <c r="C704" s="12" t="e">
        <f t="shared" si="40"/>
        <v>#VALUE!</v>
      </c>
      <c r="D704" s="12" t="e">
        <f>MID(MAIN!A709,K704+2,2)</f>
        <v>#VALUE!</v>
      </c>
      <c r="E704" s="12" t="e">
        <f>MID(MAIN!A709,K704+4,2)</f>
        <v>#VALUE!</v>
      </c>
      <c r="F704" s="2" t="e">
        <f t="shared" si="41"/>
        <v>#VALUE!</v>
      </c>
      <c r="G704" s="13" t="e">
        <f t="shared" si="42"/>
        <v>#VALUE!</v>
      </c>
      <c r="J704" t="str">
        <f>MAIN!A709&amp;"B"</f>
        <v>B</v>
      </c>
      <c r="K704" s="12" t="e">
        <f t="shared" si="43"/>
        <v>#VALUE!</v>
      </c>
      <c r="L704" t="str">
        <f>MAIN!C709</f>
        <v/>
      </c>
    </row>
    <row r="705" spans="1:12" x14ac:dyDescent="0.3">
      <c r="A705">
        <f>IF(J705="0",0,IF(COUNTIF($J$2:J705,J705)=1,1,0))</f>
        <v>0</v>
      </c>
      <c r="B705" s="12" t="e">
        <f>MID(MAIN!A710,K705,2)</f>
        <v>#VALUE!</v>
      </c>
      <c r="C705" s="12" t="e">
        <f t="shared" si="40"/>
        <v>#VALUE!</v>
      </c>
      <c r="D705" s="12" t="e">
        <f>MID(MAIN!A710,K705+2,2)</f>
        <v>#VALUE!</v>
      </c>
      <c r="E705" s="12" t="e">
        <f>MID(MAIN!A710,K705+4,2)</f>
        <v>#VALUE!</v>
      </c>
      <c r="F705" s="2" t="e">
        <f t="shared" si="41"/>
        <v>#VALUE!</v>
      </c>
      <c r="G705" s="13" t="e">
        <f t="shared" si="42"/>
        <v>#VALUE!</v>
      </c>
      <c r="J705" t="str">
        <f>MAIN!A710&amp;"B"</f>
        <v>B</v>
      </c>
      <c r="K705" s="12" t="e">
        <f t="shared" si="43"/>
        <v>#VALUE!</v>
      </c>
      <c r="L705" t="str">
        <f>MAIN!C710</f>
        <v/>
      </c>
    </row>
    <row r="706" spans="1:12" x14ac:dyDescent="0.3">
      <c r="A706">
        <f>IF(J706="0",0,IF(COUNTIF($J$2:J706,J706)=1,1,0))</f>
        <v>0</v>
      </c>
      <c r="B706" s="12" t="e">
        <f>MID(MAIN!A711,K706,2)</f>
        <v>#VALUE!</v>
      </c>
      <c r="C706" s="12" t="e">
        <f t="shared" si="40"/>
        <v>#VALUE!</v>
      </c>
      <c r="D706" s="12" t="e">
        <f>MID(MAIN!A711,K706+2,2)</f>
        <v>#VALUE!</v>
      </c>
      <c r="E706" s="12" t="e">
        <f>MID(MAIN!A711,K706+4,2)</f>
        <v>#VALUE!</v>
      </c>
      <c r="F706" s="2" t="e">
        <f t="shared" si="41"/>
        <v>#VALUE!</v>
      </c>
      <c r="G706" s="13" t="e">
        <f t="shared" si="42"/>
        <v>#VALUE!</v>
      </c>
      <c r="J706" t="str">
        <f>MAIN!A711&amp;"B"</f>
        <v>B</v>
      </c>
      <c r="K706" s="12" t="e">
        <f t="shared" si="43"/>
        <v>#VALUE!</v>
      </c>
      <c r="L706" t="str">
        <f>MAIN!C711</f>
        <v/>
      </c>
    </row>
    <row r="707" spans="1:12" x14ac:dyDescent="0.3">
      <c r="A707">
        <f>IF(J707="0",0,IF(COUNTIF($J$2:J707,J707)=1,1,0))</f>
        <v>0</v>
      </c>
      <c r="B707" s="12" t="e">
        <f>MID(MAIN!A712,K707,2)</f>
        <v>#VALUE!</v>
      </c>
      <c r="C707" s="12" t="e">
        <f t="shared" ref="C707:C770" si="44">"20"&amp;B707</f>
        <v>#VALUE!</v>
      </c>
      <c r="D707" s="12" t="e">
        <f>MID(MAIN!A712,K707+2,2)</f>
        <v>#VALUE!</v>
      </c>
      <c r="E707" s="12" t="e">
        <f>MID(MAIN!A712,K707+4,2)</f>
        <v>#VALUE!</v>
      </c>
      <c r="F707" s="2" t="e">
        <f t="shared" ref="F707:F770" si="45">C707&amp;"/"&amp;D707&amp;"/"&amp;E707</f>
        <v>#VALUE!</v>
      </c>
      <c r="G707" s="13" t="e">
        <f t="shared" ref="G707:G770" si="46">DATEVALUE(F707)</f>
        <v>#VALUE!</v>
      </c>
      <c r="J707" t="str">
        <f>MAIN!A712&amp;"B"</f>
        <v>B</v>
      </c>
      <c r="K707" s="12" t="e">
        <f t="shared" ref="K707:K770" si="47">FIND("172",J707,30)+2</f>
        <v>#VALUE!</v>
      </c>
      <c r="L707" t="str">
        <f>MAIN!C712</f>
        <v/>
      </c>
    </row>
    <row r="708" spans="1:12" x14ac:dyDescent="0.3">
      <c r="A708">
        <f>IF(J708="0",0,IF(COUNTIF($J$2:J708,J708)=1,1,0))</f>
        <v>0</v>
      </c>
      <c r="B708" s="12" t="e">
        <f>MID(MAIN!A713,K708,2)</f>
        <v>#VALUE!</v>
      </c>
      <c r="C708" s="12" t="e">
        <f t="shared" si="44"/>
        <v>#VALUE!</v>
      </c>
      <c r="D708" s="12" t="e">
        <f>MID(MAIN!A713,K708+2,2)</f>
        <v>#VALUE!</v>
      </c>
      <c r="E708" s="12" t="e">
        <f>MID(MAIN!A713,K708+4,2)</f>
        <v>#VALUE!</v>
      </c>
      <c r="F708" s="2" t="e">
        <f t="shared" si="45"/>
        <v>#VALUE!</v>
      </c>
      <c r="G708" s="13" t="e">
        <f t="shared" si="46"/>
        <v>#VALUE!</v>
      </c>
      <c r="J708" t="str">
        <f>MAIN!A713&amp;"B"</f>
        <v>B</v>
      </c>
      <c r="K708" s="12" t="e">
        <f t="shared" si="47"/>
        <v>#VALUE!</v>
      </c>
      <c r="L708" t="str">
        <f>MAIN!C713</f>
        <v/>
      </c>
    </row>
    <row r="709" spans="1:12" x14ac:dyDescent="0.3">
      <c r="A709">
        <f>IF(J709="0",0,IF(COUNTIF($J$2:J709,J709)=1,1,0))</f>
        <v>0</v>
      </c>
      <c r="B709" s="12" t="e">
        <f>MID(MAIN!A714,K709,2)</f>
        <v>#VALUE!</v>
      </c>
      <c r="C709" s="12" t="e">
        <f t="shared" si="44"/>
        <v>#VALUE!</v>
      </c>
      <c r="D709" s="12" t="e">
        <f>MID(MAIN!A714,K709+2,2)</f>
        <v>#VALUE!</v>
      </c>
      <c r="E709" s="12" t="e">
        <f>MID(MAIN!A714,K709+4,2)</f>
        <v>#VALUE!</v>
      </c>
      <c r="F709" s="2" t="e">
        <f t="shared" si="45"/>
        <v>#VALUE!</v>
      </c>
      <c r="G709" s="13" t="e">
        <f t="shared" si="46"/>
        <v>#VALUE!</v>
      </c>
      <c r="J709" t="str">
        <f>MAIN!A714&amp;"B"</f>
        <v>B</v>
      </c>
      <c r="K709" s="12" t="e">
        <f t="shared" si="47"/>
        <v>#VALUE!</v>
      </c>
      <c r="L709" t="str">
        <f>MAIN!C714</f>
        <v/>
      </c>
    </row>
    <row r="710" spans="1:12" x14ac:dyDescent="0.3">
      <c r="A710">
        <f>IF(J710="0",0,IF(COUNTIF($J$2:J710,J710)=1,1,0))</f>
        <v>0</v>
      </c>
      <c r="B710" s="12" t="e">
        <f>MID(MAIN!A715,K710,2)</f>
        <v>#VALUE!</v>
      </c>
      <c r="C710" s="12" t="e">
        <f t="shared" si="44"/>
        <v>#VALUE!</v>
      </c>
      <c r="D710" s="12" t="e">
        <f>MID(MAIN!A715,K710+2,2)</f>
        <v>#VALUE!</v>
      </c>
      <c r="E710" s="12" t="e">
        <f>MID(MAIN!A715,K710+4,2)</f>
        <v>#VALUE!</v>
      </c>
      <c r="F710" s="2" t="e">
        <f t="shared" si="45"/>
        <v>#VALUE!</v>
      </c>
      <c r="G710" s="13" t="e">
        <f t="shared" si="46"/>
        <v>#VALUE!</v>
      </c>
      <c r="J710" t="str">
        <f>MAIN!A715&amp;"B"</f>
        <v>B</v>
      </c>
      <c r="K710" s="12" t="e">
        <f t="shared" si="47"/>
        <v>#VALUE!</v>
      </c>
      <c r="L710" t="str">
        <f>MAIN!C715</f>
        <v/>
      </c>
    </row>
    <row r="711" spans="1:12" x14ac:dyDescent="0.3">
      <c r="A711">
        <f>IF(J711="0",0,IF(COUNTIF($J$2:J711,J711)=1,1,0))</f>
        <v>0</v>
      </c>
      <c r="B711" s="12" t="e">
        <f>MID(MAIN!A716,K711,2)</f>
        <v>#VALUE!</v>
      </c>
      <c r="C711" s="12" t="e">
        <f t="shared" si="44"/>
        <v>#VALUE!</v>
      </c>
      <c r="D711" s="12" t="e">
        <f>MID(MAIN!A716,K711+2,2)</f>
        <v>#VALUE!</v>
      </c>
      <c r="E711" s="12" t="e">
        <f>MID(MAIN!A716,K711+4,2)</f>
        <v>#VALUE!</v>
      </c>
      <c r="F711" s="2" t="e">
        <f t="shared" si="45"/>
        <v>#VALUE!</v>
      </c>
      <c r="G711" s="13" t="e">
        <f t="shared" si="46"/>
        <v>#VALUE!</v>
      </c>
      <c r="J711" t="str">
        <f>MAIN!A716&amp;"B"</f>
        <v>B</v>
      </c>
      <c r="K711" s="12" t="e">
        <f t="shared" si="47"/>
        <v>#VALUE!</v>
      </c>
      <c r="L711" t="str">
        <f>MAIN!C716</f>
        <v/>
      </c>
    </row>
    <row r="712" spans="1:12" x14ac:dyDescent="0.3">
      <c r="A712">
        <f>IF(J712="0",0,IF(COUNTIF($J$2:J712,J712)=1,1,0))</f>
        <v>0</v>
      </c>
      <c r="B712" s="12" t="e">
        <f>MID(MAIN!A717,K712,2)</f>
        <v>#VALUE!</v>
      </c>
      <c r="C712" s="12" t="e">
        <f t="shared" si="44"/>
        <v>#VALUE!</v>
      </c>
      <c r="D712" s="12" t="e">
        <f>MID(MAIN!A717,K712+2,2)</f>
        <v>#VALUE!</v>
      </c>
      <c r="E712" s="12" t="e">
        <f>MID(MAIN!A717,K712+4,2)</f>
        <v>#VALUE!</v>
      </c>
      <c r="F712" s="2" t="e">
        <f t="shared" si="45"/>
        <v>#VALUE!</v>
      </c>
      <c r="G712" s="13" t="e">
        <f t="shared" si="46"/>
        <v>#VALUE!</v>
      </c>
      <c r="J712" t="str">
        <f>MAIN!A717&amp;"B"</f>
        <v>B</v>
      </c>
      <c r="K712" s="12" t="e">
        <f t="shared" si="47"/>
        <v>#VALUE!</v>
      </c>
      <c r="L712" t="str">
        <f>MAIN!C717</f>
        <v/>
      </c>
    </row>
    <row r="713" spans="1:12" x14ac:dyDescent="0.3">
      <c r="A713">
        <f>IF(J713="0",0,IF(COUNTIF($J$2:J713,J713)=1,1,0))</f>
        <v>0</v>
      </c>
      <c r="B713" s="12" t="e">
        <f>MID(MAIN!A718,K713,2)</f>
        <v>#VALUE!</v>
      </c>
      <c r="C713" s="12" t="e">
        <f t="shared" si="44"/>
        <v>#VALUE!</v>
      </c>
      <c r="D713" s="12" t="e">
        <f>MID(MAIN!A718,K713+2,2)</f>
        <v>#VALUE!</v>
      </c>
      <c r="E713" s="12" t="e">
        <f>MID(MAIN!A718,K713+4,2)</f>
        <v>#VALUE!</v>
      </c>
      <c r="F713" s="2" t="e">
        <f t="shared" si="45"/>
        <v>#VALUE!</v>
      </c>
      <c r="G713" s="13" t="e">
        <f t="shared" si="46"/>
        <v>#VALUE!</v>
      </c>
      <c r="J713" t="str">
        <f>MAIN!A718&amp;"B"</f>
        <v>B</v>
      </c>
      <c r="K713" s="12" t="e">
        <f t="shared" si="47"/>
        <v>#VALUE!</v>
      </c>
      <c r="L713" t="str">
        <f>MAIN!C718</f>
        <v/>
      </c>
    </row>
    <row r="714" spans="1:12" x14ac:dyDescent="0.3">
      <c r="A714">
        <f>IF(J714="0",0,IF(COUNTIF($J$2:J714,J714)=1,1,0))</f>
        <v>0</v>
      </c>
      <c r="B714" s="12" t="e">
        <f>MID(MAIN!A719,K714,2)</f>
        <v>#VALUE!</v>
      </c>
      <c r="C714" s="12" t="e">
        <f t="shared" si="44"/>
        <v>#VALUE!</v>
      </c>
      <c r="D714" s="12" t="e">
        <f>MID(MAIN!A719,K714+2,2)</f>
        <v>#VALUE!</v>
      </c>
      <c r="E714" s="12" t="e">
        <f>MID(MAIN!A719,K714+4,2)</f>
        <v>#VALUE!</v>
      </c>
      <c r="F714" s="2" t="e">
        <f t="shared" si="45"/>
        <v>#VALUE!</v>
      </c>
      <c r="G714" s="13" t="e">
        <f t="shared" si="46"/>
        <v>#VALUE!</v>
      </c>
      <c r="J714" t="str">
        <f>MAIN!A719&amp;"B"</f>
        <v>B</v>
      </c>
      <c r="K714" s="12" t="e">
        <f t="shared" si="47"/>
        <v>#VALUE!</v>
      </c>
      <c r="L714" t="str">
        <f>MAIN!C719</f>
        <v/>
      </c>
    </row>
    <row r="715" spans="1:12" x14ac:dyDescent="0.3">
      <c r="A715">
        <f>IF(J715="0",0,IF(COUNTIF($J$2:J715,J715)=1,1,0))</f>
        <v>0</v>
      </c>
      <c r="B715" s="12" t="e">
        <f>MID(MAIN!A720,K715,2)</f>
        <v>#VALUE!</v>
      </c>
      <c r="C715" s="12" t="e">
        <f t="shared" si="44"/>
        <v>#VALUE!</v>
      </c>
      <c r="D715" s="12" t="e">
        <f>MID(MAIN!A720,K715+2,2)</f>
        <v>#VALUE!</v>
      </c>
      <c r="E715" s="12" t="e">
        <f>MID(MAIN!A720,K715+4,2)</f>
        <v>#VALUE!</v>
      </c>
      <c r="F715" s="2" t="e">
        <f t="shared" si="45"/>
        <v>#VALUE!</v>
      </c>
      <c r="G715" s="13" t="e">
        <f t="shared" si="46"/>
        <v>#VALUE!</v>
      </c>
      <c r="J715" t="str">
        <f>MAIN!A720&amp;"B"</f>
        <v>B</v>
      </c>
      <c r="K715" s="12" t="e">
        <f t="shared" si="47"/>
        <v>#VALUE!</v>
      </c>
      <c r="L715" t="str">
        <f>MAIN!C720</f>
        <v/>
      </c>
    </row>
    <row r="716" spans="1:12" x14ac:dyDescent="0.3">
      <c r="A716">
        <f>IF(J716="0",0,IF(COUNTIF($J$2:J716,J716)=1,1,0))</f>
        <v>0</v>
      </c>
      <c r="B716" s="12" t="e">
        <f>MID(MAIN!A721,K716,2)</f>
        <v>#VALUE!</v>
      </c>
      <c r="C716" s="12" t="e">
        <f t="shared" si="44"/>
        <v>#VALUE!</v>
      </c>
      <c r="D716" s="12" t="e">
        <f>MID(MAIN!A721,K716+2,2)</f>
        <v>#VALUE!</v>
      </c>
      <c r="E716" s="12" t="e">
        <f>MID(MAIN!A721,K716+4,2)</f>
        <v>#VALUE!</v>
      </c>
      <c r="F716" s="2" t="e">
        <f t="shared" si="45"/>
        <v>#VALUE!</v>
      </c>
      <c r="G716" s="13" t="e">
        <f t="shared" si="46"/>
        <v>#VALUE!</v>
      </c>
      <c r="J716" t="str">
        <f>MAIN!A721&amp;"B"</f>
        <v>B</v>
      </c>
      <c r="K716" s="12" t="e">
        <f t="shared" si="47"/>
        <v>#VALUE!</v>
      </c>
      <c r="L716" t="str">
        <f>MAIN!C721</f>
        <v/>
      </c>
    </row>
    <row r="717" spans="1:12" x14ac:dyDescent="0.3">
      <c r="A717">
        <f>IF(J717="0",0,IF(COUNTIF($J$2:J717,J717)=1,1,0))</f>
        <v>0</v>
      </c>
      <c r="B717" s="12" t="e">
        <f>MID(MAIN!A722,K717,2)</f>
        <v>#VALUE!</v>
      </c>
      <c r="C717" s="12" t="e">
        <f t="shared" si="44"/>
        <v>#VALUE!</v>
      </c>
      <c r="D717" s="12" t="e">
        <f>MID(MAIN!A722,K717+2,2)</f>
        <v>#VALUE!</v>
      </c>
      <c r="E717" s="12" t="e">
        <f>MID(MAIN!A722,K717+4,2)</f>
        <v>#VALUE!</v>
      </c>
      <c r="F717" s="2" t="e">
        <f t="shared" si="45"/>
        <v>#VALUE!</v>
      </c>
      <c r="G717" s="13" t="e">
        <f t="shared" si="46"/>
        <v>#VALUE!</v>
      </c>
      <c r="J717" t="str">
        <f>MAIN!A722&amp;"B"</f>
        <v>B</v>
      </c>
      <c r="K717" s="12" t="e">
        <f t="shared" si="47"/>
        <v>#VALUE!</v>
      </c>
      <c r="L717" t="str">
        <f>MAIN!C722</f>
        <v/>
      </c>
    </row>
    <row r="718" spans="1:12" x14ac:dyDescent="0.3">
      <c r="A718">
        <f>IF(J718="0",0,IF(COUNTIF($J$2:J718,J718)=1,1,0))</f>
        <v>0</v>
      </c>
      <c r="B718" s="12" t="e">
        <f>MID(MAIN!A723,K718,2)</f>
        <v>#VALUE!</v>
      </c>
      <c r="C718" s="12" t="e">
        <f t="shared" si="44"/>
        <v>#VALUE!</v>
      </c>
      <c r="D718" s="12" t="e">
        <f>MID(MAIN!A723,K718+2,2)</f>
        <v>#VALUE!</v>
      </c>
      <c r="E718" s="12" t="e">
        <f>MID(MAIN!A723,K718+4,2)</f>
        <v>#VALUE!</v>
      </c>
      <c r="F718" s="2" t="e">
        <f t="shared" si="45"/>
        <v>#VALUE!</v>
      </c>
      <c r="G718" s="13" t="e">
        <f t="shared" si="46"/>
        <v>#VALUE!</v>
      </c>
      <c r="J718" t="str">
        <f>MAIN!A723&amp;"B"</f>
        <v>B</v>
      </c>
      <c r="K718" s="12" t="e">
        <f t="shared" si="47"/>
        <v>#VALUE!</v>
      </c>
      <c r="L718" t="str">
        <f>MAIN!C723</f>
        <v/>
      </c>
    </row>
    <row r="719" spans="1:12" x14ac:dyDescent="0.3">
      <c r="A719">
        <f>IF(J719="0",0,IF(COUNTIF($J$2:J719,J719)=1,1,0))</f>
        <v>0</v>
      </c>
      <c r="B719" s="12" t="e">
        <f>MID(MAIN!A724,K719,2)</f>
        <v>#VALUE!</v>
      </c>
      <c r="C719" s="12" t="e">
        <f t="shared" si="44"/>
        <v>#VALUE!</v>
      </c>
      <c r="D719" s="12" t="e">
        <f>MID(MAIN!A724,K719+2,2)</f>
        <v>#VALUE!</v>
      </c>
      <c r="E719" s="12" t="e">
        <f>MID(MAIN!A724,K719+4,2)</f>
        <v>#VALUE!</v>
      </c>
      <c r="F719" s="2" t="e">
        <f t="shared" si="45"/>
        <v>#VALUE!</v>
      </c>
      <c r="G719" s="13" t="e">
        <f t="shared" si="46"/>
        <v>#VALUE!</v>
      </c>
      <c r="J719" t="str">
        <f>MAIN!A724&amp;"B"</f>
        <v>B</v>
      </c>
      <c r="K719" s="12" t="e">
        <f t="shared" si="47"/>
        <v>#VALUE!</v>
      </c>
      <c r="L719" t="str">
        <f>MAIN!C724</f>
        <v/>
      </c>
    </row>
    <row r="720" spans="1:12" x14ac:dyDescent="0.3">
      <c r="A720">
        <f>IF(J720="0",0,IF(COUNTIF($J$2:J720,J720)=1,1,0))</f>
        <v>0</v>
      </c>
      <c r="B720" s="12" t="e">
        <f>MID(MAIN!A725,K720,2)</f>
        <v>#VALUE!</v>
      </c>
      <c r="C720" s="12" t="e">
        <f t="shared" si="44"/>
        <v>#VALUE!</v>
      </c>
      <c r="D720" s="12" t="e">
        <f>MID(MAIN!A725,K720+2,2)</f>
        <v>#VALUE!</v>
      </c>
      <c r="E720" s="12" t="e">
        <f>MID(MAIN!A725,K720+4,2)</f>
        <v>#VALUE!</v>
      </c>
      <c r="F720" s="2" t="e">
        <f t="shared" si="45"/>
        <v>#VALUE!</v>
      </c>
      <c r="G720" s="13" t="e">
        <f t="shared" si="46"/>
        <v>#VALUE!</v>
      </c>
      <c r="J720" t="str">
        <f>MAIN!A725&amp;"B"</f>
        <v>B</v>
      </c>
      <c r="K720" s="12" t="e">
        <f t="shared" si="47"/>
        <v>#VALUE!</v>
      </c>
      <c r="L720" t="str">
        <f>MAIN!C725</f>
        <v/>
      </c>
    </row>
    <row r="721" spans="1:12" x14ac:dyDescent="0.3">
      <c r="A721">
        <f>IF(J721="0",0,IF(COUNTIF($J$2:J721,J721)=1,1,0))</f>
        <v>0</v>
      </c>
      <c r="B721" s="12" t="e">
        <f>MID(MAIN!A726,K721,2)</f>
        <v>#VALUE!</v>
      </c>
      <c r="C721" s="12" t="e">
        <f t="shared" si="44"/>
        <v>#VALUE!</v>
      </c>
      <c r="D721" s="12" t="e">
        <f>MID(MAIN!A726,K721+2,2)</f>
        <v>#VALUE!</v>
      </c>
      <c r="E721" s="12" t="e">
        <f>MID(MAIN!A726,K721+4,2)</f>
        <v>#VALUE!</v>
      </c>
      <c r="F721" s="2" t="e">
        <f t="shared" si="45"/>
        <v>#VALUE!</v>
      </c>
      <c r="G721" s="13" t="e">
        <f t="shared" si="46"/>
        <v>#VALUE!</v>
      </c>
      <c r="J721" t="str">
        <f>MAIN!A726&amp;"B"</f>
        <v>B</v>
      </c>
      <c r="K721" s="12" t="e">
        <f t="shared" si="47"/>
        <v>#VALUE!</v>
      </c>
      <c r="L721" t="str">
        <f>MAIN!C726</f>
        <v/>
      </c>
    </row>
    <row r="722" spans="1:12" x14ac:dyDescent="0.3">
      <c r="A722">
        <f>IF(J722="0",0,IF(COUNTIF($J$2:J722,J722)=1,1,0))</f>
        <v>0</v>
      </c>
      <c r="B722" s="12" t="e">
        <f>MID(MAIN!A727,K722,2)</f>
        <v>#VALUE!</v>
      </c>
      <c r="C722" s="12" t="e">
        <f t="shared" si="44"/>
        <v>#VALUE!</v>
      </c>
      <c r="D722" s="12" t="e">
        <f>MID(MAIN!A727,K722+2,2)</f>
        <v>#VALUE!</v>
      </c>
      <c r="E722" s="12" t="e">
        <f>MID(MAIN!A727,K722+4,2)</f>
        <v>#VALUE!</v>
      </c>
      <c r="F722" s="2" t="e">
        <f t="shared" si="45"/>
        <v>#VALUE!</v>
      </c>
      <c r="G722" s="13" t="e">
        <f t="shared" si="46"/>
        <v>#VALUE!</v>
      </c>
      <c r="J722" t="str">
        <f>MAIN!A727&amp;"B"</f>
        <v>B</v>
      </c>
      <c r="K722" s="12" t="e">
        <f t="shared" si="47"/>
        <v>#VALUE!</v>
      </c>
      <c r="L722" t="str">
        <f>MAIN!C727</f>
        <v/>
      </c>
    </row>
    <row r="723" spans="1:12" x14ac:dyDescent="0.3">
      <c r="A723">
        <f>IF(J723="0",0,IF(COUNTIF($J$2:J723,J723)=1,1,0))</f>
        <v>0</v>
      </c>
      <c r="B723" s="12" t="e">
        <f>MID(MAIN!A728,K723,2)</f>
        <v>#VALUE!</v>
      </c>
      <c r="C723" s="12" t="e">
        <f t="shared" si="44"/>
        <v>#VALUE!</v>
      </c>
      <c r="D723" s="12" t="e">
        <f>MID(MAIN!A728,K723+2,2)</f>
        <v>#VALUE!</v>
      </c>
      <c r="E723" s="12" t="e">
        <f>MID(MAIN!A728,K723+4,2)</f>
        <v>#VALUE!</v>
      </c>
      <c r="F723" s="2" t="e">
        <f t="shared" si="45"/>
        <v>#VALUE!</v>
      </c>
      <c r="G723" s="13" t="e">
        <f t="shared" si="46"/>
        <v>#VALUE!</v>
      </c>
      <c r="J723" t="str">
        <f>MAIN!A728&amp;"B"</f>
        <v>B</v>
      </c>
      <c r="K723" s="12" t="e">
        <f t="shared" si="47"/>
        <v>#VALUE!</v>
      </c>
      <c r="L723" t="str">
        <f>MAIN!C728</f>
        <v/>
      </c>
    </row>
    <row r="724" spans="1:12" x14ac:dyDescent="0.3">
      <c r="A724">
        <f>IF(J724="0",0,IF(COUNTIF($J$2:J724,J724)=1,1,0))</f>
        <v>0</v>
      </c>
      <c r="B724" s="12" t="e">
        <f>MID(MAIN!A729,K724,2)</f>
        <v>#VALUE!</v>
      </c>
      <c r="C724" s="12" t="e">
        <f t="shared" si="44"/>
        <v>#VALUE!</v>
      </c>
      <c r="D724" s="12" t="e">
        <f>MID(MAIN!A729,K724+2,2)</f>
        <v>#VALUE!</v>
      </c>
      <c r="E724" s="12" t="e">
        <f>MID(MAIN!A729,K724+4,2)</f>
        <v>#VALUE!</v>
      </c>
      <c r="F724" s="2" t="e">
        <f t="shared" si="45"/>
        <v>#VALUE!</v>
      </c>
      <c r="G724" s="13" t="e">
        <f t="shared" si="46"/>
        <v>#VALUE!</v>
      </c>
      <c r="J724" t="str">
        <f>MAIN!A729&amp;"B"</f>
        <v>B</v>
      </c>
      <c r="K724" s="12" t="e">
        <f t="shared" si="47"/>
        <v>#VALUE!</v>
      </c>
      <c r="L724" t="str">
        <f>MAIN!C729</f>
        <v/>
      </c>
    </row>
    <row r="725" spans="1:12" x14ac:dyDescent="0.3">
      <c r="A725">
        <f>IF(J725="0",0,IF(COUNTIF($J$2:J725,J725)=1,1,0))</f>
        <v>0</v>
      </c>
      <c r="B725" s="12" t="e">
        <f>MID(MAIN!A730,K725,2)</f>
        <v>#VALUE!</v>
      </c>
      <c r="C725" s="12" t="e">
        <f t="shared" si="44"/>
        <v>#VALUE!</v>
      </c>
      <c r="D725" s="12" t="e">
        <f>MID(MAIN!A730,K725+2,2)</f>
        <v>#VALUE!</v>
      </c>
      <c r="E725" s="12" t="e">
        <f>MID(MAIN!A730,K725+4,2)</f>
        <v>#VALUE!</v>
      </c>
      <c r="F725" s="2" t="e">
        <f t="shared" si="45"/>
        <v>#VALUE!</v>
      </c>
      <c r="G725" s="13" t="e">
        <f t="shared" si="46"/>
        <v>#VALUE!</v>
      </c>
      <c r="J725" t="str">
        <f>MAIN!A730&amp;"B"</f>
        <v>B</v>
      </c>
      <c r="K725" s="12" t="e">
        <f t="shared" si="47"/>
        <v>#VALUE!</v>
      </c>
      <c r="L725" t="str">
        <f>MAIN!C730</f>
        <v/>
      </c>
    </row>
    <row r="726" spans="1:12" x14ac:dyDescent="0.3">
      <c r="A726">
        <f>IF(J726="0",0,IF(COUNTIF($J$2:J726,J726)=1,1,0))</f>
        <v>0</v>
      </c>
      <c r="B726" s="12" t="e">
        <f>MID(MAIN!A731,K726,2)</f>
        <v>#VALUE!</v>
      </c>
      <c r="C726" s="12" t="e">
        <f t="shared" si="44"/>
        <v>#VALUE!</v>
      </c>
      <c r="D726" s="12" t="e">
        <f>MID(MAIN!A731,K726+2,2)</f>
        <v>#VALUE!</v>
      </c>
      <c r="E726" s="12" t="e">
        <f>MID(MAIN!A731,K726+4,2)</f>
        <v>#VALUE!</v>
      </c>
      <c r="F726" s="2" t="e">
        <f t="shared" si="45"/>
        <v>#VALUE!</v>
      </c>
      <c r="G726" s="13" t="e">
        <f t="shared" si="46"/>
        <v>#VALUE!</v>
      </c>
      <c r="J726" t="str">
        <f>MAIN!A731&amp;"B"</f>
        <v>B</v>
      </c>
      <c r="K726" s="12" t="e">
        <f t="shared" si="47"/>
        <v>#VALUE!</v>
      </c>
      <c r="L726" t="str">
        <f>MAIN!C731</f>
        <v/>
      </c>
    </row>
    <row r="727" spans="1:12" x14ac:dyDescent="0.3">
      <c r="A727">
        <f>IF(J727="0",0,IF(COUNTIF($J$2:J727,J727)=1,1,0))</f>
        <v>0</v>
      </c>
      <c r="B727" s="12" t="e">
        <f>MID(MAIN!A732,K727,2)</f>
        <v>#VALUE!</v>
      </c>
      <c r="C727" s="12" t="e">
        <f t="shared" si="44"/>
        <v>#VALUE!</v>
      </c>
      <c r="D727" s="12" t="e">
        <f>MID(MAIN!A732,K727+2,2)</f>
        <v>#VALUE!</v>
      </c>
      <c r="E727" s="12" t="e">
        <f>MID(MAIN!A732,K727+4,2)</f>
        <v>#VALUE!</v>
      </c>
      <c r="F727" s="2" t="e">
        <f t="shared" si="45"/>
        <v>#VALUE!</v>
      </c>
      <c r="G727" s="13" t="e">
        <f t="shared" si="46"/>
        <v>#VALUE!</v>
      </c>
      <c r="J727" t="str">
        <f>MAIN!A732&amp;"B"</f>
        <v>B</v>
      </c>
      <c r="K727" s="12" t="e">
        <f t="shared" si="47"/>
        <v>#VALUE!</v>
      </c>
      <c r="L727" t="str">
        <f>MAIN!C732</f>
        <v/>
      </c>
    </row>
    <row r="728" spans="1:12" x14ac:dyDescent="0.3">
      <c r="A728">
        <f>IF(J728="0",0,IF(COUNTIF($J$2:J728,J728)=1,1,0))</f>
        <v>0</v>
      </c>
      <c r="B728" s="12" t="e">
        <f>MID(MAIN!A733,K728,2)</f>
        <v>#VALUE!</v>
      </c>
      <c r="C728" s="12" t="e">
        <f t="shared" si="44"/>
        <v>#VALUE!</v>
      </c>
      <c r="D728" s="12" t="e">
        <f>MID(MAIN!A733,K728+2,2)</f>
        <v>#VALUE!</v>
      </c>
      <c r="E728" s="12" t="e">
        <f>MID(MAIN!A733,K728+4,2)</f>
        <v>#VALUE!</v>
      </c>
      <c r="F728" s="2" t="e">
        <f t="shared" si="45"/>
        <v>#VALUE!</v>
      </c>
      <c r="G728" s="13" t="e">
        <f t="shared" si="46"/>
        <v>#VALUE!</v>
      </c>
      <c r="J728" t="str">
        <f>MAIN!A733&amp;"B"</f>
        <v>B</v>
      </c>
      <c r="K728" s="12" t="e">
        <f t="shared" si="47"/>
        <v>#VALUE!</v>
      </c>
      <c r="L728" t="str">
        <f>MAIN!C733</f>
        <v/>
      </c>
    </row>
    <row r="729" spans="1:12" x14ac:dyDescent="0.3">
      <c r="A729">
        <f>IF(J729="0",0,IF(COUNTIF($J$2:J729,J729)=1,1,0))</f>
        <v>0</v>
      </c>
      <c r="B729" s="12" t="e">
        <f>MID(MAIN!A734,K729,2)</f>
        <v>#VALUE!</v>
      </c>
      <c r="C729" s="12" t="e">
        <f t="shared" si="44"/>
        <v>#VALUE!</v>
      </c>
      <c r="D729" s="12" t="e">
        <f>MID(MAIN!A734,K729+2,2)</f>
        <v>#VALUE!</v>
      </c>
      <c r="E729" s="12" t="e">
        <f>MID(MAIN!A734,K729+4,2)</f>
        <v>#VALUE!</v>
      </c>
      <c r="F729" s="2" t="e">
        <f t="shared" si="45"/>
        <v>#VALUE!</v>
      </c>
      <c r="G729" s="13" t="e">
        <f t="shared" si="46"/>
        <v>#VALUE!</v>
      </c>
      <c r="J729" t="str">
        <f>MAIN!A734&amp;"B"</f>
        <v>B</v>
      </c>
      <c r="K729" s="12" t="e">
        <f t="shared" si="47"/>
        <v>#VALUE!</v>
      </c>
      <c r="L729" t="str">
        <f>MAIN!C734</f>
        <v/>
      </c>
    </row>
    <row r="730" spans="1:12" x14ac:dyDescent="0.3">
      <c r="A730">
        <f>IF(J730="0",0,IF(COUNTIF($J$2:J730,J730)=1,1,0))</f>
        <v>0</v>
      </c>
      <c r="B730" s="12" t="e">
        <f>MID(MAIN!A735,K730,2)</f>
        <v>#VALUE!</v>
      </c>
      <c r="C730" s="12" t="e">
        <f t="shared" si="44"/>
        <v>#VALUE!</v>
      </c>
      <c r="D730" s="12" t="e">
        <f>MID(MAIN!A735,K730+2,2)</f>
        <v>#VALUE!</v>
      </c>
      <c r="E730" s="12" t="e">
        <f>MID(MAIN!A735,K730+4,2)</f>
        <v>#VALUE!</v>
      </c>
      <c r="F730" s="2" t="e">
        <f t="shared" si="45"/>
        <v>#VALUE!</v>
      </c>
      <c r="G730" s="13" t="e">
        <f t="shared" si="46"/>
        <v>#VALUE!</v>
      </c>
      <c r="J730" t="str">
        <f>MAIN!A735&amp;"B"</f>
        <v>B</v>
      </c>
      <c r="K730" s="12" t="e">
        <f t="shared" si="47"/>
        <v>#VALUE!</v>
      </c>
      <c r="L730" t="str">
        <f>MAIN!C735</f>
        <v/>
      </c>
    </row>
    <row r="731" spans="1:12" x14ac:dyDescent="0.3">
      <c r="A731">
        <f>IF(J731="0",0,IF(COUNTIF($J$2:J731,J731)=1,1,0))</f>
        <v>0</v>
      </c>
      <c r="B731" s="12" t="e">
        <f>MID(MAIN!A736,K731,2)</f>
        <v>#VALUE!</v>
      </c>
      <c r="C731" s="12" t="e">
        <f t="shared" si="44"/>
        <v>#VALUE!</v>
      </c>
      <c r="D731" s="12" t="e">
        <f>MID(MAIN!A736,K731+2,2)</f>
        <v>#VALUE!</v>
      </c>
      <c r="E731" s="12" t="e">
        <f>MID(MAIN!A736,K731+4,2)</f>
        <v>#VALUE!</v>
      </c>
      <c r="F731" s="2" t="e">
        <f t="shared" si="45"/>
        <v>#VALUE!</v>
      </c>
      <c r="G731" s="13" t="e">
        <f t="shared" si="46"/>
        <v>#VALUE!</v>
      </c>
      <c r="J731" t="str">
        <f>MAIN!A736&amp;"B"</f>
        <v>B</v>
      </c>
      <c r="K731" s="12" t="e">
        <f t="shared" si="47"/>
        <v>#VALUE!</v>
      </c>
      <c r="L731" t="str">
        <f>MAIN!C736</f>
        <v/>
      </c>
    </row>
    <row r="732" spans="1:12" x14ac:dyDescent="0.3">
      <c r="A732">
        <f>IF(J732="0",0,IF(COUNTIF($J$2:J732,J732)=1,1,0))</f>
        <v>0</v>
      </c>
      <c r="B732" s="12" t="e">
        <f>MID(MAIN!A737,K732,2)</f>
        <v>#VALUE!</v>
      </c>
      <c r="C732" s="12" t="e">
        <f t="shared" si="44"/>
        <v>#VALUE!</v>
      </c>
      <c r="D732" s="12" t="e">
        <f>MID(MAIN!A737,K732+2,2)</f>
        <v>#VALUE!</v>
      </c>
      <c r="E732" s="12" t="e">
        <f>MID(MAIN!A737,K732+4,2)</f>
        <v>#VALUE!</v>
      </c>
      <c r="F732" s="2" t="e">
        <f t="shared" si="45"/>
        <v>#VALUE!</v>
      </c>
      <c r="G732" s="13" t="e">
        <f t="shared" si="46"/>
        <v>#VALUE!</v>
      </c>
      <c r="J732" t="str">
        <f>MAIN!A737&amp;"B"</f>
        <v>B</v>
      </c>
      <c r="K732" s="12" t="e">
        <f t="shared" si="47"/>
        <v>#VALUE!</v>
      </c>
      <c r="L732" t="str">
        <f>MAIN!C737</f>
        <v/>
      </c>
    </row>
    <row r="733" spans="1:12" x14ac:dyDescent="0.3">
      <c r="A733">
        <f>IF(J733="0",0,IF(COUNTIF($J$2:J733,J733)=1,1,0))</f>
        <v>0</v>
      </c>
      <c r="B733" s="12" t="e">
        <f>MID(MAIN!A738,K733,2)</f>
        <v>#VALUE!</v>
      </c>
      <c r="C733" s="12" t="e">
        <f t="shared" si="44"/>
        <v>#VALUE!</v>
      </c>
      <c r="D733" s="12" t="e">
        <f>MID(MAIN!A738,K733+2,2)</f>
        <v>#VALUE!</v>
      </c>
      <c r="E733" s="12" t="e">
        <f>MID(MAIN!A738,K733+4,2)</f>
        <v>#VALUE!</v>
      </c>
      <c r="F733" s="2" t="e">
        <f t="shared" si="45"/>
        <v>#VALUE!</v>
      </c>
      <c r="G733" s="13" t="e">
        <f t="shared" si="46"/>
        <v>#VALUE!</v>
      </c>
      <c r="J733" t="str">
        <f>MAIN!A738&amp;"B"</f>
        <v>B</v>
      </c>
      <c r="K733" s="12" t="e">
        <f t="shared" si="47"/>
        <v>#VALUE!</v>
      </c>
      <c r="L733" t="str">
        <f>MAIN!C738</f>
        <v/>
      </c>
    </row>
    <row r="734" spans="1:12" x14ac:dyDescent="0.3">
      <c r="A734">
        <f>IF(J734="0",0,IF(COUNTIF($J$2:J734,J734)=1,1,0))</f>
        <v>0</v>
      </c>
      <c r="B734" s="12" t="e">
        <f>MID(MAIN!A739,K734,2)</f>
        <v>#VALUE!</v>
      </c>
      <c r="C734" s="12" t="e">
        <f t="shared" si="44"/>
        <v>#VALUE!</v>
      </c>
      <c r="D734" s="12" t="e">
        <f>MID(MAIN!A739,K734+2,2)</f>
        <v>#VALUE!</v>
      </c>
      <c r="E734" s="12" t="e">
        <f>MID(MAIN!A739,K734+4,2)</f>
        <v>#VALUE!</v>
      </c>
      <c r="F734" s="2" t="e">
        <f t="shared" si="45"/>
        <v>#VALUE!</v>
      </c>
      <c r="G734" s="13" t="e">
        <f t="shared" si="46"/>
        <v>#VALUE!</v>
      </c>
      <c r="J734" t="str">
        <f>MAIN!A739&amp;"B"</f>
        <v>B</v>
      </c>
      <c r="K734" s="12" t="e">
        <f t="shared" si="47"/>
        <v>#VALUE!</v>
      </c>
      <c r="L734" t="str">
        <f>MAIN!C739</f>
        <v/>
      </c>
    </row>
    <row r="735" spans="1:12" x14ac:dyDescent="0.3">
      <c r="A735">
        <f>IF(J735="0",0,IF(COUNTIF($J$2:J735,J735)=1,1,0))</f>
        <v>0</v>
      </c>
      <c r="B735" s="12" t="e">
        <f>MID(MAIN!A740,K735,2)</f>
        <v>#VALUE!</v>
      </c>
      <c r="C735" s="12" t="e">
        <f t="shared" si="44"/>
        <v>#VALUE!</v>
      </c>
      <c r="D735" s="12" t="e">
        <f>MID(MAIN!A740,K735+2,2)</f>
        <v>#VALUE!</v>
      </c>
      <c r="E735" s="12" t="e">
        <f>MID(MAIN!A740,K735+4,2)</f>
        <v>#VALUE!</v>
      </c>
      <c r="F735" s="2" t="e">
        <f t="shared" si="45"/>
        <v>#VALUE!</v>
      </c>
      <c r="G735" s="13" t="e">
        <f t="shared" si="46"/>
        <v>#VALUE!</v>
      </c>
      <c r="J735" t="str">
        <f>MAIN!A740&amp;"B"</f>
        <v>B</v>
      </c>
      <c r="K735" s="12" t="e">
        <f t="shared" si="47"/>
        <v>#VALUE!</v>
      </c>
      <c r="L735" t="str">
        <f>MAIN!C740</f>
        <v/>
      </c>
    </row>
    <row r="736" spans="1:12" x14ac:dyDescent="0.3">
      <c r="A736">
        <f>IF(J736="0",0,IF(COUNTIF($J$2:J736,J736)=1,1,0))</f>
        <v>0</v>
      </c>
      <c r="B736" s="12" t="e">
        <f>MID(MAIN!A741,K736,2)</f>
        <v>#VALUE!</v>
      </c>
      <c r="C736" s="12" t="e">
        <f t="shared" si="44"/>
        <v>#VALUE!</v>
      </c>
      <c r="D736" s="12" t="e">
        <f>MID(MAIN!A741,K736+2,2)</f>
        <v>#VALUE!</v>
      </c>
      <c r="E736" s="12" t="e">
        <f>MID(MAIN!A741,K736+4,2)</f>
        <v>#VALUE!</v>
      </c>
      <c r="F736" s="2" t="e">
        <f t="shared" si="45"/>
        <v>#VALUE!</v>
      </c>
      <c r="G736" s="13" t="e">
        <f t="shared" si="46"/>
        <v>#VALUE!</v>
      </c>
      <c r="J736" t="str">
        <f>MAIN!A741&amp;"B"</f>
        <v>B</v>
      </c>
      <c r="K736" s="12" t="e">
        <f t="shared" si="47"/>
        <v>#VALUE!</v>
      </c>
      <c r="L736" t="str">
        <f>MAIN!C741</f>
        <v/>
      </c>
    </row>
    <row r="737" spans="1:12" x14ac:dyDescent="0.3">
      <c r="A737">
        <f>IF(J737="0",0,IF(COUNTIF($J$2:J737,J737)=1,1,0))</f>
        <v>0</v>
      </c>
      <c r="B737" s="12" t="e">
        <f>MID(MAIN!A742,K737,2)</f>
        <v>#VALUE!</v>
      </c>
      <c r="C737" s="12" t="e">
        <f t="shared" si="44"/>
        <v>#VALUE!</v>
      </c>
      <c r="D737" s="12" t="e">
        <f>MID(MAIN!A742,K737+2,2)</f>
        <v>#VALUE!</v>
      </c>
      <c r="E737" s="12" t="e">
        <f>MID(MAIN!A742,K737+4,2)</f>
        <v>#VALUE!</v>
      </c>
      <c r="F737" s="2" t="e">
        <f t="shared" si="45"/>
        <v>#VALUE!</v>
      </c>
      <c r="G737" s="13" t="e">
        <f t="shared" si="46"/>
        <v>#VALUE!</v>
      </c>
      <c r="J737" t="str">
        <f>MAIN!A742&amp;"B"</f>
        <v>B</v>
      </c>
      <c r="K737" s="12" t="e">
        <f t="shared" si="47"/>
        <v>#VALUE!</v>
      </c>
      <c r="L737" t="str">
        <f>MAIN!C742</f>
        <v/>
      </c>
    </row>
    <row r="738" spans="1:12" x14ac:dyDescent="0.3">
      <c r="A738">
        <f>IF(J738="0",0,IF(COUNTIF($J$2:J738,J738)=1,1,0))</f>
        <v>0</v>
      </c>
      <c r="B738" s="12" t="e">
        <f>MID(MAIN!A743,K738,2)</f>
        <v>#VALUE!</v>
      </c>
      <c r="C738" s="12" t="e">
        <f t="shared" si="44"/>
        <v>#VALUE!</v>
      </c>
      <c r="D738" s="12" t="e">
        <f>MID(MAIN!A743,K738+2,2)</f>
        <v>#VALUE!</v>
      </c>
      <c r="E738" s="12" t="e">
        <f>MID(MAIN!A743,K738+4,2)</f>
        <v>#VALUE!</v>
      </c>
      <c r="F738" s="2" t="e">
        <f t="shared" si="45"/>
        <v>#VALUE!</v>
      </c>
      <c r="G738" s="13" t="e">
        <f t="shared" si="46"/>
        <v>#VALUE!</v>
      </c>
      <c r="J738" t="str">
        <f>MAIN!A743&amp;"B"</f>
        <v>B</v>
      </c>
      <c r="K738" s="12" t="e">
        <f t="shared" si="47"/>
        <v>#VALUE!</v>
      </c>
      <c r="L738" t="str">
        <f>MAIN!C743</f>
        <v/>
      </c>
    </row>
    <row r="739" spans="1:12" x14ac:dyDescent="0.3">
      <c r="A739">
        <f>IF(J739="0",0,IF(COUNTIF($J$2:J739,J739)=1,1,0))</f>
        <v>0</v>
      </c>
      <c r="B739" s="12" t="e">
        <f>MID(MAIN!A744,K739,2)</f>
        <v>#VALUE!</v>
      </c>
      <c r="C739" s="12" t="e">
        <f t="shared" si="44"/>
        <v>#VALUE!</v>
      </c>
      <c r="D739" s="12" t="e">
        <f>MID(MAIN!A744,K739+2,2)</f>
        <v>#VALUE!</v>
      </c>
      <c r="E739" s="12" t="e">
        <f>MID(MAIN!A744,K739+4,2)</f>
        <v>#VALUE!</v>
      </c>
      <c r="F739" s="2" t="e">
        <f t="shared" si="45"/>
        <v>#VALUE!</v>
      </c>
      <c r="G739" s="13" t="e">
        <f t="shared" si="46"/>
        <v>#VALUE!</v>
      </c>
      <c r="J739" t="str">
        <f>MAIN!A744&amp;"B"</f>
        <v>B</v>
      </c>
      <c r="K739" s="12" t="e">
        <f t="shared" si="47"/>
        <v>#VALUE!</v>
      </c>
      <c r="L739" t="str">
        <f>MAIN!C744</f>
        <v/>
      </c>
    </row>
    <row r="740" spans="1:12" x14ac:dyDescent="0.3">
      <c r="A740">
        <f>IF(J740="0",0,IF(COUNTIF($J$2:J740,J740)=1,1,0))</f>
        <v>0</v>
      </c>
      <c r="B740" s="12" t="e">
        <f>MID(MAIN!A745,K740,2)</f>
        <v>#VALUE!</v>
      </c>
      <c r="C740" s="12" t="e">
        <f t="shared" si="44"/>
        <v>#VALUE!</v>
      </c>
      <c r="D740" s="12" t="e">
        <f>MID(MAIN!A745,K740+2,2)</f>
        <v>#VALUE!</v>
      </c>
      <c r="E740" s="12" t="e">
        <f>MID(MAIN!A745,K740+4,2)</f>
        <v>#VALUE!</v>
      </c>
      <c r="F740" s="2" t="e">
        <f t="shared" si="45"/>
        <v>#VALUE!</v>
      </c>
      <c r="G740" s="13" t="e">
        <f t="shared" si="46"/>
        <v>#VALUE!</v>
      </c>
      <c r="J740" t="str">
        <f>MAIN!A745&amp;"B"</f>
        <v>B</v>
      </c>
      <c r="K740" s="12" t="e">
        <f t="shared" si="47"/>
        <v>#VALUE!</v>
      </c>
      <c r="L740" t="str">
        <f>MAIN!C745</f>
        <v/>
      </c>
    </row>
    <row r="741" spans="1:12" x14ac:dyDescent="0.3">
      <c r="A741">
        <f>IF(J741="0",0,IF(COUNTIF($J$2:J741,J741)=1,1,0))</f>
        <v>0</v>
      </c>
      <c r="B741" s="12" t="e">
        <f>MID(MAIN!A746,K741,2)</f>
        <v>#VALUE!</v>
      </c>
      <c r="C741" s="12" t="e">
        <f t="shared" si="44"/>
        <v>#VALUE!</v>
      </c>
      <c r="D741" s="12" t="e">
        <f>MID(MAIN!A746,K741+2,2)</f>
        <v>#VALUE!</v>
      </c>
      <c r="E741" s="12" t="e">
        <f>MID(MAIN!A746,K741+4,2)</f>
        <v>#VALUE!</v>
      </c>
      <c r="F741" s="2" t="e">
        <f t="shared" si="45"/>
        <v>#VALUE!</v>
      </c>
      <c r="G741" s="13" t="e">
        <f t="shared" si="46"/>
        <v>#VALUE!</v>
      </c>
      <c r="J741" t="str">
        <f>MAIN!A746&amp;"B"</f>
        <v>B</v>
      </c>
      <c r="K741" s="12" t="e">
        <f t="shared" si="47"/>
        <v>#VALUE!</v>
      </c>
      <c r="L741" t="str">
        <f>MAIN!C746</f>
        <v/>
      </c>
    </row>
    <row r="742" spans="1:12" x14ac:dyDescent="0.3">
      <c r="A742">
        <f>IF(J742="0",0,IF(COUNTIF($J$2:J742,J742)=1,1,0))</f>
        <v>0</v>
      </c>
      <c r="B742" s="12" t="e">
        <f>MID(MAIN!A747,K742,2)</f>
        <v>#VALUE!</v>
      </c>
      <c r="C742" s="12" t="e">
        <f t="shared" si="44"/>
        <v>#VALUE!</v>
      </c>
      <c r="D742" s="12" t="e">
        <f>MID(MAIN!A747,K742+2,2)</f>
        <v>#VALUE!</v>
      </c>
      <c r="E742" s="12" t="e">
        <f>MID(MAIN!A747,K742+4,2)</f>
        <v>#VALUE!</v>
      </c>
      <c r="F742" s="2" t="e">
        <f t="shared" si="45"/>
        <v>#VALUE!</v>
      </c>
      <c r="G742" s="13" t="e">
        <f t="shared" si="46"/>
        <v>#VALUE!</v>
      </c>
      <c r="J742" t="str">
        <f>MAIN!A747&amp;"B"</f>
        <v>B</v>
      </c>
      <c r="K742" s="12" t="e">
        <f t="shared" si="47"/>
        <v>#VALUE!</v>
      </c>
      <c r="L742" t="str">
        <f>MAIN!C747</f>
        <v/>
      </c>
    </row>
    <row r="743" spans="1:12" x14ac:dyDescent="0.3">
      <c r="A743">
        <f>IF(J743="0",0,IF(COUNTIF($J$2:J743,J743)=1,1,0))</f>
        <v>0</v>
      </c>
      <c r="B743" s="12" t="e">
        <f>MID(MAIN!A748,K743,2)</f>
        <v>#VALUE!</v>
      </c>
      <c r="C743" s="12" t="e">
        <f t="shared" si="44"/>
        <v>#VALUE!</v>
      </c>
      <c r="D743" s="12" t="e">
        <f>MID(MAIN!A748,K743+2,2)</f>
        <v>#VALUE!</v>
      </c>
      <c r="E743" s="12" t="e">
        <f>MID(MAIN!A748,K743+4,2)</f>
        <v>#VALUE!</v>
      </c>
      <c r="F743" s="2" t="e">
        <f t="shared" si="45"/>
        <v>#VALUE!</v>
      </c>
      <c r="G743" s="13" t="e">
        <f t="shared" si="46"/>
        <v>#VALUE!</v>
      </c>
      <c r="J743" t="str">
        <f>MAIN!A748&amp;"B"</f>
        <v>B</v>
      </c>
      <c r="K743" s="12" t="e">
        <f t="shared" si="47"/>
        <v>#VALUE!</v>
      </c>
      <c r="L743" t="str">
        <f>MAIN!C748</f>
        <v/>
      </c>
    </row>
    <row r="744" spans="1:12" x14ac:dyDescent="0.3">
      <c r="A744">
        <f>IF(J744="0",0,IF(COUNTIF($J$2:J744,J744)=1,1,0))</f>
        <v>0</v>
      </c>
      <c r="B744" s="12" t="e">
        <f>MID(MAIN!A749,K744,2)</f>
        <v>#VALUE!</v>
      </c>
      <c r="C744" s="12" t="e">
        <f t="shared" si="44"/>
        <v>#VALUE!</v>
      </c>
      <c r="D744" s="12" t="e">
        <f>MID(MAIN!A749,K744+2,2)</f>
        <v>#VALUE!</v>
      </c>
      <c r="E744" s="12" t="e">
        <f>MID(MAIN!A749,K744+4,2)</f>
        <v>#VALUE!</v>
      </c>
      <c r="F744" s="2" t="e">
        <f t="shared" si="45"/>
        <v>#VALUE!</v>
      </c>
      <c r="G744" s="13" t="e">
        <f t="shared" si="46"/>
        <v>#VALUE!</v>
      </c>
      <c r="J744" t="str">
        <f>MAIN!A749&amp;"B"</f>
        <v>B</v>
      </c>
      <c r="K744" s="12" t="e">
        <f t="shared" si="47"/>
        <v>#VALUE!</v>
      </c>
      <c r="L744" t="str">
        <f>MAIN!C749</f>
        <v/>
      </c>
    </row>
    <row r="745" spans="1:12" x14ac:dyDescent="0.3">
      <c r="A745">
        <f>IF(J745="0",0,IF(COUNTIF($J$2:J745,J745)=1,1,0))</f>
        <v>0</v>
      </c>
      <c r="B745" s="12" t="e">
        <f>MID(MAIN!A750,K745,2)</f>
        <v>#VALUE!</v>
      </c>
      <c r="C745" s="12" t="e">
        <f t="shared" si="44"/>
        <v>#VALUE!</v>
      </c>
      <c r="D745" s="12" t="e">
        <f>MID(MAIN!A750,K745+2,2)</f>
        <v>#VALUE!</v>
      </c>
      <c r="E745" s="12" t="e">
        <f>MID(MAIN!A750,K745+4,2)</f>
        <v>#VALUE!</v>
      </c>
      <c r="F745" s="2" t="e">
        <f t="shared" si="45"/>
        <v>#VALUE!</v>
      </c>
      <c r="G745" s="13" t="e">
        <f t="shared" si="46"/>
        <v>#VALUE!</v>
      </c>
      <c r="J745" t="str">
        <f>MAIN!A750&amp;"B"</f>
        <v>B</v>
      </c>
      <c r="K745" s="12" t="e">
        <f t="shared" si="47"/>
        <v>#VALUE!</v>
      </c>
      <c r="L745" t="str">
        <f>MAIN!C750</f>
        <v/>
      </c>
    </row>
    <row r="746" spans="1:12" x14ac:dyDescent="0.3">
      <c r="A746">
        <f>IF(J746="0",0,IF(COUNTIF($J$2:J746,J746)=1,1,0))</f>
        <v>0</v>
      </c>
      <c r="B746" s="12" t="e">
        <f>MID(MAIN!A751,K746,2)</f>
        <v>#VALUE!</v>
      </c>
      <c r="C746" s="12" t="e">
        <f t="shared" si="44"/>
        <v>#VALUE!</v>
      </c>
      <c r="D746" s="12" t="e">
        <f>MID(MAIN!A751,K746+2,2)</f>
        <v>#VALUE!</v>
      </c>
      <c r="E746" s="12" t="e">
        <f>MID(MAIN!A751,K746+4,2)</f>
        <v>#VALUE!</v>
      </c>
      <c r="F746" s="2" t="e">
        <f t="shared" si="45"/>
        <v>#VALUE!</v>
      </c>
      <c r="G746" s="13" t="e">
        <f t="shared" si="46"/>
        <v>#VALUE!</v>
      </c>
      <c r="J746" t="str">
        <f>MAIN!A751&amp;"B"</f>
        <v>B</v>
      </c>
      <c r="K746" s="12" t="e">
        <f t="shared" si="47"/>
        <v>#VALUE!</v>
      </c>
      <c r="L746" t="str">
        <f>MAIN!C751</f>
        <v/>
      </c>
    </row>
    <row r="747" spans="1:12" x14ac:dyDescent="0.3">
      <c r="A747">
        <f>IF(J747="0",0,IF(COUNTIF($J$2:J747,J747)=1,1,0))</f>
        <v>0</v>
      </c>
      <c r="B747" s="12" t="e">
        <f>MID(MAIN!A752,K747,2)</f>
        <v>#VALUE!</v>
      </c>
      <c r="C747" s="12" t="e">
        <f t="shared" si="44"/>
        <v>#VALUE!</v>
      </c>
      <c r="D747" s="12" t="e">
        <f>MID(MAIN!A752,K747+2,2)</f>
        <v>#VALUE!</v>
      </c>
      <c r="E747" s="12" t="e">
        <f>MID(MAIN!A752,K747+4,2)</f>
        <v>#VALUE!</v>
      </c>
      <c r="F747" s="2" t="e">
        <f t="shared" si="45"/>
        <v>#VALUE!</v>
      </c>
      <c r="G747" s="13" t="e">
        <f t="shared" si="46"/>
        <v>#VALUE!</v>
      </c>
      <c r="J747" t="str">
        <f>MAIN!A752&amp;"B"</f>
        <v>B</v>
      </c>
      <c r="K747" s="12" t="e">
        <f t="shared" si="47"/>
        <v>#VALUE!</v>
      </c>
      <c r="L747" t="str">
        <f>MAIN!C752</f>
        <v/>
      </c>
    </row>
    <row r="748" spans="1:12" x14ac:dyDescent="0.3">
      <c r="A748">
        <f>IF(J748="0",0,IF(COUNTIF($J$2:J748,J748)=1,1,0))</f>
        <v>0</v>
      </c>
      <c r="B748" s="12" t="e">
        <f>MID(MAIN!A753,K748,2)</f>
        <v>#VALUE!</v>
      </c>
      <c r="C748" s="12" t="e">
        <f t="shared" si="44"/>
        <v>#VALUE!</v>
      </c>
      <c r="D748" s="12" t="e">
        <f>MID(MAIN!A753,K748+2,2)</f>
        <v>#VALUE!</v>
      </c>
      <c r="E748" s="12" t="e">
        <f>MID(MAIN!A753,K748+4,2)</f>
        <v>#VALUE!</v>
      </c>
      <c r="F748" s="2" t="e">
        <f t="shared" si="45"/>
        <v>#VALUE!</v>
      </c>
      <c r="G748" s="13" t="e">
        <f t="shared" si="46"/>
        <v>#VALUE!</v>
      </c>
      <c r="J748" t="str">
        <f>MAIN!A753&amp;"B"</f>
        <v>B</v>
      </c>
      <c r="K748" s="12" t="e">
        <f t="shared" si="47"/>
        <v>#VALUE!</v>
      </c>
      <c r="L748" t="str">
        <f>MAIN!C753</f>
        <v/>
      </c>
    </row>
    <row r="749" spans="1:12" x14ac:dyDescent="0.3">
      <c r="A749">
        <f>IF(J749="0",0,IF(COUNTIF($J$2:J749,J749)=1,1,0))</f>
        <v>0</v>
      </c>
      <c r="B749" s="12" t="e">
        <f>MID(MAIN!A754,K749,2)</f>
        <v>#VALUE!</v>
      </c>
      <c r="C749" s="12" t="e">
        <f t="shared" si="44"/>
        <v>#VALUE!</v>
      </c>
      <c r="D749" s="12" t="e">
        <f>MID(MAIN!A754,K749+2,2)</f>
        <v>#VALUE!</v>
      </c>
      <c r="E749" s="12" t="e">
        <f>MID(MAIN!A754,K749+4,2)</f>
        <v>#VALUE!</v>
      </c>
      <c r="F749" s="2" t="e">
        <f t="shared" si="45"/>
        <v>#VALUE!</v>
      </c>
      <c r="G749" s="13" t="e">
        <f t="shared" si="46"/>
        <v>#VALUE!</v>
      </c>
      <c r="J749" t="str">
        <f>MAIN!A754&amp;"B"</f>
        <v>B</v>
      </c>
      <c r="K749" s="12" t="e">
        <f t="shared" si="47"/>
        <v>#VALUE!</v>
      </c>
      <c r="L749" t="str">
        <f>MAIN!C754</f>
        <v/>
      </c>
    </row>
    <row r="750" spans="1:12" x14ac:dyDescent="0.3">
      <c r="A750">
        <f>IF(J750="0",0,IF(COUNTIF($J$2:J750,J750)=1,1,0))</f>
        <v>0</v>
      </c>
      <c r="B750" s="12" t="e">
        <f>MID(MAIN!A755,K750,2)</f>
        <v>#VALUE!</v>
      </c>
      <c r="C750" s="12" t="e">
        <f t="shared" si="44"/>
        <v>#VALUE!</v>
      </c>
      <c r="D750" s="12" t="e">
        <f>MID(MAIN!A755,K750+2,2)</f>
        <v>#VALUE!</v>
      </c>
      <c r="E750" s="12" t="e">
        <f>MID(MAIN!A755,K750+4,2)</f>
        <v>#VALUE!</v>
      </c>
      <c r="F750" s="2" t="e">
        <f t="shared" si="45"/>
        <v>#VALUE!</v>
      </c>
      <c r="G750" s="13" t="e">
        <f t="shared" si="46"/>
        <v>#VALUE!</v>
      </c>
      <c r="J750" t="str">
        <f>MAIN!A755&amp;"B"</f>
        <v>B</v>
      </c>
      <c r="K750" s="12" t="e">
        <f t="shared" si="47"/>
        <v>#VALUE!</v>
      </c>
      <c r="L750" t="str">
        <f>MAIN!C755</f>
        <v/>
      </c>
    </row>
    <row r="751" spans="1:12" x14ac:dyDescent="0.3">
      <c r="A751">
        <f>IF(J751="0",0,IF(COUNTIF($J$2:J751,J751)=1,1,0))</f>
        <v>0</v>
      </c>
      <c r="B751" s="12" t="e">
        <f>MID(MAIN!A756,K751,2)</f>
        <v>#VALUE!</v>
      </c>
      <c r="C751" s="12" t="e">
        <f t="shared" si="44"/>
        <v>#VALUE!</v>
      </c>
      <c r="D751" s="12" t="e">
        <f>MID(MAIN!A756,K751+2,2)</f>
        <v>#VALUE!</v>
      </c>
      <c r="E751" s="12" t="e">
        <f>MID(MAIN!A756,K751+4,2)</f>
        <v>#VALUE!</v>
      </c>
      <c r="F751" s="2" t="e">
        <f t="shared" si="45"/>
        <v>#VALUE!</v>
      </c>
      <c r="G751" s="13" t="e">
        <f t="shared" si="46"/>
        <v>#VALUE!</v>
      </c>
      <c r="J751" t="str">
        <f>MAIN!A756&amp;"B"</f>
        <v>B</v>
      </c>
      <c r="K751" s="12" t="e">
        <f t="shared" si="47"/>
        <v>#VALUE!</v>
      </c>
      <c r="L751" t="str">
        <f>MAIN!C756</f>
        <v/>
      </c>
    </row>
    <row r="752" spans="1:12" x14ac:dyDescent="0.3">
      <c r="A752">
        <f>IF(J752="0",0,IF(COUNTIF($J$2:J752,J752)=1,1,0))</f>
        <v>0</v>
      </c>
      <c r="B752" s="12" t="e">
        <f>MID(MAIN!A757,K752,2)</f>
        <v>#VALUE!</v>
      </c>
      <c r="C752" s="12" t="e">
        <f t="shared" si="44"/>
        <v>#VALUE!</v>
      </c>
      <c r="D752" s="12" t="e">
        <f>MID(MAIN!A757,K752+2,2)</f>
        <v>#VALUE!</v>
      </c>
      <c r="E752" s="12" t="e">
        <f>MID(MAIN!A757,K752+4,2)</f>
        <v>#VALUE!</v>
      </c>
      <c r="F752" s="2" t="e">
        <f t="shared" si="45"/>
        <v>#VALUE!</v>
      </c>
      <c r="G752" s="13" t="e">
        <f t="shared" si="46"/>
        <v>#VALUE!</v>
      </c>
      <c r="J752" t="str">
        <f>MAIN!A757&amp;"B"</f>
        <v>B</v>
      </c>
      <c r="K752" s="12" t="e">
        <f t="shared" si="47"/>
        <v>#VALUE!</v>
      </c>
      <c r="L752" t="str">
        <f>MAIN!C757</f>
        <v/>
      </c>
    </row>
    <row r="753" spans="1:12" x14ac:dyDescent="0.3">
      <c r="A753">
        <f>IF(J753="0",0,IF(COUNTIF($J$2:J753,J753)=1,1,0))</f>
        <v>0</v>
      </c>
      <c r="B753" s="12" t="e">
        <f>MID(MAIN!A758,K753,2)</f>
        <v>#VALUE!</v>
      </c>
      <c r="C753" s="12" t="e">
        <f t="shared" si="44"/>
        <v>#VALUE!</v>
      </c>
      <c r="D753" s="12" t="e">
        <f>MID(MAIN!A758,K753+2,2)</f>
        <v>#VALUE!</v>
      </c>
      <c r="E753" s="12" t="e">
        <f>MID(MAIN!A758,K753+4,2)</f>
        <v>#VALUE!</v>
      </c>
      <c r="F753" s="2" t="e">
        <f t="shared" si="45"/>
        <v>#VALUE!</v>
      </c>
      <c r="G753" s="13" t="e">
        <f t="shared" si="46"/>
        <v>#VALUE!</v>
      </c>
      <c r="J753" t="str">
        <f>MAIN!A758&amp;"B"</f>
        <v>B</v>
      </c>
      <c r="K753" s="12" t="e">
        <f t="shared" si="47"/>
        <v>#VALUE!</v>
      </c>
      <c r="L753" t="str">
        <f>MAIN!C758</f>
        <v/>
      </c>
    </row>
    <row r="754" spans="1:12" x14ac:dyDescent="0.3">
      <c r="A754">
        <f>IF(J754="0",0,IF(COUNTIF($J$2:J754,J754)=1,1,0))</f>
        <v>0</v>
      </c>
      <c r="B754" s="12" t="e">
        <f>MID(MAIN!A759,K754,2)</f>
        <v>#VALUE!</v>
      </c>
      <c r="C754" s="12" t="e">
        <f t="shared" si="44"/>
        <v>#VALUE!</v>
      </c>
      <c r="D754" s="12" t="e">
        <f>MID(MAIN!A759,K754+2,2)</f>
        <v>#VALUE!</v>
      </c>
      <c r="E754" s="12" t="e">
        <f>MID(MAIN!A759,K754+4,2)</f>
        <v>#VALUE!</v>
      </c>
      <c r="F754" s="2" t="e">
        <f t="shared" si="45"/>
        <v>#VALUE!</v>
      </c>
      <c r="G754" s="13" t="e">
        <f t="shared" si="46"/>
        <v>#VALUE!</v>
      </c>
      <c r="J754" t="str">
        <f>MAIN!A759&amp;"B"</f>
        <v>B</v>
      </c>
      <c r="K754" s="12" t="e">
        <f t="shared" si="47"/>
        <v>#VALUE!</v>
      </c>
      <c r="L754" t="str">
        <f>MAIN!C759</f>
        <v/>
      </c>
    </row>
    <row r="755" spans="1:12" x14ac:dyDescent="0.3">
      <c r="A755">
        <f>IF(J755="0",0,IF(COUNTIF($J$2:J755,J755)=1,1,0))</f>
        <v>0</v>
      </c>
      <c r="B755" s="12" t="e">
        <f>MID(MAIN!A760,K755,2)</f>
        <v>#VALUE!</v>
      </c>
      <c r="C755" s="12" t="e">
        <f t="shared" si="44"/>
        <v>#VALUE!</v>
      </c>
      <c r="D755" s="12" t="e">
        <f>MID(MAIN!A760,K755+2,2)</f>
        <v>#VALUE!</v>
      </c>
      <c r="E755" s="12" t="e">
        <f>MID(MAIN!A760,K755+4,2)</f>
        <v>#VALUE!</v>
      </c>
      <c r="F755" s="2" t="e">
        <f t="shared" si="45"/>
        <v>#VALUE!</v>
      </c>
      <c r="G755" s="13" t="e">
        <f t="shared" si="46"/>
        <v>#VALUE!</v>
      </c>
      <c r="J755" t="str">
        <f>MAIN!A760&amp;"B"</f>
        <v>B</v>
      </c>
      <c r="K755" s="12" t="e">
        <f t="shared" si="47"/>
        <v>#VALUE!</v>
      </c>
      <c r="L755" t="str">
        <f>MAIN!C760</f>
        <v/>
      </c>
    </row>
    <row r="756" spans="1:12" x14ac:dyDescent="0.3">
      <c r="A756">
        <f>IF(J756="0",0,IF(COUNTIF($J$2:J756,J756)=1,1,0))</f>
        <v>0</v>
      </c>
      <c r="B756" s="12" t="e">
        <f>MID(MAIN!A761,K756,2)</f>
        <v>#VALUE!</v>
      </c>
      <c r="C756" s="12" t="e">
        <f t="shared" si="44"/>
        <v>#VALUE!</v>
      </c>
      <c r="D756" s="12" t="e">
        <f>MID(MAIN!A761,K756+2,2)</f>
        <v>#VALUE!</v>
      </c>
      <c r="E756" s="12" t="e">
        <f>MID(MAIN!A761,K756+4,2)</f>
        <v>#VALUE!</v>
      </c>
      <c r="F756" s="2" t="e">
        <f t="shared" si="45"/>
        <v>#VALUE!</v>
      </c>
      <c r="G756" s="13" t="e">
        <f t="shared" si="46"/>
        <v>#VALUE!</v>
      </c>
      <c r="J756" t="str">
        <f>MAIN!A761&amp;"B"</f>
        <v>B</v>
      </c>
      <c r="K756" s="12" t="e">
        <f t="shared" si="47"/>
        <v>#VALUE!</v>
      </c>
      <c r="L756" t="str">
        <f>MAIN!C761</f>
        <v/>
      </c>
    </row>
    <row r="757" spans="1:12" x14ac:dyDescent="0.3">
      <c r="A757">
        <f>IF(J757="0",0,IF(COUNTIF($J$2:J757,J757)=1,1,0))</f>
        <v>0</v>
      </c>
      <c r="B757" s="12" t="e">
        <f>MID(MAIN!A762,K757,2)</f>
        <v>#VALUE!</v>
      </c>
      <c r="C757" s="12" t="e">
        <f t="shared" si="44"/>
        <v>#VALUE!</v>
      </c>
      <c r="D757" s="12" t="e">
        <f>MID(MAIN!A762,K757+2,2)</f>
        <v>#VALUE!</v>
      </c>
      <c r="E757" s="12" t="e">
        <f>MID(MAIN!A762,K757+4,2)</f>
        <v>#VALUE!</v>
      </c>
      <c r="F757" s="2" t="e">
        <f t="shared" si="45"/>
        <v>#VALUE!</v>
      </c>
      <c r="G757" s="13" t="e">
        <f t="shared" si="46"/>
        <v>#VALUE!</v>
      </c>
      <c r="J757" t="str">
        <f>MAIN!A762&amp;"B"</f>
        <v>B</v>
      </c>
      <c r="K757" s="12" t="e">
        <f t="shared" si="47"/>
        <v>#VALUE!</v>
      </c>
      <c r="L757" t="str">
        <f>MAIN!C762</f>
        <v/>
      </c>
    </row>
    <row r="758" spans="1:12" x14ac:dyDescent="0.3">
      <c r="A758">
        <f>IF(J758="0",0,IF(COUNTIF($J$2:J758,J758)=1,1,0))</f>
        <v>0</v>
      </c>
      <c r="B758" s="12" t="e">
        <f>MID(MAIN!A763,K758,2)</f>
        <v>#VALUE!</v>
      </c>
      <c r="C758" s="12" t="e">
        <f t="shared" si="44"/>
        <v>#VALUE!</v>
      </c>
      <c r="D758" s="12" t="e">
        <f>MID(MAIN!A763,K758+2,2)</f>
        <v>#VALUE!</v>
      </c>
      <c r="E758" s="12" t="e">
        <f>MID(MAIN!A763,K758+4,2)</f>
        <v>#VALUE!</v>
      </c>
      <c r="F758" s="2" t="e">
        <f t="shared" si="45"/>
        <v>#VALUE!</v>
      </c>
      <c r="G758" s="13" t="e">
        <f t="shared" si="46"/>
        <v>#VALUE!</v>
      </c>
      <c r="J758" t="str">
        <f>MAIN!A763&amp;"B"</f>
        <v>B</v>
      </c>
      <c r="K758" s="12" t="e">
        <f t="shared" si="47"/>
        <v>#VALUE!</v>
      </c>
      <c r="L758" t="str">
        <f>MAIN!C763</f>
        <v/>
      </c>
    </row>
    <row r="759" spans="1:12" x14ac:dyDescent="0.3">
      <c r="A759">
        <f>IF(J759="0",0,IF(COUNTIF($J$2:J759,J759)=1,1,0))</f>
        <v>0</v>
      </c>
      <c r="B759" s="12" t="e">
        <f>MID(MAIN!A764,K759,2)</f>
        <v>#VALUE!</v>
      </c>
      <c r="C759" s="12" t="e">
        <f t="shared" si="44"/>
        <v>#VALUE!</v>
      </c>
      <c r="D759" s="12" t="e">
        <f>MID(MAIN!A764,K759+2,2)</f>
        <v>#VALUE!</v>
      </c>
      <c r="E759" s="12" t="e">
        <f>MID(MAIN!A764,K759+4,2)</f>
        <v>#VALUE!</v>
      </c>
      <c r="F759" s="2" t="e">
        <f t="shared" si="45"/>
        <v>#VALUE!</v>
      </c>
      <c r="G759" s="13" t="e">
        <f t="shared" si="46"/>
        <v>#VALUE!</v>
      </c>
      <c r="J759" t="str">
        <f>MAIN!A764&amp;"B"</f>
        <v>B</v>
      </c>
      <c r="K759" s="12" t="e">
        <f t="shared" si="47"/>
        <v>#VALUE!</v>
      </c>
      <c r="L759" t="str">
        <f>MAIN!C764</f>
        <v/>
      </c>
    </row>
    <row r="760" spans="1:12" x14ac:dyDescent="0.3">
      <c r="A760">
        <f>IF(J760="0",0,IF(COUNTIF($J$2:J760,J760)=1,1,0))</f>
        <v>0</v>
      </c>
      <c r="B760" s="12" t="e">
        <f>MID(MAIN!A765,K760,2)</f>
        <v>#VALUE!</v>
      </c>
      <c r="C760" s="12" t="e">
        <f t="shared" si="44"/>
        <v>#VALUE!</v>
      </c>
      <c r="D760" s="12" t="e">
        <f>MID(MAIN!A765,K760+2,2)</f>
        <v>#VALUE!</v>
      </c>
      <c r="E760" s="12" t="e">
        <f>MID(MAIN!A765,K760+4,2)</f>
        <v>#VALUE!</v>
      </c>
      <c r="F760" s="2" t="e">
        <f t="shared" si="45"/>
        <v>#VALUE!</v>
      </c>
      <c r="G760" s="13" t="e">
        <f t="shared" si="46"/>
        <v>#VALUE!</v>
      </c>
      <c r="J760" t="str">
        <f>MAIN!A765&amp;"B"</f>
        <v>B</v>
      </c>
      <c r="K760" s="12" t="e">
        <f t="shared" si="47"/>
        <v>#VALUE!</v>
      </c>
      <c r="L760" t="str">
        <f>MAIN!C765</f>
        <v/>
      </c>
    </row>
    <row r="761" spans="1:12" x14ac:dyDescent="0.3">
      <c r="A761">
        <f>IF(J761="0",0,IF(COUNTIF($J$2:J761,J761)=1,1,0))</f>
        <v>0</v>
      </c>
      <c r="B761" s="12" t="e">
        <f>MID(MAIN!A766,K761,2)</f>
        <v>#VALUE!</v>
      </c>
      <c r="C761" s="12" t="e">
        <f t="shared" si="44"/>
        <v>#VALUE!</v>
      </c>
      <c r="D761" s="12" t="e">
        <f>MID(MAIN!A766,K761+2,2)</f>
        <v>#VALUE!</v>
      </c>
      <c r="E761" s="12" t="e">
        <f>MID(MAIN!A766,K761+4,2)</f>
        <v>#VALUE!</v>
      </c>
      <c r="F761" s="2" t="e">
        <f t="shared" si="45"/>
        <v>#VALUE!</v>
      </c>
      <c r="G761" s="13" t="e">
        <f t="shared" si="46"/>
        <v>#VALUE!</v>
      </c>
      <c r="J761" t="str">
        <f>MAIN!A766&amp;"B"</f>
        <v>B</v>
      </c>
      <c r="K761" s="12" t="e">
        <f t="shared" si="47"/>
        <v>#VALUE!</v>
      </c>
      <c r="L761" t="str">
        <f>MAIN!C766</f>
        <v/>
      </c>
    </row>
    <row r="762" spans="1:12" x14ac:dyDescent="0.3">
      <c r="A762">
        <f>IF(J762="0",0,IF(COUNTIF($J$2:J762,J762)=1,1,0))</f>
        <v>0</v>
      </c>
      <c r="B762" s="12" t="e">
        <f>MID(MAIN!A767,K762,2)</f>
        <v>#VALUE!</v>
      </c>
      <c r="C762" s="12" t="e">
        <f t="shared" si="44"/>
        <v>#VALUE!</v>
      </c>
      <c r="D762" s="12" t="e">
        <f>MID(MAIN!A767,K762+2,2)</f>
        <v>#VALUE!</v>
      </c>
      <c r="E762" s="12" t="e">
        <f>MID(MAIN!A767,K762+4,2)</f>
        <v>#VALUE!</v>
      </c>
      <c r="F762" s="2" t="e">
        <f t="shared" si="45"/>
        <v>#VALUE!</v>
      </c>
      <c r="G762" s="13" t="e">
        <f t="shared" si="46"/>
        <v>#VALUE!</v>
      </c>
      <c r="J762" t="str">
        <f>MAIN!A767&amp;"B"</f>
        <v>B</v>
      </c>
      <c r="K762" s="12" t="e">
        <f t="shared" si="47"/>
        <v>#VALUE!</v>
      </c>
      <c r="L762" t="str">
        <f>MAIN!C767</f>
        <v/>
      </c>
    </row>
    <row r="763" spans="1:12" x14ac:dyDescent="0.3">
      <c r="A763">
        <f>IF(J763="0",0,IF(COUNTIF($J$2:J763,J763)=1,1,0))</f>
        <v>0</v>
      </c>
      <c r="B763" s="12" t="e">
        <f>MID(MAIN!A768,K763,2)</f>
        <v>#VALUE!</v>
      </c>
      <c r="C763" s="12" t="e">
        <f t="shared" si="44"/>
        <v>#VALUE!</v>
      </c>
      <c r="D763" s="12" t="e">
        <f>MID(MAIN!A768,K763+2,2)</f>
        <v>#VALUE!</v>
      </c>
      <c r="E763" s="12" t="e">
        <f>MID(MAIN!A768,K763+4,2)</f>
        <v>#VALUE!</v>
      </c>
      <c r="F763" s="2" t="e">
        <f t="shared" si="45"/>
        <v>#VALUE!</v>
      </c>
      <c r="G763" s="13" t="e">
        <f t="shared" si="46"/>
        <v>#VALUE!</v>
      </c>
      <c r="J763" t="str">
        <f>MAIN!A768&amp;"B"</f>
        <v>B</v>
      </c>
      <c r="K763" s="12" t="e">
        <f t="shared" si="47"/>
        <v>#VALUE!</v>
      </c>
      <c r="L763" t="str">
        <f>MAIN!C768</f>
        <v/>
      </c>
    </row>
    <row r="764" spans="1:12" x14ac:dyDescent="0.3">
      <c r="A764">
        <f>IF(J764="0",0,IF(COUNTIF($J$2:J764,J764)=1,1,0))</f>
        <v>0</v>
      </c>
      <c r="B764" s="12" t="e">
        <f>MID(MAIN!A769,K764,2)</f>
        <v>#VALUE!</v>
      </c>
      <c r="C764" s="12" t="e">
        <f t="shared" si="44"/>
        <v>#VALUE!</v>
      </c>
      <c r="D764" s="12" t="e">
        <f>MID(MAIN!A769,K764+2,2)</f>
        <v>#VALUE!</v>
      </c>
      <c r="E764" s="12" t="e">
        <f>MID(MAIN!A769,K764+4,2)</f>
        <v>#VALUE!</v>
      </c>
      <c r="F764" s="2" t="e">
        <f t="shared" si="45"/>
        <v>#VALUE!</v>
      </c>
      <c r="G764" s="13" t="e">
        <f t="shared" si="46"/>
        <v>#VALUE!</v>
      </c>
      <c r="J764" t="str">
        <f>MAIN!A769&amp;"B"</f>
        <v>B</v>
      </c>
      <c r="K764" s="12" t="e">
        <f t="shared" si="47"/>
        <v>#VALUE!</v>
      </c>
      <c r="L764" t="str">
        <f>MAIN!C769</f>
        <v/>
      </c>
    </row>
    <row r="765" spans="1:12" x14ac:dyDescent="0.3">
      <c r="A765">
        <f>IF(J765="0",0,IF(COUNTIF($J$2:J765,J765)=1,1,0))</f>
        <v>0</v>
      </c>
      <c r="B765" s="12" t="e">
        <f>MID(MAIN!A770,K765,2)</f>
        <v>#VALUE!</v>
      </c>
      <c r="C765" s="12" t="e">
        <f t="shared" si="44"/>
        <v>#VALUE!</v>
      </c>
      <c r="D765" s="12" t="e">
        <f>MID(MAIN!A770,K765+2,2)</f>
        <v>#VALUE!</v>
      </c>
      <c r="E765" s="12" t="e">
        <f>MID(MAIN!A770,K765+4,2)</f>
        <v>#VALUE!</v>
      </c>
      <c r="F765" s="2" t="e">
        <f t="shared" si="45"/>
        <v>#VALUE!</v>
      </c>
      <c r="G765" s="13" t="e">
        <f t="shared" si="46"/>
        <v>#VALUE!</v>
      </c>
      <c r="J765" t="str">
        <f>MAIN!A770&amp;"B"</f>
        <v>B</v>
      </c>
      <c r="K765" s="12" t="e">
        <f t="shared" si="47"/>
        <v>#VALUE!</v>
      </c>
      <c r="L765" t="str">
        <f>MAIN!C770</f>
        <v/>
      </c>
    </row>
    <row r="766" spans="1:12" x14ac:dyDescent="0.3">
      <c r="A766">
        <f>IF(J766="0",0,IF(COUNTIF($J$2:J766,J766)=1,1,0))</f>
        <v>0</v>
      </c>
      <c r="B766" s="12" t="e">
        <f>MID(MAIN!A771,K766,2)</f>
        <v>#VALUE!</v>
      </c>
      <c r="C766" s="12" t="e">
        <f t="shared" si="44"/>
        <v>#VALUE!</v>
      </c>
      <c r="D766" s="12" t="e">
        <f>MID(MAIN!A771,K766+2,2)</f>
        <v>#VALUE!</v>
      </c>
      <c r="E766" s="12" t="e">
        <f>MID(MAIN!A771,K766+4,2)</f>
        <v>#VALUE!</v>
      </c>
      <c r="F766" s="2" t="e">
        <f t="shared" si="45"/>
        <v>#VALUE!</v>
      </c>
      <c r="G766" s="13" t="e">
        <f t="shared" si="46"/>
        <v>#VALUE!</v>
      </c>
      <c r="J766" t="str">
        <f>MAIN!A771&amp;"B"</f>
        <v>B</v>
      </c>
      <c r="K766" s="12" t="e">
        <f t="shared" si="47"/>
        <v>#VALUE!</v>
      </c>
      <c r="L766" t="str">
        <f>MAIN!C771</f>
        <v/>
      </c>
    </row>
    <row r="767" spans="1:12" x14ac:dyDescent="0.3">
      <c r="A767">
        <f>IF(J767="0",0,IF(COUNTIF($J$2:J767,J767)=1,1,0))</f>
        <v>0</v>
      </c>
      <c r="B767" s="12" t="e">
        <f>MID(MAIN!A772,K767,2)</f>
        <v>#VALUE!</v>
      </c>
      <c r="C767" s="12" t="e">
        <f t="shared" si="44"/>
        <v>#VALUE!</v>
      </c>
      <c r="D767" s="12" t="e">
        <f>MID(MAIN!A772,K767+2,2)</f>
        <v>#VALUE!</v>
      </c>
      <c r="E767" s="12" t="e">
        <f>MID(MAIN!A772,K767+4,2)</f>
        <v>#VALUE!</v>
      </c>
      <c r="F767" s="2" t="e">
        <f t="shared" si="45"/>
        <v>#VALUE!</v>
      </c>
      <c r="G767" s="13" t="e">
        <f t="shared" si="46"/>
        <v>#VALUE!</v>
      </c>
      <c r="J767" t="str">
        <f>MAIN!A772&amp;"B"</f>
        <v>B</v>
      </c>
      <c r="K767" s="12" t="e">
        <f t="shared" si="47"/>
        <v>#VALUE!</v>
      </c>
      <c r="L767" t="str">
        <f>MAIN!C772</f>
        <v/>
      </c>
    </row>
    <row r="768" spans="1:12" x14ac:dyDescent="0.3">
      <c r="A768">
        <f>IF(J768="0",0,IF(COUNTIF($J$2:J768,J768)=1,1,0))</f>
        <v>0</v>
      </c>
      <c r="B768" s="12" t="e">
        <f>MID(MAIN!A773,K768,2)</f>
        <v>#VALUE!</v>
      </c>
      <c r="C768" s="12" t="e">
        <f t="shared" si="44"/>
        <v>#VALUE!</v>
      </c>
      <c r="D768" s="12" t="e">
        <f>MID(MAIN!A773,K768+2,2)</f>
        <v>#VALUE!</v>
      </c>
      <c r="E768" s="12" t="e">
        <f>MID(MAIN!A773,K768+4,2)</f>
        <v>#VALUE!</v>
      </c>
      <c r="F768" s="2" t="e">
        <f t="shared" si="45"/>
        <v>#VALUE!</v>
      </c>
      <c r="G768" s="13" t="e">
        <f t="shared" si="46"/>
        <v>#VALUE!</v>
      </c>
      <c r="J768" t="str">
        <f>MAIN!A773&amp;"B"</f>
        <v>B</v>
      </c>
      <c r="K768" s="12" t="e">
        <f t="shared" si="47"/>
        <v>#VALUE!</v>
      </c>
      <c r="L768" t="str">
        <f>MAIN!C773</f>
        <v/>
      </c>
    </row>
    <row r="769" spans="1:12" x14ac:dyDescent="0.3">
      <c r="A769">
        <f>IF(J769="0",0,IF(COUNTIF($J$2:J769,J769)=1,1,0))</f>
        <v>0</v>
      </c>
      <c r="B769" s="12" t="e">
        <f>MID(MAIN!A774,K769,2)</f>
        <v>#VALUE!</v>
      </c>
      <c r="C769" s="12" t="e">
        <f t="shared" si="44"/>
        <v>#VALUE!</v>
      </c>
      <c r="D769" s="12" t="e">
        <f>MID(MAIN!A774,K769+2,2)</f>
        <v>#VALUE!</v>
      </c>
      <c r="E769" s="12" t="e">
        <f>MID(MAIN!A774,K769+4,2)</f>
        <v>#VALUE!</v>
      </c>
      <c r="F769" s="2" t="e">
        <f t="shared" si="45"/>
        <v>#VALUE!</v>
      </c>
      <c r="G769" s="13" t="e">
        <f t="shared" si="46"/>
        <v>#VALUE!</v>
      </c>
      <c r="J769" t="str">
        <f>MAIN!A774&amp;"B"</f>
        <v>B</v>
      </c>
      <c r="K769" s="12" t="e">
        <f t="shared" si="47"/>
        <v>#VALUE!</v>
      </c>
      <c r="L769" t="str">
        <f>MAIN!C774</f>
        <v/>
      </c>
    </row>
    <row r="770" spans="1:12" x14ac:dyDescent="0.3">
      <c r="A770">
        <f>IF(J770="0",0,IF(COUNTIF($J$2:J770,J770)=1,1,0))</f>
        <v>0</v>
      </c>
      <c r="B770" s="12" t="e">
        <f>MID(MAIN!A775,K770,2)</f>
        <v>#VALUE!</v>
      </c>
      <c r="C770" s="12" t="e">
        <f t="shared" si="44"/>
        <v>#VALUE!</v>
      </c>
      <c r="D770" s="12" t="e">
        <f>MID(MAIN!A775,K770+2,2)</f>
        <v>#VALUE!</v>
      </c>
      <c r="E770" s="12" t="e">
        <f>MID(MAIN!A775,K770+4,2)</f>
        <v>#VALUE!</v>
      </c>
      <c r="F770" s="2" t="e">
        <f t="shared" si="45"/>
        <v>#VALUE!</v>
      </c>
      <c r="G770" s="13" t="e">
        <f t="shared" si="46"/>
        <v>#VALUE!</v>
      </c>
      <c r="J770" t="str">
        <f>MAIN!A775&amp;"B"</f>
        <v>B</v>
      </c>
      <c r="K770" s="12" t="e">
        <f t="shared" si="47"/>
        <v>#VALUE!</v>
      </c>
      <c r="L770" t="str">
        <f>MAIN!C775</f>
        <v/>
      </c>
    </row>
    <row r="771" spans="1:12" x14ac:dyDescent="0.3">
      <c r="A771">
        <f>IF(J771="0",0,IF(COUNTIF($J$2:J771,J771)=1,1,0))</f>
        <v>0</v>
      </c>
      <c r="B771" s="12" t="e">
        <f>MID(MAIN!A776,K771,2)</f>
        <v>#VALUE!</v>
      </c>
      <c r="C771" s="12" t="e">
        <f t="shared" ref="C771:C834" si="48">"20"&amp;B771</f>
        <v>#VALUE!</v>
      </c>
      <c r="D771" s="12" t="e">
        <f>MID(MAIN!A776,K771+2,2)</f>
        <v>#VALUE!</v>
      </c>
      <c r="E771" s="12" t="e">
        <f>MID(MAIN!A776,K771+4,2)</f>
        <v>#VALUE!</v>
      </c>
      <c r="F771" s="2" t="e">
        <f t="shared" ref="F771:F834" si="49">C771&amp;"/"&amp;D771&amp;"/"&amp;E771</f>
        <v>#VALUE!</v>
      </c>
      <c r="G771" s="13" t="e">
        <f t="shared" ref="G771:G834" si="50">DATEVALUE(F771)</f>
        <v>#VALUE!</v>
      </c>
      <c r="J771" t="str">
        <f>MAIN!A776&amp;"B"</f>
        <v>B</v>
      </c>
      <c r="K771" s="12" t="e">
        <f t="shared" ref="K771:K834" si="51">FIND("172",J771,30)+2</f>
        <v>#VALUE!</v>
      </c>
      <c r="L771" t="str">
        <f>MAIN!C776</f>
        <v/>
      </c>
    </row>
    <row r="772" spans="1:12" x14ac:dyDescent="0.3">
      <c r="A772">
        <f>IF(J772="0",0,IF(COUNTIF($J$2:J772,J772)=1,1,0))</f>
        <v>0</v>
      </c>
      <c r="B772" s="12" t="e">
        <f>MID(MAIN!A777,K772,2)</f>
        <v>#VALUE!</v>
      </c>
      <c r="C772" s="12" t="e">
        <f t="shared" si="48"/>
        <v>#VALUE!</v>
      </c>
      <c r="D772" s="12" t="e">
        <f>MID(MAIN!A777,K772+2,2)</f>
        <v>#VALUE!</v>
      </c>
      <c r="E772" s="12" t="e">
        <f>MID(MAIN!A777,K772+4,2)</f>
        <v>#VALUE!</v>
      </c>
      <c r="F772" s="2" t="e">
        <f t="shared" si="49"/>
        <v>#VALUE!</v>
      </c>
      <c r="G772" s="13" t="e">
        <f t="shared" si="50"/>
        <v>#VALUE!</v>
      </c>
      <c r="J772" t="str">
        <f>MAIN!A777&amp;"B"</f>
        <v>B</v>
      </c>
      <c r="K772" s="12" t="e">
        <f t="shared" si="51"/>
        <v>#VALUE!</v>
      </c>
      <c r="L772" t="str">
        <f>MAIN!C777</f>
        <v/>
      </c>
    </row>
    <row r="773" spans="1:12" x14ac:dyDescent="0.3">
      <c r="A773">
        <f>IF(J773="0",0,IF(COUNTIF($J$2:J773,J773)=1,1,0))</f>
        <v>0</v>
      </c>
      <c r="B773" s="12" t="e">
        <f>MID(MAIN!A778,K773,2)</f>
        <v>#VALUE!</v>
      </c>
      <c r="C773" s="12" t="e">
        <f t="shared" si="48"/>
        <v>#VALUE!</v>
      </c>
      <c r="D773" s="12" t="e">
        <f>MID(MAIN!A778,K773+2,2)</f>
        <v>#VALUE!</v>
      </c>
      <c r="E773" s="12" t="e">
        <f>MID(MAIN!A778,K773+4,2)</f>
        <v>#VALUE!</v>
      </c>
      <c r="F773" s="2" t="e">
        <f t="shared" si="49"/>
        <v>#VALUE!</v>
      </c>
      <c r="G773" s="13" t="e">
        <f t="shared" si="50"/>
        <v>#VALUE!</v>
      </c>
      <c r="J773" t="str">
        <f>MAIN!A778&amp;"B"</f>
        <v>B</v>
      </c>
      <c r="K773" s="12" t="e">
        <f t="shared" si="51"/>
        <v>#VALUE!</v>
      </c>
      <c r="L773" t="str">
        <f>MAIN!C778</f>
        <v/>
      </c>
    </row>
    <row r="774" spans="1:12" x14ac:dyDescent="0.3">
      <c r="A774">
        <f>IF(J774="0",0,IF(COUNTIF($J$2:J774,J774)=1,1,0))</f>
        <v>0</v>
      </c>
      <c r="B774" s="12" t="e">
        <f>MID(MAIN!A779,K774,2)</f>
        <v>#VALUE!</v>
      </c>
      <c r="C774" s="12" t="e">
        <f t="shared" si="48"/>
        <v>#VALUE!</v>
      </c>
      <c r="D774" s="12" t="e">
        <f>MID(MAIN!A779,K774+2,2)</f>
        <v>#VALUE!</v>
      </c>
      <c r="E774" s="12" t="e">
        <f>MID(MAIN!A779,K774+4,2)</f>
        <v>#VALUE!</v>
      </c>
      <c r="F774" s="2" t="e">
        <f t="shared" si="49"/>
        <v>#VALUE!</v>
      </c>
      <c r="G774" s="13" t="e">
        <f t="shared" si="50"/>
        <v>#VALUE!</v>
      </c>
      <c r="J774" t="str">
        <f>MAIN!A779&amp;"B"</f>
        <v>B</v>
      </c>
      <c r="K774" s="12" t="e">
        <f t="shared" si="51"/>
        <v>#VALUE!</v>
      </c>
      <c r="L774" t="str">
        <f>MAIN!C779</f>
        <v/>
      </c>
    </row>
    <row r="775" spans="1:12" x14ac:dyDescent="0.3">
      <c r="A775">
        <f>IF(J775="0",0,IF(COUNTIF($J$2:J775,J775)=1,1,0))</f>
        <v>0</v>
      </c>
      <c r="B775" s="12" t="e">
        <f>MID(MAIN!A780,K775,2)</f>
        <v>#VALUE!</v>
      </c>
      <c r="C775" s="12" t="e">
        <f t="shared" si="48"/>
        <v>#VALUE!</v>
      </c>
      <c r="D775" s="12" t="e">
        <f>MID(MAIN!A780,K775+2,2)</f>
        <v>#VALUE!</v>
      </c>
      <c r="E775" s="12" t="e">
        <f>MID(MAIN!A780,K775+4,2)</f>
        <v>#VALUE!</v>
      </c>
      <c r="F775" s="2" t="e">
        <f t="shared" si="49"/>
        <v>#VALUE!</v>
      </c>
      <c r="G775" s="13" t="e">
        <f t="shared" si="50"/>
        <v>#VALUE!</v>
      </c>
      <c r="J775" t="str">
        <f>MAIN!A780&amp;"B"</f>
        <v>B</v>
      </c>
      <c r="K775" s="12" t="e">
        <f t="shared" si="51"/>
        <v>#VALUE!</v>
      </c>
      <c r="L775" t="str">
        <f>MAIN!C780</f>
        <v/>
      </c>
    </row>
    <row r="776" spans="1:12" x14ac:dyDescent="0.3">
      <c r="A776">
        <f>IF(J776="0",0,IF(COUNTIF($J$2:J776,J776)=1,1,0))</f>
        <v>0</v>
      </c>
      <c r="B776" s="12" t="e">
        <f>MID(MAIN!A781,K776,2)</f>
        <v>#VALUE!</v>
      </c>
      <c r="C776" s="12" t="e">
        <f t="shared" si="48"/>
        <v>#VALUE!</v>
      </c>
      <c r="D776" s="12" t="e">
        <f>MID(MAIN!A781,K776+2,2)</f>
        <v>#VALUE!</v>
      </c>
      <c r="E776" s="12" t="e">
        <f>MID(MAIN!A781,K776+4,2)</f>
        <v>#VALUE!</v>
      </c>
      <c r="F776" s="2" t="e">
        <f t="shared" si="49"/>
        <v>#VALUE!</v>
      </c>
      <c r="G776" s="13" t="e">
        <f t="shared" si="50"/>
        <v>#VALUE!</v>
      </c>
      <c r="J776" t="str">
        <f>MAIN!A781&amp;"B"</f>
        <v>B</v>
      </c>
      <c r="K776" s="12" t="e">
        <f t="shared" si="51"/>
        <v>#VALUE!</v>
      </c>
      <c r="L776" t="str">
        <f>MAIN!C781</f>
        <v/>
      </c>
    </row>
    <row r="777" spans="1:12" x14ac:dyDescent="0.3">
      <c r="A777">
        <f>IF(J777="0",0,IF(COUNTIF($J$2:J777,J777)=1,1,0))</f>
        <v>0</v>
      </c>
      <c r="B777" s="12" t="e">
        <f>MID(MAIN!A782,K777,2)</f>
        <v>#VALUE!</v>
      </c>
      <c r="C777" s="12" t="e">
        <f t="shared" si="48"/>
        <v>#VALUE!</v>
      </c>
      <c r="D777" s="12" t="e">
        <f>MID(MAIN!A782,K777+2,2)</f>
        <v>#VALUE!</v>
      </c>
      <c r="E777" s="12" t="e">
        <f>MID(MAIN!A782,K777+4,2)</f>
        <v>#VALUE!</v>
      </c>
      <c r="F777" s="2" t="e">
        <f t="shared" si="49"/>
        <v>#VALUE!</v>
      </c>
      <c r="G777" s="13" t="e">
        <f t="shared" si="50"/>
        <v>#VALUE!</v>
      </c>
      <c r="J777" t="str">
        <f>MAIN!A782&amp;"B"</f>
        <v>B</v>
      </c>
      <c r="K777" s="12" t="e">
        <f t="shared" si="51"/>
        <v>#VALUE!</v>
      </c>
      <c r="L777" t="str">
        <f>MAIN!C782</f>
        <v/>
      </c>
    </row>
    <row r="778" spans="1:12" x14ac:dyDescent="0.3">
      <c r="A778">
        <f>IF(J778="0",0,IF(COUNTIF($J$2:J778,J778)=1,1,0))</f>
        <v>0</v>
      </c>
      <c r="B778" s="12" t="e">
        <f>MID(MAIN!A783,K778,2)</f>
        <v>#VALUE!</v>
      </c>
      <c r="C778" s="12" t="e">
        <f t="shared" si="48"/>
        <v>#VALUE!</v>
      </c>
      <c r="D778" s="12" t="e">
        <f>MID(MAIN!A783,K778+2,2)</f>
        <v>#VALUE!</v>
      </c>
      <c r="E778" s="12" t="e">
        <f>MID(MAIN!A783,K778+4,2)</f>
        <v>#VALUE!</v>
      </c>
      <c r="F778" s="2" t="e">
        <f t="shared" si="49"/>
        <v>#VALUE!</v>
      </c>
      <c r="G778" s="13" t="e">
        <f t="shared" si="50"/>
        <v>#VALUE!</v>
      </c>
      <c r="J778" t="str">
        <f>MAIN!A783&amp;"B"</f>
        <v>B</v>
      </c>
      <c r="K778" s="12" t="e">
        <f t="shared" si="51"/>
        <v>#VALUE!</v>
      </c>
      <c r="L778" t="str">
        <f>MAIN!C783</f>
        <v/>
      </c>
    </row>
    <row r="779" spans="1:12" x14ac:dyDescent="0.3">
      <c r="A779">
        <f>IF(J779="0",0,IF(COUNTIF($J$2:J779,J779)=1,1,0))</f>
        <v>0</v>
      </c>
      <c r="B779" s="12" t="e">
        <f>MID(MAIN!A784,K779,2)</f>
        <v>#VALUE!</v>
      </c>
      <c r="C779" s="12" t="e">
        <f t="shared" si="48"/>
        <v>#VALUE!</v>
      </c>
      <c r="D779" s="12" t="e">
        <f>MID(MAIN!A784,K779+2,2)</f>
        <v>#VALUE!</v>
      </c>
      <c r="E779" s="12" t="e">
        <f>MID(MAIN!A784,K779+4,2)</f>
        <v>#VALUE!</v>
      </c>
      <c r="F779" s="2" t="e">
        <f t="shared" si="49"/>
        <v>#VALUE!</v>
      </c>
      <c r="G779" s="13" t="e">
        <f t="shared" si="50"/>
        <v>#VALUE!</v>
      </c>
      <c r="J779" t="str">
        <f>MAIN!A784&amp;"B"</f>
        <v>B</v>
      </c>
      <c r="K779" s="12" t="e">
        <f t="shared" si="51"/>
        <v>#VALUE!</v>
      </c>
      <c r="L779" t="str">
        <f>MAIN!C784</f>
        <v/>
      </c>
    </row>
    <row r="780" spans="1:12" x14ac:dyDescent="0.3">
      <c r="A780">
        <f>IF(J780="0",0,IF(COUNTIF($J$2:J780,J780)=1,1,0))</f>
        <v>0</v>
      </c>
      <c r="B780" s="12" t="e">
        <f>MID(MAIN!A785,K780,2)</f>
        <v>#VALUE!</v>
      </c>
      <c r="C780" s="12" t="e">
        <f t="shared" si="48"/>
        <v>#VALUE!</v>
      </c>
      <c r="D780" s="12" t="e">
        <f>MID(MAIN!A785,K780+2,2)</f>
        <v>#VALUE!</v>
      </c>
      <c r="E780" s="12" t="e">
        <f>MID(MAIN!A785,K780+4,2)</f>
        <v>#VALUE!</v>
      </c>
      <c r="F780" s="2" t="e">
        <f t="shared" si="49"/>
        <v>#VALUE!</v>
      </c>
      <c r="G780" s="13" t="e">
        <f t="shared" si="50"/>
        <v>#VALUE!</v>
      </c>
      <c r="J780" t="str">
        <f>MAIN!A785&amp;"B"</f>
        <v>B</v>
      </c>
      <c r="K780" s="12" t="e">
        <f t="shared" si="51"/>
        <v>#VALUE!</v>
      </c>
      <c r="L780" t="str">
        <f>MAIN!C785</f>
        <v/>
      </c>
    </row>
    <row r="781" spans="1:12" x14ac:dyDescent="0.3">
      <c r="A781">
        <f>IF(J781="0",0,IF(COUNTIF($J$2:J781,J781)=1,1,0))</f>
        <v>0</v>
      </c>
      <c r="B781" s="12" t="e">
        <f>MID(MAIN!A786,K781,2)</f>
        <v>#VALUE!</v>
      </c>
      <c r="C781" s="12" t="e">
        <f t="shared" si="48"/>
        <v>#VALUE!</v>
      </c>
      <c r="D781" s="12" t="e">
        <f>MID(MAIN!A786,K781+2,2)</f>
        <v>#VALUE!</v>
      </c>
      <c r="E781" s="12" t="e">
        <f>MID(MAIN!A786,K781+4,2)</f>
        <v>#VALUE!</v>
      </c>
      <c r="F781" s="2" t="e">
        <f t="shared" si="49"/>
        <v>#VALUE!</v>
      </c>
      <c r="G781" s="13" t="e">
        <f t="shared" si="50"/>
        <v>#VALUE!</v>
      </c>
      <c r="J781" t="str">
        <f>MAIN!A786&amp;"B"</f>
        <v>B</v>
      </c>
      <c r="K781" s="12" t="e">
        <f t="shared" si="51"/>
        <v>#VALUE!</v>
      </c>
      <c r="L781" t="str">
        <f>MAIN!C786</f>
        <v/>
      </c>
    </row>
    <row r="782" spans="1:12" x14ac:dyDescent="0.3">
      <c r="A782">
        <f>IF(J782="0",0,IF(COUNTIF($J$2:J782,J782)=1,1,0))</f>
        <v>0</v>
      </c>
      <c r="B782" s="12" t="e">
        <f>MID(MAIN!A787,K782,2)</f>
        <v>#VALUE!</v>
      </c>
      <c r="C782" s="12" t="e">
        <f t="shared" si="48"/>
        <v>#VALUE!</v>
      </c>
      <c r="D782" s="12" t="e">
        <f>MID(MAIN!A787,K782+2,2)</f>
        <v>#VALUE!</v>
      </c>
      <c r="E782" s="12" t="e">
        <f>MID(MAIN!A787,K782+4,2)</f>
        <v>#VALUE!</v>
      </c>
      <c r="F782" s="2" t="e">
        <f t="shared" si="49"/>
        <v>#VALUE!</v>
      </c>
      <c r="G782" s="13" t="e">
        <f t="shared" si="50"/>
        <v>#VALUE!</v>
      </c>
      <c r="J782" t="str">
        <f>MAIN!A787&amp;"B"</f>
        <v>B</v>
      </c>
      <c r="K782" s="12" t="e">
        <f t="shared" si="51"/>
        <v>#VALUE!</v>
      </c>
      <c r="L782" t="str">
        <f>MAIN!C787</f>
        <v/>
      </c>
    </row>
    <row r="783" spans="1:12" x14ac:dyDescent="0.3">
      <c r="A783">
        <f>IF(J783="0",0,IF(COUNTIF($J$2:J783,J783)=1,1,0))</f>
        <v>0</v>
      </c>
      <c r="B783" s="12" t="e">
        <f>MID(MAIN!A788,K783,2)</f>
        <v>#VALUE!</v>
      </c>
      <c r="C783" s="12" t="e">
        <f t="shared" si="48"/>
        <v>#VALUE!</v>
      </c>
      <c r="D783" s="12" t="e">
        <f>MID(MAIN!A788,K783+2,2)</f>
        <v>#VALUE!</v>
      </c>
      <c r="E783" s="12" t="e">
        <f>MID(MAIN!A788,K783+4,2)</f>
        <v>#VALUE!</v>
      </c>
      <c r="F783" s="2" t="e">
        <f t="shared" si="49"/>
        <v>#VALUE!</v>
      </c>
      <c r="G783" s="13" t="e">
        <f t="shared" si="50"/>
        <v>#VALUE!</v>
      </c>
      <c r="J783" t="str">
        <f>MAIN!A788&amp;"B"</f>
        <v>B</v>
      </c>
      <c r="K783" s="12" t="e">
        <f t="shared" si="51"/>
        <v>#VALUE!</v>
      </c>
      <c r="L783" t="str">
        <f>MAIN!C788</f>
        <v/>
      </c>
    </row>
    <row r="784" spans="1:12" x14ac:dyDescent="0.3">
      <c r="A784">
        <f>IF(J784="0",0,IF(COUNTIF($J$2:J784,J784)=1,1,0))</f>
        <v>0</v>
      </c>
      <c r="B784" s="12" t="e">
        <f>MID(MAIN!A789,K784,2)</f>
        <v>#VALUE!</v>
      </c>
      <c r="C784" s="12" t="e">
        <f t="shared" si="48"/>
        <v>#VALUE!</v>
      </c>
      <c r="D784" s="12" t="e">
        <f>MID(MAIN!A789,K784+2,2)</f>
        <v>#VALUE!</v>
      </c>
      <c r="E784" s="12" t="e">
        <f>MID(MAIN!A789,K784+4,2)</f>
        <v>#VALUE!</v>
      </c>
      <c r="F784" s="2" t="e">
        <f t="shared" si="49"/>
        <v>#VALUE!</v>
      </c>
      <c r="G784" s="13" t="e">
        <f t="shared" si="50"/>
        <v>#VALUE!</v>
      </c>
      <c r="J784" t="str">
        <f>MAIN!A789&amp;"B"</f>
        <v>B</v>
      </c>
      <c r="K784" s="12" t="e">
        <f t="shared" si="51"/>
        <v>#VALUE!</v>
      </c>
      <c r="L784" t="str">
        <f>MAIN!C789</f>
        <v/>
      </c>
    </row>
    <row r="785" spans="1:12" x14ac:dyDescent="0.3">
      <c r="A785">
        <f>IF(J785="0",0,IF(COUNTIF($J$2:J785,J785)=1,1,0))</f>
        <v>0</v>
      </c>
      <c r="B785" s="12" t="e">
        <f>MID(MAIN!A790,K785,2)</f>
        <v>#VALUE!</v>
      </c>
      <c r="C785" s="12" t="e">
        <f t="shared" si="48"/>
        <v>#VALUE!</v>
      </c>
      <c r="D785" s="12" t="e">
        <f>MID(MAIN!A790,K785+2,2)</f>
        <v>#VALUE!</v>
      </c>
      <c r="E785" s="12" t="e">
        <f>MID(MAIN!A790,K785+4,2)</f>
        <v>#VALUE!</v>
      </c>
      <c r="F785" s="2" t="e">
        <f t="shared" si="49"/>
        <v>#VALUE!</v>
      </c>
      <c r="G785" s="13" t="e">
        <f t="shared" si="50"/>
        <v>#VALUE!</v>
      </c>
      <c r="J785" t="str">
        <f>MAIN!A790&amp;"B"</f>
        <v>B</v>
      </c>
      <c r="K785" s="12" t="e">
        <f t="shared" si="51"/>
        <v>#VALUE!</v>
      </c>
      <c r="L785" t="str">
        <f>MAIN!C790</f>
        <v/>
      </c>
    </row>
    <row r="786" spans="1:12" x14ac:dyDescent="0.3">
      <c r="A786">
        <f>IF(J786="0",0,IF(COUNTIF($J$2:J786,J786)=1,1,0))</f>
        <v>0</v>
      </c>
      <c r="B786" s="12" t="e">
        <f>MID(MAIN!A791,K786,2)</f>
        <v>#VALUE!</v>
      </c>
      <c r="C786" s="12" t="e">
        <f t="shared" si="48"/>
        <v>#VALUE!</v>
      </c>
      <c r="D786" s="12" t="e">
        <f>MID(MAIN!A791,K786+2,2)</f>
        <v>#VALUE!</v>
      </c>
      <c r="E786" s="12" t="e">
        <f>MID(MAIN!A791,K786+4,2)</f>
        <v>#VALUE!</v>
      </c>
      <c r="F786" s="2" t="e">
        <f t="shared" si="49"/>
        <v>#VALUE!</v>
      </c>
      <c r="G786" s="13" t="e">
        <f t="shared" si="50"/>
        <v>#VALUE!</v>
      </c>
      <c r="J786" t="str">
        <f>MAIN!A791&amp;"B"</f>
        <v>B</v>
      </c>
      <c r="K786" s="12" t="e">
        <f t="shared" si="51"/>
        <v>#VALUE!</v>
      </c>
      <c r="L786" t="str">
        <f>MAIN!C791</f>
        <v/>
      </c>
    </row>
    <row r="787" spans="1:12" x14ac:dyDescent="0.3">
      <c r="A787">
        <f>IF(J787="0",0,IF(COUNTIF($J$2:J787,J787)=1,1,0))</f>
        <v>0</v>
      </c>
      <c r="B787" s="12" t="e">
        <f>MID(MAIN!A792,K787,2)</f>
        <v>#VALUE!</v>
      </c>
      <c r="C787" s="12" t="e">
        <f t="shared" si="48"/>
        <v>#VALUE!</v>
      </c>
      <c r="D787" s="12" t="e">
        <f>MID(MAIN!A792,K787+2,2)</f>
        <v>#VALUE!</v>
      </c>
      <c r="E787" s="12" t="e">
        <f>MID(MAIN!A792,K787+4,2)</f>
        <v>#VALUE!</v>
      </c>
      <c r="F787" s="2" t="e">
        <f t="shared" si="49"/>
        <v>#VALUE!</v>
      </c>
      <c r="G787" s="13" t="e">
        <f t="shared" si="50"/>
        <v>#VALUE!</v>
      </c>
      <c r="J787" t="str">
        <f>MAIN!A792&amp;"B"</f>
        <v>B</v>
      </c>
      <c r="K787" s="12" t="e">
        <f t="shared" si="51"/>
        <v>#VALUE!</v>
      </c>
      <c r="L787" t="str">
        <f>MAIN!C792</f>
        <v/>
      </c>
    </row>
    <row r="788" spans="1:12" x14ac:dyDescent="0.3">
      <c r="A788">
        <f>IF(J788="0",0,IF(COUNTIF($J$2:J788,J788)=1,1,0))</f>
        <v>0</v>
      </c>
      <c r="B788" s="12" t="e">
        <f>MID(MAIN!A793,K788,2)</f>
        <v>#VALUE!</v>
      </c>
      <c r="C788" s="12" t="e">
        <f t="shared" si="48"/>
        <v>#VALUE!</v>
      </c>
      <c r="D788" s="12" t="e">
        <f>MID(MAIN!A793,K788+2,2)</f>
        <v>#VALUE!</v>
      </c>
      <c r="E788" s="12" t="e">
        <f>MID(MAIN!A793,K788+4,2)</f>
        <v>#VALUE!</v>
      </c>
      <c r="F788" s="2" t="e">
        <f t="shared" si="49"/>
        <v>#VALUE!</v>
      </c>
      <c r="G788" s="13" t="e">
        <f t="shared" si="50"/>
        <v>#VALUE!</v>
      </c>
      <c r="J788" t="str">
        <f>MAIN!A793&amp;"B"</f>
        <v>B</v>
      </c>
      <c r="K788" s="12" t="e">
        <f t="shared" si="51"/>
        <v>#VALUE!</v>
      </c>
      <c r="L788" t="str">
        <f>MAIN!C793</f>
        <v/>
      </c>
    </row>
    <row r="789" spans="1:12" x14ac:dyDescent="0.3">
      <c r="A789">
        <f>IF(J789="0",0,IF(COUNTIF($J$2:J789,J789)=1,1,0))</f>
        <v>0</v>
      </c>
      <c r="B789" s="12" t="e">
        <f>MID(MAIN!A794,K789,2)</f>
        <v>#VALUE!</v>
      </c>
      <c r="C789" s="12" t="e">
        <f t="shared" si="48"/>
        <v>#VALUE!</v>
      </c>
      <c r="D789" s="12" t="e">
        <f>MID(MAIN!A794,K789+2,2)</f>
        <v>#VALUE!</v>
      </c>
      <c r="E789" s="12" t="e">
        <f>MID(MAIN!A794,K789+4,2)</f>
        <v>#VALUE!</v>
      </c>
      <c r="F789" s="2" t="e">
        <f t="shared" si="49"/>
        <v>#VALUE!</v>
      </c>
      <c r="G789" s="13" t="e">
        <f t="shared" si="50"/>
        <v>#VALUE!</v>
      </c>
      <c r="J789" t="str">
        <f>MAIN!A794&amp;"B"</f>
        <v>B</v>
      </c>
      <c r="K789" s="12" t="e">
        <f t="shared" si="51"/>
        <v>#VALUE!</v>
      </c>
      <c r="L789" t="str">
        <f>MAIN!C794</f>
        <v/>
      </c>
    </row>
    <row r="790" spans="1:12" x14ac:dyDescent="0.3">
      <c r="A790">
        <f>IF(J790="0",0,IF(COUNTIF($J$2:J790,J790)=1,1,0))</f>
        <v>0</v>
      </c>
      <c r="B790" s="12" t="e">
        <f>MID(MAIN!A795,K790,2)</f>
        <v>#VALUE!</v>
      </c>
      <c r="C790" s="12" t="e">
        <f t="shared" si="48"/>
        <v>#VALUE!</v>
      </c>
      <c r="D790" s="12" t="e">
        <f>MID(MAIN!A795,K790+2,2)</f>
        <v>#VALUE!</v>
      </c>
      <c r="E790" s="12" t="e">
        <f>MID(MAIN!A795,K790+4,2)</f>
        <v>#VALUE!</v>
      </c>
      <c r="F790" s="2" t="e">
        <f t="shared" si="49"/>
        <v>#VALUE!</v>
      </c>
      <c r="G790" s="13" t="e">
        <f t="shared" si="50"/>
        <v>#VALUE!</v>
      </c>
      <c r="J790" t="str">
        <f>MAIN!A795&amp;"B"</f>
        <v>B</v>
      </c>
      <c r="K790" s="12" t="e">
        <f t="shared" si="51"/>
        <v>#VALUE!</v>
      </c>
      <c r="L790" t="str">
        <f>MAIN!C795</f>
        <v/>
      </c>
    </row>
    <row r="791" spans="1:12" x14ac:dyDescent="0.3">
      <c r="A791">
        <f>IF(J791="0",0,IF(COUNTIF($J$2:J791,J791)=1,1,0))</f>
        <v>0</v>
      </c>
      <c r="B791" s="12" t="e">
        <f>MID(MAIN!A796,K791,2)</f>
        <v>#VALUE!</v>
      </c>
      <c r="C791" s="12" t="e">
        <f t="shared" si="48"/>
        <v>#VALUE!</v>
      </c>
      <c r="D791" s="12" t="e">
        <f>MID(MAIN!A796,K791+2,2)</f>
        <v>#VALUE!</v>
      </c>
      <c r="E791" s="12" t="e">
        <f>MID(MAIN!A796,K791+4,2)</f>
        <v>#VALUE!</v>
      </c>
      <c r="F791" s="2" t="e">
        <f t="shared" si="49"/>
        <v>#VALUE!</v>
      </c>
      <c r="G791" s="13" t="e">
        <f t="shared" si="50"/>
        <v>#VALUE!</v>
      </c>
      <c r="J791" t="str">
        <f>MAIN!A796&amp;"B"</f>
        <v>B</v>
      </c>
      <c r="K791" s="12" t="e">
        <f t="shared" si="51"/>
        <v>#VALUE!</v>
      </c>
      <c r="L791" t="str">
        <f>MAIN!C796</f>
        <v/>
      </c>
    </row>
    <row r="792" spans="1:12" x14ac:dyDescent="0.3">
      <c r="A792">
        <f>IF(J792="0",0,IF(COUNTIF($J$2:J792,J792)=1,1,0))</f>
        <v>0</v>
      </c>
      <c r="B792" s="12" t="e">
        <f>MID(MAIN!A797,K792,2)</f>
        <v>#VALUE!</v>
      </c>
      <c r="C792" s="12" t="e">
        <f t="shared" si="48"/>
        <v>#VALUE!</v>
      </c>
      <c r="D792" s="12" t="e">
        <f>MID(MAIN!A797,K792+2,2)</f>
        <v>#VALUE!</v>
      </c>
      <c r="E792" s="12" t="e">
        <f>MID(MAIN!A797,K792+4,2)</f>
        <v>#VALUE!</v>
      </c>
      <c r="F792" s="2" t="e">
        <f t="shared" si="49"/>
        <v>#VALUE!</v>
      </c>
      <c r="G792" s="13" t="e">
        <f t="shared" si="50"/>
        <v>#VALUE!</v>
      </c>
      <c r="J792" t="str">
        <f>MAIN!A797&amp;"B"</f>
        <v>B</v>
      </c>
      <c r="K792" s="12" t="e">
        <f t="shared" si="51"/>
        <v>#VALUE!</v>
      </c>
      <c r="L792" t="str">
        <f>MAIN!C797</f>
        <v/>
      </c>
    </row>
    <row r="793" spans="1:12" x14ac:dyDescent="0.3">
      <c r="A793">
        <f>IF(J793="0",0,IF(COUNTIF($J$2:J793,J793)=1,1,0))</f>
        <v>0</v>
      </c>
      <c r="B793" s="12" t="e">
        <f>MID(MAIN!A798,K793,2)</f>
        <v>#VALUE!</v>
      </c>
      <c r="C793" s="12" t="e">
        <f t="shared" si="48"/>
        <v>#VALUE!</v>
      </c>
      <c r="D793" s="12" t="e">
        <f>MID(MAIN!A798,K793+2,2)</f>
        <v>#VALUE!</v>
      </c>
      <c r="E793" s="12" t="e">
        <f>MID(MAIN!A798,K793+4,2)</f>
        <v>#VALUE!</v>
      </c>
      <c r="F793" s="2" t="e">
        <f t="shared" si="49"/>
        <v>#VALUE!</v>
      </c>
      <c r="G793" s="13" t="e">
        <f t="shared" si="50"/>
        <v>#VALUE!</v>
      </c>
      <c r="J793" t="str">
        <f>MAIN!A798&amp;"B"</f>
        <v>B</v>
      </c>
      <c r="K793" s="12" t="e">
        <f t="shared" si="51"/>
        <v>#VALUE!</v>
      </c>
      <c r="L793" t="str">
        <f>MAIN!C798</f>
        <v/>
      </c>
    </row>
    <row r="794" spans="1:12" x14ac:dyDescent="0.3">
      <c r="A794">
        <f>IF(J794="0",0,IF(COUNTIF($J$2:J794,J794)=1,1,0))</f>
        <v>0</v>
      </c>
      <c r="B794" s="12" t="e">
        <f>MID(MAIN!A799,K794,2)</f>
        <v>#VALUE!</v>
      </c>
      <c r="C794" s="12" t="e">
        <f t="shared" si="48"/>
        <v>#VALUE!</v>
      </c>
      <c r="D794" s="12" t="e">
        <f>MID(MAIN!A799,K794+2,2)</f>
        <v>#VALUE!</v>
      </c>
      <c r="E794" s="12" t="e">
        <f>MID(MAIN!A799,K794+4,2)</f>
        <v>#VALUE!</v>
      </c>
      <c r="F794" s="2" t="e">
        <f t="shared" si="49"/>
        <v>#VALUE!</v>
      </c>
      <c r="G794" s="13" t="e">
        <f t="shared" si="50"/>
        <v>#VALUE!</v>
      </c>
      <c r="J794" t="str">
        <f>MAIN!A799&amp;"B"</f>
        <v>B</v>
      </c>
      <c r="K794" s="12" t="e">
        <f t="shared" si="51"/>
        <v>#VALUE!</v>
      </c>
      <c r="L794" t="str">
        <f>MAIN!C799</f>
        <v/>
      </c>
    </row>
    <row r="795" spans="1:12" x14ac:dyDescent="0.3">
      <c r="A795">
        <f>IF(J795="0",0,IF(COUNTIF($J$2:J795,J795)=1,1,0))</f>
        <v>0</v>
      </c>
      <c r="B795" s="12" t="e">
        <f>MID(MAIN!A800,K795,2)</f>
        <v>#VALUE!</v>
      </c>
      <c r="C795" s="12" t="e">
        <f t="shared" si="48"/>
        <v>#VALUE!</v>
      </c>
      <c r="D795" s="12" t="e">
        <f>MID(MAIN!A800,K795+2,2)</f>
        <v>#VALUE!</v>
      </c>
      <c r="E795" s="12" t="e">
        <f>MID(MAIN!A800,K795+4,2)</f>
        <v>#VALUE!</v>
      </c>
      <c r="F795" s="2" t="e">
        <f t="shared" si="49"/>
        <v>#VALUE!</v>
      </c>
      <c r="G795" s="13" t="e">
        <f t="shared" si="50"/>
        <v>#VALUE!</v>
      </c>
      <c r="J795" t="str">
        <f>MAIN!A800&amp;"B"</f>
        <v>B</v>
      </c>
      <c r="K795" s="12" t="e">
        <f t="shared" si="51"/>
        <v>#VALUE!</v>
      </c>
      <c r="L795" t="str">
        <f>MAIN!C800</f>
        <v/>
      </c>
    </row>
    <row r="796" spans="1:12" x14ac:dyDescent="0.3">
      <c r="A796">
        <f>IF(J796="0",0,IF(COUNTIF($J$2:J796,J796)=1,1,0))</f>
        <v>0</v>
      </c>
      <c r="B796" s="12" t="e">
        <f>MID(MAIN!A801,K796,2)</f>
        <v>#VALUE!</v>
      </c>
      <c r="C796" s="12" t="e">
        <f t="shared" si="48"/>
        <v>#VALUE!</v>
      </c>
      <c r="D796" s="12" t="e">
        <f>MID(MAIN!A801,K796+2,2)</f>
        <v>#VALUE!</v>
      </c>
      <c r="E796" s="12" t="e">
        <f>MID(MAIN!A801,K796+4,2)</f>
        <v>#VALUE!</v>
      </c>
      <c r="F796" s="2" t="e">
        <f t="shared" si="49"/>
        <v>#VALUE!</v>
      </c>
      <c r="G796" s="13" t="e">
        <f t="shared" si="50"/>
        <v>#VALUE!</v>
      </c>
      <c r="J796" t="str">
        <f>MAIN!A801&amp;"B"</f>
        <v>B</v>
      </c>
      <c r="K796" s="12" t="e">
        <f t="shared" si="51"/>
        <v>#VALUE!</v>
      </c>
      <c r="L796" t="str">
        <f>MAIN!C801</f>
        <v/>
      </c>
    </row>
    <row r="797" spans="1:12" x14ac:dyDescent="0.3">
      <c r="A797">
        <f>IF(J797="0",0,IF(COUNTIF($J$2:J797,J797)=1,1,0))</f>
        <v>0</v>
      </c>
      <c r="B797" s="12" t="e">
        <f>MID(MAIN!A802,K797,2)</f>
        <v>#VALUE!</v>
      </c>
      <c r="C797" s="12" t="e">
        <f t="shared" si="48"/>
        <v>#VALUE!</v>
      </c>
      <c r="D797" s="12" t="e">
        <f>MID(MAIN!A802,K797+2,2)</f>
        <v>#VALUE!</v>
      </c>
      <c r="E797" s="12" t="e">
        <f>MID(MAIN!A802,K797+4,2)</f>
        <v>#VALUE!</v>
      </c>
      <c r="F797" s="2" t="e">
        <f t="shared" si="49"/>
        <v>#VALUE!</v>
      </c>
      <c r="G797" s="13" t="e">
        <f t="shared" si="50"/>
        <v>#VALUE!</v>
      </c>
      <c r="J797" t="str">
        <f>MAIN!A802&amp;"B"</f>
        <v>B</v>
      </c>
      <c r="K797" s="12" t="e">
        <f t="shared" si="51"/>
        <v>#VALUE!</v>
      </c>
      <c r="L797" t="str">
        <f>MAIN!C802</f>
        <v/>
      </c>
    </row>
    <row r="798" spans="1:12" x14ac:dyDescent="0.3">
      <c r="A798">
        <f>IF(J798="0",0,IF(COUNTIF($J$2:J798,J798)=1,1,0))</f>
        <v>0</v>
      </c>
      <c r="B798" s="12" t="e">
        <f>MID(MAIN!A803,K798,2)</f>
        <v>#VALUE!</v>
      </c>
      <c r="C798" s="12" t="e">
        <f t="shared" si="48"/>
        <v>#VALUE!</v>
      </c>
      <c r="D798" s="12" t="e">
        <f>MID(MAIN!A803,K798+2,2)</f>
        <v>#VALUE!</v>
      </c>
      <c r="E798" s="12" t="e">
        <f>MID(MAIN!A803,K798+4,2)</f>
        <v>#VALUE!</v>
      </c>
      <c r="F798" s="2" t="e">
        <f t="shared" si="49"/>
        <v>#VALUE!</v>
      </c>
      <c r="G798" s="13" t="e">
        <f t="shared" si="50"/>
        <v>#VALUE!</v>
      </c>
      <c r="J798" t="str">
        <f>MAIN!A803&amp;"B"</f>
        <v>B</v>
      </c>
      <c r="K798" s="12" t="e">
        <f t="shared" si="51"/>
        <v>#VALUE!</v>
      </c>
      <c r="L798" t="str">
        <f>MAIN!C803</f>
        <v/>
      </c>
    </row>
    <row r="799" spans="1:12" x14ac:dyDescent="0.3">
      <c r="A799">
        <f>IF(J799="0",0,IF(COUNTIF($J$2:J799,J799)=1,1,0))</f>
        <v>0</v>
      </c>
      <c r="B799" s="12" t="e">
        <f>MID(MAIN!A804,K799,2)</f>
        <v>#VALUE!</v>
      </c>
      <c r="C799" s="12" t="e">
        <f t="shared" si="48"/>
        <v>#VALUE!</v>
      </c>
      <c r="D799" s="12" t="e">
        <f>MID(MAIN!A804,K799+2,2)</f>
        <v>#VALUE!</v>
      </c>
      <c r="E799" s="12" t="e">
        <f>MID(MAIN!A804,K799+4,2)</f>
        <v>#VALUE!</v>
      </c>
      <c r="F799" s="2" t="e">
        <f t="shared" si="49"/>
        <v>#VALUE!</v>
      </c>
      <c r="G799" s="13" t="e">
        <f t="shared" si="50"/>
        <v>#VALUE!</v>
      </c>
      <c r="J799" t="str">
        <f>MAIN!A804&amp;"B"</f>
        <v>B</v>
      </c>
      <c r="K799" s="12" t="e">
        <f t="shared" si="51"/>
        <v>#VALUE!</v>
      </c>
      <c r="L799" t="str">
        <f>MAIN!C804</f>
        <v/>
      </c>
    </row>
    <row r="800" spans="1:12" x14ac:dyDescent="0.3">
      <c r="A800">
        <f>IF(J800="0",0,IF(COUNTIF($J$2:J800,J800)=1,1,0))</f>
        <v>0</v>
      </c>
      <c r="B800" s="12" t="e">
        <f>MID(MAIN!A805,K800,2)</f>
        <v>#VALUE!</v>
      </c>
      <c r="C800" s="12" t="e">
        <f t="shared" si="48"/>
        <v>#VALUE!</v>
      </c>
      <c r="D800" s="12" t="e">
        <f>MID(MAIN!A805,K800+2,2)</f>
        <v>#VALUE!</v>
      </c>
      <c r="E800" s="12" t="e">
        <f>MID(MAIN!A805,K800+4,2)</f>
        <v>#VALUE!</v>
      </c>
      <c r="F800" s="2" t="e">
        <f t="shared" si="49"/>
        <v>#VALUE!</v>
      </c>
      <c r="G800" s="13" t="e">
        <f t="shared" si="50"/>
        <v>#VALUE!</v>
      </c>
      <c r="J800" t="str">
        <f>MAIN!A805&amp;"B"</f>
        <v>B</v>
      </c>
      <c r="K800" s="12" t="e">
        <f t="shared" si="51"/>
        <v>#VALUE!</v>
      </c>
      <c r="L800" t="str">
        <f>MAIN!C805</f>
        <v/>
      </c>
    </row>
    <row r="801" spans="1:12" x14ac:dyDescent="0.3">
      <c r="A801">
        <f>IF(J801="0",0,IF(COUNTIF($J$2:J801,J801)=1,1,0))</f>
        <v>0</v>
      </c>
      <c r="B801" s="12" t="e">
        <f>MID(MAIN!A806,K801,2)</f>
        <v>#VALUE!</v>
      </c>
      <c r="C801" s="12" t="e">
        <f t="shared" si="48"/>
        <v>#VALUE!</v>
      </c>
      <c r="D801" s="12" t="e">
        <f>MID(MAIN!A806,K801+2,2)</f>
        <v>#VALUE!</v>
      </c>
      <c r="E801" s="12" t="e">
        <f>MID(MAIN!A806,K801+4,2)</f>
        <v>#VALUE!</v>
      </c>
      <c r="F801" s="2" t="e">
        <f t="shared" si="49"/>
        <v>#VALUE!</v>
      </c>
      <c r="G801" s="13" t="e">
        <f t="shared" si="50"/>
        <v>#VALUE!</v>
      </c>
      <c r="J801" t="str">
        <f>MAIN!A806&amp;"B"</f>
        <v>B</v>
      </c>
      <c r="K801" s="12" t="e">
        <f t="shared" si="51"/>
        <v>#VALUE!</v>
      </c>
      <c r="L801" t="str">
        <f>MAIN!C806</f>
        <v/>
      </c>
    </row>
    <row r="802" spans="1:12" x14ac:dyDescent="0.3">
      <c r="A802">
        <f>IF(J802="0",0,IF(COUNTIF($J$2:J802,J802)=1,1,0))</f>
        <v>0</v>
      </c>
      <c r="B802" s="12" t="e">
        <f>MID(MAIN!A807,K802,2)</f>
        <v>#VALUE!</v>
      </c>
      <c r="C802" s="12" t="e">
        <f t="shared" si="48"/>
        <v>#VALUE!</v>
      </c>
      <c r="D802" s="12" t="e">
        <f>MID(MAIN!A807,K802+2,2)</f>
        <v>#VALUE!</v>
      </c>
      <c r="E802" s="12" t="e">
        <f>MID(MAIN!A807,K802+4,2)</f>
        <v>#VALUE!</v>
      </c>
      <c r="F802" s="2" t="e">
        <f t="shared" si="49"/>
        <v>#VALUE!</v>
      </c>
      <c r="G802" s="13" t="e">
        <f t="shared" si="50"/>
        <v>#VALUE!</v>
      </c>
      <c r="J802" t="str">
        <f>MAIN!A807&amp;"B"</f>
        <v>B</v>
      </c>
      <c r="K802" s="12" t="e">
        <f t="shared" si="51"/>
        <v>#VALUE!</v>
      </c>
      <c r="L802" t="str">
        <f>MAIN!C807</f>
        <v/>
      </c>
    </row>
    <row r="803" spans="1:12" x14ac:dyDescent="0.3">
      <c r="A803">
        <f>IF(J803="0",0,IF(COUNTIF($J$2:J803,J803)=1,1,0))</f>
        <v>0</v>
      </c>
      <c r="B803" s="12" t="e">
        <f>MID(MAIN!A808,K803,2)</f>
        <v>#VALUE!</v>
      </c>
      <c r="C803" s="12" t="e">
        <f t="shared" si="48"/>
        <v>#VALUE!</v>
      </c>
      <c r="D803" s="12" t="e">
        <f>MID(MAIN!A808,K803+2,2)</f>
        <v>#VALUE!</v>
      </c>
      <c r="E803" s="12" t="e">
        <f>MID(MAIN!A808,K803+4,2)</f>
        <v>#VALUE!</v>
      </c>
      <c r="F803" s="2" t="e">
        <f t="shared" si="49"/>
        <v>#VALUE!</v>
      </c>
      <c r="G803" s="13" t="e">
        <f t="shared" si="50"/>
        <v>#VALUE!</v>
      </c>
      <c r="J803" t="str">
        <f>MAIN!A808&amp;"B"</f>
        <v>B</v>
      </c>
      <c r="K803" s="12" t="e">
        <f t="shared" si="51"/>
        <v>#VALUE!</v>
      </c>
      <c r="L803" t="str">
        <f>MAIN!C808</f>
        <v/>
      </c>
    </row>
    <row r="804" spans="1:12" x14ac:dyDescent="0.3">
      <c r="A804">
        <f>IF(J804="0",0,IF(COUNTIF($J$2:J804,J804)=1,1,0))</f>
        <v>0</v>
      </c>
      <c r="B804" s="12" t="e">
        <f>MID(MAIN!A809,K804,2)</f>
        <v>#VALUE!</v>
      </c>
      <c r="C804" s="12" t="e">
        <f t="shared" si="48"/>
        <v>#VALUE!</v>
      </c>
      <c r="D804" s="12" t="e">
        <f>MID(MAIN!A809,K804+2,2)</f>
        <v>#VALUE!</v>
      </c>
      <c r="E804" s="12" t="e">
        <f>MID(MAIN!A809,K804+4,2)</f>
        <v>#VALUE!</v>
      </c>
      <c r="F804" s="2" t="e">
        <f t="shared" si="49"/>
        <v>#VALUE!</v>
      </c>
      <c r="G804" s="13" t="e">
        <f t="shared" si="50"/>
        <v>#VALUE!</v>
      </c>
      <c r="J804" t="str">
        <f>MAIN!A809&amp;"B"</f>
        <v>B</v>
      </c>
      <c r="K804" s="12" t="e">
        <f t="shared" si="51"/>
        <v>#VALUE!</v>
      </c>
      <c r="L804" t="str">
        <f>MAIN!C809</f>
        <v/>
      </c>
    </row>
    <row r="805" spans="1:12" x14ac:dyDescent="0.3">
      <c r="A805">
        <f>IF(J805="0",0,IF(COUNTIF($J$2:J805,J805)=1,1,0))</f>
        <v>0</v>
      </c>
      <c r="B805" s="12" t="e">
        <f>MID(MAIN!A810,K805,2)</f>
        <v>#VALUE!</v>
      </c>
      <c r="C805" s="12" t="e">
        <f t="shared" si="48"/>
        <v>#VALUE!</v>
      </c>
      <c r="D805" s="12" t="e">
        <f>MID(MAIN!A810,K805+2,2)</f>
        <v>#VALUE!</v>
      </c>
      <c r="E805" s="12" t="e">
        <f>MID(MAIN!A810,K805+4,2)</f>
        <v>#VALUE!</v>
      </c>
      <c r="F805" s="2" t="e">
        <f t="shared" si="49"/>
        <v>#VALUE!</v>
      </c>
      <c r="G805" s="13" t="e">
        <f t="shared" si="50"/>
        <v>#VALUE!</v>
      </c>
      <c r="J805" t="str">
        <f>MAIN!A810&amp;"B"</f>
        <v>B</v>
      </c>
      <c r="K805" s="12" t="e">
        <f t="shared" si="51"/>
        <v>#VALUE!</v>
      </c>
      <c r="L805" t="str">
        <f>MAIN!C810</f>
        <v/>
      </c>
    </row>
    <row r="806" spans="1:12" x14ac:dyDescent="0.3">
      <c r="A806">
        <f>IF(J806="0",0,IF(COUNTIF($J$2:J806,J806)=1,1,0))</f>
        <v>0</v>
      </c>
      <c r="B806" s="12" t="e">
        <f>MID(MAIN!A811,K806,2)</f>
        <v>#VALUE!</v>
      </c>
      <c r="C806" s="12" t="e">
        <f t="shared" si="48"/>
        <v>#VALUE!</v>
      </c>
      <c r="D806" s="12" t="e">
        <f>MID(MAIN!A811,K806+2,2)</f>
        <v>#VALUE!</v>
      </c>
      <c r="E806" s="12" t="e">
        <f>MID(MAIN!A811,K806+4,2)</f>
        <v>#VALUE!</v>
      </c>
      <c r="F806" s="2" t="e">
        <f t="shared" si="49"/>
        <v>#VALUE!</v>
      </c>
      <c r="G806" s="13" t="e">
        <f t="shared" si="50"/>
        <v>#VALUE!</v>
      </c>
      <c r="J806" t="str">
        <f>MAIN!A811&amp;"B"</f>
        <v>B</v>
      </c>
      <c r="K806" s="12" t="e">
        <f t="shared" si="51"/>
        <v>#VALUE!</v>
      </c>
      <c r="L806" t="str">
        <f>MAIN!C811</f>
        <v/>
      </c>
    </row>
    <row r="807" spans="1:12" x14ac:dyDescent="0.3">
      <c r="A807">
        <f>IF(J807="0",0,IF(COUNTIF($J$2:J807,J807)=1,1,0))</f>
        <v>0</v>
      </c>
      <c r="B807" s="12" t="e">
        <f>MID(MAIN!A812,K807,2)</f>
        <v>#VALUE!</v>
      </c>
      <c r="C807" s="12" t="e">
        <f t="shared" si="48"/>
        <v>#VALUE!</v>
      </c>
      <c r="D807" s="12" t="e">
        <f>MID(MAIN!A812,K807+2,2)</f>
        <v>#VALUE!</v>
      </c>
      <c r="E807" s="12" t="e">
        <f>MID(MAIN!A812,K807+4,2)</f>
        <v>#VALUE!</v>
      </c>
      <c r="F807" s="2" t="e">
        <f t="shared" si="49"/>
        <v>#VALUE!</v>
      </c>
      <c r="G807" s="13" t="e">
        <f t="shared" si="50"/>
        <v>#VALUE!</v>
      </c>
      <c r="J807" t="str">
        <f>MAIN!A812&amp;"B"</f>
        <v>B</v>
      </c>
      <c r="K807" s="12" t="e">
        <f t="shared" si="51"/>
        <v>#VALUE!</v>
      </c>
      <c r="L807" t="str">
        <f>MAIN!C812</f>
        <v/>
      </c>
    </row>
    <row r="808" spans="1:12" x14ac:dyDescent="0.3">
      <c r="A808">
        <f>IF(J808="0",0,IF(COUNTIF($J$2:J808,J808)=1,1,0))</f>
        <v>0</v>
      </c>
      <c r="B808" s="12" t="e">
        <f>MID(MAIN!A813,K808,2)</f>
        <v>#VALUE!</v>
      </c>
      <c r="C808" s="12" t="e">
        <f t="shared" si="48"/>
        <v>#VALUE!</v>
      </c>
      <c r="D808" s="12" t="e">
        <f>MID(MAIN!A813,K808+2,2)</f>
        <v>#VALUE!</v>
      </c>
      <c r="E808" s="12" t="e">
        <f>MID(MAIN!A813,K808+4,2)</f>
        <v>#VALUE!</v>
      </c>
      <c r="F808" s="2" t="e">
        <f t="shared" si="49"/>
        <v>#VALUE!</v>
      </c>
      <c r="G808" s="13" t="e">
        <f t="shared" si="50"/>
        <v>#VALUE!</v>
      </c>
      <c r="J808" t="str">
        <f>MAIN!A813&amp;"B"</f>
        <v>B</v>
      </c>
      <c r="K808" s="12" t="e">
        <f t="shared" si="51"/>
        <v>#VALUE!</v>
      </c>
      <c r="L808" t="str">
        <f>MAIN!C813</f>
        <v/>
      </c>
    </row>
    <row r="809" spans="1:12" x14ac:dyDescent="0.3">
      <c r="A809">
        <f>IF(J809="0",0,IF(COUNTIF($J$2:J809,J809)=1,1,0))</f>
        <v>0</v>
      </c>
      <c r="B809" s="12" t="e">
        <f>MID(MAIN!A814,K809,2)</f>
        <v>#VALUE!</v>
      </c>
      <c r="C809" s="12" t="e">
        <f t="shared" si="48"/>
        <v>#VALUE!</v>
      </c>
      <c r="D809" s="12" t="e">
        <f>MID(MAIN!A814,K809+2,2)</f>
        <v>#VALUE!</v>
      </c>
      <c r="E809" s="12" t="e">
        <f>MID(MAIN!A814,K809+4,2)</f>
        <v>#VALUE!</v>
      </c>
      <c r="F809" s="2" t="e">
        <f t="shared" si="49"/>
        <v>#VALUE!</v>
      </c>
      <c r="G809" s="13" t="e">
        <f t="shared" si="50"/>
        <v>#VALUE!</v>
      </c>
      <c r="J809" t="str">
        <f>MAIN!A814&amp;"B"</f>
        <v>B</v>
      </c>
      <c r="K809" s="12" t="e">
        <f t="shared" si="51"/>
        <v>#VALUE!</v>
      </c>
      <c r="L809" t="str">
        <f>MAIN!C814</f>
        <v/>
      </c>
    </row>
    <row r="810" spans="1:12" x14ac:dyDescent="0.3">
      <c r="A810">
        <f>IF(J810="0",0,IF(COUNTIF($J$2:J810,J810)=1,1,0))</f>
        <v>0</v>
      </c>
      <c r="B810" s="12" t="e">
        <f>MID(MAIN!A815,K810,2)</f>
        <v>#VALUE!</v>
      </c>
      <c r="C810" s="12" t="e">
        <f t="shared" si="48"/>
        <v>#VALUE!</v>
      </c>
      <c r="D810" s="12" t="e">
        <f>MID(MAIN!A815,K810+2,2)</f>
        <v>#VALUE!</v>
      </c>
      <c r="E810" s="12" t="e">
        <f>MID(MAIN!A815,K810+4,2)</f>
        <v>#VALUE!</v>
      </c>
      <c r="F810" s="2" t="e">
        <f t="shared" si="49"/>
        <v>#VALUE!</v>
      </c>
      <c r="G810" s="13" t="e">
        <f t="shared" si="50"/>
        <v>#VALUE!</v>
      </c>
      <c r="J810" t="str">
        <f>MAIN!A815&amp;"B"</f>
        <v>B</v>
      </c>
      <c r="K810" s="12" t="e">
        <f t="shared" si="51"/>
        <v>#VALUE!</v>
      </c>
      <c r="L810" t="str">
        <f>MAIN!C815</f>
        <v/>
      </c>
    </row>
    <row r="811" spans="1:12" x14ac:dyDescent="0.3">
      <c r="A811">
        <f>IF(J811="0",0,IF(COUNTIF($J$2:J811,J811)=1,1,0))</f>
        <v>0</v>
      </c>
      <c r="B811" s="12" t="e">
        <f>MID(MAIN!A816,K811,2)</f>
        <v>#VALUE!</v>
      </c>
      <c r="C811" s="12" t="e">
        <f t="shared" si="48"/>
        <v>#VALUE!</v>
      </c>
      <c r="D811" s="12" t="e">
        <f>MID(MAIN!A816,K811+2,2)</f>
        <v>#VALUE!</v>
      </c>
      <c r="E811" s="12" t="e">
        <f>MID(MAIN!A816,K811+4,2)</f>
        <v>#VALUE!</v>
      </c>
      <c r="F811" s="2" t="e">
        <f t="shared" si="49"/>
        <v>#VALUE!</v>
      </c>
      <c r="G811" s="13" t="e">
        <f t="shared" si="50"/>
        <v>#VALUE!</v>
      </c>
      <c r="J811" t="str">
        <f>MAIN!A816&amp;"B"</f>
        <v>B</v>
      </c>
      <c r="K811" s="12" t="e">
        <f t="shared" si="51"/>
        <v>#VALUE!</v>
      </c>
      <c r="L811" t="str">
        <f>MAIN!C816</f>
        <v/>
      </c>
    </row>
    <row r="812" spans="1:12" x14ac:dyDescent="0.3">
      <c r="A812">
        <f>IF(J812="0",0,IF(COUNTIF($J$2:J812,J812)=1,1,0))</f>
        <v>0</v>
      </c>
      <c r="B812" s="12" t="e">
        <f>MID(MAIN!A817,K812,2)</f>
        <v>#VALUE!</v>
      </c>
      <c r="C812" s="12" t="e">
        <f t="shared" si="48"/>
        <v>#VALUE!</v>
      </c>
      <c r="D812" s="12" t="e">
        <f>MID(MAIN!A817,K812+2,2)</f>
        <v>#VALUE!</v>
      </c>
      <c r="E812" s="12" t="e">
        <f>MID(MAIN!A817,K812+4,2)</f>
        <v>#VALUE!</v>
      </c>
      <c r="F812" s="2" t="e">
        <f t="shared" si="49"/>
        <v>#VALUE!</v>
      </c>
      <c r="G812" s="13" t="e">
        <f t="shared" si="50"/>
        <v>#VALUE!</v>
      </c>
      <c r="J812" t="str">
        <f>MAIN!A817&amp;"B"</f>
        <v>B</v>
      </c>
      <c r="K812" s="12" t="e">
        <f t="shared" si="51"/>
        <v>#VALUE!</v>
      </c>
      <c r="L812" t="str">
        <f>MAIN!C817</f>
        <v/>
      </c>
    </row>
    <row r="813" spans="1:12" x14ac:dyDescent="0.3">
      <c r="A813">
        <f>IF(J813="0",0,IF(COUNTIF($J$2:J813,J813)=1,1,0))</f>
        <v>0</v>
      </c>
      <c r="B813" s="12" t="e">
        <f>MID(MAIN!A818,K813,2)</f>
        <v>#VALUE!</v>
      </c>
      <c r="C813" s="12" t="e">
        <f t="shared" si="48"/>
        <v>#VALUE!</v>
      </c>
      <c r="D813" s="12" t="e">
        <f>MID(MAIN!A818,K813+2,2)</f>
        <v>#VALUE!</v>
      </c>
      <c r="E813" s="12" t="e">
        <f>MID(MAIN!A818,K813+4,2)</f>
        <v>#VALUE!</v>
      </c>
      <c r="F813" s="2" t="e">
        <f t="shared" si="49"/>
        <v>#VALUE!</v>
      </c>
      <c r="G813" s="13" t="e">
        <f t="shared" si="50"/>
        <v>#VALUE!</v>
      </c>
      <c r="J813" t="str">
        <f>MAIN!A818&amp;"B"</f>
        <v>B</v>
      </c>
      <c r="K813" s="12" t="e">
        <f t="shared" si="51"/>
        <v>#VALUE!</v>
      </c>
      <c r="L813" t="str">
        <f>MAIN!C818</f>
        <v/>
      </c>
    </row>
    <row r="814" spans="1:12" x14ac:dyDescent="0.3">
      <c r="A814">
        <f>IF(J814="0",0,IF(COUNTIF($J$2:J814,J814)=1,1,0))</f>
        <v>0</v>
      </c>
      <c r="B814" s="12" t="e">
        <f>MID(MAIN!A819,K814,2)</f>
        <v>#VALUE!</v>
      </c>
      <c r="C814" s="12" t="e">
        <f t="shared" si="48"/>
        <v>#VALUE!</v>
      </c>
      <c r="D814" s="12" t="e">
        <f>MID(MAIN!A819,K814+2,2)</f>
        <v>#VALUE!</v>
      </c>
      <c r="E814" s="12" t="e">
        <f>MID(MAIN!A819,K814+4,2)</f>
        <v>#VALUE!</v>
      </c>
      <c r="F814" s="2" t="e">
        <f t="shared" si="49"/>
        <v>#VALUE!</v>
      </c>
      <c r="G814" s="13" t="e">
        <f t="shared" si="50"/>
        <v>#VALUE!</v>
      </c>
      <c r="J814" t="str">
        <f>MAIN!A819&amp;"B"</f>
        <v>B</v>
      </c>
      <c r="K814" s="12" t="e">
        <f t="shared" si="51"/>
        <v>#VALUE!</v>
      </c>
      <c r="L814" t="str">
        <f>MAIN!C819</f>
        <v/>
      </c>
    </row>
    <row r="815" spans="1:12" x14ac:dyDescent="0.3">
      <c r="A815">
        <f>IF(J815="0",0,IF(COUNTIF($J$2:J815,J815)=1,1,0))</f>
        <v>0</v>
      </c>
      <c r="B815" s="12" t="e">
        <f>MID(MAIN!A820,K815,2)</f>
        <v>#VALUE!</v>
      </c>
      <c r="C815" s="12" t="e">
        <f t="shared" si="48"/>
        <v>#VALUE!</v>
      </c>
      <c r="D815" s="12" t="e">
        <f>MID(MAIN!A820,K815+2,2)</f>
        <v>#VALUE!</v>
      </c>
      <c r="E815" s="12" t="e">
        <f>MID(MAIN!A820,K815+4,2)</f>
        <v>#VALUE!</v>
      </c>
      <c r="F815" s="2" t="e">
        <f t="shared" si="49"/>
        <v>#VALUE!</v>
      </c>
      <c r="G815" s="13" t="e">
        <f t="shared" si="50"/>
        <v>#VALUE!</v>
      </c>
      <c r="J815" t="str">
        <f>MAIN!A820&amp;"B"</f>
        <v>B</v>
      </c>
      <c r="K815" s="12" t="e">
        <f t="shared" si="51"/>
        <v>#VALUE!</v>
      </c>
      <c r="L815" t="str">
        <f>MAIN!C820</f>
        <v/>
      </c>
    </row>
    <row r="816" spans="1:12" x14ac:dyDescent="0.3">
      <c r="A816">
        <f>IF(J816="0",0,IF(COUNTIF($J$2:J816,J816)=1,1,0))</f>
        <v>0</v>
      </c>
      <c r="B816" s="12" t="e">
        <f>MID(MAIN!A821,K816,2)</f>
        <v>#VALUE!</v>
      </c>
      <c r="C816" s="12" t="e">
        <f t="shared" si="48"/>
        <v>#VALUE!</v>
      </c>
      <c r="D816" s="12" t="e">
        <f>MID(MAIN!A821,K816+2,2)</f>
        <v>#VALUE!</v>
      </c>
      <c r="E816" s="12" t="e">
        <f>MID(MAIN!A821,K816+4,2)</f>
        <v>#VALUE!</v>
      </c>
      <c r="F816" s="2" t="e">
        <f t="shared" si="49"/>
        <v>#VALUE!</v>
      </c>
      <c r="G816" s="13" t="e">
        <f t="shared" si="50"/>
        <v>#VALUE!</v>
      </c>
      <c r="J816" t="str">
        <f>MAIN!A821&amp;"B"</f>
        <v>B</v>
      </c>
      <c r="K816" s="12" t="e">
        <f t="shared" si="51"/>
        <v>#VALUE!</v>
      </c>
      <c r="L816" t="str">
        <f>MAIN!C821</f>
        <v/>
      </c>
    </row>
    <row r="817" spans="1:12" x14ac:dyDescent="0.3">
      <c r="A817">
        <f>IF(J817="0",0,IF(COUNTIF($J$2:J817,J817)=1,1,0))</f>
        <v>0</v>
      </c>
      <c r="B817" s="12" t="e">
        <f>MID(MAIN!A822,K817,2)</f>
        <v>#VALUE!</v>
      </c>
      <c r="C817" s="12" t="e">
        <f t="shared" si="48"/>
        <v>#VALUE!</v>
      </c>
      <c r="D817" s="12" t="e">
        <f>MID(MAIN!A822,K817+2,2)</f>
        <v>#VALUE!</v>
      </c>
      <c r="E817" s="12" t="e">
        <f>MID(MAIN!A822,K817+4,2)</f>
        <v>#VALUE!</v>
      </c>
      <c r="F817" s="2" t="e">
        <f t="shared" si="49"/>
        <v>#VALUE!</v>
      </c>
      <c r="G817" s="13" t="e">
        <f t="shared" si="50"/>
        <v>#VALUE!</v>
      </c>
      <c r="J817" t="str">
        <f>MAIN!A822&amp;"B"</f>
        <v>B</v>
      </c>
      <c r="K817" s="12" t="e">
        <f t="shared" si="51"/>
        <v>#VALUE!</v>
      </c>
      <c r="L817" t="str">
        <f>MAIN!C822</f>
        <v/>
      </c>
    </row>
    <row r="818" spans="1:12" x14ac:dyDescent="0.3">
      <c r="A818">
        <f>IF(J818="0",0,IF(COUNTIF($J$2:J818,J818)=1,1,0))</f>
        <v>0</v>
      </c>
      <c r="B818" s="12" t="e">
        <f>MID(MAIN!A823,K818,2)</f>
        <v>#VALUE!</v>
      </c>
      <c r="C818" s="12" t="e">
        <f t="shared" si="48"/>
        <v>#VALUE!</v>
      </c>
      <c r="D818" s="12" t="e">
        <f>MID(MAIN!A823,K818+2,2)</f>
        <v>#VALUE!</v>
      </c>
      <c r="E818" s="12" t="e">
        <f>MID(MAIN!A823,K818+4,2)</f>
        <v>#VALUE!</v>
      </c>
      <c r="F818" s="2" t="e">
        <f t="shared" si="49"/>
        <v>#VALUE!</v>
      </c>
      <c r="G818" s="13" t="e">
        <f t="shared" si="50"/>
        <v>#VALUE!</v>
      </c>
      <c r="J818" t="str">
        <f>MAIN!A823&amp;"B"</f>
        <v>B</v>
      </c>
      <c r="K818" s="12" t="e">
        <f t="shared" si="51"/>
        <v>#VALUE!</v>
      </c>
      <c r="L818" t="str">
        <f>MAIN!C823</f>
        <v/>
      </c>
    </row>
    <row r="819" spans="1:12" x14ac:dyDescent="0.3">
      <c r="A819">
        <f>IF(J819="0",0,IF(COUNTIF($J$2:J819,J819)=1,1,0))</f>
        <v>0</v>
      </c>
      <c r="B819" s="12" t="e">
        <f>MID(MAIN!A824,K819,2)</f>
        <v>#VALUE!</v>
      </c>
      <c r="C819" s="12" t="e">
        <f t="shared" si="48"/>
        <v>#VALUE!</v>
      </c>
      <c r="D819" s="12" t="e">
        <f>MID(MAIN!A824,K819+2,2)</f>
        <v>#VALUE!</v>
      </c>
      <c r="E819" s="12" t="e">
        <f>MID(MAIN!A824,K819+4,2)</f>
        <v>#VALUE!</v>
      </c>
      <c r="F819" s="2" t="e">
        <f t="shared" si="49"/>
        <v>#VALUE!</v>
      </c>
      <c r="G819" s="13" t="e">
        <f t="shared" si="50"/>
        <v>#VALUE!</v>
      </c>
      <c r="J819" t="str">
        <f>MAIN!A824&amp;"B"</f>
        <v>B</v>
      </c>
      <c r="K819" s="12" t="e">
        <f t="shared" si="51"/>
        <v>#VALUE!</v>
      </c>
      <c r="L819" t="str">
        <f>MAIN!C824</f>
        <v/>
      </c>
    </row>
    <row r="820" spans="1:12" x14ac:dyDescent="0.3">
      <c r="A820">
        <f>IF(J820="0",0,IF(COUNTIF($J$2:J820,J820)=1,1,0))</f>
        <v>0</v>
      </c>
      <c r="B820" s="12" t="e">
        <f>MID(MAIN!A825,K820,2)</f>
        <v>#VALUE!</v>
      </c>
      <c r="C820" s="12" t="e">
        <f t="shared" si="48"/>
        <v>#VALUE!</v>
      </c>
      <c r="D820" s="12" t="e">
        <f>MID(MAIN!A825,K820+2,2)</f>
        <v>#VALUE!</v>
      </c>
      <c r="E820" s="12" t="e">
        <f>MID(MAIN!A825,K820+4,2)</f>
        <v>#VALUE!</v>
      </c>
      <c r="F820" s="2" t="e">
        <f t="shared" si="49"/>
        <v>#VALUE!</v>
      </c>
      <c r="G820" s="13" t="e">
        <f t="shared" si="50"/>
        <v>#VALUE!</v>
      </c>
      <c r="J820" t="str">
        <f>MAIN!A825&amp;"B"</f>
        <v>B</v>
      </c>
      <c r="K820" s="12" t="e">
        <f t="shared" si="51"/>
        <v>#VALUE!</v>
      </c>
      <c r="L820" t="str">
        <f>MAIN!C825</f>
        <v/>
      </c>
    </row>
    <row r="821" spans="1:12" x14ac:dyDescent="0.3">
      <c r="A821">
        <f>IF(J821="0",0,IF(COUNTIF($J$2:J821,J821)=1,1,0))</f>
        <v>0</v>
      </c>
      <c r="B821" s="12" t="e">
        <f>MID(MAIN!A826,K821,2)</f>
        <v>#VALUE!</v>
      </c>
      <c r="C821" s="12" t="e">
        <f t="shared" si="48"/>
        <v>#VALUE!</v>
      </c>
      <c r="D821" s="12" t="e">
        <f>MID(MAIN!A826,K821+2,2)</f>
        <v>#VALUE!</v>
      </c>
      <c r="E821" s="12" t="e">
        <f>MID(MAIN!A826,K821+4,2)</f>
        <v>#VALUE!</v>
      </c>
      <c r="F821" s="2" t="e">
        <f t="shared" si="49"/>
        <v>#VALUE!</v>
      </c>
      <c r="G821" s="13" t="e">
        <f t="shared" si="50"/>
        <v>#VALUE!</v>
      </c>
      <c r="J821" t="str">
        <f>MAIN!A826&amp;"B"</f>
        <v>B</v>
      </c>
      <c r="K821" s="12" t="e">
        <f t="shared" si="51"/>
        <v>#VALUE!</v>
      </c>
      <c r="L821" t="str">
        <f>MAIN!C826</f>
        <v/>
      </c>
    </row>
    <row r="822" spans="1:12" x14ac:dyDescent="0.3">
      <c r="A822">
        <f>IF(J822="0",0,IF(COUNTIF($J$2:J822,J822)=1,1,0))</f>
        <v>0</v>
      </c>
      <c r="B822" s="12" t="e">
        <f>MID(MAIN!A827,K822,2)</f>
        <v>#VALUE!</v>
      </c>
      <c r="C822" s="12" t="e">
        <f t="shared" si="48"/>
        <v>#VALUE!</v>
      </c>
      <c r="D822" s="12" t="e">
        <f>MID(MAIN!A827,K822+2,2)</f>
        <v>#VALUE!</v>
      </c>
      <c r="E822" s="12" t="e">
        <f>MID(MAIN!A827,K822+4,2)</f>
        <v>#VALUE!</v>
      </c>
      <c r="F822" s="2" t="e">
        <f t="shared" si="49"/>
        <v>#VALUE!</v>
      </c>
      <c r="G822" s="13" t="e">
        <f t="shared" si="50"/>
        <v>#VALUE!</v>
      </c>
      <c r="J822" t="str">
        <f>MAIN!A827&amp;"B"</f>
        <v>B</v>
      </c>
      <c r="K822" s="12" t="e">
        <f t="shared" si="51"/>
        <v>#VALUE!</v>
      </c>
      <c r="L822" t="str">
        <f>MAIN!C827</f>
        <v/>
      </c>
    </row>
    <row r="823" spans="1:12" x14ac:dyDescent="0.3">
      <c r="A823">
        <f>IF(J823="0",0,IF(COUNTIF($J$2:J823,J823)=1,1,0))</f>
        <v>0</v>
      </c>
      <c r="B823" s="12" t="e">
        <f>MID(MAIN!A828,K823,2)</f>
        <v>#VALUE!</v>
      </c>
      <c r="C823" s="12" t="e">
        <f t="shared" si="48"/>
        <v>#VALUE!</v>
      </c>
      <c r="D823" s="12" t="e">
        <f>MID(MAIN!A828,K823+2,2)</f>
        <v>#VALUE!</v>
      </c>
      <c r="E823" s="12" t="e">
        <f>MID(MAIN!A828,K823+4,2)</f>
        <v>#VALUE!</v>
      </c>
      <c r="F823" s="2" t="e">
        <f t="shared" si="49"/>
        <v>#VALUE!</v>
      </c>
      <c r="G823" s="13" t="e">
        <f t="shared" si="50"/>
        <v>#VALUE!</v>
      </c>
      <c r="J823" t="str">
        <f>MAIN!A828&amp;"B"</f>
        <v>B</v>
      </c>
      <c r="K823" s="12" t="e">
        <f t="shared" si="51"/>
        <v>#VALUE!</v>
      </c>
      <c r="L823" t="str">
        <f>MAIN!C828</f>
        <v/>
      </c>
    </row>
    <row r="824" spans="1:12" x14ac:dyDescent="0.3">
      <c r="A824">
        <f>IF(J824="0",0,IF(COUNTIF($J$2:J824,J824)=1,1,0))</f>
        <v>0</v>
      </c>
      <c r="B824" s="12" t="e">
        <f>MID(MAIN!A829,K824,2)</f>
        <v>#VALUE!</v>
      </c>
      <c r="C824" s="12" t="e">
        <f t="shared" si="48"/>
        <v>#VALUE!</v>
      </c>
      <c r="D824" s="12" t="e">
        <f>MID(MAIN!A829,K824+2,2)</f>
        <v>#VALUE!</v>
      </c>
      <c r="E824" s="12" t="e">
        <f>MID(MAIN!A829,K824+4,2)</f>
        <v>#VALUE!</v>
      </c>
      <c r="F824" s="2" t="e">
        <f t="shared" si="49"/>
        <v>#VALUE!</v>
      </c>
      <c r="G824" s="13" t="e">
        <f t="shared" si="50"/>
        <v>#VALUE!</v>
      </c>
      <c r="J824" t="str">
        <f>MAIN!A829&amp;"B"</f>
        <v>B</v>
      </c>
      <c r="K824" s="12" t="e">
        <f t="shared" si="51"/>
        <v>#VALUE!</v>
      </c>
      <c r="L824" t="str">
        <f>MAIN!C829</f>
        <v/>
      </c>
    </row>
    <row r="825" spans="1:12" x14ac:dyDescent="0.3">
      <c r="A825">
        <f>IF(J825="0",0,IF(COUNTIF($J$2:J825,J825)=1,1,0))</f>
        <v>0</v>
      </c>
      <c r="B825" s="12" t="e">
        <f>MID(MAIN!A830,K825,2)</f>
        <v>#VALUE!</v>
      </c>
      <c r="C825" s="12" t="e">
        <f t="shared" si="48"/>
        <v>#VALUE!</v>
      </c>
      <c r="D825" s="12" t="e">
        <f>MID(MAIN!A830,K825+2,2)</f>
        <v>#VALUE!</v>
      </c>
      <c r="E825" s="12" t="e">
        <f>MID(MAIN!A830,K825+4,2)</f>
        <v>#VALUE!</v>
      </c>
      <c r="F825" s="2" t="e">
        <f t="shared" si="49"/>
        <v>#VALUE!</v>
      </c>
      <c r="G825" s="13" t="e">
        <f t="shared" si="50"/>
        <v>#VALUE!</v>
      </c>
      <c r="J825" t="str">
        <f>MAIN!A830&amp;"B"</f>
        <v>B</v>
      </c>
      <c r="K825" s="12" t="e">
        <f t="shared" si="51"/>
        <v>#VALUE!</v>
      </c>
      <c r="L825" t="str">
        <f>MAIN!C830</f>
        <v/>
      </c>
    </row>
    <row r="826" spans="1:12" x14ac:dyDescent="0.3">
      <c r="A826">
        <f>IF(J826="0",0,IF(COUNTIF($J$2:J826,J826)=1,1,0))</f>
        <v>0</v>
      </c>
      <c r="B826" s="12" t="e">
        <f>MID(MAIN!A831,K826,2)</f>
        <v>#VALUE!</v>
      </c>
      <c r="C826" s="12" t="e">
        <f t="shared" si="48"/>
        <v>#VALUE!</v>
      </c>
      <c r="D826" s="12" t="e">
        <f>MID(MAIN!A831,K826+2,2)</f>
        <v>#VALUE!</v>
      </c>
      <c r="E826" s="12" t="e">
        <f>MID(MAIN!A831,K826+4,2)</f>
        <v>#VALUE!</v>
      </c>
      <c r="F826" s="2" t="e">
        <f t="shared" si="49"/>
        <v>#VALUE!</v>
      </c>
      <c r="G826" s="13" t="e">
        <f t="shared" si="50"/>
        <v>#VALUE!</v>
      </c>
      <c r="J826" t="str">
        <f>MAIN!A831&amp;"B"</f>
        <v>B</v>
      </c>
      <c r="K826" s="12" t="e">
        <f t="shared" si="51"/>
        <v>#VALUE!</v>
      </c>
      <c r="L826" t="str">
        <f>MAIN!C831</f>
        <v/>
      </c>
    </row>
    <row r="827" spans="1:12" x14ac:dyDescent="0.3">
      <c r="A827">
        <f>IF(J827="0",0,IF(COUNTIF($J$2:J827,J827)=1,1,0))</f>
        <v>0</v>
      </c>
      <c r="B827" s="12" t="e">
        <f>MID(MAIN!A832,K827,2)</f>
        <v>#VALUE!</v>
      </c>
      <c r="C827" s="12" t="e">
        <f t="shared" si="48"/>
        <v>#VALUE!</v>
      </c>
      <c r="D827" s="12" t="e">
        <f>MID(MAIN!A832,K827+2,2)</f>
        <v>#VALUE!</v>
      </c>
      <c r="E827" s="12" t="e">
        <f>MID(MAIN!A832,K827+4,2)</f>
        <v>#VALUE!</v>
      </c>
      <c r="F827" s="2" t="e">
        <f t="shared" si="49"/>
        <v>#VALUE!</v>
      </c>
      <c r="G827" s="13" t="e">
        <f t="shared" si="50"/>
        <v>#VALUE!</v>
      </c>
      <c r="J827" t="str">
        <f>MAIN!A832&amp;"B"</f>
        <v>B</v>
      </c>
      <c r="K827" s="12" t="e">
        <f t="shared" si="51"/>
        <v>#VALUE!</v>
      </c>
      <c r="L827" t="str">
        <f>MAIN!C832</f>
        <v/>
      </c>
    </row>
    <row r="828" spans="1:12" x14ac:dyDescent="0.3">
      <c r="A828">
        <f>IF(J828="0",0,IF(COUNTIF($J$2:J828,J828)=1,1,0))</f>
        <v>0</v>
      </c>
      <c r="B828" s="12" t="e">
        <f>MID(MAIN!A833,K828,2)</f>
        <v>#VALUE!</v>
      </c>
      <c r="C828" s="12" t="e">
        <f t="shared" si="48"/>
        <v>#VALUE!</v>
      </c>
      <c r="D828" s="12" t="e">
        <f>MID(MAIN!A833,K828+2,2)</f>
        <v>#VALUE!</v>
      </c>
      <c r="E828" s="12" t="e">
        <f>MID(MAIN!A833,K828+4,2)</f>
        <v>#VALUE!</v>
      </c>
      <c r="F828" s="2" t="e">
        <f t="shared" si="49"/>
        <v>#VALUE!</v>
      </c>
      <c r="G828" s="13" t="e">
        <f t="shared" si="50"/>
        <v>#VALUE!</v>
      </c>
      <c r="J828" t="str">
        <f>MAIN!A833&amp;"B"</f>
        <v>B</v>
      </c>
      <c r="K828" s="12" t="e">
        <f t="shared" si="51"/>
        <v>#VALUE!</v>
      </c>
      <c r="L828" t="str">
        <f>MAIN!C833</f>
        <v/>
      </c>
    </row>
    <row r="829" spans="1:12" x14ac:dyDescent="0.3">
      <c r="A829">
        <f>IF(J829="0",0,IF(COUNTIF($J$2:J829,J829)=1,1,0))</f>
        <v>0</v>
      </c>
      <c r="B829" s="12" t="e">
        <f>MID(MAIN!A834,K829,2)</f>
        <v>#VALUE!</v>
      </c>
      <c r="C829" s="12" t="e">
        <f t="shared" si="48"/>
        <v>#VALUE!</v>
      </c>
      <c r="D829" s="12" t="e">
        <f>MID(MAIN!A834,K829+2,2)</f>
        <v>#VALUE!</v>
      </c>
      <c r="E829" s="12" t="e">
        <f>MID(MAIN!A834,K829+4,2)</f>
        <v>#VALUE!</v>
      </c>
      <c r="F829" s="2" t="e">
        <f t="shared" si="49"/>
        <v>#VALUE!</v>
      </c>
      <c r="G829" s="13" t="e">
        <f t="shared" si="50"/>
        <v>#VALUE!</v>
      </c>
      <c r="J829" t="str">
        <f>MAIN!A834&amp;"B"</f>
        <v>B</v>
      </c>
      <c r="K829" s="12" t="e">
        <f t="shared" si="51"/>
        <v>#VALUE!</v>
      </c>
      <c r="L829" t="str">
        <f>MAIN!C834</f>
        <v/>
      </c>
    </row>
    <row r="830" spans="1:12" x14ac:dyDescent="0.3">
      <c r="A830">
        <f>IF(J830="0",0,IF(COUNTIF($J$2:J830,J830)=1,1,0))</f>
        <v>0</v>
      </c>
      <c r="B830" s="12" t="e">
        <f>MID(MAIN!A835,K830,2)</f>
        <v>#VALUE!</v>
      </c>
      <c r="C830" s="12" t="e">
        <f t="shared" si="48"/>
        <v>#VALUE!</v>
      </c>
      <c r="D830" s="12" t="e">
        <f>MID(MAIN!A835,K830+2,2)</f>
        <v>#VALUE!</v>
      </c>
      <c r="E830" s="12" t="e">
        <f>MID(MAIN!A835,K830+4,2)</f>
        <v>#VALUE!</v>
      </c>
      <c r="F830" s="2" t="e">
        <f t="shared" si="49"/>
        <v>#VALUE!</v>
      </c>
      <c r="G830" s="13" t="e">
        <f t="shared" si="50"/>
        <v>#VALUE!</v>
      </c>
      <c r="J830" t="str">
        <f>MAIN!A835&amp;"B"</f>
        <v>B</v>
      </c>
      <c r="K830" s="12" t="e">
        <f t="shared" si="51"/>
        <v>#VALUE!</v>
      </c>
      <c r="L830" t="str">
        <f>MAIN!C835</f>
        <v/>
      </c>
    </row>
    <row r="831" spans="1:12" x14ac:dyDescent="0.3">
      <c r="A831">
        <f>IF(J831="0",0,IF(COUNTIF($J$2:J831,J831)=1,1,0))</f>
        <v>0</v>
      </c>
      <c r="B831" s="12" t="e">
        <f>MID(MAIN!A836,K831,2)</f>
        <v>#VALUE!</v>
      </c>
      <c r="C831" s="12" t="e">
        <f t="shared" si="48"/>
        <v>#VALUE!</v>
      </c>
      <c r="D831" s="12" t="e">
        <f>MID(MAIN!A836,K831+2,2)</f>
        <v>#VALUE!</v>
      </c>
      <c r="E831" s="12" t="e">
        <f>MID(MAIN!A836,K831+4,2)</f>
        <v>#VALUE!</v>
      </c>
      <c r="F831" s="2" t="e">
        <f t="shared" si="49"/>
        <v>#VALUE!</v>
      </c>
      <c r="G831" s="13" t="e">
        <f t="shared" si="50"/>
        <v>#VALUE!</v>
      </c>
      <c r="J831" t="str">
        <f>MAIN!A836&amp;"B"</f>
        <v>B</v>
      </c>
      <c r="K831" s="12" t="e">
        <f t="shared" si="51"/>
        <v>#VALUE!</v>
      </c>
      <c r="L831" t="str">
        <f>MAIN!C836</f>
        <v/>
      </c>
    </row>
    <row r="832" spans="1:12" x14ac:dyDescent="0.3">
      <c r="A832">
        <f>IF(J832="0",0,IF(COUNTIF($J$2:J832,J832)=1,1,0))</f>
        <v>0</v>
      </c>
      <c r="B832" s="12" t="e">
        <f>MID(MAIN!A837,K832,2)</f>
        <v>#VALUE!</v>
      </c>
      <c r="C832" s="12" t="e">
        <f t="shared" si="48"/>
        <v>#VALUE!</v>
      </c>
      <c r="D832" s="12" t="e">
        <f>MID(MAIN!A837,K832+2,2)</f>
        <v>#VALUE!</v>
      </c>
      <c r="E832" s="12" t="e">
        <f>MID(MAIN!A837,K832+4,2)</f>
        <v>#VALUE!</v>
      </c>
      <c r="F832" s="2" t="e">
        <f t="shared" si="49"/>
        <v>#VALUE!</v>
      </c>
      <c r="G832" s="13" t="e">
        <f t="shared" si="50"/>
        <v>#VALUE!</v>
      </c>
      <c r="J832" t="str">
        <f>MAIN!A837&amp;"B"</f>
        <v>B</v>
      </c>
      <c r="K832" s="12" t="e">
        <f t="shared" si="51"/>
        <v>#VALUE!</v>
      </c>
      <c r="L832" t="str">
        <f>MAIN!C837</f>
        <v/>
      </c>
    </row>
    <row r="833" spans="1:12" x14ac:dyDescent="0.3">
      <c r="A833">
        <f>IF(J833="0",0,IF(COUNTIF($J$2:J833,J833)=1,1,0))</f>
        <v>0</v>
      </c>
      <c r="B833" s="12" t="e">
        <f>MID(MAIN!A838,K833,2)</f>
        <v>#VALUE!</v>
      </c>
      <c r="C833" s="12" t="e">
        <f t="shared" si="48"/>
        <v>#VALUE!</v>
      </c>
      <c r="D833" s="12" t="e">
        <f>MID(MAIN!A838,K833+2,2)</f>
        <v>#VALUE!</v>
      </c>
      <c r="E833" s="12" t="e">
        <f>MID(MAIN!A838,K833+4,2)</f>
        <v>#VALUE!</v>
      </c>
      <c r="F833" s="2" t="e">
        <f t="shared" si="49"/>
        <v>#VALUE!</v>
      </c>
      <c r="G833" s="13" t="e">
        <f t="shared" si="50"/>
        <v>#VALUE!</v>
      </c>
      <c r="J833" t="str">
        <f>MAIN!A838&amp;"B"</f>
        <v>B</v>
      </c>
      <c r="K833" s="12" t="e">
        <f t="shared" si="51"/>
        <v>#VALUE!</v>
      </c>
      <c r="L833" t="str">
        <f>MAIN!C838</f>
        <v/>
      </c>
    </row>
    <row r="834" spans="1:12" x14ac:dyDescent="0.3">
      <c r="A834">
        <f>IF(J834="0",0,IF(COUNTIF($J$2:J834,J834)=1,1,0))</f>
        <v>0</v>
      </c>
      <c r="B834" s="12" t="e">
        <f>MID(MAIN!A839,K834,2)</f>
        <v>#VALUE!</v>
      </c>
      <c r="C834" s="12" t="e">
        <f t="shared" si="48"/>
        <v>#VALUE!</v>
      </c>
      <c r="D834" s="12" t="e">
        <f>MID(MAIN!A839,K834+2,2)</f>
        <v>#VALUE!</v>
      </c>
      <c r="E834" s="12" t="e">
        <f>MID(MAIN!A839,K834+4,2)</f>
        <v>#VALUE!</v>
      </c>
      <c r="F834" s="2" t="e">
        <f t="shared" si="49"/>
        <v>#VALUE!</v>
      </c>
      <c r="G834" s="13" t="e">
        <f t="shared" si="50"/>
        <v>#VALUE!</v>
      </c>
      <c r="J834" t="str">
        <f>MAIN!A839&amp;"B"</f>
        <v>B</v>
      </c>
      <c r="K834" s="12" t="e">
        <f t="shared" si="51"/>
        <v>#VALUE!</v>
      </c>
      <c r="L834" t="str">
        <f>MAIN!C839</f>
        <v/>
      </c>
    </row>
    <row r="835" spans="1:12" x14ac:dyDescent="0.3">
      <c r="A835">
        <f>IF(J835="0",0,IF(COUNTIF($J$2:J835,J835)=1,1,0))</f>
        <v>0</v>
      </c>
      <c r="B835" s="12" t="e">
        <f>MID(MAIN!A840,K835,2)</f>
        <v>#VALUE!</v>
      </c>
      <c r="C835" s="12" t="e">
        <f t="shared" ref="C835:C898" si="52">"20"&amp;B835</f>
        <v>#VALUE!</v>
      </c>
      <c r="D835" s="12" t="e">
        <f>MID(MAIN!A840,K835+2,2)</f>
        <v>#VALUE!</v>
      </c>
      <c r="E835" s="12" t="e">
        <f>MID(MAIN!A840,K835+4,2)</f>
        <v>#VALUE!</v>
      </c>
      <c r="F835" s="2" t="e">
        <f t="shared" ref="F835:F898" si="53">C835&amp;"/"&amp;D835&amp;"/"&amp;E835</f>
        <v>#VALUE!</v>
      </c>
      <c r="G835" s="13" t="e">
        <f t="shared" ref="G835:G898" si="54">DATEVALUE(F835)</f>
        <v>#VALUE!</v>
      </c>
      <c r="J835" t="str">
        <f>MAIN!A840&amp;"B"</f>
        <v>B</v>
      </c>
      <c r="K835" s="12" t="e">
        <f t="shared" ref="K835:K898" si="55">FIND("172",J835,30)+2</f>
        <v>#VALUE!</v>
      </c>
      <c r="L835" t="str">
        <f>MAIN!C840</f>
        <v/>
      </c>
    </row>
    <row r="836" spans="1:12" x14ac:dyDescent="0.3">
      <c r="A836">
        <f>IF(J836="0",0,IF(COUNTIF($J$2:J836,J836)=1,1,0))</f>
        <v>0</v>
      </c>
      <c r="B836" s="12" t="e">
        <f>MID(MAIN!A841,K836,2)</f>
        <v>#VALUE!</v>
      </c>
      <c r="C836" s="12" t="e">
        <f t="shared" si="52"/>
        <v>#VALUE!</v>
      </c>
      <c r="D836" s="12" t="e">
        <f>MID(MAIN!A841,K836+2,2)</f>
        <v>#VALUE!</v>
      </c>
      <c r="E836" s="12" t="e">
        <f>MID(MAIN!A841,K836+4,2)</f>
        <v>#VALUE!</v>
      </c>
      <c r="F836" s="2" t="e">
        <f t="shared" si="53"/>
        <v>#VALUE!</v>
      </c>
      <c r="G836" s="13" t="e">
        <f t="shared" si="54"/>
        <v>#VALUE!</v>
      </c>
      <c r="J836" t="str">
        <f>MAIN!A841&amp;"B"</f>
        <v>B</v>
      </c>
      <c r="K836" s="12" t="e">
        <f t="shared" si="55"/>
        <v>#VALUE!</v>
      </c>
      <c r="L836" t="str">
        <f>MAIN!C841</f>
        <v/>
      </c>
    </row>
    <row r="837" spans="1:12" x14ac:dyDescent="0.3">
      <c r="A837">
        <f>IF(J837="0",0,IF(COUNTIF($J$2:J837,J837)=1,1,0))</f>
        <v>0</v>
      </c>
      <c r="B837" s="12" t="e">
        <f>MID(MAIN!A842,K837,2)</f>
        <v>#VALUE!</v>
      </c>
      <c r="C837" s="12" t="e">
        <f t="shared" si="52"/>
        <v>#VALUE!</v>
      </c>
      <c r="D837" s="12" t="e">
        <f>MID(MAIN!A842,K837+2,2)</f>
        <v>#VALUE!</v>
      </c>
      <c r="E837" s="12" t="e">
        <f>MID(MAIN!A842,K837+4,2)</f>
        <v>#VALUE!</v>
      </c>
      <c r="F837" s="2" t="e">
        <f t="shared" si="53"/>
        <v>#VALUE!</v>
      </c>
      <c r="G837" s="13" t="e">
        <f t="shared" si="54"/>
        <v>#VALUE!</v>
      </c>
      <c r="J837" t="str">
        <f>MAIN!A842&amp;"B"</f>
        <v>B</v>
      </c>
      <c r="K837" s="12" t="e">
        <f t="shared" si="55"/>
        <v>#VALUE!</v>
      </c>
      <c r="L837" t="str">
        <f>MAIN!C842</f>
        <v/>
      </c>
    </row>
    <row r="838" spans="1:12" x14ac:dyDescent="0.3">
      <c r="A838">
        <f>IF(J838="0",0,IF(COUNTIF($J$2:J838,J838)=1,1,0))</f>
        <v>0</v>
      </c>
      <c r="B838" s="12" t="e">
        <f>MID(MAIN!A843,K838,2)</f>
        <v>#VALUE!</v>
      </c>
      <c r="C838" s="12" t="e">
        <f t="shared" si="52"/>
        <v>#VALUE!</v>
      </c>
      <c r="D838" s="12" t="e">
        <f>MID(MAIN!A843,K838+2,2)</f>
        <v>#VALUE!</v>
      </c>
      <c r="E838" s="12" t="e">
        <f>MID(MAIN!A843,K838+4,2)</f>
        <v>#VALUE!</v>
      </c>
      <c r="F838" s="2" t="e">
        <f t="shared" si="53"/>
        <v>#VALUE!</v>
      </c>
      <c r="G838" s="13" t="e">
        <f t="shared" si="54"/>
        <v>#VALUE!</v>
      </c>
      <c r="J838" t="str">
        <f>MAIN!A843&amp;"B"</f>
        <v>B</v>
      </c>
      <c r="K838" s="12" t="e">
        <f t="shared" si="55"/>
        <v>#VALUE!</v>
      </c>
      <c r="L838" t="str">
        <f>MAIN!C843</f>
        <v/>
      </c>
    </row>
    <row r="839" spans="1:12" x14ac:dyDescent="0.3">
      <c r="A839">
        <f>IF(J839="0",0,IF(COUNTIF($J$2:J839,J839)=1,1,0))</f>
        <v>0</v>
      </c>
      <c r="B839" s="12" t="e">
        <f>MID(MAIN!A844,K839,2)</f>
        <v>#VALUE!</v>
      </c>
      <c r="C839" s="12" t="e">
        <f t="shared" si="52"/>
        <v>#VALUE!</v>
      </c>
      <c r="D839" s="12" t="e">
        <f>MID(MAIN!A844,K839+2,2)</f>
        <v>#VALUE!</v>
      </c>
      <c r="E839" s="12" t="e">
        <f>MID(MAIN!A844,K839+4,2)</f>
        <v>#VALUE!</v>
      </c>
      <c r="F839" s="2" t="e">
        <f t="shared" si="53"/>
        <v>#VALUE!</v>
      </c>
      <c r="G839" s="13" t="e">
        <f t="shared" si="54"/>
        <v>#VALUE!</v>
      </c>
      <c r="J839" t="str">
        <f>MAIN!A844&amp;"B"</f>
        <v>B</v>
      </c>
      <c r="K839" s="12" t="e">
        <f t="shared" si="55"/>
        <v>#VALUE!</v>
      </c>
      <c r="L839" t="str">
        <f>MAIN!C844</f>
        <v/>
      </c>
    </row>
    <row r="840" spans="1:12" x14ac:dyDescent="0.3">
      <c r="A840">
        <f>IF(J840="0",0,IF(COUNTIF($J$2:J840,J840)=1,1,0))</f>
        <v>0</v>
      </c>
      <c r="B840" s="12" t="e">
        <f>MID(MAIN!A845,K840,2)</f>
        <v>#VALUE!</v>
      </c>
      <c r="C840" s="12" t="e">
        <f t="shared" si="52"/>
        <v>#VALUE!</v>
      </c>
      <c r="D840" s="12" t="e">
        <f>MID(MAIN!A845,K840+2,2)</f>
        <v>#VALUE!</v>
      </c>
      <c r="E840" s="12" t="e">
        <f>MID(MAIN!A845,K840+4,2)</f>
        <v>#VALUE!</v>
      </c>
      <c r="F840" s="2" t="e">
        <f t="shared" si="53"/>
        <v>#VALUE!</v>
      </c>
      <c r="G840" s="13" t="e">
        <f t="shared" si="54"/>
        <v>#VALUE!</v>
      </c>
      <c r="J840" t="str">
        <f>MAIN!A845&amp;"B"</f>
        <v>B</v>
      </c>
      <c r="K840" s="12" t="e">
        <f t="shared" si="55"/>
        <v>#VALUE!</v>
      </c>
      <c r="L840" t="str">
        <f>MAIN!C845</f>
        <v/>
      </c>
    </row>
    <row r="841" spans="1:12" x14ac:dyDescent="0.3">
      <c r="A841">
        <f>IF(J841="0",0,IF(COUNTIF($J$2:J841,J841)=1,1,0))</f>
        <v>0</v>
      </c>
      <c r="B841" s="12" t="e">
        <f>MID(MAIN!A846,K841,2)</f>
        <v>#VALUE!</v>
      </c>
      <c r="C841" s="12" t="e">
        <f t="shared" si="52"/>
        <v>#VALUE!</v>
      </c>
      <c r="D841" s="12" t="e">
        <f>MID(MAIN!A846,K841+2,2)</f>
        <v>#VALUE!</v>
      </c>
      <c r="E841" s="12" t="e">
        <f>MID(MAIN!A846,K841+4,2)</f>
        <v>#VALUE!</v>
      </c>
      <c r="F841" s="2" t="e">
        <f t="shared" si="53"/>
        <v>#VALUE!</v>
      </c>
      <c r="G841" s="13" t="e">
        <f t="shared" si="54"/>
        <v>#VALUE!</v>
      </c>
      <c r="J841" t="str">
        <f>MAIN!A846&amp;"B"</f>
        <v>B</v>
      </c>
      <c r="K841" s="12" t="e">
        <f t="shared" si="55"/>
        <v>#VALUE!</v>
      </c>
      <c r="L841" t="str">
        <f>MAIN!C846</f>
        <v/>
      </c>
    </row>
    <row r="842" spans="1:12" x14ac:dyDescent="0.3">
      <c r="A842">
        <f>IF(J842="0",0,IF(COUNTIF($J$2:J842,J842)=1,1,0))</f>
        <v>0</v>
      </c>
      <c r="B842" s="12" t="e">
        <f>MID(MAIN!A847,K842,2)</f>
        <v>#VALUE!</v>
      </c>
      <c r="C842" s="12" t="e">
        <f t="shared" si="52"/>
        <v>#VALUE!</v>
      </c>
      <c r="D842" s="12" t="e">
        <f>MID(MAIN!A847,K842+2,2)</f>
        <v>#VALUE!</v>
      </c>
      <c r="E842" s="12" t="e">
        <f>MID(MAIN!A847,K842+4,2)</f>
        <v>#VALUE!</v>
      </c>
      <c r="F842" s="2" t="e">
        <f t="shared" si="53"/>
        <v>#VALUE!</v>
      </c>
      <c r="G842" s="13" t="e">
        <f t="shared" si="54"/>
        <v>#VALUE!</v>
      </c>
      <c r="J842" t="str">
        <f>MAIN!A847&amp;"B"</f>
        <v>B</v>
      </c>
      <c r="K842" s="12" t="e">
        <f t="shared" si="55"/>
        <v>#VALUE!</v>
      </c>
      <c r="L842" t="str">
        <f>MAIN!C847</f>
        <v/>
      </c>
    </row>
    <row r="843" spans="1:12" x14ac:dyDescent="0.3">
      <c r="A843">
        <f>IF(J843="0",0,IF(COUNTIF($J$2:J843,J843)=1,1,0))</f>
        <v>0</v>
      </c>
      <c r="B843" s="12" t="e">
        <f>MID(MAIN!A848,K843,2)</f>
        <v>#VALUE!</v>
      </c>
      <c r="C843" s="12" t="e">
        <f t="shared" si="52"/>
        <v>#VALUE!</v>
      </c>
      <c r="D843" s="12" t="e">
        <f>MID(MAIN!A848,K843+2,2)</f>
        <v>#VALUE!</v>
      </c>
      <c r="E843" s="12" t="e">
        <f>MID(MAIN!A848,K843+4,2)</f>
        <v>#VALUE!</v>
      </c>
      <c r="F843" s="2" t="e">
        <f t="shared" si="53"/>
        <v>#VALUE!</v>
      </c>
      <c r="G843" s="13" t="e">
        <f t="shared" si="54"/>
        <v>#VALUE!</v>
      </c>
      <c r="J843" t="str">
        <f>MAIN!A848&amp;"B"</f>
        <v>B</v>
      </c>
      <c r="K843" s="12" t="e">
        <f t="shared" si="55"/>
        <v>#VALUE!</v>
      </c>
      <c r="L843" t="str">
        <f>MAIN!C848</f>
        <v/>
      </c>
    </row>
    <row r="844" spans="1:12" x14ac:dyDescent="0.3">
      <c r="A844">
        <f>IF(J844="0",0,IF(COUNTIF($J$2:J844,J844)=1,1,0))</f>
        <v>0</v>
      </c>
      <c r="B844" s="12" t="e">
        <f>MID(MAIN!A849,K844,2)</f>
        <v>#VALUE!</v>
      </c>
      <c r="C844" s="12" t="e">
        <f t="shared" si="52"/>
        <v>#VALUE!</v>
      </c>
      <c r="D844" s="12" t="e">
        <f>MID(MAIN!A849,K844+2,2)</f>
        <v>#VALUE!</v>
      </c>
      <c r="E844" s="12" t="e">
        <f>MID(MAIN!A849,K844+4,2)</f>
        <v>#VALUE!</v>
      </c>
      <c r="F844" s="2" t="e">
        <f t="shared" si="53"/>
        <v>#VALUE!</v>
      </c>
      <c r="G844" s="13" t="e">
        <f t="shared" si="54"/>
        <v>#VALUE!</v>
      </c>
      <c r="J844" t="str">
        <f>MAIN!A849&amp;"B"</f>
        <v>B</v>
      </c>
      <c r="K844" s="12" t="e">
        <f t="shared" si="55"/>
        <v>#VALUE!</v>
      </c>
      <c r="L844" t="str">
        <f>MAIN!C849</f>
        <v/>
      </c>
    </row>
    <row r="845" spans="1:12" x14ac:dyDescent="0.3">
      <c r="A845">
        <f>IF(J845="0",0,IF(COUNTIF($J$2:J845,J845)=1,1,0))</f>
        <v>0</v>
      </c>
      <c r="B845" s="12" t="e">
        <f>MID(MAIN!A850,K845,2)</f>
        <v>#VALUE!</v>
      </c>
      <c r="C845" s="12" t="e">
        <f t="shared" si="52"/>
        <v>#VALUE!</v>
      </c>
      <c r="D845" s="12" t="e">
        <f>MID(MAIN!A850,K845+2,2)</f>
        <v>#VALUE!</v>
      </c>
      <c r="E845" s="12" t="e">
        <f>MID(MAIN!A850,K845+4,2)</f>
        <v>#VALUE!</v>
      </c>
      <c r="F845" s="2" t="e">
        <f t="shared" si="53"/>
        <v>#VALUE!</v>
      </c>
      <c r="G845" s="13" t="e">
        <f t="shared" si="54"/>
        <v>#VALUE!</v>
      </c>
      <c r="J845" t="str">
        <f>MAIN!A850&amp;"B"</f>
        <v>B</v>
      </c>
      <c r="K845" s="12" t="e">
        <f t="shared" si="55"/>
        <v>#VALUE!</v>
      </c>
      <c r="L845" t="str">
        <f>MAIN!C850</f>
        <v/>
      </c>
    </row>
    <row r="846" spans="1:12" x14ac:dyDescent="0.3">
      <c r="A846">
        <f>IF(J846="0",0,IF(COUNTIF($J$2:J846,J846)=1,1,0))</f>
        <v>0</v>
      </c>
      <c r="B846" s="12" t="e">
        <f>MID(MAIN!A851,K846,2)</f>
        <v>#VALUE!</v>
      </c>
      <c r="C846" s="12" t="e">
        <f t="shared" si="52"/>
        <v>#VALUE!</v>
      </c>
      <c r="D846" s="12" t="e">
        <f>MID(MAIN!A851,K846+2,2)</f>
        <v>#VALUE!</v>
      </c>
      <c r="E846" s="12" t="e">
        <f>MID(MAIN!A851,K846+4,2)</f>
        <v>#VALUE!</v>
      </c>
      <c r="F846" s="2" t="e">
        <f t="shared" si="53"/>
        <v>#VALUE!</v>
      </c>
      <c r="G846" s="13" t="e">
        <f t="shared" si="54"/>
        <v>#VALUE!</v>
      </c>
      <c r="J846" t="str">
        <f>MAIN!A851&amp;"B"</f>
        <v>B</v>
      </c>
      <c r="K846" s="12" t="e">
        <f t="shared" si="55"/>
        <v>#VALUE!</v>
      </c>
      <c r="L846" t="str">
        <f>MAIN!C851</f>
        <v/>
      </c>
    </row>
    <row r="847" spans="1:12" x14ac:dyDescent="0.3">
      <c r="A847">
        <f>IF(J847="0",0,IF(COUNTIF($J$2:J847,J847)=1,1,0))</f>
        <v>0</v>
      </c>
      <c r="B847" s="12" t="e">
        <f>MID(MAIN!A852,K847,2)</f>
        <v>#VALUE!</v>
      </c>
      <c r="C847" s="12" t="e">
        <f t="shared" si="52"/>
        <v>#VALUE!</v>
      </c>
      <c r="D847" s="12" t="e">
        <f>MID(MAIN!A852,K847+2,2)</f>
        <v>#VALUE!</v>
      </c>
      <c r="E847" s="12" t="e">
        <f>MID(MAIN!A852,K847+4,2)</f>
        <v>#VALUE!</v>
      </c>
      <c r="F847" s="2" t="e">
        <f t="shared" si="53"/>
        <v>#VALUE!</v>
      </c>
      <c r="G847" s="13" t="e">
        <f t="shared" si="54"/>
        <v>#VALUE!</v>
      </c>
      <c r="J847" t="str">
        <f>MAIN!A852&amp;"B"</f>
        <v>B</v>
      </c>
      <c r="K847" s="12" t="e">
        <f t="shared" si="55"/>
        <v>#VALUE!</v>
      </c>
      <c r="L847" t="str">
        <f>MAIN!C852</f>
        <v/>
      </c>
    </row>
    <row r="848" spans="1:12" x14ac:dyDescent="0.3">
      <c r="A848">
        <f>IF(J848="0",0,IF(COUNTIF($J$2:J848,J848)=1,1,0))</f>
        <v>0</v>
      </c>
      <c r="B848" s="12" t="e">
        <f>MID(MAIN!A853,K848,2)</f>
        <v>#VALUE!</v>
      </c>
      <c r="C848" s="12" t="e">
        <f t="shared" si="52"/>
        <v>#VALUE!</v>
      </c>
      <c r="D848" s="12" t="e">
        <f>MID(MAIN!A853,K848+2,2)</f>
        <v>#VALUE!</v>
      </c>
      <c r="E848" s="12" t="e">
        <f>MID(MAIN!A853,K848+4,2)</f>
        <v>#VALUE!</v>
      </c>
      <c r="F848" s="2" t="e">
        <f t="shared" si="53"/>
        <v>#VALUE!</v>
      </c>
      <c r="G848" s="13" t="e">
        <f t="shared" si="54"/>
        <v>#VALUE!</v>
      </c>
      <c r="J848" t="str">
        <f>MAIN!A853&amp;"B"</f>
        <v>B</v>
      </c>
      <c r="K848" s="12" t="e">
        <f t="shared" si="55"/>
        <v>#VALUE!</v>
      </c>
      <c r="L848" t="str">
        <f>MAIN!C853</f>
        <v/>
      </c>
    </row>
    <row r="849" spans="1:12" x14ac:dyDescent="0.3">
      <c r="A849">
        <f>IF(J849="0",0,IF(COUNTIF($J$2:J849,J849)=1,1,0))</f>
        <v>0</v>
      </c>
      <c r="B849" s="12" t="e">
        <f>MID(MAIN!A854,K849,2)</f>
        <v>#VALUE!</v>
      </c>
      <c r="C849" s="12" t="e">
        <f t="shared" si="52"/>
        <v>#VALUE!</v>
      </c>
      <c r="D849" s="12" t="e">
        <f>MID(MAIN!A854,K849+2,2)</f>
        <v>#VALUE!</v>
      </c>
      <c r="E849" s="12" t="e">
        <f>MID(MAIN!A854,K849+4,2)</f>
        <v>#VALUE!</v>
      </c>
      <c r="F849" s="2" t="e">
        <f t="shared" si="53"/>
        <v>#VALUE!</v>
      </c>
      <c r="G849" s="13" t="e">
        <f t="shared" si="54"/>
        <v>#VALUE!</v>
      </c>
      <c r="J849" t="str">
        <f>MAIN!A854&amp;"B"</f>
        <v>B</v>
      </c>
      <c r="K849" s="12" t="e">
        <f t="shared" si="55"/>
        <v>#VALUE!</v>
      </c>
      <c r="L849" t="str">
        <f>MAIN!C854</f>
        <v/>
      </c>
    </row>
    <row r="850" spans="1:12" x14ac:dyDescent="0.3">
      <c r="A850">
        <f>IF(J850="0",0,IF(COUNTIF($J$2:J850,J850)=1,1,0))</f>
        <v>0</v>
      </c>
      <c r="B850" s="12" t="e">
        <f>MID(MAIN!A855,K850,2)</f>
        <v>#VALUE!</v>
      </c>
      <c r="C850" s="12" t="e">
        <f t="shared" si="52"/>
        <v>#VALUE!</v>
      </c>
      <c r="D850" s="12" t="e">
        <f>MID(MAIN!A855,K850+2,2)</f>
        <v>#VALUE!</v>
      </c>
      <c r="E850" s="12" t="e">
        <f>MID(MAIN!A855,K850+4,2)</f>
        <v>#VALUE!</v>
      </c>
      <c r="F850" s="2" t="e">
        <f t="shared" si="53"/>
        <v>#VALUE!</v>
      </c>
      <c r="G850" s="13" t="e">
        <f t="shared" si="54"/>
        <v>#VALUE!</v>
      </c>
      <c r="J850" t="str">
        <f>MAIN!A855&amp;"B"</f>
        <v>B</v>
      </c>
      <c r="K850" s="12" t="e">
        <f t="shared" si="55"/>
        <v>#VALUE!</v>
      </c>
      <c r="L850" t="str">
        <f>MAIN!C855</f>
        <v/>
      </c>
    </row>
    <row r="851" spans="1:12" x14ac:dyDescent="0.3">
      <c r="A851">
        <f>IF(J851="0",0,IF(COUNTIF($J$2:J851,J851)=1,1,0))</f>
        <v>0</v>
      </c>
      <c r="B851" s="12" t="e">
        <f>MID(MAIN!A856,K851,2)</f>
        <v>#VALUE!</v>
      </c>
      <c r="C851" s="12" t="e">
        <f t="shared" si="52"/>
        <v>#VALUE!</v>
      </c>
      <c r="D851" s="12" t="e">
        <f>MID(MAIN!A856,K851+2,2)</f>
        <v>#VALUE!</v>
      </c>
      <c r="E851" s="12" t="e">
        <f>MID(MAIN!A856,K851+4,2)</f>
        <v>#VALUE!</v>
      </c>
      <c r="F851" s="2" t="e">
        <f t="shared" si="53"/>
        <v>#VALUE!</v>
      </c>
      <c r="G851" s="13" t="e">
        <f t="shared" si="54"/>
        <v>#VALUE!</v>
      </c>
      <c r="J851" t="str">
        <f>MAIN!A856&amp;"B"</f>
        <v>B</v>
      </c>
      <c r="K851" s="12" t="e">
        <f t="shared" si="55"/>
        <v>#VALUE!</v>
      </c>
      <c r="L851" t="str">
        <f>MAIN!C856</f>
        <v/>
      </c>
    </row>
    <row r="852" spans="1:12" x14ac:dyDescent="0.3">
      <c r="A852">
        <f>IF(J852="0",0,IF(COUNTIF($J$2:J852,J852)=1,1,0))</f>
        <v>0</v>
      </c>
      <c r="B852" s="12" t="e">
        <f>MID(MAIN!A857,K852,2)</f>
        <v>#VALUE!</v>
      </c>
      <c r="C852" s="12" t="e">
        <f t="shared" si="52"/>
        <v>#VALUE!</v>
      </c>
      <c r="D852" s="12" t="e">
        <f>MID(MAIN!A857,K852+2,2)</f>
        <v>#VALUE!</v>
      </c>
      <c r="E852" s="12" t="e">
        <f>MID(MAIN!A857,K852+4,2)</f>
        <v>#VALUE!</v>
      </c>
      <c r="F852" s="2" t="e">
        <f t="shared" si="53"/>
        <v>#VALUE!</v>
      </c>
      <c r="G852" s="13" t="e">
        <f t="shared" si="54"/>
        <v>#VALUE!</v>
      </c>
      <c r="J852" t="str">
        <f>MAIN!A857&amp;"B"</f>
        <v>B</v>
      </c>
      <c r="K852" s="12" t="e">
        <f t="shared" si="55"/>
        <v>#VALUE!</v>
      </c>
      <c r="L852" t="str">
        <f>MAIN!C857</f>
        <v/>
      </c>
    </row>
    <row r="853" spans="1:12" x14ac:dyDescent="0.3">
      <c r="A853">
        <f>IF(J853="0",0,IF(COUNTIF($J$2:J853,J853)=1,1,0))</f>
        <v>0</v>
      </c>
      <c r="B853" s="12" t="e">
        <f>MID(MAIN!A858,K853,2)</f>
        <v>#VALUE!</v>
      </c>
      <c r="C853" s="12" t="e">
        <f t="shared" si="52"/>
        <v>#VALUE!</v>
      </c>
      <c r="D853" s="12" t="e">
        <f>MID(MAIN!A858,K853+2,2)</f>
        <v>#VALUE!</v>
      </c>
      <c r="E853" s="12" t="e">
        <f>MID(MAIN!A858,K853+4,2)</f>
        <v>#VALUE!</v>
      </c>
      <c r="F853" s="2" t="e">
        <f t="shared" si="53"/>
        <v>#VALUE!</v>
      </c>
      <c r="G853" s="13" t="e">
        <f t="shared" si="54"/>
        <v>#VALUE!</v>
      </c>
      <c r="J853" t="str">
        <f>MAIN!A858&amp;"B"</f>
        <v>B</v>
      </c>
      <c r="K853" s="12" t="e">
        <f t="shared" si="55"/>
        <v>#VALUE!</v>
      </c>
      <c r="L853" t="str">
        <f>MAIN!C858</f>
        <v/>
      </c>
    </row>
    <row r="854" spans="1:12" x14ac:dyDescent="0.3">
      <c r="A854">
        <f>IF(J854="0",0,IF(COUNTIF($J$2:J854,J854)=1,1,0))</f>
        <v>0</v>
      </c>
      <c r="B854" s="12" t="e">
        <f>MID(MAIN!A859,K854,2)</f>
        <v>#VALUE!</v>
      </c>
      <c r="C854" s="12" t="e">
        <f t="shared" si="52"/>
        <v>#VALUE!</v>
      </c>
      <c r="D854" s="12" t="e">
        <f>MID(MAIN!A859,K854+2,2)</f>
        <v>#VALUE!</v>
      </c>
      <c r="E854" s="12" t="e">
        <f>MID(MAIN!A859,K854+4,2)</f>
        <v>#VALUE!</v>
      </c>
      <c r="F854" s="2" t="e">
        <f t="shared" si="53"/>
        <v>#VALUE!</v>
      </c>
      <c r="G854" s="13" t="e">
        <f t="shared" si="54"/>
        <v>#VALUE!</v>
      </c>
      <c r="J854" t="str">
        <f>MAIN!A859&amp;"B"</f>
        <v>B</v>
      </c>
      <c r="K854" s="12" t="e">
        <f t="shared" si="55"/>
        <v>#VALUE!</v>
      </c>
      <c r="L854" t="str">
        <f>MAIN!C859</f>
        <v/>
      </c>
    </row>
    <row r="855" spans="1:12" x14ac:dyDescent="0.3">
      <c r="A855">
        <f>IF(J855="0",0,IF(COUNTIF($J$2:J855,J855)=1,1,0))</f>
        <v>0</v>
      </c>
      <c r="B855" s="12" t="e">
        <f>MID(MAIN!A860,K855,2)</f>
        <v>#VALUE!</v>
      </c>
      <c r="C855" s="12" t="e">
        <f t="shared" si="52"/>
        <v>#VALUE!</v>
      </c>
      <c r="D855" s="12" t="e">
        <f>MID(MAIN!A860,K855+2,2)</f>
        <v>#VALUE!</v>
      </c>
      <c r="E855" s="12" t="e">
        <f>MID(MAIN!A860,K855+4,2)</f>
        <v>#VALUE!</v>
      </c>
      <c r="F855" s="2" t="e">
        <f t="shared" si="53"/>
        <v>#VALUE!</v>
      </c>
      <c r="G855" s="13" t="e">
        <f t="shared" si="54"/>
        <v>#VALUE!</v>
      </c>
      <c r="J855" t="str">
        <f>MAIN!A860&amp;"B"</f>
        <v>B</v>
      </c>
      <c r="K855" s="12" t="e">
        <f t="shared" si="55"/>
        <v>#VALUE!</v>
      </c>
      <c r="L855" t="str">
        <f>MAIN!C860</f>
        <v/>
      </c>
    </row>
    <row r="856" spans="1:12" x14ac:dyDescent="0.3">
      <c r="A856">
        <f>IF(J856="0",0,IF(COUNTIF($J$2:J856,J856)=1,1,0))</f>
        <v>0</v>
      </c>
      <c r="B856" s="12" t="e">
        <f>MID(MAIN!A861,K856,2)</f>
        <v>#VALUE!</v>
      </c>
      <c r="C856" s="12" t="e">
        <f t="shared" si="52"/>
        <v>#VALUE!</v>
      </c>
      <c r="D856" s="12" t="e">
        <f>MID(MAIN!A861,K856+2,2)</f>
        <v>#VALUE!</v>
      </c>
      <c r="E856" s="12" t="e">
        <f>MID(MAIN!A861,K856+4,2)</f>
        <v>#VALUE!</v>
      </c>
      <c r="F856" s="2" t="e">
        <f t="shared" si="53"/>
        <v>#VALUE!</v>
      </c>
      <c r="G856" s="13" t="e">
        <f t="shared" si="54"/>
        <v>#VALUE!</v>
      </c>
      <c r="J856" t="str">
        <f>MAIN!A861&amp;"B"</f>
        <v>B</v>
      </c>
      <c r="K856" s="12" t="e">
        <f t="shared" si="55"/>
        <v>#VALUE!</v>
      </c>
      <c r="L856" t="str">
        <f>MAIN!C861</f>
        <v/>
      </c>
    </row>
    <row r="857" spans="1:12" x14ac:dyDescent="0.3">
      <c r="A857">
        <f>IF(J857="0",0,IF(COUNTIF($J$2:J857,J857)=1,1,0))</f>
        <v>0</v>
      </c>
      <c r="B857" s="12" t="e">
        <f>MID(MAIN!A862,K857,2)</f>
        <v>#VALUE!</v>
      </c>
      <c r="C857" s="12" t="e">
        <f t="shared" si="52"/>
        <v>#VALUE!</v>
      </c>
      <c r="D857" s="12" t="e">
        <f>MID(MAIN!A862,K857+2,2)</f>
        <v>#VALUE!</v>
      </c>
      <c r="E857" s="12" t="e">
        <f>MID(MAIN!A862,K857+4,2)</f>
        <v>#VALUE!</v>
      </c>
      <c r="F857" s="2" t="e">
        <f t="shared" si="53"/>
        <v>#VALUE!</v>
      </c>
      <c r="G857" s="13" t="e">
        <f t="shared" si="54"/>
        <v>#VALUE!</v>
      </c>
      <c r="J857" t="str">
        <f>MAIN!A862&amp;"B"</f>
        <v>B</v>
      </c>
      <c r="K857" s="12" t="e">
        <f t="shared" si="55"/>
        <v>#VALUE!</v>
      </c>
      <c r="L857" t="str">
        <f>MAIN!C862</f>
        <v/>
      </c>
    </row>
    <row r="858" spans="1:12" x14ac:dyDescent="0.3">
      <c r="A858">
        <f>IF(J858="0",0,IF(COUNTIF($J$2:J858,J858)=1,1,0))</f>
        <v>0</v>
      </c>
      <c r="B858" s="12" t="e">
        <f>MID(MAIN!A863,K858,2)</f>
        <v>#VALUE!</v>
      </c>
      <c r="C858" s="12" t="e">
        <f t="shared" si="52"/>
        <v>#VALUE!</v>
      </c>
      <c r="D858" s="12" t="e">
        <f>MID(MAIN!A863,K858+2,2)</f>
        <v>#VALUE!</v>
      </c>
      <c r="E858" s="12" t="e">
        <f>MID(MAIN!A863,K858+4,2)</f>
        <v>#VALUE!</v>
      </c>
      <c r="F858" s="2" t="e">
        <f t="shared" si="53"/>
        <v>#VALUE!</v>
      </c>
      <c r="G858" s="13" t="e">
        <f t="shared" si="54"/>
        <v>#VALUE!</v>
      </c>
      <c r="J858" t="str">
        <f>MAIN!A863&amp;"B"</f>
        <v>B</v>
      </c>
      <c r="K858" s="12" t="e">
        <f t="shared" si="55"/>
        <v>#VALUE!</v>
      </c>
      <c r="L858" t="str">
        <f>MAIN!C863</f>
        <v/>
      </c>
    </row>
    <row r="859" spans="1:12" x14ac:dyDescent="0.3">
      <c r="A859">
        <f>IF(J859="0",0,IF(COUNTIF($J$2:J859,J859)=1,1,0))</f>
        <v>0</v>
      </c>
      <c r="B859" s="12" t="e">
        <f>MID(MAIN!A864,K859,2)</f>
        <v>#VALUE!</v>
      </c>
      <c r="C859" s="12" t="e">
        <f t="shared" si="52"/>
        <v>#VALUE!</v>
      </c>
      <c r="D859" s="12" t="e">
        <f>MID(MAIN!A864,K859+2,2)</f>
        <v>#VALUE!</v>
      </c>
      <c r="E859" s="12" t="e">
        <f>MID(MAIN!A864,K859+4,2)</f>
        <v>#VALUE!</v>
      </c>
      <c r="F859" s="2" t="e">
        <f t="shared" si="53"/>
        <v>#VALUE!</v>
      </c>
      <c r="G859" s="13" t="e">
        <f t="shared" si="54"/>
        <v>#VALUE!</v>
      </c>
      <c r="J859" t="str">
        <f>MAIN!A864&amp;"B"</f>
        <v>B</v>
      </c>
      <c r="K859" s="12" t="e">
        <f t="shared" si="55"/>
        <v>#VALUE!</v>
      </c>
      <c r="L859" t="str">
        <f>MAIN!C864</f>
        <v/>
      </c>
    </row>
    <row r="860" spans="1:12" x14ac:dyDescent="0.3">
      <c r="A860">
        <f>IF(J860="0",0,IF(COUNTIF($J$2:J860,J860)=1,1,0))</f>
        <v>0</v>
      </c>
      <c r="B860" s="12" t="e">
        <f>MID(MAIN!A865,K860,2)</f>
        <v>#VALUE!</v>
      </c>
      <c r="C860" s="12" t="e">
        <f t="shared" si="52"/>
        <v>#VALUE!</v>
      </c>
      <c r="D860" s="12" t="e">
        <f>MID(MAIN!A865,K860+2,2)</f>
        <v>#VALUE!</v>
      </c>
      <c r="E860" s="12" t="e">
        <f>MID(MAIN!A865,K860+4,2)</f>
        <v>#VALUE!</v>
      </c>
      <c r="F860" s="2" t="e">
        <f t="shared" si="53"/>
        <v>#VALUE!</v>
      </c>
      <c r="G860" s="13" t="e">
        <f t="shared" si="54"/>
        <v>#VALUE!</v>
      </c>
      <c r="J860" t="str">
        <f>MAIN!A865&amp;"B"</f>
        <v>B</v>
      </c>
      <c r="K860" s="12" t="e">
        <f t="shared" si="55"/>
        <v>#VALUE!</v>
      </c>
      <c r="L860" t="str">
        <f>MAIN!C865</f>
        <v/>
      </c>
    </row>
    <row r="861" spans="1:12" x14ac:dyDescent="0.3">
      <c r="A861">
        <f>IF(J861="0",0,IF(COUNTIF($J$2:J861,J861)=1,1,0))</f>
        <v>0</v>
      </c>
      <c r="B861" s="12" t="e">
        <f>MID(MAIN!A866,K861,2)</f>
        <v>#VALUE!</v>
      </c>
      <c r="C861" s="12" t="e">
        <f t="shared" si="52"/>
        <v>#VALUE!</v>
      </c>
      <c r="D861" s="12" t="e">
        <f>MID(MAIN!A866,K861+2,2)</f>
        <v>#VALUE!</v>
      </c>
      <c r="E861" s="12" t="e">
        <f>MID(MAIN!A866,K861+4,2)</f>
        <v>#VALUE!</v>
      </c>
      <c r="F861" s="2" t="e">
        <f t="shared" si="53"/>
        <v>#VALUE!</v>
      </c>
      <c r="G861" s="13" t="e">
        <f t="shared" si="54"/>
        <v>#VALUE!</v>
      </c>
      <c r="J861" t="str">
        <f>MAIN!A866&amp;"B"</f>
        <v>B</v>
      </c>
      <c r="K861" s="12" t="e">
        <f t="shared" si="55"/>
        <v>#VALUE!</v>
      </c>
      <c r="L861" t="str">
        <f>MAIN!C866</f>
        <v/>
      </c>
    </row>
    <row r="862" spans="1:12" x14ac:dyDescent="0.3">
      <c r="A862">
        <f>IF(J862="0",0,IF(COUNTIF($J$2:J862,J862)=1,1,0))</f>
        <v>0</v>
      </c>
      <c r="B862" s="12" t="e">
        <f>MID(MAIN!A867,K862,2)</f>
        <v>#VALUE!</v>
      </c>
      <c r="C862" s="12" t="e">
        <f t="shared" si="52"/>
        <v>#VALUE!</v>
      </c>
      <c r="D862" s="12" t="e">
        <f>MID(MAIN!A867,K862+2,2)</f>
        <v>#VALUE!</v>
      </c>
      <c r="E862" s="12" t="e">
        <f>MID(MAIN!A867,K862+4,2)</f>
        <v>#VALUE!</v>
      </c>
      <c r="F862" s="2" t="e">
        <f t="shared" si="53"/>
        <v>#VALUE!</v>
      </c>
      <c r="G862" s="13" t="e">
        <f t="shared" si="54"/>
        <v>#VALUE!</v>
      </c>
      <c r="J862" t="str">
        <f>MAIN!A867&amp;"B"</f>
        <v>B</v>
      </c>
      <c r="K862" s="12" t="e">
        <f t="shared" si="55"/>
        <v>#VALUE!</v>
      </c>
      <c r="L862" t="str">
        <f>MAIN!C867</f>
        <v/>
      </c>
    </row>
    <row r="863" spans="1:12" x14ac:dyDescent="0.3">
      <c r="A863">
        <f>IF(J863="0",0,IF(COUNTIF($J$2:J863,J863)=1,1,0))</f>
        <v>0</v>
      </c>
      <c r="B863" s="12" t="e">
        <f>MID(MAIN!A868,K863,2)</f>
        <v>#VALUE!</v>
      </c>
      <c r="C863" s="12" t="e">
        <f t="shared" si="52"/>
        <v>#VALUE!</v>
      </c>
      <c r="D863" s="12" t="e">
        <f>MID(MAIN!A868,K863+2,2)</f>
        <v>#VALUE!</v>
      </c>
      <c r="E863" s="12" t="e">
        <f>MID(MAIN!A868,K863+4,2)</f>
        <v>#VALUE!</v>
      </c>
      <c r="F863" s="2" t="e">
        <f t="shared" si="53"/>
        <v>#VALUE!</v>
      </c>
      <c r="G863" s="13" t="e">
        <f t="shared" si="54"/>
        <v>#VALUE!</v>
      </c>
      <c r="J863" t="str">
        <f>MAIN!A868&amp;"B"</f>
        <v>B</v>
      </c>
      <c r="K863" s="12" t="e">
        <f t="shared" si="55"/>
        <v>#VALUE!</v>
      </c>
      <c r="L863" t="str">
        <f>MAIN!C868</f>
        <v/>
      </c>
    </row>
    <row r="864" spans="1:12" x14ac:dyDescent="0.3">
      <c r="A864">
        <f>IF(J864="0",0,IF(COUNTIF($J$2:J864,J864)=1,1,0))</f>
        <v>0</v>
      </c>
      <c r="B864" s="12" t="e">
        <f>MID(MAIN!A869,K864,2)</f>
        <v>#VALUE!</v>
      </c>
      <c r="C864" s="12" t="e">
        <f t="shared" si="52"/>
        <v>#VALUE!</v>
      </c>
      <c r="D864" s="12" t="e">
        <f>MID(MAIN!A869,K864+2,2)</f>
        <v>#VALUE!</v>
      </c>
      <c r="E864" s="12" t="e">
        <f>MID(MAIN!A869,K864+4,2)</f>
        <v>#VALUE!</v>
      </c>
      <c r="F864" s="2" t="e">
        <f t="shared" si="53"/>
        <v>#VALUE!</v>
      </c>
      <c r="G864" s="13" t="e">
        <f t="shared" si="54"/>
        <v>#VALUE!</v>
      </c>
      <c r="J864" t="str">
        <f>MAIN!A869&amp;"B"</f>
        <v>B</v>
      </c>
      <c r="K864" s="12" t="e">
        <f t="shared" si="55"/>
        <v>#VALUE!</v>
      </c>
      <c r="L864" t="str">
        <f>MAIN!C869</f>
        <v/>
      </c>
    </row>
    <row r="865" spans="1:12" x14ac:dyDescent="0.3">
      <c r="A865">
        <f>IF(J865="0",0,IF(COUNTIF($J$2:J865,J865)=1,1,0))</f>
        <v>0</v>
      </c>
      <c r="B865" s="12" t="e">
        <f>MID(MAIN!A870,K865,2)</f>
        <v>#VALUE!</v>
      </c>
      <c r="C865" s="12" t="e">
        <f t="shared" si="52"/>
        <v>#VALUE!</v>
      </c>
      <c r="D865" s="12" t="e">
        <f>MID(MAIN!A870,K865+2,2)</f>
        <v>#VALUE!</v>
      </c>
      <c r="E865" s="12" t="e">
        <f>MID(MAIN!A870,K865+4,2)</f>
        <v>#VALUE!</v>
      </c>
      <c r="F865" s="2" t="e">
        <f t="shared" si="53"/>
        <v>#VALUE!</v>
      </c>
      <c r="G865" s="13" t="e">
        <f t="shared" si="54"/>
        <v>#VALUE!</v>
      </c>
      <c r="J865" t="str">
        <f>MAIN!A870&amp;"B"</f>
        <v>B</v>
      </c>
      <c r="K865" s="12" t="e">
        <f t="shared" si="55"/>
        <v>#VALUE!</v>
      </c>
      <c r="L865" t="str">
        <f>MAIN!C870</f>
        <v/>
      </c>
    </row>
    <row r="866" spans="1:12" x14ac:dyDescent="0.3">
      <c r="A866">
        <f>IF(J866="0",0,IF(COUNTIF($J$2:J866,J866)=1,1,0))</f>
        <v>0</v>
      </c>
      <c r="B866" s="12" t="e">
        <f>MID(MAIN!A871,K866,2)</f>
        <v>#VALUE!</v>
      </c>
      <c r="C866" s="12" t="e">
        <f t="shared" si="52"/>
        <v>#VALUE!</v>
      </c>
      <c r="D866" s="12" t="e">
        <f>MID(MAIN!A871,K866+2,2)</f>
        <v>#VALUE!</v>
      </c>
      <c r="E866" s="12" t="e">
        <f>MID(MAIN!A871,K866+4,2)</f>
        <v>#VALUE!</v>
      </c>
      <c r="F866" s="2" t="e">
        <f t="shared" si="53"/>
        <v>#VALUE!</v>
      </c>
      <c r="G866" s="13" t="e">
        <f t="shared" si="54"/>
        <v>#VALUE!</v>
      </c>
      <c r="J866" t="str">
        <f>MAIN!A871&amp;"B"</f>
        <v>B</v>
      </c>
      <c r="K866" s="12" t="e">
        <f t="shared" si="55"/>
        <v>#VALUE!</v>
      </c>
      <c r="L866" t="str">
        <f>MAIN!C871</f>
        <v/>
      </c>
    </row>
    <row r="867" spans="1:12" x14ac:dyDescent="0.3">
      <c r="A867">
        <f>IF(J867="0",0,IF(COUNTIF($J$2:J867,J867)=1,1,0))</f>
        <v>0</v>
      </c>
      <c r="B867" s="12" t="e">
        <f>MID(MAIN!A872,K867,2)</f>
        <v>#VALUE!</v>
      </c>
      <c r="C867" s="12" t="e">
        <f t="shared" si="52"/>
        <v>#VALUE!</v>
      </c>
      <c r="D867" s="12" t="e">
        <f>MID(MAIN!A872,K867+2,2)</f>
        <v>#VALUE!</v>
      </c>
      <c r="E867" s="12" t="e">
        <f>MID(MAIN!A872,K867+4,2)</f>
        <v>#VALUE!</v>
      </c>
      <c r="F867" s="2" t="e">
        <f t="shared" si="53"/>
        <v>#VALUE!</v>
      </c>
      <c r="G867" s="13" t="e">
        <f t="shared" si="54"/>
        <v>#VALUE!</v>
      </c>
      <c r="J867" t="str">
        <f>MAIN!A872&amp;"B"</f>
        <v>B</v>
      </c>
      <c r="K867" s="12" t="e">
        <f t="shared" si="55"/>
        <v>#VALUE!</v>
      </c>
      <c r="L867" t="str">
        <f>MAIN!C872</f>
        <v/>
      </c>
    </row>
    <row r="868" spans="1:12" x14ac:dyDescent="0.3">
      <c r="A868">
        <f>IF(J868="0",0,IF(COUNTIF($J$2:J868,J868)=1,1,0))</f>
        <v>0</v>
      </c>
      <c r="B868" s="12" t="e">
        <f>MID(MAIN!A873,K868,2)</f>
        <v>#VALUE!</v>
      </c>
      <c r="C868" s="12" t="e">
        <f t="shared" si="52"/>
        <v>#VALUE!</v>
      </c>
      <c r="D868" s="12" t="e">
        <f>MID(MAIN!A873,K868+2,2)</f>
        <v>#VALUE!</v>
      </c>
      <c r="E868" s="12" t="e">
        <f>MID(MAIN!A873,K868+4,2)</f>
        <v>#VALUE!</v>
      </c>
      <c r="F868" s="2" t="e">
        <f t="shared" si="53"/>
        <v>#VALUE!</v>
      </c>
      <c r="G868" s="13" t="e">
        <f t="shared" si="54"/>
        <v>#VALUE!</v>
      </c>
      <c r="J868" t="str">
        <f>MAIN!A873&amp;"B"</f>
        <v>B</v>
      </c>
      <c r="K868" s="12" t="e">
        <f t="shared" si="55"/>
        <v>#VALUE!</v>
      </c>
      <c r="L868" t="str">
        <f>MAIN!C873</f>
        <v/>
      </c>
    </row>
    <row r="869" spans="1:12" x14ac:dyDescent="0.3">
      <c r="A869">
        <f>IF(J869="0",0,IF(COUNTIF($J$2:J869,J869)=1,1,0))</f>
        <v>0</v>
      </c>
      <c r="B869" s="12" t="e">
        <f>MID(MAIN!A874,K869,2)</f>
        <v>#VALUE!</v>
      </c>
      <c r="C869" s="12" t="e">
        <f t="shared" si="52"/>
        <v>#VALUE!</v>
      </c>
      <c r="D869" s="12" t="e">
        <f>MID(MAIN!A874,K869+2,2)</f>
        <v>#VALUE!</v>
      </c>
      <c r="E869" s="12" t="e">
        <f>MID(MAIN!A874,K869+4,2)</f>
        <v>#VALUE!</v>
      </c>
      <c r="F869" s="2" t="e">
        <f t="shared" si="53"/>
        <v>#VALUE!</v>
      </c>
      <c r="G869" s="13" t="e">
        <f t="shared" si="54"/>
        <v>#VALUE!</v>
      </c>
      <c r="J869" t="str">
        <f>MAIN!A874&amp;"B"</f>
        <v>B</v>
      </c>
      <c r="K869" s="12" t="e">
        <f t="shared" si="55"/>
        <v>#VALUE!</v>
      </c>
      <c r="L869" t="str">
        <f>MAIN!C874</f>
        <v/>
      </c>
    </row>
    <row r="870" spans="1:12" x14ac:dyDescent="0.3">
      <c r="A870">
        <f>IF(J870="0",0,IF(COUNTIF($J$2:J870,J870)=1,1,0))</f>
        <v>0</v>
      </c>
      <c r="B870" s="12" t="e">
        <f>MID(MAIN!A875,K870,2)</f>
        <v>#VALUE!</v>
      </c>
      <c r="C870" s="12" t="e">
        <f t="shared" si="52"/>
        <v>#VALUE!</v>
      </c>
      <c r="D870" s="12" t="e">
        <f>MID(MAIN!A875,K870+2,2)</f>
        <v>#VALUE!</v>
      </c>
      <c r="E870" s="12" t="e">
        <f>MID(MAIN!A875,K870+4,2)</f>
        <v>#VALUE!</v>
      </c>
      <c r="F870" s="2" t="e">
        <f t="shared" si="53"/>
        <v>#VALUE!</v>
      </c>
      <c r="G870" s="13" t="e">
        <f t="shared" si="54"/>
        <v>#VALUE!</v>
      </c>
      <c r="J870" t="str">
        <f>MAIN!A875&amp;"B"</f>
        <v>B</v>
      </c>
      <c r="K870" s="12" t="e">
        <f t="shared" si="55"/>
        <v>#VALUE!</v>
      </c>
      <c r="L870" t="str">
        <f>MAIN!C875</f>
        <v/>
      </c>
    </row>
    <row r="871" spans="1:12" x14ac:dyDescent="0.3">
      <c r="A871">
        <f>IF(J871="0",0,IF(COUNTIF($J$2:J871,J871)=1,1,0))</f>
        <v>0</v>
      </c>
      <c r="B871" s="12" t="e">
        <f>MID(MAIN!A876,K871,2)</f>
        <v>#VALUE!</v>
      </c>
      <c r="C871" s="12" t="e">
        <f t="shared" si="52"/>
        <v>#VALUE!</v>
      </c>
      <c r="D871" s="12" t="e">
        <f>MID(MAIN!A876,K871+2,2)</f>
        <v>#VALUE!</v>
      </c>
      <c r="E871" s="12" t="e">
        <f>MID(MAIN!A876,K871+4,2)</f>
        <v>#VALUE!</v>
      </c>
      <c r="F871" s="2" t="e">
        <f t="shared" si="53"/>
        <v>#VALUE!</v>
      </c>
      <c r="G871" s="13" t="e">
        <f t="shared" si="54"/>
        <v>#VALUE!</v>
      </c>
      <c r="J871" t="str">
        <f>MAIN!A876&amp;"B"</f>
        <v>B</v>
      </c>
      <c r="K871" s="12" t="e">
        <f t="shared" si="55"/>
        <v>#VALUE!</v>
      </c>
      <c r="L871" t="str">
        <f>MAIN!C876</f>
        <v/>
      </c>
    </row>
    <row r="872" spans="1:12" x14ac:dyDescent="0.3">
      <c r="A872">
        <f>IF(J872="0",0,IF(COUNTIF($J$2:J872,J872)=1,1,0))</f>
        <v>0</v>
      </c>
      <c r="B872" s="12" t="e">
        <f>MID(MAIN!A877,K872,2)</f>
        <v>#VALUE!</v>
      </c>
      <c r="C872" s="12" t="e">
        <f t="shared" si="52"/>
        <v>#VALUE!</v>
      </c>
      <c r="D872" s="12" t="e">
        <f>MID(MAIN!A877,K872+2,2)</f>
        <v>#VALUE!</v>
      </c>
      <c r="E872" s="12" t="e">
        <f>MID(MAIN!A877,K872+4,2)</f>
        <v>#VALUE!</v>
      </c>
      <c r="F872" s="2" t="e">
        <f t="shared" si="53"/>
        <v>#VALUE!</v>
      </c>
      <c r="G872" s="13" t="e">
        <f t="shared" si="54"/>
        <v>#VALUE!</v>
      </c>
      <c r="J872" t="str">
        <f>MAIN!A877&amp;"B"</f>
        <v>B</v>
      </c>
      <c r="K872" s="12" t="e">
        <f t="shared" si="55"/>
        <v>#VALUE!</v>
      </c>
      <c r="L872" t="str">
        <f>MAIN!C877</f>
        <v/>
      </c>
    </row>
    <row r="873" spans="1:12" x14ac:dyDescent="0.3">
      <c r="A873">
        <f>IF(J873="0",0,IF(COUNTIF($J$2:J873,J873)=1,1,0))</f>
        <v>0</v>
      </c>
      <c r="B873" s="12" t="e">
        <f>MID(MAIN!A878,K873,2)</f>
        <v>#VALUE!</v>
      </c>
      <c r="C873" s="12" t="e">
        <f t="shared" si="52"/>
        <v>#VALUE!</v>
      </c>
      <c r="D873" s="12" t="e">
        <f>MID(MAIN!A878,K873+2,2)</f>
        <v>#VALUE!</v>
      </c>
      <c r="E873" s="12" t="e">
        <f>MID(MAIN!A878,K873+4,2)</f>
        <v>#VALUE!</v>
      </c>
      <c r="F873" s="2" t="e">
        <f t="shared" si="53"/>
        <v>#VALUE!</v>
      </c>
      <c r="G873" s="13" t="e">
        <f t="shared" si="54"/>
        <v>#VALUE!</v>
      </c>
      <c r="J873" t="str">
        <f>MAIN!A878&amp;"B"</f>
        <v>B</v>
      </c>
      <c r="K873" s="12" t="e">
        <f t="shared" si="55"/>
        <v>#VALUE!</v>
      </c>
      <c r="L873" t="str">
        <f>MAIN!C878</f>
        <v/>
      </c>
    </row>
    <row r="874" spans="1:12" x14ac:dyDescent="0.3">
      <c r="A874">
        <f>IF(J874="0",0,IF(COUNTIF($J$2:J874,J874)=1,1,0))</f>
        <v>0</v>
      </c>
      <c r="B874" s="12" t="e">
        <f>MID(MAIN!A879,K874,2)</f>
        <v>#VALUE!</v>
      </c>
      <c r="C874" s="12" t="e">
        <f t="shared" si="52"/>
        <v>#VALUE!</v>
      </c>
      <c r="D874" s="12" t="e">
        <f>MID(MAIN!A879,K874+2,2)</f>
        <v>#VALUE!</v>
      </c>
      <c r="E874" s="12" t="e">
        <f>MID(MAIN!A879,K874+4,2)</f>
        <v>#VALUE!</v>
      </c>
      <c r="F874" s="2" t="e">
        <f t="shared" si="53"/>
        <v>#VALUE!</v>
      </c>
      <c r="G874" s="13" t="e">
        <f t="shared" si="54"/>
        <v>#VALUE!</v>
      </c>
      <c r="J874" t="str">
        <f>MAIN!A879&amp;"B"</f>
        <v>B</v>
      </c>
      <c r="K874" s="12" t="e">
        <f t="shared" si="55"/>
        <v>#VALUE!</v>
      </c>
      <c r="L874" t="str">
        <f>MAIN!C879</f>
        <v/>
      </c>
    </row>
    <row r="875" spans="1:12" x14ac:dyDescent="0.3">
      <c r="A875">
        <f>IF(J875="0",0,IF(COUNTIF($J$2:J875,J875)=1,1,0))</f>
        <v>0</v>
      </c>
      <c r="B875" s="12" t="e">
        <f>MID(MAIN!A880,K875,2)</f>
        <v>#VALUE!</v>
      </c>
      <c r="C875" s="12" t="e">
        <f t="shared" si="52"/>
        <v>#VALUE!</v>
      </c>
      <c r="D875" s="12" t="e">
        <f>MID(MAIN!A880,K875+2,2)</f>
        <v>#VALUE!</v>
      </c>
      <c r="E875" s="12" t="e">
        <f>MID(MAIN!A880,K875+4,2)</f>
        <v>#VALUE!</v>
      </c>
      <c r="F875" s="2" t="e">
        <f t="shared" si="53"/>
        <v>#VALUE!</v>
      </c>
      <c r="G875" s="13" t="e">
        <f t="shared" si="54"/>
        <v>#VALUE!</v>
      </c>
      <c r="J875" t="str">
        <f>MAIN!A880&amp;"B"</f>
        <v>B</v>
      </c>
      <c r="K875" s="12" t="e">
        <f t="shared" si="55"/>
        <v>#VALUE!</v>
      </c>
      <c r="L875" t="str">
        <f>MAIN!C880</f>
        <v/>
      </c>
    </row>
    <row r="876" spans="1:12" x14ac:dyDescent="0.3">
      <c r="A876">
        <f>IF(J876="0",0,IF(COUNTIF($J$2:J876,J876)=1,1,0))</f>
        <v>0</v>
      </c>
      <c r="B876" s="12" t="e">
        <f>MID(MAIN!A881,K876,2)</f>
        <v>#VALUE!</v>
      </c>
      <c r="C876" s="12" t="e">
        <f t="shared" si="52"/>
        <v>#VALUE!</v>
      </c>
      <c r="D876" s="12" t="e">
        <f>MID(MAIN!A881,K876+2,2)</f>
        <v>#VALUE!</v>
      </c>
      <c r="E876" s="12" t="e">
        <f>MID(MAIN!A881,K876+4,2)</f>
        <v>#VALUE!</v>
      </c>
      <c r="F876" s="2" t="e">
        <f t="shared" si="53"/>
        <v>#VALUE!</v>
      </c>
      <c r="G876" s="13" t="e">
        <f t="shared" si="54"/>
        <v>#VALUE!</v>
      </c>
      <c r="J876" t="str">
        <f>MAIN!A881&amp;"B"</f>
        <v>B</v>
      </c>
      <c r="K876" s="12" t="e">
        <f t="shared" si="55"/>
        <v>#VALUE!</v>
      </c>
      <c r="L876" t="str">
        <f>MAIN!C881</f>
        <v/>
      </c>
    </row>
    <row r="877" spans="1:12" x14ac:dyDescent="0.3">
      <c r="A877">
        <f>IF(J877="0",0,IF(COUNTIF($J$2:J877,J877)=1,1,0))</f>
        <v>0</v>
      </c>
      <c r="B877" s="12" t="e">
        <f>MID(MAIN!A882,K877,2)</f>
        <v>#VALUE!</v>
      </c>
      <c r="C877" s="12" t="e">
        <f t="shared" si="52"/>
        <v>#VALUE!</v>
      </c>
      <c r="D877" s="12" t="e">
        <f>MID(MAIN!A882,K877+2,2)</f>
        <v>#VALUE!</v>
      </c>
      <c r="E877" s="12" t="e">
        <f>MID(MAIN!A882,K877+4,2)</f>
        <v>#VALUE!</v>
      </c>
      <c r="F877" s="2" t="e">
        <f t="shared" si="53"/>
        <v>#VALUE!</v>
      </c>
      <c r="G877" s="13" t="e">
        <f t="shared" si="54"/>
        <v>#VALUE!</v>
      </c>
      <c r="J877" t="str">
        <f>MAIN!A882&amp;"B"</f>
        <v>B</v>
      </c>
      <c r="K877" s="12" t="e">
        <f t="shared" si="55"/>
        <v>#VALUE!</v>
      </c>
      <c r="L877" t="str">
        <f>MAIN!C882</f>
        <v/>
      </c>
    </row>
    <row r="878" spans="1:12" x14ac:dyDescent="0.3">
      <c r="A878">
        <f>IF(J878="0",0,IF(COUNTIF($J$2:J878,J878)=1,1,0))</f>
        <v>0</v>
      </c>
      <c r="B878" s="12" t="e">
        <f>MID(MAIN!A883,K878,2)</f>
        <v>#VALUE!</v>
      </c>
      <c r="C878" s="12" t="e">
        <f t="shared" si="52"/>
        <v>#VALUE!</v>
      </c>
      <c r="D878" s="12" t="e">
        <f>MID(MAIN!A883,K878+2,2)</f>
        <v>#VALUE!</v>
      </c>
      <c r="E878" s="12" t="e">
        <f>MID(MAIN!A883,K878+4,2)</f>
        <v>#VALUE!</v>
      </c>
      <c r="F878" s="2" t="e">
        <f t="shared" si="53"/>
        <v>#VALUE!</v>
      </c>
      <c r="G878" s="13" t="e">
        <f t="shared" si="54"/>
        <v>#VALUE!</v>
      </c>
      <c r="J878" t="str">
        <f>MAIN!A883&amp;"B"</f>
        <v>B</v>
      </c>
      <c r="K878" s="12" t="e">
        <f t="shared" si="55"/>
        <v>#VALUE!</v>
      </c>
      <c r="L878" t="str">
        <f>MAIN!C883</f>
        <v/>
      </c>
    </row>
    <row r="879" spans="1:12" x14ac:dyDescent="0.3">
      <c r="A879">
        <f>IF(J879="0",0,IF(COUNTIF($J$2:J879,J879)=1,1,0))</f>
        <v>0</v>
      </c>
      <c r="B879" s="12" t="e">
        <f>MID(MAIN!A884,K879,2)</f>
        <v>#VALUE!</v>
      </c>
      <c r="C879" s="12" t="e">
        <f t="shared" si="52"/>
        <v>#VALUE!</v>
      </c>
      <c r="D879" s="12" t="e">
        <f>MID(MAIN!A884,K879+2,2)</f>
        <v>#VALUE!</v>
      </c>
      <c r="E879" s="12" t="e">
        <f>MID(MAIN!A884,K879+4,2)</f>
        <v>#VALUE!</v>
      </c>
      <c r="F879" s="2" t="e">
        <f t="shared" si="53"/>
        <v>#VALUE!</v>
      </c>
      <c r="G879" s="13" t="e">
        <f t="shared" si="54"/>
        <v>#VALUE!</v>
      </c>
      <c r="J879" t="str">
        <f>MAIN!A884&amp;"B"</f>
        <v>B</v>
      </c>
      <c r="K879" s="12" t="e">
        <f t="shared" si="55"/>
        <v>#VALUE!</v>
      </c>
      <c r="L879" t="str">
        <f>MAIN!C884</f>
        <v/>
      </c>
    </row>
    <row r="880" spans="1:12" x14ac:dyDescent="0.3">
      <c r="A880">
        <f>IF(J880="0",0,IF(COUNTIF($J$2:J880,J880)=1,1,0))</f>
        <v>0</v>
      </c>
      <c r="B880" s="12" t="e">
        <f>MID(MAIN!A885,K880,2)</f>
        <v>#VALUE!</v>
      </c>
      <c r="C880" s="12" t="e">
        <f t="shared" si="52"/>
        <v>#VALUE!</v>
      </c>
      <c r="D880" s="12" t="e">
        <f>MID(MAIN!A885,K880+2,2)</f>
        <v>#VALUE!</v>
      </c>
      <c r="E880" s="12" t="e">
        <f>MID(MAIN!A885,K880+4,2)</f>
        <v>#VALUE!</v>
      </c>
      <c r="F880" s="2" t="e">
        <f t="shared" si="53"/>
        <v>#VALUE!</v>
      </c>
      <c r="G880" s="13" t="e">
        <f t="shared" si="54"/>
        <v>#VALUE!</v>
      </c>
      <c r="J880" t="str">
        <f>MAIN!A885&amp;"B"</f>
        <v>B</v>
      </c>
      <c r="K880" s="12" t="e">
        <f t="shared" si="55"/>
        <v>#VALUE!</v>
      </c>
      <c r="L880" t="str">
        <f>MAIN!C885</f>
        <v/>
      </c>
    </row>
    <row r="881" spans="1:12" x14ac:dyDescent="0.3">
      <c r="A881">
        <f>IF(J881="0",0,IF(COUNTIF($J$2:J881,J881)=1,1,0))</f>
        <v>0</v>
      </c>
      <c r="B881" s="12" t="e">
        <f>MID(MAIN!A886,K881,2)</f>
        <v>#VALUE!</v>
      </c>
      <c r="C881" s="12" t="e">
        <f t="shared" si="52"/>
        <v>#VALUE!</v>
      </c>
      <c r="D881" s="12" t="e">
        <f>MID(MAIN!A886,K881+2,2)</f>
        <v>#VALUE!</v>
      </c>
      <c r="E881" s="12" t="e">
        <f>MID(MAIN!A886,K881+4,2)</f>
        <v>#VALUE!</v>
      </c>
      <c r="F881" s="2" t="e">
        <f t="shared" si="53"/>
        <v>#VALUE!</v>
      </c>
      <c r="G881" s="13" t="e">
        <f t="shared" si="54"/>
        <v>#VALUE!</v>
      </c>
      <c r="J881" t="str">
        <f>MAIN!A886&amp;"B"</f>
        <v>B</v>
      </c>
      <c r="K881" s="12" t="e">
        <f t="shared" si="55"/>
        <v>#VALUE!</v>
      </c>
      <c r="L881" t="str">
        <f>MAIN!C886</f>
        <v/>
      </c>
    </row>
    <row r="882" spans="1:12" x14ac:dyDescent="0.3">
      <c r="A882">
        <f>IF(J882="0",0,IF(COUNTIF($J$2:J882,J882)=1,1,0))</f>
        <v>0</v>
      </c>
      <c r="B882" s="12" t="e">
        <f>MID(MAIN!A887,K882,2)</f>
        <v>#VALUE!</v>
      </c>
      <c r="C882" s="12" t="e">
        <f t="shared" si="52"/>
        <v>#VALUE!</v>
      </c>
      <c r="D882" s="12" t="e">
        <f>MID(MAIN!A887,K882+2,2)</f>
        <v>#VALUE!</v>
      </c>
      <c r="E882" s="12" t="e">
        <f>MID(MAIN!A887,K882+4,2)</f>
        <v>#VALUE!</v>
      </c>
      <c r="F882" s="2" t="e">
        <f t="shared" si="53"/>
        <v>#VALUE!</v>
      </c>
      <c r="G882" s="13" t="e">
        <f t="shared" si="54"/>
        <v>#VALUE!</v>
      </c>
      <c r="J882" t="str">
        <f>MAIN!A887&amp;"B"</f>
        <v>B</v>
      </c>
      <c r="K882" s="12" t="e">
        <f t="shared" si="55"/>
        <v>#VALUE!</v>
      </c>
      <c r="L882" t="str">
        <f>MAIN!C887</f>
        <v/>
      </c>
    </row>
    <row r="883" spans="1:12" x14ac:dyDescent="0.3">
      <c r="A883">
        <f>IF(J883="0",0,IF(COUNTIF($J$2:J883,J883)=1,1,0))</f>
        <v>0</v>
      </c>
      <c r="B883" s="12" t="e">
        <f>MID(MAIN!A888,K883,2)</f>
        <v>#VALUE!</v>
      </c>
      <c r="C883" s="12" t="e">
        <f t="shared" si="52"/>
        <v>#VALUE!</v>
      </c>
      <c r="D883" s="12" t="e">
        <f>MID(MAIN!A888,K883+2,2)</f>
        <v>#VALUE!</v>
      </c>
      <c r="E883" s="12" t="e">
        <f>MID(MAIN!A888,K883+4,2)</f>
        <v>#VALUE!</v>
      </c>
      <c r="F883" s="2" t="e">
        <f t="shared" si="53"/>
        <v>#VALUE!</v>
      </c>
      <c r="G883" s="13" t="e">
        <f t="shared" si="54"/>
        <v>#VALUE!</v>
      </c>
      <c r="J883" t="str">
        <f>MAIN!A888&amp;"B"</f>
        <v>B</v>
      </c>
      <c r="K883" s="12" t="e">
        <f t="shared" si="55"/>
        <v>#VALUE!</v>
      </c>
      <c r="L883" t="str">
        <f>MAIN!C888</f>
        <v/>
      </c>
    </row>
    <row r="884" spans="1:12" x14ac:dyDescent="0.3">
      <c r="A884">
        <f>IF(J884="0",0,IF(COUNTIF($J$2:J884,J884)=1,1,0))</f>
        <v>0</v>
      </c>
      <c r="B884" s="12" t="e">
        <f>MID(MAIN!A889,K884,2)</f>
        <v>#VALUE!</v>
      </c>
      <c r="C884" s="12" t="e">
        <f t="shared" si="52"/>
        <v>#VALUE!</v>
      </c>
      <c r="D884" s="12" t="e">
        <f>MID(MAIN!A889,K884+2,2)</f>
        <v>#VALUE!</v>
      </c>
      <c r="E884" s="12" t="e">
        <f>MID(MAIN!A889,K884+4,2)</f>
        <v>#VALUE!</v>
      </c>
      <c r="F884" s="2" t="e">
        <f t="shared" si="53"/>
        <v>#VALUE!</v>
      </c>
      <c r="G884" s="13" t="e">
        <f t="shared" si="54"/>
        <v>#VALUE!</v>
      </c>
      <c r="J884" t="str">
        <f>MAIN!A889&amp;"B"</f>
        <v>B</v>
      </c>
      <c r="K884" s="12" t="e">
        <f t="shared" si="55"/>
        <v>#VALUE!</v>
      </c>
      <c r="L884" t="str">
        <f>MAIN!C889</f>
        <v/>
      </c>
    </row>
    <row r="885" spans="1:12" x14ac:dyDescent="0.3">
      <c r="A885">
        <f>IF(J885="0",0,IF(COUNTIF($J$2:J885,J885)=1,1,0))</f>
        <v>0</v>
      </c>
      <c r="B885" s="12" t="e">
        <f>MID(MAIN!A890,K885,2)</f>
        <v>#VALUE!</v>
      </c>
      <c r="C885" s="12" t="e">
        <f t="shared" si="52"/>
        <v>#VALUE!</v>
      </c>
      <c r="D885" s="12" t="e">
        <f>MID(MAIN!A890,K885+2,2)</f>
        <v>#VALUE!</v>
      </c>
      <c r="E885" s="12" t="e">
        <f>MID(MAIN!A890,K885+4,2)</f>
        <v>#VALUE!</v>
      </c>
      <c r="F885" s="2" t="e">
        <f t="shared" si="53"/>
        <v>#VALUE!</v>
      </c>
      <c r="G885" s="13" t="e">
        <f t="shared" si="54"/>
        <v>#VALUE!</v>
      </c>
      <c r="J885" t="str">
        <f>MAIN!A890&amp;"B"</f>
        <v>B</v>
      </c>
      <c r="K885" s="12" t="e">
        <f t="shared" si="55"/>
        <v>#VALUE!</v>
      </c>
      <c r="L885" t="str">
        <f>MAIN!C890</f>
        <v/>
      </c>
    </row>
    <row r="886" spans="1:12" x14ac:dyDescent="0.3">
      <c r="A886">
        <f>IF(J886="0",0,IF(COUNTIF($J$2:J886,J886)=1,1,0))</f>
        <v>0</v>
      </c>
      <c r="B886" s="12" t="e">
        <f>MID(MAIN!A891,K886,2)</f>
        <v>#VALUE!</v>
      </c>
      <c r="C886" s="12" t="e">
        <f t="shared" si="52"/>
        <v>#VALUE!</v>
      </c>
      <c r="D886" s="12" t="e">
        <f>MID(MAIN!A891,K886+2,2)</f>
        <v>#VALUE!</v>
      </c>
      <c r="E886" s="12" t="e">
        <f>MID(MAIN!A891,K886+4,2)</f>
        <v>#VALUE!</v>
      </c>
      <c r="F886" s="2" t="e">
        <f t="shared" si="53"/>
        <v>#VALUE!</v>
      </c>
      <c r="G886" s="13" t="e">
        <f t="shared" si="54"/>
        <v>#VALUE!</v>
      </c>
      <c r="J886" t="str">
        <f>MAIN!A891&amp;"B"</f>
        <v>B</v>
      </c>
      <c r="K886" s="12" t="e">
        <f t="shared" si="55"/>
        <v>#VALUE!</v>
      </c>
      <c r="L886" t="str">
        <f>MAIN!C891</f>
        <v/>
      </c>
    </row>
    <row r="887" spans="1:12" x14ac:dyDescent="0.3">
      <c r="A887">
        <f>IF(J887="0",0,IF(COUNTIF($J$2:J887,J887)=1,1,0))</f>
        <v>0</v>
      </c>
      <c r="B887" s="12" t="e">
        <f>MID(MAIN!A892,K887,2)</f>
        <v>#VALUE!</v>
      </c>
      <c r="C887" s="12" t="e">
        <f t="shared" si="52"/>
        <v>#VALUE!</v>
      </c>
      <c r="D887" s="12" t="e">
        <f>MID(MAIN!A892,K887+2,2)</f>
        <v>#VALUE!</v>
      </c>
      <c r="E887" s="12" t="e">
        <f>MID(MAIN!A892,K887+4,2)</f>
        <v>#VALUE!</v>
      </c>
      <c r="F887" s="2" t="e">
        <f t="shared" si="53"/>
        <v>#VALUE!</v>
      </c>
      <c r="G887" s="13" t="e">
        <f t="shared" si="54"/>
        <v>#VALUE!</v>
      </c>
      <c r="J887" t="str">
        <f>MAIN!A892&amp;"B"</f>
        <v>B</v>
      </c>
      <c r="K887" s="12" t="e">
        <f t="shared" si="55"/>
        <v>#VALUE!</v>
      </c>
      <c r="L887" t="str">
        <f>MAIN!C892</f>
        <v/>
      </c>
    </row>
    <row r="888" spans="1:12" x14ac:dyDescent="0.3">
      <c r="A888">
        <f>IF(J888="0",0,IF(COUNTIF($J$2:J888,J888)=1,1,0))</f>
        <v>0</v>
      </c>
      <c r="B888" s="12" t="e">
        <f>MID(MAIN!A893,K888,2)</f>
        <v>#VALUE!</v>
      </c>
      <c r="C888" s="12" t="e">
        <f t="shared" si="52"/>
        <v>#VALUE!</v>
      </c>
      <c r="D888" s="12" t="e">
        <f>MID(MAIN!A893,K888+2,2)</f>
        <v>#VALUE!</v>
      </c>
      <c r="E888" s="12" t="e">
        <f>MID(MAIN!A893,K888+4,2)</f>
        <v>#VALUE!</v>
      </c>
      <c r="F888" s="2" t="e">
        <f t="shared" si="53"/>
        <v>#VALUE!</v>
      </c>
      <c r="G888" s="13" t="e">
        <f t="shared" si="54"/>
        <v>#VALUE!</v>
      </c>
      <c r="J888" t="str">
        <f>MAIN!A893&amp;"B"</f>
        <v>B</v>
      </c>
      <c r="K888" s="12" t="e">
        <f t="shared" si="55"/>
        <v>#VALUE!</v>
      </c>
      <c r="L888" t="str">
        <f>MAIN!C893</f>
        <v/>
      </c>
    </row>
    <row r="889" spans="1:12" x14ac:dyDescent="0.3">
      <c r="A889">
        <f>IF(J889="0",0,IF(COUNTIF($J$2:J889,J889)=1,1,0))</f>
        <v>0</v>
      </c>
      <c r="B889" s="12" t="e">
        <f>MID(MAIN!A894,K889,2)</f>
        <v>#VALUE!</v>
      </c>
      <c r="C889" s="12" t="e">
        <f t="shared" si="52"/>
        <v>#VALUE!</v>
      </c>
      <c r="D889" s="12" t="e">
        <f>MID(MAIN!A894,K889+2,2)</f>
        <v>#VALUE!</v>
      </c>
      <c r="E889" s="12" t="e">
        <f>MID(MAIN!A894,K889+4,2)</f>
        <v>#VALUE!</v>
      </c>
      <c r="F889" s="2" t="e">
        <f t="shared" si="53"/>
        <v>#VALUE!</v>
      </c>
      <c r="G889" s="13" t="e">
        <f t="shared" si="54"/>
        <v>#VALUE!</v>
      </c>
      <c r="J889" t="str">
        <f>MAIN!A894&amp;"B"</f>
        <v>B</v>
      </c>
      <c r="K889" s="12" t="e">
        <f t="shared" si="55"/>
        <v>#VALUE!</v>
      </c>
      <c r="L889" t="str">
        <f>MAIN!C894</f>
        <v/>
      </c>
    </row>
    <row r="890" spans="1:12" x14ac:dyDescent="0.3">
      <c r="A890">
        <f>IF(J890="0",0,IF(COUNTIF($J$2:J890,J890)=1,1,0))</f>
        <v>0</v>
      </c>
      <c r="B890" s="12" t="e">
        <f>MID(MAIN!A895,K890,2)</f>
        <v>#VALUE!</v>
      </c>
      <c r="C890" s="12" t="e">
        <f t="shared" si="52"/>
        <v>#VALUE!</v>
      </c>
      <c r="D890" s="12" t="e">
        <f>MID(MAIN!A895,K890+2,2)</f>
        <v>#VALUE!</v>
      </c>
      <c r="E890" s="12" t="e">
        <f>MID(MAIN!A895,K890+4,2)</f>
        <v>#VALUE!</v>
      </c>
      <c r="F890" s="2" t="e">
        <f t="shared" si="53"/>
        <v>#VALUE!</v>
      </c>
      <c r="G890" s="13" t="e">
        <f t="shared" si="54"/>
        <v>#VALUE!</v>
      </c>
      <c r="J890" t="str">
        <f>MAIN!A895&amp;"B"</f>
        <v>B</v>
      </c>
      <c r="K890" s="12" t="e">
        <f t="shared" si="55"/>
        <v>#VALUE!</v>
      </c>
      <c r="L890" t="str">
        <f>MAIN!C895</f>
        <v/>
      </c>
    </row>
    <row r="891" spans="1:12" x14ac:dyDescent="0.3">
      <c r="A891">
        <f>IF(J891="0",0,IF(COUNTIF($J$2:J891,J891)=1,1,0))</f>
        <v>0</v>
      </c>
      <c r="B891" s="12" t="e">
        <f>MID(MAIN!A896,K891,2)</f>
        <v>#VALUE!</v>
      </c>
      <c r="C891" s="12" t="e">
        <f t="shared" si="52"/>
        <v>#VALUE!</v>
      </c>
      <c r="D891" s="12" t="e">
        <f>MID(MAIN!A896,K891+2,2)</f>
        <v>#VALUE!</v>
      </c>
      <c r="E891" s="12" t="e">
        <f>MID(MAIN!A896,K891+4,2)</f>
        <v>#VALUE!</v>
      </c>
      <c r="F891" s="2" t="e">
        <f t="shared" si="53"/>
        <v>#VALUE!</v>
      </c>
      <c r="G891" s="13" t="e">
        <f t="shared" si="54"/>
        <v>#VALUE!</v>
      </c>
      <c r="J891" t="str">
        <f>MAIN!A896&amp;"B"</f>
        <v>B</v>
      </c>
      <c r="K891" s="12" t="e">
        <f t="shared" si="55"/>
        <v>#VALUE!</v>
      </c>
      <c r="L891" t="str">
        <f>MAIN!C896</f>
        <v/>
      </c>
    </row>
    <row r="892" spans="1:12" x14ac:dyDescent="0.3">
      <c r="A892">
        <f>IF(J892="0",0,IF(COUNTIF($J$2:J892,J892)=1,1,0))</f>
        <v>0</v>
      </c>
      <c r="B892" s="12" t="e">
        <f>MID(MAIN!A897,K892,2)</f>
        <v>#VALUE!</v>
      </c>
      <c r="C892" s="12" t="e">
        <f t="shared" si="52"/>
        <v>#VALUE!</v>
      </c>
      <c r="D892" s="12" t="e">
        <f>MID(MAIN!A897,K892+2,2)</f>
        <v>#VALUE!</v>
      </c>
      <c r="E892" s="12" t="e">
        <f>MID(MAIN!A897,K892+4,2)</f>
        <v>#VALUE!</v>
      </c>
      <c r="F892" s="2" t="e">
        <f t="shared" si="53"/>
        <v>#VALUE!</v>
      </c>
      <c r="G892" s="13" t="e">
        <f t="shared" si="54"/>
        <v>#VALUE!</v>
      </c>
      <c r="J892" t="str">
        <f>MAIN!A897&amp;"B"</f>
        <v>B</v>
      </c>
      <c r="K892" s="12" t="e">
        <f t="shared" si="55"/>
        <v>#VALUE!</v>
      </c>
      <c r="L892" t="str">
        <f>MAIN!C897</f>
        <v/>
      </c>
    </row>
    <row r="893" spans="1:12" x14ac:dyDescent="0.3">
      <c r="A893">
        <f>IF(J893="0",0,IF(COUNTIF($J$2:J893,J893)=1,1,0))</f>
        <v>0</v>
      </c>
      <c r="B893" s="12" t="e">
        <f>MID(MAIN!A898,K893,2)</f>
        <v>#VALUE!</v>
      </c>
      <c r="C893" s="12" t="e">
        <f t="shared" si="52"/>
        <v>#VALUE!</v>
      </c>
      <c r="D893" s="12" t="e">
        <f>MID(MAIN!A898,K893+2,2)</f>
        <v>#VALUE!</v>
      </c>
      <c r="E893" s="12" t="e">
        <f>MID(MAIN!A898,K893+4,2)</f>
        <v>#VALUE!</v>
      </c>
      <c r="F893" s="2" t="e">
        <f t="shared" si="53"/>
        <v>#VALUE!</v>
      </c>
      <c r="G893" s="13" t="e">
        <f t="shared" si="54"/>
        <v>#VALUE!</v>
      </c>
      <c r="J893" t="str">
        <f>MAIN!A898&amp;"B"</f>
        <v>B</v>
      </c>
      <c r="K893" s="12" t="e">
        <f t="shared" si="55"/>
        <v>#VALUE!</v>
      </c>
      <c r="L893" t="str">
        <f>MAIN!C898</f>
        <v/>
      </c>
    </row>
    <row r="894" spans="1:12" x14ac:dyDescent="0.3">
      <c r="A894">
        <f>IF(J894="0",0,IF(COUNTIF($J$2:J894,J894)=1,1,0))</f>
        <v>0</v>
      </c>
      <c r="B894" s="12" t="e">
        <f>MID(MAIN!A899,K894,2)</f>
        <v>#VALUE!</v>
      </c>
      <c r="C894" s="12" t="e">
        <f t="shared" si="52"/>
        <v>#VALUE!</v>
      </c>
      <c r="D894" s="12" t="e">
        <f>MID(MAIN!A899,K894+2,2)</f>
        <v>#VALUE!</v>
      </c>
      <c r="E894" s="12" t="e">
        <f>MID(MAIN!A899,K894+4,2)</f>
        <v>#VALUE!</v>
      </c>
      <c r="F894" s="2" t="e">
        <f t="shared" si="53"/>
        <v>#VALUE!</v>
      </c>
      <c r="G894" s="13" t="e">
        <f t="shared" si="54"/>
        <v>#VALUE!</v>
      </c>
      <c r="J894" t="str">
        <f>MAIN!A899&amp;"B"</f>
        <v>B</v>
      </c>
      <c r="K894" s="12" t="e">
        <f t="shared" si="55"/>
        <v>#VALUE!</v>
      </c>
      <c r="L894" t="str">
        <f>MAIN!C899</f>
        <v/>
      </c>
    </row>
    <row r="895" spans="1:12" x14ac:dyDescent="0.3">
      <c r="A895">
        <f>IF(J895="0",0,IF(COUNTIF($J$2:J895,J895)=1,1,0))</f>
        <v>0</v>
      </c>
      <c r="B895" s="12" t="e">
        <f>MID(MAIN!A900,K895,2)</f>
        <v>#VALUE!</v>
      </c>
      <c r="C895" s="12" t="e">
        <f t="shared" si="52"/>
        <v>#VALUE!</v>
      </c>
      <c r="D895" s="12" t="e">
        <f>MID(MAIN!A900,K895+2,2)</f>
        <v>#VALUE!</v>
      </c>
      <c r="E895" s="12" t="e">
        <f>MID(MAIN!A900,K895+4,2)</f>
        <v>#VALUE!</v>
      </c>
      <c r="F895" s="2" t="e">
        <f t="shared" si="53"/>
        <v>#VALUE!</v>
      </c>
      <c r="G895" s="13" t="e">
        <f t="shared" si="54"/>
        <v>#VALUE!</v>
      </c>
      <c r="J895" t="str">
        <f>MAIN!A900&amp;"B"</f>
        <v>B</v>
      </c>
      <c r="K895" s="12" t="e">
        <f t="shared" si="55"/>
        <v>#VALUE!</v>
      </c>
      <c r="L895" t="str">
        <f>MAIN!C900</f>
        <v/>
      </c>
    </row>
    <row r="896" spans="1:12" x14ac:dyDescent="0.3">
      <c r="A896">
        <f>IF(J896="0",0,IF(COUNTIF($J$2:J896,J896)=1,1,0))</f>
        <v>0</v>
      </c>
      <c r="B896" s="12" t="e">
        <f>MID(MAIN!A901,K896,2)</f>
        <v>#VALUE!</v>
      </c>
      <c r="C896" s="12" t="e">
        <f t="shared" si="52"/>
        <v>#VALUE!</v>
      </c>
      <c r="D896" s="12" t="e">
        <f>MID(MAIN!A901,K896+2,2)</f>
        <v>#VALUE!</v>
      </c>
      <c r="E896" s="12" t="e">
        <f>MID(MAIN!A901,K896+4,2)</f>
        <v>#VALUE!</v>
      </c>
      <c r="F896" s="2" t="e">
        <f t="shared" si="53"/>
        <v>#VALUE!</v>
      </c>
      <c r="G896" s="13" t="e">
        <f t="shared" si="54"/>
        <v>#VALUE!</v>
      </c>
      <c r="J896" t="str">
        <f>MAIN!A901&amp;"B"</f>
        <v>B</v>
      </c>
      <c r="K896" s="12" t="e">
        <f t="shared" si="55"/>
        <v>#VALUE!</v>
      </c>
      <c r="L896" t="str">
        <f>MAIN!C901</f>
        <v/>
      </c>
    </row>
    <row r="897" spans="1:12" x14ac:dyDescent="0.3">
      <c r="A897">
        <f>IF(J897="0",0,IF(COUNTIF($J$2:J897,J897)=1,1,0))</f>
        <v>0</v>
      </c>
      <c r="B897" s="12" t="e">
        <f>MID(MAIN!A902,K897,2)</f>
        <v>#VALUE!</v>
      </c>
      <c r="C897" s="12" t="e">
        <f t="shared" si="52"/>
        <v>#VALUE!</v>
      </c>
      <c r="D897" s="12" t="e">
        <f>MID(MAIN!A902,K897+2,2)</f>
        <v>#VALUE!</v>
      </c>
      <c r="E897" s="12" t="e">
        <f>MID(MAIN!A902,K897+4,2)</f>
        <v>#VALUE!</v>
      </c>
      <c r="F897" s="2" t="e">
        <f t="shared" si="53"/>
        <v>#VALUE!</v>
      </c>
      <c r="G897" s="13" t="e">
        <f t="shared" si="54"/>
        <v>#VALUE!</v>
      </c>
      <c r="J897" t="str">
        <f>MAIN!A902&amp;"B"</f>
        <v>B</v>
      </c>
      <c r="K897" s="12" t="e">
        <f t="shared" si="55"/>
        <v>#VALUE!</v>
      </c>
      <c r="L897" t="str">
        <f>MAIN!C902</f>
        <v/>
      </c>
    </row>
    <row r="898" spans="1:12" x14ac:dyDescent="0.3">
      <c r="A898">
        <f>IF(J898="0",0,IF(COUNTIF($J$2:J898,J898)=1,1,0))</f>
        <v>0</v>
      </c>
      <c r="B898" s="12" t="e">
        <f>MID(MAIN!A903,K898,2)</f>
        <v>#VALUE!</v>
      </c>
      <c r="C898" s="12" t="e">
        <f t="shared" si="52"/>
        <v>#VALUE!</v>
      </c>
      <c r="D898" s="12" t="e">
        <f>MID(MAIN!A903,K898+2,2)</f>
        <v>#VALUE!</v>
      </c>
      <c r="E898" s="12" t="e">
        <f>MID(MAIN!A903,K898+4,2)</f>
        <v>#VALUE!</v>
      </c>
      <c r="F898" s="2" t="e">
        <f t="shared" si="53"/>
        <v>#VALUE!</v>
      </c>
      <c r="G898" s="13" t="e">
        <f t="shared" si="54"/>
        <v>#VALUE!</v>
      </c>
      <c r="J898" t="str">
        <f>MAIN!A903&amp;"B"</f>
        <v>B</v>
      </c>
      <c r="K898" s="12" t="e">
        <f t="shared" si="55"/>
        <v>#VALUE!</v>
      </c>
      <c r="L898" t="str">
        <f>MAIN!C903</f>
        <v/>
      </c>
    </row>
    <row r="899" spans="1:12" x14ac:dyDescent="0.3">
      <c r="A899">
        <f>IF(J899="0",0,IF(COUNTIF($J$2:J899,J899)=1,1,0))</f>
        <v>0</v>
      </c>
      <c r="B899" s="12" t="e">
        <f>MID(MAIN!A904,K899,2)</f>
        <v>#VALUE!</v>
      </c>
      <c r="C899" s="12" t="e">
        <f t="shared" ref="C899:C962" si="56">"20"&amp;B899</f>
        <v>#VALUE!</v>
      </c>
      <c r="D899" s="12" t="e">
        <f>MID(MAIN!A904,K899+2,2)</f>
        <v>#VALUE!</v>
      </c>
      <c r="E899" s="12" t="e">
        <f>MID(MAIN!A904,K899+4,2)</f>
        <v>#VALUE!</v>
      </c>
      <c r="F899" s="2" t="e">
        <f t="shared" ref="F899:F962" si="57">C899&amp;"/"&amp;D899&amp;"/"&amp;E899</f>
        <v>#VALUE!</v>
      </c>
      <c r="G899" s="13" t="e">
        <f t="shared" ref="G899:G962" si="58">DATEVALUE(F899)</f>
        <v>#VALUE!</v>
      </c>
      <c r="J899" t="str">
        <f>MAIN!A904&amp;"B"</f>
        <v>B</v>
      </c>
      <c r="K899" s="12" t="e">
        <f t="shared" ref="K899:K962" si="59">FIND("172",J899,30)+2</f>
        <v>#VALUE!</v>
      </c>
      <c r="L899" t="str">
        <f>MAIN!C904</f>
        <v/>
      </c>
    </row>
    <row r="900" spans="1:12" x14ac:dyDescent="0.3">
      <c r="A900">
        <f>IF(J900="0",0,IF(COUNTIF($J$2:J900,J900)=1,1,0))</f>
        <v>0</v>
      </c>
      <c r="B900" s="12" t="e">
        <f>MID(MAIN!A905,K900,2)</f>
        <v>#VALUE!</v>
      </c>
      <c r="C900" s="12" t="e">
        <f t="shared" si="56"/>
        <v>#VALUE!</v>
      </c>
      <c r="D900" s="12" t="e">
        <f>MID(MAIN!A905,K900+2,2)</f>
        <v>#VALUE!</v>
      </c>
      <c r="E900" s="12" t="e">
        <f>MID(MAIN!A905,K900+4,2)</f>
        <v>#VALUE!</v>
      </c>
      <c r="F900" s="2" t="e">
        <f t="shared" si="57"/>
        <v>#VALUE!</v>
      </c>
      <c r="G900" s="13" t="e">
        <f t="shared" si="58"/>
        <v>#VALUE!</v>
      </c>
      <c r="J900" t="str">
        <f>MAIN!A905&amp;"B"</f>
        <v>B</v>
      </c>
      <c r="K900" s="12" t="e">
        <f t="shared" si="59"/>
        <v>#VALUE!</v>
      </c>
      <c r="L900" t="str">
        <f>MAIN!C905</f>
        <v/>
      </c>
    </row>
    <row r="901" spans="1:12" x14ac:dyDescent="0.3">
      <c r="A901">
        <f>IF(J901="0",0,IF(COUNTIF($J$2:J901,J901)=1,1,0))</f>
        <v>0</v>
      </c>
      <c r="B901" s="12" t="e">
        <f>MID(MAIN!A906,K901,2)</f>
        <v>#VALUE!</v>
      </c>
      <c r="C901" s="12" t="e">
        <f t="shared" si="56"/>
        <v>#VALUE!</v>
      </c>
      <c r="D901" s="12" t="e">
        <f>MID(MAIN!A906,K901+2,2)</f>
        <v>#VALUE!</v>
      </c>
      <c r="E901" s="12" t="e">
        <f>MID(MAIN!A906,K901+4,2)</f>
        <v>#VALUE!</v>
      </c>
      <c r="F901" s="2" t="e">
        <f t="shared" si="57"/>
        <v>#VALUE!</v>
      </c>
      <c r="G901" s="13" t="e">
        <f t="shared" si="58"/>
        <v>#VALUE!</v>
      </c>
      <c r="J901" t="str">
        <f>MAIN!A906&amp;"B"</f>
        <v>B</v>
      </c>
      <c r="K901" s="12" t="e">
        <f t="shared" si="59"/>
        <v>#VALUE!</v>
      </c>
      <c r="L901" t="str">
        <f>MAIN!C906</f>
        <v/>
      </c>
    </row>
    <row r="902" spans="1:12" x14ac:dyDescent="0.3">
      <c r="A902">
        <f>IF(J902="0",0,IF(COUNTIF($J$2:J902,J902)=1,1,0))</f>
        <v>0</v>
      </c>
      <c r="B902" s="12" t="e">
        <f>MID(MAIN!A907,K902,2)</f>
        <v>#VALUE!</v>
      </c>
      <c r="C902" s="12" t="e">
        <f t="shared" si="56"/>
        <v>#VALUE!</v>
      </c>
      <c r="D902" s="12" t="e">
        <f>MID(MAIN!A907,K902+2,2)</f>
        <v>#VALUE!</v>
      </c>
      <c r="E902" s="12" t="e">
        <f>MID(MAIN!A907,K902+4,2)</f>
        <v>#VALUE!</v>
      </c>
      <c r="F902" s="2" t="e">
        <f t="shared" si="57"/>
        <v>#VALUE!</v>
      </c>
      <c r="G902" s="13" t="e">
        <f t="shared" si="58"/>
        <v>#VALUE!</v>
      </c>
      <c r="J902" t="str">
        <f>MAIN!A907&amp;"B"</f>
        <v>B</v>
      </c>
      <c r="K902" s="12" t="e">
        <f t="shared" si="59"/>
        <v>#VALUE!</v>
      </c>
      <c r="L902" t="str">
        <f>MAIN!C907</f>
        <v/>
      </c>
    </row>
    <row r="903" spans="1:12" x14ac:dyDescent="0.3">
      <c r="A903">
        <f>IF(J903="0",0,IF(COUNTIF($J$2:J903,J903)=1,1,0))</f>
        <v>0</v>
      </c>
      <c r="B903" s="12" t="e">
        <f>MID(MAIN!A908,K903,2)</f>
        <v>#VALUE!</v>
      </c>
      <c r="C903" s="12" t="e">
        <f t="shared" si="56"/>
        <v>#VALUE!</v>
      </c>
      <c r="D903" s="12" t="e">
        <f>MID(MAIN!A908,K903+2,2)</f>
        <v>#VALUE!</v>
      </c>
      <c r="E903" s="12" t="e">
        <f>MID(MAIN!A908,K903+4,2)</f>
        <v>#VALUE!</v>
      </c>
      <c r="F903" s="2" t="e">
        <f t="shared" si="57"/>
        <v>#VALUE!</v>
      </c>
      <c r="G903" s="13" t="e">
        <f t="shared" si="58"/>
        <v>#VALUE!</v>
      </c>
      <c r="J903" t="str">
        <f>MAIN!A908&amp;"B"</f>
        <v>B</v>
      </c>
      <c r="K903" s="12" t="e">
        <f t="shared" si="59"/>
        <v>#VALUE!</v>
      </c>
      <c r="L903" t="str">
        <f>MAIN!C908</f>
        <v/>
      </c>
    </row>
    <row r="904" spans="1:12" x14ac:dyDescent="0.3">
      <c r="A904">
        <f>IF(J904="0",0,IF(COUNTIF($J$2:J904,J904)=1,1,0))</f>
        <v>0</v>
      </c>
      <c r="B904" s="12" t="e">
        <f>MID(MAIN!A909,K904,2)</f>
        <v>#VALUE!</v>
      </c>
      <c r="C904" s="12" t="e">
        <f t="shared" si="56"/>
        <v>#VALUE!</v>
      </c>
      <c r="D904" s="12" t="e">
        <f>MID(MAIN!A909,K904+2,2)</f>
        <v>#VALUE!</v>
      </c>
      <c r="E904" s="12" t="e">
        <f>MID(MAIN!A909,K904+4,2)</f>
        <v>#VALUE!</v>
      </c>
      <c r="F904" s="2" t="e">
        <f t="shared" si="57"/>
        <v>#VALUE!</v>
      </c>
      <c r="G904" s="13" t="e">
        <f t="shared" si="58"/>
        <v>#VALUE!</v>
      </c>
      <c r="J904" t="str">
        <f>MAIN!A909&amp;"B"</f>
        <v>B</v>
      </c>
      <c r="K904" s="12" t="e">
        <f t="shared" si="59"/>
        <v>#VALUE!</v>
      </c>
      <c r="L904" t="str">
        <f>MAIN!C909</f>
        <v/>
      </c>
    </row>
    <row r="905" spans="1:12" x14ac:dyDescent="0.3">
      <c r="A905">
        <f>IF(J905="0",0,IF(COUNTIF($J$2:J905,J905)=1,1,0))</f>
        <v>0</v>
      </c>
      <c r="B905" s="12" t="e">
        <f>MID(MAIN!A910,K905,2)</f>
        <v>#VALUE!</v>
      </c>
      <c r="C905" s="12" t="e">
        <f t="shared" si="56"/>
        <v>#VALUE!</v>
      </c>
      <c r="D905" s="12" t="e">
        <f>MID(MAIN!A910,K905+2,2)</f>
        <v>#VALUE!</v>
      </c>
      <c r="E905" s="12" t="e">
        <f>MID(MAIN!A910,K905+4,2)</f>
        <v>#VALUE!</v>
      </c>
      <c r="F905" s="2" t="e">
        <f t="shared" si="57"/>
        <v>#VALUE!</v>
      </c>
      <c r="G905" s="13" t="e">
        <f t="shared" si="58"/>
        <v>#VALUE!</v>
      </c>
      <c r="J905" t="str">
        <f>MAIN!A910&amp;"B"</f>
        <v>B</v>
      </c>
      <c r="K905" s="12" t="e">
        <f t="shared" si="59"/>
        <v>#VALUE!</v>
      </c>
      <c r="L905" t="str">
        <f>MAIN!C910</f>
        <v/>
      </c>
    </row>
    <row r="906" spans="1:12" x14ac:dyDescent="0.3">
      <c r="A906">
        <f>IF(J906="0",0,IF(COUNTIF($J$2:J906,J906)=1,1,0))</f>
        <v>0</v>
      </c>
      <c r="B906" s="12" t="e">
        <f>MID(MAIN!A911,K906,2)</f>
        <v>#VALUE!</v>
      </c>
      <c r="C906" s="12" t="e">
        <f t="shared" si="56"/>
        <v>#VALUE!</v>
      </c>
      <c r="D906" s="12" t="e">
        <f>MID(MAIN!A911,K906+2,2)</f>
        <v>#VALUE!</v>
      </c>
      <c r="E906" s="12" t="e">
        <f>MID(MAIN!A911,K906+4,2)</f>
        <v>#VALUE!</v>
      </c>
      <c r="F906" s="2" t="e">
        <f t="shared" si="57"/>
        <v>#VALUE!</v>
      </c>
      <c r="G906" s="13" t="e">
        <f t="shared" si="58"/>
        <v>#VALUE!</v>
      </c>
      <c r="J906" t="str">
        <f>MAIN!A911&amp;"B"</f>
        <v>B</v>
      </c>
      <c r="K906" s="12" t="e">
        <f t="shared" si="59"/>
        <v>#VALUE!</v>
      </c>
      <c r="L906" t="str">
        <f>MAIN!C911</f>
        <v/>
      </c>
    </row>
    <row r="907" spans="1:12" x14ac:dyDescent="0.3">
      <c r="A907">
        <f>IF(J907="0",0,IF(COUNTIF($J$2:J907,J907)=1,1,0))</f>
        <v>0</v>
      </c>
      <c r="B907" s="12" t="e">
        <f>MID(MAIN!A912,K907,2)</f>
        <v>#VALUE!</v>
      </c>
      <c r="C907" s="12" t="e">
        <f t="shared" si="56"/>
        <v>#VALUE!</v>
      </c>
      <c r="D907" s="12" t="e">
        <f>MID(MAIN!A912,K907+2,2)</f>
        <v>#VALUE!</v>
      </c>
      <c r="E907" s="12" t="e">
        <f>MID(MAIN!A912,K907+4,2)</f>
        <v>#VALUE!</v>
      </c>
      <c r="F907" s="2" t="e">
        <f t="shared" si="57"/>
        <v>#VALUE!</v>
      </c>
      <c r="G907" s="13" t="e">
        <f t="shared" si="58"/>
        <v>#VALUE!</v>
      </c>
      <c r="J907" t="str">
        <f>MAIN!A912&amp;"B"</f>
        <v>B</v>
      </c>
      <c r="K907" s="12" t="e">
        <f t="shared" si="59"/>
        <v>#VALUE!</v>
      </c>
      <c r="L907" t="str">
        <f>MAIN!C912</f>
        <v/>
      </c>
    </row>
    <row r="908" spans="1:12" x14ac:dyDescent="0.3">
      <c r="A908">
        <f>IF(J908="0",0,IF(COUNTIF($J$2:J908,J908)=1,1,0))</f>
        <v>0</v>
      </c>
      <c r="B908" s="12" t="e">
        <f>MID(MAIN!A913,K908,2)</f>
        <v>#VALUE!</v>
      </c>
      <c r="C908" s="12" t="e">
        <f t="shared" si="56"/>
        <v>#VALUE!</v>
      </c>
      <c r="D908" s="12" t="e">
        <f>MID(MAIN!A913,K908+2,2)</f>
        <v>#VALUE!</v>
      </c>
      <c r="E908" s="12" t="e">
        <f>MID(MAIN!A913,K908+4,2)</f>
        <v>#VALUE!</v>
      </c>
      <c r="F908" s="2" t="e">
        <f t="shared" si="57"/>
        <v>#VALUE!</v>
      </c>
      <c r="G908" s="13" t="e">
        <f t="shared" si="58"/>
        <v>#VALUE!</v>
      </c>
      <c r="J908" t="str">
        <f>MAIN!A913&amp;"B"</f>
        <v>B</v>
      </c>
      <c r="K908" s="12" t="e">
        <f t="shared" si="59"/>
        <v>#VALUE!</v>
      </c>
      <c r="L908" t="str">
        <f>MAIN!C913</f>
        <v/>
      </c>
    </row>
    <row r="909" spans="1:12" x14ac:dyDescent="0.3">
      <c r="A909">
        <f>IF(J909="0",0,IF(COUNTIF($J$2:J909,J909)=1,1,0))</f>
        <v>0</v>
      </c>
      <c r="B909" s="12" t="e">
        <f>MID(MAIN!A914,K909,2)</f>
        <v>#VALUE!</v>
      </c>
      <c r="C909" s="12" t="e">
        <f t="shared" si="56"/>
        <v>#VALUE!</v>
      </c>
      <c r="D909" s="12" t="e">
        <f>MID(MAIN!A914,K909+2,2)</f>
        <v>#VALUE!</v>
      </c>
      <c r="E909" s="12" t="e">
        <f>MID(MAIN!A914,K909+4,2)</f>
        <v>#VALUE!</v>
      </c>
      <c r="F909" s="2" t="e">
        <f t="shared" si="57"/>
        <v>#VALUE!</v>
      </c>
      <c r="G909" s="13" t="e">
        <f t="shared" si="58"/>
        <v>#VALUE!</v>
      </c>
      <c r="J909" t="str">
        <f>MAIN!A914&amp;"B"</f>
        <v>B</v>
      </c>
      <c r="K909" s="12" t="e">
        <f t="shared" si="59"/>
        <v>#VALUE!</v>
      </c>
      <c r="L909" t="str">
        <f>MAIN!C914</f>
        <v/>
      </c>
    </row>
    <row r="910" spans="1:12" x14ac:dyDescent="0.3">
      <c r="A910">
        <f>IF(J910="0",0,IF(COUNTIF($J$2:J910,J910)=1,1,0))</f>
        <v>0</v>
      </c>
      <c r="B910" s="12" t="e">
        <f>MID(MAIN!A915,K910,2)</f>
        <v>#VALUE!</v>
      </c>
      <c r="C910" s="12" t="e">
        <f t="shared" si="56"/>
        <v>#VALUE!</v>
      </c>
      <c r="D910" s="12" t="e">
        <f>MID(MAIN!A915,K910+2,2)</f>
        <v>#VALUE!</v>
      </c>
      <c r="E910" s="12" t="e">
        <f>MID(MAIN!A915,K910+4,2)</f>
        <v>#VALUE!</v>
      </c>
      <c r="F910" s="2" t="e">
        <f t="shared" si="57"/>
        <v>#VALUE!</v>
      </c>
      <c r="G910" s="13" t="e">
        <f t="shared" si="58"/>
        <v>#VALUE!</v>
      </c>
      <c r="J910" t="str">
        <f>MAIN!A915&amp;"B"</f>
        <v>B</v>
      </c>
      <c r="K910" s="12" t="e">
        <f t="shared" si="59"/>
        <v>#VALUE!</v>
      </c>
      <c r="L910" t="str">
        <f>MAIN!C915</f>
        <v/>
      </c>
    </row>
    <row r="911" spans="1:12" x14ac:dyDescent="0.3">
      <c r="A911">
        <f>IF(J911="0",0,IF(COUNTIF($J$2:J911,J911)=1,1,0))</f>
        <v>0</v>
      </c>
      <c r="B911" s="12" t="e">
        <f>MID(MAIN!A916,K911,2)</f>
        <v>#VALUE!</v>
      </c>
      <c r="C911" s="12" t="e">
        <f t="shared" si="56"/>
        <v>#VALUE!</v>
      </c>
      <c r="D911" s="12" t="e">
        <f>MID(MAIN!A916,K911+2,2)</f>
        <v>#VALUE!</v>
      </c>
      <c r="E911" s="12" t="e">
        <f>MID(MAIN!A916,K911+4,2)</f>
        <v>#VALUE!</v>
      </c>
      <c r="F911" s="2" t="e">
        <f t="shared" si="57"/>
        <v>#VALUE!</v>
      </c>
      <c r="G911" s="13" t="e">
        <f t="shared" si="58"/>
        <v>#VALUE!</v>
      </c>
      <c r="J911" t="str">
        <f>MAIN!A916&amp;"B"</f>
        <v>B</v>
      </c>
      <c r="K911" s="12" t="e">
        <f t="shared" si="59"/>
        <v>#VALUE!</v>
      </c>
      <c r="L911" t="str">
        <f>MAIN!C916</f>
        <v/>
      </c>
    </row>
    <row r="912" spans="1:12" x14ac:dyDescent="0.3">
      <c r="A912">
        <f>IF(J912="0",0,IF(COUNTIF($J$2:J912,J912)=1,1,0))</f>
        <v>0</v>
      </c>
      <c r="B912" s="12" t="e">
        <f>MID(MAIN!A917,K912,2)</f>
        <v>#VALUE!</v>
      </c>
      <c r="C912" s="12" t="e">
        <f t="shared" si="56"/>
        <v>#VALUE!</v>
      </c>
      <c r="D912" s="12" t="e">
        <f>MID(MAIN!A917,K912+2,2)</f>
        <v>#VALUE!</v>
      </c>
      <c r="E912" s="12" t="e">
        <f>MID(MAIN!A917,K912+4,2)</f>
        <v>#VALUE!</v>
      </c>
      <c r="F912" s="2" t="e">
        <f t="shared" si="57"/>
        <v>#VALUE!</v>
      </c>
      <c r="G912" s="13" t="e">
        <f t="shared" si="58"/>
        <v>#VALUE!</v>
      </c>
      <c r="J912" t="str">
        <f>MAIN!A917&amp;"B"</f>
        <v>B</v>
      </c>
      <c r="K912" s="12" t="e">
        <f t="shared" si="59"/>
        <v>#VALUE!</v>
      </c>
      <c r="L912" t="str">
        <f>MAIN!C917</f>
        <v/>
      </c>
    </row>
    <row r="913" spans="1:12" x14ac:dyDescent="0.3">
      <c r="A913">
        <f>IF(J913="0",0,IF(COUNTIF($J$2:J913,J913)=1,1,0))</f>
        <v>0</v>
      </c>
      <c r="B913" s="12" t="e">
        <f>MID(MAIN!A918,K913,2)</f>
        <v>#VALUE!</v>
      </c>
      <c r="C913" s="12" t="e">
        <f t="shared" si="56"/>
        <v>#VALUE!</v>
      </c>
      <c r="D913" s="12" t="e">
        <f>MID(MAIN!A918,K913+2,2)</f>
        <v>#VALUE!</v>
      </c>
      <c r="E913" s="12" t="e">
        <f>MID(MAIN!A918,K913+4,2)</f>
        <v>#VALUE!</v>
      </c>
      <c r="F913" s="2" t="e">
        <f t="shared" si="57"/>
        <v>#VALUE!</v>
      </c>
      <c r="G913" s="13" t="e">
        <f t="shared" si="58"/>
        <v>#VALUE!</v>
      </c>
      <c r="J913" t="str">
        <f>MAIN!A918&amp;"B"</f>
        <v>B</v>
      </c>
      <c r="K913" s="12" t="e">
        <f t="shared" si="59"/>
        <v>#VALUE!</v>
      </c>
      <c r="L913" t="str">
        <f>MAIN!C918</f>
        <v/>
      </c>
    </row>
    <row r="914" spans="1:12" x14ac:dyDescent="0.3">
      <c r="A914">
        <f>IF(J914="0",0,IF(COUNTIF($J$2:J914,J914)=1,1,0))</f>
        <v>0</v>
      </c>
      <c r="B914" s="12" t="e">
        <f>MID(MAIN!A919,K914,2)</f>
        <v>#VALUE!</v>
      </c>
      <c r="C914" s="12" t="e">
        <f t="shared" si="56"/>
        <v>#VALUE!</v>
      </c>
      <c r="D914" s="12" t="e">
        <f>MID(MAIN!A919,K914+2,2)</f>
        <v>#VALUE!</v>
      </c>
      <c r="E914" s="12" t="e">
        <f>MID(MAIN!A919,K914+4,2)</f>
        <v>#VALUE!</v>
      </c>
      <c r="F914" s="2" t="e">
        <f t="shared" si="57"/>
        <v>#VALUE!</v>
      </c>
      <c r="G914" s="13" t="e">
        <f t="shared" si="58"/>
        <v>#VALUE!</v>
      </c>
      <c r="J914" t="str">
        <f>MAIN!A919&amp;"B"</f>
        <v>B</v>
      </c>
      <c r="K914" s="12" t="e">
        <f t="shared" si="59"/>
        <v>#VALUE!</v>
      </c>
      <c r="L914" t="str">
        <f>MAIN!C919</f>
        <v/>
      </c>
    </row>
    <row r="915" spans="1:12" x14ac:dyDescent="0.3">
      <c r="A915">
        <f>IF(J915="0",0,IF(COUNTIF($J$2:J915,J915)=1,1,0))</f>
        <v>0</v>
      </c>
      <c r="B915" s="12" t="e">
        <f>MID(MAIN!A920,K915,2)</f>
        <v>#VALUE!</v>
      </c>
      <c r="C915" s="12" t="e">
        <f t="shared" si="56"/>
        <v>#VALUE!</v>
      </c>
      <c r="D915" s="12" t="e">
        <f>MID(MAIN!A920,K915+2,2)</f>
        <v>#VALUE!</v>
      </c>
      <c r="E915" s="12" t="e">
        <f>MID(MAIN!A920,K915+4,2)</f>
        <v>#VALUE!</v>
      </c>
      <c r="F915" s="2" t="e">
        <f t="shared" si="57"/>
        <v>#VALUE!</v>
      </c>
      <c r="G915" s="13" t="e">
        <f t="shared" si="58"/>
        <v>#VALUE!</v>
      </c>
      <c r="J915" t="str">
        <f>MAIN!A920&amp;"B"</f>
        <v>B</v>
      </c>
      <c r="K915" s="12" t="e">
        <f t="shared" si="59"/>
        <v>#VALUE!</v>
      </c>
      <c r="L915" t="str">
        <f>MAIN!C920</f>
        <v/>
      </c>
    </row>
    <row r="916" spans="1:12" x14ac:dyDescent="0.3">
      <c r="A916">
        <f>IF(J916="0",0,IF(COUNTIF($J$2:J916,J916)=1,1,0))</f>
        <v>0</v>
      </c>
      <c r="B916" s="12" t="e">
        <f>MID(MAIN!A921,K916,2)</f>
        <v>#VALUE!</v>
      </c>
      <c r="C916" s="12" t="e">
        <f t="shared" si="56"/>
        <v>#VALUE!</v>
      </c>
      <c r="D916" s="12" t="e">
        <f>MID(MAIN!A921,K916+2,2)</f>
        <v>#VALUE!</v>
      </c>
      <c r="E916" s="12" t="e">
        <f>MID(MAIN!A921,K916+4,2)</f>
        <v>#VALUE!</v>
      </c>
      <c r="F916" s="2" t="e">
        <f t="shared" si="57"/>
        <v>#VALUE!</v>
      </c>
      <c r="G916" s="13" t="e">
        <f t="shared" si="58"/>
        <v>#VALUE!</v>
      </c>
      <c r="J916" t="str">
        <f>MAIN!A921&amp;"B"</f>
        <v>B</v>
      </c>
      <c r="K916" s="12" t="e">
        <f t="shared" si="59"/>
        <v>#VALUE!</v>
      </c>
      <c r="L916" t="str">
        <f>MAIN!C921</f>
        <v/>
      </c>
    </row>
    <row r="917" spans="1:12" x14ac:dyDescent="0.3">
      <c r="A917">
        <f>IF(J917="0",0,IF(COUNTIF($J$2:J917,J917)=1,1,0))</f>
        <v>0</v>
      </c>
      <c r="B917" s="12" t="e">
        <f>MID(MAIN!A922,K917,2)</f>
        <v>#VALUE!</v>
      </c>
      <c r="C917" s="12" t="e">
        <f t="shared" si="56"/>
        <v>#VALUE!</v>
      </c>
      <c r="D917" s="12" t="e">
        <f>MID(MAIN!A922,K917+2,2)</f>
        <v>#VALUE!</v>
      </c>
      <c r="E917" s="12" t="e">
        <f>MID(MAIN!A922,K917+4,2)</f>
        <v>#VALUE!</v>
      </c>
      <c r="F917" s="2" t="e">
        <f t="shared" si="57"/>
        <v>#VALUE!</v>
      </c>
      <c r="G917" s="13" t="e">
        <f t="shared" si="58"/>
        <v>#VALUE!</v>
      </c>
      <c r="J917" t="str">
        <f>MAIN!A922&amp;"B"</f>
        <v>B</v>
      </c>
      <c r="K917" s="12" t="e">
        <f t="shared" si="59"/>
        <v>#VALUE!</v>
      </c>
      <c r="L917" t="str">
        <f>MAIN!C922</f>
        <v/>
      </c>
    </row>
    <row r="918" spans="1:12" x14ac:dyDescent="0.3">
      <c r="A918">
        <f>IF(J918="0",0,IF(COUNTIF($J$2:J918,J918)=1,1,0))</f>
        <v>0</v>
      </c>
      <c r="B918" s="12" t="e">
        <f>MID(MAIN!A923,K918,2)</f>
        <v>#VALUE!</v>
      </c>
      <c r="C918" s="12" t="e">
        <f t="shared" si="56"/>
        <v>#VALUE!</v>
      </c>
      <c r="D918" s="12" t="e">
        <f>MID(MAIN!A923,K918+2,2)</f>
        <v>#VALUE!</v>
      </c>
      <c r="E918" s="12" t="e">
        <f>MID(MAIN!A923,K918+4,2)</f>
        <v>#VALUE!</v>
      </c>
      <c r="F918" s="2" t="e">
        <f t="shared" si="57"/>
        <v>#VALUE!</v>
      </c>
      <c r="G918" s="13" t="e">
        <f t="shared" si="58"/>
        <v>#VALUE!</v>
      </c>
      <c r="J918" t="str">
        <f>MAIN!A923&amp;"B"</f>
        <v>B</v>
      </c>
      <c r="K918" s="12" t="e">
        <f t="shared" si="59"/>
        <v>#VALUE!</v>
      </c>
      <c r="L918" t="str">
        <f>MAIN!C923</f>
        <v/>
      </c>
    </row>
    <row r="919" spans="1:12" x14ac:dyDescent="0.3">
      <c r="A919">
        <f>IF(J919="0",0,IF(COUNTIF($J$2:J919,J919)=1,1,0))</f>
        <v>0</v>
      </c>
      <c r="B919" s="12" t="e">
        <f>MID(MAIN!A924,K919,2)</f>
        <v>#VALUE!</v>
      </c>
      <c r="C919" s="12" t="e">
        <f t="shared" si="56"/>
        <v>#VALUE!</v>
      </c>
      <c r="D919" s="12" t="e">
        <f>MID(MAIN!A924,K919+2,2)</f>
        <v>#VALUE!</v>
      </c>
      <c r="E919" s="12" t="e">
        <f>MID(MAIN!A924,K919+4,2)</f>
        <v>#VALUE!</v>
      </c>
      <c r="F919" s="2" t="e">
        <f t="shared" si="57"/>
        <v>#VALUE!</v>
      </c>
      <c r="G919" s="13" t="e">
        <f t="shared" si="58"/>
        <v>#VALUE!</v>
      </c>
      <c r="J919" t="str">
        <f>MAIN!A924&amp;"B"</f>
        <v>B</v>
      </c>
      <c r="K919" s="12" t="e">
        <f t="shared" si="59"/>
        <v>#VALUE!</v>
      </c>
      <c r="L919" t="str">
        <f>MAIN!C924</f>
        <v/>
      </c>
    </row>
    <row r="920" spans="1:12" x14ac:dyDescent="0.3">
      <c r="A920">
        <f>IF(J920="0",0,IF(COUNTIF($J$2:J920,J920)=1,1,0))</f>
        <v>0</v>
      </c>
      <c r="B920" s="12" t="e">
        <f>MID(MAIN!A925,K920,2)</f>
        <v>#VALUE!</v>
      </c>
      <c r="C920" s="12" t="e">
        <f t="shared" si="56"/>
        <v>#VALUE!</v>
      </c>
      <c r="D920" s="12" t="e">
        <f>MID(MAIN!A925,K920+2,2)</f>
        <v>#VALUE!</v>
      </c>
      <c r="E920" s="12" t="e">
        <f>MID(MAIN!A925,K920+4,2)</f>
        <v>#VALUE!</v>
      </c>
      <c r="F920" s="2" t="e">
        <f t="shared" si="57"/>
        <v>#VALUE!</v>
      </c>
      <c r="G920" s="13" t="e">
        <f t="shared" si="58"/>
        <v>#VALUE!</v>
      </c>
      <c r="J920" t="str">
        <f>MAIN!A925&amp;"B"</f>
        <v>B</v>
      </c>
      <c r="K920" s="12" t="e">
        <f t="shared" si="59"/>
        <v>#VALUE!</v>
      </c>
      <c r="L920" t="str">
        <f>MAIN!C925</f>
        <v/>
      </c>
    </row>
    <row r="921" spans="1:12" x14ac:dyDescent="0.3">
      <c r="A921">
        <f>IF(J921="0",0,IF(COUNTIF($J$2:J921,J921)=1,1,0))</f>
        <v>0</v>
      </c>
      <c r="B921" s="12" t="e">
        <f>MID(MAIN!A926,K921,2)</f>
        <v>#VALUE!</v>
      </c>
      <c r="C921" s="12" t="e">
        <f t="shared" si="56"/>
        <v>#VALUE!</v>
      </c>
      <c r="D921" s="12" t="e">
        <f>MID(MAIN!A926,K921+2,2)</f>
        <v>#VALUE!</v>
      </c>
      <c r="E921" s="12" t="e">
        <f>MID(MAIN!A926,K921+4,2)</f>
        <v>#VALUE!</v>
      </c>
      <c r="F921" s="2" t="e">
        <f t="shared" si="57"/>
        <v>#VALUE!</v>
      </c>
      <c r="G921" s="13" t="e">
        <f t="shared" si="58"/>
        <v>#VALUE!</v>
      </c>
      <c r="J921" t="str">
        <f>MAIN!A926&amp;"B"</f>
        <v>B</v>
      </c>
      <c r="K921" s="12" t="e">
        <f t="shared" si="59"/>
        <v>#VALUE!</v>
      </c>
      <c r="L921" t="str">
        <f>MAIN!C926</f>
        <v/>
      </c>
    </row>
    <row r="922" spans="1:12" x14ac:dyDescent="0.3">
      <c r="A922">
        <f>IF(J922="0",0,IF(COUNTIF($J$2:J922,J922)=1,1,0))</f>
        <v>0</v>
      </c>
      <c r="B922" s="12" t="e">
        <f>MID(MAIN!A927,K922,2)</f>
        <v>#VALUE!</v>
      </c>
      <c r="C922" s="12" t="e">
        <f t="shared" si="56"/>
        <v>#VALUE!</v>
      </c>
      <c r="D922" s="12" t="e">
        <f>MID(MAIN!A927,K922+2,2)</f>
        <v>#VALUE!</v>
      </c>
      <c r="E922" s="12" t="e">
        <f>MID(MAIN!A927,K922+4,2)</f>
        <v>#VALUE!</v>
      </c>
      <c r="F922" s="2" t="e">
        <f t="shared" si="57"/>
        <v>#VALUE!</v>
      </c>
      <c r="G922" s="13" t="e">
        <f t="shared" si="58"/>
        <v>#VALUE!</v>
      </c>
      <c r="J922" t="str">
        <f>MAIN!A927&amp;"B"</f>
        <v>B</v>
      </c>
      <c r="K922" s="12" t="e">
        <f t="shared" si="59"/>
        <v>#VALUE!</v>
      </c>
      <c r="L922" t="str">
        <f>MAIN!C927</f>
        <v/>
      </c>
    </row>
    <row r="923" spans="1:12" x14ac:dyDescent="0.3">
      <c r="A923">
        <f>IF(J923="0",0,IF(COUNTIF($J$2:J923,J923)=1,1,0))</f>
        <v>0</v>
      </c>
      <c r="B923" s="12" t="e">
        <f>MID(MAIN!A928,K923,2)</f>
        <v>#VALUE!</v>
      </c>
      <c r="C923" s="12" t="e">
        <f t="shared" si="56"/>
        <v>#VALUE!</v>
      </c>
      <c r="D923" s="12" t="e">
        <f>MID(MAIN!A928,K923+2,2)</f>
        <v>#VALUE!</v>
      </c>
      <c r="E923" s="12" t="e">
        <f>MID(MAIN!A928,K923+4,2)</f>
        <v>#VALUE!</v>
      </c>
      <c r="F923" s="2" t="e">
        <f t="shared" si="57"/>
        <v>#VALUE!</v>
      </c>
      <c r="G923" s="13" t="e">
        <f t="shared" si="58"/>
        <v>#VALUE!</v>
      </c>
      <c r="J923" t="str">
        <f>MAIN!A928&amp;"B"</f>
        <v>B</v>
      </c>
      <c r="K923" s="12" t="e">
        <f t="shared" si="59"/>
        <v>#VALUE!</v>
      </c>
      <c r="L923" t="str">
        <f>MAIN!C928</f>
        <v/>
      </c>
    </row>
    <row r="924" spans="1:12" x14ac:dyDescent="0.3">
      <c r="A924">
        <f>IF(J924="0",0,IF(COUNTIF($J$2:J924,J924)=1,1,0))</f>
        <v>0</v>
      </c>
      <c r="B924" s="12" t="e">
        <f>MID(MAIN!A929,K924,2)</f>
        <v>#VALUE!</v>
      </c>
      <c r="C924" s="12" t="e">
        <f t="shared" si="56"/>
        <v>#VALUE!</v>
      </c>
      <c r="D924" s="12" t="e">
        <f>MID(MAIN!A929,K924+2,2)</f>
        <v>#VALUE!</v>
      </c>
      <c r="E924" s="12" t="e">
        <f>MID(MAIN!A929,K924+4,2)</f>
        <v>#VALUE!</v>
      </c>
      <c r="F924" s="2" t="e">
        <f t="shared" si="57"/>
        <v>#VALUE!</v>
      </c>
      <c r="G924" s="13" t="e">
        <f t="shared" si="58"/>
        <v>#VALUE!</v>
      </c>
      <c r="J924" t="str">
        <f>MAIN!A929&amp;"B"</f>
        <v>B</v>
      </c>
      <c r="K924" s="12" t="e">
        <f t="shared" si="59"/>
        <v>#VALUE!</v>
      </c>
      <c r="L924" t="str">
        <f>MAIN!C929</f>
        <v/>
      </c>
    </row>
    <row r="925" spans="1:12" x14ac:dyDescent="0.3">
      <c r="A925">
        <f>IF(J925="0",0,IF(COUNTIF($J$2:J925,J925)=1,1,0))</f>
        <v>0</v>
      </c>
      <c r="B925" s="12" t="e">
        <f>MID(MAIN!A930,K925,2)</f>
        <v>#VALUE!</v>
      </c>
      <c r="C925" s="12" t="e">
        <f t="shared" si="56"/>
        <v>#VALUE!</v>
      </c>
      <c r="D925" s="12" t="e">
        <f>MID(MAIN!A930,K925+2,2)</f>
        <v>#VALUE!</v>
      </c>
      <c r="E925" s="12" t="e">
        <f>MID(MAIN!A930,K925+4,2)</f>
        <v>#VALUE!</v>
      </c>
      <c r="F925" s="2" t="e">
        <f t="shared" si="57"/>
        <v>#VALUE!</v>
      </c>
      <c r="G925" s="13" t="e">
        <f t="shared" si="58"/>
        <v>#VALUE!</v>
      </c>
      <c r="J925" t="str">
        <f>MAIN!A930&amp;"B"</f>
        <v>B</v>
      </c>
      <c r="K925" s="12" t="e">
        <f t="shared" si="59"/>
        <v>#VALUE!</v>
      </c>
      <c r="L925" t="str">
        <f>MAIN!C930</f>
        <v/>
      </c>
    </row>
    <row r="926" spans="1:12" x14ac:dyDescent="0.3">
      <c r="A926">
        <f>IF(J926="0",0,IF(COUNTIF($J$2:J926,J926)=1,1,0))</f>
        <v>0</v>
      </c>
      <c r="B926" s="12" t="e">
        <f>MID(MAIN!A931,K926,2)</f>
        <v>#VALUE!</v>
      </c>
      <c r="C926" s="12" t="e">
        <f t="shared" si="56"/>
        <v>#VALUE!</v>
      </c>
      <c r="D926" s="12" t="e">
        <f>MID(MAIN!A931,K926+2,2)</f>
        <v>#VALUE!</v>
      </c>
      <c r="E926" s="12" t="e">
        <f>MID(MAIN!A931,K926+4,2)</f>
        <v>#VALUE!</v>
      </c>
      <c r="F926" s="2" t="e">
        <f t="shared" si="57"/>
        <v>#VALUE!</v>
      </c>
      <c r="G926" s="13" t="e">
        <f t="shared" si="58"/>
        <v>#VALUE!</v>
      </c>
      <c r="J926" t="str">
        <f>MAIN!A931&amp;"B"</f>
        <v>B</v>
      </c>
      <c r="K926" s="12" t="e">
        <f t="shared" si="59"/>
        <v>#VALUE!</v>
      </c>
      <c r="L926" t="str">
        <f>MAIN!C931</f>
        <v/>
      </c>
    </row>
    <row r="927" spans="1:12" x14ac:dyDescent="0.3">
      <c r="A927">
        <f>IF(J927="0",0,IF(COUNTIF($J$2:J927,J927)=1,1,0))</f>
        <v>0</v>
      </c>
      <c r="B927" s="12" t="e">
        <f>MID(MAIN!A932,K927,2)</f>
        <v>#VALUE!</v>
      </c>
      <c r="C927" s="12" t="e">
        <f t="shared" si="56"/>
        <v>#VALUE!</v>
      </c>
      <c r="D927" s="12" t="e">
        <f>MID(MAIN!A932,K927+2,2)</f>
        <v>#VALUE!</v>
      </c>
      <c r="E927" s="12" t="e">
        <f>MID(MAIN!A932,K927+4,2)</f>
        <v>#VALUE!</v>
      </c>
      <c r="F927" s="2" t="e">
        <f t="shared" si="57"/>
        <v>#VALUE!</v>
      </c>
      <c r="G927" s="13" t="e">
        <f t="shared" si="58"/>
        <v>#VALUE!</v>
      </c>
      <c r="J927" t="str">
        <f>MAIN!A932&amp;"B"</f>
        <v>B</v>
      </c>
      <c r="K927" s="12" t="e">
        <f t="shared" si="59"/>
        <v>#VALUE!</v>
      </c>
      <c r="L927" t="str">
        <f>MAIN!C932</f>
        <v/>
      </c>
    </row>
    <row r="928" spans="1:12" x14ac:dyDescent="0.3">
      <c r="A928">
        <f>IF(J928="0",0,IF(COUNTIF($J$2:J928,J928)=1,1,0))</f>
        <v>0</v>
      </c>
      <c r="B928" s="12" t="e">
        <f>MID(MAIN!A933,K928,2)</f>
        <v>#VALUE!</v>
      </c>
      <c r="C928" s="12" t="e">
        <f t="shared" si="56"/>
        <v>#VALUE!</v>
      </c>
      <c r="D928" s="12" t="e">
        <f>MID(MAIN!A933,K928+2,2)</f>
        <v>#VALUE!</v>
      </c>
      <c r="E928" s="12" t="e">
        <f>MID(MAIN!A933,K928+4,2)</f>
        <v>#VALUE!</v>
      </c>
      <c r="F928" s="2" t="e">
        <f t="shared" si="57"/>
        <v>#VALUE!</v>
      </c>
      <c r="G928" s="13" t="e">
        <f t="shared" si="58"/>
        <v>#VALUE!</v>
      </c>
      <c r="J928" t="str">
        <f>MAIN!A933&amp;"B"</f>
        <v>B</v>
      </c>
      <c r="K928" s="12" t="e">
        <f t="shared" si="59"/>
        <v>#VALUE!</v>
      </c>
      <c r="L928" t="str">
        <f>MAIN!C933</f>
        <v/>
      </c>
    </row>
    <row r="929" spans="1:12" x14ac:dyDescent="0.3">
      <c r="A929">
        <f>IF(J929="0",0,IF(COUNTIF($J$2:J929,J929)=1,1,0))</f>
        <v>0</v>
      </c>
      <c r="B929" s="12" t="e">
        <f>MID(MAIN!A934,K929,2)</f>
        <v>#VALUE!</v>
      </c>
      <c r="C929" s="12" t="e">
        <f t="shared" si="56"/>
        <v>#VALUE!</v>
      </c>
      <c r="D929" s="12" t="e">
        <f>MID(MAIN!A934,K929+2,2)</f>
        <v>#VALUE!</v>
      </c>
      <c r="E929" s="12" t="e">
        <f>MID(MAIN!A934,K929+4,2)</f>
        <v>#VALUE!</v>
      </c>
      <c r="F929" s="2" t="e">
        <f t="shared" si="57"/>
        <v>#VALUE!</v>
      </c>
      <c r="G929" s="13" t="e">
        <f t="shared" si="58"/>
        <v>#VALUE!</v>
      </c>
      <c r="J929" t="str">
        <f>MAIN!A934&amp;"B"</f>
        <v>B</v>
      </c>
      <c r="K929" s="12" t="e">
        <f t="shared" si="59"/>
        <v>#VALUE!</v>
      </c>
      <c r="L929" t="str">
        <f>MAIN!C934</f>
        <v/>
      </c>
    </row>
    <row r="930" spans="1:12" x14ac:dyDescent="0.3">
      <c r="A930">
        <f>IF(J930="0",0,IF(COUNTIF($J$2:J930,J930)=1,1,0))</f>
        <v>0</v>
      </c>
      <c r="B930" s="12" t="e">
        <f>MID(MAIN!A935,K930,2)</f>
        <v>#VALUE!</v>
      </c>
      <c r="C930" s="12" t="e">
        <f t="shared" si="56"/>
        <v>#VALUE!</v>
      </c>
      <c r="D930" s="12" t="e">
        <f>MID(MAIN!A935,K930+2,2)</f>
        <v>#VALUE!</v>
      </c>
      <c r="E930" s="12" t="e">
        <f>MID(MAIN!A935,K930+4,2)</f>
        <v>#VALUE!</v>
      </c>
      <c r="F930" s="2" t="e">
        <f t="shared" si="57"/>
        <v>#VALUE!</v>
      </c>
      <c r="G930" s="13" t="e">
        <f t="shared" si="58"/>
        <v>#VALUE!</v>
      </c>
      <c r="J930" t="str">
        <f>MAIN!A935&amp;"B"</f>
        <v>B</v>
      </c>
      <c r="K930" s="12" t="e">
        <f t="shared" si="59"/>
        <v>#VALUE!</v>
      </c>
      <c r="L930" t="str">
        <f>MAIN!C935</f>
        <v/>
      </c>
    </row>
    <row r="931" spans="1:12" x14ac:dyDescent="0.3">
      <c r="A931">
        <f>IF(J931="0",0,IF(COUNTIF($J$2:J931,J931)=1,1,0))</f>
        <v>0</v>
      </c>
      <c r="B931" s="12" t="e">
        <f>MID(MAIN!A936,K931,2)</f>
        <v>#VALUE!</v>
      </c>
      <c r="C931" s="12" t="e">
        <f t="shared" si="56"/>
        <v>#VALUE!</v>
      </c>
      <c r="D931" s="12" t="e">
        <f>MID(MAIN!A936,K931+2,2)</f>
        <v>#VALUE!</v>
      </c>
      <c r="E931" s="12" t="e">
        <f>MID(MAIN!A936,K931+4,2)</f>
        <v>#VALUE!</v>
      </c>
      <c r="F931" s="2" t="e">
        <f t="shared" si="57"/>
        <v>#VALUE!</v>
      </c>
      <c r="G931" s="13" t="e">
        <f t="shared" si="58"/>
        <v>#VALUE!</v>
      </c>
      <c r="J931" t="str">
        <f>MAIN!A936&amp;"B"</f>
        <v>B</v>
      </c>
      <c r="K931" s="12" t="e">
        <f t="shared" si="59"/>
        <v>#VALUE!</v>
      </c>
      <c r="L931" t="str">
        <f>MAIN!C936</f>
        <v/>
      </c>
    </row>
    <row r="932" spans="1:12" x14ac:dyDescent="0.3">
      <c r="A932">
        <f>IF(J932="0",0,IF(COUNTIF($J$2:J932,J932)=1,1,0))</f>
        <v>0</v>
      </c>
      <c r="B932" s="12" t="e">
        <f>MID(MAIN!A937,K932,2)</f>
        <v>#VALUE!</v>
      </c>
      <c r="C932" s="12" t="e">
        <f t="shared" si="56"/>
        <v>#VALUE!</v>
      </c>
      <c r="D932" s="12" t="e">
        <f>MID(MAIN!A937,K932+2,2)</f>
        <v>#VALUE!</v>
      </c>
      <c r="E932" s="12" t="e">
        <f>MID(MAIN!A937,K932+4,2)</f>
        <v>#VALUE!</v>
      </c>
      <c r="F932" s="2" t="e">
        <f t="shared" si="57"/>
        <v>#VALUE!</v>
      </c>
      <c r="G932" s="13" t="e">
        <f t="shared" si="58"/>
        <v>#VALUE!</v>
      </c>
      <c r="J932" t="str">
        <f>MAIN!A937&amp;"B"</f>
        <v>B</v>
      </c>
      <c r="K932" s="12" t="e">
        <f t="shared" si="59"/>
        <v>#VALUE!</v>
      </c>
      <c r="L932" t="str">
        <f>MAIN!C937</f>
        <v/>
      </c>
    </row>
    <row r="933" spans="1:12" x14ac:dyDescent="0.3">
      <c r="A933">
        <f>IF(J933="0",0,IF(COUNTIF($J$2:J933,J933)=1,1,0))</f>
        <v>0</v>
      </c>
      <c r="B933" s="12" t="e">
        <f>MID(MAIN!A938,K933,2)</f>
        <v>#VALUE!</v>
      </c>
      <c r="C933" s="12" t="e">
        <f t="shared" si="56"/>
        <v>#VALUE!</v>
      </c>
      <c r="D933" s="12" t="e">
        <f>MID(MAIN!A938,K933+2,2)</f>
        <v>#VALUE!</v>
      </c>
      <c r="E933" s="12" t="e">
        <f>MID(MAIN!A938,K933+4,2)</f>
        <v>#VALUE!</v>
      </c>
      <c r="F933" s="2" t="e">
        <f t="shared" si="57"/>
        <v>#VALUE!</v>
      </c>
      <c r="G933" s="13" t="e">
        <f t="shared" si="58"/>
        <v>#VALUE!</v>
      </c>
      <c r="J933" t="str">
        <f>MAIN!A938&amp;"B"</f>
        <v>B</v>
      </c>
      <c r="K933" s="12" t="e">
        <f t="shared" si="59"/>
        <v>#VALUE!</v>
      </c>
      <c r="L933" t="str">
        <f>MAIN!C938</f>
        <v/>
      </c>
    </row>
    <row r="934" spans="1:12" x14ac:dyDescent="0.3">
      <c r="A934">
        <f>IF(J934="0",0,IF(COUNTIF($J$2:J934,J934)=1,1,0))</f>
        <v>0</v>
      </c>
      <c r="B934" s="12" t="e">
        <f>MID(MAIN!A939,K934,2)</f>
        <v>#VALUE!</v>
      </c>
      <c r="C934" s="12" t="e">
        <f t="shared" si="56"/>
        <v>#VALUE!</v>
      </c>
      <c r="D934" s="12" t="e">
        <f>MID(MAIN!A939,K934+2,2)</f>
        <v>#VALUE!</v>
      </c>
      <c r="E934" s="12" t="e">
        <f>MID(MAIN!A939,K934+4,2)</f>
        <v>#VALUE!</v>
      </c>
      <c r="F934" s="2" t="e">
        <f t="shared" si="57"/>
        <v>#VALUE!</v>
      </c>
      <c r="G934" s="13" t="e">
        <f t="shared" si="58"/>
        <v>#VALUE!</v>
      </c>
      <c r="J934" t="str">
        <f>MAIN!A939&amp;"B"</f>
        <v>B</v>
      </c>
      <c r="K934" s="12" t="e">
        <f t="shared" si="59"/>
        <v>#VALUE!</v>
      </c>
      <c r="L934" t="str">
        <f>MAIN!C939</f>
        <v/>
      </c>
    </row>
    <row r="935" spans="1:12" x14ac:dyDescent="0.3">
      <c r="A935">
        <f>IF(J935="0",0,IF(COUNTIF($J$2:J935,J935)=1,1,0))</f>
        <v>0</v>
      </c>
      <c r="B935" s="12" t="e">
        <f>MID(MAIN!A940,K935,2)</f>
        <v>#VALUE!</v>
      </c>
      <c r="C935" s="12" t="e">
        <f t="shared" si="56"/>
        <v>#VALUE!</v>
      </c>
      <c r="D935" s="12" t="e">
        <f>MID(MAIN!A940,K935+2,2)</f>
        <v>#VALUE!</v>
      </c>
      <c r="E935" s="12" t="e">
        <f>MID(MAIN!A940,K935+4,2)</f>
        <v>#VALUE!</v>
      </c>
      <c r="F935" s="2" t="e">
        <f t="shared" si="57"/>
        <v>#VALUE!</v>
      </c>
      <c r="G935" s="13" t="e">
        <f t="shared" si="58"/>
        <v>#VALUE!</v>
      </c>
      <c r="J935" t="str">
        <f>MAIN!A940&amp;"B"</f>
        <v>B</v>
      </c>
      <c r="K935" s="12" t="e">
        <f t="shared" si="59"/>
        <v>#VALUE!</v>
      </c>
      <c r="L935" t="str">
        <f>MAIN!C940</f>
        <v/>
      </c>
    </row>
    <row r="936" spans="1:12" x14ac:dyDescent="0.3">
      <c r="A936">
        <f>IF(J936="0",0,IF(COUNTIF($J$2:J936,J936)=1,1,0))</f>
        <v>0</v>
      </c>
      <c r="B936" s="12" t="e">
        <f>MID(MAIN!A941,K936,2)</f>
        <v>#VALUE!</v>
      </c>
      <c r="C936" s="12" t="e">
        <f t="shared" si="56"/>
        <v>#VALUE!</v>
      </c>
      <c r="D936" s="12" t="e">
        <f>MID(MAIN!A941,K936+2,2)</f>
        <v>#VALUE!</v>
      </c>
      <c r="E936" s="12" t="e">
        <f>MID(MAIN!A941,K936+4,2)</f>
        <v>#VALUE!</v>
      </c>
      <c r="F936" s="2" t="e">
        <f t="shared" si="57"/>
        <v>#VALUE!</v>
      </c>
      <c r="G936" s="13" t="e">
        <f t="shared" si="58"/>
        <v>#VALUE!</v>
      </c>
      <c r="J936" t="str">
        <f>MAIN!A941&amp;"B"</f>
        <v>B</v>
      </c>
      <c r="K936" s="12" t="e">
        <f t="shared" si="59"/>
        <v>#VALUE!</v>
      </c>
      <c r="L936" t="str">
        <f>MAIN!C941</f>
        <v/>
      </c>
    </row>
    <row r="937" spans="1:12" x14ac:dyDescent="0.3">
      <c r="A937">
        <f>IF(J937="0",0,IF(COUNTIF($J$2:J937,J937)=1,1,0))</f>
        <v>0</v>
      </c>
      <c r="B937" s="12" t="e">
        <f>MID(MAIN!A942,K937,2)</f>
        <v>#VALUE!</v>
      </c>
      <c r="C937" s="12" t="e">
        <f t="shared" si="56"/>
        <v>#VALUE!</v>
      </c>
      <c r="D937" s="12" t="e">
        <f>MID(MAIN!A942,K937+2,2)</f>
        <v>#VALUE!</v>
      </c>
      <c r="E937" s="12" t="e">
        <f>MID(MAIN!A942,K937+4,2)</f>
        <v>#VALUE!</v>
      </c>
      <c r="F937" s="2" t="e">
        <f t="shared" si="57"/>
        <v>#VALUE!</v>
      </c>
      <c r="G937" s="13" t="e">
        <f t="shared" si="58"/>
        <v>#VALUE!</v>
      </c>
      <c r="J937" t="str">
        <f>MAIN!A942&amp;"B"</f>
        <v>B</v>
      </c>
      <c r="K937" s="12" t="e">
        <f t="shared" si="59"/>
        <v>#VALUE!</v>
      </c>
      <c r="L937" t="str">
        <f>MAIN!C942</f>
        <v/>
      </c>
    </row>
    <row r="938" spans="1:12" x14ac:dyDescent="0.3">
      <c r="A938">
        <f>IF(J938="0",0,IF(COUNTIF($J$2:J938,J938)=1,1,0))</f>
        <v>0</v>
      </c>
      <c r="B938" s="12" t="e">
        <f>MID(MAIN!A943,K938,2)</f>
        <v>#VALUE!</v>
      </c>
      <c r="C938" s="12" t="e">
        <f t="shared" si="56"/>
        <v>#VALUE!</v>
      </c>
      <c r="D938" s="12" t="e">
        <f>MID(MAIN!A943,K938+2,2)</f>
        <v>#VALUE!</v>
      </c>
      <c r="E938" s="12" t="e">
        <f>MID(MAIN!A943,K938+4,2)</f>
        <v>#VALUE!</v>
      </c>
      <c r="F938" s="2" t="e">
        <f t="shared" si="57"/>
        <v>#VALUE!</v>
      </c>
      <c r="G938" s="13" t="e">
        <f t="shared" si="58"/>
        <v>#VALUE!</v>
      </c>
      <c r="J938" t="str">
        <f>MAIN!A943&amp;"B"</f>
        <v>B</v>
      </c>
      <c r="K938" s="12" t="e">
        <f t="shared" si="59"/>
        <v>#VALUE!</v>
      </c>
      <c r="L938" t="str">
        <f>MAIN!C943</f>
        <v/>
      </c>
    </row>
    <row r="939" spans="1:12" x14ac:dyDescent="0.3">
      <c r="A939">
        <f>IF(J939="0",0,IF(COUNTIF($J$2:J939,J939)=1,1,0))</f>
        <v>0</v>
      </c>
      <c r="B939" s="12" t="e">
        <f>MID(MAIN!A944,K939,2)</f>
        <v>#VALUE!</v>
      </c>
      <c r="C939" s="12" t="e">
        <f t="shared" si="56"/>
        <v>#VALUE!</v>
      </c>
      <c r="D939" s="12" t="e">
        <f>MID(MAIN!A944,K939+2,2)</f>
        <v>#VALUE!</v>
      </c>
      <c r="E939" s="12" t="e">
        <f>MID(MAIN!A944,K939+4,2)</f>
        <v>#VALUE!</v>
      </c>
      <c r="F939" s="2" t="e">
        <f t="shared" si="57"/>
        <v>#VALUE!</v>
      </c>
      <c r="G939" s="13" t="e">
        <f t="shared" si="58"/>
        <v>#VALUE!</v>
      </c>
      <c r="J939" t="str">
        <f>MAIN!A944&amp;"B"</f>
        <v>B</v>
      </c>
      <c r="K939" s="12" t="e">
        <f t="shared" si="59"/>
        <v>#VALUE!</v>
      </c>
      <c r="L939" t="str">
        <f>MAIN!C944</f>
        <v/>
      </c>
    </row>
    <row r="940" spans="1:12" x14ac:dyDescent="0.3">
      <c r="A940">
        <f>IF(J940="0",0,IF(COUNTIF($J$2:J940,J940)=1,1,0))</f>
        <v>0</v>
      </c>
      <c r="B940" s="12" t="e">
        <f>MID(MAIN!A945,K940,2)</f>
        <v>#VALUE!</v>
      </c>
      <c r="C940" s="12" t="e">
        <f t="shared" si="56"/>
        <v>#VALUE!</v>
      </c>
      <c r="D940" s="12" t="e">
        <f>MID(MAIN!A945,K940+2,2)</f>
        <v>#VALUE!</v>
      </c>
      <c r="E940" s="12" t="e">
        <f>MID(MAIN!A945,K940+4,2)</f>
        <v>#VALUE!</v>
      </c>
      <c r="F940" s="2" t="e">
        <f t="shared" si="57"/>
        <v>#VALUE!</v>
      </c>
      <c r="G940" s="13" t="e">
        <f t="shared" si="58"/>
        <v>#VALUE!</v>
      </c>
      <c r="J940" t="str">
        <f>MAIN!A945&amp;"B"</f>
        <v>B</v>
      </c>
      <c r="K940" s="12" t="e">
        <f t="shared" si="59"/>
        <v>#VALUE!</v>
      </c>
      <c r="L940" t="str">
        <f>MAIN!C945</f>
        <v/>
      </c>
    </row>
    <row r="941" spans="1:12" x14ac:dyDescent="0.3">
      <c r="A941">
        <f>IF(J941="0",0,IF(COUNTIF($J$2:J941,J941)=1,1,0))</f>
        <v>0</v>
      </c>
      <c r="B941" s="12" t="e">
        <f>MID(MAIN!A946,K941,2)</f>
        <v>#VALUE!</v>
      </c>
      <c r="C941" s="12" t="e">
        <f t="shared" si="56"/>
        <v>#VALUE!</v>
      </c>
      <c r="D941" s="12" t="e">
        <f>MID(MAIN!A946,K941+2,2)</f>
        <v>#VALUE!</v>
      </c>
      <c r="E941" s="12" t="e">
        <f>MID(MAIN!A946,K941+4,2)</f>
        <v>#VALUE!</v>
      </c>
      <c r="F941" s="2" t="e">
        <f t="shared" si="57"/>
        <v>#VALUE!</v>
      </c>
      <c r="G941" s="13" t="e">
        <f t="shared" si="58"/>
        <v>#VALUE!</v>
      </c>
      <c r="J941" t="str">
        <f>MAIN!A946&amp;"B"</f>
        <v>B</v>
      </c>
      <c r="K941" s="12" t="e">
        <f t="shared" si="59"/>
        <v>#VALUE!</v>
      </c>
      <c r="L941" t="str">
        <f>MAIN!C946</f>
        <v/>
      </c>
    </row>
    <row r="942" spans="1:12" x14ac:dyDescent="0.3">
      <c r="A942">
        <f>IF(J942="0",0,IF(COUNTIF($J$2:J942,J942)=1,1,0))</f>
        <v>0</v>
      </c>
      <c r="B942" s="12" t="e">
        <f>MID(MAIN!A947,K942,2)</f>
        <v>#VALUE!</v>
      </c>
      <c r="C942" s="12" t="e">
        <f t="shared" si="56"/>
        <v>#VALUE!</v>
      </c>
      <c r="D942" s="12" t="e">
        <f>MID(MAIN!A947,K942+2,2)</f>
        <v>#VALUE!</v>
      </c>
      <c r="E942" s="12" t="e">
        <f>MID(MAIN!A947,K942+4,2)</f>
        <v>#VALUE!</v>
      </c>
      <c r="F942" s="2" t="e">
        <f t="shared" si="57"/>
        <v>#VALUE!</v>
      </c>
      <c r="G942" s="13" t="e">
        <f t="shared" si="58"/>
        <v>#VALUE!</v>
      </c>
      <c r="J942" t="str">
        <f>MAIN!A947&amp;"B"</f>
        <v>B</v>
      </c>
      <c r="K942" s="12" t="e">
        <f t="shared" si="59"/>
        <v>#VALUE!</v>
      </c>
      <c r="L942" t="str">
        <f>MAIN!C947</f>
        <v/>
      </c>
    </row>
    <row r="943" spans="1:12" x14ac:dyDescent="0.3">
      <c r="A943">
        <f>IF(J943="0",0,IF(COUNTIF($J$2:J943,J943)=1,1,0))</f>
        <v>0</v>
      </c>
      <c r="B943" s="12" t="e">
        <f>MID(MAIN!A948,K943,2)</f>
        <v>#VALUE!</v>
      </c>
      <c r="C943" s="12" t="e">
        <f t="shared" si="56"/>
        <v>#VALUE!</v>
      </c>
      <c r="D943" s="12" t="e">
        <f>MID(MAIN!A948,K943+2,2)</f>
        <v>#VALUE!</v>
      </c>
      <c r="E943" s="12" t="e">
        <f>MID(MAIN!A948,K943+4,2)</f>
        <v>#VALUE!</v>
      </c>
      <c r="F943" s="2" t="e">
        <f t="shared" si="57"/>
        <v>#VALUE!</v>
      </c>
      <c r="G943" s="13" t="e">
        <f t="shared" si="58"/>
        <v>#VALUE!</v>
      </c>
      <c r="J943" t="str">
        <f>MAIN!A948&amp;"B"</f>
        <v>B</v>
      </c>
      <c r="K943" s="12" t="e">
        <f t="shared" si="59"/>
        <v>#VALUE!</v>
      </c>
      <c r="L943" t="str">
        <f>MAIN!C948</f>
        <v/>
      </c>
    </row>
    <row r="944" spans="1:12" x14ac:dyDescent="0.3">
      <c r="A944">
        <f>IF(J944="0",0,IF(COUNTIF($J$2:J944,J944)=1,1,0))</f>
        <v>0</v>
      </c>
      <c r="B944" s="12" t="e">
        <f>MID(MAIN!A949,K944,2)</f>
        <v>#VALUE!</v>
      </c>
      <c r="C944" s="12" t="e">
        <f t="shared" si="56"/>
        <v>#VALUE!</v>
      </c>
      <c r="D944" s="12" t="e">
        <f>MID(MAIN!A949,K944+2,2)</f>
        <v>#VALUE!</v>
      </c>
      <c r="E944" s="12" t="e">
        <f>MID(MAIN!A949,K944+4,2)</f>
        <v>#VALUE!</v>
      </c>
      <c r="F944" s="2" t="e">
        <f t="shared" si="57"/>
        <v>#VALUE!</v>
      </c>
      <c r="G944" s="13" t="e">
        <f t="shared" si="58"/>
        <v>#VALUE!</v>
      </c>
      <c r="J944" t="str">
        <f>MAIN!A949&amp;"B"</f>
        <v>B</v>
      </c>
      <c r="K944" s="12" t="e">
        <f t="shared" si="59"/>
        <v>#VALUE!</v>
      </c>
      <c r="L944" t="str">
        <f>MAIN!C949</f>
        <v/>
      </c>
    </row>
    <row r="945" spans="1:12" x14ac:dyDescent="0.3">
      <c r="A945">
        <f>IF(J945="0",0,IF(COUNTIF($J$2:J945,J945)=1,1,0))</f>
        <v>0</v>
      </c>
      <c r="B945" s="12" t="e">
        <f>MID(MAIN!A950,K945,2)</f>
        <v>#VALUE!</v>
      </c>
      <c r="C945" s="12" t="e">
        <f t="shared" si="56"/>
        <v>#VALUE!</v>
      </c>
      <c r="D945" s="12" t="e">
        <f>MID(MAIN!A950,K945+2,2)</f>
        <v>#VALUE!</v>
      </c>
      <c r="E945" s="12" t="e">
        <f>MID(MAIN!A950,K945+4,2)</f>
        <v>#VALUE!</v>
      </c>
      <c r="F945" s="2" t="e">
        <f t="shared" si="57"/>
        <v>#VALUE!</v>
      </c>
      <c r="G945" s="13" t="e">
        <f t="shared" si="58"/>
        <v>#VALUE!</v>
      </c>
      <c r="J945" t="str">
        <f>MAIN!A950&amp;"B"</f>
        <v>B</v>
      </c>
      <c r="K945" s="12" t="e">
        <f t="shared" si="59"/>
        <v>#VALUE!</v>
      </c>
      <c r="L945" t="str">
        <f>MAIN!C950</f>
        <v/>
      </c>
    </row>
    <row r="946" spans="1:12" x14ac:dyDescent="0.3">
      <c r="A946">
        <f>IF(J946="0",0,IF(COUNTIF($J$2:J946,J946)=1,1,0))</f>
        <v>0</v>
      </c>
      <c r="B946" s="12" t="e">
        <f>MID(MAIN!A951,K946,2)</f>
        <v>#VALUE!</v>
      </c>
      <c r="C946" s="12" t="e">
        <f t="shared" si="56"/>
        <v>#VALUE!</v>
      </c>
      <c r="D946" s="12" t="e">
        <f>MID(MAIN!A951,K946+2,2)</f>
        <v>#VALUE!</v>
      </c>
      <c r="E946" s="12" t="e">
        <f>MID(MAIN!A951,K946+4,2)</f>
        <v>#VALUE!</v>
      </c>
      <c r="F946" s="2" t="e">
        <f t="shared" si="57"/>
        <v>#VALUE!</v>
      </c>
      <c r="G946" s="13" t="e">
        <f t="shared" si="58"/>
        <v>#VALUE!</v>
      </c>
      <c r="J946" t="str">
        <f>MAIN!A951&amp;"B"</f>
        <v>B</v>
      </c>
      <c r="K946" s="12" t="e">
        <f t="shared" si="59"/>
        <v>#VALUE!</v>
      </c>
      <c r="L946" t="str">
        <f>MAIN!C951</f>
        <v/>
      </c>
    </row>
    <row r="947" spans="1:12" x14ac:dyDescent="0.3">
      <c r="A947">
        <f>IF(J947="0",0,IF(COUNTIF($J$2:J947,J947)=1,1,0))</f>
        <v>0</v>
      </c>
      <c r="B947" s="12" t="e">
        <f>MID(MAIN!A952,K947,2)</f>
        <v>#VALUE!</v>
      </c>
      <c r="C947" s="12" t="e">
        <f t="shared" si="56"/>
        <v>#VALUE!</v>
      </c>
      <c r="D947" s="12" t="e">
        <f>MID(MAIN!A952,K947+2,2)</f>
        <v>#VALUE!</v>
      </c>
      <c r="E947" s="12" t="e">
        <f>MID(MAIN!A952,K947+4,2)</f>
        <v>#VALUE!</v>
      </c>
      <c r="F947" s="2" t="e">
        <f t="shared" si="57"/>
        <v>#VALUE!</v>
      </c>
      <c r="G947" s="13" t="e">
        <f t="shared" si="58"/>
        <v>#VALUE!</v>
      </c>
      <c r="J947" t="str">
        <f>MAIN!A952&amp;"B"</f>
        <v>B</v>
      </c>
      <c r="K947" s="12" t="e">
        <f t="shared" si="59"/>
        <v>#VALUE!</v>
      </c>
      <c r="L947" t="str">
        <f>MAIN!C952</f>
        <v/>
      </c>
    </row>
    <row r="948" spans="1:12" x14ac:dyDescent="0.3">
      <c r="A948">
        <f>IF(J948="0",0,IF(COUNTIF($J$2:J948,J948)=1,1,0))</f>
        <v>0</v>
      </c>
      <c r="B948" s="12" t="e">
        <f>MID(MAIN!A953,K948,2)</f>
        <v>#VALUE!</v>
      </c>
      <c r="C948" s="12" t="e">
        <f t="shared" si="56"/>
        <v>#VALUE!</v>
      </c>
      <c r="D948" s="12" t="e">
        <f>MID(MAIN!A953,K948+2,2)</f>
        <v>#VALUE!</v>
      </c>
      <c r="E948" s="12" t="e">
        <f>MID(MAIN!A953,K948+4,2)</f>
        <v>#VALUE!</v>
      </c>
      <c r="F948" s="2" t="e">
        <f t="shared" si="57"/>
        <v>#VALUE!</v>
      </c>
      <c r="G948" s="13" t="e">
        <f t="shared" si="58"/>
        <v>#VALUE!</v>
      </c>
      <c r="J948" t="str">
        <f>MAIN!A953&amp;"B"</f>
        <v>B</v>
      </c>
      <c r="K948" s="12" t="e">
        <f t="shared" si="59"/>
        <v>#VALUE!</v>
      </c>
      <c r="L948" t="str">
        <f>MAIN!C953</f>
        <v/>
      </c>
    </row>
    <row r="949" spans="1:12" x14ac:dyDescent="0.3">
      <c r="A949">
        <f>IF(J949="0",0,IF(COUNTIF($J$2:J949,J949)=1,1,0))</f>
        <v>0</v>
      </c>
      <c r="B949" s="12" t="e">
        <f>MID(MAIN!A954,K949,2)</f>
        <v>#VALUE!</v>
      </c>
      <c r="C949" s="12" t="e">
        <f t="shared" si="56"/>
        <v>#VALUE!</v>
      </c>
      <c r="D949" s="12" t="e">
        <f>MID(MAIN!A954,K949+2,2)</f>
        <v>#VALUE!</v>
      </c>
      <c r="E949" s="12" t="e">
        <f>MID(MAIN!A954,K949+4,2)</f>
        <v>#VALUE!</v>
      </c>
      <c r="F949" s="2" t="e">
        <f t="shared" si="57"/>
        <v>#VALUE!</v>
      </c>
      <c r="G949" s="13" t="e">
        <f t="shared" si="58"/>
        <v>#VALUE!</v>
      </c>
      <c r="J949" t="str">
        <f>MAIN!A954&amp;"B"</f>
        <v>B</v>
      </c>
      <c r="K949" s="12" t="e">
        <f t="shared" si="59"/>
        <v>#VALUE!</v>
      </c>
      <c r="L949" t="str">
        <f>MAIN!C954</f>
        <v/>
      </c>
    </row>
    <row r="950" spans="1:12" x14ac:dyDescent="0.3">
      <c r="A950">
        <f>IF(J950="0",0,IF(COUNTIF($J$2:J950,J950)=1,1,0))</f>
        <v>0</v>
      </c>
      <c r="B950" s="12" t="e">
        <f>MID(MAIN!A955,K950,2)</f>
        <v>#VALUE!</v>
      </c>
      <c r="C950" s="12" t="e">
        <f t="shared" si="56"/>
        <v>#VALUE!</v>
      </c>
      <c r="D950" s="12" t="e">
        <f>MID(MAIN!A955,K950+2,2)</f>
        <v>#VALUE!</v>
      </c>
      <c r="E950" s="12" t="e">
        <f>MID(MAIN!A955,K950+4,2)</f>
        <v>#VALUE!</v>
      </c>
      <c r="F950" s="2" t="e">
        <f t="shared" si="57"/>
        <v>#VALUE!</v>
      </c>
      <c r="G950" s="13" t="e">
        <f t="shared" si="58"/>
        <v>#VALUE!</v>
      </c>
      <c r="J950" t="str">
        <f>MAIN!A955&amp;"B"</f>
        <v>B</v>
      </c>
      <c r="K950" s="12" t="e">
        <f t="shared" si="59"/>
        <v>#VALUE!</v>
      </c>
      <c r="L950" t="str">
        <f>MAIN!C955</f>
        <v/>
      </c>
    </row>
    <row r="951" spans="1:12" x14ac:dyDescent="0.3">
      <c r="A951">
        <f>IF(J951="0",0,IF(COUNTIF($J$2:J951,J951)=1,1,0))</f>
        <v>0</v>
      </c>
      <c r="B951" s="12" t="e">
        <f>MID(MAIN!A956,K951,2)</f>
        <v>#VALUE!</v>
      </c>
      <c r="C951" s="12" t="e">
        <f t="shared" si="56"/>
        <v>#VALUE!</v>
      </c>
      <c r="D951" s="12" t="e">
        <f>MID(MAIN!A956,K951+2,2)</f>
        <v>#VALUE!</v>
      </c>
      <c r="E951" s="12" t="e">
        <f>MID(MAIN!A956,K951+4,2)</f>
        <v>#VALUE!</v>
      </c>
      <c r="F951" s="2" t="e">
        <f t="shared" si="57"/>
        <v>#VALUE!</v>
      </c>
      <c r="G951" s="13" t="e">
        <f t="shared" si="58"/>
        <v>#VALUE!</v>
      </c>
      <c r="J951" t="str">
        <f>MAIN!A956&amp;"B"</f>
        <v>B</v>
      </c>
      <c r="K951" s="12" t="e">
        <f t="shared" si="59"/>
        <v>#VALUE!</v>
      </c>
      <c r="L951" t="str">
        <f>MAIN!C956</f>
        <v/>
      </c>
    </row>
    <row r="952" spans="1:12" x14ac:dyDescent="0.3">
      <c r="A952">
        <f>IF(J952="0",0,IF(COUNTIF($J$2:J952,J952)=1,1,0))</f>
        <v>0</v>
      </c>
      <c r="B952" s="12" t="e">
        <f>MID(MAIN!A957,K952,2)</f>
        <v>#VALUE!</v>
      </c>
      <c r="C952" s="12" t="e">
        <f t="shared" si="56"/>
        <v>#VALUE!</v>
      </c>
      <c r="D952" s="12" t="e">
        <f>MID(MAIN!A957,K952+2,2)</f>
        <v>#VALUE!</v>
      </c>
      <c r="E952" s="12" t="e">
        <f>MID(MAIN!A957,K952+4,2)</f>
        <v>#VALUE!</v>
      </c>
      <c r="F952" s="2" t="e">
        <f t="shared" si="57"/>
        <v>#VALUE!</v>
      </c>
      <c r="G952" s="13" t="e">
        <f t="shared" si="58"/>
        <v>#VALUE!</v>
      </c>
      <c r="J952" t="str">
        <f>MAIN!A957&amp;"B"</f>
        <v>B</v>
      </c>
      <c r="K952" s="12" t="e">
        <f t="shared" si="59"/>
        <v>#VALUE!</v>
      </c>
      <c r="L952" t="str">
        <f>MAIN!C957</f>
        <v/>
      </c>
    </row>
    <row r="953" spans="1:12" x14ac:dyDescent="0.3">
      <c r="A953">
        <f>IF(J953="0",0,IF(COUNTIF($J$2:J953,J953)=1,1,0))</f>
        <v>0</v>
      </c>
      <c r="B953" s="12" t="e">
        <f>MID(MAIN!A958,K953,2)</f>
        <v>#VALUE!</v>
      </c>
      <c r="C953" s="12" t="e">
        <f t="shared" si="56"/>
        <v>#VALUE!</v>
      </c>
      <c r="D953" s="12" t="e">
        <f>MID(MAIN!A958,K953+2,2)</f>
        <v>#VALUE!</v>
      </c>
      <c r="E953" s="12" t="e">
        <f>MID(MAIN!A958,K953+4,2)</f>
        <v>#VALUE!</v>
      </c>
      <c r="F953" s="2" t="e">
        <f t="shared" si="57"/>
        <v>#VALUE!</v>
      </c>
      <c r="G953" s="13" t="e">
        <f t="shared" si="58"/>
        <v>#VALUE!</v>
      </c>
      <c r="J953" t="str">
        <f>MAIN!A958&amp;"B"</f>
        <v>B</v>
      </c>
      <c r="K953" s="12" t="e">
        <f t="shared" si="59"/>
        <v>#VALUE!</v>
      </c>
      <c r="L953" t="str">
        <f>MAIN!C958</f>
        <v/>
      </c>
    </row>
    <row r="954" spans="1:12" x14ac:dyDescent="0.3">
      <c r="A954">
        <f>IF(J954="0",0,IF(COUNTIF($J$2:J954,J954)=1,1,0))</f>
        <v>0</v>
      </c>
      <c r="B954" s="12" t="e">
        <f>MID(MAIN!A959,K954,2)</f>
        <v>#VALUE!</v>
      </c>
      <c r="C954" s="12" t="e">
        <f t="shared" si="56"/>
        <v>#VALUE!</v>
      </c>
      <c r="D954" s="12" t="e">
        <f>MID(MAIN!A959,K954+2,2)</f>
        <v>#VALUE!</v>
      </c>
      <c r="E954" s="12" t="e">
        <f>MID(MAIN!A959,K954+4,2)</f>
        <v>#VALUE!</v>
      </c>
      <c r="F954" s="2" t="e">
        <f t="shared" si="57"/>
        <v>#VALUE!</v>
      </c>
      <c r="G954" s="13" t="e">
        <f t="shared" si="58"/>
        <v>#VALUE!</v>
      </c>
      <c r="J954" t="str">
        <f>MAIN!A959&amp;"B"</f>
        <v>B</v>
      </c>
      <c r="K954" s="12" t="e">
        <f t="shared" si="59"/>
        <v>#VALUE!</v>
      </c>
      <c r="L954" t="str">
        <f>MAIN!C959</f>
        <v/>
      </c>
    </row>
    <row r="955" spans="1:12" x14ac:dyDescent="0.3">
      <c r="A955">
        <f>IF(J955="0",0,IF(COUNTIF($J$2:J955,J955)=1,1,0))</f>
        <v>0</v>
      </c>
      <c r="B955" s="12" t="e">
        <f>MID(MAIN!A960,K955,2)</f>
        <v>#VALUE!</v>
      </c>
      <c r="C955" s="12" t="e">
        <f t="shared" si="56"/>
        <v>#VALUE!</v>
      </c>
      <c r="D955" s="12" t="e">
        <f>MID(MAIN!A960,K955+2,2)</f>
        <v>#VALUE!</v>
      </c>
      <c r="E955" s="12" t="e">
        <f>MID(MAIN!A960,K955+4,2)</f>
        <v>#VALUE!</v>
      </c>
      <c r="F955" s="2" t="e">
        <f t="shared" si="57"/>
        <v>#VALUE!</v>
      </c>
      <c r="G955" s="13" t="e">
        <f t="shared" si="58"/>
        <v>#VALUE!</v>
      </c>
      <c r="J955" t="str">
        <f>MAIN!A960&amp;"B"</f>
        <v>B</v>
      </c>
      <c r="K955" s="12" t="e">
        <f t="shared" si="59"/>
        <v>#VALUE!</v>
      </c>
      <c r="L955" t="str">
        <f>MAIN!C960</f>
        <v/>
      </c>
    </row>
    <row r="956" spans="1:12" x14ac:dyDescent="0.3">
      <c r="A956">
        <f>IF(J956="0",0,IF(COUNTIF($J$2:J956,J956)=1,1,0))</f>
        <v>0</v>
      </c>
      <c r="B956" s="12" t="e">
        <f>MID(MAIN!A961,K956,2)</f>
        <v>#VALUE!</v>
      </c>
      <c r="C956" s="12" t="e">
        <f t="shared" si="56"/>
        <v>#VALUE!</v>
      </c>
      <c r="D956" s="12" t="e">
        <f>MID(MAIN!A961,K956+2,2)</f>
        <v>#VALUE!</v>
      </c>
      <c r="E956" s="12" t="e">
        <f>MID(MAIN!A961,K956+4,2)</f>
        <v>#VALUE!</v>
      </c>
      <c r="F956" s="2" t="e">
        <f t="shared" si="57"/>
        <v>#VALUE!</v>
      </c>
      <c r="G956" s="13" t="e">
        <f t="shared" si="58"/>
        <v>#VALUE!</v>
      </c>
      <c r="J956" t="str">
        <f>MAIN!A961&amp;"B"</f>
        <v>B</v>
      </c>
      <c r="K956" s="12" t="e">
        <f t="shared" si="59"/>
        <v>#VALUE!</v>
      </c>
      <c r="L956" t="str">
        <f>MAIN!C961</f>
        <v/>
      </c>
    </row>
    <row r="957" spans="1:12" x14ac:dyDescent="0.3">
      <c r="A957">
        <f>IF(J957="0",0,IF(COUNTIF($J$2:J957,J957)=1,1,0))</f>
        <v>0</v>
      </c>
      <c r="B957" s="12" t="e">
        <f>MID(MAIN!A962,K957,2)</f>
        <v>#VALUE!</v>
      </c>
      <c r="C957" s="12" t="e">
        <f t="shared" si="56"/>
        <v>#VALUE!</v>
      </c>
      <c r="D957" s="12" t="e">
        <f>MID(MAIN!A962,K957+2,2)</f>
        <v>#VALUE!</v>
      </c>
      <c r="E957" s="12" t="e">
        <f>MID(MAIN!A962,K957+4,2)</f>
        <v>#VALUE!</v>
      </c>
      <c r="F957" s="2" t="e">
        <f t="shared" si="57"/>
        <v>#VALUE!</v>
      </c>
      <c r="G957" s="13" t="e">
        <f t="shared" si="58"/>
        <v>#VALUE!</v>
      </c>
      <c r="J957" t="str">
        <f>MAIN!A962&amp;"B"</f>
        <v>B</v>
      </c>
      <c r="K957" s="12" t="e">
        <f t="shared" si="59"/>
        <v>#VALUE!</v>
      </c>
      <c r="L957" t="str">
        <f>MAIN!C962</f>
        <v/>
      </c>
    </row>
    <row r="958" spans="1:12" x14ac:dyDescent="0.3">
      <c r="A958">
        <f>IF(J958="0",0,IF(COUNTIF($J$2:J958,J958)=1,1,0))</f>
        <v>0</v>
      </c>
      <c r="B958" s="12" t="e">
        <f>MID(MAIN!A963,K958,2)</f>
        <v>#VALUE!</v>
      </c>
      <c r="C958" s="12" t="e">
        <f t="shared" si="56"/>
        <v>#VALUE!</v>
      </c>
      <c r="D958" s="12" t="e">
        <f>MID(MAIN!A963,K958+2,2)</f>
        <v>#VALUE!</v>
      </c>
      <c r="E958" s="12" t="e">
        <f>MID(MAIN!A963,K958+4,2)</f>
        <v>#VALUE!</v>
      </c>
      <c r="F958" s="2" t="e">
        <f t="shared" si="57"/>
        <v>#VALUE!</v>
      </c>
      <c r="G958" s="13" t="e">
        <f t="shared" si="58"/>
        <v>#VALUE!</v>
      </c>
      <c r="J958" t="str">
        <f>MAIN!A963&amp;"B"</f>
        <v>B</v>
      </c>
      <c r="K958" s="12" t="e">
        <f t="shared" si="59"/>
        <v>#VALUE!</v>
      </c>
      <c r="L958" t="str">
        <f>MAIN!C963</f>
        <v/>
      </c>
    </row>
    <row r="959" spans="1:12" x14ac:dyDescent="0.3">
      <c r="A959">
        <f>IF(J959="0",0,IF(COUNTIF($J$2:J959,J959)=1,1,0))</f>
        <v>0</v>
      </c>
      <c r="B959" s="12" t="e">
        <f>MID(MAIN!A964,K959,2)</f>
        <v>#VALUE!</v>
      </c>
      <c r="C959" s="12" t="e">
        <f t="shared" si="56"/>
        <v>#VALUE!</v>
      </c>
      <c r="D959" s="12" t="e">
        <f>MID(MAIN!A964,K959+2,2)</f>
        <v>#VALUE!</v>
      </c>
      <c r="E959" s="12" t="e">
        <f>MID(MAIN!A964,K959+4,2)</f>
        <v>#VALUE!</v>
      </c>
      <c r="F959" s="2" t="e">
        <f t="shared" si="57"/>
        <v>#VALUE!</v>
      </c>
      <c r="G959" s="13" t="e">
        <f t="shared" si="58"/>
        <v>#VALUE!</v>
      </c>
      <c r="J959" t="str">
        <f>MAIN!A964&amp;"B"</f>
        <v>B</v>
      </c>
      <c r="K959" s="12" t="e">
        <f t="shared" si="59"/>
        <v>#VALUE!</v>
      </c>
      <c r="L959" t="str">
        <f>MAIN!C964</f>
        <v/>
      </c>
    </row>
    <row r="960" spans="1:12" x14ac:dyDescent="0.3">
      <c r="A960">
        <f>IF(J960="0",0,IF(COUNTIF($J$2:J960,J960)=1,1,0))</f>
        <v>0</v>
      </c>
      <c r="B960" s="12" t="e">
        <f>MID(MAIN!A965,K960,2)</f>
        <v>#VALUE!</v>
      </c>
      <c r="C960" s="12" t="e">
        <f t="shared" si="56"/>
        <v>#VALUE!</v>
      </c>
      <c r="D960" s="12" t="e">
        <f>MID(MAIN!A965,K960+2,2)</f>
        <v>#VALUE!</v>
      </c>
      <c r="E960" s="12" t="e">
        <f>MID(MAIN!A965,K960+4,2)</f>
        <v>#VALUE!</v>
      </c>
      <c r="F960" s="2" t="e">
        <f t="shared" si="57"/>
        <v>#VALUE!</v>
      </c>
      <c r="G960" s="13" t="e">
        <f t="shared" si="58"/>
        <v>#VALUE!</v>
      </c>
      <c r="J960" t="str">
        <f>MAIN!A965&amp;"B"</f>
        <v>B</v>
      </c>
      <c r="K960" s="12" t="e">
        <f t="shared" si="59"/>
        <v>#VALUE!</v>
      </c>
      <c r="L960" t="str">
        <f>MAIN!C965</f>
        <v/>
      </c>
    </row>
    <row r="961" spans="1:12" x14ac:dyDescent="0.3">
      <c r="A961">
        <f>IF(J961="0",0,IF(COUNTIF($J$2:J961,J961)=1,1,0))</f>
        <v>0</v>
      </c>
      <c r="B961" s="12" t="e">
        <f>MID(MAIN!A966,K961,2)</f>
        <v>#VALUE!</v>
      </c>
      <c r="C961" s="12" t="e">
        <f t="shared" si="56"/>
        <v>#VALUE!</v>
      </c>
      <c r="D961" s="12" t="e">
        <f>MID(MAIN!A966,K961+2,2)</f>
        <v>#VALUE!</v>
      </c>
      <c r="E961" s="12" t="e">
        <f>MID(MAIN!A966,K961+4,2)</f>
        <v>#VALUE!</v>
      </c>
      <c r="F961" s="2" t="e">
        <f t="shared" si="57"/>
        <v>#VALUE!</v>
      </c>
      <c r="G961" s="13" t="e">
        <f t="shared" si="58"/>
        <v>#VALUE!</v>
      </c>
      <c r="J961" t="str">
        <f>MAIN!A966&amp;"B"</f>
        <v>B</v>
      </c>
      <c r="K961" s="12" t="e">
        <f t="shared" si="59"/>
        <v>#VALUE!</v>
      </c>
      <c r="L961" t="str">
        <f>MAIN!C966</f>
        <v/>
      </c>
    </row>
    <row r="962" spans="1:12" x14ac:dyDescent="0.3">
      <c r="A962">
        <f>IF(J962="0",0,IF(COUNTIF($J$2:J962,J962)=1,1,0))</f>
        <v>0</v>
      </c>
      <c r="B962" s="12" t="e">
        <f>MID(MAIN!A967,K962,2)</f>
        <v>#VALUE!</v>
      </c>
      <c r="C962" s="12" t="e">
        <f t="shared" si="56"/>
        <v>#VALUE!</v>
      </c>
      <c r="D962" s="12" t="e">
        <f>MID(MAIN!A967,K962+2,2)</f>
        <v>#VALUE!</v>
      </c>
      <c r="E962" s="12" t="e">
        <f>MID(MAIN!A967,K962+4,2)</f>
        <v>#VALUE!</v>
      </c>
      <c r="F962" s="2" t="e">
        <f t="shared" si="57"/>
        <v>#VALUE!</v>
      </c>
      <c r="G962" s="13" t="e">
        <f t="shared" si="58"/>
        <v>#VALUE!</v>
      </c>
      <c r="J962" t="str">
        <f>MAIN!A967&amp;"B"</f>
        <v>B</v>
      </c>
      <c r="K962" s="12" t="e">
        <f t="shared" si="59"/>
        <v>#VALUE!</v>
      </c>
      <c r="L962" t="str">
        <f>MAIN!C967</f>
        <v/>
      </c>
    </row>
    <row r="963" spans="1:12" x14ac:dyDescent="0.3">
      <c r="A963">
        <f>IF(J963="0",0,IF(COUNTIF($J$2:J963,J963)=1,1,0))</f>
        <v>0</v>
      </c>
      <c r="B963" s="12" t="e">
        <f>MID(MAIN!A968,K963,2)</f>
        <v>#VALUE!</v>
      </c>
      <c r="C963" s="12" t="e">
        <f t="shared" ref="C963:C1026" si="60">"20"&amp;B963</f>
        <v>#VALUE!</v>
      </c>
      <c r="D963" s="12" t="e">
        <f>MID(MAIN!A968,K963+2,2)</f>
        <v>#VALUE!</v>
      </c>
      <c r="E963" s="12" t="e">
        <f>MID(MAIN!A968,K963+4,2)</f>
        <v>#VALUE!</v>
      </c>
      <c r="F963" s="2" t="e">
        <f t="shared" ref="F963:F1026" si="61">C963&amp;"/"&amp;D963&amp;"/"&amp;E963</f>
        <v>#VALUE!</v>
      </c>
      <c r="G963" s="13" t="e">
        <f t="shared" ref="G963:G1026" si="62">DATEVALUE(F963)</f>
        <v>#VALUE!</v>
      </c>
      <c r="J963" t="str">
        <f>MAIN!A968&amp;"B"</f>
        <v>B</v>
      </c>
      <c r="K963" s="12" t="e">
        <f t="shared" ref="K963:K1026" si="63">FIND("172",J963,30)+2</f>
        <v>#VALUE!</v>
      </c>
      <c r="L963" t="str">
        <f>MAIN!C968</f>
        <v/>
      </c>
    </row>
    <row r="964" spans="1:12" x14ac:dyDescent="0.3">
      <c r="A964">
        <f>IF(J964="0",0,IF(COUNTIF($J$2:J964,J964)=1,1,0))</f>
        <v>0</v>
      </c>
      <c r="B964" s="12" t="e">
        <f>MID(MAIN!A969,K964,2)</f>
        <v>#VALUE!</v>
      </c>
      <c r="C964" s="12" t="e">
        <f t="shared" si="60"/>
        <v>#VALUE!</v>
      </c>
      <c r="D964" s="12" t="e">
        <f>MID(MAIN!A969,K964+2,2)</f>
        <v>#VALUE!</v>
      </c>
      <c r="E964" s="12" t="e">
        <f>MID(MAIN!A969,K964+4,2)</f>
        <v>#VALUE!</v>
      </c>
      <c r="F964" s="2" t="e">
        <f t="shared" si="61"/>
        <v>#VALUE!</v>
      </c>
      <c r="G964" s="13" t="e">
        <f t="shared" si="62"/>
        <v>#VALUE!</v>
      </c>
      <c r="J964" t="str">
        <f>MAIN!A969&amp;"B"</f>
        <v>B</v>
      </c>
      <c r="K964" s="12" t="e">
        <f t="shared" si="63"/>
        <v>#VALUE!</v>
      </c>
      <c r="L964" t="str">
        <f>MAIN!C969</f>
        <v/>
      </c>
    </row>
    <row r="965" spans="1:12" x14ac:dyDescent="0.3">
      <c r="A965">
        <f>IF(J965="0",0,IF(COUNTIF($J$2:J965,J965)=1,1,0))</f>
        <v>0</v>
      </c>
      <c r="B965" s="12" t="e">
        <f>MID(MAIN!A970,K965,2)</f>
        <v>#VALUE!</v>
      </c>
      <c r="C965" s="12" t="e">
        <f t="shared" si="60"/>
        <v>#VALUE!</v>
      </c>
      <c r="D965" s="12" t="e">
        <f>MID(MAIN!A970,K965+2,2)</f>
        <v>#VALUE!</v>
      </c>
      <c r="E965" s="12" t="e">
        <f>MID(MAIN!A970,K965+4,2)</f>
        <v>#VALUE!</v>
      </c>
      <c r="F965" s="2" t="e">
        <f t="shared" si="61"/>
        <v>#VALUE!</v>
      </c>
      <c r="G965" s="13" t="e">
        <f t="shared" si="62"/>
        <v>#VALUE!</v>
      </c>
      <c r="J965" t="str">
        <f>MAIN!A970&amp;"B"</f>
        <v>B</v>
      </c>
      <c r="K965" s="12" t="e">
        <f t="shared" si="63"/>
        <v>#VALUE!</v>
      </c>
      <c r="L965" t="str">
        <f>MAIN!C970</f>
        <v/>
      </c>
    </row>
    <row r="966" spans="1:12" x14ac:dyDescent="0.3">
      <c r="A966">
        <f>IF(J966="0",0,IF(COUNTIF($J$2:J966,J966)=1,1,0))</f>
        <v>0</v>
      </c>
      <c r="B966" s="12" t="e">
        <f>MID(MAIN!A971,K966,2)</f>
        <v>#VALUE!</v>
      </c>
      <c r="C966" s="12" t="e">
        <f t="shared" si="60"/>
        <v>#VALUE!</v>
      </c>
      <c r="D966" s="12" t="e">
        <f>MID(MAIN!A971,K966+2,2)</f>
        <v>#VALUE!</v>
      </c>
      <c r="E966" s="12" t="e">
        <f>MID(MAIN!A971,K966+4,2)</f>
        <v>#VALUE!</v>
      </c>
      <c r="F966" s="2" t="e">
        <f t="shared" si="61"/>
        <v>#VALUE!</v>
      </c>
      <c r="G966" s="13" t="e">
        <f t="shared" si="62"/>
        <v>#VALUE!</v>
      </c>
      <c r="J966" t="str">
        <f>MAIN!A971&amp;"B"</f>
        <v>B</v>
      </c>
      <c r="K966" s="12" t="e">
        <f t="shared" si="63"/>
        <v>#VALUE!</v>
      </c>
      <c r="L966" t="str">
        <f>MAIN!C971</f>
        <v/>
      </c>
    </row>
    <row r="967" spans="1:12" x14ac:dyDescent="0.3">
      <c r="A967">
        <f>IF(J967="0",0,IF(COUNTIF($J$2:J967,J967)=1,1,0))</f>
        <v>0</v>
      </c>
      <c r="B967" s="12" t="e">
        <f>MID(MAIN!A972,K967,2)</f>
        <v>#VALUE!</v>
      </c>
      <c r="C967" s="12" t="e">
        <f t="shared" si="60"/>
        <v>#VALUE!</v>
      </c>
      <c r="D967" s="12" t="e">
        <f>MID(MAIN!A972,K967+2,2)</f>
        <v>#VALUE!</v>
      </c>
      <c r="E967" s="12" t="e">
        <f>MID(MAIN!A972,K967+4,2)</f>
        <v>#VALUE!</v>
      </c>
      <c r="F967" s="2" t="e">
        <f t="shared" si="61"/>
        <v>#VALUE!</v>
      </c>
      <c r="G967" s="13" t="e">
        <f t="shared" si="62"/>
        <v>#VALUE!</v>
      </c>
      <c r="J967" t="str">
        <f>MAIN!A972&amp;"B"</f>
        <v>B</v>
      </c>
      <c r="K967" s="12" t="e">
        <f t="shared" si="63"/>
        <v>#VALUE!</v>
      </c>
      <c r="L967" t="str">
        <f>MAIN!C972</f>
        <v/>
      </c>
    </row>
    <row r="968" spans="1:12" x14ac:dyDescent="0.3">
      <c r="A968">
        <f>IF(J968="0",0,IF(COUNTIF($J$2:J968,J968)=1,1,0))</f>
        <v>0</v>
      </c>
      <c r="B968" s="12" t="e">
        <f>MID(MAIN!A973,K968,2)</f>
        <v>#VALUE!</v>
      </c>
      <c r="C968" s="12" t="e">
        <f t="shared" si="60"/>
        <v>#VALUE!</v>
      </c>
      <c r="D968" s="12" t="e">
        <f>MID(MAIN!A973,K968+2,2)</f>
        <v>#VALUE!</v>
      </c>
      <c r="E968" s="12" t="e">
        <f>MID(MAIN!A973,K968+4,2)</f>
        <v>#VALUE!</v>
      </c>
      <c r="F968" s="2" t="e">
        <f t="shared" si="61"/>
        <v>#VALUE!</v>
      </c>
      <c r="G968" s="13" t="e">
        <f t="shared" si="62"/>
        <v>#VALUE!</v>
      </c>
      <c r="J968" t="str">
        <f>MAIN!A973&amp;"B"</f>
        <v>B</v>
      </c>
      <c r="K968" s="12" t="e">
        <f t="shared" si="63"/>
        <v>#VALUE!</v>
      </c>
      <c r="L968" t="str">
        <f>MAIN!C973</f>
        <v/>
      </c>
    </row>
    <row r="969" spans="1:12" x14ac:dyDescent="0.3">
      <c r="A969">
        <f>IF(J969="0",0,IF(COUNTIF($J$2:J969,J969)=1,1,0))</f>
        <v>0</v>
      </c>
      <c r="B969" s="12" t="e">
        <f>MID(MAIN!A974,K969,2)</f>
        <v>#VALUE!</v>
      </c>
      <c r="C969" s="12" t="e">
        <f t="shared" si="60"/>
        <v>#VALUE!</v>
      </c>
      <c r="D969" s="12" t="e">
        <f>MID(MAIN!A974,K969+2,2)</f>
        <v>#VALUE!</v>
      </c>
      <c r="E969" s="12" t="e">
        <f>MID(MAIN!A974,K969+4,2)</f>
        <v>#VALUE!</v>
      </c>
      <c r="F969" s="2" t="e">
        <f t="shared" si="61"/>
        <v>#VALUE!</v>
      </c>
      <c r="G969" s="13" t="e">
        <f t="shared" si="62"/>
        <v>#VALUE!</v>
      </c>
      <c r="J969" t="str">
        <f>MAIN!A974&amp;"B"</f>
        <v>B</v>
      </c>
      <c r="K969" s="12" t="e">
        <f t="shared" si="63"/>
        <v>#VALUE!</v>
      </c>
      <c r="L969" t="str">
        <f>MAIN!C974</f>
        <v/>
      </c>
    </row>
    <row r="970" spans="1:12" x14ac:dyDescent="0.3">
      <c r="A970">
        <f>IF(J970="0",0,IF(COUNTIF($J$2:J970,J970)=1,1,0))</f>
        <v>0</v>
      </c>
      <c r="B970" s="12" t="e">
        <f>MID(MAIN!A975,K970,2)</f>
        <v>#VALUE!</v>
      </c>
      <c r="C970" s="12" t="e">
        <f t="shared" si="60"/>
        <v>#VALUE!</v>
      </c>
      <c r="D970" s="12" t="e">
        <f>MID(MAIN!A975,K970+2,2)</f>
        <v>#VALUE!</v>
      </c>
      <c r="E970" s="12" t="e">
        <f>MID(MAIN!A975,K970+4,2)</f>
        <v>#VALUE!</v>
      </c>
      <c r="F970" s="2" t="e">
        <f t="shared" si="61"/>
        <v>#VALUE!</v>
      </c>
      <c r="G970" s="13" t="e">
        <f t="shared" si="62"/>
        <v>#VALUE!</v>
      </c>
      <c r="J970" t="str">
        <f>MAIN!A975&amp;"B"</f>
        <v>B</v>
      </c>
      <c r="K970" s="12" t="e">
        <f t="shared" si="63"/>
        <v>#VALUE!</v>
      </c>
      <c r="L970" t="str">
        <f>MAIN!C975</f>
        <v/>
      </c>
    </row>
    <row r="971" spans="1:12" x14ac:dyDescent="0.3">
      <c r="A971">
        <f>IF(J971="0",0,IF(COUNTIF($J$2:J971,J971)=1,1,0))</f>
        <v>0</v>
      </c>
      <c r="B971" s="12" t="e">
        <f>MID(MAIN!A976,K971,2)</f>
        <v>#VALUE!</v>
      </c>
      <c r="C971" s="12" t="e">
        <f t="shared" si="60"/>
        <v>#VALUE!</v>
      </c>
      <c r="D971" s="12" t="e">
        <f>MID(MAIN!A976,K971+2,2)</f>
        <v>#VALUE!</v>
      </c>
      <c r="E971" s="12" t="e">
        <f>MID(MAIN!A976,K971+4,2)</f>
        <v>#VALUE!</v>
      </c>
      <c r="F971" s="2" t="e">
        <f t="shared" si="61"/>
        <v>#VALUE!</v>
      </c>
      <c r="G971" s="13" t="e">
        <f t="shared" si="62"/>
        <v>#VALUE!</v>
      </c>
      <c r="J971" t="str">
        <f>MAIN!A976&amp;"B"</f>
        <v>B</v>
      </c>
      <c r="K971" s="12" t="e">
        <f t="shared" si="63"/>
        <v>#VALUE!</v>
      </c>
      <c r="L971" t="str">
        <f>MAIN!C976</f>
        <v/>
      </c>
    </row>
    <row r="972" spans="1:12" x14ac:dyDescent="0.3">
      <c r="A972">
        <f>IF(J972="0",0,IF(COUNTIF($J$2:J972,J972)=1,1,0))</f>
        <v>0</v>
      </c>
      <c r="B972" s="12" t="e">
        <f>MID(MAIN!A977,K972,2)</f>
        <v>#VALUE!</v>
      </c>
      <c r="C972" s="12" t="e">
        <f t="shared" si="60"/>
        <v>#VALUE!</v>
      </c>
      <c r="D972" s="12" t="e">
        <f>MID(MAIN!A977,K972+2,2)</f>
        <v>#VALUE!</v>
      </c>
      <c r="E972" s="12" t="e">
        <f>MID(MAIN!A977,K972+4,2)</f>
        <v>#VALUE!</v>
      </c>
      <c r="F972" s="2" t="e">
        <f t="shared" si="61"/>
        <v>#VALUE!</v>
      </c>
      <c r="G972" s="13" t="e">
        <f t="shared" si="62"/>
        <v>#VALUE!</v>
      </c>
      <c r="J972" t="str">
        <f>MAIN!A977&amp;"B"</f>
        <v>B</v>
      </c>
      <c r="K972" s="12" t="e">
        <f t="shared" si="63"/>
        <v>#VALUE!</v>
      </c>
      <c r="L972" t="str">
        <f>MAIN!C977</f>
        <v/>
      </c>
    </row>
    <row r="973" spans="1:12" x14ac:dyDescent="0.3">
      <c r="A973">
        <f>IF(J973="0",0,IF(COUNTIF($J$2:J973,J973)=1,1,0))</f>
        <v>0</v>
      </c>
      <c r="B973" s="12" t="e">
        <f>MID(MAIN!A978,K973,2)</f>
        <v>#VALUE!</v>
      </c>
      <c r="C973" s="12" t="e">
        <f t="shared" si="60"/>
        <v>#VALUE!</v>
      </c>
      <c r="D973" s="12" t="e">
        <f>MID(MAIN!A978,K973+2,2)</f>
        <v>#VALUE!</v>
      </c>
      <c r="E973" s="12" t="e">
        <f>MID(MAIN!A978,K973+4,2)</f>
        <v>#VALUE!</v>
      </c>
      <c r="F973" s="2" t="e">
        <f t="shared" si="61"/>
        <v>#VALUE!</v>
      </c>
      <c r="G973" s="13" t="e">
        <f t="shared" si="62"/>
        <v>#VALUE!</v>
      </c>
      <c r="J973" t="str">
        <f>MAIN!A978&amp;"B"</f>
        <v>B</v>
      </c>
      <c r="K973" s="12" t="e">
        <f t="shared" si="63"/>
        <v>#VALUE!</v>
      </c>
      <c r="L973" t="str">
        <f>MAIN!C978</f>
        <v/>
      </c>
    </row>
    <row r="974" spans="1:12" x14ac:dyDescent="0.3">
      <c r="A974">
        <f>IF(J974="0",0,IF(COUNTIF($J$2:J974,J974)=1,1,0))</f>
        <v>0</v>
      </c>
      <c r="B974" s="12" t="e">
        <f>MID(MAIN!A979,K974,2)</f>
        <v>#VALUE!</v>
      </c>
      <c r="C974" s="12" t="e">
        <f t="shared" si="60"/>
        <v>#VALUE!</v>
      </c>
      <c r="D974" s="12" t="e">
        <f>MID(MAIN!A979,K974+2,2)</f>
        <v>#VALUE!</v>
      </c>
      <c r="E974" s="12" t="e">
        <f>MID(MAIN!A979,K974+4,2)</f>
        <v>#VALUE!</v>
      </c>
      <c r="F974" s="2" t="e">
        <f t="shared" si="61"/>
        <v>#VALUE!</v>
      </c>
      <c r="G974" s="13" t="e">
        <f t="shared" si="62"/>
        <v>#VALUE!</v>
      </c>
      <c r="J974" t="str">
        <f>MAIN!A979&amp;"B"</f>
        <v>B</v>
      </c>
      <c r="K974" s="12" t="e">
        <f t="shared" si="63"/>
        <v>#VALUE!</v>
      </c>
      <c r="L974" t="str">
        <f>MAIN!C979</f>
        <v/>
      </c>
    </row>
    <row r="975" spans="1:12" x14ac:dyDescent="0.3">
      <c r="A975">
        <f>IF(J975="0",0,IF(COUNTIF($J$2:J975,J975)=1,1,0))</f>
        <v>0</v>
      </c>
      <c r="B975" s="12" t="e">
        <f>MID(MAIN!A980,K975,2)</f>
        <v>#VALUE!</v>
      </c>
      <c r="C975" s="12" t="e">
        <f t="shared" si="60"/>
        <v>#VALUE!</v>
      </c>
      <c r="D975" s="12" t="e">
        <f>MID(MAIN!A980,K975+2,2)</f>
        <v>#VALUE!</v>
      </c>
      <c r="E975" s="12" t="e">
        <f>MID(MAIN!A980,K975+4,2)</f>
        <v>#VALUE!</v>
      </c>
      <c r="F975" s="2" t="e">
        <f t="shared" si="61"/>
        <v>#VALUE!</v>
      </c>
      <c r="G975" s="13" t="e">
        <f t="shared" si="62"/>
        <v>#VALUE!</v>
      </c>
      <c r="J975" t="str">
        <f>MAIN!A980&amp;"B"</f>
        <v>B</v>
      </c>
      <c r="K975" s="12" t="e">
        <f t="shared" si="63"/>
        <v>#VALUE!</v>
      </c>
      <c r="L975" t="str">
        <f>MAIN!C980</f>
        <v/>
      </c>
    </row>
    <row r="976" spans="1:12" x14ac:dyDescent="0.3">
      <c r="A976">
        <f>IF(J976="0",0,IF(COUNTIF($J$2:J976,J976)=1,1,0))</f>
        <v>0</v>
      </c>
      <c r="B976" s="12" t="e">
        <f>MID(MAIN!A981,K976,2)</f>
        <v>#VALUE!</v>
      </c>
      <c r="C976" s="12" t="e">
        <f t="shared" si="60"/>
        <v>#VALUE!</v>
      </c>
      <c r="D976" s="12" t="e">
        <f>MID(MAIN!A981,K976+2,2)</f>
        <v>#VALUE!</v>
      </c>
      <c r="E976" s="12" t="e">
        <f>MID(MAIN!A981,K976+4,2)</f>
        <v>#VALUE!</v>
      </c>
      <c r="F976" s="2" t="e">
        <f t="shared" si="61"/>
        <v>#VALUE!</v>
      </c>
      <c r="G976" s="13" t="e">
        <f t="shared" si="62"/>
        <v>#VALUE!</v>
      </c>
      <c r="J976" t="str">
        <f>MAIN!A981&amp;"B"</f>
        <v>B</v>
      </c>
      <c r="K976" s="12" t="e">
        <f t="shared" si="63"/>
        <v>#VALUE!</v>
      </c>
      <c r="L976" t="str">
        <f>MAIN!C981</f>
        <v/>
      </c>
    </row>
    <row r="977" spans="1:12" x14ac:dyDescent="0.3">
      <c r="A977">
        <f>IF(J977="0",0,IF(COUNTIF($J$2:J977,J977)=1,1,0))</f>
        <v>0</v>
      </c>
      <c r="B977" s="12" t="e">
        <f>MID(MAIN!A982,K977,2)</f>
        <v>#VALUE!</v>
      </c>
      <c r="C977" s="12" t="e">
        <f t="shared" si="60"/>
        <v>#VALUE!</v>
      </c>
      <c r="D977" s="12" t="e">
        <f>MID(MAIN!A982,K977+2,2)</f>
        <v>#VALUE!</v>
      </c>
      <c r="E977" s="12" t="e">
        <f>MID(MAIN!A982,K977+4,2)</f>
        <v>#VALUE!</v>
      </c>
      <c r="F977" s="2" t="e">
        <f t="shared" si="61"/>
        <v>#VALUE!</v>
      </c>
      <c r="G977" s="13" t="e">
        <f t="shared" si="62"/>
        <v>#VALUE!</v>
      </c>
      <c r="J977" t="str">
        <f>MAIN!A982&amp;"B"</f>
        <v>B</v>
      </c>
      <c r="K977" s="12" t="e">
        <f t="shared" si="63"/>
        <v>#VALUE!</v>
      </c>
      <c r="L977" t="str">
        <f>MAIN!C982</f>
        <v/>
      </c>
    </row>
    <row r="978" spans="1:12" x14ac:dyDescent="0.3">
      <c r="A978">
        <f>IF(J978="0",0,IF(COUNTIF($J$2:J978,J978)=1,1,0))</f>
        <v>0</v>
      </c>
      <c r="B978" s="12" t="e">
        <f>MID(MAIN!A983,K978,2)</f>
        <v>#VALUE!</v>
      </c>
      <c r="C978" s="12" t="e">
        <f t="shared" si="60"/>
        <v>#VALUE!</v>
      </c>
      <c r="D978" s="12" t="e">
        <f>MID(MAIN!A983,K978+2,2)</f>
        <v>#VALUE!</v>
      </c>
      <c r="E978" s="12" t="e">
        <f>MID(MAIN!A983,K978+4,2)</f>
        <v>#VALUE!</v>
      </c>
      <c r="F978" s="2" t="e">
        <f t="shared" si="61"/>
        <v>#VALUE!</v>
      </c>
      <c r="G978" s="13" t="e">
        <f t="shared" si="62"/>
        <v>#VALUE!</v>
      </c>
      <c r="J978" t="str">
        <f>MAIN!A983&amp;"B"</f>
        <v>B</v>
      </c>
      <c r="K978" s="12" t="e">
        <f t="shared" si="63"/>
        <v>#VALUE!</v>
      </c>
      <c r="L978" t="str">
        <f>MAIN!C983</f>
        <v/>
      </c>
    </row>
    <row r="979" spans="1:12" x14ac:dyDescent="0.3">
      <c r="A979">
        <f>IF(J979="0",0,IF(COUNTIF($J$2:J979,J979)=1,1,0))</f>
        <v>0</v>
      </c>
      <c r="B979" s="12" t="e">
        <f>MID(MAIN!A984,K979,2)</f>
        <v>#VALUE!</v>
      </c>
      <c r="C979" s="12" t="e">
        <f t="shared" si="60"/>
        <v>#VALUE!</v>
      </c>
      <c r="D979" s="12" t="e">
        <f>MID(MAIN!A984,K979+2,2)</f>
        <v>#VALUE!</v>
      </c>
      <c r="E979" s="12" t="e">
        <f>MID(MAIN!A984,K979+4,2)</f>
        <v>#VALUE!</v>
      </c>
      <c r="F979" s="2" t="e">
        <f t="shared" si="61"/>
        <v>#VALUE!</v>
      </c>
      <c r="G979" s="13" t="e">
        <f t="shared" si="62"/>
        <v>#VALUE!</v>
      </c>
      <c r="J979" t="str">
        <f>MAIN!A984&amp;"B"</f>
        <v>B</v>
      </c>
      <c r="K979" s="12" t="e">
        <f t="shared" si="63"/>
        <v>#VALUE!</v>
      </c>
      <c r="L979" t="str">
        <f>MAIN!C984</f>
        <v/>
      </c>
    </row>
    <row r="980" spans="1:12" x14ac:dyDescent="0.3">
      <c r="A980">
        <f>IF(J980="0",0,IF(COUNTIF($J$2:J980,J980)=1,1,0))</f>
        <v>0</v>
      </c>
      <c r="B980" s="12" t="e">
        <f>MID(MAIN!A985,K980,2)</f>
        <v>#VALUE!</v>
      </c>
      <c r="C980" s="12" t="e">
        <f t="shared" si="60"/>
        <v>#VALUE!</v>
      </c>
      <c r="D980" s="12" t="e">
        <f>MID(MAIN!A985,K980+2,2)</f>
        <v>#VALUE!</v>
      </c>
      <c r="E980" s="12" t="e">
        <f>MID(MAIN!A985,K980+4,2)</f>
        <v>#VALUE!</v>
      </c>
      <c r="F980" s="2" t="e">
        <f t="shared" si="61"/>
        <v>#VALUE!</v>
      </c>
      <c r="G980" s="13" t="e">
        <f t="shared" si="62"/>
        <v>#VALUE!</v>
      </c>
      <c r="J980" t="str">
        <f>MAIN!A985&amp;"B"</f>
        <v>B</v>
      </c>
      <c r="K980" s="12" t="e">
        <f t="shared" si="63"/>
        <v>#VALUE!</v>
      </c>
      <c r="L980" t="str">
        <f>MAIN!C985</f>
        <v/>
      </c>
    </row>
    <row r="981" spans="1:12" x14ac:dyDescent="0.3">
      <c r="A981">
        <f>IF(J981="0",0,IF(COUNTIF($J$2:J981,J981)=1,1,0))</f>
        <v>0</v>
      </c>
      <c r="B981" s="12" t="e">
        <f>MID(MAIN!A986,K981,2)</f>
        <v>#VALUE!</v>
      </c>
      <c r="C981" s="12" t="e">
        <f t="shared" si="60"/>
        <v>#VALUE!</v>
      </c>
      <c r="D981" s="12" t="e">
        <f>MID(MAIN!A986,K981+2,2)</f>
        <v>#VALUE!</v>
      </c>
      <c r="E981" s="12" t="e">
        <f>MID(MAIN!A986,K981+4,2)</f>
        <v>#VALUE!</v>
      </c>
      <c r="F981" s="2" t="e">
        <f t="shared" si="61"/>
        <v>#VALUE!</v>
      </c>
      <c r="G981" s="13" t="e">
        <f t="shared" si="62"/>
        <v>#VALUE!</v>
      </c>
      <c r="J981" t="str">
        <f>MAIN!A986&amp;"B"</f>
        <v>B</v>
      </c>
      <c r="K981" s="12" t="e">
        <f t="shared" si="63"/>
        <v>#VALUE!</v>
      </c>
      <c r="L981" t="str">
        <f>MAIN!C986</f>
        <v/>
      </c>
    </row>
    <row r="982" spans="1:12" x14ac:dyDescent="0.3">
      <c r="A982">
        <f>IF(J982="0",0,IF(COUNTIF($J$2:J982,J982)=1,1,0))</f>
        <v>0</v>
      </c>
      <c r="B982" s="12" t="e">
        <f>MID(MAIN!A987,K982,2)</f>
        <v>#VALUE!</v>
      </c>
      <c r="C982" s="12" t="e">
        <f t="shared" si="60"/>
        <v>#VALUE!</v>
      </c>
      <c r="D982" s="12" t="e">
        <f>MID(MAIN!A987,K982+2,2)</f>
        <v>#VALUE!</v>
      </c>
      <c r="E982" s="12" t="e">
        <f>MID(MAIN!A987,K982+4,2)</f>
        <v>#VALUE!</v>
      </c>
      <c r="F982" s="2" t="e">
        <f t="shared" si="61"/>
        <v>#VALUE!</v>
      </c>
      <c r="G982" s="13" t="e">
        <f t="shared" si="62"/>
        <v>#VALUE!</v>
      </c>
      <c r="J982" t="str">
        <f>MAIN!A987&amp;"B"</f>
        <v>B</v>
      </c>
      <c r="K982" s="12" t="e">
        <f t="shared" si="63"/>
        <v>#VALUE!</v>
      </c>
      <c r="L982" t="str">
        <f>MAIN!C987</f>
        <v/>
      </c>
    </row>
    <row r="983" spans="1:12" x14ac:dyDescent="0.3">
      <c r="A983">
        <f>IF(J983="0",0,IF(COUNTIF($J$2:J983,J983)=1,1,0))</f>
        <v>0</v>
      </c>
      <c r="B983" s="12" t="e">
        <f>MID(MAIN!A988,K983,2)</f>
        <v>#VALUE!</v>
      </c>
      <c r="C983" s="12" t="e">
        <f t="shared" si="60"/>
        <v>#VALUE!</v>
      </c>
      <c r="D983" s="12" t="e">
        <f>MID(MAIN!A988,K983+2,2)</f>
        <v>#VALUE!</v>
      </c>
      <c r="E983" s="12" t="e">
        <f>MID(MAIN!A988,K983+4,2)</f>
        <v>#VALUE!</v>
      </c>
      <c r="F983" s="2" t="e">
        <f t="shared" si="61"/>
        <v>#VALUE!</v>
      </c>
      <c r="G983" s="13" t="e">
        <f t="shared" si="62"/>
        <v>#VALUE!</v>
      </c>
      <c r="J983" t="str">
        <f>MAIN!A988&amp;"B"</f>
        <v>B</v>
      </c>
      <c r="K983" s="12" t="e">
        <f t="shared" si="63"/>
        <v>#VALUE!</v>
      </c>
      <c r="L983" t="str">
        <f>MAIN!C988</f>
        <v/>
      </c>
    </row>
    <row r="984" spans="1:12" x14ac:dyDescent="0.3">
      <c r="A984">
        <f>IF(J984="0",0,IF(COUNTIF($J$2:J984,J984)=1,1,0))</f>
        <v>0</v>
      </c>
      <c r="B984" s="12" t="e">
        <f>MID(MAIN!A989,K984,2)</f>
        <v>#VALUE!</v>
      </c>
      <c r="C984" s="12" t="e">
        <f t="shared" si="60"/>
        <v>#VALUE!</v>
      </c>
      <c r="D984" s="12" t="e">
        <f>MID(MAIN!A989,K984+2,2)</f>
        <v>#VALUE!</v>
      </c>
      <c r="E984" s="12" t="e">
        <f>MID(MAIN!A989,K984+4,2)</f>
        <v>#VALUE!</v>
      </c>
      <c r="F984" s="2" t="e">
        <f t="shared" si="61"/>
        <v>#VALUE!</v>
      </c>
      <c r="G984" s="13" t="e">
        <f t="shared" si="62"/>
        <v>#VALUE!</v>
      </c>
      <c r="J984" t="str">
        <f>MAIN!A989&amp;"B"</f>
        <v>B</v>
      </c>
      <c r="K984" s="12" t="e">
        <f t="shared" si="63"/>
        <v>#VALUE!</v>
      </c>
      <c r="L984" t="str">
        <f>MAIN!C989</f>
        <v/>
      </c>
    </row>
    <row r="985" spans="1:12" x14ac:dyDescent="0.3">
      <c r="A985">
        <f>IF(J985="0",0,IF(COUNTIF($J$2:J985,J985)=1,1,0))</f>
        <v>0</v>
      </c>
      <c r="B985" s="12" t="e">
        <f>MID(MAIN!A990,K985,2)</f>
        <v>#VALUE!</v>
      </c>
      <c r="C985" s="12" t="e">
        <f t="shared" si="60"/>
        <v>#VALUE!</v>
      </c>
      <c r="D985" s="12" t="e">
        <f>MID(MAIN!A990,K985+2,2)</f>
        <v>#VALUE!</v>
      </c>
      <c r="E985" s="12" t="e">
        <f>MID(MAIN!A990,K985+4,2)</f>
        <v>#VALUE!</v>
      </c>
      <c r="F985" s="2" t="e">
        <f t="shared" si="61"/>
        <v>#VALUE!</v>
      </c>
      <c r="G985" s="13" t="e">
        <f t="shared" si="62"/>
        <v>#VALUE!</v>
      </c>
      <c r="J985" t="str">
        <f>MAIN!A990&amp;"B"</f>
        <v>B</v>
      </c>
      <c r="K985" s="12" t="e">
        <f t="shared" si="63"/>
        <v>#VALUE!</v>
      </c>
      <c r="L985" t="str">
        <f>MAIN!C990</f>
        <v/>
      </c>
    </row>
    <row r="986" spans="1:12" x14ac:dyDescent="0.3">
      <c r="A986">
        <f>IF(J986="0",0,IF(COUNTIF($J$2:J986,J986)=1,1,0))</f>
        <v>0</v>
      </c>
      <c r="B986" s="12" t="e">
        <f>MID(MAIN!A991,K986,2)</f>
        <v>#VALUE!</v>
      </c>
      <c r="C986" s="12" t="e">
        <f t="shared" si="60"/>
        <v>#VALUE!</v>
      </c>
      <c r="D986" s="12" t="e">
        <f>MID(MAIN!A991,K986+2,2)</f>
        <v>#VALUE!</v>
      </c>
      <c r="E986" s="12" t="e">
        <f>MID(MAIN!A991,K986+4,2)</f>
        <v>#VALUE!</v>
      </c>
      <c r="F986" s="2" t="e">
        <f t="shared" si="61"/>
        <v>#VALUE!</v>
      </c>
      <c r="G986" s="13" t="e">
        <f t="shared" si="62"/>
        <v>#VALUE!</v>
      </c>
      <c r="J986" t="str">
        <f>MAIN!A991&amp;"B"</f>
        <v>B</v>
      </c>
      <c r="K986" s="12" t="e">
        <f t="shared" si="63"/>
        <v>#VALUE!</v>
      </c>
      <c r="L986" t="str">
        <f>MAIN!C991</f>
        <v/>
      </c>
    </row>
    <row r="987" spans="1:12" x14ac:dyDescent="0.3">
      <c r="A987">
        <f>IF(J987="0",0,IF(COUNTIF($J$2:J987,J987)=1,1,0))</f>
        <v>0</v>
      </c>
      <c r="B987" s="12" t="e">
        <f>MID(MAIN!A992,K987,2)</f>
        <v>#VALUE!</v>
      </c>
      <c r="C987" s="12" t="e">
        <f t="shared" si="60"/>
        <v>#VALUE!</v>
      </c>
      <c r="D987" s="12" t="e">
        <f>MID(MAIN!A992,K987+2,2)</f>
        <v>#VALUE!</v>
      </c>
      <c r="E987" s="12" t="e">
        <f>MID(MAIN!A992,K987+4,2)</f>
        <v>#VALUE!</v>
      </c>
      <c r="F987" s="2" t="e">
        <f t="shared" si="61"/>
        <v>#VALUE!</v>
      </c>
      <c r="G987" s="13" t="e">
        <f t="shared" si="62"/>
        <v>#VALUE!</v>
      </c>
      <c r="J987" t="str">
        <f>MAIN!A992&amp;"B"</f>
        <v>B</v>
      </c>
      <c r="K987" s="12" t="e">
        <f t="shared" si="63"/>
        <v>#VALUE!</v>
      </c>
      <c r="L987" t="str">
        <f>MAIN!C992</f>
        <v/>
      </c>
    </row>
    <row r="988" spans="1:12" x14ac:dyDescent="0.3">
      <c r="A988">
        <f>IF(J988="0",0,IF(COUNTIF($J$2:J988,J988)=1,1,0))</f>
        <v>0</v>
      </c>
      <c r="B988" s="12" t="e">
        <f>MID(MAIN!A993,K988,2)</f>
        <v>#VALUE!</v>
      </c>
      <c r="C988" s="12" t="e">
        <f t="shared" si="60"/>
        <v>#VALUE!</v>
      </c>
      <c r="D988" s="12" t="e">
        <f>MID(MAIN!A993,K988+2,2)</f>
        <v>#VALUE!</v>
      </c>
      <c r="E988" s="12" t="e">
        <f>MID(MAIN!A993,K988+4,2)</f>
        <v>#VALUE!</v>
      </c>
      <c r="F988" s="2" t="e">
        <f t="shared" si="61"/>
        <v>#VALUE!</v>
      </c>
      <c r="G988" s="13" t="e">
        <f t="shared" si="62"/>
        <v>#VALUE!</v>
      </c>
      <c r="J988" t="str">
        <f>MAIN!A993&amp;"B"</f>
        <v>B</v>
      </c>
      <c r="K988" s="12" t="e">
        <f t="shared" si="63"/>
        <v>#VALUE!</v>
      </c>
      <c r="L988" t="str">
        <f>MAIN!C993</f>
        <v/>
      </c>
    </row>
    <row r="989" spans="1:12" x14ac:dyDescent="0.3">
      <c r="A989">
        <f>IF(J989="0",0,IF(COUNTIF($J$2:J989,J989)=1,1,0))</f>
        <v>0</v>
      </c>
      <c r="B989" s="12" t="e">
        <f>MID(MAIN!A994,K989,2)</f>
        <v>#VALUE!</v>
      </c>
      <c r="C989" s="12" t="e">
        <f t="shared" si="60"/>
        <v>#VALUE!</v>
      </c>
      <c r="D989" s="12" t="e">
        <f>MID(MAIN!A994,K989+2,2)</f>
        <v>#VALUE!</v>
      </c>
      <c r="E989" s="12" t="e">
        <f>MID(MAIN!A994,K989+4,2)</f>
        <v>#VALUE!</v>
      </c>
      <c r="F989" s="2" t="e">
        <f t="shared" si="61"/>
        <v>#VALUE!</v>
      </c>
      <c r="G989" s="13" t="e">
        <f t="shared" si="62"/>
        <v>#VALUE!</v>
      </c>
      <c r="J989" t="str">
        <f>MAIN!A994&amp;"B"</f>
        <v>B</v>
      </c>
      <c r="K989" s="12" t="e">
        <f t="shared" si="63"/>
        <v>#VALUE!</v>
      </c>
      <c r="L989" t="str">
        <f>MAIN!C994</f>
        <v/>
      </c>
    </row>
    <row r="990" spans="1:12" x14ac:dyDescent="0.3">
      <c r="A990">
        <f>IF(J990="0",0,IF(COUNTIF($J$2:J990,J990)=1,1,0))</f>
        <v>0</v>
      </c>
      <c r="B990" s="12" t="e">
        <f>MID(MAIN!A995,K990,2)</f>
        <v>#VALUE!</v>
      </c>
      <c r="C990" s="12" t="e">
        <f t="shared" si="60"/>
        <v>#VALUE!</v>
      </c>
      <c r="D990" s="12" t="e">
        <f>MID(MAIN!A995,K990+2,2)</f>
        <v>#VALUE!</v>
      </c>
      <c r="E990" s="12" t="e">
        <f>MID(MAIN!A995,K990+4,2)</f>
        <v>#VALUE!</v>
      </c>
      <c r="F990" s="2" t="e">
        <f t="shared" si="61"/>
        <v>#VALUE!</v>
      </c>
      <c r="G990" s="13" t="e">
        <f t="shared" si="62"/>
        <v>#VALUE!</v>
      </c>
      <c r="J990" t="str">
        <f>MAIN!A995&amp;"B"</f>
        <v>B</v>
      </c>
      <c r="K990" s="12" t="e">
        <f t="shared" si="63"/>
        <v>#VALUE!</v>
      </c>
      <c r="L990" t="str">
        <f>MAIN!C995</f>
        <v/>
      </c>
    </row>
    <row r="991" spans="1:12" x14ac:dyDescent="0.3">
      <c r="A991">
        <f>IF(J991="0",0,IF(COUNTIF($J$2:J991,J991)=1,1,0))</f>
        <v>0</v>
      </c>
      <c r="B991" s="12" t="e">
        <f>MID(MAIN!A996,K991,2)</f>
        <v>#VALUE!</v>
      </c>
      <c r="C991" s="12" t="e">
        <f t="shared" si="60"/>
        <v>#VALUE!</v>
      </c>
      <c r="D991" s="12" t="e">
        <f>MID(MAIN!A996,K991+2,2)</f>
        <v>#VALUE!</v>
      </c>
      <c r="E991" s="12" t="e">
        <f>MID(MAIN!A996,K991+4,2)</f>
        <v>#VALUE!</v>
      </c>
      <c r="F991" s="2" t="e">
        <f t="shared" si="61"/>
        <v>#VALUE!</v>
      </c>
      <c r="G991" s="13" t="e">
        <f t="shared" si="62"/>
        <v>#VALUE!</v>
      </c>
      <c r="J991" t="str">
        <f>MAIN!A996&amp;"B"</f>
        <v>B</v>
      </c>
      <c r="K991" s="12" t="e">
        <f t="shared" si="63"/>
        <v>#VALUE!</v>
      </c>
      <c r="L991" t="str">
        <f>MAIN!C996</f>
        <v/>
      </c>
    </row>
    <row r="992" spans="1:12" x14ac:dyDescent="0.3">
      <c r="A992">
        <f>IF(J992="0",0,IF(COUNTIF($J$2:J992,J992)=1,1,0))</f>
        <v>0</v>
      </c>
      <c r="B992" s="12" t="e">
        <f>MID(MAIN!A997,K992,2)</f>
        <v>#VALUE!</v>
      </c>
      <c r="C992" s="12" t="e">
        <f t="shared" si="60"/>
        <v>#VALUE!</v>
      </c>
      <c r="D992" s="12" t="e">
        <f>MID(MAIN!A997,K992+2,2)</f>
        <v>#VALUE!</v>
      </c>
      <c r="E992" s="12" t="e">
        <f>MID(MAIN!A997,K992+4,2)</f>
        <v>#VALUE!</v>
      </c>
      <c r="F992" s="2" t="e">
        <f t="shared" si="61"/>
        <v>#VALUE!</v>
      </c>
      <c r="G992" s="13" t="e">
        <f t="shared" si="62"/>
        <v>#VALUE!</v>
      </c>
      <c r="J992" t="str">
        <f>MAIN!A997&amp;"B"</f>
        <v>B</v>
      </c>
      <c r="K992" s="12" t="e">
        <f t="shared" si="63"/>
        <v>#VALUE!</v>
      </c>
      <c r="L992" t="str">
        <f>MAIN!C997</f>
        <v/>
      </c>
    </row>
    <row r="993" spans="1:12" x14ac:dyDescent="0.3">
      <c r="A993">
        <f>IF(J993="0",0,IF(COUNTIF($J$2:J993,J993)=1,1,0))</f>
        <v>0</v>
      </c>
      <c r="B993" s="12" t="e">
        <f>MID(MAIN!A998,K993,2)</f>
        <v>#VALUE!</v>
      </c>
      <c r="C993" s="12" t="e">
        <f t="shared" si="60"/>
        <v>#VALUE!</v>
      </c>
      <c r="D993" s="12" t="e">
        <f>MID(MAIN!A998,K993+2,2)</f>
        <v>#VALUE!</v>
      </c>
      <c r="E993" s="12" t="e">
        <f>MID(MAIN!A998,K993+4,2)</f>
        <v>#VALUE!</v>
      </c>
      <c r="F993" s="2" t="e">
        <f t="shared" si="61"/>
        <v>#VALUE!</v>
      </c>
      <c r="G993" s="13" t="e">
        <f t="shared" si="62"/>
        <v>#VALUE!</v>
      </c>
      <c r="J993" t="str">
        <f>MAIN!A998&amp;"B"</f>
        <v>B</v>
      </c>
      <c r="K993" s="12" t="e">
        <f t="shared" si="63"/>
        <v>#VALUE!</v>
      </c>
      <c r="L993" t="str">
        <f>MAIN!C998</f>
        <v/>
      </c>
    </row>
    <row r="994" spans="1:12" x14ac:dyDescent="0.3">
      <c r="A994">
        <f>IF(J994="0",0,IF(COUNTIF($J$2:J994,J994)=1,1,0))</f>
        <v>0</v>
      </c>
      <c r="B994" s="12" t="e">
        <f>MID(MAIN!A999,K994,2)</f>
        <v>#VALUE!</v>
      </c>
      <c r="C994" s="12" t="e">
        <f t="shared" si="60"/>
        <v>#VALUE!</v>
      </c>
      <c r="D994" s="12" t="e">
        <f>MID(MAIN!A999,K994+2,2)</f>
        <v>#VALUE!</v>
      </c>
      <c r="E994" s="12" t="e">
        <f>MID(MAIN!A999,K994+4,2)</f>
        <v>#VALUE!</v>
      </c>
      <c r="F994" s="2" t="e">
        <f t="shared" si="61"/>
        <v>#VALUE!</v>
      </c>
      <c r="G994" s="13" t="e">
        <f t="shared" si="62"/>
        <v>#VALUE!</v>
      </c>
      <c r="J994" t="str">
        <f>MAIN!A999&amp;"B"</f>
        <v>B</v>
      </c>
      <c r="K994" s="12" t="e">
        <f t="shared" si="63"/>
        <v>#VALUE!</v>
      </c>
      <c r="L994" t="str">
        <f>MAIN!C999</f>
        <v/>
      </c>
    </row>
    <row r="995" spans="1:12" x14ac:dyDescent="0.3">
      <c r="A995">
        <f>IF(J995="0",0,IF(COUNTIF($J$2:J995,J995)=1,1,0))</f>
        <v>0</v>
      </c>
      <c r="B995" s="12" t="e">
        <f>MID(MAIN!A1000,K995,2)</f>
        <v>#VALUE!</v>
      </c>
      <c r="C995" s="12" t="e">
        <f t="shared" si="60"/>
        <v>#VALUE!</v>
      </c>
      <c r="D995" s="12" t="e">
        <f>MID(MAIN!A1000,K995+2,2)</f>
        <v>#VALUE!</v>
      </c>
      <c r="E995" s="12" t="e">
        <f>MID(MAIN!A1000,K995+4,2)</f>
        <v>#VALUE!</v>
      </c>
      <c r="F995" s="2" t="e">
        <f t="shared" si="61"/>
        <v>#VALUE!</v>
      </c>
      <c r="G995" s="13" t="e">
        <f t="shared" si="62"/>
        <v>#VALUE!</v>
      </c>
      <c r="J995" t="str">
        <f>MAIN!A1000&amp;"B"</f>
        <v>B</v>
      </c>
      <c r="K995" s="12" t="e">
        <f t="shared" si="63"/>
        <v>#VALUE!</v>
      </c>
      <c r="L995" t="str">
        <f>MAIN!C1000</f>
        <v/>
      </c>
    </row>
    <row r="996" spans="1:12" x14ac:dyDescent="0.3">
      <c r="A996">
        <f>IF(J996="0",0,IF(COUNTIF($J$2:J996,J996)=1,1,0))</f>
        <v>0</v>
      </c>
      <c r="B996" s="12" t="e">
        <f>MID(MAIN!A1001,K996,2)</f>
        <v>#VALUE!</v>
      </c>
      <c r="C996" s="12" t="e">
        <f t="shared" si="60"/>
        <v>#VALUE!</v>
      </c>
      <c r="D996" s="12" t="e">
        <f>MID(MAIN!A1001,K996+2,2)</f>
        <v>#VALUE!</v>
      </c>
      <c r="E996" s="12" t="e">
        <f>MID(MAIN!A1001,K996+4,2)</f>
        <v>#VALUE!</v>
      </c>
      <c r="F996" s="2" t="e">
        <f t="shared" si="61"/>
        <v>#VALUE!</v>
      </c>
      <c r="G996" s="13" t="e">
        <f t="shared" si="62"/>
        <v>#VALUE!</v>
      </c>
      <c r="J996" t="str">
        <f>MAIN!A1001&amp;"B"</f>
        <v>B</v>
      </c>
      <c r="K996" s="12" t="e">
        <f t="shared" si="63"/>
        <v>#VALUE!</v>
      </c>
      <c r="L996" t="str">
        <f>MAIN!C1001</f>
        <v/>
      </c>
    </row>
    <row r="997" spans="1:12" x14ac:dyDescent="0.3">
      <c r="A997">
        <f>IF(J997="0",0,IF(COUNTIF($J$2:J997,J997)=1,1,0))</f>
        <v>0</v>
      </c>
      <c r="B997" s="12" t="e">
        <f>MID(MAIN!A1002,K997,2)</f>
        <v>#VALUE!</v>
      </c>
      <c r="C997" s="12" t="e">
        <f t="shared" si="60"/>
        <v>#VALUE!</v>
      </c>
      <c r="D997" s="12" t="e">
        <f>MID(MAIN!A1002,K997+2,2)</f>
        <v>#VALUE!</v>
      </c>
      <c r="E997" s="12" t="e">
        <f>MID(MAIN!A1002,K997+4,2)</f>
        <v>#VALUE!</v>
      </c>
      <c r="F997" s="2" t="e">
        <f t="shared" si="61"/>
        <v>#VALUE!</v>
      </c>
      <c r="G997" s="13" t="e">
        <f t="shared" si="62"/>
        <v>#VALUE!</v>
      </c>
      <c r="J997" t="str">
        <f>MAIN!A1002&amp;"B"</f>
        <v>B</v>
      </c>
      <c r="K997" s="12" t="e">
        <f t="shared" si="63"/>
        <v>#VALUE!</v>
      </c>
      <c r="L997" t="str">
        <f>MAIN!C1002</f>
        <v/>
      </c>
    </row>
    <row r="998" spans="1:12" x14ac:dyDescent="0.3">
      <c r="A998">
        <f>IF(J998="0",0,IF(COUNTIF($J$2:J998,J998)=1,1,0))</f>
        <v>0</v>
      </c>
      <c r="B998" s="12" t="e">
        <f>MID(MAIN!A1003,K998,2)</f>
        <v>#VALUE!</v>
      </c>
      <c r="C998" s="12" t="e">
        <f t="shared" si="60"/>
        <v>#VALUE!</v>
      </c>
      <c r="D998" s="12" t="e">
        <f>MID(MAIN!A1003,K998+2,2)</f>
        <v>#VALUE!</v>
      </c>
      <c r="E998" s="12" t="e">
        <f>MID(MAIN!A1003,K998+4,2)</f>
        <v>#VALUE!</v>
      </c>
      <c r="F998" s="2" t="e">
        <f t="shared" si="61"/>
        <v>#VALUE!</v>
      </c>
      <c r="G998" s="13" t="e">
        <f t="shared" si="62"/>
        <v>#VALUE!</v>
      </c>
      <c r="J998" t="str">
        <f>MAIN!A1003&amp;"B"</f>
        <v>B</v>
      </c>
      <c r="K998" s="12" t="e">
        <f t="shared" si="63"/>
        <v>#VALUE!</v>
      </c>
      <c r="L998" t="str">
        <f>MAIN!C1003</f>
        <v/>
      </c>
    </row>
    <row r="999" spans="1:12" x14ac:dyDescent="0.3">
      <c r="A999">
        <f>IF(J999="0",0,IF(COUNTIF($J$2:J999,J999)=1,1,0))</f>
        <v>0</v>
      </c>
      <c r="B999" s="12" t="e">
        <f>MID(MAIN!A1004,K999,2)</f>
        <v>#VALUE!</v>
      </c>
      <c r="C999" s="12" t="e">
        <f t="shared" si="60"/>
        <v>#VALUE!</v>
      </c>
      <c r="D999" s="12" t="e">
        <f>MID(MAIN!A1004,K999+2,2)</f>
        <v>#VALUE!</v>
      </c>
      <c r="E999" s="12" t="e">
        <f>MID(MAIN!A1004,K999+4,2)</f>
        <v>#VALUE!</v>
      </c>
      <c r="F999" s="2" t="e">
        <f t="shared" si="61"/>
        <v>#VALUE!</v>
      </c>
      <c r="G999" s="13" t="e">
        <f t="shared" si="62"/>
        <v>#VALUE!</v>
      </c>
      <c r="J999" t="str">
        <f>MAIN!A1004&amp;"B"</f>
        <v>B</v>
      </c>
      <c r="K999" s="12" t="e">
        <f t="shared" si="63"/>
        <v>#VALUE!</v>
      </c>
      <c r="L999" t="str">
        <f>MAIN!C1004</f>
        <v/>
      </c>
    </row>
    <row r="1000" spans="1:12" x14ac:dyDescent="0.3">
      <c r="A1000">
        <f>IF(J1000="0",0,IF(COUNTIF($J$2:J1000,J1000)=1,1,0))</f>
        <v>0</v>
      </c>
      <c r="B1000" s="12" t="e">
        <f>MID(MAIN!A1005,K1000,2)</f>
        <v>#VALUE!</v>
      </c>
      <c r="C1000" s="12" t="e">
        <f t="shared" si="60"/>
        <v>#VALUE!</v>
      </c>
      <c r="D1000" s="12" t="e">
        <f>MID(MAIN!A1005,K1000+2,2)</f>
        <v>#VALUE!</v>
      </c>
      <c r="E1000" s="12" t="e">
        <f>MID(MAIN!A1005,K1000+4,2)</f>
        <v>#VALUE!</v>
      </c>
      <c r="F1000" s="2" t="e">
        <f t="shared" si="61"/>
        <v>#VALUE!</v>
      </c>
      <c r="G1000" s="13" t="e">
        <f t="shared" si="62"/>
        <v>#VALUE!</v>
      </c>
      <c r="J1000" t="str">
        <f>MAIN!A1005&amp;"B"</f>
        <v>B</v>
      </c>
      <c r="K1000" s="12" t="e">
        <f t="shared" si="63"/>
        <v>#VALUE!</v>
      </c>
      <c r="L1000" t="str">
        <f>MAIN!C1005</f>
        <v/>
      </c>
    </row>
    <row r="1001" spans="1:12" x14ac:dyDescent="0.3">
      <c r="A1001">
        <f>IF(J1001="0",0,IF(COUNTIF($J$2:J1001,J1001)=1,1,0))</f>
        <v>0</v>
      </c>
      <c r="B1001" s="12" t="e">
        <f>MID(MAIN!A1006,K1001,2)</f>
        <v>#VALUE!</v>
      </c>
      <c r="C1001" s="12" t="e">
        <f t="shared" si="60"/>
        <v>#VALUE!</v>
      </c>
      <c r="D1001" s="12" t="e">
        <f>MID(MAIN!A1006,K1001+2,2)</f>
        <v>#VALUE!</v>
      </c>
      <c r="E1001" s="12" t="e">
        <f>MID(MAIN!A1006,K1001+4,2)</f>
        <v>#VALUE!</v>
      </c>
      <c r="F1001" s="2" t="e">
        <f t="shared" si="61"/>
        <v>#VALUE!</v>
      </c>
      <c r="G1001" s="13" t="e">
        <f t="shared" si="62"/>
        <v>#VALUE!</v>
      </c>
      <c r="J1001" t="str">
        <f>MAIN!A1006&amp;"B"</f>
        <v>B</v>
      </c>
      <c r="K1001" s="12" t="e">
        <f t="shared" si="63"/>
        <v>#VALUE!</v>
      </c>
      <c r="L1001" t="str">
        <f>MAIN!C1006</f>
        <v/>
      </c>
    </row>
    <row r="1002" spans="1:12" x14ac:dyDescent="0.3">
      <c r="A1002">
        <f>IF(J1002="0",0,IF(COUNTIF($J$2:J1002,J1002)=1,1,0))</f>
        <v>0</v>
      </c>
      <c r="B1002" s="12" t="e">
        <f>MID(MAIN!A1007,K1002,2)</f>
        <v>#VALUE!</v>
      </c>
      <c r="C1002" s="12" t="e">
        <f t="shared" si="60"/>
        <v>#VALUE!</v>
      </c>
      <c r="D1002" s="12" t="e">
        <f>MID(MAIN!A1007,K1002+2,2)</f>
        <v>#VALUE!</v>
      </c>
      <c r="E1002" s="12" t="e">
        <f>MID(MAIN!A1007,K1002+4,2)</f>
        <v>#VALUE!</v>
      </c>
      <c r="F1002" s="2" t="e">
        <f t="shared" si="61"/>
        <v>#VALUE!</v>
      </c>
      <c r="G1002" s="13" t="e">
        <f t="shared" si="62"/>
        <v>#VALUE!</v>
      </c>
      <c r="J1002" t="str">
        <f>MAIN!A1007&amp;"B"</f>
        <v>B</v>
      </c>
      <c r="K1002" s="12" t="e">
        <f t="shared" si="63"/>
        <v>#VALUE!</v>
      </c>
      <c r="L1002" t="str">
        <f>MAIN!C1007</f>
        <v/>
      </c>
    </row>
    <row r="1003" spans="1:12" x14ac:dyDescent="0.3">
      <c r="A1003">
        <f>IF(J1003="0",0,IF(COUNTIF($J$2:J1003,J1003)=1,1,0))</f>
        <v>0</v>
      </c>
      <c r="B1003" s="12" t="e">
        <f>MID(MAIN!A1008,K1003,2)</f>
        <v>#VALUE!</v>
      </c>
      <c r="C1003" s="12" t="e">
        <f t="shared" si="60"/>
        <v>#VALUE!</v>
      </c>
      <c r="D1003" s="12" t="e">
        <f>MID(MAIN!A1008,K1003+2,2)</f>
        <v>#VALUE!</v>
      </c>
      <c r="E1003" s="12" t="e">
        <f>MID(MAIN!A1008,K1003+4,2)</f>
        <v>#VALUE!</v>
      </c>
      <c r="F1003" s="2" t="e">
        <f t="shared" si="61"/>
        <v>#VALUE!</v>
      </c>
      <c r="G1003" s="13" t="e">
        <f t="shared" si="62"/>
        <v>#VALUE!</v>
      </c>
      <c r="J1003" t="str">
        <f>MAIN!A1008&amp;"B"</f>
        <v>B</v>
      </c>
      <c r="K1003" s="12" t="e">
        <f t="shared" si="63"/>
        <v>#VALUE!</v>
      </c>
      <c r="L1003" t="str">
        <f>MAIN!C1008</f>
        <v/>
      </c>
    </row>
    <row r="1004" spans="1:12" x14ac:dyDescent="0.3">
      <c r="A1004">
        <f>IF(J1004="0",0,IF(COUNTIF($J$2:J1004,J1004)=1,1,0))</f>
        <v>0</v>
      </c>
      <c r="B1004" s="12" t="e">
        <f>MID(MAIN!A1009,K1004,2)</f>
        <v>#VALUE!</v>
      </c>
      <c r="C1004" s="12" t="e">
        <f t="shared" si="60"/>
        <v>#VALUE!</v>
      </c>
      <c r="D1004" s="12" t="e">
        <f>MID(MAIN!A1009,K1004+2,2)</f>
        <v>#VALUE!</v>
      </c>
      <c r="E1004" s="12" t="e">
        <f>MID(MAIN!A1009,K1004+4,2)</f>
        <v>#VALUE!</v>
      </c>
      <c r="F1004" s="2" t="e">
        <f t="shared" si="61"/>
        <v>#VALUE!</v>
      </c>
      <c r="G1004" s="13" t="e">
        <f t="shared" si="62"/>
        <v>#VALUE!</v>
      </c>
      <c r="J1004" t="str">
        <f>MAIN!A1009&amp;"B"</f>
        <v>B</v>
      </c>
      <c r="K1004" s="12" t="e">
        <f t="shared" si="63"/>
        <v>#VALUE!</v>
      </c>
      <c r="L1004" t="str">
        <f>MAIN!C1009</f>
        <v/>
      </c>
    </row>
    <row r="1005" spans="1:12" x14ac:dyDescent="0.3">
      <c r="A1005">
        <f>IF(J1005="0",0,IF(COUNTIF($J$2:J1005,J1005)=1,1,0))</f>
        <v>0</v>
      </c>
      <c r="B1005" s="12" t="e">
        <f>MID(MAIN!A1010,K1005,2)</f>
        <v>#VALUE!</v>
      </c>
      <c r="C1005" s="12" t="e">
        <f t="shared" si="60"/>
        <v>#VALUE!</v>
      </c>
      <c r="D1005" s="12" t="e">
        <f>MID(MAIN!A1010,K1005+2,2)</f>
        <v>#VALUE!</v>
      </c>
      <c r="E1005" s="12" t="e">
        <f>MID(MAIN!A1010,K1005+4,2)</f>
        <v>#VALUE!</v>
      </c>
      <c r="F1005" s="2" t="e">
        <f t="shared" si="61"/>
        <v>#VALUE!</v>
      </c>
      <c r="G1005" s="13" t="e">
        <f t="shared" si="62"/>
        <v>#VALUE!</v>
      </c>
      <c r="J1005" t="str">
        <f>MAIN!A1010&amp;"B"</f>
        <v>B</v>
      </c>
      <c r="K1005" s="12" t="e">
        <f t="shared" si="63"/>
        <v>#VALUE!</v>
      </c>
      <c r="L1005" t="str">
        <f>MAIN!C1010</f>
        <v/>
      </c>
    </row>
    <row r="1006" spans="1:12" x14ac:dyDescent="0.3">
      <c r="A1006">
        <f>IF(J1006="0",0,IF(COUNTIF($J$2:J1006,J1006)=1,1,0))</f>
        <v>0</v>
      </c>
      <c r="B1006" s="12" t="e">
        <f>MID(MAIN!A1011,K1006,2)</f>
        <v>#VALUE!</v>
      </c>
      <c r="C1006" s="12" t="e">
        <f t="shared" si="60"/>
        <v>#VALUE!</v>
      </c>
      <c r="D1006" s="12" t="e">
        <f>MID(MAIN!A1011,K1006+2,2)</f>
        <v>#VALUE!</v>
      </c>
      <c r="E1006" s="12" t="e">
        <f>MID(MAIN!A1011,K1006+4,2)</f>
        <v>#VALUE!</v>
      </c>
      <c r="F1006" s="2" t="e">
        <f t="shared" si="61"/>
        <v>#VALUE!</v>
      </c>
      <c r="G1006" s="13" t="e">
        <f t="shared" si="62"/>
        <v>#VALUE!</v>
      </c>
      <c r="J1006" t="str">
        <f>MAIN!A1011&amp;"B"</f>
        <v>B</v>
      </c>
      <c r="K1006" s="12" t="e">
        <f t="shared" si="63"/>
        <v>#VALUE!</v>
      </c>
      <c r="L1006" t="str">
        <f>MAIN!C1011</f>
        <v/>
      </c>
    </row>
    <row r="1007" spans="1:12" x14ac:dyDescent="0.3">
      <c r="A1007">
        <f>IF(J1007="0",0,IF(COUNTIF($J$2:J1007,J1007)=1,1,0))</f>
        <v>0</v>
      </c>
      <c r="B1007" s="12" t="e">
        <f>MID(MAIN!A1012,K1007,2)</f>
        <v>#VALUE!</v>
      </c>
      <c r="C1007" s="12" t="e">
        <f t="shared" si="60"/>
        <v>#VALUE!</v>
      </c>
      <c r="D1007" s="12" t="e">
        <f>MID(MAIN!A1012,K1007+2,2)</f>
        <v>#VALUE!</v>
      </c>
      <c r="E1007" s="12" t="e">
        <f>MID(MAIN!A1012,K1007+4,2)</f>
        <v>#VALUE!</v>
      </c>
      <c r="F1007" s="2" t="e">
        <f t="shared" si="61"/>
        <v>#VALUE!</v>
      </c>
      <c r="G1007" s="13" t="e">
        <f t="shared" si="62"/>
        <v>#VALUE!</v>
      </c>
      <c r="J1007" t="str">
        <f>MAIN!A1012&amp;"B"</f>
        <v>B</v>
      </c>
      <c r="K1007" s="12" t="e">
        <f t="shared" si="63"/>
        <v>#VALUE!</v>
      </c>
      <c r="L1007" t="str">
        <f>MAIN!C1012</f>
        <v/>
      </c>
    </row>
    <row r="1008" spans="1:12" x14ac:dyDescent="0.3">
      <c r="A1008">
        <f>IF(J1008="0",0,IF(COUNTIF($J$2:J1008,J1008)=1,1,0))</f>
        <v>0</v>
      </c>
      <c r="B1008" s="12" t="e">
        <f>MID(MAIN!A1013,K1008,2)</f>
        <v>#VALUE!</v>
      </c>
      <c r="C1008" s="12" t="e">
        <f t="shared" si="60"/>
        <v>#VALUE!</v>
      </c>
      <c r="D1008" s="12" t="e">
        <f>MID(MAIN!A1013,K1008+2,2)</f>
        <v>#VALUE!</v>
      </c>
      <c r="E1008" s="12" t="e">
        <f>MID(MAIN!A1013,K1008+4,2)</f>
        <v>#VALUE!</v>
      </c>
      <c r="F1008" s="2" t="e">
        <f t="shared" si="61"/>
        <v>#VALUE!</v>
      </c>
      <c r="G1008" s="13" t="e">
        <f t="shared" si="62"/>
        <v>#VALUE!</v>
      </c>
      <c r="J1008" t="str">
        <f>MAIN!A1013&amp;"B"</f>
        <v>B</v>
      </c>
      <c r="K1008" s="12" t="e">
        <f t="shared" si="63"/>
        <v>#VALUE!</v>
      </c>
      <c r="L1008" t="str">
        <f>MAIN!C1013</f>
        <v/>
      </c>
    </row>
    <row r="1009" spans="1:12" x14ac:dyDescent="0.3">
      <c r="A1009">
        <f>IF(J1009="0",0,IF(COUNTIF($J$2:J1009,J1009)=1,1,0))</f>
        <v>0</v>
      </c>
      <c r="B1009" s="12" t="e">
        <f>MID(MAIN!A1014,K1009,2)</f>
        <v>#VALUE!</v>
      </c>
      <c r="C1009" s="12" t="e">
        <f t="shared" si="60"/>
        <v>#VALUE!</v>
      </c>
      <c r="D1009" s="12" t="e">
        <f>MID(MAIN!A1014,K1009+2,2)</f>
        <v>#VALUE!</v>
      </c>
      <c r="E1009" s="12" t="e">
        <f>MID(MAIN!A1014,K1009+4,2)</f>
        <v>#VALUE!</v>
      </c>
      <c r="F1009" s="2" t="e">
        <f t="shared" si="61"/>
        <v>#VALUE!</v>
      </c>
      <c r="G1009" s="13" t="e">
        <f t="shared" si="62"/>
        <v>#VALUE!</v>
      </c>
      <c r="J1009" t="str">
        <f>MAIN!A1014&amp;"B"</f>
        <v>B</v>
      </c>
      <c r="K1009" s="12" t="e">
        <f t="shared" si="63"/>
        <v>#VALUE!</v>
      </c>
      <c r="L1009" t="str">
        <f>MAIN!C1014</f>
        <v/>
      </c>
    </row>
    <row r="1010" spans="1:12" x14ac:dyDescent="0.3">
      <c r="A1010">
        <f>IF(J1010="0",0,IF(COUNTIF($J$2:J1010,J1010)=1,1,0))</f>
        <v>0</v>
      </c>
      <c r="B1010" s="12" t="e">
        <f>MID(MAIN!A1015,K1010,2)</f>
        <v>#VALUE!</v>
      </c>
      <c r="C1010" s="12" t="e">
        <f t="shared" si="60"/>
        <v>#VALUE!</v>
      </c>
      <c r="D1010" s="12" t="e">
        <f>MID(MAIN!A1015,K1010+2,2)</f>
        <v>#VALUE!</v>
      </c>
      <c r="E1010" s="12" t="e">
        <f>MID(MAIN!A1015,K1010+4,2)</f>
        <v>#VALUE!</v>
      </c>
      <c r="F1010" s="2" t="e">
        <f t="shared" si="61"/>
        <v>#VALUE!</v>
      </c>
      <c r="G1010" s="13" t="e">
        <f t="shared" si="62"/>
        <v>#VALUE!</v>
      </c>
      <c r="J1010" t="str">
        <f>MAIN!A1015&amp;"B"</f>
        <v>B</v>
      </c>
      <c r="K1010" s="12" t="e">
        <f t="shared" si="63"/>
        <v>#VALUE!</v>
      </c>
      <c r="L1010" t="str">
        <f>MAIN!C1015</f>
        <v/>
      </c>
    </row>
    <row r="1011" spans="1:12" x14ac:dyDescent="0.3">
      <c r="A1011">
        <f>IF(J1011="0",0,IF(COUNTIF($J$2:J1011,J1011)=1,1,0))</f>
        <v>0</v>
      </c>
      <c r="B1011" s="12" t="e">
        <f>MID(MAIN!A1016,K1011,2)</f>
        <v>#VALUE!</v>
      </c>
      <c r="C1011" s="12" t="e">
        <f t="shared" si="60"/>
        <v>#VALUE!</v>
      </c>
      <c r="D1011" s="12" t="e">
        <f>MID(MAIN!A1016,K1011+2,2)</f>
        <v>#VALUE!</v>
      </c>
      <c r="E1011" s="12" t="e">
        <f>MID(MAIN!A1016,K1011+4,2)</f>
        <v>#VALUE!</v>
      </c>
      <c r="F1011" s="2" t="e">
        <f t="shared" si="61"/>
        <v>#VALUE!</v>
      </c>
      <c r="G1011" s="13" t="e">
        <f t="shared" si="62"/>
        <v>#VALUE!</v>
      </c>
      <c r="J1011" t="str">
        <f>MAIN!A1016&amp;"B"</f>
        <v>B</v>
      </c>
      <c r="K1011" s="12" t="e">
        <f t="shared" si="63"/>
        <v>#VALUE!</v>
      </c>
      <c r="L1011" t="str">
        <f>MAIN!C1016</f>
        <v/>
      </c>
    </row>
    <row r="1012" spans="1:12" x14ac:dyDescent="0.3">
      <c r="A1012">
        <f>IF(J1012="0",0,IF(COUNTIF($J$2:J1012,J1012)=1,1,0))</f>
        <v>0</v>
      </c>
      <c r="B1012" s="12" t="e">
        <f>MID(MAIN!A1017,K1012,2)</f>
        <v>#VALUE!</v>
      </c>
      <c r="C1012" s="12" t="e">
        <f t="shared" si="60"/>
        <v>#VALUE!</v>
      </c>
      <c r="D1012" s="12" t="e">
        <f>MID(MAIN!A1017,K1012+2,2)</f>
        <v>#VALUE!</v>
      </c>
      <c r="E1012" s="12" t="e">
        <f>MID(MAIN!A1017,K1012+4,2)</f>
        <v>#VALUE!</v>
      </c>
      <c r="F1012" s="2" t="e">
        <f t="shared" si="61"/>
        <v>#VALUE!</v>
      </c>
      <c r="G1012" s="13" t="e">
        <f t="shared" si="62"/>
        <v>#VALUE!</v>
      </c>
      <c r="J1012" t="str">
        <f>MAIN!A1017&amp;"B"</f>
        <v>B</v>
      </c>
      <c r="K1012" s="12" t="e">
        <f t="shared" si="63"/>
        <v>#VALUE!</v>
      </c>
      <c r="L1012" t="str">
        <f>MAIN!C1017</f>
        <v/>
      </c>
    </row>
    <row r="1013" spans="1:12" x14ac:dyDescent="0.3">
      <c r="A1013">
        <f>IF(J1013="0",0,IF(COUNTIF($J$2:J1013,J1013)=1,1,0))</f>
        <v>0</v>
      </c>
      <c r="B1013" s="12" t="e">
        <f>MID(MAIN!A1018,K1013,2)</f>
        <v>#VALUE!</v>
      </c>
      <c r="C1013" s="12" t="e">
        <f t="shared" si="60"/>
        <v>#VALUE!</v>
      </c>
      <c r="D1013" s="12" t="e">
        <f>MID(MAIN!A1018,K1013+2,2)</f>
        <v>#VALUE!</v>
      </c>
      <c r="E1013" s="12" t="e">
        <f>MID(MAIN!A1018,K1013+4,2)</f>
        <v>#VALUE!</v>
      </c>
      <c r="F1013" s="2" t="e">
        <f t="shared" si="61"/>
        <v>#VALUE!</v>
      </c>
      <c r="G1013" s="13" t="e">
        <f t="shared" si="62"/>
        <v>#VALUE!</v>
      </c>
      <c r="J1013" t="str">
        <f>MAIN!A1018&amp;"B"</f>
        <v>B</v>
      </c>
      <c r="K1013" s="12" t="e">
        <f t="shared" si="63"/>
        <v>#VALUE!</v>
      </c>
      <c r="L1013" t="str">
        <f>MAIN!C1018</f>
        <v/>
      </c>
    </row>
    <row r="1014" spans="1:12" x14ac:dyDescent="0.3">
      <c r="A1014">
        <f>IF(J1014="0",0,IF(COUNTIF($J$2:J1014,J1014)=1,1,0))</f>
        <v>0</v>
      </c>
      <c r="B1014" s="12" t="e">
        <f>MID(MAIN!A1019,K1014,2)</f>
        <v>#VALUE!</v>
      </c>
      <c r="C1014" s="12" t="e">
        <f t="shared" si="60"/>
        <v>#VALUE!</v>
      </c>
      <c r="D1014" s="12" t="e">
        <f>MID(MAIN!A1019,K1014+2,2)</f>
        <v>#VALUE!</v>
      </c>
      <c r="E1014" s="12" t="e">
        <f>MID(MAIN!A1019,K1014+4,2)</f>
        <v>#VALUE!</v>
      </c>
      <c r="F1014" s="2" t="e">
        <f t="shared" si="61"/>
        <v>#VALUE!</v>
      </c>
      <c r="G1014" s="13" t="e">
        <f t="shared" si="62"/>
        <v>#VALUE!</v>
      </c>
      <c r="J1014" t="str">
        <f>MAIN!A1019&amp;"B"</f>
        <v>B</v>
      </c>
      <c r="K1014" s="12" t="e">
        <f t="shared" si="63"/>
        <v>#VALUE!</v>
      </c>
      <c r="L1014" t="str">
        <f>MAIN!C1019</f>
        <v/>
      </c>
    </row>
    <row r="1015" spans="1:12" x14ac:dyDescent="0.3">
      <c r="A1015">
        <f>IF(J1015="0",0,IF(COUNTIF($J$2:J1015,J1015)=1,1,0))</f>
        <v>0</v>
      </c>
      <c r="B1015" s="12" t="e">
        <f>MID(MAIN!A1020,K1015,2)</f>
        <v>#VALUE!</v>
      </c>
      <c r="C1015" s="12" t="e">
        <f t="shared" si="60"/>
        <v>#VALUE!</v>
      </c>
      <c r="D1015" s="12" t="e">
        <f>MID(MAIN!A1020,K1015+2,2)</f>
        <v>#VALUE!</v>
      </c>
      <c r="E1015" s="12" t="e">
        <f>MID(MAIN!A1020,K1015+4,2)</f>
        <v>#VALUE!</v>
      </c>
      <c r="F1015" s="2" t="e">
        <f t="shared" si="61"/>
        <v>#VALUE!</v>
      </c>
      <c r="G1015" s="13" t="e">
        <f t="shared" si="62"/>
        <v>#VALUE!</v>
      </c>
      <c r="J1015" t="str">
        <f>MAIN!A1020&amp;"B"</f>
        <v>B</v>
      </c>
      <c r="K1015" s="12" t="e">
        <f t="shared" si="63"/>
        <v>#VALUE!</v>
      </c>
      <c r="L1015" t="str">
        <f>MAIN!C1020</f>
        <v/>
      </c>
    </row>
    <row r="1016" spans="1:12" x14ac:dyDescent="0.3">
      <c r="A1016">
        <f>IF(J1016="0",0,IF(COUNTIF($J$2:J1016,J1016)=1,1,0))</f>
        <v>0</v>
      </c>
      <c r="B1016" s="12" t="e">
        <f>MID(MAIN!A1021,K1016,2)</f>
        <v>#VALUE!</v>
      </c>
      <c r="C1016" s="12" t="e">
        <f t="shared" si="60"/>
        <v>#VALUE!</v>
      </c>
      <c r="D1016" s="12" t="e">
        <f>MID(MAIN!A1021,K1016+2,2)</f>
        <v>#VALUE!</v>
      </c>
      <c r="E1016" s="12" t="e">
        <f>MID(MAIN!A1021,K1016+4,2)</f>
        <v>#VALUE!</v>
      </c>
      <c r="F1016" s="2" t="e">
        <f t="shared" si="61"/>
        <v>#VALUE!</v>
      </c>
      <c r="G1016" s="13" t="e">
        <f t="shared" si="62"/>
        <v>#VALUE!</v>
      </c>
      <c r="J1016" t="str">
        <f>MAIN!A1021&amp;"B"</f>
        <v>B</v>
      </c>
      <c r="K1016" s="12" t="e">
        <f t="shared" si="63"/>
        <v>#VALUE!</v>
      </c>
      <c r="L1016" t="str">
        <f>MAIN!C1021</f>
        <v/>
      </c>
    </row>
    <row r="1017" spans="1:12" x14ac:dyDescent="0.3">
      <c r="A1017">
        <f>IF(J1017="0",0,IF(COUNTIF($J$2:J1017,J1017)=1,1,0))</f>
        <v>0</v>
      </c>
      <c r="B1017" s="12" t="e">
        <f>MID(MAIN!A1022,K1017,2)</f>
        <v>#VALUE!</v>
      </c>
      <c r="C1017" s="12" t="e">
        <f t="shared" si="60"/>
        <v>#VALUE!</v>
      </c>
      <c r="D1017" s="12" t="e">
        <f>MID(MAIN!A1022,K1017+2,2)</f>
        <v>#VALUE!</v>
      </c>
      <c r="E1017" s="12" t="e">
        <f>MID(MAIN!A1022,K1017+4,2)</f>
        <v>#VALUE!</v>
      </c>
      <c r="F1017" s="2" t="e">
        <f t="shared" si="61"/>
        <v>#VALUE!</v>
      </c>
      <c r="G1017" s="13" t="e">
        <f t="shared" si="62"/>
        <v>#VALUE!</v>
      </c>
      <c r="J1017" t="str">
        <f>MAIN!A1022&amp;"B"</f>
        <v>B</v>
      </c>
      <c r="K1017" s="12" t="e">
        <f t="shared" si="63"/>
        <v>#VALUE!</v>
      </c>
      <c r="L1017" t="str">
        <f>MAIN!C1022</f>
        <v/>
      </c>
    </row>
    <row r="1018" spans="1:12" x14ac:dyDescent="0.3">
      <c r="A1018">
        <f>IF(J1018="0",0,IF(COUNTIF($J$2:J1018,J1018)=1,1,0))</f>
        <v>0</v>
      </c>
      <c r="B1018" s="12" t="e">
        <f>MID(MAIN!A1023,K1018,2)</f>
        <v>#VALUE!</v>
      </c>
      <c r="C1018" s="12" t="e">
        <f t="shared" si="60"/>
        <v>#VALUE!</v>
      </c>
      <c r="D1018" s="12" t="e">
        <f>MID(MAIN!A1023,K1018+2,2)</f>
        <v>#VALUE!</v>
      </c>
      <c r="E1018" s="12" t="e">
        <f>MID(MAIN!A1023,K1018+4,2)</f>
        <v>#VALUE!</v>
      </c>
      <c r="F1018" s="2" t="e">
        <f t="shared" si="61"/>
        <v>#VALUE!</v>
      </c>
      <c r="G1018" s="13" t="e">
        <f t="shared" si="62"/>
        <v>#VALUE!</v>
      </c>
      <c r="J1018" t="str">
        <f>MAIN!A1023&amp;"B"</f>
        <v>B</v>
      </c>
      <c r="K1018" s="12" t="e">
        <f t="shared" si="63"/>
        <v>#VALUE!</v>
      </c>
      <c r="L1018" t="str">
        <f>MAIN!C1023</f>
        <v/>
      </c>
    </row>
    <row r="1019" spans="1:12" x14ac:dyDescent="0.3">
      <c r="A1019">
        <f>IF(J1019="0",0,IF(COUNTIF($J$2:J1019,J1019)=1,1,0))</f>
        <v>0</v>
      </c>
      <c r="B1019" s="12" t="e">
        <f>MID(MAIN!A1024,K1019,2)</f>
        <v>#VALUE!</v>
      </c>
      <c r="C1019" s="12" t="e">
        <f t="shared" si="60"/>
        <v>#VALUE!</v>
      </c>
      <c r="D1019" s="12" t="e">
        <f>MID(MAIN!A1024,K1019+2,2)</f>
        <v>#VALUE!</v>
      </c>
      <c r="E1019" s="12" t="e">
        <f>MID(MAIN!A1024,K1019+4,2)</f>
        <v>#VALUE!</v>
      </c>
      <c r="F1019" s="2" t="e">
        <f t="shared" si="61"/>
        <v>#VALUE!</v>
      </c>
      <c r="G1019" s="13" t="e">
        <f t="shared" si="62"/>
        <v>#VALUE!</v>
      </c>
      <c r="J1019" t="str">
        <f>MAIN!A1024&amp;"B"</f>
        <v>B</v>
      </c>
      <c r="K1019" s="12" t="e">
        <f t="shared" si="63"/>
        <v>#VALUE!</v>
      </c>
      <c r="L1019" t="str">
        <f>MAIN!C1024</f>
        <v/>
      </c>
    </row>
    <row r="1020" spans="1:12" x14ac:dyDescent="0.3">
      <c r="A1020">
        <f>IF(J1020="0",0,IF(COUNTIF($J$2:J1020,J1020)=1,1,0))</f>
        <v>0</v>
      </c>
      <c r="B1020" s="12" t="e">
        <f>MID(MAIN!A1025,K1020,2)</f>
        <v>#VALUE!</v>
      </c>
      <c r="C1020" s="12" t="e">
        <f t="shared" si="60"/>
        <v>#VALUE!</v>
      </c>
      <c r="D1020" s="12" t="e">
        <f>MID(MAIN!A1025,K1020+2,2)</f>
        <v>#VALUE!</v>
      </c>
      <c r="E1020" s="12" t="e">
        <f>MID(MAIN!A1025,K1020+4,2)</f>
        <v>#VALUE!</v>
      </c>
      <c r="F1020" s="2" t="e">
        <f t="shared" si="61"/>
        <v>#VALUE!</v>
      </c>
      <c r="G1020" s="13" t="e">
        <f t="shared" si="62"/>
        <v>#VALUE!</v>
      </c>
      <c r="J1020" t="str">
        <f>MAIN!A1025&amp;"B"</f>
        <v>B</v>
      </c>
      <c r="K1020" s="12" t="e">
        <f t="shared" si="63"/>
        <v>#VALUE!</v>
      </c>
      <c r="L1020" t="str">
        <f>MAIN!C1025</f>
        <v/>
      </c>
    </row>
    <row r="1021" spans="1:12" x14ac:dyDescent="0.3">
      <c r="A1021">
        <f>IF(J1021="0",0,IF(COUNTIF($J$2:J1021,J1021)=1,1,0))</f>
        <v>0</v>
      </c>
      <c r="B1021" s="12" t="e">
        <f>MID(MAIN!A1026,K1021,2)</f>
        <v>#VALUE!</v>
      </c>
      <c r="C1021" s="12" t="e">
        <f t="shared" si="60"/>
        <v>#VALUE!</v>
      </c>
      <c r="D1021" s="12" t="e">
        <f>MID(MAIN!A1026,K1021+2,2)</f>
        <v>#VALUE!</v>
      </c>
      <c r="E1021" s="12" t="e">
        <f>MID(MAIN!A1026,K1021+4,2)</f>
        <v>#VALUE!</v>
      </c>
      <c r="F1021" s="2" t="e">
        <f t="shared" si="61"/>
        <v>#VALUE!</v>
      </c>
      <c r="G1021" s="13" t="e">
        <f t="shared" si="62"/>
        <v>#VALUE!</v>
      </c>
      <c r="J1021" t="str">
        <f>MAIN!A1026&amp;"B"</f>
        <v>B</v>
      </c>
      <c r="K1021" s="12" t="e">
        <f t="shared" si="63"/>
        <v>#VALUE!</v>
      </c>
      <c r="L1021" t="str">
        <f>MAIN!C1026</f>
        <v/>
      </c>
    </row>
    <row r="1022" spans="1:12" x14ac:dyDescent="0.3">
      <c r="A1022">
        <f>IF(J1022="0",0,IF(COUNTIF($J$2:J1022,J1022)=1,1,0))</f>
        <v>0</v>
      </c>
      <c r="B1022" s="12" t="e">
        <f>MID(MAIN!A1027,K1022,2)</f>
        <v>#VALUE!</v>
      </c>
      <c r="C1022" s="12" t="e">
        <f t="shared" si="60"/>
        <v>#VALUE!</v>
      </c>
      <c r="D1022" s="12" t="e">
        <f>MID(MAIN!A1027,K1022+2,2)</f>
        <v>#VALUE!</v>
      </c>
      <c r="E1022" s="12" t="e">
        <f>MID(MAIN!A1027,K1022+4,2)</f>
        <v>#VALUE!</v>
      </c>
      <c r="F1022" s="2" t="e">
        <f t="shared" si="61"/>
        <v>#VALUE!</v>
      </c>
      <c r="G1022" s="13" t="e">
        <f t="shared" si="62"/>
        <v>#VALUE!</v>
      </c>
      <c r="J1022" t="str">
        <f>MAIN!A1027&amp;"B"</f>
        <v>B</v>
      </c>
      <c r="K1022" s="12" t="e">
        <f t="shared" si="63"/>
        <v>#VALUE!</v>
      </c>
      <c r="L1022" t="str">
        <f>MAIN!C1027</f>
        <v/>
      </c>
    </row>
    <row r="1023" spans="1:12" x14ac:dyDescent="0.3">
      <c r="A1023">
        <f>IF(J1023="0",0,IF(COUNTIF($J$2:J1023,J1023)=1,1,0))</f>
        <v>0</v>
      </c>
      <c r="B1023" s="12" t="e">
        <f>MID(MAIN!A1028,K1023,2)</f>
        <v>#VALUE!</v>
      </c>
      <c r="C1023" s="12" t="e">
        <f t="shared" si="60"/>
        <v>#VALUE!</v>
      </c>
      <c r="D1023" s="12" t="e">
        <f>MID(MAIN!A1028,K1023+2,2)</f>
        <v>#VALUE!</v>
      </c>
      <c r="E1023" s="12" t="e">
        <f>MID(MAIN!A1028,K1023+4,2)</f>
        <v>#VALUE!</v>
      </c>
      <c r="F1023" s="2" t="e">
        <f t="shared" si="61"/>
        <v>#VALUE!</v>
      </c>
      <c r="G1023" s="13" t="e">
        <f t="shared" si="62"/>
        <v>#VALUE!</v>
      </c>
      <c r="J1023" t="str">
        <f>MAIN!A1028&amp;"B"</f>
        <v>B</v>
      </c>
      <c r="K1023" s="12" t="e">
        <f t="shared" si="63"/>
        <v>#VALUE!</v>
      </c>
      <c r="L1023" t="str">
        <f>MAIN!C1028</f>
        <v/>
      </c>
    </row>
    <row r="1024" spans="1:12" x14ac:dyDescent="0.3">
      <c r="A1024">
        <f>IF(J1024="0",0,IF(COUNTIF($J$2:J1024,J1024)=1,1,0))</f>
        <v>0</v>
      </c>
      <c r="B1024" s="12" t="e">
        <f>MID(MAIN!A1029,K1024,2)</f>
        <v>#VALUE!</v>
      </c>
      <c r="C1024" s="12" t="e">
        <f t="shared" si="60"/>
        <v>#VALUE!</v>
      </c>
      <c r="D1024" s="12" t="e">
        <f>MID(MAIN!A1029,K1024+2,2)</f>
        <v>#VALUE!</v>
      </c>
      <c r="E1024" s="12" t="e">
        <f>MID(MAIN!A1029,K1024+4,2)</f>
        <v>#VALUE!</v>
      </c>
      <c r="F1024" s="2" t="e">
        <f t="shared" si="61"/>
        <v>#VALUE!</v>
      </c>
      <c r="G1024" s="13" t="e">
        <f t="shared" si="62"/>
        <v>#VALUE!</v>
      </c>
      <c r="J1024" t="str">
        <f>MAIN!A1029&amp;"B"</f>
        <v>B</v>
      </c>
      <c r="K1024" s="12" t="e">
        <f t="shared" si="63"/>
        <v>#VALUE!</v>
      </c>
      <c r="L1024" t="str">
        <f>MAIN!C1029</f>
        <v/>
      </c>
    </row>
    <row r="1025" spans="1:12" x14ac:dyDescent="0.3">
      <c r="A1025">
        <f>IF(J1025="0",0,IF(COUNTIF($J$2:J1025,J1025)=1,1,0))</f>
        <v>0</v>
      </c>
      <c r="B1025" s="12" t="e">
        <f>MID(MAIN!A1030,K1025,2)</f>
        <v>#VALUE!</v>
      </c>
      <c r="C1025" s="12" t="e">
        <f t="shared" si="60"/>
        <v>#VALUE!</v>
      </c>
      <c r="D1025" s="12" t="e">
        <f>MID(MAIN!A1030,K1025+2,2)</f>
        <v>#VALUE!</v>
      </c>
      <c r="E1025" s="12" t="e">
        <f>MID(MAIN!A1030,K1025+4,2)</f>
        <v>#VALUE!</v>
      </c>
      <c r="F1025" s="2" t="e">
        <f t="shared" si="61"/>
        <v>#VALUE!</v>
      </c>
      <c r="G1025" s="13" t="e">
        <f t="shared" si="62"/>
        <v>#VALUE!</v>
      </c>
      <c r="J1025" t="str">
        <f>MAIN!A1030&amp;"B"</f>
        <v>B</v>
      </c>
      <c r="K1025" s="12" t="e">
        <f t="shared" si="63"/>
        <v>#VALUE!</v>
      </c>
      <c r="L1025" t="str">
        <f>MAIN!C1030</f>
        <v/>
      </c>
    </row>
    <row r="1026" spans="1:12" x14ac:dyDescent="0.3">
      <c r="A1026">
        <f>IF(J1026="0",0,IF(COUNTIF($J$2:J1026,J1026)=1,1,0))</f>
        <v>0</v>
      </c>
      <c r="B1026" s="12" t="e">
        <f>MID(MAIN!A1031,K1026,2)</f>
        <v>#VALUE!</v>
      </c>
      <c r="C1026" s="12" t="e">
        <f t="shared" si="60"/>
        <v>#VALUE!</v>
      </c>
      <c r="D1026" s="12" t="e">
        <f>MID(MAIN!A1031,K1026+2,2)</f>
        <v>#VALUE!</v>
      </c>
      <c r="E1026" s="12" t="e">
        <f>MID(MAIN!A1031,K1026+4,2)</f>
        <v>#VALUE!</v>
      </c>
      <c r="F1026" s="2" t="e">
        <f t="shared" si="61"/>
        <v>#VALUE!</v>
      </c>
      <c r="G1026" s="13" t="e">
        <f t="shared" si="62"/>
        <v>#VALUE!</v>
      </c>
      <c r="J1026" t="str">
        <f>MAIN!A1031&amp;"B"</f>
        <v>B</v>
      </c>
      <c r="K1026" s="12" t="e">
        <f t="shared" si="63"/>
        <v>#VALUE!</v>
      </c>
      <c r="L1026" t="str">
        <f>MAIN!C1031</f>
        <v/>
      </c>
    </row>
    <row r="1027" spans="1:12" x14ac:dyDescent="0.3">
      <c r="A1027">
        <f>IF(J1027="0",0,IF(COUNTIF($J$2:J1027,J1027)=1,1,0))</f>
        <v>0</v>
      </c>
      <c r="B1027" s="12" t="e">
        <f>MID(MAIN!A1032,K1027,2)</f>
        <v>#VALUE!</v>
      </c>
      <c r="C1027" s="12" t="e">
        <f t="shared" ref="C1027:C1090" si="64">"20"&amp;B1027</f>
        <v>#VALUE!</v>
      </c>
      <c r="D1027" s="12" t="e">
        <f>MID(MAIN!A1032,K1027+2,2)</f>
        <v>#VALUE!</v>
      </c>
      <c r="E1027" s="12" t="e">
        <f>MID(MAIN!A1032,K1027+4,2)</f>
        <v>#VALUE!</v>
      </c>
      <c r="F1027" s="2" t="e">
        <f t="shared" ref="F1027:F1090" si="65">C1027&amp;"/"&amp;D1027&amp;"/"&amp;E1027</f>
        <v>#VALUE!</v>
      </c>
      <c r="G1027" s="13" t="e">
        <f t="shared" ref="G1027:G1090" si="66">DATEVALUE(F1027)</f>
        <v>#VALUE!</v>
      </c>
      <c r="J1027" t="str">
        <f>MAIN!A1032&amp;"B"</f>
        <v>B</v>
      </c>
      <c r="K1027" s="12" t="e">
        <f t="shared" ref="K1027:K1090" si="67">FIND("172",J1027,30)+2</f>
        <v>#VALUE!</v>
      </c>
      <c r="L1027" t="str">
        <f>MAIN!C1032</f>
        <v/>
      </c>
    </row>
    <row r="1028" spans="1:12" x14ac:dyDescent="0.3">
      <c r="A1028">
        <f>IF(J1028="0",0,IF(COUNTIF($J$2:J1028,J1028)=1,1,0))</f>
        <v>0</v>
      </c>
      <c r="B1028" s="12" t="e">
        <f>MID(MAIN!A1033,K1028,2)</f>
        <v>#VALUE!</v>
      </c>
      <c r="C1028" s="12" t="e">
        <f t="shared" si="64"/>
        <v>#VALUE!</v>
      </c>
      <c r="D1028" s="12" t="e">
        <f>MID(MAIN!A1033,K1028+2,2)</f>
        <v>#VALUE!</v>
      </c>
      <c r="E1028" s="12" t="e">
        <f>MID(MAIN!A1033,K1028+4,2)</f>
        <v>#VALUE!</v>
      </c>
      <c r="F1028" s="2" t="e">
        <f t="shared" si="65"/>
        <v>#VALUE!</v>
      </c>
      <c r="G1028" s="13" t="e">
        <f t="shared" si="66"/>
        <v>#VALUE!</v>
      </c>
      <c r="J1028" t="str">
        <f>MAIN!A1033&amp;"B"</f>
        <v>B</v>
      </c>
      <c r="K1028" s="12" t="e">
        <f t="shared" si="67"/>
        <v>#VALUE!</v>
      </c>
      <c r="L1028" t="str">
        <f>MAIN!C1033</f>
        <v/>
      </c>
    </row>
    <row r="1029" spans="1:12" x14ac:dyDescent="0.3">
      <c r="A1029">
        <f>IF(J1029="0",0,IF(COUNTIF($J$2:J1029,J1029)=1,1,0))</f>
        <v>0</v>
      </c>
      <c r="B1029" s="12" t="e">
        <f>MID(MAIN!A1034,K1029,2)</f>
        <v>#VALUE!</v>
      </c>
      <c r="C1029" s="12" t="e">
        <f t="shared" si="64"/>
        <v>#VALUE!</v>
      </c>
      <c r="D1029" s="12" t="e">
        <f>MID(MAIN!A1034,K1029+2,2)</f>
        <v>#VALUE!</v>
      </c>
      <c r="E1029" s="12" t="e">
        <f>MID(MAIN!A1034,K1029+4,2)</f>
        <v>#VALUE!</v>
      </c>
      <c r="F1029" s="2" t="e">
        <f t="shared" si="65"/>
        <v>#VALUE!</v>
      </c>
      <c r="G1029" s="13" t="e">
        <f t="shared" si="66"/>
        <v>#VALUE!</v>
      </c>
      <c r="J1029" t="str">
        <f>MAIN!A1034&amp;"B"</f>
        <v>B</v>
      </c>
      <c r="K1029" s="12" t="e">
        <f t="shared" si="67"/>
        <v>#VALUE!</v>
      </c>
      <c r="L1029" t="str">
        <f>MAIN!C1034</f>
        <v/>
      </c>
    </row>
    <row r="1030" spans="1:12" x14ac:dyDescent="0.3">
      <c r="A1030">
        <f>IF(J1030="0",0,IF(COUNTIF($J$2:J1030,J1030)=1,1,0))</f>
        <v>0</v>
      </c>
      <c r="B1030" s="12" t="e">
        <f>MID(MAIN!A1035,K1030,2)</f>
        <v>#VALUE!</v>
      </c>
      <c r="C1030" s="12" t="e">
        <f t="shared" si="64"/>
        <v>#VALUE!</v>
      </c>
      <c r="D1030" s="12" t="e">
        <f>MID(MAIN!A1035,K1030+2,2)</f>
        <v>#VALUE!</v>
      </c>
      <c r="E1030" s="12" t="e">
        <f>MID(MAIN!A1035,K1030+4,2)</f>
        <v>#VALUE!</v>
      </c>
      <c r="F1030" s="2" t="e">
        <f t="shared" si="65"/>
        <v>#VALUE!</v>
      </c>
      <c r="G1030" s="13" t="e">
        <f t="shared" si="66"/>
        <v>#VALUE!</v>
      </c>
      <c r="J1030" t="str">
        <f>MAIN!A1035&amp;"B"</f>
        <v>B</v>
      </c>
      <c r="K1030" s="12" t="e">
        <f t="shared" si="67"/>
        <v>#VALUE!</v>
      </c>
      <c r="L1030" t="str">
        <f>MAIN!C1035</f>
        <v/>
      </c>
    </row>
    <row r="1031" spans="1:12" x14ac:dyDescent="0.3">
      <c r="A1031">
        <f>IF(J1031="0",0,IF(COUNTIF($J$2:J1031,J1031)=1,1,0))</f>
        <v>0</v>
      </c>
      <c r="B1031" s="12" t="e">
        <f>MID(MAIN!A1036,K1031,2)</f>
        <v>#VALUE!</v>
      </c>
      <c r="C1031" s="12" t="e">
        <f t="shared" si="64"/>
        <v>#VALUE!</v>
      </c>
      <c r="D1031" s="12" t="e">
        <f>MID(MAIN!A1036,K1031+2,2)</f>
        <v>#VALUE!</v>
      </c>
      <c r="E1031" s="12" t="e">
        <f>MID(MAIN!A1036,K1031+4,2)</f>
        <v>#VALUE!</v>
      </c>
      <c r="F1031" s="2" t="e">
        <f t="shared" si="65"/>
        <v>#VALUE!</v>
      </c>
      <c r="G1031" s="13" t="e">
        <f t="shared" si="66"/>
        <v>#VALUE!</v>
      </c>
      <c r="J1031" t="str">
        <f>MAIN!A1036&amp;"B"</f>
        <v>B</v>
      </c>
      <c r="K1031" s="12" t="e">
        <f t="shared" si="67"/>
        <v>#VALUE!</v>
      </c>
      <c r="L1031" t="str">
        <f>MAIN!C1036</f>
        <v/>
      </c>
    </row>
    <row r="1032" spans="1:12" x14ac:dyDescent="0.3">
      <c r="A1032">
        <f>IF(J1032="0",0,IF(COUNTIF($J$2:J1032,J1032)=1,1,0))</f>
        <v>0</v>
      </c>
      <c r="B1032" s="12" t="e">
        <f>MID(MAIN!A1037,K1032,2)</f>
        <v>#VALUE!</v>
      </c>
      <c r="C1032" s="12" t="e">
        <f t="shared" si="64"/>
        <v>#VALUE!</v>
      </c>
      <c r="D1032" s="12" t="e">
        <f>MID(MAIN!A1037,K1032+2,2)</f>
        <v>#VALUE!</v>
      </c>
      <c r="E1032" s="12" t="e">
        <f>MID(MAIN!A1037,K1032+4,2)</f>
        <v>#VALUE!</v>
      </c>
      <c r="F1032" s="2" t="e">
        <f t="shared" si="65"/>
        <v>#VALUE!</v>
      </c>
      <c r="G1032" s="13" t="e">
        <f t="shared" si="66"/>
        <v>#VALUE!</v>
      </c>
      <c r="J1032" t="str">
        <f>MAIN!A1037&amp;"B"</f>
        <v>B</v>
      </c>
      <c r="K1032" s="12" t="e">
        <f t="shared" si="67"/>
        <v>#VALUE!</v>
      </c>
      <c r="L1032" t="str">
        <f>MAIN!C1037</f>
        <v/>
      </c>
    </row>
    <row r="1033" spans="1:12" x14ac:dyDescent="0.3">
      <c r="A1033">
        <f>IF(J1033="0",0,IF(COUNTIF($J$2:J1033,J1033)=1,1,0))</f>
        <v>0</v>
      </c>
      <c r="B1033" s="12" t="e">
        <f>MID(MAIN!A1038,K1033,2)</f>
        <v>#VALUE!</v>
      </c>
      <c r="C1033" s="12" t="e">
        <f t="shared" si="64"/>
        <v>#VALUE!</v>
      </c>
      <c r="D1033" s="12" t="e">
        <f>MID(MAIN!A1038,K1033+2,2)</f>
        <v>#VALUE!</v>
      </c>
      <c r="E1033" s="12" t="e">
        <f>MID(MAIN!A1038,K1033+4,2)</f>
        <v>#VALUE!</v>
      </c>
      <c r="F1033" s="2" t="e">
        <f t="shared" si="65"/>
        <v>#VALUE!</v>
      </c>
      <c r="G1033" s="13" t="e">
        <f t="shared" si="66"/>
        <v>#VALUE!</v>
      </c>
      <c r="J1033" t="str">
        <f>MAIN!A1038&amp;"B"</f>
        <v>B</v>
      </c>
      <c r="K1033" s="12" t="e">
        <f t="shared" si="67"/>
        <v>#VALUE!</v>
      </c>
      <c r="L1033" t="str">
        <f>MAIN!C1038</f>
        <v/>
      </c>
    </row>
    <row r="1034" spans="1:12" x14ac:dyDescent="0.3">
      <c r="A1034">
        <f>IF(J1034="0",0,IF(COUNTIF($J$2:J1034,J1034)=1,1,0))</f>
        <v>0</v>
      </c>
      <c r="B1034" s="12" t="e">
        <f>MID(MAIN!A1039,K1034,2)</f>
        <v>#VALUE!</v>
      </c>
      <c r="C1034" s="12" t="e">
        <f t="shared" si="64"/>
        <v>#VALUE!</v>
      </c>
      <c r="D1034" s="12" t="e">
        <f>MID(MAIN!A1039,K1034+2,2)</f>
        <v>#VALUE!</v>
      </c>
      <c r="E1034" s="12" t="e">
        <f>MID(MAIN!A1039,K1034+4,2)</f>
        <v>#VALUE!</v>
      </c>
      <c r="F1034" s="2" t="e">
        <f t="shared" si="65"/>
        <v>#VALUE!</v>
      </c>
      <c r="G1034" s="13" t="e">
        <f t="shared" si="66"/>
        <v>#VALUE!</v>
      </c>
      <c r="J1034" t="str">
        <f>MAIN!A1039&amp;"B"</f>
        <v>B</v>
      </c>
      <c r="K1034" s="12" t="e">
        <f t="shared" si="67"/>
        <v>#VALUE!</v>
      </c>
      <c r="L1034" t="str">
        <f>MAIN!C1039</f>
        <v/>
      </c>
    </row>
    <row r="1035" spans="1:12" x14ac:dyDescent="0.3">
      <c r="A1035">
        <f>IF(J1035="0",0,IF(COUNTIF($J$2:J1035,J1035)=1,1,0))</f>
        <v>0</v>
      </c>
      <c r="B1035" s="12" t="e">
        <f>MID(MAIN!A1040,K1035,2)</f>
        <v>#VALUE!</v>
      </c>
      <c r="C1035" s="12" t="e">
        <f t="shared" si="64"/>
        <v>#VALUE!</v>
      </c>
      <c r="D1035" s="12" t="e">
        <f>MID(MAIN!A1040,K1035+2,2)</f>
        <v>#VALUE!</v>
      </c>
      <c r="E1035" s="12" t="e">
        <f>MID(MAIN!A1040,K1035+4,2)</f>
        <v>#VALUE!</v>
      </c>
      <c r="F1035" s="2" t="e">
        <f t="shared" si="65"/>
        <v>#VALUE!</v>
      </c>
      <c r="G1035" s="13" t="e">
        <f t="shared" si="66"/>
        <v>#VALUE!</v>
      </c>
      <c r="J1035" t="str">
        <f>MAIN!A1040&amp;"B"</f>
        <v>B</v>
      </c>
      <c r="K1035" s="12" t="e">
        <f t="shared" si="67"/>
        <v>#VALUE!</v>
      </c>
      <c r="L1035" t="str">
        <f>MAIN!C1040</f>
        <v/>
      </c>
    </row>
    <row r="1036" spans="1:12" x14ac:dyDescent="0.3">
      <c r="A1036">
        <f>IF(J1036="0",0,IF(COUNTIF($J$2:J1036,J1036)=1,1,0))</f>
        <v>0</v>
      </c>
      <c r="B1036" s="12" t="e">
        <f>MID(MAIN!A1041,K1036,2)</f>
        <v>#VALUE!</v>
      </c>
      <c r="C1036" s="12" t="e">
        <f t="shared" si="64"/>
        <v>#VALUE!</v>
      </c>
      <c r="D1036" s="12" t="e">
        <f>MID(MAIN!A1041,K1036+2,2)</f>
        <v>#VALUE!</v>
      </c>
      <c r="E1036" s="12" t="e">
        <f>MID(MAIN!A1041,K1036+4,2)</f>
        <v>#VALUE!</v>
      </c>
      <c r="F1036" s="2" t="e">
        <f t="shared" si="65"/>
        <v>#VALUE!</v>
      </c>
      <c r="G1036" s="13" t="e">
        <f t="shared" si="66"/>
        <v>#VALUE!</v>
      </c>
      <c r="J1036" t="str">
        <f>MAIN!A1041&amp;"B"</f>
        <v>B</v>
      </c>
      <c r="K1036" s="12" t="e">
        <f t="shared" si="67"/>
        <v>#VALUE!</v>
      </c>
      <c r="L1036" t="str">
        <f>MAIN!C1041</f>
        <v/>
      </c>
    </row>
    <row r="1037" spans="1:12" x14ac:dyDescent="0.3">
      <c r="A1037">
        <f>IF(J1037="0",0,IF(COUNTIF($J$2:J1037,J1037)=1,1,0))</f>
        <v>0</v>
      </c>
      <c r="B1037" s="12" t="e">
        <f>MID(MAIN!A1042,K1037,2)</f>
        <v>#VALUE!</v>
      </c>
      <c r="C1037" s="12" t="e">
        <f t="shared" si="64"/>
        <v>#VALUE!</v>
      </c>
      <c r="D1037" s="12" t="e">
        <f>MID(MAIN!A1042,K1037+2,2)</f>
        <v>#VALUE!</v>
      </c>
      <c r="E1037" s="12" t="e">
        <f>MID(MAIN!A1042,K1037+4,2)</f>
        <v>#VALUE!</v>
      </c>
      <c r="F1037" s="2" t="e">
        <f t="shared" si="65"/>
        <v>#VALUE!</v>
      </c>
      <c r="G1037" s="13" t="e">
        <f t="shared" si="66"/>
        <v>#VALUE!</v>
      </c>
      <c r="J1037" t="str">
        <f>MAIN!A1042&amp;"B"</f>
        <v>B</v>
      </c>
      <c r="K1037" s="12" t="e">
        <f t="shared" si="67"/>
        <v>#VALUE!</v>
      </c>
      <c r="L1037" t="str">
        <f>MAIN!C1042</f>
        <v/>
      </c>
    </row>
    <row r="1038" spans="1:12" x14ac:dyDescent="0.3">
      <c r="A1038">
        <f>IF(J1038="0",0,IF(COUNTIF($J$2:J1038,J1038)=1,1,0))</f>
        <v>0</v>
      </c>
      <c r="B1038" s="12" t="e">
        <f>MID(MAIN!A1043,K1038,2)</f>
        <v>#VALUE!</v>
      </c>
      <c r="C1038" s="12" t="e">
        <f t="shared" si="64"/>
        <v>#VALUE!</v>
      </c>
      <c r="D1038" s="12" t="e">
        <f>MID(MAIN!A1043,K1038+2,2)</f>
        <v>#VALUE!</v>
      </c>
      <c r="E1038" s="12" t="e">
        <f>MID(MAIN!A1043,K1038+4,2)</f>
        <v>#VALUE!</v>
      </c>
      <c r="F1038" s="2" t="e">
        <f t="shared" si="65"/>
        <v>#VALUE!</v>
      </c>
      <c r="G1038" s="13" t="e">
        <f t="shared" si="66"/>
        <v>#VALUE!</v>
      </c>
      <c r="J1038" t="str">
        <f>MAIN!A1043&amp;"B"</f>
        <v>B</v>
      </c>
      <c r="K1038" s="12" t="e">
        <f t="shared" si="67"/>
        <v>#VALUE!</v>
      </c>
      <c r="L1038" t="str">
        <f>MAIN!C1043</f>
        <v/>
      </c>
    </row>
    <row r="1039" spans="1:12" x14ac:dyDescent="0.3">
      <c r="A1039">
        <f>IF(J1039="0",0,IF(COUNTIF($J$2:J1039,J1039)=1,1,0))</f>
        <v>0</v>
      </c>
      <c r="B1039" s="12" t="e">
        <f>MID(MAIN!A1044,K1039,2)</f>
        <v>#VALUE!</v>
      </c>
      <c r="C1039" s="12" t="e">
        <f t="shared" si="64"/>
        <v>#VALUE!</v>
      </c>
      <c r="D1039" s="12" t="e">
        <f>MID(MAIN!A1044,K1039+2,2)</f>
        <v>#VALUE!</v>
      </c>
      <c r="E1039" s="12" t="e">
        <f>MID(MAIN!A1044,K1039+4,2)</f>
        <v>#VALUE!</v>
      </c>
      <c r="F1039" s="2" t="e">
        <f t="shared" si="65"/>
        <v>#VALUE!</v>
      </c>
      <c r="G1039" s="13" t="e">
        <f t="shared" si="66"/>
        <v>#VALUE!</v>
      </c>
      <c r="J1039" t="str">
        <f>MAIN!A1044&amp;"B"</f>
        <v>B</v>
      </c>
      <c r="K1039" s="12" t="e">
        <f t="shared" si="67"/>
        <v>#VALUE!</v>
      </c>
      <c r="L1039" t="str">
        <f>MAIN!C1044</f>
        <v/>
      </c>
    </row>
    <row r="1040" spans="1:12" x14ac:dyDescent="0.3">
      <c r="A1040">
        <f>IF(J1040="0",0,IF(COUNTIF($J$2:J1040,J1040)=1,1,0))</f>
        <v>0</v>
      </c>
      <c r="B1040" s="12" t="e">
        <f>MID(MAIN!A1045,K1040,2)</f>
        <v>#VALUE!</v>
      </c>
      <c r="C1040" s="12" t="e">
        <f t="shared" si="64"/>
        <v>#VALUE!</v>
      </c>
      <c r="D1040" s="12" t="e">
        <f>MID(MAIN!A1045,K1040+2,2)</f>
        <v>#VALUE!</v>
      </c>
      <c r="E1040" s="12" t="e">
        <f>MID(MAIN!A1045,K1040+4,2)</f>
        <v>#VALUE!</v>
      </c>
      <c r="F1040" s="2" t="e">
        <f t="shared" si="65"/>
        <v>#VALUE!</v>
      </c>
      <c r="G1040" s="13" t="e">
        <f t="shared" si="66"/>
        <v>#VALUE!</v>
      </c>
      <c r="J1040" t="str">
        <f>MAIN!A1045&amp;"B"</f>
        <v>B</v>
      </c>
      <c r="K1040" s="12" t="e">
        <f t="shared" si="67"/>
        <v>#VALUE!</v>
      </c>
      <c r="L1040" t="str">
        <f>MAIN!C1045</f>
        <v/>
      </c>
    </row>
    <row r="1041" spans="1:12" x14ac:dyDescent="0.3">
      <c r="A1041">
        <f>IF(J1041="0",0,IF(COUNTIF($J$2:J1041,J1041)=1,1,0))</f>
        <v>0</v>
      </c>
      <c r="B1041" s="12" t="e">
        <f>MID(MAIN!A1046,K1041,2)</f>
        <v>#VALUE!</v>
      </c>
      <c r="C1041" s="12" t="e">
        <f t="shared" si="64"/>
        <v>#VALUE!</v>
      </c>
      <c r="D1041" s="12" t="e">
        <f>MID(MAIN!A1046,K1041+2,2)</f>
        <v>#VALUE!</v>
      </c>
      <c r="E1041" s="12" t="e">
        <f>MID(MAIN!A1046,K1041+4,2)</f>
        <v>#VALUE!</v>
      </c>
      <c r="F1041" s="2" t="e">
        <f t="shared" si="65"/>
        <v>#VALUE!</v>
      </c>
      <c r="G1041" s="13" t="e">
        <f t="shared" si="66"/>
        <v>#VALUE!</v>
      </c>
      <c r="J1041" t="str">
        <f>MAIN!A1046&amp;"B"</f>
        <v>B</v>
      </c>
      <c r="K1041" s="12" t="e">
        <f t="shared" si="67"/>
        <v>#VALUE!</v>
      </c>
      <c r="L1041" t="str">
        <f>MAIN!C1046</f>
        <v/>
      </c>
    </row>
    <row r="1042" spans="1:12" x14ac:dyDescent="0.3">
      <c r="A1042">
        <f>IF(J1042="0",0,IF(COUNTIF($J$2:J1042,J1042)=1,1,0))</f>
        <v>0</v>
      </c>
      <c r="B1042" s="12" t="e">
        <f>MID(MAIN!A1047,K1042,2)</f>
        <v>#VALUE!</v>
      </c>
      <c r="C1042" s="12" t="e">
        <f t="shared" si="64"/>
        <v>#VALUE!</v>
      </c>
      <c r="D1042" s="12" t="e">
        <f>MID(MAIN!A1047,K1042+2,2)</f>
        <v>#VALUE!</v>
      </c>
      <c r="E1042" s="12" t="e">
        <f>MID(MAIN!A1047,K1042+4,2)</f>
        <v>#VALUE!</v>
      </c>
      <c r="F1042" s="2" t="e">
        <f t="shared" si="65"/>
        <v>#VALUE!</v>
      </c>
      <c r="G1042" s="13" t="e">
        <f t="shared" si="66"/>
        <v>#VALUE!</v>
      </c>
      <c r="J1042" t="str">
        <f>MAIN!A1047&amp;"B"</f>
        <v>B</v>
      </c>
      <c r="K1042" s="12" t="e">
        <f t="shared" si="67"/>
        <v>#VALUE!</v>
      </c>
      <c r="L1042" t="str">
        <f>MAIN!C1047</f>
        <v/>
      </c>
    </row>
    <row r="1043" spans="1:12" x14ac:dyDescent="0.3">
      <c r="A1043">
        <f>IF(J1043="0",0,IF(COUNTIF($J$2:J1043,J1043)=1,1,0))</f>
        <v>0</v>
      </c>
      <c r="B1043" s="12" t="e">
        <f>MID(MAIN!A1048,K1043,2)</f>
        <v>#VALUE!</v>
      </c>
      <c r="C1043" s="12" t="e">
        <f t="shared" si="64"/>
        <v>#VALUE!</v>
      </c>
      <c r="D1043" s="12" t="e">
        <f>MID(MAIN!A1048,K1043+2,2)</f>
        <v>#VALUE!</v>
      </c>
      <c r="E1043" s="12" t="e">
        <f>MID(MAIN!A1048,K1043+4,2)</f>
        <v>#VALUE!</v>
      </c>
      <c r="F1043" s="2" t="e">
        <f t="shared" si="65"/>
        <v>#VALUE!</v>
      </c>
      <c r="G1043" s="13" t="e">
        <f t="shared" si="66"/>
        <v>#VALUE!</v>
      </c>
      <c r="J1043" t="str">
        <f>MAIN!A1048&amp;"B"</f>
        <v>B</v>
      </c>
      <c r="K1043" s="12" t="e">
        <f t="shared" si="67"/>
        <v>#VALUE!</v>
      </c>
      <c r="L1043" t="str">
        <f>MAIN!C1048</f>
        <v/>
      </c>
    </row>
    <row r="1044" spans="1:12" x14ac:dyDescent="0.3">
      <c r="A1044">
        <f>IF(J1044="0",0,IF(COUNTIF($J$2:J1044,J1044)=1,1,0))</f>
        <v>0</v>
      </c>
      <c r="B1044" s="12" t="e">
        <f>MID(MAIN!A1049,K1044,2)</f>
        <v>#VALUE!</v>
      </c>
      <c r="C1044" s="12" t="e">
        <f t="shared" si="64"/>
        <v>#VALUE!</v>
      </c>
      <c r="D1044" s="12" t="e">
        <f>MID(MAIN!A1049,K1044+2,2)</f>
        <v>#VALUE!</v>
      </c>
      <c r="E1044" s="12" t="e">
        <f>MID(MAIN!A1049,K1044+4,2)</f>
        <v>#VALUE!</v>
      </c>
      <c r="F1044" s="2" t="e">
        <f t="shared" si="65"/>
        <v>#VALUE!</v>
      </c>
      <c r="G1044" s="13" t="e">
        <f t="shared" si="66"/>
        <v>#VALUE!</v>
      </c>
      <c r="J1044" t="str">
        <f>MAIN!A1049&amp;"B"</f>
        <v>B</v>
      </c>
      <c r="K1044" s="12" t="e">
        <f t="shared" si="67"/>
        <v>#VALUE!</v>
      </c>
      <c r="L1044" t="str">
        <f>MAIN!C1049</f>
        <v/>
      </c>
    </row>
    <row r="1045" spans="1:12" x14ac:dyDescent="0.3">
      <c r="A1045">
        <f>IF(J1045="0",0,IF(COUNTIF($J$2:J1045,J1045)=1,1,0))</f>
        <v>0</v>
      </c>
      <c r="B1045" s="12" t="e">
        <f>MID(MAIN!A1050,K1045,2)</f>
        <v>#VALUE!</v>
      </c>
      <c r="C1045" s="12" t="e">
        <f t="shared" si="64"/>
        <v>#VALUE!</v>
      </c>
      <c r="D1045" s="12" t="e">
        <f>MID(MAIN!A1050,K1045+2,2)</f>
        <v>#VALUE!</v>
      </c>
      <c r="E1045" s="12" t="e">
        <f>MID(MAIN!A1050,K1045+4,2)</f>
        <v>#VALUE!</v>
      </c>
      <c r="F1045" s="2" t="e">
        <f t="shared" si="65"/>
        <v>#VALUE!</v>
      </c>
      <c r="G1045" s="13" t="e">
        <f t="shared" si="66"/>
        <v>#VALUE!</v>
      </c>
      <c r="J1045" t="str">
        <f>MAIN!A1050&amp;"B"</f>
        <v>B</v>
      </c>
      <c r="K1045" s="12" t="e">
        <f t="shared" si="67"/>
        <v>#VALUE!</v>
      </c>
      <c r="L1045" t="str">
        <f>MAIN!C1050</f>
        <v/>
      </c>
    </row>
    <row r="1046" spans="1:12" x14ac:dyDescent="0.3">
      <c r="A1046">
        <f>IF(J1046="0",0,IF(COUNTIF($J$2:J1046,J1046)=1,1,0))</f>
        <v>0</v>
      </c>
      <c r="B1046" s="12" t="e">
        <f>MID(MAIN!A1051,K1046,2)</f>
        <v>#VALUE!</v>
      </c>
      <c r="C1046" s="12" t="e">
        <f t="shared" si="64"/>
        <v>#VALUE!</v>
      </c>
      <c r="D1046" s="12" t="e">
        <f>MID(MAIN!A1051,K1046+2,2)</f>
        <v>#VALUE!</v>
      </c>
      <c r="E1046" s="12" t="e">
        <f>MID(MAIN!A1051,K1046+4,2)</f>
        <v>#VALUE!</v>
      </c>
      <c r="F1046" s="2" t="e">
        <f t="shared" si="65"/>
        <v>#VALUE!</v>
      </c>
      <c r="G1046" s="13" t="e">
        <f t="shared" si="66"/>
        <v>#VALUE!</v>
      </c>
      <c r="J1046" t="str">
        <f>MAIN!A1051&amp;"B"</f>
        <v>B</v>
      </c>
      <c r="K1046" s="12" t="e">
        <f t="shared" si="67"/>
        <v>#VALUE!</v>
      </c>
      <c r="L1046" t="str">
        <f>MAIN!C1051</f>
        <v/>
      </c>
    </row>
    <row r="1047" spans="1:12" x14ac:dyDescent="0.3">
      <c r="A1047">
        <f>IF(J1047="0",0,IF(COUNTIF($J$2:J1047,J1047)=1,1,0))</f>
        <v>0</v>
      </c>
      <c r="B1047" s="12" t="e">
        <f>MID(MAIN!A1052,K1047,2)</f>
        <v>#VALUE!</v>
      </c>
      <c r="C1047" s="12" t="e">
        <f t="shared" si="64"/>
        <v>#VALUE!</v>
      </c>
      <c r="D1047" s="12" t="e">
        <f>MID(MAIN!A1052,K1047+2,2)</f>
        <v>#VALUE!</v>
      </c>
      <c r="E1047" s="12" t="e">
        <f>MID(MAIN!A1052,K1047+4,2)</f>
        <v>#VALUE!</v>
      </c>
      <c r="F1047" s="2" t="e">
        <f t="shared" si="65"/>
        <v>#VALUE!</v>
      </c>
      <c r="G1047" s="13" t="e">
        <f t="shared" si="66"/>
        <v>#VALUE!</v>
      </c>
      <c r="J1047" t="str">
        <f>MAIN!A1052&amp;"B"</f>
        <v>B</v>
      </c>
      <c r="K1047" s="12" t="e">
        <f t="shared" si="67"/>
        <v>#VALUE!</v>
      </c>
      <c r="L1047" t="str">
        <f>MAIN!C1052</f>
        <v/>
      </c>
    </row>
    <row r="1048" spans="1:12" x14ac:dyDescent="0.3">
      <c r="A1048">
        <f>IF(J1048="0",0,IF(COUNTIF($J$2:J1048,J1048)=1,1,0))</f>
        <v>0</v>
      </c>
      <c r="B1048" s="12" t="e">
        <f>MID(MAIN!A1053,K1048,2)</f>
        <v>#VALUE!</v>
      </c>
      <c r="C1048" s="12" t="e">
        <f t="shared" si="64"/>
        <v>#VALUE!</v>
      </c>
      <c r="D1048" s="12" t="e">
        <f>MID(MAIN!A1053,K1048+2,2)</f>
        <v>#VALUE!</v>
      </c>
      <c r="E1048" s="12" t="e">
        <f>MID(MAIN!A1053,K1048+4,2)</f>
        <v>#VALUE!</v>
      </c>
      <c r="F1048" s="2" t="e">
        <f t="shared" si="65"/>
        <v>#VALUE!</v>
      </c>
      <c r="G1048" s="13" t="e">
        <f t="shared" si="66"/>
        <v>#VALUE!</v>
      </c>
      <c r="J1048" t="str">
        <f>MAIN!A1053&amp;"B"</f>
        <v>B</v>
      </c>
      <c r="K1048" s="12" t="e">
        <f t="shared" si="67"/>
        <v>#VALUE!</v>
      </c>
      <c r="L1048" t="str">
        <f>MAIN!C1053</f>
        <v/>
      </c>
    </row>
    <row r="1049" spans="1:12" x14ac:dyDescent="0.3">
      <c r="A1049">
        <f>IF(J1049="0",0,IF(COUNTIF($J$2:J1049,J1049)=1,1,0))</f>
        <v>0</v>
      </c>
      <c r="B1049" s="12" t="e">
        <f>MID(MAIN!A1054,K1049,2)</f>
        <v>#VALUE!</v>
      </c>
      <c r="C1049" s="12" t="e">
        <f t="shared" si="64"/>
        <v>#VALUE!</v>
      </c>
      <c r="D1049" s="12" t="e">
        <f>MID(MAIN!A1054,K1049+2,2)</f>
        <v>#VALUE!</v>
      </c>
      <c r="E1049" s="12" t="e">
        <f>MID(MAIN!A1054,K1049+4,2)</f>
        <v>#VALUE!</v>
      </c>
      <c r="F1049" s="2" t="e">
        <f t="shared" si="65"/>
        <v>#VALUE!</v>
      </c>
      <c r="G1049" s="13" t="e">
        <f t="shared" si="66"/>
        <v>#VALUE!</v>
      </c>
      <c r="J1049" t="str">
        <f>MAIN!A1054&amp;"B"</f>
        <v>B</v>
      </c>
      <c r="K1049" s="12" t="e">
        <f t="shared" si="67"/>
        <v>#VALUE!</v>
      </c>
      <c r="L1049" t="str">
        <f>MAIN!C1054</f>
        <v/>
      </c>
    </row>
    <row r="1050" spans="1:12" x14ac:dyDescent="0.3">
      <c r="A1050">
        <f>IF(J1050="0",0,IF(COUNTIF($J$2:J1050,J1050)=1,1,0))</f>
        <v>0</v>
      </c>
      <c r="B1050" s="12" t="e">
        <f>MID(MAIN!A1055,K1050,2)</f>
        <v>#VALUE!</v>
      </c>
      <c r="C1050" s="12" t="e">
        <f t="shared" si="64"/>
        <v>#VALUE!</v>
      </c>
      <c r="D1050" s="12" t="e">
        <f>MID(MAIN!A1055,K1050+2,2)</f>
        <v>#VALUE!</v>
      </c>
      <c r="E1050" s="12" t="e">
        <f>MID(MAIN!A1055,K1050+4,2)</f>
        <v>#VALUE!</v>
      </c>
      <c r="F1050" s="2" t="e">
        <f t="shared" si="65"/>
        <v>#VALUE!</v>
      </c>
      <c r="G1050" s="13" t="e">
        <f t="shared" si="66"/>
        <v>#VALUE!</v>
      </c>
      <c r="J1050" t="str">
        <f>MAIN!A1055&amp;"B"</f>
        <v>B</v>
      </c>
      <c r="K1050" s="12" t="e">
        <f t="shared" si="67"/>
        <v>#VALUE!</v>
      </c>
      <c r="L1050" t="str">
        <f>MAIN!C1055</f>
        <v/>
      </c>
    </row>
    <row r="1051" spans="1:12" x14ac:dyDescent="0.3">
      <c r="A1051">
        <f>IF(J1051="0",0,IF(COUNTIF($J$2:J1051,J1051)=1,1,0))</f>
        <v>0</v>
      </c>
      <c r="B1051" s="12" t="e">
        <f>MID(MAIN!A1056,K1051,2)</f>
        <v>#VALUE!</v>
      </c>
      <c r="C1051" s="12" t="e">
        <f t="shared" si="64"/>
        <v>#VALUE!</v>
      </c>
      <c r="D1051" s="12" t="e">
        <f>MID(MAIN!A1056,K1051+2,2)</f>
        <v>#VALUE!</v>
      </c>
      <c r="E1051" s="12" t="e">
        <f>MID(MAIN!A1056,K1051+4,2)</f>
        <v>#VALUE!</v>
      </c>
      <c r="F1051" s="2" t="e">
        <f t="shared" si="65"/>
        <v>#VALUE!</v>
      </c>
      <c r="G1051" s="13" t="e">
        <f t="shared" si="66"/>
        <v>#VALUE!</v>
      </c>
      <c r="J1051" t="str">
        <f>MAIN!A1056&amp;"B"</f>
        <v>B</v>
      </c>
      <c r="K1051" s="12" t="e">
        <f t="shared" si="67"/>
        <v>#VALUE!</v>
      </c>
      <c r="L1051" t="str">
        <f>MAIN!C1056</f>
        <v/>
      </c>
    </row>
    <row r="1052" spans="1:12" x14ac:dyDescent="0.3">
      <c r="A1052">
        <f>IF(J1052="0",0,IF(COUNTIF($J$2:J1052,J1052)=1,1,0))</f>
        <v>0</v>
      </c>
      <c r="B1052" s="12" t="e">
        <f>MID(MAIN!A1057,K1052,2)</f>
        <v>#VALUE!</v>
      </c>
      <c r="C1052" s="12" t="e">
        <f t="shared" si="64"/>
        <v>#VALUE!</v>
      </c>
      <c r="D1052" s="12" t="e">
        <f>MID(MAIN!A1057,K1052+2,2)</f>
        <v>#VALUE!</v>
      </c>
      <c r="E1052" s="12" t="e">
        <f>MID(MAIN!A1057,K1052+4,2)</f>
        <v>#VALUE!</v>
      </c>
      <c r="F1052" s="2" t="e">
        <f t="shared" si="65"/>
        <v>#VALUE!</v>
      </c>
      <c r="G1052" s="13" t="e">
        <f t="shared" si="66"/>
        <v>#VALUE!</v>
      </c>
      <c r="J1052" t="str">
        <f>MAIN!A1057&amp;"B"</f>
        <v>B</v>
      </c>
      <c r="K1052" s="12" t="e">
        <f t="shared" si="67"/>
        <v>#VALUE!</v>
      </c>
      <c r="L1052" t="str">
        <f>MAIN!C1057</f>
        <v/>
      </c>
    </row>
    <row r="1053" spans="1:12" x14ac:dyDescent="0.3">
      <c r="A1053">
        <f>IF(J1053="0",0,IF(COUNTIF($J$2:J1053,J1053)=1,1,0))</f>
        <v>0</v>
      </c>
      <c r="B1053" s="12" t="e">
        <f>MID(MAIN!A1058,K1053,2)</f>
        <v>#VALUE!</v>
      </c>
      <c r="C1053" s="12" t="e">
        <f t="shared" si="64"/>
        <v>#VALUE!</v>
      </c>
      <c r="D1053" s="12" t="e">
        <f>MID(MAIN!A1058,K1053+2,2)</f>
        <v>#VALUE!</v>
      </c>
      <c r="E1053" s="12" t="e">
        <f>MID(MAIN!A1058,K1053+4,2)</f>
        <v>#VALUE!</v>
      </c>
      <c r="F1053" s="2" t="e">
        <f t="shared" si="65"/>
        <v>#VALUE!</v>
      </c>
      <c r="G1053" s="13" t="e">
        <f t="shared" si="66"/>
        <v>#VALUE!</v>
      </c>
      <c r="J1053" t="str">
        <f>MAIN!A1058&amp;"B"</f>
        <v>B</v>
      </c>
      <c r="K1053" s="12" t="e">
        <f t="shared" si="67"/>
        <v>#VALUE!</v>
      </c>
      <c r="L1053" t="str">
        <f>MAIN!C1058</f>
        <v/>
      </c>
    </row>
    <row r="1054" spans="1:12" x14ac:dyDescent="0.3">
      <c r="A1054">
        <f>IF(J1054="0",0,IF(COUNTIF($J$2:J1054,J1054)=1,1,0))</f>
        <v>0</v>
      </c>
      <c r="B1054" s="12" t="e">
        <f>MID(MAIN!A1059,K1054,2)</f>
        <v>#VALUE!</v>
      </c>
      <c r="C1054" s="12" t="e">
        <f t="shared" si="64"/>
        <v>#VALUE!</v>
      </c>
      <c r="D1054" s="12" t="e">
        <f>MID(MAIN!A1059,K1054+2,2)</f>
        <v>#VALUE!</v>
      </c>
      <c r="E1054" s="12" t="e">
        <f>MID(MAIN!A1059,K1054+4,2)</f>
        <v>#VALUE!</v>
      </c>
      <c r="F1054" s="2" t="e">
        <f t="shared" si="65"/>
        <v>#VALUE!</v>
      </c>
      <c r="G1054" s="13" t="e">
        <f t="shared" si="66"/>
        <v>#VALUE!</v>
      </c>
      <c r="J1054" t="str">
        <f>MAIN!A1059&amp;"B"</f>
        <v>B</v>
      </c>
      <c r="K1054" s="12" t="e">
        <f t="shared" si="67"/>
        <v>#VALUE!</v>
      </c>
      <c r="L1054" t="str">
        <f>MAIN!C1059</f>
        <v/>
      </c>
    </row>
    <row r="1055" spans="1:12" x14ac:dyDescent="0.3">
      <c r="A1055">
        <f>IF(J1055="0",0,IF(COUNTIF($J$2:J1055,J1055)=1,1,0))</f>
        <v>0</v>
      </c>
      <c r="B1055" s="12" t="e">
        <f>MID(MAIN!A1060,K1055,2)</f>
        <v>#VALUE!</v>
      </c>
      <c r="C1055" s="12" t="e">
        <f t="shared" si="64"/>
        <v>#VALUE!</v>
      </c>
      <c r="D1055" s="12" t="e">
        <f>MID(MAIN!A1060,K1055+2,2)</f>
        <v>#VALUE!</v>
      </c>
      <c r="E1055" s="12" t="e">
        <f>MID(MAIN!A1060,K1055+4,2)</f>
        <v>#VALUE!</v>
      </c>
      <c r="F1055" s="2" t="e">
        <f t="shared" si="65"/>
        <v>#VALUE!</v>
      </c>
      <c r="G1055" s="13" t="e">
        <f t="shared" si="66"/>
        <v>#VALUE!</v>
      </c>
      <c r="J1055" t="str">
        <f>MAIN!A1060&amp;"B"</f>
        <v>B</v>
      </c>
      <c r="K1055" s="12" t="e">
        <f t="shared" si="67"/>
        <v>#VALUE!</v>
      </c>
      <c r="L1055" t="str">
        <f>MAIN!C1060</f>
        <v/>
      </c>
    </row>
    <row r="1056" spans="1:12" x14ac:dyDescent="0.3">
      <c r="A1056">
        <f>IF(J1056="0",0,IF(COUNTIF($J$2:J1056,J1056)=1,1,0))</f>
        <v>0</v>
      </c>
      <c r="B1056" s="12" t="e">
        <f>MID(MAIN!A1061,K1056,2)</f>
        <v>#VALUE!</v>
      </c>
      <c r="C1056" s="12" t="e">
        <f t="shared" si="64"/>
        <v>#VALUE!</v>
      </c>
      <c r="D1056" s="12" t="e">
        <f>MID(MAIN!A1061,K1056+2,2)</f>
        <v>#VALUE!</v>
      </c>
      <c r="E1056" s="12" t="e">
        <f>MID(MAIN!A1061,K1056+4,2)</f>
        <v>#VALUE!</v>
      </c>
      <c r="F1056" s="2" t="e">
        <f t="shared" si="65"/>
        <v>#VALUE!</v>
      </c>
      <c r="G1056" s="13" t="e">
        <f t="shared" si="66"/>
        <v>#VALUE!</v>
      </c>
      <c r="J1056" t="str">
        <f>MAIN!A1061&amp;"B"</f>
        <v>B</v>
      </c>
      <c r="K1056" s="12" t="e">
        <f t="shared" si="67"/>
        <v>#VALUE!</v>
      </c>
      <c r="L1056" t="str">
        <f>MAIN!C1061</f>
        <v/>
      </c>
    </row>
    <row r="1057" spans="1:12" x14ac:dyDescent="0.3">
      <c r="A1057">
        <f>IF(J1057="0",0,IF(COUNTIF($J$2:J1057,J1057)=1,1,0))</f>
        <v>0</v>
      </c>
      <c r="B1057" s="12" t="e">
        <f>MID(MAIN!A1062,K1057,2)</f>
        <v>#VALUE!</v>
      </c>
      <c r="C1057" s="12" t="e">
        <f t="shared" si="64"/>
        <v>#VALUE!</v>
      </c>
      <c r="D1057" s="12" t="e">
        <f>MID(MAIN!A1062,K1057+2,2)</f>
        <v>#VALUE!</v>
      </c>
      <c r="E1057" s="12" t="e">
        <f>MID(MAIN!A1062,K1057+4,2)</f>
        <v>#VALUE!</v>
      </c>
      <c r="F1057" s="2" t="e">
        <f t="shared" si="65"/>
        <v>#VALUE!</v>
      </c>
      <c r="G1057" s="13" t="e">
        <f t="shared" si="66"/>
        <v>#VALUE!</v>
      </c>
      <c r="J1057" t="str">
        <f>MAIN!A1062&amp;"B"</f>
        <v>B</v>
      </c>
      <c r="K1057" s="12" t="e">
        <f t="shared" si="67"/>
        <v>#VALUE!</v>
      </c>
      <c r="L1057" t="str">
        <f>MAIN!C1062</f>
        <v/>
      </c>
    </row>
    <row r="1058" spans="1:12" x14ac:dyDescent="0.3">
      <c r="A1058">
        <f>IF(J1058="0",0,IF(COUNTIF($J$2:J1058,J1058)=1,1,0))</f>
        <v>0</v>
      </c>
      <c r="B1058" s="12" t="e">
        <f>MID(MAIN!A1063,K1058,2)</f>
        <v>#VALUE!</v>
      </c>
      <c r="C1058" s="12" t="e">
        <f t="shared" si="64"/>
        <v>#VALUE!</v>
      </c>
      <c r="D1058" s="12" t="e">
        <f>MID(MAIN!A1063,K1058+2,2)</f>
        <v>#VALUE!</v>
      </c>
      <c r="E1058" s="12" t="e">
        <f>MID(MAIN!A1063,K1058+4,2)</f>
        <v>#VALUE!</v>
      </c>
      <c r="F1058" s="2" t="e">
        <f t="shared" si="65"/>
        <v>#VALUE!</v>
      </c>
      <c r="G1058" s="13" t="e">
        <f t="shared" si="66"/>
        <v>#VALUE!</v>
      </c>
      <c r="J1058" t="str">
        <f>MAIN!A1063&amp;"B"</f>
        <v>B</v>
      </c>
      <c r="K1058" s="12" t="e">
        <f t="shared" si="67"/>
        <v>#VALUE!</v>
      </c>
      <c r="L1058" t="str">
        <f>MAIN!C1063</f>
        <v/>
      </c>
    </row>
    <row r="1059" spans="1:12" x14ac:dyDescent="0.3">
      <c r="A1059">
        <f>IF(J1059="0",0,IF(COUNTIF($J$2:J1059,J1059)=1,1,0))</f>
        <v>0</v>
      </c>
      <c r="B1059" s="12" t="e">
        <f>MID(MAIN!A1064,K1059,2)</f>
        <v>#VALUE!</v>
      </c>
      <c r="C1059" s="12" t="e">
        <f t="shared" si="64"/>
        <v>#VALUE!</v>
      </c>
      <c r="D1059" s="12" t="e">
        <f>MID(MAIN!A1064,K1059+2,2)</f>
        <v>#VALUE!</v>
      </c>
      <c r="E1059" s="12" t="e">
        <f>MID(MAIN!A1064,K1059+4,2)</f>
        <v>#VALUE!</v>
      </c>
      <c r="F1059" s="2" t="e">
        <f t="shared" si="65"/>
        <v>#VALUE!</v>
      </c>
      <c r="G1059" s="13" t="e">
        <f t="shared" si="66"/>
        <v>#VALUE!</v>
      </c>
      <c r="J1059" t="str">
        <f>MAIN!A1064&amp;"B"</f>
        <v>B</v>
      </c>
      <c r="K1059" s="12" t="e">
        <f t="shared" si="67"/>
        <v>#VALUE!</v>
      </c>
      <c r="L1059" t="str">
        <f>MAIN!C1064</f>
        <v/>
      </c>
    </row>
    <row r="1060" spans="1:12" x14ac:dyDescent="0.3">
      <c r="A1060">
        <f>IF(J1060="0",0,IF(COUNTIF($J$2:J1060,J1060)=1,1,0))</f>
        <v>0</v>
      </c>
      <c r="B1060" s="12" t="e">
        <f>MID(MAIN!A1065,K1060,2)</f>
        <v>#VALUE!</v>
      </c>
      <c r="C1060" s="12" t="e">
        <f t="shared" si="64"/>
        <v>#VALUE!</v>
      </c>
      <c r="D1060" s="12" t="e">
        <f>MID(MAIN!A1065,K1060+2,2)</f>
        <v>#VALUE!</v>
      </c>
      <c r="E1060" s="12" t="e">
        <f>MID(MAIN!A1065,K1060+4,2)</f>
        <v>#VALUE!</v>
      </c>
      <c r="F1060" s="2" t="e">
        <f t="shared" si="65"/>
        <v>#VALUE!</v>
      </c>
      <c r="G1060" s="13" t="e">
        <f t="shared" si="66"/>
        <v>#VALUE!</v>
      </c>
      <c r="J1060" t="str">
        <f>MAIN!A1065&amp;"B"</f>
        <v>B</v>
      </c>
      <c r="K1060" s="12" t="e">
        <f t="shared" si="67"/>
        <v>#VALUE!</v>
      </c>
      <c r="L1060" t="str">
        <f>MAIN!C1065</f>
        <v/>
      </c>
    </row>
    <row r="1061" spans="1:12" x14ac:dyDescent="0.3">
      <c r="A1061">
        <f>IF(J1061="0",0,IF(COUNTIF($J$2:J1061,J1061)=1,1,0))</f>
        <v>0</v>
      </c>
      <c r="B1061" s="12" t="e">
        <f>MID(MAIN!A1066,K1061,2)</f>
        <v>#VALUE!</v>
      </c>
      <c r="C1061" s="12" t="e">
        <f t="shared" si="64"/>
        <v>#VALUE!</v>
      </c>
      <c r="D1061" s="12" t="e">
        <f>MID(MAIN!A1066,K1061+2,2)</f>
        <v>#VALUE!</v>
      </c>
      <c r="E1061" s="12" t="e">
        <f>MID(MAIN!A1066,K1061+4,2)</f>
        <v>#VALUE!</v>
      </c>
      <c r="F1061" s="2" t="e">
        <f t="shared" si="65"/>
        <v>#VALUE!</v>
      </c>
      <c r="G1061" s="13" t="e">
        <f t="shared" si="66"/>
        <v>#VALUE!</v>
      </c>
      <c r="J1061" t="str">
        <f>MAIN!A1066&amp;"B"</f>
        <v>B</v>
      </c>
      <c r="K1061" s="12" t="e">
        <f t="shared" si="67"/>
        <v>#VALUE!</v>
      </c>
      <c r="L1061" t="str">
        <f>MAIN!C1066</f>
        <v/>
      </c>
    </row>
    <row r="1062" spans="1:12" x14ac:dyDescent="0.3">
      <c r="A1062">
        <f>IF(J1062="0",0,IF(COUNTIF($J$2:J1062,J1062)=1,1,0))</f>
        <v>0</v>
      </c>
      <c r="B1062" s="12" t="e">
        <f>MID(MAIN!A1067,K1062,2)</f>
        <v>#VALUE!</v>
      </c>
      <c r="C1062" s="12" t="e">
        <f t="shared" si="64"/>
        <v>#VALUE!</v>
      </c>
      <c r="D1062" s="12" t="e">
        <f>MID(MAIN!A1067,K1062+2,2)</f>
        <v>#VALUE!</v>
      </c>
      <c r="E1062" s="12" t="e">
        <f>MID(MAIN!A1067,K1062+4,2)</f>
        <v>#VALUE!</v>
      </c>
      <c r="F1062" s="2" t="e">
        <f t="shared" si="65"/>
        <v>#VALUE!</v>
      </c>
      <c r="G1062" s="13" t="e">
        <f t="shared" si="66"/>
        <v>#VALUE!</v>
      </c>
      <c r="J1062" t="str">
        <f>MAIN!A1067&amp;"B"</f>
        <v>B</v>
      </c>
      <c r="K1062" s="12" t="e">
        <f t="shared" si="67"/>
        <v>#VALUE!</v>
      </c>
      <c r="L1062" t="str">
        <f>MAIN!C1067</f>
        <v/>
      </c>
    </row>
    <row r="1063" spans="1:12" x14ac:dyDescent="0.3">
      <c r="A1063">
        <f>IF(J1063="0",0,IF(COUNTIF($J$2:J1063,J1063)=1,1,0))</f>
        <v>0</v>
      </c>
      <c r="B1063" s="12" t="e">
        <f>MID(MAIN!A1068,K1063,2)</f>
        <v>#VALUE!</v>
      </c>
      <c r="C1063" s="12" t="e">
        <f t="shared" si="64"/>
        <v>#VALUE!</v>
      </c>
      <c r="D1063" s="12" t="e">
        <f>MID(MAIN!A1068,K1063+2,2)</f>
        <v>#VALUE!</v>
      </c>
      <c r="E1063" s="12" t="e">
        <f>MID(MAIN!A1068,K1063+4,2)</f>
        <v>#VALUE!</v>
      </c>
      <c r="F1063" s="2" t="e">
        <f t="shared" si="65"/>
        <v>#VALUE!</v>
      </c>
      <c r="G1063" s="13" t="e">
        <f t="shared" si="66"/>
        <v>#VALUE!</v>
      </c>
      <c r="J1063" t="str">
        <f>MAIN!A1068&amp;"B"</f>
        <v>B</v>
      </c>
      <c r="K1063" s="12" t="e">
        <f t="shared" si="67"/>
        <v>#VALUE!</v>
      </c>
      <c r="L1063" t="str">
        <f>MAIN!C1068</f>
        <v/>
      </c>
    </row>
    <row r="1064" spans="1:12" x14ac:dyDescent="0.3">
      <c r="A1064">
        <f>IF(J1064="0",0,IF(COUNTIF($J$2:J1064,J1064)=1,1,0))</f>
        <v>0</v>
      </c>
      <c r="B1064" s="12" t="e">
        <f>MID(MAIN!A1069,K1064,2)</f>
        <v>#VALUE!</v>
      </c>
      <c r="C1064" s="12" t="e">
        <f t="shared" si="64"/>
        <v>#VALUE!</v>
      </c>
      <c r="D1064" s="12" t="e">
        <f>MID(MAIN!A1069,K1064+2,2)</f>
        <v>#VALUE!</v>
      </c>
      <c r="E1064" s="12" t="e">
        <f>MID(MAIN!A1069,K1064+4,2)</f>
        <v>#VALUE!</v>
      </c>
      <c r="F1064" s="2" t="e">
        <f t="shared" si="65"/>
        <v>#VALUE!</v>
      </c>
      <c r="G1064" s="13" t="e">
        <f t="shared" si="66"/>
        <v>#VALUE!</v>
      </c>
      <c r="J1064" t="str">
        <f>MAIN!A1069&amp;"B"</f>
        <v>B</v>
      </c>
      <c r="K1064" s="12" t="e">
        <f t="shared" si="67"/>
        <v>#VALUE!</v>
      </c>
      <c r="L1064" t="str">
        <f>MAIN!C1069</f>
        <v/>
      </c>
    </row>
    <row r="1065" spans="1:12" x14ac:dyDescent="0.3">
      <c r="A1065">
        <f>IF(J1065="0",0,IF(COUNTIF($J$2:J1065,J1065)=1,1,0))</f>
        <v>0</v>
      </c>
      <c r="B1065" s="12" t="e">
        <f>MID(MAIN!A1070,K1065,2)</f>
        <v>#VALUE!</v>
      </c>
      <c r="C1065" s="12" t="e">
        <f t="shared" si="64"/>
        <v>#VALUE!</v>
      </c>
      <c r="D1065" s="12" t="e">
        <f>MID(MAIN!A1070,K1065+2,2)</f>
        <v>#VALUE!</v>
      </c>
      <c r="E1065" s="12" t="e">
        <f>MID(MAIN!A1070,K1065+4,2)</f>
        <v>#VALUE!</v>
      </c>
      <c r="F1065" s="2" t="e">
        <f t="shared" si="65"/>
        <v>#VALUE!</v>
      </c>
      <c r="G1065" s="13" t="e">
        <f t="shared" si="66"/>
        <v>#VALUE!</v>
      </c>
      <c r="J1065" t="str">
        <f>MAIN!A1070&amp;"B"</f>
        <v>B</v>
      </c>
      <c r="K1065" s="12" t="e">
        <f t="shared" si="67"/>
        <v>#VALUE!</v>
      </c>
      <c r="L1065" t="str">
        <f>MAIN!C1070</f>
        <v/>
      </c>
    </row>
    <row r="1066" spans="1:12" x14ac:dyDescent="0.3">
      <c r="A1066">
        <f>IF(J1066="0",0,IF(COUNTIF($J$2:J1066,J1066)=1,1,0))</f>
        <v>0</v>
      </c>
      <c r="B1066" s="12" t="e">
        <f>MID(MAIN!A1071,K1066,2)</f>
        <v>#VALUE!</v>
      </c>
      <c r="C1066" s="12" t="e">
        <f t="shared" si="64"/>
        <v>#VALUE!</v>
      </c>
      <c r="D1066" s="12" t="e">
        <f>MID(MAIN!A1071,K1066+2,2)</f>
        <v>#VALUE!</v>
      </c>
      <c r="E1066" s="12" t="e">
        <f>MID(MAIN!A1071,K1066+4,2)</f>
        <v>#VALUE!</v>
      </c>
      <c r="F1066" s="2" t="e">
        <f t="shared" si="65"/>
        <v>#VALUE!</v>
      </c>
      <c r="G1066" s="13" t="e">
        <f t="shared" si="66"/>
        <v>#VALUE!</v>
      </c>
      <c r="J1066" t="str">
        <f>MAIN!A1071&amp;"B"</f>
        <v>B</v>
      </c>
      <c r="K1066" s="12" t="e">
        <f t="shared" si="67"/>
        <v>#VALUE!</v>
      </c>
      <c r="L1066" t="str">
        <f>MAIN!C1071</f>
        <v/>
      </c>
    </row>
    <row r="1067" spans="1:12" x14ac:dyDescent="0.3">
      <c r="A1067">
        <f>IF(J1067="0",0,IF(COUNTIF($J$2:J1067,J1067)=1,1,0))</f>
        <v>0</v>
      </c>
      <c r="B1067" s="12" t="e">
        <f>MID(MAIN!A1072,K1067,2)</f>
        <v>#VALUE!</v>
      </c>
      <c r="C1067" s="12" t="e">
        <f t="shared" si="64"/>
        <v>#VALUE!</v>
      </c>
      <c r="D1067" s="12" t="e">
        <f>MID(MAIN!A1072,K1067+2,2)</f>
        <v>#VALUE!</v>
      </c>
      <c r="E1067" s="12" t="e">
        <f>MID(MAIN!A1072,K1067+4,2)</f>
        <v>#VALUE!</v>
      </c>
      <c r="F1067" s="2" t="e">
        <f t="shared" si="65"/>
        <v>#VALUE!</v>
      </c>
      <c r="G1067" s="13" t="e">
        <f t="shared" si="66"/>
        <v>#VALUE!</v>
      </c>
      <c r="J1067" t="str">
        <f>MAIN!A1072&amp;"B"</f>
        <v>B</v>
      </c>
      <c r="K1067" s="12" t="e">
        <f t="shared" si="67"/>
        <v>#VALUE!</v>
      </c>
      <c r="L1067" t="str">
        <f>MAIN!C1072</f>
        <v/>
      </c>
    </row>
    <row r="1068" spans="1:12" x14ac:dyDescent="0.3">
      <c r="A1068">
        <f>IF(J1068="0",0,IF(COUNTIF($J$2:J1068,J1068)=1,1,0))</f>
        <v>0</v>
      </c>
      <c r="B1068" s="12" t="e">
        <f>MID(MAIN!A1073,K1068,2)</f>
        <v>#VALUE!</v>
      </c>
      <c r="C1068" s="12" t="e">
        <f t="shared" si="64"/>
        <v>#VALUE!</v>
      </c>
      <c r="D1068" s="12" t="e">
        <f>MID(MAIN!A1073,K1068+2,2)</f>
        <v>#VALUE!</v>
      </c>
      <c r="E1068" s="12" t="e">
        <f>MID(MAIN!A1073,K1068+4,2)</f>
        <v>#VALUE!</v>
      </c>
      <c r="F1068" s="2" t="e">
        <f t="shared" si="65"/>
        <v>#VALUE!</v>
      </c>
      <c r="G1068" s="13" t="e">
        <f t="shared" si="66"/>
        <v>#VALUE!</v>
      </c>
      <c r="J1068" t="str">
        <f>MAIN!A1073&amp;"B"</f>
        <v>B</v>
      </c>
      <c r="K1068" s="12" t="e">
        <f t="shared" si="67"/>
        <v>#VALUE!</v>
      </c>
      <c r="L1068" t="str">
        <f>MAIN!C1073</f>
        <v/>
      </c>
    </row>
    <row r="1069" spans="1:12" x14ac:dyDescent="0.3">
      <c r="A1069">
        <f>IF(J1069="0",0,IF(COUNTIF($J$2:J1069,J1069)=1,1,0))</f>
        <v>0</v>
      </c>
      <c r="B1069" s="12" t="e">
        <f>MID(MAIN!A1074,K1069,2)</f>
        <v>#VALUE!</v>
      </c>
      <c r="C1069" s="12" t="e">
        <f t="shared" si="64"/>
        <v>#VALUE!</v>
      </c>
      <c r="D1069" s="12" t="e">
        <f>MID(MAIN!A1074,K1069+2,2)</f>
        <v>#VALUE!</v>
      </c>
      <c r="E1069" s="12" t="e">
        <f>MID(MAIN!A1074,K1069+4,2)</f>
        <v>#VALUE!</v>
      </c>
      <c r="F1069" s="2" t="e">
        <f t="shared" si="65"/>
        <v>#VALUE!</v>
      </c>
      <c r="G1069" s="13" t="e">
        <f t="shared" si="66"/>
        <v>#VALUE!</v>
      </c>
      <c r="J1069" t="str">
        <f>MAIN!A1074&amp;"B"</f>
        <v>B</v>
      </c>
      <c r="K1069" s="12" t="e">
        <f t="shared" si="67"/>
        <v>#VALUE!</v>
      </c>
      <c r="L1069" t="str">
        <f>MAIN!C1074</f>
        <v/>
      </c>
    </row>
    <row r="1070" spans="1:12" x14ac:dyDescent="0.3">
      <c r="A1070">
        <f>IF(J1070="0",0,IF(COUNTIF($J$2:J1070,J1070)=1,1,0))</f>
        <v>0</v>
      </c>
      <c r="B1070" s="12" t="e">
        <f>MID(MAIN!A1075,K1070,2)</f>
        <v>#VALUE!</v>
      </c>
      <c r="C1070" s="12" t="e">
        <f t="shared" si="64"/>
        <v>#VALUE!</v>
      </c>
      <c r="D1070" s="12" t="e">
        <f>MID(MAIN!A1075,K1070+2,2)</f>
        <v>#VALUE!</v>
      </c>
      <c r="E1070" s="12" t="e">
        <f>MID(MAIN!A1075,K1070+4,2)</f>
        <v>#VALUE!</v>
      </c>
      <c r="F1070" s="2" t="e">
        <f t="shared" si="65"/>
        <v>#VALUE!</v>
      </c>
      <c r="G1070" s="13" t="e">
        <f t="shared" si="66"/>
        <v>#VALUE!</v>
      </c>
      <c r="J1070" t="str">
        <f>MAIN!A1075&amp;"B"</f>
        <v>B</v>
      </c>
      <c r="K1070" s="12" t="e">
        <f t="shared" si="67"/>
        <v>#VALUE!</v>
      </c>
      <c r="L1070" t="str">
        <f>MAIN!C1075</f>
        <v/>
      </c>
    </row>
    <row r="1071" spans="1:12" x14ac:dyDescent="0.3">
      <c r="A1071">
        <f>IF(J1071="0",0,IF(COUNTIF($J$2:J1071,J1071)=1,1,0))</f>
        <v>0</v>
      </c>
      <c r="B1071" s="12" t="e">
        <f>MID(MAIN!A1076,K1071,2)</f>
        <v>#VALUE!</v>
      </c>
      <c r="C1071" s="12" t="e">
        <f t="shared" si="64"/>
        <v>#VALUE!</v>
      </c>
      <c r="D1071" s="12" t="e">
        <f>MID(MAIN!A1076,K1071+2,2)</f>
        <v>#VALUE!</v>
      </c>
      <c r="E1071" s="12" t="e">
        <f>MID(MAIN!A1076,K1071+4,2)</f>
        <v>#VALUE!</v>
      </c>
      <c r="F1071" s="2" t="e">
        <f t="shared" si="65"/>
        <v>#VALUE!</v>
      </c>
      <c r="G1071" s="13" t="e">
        <f t="shared" si="66"/>
        <v>#VALUE!</v>
      </c>
      <c r="J1071" t="str">
        <f>MAIN!A1076&amp;"B"</f>
        <v>B</v>
      </c>
      <c r="K1071" s="12" t="e">
        <f t="shared" si="67"/>
        <v>#VALUE!</v>
      </c>
      <c r="L1071" t="str">
        <f>MAIN!C1076</f>
        <v/>
      </c>
    </row>
    <row r="1072" spans="1:12" x14ac:dyDescent="0.3">
      <c r="A1072">
        <f>IF(J1072="0",0,IF(COUNTIF($J$2:J1072,J1072)=1,1,0))</f>
        <v>0</v>
      </c>
      <c r="B1072" s="12" t="e">
        <f>MID(MAIN!A1077,K1072,2)</f>
        <v>#VALUE!</v>
      </c>
      <c r="C1072" s="12" t="e">
        <f t="shared" si="64"/>
        <v>#VALUE!</v>
      </c>
      <c r="D1072" s="12" t="e">
        <f>MID(MAIN!A1077,K1072+2,2)</f>
        <v>#VALUE!</v>
      </c>
      <c r="E1072" s="12" t="e">
        <f>MID(MAIN!A1077,K1072+4,2)</f>
        <v>#VALUE!</v>
      </c>
      <c r="F1072" s="2" t="e">
        <f t="shared" si="65"/>
        <v>#VALUE!</v>
      </c>
      <c r="G1072" s="13" t="e">
        <f t="shared" si="66"/>
        <v>#VALUE!</v>
      </c>
      <c r="J1072" t="str">
        <f>MAIN!A1077&amp;"B"</f>
        <v>B</v>
      </c>
      <c r="K1072" s="12" t="e">
        <f t="shared" si="67"/>
        <v>#VALUE!</v>
      </c>
      <c r="L1072" t="str">
        <f>MAIN!C1077</f>
        <v/>
      </c>
    </row>
    <row r="1073" spans="1:12" x14ac:dyDescent="0.3">
      <c r="A1073">
        <f>IF(J1073="0",0,IF(COUNTIF($J$2:J1073,J1073)=1,1,0))</f>
        <v>0</v>
      </c>
      <c r="B1073" s="12" t="e">
        <f>MID(MAIN!A1078,K1073,2)</f>
        <v>#VALUE!</v>
      </c>
      <c r="C1073" s="12" t="e">
        <f t="shared" si="64"/>
        <v>#VALUE!</v>
      </c>
      <c r="D1073" s="12" t="e">
        <f>MID(MAIN!A1078,K1073+2,2)</f>
        <v>#VALUE!</v>
      </c>
      <c r="E1073" s="12" t="e">
        <f>MID(MAIN!A1078,K1073+4,2)</f>
        <v>#VALUE!</v>
      </c>
      <c r="F1073" s="2" t="e">
        <f t="shared" si="65"/>
        <v>#VALUE!</v>
      </c>
      <c r="G1073" s="13" t="e">
        <f t="shared" si="66"/>
        <v>#VALUE!</v>
      </c>
      <c r="J1073" t="str">
        <f>MAIN!A1078&amp;"B"</f>
        <v>B</v>
      </c>
      <c r="K1073" s="12" t="e">
        <f t="shared" si="67"/>
        <v>#VALUE!</v>
      </c>
      <c r="L1073" t="str">
        <f>MAIN!C1078</f>
        <v/>
      </c>
    </row>
    <row r="1074" spans="1:12" x14ac:dyDescent="0.3">
      <c r="A1074">
        <f>IF(J1074="0",0,IF(COUNTIF($J$2:J1074,J1074)=1,1,0))</f>
        <v>0</v>
      </c>
      <c r="B1074" s="12" t="e">
        <f>MID(MAIN!A1079,K1074,2)</f>
        <v>#VALUE!</v>
      </c>
      <c r="C1074" s="12" t="e">
        <f t="shared" si="64"/>
        <v>#VALUE!</v>
      </c>
      <c r="D1074" s="12" t="e">
        <f>MID(MAIN!A1079,K1074+2,2)</f>
        <v>#VALUE!</v>
      </c>
      <c r="E1074" s="12" t="e">
        <f>MID(MAIN!A1079,K1074+4,2)</f>
        <v>#VALUE!</v>
      </c>
      <c r="F1074" s="2" t="e">
        <f t="shared" si="65"/>
        <v>#VALUE!</v>
      </c>
      <c r="G1074" s="13" t="e">
        <f t="shared" si="66"/>
        <v>#VALUE!</v>
      </c>
      <c r="J1074" t="str">
        <f>MAIN!A1079&amp;"B"</f>
        <v>B</v>
      </c>
      <c r="K1074" s="12" t="e">
        <f t="shared" si="67"/>
        <v>#VALUE!</v>
      </c>
      <c r="L1074" t="str">
        <f>MAIN!C1079</f>
        <v/>
      </c>
    </row>
    <row r="1075" spans="1:12" x14ac:dyDescent="0.3">
      <c r="A1075">
        <f>IF(J1075="0",0,IF(COUNTIF($J$2:J1075,J1075)=1,1,0))</f>
        <v>0</v>
      </c>
      <c r="B1075" s="12" t="e">
        <f>MID(MAIN!A1080,K1075,2)</f>
        <v>#VALUE!</v>
      </c>
      <c r="C1075" s="12" t="e">
        <f t="shared" si="64"/>
        <v>#VALUE!</v>
      </c>
      <c r="D1075" s="12" t="e">
        <f>MID(MAIN!A1080,K1075+2,2)</f>
        <v>#VALUE!</v>
      </c>
      <c r="E1075" s="12" t="e">
        <f>MID(MAIN!A1080,K1075+4,2)</f>
        <v>#VALUE!</v>
      </c>
      <c r="F1075" s="2" t="e">
        <f t="shared" si="65"/>
        <v>#VALUE!</v>
      </c>
      <c r="G1075" s="13" t="e">
        <f t="shared" si="66"/>
        <v>#VALUE!</v>
      </c>
      <c r="J1075" t="str">
        <f>MAIN!A1080&amp;"B"</f>
        <v>B</v>
      </c>
      <c r="K1075" s="12" t="e">
        <f t="shared" si="67"/>
        <v>#VALUE!</v>
      </c>
      <c r="L1075" t="str">
        <f>MAIN!C1080</f>
        <v/>
      </c>
    </row>
    <row r="1076" spans="1:12" x14ac:dyDescent="0.3">
      <c r="A1076">
        <f>IF(J1076="0",0,IF(COUNTIF($J$2:J1076,J1076)=1,1,0))</f>
        <v>0</v>
      </c>
      <c r="B1076" s="12" t="e">
        <f>MID(MAIN!A1081,K1076,2)</f>
        <v>#VALUE!</v>
      </c>
      <c r="C1076" s="12" t="e">
        <f t="shared" si="64"/>
        <v>#VALUE!</v>
      </c>
      <c r="D1076" s="12" t="e">
        <f>MID(MAIN!A1081,K1076+2,2)</f>
        <v>#VALUE!</v>
      </c>
      <c r="E1076" s="12" t="e">
        <f>MID(MAIN!A1081,K1076+4,2)</f>
        <v>#VALUE!</v>
      </c>
      <c r="F1076" s="2" t="e">
        <f t="shared" si="65"/>
        <v>#VALUE!</v>
      </c>
      <c r="G1076" s="13" t="e">
        <f t="shared" si="66"/>
        <v>#VALUE!</v>
      </c>
      <c r="J1076" t="str">
        <f>MAIN!A1081&amp;"B"</f>
        <v>B</v>
      </c>
      <c r="K1076" s="12" t="e">
        <f t="shared" si="67"/>
        <v>#VALUE!</v>
      </c>
      <c r="L1076" t="str">
        <f>MAIN!C1081</f>
        <v/>
      </c>
    </row>
    <row r="1077" spans="1:12" x14ac:dyDescent="0.3">
      <c r="A1077">
        <f>IF(J1077="0",0,IF(COUNTIF($J$2:J1077,J1077)=1,1,0))</f>
        <v>0</v>
      </c>
      <c r="B1077" s="12" t="e">
        <f>MID(MAIN!A1082,K1077,2)</f>
        <v>#VALUE!</v>
      </c>
      <c r="C1077" s="12" t="e">
        <f t="shared" si="64"/>
        <v>#VALUE!</v>
      </c>
      <c r="D1077" s="12" t="e">
        <f>MID(MAIN!A1082,K1077+2,2)</f>
        <v>#VALUE!</v>
      </c>
      <c r="E1077" s="12" t="e">
        <f>MID(MAIN!A1082,K1077+4,2)</f>
        <v>#VALUE!</v>
      </c>
      <c r="F1077" s="2" t="e">
        <f t="shared" si="65"/>
        <v>#VALUE!</v>
      </c>
      <c r="G1077" s="13" t="e">
        <f t="shared" si="66"/>
        <v>#VALUE!</v>
      </c>
      <c r="J1077" t="str">
        <f>MAIN!A1082&amp;"B"</f>
        <v>B</v>
      </c>
      <c r="K1077" s="12" t="e">
        <f t="shared" si="67"/>
        <v>#VALUE!</v>
      </c>
      <c r="L1077" t="str">
        <f>MAIN!C1082</f>
        <v/>
      </c>
    </row>
    <row r="1078" spans="1:12" x14ac:dyDescent="0.3">
      <c r="A1078">
        <f>IF(J1078="0",0,IF(COUNTIF($J$2:J1078,J1078)=1,1,0))</f>
        <v>0</v>
      </c>
      <c r="B1078" s="12" t="e">
        <f>MID(MAIN!A1083,K1078,2)</f>
        <v>#VALUE!</v>
      </c>
      <c r="C1078" s="12" t="e">
        <f t="shared" si="64"/>
        <v>#VALUE!</v>
      </c>
      <c r="D1078" s="12" t="e">
        <f>MID(MAIN!A1083,K1078+2,2)</f>
        <v>#VALUE!</v>
      </c>
      <c r="E1078" s="12" t="e">
        <f>MID(MAIN!A1083,K1078+4,2)</f>
        <v>#VALUE!</v>
      </c>
      <c r="F1078" s="2" t="e">
        <f t="shared" si="65"/>
        <v>#VALUE!</v>
      </c>
      <c r="G1078" s="13" t="e">
        <f t="shared" si="66"/>
        <v>#VALUE!</v>
      </c>
      <c r="J1078" t="str">
        <f>MAIN!A1083&amp;"B"</f>
        <v>B</v>
      </c>
      <c r="K1078" s="12" t="e">
        <f t="shared" si="67"/>
        <v>#VALUE!</v>
      </c>
      <c r="L1078" t="str">
        <f>MAIN!C1083</f>
        <v/>
      </c>
    </row>
    <row r="1079" spans="1:12" x14ac:dyDescent="0.3">
      <c r="A1079">
        <f>IF(J1079="0",0,IF(COUNTIF($J$2:J1079,J1079)=1,1,0))</f>
        <v>0</v>
      </c>
      <c r="B1079" s="12" t="e">
        <f>MID(MAIN!A1084,K1079,2)</f>
        <v>#VALUE!</v>
      </c>
      <c r="C1079" s="12" t="e">
        <f t="shared" si="64"/>
        <v>#VALUE!</v>
      </c>
      <c r="D1079" s="12" t="e">
        <f>MID(MAIN!A1084,K1079+2,2)</f>
        <v>#VALUE!</v>
      </c>
      <c r="E1079" s="12" t="e">
        <f>MID(MAIN!A1084,K1079+4,2)</f>
        <v>#VALUE!</v>
      </c>
      <c r="F1079" s="2" t="e">
        <f t="shared" si="65"/>
        <v>#VALUE!</v>
      </c>
      <c r="G1079" s="13" t="e">
        <f t="shared" si="66"/>
        <v>#VALUE!</v>
      </c>
      <c r="J1079" t="str">
        <f>MAIN!A1084&amp;"B"</f>
        <v>B</v>
      </c>
      <c r="K1079" s="12" t="e">
        <f t="shared" si="67"/>
        <v>#VALUE!</v>
      </c>
      <c r="L1079" t="str">
        <f>MAIN!C1084</f>
        <v/>
      </c>
    </row>
    <row r="1080" spans="1:12" x14ac:dyDescent="0.3">
      <c r="A1080">
        <f>IF(J1080="0",0,IF(COUNTIF($J$2:J1080,J1080)=1,1,0))</f>
        <v>0</v>
      </c>
      <c r="B1080" s="12" t="e">
        <f>MID(MAIN!A1085,K1080,2)</f>
        <v>#VALUE!</v>
      </c>
      <c r="C1080" s="12" t="e">
        <f t="shared" si="64"/>
        <v>#VALUE!</v>
      </c>
      <c r="D1080" s="12" t="e">
        <f>MID(MAIN!A1085,K1080+2,2)</f>
        <v>#VALUE!</v>
      </c>
      <c r="E1080" s="12" t="e">
        <f>MID(MAIN!A1085,K1080+4,2)</f>
        <v>#VALUE!</v>
      </c>
      <c r="F1080" s="2" t="e">
        <f t="shared" si="65"/>
        <v>#VALUE!</v>
      </c>
      <c r="G1080" s="13" t="e">
        <f t="shared" si="66"/>
        <v>#VALUE!</v>
      </c>
      <c r="J1080" t="str">
        <f>MAIN!A1085&amp;"B"</f>
        <v>B</v>
      </c>
      <c r="K1080" s="12" t="e">
        <f t="shared" si="67"/>
        <v>#VALUE!</v>
      </c>
      <c r="L1080" t="str">
        <f>MAIN!C1085</f>
        <v/>
      </c>
    </row>
    <row r="1081" spans="1:12" x14ac:dyDescent="0.3">
      <c r="A1081">
        <f>IF(J1081="0",0,IF(COUNTIF($J$2:J1081,J1081)=1,1,0))</f>
        <v>0</v>
      </c>
      <c r="B1081" s="12" t="e">
        <f>MID(MAIN!A1086,K1081,2)</f>
        <v>#VALUE!</v>
      </c>
      <c r="C1081" s="12" t="e">
        <f t="shared" si="64"/>
        <v>#VALUE!</v>
      </c>
      <c r="D1081" s="12" t="e">
        <f>MID(MAIN!A1086,K1081+2,2)</f>
        <v>#VALUE!</v>
      </c>
      <c r="E1081" s="12" t="e">
        <f>MID(MAIN!A1086,K1081+4,2)</f>
        <v>#VALUE!</v>
      </c>
      <c r="F1081" s="2" t="e">
        <f t="shared" si="65"/>
        <v>#VALUE!</v>
      </c>
      <c r="G1081" s="13" t="e">
        <f t="shared" si="66"/>
        <v>#VALUE!</v>
      </c>
      <c r="J1081" t="str">
        <f>MAIN!A1086&amp;"B"</f>
        <v>B</v>
      </c>
      <c r="K1081" s="12" t="e">
        <f t="shared" si="67"/>
        <v>#VALUE!</v>
      </c>
      <c r="L1081" t="str">
        <f>MAIN!C1086</f>
        <v/>
      </c>
    </row>
    <row r="1082" spans="1:12" x14ac:dyDescent="0.3">
      <c r="A1082">
        <f>IF(J1082="0",0,IF(COUNTIF($J$2:J1082,J1082)=1,1,0))</f>
        <v>0</v>
      </c>
      <c r="B1082" s="12" t="e">
        <f>MID(MAIN!A1087,K1082,2)</f>
        <v>#VALUE!</v>
      </c>
      <c r="C1082" s="12" t="e">
        <f t="shared" si="64"/>
        <v>#VALUE!</v>
      </c>
      <c r="D1082" s="12" t="e">
        <f>MID(MAIN!A1087,K1082+2,2)</f>
        <v>#VALUE!</v>
      </c>
      <c r="E1082" s="12" t="e">
        <f>MID(MAIN!A1087,K1082+4,2)</f>
        <v>#VALUE!</v>
      </c>
      <c r="F1082" s="2" t="e">
        <f t="shared" si="65"/>
        <v>#VALUE!</v>
      </c>
      <c r="G1082" s="13" t="e">
        <f t="shared" si="66"/>
        <v>#VALUE!</v>
      </c>
      <c r="J1082" t="str">
        <f>MAIN!A1087&amp;"B"</f>
        <v>B</v>
      </c>
      <c r="K1082" s="12" t="e">
        <f t="shared" si="67"/>
        <v>#VALUE!</v>
      </c>
      <c r="L1082" t="str">
        <f>MAIN!C1087</f>
        <v/>
      </c>
    </row>
    <row r="1083" spans="1:12" x14ac:dyDescent="0.3">
      <c r="A1083">
        <f>IF(J1083="0",0,IF(COUNTIF($J$2:J1083,J1083)=1,1,0))</f>
        <v>0</v>
      </c>
      <c r="B1083" s="12" t="e">
        <f>MID(MAIN!A1088,K1083,2)</f>
        <v>#VALUE!</v>
      </c>
      <c r="C1083" s="12" t="e">
        <f t="shared" si="64"/>
        <v>#VALUE!</v>
      </c>
      <c r="D1083" s="12" t="e">
        <f>MID(MAIN!A1088,K1083+2,2)</f>
        <v>#VALUE!</v>
      </c>
      <c r="E1083" s="12" t="e">
        <f>MID(MAIN!A1088,K1083+4,2)</f>
        <v>#VALUE!</v>
      </c>
      <c r="F1083" s="2" t="e">
        <f t="shared" si="65"/>
        <v>#VALUE!</v>
      </c>
      <c r="G1083" s="13" t="e">
        <f t="shared" si="66"/>
        <v>#VALUE!</v>
      </c>
      <c r="J1083" t="str">
        <f>MAIN!A1088&amp;"B"</f>
        <v>B</v>
      </c>
      <c r="K1083" s="12" t="e">
        <f t="shared" si="67"/>
        <v>#VALUE!</v>
      </c>
      <c r="L1083" t="str">
        <f>MAIN!C1088</f>
        <v/>
      </c>
    </row>
    <row r="1084" spans="1:12" x14ac:dyDescent="0.3">
      <c r="A1084">
        <f>IF(J1084="0",0,IF(COUNTIF($J$2:J1084,J1084)=1,1,0))</f>
        <v>0</v>
      </c>
      <c r="B1084" s="12" t="e">
        <f>MID(MAIN!A1089,K1084,2)</f>
        <v>#VALUE!</v>
      </c>
      <c r="C1084" s="12" t="e">
        <f t="shared" si="64"/>
        <v>#VALUE!</v>
      </c>
      <c r="D1084" s="12" t="e">
        <f>MID(MAIN!A1089,K1084+2,2)</f>
        <v>#VALUE!</v>
      </c>
      <c r="E1084" s="12" t="e">
        <f>MID(MAIN!A1089,K1084+4,2)</f>
        <v>#VALUE!</v>
      </c>
      <c r="F1084" s="2" t="e">
        <f t="shared" si="65"/>
        <v>#VALUE!</v>
      </c>
      <c r="G1084" s="13" t="e">
        <f t="shared" si="66"/>
        <v>#VALUE!</v>
      </c>
      <c r="J1084" t="str">
        <f>MAIN!A1089&amp;"B"</f>
        <v>B</v>
      </c>
      <c r="K1084" s="12" t="e">
        <f t="shared" si="67"/>
        <v>#VALUE!</v>
      </c>
      <c r="L1084" t="str">
        <f>MAIN!C1089</f>
        <v/>
      </c>
    </row>
    <row r="1085" spans="1:12" x14ac:dyDescent="0.3">
      <c r="A1085">
        <f>IF(J1085="0",0,IF(COUNTIF($J$2:J1085,J1085)=1,1,0))</f>
        <v>0</v>
      </c>
      <c r="B1085" s="12" t="e">
        <f>MID(MAIN!A1090,K1085,2)</f>
        <v>#VALUE!</v>
      </c>
      <c r="C1085" s="12" t="e">
        <f t="shared" si="64"/>
        <v>#VALUE!</v>
      </c>
      <c r="D1085" s="12" t="e">
        <f>MID(MAIN!A1090,K1085+2,2)</f>
        <v>#VALUE!</v>
      </c>
      <c r="E1085" s="12" t="e">
        <f>MID(MAIN!A1090,K1085+4,2)</f>
        <v>#VALUE!</v>
      </c>
      <c r="F1085" s="2" t="e">
        <f t="shared" si="65"/>
        <v>#VALUE!</v>
      </c>
      <c r="G1085" s="13" t="e">
        <f t="shared" si="66"/>
        <v>#VALUE!</v>
      </c>
      <c r="J1085" t="str">
        <f>MAIN!A1090&amp;"B"</f>
        <v>B</v>
      </c>
      <c r="K1085" s="12" t="e">
        <f t="shared" si="67"/>
        <v>#VALUE!</v>
      </c>
      <c r="L1085" t="str">
        <f>MAIN!C1090</f>
        <v/>
      </c>
    </row>
    <row r="1086" spans="1:12" x14ac:dyDescent="0.3">
      <c r="A1086">
        <f>IF(J1086="0",0,IF(COUNTIF($J$2:J1086,J1086)=1,1,0))</f>
        <v>0</v>
      </c>
      <c r="B1086" s="12" t="e">
        <f>MID(MAIN!A1091,K1086,2)</f>
        <v>#VALUE!</v>
      </c>
      <c r="C1086" s="12" t="e">
        <f t="shared" si="64"/>
        <v>#VALUE!</v>
      </c>
      <c r="D1086" s="12" t="e">
        <f>MID(MAIN!A1091,K1086+2,2)</f>
        <v>#VALUE!</v>
      </c>
      <c r="E1086" s="12" t="e">
        <f>MID(MAIN!A1091,K1086+4,2)</f>
        <v>#VALUE!</v>
      </c>
      <c r="F1086" s="2" t="e">
        <f t="shared" si="65"/>
        <v>#VALUE!</v>
      </c>
      <c r="G1086" s="13" t="e">
        <f t="shared" si="66"/>
        <v>#VALUE!</v>
      </c>
      <c r="J1086" t="str">
        <f>MAIN!A1091&amp;"B"</f>
        <v>B</v>
      </c>
      <c r="K1086" s="12" t="e">
        <f t="shared" si="67"/>
        <v>#VALUE!</v>
      </c>
      <c r="L1086" t="str">
        <f>MAIN!C1091</f>
        <v/>
      </c>
    </row>
    <row r="1087" spans="1:12" x14ac:dyDescent="0.3">
      <c r="A1087">
        <f>IF(J1087="0",0,IF(COUNTIF($J$2:J1087,J1087)=1,1,0))</f>
        <v>0</v>
      </c>
      <c r="B1087" s="12" t="e">
        <f>MID(MAIN!A1092,K1087,2)</f>
        <v>#VALUE!</v>
      </c>
      <c r="C1087" s="12" t="e">
        <f t="shared" si="64"/>
        <v>#VALUE!</v>
      </c>
      <c r="D1087" s="12" t="e">
        <f>MID(MAIN!A1092,K1087+2,2)</f>
        <v>#VALUE!</v>
      </c>
      <c r="E1087" s="12" t="e">
        <f>MID(MAIN!A1092,K1087+4,2)</f>
        <v>#VALUE!</v>
      </c>
      <c r="F1087" s="2" t="e">
        <f t="shared" si="65"/>
        <v>#VALUE!</v>
      </c>
      <c r="G1087" s="13" t="e">
        <f t="shared" si="66"/>
        <v>#VALUE!</v>
      </c>
      <c r="J1087" t="str">
        <f>MAIN!A1092&amp;"B"</f>
        <v>B</v>
      </c>
      <c r="K1087" s="12" t="e">
        <f t="shared" si="67"/>
        <v>#VALUE!</v>
      </c>
      <c r="L1087" t="str">
        <f>MAIN!C1092</f>
        <v/>
      </c>
    </row>
    <row r="1088" spans="1:12" x14ac:dyDescent="0.3">
      <c r="A1088">
        <f>IF(J1088="0",0,IF(COUNTIF($J$2:J1088,J1088)=1,1,0))</f>
        <v>0</v>
      </c>
      <c r="B1088" s="12" t="e">
        <f>MID(MAIN!A1093,K1088,2)</f>
        <v>#VALUE!</v>
      </c>
      <c r="C1088" s="12" t="e">
        <f t="shared" si="64"/>
        <v>#VALUE!</v>
      </c>
      <c r="D1088" s="12" t="e">
        <f>MID(MAIN!A1093,K1088+2,2)</f>
        <v>#VALUE!</v>
      </c>
      <c r="E1088" s="12" t="e">
        <f>MID(MAIN!A1093,K1088+4,2)</f>
        <v>#VALUE!</v>
      </c>
      <c r="F1088" s="2" t="e">
        <f t="shared" si="65"/>
        <v>#VALUE!</v>
      </c>
      <c r="G1088" s="13" t="e">
        <f t="shared" si="66"/>
        <v>#VALUE!</v>
      </c>
      <c r="J1088" t="str">
        <f>MAIN!A1093&amp;"B"</f>
        <v>B</v>
      </c>
      <c r="K1088" s="12" t="e">
        <f t="shared" si="67"/>
        <v>#VALUE!</v>
      </c>
      <c r="L1088" t="str">
        <f>MAIN!C1093</f>
        <v/>
      </c>
    </row>
    <row r="1089" spans="1:12" x14ac:dyDescent="0.3">
      <c r="A1089">
        <f>IF(J1089="0",0,IF(COUNTIF($J$2:J1089,J1089)=1,1,0))</f>
        <v>0</v>
      </c>
      <c r="B1089" s="12" t="e">
        <f>MID(MAIN!A1094,K1089,2)</f>
        <v>#VALUE!</v>
      </c>
      <c r="C1089" s="12" t="e">
        <f t="shared" si="64"/>
        <v>#VALUE!</v>
      </c>
      <c r="D1089" s="12" t="e">
        <f>MID(MAIN!A1094,K1089+2,2)</f>
        <v>#VALUE!</v>
      </c>
      <c r="E1089" s="12" t="e">
        <f>MID(MAIN!A1094,K1089+4,2)</f>
        <v>#VALUE!</v>
      </c>
      <c r="F1089" s="2" t="e">
        <f t="shared" si="65"/>
        <v>#VALUE!</v>
      </c>
      <c r="G1089" s="13" t="e">
        <f t="shared" si="66"/>
        <v>#VALUE!</v>
      </c>
      <c r="J1089" t="str">
        <f>MAIN!A1094&amp;"B"</f>
        <v>B</v>
      </c>
      <c r="K1089" s="12" t="e">
        <f t="shared" si="67"/>
        <v>#VALUE!</v>
      </c>
      <c r="L1089" t="str">
        <f>MAIN!C1094</f>
        <v/>
      </c>
    </row>
    <row r="1090" spans="1:12" x14ac:dyDescent="0.3">
      <c r="A1090">
        <f>IF(J1090="0",0,IF(COUNTIF($J$2:J1090,J1090)=1,1,0))</f>
        <v>0</v>
      </c>
      <c r="B1090" s="12" t="e">
        <f>MID(MAIN!A1095,K1090,2)</f>
        <v>#VALUE!</v>
      </c>
      <c r="C1090" s="12" t="e">
        <f t="shared" si="64"/>
        <v>#VALUE!</v>
      </c>
      <c r="D1090" s="12" t="e">
        <f>MID(MAIN!A1095,K1090+2,2)</f>
        <v>#VALUE!</v>
      </c>
      <c r="E1090" s="12" t="e">
        <f>MID(MAIN!A1095,K1090+4,2)</f>
        <v>#VALUE!</v>
      </c>
      <c r="F1090" s="2" t="e">
        <f t="shared" si="65"/>
        <v>#VALUE!</v>
      </c>
      <c r="G1090" s="13" t="e">
        <f t="shared" si="66"/>
        <v>#VALUE!</v>
      </c>
      <c r="J1090" t="str">
        <f>MAIN!A1095&amp;"B"</f>
        <v>B</v>
      </c>
      <c r="K1090" s="12" t="e">
        <f t="shared" si="67"/>
        <v>#VALUE!</v>
      </c>
      <c r="L1090" t="str">
        <f>MAIN!C1095</f>
        <v/>
      </c>
    </row>
    <row r="1091" spans="1:12" x14ac:dyDescent="0.3">
      <c r="A1091">
        <f>IF(J1091="0",0,IF(COUNTIF($J$2:J1091,J1091)=1,1,0))</f>
        <v>0</v>
      </c>
      <c r="B1091" s="12" t="e">
        <f>MID(MAIN!A1096,K1091,2)</f>
        <v>#VALUE!</v>
      </c>
      <c r="C1091" s="12" t="e">
        <f t="shared" ref="C1091:C1154" si="68">"20"&amp;B1091</f>
        <v>#VALUE!</v>
      </c>
      <c r="D1091" s="12" t="e">
        <f>MID(MAIN!A1096,K1091+2,2)</f>
        <v>#VALUE!</v>
      </c>
      <c r="E1091" s="12" t="e">
        <f>MID(MAIN!A1096,K1091+4,2)</f>
        <v>#VALUE!</v>
      </c>
      <c r="F1091" s="2" t="e">
        <f t="shared" ref="F1091:F1154" si="69">C1091&amp;"/"&amp;D1091&amp;"/"&amp;E1091</f>
        <v>#VALUE!</v>
      </c>
      <c r="G1091" s="13" t="e">
        <f t="shared" ref="G1091:G1154" si="70">DATEVALUE(F1091)</f>
        <v>#VALUE!</v>
      </c>
      <c r="J1091" t="str">
        <f>MAIN!A1096&amp;"B"</f>
        <v>B</v>
      </c>
      <c r="K1091" s="12" t="e">
        <f t="shared" ref="K1091:K1154" si="71">FIND("172",J1091,30)+2</f>
        <v>#VALUE!</v>
      </c>
      <c r="L1091" t="str">
        <f>MAIN!C1096</f>
        <v/>
      </c>
    </row>
    <row r="1092" spans="1:12" x14ac:dyDescent="0.3">
      <c r="A1092">
        <f>IF(J1092="0",0,IF(COUNTIF($J$2:J1092,J1092)=1,1,0))</f>
        <v>0</v>
      </c>
      <c r="B1092" s="12" t="e">
        <f>MID(MAIN!A1097,K1092,2)</f>
        <v>#VALUE!</v>
      </c>
      <c r="C1092" s="12" t="e">
        <f t="shared" si="68"/>
        <v>#VALUE!</v>
      </c>
      <c r="D1092" s="12" t="e">
        <f>MID(MAIN!A1097,K1092+2,2)</f>
        <v>#VALUE!</v>
      </c>
      <c r="E1092" s="12" t="e">
        <f>MID(MAIN!A1097,K1092+4,2)</f>
        <v>#VALUE!</v>
      </c>
      <c r="F1092" s="2" t="e">
        <f t="shared" si="69"/>
        <v>#VALUE!</v>
      </c>
      <c r="G1092" s="13" t="e">
        <f t="shared" si="70"/>
        <v>#VALUE!</v>
      </c>
      <c r="J1092" t="str">
        <f>MAIN!A1097&amp;"B"</f>
        <v>B</v>
      </c>
      <c r="K1092" s="12" t="e">
        <f t="shared" si="71"/>
        <v>#VALUE!</v>
      </c>
      <c r="L1092" t="str">
        <f>MAIN!C1097</f>
        <v/>
      </c>
    </row>
    <row r="1093" spans="1:12" x14ac:dyDescent="0.3">
      <c r="A1093">
        <f>IF(J1093="0",0,IF(COUNTIF($J$2:J1093,J1093)=1,1,0))</f>
        <v>0</v>
      </c>
      <c r="B1093" s="12" t="e">
        <f>MID(MAIN!A1098,K1093,2)</f>
        <v>#VALUE!</v>
      </c>
      <c r="C1093" s="12" t="e">
        <f t="shared" si="68"/>
        <v>#VALUE!</v>
      </c>
      <c r="D1093" s="12" t="e">
        <f>MID(MAIN!A1098,K1093+2,2)</f>
        <v>#VALUE!</v>
      </c>
      <c r="E1093" s="12" t="e">
        <f>MID(MAIN!A1098,K1093+4,2)</f>
        <v>#VALUE!</v>
      </c>
      <c r="F1093" s="2" t="e">
        <f t="shared" si="69"/>
        <v>#VALUE!</v>
      </c>
      <c r="G1093" s="13" t="e">
        <f t="shared" si="70"/>
        <v>#VALUE!</v>
      </c>
      <c r="J1093" t="str">
        <f>MAIN!A1098&amp;"B"</f>
        <v>B</v>
      </c>
      <c r="K1093" s="12" t="e">
        <f t="shared" si="71"/>
        <v>#VALUE!</v>
      </c>
      <c r="L1093" t="str">
        <f>MAIN!C1098</f>
        <v/>
      </c>
    </row>
    <row r="1094" spans="1:12" x14ac:dyDescent="0.3">
      <c r="A1094">
        <f>IF(J1094="0",0,IF(COUNTIF($J$2:J1094,J1094)=1,1,0))</f>
        <v>0</v>
      </c>
      <c r="B1094" s="12" t="e">
        <f>MID(MAIN!A1099,K1094,2)</f>
        <v>#VALUE!</v>
      </c>
      <c r="C1094" s="12" t="e">
        <f t="shared" si="68"/>
        <v>#VALUE!</v>
      </c>
      <c r="D1094" s="12" t="e">
        <f>MID(MAIN!A1099,K1094+2,2)</f>
        <v>#VALUE!</v>
      </c>
      <c r="E1094" s="12" t="e">
        <f>MID(MAIN!A1099,K1094+4,2)</f>
        <v>#VALUE!</v>
      </c>
      <c r="F1094" s="2" t="e">
        <f t="shared" si="69"/>
        <v>#VALUE!</v>
      </c>
      <c r="G1094" s="13" t="e">
        <f t="shared" si="70"/>
        <v>#VALUE!</v>
      </c>
      <c r="J1094" t="str">
        <f>MAIN!A1099&amp;"B"</f>
        <v>B</v>
      </c>
      <c r="K1094" s="12" t="e">
        <f t="shared" si="71"/>
        <v>#VALUE!</v>
      </c>
      <c r="L1094" t="str">
        <f>MAIN!C1099</f>
        <v/>
      </c>
    </row>
    <row r="1095" spans="1:12" x14ac:dyDescent="0.3">
      <c r="A1095">
        <f>IF(J1095="0",0,IF(COUNTIF($J$2:J1095,J1095)=1,1,0))</f>
        <v>0</v>
      </c>
      <c r="B1095" s="12" t="e">
        <f>MID(MAIN!A1100,K1095,2)</f>
        <v>#VALUE!</v>
      </c>
      <c r="C1095" s="12" t="e">
        <f t="shared" si="68"/>
        <v>#VALUE!</v>
      </c>
      <c r="D1095" s="12" t="e">
        <f>MID(MAIN!A1100,K1095+2,2)</f>
        <v>#VALUE!</v>
      </c>
      <c r="E1095" s="12" t="e">
        <f>MID(MAIN!A1100,K1095+4,2)</f>
        <v>#VALUE!</v>
      </c>
      <c r="F1095" s="2" t="e">
        <f t="shared" si="69"/>
        <v>#VALUE!</v>
      </c>
      <c r="G1095" s="13" t="e">
        <f t="shared" si="70"/>
        <v>#VALUE!</v>
      </c>
      <c r="J1095" t="str">
        <f>MAIN!A1100&amp;"B"</f>
        <v>B</v>
      </c>
      <c r="K1095" s="12" t="e">
        <f t="shared" si="71"/>
        <v>#VALUE!</v>
      </c>
      <c r="L1095" t="str">
        <f>MAIN!C1100</f>
        <v/>
      </c>
    </row>
    <row r="1096" spans="1:12" x14ac:dyDescent="0.3">
      <c r="A1096">
        <f>IF(J1096="0",0,IF(COUNTIF($J$2:J1096,J1096)=1,1,0))</f>
        <v>0</v>
      </c>
      <c r="B1096" s="12" t="e">
        <f>MID(MAIN!A1101,K1096,2)</f>
        <v>#VALUE!</v>
      </c>
      <c r="C1096" s="12" t="e">
        <f t="shared" si="68"/>
        <v>#VALUE!</v>
      </c>
      <c r="D1096" s="12" t="e">
        <f>MID(MAIN!A1101,K1096+2,2)</f>
        <v>#VALUE!</v>
      </c>
      <c r="E1096" s="12" t="e">
        <f>MID(MAIN!A1101,K1096+4,2)</f>
        <v>#VALUE!</v>
      </c>
      <c r="F1096" s="2" t="e">
        <f t="shared" si="69"/>
        <v>#VALUE!</v>
      </c>
      <c r="G1096" s="13" t="e">
        <f t="shared" si="70"/>
        <v>#VALUE!</v>
      </c>
      <c r="J1096" t="str">
        <f>MAIN!A1101&amp;"B"</f>
        <v>B</v>
      </c>
      <c r="K1096" s="12" t="e">
        <f t="shared" si="71"/>
        <v>#VALUE!</v>
      </c>
      <c r="L1096" t="str">
        <f>MAIN!C1101</f>
        <v/>
      </c>
    </row>
    <row r="1097" spans="1:12" x14ac:dyDescent="0.3">
      <c r="A1097">
        <f>IF(J1097="0",0,IF(COUNTIF($J$2:J1097,J1097)=1,1,0))</f>
        <v>0</v>
      </c>
      <c r="B1097" s="12" t="e">
        <f>MID(MAIN!A1102,K1097,2)</f>
        <v>#VALUE!</v>
      </c>
      <c r="C1097" s="12" t="e">
        <f t="shared" si="68"/>
        <v>#VALUE!</v>
      </c>
      <c r="D1097" s="12" t="e">
        <f>MID(MAIN!A1102,K1097+2,2)</f>
        <v>#VALUE!</v>
      </c>
      <c r="E1097" s="12" t="e">
        <f>MID(MAIN!A1102,K1097+4,2)</f>
        <v>#VALUE!</v>
      </c>
      <c r="F1097" s="2" t="e">
        <f t="shared" si="69"/>
        <v>#VALUE!</v>
      </c>
      <c r="G1097" s="13" t="e">
        <f t="shared" si="70"/>
        <v>#VALUE!</v>
      </c>
      <c r="J1097" t="str">
        <f>MAIN!A1102&amp;"B"</f>
        <v>B</v>
      </c>
      <c r="K1097" s="12" t="e">
        <f t="shared" si="71"/>
        <v>#VALUE!</v>
      </c>
      <c r="L1097" t="str">
        <f>MAIN!C1102</f>
        <v/>
      </c>
    </row>
    <row r="1098" spans="1:12" x14ac:dyDescent="0.3">
      <c r="A1098">
        <f>IF(J1098="0",0,IF(COUNTIF($J$2:J1098,J1098)=1,1,0))</f>
        <v>0</v>
      </c>
      <c r="B1098" s="12" t="e">
        <f>MID(MAIN!A1103,K1098,2)</f>
        <v>#VALUE!</v>
      </c>
      <c r="C1098" s="12" t="e">
        <f t="shared" si="68"/>
        <v>#VALUE!</v>
      </c>
      <c r="D1098" s="12" t="e">
        <f>MID(MAIN!A1103,K1098+2,2)</f>
        <v>#VALUE!</v>
      </c>
      <c r="E1098" s="12" t="e">
        <f>MID(MAIN!A1103,K1098+4,2)</f>
        <v>#VALUE!</v>
      </c>
      <c r="F1098" s="2" t="e">
        <f t="shared" si="69"/>
        <v>#VALUE!</v>
      </c>
      <c r="G1098" s="13" t="e">
        <f t="shared" si="70"/>
        <v>#VALUE!</v>
      </c>
      <c r="J1098" t="str">
        <f>MAIN!A1103&amp;"B"</f>
        <v>B</v>
      </c>
      <c r="K1098" s="12" t="e">
        <f t="shared" si="71"/>
        <v>#VALUE!</v>
      </c>
      <c r="L1098" t="str">
        <f>MAIN!C1103</f>
        <v/>
      </c>
    </row>
    <row r="1099" spans="1:12" x14ac:dyDescent="0.3">
      <c r="A1099">
        <f>IF(J1099="0",0,IF(COUNTIF($J$2:J1099,J1099)=1,1,0))</f>
        <v>0</v>
      </c>
      <c r="B1099" s="12" t="e">
        <f>MID(MAIN!A1104,K1099,2)</f>
        <v>#VALUE!</v>
      </c>
      <c r="C1099" s="12" t="e">
        <f t="shared" si="68"/>
        <v>#VALUE!</v>
      </c>
      <c r="D1099" s="12" t="e">
        <f>MID(MAIN!A1104,K1099+2,2)</f>
        <v>#VALUE!</v>
      </c>
      <c r="E1099" s="12" t="e">
        <f>MID(MAIN!A1104,K1099+4,2)</f>
        <v>#VALUE!</v>
      </c>
      <c r="F1099" s="2" t="e">
        <f t="shared" si="69"/>
        <v>#VALUE!</v>
      </c>
      <c r="G1099" s="13" t="e">
        <f t="shared" si="70"/>
        <v>#VALUE!</v>
      </c>
      <c r="J1099" t="str">
        <f>MAIN!A1104&amp;"B"</f>
        <v>B</v>
      </c>
      <c r="K1099" s="12" t="e">
        <f t="shared" si="71"/>
        <v>#VALUE!</v>
      </c>
      <c r="L1099" t="str">
        <f>MAIN!C1104</f>
        <v/>
      </c>
    </row>
    <row r="1100" spans="1:12" x14ac:dyDescent="0.3">
      <c r="A1100">
        <f>IF(J1100="0",0,IF(COUNTIF($J$2:J1100,J1100)=1,1,0))</f>
        <v>0</v>
      </c>
      <c r="B1100" s="12" t="e">
        <f>MID(MAIN!A1105,K1100,2)</f>
        <v>#VALUE!</v>
      </c>
      <c r="C1100" s="12" t="e">
        <f t="shared" si="68"/>
        <v>#VALUE!</v>
      </c>
      <c r="D1100" s="12" t="e">
        <f>MID(MAIN!A1105,K1100+2,2)</f>
        <v>#VALUE!</v>
      </c>
      <c r="E1100" s="12" t="e">
        <f>MID(MAIN!A1105,K1100+4,2)</f>
        <v>#VALUE!</v>
      </c>
      <c r="F1100" s="2" t="e">
        <f t="shared" si="69"/>
        <v>#VALUE!</v>
      </c>
      <c r="G1100" s="13" t="e">
        <f t="shared" si="70"/>
        <v>#VALUE!</v>
      </c>
      <c r="J1100" t="str">
        <f>MAIN!A1105&amp;"B"</f>
        <v>B</v>
      </c>
      <c r="K1100" s="12" t="e">
        <f t="shared" si="71"/>
        <v>#VALUE!</v>
      </c>
      <c r="L1100" t="str">
        <f>MAIN!C1105</f>
        <v/>
      </c>
    </row>
    <row r="1101" spans="1:12" x14ac:dyDescent="0.3">
      <c r="A1101">
        <f>IF(J1101="0",0,IF(COUNTIF($J$2:J1101,J1101)=1,1,0))</f>
        <v>0</v>
      </c>
      <c r="B1101" s="12" t="e">
        <f>MID(MAIN!A1106,K1101,2)</f>
        <v>#VALUE!</v>
      </c>
      <c r="C1101" s="12" t="e">
        <f t="shared" si="68"/>
        <v>#VALUE!</v>
      </c>
      <c r="D1101" s="12" t="e">
        <f>MID(MAIN!A1106,K1101+2,2)</f>
        <v>#VALUE!</v>
      </c>
      <c r="E1101" s="12" t="e">
        <f>MID(MAIN!A1106,K1101+4,2)</f>
        <v>#VALUE!</v>
      </c>
      <c r="F1101" s="2" t="e">
        <f t="shared" si="69"/>
        <v>#VALUE!</v>
      </c>
      <c r="G1101" s="13" t="e">
        <f t="shared" si="70"/>
        <v>#VALUE!</v>
      </c>
      <c r="J1101" t="str">
        <f>MAIN!A1106&amp;"B"</f>
        <v>B</v>
      </c>
      <c r="K1101" s="12" t="e">
        <f t="shared" si="71"/>
        <v>#VALUE!</v>
      </c>
      <c r="L1101" t="str">
        <f>MAIN!C1106</f>
        <v/>
      </c>
    </row>
    <row r="1102" spans="1:12" x14ac:dyDescent="0.3">
      <c r="A1102">
        <f>IF(J1102="0",0,IF(COUNTIF($J$2:J1102,J1102)=1,1,0))</f>
        <v>0</v>
      </c>
      <c r="B1102" s="12" t="e">
        <f>MID(MAIN!A1107,K1102,2)</f>
        <v>#VALUE!</v>
      </c>
      <c r="C1102" s="12" t="e">
        <f t="shared" si="68"/>
        <v>#VALUE!</v>
      </c>
      <c r="D1102" s="12" t="e">
        <f>MID(MAIN!A1107,K1102+2,2)</f>
        <v>#VALUE!</v>
      </c>
      <c r="E1102" s="12" t="e">
        <f>MID(MAIN!A1107,K1102+4,2)</f>
        <v>#VALUE!</v>
      </c>
      <c r="F1102" s="2" t="e">
        <f t="shared" si="69"/>
        <v>#VALUE!</v>
      </c>
      <c r="G1102" s="13" t="e">
        <f t="shared" si="70"/>
        <v>#VALUE!</v>
      </c>
      <c r="J1102" t="str">
        <f>MAIN!A1107&amp;"B"</f>
        <v>B</v>
      </c>
      <c r="K1102" s="12" t="e">
        <f t="shared" si="71"/>
        <v>#VALUE!</v>
      </c>
      <c r="L1102" t="str">
        <f>MAIN!C1107</f>
        <v/>
      </c>
    </row>
    <row r="1103" spans="1:12" x14ac:dyDescent="0.3">
      <c r="A1103">
        <f>IF(J1103="0",0,IF(COUNTIF($J$2:J1103,J1103)=1,1,0))</f>
        <v>0</v>
      </c>
      <c r="B1103" s="12" t="e">
        <f>MID(MAIN!A1108,K1103,2)</f>
        <v>#VALUE!</v>
      </c>
      <c r="C1103" s="12" t="e">
        <f t="shared" si="68"/>
        <v>#VALUE!</v>
      </c>
      <c r="D1103" s="12" t="e">
        <f>MID(MAIN!A1108,K1103+2,2)</f>
        <v>#VALUE!</v>
      </c>
      <c r="E1103" s="12" t="e">
        <f>MID(MAIN!A1108,K1103+4,2)</f>
        <v>#VALUE!</v>
      </c>
      <c r="F1103" s="2" t="e">
        <f t="shared" si="69"/>
        <v>#VALUE!</v>
      </c>
      <c r="G1103" s="13" t="e">
        <f t="shared" si="70"/>
        <v>#VALUE!</v>
      </c>
      <c r="J1103" t="str">
        <f>MAIN!A1108&amp;"B"</f>
        <v>B</v>
      </c>
      <c r="K1103" s="12" t="e">
        <f t="shared" si="71"/>
        <v>#VALUE!</v>
      </c>
      <c r="L1103" t="str">
        <f>MAIN!C1108</f>
        <v/>
      </c>
    </row>
    <row r="1104" spans="1:12" x14ac:dyDescent="0.3">
      <c r="A1104">
        <f>IF(J1104="0",0,IF(COUNTIF($J$2:J1104,J1104)=1,1,0))</f>
        <v>0</v>
      </c>
      <c r="B1104" s="12" t="e">
        <f>MID(MAIN!A1109,K1104,2)</f>
        <v>#VALUE!</v>
      </c>
      <c r="C1104" s="12" t="e">
        <f t="shared" si="68"/>
        <v>#VALUE!</v>
      </c>
      <c r="D1104" s="12" t="e">
        <f>MID(MAIN!A1109,K1104+2,2)</f>
        <v>#VALUE!</v>
      </c>
      <c r="E1104" s="12" t="e">
        <f>MID(MAIN!A1109,K1104+4,2)</f>
        <v>#VALUE!</v>
      </c>
      <c r="F1104" s="2" t="e">
        <f t="shared" si="69"/>
        <v>#VALUE!</v>
      </c>
      <c r="G1104" s="13" t="e">
        <f t="shared" si="70"/>
        <v>#VALUE!</v>
      </c>
      <c r="J1104" t="str">
        <f>MAIN!A1109&amp;"B"</f>
        <v>B</v>
      </c>
      <c r="K1104" s="12" t="e">
        <f t="shared" si="71"/>
        <v>#VALUE!</v>
      </c>
      <c r="L1104" t="str">
        <f>MAIN!C1109</f>
        <v/>
      </c>
    </row>
    <row r="1105" spans="1:12" x14ac:dyDescent="0.3">
      <c r="A1105">
        <f>IF(J1105="0",0,IF(COUNTIF($J$2:J1105,J1105)=1,1,0))</f>
        <v>0</v>
      </c>
      <c r="B1105" s="12" t="e">
        <f>MID(MAIN!A1110,K1105,2)</f>
        <v>#VALUE!</v>
      </c>
      <c r="C1105" s="12" t="e">
        <f t="shared" si="68"/>
        <v>#VALUE!</v>
      </c>
      <c r="D1105" s="12" t="e">
        <f>MID(MAIN!A1110,K1105+2,2)</f>
        <v>#VALUE!</v>
      </c>
      <c r="E1105" s="12" t="e">
        <f>MID(MAIN!A1110,K1105+4,2)</f>
        <v>#VALUE!</v>
      </c>
      <c r="F1105" s="2" t="e">
        <f t="shared" si="69"/>
        <v>#VALUE!</v>
      </c>
      <c r="G1105" s="13" t="e">
        <f t="shared" si="70"/>
        <v>#VALUE!</v>
      </c>
      <c r="J1105" t="str">
        <f>MAIN!A1110&amp;"B"</f>
        <v>B</v>
      </c>
      <c r="K1105" s="12" t="e">
        <f t="shared" si="71"/>
        <v>#VALUE!</v>
      </c>
      <c r="L1105" t="str">
        <f>MAIN!C1110</f>
        <v/>
      </c>
    </row>
    <row r="1106" spans="1:12" x14ac:dyDescent="0.3">
      <c r="A1106">
        <f>IF(J1106="0",0,IF(COUNTIF($J$2:J1106,J1106)=1,1,0))</f>
        <v>0</v>
      </c>
      <c r="B1106" s="12" t="e">
        <f>MID(MAIN!A1111,K1106,2)</f>
        <v>#VALUE!</v>
      </c>
      <c r="C1106" s="12" t="e">
        <f t="shared" si="68"/>
        <v>#VALUE!</v>
      </c>
      <c r="D1106" s="12" t="e">
        <f>MID(MAIN!A1111,K1106+2,2)</f>
        <v>#VALUE!</v>
      </c>
      <c r="E1106" s="12" t="e">
        <f>MID(MAIN!A1111,K1106+4,2)</f>
        <v>#VALUE!</v>
      </c>
      <c r="F1106" s="2" t="e">
        <f t="shared" si="69"/>
        <v>#VALUE!</v>
      </c>
      <c r="G1106" s="13" t="e">
        <f t="shared" si="70"/>
        <v>#VALUE!</v>
      </c>
      <c r="J1106" t="str">
        <f>MAIN!A1111&amp;"B"</f>
        <v>B</v>
      </c>
      <c r="K1106" s="12" t="e">
        <f t="shared" si="71"/>
        <v>#VALUE!</v>
      </c>
      <c r="L1106" t="str">
        <f>MAIN!C1111</f>
        <v/>
      </c>
    </row>
    <row r="1107" spans="1:12" x14ac:dyDescent="0.3">
      <c r="A1107">
        <f>IF(J1107="0",0,IF(COUNTIF($J$2:J1107,J1107)=1,1,0))</f>
        <v>0</v>
      </c>
      <c r="B1107" s="12" t="e">
        <f>MID(MAIN!A1112,K1107,2)</f>
        <v>#VALUE!</v>
      </c>
      <c r="C1107" s="12" t="e">
        <f t="shared" si="68"/>
        <v>#VALUE!</v>
      </c>
      <c r="D1107" s="12" t="e">
        <f>MID(MAIN!A1112,K1107+2,2)</f>
        <v>#VALUE!</v>
      </c>
      <c r="E1107" s="12" t="e">
        <f>MID(MAIN!A1112,K1107+4,2)</f>
        <v>#VALUE!</v>
      </c>
      <c r="F1107" s="2" t="e">
        <f t="shared" si="69"/>
        <v>#VALUE!</v>
      </c>
      <c r="G1107" s="13" t="e">
        <f t="shared" si="70"/>
        <v>#VALUE!</v>
      </c>
      <c r="J1107" t="str">
        <f>MAIN!A1112&amp;"B"</f>
        <v>B</v>
      </c>
      <c r="K1107" s="12" t="e">
        <f t="shared" si="71"/>
        <v>#VALUE!</v>
      </c>
      <c r="L1107" t="str">
        <f>MAIN!C1112</f>
        <v/>
      </c>
    </row>
    <row r="1108" spans="1:12" x14ac:dyDescent="0.3">
      <c r="A1108">
        <f>IF(J1108="0",0,IF(COUNTIF($J$2:J1108,J1108)=1,1,0))</f>
        <v>0</v>
      </c>
      <c r="B1108" s="12" t="e">
        <f>MID(MAIN!A1113,K1108,2)</f>
        <v>#VALUE!</v>
      </c>
      <c r="C1108" s="12" t="e">
        <f t="shared" si="68"/>
        <v>#VALUE!</v>
      </c>
      <c r="D1108" s="12" t="e">
        <f>MID(MAIN!A1113,K1108+2,2)</f>
        <v>#VALUE!</v>
      </c>
      <c r="E1108" s="12" t="e">
        <f>MID(MAIN!A1113,K1108+4,2)</f>
        <v>#VALUE!</v>
      </c>
      <c r="F1108" s="2" t="e">
        <f t="shared" si="69"/>
        <v>#VALUE!</v>
      </c>
      <c r="G1108" s="13" t="e">
        <f t="shared" si="70"/>
        <v>#VALUE!</v>
      </c>
      <c r="J1108" t="str">
        <f>MAIN!A1113&amp;"B"</f>
        <v>B</v>
      </c>
      <c r="K1108" s="12" t="e">
        <f t="shared" si="71"/>
        <v>#VALUE!</v>
      </c>
      <c r="L1108" t="str">
        <f>MAIN!C1113</f>
        <v/>
      </c>
    </row>
    <row r="1109" spans="1:12" x14ac:dyDescent="0.3">
      <c r="A1109">
        <f>IF(J1109="0",0,IF(COUNTIF($J$2:J1109,J1109)=1,1,0))</f>
        <v>0</v>
      </c>
      <c r="B1109" s="12" t="e">
        <f>MID(MAIN!A1114,K1109,2)</f>
        <v>#VALUE!</v>
      </c>
      <c r="C1109" s="12" t="e">
        <f t="shared" si="68"/>
        <v>#VALUE!</v>
      </c>
      <c r="D1109" s="12" t="e">
        <f>MID(MAIN!A1114,K1109+2,2)</f>
        <v>#VALUE!</v>
      </c>
      <c r="E1109" s="12" t="e">
        <f>MID(MAIN!A1114,K1109+4,2)</f>
        <v>#VALUE!</v>
      </c>
      <c r="F1109" s="2" t="e">
        <f t="shared" si="69"/>
        <v>#VALUE!</v>
      </c>
      <c r="G1109" s="13" t="e">
        <f t="shared" si="70"/>
        <v>#VALUE!</v>
      </c>
      <c r="J1109" t="str">
        <f>MAIN!A1114&amp;"B"</f>
        <v>B</v>
      </c>
      <c r="K1109" s="12" t="e">
        <f t="shared" si="71"/>
        <v>#VALUE!</v>
      </c>
      <c r="L1109" t="str">
        <f>MAIN!C1114</f>
        <v/>
      </c>
    </row>
    <row r="1110" spans="1:12" x14ac:dyDescent="0.3">
      <c r="A1110">
        <f>IF(J1110="0",0,IF(COUNTIF($J$2:J1110,J1110)=1,1,0))</f>
        <v>0</v>
      </c>
      <c r="B1110" s="12" t="e">
        <f>MID(MAIN!A1115,K1110,2)</f>
        <v>#VALUE!</v>
      </c>
      <c r="C1110" s="12" t="e">
        <f t="shared" si="68"/>
        <v>#VALUE!</v>
      </c>
      <c r="D1110" s="12" t="e">
        <f>MID(MAIN!A1115,K1110+2,2)</f>
        <v>#VALUE!</v>
      </c>
      <c r="E1110" s="12" t="e">
        <f>MID(MAIN!A1115,K1110+4,2)</f>
        <v>#VALUE!</v>
      </c>
      <c r="F1110" s="2" t="e">
        <f t="shared" si="69"/>
        <v>#VALUE!</v>
      </c>
      <c r="G1110" s="13" t="e">
        <f t="shared" si="70"/>
        <v>#VALUE!</v>
      </c>
      <c r="J1110" t="str">
        <f>MAIN!A1115&amp;"B"</f>
        <v>B</v>
      </c>
      <c r="K1110" s="12" t="e">
        <f t="shared" si="71"/>
        <v>#VALUE!</v>
      </c>
      <c r="L1110" t="str">
        <f>MAIN!C1115</f>
        <v/>
      </c>
    </row>
    <row r="1111" spans="1:12" x14ac:dyDescent="0.3">
      <c r="A1111">
        <f>IF(J1111="0",0,IF(COUNTIF($J$2:J1111,J1111)=1,1,0))</f>
        <v>0</v>
      </c>
      <c r="B1111" s="12" t="e">
        <f>MID(MAIN!A1116,K1111,2)</f>
        <v>#VALUE!</v>
      </c>
      <c r="C1111" s="12" t="e">
        <f t="shared" si="68"/>
        <v>#VALUE!</v>
      </c>
      <c r="D1111" s="12" t="e">
        <f>MID(MAIN!A1116,K1111+2,2)</f>
        <v>#VALUE!</v>
      </c>
      <c r="E1111" s="12" t="e">
        <f>MID(MAIN!A1116,K1111+4,2)</f>
        <v>#VALUE!</v>
      </c>
      <c r="F1111" s="2" t="e">
        <f t="shared" si="69"/>
        <v>#VALUE!</v>
      </c>
      <c r="G1111" s="13" t="e">
        <f t="shared" si="70"/>
        <v>#VALUE!</v>
      </c>
      <c r="J1111" t="str">
        <f>MAIN!A1116&amp;"B"</f>
        <v>B</v>
      </c>
      <c r="K1111" s="12" t="e">
        <f t="shared" si="71"/>
        <v>#VALUE!</v>
      </c>
      <c r="L1111" t="str">
        <f>MAIN!C1116</f>
        <v/>
      </c>
    </row>
    <row r="1112" spans="1:12" x14ac:dyDescent="0.3">
      <c r="A1112">
        <f>IF(J1112="0",0,IF(COUNTIF($J$2:J1112,J1112)=1,1,0))</f>
        <v>0</v>
      </c>
      <c r="B1112" s="12" t="e">
        <f>MID(MAIN!A1117,K1112,2)</f>
        <v>#VALUE!</v>
      </c>
      <c r="C1112" s="12" t="e">
        <f t="shared" si="68"/>
        <v>#VALUE!</v>
      </c>
      <c r="D1112" s="12" t="e">
        <f>MID(MAIN!A1117,K1112+2,2)</f>
        <v>#VALUE!</v>
      </c>
      <c r="E1112" s="12" t="e">
        <f>MID(MAIN!A1117,K1112+4,2)</f>
        <v>#VALUE!</v>
      </c>
      <c r="F1112" s="2" t="e">
        <f t="shared" si="69"/>
        <v>#VALUE!</v>
      </c>
      <c r="G1112" s="13" t="e">
        <f t="shared" si="70"/>
        <v>#VALUE!</v>
      </c>
      <c r="J1112" t="str">
        <f>MAIN!A1117&amp;"B"</f>
        <v>B</v>
      </c>
      <c r="K1112" s="12" t="e">
        <f t="shared" si="71"/>
        <v>#VALUE!</v>
      </c>
      <c r="L1112" t="str">
        <f>MAIN!C1117</f>
        <v/>
      </c>
    </row>
    <row r="1113" spans="1:12" x14ac:dyDescent="0.3">
      <c r="A1113">
        <f>IF(J1113="0",0,IF(COUNTIF($J$2:J1113,J1113)=1,1,0))</f>
        <v>0</v>
      </c>
      <c r="B1113" s="12" t="e">
        <f>MID(MAIN!A1118,K1113,2)</f>
        <v>#VALUE!</v>
      </c>
      <c r="C1113" s="12" t="e">
        <f t="shared" si="68"/>
        <v>#VALUE!</v>
      </c>
      <c r="D1113" s="12" t="e">
        <f>MID(MAIN!A1118,K1113+2,2)</f>
        <v>#VALUE!</v>
      </c>
      <c r="E1113" s="12" t="e">
        <f>MID(MAIN!A1118,K1113+4,2)</f>
        <v>#VALUE!</v>
      </c>
      <c r="F1113" s="2" t="e">
        <f t="shared" si="69"/>
        <v>#VALUE!</v>
      </c>
      <c r="G1113" s="13" t="e">
        <f t="shared" si="70"/>
        <v>#VALUE!</v>
      </c>
      <c r="J1113" t="str">
        <f>MAIN!A1118&amp;"B"</f>
        <v>B</v>
      </c>
      <c r="K1113" s="12" t="e">
        <f t="shared" si="71"/>
        <v>#VALUE!</v>
      </c>
      <c r="L1113" t="str">
        <f>MAIN!C1118</f>
        <v/>
      </c>
    </row>
    <row r="1114" spans="1:12" x14ac:dyDescent="0.3">
      <c r="A1114">
        <f>IF(J1114="0",0,IF(COUNTIF($J$2:J1114,J1114)=1,1,0))</f>
        <v>0</v>
      </c>
      <c r="B1114" s="12" t="e">
        <f>MID(MAIN!A1119,K1114,2)</f>
        <v>#VALUE!</v>
      </c>
      <c r="C1114" s="12" t="e">
        <f t="shared" si="68"/>
        <v>#VALUE!</v>
      </c>
      <c r="D1114" s="12" t="e">
        <f>MID(MAIN!A1119,K1114+2,2)</f>
        <v>#VALUE!</v>
      </c>
      <c r="E1114" s="12" t="e">
        <f>MID(MAIN!A1119,K1114+4,2)</f>
        <v>#VALUE!</v>
      </c>
      <c r="F1114" s="2" t="e">
        <f t="shared" si="69"/>
        <v>#VALUE!</v>
      </c>
      <c r="G1114" s="13" t="e">
        <f t="shared" si="70"/>
        <v>#VALUE!</v>
      </c>
      <c r="J1114" t="str">
        <f>MAIN!A1119&amp;"B"</f>
        <v>B</v>
      </c>
      <c r="K1114" s="12" t="e">
        <f t="shared" si="71"/>
        <v>#VALUE!</v>
      </c>
      <c r="L1114" t="str">
        <f>MAIN!C1119</f>
        <v/>
      </c>
    </row>
    <row r="1115" spans="1:12" x14ac:dyDescent="0.3">
      <c r="A1115">
        <f>IF(J1115="0",0,IF(COUNTIF($J$2:J1115,J1115)=1,1,0))</f>
        <v>0</v>
      </c>
      <c r="B1115" s="12" t="e">
        <f>MID(MAIN!A1120,K1115,2)</f>
        <v>#VALUE!</v>
      </c>
      <c r="C1115" s="12" t="e">
        <f t="shared" si="68"/>
        <v>#VALUE!</v>
      </c>
      <c r="D1115" s="12" t="e">
        <f>MID(MAIN!A1120,K1115+2,2)</f>
        <v>#VALUE!</v>
      </c>
      <c r="E1115" s="12" t="e">
        <f>MID(MAIN!A1120,K1115+4,2)</f>
        <v>#VALUE!</v>
      </c>
      <c r="F1115" s="2" t="e">
        <f t="shared" si="69"/>
        <v>#VALUE!</v>
      </c>
      <c r="G1115" s="13" t="e">
        <f t="shared" si="70"/>
        <v>#VALUE!</v>
      </c>
      <c r="J1115" t="str">
        <f>MAIN!A1120&amp;"B"</f>
        <v>B</v>
      </c>
      <c r="K1115" s="12" t="e">
        <f t="shared" si="71"/>
        <v>#VALUE!</v>
      </c>
      <c r="L1115" t="str">
        <f>MAIN!C1120</f>
        <v/>
      </c>
    </row>
    <row r="1116" spans="1:12" x14ac:dyDescent="0.3">
      <c r="A1116">
        <f>IF(J1116="0",0,IF(COUNTIF($J$2:J1116,J1116)=1,1,0))</f>
        <v>0</v>
      </c>
      <c r="B1116" s="12" t="e">
        <f>MID(MAIN!A1121,K1116,2)</f>
        <v>#VALUE!</v>
      </c>
      <c r="C1116" s="12" t="e">
        <f t="shared" si="68"/>
        <v>#VALUE!</v>
      </c>
      <c r="D1116" s="12" t="e">
        <f>MID(MAIN!A1121,K1116+2,2)</f>
        <v>#VALUE!</v>
      </c>
      <c r="E1116" s="12" t="e">
        <f>MID(MAIN!A1121,K1116+4,2)</f>
        <v>#VALUE!</v>
      </c>
      <c r="F1116" s="2" t="e">
        <f t="shared" si="69"/>
        <v>#VALUE!</v>
      </c>
      <c r="G1116" s="13" t="e">
        <f t="shared" si="70"/>
        <v>#VALUE!</v>
      </c>
      <c r="J1116" t="str">
        <f>MAIN!A1121&amp;"B"</f>
        <v>B</v>
      </c>
      <c r="K1116" s="12" t="e">
        <f t="shared" si="71"/>
        <v>#VALUE!</v>
      </c>
      <c r="L1116" t="str">
        <f>MAIN!C1121</f>
        <v/>
      </c>
    </row>
    <row r="1117" spans="1:12" x14ac:dyDescent="0.3">
      <c r="A1117">
        <f>IF(J1117="0",0,IF(COUNTIF($J$2:J1117,J1117)=1,1,0))</f>
        <v>0</v>
      </c>
      <c r="B1117" s="12" t="e">
        <f>MID(MAIN!A1122,K1117,2)</f>
        <v>#VALUE!</v>
      </c>
      <c r="C1117" s="12" t="e">
        <f t="shared" si="68"/>
        <v>#VALUE!</v>
      </c>
      <c r="D1117" s="12" t="e">
        <f>MID(MAIN!A1122,K1117+2,2)</f>
        <v>#VALUE!</v>
      </c>
      <c r="E1117" s="12" t="e">
        <f>MID(MAIN!A1122,K1117+4,2)</f>
        <v>#VALUE!</v>
      </c>
      <c r="F1117" s="2" t="e">
        <f t="shared" si="69"/>
        <v>#VALUE!</v>
      </c>
      <c r="G1117" s="13" t="e">
        <f t="shared" si="70"/>
        <v>#VALUE!</v>
      </c>
      <c r="J1117" t="str">
        <f>MAIN!A1122&amp;"B"</f>
        <v>B</v>
      </c>
      <c r="K1117" s="12" t="e">
        <f t="shared" si="71"/>
        <v>#VALUE!</v>
      </c>
      <c r="L1117" t="str">
        <f>MAIN!C1122</f>
        <v/>
      </c>
    </row>
    <row r="1118" spans="1:12" x14ac:dyDescent="0.3">
      <c r="A1118">
        <f>IF(J1118="0",0,IF(COUNTIF($J$2:J1118,J1118)=1,1,0))</f>
        <v>0</v>
      </c>
      <c r="B1118" s="12" t="e">
        <f>MID(MAIN!A1123,K1118,2)</f>
        <v>#VALUE!</v>
      </c>
      <c r="C1118" s="12" t="e">
        <f t="shared" si="68"/>
        <v>#VALUE!</v>
      </c>
      <c r="D1118" s="12" t="e">
        <f>MID(MAIN!A1123,K1118+2,2)</f>
        <v>#VALUE!</v>
      </c>
      <c r="E1118" s="12" t="e">
        <f>MID(MAIN!A1123,K1118+4,2)</f>
        <v>#VALUE!</v>
      </c>
      <c r="F1118" s="2" t="e">
        <f t="shared" si="69"/>
        <v>#VALUE!</v>
      </c>
      <c r="G1118" s="13" t="e">
        <f t="shared" si="70"/>
        <v>#VALUE!</v>
      </c>
      <c r="J1118" t="str">
        <f>MAIN!A1123&amp;"B"</f>
        <v>B</v>
      </c>
      <c r="K1118" s="12" t="e">
        <f t="shared" si="71"/>
        <v>#VALUE!</v>
      </c>
      <c r="L1118" t="str">
        <f>MAIN!C1123</f>
        <v/>
      </c>
    </row>
    <row r="1119" spans="1:12" x14ac:dyDescent="0.3">
      <c r="A1119">
        <f>IF(J1119="0",0,IF(COUNTIF($J$2:J1119,J1119)=1,1,0))</f>
        <v>0</v>
      </c>
      <c r="B1119" s="12" t="e">
        <f>MID(MAIN!A1124,K1119,2)</f>
        <v>#VALUE!</v>
      </c>
      <c r="C1119" s="12" t="e">
        <f t="shared" si="68"/>
        <v>#VALUE!</v>
      </c>
      <c r="D1119" s="12" t="e">
        <f>MID(MAIN!A1124,K1119+2,2)</f>
        <v>#VALUE!</v>
      </c>
      <c r="E1119" s="12" t="e">
        <f>MID(MAIN!A1124,K1119+4,2)</f>
        <v>#VALUE!</v>
      </c>
      <c r="F1119" s="2" t="e">
        <f t="shared" si="69"/>
        <v>#VALUE!</v>
      </c>
      <c r="G1119" s="13" t="e">
        <f t="shared" si="70"/>
        <v>#VALUE!</v>
      </c>
      <c r="J1119" t="str">
        <f>MAIN!A1124&amp;"B"</f>
        <v>B</v>
      </c>
      <c r="K1119" s="12" t="e">
        <f t="shared" si="71"/>
        <v>#VALUE!</v>
      </c>
      <c r="L1119" t="str">
        <f>MAIN!C1124</f>
        <v/>
      </c>
    </row>
    <row r="1120" spans="1:12" x14ac:dyDescent="0.3">
      <c r="A1120">
        <f>IF(J1120="0",0,IF(COUNTIF($J$2:J1120,J1120)=1,1,0))</f>
        <v>0</v>
      </c>
      <c r="B1120" s="12" t="e">
        <f>MID(MAIN!A1125,K1120,2)</f>
        <v>#VALUE!</v>
      </c>
      <c r="C1120" s="12" t="e">
        <f t="shared" si="68"/>
        <v>#VALUE!</v>
      </c>
      <c r="D1120" s="12" t="e">
        <f>MID(MAIN!A1125,K1120+2,2)</f>
        <v>#VALUE!</v>
      </c>
      <c r="E1120" s="12" t="e">
        <f>MID(MAIN!A1125,K1120+4,2)</f>
        <v>#VALUE!</v>
      </c>
      <c r="F1120" s="2" t="e">
        <f t="shared" si="69"/>
        <v>#VALUE!</v>
      </c>
      <c r="G1120" s="13" t="e">
        <f t="shared" si="70"/>
        <v>#VALUE!</v>
      </c>
      <c r="J1120" t="str">
        <f>MAIN!A1125&amp;"B"</f>
        <v>B</v>
      </c>
      <c r="K1120" s="12" t="e">
        <f t="shared" si="71"/>
        <v>#VALUE!</v>
      </c>
      <c r="L1120" t="str">
        <f>MAIN!C1125</f>
        <v/>
      </c>
    </row>
    <row r="1121" spans="1:12" x14ac:dyDescent="0.3">
      <c r="A1121">
        <f>IF(J1121="0",0,IF(COUNTIF($J$2:J1121,J1121)=1,1,0))</f>
        <v>0</v>
      </c>
      <c r="B1121" s="12" t="e">
        <f>MID(MAIN!A1126,K1121,2)</f>
        <v>#VALUE!</v>
      </c>
      <c r="C1121" s="12" t="e">
        <f t="shared" si="68"/>
        <v>#VALUE!</v>
      </c>
      <c r="D1121" s="12" t="e">
        <f>MID(MAIN!A1126,K1121+2,2)</f>
        <v>#VALUE!</v>
      </c>
      <c r="E1121" s="12" t="e">
        <f>MID(MAIN!A1126,K1121+4,2)</f>
        <v>#VALUE!</v>
      </c>
      <c r="F1121" s="2" t="e">
        <f t="shared" si="69"/>
        <v>#VALUE!</v>
      </c>
      <c r="G1121" s="13" t="e">
        <f t="shared" si="70"/>
        <v>#VALUE!</v>
      </c>
      <c r="J1121" t="str">
        <f>MAIN!A1126&amp;"B"</f>
        <v>B</v>
      </c>
      <c r="K1121" s="12" t="e">
        <f t="shared" si="71"/>
        <v>#VALUE!</v>
      </c>
      <c r="L1121" t="str">
        <f>MAIN!C1126</f>
        <v/>
      </c>
    </row>
    <row r="1122" spans="1:12" x14ac:dyDescent="0.3">
      <c r="A1122">
        <f>IF(J1122="0",0,IF(COUNTIF($J$2:J1122,J1122)=1,1,0))</f>
        <v>0</v>
      </c>
      <c r="B1122" s="12" t="e">
        <f>MID(MAIN!A1127,K1122,2)</f>
        <v>#VALUE!</v>
      </c>
      <c r="C1122" s="12" t="e">
        <f t="shared" si="68"/>
        <v>#VALUE!</v>
      </c>
      <c r="D1122" s="12" t="e">
        <f>MID(MAIN!A1127,K1122+2,2)</f>
        <v>#VALUE!</v>
      </c>
      <c r="E1122" s="12" t="e">
        <f>MID(MAIN!A1127,K1122+4,2)</f>
        <v>#VALUE!</v>
      </c>
      <c r="F1122" s="2" t="e">
        <f t="shared" si="69"/>
        <v>#VALUE!</v>
      </c>
      <c r="G1122" s="13" t="e">
        <f t="shared" si="70"/>
        <v>#VALUE!</v>
      </c>
      <c r="J1122" t="str">
        <f>MAIN!A1127&amp;"B"</f>
        <v>B</v>
      </c>
      <c r="K1122" s="12" t="e">
        <f t="shared" si="71"/>
        <v>#VALUE!</v>
      </c>
      <c r="L1122" t="str">
        <f>MAIN!C1127</f>
        <v/>
      </c>
    </row>
    <row r="1123" spans="1:12" x14ac:dyDescent="0.3">
      <c r="A1123">
        <f>IF(J1123="0",0,IF(COUNTIF($J$2:J1123,J1123)=1,1,0))</f>
        <v>0</v>
      </c>
      <c r="B1123" s="12" t="e">
        <f>MID(MAIN!A1128,K1123,2)</f>
        <v>#VALUE!</v>
      </c>
      <c r="C1123" s="12" t="e">
        <f t="shared" si="68"/>
        <v>#VALUE!</v>
      </c>
      <c r="D1123" s="12" t="e">
        <f>MID(MAIN!A1128,K1123+2,2)</f>
        <v>#VALUE!</v>
      </c>
      <c r="E1123" s="12" t="e">
        <f>MID(MAIN!A1128,K1123+4,2)</f>
        <v>#VALUE!</v>
      </c>
      <c r="F1123" s="2" t="e">
        <f t="shared" si="69"/>
        <v>#VALUE!</v>
      </c>
      <c r="G1123" s="13" t="e">
        <f t="shared" si="70"/>
        <v>#VALUE!</v>
      </c>
      <c r="J1123" t="str">
        <f>MAIN!A1128&amp;"B"</f>
        <v>B</v>
      </c>
      <c r="K1123" s="12" t="e">
        <f t="shared" si="71"/>
        <v>#VALUE!</v>
      </c>
      <c r="L1123" t="str">
        <f>MAIN!C1128</f>
        <v/>
      </c>
    </row>
    <row r="1124" spans="1:12" x14ac:dyDescent="0.3">
      <c r="A1124">
        <f>IF(J1124="0",0,IF(COUNTIF($J$2:J1124,J1124)=1,1,0))</f>
        <v>0</v>
      </c>
      <c r="B1124" s="12" t="e">
        <f>MID(MAIN!A1129,K1124,2)</f>
        <v>#VALUE!</v>
      </c>
      <c r="C1124" s="12" t="e">
        <f t="shared" si="68"/>
        <v>#VALUE!</v>
      </c>
      <c r="D1124" s="12" t="e">
        <f>MID(MAIN!A1129,K1124+2,2)</f>
        <v>#VALUE!</v>
      </c>
      <c r="E1124" s="12" t="e">
        <f>MID(MAIN!A1129,K1124+4,2)</f>
        <v>#VALUE!</v>
      </c>
      <c r="F1124" s="2" t="e">
        <f t="shared" si="69"/>
        <v>#VALUE!</v>
      </c>
      <c r="G1124" s="13" t="e">
        <f t="shared" si="70"/>
        <v>#VALUE!</v>
      </c>
      <c r="J1124" t="str">
        <f>MAIN!A1129&amp;"B"</f>
        <v>B</v>
      </c>
      <c r="K1124" s="12" t="e">
        <f t="shared" si="71"/>
        <v>#VALUE!</v>
      </c>
      <c r="L1124" t="str">
        <f>MAIN!C1129</f>
        <v/>
      </c>
    </row>
    <row r="1125" spans="1:12" x14ac:dyDescent="0.3">
      <c r="A1125">
        <f>IF(J1125="0",0,IF(COUNTIF($J$2:J1125,J1125)=1,1,0))</f>
        <v>0</v>
      </c>
      <c r="B1125" s="12" t="e">
        <f>MID(MAIN!A1130,K1125,2)</f>
        <v>#VALUE!</v>
      </c>
      <c r="C1125" s="12" t="e">
        <f t="shared" si="68"/>
        <v>#VALUE!</v>
      </c>
      <c r="D1125" s="12" t="e">
        <f>MID(MAIN!A1130,K1125+2,2)</f>
        <v>#VALUE!</v>
      </c>
      <c r="E1125" s="12" t="e">
        <f>MID(MAIN!A1130,K1125+4,2)</f>
        <v>#VALUE!</v>
      </c>
      <c r="F1125" s="2" t="e">
        <f t="shared" si="69"/>
        <v>#VALUE!</v>
      </c>
      <c r="G1125" s="13" t="e">
        <f t="shared" si="70"/>
        <v>#VALUE!</v>
      </c>
      <c r="J1125" t="str">
        <f>MAIN!A1130&amp;"B"</f>
        <v>B</v>
      </c>
      <c r="K1125" s="12" t="e">
        <f t="shared" si="71"/>
        <v>#VALUE!</v>
      </c>
      <c r="L1125" t="str">
        <f>MAIN!C1130</f>
        <v/>
      </c>
    </row>
    <row r="1126" spans="1:12" x14ac:dyDescent="0.3">
      <c r="A1126">
        <f>IF(J1126="0",0,IF(COUNTIF($J$2:J1126,J1126)=1,1,0))</f>
        <v>0</v>
      </c>
      <c r="B1126" s="12" t="e">
        <f>MID(MAIN!A1131,K1126,2)</f>
        <v>#VALUE!</v>
      </c>
      <c r="C1126" s="12" t="e">
        <f t="shared" si="68"/>
        <v>#VALUE!</v>
      </c>
      <c r="D1126" s="12" t="e">
        <f>MID(MAIN!A1131,K1126+2,2)</f>
        <v>#VALUE!</v>
      </c>
      <c r="E1126" s="12" t="e">
        <f>MID(MAIN!A1131,K1126+4,2)</f>
        <v>#VALUE!</v>
      </c>
      <c r="F1126" s="2" t="e">
        <f t="shared" si="69"/>
        <v>#VALUE!</v>
      </c>
      <c r="G1126" s="13" t="e">
        <f t="shared" si="70"/>
        <v>#VALUE!</v>
      </c>
      <c r="J1126" t="str">
        <f>MAIN!A1131&amp;"B"</f>
        <v>B</v>
      </c>
      <c r="K1126" s="12" t="e">
        <f t="shared" si="71"/>
        <v>#VALUE!</v>
      </c>
      <c r="L1126" t="str">
        <f>MAIN!C1131</f>
        <v/>
      </c>
    </row>
    <row r="1127" spans="1:12" x14ac:dyDescent="0.3">
      <c r="A1127">
        <f>IF(J1127="0",0,IF(COUNTIF($J$2:J1127,J1127)=1,1,0))</f>
        <v>0</v>
      </c>
      <c r="B1127" s="12" t="e">
        <f>MID(MAIN!A1132,K1127,2)</f>
        <v>#VALUE!</v>
      </c>
      <c r="C1127" s="12" t="e">
        <f t="shared" si="68"/>
        <v>#VALUE!</v>
      </c>
      <c r="D1127" s="12" t="e">
        <f>MID(MAIN!A1132,K1127+2,2)</f>
        <v>#VALUE!</v>
      </c>
      <c r="E1127" s="12" t="e">
        <f>MID(MAIN!A1132,K1127+4,2)</f>
        <v>#VALUE!</v>
      </c>
      <c r="F1127" s="2" t="e">
        <f t="shared" si="69"/>
        <v>#VALUE!</v>
      </c>
      <c r="G1127" s="13" t="e">
        <f t="shared" si="70"/>
        <v>#VALUE!</v>
      </c>
      <c r="J1127" t="str">
        <f>MAIN!A1132&amp;"B"</f>
        <v>B</v>
      </c>
      <c r="K1127" s="12" t="e">
        <f t="shared" si="71"/>
        <v>#VALUE!</v>
      </c>
      <c r="L1127" t="str">
        <f>MAIN!C1132</f>
        <v/>
      </c>
    </row>
    <row r="1128" spans="1:12" x14ac:dyDescent="0.3">
      <c r="A1128">
        <f>IF(J1128="0",0,IF(COUNTIF($J$2:J1128,J1128)=1,1,0))</f>
        <v>0</v>
      </c>
      <c r="B1128" s="12" t="e">
        <f>MID(MAIN!A1133,K1128,2)</f>
        <v>#VALUE!</v>
      </c>
      <c r="C1128" s="12" t="e">
        <f t="shared" si="68"/>
        <v>#VALUE!</v>
      </c>
      <c r="D1128" s="12" t="e">
        <f>MID(MAIN!A1133,K1128+2,2)</f>
        <v>#VALUE!</v>
      </c>
      <c r="E1128" s="12" t="e">
        <f>MID(MAIN!A1133,K1128+4,2)</f>
        <v>#VALUE!</v>
      </c>
      <c r="F1128" s="2" t="e">
        <f t="shared" si="69"/>
        <v>#VALUE!</v>
      </c>
      <c r="G1128" s="13" t="e">
        <f t="shared" si="70"/>
        <v>#VALUE!</v>
      </c>
      <c r="J1128" t="str">
        <f>MAIN!A1133&amp;"B"</f>
        <v>B</v>
      </c>
      <c r="K1128" s="12" t="e">
        <f t="shared" si="71"/>
        <v>#VALUE!</v>
      </c>
      <c r="L1128" t="str">
        <f>MAIN!C1133</f>
        <v/>
      </c>
    </row>
    <row r="1129" spans="1:12" x14ac:dyDescent="0.3">
      <c r="A1129">
        <f>IF(J1129="0",0,IF(COUNTIF($J$2:J1129,J1129)=1,1,0))</f>
        <v>0</v>
      </c>
      <c r="B1129" s="12" t="e">
        <f>MID(MAIN!A1134,K1129,2)</f>
        <v>#VALUE!</v>
      </c>
      <c r="C1129" s="12" t="e">
        <f t="shared" si="68"/>
        <v>#VALUE!</v>
      </c>
      <c r="D1129" s="12" t="e">
        <f>MID(MAIN!A1134,K1129+2,2)</f>
        <v>#VALUE!</v>
      </c>
      <c r="E1129" s="12" t="e">
        <f>MID(MAIN!A1134,K1129+4,2)</f>
        <v>#VALUE!</v>
      </c>
      <c r="F1129" s="2" t="e">
        <f t="shared" si="69"/>
        <v>#VALUE!</v>
      </c>
      <c r="G1129" s="13" t="e">
        <f t="shared" si="70"/>
        <v>#VALUE!</v>
      </c>
      <c r="J1129" t="str">
        <f>MAIN!A1134&amp;"B"</f>
        <v>B</v>
      </c>
      <c r="K1129" s="12" t="e">
        <f t="shared" si="71"/>
        <v>#VALUE!</v>
      </c>
      <c r="L1129" t="str">
        <f>MAIN!C1134</f>
        <v/>
      </c>
    </row>
    <row r="1130" spans="1:12" x14ac:dyDescent="0.3">
      <c r="A1130">
        <f>IF(J1130="0",0,IF(COUNTIF($J$2:J1130,J1130)=1,1,0))</f>
        <v>0</v>
      </c>
      <c r="B1130" s="12" t="e">
        <f>MID(MAIN!A1135,K1130,2)</f>
        <v>#VALUE!</v>
      </c>
      <c r="C1130" s="12" t="e">
        <f t="shared" si="68"/>
        <v>#VALUE!</v>
      </c>
      <c r="D1130" s="12" t="e">
        <f>MID(MAIN!A1135,K1130+2,2)</f>
        <v>#VALUE!</v>
      </c>
      <c r="E1130" s="12" t="e">
        <f>MID(MAIN!A1135,K1130+4,2)</f>
        <v>#VALUE!</v>
      </c>
      <c r="F1130" s="2" t="e">
        <f t="shared" si="69"/>
        <v>#VALUE!</v>
      </c>
      <c r="G1130" s="13" t="e">
        <f t="shared" si="70"/>
        <v>#VALUE!</v>
      </c>
      <c r="J1130" t="str">
        <f>MAIN!A1135&amp;"B"</f>
        <v>B</v>
      </c>
      <c r="K1130" s="12" t="e">
        <f t="shared" si="71"/>
        <v>#VALUE!</v>
      </c>
      <c r="L1130" t="str">
        <f>MAIN!C1135</f>
        <v/>
      </c>
    </row>
    <row r="1131" spans="1:12" x14ac:dyDescent="0.3">
      <c r="A1131">
        <f>IF(J1131="0",0,IF(COUNTIF($J$2:J1131,J1131)=1,1,0))</f>
        <v>0</v>
      </c>
      <c r="B1131" s="12" t="e">
        <f>MID(MAIN!A1136,K1131,2)</f>
        <v>#VALUE!</v>
      </c>
      <c r="C1131" s="12" t="e">
        <f t="shared" si="68"/>
        <v>#VALUE!</v>
      </c>
      <c r="D1131" s="12" t="e">
        <f>MID(MAIN!A1136,K1131+2,2)</f>
        <v>#VALUE!</v>
      </c>
      <c r="E1131" s="12" t="e">
        <f>MID(MAIN!A1136,K1131+4,2)</f>
        <v>#VALUE!</v>
      </c>
      <c r="F1131" s="2" t="e">
        <f t="shared" si="69"/>
        <v>#VALUE!</v>
      </c>
      <c r="G1131" s="13" t="e">
        <f t="shared" si="70"/>
        <v>#VALUE!</v>
      </c>
      <c r="J1131" t="str">
        <f>MAIN!A1136&amp;"B"</f>
        <v>B</v>
      </c>
      <c r="K1131" s="12" t="e">
        <f t="shared" si="71"/>
        <v>#VALUE!</v>
      </c>
      <c r="L1131" t="str">
        <f>MAIN!C1136</f>
        <v/>
      </c>
    </row>
    <row r="1132" spans="1:12" x14ac:dyDescent="0.3">
      <c r="A1132">
        <f>IF(J1132="0",0,IF(COUNTIF($J$2:J1132,J1132)=1,1,0))</f>
        <v>0</v>
      </c>
      <c r="B1132" s="12" t="e">
        <f>MID(MAIN!A1137,K1132,2)</f>
        <v>#VALUE!</v>
      </c>
      <c r="C1132" s="12" t="e">
        <f t="shared" si="68"/>
        <v>#VALUE!</v>
      </c>
      <c r="D1132" s="12" t="e">
        <f>MID(MAIN!A1137,K1132+2,2)</f>
        <v>#VALUE!</v>
      </c>
      <c r="E1132" s="12" t="e">
        <f>MID(MAIN!A1137,K1132+4,2)</f>
        <v>#VALUE!</v>
      </c>
      <c r="F1132" s="2" t="e">
        <f t="shared" si="69"/>
        <v>#VALUE!</v>
      </c>
      <c r="G1132" s="13" t="e">
        <f t="shared" si="70"/>
        <v>#VALUE!</v>
      </c>
      <c r="J1132" t="str">
        <f>MAIN!A1137&amp;"B"</f>
        <v>B</v>
      </c>
      <c r="K1132" s="12" t="e">
        <f t="shared" si="71"/>
        <v>#VALUE!</v>
      </c>
      <c r="L1132" t="str">
        <f>MAIN!C1137</f>
        <v/>
      </c>
    </row>
    <row r="1133" spans="1:12" x14ac:dyDescent="0.3">
      <c r="A1133">
        <f>IF(J1133="0",0,IF(COUNTIF($J$2:J1133,J1133)=1,1,0))</f>
        <v>0</v>
      </c>
      <c r="B1133" s="12" t="e">
        <f>MID(MAIN!A1138,K1133,2)</f>
        <v>#VALUE!</v>
      </c>
      <c r="C1133" s="12" t="e">
        <f t="shared" si="68"/>
        <v>#VALUE!</v>
      </c>
      <c r="D1133" s="12" t="e">
        <f>MID(MAIN!A1138,K1133+2,2)</f>
        <v>#VALUE!</v>
      </c>
      <c r="E1133" s="12" t="e">
        <f>MID(MAIN!A1138,K1133+4,2)</f>
        <v>#VALUE!</v>
      </c>
      <c r="F1133" s="2" t="e">
        <f t="shared" si="69"/>
        <v>#VALUE!</v>
      </c>
      <c r="G1133" s="13" t="e">
        <f t="shared" si="70"/>
        <v>#VALUE!</v>
      </c>
      <c r="J1133" t="str">
        <f>MAIN!A1138&amp;"B"</f>
        <v>B</v>
      </c>
      <c r="K1133" s="12" t="e">
        <f t="shared" si="71"/>
        <v>#VALUE!</v>
      </c>
      <c r="L1133" t="str">
        <f>MAIN!C1138</f>
        <v/>
      </c>
    </row>
    <row r="1134" spans="1:12" x14ac:dyDescent="0.3">
      <c r="A1134">
        <f>IF(J1134="0",0,IF(COUNTIF($J$2:J1134,J1134)=1,1,0))</f>
        <v>0</v>
      </c>
      <c r="B1134" s="12" t="e">
        <f>MID(MAIN!A1139,K1134,2)</f>
        <v>#VALUE!</v>
      </c>
      <c r="C1134" s="12" t="e">
        <f t="shared" si="68"/>
        <v>#VALUE!</v>
      </c>
      <c r="D1134" s="12" t="e">
        <f>MID(MAIN!A1139,K1134+2,2)</f>
        <v>#VALUE!</v>
      </c>
      <c r="E1134" s="12" t="e">
        <f>MID(MAIN!A1139,K1134+4,2)</f>
        <v>#VALUE!</v>
      </c>
      <c r="F1134" s="2" t="e">
        <f t="shared" si="69"/>
        <v>#VALUE!</v>
      </c>
      <c r="G1134" s="13" t="e">
        <f t="shared" si="70"/>
        <v>#VALUE!</v>
      </c>
      <c r="J1134" t="str">
        <f>MAIN!A1139&amp;"B"</f>
        <v>B</v>
      </c>
      <c r="K1134" s="12" t="e">
        <f t="shared" si="71"/>
        <v>#VALUE!</v>
      </c>
      <c r="L1134" t="str">
        <f>MAIN!C1139</f>
        <v/>
      </c>
    </row>
    <row r="1135" spans="1:12" x14ac:dyDescent="0.3">
      <c r="A1135">
        <f>IF(J1135="0",0,IF(COUNTIF($J$2:J1135,J1135)=1,1,0))</f>
        <v>0</v>
      </c>
      <c r="B1135" s="12" t="e">
        <f>MID(MAIN!A1140,K1135,2)</f>
        <v>#VALUE!</v>
      </c>
      <c r="C1135" s="12" t="e">
        <f t="shared" si="68"/>
        <v>#VALUE!</v>
      </c>
      <c r="D1135" s="12" t="e">
        <f>MID(MAIN!A1140,K1135+2,2)</f>
        <v>#VALUE!</v>
      </c>
      <c r="E1135" s="12" t="e">
        <f>MID(MAIN!A1140,K1135+4,2)</f>
        <v>#VALUE!</v>
      </c>
      <c r="F1135" s="2" t="e">
        <f t="shared" si="69"/>
        <v>#VALUE!</v>
      </c>
      <c r="G1135" s="13" t="e">
        <f t="shared" si="70"/>
        <v>#VALUE!</v>
      </c>
      <c r="J1135" t="str">
        <f>MAIN!A1140&amp;"B"</f>
        <v>B</v>
      </c>
      <c r="K1135" s="12" t="e">
        <f t="shared" si="71"/>
        <v>#VALUE!</v>
      </c>
      <c r="L1135" t="str">
        <f>MAIN!C1140</f>
        <v/>
      </c>
    </row>
    <row r="1136" spans="1:12" x14ac:dyDescent="0.3">
      <c r="A1136">
        <f>IF(J1136="0",0,IF(COUNTIF($J$2:J1136,J1136)=1,1,0))</f>
        <v>0</v>
      </c>
      <c r="B1136" s="12" t="e">
        <f>MID(MAIN!A1141,K1136,2)</f>
        <v>#VALUE!</v>
      </c>
      <c r="C1136" s="12" t="e">
        <f t="shared" si="68"/>
        <v>#VALUE!</v>
      </c>
      <c r="D1136" s="12" t="e">
        <f>MID(MAIN!A1141,K1136+2,2)</f>
        <v>#VALUE!</v>
      </c>
      <c r="E1136" s="12" t="e">
        <f>MID(MAIN!A1141,K1136+4,2)</f>
        <v>#VALUE!</v>
      </c>
      <c r="F1136" s="2" t="e">
        <f t="shared" si="69"/>
        <v>#VALUE!</v>
      </c>
      <c r="G1136" s="13" t="e">
        <f t="shared" si="70"/>
        <v>#VALUE!</v>
      </c>
      <c r="J1136" t="str">
        <f>MAIN!A1141&amp;"B"</f>
        <v>B</v>
      </c>
      <c r="K1136" s="12" t="e">
        <f t="shared" si="71"/>
        <v>#VALUE!</v>
      </c>
      <c r="L1136" t="str">
        <f>MAIN!C1141</f>
        <v/>
      </c>
    </row>
    <row r="1137" spans="1:12" x14ac:dyDescent="0.3">
      <c r="A1137">
        <f>IF(J1137="0",0,IF(COUNTIF($J$2:J1137,J1137)=1,1,0))</f>
        <v>0</v>
      </c>
      <c r="B1137" s="12" t="e">
        <f>MID(MAIN!A1142,K1137,2)</f>
        <v>#VALUE!</v>
      </c>
      <c r="C1137" s="12" t="e">
        <f t="shared" si="68"/>
        <v>#VALUE!</v>
      </c>
      <c r="D1137" s="12" t="e">
        <f>MID(MAIN!A1142,K1137+2,2)</f>
        <v>#VALUE!</v>
      </c>
      <c r="E1137" s="12" t="e">
        <f>MID(MAIN!A1142,K1137+4,2)</f>
        <v>#VALUE!</v>
      </c>
      <c r="F1137" s="2" t="e">
        <f t="shared" si="69"/>
        <v>#VALUE!</v>
      </c>
      <c r="G1137" s="13" t="e">
        <f t="shared" si="70"/>
        <v>#VALUE!</v>
      </c>
      <c r="J1137" t="str">
        <f>MAIN!A1142&amp;"B"</f>
        <v>B</v>
      </c>
      <c r="K1137" s="12" t="e">
        <f t="shared" si="71"/>
        <v>#VALUE!</v>
      </c>
      <c r="L1137" t="str">
        <f>MAIN!C1142</f>
        <v/>
      </c>
    </row>
    <row r="1138" spans="1:12" x14ac:dyDescent="0.3">
      <c r="A1138">
        <f>IF(J1138="0",0,IF(COUNTIF($J$2:J1138,J1138)=1,1,0))</f>
        <v>0</v>
      </c>
      <c r="B1138" s="12" t="e">
        <f>MID(MAIN!A1143,K1138,2)</f>
        <v>#VALUE!</v>
      </c>
      <c r="C1138" s="12" t="e">
        <f t="shared" si="68"/>
        <v>#VALUE!</v>
      </c>
      <c r="D1138" s="12" t="e">
        <f>MID(MAIN!A1143,K1138+2,2)</f>
        <v>#VALUE!</v>
      </c>
      <c r="E1138" s="12" t="e">
        <f>MID(MAIN!A1143,K1138+4,2)</f>
        <v>#VALUE!</v>
      </c>
      <c r="F1138" s="2" t="e">
        <f t="shared" si="69"/>
        <v>#VALUE!</v>
      </c>
      <c r="G1138" s="13" t="e">
        <f t="shared" si="70"/>
        <v>#VALUE!</v>
      </c>
      <c r="J1138" t="str">
        <f>MAIN!A1143&amp;"B"</f>
        <v>B</v>
      </c>
      <c r="K1138" s="12" t="e">
        <f t="shared" si="71"/>
        <v>#VALUE!</v>
      </c>
      <c r="L1138" t="str">
        <f>MAIN!C1143</f>
        <v/>
      </c>
    </row>
    <row r="1139" spans="1:12" x14ac:dyDescent="0.3">
      <c r="A1139">
        <f>IF(J1139="0",0,IF(COUNTIF($J$2:J1139,J1139)=1,1,0))</f>
        <v>0</v>
      </c>
      <c r="B1139" s="12" t="e">
        <f>MID(MAIN!A1144,K1139,2)</f>
        <v>#VALUE!</v>
      </c>
      <c r="C1139" s="12" t="e">
        <f t="shared" si="68"/>
        <v>#VALUE!</v>
      </c>
      <c r="D1139" s="12" t="e">
        <f>MID(MAIN!A1144,K1139+2,2)</f>
        <v>#VALUE!</v>
      </c>
      <c r="E1139" s="12" t="e">
        <f>MID(MAIN!A1144,K1139+4,2)</f>
        <v>#VALUE!</v>
      </c>
      <c r="F1139" s="2" t="e">
        <f t="shared" si="69"/>
        <v>#VALUE!</v>
      </c>
      <c r="G1139" s="13" t="e">
        <f t="shared" si="70"/>
        <v>#VALUE!</v>
      </c>
      <c r="J1139" t="str">
        <f>MAIN!A1144&amp;"B"</f>
        <v>B</v>
      </c>
      <c r="K1139" s="12" t="e">
        <f t="shared" si="71"/>
        <v>#VALUE!</v>
      </c>
      <c r="L1139" t="str">
        <f>MAIN!C1144</f>
        <v/>
      </c>
    </row>
    <row r="1140" spans="1:12" x14ac:dyDescent="0.3">
      <c r="A1140">
        <f>IF(J1140="0",0,IF(COUNTIF($J$2:J1140,J1140)=1,1,0))</f>
        <v>0</v>
      </c>
      <c r="B1140" s="12" t="e">
        <f>MID(MAIN!A1145,K1140,2)</f>
        <v>#VALUE!</v>
      </c>
      <c r="C1140" s="12" t="e">
        <f t="shared" si="68"/>
        <v>#VALUE!</v>
      </c>
      <c r="D1140" s="12" t="e">
        <f>MID(MAIN!A1145,K1140+2,2)</f>
        <v>#VALUE!</v>
      </c>
      <c r="E1140" s="12" t="e">
        <f>MID(MAIN!A1145,K1140+4,2)</f>
        <v>#VALUE!</v>
      </c>
      <c r="F1140" s="2" t="e">
        <f t="shared" si="69"/>
        <v>#VALUE!</v>
      </c>
      <c r="G1140" s="13" t="e">
        <f t="shared" si="70"/>
        <v>#VALUE!</v>
      </c>
      <c r="J1140" t="str">
        <f>MAIN!A1145&amp;"B"</f>
        <v>B</v>
      </c>
      <c r="K1140" s="12" t="e">
        <f t="shared" si="71"/>
        <v>#VALUE!</v>
      </c>
      <c r="L1140" t="str">
        <f>MAIN!C1145</f>
        <v/>
      </c>
    </row>
    <row r="1141" spans="1:12" x14ac:dyDescent="0.3">
      <c r="A1141">
        <f>IF(J1141="0",0,IF(COUNTIF($J$2:J1141,J1141)=1,1,0))</f>
        <v>0</v>
      </c>
      <c r="B1141" s="12" t="e">
        <f>MID(MAIN!A1146,K1141,2)</f>
        <v>#VALUE!</v>
      </c>
      <c r="C1141" s="12" t="e">
        <f t="shared" si="68"/>
        <v>#VALUE!</v>
      </c>
      <c r="D1141" s="12" t="e">
        <f>MID(MAIN!A1146,K1141+2,2)</f>
        <v>#VALUE!</v>
      </c>
      <c r="E1141" s="12" t="e">
        <f>MID(MAIN!A1146,K1141+4,2)</f>
        <v>#VALUE!</v>
      </c>
      <c r="F1141" s="2" t="e">
        <f t="shared" si="69"/>
        <v>#VALUE!</v>
      </c>
      <c r="G1141" s="13" t="e">
        <f t="shared" si="70"/>
        <v>#VALUE!</v>
      </c>
      <c r="J1141" t="str">
        <f>MAIN!A1146&amp;"B"</f>
        <v>B</v>
      </c>
      <c r="K1141" s="12" t="e">
        <f t="shared" si="71"/>
        <v>#VALUE!</v>
      </c>
      <c r="L1141" t="str">
        <f>MAIN!C1146</f>
        <v/>
      </c>
    </row>
    <row r="1142" spans="1:12" x14ac:dyDescent="0.3">
      <c r="A1142">
        <f>IF(J1142="0",0,IF(COUNTIF($J$2:J1142,J1142)=1,1,0))</f>
        <v>0</v>
      </c>
      <c r="B1142" s="12" t="e">
        <f>MID(MAIN!A1147,K1142,2)</f>
        <v>#VALUE!</v>
      </c>
      <c r="C1142" s="12" t="e">
        <f t="shared" si="68"/>
        <v>#VALUE!</v>
      </c>
      <c r="D1142" s="12" t="e">
        <f>MID(MAIN!A1147,K1142+2,2)</f>
        <v>#VALUE!</v>
      </c>
      <c r="E1142" s="12" t="e">
        <f>MID(MAIN!A1147,K1142+4,2)</f>
        <v>#VALUE!</v>
      </c>
      <c r="F1142" s="2" t="e">
        <f t="shared" si="69"/>
        <v>#VALUE!</v>
      </c>
      <c r="G1142" s="13" t="e">
        <f t="shared" si="70"/>
        <v>#VALUE!</v>
      </c>
      <c r="J1142" t="str">
        <f>MAIN!A1147&amp;"B"</f>
        <v>B</v>
      </c>
      <c r="K1142" s="12" t="e">
        <f t="shared" si="71"/>
        <v>#VALUE!</v>
      </c>
      <c r="L1142" t="str">
        <f>MAIN!C1147</f>
        <v/>
      </c>
    </row>
    <row r="1143" spans="1:12" x14ac:dyDescent="0.3">
      <c r="A1143">
        <f>IF(J1143="0",0,IF(COUNTIF($J$2:J1143,J1143)=1,1,0))</f>
        <v>0</v>
      </c>
      <c r="B1143" s="12" t="e">
        <f>MID(MAIN!A1148,K1143,2)</f>
        <v>#VALUE!</v>
      </c>
      <c r="C1143" s="12" t="e">
        <f t="shared" si="68"/>
        <v>#VALUE!</v>
      </c>
      <c r="D1143" s="12" t="e">
        <f>MID(MAIN!A1148,K1143+2,2)</f>
        <v>#VALUE!</v>
      </c>
      <c r="E1143" s="12" t="e">
        <f>MID(MAIN!A1148,K1143+4,2)</f>
        <v>#VALUE!</v>
      </c>
      <c r="F1143" s="2" t="e">
        <f t="shared" si="69"/>
        <v>#VALUE!</v>
      </c>
      <c r="G1143" s="13" t="e">
        <f t="shared" si="70"/>
        <v>#VALUE!</v>
      </c>
      <c r="J1143" t="str">
        <f>MAIN!A1148&amp;"B"</f>
        <v>B</v>
      </c>
      <c r="K1143" s="12" t="e">
        <f t="shared" si="71"/>
        <v>#VALUE!</v>
      </c>
      <c r="L1143" t="str">
        <f>MAIN!C1148</f>
        <v/>
      </c>
    </row>
    <row r="1144" spans="1:12" x14ac:dyDescent="0.3">
      <c r="A1144">
        <f>IF(J1144="0",0,IF(COUNTIF($J$2:J1144,J1144)=1,1,0))</f>
        <v>0</v>
      </c>
      <c r="B1144" s="12" t="e">
        <f>MID(MAIN!A1149,K1144,2)</f>
        <v>#VALUE!</v>
      </c>
      <c r="C1144" s="12" t="e">
        <f t="shared" si="68"/>
        <v>#VALUE!</v>
      </c>
      <c r="D1144" s="12" t="e">
        <f>MID(MAIN!A1149,K1144+2,2)</f>
        <v>#VALUE!</v>
      </c>
      <c r="E1144" s="12" t="e">
        <f>MID(MAIN!A1149,K1144+4,2)</f>
        <v>#VALUE!</v>
      </c>
      <c r="F1144" s="2" t="e">
        <f t="shared" si="69"/>
        <v>#VALUE!</v>
      </c>
      <c r="G1144" s="13" t="e">
        <f t="shared" si="70"/>
        <v>#VALUE!</v>
      </c>
      <c r="J1144" t="str">
        <f>MAIN!A1149&amp;"B"</f>
        <v>B</v>
      </c>
      <c r="K1144" s="12" t="e">
        <f t="shared" si="71"/>
        <v>#VALUE!</v>
      </c>
      <c r="L1144" t="str">
        <f>MAIN!C1149</f>
        <v/>
      </c>
    </row>
    <row r="1145" spans="1:12" x14ac:dyDescent="0.3">
      <c r="A1145">
        <f>IF(J1145="0",0,IF(COUNTIF($J$2:J1145,J1145)=1,1,0))</f>
        <v>0</v>
      </c>
      <c r="B1145" s="12" t="e">
        <f>MID(MAIN!A1150,K1145,2)</f>
        <v>#VALUE!</v>
      </c>
      <c r="C1145" s="12" t="e">
        <f t="shared" si="68"/>
        <v>#VALUE!</v>
      </c>
      <c r="D1145" s="12" t="e">
        <f>MID(MAIN!A1150,K1145+2,2)</f>
        <v>#VALUE!</v>
      </c>
      <c r="E1145" s="12" t="e">
        <f>MID(MAIN!A1150,K1145+4,2)</f>
        <v>#VALUE!</v>
      </c>
      <c r="F1145" s="2" t="e">
        <f t="shared" si="69"/>
        <v>#VALUE!</v>
      </c>
      <c r="G1145" s="13" t="e">
        <f t="shared" si="70"/>
        <v>#VALUE!</v>
      </c>
      <c r="J1145" t="str">
        <f>MAIN!A1150&amp;"B"</f>
        <v>B</v>
      </c>
      <c r="K1145" s="12" t="e">
        <f t="shared" si="71"/>
        <v>#VALUE!</v>
      </c>
      <c r="L1145" t="str">
        <f>MAIN!C1150</f>
        <v/>
      </c>
    </row>
    <row r="1146" spans="1:12" x14ac:dyDescent="0.3">
      <c r="A1146">
        <f>IF(J1146="0",0,IF(COUNTIF($J$2:J1146,J1146)=1,1,0))</f>
        <v>0</v>
      </c>
      <c r="B1146" s="12" t="e">
        <f>MID(MAIN!A1151,K1146,2)</f>
        <v>#VALUE!</v>
      </c>
      <c r="C1146" s="12" t="e">
        <f t="shared" si="68"/>
        <v>#VALUE!</v>
      </c>
      <c r="D1146" s="12" t="e">
        <f>MID(MAIN!A1151,K1146+2,2)</f>
        <v>#VALUE!</v>
      </c>
      <c r="E1146" s="12" t="e">
        <f>MID(MAIN!A1151,K1146+4,2)</f>
        <v>#VALUE!</v>
      </c>
      <c r="F1146" s="2" t="e">
        <f t="shared" si="69"/>
        <v>#VALUE!</v>
      </c>
      <c r="G1146" s="13" t="e">
        <f t="shared" si="70"/>
        <v>#VALUE!</v>
      </c>
      <c r="J1146" t="str">
        <f>MAIN!A1151&amp;"B"</f>
        <v>B</v>
      </c>
      <c r="K1146" s="12" t="e">
        <f t="shared" si="71"/>
        <v>#VALUE!</v>
      </c>
      <c r="L1146" t="str">
        <f>MAIN!C1151</f>
        <v/>
      </c>
    </row>
    <row r="1147" spans="1:12" x14ac:dyDescent="0.3">
      <c r="A1147">
        <f>IF(J1147="0",0,IF(COUNTIF($J$2:J1147,J1147)=1,1,0))</f>
        <v>0</v>
      </c>
      <c r="B1147" s="12" t="e">
        <f>MID(MAIN!A1152,K1147,2)</f>
        <v>#VALUE!</v>
      </c>
      <c r="C1147" s="12" t="e">
        <f t="shared" si="68"/>
        <v>#VALUE!</v>
      </c>
      <c r="D1147" s="12" t="e">
        <f>MID(MAIN!A1152,K1147+2,2)</f>
        <v>#VALUE!</v>
      </c>
      <c r="E1147" s="12" t="e">
        <f>MID(MAIN!A1152,K1147+4,2)</f>
        <v>#VALUE!</v>
      </c>
      <c r="F1147" s="2" t="e">
        <f t="shared" si="69"/>
        <v>#VALUE!</v>
      </c>
      <c r="G1147" s="13" t="e">
        <f t="shared" si="70"/>
        <v>#VALUE!</v>
      </c>
      <c r="J1147" t="str">
        <f>MAIN!A1152&amp;"B"</f>
        <v>B</v>
      </c>
      <c r="K1147" s="12" t="e">
        <f t="shared" si="71"/>
        <v>#VALUE!</v>
      </c>
      <c r="L1147" t="str">
        <f>MAIN!C1152</f>
        <v/>
      </c>
    </row>
    <row r="1148" spans="1:12" x14ac:dyDescent="0.3">
      <c r="A1148">
        <f>IF(J1148="0",0,IF(COUNTIF($J$2:J1148,J1148)=1,1,0))</f>
        <v>0</v>
      </c>
      <c r="B1148" s="12" t="e">
        <f>MID(MAIN!A1153,K1148,2)</f>
        <v>#VALUE!</v>
      </c>
      <c r="C1148" s="12" t="e">
        <f t="shared" si="68"/>
        <v>#VALUE!</v>
      </c>
      <c r="D1148" s="12" t="e">
        <f>MID(MAIN!A1153,K1148+2,2)</f>
        <v>#VALUE!</v>
      </c>
      <c r="E1148" s="12" t="e">
        <f>MID(MAIN!A1153,K1148+4,2)</f>
        <v>#VALUE!</v>
      </c>
      <c r="F1148" s="2" t="e">
        <f t="shared" si="69"/>
        <v>#VALUE!</v>
      </c>
      <c r="G1148" s="13" t="e">
        <f t="shared" si="70"/>
        <v>#VALUE!</v>
      </c>
      <c r="J1148" t="str">
        <f>MAIN!A1153&amp;"B"</f>
        <v>B</v>
      </c>
      <c r="K1148" s="12" t="e">
        <f t="shared" si="71"/>
        <v>#VALUE!</v>
      </c>
      <c r="L1148" t="str">
        <f>MAIN!C1153</f>
        <v/>
      </c>
    </row>
    <row r="1149" spans="1:12" x14ac:dyDescent="0.3">
      <c r="A1149">
        <f>IF(J1149="0",0,IF(COUNTIF($J$2:J1149,J1149)=1,1,0))</f>
        <v>0</v>
      </c>
      <c r="B1149" s="12" t="e">
        <f>MID(MAIN!A1154,K1149,2)</f>
        <v>#VALUE!</v>
      </c>
      <c r="C1149" s="12" t="e">
        <f t="shared" si="68"/>
        <v>#VALUE!</v>
      </c>
      <c r="D1149" s="12" t="e">
        <f>MID(MAIN!A1154,K1149+2,2)</f>
        <v>#VALUE!</v>
      </c>
      <c r="E1149" s="12" t="e">
        <f>MID(MAIN!A1154,K1149+4,2)</f>
        <v>#VALUE!</v>
      </c>
      <c r="F1149" s="2" t="e">
        <f t="shared" si="69"/>
        <v>#VALUE!</v>
      </c>
      <c r="G1149" s="13" t="e">
        <f t="shared" si="70"/>
        <v>#VALUE!</v>
      </c>
      <c r="J1149" t="str">
        <f>MAIN!A1154&amp;"B"</f>
        <v>B</v>
      </c>
      <c r="K1149" s="12" t="e">
        <f t="shared" si="71"/>
        <v>#VALUE!</v>
      </c>
      <c r="L1149" t="str">
        <f>MAIN!C1154</f>
        <v/>
      </c>
    </row>
    <row r="1150" spans="1:12" x14ac:dyDescent="0.3">
      <c r="A1150">
        <f>IF(J1150="0",0,IF(COUNTIF($J$2:J1150,J1150)=1,1,0))</f>
        <v>0</v>
      </c>
      <c r="B1150" s="12" t="e">
        <f>MID(MAIN!A1155,K1150,2)</f>
        <v>#VALUE!</v>
      </c>
      <c r="C1150" s="12" t="e">
        <f t="shared" si="68"/>
        <v>#VALUE!</v>
      </c>
      <c r="D1150" s="12" t="e">
        <f>MID(MAIN!A1155,K1150+2,2)</f>
        <v>#VALUE!</v>
      </c>
      <c r="E1150" s="12" t="e">
        <f>MID(MAIN!A1155,K1150+4,2)</f>
        <v>#VALUE!</v>
      </c>
      <c r="F1150" s="2" t="e">
        <f t="shared" si="69"/>
        <v>#VALUE!</v>
      </c>
      <c r="G1150" s="13" t="e">
        <f t="shared" si="70"/>
        <v>#VALUE!</v>
      </c>
      <c r="J1150" t="str">
        <f>MAIN!A1155&amp;"B"</f>
        <v>B</v>
      </c>
      <c r="K1150" s="12" t="e">
        <f t="shared" si="71"/>
        <v>#VALUE!</v>
      </c>
      <c r="L1150" t="str">
        <f>MAIN!C1155</f>
        <v/>
      </c>
    </row>
    <row r="1151" spans="1:12" x14ac:dyDescent="0.3">
      <c r="A1151">
        <f>IF(J1151="0",0,IF(COUNTIF($J$2:J1151,J1151)=1,1,0))</f>
        <v>0</v>
      </c>
      <c r="B1151" s="12" t="e">
        <f>MID(MAIN!A1156,K1151,2)</f>
        <v>#VALUE!</v>
      </c>
      <c r="C1151" s="12" t="e">
        <f t="shared" si="68"/>
        <v>#VALUE!</v>
      </c>
      <c r="D1151" s="12" t="e">
        <f>MID(MAIN!A1156,K1151+2,2)</f>
        <v>#VALUE!</v>
      </c>
      <c r="E1151" s="12" t="e">
        <f>MID(MAIN!A1156,K1151+4,2)</f>
        <v>#VALUE!</v>
      </c>
      <c r="F1151" s="2" t="e">
        <f t="shared" si="69"/>
        <v>#VALUE!</v>
      </c>
      <c r="G1151" s="13" t="e">
        <f t="shared" si="70"/>
        <v>#VALUE!</v>
      </c>
      <c r="J1151" t="str">
        <f>MAIN!A1156&amp;"B"</f>
        <v>B</v>
      </c>
      <c r="K1151" s="12" t="e">
        <f t="shared" si="71"/>
        <v>#VALUE!</v>
      </c>
      <c r="L1151" t="str">
        <f>MAIN!C1156</f>
        <v/>
      </c>
    </row>
    <row r="1152" spans="1:12" x14ac:dyDescent="0.3">
      <c r="A1152">
        <f>IF(J1152="0",0,IF(COUNTIF($J$2:J1152,J1152)=1,1,0))</f>
        <v>0</v>
      </c>
      <c r="B1152" s="12" t="e">
        <f>MID(MAIN!A1157,K1152,2)</f>
        <v>#VALUE!</v>
      </c>
      <c r="C1152" s="12" t="e">
        <f t="shared" si="68"/>
        <v>#VALUE!</v>
      </c>
      <c r="D1152" s="12" t="e">
        <f>MID(MAIN!A1157,K1152+2,2)</f>
        <v>#VALUE!</v>
      </c>
      <c r="E1152" s="12" t="e">
        <f>MID(MAIN!A1157,K1152+4,2)</f>
        <v>#VALUE!</v>
      </c>
      <c r="F1152" s="2" t="e">
        <f t="shared" si="69"/>
        <v>#VALUE!</v>
      </c>
      <c r="G1152" s="13" t="e">
        <f t="shared" si="70"/>
        <v>#VALUE!</v>
      </c>
      <c r="J1152" t="str">
        <f>MAIN!A1157&amp;"B"</f>
        <v>B</v>
      </c>
      <c r="K1152" s="12" t="e">
        <f t="shared" si="71"/>
        <v>#VALUE!</v>
      </c>
      <c r="L1152" t="str">
        <f>MAIN!C1157</f>
        <v/>
      </c>
    </row>
    <row r="1153" spans="1:12" x14ac:dyDescent="0.3">
      <c r="A1153">
        <f>IF(J1153="0",0,IF(COUNTIF($J$2:J1153,J1153)=1,1,0))</f>
        <v>0</v>
      </c>
      <c r="B1153" s="12" t="e">
        <f>MID(MAIN!A1158,K1153,2)</f>
        <v>#VALUE!</v>
      </c>
      <c r="C1153" s="12" t="e">
        <f t="shared" si="68"/>
        <v>#VALUE!</v>
      </c>
      <c r="D1153" s="12" t="e">
        <f>MID(MAIN!A1158,K1153+2,2)</f>
        <v>#VALUE!</v>
      </c>
      <c r="E1153" s="12" t="e">
        <f>MID(MAIN!A1158,K1153+4,2)</f>
        <v>#VALUE!</v>
      </c>
      <c r="F1153" s="2" t="e">
        <f t="shared" si="69"/>
        <v>#VALUE!</v>
      </c>
      <c r="G1153" s="13" t="e">
        <f t="shared" si="70"/>
        <v>#VALUE!</v>
      </c>
      <c r="J1153" t="str">
        <f>MAIN!A1158&amp;"B"</f>
        <v>B</v>
      </c>
      <c r="K1153" s="12" t="e">
        <f t="shared" si="71"/>
        <v>#VALUE!</v>
      </c>
      <c r="L1153" t="str">
        <f>MAIN!C1158</f>
        <v/>
      </c>
    </row>
    <row r="1154" spans="1:12" x14ac:dyDescent="0.3">
      <c r="A1154">
        <f>IF(J1154="0",0,IF(COUNTIF($J$2:J1154,J1154)=1,1,0))</f>
        <v>0</v>
      </c>
      <c r="B1154" s="12" t="e">
        <f>MID(MAIN!A1159,K1154,2)</f>
        <v>#VALUE!</v>
      </c>
      <c r="C1154" s="12" t="e">
        <f t="shared" si="68"/>
        <v>#VALUE!</v>
      </c>
      <c r="D1154" s="12" t="e">
        <f>MID(MAIN!A1159,K1154+2,2)</f>
        <v>#VALUE!</v>
      </c>
      <c r="E1154" s="12" t="e">
        <f>MID(MAIN!A1159,K1154+4,2)</f>
        <v>#VALUE!</v>
      </c>
      <c r="F1154" s="2" t="e">
        <f t="shared" si="69"/>
        <v>#VALUE!</v>
      </c>
      <c r="G1154" s="13" t="e">
        <f t="shared" si="70"/>
        <v>#VALUE!</v>
      </c>
      <c r="J1154" t="str">
        <f>MAIN!A1159&amp;"B"</f>
        <v>B</v>
      </c>
      <c r="K1154" s="12" t="e">
        <f t="shared" si="71"/>
        <v>#VALUE!</v>
      </c>
      <c r="L1154" t="str">
        <f>MAIN!C1159</f>
        <v/>
      </c>
    </row>
    <row r="1155" spans="1:12" x14ac:dyDescent="0.3">
      <c r="A1155">
        <f>IF(J1155="0",0,IF(COUNTIF($J$2:J1155,J1155)=1,1,0))</f>
        <v>0</v>
      </c>
      <c r="B1155" s="12" t="e">
        <f>MID(MAIN!A1160,K1155,2)</f>
        <v>#VALUE!</v>
      </c>
      <c r="C1155" s="12" t="e">
        <f t="shared" ref="C1155:C1218" si="72">"20"&amp;B1155</f>
        <v>#VALUE!</v>
      </c>
      <c r="D1155" s="12" t="e">
        <f>MID(MAIN!A1160,K1155+2,2)</f>
        <v>#VALUE!</v>
      </c>
      <c r="E1155" s="12" t="e">
        <f>MID(MAIN!A1160,K1155+4,2)</f>
        <v>#VALUE!</v>
      </c>
      <c r="F1155" s="2" t="e">
        <f t="shared" ref="F1155:F1218" si="73">C1155&amp;"/"&amp;D1155&amp;"/"&amp;E1155</f>
        <v>#VALUE!</v>
      </c>
      <c r="G1155" s="13" t="e">
        <f t="shared" ref="G1155:G1218" si="74">DATEVALUE(F1155)</f>
        <v>#VALUE!</v>
      </c>
      <c r="J1155" t="str">
        <f>MAIN!A1160&amp;"B"</f>
        <v>B</v>
      </c>
      <c r="K1155" s="12" t="e">
        <f t="shared" ref="K1155:K1218" si="75">FIND("172",J1155,30)+2</f>
        <v>#VALUE!</v>
      </c>
      <c r="L1155" t="str">
        <f>MAIN!C1160</f>
        <v/>
      </c>
    </row>
    <row r="1156" spans="1:12" x14ac:dyDescent="0.3">
      <c r="A1156">
        <f>IF(J1156="0",0,IF(COUNTIF($J$2:J1156,J1156)=1,1,0))</f>
        <v>0</v>
      </c>
      <c r="B1156" s="12" t="e">
        <f>MID(MAIN!A1161,K1156,2)</f>
        <v>#VALUE!</v>
      </c>
      <c r="C1156" s="12" t="e">
        <f t="shared" si="72"/>
        <v>#VALUE!</v>
      </c>
      <c r="D1156" s="12" t="e">
        <f>MID(MAIN!A1161,K1156+2,2)</f>
        <v>#VALUE!</v>
      </c>
      <c r="E1156" s="12" t="e">
        <f>MID(MAIN!A1161,K1156+4,2)</f>
        <v>#VALUE!</v>
      </c>
      <c r="F1156" s="2" t="e">
        <f t="shared" si="73"/>
        <v>#VALUE!</v>
      </c>
      <c r="G1156" s="13" t="e">
        <f t="shared" si="74"/>
        <v>#VALUE!</v>
      </c>
      <c r="J1156" t="str">
        <f>MAIN!A1161&amp;"B"</f>
        <v>B</v>
      </c>
      <c r="K1156" s="12" t="e">
        <f t="shared" si="75"/>
        <v>#VALUE!</v>
      </c>
      <c r="L1156" t="str">
        <f>MAIN!C1161</f>
        <v/>
      </c>
    </row>
    <row r="1157" spans="1:12" x14ac:dyDescent="0.3">
      <c r="A1157">
        <f>IF(J1157="0",0,IF(COUNTIF($J$2:J1157,J1157)=1,1,0))</f>
        <v>0</v>
      </c>
      <c r="B1157" s="12" t="e">
        <f>MID(MAIN!A1162,K1157,2)</f>
        <v>#VALUE!</v>
      </c>
      <c r="C1157" s="12" t="e">
        <f t="shared" si="72"/>
        <v>#VALUE!</v>
      </c>
      <c r="D1157" s="12" t="e">
        <f>MID(MAIN!A1162,K1157+2,2)</f>
        <v>#VALUE!</v>
      </c>
      <c r="E1157" s="12" t="e">
        <f>MID(MAIN!A1162,K1157+4,2)</f>
        <v>#VALUE!</v>
      </c>
      <c r="F1157" s="2" t="e">
        <f t="shared" si="73"/>
        <v>#VALUE!</v>
      </c>
      <c r="G1157" s="13" t="e">
        <f t="shared" si="74"/>
        <v>#VALUE!</v>
      </c>
      <c r="J1157" t="str">
        <f>MAIN!A1162&amp;"B"</f>
        <v>B</v>
      </c>
      <c r="K1157" s="12" t="e">
        <f t="shared" si="75"/>
        <v>#VALUE!</v>
      </c>
      <c r="L1157" t="str">
        <f>MAIN!C1162</f>
        <v/>
      </c>
    </row>
    <row r="1158" spans="1:12" x14ac:dyDescent="0.3">
      <c r="A1158">
        <f>IF(J1158="0",0,IF(COUNTIF($J$2:J1158,J1158)=1,1,0))</f>
        <v>0</v>
      </c>
      <c r="B1158" s="12" t="e">
        <f>MID(MAIN!A1163,K1158,2)</f>
        <v>#VALUE!</v>
      </c>
      <c r="C1158" s="12" t="e">
        <f t="shared" si="72"/>
        <v>#VALUE!</v>
      </c>
      <c r="D1158" s="12" t="e">
        <f>MID(MAIN!A1163,K1158+2,2)</f>
        <v>#VALUE!</v>
      </c>
      <c r="E1158" s="12" t="e">
        <f>MID(MAIN!A1163,K1158+4,2)</f>
        <v>#VALUE!</v>
      </c>
      <c r="F1158" s="2" t="e">
        <f t="shared" si="73"/>
        <v>#VALUE!</v>
      </c>
      <c r="G1158" s="13" t="e">
        <f t="shared" si="74"/>
        <v>#VALUE!</v>
      </c>
      <c r="J1158" t="str">
        <f>MAIN!A1163&amp;"B"</f>
        <v>B</v>
      </c>
      <c r="K1158" s="12" t="e">
        <f t="shared" si="75"/>
        <v>#VALUE!</v>
      </c>
      <c r="L1158" t="str">
        <f>MAIN!C1163</f>
        <v/>
      </c>
    </row>
    <row r="1159" spans="1:12" x14ac:dyDescent="0.3">
      <c r="A1159">
        <f>IF(J1159="0",0,IF(COUNTIF($J$2:J1159,J1159)=1,1,0))</f>
        <v>0</v>
      </c>
      <c r="B1159" s="12" t="e">
        <f>MID(MAIN!A1164,K1159,2)</f>
        <v>#VALUE!</v>
      </c>
      <c r="C1159" s="12" t="e">
        <f t="shared" si="72"/>
        <v>#VALUE!</v>
      </c>
      <c r="D1159" s="12" t="e">
        <f>MID(MAIN!A1164,K1159+2,2)</f>
        <v>#VALUE!</v>
      </c>
      <c r="E1159" s="12" t="e">
        <f>MID(MAIN!A1164,K1159+4,2)</f>
        <v>#VALUE!</v>
      </c>
      <c r="F1159" s="2" t="e">
        <f t="shared" si="73"/>
        <v>#VALUE!</v>
      </c>
      <c r="G1159" s="13" t="e">
        <f t="shared" si="74"/>
        <v>#VALUE!</v>
      </c>
      <c r="J1159" t="str">
        <f>MAIN!A1164&amp;"B"</f>
        <v>B</v>
      </c>
      <c r="K1159" s="12" t="e">
        <f t="shared" si="75"/>
        <v>#VALUE!</v>
      </c>
      <c r="L1159" t="str">
        <f>MAIN!C1164</f>
        <v/>
      </c>
    </row>
    <row r="1160" spans="1:12" x14ac:dyDescent="0.3">
      <c r="A1160">
        <f>IF(J1160="0",0,IF(COUNTIF($J$2:J1160,J1160)=1,1,0))</f>
        <v>0</v>
      </c>
      <c r="B1160" s="12" t="e">
        <f>MID(MAIN!A1165,K1160,2)</f>
        <v>#VALUE!</v>
      </c>
      <c r="C1160" s="12" t="e">
        <f t="shared" si="72"/>
        <v>#VALUE!</v>
      </c>
      <c r="D1160" s="12" t="e">
        <f>MID(MAIN!A1165,K1160+2,2)</f>
        <v>#VALUE!</v>
      </c>
      <c r="E1160" s="12" t="e">
        <f>MID(MAIN!A1165,K1160+4,2)</f>
        <v>#VALUE!</v>
      </c>
      <c r="F1160" s="2" t="e">
        <f t="shared" si="73"/>
        <v>#VALUE!</v>
      </c>
      <c r="G1160" s="13" t="e">
        <f t="shared" si="74"/>
        <v>#VALUE!</v>
      </c>
      <c r="J1160" t="str">
        <f>MAIN!A1165&amp;"B"</f>
        <v>B</v>
      </c>
      <c r="K1160" s="12" t="e">
        <f t="shared" si="75"/>
        <v>#VALUE!</v>
      </c>
      <c r="L1160" t="str">
        <f>MAIN!C1165</f>
        <v/>
      </c>
    </row>
    <row r="1161" spans="1:12" x14ac:dyDescent="0.3">
      <c r="A1161">
        <f>IF(J1161="0",0,IF(COUNTIF($J$2:J1161,J1161)=1,1,0))</f>
        <v>0</v>
      </c>
      <c r="B1161" s="12" t="e">
        <f>MID(MAIN!A1166,K1161,2)</f>
        <v>#VALUE!</v>
      </c>
      <c r="C1161" s="12" t="e">
        <f t="shared" si="72"/>
        <v>#VALUE!</v>
      </c>
      <c r="D1161" s="12" t="e">
        <f>MID(MAIN!A1166,K1161+2,2)</f>
        <v>#VALUE!</v>
      </c>
      <c r="E1161" s="12" t="e">
        <f>MID(MAIN!A1166,K1161+4,2)</f>
        <v>#VALUE!</v>
      </c>
      <c r="F1161" s="2" t="e">
        <f t="shared" si="73"/>
        <v>#VALUE!</v>
      </c>
      <c r="G1161" s="13" t="e">
        <f t="shared" si="74"/>
        <v>#VALUE!</v>
      </c>
      <c r="J1161" t="str">
        <f>MAIN!A1166&amp;"B"</f>
        <v>B</v>
      </c>
      <c r="K1161" s="12" t="e">
        <f t="shared" si="75"/>
        <v>#VALUE!</v>
      </c>
      <c r="L1161" t="str">
        <f>MAIN!C1166</f>
        <v/>
      </c>
    </row>
    <row r="1162" spans="1:12" x14ac:dyDescent="0.3">
      <c r="A1162">
        <f>IF(J1162="0",0,IF(COUNTIF($J$2:J1162,J1162)=1,1,0))</f>
        <v>0</v>
      </c>
      <c r="B1162" s="12" t="e">
        <f>MID(MAIN!A1167,K1162,2)</f>
        <v>#VALUE!</v>
      </c>
      <c r="C1162" s="12" t="e">
        <f t="shared" si="72"/>
        <v>#VALUE!</v>
      </c>
      <c r="D1162" s="12" t="e">
        <f>MID(MAIN!A1167,K1162+2,2)</f>
        <v>#VALUE!</v>
      </c>
      <c r="E1162" s="12" t="e">
        <f>MID(MAIN!A1167,K1162+4,2)</f>
        <v>#VALUE!</v>
      </c>
      <c r="F1162" s="2" t="e">
        <f t="shared" si="73"/>
        <v>#VALUE!</v>
      </c>
      <c r="G1162" s="13" t="e">
        <f t="shared" si="74"/>
        <v>#VALUE!</v>
      </c>
      <c r="J1162" t="str">
        <f>MAIN!A1167&amp;"B"</f>
        <v>B</v>
      </c>
      <c r="K1162" s="12" t="e">
        <f t="shared" si="75"/>
        <v>#VALUE!</v>
      </c>
      <c r="L1162" t="str">
        <f>MAIN!C1167</f>
        <v/>
      </c>
    </row>
    <row r="1163" spans="1:12" x14ac:dyDescent="0.3">
      <c r="A1163">
        <f>IF(J1163="0",0,IF(COUNTIF($J$2:J1163,J1163)=1,1,0))</f>
        <v>0</v>
      </c>
      <c r="B1163" s="12" t="e">
        <f>MID(MAIN!A1168,K1163,2)</f>
        <v>#VALUE!</v>
      </c>
      <c r="C1163" s="12" t="e">
        <f t="shared" si="72"/>
        <v>#VALUE!</v>
      </c>
      <c r="D1163" s="12" t="e">
        <f>MID(MAIN!A1168,K1163+2,2)</f>
        <v>#VALUE!</v>
      </c>
      <c r="E1163" s="12" t="e">
        <f>MID(MAIN!A1168,K1163+4,2)</f>
        <v>#VALUE!</v>
      </c>
      <c r="F1163" s="2" t="e">
        <f t="shared" si="73"/>
        <v>#VALUE!</v>
      </c>
      <c r="G1163" s="13" t="e">
        <f t="shared" si="74"/>
        <v>#VALUE!</v>
      </c>
      <c r="J1163" t="str">
        <f>MAIN!A1168&amp;"B"</f>
        <v>B</v>
      </c>
      <c r="K1163" s="12" t="e">
        <f t="shared" si="75"/>
        <v>#VALUE!</v>
      </c>
      <c r="L1163" t="str">
        <f>MAIN!C1168</f>
        <v/>
      </c>
    </row>
    <row r="1164" spans="1:12" x14ac:dyDescent="0.3">
      <c r="A1164">
        <f>IF(J1164="0",0,IF(COUNTIF($J$2:J1164,J1164)=1,1,0))</f>
        <v>0</v>
      </c>
      <c r="B1164" s="12" t="e">
        <f>MID(MAIN!A1169,K1164,2)</f>
        <v>#VALUE!</v>
      </c>
      <c r="C1164" s="12" t="e">
        <f t="shared" si="72"/>
        <v>#VALUE!</v>
      </c>
      <c r="D1164" s="12" t="e">
        <f>MID(MAIN!A1169,K1164+2,2)</f>
        <v>#VALUE!</v>
      </c>
      <c r="E1164" s="12" t="e">
        <f>MID(MAIN!A1169,K1164+4,2)</f>
        <v>#VALUE!</v>
      </c>
      <c r="F1164" s="2" t="e">
        <f t="shared" si="73"/>
        <v>#VALUE!</v>
      </c>
      <c r="G1164" s="13" t="e">
        <f t="shared" si="74"/>
        <v>#VALUE!</v>
      </c>
      <c r="J1164" t="str">
        <f>MAIN!A1169&amp;"B"</f>
        <v>B</v>
      </c>
      <c r="K1164" s="12" t="e">
        <f t="shared" si="75"/>
        <v>#VALUE!</v>
      </c>
      <c r="L1164" t="str">
        <f>MAIN!C1169</f>
        <v/>
      </c>
    </row>
    <row r="1165" spans="1:12" x14ac:dyDescent="0.3">
      <c r="A1165">
        <f>IF(J1165="0",0,IF(COUNTIF($J$2:J1165,J1165)=1,1,0))</f>
        <v>0</v>
      </c>
      <c r="B1165" s="12" t="e">
        <f>MID(MAIN!A1170,K1165,2)</f>
        <v>#VALUE!</v>
      </c>
      <c r="C1165" s="12" t="e">
        <f t="shared" si="72"/>
        <v>#VALUE!</v>
      </c>
      <c r="D1165" s="12" t="e">
        <f>MID(MAIN!A1170,K1165+2,2)</f>
        <v>#VALUE!</v>
      </c>
      <c r="E1165" s="12" t="e">
        <f>MID(MAIN!A1170,K1165+4,2)</f>
        <v>#VALUE!</v>
      </c>
      <c r="F1165" s="2" t="e">
        <f t="shared" si="73"/>
        <v>#VALUE!</v>
      </c>
      <c r="G1165" s="13" t="e">
        <f t="shared" si="74"/>
        <v>#VALUE!</v>
      </c>
      <c r="J1165" t="str">
        <f>MAIN!A1170&amp;"B"</f>
        <v>B</v>
      </c>
      <c r="K1165" s="12" t="e">
        <f t="shared" si="75"/>
        <v>#VALUE!</v>
      </c>
      <c r="L1165" t="str">
        <f>MAIN!C1170</f>
        <v/>
      </c>
    </row>
    <row r="1166" spans="1:12" x14ac:dyDescent="0.3">
      <c r="A1166">
        <f>IF(J1166="0",0,IF(COUNTIF($J$2:J1166,J1166)=1,1,0))</f>
        <v>0</v>
      </c>
      <c r="B1166" s="12" t="e">
        <f>MID(MAIN!A1171,K1166,2)</f>
        <v>#VALUE!</v>
      </c>
      <c r="C1166" s="12" t="e">
        <f t="shared" si="72"/>
        <v>#VALUE!</v>
      </c>
      <c r="D1166" s="12" t="e">
        <f>MID(MAIN!A1171,K1166+2,2)</f>
        <v>#VALUE!</v>
      </c>
      <c r="E1166" s="12" t="e">
        <f>MID(MAIN!A1171,K1166+4,2)</f>
        <v>#VALUE!</v>
      </c>
      <c r="F1166" s="2" t="e">
        <f t="shared" si="73"/>
        <v>#VALUE!</v>
      </c>
      <c r="G1166" s="13" t="e">
        <f t="shared" si="74"/>
        <v>#VALUE!</v>
      </c>
      <c r="J1166" t="str">
        <f>MAIN!A1171&amp;"B"</f>
        <v>B</v>
      </c>
      <c r="K1166" s="12" t="e">
        <f t="shared" si="75"/>
        <v>#VALUE!</v>
      </c>
      <c r="L1166" t="str">
        <f>MAIN!C1171</f>
        <v/>
      </c>
    </row>
    <row r="1167" spans="1:12" x14ac:dyDescent="0.3">
      <c r="A1167">
        <f>IF(J1167="0",0,IF(COUNTIF($J$2:J1167,J1167)=1,1,0))</f>
        <v>0</v>
      </c>
      <c r="B1167" s="12" t="e">
        <f>MID(MAIN!A1172,K1167,2)</f>
        <v>#VALUE!</v>
      </c>
      <c r="C1167" s="12" t="e">
        <f t="shared" si="72"/>
        <v>#VALUE!</v>
      </c>
      <c r="D1167" s="12" t="e">
        <f>MID(MAIN!A1172,K1167+2,2)</f>
        <v>#VALUE!</v>
      </c>
      <c r="E1167" s="12" t="e">
        <f>MID(MAIN!A1172,K1167+4,2)</f>
        <v>#VALUE!</v>
      </c>
      <c r="F1167" s="2" t="e">
        <f t="shared" si="73"/>
        <v>#VALUE!</v>
      </c>
      <c r="G1167" s="13" t="e">
        <f t="shared" si="74"/>
        <v>#VALUE!</v>
      </c>
      <c r="J1167" t="str">
        <f>MAIN!A1172&amp;"B"</f>
        <v>B</v>
      </c>
      <c r="K1167" s="12" t="e">
        <f t="shared" si="75"/>
        <v>#VALUE!</v>
      </c>
      <c r="L1167" t="str">
        <f>MAIN!C1172</f>
        <v/>
      </c>
    </row>
    <row r="1168" spans="1:12" x14ac:dyDescent="0.3">
      <c r="A1168">
        <f>IF(J1168="0",0,IF(COUNTIF($J$2:J1168,J1168)=1,1,0))</f>
        <v>0</v>
      </c>
      <c r="B1168" s="12" t="e">
        <f>MID(MAIN!A1173,K1168,2)</f>
        <v>#VALUE!</v>
      </c>
      <c r="C1168" s="12" t="e">
        <f t="shared" si="72"/>
        <v>#VALUE!</v>
      </c>
      <c r="D1168" s="12" t="e">
        <f>MID(MAIN!A1173,K1168+2,2)</f>
        <v>#VALUE!</v>
      </c>
      <c r="E1168" s="12" t="e">
        <f>MID(MAIN!A1173,K1168+4,2)</f>
        <v>#VALUE!</v>
      </c>
      <c r="F1168" s="2" t="e">
        <f t="shared" si="73"/>
        <v>#VALUE!</v>
      </c>
      <c r="G1168" s="13" t="e">
        <f t="shared" si="74"/>
        <v>#VALUE!</v>
      </c>
      <c r="J1168" t="str">
        <f>MAIN!A1173&amp;"B"</f>
        <v>B</v>
      </c>
      <c r="K1168" s="12" t="e">
        <f t="shared" si="75"/>
        <v>#VALUE!</v>
      </c>
      <c r="L1168" t="str">
        <f>MAIN!C1173</f>
        <v/>
      </c>
    </row>
    <row r="1169" spans="1:12" x14ac:dyDescent="0.3">
      <c r="A1169">
        <f>IF(J1169="0",0,IF(COUNTIF($J$2:J1169,J1169)=1,1,0))</f>
        <v>0</v>
      </c>
      <c r="B1169" s="12" t="e">
        <f>MID(MAIN!A1174,K1169,2)</f>
        <v>#VALUE!</v>
      </c>
      <c r="C1169" s="12" t="e">
        <f t="shared" si="72"/>
        <v>#VALUE!</v>
      </c>
      <c r="D1169" s="12" t="e">
        <f>MID(MAIN!A1174,K1169+2,2)</f>
        <v>#VALUE!</v>
      </c>
      <c r="E1169" s="12" t="e">
        <f>MID(MAIN!A1174,K1169+4,2)</f>
        <v>#VALUE!</v>
      </c>
      <c r="F1169" s="2" t="e">
        <f t="shared" si="73"/>
        <v>#VALUE!</v>
      </c>
      <c r="G1169" s="13" t="e">
        <f t="shared" si="74"/>
        <v>#VALUE!</v>
      </c>
      <c r="J1169" t="str">
        <f>MAIN!A1174&amp;"B"</f>
        <v>B</v>
      </c>
      <c r="K1169" s="12" t="e">
        <f t="shared" si="75"/>
        <v>#VALUE!</v>
      </c>
      <c r="L1169" t="str">
        <f>MAIN!C1174</f>
        <v/>
      </c>
    </row>
    <row r="1170" spans="1:12" x14ac:dyDescent="0.3">
      <c r="A1170">
        <f>IF(J1170="0",0,IF(COUNTIF($J$2:J1170,J1170)=1,1,0))</f>
        <v>0</v>
      </c>
      <c r="B1170" s="12" t="e">
        <f>MID(MAIN!A1175,K1170,2)</f>
        <v>#VALUE!</v>
      </c>
      <c r="C1170" s="12" t="e">
        <f t="shared" si="72"/>
        <v>#VALUE!</v>
      </c>
      <c r="D1170" s="12" t="e">
        <f>MID(MAIN!A1175,K1170+2,2)</f>
        <v>#VALUE!</v>
      </c>
      <c r="E1170" s="12" t="e">
        <f>MID(MAIN!A1175,K1170+4,2)</f>
        <v>#VALUE!</v>
      </c>
      <c r="F1170" s="2" t="e">
        <f t="shared" si="73"/>
        <v>#VALUE!</v>
      </c>
      <c r="G1170" s="13" t="e">
        <f t="shared" si="74"/>
        <v>#VALUE!</v>
      </c>
      <c r="J1170" t="str">
        <f>MAIN!A1175&amp;"B"</f>
        <v>B</v>
      </c>
      <c r="K1170" s="12" t="e">
        <f t="shared" si="75"/>
        <v>#VALUE!</v>
      </c>
      <c r="L1170" t="str">
        <f>MAIN!C1175</f>
        <v/>
      </c>
    </row>
    <row r="1171" spans="1:12" x14ac:dyDescent="0.3">
      <c r="A1171">
        <f>IF(J1171="0",0,IF(COUNTIF($J$2:J1171,J1171)=1,1,0))</f>
        <v>0</v>
      </c>
      <c r="B1171" s="12" t="e">
        <f>MID(MAIN!A1176,K1171,2)</f>
        <v>#VALUE!</v>
      </c>
      <c r="C1171" s="12" t="e">
        <f t="shared" si="72"/>
        <v>#VALUE!</v>
      </c>
      <c r="D1171" s="12" t="e">
        <f>MID(MAIN!A1176,K1171+2,2)</f>
        <v>#VALUE!</v>
      </c>
      <c r="E1171" s="12" t="e">
        <f>MID(MAIN!A1176,K1171+4,2)</f>
        <v>#VALUE!</v>
      </c>
      <c r="F1171" s="2" t="e">
        <f t="shared" si="73"/>
        <v>#VALUE!</v>
      </c>
      <c r="G1171" s="13" t="e">
        <f t="shared" si="74"/>
        <v>#VALUE!</v>
      </c>
      <c r="J1171" t="str">
        <f>MAIN!A1176&amp;"B"</f>
        <v>B</v>
      </c>
      <c r="K1171" s="12" t="e">
        <f t="shared" si="75"/>
        <v>#VALUE!</v>
      </c>
      <c r="L1171" t="str">
        <f>MAIN!C1176</f>
        <v/>
      </c>
    </row>
    <row r="1172" spans="1:12" x14ac:dyDescent="0.3">
      <c r="A1172">
        <f>IF(J1172="0",0,IF(COUNTIF($J$2:J1172,J1172)=1,1,0))</f>
        <v>0</v>
      </c>
      <c r="B1172" s="12" t="e">
        <f>MID(MAIN!A1177,K1172,2)</f>
        <v>#VALUE!</v>
      </c>
      <c r="C1172" s="12" t="e">
        <f t="shared" si="72"/>
        <v>#VALUE!</v>
      </c>
      <c r="D1172" s="12" t="e">
        <f>MID(MAIN!A1177,K1172+2,2)</f>
        <v>#VALUE!</v>
      </c>
      <c r="E1172" s="12" t="e">
        <f>MID(MAIN!A1177,K1172+4,2)</f>
        <v>#VALUE!</v>
      </c>
      <c r="F1172" s="2" t="e">
        <f t="shared" si="73"/>
        <v>#VALUE!</v>
      </c>
      <c r="G1172" s="13" t="e">
        <f t="shared" si="74"/>
        <v>#VALUE!</v>
      </c>
      <c r="J1172" t="str">
        <f>MAIN!A1177&amp;"B"</f>
        <v>B</v>
      </c>
      <c r="K1172" s="12" t="e">
        <f t="shared" si="75"/>
        <v>#VALUE!</v>
      </c>
      <c r="L1172" t="str">
        <f>MAIN!C1177</f>
        <v/>
      </c>
    </row>
    <row r="1173" spans="1:12" x14ac:dyDescent="0.3">
      <c r="A1173">
        <f>IF(J1173="0",0,IF(COUNTIF($J$2:J1173,J1173)=1,1,0))</f>
        <v>0</v>
      </c>
      <c r="B1173" s="12" t="e">
        <f>MID(MAIN!A1178,K1173,2)</f>
        <v>#VALUE!</v>
      </c>
      <c r="C1173" s="12" t="e">
        <f t="shared" si="72"/>
        <v>#VALUE!</v>
      </c>
      <c r="D1173" s="12" t="e">
        <f>MID(MAIN!A1178,K1173+2,2)</f>
        <v>#VALUE!</v>
      </c>
      <c r="E1173" s="12" t="e">
        <f>MID(MAIN!A1178,K1173+4,2)</f>
        <v>#VALUE!</v>
      </c>
      <c r="F1173" s="2" t="e">
        <f t="shared" si="73"/>
        <v>#VALUE!</v>
      </c>
      <c r="G1173" s="13" t="e">
        <f t="shared" si="74"/>
        <v>#VALUE!</v>
      </c>
      <c r="J1173" t="str">
        <f>MAIN!A1178&amp;"B"</f>
        <v>B</v>
      </c>
      <c r="K1173" s="12" t="e">
        <f t="shared" si="75"/>
        <v>#VALUE!</v>
      </c>
      <c r="L1173" t="str">
        <f>MAIN!C1178</f>
        <v/>
      </c>
    </row>
    <row r="1174" spans="1:12" x14ac:dyDescent="0.3">
      <c r="A1174">
        <f>IF(J1174="0",0,IF(COUNTIF($J$2:J1174,J1174)=1,1,0))</f>
        <v>0</v>
      </c>
      <c r="B1174" s="12" t="e">
        <f>MID(MAIN!A1179,K1174,2)</f>
        <v>#VALUE!</v>
      </c>
      <c r="C1174" s="12" t="e">
        <f t="shared" si="72"/>
        <v>#VALUE!</v>
      </c>
      <c r="D1174" s="12" t="e">
        <f>MID(MAIN!A1179,K1174+2,2)</f>
        <v>#VALUE!</v>
      </c>
      <c r="E1174" s="12" t="e">
        <f>MID(MAIN!A1179,K1174+4,2)</f>
        <v>#VALUE!</v>
      </c>
      <c r="F1174" s="2" t="e">
        <f t="shared" si="73"/>
        <v>#VALUE!</v>
      </c>
      <c r="G1174" s="13" t="e">
        <f t="shared" si="74"/>
        <v>#VALUE!</v>
      </c>
      <c r="J1174" t="str">
        <f>MAIN!A1179&amp;"B"</f>
        <v>B</v>
      </c>
      <c r="K1174" s="12" t="e">
        <f t="shared" si="75"/>
        <v>#VALUE!</v>
      </c>
      <c r="L1174" t="str">
        <f>MAIN!C1179</f>
        <v/>
      </c>
    </row>
    <row r="1175" spans="1:12" x14ac:dyDescent="0.3">
      <c r="A1175">
        <f>IF(J1175="0",0,IF(COUNTIF($J$2:J1175,J1175)=1,1,0))</f>
        <v>0</v>
      </c>
      <c r="B1175" s="12" t="e">
        <f>MID(MAIN!A1180,K1175,2)</f>
        <v>#VALUE!</v>
      </c>
      <c r="C1175" s="12" t="e">
        <f t="shared" si="72"/>
        <v>#VALUE!</v>
      </c>
      <c r="D1175" s="12" t="e">
        <f>MID(MAIN!A1180,K1175+2,2)</f>
        <v>#VALUE!</v>
      </c>
      <c r="E1175" s="12" t="e">
        <f>MID(MAIN!A1180,K1175+4,2)</f>
        <v>#VALUE!</v>
      </c>
      <c r="F1175" s="2" t="e">
        <f t="shared" si="73"/>
        <v>#VALUE!</v>
      </c>
      <c r="G1175" s="13" t="e">
        <f t="shared" si="74"/>
        <v>#VALUE!</v>
      </c>
      <c r="J1175" t="str">
        <f>MAIN!A1180&amp;"B"</f>
        <v>B</v>
      </c>
      <c r="K1175" s="12" t="e">
        <f t="shared" si="75"/>
        <v>#VALUE!</v>
      </c>
      <c r="L1175" t="str">
        <f>MAIN!C1180</f>
        <v/>
      </c>
    </row>
    <row r="1176" spans="1:12" x14ac:dyDescent="0.3">
      <c r="A1176">
        <f>IF(J1176="0",0,IF(COUNTIF($J$2:J1176,J1176)=1,1,0))</f>
        <v>0</v>
      </c>
      <c r="B1176" s="12" t="e">
        <f>MID(MAIN!A1181,K1176,2)</f>
        <v>#VALUE!</v>
      </c>
      <c r="C1176" s="12" t="e">
        <f t="shared" si="72"/>
        <v>#VALUE!</v>
      </c>
      <c r="D1176" s="12" t="e">
        <f>MID(MAIN!A1181,K1176+2,2)</f>
        <v>#VALUE!</v>
      </c>
      <c r="E1176" s="12" t="e">
        <f>MID(MAIN!A1181,K1176+4,2)</f>
        <v>#VALUE!</v>
      </c>
      <c r="F1176" s="2" t="e">
        <f t="shared" si="73"/>
        <v>#VALUE!</v>
      </c>
      <c r="G1176" s="13" t="e">
        <f t="shared" si="74"/>
        <v>#VALUE!</v>
      </c>
      <c r="J1176" t="str">
        <f>MAIN!A1181&amp;"B"</f>
        <v>B</v>
      </c>
      <c r="K1176" s="12" t="e">
        <f t="shared" si="75"/>
        <v>#VALUE!</v>
      </c>
      <c r="L1176" t="str">
        <f>MAIN!C1181</f>
        <v/>
      </c>
    </row>
    <row r="1177" spans="1:12" x14ac:dyDescent="0.3">
      <c r="A1177">
        <f>IF(J1177="0",0,IF(COUNTIF($J$2:J1177,J1177)=1,1,0))</f>
        <v>0</v>
      </c>
      <c r="B1177" s="12" t="e">
        <f>MID(MAIN!A1182,K1177,2)</f>
        <v>#VALUE!</v>
      </c>
      <c r="C1177" s="12" t="e">
        <f t="shared" si="72"/>
        <v>#VALUE!</v>
      </c>
      <c r="D1177" s="12" t="e">
        <f>MID(MAIN!A1182,K1177+2,2)</f>
        <v>#VALUE!</v>
      </c>
      <c r="E1177" s="12" t="e">
        <f>MID(MAIN!A1182,K1177+4,2)</f>
        <v>#VALUE!</v>
      </c>
      <c r="F1177" s="2" t="e">
        <f t="shared" si="73"/>
        <v>#VALUE!</v>
      </c>
      <c r="G1177" s="13" t="e">
        <f t="shared" si="74"/>
        <v>#VALUE!</v>
      </c>
      <c r="J1177" t="str">
        <f>MAIN!A1182&amp;"B"</f>
        <v>B</v>
      </c>
      <c r="K1177" s="12" t="e">
        <f t="shared" si="75"/>
        <v>#VALUE!</v>
      </c>
      <c r="L1177" t="str">
        <f>MAIN!C1182</f>
        <v/>
      </c>
    </row>
    <row r="1178" spans="1:12" x14ac:dyDescent="0.3">
      <c r="A1178">
        <f>IF(J1178="0",0,IF(COUNTIF($J$2:J1178,J1178)=1,1,0))</f>
        <v>0</v>
      </c>
      <c r="B1178" s="12" t="e">
        <f>MID(MAIN!A1183,K1178,2)</f>
        <v>#VALUE!</v>
      </c>
      <c r="C1178" s="12" t="e">
        <f t="shared" si="72"/>
        <v>#VALUE!</v>
      </c>
      <c r="D1178" s="12" t="e">
        <f>MID(MAIN!A1183,K1178+2,2)</f>
        <v>#VALUE!</v>
      </c>
      <c r="E1178" s="12" t="e">
        <f>MID(MAIN!A1183,K1178+4,2)</f>
        <v>#VALUE!</v>
      </c>
      <c r="F1178" s="2" t="e">
        <f t="shared" si="73"/>
        <v>#VALUE!</v>
      </c>
      <c r="G1178" s="13" t="e">
        <f t="shared" si="74"/>
        <v>#VALUE!</v>
      </c>
      <c r="J1178" t="str">
        <f>MAIN!A1183&amp;"B"</f>
        <v>B</v>
      </c>
      <c r="K1178" s="12" t="e">
        <f t="shared" si="75"/>
        <v>#VALUE!</v>
      </c>
      <c r="L1178" t="str">
        <f>MAIN!C1183</f>
        <v/>
      </c>
    </row>
    <row r="1179" spans="1:12" x14ac:dyDescent="0.3">
      <c r="A1179">
        <f>IF(J1179="0",0,IF(COUNTIF($J$2:J1179,J1179)=1,1,0))</f>
        <v>0</v>
      </c>
      <c r="B1179" s="12" t="e">
        <f>MID(MAIN!A1184,K1179,2)</f>
        <v>#VALUE!</v>
      </c>
      <c r="C1179" s="12" t="e">
        <f t="shared" si="72"/>
        <v>#VALUE!</v>
      </c>
      <c r="D1179" s="12" t="e">
        <f>MID(MAIN!A1184,K1179+2,2)</f>
        <v>#VALUE!</v>
      </c>
      <c r="E1179" s="12" t="e">
        <f>MID(MAIN!A1184,K1179+4,2)</f>
        <v>#VALUE!</v>
      </c>
      <c r="F1179" s="2" t="e">
        <f t="shared" si="73"/>
        <v>#VALUE!</v>
      </c>
      <c r="G1179" s="13" t="e">
        <f t="shared" si="74"/>
        <v>#VALUE!</v>
      </c>
      <c r="J1179" t="str">
        <f>MAIN!A1184&amp;"B"</f>
        <v>B</v>
      </c>
      <c r="K1179" s="12" t="e">
        <f t="shared" si="75"/>
        <v>#VALUE!</v>
      </c>
      <c r="L1179" t="str">
        <f>MAIN!C1184</f>
        <v/>
      </c>
    </row>
    <row r="1180" spans="1:12" x14ac:dyDescent="0.3">
      <c r="A1180">
        <f>IF(J1180="0",0,IF(COUNTIF($J$2:J1180,J1180)=1,1,0))</f>
        <v>0</v>
      </c>
      <c r="B1180" s="12" t="e">
        <f>MID(MAIN!A1185,K1180,2)</f>
        <v>#VALUE!</v>
      </c>
      <c r="C1180" s="12" t="e">
        <f t="shared" si="72"/>
        <v>#VALUE!</v>
      </c>
      <c r="D1180" s="12" t="e">
        <f>MID(MAIN!A1185,K1180+2,2)</f>
        <v>#VALUE!</v>
      </c>
      <c r="E1180" s="12" t="e">
        <f>MID(MAIN!A1185,K1180+4,2)</f>
        <v>#VALUE!</v>
      </c>
      <c r="F1180" s="2" t="e">
        <f t="shared" si="73"/>
        <v>#VALUE!</v>
      </c>
      <c r="G1180" s="13" t="e">
        <f t="shared" si="74"/>
        <v>#VALUE!</v>
      </c>
      <c r="J1180" t="str">
        <f>MAIN!A1185&amp;"B"</f>
        <v>B</v>
      </c>
      <c r="K1180" s="12" t="e">
        <f t="shared" si="75"/>
        <v>#VALUE!</v>
      </c>
      <c r="L1180" t="str">
        <f>MAIN!C1185</f>
        <v/>
      </c>
    </row>
    <row r="1181" spans="1:12" x14ac:dyDescent="0.3">
      <c r="A1181">
        <f>IF(J1181="0",0,IF(COUNTIF($J$2:J1181,J1181)=1,1,0))</f>
        <v>0</v>
      </c>
      <c r="B1181" s="12" t="e">
        <f>MID(MAIN!A1186,K1181,2)</f>
        <v>#VALUE!</v>
      </c>
      <c r="C1181" s="12" t="e">
        <f t="shared" si="72"/>
        <v>#VALUE!</v>
      </c>
      <c r="D1181" s="12" t="e">
        <f>MID(MAIN!A1186,K1181+2,2)</f>
        <v>#VALUE!</v>
      </c>
      <c r="E1181" s="12" t="e">
        <f>MID(MAIN!A1186,K1181+4,2)</f>
        <v>#VALUE!</v>
      </c>
      <c r="F1181" s="2" t="e">
        <f t="shared" si="73"/>
        <v>#VALUE!</v>
      </c>
      <c r="G1181" s="13" t="e">
        <f t="shared" si="74"/>
        <v>#VALUE!</v>
      </c>
      <c r="J1181" t="str">
        <f>MAIN!A1186&amp;"B"</f>
        <v>B</v>
      </c>
      <c r="K1181" s="12" t="e">
        <f t="shared" si="75"/>
        <v>#VALUE!</v>
      </c>
      <c r="L1181" t="str">
        <f>MAIN!C1186</f>
        <v/>
      </c>
    </row>
    <row r="1182" spans="1:12" x14ac:dyDescent="0.3">
      <c r="A1182">
        <f>IF(J1182="0",0,IF(COUNTIF($J$2:J1182,J1182)=1,1,0))</f>
        <v>0</v>
      </c>
      <c r="B1182" s="12" t="e">
        <f>MID(MAIN!A1187,K1182,2)</f>
        <v>#VALUE!</v>
      </c>
      <c r="C1182" s="12" t="e">
        <f t="shared" si="72"/>
        <v>#VALUE!</v>
      </c>
      <c r="D1182" s="12" t="e">
        <f>MID(MAIN!A1187,K1182+2,2)</f>
        <v>#VALUE!</v>
      </c>
      <c r="E1182" s="12" t="e">
        <f>MID(MAIN!A1187,K1182+4,2)</f>
        <v>#VALUE!</v>
      </c>
      <c r="F1182" s="2" t="e">
        <f t="shared" si="73"/>
        <v>#VALUE!</v>
      </c>
      <c r="G1182" s="13" t="e">
        <f t="shared" si="74"/>
        <v>#VALUE!</v>
      </c>
      <c r="J1182" t="str">
        <f>MAIN!A1187&amp;"B"</f>
        <v>B</v>
      </c>
      <c r="K1182" s="12" t="e">
        <f t="shared" si="75"/>
        <v>#VALUE!</v>
      </c>
      <c r="L1182" t="str">
        <f>MAIN!C1187</f>
        <v/>
      </c>
    </row>
    <row r="1183" spans="1:12" x14ac:dyDescent="0.3">
      <c r="A1183">
        <f>IF(J1183="0",0,IF(COUNTIF($J$2:J1183,J1183)=1,1,0))</f>
        <v>0</v>
      </c>
      <c r="B1183" s="12" t="e">
        <f>MID(MAIN!A1188,K1183,2)</f>
        <v>#VALUE!</v>
      </c>
      <c r="C1183" s="12" t="e">
        <f t="shared" si="72"/>
        <v>#VALUE!</v>
      </c>
      <c r="D1183" s="12" t="e">
        <f>MID(MAIN!A1188,K1183+2,2)</f>
        <v>#VALUE!</v>
      </c>
      <c r="E1183" s="12" t="e">
        <f>MID(MAIN!A1188,K1183+4,2)</f>
        <v>#VALUE!</v>
      </c>
      <c r="F1183" s="2" t="e">
        <f t="shared" si="73"/>
        <v>#VALUE!</v>
      </c>
      <c r="G1183" s="13" t="e">
        <f t="shared" si="74"/>
        <v>#VALUE!</v>
      </c>
      <c r="J1183" t="str">
        <f>MAIN!A1188&amp;"B"</f>
        <v>B</v>
      </c>
      <c r="K1183" s="12" t="e">
        <f t="shared" si="75"/>
        <v>#VALUE!</v>
      </c>
      <c r="L1183" t="str">
        <f>MAIN!C1188</f>
        <v/>
      </c>
    </row>
    <row r="1184" spans="1:12" x14ac:dyDescent="0.3">
      <c r="A1184">
        <f>IF(J1184="0",0,IF(COUNTIF($J$2:J1184,J1184)=1,1,0))</f>
        <v>0</v>
      </c>
      <c r="B1184" s="12" t="e">
        <f>MID(MAIN!A1189,K1184,2)</f>
        <v>#VALUE!</v>
      </c>
      <c r="C1184" s="12" t="e">
        <f t="shared" si="72"/>
        <v>#VALUE!</v>
      </c>
      <c r="D1184" s="12" t="e">
        <f>MID(MAIN!A1189,K1184+2,2)</f>
        <v>#VALUE!</v>
      </c>
      <c r="E1184" s="12" t="e">
        <f>MID(MAIN!A1189,K1184+4,2)</f>
        <v>#VALUE!</v>
      </c>
      <c r="F1184" s="2" t="e">
        <f t="shared" si="73"/>
        <v>#VALUE!</v>
      </c>
      <c r="G1184" s="13" t="e">
        <f t="shared" si="74"/>
        <v>#VALUE!</v>
      </c>
      <c r="J1184" t="str">
        <f>MAIN!A1189&amp;"B"</f>
        <v>B</v>
      </c>
      <c r="K1184" s="12" t="e">
        <f t="shared" si="75"/>
        <v>#VALUE!</v>
      </c>
      <c r="L1184" t="str">
        <f>MAIN!C1189</f>
        <v/>
      </c>
    </row>
    <row r="1185" spans="1:12" x14ac:dyDescent="0.3">
      <c r="A1185">
        <f>IF(J1185="0",0,IF(COUNTIF($J$2:J1185,J1185)=1,1,0))</f>
        <v>0</v>
      </c>
      <c r="B1185" s="12" t="e">
        <f>MID(MAIN!A1190,K1185,2)</f>
        <v>#VALUE!</v>
      </c>
      <c r="C1185" s="12" t="e">
        <f t="shared" si="72"/>
        <v>#VALUE!</v>
      </c>
      <c r="D1185" s="12" t="e">
        <f>MID(MAIN!A1190,K1185+2,2)</f>
        <v>#VALUE!</v>
      </c>
      <c r="E1185" s="12" t="e">
        <f>MID(MAIN!A1190,K1185+4,2)</f>
        <v>#VALUE!</v>
      </c>
      <c r="F1185" s="2" t="e">
        <f t="shared" si="73"/>
        <v>#VALUE!</v>
      </c>
      <c r="G1185" s="13" t="e">
        <f t="shared" si="74"/>
        <v>#VALUE!</v>
      </c>
      <c r="J1185" t="str">
        <f>MAIN!A1190&amp;"B"</f>
        <v>B</v>
      </c>
      <c r="K1185" s="12" t="e">
        <f t="shared" si="75"/>
        <v>#VALUE!</v>
      </c>
      <c r="L1185" t="str">
        <f>MAIN!C1190</f>
        <v/>
      </c>
    </row>
    <row r="1186" spans="1:12" x14ac:dyDescent="0.3">
      <c r="A1186">
        <f>IF(J1186="0",0,IF(COUNTIF($J$2:J1186,J1186)=1,1,0))</f>
        <v>0</v>
      </c>
      <c r="B1186" s="12" t="e">
        <f>MID(MAIN!A1191,K1186,2)</f>
        <v>#VALUE!</v>
      </c>
      <c r="C1186" s="12" t="e">
        <f t="shared" si="72"/>
        <v>#VALUE!</v>
      </c>
      <c r="D1186" s="12" t="e">
        <f>MID(MAIN!A1191,K1186+2,2)</f>
        <v>#VALUE!</v>
      </c>
      <c r="E1186" s="12" t="e">
        <f>MID(MAIN!A1191,K1186+4,2)</f>
        <v>#VALUE!</v>
      </c>
      <c r="F1186" s="2" t="e">
        <f t="shared" si="73"/>
        <v>#VALUE!</v>
      </c>
      <c r="G1186" s="13" t="e">
        <f t="shared" si="74"/>
        <v>#VALUE!</v>
      </c>
      <c r="J1186" t="str">
        <f>MAIN!A1191&amp;"B"</f>
        <v>B</v>
      </c>
      <c r="K1186" s="12" t="e">
        <f t="shared" si="75"/>
        <v>#VALUE!</v>
      </c>
      <c r="L1186" t="str">
        <f>MAIN!C1191</f>
        <v/>
      </c>
    </row>
    <row r="1187" spans="1:12" x14ac:dyDescent="0.3">
      <c r="A1187">
        <f>IF(J1187="0",0,IF(COUNTIF($J$2:J1187,J1187)=1,1,0))</f>
        <v>0</v>
      </c>
      <c r="B1187" s="12" t="e">
        <f>MID(MAIN!A1192,K1187,2)</f>
        <v>#VALUE!</v>
      </c>
      <c r="C1187" s="12" t="e">
        <f t="shared" si="72"/>
        <v>#VALUE!</v>
      </c>
      <c r="D1187" s="12" t="e">
        <f>MID(MAIN!A1192,K1187+2,2)</f>
        <v>#VALUE!</v>
      </c>
      <c r="E1187" s="12" t="e">
        <f>MID(MAIN!A1192,K1187+4,2)</f>
        <v>#VALUE!</v>
      </c>
      <c r="F1187" s="2" t="e">
        <f t="shared" si="73"/>
        <v>#VALUE!</v>
      </c>
      <c r="G1187" s="13" t="e">
        <f t="shared" si="74"/>
        <v>#VALUE!</v>
      </c>
      <c r="J1187" t="str">
        <f>MAIN!A1192&amp;"B"</f>
        <v>B</v>
      </c>
      <c r="K1187" s="12" t="e">
        <f t="shared" si="75"/>
        <v>#VALUE!</v>
      </c>
      <c r="L1187" t="str">
        <f>MAIN!C1192</f>
        <v/>
      </c>
    </row>
    <row r="1188" spans="1:12" x14ac:dyDescent="0.3">
      <c r="A1188">
        <f>IF(J1188="0",0,IF(COUNTIF($J$2:J1188,J1188)=1,1,0))</f>
        <v>0</v>
      </c>
      <c r="B1188" s="12" t="e">
        <f>MID(MAIN!A1193,K1188,2)</f>
        <v>#VALUE!</v>
      </c>
      <c r="C1188" s="12" t="e">
        <f t="shared" si="72"/>
        <v>#VALUE!</v>
      </c>
      <c r="D1188" s="12" t="e">
        <f>MID(MAIN!A1193,K1188+2,2)</f>
        <v>#VALUE!</v>
      </c>
      <c r="E1188" s="12" t="e">
        <f>MID(MAIN!A1193,K1188+4,2)</f>
        <v>#VALUE!</v>
      </c>
      <c r="F1188" s="2" t="e">
        <f t="shared" si="73"/>
        <v>#VALUE!</v>
      </c>
      <c r="G1188" s="13" t="e">
        <f t="shared" si="74"/>
        <v>#VALUE!</v>
      </c>
      <c r="J1188" t="str">
        <f>MAIN!A1193&amp;"B"</f>
        <v>B</v>
      </c>
      <c r="K1188" s="12" t="e">
        <f t="shared" si="75"/>
        <v>#VALUE!</v>
      </c>
      <c r="L1188" t="str">
        <f>MAIN!C1193</f>
        <v/>
      </c>
    </row>
    <row r="1189" spans="1:12" x14ac:dyDescent="0.3">
      <c r="A1189">
        <f>IF(J1189="0",0,IF(COUNTIF($J$2:J1189,J1189)=1,1,0))</f>
        <v>0</v>
      </c>
      <c r="B1189" s="12" t="e">
        <f>MID(MAIN!A1194,K1189,2)</f>
        <v>#VALUE!</v>
      </c>
      <c r="C1189" s="12" t="e">
        <f t="shared" si="72"/>
        <v>#VALUE!</v>
      </c>
      <c r="D1189" s="12" t="e">
        <f>MID(MAIN!A1194,K1189+2,2)</f>
        <v>#VALUE!</v>
      </c>
      <c r="E1189" s="12" t="e">
        <f>MID(MAIN!A1194,K1189+4,2)</f>
        <v>#VALUE!</v>
      </c>
      <c r="F1189" s="2" t="e">
        <f t="shared" si="73"/>
        <v>#VALUE!</v>
      </c>
      <c r="G1189" s="13" t="e">
        <f t="shared" si="74"/>
        <v>#VALUE!</v>
      </c>
      <c r="J1189" t="str">
        <f>MAIN!A1194&amp;"B"</f>
        <v>B</v>
      </c>
      <c r="K1189" s="12" t="e">
        <f t="shared" si="75"/>
        <v>#VALUE!</v>
      </c>
      <c r="L1189" t="str">
        <f>MAIN!C1194</f>
        <v/>
      </c>
    </row>
    <row r="1190" spans="1:12" x14ac:dyDescent="0.3">
      <c r="A1190">
        <f>IF(J1190="0",0,IF(COUNTIF($J$2:J1190,J1190)=1,1,0))</f>
        <v>0</v>
      </c>
      <c r="B1190" s="12" t="e">
        <f>MID(MAIN!A1195,K1190,2)</f>
        <v>#VALUE!</v>
      </c>
      <c r="C1190" s="12" t="e">
        <f t="shared" si="72"/>
        <v>#VALUE!</v>
      </c>
      <c r="D1190" s="12" t="e">
        <f>MID(MAIN!A1195,K1190+2,2)</f>
        <v>#VALUE!</v>
      </c>
      <c r="E1190" s="12" t="e">
        <f>MID(MAIN!A1195,K1190+4,2)</f>
        <v>#VALUE!</v>
      </c>
      <c r="F1190" s="2" t="e">
        <f t="shared" si="73"/>
        <v>#VALUE!</v>
      </c>
      <c r="G1190" s="13" t="e">
        <f t="shared" si="74"/>
        <v>#VALUE!</v>
      </c>
      <c r="J1190" t="str">
        <f>MAIN!A1195&amp;"B"</f>
        <v>B</v>
      </c>
      <c r="K1190" s="12" t="e">
        <f t="shared" si="75"/>
        <v>#VALUE!</v>
      </c>
      <c r="L1190" t="str">
        <f>MAIN!C1195</f>
        <v/>
      </c>
    </row>
    <row r="1191" spans="1:12" x14ac:dyDescent="0.3">
      <c r="A1191">
        <f>IF(J1191="0",0,IF(COUNTIF($J$2:J1191,J1191)=1,1,0))</f>
        <v>0</v>
      </c>
      <c r="B1191" s="12" t="e">
        <f>MID(MAIN!A1196,K1191,2)</f>
        <v>#VALUE!</v>
      </c>
      <c r="C1191" s="12" t="e">
        <f t="shared" si="72"/>
        <v>#VALUE!</v>
      </c>
      <c r="D1191" s="12" t="e">
        <f>MID(MAIN!A1196,K1191+2,2)</f>
        <v>#VALUE!</v>
      </c>
      <c r="E1191" s="12" t="e">
        <f>MID(MAIN!A1196,K1191+4,2)</f>
        <v>#VALUE!</v>
      </c>
      <c r="F1191" s="2" t="e">
        <f t="shared" si="73"/>
        <v>#VALUE!</v>
      </c>
      <c r="G1191" s="13" t="e">
        <f t="shared" si="74"/>
        <v>#VALUE!</v>
      </c>
      <c r="J1191" t="str">
        <f>MAIN!A1196&amp;"B"</f>
        <v>B</v>
      </c>
      <c r="K1191" s="12" t="e">
        <f t="shared" si="75"/>
        <v>#VALUE!</v>
      </c>
      <c r="L1191" t="str">
        <f>MAIN!C1196</f>
        <v/>
      </c>
    </row>
    <row r="1192" spans="1:12" x14ac:dyDescent="0.3">
      <c r="A1192">
        <f>IF(J1192="0",0,IF(COUNTIF($J$2:J1192,J1192)=1,1,0))</f>
        <v>0</v>
      </c>
      <c r="B1192" s="12" t="e">
        <f>MID(MAIN!A1197,K1192,2)</f>
        <v>#VALUE!</v>
      </c>
      <c r="C1192" s="12" t="e">
        <f t="shared" si="72"/>
        <v>#VALUE!</v>
      </c>
      <c r="D1192" s="12" t="e">
        <f>MID(MAIN!A1197,K1192+2,2)</f>
        <v>#VALUE!</v>
      </c>
      <c r="E1192" s="12" t="e">
        <f>MID(MAIN!A1197,K1192+4,2)</f>
        <v>#VALUE!</v>
      </c>
      <c r="F1192" s="2" t="e">
        <f t="shared" si="73"/>
        <v>#VALUE!</v>
      </c>
      <c r="G1192" s="13" t="e">
        <f t="shared" si="74"/>
        <v>#VALUE!</v>
      </c>
      <c r="J1192" t="str">
        <f>MAIN!A1197&amp;"B"</f>
        <v>B</v>
      </c>
      <c r="K1192" s="12" t="e">
        <f t="shared" si="75"/>
        <v>#VALUE!</v>
      </c>
      <c r="L1192" t="str">
        <f>MAIN!C1197</f>
        <v/>
      </c>
    </row>
    <row r="1193" spans="1:12" x14ac:dyDescent="0.3">
      <c r="A1193">
        <f>IF(J1193="0",0,IF(COUNTIF($J$2:J1193,J1193)=1,1,0))</f>
        <v>0</v>
      </c>
      <c r="B1193" s="12" t="e">
        <f>MID(MAIN!A1198,K1193,2)</f>
        <v>#VALUE!</v>
      </c>
      <c r="C1193" s="12" t="e">
        <f t="shared" si="72"/>
        <v>#VALUE!</v>
      </c>
      <c r="D1193" s="12" t="e">
        <f>MID(MAIN!A1198,K1193+2,2)</f>
        <v>#VALUE!</v>
      </c>
      <c r="E1193" s="12" t="e">
        <f>MID(MAIN!A1198,K1193+4,2)</f>
        <v>#VALUE!</v>
      </c>
      <c r="F1193" s="2" t="e">
        <f t="shared" si="73"/>
        <v>#VALUE!</v>
      </c>
      <c r="G1193" s="13" t="e">
        <f t="shared" si="74"/>
        <v>#VALUE!</v>
      </c>
      <c r="J1193" t="str">
        <f>MAIN!A1198&amp;"B"</f>
        <v>B</v>
      </c>
      <c r="K1193" s="12" t="e">
        <f t="shared" si="75"/>
        <v>#VALUE!</v>
      </c>
      <c r="L1193" t="str">
        <f>MAIN!C1198</f>
        <v/>
      </c>
    </row>
    <row r="1194" spans="1:12" x14ac:dyDescent="0.3">
      <c r="A1194">
        <f>IF(J1194="0",0,IF(COUNTIF($J$2:J1194,J1194)=1,1,0))</f>
        <v>0</v>
      </c>
      <c r="B1194" s="12" t="e">
        <f>MID(MAIN!A1199,K1194,2)</f>
        <v>#VALUE!</v>
      </c>
      <c r="C1194" s="12" t="e">
        <f t="shared" si="72"/>
        <v>#VALUE!</v>
      </c>
      <c r="D1194" s="12" t="e">
        <f>MID(MAIN!A1199,K1194+2,2)</f>
        <v>#VALUE!</v>
      </c>
      <c r="E1194" s="12" t="e">
        <f>MID(MAIN!A1199,K1194+4,2)</f>
        <v>#VALUE!</v>
      </c>
      <c r="F1194" s="2" t="e">
        <f t="shared" si="73"/>
        <v>#VALUE!</v>
      </c>
      <c r="G1194" s="13" t="e">
        <f t="shared" si="74"/>
        <v>#VALUE!</v>
      </c>
      <c r="J1194" t="str">
        <f>MAIN!A1199&amp;"B"</f>
        <v>B</v>
      </c>
      <c r="K1194" s="12" t="e">
        <f t="shared" si="75"/>
        <v>#VALUE!</v>
      </c>
      <c r="L1194" t="str">
        <f>MAIN!C1199</f>
        <v/>
      </c>
    </row>
    <row r="1195" spans="1:12" x14ac:dyDescent="0.3">
      <c r="A1195">
        <f>IF(J1195="0",0,IF(COUNTIF($J$2:J1195,J1195)=1,1,0))</f>
        <v>0</v>
      </c>
      <c r="B1195" s="12" t="e">
        <f>MID(MAIN!A1200,K1195,2)</f>
        <v>#VALUE!</v>
      </c>
      <c r="C1195" s="12" t="e">
        <f t="shared" si="72"/>
        <v>#VALUE!</v>
      </c>
      <c r="D1195" s="12" t="e">
        <f>MID(MAIN!A1200,K1195+2,2)</f>
        <v>#VALUE!</v>
      </c>
      <c r="E1195" s="12" t="e">
        <f>MID(MAIN!A1200,K1195+4,2)</f>
        <v>#VALUE!</v>
      </c>
      <c r="F1195" s="2" t="e">
        <f t="shared" si="73"/>
        <v>#VALUE!</v>
      </c>
      <c r="G1195" s="13" t="e">
        <f t="shared" si="74"/>
        <v>#VALUE!</v>
      </c>
      <c r="J1195" t="str">
        <f>MAIN!A1200&amp;"B"</f>
        <v>B</v>
      </c>
      <c r="K1195" s="12" t="e">
        <f t="shared" si="75"/>
        <v>#VALUE!</v>
      </c>
      <c r="L1195" t="str">
        <f>MAIN!C1200</f>
        <v/>
      </c>
    </row>
    <row r="1196" spans="1:12" x14ac:dyDescent="0.3">
      <c r="A1196">
        <f>IF(J1196="0",0,IF(COUNTIF($J$2:J1196,J1196)=1,1,0))</f>
        <v>0</v>
      </c>
      <c r="B1196" s="12" t="e">
        <f>MID(MAIN!A1201,K1196,2)</f>
        <v>#VALUE!</v>
      </c>
      <c r="C1196" s="12" t="e">
        <f t="shared" si="72"/>
        <v>#VALUE!</v>
      </c>
      <c r="D1196" s="12" t="e">
        <f>MID(MAIN!A1201,K1196+2,2)</f>
        <v>#VALUE!</v>
      </c>
      <c r="E1196" s="12" t="e">
        <f>MID(MAIN!A1201,K1196+4,2)</f>
        <v>#VALUE!</v>
      </c>
      <c r="F1196" s="2" t="e">
        <f t="shared" si="73"/>
        <v>#VALUE!</v>
      </c>
      <c r="G1196" s="13" t="e">
        <f t="shared" si="74"/>
        <v>#VALUE!</v>
      </c>
      <c r="J1196" t="str">
        <f>MAIN!A1201&amp;"B"</f>
        <v>B</v>
      </c>
      <c r="K1196" s="12" t="e">
        <f t="shared" si="75"/>
        <v>#VALUE!</v>
      </c>
      <c r="L1196" t="str">
        <f>MAIN!C1201</f>
        <v/>
      </c>
    </row>
    <row r="1197" spans="1:12" x14ac:dyDescent="0.3">
      <c r="A1197">
        <f>IF(J1197="0",0,IF(COUNTIF($J$2:J1197,J1197)=1,1,0))</f>
        <v>0</v>
      </c>
      <c r="B1197" s="12" t="e">
        <f>MID(MAIN!A1202,K1197,2)</f>
        <v>#VALUE!</v>
      </c>
      <c r="C1197" s="12" t="e">
        <f t="shared" si="72"/>
        <v>#VALUE!</v>
      </c>
      <c r="D1197" s="12" t="e">
        <f>MID(MAIN!A1202,K1197+2,2)</f>
        <v>#VALUE!</v>
      </c>
      <c r="E1197" s="12" t="e">
        <f>MID(MAIN!A1202,K1197+4,2)</f>
        <v>#VALUE!</v>
      </c>
      <c r="F1197" s="2" t="e">
        <f t="shared" si="73"/>
        <v>#VALUE!</v>
      </c>
      <c r="G1197" s="13" t="e">
        <f t="shared" si="74"/>
        <v>#VALUE!</v>
      </c>
      <c r="J1197" t="str">
        <f>MAIN!A1202&amp;"B"</f>
        <v>B</v>
      </c>
      <c r="K1197" s="12" t="e">
        <f t="shared" si="75"/>
        <v>#VALUE!</v>
      </c>
      <c r="L1197" t="str">
        <f>MAIN!C1202</f>
        <v/>
      </c>
    </row>
    <row r="1198" spans="1:12" x14ac:dyDescent="0.3">
      <c r="A1198">
        <f>IF(J1198="0",0,IF(COUNTIF($J$2:J1198,J1198)=1,1,0))</f>
        <v>0</v>
      </c>
      <c r="B1198" s="12" t="e">
        <f>MID(MAIN!A1203,K1198,2)</f>
        <v>#VALUE!</v>
      </c>
      <c r="C1198" s="12" t="e">
        <f t="shared" si="72"/>
        <v>#VALUE!</v>
      </c>
      <c r="D1198" s="12" t="e">
        <f>MID(MAIN!A1203,K1198+2,2)</f>
        <v>#VALUE!</v>
      </c>
      <c r="E1198" s="12" t="e">
        <f>MID(MAIN!A1203,K1198+4,2)</f>
        <v>#VALUE!</v>
      </c>
      <c r="F1198" s="2" t="e">
        <f t="shared" si="73"/>
        <v>#VALUE!</v>
      </c>
      <c r="G1198" s="13" t="e">
        <f t="shared" si="74"/>
        <v>#VALUE!</v>
      </c>
      <c r="J1198" t="str">
        <f>MAIN!A1203&amp;"B"</f>
        <v>B</v>
      </c>
      <c r="K1198" s="12" t="e">
        <f t="shared" si="75"/>
        <v>#VALUE!</v>
      </c>
      <c r="L1198" t="str">
        <f>MAIN!C1203</f>
        <v/>
      </c>
    </row>
    <row r="1199" spans="1:12" x14ac:dyDescent="0.3">
      <c r="A1199">
        <f>IF(J1199="0",0,IF(COUNTIF($J$2:J1199,J1199)=1,1,0))</f>
        <v>0</v>
      </c>
      <c r="B1199" s="12" t="e">
        <f>MID(MAIN!A1204,K1199,2)</f>
        <v>#VALUE!</v>
      </c>
      <c r="C1199" s="12" t="e">
        <f t="shared" si="72"/>
        <v>#VALUE!</v>
      </c>
      <c r="D1199" s="12" t="e">
        <f>MID(MAIN!A1204,K1199+2,2)</f>
        <v>#VALUE!</v>
      </c>
      <c r="E1199" s="12" t="e">
        <f>MID(MAIN!A1204,K1199+4,2)</f>
        <v>#VALUE!</v>
      </c>
      <c r="F1199" s="2" t="e">
        <f t="shared" si="73"/>
        <v>#VALUE!</v>
      </c>
      <c r="G1199" s="13" t="e">
        <f t="shared" si="74"/>
        <v>#VALUE!</v>
      </c>
      <c r="J1199" t="str">
        <f>MAIN!A1204&amp;"B"</f>
        <v>B</v>
      </c>
      <c r="K1199" s="12" t="e">
        <f t="shared" si="75"/>
        <v>#VALUE!</v>
      </c>
      <c r="L1199" t="str">
        <f>MAIN!C1204</f>
        <v/>
      </c>
    </row>
    <row r="1200" spans="1:12" x14ac:dyDescent="0.3">
      <c r="A1200">
        <f>IF(J1200="0",0,IF(COUNTIF($J$2:J1200,J1200)=1,1,0))</f>
        <v>0</v>
      </c>
      <c r="B1200" s="12" t="e">
        <f>MID(MAIN!A1205,K1200,2)</f>
        <v>#VALUE!</v>
      </c>
      <c r="C1200" s="12" t="e">
        <f t="shared" si="72"/>
        <v>#VALUE!</v>
      </c>
      <c r="D1200" s="12" t="e">
        <f>MID(MAIN!A1205,K1200+2,2)</f>
        <v>#VALUE!</v>
      </c>
      <c r="E1200" s="12" t="e">
        <f>MID(MAIN!A1205,K1200+4,2)</f>
        <v>#VALUE!</v>
      </c>
      <c r="F1200" s="2" t="e">
        <f t="shared" si="73"/>
        <v>#VALUE!</v>
      </c>
      <c r="G1200" s="13" t="e">
        <f t="shared" si="74"/>
        <v>#VALUE!</v>
      </c>
      <c r="J1200" t="str">
        <f>MAIN!A1205&amp;"B"</f>
        <v>B</v>
      </c>
      <c r="K1200" s="12" t="e">
        <f t="shared" si="75"/>
        <v>#VALUE!</v>
      </c>
      <c r="L1200" t="str">
        <f>MAIN!C1205</f>
        <v/>
      </c>
    </row>
    <row r="1201" spans="1:12" x14ac:dyDescent="0.3">
      <c r="A1201">
        <f>IF(J1201="0",0,IF(COUNTIF($J$2:J1201,J1201)=1,1,0))</f>
        <v>0</v>
      </c>
      <c r="B1201" s="12" t="e">
        <f>MID(MAIN!A1206,K1201,2)</f>
        <v>#VALUE!</v>
      </c>
      <c r="C1201" s="12" t="e">
        <f t="shared" si="72"/>
        <v>#VALUE!</v>
      </c>
      <c r="D1201" s="12" t="e">
        <f>MID(MAIN!A1206,K1201+2,2)</f>
        <v>#VALUE!</v>
      </c>
      <c r="E1201" s="12" t="e">
        <f>MID(MAIN!A1206,K1201+4,2)</f>
        <v>#VALUE!</v>
      </c>
      <c r="F1201" s="2" t="e">
        <f t="shared" si="73"/>
        <v>#VALUE!</v>
      </c>
      <c r="G1201" s="13" t="e">
        <f t="shared" si="74"/>
        <v>#VALUE!</v>
      </c>
      <c r="J1201" t="str">
        <f>MAIN!A1206&amp;"B"</f>
        <v>B</v>
      </c>
      <c r="K1201" s="12" t="e">
        <f t="shared" si="75"/>
        <v>#VALUE!</v>
      </c>
      <c r="L1201" t="str">
        <f>MAIN!C1206</f>
        <v/>
      </c>
    </row>
    <row r="1202" spans="1:12" x14ac:dyDescent="0.3">
      <c r="A1202">
        <f>IF(J1202="0",0,IF(COUNTIF($J$2:J1202,J1202)=1,1,0))</f>
        <v>0</v>
      </c>
      <c r="B1202" s="12" t="e">
        <f>MID(MAIN!A1207,K1202,2)</f>
        <v>#VALUE!</v>
      </c>
      <c r="C1202" s="12" t="e">
        <f t="shared" si="72"/>
        <v>#VALUE!</v>
      </c>
      <c r="D1202" s="12" t="e">
        <f>MID(MAIN!A1207,K1202+2,2)</f>
        <v>#VALUE!</v>
      </c>
      <c r="E1202" s="12" t="e">
        <f>MID(MAIN!A1207,K1202+4,2)</f>
        <v>#VALUE!</v>
      </c>
      <c r="F1202" s="2" t="e">
        <f t="shared" si="73"/>
        <v>#VALUE!</v>
      </c>
      <c r="G1202" s="13" t="e">
        <f t="shared" si="74"/>
        <v>#VALUE!</v>
      </c>
      <c r="J1202" t="str">
        <f>MAIN!A1207&amp;"B"</f>
        <v>B</v>
      </c>
      <c r="K1202" s="12" t="e">
        <f t="shared" si="75"/>
        <v>#VALUE!</v>
      </c>
      <c r="L1202" t="str">
        <f>MAIN!C1207</f>
        <v/>
      </c>
    </row>
    <row r="1203" spans="1:12" x14ac:dyDescent="0.3">
      <c r="A1203">
        <f>IF(J1203="0",0,IF(COUNTIF($J$2:J1203,J1203)=1,1,0))</f>
        <v>0</v>
      </c>
      <c r="B1203" s="12" t="e">
        <f>MID(MAIN!A1208,K1203,2)</f>
        <v>#VALUE!</v>
      </c>
      <c r="C1203" s="12" t="e">
        <f t="shared" si="72"/>
        <v>#VALUE!</v>
      </c>
      <c r="D1203" s="12" t="e">
        <f>MID(MAIN!A1208,K1203+2,2)</f>
        <v>#VALUE!</v>
      </c>
      <c r="E1203" s="12" t="e">
        <f>MID(MAIN!A1208,K1203+4,2)</f>
        <v>#VALUE!</v>
      </c>
      <c r="F1203" s="2" t="e">
        <f t="shared" si="73"/>
        <v>#VALUE!</v>
      </c>
      <c r="G1203" s="13" t="e">
        <f t="shared" si="74"/>
        <v>#VALUE!</v>
      </c>
      <c r="J1203" t="str">
        <f>MAIN!A1208&amp;"B"</f>
        <v>B</v>
      </c>
      <c r="K1203" s="12" t="e">
        <f t="shared" si="75"/>
        <v>#VALUE!</v>
      </c>
      <c r="L1203" t="str">
        <f>MAIN!C1208</f>
        <v/>
      </c>
    </row>
    <row r="1204" spans="1:12" x14ac:dyDescent="0.3">
      <c r="A1204">
        <f>IF(J1204="0",0,IF(COUNTIF($J$2:J1204,J1204)=1,1,0))</f>
        <v>0</v>
      </c>
      <c r="B1204" s="12" t="e">
        <f>MID(MAIN!A1209,K1204,2)</f>
        <v>#VALUE!</v>
      </c>
      <c r="C1204" s="12" t="e">
        <f t="shared" si="72"/>
        <v>#VALUE!</v>
      </c>
      <c r="D1204" s="12" t="e">
        <f>MID(MAIN!A1209,K1204+2,2)</f>
        <v>#VALUE!</v>
      </c>
      <c r="E1204" s="12" t="e">
        <f>MID(MAIN!A1209,K1204+4,2)</f>
        <v>#VALUE!</v>
      </c>
      <c r="F1204" s="2" t="e">
        <f t="shared" si="73"/>
        <v>#VALUE!</v>
      </c>
      <c r="G1204" s="13" t="e">
        <f t="shared" si="74"/>
        <v>#VALUE!</v>
      </c>
      <c r="J1204" t="str">
        <f>MAIN!A1209&amp;"B"</f>
        <v>B</v>
      </c>
      <c r="K1204" s="12" t="e">
        <f t="shared" si="75"/>
        <v>#VALUE!</v>
      </c>
      <c r="L1204" t="str">
        <f>MAIN!C1209</f>
        <v/>
      </c>
    </row>
    <row r="1205" spans="1:12" x14ac:dyDescent="0.3">
      <c r="A1205">
        <f>IF(J1205="0",0,IF(COUNTIF($J$2:J1205,J1205)=1,1,0))</f>
        <v>0</v>
      </c>
      <c r="B1205" s="12" t="e">
        <f>MID(MAIN!A1210,K1205,2)</f>
        <v>#VALUE!</v>
      </c>
      <c r="C1205" s="12" t="e">
        <f t="shared" si="72"/>
        <v>#VALUE!</v>
      </c>
      <c r="D1205" s="12" t="e">
        <f>MID(MAIN!A1210,K1205+2,2)</f>
        <v>#VALUE!</v>
      </c>
      <c r="E1205" s="12" t="e">
        <f>MID(MAIN!A1210,K1205+4,2)</f>
        <v>#VALUE!</v>
      </c>
      <c r="F1205" s="2" t="e">
        <f t="shared" si="73"/>
        <v>#VALUE!</v>
      </c>
      <c r="G1205" s="13" t="e">
        <f t="shared" si="74"/>
        <v>#VALUE!</v>
      </c>
      <c r="J1205" t="str">
        <f>MAIN!A1210&amp;"B"</f>
        <v>B</v>
      </c>
      <c r="K1205" s="12" t="e">
        <f t="shared" si="75"/>
        <v>#VALUE!</v>
      </c>
      <c r="L1205" t="str">
        <f>MAIN!C1210</f>
        <v/>
      </c>
    </row>
    <row r="1206" spans="1:12" x14ac:dyDescent="0.3">
      <c r="A1206">
        <f>IF(J1206="0",0,IF(COUNTIF($J$2:J1206,J1206)=1,1,0))</f>
        <v>0</v>
      </c>
      <c r="B1206" s="12" t="e">
        <f>MID(MAIN!A1211,K1206,2)</f>
        <v>#VALUE!</v>
      </c>
      <c r="C1206" s="12" t="e">
        <f t="shared" si="72"/>
        <v>#VALUE!</v>
      </c>
      <c r="D1206" s="12" t="e">
        <f>MID(MAIN!A1211,K1206+2,2)</f>
        <v>#VALUE!</v>
      </c>
      <c r="E1206" s="12" t="e">
        <f>MID(MAIN!A1211,K1206+4,2)</f>
        <v>#VALUE!</v>
      </c>
      <c r="F1206" s="2" t="e">
        <f t="shared" si="73"/>
        <v>#VALUE!</v>
      </c>
      <c r="G1206" s="13" t="e">
        <f t="shared" si="74"/>
        <v>#VALUE!</v>
      </c>
      <c r="J1206" t="str">
        <f>MAIN!A1211&amp;"B"</f>
        <v>B</v>
      </c>
      <c r="K1206" s="12" t="e">
        <f t="shared" si="75"/>
        <v>#VALUE!</v>
      </c>
      <c r="L1206" t="str">
        <f>MAIN!C1211</f>
        <v/>
      </c>
    </row>
    <row r="1207" spans="1:12" x14ac:dyDescent="0.3">
      <c r="A1207">
        <f>IF(J1207="0",0,IF(COUNTIF($J$2:J1207,J1207)=1,1,0))</f>
        <v>0</v>
      </c>
      <c r="B1207" s="12" t="e">
        <f>MID(MAIN!A1212,K1207,2)</f>
        <v>#VALUE!</v>
      </c>
      <c r="C1207" s="12" t="e">
        <f t="shared" si="72"/>
        <v>#VALUE!</v>
      </c>
      <c r="D1207" s="12" t="e">
        <f>MID(MAIN!A1212,K1207+2,2)</f>
        <v>#VALUE!</v>
      </c>
      <c r="E1207" s="12" t="e">
        <f>MID(MAIN!A1212,K1207+4,2)</f>
        <v>#VALUE!</v>
      </c>
      <c r="F1207" s="2" t="e">
        <f t="shared" si="73"/>
        <v>#VALUE!</v>
      </c>
      <c r="G1207" s="13" t="e">
        <f t="shared" si="74"/>
        <v>#VALUE!</v>
      </c>
      <c r="J1207" t="str">
        <f>MAIN!A1212&amp;"B"</f>
        <v>B</v>
      </c>
      <c r="K1207" s="12" t="e">
        <f t="shared" si="75"/>
        <v>#VALUE!</v>
      </c>
      <c r="L1207" t="str">
        <f>MAIN!C1212</f>
        <v/>
      </c>
    </row>
    <row r="1208" spans="1:12" x14ac:dyDescent="0.3">
      <c r="A1208">
        <f>IF(J1208="0",0,IF(COUNTIF($J$2:J1208,J1208)=1,1,0))</f>
        <v>0</v>
      </c>
      <c r="B1208" s="12" t="e">
        <f>MID(MAIN!A1213,K1208,2)</f>
        <v>#VALUE!</v>
      </c>
      <c r="C1208" s="12" t="e">
        <f t="shared" si="72"/>
        <v>#VALUE!</v>
      </c>
      <c r="D1208" s="12" t="e">
        <f>MID(MAIN!A1213,K1208+2,2)</f>
        <v>#VALUE!</v>
      </c>
      <c r="E1208" s="12" t="e">
        <f>MID(MAIN!A1213,K1208+4,2)</f>
        <v>#VALUE!</v>
      </c>
      <c r="F1208" s="2" t="e">
        <f t="shared" si="73"/>
        <v>#VALUE!</v>
      </c>
      <c r="G1208" s="13" t="e">
        <f t="shared" si="74"/>
        <v>#VALUE!</v>
      </c>
      <c r="J1208" t="str">
        <f>MAIN!A1213&amp;"B"</f>
        <v>B</v>
      </c>
      <c r="K1208" s="12" t="e">
        <f t="shared" si="75"/>
        <v>#VALUE!</v>
      </c>
      <c r="L1208" t="str">
        <f>MAIN!C1213</f>
        <v/>
      </c>
    </row>
    <row r="1209" spans="1:12" x14ac:dyDescent="0.3">
      <c r="A1209">
        <f>IF(J1209="0",0,IF(COUNTIF($J$2:J1209,J1209)=1,1,0))</f>
        <v>0</v>
      </c>
      <c r="B1209" s="12" t="e">
        <f>MID(MAIN!A1214,K1209,2)</f>
        <v>#VALUE!</v>
      </c>
      <c r="C1209" s="12" t="e">
        <f t="shared" si="72"/>
        <v>#VALUE!</v>
      </c>
      <c r="D1209" s="12" t="e">
        <f>MID(MAIN!A1214,K1209+2,2)</f>
        <v>#VALUE!</v>
      </c>
      <c r="E1209" s="12" t="e">
        <f>MID(MAIN!A1214,K1209+4,2)</f>
        <v>#VALUE!</v>
      </c>
      <c r="F1209" s="2" t="e">
        <f t="shared" si="73"/>
        <v>#VALUE!</v>
      </c>
      <c r="G1209" s="13" t="e">
        <f t="shared" si="74"/>
        <v>#VALUE!</v>
      </c>
      <c r="J1209" t="str">
        <f>MAIN!A1214&amp;"B"</f>
        <v>B</v>
      </c>
      <c r="K1209" s="12" t="e">
        <f t="shared" si="75"/>
        <v>#VALUE!</v>
      </c>
      <c r="L1209" t="str">
        <f>MAIN!C1214</f>
        <v/>
      </c>
    </row>
    <row r="1210" spans="1:12" x14ac:dyDescent="0.3">
      <c r="A1210">
        <f>IF(J1210="0",0,IF(COUNTIF($J$2:J1210,J1210)=1,1,0))</f>
        <v>0</v>
      </c>
      <c r="B1210" s="12" t="e">
        <f>MID(MAIN!A1215,K1210,2)</f>
        <v>#VALUE!</v>
      </c>
      <c r="C1210" s="12" t="e">
        <f t="shared" si="72"/>
        <v>#VALUE!</v>
      </c>
      <c r="D1210" s="12" t="e">
        <f>MID(MAIN!A1215,K1210+2,2)</f>
        <v>#VALUE!</v>
      </c>
      <c r="E1210" s="12" t="e">
        <f>MID(MAIN!A1215,K1210+4,2)</f>
        <v>#VALUE!</v>
      </c>
      <c r="F1210" s="2" t="e">
        <f t="shared" si="73"/>
        <v>#VALUE!</v>
      </c>
      <c r="G1210" s="13" t="e">
        <f t="shared" si="74"/>
        <v>#VALUE!</v>
      </c>
      <c r="J1210" t="str">
        <f>MAIN!A1215&amp;"B"</f>
        <v>B</v>
      </c>
      <c r="K1210" s="12" t="e">
        <f t="shared" si="75"/>
        <v>#VALUE!</v>
      </c>
      <c r="L1210" t="str">
        <f>MAIN!C1215</f>
        <v/>
      </c>
    </row>
    <row r="1211" spans="1:12" x14ac:dyDescent="0.3">
      <c r="A1211">
        <f>IF(J1211="0",0,IF(COUNTIF($J$2:J1211,J1211)=1,1,0))</f>
        <v>0</v>
      </c>
      <c r="B1211" s="12" t="e">
        <f>MID(MAIN!A1216,K1211,2)</f>
        <v>#VALUE!</v>
      </c>
      <c r="C1211" s="12" t="e">
        <f t="shared" si="72"/>
        <v>#VALUE!</v>
      </c>
      <c r="D1211" s="12" t="e">
        <f>MID(MAIN!A1216,K1211+2,2)</f>
        <v>#VALUE!</v>
      </c>
      <c r="E1211" s="12" t="e">
        <f>MID(MAIN!A1216,K1211+4,2)</f>
        <v>#VALUE!</v>
      </c>
      <c r="F1211" s="2" t="e">
        <f t="shared" si="73"/>
        <v>#VALUE!</v>
      </c>
      <c r="G1211" s="13" t="e">
        <f t="shared" si="74"/>
        <v>#VALUE!</v>
      </c>
      <c r="J1211" t="str">
        <f>MAIN!A1216&amp;"B"</f>
        <v>B</v>
      </c>
      <c r="K1211" s="12" t="e">
        <f t="shared" si="75"/>
        <v>#VALUE!</v>
      </c>
      <c r="L1211" t="str">
        <f>MAIN!C1216</f>
        <v/>
      </c>
    </row>
    <row r="1212" spans="1:12" x14ac:dyDescent="0.3">
      <c r="A1212">
        <f>IF(J1212="0",0,IF(COUNTIF($J$2:J1212,J1212)=1,1,0))</f>
        <v>0</v>
      </c>
      <c r="B1212" s="12" t="e">
        <f>MID(MAIN!A1217,K1212,2)</f>
        <v>#VALUE!</v>
      </c>
      <c r="C1212" s="12" t="e">
        <f t="shared" si="72"/>
        <v>#VALUE!</v>
      </c>
      <c r="D1212" s="12" t="e">
        <f>MID(MAIN!A1217,K1212+2,2)</f>
        <v>#VALUE!</v>
      </c>
      <c r="E1212" s="12" t="e">
        <f>MID(MAIN!A1217,K1212+4,2)</f>
        <v>#VALUE!</v>
      </c>
      <c r="F1212" s="2" t="e">
        <f t="shared" si="73"/>
        <v>#VALUE!</v>
      </c>
      <c r="G1212" s="13" t="e">
        <f t="shared" si="74"/>
        <v>#VALUE!</v>
      </c>
      <c r="J1212" t="str">
        <f>MAIN!A1217&amp;"B"</f>
        <v>B</v>
      </c>
      <c r="K1212" s="12" t="e">
        <f t="shared" si="75"/>
        <v>#VALUE!</v>
      </c>
      <c r="L1212" t="str">
        <f>MAIN!C1217</f>
        <v/>
      </c>
    </row>
    <row r="1213" spans="1:12" x14ac:dyDescent="0.3">
      <c r="A1213">
        <f>IF(J1213="0",0,IF(COUNTIF($J$2:J1213,J1213)=1,1,0))</f>
        <v>0</v>
      </c>
      <c r="B1213" s="12" t="e">
        <f>MID(MAIN!A1218,K1213,2)</f>
        <v>#VALUE!</v>
      </c>
      <c r="C1213" s="12" t="e">
        <f t="shared" si="72"/>
        <v>#VALUE!</v>
      </c>
      <c r="D1213" s="12" t="e">
        <f>MID(MAIN!A1218,K1213+2,2)</f>
        <v>#VALUE!</v>
      </c>
      <c r="E1213" s="12" t="e">
        <f>MID(MAIN!A1218,K1213+4,2)</f>
        <v>#VALUE!</v>
      </c>
      <c r="F1213" s="2" t="e">
        <f t="shared" si="73"/>
        <v>#VALUE!</v>
      </c>
      <c r="G1213" s="13" t="e">
        <f t="shared" si="74"/>
        <v>#VALUE!</v>
      </c>
      <c r="J1213" t="str">
        <f>MAIN!A1218&amp;"B"</f>
        <v>B</v>
      </c>
      <c r="K1213" s="12" t="e">
        <f t="shared" si="75"/>
        <v>#VALUE!</v>
      </c>
      <c r="L1213" t="str">
        <f>MAIN!C1218</f>
        <v/>
      </c>
    </row>
    <row r="1214" spans="1:12" x14ac:dyDescent="0.3">
      <c r="A1214">
        <f>IF(J1214="0",0,IF(COUNTIF($J$2:J1214,J1214)=1,1,0))</f>
        <v>0</v>
      </c>
      <c r="B1214" s="12" t="e">
        <f>MID(MAIN!A1219,K1214,2)</f>
        <v>#VALUE!</v>
      </c>
      <c r="C1214" s="12" t="e">
        <f t="shared" si="72"/>
        <v>#VALUE!</v>
      </c>
      <c r="D1214" s="12" t="e">
        <f>MID(MAIN!A1219,K1214+2,2)</f>
        <v>#VALUE!</v>
      </c>
      <c r="E1214" s="12" t="e">
        <f>MID(MAIN!A1219,K1214+4,2)</f>
        <v>#VALUE!</v>
      </c>
      <c r="F1214" s="2" t="e">
        <f t="shared" si="73"/>
        <v>#VALUE!</v>
      </c>
      <c r="G1214" s="13" t="e">
        <f t="shared" si="74"/>
        <v>#VALUE!</v>
      </c>
      <c r="J1214" t="str">
        <f>MAIN!A1219&amp;"B"</f>
        <v>B</v>
      </c>
      <c r="K1214" s="12" t="e">
        <f t="shared" si="75"/>
        <v>#VALUE!</v>
      </c>
      <c r="L1214" t="str">
        <f>MAIN!C1219</f>
        <v/>
      </c>
    </row>
    <row r="1215" spans="1:12" x14ac:dyDescent="0.3">
      <c r="A1215">
        <f>IF(J1215="0",0,IF(COUNTIF($J$2:J1215,J1215)=1,1,0))</f>
        <v>0</v>
      </c>
      <c r="B1215" s="12" t="e">
        <f>MID(MAIN!A1220,K1215,2)</f>
        <v>#VALUE!</v>
      </c>
      <c r="C1215" s="12" t="e">
        <f t="shared" si="72"/>
        <v>#VALUE!</v>
      </c>
      <c r="D1215" s="12" t="e">
        <f>MID(MAIN!A1220,K1215+2,2)</f>
        <v>#VALUE!</v>
      </c>
      <c r="E1215" s="12" t="e">
        <f>MID(MAIN!A1220,K1215+4,2)</f>
        <v>#VALUE!</v>
      </c>
      <c r="F1215" s="2" t="e">
        <f t="shared" si="73"/>
        <v>#VALUE!</v>
      </c>
      <c r="G1215" s="13" t="e">
        <f t="shared" si="74"/>
        <v>#VALUE!</v>
      </c>
      <c r="J1215" t="str">
        <f>MAIN!A1220&amp;"B"</f>
        <v>B</v>
      </c>
      <c r="K1215" s="12" t="e">
        <f t="shared" si="75"/>
        <v>#VALUE!</v>
      </c>
      <c r="L1215" t="str">
        <f>MAIN!C1220</f>
        <v/>
      </c>
    </row>
    <row r="1216" spans="1:12" x14ac:dyDescent="0.3">
      <c r="A1216">
        <f>IF(J1216="0",0,IF(COUNTIF($J$2:J1216,J1216)=1,1,0))</f>
        <v>0</v>
      </c>
      <c r="B1216" s="12" t="e">
        <f>MID(MAIN!A1221,K1216,2)</f>
        <v>#VALUE!</v>
      </c>
      <c r="C1216" s="12" t="e">
        <f t="shared" si="72"/>
        <v>#VALUE!</v>
      </c>
      <c r="D1216" s="12" t="e">
        <f>MID(MAIN!A1221,K1216+2,2)</f>
        <v>#VALUE!</v>
      </c>
      <c r="E1216" s="12" t="e">
        <f>MID(MAIN!A1221,K1216+4,2)</f>
        <v>#VALUE!</v>
      </c>
      <c r="F1216" s="2" t="e">
        <f t="shared" si="73"/>
        <v>#VALUE!</v>
      </c>
      <c r="G1216" s="13" t="e">
        <f t="shared" si="74"/>
        <v>#VALUE!</v>
      </c>
      <c r="J1216" t="str">
        <f>MAIN!A1221&amp;"B"</f>
        <v>B</v>
      </c>
      <c r="K1216" s="12" t="e">
        <f t="shared" si="75"/>
        <v>#VALUE!</v>
      </c>
      <c r="L1216" t="str">
        <f>MAIN!C1221</f>
        <v/>
      </c>
    </row>
    <row r="1217" spans="1:12" x14ac:dyDescent="0.3">
      <c r="A1217">
        <f>IF(J1217="0",0,IF(COUNTIF($J$2:J1217,J1217)=1,1,0))</f>
        <v>0</v>
      </c>
      <c r="B1217" s="12" t="e">
        <f>MID(MAIN!A1222,K1217,2)</f>
        <v>#VALUE!</v>
      </c>
      <c r="C1217" s="12" t="e">
        <f t="shared" si="72"/>
        <v>#VALUE!</v>
      </c>
      <c r="D1217" s="12" t="e">
        <f>MID(MAIN!A1222,K1217+2,2)</f>
        <v>#VALUE!</v>
      </c>
      <c r="E1217" s="12" t="e">
        <f>MID(MAIN!A1222,K1217+4,2)</f>
        <v>#VALUE!</v>
      </c>
      <c r="F1217" s="2" t="e">
        <f t="shared" si="73"/>
        <v>#VALUE!</v>
      </c>
      <c r="G1217" s="13" t="e">
        <f t="shared" si="74"/>
        <v>#VALUE!</v>
      </c>
      <c r="J1217" t="str">
        <f>MAIN!A1222&amp;"B"</f>
        <v>B</v>
      </c>
      <c r="K1217" s="12" t="e">
        <f t="shared" si="75"/>
        <v>#VALUE!</v>
      </c>
      <c r="L1217" t="str">
        <f>MAIN!C1222</f>
        <v/>
      </c>
    </row>
    <row r="1218" spans="1:12" x14ac:dyDescent="0.3">
      <c r="A1218">
        <f>IF(J1218="0",0,IF(COUNTIF($J$2:J1218,J1218)=1,1,0))</f>
        <v>0</v>
      </c>
      <c r="B1218" s="12" t="e">
        <f>MID(MAIN!A1223,K1218,2)</f>
        <v>#VALUE!</v>
      </c>
      <c r="C1218" s="12" t="e">
        <f t="shared" si="72"/>
        <v>#VALUE!</v>
      </c>
      <c r="D1218" s="12" t="e">
        <f>MID(MAIN!A1223,K1218+2,2)</f>
        <v>#VALUE!</v>
      </c>
      <c r="E1218" s="12" t="e">
        <f>MID(MAIN!A1223,K1218+4,2)</f>
        <v>#VALUE!</v>
      </c>
      <c r="F1218" s="2" t="e">
        <f t="shared" si="73"/>
        <v>#VALUE!</v>
      </c>
      <c r="G1218" s="13" t="e">
        <f t="shared" si="74"/>
        <v>#VALUE!</v>
      </c>
      <c r="J1218" t="str">
        <f>MAIN!A1223&amp;"B"</f>
        <v>B</v>
      </c>
      <c r="K1218" s="12" t="e">
        <f t="shared" si="75"/>
        <v>#VALUE!</v>
      </c>
      <c r="L1218" t="str">
        <f>MAIN!C1223</f>
        <v/>
      </c>
    </row>
    <row r="1219" spans="1:12" x14ac:dyDescent="0.3">
      <c r="A1219">
        <f>IF(J1219="0",0,IF(COUNTIF($J$2:J1219,J1219)=1,1,0))</f>
        <v>0</v>
      </c>
      <c r="B1219" s="12" t="e">
        <f>MID(MAIN!A1224,K1219,2)</f>
        <v>#VALUE!</v>
      </c>
      <c r="C1219" s="12" t="e">
        <f t="shared" ref="C1219:C1282" si="76">"20"&amp;B1219</f>
        <v>#VALUE!</v>
      </c>
      <c r="D1219" s="12" t="e">
        <f>MID(MAIN!A1224,K1219+2,2)</f>
        <v>#VALUE!</v>
      </c>
      <c r="E1219" s="12" t="e">
        <f>MID(MAIN!A1224,K1219+4,2)</f>
        <v>#VALUE!</v>
      </c>
      <c r="F1219" s="2" t="e">
        <f t="shared" ref="F1219:F1282" si="77">C1219&amp;"/"&amp;D1219&amp;"/"&amp;E1219</f>
        <v>#VALUE!</v>
      </c>
      <c r="G1219" s="13" t="e">
        <f t="shared" ref="G1219:G1282" si="78">DATEVALUE(F1219)</f>
        <v>#VALUE!</v>
      </c>
      <c r="J1219" t="str">
        <f>MAIN!A1224&amp;"B"</f>
        <v>B</v>
      </c>
      <c r="K1219" s="12" t="e">
        <f t="shared" ref="K1219:K1282" si="79">FIND("172",J1219,30)+2</f>
        <v>#VALUE!</v>
      </c>
      <c r="L1219" t="str">
        <f>MAIN!C1224</f>
        <v/>
      </c>
    </row>
    <row r="1220" spans="1:12" x14ac:dyDescent="0.3">
      <c r="A1220">
        <f>IF(J1220="0",0,IF(COUNTIF($J$2:J1220,J1220)=1,1,0))</f>
        <v>0</v>
      </c>
      <c r="B1220" s="12" t="e">
        <f>MID(MAIN!A1225,K1220,2)</f>
        <v>#VALUE!</v>
      </c>
      <c r="C1220" s="12" t="e">
        <f t="shared" si="76"/>
        <v>#VALUE!</v>
      </c>
      <c r="D1220" s="12" t="e">
        <f>MID(MAIN!A1225,K1220+2,2)</f>
        <v>#VALUE!</v>
      </c>
      <c r="E1220" s="12" t="e">
        <f>MID(MAIN!A1225,K1220+4,2)</f>
        <v>#VALUE!</v>
      </c>
      <c r="F1220" s="2" t="e">
        <f t="shared" si="77"/>
        <v>#VALUE!</v>
      </c>
      <c r="G1220" s="13" t="e">
        <f t="shared" si="78"/>
        <v>#VALUE!</v>
      </c>
      <c r="J1220" t="str">
        <f>MAIN!A1225&amp;"B"</f>
        <v>B</v>
      </c>
      <c r="K1220" s="12" t="e">
        <f t="shared" si="79"/>
        <v>#VALUE!</v>
      </c>
      <c r="L1220" t="str">
        <f>MAIN!C1225</f>
        <v/>
      </c>
    </row>
    <row r="1221" spans="1:12" x14ac:dyDescent="0.3">
      <c r="A1221">
        <f>IF(J1221="0",0,IF(COUNTIF($J$2:J1221,J1221)=1,1,0))</f>
        <v>0</v>
      </c>
      <c r="B1221" s="12" t="e">
        <f>MID(MAIN!A1226,K1221,2)</f>
        <v>#VALUE!</v>
      </c>
      <c r="C1221" s="12" t="e">
        <f t="shared" si="76"/>
        <v>#VALUE!</v>
      </c>
      <c r="D1221" s="12" t="e">
        <f>MID(MAIN!A1226,K1221+2,2)</f>
        <v>#VALUE!</v>
      </c>
      <c r="E1221" s="12" t="e">
        <f>MID(MAIN!A1226,K1221+4,2)</f>
        <v>#VALUE!</v>
      </c>
      <c r="F1221" s="2" t="e">
        <f t="shared" si="77"/>
        <v>#VALUE!</v>
      </c>
      <c r="G1221" s="13" t="e">
        <f t="shared" si="78"/>
        <v>#VALUE!</v>
      </c>
      <c r="J1221" t="str">
        <f>MAIN!A1226&amp;"B"</f>
        <v>B</v>
      </c>
      <c r="K1221" s="12" t="e">
        <f t="shared" si="79"/>
        <v>#VALUE!</v>
      </c>
      <c r="L1221" t="str">
        <f>MAIN!C1226</f>
        <v/>
      </c>
    </row>
    <row r="1222" spans="1:12" x14ac:dyDescent="0.3">
      <c r="A1222">
        <f>IF(J1222="0",0,IF(COUNTIF($J$2:J1222,J1222)=1,1,0))</f>
        <v>0</v>
      </c>
      <c r="B1222" s="12" t="e">
        <f>MID(MAIN!A1227,K1222,2)</f>
        <v>#VALUE!</v>
      </c>
      <c r="C1222" s="12" t="e">
        <f t="shared" si="76"/>
        <v>#VALUE!</v>
      </c>
      <c r="D1222" s="12" t="e">
        <f>MID(MAIN!A1227,K1222+2,2)</f>
        <v>#VALUE!</v>
      </c>
      <c r="E1222" s="12" t="e">
        <f>MID(MAIN!A1227,K1222+4,2)</f>
        <v>#VALUE!</v>
      </c>
      <c r="F1222" s="2" t="e">
        <f t="shared" si="77"/>
        <v>#VALUE!</v>
      </c>
      <c r="G1222" s="13" t="e">
        <f t="shared" si="78"/>
        <v>#VALUE!</v>
      </c>
      <c r="J1222" t="str">
        <f>MAIN!A1227&amp;"B"</f>
        <v>B</v>
      </c>
      <c r="K1222" s="12" t="e">
        <f t="shared" si="79"/>
        <v>#VALUE!</v>
      </c>
      <c r="L1222" t="str">
        <f>MAIN!C1227</f>
        <v/>
      </c>
    </row>
    <row r="1223" spans="1:12" x14ac:dyDescent="0.3">
      <c r="A1223">
        <f>IF(J1223="0",0,IF(COUNTIF($J$2:J1223,J1223)=1,1,0))</f>
        <v>0</v>
      </c>
      <c r="B1223" s="12" t="e">
        <f>MID(MAIN!A1228,K1223,2)</f>
        <v>#VALUE!</v>
      </c>
      <c r="C1223" s="12" t="e">
        <f t="shared" si="76"/>
        <v>#VALUE!</v>
      </c>
      <c r="D1223" s="12" t="e">
        <f>MID(MAIN!A1228,K1223+2,2)</f>
        <v>#VALUE!</v>
      </c>
      <c r="E1223" s="12" t="e">
        <f>MID(MAIN!A1228,K1223+4,2)</f>
        <v>#VALUE!</v>
      </c>
      <c r="F1223" s="2" t="e">
        <f t="shared" si="77"/>
        <v>#VALUE!</v>
      </c>
      <c r="G1223" s="13" t="e">
        <f t="shared" si="78"/>
        <v>#VALUE!</v>
      </c>
      <c r="J1223" t="str">
        <f>MAIN!A1228&amp;"B"</f>
        <v>B</v>
      </c>
      <c r="K1223" s="12" t="e">
        <f t="shared" si="79"/>
        <v>#VALUE!</v>
      </c>
      <c r="L1223" t="str">
        <f>MAIN!C1228</f>
        <v/>
      </c>
    </row>
    <row r="1224" spans="1:12" x14ac:dyDescent="0.3">
      <c r="A1224">
        <f>IF(J1224="0",0,IF(COUNTIF($J$2:J1224,J1224)=1,1,0))</f>
        <v>0</v>
      </c>
      <c r="B1224" s="12" t="e">
        <f>MID(MAIN!A1229,K1224,2)</f>
        <v>#VALUE!</v>
      </c>
      <c r="C1224" s="12" t="e">
        <f t="shared" si="76"/>
        <v>#VALUE!</v>
      </c>
      <c r="D1224" s="12" t="e">
        <f>MID(MAIN!A1229,K1224+2,2)</f>
        <v>#VALUE!</v>
      </c>
      <c r="E1224" s="12" t="e">
        <f>MID(MAIN!A1229,K1224+4,2)</f>
        <v>#VALUE!</v>
      </c>
      <c r="F1224" s="2" t="e">
        <f t="shared" si="77"/>
        <v>#VALUE!</v>
      </c>
      <c r="G1224" s="13" t="e">
        <f t="shared" si="78"/>
        <v>#VALUE!</v>
      </c>
      <c r="J1224" t="str">
        <f>MAIN!A1229&amp;"B"</f>
        <v>B</v>
      </c>
      <c r="K1224" s="12" t="e">
        <f t="shared" si="79"/>
        <v>#VALUE!</v>
      </c>
      <c r="L1224" t="str">
        <f>MAIN!C1229</f>
        <v/>
      </c>
    </row>
    <row r="1225" spans="1:12" x14ac:dyDescent="0.3">
      <c r="A1225">
        <f>IF(J1225="0",0,IF(COUNTIF($J$2:J1225,J1225)=1,1,0))</f>
        <v>0</v>
      </c>
      <c r="B1225" s="12" t="e">
        <f>MID(MAIN!A1230,K1225,2)</f>
        <v>#VALUE!</v>
      </c>
      <c r="C1225" s="12" t="e">
        <f t="shared" si="76"/>
        <v>#VALUE!</v>
      </c>
      <c r="D1225" s="12" t="e">
        <f>MID(MAIN!A1230,K1225+2,2)</f>
        <v>#VALUE!</v>
      </c>
      <c r="E1225" s="12" t="e">
        <f>MID(MAIN!A1230,K1225+4,2)</f>
        <v>#VALUE!</v>
      </c>
      <c r="F1225" s="2" t="e">
        <f t="shared" si="77"/>
        <v>#VALUE!</v>
      </c>
      <c r="G1225" s="13" t="e">
        <f t="shared" si="78"/>
        <v>#VALUE!</v>
      </c>
      <c r="J1225" t="str">
        <f>MAIN!A1230&amp;"B"</f>
        <v>B</v>
      </c>
      <c r="K1225" s="12" t="e">
        <f t="shared" si="79"/>
        <v>#VALUE!</v>
      </c>
      <c r="L1225" t="str">
        <f>MAIN!C1230</f>
        <v/>
      </c>
    </row>
    <row r="1226" spans="1:12" x14ac:dyDescent="0.3">
      <c r="A1226">
        <f>IF(J1226="0",0,IF(COUNTIF($J$2:J1226,J1226)=1,1,0))</f>
        <v>0</v>
      </c>
      <c r="B1226" s="12" t="e">
        <f>MID(MAIN!A1231,K1226,2)</f>
        <v>#VALUE!</v>
      </c>
      <c r="C1226" s="12" t="e">
        <f t="shared" si="76"/>
        <v>#VALUE!</v>
      </c>
      <c r="D1226" s="12" t="e">
        <f>MID(MAIN!A1231,K1226+2,2)</f>
        <v>#VALUE!</v>
      </c>
      <c r="E1226" s="12" t="e">
        <f>MID(MAIN!A1231,K1226+4,2)</f>
        <v>#VALUE!</v>
      </c>
      <c r="F1226" s="2" t="e">
        <f t="shared" si="77"/>
        <v>#VALUE!</v>
      </c>
      <c r="G1226" s="13" t="e">
        <f t="shared" si="78"/>
        <v>#VALUE!</v>
      </c>
      <c r="J1226" t="str">
        <f>MAIN!A1231&amp;"B"</f>
        <v>B</v>
      </c>
      <c r="K1226" s="12" t="e">
        <f t="shared" si="79"/>
        <v>#VALUE!</v>
      </c>
      <c r="L1226" t="str">
        <f>MAIN!C1231</f>
        <v/>
      </c>
    </row>
    <row r="1227" spans="1:12" x14ac:dyDescent="0.3">
      <c r="A1227">
        <f>IF(J1227="0",0,IF(COUNTIF($J$2:J1227,J1227)=1,1,0))</f>
        <v>0</v>
      </c>
      <c r="B1227" s="12" t="e">
        <f>MID(MAIN!A1232,K1227,2)</f>
        <v>#VALUE!</v>
      </c>
      <c r="C1227" s="12" t="e">
        <f t="shared" si="76"/>
        <v>#VALUE!</v>
      </c>
      <c r="D1227" s="12" t="e">
        <f>MID(MAIN!A1232,K1227+2,2)</f>
        <v>#VALUE!</v>
      </c>
      <c r="E1227" s="12" t="e">
        <f>MID(MAIN!A1232,K1227+4,2)</f>
        <v>#VALUE!</v>
      </c>
      <c r="F1227" s="2" t="e">
        <f t="shared" si="77"/>
        <v>#VALUE!</v>
      </c>
      <c r="G1227" s="13" t="e">
        <f t="shared" si="78"/>
        <v>#VALUE!</v>
      </c>
      <c r="J1227" t="str">
        <f>MAIN!A1232&amp;"B"</f>
        <v>B</v>
      </c>
      <c r="K1227" s="12" t="e">
        <f t="shared" si="79"/>
        <v>#VALUE!</v>
      </c>
      <c r="L1227" t="str">
        <f>MAIN!C1232</f>
        <v/>
      </c>
    </row>
    <row r="1228" spans="1:12" x14ac:dyDescent="0.3">
      <c r="A1228">
        <f>IF(J1228="0",0,IF(COUNTIF($J$2:J1228,J1228)=1,1,0))</f>
        <v>0</v>
      </c>
      <c r="B1228" s="12" t="e">
        <f>MID(MAIN!A1233,K1228,2)</f>
        <v>#VALUE!</v>
      </c>
      <c r="C1228" s="12" t="e">
        <f t="shared" si="76"/>
        <v>#VALUE!</v>
      </c>
      <c r="D1228" s="12" t="e">
        <f>MID(MAIN!A1233,K1228+2,2)</f>
        <v>#VALUE!</v>
      </c>
      <c r="E1228" s="12" t="e">
        <f>MID(MAIN!A1233,K1228+4,2)</f>
        <v>#VALUE!</v>
      </c>
      <c r="F1228" s="2" t="e">
        <f t="shared" si="77"/>
        <v>#VALUE!</v>
      </c>
      <c r="G1228" s="13" t="e">
        <f t="shared" si="78"/>
        <v>#VALUE!</v>
      </c>
      <c r="J1228" t="str">
        <f>MAIN!A1233&amp;"B"</f>
        <v>B</v>
      </c>
      <c r="K1228" s="12" t="e">
        <f t="shared" si="79"/>
        <v>#VALUE!</v>
      </c>
      <c r="L1228" t="str">
        <f>MAIN!C1233</f>
        <v/>
      </c>
    </row>
    <row r="1229" spans="1:12" x14ac:dyDescent="0.3">
      <c r="A1229">
        <f>IF(J1229="0",0,IF(COUNTIF($J$2:J1229,J1229)=1,1,0))</f>
        <v>0</v>
      </c>
      <c r="B1229" s="12" t="e">
        <f>MID(MAIN!A1234,K1229,2)</f>
        <v>#VALUE!</v>
      </c>
      <c r="C1229" s="12" t="e">
        <f t="shared" si="76"/>
        <v>#VALUE!</v>
      </c>
      <c r="D1229" s="12" t="e">
        <f>MID(MAIN!A1234,K1229+2,2)</f>
        <v>#VALUE!</v>
      </c>
      <c r="E1229" s="12" t="e">
        <f>MID(MAIN!A1234,K1229+4,2)</f>
        <v>#VALUE!</v>
      </c>
      <c r="F1229" s="2" t="e">
        <f t="shared" si="77"/>
        <v>#VALUE!</v>
      </c>
      <c r="G1229" s="13" t="e">
        <f t="shared" si="78"/>
        <v>#VALUE!</v>
      </c>
      <c r="J1229" t="str">
        <f>MAIN!A1234&amp;"B"</f>
        <v>B</v>
      </c>
      <c r="K1229" s="12" t="e">
        <f t="shared" si="79"/>
        <v>#VALUE!</v>
      </c>
      <c r="L1229" t="str">
        <f>MAIN!C1234</f>
        <v/>
      </c>
    </row>
    <row r="1230" spans="1:12" x14ac:dyDescent="0.3">
      <c r="A1230">
        <f>IF(J1230="0",0,IF(COUNTIF($J$2:J1230,J1230)=1,1,0))</f>
        <v>0</v>
      </c>
      <c r="B1230" s="12" t="e">
        <f>MID(MAIN!A1235,K1230,2)</f>
        <v>#VALUE!</v>
      </c>
      <c r="C1230" s="12" t="e">
        <f t="shared" si="76"/>
        <v>#VALUE!</v>
      </c>
      <c r="D1230" s="12" t="e">
        <f>MID(MAIN!A1235,K1230+2,2)</f>
        <v>#VALUE!</v>
      </c>
      <c r="E1230" s="12" t="e">
        <f>MID(MAIN!A1235,K1230+4,2)</f>
        <v>#VALUE!</v>
      </c>
      <c r="F1230" s="2" t="e">
        <f t="shared" si="77"/>
        <v>#VALUE!</v>
      </c>
      <c r="G1230" s="13" t="e">
        <f t="shared" si="78"/>
        <v>#VALUE!</v>
      </c>
      <c r="J1230" t="str">
        <f>MAIN!A1235&amp;"B"</f>
        <v>B</v>
      </c>
      <c r="K1230" s="12" t="e">
        <f t="shared" si="79"/>
        <v>#VALUE!</v>
      </c>
      <c r="L1230" t="str">
        <f>MAIN!C1235</f>
        <v/>
      </c>
    </row>
    <row r="1231" spans="1:12" x14ac:dyDescent="0.3">
      <c r="A1231">
        <f>IF(J1231="0",0,IF(COUNTIF($J$2:J1231,J1231)=1,1,0))</f>
        <v>0</v>
      </c>
      <c r="B1231" s="12" t="e">
        <f>MID(MAIN!A1236,K1231,2)</f>
        <v>#VALUE!</v>
      </c>
      <c r="C1231" s="12" t="e">
        <f t="shared" si="76"/>
        <v>#VALUE!</v>
      </c>
      <c r="D1231" s="12" t="e">
        <f>MID(MAIN!A1236,K1231+2,2)</f>
        <v>#VALUE!</v>
      </c>
      <c r="E1231" s="12" t="e">
        <f>MID(MAIN!A1236,K1231+4,2)</f>
        <v>#VALUE!</v>
      </c>
      <c r="F1231" s="2" t="e">
        <f t="shared" si="77"/>
        <v>#VALUE!</v>
      </c>
      <c r="G1231" s="13" t="e">
        <f t="shared" si="78"/>
        <v>#VALUE!</v>
      </c>
      <c r="J1231" t="str">
        <f>MAIN!A1236&amp;"B"</f>
        <v>B</v>
      </c>
      <c r="K1231" s="12" t="e">
        <f t="shared" si="79"/>
        <v>#VALUE!</v>
      </c>
      <c r="L1231" t="str">
        <f>MAIN!C1236</f>
        <v/>
      </c>
    </row>
    <row r="1232" spans="1:12" x14ac:dyDescent="0.3">
      <c r="A1232">
        <f>IF(J1232="0",0,IF(COUNTIF($J$2:J1232,J1232)=1,1,0))</f>
        <v>0</v>
      </c>
      <c r="B1232" s="12" t="e">
        <f>MID(MAIN!A1237,K1232,2)</f>
        <v>#VALUE!</v>
      </c>
      <c r="C1232" s="12" t="e">
        <f t="shared" si="76"/>
        <v>#VALUE!</v>
      </c>
      <c r="D1232" s="12" t="e">
        <f>MID(MAIN!A1237,K1232+2,2)</f>
        <v>#VALUE!</v>
      </c>
      <c r="E1232" s="12" t="e">
        <f>MID(MAIN!A1237,K1232+4,2)</f>
        <v>#VALUE!</v>
      </c>
      <c r="F1232" s="2" t="e">
        <f t="shared" si="77"/>
        <v>#VALUE!</v>
      </c>
      <c r="G1232" s="13" t="e">
        <f t="shared" si="78"/>
        <v>#VALUE!</v>
      </c>
      <c r="J1232" t="str">
        <f>MAIN!A1237&amp;"B"</f>
        <v>B</v>
      </c>
      <c r="K1232" s="12" t="e">
        <f t="shared" si="79"/>
        <v>#VALUE!</v>
      </c>
      <c r="L1232" t="str">
        <f>MAIN!C1237</f>
        <v/>
      </c>
    </row>
    <row r="1233" spans="1:12" x14ac:dyDescent="0.3">
      <c r="A1233">
        <f>IF(J1233="0",0,IF(COUNTIF($J$2:J1233,J1233)=1,1,0))</f>
        <v>0</v>
      </c>
      <c r="B1233" s="12" t="e">
        <f>MID(MAIN!A1238,K1233,2)</f>
        <v>#VALUE!</v>
      </c>
      <c r="C1233" s="12" t="e">
        <f t="shared" si="76"/>
        <v>#VALUE!</v>
      </c>
      <c r="D1233" s="12" t="e">
        <f>MID(MAIN!A1238,K1233+2,2)</f>
        <v>#VALUE!</v>
      </c>
      <c r="E1233" s="12" t="e">
        <f>MID(MAIN!A1238,K1233+4,2)</f>
        <v>#VALUE!</v>
      </c>
      <c r="F1233" s="2" t="e">
        <f t="shared" si="77"/>
        <v>#VALUE!</v>
      </c>
      <c r="G1233" s="13" t="e">
        <f t="shared" si="78"/>
        <v>#VALUE!</v>
      </c>
      <c r="J1233" t="str">
        <f>MAIN!A1238&amp;"B"</f>
        <v>B</v>
      </c>
      <c r="K1233" s="12" t="e">
        <f t="shared" si="79"/>
        <v>#VALUE!</v>
      </c>
      <c r="L1233" t="str">
        <f>MAIN!C1238</f>
        <v/>
      </c>
    </row>
    <row r="1234" spans="1:12" x14ac:dyDescent="0.3">
      <c r="A1234">
        <f>IF(J1234="0",0,IF(COUNTIF($J$2:J1234,J1234)=1,1,0))</f>
        <v>0</v>
      </c>
      <c r="B1234" s="12" t="e">
        <f>MID(MAIN!A1239,K1234,2)</f>
        <v>#VALUE!</v>
      </c>
      <c r="C1234" s="12" t="e">
        <f t="shared" si="76"/>
        <v>#VALUE!</v>
      </c>
      <c r="D1234" s="12" t="e">
        <f>MID(MAIN!A1239,K1234+2,2)</f>
        <v>#VALUE!</v>
      </c>
      <c r="E1234" s="12" t="e">
        <f>MID(MAIN!A1239,K1234+4,2)</f>
        <v>#VALUE!</v>
      </c>
      <c r="F1234" s="2" t="e">
        <f t="shared" si="77"/>
        <v>#VALUE!</v>
      </c>
      <c r="G1234" s="13" t="e">
        <f t="shared" si="78"/>
        <v>#VALUE!</v>
      </c>
      <c r="J1234" t="str">
        <f>MAIN!A1239&amp;"B"</f>
        <v>B</v>
      </c>
      <c r="K1234" s="12" t="e">
        <f t="shared" si="79"/>
        <v>#VALUE!</v>
      </c>
      <c r="L1234" t="str">
        <f>MAIN!C1239</f>
        <v/>
      </c>
    </row>
    <row r="1235" spans="1:12" x14ac:dyDescent="0.3">
      <c r="A1235">
        <f>IF(J1235="0",0,IF(COUNTIF($J$2:J1235,J1235)=1,1,0))</f>
        <v>0</v>
      </c>
      <c r="B1235" s="12" t="e">
        <f>MID(MAIN!A1240,K1235,2)</f>
        <v>#VALUE!</v>
      </c>
      <c r="C1235" s="12" t="e">
        <f t="shared" si="76"/>
        <v>#VALUE!</v>
      </c>
      <c r="D1235" s="12" t="e">
        <f>MID(MAIN!A1240,K1235+2,2)</f>
        <v>#VALUE!</v>
      </c>
      <c r="E1235" s="12" t="e">
        <f>MID(MAIN!A1240,K1235+4,2)</f>
        <v>#VALUE!</v>
      </c>
      <c r="F1235" s="2" t="e">
        <f t="shared" si="77"/>
        <v>#VALUE!</v>
      </c>
      <c r="G1235" s="13" t="e">
        <f t="shared" si="78"/>
        <v>#VALUE!</v>
      </c>
      <c r="J1235" t="str">
        <f>MAIN!A1240&amp;"B"</f>
        <v>B</v>
      </c>
      <c r="K1235" s="12" t="e">
        <f t="shared" si="79"/>
        <v>#VALUE!</v>
      </c>
      <c r="L1235" t="str">
        <f>MAIN!C1240</f>
        <v/>
      </c>
    </row>
    <row r="1236" spans="1:12" x14ac:dyDescent="0.3">
      <c r="A1236">
        <f>IF(J1236="0",0,IF(COUNTIF($J$2:J1236,J1236)=1,1,0))</f>
        <v>0</v>
      </c>
      <c r="B1236" s="12" t="e">
        <f>MID(MAIN!A1241,K1236,2)</f>
        <v>#VALUE!</v>
      </c>
      <c r="C1236" s="12" t="e">
        <f t="shared" si="76"/>
        <v>#VALUE!</v>
      </c>
      <c r="D1236" s="12" t="e">
        <f>MID(MAIN!A1241,K1236+2,2)</f>
        <v>#VALUE!</v>
      </c>
      <c r="E1236" s="12" t="e">
        <f>MID(MAIN!A1241,K1236+4,2)</f>
        <v>#VALUE!</v>
      </c>
      <c r="F1236" s="2" t="e">
        <f t="shared" si="77"/>
        <v>#VALUE!</v>
      </c>
      <c r="G1236" s="13" t="e">
        <f t="shared" si="78"/>
        <v>#VALUE!</v>
      </c>
      <c r="J1236" t="str">
        <f>MAIN!A1241&amp;"B"</f>
        <v>B</v>
      </c>
      <c r="K1236" s="12" t="e">
        <f t="shared" si="79"/>
        <v>#VALUE!</v>
      </c>
      <c r="L1236" t="str">
        <f>MAIN!C1241</f>
        <v/>
      </c>
    </row>
    <row r="1237" spans="1:12" x14ac:dyDescent="0.3">
      <c r="A1237">
        <f>IF(J1237="0",0,IF(COUNTIF($J$2:J1237,J1237)=1,1,0))</f>
        <v>0</v>
      </c>
      <c r="B1237" s="12" t="e">
        <f>MID(MAIN!A1242,K1237,2)</f>
        <v>#VALUE!</v>
      </c>
      <c r="C1237" s="12" t="e">
        <f t="shared" si="76"/>
        <v>#VALUE!</v>
      </c>
      <c r="D1237" s="12" t="e">
        <f>MID(MAIN!A1242,K1237+2,2)</f>
        <v>#VALUE!</v>
      </c>
      <c r="E1237" s="12" t="e">
        <f>MID(MAIN!A1242,K1237+4,2)</f>
        <v>#VALUE!</v>
      </c>
      <c r="F1237" s="2" t="e">
        <f t="shared" si="77"/>
        <v>#VALUE!</v>
      </c>
      <c r="G1237" s="13" t="e">
        <f t="shared" si="78"/>
        <v>#VALUE!</v>
      </c>
      <c r="J1237" t="str">
        <f>MAIN!A1242&amp;"B"</f>
        <v>B</v>
      </c>
      <c r="K1237" s="12" t="e">
        <f t="shared" si="79"/>
        <v>#VALUE!</v>
      </c>
      <c r="L1237" t="str">
        <f>MAIN!C1242</f>
        <v/>
      </c>
    </row>
    <row r="1238" spans="1:12" x14ac:dyDescent="0.3">
      <c r="A1238">
        <f>IF(J1238="0",0,IF(COUNTIF($J$2:J1238,J1238)=1,1,0))</f>
        <v>0</v>
      </c>
      <c r="B1238" s="12" t="e">
        <f>MID(MAIN!A1243,K1238,2)</f>
        <v>#VALUE!</v>
      </c>
      <c r="C1238" s="12" t="e">
        <f t="shared" si="76"/>
        <v>#VALUE!</v>
      </c>
      <c r="D1238" s="12" t="e">
        <f>MID(MAIN!A1243,K1238+2,2)</f>
        <v>#VALUE!</v>
      </c>
      <c r="E1238" s="12" t="e">
        <f>MID(MAIN!A1243,K1238+4,2)</f>
        <v>#VALUE!</v>
      </c>
      <c r="F1238" s="2" t="e">
        <f t="shared" si="77"/>
        <v>#VALUE!</v>
      </c>
      <c r="G1238" s="13" t="e">
        <f t="shared" si="78"/>
        <v>#VALUE!</v>
      </c>
      <c r="J1238" t="str">
        <f>MAIN!A1243&amp;"B"</f>
        <v>B</v>
      </c>
      <c r="K1238" s="12" t="e">
        <f t="shared" si="79"/>
        <v>#VALUE!</v>
      </c>
      <c r="L1238" t="str">
        <f>MAIN!C1243</f>
        <v/>
      </c>
    </row>
    <row r="1239" spans="1:12" x14ac:dyDescent="0.3">
      <c r="A1239">
        <f>IF(J1239="0",0,IF(COUNTIF($J$2:J1239,J1239)=1,1,0))</f>
        <v>0</v>
      </c>
      <c r="B1239" s="12" t="e">
        <f>MID(MAIN!A1244,K1239,2)</f>
        <v>#VALUE!</v>
      </c>
      <c r="C1239" s="12" t="e">
        <f t="shared" si="76"/>
        <v>#VALUE!</v>
      </c>
      <c r="D1239" s="12" t="e">
        <f>MID(MAIN!A1244,K1239+2,2)</f>
        <v>#VALUE!</v>
      </c>
      <c r="E1239" s="12" t="e">
        <f>MID(MAIN!A1244,K1239+4,2)</f>
        <v>#VALUE!</v>
      </c>
      <c r="F1239" s="2" t="e">
        <f t="shared" si="77"/>
        <v>#VALUE!</v>
      </c>
      <c r="G1239" s="13" t="e">
        <f t="shared" si="78"/>
        <v>#VALUE!</v>
      </c>
      <c r="J1239" t="str">
        <f>MAIN!A1244&amp;"B"</f>
        <v>B</v>
      </c>
      <c r="K1239" s="12" t="e">
        <f t="shared" si="79"/>
        <v>#VALUE!</v>
      </c>
      <c r="L1239" t="str">
        <f>MAIN!C1244</f>
        <v/>
      </c>
    </row>
    <row r="1240" spans="1:12" x14ac:dyDescent="0.3">
      <c r="A1240">
        <f>IF(J1240="0",0,IF(COUNTIF($J$2:J1240,J1240)=1,1,0))</f>
        <v>0</v>
      </c>
      <c r="B1240" s="12" t="e">
        <f>MID(MAIN!A1245,K1240,2)</f>
        <v>#VALUE!</v>
      </c>
      <c r="C1240" s="12" t="e">
        <f t="shared" si="76"/>
        <v>#VALUE!</v>
      </c>
      <c r="D1240" s="12" t="e">
        <f>MID(MAIN!A1245,K1240+2,2)</f>
        <v>#VALUE!</v>
      </c>
      <c r="E1240" s="12" t="e">
        <f>MID(MAIN!A1245,K1240+4,2)</f>
        <v>#VALUE!</v>
      </c>
      <c r="F1240" s="2" t="e">
        <f t="shared" si="77"/>
        <v>#VALUE!</v>
      </c>
      <c r="G1240" s="13" t="e">
        <f t="shared" si="78"/>
        <v>#VALUE!</v>
      </c>
      <c r="J1240" t="str">
        <f>MAIN!A1245&amp;"B"</f>
        <v>B</v>
      </c>
      <c r="K1240" s="12" t="e">
        <f t="shared" si="79"/>
        <v>#VALUE!</v>
      </c>
      <c r="L1240" t="str">
        <f>MAIN!C1245</f>
        <v/>
      </c>
    </row>
    <row r="1241" spans="1:12" x14ac:dyDescent="0.3">
      <c r="A1241">
        <f>IF(J1241="0",0,IF(COUNTIF($J$2:J1241,J1241)=1,1,0))</f>
        <v>0</v>
      </c>
      <c r="B1241" s="12" t="e">
        <f>MID(MAIN!A1246,K1241,2)</f>
        <v>#VALUE!</v>
      </c>
      <c r="C1241" s="12" t="e">
        <f t="shared" si="76"/>
        <v>#VALUE!</v>
      </c>
      <c r="D1241" s="12" t="e">
        <f>MID(MAIN!A1246,K1241+2,2)</f>
        <v>#VALUE!</v>
      </c>
      <c r="E1241" s="12" t="e">
        <f>MID(MAIN!A1246,K1241+4,2)</f>
        <v>#VALUE!</v>
      </c>
      <c r="F1241" s="2" t="e">
        <f t="shared" si="77"/>
        <v>#VALUE!</v>
      </c>
      <c r="G1241" s="13" t="e">
        <f t="shared" si="78"/>
        <v>#VALUE!</v>
      </c>
      <c r="J1241" t="str">
        <f>MAIN!A1246&amp;"B"</f>
        <v>B</v>
      </c>
      <c r="K1241" s="12" t="e">
        <f t="shared" si="79"/>
        <v>#VALUE!</v>
      </c>
      <c r="L1241" t="str">
        <f>MAIN!C1246</f>
        <v/>
      </c>
    </row>
    <row r="1242" spans="1:12" x14ac:dyDescent="0.3">
      <c r="A1242">
        <f>IF(J1242="0",0,IF(COUNTIF($J$2:J1242,J1242)=1,1,0))</f>
        <v>0</v>
      </c>
      <c r="B1242" s="12" t="e">
        <f>MID(MAIN!A1247,K1242,2)</f>
        <v>#VALUE!</v>
      </c>
      <c r="C1242" s="12" t="e">
        <f t="shared" si="76"/>
        <v>#VALUE!</v>
      </c>
      <c r="D1242" s="12" t="e">
        <f>MID(MAIN!A1247,K1242+2,2)</f>
        <v>#VALUE!</v>
      </c>
      <c r="E1242" s="12" t="e">
        <f>MID(MAIN!A1247,K1242+4,2)</f>
        <v>#VALUE!</v>
      </c>
      <c r="F1242" s="2" t="e">
        <f t="shared" si="77"/>
        <v>#VALUE!</v>
      </c>
      <c r="G1242" s="13" t="e">
        <f t="shared" si="78"/>
        <v>#VALUE!</v>
      </c>
      <c r="J1242" t="str">
        <f>MAIN!A1247&amp;"B"</f>
        <v>B</v>
      </c>
      <c r="K1242" s="12" t="e">
        <f t="shared" si="79"/>
        <v>#VALUE!</v>
      </c>
      <c r="L1242" t="str">
        <f>MAIN!C1247</f>
        <v/>
      </c>
    </row>
    <row r="1243" spans="1:12" x14ac:dyDescent="0.3">
      <c r="A1243">
        <f>IF(J1243="0",0,IF(COUNTIF($J$2:J1243,J1243)=1,1,0))</f>
        <v>0</v>
      </c>
      <c r="B1243" s="12" t="e">
        <f>MID(MAIN!A1248,K1243,2)</f>
        <v>#VALUE!</v>
      </c>
      <c r="C1243" s="12" t="e">
        <f t="shared" si="76"/>
        <v>#VALUE!</v>
      </c>
      <c r="D1243" s="12" t="e">
        <f>MID(MAIN!A1248,K1243+2,2)</f>
        <v>#VALUE!</v>
      </c>
      <c r="E1243" s="12" t="e">
        <f>MID(MAIN!A1248,K1243+4,2)</f>
        <v>#VALUE!</v>
      </c>
      <c r="F1243" s="2" t="e">
        <f t="shared" si="77"/>
        <v>#VALUE!</v>
      </c>
      <c r="G1243" s="13" t="e">
        <f t="shared" si="78"/>
        <v>#VALUE!</v>
      </c>
      <c r="J1243" t="str">
        <f>MAIN!A1248&amp;"B"</f>
        <v>B</v>
      </c>
      <c r="K1243" s="12" t="e">
        <f t="shared" si="79"/>
        <v>#VALUE!</v>
      </c>
      <c r="L1243" t="str">
        <f>MAIN!C1248</f>
        <v/>
      </c>
    </row>
    <row r="1244" spans="1:12" x14ac:dyDescent="0.3">
      <c r="A1244">
        <f>IF(J1244="0",0,IF(COUNTIF($J$2:J1244,J1244)=1,1,0))</f>
        <v>0</v>
      </c>
      <c r="B1244" s="12" t="e">
        <f>MID(MAIN!A1249,K1244,2)</f>
        <v>#VALUE!</v>
      </c>
      <c r="C1244" s="12" t="e">
        <f t="shared" si="76"/>
        <v>#VALUE!</v>
      </c>
      <c r="D1244" s="12" t="e">
        <f>MID(MAIN!A1249,K1244+2,2)</f>
        <v>#VALUE!</v>
      </c>
      <c r="E1244" s="12" t="e">
        <f>MID(MAIN!A1249,K1244+4,2)</f>
        <v>#VALUE!</v>
      </c>
      <c r="F1244" s="2" t="e">
        <f t="shared" si="77"/>
        <v>#VALUE!</v>
      </c>
      <c r="G1244" s="13" t="e">
        <f t="shared" si="78"/>
        <v>#VALUE!</v>
      </c>
      <c r="J1244" t="str">
        <f>MAIN!A1249&amp;"B"</f>
        <v>B</v>
      </c>
      <c r="K1244" s="12" t="e">
        <f t="shared" si="79"/>
        <v>#VALUE!</v>
      </c>
      <c r="L1244" t="str">
        <f>MAIN!C1249</f>
        <v/>
      </c>
    </row>
    <row r="1245" spans="1:12" x14ac:dyDescent="0.3">
      <c r="A1245">
        <f>IF(J1245="0",0,IF(COUNTIF($J$2:J1245,J1245)=1,1,0))</f>
        <v>0</v>
      </c>
      <c r="B1245" s="12" t="e">
        <f>MID(MAIN!A1250,K1245,2)</f>
        <v>#VALUE!</v>
      </c>
      <c r="C1245" s="12" t="e">
        <f t="shared" si="76"/>
        <v>#VALUE!</v>
      </c>
      <c r="D1245" s="12" t="e">
        <f>MID(MAIN!A1250,K1245+2,2)</f>
        <v>#VALUE!</v>
      </c>
      <c r="E1245" s="12" t="e">
        <f>MID(MAIN!A1250,K1245+4,2)</f>
        <v>#VALUE!</v>
      </c>
      <c r="F1245" s="2" t="e">
        <f t="shared" si="77"/>
        <v>#VALUE!</v>
      </c>
      <c r="G1245" s="13" t="e">
        <f t="shared" si="78"/>
        <v>#VALUE!</v>
      </c>
      <c r="J1245" t="str">
        <f>MAIN!A1250&amp;"B"</f>
        <v>B</v>
      </c>
      <c r="K1245" s="12" t="e">
        <f t="shared" si="79"/>
        <v>#VALUE!</v>
      </c>
      <c r="L1245" t="str">
        <f>MAIN!C1250</f>
        <v/>
      </c>
    </row>
    <row r="1246" spans="1:12" x14ac:dyDescent="0.3">
      <c r="A1246">
        <f>IF(J1246="0",0,IF(COUNTIF($J$2:J1246,J1246)=1,1,0))</f>
        <v>0</v>
      </c>
      <c r="B1246" s="12" t="e">
        <f>MID(MAIN!A1251,K1246,2)</f>
        <v>#VALUE!</v>
      </c>
      <c r="C1246" s="12" t="e">
        <f t="shared" si="76"/>
        <v>#VALUE!</v>
      </c>
      <c r="D1246" s="12" t="e">
        <f>MID(MAIN!A1251,K1246+2,2)</f>
        <v>#VALUE!</v>
      </c>
      <c r="E1246" s="12" t="e">
        <f>MID(MAIN!A1251,K1246+4,2)</f>
        <v>#VALUE!</v>
      </c>
      <c r="F1246" s="2" t="e">
        <f t="shared" si="77"/>
        <v>#VALUE!</v>
      </c>
      <c r="G1246" s="13" t="e">
        <f t="shared" si="78"/>
        <v>#VALUE!</v>
      </c>
      <c r="J1246" t="str">
        <f>MAIN!A1251&amp;"B"</f>
        <v>B</v>
      </c>
      <c r="K1246" s="12" t="e">
        <f t="shared" si="79"/>
        <v>#VALUE!</v>
      </c>
      <c r="L1246" t="str">
        <f>MAIN!C1251</f>
        <v/>
      </c>
    </row>
    <row r="1247" spans="1:12" x14ac:dyDescent="0.3">
      <c r="A1247">
        <f>IF(J1247="0",0,IF(COUNTIF($J$2:J1247,J1247)=1,1,0))</f>
        <v>0</v>
      </c>
      <c r="B1247" s="12" t="e">
        <f>MID(MAIN!A1252,K1247,2)</f>
        <v>#VALUE!</v>
      </c>
      <c r="C1247" s="12" t="e">
        <f t="shared" si="76"/>
        <v>#VALUE!</v>
      </c>
      <c r="D1247" s="12" t="e">
        <f>MID(MAIN!A1252,K1247+2,2)</f>
        <v>#VALUE!</v>
      </c>
      <c r="E1247" s="12" t="e">
        <f>MID(MAIN!A1252,K1247+4,2)</f>
        <v>#VALUE!</v>
      </c>
      <c r="F1247" s="2" t="e">
        <f t="shared" si="77"/>
        <v>#VALUE!</v>
      </c>
      <c r="G1247" s="13" t="e">
        <f t="shared" si="78"/>
        <v>#VALUE!</v>
      </c>
      <c r="J1247" t="str">
        <f>MAIN!A1252&amp;"B"</f>
        <v>B</v>
      </c>
      <c r="K1247" s="12" t="e">
        <f t="shared" si="79"/>
        <v>#VALUE!</v>
      </c>
      <c r="L1247" t="str">
        <f>MAIN!C1252</f>
        <v/>
      </c>
    </row>
    <row r="1248" spans="1:12" x14ac:dyDescent="0.3">
      <c r="A1248">
        <f>IF(J1248="0",0,IF(COUNTIF($J$2:J1248,J1248)=1,1,0))</f>
        <v>0</v>
      </c>
      <c r="B1248" s="12" t="e">
        <f>MID(MAIN!A1253,K1248,2)</f>
        <v>#VALUE!</v>
      </c>
      <c r="C1248" s="12" t="e">
        <f t="shared" si="76"/>
        <v>#VALUE!</v>
      </c>
      <c r="D1248" s="12" t="e">
        <f>MID(MAIN!A1253,K1248+2,2)</f>
        <v>#VALUE!</v>
      </c>
      <c r="E1248" s="12" t="e">
        <f>MID(MAIN!A1253,K1248+4,2)</f>
        <v>#VALUE!</v>
      </c>
      <c r="F1248" s="2" t="e">
        <f t="shared" si="77"/>
        <v>#VALUE!</v>
      </c>
      <c r="G1248" s="13" t="e">
        <f t="shared" si="78"/>
        <v>#VALUE!</v>
      </c>
      <c r="J1248" t="str">
        <f>MAIN!A1253&amp;"B"</f>
        <v>B</v>
      </c>
      <c r="K1248" s="12" t="e">
        <f t="shared" si="79"/>
        <v>#VALUE!</v>
      </c>
      <c r="L1248" t="str">
        <f>MAIN!C1253</f>
        <v/>
      </c>
    </row>
    <row r="1249" spans="1:12" x14ac:dyDescent="0.3">
      <c r="A1249">
        <f>IF(J1249="0",0,IF(COUNTIF($J$2:J1249,J1249)=1,1,0))</f>
        <v>0</v>
      </c>
      <c r="B1249" s="12" t="e">
        <f>MID(MAIN!A1254,K1249,2)</f>
        <v>#VALUE!</v>
      </c>
      <c r="C1249" s="12" t="e">
        <f t="shared" si="76"/>
        <v>#VALUE!</v>
      </c>
      <c r="D1249" s="12" t="e">
        <f>MID(MAIN!A1254,K1249+2,2)</f>
        <v>#VALUE!</v>
      </c>
      <c r="E1249" s="12" t="e">
        <f>MID(MAIN!A1254,K1249+4,2)</f>
        <v>#VALUE!</v>
      </c>
      <c r="F1249" s="2" t="e">
        <f t="shared" si="77"/>
        <v>#VALUE!</v>
      </c>
      <c r="G1249" s="13" t="e">
        <f t="shared" si="78"/>
        <v>#VALUE!</v>
      </c>
      <c r="J1249" t="str">
        <f>MAIN!A1254&amp;"B"</f>
        <v>B</v>
      </c>
      <c r="K1249" s="12" t="e">
        <f t="shared" si="79"/>
        <v>#VALUE!</v>
      </c>
      <c r="L1249" t="str">
        <f>MAIN!C1254</f>
        <v/>
      </c>
    </row>
    <row r="1250" spans="1:12" x14ac:dyDescent="0.3">
      <c r="A1250">
        <f>IF(J1250="0",0,IF(COUNTIF($J$2:J1250,J1250)=1,1,0))</f>
        <v>0</v>
      </c>
      <c r="B1250" s="12" t="e">
        <f>MID(MAIN!A1255,K1250,2)</f>
        <v>#VALUE!</v>
      </c>
      <c r="C1250" s="12" t="e">
        <f t="shared" si="76"/>
        <v>#VALUE!</v>
      </c>
      <c r="D1250" s="12" t="e">
        <f>MID(MAIN!A1255,K1250+2,2)</f>
        <v>#VALUE!</v>
      </c>
      <c r="E1250" s="12" t="e">
        <f>MID(MAIN!A1255,K1250+4,2)</f>
        <v>#VALUE!</v>
      </c>
      <c r="F1250" s="2" t="e">
        <f t="shared" si="77"/>
        <v>#VALUE!</v>
      </c>
      <c r="G1250" s="13" t="e">
        <f t="shared" si="78"/>
        <v>#VALUE!</v>
      </c>
      <c r="J1250" t="str">
        <f>MAIN!A1255&amp;"B"</f>
        <v>B</v>
      </c>
      <c r="K1250" s="12" t="e">
        <f t="shared" si="79"/>
        <v>#VALUE!</v>
      </c>
      <c r="L1250" t="str">
        <f>MAIN!C1255</f>
        <v/>
      </c>
    </row>
    <row r="1251" spans="1:12" x14ac:dyDescent="0.3">
      <c r="A1251">
        <f>IF(J1251="0",0,IF(COUNTIF($J$2:J1251,J1251)=1,1,0))</f>
        <v>0</v>
      </c>
      <c r="B1251" s="12" t="e">
        <f>MID(MAIN!A1256,K1251,2)</f>
        <v>#VALUE!</v>
      </c>
      <c r="C1251" s="12" t="e">
        <f t="shared" si="76"/>
        <v>#VALUE!</v>
      </c>
      <c r="D1251" s="12" t="e">
        <f>MID(MAIN!A1256,K1251+2,2)</f>
        <v>#VALUE!</v>
      </c>
      <c r="E1251" s="12" t="e">
        <f>MID(MAIN!A1256,K1251+4,2)</f>
        <v>#VALUE!</v>
      </c>
      <c r="F1251" s="2" t="e">
        <f t="shared" si="77"/>
        <v>#VALUE!</v>
      </c>
      <c r="G1251" s="13" t="e">
        <f t="shared" si="78"/>
        <v>#VALUE!</v>
      </c>
      <c r="J1251" t="str">
        <f>MAIN!A1256&amp;"B"</f>
        <v>B</v>
      </c>
      <c r="K1251" s="12" t="e">
        <f t="shared" si="79"/>
        <v>#VALUE!</v>
      </c>
      <c r="L1251" t="str">
        <f>MAIN!C1256</f>
        <v/>
      </c>
    </row>
    <row r="1252" spans="1:12" x14ac:dyDescent="0.3">
      <c r="A1252">
        <f>IF(J1252="0",0,IF(COUNTIF($J$2:J1252,J1252)=1,1,0))</f>
        <v>0</v>
      </c>
      <c r="B1252" s="12" t="e">
        <f>MID(MAIN!A1257,K1252,2)</f>
        <v>#VALUE!</v>
      </c>
      <c r="C1252" s="12" t="e">
        <f t="shared" si="76"/>
        <v>#VALUE!</v>
      </c>
      <c r="D1252" s="12" t="e">
        <f>MID(MAIN!A1257,K1252+2,2)</f>
        <v>#VALUE!</v>
      </c>
      <c r="E1252" s="12" t="e">
        <f>MID(MAIN!A1257,K1252+4,2)</f>
        <v>#VALUE!</v>
      </c>
      <c r="F1252" s="2" t="e">
        <f t="shared" si="77"/>
        <v>#VALUE!</v>
      </c>
      <c r="G1252" s="13" t="e">
        <f t="shared" si="78"/>
        <v>#VALUE!</v>
      </c>
      <c r="J1252" t="str">
        <f>MAIN!A1257&amp;"B"</f>
        <v>B</v>
      </c>
      <c r="K1252" s="12" t="e">
        <f t="shared" si="79"/>
        <v>#VALUE!</v>
      </c>
      <c r="L1252" t="str">
        <f>MAIN!C1257</f>
        <v/>
      </c>
    </row>
    <row r="1253" spans="1:12" x14ac:dyDescent="0.3">
      <c r="A1253">
        <f>IF(J1253="0",0,IF(COUNTIF($J$2:J1253,J1253)=1,1,0))</f>
        <v>0</v>
      </c>
      <c r="B1253" s="12" t="e">
        <f>MID(MAIN!A1258,K1253,2)</f>
        <v>#VALUE!</v>
      </c>
      <c r="C1253" s="12" t="e">
        <f t="shared" si="76"/>
        <v>#VALUE!</v>
      </c>
      <c r="D1253" s="12" t="e">
        <f>MID(MAIN!A1258,K1253+2,2)</f>
        <v>#VALUE!</v>
      </c>
      <c r="E1253" s="12" t="e">
        <f>MID(MAIN!A1258,K1253+4,2)</f>
        <v>#VALUE!</v>
      </c>
      <c r="F1253" s="2" t="e">
        <f t="shared" si="77"/>
        <v>#VALUE!</v>
      </c>
      <c r="G1253" s="13" t="e">
        <f t="shared" si="78"/>
        <v>#VALUE!</v>
      </c>
      <c r="J1253" t="str">
        <f>MAIN!A1258&amp;"B"</f>
        <v>B</v>
      </c>
      <c r="K1253" s="12" t="e">
        <f t="shared" si="79"/>
        <v>#VALUE!</v>
      </c>
      <c r="L1253" t="str">
        <f>MAIN!C1258</f>
        <v/>
      </c>
    </row>
    <row r="1254" spans="1:12" x14ac:dyDescent="0.3">
      <c r="A1254">
        <f>IF(J1254="0",0,IF(COUNTIF($J$2:J1254,J1254)=1,1,0))</f>
        <v>0</v>
      </c>
      <c r="B1254" s="12" t="e">
        <f>MID(MAIN!A1259,K1254,2)</f>
        <v>#VALUE!</v>
      </c>
      <c r="C1254" s="12" t="e">
        <f t="shared" si="76"/>
        <v>#VALUE!</v>
      </c>
      <c r="D1254" s="12" t="e">
        <f>MID(MAIN!A1259,K1254+2,2)</f>
        <v>#VALUE!</v>
      </c>
      <c r="E1254" s="12" t="e">
        <f>MID(MAIN!A1259,K1254+4,2)</f>
        <v>#VALUE!</v>
      </c>
      <c r="F1254" s="2" t="e">
        <f t="shared" si="77"/>
        <v>#VALUE!</v>
      </c>
      <c r="G1254" s="13" t="e">
        <f t="shared" si="78"/>
        <v>#VALUE!</v>
      </c>
      <c r="J1254" t="str">
        <f>MAIN!A1259&amp;"B"</f>
        <v>B</v>
      </c>
      <c r="K1254" s="12" t="e">
        <f t="shared" si="79"/>
        <v>#VALUE!</v>
      </c>
      <c r="L1254" t="str">
        <f>MAIN!C1259</f>
        <v/>
      </c>
    </row>
    <row r="1255" spans="1:12" x14ac:dyDescent="0.3">
      <c r="A1255">
        <f>IF(J1255="0",0,IF(COUNTIF($J$2:J1255,J1255)=1,1,0))</f>
        <v>0</v>
      </c>
      <c r="B1255" s="12" t="e">
        <f>MID(MAIN!A1260,K1255,2)</f>
        <v>#VALUE!</v>
      </c>
      <c r="C1255" s="12" t="e">
        <f t="shared" si="76"/>
        <v>#VALUE!</v>
      </c>
      <c r="D1255" s="12" t="e">
        <f>MID(MAIN!A1260,K1255+2,2)</f>
        <v>#VALUE!</v>
      </c>
      <c r="E1255" s="12" t="e">
        <f>MID(MAIN!A1260,K1255+4,2)</f>
        <v>#VALUE!</v>
      </c>
      <c r="F1255" s="2" t="e">
        <f t="shared" si="77"/>
        <v>#VALUE!</v>
      </c>
      <c r="G1255" s="13" t="e">
        <f t="shared" si="78"/>
        <v>#VALUE!</v>
      </c>
      <c r="J1255" t="str">
        <f>MAIN!A1260&amp;"B"</f>
        <v>B</v>
      </c>
      <c r="K1255" s="12" t="e">
        <f t="shared" si="79"/>
        <v>#VALUE!</v>
      </c>
      <c r="L1255" t="str">
        <f>MAIN!C1260</f>
        <v/>
      </c>
    </row>
    <row r="1256" spans="1:12" x14ac:dyDescent="0.3">
      <c r="A1256">
        <f>IF(J1256="0",0,IF(COUNTIF($J$2:J1256,J1256)=1,1,0))</f>
        <v>0</v>
      </c>
      <c r="B1256" s="12" t="e">
        <f>MID(MAIN!A1261,K1256,2)</f>
        <v>#VALUE!</v>
      </c>
      <c r="C1256" s="12" t="e">
        <f t="shared" si="76"/>
        <v>#VALUE!</v>
      </c>
      <c r="D1256" s="12" t="e">
        <f>MID(MAIN!A1261,K1256+2,2)</f>
        <v>#VALUE!</v>
      </c>
      <c r="E1256" s="12" t="e">
        <f>MID(MAIN!A1261,K1256+4,2)</f>
        <v>#VALUE!</v>
      </c>
      <c r="F1256" s="2" t="e">
        <f t="shared" si="77"/>
        <v>#VALUE!</v>
      </c>
      <c r="G1256" s="13" t="e">
        <f t="shared" si="78"/>
        <v>#VALUE!</v>
      </c>
      <c r="J1256" t="str">
        <f>MAIN!A1261&amp;"B"</f>
        <v>B</v>
      </c>
      <c r="K1256" s="12" t="e">
        <f t="shared" si="79"/>
        <v>#VALUE!</v>
      </c>
      <c r="L1256" t="str">
        <f>MAIN!C1261</f>
        <v/>
      </c>
    </row>
    <row r="1257" spans="1:12" x14ac:dyDescent="0.3">
      <c r="A1257">
        <f>IF(J1257="0",0,IF(COUNTIF($J$2:J1257,J1257)=1,1,0))</f>
        <v>0</v>
      </c>
      <c r="B1257" s="12" t="e">
        <f>MID(MAIN!A1262,K1257,2)</f>
        <v>#VALUE!</v>
      </c>
      <c r="C1257" s="12" t="e">
        <f t="shared" si="76"/>
        <v>#VALUE!</v>
      </c>
      <c r="D1257" s="12" t="e">
        <f>MID(MAIN!A1262,K1257+2,2)</f>
        <v>#VALUE!</v>
      </c>
      <c r="E1257" s="12" t="e">
        <f>MID(MAIN!A1262,K1257+4,2)</f>
        <v>#VALUE!</v>
      </c>
      <c r="F1257" s="2" t="e">
        <f t="shared" si="77"/>
        <v>#VALUE!</v>
      </c>
      <c r="G1257" s="13" t="e">
        <f t="shared" si="78"/>
        <v>#VALUE!</v>
      </c>
      <c r="J1257" t="str">
        <f>MAIN!A1262&amp;"B"</f>
        <v>B</v>
      </c>
      <c r="K1257" s="12" t="e">
        <f t="shared" si="79"/>
        <v>#VALUE!</v>
      </c>
      <c r="L1257" t="str">
        <f>MAIN!C1262</f>
        <v/>
      </c>
    </row>
    <row r="1258" spans="1:12" x14ac:dyDescent="0.3">
      <c r="A1258">
        <f>IF(J1258="0",0,IF(COUNTIF($J$2:J1258,J1258)=1,1,0))</f>
        <v>0</v>
      </c>
      <c r="B1258" s="12" t="e">
        <f>MID(MAIN!A1263,K1258,2)</f>
        <v>#VALUE!</v>
      </c>
      <c r="C1258" s="12" t="e">
        <f t="shared" si="76"/>
        <v>#VALUE!</v>
      </c>
      <c r="D1258" s="12" t="e">
        <f>MID(MAIN!A1263,K1258+2,2)</f>
        <v>#VALUE!</v>
      </c>
      <c r="E1258" s="12" t="e">
        <f>MID(MAIN!A1263,K1258+4,2)</f>
        <v>#VALUE!</v>
      </c>
      <c r="F1258" s="2" t="e">
        <f t="shared" si="77"/>
        <v>#VALUE!</v>
      </c>
      <c r="G1258" s="13" t="e">
        <f t="shared" si="78"/>
        <v>#VALUE!</v>
      </c>
      <c r="J1258" t="str">
        <f>MAIN!A1263&amp;"B"</f>
        <v>B</v>
      </c>
      <c r="K1258" s="12" t="e">
        <f t="shared" si="79"/>
        <v>#VALUE!</v>
      </c>
      <c r="L1258" t="str">
        <f>MAIN!C1263</f>
        <v/>
      </c>
    </row>
    <row r="1259" spans="1:12" x14ac:dyDescent="0.3">
      <c r="A1259">
        <f>IF(J1259="0",0,IF(COUNTIF($J$2:J1259,J1259)=1,1,0))</f>
        <v>0</v>
      </c>
      <c r="B1259" s="12" t="e">
        <f>MID(MAIN!A1264,K1259,2)</f>
        <v>#VALUE!</v>
      </c>
      <c r="C1259" s="12" t="e">
        <f t="shared" si="76"/>
        <v>#VALUE!</v>
      </c>
      <c r="D1259" s="12" t="e">
        <f>MID(MAIN!A1264,K1259+2,2)</f>
        <v>#VALUE!</v>
      </c>
      <c r="E1259" s="12" t="e">
        <f>MID(MAIN!A1264,K1259+4,2)</f>
        <v>#VALUE!</v>
      </c>
      <c r="F1259" s="2" t="e">
        <f t="shared" si="77"/>
        <v>#VALUE!</v>
      </c>
      <c r="G1259" s="13" t="e">
        <f t="shared" si="78"/>
        <v>#VALUE!</v>
      </c>
      <c r="J1259" t="str">
        <f>MAIN!A1264&amp;"B"</f>
        <v>B</v>
      </c>
      <c r="K1259" s="12" t="e">
        <f t="shared" si="79"/>
        <v>#VALUE!</v>
      </c>
      <c r="L1259" t="str">
        <f>MAIN!C1264</f>
        <v/>
      </c>
    </row>
    <row r="1260" spans="1:12" x14ac:dyDescent="0.3">
      <c r="A1260">
        <f>IF(J1260="0",0,IF(COUNTIF($J$2:J1260,J1260)=1,1,0))</f>
        <v>0</v>
      </c>
      <c r="B1260" s="12" t="e">
        <f>MID(MAIN!A1265,K1260,2)</f>
        <v>#VALUE!</v>
      </c>
      <c r="C1260" s="12" t="e">
        <f t="shared" si="76"/>
        <v>#VALUE!</v>
      </c>
      <c r="D1260" s="12" t="e">
        <f>MID(MAIN!A1265,K1260+2,2)</f>
        <v>#VALUE!</v>
      </c>
      <c r="E1260" s="12" t="e">
        <f>MID(MAIN!A1265,K1260+4,2)</f>
        <v>#VALUE!</v>
      </c>
      <c r="F1260" s="2" t="e">
        <f t="shared" si="77"/>
        <v>#VALUE!</v>
      </c>
      <c r="G1260" s="13" t="e">
        <f t="shared" si="78"/>
        <v>#VALUE!</v>
      </c>
      <c r="J1260" t="str">
        <f>MAIN!A1265&amp;"B"</f>
        <v>B</v>
      </c>
      <c r="K1260" s="12" t="e">
        <f t="shared" si="79"/>
        <v>#VALUE!</v>
      </c>
      <c r="L1260" t="str">
        <f>MAIN!C1265</f>
        <v/>
      </c>
    </row>
    <row r="1261" spans="1:12" x14ac:dyDescent="0.3">
      <c r="A1261">
        <f>IF(J1261="0",0,IF(COUNTIF($J$2:J1261,J1261)=1,1,0))</f>
        <v>0</v>
      </c>
      <c r="B1261" s="12" t="e">
        <f>MID(MAIN!A1266,K1261,2)</f>
        <v>#VALUE!</v>
      </c>
      <c r="C1261" s="12" t="e">
        <f t="shared" si="76"/>
        <v>#VALUE!</v>
      </c>
      <c r="D1261" s="12" t="e">
        <f>MID(MAIN!A1266,K1261+2,2)</f>
        <v>#VALUE!</v>
      </c>
      <c r="E1261" s="12" t="e">
        <f>MID(MAIN!A1266,K1261+4,2)</f>
        <v>#VALUE!</v>
      </c>
      <c r="F1261" s="2" t="e">
        <f t="shared" si="77"/>
        <v>#VALUE!</v>
      </c>
      <c r="G1261" s="13" t="e">
        <f t="shared" si="78"/>
        <v>#VALUE!</v>
      </c>
      <c r="J1261" t="str">
        <f>MAIN!A1266&amp;"B"</f>
        <v>B</v>
      </c>
      <c r="K1261" s="12" t="e">
        <f t="shared" si="79"/>
        <v>#VALUE!</v>
      </c>
      <c r="L1261" t="str">
        <f>MAIN!C1266</f>
        <v/>
      </c>
    </row>
    <row r="1262" spans="1:12" x14ac:dyDescent="0.3">
      <c r="A1262">
        <f>IF(J1262="0",0,IF(COUNTIF($J$2:J1262,J1262)=1,1,0))</f>
        <v>0</v>
      </c>
      <c r="B1262" s="12" t="e">
        <f>MID(MAIN!A1267,K1262,2)</f>
        <v>#VALUE!</v>
      </c>
      <c r="C1262" s="12" t="e">
        <f t="shared" si="76"/>
        <v>#VALUE!</v>
      </c>
      <c r="D1262" s="12" t="e">
        <f>MID(MAIN!A1267,K1262+2,2)</f>
        <v>#VALUE!</v>
      </c>
      <c r="E1262" s="12" t="e">
        <f>MID(MAIN!A1267,K1262+4,2)</f>
        <v>#VALUE!</v>
      </c>
      <c r="F1262" s="2" t="e">
        <f t="shared" si="77"/>
        <v>#VALUE!</v>
      </c>
      <c r="G1262" s="13" t="e">
        <f t="shared" si="78"/>
        <v>#VALUE!</v>
      </c>
      <c r="J1262" t="str">
        <f>MAIN!A1267&amp;"B"</f>
        <v>B</v>
      </c>
      <c r="K1262" s="12" t="e">
        <f t="shared" si="79"/>
        <v>#VALUE!</v>
      </c>
      <c r="L1262" t="str">
        <f>MAIN!C1267</f>
        <v/>
      </c>
    </row>
    <row r="1263" spans="1:12" x14ac:dyDescent="0.3">
      <c r="A1263">
        <f>IF(J1263="0",0,IF(COUNTIF($J$2:J1263,J1263)=1,1,0))</f>
        <v>0</v>
      </c>
      <c r="B1263" s="12" t="e">
        <f>MID(MAIN!A1268,K1263,2)</f>
        <v>#VALUE!</v>
      </c>
      <c r="C1263" s="12" t="e">
        <f t="shared" si="76"/>
        <v>#VALUE!</v>
      </c>
      <c r="D1263" s="12" t="e">
        <f>MID(MAIN!A1268,K1263+2,2)</f>
        <v>#VALUE!</v>
      </c>
      <c r="E1263" s="12" t="e">
        <f>MID(MAIN!A1268,K1263+4,2)</f>
        <v>#VALUE!</v>
      </c>
      <c r="F1263" s="2" t="e">
        <f t="shared" si="77"/>
        <v>#VALUE!</v>
      </c>
      <c r="G1263" s="13" t="e">
        <f t="shared" si="78"/>
        <v>#VALUE!</v>
      </c>
      <c r="J1263" t="str">
        <f>MAIN!A1268&amp;"B"</f>
        <v>B</v>
      </c>
      <c r="K1263" s="12" t="e">
        <f t="shared" si="79"/>
        <v>#VALUE!</v>
      </c>
      <c r="L1263" t="str">
        <f>MAIN!C1268</f>
        <v/>
      </c>
    </row>
    <row r="1264" spans="1:12" x14ac:dyDescent="0.3">
      <c r="A1264">
        <f>IF(J1264="0",0,IF(COUNTIF($J$2:J1264,J1264)=1,1,0))</f>
        <v>0</v>
      </c>
      <c r="B1264" s="12" t="e">
        <f>MID(MAIN!A1269,K1264,2)</f>
        <v>#VALUE!</v>
      </c>
      <c r="C1264" s="12" t="e">
        <f t="shared" si="76"/>
        <v>#VALUE!</v>
      </c>
      <c r="D1264" s="12" t="e">
        <f>MID(MAIN!A1269,K1264+2,2)</f>
        <v>#VALUE!</v>
      </c>
      <c r="E1264" s="12" t="e">
        <f>MID(MAIN!A1269,K1264+4,2)</f>
        <v>#VALUE!</v>
      </c>
      <c r="F1264" s="2" t="e">
        <f t="shared" si="77"/>
        <v>#VALUE!</v>
      </c>
      <c r="G1264" s="13" t="e">
        <f t="shared" si="78"/>
        <v>#VALUE!</v>
      </c>
      <c r="J1264" t="str">
        <f>MAIN!A1269&amp;"B"</f>
        <v>B</v>
      </c>
      <c r="K1264" s="12" t="e">
        <f t="shared" si="79"/>
        <v>#VALUE!</v>
      </c>
      <c r="L1264" t="str">
        <f>MAIN!C1269</f>
        <v/>
      </c>
    </row>
    <row r="1265" spans="1:12" x14ac:dyDescent="0.3">
      <c r="A1265">
        <f>IF(J1265="0",0,IF(COUNTIF($J$2:J1265,J1265)=1,1,0))</f>
        <v>0</v>
      </c>
      <c r="B1265" s="12" t="e">
        <f>MID(MAIN!A1270,K1265,2)</f>
        <v>#VALUE!</v>
      </c>
      <c r="C1265" s="12" t="e">
        <f t="shared" si="76"/>
        <v>#VALUE!</v>
      </c>
      <c r="D1265" s="12" t="e">
        <f>MID(MAIN!A1270,K1265+2,2)</f>
        <v>#VALUE!</v>
      </c>
      <c r="E1265" s="12" t="e">
        <f>MID(MAIN!A1270,K1265+4,2)</f>
        <v>#VALUE!</v>
      </c>
      <c r="F1265" s="2" t="e">
        <f t="shared" si="77"/>
        <v>#VALUE!</v>
      </c>
      <c r="G1265" s="13" t="e">
        <f t="shared" si="78"/>
        <v>#VALUE!</v>
      </c>
      <c r="J1265" t="str">
        <f>MAIN!A1270&amp;"B"</f>
        <v>B</v>
      </c>
      <c r="K1265" s="12" t="e">
        <f t="shared" si="79"/>
        <v>#VALUE!</v>
      </c>
      <c r="L1265" t="str">
        <f>MAIN!C1270</f>
        <v/>
      </c>
    </row>
    <row r="1266" spans="1:12" x14ac:dyDescent="0.3">
      <c r="A1266">
        <f>IF(J1266="0",0,IF(COUNTIF($J$2:J1266,J1266)=1,1,0))</f>
        <v>0</v>
      </c>
      <c r="B1266" s="12" t="e">
        <f>MID(MAIN!A1271,K1266,2)</f>
        <v>#VALUE!</v>
      </c>
      <c r="C1266" s="12" t="e">
        <f t="shared" si="76"/>
        <v>#VALUE!</v>
      </c>
      <c r="D1266" s="12" t="e">
        <f>MID(MAIN!A1271,K1266+2,2)</f>
        <v>#VALUE!</v>
      </c>
      <c r="E1266" s="12" t="e">
        <f>MID(MAIN!A1271,K1266+4,2)</f>
        <v>#VALUE!</v>
      </c>
      <c r="F1266" s="2" t="e">
        <f t="shared" si="77"/>
        <v>#VALUE!</v>
      </c>
      <c r="G1266" s="13" t="e">
        <f t="shared" si="78"/>
        <v>#VALUE!</v>
      </c>
      <c r="J1266" t="str">
        <f>MAIN!A1271&amp;"B"</f>
        <v>B</v>
      </c>
      <c r="K1266" s="12" t="e">
        <f t="shared" si="79"/>
        <v>#VALUE!</v>
      </c>
      <c r="L1266" t="str">
        <f>MAIN!C1271</f>
        <v/>
      </c>
    </row>
    <row r="1267" spans="1:12" x14ac:dyDescent="0.3">
      <c r="A1267">
        <f>IF(J1267="0",0,IF(COUNTIF($J$2:J1267,J1267)=1,1,0))</f>
        <v>0</v>
      </c>
      <c r="B1267" s="12" t="e">
        <f>MID(MAIN!A1272,K1267,2)</f>
        <v>#VALUE!</v>
      </c>
      <c r="C1267" s="12" t="e">
        <f t="shared" si="76"/>
        <v>#VALUE!</v>
      </c>
      <c r="D1267" s="12" t="e">
        <f>MID(MAIN!A1272,K1267+2,2)</f>
        <v>#VALUE!</v>
      </c>
      <c r="E1267" s="12" t="e">
        <f>MID(MAIN!A1272,K1267+4,2)</f>
        <v>#VALUE!</v>
      </c>
      <c r="F1267" s="2" t="e">
        <f t="shared" si="77"/>
        <v>#VALUE!</v>
      </c>
      <c r="G1267" s="13" t="e">
        <f t="shared" si="78"/>
        <v>#VALUE!</v>
      </c>
      <c r="J1267" t="str">
        <f>MAIN!A1272&amp;"B"</f>
        <v>B</v>
      </c>
      <c r="K1267" s="12" t="e">
        <f t="shared" si="79"/>
        <v>#VALUE!</v>
      </c>
      <c r="L1267" t="str">
        <f>MAIN!C1272</f>
        <v/>
      </c>
    </row>
    <row r="1268" spans="1:12" x14ac:dyDescent="0.3">
      <c r="A1268">
        <f>IF(J1268="0",0,IF(COUNTIF($J$2:J1268,J1268)=1,1,0))</f>
        <v>0</v>
      </c>
      <c r="B1268" s="12" t="e">
        <f>MID(MAIN!A1273,K1268,2)</f>
        <v>#VALUE!</v>
      </c>
      <c r="C1268" s="12" t="e">
        <f t="shared" si="76"/>
        <v>#VALUE!</v>
      </c>
      <c r="D1268" s="12" t="e">
        <f>MID(MAIN!A1273,K1268+2,2)</f>
        <v>#VALUE!</v>
      </c>
      <c r="E1268" s="12" t="e">
        <f>MID(MAIN!A1273,K1268+4,2)</f>
        <v>#VALUE!</v>
      </c>
      <c r="F1268" s="2" t="e">
        <f t="shared" si="77"/>
        <v>#VALUE!</v>
      </c>
      <c r="G1268" s="13" t="e">
        <f t="shared" si="78"/>
        <v>#VALUE!</v>
      </c>
      <c r="J1268" t="str">
        <f>MAIN!A1273&amp;"B"</f>
        <v>B</v>
      </c>
      <c r="K1268" s="12" t="e">
        <f t="shared" si="79"/>
        <v>#VALUE!</v>
      </c>
      <c r="L1268" t="str">
        <f>MAIN!C1273</f>
        <v/>
      </c>
    </row>
    <row r="1269" spans="1:12" x14ac:dyDescent="0.3">
      <c r="A1269">
        <f>IF(J1269="0",0,IF(COUNTIF($J$2:J1269,J1269)=1,1,0))</f>
        <v>0</v>
      </c>
      <c r="B1269" s="12" t="e">
        <f>MID(MAIN!A1274,K1269,2)</f>
        <v>#VALUE!</v>
      </c>
      <c r="C1269" s="12" t="e">
        <f t="shared" si="76"/>
        <v>#VALUE!</v>
      </c>
      <c r="D1269" s="12" t="e">
        <f>MID(MAIN!A1274,K1269+2,2)</f>
        <v>#VALUE!</v>
      </c>
      <c r="E1269" s="12" t="e">
        <f>MID(MAIN!A1274,K1269+4,2)</f>
        <v>#VALUE!</v>
      </c>
      <c r="F1269" s="2" t="e">
        <f t="shared" si="77"/>
        <v>#VALUE!</v>
      </c>
      <c r="G1269" s="13" t="e">
        <f t="shared" si="78"/>
        <v>#VALUE!</v>
      </c>
      <c r="J1269" t="str">
        <f>MAIN!A1274&amp;"B"</f>
        <v>B</v>
      </c>
      <c r="K1269" s="12" t="e">
        <f t="shared" si="79"/>
        <v>#VALUE!</v>
      </c>
      <c r="L1269" t="str">
        <f>MAIN!C1274</f>
        <v/>
      </c>
    </row>
    <row r="1270" spans="1:12" x14ac:dyDescent="0.3">
      <c r="A1270">
        <f>IF(J1270="0",0,IF(COUNTIF($J$2:J1270,J1270)=1,1,0))</f>
        <v>0</v>
      </c>
      <c r="B1270" s="12" t="e">
        <f>MID(MAIN!A1275,K1270,2)</f>
        <v>#VALUE!</v>
      </c>
      <c r="C1270" s="12" t="e">
        <f t="shared" si="76"/>
        <v>#VALUE!</v>
      </c>
      <c r="D1270" s="12" t="e">
        <f>MID(MAIN!A1275,K1270+2,2)</f>
        <v>#VALUE!</v>
      </c>
      <c r="E1270" s="12" t="e">
        <f>MID(MAIN!A1275,K1270+4,2)</f>
        <v>#VALUE!</v>
      </c>
      <c r="F1270" s="2" t="e">
        <f t="shared" si="77"/>
        <v>#VALUE!</v>
      </c>
      <c r="G1270" s="13" t="e">
        <f t="shared" si="78"/>
        <v>#VALUE!</v>
      </c>
      <c r="J1270" t="str">
        <f>MAIN!A1275&amp;"B"</f>
        <v>B</v>
      </c>
      <c r="K1270" s="12" t="e">
        <f t="shared" si="79"/>
        <v>#VALUE!</v>
      </c>
      <c r="L1270" t="str">
        <f>MAIN!C1275</f>
        <v/>
      </c>
    </row>
    <row r="1271" spans="1:12" x14ac:dyDescent="0.3">
      <c r="A1271">
        <f>IF(J1271="0",0,IF(COUNTIF($J$2:J1271,J1271)=1,1,0))</f>
        <v>0</v>
      </c>
      <c r="B1271" s="12" t="e">
        <f>MID(MAIN!A1276,K1271,2)</f>
        <v>#VALUE!</v>
      </c>
      <c r="C1271" s="12" t="e">
        <f t="shared" si="76"/>
        <v>#VALUE!</v>
      </c>
      <c r="D1271" s="12" t="e">
        <f>MID(MAIN!A1276,K1271+2,2)</f>
        <v>#VALUE!</v>
      </c>
      <c r="E1271" s="12" t="e">
        <f>MID(MAIN!A1276,K1271+4,2)</f>
        <v>#VALUE!</v>
      </c>
      <c r="F1271" s="2" t="e">
        <f t="shared" si="77"/>
        <v>#VALUE!</v>
      </c>
      <c r="G1271" s="13" t="e">
        <f t="shared" si="78"/>
        <v>#VALUE!</v>
      </c>
      <c r="J1271" t="str">
        <f>MAIN!A1276&amp;"B"</f>
        <v>B</v>
      </c>
      <c r="K1271" s="12" t="e">
        <f t="shared" si="79"/>
        <v>#VALUE!</v>
      </c>
      <c r="L1271" t="str">
        <f>MAIN!C1276</f>
        <v/>
      </c>
    </row>
    <row r="1272" spans="1:12" x14ac:dyDescent="0.3">
      <c r="A1272">
        <f>IF(J1272="0",0,IF(COUNTIF($J$2:J1272,J1272)=1,1,0))</f>
        <v>0</v>
      </c>
      <c r="B1272" s="12" t="e">
        <f>MID(MAIN!A1277,K1272,2)</f>
        <v>#VALUE!</v>
      </c>
      <c r="C1272" s="12" t="e">
        <f t="shared" si="76"/>
        <v>#VALUE!</v>
      </c>
      <c r="D1272" s="12" t="e">
        <f>MID(MAIN!A1277,K1272+2,2)</f>
        <v>#VALUE!</v>
      </c>
      <c r="E1272" s="12" t="e">
        <f>MID(MAIN!A1277,K1272+4,2)</f>
        <v>#VALUE!</v>
      </c>
      <c r="F1272" s="2" t="e">
        <f t="shared" si="77"/>
        <v>#VALUE!</v>
      </c>
      <c r="G1272" s="13" t="e">
        <f t="shared" si="78"/>
        <v>#VALUE!</v>
      </c>
      <c r="J1272" t="str">
        <f>MAIN!A1277&amp;"B"</f>
        <v>B</v>
      </c>
      <c r="K1272" s="12" t="e">
        <f t="shared" si="79"/>
        <v>#VALUE!</v>
      </c>
      <c r="L1272" t="str">
        <f>MAIN!C1277</f>
        <v/>
      </c>
    </row>
    <row r="1273" spans="1:12" x14ac:dyDescent="0.3">
      <c r="A1273">
        <f>IF(J1273="0",0,IF(COUNTIF($J$2:J1273,J1273)=1,1,0))</f>
        <v>0</v>
      </c>
      <c r="B1273" s="12" t="e">
        <f>MID(MAIN!A1278,K1273,2)</f>
        <v>#VALUE!</v>
      </c>
      <c r="C1273" s="12" t="e">
        <f t="shared" si="76"/>
        <v>#VALUE!</v>
      </c>
      <c r="D1273" s="12" t="e">
        <f>MID(MAIN!A1278,K1273+2,2)</f>
        <v>#VALUE!</v>
      </c>
      <c r="E1273" s="12" t="e">
        <f>MID(MAIN!A1278,K1273+4,2)</f>
        <v>#VALUE!</v>
      </c>
      <c r="F1273" s="2" t="e">
        <f t="shared" si="77"/>
        <v>#VALUE!</v>
      </c>
      <c r="G1273" s="13" t="e">
        <f t="shared" si="78"/>
        <v>#VALUE!</v>
      </c>
      <c r="J1273" t="str">
        <f>MAIN!A1278&amp;"B"</f>
        <v>B</v>
      </c>
      <c r="K1273" s="12" t="e">
        <f t="shared" si="79"/>
        <v>#VALUE!</v>
      </c>
      <c r="L1273" t="str">
        <f>MAIN!C1278</f>
        <v/>
      </c>
    </row>
    <row r="1274" spans="1:12" x14ac:dyDescent="0.3">
      <c r="A1274">
        <f>IF(J1274="0",0,IF(COUNTIF($J$2:J1274,J1274)=1,1,0))</f>
        <v>0</v>
      </c>
      <c r="B1274" s="12" t="e">
        <f>MID(MAIN!A1279,K1274,2)</f>
        <v>#VALUE!</v>
      </c>
      <c r="C1274" s="12" t="e">
        <f t="shared" si="76"/>
        <v>#VALUE!</v>
      </c>
      <c r="D1274" s="12" t="e">
        <f>MID(MAIN!A1279,K1274+2,2)</f>
        <v>#VALUE!</v>
      </c>
      <c r="E1274" s="12" t="e">
        <f>MID(MAIN!A1279,K1274+4,2)</f>
        <v>#VALUE!</v>
      </c>
      <c r="F1274" s="2" t="e">
        <f t="shared" si="77"/>
        <v>#VALUE!</v>
      </c>
      <c r="G1274" s="13" t="e">
        <f t="shared" si="78"/>
        <v>#VALUE!</v>
      </c>
      <c r="J1274" t="str">
        <f>MAIN!A1279&amp;"B"</f>
        <v>B</v>
      </c>
      <c r="K1274" s="12" t="e">
        <f t="shared" si="79"/>
        <v>#VALUE!</v>
      </c>
      <c r="L1274" t="str">
        <f>MAIN!C1279</f>
        <v/>
      </c>
    </row>
    <row r="1275" spans="1:12" x14ac:dyDescent="0.3">
      <c r="A1275">
        <f>IF(J1275="0",0,IF(COUNTIF($J$2:J1275,J1275)=1,1,0))</f>
        <v>0</v>
      </c>
      <c r="B1275" s="12" t="e">
        <f>MID(MAIN!A1280,K1275,2)</f>
        <v>#VALUE!</v>
      </c>
      <c r="C1275" s="12" t="e">
        <f t="shared" si="76"/>
        <v>#VALUE!</v>
      </c>
      <c r="D1275" s="12" t="e">
        <f>MID(MAIN!A1280,K1275+2,2)</f>
        <v>#VALUE!</v>
      </c>
      <c r="E1275" s="12" t="e">
        <f>MID(MAIN!A1280,K1275+4,2)</f>
        <v>#VALUE!</v>
      </c>
      <c r="F1275" s="2" t="e">
        <f t="shared" si="77"/>
        <v>#VALUE!</v>
      </c>
      <c r="G1275" s="13" t="e">
        <f t="shared" si="78"/>
        <v>#VALUE!</v>
      </c>
      <c r="J1275" t="str">
        <f>MAIN!A1280&amp;"B"</f>
        <v>B</v>
      </c>
      <c r="K1275" s="12" t="e">
        <f t="shared" si="79"/>
        <v>#VALUE!</v>
      </c>
      <c r="L1275" t="str">
        <f>MAIN!C1280</f>
        <v/>
      </c>
    </row>
    <row r="1276" spans="1:12" x14ac:dyDescent="0.3">
      <c r="A1276">
        <f>IF(J1276="0",0,IF(COUNTIF($J$2:J1276,J1276)=1,1,0))</f>
        <v>0</v>
      </c>
      <c r="B1276" s="12" t="e">
        <f>MID(MAIN!A1281,K1276,2)</f>
        <v>#VALUE!</v>
      </c>
      <c r="C1276" s="12" t="e">
        <f t="shared" si="76"/>
        <v>#VALUE!</v>
      </c>
      <c r="D1276" s="12" t="e">
        <f>MID(MAIN!A1281,K1276+2,2)</f>
        <v>#VALUE!</v>
      </c>
      <c r="E1276" s="12" t="e">
        <f>MID(MAIN!A1281,K1276+4,2)</f>
        <v>#VALUE!</v>
      </c>
      <c r="F1276" s="2" t="e">
        <f t="shared" si="77"/>
        <v>#VALUE!</v>
      </c>
      <c r="G1276" s="13" t="e">
        <f t="shared" si="78"/>
        <v>#VALUE!</v>
      </c>
      <c r="J1276" t="str">
        <f>MAIN!A1281&amp;"B"</f>
        <v>B</v>
      </c>
      <c r="K1276" s="12" t="e">
        <f t="shared" si="79"/>
        <v>#VALUE!</v>
      </c>
      <c r="L1276" t="str">
        <f>MAIN!C1281</f>
        <v/>
      </c>
    </row>
    <row r="1277" spans="1:12" x14ac:dyDescent="0.3">
      <c r="A1277">
        <f>IF(J1277="0",0,IF(COUNTIF($J$2:J1277,J1277)=1,1,0))</f>
        <v>0</v>
      </c>
      <c r="B1277" s="12" t="e">
        <f>MID(MAIN!A1282,K1277,2)</f>
        <v>#VALUE!</v>
      </c>
      <c r="C1277" s="12" t="e">
        <f t="shared" si="76"/>
        <v>#VALUE!</v>
      </c>
      <c r="D1277" s="12" t="e">
        <f>MID(MAIN!A1282,K1277+2,2)</f>
        <v>#VALUE!</v>
      </c>
      <c r="E1277" s="12" t="e">
        <f>MID(MAIN!A1282,K1277+4,2)</f>
        <v>#VALUE!</v>
      </c>
      <c r="F1277" s="2" t="e">
        <f t="shared" si="77"/>
        <v>#VALUE!</v>
      </c>
      <c r="G1277" s="13" t="e">
        <f t="shared" si="78"/>
        <v>#VALUE!</v>
      </c>
      <c r="J1277" t="str">
        <f>MAIN!A1282&amp;"B"</f>
        <v>B</v>
      </c>
      <c r="K1277" s="12" t="e">
        <f t="shared" si="79"/>
        <v>#VALUE!</v>
      </c>
      <c r="L1277" t="str">
        <f>MAIN!C1282</f>
        <v/>
      </c>
    </row>
    <row r="1278" spans="1:12" x14ac:dyDescent="0.3">
      <c r="A1278">
        <f>IF(J1278="0",0,IF(COUNTIF($J$2:J1278,J1278)=1,1,0))</f>
        <v>0</v>
      </c>
      <c r="B1278" s="12" t="e">
        <f>MID(MAIN!A1283,K1278,2)</f>
        <v>#VALUE!</v>
      </c>
      <c r="C1278" s="12" t="e">
        <f t="shared" si="76"/>
        <v>#VALUE!</v>
      </c>
      <c r="D1278" s="12" t="e">
        <f>MID(MAIN!A1283,K1278+2,2)</f>
        <v>#VALUE!</v>
      </c>
      <c r="E1278" s="12" t="e">
        <f>MID(MAIN!A1283,K1278+4,2)</f>
        <v>#VALUE!</v>
      </c>
      <c r="F1278" s="2" t="e">
        <f t="shared" si="77"/>
        <v>#VALUE!</v>
      </c>
      <c r="G1278" s="13" t="e">
        <f t="shared" si="78"/>
        <v>#VALUE!</v>
      </c>
      <c r="J1278" t="str">
        <f>MAIN!A1283&amp;"B"</f>
        <v>B</v>
      </c>
      <c r="K1278" s="12" t="e">
        <f t="shared" si="79"/>
        <v>#VALUE!</v>
      </c>
      <c r="L1278" t="str">
        <f>MAIN!C1283</f>
        <v/>
      </c>
    </row>
    <row r="1279" spans="1:12" x14ac:dyDescent="0.3">
      <c r="A1279">
        <f>IF(J1279="0",0,IF(COUNTIF($J$2:J1279,J1279)=1,1,0))</f>
        <v>0</v>
      </c>
      <c r="B1279" s="12" t="e">
        <f>MID(MAIN!A1284,K1279,2)</f>
        <v>#VALUE!</v>
      </c>
      <c r="C1279" s="12" t="e">
        <f t="shared" si="76"/>
        <v>#VALUE!</v>
      </c>
      <c r="D1279" s="12" t="e">
        <f>MID(MAIN!A1284,K1279+2,2)</f>
        <v>#VALUE!</v>
      </c>
      <c r="E1279" s="12" t="e">
        <f>MID(MAIN!A1284,K1279+4,2)</f>
        <v>#VALUE!</v>
      </c>
      <c r="F1279" s="2" t="e">
        <f t="shared" si="77"/>
        <v>#VALUE!</v>
      </c>
      <c r="G1279" s="13" t="e">
        <f t="shared" si="78"/>
        <v>#VALUE!</v>
      </c>
      <c r="J1279" t="str">
        <f>MAIN!A1284&amp;"B"</f>
        <v>B</v>
      </c>
      <c r="K1279" s="12" t="e">
        <f t="shared" si="79"/>
        <v>#VALUE!</v>
      </c>
      <c r="L1279" t="str">
        <f>MAIN!C1284</f>
        <v/>
      </c>
    </row>
    <row r="1280" spans="1:12" x14ac:dyDescent="0.3">
      <c r="A1280">
        <f>IF(J1280="0",0,IF(COUNTIF($J$2:J1280,J1280)=1,1,0))</f>
        <v>0</v>
      </c>
      <c r="B1280" s="12" t="e">
        <f>MID(MAIN!A1285,K1280,2)</f>
        <v>#VALUE!</v>
      </c>
      <c r="C1280" s="12" t="e">
        <f t="shared" si="76"/>
        <v>#VALUE!</v>
      </c>
      <c r="D1280" s="12" t="e">
        <f>MID(MAIN!A1285,K1280+2,2)</f>
        <v>#VALUE!</v>
      </c>
      <c r="E1280" s="12" t="e">
        <f>MID(MAIN!A1285,K1280+4,2)</f>
        <v>#VALUE!</v>
      </c>
      <c r="F1280" s="2" t="e">
        <f t="shared" si="77"/>
        <v>#VALUE!</v>
      </c>
      <c r="G1280" s="13" t="e">
        <f t="shared" si="78"/>
        <v>#VALUE!</v>
      </c>
      <c r="J1280" t="str">
        <f>MAIN!A1285&amp;"B"</f>
        <v>B</v>
      </c>
      <c r="K1280" s="12" t="e">
        <f t="shared" si="79"/>
        <v>#VALUE!</v>
      </c>
      <c r="L1280" t="str">
        <f>MAIN!C1285</f>
        <v/>
      </c>
    </row>
    <row r="1281" spans="1:12" x14ac:dyDescent="0.3">
      <c r="A1281">
        <f>IF(J1281="0",0,IF(COUNTIF($J$2:J1281,J1281)=1,1,0))</f>
        <v>0</v>
      </c>
      <c r="B1281" s="12" t="e">
        <f>MID(MAIN!A1286,K1281,2)</f>
        <v>#VALUE!</v>
      </c>
      <c r="C1281" s="12" t="e">
        <f t="shared" si="76"/>
        <v>#VALUE!</v>
      </c>
      <c r="D1281" s="12" t="e">
        <f>MID(MAIN!A1286,K1281+2,2)</f>
        <v>#VALUE!</v>
      </c>
      <c r="E1281" s="12" t="e">
        <f>MID(MAIN!A1286,K1281+4,2)</f>
        <v>#VALUE!</v>
      </c>
      <c r="F1281" s="2" t="e">
        <f t="shared" si="77"/>
        <v>#VALUE!</v>
      </c>
      <c r="G1281" s="13" t="e">
        <f t="shared" si="78"/>
        <v>#VALUE!</v>
      </c>
      <c r="J1281" t="str">
        <f>MAIN!A1286&amp;"B"</f>
        <v>B</v>
      </c>
      <c r="K1281" s="12" t="e">
        <f t="shared" si="79"/>
        <v>#VALUE!</v>
      </c>
      <c r="L1281" t="str">
        <f>MAIN!C1286</f>
        <v/>
      </c>
    </row>
    <row r="1282" spans="1:12" x14ac:dyDescent="0.3">
      <c r="A1282">
        <f>IF(J1282="0",0,IF(COUNTIF($J$2:J1282,J1282)=1,1,0))</f>
        <v>0</v>
      </c>
      <c r="B1282" s="12" t="e">
        <f>MID(MAIN!A1287,K1282,2)</f>
        <v>#VALUE!</v>
      </c>
      <c r="C1282" s="12" t="e">
        <f t="shared" si="76"/>
        <v>#VALUE!</v>
      </c>
      <c r="D1282" s="12" t="e">
        <f>MID(MAIN!A1287,K1282+2,2)</f>
        <v>#VALUE!</v>
      </c>
      <c r="E1282" s="12" t="e">
        <f>MID(MAIN!A1287,K1282+4,2)</f>
        <v>#VALUE!</v>
      </c>
      <c r="F1282" s="2" t="e">
        <f t="shared" si="77"/>
        <v>#VALUE!</v>
      </c>
      <c r="G1282" s="13" t="e">
        <f t="shared" si="78"/>
        <v>#VALUE!</v>
      </c>
      <c r="J1282" t="str">
        <f>MAIN!A1287&amp;"B"</f>
        <v>B</v>
      </c>
      <c r="K1282" s="12" t="e">
        <f t="shared" si="79"/>
        <v>#VALUE!</v>
      </c>
      <c r="L1282" t="str">
        <f>MAIN!C1287</f>
        <v/>
      </c>
    </row>
    <row r="1283" spans="1:12" x14ac:dyDescent="0.3">
      <c r="A1283">
        <f>IF(J1283="0",0,IF(COUNTIF($J$2:J1283,J1283)=1,1,0))</f>
        <v>0</v>
      </c>
      <c r="B1283" s="12" t="e">
        <f>MID(MAIN!A1288,K1283,2)</f>
        <v>#VALUE!</v>
      </c>
      <c r="C1283" s="12" t="e">
        <f t="shared" ref="C1283:C1346" si="80">"20"&amp;B1283</f>
        <v>#VALUE!</v>
      </c>
      <c r="D1283" s="12" t="e">
        <f>MID(MAIN!A1288,K1283+2,2)</f>
        <v>#VALUE!</v>
      </c>
      <c r="E1283" s="12" t="e">
        <f>MID(MAIN!A1288,K1283+4,2)</f>
        <v>#VALUE!</v>
      </c>
      <c r="F1283" s="2" t="e">
        <f t="shared" ref="F1283:F1346" si="81">C1283&amp;"/"&amp;D1283&amp;"/"&amp;E1283</f>
        <v>#VALUE!</v>
      </c>
      <c r="G1283" s="13" t="e">
        <f t="shared" ref="G1283:G1346" si="82">DATEVALUE(F1283)</f>
        <v>#VALUE!</v>
      </c>
      <c r="J1283" t="str">
        <f>MAIN!A1288&amp;"B"</f>
        <v>B</v>
      </c>
      <c r="K1283" s="12" t="e">
        <f t="shared" ref="K1283:K1346" si="83">FIND("172",J1283,30)+2</f>
        <v>#VALUE!</v>
      </c>
      <c r="L1283" t="str">
        <f>MAIN!C1288</f>
        <v/>
      </c>
    </row>
    <row r="1284" spans="1:12" x14ac:dyDescent="0.3">
      <c r="A1284">
        <f>IF(J1284="0",0,IF(COUNTIF($J$2:J1284,J1284)=1,1,0))</f>
        <v>0</v>
      </c>
      <c r="B1284" s="12" t="e">
        <f>MID(MAIN!A1289,K1284,2)</f>
        <v>#VALUE!</v>
      </c>
      <c r="C1284" s="12" t="e">
        <f t="shared" si="80"/>
        <v>#VALUE!</v>
      </c>
      <c r="D1284" s="12" t="e">
        <f>MID(MAIN!A1289,K1284+2,2)</f>
        <v>#VALUE!</v>
      </c>
      <c r="E1284" s="12" t="e">
        <f>MID(MAIN!A1289,K1284+4,2)</f>
        <v>#VALUE!</v>
      </c>
      <c r="F1284" s="2" t="e">
        <f t="shared" si="81"/>
        <v>#VALUE!</v>
      </c>
      <c r="G1284" s="13" t="e">
        <f t="shared" si="82"/>
        <v>#VALUE!</v>
      </c>
      <c r="J1284" t="str">
        <f>MAIN!A1289&amp;"B"</f>
        <v>B</v>
      </c>
      <c r="K1284" s="12" t="e">
        <f t="shared" si="83"/>
        <v>#VALUE!</v>
      </c>
      <c r="L1284" t="str">
        <f>MAIN!C1289</f>
        <v/>
      </c>
    </row>
    <row r="1285" spans="1:12" x14ac:dyDescent="0.3">
      <c r="A1285">
        <f>IF(J1285="0",0,IF(COUNTIF($J$2:J1285,J1285)=1,1,0))</f>
        <v>0</v>
      </c>
      <c r="B1285" s="12" t="e">
        <f>MID(MAIN!A1290,K1285,2)</f>
        <v>#VALUE!</v>
      </c>
      <c r="C1285" s="12" t="e">
        <f t="shared" si="80"/>
        <v>#VALUE!</v>
      </c>
      <c r="D1285" s="12" t="e">
        <f>MID(MAIN!A1290,K1285+2,2)</f>
        <v>#VALUE!</v>
      </c>
      <c r="E1285" s="12" t="e">
        <f>MID(MAIN!A1290,K1285+4,2)</f>
        <v>#VALUE!</v>
      </c>
      <c r="F1285" s="2" t="e">
        <f t="shared" si="81"/>
        <v>#VALUE!</v>
      </c>
      <c r="G1285" s="13" t="e">
        <f t="shared" si="82"/>
        <v>#VALUE!</v>
      </c>
      <c r="J1285" t="str">
        <f>MAIN!A1290&amp;"B"</f>
        <v>B</v>
      </c>
      <c r="K1285" s="12" t="e">
        <f t="shared" si="83"/>
        <v>#VALUE!</v>
      </c>
      <c r="L1285" t="str">
        <f>MAIN!C1290</f>
        <v/>
      </c>
    </row>
    <row r="1286" spans="1:12" x14ac:dyDescent="0.3">
      <c r="A1286">
        <f>IF(J1286="0",0,IF(COUNTIF($J$2:J1286,J1286)=1,1,0))</f>
        <v>0</v>
      </c>
      <c r="B1286" s="12" t="e">
        <f>MID(MAIN!A1291,K1286,2)</f>
        <v>#VALUE!</v>
      </c>
      <c r="C1286" s="12" t="e">
        <f t="shared" si="80"/>
        <v>#VALUE!</v>
      </c>
      <c r="D1286" s="12" t="e">
        <f>MID(MAIN!A1291,K1286+2,2)</f>
        <v>#VALUE!</v>
      </c>
      <c r="E1286" s="12" t="e">
        <f>MID(MAIN!A1291,K1286+4,2)</f>
        <v>#VALUE!</v>
      </c>
      <c r="F1286" s="2" t="e">
        <f t="shared" si="81"/>
        <v>#VALUE!</v>
      </c>
      <c r="G1286" s="13" t="e">
        <f t="shared" si="82"/>
        <v>#VALUE!</v>
      </c>
      <c r="J1286" t="str">
        <f>MAIN!A1291&amp;"B"</f>
        <v>B</v>
      </c>
      <c r="K1286" s="12" t="e">
        <f t="shared" si="83"/>
        <v>#VALUE!</v>
      </c>
      <c r="L1286" t="str">
        <f>MAIN!C1291</f>
        <v/>
      </c>
    </row>
    <row r="1287" spans="1:12" x14ac:dyDescent="0.3">
      <c r="A1287">
        <f>IF(J1287="0",0,IF(COUNTIF($J$2:J1287,J1287)=1,1,0))</f>
        <v>0</v>
      </c>
      <c r="B1287" s="12" t="e">
        <f>MID(MAIN!A1292,K1287,2)</f>
        <v>#VALUE!</v>
      </c>
      <c r="C1287" s="12" t="e">
        <f t="shared" si="80"/>
        <v>#VALUE!</v>
      </c>
      <c r="D1287" s="12" t="e">
        <f>MID(MAIN!A1292,K1287+2,2)</f>
        <v>#VALUE!</v>
      </c>
      <c r="E1287" s="12" t="e">
        <f>MID(MAIN!A1292,K1287+4,2)</f>
        <v>#VALUE!</v>
      </c>
      <c r="F1287" s="2" t="e">
        <f t="shared" si="81"/>
        <v>#VALUE!</v>
      </c>
      <c r="G1287" s="13" t="e">
        <f t="shared" si="82"/>
        <v>#VALUE!</v>
      </c>
      <c r="J1287" t="str">
        <f>MAIN!A1292&amp;"B"</f>
        <v>B</v>
      </c>
      <c r="K1287" s="12" t="e">
        <f t="shared" si="83"/>
        <v>#VALUE!</v>
      </c>
      <c r="L1287" t="str">
        <f>MAIN!C1292</f>
        <v/>
      </c>
    </row>
    <row r="1288" spans="1:12" x14ac:dyDescent="0.3">
      <c r="A1288">
        <f>IF(J1288="0",0,IF(COUNTIF($J$2:J1288,J1288)=1,1,0))</f>
        <v>0</v>
      </c>
      <c r="B1288" s="12" t="e">
        <f>MID(MAIN!A1293,K1288,2)</f>
        <v>#VALUE!</v>
      </c>
      <c r="C1288" s="12" t="e">
        <f t="shared" si="80"/>
        <v>#VALUE!</v>
      </c>
      <c r="D1288" s="12" t="e">
        <f>MID(MAIN!A1293,K1288+2,2)</f>
        <v>#VALUE!</v>
      </c>
      <c r="E1288" s="12" t="e">
        <f>MID(MAIN!A1293,K1288+4,2)</f>
        <v>#VALUE!</v>
      </c>
      <c r="F1288" s="2" t="e">
        <f t="shared" si="81"/>
        <v>#VALUE!</v>
      </c>
      <c r="G1288" s="13" t="e">
        <f t="shared" si="82"/>
        <v>#VALUE!</v>
      </c>
      <c r="J1288" t="str">
        <f>MAIN!A1293&amp;"B"</f>
        <v>B</v>
      </c>
      <c r="K1288" s="12" t="e">
        <f t="shared" si="83"/>
        <v>#VALUE!</v>
      </c>
      <c r="L1288" t="str">
        <f>MAIN!C1293</f>
        <v/>
      </c>
    </row>
    <row r="1289" spans="1:12" x14ac:dyDescent="0.3">
      <c r="A1289">
        <f>IF(J1289="0",0,IF(COUNTIF($J$2:J1289,J1289)=1,1,0))</f>
        <v>0</v>
      </c>
      <c r="B1289" s="12" t="e">
        <f>MID(MAIN!A1294,K1289,2)</f>
        <v>#VALUE!</v>
      </c>
      <c r="C1289" s="12" t="e">
        <f t="shared" si="80"/>
        <v>#VALUE!</v>
      </c>
      <c r="D1289" s="12" t="e">
        <f>MID(MAIN!A1294,K1289+2,2)</f>
        <v>#VALUE!</v>
      </c>
      <c r="E1289" s="12" t="e">
        <f>MID(MAIN!A1294,K1289+4,2)</f>
        <v>#VALUE!</v>
      </c>
      <c r="F1289" s="2" t="e">
        <f t="shared" si="81"/>
        <v>#VALUE!</v>
      </c>
      <c r="G1289" s="13" t="e">
        <f t="shared" si="82"/>
        <v>#VALUE!</v>
      </c>
      <c r="J1289" t="str">
        <f>MAIN!A1294&amp;"B"</f>
        <v>B</v>
      </c>
      <c r="K1289" s="12" t="e">
        <f t="shared" si="83"/>
        <v>#VALUE!</v>
      </c>
      <c r="L1289" t="str">
        <f>MAIN!C1294</f>
        <v/>
      </c>
    </row>
    <row r="1290" spans="1:12" x14ac:dyDescent="0.3">
      <c r="A1290">
        <f>IF(J1290="0",0,IF(COUNTIF($J$2:J1290,J1290)=1,1,0))</f>
        <v>0</v>
      </c>
      <c r="B1290" s="12" t="e">
        <f>MID(MAIN!A1295,K1290,2)</f>
        <v>#VALUE!</v>
      </c>
      <c r="C1290" s="12" t="e">
        <f t="shared" si="80"/>
        <v>#VALUE!</v>
      </c>
      <c r="D1290" s="12" t="e">
        <f>MID(MAIN!A1295,K1290+2,2)</f>
        <v>#VALUE!</v>
      </c>
      <c r="E1290" s="12" t="e">
        <f>MID(MAIN!A1295,K1290+4,2)</f>
        <v>#VALUE!</v>
      </c>
      <c r="F1290" s="2" t="e">
        <f t="shared" si="81"/>
        <v>#VALUE!</v>
      </c>
      <c r="G1290" s="13" t="e">
        <f t="shared" si="82"/>
        <v>#VALUE!</v>
      </c>
      <c r="J1290" t="str">
        <f>MAIN!A1295&amp;"B"</f>
        <v>B</v>
      </c>
      <c r="K1290" s="12" t="e">
        <f t="shared" si="83"/>
        <v>#VALUE!</v>
      </c>
      <c r="L1290" t="str">
        <f>MAIN!C1295</f>
        <v/>
      </c>
    </row>
    <row r="1291" spans="1:12" x14ac:dyDescent="0.3">
      <c r="A1291">
        <f>IF(J1291="0",0,IF(COUNTIF($J$2:J1291,J1291)=1,1,0))</f>
        <v>0</v>
      </c>
      <c r="B1291" s="12" t="e">
        <f>MID(MAIN!A1296,K1291,2)</f>
        <v>#VALUE!</v>
      </c>
      <c r="C1291" s="12" t="e">
        <f t="shared" si="80"/>
        <v>#VALUE!</v>
      </c>
      <c r="D1291" s="12" t="e">
        <f>MID(MAIN!A1296,K1291+2,2)</f>
        <v>#VALUE!</v>
      </c>
      <c r="E1291" s="12" t="e">
        <f>MID(MAIN!A1296,K1291+4,2)</f>
        <v>#VALUE!</v>
      </c>
      <c r="F1291" s="2" t="e">
        <f t="shared" si="81"/>
        <v>#VALUE!</v>
      </c>
      <c r="G1291" s="13" t="e">
        <f t="shared" si="82"/>
        <v>#VALUE!</v>
      </c>
      <c r="J1291" t="str">
        <f>MAIN!A1296&amp;"B"</f>
        <v>B</v>
      </c>
      <c r="K1291" s="12" t="e">
        <f t="shared" si="83"/>
        <v>#VALUE!</v>
      </c>
      <c r="L1291" t="str">
        <f>MAIN!C1296</f>
        <v/>
      </c>
    </row>
    <row r="1292" spans="1:12" x14ac:dyDescent="0.3">
      <c r="A1292">
        <f>IF(J1292="0",0,IF(COUNTIF($J$2:J1292,J1292)=1,1,0))</f>
        <v>0</v>
      </c>
      <c r="B1292" s="12" t="e">
        <f>MID(MAIN!A1297,K1292,2)</f>
        <v>#VALUE!</v>
      </c>
      <c r="C1292" s="12" t="e">
        <f t="shared" si="80"/>
        <v>#VALUE!</v>
      </c>
      <c r="D1292" s="12" t="e">
        <f>MID(MAIN!A1297,K1292+2,2)</f>
        <v>#VALUE!</v>
      </c>
      <c r="E1292" s="12" t="e">
        <f>MID(MAIN!A1297,K1292+4,2)</f>
        <v>#VALUE!</v>
      </c>
      <c r="F1292" s="2" t="e">
        <f t="shared" si="81"/>
        <v>#VALUE!</v>
      </c>
      <c r="G1292" s="13" t="e">
        <f t="shared" si="82"/>
        <v>#VALUE!</v>
      </c>
      <c r="J1292" t="str">
        <f>MAIN!A1297&amp;"B"</f>
        <v>B</v>
      </c>
      <c r="K1292" s="12" t="e">
        <f t="shared" si="83"/>
        <v>#VALUE!</v>
      </c>
      <c r="L1292" t="str">
        <f>MAIN!C1297</f>
        <v/>
      </c>
    </row>
    <row r="1293" spans="1:12" x14ac:dyDescent="0.3">
      <c r="A1293">
        <f>IF(J1293="0",0,IF(COUNTIF($J$2:J1293,J1293)=1,1,0))</f>
        <v>0</v>
      </c>
      <c r="B1293" s="12" t="e">
        <f>MID(MAIN!A1298,K1293,2)</f>
        <v>#VALUE!</v>
      </c>
      <c r="C1293" s="12" t="e">
        <f t="shared" si="80"/>
        <v>#VALUE!</v>
      </c>
      <c r="D1293" s="12" t="e">
        <f>MID(MAIN!A1298,K1293+2,2)</f>
        <v>#VALUE!</v>
      </c>
      <c r="E1293" s="12" t="e">
        <f>MID(MAIN!A1298,K1293+4,2)</f>
        <v>#VALUE!</v>
      </c>
      <c r="F1293" s="2" t="e">
        <f t="shared" si="81"/>
        <v>#VALUE!</v>
      </c>
      <c r="G1293" s="13" t="e">
        <f t="shared" si="82"/>
        <v>#VALUE!</v>
      </c>
      <c r="J1293" t="str">
        <f>MAIN!A1298&amp;"B"</f>
        <v>B</v>
      </c>
      <c r="K1293" s="12" t="e">
        <f t="shared" si="83"/>
        <v>#VALUE!</v>
      </c>
      <c r="L1293" t="str">
        <f>MAIN!C1298</f>
        <v/>
      </c>
    </row>
    <row r="1294" spans="1:12" x14ac:dyDescent="0.3">
      <c r="A1294">
        <f>IF(J1294="0",0,IF(COUNTIF($J$2:J1294,J1294)=1,1,0))</f>
        <v>0</v>
      </c>
      <c r="B1294" s="12" t="e">
        <f>MID(MAIN!A1299,K1294,2)</f>
        <v>#VALUE!</v>
      </c>
      <c r="C1294" s="12" t="e">
        <f t="shared" si="80"/>
        <v>#VALUE!</v>
      </c>
      <c r="D1294" s="12" t="e">
        <f>MID(MAIN!A1299,K1294+2,2)</f>
        <v>#VALUE!</v>
      </c>
      <c r="E1294" s="12" t="e">
        <f>MID(MAIN!A1299,K1294+4,2)</f>
        <v>#VALUE!</v>
      </c>
      <c r="F1294" s="2" t="e">
        <f t="shared" si="81"/>
        <v>#VALUE!</v>
      </c>
      <c r="G1294" s="13" t="e">
        <f t="shared" si="82"/>
        <v>#VALUE!</v>
      </c>
      <c r="J1294" t="str">
        <f>MAIN!A1299&amp;"B"</f>
        <v>B</v>
      </c>
      <c r="K1294" s="12" t="e">
        <f t="shared" si="83"/>
        <v>#VALUE!</v>
      </c>
      <c r="L1294" t="str">
        <f>MAIN!C1299</f>
        <v/>
      </c>
    </row>
    <row r="1295" spans="1:12" x14ac:dyDescent="0.3">
      <c r="A1295">
        <f>IF(J1295="0",0,IF(COUNTIF($J$2:J1295,J1295)=1,1,0))</f>
        <v>0</v>
      </c>
      <c r="B1295" s="12" t="e">
        <f>MID(MAIN!A1300,K1295,2)</f>
        <v>#VALUE!</v>
      </c>
      <c r="C1295" s="12" t="e">
        <f t="shared" si="80"/>
        <v>#VALUE!</v>
      </c>
      <c r="D1295" s="12" t="e">
        <f>MID(MAIN!A1300,K1295+2,2)</f>
        <v>#VALUE!</v>
      </c>
      <c r="E1295" s="12" t="e">
        <f>MID(MAIN!A1300,K1295+4,2)</f>
        <v>#VALUE!</v>
      </c>
      <c r="F1295" s="2" t="e">
        <f t="shared" si="81"/>
        <v>#VALUE!</v>
      </c>
      <c r="G1295" s="13" t="e">
        <f t="shared" si="82"/>
        <v>#VALUE!</v>
      </c>
      <c r="J1295" t="str">
        <f>MAIN!A1300&amp;"B"</f>
        <v>B</v>
      </c>
      <c r="K1295" s="12" t="e">
        <f t="shared" si="83"/>
        <v>#VALUE!</v>
      </c>
      <c r="L1295" t="str">
        <f>MAIN!C1300</f>
        <v/>
      </c>
    </row>
    <row r="1296" spans="1:12" x14ac:dyDescent="0.3">
      <c r="A1296">
        <f>IF(J1296="0",0,IF(COUNTIF($J$2:J1296,J1296)=1,1,0))</f>
        <v>0</v>
      </c>
      <c r="B1296" s="12" t="e">
        <f>MID(MAIN!A1301,K1296,2)</f>
        <v>#VALUE!</v>
      </c>
      <c r="C1296" s="12" t="e">
        <f t="shared" si="80"/>
        <v>#VALUE!</v>
      </c>
      <c r="D1296" s="12" t="e">
        <f>MID(MAIN!A1301,K1296+2,2)</f>
        <v>#VALUE!</v>
      </c>
      <c r="E1296" s="12" t="e">
        <f>MID(MAIN!A1301,K1296+4,2)</f>
        <v>#VALUE!</v>
      </c>
      <c r="F1296" s="2" t="e">
        <f t="shared" si="81"/>
        <v>#VALUE!</v>
      </c>
      <c r="G1296" s="13" t="e">
        <f t="shared" si="82"/>
        <v>#VALUE!</v>
      </c>
      <c r="J1296" t="str">
        <f>MAIN!A1301&amp;"B"</f>
        <v>B</v>
      </c>
      <c r="K1296" s="12" t="e">
        <f t="shared" si="83"/>
        <v>#VALUE!</v>
      </c>
      <c r="L1296" t="str">
        <f>MAIN!C1301</f>
        <v/>
      </c>
    </row>
    <row r="1297" spans="1:12" x14ac:dyDescent="0.3">
      <c r="A1297">
        <f>IF(J1297="0",0,IF(COUNTIF($J$2:J1297,J1297)=1,1,0))</f>
        <v>0</v>
      </c>
      <c r="B1297" s="12" t="e">
        <f>MID(MAIN!A1302,K1297,2)</f>
        <v>#VALUE!</v>
      </c>
      <c r="C1297" s="12" t="e">
        <f t="shared" si="80"/>
        <v>#VALUE!</v>
      </c>
      <c r="D1297" s="12" t="e">
        <f>MID(MAIN!A1302,K1297+2,2)</f>
        <v>#VALUE!</v>
      </c>
      <c r="E1297" s="12" t="e">
        <f>MID(MAIN!A1302,K1297+4,2)</f>
        <v>#VALUE!</v>
      </c>
      <c r="F1297" s="2" t="e">
        <f t="shared" si="81"/>
        <v>#VALUE!</v>
      </c>
      <c r="G1297" s="13" t="e">
        <f t="shared" si="82"/>
        <v>#VALUE!</v>
      </c>
      <c r="J1297" t="str">
        <f>MAIN!A1302&amp;"B"</f>
        <v>B</v>
      </c>
      <c r="K1297" s="12" t="e">
        <f t="shared" si="83"/>
        <v>#VALUE!</v>
      </c>
      <c r="L1297" t="str">
        <f>MAIN!C1302</f>
        <v/>
      </c>
    </row>
    <row r="1298" spans="1:12" x14ac:dyDescent="0.3">
      <c r="A1298">
        <f>IF(J1298="0",0,IF(COUNTIF($J$2:J1298,J1298)=1,1,0))</f>
        <v>0</v>
      </c>
      <c r="B1298" s="12" t="e">
        <f>MID(MAIN!A1303,K1298,2)</f>
        <v>#VALUE!</v>
      </c>
      <c r="C1298" s="12" t="e">
        <f t="shared" si="80"/>
        <v>#VALUE!</v>
      </c>
      <c r="D1298" s="12" t="e">
        <f>MID(MAIN!A1303,K1298+2,2)</f>
        <v>#VALUE!</v>
      </c>
      <c r="E1298" s="12" t="e">
        <f>MID(MAIN!A1303,K1298+4,2)</f>
        <v>#VALUE!</v>
      </c>
      <c r="F1298" s="2" t="e">
        <f t="shared" si="81"/>
        <v>#VALUE!</v>
      </c>
      <c r="G1298" s="13" t="e">
        <f t="shared" si="82"/>
        <v>#VALUE!</v>
      </c>
      <c r="J1298" t="str">
        <f>MAIN!A1303&amp;"B"</f>
        <v>B</v>
      </c>
      <c r="K1298" s="12" t="e">
        <f t="shared" si="83"/>
        <v>#VALUE!</v>
      </c>
      <c r="L1298" t="str">
        <f>MAIN!C1303</f>
        <v/>
      </c>
    </row>
    <row r="1299" spans="1:12" x14ac:dyDescent="0.3">
      <c r="A1299">
        <f>IF(J1299="0",0,IF(COUNTIF($J$2:J1299,J1299)=1,1,0))</f>
        <v>0</v>
      </c>
      <c r="B1299" s="12" t="e">
        <f>MID(MAIN!A1304,K1299,2)</f>
        <v>#VALUE!</v>
      </c>
      <c r="C1299" s="12" t="e">
        <f t="shared" si="80"/>
        <v>#VALUE!</v>
      </c>
      <c r="D1299" s="12" t="e">
        <f>MID(MAIN!A1304,K1299+2,2)</f>
        <v>#VALUE!</v>
      </c>
      <c r="E1299" s="12" t="e">
        <f>MID(MAIN!A1304,K1299+4,2)</f>
        <v>#VALUE!</v>
      </c>
      <c r="F1299" s="2" t="e">
        <f t="shared" si="81"/>
        <v>#VALUE!</v>
      </c>
      <c r="G1299" s="13" t="e">
        <f t="shared" si="82"/>
        <v>#VALUE!</v>
      </c>
      <c r="J1299" t="str">
        <f>MAIN!A1304&amp;"B"</f>
        <v>B</v>
      </c>
      <c r="K1299" s="12" t="e">
        <f t="shared" si="83"/>
        <v>#VALUE!</v>
      </c>
      <c r="L1299" t="str">
        <f>MAIN!C1304</f>
        <v/>
      </c>
    </row>
    <row r="1300" spans="1:12" x14ac:dyDescent="0.3">
      <c r="A1300">
        <f>IF(J1300="0",0,IF(COUNTIF($J$2:J1300,J1300)=1,1,0))</f>
        <v>0</v>
      </c>
      <c r="B1300" s="12" t="e">
        <f>MID(MAIN!A1305,K1300,2)</f>
        <v>#VALUE!</v>
      </c>
      <c r="C1300" s="12" t="e">
        <f t="shared" si="80"/>
        <v>#VALUE!</v>
      </c>
      <c r="D1300" s="12" t="e">
        <f>MID(MAIN!A1305,K1300+2,2)</f>
        <v>#VALUE!</v>
      </c>
      <c r="E1300" s="12" t="e">
        <f>MID(MAIN!A1305,K1300+4,2)</f>
        <v>#VALUE!</v>
      </c>
      <c r="F1300" s="2" t="e">
        <f t="shared" si="81"/>
        <v>#VALUE!</v>
      </c>
      <c r="G1300" s="13" t="e">
        <f t="shared" si="82"/>
        <v>#VALUE!</v>
      </c>
      <c r="J1300" t="str">
        <f>MAIN!A1305&amp;"B"</f>
        <v>B</v>
      </c>
      <c r="K1300" s="12" t="e">
        <f t="shared" si="83"/>
        <v>#VALUE!</v>
      </c>
      <c r="L1300" t="str">
        <f>MAIN!C1305</f>
        <v/>
      </c>
    </row>
    <row r="1301" spans="1:12" x14ac:dyDescent="0.3">
      <c r="A1301">
        <f>IF(J1301="0",0,IF(COUNTIF($J$2:J1301,J1301)=1,1,0))</f>
        <v>0</v>
      </c>
      <c r="B1301" s="12" t="e">
        <f>MID(MAIN!A1306,K1301,2)</f>
        <v>#VALUE!</v>
      </c>
      <c r="C1301" s="12" t="e">
        <f t="shared" si="80"/>
        <v>#VALUE!</v>
      </c>
      <c r="D1301" s="12" t="e">
        <f>MID(MAIN!A1306,K1301+2,2)</f>
        <v>#VALUE!</v>
      </c>
      <c r="E1301" s="12" t="e">
        <f>MID(MAIN!A1306,K1301+4,2)</f>
        <v>#VALUE!</v>
      </c>
      <c r="F1301" s="2" t="e">
        <f t="shared" si="81"/>
        <v>#VALUE!</v>
      </c>
      <c r="G1301" s="13" t="e">
        <f t="shared" si="82"/>
        <v>#VALUE!</v>
      </c>
      <c r="J1301" t="str">
        <f>MAIN!A1306&amp;"B"</f>
        <v>B</v>
      </c>
      <c r="K1301" s="12" t="e">
        <f t="shared" si="83"/>
        <v>#VALUE!</v>
      </c>
      <c r="L1301" t="str">
        <f>MAIN!C1306</f>
        <v/>
      </c>
    </row>
    <row r="1302" spans="1:12" x14ac:dyDescent="0.3">
      <c r="A1302">
        <f>IF(J1302="0",0,IF(COUNTIF($J$2:J1302,J1302)=1,1,0))</f>
        <v>0</v>
      </c>
      <c r="B1302" s="12" t="e">
        <f>MID(MAIN!A1307,K1302,2)</f>
        <v>#VALUE!</v>
      </c>
      <c r="C1302" s="12" t="e">
        <f t="shared" si="80"/>
        <v>#VALUE!</v>
      </c>
      <c r="D1302" s="12" t="e">
        <f>MID(MAIN!A1307,K1302+2,2)</f>
        <v>#VALUE!</v>
      </c>
      <c r="E1302" s="12" t="e">
        <f>MID(MAIN!A1307,K1302+4,2)</f>
        <v>#VALUE!</v>
      </c>
      <c r="F1302" s="2" t="e">
        <f t="shared" si="81"/>
        <v>#VALUE!</v>
      </c>
      <c r="G1302" s="13" t="e">
        <f t="shared" si="82"/>
        <v>#VALUE!</v>
      </c>
      <c r="J1302" t="str">
        <f>MAIN!A1307&amp;"B"</f>
        <v>B</v>
      </c>
      <c r="K1302" s="12" t="e">
        <f t="shared" si="83"/>
        <v>#VALUE!</v>
      </c>
      <c r="L1302" t="str">
        <f>MAIN!C1307</f>
        <v/>
      </c>
    </row>
    <row r="1303" spans="1:12" x14ac:dyDescent="0.3">
      <c r="A1303">
        <f>IF(J1303="0",0,IF(COUNTIF($J$2:J1303,J1303)=1,1,0))</f>
        <v>0</v>
      </c>
      <c r="B1303" s="12" t="e">
        <f>MID(MAIN!A1308,K1303,2)</f>
        <v>#VALUE!</v>
      </c>
      <c r="C1303" s="12" t="e">
        <f t="shared" si="80"/>
        <v>#VALUE!</v>
      </c>
      <c r="D1303" s="12" t="e">
        <f>MID(MAIN!A1308,K1303+2,2)</f>
        <v>#VALUE!</v>
      </c>
      <c r="E1303" s="12" t="e">
        <f>MID(MAIN!A1308,K1303+4,2)</f>
        <v>#VALUE!</v>
      </c>
      <c r="F1303" s="2" t="e">
        <f t="shared" si="81"/>
        <v>#VALUE!</v>
      </c>
      <c r="G1303" s="13" t="e">
        <f t="shared" si="82"/>
        <v>#VALUE!</v>
      </c>
      <c r="J1303" t="str">
        <f>MAIN!A1308&amp;"B"</f>
        <v>B</v>
      </c>
      <c r="K1303" s="12" t="e">
        <f t="shared" si="83"/>
        <v>#VALUE!</v>
      </c>
      <c r="L1303" t="str">
        <f>MAIN!C1308</f>
        <v/>
      </c>
    </row>
    <row r="1304" spans="1:12" x14ac:dyDescent="0.3">
      <c r="A1304">
        <f>IF(J1304="0",0,IF(COUNTIF($J$2:J1304,J1304)=1,1,0))</f>
        <v>0</v>
      </c>
      <c r="B1304" s="12" t="e">
        <f>MID(MAIN!A1309,K1304,2)</f>
        <v>#VALUE!</v>
      </c>
      <c r="C1304" s="12" t="e">
        <f t="shared" si="80"/>
        <v>#VALUE!</v>
      </c>
      <c r="D1304" s="12" t="e">
        <f>MID(MAIN!A1309,K1304+2,2)</f>
        <v>#VALUE!</v>
      </c>
      <c r="E1304" s="12" t="e">
        <f>MID(MAIN!A1309,K1304+4,2)</f>
        <v>#VALUE!</v>
      </c>
      <c r="F1304" s="2" t="e">
        <f t="shared" si="81"/>
        <v>#VALUE!</v>
      </c>
      <c r="G1304" s="13" t="e">
        <f t="shared" si="82"/>
        <v>#VALUE!</v>
      </c>
      <c r="J1304" t="str">
        <f>MAIN!A1309&amp;"B"</f>
        <v>B</v>
      </c>
      <c r="K1304" s="12" t="e">
        <f t="shared" si="83"/>
        <v>#VALUE!</v>
      </c>
      <c r="L1304" t="str">
        <f>MAIN!C1309</f>
        <v/>
      </c>
    </row>
    <row r="1305" spans="1:12" x14ac:dyDescent="0.3">
      <c r="A1305">
        <f>IF(J1305="0",0,IF(COUNTIF($J$2:J1305,J1305)=1,1,0))</f>
        <v>0</v>
      </c>
      <c r="B1305" s="12" t="e">
        <f>MID(MAIN!A1310,K1305,2)</f>
        <v>#VALUE!</v>
      </c>
      <c r="C1305" s="12" t="e">
        <f t="shared" si="80"/>
        <v>#VALUE!</v>
      </c>
      <c r="D1305" s="12" t="e">
        <f>MID(MAIN!A1310,K1305+2,2)</f>
        <v>#VALUE!</v>
      </c>
      <c r="E1305" s="12" t="e">
        <f>MID(MAIN!A1310,K1305+4,2)</f>
        <v>#VALUE!</v>
      </c>
      <c r="F1305" s="2" t="e">
        <f t="shared" si="81"/>
        <v>#VALUE!</v>
      </c>
      <c r="G1305" s="13" t="e">
        <f t="shared" si="82"/>
        <v>#VALUE!</v>
      </c>
      <c r="J1305" t="str">
        <f>MAIN!A1310&amp;"B"</f>
        <v>B</v>
      </c>
      <c r="K1305" s="12" t="e">
        <f t="shared" si="83"/>
        <v>#VALUE!</v>
      </c>
      <c r="L1305" t="str">
        <f>MAIN!C1310</f>
        <v/>
      </c>
    </row>
    <row r="1306" spans="1:12" x14ac:dyDescent="0.3">
      <c r="A1306">
        <f>IF(J1306="0",0,IF(COUNTIF($J$2:J1306,J1306)=1,1,0))</f>
        <v>0</v>
      </c>
      <c r="B1306" s="12" t="e">
        <f>MID(MAIN!A1311,K1306,2)</f>
        <v>#VALUE!</v>
      </c>
      <c r="C1306" s="12" t="e">
        <f t="shared" si="80"/>
        <v>#VALUE!</v>
      </c>
      <c r="D1306" s="12" t="e">
        <f>MID(MAIN!A1311,K1306+2,2)</f>
        <v>#VALUE!</v>
      </c>
      <c r="E1306" s="12" t="e">
        <f>MID(MAIN!A1311,K1306+4,2)</f>
        <v>#VALUE!</v>
      </c>
      <c r="F1306" s="2" t="e">
        <f t="shared" si="81"/>
        <v>#VALUE!</v>
      </c>
      <c r="G1306" s="13" t="e">
        <f t="shared" si="82"/>
        <v>#VALUE!</v>
      </c>
      <c r="J1306" t="str">
        <f>MAIN!A1311&amp;"B"</f>
        <v>B</v>
      </c>
      <c r="K1306" s="12" t="e">
        <f t="shared" si="83"/>
        <v>#VALUE!</v>
      </c>
      <c r="L1306" t="str">
        <f>MAIN!C1311</f>
        <v/>
      </c>
    </row>
    <row r="1307" spans="1:12" x14ac:dyDescent="0.3">
      <c r="A1307">
        <f>IF(J1307="0",0,IF(COUNTIF($J$2:J1307,J1307)=1,1,0))</f>
        <v>0</v>
      </c>
      <c r="B1307" s="12" t="e">
        <f>MID(MAIN!A1312,K1307,2)</f>
        <v>#VALUE!</v>
      </c>
      <c r="C1307" s="12" t="e">
        <f t="shared" si="80"/>
        <v>#VALUE!</v>
      </c>
      <c r="D1307" s="12" t="e">
        <f>MID(MAIN!A1312,K1307+2,2)</f>
        <v>#VALUE!</v>
      </c>
      <c r="E1307" s="12" t="e">
        <f>MID(MAIN!A1312,K1307+4,2)</f>
        <v>#VALUE!</v>
      </c>
      <c r="F1307" s="2" t="e">
        <f t="shared" si="81"/>
        <v>#VALUE!</v>
      </c>
      <c r="G1307" s="13" t="e">
        <f t="shared" si="82"/>
        <v>#VALUE!</v>
      </c>
      <c r="J1307" t="str">
        <f>MAIN!A1312&amp;"B"</f>
        <v>B</v>
      </c>
      <c r="K1307" s="12" t="e">
        <f t="shared" si="83"/>
        <v>#VALUE!</v>
      </c>
      <c r="L1307" t="str">
        <f>MAIN!C1312</f>
        <v/>
      </c>
    </row>
    <row r="1308" spans="1:12" x14ac:dyDescent="0.3">
      <c r="A1308">
        <f>IF(J1308="0",0,IF(COUNTIF($J$2:J1308,J1308)=1,1,0))</f>
        <v>0</v>
      </c>
      <c r="B1308" s="12" t="e">
        <f>MID(MAIN!A1313,K1308,2)</f>
        <v>#VALUE!</v>
      </c>
      <c r="C1308" s="12" t="e">
        <f t="shared" si="80"/>
        <v>#VALUE!</v>
      </c>
      <c r="D1308" s="12" t="e">
        <f>MID(MAIN!A1313,K1308+2,2)</f>
        <v>#VALUE!</v>
      </c>
      <c r="E1308" s="12" t="e">
        <f>MID(MAIN!A1313,K1308+4,2)</f>
        <v>#VALUE!</v>
      </c>
      <c r="F1308" s="2" t="e">
        <f t="shared" si="81"/>
        <v>#VALUE!</v>
      </c>
      <c r="G1308" s="13" t="e">
        <f t="shared" si="82"/>
        <v>#VALUE!</v>
      </c>
      <c r="J1308" t="str">
        <f>MAIN!A1313&amp;"B"</f>
        <v>B</v>
      </c>
      <c r="K1308" s="12" t="e">
        <f t="shared" si="83"/>
        <v>#VALUE!</v>
      </c>
      <c r="L1308" t="str">
        <f>MAIN!C1313</f>
        <v/>
      </c>
    </row>
    <row r="1309" spans="1:12" x14ac:dyDescent="0.3">
      <c r="A1309">
        <f>IF(J1309="0",0,IF(COUNTIF($J$2:J1309,J1309)=1,1,0))</f>
        <v>0</v>
      </c>
      <c r="B1309" s="12" t="e">
        <f>MID(MAIN!A1314,K1309,2)</f>
        <v>#VALUE!</v>
      </c>
      <c r="C1309" s="12" t="e">
        <f t="shared" si="80"/>
        <v>#VALUE!</v>
      </c>
      <c r="D1309" s="12" t="e">
        <f>MID(MAIN!A1314,K1309+2,2)</f>
        <v>#VALUE!</v>
      </c>
      <c r="E1309" s="12" t="e">
        <f>MID(MAIN!A1314,K1309+4,2)</f>
        <v>#VALUE!</v>
      </c>
      <c r="F1309" s="2" t="e">
        <f t="shared" si="81"/>
        <v>#VALUE!</v>
      </c>
      <c r="G1309" s="13" t="e">
        <f t="shared" si="82"/>
        <v>#VALUE!</v>
      </c>
      <c r="J1309" t="str">
        <f>MAIN!A1314&amp;"B"</f>
        <v>B</v>
      </c>
      <c r="K1309" s="12" t="e">
        <f t="shared" si="83"/>
        <v>#VALUE!</v>
      </c>
      <c r="L1309" t="str">
        <f>MAIN!C1314</f>
        <v/>
      </c>
    </row>
    <row r="1310" spans="1:12" x14ac:dyDescent="0.3">
      <c r="A1310">
        <f>IF(J1310="0",0,IF(COUNTIF($J$2:J1310,J1310)=1,1,0))</f>
        <v>0</v>
      </c>
      <c r="B1310" s="12" t="e">
        <f>MID(MAIN!A1315,K1310,2)</f>
        <v>#VALUE!</v>
      </c>
      <c r="C1310" s="12" t="e">
        <f t="shared" si="80"/>
        <v>#VALUE!</v>
      </c>
      <c r="D1310" s="12" t="e">
        <f>MID(MAIN!A1315,K1310+2,2)</f>
        <v>#VALUE!</v>
      </c>
      <c r="E1310" s="12" t="e">
        <f>MID(MAIN!A1315,K1310+4,2)</f>
        <v>#VALUE!</v>
      </c>
      <c r="F1310" s="2" t="e">
        <f t="shared" si="81"/>
        <v>#VALUE!</v>
      </c>
      <c r="G1310" s="13" t="e">
        <f t="shared" si="82"/>
        <v>#VALUE!</v>
      </c>
      <c r="J1310" t="str">
        <f>MAIN!A1315&amp;"B"</f>
        <v>B</v>
      </c>
      <c r="K1310" s="12" t="e">
        <f t="shared" si="83"/>
        <v>#VALUE!</v>
      </c>
      <c r="L1310" t="str">
        <f>MAIN!C1315</f>
        <v/>
      </c>
    </row>
    <row r="1311" spans="1:12" x14ac:dyDescent="0.3">
      <c r="A1311">
        <f>IF(J1311="0",0,IF(COUNTIF($J$2:J1311,J1311)=1,1,0))</f>
        <v>0</v>
      </c>
      <c r="B1311" s="12" t="e">
        <f>MID(MAIN!A1316,K1311,2)</f>
        <v>#VALUE!</v>
      </c>
      <c r="C1311" s="12" t="e">
        <f t="shared" si="80"/>
        <v>#VALUE!</v>
      </c>
      <c r="D1311" s="12" t="e">
        <f>MID(MAIN!A1316,K1311+2,2)</f>
        <v>#VALUE!</v>
      </c>
      <c r="E1311" s="12" t="e">
        <f>MID(MAIN!A1316,K1311+4,2)</f>
        <v>#VALUE!</v>
      </c>
      <c r="F1311" s="2" t="e">
        <f t="shared" si="81"/>
        <v>#VALUE!</v>
      </c>
      <c r="G1311" s="13" t="e">
        <f t="shared" si="82"/>
        <v>#VALUE!</v>
      </c>
      <c r="J1311" t="str">
        <f>MAIN!A1316&amp;"B"</f>
        <v>B</v>
      </c>
      <c r="K1311" s="12" t="e">
        <f t="shared" si="83"/>
        <v>#VALUE!</v>
      </c>
      <c r="L1311" t="str">
        <f>MAIN!C1316</f>
        <v/>
      </c>
    </row>
    <row r="1312" spans="1:12" x14ac:dyDescent="0.3">
      <c r="A1312">
        <f>IF(J1312="0",0,IF(COUNTIF($J$2:J1312,J1312)=1,1,0))</f>
        <v>0</v>
      </c>
      <c r="B1312" s="12" t="e">
        <f>MID(MAIN!A1317,K1312,2)</f>
        <v>#VALUE!</v>
      </c>
      <c r="C1312" s="12" t="e">
        <f t="shared" si="80"/>
        <v>#VALUE!</v>
      </c>
      <c r="D1312" s="12" t="e">
        <f>MID(MAIN!A1317,K1312+2,2)</f>
        <v>#VALUE!</v>
      </c>
      <c r="E1312" s="12" t="e">
        <f>MID(MAIN!A1317,K1312+4,2)</f>
        <v>#VALUE!</v>
      </c>
      <c r="F1312" s="2" t="e">
        <f t="shared" si="81"/>
        <v>#VALUE!</v>
      </c>
      <c r="G1312" s="13" t="e">
        <f t="shared" si="82"/>
        <v>#VALUE!</v>
      </c>
      <c r="J1312" t="str">
        <f>MAIN!A1317&amp;"B"</f>
        <v>B</v>
      </c>
      <c r="K1312" s="12" t="e">
        <f t="shared" si="83"/>
        <v>#VALUE!</v>
      </c>
      <c r="L1312" t="str">
        <f>MAIN!C1317</f>
        <v/>
      </c>
    </row>
    <row r="1313" spans="1:12" x14ac:dyDescent="0.3">
      <c r="A1313">
        <f>IF(J1313="0",0,IF(COUNTIF($J$2:J1313,J1313)=1,1,0))</f>
        <v>0</v>
      </c>
      <c r="B1313" s="12" t="e">
        <f>MID(MAIN!A1318,K1313,2)</f>
        <v>#VALUE!</v>
      </c>
      <c r="C1313" s="12" t="e">
        <f t="shared" si="80"/>
        <v>#VALUE!</v>
      </c>
      <c r="D1313" s="12" t="e">
        <f>MID(MAIN!A1318,K1313+2,2)</f>
        <v>#VALUE!</v>
      </c>
      <c r="E1313" s="12" t="e">
        <f>MID(MAIN!A1318,K1313+4,2)</f>
        <v>#VALUE!</v>
      </c>
      <c r="F1313" s="2" t="e">
        <f t="shared" si="81"/>
        <v>#VALUE!</v>
      </c>
      <c r="G1313" s="13" t="e">
        <f t="shared" si="82"/>
        <v>#VALUE!</v>
      </c>
      <c r="J1313" t="str">
        <f>MAIN!A1318&amp;"B"</f>
        <v>B</v>
      </c>
      <c r="K1313" s="12" t="e">
        <f t="shared" si="83"/>
        <v>#VALUE!</v>
      </c>
      <c r="L1313" t="str">
        <f>MAIN!C1318</f>
        <v/>
      </c>
    </row>
    <row r="1314" spans="1:12" x14ac:dyDescent="0.3">
      <c r="A1314">
        <f>IF(J1314="0",0,IF(COUNTIF($J$2:J1314,J1314)=1,1,0))</f>
        <v>0</v>
      </c>
      <c r="B1314" s="12" t="e">
        <f>MID(MAIN!A1319,K1314,2)</f>
        <v>#VALUE!</v>
      </c>
      <c r="C1314" s="12" t="e">
        <f t="shared" si="80"/>
        <v>#VALUE!</v>
      </c>
      <c r="D1314" s="12" t="e">
        <f>MID(MAIN!A1319,K1314+2,2)</f>
        <v>#VALUE!</v>
      </c>
      <c r="E1314" s="12" t="e">
        <f>MID(MAIN!A1319,K1314+4,2)</f>
        <v>#VALUE!</v>
      </c>
      <c r="F1314" s="2" t="e">
        <f t="shared" si="81"/>
        <v>#VALUE!</v>
      </c>
      <c r="G1314" s="13" t="e">
        <f t="shared" si="82"/>
        <v>#VALUE!</v>
      </c>
      <c r="J1314" t="str">
        <f>MAIN!A1319&amp;"B"</f>
        <v>B</v>
      </c>
      <c r="K1314" s="12" t="e">
        <f t="shared" si="83"/>
        <v>#VALUE!</v>
      </c>
      <c r="L1314" t="str">
        <f>MAIN!C1319</f>
        <v/>
      </c>
    </row>
    <row r="1315" spans="1:12" x14ac:dyDescent="0.3">
      <c r="A1315">
        <f>IF(J1315="0",0,IF(COUNTIF($J$2:J1315,J1315)=1,1,0))</f>
        <v>0</v>
      </c>
      <c r="B1315" s="12" t="e">
        <f>MID(MAIN!A1320,K1315,2)</f>
        <v>#VALUE!</v>
      </c>
      <c r="C1315" s="12" t="e">
        <f t="shared" si="80"/>
        <v>#VALUE!</v>
      </c>
      <c r="D1315" s="12" t="e">
        <f>MID(MAIN!A1320,K1315+2,2)</f>
        <v>#VALUE!</v>
      </c>
      <c r="E1315" s="12" t="e">
        <f>MID(MAIN!A1320,K1315+4,2)</f>
        <v>#VALUE!</v>
      </c>
      <c r="F1315" s="2" t="e">
        <f t="shared" si="81"/>
        <v>#VALUE!</v>
      </c>
      <c r="G1315" s="13" t="e">
        <f t="shared" si="82"/>
        <v>#VALUE!</v>
      </c>
      <c r="J1315" t="str">
        <f>MAIN!A1320&amp;"B"</f>
        <v>B</v>
      </c>
      <c r="K1315" s="12" t="e">
        <f t="shared" si="83"/>
        <v>#VALUE!</v>
      </c>
      <c r="L1315" t="str">
        <f>MAIN!C1320</f>
        <v/>
      </c>
    </row>
    <row r="1316" spans="1:12" x14ac:dyDescent="0.3">
      <c r="A1316">
        <f>IF(J1316="0",0,IF(COUNTIF($J$2:J1316,J1316)=1,1,0))</f>
        <v>0</v>
      </c>
      <c r="B1316" s="12" t="e">
        <f>MID(MAIN!A1321,K1316,2)</f>
        <v>#VALUE!</v>
      </c>
      <c r="C1316" s="12" t="e">
        <f t="shared" si="80"/>
        <v>#VALUE!</v>
      </c>
      <c r="D1316" s="12" t="e">
        <f>MID(MAIN!A1321,K1316+2,2)</f>
        <v>#VALUE!</v>
      </c>
      <c r="E1316" s="12" t="e">
        <f>MID(MAIN!A1321,K1316+4,2)</f>
        <v>#VALUE!</v>
      </c>
      <c r="F1316" s="2" t="e">
        <f t="shared" si="81"/>
        <v>#VALUE!</v>
      </c>
      <c r="G1316" s="13" t="e">
        <f t="shared" si="82"/>
        <v>#VALUE!</v>
      </c>
      <c r="J1316" t="str">
        <f>MAIN!A1321&amp;"B"</f>
        <v>B</v>
      </c>
      <c r="K1316" s="12" t="e">
        <f t="shared" si="83"/>
        <v>#VALUE!</v>
      </c>
      <c r="L1316" t="str">
        <f>MAIN!C1321</f>
        <v/>
      </c>
    </row>
    <row r="1317" spans="1:12" x14ac:dyDescent="0.3">
      <c r="A1317">
        <f>IF(J1317="0",0,IF(COUNTIF($J$2:J1317,J1317)=1,1,0))</f>
        <v>0</v>
      </c>
      <c r="B1317" s="12" t="e">
        <f>MID(MAIN!A1322,K1317,2)</f>
        <v>#VALUE!</v>
      </c>
      <c r="C1317" s="12" t="e">
        <f t="shared" si="80"/>
        <v>#VALUE!</v>
      </c>
      <c r="D1317" s="12" t="e">
        <f>MID(MAIN!A1322,K1317+2,2)</f>
        <v>#VALUE!</v>
      </c>
      <c r="E1317" s="12" t="e">
        <f>MID(MAIN!A1322,K1317+4,2)</f>
        <v>#VALUE!</v>
      </c>
      <c r="F1317" s="2" t="e">
        <f t="shared" si="81"/>
        <v>#VALUE!</v>
      </c>
      <c r="G1317" s="13" t="e">
        <f t="shared" si="82"/>
        <v>#VALUE!</v>
      </c>
      <c r="J1317" t="str">
        <f>MAIN!A1322&amp;"B"</f>
        <v>B</v>
      </c>
      <c r="K1317" s="12" t="e">
        <f t="shared" si="83"/>
        <v>#VALUE!</v>
      </c>
      <c r="L1317" t="str">
        <f>MAIN!C1322</f>
        <v/>
      </c>
    </row>
    <row r="1318" spans="1:12" x14ac:dyDescent="0.3">
      <c r="A1318">
        <f>IF(J1318="0",0,IF(COUNTIF($J$2:J1318,J1318)=1,1,0))</f>
        <v>0</v>
      </c>
      <c r="B1318" s="12" t="e">
        <f>MID(MAIN!A1323,K1318,2)</f>
        <v>#VALUE!</v>
      </c>
      <c r="C1318" s="12" t="e">
        <f t="shared" si="80"/>
        <v>#VALUE!</v>
      </c>
      <c r="D1318" s="12" t="e">
        <f>MID(MAIN!A1323,K1318+2,2)</f>
        <v>#VALUE!</v>
      </c>
      <c r="E1318" s="12" t="e">
        <f>MID(MAIN!A1323,K1318+4,2)</f>
        <v>#VALUE!</v>
      </c>
      <c r="F1318" s="2" t="e">
        <f t="shared" si="81"/>
        <v>#VALUE!</v>
      </c>
      <c r="G1318" s="13" t="e">
        <f t="shared" si="82"/>
        <v>#VALUE!</v>
      </c>
      <c r="J1318" t="str">
        <f>MAIN!A1323&amp;"B"</f>
        <v>B</v>
      </c>
      <c r="K1318" s="12" t="e">
        <f t="shared" si="83"/>
        <v>#VALUE!</v>
      </c>
      <c r="L1318" t="str">
        <f>MAIN!C1323</f>
        <v/>
      </c>
    </row>
    <row r="1319" spans="1:12" x14ac:dyDescent="0.3">
      <c r="A1319">
        <f>IF(J1319="0",0,IF(COUNTIF($J$2:J1319,J1319)=1,1,0))</f>
        <v>0</v>
      </c>
      <c r="B1319" s="12" t="e">
        <f>MID(MAIN!A1324,K1319,2)</f>
        <v>#VALUE!</v>
      </c>
      <c r="C1319" s="12" t="e">
        <f t="shared" si="80"/>
        <v>#VALUE!</v>
      </c>
      <c r="D1319" s="12" t="e">
        <f>MID(MAIN!A1324,K1319+2,2)</f>
        <v>#VALUE!</v>
      </c>
      <c r="E1319" s="12" t="e">
        <f>MID(MAIN!A1324,K1319+4,2)</f>
        <v>#VALUE!</v>
      </c>
      <c r="F1319" s="2" t="e">
        <f t="shared" si="81"/>
        <v>#VALUE!</v>
      </c>
      <c r="G1319" s="13" t="e">
        <f t="shared" si="82"/>
        <v>#VALUE!</v>
      </c>
      <c r="J1319" t="str">
        <f>MAIN!A1324&amp;"B"</f>
        <v>B</v>
      </c>
      <c r="K1319" s="12" t="e">
        <f t="shared" si="83"/>
        <v>#VALUE!</v>
      </c>
      <c r="L1319" t="str">
        <f>MAIN!C1324</f>
        <v/>
      </c>
    </row>
    <row r="1320" spans="1:12" x14ac:dyDescent="0.3">
      <c r="A1320">
        <f>IF(J1320="0",0,IF(COUNTIF($J$2:J1320,J1320)=1,1,0))</f>
        <v>0</v>
      </c>
      <c r="B1320" s="12" t="e">
        <f>MID(MAIN!A1325,K1320,2)</f>
        <v>#VALUE!</v>
      </c>
      <c r="C1320" s="12" t="e">
        <f t="shared" si="80"/>
        <v>#VALUE!</v>
      </c>
      <c r="D1320" s="12" t="e">
        <f>MID(MAIN!A1325,K1320+2,2)</f>
        <v>#VALUE!</v>
      </c>
      <c r="E1320" s="12" t="e">
        <f>MID(MAIN!A1325,K1320+4,2)</f>
        <v>#VALUE!</v>
      </c>
      <c r="F1320" s="2" t="e">
        <f t="shared" si="81"/>
        <v>#VALUE!</v>
      </c>
      <c r="G1320" s="13" t="e">
        <f t="shared" si="82"/>
        <v>#VALUE!</v>
      </c>
      <c r="J1320" t="str">
        <f>MAIN!A1325&amp;"B"</f>
        <v>B</v>
      </c>
      <c r="K1320" s="12" t="e">
        <f t="shared" si="83"/>
        <v>#VALUE!</v>
      </c>
      <c r="L1320" t="str">
        <f>MAIN!C1325</f>
        <v/>
      </c>
    </row>
    <row r="1321" spans="1:12" x14ac:dyDescent="0.3">
      <c r="A1321">
        <f>IF(J1321="0",0,IF(COUNTIF($J$2:J1321,J1321)=1,1,0))</f>
        <v>0</v>
      </c>
      <c r="B1321" s="12" t="e">
        <f>MID(MAIN!A1326,K1321,2)</f>
        <v>#VALUE!</v>
      </c>
      <c r="C1321" s="12" t="e">
        <f t="shared" si="80"/>
        <v>#VALUE!</v>
      </c>
      <c r="D1321" s="12" t="e">
        <f>MID(MAIN!A1326,K1321+2,2)</f>
        <v>#VALUE!</v>
      </c>
      <c r="E1321" s="12" t="e">
        <f>MID(MAIN!A1326,K1321+4,2)</f>
        <v>#VALUE!</v>
      </c>
      <c r="F1321" s="2" t="e">
        <f t="shared" si="81"/>
        <v>#VALUE!</v>
      </c>
      <c r="G1321" s="13" t="e">
        <f t="shared" si="82"/>
        <v>#VALUE!</v>
      </c>
      <c r="J1321" t="str">
        <f>MAIN!A1326&amp;"B"</f>
        <v>B</v>
      </c>
      <c r="K1321" s="12" t="e">
        <f t="shared" si="83"/>
        <v>#VALUE!</v>
      </c>
      <c r="L1321" t="str">
        <f>MAIN!C1326</f>
        <v/>
      </c>
    </row>
    <row r="1322" spans="1:12" x14ac:dyDescent="0.3">
      <c r="A1322">
        <f>IF(J1322="0",0,IF(COUNTIF($J$2:J1322,J1322)=1,1,0))</f>
        <v>0</v>
      </c>
      <c r="B1322" s="12" t="e">
        <f>MID(MAIN!A1327,K1322,2)</f>
        <v>#VALUE!</v>
      </c>
      <c r="C1322" s="12" t="e">
        <f t="shared" si="80"/>
        <v>#VALUE!</v>
      </c>
      <c r="D1322" s="12" t="e">
        <f>MID(MAIN!A1327,K1322+2,2)</f>
        <v>#VALUE!</v>
      </c>
      <c r="E1322" s="12" t="e">
        <f>MID(MAIN!A1327,K1322+4,2)</f>
        <v>#VALUE!</v>
      </c>
      <c r="F1322" s="2" t="e">
        <f t="shared" si="81"/>
        <v>#VALUE!</v>
      </c>
      <c r="G1322" s="13" t="e">
        <f t="shared" si="82"/>
        <v>#VALUE!</v>
      </c>
      <c r="J1322" t="str">
        <f>MAIN!A1327&amp;"B"</f>
        <v>B</v>
      </c>
      <c r="K1322" s="12" t="e">
        <f t="shared" si="83"/>
        <v>#VALUE!</v>
      </c>
      <c r="L1322" t="str">
        <f>MAIN!C1327</f>
        <v/>
      </c>
    </row>
    <row r="1323" spans="1:12" x14ac:dyDescent="0.3">
      <c r="A1323">
        <f>IF(J1323="0",0,IF(COUNTIF($J$2:J1323,J1323)=1,1,0))</f>
        <v>0</v>
      </c>
      <c r="B1323" s="12" t="e">
        <f>MID(MAIN!A1328,K1323,2)</f>
        <v>#VALUE!</v>
      </c>
      <c r="C1323" s="12" t="e">
        <f t="shared" si="80"/>
        <v>#VALUE!</v>
      </c>
      <c r="D1323" s="12" t="e">
        <f>MID(MAIN!A1328,K1323+2,2)</f>
        <v>#VALUE!</v>
      </c>
      <c r="E1323" s="12" t="e">
        <f>MID(MAIN!A1328,K1323+4,2)</f>
        <v>#VALUE!</v>
      </c>
      <c r="F1323" s="2" t="e">
        <f t="shared" si="81"/>
        <v>#VALUE!</v>
      </c>
      <c r="G1323" s="13" t="e">
        <f t="shared" si="82"/>
        <v>#VALUE!</v>
      </c>
      <c r="J1323" t="str">
        <f>MAIN!A1328&amp;"B"</f>
        <v>B</v>
      </c>
      <c r="K1323" s="12" t="e">
        <f t="shared" si="83"/>
        <v>#VALUE!</v>
      </c>
      <c r="L1323" t="str">
        <f>MAIN!C1328</f>
        <v/>
      </c>
    </row>
    <row r="1324" spans="1:12" x14ac:dyDescent="0.3">
      <c r="A1324">
        <f>IF(J1324="0",0,IF(COUNTIF($J$2:J1324,J1324)=1,1,0))</f>
        <v>0</v>
      </c>
      <c r="B1324" s="12" t="e">
        <f>MID(MAIN!A1329,K1324,2)</f>
        <v>#VALUE!</v>
      </c>
      <c r="C1324" s="12" t="e">
        <f t="shared" si="80"/>
        <v>#VALUE!</v>
      </c>
      <c r="D1324" s="12" t="e">
        <f>MID(MAIN!A1329,K1324+2,2)</f>
        <v>#VALUE!</v>
      </c>
      <c r="E1324" s="12" t="e">
        <f>MID(MAIN!A1329,K1324+4,2)</f>
        <v>#VALUE!</v>
      </c>
      <c r="F1324" s="2" t="e">
        <f t="shared" si="81"/>
        <v>#VALUE!</v>
      </c>
      <c r="G1324" s="13" t="e">
        <f t="shared" si="82"/>
        <v>#VALUE!</v>
      </c>
      <c r="J1324" t="str">
        <f>MAIN!A1329&amp;"B"</f>
        <v>B</v>
      </c>
      <c r="K1324" s="12" t="e">
        <f t="shared" si="83"/>
        <v>#VALUE!</v>
      </c>
      <c r="L1324" t="str">
        <f>MAIN!C1329</f>
        <v/>
      </c>
    </row>
    <row r="1325" spans="1:12" x14ac:dyDescent="0.3">
      <c r="A1325">
        <f>IF(J1325="0",0,IF(COUNTIF($J$2:J1325,J1325)=1,1,0))</f>
        <v>0</v>
      </c>
      <c r="B1325" s="12" t="e">
        <f>MID(MAIN!A1330,K1325,2)</f>
        <v>#VALUE!</v>
      </c>
      <c r="C1325" s="12" t="e">
        <f t="shared" si="80"/>
        <v>#VALUE!</v>
      </c>
      <c r="D1325" s="12" t="e">
        <f>MID(MAIN!A1330,K1325+2,2)</f>
        <v>#VALUE!</v>
      </c>
      <c r="E1325" s="12" t="e">
        <f>MID(MAIN!A1330,K1325+4,2)</f>
        <v>#VALUE!</v>
      </c>
      <c r="F1325" s="2" t="e">
        <f t="shared" si="81"/>
        <v>#VALUE!</v>
      </c>
      <c r="G1325" s="13" t="e">
        <f t="shared" si="82"/>
        <v>#VALUE!</v>
      </c>
      <c r="J1325" t="str">
        <f>MAIN!A1330&amp;"B"</f>
        <v>B</v>
      </c>
      <c r="K1325" s="12" t="e">
        <f t="shared" si="83"/>
        <v>#VALUE!</v>
      </c>
      <c r="L1325" t="str">
        <f>MAIN!C1330</f>
        <v/>
      </c>
    </row>
    <row r="1326" spans="1:12" x14ac:dyDescent="0.3">
      <c r="A1326">
        <f>IF(J1326="0",0,IF(COUNTIF($J$2:J1326,J1326)=1,1,0))</f>
        <v>0</v>
      </c>
      <c r="B1326" s="12" t="e">
        <f>MID(MAIN!A1331,K1326,2)</f>
        <v>#VALUE!</v>
      </c>
      <c r="C1326" s="12" t="e">
        <f t="shared" si="80"/>
        <v>#VALUE!</v>
      </c>
      <c r="D1326" s="12" t="e">
        <f>MID(MAIN!A1331,K1326+2,2)</f>
        <v>#VALUE!</v>
      </c>
      <c r="E1326" s="12" t="e">
        <f>MID(MAIN!A1331,K1326+4,2)</f>
        <v>#VALUE!</v>
      </c>
      <c r="F1326" s="2" t="e">
        <f t="shared" si="81"/>
        <v>#VALUE!</v>
      </c>
      <c r="G1326" s="13" t="e">
        <f t="shared" si="82"/>
        <v>#VALUE!</v>
      </c>
      <c r="J1326" t="str">
        <f>MAIN!A1331&amp;"B"</f>
        <v>B</v>
      </c>
      <c r="K1326" s="12" t="e">
        <f t="shared" si="83"/>
        <v>#VALUE!</v>
      </c>
      <c r="L1326" t="str">
        <f>MAIN!C1331</f>
        <v/>
      </c>
    </row>
    <row r="1327" spans="1:12" x14ac:dyDescent="0.3">
      <c r="A1327">
        <f>IF(J1327="0",0,IF(COUNTIF($J$2:J1327,J1327)=1,1,0))</f>
        <v>0</v>
      </c>
      <c r="B1327" s="12" t="e">
        <f>MID(MAIN!A1332,K1327,2)</f>
        <v>#VALUE!</v>
      </c>
      <c r="C1327" s="12" t="e">
        <f t="shared" si="80"/>
        <v>#VALUE!</v>
      </c>
      <c r="D1327" s="12" t="e">
        <f>MID(MAIN!A1332,K1327+2,2)</f>
        <v>#VALUE!</v>
      </c>
      <c r="E1327" s="12" t="e">
        <f>MID(MAIN!A1332,K1327+4,2)</f>
        <v>#VALUE!</v>
      </c>
      <c r="F1327" s="2" t="e">
        <f t="shared" si="81"/>
        <v>#VALUE!</v>
      </c>
      <c r="G1327" s="13" t="e">
        <f t="shared" si="82"/>
        <v>#VALUE!</v>
      </c>
      <c r="J1327" t="str">
        <f>MAIN!A1332&amp;"B"</f>
        <v>B</v>
      </c>
      <c r="K1327" s="12" t="e">
        <f t="shared" si="83"/>
        <v>#VALUE!</v>
      </c>
      <c r="L1327" t="str">
        <f>MAIN!C1332</f>
        <v/>
      </c>
    </row>
    <row r="1328" spans="1:12" x14ac:dyDescent="0.3">
      <c r="A1328">
        <f>IF(J1328="0",0,IF(COUNTIF($J$2:J1328,J1328)=1,1,0))</f>
        <v>0</v>
      </c>
      <c r="B1328" s="12" t="e">
        <f>MID(MAIN!A1333,K1328,2)</f>
        <v>#VALUE!</v>
      </c>
      <c r="C1328" s="12" t="e">
        <f t="shared" si="80"/>
        <v>#VALUE!</v>
      </c>
      <c r="D1328" s="12" t="e">
        <f>MID(MAIN!A1333,K1328+2,2)</f>
        <v>#VALUE!</v>
      </c>
      <c r="E1328" s="12" t="e">
        <f>MID(MAIN!A1333,K1328+4,2)</f>
        <v>#VALUE!</v>
      </c>
      <c r="F1328" s="2" t="e">
        <f t="shared" si="81"/>
        <v>#VALUE!</v>
      </c>
      <c r="G1328" s="13" t="e">
        <f t="shared" si="82"/>
        <v>#VALUE!</v>
      </c>
      <c r="J1328" t="str">
        <f>MAIN!A1333&amp;"B"</f>
        <v>B</v>
      </c>
      <c r="K1328" s="12" t="e">
        <f t="shared" si="83"/>
        <v>#VALUE!</v>
      </c>
      <c r="L1328" t="str">
        <f>MAIN!C1333</f>
        <v/>
      </c>
    </row>
    <row r="1329" spans="1:12" x14ac:dyDescent="0.3">
      <c r="A1329">
        <f>IF(J1329="0",0,IF(COUNTIF($J$2:J1329,J1329)=1,1,0))</f>
        <v>0</v>
      </c>
      <c r="B1329" s="12" t="e">
        <f>MID(MAIN!A1334,K1329,2)</f>
        <v>#VALUE!</v>
      </c>
      <c r="C1329" s="12" t="e">
        <f t="shared" si="80"/>
        <v>#VALUE!</v>
      </c>
      <c r="D1329" s="12" t="e">
        <f>MID(MAIN!A1334,K1329+2,2)</f>
        <v>#VALUE!</v>
      </c>
      <c r="E1329" s="12" t="e">
        <f>MID(MAIN!A1334,K1329+4,2)</f>
        <v>#VALUE!</v>
      </c>
      <c r="F1329" s="2" t="e">
        <f t="shared" si="81"/>
        <v>#VALUE!</v>
      </c>
      <c r="G1329" s="13" t="e">
        <f t="shared" si="82"/>
        <v>#VALUE!</v>
      </c>
      <c r="J1329" t="str">
        <f>MAIN!A1334&amp;"B"</f>
        <v>B</v>
      </c>
      <c r="K1329" s="12" t="e">
        <f t="shared" si="83"/>
        <v>#VALUE!</v>
      </c>
      <c r="L1329" t="str">
        <f>MAIN!C1334</f>
        <v/>
      </c>
    </row>
    <row r="1330" spans="1:12" x14ac:dyDescent="0.3">
      <c r="A1330">
        <f>IF(J1330="0",0,IF(COUNTIF($J$2:J1330,J1330)=1,1,0))</f>
        <v>0</v>
      </c>
      <c r="B1330" s="12" t="e">
        <f>MID(MAIN!A1335,K1330,2)</f>
        <v>#VALUE!</v>
      </c>
      <c r="C1330" s="12" t="e">
        <f t="shared" si="80"/>
        <v>#VALUE!</v>
      </c>
      <c r="D1330" s="12" t="e">
        <f>MID(MAIN!A1335,K1330+2,2)</f>
        <v>#VALUE!</v>
      </c>
      <c r="E1330" s="12" t="e">
        <f>MID(MAIN!A1335,K1330+4,2)</f>
        <v>#VALUE!</v>
      </c>
      <c r="F1330" s="2" t="e">
        <f t="shared" si="81"/>
        <v>#VALUE!</v>
      </c>
      <c r="G1330" s="13" t="e">
        <f t="shared" si="82"/>
        <v>#VALUE!</v>
      </c>
      <c r="J1330" t="str">
        <f>MAIN!A1335&amp;"B"</f>
        <v>B</v>
      </c>
      <c r="K1330" s="12" t="e">
        <f t="shared" si="83"/>
        <v>#VALUE!</v>
      </c>
      <c r="L1330" t="str">
        <f>MAIN!C1335</f>
        <v/>
      </c>
    </row>
    <row r="1331" spans="1:12" x14ac:dyDescent="0.3">
      <c r="A1331">
        <f>IF(J1331="0",0,IF(COUNTIF($J$2:J1331,J1331)=1,1,0))</f>
        <v>0</v>
      </c>
      <c r="B1331" s="12" t="e">
        <f>MID(MAIN!A1336,K1331,2)</f>
        <v>#VALUE!</v>
      </c>
      <c r="C1331" s="12" t="e">
        <f t="shared" si="80"/>
        <v>#VALUE!</v>
      </c>
      <c r="D1331" s="12" t="e">
        <f>MID(MAIN!A1336,K1331+2,2)</f>
        <v>#VALUE!</v>
      </c>
      <c r="E1331" s="12" t="e">
        <f>MID(MAIN!A1336,K1331+4,2)</f>
        <v>#VALUE!</v>
      </c>
      <c r="F1331" s="2" t="e">
        <f t="shared" si="81"/>
        <v>#VALUE!</v>
      </c>
      <c r="G1331" s="13" t="e">
        <f t="shared" si="82"/>
        <v>#VALUE!</v>
      </c>
      <c r="J1331" t="str">
        <f>MAIN!A1336&amp;"B"</f>
        <v>B</v>
      </c>
      <c r="K1331" s="12" t="e">
        <f t="shared" si="83"/>
        <v>#VALUE!</v>
      </c>
      <c r="L1331" t="str">
        <f>MAIN!C1336</f>
        <v/>
      </c>
    </row>
    <row r="1332" spans="1:12" x14ac:dyDescent="0.3">
      <c r="A1332">
        <f>IF(J1332="0",0,IF(COUNTIF($J$2:J1332,J1332)=1,1,0))</f>
        <v>0</v>
      </c>
      <c r="B1332" s="12" t="e">
        <f>MID(MAIN!A1337,K1332,2)</f>
        <v>#VALUE!</v>
      </c>
      <c r="C1332" s="12" t="e">
        <f t="shared" si="80"/>
        <v>#VALUE!</v>
      </c>
      <c r="D1332" s="12" t="e">
        <f>MID(MAIN!A1337,K1332+2,2)</f>
        <v>#VALUE!</v>
      </c>
      <c r="E1332" s="12" t="e">
        <f>MID(MAIN!A1337,K1332+4,2)</f>
        <v>#VALUE!</v>
      </c>
      <c r="F1332" s="2" t="e">
        <f t="shared" si="81"/>
        <v>#VALUE!</v>
      </c>
      <c r="G1332" s="13" t="e">
        <f t="shared" si="82"/>
        <v>#VALUE!</v>
      </c>
      <c r="J1332" t="str">
        <f>MAIN!A1337&amp;"B"</f>
        <v>B</v>
      </c>
      <c r="K1332" s="12" t="e">
        <f t="shared" si="83"/>
        <v>#VALUE!</v>
      </c>
      <c r="L1332" t="str">
        <f>MAIN!C1337</f>
        <v/>
      </c>
    </row>
    <row r="1333" spans="1:12" x14ac:dyDescent="0.3">
      <c r="A1333">
        <f>IF(J1333="0",0,IF(COUNTIF($J$2:J1333,J1333)=1,1,0))</f>
        <v>0</v>
      </c>
      <c r="B1333" s="12" t="e">
        <f>MID(MAIN!A1338,K1333,2)</f>
        <v>#VALUE!</v>
      </c>
      <c r="C1333" s="12" t="e">
        <f t="shared" si="80"/>
        <v>#VALUE!</v>
      </c>
      <c r="D1333" s="12" t="e">
        <f>MID(MAIN!A1338,K1333+2,2)</f>
        <v>#VALUE!</v>
      </c>
      <c r="E1333" s="12" t="e">
        <f>MID(MAIN!A1338,K1333+4,2)</f>
        <v>#VALUE!</v>
      </c>
      <c r="F1333" s="2" t="e">
        <f t="shared" si="81"/>
        <v>#VALUE!</v>
      </c>
      <c r="G1333" s="13" t="e">
        <f t="shared" si="82"/>
        <v>#VALUE!</v>
      </c>
      <c r="J1333" t="str">
        <f>MAIN!A1338&amp;"B"</f>
        <v>B</v>
      </c>
      <c r="K1333" s="12" t="e">
        <f t="shared" si="83"/>
        <v>#VALUE!</v>
      </c>
      <c r="L1333" t="str">
        <f>MAIN!C1338</f>
        <v/>
      </c>
    </row>
    <row r="1334" spans="1:12" x14ac:dyDescent="0.3">
      <c r="A1334">
        <f>IF(J1334="0",0,IF(COUNTIF($J$2:J1334,J1334)=1,1,0))</f>
        <v>0</v>
      </c>
      <c r="B1334" s="12" t="e">
        <f>MID(MAIN!A1339,K1334,2)</f>
        <v>#VALUE!</v>
      </c>
      <c r="C1334" s="12" t="e">
        <f t="shared" si="80"/>
        <v>#VALUE!</v>
      </c>
      <c r="D1334" s="12" t="e">
        <f>MID(MAIN!A1339,K1334+2,2)</f>
        <v>#VALUE!</v>
      </c>
      <c r="E1334" s="12" t="e">
        <f>MID(MAIN!A1339,K1334+4,2)</f>
        <v>#VALUE!</v>
      </c>
      <c r="F1334" s="2" t="e">
        <f t="shared" si="81"/>
        <v>#VALUE!</v>
      </c>
      <c r="G1334" s="13" t="e">
        <f t="shared" si="82"/>
        <v>#VALUE!</v>
      </c>
      <c r="J1334" t="str">
        <f>MAIN!A1339&amp;"B"</f>
        <v>B</v>
      </c>
      <c r="K1334" s="12" t="e">
        <f t="shared" si="83"/>
        <v>#VALUE!</v>
      </c>
      <c r="L1334" t="str">
        <f>MAIN!C1339</f>
        <v/>
      </c>
    </row>
    <row r="1335" spans="1:12" x14ac:dyDescent="0.3">
      <c r="A1335">
        <f>IF(J1335="0",0,IF(COUNTIF($J$2:J1335,J1335)=1,1,0))</f>
        <v>0</v>
      </c>
      <c r="B1335" s="12" t="e">
        <f>MID(MAIN!A1340,K1335,2)</f>
        <v>#VALUE!</v>
      </c>
      <c r="C1335" s="12" t="e">
        <f t="shared" si="80"/>
        <v>#VALUE!</v>
      </c>
      <c r="D1335" s="12" t="e">
        <f>MID(MAIN!A1340,K1335+2,2)</f>
        <v>#VALUE!</v>
      </c>
      <c r="E1335" s="12" t="e">
        <f>MID(MAIN!A1340,K1335+4,2)</f>
        <v>#VALUE!</v>
      </c>
      <c r="F1335" s="2" t="e">
        <f t="shared" si="81"/>
        <v>#VALUE!</v>
      </c>
      <c r="G1335" s="13" t="e">
        <f t="shared" si="82"/>
        <v>#VALUE!</v>
      </c>
      <c r="J1335" t="str">
        <f>MAIN!A1340&amp;"B"</f>
        <v>B</v>
      </c>
      <c r="K1335" s="12" t="e">
        <f t="shared" si="83"/>
        <v>#VALUE!</v>
      </c>
      <c r="L1335" t="str">
        <f>MAIN!C1340</f>
        <v/>
      </c>
    </row>
    <row r="1336" spans="1:12" x14ac:dyDescent="0.3">
      <c r="A1336">
        <f>IF(J1336="0",0,IF(COUNTIF($J$2:J1336,J1336)=1,1,0))</f>
        <v>0</v>
      </c>
      <c r="B1336" s="12" t="e">
        <f>MID(MAIN!A1341,K1336,2)</f>
        <v>#VALUE!</v>
      </c>
      <c r="C1336" s="12" t="e">
        <f t="shared" si="80"/>
        <v>#VALUE!</v>
      </c>
      <c r="D1336" s="12" t="e">
        <f>MID(MAIN!A1341,K1336+2,2)</f>
        <v>#VALUE!</v>
      </c>
      <c r="E1336" s="12" t="e">
        <f>MID(MAIN!A1341,K1336+4,2)</f>
        <v>#VALUE!</v>
      </c>
      <c r="F1336" s="2" t="e">
        <f t="shared" si="81"/>
        <v>#VALUE!</v>
      </c>
      <c r="G1336" s="13" t="e">
        <f t="shared" si="82"/>
        <v>#VALUE!</v>
      </c>
      <c r="J1336" t="str">
        <f>MAIN!A1341&amp;"B"</f>
        <v>B</v>
      </c>
      <c r="K1336" s="12" t="e">
        <f t="shared" si="83"/>
        <v>#VALUE!</v>
      </c>
      <c r="L1336" t="str">
        <f>MAIN!C1341</f>
        <v/>
      </c>
    </row>
    <row r="1337" spans="1:12" x14ac:dyDescent="0.3">
      <c r="A1337">
        <f>IF(J1337="0",0,IF(COUNTIF($J$2:J1337,J1337)=1,1,0))</f>
        <v>0</v>
      </c>
      <c r="B1337" s="12" t="e">
        <f>MID(MAIN!A1342,K1337,2)</f>
        <v>#VALUE!</v>
      </c>
      <c r="C1337" s="12" t="e">
        <f t="shared" si="80"/>
        <v>#VALUE!</v>
      </c>
      <c r="D1337" s="12" t="e">
        <f>MID(MAIN!A1342,K1337+2,2)</f>
        <v>#VALUE!</v>
      </c>
      <c r="E1337" s="12" t="e">
        <f>MID(MAIN!A1342,K1337+4,2)</f>
        <v>#VALUE!</v>
      </c>
      <c r="F1337" s="2" t="e">
        <f t="shared" si="81"/>
        <v>#VALUE!</v>
      </c>
      <c r="G1337" s="13" t="e">
        <f t="shared" si="82"/>
        <v>#VALUE!</v>
      </c>
      <c r="J1337" t="str">
        <f>MAIN!A1342&amp;"B"</f>
        <v>B</v>
      </c>
      <c r="K1337" s="12" t="e">
        <f t="shared" si="83"/>
        <v>#VALUE!</v>
      </c>
      <c r="L1337" t="str">
        <f>MAIN!C1342</f>
        <v/>
      </c>
    </row>
    <row r="1338" spans="1:12" x14ac:dyDescent="0.3">
      <c r="A1338">
        <f>IF(J1338="0",0,IF(COUNTIF($J$2:J1338,J1338)=1,1,0))</f>
        <v>0</v>
      </c>
      <c r="B1338" s="12" t="e">
        <f>MID(MAIN!A1343,K1338,2)</f>
        <v>#VALUE!</v>
      </c>
      <c r="C1338" s="12" t="e">
        <f t="shared" si="80"/>
        <v>#VALUE!</v>
      </c>
      <c r="D1338" s="12" t="e">
        <f>MID(MAIN!A1343,K1338+2,2)</f>
        <v>#VALUE!</v>
      </c>
      <c r="E1338" s="12" t="e">
        <f>MID(MAIN!A1343,K1338+4,2)</f>
        <v>#VALUE!</v>
      </c>
      <c r="F1338" s="2" t="e">
        <f t="shared" si="81"/>
        <v>#VALUE!</v>
      </c>
      <c r="G1338" s="13" t="e">
        <f t="shared" si="82"/>
        <v>#VALUE!</v>
      </c>
      <c r="J1338" t="str">
        <f>MAIN!A1343&amp;"B"</f>
        <v>B</v>
      </c>
      <c r="K1338" s="12" t="e">
        <f t="shared" si="83"/>
        <v>#VALUE!</v>
      </c>
      <c r="L1338" t="str">
        <f>MAIN!C1343</f>
        <v/>
      </c>
    </row>
    <row r="1339" spans="1:12" x14ac:dyDescent="0.3">
      <c r="A1339">
        <f>IF(J1339="0",0,IF(COUNTIF($J$2:J1339,J1339)=1,1,0))</f>
        <v>0</v>
      </c>
      <c r="B1339" s="12" t="e">
        <f>MID(MAIN!A1344,K1339,2)</f>
        <v>#VALUE!</v>
      </c>
      <c r="C1339" s="12" t="e">
        <f t="shared" si="80"/>
        <v>#VALUE!</v>
      </c>
      <c r="D1339" s="12" t="e">
        <f>MID(MAIN!A1344,K1339+2,2)</f>
        <v>#VALUE!</v>
      </c>
      <c r="E1339" s="12" t="e">
        <f>MID(MAIN!A1344,K1339+4,2)</f>
        <v>#VALUE!</v>
      </c>
      <c r="F1339" s="2" t="e">
        <f t="shared" si="81"/>
        <v>#VALUE!</v>
      </c>
      <c r="G1339" s="13" t="e">
        <f t="shared" si="82"/>
        <v>#VALUE!</v>
      </c>
      <c r="J1339" t="str">
        <f>MAIN!A1344&amp;"B"</f>
        <v>B</v>
      </c>
      <c r="K1339" s="12" t="e">
        <f t="shared" si="83"/>
        <v>#VALUE!</v>
      </c>
      <c r="L1339" t="str">
        <f>MAIN!C1344</f>
        <v/>
      </c>
    </row>
    <row r="1340" spans="1:12" x14ac:dyDescent="0.3">
      <c r="A1340">
        <f>IF(J1340="0",0,IF(COUNTIF($J$2:J1340,J1340)=1,1,0))</f>
        <v>0</v>
      </c>
      <c r="B1340" s="12" t="e">
        <f>MID(MAIN!A1345,K1340,2)</f>
        <v>#VALUE!</v>
      </c>
      <c r="C1340" s="12" t="e">
        <f t="shared" si="80"/>
        <v>#VALUE!</v>
      </c>
      <c r="D1340" s="12" t="e">
        <f>MID(MAIN!A1345,K1340+2,2)</f>
        <v>#VALUE!</v>
      </c>
      <c r="E1340" s="12" t="e">
        <f>MID(MAIN!A1345,K1340+4,2)</f>
        <v>#VALUE!</v>
      </c>
      <c r="F1340" s="2" t="e">
        <f t="shared" si="81"/>
        <v>#VALUE!</v>
      </c>
      <c r="G1340" s="13" t="e">
        <f t="shared" si="82"/>
        <v>#VALUE!</v>
      </c>
      <c r="J1340" t="str">
        <f>MAIN!A1345&amp;"B"</f>
        <v>B</v>
      </c>
      <c r="K1340" s="12" t="e">
        <f t="shared" si="83"/>
        <v>#VALUE!</v>
      </c>
      <c r="L1340" t="str">
        <f>MAIN!C1345</f>
        <v/>
      </c>
    </row>
    <row r="1341" spans="1:12" x14ac:dyDescent="0.3">
      <c r="A1341">
        <f>IF(J1341="0",0,IF(COUNTIF($J$2:J1341,J1341)=1,1,0))</f>
        <v>0</v>
      </c>
      <c r="B1341" s="12" t="e">
        <f>MID(MAIN!A1346,K1341,2)</f>
        <v>#VALUE!</v>
      </c>
      <c r="C1341" s="12" t="e">
        <f t="shared" si="80"/>
        <v>#VALUE!</v>
      </c>
      <c r="D1341" s="12" t="e">
        <f>MID(MAIN!A1346,K1341+2,2)</f>
        <v>#VALUE!</v>
      </c>
      <c r="E1341" s="12" t="e">
        <f>MID(MAIN!A1346,K1341+4,2)</f>
        <v>#VALUE!</v>
      </c>
      <c r="F1341" s="2" t="e">
        <f t="shared" si="81"/>
        <v>#VALUE!</v>
      </c>
      <c r="G1341" s="13" t="e">
        <f t="shared" si="82"/>
        <v>#VALUE!</v>
      </c>
      <c r="J1341" t="str">
        <f>MAIN!A1346&amp;"B"</f>
        <v>B</v>
      </c>
      <c r="K1341" s="12" t="e">
        <f t="shared" si="83"/>
        <v>#VALUE!</v>
      </c>
      <c r="L1341" t="str">
        <f>MAIN!C1346</f>
        <v/>
      </c>
    </row>
    <row r="1342" spans="1:12" x14ac:dyDescent="0.3">
      <c r="A1342">
        <f>IF(J1342="0",0,IF(COUNTIF($J$2:J1342,J1342)=1,1,0))</f>
        <v>0</v>
      </c>
      <c r="B1342" s="12" t="e">
        <f>MID(MAIN!A1347,K1342,2)</f>
        <v>#VALUE!</v>
      </c>
      <c r="C1342" s="12" t="e">
        <f t="shared" si="80"/>
        <v>#VALUE!</v>
      </c>
      <c r="D1342" s="12" t="e">
        <f>MID(MAIN!A1347,K1342+2,2)</f>
        <v>#VALUE!</v>
      </c>
      <c r="E1342" s="12" t="e">
        <f>MID(MAIN!A1347,K1342+4,2)</f>
        <v>#VALUE!</v>
      </c>
      <c r="F1342" s="2" t="e">
        <f t="shared" si="81"/>
        <v>#VALUE!</v>
      </c>
      <c r="G1342" s="13" t="e">
        <f t="shared" si="82"/>
        <v>#VALUE!</v>
      </c>
      <c r="J1342" t="str">
        <f>MAIN!A1347&amp;"B"</f>
        <v>B</v>
      </c>
      <c r="K1342" s="12" t="e">
        <f t="shared" si="83"/>
        <v>#VALUE!</v>
      </c>
      <c r="L1342" t="str">
        <f>MAIN!C1347</f>
        <v/>
      </c>
    </row>
    <row r="1343" spans="1:12" x14ac:dyDescent="0.3">
      <c r="A1343">
        <f>IF(J1343="0",0,IF(COUNTIF($J$2:J1343,J1343)=1,1,0))</f>
        <v>0</v>
      </c>
      <c r="B1343" s="12" t="e">
        <f>MID(MAIN!A1348,K1343,2)</f>
        <v>#VALUE!</v>
      </c>
      <c r="C1343" s="12" t="e">
        <f t="shared" si="80"/>
        <v>#VALUE!</v>
      </c>
      <c r="D1343" s="12" t="e">
        <f>MID(MAIN!A1348,K1343+2,2)</f>
        <v>#VALUE!</v>
      </c>
      <c r="E1343" s="12" t="e">
        <f>MID(MAIN!A1348,K1343+4,2)</f>
        <v>#VALUE!</v>
      </c>
      <c r="F1343" s="2" t="e">
        <f t="shared" si="81"/>
        <v>#VALUE!</v>
      </c>
      <c r="G1343" s="13" t="e">
        <f t="shared" si="82"/>
        <v>#VALUE!</v>
      </c>
      <c r="J1343" t="str">
        <f>MAIN!A1348&amp;"B"</f>
        <v>B</v>
      </c>
      <c r="K1343" s="12" t="e">
        <f t="shared" si="83"/>
        <v>#VALUE!</v>
      </c>
      <c r="L1343" t="str">
        <f>MAIN!C1348</f>
        <v/>
      </c>
    </row>
    <row r="1344" spans="1:12" x14ac:dyDescent="0.3">
      <c r="A1344">
        <f>IF(J1344="0",0,IF(COUNTIF($J$2:J1344,J1344)=1,1,0))</f>
        <v>0</v>
      </c>
      <c r="B1344" s="12" t="e">
        <f>MID(MAIN!A1349,K1344,2)</f>
        <v>#VALUE!</v>
      </c>
      <c r="C1344" s="12" t="e">
        <f t="shared" si="80"/>
        <v>#VALUE!</v>
      </c>
      <c r="D1344" s="12" t="e">
        <f>MID(MAIN!A1349,K1344+2,2)</f>
        <v>#VALUE!</v>
      </c>
      <c r="E1344" s="12" t="e">
        <f>MID(MAIN!A1349,K1344+4,2)</f>
        <v>#VALUE!</v>
      </c>
      <c r="F1344" s="2" t="e">
        <f t="shared" si="81"/>
        <v>#VALUE!</v>
      </c>
      <c r="G1344" s="13" t="e">
        <f t="shared" si="82"/>
        <v>#VALUE!</v>
      </c>
      <c r="J1344" t="str">
        <f>MAIN!A1349&amp;"B"</f>
        <v>B</v>
      </c>
      <c r="K1344" s="12" t="e">
        <f t="shared" si="83"/>
        <v>#VALUE!</v>
      </c>
      <c r="L1344" t="str">
        <f>MAIN!C1349</f>
        <v/>
      </c>
    </row>
    <row r="1345" spans="1:12" x14ac:dyDescent="0.3">
      <c r="A1345">
        <f>IF(J1345="0",0,IF(COUNTIF($J$2:J1345,J1345)=1,1,0))</f>
        <v>0</v>
      </c>
      <c r="B1345" s="12" t="e">
        <f>MID(MAIN!A1350,K1345,2)</f>
        <v>#VALUE!</v>
      </c>
      <c r="C1345" s="12" t="e">
        <f t="shared" si="80"/>
        <v>#VALUE!</v>
      </c>
      <c r="D1345" s="12" t="e">
        <f>MID(MAIN!A1350,K1345+2,2)</f>
        <v>#VALUE!</v>
      </c>
      <c r="E1345" s="12" t="e">
        <f>MID(MAIN!A1350,K1345+4,2)</f>
        <v>#VALUE!</v>
      </c>
      <c r="F1345" s="2" t="e">
        <f t="shared" si="81"/>
        <v>#VALUE!</v>
      </c>
      <c r="G1345" s="13" t="e">
        <f t="shared" si="82"/>
        <v>#VALUE!</v>
      </c>
      <c r="J1345" t="str">
        <f>MAIN!A1350&amp;"B"</f>
        <v>B</v>
      </c>
      <c r="K1345" s="12" t="e">
        <f t="shared" si="83"/>
        <v>#VALUE!</v>
      </c>
      <c r="L1345" t="str">
        <f>MAIN!C1350</f>
        <v/>
      </c>
    </row>
    <row r="1346" spans="1:12" x14ac:dyDescent="0.3">
      <c r="A1346">
        <f>IF(J1346="0",0,IF(COUNTIF($J$2:J1346,J1346)=1,1,0))</f>
        <v>0</v>
      </c>
      <c r="B1346" s="12" t="e">
        <f>MID(MAIN!A1351,K1346,2)</f>
        <v>#VALUE!</v>
      </c>
      <c r="C1346" s="12" t="e">
        <f t="shared" si="80"/>
        <v>#VALUE!</v>
      </c>
      <c r="D1346" s="12" t="e">
        <f>MID(MAIN!A1351,K1346+2,2)</f>
        <v>#VALUE!</v>
      </c>
      <c r="E1346" s="12" t="e">
        <f>MID(MAIN!A1351,K1346+4,2)</f>
        <v>#VALUE!</v>
      </c>
      <c r="F1346" s="2" t="e">
        <f t="shared" si="81"/>
        <v>#VALUE!</v>
      </c>
      <c r="G1346" s="13" t="e">
        <f t="shared" si="82"/>
        <v>#VALUE!</v>
      </c>
      <c r="J1346" t="str">
        <f>MAIN!A1351&amp;"B"</f>
        <v>B</v>
      </c>
      <c r="K1346" s="12" t="e">
        <f t="shared" si="83"/>
        <v>#VALUE!</v>
      </c>
      <c r="L1346" t="str">
        <f>MAIN!C1351</f>
        <v/>
      </c>
    </row>
    <row r="1347" spans="1:12" x14ac:dyDescent="0.3">
      <c r="A1347">
        <f>IF(J1347="0",0,IF(COUNTIF($J$2:J1347,J1347)=1,1,0))</f>
        <v>0</v>
      </c>
      <c r="B1347" s="12" t="e">
        <f>MID(MAIN!A1352,K1347,2)</f>
        <v>#VALUE!</v>
      </c>
      <c r="C1347" s="12" t="e">
        <f t="shared" ref="C1347:C1410" si="84">"20"&amp;B1347</f>
        <v>#VALUE!</v>
      </c>
      <c r="D1347" s="12" t="e">
        <f>MID(MAIN!A1352,K1347+2,2)</f>
        <v>#VALUE!</v>
      </c>
      <c r="E1347" s="12" t="e">
        <f>MID(MAIN!A1352,K1347+4,2)</f>
        <v>#VALUE!</v>
      </c>
      <c r="F1347" s="2" t="e">
        <f t="shared" ref="F1347:F1410" si="85">C1347&amp;"/"&amp;D1347&amp;"/"&amp;E1347</f>
        <v>#VALUE!</v>
      </c>
      <c r="G1347" s="13" t="e">
        <f t="shared" ref="G1347:G1410" si="86">DATEVALUE(F1347)</f>
        <v>#VALUE!</v>
      </c>
      <c r="J1347" t="str">
        <f>MAIN!A1352&amp;"B"</f>
        <v>B</v>
      </c>
      <c r="K1347" s="12" t="e">
        <f t="shared" ref="K1347:K1410" si="87">FIND("172",J1347,30)+2</f>
        <v>#VALUE!</v>
      </c>
      <c r="L1347" t="str">
        <f>MAIN!C1352</f>
        <v/>
      </c>
    </row>
    <row r="1348" spans="1:12" x14ac:dyDescent="0.3">
      <c r="A1348">
        <f>IF(J1348="0",0,IF(COUNTIF($J$2:J1348,J1348)=1,1,0))</f>
        <v>0</v>
      </c>
      <c r="B1348" s="12" t="e">
        <f>MID(MAIN!A1353,K1348,2)</f>
        <v>#VALUE!</v>
      </c>
      <c r="C1348" s="12" t="e">
        <f t="shared" si="84"/>
        <v>#VALUE!</v>
      </c>
      <c r="D1348" s="12" t="e">
        <f>MID(MAIN!A1353,K1348+2,2)</f>
        <v>#VALUE!</v>
      </c>
      <c r="E1348" s="12" t="e">
        <f>MID(MAIN!A1353,K1348+4,2)</f>
        <v>#VALUE!</v>
      </c>
      <c r="F1348" s="2" t="e">
        <f t="shared" si="85"/>
        <v>#VALUE!</v>
      </c>
      <c r="G1348" s="13" t="e">
        <f t="shared" si="86"/>
        <v>#VALUE!</v>
      </c>
      <c r="J1348" t="str">
        <f>MAIN!A1353&amp;"B"</f>
        <v>B</v>
      </c>
      <c r="K1348" s="12" t="e">
        <f t="shared" si="87"/>
        <v>#VALUE!</v>
      </c>
      <c r="L1348" t="str">
        <f>MAIN!C1353</f>
        <v/>
      </c>
    </row>
    <row r="1349" spans="1:12" x14ac:dyDescent="0.3">
      <c r="A1349">
        <f>IF(J1349="0",0,IF(COUNTIF($J$2:J1349,J1349)=1,1,0))</f>
        <v>0</v>
      </c>
      <c r="B1349" s="12" t="e">
        <f>MID(MAIN!A1354,K1349,2)</f>
        <v>#VALUE!</v>
      </c>
      <c r="C1349" s="12" t="e">
        <f t="shared" si="84"/>
        <v>#VALUE!</v>
      </c>
      <c r="D1349" s="12" t="e">
        <f>MID(MAIN!A1354,K1349+2,2)</f>
        <v>#VALUE!</v>
      </c>
      <c r="E1349" s="12" t="e">
        <f>MID(MAIN!A1354,K1349+4,2)</f>
        <v>#VALUE!</v>
      </c>
      <c r="F1349" s="2" t="e">
        <f t="shared" si="85"/>
        <v>#VALUE!</v>
      </c>
      <c r="G1349" s="13" t="e">
        <f t="shared" si="86"/>
        <v>#VALUE!</v>
      </c>
      <c r="J1349" t="str">
        <f>MAIN!A1354&amp;"B"</f>
        <v>B</v>
      </c>
      <c r="K1349" s="12" t="e">
        <f t="shared" si="87"/>
        <v>#VALUE!</v>
      </c>
      <c r="L1349" t="str">
        <f>MAIN!C1354</f>
        <v/>
      </c>
    </row>
    <row r="1350" spans="1:12" x14ac:dyDescent="0.3">
      <c r="A1350">
        <f>IF(J1350="0",0,IF(COUNTIF($J$2:J1350,J1350)=1,1,0))</f>
        <v>0</v>
      </c>
      <c r="B1350" s="12" t="e">
        <f>MID(MAIN!A1355,K1350,2)</f>
        <v>#VALUE!</v>
      </c>
      <c r="C1350" s="12" t="e">
        <f t="shared" si="84"/>
        <v>#VALUE!</v>
      </c>
      <c r="D1350" s="12" t="e">
        <f>MID(MAIN!A1355,K1350+2,2)</f>
        <v>#VALUE!</v>
      </c>
      <c r="E1350" s="12" t="e">
        <f>MID(MAIN!A1355,K1350+4,2)</f>
        <v>#VALUE!</v>
      </c>
      <c r="F1350" s="2" t="e">
        <f t="shared" si="85"/>
        <v>#VALUE!</v>
      </c>
      <c r="G1350" s="13" t="e">
        <f t="shared" si="86"/>
        <v>#VALUE!</v>
      </c>
      <c r="J1350" t="str">
        <f>MAIN!A1355&amp;"B"</f>
        <v>B</v>
      </c>
      <c r="K1350" s="12" t="e">
        <f t="shared" si="87"/>
        <v>#VALUE!</v>
      </c>
      <c r="L1350" t="str">
        <f>MAIN!C1355</f>
        <v/>
      </c>
    </row>
    <row r="1351" spans="1:12" x14ac:dyDescent="0.3">
      <c r="A1351">
        <f>IF(J1351="0",0,IF(COUNTIF($J$2:J1351,J1351)=1,1,0))</f>
        <v>0</v>
      </c>
      <c r="B1351" s="12" t="e">
        <f>MID(MAIN!A1356,K1351,2)</f>
        <v>#VALUE!</v>
      </c>
      <c r="C1351" s="12" t="e">
        <f t="shared" si="84"/>
        <v>#VALUE!</v>
      </c>
      <c r="D1351" s="12" t="e">
        <f>MID(MAIN!A1356,K1351+2,2)</f>
        <v>#VALUE!</v>
      </c>
      <c r="E1351" s="12" t="e">
        <f>MID(MAIN!A1356,K1351+4,2)</f>
        <v>#VALUE!</v>
      </c>
      <c r="F1351" s="2" t="e">
        <f t="shared" si="85"/>
        <v>#VALUE!</v>
      </c>
      <c r="G1351" s="13" t="e">
        <f t="shared" si="86"/>
        <v>#VALUE!</v>
      </c>
      <c r="J1351" t="str">
        <f>MAIN!A1356&amp;"B"</f>
        <v>B</v>
      </c>
      <c r="K1351" s="12" t="e">
        <f t="shared" si="87"/>
        <v>#VALUE!</v>
      </c>
      <c r="L1351" t="str">
        <f>MAIN!C1356</f>
        <v/>
      </c>
    </row>
    <row r="1352" spans="1:12" x14ac:dyDescent="0.3">
      <c r="A1352">
        <f>IF(J1352="0",0,IF(COUNTIF($J$2:J1352,J1352)=1,1,0))</f>
        <v>0</v>
      </c>
      <c r="B1352" s="12" t="e">
        <f>MID(MAIN!A1357,K1352,2)</f>
        <v>#VALUE!</v>
      </c>
      <c r="C1352" s="12" t="e">
        <f t="shared" si="84"/>
        <v>#VALUE!</v>
      </c>
      <c r="D1352" s="12" t="e">
        <f>MID(MAIN!A1357,K1352+2,2)</f>
        <v>#VALUE!</v>
      </c>
      <c r="E1352" s="12" t="e">
        <f>MID(MAIN!A1357,K1352+4,2)</f>
        <v>#VALUE!</v>
      </c>
      <c r="F1352" s="2" t="e">
        <f t="shared" si="85"/>
        <v>#VALUE!</v>
      </c>
      <c r="G1352" s="13" t="e">
        <f t="shared" si="86"/>
        <v>#VALUE!</v>
      </c>
      <c r="J1352" t="str">
        <f>MAIN!A1357&amp;"B"</f>
        <v>B</v>
      </c>
      <c r="K1352" s="12" t="e">
        <f t="shared" si="87"/>
        <v>#VALUE!</v>
      </c>
      <c r="L1352" t="str">
        <f>MAIN!C1357</f>
        <v/>
      </c>
    </row>
    <row r="1353" spans="1:12" x14ac:dyDescent="0.3">
      <c r="A1353">
        <f>IF(J1353="0",0,IF(COUNTIF($J$2:J1353,J1353)=1,1,0))</f>
        <v>0</v>
      </c>
      <c r="B1353" s="12" t="e">
        <f>MID(MAIN!A1358,K1353,2)</f>
        <v>#VALUE!</v>
      </c>
      <c r="C1353" s="12" t="e">
        <f t="shared" si="84"/>
        <v>#VALUE!</v>
      </c>
      <c r="D1353" s="12" t="e">
        <f>MID(MAIN!A1358,K1353+2,2)</f>
        <v>#VALUE!</v>
      </c>
      <c r="E1353" s="12" t="e">
        <f>MID(MAIN!A1358,K1353+4,2)</f>
        <v>#VALUE!</v>
      </c>
      <c r="F1353" s="2" t="e">
        <f t="shared" si="85"/>
        <v>#VALUE!</v>
      </c>
      <c r="G1353" s="13" t="e">
        <f t="shared" si="86"/>
        <v>#VALUE!</v>
      </c>
      <c r="J1353" t="str">
        <f>MAIN!A1358&amp;"B"</f>
        <v>B</v>
      </c>
      <c r="K1353" s="12" t="e">
        <f t="shared" si="87"/>
        <v>#VALUE!</v>
      </c>
      <c r="L1353" t="str">
        <f>MAIN!C1358</f>
        <v/>
      </c>
    </row>
    <row r="1354" spans="1:12" x14ac:dyDescent="0.3">
      <c r="A1354">
        <f>IF(J1354="0",0,IF(COUNTIF($J$2:J1354,J1354)=1,1,0))</f>
        <v>0</v>
      </c>
      <c r="B1354" s="12" t="e">
        <f>MID(MAIN!A1359,K1354,2)</f>
        <v>#VALUE!</v>
      </c>
      <c r="C1354" s="12" t="e">
        <f t="shared" si="84"/>
        <v>#VALUE!</v>
      </c>
      <c r="D1354" s="12" t="e">
        <f>MID(MAIN!A1359,K1354+2,2)</f>
        <v>#VALUE!</v>
      </c>
      <c r="E1354" s="12" t="e">
        <f>MID(MAIN!A1359,K1354+4,2)</f>
        <v>#VALUE!</v>
      </c>
      <c r="F1354" s="2" t="e">
        <f t="shared" si="85"/>
        <v>#VALUE!</v>
      </c>
      <c r="G1354" s="13" t="e">
        <f t="shared" si="86"/>
        <v>#VALUE!</v>
      </c>
      <c r="J1354" t="str">
        <f>MAIN!A1359&amp;"B"</f>
        <v>B</v>
      </c>
      <c r="K1354" s="12" t="e">
        <f t="shared" si="87"/>
        <v>#VALUE!</v>
      </c>
      <c r="L1354" t="str">
        <f>MAIN!C1359</f>
        <v/>
      </c>
    </row>
    <row r="1355" spans="1:12" x14ac:dyDescent="0.3">
      <c r="A1355">
        <f>IF(J1355="0",0,IF(COUNTIF($J$2:J1355,J1355)=1,1,0))</f>
        <v>0</v>
      </c>
      <c r="B1355" s="12" t="e">
        <f>MID(MAIN!A1360,K1355,2)</f>
        <v>#VALUE!</v>
      </c>
      <c r="C1355" s="12" t="e">
        <f t="shared" si="84"/>
        <v>#VALUE!</v>
      </c>
      <c r="D1355" s="12" t="e">
        <f>MID(MAIN!A1360,K1355+2,2)</f>
        <v>#VALUE!</v>
      </c>
      <c r="E1355" s="12" t="e">
        <f>MID(MAIN!A1360,K1355+4,2)</f>
        <v>#VALUE!</v>
      </c>
      <c r="F1355" s="2" t="e">
        <f t="shared" si="85"/>
        <v>#VALUE!</v>
      </c>
      <c r="G1355" s="13" t="e">
        <f t="shared" si="86"/>
        <v>#VALUE!</v>
      </c>
      <c r="J1355" t="str">
        <f>MAIN!A1360&amp;"B"</f>
        <v>B</v>
      </c>
      <c r="K1355" s="12" t="e">
        <f t="shared" si="87"/>
        <v>#VALUE!</v>
      </c>
      <c r="L1355" t="str">
        <f>MAIN!C1360</f>
        <v/>
      </c>
    </row>
    <row r="1356" spans="1:12" x14ac:dyDescent="0.3">
      <c r="A1356">
        <f>IF(J1356="0",0,IF(COUNTIF($J$2:J1356,J1356)=1,1,0))</f>
        <v>0</v>
      </c>
      <c r="B1356" s="12" t="e">
        <f>MID(MAIN!A1361,K1356,2)</f>
        <v>#VALUE!</v>
      </c>
      <c r="C1356" s="12" t="e">
        <f t="shared" si="84"/>
        <v>#VALUE!</v>
      </c>
      <c r="D1356" s="12" t="e">
        <f>MID(MAIN!A1361,K1356+2,2)</f>
        <v>#VALUE!</v>
      </c>
      <c r="E1356" s="12" t="e">
        <f>MID(MAIN!A1361,K1356+4,2)</f>
        <v>#VALUE!</v>
      </c>
      <c r="F1356" s="2" t="e">
        <f t="shared" si="85"/>
        <v>#VALUE!</v>
      </c>
      <c r="G1356" s="13" t="e">
        <f t="shared" si="86"/>
        <v>#VALUE!</v>
      </c>
      <c r="J1356" t="str">
        <f>MAIN!A1361&amp;"B"</f>
        <v>B</v>
      </c>
      <c r="K1356" s="12" t="e">
        <f t="shared" si="87"/>
        <v>#VALUE!</v>
      </c>
      <c r="L1356" t="str">
        <f>MAIN!C1361</f>
        <v/>
      </c>
    </row>
    <row r="1357" spans="1:12" x14ac:dyDescent="0.3">
      <c r="A1357">
        <f>IF(J1357="0",0,IF(COUNTIF($J$2:J1357,J1357)=1,1,0))</f>
        <v>0</v>
      </c>
      <c r="B1357" s="12" t="e">
        <f>MID(MAIN!A1362,K1357,2)</f>
        <v>#VALUE!</v>
      </c>
      <c r="C1357" s="12" t="e">
        <f t="shared" si="84"/>
        <v>#VALUE!</v>
      </c>
      <c r="D1357" s="12" t="e">
        <f>MID(MAIN!A1362,K1357+2,2)</f>
        <v>#VALUE!</v>
      </c>
      <c r="E1357" s="12" t="e">
        <f>MID(MAIN!A1362,K1357+4,2)</f>
        <v>#VALUE!</v>
      </c>
      <c r="F1357" s="2" t="e">
        <f t="shared" si="85"/>
        <v>#VALUE!</v>
      </c>
      <c r="G1357" s="13" t="e">
        <f t="shared" si="86"/>
        <v>#VALUE!</v>
      </c>
      <c r="J1357" t="str">
        <f>MAIN!A1362&amp;"B"</f>
        <v>B</v>
      </c>
      <c r="K1357" s="12" t="e">
        <f t="shared" si="87"/>
        <v>#VALUE!</v>
      </c>
      <c r="L1357" t="str">
        <f>MAIN!C1362</f>
        <v/>
      </c>
    </row>
    <row r="1358" spans="1:12" x14ac:dyDescent="0.3">
      <c r="A1358">
        <f>IF(J1358="0",0,IF(COUNTIF($J$2:J1358,J1358)=1,1,0))</f>
        <v>0</v>
      </c>
      <c r="B1358" s="12" t="e">
        <f>MID(MAIN!A1363,K1358,2)</f>
        <v>#VALUE!</v>
      </c>
      <c r="C1358" s="12" t="e">
        <f t="shared" si="84"/>
        <v>#VALUE!</v>
      </c>
      <c r="D1358" s="12" t="e">
        <f>MID(MAIN!A1363,K1358+2,2)</f>
        <v>#VALUE!</v>
      </c>
      <c r="E1358" s="12" t="e">
        <f>MID(MAIN!A1363,K1358+4,2)</f>
        <v>#VALUE!</v>
      </c>
      <c r="F1358" s="2" t="e">
        <f t="shared" si="85"/>
        <v>#VALUE!</v>
      </c>
      <c r="G1358" s="13" t="e">
        <f t="shared" si="86"/>
        <v>#VALUE!</v>
      </c>
      <c r="J1358" t="str">
        <f>MAIN!A1363&amp;"B"</f>
        <v>B</v>
      </c>
      <c r="K1358" s="12" t="e">
        <f t="shared" si="87"/>
        <v>#VALUE!</v>
      </c>
      <c r="L1358" t="str">
        <f>MAIN!C1363</f>
        <v/>
      </c>
    </row>
    <row r="1359" spans="1:12" x14ac:dyDescent="0.3">
      <c r="A1359">
        <f>IF(J1359="0",0,IF(COUNTIF($J$2:J1359,J1359)=1,1,0))</f>
        <v>0</v>
      </c>
      <c r="B1359" s="12" t="e">
        <f>MID(MAIN!A1364,K1359,2)</f>
        <v>#VALUE!</v>
      </c>
      <c r="C1359" s="12" t="e">
        <f t="shared" si="84"/>
        <v>#VALUE!</v>
      </c>
      <c r="D1359" s="12" t="e">
        <f>MID(MAIN!A1364,K1359+2,2)</f>
        <v>#VALUE!</v>
      </c>
      <c r="E1359" s="12" t="e">
        <f>MID(MAIN!A1364,K1359+4,2)</f>
        <v>#VALUE!</v>
      </c>
      <c r="F1359" s="2" t="e">
        <f t="shared" si="85"/>
        <v>#VALUE!</v>
      </c>
      <c r="G1359" s="13" t="e">
        <f t="shared" si="86"/>
        <v>#VALUE!</v>
      </c>
      <c r="J1359" t="str">
        <f>MAIN!A1364&amp;"B"</f>
        <v>B</v>
      </c>
      <c r="K1359" s="12" t="e">
        <f t="shared" si="87"/>
        <v>#VALUE!</v>
      </c>
      <c r="L1359" t="str">
        <f>MAIN!C1364</f>
        <v/>
      </c>
    </row>
    <row r="1360" spans="1:12" x14ac:dyDescent="0.3">
      <c r="A1360">
        <f>IF(J1360="0",0,IF(COUNTIF($J$2:J1360,J1360)=1,1,0))</f>
        <v>0</v>
      </c>
      <c r="B1360" s="12" t="e">
        <f>MID(MAIN!A1365,K1360,2)</f>
        <v>#VALUE!</v>
      </c>
      <c r="C1360" s="12" t="e">
        <f t="shared" si="84"/>
        <v>#VALUE!</v>
      </c>
      <c r="D1360" s="12" t="e">
        <f>MID(MAIN!A1365,K1360+2,2)</f>
        <v>#VALUE!</v>
      </c>
      <c r="E1360" s="12" t="e">
        <f>MID(MAIN!A1365,K1360+4,2)</f>
        <v>#VALUE!</v>
      </c>
      <c r="F1360" s="2" t="e">
        <f t="shared" si="85"/>
        <v>#VALUE!</v>
      </c>
      <c r="G1360" s="13" t="e">
        <f t="shared" si="86"/>
        <v>#VALUE!</v>
      </c>
      <c r="J1360" t="str">
        <f>MAIN!A1365&amp;"B"</f>
        <v>B</v>
      </c>
      <c r="K1360" s="12" t="e">
        <f t="shared" si="87"/>
        <v>#VALUE!</v>
      </c>
      <c r="L1360" t="str">
        <f>MAIN!C1365</f>
        <v/>
      </c>
    </row>
    <row r="1361" spans="1:12" x14ac:dyDescent="0.3">
      <c r="A1361">
        <f>IF(J1361="0",0,IF(COUNTIF($J$2:J1361,J1361)=1,1,0))</f>
        <v>0</v>
      </c>
      <c r="B1361" s="12" t="e">
        <f>MID(MAIN!A1366,K1361,2)</f>
        <v>#VALUE!</v>
      </c>
      <c r="C1361" s="12" t="e">
        <f t="shared" si="84"/>
        <v>#VALUE!</v>
      </c>
      <c r="D1361" s="12" t="e">
        <f>MID(MAIN!A1366,K1361+2,2)</f>
        <v>#VALUE!</v>
      </c>
      <c r="E1361" s="12" t="e">
        <f>MID(MAIN!A1366,K1361+4,2)</f>
        <v>#VALUE!</v>
      </c>
      <c r="F1361" s="2" t="e">
        <f t="shared" si="85"/>
        <v>#VALUE!</v>
      </c>
      <c r="G1361" s="13" t="e">
        <f t="shared" si="86"/>
        <v>#VALUE!</v>
      </c>
      <c r="J1361" t="str">
        <f>MAIN!A1366&amp;"B"</f>
        <v>B</v>
      </c>
      <c r="K1361" s="12" t="e">
        <f t="shared" si="87"/>
        <v>#VALUE!</v>
      </c>
      <c r="L1361" t="str">
        <f>MAIN!C1366</f>
        <v/>
      </c>
    </row>
    <row r="1362" spans="1:12" x14ac:dyDescent="0.3">
      <c r="A1362">
        <f>IF(J1362="0",0,IF(COUNTIF($J$2:J1362,J1362)=1,1,0))</f>
        <v>0</v>
      </c>
      <c r="B1362" s="12" t="e">
        <f>MID(MAIN!A1367,K1362,2)</f>
        <v>#VALUE!</v>
      </c>
      <c r="C1362" s="12" t="e">
        <f t="shared" si="84"/>
        <v>#VALUE!</v>
      </c>
      <c r="D1362" s="12" t="e">
        <f>MID(MAIN!A1367,K1362+2,2)</f>
        <v>#VALUE!</v>
      </c>
      <c r="E1362" s="12" t="e">
        <f>MID(MAIN!A1367,K1362+4,2)</f>
        <v>#VALUE!</v>
      </c>
      <c r="F1362" s="2" t="e">
        <f t="shared" si="85"/>
        <v>#VALUE!</v>
      </c>
      <c r="G1362" s="13" t="e">
        <f t="shared" si="86"/>
        <v>#VALUE!</v>
      </c>
      <c r="J1362" t="str">
        <f>MAIN!A1367&amp;"B"</f>
        <v>B</v>
      </c>
      <c r="K1362" s="12" t="e">
        <f t="shared" si="87"/>
        <v>#VALUE!</v>
      </c>
      <c r="L1362" t="str">
        <f>MAIN!C1367</f>
        <v/>
      </c>
    </row>
    <row r="1363" spans="1:12" x14ac:dyDescent="0.3">
      <c r="A1363">
        <f>IF(J1363="0",0,IF(COUNTIF($J$2:J1363,J1363)=1,1,0))</f>
        <v>0</v>
      </c>
      <c r="B1363" s="12" t="e">
        <f>MID(MAIN!A1368,K1363,2)</f>
        <v>#VALUE!</v>
      </c>
      <c r="C1363" s="12" t="e">
        <f t="shared" si="84"/>
        <v>#VALUE!</v>
      </c>
      <c r="D1363" s="12" t="e">
        <f>MID(MAIN!A1368,K1363+2,2)</f>
        <v>#VALUE!</v>
      </c>
      <c r="E1363" s="12" t="e">
        <f>MID(MAIN!A1368,K1363+4,2)</f>
        <v>#VALUE!</v>
      </c>
      <c r="F1363" s="2" t="e">
        <f t="shared" si="85"/>
        <v>#VALUE!</v>
      </c>
      <c r="G1363" s="13" t="e">
        <f t="shared" si="86"/>
        <v>#VALUE!</v>
      </c>
      <c r="J1363" t="str">
        <f>MAIN!A1368&amp;"B"</f>
        <v>B</v>
      </c>
      <c r="K1363" s="12" t="e">
        <f t="shared" si="87"/>
        <v>#VALUE!</v>
      </c>
      <c r="L1363" t="str">
        <f>MAIN!C1368</f>
        <v/>
      </c>
    </row>
    <row r="1364" spans="1:12" x14ac:dyDescent="0.3">
      <c r="A1364">
        <f>IF(J1364="0",0,IF(COUNTIF($J$2:J1364,J1364)=1,1,0))</f>
        <v>0</v>
      </c>
      <c r="B1364" s="12" t="e">
        <f>MID(MAIN!A1369,K1364,2)</f>
        <v>#VALUE!</v>
      </c>
      <c r="C1364" s="12" t="e">
        <f t="shared" si="84"/>
        <v>#VALUE!</v>
      </c>
      <c r="D1364" s="12" t="e">
        <f>MID(MAIN!A1369,K1364+2,2)</f>
        <v>#VALUE!</v>
      </c>
      <c r="E1364" s="12" t="e">
        <f>MID(MAIN!A1369,K1364+4,2)</f>
        <v>#VALUE!</v>
      </c>
      <c r="F1364" s="2" t="e">
        <f t="shared" si="85"/>
        <v>#VALUE!</v>
      </c>
      <c r="G1364" s="13" t="e">
        <f t="shared" si="86"/>
        <v>#VALUE!</v>
      </c>
      <c r="J1364" t="str">
        <f>MAIN!A1369&amp;"B"</f>
        <v>B</v>
      </c>
      <c r="K1364" s="12" t="e">
        <f t="shared" si="87"/>
        <v>#VALUE!</v>
      </c>
      <c r="L1364" t="str">
        <f>MAIN!C1369</f>
        <v/>
      </c>
    </row>
    <row r="1365" spans="1:12" x14ac:dyDescent="0.3">
      <c r="A1365">
        <f>IF(J1365="0",0,IF(COUNTIF($J$2:J1365,J1365)=1,1,0))</f>
        <v>0</v>
      </c>
      <c r="B1365" s="12" t="e">
        <f>MID(MAIN!A1370,K1365,2)</f>
        <v>#VALUE!</v>
      </c>
      <c r="C1365" s="12" t="e">
        <f t="shared" si="84"/>
        <v>#VALUE!</v>
      </c>
      <c r="D1365" s="12" t="e">
        <f>MID(MAIN!A1370,K1365+2,2)</f>
        <v>#VALUE!</v>
      </c>
      <c r="E1365" s="12" t="e">
        <f>MID(MAIN!A1370,K1365+4,2)</f>
        <v>#VALUE!</v>
      </c>
      <c r="F1365" s="2" t="e">
        <f t="shared" si="85"/>
        <v>#VALUE!</v>
      </c>
      <c r="G1365" s="13" t="e">
        <f t="shared" si="86"/>
        <v>#VALUE!</v>
      </c>
      <c r="J1365" t="str">
        <f>MAIN!A1370&amp;"B"</f>
        <v>B</v>
      </c>
      <c r="K1365" s="12" t="e">
        <f t="shared" si="87"/>
        <v>#VALUE!</v>
      </c>
      <c r="L1365" t="str">
        <f>MAIN!C1370</f>
        <v/>
      </c>
    </row>
    <row r="1366" spans="1:12" x14ac:dyDescent="0.3">
      <c r="A1366">
        <f>IF(J1366="0",0,IF(COUNTIF($J$2:J1366,J1366)=1,1,0))</f>
        <v>0</v>
      </c>
      <c r="B1366" s="12" t="e">
        <f>MID(MAIN!A1371,K1366,2)</f>
        <v>#VALUE!</v>
      </c>
      <c r="C1366" s="12" t="e">
        <f t="shared" si="84"/>
        <v>#VALUE!</v>
      </c>
      <c r="D1366" s="12" t="e">
        <f>MID(MAIN!A1371,K1366+2,2)</f>
        <v>#VALUE!</v>
      </c>
      <c r="E1366" s="12" t="e">
        <f>MID(MAIN!A1371,K1366+4,2)</f>
        <v>#VALUE!</v>
      </c>
      <c r="F1366" s="2" t="e">
        <f t="shared" si="85"/>
        <v>#VALUE!</v>
      </c>
      <c r="G1366" s="13" t="e">
        <f t="shared" si="86"/>
        <v>#VALUE!</v>
      </c>
      <c r="J1366" t="str">
        <f>MAIN!A1371&amp;"B"</f>
        <v>B</v>
      </c>
      <c r="K1366" s="12" t="e">
        <f t="shared" si="87"/>
        <v>#VALUE!</v>
      </c>
      <c r="L1366" t="str">
        <f>MAIN!C1371</f>
        <v/>
      </c>
    </row>
    <row r="1367" spans="1:12" x14ac:dyDescent="0.3">
      <c r="A1367">
        <f>IF(J1367="0",0,IF(COUNTIF($J$2:J1367,J1367)=1,1,0))</f>
        <v>0</v>
      </c>
      <c r="B1367" s="12" t="e">
        <f>MID(MAIN!A1372,K1367,2)</f>
        <v>#VALUE!</v>
      </c>
      <c r="C1367" s="12" t="e">
        <f t="shared" si="84"/>
        <v>#VALUE!</v>
      </c>
      <c r="D1367" s="12" t="e">
        <f>MID(MAIN!A1372,K1367+2,2)</f>
        <v>#VALUE!</v>
      </c>
      <c r="E1367" s="12" t="e">
        <f>MID(MAIN!A1372,K1367+4,2)</f>
        <v>#VALUE!</v>
      </c>
      <c r="F1367" s="2" t="e">
        <f t="shared" si="85"/>
        <v>#VALUE!</v>
      </c>
      <c r="G1367" s="13" t="e">
        <f t="shared" si="86"/>
        <v>#VALUE!</v>
      </c>
      <c r="J1367" t="str">
        <f>MAIN!A1372&amp;"B"</f>
        <v>B</v>
      </c>
      <c r="K1367" s="12" t="e">
        <f t="shared" si="87"/>
        <v>#VALUE!</v>
      </c>
      <c r="L1367" t="str">
        <f>MAIN!C1372</f>
        <v/>
      </c>
    </row>
    <row r="1368" spans="1:12" x14ac:dyDescent="0.3">
      <c r="A1368">
        <f>IF(J1368="0",0,IF(COUNTIF($J$2:J1368,J1368)=1,1,0))</f>
        <v>0</v>
      </c>
      <c r="B1368" s="12" t="e">
        <f>MID(MAIN!A1373,K1368,2)</f>
        <v>#VALUE!</v>
      </c>
      <c r="C1368" s="12" t="e">
        <f t="shared" si="84"/>
        <v>#VALUE!</v>
      </c>
      <c r="D1368" s="12" t="e">
        <f>MID(MAIN!A1373,K1368+2,2)</f>
        <v>#VALUE!</v>
      </c>
      <c r="E1368" s="12" t="e">
        <f>MID(MAIN!A1373,K1368+4,2)</f>
        <v>#VALUE!</v>
      </c>
      <c r="F1368" s="2" t="e">
        <f t="shared" si="85"/>
        <v>#VALUE!</v>
      </c>
      <c r="G1368" s="13" t="e">
        <f t="shared" si="86"/>
        <v>#VALUE!</v>
      </c>
      <c r="J1368" t="str">
        <f>MAIN!A1373&amp;"B"</f>
        <v>B</v>
      </c>
      <c r="K1368" s="12" t="e">
        <f t="shared" si="87"/>
        <v>#VALUE!</v>
      </c>
      <c r="L1368" t="str">
        <f>MAIN!C1373</f>
        <v/>
      </c>
    </row>
    <row r="1369" spans="1:12" x14ac:dyDescent="0.3">
      <c r="A1369">
        <f>IF(J1369="0",0,IF(COUNTIF($J$2:J1369,J1369)=1,1,0))</f>
        <v>0</v>
      </c>
      <c r="B1369" s="12" t="e">
        <f>MID(MAIN!A1374,K1369,2)</f>
        <v>#VALUE!</v>
      </c>
      <c r="C1369" s="12" t="e">
        <f t="shared" si="84"/>
        <v>#VALUE!</v>
      </c>
      <c r="D1369" s="12" t="e">
        <f>MID(MAIN!A1374,K1369+2,2)</f>
        <v>#VALUE!</v>
      </c>
      <c r="E1369" s="12" t="e">
        <f>MID(MAIN!A1374,K1369+4,2)</f>
        <v>#VALUE!</v>
      </c>
      <c r="F1369" s="2" t="e">
        <f t="shared" si="85"/>
        <v>#VALUE!</v>
      </c>
      <c r="G1369" s="13" t="e">
        <f t="shared" si="86"/>
        <v>#VALUE!</v>
      </c>
      <c r="J1369" t="str">
        <f>MAIN!A1374&amp;"B"</f>
        <v>B</v>
      </c>
      <c r="K1369" s="12" t="e">
        <f t="shared" si="87"/>
        <v>#VALUE!</v>
      </c>
      <c r="L1369" t="str">
        <f>MAIN!C1374</f>
        <v/>
      </c>
    </row>
    <row r="1370" spans="1:12" x14ac:dyDescent="0.3">
      <c r="A1370">
        <f>IF(J1370="0",0,IF(COUNTIF($J$2:J1370,J1370)=1,1,0))</f>
        <v>0</v>
      </c>
      <c r="B1370" s="12" t="e">
        <f>MID(MAIN!A1375,K1370,2)</f>
        <v>#VALUE!</v>
      </c>
      <c r="C1370" s="12" t="e">
        <f t="shared" si="84"/>
        <v>#VALUE!</v>
      </c>
      <c r="D1370" s="12" t="e">
        <f>MID(MAIN!A1375,K1370+2,2)</f>
        <v>#VALUE!</v>
      </c>
      <c r="E1370" s="12" t="e">
        <f>MID(MAIN!A1375,K1370+4,2)</f>
        <v>#VALUE!</v>
      </c>
      <c r="F1370" s="2" t="e">
        <f t="shared" si="85"/>
        <v>#VALUE!</v>
      </c>
      <c r="G1370" s="13" t="e">
        <f t="shared" si="86"/>
        <v>#VALUE!</v>
      </c>
      <c r="J1370" t="str">
        <f>MAIN!A1375&amp;"B"</f>
        <v>B</v>
      </c>
      <c r="K1370" s="12" t="e">
        <f t="shared" si="87"/>
        <v>#VALUE!</v>
      </c>
      <c r="L1370" t="str">
        <f>MAIN!C1375</f>
        <v/>
      </c>
    </row>
    <row r="1371" spans="1:12" x14ac:dyDescent="0.3">
      <c r="A1371">
        <f>IF(J1371="0",0,IF(COUNTIF($J$2:J1371,J1371)=1,1,0))</f>
        <v>0</v>
      </c>
      <c r="B1371" s="12" t="e">
        <f>MID(MAIN!A1376,K1371,2)</f>
        <v>#VALUE!</v>
      </c>
      <c r="C1371" s="12" t="e">
        <f t="shared" si="84"/>
        <v>#VALUE!</v>
      </c>
      <c r="D1371" s="12" t="e">
        <f>MID(MAIN!A1376,K1371+2,2)</f>
        <v>#VALUE!</v>
      </c>
      <c r="E1371" s="12" t="e">
        <f>MID(MAIN!A1376,K1371+4,2)</f>
        <v>#VALUE!</v>
      </c>
      <c r="F1371" s="2" t="e">
        <f t="shared" si="85"/>
        <v>#VALUE!</v>
      </c>
      <c r="G1371" s="13" t="e">
        <f t="shared" si="86"/>
        <v>#VALUE!</v>
      </c>
      <c r="J1371" t="str">
        <f>MAIN!A1376&amp;"B"</f>
        <v>B</v>
      </c>
      <c r="K1371" s="12" t="e">
        <f t="shared" si="87"/>
        <v>#VALUE!</v>
      </c>
      <c r="L1371" t="str">
        <f>MAIN!C1376</f>
        <v/>
      </c>
    </row>
    <row r="1372" spans="1:12" x14ac:dyDescent="0.3">
      <c r="A1372">
        <f>IF(J1372="0",0,IF(COUNTIF($J$2:J1372,J1372)=1,1,0))</f>
        <v>0</v>
      </c>
      <c r="B1372" s="12" t="e">
        <f>MID(MAIN!A1377,K1372,2)</f>
        <v>#VALUE!</v>
      </c>
      <c r="C1372" s="12" t="e">
        <f t="shared" si="84"/>
        <v>#VALUE!</v>
      </c>
      <c r="D1372" s="12" t="e">
        <f>MID(MAIN!A1377,K1372+2,2)</f>
        <v>#VALUE!</v>
      </c>
      <c r="E1372" s="12" t="e">
        <f>MID(MAIN!A1377,K1372+4,2)</f>
        <v>#VALUE!</v>
      </c>
      <c r="F1372" s="2" t="e">
        <f t="shared" si="85"/>
        <v>#VALUE!</v>
      </c>
      <c r="G1372" s="13" t="e">
        <f t="shared" si="86"/>
        <v>#VALUE!</v>
      </c>
      <c r="J1372" t="str">
        <f>MAIN!A1377&amp;"B"</f>
        <v>B</v>
      </c>
      <c r="K1372" s="12" t="e">
        <f t="shared" si="87"/>
        <v>#VALUE!</v>
      </c>
      <c r="L1372" t="str">
        <f>MAIN!C1377</f>
        <v/>
      </c>
    </row>
    <row r="1373" spans="1:12" x14ac:dyDescent="0.3">
      <c r="A1373">
        <f>IF(J1373="0",0,IF(COUNTIF($J$2:J1373,J1373)=1,1,0))</f>
        <v>0</v>
      </c>
      <c r="B1373" s="12" t="e">
        <f>MID(MAIN!A1378,K1373,2)</f>
        <v>#VALUE!</v>
      </c>
      <c r="C1373" s="12" t="e">
        <f t="shared" si="84"/>
        <v>#VALUE!</v>
      </c>
      <c r="D1373" s="12" t="e">
        <f>MID(MAIN!A1378,K1373+2,2)</f>
        <v>#VALUE!</v>
      </c>
      <c r="E1373" s="12" t="e">
        <f>MID(MAIN!A1378,K1373+4,2)</f>
        <v>#VALUE!</v>
      </c>
      <c r="F1373" s="2" t="e">
        <f t="shared" si="85"/>
        <v>#VALUE!</v>
      </c>
      <c r="G1373" s="13" t="e">
        <f t="shared" si="86"/>
        <v>#VALUE!</v>
      </c>
      <c r="J1373" t="str">
        <f>MAIN!A1378&amp;"B"</f>
        <v>B</v>
      </c>
      <c r="K1373" s="12" t="e">
        <f t="shared" si="87"/>
        <v>#VALUE!</v>
      </c>
      <c r="L1373" t="str">
        <f>MAIN!C1378</f>
        <v/>
      </c>
    </row>
    <row r="1374" spans="1:12" x14ac:dyDescent="0.3">
      <c r="A1374">
        <f>IF(J1374="0",0,IF(COUNTIF($J$2:J1374,J1374)=1,1,0))</f>
        <v>0</v>
      </c>
      <c r="B1374" s="12" t="e">
        <f>MID(MAIN!A1379,K1374,2)</f>
        <v>#VALUE!</v>
      </c>
      <c r="C1374" s="12" t="e">
        <f t="shared" si="84"/>
        <v>#VALUE!</v>
      </c>
      <c r="D1374" s="12" t="e">
        <f>MID(MAIN!A1379,K1374+2,2)</f>
        <v>#VALUE!</v>
      </c>
      <c r="E1374" s="12" t="e">
        <f>MID(MAIN!A1379,K1374+4,2)</f>
        <v>#VALUE!</v>
      </c>
      <c r="F1374" s="2" t="e">
        <f t="shared" si="85"/>
        <v>#VALUE!</v>
      </c>
      <c r="G1374" s="13" t="e">
        <f t="shared" si="86"/>
        <v>#VALUE!</v>
      </c>
      <c r="J1374" t="str">
        <f>MAIN!A1379&amp;"B"</f>
        <v>B</v>
      </c>
      <c r="K1374" s="12" t="e">
        <f t="shared" si="87"/>
        <v>#VALUE!</v>
      </c>
      <c r="L1374" t="str">
        <f>MAIN!C1379</f>
        <v/>
      </c>
    </row>
    <row r="1375" spans="1:12" x14ac:dyDescent="0.3">
      <c r="A1375">
        <f>IF(J1375="0",0,IF(COUNTIF($J$2:J1375,J1375)=1,1,0))</f>
        <v>0</v>
      </c>
      <c r="B1375" s="12" t="e">
        <f>MID(MAIN!A1380,K1375,2)</f>
        <v>#VALUE!</v>
      </c>
      <c r="C1375" s="12" t="e">
        <f t="shared" si="84"/>
        <v>#VALUE!</v>
      </c>
      <c r="D1375" s="12" t="e">
        <f>MID(MAIN!A1380,K1375+2,2)</f>
        <v>#VALUE!</v>
      </c>
      <c r="E1375" s="12" t="e">
        <f>MID(MAIN!A1380,K1375+4,2)</f>
        <v>#VALUE!</v>
      </c>
      <c r="F1375" s="2" t="e">
        <f t="shared" si="85"/>
        <v>#VALUE!</v>
      </c>
      <c r="G1375" s="13" t="e">
        <f t="shared" si="86"/>
        <v>#VALUE!</v>
      </c>
      <c r="J1375" t="str">
        <f>MAIN!A1380&amp;"B"</f>
        <v>B</v>
      </c>
      <c r="K1375" s="12" t="e">
        <f t="shared" si="87"/>
        <v>#VALUE!</v>
      </c>
      <c r="L1375" t="str">
        <f>MAIN!C1380</f>
        <v/>
      </c>
    </row>
    <row r="1376" spans="1:12" x14ac:dyDescent="0.3">
      <c r="A1376">
        <f>IF(J1376="0",0,IF(COUNTIF($J$2:J1376,J1376)=1,1,0))</f>
        <v>0</v>
      </c>
      <c r="B1376" s="12" t="e">
        <f>MID(MAIN!A1381,K1376,2)</f>
        <v>#VALUE!</v>
      </c>
      <c r="C1376" s="12" t="e">
        <f t="shared" si="84"/>
        <v>#VALUE!</v>
      </c>
      <c r="D1376" s="12" t="e">
        <f>MID(MAIN!A1381,K1376+2,2)</f>
        <v>#VALUE!</v>
      </c>
      <c r="E1376" s="12" t="e">
        <f>MID(MAIN!A1381,K1376+4,2)</f>
        <v>#VALUE!</v>
      </c>
      <c r="F1376" s="2" t="e">
        <f t="shared" si="85"/>
        <v>#VALUE!</v>
      </c>
      <c r="G1376" s="13" t="e">
        <f t="shared" si="86"/>
        <v>#VALUE!</v>
      </c>
      <c r="J1376" t="str">
        <f>MAIN!A1381&amp;"B"</f>
        <v>B</v>
      </c>
      <c r="K1376" s="12" t="e">
        <f t="shared" si="87"/>
        <v>#VALUE!</v>
      </c>
      <c r="L1376" t="str">
        <f>MAIN!C1381</f>
        <v/>
      </c>
    </row>
    <row r="1377" spans="1:12" x14ac:dyDescent="0.3">
      <c r="A1377">
        <f>IF(J1377="0",0,IF(COUNTIF($J$2:J1377,J1377)=1,1,0))</f>
        <v>0</v>
      </c>
      <c r="B1377" s="12" t="e">
        <f>MID(MAIN!A1382,K1377,2)</f>
        <v>#VALUE!</v>
      </c>
      <c r="C1377" s="12" t="e">
        <f t="shared" si="84"/>
        <v>#VALUE!</v>
      </c>
      <c r="D1377" s="12" t="e">
        <f>MID(MAIN!A1382,K1377+2,2)</f>
        <v>#VALUE!</v>
      </c>
      <c r="E1377" s="12" t="e">
        <f>MID(MAIN!A1382,K1377+4,2)</f>
        <v>#VALUE!</v>
      </c>
      <c r="F1377" s="2" t="e">
        <f t="shared" si="85"/>
        <v>#VALUE!</v>
      </c>
      <c r="G1377" s="13" t="e">
        <f t="shared" si="86"/>
        <v>#VALUE!</v>
      </c>
      <c r="J1377" t="str">
        <f>MAIN!A1382&amp;"B"</f>
        <v>B</v>
      </c>
      <c r="K1377" s="12" t="e">
        <f t="shared" si="87"/>
        <v>#VALUE!</v>
      </c>
      <c r="L1377" t="str">
        <f>MAIN!C1382</f>
        <v/>
      </c>
    </row>
    <row r="1378" spans="1:12" x14ac:dyDescent="0.3">
      <c r="A1378">
        <f>IF(J1378="0",0,IF(COUNTIF($J$2:J1378,J1378)=1,1,0))</f>
        <v>0</v>
      </c>
      <c r="B1378" s="12" t="e">
        <f>MID(MAIN!A1383,K1378,2)</f>
        <v>#VALUE!</v>
      </c>
      <c r="C1378" s="12" t="e">
        <f t="shared" si="84"/>
        <v>#VALUE!</v>
      </c>
      <c r="D1378" s="12" t="e">
        <f>MID(MAIN!A1383,K1378+2,2)</f>
        <v>#VALUE!</v>
      </c>
      <c r="E1378" s="12" t="e">
        <f>MID(MAIN!A1383,K1378+4,2)</f>
        <v>#VALUE!</v>
      </c>
      <c r="F1378" s="2" t="e">
        <f t="shared" si="85"/>
        <v>#VALUE!</v>
      </c>
      <c r="G1378" s="13" t="e">
        <f t="shared" si="86"/>
        <v>#VALUE!</v>
      </c>
      <c r="J1378" t="str">
        <f>MAIN!A1383&amp;"B"</f>
        <v>B</v>
      </c>
      <c r="K1378" s="12" t="e">
        <f t="shared" si="87"/>
        <v>#VALUE!</v>
      </c>
      <c r="L1378" t="str">
        <f>MAIN!C1383</f>
        <v/>
      </c>
    </row>
    <row r="1379" spans="1:12" x14ac:dyDescent="0.3">
      <c r="A1379">
        <f>IF(J1379="0",0,IF(COUNTIF($J$2:J1379,J1379)=1,1,0))</f>
        <v>0</v>
      </c>
      <c r="B1379" s="12" t="e">
        <f>MID(MAIN!A1384,K1379,2)</f>
        <v>#VALUE!</v>
      </c>
      <c r="C1379" s="12" t="e">
        <f t="shared" si="84"/>
        <v>#VALUE!</v>
      </c>
      <c r="D1379" s="12" t="e">
        <f>MID(MAIN!A1384,K1379+2,2)</f>
        <v>#VALUE!</v>
      </c>
      <c r="E1379" s="12" t="e">
        <f>MID(MAIN!A1384,K1379+4,2)</f>
        <v>#VALUE!</v>
      </c>
      <c r="F1379" s="2" t="e">
        <f t="shared" si="85"/>
        <v>#VALUE!</v>
      </c>
      <c r="G1379" s="13" t="e">
        <f t="shared" si="86"/>
        <v>#VALUE!</v>
      </c>
      <c r="J1379" t="str">
        <f>MAIN!A1384&amp;"B"</f>
        <v>B</v>
      </c>
      <c r="K1379" s="12" t="e">
        <f t="shared" si="87"/>
        <v>#VALUE!</v>
      </c>
      <c r="L1379" t="str">
        <f>MAIN!C1384</f>
        <v/>
      </c>
    </row>
    <row r="1380" spans="1:12" x14ac:dyDescent="0.3">
      <c r="A1380">
        <f>IF(J1380="0",0,IF(COUNTIF($J$2:J1380,J1380)=1,1,0))</f>
        <v>0</v>
      </c>
      <c r="B1380" s="12" t="e">
        <f>MID(MAIN!A1385,K1380,2)</f>
        <v>#VALUE!</v>
      </c>
      <c r="C1380" s="12" t="e">
        <f t="shared" si="84"/>
        <v>#VALUE!</v>
      </c>
      <c r="D1380" s="12" t="e">
        <f>MID(MAIN!A1385,K1380+2,2)</f>
        <v>#VALUE!</v>
      </c>
      <c r="E1380" s="12" t="e">
        <f>MID(MAIN!A1385,K1380+4,2)</f>
        <v>#VALUE!</v>
      </c>
      <c r="F1380" s="2" t="e">
        <f t="shared" si="85"/>
        <v>#VALUE!</v>
      </c>
      <c r="G1380" s="13" t="e">
        <f t="shared" si="86"/>
        <v>#VALUE!</v>
      </c>
      <c r="J1380" t="str">
        <f>MAIN!A1385&amp;"B"</f>
        <v>B</v>
      </c>
      <c r="K1380" s="12" t="e">
        <f t="shared" si="87"/>
        <v>#VALUE!</v>
      </c>
      <c r="L1380" t="str">
        <f>MAIN!C1385</f>
        <v/>
      </c>
    </row>
    <row r="1381" spans="1:12" x14ac:dyDescent="0.3">
      <c r="A1381">
        <f>IF(J1381="0",0,IF(COUNTIF($J$2:J1381,J1381)=1,1,0))</f>
        <v>0</v>
      </c>
      <c r="B1381" s="12" t="e">
        <f>MID(MAIN!A1386,K1381,2)</f>
        <v>#VALUE!</v>
      </c>
      <c r="C1381" s="12" t="e">
        <f t="shared" si="84"/>
        <v>#VALUE!</v>
      </c>
      <c r="D1381" s="12" t="e">
        <f>MID(MAIN!A1386,K1381+2,2)</f>
        <v>#VALUE!</v>
      </c>
      <c r="E1381" s="12" t="e">
        <f>MID(MAIN!A1386,K1381+4,2)</f>
        <v>#VALUE!</v>
      </c>
      <c r="F1381" s="2" t="e">
        <f t="shared" si="85"/>
        <v>#VALUE!</v>
      </c>
      <c r="G1381" s="13" t="e">
        <f t="shared" si="86"/>
        <v>#VALUE!</v>
      </c>
      <c r="J1381" t="str">
        <f>MAIN!A1386&amp;"B"</f>
        <v>B</v>
      </c>
      <c r="K1381" s="12" t="e">
        <f t="shared" si="87"/>
        <v>#VALUE!</v>
      </c>
      <c r="L1381" t="str">
        <f>MAIN!C1386</f>
        <v/>
      </c>
    </row>
    <row r="1382" spans="1:12" x14ac:dyDescent="0.3">
      <c r="A1382">
        <f>IF(J1382="0",0,IF(COUNTIF($J$2:J1382,J1382)=1,1,0))</f>
        <v>0</v>
      </c>
      <c r="B1382" s="12" t="e">
        <f>MID(MAIN!A1387,K1382,2)</f>
        <v>#VALUE!</v>
      </c>
      <c r="C1382" s="12" t="e">
        <f t="shared" si="84"/>
        <v>#VALUE!</v>
      </c>
      <c r="D1382" s="12" t="e">
        <f>MID(MAIN!A1387,K1382+2,2)</f>
        <v>#VALUE!</v>
      </c>
      <c r="E1382" s="12" t="e">
        <f>MID(MAIN!A1387,K1382+4,2)</f>
        <v>#VALUE!</v>
      </c>
      <c r="F1382" s="2" t="e">
        <f t="shared" si="85"/>
        <v>#VALUE!</v>
      </c>
      <c r="G1382" s="13" t="e">
        <f t="shared" si="86"/>
        <v>#VALUE!</v>
      </c>
      <c r="J1382" t="str">
        <f>MAIN!A1387&amp;"B"</f>
        <v>B</v>
      </c>
      <c r="K1382" s="12" t="e">
        <f t="shared" si="87"/>
        <v>#VALUE!</v>
      </c>
      <c r="L1382" t="str">
        <f>MAIN!C1387</f>
        <v/>
      </c>
    </row>
    <row r="1383" spans="1:12" x14ac:dyDescent="0.3">
      <c r="A1383">
        <f>IF(J1383="0",0,IF(COUNTIF($J$2:J1383,J1383)=1,1,0))</f>
        <v>0</v>
      </c>
      <c r="B1383" s="12" t="e">
        <f>MID(MAIN!A1388,K1383,2)</f>
        <v>#VALUE!</v>
      </c>
      <c r="C1383" s="12" t="e">
        <f t="shared" si="84"/>
        <v>#VALUE!</v>
      </c>
      <c r="D1383" s="12" t="e">
        <f>MID(MAIN!A1388,K1383+2,2)</f>
        <v>#VALUE!</v>
      </c>
      <c r="E1383" s="12" t="e">
        <f>MID(MAIN!A1388,K1383+4,2)</f>
        <v>#VALUE!</v>
      </c>
      <c r="F1383" s="2" t="e">
        <f t="shared" si="85"/>
        <v>#VALUE!</v>
      </c>
      <c r="G1383" s="13" t="e">
        <f t="shared" si="86"/>
        <v>#VALUE!</v>
      </c>
      <c r="J1383" t="str">
        <f>MAIN!A1388&amp;"B"</f>
        <v>B</v>
      </c>
      <c r="K1383" s="12" t="e">
        <f t="shared" si="87"/>
        <v>#VALUE!</v>
      </c>
      <c r="L1383" t="str">
        <f>MAIN!C1388</f>
        <v/>
      </c>
    </row>
    <row r="1384" spans="1:12" x14ac:dyDescent="0.3">
      <c r="A1384">
        <f>IF(J1384="0",0,IF(COUNTIF($J$2:J1384,J1384)=1,1,0))</f>
        <v>0</v>
      </c>
      <c r="B1384" s="12" t="e">
        <f>MID(MAIN!A1389,K1384,2)</f>
        <v>#VALUE!</v>
      </c>
      <c r="C1384" s="12" t="e">
        <f t="shared" si="84"/>
        <v>#VALUE!</v>
      </c>
      <c r="D1384" s="12" t="e">
        <f>MID(MAIN!A1389,K1384+2,2)</f>
        <v>#VALUE!</v>
      </c>
      <c r="E1384" s="12" t="e">
        <f>MID(MAIN!A1389,K1384+4,2)</f>
        <v>#VALUE!</v>
      </c>
      <c r="F1384" s="2" t="e">
        <f t="shared" si="85"/>
        <v>#VALUE!</v>
      </c>
      <c r="G1384" s="13" t="e">
        <f t="shared" si="86"/>
        <v>#VALUE!</v>
      </c>
      <c r="J1384" t="str">
        <f>MAIN!A1389&amp;"B"</f>
        <v>B</v>
      </c>
      <c r="K1384" s="12" t="e">
        <f t="shared" si="87"/>
        <v>#VALUE!</v>
      </c>
      <c r="L1384" t="str">
        <f>MAIN!C1389</f>
        <v/>
      </c>
    </row>
    <row r="1385" spans="1:12" x14ac:dyDescent="0.3">
      <c r="A1385">
        <f>IF(J1385="0",0,IF(COUNTIF($J$2:J1385,J1385)=1,1,0))</f>
        <v>0</v>
      </c>
      <c r="B1385" s="12" t="e">
        <f>MID(MAIN!A1390,K1385,2)</f>
        <v>#VALUE!</v>
      </c>
      <c r="C1385" s="12" t="e">
        <f t="shared" si="84"/>
        <v>#VALUE!</v>
      </c>
      <c r="D1385" s="12" t="e">
        <f>MID(MAIN!A1390,K1385+2,2)</f>
        <v>#VALUE!</v>
      </c>
      <c r="E1385" s="12" t="e">
        <f>MID(MAIN!A1390,K1385+4,2)</f>
        <v>#VALUE!</v>
      </c>
      <c r="F1385" s="2" t="e">
        <f t="shared" si="85"/>
        <v>#VALUE!</v>
      </c>
      <c r="G1385" s="13" t="e">
        <f t="shared" si="86"/>
        <v>#VALUE!</v>
      </c>
      <c r="J1385" t="str">
        <f>MAIN!A1390&amp;"B"</f>
        <v>B</v>
      </c>
      <c r="K1385" s="12" t="e">
        <f t="shared" si="87"/>
        <v>#VALUE!</v>
      </c>
      <c r="L1385" t="str">
        <f>MAIN!C1390</f>
        <v/>
      </c>
    </row>
    <row r="1386" spans="1:12" x14ac:dyDescent="0.3">
      <c r="A1386">
        <f>IF(J1386="0",0,IF(COUNTIF($J$2:J1386,J1386)=1,1,0))</f>
        <v>0</v>
      </c>
      <c r="B1386" s="12" t="e">
        <f>MID(MAIN!A1391,K1386,2)</f>
        <v>#VALUE!</v>
      </c>
      <c r="C1386" s="12" t="e">
        <f t="shared" si="84"/>
        <v>#VALUE!</v>
      </c>
      <c r="D1386" s="12" t="e">
        <f>MID(MAIN!A1391,K1386+2,2)</f>
        <v>#VALUE!</v>
      </c>
      <c r="E1386" s="12" t="e">
        <f>MID(MAIN!A1391,K1386+4,2)</f>
        <v>#VALUE!</v>
      </c>
      <c r="F1386" s="2" t="e">
        <f t="shared" si="85"/>
        <v>#VALUE!</v>
      </c>
      <c r="G1386" s="13" t="e">
        <f t="shared" si="86"/>
        <v>#VALUE!</v>
      </c>
      <c r="J1386" t="str">
        <f>MAIN!A1391&amp;"B"</f>
        <v>B</v>
      </c>
      <c r="K1386" s="12" t="e">
        <f t="shared" si="87"/>
        <v>#VALUE!</v>
      </c>
      <c r="L1386" t="str">
        <f>MAIN!C1391</f>
        <v/>
      </c>
    </row>
    <row r="1387" spans="1:12" x14ac:dyDescent="0.3">
      <c r="A1387">
        <f>IF(J1387="0",0,IF(COUNTIF($J$2:J1387,J1387)=1,1,0))</f>
        <v>0</v>
      </c>
      <c r="B1387" s="12" t="e">
        <f>MID(MAIN!A1392,K1387,2)</f>
        <v>#VALUE!</v>
      </c>
      <c r="C1387" s="12" t="e">
        <f t="shared" si="84"/>
        <v>#VALUE!</v>
      </c>
      <c r="D1387" s="12" t="e">
        <f>MID(MAIN!A1392,K1387+2,2)</f>
        <v>#VALUE!</v>
      </c>
      <c r="E1387" s="12" t="e">
        <f>MID(MAIN!A1392,K1387+4,2)</f>
        <v>#VALUE!</v>
      </c>
      <c r="F1387" s="2" t="e">
        <f t="shared" si="85"/>
        <v>#VALUE!</v>
      </c>
      <c r="G1387" s="13" t="e">
        <f t="shared" si="86"/>
        <v>#VALUE!</v>
      </c>
      <c r="J1387" t="str">
        <f>MAIN!A1392&amp;"B"</f>
        <v>B</v>
      </c>
      <c r="K1387" s="12" t="e">
        <f t="shared" si="87"/>
        <v>#VALUE!</v>
      </c>
      <c r="L1387" t="str">
        <f>MAIN!C1392</f>
        <v/>
      </c>
    </row>
    <row r="1388" spans="1:12" x14ac:dyDescent="0.3">
      <c r="A1388">
        <f>IF(J1388="0",0,IF(COUNTIF($J$2:J1388,J1388)=1,1,0))</f>
        <v>0</v>
      </c>
      <c r="B1388" s="12" t="e">
        <f>MID(MAIN!A1393,K1388,2)</f>
        <v>#VALUE!</v>
      </c>
      <c r="C1388" s="12" t="e">
        <f t="shared" si="84"/>
        <v>#VALUE!</v>
      </c>
      <c r="D1388" s="12" t="e">
        <f>MID(MAIN!A1393,K1388+2,2)</f>
        <v>#VALUE!</v>
      </c>
      <c r="E1388" s="12" t="e">
        <f>MID(MAIN!A1393,K1388+4,2)</f>
        <v>#VALUE!</v>
      </c>
      <c r="F1388" s="2" t="e">
        <f t="shared" si="85"/>
        <v>#VALUE!</v>
      </c>
      <c r="G1388" s="13" t="e">
        <f t="shared" si="86"/>
        <v>#VALUE!</v>
      </c>
      <c r="J1388" t="str">
        <f>MAIN!A1393&amp;"B"</f>
        <v>B</v>
      </c>
      <c r="K1388" s="12" t="e">
        <f t="shared" si="87"/>
        <v>#VALUE!</v>
      </c>
      <c r="L1388" t="str">
        <f>MAIN!C1393</f>
        <v/>
      </c>
    </row>
    <row r="1389" spans="1:12" x14ac:dyDescent="0.3">
      <c r="A1389">
        <f>IF(J1389="0",0,IF(COUNTIF($J$2:J1389,J1389)=1,1,0))</f>
        <v>0</v>
      </c>
      <c r="B1389" s="12" t="e">
        <f>MID(MAIN!A1394,K1389,2)</f>
        <v>#VALUE!</v>
      </c>
      <c r="C1389" s="12" t="e">
        <f t="shared" si="84"/>
        <v>#VALUE!</v>
      </c>
      <c r="D1389" s="12" t="e">
        <f>MID(MAIN!A1394,K1389+2,2)</f>
        <v>#VALUE!</v>
      </c>
      <c r="E1389" s="12" t="e">
        <f>MID(MAIN!A1394,K1389+4,2)</f>
        <v>#VALUE!</v>
      </c>
      <c r="F1389" s="2" t="e">
        <f t="shared" si="85"/>
        <v>#VALUE!</v>
      </c>
      <c r="G1389" s="13" t="e">
        <f t="shared" si="86"/>
        <v>#VALUE!</v>
      </c>
      <c r="J1389" t="str">
        <f>MAIN!A1394&amp;"B"</f>
        <v>B</v>
      </c>
      <c r="K1389" s="12" t="e">
        <f t="shared" si="87"/>
        <v>#VALUE!</v>
      </c>
      <c r="L1389" t="str">
        <f>MAIN!C1394</f>
        <v/>
      </c>
    </row>
    <row r="1390" spans="1:12" x14ac:dyDescent="0.3">
      <c r="A1390">
        <f>IF(J1390="0",0,IF(COUNTIF($J$2:J1390,J1390)=1,1,0))</f>
        <v>0</v>
      </c>
      <c r="B1390" s="12" t="e">
        <f>MID(MAIN!A1395,K1390,2)</f>
        <v>#VALUE!</v>
      </c>
      <c r="C1390" s="12" t="e">
        <f t="shared" si="84"/>
        <v>#VALUE!</v>
      </c>
      <c r="D1390" s="12" t="e">
        <f>MID(MAIN!A1395,K1390+2,2)</f>
        <v>#VALUE!</v>
      </c>
      <c r="E1390" s="12" t="e">
        <f>MID(MAIN!A1395,K1390+4,2)</f>
        <v>#VALUE!</v>
      </c>
      <c r="F1390" s="2" t="e">
        <f t="shared" si="85"/>
        <v>#VALUE!</v>
      </c>
      <c r="G1390" s="13" t="e">
        <f t="shared" si="86"/>
        <v>#VALUE!</v>
      </c>
      <c r="J1390" t="str">
        <f>MAIN!A1395&amp;"B"</f>
        <v>B</v>
      </c>
      <c r="K1390" s="12" t="e">
        <f t="shared" si="87"/>
        <v>#VALUE!</v>
      </c>
      <c r="L1390" t="str">
        <f>MAIN!C1395</f>
        <v/>
      </c>
    </row>
    <row r="1391" spans="1:12" x14ac:dyDescent="0.3">
      <c r="A1391">
        <f>IF(J1391="0",0,IF(COUNTIF($J$2:J1391,J1391)=1,1,0))</f>
        <v>0</v>
      </c>
      <c r="B1391" s="12" t="e">
        <f>MID(MAIN!A1396,K1391,2)</f>
        <v>#VALUE!</v>
      </c>
      <c r="C1391" s="12" t="e">
        <f t="shared" si="84"/>
        <v>#VALUE!</v>
      </c>
      <c r="D1391" s="12" t="e">
        <f>MID(MAIN!A1396,K1391+2,2)</f>
        <v>#VALUE!</v>
      </c>
      <c r="E1391" s="12" t="e">
        <f>MID(MAIN!A1396,K1391+4,2)</f>
        <v>#VALUE!</v>
      </c>
      <c r="F1391" s="2" t="e">
        <f t="shared" si="85"/>
        <v>#VALUE!</v>
      </c>
      <c r="G1391" s="13" t="e">
        <f t="shared" si="86"/>
        <v>#VALUE!</v>
      </c>
      <c r="J1391" t="str">
        <f>MAIN!A1396&amp;"B"</f>
        <v>B</v>
      </c>
      <c r="K1391" s="12" t="e">
        <f t="shared" si="87"/>
        <v>#VALUE!</v>
      </c>
      <c r="L1391" t="str">
        <f>MAIN!C1396</f>
        <v/>
      </c>
    </row>
    <row r="1392" spans="1:12" x14ac:dyDescent="0.3">
      <c r="A1392">
        <f>IF(J1392="0",0,IF(COUNTIF($J$2:J1392,J1392)=1,1,0))</f>
        <v>0</v>
      </c>
      <c r="B1392" s="12" t="e">
        <f>MID(MAIN!A1397,K1392,2)</f>
        <v>#VALUE!</v>
      </c>
      <c r="C1392" s="12" t="e">
        <f t="shared" si="84"/>
        <v>#VALUE!</v>
      </c>
      <c r="D1392" s="12" t="e">
        <f>MID(MAIN!A1397,K1392+2,2)</f>
        <v>#VALUE!</v>
      </c>
      <c r="E1392" s="12" t="e">
        <f>MID(MAIN!A1397,K1392+4,2)</f>
        <v>#VALUE!</v>
      </c>
      <c r="F1392" s="2" t="e">
        <f t="shared" si="85"/>
        <v>#VALUE!</v>
      </c>
      <c r="G1392" s="13" t="e">
        <f t="shared" si="86"/>
        <v>#VALUE!</v>
      </c>
      <c r="J1392" t="str">
        <f>MAIN!A1397&amp;"B"</f>
        <v>B</v>
      </c>
      <c r="K1392" s="12" t="e">
        <f t="shared" si="87"/>
        <v>#VALUE!</v>
      </c>
      <c r="L1392" t="str">
        <f>MAIN!C1397</f>
        <v/>
      </c>
    </row>
    <row r="1393" spans="1:12" x14ac:dyDescent="0.3">
      <c r="A1393">
        <f>IF(J1393="0",0,IF(COUNTIF($J$2:J1393,J1393)=1,1,0))</f>
        <v>0</v>
      </c>
      <c r="B1393" s="12" t="e">
        <f>MID(MAIN!A1398,K1393,2)</f>
        <v>#VALUE!</v>
      </c>
      <c r="C1393" s="12" t="e">
        <f t="shared" si="84"/>
        <v>#VALUE!</v>
      </c>
      <c r="D1393" s="12" t="e">
        <f>MID(MAIN!A1398,K1393+2,2)</f>
        <v>#VALUE!</v>
      </c>
      <c r="E1393" s="12" t="e">
        <f>MID(MAIN!A1398,K1393+4,2)</f>
        <v>#VALUE!</v>
      </c>
      <c r="F1393" s="2" t="e">
        <f t="shared" si="85"/>
        <v>#VALUE!</v>
      </c>
      <c r="G1393" s="13" t="e">
        <f t="shared" si="86"/>
        <v>#VALUE!</v>
      </c>
      <c r="J1393" t="str">
        <f>MAIN!A1398&amp;"B"</f>
        <v>B</v>
      </c>
      <c r="K1393" s="12" t="e">
        <f t="shared" si="87"/>
        <v>#VALUE!</v>
      </c>
      <c r="L1393" t="str">
        <f>MAIN!C1398</f>
        <v/>
      </c>
    </row>
    <row r="1394" spans="1:12" x14ac:dyDescent="0.3">
      <c r="A1394">
        <f>IF(J1394="0",0,IF(COUNTIF($J$2:J1394,J1394)=1,1,0))</f>
        <v>0</v>
      </c>
      <c r="B1394" s="12" t="e">
        <f>MID(MAIN!A1399,K1394,2)</f>
        <v>#VALUE!</v>
      </c>
      <c r="C1394" s="12" t="e">
        <f t="shared" si="84"/>
        <v>#VALUE!</v>
      </c>
      <c r="D1394" s="12" t="e">
        <f>MID(MAIN!A1399,K1394+2,2)</f>
        <v>#VALUE!</v>
      </c>
      <c r="E1394" s="12" t="e">
        <f>MID(MAIN!A1399,K1394+4,2)</f>
        <v>#VALUE!</v>
      </c>
      <c r="F1394" s="2" t="e">
        <f t="shared" si="85"/>
        <v>#VALUE!</v>
      </c>
      <c r="G1394" s="13" t="e">
        <f t="shared" si="86"/>
        <v>#VALUE!</v>
      </c>
      <c r="J1394" t="str">
        <f>MAIN!A1399&amp;"B"</f>
        <v>B</v>
      </c>
      <c r="K1394" s="12" t="e">
        <f t="shared" si="87"/>
        <v>#VALUE!</v>
      </c>
      <c r="L1394" t="str">
        <f>MAIN!C1399</f>
        <v/>
      </c>
    </row>
    <row r="1395" spans="1:12" x14ac:dyDescent="0.3">
      <c r="A1395">
        <f>IF(J1395="0",0,IF(COUNTIF($J$2:J1395,J1395)=1,1,0))</f>
        <v>0</v>
      </c>
      <c r="B1395" s="12" t="e">
        <f>MID(MAIN!A1400,K1395,2)</f>
        <v>#VALUE!</v>
      </c>
      <c r="C1395" s="12" t="e">
        <f t="shared" si="84"/>
        <v>#VALUE!</v>
      </c>
      <c r="D1395" s="12" t="e">
        <f>MID(MAIN!A1400,K1395+2,2)</f>
        <v>#VALUE!</v>
      </c>
      <c r="E1395" s="12" t="e">
        <f>MID(MAIN!A1400,K1395+4,2)</f>
        <v>#VALUE!</v>
      </c>
      <c r="F1395" s="2" t="e">
        <f t="shared" si="85"/>
        <v>#VALUE!</v>
      </c>
      <c r="G1395" s="13" t="e">
        <f t="shared" si="86"/>
        <v>#VALUE!</v>
      </c>
      <c r="J1395" t="str">
        <f>MAIN!A1400&amp;"B"</f>
        <v>B</v>
      </c>
      <c r="K1395" s="12" t="e">
        <f t="shared" si="87"/>
        <v>#VALUE!</v>
      </c>
      <c r="L1395" t="str">
        <f>MAIN!C1400</f>
        <v/>
      </c>
    </row>
    <row r="1396" spans="1:12" x14ac:dyDescent="0.3">
      <c r="A1396">
        <f>IF(J1396="0",0,IF(COUNTIF($J$2:J1396,J1396)=1,1,0))</f>
        <v>0</v>
      </c>
      <c r="B1396" s="12" t="e">
        <f>MID(MAIN!A1401,K1396,2)</f>
        <v>#VALUE!</v>
      </c>
      <c r="C1396" s="12" t="e">
        <f t="shared" si="84"/>
        <v>#VALUE!</v>
      </c>
      <c r="D1396" s="12" t="e">
        <f>MID(MAIN!A1401,K1396+2,2)</f>
        <v>#VALUE!</v>
      </c>
      <c r="E1396" s="12" t="e">
        <f>MID(MAIN!A1401,K1396+4,2)</f>
        <v>#VALUE!</v>
      </c>
      <c r="F1396" s="2" t="e">
        <f t="shared" si="85"/>
        <v>#VALUE!</v>
      </c>
      <c r="G1396" s="13" t="e">
        <f t="shared" si="86"/>
        <v>#VALUE!</v>
      </c>
      <c r="J1396" t="str">
        <f>MAIN!A1401&amp;"B"</f>
        <v>B</v>
      </c>
      <c r="K1396" s="12" t="e">
        <f t="shared" si="87"/>
        <v>#VALUE!</v>
      </c>
      <c r="L1396" t="str">
        <f>MAIN!C1401</f>
        <v/>
      </c>
    </row>
    <row r="1397" spans="1:12" x14ac:dyDescent="0.3">
      <c r="A1397">
        <f>IF(J1397="0",0,IF(COUNTIF($J$2:J1397,J1397)=1,1,0))</f>
        <v>0</v>
      </c>
      <c r="B1397" s="12" t="e">
        <f>MID(MAIN!A1402,K1397,2)</f>
        <v>#VALUE!</v>
      </c>
      <c r="C1397" s="12" t="e">
        <f t="shared" si="84"/>
        <v>#VALUE!</v>
      </c>
      <c r="D1397" s="12" t="e">
        <f>MID(MAIN!A1402,K1397+2,2)</f>
        <v>#VALUE!</v>
      </c>
      <c r="E1397" s="12" t="e">
        <f>MID(MAIN!A1402,K1397+4,2)</f>
        <v>#VALUE!</v>
      </c>
      <c r="F1397" s="2" t="e">
        <f t="shared" si="85"/>
        <v>#VALUE!</v>
      </c>
      <c r="G1397" s="13" t="e">
        <f t="shared" si="86"/>
        <v>#VALUE!</v>
      </c>
      <c r="J1397" t="str">
        <f>MAIN!A1402&amp;"B"</f>
        <v>B</v>
      </c>
      <c r="K1397" s="12" t="e">
        <f t="shared" si="87"/>
        <v>#VALUE!</v>
      </c>
      <c r="L1397" t="str">
        <f>MAIN!C1402</f>
        <v/>
      </c>
    </row>
    <row r="1398" spans="1:12" x14ac:dyDescent="0.3">
      <c r="A1398">
        <f>IF(J1398="0",0,IF(COUNTIF($J$2:J1398,J1398)=1,1,0))</f>
        <v>0</v>
      </c>
      <c r="B1398" s="12" t="e">
        <f>MID(MAIN!A1403,K1398,2)</f>
        <v>#VALUE!</v>
      </c>
      <c r="C1398" s="12" t="e">
        <f t="shared" si="84"/>
        <v>#VALUE!</v>
      </c>
      <c r="D1398" s="12" t="e">
        <f>MID(MAIN!A1403,K1398+2,2)</f>
        <v>#VALUE!</v>
      </c>
      <c r="E1398" s="12" t="e">
        <f>MID(MAIN!A1403,K1398+4,2)</f>
        <v>#VALUE!</v>
      </c>
      <c r="F1398" s="2" t="e">
        <f t="shared" si="85"/>
        <v>#VALUE!</v>
      </c>
      <c r="G1398" s="13" t="e">
        <f t="shared" si="86"/>
        <v>#VALUE!</v>
      </c>
      <c r="J1398" t="str">
        <f>MAIN!A1403&amp;"B"</f>
        <v>B</v>
      </c>
      <c r="K1398" s="12" t="e">
        <f t="shared" si="87"/>
        <v>#VALUE!</v>
      </c>
      <c r="L1398" t="str">
        <f>MAIN!C1403</f>
        <v/>
      </c>
    </row>
    <row r="1399" spans="1:12" x14ac:dyDescent="0.3">
      <c r="A1399">
        <f>IF(J1399="0",0,IF(COUNTIF($J$2:J1399,J1399)=1,1,0))</f>
        <v>0</v>
      </c>
      <c r="B1399" s="12" t="e">
        <f>MID(MAIN!A1404,K1399,2)</f>
        <v>#VALUE!</v>
      </c>
      <c r="C1399" s="12" t="e">
        <f t="shared" si="84"/>
        <v>#VALUE!</v>
      </c>
      <c r="D1399" s="12" t="e">
        <f>MID(MAIN!A1404,K1399+2,2)</f>
        <v>#VALUE!</v>
      </c>
      <c r="E1399" s="12" t="e">
        <f>MID(MAIN!A1404,K1399+4,2)</f>
        <v>#VALUE!</v>
      </c>
      <c r="F1399" s="2" t="e">
        <f t="shared" si="85"/>
        <v>#VALUE!</v>
      </c>
      <c r="G1399" s="13" t="e">
        <f t="shared" si="86"/>
        <v>#VALUE!</v>
      </c>
      <c r="J1399" t="str">
        <f>MAIN!A1404&amp;"B"</f>
        <v>B</v>
      </c>
      <c r="K1399" s="12" t="e">
        <f t="shared" si="87"/>
        <v>#VALUE!</v>
      </c>
      <c r="L1399" t="str">
        <f>MAIN!C1404</f>
        <v/>
      </c>
    </row>
    <row r="1400" spans="1:12" x14ac:dyDescent="0.3">
      <c r="A1400">
        <f>IF(J1400="0",0,IF(COUNTIF($J$2:J1400,J1400)=1,1,0))</f>
        <v>0</v>
      </c>
      <c r="B1400" s="12" t="e">
        <f>MID(MAIN!A1405,K1400,2)</f>
        <v>#VALUE!</v>
      </c>
      <c r="C1400" s="12" t="e">
        <f t="shared" si="84"/>
        <v>#VALUE!</v>
      </c>
      <c r="D1400" s="12" t="e">
        <f>MID(MAIN!A1405,K1400+2,2)</f>
        <v>#VALUE!</v>
      </c>
      <c r="E1400" s="12" t="e">
        <f>MID(MAIN!A1405,K1400+4,2)</f>
        <v>#VALUE!</v>
      </c>
      <c r="F1400" s="2" t="e">
        <f t="shared" si="85"/>
        <v>#VALUE!</v>
      </c>
      <c r="G1400" s="13" t="e">
        <f t="shared" si="86"/>
        <v>#VALUE!</v>
      </c>
      <c r="J1400" t="str">
        <f>MAIN!A1405&amp;"B"</f>
        <v>B</v>
      </c>
      <c r="K1400" s="12" t="e">
        <f t="shared" si="87"/>
        <v>#VALUE!</v>
      </c>
      <c r="L1400" t="str">
        <f>MAIN!C1405</f>
        <v/>
      </c>
    </row>
    <row r="1401" spans="1:12" x14ac:dyDescent="0.3">
      <c r="A1401">
        <f>IF(J1401="0",0,IF(COUNTIF($J$2:J1401,J1401)=1,1,0))</f>
        <v>0</v>
      </c>
      <c r="B1401" s="12" t="e">
        <f>MID(MAIN!A1406,K1401,2)</f>
        <v>#VALUE!</v>
      </c>
      <c r="C1401" s="12" t="e">
        <f t="shared" si="84"/>
        <v>#VALUE!</v>
      </c>
      <c r="D1401" s="12" t="e">
        <f>MID(MAIN!A1406,K1401+2,2)</f>
        <v>#VALUE!</v>
      </c>
      <c r="E1401" s="12" t="e">
        <f>MID(MAIN!A1406,K1401+4,2)</f>
        <v>#VALUE!</v>
      </c>
      <c r="F1401" s="2" t="e">
        <f t="shared" si="85"/>
        <v>#VALUE!</v>
      </c>
      <c r="G1401" s="13" t="e">
        <f t="shared" si="86"/>
        <v>#VALUE!</v>
      </c>
      <c r="J1401" t="str">
        <f>MAIN!A1406&amp;"B"</f>
        <v>B</v>
      </c>
      <c r="K1401" s="12" t="e">
        <f t="shared" si="87"/>
        <v>#VALUE!</v>
      </c>
      <c r="L1401" t="str">
        <f>MAIN!C1406</f>
        <v/>
      </c>
    </row>
    <row r="1402" spans="1:12" x14ac:dyDescent="0.3">
      <c r="A1402">
        <f>IF(J1402="0",0,IF(COUNTIF($J$2:J1402,J1402)=1,1,0))</f>
        <v>0</v>
      </c>
      <c r="B1402" s="12" t="e">
        <f>MID(MAIN!A1407,K1402,2)</f>
        <v>#VALUE!</v>
      </c>
      <c r="C1402" s="12" t="e">
        <f t="shared" si="84"/>
        <v>#VALUE!</v>
      </c>
      <c r="D1402" s="12" t="e">
        <f>MID(MAIN!A1407,K1402+2,2)</f>
        <v>#VALUE!</v>
      </c>
      <c r="E1402" s="12" t="e">
        <f>MID(MAIN!A1407,K1402+4,2)</f>
        <v>#VALUE!</v>
      </c>
      <c r="F1402" s="2" t="e">
        <f t="shared" si="85"/>
        <v>#VALUE!</v>
      </c>
      <c r="G1402" s="13" t="e">
        <f t="shared" si="86"/>
        <v>#VALUE!</v>
      </c>
      <c r="J1402" t="str">
        <f>MAIN!A1407&amp;"B"</f>
        <v>B</v>
      </c>
      <c r="K1402" s="12" t="e">
        <f t="shared" si="87"/>
        <v>#VALUE!</v>
      </c>
      <c r="L1402" t="str">
        <f>MAIN!C1407</f>
        <v/>
      </c>
    </row>
    <row r="1403" spans="1:12" x14ac:dyDescent="0.3">
      <c r="A1403">
        <f>IF(J1403="0",0,IF(COUNTIF($J$2:J1403,J1403)=1,1,0))</f>
        <v>0</v>
      </c>
      <c r="B1403" s="12" t="e">
        <f>MID(MAIN!A1408,K1403,2)</f>
        <v>#VALUE!</v>
      </c>
      <c r="C1403" s="12" t="e">
        <f t="shared" si="84"/>
        <v>#VALUE!</v>
      </c>
      <c r="D1403" s="12" t="e">
        <f>MID(MAIN!A1408,K1403+2,2)</f>
        <v>#VALUE!</v>
      </c>
      <c r="E1403" s="12" t="e">
        <f>MID(MAIN!A1408,K1403+4,2)</f>
        <v>#VALUE!</v>
      </c>
      <c r="F1403" s="2" t="e">
        <f t="shared" si="85"/>
        <v>#VALUE!</v>
      </c>
      <c r="G1403" s="13" t="e">
        <f t="shared" si="86"/>
        <v>#VALUE!</v>
      </c>
      <c r="J1403" t="str">
        <f>MAIN!A1408&amp;"B"</f>
        <v>B</v>
      </c>
      <c r="K1403" s="12" t="e">
        <f t="shared" si="87"/>
        <v>#VALUE!</v>
      </c>
      <c r="L1403" t="str">
        <f>MAIN!C1408</f>
        <v/>
      </c>
    </row>
    <row r="1404" spans="1:12" x14ac:dyDescent="0.3">
      <c r="A1404">
        <f>IF(J1404="0",0,IF(COUNTIF($J$2:J1404,J1404)=1,1,0))</f>
        <v>0</v>
      </c>
      <c r="B1404" s="12" t="e">
        <f>MID(MAIN!A1409,K1404,2)</f>
        <v>#VALUE!</v>
      </c>
      <c r="C1404" s="12" t="e">
        <f t="shared" si="84"/>
        <v>#VALUE!</v>
      </c>
      <c r="D1404" s="12" t="e">
        <f>MID(MAIN!A1409,K1404+2,2)</f>
        <v>#VALUE!</v>
      </c>
      <c r="E1404" s="12" t="e">
        <f>MID(MAIN!A1409,K1404+4,2)</f>
        <v>#VALUE!</v>
      </c>
      <c r="F1404" s="2" t="e">
        <f t="shared" si="85"/>
        <v>#VALUE!</v>
      </c>
      <c r="G1404" s="13" t="e">
        <f t="shared" si="86"/>
        <v>#VALUE!</v>
      </c>
      <c r="J1404" t="str">
        <f>MAIN!A1409&amp;"B"</f>
        <v>B</v>
      </c>
      <c r="K1404" s="12" t="e">
        <f t="shared" si="87"/>
        <v>#VALUE!</v>
      </c>
      <c r="L1404" t="str">
        <f>MAIN!C1409</f>
        <v/>
      </c>
    </row>
    <row r="1405" spans="1:12" x14ac:dyDescent="0.3">
      <c r="A1405">
        <f>IF(J1405="0",0,IF(COUNTIF($J$2:J1405,J1405)=1,1,0))</f>
        <v>0</v>
      </c>
      <c r="B1405" s="12" t="e">
        <f>MID(MAIN!A1410,K1405,2)</f>
        <v>#VALUE!</v>
      </c>
      <c r="C1405" s="12" t="e">
        <f t="shared" si="84"/>
        <v>#VALUE!</v>
      </c>
      <c r="D1405" s="12" t="e">
        <f>MID(MAIN!A1410,K1405+2,2)</f>
        <v>#VALUE!</v>
      </c>
      <c r="E1405" s="12" t="e">
        <f>MID(MAIN!A1410,K1405+4,2)</f>
        <v>#VALUE!</v>
      </c>
      <c r="F1405" s="2" t="e">
        <f t="shared" si="85"/>
        <v>#VALUE!</v>
      </c>
      <c r="G1405" s="13" t="e">
        <f t="shared" si="86"/>
        <v>#VALUE!</v>
      </c>
      <c r="J1405" t="str">
        <f>MAIN!A1410&amp;"B"</f>
        <v>B</v>
      </c>
      <c r="K1405" s="12" t="e">
        <f t="shared" si="87"/>
        <v>#VALUE!</v>
      </c>
      <c r="L1405" t="str">
        <f>MAIN!C1410</f>
        <v/>
      </c>
    </row>
    <row r="1406" spans="1:12" x14ac:dyDescent="0.3">
      <c r="A1406">
        <f>IF(J1406="0",0,IF(COUNTIF($J$2:J1406,J1406)=1,1,0))</f>
        <v>0</v>
      </c>
      <c r="B1406" s="12" t="e">
        <f>MID(MAIN!A1411,K1406,2)</f>
        <v>#VALUE!</v>
      </c>
      <c r="C1406" s="12" t="e">
        <f t="shared" si="84"/>
        <v>#VALUE!</v>
      </c>
      <c r="D1406" s="12" t="e">
        <f>MID(MAIN!A1411,K1406+2,2)</f>
        <v>#VALUE!</v>
      </c>
      <c r="E1406" s="12" t="e">
        <f>MID(MAIN!A1411,K1406+4,2)</f>
        <v>#VALUE!</v>
      </c>
      <c r="F1406" s="2" t="e">
        <f t="shared" si="85"/>
        <v>#VALUE!</v>
      </c>
      <c r="G1406" s="13" t="e">
        <f t="shared" si="86"/>
        <v>#VALUE!</v>
      </c>
      <c r="J1406" t="str">
        <f>MAIN!A1411&amp;"B"</f>
        <v>B</v>
      </c>
      <c r="K1406" s="12" t="e">
        <f t="shared" si="87"/>
        <v>#VALUE!</v>
      </c>
      <c r="L1406" t="str">
        <f>MAIN!C1411</f>
        <v/>
      </c>
    </row>
    <row r="1407" spans="1:12" x14ac:dyDescent="0.3">
      <c r="A1407">
        <f>IF(J1407="0",0,IF(COUNTIF($J$2:J1407,J1407)=1,1,0))</f>
        <v>0</v>
      </c>
      <c r="B1407" s="12" t="e">
        <f>MID(MAIN!A1412,K1407,2)</f>
        <v>#VALUE!</v>
      </c>
      <c r="C1407" s="12" t="e">
        <f t="shared" si="84"/>
        <v>#VALUE!</v>
      </c>
      <c r="D1407" s="12" t="e">
        <f>MID(MAIN!A1412,K1407+2,2)</f>
        <v>#VALUE!</v>
      </c>
      <c r="E1407" s="12" t="e">
        <f>MID(MAIN!A1412,K1407+4,2)</f>
        <v>#VALUE!</v>
      </c>
      <c r="F1407" s="2" t="e">
        <f t="shared" si="85"/>
        <v>#VALUE!</v>
      </c>
      <c r="G1407" s="13" t="e">
        <f t="shared" si="86"/>
        <v>#VALUE!</v>
      </c>
      <c r="J1407" t="str">
        <f>MAIN!A1412&amp;"B"</f>
        <v>B</v>
      </c>
      <c r="K1407" s="12" t="e">
        <f t="shared" si="87"/>
        <v>#VALUE!</v>
      </c>
      <c r="L1407" t="str">
        <f>MAIN!C1412</f>
        <v/>
      </c>
    </row>
    <row r="1408" spans="1:12" x14ac:dyDescent="0.3">
      <c r="A1408">
        <f>IF(J1408="0",0,IF(COUNTIF($J$2:J1408,J1408)=1,1,0))</f>
        <v>0</v>
      </c>
      <c r="B1408" s="12" t="e">
        <f>MID(MAIN!A1413,K1408,2)</f>
        <v>#VALUE!</v>
      </c>
      <c r="C1408" s="12" t="e">
        <f t="shared" si="84"/>
        <v>#VALUE!</v>
      </c>
      <c r="D1408" s="12" t="e">
        <f>MID(MAIN!A1413,K1408+2,2)</f>
        <v>#VALUE!</v>
      </c>
      <c r="E1408" s="12" t="e">
        <f>MID(MAIN!A1413,K1408+4,2)</f>
        <v>#VALUE!</v>
      </c>
      <c r="F1408" s="2" t="e">
        <f t="shared" si="85"/>
        <v>#VALUE!</v>
      </c>
      <c r="G1408" s="13" t="e">
        <f t="shared" si="86"/>
        <v>#VALUE!</v>
      </c>
      <c r="J1408" t="str">
        <f>MAIN!A1413&amp;"B"</f>
        <v>B</v>
      </c>
      <c r="K1408" s="12" t="e">
        <f t="shared" si="87"/>
        <v>#VALUE!</v>
      </c>
      <c r="L1408" t="str">
        <f>MAIN!C1413</f>
        <v/>
      </c>
    </row>
    <row r="1409" spans="1:12" x14ac:dyDescent="0.3">
      <c r="A1409">
        <f>IF(J1409="0",0,IF(COUNTIF($J$2:J1409,J1409)=1,1,0))</f>
        <v>0</v>
      </c>
      <c r="B1409" s="12" t="e">
        <f>MID(MAIN!A1414,K1409,2)</f>
        <v>#VALUE!</v>
      </c>
      <c r="C1409" s="12" t="e">
        <f t="shared" si="84"/>
        <v>#VALUE!</v>
      </c>
      <c r="D1409" s="12" t="e">
        <f>MID(MAIN!A1414,K1409+2,2)</f>
        <v>#VALUE!</v>
      </c>
      <c r="E1409" s="12" t="e">
        <f>MID(MAIN!A1414,K1409+4,2)</f>
        <v>#VALUE!</v>
      </c>
      <c r="F1409" s="2" t="e">
        <f t="shared" si="85"/>
        <v>#VALUE!</v>
      </c>
      <c r="G1409" s="13" t="e">
        <f t="shared" si="86"/>
        <v>#VALUE!</v>
      </c>
      <c r="J1409" t="str">
        <f>MAIN!A1414&amp;"B"</f>
        <v>B</v>
      </c>
      <c r="K1409" s="12" t="e">
        <f t="shared" si="87"/>
        <v>#VALUE!</v>
      </c>
      <c r="L1409" t="str">
        <f>MAIN!C1414</f>
        <v/>
      </c>
    </row>
    <row r="1410" spans="1:12" x14ac:dyDescent="0.3">
      <c r="A1410">
        <f>IF(J1410="0",0,IF(COUNTIF($J$2:J1410,J1410)=1,1,0))</f>
        <v>0</v>
      </c>
      <c r="B1410" s="12" t="e">
        <f>MID(MAIN!A1415,K1410,2)</f>
        <v>#VALUE!</v>
      </c>
      <c r="C1410" s="12" t="e">
        <f t="shared" si="84"/>
        <v>#VALUE!</v>
      </c>
      <c r="D1410" s="12" t="e">
        <f>MID(MAIN!A1415,K1410+2,2)</f>
        <v>#VALUE!</v>
      </c>
      <c r="E1410" s="12" t="e">
        <f>MID(MAIN!A1415,K1410+4,2)</f>
        <v>#VALUE!</v>
      </c>
      <c r="F1410" s="2" t="e">
        <f t="shared" si="85"/>
        <v>#VALUE!</v>
      </c>
      <c r="G1410" s="13" t="e">
        <f t="shared" si="86"/>
        <v>#VALUE!</v>
      </c>
      <c r="J1410" t="str">
        <f>MAIN!A1415&amp;"B"</f>
        <v>B</v>
      </c>
      <c r="K1410" s="12" t="e">
        <f t="shared" si="87"/>
        <v>#VALUE!</v>
      </c>
      <c r="L1410" t="str">
        <f>MAIN!C1415</f>
        <v/>
      </c>
    </row>
    <row r="1411" spans="1:12" x14ac:dyDescent="0.3">
      <c r="A1411">
        <f>IF(J1411="0",0,IF(COUNTIF($J$2:J1411,J1411)=1,1,0))</f>
        <v>0</v>
      </c>
      <c r="B1411" s="12" t="e">
        <f>MID(MAIN!A1416,K1411,2)</f>
        <v>#VALUE!</v>
      </c>
      <c r="C1411" s="12" t="e">
        <f t="shared" ref="C1411:C1474" si="88">"20"&amp;B1411</f>
        <v>#VALUE!</v>
      </c>
      <c r="D1411" s="12" t="e">
        <f>MID(MAIN!A1416,K1411+2,2)</f>
        <v>#VALUE!</v>
      </c>
      <c r="E1411" s="12" t="e">
        <f>MID(MAIN!A1416,K1411+4,2)</f>
        <v>#VALUE!</v>
      </c>
      <c r="F1411" s="2" t="e">
        <f t="shared" ref="F1411:F1474" si="89">C1411&amp;"/"&amp;D1411&amp;"/"&amp;E1411</f>
        <v>#VALUE!</v>
      </c>
      <c r="G1411" s="13" t="e">
        <f t="shared" ref="G1411:G1474" si="90">DATEVALUE(F1411)</f>
        <v>#VALUE!</v>
      </c>
      <c r="J1411" t="str">
        <f>MAIN!A1416&amp;"B"</f>
        <v>B</v>
      </c>
      <c r="K1411" s="12" t="e">
        <f t="shared" ref="K1411:K1474" si="91">FIND("172",J1411,30)+2</f>
        <v>#VALUE!</v>
      </c>
      <c r="L1411" t="str">
        <f>MAIN!C1416</f>
        <v/>
      </c>
    </row>
    <row r="1412" spans="1:12" x14ac:dyDescent="0.3">
      <c r="A1412">
        <f>IF(J1412="0",0,IF(COUNTIF($J$2:J1412,J1412)=1,1,0))</f>
        <v>0</v>
      </c>
      <c r="B1412" s="12" t="e">
        <f>MID(MAIN!A1417,K1412,2)</f>
        <v>#VALUE!</v>
      </c>
      <c r="C1412" s="12" t="e">
        <f t="shared" si="88"/>
        <v>#VALUE!</v>
      </c>
      <c r="D1412" s="12" t="e">
        <f>MID(MAIN!A1417,K1412+2,2)</f>
        <v>#VALUE!</v>
      </c>
      <c r="E1412" s="12" t="e">
        <f>MID(MAIN!A1417,K1412+4,2)</f>
        <v>#VALUE!</v>
      </c>
      <c r="F1412" s="2" t="e">
        <f t="shared" si="89"/>
        <v>#VALUE!</v>
      </c>
      <c r="G1412" s="13" t="e">
        <f t="shared" si="90"/>
        <v>#VALUE!</v>
      </c>
      <c r="J1412" t="str">
        <f>MAIN!A1417&amp;"B"</f>
        <v>B</v>
      </c>
      <c r="K1412" s="12" t="e">
        <f t="shared" si="91"/>
        <v>#VALUE!</v>
      </c>
      <c r="L1412" t="str">
        <f>MAIN!C1417</f>
        <v/>
      </c>
    </row>
    <row r="1413" spans="1:12" x14ac:dyDescent="0.3">
      <c r="A1413">
        <f>IF(J1413="0",0,IF(COUNTIF($J$2:J1413,J1413)=1,1,0))</f>
        <v>0</v>
      </c>
      <c r="B1413" s="12" t="e">
        <f>MID(MAIN!A1418,K1413,2)</f>
        <v>#VALUE!</v>
      </c>
      <c r="C1413" s="12" t="e">
        <f t="shared" si="88"/>
        <v>#VALUE!</v>
      </c>
      <c r="D1413" s="12" t="e">
        <f>MID(MAIN!A1418,K1413+2,2)</f>
        <v>#VALUE!</v>
      </c>
      <c r="E1413" s="12" t="e">
        <f>MID(MAIN!A1418,K1413+4,2)</f>
        <v>#VALUE!</v>
      </c>
      <c r="F1413" s="2" t="e">
        <f t="shared" si="89"/>
        <v>#VALUE!</v>
      </c>
      <c r="G1413" s="13" t="e">
        <f t="shared" si="90"/>
        <v>#VALUE!</v>
      </c>
      <c r="J1413" t="str">
        <f>MAIN!A1418&amp;"B"</f>
        <v>B</v>
      </c>
      <c r="K1413" s="12" t="e">
        <f t="shared" si="91"/>
        <v>#VALUE!</v>
      </c>
      <c r="L1413" t="str">
        <f>MAIN!C1418</f>
        <v/>
      </c>
    </row>
    <row r="1414" spans="1:12" x14ac:dyDescent="0.3">
      <c r="A1414">
        <f>IF(J1414="0",0,IF(COUNTIF($J$2:J1414,J1414)=1,1,0))</f>
        <v>0</v>
      </c>
      <c r="B1414" s="12" t="e">
        <f>MID(MAIN!A1419,K1414,2)</f>
        <v>#VALUE!</v>
      </c>
      <c r="C1414" s="12" t="e">
        <f t="shared" si="88"/>
        <v>#VALUE!</v>
      </c>
      <c r="D1414" s="12" t="e">
        <f>MID(MAIN!A1419,K1414+2,2)</f>
        <v>#VALUE!</v>
      </c>
      <c r="E1414" s="12" t="e">
        <f>MID(MAIN!A1419,K1414+4,2)</f>
        <v>#VALUE!</v>
      </c>
      <c r="F1414" s="2" t="e">
        <f t="shared" si="89"/>
        <v>#VALUE!</v>
      </c>
      <c r="G1414" s="13" t="e">
        <f t="shared" si="90"/>
        <v>#VALUE!</v>
      </c>
      <c r="J1414" t="str">
        <f>MAIN!A1419&amp;"B"</f>
        <v>B</v>
      </c>
      <c r="K1414" s="12" t="e">
        <f t="shared" si="91"/>
        <v>#VALUE!</v>
      </c>
      <c r="L1414" t="str">
        <f>MAIN!C1419</f>
        <v/>
      </c>
    </row>
    <row r="1415" spans="1:12" x14ac:dyDescent="0.3">
      <c r="A1415">
        <f>IF(J1415="0",0,IF(COUNTIF($J$2:J1415,J1415)=1,1,0))</f>
        <v>0</v>
      </c>
      <c r="B1415" s="12" t="e">
        <f>MID(MAIN!A1420,K1415,2)</f>
        <v>#VALUE!</v>
      </c>
      <c r="C1415" s="12" t="e">
        <f t="shared" si="88"/>
        <v>#VALUE!</v>
      </c>
      <c r="D1415" s="12" t="e">
        <f>MID(MAIN!A1420,K1415+2,2)</f>
        <v>#VALUE!</v>
      </c>
      <c r="E1415" s="12" t="e">
        <f>MID(MAIN!A1420,K1415+4,2)</f>
        <v>#VALUE!</v>
      </c>
      <c r="F1415" s="2" t="e">
        <f t="shared" si="89"/>
        <v>#VALUE!</v>
      </c>
      <c r="G1415" s="13" t="e">
        <f t="shared" si="90"/>
        <v>#VALUE!</v>
      </c>
      <c r="J1415" t="str">
        <f>MAIN!A1420&amp;"B"</f>
        <v>B</v>
      </c>
      <c r="K1415" s="12" t="e">
        <f t="shared" si="91"/>
        <v>#VALUE!</v>
      </c>
      <c r="L1415" t="str">
        <f>MAIN!C1420</f>
        <v/>
      </c>
    </row>
    <row r="1416" spans="1:12" x14ac:dyDescent="0.3">
      <c r="A1416">
        <f>IF(J1416="0",0,IF(COUNTIF($J$2:J1416,J1416)=1,1,0))</f>
        <v>0</v>
      </c>
      <c r="B1416" s="12" t="e">
        <f>MID(MAIN!A1421,K1416,2)</f>
        <v>#VALUE!</v>
      </c>
      <c r="C1416" s="12" t="e">
        <f t="shared" si="88"/>
        <v>#VALUE!</v>
      </c>
      <c r="D1416" s="12" t="e">
        <f>MID(MAIN!A1421,K1416+2,2)</f>
        <v>#VALUE!</v>
      </c>
      <c r="E1416" s="12" t="e">
        <f>MID(MAIN!A1421,K1416+4,2)</f>
        <v>#VALUE!</v>
      </c>
      <c r="F1416" s="2" t="e">
        <f t="shared" si="89"/>
        <v>#VALUE!</v>
      </c>
      <c r="G1416" s="13" t="e">
        <f t="shared" si="90"/>
        <v>#VALUE!</v>
      </c>
      <c r="J1416" t="str">
        <f>MAIN!A1421&amp;"B"</f>
        <v>B</v>
      </c>
      <c r="K1416" s="12" t="e">
        <f t="shared" si="91"/>
        <v>#VALUE!</v>
      </c>
      <c r="L1416" t="str">
        <f>MAIN!C1421</f>
        <v/>
      </c>
    </row>
    <row r="1417" spans="1:12" x14ac:dyDescent="0.3">
      <c r="A1417">
        <f>IF(J1417="0",0,IF(COUNTIF($J$2:J1417,J1417)=1,1,0))</f>
        <v>0</v>
      </c>
      <c r="B1417" s="12" t="e">
        <f>MID(MAIN!A1422,K1417,2)</f>
        <v>#VALUE!</v>
      </c>
      <c r="C1417" s="12" t="e">
        <f t="shared" si="88"/>
        <v>#VALUE!</v>
      </c>
      <c r="D1417" s="12" t="e">
        <f>MID(MAIN!A1422,K1417+2,2)</f>
        <v>#VALUE!</v>
      </c>
      <c r="E1417" s="12" t="e">
        <f>MID(MAIN!A1422,K1417+4,2)</f>
        <v>#VALUE!</v>
      </c>
      <c r="F1417" s="2" t="e">
        <f t="shared" si="89"/>
        <v>#VALUE!</v>
      </c>
      <c r="G1417" s="13" t="e">
        <f t="shared" si="90"/>
        <v>#VALUE!</v>
      </c>
      <c r="J1417" t="str">
        <f>MAIN!A1422&amp;"B"</f>
        <v>B</v>
      </c>
      <c r="K1417" s="12" t="e">
        <f t="shared" si="91"/>
        <v>#VALUE!</v>
      </c>
      <c r="L1417" t="str">
        <f>MAIN!C1422</f>
        <v/>
      </c>
    </row>
    <row r="1418" spans="1:12" x14ac:dyDescent="0.3">
      <c r="A1418">
        <f>IF(J1418="0",0,IF(COUNTIF($J$2:J1418,J1418)=1,1,0))</f>
        <v>0</v>
      </c>
      <c r="B1418" s="12" t="e">
        <f>MID(MAIN!A1423,K1418,2)</f>
        <v>#VALUE!</v>
      </c>
      <c r="C1418" s="12" t="e">
        <f t="shared" si="88"/>
        <v>#VALUE!</v>
      </c>
      <c r="D1418" s="12" t="e">
        <f>MID(MAIN!A1423,K1418+2,2)</f>
        <v>#VALUE!</v>
      </c>
      <c r="E1418" s="12" t="e">
        <f>MID(MAIN!A1423,K1418+4,2)</f>
        <v>#VALUE!</v>
      </c>
      <c r="F1418" s="2" t="e">
        <f t="shared" si="89"/>
        <v>#VALUE!</v>
      </c>
      <c r="G1418" s="13" t="e">
        <f t="shared" si="90"/>
        <v>#VALUE!</v>
      </c>
      <c r="J1418" t="str">
        <f>MAIN!A1423&amp;"B"</f>
        <v>B</v>
      </c>
      <c r="K1418" s="12" t="e">
        <f t="shared" si="91"/>
        <v>#VALUE!</v>
      </c>
      <c r="L1418" t="str">
        <f>MAIN!C1423</f>
        <v/>
      </c>
    </row>
    <row r="1419" spans="1:12" x14ac:dyDescent="0.3">
      <c r="A1419">
        <f>IF(J1419="0",0,IF(COUNTIF($J$2:J1419,J1419)=1,1,0))</f>
        <v>0</v>
      </c>
      <c r="B1419" s="12" t="e">
        <f>MID(MAIN!A1424,K1419,2)</f>
        <v>#VALUE!</v>
      </c>
      <c r="C1419" s="12" t="e">
        <f t="shared" si="88"/>
        <v>#VALUE!</v>
      </c>
      <c r="D1419" s="12" t="e">
        <f>MID(MAIN!A1424,K1419+2,2)</f>
        <v>#VALUE!</v>
      </c>
      <c r="E1419" s="12" t="e">
        <f>MID(MAIN!A1424,K1419+4,2)</f>
        <v>#VALUE!</v>
      </c>
      <c r="F1419" s="2" t="e">
        <f t="shared" si="89"/>
        <v>#VALUE!</v>
      </c>
      <c r="G1419" s="13" t="e">
        <f t="shared" si="90"/>
        <v>#VALUE!</v>
      </c>
      <c r="J1419" t="str">
        <f>MAIN!A1424&amp;"B"</f>
        <v>B</v>
      </c>
      <c r="K1419" s="12" t="e">
        <f t="shared" si="91"/>
        <v>#VALUE!</v>
      </c>
      <c r="L1419" t="str">
        <f>MAIN!C1424</f>
        <v/>
      </c>
    </row>
    <row r="1420" spans="1:12" x14ac:dyDescent="0.3">
      <c r="A1420">
        <f>IF(J1420="0",0,IF(COUNTIF($J$2:J1420,J1420)=1,1,0))</f>
        <v>0</v>
      </c>
      <c r="B1420" s="12" t="e">
        <f>MID(MAIN!A1425,K1420,2)</f>
        <v>#VALUE!</v>
      </c>
      <c r="C1420" s="12" t="e">
        <f t="shared" si="88"/>
        <v>#VALUE!</v>
      </c>
      <c r="D1420" s="12" t="e">
        <f>MID(MAIN!A1425,K1420+2,2)</f>
        <v>#VALUE!</v>
      </c>
      <c r="E1420" s="12" t="e">
        <f>MID(MAIN!A1425,K1420+4,2)</f>
        <v>#VALUE!</v>
      </c>
      <c r="F1420" s="2" t="e">
        <f t="shared" si="89"/>
        <v>#VALUE!</v>
      </c>
      <c r="G1420" s="13" t="e">
        <f t="shared" si="90"/>
        <v>#VALUE!</v>
      </c>
      <c r="J1420" t="str">
        <f>MAIN!A1425&amp;"B"</f>
        <v>B</v>
      </c>
      <c r="K1420" s="12" t="e">
        <f t="shared" si="91"/>
        <v>#VALUE!</v>
      </c>
      <c r="L1420" t="str">
        <f>MAIN!C1425</f>
        <v/>
      </c>
    </row>
    <row r="1421" spans="1:12" x14ac:dyDescent="0.3">
      <c r="A1421">
        <f>IF(J1421="0",0,IF(COUNTIF($J$2:J1421,J1421)=1,1,0))</f>
        <v>0</v>
      </c>
      <c r="B1421" s="12" t="e">
        <f>MID(MAIN!A1426,K1421,2)</f>
        <v>#VALUE!</v>
      </c>
      <c r="C1421" s="12" t="e">
        <f t="shared" si="88"/>
        <v>#VALUE!</v>
      </c>
      <c r="D1421" s="12" t="e">
        <f>MID(MAIN!A1426,K1421+2,2)</f>
        <v>#VALUE!</v>
      </c>
      <c r="E1421" s="12" t="e">
        <f>MID(MAIN!A1426,K1421+4,2)</f>
        <v>#VALUE!</v>
      </c>
      <c r="F1421" s="2" t="e">
        <f t="shared" si="89"/>
        <v>#VALUE!</v>
      </c>
      <c r="G1421" s="13" t="e">
        <f t="shared" si="90"/>
        <v>#VALUE!</v>
      </c>
      <c r="J1421" t="str">
        <f>MAIN!A1426&amp;"B"</f>
        <v>B</v>
      </c>
      <c r="K1421" s="12" t="e">
        <f t="shared" si="91"/>
        <v>#VALUE!</v>
      </c>
      <c r="L1421" t="str">
        <f>MAIN!C1426</f>
        <v/>
      </c>
    </row>
    <row r="1422" spans="1:12" x14ac:dyDescent="0.3">
      <c r="A1422">
        <f>IF(J1422="0",0,IF(COUNTIF($J$2:J1422,J1422)=1,1,0))</f>
        <v>0</v>
      </c>
      <c r="B1422" s="12" t="e">
        <f>MID(MAIN!A1427,K1422,2)</f>
        <v>#VALUE!</v>
      </c>
      <c r="C1422" s="12" t="e">
        <f t="shared" si="88"/>
        <v>#VALUE!</v>
      </c>
      <c r="D1422" s="12" t="e">
        <f>MID(MAIN!A1427,K1422+2,2)</f>
        <v>#VALUE!</v>
      </c>
      <c r="E1422" s="12" t="e">
        <f>MID(MAIN!A1427,K1422+4,2)</f>
        <v>#VALUE!</v>
      </c>
      <c r="F1422" s="2" t="e">
        <f t="shared" si="89"/>
        <v>#VALUE!</v>
      </c>
      <c r="G1422" s="13" t="e">
        <f t="shared" si="90"/>
        <v>#VALUE!</v>
      </c>
      <c r="J1422" t="str">
        <f>MAIN!A1427&amp;"B"</f>
        <v>B</v>
      </c>
      <c r="K1422" s="12" t="e">
        <f t="shared" si="91"/>
        <v>#VALUE!</v>
      </c>
      <c r="L1422" t="str">
        <f>MAIN!C1427</f>
        <v/>
      </c>
    </row>
    <row r="1423" spans="1:12" x14ac:dyDescent="0.3">
      <c r="A1423">
        <f>IF(J1423="0",0,IF(COUNTIF($J$2:J1423,J1423)=1,1,0))</f>
        <v>0</v>
      </c>
      <c r="B1423" s="12" t="e">
        <f>MID(MAIN!A1428,K1423,2)</f>
        <v>#VALUE!</v>
      </c>
      <c r="C1423" s="12" t="e">
        <f t="shared" si="88"/>
        <v>#VALUE!</v>
      </c>
      <c r="D1423" s="12" t="e">
        <f>MID(MAIN!A1428,K1423+2,2)</f>
        <v>#VALUE!</v>
      </c>
      <c r="E1423" s="12" t="e">
        <f>MID(MAIN!A1428,K1423+4,2)</f>
        <v>#VALUE!</v>
      </c>
      <c r="F1423" s="2" t="e">
        <f t="shared" si="89"/>
        <v>#VALUE!</v>
      </c>
      <c r="G1423" s="13" t="e">
        <f t="shared" si="90"/>
        <v>#VALUE!</v>
      </c>
      <c r="J1423" t="str">
        <f>MAIN!A1428&amp;"B"</f>
        <v>B</v>
      </c>
      <c r="K1423" s="12" t="e">
        <f t="shared" si="91"/>
        <v>#VALUE!</v>
      </c>
      <c r="L1423" t="str">
        <f>MAIN!C1428</f>
        <v/>
      </c>
    </row>
    <row r="1424" spans="1:12" x14ac:dyDescent="0.3">
      <c r="A1424">
        <f>IF(J1424="0",0,IF(COUNTIF($J$2:J1424,J1424)=1,1,0))</f>
        <v>0</v>
      </c>
      <c r="B1424" s="12" t="e">
        <f>MID(MAIN!A1429,K1424,2)</f>
        <v>#VALUE!</v>
      </c>
      <c r="C1424" s="12" t="e">
        <f t="shared" si="88"/>
        <v>#VALUE!</v>
      </c>
      <c r="D1424" s="12" t="e">
        <f>MID(MAIN!A1429,K1424+2,2)</f>
        <v>#VALUE!</v>
      </c>
      <c r="E1424" s="12" t="e">
        <f>MID(MAIN!A1429,K1424+4,2)</f>
        <v>#VALUE!</v>
      </c>
      <c r="F1424" s="2" t="e">
        <f t="shared" si="89"/>
        <v>#VALUE!</v>
      </c>
      <c r="G1424" s="13" t="e">
        <f t="shared" si="90"/>
        <v>#VALUE!</v>
      </c>
      <c r="J1424" t="str">
        <f>MAIN!A1429&amp;"B"</f>
        <v>B</v>
      </c>
      <c r="K1424" s="12" t="e">
        <f t="shared" si="91"/>
        <v>#VALUE!</v>
      </c>
      <c r="L1424" t="str">
        <f>MAIN!C1429</f>
        <v/>
      </c>
    </row>
    <row r="1425" spans="1:12" x14ac:dyDescent="0.3">
      <c r="A1425">
        <f>IF(J1425="0",0,IF(COUNTIF($J$2:J1425,J1425)=1,1,0))</f>
        <v>0</v>
      </c>
      <c r="B1425" s="12" t="e">
        <f>MID(MAIN!A1430,K1425,2)</f>
        <v>#VALUE!</v>
      </c>
      <c r="C1425" s="12" t="e">
        <f t="shared" si="88"/>
        <v>#VALUE!</v>
      </c>
      <c r="D1425" s="12" t="e">
        <f>MID(MAIN!A1430,K1425+2,2)</f>
        <v>#VALUE!</v>
      </c>
      <c r="E1425" s="12" t="e">
        <f>MID(MAIN!A1430,K1425+4,2)</f>
        <v>#VALUE!</v>
      </c>
      <c r="F1425" s="2" t="e">
        <f t="shared" si="89"/>
        <v>#VALUE!</v>
      </c>
      <c r="G1425" s="13" t="e">
        <f t="shared" si="90"/>
        <v>#VALUE!</v>
      </c>
      <c r="J1425" t="str">
        <f>MAIN!A1430&amp;"B"</f>
        <v>B</v>
      </c>
      <c r="K1425" s="12" t="e">
        <f t="shared" si="91"/>
        <v>#VALUE!</v>
      </c>
      <c r="L1425" t="str">
        <f>MAIN!C1430</f>
        <v/>
      </c>
    </row>
    <row r="1426" spans="1:12" x14ac:dyDescent="0.3">
      <c r="A1426">
        <f>IF(J1426="0",0,IF(COUNTIF($J$2:J1426,J1426)=1,1,0))</f>
        <v>0</v>
      </c>
      <c r="B1426" s="12" t="e">
        <f>MID(MAIN!A1431,K1426,2)</f>
        <v>#VALUE!</v>
      </c>
      <c r="C1426" s="12" t="e">
        <f t="shared" si="88"/>
        <v>#VALUE!</v>
      </c>
      <c r="D1426" s="12" t="e">
        <f>MID(MAIN!A1431,K1426+2,2)</f>
        <v>#VALUE!</v>
      </c>
      <c r="E1426" s="12" t="e">
        <f>MID(MAIN!A1431,K1426+4,2)</f>
        <v>#VALUE!</v>
      </c>
      <c r="F1426" s="2" t="e">
        <f t="shared" si="89"/>
        <v>#VALUE!</v>
      </c>
      <c r="G1426" s="13" t="e">
        <f t="shared" si="90"/>
        <v>#VALUE!</v>
      </c>
      <c r="J1426" t="str">
        <f>MAIN!A1431&amp;"B"</f>
        <v>B</v>
      </c>
      <c r="K1426" s="12" t="e">
        <f t="shared" si="91"/>
        <v>#VALUE!</v>
      </c>
      <c r="L1426" t="str">
        <f>MAIN!C1431</f>
        <v/>
      </c>
    </row>
    <row r="1427" spans="1:12" x14ac:dyDescent="0.3">
      <c r="A1427">
        <f>IF(J1427="0",0,IF(COUNTIF($J$2:J1427,J1427)=1,1,0))</f>
        <v>0</v>
      </c>
      <c r="B1427" s="12" t="e">
        <f>MID(MAIN!A1432,K1427,2)</f>
        <v>#VALUE!</v>
      </c>
      <c r="C1427" s="12" t="e">
        <f t="shared" si="88"/>
        <v>#VALUE!</v>
      </c>
      <c r="D1427" s="12" t="e">
        <f>MID(MAIN!A1432,K1427+2,2)</f>
        <v>#VALUE!</v>
      </c>
      <c r="E1427" s="12" t="e">
        <f>MID(MAIN!A1432,K1427+4,2)</f>
        <v>#VALUE!</v>
      </c>
      <c r="F1427" s="2" t="e">
        <f t="shared" si="89"/>
        <v>#VALUE!</v>
      </c>
      <c r="G1427" s="13" t="e">
        <f t="shared" si="90"/>
        <v>#VALUE!</v>
      </c>
      <c r="J1427" t="str">
        <f>MAIN!A1432&amp;"B"</f>
        <v>B</v>
      </c>
      <c r="K1427" s="12" t="e">
        <f t="shared" si="91"/>
        <v>#VALUE!</v>
      </c>
      <c r="L1427" t="str">
        <f>MAIN!C1432</f>
        <v/>
      </c>
    </row>
    <row r="1428" spans="1:12" x14ac:dyDescent="0.3">
      <c r="A1428">
        <f>IF(J1428="0",0,IF(COUNTIF($J$2:J1428,J1428)=1,1,0))</f>
        <v>0</v>
      </c>
      <c r="B1428" s="12" t="e">
        <f>MID(MAIN!A1433,K1428,2)</f>
        <v>#VALUE!</v>
      </c>
      <c r="C1428" s="12" t="e">
        <f t="shared" si="88"/>
        <v>#VALUE!</v>
      </c>
      <c r="D1428" s="12" t="e">
        <f>MID(MAIN!A1433,K1428+2,2)</f>
        <v>#VALUE!</v>
      </c>
      <c r="E1428" s="12" t="e">
        <f>MID(MAIN!A1433,K1428+4,2)</f>
        <v>#VALUE!</v>
      </c>
      <c r="F1428" s="2" t="e">
        <f t="shared" si="89"/>
        <v>#VALUE!</v>
      </c>
      <c r="G1428" s="13" t="e">
        <f t="shared" si="90"/>
        <v>#VALUE!</v>
      </c>
      <c r="J1428" t="str">
        <f>MAIN!A1433&amp;"B"</f>
        <v>B</v>
      </c>
      <c r="K1428" s="12" t="e">
        <f t="shared" si="91"/>
        <v>#VALUE!</v>
      </c>
      <c r="L1428" t="str">
        <f>MAIN!C1433</f>
        <v/>
      </c>
    </row>
    <row r="1429" spans="1:12" x14ac:dyDescent="0.3">
      <c r="A1429">
        <f>IF(J1429="0",0,IF(COUNTIF($J$2:J1429,J1429)=1,1,0))</f>
        <v>0</v>
      </c>
      <c r="B1429" s="12" t="e">
        <f>MID(MAIN!A1434,K1429,2)</f>
        <v>#VALUE!</v>
      </c>
      <c r="C1429" s="12" t="e">
        <f t="shared" si="88"/>
        <v>#VALUE!</v>
      </c>
      <c r="D1429" s="12" t="e">
        <f>MID(MAIN!A1434,K1429+2,2)</f>
        <v>#VALUE!</v>
      </c>
      <c r="E1429" s="12" t="e">
        <f>MID(MAIN!A1434,K1429+4,2)</f>
        <v>#VALUE!</v>
      </c>
      <c r="F1429" s="2" t="e">
        <f t="shared" si="89"/>
        <v>#VALUE!</v>
      </c>
      <c r="G1429" s="13" t="e">
        <f t="shared" si="90"/>
        <v>#VALUE!</v>
      </c>
      <c r="J1429" t="str">
        <f>MAIN!A1434&amp;"B"</f>
        <v>B</v>
      </c>
      <c r="K1429" s="12" t="e">
        <f t="shared" si="91"/>
        <v>#VALUE!</v>
      </c>
      <c r="L1429" t="str">
        <f>MAIN!C1434</f>
        <v/>
      </c>
    </row>
    <row r="1430" spans="1:12" x14ac:dyDescent="0.3">
      <c r="A1430">
        <f>IF(J1430="0",0,IF(COUNTIF($J$2:J1430,J1430)=1,1,0))</f>
        <v>0</v>
      </c>
      <c r="B1430" s="12" t="e">
        <f>MID(MAIN!A1435,K1430,2)</f>
        <v>#VALUE!</v>
      </c>
      <c r="C1430" s="12" t="e">
        <f t="shared" si="88"/>
        <v>#VALUE!</v>
      </c>
      <c r="D1430" s="12" t="e">
        <f>MID(MAIN!A1435,K1430+2,2)</f>
        <v>#VALUE!</v>
      </c>
      <c r="E1430" s="12" t="e">
        <f>MID(MAIN!A1435,K1430+4,2)</f>
        <v>#VALUE!</v>
      </c>
      <c r="F1430" s="2" t="e">
        <f t="shared" si="89"/>
        <v>#VALUE!</v>
      </c>
      <c r="G1430" s="13" t="e">
        <f t="shared" si="90"/>
        <v>#VALUE!</v>
      </c>
      <c r="J1430" t="str">
        <f>MAIN!A1435&amp;"B"</f>
        <v>B</v>
      </c>
      <c r="K1430" s="12" t="e">
        <f t="shared" si="91"/>
        <v>#VALUE!</v>
      </c>
      <c r="L1430" t="str">
        <f>MAIN!C1435</f>
        <v/>
      </c>
    </row>
    <row r="1431" spans="1:12" x14ac:dyDescent="0.3">
      <c r="A1431">
        <f>IF(J1431="0",0,IF(COUNTIF($J$2:J1431,J1431)=1,1,0))</f>
        <v>0</v>
      </c>
      <c r="B1431" s="12" t="e">
        <f>MID(MAIN!A1436,K1431,2)</f>
        <v>#VALUE!</v>
      </c>
      <c r="C1431" s="12" t="e">
        <f t="shared" si="88"/>
        <v>#VALUE!</v>
      </c>
      <c r="D1431" s="12" t="e">
        <f>MID(MAIN!A1436,K1431+2,2)</f>
        <v>#VALUE!</v>
      </c>
      <c r="E1431" s="12" t="e">
        <f>MID(MAIN!A1436,K1431+4,2)</f>
        <v>#VALUE!</v>
      </c>
      <c r="F1431" s="2" t="e">
        <f t="shared" si="89"/>
        <v>#VALUE!</v>
      </c>
      <c r="G1431" s="13" t="e">
        <f t="shared" si="90"/>
        <v>#VALUE!</v>
      </c>
      <c r="J1431" t="str">
        <f>MAIN!A1436&amp;"B"</f>
        <v>B</v>
      </c>
      <c r="K1431" s="12" t="e">
        <f t="shared" si="91"/>
        <v>#VALUE!</v>
      </c>
      <c r="L1431" t="str">
        <f>MAIN!C1436</f>
        <v/>
      </c>
    </row>
    <row r="1432" spans="1:12" x14ac:dyDescent="0.3">
      <c r="A1432">
        <f>IF(J1432="0",0,IF(COUNTIF($J$2:J1432,J1432)=1,1,0))</f>
        <v>0</v>
      </c>
      <c r="B1432" s="12" t="e">
        <f>MID(MAIN!A1437,K1432,2)</f>
        <v>#VALUE!</v>
      </c>
      <c r="C1432" s="12" t="e">
        <f t="shared" si="88"/>
        <v>#VALUE!</v>
      </c>
      <c r="D1432" s="12" t="e">
        <f>MID(MAIN!A1437,K1432+2,2)</f>
        <v>#VALUE!</v>
      </c>
      <c r="E1432" s="12" t="e">
        <f>MID(MAIN!A1437,K1432+4,2)</f>
        <v>#VALUE!</v>
      </c>
      <c r="F1432" s="2" t="e">
        <f t="shared" si="89"/>
        <v>#VALUE!</v>
      </c>
      <c r="G1432" s="13" t="e">
        <f t="shared" si="90"/>
        <v>#VALUE!</v>
      </c>
      <c r="J1432" t="str">
        <f>MAIN!A1437&amp;"B"</f>
        <v>B</v>
      </c>
      <c r="K1432" s="12" t="e">
        <f t="shared" si="91"/>
        <v>#VALUE!</v>
      </c>
      <c r="L1432" t="str">
        <f>MAIN!C1437</f>
        <v/>
      </c>
    </row>
    <row r="1433" spans="1:12" x14ac:dyDescent="0.3">
      <c r="A1433">
        <f>IF(J1433="0",0,IF(COUNTIF($J$2:J1433,J1433)=1,1,0))</f>
        <v>0</v>
      </c>
      <c r="B1433" s="12" t="e">
        <f>MID(MAIN!A1438,K1433,2)</f>
        <v>#VALUE!</v>
      </c>
      <c r="C1433" s="12" t="e">
        <f t="shared" si="88"/>
        <v>#VALUE!</v>
      </c>
      <c r="D1433" s="12" t="e">
        <f>MID(MAIN!A1438,K1433+2,2)</f>
        <v>#VALUE!</v>
      </c>
      <c r="E1433" s="12" t="e">
        <f>MID(MAIN!A1438,K1433+4,2)</f>
        <v>#VALUE!</v>
      </c>
      <c r="F1433" s="2" t="e">
        <f t="shared" si="89"/>
        <v>#VALUE!</v>
      </c>
      <c r="G1433" s="13" t="e">
        <f t="shared" si="90"/>
        <v>#VALUE!</v>
      </c>
      <c r="J1433" t="str">
        <f>MAIN!A1438&amp;"B"</f>
        <v>B</v>
      </c>
      <c r="K1433" s="12" t="e">
        <f t="shared" si="91"/>
        <v>#VALUE!</v>
      </c>
      <c r="L1433" t="str">
        <f>MAIN!C1438</f>
        <v/>
      </c>
    </row>
    <row r="1434" spans="1:12" x14ac:dyDescent="0.3">
      <c r="A1434">
        <f>IF(J1434="0",0,IF(COUNTIF($J$2:J1434,J1434)=1,1,0))</f>
        <v>0</v>
      </c>
      <c r="B1434" s="12" t="e">
        <f>MID(MAIN!A1439,K1434,2)</f>
        <v>#VALUE!</v>
      </c>
      <c r="C1434" s="12" t="e">
        <f t="shared" si="88"/>
        <v>#VALUE!</v>
      </c>
      <c r="D1434" s="12" t="e">
        <f>MID(MAIN!A1439,K1434+2,2)</f>
        <v>#VALUE!</v>
      </c>
      <c r="E1434" s="12" t="e">
        <f>MID(MAIN!A1439,K1434+4,2)</f>
        <v>#VALUE!</v>
      </c>
      <c r="F1434" s="2" t="e">
        <f t="shared" si="89"/>
        <v>#VALUE!</v>
      </c>
      <c r="G1434" s="13" t="e">
        <f t="shared" si="90"/>
        <v>#VALUE!</v>
      </c>
      <c r="J1434" t="str">
        <f>MAIN!A1439&amp;"B"</f>
        <v>B</v>
      </c>
      <c r="K1434" s="12" t="e">
        <f t="shared" si="91"/>
        <v>#VALUE!</v>
      </c>
      <c r="L1434" t="str">
        <f>MAIN!C1439</f>
        <v/>
      </c>
    </row>
    <row r="1435" spans="1:12" x14ac:dyDescent="0.3">
      <c r="A1435">
        <f>IF(J1435="0",0,IF(COUNTIF($J$2:J1435,J1435)=1,1,0))</f>
        <v>0</v>
      </c>
      <c r="B1435" s="12" t="e">
        <f>MID(MAIN!A1440,K1435,2)</f>
        <v>#VALUE!</v>
      </c>
      <c r="C1435" s="12" t="e">
        <f t="shared" si="88"/>
        <v>#VALUE!</v>
      </c>
      <c r="D1435" s="12" t="e">
        <f>MID(MAIN!A1440,K1435+2,2)</f>
        <v>#VALUE!</v>
      </c>
      <c r="E1435" s="12" t="e">
        <f>MID(MAIN!A1440,K1435+4,2)</f>
        <v>#VALUE!</v>
      </c>
      <c r="F1435" s="2" t="e">
        <f t="shared" si="89"/>
        <v>#VALUE!</v>
      </c>
      <c r="G1435" s="13" t="e">
        <f t="shared" si="90"/>
        <v>#VALUE!</v>
      </c>
      <c r="J1435" t="str">
        <f>MAIN!A1440&amp;"B"</f>
        <v>B</v>
      </c>
      <c r="K1435" s="12" t="e">
        <f t="shared" si="91"/>
        <v>#VALUE!</v>
      </c>
      <c r="L1435" t="str">
        <f>MAIN!C1440</f>
        <v/>
      </c>
    </row>
    <row r="1436" spans="1:12" x14ac:dyDescent="0.3">
      <c r="A1436">
        <f>IF(J1436="0",0,IF(COUNTIF($J$2:J1436,J1436)=1,1,0))</f>
        <v>0</v>
      </c>
      <c r="B1436" s="12" t="e">
        <f>MID(MAIN!A1441,K1436,2)</f>
        <v>#VALUE!</v>
      </c>
      <c r="C1436" s="12" t="e">
        <f t="shared" si="88"/>
        <v>#VALUE!</v>
      </c>
      <c r="D1436" s="12" t="e">
        <f>MID(MAIN!A1441,K1436+2,2)</f>
        <v>#VALUE!</v>
      </c>
      <c r="E1436" s="12" t="e">
        <f>MID(MAIN!A1441,K1436+4,2)</f>
        <v>#VALUE!</v>
      </c>
      <c r="F1436" s="2" t="e">
        <f t="shared" si="89"/>
        <v>#VALUE!</v>
      </c>
      <c r="G1436" s="13" t="e">
        <f t="shared" si="90"/>
        <v>#VALUE!</v>
      </c>
      <c r="J1436" t="str">
        <f>MAIN!A1441&amp;"B"</f>
        <v>B</v>
      </c>
      <c r="K1436" s="12" t="e">
        <f t="shared" si="91"/>
        <v>#VALUE!</v>
      </c>
      <c r="L1436" t="str">
        <f>MAIN!C1441</f>
        <v/>
      </c>
    </row>
    <row r="1437" spans="1:12" x14ac:dyDescent="0.3">
      <c r="A1437">
        <f>IF(J1437="0",0,IF(COUNTIF($J$2:J1437,J1437)=1,1,0))</f>
        <v>0</v>
      </c>
      <c r="B1437" s="12" t="e">
        <f>MID(MAIN!A1442,K1437,2)</f>
        <v>#VALUE!</v>
      </c>
      <c r="C1437" s="12" t="e">
        <f t="shared" si="88"/>
        <v>#VALUE!</v>
      </c>
      <c r="D1437" s="12" t="e">
        <f>MID(MAIN!A1442,K1437+2,2)</f>
        <v>#VALUE!</v>
      </c>
      <c r="E1437" s="12" t="e">
        <f>MID(MAIN!A1442,K1437+4,2)</f>
        <v>#VALUE!</v>
      </c>
      <c r="F1437" s="2" t="e">
        <f t="shared" si="89"/>
        <v>#VALUE!</v>
      </c>
      <c r="G1437" s="13" t="e">
        <f t="shared" si="90"/>
        <v>#VALUE!</v>
      </c>
      <c r="J1437" t="str">
        <f>MAIN!A1442&amp;"B"</f>
        <v>B</v>
      </c>
      <c r="K1437" s="12" t="e">
        <f t="shared" si="91"/>
        <v>#VALUE!</v>
      </c>
      <c r="L1437" t="str">
        <f>MAIN!C1442</f>
        <v/>
      </c>
    </row>
    <row r="1438" spans="1:12" x14ac:dyDescent="0.3">
      <c r="A1438">
        <f>IF(J1438="0",0,IF(COUNTIF($J$2:J1438,J1438)=1,1,0))</f>
        <v>0</v>
      </c>
      <c r="B1438" s="12" t="e">
        <f>MID(MAIN!A1443,K1438,2)</f>
        <v>#VALUE!</v>
      </c>
      <c r="C1438" s="12" t="e">
        <f t="shared" si="88"/>
        <v>#VALUE!</v>
      </c>
      <c r="D1438" s="12" t="e">
        <f>MID(MAIN!A1443,K1438+2,2)</f>
        <v>#VALUE!</v>
      </c>
      <c r="E1438" s="12" t="e">
        <f>MID(MAIN!A1443,K1438+4,2)</f>
        <v>#VALUE!</v>
      </c>
      <c r="F1438" s="2" t="e">
        <f t="shared" si="89"/>
        <v>#VALUE!</v>
      </c>
      <c r="G1438" s="13" t="e">
        <f t="shared" si="90"/>
        <v>#VALUE!</v>
      </c>
      <c r="J1438" t="str">
        <f>MAIN!A1443&amp;"B"</f>
        <v>B</v>
      </c>
      <c r="K1438" s="12" t="e">
        <f t="shared" si="91"/>
        <v>#VALUE!</v>
      </c>
      <c r="L1438" t="str">
        <f>MAIN!C1443</f>
        <v/>
      </c>
    </row>
    <row r="1439" spans="1:12" x14ac:dyDescent="0.3">
      <c r="A1439">
        <f>IF(J1439="0",0,IF(COUNTIF($J$2:J1439,J1439)=1,1,0))</f>
        <v>0</v>
      </c>
      <c r="B1439" s="12" t="e">
        <f>MID(MAIN!A1444,K1439,2)</f>
        <v>#VALUE!</v>
      </c>
      <c r="C1439" s="12" t="e">
        <f t="shared" si="88"/>
        <v>#VALUE!</v>
      </c>
      <c r="D1439" s="12" t="e">
        <f>MID(MAIN!A1444,K1439+2,2)</f>
        <v>#VALUE!</v>
      </c>
      <c r="E1439" s="12" t="e">
        <f>MID(MAIN!A1444,K1439+4,2)</f>
        <v>#VALUE!</v>
      </c>
      <c r="F1439" s="2" t="e">
        <f t="shared" si="89"/>
        <v>#VALUE!</v>
      </c>
      <c r="G1439" s="13" t="e">
        <f t="shared" si="90"/>
        <v>#VALUE!</v>
      </c>
      <c r="J1439" t="str">
        <f>MAIN!A1444&amp;"B"</f>
        <v>B</v>
      </c>
      <c r="K1439" s="12" t="e">
        <f t="shared" si="91"/>
        <v>#VALUE!</v>
      </c>
      <c r="L1439" t="str">
        <f>MAIN!C1444</f>
        <v/>
      </c>
    </row>
    <row r="1440" spans="1:12" x14ac:dyDescent="0.3">
      <c r="A1440">
        <f>IF(J1440="0",0,IF(COUNTIF($J$2:J1440,J1440)=1,1,0))</f>
        <v>0</v>
      </c>
      <c r="B1440" s="12" t="e">
        <f>MID(MAIN!A1445,K1440,2)</f>
        <v>#VALUE!</v>
      </c>
      <c r="C1440" s="12" t="e">
        <f t="shared" si="88"/>
        <v>#VALUE!</v>
      </c>
      <c r="D1440" s="12" t="e">
        <f>MID(MAIN!A1445,K1440+2,2)</f>
        <v>#VALUE!</v>
      </c>
      <c r="E1440" s="12" t="e">
        <f>MID(MAIN!A1445,K1440+4,2)</f>
        <v>#VALUE!</v>
      </c>
      <c r="F1440" s="2" t="e">
        <f t="shared" si="89"/>
        <v>#VALUE!</v>
      </c>
      <c r="G1440" s="13" t="e">
        <f t="shared" si="90"/>
        <v>#VALUE!</v>
      </c>
      <c r="J1440" t="str">
        <f>MAIN!A1445&amp;"B"</f>
        <v>B</v>
      </c>
      <c r="K1440" s="12" t="e">
        <f t="shared" si="91"/>
        <v>#VALUE!</v>
      </c>
      <c r="L1440" t="str">
        <f>MAIN!C1445</f>
        <v/>
      </c>
    </row>
    <row r="1441" spans="1:12" x14ac:dyDescent="0.3">
      <c r="A1441">
        <f>IF(J1441="0",0,IF(COUNTIF($J$2:J1441,J1441)=1,1,0))</f>
        <v>0</v>
      </c>
      <c r="B1441" s="12" t="e">
        <f>MID(MAIN!A1446,K1441,2)</f>
        <v>#VALUE!</v>
      </c>
      <c r="C1441" s="12" t="e">
        <f t="shared" si="88"/>
        <v>#VALUE!</v>
      </c>
      <c r="D1441" s="12" t="e">
        <f>MID(MAIN!A1446,K1441+2,2)</f>
        <v>#VALUE!</v>
      </c>
      <c r="E1441" s="12" t="e">
        <f>MID(MAIN!A1446,K1441+4,2)</f>
        <v>#VALUE!</v>
      </c>
      <c r="F1441" s="2" t="e">
        <f t="shared" si="89"/>
        <v>#VALUE!</v>
      </c>
      <c r="G1441" s="13" t="e">
        <f t="shared" si="90"/>
        <v>#VALUE!</v>
      </c>
      <c r="J1441" t="str">
        <f>MAIN!A1446&amp;"B"</f>
        <v>B</v>
      </c>
      <c r="K1441" s="12" t="e">
        <f t="shared" si="91"/>
        <v>#VALUE!</v>
      </c>
      <c r="L1441" t="str">
        <f>MAIN!C1446</f>
        <v/>
      </c>
    </row>
    <row r="1442" spans="1:12" x14ac:dyDescent="0.3">
      <c r="A1442">
        <f>IF(J1442="0",0,IF(COUNTIF($J$2:J1442,J1442)=1,1,0))</f>
        <v>0</v>
      </c>
      <c r="B1442" s="12" t="e">
        <f>MID(MAIN!A1447,K1442,2)</f>
        <v>#VALUE!</v>
      </c>
      <c r="C1442" s="12" t="e">
        <f t="shared" si="88"/>
        <v>#VALUE!</v>
      </c>
      <c r="D1442" s="12" t="e">
        <f>MID(MAIN!A1447,K1442+2,2)</f>
        <v>#VALUE!</v>
      </c>
      <c r="E1442" s="12" t="e">
        <f>MID(MAIN!A1447,K1442+4,2)</f>
        <v>#VALUE!</v>
      </c>
      <c r="F1442" s="2" t="e">
        <f t="shared" si="89"/>
        <v>#VALUE!</v>
      </c>
      <c r="G1442" s="13" t="e">
        <f t="shared" si="90"/>
        <v>#VALUE!</v>
      </c>
      <c r="J1442" t="str">
        <f>MAIN!A1447&amp;"B"</f>
        <v>B</v>
      </c>
      <c r="K1442" s="12" t="e">
        <f t="shared" si="91"/>
        <v>#VALUE!</v>
      </c>
      <c r="L1442" t="str">
        <f>MAIN!C1447</f>
        <v/>
      </c>
    </row>
    <row r="1443" spans="1:12" x14ac:dyDescent="0.3">
      <c r="A1443">
        <f>IF(J1443="0",0,IF(COUNTIF($J$2:J1443,J1443)=1,1,0))</f>
        <v>0</v>
      </c>
      <c r="B1443" s="12" t="e">
        <f>MID(MAIN!A1448,K1443,2)</f>
        <v>#VALUE!</v>
      </c>
      <c r="C1443" s="12" t="e">
        <f t="shared" si="88"/>
        <v>#VALUE!</v>
      </c>
      <c r="D1443" s="12" t="e">
        <f>MID(MAIN!A1448,K1443+2,2)</f>
        <v>#VALUE!</v>
      </c>
      <c r="E1443" s="12" t="e">
        <f>MID(MAIN!A1448,K1443+4,2)</f>
        <v>#VALUE!</v>
      </c>
      <c r="F1443" s="2" t="e">
        <f t="shared" si="89"/>
        <v>#VALUE!</v>
      </c>
      <c r="G1443" s="13" t="e">
        <f t="shared" si="90"/>
        <v>#VALUE!</v>
      </c>
      <c r="J1443" t="str">
        <f>MAIN!A1448&amp;"B"</f>
        <v>B</v>
      </c>
      <c r="K1443" s="12" t="e">
        <f t="shared" si="91"/>
        <v>#VALUE!</v>
      </c>
      <c r="L1443" t="str">
        <f>MAIN!C1448</f>
        <v/>
      </c>
    </row>
    <row r="1444" spans="1:12" x14ac:dyDescent="0.3">
      <c r="A1444">
        <f>IF(J1444="0",0,IF(COUNTIF($J$2:J1444,J1444)=1,1,0))</f>
        <v>0</v>
      </c>
      <c r="B1444" s="12" t="e">
        <f>MID(MAIN!A1449,K1444,2)</f>
        <v>#VALUE!</v>
      </c>
      <c r="C1444" s="12" t="e">
        <f t="shared" si="88"/>
        <v>#VALUE!</v>
      </c>
      <c r="D1444" s="12" t="e">
        <f>MID(MAIN!A1449,K1444+2,2)</f>
        <v>#VALUE!</v>
      </c>
      <c r="E1444" s="12" t="e">
        <f>MID(MAIN!A1449,K1444+4,2)</f>
        <v>#VALUE!</v>
      </c>
      <c r="F1444" s="2" t="e">
        <f t="shared" si="89"/>
        <v>#VALUE!</v>
      </c>
      <c r="G1444" s="13" t="e">
        <f t="shared" si="90"/>
        <v>#VALUE!</v>
      </c>
      <c r="J1444" t="str">
        <f>MAIN!A1449&amp;"B"</f>
        <v>B</v>
      </c>
      <c r="K1444" s="12" t="e">
        <f t="shared" si="91"/>
        <v>#VALUE!</v>
      </c>
      <c r="L1444" t="str">
        <f>MAIN!C1449</f>
        <v/>
      </c>
    </row>
    <row r="1445" spans="1:12" x14ac:dyDescent="0.3">
      <c r="A1445">
        <f>IF(J1445="0",0,IF(COUNTIF($J$2:J1445,J1445)=1,1,0))</f>
        <v>0</v>
      </c>
      <c r="B1445" s="12" t="e">
        <f>MID(MAIN!A1450,K1445,2)</f>
        <v>#VALUE!</v>
      </c>
      <c r="C1445" s="12" t="e">
        <f t="shared" si="88"/>
        <v>#VALUE!</v>
      </c>
      <c r="D1445" s="12" t="e">
        <f>MID(MAIN!A1450,K1445+2,2)</f>
        <v>#VALUE!</v>
      </c>
      <c r="E1445" s="12" t="e">
        <f>MID(MAIN!A1450,K1445+4,2)</f>
        <v>#VALUE!</v>
      </c>
      <c r="F1445" s="2" t="e">
        <f t="shared" si="89"/>
        <v>#VALUE!</v>
      </c>
      <c r="G1445" s="13" t="e">
        <f t="shared" si="90"/>
        <v>#VALUE!</v>
      </c>
      <c r="J1445" t="str">
        <f>MAIN!A1450&amp;"B"</f>
        <v>B</v>
      </c>
      <c r="K1445" s="12" t="e">
        <f t="shared" si="91"/>
        <v>#VALUE!</v>
      </c>
      <c r="L1445" t="str">
        <f>MAIN!C1450</f>
        <v/>
      </c>
    </row>
    <row r="1446" spans="1:12" x14ac:dyDescent="0.3">
      <c r="A1446">
        <f>IF(J1446="0",0,IF(COUNTIF($J$2:J1446,J1446)=1,1,0))</f>
        <v>0</v>
      </c>
      <c r="B1446" s="12" t="e">
        <f>MID(MAIN!A1451,K1446,2)</f>
        <v>#VALUE!</v>
      </c>
      <c r="C1446" s="12" t="e">
        <f t="shared" si="88"/>
        <v>#VALUE!</v>
      </c>
      <c r="D1446" s="12" t="e">
        <f>MID(MAIN!A1451,K1446+2,2)</f>
        <v>#VALUE!</v>
      </c>
      <c r="E1446" s="12" t="e">
        <f>MID(MAIN!A1451,K1446+4,2)</f>
        <v>#VALUE!</v>
      </c>
      <c r="F1446" s="2" t="e">
        <f t="shared" si="89"/>
        <v>#VALUE!</v>
      </c>
      <c r="G1446" s="13" t="e">
        <f t="shared" si="90"/>
        <v>#VALUE!</v>
      </c>
      <c r="J1446" t="str">
        <f>MAIN!A1451&amp;"B"</f>
        <v>B</v>
      </c>
      <c r="K1446" s="12" t="e">
        <f t="shared" si="91"/>
        <v>#VALUE!</v>
      </c>
      <c r="L1446" t="str">
        <f>MAIN!C1451</f>
        <v/>
      </c>
    </row>
    <row r="1447" spans="1:12" x14ac:dyDescent="0.3">
      <c r="A1447">
        <f>IF(J1447="0",0,IF(COUNTIF($J$2:J1447,J1447)=1,1,0))</f>
        <v>0</v>
      </c>
      <c r="B1447" s="12" t="e">
        <f>MID(MAIN!A1452,K1447,2)</f>
        <v>#VALUE!</v>
      </c>
      <c r="C1447" s="12" t="e">
        <f t="shared" si="88"/>
        <v>#VALUE!</v>
      </c>
      <c r="D1447" s="12" t="e">
        <f>MID(MAIN!A1452,K1447+2,2)</f>
        <v>#VALUE!</v>
      </c>
      <c r="E1447" s="12" t="e">
        <f>MID(MAIN!A1452,K1447+4,2)</f>
        <v>#VALUE!</v>
      </c>
      <c r="F1447" s="2" t="e">
        <f t="shared" si="89"/>
        <v>#VALUE!</v>
      </c>
      <c r="G1447" s="13" t="e">
        <f t="shared" si="90"/>
        <v>#VALUE!</v>
      </c>
      <c r="J1447" t="str">
        <f>MAIN!A1452&amp;"B"</f>
        <v>B</v>
      </c>
      <c r="K1447" s="12" t="e">
        <f t="shared" si="91"/>
        <v>#VALUE!</v>
      </c>
      <c r="L1447" t="str">
        <f>MAIN!C1452</f>
        <v/>
      </c>
    </row>
    <row r="1448" spans="1:12" x14ac:dyDescent="0.3">
      <c r="A1448">
        <f>IF(J1448="0",0,IF(COUNTIF($J$2:J1448,J1448)=1,1,0))</f>
        <v>0</v>
      </c>
      <c r="B1448" s="12" t="e">
        <f>MID(MAIN!A1453,K1448,2)</f>
        <v>#VALUE!</v>
      </c>
      <c r="C1448" s="12" t="e">
        <f t="shared" si="88"/>
        <v>#VALUE!</v>
      </c>
      <c r="D1448" s="12" t="e">
        <f>MID(MAIN!A1453,K1448+2,2)</f>
        <v>#VALUE!</v>
      </c>
      <c r="E1448" s="12" t="e">
        <f>MID(MAIN!A1453,K1448+4,2)</f>
        <v>#VALUE!</v>
      </c>
      <c r="F1448" s="2" t="e">
        <f t="shared" si="89"/>
        <v>#VALUE!</v>
      </c>
      <c r="G1448" s="13" t="e">
        <f t="shared" si="90"/>
        <v>#VALUE!</v>
      </c>
      <c r="J1448" t="str">
        <f>MAIN!A1453&amp;"B"</f>
        <v>B</v>
      </c>
      <c r="K1448" s="12" t="e">
        <f t="shared" si="91"/>
        <v>#VALUE!</v>
      </c>
      <c r="L1448" t="str">
        <f>MAIN!C1453</f>
        <v/>
      </c>
    </row>
    <row r="1449" spans="1:12" x14ac:dyDescent="0.3">
      <c r="A1449">
        <f>IF(J1449="0",0,IF(COUNTIF($J$2:J1449,J1449)=1,1,0))</f>
        <v>0</v>
      </c>
      <c r="B1449" s="12" t="e">
        <f>MID(MAIN!A1454,K1449,2)</f>
        <v>#VALUE!</v>
      </c>
      <c r="C1449" s="12" t="e">
        <f t="shared" si="88"/>
        <v>#VALUE!</v>
      </c>
      <c r="D1449" s="12" t="e">
        <f>MID(MAIN!A1454,K1449+2,2)</f>
        <v>#VALUE!</v>
      </c>
      <c r="E1449" s="12" t="e">
        <f>MID(MAIN!A1454,K1449+4,2)</f>
        <v>#VALUE!</v>
      </c>
      <c r="F1449" s="2" t="e">
        <f t="shared" si="89"/>
        <v>#VALUE!</v>
      </c>
      <c r="G1449" s="13" t="e">
        <f t="shared" si="90"/>
        <v>#VALUE!</v>
      </c>
      <c r="J1449" t="str">
        <f>MAIN!A1454&amp;"B"</f>
        <v>B</v>
      </c>
      <c r="K1449" s="12" t="e">
        <f t="shared" si="91"/>
        <v>#VALUE!</v>
      </c>
      <c r="L1449" t="str">
        <f>MAIN!C1454</f>
        <v/>
      </c>
    </row>
    <row r="1450" spans="1:12" x14ac:dyDescent="0.3">
      <c r="A1450">
        <f>IF(J1450="0",0,IF(COUNTIF($J$2:J1450,J1450)=1,1,0))</f>
        <v>0</v>
      </c>
      <c r="B1450" s="12" t="e">
        <f>MID(MAIN!A1455,K1450,2)</f>
        <v>#VALUE!</v>
      </c>
      <c r="C1450" s="12" t="e">
        <f t="shared" si="88"/>
        <v>#VALUE!</v>
      </c>
      <c r="D1450" s="12" t="e">
        <f>MID(MAIN!A1455,K1450+2,2)</f>
        <v>#VALUE!</v>
      </c>
      <c r="E1450" s="12" t="e">
        <f>MID(MAIN!A1455,K1450+4,2)</f>
        <v>#VALUE!</v>
      </c>
      <c r="F1450" s="2" t="e">
        <f t="shared" si="89"/>
        <v>#VALUE!</v>
      </c>
      <c r="G1450" s="13" t="e">
        <f t="shared" si="90"/>
        <v>#VALUE!</v>
      </c>
      <c r="J1450" t="str">
        <f>MAIN!A1455&amp;"B"</f>
        <v>B</v>
      </c>
      <c r="K1450" s="12" t="e">
        <f t="shared" si="91"/>
        <v>#VALUE!</v>
      </c>
      <c r="L1450" t="str">
        <f>MAIN!C1455</f>
        <v/>
      </c>
    </row>
    <row r="1451" spans="1:12" x14ac:dyDescent="0.3">
      <c r="A1451">
        <f>IF(J1451="0",0,IF(COUNTIF($J$2:J1451,J1451)=1,1,0))</f>
        <v>0</v>
      </c>
      <c r="B1451" s="12" t="e">
        <f>MID(MAIN!A1456,K1451,2)</f>
        <v>#VALUE!</v>
      </c>
      <c r="C1451" s="12" t="e">
        <f t="shared" si="88"/>
        <v>#VALUE!</v>
      </c>
      <c r="D1451" s="12" t="e">
        <f>MID(MAIN!A1456,K1451+2,2)</f>
        <v>#VALUE!</v>
      </c>
      <c r="E1451" s="12" t="e">
        <f>MID(MAIN!A1456,K1451+4,2)</f>
        <v>#VALUE!</v>
      </c>
      <c r="F1451" s="2" t="e">
        <f t="shared" si="89"/>
        <v>#VALUE!</v>
      </c>
      <c r="G1451" s="13" t="e">
        <f t="shared" si="90"/>
        <v>#VALUE!</v>
      </c>
      <c r="J1451" t="str">
        <f>MAIN!A1456&amp;"B"</f>
        <v>B</v>
      </c>
      <c r="K1451" s="12" t="e">
        <f t="shared" si="91"/>
        <v>#VALUE!</v>
      </c>
      <c r="L1451" t="str">
        <f>MAIN!C1456</f>
        <v/>
      </c>
    </row>
    <row r="1452" spans="1:12" x14ac:dyDescent="0.3">
      <c r="A1452">
        <f>IF(J1452="0",0,IF(COUNTIF($J$2:J1452,J1452)=1,1,0))</f>
        <v>0</v>
      </c>
      <c r="B1452" s="12" t="e">
        <f>MID(MAIN!A1457,K1452,2)</f>
        <v>#VALUE!</v>
      </c>
      <c r="C1452" s="12" t="e">
        <f t="shared" si="88"/>
        <v>#VALUE!</v>
      </c>
      <c r="D1452" s="12" t="e">
        <f>MID(MAIN!A1457,K1452+2,2)</f>
        <v>#VALUE!</v>
      </c>
      <c r="E1452" s="12" t="e">
        <f>MID(MAIN!A1457,K1452+4,2)</f>
        <v>#VALUE!</v>
      </c>
      <c r="F1452" s="2" t="e">
        <f t="shared" si="89"/>
        <v>#VALUE!</v>
      </c>
      <c r="G1452" s="13" t="e">
        <f t="shared" si="90"/>
        <v>#VALUE!</v>
      </c>
      <c r="J1452" t="str">
        <f>MAIN!A1457&amp;"B"</f>
        <v>B</v>
      </c>
      <c r="K1452" s="12" t="e">
        <f t="shared" si="91"/>
        <v>#VALUE!</v>
      </c>
      <c r="L1452" t="str">
        <f>MAIN!C1457</f>
        <v/>
      </c>
    </row>
    <row r="1453" spans="1:12" x14ac:dyDescent="0.3">
      <c r="A1453">
        <f>IF(J1453="0",0,IF(COUNTIF($J$2:J1453,J1453)=1,1,0))</f>
        <v>0</v>
      </c>
      <c r="B1453" s="12" t="e">
        <f>MID(MAIN!A1458,K1453,2)</f>
        <v>#VALUE!</v>
      </c>
      <c r="C1453" s="12" t="e">
        <f t="shared" si="88"/>
        <v>#VALUE!</v>
      </c>
      <c r="D1453" s="12" t="e">
        <f>MID(MAIN!A1458,K1453+2,2)</f>
        <v>#VALUE!</v>
      </c>
      <c r="E1453" s="12" t="e">
        <f>MID(MAIN!A1458,K1453+4,2)</f>
        <v>#VALUE!</v>
      </c>
      <c r="F1453" s="2" t="e">
        <f t="shared" si="89"/>
        <v>#VALUE!</v>
      </c>
      <c r="G1453" s="13" t="e">
        <f t="shared" si="90"/>
        <v>#VALUE!</v>
      </c>
      <c r="J1453" t="str">
        <f>MAIN!A1458&amp;"B"</f>
        <v>B</v>
      </c>
      <c r="K1453" s="12" t="e">
        <f t="shared" si="91"/>
        <v>#VALUE!</v>
      </c>
      <c r="L1453" t="str">
        <f>MAIN!C1458</f>
        <v/>
      </c>
    </row>
    <row r="1454" spans="1:12" x14ac:dyDescent="0.3">
      <c r="A1454">
        <f>IF(J1454="0",0,IF(COUNTIF($J$2:J1454,J1454)=1,1,0))</f>
        <v>0</v>
      </c>
      <c r="B1454" s="12" t="e">
        <f>MID(MAIN!A1459,K1454,2)</f>
        <v>#VALUE!</v>
      </c>
      <c r="C1454" s="12" t="e">
        <f t="shared" si="88"/>
        <v>#VALUE!</v>
      </c>
      <c r="D1454" s="12" t="e">
        <f>MID(MAIN!A1459,K1454+2,2)</f>
        <v>#VALUE!</v>
      </c>
      <c r="E1454" s="12" t="e">
        <f>MID(MAIN!A1459,K1454+4,2)</f>
        <v>#VALUE!</v>
      </c>
      <c r="F1454" s="2" t="e">
        <f t="shared" si="89"/>
        <v>#VALUE!</v>
      </c>
      <c r="G1454" s="13" t="e">
        <f t="shared" si="90"/>
        <v>#VALUE!</v>
      </c>
      <c r="J1454" t="str">
        <f>MAIN!A1459&amp;"B"</f>
        <v>B</v>
      </c>
      <c r="K1454" s="12" t="e">
        <f t="shared" si="91"/>
        <v>#VALUE!</v>
      </c>
      <c r="L1454" t="str">
        <f>MAIN!C1459</f>
        <v/>
      </c>
    </row>
    <row r="1455" spans="1:12" x14ac:dyDescent="0.3">
      <c r="A1455">
        <f>IF(J1455="0",0,IF(COUNTIF($J$2:J1455,J1455)=1,1,0))</f>
        <v>0</v>
      </c>
      <c r="B1455" s="12" t="e">
        <f>MID(MAIN!A1460,K1455,2)</f>
        <v>#VALUE!</v>
      </c>
      <c r="C1455" s="12" t="e">
        <f t="shared" si="88"/>
        <v>#VALUE!</v>
      </c>
      <c r="D1455" s="12" t="e">
        <f>MID(MAIN!A1460,K1455+2,2)</f>
        <v>#VALUE!</v>
      </c>
      <c r="E1455" s="12" t="e">
        <f>MID(MAIN!A1460,K1455+4,2)</f>
        <v>#VALUE!</v>
      </c>
      <c r="F1455" s="2" t="e">
        <f t="shared" si="89"/>
        <v>#VALUE!</v>
      </c>
      <c r="G1455" s="13" t="e">
        <f t="shared" si="90"/>
        <v>#VALUE!</v>
      </c>
      <c r="J1455" t="str">
        <f>MAIN!A1460&amp;"B"</f>
        <v>B</v>
      </c>
      <c r="K1455" s="12" t="e">
        <f t="shared" si="91"/>
        <v>#VALUE!</v>
      </c>
      <c r="L1455" t="str">
        <f>MAIN!C1460</f>
        <v/>
      </c>
    </row>
    <row r="1456" spans="1:12" x14ac:dyDescent="0.3">
      <c r="A1456">
        <f>IF(J1456="0",0,IF(COUNTIF($J$2:J1456,J1456)=1,1,0))</f>
        <v>0</v>
      </c>
      <c r="B1456" s="12" t="e">
        <f>MID(MAIN!A1461,K1456,2)</f>
        <v>#VALUE!</v>
      </c>
      <c r="C1456" s="12" t="e">
        <f t="shared" si="88"/>
        <v>#VALUE!</v>
      </c>
      <c r="D1456" s="12" t="e">
        <f>MID(MAIN!A1461,K1456+2,2)</f>
        <v>#VALUE!</v>
      </c>
      <c r="E1456" s="12" t="e">
        <f>MID(MAIN!A1461,K1456+4,2)</f>
        <v>#VALUE!</v>
      </c>
      <c r="F1456" s="2" t="e">
        <f t="shared" si="89"/>
        <v>#VALUE!</v>
      </c>
      <c r="G1456" s="13" t="e">
        <f t="shared" si="90"/>
        <v>#VALUE!</v>
      </c>
      <c r="J1456" t="str">
        <f>MAIN!A1461&amp;"B"</f>
        <v>B</v>
      </c>
      <c r="K1456" s="12" t="e">
        <f t="shared" si="91"/>
        <v>#VALUE!</v>
      </c>
      <c r="L1456" t="str">
        <f>MAIN!C1461</f>
        <v/>
      </c>
    </row>
    <row r="1457" spans="1:12" x14ac:dyDescent="0.3">
      <c r="A1457">
        <f>IF(J1457="0",0,IF(COUNTIF($J$2:J1457,J1457)=1,1,0))</f>
        <v>0</v>
      </c>
      <c r="B1457" s="12" t="e">
        <f>MID(MAIN!A1462,K1457,2)</f>
        <v>#VALUE!</v>
      </c>
      <c r="C1457" s="12" t="e">
        <f t="shared" si="88"/>
        <v>#VALUE!</v>
      </c>
      <c r="D1457" s="12" t="e">
        <f>MID(MAIN!A1462,K1457+2,2)</f>
        <v>#VALUE!</v>
      </c>
      <c r="E1457" s="12" t="e">
        <f>MID(MAIN!A1462,K1457+4,2)</f>
        <v>#VALUE!</v>
      </c>
      <c r="F1457" s="2" t="e">
        <f t="shared" si="89"/>
        <v>#VALUE!</v>
      </c>
      <c r="G1457" s="13" t="e">
        <f t="shared" si="90"/>
        <v>#VALUE!</v>
      </c>
      <c r="J1457" t="str">
        <f>MAIN!A1462&amp;"B"</f>
        <v>B</v>
      </c>
      <c r="K1457" s="12" t="e">
        <f t="shared" si="91"/>
        <v>#VALUE!</v>
      </c>
      <c r="L1457" t="str">
        <f>MAIN!C1462</f>
        <v/>
      </c>
    </row>
    <row r="1458" spans="1:12" x14ac:dyDescent="0.3">
      <c r="A1458">
        <f>IF(J1458="0",0,IF(COUNTIF($J$2:J1458,J1458)=1,1,0))</f>
        <v>0</v>
      </c>
      <c r="B1458" s="12" t="e">
        <f>MID(MAIN!A1463,K1458,2)</f>
        <v>#VALUE!</v>
      </c>
      <c r="C1458" s="12" t="e">
        <f t="shared" si="88"/>
        <v>#VALUE!</v>
      </c>
      <c r="D1458" s="12" t="e">
        <f>MID(MAIN!A1463,K1458+2,2)</f>
        <v>#VALUE!</v>
      </c>
      <c r="E1458" s="12" t="e">
        <f>MID(MAIN!A1463,K1458+4,2)</f>
        <v>#VALUE!</v>
      </c>
      <c r="F1458" s="2" t="e">
        <f t="shared" si="89"/>
        <v>#VALUE!</v>
      </c>
      <c r="G1458" s="13" t="e">
        <f t="shared" si="90"/>
        <v>#VALUE!</v>
      </c>
      <c r="J1458" t="str">
        <f>MAIN!A1463&amp;"B"</f>
        <v>B</v>
      </c>
      <c r="K1458" s="12" t="e">
        <f t="shared" si="91"/>
        <v>#VALUE!</v>
      </c>
      <c r="L1458" t="str">
        <f>MAIN!C1463</f>
        <v/>
      </c>
    </row>
    <row r="1459" spans="1:12" x14ac:dyDescent="0.3">
      <c r="A1459">
        <f>IF(J1459="0",0,IF(COUNTIF($J$2:J1459,J1459)=1,1,0))</f>
        <v>0</v>
      </c>
      <c r="B1459" s="12" t="e">
        <f>MID(MAIN!A1464,K1459,2)</f>
        <v>#VALUE!</v>
      </c>
      <c r="C1459" s="12" t="e">
        <f t="shared" si="88"/>
        <v>#VALUE!</v>
      </c>
      <c r="D1459" s="12" t="e">
        <f>MID(MAIN!A1464,K1459+2,2)</f>
        <v>#VALUE!</v>
      </c>
      <c r="E1459" s="12" t="e">
        <f>MID(MAIN!A1464,K1459+4,2)</f>
        <v>#VALUE!</v>
      </c>
      <c r="F1459" s="2" t="e">
        <f t="shared" si="89"/>
        <v>#VALUE!</v>
      </c>
      <c r="G1459" s="13" t="e">
        <f t="shared" si="90"/>
        <v>#VALUE!</v>
      </c>
      <c r="J1459" t="str">
        <f>MAIN!A1464&amp;"B"</f>
        <v>B</v>
      </c>
      <c r="K1459" s="12" t="e">
        <f t="shared" si="91"/>
        <v>#VALUE!</v>
      </c>
      <c r="L1459" t="str">
        <f>MAIN!C1464</f>
        <v/>
      </c>
    </row>
    <row r="1460" spans="1:12" x14ac:dyDescent="0.3">
      <c r="A1460">
        <f>IF(J1460="0",0,IF(COUNTIF($J$2:J1460,J1460)=1,1,0))</f>
        <v>0</v>
      </c>
      <c r="B1460" s="12" t="e">
        <f>MID(MAIN!A1465,K1460,2)</f>
        <v>#VALUE!</v>
      </c>
      <c r="C1460" s="12" t="e">
        <f t="shared" si="88"/>
        <v>#VALUE!</v>
      </c>
      <c r="D1460" s="12" t="e">
        <f>MID(MAIN!A1465,K1460+2,2)</f>
        <v>#VALUE!</v>
      </c>
      <c r="E1460" s="12" t="e">
        <f>MID(MAIN!A1465,K1460+4,2)</f>
        <v>#VALUE!</v>
      </c>
      <c r="F1460" s="2" t="e">
        <f t="shared" si="89"/>
        <v>#VALUE!</v>
      </c>
      <c r="G1460" s="13" t="e">
        <f t="shared" si="90"/>
        <v>#VALUE!</v>
      </c>
      <c r="J1460" t="str">
        <f>MAIN!A1465&amp;"B"</f>
        <v>B</v>
      </c>
      <c r="K1460" s="12" t="e">
        <f t="shared" si="91"/>
        <v>#VALUE!</v>
      </c>
      <c r="L1460" t="str">
        <f>MAIN!C1465</f>
        <v/>
      </c>
    </row>
    <row r="1461" spans="1:12" x14ac:dyDescent="0.3">
      <c r="A1461">
        <f>IF(J1461="0",0,IF(COUNTIF($J$2:J1461,J1461)=1,1,0))</f>
        <v>0</v>
      </c>
      <c r="B1461" s="12" t="e">
        <f>MID(MAIN!A1466,K1461,2)</f>
        <v>#VALUE!</v>
      </c>
      <c r="C1461" s="12" t="e">
        <f t="shared" si="88"/>
        <v>#VALUE!</v>
      </c>
      <c r="D1461" s="12" t="e">
        <f>MID(MAIN!A1466,K1461+2,2)</f>
        <v>#VALUE!</v>
      </c>
      <c r="E1461" s="12" t="e">
        <f>MID(MAIN!A1466,K1461+4,2)</f>
        <v>#VALUE!</v>
      </c>
      <c r="F1461" s="2" t="e">
        <f t="shared" si="89"/>
        <v>#VALUE!</v>
      </c>
      <c r="G1461" s="13" t="e">
        <f t="shared" si="90"/>
        <v>#VALUE!</v>
      </c>
      <c r="J1461" t="str">
        <f>MAIN!A1466&amp;"B"</f>
        <v>B</v>
      </c>
      <c r="K1461" s="12" t="e">
        <f t="shared" si="91"/>
        <v>#VALUE!</v>
      </c>
      <c r="L1461" t="str">
        <f>MAIN!C1466</f>
        <v/>
      </c>
    </row>
    <row r="1462" spans="1:12" x14ac:dyDescent="0.3">
      <c r="A1462">
        <f>IF(J1462="0",0,IF(COUNTIF($J$2:J1462,J1462)=1,1,0))</f>
        <v>0</v>
      </c>
      <c r="B1462" s="12" t="e">
        <f>MID(MAIN!A1467,K1462,2)</f>
        <v>#VALUE!</v>
      </c>
      <c r="C1462" s="12" t="e">
        <f t="shared" si="88"/>
        <v>#VALUE!</v>
      </c>
      <c r="D1462" s="12" t="e">
        <f>MID(MAIN!A1467,K1462+2,2)</f>
        <v>#VALUE!</v>
      </c>
      <c r="E1462" s="12" t="e">
        <f>MID(MAIN!A1467,K1462+4,2)</f>
        <v>#VALUE!</v>
      </c>
      <c r="F1462" s="2" t="e">
        <f t="shared" si="89"/>
        <v>#VALUE!</v>
      </c>
      <c r="G1462" s="13" t="e">
        <f t="shared" si="90"/>
        <v>#VALUE!</v>
      </c>
      <c r="J1462" t="str">
        <f>MAIN!A1467&amp;"B"</f>
        <v>B</v>
      </c>
      <c r="K1462" s="12" t="e">
        <f t="shared" si="91"/>
        <v>#VALUE!</v>
      </c>
      <c r="L1462" t="str">
        <f>MAIN!C1467</f>
        <v/>
      </c>
    </row>
    <row r="1463" spans="1:12" x14ac:dyDescent="0.3">
      <c r="A1463">
        <f>IF(J1463="0",0,IF(COUNTIF($J$2:J1463,J1463)=1,1,0))</f>
        <v>0</v>
      </c>
      <c r="B1463" s="12" t="e">
        <f>MID(MAIN!A1468,K1463,2)</f>
        <v>#VALUE!</v>
      </c>
      <c r="C1463" s="12" t="e">
        <f t="shared" si="88"/>
        <v>#VALUE!</v>
      </c>
      <c r="D1463" s="12" t="e">
        <f>MID(MAIN!A1468,K1463+2,2)</f>
        <v>#VALUE!</v>
      </c>
      <c r="E1463" s="12" t="e">
        <f>MID(MAIN!A1468,K1463+4,2)</f>
        <v>#VALUE!</v>
      </c>
      <c r="F1463" s="2" t="e">
        <f t="shared" si="89"/>
        <v>#VALUE!</v>
      </c>
      <c r="G1463" s="13" t="e">
        <f t="shared" si="90"/>
        <v>#VALUE!</v>
      </c>
      <c r="J1463" t="str">
        <f>MAIN!A1468&amp;"B"</f>
        <v>B</v>
      </c>
      <c r="K1463" s="12" t="e">
        <f t="shared" si="91"/>
        <v>#VALUE!</v>
      </c>
      <c r="L1463" t="str">
        <f>MAIN!C1468</f>
        <v/>
      </c>
    </row>
    <row r="1464" spans="1:12" x14ac:dyDescent="0.3">
      <c r="A1464">
        <f>IF(J1464="0",0,IF(COUNTIF($J$2:J1464,J1464)=1,1,0))</f>
        <v>0</v>
      </c>
      <c r="B1464" s="12" t="e">
        <f>MID(MAIN!A1469,K1464,2)</f>
        <v>#VALUE!</v>
      </c>
      <c r="C1464" s="12" t="e">
        <f t="shared" si="88"/>
        <v>#VALUE!</v>
      </c>
      <c r="D1464" s="12" t="e">
        <f>MID(MAIN!A1469,K1464+2,2)</f>
        <v>#VALUE!</v>
      </c>
      <c r="E1464" s="12" t="e">
        <f>MID(MAIN!A1469,K1464+4,2)</f>
        <v>#VALUE!</v>
      </c>
      <c r="F1464" s="2" t="e">
        <f t="shared" si="89"/>
        <v>#VALUE!</v>
      </c>
      <c r="G1464" s="13" t="e">
        <f t="shared" si="90"/>
        <v>#VALUE!</v>
      </c>
      <c r="J1464" t="str">
        <f>MAIN!A1469&amp;"B"</f>
        <v>B</v>
      </c>
      <c r="K1464" s="12" t="e">
        <f t="shared" si="91"/>
        <v>#VALUE!</v>
      </c>
      <c r="L1464" t="str">
        <f>MAIN!C1469</f>
        <v/>
      </c>
    </row>
    <row r="1465" spans="1:12" x14ac:dyDescent="0.3">
      <c r="A1465">
        <f>IF(J1465="0",0,IF(COUNTIF($J$2:J1465,J1465)=1,1,0))</f>
        <v>0</v>
      </c>
      <c r="B1465" s="12" t="e">
        <f>MID(MAIN!A1470,K1465,2)</f>
        <v>#VALUE!</v>
      </c>
      <c r="C1465" s="12" t="e">
        <f t="shared" si="88"/>
        <v>#VALUE!</v>
      </c>
      <c r="D1465" s="12" t="e">
        <f>MID(MAIN!A1470,K1465+2,2)</f>
        <v>#VALUE!</v>
      </c>
      <c r="E1465" s="12" t="e">
        <f>MID(MAIN!A1470,K1465+4,2)</f>
        <v>#VALUE!</v>
      </c>
      <c r="F1465" s="2" t="e">
        <f t="shared" si="89"/>
        <v>#VALUE!</v>
      </c>
      <c r="G1465" s="13" t="e">
        <f t="shared" si="90"/>
        <v>#VALUE!</v>
      </c>
      <c r="J1465" t="str">
        <f>MAIN!A1470&amp;"B"</f>
        <v>B</v>
      </c>
      <c r="K1465" s="12" t="e">
        <f t="shared" si="91"/>
        <v>#VALUE!</v>
      </c>
      <c r="L1465" t="str">
        <f>MAIN!C1470</f>
        <v/>
      </c>
    </row>
    <row r="1466" spans="1:12" x14ac:dyDescent="0.3">
      <c r="A1466">
        <f>IF(J1466="0",0,IF(COUNTIF($J$2:J1466,J1466)=1,1,0))</f>
        <v>0</v>
      </c>
      <c r="B1466" s="12" t="e">
        <f>MID(MAIN!A1471,K1466,2)</f>
        <v>#VALUE!</v>
      </c>
      <c r="C1466" s="12" t="e">
        <f t="shared" si="88"/>
        <v>#VALUE!</v>
      </c>
      <c r="D1466" s="12" t="e">
        <f>MID(MAIN!A1471,K1466+2,2)</f>
        <v>#VALUE!</v>
      </c>
      <c r="E1466" s="12" t="e">
        <f>MID(MAIN!A1471,K1466+4,2)</f>
        <v>#VALUE!</v>
      </c>
      <c r="F1466" s="2" t="e">
        <f t="shared" si="89"/>
        <v>#VALUE!</v>
      </c>
      <c r="G1466" s="13" t="e">
        <f t="shared" si="90"/>
        <v>#VALUE!</v>
      </c>
      <c r="J1466" t="str">
        <f>MAIN!A1471&amp;"B"</f>
        <v>B</v>
      </c>
      <c r="K1466" s="12" t="e">
        <f t="shared" si="91"/>
        <v>#VALUE!</v>
      </c>
      <c r="L1466" t="str">
        <f>MAIN!C1471</f>
        <v/>
      </c>
    </row>
    <row r="1467" spans="1:12" x14ac:dyDescent="0.3">
      <c r="A1467">
        <f>IF(J1467="0",0,IF(COUNTIF($J$2:J1467,J1467)=1,1,0))</f>
        <v>0</v>
      </c>
      <c r="B1467" s="12" t="e">
        <f>MID(MAIN!A1472,K1467,2)</f>
        <v>#VALUE!</v>
      </c>
      <c r="C1467" s="12" t="e">
        <f t="shared" si="88"/>
        <v>#VALUE!</v>
      </c>
      <c r="D1467" s="12" t="e">
        <f>MID(MAIN!A1472,K1467+2,2)</f>
        <v>#VALUE!</v>
      </c>
      <c r="E1467" s="12" t="e">
        <f>MID(MAIN!A1472,K1467+4,2)</f>
        <v>#VALUE!</v>
      </c>
      <c r="F1467" s="2" t="e">
        <f t="shared" si="89"/>
        <v>#VALUE!</v>
      </c>
      <c r="G1467" s="13" t="e">
        <f t="shared" si="90"/>
        <v>#VALUE!</v>
      </c>
      <c r="J1467" t="str">
        <f>MAIN!A1472&amp;"B"</f>
        <v>B</v>
      </c>
      <c r="K1467" s="12" t="e">
        <f t="shared" si="91"/>
        <v>#VALUE!</v>
      </c>
      <c r="L1467" t="str">
        <f>MAIN!C1472</f>
        <v/>
      </c>
    </row>
    <row r="1468" spans="1:12" x14ac:dyDescent="0.3">
      <c r="A1468">
        <f>IF(J1468="0",0,IF(COUNTIF($J$2:J1468,J1468)=1,1,0))</f>
        <v>0</v>
      </c>
      <c r="B1468" s="12" t="e">
        <f>MID(MAIN!A1473,K1468,2)</f>
        <v>#VALUE!</v>
      </c>
      <c r="C1468" s="12" t="e">
        <f t="shared" si="88"/>
        <v>#VALUE!</v>
      </c>
      <c r="D1468" s="12" t="e">
        <f>MID(MAIN!A1473,K1468+2,2)</f>
        <v>#VALUE!</v>
      </c>
      <c r="E1468" s="12" t="e">
        <f>MID(MAIN!A1473,K1468+4,2)</f>
        <v>#VALUE!</v>
      </c>
      <c r="F1468" s="2" t="e">
        <f t="shared" si="89"/>
        <v>#VALUE!</v>
      </c>
      <c r="G1468" s="13" t="e">
        <f t="shared" si="90"/>
        <v>#VALUE!</v>
      </c>
      <c r="J1468" t="str">
        <f>MAIN!A1473&amp;"B"</f>
        <v>B</v>
      </c>
      <c r="K1468" s="12" t="e">
        <f t="shared" si="91"/>
        <v>#VALUE!</v>
      </c>
      <c r="L1468" t="str">
        <f>MAIN!C1473</f>
        <v/>
      </c>
    </row>
    <row r="1469" spans="1:12" x14ac:dyDescent="0.3">
      <c r="A1469">
        <f>IF(J1469="0",0,IF(COUNTIF($J$2:J1469,J1469)=1,1,0))</f>
        <v>0</v>
      </c>
      <c r="B1469" s="12" t="e">
        <f>MID(MAIN!A1474,K1469,2)</f>
        <v>#VALUE!</v>
      </c>
      <c r="C1469" s="12" t="e">
        <f t="shared" si="88"/>
        <v>#VALUE!</v>
      </c>
      <c r="D1469" s="12" t="e">
        <f>MID(MAIN!A1474,K1469+2,2)</f>
        <v>#VALUE!</v>
      </c>
      <c r="E1469" s="12" t="e">
        <f>MID(MAIN!A1474,K1469+4,2)</f>
        <v>#VALUE!</v>
      </c>
      <c r="F1469" s="2" t="e">
        <f t="shared" si="89"/>
        <v>#VALUE!</v>
      </c>
      <c r="G1469" s="13" t="e">
        <f t="shared" si="90"/>
        <v>#VALUE!</v>
      </c>
      <c r="J1469" t="str">
        <f>MAIN!A1474&amp;"B"</f>
        <v>B</v>
      </c>
      <c r="K1469" s="12" t="e">
        <f t="shared" si="91"/>
        <v>#VALUE!</v>
      </c>
      <c r="L1469" t="str">
        <f>MAIN!C1474</f>
        <v/>
      </c>
    </row>
    <row r="1470" spans="1:12" x14ac:dyDescent="0.3">
      <c r="A1470">
        <f>IF(J1470="0",0,IF(COUNTIF($J$2:J1470,J1470)=1,1,0))</f>
        <v>0</v>
      </c>
      <c r="B1470" s="12" t="e">
        <f>MID(MAIN!A1475,K1470,2)</f>
        <v>#VALUE!</v>
      </c>
      <c r="C1470" s="12" t="e">
        <f t="shared" si="88"/>
        <v>#VALUE!</v>
      </c>
      <c r="D1470" s="12" t="e">
        <f>MID(MAIN!A1475,K1470+2,2)</f>
        <v>#VALUE!</v>
      </c>
      <c r="E1470" s="12" t="e">
        <f>MID(MAIN!A1475,K1470+4,2)</f>
        <v>#VALUE!</v>
      </c>
      <c r="F1470" s="2" t="e">
        <f t="shared" si="89"/>
        <v>#VALUE!</v>
      </c>
      <c r="G1470" s="13" t="e">
        <f t="shared" si="90"/>
        <v>#VALUE!</v>
      </c>
      <c r="J1470" t="str">
        <f>MAIN!A1475&amp;"B"</f>
        <v>B</v>
      </c>
      <c r="K1470" s="12" t="e">
        <f t="shared" si="91"/>
        <v>#VALUE!</v>
      </c>
      <c r="L1470" t="str">
        <f>MAIN!C1475</f>
        <v/>
      </c>
    </row>
    <row r="1471" spans="1:12" x14ac:dyDescent="0.3">
      <c r="A1471">
        <f>IF(J1471="0",0,IF(COUNTIF($J$2:J1471,J1471)=1,1,0))</f>
        <v>0</v>
      </c>
      <c r="B1471" s="12" t="e">
        <f>MID(MAIN!A1476,K1471,2)</f>
        <v>#VALUE!</v>
      </c>
      <c r="C1471" s="12" t="e">
        <f t="shared" si="88"/>
        <v>#VALUE!</v>
      </c>
      <c r="D1471" s="12" t="e">
        <f>MID(MAIN!A1476,K1471+2,2)</f>
        <v>#VALUE!</v>
      </c>
      <c r="E1471" s="12" t="e">
        <f>MID(MAIN!A1476,K1471+4,2)</f>
        <v>#VALUE!</v>
      </c>
      <c r="F1471" s="2" t="e">
        <f t="shared" si="89"/>
        <v>#VALUE!</v>
      </c>
      <c r="G1471" s="13" t="e">
        <f t="shared" si="90"/>
        <v>#VALUE!</v>
      </c>
      <c r="J1471" t="str">
        <f>MAIN!A1476&amp;"B"</f>
        <v>B</v>
      </c>
      <c r="K1471" s="12" t="e">
        <f t="shared" si="91"/>
        <v>#VALUE!</v>
      </c>
      <c r="L1471" t="str">
        <f>MAIN!C1476</f>
        <v/>
      </c>
    </row>
    <row r="1472" spans="1:12" x14ac:dyDescent="0.3">
      <c r="A1472">
        <f>IF(J1472="0",0,IF(COUNTIF($J$2:J1472,J1472)=1,1,0))</f>
        <v>0</v>
      </c>
      <c r="B1472" s="12" t="e">
        <f>MID(MAIN!A1477,K1472,2)</f>
        <v>#VALUE!</v>
      </c>
      <c r="C1472" s="12" t="e">
        <f t="shared" si="88"/>
        <v>#VALUE!</v>
      </c>
      <c r="D1472" s="12" t="e">
        <f>MID(MAIN!A1477,K1472+2,2)</f>
        <v>#VALUE!</v>
      </c>
      <c r="E1472" s="12" t="e">
        <f>MID(MAIN!A1477,K1472+4,2)</f>
        <v>#VALUE!</v>
      </c>
      <c r="F1472" s="2" t="e">
        <f t="shared" si="89"/>
        <v>#VALUE!</v>
      </c>
      <c r="G1472" s="13" t="e">
        <f t="shared" si="90"/>
        <v>#VALUE!</v>
      </c>
      <c r="J1472" t="str">
        <f>MAIN!A1477&amp;"B"</f>
        <v>B</v>
      </c>
      <c r="K1472" s="12" t="e">
        <f t="shared" si="91"/>
        <v>#VALUE!</v>
      </c>
      <c r="L1472" t="str">
        <f>MAIN!C1477</f>
        <v/>
      </c>
    </row>
    <row r="1473" spans="1:12" x14ac:dyDescent="0.3">
      <c r="A1473">
        <f>IF(J1473="0",0,IF(COUNTIF($J$2:J1473,J1473)=1,1,0))</f>
        <v>0</v>
      </c>
      <c r="B1473" s="12" t="e">
        <f>MID(MAIN!A1478,K1473,2)</f>
        <v>#VALUE!</v>
      </c>
      <c r="C1473" s="12" t="e">
        <f t="shared" si="88"/>
        <v>#VALUE!</v>
      </c>
      <c r="D1473" s="12" t="e">
        <f>MID(MAIN!A1478,K1473+2,2)</f>
        <v>#VALUE!</v>
      </c>
      <c r="E1473" s="12" t="e">
        <f>MID(MAIN!A1478,K1473+4,2)</f>
        <v>#VALUE!</v>
      </c>
      <c r="F1473" s="2" t="e">
        <f t="shared" si="89"/>
        <v>#VALUE!</v>
      </c>
      <c r="G1473" s="13" t="e">
        <f t="shared" si="90"/>
        <v>#VALUE!</v>
      </c>
      <c r="J1473" t="str">
        <f>MAIN!A1478&amp;"B"</f>
        <v>B</v>
      </c>
      <c r="K1473" s="12" t="e">
        <f t="shared" si="91"/>
        <v>#VALUE!</v>
      </c>
      <c r="L1473" t="str">
        <f>MAIN!C1478</f>
        <v/>
      </c>
    </row>
    <row r="1474" spans="1:12" x14ac:dyDescent="0.3">
      <c r="A1474">
        <f>IF(J1474="0",0,IF(COUNTIF($J$2:J1474,J1474)=1,1,0))</f>
        <v>0</v>
      </c>
      <c r="B1474" s="12" t="e">
        <f>MID(MAIN!A1479,K1474,2)</f>
        <v>#VALUE!</v>
      </c>
      <c r="C1474" s="12" t="e">
        <f t="shared" si="88"/>
        <v>#VALUE!</v>
      </c>
      <c r="D1474" s="12" t="e">
        <f>MID(MAIN!A1479,K1474+2,2)</f>
        <v>#VALUE!</v>
      </c>
      <c r="E1474" s="12" t="e">
        <f>MID(MAIN!A1479,K1474+4,2)</f>
        <v>#VALUE!</v>
      </c>
      <c r="F1474" s="2" t="e">
        <f t="shared" si="89"/>
        <v>#VALUE!</v>
      </c>
      <c r="G1474" s="13" t="e">
        <f t="shared" si="90"/>
        <v>#VALUE!</v>
      </c>
      <c r="J1474" t="str">
        <f>MAIN!A1479&amp;"B"</f>
        <v>B</v>
      </c>
      <c r="K1474" s="12" t="e">
        <f t="shared" si="91"/>
        <v>#VALUE!</v>
      </c>
      <c r="L1474" t="str">
        <f>MAIN!C1479</f>
        <v/>
      </c>
    </row>
    <row r="1475" spans="1:12" x14ac:dyDescent="0.3">
      <c r="A1475">
        <f>IF(J1475="0",0,IF(COUNTIF($J$2:J1475,J1475)=1,1,0))</f>
        <v>0</v>
      </c>
      <c r="B1475" s="12" t="e">
        <f>MID(MAIN!A1480,K1475,2)</f>
        <v>#VALUE!</v>
      </c>
      <c r="C1475" s="12" t="e">
        <f t="shared" ref="C1475:C1538" si="92">"20"&amp;B1475</f>
        <v>#VALUE!</v>
      </c>
      <c r="D1475" s="12" t="e">
        <f>MID(MAIN!A1480,K1475+2,2)</f>
        <v>#VALUE!</v>
      </c>
      <c r="E1475" s="12" t="e">
        <f>MID(MAIN!A1480,K1475+4,2)</f>
        <v>#VALUE!</v>
      </c>
      <c r="F1475" s="2" t="e">
        <f t="shared" ref="F1475:F1538" si="93">C1475&amp;"/"&amp;D1475&amp;"/"&amp;E1475</f>
        <v>#VALUE!</v>
      </c>
      <c r="G1475" s="13" t="e">
        <f t="shared" ref="G1475:G1538" si="94">DATEVALUE(F1475)</f>
        <v>#VALUE!</v>
      </c>
      <c r="J1475" t="str">
        <f>MAIN!A1480&amp;"B"</f>
        <v>B</v>
      </c>
      <c r="K1475" s="12" t="e">
        <f t="shared" ref="K1475:K1538" si="95">FIND("172",J1475,30)+2</f>
        <v>#VALUE!</v>
      </c>
      <c r="L1475" t="str">
        <f>MAIN!C1480</f>
        <v/>
      </c>
    </row>
    <row r="1476" spans="1:12" x14ac:dyDescent="0.3">
      <c r="A1476">
        <f>IF(J1476="0",0,IF(COUNTIF($J$2:J1476,J1476)=1,1,0))</f>
        <v>0</v>
      </c>
      <c r="B1476" s="12" t="e">
        <f>MID(MAIN!A1481,K1476,2)</f>
        <v>#VALUE!</v>
      </c>
      <c r="C1476" s="12" t="e">
        <f t="shared" si="92"/>
        <v>#VALUE!</v>
      </c>
      <c r="D1476" s="12" t="e">
        <f>MID(MAIN!A1481,K1476+2,2)</f>
        <v>#VALUE!</v>
      </c>
      <c r="E1476" s="12" t="e">
        <f>MID(MAIN!A1481,K1476+4,2)</f>
        <v>#VALUE!</v>
      </c>
      <c r="F1476" s="2" t="e">
        <f t="shared" si="93"/>
        <v>#VALUE!</v>
      </c>
      <c r="G1476" s="13" t="e">
        <f t="shared" si="94"/>
        <v>#VALUE!</v>
      </c>
      <c r="J1476" t="str">
        <f>MAIN!A1481&amp;"B"</f>
        <v>B</v>
      </c>
      <c r="K1476" s="12" t="e">
        <f t="shared" si="95"/>
        <v>#VALUE!</v>
      </c>
      <c r="L1476" t="str">
        <f>MAIN!C1481</f>
        <v/>
      </c>
    </row>
    <row r="1477" spans="1:12" x14ac:dyDescent="0.3">
      <c r="A1477">
        <f>IF(J1477="0",0,IF(COUNTIF($J$2:J1477,J1477)=1,1,0))</f>
        <v>0</v>
      </c>
      <c r="B1477" s="12" t="e">
        <f>MID(MAIN!A1482,K1477,2)</f>
        <v>#VALUE!</v>
      </c>
      <c r="C1477" s="12" t="e">
        <f t="shared" si="92"/>
        <v>#VALUE!</v>
      </c>
      <c r="D1477" s="12" t="e">
        <f>MID(MAIN!A1482,K1477+2,2)</f>
        <v>#VALUE!</v>
      </c>
      <c r="E1477" s="12" t="e">
        <f>MID(MAIN!A1482,K1477+4,2)</f>
        <v>#VALUE!</v>
      </c>
      <c r="F1477" s="2" t="e">
        <f t="shared" si="93"/>
        <v>#VALUE!</v>
      </c>
      <c r="G1477" s="13" t="e">
        <f t="shared" si="94"/>
        <v>#VALUE!</v>
      </c>
      <c r="J1477" t="str">
        <f>MAIN!A1482&amp;"B"</f>
        <v>B</v>
      </c>
      <c r="K1477" s="12" t="e">
        <f t="shared" si="95"/>
        <v>#VALUE!</v>
      </c>
      <c r="L1477" t="str">
        <f>MAIN!C1482</f>
        <v/>
      </c>
    </row>
    <row r="1478" spans="1:12" x14ac:dyDescent="0.3">
      <c r="A1478">
        <f>IF(J1478="0",0,IF(COUNTIF($J$2:J1478,J1478)=1,1,0))</f>
        <v>0</v>
      </c>
      <c r="B1478" s="12" t="e">
        <f>MID(MAIN!A1483,K1478,2)</f>
        <v>#VALUE!</v>
      </c>
      <c r="C1478" s="12" t="e">
        <f t="shared" si="92"/>
        <v>#VALUE!</v>
      </c>
      <c r="D1478" s="12" t="e">
        <f>MID(MAIN!A1483,K1478+2,2)</f>
        <v>#VALUE!</v>
      </c>
      <c r="E1478" s="12" t="e">
        <f>MID(MAIN!A1483,K1478+4,2)</f>
        <v>#VALUE!</v>
      </c>
      <c r="F1478" s="2" t="e">
        <f t="shared" si="93"/>
        <v>#VALUE!</v>
      </c>
      <c r="G1478" s="13" t="e">
        <f t="shared" si="94"/>
        <v>#VALUE!</v>
      </c>
      <c r="J1478" t="str">
        <f>MAIN!A1483&amp;"B"</f>
        <v>B</v>
      </c>
      <c r="K1478" s="12" t="e">
        <f t="shared" si="95"/>
        <v>#VALUE!</v>
      </c>
      <c r="L1478" t="str">
        <f>MAIN!C1483</f>
        <v/>
      </c>
    </row>
    <row r="1479" spans="1:12" x14ac:dyDescent="0.3">
      <c r="A1479">
        <f>IF(J1479="0",0,IF(COUNTIF($J$2:J1479,J1479)=1,1,0))</f>
        <v>0</v>
      </c>
      <c r="B1479" s="12" t="e">
        <f>MID(MAIN!A1484,K1479,2)</f>
        <v>#VALUE!</v>
      </c>
      <c r="C1479" s="12" t="e">
        <f t="shared" si="92"/>
        <v>#VALUE!</v>
      </c>
      <c r="D1479" s="12" t="e">
        <f>MID(MAIN!A1484,K1479+2,2)</f>
        <v>#VALUE!</v>
      </c>
      <c r="E1479" s="12" t="e">
        <f>MID(MAIN!A1484,K1479+4,2)</f>
        <v>#VALUE!</v>
      </c>
      <c r="F1479" s="2" t="e">
        <f t="shared" si="93"/>
        <v>#VALUE!</v>
      </c>
      <c r="G1479" s="13" t="e">
        <f t="shared" si="94"/>
        <v>#VALUE!</v>
      </c>
      <c r="J1479" t="str">
        <f>MAIN!A1484&amp;"B"</f>
        <v>B</v>
      </c>
      <c r="K1479" s="12" t="e">
        <f t="shared" si="95"/>
        <v>#VALUE!</v>
      </c>
      <c r="L1479" t="str">
        <f>MAIN!C1484</f>
        <v/>
      </c>
    </row>
    <row r="1480" spans="1:12" x14ac:dyDescent="0.3">
      <c r="A1480">
        <f>IF(J1480="0",0,IF(COUNTIF($J$2:J1480,J1480)=1,1,0))</f>
        <v>0</v>
      </c>
      <c r="B1480" s="12" t="e">
        <f>MID(MAIN!A1485,K1480,2)</f>
        <v>#VALUE!</v>
      </c>
      <c r="C1480" s="12" t="e">
        <f t="shared" si="92"/>
        <v>#VALUE!</v>
      </c>
      <c r="D1480" s="12" t="e">
        <f>MID(MAIN!A1485,K1480+2,2)</f>
        <v>#VALUE!</v>
      </c>
      <c r="E1480" s="12" t="e">
        <f>MID(MAIN!A1485,K1480+4,2)</f>
        <v>#VALUE!</v>
      </c>
      <c r="F1480" s="2" t="e">
        <f t="shared" si="93"/>
        <v>#VALUE!</v>
      </c>
      <c r="G1480" s="13" t="e">
        <f t="shared" si="94"/>
        <v>#VALUE!</v>
      </c>
      <c r="J1480" t="str">
        <f>MAIN!A1485&amp;"B"</f>
        <v>B</v>
      </c>
      <c r="K1480" s="12" t="e">
        <f t="shared" si="95"/>
        <v>#VALUE!</v>
      </c>
      <c r="L1480" t="str">
        <f>MAIN!C1485</f>
        <v/>
      </c>
    </row>
    <row r="1481" spans="1:12" x14ac:dyDescent="0.3">
      <c r="A1481">
        <f>IF(J1481="0",0,IF(COUNTIF($J$2:J1481,J1481)=1,1,0))</f>
        <v>0</v>
      </c>
      <c r="B1481" s="12" t="e">
        <f>MID(MAIN!A1486,K1481,2)</f>
        <v>#VALUE!</v>
      </c>
      <c r="C1481" s="12" t="e">
        <f t="shared" si="92"/>
        <v>#VALUE!</v>
      </c>
      <c r="D1481" s="12" t="e">
        <f>MID(MAIN!A1486,K1481+2,2)</f>
        <v>#VALUE!</v>
      </c>
      <c r="E1481" s="12" t="e">
        <f>MID(MAIN!A1486,K1481+4,2)</f>
        <v>#VALUE!</v>
      </c>
      <c r="F1481" s="2" t="e">
        <f t="shared" si="93"/>
        <v>#VALUE!</v>
      </c>
      <c r="G1481" s="13" t="e">
        <f t="shared" si="94"/>
        <v>#VALUE!</v>
      </c>
      <c r="J1481" t="str">
        <f>MAIN!A1486&amp;"B"</f>
        <v>B</v>
      </c>
      <c r="K1481" s="12" t="e">
        <f t="shared" si="95"/>
        <v>#VALUE!</v>
      </c>
      <c r="L1481" t="str">
        <f>MAIN!C1486</f>
        <v/>
      </c>
    </row>
    <row r="1482" spans="1:12" x14ac:dyDescent="0.3">
      <c r="A1482">
        <f>IF(J1482="0",0,IF(COUNTIF($J$2:J1482,J1482)=1,1,0))</f>
        <v>0</v>
      </c>
      <c r="B1482" s="12" t="e">
        <f>MID(MAIN!A1487,K1482,2)</f>
        <v>#VALUE!</v>
      </c>
      <c r="C1482" s="12" t="e">
        <f t="shared" si="92"/>
        <v>#VALUE!</v>
      </c>
      <c r="D1482" s="12" t="e">
        <f>MID(MAIN!A1487,K1482+2,2)</f>
        <v>#VALUE!</v>
      </c>
      <c r="E1482" s="12" t="e">
        <f>MID(MAIN!A1487,K1482+4,2)</f>
        <v>#VALUE!</v>
      </c>
      <c r="F1482" s="2" t="e">
        <f t="shared" si="93"/>
        <v>#VALUE!</v>
      </c>
      <c r="G1482" s="13" t="e">
        <f t="shared" si="94"/>
        <v>#VALUE!</v>
      </c>
      <c r="J1482" t="str">
        <f>MAIN!A1487&amp;"B"</f>
        <v>B</v>
      </c>
      <c r="K1482" s="12" t="e">
        <f t="shared" si="95"/>
        <v>#VALUE!</v>
      </c>
      <c r="L1482" t="str">
        <f>MAIN!C1487</f>
        <v/>
      </c>
    </row>
    <row r="1483" spans="1:12" x14ac:dyDescent="0.3">
      <c r="A1483">
        <f>IF(J1483="0",0,IF(COUNTIF($J$2:J1483,J1483)=1,1,0))</f>
        <v>0</v>
      </c>
      <c r="B1483" s="12" t="e">
        <f>MID(MAIN!A1488,K1483,2)</f>
        <v>#VALUE!</v>
      </c>
      <c r="C1483" s="12" t="e">
        <f t="shared" si="92"/>
        <v>#VALUE!</v>
      </c>
      <c r="D1483" s="12" t="e">
        <f>MID(MAIN!A1488,K1483+2,2)</f>
        <v>#VALUE!</v>
      </c>
      <c r="E1483" s="12" t="e">
        <f>MID(MAIN!A1488,K1483+4,2)</f>
        <v>#VALUE!</v>
      </c>
      <c r="F1483" s="2" t="e">
        <f t="shared" si="93"/>
        <v>#VALUE!</v>
      </c>
      <c r="G1483" s="13" t="e">
        <f t="shared" si="94"/>
        <v>#VALUE!</v>
      </c>
      <c r="J1483" t="str">
        <f>MAIN!A1488&amp;"B"</f>
        <v>B</v>
      </c>
      <c r="K1483" s="12" t="e">
        <f t="shared" si="95"/>
        <v>#VALUE!</v>
      </c>
      <c r="L1483" t="str">
        <f>MAIN!C1488</f>
        <v/>
      </c>
    </row>
    <row r="1484" spans="1:12" x14ac:dyDescent="0.3">
      <c r="A1484">
        <f>IF(J1484="0",0,IF(COUNTIF($J$2:J1484,J1484)=1,1,0))</f>
        <v>0</v>
      </c>
      <c r="B1484" s="12" t="e">
        <f>MID(MAIN!A1489,K1484,2)</f>
        <v>#VALUE!</v>
      </c>
      <c r="C1484" s="12" t="e">
        <f t="shared" si="92"/>
        <v>#VALUE!</v>
      </c>
      <c r="D1484" s="12" t="e">
        <f>MID(MAIN!A1489,K1484+2,2)</f>
        <v>#VALUE!</v>
      </c>
      <c r="E1484" s="12" t="e">
        <f>MID(MAIN!A1489,K1484+4,2)</f>
        <v>#VALUE!</v>
      </c>
      <c r="F1484" s="2" t="e">
        <f t="shared" si="93"/>
        <v>#VALUE!</v>
      </c>
      <c r="G1484" s="13" t="e">
        <f t="shared" si="94"/>
        <v>#VALUE!</v>
      </c>
      <c r="J1484" t="str">
        <f>MAIN!A1489&amp;"B"</f>
        <v>B</v>
      </c>
      <c r="K1484" s="12" t="e">
        <f t="shared" si="95"/>
        <v>#VALUE!</v>
      </c>
      <c r="L1484" t="str">
        <f>MAIN!C1489</f>
        <v/>
      </c>
    </row>
    <row r="1485" spans="1:12" x14ac:dyDescent="0.3">
      <c r="A1485">
        <f>IF(J1485="0",0,IF(COUNTIF($J$2:J1485,J1485)=1,1,0))</f>
        <v>0</v>
      </c>
      <c r="B1485" s="12" t="e">
        <f>MID(MAIN!A1490,K1485,2)</f>
        <v>#VALUE!</v>
      </c>
      <c r="C1485" s="12" t="e">
        <f t="shared" si="92"/>
        <v>#VALUE!</v>
      </c>
      <c r="D1485" s="12" t="e">
        <f>MID(MAIN!A1490,K1485+2,2)</f>
        <v>#VALUE!</v>
      </c>
      <c r="E1485" s="12" t="e">
        <f>MID(MAIN!A1490,K1485+4,2)</f>
        <v>#VALUE!</v>
      </c>
      <c r="F1485" s="2" t="e">
        <f t="shared" si="93"/>
        <v>#VALUE!</v>
      </c>
      <c r="G1485" s="13" t="e">
        <f t="shared" si="94"/>
        <v>#VALUE!</v>
      </c>
      <c r="J1485" t="str">
        <f>MAIN!A1490&amp;"B"</f>
        <v>B</v>
      </c>
      <c r="K1485" s="12" t="e">
        <f t="shared" si="95"/>
        <v>#VALUE!</v>
      </c>
      <c r="L1485" t="str">
        <f>MAIN!C1490</f>
        <v/>
      </c>
    </row>
    <row r="1486" spans="1:12" x14ac:dyDescent="0.3">
      <c r="A1486">
        <f>IF(J1486="0",0,IF(COUNTIF($J$2:J1486,J1486)=1,1,0))</f>
        <v>0</v>
      </c>
      <c r="B1486" s="12" t="e">
        <f>MID(MAIN!A1491,K1486,2)</f>
        <v>#VALUE!</v>
      </c>
      <c r="C1486" s="12" t="e">
        <f t="shared" si="92"/>
        <v>#VALUE!</v>
      </c>
      <c r="D1486" s="12" t="e">
        <f>MID(MAIN!A1491,K1486+2,2)</f>
        <v>#VALUE!</v>
      </c>
      <c r="E1486" s="12" t="e">
        <f>MID(MAIN!A1491,K1486+4,2)</f>
        <v>#VALUE!</v>
      </c>
      <c r="F1486" s="2" t="e">
        <f t="shared" si="93"/>
        <v>#VALUE!</v>
      </c>
      <c r="G1486" s="13" t="e">
        <f t="shared" si="94"/>
        <v>#VALUE!</v>
      </c>
      <c r="J1486" t="str">
        <f>MAIN!A1491&amp;"B"</f>
        <v>B</v>
      </c>
      <c r="K1486" s="12" t="e">
        <f t="shared" si="95"/>
        <v>#VALUE!</v>
      </c>
      <c r="L1486" t="str">
        <f>MAIN!C1491</f>
        <v/>
      </c>
    </row>
    <row r="1487" spans="1:12" x14ac:dyDescent="0.3">
      <c r="A1487">
        <f>IF(J1487="0",0,IF(COUNTIF($J$2:J1487,J1487)=1,1,0))</f>
        <v>0</v>
      </c>
      <c r="B1487" s="12" t="e">
        <f>MID(MAIN!A1492,K1487,2)</f>
        <v>#VALUE!</v>
      </c>
      <c r="C1487" s="12" t="e">
        <f t="shared" si="92"/>
        <v>#VALUE!</v>
      </c>
      <c r="D1487" s="12" t="e">
        <f>MID(MAIN!A1492,K1487+2,2)</f>
        <v>#VALUE!</v>
      </c>
      <c r="E1487" s="12" t="e">
        <f>MID(MAIN!A1492,K1487+4,2)</f>
        <v>#VALUE!</v>
      </c>
      <c r="F1487" s="2" t="e">
        <f t="shared" si="93"/>
        <v>#VALUE!</v>
      </c>
      <c r="G1487" s="13" t="e">
        <f t="shared" si="94"/>
        <v>#VALUE!</v>
      </c>
      <c r="J1487" t="str">
        <f>MAIN!A1492&amp;"B"</f>
        <v>B</v>
      </c>
      <c r="K1487" s="12" t="e">
        <f t="shared" si="95"/>
        <v>#VALUE!</v>
      </c>
      <c r="L1487" t="str">
        <f>MAIN!C1492</f>
        <v/>
      </c>
    </row>
    <row r="1488" spans="1:12" x14ac:dyDescent="0.3">
      <c r="A1488">
        <f>IF(J1488="0",0,IF(COUNTIF($J$2:J1488,J1488)=1,1,0))</f>
        <v>0</v>
      </c>
      <c r="B1488" s="12" t="e">
        <f>MID(MAIN!A1493,K1488,2)</f>
        <v>#VALUE!</v>
      </c>
      <c r="C1488" s="12" t="e">
        <f t="shared" si="92"/>
        <v>#VALUE!</v>
      </c>
      <c r="D1488" s="12" t="e">
        <f>MID(MAIN!A1493,K1488+2,2)</f>
        <v>#VALUE!</v>
      </c>
      <c r="E1488" s="12" t="e">
        <f>MID(MAIN!A1493,K1488+4,2)</f>
        <v>#VALUE!</v>
      </c>
      <c r="F1488" s="2" t="e">
        <f t="shared" si="93"/>
        <v>#VALUE!</v>
      </c>
      <c r="G1488" s="13" t="e">
        <f t="shared" si="94"/>
        <v>#VALUE!</v>
      </c>
      <c r="J1488" t="str">
        <f>MAIN!A1493&amp;"B"</f>
        <v>B</v>
      </c>
      <c r="K1488" s="12" t="e">
        <f t="shared" si="95"/>
        <v>#VALUE!</v>
      </c>
      <c r="L1488" t="str">
        <f>MAIN!C1493</f>
        <v/>
      </c>
    </row>
    <row r="1489" spans="1:12" x14ac:dyDescent="0.3">
      <c r="A1489">
        <f>IF(J1489="0",0,IF(COUNTIF($J$2:J1489,J1489)=1,1,0))</f>
        <v>0</v>
      </c>
      <c r="B1489" s="12" t="e">
        <f>MID(MAIN!A1494,K1489,2)</f>
        <v>#VALUE!</v>
      </c>
      <c r="C1489" s="12" t="e">
        <f t="shared" si="92"/>
        <v>#VALUE!</v>
      </c>
      <c r="D1489" s="12" t="e">
        <f>MID(MAIN!A1494,K1489+2,2)</f>
        <v>#VALUE!</v>
      </c>
      <c r="E1489" s="12" t="e">
        <f>MID(MAIN!A1494,K1489+4,2)</f>
        <v>#VALUE!</v>
      </c>
      <c r="F1489" s="2" t="e">
        <f t="shared" si="93"/>
        <v>#VALUE!</v>
      </c>
      <c r="G1489" s="13" t="e">
        <f t="shared" si="94"/>
        <v>#VALUE!</v>
      </c>
      <c r="J1489" t="str">
        <f>MAIN!A1494&amp;"B"</f>
        <v>B</v>
      </c>
      <c r="K1489" s="12" t="e">
        <f t="shared" si="95"/>
        <v>#VALUE!</v>
      </c>
      <c r="L1489" t="str">
        <f>MAIN!C1494</f>
        <v/>
      </c>
    </row>
    <row r="1490" spans="1:12" x14ac:dyDescent="0.3">
      <c r="A1490">
        <f>IF(J1490="0",0,IF(COUNTIF($J$2:J1490,J1490)=1,1,0))</f>
        <v>0</v>
      </c>
      <c r="B1490" s="12" t="e">
        <f>MID(MAIN!A1495,K1490,2)</f>
        <v>#VALUE!</v>
      </c>
      <c r="C1490" s="12" t="e">
        <f t="shared" si="92"/>
        <v>#VALUE!</v>
      </c>
      <c r="D1490" s="12" t="e">
        <f>MID(MAIN!A1495,K1490+2,2)</f>
        <v>#VALUE!</v>
      </c>
      <c r="E1490" s="12" t="e">
        <f>MID(MAIN!A1495,K1490+4,2)</f>
        <v>#VALUE!</v>
      </c>
      <c r="F1490" s="2" t="e">
        <f t="shared" si="93"/>
        <v>#VALUE!</v>
      </c>
      <c r="G1490" s="13" t="e">
        <f t="shared" si="94"/>
        <v>#VALUE!</v>
      </c>
      <c r="J1490" t="str">
        <f>MAIN!A1495&amp;"B"</f>
        <v>B</v>
      </c>
      <c r="K1490" s="12" t="e">
        <f t="shared" si="95"/>
        <v>#VALUE!</v>
      </c>
      <c r="L1490" t="str">
        <f>MAIN!C1495</f>
        <v/>
      </c>
    </row>
    <row r="1491" spans="1:12" x14ac:dyDescent="0.3">
      <c r="A1491">
        <f>IF(J1491="0",0,IF(COUNTIF($J$2:J1491,J1491)=1,1,0))</f>
        <v>0</v>
      </c>
      <c r="B1491" s="12" t="e">
        <f>MID(MAIN!A1496,K1491,2)</f>
        <v>#VALUE!</v>
      </c>
      <c r="C1491" s="12" t="e">
        <f t="shared" si="92"/>
        <v>#VALUE!</v>
      </c>
      <c r="D1491" s="12" t="e">
        <f>MID(MAIN!A1496,K1491+2,2)</f>
        <v>#VALUE!</v>
      </c>
      <c r="E1491" s="12" t="e">
        <f>MID(MAIN!A1496,K1491+4,2)</f>
        <v>#VALUE!</v>
      </c>
      <c r="F1491" s="2" t="e">
        <f t="shared" si="93"/>
        <v>#VALUE!</v>
      </c>
      <c r="G1491" s="13" t="e">
        <f t="shared" si="94"/>
        <v>#VALUE!</v>
      </c>
      <c r="J1491" t="str">
        <f>MAIN!A1496&amp;"B"</f>
        <v>B</v>
      </c>
      <c r="K1491" s="12" t="e">
        <f t="shared" si="95"/>
        <v>#VALUE!</v>
      </c>
      <c r="L1491" t="str">
        <f>MAIN!C1496</f>
        <v/>
      </c>
    </row>
    <row r="1492" spans="1:12" x14ac:dyDescent="0.3">
      <c r="A1492">
        <f>IF(J1492="0",0,IF(COUNTIF($J$2:J1492,J1492)=1,1,0))</f>
        <v>0</v>
      </c>
      <c r="B1492" s="12" t="e">
        <f>MID(MAIN!A1497,K1492,2)</f>
        <v>#VALUE!</v>
      </c>
      <c r="C1492" s="12" t="e">
        <f t="shared" si="92"/>
        <v>#VALUE!</v>
      </c>
      <c r="D1492" s="12" t="e">
        <f>MID(MAIN!A1497,K1492+2,2)</f>
        <v>#VALUE!</v>
      </c>
      <c r="E1492" s="12" t="e">
        <f>MID(MAIN!A1497,K1492+4,2)</f>
        <v>#VALUE!</v>
      </c>
      <c r="F1492" s="2" t="e">
        <f t="shared" si="93"/>
        <v>#VALUE!</v>
      </c>
      <c r="G1492" s="13" t="e">
        <f t="shared" si="94"/>
        <v>#VALUE!</v>
      </c>
      <c r="J1492" t="str">
        <f>MAIN!A1497&amp;"B"</f>
        <v>B</v>
      </c>
      <c r="K1492" s="12" t="e">
        <f t="shared" si="95"/>
        <v>#VALUE!</v>
      </c>
      <c r="L1492" t="str">
        <f>MAIN!C1497</f>
        <v/>
      </c>
    </row>
    <row r="1493" spans="1:12" x14ac:dyDescent="0.3">
      <c r="A1493">
        <f>IF(J1493="0",0,IF(COUNTIF($J$2:J1493,J1493)=1,1,0))</f>
        <v>0</v>
      </c>
      <c r="B1493" s="12" t="e">
        <f>MID(MAIN!A1498,K1493,2)</f>
        <v>#VALUE!</v>
      </c>
      <c r="C1493" s="12" t="e">
        <f t="shared" si="92"/>
        <v>#VALUE!</v>
      </c>
      <c r="D1493" s="12" t="e">
        <f>MID(MAIN!A1498,K1493+2,2)</f>
        <v>#VALUE!</v>
      </c>
      <c r="E1493" s="12" t="e">
        <f>MID(MAIN!A1498,K1493+4,2)</f>
        <v>#VALUE!</v>
      </c>
      <c r="F1493" s="2" t="e">
        <f t="shared" si="93"/>
        <v>#VALUE!</v>
      </c>
      <c r="G1493" s="13" t="e">
        <f t="shared" si="94"/>
        <v>#VALUE!</v>
      </c>
      <c r="J1493" t="str">
        <f>MAIN!A1498&amp;"B"</f>
        <v>B</v>
      </c>
      <c r="K1493" s="12" t="e">
        <f t="shared" si="95"/>
        <v>#VALUE!</v>
      </c>
      <c r="L1493" t="str">
        <f>MAIN!C1498</f>
        <v/>
      </c>
    </row>
    <row r="1494" spans="1:12" x14ac:dyDescent="0.3">
      <c r="A1494">
        <f>IF(J1494="0",0,IF(COUNTIF($J$2:J1494,J1494)=1,1,0))</f>
        <v>0</v>
      </c>
      <c r="B1494" s="12" t="e">
        <f>MID(MAIN!A1499,K1494,2)</f>
        <v>#VALUE!</v>
      </c>
      <c r="C1494" s="12" t="e">
        <f t="shared" si="92"/>
        <v>#VALUE!</v>
      </c>
      <c r="D1494" s="12" t="e">
        <f>MID(MAIN!A1499,K1494+2,2)</f>
        <v>#VALUE!</v>
      </c>
      <c r="E1494" s="12" t="e">
        <f>MID(MAIN!A1499,K1494+4,2)</f>
        <v>#VALUE!</v>
      </c>
      <c r="F1494" s="2" t="e">
        <f t="shared" si="93"/>
        <v>#VALUE!</v>
      </c>
      <c r="G1494" s="13" t="e">
        <f t="shared" si="94"/>
        <v>#VALUE!</v>
      </c>
      <c r="J1494" t="str">
        <f>MAIN!A1499&amp;"B"</f>
        <v>B</v>
      </c>
      <c r="K1494" s="12" t="e">
        <f t="shared" si="95"/>
        <v>#VALUE!</v>
      </c>
      <c r="L1494" t="str">
        <f>MAIN!C1499</f>
        <v/>
      </c>
    </row>
    <row r="1495" spans="1:12" x14ac:dyDescent="0.3">
      <c r="A1495">
        <f>IF(J1495="0",0,IF(COUNTIF($J$2:J1495,J1495)=1,1,0))</f>
        <v>0</v>
      </c>
      <c r="B1495" s="12" t="e">
        <f>MID(MAIN!A1500,K1495,2)</f>
        <v>#VALUE!</v>
      </c>
      <c r="C1495" s="12" t="e">
        <f t="shared" si="92"/>
        <v>#VALUE!</v>
      </c>
      <c r="D1495" s="12" t="e">
        <f>MID(MAIN!A1500,K1495+2,2)</f>
        <v>#VALUE!</v>
      </c>
      <c r="E1495" s="12" t="e">
        <f>MID(MAIN!A1500,K1495+4,2)</f>
        <v>#VALUE!</v>
      </c>
      <c r="F1495" s="2" t="e">
        <f t="shared" si="93"/>
        <v>#VALUE!</v>
      </c>
      <c r="G1495" s="13" t="e">
        <f t="shared" si="94"/>
        <v>#VALUE!</v>
      </c>
      <c r="J1495" t="str">
        <f>MAIN!A1500&amp;"B"</f>
        <v>B</v>
      </c>
      <c r="K1495" s="12" t="e">
        <f t="shared" si="95"/>
        <v>#VALUE!</v>
      </c>
      <c r="L1495" t="str">
        <f>MAIN!C1500</f>
        <v/>
      </c>
    </row>
    <row r="1496" spans="1:12" x14ac:dyDescent="0.3">
      <c r="A1496">
        <f>IF(J1496="0",0,IF(COUNTIF($J$2:J1496,J1496)=1,1,0))</f>
        <v>0</v>
      </c>
      <c r="B1496" s="12" t="e">
        <f>MID(MAIN!A1501,K1496,2)</f>
        <v>#VALUE!</v>
      </c>
      <c r="C1496" s="12" t="e">
        <f t="shared" si="92"/>
        <v>#VALUE!</v>
      </c>
      <c r="D1496" s="12" t="e">
        <f>MID(MAIN!A1501,K1496+2,2)</f>
        <v>#VALUE!</v>
      </c>
      <c r="E1496" s="12" t="e">
        <f>MID(MAIN!A1501,K1496+4,2)</f>
        <v>#VALUE!</v>
      </c>
      <c r="F1496" s="2" t="e">
        <f t="shared" si="93"/>
        <v>#VALUE!</v>
      </c>
      <c r="G1496" s="13" t="e">
        <f t="shared" si="94"/>
        <v>#VALUE!</v>
      </c>
      <c r="J1496" t="str">
        <f>MAIN!A1501&amp;"B"</f>
        <v>B</v>
      </c>
      <c r="K1496" s="12" t="e">
        <f t="shared" si="95"/>
        <v>#VALUE!</v>
      </c>
      <c r="L1496" t="str">
        <f>MAIN!C1501</f>
        <v/>
      </c>
    </row>
    <row r="1497" spans="1:12" x14ac:dyDescent="0.3">
      <c r="A1497">
        <f>IF(J1497="0",0,IF(COUNTIF($J$2:J1497,J1497)=1,1,0))</f>
        <v>0</v>
      </c>
      <c r="B1497" s="12" t="e">
        <f>MID(MAIN!A1502,K1497,2)</f>
        <v>#VALUE!</v>
      </c>
      <c r="C1497" s="12" t="e">
        <f t="shared" si="92"/>
        <v>#VALUE!</v>
      </c>
      <c r="D1497" s="12" t="e">
        <f>MID(MAIN!A1502,K1497+2,2)</f>
        <v>#VALUE!</v>
      </c>
      <c r="E1497" s="12" t="e">
        <f>MID(MAIN!A1502,K1497+4,2)</f>
        <v>#VALUE!</v>
      </c>
      <c r="F1497" s="2" t="e">
        <f t="shared" si="93"/>
        <v>#VALUE!</v>
      </c>
      <c r="G1497" s="13" t="e">
        <f t="shared" si="94"/>
        <v>#VALUE!</v>
      </c>
      <c r="J1497" t="str">
        <f>MAIN!A1502&amp;"B"</f>
        <v>B</v>
      </c>
      <c r="K1497" s="12" t="e">
        <f t="shared" si="95"/>
        <v>#VALUE!</v>
      </c>
      <c r="L1497" t="str">
        <f>MAIN!C1502</f>
        <v/>
      </c>
    </row>
    <row r="1498" spans="1:12" x14ac:dyDescent="0.3">
      <c r="A1498">
        <f>IF(J1498="0",0,IF(COUNTIF($J$2:J1498,J1498)=1,1,0))</f>
        <v>0</v>
      </c>
      <c r="B1498" s="12" t="e">
        <f>MID(MAIN!A1503,K1498,2)</f>
        <v>#VALUE!</v>
      </c>
      <c r="C1498" s="12" t="e">
        <f t="shared" si="92"/>
        <v>#VALUE!</v>
      </c>
      <c r="D1498" s="12" t="e">
        <f>MID(MAIN!A1503,K1498+2,2)</f>
        <v>#VALUE!</v>
      </c>
      <c r="E1498" s="12" t="e">
        <f>MID(MAIN!A1503,K1498+4,2)</f>
        <v>#VALUE!</v>
      </c>
      <c r="F1498" s="2" t="e">
        <f t="shared" si="93"/>
        <v>#VALUE!</v>
      </c>
      <c r="G1498" s="13" t="e">
        <f t="shared" si="94"/>
        <v>#VALUE!</v>
      </c>
      <c r="J1498" t="str">
        <f>MAIN!A1503&amp;"B"</f>
        <v>B</v>
      </c>
      <c r="K1498" s="12" t="e">
        <f t="shared" si="95"/>
        <v>#VALUE!</v>
      </c>
      <c r="L1498" t="str">
        <f>MAIN!C1503</f>
        <v/>
      </c>
    </row>
    <row r="1499" spans="1:12" x14ac:dyDescent="0.3">
      <c r="A1499">
        <f>IF(J1499="0",0,IF(COUNTIF($J$2:J1499,J1499)=1,1,0))</f>
        <v>0</v>
      </c>
      <c r="B1499" s="12" t="e">
        <f>MID(MAIN!A1504,K1499,2)</f>
        <v>#VALUE!</v>
      </c>
      <c r="C1499" s="12" t="e">
        <f t="shared" si="92"/>
        <v>#VALUE!</v>
      </c>
      <c r="D1499" s="12" t="e">
        <f>MID(MAIN!A1504,K1499+2,2)</f>
        <v>#VALUE!</v>
      </c>
      <c r="E1499" s="12" t="e">
        <f>MID(MAIN!A1504,K1499+4,2)</f>
        <v>#VALUE!</v>
      </c>
      <c r="F1499" s="2" t="e">
        <f t="shared" si="93"/>
        <v>#VALUE!</v>
      </c>
      <c r="G1499" s="13" t="e">
        <f t="shared" si="94"/>
        <v>#VALUE!</v>
      </c>
      <c r="J1499" t="str">
        <f>MAIN!A1504&amp;"B"</f>
        <v>B</v>
      </c>
      <c r="K1499" s="12" t="e">
        <f t="shared" si="95"/>
        <v>#VALUE!</v>
      </c>
      <c r="L1499" t="str">
        <f>MAIN!C1504</f>
        <v/>
      </c>
    </row>
    <row r="1500" spans="1:12" x14ac:dyDescent="0.3">
      <c r="A1500">
        <f>IF(J1500="0",0,IF(COUNTIF($J$2:J1500,J1500)=1,1,0))</f>
        <v>0</v>
      </c>
      <c r="B1500" s="12" t="e">
        <f>MID(MAIN!A1505,K1500,2)</f>
        <v>#VALUE!</v>
      </c>
      <c r="C1500" s="12" t="e">
        <f t="shared" si="92"/>
        <v>#VALUE!</v>
      </c>
      <c r="D1500" s="12" t="e">
        <f>MID(MAIN!A1505,K1500+2,2)</f>
        <v>#VALUE!</v>
      </c>
      <c r="E1500" s="12" t="e">
        <f>MID(MAIN!A1505,K1500+4,2)</f>
        <v>#VALUE!</v>
      </c>
      <c r="F1500" s="2" t="e">
        <f t="shared" si="93"/>
        <v>#VALUE!</v>
      </c>
      <c r="G1500" s="13" t="e">
        <f t="shared" si="94"/>
        <v>#VALUE!</v>
      </c>
      <c r="J1500" t="str">
        <f>MAIN!A1505&amp;"B"</f>
        <v>B</v>
      </c>
      <c r="K1500" s="12" t="e">
        <f t="shared" si="95"/>
        <v>#VALUE!</v>
      </c>
      <c r="L1500" t="str">
        <f>MAIN!C1505</f>
        <v/>
      </c>
    </row>
    <row r="1501" spans="1:12" x14ac:dyDescent="0.3">
      <c r="A1501">
        <f>IF(J1501="0",0,IF(COUNTIF($J$2:J1501,J1501)=1,1,0))</f>
        <v>0</v>
      </c>
      <c r="B1501" s="12" t="e">
        <f>MID(MAIN!A1506,K1501,2)</f>
        <v>#VALUE!</v>
      </c>
      <c r="C1501" s="12" t="e">
        <f t="shared" si="92"/>
        <v>#VALUE!</v>
      </c>
      <c r="D1501" s="12" t="e">
        <f>MID(MAIN!A1506,K1501+2,2)</f>
        <v>#VALUE!</v>
      </c>
      <c r="E1501" s="12" t="e">
        <f>MID(MAIN!A1506,K1501+4,2)</f>
        <v>#VALUE!</v>
      </c>
      <c r="F1501" s="2" t="e">
        <f t="shared" si="93"/>
        <v>#VALUE!</v>
      </c>
      <c r="G1501" s="13" t="e">
        <f t="shared" si="94"/>
        <v>#VALUE!</v>
      </c>
      <c r="J1501" t="str">
        <f>MAIN!A1506&amp;"B"</f>
        <v>B</v>
      </c>
      <c r="K1501" s="12" t="e">
        <f t="shared" si="95"/>
        <v>#VALUE!</v>
      </c>
      <c r="L1501" t="str">
        <f>MAIN!C1506</f>
        <v/>
      </c>
    </row>
    <row r="1502" spans="1:12" x14ac:dyDescent="0.3">
      <c r="A1502">
        <f>IF(J1502="0",0,IF(COUNTIF($J$2:J1502,J1502)=1,1,0))</f>
        <v>0</v>
      </c>
      <c r="B1502" s="12" t="e">
        <f>MID(MAIN!A1507,K1502,2)</f>
        <v>#VALUE!</v>
      </c>
      <c r="C1502" s="12" t="e">
        <f t="shared" si="92"/>
        <v>#VALUE!</v>
      </c>
      <c r="D1502" s="12" t="e">
        <f>MID(MAIN!A1507,K1502+2,2)</f>
        <v>#VALUE!</v>
      </c>
      <c r="E1502" s="12" t="e">
        <f>MID(MAIN!A1507,K1502+4,2)</f>
        <v>#VALUE!</v>
      </c>
      <c r="F1502" s="2" t="e">
        <f t="shared" si="93"/>
        <v>#VALUE!</v>
      </c>
      <c r="G1502" s="13" t="e">
        <f t="shared" si="94"/>
        <v>#VALUE!</v>
      </c>
      <c r="J1502" t="str">
        <f>MAIN!A1507&amp;"B"</f>
        <v>B</v>
      </c>
      <c r="K1502" s="12" t="e">
        <f t="shared" si="95"/>
        <v>#VALUE!</v>
      </c>
      <c r="L1502" t="str">
        <f>MAIN!C1507</f>
        <v/>
      </c>
    </row>
    <row r="1503" spans="1:12" x14ac:dyDescent="0.3">
      <c r="A1503">
        <f>IF(J1503="0",0,IF(COUNTIF($J$2:J1503,J1503)=1,1,0))</f>
        <v>0</v>
      </c>
      <c r="B1503" s="12" t="e">
        <f>MID(MAIN!A1508,K1503,2)</f>
        <v>#VALUE!</v>
      </c>
      <c r="C1503" s="12" t="e">
        <f t="shared" si="92"/>
        <v>#VALUE!</v>
      </c>
      <c r="D1503" s="12" t="e">
        <f>MID(MAIN!A1508,K1503+2,2)</f>
        <v>#VALUE!</v>
      </c>
      <c r="E1503" s="12" t="e">
        <f>MID(MAIN!A1508,K1503+4,2)</f>
        <v>#VALUE!</v>
      </c>
      <c r="F1503" s="2" t="e">
        <f t="shared" si="93"/>
        <v>#VALUE!</v>
      </c>
      <c r="G1503" s="13" t="e">
        <f t="shared" si="94"/>
        <v>#VALUE!</v>
      </c>
      <c r="J1503" t="str">
        <f>MAIN!A1508&amp;"B"</f>
        <v>B</v>
      </c>
      <c r="K1503" s="12" t="e">
        <f t="shared" si="95"/>
        <v>#VALUE!</v>
      </c>
      <c r="L1503" t="str">
        <f>MAIN!C1508</f>
        <v/>
      </c>
    </row>
    <row r="1504" spans="1:12" x14ac:dyDescent="0.3">
      <c r="A1504">
        <f>IF(J1504="0",0,IF(COUNTIF($J$2:J1504,J1504)=1,1,0))</f>
        <v>0</v>
      </c>
      <c r="B1504" s="12" t="e">
        <f>MID(MAIN!A1509,K1504,2)</f>
        <v>#VALUE!</v>
      </c>
      <c r="C1504" s="12" t="e">
        <f t="shared" si="92"/>
        <v>#VALUE!</v>
      </c>
      <c r="D1504" s="12" t="e">
        <f>MID(MAIN!A1509,K1504+2,2)</f>
        <v>#VALUE!</v>
      </c>
      <c r="E1504" s="12" t="e">
        <f>MID(MAIN!A1509,K1504+4,2)</f>
        <v>#VALUE!</v>
      </c>
      <c r="F1504" s="2" t="e">
        <f t="shared" si="93"/>
        <v>#VALUE!</v>
      </c>
      <c r="G1504" s="13" t="e">
        <f t="shared" si="94"/>
        <v>#VALUE!</v>
      </c>
      <c r="J1504" t="str">
        <f>MAIN!A1509&amp;"B"</f>
        <v>B</v>
      </c>
      <c r="K1504" s="12" t="e">
        <f t="shared" si="95"/>
        <v>#VALUE!</v>
      </c>
      <c r="L1504" t="str">
        <f>MAIN!C1509</f>
        <v/>
      </c>
    </row>
    <row r="1505" spans="1:12" x14ac:dyDescent="0.3">
      <c r="A1505">
        <f>IF(J1505="0",0,IF(COUNTIF($J$2:J1505,J1505)=1,1,0))</f>
        <v>0</v>
      </c>
      <c r="B1505" s="12" t="e">
        <f>MID(MAIN!A1510,K1505,2)</f>
        <v>#VALUE!</v>
      </c>
      <c r="C1505" s="12" t="e">
        <f t="shared" si="92"/>
        <v>#VALUE!</v>
      </c>
      <c r="D1505" s="12" t="e">
        <f>MID(MAIN!A1510,K1505+2,2)</f>
        <v>#VALUE!</v>
      </c>
      <c r="E1505" s="12" t="e">
        <f>MID(MAIN!A1510,K1505+4,2)</f>
        <v>#VALUE!</v>
      </c>
      <c r="F1505" s="2" t="e">
        <f t="shared" si="93"/>
        <v>#VALUE!</v>
      </c>
      <c r="G1505" s="13" t="e">
        <f t="shared" si="94"/>
        <v>#VALUE!</v>
      </c>
      <c r="J1505" t="str">
        <f>MAIN!A1510&amp;"B"</f>
        <v>B</v>
      </c>
      <c r="K1505" s="12" t="e">
        <f t="shared" si="95"/>
        <v>#VALUE!</v>
      </c>
      <c r="L1505" t="str">
        <f>MAIN!C1510</f>
        <v/>
      </c>
    </row>
    <row r="1506" spans="1:12" x14ac:dyDescent="0.3">
      <c r="A1506">
        <f>IF(J1506="0",0,IF(COUNTIF($J$2:J1506,J1506)=1,1,0))</f>
        <v>0</v>
      </c>
      <c r="B1506" s="12" t="e">
        <f>MID(MAIN!A1511,K1506,2)</f>
        <v>#VALUE!</v>
      </c>
      <c r="C1506" s="12" t="e">
        <f t="shared" si="92"/>
        <v>#VALUE!</v>
      </c>
      <c r="D1506" s="12" t="e">
        <f>MID(MAIN!A1511,K1506+2,2)</f>
        <v>#VALUE!</v>
      </c>
      <c r="E1506" s="12" t="e">
        <f>MID(MAIN!A1511,K1506+4,2)</f>
        <v>#VALUE!</v>
      </c>
      <c r="F1506" s="2" t="e">
        <f t="shared" si="93"/>
        <v>#VALUE!</v>
      </c>
      <c r="G1506" s="13" t="e">
        <f t="shared" si="94"/>
        <v>#VALUE!</v>
      </c>
      <c r="J1506" t="str">
        <f>MAIN!A1511&amp;"B"</f>
        <v>B</v>
      </c>
      <c r="K1506" s="12" t="e">
        <f t="shared" si="95"/>
        <v>#VALUE!</v>
      </c>
      <c r="L1506" t="str">
        <f>MAIN!C1511</f>
        <v/>
      </c>
    </row>
    <row r="1507" spans="1:12" x14ac:dyDescent="0.3">
      <c r="A1507">
        <f>IF(J1507="0",0,IF(COUNTIF($J$2:J1507,J1507)=1,1,0))</f>
        <v>0</v>
      </c>
      <c r="B1507" s="12" t="e">
        <f>MID(MAIN!A1512,K1507,2)</f>
        <v>#VALUE!</v>
      </c>
      <c r="C1507" s="12" t="e">
        <f t="shared" si="92"/>
        <v>#VALUE!</v>
      </c>
      <c r="D1507" s="12" t="e">
        <f>MID(MAIN!A1512,K1507+2,2)</f>
        <v>#VALUE!</v>
      </c>
      <c r="E1507" s="12" t="e">
        <f>MID(MAIN!A1512,K1507+4,2)</f>
        <v>#VALUE!</v>
      </c>
      <c r="F1507" s="2" t="e">
        <f t="shared" si="93"/>
        <v>#VALUE!</v>
      </c>
      <c r="G1507" s="13" t="e">
        <f t="shared" si="94"/>
        <v>#VALUE!</v>
      </c>
      <c r="J1507" t="str">
        <f>MAIN!A1512&amp;"B"</f>
        <v>B</v>
      </c>
      <c r="K1507" s="12" t="e">
        <f t="shared" si="95"/>
        <v>#VALUE!</v>
      </c>
      <c r="L1507" t="str">
        <f>MAIN!C1512</f>
        <v/>
      </c>
    </row>
    <row r="1508" spans="1:12" x14ac:dyDescent="0.3">
      <c r="A1508">
        <f>IF(J1508="0",0,IF(COUNTIF($J$2:J1508,J1508)=1,1,0))</f>
        <v>0</v>
      </c>
      <c r="B1508" s="12" t="e">
        <f>MID(MAIN!A1513,K1508,2)</f>
        <v>#VALUE!</v>
      </c>
      <c r="C1508" s="12" t="e">
        <f t="shared" si="92"/>
        <v>#VALUE!</v>
      </c>
      <c r="D1508" s="12" t="e">
        <f>MID(MAIN!A1513,K1508+2,2)</f>
        <v>#VALUE!</v>
      </c>
      <c r="E1508" s="12" t="e">
        <f>MID(MAIN!A1513,K1508+4,2)</f>
        <v>#VALUE!</v>
      </c>
      <c r="F1508" s="2" t="e">
        <f t="shared" si="93"/>
        <v>#VALUE!</v>
      </c>
      <c r="G1508" s="13" t="e">
        <f t="shared" si="94"/>
        <v>#VALUE!</v>
      </c>
      <c r="J1508" t="str">
        <f>MAIN!A1513&amp;"B"</f>
        <v>B</v>
      </c>
      <c r="K1508" s="12" t="e">
        <f t="shared" si="95"/>
        <v>#VALUE!</v>
      </c>
      <c r="L1508" t="str">
        <f>MAIN!C1513</f>
        <v/>
      </c>
    </row>
    <row r="1509" spans="1:12" x14ac:dyDescent="0.3">
      <c r="A1509">
        <f>IF(J1509="0",0,IF(COUNTIF($J$2:J1509,J1509)=1,1,0))</f>
        <v>0</v>
      </c>
      <c r="B1509" s="12" t="e">
        <f>MID(MAIN!A1514,K1509,2)</f>
        <v>#VALUE!</v>
      </c>
      <c r="C1509" s="12" t="e">
        <f t="shared" si="92"/>
        <v>#VALUE!</v>
      </c>
      <c r="D1509" s="12" t="e">
        <f>MID(MAIN!A1514,K1509+2,2)</f>
        <v>#VALUE!</v>
      </c>
      <c r="E1509" s="12" t="e">
        <f>MID(MAIN!A1514,K1509+4,2)</f>
        <v>#VALUE!</v>
      </c>
      <c r="F1509" s="2" t="e">
        <f t="shared" si="93"/>
        <v>#VALUE!</v>
      </c>
      <c r="G1509" s="13" t="e">
        <f t="shared" si="94"/>
        <v>#VALUE!</v>
      </c>
      <c r="J1509" t="str">
        <f>MAIN!A1514&amp;"B"</f>
        <v>B</v>
      </c>
      <c r="K1509" s="12" t="e">
        <f t="shared" si="95"/>
        <v>#VALUE!</v>
      </c>
      <c r="L1509" t="str">
        <f>MAIN!C1514</f>
        <v/>
      </c>
    </row>
    <row r="1510" spans="1:12" x14ac:dyDescent="0.3">
      <c r="A1510">
        <f>IF(J1510="0",0,IF(COUNTIF($J$2:J1510,J1510)=1,1,0))</f>
        <v>0</v>
      </c>
      <c r="B1510" s="12" t="e">
        <f>MID(MAIN!A1515,K1510,2)</f>
        <v>#VALUE!</v>
      </c>
      <c r="C1510" s="12" t="e">
        <f t="shared" si="92"/>
        <v>#VALUE!</v>
      </c>
      <c r="D1510" s="12" t="e">
        <f>MID(MAIN!A1515,K1510+2,2)</f>
        <v>#VALUE!</v>
      </c>
      <c r="E1510" s="12" t="e">
        <f>MID(MAIN!A1515,K1510+4,2)</f>
        <v>#VALUE!</v>
      </c>
      <c r="F1510" s="2" t="e">
        <f t="shared" si="93"/>
        <v>#VALUE!</v>
      </c>
      <c r="G1510" s="13" t="e">
        <f t="shared" si="94"/>
        <v>#VALUE!</v>
      </c>
      <c r="J1510" t="str">
        <f>MAIN!A1515&amp;"B"</f>
        <v>B</v>
      </c>
      <c r="K1510" s="12" t="e">
        <f t="shared" si="95"/>
        <v>#VALUE!</v>
      </c>
      <c r="L1510" t="str">
        <f>MAIN!C1515</f>
        <v/>
      </c>
    </row>
    <row r="1511" spans="1:12" x14ac:dyDescent="0.3">
      <c r="A1511">
        <f>IF(J1511="0",0,IF(COUNTIF($J$2:J1511,J1511)=1,1,0))</f>
        <v>0</v>
      </c>
      <c r="B1511" s="12" t="e">
        <f>MID(MAIN!A1516,K1511,2)</f>
        <v>#VALUE!</v>
      </c>
      <c r="C1511" s="12" t="e">
        <f t="shared" si="92"/>
        <v>#VALUE!</v>
      </c>
      <c r="D1511" s="12" t="e">
        <f>MID(MAIN!A1516,K1511+2,2)</f>
        <v>#VALUE!</v>
      </c>
      <c r="E1511" s="12" t="e">
        <f>MID(MAIN!A1516,K1511+4,2)</f>
        <v>#VALUE!</v>
      </c>
      <c r="F1511" s="2" t="e">
        <f t="shared" si="93"/>
        <v>#VALUE!</v>
      </c>
      <c r="G1511" s="13" t="e">
        <f t="shared" si="94"/>
        <v>#VALUE!</v>
      </c>
      <c r="J1511" t="str">
        <f>MAIN!A1516&amp;"B"</f>
        <v>B</v>
      </c>
      <c r="K1511" s="12" t="e">
        <f t="shared" si="95"/>
        <v>#VALUE!</v>
      </c>
      <c r="L1511" t="str">
        <f>MAIN!C1516</f>
        <v/>
      </c>
    </row>
    <row r="1512" spans="1:12" x14ac:dyDescent="0.3">
      <c r="A1512">
        <f>IF(J1512="0",0,IF(COUNTIF($J$2:J1512,J1512)=1,1,0))</f>
        <v>0</v>
      </c>
      <c r="B1512" s="12" t="e">
        <f>MID(MAIN!A1517,K1512,2)</f>
        <v>#VALUE!</v>
      </c>
      <c r="C1512" s="12" t="e">
        <f t="shared" si="92"/>
        <v>#VALUE!</v>
      </c>
      <c r="D1512" s="12" t="e">
        <f>MID(MAIN!A1517,K1512+2,2)</f>
        <v>#VALUE!</v>
      </c>
      <c r="E1512" s="12" t="e">
        <f>MID(MAIN!A1517,K1512+4,2)</f>
        <v>#VALUE!</v>
      </c>
      <c r="F1512" s="2" t="e">
        <f t="shared" si="93"/>
        <v>#VALUE!</v>
      </c>
      <c r="G1512" s="13" t="e">
        <f t="shared" si="94"/>
        <v>#VALUE!</v>
      </c>
      <c r="J1512" t="str">
        <f>MAIN!A1517&amp;"B"</f>
        <v>B</v>
      </c>
      <c r="K1512" s="12" t="e">
        <f t="shared" si="95"/>
        <v>#VALUE!</v>
      </c>
      <c r="L1512" t="str">
        <f>MAIN!C1517</f>
        <v/>
      </c>
    </row>
    <row r="1513" spans="1:12" x14ac:dyDescent="0.3">
      <c r="A1513">
        <f>IF(J1513="0",0,IF(COUNTIF($J$2:J1513,J1513)=1,1,0))</f>
        <v>0</v>
      </c>
      <c r="B1513" s="12" t="e">
        <f>MID(MAIN!A1518,K1513,2)</f>
        <v>#VALUE!</v>
      </c>
      <c r="C1513" s="12" t="e">
        <f t="shared" si="92"/>
        <v>#VALUE!</v>
      </c>
      <c r="D1513" s="12" t="e">
        <f>MID(MAIN!A1518,K1513+2,2)</f>
        <v>#VALUE!</v>
      </c>
      <c r="E1513" s="12" t="e">
        <f>MID(MAIN!A1518,K1513+4,2)</f>
        <v>#VALUE!</v>
      </c>
      <c r="F1513" s="2" t="e">
        <f t="shared" si="93"/>
        <v>#VALUE!</v>
      </c>
      <c r="G1513" s="13" t="e">
        <f t="shared" si="94"/>
        <v>#VALUE!</v>
      </c>
      <c r="J1513" t="str">
        <f>MAIN!A1518&amp;"B"</f>
        <v>B</v>
      </c>
      <c r="K1513" s="12" t="e">
        <f t="shared" si="95"/>
        <v>#VALUE!</v>
      </c>
      <c r="L1513" t="str">
        <f>MAIN!C1518</f>
        <v/>
      </c>
    </row>
    <row r="1514" spans="1:12" x14ac:dyDescent="0.3">
      <c r="A1514">
        <f>IF(J1514="0",0,IF(COUNTIF($J$2:J1514,J1514)=1,1,0))</f>
        <v>0</v>
      </c>
      <c r="B1514" s="12" t="e">
        <f>MID(MAIN!A1519,K1514,2)</f>
        <v>#VALUE!</v>
      </c>
      <c r="C1514" s="12" t="e">
        <f t="shared" si="92"/>
        <v>#VALUE!</v>
      </c>
      <c r="D1514" s="12" t="e">
        <f>MID(MAIN!A1519,K1514+2,2)</f>
        <v>#VALUE!</v>
      </c>
      <c r="E1514" s="12" t="e">
        <f>MID(MAIN!A1519,K1514+4,2)</f>
        <v>#VALUE!</v>
      </c>
      <c r="F1514" s="2" t="e">
        <f t="shared" si="93"/>
        <v>#VALUE!</v>
      </c>
      <c r="G1514" s="13" t="e">
        <f t="shared" si="94"/>
        <v>#VALUE!</v>
      </c>
      <c r="J1514" t="str">
        <f>MAIN!A1519&amp;"B"</f>
        <v>B</v>
      </c>
      <c r="K1514" s="12" t="e">
        <f t="shared" si="95"/>
        <v>#VALUE!</v>
      </c>
      <c r="L1514" t="str">
        <f>MAIN!C1519</f>
        <v/>
      </c>
    </row>
    <row r="1515" spans="1:12" x14ac:dyDescent="0.3">
      <c r="A1515">
        <f>IF(J1515="0",0,IF(COUNTIF($J$2:J1515,J1515)=1,1,0))</f>
        <v>0</v>
      </c>
      <c r="B1515" s="12" t="e">
        <f>MID(MAIN!A1520,K1515,2)</f>
        <v>#VALUE!</v>
      </c>
      <c r="C1515" s="12" t="e">
        <f t="shared" si="92"/>
        <v>#VALUE!</v>
      </c>
      <c r="D1515" s="12" t="e">
        <f>MID(MAIN!A1520,K1515+2,2)</f>
        <v>#VALUE!</v>
      </c>
      <c r="E1515" s="12" t="e">
        <f>MID(MAIN!A1520,K1515+4,2)</f>
        <v>#VALUE!</v>
      </c>
      <c r="F1515" s="2" t="e">
        <f t="shared" si="93"/>
        <v>#VALUE!</v>
      </c>
      <c r="G1515" s="13" t="e">
        <f t="shared" si="94"/>
        <v>#VALUE!</v>
      </c>
      <c r="J1515" t="str">
        <f>MAIN!A1520&amp;"B"</f>
        <v>B</v>
      </c>
      <c r="K1515" s="12" t="e">
        <f t="shared" si="95"/>
        <v>#VALUE!</v>
      </c>
      <c r="L1515" t="str">
        <f>MAIN!C1520</f>
        <v/>
      </c>
    </row>
    <row r="1516" spans="1:12" x14ac:dyDescent="0.3">
      <c r="A1516">
        <f>IF(J1516="0",0,IF(COUNTIF($J$2:J1516,J1516)=1,1,0))</f>
        <v>0</v>
      </c>
      <c r="B1516" s="12" t="e">
        <f>MID(MAIN!A1521,K1516,2)</f>
        <v>#VALUE!</v>
      </c>
      <c r="C1516" s="12" t="e">
        <f t="shared" si="92"/>
        <v>#VALUE!</v>
      </c>
      <c r="D1516" s="12" t="e">
        <f>MID(MAIN!A1521,K1516+2,2)</f>
        <v>#VALUE!</v>
      </c>
      <c r="E1516" s="12" t="e">
        <f>MID(MAIN!A1521,K1516+4,2)</f>
        <v>#VALUE!</v>
      </c>
      <c r="F1516" s="2" t="e">
        <f t="shared" si="93"/>
        <v>#VALUE!</v>
      </c>
      <c r="G1516" s="13" t="e">
        <f t="shared" si="94"/>
        <v>#VALUE!</v>
      </c>
      <c r="J1516" t="str">
        <f>MAIN!A1521&amp;"B"</f>
        <v>B</v>
      </c>
      <c r="K1516" s="12" t="e">
        <f t="shared" si="95"/>
        <v>#VALUE!</v>
      </c>
      <c r="L1516" t="str">
        <f>MAIN!C1521</f>
        <v/>
      </c>
    </row>
    <row r="1517" spans="1:12" x14ac:dyDescent="0.3">
      <c r="A1517">
        <f>IF(J1517="0",0,IF(COUNTIF($J$2:J1517,J1517)=1,1,0))</f>
        <v>0</v>
      </c>
      <c r="B1517" s="12" t="e">
        <f>MID(MAIN!A1522,K1517,2)</f>
        <v>#VALUE!</v>
      </c>
      <c r="C1517" s="12" t="e">
        <f t="shared" si="92"/>
        <v>#VALUE!</v>
      </c>
      <c r="D1517" s="12" t="e">
        <f>MID(MAIN!A1522,K1517+2,2)</f>
        <v>#VALUE!</v>
      </c>
      <c r="E1517" s="12" t="e">
        <f>MID(MAIN!A1522,K1517+4,2)</f>
        <v>#VALUE!</v>
      </c>
      <c r="F1517" s="2" t="e">
        <f t="shared" si="93"/>
        <v>#VALUE!</v>
      </c>
      <c r="G1517" s="13" t="e">
        <f t="shared" si="94"/>
        <v>#VALUE!</v>
      </c>
      <c r="J1517" t="str">
        <f>MAIN!A1522&amp;"B"</f>
        <v>B</v>
      </c>
      <c r="K1517" s="12" t="e">
        <f t="shared" si="95"/>
        <v>#VALUE!</v>
      </c>
      <c r="L1517" t="str">
        <f>MAIN!C1522</f>
        <v/>
      </c>
    </row>
    <row r="1518" spans="1:12" x14ac:dyDescent="0.3">
      <c r="A1518">
        <f>IF(J1518="0",0,IF(COUNTIF($J$2:J1518,J1518)=1,1,0))</f>
        <v>0</v>
      </c>
      <c r="B1518" s="12" t="e">
        <f>MID(MAIN!A1523,K1518,2)</f>
        <v>#VALUE!</v>
      </c>
      <c r="C1518" s="12" t="e">
        <f t="shared" si="92"/>
        <v>#VALUE!</v>
      </c>
      <c r="D1518" s="12" t="e">
        <f>MID(MAIN!A1523,K1518+2,2)</f>
        <v>#VALUE!</v>
      </c>
      <c r="E1518" s="12" t="e">
        <f>MID(MAIN!A1523,K1518+4,2)</f>
        <v>#VALUE!</v>
      </c>
      <c r="F1518" s="2" t="e">
        <f t="shared" si="93"/>
        <v>#VALUE!</v>
      </c>
      <c r="G1518" s="13" t="e">
        <f t="shared" si="94"/>
        <v>#VALUE!</v>
      </c>
      <c r="J1518" t="str">
        <f>MAIN!A1523&amp;"B"</f>
        <v>B</v>
      </c>
      <c r="K1518" s="12" t="e">
        <f t="shared" si="95"/>
        <v>#VALUE!</v>
      </c>
      <c r="L1518" t="str">
        <f>MAIN!C1523</f>
        <v/>
      </c>
    </row>
    <row r="1519" spans="1:12" x14ac:dyDescent="0.3">
      <c r="A1519">
        <f>IF(J1519="0",0,IF(COUNTIF($J$2:J1519,J1519)=1,1,0))</f>
        <v>0</v>
      </c>
      <c r="B1519" s="12" t="e">
        <f>MID(MAIN!A1524,K1519,2)</f>
        <v>#VALUE!</v>
      </c>
      <c r="C1519" s="12" t="e">
        <f t="shared" si="92"/>
        <v>#VALUE!</v>
      </c>
      <c r="D1519" s="12" t="e">
        <f>MID(MAIN!A1524,K1519+2,2)</f>
        <v>#VALUE!</v>
      </c>
      <c r="E1519" s="12" t="e">
        <f>MID(MAIN!A1524,K1519+4,2)</f>
        <v>#VALUE!</v>
      </c>
      <c r="F1519" s="2" t="e">
        <f t="shared" si="93"/>
        <v>#VALUE!</v>
      </c>
      <c r="G1519" s="13" t="e">
        <f t="shared" si="94"/>
        <v>#VALUE!</v>
      </c>
      <c r="J1519" t="str">
        <f>MAIN!A1524&amp;"B"</f>
        <v>B</v>
      </c>
      <c r="K1519" s="12" t="e">
        <f t="shared" si="95"/>
        <v>#VALUE!</v>
      </c>
      <c r="L1519" t="str">
        <f>MAIN!C1524</f>
        <v/>
      </c>
    </row>
    <row r="1520" spans="1:12" x14ac:dyDescent="0.3">
      <c r="A1520">
        <f>IF(J1520="0",0,IF(COUNTIF($J$2:J1520,J1520)=1,1,0))</f>
        <v>0</v>
      </c>
      <c r="B1520" s="12" t="e">
        <f>MID(MAIN!A1525,K1520,2)</f>
        <v>#VALUE!</v>
      </c>
      <c r="C1520" s="12" t="e">
        <f t="shared" si="92"/>
        <v>#VALUE!</v>
      </c>
      <c r="D1520" s="12" t="e">
        <f>MID(MAIN!A1525,K1520+2,2)</f>
        <v>#VALUE!</v>
      </c>
      <c r="E1520" s="12" t="e">
        <f>MID(MAIN!A1525,K1520+4,2)</f>
        <v>#VALUE!</v>
      </c>
      <c r="F1520" s="2" t="e">
        <f t="shared" si="93"/>
        <v>#VALUE!</v>
      </c>
      <c r="G1520" s="13" t="e">
        <f t="shared" si="94"/>
        <v>#VALUE!</v>
      </c>
      <c r="J1520" t="str">
        <f>MAIN!A1525&amp;"B"</f>
        <v>B</v>
      </c>
      <c r="K1520" s="12" t="e">
        <f t="shared" si="95"/>
        <v>#VALUE!</v>
      </c>
      <c r="L1520" t="str">
        <f>MAIN!C1525</f>
        <v/>
      </c>
    </row>
    <row r="1521" spans="1:12" x14ac:dyDescent="0.3">
      <c r="A1521">
        <f>IF(J1521="0",0,IF(COUNTIF($J$2:J1521,J1521)=1,1,0))</f>
        <v>0</v>
      </c>
      <c r="B1521" s="12" t="e">
        <f>MID(MAIN!A1526,K1521,2)</f>
        <v>#VALUE!</v>
      </c>
      <c r="C1521" s="12" t="e">
        <f t="shared" si="92"/>
        <v>#VALUE!</v>
      </c>
      <c r="D1521" s="12" t="e">
        <f>MID(MAIN!A1526,K1521+2,2)</f>
        <v>#VALUE!</v>
      </c>
      <c r="E1521" s="12" t="e">
        <f>MID(MAIN!A1526,K1521+4,2)</f>
        <v>#VALUE!</v>
      </c>
      <c r="F1521" s="2" t="e">
        <f t="shared" si="93"/>
        <v>#VALUE!</v>
      </c>
      <c r="G1521" s="13" t="e">
        <f t="shared" si="94"/>
        <v>#VALUE!</v>
      </c>
      <c r="J1521" t="str">
        <f>MAIN!A1526&amp;"B"</f>
        <v>B</v>
      </c>
      <c r="K1521" s="12" t="e">
        <f t="shared" si="95"/>
        <v>#VALUE!</v>
      </c>
      <c r="L1521" t="str">
        <f>MAIN!C1526</f>
        <v/>
      </c>
    </row>
    <row r="1522" spans="1:12" x14ac:dyDescent="0.3">
      <c r="A1522">
        <f>IF(J1522="0",0,IF(COUNTIF($J$2:J1522,J1522)=1,1,0))</f>
        <v>0</v>
      </c>
      <c r="B1522" s="12" t="e">
        <f>MID(MAIN!A1527,K1522,2)</f>
        <v>#VALUE!</v>
      </c>
      <c r="C1522" s="12" t="e">
        <f t="shared" si="92"/>
        <v>#VALUE!</v>
      </c>
      <c r="D1522" s="12" t="e">
        <f>MID(MAIN!A1527,K1522+2,2)</f>
        <v>#VALUE!</v>
      </c>
      <c r="E1522" s="12" t="e">
        <f>MID(MAIN!A1527,K1522+4,2)</f>
        <v>#VALUE!</v>
      </c>
      <c r="F1522" s="2" t="e">
        <f t="shared" si="93"/>
        <v>#VALUE!</v>
      </c>
      <c r="G1522" s="13" t="e">
        <f t="shared" si="94"/>
        <v>#VALUE!</v>
      </c>
      <c r="J1522" t="str">
        <f>MAIN!A1527&amp;"B"</f>
        <v>B</v>
      </c>
      <c r="K1522" s="12" t="e">
        <f t="shared" si="95"/>
        <v>#VALUE!</v>
      </c>
      <c r="L1522" t="str">
        <f>MAIN!C1527</f>
        <v/>
      </c>
    </row>
    <row r="1523" spans="1:12" x14ac:dyDescent="0.3">
      <c r="A1523">
        <f>IF(J1523="0",0,IF(COUNTIF($J$2:J1523,J1523)=1,1,0))</f>
        <v>0</v>
      </c>
      <c r="B1523" s="12" t="e">
        <f>MID(MAIN!A1528,K1523,2)</f>
        <v>#VALUE!</v>
      </c>
      <c r="C1523" s="12" t="e">
        <f t="shared" si="92"/>
        <v>#VALUE!</v>
      </c>
      <c r="D1523" s="12" t="e">
        <f>MID(MAIN!A1528,K1523+2,2)</f>
        <v>#VALUE!</v>
      </c>
      <c r="E1523" s="12" t="e">
        <f>MID(MAIN!A1528,K1523+4,2)</f>
        <v>#VALUE!</v>
      </c>
      <c r="F1523" s="2" t="e">
        <f t="shared" si="93"/>
        <v>#VALUE!</v>
      </c>
      <c r="G1523" s="13" t="e">
        <f t="shared" si="94"/>
        <v>#VALUE!</v>
      </c>
      <c r="J1523" t="str">
        <f>MAIN!A1528&amp;"B"</f>
        <v>B</v>
      </c>
      <c r="K1523" s="12" t="e">
        <f t="shared" si="95"/>
        <v>#VALUE!</v>
      </c>
      <c r="L1523" t="str">
        <f>MAIN!C1528</f>
        <v/>
      </c>
    </row>
    <row r="1524" spans="1:12" x14ac:dyDescent="0.3">
      <c r="A1524">
        <f>IF(J1524="0",0,IF(COUNTIF($J$2:J1524,J1524)=1,1,0))</f>
        <v>0</v>
      </c>
      <c r="B1524" s="12" t="e">
        <f>MID(MAIN!A1529,K1524,2)</f>
        <v>#VALUE!</v>
      </c>
      <c r="C1524" s="12" t="e">
        <f t="shared" si="92"/>
        <v>#VALUE!</v>
      </c>
      <c r="D1524" s="12" t="e">
        <f>MID(MAIN!A1529,K1524+2,2)</f>
        <v>#VALUE!</v>
      </c>
      <c r="E1524" s="12" t="e">
        <f>MID(MAIN!A1529,K1524+4,2)</f>
        <v>#VALUE!</v>
      </c>
      <c r="F1524" s="2" t="e">
        <f t="shared" si="93"/>
        <v>#VALUE!</v>
      </c>
      <c r="G1524" s="13" t="e">
        <f t="shared" si="94"/>
        <v>#VALUE!</v>
      </c>
      <c r="J1524" t="str">
        <f>MAIN!A1529&amp;"B"</f>
        <v>B</v>
      </c>
      <c r="K1524" s="12" t="e">
        <f t="shared" si="95"/>
        <v>#VALUE!</v>
      </c>
      <c r="L1524" t="str">
        <f>MAIN!C1529</f>
        <v/>
      </c>
    </row>
    <row r="1525" spans="1:12" x14ac:dyDescent="0.3">
      <c r="A1525">
        <f>IF(J1525="0",0,IF(COUNTIF($J$2:J1525,J1525)=1,1,0))</f>
        <v>0</v>
      </c>
      <c r="B1525" s="12" t="e">
        <f>MID(MAIN!A1530,K1525,2)</f>
        <v>#VALUE!</v>
      </c>
      <c r="C1525" s="12" t="e">
        <f t="shared" si="92"/>
        <v>#VALUE!</v>
      </c>
      <c r="D1525" s="12" t="e">
        <f>MID(MAIN!A1530,K1525+2,2)</f>
        <v>#VALUE!</v>
      </c>
      <c r="E1525" s="12" t="e">
        <f>MID(MAIN!A1530,K1525+4,2)</f>
        <v>#VALUE!</v>
      </c>
      <c r="F1525" s="2" t="e">
        <f t="shared" si="93"/>
        <v>#VALUE!</v>
      </c>
      <c r="G1525" s="13" t="e">
        <f t="shared" si="94"/>
        <v>#VALUE!</v>
      </c>
      <c r="J1525" t="str">
        <f>MAIN!A1530&amp;"B"</f>
        <v>B</v>
      </c>
      <c r="K1525" s="12" t="e">
        <f t="shared" si="95"/>
        <v>#VALUE!</v>
      </c>
      <c r="L1525" t="str">
        <f>MAIN!C1530</f>
        <v/>
      </c>
    </row>
    <row r="1526" spans="1:12" x14ac:dyDescent="0.3">
      <c r="A1526">
        <f>IF(J1526="0",0,IF(COUNTIF($J$2:J1526,J1526)=1,1,0))</f>
        <v>0</v>
      </c>
      <c r="B1526" s="12" t="e">
        <f>MID(MAIN!A1531,K1526,2)</f>
        <v>#VALUE!</v>
      </c>
      <c r="C1526" s="12" t="e">
        <f t="shared" si="92"/>
        <v>#VALUE!</v>
      </c>
      <c r="D1526" s="12" t="e">
        <f>MID(MAIN!A1531,K1526+2,2)</f>
        <v>#VALUE!</v>
      </c>
      <c r="E1526" s="12" t="e">
        <f>MID(MAIN!A1531,K1526+4,2)</f>
        <v>#VALUE!</v>
      </c>
      <c r="F1526" s="2" t="e">
        <f t="shared" si="93"/>
        <v>#VALUE!</v>
      </c>
      <c r="G1526" s="13" t="e">
        <f t="shared" si="94"/>
        <v>#VALUE!</v>
      </c>
      <c r="J1526" t="str">
        <f>MAIN!A1531&amp;"B"</f>
        <v>B</v>
      </c>
      <c r="K1526" s="12" t="e">
        <f t="shared" si="95"/>
        <v>#VALUE!</v>
      </c>
      <c r="L1526" t="str">
        <f>MAIN!C1531</f>
        <v/>
      </c>
    </row>
    <row r="1527" spans="1:12" x14ac:dyDescent="0.3">
      <c r="A1527">
        <f>IF(J1527="0",0,IF(COUNTIF($J$2:J1527,J1527)=1,1,0))</f>
        <v>0</v>
      </c>
      <c r="B1527" s="12" t="e">
        <f>MID(MAIN!A1532,K1527,2)</f>
        <v>#VALUE!</v>
      </c>
      <c r="C1527" s="12" t="e">
        <f t="shared" si="92"/>
        <v>#VALUE!</v>
      </c>
      <c r="D1527" s="12" t="e">
        <f>MID(MAIN!A1532,K1527+2,2)</f>
        <v>#VALUE!</v>
      </c>
      <c r="E1527" s="12" t="e">
        <f>MID(MAIN!A1532,K1527+4,2)</f>
        <v>#VALUE!</v>
      </c>
      <c r="F1527" s="2" t="e">
        <f t="shared" si="93"/>
        <v>#VALUE!</v>
      </c>
      <c r="G1527" s="13" t="e">
        <f t="shared" si="94"/>
        <v>#VALUE!</v>
      </c>
      <c r="J1527" t="str">
        <f>MAIN!A1532&amp;"B"</f>
        <v>B</v>
      </c>
      <c r="K1527" s="12" t="e">
        <f t="shared" si="95"/>
        <v>#VALUE!</v>
      </c>
      <c r="L1527" t="str">
        <f>MAIN!C1532</f>
        <v/>
      </c>
    </row>
    <row r="1528" spans="1:12" x14ac:dyDescent="0.3">
      <c r="A1528">
        <f>IF(J1528="0",0,IF(COUNTIF($J$2:J1528,J1528)=1,1,0))</f>
        <v>0</v>
      </c>
      <c r="B1528" s="12" t="e">
        <f>MID(MAIN!A1533,K1528,2)</f>
        <v>#VALUE!</v>
      </c>
      <c r="C1528" s="12" t="e">
        <f t="shared" si="92"/>
        <v>#VALUE!</v>
      </c>
      <c r="D1528" s="12" t="e">
        <f>MID(MAIN!A1533,K1528+2,2)</f>
        <v>#VALUE!</v>
      </c>
      <c r="E1528" s="12" t="e">
        <f>MID(MAIN!A1533,K1528+4,2)</f>
        <v>#VALUE!</v>
      </c>
      <c r="F1528" s="2" t="e">
        <f t="shared" si="93"/>
        <v>#VALUE!</v>
      </c>
      <c r="G1528" s="13" t="e">
        <f t="shared" si="94"/>
        <v>#VALUE!</v>
      </c>
      <c r="J1528" t="str">
        <f>MAIN!A1533&amp;"B"</f>
        <v>B</v>
      </c>
      <c r="K1528" s="12" t="e">
        <f t="shared" si="95"/>
        <v>#VALUE!</v>
      </c>
      <c r="L1528" t="str">
        <f>MAIN!C1533</f>
        <v/>
      </c>
    </row>
    <row r="1529" spans="1:12" x14ac:dyDescent="0.3">
      <c r="A1529">
        <f>IF(J1529="0",0,IF(COUNTIF($J$2:J1529,J1529)=1,1,0))</f>
        <v>0</v>
      </c>
      <c r="B1529" s="12" t="e">
        <f>MID(MAIN!A1534,K1529,2)</f>
        <v>#VALUE!</v>
      </c>
      <c r="C1529" s="12" t="e">
        <f t="shared" si="92"/>
        <v>#VALUE!</v>
      </c>
      <c r="D1529" s="12" t="e">
        <f>MID(MAIN!A1534,K1529+2,2)</f>
        <v>#VALUE!</v>
      </c>
      <c r="E1529" s="12" t="e">
        <f>MID(MAIN!A1534,K1529+4,2)</f>
        <v>#VALUE!</v>
      </c>
      <c r="F1529" s="2" t="e">
        <f t="shared" si="93"/>
        <v>#VALUE!</v>
      </c>
      <c r="G1529" s="13" t="e">
        <f t="shared" si="94"/>
        <v>#VALUE!</v>
      </c>
      <c r="J1529" t="str">
        <f>MAIN!A1534&amp;"B"</f>
        <v>B</v>
      </c>
      <c r="K1529" s="12" t="e">
        <f t="shared" si="95"/>
        <v>#VALUE!</v>
      </c>
      <c r="L1529" t="str">
        <f>MAIN!C1534</f>
        <v/>
      </c>
    </row>
    <row r="1530" spans="1:12" x14ac:dyDescent="0.3">
      <c r="A1530">
        <f>IF(J1530="0",0,IF(COUNTIF($J$2:J1530,J1530)=1,1,0))</f>
        <v>0</v>
      </c>
      <c r="B1530" s="12" t="e">
        <f>MID(MAIN!A1535,K1530,2)</f>
        <v>#VALUE!</v>
      </c>
      <c r="C1530" s="12" t="e">
        <f t="shared" si="92"/>
        <v>#VALUE!</v>
      </c>
      <c r="D1530" s="12" t="e">
        <f>MID(MAIN!A1535,K1530+2,2)</f>
        <v>#VALUE!</v>
      </c>
      <c r="E1530" s="12" t="e">
        <f>MID(MAIN!A1535,K1530+4,2)</f>
        <v>#VALUE!</v>
      </c>
      <c r="F1530" s="2" t="e">
        <f t="shared" si="93"/>
        <v>#VALUE!</v>
      </c>
      <c r="G1530" s="13" t="e">
        <f t="shared" si="94"/>
        <v>#VALUE!</v>
      </c>
      <c r="J1530" t="str">
        <f>MAIN!A1535&amp;"B"</f>
        <v>B</v>
      </c>
      <c r="K1530" s="12" t="e">
        <f t="shared" si="95"/>
        <v>#VALUE!</v>
      </c>
      <c r="L1530" t="str">
        <f>MAIN!C1535</f>
        <v/>
      </c>
    </row>
    <row r="1531" spans="1:12" x14ac:dyDescent="0.3">
      <c r="A1531">
        <f>IF(J1531="0",0,IF(COUNTIF($J$2:J1531,J1531)=1,1,0))</f>
        <v>0</v>
      </c>
      <c r="B1531" s="12" t="e">
        <f>MID(MAIN!A1536,K1531,2)</f>
        <v>#VALUE!</v>
      </c>
      <c r="C1531" s="12" t="e">
        <f t="shared" si="92"/>
        <v>#VALUE!</v>
      </c>
      <c r="D1531" s="12" t="e">
        <f>MID(MAIN!A1536,K1531+2,2)</f>
        <v>#VALUE!</v>
      </c>
      <c r="E1531" s="12" t="e">
        <f>MID(MAIN!A1536,K1531+4,2)</f>
        <v>#VALUE!</v>
      </c>
      <c r="F1531" s="2" t="e">
        <f t="shared" si="93"/>
        <v>#VALUE!</v>
      </c>
      <c r="G1531" s="13" t="e">
        <f t="shared" si="94"/>
        <v>#VALUE!</v>
      </c>
      <c r="J1531" t="str">
        <f>MAIN!A1536&amp;"B"</f>
        <v>B</v>
      </c>
      <c r="K1531" s="12" t="e">
        <f t="shared" si="95"/>
        <v>#VALUE!</v>
      </c>
      <c r="L1531" t="str">
        <f>MAIN!C1536</f>
        <v/>
      </c>
    </row>
    <row r="1532" spans="1:12" x14ac:dyDescent="0.3">
      <c r="A1532">
        <f>IF(J1532="0",0,IF(COUNTIF($J$2:J1532,J1532)=1,1,0))</f>
        <v>0</v>
      </c>
      <c r="B1532" s="12" t="e">
        <f>MID(MAIN!A1537,K1532,2)</f>
        <v>#VALUE!</v>
      </c>
      <c r="C1532" s="12" t="e">
        <f t="shared" si="92"/>
        <v>#VALUE!</v>
      </c>
      <c r="D1532" s="12" t="e">
        <f>MID(MAIN!A1537,K1532+2,2)</f>
        <v>#VALUE!</v>
      </c>
      <c r="E1532" s="12" t="e">
        <f>MID(MAIN!A1537,K1532+4,2)</f>
        <v>#VALUE!</v>
      </c>
      <c r="F1532" s="2" t="e">
        <f t="shared" si="93"/>
        <v>#VALUE!</v>
      </c>
      <c r="G1532" s="13" t="e">
        <f t="shared" si="94"/>
        <v>#VALUE!</v>
      </c>
      <c r="J1532" t="str">
        <f>MAIN!A1537&amp;"B"</f>
        <v>B</v>
      </c>
      <c r="K1532" s="12" t="e">
        <f t="shared" si="95"/>
        <v>#VALUE!</v>
      </c>
      <c r="L1532" t="str">
        <f>MAIN!C1537</f>
        <v/>
      </c>
    </row>
    <row r="1533" spans="1:12" x14ac:dyDescent="0.3">
      <c r="A1533">
        <f>IF(J1533="0",0,IF(COUNTIF($J$2:J1533,J1533)=1,1,0))</f>
        <v>0</v>
      </c>
      <c r="B1533" s="12" t="e">
        <f>MID(MAIN!A1538,K1533,2)</f>
        <v>#VALUE!</v>
      </c>
      <c r="C1533" s="12" t="e">
        <f t="shared" si="92"/>
        <v>#VALUE!</v>
      </c>
      <c r="D1533" s="12" t="e">
        <f>MID(MAIN!A1538,K1533+2,2)</f>
        <v>#VALUE!</v>
      </c>
      <c r="E1533" s="12" t="e">
        <f>MID(MAIN!A1538,K1533+4,2)</f>
        <v>#VALUE!</v>
      </c>
      <c r="F1533" s="2" t="e">
        <f t="shared" si="93"/>
        <v>#VALUE!</v>
      </c>
      <c r="G1533" s="13" t="e">
        <f t="shared" si="94"/>
        <v>#VALUE!</v>
      </c>
      <c r="J1533" t="str">
        <f>MAIN!A1538&amp;"B"</f>
        <v>B</v>
      </c>
      <c r="K1533" s="12" t="e">
        <f t="shared" si="95"/>
        <v>#VALUE!</v>
      </c>
      <c r="L1533" t="str">
        <f>MAIN!C1538</f>
        <v/>
      </c>
    </row>
    <row r="1534" spans="1:12" x14ac:dyDescent="0.3">
      <c r="A1534">
        <f>IF(J1534="0",0,IF(COUNTIF($J$2:J1534,J1534)=1,1,0))</f>
        <v>0</v>
      </c>
      <c r="B1534" s="12" t="e">
        <f>MID(MAIN!A1539,K1534,2)</f>
        <v>#VALUE!</v>
      </c>
      <c r="C1534" s="12" t="e">
        <f t="shared" si="92"/>
        <v>#VALUE!</v>
      </c>
      <c r="D1534" s="12" t="e">
        <f>MID(MAIN!A1539,K1534+2,2)</f>
        <v>#VALUE!</v>
      </c>
      <c r="E1534" s="12" t="e">
        <f>MID(MAIN!A1539,K1534+4,2)</f>
        <v>#VALUE!</v>
      </c>
      <c r="F1534" s="2" t="e">
        <f t="shared" si="93"/>
        <v>#VALUE!</v>
      </c>
      <c r="G1534" s="13" t="e">
        <f t="shared" si="94"/>
        <v>#VALUE!</v>
      </c>
      <c r="J1534" t="str">
        <f>MAIN!A1539&amp;"B"</f>
        <v>B</v>
      </c>
      <c r="K1534" s="12" t="e">
        <f t="shared" si="95"/>
        <v>#VALUE!</v>
      </c>
      <c r="L1534" t="str">
        <f>MAIN!C1539</f>
        <v/>
      </c>
    </row>
    <row r="1535" spans="1:12" x14ac:dyDescent="0.3">
      <c r="A1535">
        <f>IF(J1535="0",0,IF(COUNTIF($J$2:J1535,J1535)=1,1,0))</f>
        <v>0</v>
      </c>
      <c r="B1535" s="12" t="e">
        <f>MID(MAIN!A1540,K1535,2)</f>
        <v>#VALUE!</v>
      </c>
      <c r="C1535" s="12" t="e">
        <f t="shared" si="92"/>
        <v>#VALUE!</v>
      </c>
      <c r="D1535" s="12" t="e">
        <f>MID(MAIN!A1540,K1535+2,2)</f>
        <v>#VALUE!</v>
      </c>
      <c r="E1535" s="12" t="e">
        <f>MID(MAIN!A1540,K1535+4,2)</f>
        <v>#VALUE!</v>
      </c>
      <c r="F1535" s="2" t="e">
        <f t="shared" si="93"/>
        <v>#VALUE!</v>
      </c>
      <c r="G1535" s="13" t="e">
        <f t="shared" si="94"/>
        <v>#VALUE!</v>
      </c>
      <c r="J1535" t="str">
        <f>MAIN!A1540&amp;"B"</f>
        <v>B</v>
      </c>
      <c r="K1535" s="12" t="e">
        <f t="shared" si="95"/>
        <v>#VALUE!</v>
      </c>
      <c r="L1535" t="str">
        <f>MAIN!C1540</f>
        <v/>
      </c>
    </row>
    <row r="1536" spans="1:12" x14ac:dyDescent="0.3">
      <c r="A1536">
        <f>IF(J1536="0",0,IF(COUNTIF($J$2:J1536,J1536)=1,1,0))</f>
        <v>0</v>
      </c>
      <c r="B1536" s="12" t="e">
        <f>MID(MAIN!A1541,K1536,2)</f>
        <v>#VALUE!</v>
      </c>
      <c r="C1536" s="12" t="e">
        <f t="shared" si="92"/>
        <v>#VALUE!</v>
      </c>
      <c r="D1536" s="12" t="e">
        <f>MID(MAIN!A1541,K1536+2,2)</f>
        <v>#VALUE!</v>
      </c>
      <c r="E1536" s="12" t="e">
        <f>MID(MAIN!A1541,K1536+4,2)</f>
        <v>#VALUE!</v>
      </c>
      <c r="F1536" s="2" t="e">
        <f t="shared" si="93"/>
        <v>#VALUE!</v>
      </c>
      <c r="G1536" s="13" t="e">
        <f t="shared" si="94"/>
        <v>#VALUE!</v>
      </c>
      <c r="J1536" t="str">
        <f>MAIN!A1541&amp;"B"</f>
        <v>B</v>
      </c>
      <c r="K1536" s="12" t="e">
        <f t="shared" si="95"/>
        <v>#VALUE!</v>
      </c>
      <c r="L1536" t="str">
        <f>MAIN!C1541</f>
        <v/>
      </c>
    </row>
    <row r="1537" spans="1:12" x14ac:dyDescent="0.3">
      <c r="A1537">
        <f>IF(J1537="0",0,IF(COUNTIF($J$2:J1537,J1537)=1,1,0))</f>
        <v>0</v>
      </c>
      <c r="B1537" s="12" t="e">
        <f>MID(MAIN!A1542,K1537,2)</f>
        <v>#VALUE!</v>
      </c>
      <c r="C1537" s="12" t="e">
        <f t="shared" si="92"/>
        <v>#VALUE!</v>
      </c>
      <c r="D1537" s="12" t="e">
        <f>MID(MAIN!A1542,K1537+2,2)</f>
        <v>#VALUE!</v>
      </c>
      <c r="E1537" s="12" t="e">
        <f>MID(MAIN!A1542,K1537+4,2)</f>
        <v>#VALUE!</v>
      </c>
      <c r="F1537" s="2" t="e">
        <f t="shared" si="93"/>
        <v>#VALUE!</v>
      </c>
      <c r="G1537" s="13" t="e">
        <f t="shared" si="94"/>
        <v>#VALUE!</v>
      </c>
      <c r="J1537" t="str">
        <f>MAIN!A1542&amp;"B"</f>
        <v>B</v>
      </c>
      <c r="K1537" s="12" t="e">
        <f t="shared" si="95"/>
        <v>#VALUE!</v>
      </c>
      <c r="L1537" t="str">
        <f>MAIN!C1542</f>
        <v/>
      </c>
    </row>
    <row r="1538" spans="1:12" x14ac:dyDescent="0.3">
      <c r="A1538">
        <f>IF(J1538="0",0,IF(COUNTIF($J$2:J1538,J1538)=1,1,0))</f>
        <v>0</v>
      </c>
      <c r="B1538" s="12" t="e">
        <f>MID(MAIN!A1543,K1538,2)</f>
        <v>#VALUE!</v>
      </c>
      <c r="C1538" s="12" t="e">
        <f t="shared" si="92"/>
        <v>#VALUE!</v>
      </c>
      <c r="D1538" s="12" t="e">
        <f>MID(MAIN!A1543,K1538+2,2)</f>
        <v>#VALUE!</v>
      </c>
      <c r="E1538" s="12" t="e">
        <f>MID(MAIN!A1543,K1538+4,2)</f>
        <v>#VALUE!</v>
      </c>
      <c r="F1538" s="2" t="e">
        <f t="shared" si="93"/>
        <v>#VALUE!</v>
      </c>
      <c r="G1538" s="13" t="e">
        <f t="shared" si="94"/>
        <v>#VALUE!</v>
      </c>
      <c r="J1538" t="str">
        <f>MAIN!A1543&amp;"B"</f>
        <v>B</v>
      </c>
      <c r="K1538" s="12" t="e">
        <f t="shared" si="95"/>
        <v>#VALUE!</v>
      </c>
      <c r="L1538" t="str">
        <f>MAIN!C1543</f>
        <v/>
      </c>
    </row>
    <row r="1539" spans="1:12" x14ac:dyDescent="0.3">
      <c r="A1539">
        <f>IF(J1539="0",0,IF(COUNTIF($J$2:J1539,J1539)=1,1,0))</f>
        <v>0</v>
      </c>
      <c r="B1539" s="12" t="e">
        <f>MID(MAIN!A1544,K1539,2)</f>
        <v>#VALUE!</v>
      </c>
      <c r="C1539" s="12" t="e">
        <f t="shared" ref="C1539:C1602" si="96">"20"&amp;B1539</f>
        <v>#VALUE!</v>
      </c>
      <c r="D1539" s="12" t="e">
        <f>MID(MAIN!A1544,K1539+2,2)</f>
        <v>#VALUE!</v>
      </c>
      <c r="E1539" s="12" t="e">
        <f>MID(MAIN!A1544,K1539+4,2)</f>
        <v>#VALUE!</v>
      </c>
      <c r="F1539" s="2" t="e">
        <f t="shared" ref="F1539:F1602" si="97">C1539&amp;"/"&amp;D1539&amp;"/"&amp;E1539</f>
        <v>#VALUE!</v>
      </c>
      <c r="G1539" s="13" t="e">
        <f t="shared" ref="G1539:G1602" si="98">DATEVALUE(F1539)</f>
        <v>#VALUE!</v>
      </c>
      <c r="J1539" t="str">
        <f>MAIN!A1544&amp;"B"</f>
        <v>B</v>
      </c>
      <c r="K1539" s="12" t="e">
        <f t="shared" ref="K1539:K1602" si="99">FIND("172",J1539,30)+2</f>
        <v>#VALUE!</v>
      </c>
      <c r="L1539" t="str">
        <f>MAIN!C1544</f>
        <v/>
      </c>
    </row>
    <row r="1540" spans="1:12" x14ac:dyDescent="0.3">
      <c r="A1540">
        <f>IF(J1540="0",0,IF(COUNTIF($J$2:J1540,J1540)=1,1,0))</f>
        <v>0</v>
      </c>
      <c r="B1540" s="12" t="e">
        <f>MID(MAIN!A1545,K1540,2)</f>
        <v>#VALUE!</v>
      </c>
      <c r="C1540" s="12" t="e">
        <f t="shared" si="96"/>
        <v>#VALUE!</v>
      </c>
      <c r="D1540" s="12" t="e">
        <f>MID(MAIN!A1545,K1540+2,2)</f>
        <v>#VALUE!</v>
      </c>
      <c r="E1540" s="12" t="e">
        <f>MID(MAIN!A1545,K1540+4,2)</f>
        <v>#VALUE!</v>
      </c>
      <c r="F1540" s="2" t="e">
        <f t="shared" si="97"/>
        <v>#VALUE!</v>
      </c>
      <c r="G1540" s="13" t="e">
        <f t="shared" si="98"/>
        <v>#VALUE!</v>
      </c>
      <c r="J1540" t="str">
        <f>MAIN!A1545&amp;"B"</f>
        <v>B</v>
      </c>
      <c r="K1540" s="12" t="e">
        <f t="shared" si="99"/>
        <v>#VALUE!</v>
      </c>
      <c r="L1540" t="str">
        <f>MAIN!C1545</f>
        <v/>
      </c>
    </row>
    <row r="1541" spans="1:12" x14ac:dyDescent="0.3">
      <c r="A1541">
        <f>IF(J1541="0",0,IF(COUNTIF($J$2:J1541,J1541)=1,1,0))</f>
        <v>0</v>
      </c>
      <c r="B1541" s="12" t="e">
        <f>MID(MAIN!A1546,K1541,2)</f>
        <v>#VALUE!</v>
      </c>
      <c r="C1541" s="12" t="e">
        <f t="shared" si="96"/>
        <v>#VALUE!</v>
      </c>
      <c r="D1541" s="12" t="e">
        <f>MID(MAIN!A1546,K1541+2,2)</f>
        <v>#VALUE!</v>
      </c>
      <c r="E1541" s="12" t="e">
        <f>MID(MAIN!A1546,K1541+4,2)</f>
        <v>#VALUE!</v>
      </c>
      <c r="F1541" s="2" t="e">
        <f t="shared" si="97"/>
        <v>#VALUE!</v>
      </c>
      <c r="G1541" s="13" t="e">
        <f t="shared" si="98"/>
        <v>#VALUE!</v>
      </c>
      <c r="J1541" t="str">
        <f>MAIN!A1546&amp;"B"</f>
        <v>B</v>
      </c>
      <c r="K1541" s="12" t="e">
        <f t="shared" si="99"/>
        <v>#VALUE!</v>
      </c>
      <c r="L1541" t="str">
        <f>MAIN!C1546</f>
        <v/>
      </c>
    </row>
    <row r="1542" spans="1:12" x14ac:dyDescent="0.3">
      <c r="A1542">
        <f>IF(J1542="0",0,IF(COUNTIF($J$2:J1542,J1542)=1,1,0))</f>
        <v>0</v>
      </c>
      <c r="B1542" s="12" t="e">
        <f>MID(MAIN!A1547,K1542,2)</f>
        <v>#VALUE!</v>
      </c>
      <c r="C1542" s="12" t="e">
        <f t="shared" si="96"/>
        <v>#VALUE!</v>
      </c>
      <c r="D1542" s="12" t="e">
        <f>MID(MAIN!A1547,K1542+2,2)</f>
        <v>#VALUE!</v>
      </c>
      <c r="E1542" s="12" t="e">
        <f>MID(MAIN!A1547,K1542+4,2)</f>
        <v>#VALUE!</v>
      </c>
      <c r="F1542" s="2" t="e">
        <f t="shared" si="97"/>
        <v>#VALUE!</v>
      </c>
      <c r="G1542" s="13" t="e">
        <f t="shared" si="98"/>
        <v>#VALUE!</v>
      </c>
      <c r="J1542" t="str">
        <f>MAIN!A1547&amp;"B"</f>
        <v>B</v>
      </c>
      <c r="K1542" s="12" t="e">
        <f t="shared" si="99"/>
        <v>#VALUE!</v>
      </c>
      <c r="L1542" t="str">
        <f>MAIN!C1547</f>
        <v/>
      </c>
    </row>
    <row r="1543" spans="1:12" x14ac:dyDescent="0.3">
      <c r="A1543">
        <f>IF(J1543="0",0,IF(COUNTIF($J$2:J1543,J1543)=1,1,0))</f>
        <v>0</v>
      </c>
      <c r="B1543" s="12" t="e">
        <f>MID(MAIN!A1548,K1543,2)</f>
        <v>#VALUE!</v>
      </c>
      <c r="C1543" s="12" t="e">
        <f t="shared" si="96"/>
        <v>#VALUE!</v>
      </c>
      <c r="D1543" s="12" t="e">
        <f>MID(MAIN!A1548,K1543+2,2)</f>
        <v>#VALUE!</v>
      </c>
      <c r="E1543" s="12" t="e">
        <f>MID(MAIN!A1548,K1543+4,2)</f>
        <v>#VALUE!</v>
      </c>
      <c r="F1543" s="2" t="e">
        <f t="shared" si="97"/>
        <v>#VALUE!</v>
      </c>
      <c r="G1543" s="13" t="e">
        <f t="shared" si="98"/>
        <v>#VALUE!</v>
      </c>
      <c r="J1543" t="str">
        <f>MAIN!A1548&amp;"B"</f>
        <v>B</v>
      </c>
      <c r="K1543" s="12" t="e">
        <f t="shared" si="99"/>
        <v>#VALUE!</v>
      </c>
      <c r="L1543" t="str">
        <f>MAIN!C1548</f>
        <v/>
      </c>
    </row>
    <row r="1544" spans="1:12" x14ac:dyDescent="0.3">
      <c r="A1544">
        <f>IF(J1544="0",0,IF(COUNTIF($J$2:J1544,J1544)=1,1,0))</f>
        <v>0</v>
      </c>
      <c r="B1544" s="12" t="e">
        <f>MID(MAIN!A1549,K1544,2)</f>
        <v>#VALUE!</v>
      </c>
      <c r="C1544" s="12" t="e">
        <f t="shared" si="96"/>
        <v>#VALUE!</v>
      </c>
      <c r="D1544" s="12" t="e">
        <f>MID(MAIN!A1549,K1544+2,2)</f>
        <v>#VALUE!</v>
      </c>
      <c r="E1544" s="12" t="e">
        <f>MID(MAIN!A1549,K1544+4,2)</f>
        <v>#VALUE!</v>
      </c>
      <c r="F1544" s="2" t="e">
        <f t="shared" si="97"/>
        <v>#VALUE!</v>
      </c>
      <c r="G1544" s="13" t="e">
        <f t="shared" si="98"/>
        <v>#VALUE!</v>
      </c>
      <c r="J1544" t="str">
        <f>MAIN!A1549&amp;"B"</f>
        <v>B</v>
      </c>
      <c r="K1544" s="12" t="e">
        <f t="shared" si="99"/>
        <v>#VALUE!</v>
      </c>
      <c r="L1544" t="str">
        <f>MAIN!C1549</f>
        <v/>
      </c>
    </row>
    <row r="1545" spans="1:12" x14ac:dyDescent="0.3">
      <c r="A1545">
        <f>IF(J1545="0",0,IF(COUNTIF($J$2:J1545,J1545)=1,1,0))</f>
        <v>0</v>
      </c>
      <c r="B1545" s="12" t="e">
        <f>MID(MAIN!A1550,K1545,2)</f>
        <v>#VALUE!</v>
      </c>
      <c r="C1545" s="12" t="e">
        <f t="shared" si="96"/>
        <v>#VALUE!</v>
      </c>
      <c r="D1545" s="12" t="e">
        <f>MID(MAIN!A1550,K1545+2,2)</f>
        <v>#VALUE!</v>
      </c>
      <c r="E1545" s="12" t="e">
        <f>MID(MAIN!A1550,K1545+4,2)</f>
        <v>#VALUE!</v>
      </c>
      <c r="F1545" s="2" t="e">
        <f t="shared" si="97"/>
        <v>#VALUE!</v>
      </c>
      <c r="G1545" s="13" t="e">
        <f t="shared" si="98"/>
        <v>#VALUE!</v>
      </c>
      <c r="J1545" t="str">
        <f>MAIN!A1550&amp;"B"</f>
        <v>B</v>
      </c>
      <c r="K1545" s="12" t="e">
        <f t="shared" si="99"/>
        <v>#VALUE!</v>
      </c>
      <c r="L1545" t="str">
        <f>MAIN!C1550</f>
        <v/>
      </c>
    </row>
    <row r="1546" spans="1:12" x14ac:dyDescent="0.3">
      <c r="A1546">
        <f>IF(J1546="0",0,IF(COUNTIF($J$2:J1546,J1546)=1,1,0))</f>
        <v>0</v>
      </c>
      <c r="B1546" s="12" t="e">
        <f>MID(MAIN!A1551,K1546,2)</f>
        <v>#VALUE!</v>
      </c>
      <c r="C1546" s="12" t="e">
        <f t="shared" si="96"/>
        <v>#VALUE!</v>
      </c>
      <c r="D1546" s="12" t="e">
        <f>MID(MAIN!A1551,K1546+2,2)</f>
        <v>#VALUE!</v>
      </c>
      <c r="E1546" s="12" t="e">
        <f>MID(MAIN!A1551,K1546+4,2)</f>
        <v>#VALUE!</v>
      </c>
      <c r="F1546" s="2" t="e">
        <f t="shared" si="97"/>
        <v>#VALUE!</v>
      </c>
      <c r="G1546" s="13" t="e">
        <f t="shared" si="98"/>
        <v>#VALUE!</v>
      </c>
      <c r="J1546" t="str">
        <f>MAIN!A1551&amp;"B"</f>
        <v>B</v>
      </c>
      <c r="K1546" s="12" t="e">
        <f t="shared" si="99"/>
        <v>#VALUE!</v>
      </c>
      <c r="L1546" t="str">
        <f>MAIN!C1551</f>
        <v/>
      </c>
    </row>
    <row r="1547" spans="1:12" x14ac:dyDescent="0.3">
      <c r="A1547">
        <f>IF(J1547="0",0,IF(COUNTIF($J$2:J1547,J1547)=1,1,0))</f>
        <v>0</v>
      </c>
      <c r="B1547" s="12" t="e">
        <f>MID(MAIN!A1552,K1547,2)</f>
        <v>#VALUE!</v>
      </c>
      <c r="C1547" s="12" t="e">
        <f t="shared" si="96"/>
        <v>#VALUE!</v>
      </c>
      <c r="D1547" s="12" t="e">
        <f>MID(MAIN!A1552,K1547+2,2)</f>
        <v>#VALUE!</v>
      </c>
      <c r="E1547" s="12" t="e">
        <f>MID(MAIN!A1552,K1547+4,2)</f>
        <v>#VALUE!</v>
      </c>
      <c r="F1547" s="2" t="e">
        <f t="shared" si="97"/>
        <v>#VALUE!</v>
      </c>
      <c r="G1547" s="13" t="e">
        <f t="shared" si="98"/>
        <v>#VALUE!</v>
      </c>
      <c r="J1547" t="str">
        <f>MAIN!A1552&amp;"B"</f>
        <v>B</v>
      </c>
      <c r="K1547" s="12" t="e">
        <f t="shared" si="99"/>
        <v>#VALUE!</v>
      </c>
      <c r="L1547" t="str">
        <f>MAIN!C1552</f>
        <v/>
      </c>
    </row>
    <row r="1548" spans="1:12" x14ac:dyDescent="0.3">
      <c r="A1548">
        <f>IF(J1548="0",0,IF(COUNTIF($J$2:J1548,J1548)=1,1,0))</f>
        <v>0</v>
      </c>
      <c r="B1548" s="12" t="e">
        <f>MID(MAIN!A1553,K1548,2)</f>
        <v>#VALUE!</v>
      </c>
      <c r="C1548" s="12" t="e">
        <f t="shared" si="96"/>
        <v>#VALUE!</v>
      </c>
      <c r="D1548" s="12" t="e">
        <f>MID(MAIN!A1553,K1548+2,2)</f>
        <v>#VALUE!</v>
      </c>
      <c r="E1548" s="12" t="e">
        <f>MID(MAIN!A1553,K1548+4,2)</f>
        <v>#VALUE!</v>
      </c>
      <c r="F1548" s="2" t="e">
        <f t="shared" si="97"/>
        <v>#VALUE!</v>
      </c>
      <c r="G1548" s="13" t="e">
        <f t="shared" si="98"/>
        <v>#VALUE!</v>
      </c>
      <c r="J1548" t="str">
        <f>MAIN!A1553&amp;"B"</f>
        <v>B</v>
      </c>
      <c r="K1548" s="12" t="e">
        <f t="shared" si="99"/>
        <v>#VALUE!</v>
      </c>
      <c r="L1548" t="str">
        <f>MAIN!C1553</f>
        <v/>
      </c>
    </row>
    <row r="1549" spans="1:12" x14ac:dyDescent="0.3">
      <c r="A1549">
        <f>IF(J1549="0",0,IF(COUNTIF($J$2:J1549,J1549)=1,1,0))</f>
        <v>0</v>
      </c>
      <c r="B1549" s="12" t="e">
        <f>MID(MAIN!A1554,K1549,2)</f>
        <v>#VALUE!</v>
      </c>
      <c r="C1549" s="12" t="e">
        <f t="shared" si="96"/>
        <v>#VALUE!</v>
      </c>
      <c r="D1549" s="12" t="e">
        <f>MID(MAIN!A1554,K1549+2,2)</f>
        <v>#VALUE!</v>
      </c>
      <c r="E1549" s="12" t="e">
        <f>MID(MAIN!A1554,K1549+4,2)</f>
        <v>#VALUE!</v>
      </c>
      <c r="F1549" s="2" t="e">
        <f t="shared" si="97"/>
        <v>#VALUE!</v>
      </c>
      <c r="G1549" s="13" t="e">
        <f t="shared" si="98"/>
        <v>#VALUE!</v>
      </c>
      <c r="J1549" t="str">
        <f>MAIN!A1554&amp;"B"</f>
        <v>B</v>
      </c>
      <c r="K1549" s="12" t="e">
        <f t="shared" si="99"/>
        <v>#VALUE!</v>
      </c>
      <c r="L1549" t="str">
        <f>MAIN!C1554</f>
        <v/>
      </c>
    </row>
    <row r="1550" spans="1:12" x14ac:dyDescent="0.3">
      <c r="A1550">
        <f>IF(J1550="0",0,IF(COUNTIF($J$2:J1550,J1550)=1,1,0))</f>
        <v>0</v>
      </c>
      <c r="B1550" s="12" t="e">
        <f>MID(MAIN!A1555,K1550,2)</f>
        <v>#VALUE!</v>
      </c>
      <c r="C1550" s="12" t="e">
        <f t="shared" si="96"/>
        <v>#VALUE!</v>
      </c>
      <c r="D1550" s="12" t="e">
        <f>MID(MAIN!A1555,K1550+2,2)</f>
        <v>#VALUE!</v>
      </c>
      <c r="E1550" s="12" t="e">
        <f>MID(MAIN!A1555,K1550+4,2)</f>
        <v>#VALUE!</v>
      </c>
      <c r="F1550" s="2" t="e">
        <f t="shared" si="97"/>
        <v>#VALUE!</v>
      </c>
      <c r="G1550" s="13" t="e">
        <f t="shared" si="98"/>
        <v>#VALUE!</v>
      </c>
      <c r="J1550" t="str">
        <f>MAIN!A1555&amp;"B"</f>
        <v>B</v>
      </c>
      <c r="K1550" s="12" t="e">
        <f t="shared" si="99"/>
        <v>#VALUE!</v>
      </c>
      <c r="L1550" t="str">
        <f>MAIN!C1555</f>
        <v/>
      </c>
    </row>
    <row r="1551" spans="1:12" x14ac:dyDescent="0.3">
      <c r="A1551">
        <f>IF(J1551="0",0,IF(COUNTIF($J$2:J1551,J1551)=1,1,0))</f>
        <v>0</v>
      </c>
      <c r="B1551" s="12" t="e">
        <f>MID(MAIN!A1556,K1551,2)</f>
        <v>#VALUE!</v>
      </c>
      <c r="C1551" s="12" t="e">
        <f t="shared" si="96"/>
        <v>#VALUE!</v>
      </c>
      <c r="D1551" s="12" t="e">
        <f>MID(MAIN!A1556,K1551+2,2)</f>
        <v>#VALUE!</v>
      </c>
      <c r="E1551" s="12" t="e">
        <f>MID(MAIN!A1556,K1551+4,2)</f>
        <v>#VALUE!</v>
      </c>
      <c r="F1551" s="2" t="e">
        <f t="shared" si="97"/>
        <v>#VALUE!</v>
      </c>
      <c r="G1551" s="13" t="e">
        <f t="shared" si="98"/>
        <v>#VALUE!</v>
      </c>
      <c r="J1551" t="str">
        <f>MAIN!A1556&amp;"B"</f>
        <v>B</v>
      </c>
      <c r="K1551" s="12" t="e">
        <f t="shared" si="99"/>
        <v>#VALUE!</v>
      </c>
      <c r="L1551" t="str">
        <f>MAIN!C1556</f>
        <v/>
      </c>
    </row>
    <row r="1552" spans="1:12" x14ac:dyDescent="0.3">
      <c r="A1552">
        <f>IF(J1552="0",0,IF(COUNTIF($J$2:J1552,J1552)=1,1,0))</f>
        <v>0</v>
      </c>
      <c r="B1552" s="12" t="e">
        <f>MID(MAIN!A1557,K1552,2)</f>
        <v>#VALUE!</v>
      </c>
      <c r="C1552" s="12" t="e">
        <f t="shared" si="96"/>
        <v>#VALUE!</v>
      </c>
      <c r="D1552" s="12" t="e">
        <f>MID(MAIN!A1557,K1552+2,2)</f>
        <v>#VALUE!</v>
      </c>
      <c r="E1552" s="12" t="e">
        <f>MID(MAIN!A1557,K1552+4,2)</f>
        <v>#VALUE!</v>
      </c>
      <c r="F1552" s="2" t="e">
        <f t="shared" si="97"/>
        <v>#VALUE!</v>
      </c>
      <c r="G1552" s="13" t="e">
        <f t="shared" si="98"/>
        <v>#VALUE!</v>
      </c>
      <c r="J1552" t="str">
        <f>MAIN!A1557&amp;"B"</f>
        <v>B</v>
      </c>
      <c r="K1552" s="12" t="e">
        <f t="shared" si="99"/>
        <v>#VALUE!</v>
      </c>
      <c r="L1552" t="str">
        <f>MAIN!C1557</f>
        <v/>
      </c>
    </row>
    <row r="1553" spans="1:12" x14ac:dyDescent="0.3">
      <c r="A1553">
        <f>IF(J1553="0",0,IF(COUNTIF($J$2:J1553,J1553)=1,1,0))</f>
        <v>0</v>
      </c>
      <c r="B1553" s="12" t="e">
        <f>MID(MAIN!A1558,K1553,2)</f>
        <v>#VALUE!</v>
      </c>
      <c r="C1553" s="12" t="e">
        <f t="shared" si="96"/>
        <v>#VALUE!</v>
      </c>
      <c r="D1553" s="12" t="e">
        <f>MID(MAIN!A1558,K1553+2,2)</f>
        <v>#VALUE!</v>
      </c>
      <c r="E1553" s="12" t="e">
        <f>MID(MAIN!A1558,K1553+4,2)</f>
        <v>#VALUE!</v>
      </c>
      <c r="F1553" s="2" t="e">
        <f t="shared" si="97"/>
        <v>#VALUE!</v>
      </c>
      <c r="G1553" s="13" t="e">
        <f t="shared" si="98"/>
        <v>#VALUE!</v>
      </c>
      <c r="J1553" t="str">
        <f>MAIN!A1558&amp;"B"</f>
        <v>B</v>
      </c>
      <c r="K1553" s="12" t="e">
        <f t="shared" si="99"/>
        <v>#VALUE!</v>
      </c>
      <c r="L1553" t="str">
        <f>MAIN!C1558</f>
        <v/>
      </c>
    </row>
    <row r="1554" spans="1:12" x14ac:dyDescent="0.3">
      <c r="A1554">
        <f>IF(J1554="0",0,IF(COUNTIF($J$2:J1554,J1554)=1,1,0))</f>
        <v>0</v>
      </c>
      <c r="B1554" s="12" t="e">
        <f>MID(MAIN!A1559,K1554,2)</f>
        <v>#VALUE!</v>
      </c>
      <c r="C1554" s="12" t="e">
        <f t="shared" si="96"/>
        <v>#VALUE!</v>
      </c>
      <c r="D1554" s="12" t="e">
        <f>MID(MAIN!A1559,K1554+2,2)</f>
        <v>#VALUE!</v>
      </c>
      <c r="E1554" s="12" t="e">
        <f>MID(MAIN!A1559,K1554+4,2)</f>
        <v>#VALUE!</v>
      </c>
      <c r="F1554" s="2" t="e">
        <f t="shared" si="97"/>
        <v>#VALUE!</v>
      </c>
      <c r="G1554" s="13" t="e">
        <f t="shared" si="98"/>
        <v>#VALUE!</v>
      </c>
      <c r="J1554" t="str">
        <f>MAIN!A1559&amp;"B"</f>
        <v>B</v>
      </c>
      <c r="K1554" s="12" t="e">
        <f t="shared" si="99"/>
        <v>#VALUE!</v>
      </c>
      <c r="L1554" t="str">
        <f>MAIN!C1559</f>
        <v/>
      </c>
    </row>
    <row r="1555" spans="1:12" x14ac:dyDescent="0.3">
      <c r="A1555">
        <f>IF(J1555="0",0,IF(COUNTIF($J$2:J1555,J1555)=1,1,0))</f>
        <v>0</v>
      </c>
      <c r="B1555" s="12" t="e">
        <f>MID(MAIN!A1560,K1555,2)</f>
        <v>#VALUE!</v>
      </c>
      <c r="C1555" s="12" t="e">
        <f t="shared" si="96"/>
        <v>#VALUE!</v>
      </c>
      <c r="D1555" s="12" t="e">
        <f>MID(MAIN!A1560,K1555+2,2)</f>
        <v>#VALUE!</v>
      </c>
      <c r="E1555" s="12" t="e">
        <f>MID(MAIN!A1560,K1555+4,2)</f>
        <v>#VALUE!</v>
      </c>
      <c r="F1555" s="2" t="e">
        <f t="shared" si="97"/>
        <v>#VALUE!</v>
      </c>
      <c r="G1555" s="13" t="e">
        <f t="shared" si="98"/>
        <v>#VALUE!</v>
      </c>
      <c r="J1555" t="str">
        <f>MAIN!A1560&amp;"B"</f>
        <v>B</v>
      </c>
      <c r="K1555" s="12" t="e">
        <f t="shared" si="99"/>
        <v>#VALUE!</v>
      </c>
      <c r="L1555" t="str">
        <f>MAIN!C1560</f>
        <v/>
      </c>
    </row>
    <row r="1556" spans="1:12" x14ac:dyDescent="0.3">
      <c r="A1556">
        <f>IF(J1556="0",0,IF(COUNTIF($J$2:J1556,J1556)=1,1,0))</f>
        <v>0</v>
      </c>
      <c r="B1556" s="12" t="e">
        <f>MID(MAIN!A1561,K1556,2)</f>
        <v>#VALUE!</v>
      </c>
      <c r="C1556" s="12" t="e">
        <f t="shared" si="96"/>
        <v>#VALUE!</v>
      </c>
      <c r="D1556" s="12" t="e">
        <f>MID(MAIN!A1561,K1556+2,2)</f>
        <v>#VALUE!</v>
      </c>
      <c r="E1556" s="12" t="e">
        <f>MID(MAIN!A1561,K1556+4,2)</f>
        <v>#VALUE!</v>
      </c>
      <c r="F1556" s="2" t="e">
        <f t="shared" si="97"/>
        <v>#VALUE!</v>
      </c>
      <c r="G1556" s="13" t="e">
        <f t="shared" si="98"/>
        <v>#VALUE!</v>
      </c>
      <c r="J1556" t="str">
        <f>MAIN!A1561&amp;"B"</f>
        <v>B</v>
      </c>
      <c r="K1556" s="12" t="e">
        <f t="shared" si="99"/>
        <v>#VALUE!</v>
      </c>
      <c r="L1556" t="str">
        <f>MAIN!C1561</f>
        <v/>
      </c>
    </row>
    <row r="1557" spans="1:12" x14ac:dyDescent="0.3">
      <c r="A1557">
        <f>IF(J1557="0",0,IF(COUNTIF($J$2:J1557,J1557)=1,1,0))</f>
        <v>0</v>
      </c>
      <c r="B1557" s="12" t="e">
        <f>MID(MAIN!A1562,K1557,2)</f>
        <v>#VALUE!</v>
      </c>
      <c r="C1557" s="12" t="e">
        <f t="shared" si="96"/>
        <v>#VALUE!</v>
      </c>
      <c r="D1557" s="12" t="e">
        <f>MID(MAIN!A1562,K1557+2,2)</f>
        <v>#VALUE!</v>
      </c>
      <c r="E1557" s="12" t="e">
        <f>MID(MAIN!A1562,K1557+4,2)</f>
        <v>#VALUE!</v>
      </c>
      <c r="F1557" s="2" t="e">
        <f t="shared" si="97"/>
        <v>#VALUE!</v>
      </c>
      <c r="G1557" s="13" t="e">
        <f t="shared" si="98"/>
        <v>#VALUE!</v>
      </c>
      <c r="J1557" t="str">
        <f>MAIN!A1562&amp;"B"</f>
        <v>B</v>
      </c>
      <c r="K1557" s="12" t="e">
        <f t="shared" si="99"/>
        <v>#VALUE!</v>
      </c>
      <c r="L1557" t="str">
        <f>MAIN!C1562</f>
        <v/>
      </c>
    </row>
    <row r="1558" spans="1:12" x14ac:dyDescent="0.3">
      <c r="A1558">
        <f>IF(J1558="0",0,IF(COUNTIF($J$2:J1558,J1558)=1,1,0))</f>
        <v>0</v>
      </c>
      <c r="B1558" s="12" t="e">
        <f>MID(MAIN!A1563,K1558,2)</f>
        <v>#VALUE!</v>
      </c>
      <c r="C1558" s="12" t="e">
        <f t="shared" si="96"/>
        <v>#VALUE!</v>
      </c>
      <c r="D1558" s="12" t="e">
        <f>MID(MAIN!A1563,K1558+2,2)</f>
        <v>#VALUE!</v>
      </c>
      <c r="E1558" s="12" t="e">
        <f>MID(MAIN!A1563,K1558+4,2)</f>
        <v>#VALUE!</v>
      </c>
      <c r="F1558" s="2" t="e">
        <f t="shared" si="97"/>
        <v>#VALUE!</v>
      </c>
      <c r="G1558" s="13" t="e">
        <f t="shared" si="98"/>
        <v>#VALUE!</v>
      </c>
      <c r="J1558" t="str">
        <f>MAIN!A1563&amp;"B"</f>
        <v>B</v>
      </c>
      <c r="K1558" s="12" t="e">
        <f t="shared" si="99"/>
        <v>#VALUE!</v>
      </c>
      <c r="L1558" t="str">
        <f>MAIN!C1563</f>
        <v/>
      </c>
    </row>
    <row r="1559" spans="1:12" x14ac:dyDescent="0.3">
      <c r="A1559">
        <f>IF(J1559="0",0,IF(COUNTIF($J$2:J1559,J1559)=1,1,0))</f>
        <v>0</v>
      </c>
      <c r="B1559" s="12" t="e">
        <f>MID(MAIN!A1564,K1559,2)</f>
        <v>#VALUE!</v>
      </c>
      <c r="C1559" s="12" t="e">
        <f t="shared" si="96"/>
        <v>#VALUE!</v>
      </c>
      <c r="D1559" s="12" t="e">
        <f>MID(MAIN!A1564,K1559+2,2)</f>
        <v>#VALUE!</v>
      </c>
      <c r="E1559" s="12" t="e">
        <f>MID(MAIN!A1564,K1559+4,2)</f>
        <v>#VALUE!</v>
      </c>
      <c r="F1559" s="2" t="e">
        <f t="shared" si="97"/>
        <v>#VALUE!</v>
      </c>
      <c r="G1559" s="13" t="e">
        <f t="shared" si="98"/>
        <v>#VALUE!</v>
      </c>
      <c r="J1559" t="str">
        <f>MAIN!A1564&amp;"B"</f>
        <v>B</v>
      </c>
      <c r="K1559" s="12" t="e">
        <f t="shared" si="99"/>
        <v>#VALUE!</v>
      </c>
      <c r="L1559" t="str">
        <f>MAIN!C1564</f>
        <v/>
      </c>
    </row>
    <row r="1560" spans="1:12" x14ac:dyDescent="0.3">
      <c r="A1560">
        <f>IF(J1560="0",0,IF(COUNTIF($J$2:J1560,J1560)=1,1,0))</f>
        <v>0</v>
      </c>
      <c r="B1560" s="12" t="e">
        <f>MID(MAIN!A1565,K1560,2)</f>
        <v>#VALUE!</v>
      </c>
      <c r="C1560" s="12" t="e">
        <f t="shared" si="96"/>
        <v>#VALUE!</v>
      </c>
      <c r="D1560" s="12" t="e">
        <f>MID(MAIN!A1565,K1560+2,2)</f>
        <v>#VALUE!</v>
      </c>
      <c r="E1560" s="12" t="e">
        <f>MID(MAIN!A1565,K1560+4,2)</f>
        <v>#VALUE!</v>
      </c>
      <c r="F1560" s="2" t="e">
        <f t="shared" si="97"/>
        <v>#VALUE!</v>
      </c>
      <c r="G1560" s="13" t="e">
        <f t="shared" si="98"/>
        <v>#VALUE!</v>
      </c>
      <c r="J1560" t="str">
        <f>MAIN!A1565&amp;"B"</f>
        <v>B</v>
      </c>
      <c r="K1560" s="12" t="e">
        <f t="shared" si="99"/>
        <v>#VALUE!</v>
      </c>
      <c r="L1560" t="str">
        <f>MAIN!C1565</f>
        <v/>
      </c>
    </row>
    <row r="1561" spans="1:12" x14ac:dyDescent="0.3">
      <c r="A1561">
        <f>IF(J1561="0",0,IF(COUNTIF($J$2:J1561,J1561)=1,1,0))</f>
        <v>0</v>
      </c>
      <c r="B1561" s="12" t="e">
        <f>MID(MAIN!A1566,K1561,2)</f>
        <v>#VALUE!</v>
      </c>
      <c r="C1561" s="12" t="e">
        <f t="shared" si="96"/>
        <v>#VALUE!</v>
      </c>
      <c r="D1561" s="12" t="e">
        <f>MID(MAIN!A1566,K1561+2,2)</f>
        <v>#VALUE!</v>
      </c>
      <c r="E1561" s="12" t="e">
        <f>MID(MAIN!A1566,K1561+4,2)</f>
        <v>#VALUE!</v>
      </c>
      <c r="F1561" s="2" t="e">
        <f t="shared" si="97"/>
        <v>#VALUE!</v>
      </c>
      <c r="G1561" s="13" t="e">
        <f t="shared" si="98"/>
        <v>#VALUE!</v>
      </c>
      <c r="J1561" t="str">
        <f>MAIN!A1566&amp;"B"</f>
        <v>B</v>
      </c>
      <c r="K1561" s="12" t="e">
        <f t="shared" si="99"/>
        <v>#VALUE!</v>
      </c>
      <c r="L1561" t="str">
        <f>MAIN!C1566</f>
        <v/>
      </c>
    </row>
    <row r="1562" spans="1:12" x14ac:dyDescent="0.3">
      <c r="A1562">
        <f>IF(J1562="0",0,IF(COUNTIF($J$2:J1562,J1562)=1,1,0))</f>
        <v>0</v>
      </c>
      <c r="B1562" s="12" t="e">
        <f>MID(MAIN!A1567,K1562,2)</f>
        <v>#VALUE!</v>
      </c>
      <c r="C1562" s="12" t="e">
        <f t="shared" si="96"/>
        <v>#VALUE!</v>
      </c>
      <c r="D1562" s="12" t="e">
        <f>MID(MAIN!A1567,K1562+2,2)</f>
        <v>#VALUE!</v>
      </c>
      <c r="E1562" s="12" t="e">
        <f>MID(MAIN!A1567,K1562+4,2)</f>
        <v>#VALUE!</v>
      </c>
      <c r="F1562" s="2" t="e">
        <f t="shared" si="97"/>
        <v>#VALUE!</v>
      </c>
      <c r="G1562" s="13" t="e">
        <f t="shared" si="98"/>
        <v>#VALUE!</v>
      </c>
      <c r="J1562" t="str">
        <f>MAIN!A1567&amp;"B"</f>
        <v>B</v>
      </c>
      <c r="K1562" s="12" t="e">
        <f t="shared" si="99"/>
        <v>#VALUE!</v>
      </c>
      <c r="L1562" t="str">
        <f>MAIN!C1567</f>
        <v/>
      </c>
    </row>
    <row r="1563" spans="1:12" x14ac:dyDescent="0.3">
      <c r="A1563">
        <f>IF(J1563="0",0,IF(COUNTIF($J$2:J1563,J1563)=1,1,0))</f>
        <v>0</v>
      </c>
      <c r="B1563" s="12" t="e">
        <f>MID(MAIN!A1568,K1563,2)</f>
        <v>#VALUE!</v>
      </c>
      <c r="C1563" s="12" t="e">
        <f t="shared" si="96"/>
        <v>#VALUE!</v>
      </c>
      <c r="D1563" s="12" t="e">
        <f>MID(MAIN!A1568,K1563+2,2)</f>
        <v>#VALUE!</v>
      </c>
      <c r="E1563" s="12" t="e">
        <f>MID(MAIN!A1568,K1563+4,2)</f>
        <v>#VALUE!</v>
      </c>
      <c r="F1563" s="2" t="e">
        <f t="shared" si="97"/>
        <v>#VALUE!</v>
      </c>
      <c r="G1563" s="13" t="e">
        <f t="shared" si="98"/>
        <v>#VALUE!</v>
      </c>
      <c r="J1563" t="str">
        <f>MAIN!A1568&amp;"B"</f>
        <v>B</v>
      </c>
      <c r="K1563" s="12" t="e">
        <f t="shared" si="99"/>
        <v>#VALUE!</v>
      </c>
      <c r="L1563" t="str">
        <f>MAIN!C1568</f>
        <v/>
      </c>
    </row>
    <row r="1564" spans="1:12" x14ac:dyDescent="0.3">
      <c r="A1564">
        <f>IF(J1564="0",0,IF(COUNTIF($J$2:J1564,J1564)=1,1,0))</f>
        <v>0</v>
      </c>
      <c r="B1564" s="12" t="e">
        <f>MID(MAIN!A1569,K1564,2)</f>
        <v>#VALUE!</v>
      </c>
      <c r="C1564" s="12" t="e">
        <f t="shared" si="96"/>
        <v>#VALUE!</v>
      </c>
      <c r="D1564" s="12" t="e">
        <f>MID(MAIN!A1569,K1564+2,2)</f>
        <v>#VALUE!</v>
      </c>
      <c r="E1564" s="12" t="e">
        <f>MID(MAIN!A1569,K1564+4,2)</f>
        <v>#VALUE!</v>
      </c>
      <c r="F1564" s="2" t="e">
        <f t="shared" si="97"/>
        <v>#VALUE!</v>
      </c>
      <c r="G1564" s="13" t="e">
        <f t="shared" si="98"/>
        <v>#VALUE!</v>
      </c>
      <c r="J1564" t="str">
        <f>MAIN!A1569&amp;"B"</f>
        <v>B</v>
      </c>
      <c r="K1564" s="12" t="e">
        <f t="shared" si="99"/>
        <v>#VALUE!</v>
      </c>
      <c r="L1564" t="str">
        <f>MAIN!C1569</f>
        <v/>
      </c>
    </row>
    <row r="1565" spans="1:12" x14ac:dyDescent="0.3">
      <c r="A1565">
        <f>IF(J1565="0",0,IF(COUNTIF($J$2:J1565,J1565)=1,1,0))</f>
        <v>0</v>
      </c>
      <c r="B1565" s="12" t="e">
        <f>MID(MAIN!A1570,K1565,2)</f>
        <v>#VALUE!</v>
      </c>
      <c r="C1565" s="12" t="e">
        <f t="shared" si="96"/>
        <v>#VALUE!</v>
      </c>
      <c r="D1565" s="12" t="e">
        <f>MID(MAIN!A1570,K1565+2,2)</f>
        <v>#VALUE!</v>
      </c>
      <c r="E1565" s="12" t="e">
        <f>MID(MAIN!A1570,K1565+4,2)</f>
        <v>#VALUE!</v>
      </c>
      <c r="F1565" s="2" t="e">
        <f t="shared" si="97"/>
        <v>#VALUE!</v>
      </c>
      <c r="G1565" s="13" t="e">
        <f t="shared" si="98"/>
        <v>#VALUE!</v>
      </c>
      <c r="J1565" t="str">
        <f>MAIN!A1570&amp;"B"</f>
        <v>B</v>
      </c>
      <c r="K1565" s="12" t="e">
        <f t="shared" si="99"/>
        <v>#VALUE!</v>
      </c>
      <c r="L1565" t="str">
        <f>MAIN!C1570</f>
        <v/>
      </c>
    </row>
    <row r="1566" spans="1:12" x14ac:dyDescent="0.3">
      <c r="A1566">
        <f>IF(J1566="0",0,IF(COUNTIF($J$2:J1566,J1566)=1,1,0))</f>
        <v>0</v>
      </c>
      <c r="B1566" s="12" t="e">
        <f>MID(MAIN!A1571,K1566,2)</f>
        <v>#VALUE!</v>
      </c>
      <c r="C1566" s="12" t="e">
        <f t="shared" si="96"/>
        <v>#VALUE!</v>
      </c>
      <c r="D1566" s="12" t="e">
        <f>MID(MAIN!A1571,K1566+2,2)</f>
        <v>#VALUE!</v>
      </c>
      <c r="E1566" s="12" t="e">
        <f>MID(MAIN!A1571,K1566+4,2)</f>
        <v>#VALUE!</v>
      </c>
      <c r="F1566" s="2" t="e">
        <f t="shared" si="97"/>
        <v>#VALUE!</v>
      </c>
      <c r="G1566" s="13" t="e">
        <f t="shared" si="98"/>
        <v>#VALUE!</v>
      </c>
      <c r="J1566" t="str">
        <f>MAIN!A1571&amp;"B"</f>
        <v>B</v>
      </c>
      <c r="K1566" s="12" t="e">
        <f t="shared" si="99"/>
        <v>#VALUE!</v>
      </c>
      <c r="L1566" t="str">
        <f>MAIN!C1571</f>
        <v/>
      </c>
    </row>
    <row r="1567" spans="1:12" x14ac:dyDescent="0.3">
      <c r="A1567">
        <f>IF(J1567="0",0,IF(COUNTIF($J$2:J1567,J1567)=1,1,0))</f>
        <v>0</v>
      </c>
      <c r="B1567" s="12" t="e">
        <f>MID(MAIN!A1572,K1567,2)</f>
        <v>#VALUE!</v>
      </c>
      <c r="C1567" s="12" t="e">
        <f t="shared" si="96"/>
        <v>#VALUE!</v>
      </c>
      <c r="D1567" s="12" t="e">
        <f>MID(MAIN!A1572,K1567+2,2)</f>
        <v>#VALUE!</v>
      </c>
      <c r="E1567" s="12" t="e">
        <f>MID(MAIN!A1572,K1567+4,2)</f>
        <v>#VALUE!</v>
      </c>
      <c r="F1567" s="2" t="e">
        <f t="shared" si="97"/>
        <v>#VALUE!</v>
      </c>
      <c r="G1567" s="13" t="e">
        <f t="shared" si="98"/>
        <v>#VALUE!</v>
      </c>
      <c r="J1567" t="str">
        <f>MAIN!A1572&amp;"B"</f>
        <v>B</v>
      </c>
      <c r="K1567" s="12" t="e">
        <f t="shared" si="99"/>
        <v>#VALUE!</v>
      </c>
      <c r="L1567" t="str">
        <f>MAIN!C1572</f>
        <v/>
      </c>
    </row>
    <row r="1568" spans="1:12" x14ac:dyDescent="0.3">
      <c r="A1568">
        <f>IF(J1568="0",0,IF(COUNTIF($J$2:J1568,J1568)=1,1,0))</f>
        <v>0</v>
      </c>
      <c r="B1568" s="12" t="e">
        <f>MID(MAIN!A1573,K1568,2)</f>
        <v>#VALUE!</v>
      </c>
      <c r="C1568" s="12" t="e">
        <f t="shared" si="96"/>
        <v>#VALUE!</v>
      </c>
      <c r="D1568" s="12" t="e">
        <f>MID(MAIN!A1573,K1568+2,2)</f>
        <v>#VALUE!</v>
      </c>
      <c r="E1568" s="12" t="e">
        <f>MID(MAIN!A1573,K1568+4,2)</f>
        <v>#VALUE!</v>
      </c>
      <c r="F1568" s="2" t="e">
        <f t="shared" si="97"/>
        <v>#VALUE!</v>
      </c>
      <c r="G1568" s="13" t="e">
        <f t="shared" si="98"/>
        <v>#VALUE!</v>
      </c>
      <c r="J1568" t="str">
        <f>MAIN!A1573&amp;"B"</f>
        <v>B</v>
      </c>
      <c r="K1568" s="12" t="e">
        <f t="shared" si="99"/>
        <v>#VALUE!</v>
      </c>
      <c r="L1568" t="str">
        <f>MAIN!C1573</f>
        <v/>
      </c>
    </row>
    <row r="1569" spans="1:12" x14ac:dyDescent="0.3">
      <c r="A1569">
        <f>IF(J1569="0",0,IF(COUNTIF($J$2:J1569,J1569)=1,1,0))</f>
        <v>0</v>
      </c>
      <c r="B1569" s="12" t="e">
        <f>MID(MAIN!A1574,K1569,2)</f>
        <v>#VALUE!</v>
      </c>
      <c r="C1569" s="12" t="e">
        <f t="shared" si="96"/>
        <v>#VALUE!</v>
      </c>
      <c r="D1569" s="12" t="e">
        <f>MID(MAIN!A1574,K1569+2,2)</f>
        <v>#VALUE!</v>
      </c>
      <c r="E1569" s="12" t="e">
        <f>MID(MAIN!A1574,K1569+4,2)</f>
        <v>#VALUE!</v>
      </c>
      <c r="F1569" s="2" t="e">
        <f t="shared" si="97"/>
        <v>#VALUE!</v>
      </c>
      <c r="G1569" s="13" t="e">
        <f t="shared" si="98"/>
        <v>#VALUE!</v>
      </c>
      <c r="J1569" t="str">
        <f>MAIN!A1574&amp;"B"</f>
        <v>B</v>
      </c>
      <c r="K1569" s="12" t="e">
        <f t="shared" si="99"/>
        <v>#VALUE!</v>
      </c>
      <c r="L1569" t="str">
        <f>MAIN!C1574</f>
        <v/>
      </c>
    </row>
    <row r="1570" spans="1:12" x14ac:dyDescent="0.3">
      <c r="A1570">
        <f>IF(J1570="0",0,IF(COUNTIF($J$2:J1570,J1570)=1,1,0))</f>
        <v>0</v>
      </c>
      <c r="B1570" s="12" t="e">
        <f>MID(MAIN!A1575,K1570,2)</f>
        <v>#VALUE!</v>
      </c>
      <c r="C1570" s="12" t="e">
        <f t="shared" si="96"/>
        <v>#VALUE!</v>
      </c>
      <c r="D1570" s="12" t="e">
        <f>MID(MAIN!A1575,K1570+2,2)</f>
        <v>#VALUE!</v>
      </c>
      <c r="E1570" s="12" t="e">
        <f>MID(MAIN!A1575,K1570+4,2)</f>
        <v>#VALUE!</v>
      </c>
      <c r="F1570" s="2" t="e">
        <f t="shared" si="97"/>
        <v>#VALUE!</v>
      </c>
      <c r="G1570" s="13" t="e">
        <f t="shared" si="98"/>
        <v>#VALUE!</v>
      </c>
      <c r="J1570" t="str">
        <f>MAIN!A1575&amp;"B"</f>
        <v>B</v>
      </c>
      <c r="K1570" s="12" t="e">
        <f t="shared" si="99"/>
        <v>#VALUE!</v>
      </c>
      <c r="L1570" t="str">
        <f>MAIN!C1575</f>
        <v/>
      </c>
    </row>
    <row r="1571" spans="1:12" x14ac:dyDescent="0.3">
      <c r="A1571">
        <f>IF(J1571="0",0,IF(COUNTIF($J$2:J1571,J1571)=1,1,0))</f>
        <v>0</v>
      </c>
      <c r="B1571" s="12" t="e">
        <f>MID(MAIN!A1576,K1571,2)</f>
        <v>#VALUE!</v>
      </c>
      <c r="C1571" s="12" t="e">
        <f t="shared" si="96"/>
        <v>#VALUE!</v>
      </c>
      <c r="D1571" s="12" t="e">
        <f>MID(MAIN!A1576,K1571+2,2)</f>
        <v>#VALUE!</v>
      </c>
      <c r="E1571" s="12" t="e">
        <f>MID(MAIN!A1576,K1571+4,2)</f>
        <v>#VALUE!</v>
      </c>
      <c r="F1571" s="2" t="e">
        <f t="shared" si="97"/>
        <v>#VALUE!</v>
      </c>
      <c r="G1571" s="13" t="e">
        <f t="shared" si="98"/>
        <v>#VALUE!</v>
      </c>
      <c r="J1571" t="str">
        <f>MAIN!A1576&amp;"B"</f>
        <v>B</v>
      </c>
      <c r="K1571" s="12" t="e">
        <f t="shared" si="99"/>
        <v>#VALUE!</v>
      </c>
      <c r="L1571" t="str">
        <f>MAIN!C1576</f>
        <v/>
      </c>
    </row>
    <row r="1572" spans="1:12" x14ac:dyDescent="0.3">
      <c r="A1572">
        <f>IF(J1572="0",0,IF(COUNTIF($J$2:J1572,J1572)=1,1,0))</f>
        <v>0</v>
      </c>
      <c r="B1572" s="12" t="e">
        <f>MID(MAIN!A1577,K1572,2)</f>
        <v>#VALUE!</v>
      </c>
      <c r="C1572" s="12" t="e">
        <f t="shared" si="96"/>
        <v>#VALUE!</v>
      </c>
      <c r="D1572" s="12" t="e">
        <f>MID(MAIN!A1577,K1572+2,2)</f>
        <v>#VALUE!</v>
      </c>
      <c r="E1572" s="12" t="e">
        <f>MID(MAIN!A1577,K1572+4,2)</f>
        <v>#VALUE!</v>
      </c>
      <c r="F1572" s="2" t="e">
        <f t="shared" si="97"/>
        <v>#VALUE!</v>
      </c>
      <c r="G1572" s="13" t="e">
        <f t="shared" si="98"/>
        <v>#VALUE!</v>
      </c>
      <c r="J1572" t="str">
        <f>MAIN!A1577&amp;"B"</f>
        <v>B</v>
      </c>
      <c r="K1572" s="12" t="e">
        <f t="shared" si="99"/>
        <v>#VALUE!</v>
      </c>
      <c r="L1572" t="str">
        <f>MAIN!C1577</f>
        <v/>
      </c>
    </row>
    <row r="1573" spans="1:12" x14ac:dyDescent="0.3">
      <c r="A1573">
        <f>IF(J1573="0",0,IF(COUNTIF($J$2:J1573,J1573)=1,1,0))</f>
        <v>0</v>
      </c>
      <c r="B1573" s="12" t="e">
        <f>MID(MAIN!A1578,K1573,2)</f>
        <v>#VALUE!</v>
      </c>
      <c r="C1573" s="12" t="e">
        <f t="shared" si="96"/>
        <v>#VALUE!</v>
      </c>
      <c r="D1573" s="12" t="e">
        <f>MID(MAIN!A1578,K1573+2,2)</f>
        <v>#VALUE!</v>
      </c>
      <c r="E1573" s="12" t="e">
        <f>MID(MAIN!A1578,K1573+4,2)</f>
        <v>#VALUE!</v>
      </c>
      <c r="F1573" s="2" t="e">
        <f t="shared" si="97"/>
        <v>#VALUE!</v>
      </c>
      <c r="G1573" s="13" t="e">
        <f t="shared" si="98"/>
        <v>#VALUE!</v>
      </c>
      <c r="J1573" t="str">
        <f>MAIN!A1578&amp;"B"</f>
        <v>B</v>
      </c>
      <c r="K1573" s="12" t="e">
        <f t="shared" si="99"/>
        <v>#VALUE!</v>
      </c>
      <c r="L1573" t="str">
        <f>MAIN!C1578</f>
        <v/>
      </c>
    </row>
    <row r="1574" spans="1:12" x14ac:dyDescent="0.3">
      <c r="A1574">
        <f>IF(J1574="0",0,IF(COUNTIF($J$2:J1574,J1574)=1,1,0))</f>
        <v>0</v>
      </c>
      <c r="B1574" s="12" t="e">
        <f>MID(MAIN!A1579,K1574,2)</f>
        <v>#VALUE!</v>
      </c>
      <c r="C1574" s="12" t="e">
        <f t="shared" si="96"/>
        <v>#VALUE!</v>
      </c>
      <c r="D1574" s="12" t="e">
        <f>MID(MAIN!A1579,K1574+2,2)</f>
        <v>#VALUE!</v>
      </c>
      <c r="E1574" s="12" t="e">
        <f>MID(MAIN!A1579,K1574+4,2)</f>
        <v>#VALUE!</v>
      </c>
      <c r="F1574" s="2" t="e">
        <f t="shared" si="97"/>
        <v>#VALUE!</v>
      </c>
      <c r="G1574" s="13" t="e">
        <f t="shared" si="98"/>
        <v>#VALUE!</v>
      </c>
      <c r="J1574" t="str">
        <f>MAIN!A1579&amp;"B"</f>
        <v>B</v>
      </c>
      <c r="K1574" s="12" t="e">
        <f t="shared" si="99"/>
        <v>#VALUE!</v>
      </c>
      <c r="L1574" t="str">
        <f>MAIN!C1579</f>
        <v/>
      </c>
    </row>
    <row r="1575" spans="1:12" x14ac:dyDescent="0.3">
      <c r="A1575">
        <f>IF(J1575="0",0,IF(COUNTIF($J$2:J1575,J1575)=1,1,0))</f>
        <v>0</v>
      </c>
      <c r="B1575" s="12" t="e">
        <f>MID(MAIN!A1580,K1575,2)</f>
        <v>#VALUE!</v>
      </c>
      <c r="C1575" s="12" t="e">
        <f t="shared" si="96"/>
        <v>#VALUE!</v>
      </c>
      <c r="D1575" s="12" t="e">
        <f>MID(MAIN!A1580,K1575+2,2)</f>
        <v>#VALUE!</v>
      </c>
      <c r="E1575" s="12" t="e">
        <f>MID(MAIN!A1580,K1575+4,2)</f>
        <v>#VALUE!</v>
      </c>
      <c r="F1575" s="2" t="e">
        <f t="shared" si="97"/>
        <v>#VALUE!</v>
      </c>
      <c r="G1575" s="13" t="e">
        <f t="shared" si="98"/>
        <v>#VALUE!</v>
      </c>
      <c r="J1575" t="str">
        <f>MAIN!A1580&amp;"B"</f>
        <v>B</v>
      </c>
      <c r="K1575" s="12" t="e">
        <f t="shared" si="99"/>
        <v>#VALUE!</v>
      </c>
      <c r="L1575" t="str">
        <f>MAIN!C1580</f>
        <v/>
      </c>
    </row>
    <row r="1576" spans="1:12" x14ac:dyDescent="0.3">
      <c r="A1576">
        <f>IF(J1576="0",0,IF(COUNTIF($J$2:J1576,J1576)=1,1,0))</f>
        <v>0</v>
      </c>
      <c r="B1576" s="12" t="e">
        <f>MID(MAIN!A1581,K1576,2)</f>
        <v>#VALUE!</v>
      </c>
      <c r="C1576" s="12" t="e">
        <f t="shared" si="96"/>
        <v>#VALUE!</v>
      </c>
      <c r="D1576" s="12" t="e">
        <f>MID(MAIN!A1581,K1576+2,2)</f>
        <v>#VALUE!</v>
      </c>
      <c r="E1576" s="12" t="e">
        <f>MID(MAIN!A1581,K1576+4,2)</f>
        <v>#VALUE!</v>
      </c>
      <c r="F1576" s="2" t="e">
        <f t="shared" si="97"/>
        <v>#VALUE!</v>
      </c>
      <c r="G1576" s="13" t="e">
        <f t="shared" si="98"/>
        <v>#VALUE!</v>
      </c>
      <c r="J1576" t="str">
        <f>MAIN!A1581&amp;"B"</f>
        <v>B</v>
      </c>
      <c r="K1576" s="12" t="e">
        <f t="shared" si="99"/>
        <v>#VALUE!</v>
      </c>
      <c r="L1576" t="str">
        <f>MAIN!C1581</f>
        <v/>
      </c>
    </row>
    <row r="1577" spans="1:12" x14ac:dyDescent="0.3">
      <c r="A1577">
        <f>IF(J1577="0",0,IF(COUNTIF($J$2:J1577,J1577)=1,1,0))</f>
        <v>0</v>
      </c>
      <c r="B1577" s="12" t="e">
        <f>MID(MAIN!A1582,K1577,2)</f>
        <v>#VALUE!</v>
      </c>
      <c r="C1577" s="12" t="e">
        <f t="shared" si="96"/>
        <v>#VALUE!</v>
      </c>
      <c r="D1577" s="12" t="e">
        <f>MID(MAIN!A1582,K1577+2,2)</f>
        <v>#VALUE!</v>
      </c>
      <c r="E1577" s="12" t="e">
        <f>MID(MAIN!A1582,K1577+4,2)</f>
        <v>#VALUE!</v>
      </c>
      <c r="F1577" s="2" t="e">
        <f t="shared" si="97"/>
        <v>#VALUE!</v>
      </c>
      <c r="G1577" s="13" t="e">
        <f t="shared" si="98"/>
        <v>#VALUE!</v>
      </c>
      <c r="J1577" t="str">
        <f>MAIN!A1582&amp;"B"</f>
        <v>B</v>
      </c>
      <c r="K1577" s="12" t="e">
        <f t="shared" si="99"/>
        <v>#VALUE!</v>
      </c>
      <c r="L1577" t="str">
        <f>MAIN!C1582</f>
        <v/>
      </c>
    </row>
    <row r="1578" spans="1:12" x14ac:dyDescent="0.3">
      <c r="A1578">
        <f>IF(J1578="0",0,IF(COUNTIF($J$2:J1578,J1578)=1,1,0))</f>
        <v>0</v>
      </c>
      <c r="B1578" s="12" t="e">
        <f>MID(MAIN!A1583,K1578,2)</f>
        <v>#VALUE!</v>
      </c>
      <c r="C1578" s="12" t="e">
        <f t="shared" si="96"/>
        <v>#VALUE!</v>
      </c>
      <c r="D1578" s="12" t="e">
        <f>MID(MAIN!A1583,K1578+2,2)</f>
        <v>#VALUE!</v>
      </c>
      <c r="E1578" s="12" t="e">
        <f>MID(MAIN!A1583,K1578+4,2)</f>
        <v>#VALUE!</v>
      </c>
      <c r="F1578" s="2" t="e">
        <f t="shared" si="97"/>
        <v>#VALUE!</v>
      </c>
      <c r="G1578" s="13" t="e">
        <f t="shared" si="98"/>
        <v>#VALUE!</v>
      </c>
      <c r="J1578" t="str">
        <f>MAIN!A1583&amp;"B"</f>
        <v>B</v>
      </c>
      <c r="K1578" s="12" t="e">
        <f t="shared" si="99"/>
        <v>#VALUE!</v>
      </c>
      <c r="L1578" t="str">
        <f>MAIN!C1583</f>
        <v/>
      </c>
    </row>
    <row r="1579" spans="1:12" x14ac:dyDescent="0.3">
      <c r="A1579">
        <f>IF(J1579="0",0,IF(COUNTIF($J$2:J1579,J1579)=1,1,0))</f>
        <v>0</v>
      </c>
      <c r="B1579" s="12" t="e">
        <f>MID(MAIN!A1584,K1579,2)</f>
        <v>#VALUE!</v>
      </c>
      <c r="C1579" s="12" t="e">
        <f t="shared" si="96"/>
        <v>#VALUE!</v>
      </c>
      <c r="D1579" s="12" t="e">
        <f>MID(MAIN!A1584,K1579+2,2)</f>
        <v>#VALUE!</v>
      </c>
      <c r="E1579" s="12" t="e">
        <f>MID(MAIN!A1584,K1579+4,2)</f>
        <v>#VALUE!</v>
      </c>
      <c r="F1579" s="2" t="e">
        <f t="shared" si="97"/>
        <v>#VALUE!</v>
      </c>
      <c r="G1579" s="13" t="e">
        <f t="shared" si="98"/>
        <v>#VALUE!</v>
      </c>
      <c r="J1579" t="str">
        <f>MAIN!A1584&amp;"B"</f>
        <v>B</v>
      </c>
      <c r="K1579" s="12" t="e">
        <f t="shared" si="99"/>
        <v>#VALUE!</v>
      </c>
      <c r="L1579" t="str">
        <f>MAIN!C1584</f>
        <v/>
      </c>
    </row>
    <row r="1580" spans="1:12" x14ac:dyDescent="0.3">
      <c r="A1580">
        <f>IF(J1580="0",0,IF(COUNTIF($J$2:J1580,J1580)=1,1,0))</f>
        <v>0</v>
      </c>
      <c r="B1580" s="12" t="e">
        <f>MID(MAIN!A1585,K1580,2)</f>
        <v>#VALUE!</v>
      </c>
      <c r="C1580" s="12" t="e">
        <f t="shared" si="96"/>
        <v>#VALUE!</v>
      </c>
      <c r="D1580" s="12" t="e">
        <f>MID(MAIN!A1585,K1580+2,2)</f>
        <v>#VALUE!</v>
      </c>
      <c r="E1580" s="12" t="e">
        <f>MID(MAIN!A1585,K1580+4,2)</f>
        <v>#VALUE!</v>
      </c>
      <c r="F1580" s="2" t="e">
        <f t="shared" si="97"/>
        <v>#VALUE!</v>
      </c>
      <c r="G1580" s="13" t="e">
        <f t="shared" si="98"/>
        <v>#VALUE!</v>
      </c>
      <c r="J1580" t="str">
        <f>MAIN!A1585&amp;"B"</f>
        <v>B</v>
      </c>
      <c r="K1580" s="12" t="e">
        <f t="shared" si="99"/>
        <v>#VALUE!</v>
      </c>
      <c r="L1580" t="str">
        <f>MAIN!C1585</f>
        <v/>
      </c>
    </row>
    <row r="1581" spans="1:12" x14ac:dyDescent="0.3">
      <c r="A1581">
        <f>IF(J1581="0",0,IF(COUNTIF($J$2:J1581,J1581)=1,1,0))</f>
        <v>0</v>
      </c>
      <c r="B1581" s="12" t="e">
        <f>MID(MAIN!A1586,K1581,2)</f>
        <v>#VALUE!</v>
      </c>
      <c r="C1581" s="12" t="e">
        <f t="shared" si="96"/>
        <v>#VALUE!</v>
      </c>
      <c r="D1581" s="12" t="e">
        <f>MID(MAIN!A1586,K1581+2,2)</f>
        <v>#VALUE!</v>
      </c>
      <c r="E1581" s="12" t="e">
        <f>MID(MAIN!A1586,K1581+4,2)</f>
        <v>#VALUE!</v>
      </c>
      <c r="F1581" s="2" t="e">
        <f t="shared" si="97"/>
        <v>#VALUE!</v>
      </c>
      <c r="G1581" s="13" t="e">
        <f t="shared" si="98"/>
        <v>#VALUE!</v>
      </c>
      <c r="J1581" t="str">
        <f>MAIN!A1586&amp;"B"</f>
        <v>B</v>
      </c>
      <c r="K1581" s="12" t="e">
        <f t="shared" si="99"/>
        <v>#VALUE!</v>
      </c>
      <c r="L1581" t="str">
        <f>MAIN!C1586</f>
        <v/>
      </c>
    </row>
    <row r="1582" spans="1:12" x14ac:dyDescent="0.3">
      <c r="A1582">
        <f>IF(J1582="0",0,IF(COUNTIF($J$2:J1582,J1582)=1,1,0))</f>
        <v>0</v>
      </c>
      <c r="B1582" s="12" t="e">
        <f>MID(MAIN!A1587,K1582,2)</f>
        <v>#VALUE!</v>
      </c>
      <c r="C1582" s="12" t="e">
        <f t="shared" si="96"/>
        <v>#VALUE!</v>
      </c>
      <c r="D1582" s="12" t="e">
        <f>MID(MAIN!A1587,K1582+2,2)</f>
        <v>#VALUE!</v>
      </c>
      <c r="E1582" s="12" t="e">
        <f>MID(MAIN!A1587,K1582+4,2)</f>
        <v>#VALUE!</v>
      </c>
      <c r="F1582" s="2" t="e">
        <f t="shared" si="97"/>
        <v>#VALUE!</v>
      </c>
      <c r="G1582" s="13" t="e">
        <f t="shared" si="98"/>
        <v>#VALUE!</v>
      </c>
      <c r="J1582" t="str">
        <f>MAIN!A1587&amp;"B"</f>
        <v>B</v>
      </c>
      <c r="K1582" s="12" t="e">
        <f t="shared" si="99"/>
        <v>#VALUE!</v>
      </c>
      <c r="L1582" t="str">
        <f>MAIN!C1587</f>
        <v/>
      </c>
    </row>
    <row r="1583" spans="1:12" x14ac:dyDescent="0.3">
      <c r="A1583">
        <f>IF(J1583="0",0,IF(COUNTIF($J$2:J1583,J1583)=1,1,0))</f>
        <v>0</v>
      </c>
      <c r="B1583" s="12" t="e">
        <f>MID(MAIN!A1588,K1583,2)</f>
        <v>#VALUE!</v>
      </c>
      <c r="C1583" s="12" t="e">
        <f t="shared" si="96"/>
        <v>#VALUE!</v>
      </c>
      <c r="D1583" s="12" t="e">
        <f>MID(MAIN!A1588,K1583+2,2)</f>
        <v>#VALUE!</v>
      </c>
      <c r="E1583" s="12" t="e">
        <f>MID(MAIN!A1588,K1583+4,2)</f>
        <v>#VALUE!</v>
      </c>
      <c r="F1583" s="2" t="e">
        <f t="shared" si="97"/>
        <v>#VALUE!</v>
      </c>
      <c r="G1583" s="13" t="e">
        <f t="shared" si="98"/>
        <v>#VALUE!</v>
      </c>
      <c r="J1583" t="str">
        <f>MAIN!A1588&amp;"B"</f>
        <v>B</v>
      </c>
      <c r="K1583" s="12" t="e">
        <f t="shared" si="99"/>
        <v>#VALUE!</v>
      </c>
      <c r="L1583" t="str">
        <f>MAIN!C1588</f>
        <v/>
      </c>
    </row>
    <row r="1584" spans="1:12" x14ac:dyDescent="0.3">
      <c r="A1584">
        <f>IF(J1584="0",0,IF(COUNTIF($J$2:J1584,J1584)=1,1,0))</f>
        <v>0</v>
      </c>
      <c r="B1584" s="12" t="e">
        <f>MID(MAIN!A1589,K1584,2)</f>
        <v>#VALUE!</v>
      </c>
      <c r="C1584" s="12" t="e">
        <f t="shared" si="96"/>
        <v>#VALUE!</v>
      </c>
      <c r="D1584" s="12" t="e">
        <f>MID(MAIN!A1589,K1584+2,2)</f>
        <v>#VALUE!</v>
      </c>
      <c r="E1584" s="12" t="e">
        <f>MID(MAIN!A1589,K1584+4,2)</f>
        <v>#VALUE!</v>
      </c>
      <c r="F1584" s="2" t="e">
        <f t="shared" si="97"/>
        <v>#VALUE!</v>
      </c>
      <c r="G1584" s="13" t="e">
        <f t="shared" si="98"/>
        <v>#VALUE!</v>
      </c>
      <c r="J1584" t="str">
        <f>MAIN!A1589&amp;"B"</f>
        <v>B</v>
      </c>
      <c r="K1584" s="12" t="e">
        <f t="shared" si="99"/>
        <v>#VALUE!</v>
      </c>
      <c r="L1584" t="str">
        <f>MAIN!C1589</f>
        <v/>
      </c>
    </row>
    <row r="1585" spans="1:12" x14ac:dyDescent="0.3">
      <c r="A1585">
        <f>IF(J1585="0",0,IF(COUNTIF($J$2:J1585,J1585)=1,1,0))</f>
        <v>0</v>
      </c>
      <c r="B1585" s="12" t="e">
        <f>MID(MAIN!A1590,K1585,2)</f>
        <v>#VALUE!</v>
      </c>
      <c r="C1585" s="12" t="e">
        <f t="shared" si="96"/>
        <v>#VALUE!</v>
      </c>
      <c r="D1585" s="12" t="e">
        <f>MID(MAIN!A1590,K1585+2,2)</f>
        <v>#VALUE!</v>
      </c>
      <c r="E1585" s="12" t="e">
        <f>MID(MAIN!A1590,K1585+4,2)</f>
        <v>#VALUE!</v>
      </c>
      <c r="F1585" s="2" t="e">
        <f t="shared" si="97"/>
        <v>#VALUE!</v>
      </c>
      <c r="G1585" s="13" t="e">
        <f t="shared" si="98"/>
        <v>#VALUE!</v>
      </c>
      <c r="J1585" t="str">
        <f>MAIN!A1590&amp;"B"</f>
        <v>B</v>
      </c>
      <c r="K1585" s="12" t="e">
        <f t="shared" si="99"/>
        <v>#VALUE!</v>
      </c>
      <c r="L1585" t="str">
        <f>MAIN!C1590</f>
        <v/>
      </c>
    </row>
    <row r="1586" spans="1:12" x14ac:dyDescent="0.3">
      <c r="A1586">
        <f>IF(J1586="0",0,IF(COUNTIF($J$2:J1586,J1586)=1,1,0))</f>
        <v>0</v>
      </c>
      <c r="B1586" s="12" t="e">
        <f>MID(MAIN!A1591,K1586,2)</f>
        <v>#VALUE!</v>
      </c>
      <c r="C1586" s="12" t="e">
        <f t="shared" si="96"/>
        <v>#VALUE!</v>
      </c>
      <c r="D1586" s="12" t="e">
        <f>MID(MAIN!A1591,K1586+2,2)</f>
        <v>#VALUE!</v>
      </c>
      <c r="E1586" s="12" t="e">
        <f>MID(MAIN!A1591,K1586+4,2)</f>
        <v>#VALUE!</v>
      </c>
      <c r="F1586" s="2" t="e">
        <f t="shared" si="97"/>
        <v>#VALUE!</v>
      </c>
      <c r="G1586" s="13" t="e">
        <f t="shared" si="98"/>
        <v>#VALUE!</v>
      </c>
      <c r="J1586" t="str">
        <f>MAIN!A1591&amp;"B"</f>
        <v>B</v>
      </c>
      <c r="K1586" s="12" t="e">
        <f t="shared" si="99"/>
        <v>#VALUE!</v>
      </c>
      <c r="L1586" t="str">
        <f>MAIN!C1591</f>
        <v/>
      </c>
    </row>
    <row r="1587" spans="1:12" x14ac:dyDescent="0.3">
      <c r="A1587">
        <f>IF(J1587="0",0,IF(COUNTIF($J$2:J1587,J1587)=1,1,0))</f>
        <v>0</v>
      </c>
      <c r="B1587" s="12" t="e">
        <f>MID(MAIN!A1592,K1587,2)</f>
        <v>#VALUE!</v>
      </c>
      <c r="C1587" s="12" t="e">
        <f t="shared" si="96"/>
        <v>#VALUE!</v>
      </c>
      <c r="D1587" s="12" t="e">
        <f>MID(MAIN!A1592,K1587+2,2)</f>
        <v>#VALUE!</v>
      </c>
      <c r="E1587" s="12" t="e">
        <f>MID(MAIN!A1592,K1587+4,2)</f>
        <v>#VALUE!</v>
      </c>
      <c r="F1587" s="2" t="e">
        <f t="shared" si="97"/>
        <v>#VALUE!</v>
      </c>
      <c r="G1587" s="13" t="e">
        <f t="shared" si="98"/>
        <v>#VALUE!</v>
      </c>
      <c r="J1587" t="str">
        <f>MAIN!A1592&amp;"B"</f>
        <v>B</v>
      </c>
      <c r="K1587" s="12" t="e">
        <f t="shared" si="99"/>
        <v>#VALUE!</v>
      </c>
      <c r="L1587" t="str">
        <f>MAIN!C1592</f>
        <v/>
      </c>
    </row>
    <row r="1588" spans="1:12" x14ac:dyDescent="0.3">
      <c r="A1588">
        <f>IF(J1588="0",0,IF(COUNTIF($J$2:J1588,J1588)=1,1,0))</f>
        <v>0</v>
      </c>
      <c r="B1588" s="12" t="e">
        <f>MID(MAIN!A1593,K1588,2)</f>
        <v>#VALUE!</v>
      </c>
      <c r="C1588" s="12" t="e">
        <f t="shared" si="96"/>
        <v>#VALUE!</v>
      </c>
      <c r="D1588" s="12" t="e">
        <f>MID(MAIN!A1593,K1588+2,2)</f>
        <v>#VALUE!</v>
      </c>
      <c r="E1588" s="12" t="e">
        <f>MID(MAIN!A1593,K1588+4,2)</f>
        <v>#VALUE!</v>
      </c>
      <c r="F1588" s="2" t="e">
        <f t="shared" si="97"/>
        <v>#VALUE!</v>
      </c>
      <c r="G1588" s="13" t="e">
        <f t="shared" si="98"/>
        <v>#VALUE!</v>
      </c>
      <c r="J1588" t="str">
        <f>MAIN!A1593&amp;"B"</f>
        <v>B</v>
      </c>
      <c r="K1588" s="12" t="e">
        <f t="shared" si="99"/>
        <v>#VALUE!</v>
      </c>
      <c r="L1588" t="str">
        <f>MAIN!C1593</f>
        <v/>
      </c>
    </row>
    <row r="1589" spans="1:12" x14ac:dyDescent="0.3">
      <c r="A1589">
        <f>IF(J1589="0",0,IF(COUNTIF($J$2:J1589,J1589)=1,1,0))</f>
        <v>0</v>
      </c>
      <c r="B1589" s="12" t="e">
        <f>MID(MAIN!A1594,K1589,2)</f>
        <v>#VALUE!</v>
      </c>
      <c r="C1589" s="12" t="e">
        <f t="shared" si="96"/>
        <v>#VALUE!</v>
      </c>
      <c r="D1589" s="12" t="e">
        <f>MID(MAIN!A1594,K1589+2,2)</f>
        <v>#VALUE!</v>
      </c>
      <c r="E1589" s="12" t="e">
        <f>MID(MAIN!A1594,K1589+4,2)</f>
        <v>#VALUE!</v>
      </c>
      <c r="F1589" s="2" t="e">
        <f t="shared" si="97"/>
        <v>#VALUE!</v>
      </c>
      <c r="G1589" s="13" t="e">
        <f t="shared" si="98"/>
        <v>#VALUE!</v>
      </c>
      <c r="J1589" t="str">
        <f>MAIN!A1594&amp;"B"</f>
        <v>B</v>
      </c>
      <c r="K1589" s="12" t="e">
        <f t="shared" si="99"/>
        <v>#VALUE!</v>
      </c>
      <c r="L1589" t="str">
        <f>MAIN!C1594</f>
        <v/>
      </c>
    </row>
    <row r="1590" spans="1:12" x14ac:dyDescent="0.3">
      <c r="A1590">
        <f>IF(J1590="0",0,IF(COUNTIF($J$2:J1590,J1590)=1,1,0))</f>
        <v>0</v>
      </c>
      <c r="B1590" s="12" t="e">
        <f>MID(MAIN!A1595,K1590,2)</f>
        <v>#VALUE!</v>
      </c>
      <c r="C1590" s="12" t="e">
        <f t="shared" si="96"/>
        <v>#VALUE!</v>
      </c>
      <c r="D1590" s="12" t="e">
        <f>MID(MAIN!A1595,K1590+2,2)</f>
        <v>#VALUE!</v>
      </c>
      <c r="E1590" s="12" t="e">
        <f>MID(MAIN!A1595,K1590+4,2)</f>
        <v>#VALUE!</v>
      </c>
      <c r="F1590" s="2" t="e">
        <f t="shared" si="97"/>
        <v>#VALUE!</v>
      </c>
      <c r="G1590" s="13" t="e">
        <f t="shared" si="98"/>
        <v>#VALUE!</v>
      </c>
      <c r="J1590" t="str">
        <f>MAIN!A1595&amp;"B"</f>
        <v>B</v>
      </c>
      <c r="K1590" s="12" t="e">
        <f t="shared" si="99"/>
        <v>#VALUE!</v>
      </c>
      <c r="L1590" t="str">
        <f>MAIN!C1595</f>
        <v/>
      </c>
    </row>
    <row r="1591" spans="1:12" x14ac:dyDescent="0.3">
      <c r="A1591">
        <f>IF(J1591="0",0,IF(COUNTIF($J$2:J1591,J1591)=1,1,0))</f>
        <v>0</v>
      </c>
      <c r="B1591" s="12" t="e">
        <f>MID(MAIN!A1596,K1591,2)</f>
        <v>#VALUE!</v>
      </c>
      <c r="C1591" s="12" t="e">
        <f t="shared" si="96"/>
        <v>#VALUE!</v>
      </c>
      <c r="D1591" s="12" t="e">
        <f>MID(MAIN!A1596,K1591+2,2)</f>
        <v>#VALUE!</v>
      </c>
      <c r="E1591" s="12" t="e">
        <f>MID(MAIN!A1596,K1591+4,2)</f>
        <v>#VALUE!</v>
      </c>
      <c r="F1591" s="2" t="e">
        <f t="shared" si="97"/>
        <v>#VALUE!</v>
      </c>
      <c r="G1591" s="13" t="e">
        <f t="shared" si="98"/>
        <v>#VALUE!</v>
      </c>
      <c r="J1591" t="str">
        <f>MAIN!A1596&amp;"B"</f>
        <v>B</v>
      </c>
      <c r="K1591" s="12" t="e">
        <f t="shared" si="99"/>
        <v>#VALUE!</v>
      </c>
      <c r="L1591" t="str">
        <f>MAIN!C1596</f>
        <v/>
      </c>
    </row>
    <row r="1592" spans="1:12" x14ac:dyDescent="0.3">
      <c r="A1592">
        <f>IF(J1592="0",0,IF(COUNTIF($J$2:J1592,J1592)=1,1,0))</f>
        <v>0</v>
      </c>
      <c r="B1592" s="12" t="e">
        <f>MID(MAIN!A1597,K1592,2)</f>
        <v>#VALUE!</v>
      </c>
      <c r="C1592" s="12" t="e">
        <f t="shared" si="96"/>
        <v>#VALUE!</v>
      </c>
      <c r="D1592" s="12" t="e">
        <f>MID(MAIN!A1597,K1592+2,2)</f>
        <v>#VALUE!</v>
      </c>
      <c r="E1592" s="12" t="e">
        <f>MID(MAIN!A1597,K1592+4,2)</f>
        <v>#VALUE!</v>
      </c>
      <c r="F1592" s="2" t="e">
        <f t="shared" si="97"/>
        <v>#VALUE!</v>
      </c>
      <c r="G1592" s="13" t="e">
        <f t="shared" si="98"/>
        <v>#VALUE!</v>
      </c>
      <c r="J1592" t="str">
        <f>MAIN!A1597&amp;"B"</f>
        <v>B</v>
      </c>
      <c r="K1592" s="12" t="e">
        <f t="shared" si="99"/>
        <v>#VALUE!</v>
      </c>
      <c r="L1592" t="str">
        <f>MAIN!C1597</f>
        <v/>
      </c>
    </row>
    <row r="1593" spans="1:12" x14ac:dyDescent="0.3">
      <c r="A1593">
        <f>IF(J1593="0",0,IF(COUNTIF($J$2:J1593,J1593)=1,1,0))</f>
        <v>0</v>
      </c>
      <c r="B1593" s="12" t="e">
        <f>MID(MAIN!A1598,K1593,2)</f>
        <v>#VALUE!</v>
      </c>
      <c r="C1593" s="12" t="e">
        <f t="shared" si="96"/>
        <v>#VALUE!</v>
      </c>
      <c r="D1593" s="12" t="e">
        <f>MID(MAIN!A1598,K1593+2,2)</f>
        <v>#VALUE!</v>
      </c>
      <c r="E1593" s="12" t="e">
        <f>MID(MAIN!A1598,K1593+4,2)</f>
        <v>#VALUE!</v>
      </c>
      <c r="F1593" s="2" t="e">
        <f t="shared" si="97"/>
        <v>#VALUE!</v>
      </c>
      <c r="G1593" s="13" t="e">
        <f t="shared" si="98"/>
        <v>#VALUE!</v>
      </c>
      <c r="J1593" t="str">
        <f>MAIN!A1598&amp;"B"</f>
        <v>B</v>
      </c>
      <c r="K1593" s="12" t="e">
        <f t="shared" si="99"/>
        <v>#VALUE!</v>
      </c>
      <c r="L1593" t="str">
        <f>MAIN!C1598</f>
        <v/>
      </c>
    </row>
    <row r="1594" spans="1:12" x14ac:dyDescent="0.3">
      <c r="A1594">
        <f>IF(J1594="0",0,IF(COUNTIF($J$2:J1594,J1594)=1,1,0))</f>
        <v>0</v>
      </c>
      <c r="B1594" s="12" t="e">
        <f>MID(MAIN!A1599,K1594,2)</f>
        <v>#VALUE!</v>
      </c>
      <c r="C1594" s="12" t="e">
        <f t="shared" si="96"/>
        <v>#VALUE!</v>
      </c>
      <c r="D1594" s="12" t="e">
        <f>MID(MAIN!A1599,K1594+2,2)</f>
        <v>#VALUE!</v>
      </c>
      <c r="E1594" s="12" t="e">
        <f>MID(MAIN!A1599,K1594+4,2)</f>
        <v>#VALUE!</v>
      </c>
      <c r="F1594" s="2" t="e">
        <f t="shared" si="97"/>
        <v>#VALUE!</v>
      </c>
      <c r="G1594" s="13" t="e">
        <f t="shared" si="98"/>
        <v>#VALUE!</v>
      </c>
      <c r="J1594" t="str">
        <f>MAIN!A1599&amp;"B"</f>
        <v>B</v>
      </c>
      <c r="K1594" s="12" t="e">
        <f t="shared" si="99"/>
        <v>#VALUE!</v>
      </c>
      <c r="L1594" t="str">
        <f>MAIN!C1599</f>
        <v/>
      </c>
    </row>
    <row r="1595" spans="1:12" x14ac:dyDescent="0.3">
      <c r="A1595">
        <f>IF(J1595="0",0,IF(COUNTIF($J$2:J1595,J1595)=1,1,0))</f>
        <v>0</v>
      </c>
      <c r="B1595" s="12" t="e">
        <f>MID(MAIN!A1600,K1595,2)</f>
        <v>#VALUE!</v>
      </c>
      <c r="C1595" s="12" t="e">
        <f t="shared" si="96"/>
        <v>#VALUE!</v>
      </c>
      <c r="D1595" s="12" t="e">
        <f>MID(MAIN!A1600,K1595+2,2)</f>
        <v>#VALUE!</v>
      </c>
      <c r="E1595" s="12" t="e">
        <f>MID(MAIN!A1600,K1595+4,2)</f>
        <v>#VALUE!</v>
      </c>
      <c r="F1595" s="2" t="e">
        <f t="shared" si="97"/>
        <v>#VALUE!</v>
      </c>
      <c r="G1595" s="13" t="e">
        <f t="shared" si="98"/>
        <v>#VALUE!</v>
      </c>
      <c r="J1595" t="str">
        <f>MAIN!A1600&amp;"B"</f>
        <v>B</v>
      </c>
      <c r="K1595" s="12" t="e">
        <f t="shared" si="99"/>
        <v>#VALUE!</v>
      </c>
      <c r="L1595" t="str">
        <f>MAIN!C1600</f>
        <v/>
      </c>
    </row>
    <row r="1596" spans="1:12" x14ac:dyDescent="0.3">
      <c r="A1596">
        <f>IF(J1596="0",0,IF(COUNTIF($J$2:J1596,J1596)=1,1,0))</f>
        <v>0</v>
      </c>
      <c r="B1596" s="12" t="e">
        <f>MID(MAIN!A1601,K1596,2)</f>
        <v>#VALUE!</v>
      </c>
      <c r="C1596" s="12" t="e">
        <f t="shared" si="96"/>
        <v>#VALUE!</v>
      </c>
      <c r="D1596" s="12" t="e">
        <f>MID(MAIN!A1601,K1596+2,2)</f>
        <v>#VALUE!</v>
      </c>
      <c r="E1596" s="12" t="e">
        <f>MID(MAIN!A1601,K1596+4,2)</f>
        <v>#VALUE!</v>
      </c>
      <c r="F1596" s="2" t="e">
        <f t="shared" si="97"/>
        <v>#VALUE!</v>
      </c>
      <c r="G1596" s="13" t="e">
        <f t="shared" si="98"/>
        <v>#VALUE!</v>
      </c>
      <c r="J1596" t="str">
        <f>MAIN!A1601&amp;"B"</f>
        <v>B</v>
      </c>
      <c r="K1596" s="12" t="e">
        <f t="shared" si="99"/>
        <v>#VALUE!</v>
      </c>
      <c r="L1596" t="str">
        <f>MAIN!C1601</f>
        <v/>
      </c>
    </row>
    <row r="1597" spans="1:12" x14ac:dyDescent="0.3">
      <c r="A1597">
        <f>IF(J1597="0",0,IF(COUNTIF($J$2:J1597,J1597)=1,1,0))</f>
        <v>0</v>
      </c>
      <c r="B1597" s="12" t="e">
        <f>MID(MAIN!A1602,K1597,2)</f>
        <v>#VALUE!</v>
      </c>
      <c r="C1597" s="12" t="e">
        <f t="shared" si="96"/>
        <v>#VALUE!</v>
      </c>
      <c r="D1597" s="12" t="e">
        <f>MID(MAIN!A1602,K1597+2,2)</f>
        <v>#VALUE!</v>
      </c>
      <c r="E1597" s="12" t="e">
        <f>MID(MAIN!A1602,K1597+4,2)</f>
        <v>#VALUE!</v>
      </c>
      <c r="F1597" s="2" t="e">
        <f t="shared" si="97"/>
        <v>#VALUE!</v>
      </c>
      <c r="G1597" s="13" t="e">
        <f t="shared" si="98"/>
        <v>#VALUE!</v>
      </c>
      <c r="J1597" t="str">
        <f>MAIN!A1602&amp;"B"</f>
        <v>B</v>
      </c>
      <c r="K1597" s="12" t="e">
        <f t="shared" si="99"/>
        <v>#VALUE!</v>
      </c>
      <c r="L1597" t="str">
        <f>MAIN!C1602</f>
        <v/>
      </c>
    </row>
    <row r="1598" spans="1:12" x14ac:dyDescent="0.3">
      <c r="A1598">
        <f>IF(J1598="0",0,IF(COUNTIF($J$2:J1598,J1598)=1,1,0))</f>
        <v>0</v>
      </c>
      <c r="B1598" s="12" t="e">
        <f>MID(MAIN!A1603,K1598,2)</f>
        <v>#VALUE!</v>
      </c>
      <c r="C1598" s="12" t="e">
        <f t="shared" si="96"/>
        <v>#VALUE!</v>
      </c>
      <c r="D1598" s="12" t="e">
        <f>MID(MAIN!A1603,K1598+2,2)</f>
        <v>#VALUE!</v>
      </c>
      <c r="E1598" s="12" t="e">
        <f>MID(MAIN!A1603,K1598+4,2)</f>
        <v>#VALUE!</v>
      </c>
      <c r="F1598" s="2" t="e">
        <f t="shared" si="97"/>
        <v>#VALUE!</v>
      </c>
      <c r="G1598" s="13" t="e">
        <f t="shared" si="98"/>
        <v>#VALUE!</v>
      </c>
      <c r="J1598" t="str">
        <f>MAIN!A1603&amp;"B"</f>
        <v>B</v>
      </c>
      <c r="K1598" s="12" t="e">
        <f t="shared" si="99"/>
        <v>#VALUE!</v>
      </c>
      <c r="L1598" t="str">
        <f>MAIN!C1603</f>
        <v/>
      </c>
    </row>
    <row r="1599" spans="1:12" x14ac:dyDescent="0.3">
      <c r="A1599">
        <f>IF(J1599="0",0,IF(COUNTIF($J$2:J1599,J1599)=1,1,0))</f>
        <v>0</v>
      </c>
      <c r="B1599" s="12" t="e">
        <f>MID(MAIN!A1604,K1599,2)</f>
        <v>#VALUE!</v>
      </c>
      <c r="C1599" s="12" t="e">
        <f t="shared" si="96"/>
        <v>#VALUE!</v>
      </c>
      <c r="D1599" s="12" t="e">
        <f>MID(MAIN!A1604,K1599+2,2)</f>
        <v>#VALUE!</v>
      </c>
      <c r="E1599" s="12" t="e">
        <f>MID(MAIN!A1604,K1599+4,2)</f>
        <v>#VALUE!</v>
      </c>
      <c r="F1599" s="2" t="e">
        <f t="shared" si="97"/>
        <v>#VALUE!</v>
      </c>
      <c r="G1599" s="13" t="e">
        <f t="shared" si="98"/>
        <v>#VALUE!</v>
      </c>
      <c r="J1599" t="str">
        <f>MAIN!A1604&amp;"B"</f>
        <v>B</v>
      </c>
      <c r="K1599" s="12" t="e">
        <f t="shared" si="99"/>
        <v>#VALUE!</v>
      </c>
      <c r="L1599" t="str">
        <f>MAIN!C1604</f>
        <v/>
      </c>
    </row>
    <row r="1600" spans="1:12" x14ac:dyDescent="0.3">
      <c r="A1600">
        <f>IF(J1600="0",0,IF(COUNTIF($J$2:J1600,J1600)=1,1,0))</f>
        <v>0</v>
      </c>
      <c r="B1600" s="12" t="e">
        <f>MID(MAIN!A1605,K1600,2)</f>
        <v>#VALUE!</v>
      </c>
      <c r="C1600" s="12" t="e">
        <f t="shared" si="96"/>
        <v>#VALUE!</v>
      </c>
      <c r="D1600" s="12" t="e">
        <f>MID(MAIN!A1605,K1600+2,2)</f>
        <v>#VALUE!</v>
      </c>
      <c r="E1600" s="12" t="e">
        <f>MID(MAIN!A1605,K1600+4,2)</f>
        <v>#VALUE!</v>
      </c>
      <c r="F1600" s="2" t="e">
        <f t="shared" si="97"/>
        <v>#VALUE!</v>
      </c>
      <c r="G1600" s="13" t="e">
        <f t="shared" si="98"/>
        <v>#VALUE!</v>
      </c>
      <c r="J1600" t="str">
        <f>MAIN!A1605&amp;"B"</f>
        <v>B</v>
      </c>
      <c r="K1600" s="12" t="e">
        <f t="shared" si="99"/>
        <v>#VALUE!</v>
      </c>
      <c r="L1600" t="str">
        <f>MAIN!C1605</f>
        <v/>
      </c>
    </row>
    <row r="1601" spans="1:12" x14ac:dyDescent="0.3">
      <c r="A1601">
        <f>IF(J1601="0",0,IF(COUNTIF($J$2:J1601,J1601)=1,1,0))</f>
        <v>0</v>
      </c>
      <c r="B1601" s="12" t="e">
        <f>MID(MAIN!A1606,K1601,2)</f>
        <v>#VALUE!</v>
      </c>
      <c r="C1601" s="12" t="e">
        <f t="shared" si="96"/>
        <v>#VALUE!</v>
      </c>
      <c r="D1601" s="12" t="e">
        <f>MID(MAIN!A1606,K1601+2,2)</f>
        <v>#VALUE!</v>
      </c>
      <c r="E1601" s="12" t="e">
        <f>MID(MAIN!A1606,K1601+4,2)</f>
        <v>#VALUE!</v>
      </c>
      <c r="F1601" s="2" t="e">
        <f t="shared" si="97"/>
        <v>#VALUE!</v>
      </c>
      <c r="G1601" s="13" t="e">
        <f t="shared" si="98"/>
        <v>#VALUE!</v>
      </c>
      <c r="J1601" t="str">
        <f>MAIN!A1606&amp;"B"</f>
        <v>B</v>
      </c>
      <c r="K1601" s="12" t="e">
        <f t="shared" si="99"/>
        <v>#VALUE!</v>
      </c>
      <c r="L1601" t="str">
        <f>MAIN!C1606</f>
        <v/>
      </c>
    </row>
    <row r="1602" spans="1:12" x14ac:dyDescent="0.3">
      <c r="A1602">
        <f>IF(J1602="0",0,IF(COUNTIF($J$2:J1602,J1602)=1,1,0))</f>
        <v>0</v>
      </c>
      <c r="B1602" s="12" t="e">
        <f>MID(MAIN!A1607,K1602,2)</f>
        <v>#VALUE!</v>
      </c>
      <c r="C1602" s="12" t="e">
        <f t="shared" si="96"/>
        <v>#VALUE!</v>
      </c>
      <c r="D1602" s="12" t="e">
        <f>MID(MAIN!A1607,K1602+2,2)</f>
        <v>#VALUE!</v>
      </c>
      <c r="E1602" s="12" t="e">
        <f>MID(MAIN!A1607,K1602+4,2)</f>
        <v>#VALUE!</v>
      </c>
      <c r="F1602" s="2" t="e">
        <f t="shared" si="97"/>
        <v>#VALUE!</v>
      </c>
      <c r="G1602" s="13" t="e">
        <f t="shared" si="98"/>
        <v>#VALUE!</v>
      </c>
      <c r="J1602" t="str">
        <f>MAIN!A1607&amp;"B"</f>
        <v>B</v>
      </c>
      <c r="K1602" s="12" t="e">
        <f t="shared" si="99"/>
        <v>#VALUE!</v>
      </c>
      <c r="L1602" t="str">
        <f>MAIN!C1607</f>
        <v/>
      </c>
    </row>
    <row r="1603" spans="1:12" x14ac:dyDescent="0.3">
      <c r="A1603">
        <f>IF(J1603="0",0,IF(COUNTIF($J$2:J1603,J1603)=1,1,0))</f>
        <v>0</v>
      </c>
      <c r="B1603" s="12" t="e">
        <f>MID(MAIN!A1608,K1603,2)</f>
        <v>#VALUE!</v>
      </c>
      <c r="C1603" s="12" t="e">
        <f t="shared" ref="C1603:C1666" si="100">"20"&amp;B1603</f>
        <v>#VALUE!</v>
      </c>
      <c r="D1603" s="12" t="e">
        <f>MID(MAIN!A1608,K1603+2,2)</f>
        <v>#VALUE!</v>
      </c>
      <c r="E1603" s="12" t="e">
        <f>MID(MAIN!A1608,K1603+4,2)</f>
        <v>#VALUE!</v>
      </c>
      <c r="F1603" s="2" t="e">
        <f t="shared" ref="F1603:F1666" si="101">C1603&amp;"/"&amp;D1603&amp;"/"&amp;E1603</f>
        <v>#VALUE!</v>
      </c>
      <c r="G1603" s="13" t="e">
        <f t="shared" ref="G1603:G1666" si="102">DATEVALUE(F1603)</f>
        <v>#VALUE!</v>
      </c>
      <c r="J1603" t="str">
        <f>MAIN!A1608&amp;"B"</f>
        <v>B</v>
      </c>
      <c r="K1603" s="12" t="e">
        <f t="shared" ref="K1603:K1666" si="103">FIND("172",J1603,30)+2</f>
        <v>#VALUE!</v>
      </c>
      <c r="L1603" t="str">
        <f>MAIN!C1608</f>
        <v/>
      </c>
    </row>
    <row r="1604" spans="1:12" x14ac:dyDescent="0.3">
      <c r="A1604">
        <f>IF(J1604="0",0,IF(COUNTIF($J$2:J1604,J1604)=1,1,0))</f>
        <v>0</v>
      </c>
      <c r="B1604" s="12" t="e">
        <f>MID(MAIN!A1609,K1604,2)</f>
        <v>#VALUE!</v>
      </c>
      <c r="C1604" s="12" t="e">
        <f t="shared" si="100"/>
        <v>#VALUE!</v>
      </c>
      <c r="D1604" s="12" t="e">
        <f>MID(MAIN!A1609,K1604+2,2)</f>
        <v>#VALUE!</v>
      </c>
      <c r="E1604" s="12" t="e">
        <f>MID(MAIN!A1609,K1604+4,2)</f>
        <v>#VALUE!</v>
      </c>
      <c r="F1604" s="2" t="e">
        <f t="shared" si="101"/>
        <v>#VALUE!</v>
      </c>
      <c r="G1604" s="13" t="e">
        <f t="shared" si="102"/>
        <v>#VALUE!</v>
      </c>
      <c r="J1604" t="str">
        <f>MAIN!A1609&amp;"B"</f>
        <v>B</v>
      </c>
      <c r="K1604" s="12" t="e">
        <f t="shared" si="103"/>
        <v>#VALUE!</v>
      </c>
      <c r="L1604" t="str">
        <f>MAIN!C1609</f>
        <v/>
      </c>
    </row>
    <row r="1605" spans="1:12" x14ac:dyDescent="0.3">
      <c r="A1605">
        <f>IF(J1605="0",0,IF(COUNTIF($J$2:J1605,J1605)=1,1,0))</f>
        <v>0</v>
      </c>
      <c r="B1605" s="12" t="e">
        <f>MID(MAIN!A1610,K1605,2)</f>
        <v>#VALUE!</v>
      </c>
      <c r="C1605" s="12" t="e">
        <f t="shared" si="100"/>
        <v>#VALUE!</v>
      </c>
      <c r="D1605" s="12" t="e">
        <f>MID(MAIN!A1610,K1605+2,2)</f>
        <v>#VALUE!</v>
      </c>
      <c r="E1605" s="12" t="e">
        <f>MID(MAIN!A1610,K1605+4,2)</f>
        <v>#VALUE!</v>
      </c>
      <c r="F1605" s="2" t="e">
        <f t="shared" si="101"/>
        <v>#VALUE!</v>
      </c>
      <c r="G1605" s="13" t="e">
        <f t="shared" si="102"/>
        <v>#VALUE!</v>
      </c>
      <c r="J1605" t="str">
        <f>MAIN!A1610&amp;"B"</f>
        <v>B</v>
      </c>
      <c r="K1605" s="12" t="e">
        <f t="shared" si="103"/>
        <v>#VALUE!</v>
      </c>
      <c r="L1605" t="str">
        <f>MAIN!C1610</f>
        <v/>
      </c>
    </row>
    <row r="1606" spans="1:12" x14ac:dyDescent="0.3">
      <c r="A1606">
        <f>IF(J1606="0",0,IF(COUNTIF($J$2:J1606,J1606)=1,1,0))</f>
        <v>0</v>
      </c>
      <c r="B1606" s="12" t="e">
        <f>MID(MAIN!A1611,K1606,2)</f>
        <v>#VALUE!</v>
      </c>
      <c r="C1606" s="12" t="e">
        <f t="shared" si="100"/>
        <v>#VALUE!</v>
      </c>
      <c r="D1606" s="12" t="e">
        <f>MID(MAIN!A1611,K1606+2,2)</f>
        <v>#VALUE!</v>
      </c>
      <c r="E1606" s="12" t="e">
        <f>MID(MAIN!A1611,K1606+4,2)</f>
        <v>#VALUE!</v>
      </c>
      <c r="F1606" s="2" t="e">
        <f t="shared" si="101"/>
        <v>#VALUE!</v>
      </c>
      <c r="G1606" s="13" t="e">
        <f t="shared" si="102"/>
        <v>#VALUE!</v>
      </c>
      <c r="J1606" t="str">
        <f>MAIN!A1611&amp;"B"</f>
        <v>B</v>
      </c>
      <c r="K1606" s="12" t="e">
        <f t="shared" si="103"/>
        <v>#VALUE!</v>
      </c>
      <c r="L1606" t="str">
        <f>MAIN!C1611</f>
        <v/>
      </c>
    </row>
    <row r="1607" spans="1:12" x14ac:dyDescent="0.3">
      <c r="A1607">
        <f>IF(J1607="0",0,IF(COUNTIF($J$2:J1607,J1607)=1,1,0))</f>
        <v>0</v>
      </c>
      <c r="B1607" s="12" t="e">
        <f>MID(MAIN!A1612,K1607,2)</f>
        <v>#VALUE!</v>
      </c>
      <c r="C1607" s="12" t="e">
        <f t="shared" si="100"/>
        <v>#VALUE!</v>
      </c>
      <c r="D1607" s="12" t="e">
        <f>MID(MAIN!A1612,K1607+2,2)</f>
        <v>#VALUE!</v>
      </c>
      <c r="E1607" s="12" t="e">
        <f>MID(MAIN!A1612,K1607+4,2)</f>
        <v>#VALUE!</v>
      </c>
      <c r="F1607" s="2" t="e">
        <f t="shared" si="101"/>
        <v>#VALUE!</v>
      </c>
      <c r="G1607" s="13" t="e">
        <f t="shared" si="102"/>
        <v>#VALUE!</v>
      </c>
      <c r="J1607" t="str">
        <f>MAIN!A1612&amp;"B"</f>
        <v>B</v>
      </c>
      <c r="K1607" s="12" t="e">
        <f t="shared" si="103"/>
        <v>#VALUE!</v>
      </c>
      <c r="L1607" t="str">
        <f>MAIN!C1612</f>
        <v/>
      </c>
    </row>
    <row r="1608" spans="1:12" x14ac:dyDescent="0.3">
      <c r="A1608">
        <f>IF(J1608="0",0,IF(COUNTIF($J$2:J1608,J1608)=1,1,0))</f>
        <v>0</v>
      </c>
      <c r="B1608" s="12" t="e">
        <f>MID(MAIN!A1613,K1608,2)</f>
        <v>#VALUE!</v>
      </c>
      <c r="C1608" s="12" t="e">
        <f t="shared" si="100"/>
        <v>#VALUE!</v>
      </c>
      <c r="D1608" s="12" t="e">
        <f>MID(MAIN!A1613,K1608+2,2)</f>
        <v>#VALUE!</v>
      </c>
      <c r="E1608" s="12" t="e">
        <f>MID(MAIN!A1613,K1608+4,2)</f>
        <v>#VALUE!</v>
      </c>
      <c r="F1608" s="2" t="e">
        <f t="shared" si="101"/>
        <v>#VALUE!</v>
      </c>
      <c r="G1608" s="13" t="e">
        <f t="shared" si="102"/>
        <v>#VALUE!</v>
      </c>
      <c r="J1608" t="str">
        <f>MAIN!A1613&amp;"B"</f>
        <v>B</v>
      </c>
      <c r="K1608" s="12" t="e">
        <f t="shared" si="103"/>
        <v>#VALUE!</v>
      </c>
      <c r="L1608" t="str">
        <f>MAIN!C1613</f>
        <v/>
      </c>
    </row>
    <row r="1609" spans="1:12" x14ac:dyDescent="0.3">
      <c r="A1609">
        <f>IF(J1609="0",0,IF(COUNTIF($J$2:J1609,J1609)=1,1,0))</f>
        <v>0</v>
      </c>
      <c r="B1609" s="12" t="e">
        <f>MID(MAIN!A1614,K1609,2)</f>
        <v>#VALUE!</v>
      </c>
      <c r="C1609" s="12" t="e">
        <f t="shared" si="100"/>
        <v>#VALUE!</v>
      </c>
      <c r="D1609" s="12" t="e">
        <f>MID(MAIN!A1614,K1609+2,2)</f>
        <v>#VALUE!</v>
      </c>
      <c r="E1609" s="12" t="e">
        <f>MID(MAIN!A1614,K1609+4,2)</f>
        <v>#VALUE!</v>
      </c>
      <c r="F1609" s="2" t="e">
        <f t="shared" si="101"/>
        <v>#VALUE!</v>
      </c>
      <c r="G1609" s="13" t="e">
        <f t="shared" si="102"/>
        <v>#VALUE!</v>
      </c>
      <c r="J1609" t="str">
        <f>MAIN!A1614&amp;"B"</f>
        <v>B</v>
      </c>
      <c r="K1609" s="12" t="e">
        <f t="shared" si="103"/>
        <v>#VALUE!</v>
      </c>
      <c r="L1609" t="str">
        <f>MAIN!C1614</f>
        <v/>
      </c>
    </row>
    <row r="1610" spans="1:12" x14ac:dyDescent="0.3">
      <c r="A1610">
        <f>IF(J1610="0",0,IF(COUNTIF($J$2:J1610,J1610)=1,1,0))</f>
        <v>0</v>
      </c>
      <c r="B1610" s="12" t="e">
        <f>MID(MAIN!A1615,K1610,2)</f>
        <v>#VALUE!</v>
      </c>
      <c r="C1610" s="12" t="e">
        <f t="shared" si="100"/>
        <v>#VALUE!</v>
      </c>
      <c r="D1610" s="12" t="e">
        <f>MID(MAIN!A1615,K1610+2,2)</f>
        <v>#VALUE!</v>
      </c>
      <c r="E1610" s="12" t="e">
        <f>MID(MAIN!A1615,K1610+4,2)</f>
        <v>#VALUE!</v>
      </c>
      <c r="F1610" s="2" t="e">
        <f t="shared" si="101"/>
        <v>#VALUE!</v>
      </c>
      <c r="G1610" s="13" t="e">
        <f t="shared" si="102"/>
        <v>#VALUE!</v>
      </c>
      <c r="J1610" t="str">
        <f>MAIN!A1615&amp;"B"</f>
        <v>B</v>
      </c>
      <c r="K1610" s="12" t="e">
        <f t="shared" si="103"/>
        <v>#VALUE!</v>
      </c>
      <c r="L1610" t="str">
        <f>MAIN!C1615</f>
        <v/>
      </c>
    </row>
    <row r="1611" spans="1:12" x14ac:dyDescent="0.3">
      <c r="A1611">
        <f>IF(J1611="0",0,IF(COUNTIF($J$2:J1611,J1611)=1,1,0))</f>
        <v>0</v>
      </c>
      <c r="B1611" s="12" t="e">
        <f>MID(MAIN!A1616,K1611,2)</f>
        <v>#VALUE!</v>
      </c>
      <c r="C1611" s="12" t="e">
        <f t="shared" si="100"/>
        <v>#VALUE!</v>
      </c>
      <c r="D1611" s="12" t="e">
        <f>MID(MAIN!A1616,K1611+2,2)</f>
        <v>#VALUE!</v>
      </c>
      <c r="E1611" s="12" t="e">
        <f>MID(MAIN!A1616,K1611+4,2)</f>
        <v>#VALUE!</v>
      </c>
      <c r="F1611" s="2" t="e">
        <f t="shared" si="101"/>
        <v>#VALUE!</v>
      </c>
      <c r="G1611" s="13" t="e">
        <f t="shared" si="102"/>
        <v>#VALUE!</v>
      </c>
      <c r="J1611" t="str">
        <f>MAIN!A1616&amp;"B"</f>
        <v>B</v>
      </c>
      <c r="K1611" s="12" t="e">
        <f t="shared" si="103"/>
        <v>#VALUE!</v>
      </c>
      <c r="L1611" t="str">
        <f>MAIN!C1616</f>
        <v/>
      </c>
    </row>
    <row r="1612" spans="1:12" x14ac:dyDescent="0.3">
      <c r="A1612">
        <f>IF(J1612="0",0,IF(COUNTIF($J$2:J1612,J1612)=1,1,0))</f>
        <v>0</v>
      </c>
      <c r="B1612" s="12" t="e">
        <f>MID(MAIN!A1617,K1612,2)</f>
        <v>#VALUE!</v>
      </c>
      <c r="C1612" s="12" t="e">
        <f t="shared" si="100"/>
        <v>#VALUE!</v>
      </c>
      <c r="D1612" s="12" t="e">
        <f>MID(MAIN!A1617,K1612+2,2)</f>
        <v>#VALUE!</v>
      </c>
      <c r="E1612" s="12" t="e">
        <f>MID(MAIN!A1617,K1612+4,2)</f>
        <v>#VALUE!</v>
      </c>
      <c r="F1612" s="2" t="e">
        <f t="shared" si="101"/>
        <v>#VALUE!</v>
      </c>
      <c r="G1612" s="13" t="e">
        <f t="shared" si="102"/>
        <v>#VALUE!</v>
      </c>
      <c r="J1612" t="str">
        <f>MAIN!A1617&amp;"B"</f>
        <v>B</v>
      </c>
      <c r="K1612" s="12" t="e">
        <f t="shared" si="103"/>
        <v>#VALUE!</v>
      </c>
      <c r="L1612" t="str">
        <f>MAIN!C1617</f>
        <v/>
      </c>
    </row>
    <row r="1613" spans="1:12" x14ac:dyDescent="0.3">
      <c r="A1613">
        <f>IF(J1613="0",0,IF(COUNTIF($J$2:J1613,J1613)=1,1,0))</f>
        <v>0</v>
      </c>
      <c r="B1613" s="12" t="e">
        <f>MID(MAIN!A1618,K1613,2)</f>
        <v>#VALUE!</v>
      </c>
      <c r="C1613" s="12" t="e">
        <f t="shared" si="100"/>
        <v>#VALUE!</v>
      </c>
      <c r="D1613" s="12" t="e">
        <f>MID(MAIN!A1618,K1613+2,2)</f>
        <v>#VALUE!</v>
      </c>
      <c r="E1613" s="12" t="e">
        <f>MID(MAIN!A1618,K1613+4,2)</f>
        <v>#VALUE!</v>
      </c>
      <c r="F1613" s="2" t="e">
        <f t="shared" si="101"/>
        <v>#VALUE!</v>
      </c>
      <c r="G1613" s="13" t="e">
        <f t="shared" si="102"/>
        <v>#VALUE!</v>
      </c>
      <c r="J1613" t="str">
        <f>MAIN!A1618&amp;"B"</f>
        <v>B</v>
      </c>
      <c r="K1613" s="12" t="e">
        <f t="shared" si="103"/>
        <v>#VALUE!</v>
      </c>
      <c r="L1613" t="str">
        <f>MAIN!C1618</f>
        <v/>
      </c>
    </row>
    <row r="1614" spans="1:12" x14ac:dyDescent="0.3">
      <c r="A1614">
        <f>IF(J1614="0",0,IF(COUNTIF($J$2:J1614,J1614)=1,1,0))</f>
        <v>0</v>
      </c>
      <c r="B1614" s="12" t="e">
        <f>MID(MAIN!A1619,K1614,2)</f>
        <v>#VALUE!</v>
      </c>
      <c r="C1614" s="12" t="e">
        <f t="shared" si="100"/>
        <v>#VALUE!</v>
      </c>
      <c r="D1614" s="12" t="e">
        <f>MID(MAIN!A1619,K1614+2,2)</f>
        <v>#VALUE!</v>
      </c>
      <c r="E1614" s="12" t="e">
        <f>MID(MAIN!A1619,K1614+4,2)</f>
        <v>#VALUE!</v>
      </c>
      <c r="F1614" s="2" t="e">
        <f t="shared" si="101"/>
        <v>#VALUE!</v>
      </c>
      <c r="G1614" s="13" t="e">
        <f t="shared" si="102"/>
        <v>#VALUE!</v>
      </c>
      <c r="J1614" t="str">
        <f>MAIN!A1619&amp;"B"</f>
        <v>B</v>
      </c>
      <c r="K1614" s="12" t="e">
        <f t="shared" si="103"/>
        <v>#VALUE!</v>
      </c>
      <c r="L1614" t="str">
        <f>MAIN!C1619</f>
        <v/>
      </c>
    </row>
    <row r="1615" spans="1:12" x14ac:dyDescent="0.3">
      <c r="A1615">
        <f>IF(J1615="0",0,IF(COUNTIF($J$2:J1615,J1615)=1,1,0))</f>
        <v>0</v>
      </c>
      <c r="B1615" s="12" t="e">
        <f>MID(MAIN!A1620,K1615,2)</f>
        <v>#VALUE!</v>
      </c>
      <c r="C1615" s="12" t="e">
        <f t="shared" si="100"/>
        <v>#VALUE!</v>
      </c>
      <c r="D1615" s="12" t="e">
        <f>MID(MAIN!A1620,K1615+2,2)</f>
        <v>#VALUE!</v>
      </c>
      <c r="E1615" s="12" t="e">
        <f>MID(MAIN!A1620,K1615+4,2)</f>
        <v>#VALUE!</v>
      </c>
      <c r="F1615" s="2" t="e">
        <f t="shared" si="101"/>
        <v>#VALUE!</v>
      </c>
      <c r="G1615" s="13" t="e">
        <f t="shared" si="102"/>
        <v>#VALUE!</v>
      </c>
      <c r="J1615" t="str">
        <f>MAIN!A1620&amp;"B"</f>
        <v>B</v>
      </c>
      <c r="K1615" s="12" t="e">
        <f t="shared" si="103"/>
        <v>#VALUE!</v>
      </c>
      <c r="L1615" t="str">
        <f>MAIN!C1620</f>
        <v/>
      </c>
    </row>
    <row r="1616" spans="1:12" x14ac:dyDescent="0.3">
      <c r="A1616">
        <f>IF(J1616="0",0,IF(COUNTIF($J$2:J1616,J1616)=1,1,0))</f>
        <v>0</v>
      </c>
      <c r="B1616" s="12" t="e">
        <f>MID(MAIN!A1621,K1616,2)</f>
        <v>#VALUE!</v>
      </c>
      <c r="C1616" s="12" t="e">
        <f t="shared" si="100"/>
        <v>#VALUE!</v>
      </c>
      <c r="D1616" s="12" t="e">
        <f>MID(MAIN!A1621,K1616+2,2)</f>
        <v>#VALUE!</v>
      </c>
      <c r="E1616" s="12" t="e">
        <f>MID(MAIN!A1621,K1616+4,2)</f>
        <v>#VALUE!</v>
      </c>
      <c r="F1616" s="2" t="e">
        <f t="shared" si="101"/>
        <v>#VALUE!</v>
      </c>
      <c r="G1616" s="13" t="e">
        <f t="shared" si="102"/>
        <v>#VALUE!</v>
      </c>
      <c r="J1616" t="str">
        <f>MAIN!A1621&amp;"B"</f>
        <v>B</v>
      </c>
      <c r="K1616" s="12" t="e">
        <f t="shared" si="103"/>
        <v>#VALUE!</v>
      </c>
      <c r="L1616" t="str">
        <f>MAIN!C1621</f>
        <v/>
      </c>
    </row>
    <row r="1617" spans="1:12" x14ac:dyDescent="0.3">
      <c r="A1617">
        <f>IF(J1617="0",0,IF(COUNTIF($J$2:J1617,J1617)=1,1,0))</f>
        <v>0</v>
      </c>
      <c r="B1617" s="12" t="e">
        <f>MID(MAIN!A1622,K1617,2)</f>
        <v>#VALUE!</v>
      </c>
      <c r="C1617" s="12" t="e">
        <f t="shared" si="100"/>
        <v>#VALUE!</v>
      </c>
      <c r="D1617" s="12" t="e">
        <f>MID(MAIN!A1622,K1617+2,2)</f>
        <v>#VALUE!</v>
      </c>
      <c r="E1617" s="12" t="e">
        <f>MID(MAIN!A1622,K1617+4,2)</f>
        <v>#VALUE!</v>
      </c>
      <c r="F1617" s="2" t="e">
        <f t="shared" si="101"/>
        <v>#VALUE!</v>
      </c>
      <c r="G1617" s="13" t="e">
        <f t="shared" si="102"/>
        <v>#VALUE!</v>
      </c>
      <c r="J1617" t="str">
        <f>MAIN!A1622&amp;"B"</f>
        <v>B</v>
      </c>
      <c r="K1617" s="12" t="e">
        <f t="shared" si="103"/>
        <v>#VALUE!</v>
      </c>
      <c r="L1617" t="str">
        <f>MAIN!C1622</f>
        <v/>
      </c>
    </row>
    <row r="1618" spans="1:12" x14ac:dyDescent="0.3">
      <c r="A1618">
        <f>IF(J1618="0",0,IF(COUNTIF($J$2:J1618,J1618)=1,1,0))</f>
        <v>0</v>
      </c>
      <c r="B1618" s="12" t="e">
        <f>MID(MAIN!A1623,K1618,2)</f>
        <v>#VALUE!</v>
      </c>
      <c r="C1618" s="12" t="e">
        <f t="shared" si="100"/>
        <v>#VALUE!</v>
      </c>
      <c r="D1618" s="12" t="e">
        <f>MID(MAIN!A1623,K1618+2,2)</f>
        <v>#VALUE!</v>
      </c>
      <c r="E1618" s="12" t="e">
        <f>MID(MAIN!A1623,K1618+4,2)</f>
        <v>#VALUE!</v>
      </c>
      <c r="F1618" s="2" t="e">
        <f t="shared" si="101"/>
        <v>#VALUE!</v>
      </c>
      <c r="G1618" s="13" t="e">
        <f t="shared" si="102"/>
        <v>#VALUE!</v>
      </c>
      <c r="J1618" t="str">
        <f>MAIN!A1623&amp;"B"</f>
        <v>B</v>
      </c>
      <c r="K1618" s="12" t="e">
        <f t="shared" si="103"/>
        <v>#VALUE!</v>
      </c>
      <c r="L1618" t="str">
        <f>MAIN!C1623</f>
        <v/>
      </c>
    </row>
    <row r="1619" spans="1:12" x14ac:dyDescent="0.3">
      <c r="A1619">
        <f>IF(J1619="0",0,IF(COUNTIF($J$2:J1619,J1619)=1,1,0))</f>
        <v>0</v>
      </c>
      <c r="B1619" s="12" t="e">
        <f>MID(MAIN!A1624,K1619,2)</f>
        <v>#VALUE!</v>
      </c>
      <c r="C1619" s="12" t="e">
        <f t="shared" si="100"/>
        <v>#VALUE!</v>
      </c>
      <c r="D1619" s="12" t="e">
        <f>MID(MAIN!A1624,K1619+2,2)</f>
        <v>#VALUE!</v>
      </c>
      <c r="E1619" s="12" t="e">
        <f>MID(MAIN!A1624,K1619+4,2)</f>
        <v>#VALUE!</v>
      </c>
      <c r="F1619" s="2" t="e">
        <f t="shared" si="101"/>
        <v>#VALUE!</v>
      </c>
      <c r="G1619" s="13" t="e">
        <f t="shared" si="102"/>
        <v>#VALUE!</v>
      </c>
      <c r="J1619" t="str">
        <f>MAIN!A1624&amp;"B"</f>
        <v>B</v>
      </c>
      <c r="K1619" s="12" t="e">
        <f t="shared" si="103"/>
        <v>#VALUE!</v>
      </c>
      <c r="L1619" t="str">
        <f>MAIN!C1624</f>
        <v/>
      </c>
    </row>
    <row r="1620" spans="1:12" x14ac:dyDescent="0.3">
      <c r="A1620">
        <f>IF(J1620="0",0,IF(COUNTIF($J$2:J1620,J1620)=1,1,0))</f>
        <v>0</v>
      </c>
      <c r="B1620" s="12" t="e">
        <f>MID(MAIN!A1625,K1620,2)</f>
        <v>#VALUE!</v>
      </c>
      <c r="C1620" s="12" t="e">
        <f t="shared" si="100"/>
        <v>#VALUE!</v>
      </c>
      <c r="D1620" s="12" t="e">
        <f>MID(MAIN!A1625,K1620+2,2)</f>
        <v>#VALUE!</v>
      </c>
      <c r="E1620" s="12" t="e">
        <f>MID(MAIN!A1625,K1620+4,2)</f>
        <v>#VALUE!</v>
      </c>
      <c r="F1620" s="2" t="e">
        <f t="shared" si="101"/>
        <v>#VALUE!</v>
      </c>
      <c r="G1620" s="13" t="e">
        <f t="shared" si="102"/>
        <v>#VALUE!</v>
      </c>
      <c r="J1620" t="str">
        <f>MAIN!A1625&amp;"B"</f>
        <v>B</v>
      </c>
      <c r="K1620" s="12" t="e">
        <f t="shared" si="103"/>
        <v>#VALUE!</v>
      </c>
      <c r="L1620" t="str">
        <f>MAIN!C1625</f>
        <v/>
      </c>
    </row>
    <row r="1621" spans="1:12" x14ac:dyDescent="0.3">
      <c r="A1621">
        <f>IF(J1621="0",0,IF(COUNTIF($J$2:J1621,J1621)=1,1,0))</f>
        <v>0</v>
      </c>
      <c r="B1621" s="12" t="e">
        <f>MID(MAIN!A1626,K1621,2)</f>
        <v>#VALUE!</v>
      </c>
      <c r="C1621" s="12" t="e">
        <f t="shared" si="100"/>
        <v>#VALUE!</v>
      </c>
      <c r="D1621" s="12" t="e">
        <f>MID(MAIN!A1626,K1621+2,2)</f>
        <v>#VALUE!</v>
      </c>
      <c r="E1621" s="12" t="e">
        <f>MID(MAIN!A1626,K1621+4,2)</f>
        <v>#VALUE!</v>
      </c>
      <c r="F1621" s="2" t="e">
        <f t="shared" si="101"/>
        <v>#VALUE!</v>
      </c>
      <c r="G1621" s="13" t="e">
        <f t="shared" si="102"/>
        <v>#VALUE!</v>
      </c>
      <c r="J1621" t="str">
        <f>MAIN!A1626&amp;"B"</f>
        <v>B</v>
      </c>
      <c r="K1621" s="12" t="e">
        <f t="shared" si="103"/>
        <v>#VALUE!</v>
      </c>
      <c r="L1621" t="str">
        <f>MAIN!C1626</f>
        <v/>
      </c>
    </row>
    <row r="1622" spans="1:12" x14ac:dyDescent="0.3">
      <c r="A1622">
        <f>IF(J1622="0",0,IF(COUNTIF($J$2:J1622,J1622)=1,1,0))</f>
        <v>0</v>
      </c>
      <c r="B1622" s="12" t="e">
        <f>MID(MAIN!A1627,K1622,2)</f>
        <v>#VALUE!</v>
      </c>
      <c r="C1622" s="12" t="e">
        <f t="shared" si="100"/>
        <v>#VALUE!</v>
      </c>
      <c r="D1622" s="12" t="e">
        <f>MID(MAIN!A1627,K1622+2,2)</f>
        <v>#VALUE!</v>
      </c>
      <c r="E1622" s="12" t="e">
        <f>MID(MAIN!A1627,K1622+4,2)</f>
        <v>#VALUE!</v>
      </c>
      <c r="F1622" s="2" t="e">
        <f t="shared" si="101"/>
        <v>#VALUE!</v>
      </c>
      <c r="G1622" s="13" t="e">
        <f t="shared" si="102"/>
        <v>#VALUE!</v>
      </c>
      <c r="J1622" t="str">
        <f>MAIN!A1627&amp;"B"</f>
        <v>B</v>
      </c>
      <c r="K1622" s="12" t="e">
        <f t="shared" si="103"/>
        <v>#VALUE!</v>
      </c>
      <c r="L1622" t="str">
        <f>MAIN!C1627</f>
        <v/>
      </c>
    </row>
    <row r="1623" spans="1:12" x14ac:dyDescent="0.3">
      <c r="A1623">
        <f>IF(J1623="0",0,IF(COUNTIF($J$2:J1623,J1623)=1,1,0))</f>
        <v>0</v>
      </c>
      <c r="B1623" s="12" t="e">
        <f>MID(MAIN!A1628,K1623,2)</f>
        <v>#VALUE!</v>
      </c>
      <c r="C1623" s="12" t="e">
        <f t="shared" si="100"/>
        <v>#VALUE!</v>
      </c>
      <c r="D1623" s="12" t="e">
        <f>MID(MAIN!A1628,K1623+2,2)</f>
        <v>#VALUE!</v>
      </c>
      <c r="E1623" s="12" t="e">
        <f>MID(MAIN!A1628,K1623+4,2)</f>
        <v>#VALUE!</v>
      </c>
      <c r="F1623" s="2" t="e">
        <f t="shared" si="101"/>
        <v>#VALUE!</v>
      </c>
      <c r="G1623" s="13" t="e">
        <f t="shared" si="102"/>
        <v>#VALUE!</v>
      </c>
      <c r="J1623" t="str">
        <f>MAIN!A1628&amp;"B"</f>
        <v>B</v>
      </c>
      <c r="K1623" s="12" t="e">
        <f t="shared" si="103"/>
        <v>#VALUE!</v>
      </c>
      <c r="L1623" t="str">
        <f>MAIN!C1628</f>
        <v/>
      </c>
    </row>
    <row r="1624" spans="1:12" x14ac:dyDescent="0.3">
      <c r="A1624">
        <f>IF(J1624="0",0,IF(COUNTIF($J$2:J1624,J1624)=1,1,0))</f>
        <v>0</v>
      </c>
      <c r="B1624" s="12" t="e">
        <f>MID(MAIN!A1629,K1624,2)</f>
        <v>#VALUE!</v>
      </c>
      <c r="C1624" s="12" t="e">
        <f t="shared" si="100"/>
        <v>#VALUE!</v>
      </c>
      <c r="D1624" s="12" t="e">
        <f>MID(MAIN!A1629,K1624+2,2)</f>
        <v>#VALUE!</v>
      </c>
      <c r="E1624" s="12" t="e">
        <f>MID(MAIN!A1629,K1624+4,2)</f>
        <v>#VALUE!</v>
      </c>
      <c r="F1624" s="2" t="e">
        <f t="shared" si="101"/>
        <v>#VALUE!</v>
      </c>
      <c r="G1624" s="13" t="e">
        <f t="shared" si="102"/>
        <v>#VALUE!</v>
      </c>
      <c r="J1624" t="str">
        <f>MAIN!A1629&amp;"B"</f>
        <v>B</v>
      </c>
      <c r="K1624" s="12" t="e">
        <f t="shared" si="103"/>
        <v>#VALUE!</v>
      </c>
      <c r="L1624" t="str">
        <f>MAIN!C1629</f>
        <v/>
      </c>
    </row>
    <row r="1625" spans="1:12" x14ac:dyDescent="0.3">
      <c r="A1625">
        <f>IF(J1625="0",0,IF(COUNTIF($J$2:J1625,J1625)=1,1,0))</f>
        <v>0</v>
      </c>
      <c r="B1625" s="12" t="e">
        <f>MID(MAIN!A1630,K1625,2)</f>
        <v>#VALUE!</v>
      </c>
      <c r="C1625" s="12" t="e">
        <f t="shared" si="100"/>
        <v>#VALUE!</v>
      </c>
      <c r="D1625" s="12" t="e">
        <f>MID(MAIN!A1630,K1625+2,2)</f>
        <v>#VALUE!</v>
      </c>
      <c r="E1625" s="12" t="e">
        <f>MID(MAIN!A1630,K1625+4,2)</f>
        <v>#VALUE!</v>
      </c>
      <c r="F1625" s="2" t="e">
        <f t="shared" si="101"/>
        <v>#VALUE!</v>
      </c>
      <c r="G1625" s="13" t="e">
        <f t="shared" si="102"/>
        <v>#VALUE!</v>
      </c>
      <c r="J1625" t="str">
        <f>MAIN!A1630&amp;"B"</f>
        <v>B</v>
      </c>
      <c r="K1625" s="12" t="e">
        <f t="shared" si="103"/>
        <v>#VALUE!</v>
      </c>
      <c r="L1625" t="str">
        <f>MAIN!C1630</f>
        <v/>
      </c>
    </row>
    <row r="1626" spans="1:12" x14ac:dyDescent="0.3">
      <c r="A1626">
        <f>IF(J1626="0",0,IF(COUNTIF($J$2:J1626,J1626)=1,1,0))</f>
        <v>0</v>
      </c>
      <c r="B1626" s="12" t="e">
        <f>MID(MAIN!A1631,K1626,2)</f>
        <v>#VALUE!</v>
      </c>
      <c r="C1626" s="12" t="e">
        <f t="shared" si="100"/>
        <v>#VALUE!</v>
      </c>
      <c r="D1626" s="12" t="e">
        <f>MID(MAIN!A1631,K1626+2,2)</f>
        <v>#VALUE!</v>
      </c>
      <c r="E1626" s="12" t="e">
        <f>MID(MAIN!A1631,K1626+4,2)</f>
        <v>#VALUE!</v>
      </c>
      <c r="F1626" s="2" t="e">
        <f t="shared" si="101"/>
        <v>#VALUE!</v>
      </c>
      <c r="G1626" s="13" t="e">
        <f t="shared" si="102"/>
        <v>#VALUE!</v>
      </c>
      <c r="J1626" t="str">
        <f>MAIN!A1631&amp;"B"</f>
        <v>B</v>
      </c>
      <c r="K1626" s="12" t="e">
        <f t="shared" si="103"/>
        <v>#VALUE!</v>
      </c>
      <c r="L1626" t="str">
        <f>MAIN!C1631</f>
        <v/>
      </c>
    </row>
    <row r="1627" spans="1:12" x14ac:dyDescent="0.3">
      <c r="A1627">
        <f>IF(J1627="0",0,IF(COUNTIF($J$2:J1627,J1627)=1,1,0))</f>
        <v>0</v>
      </c>
      <c r="B1627" s="12" t="e">
        <f>MID(MAIN!A1632,K1627,2)</f>
        <v>#VALUE!</v>
      </c>
      <c r="C1627" s="12" t="e">
        <f t="shared" si="100"/>
        <v>#VALUE!</v>
      </c>
      <c r="D1627" s="12" t="e">
        <f>MID(MAIN!A1632,K1627+2,2)</f>
        <v>#VALUE!</v>
      </c>
      <c r="E1627" s="12" t="e">
        <f>MID(MAIN!A1632,K1627+4,2)</f>
        <v>#VALUE!</v>
      </c>
      <c r="F1627" s="2" t="e">
        <f t="shared" si="101"/>
        <v>#VALUE!</v>
      </c>
      <c r="G1627" s="13" t="e">
        <f t="shared" si="102"/>
        <v>#VALUE!</v>
      </c>
      <c r="J1627" t="str">
        <f>MAIN!A1632&amp;"B"</f>
        <v>B</v>
      </c>
      <c r="K1627" s="12" t="e">
        <f t="shared" si="103"/>
        <v>#VALUE!</v>
      </c>
      <c r="L1627" t="str">
        <f>MAIN!C1632</f>
        <v/>
      </c>
    </row>
    <row r="1628" spans="1:12" x14ac:dyDescent="0.3">
      <c r="A1628">
        <f>IF(J1628="0",0,IF(COUNTIF($J$2:J1628,J1628)=1,1,0))</f>
        <v>0</v>
      </c>
      <c r="B1628" s="12" t="e">
        <f>MID(MAIN!A1633,K1628,2)</f>
        <v>#VALUE!</v>
      </c>
      <c r="C1628" s="12" t="e">
        <f t="shared" si="100"/>
        <v>#VALUE!</v>
      </c>
      <c r="D1628" s="12" t="e">
        <f>MID(MAIN!A1633,K1628+2,2)</f>
        <v>#VALUE!</v>
      </c>
      <c r="E1628" s="12" t="e">
        <f>MID(MAIN!A1633,K1628+4,2)</f>
        <v>#VALUE!</v>
      </c>
      <c r="F1628" s="2" t="e">
        <f t="shared" si="101"/>
        <v>#VALUE!</v>
      </c>
      <c r="G1628" s="13" t="e">
        <f t="shared" si="102"/>
        <v>#VALUE!</v>
      </c>
      <c r="J1628" t="str">
        <f>MAIN!A1633&amp;"B"</f>
        <v>B</v>
      </c>
      <c r="K1628" s="12" t="e">
        <f t="shared" si="103"/>
        <v>#VALUE!</v>
      </c>
      <c r="L1628" t="str">
        <f>MAIN!C1633</f>
        <v/>
      </c>
    </row>
    <row r="1629" spans="1:12" x14ac:dyDescent="0.3">
      <c r="A1629">
        <f>IF(J1629="0",0,IF(COUNTIF($J$2:J1629,J1629)=1,1,0))</f>
        <v>0</v>
      </c>
      <c r="B1629" s="12" t="e">
        <f>MID(MAIN!A1634,K1629,2)</f>
        <v>#VALUE!</v>
      </c>
      <c r="C1629" s="12" t="e">
        <f t="shared" si="100"/>
        <v>#VALUE!</v>
      </c>
      <c r="D1629" s="12" t="e">
        <f>MID(MAIN!A1634,K1629+2,2)</f>
        <v>#VALUE!</v>
      </c>
      <c r="E1629" s="12" t="e">
        <f>MID(MAIN!A1634,K1629+4,2)</f>
        <v>#VALUE!</v>
      </c>
      <c r="F1629" s="2" t="e">
        <f t="shared" si="101"/>
        <v>#VALUE!</v>
      </c>
      <c r="G1629" s="13" t="e">
        <f t="shared" si="102"/>
        <v>#VALUE!</v>
      </c>
      <c r="J1629" t="str">
        <f>MAIN!A1634&amp;"B"</f>
        <v>B</v>
      </c>
      <c r="K1629" s="12" t="e">
        <f t="shared" si="103"/>
        <v>#VALUE!</v>
      </c>
      <c r="L1629" t="str">
        <f>MAIN!C1634</f>
        <v/>
      </c>
    </row>
    <row r="1630" spans="1:12" x14ac:dyDescent="0.3">
      <c r="A1630">
        <f>IF(J1630="0",0,IF(COUNTIF($J$2:J1630,J1630)=1,1,0))</f>
        <v>0</v>
      </c>
      <c r="B1630" s="12" t="e">
        <f>MID(MAIN!A1635,K1630,2)</f>
        <v>#VALUE!</v>
      </c>
      <c r="C1630" s="12" t="e">
        <f t="shared" si="100"/>
        <v>#VALUE!</v>
      </c>
      <c r="D1630" s="12" t="e">
        <f>MID(MAIN!A1635,K1630+2,2)</f>
        <v>#VALUE!</v>
      </c>
      <c r="E1630" s="12" t="e">
        <f>MID(MAIN!A1635,K1630+4,2)</f>
        <v>#VALUE!</v>
      </c>
      <c r="F1630" s="2" t="e">
        <f t="shared" si="101"/>
        <v>#VALUE!</v>
      </c>
      <c r="G1630" s="13" t="e">
        <f t="shared" si="102"/>
        <v>#VALUE!</v>
      </c>
      <c r="J1630" t="str">
        <f>MAIN!A1635&amp;"B"</f>
        <v>B</v>
      </c>
      <c r="K1630" s="12" t="e">
        <f t="shared" si="103"/>
        <v>#VALUE!</v>
      </c>
      <c r="L1630" t="str">
        <f>MAIN!C1635</f>
        <v/>
      </c>
    </row>
    <row r="1631" spans="1:12" x14ac:dyDescent="0.3">
      <c r="A1631">
        <f>IF(J1631="0",0,IF(COUNTIF($J$2:J1631,J1631)=1,1,0))</f>
        <v>0</v>
      </c>
      <c r="B1631" s="12" t="e">
        <f>MID(MAIN!A1636,K1631,2)</f>
        <v>#VALUE!</v>
      </c>
      <c r="C1631" s="12" t="e">
        <f t="shared" si="100"/>
        <v>#VALUE!</v>
      </c>
      <c r="D1631" s="12" t="e">
        <f>MID(MAIN!A1636,K1631+2,2)</f>
        <v>#VALUE!</v>
      </c>
      <c r="E1631" s="12" t="e">
        <f>MID(MAIN!A1636,K1631+4,2)</f>
        <v>#VALUE!</v>
      </c>
      <c r="F1631" s="2" t="e">
        <f t="shared" si="101"/>
        <v>#VALUE!</v>
      </c>
      <c r="G1631" s="13" t="e">
        <f t="shared" si="102"/>
        <v>#VALUE!</v>
      </c>
      <c r="J1631" t="str">
        <f>MAIN!A1636&amp;"B"</f>
        <v>B</v>
      </c>
      <c r="K1631" s="12" t="e">
        <f t="shared" si="103"/>
        <v>#VALUE!</v>
      </c>
      <c r="L1631" t="str">
        <f>MAIN!C1636</f>
        <v/>
      </c>
    </row>
    <row r="1632" spans="1:12" x14ac:dyDescent="0.3">
      <c r="A1632">
        <f>IF(J1632="0",0,IF(COUNTIF($J$2:J1632,J1632)=1,1,0))</f>
        <v>0</v>
      </c>
      <c r="B1632" s="12" t="e">
        <f>MID(MAIN!A1637,K1632,2)</f>
        <v>#VALUE!</v>
      </c>
      <c r="C1632" s="12" t="e">
        <f t="shared" si="100"/>
        <v>#VALUE!</v>
      </c>
      <c r="D1632" s="12" t="e">
        <f>MID(MAIN!A1637,K1632+2,2)</f>
        <v>#VALUE!</v>
      </c>
      <c r="E1632" s="12" t="e">
        <f>MID(MAIN!A1637,K1632+4,2)</f>
        <v>#VALUE!</v>
      </c>
      <c r="F1632" s="2" t="e">
        <f t="shared" si="101"/>
        <v>#VALUE!</v>
      </c>
      <c r="G1632" s="13" t="e">
        <f t="shared" si="102"/>
        <v>#VALUE!</v>
      </c>
      <c r="J1632" t="str">
        <f>MAIN!A1637&amp;"B"</f>
        <v>B</v>
      </c>
      <c r="K1632" s="12" t="e">
        <f t="shared" si="103"/>
        <v>#VALUE!</v>
      </c>
      <c r="L1632" t="str">
        <f>MAIN!C1637</f>
        <v/>
      </c>
    </row>
    <row r="1633" spans="1:12" x14ac:dyDescent="0.3">
      <c r="A1633">
        <f>IF(J1633="0",0,IF(COUNTIF($J$2:J1633,J1633)=1,1,0))</f>
        <v>0</v>
      </c>
      <c r="B1633" s="12" t="e">
        <f>MID(MAIN!A1638,K1633,2)</f>
        <v>#VALUE!</v>
      </c>
      <c r="C1633" s="12" t="e">
        <f t="shared" si="100"/>
        <v>#VALUE!</v>
      </c>
      <c r="D1633" s="12" t="e">
        <f>MID(MAIN!A1638,K1633+2,2)</f>
        <v>#VALUE!</v>
      </c>
      <c r="E1633" s="12" t="e">
        <f>MID(MAIN!A1638,K1633+4,2)</f>
        <v>#VALUE!</v>
      </c>
      <c r="F1633" s="2" t="e">
        <f t="shared" si="101"/>
        <v>#VALUE!</v>
      </c>
      <c r="G1633" s="13" t="e">
        <f t="shared" si="102"/>
        <v>#VALUE!</v>
      </c>
      <c r="J1633" t="str">
        <f>MAIN!A1638&amp;"B"</f>
        <v>B</v>
      </c>
      <c r="K1633" s="12" t="e">
        <f t="shared" si="103"/>
        <v>#VALUE!</v>
      </c>
      <c r="L1633" t="str">
        <f>MAIN!C1638</f>
        <v/>
      </c>
    </row>
    <row r="1634" spans="1:12" x14ac:dyDescent="0.3">
      <c r="A1634">
        <f>IF(J1634="0",0,IF(COUNTIF($J$2:J1634,J1634)=1,1,0))</f>
        <v>0</v>
      </c>
      <c r="B1634" s="12" t="e">
        <f>MID(MAIN!A1639,K1634,2)</f>
        <v>#VALUE!</v>
      </c>
      <c r="C1634" s="12" t="e">
        <f t="shared" si="100"/>
        <v>#VALUE!</v>
      </c>
      <c r="D1634" s="12" t="e">
        <f>MID(MAIN!A1639,K1634+2,2)</f>
        <v>#VALUE!</v>
      </c>
      <c r="E1634" s="12" t="e">
        <f>MID(MAIN!A1639,K1634+4,2)</f>
        <v>#VALUE!</v>
      </c>
      <c r="F1634" s="2" t="e">
        <f t="shared" si="101"/>
        <v>#VALUE!</v>
      </c>
      <c r="G1634" s="13" t="e">
        <f t="shared" si="102"/>
        <v>#VALUE!</v>
      </c>
      <c r="J1634" t="str">
        <f>MAIN!A1639&amp;"B"</f>
        <v>B</v>
      </c>
      <c r="K1634" s="12" t="e">
        <f t="shared" si="103"/>
        <v>#VALUE!</v>
      </c>
      <c r="L1634" t="str">
        <f>MAIN!C1639</f>
        <v/>
      </c>
    </row>
    <row r="1635" spans="1:12" x14ac:dyDescent="0.3">
      <c r="A1635">
        <f>IF(J1635="0",0,IF(COUNTIF($J$2:J1635,J1635)=1,1,0))</f>
        <v>0</v>
      </c>
      <c r="B1635" s="12" t="e">
        <f>MID(MAIN!A1640,K1635,2)</f>
        <v>#VALUE!</v>
      </c>
      <c r="C1635" s="12" t="e">
        <f t="shared" si="100"/>
        <v>#VALUE!</v>
      </c>
      <c r="D1635" s="12" t="e">
        <f>MID(MAIN!A1640,K1635+2,2)</f>
        <v>#VALUE!</v>
      </c>
      <c r="E1635" s="12" t="e">
        <f>MID(MAIN!A1640,K1635+4,2)</f>
        <v>#VALUE!</v>
      </c>
      <c r="F1635" s="2" t="e">
        <f t="shared" si="101"/>
        <v>#VALUE!</v>
      </c>
      <c r="G1635" s="13" t="e">
        <f t="shared" si="102"/>
        <v>#VALUE!</v>
      </c>
      <c r="J1635" t="str">
        <f>MAIN!A1640&amp;"B"</f>
        <v>B</v>
      </c>
      <c r="K1635" s="12" t="e">
        <f t="shared" si="103"/>
        <v>#VALUE!</v>
      </c>
      <c r="L1635" t="str">
        <f>MAIN!C1640</f>
        <v/>
      </c>
    </row>
    <row r="1636" spans="1:12" x14ac:dyDescent="0.3">
      <c r="A1636">
        <f>IF(J1636="0",0,IF(COUNTIF($J$2:J1636,J1636)=1,1,0))</f>
        <v>0</v>
      </c>
      <c r="B1636" s="12" t="e">
        <f>MID(MAIN!A1641,K1636,2)</f>
        <v>#VALUE!</v>
      </c>
      <c r="C1636" s="12" t="e">
        <f t="shared" si="100"/>
        <v>#VALUE!</v>
      </c>
      <c r="D1636" s="12" t="e">
        <f>MID(MAIN!A1641,K1636+2,2)</f>
        <v>#VALUE!</v>
      </c>
      <c r="E1636" s="12" t="e">
        <f>MID(MAIN!A1641,K1636+4,2)</f>
        <v>#VALUE!</v>
      </c>
      <c r="F1636" s="2" t="e">
        <f t="shared" si="101"/>
        <v>#VALUE!</v>
      </c>
      <c r="G1636" s="13" t="e">
        <f t="shared" si="102"/>
        <v>#VALUE!</v>
      </c>
      <c r="J1636" t="str">
        <f>MAIN!A1641&amp;"B"</f>
        <v>B</v>
      </c>
      <c r="K1636" s="12" t="e">
        <f t="shared" si="103"/>
        <v>#VALUE!</v>
      </c>
      <c r="L1636" t="str">
        <f>MAIN!C1641</f>
        <v/>
      </c>
    </row>
    <row r="1637" spans="1:12" x14ac:dyDescent="0.3">
      <c r="A1637">
        <f>IF(J1637="0",0,IF(COUNTIF($J$2:J1637,J1637)=1,1,0))</f>
        <v>0</v>
      </c>
      <c r="B1637" s="12" t="e">
        <f>MID(MAIN!A1642,K1637,2)</f>
        <v>#VALUE!</v>
      </c>
      <c r="C1637" s="12" t="e">
        <f t="shared" si="100"/>
        <v>#VALUE!</v>
      </c>
      <c r="D1637" s="12" t="e">
        <f>MID(MAIN!A1642,K1637+2,2)</f>
        <v>#VALUE!</v>
      </c>
      <c r="E1637" s="12" t="e">
        <f>MID(MAIN!A1642,K1637+4,2)</f>
        <v>#VALUE!</v>
      </c>
      <c r="F1637" s="2" t="e">
        <f t="shared" si="101"/>
        <v>#VALUE!</v>
      </c>
      <c r="G1637" s="13" t="e">
        <f t="shared" si="102"/>
        <v>#VALUE!</v>
      </c>
      <c r="J1637" t="str">
        <f>MAIN!A1642&amp;"B"</f>
        <v>B</v>
      </c>
      <c r="K1637" s="12" t="e">
        <f t="shared" si="103"/>
        <v>#VALUE!</v>
      </c>
      <c r="L1637" t="str">
        <f>MAIN!C1642</f>
        <v/>
      </c>
    </row>
    <row r="1638" spans="1:12" x14ac:dyDescent="0.3">
      <c r="A1638">
        <f>IF(J1638="0",0,IF(COUNTIF($J$2:J1638,J1638)=1,1,0))</f>
        <v>0</v>
      </c>
      <c r="B1638" s="12" t="e">
        <f>MID(MAIN!A1643,K1638,2)</f>
        <v>#VALUE!</v>
      </c>
      <c r="C1638" s="12" t="e">
        <f t="shared" si="100"/>
        <v>#VALUE!</v>
      </c>
      <c r="D1638" s="12" t="e">
        <f>MID(MAIN!A1643,K1638+2,2)</f>
        <v>#VALUE!</v>
      </c>
      <c r="E1638" s="12" t="e">
        <f>MID(MAIN!A1643,K1638+4,2)</f>
        <v>#VALUE!</v>
      </c>
      <c r="F1638" s="2" t="e">
        <f t="shared" si="101"/>
        <v>#VALUE!</v>
      </c>
      <c r="G1638" s="13" t="e">
        <f t="shared" si="102"/>
        <v>#VALUE!</v>
      </c>
      <c r="J1638" t="str">
        <f>MAIN!A1643&amp;"B"</f>
        <v>B</v>
      </c>
      <c r="K1638" s="12" t="e">
        <f t="shared" si="103"/>
        <v>#VALUE!</v>
      </c>
      <c r="L1638" t="str">
        <f>MAIN!C1643</f>
        <v/>
      </c>
    </row>
    <row r="1639" spans="1:12" x14ac:dyDescent="0.3">
      <c r="A1639">
        <f>IF(J1639="0",0,IF(COUNTIF($J$2:J1639,J1639)=1,1,0))</f>
        <v>0</v>
      </c>
      <c r="B1639" s="12" t="e">
        <f>MID(MAIN!A1644,K1639,2)</f>
        <v>#VALUE!</v>
      </c>
      <c r="C1639" s="12" t="e">
        <f t="shared" si="100"/>
        <v>#VALUE!</v>
      </c>
      <c r="D1639" s="12" t="e">
        <f>MID(MAIN!A1644,K1639+2,2)</f>
        <v>#VALUE!</v>
      </c>
      <c r="E1639" s="12" t="e">
        <f>MID(MAIN!A1644,K1639+4,2)</f>
        <v>#VALUE!</v>
      </c>
      <c r="F1639" s="2" t="e">
        <f t="shared" si="101"/>
        <v>#VALUE!</v>
      </c>
      <c r="G1639" s="13" t="e">
        <f t="shared" si="102"/>
        <v>#VALUE!</v>
      </c>
      <c r="J1639" t="str">
        <f>MAIN!A1644&amp;"B"</f>
        <v>B</v>
      </c>
      <c r="K1639" s="12" t="e">
        <f t="shared" si="103"/>
        <v>#VALUE!</v>
      </c>
      <c r="L1639" t="str">
        <f>MAIN!C1644</f>
        <v/>
      </c>
    </row>
    <row r="1640" spans="1:12" x14ac:dyDescent="0.3">
      <c r="A1640">
        <f>IF(J1640="0",0,IF(COUNTIF($J$2:J1640,J1640)=1,1,0))</f>
        <v>0</v>
      </c>
      <c r="B1640" s="12" t="e">
        <f>MID(MAIN!A1645,K1640,2)</f>
        <v>#VALUE!</v>
      </c>
      <c r="C1640" s="12" t="e">
        <f t="shared" si="100"/>
        <v>#VALUE!</v>
      </c>
      <c r="D1640" s="12" t="e">
        <f>MID(MAIN!A1645,K1640+2,2)</f>
        <v>#VALUE!</v>
      </c>
      <c r="E1640" s="12" t="e">
        <f>MID(MAIN!A1645,K1640+4,2)</f>
        <v>#VALUE!</v>
      </c>
      <c r="F1640" s="2" t="e">
        <f t="shared" si="101"/>
        <v>#VALUE!</v>
      </c>
      <c r="G1640" s="13" t="e">
        <f t="shared" si="102"/>
        <v>#VALUE!</v>
      </c>
      <c r="J1640" t="str">
        <f>MAIN!A1645&amp;"B"</f>
        <v>B</v>
      </c>
      <c r="K1640" s="12" t="e">
        <f t="shared" si="103"/>
        <v>#VALUE!</v>
      </c>
      <c r="L1640" t="str">
        <f>MAIN!C1645</f>
        <v/>
      </c>
    </row>
    <row r="1641" spans="1:12" x14ac:dyDescent="0.3">
      <c r="A1641">
        <f>IF(J1641="0",0,IF(COUNTIF($J$2:J1641,J1641)=1,1,0))</f>
        <v>0</v>
      </c>
      <c r="B1641" s="12" t="e">
        <f>MID(MAIN!A1646,K1641,2)</f>
        <v>#VALUE!</v>
      </c>
      <c r="C1641" s="12" t="e">
        <f t="shared" si="100"/>
        <v>#VALUE!</v>
      </c>
      <c r="D1641" s="12" t="e">
        <f>MID(MAIN!A1646,K1641+2,2)</f>
        <v>#VALUE!</v>
      </c>
      <c r="E1641" s="12" t="e">
        <f>MID(MAIN!A1646,K1641+4,2)</f>
        <v>#VALUE!</v>
      </c>
      <c r="F1641" s="2" t="e">
        <f t="shared" si="101"/>
        <v>#VALUE!</v>
      </c>
      <c r="G1641" s="13" t="e">
        <f t="shared" si="102"/>
        <v>#VALUE!</v>
      </c>
      <c r="J1641" t="str">
        <f>MAIN!A1646&amp;"B"</f>
        <v>B</v>
      </c>
      <c r="K1641" s="12" t="e">
        <f t="shared" si="103"/>
        <v>#VALUE!</v>
      </c>
      <c r="L1641" t="str">
        <f>MAIN!C1646</f>
        <v/>
      </c>
    </row>
    <row r="1642" spans="1:12" x14ac:dyDescent="0.3">
      <c r="A1642">
        <f>IF(J1642="0",0,IF(COUNTIF($J$2:J1642,J1642)=1,1,0))</f>
        <v>0</v>
      </c>
      <c r="B1642" s="12" t="e">
        <f>MID(MAIN!A1647,K1642,2)</f>
        <v>#VALUE!</v>
      </c>
      <c r="C1642" s="12" t="e">
        <f t="shared" si="100"/>
        <v>#VALUE!</v>
      </c>
      <c r="D1642" s="12" t="e">
        <f>MID(MAIN!A1647,K1642+2,2)</f>
        <v>#VALUE!</v>
      </c>
      <c r="E1642" s="12" t="e">
        <f>MID(MAIN!A1647,K1642+4,2)</f>
        <v>#VALUE!</v>
      </c>
      <c r="F1642" s="2" t="e">
        <f t="shared" si="101"/>
        <v>#VALUE!</v>
      </c>
      <c r="G1642" s="13" t="e">
        <f t="shared" si="102"/>
        <v>#VALUE!</v>
      </c>
      <c r="J1642" t="str">
        <f>MAIN!A1647&amp;"B"</f>
        <v>B</v>
      </c>
      <c r="K1642" s="12" t="e">
        <f t="shared" si="103"/>
        <v>#VALUE!</v>
      </c>
      <c r="L1642" t="str">
        <f>MAIN!C1647</f>
        <v/>
      </c>
    </row>
    <row r="1643" spans="1:12" x14ac:dyDescent="0.3">
      <c r="A1643">
        <f>IF(J1643="0",0,IF(COUNTIF($J$2:J1643,J1643)=1,1,0))</f>
        <v>0</v>
      </c>
      <c r="B1643" s="12" t="e">
        <f>MID(MAIN!A1648,K1643,2)</f>
        <v>#VALUE!</v>
      </c>
      <c r="C1643" s="12" t="e">
        <f t="shared" si="100"/>
        <v>#VALUE!</v>
      </c>
      <c r="D1643" s="12" t="e">
        <f>MID(MAIN!A1648,K1643+2,2)</f>
        <v>#VALUE!</v>
      </c>
      <c r="E1643" s="12" t="e">
        <f>MID(MAIN!A1648,K1643+4,2)</f>
        <v>#VALUE!</v>
      </c>
      <c r="F1643" s="2" t="e">
        <f t="shared" si="101"/>
        <v>#VALUE!</v>
      </c>
      <c r="G1643" s="13" t="e">
        <f t="shared" si="102"/>
        <v>#VALUE!</v>
      </c>
      <c r="J1643" t="str">
        <f>MAIN!A1648&amp;"B"</f>
        <v>B</v>
      </c>
      <c r="K1643" s="12" t="e">
        <f t="shared" si="103"/>
        <v>#VALUE!</v>
      </c>
      <c r="L1643" t="str">
        <f>MAIN!C1648</f>
        <v/>
      </c>
    </row>
    <row r="1644" spans="1:12" x14ac:dyDescent="0.3">
      <c r="A1644">
        <f>IF(J1644="0",0,IF(COUNTIF($J$2:J1644,J1644)=1,1,0))</f>
        <v>0</v>
      </c>
      <c r="B1644" s="12" t="e">
        <f>MID(MAIN!A1649,K1644,2)</f>
        <v>#VALUE!</v>
      </c>
      <c r="C1644" s="12" t="e">
        <f t="shared" si="100"/>
        <v>#VALUE!</v>
      </c>
      <c r="D1644" s="12" t="e">
        <f>MID(MAIN!A1649,K1644+2,2)</f>
        <v>#VALUE!</v>
      </c>
      <c r="E1644" s="12" t="e">
        <f>MID(MAIN!A1649,K1644+4,2)</f>
        <v>#VALUE!</v>
      </c>
      <c r="F1644" s="2" t="e">
        <f t="shared" si="101"/>
        <v>#VALUE!</v>
      </c>
      <c r="G1644" s="13" t="e">
        <f t="shared" si="102"/>
        <v>#VALUE!</v>
      </c>
      <c r="J1644" t="str">
        <f>MAIN!A1649&amp;"B"</f>
        <v>B</v>
      </c>
      <c r="K1644" s="12" t="e">
        <f t="shared" si="103"/>
        <v>#VALUE!</v>
      </c>
      <c r="L1644" t="str">
        <f>MAIN!C1649</f>
        <v/>
      </c>
    </row>
    <row r="1645" spans="1:12" x14ac:dyDescent="0.3">
      <c r="A1645">
        <f>IF(J1645="0",0,IF(COUNTIF($J$2:J1645,J1645)=1,1,0))</f>
        <v>0</v>
      </c>
      <c r="B1645" s="12" t="e">
        <f>MID(MAIN!A1650,K1645,2)</f>
        <v>#VALUE!</v>
      </c>
      <c r="C1645" s="12" t="e">
        <f t="shared" si="100"/>
        <v>#VALUE!</v>
      </c>
      <c r="D1645" s="12" t="e">
        <f>MID(MAIN!A1650,K1645+2,2)</f>
        <v>#VALUE!</v>
      </c>
      <c r="E1645" s="12" t="e">
        <f>MID(MAIN!A1650,K1645+4,2)</f>
        <v>#VALUE!</v>
      </c>
      <c r="F1645" s="2" t="e">
        <f t="shared" si="101"/>
        <v>#VALUE!</v>
      </c>
      <c r="G1645" s="13" t="e">
        <f t="shared" si="102"/>
        <v>#VALUE!</v>
      </c>
      <c r="J1645" t="str">
        <f>MAIN!A1650&amp;"B"</f>
        <v>B</v>
      </c>
      <c r="K1645" s="12" t="e">
        <f t="shared" si="103"/>
        <v>#VALUE!</v>
      </c>
      <c r="L1645" t="str">
        <f>MAIN!C1650</f>
        <v/>
      </c>
    </row>
    <row r="1646" spans="1:12" x14ac:dyDescent="0.3">
      <c r="A1646">
        <f>IF(J1646="0",0,IF(COUNTIF($J$2:J1646,J1646)=1,1,0))</f>
        <v>0</v>
      </c>
      <c r="B1646" s="12" t="e">
        <f>MID(MAIN!A1651,K1646,2)</f>
        <v>#VALUE!</v>
      </c>
      <c r="C1646" s="12" t="e">
        <f t="shared" si="100"/>
        <v>#VALUE!</v>
      </c>
      <c r="D1646" s="12" t="e">
        <f>MID(MAIN!A1651,K1646+2,2)</f>
        <v>#VALUE!</v>
      </c>
      <c r="E1646" s="12" t="e">
        <f>MID(MAIN!A1651,K1646+4,2)</f>
        <v>#VALUE!</v>
      </c>
      <c r="F1646" s="2" t="e">
        <f t="shared" si="101"/>
        <v>#VALUE!</v>
      </c>
      <c r="G1646" s="13" t="e">
        <f t="shared" si="102"/>
        <v>#VALUE!</v>
      </c>
      <c r="J1646" t="str">
        <f>MAIN!A1651&amp;"B"</f>
        <v>B</v>
      </c>
      <c r="K1646" s="12" t="e">
        <f t="shared" si="103"/>
        <v>#VALUE!</v>
      </c>
      <c r="L1646" t="str">
        <f>MAIN!C1651</f>
        <v/>
      </c>
    </row>
    <row r="1647" spans="1:12" x14ac:dyDescent="0.3">
      <c r="A1647">
        <f>IF(J1647="0",0,IF(COUNTIF($J$2:J1647,J1647)=1,1,0))</f>
        <v>0</v>
      </c>
      <c r="B1647" s="12" t="e">
        <f>MID(MAIN!A1652,K1647,2)</f>
        <v>#VALUE!</v>
      </c>
      <c r="C1647" s="12" t="e">
        <f t="shared" si="100"/>
        <v>#VALUE!</v>
      </c>
      <c r="D1647" s="12" t="e">
        <f>MID(MAIN!A1652,K1647+2,2)</f>
        <v>#VALUE!</v>
      </c>
      <c r="E1647" s="12" t="e">
        <f>MID(MAIN!A1652,K1647+4,2)</f>
        <v>#VALUE!</v>
      </c>
      <c r="F1647" s="2" t="e">
        <f t="shared" si="101"/>
        <v>#VALUE!</v>
      </c>
      <c r="G1647" s="13" t="e">
        <f t="shared" si="102"/>
        <v>#VALUE!</v>
      </c>
      <c r="J1647" t="str">
        <f>MAIN!A1652&amp;"B"</f>
        <v>B</v>
      </c>
      <c r="K1647" s="12" t="e">
        <f t="shared" si="103"/>
        <v>#VALUE!</v>
      </c>
      <c r="L1647" t="str">
        <f>MAIN!C1652</f>
        <v/>
      </c>
    </row>
    <row r="1648" spans="1:12" x14ac:dyDescent="0.3">
      <c r="A1648">
        <f>IF(J1648="0",0,IF(COUNTIF($J$2:J1648,J1648)=1,1,0))</f>
        <v>0</v>
      </c>
      <c r="B1648" s="12" t="e">
        <f>MID(MAIN!A1653,K1648,2)</f>
        <v>#VALUE!</v>
      </c>
      <c r="C1648" s="12" t="e">
        <f t="shared" si="100"/>
        <v>#VALUE!</v>
      </c>
      <c r="D1648" s="12" t="e">
        <f>MID(MAIN!A1653,K1648+2,2)</f>
        <v>#VALUE!</v>
      </c>
      <c r="E1648" s="12" t="e">
        <f>MID(MAIN!A1653,K1648+4,2)</f>
        <v>#VALUE!</v>
      </c>
      <c r="F1648" s="2" t="e">
        <f t="shared" si="101"/>
        <v>#VALUE!</v>
      </c>
      <c r="G1648" s="13" t="e">
        <f t="shared" si="102"/>
        <v>#VALUE!</v>
      </c>
      <c r="J1648" t="str">
        <f>MAIN!A1653&amp;"B"</f>
        <v>B</v>
      </c>
      <c r="K1648" s="12" t="e">
        <f t="shared" si="103"/>
        <v>#VALUE!</v>
      </c>
      <c r="L1648" t="str">
        <f>MAIN!C1653</f>
        <v/>
      </c>
    </row>
    <row r="1649" spans="1:12" x14ac:dyDescent="0.3">
      <c r="A1649">
        <f>IF(J1649="0",0,IF(COUNTIF($J$2:J1649,J1649)=1,1,0))</f>
        <v>0</v>
      </c>
      <c r="B1649" s="12" t="e">
        <f>MID(MAIN!A1654,K1649,2)</f>
        <v>#VALUE!</v>
      </c>
      <c r="C1649" s="12" t="e">
        <f t="shared" si="100"/>
        <v>#VALUE!</v>
      </c>
      <c r="D1649" s="12" t="e">
        <f>MID(MAIN!A1654,K1649+2,2)</f>
        <v>#VALUE!</v>
      </c>
      <c r="E1649" s="12" t="e">
        <f>MID(MAIN!A1654,K1649+4,2)</f>
        <v>#VALUE!</v>
      </c>
      <c r="F1649" s="2" t="e">
        <f t="shared" si="101"/>
        <v>#VALUE!</v>
      </c>
      <c r="G1649" s="13" t="e">
        <f t="shared" si="102"/>
        <v>#VALUE!</v>
      </c>
      <c r="J1649" t="str">
        <f>MAIN!A1654&amp;"B"</f>
        <v>B</v>
      </c>
      <c r="K1649" s="12" t="e">
        <f t="shared" si="103"/>
        <v>#VALUE!</v>
      </c>
      <c r="L1649" t="str">
        <f>MAIN!C1654</f>
        <v/>
      </c>
    </row>
    <row r="1650" spans="1:12" x14ac:dyDescent="0.3">
      <c r="A1650">
        <f>IF(J1650="0",0,IF(COUNTIF($J$2:J1650,J1650)=1,1,0))</f>
        <v>0</v>
      </c>
      <c r="B1650" s="12" t="e">
        <f>MID(MAIN!A1655,K1650,2)</f>
        <v>#VALUE!</v>
      </c>
      <c r="C1650" s="12" t="e">
        <f t="shared" si="100"/>
        <v>#VALUE!</v>
      </c>
      <c r="D1650" s="12" t="e">
        <f>MID(MAIN!A1655,K1650+2,2)</f>
        <v>#VALUE!</v>
      </c>
      <c r="E1650" s="12" t="e">
        <f>MID(MAIN!A1655,K1650+4,2)</f>
        <v>#VALUE!</v>
      </c>
      <c r="F1650" s="2" t="e">
        <f t="shared" si="101"/>
        <v>#VALUE!</v>
      </c>
      <c r="G1650" s="13" t="e">
        <f t="shared" si="102"/>
        <v>#VALUE!</v>
      </c>
      <c r="J1650" t="str">
        <f>MAIN!A1655&amp;"B"</f>
        <v>B</v>
      </c>
      <c r="K1650" s="12" t="e">
        <f t="shared" si="103"/>
        <v>#VALUE!</v>
      </c>
      <c r="L1650" t="str">
        <f>MAIN!C1655</f>
        <v/>
      </c>
    </row>
    <row r="1651" spans="1:12" x14ac:dyDescent="0.3">
      <c r="A1651">
        <f>IF(J1651="0",0,IF(COUNTIF($J$2:J1651,J1651)=1,1,0))</f>
        <v>0</v>
      </c>
      <c r="B1651" s="12" t="e">
        <f>MID(MAIN!A1656,K1651,2)</f>
        <v>#VALUE!</v>
      </c>
      <c r="C1651" s="12" t="e">
        <f t="shared" si="100"/>
        <v>#VALUE!</v>
      </c>
      <c r="D1651" s="12" t="e">
        <f>MID(MAIN!A1656,K1651+2,2)</f>
        <v>#VALUE!</v>
      </c>
      <c r="E1651" s="12" t="e">
        <f>MID(MAIN!A1656,K1651+4,2)</f>
        <v>#VALUE!</v>
      </c>
      <c r="F1651" s="2" t="e">
        <f t="shared" si="101"/>
        <v>#VALUE!</v>
      </c>
      <c r="G1651" s="13" t="e">
        <f t="shared" si="102"/>
        <v>#VALUE!</v>
      </c>
      <c r="J1651" t="str">
        <f>MAIN!A1656&amp;"B"</f>
        <v>B</v>
      </c>
      <c r="K1651" s="12" t="e">
        <f t="shared" si="103"/>
        <v>#VALUE!</v>
      </c>
      <c r="L1651" t="str">
        <f>MAIN!C1656</f>
        <v/>
      </c>
    </row>
    <row r="1652" spans="1:12" x14ac:dyDescent="0.3">
      <c r="A1652">
        <f>IF(J1652="0",0,IF(COUNTIF($J$2:J1652,J1652)=1,1,0))</f>
        <v>0</v>
      </c>
      <c r="B1652" s="12" t="e">
        <f>MID(MAIN!A1657,K1652,2)</f>
        <v>#VALUE!</v>
      </c>
      <c r="C1652" s="12" t="e">
        <f t="shared" si="100"/>
        <v>#VALUE!</v>
      </c>
      <c r="D1652" s="12" t="e">
        <f>MID(MAIN!A1657,K1652+2,2)</f>
        <v>#VALUE!</v>
      </c>
      <c r="E1652" s="12" t="e">
        <f>MID(MAIN!A1657,K1652+4,2)</f>
        <v>#VALUE!</v>
      </c>
      <c r="F1652" s="2" t="e">
        <f t="shared" si="101"/>
        <v>#VALUE!</v>
      </c>
      <c r="G1652" s="13" t="e">
        <f t="shared" si="102"/>
        <v>#VALUE!</v>
      </c>
      <c r="J1652" t="str">
        <f>MAIN!A1657&amp;"B"</f>
        <v>B</v>
      </c>
      <c r="K1652" s="12" t="e">
        <f t="shared" si="103"/>
        <v>#VALUE!</v>
      </c>
      <c r="L1652" t="str">
        <f>MAIN!C1657</f>
        <v/>
      </c>
    </row>
    <row r="1653" spans="1:12" x14ac:dyDescent="0.3">
      <c r="A1653">
        <f>IF(J1653="0",0,IF(COUNTIF($J$2:J1653,J1653)=1,1,0))</f>
        <v>0</v>
      </c>
      <c r="B1653" s="12" t="e">
        <f>MID(MAIN!A1658,K1653,2)</f>
        <v>#VALUE!</v>
      </c>
      <c r="C1653" s="12" t="e">
        <f t="shared" si="100"/>
        <v>#VALUE!</v>
      </c>
      <c r="D1653" s="12" t="e">
        <f>MID(MAIN!A1658,K1653+2,2)</f>
        <v>#VALUE!</v>
      </c>
      <c r="E1653" s="12" t="e">
        <f>MID(MAIN!A1658,K1653+4,2)</f>
        <v>#VALUE!</v>
      </c>
      <c r="F1653" s="2" t="e">
        <f t="shared" si="101"/>
        <v>#VALUE!</v>
      </c>
      <c r="G1653" s="13" t="e">
        <f t="shared" si="102"/>
        <v>#VALUE!</v>
      </c>
      <c r="J1653" t="str">
        <f>MAIN!A1658&amp;"B"</f>
        <v>B</v>
      </c>
      <c r="K1653" s="12" t="e">
        <f t="shared" si="103"/>
        <v>#VALUE!</v>
      </c>
      <c r="L1653" t="str">
        <f>MAIN!C1658</f>
        <v/>
      </c>
    </row>
    <row r="1654" spans="1:12" x14ac:dyDescent="0.3">
      <c r="A1654">
        <f>IF(J1654="0",0,IF(COUNTIF($J$2:J1654,J1654)=1,1,0))</f>
        <v>0</v>
      </c>
      <c r="B1654" s="12" t="e">
        <f>MID(MAIN!A1659,K1654,2)</f>
        <v>#VALUE!</v>
      </c>
      <c r="C1654" s="12" t="e">
        <f t="shared" si="100"/>
        <v>#VALUE!</v>
      </c>
      <c r="D1654" s="12" t="e">
        <f>MID(MAIN!A1659,K1654+2,2)</f>
        <v>#VALUE!</v>
      </c>
      <c r="E1654" s="12" t="e">
        <f>MID(MAIN!A1659,K1654+4,2)</f>
        <v>#VALUE!</v>
      </c>
      <c r="F1654" s="2" t="e">
        <f t="shared" si="101"/>
        <v>#VALUE!</v>
      </c>
      <c r="G1654" s="13" t="e">
        <f t="shared" si="102"/>
        <v>#VALUE!</v>
      </c>
      <c r="J1654" t="str">
        <f>MAIN!A1659&amp;"B"</f>
        <v>B</v>
      </c>
      <c r="K1654" s="12" t="e">
        <f t="shared" si="103"/>
        <v>#VALUE!</v>
      </c>
      <c r="L1654" t="str">
        <f>MAIN!C1659</f>
        <v/>
      </c>
    </row>
    <row r="1655" spans="1:12" x14ac:dyDescent="0.3">
      <c r="A1655">
        <f>IF(J1655="0",0,IF(COUNTIF($J$2:J1655,J1655)=1,1,0))</f>
        <v>0</v>
      </c>
      <c r="B1655" s="12" t="e">
        <f>MID(MAIN!A1660,K1655,2)</f>
        <v>#VALUE!</v>
      </c>
      <c r="C1655" s="12" t="e">
        <f t="shared" si="100"/>
        <v>#VALUE!</v>
      </c>
      <c r="D1655" s="12" t="e">
        <f>MID(MAIN!A1660,K1655+2,2)</f>
        <v>#VALUE!</v>
      </c>
      <c r="E1655" s="12" t="e">
        <f>MID(MAIN!A1660,K1655+4,2)</f>
        <v>#VALUE!</v>
      </c>
      <c r="F1655" s="2" t="e">
        <f t="shared" si="101"/>
        <v>#VALUE!</v>
      </c>
      <c r="G1655" s="13" t="e">
        <f t="shared" si="102"/>
        <v>#VALUE!</v>
      </c>
      <c r="J1655" t="str">
        <f>MAIN!A1660&amp;"B"</f>
        <v>B</v>
      </c>
      <c r="K1655" s="12" t="e">
        <f t="shared" si="103"/>
        <v>#VALUE!</v>
      </c>
      <c r="L1655" t="str">
        <f>MAIN!C1660</f>
        <v/>
      </c>
    </row>
    <row r="1656" spans="1:12" x14ac:dyDescent="0.3">
      <c r="A1656">
        <f>IF(J1656="0",0,IF(COUNTIF($J$2:J1656,J1656)=1,1,0))</f>
        <v>0</v>
      </c>
      <c r="B1656" s="12" t="e">
        <f>MID(MAIN!A1661,K1656,2)</f>
        <v>#VALUE!</v>
      </c>
      <c r="C1656" s="12" t="e">
        <f t="shared" si="100"/>
        <v>#VALUE!</v>
      </c>
      <c r="D1656" s="12" t="e">
        <f>MID(MAIN!A1661,K1656+2,2)</f>
        <v>#VALUE!</v>
      </c>
      <c r="E1656" s="12" t="e">
        <f>MID(MAIN!A1661,K1656+4,2)</f>
        <v>#VALUE!</v>
      </c>
      <c r="F1656" s="2" t="e">
        <f t="shared" si="101"/>
        <v>#VALUE!</v>
      </c>
      <c r="G1656" s="13" t="e">
        <f t="shared" si="102"/>
        <v>#VALUE!</v>
      </c>
      <c r="J1656" t="str">
        <f>MAIN!A1661&amp;"B"</f>
        <v>B</v>
      </c>
      <c r="K1656" s="12" t="e">
        <f t="shared" si="103"/>
        <v>#VALUE!</v>
      </c>
      <c r="L1656" t="str">
        <f>MAIN!C1661</f>
        <v/>
      </c>
    </row>
    <row r="1657" spans="1:12" x14ac:dyDescent="0.3">
      <c r="A1657">
        <f>IF(J1657="0",0,IF(COUNTIF($J$2:J1657,J1657)=1,1,0))</f>
        <v>0</v>
      </c>
      <c r="B1657" s="12" t="e">
        <f>MID(MAIN!A1662,K1657,2)</f>
        <v>#VALUE!</v>
      </c>
      <c r="C1657" s="12" t="e">
        <f t="shared" si="100"/>
        <v>#VALUE!</v>
      </c>
      <c r="D1657" s="12" t="e">
        <f>MID(MAIN!A1662,K1657+2,2)</f>
        <v>#VALUE!</v>
      </c>
      <c r="E1657" s="12" t="e">
        <f>MID(MAIN!A1662,K1657+4,2)</f>
        <v>#VALUE!</v>
      </c>
      <c r="F1657" s="2" t="e">
        <f t="shared" si="101"/>
        <v>#VALUE!</v>
      </c>
      <c r="G1657" s="13" t="e">
        <f t="shared" si="102"/>
        <v>#VALUE!</v>
      </c>
      <c r="J1657" t="str">
        <f>MAIN!A1662&amp;"B"</f>
        <v>B</v>
      </c>
      <c r="K1657" s="12" t="e">
        <f t="shared" si="103"/>
        <v>#VALUE!</v>
      </c>
      <c r="L1657" t="str">
        <f>MAIN!C1662</f>
        <v/>
      </c>
    </row>
    <row r="1658" spans="1:12" x14ac:dyDescent="0.3">
      <c r="A1658">
        <f>IF(J1658="0",0,IF(COUNTIF($J$2:J1658,J1658)=1,1,0))</f>
        <v>0</v>
      </c>
      <c r="B1658" s="12" t="e">
        <f>MID(MAIN!A1663,K1658,2)</f>
        <v>#VALUE!</v>
      </c>
      <c r="C1658" s="12" t="e">
        <f t="shared" si="100"/>
        <v>#VALUE!</v>
      </c>
      <c r="D1658" s="12" t="e">
        <f>MID(MAIN!A1663,K1658+2,2)</f>
        <v>#VALUE!</v>
      </c>
      <c r="E1658" s="12" t="e">
        <f>MID(MAIN!A1663,K1658+4,2)</f>
        <v>#VALUE!</v>
      </c>
      <c r="F1658" s="2" t="e">
        <f t="shared" si="101"/>
        <v>#VALUE!</v>
      </c>
      <c r="G1658" s="13" t="e">
        <f t="shared" si="102"/>
        <v>#VALUE!</v>
      </c>
      <c r="J1658" t="str">
        <f>MAIN!A1663&amp;"B"</f>
        <v>B</v>
      </c>
      <c r="K1658" s="12" t="e">
        <f t="shared" si="103"/>
        <v>#VALUE!</v>
      </c>
      <c r="L1658" t="str">
        <f>MAIN!C1663</f>
        <v/>
      </c>
    </row>
    <row r="1659" spans="1:12" x14ac:dyDescent="0.3">
      <c r="A1659">
        <f>IF(J1659="0",0,IF(COUNTIF($J$2:J1659,J1659)=1,1,0))</f>
        <v>0</v>
      </c>
      <c r="B1659" s="12" t="e">
        <f>MID(MAIN!A1664,K1659,2)</f>
        <v>#VALUE!</v>
      </c>
      <c r="C1659" s="12" t="e">
        <f t="shared" si="100"/>
        <v>#VALUE!</v>
      </c>
      <c r="D1659" s="12" t="e">
        <f>MID(MAIN!A1664,K1659+2,2)</f>
        <v>#VALUE!</v>
      </c>
      <c r="E1659" s="12" t="e">
        <f>MID(MAIN!A1664,K1659+4,2)</f>
        <v>#VALUE!</v>
      </c>
      <c r="F1659" s="2" t="e">
        <f t="shared" si="101"/>
        <v>#VALUE!</v>
      </c>
      <c r="G1659" s="13" t="e">
        <f t="shared" si="102"/>
        <v>#VALUE!</v>
      </c>
      <c r="J1659" t="str">
        <f>MAIN!A1664&amp;"B"</f>
        <v>B</v>
      </c>
      <c r="K1659" s="12" t="e">
        <f t="shared" si="103"/>
        <v>#VALUE!</v>
      </c>
      <c r="L1659" t="str">
        <f>MAIN!C1664</f>
        <v/>
      </c>
    </row>
    <row r="1660" spans="1:12" x14ac:dyDescent="0.3">
      <c r="A1660">
        <f>IF(J1660="0",0,IF(COUNTIF($J$2:J1660,J1660)=1,1,0))</f>
        <v>0</v>
      </c>
      <c r="B1660" s="12" t="e">
        <f>MID(MAIN!A1665,K1660,2)</f>
        <v>#VALUE!</v>
      </c>
      <c r="C1660" s="12" t="e">
        <f t="shared" si="100"/>
        <v>#VALUE!</v>
      </c>
      <c r="D1660" s="12" t="e">
        <f>MID(MAIN!A1665,K1660+2,2)</f>
        <v>#VALUE!</v>
      </c>
      <c r="E1660" s="12" t="e">
        <f>MID(MAIN!A1665,K1660+4,2)</f>
        <v>#VALUE!</v>
      </c>
      <c r="F1660" s="2" t="e">
        <f t="shared" si="101"/>
        <v>#VALUE!</v>
      </c>
      <c r="G1660" s="13" t="e">
        <f t="shared" si="102"/>
        <v>#VALUE!</v>
      </c>
      <c r="J1660" t="str">
        <f>MAIN!A1665&amp;"B"</f>
        <v>B</v>
      </c>
      <c r="K1660" s="12" t="e">
        <f t="shared" si="103"/>
        <v>#VALUE!</v>
      </c>
      <c r="L1660" t="str">
        <f>MAIN!C1665</f>
        <v/>
      </c>
    </row>
    <row r="1661" spans="1:12" x14ac:dyDescent="0.3">
      <c r="A1661">
        <f>IF(J1661="0",0,IF(COUNTIF($J$2:J1661,J1661)=1,1,0))</f>
        <v>0</v>
      </c>
      <c r="B1661" s="12" t="e">
        <f>MID(MAIN!A1666,K1661,2)</f>
        <v>#VALUE!</v>
      </c>
      <c r="C1661" s="12" t="e">
        <f t="shared" si="100"/>
        <v>#VALUE!</v>
      </c>
      <c r="D1661" s="12" t="e">
        <f>MID(MAIN!A1666,K1661+2,2)</f>
        <v>#VALUE!</v>
      </c>
      <c r="E1661" s="12" t="e">
        <f>MID(MAIN!A1666,K1661+4,2)</f>
        <v>#VALUE!</v>
      </c>
      <c r="F1661" s="2" t="e">
        <f t="shared" si="101"/>
        <v>#VALUE!</v>
      </c>
      <c r="G1661" s="13" t="e">
        <f t="shared" si="102"/>
        <v>#VALUE!</v>
      </c>
      <c r="J1661" t="str">
        <f>MAIN!A1666&amp;"B"</f>
        <v>B</v>
      </c>
      <c r="K1661" s="12" t="e">
        <f t="shared" si="103"/>
        <v>#VALUE!</v>
      </c>
      <c r="L1661" t="str">
        <f>MAIN!C1666</f>
        <v/>
      </c>
    </row>
    <row r="1662" spans="1:12" x14ac:dyDescent="0.3">
      <c r="A1662">
        <f>IF(J1662="0",0,IF(COUNTIF($J$2:J1662,J1662)=1,1,0))</f>
        <v>0</v>
      </c>
      <c r="B1662" s="12" t="e">
        <f>MID(MAIN!A1667,K1662,2)</f>
        <v>#VALUE!</v>
      </c>
      <c r="C1662" s="12" t="e">
        <f t="shared" si="100"/>
        <v>#VALUE!</v>
      </c>
      <c r="D1662" s="12" t="e">
        <f>MID(MAIN!A1667,K1662+2,2)</f>
        <v>#VALUE!</v>
      </c>
      <c r="E1662" s="12" t="e">
        <f>MID(MAIN!A1667,K1662+4,2)</f>
        <v>#VALUE!</v>
      </c>
      <c r="F1662" s="2" t="e">
        <f t="shared" si="101"/>
        <v>#VALUE!</v>
      </c>
      <c r="G1662" s="13" t="e">
        <f t="shared" si="102"/>
        <v>#VALUE!</v>
      </c>
      <c r="J1662" t="str">
        <f>MAIN!A1667&amp;"B"</f>
        <v>B</v>
      </c>
      <c r="K1662" s="12" t="e">
        <f t="shared" si="103"/>
        <v>#VALUE!</v>
      </c>
      <c r="L1662" t="str">
        <f>MAIN!C1667</f>
        <v/>
      </c>
    </row>
    <row r="1663" spans="1:12" x14ac:dyDescent="0.3">
      <c r="A1663">
        <f>IF(J1663="0",0,IF(COUNTIF($J$2:J1663,J1663)=1,1,0))</f>
        <v>0</v>
      </c>
      <c r="B1663" s="12" t="e">
        <f>MID(MAIN!A1668,K1663,2)</f>
        <v>#VALUE!</v>
      </c>
      <c r="C1663" s="12" t="e">
        <f t="shared" si="100"/>
        <v>#VALUE!</v>
      </c>
      <c r="D1663" s="12" t="e">
        <f>MID(MAIN!A1668,K1663+2,2)</f>
        <v>#VALUE!</v>
      </c>
      <c r="E1663" s="12" t="e">
        <f>MID(MAIN!A1668,K1663+4,2)</f>
        <v>#VALUE!</v>
      </c>
      <c r="F1663" s="2" t="e">
        <f t="shared" si="101"/>
        <v>#VALUE!</v>
      </c>
      <c r="G1663" s="13" t="e">
        <f t="shared" si="102"/>
        <v>#VALUE!</v>
      </c>
      <c r="J1663" t="str">
        <f>MAIN!A1668&amp;"B"</f>
        <v>B</v>
      </c>
      <c r="K1663" s="12" t="e">
        <f t="shared" si="103"/>
        <v>#VALUE!</v>
      </c>
      <c r="L1663" t="str">
        <f>MAIN!C1668</f>
        <v/>
      </c>
    </row>
    <row r="1664" spans="1:12" x14ac:dyDescent="0.3">
      <c r="A1664">
        <f>IF(J1664="0",0,IF(COUNTIF($J$2:J1664,J1664)=1,1,0))</f>
        <v>0</v>
      </c>
      <c r="B1664" s="12" t="e">
        <f>MID(MAIN!A1669,K1664,2)</f>
        <v>#VALUE!</v>
      </c>
      <c r="C1664" s="12" t="e">
        <f t="shared" si="100"/>
        <v>#VALUE!</v>
      </c>
      <c r="D1664" s="12" t="e">
        <f>MID(MAIN!A1669,K1664+2,2)</f>
        <v>#VALUE!</v>
      </c>
      <c r="E1664" s="12" t="e">
        <f>MID(MAIN!A1669,K1664+4,2)</f>
        <v>#VALUE!</v>
      </c>
      <c r="F1664" s="2" t="e">
        <f t="shared" si="101"/>
        <v>#VALUE!</v>
      </c>
      <c r="G1664" s="13" t="e">
        <f t="shared" si="102"/>
        <v>#VALUE!</v>
      </c>
      <c r="J1664" t="str">
        <f>MAIN!A1669&amp;"B"</f>
        <v>B</v>
      </c>
      <c r="K1664" s="12" t="e">
        <f t="shared" si="103"/>
        <v>#VALUE!</v>
      </c>
      <c r="L1664" t="str">
        <f>MAIN!C1669</f>
        <v/>
      </c>
    </row>
    <row r="1665" spans="1:12" x14ac:dyDescent="0.3">
      <c r="A1665">
        <f>IF(J1665="0",0,IF(COUNTIF($J$2:J1665,J1665)=1,1,0))</f>
        <v>0</v>
      </c>
      <c r="B1665" s="12" t="e">
        <f>MID(MAIN!A1670,K1665,2)</f>
        <v>#VALUE!</v>
      </c>
      <c r="C1665" s="12" t="e">
        <f t="shared" si="100"/>
        <v>#VALUE!</v>
      </c>
      <c r="D1665" s="12" t="e">
        <f>MID(MAIN!A1670,K1665+2,2)</f>
        <v>#VALUE!</v>
      </c>
      <c r="E1665" s="12" t="e">
        <f>MID(MAIN!A1670,K1665+4,2)</f>
        <v>#VALUE!</v>
      </c>
      <c r="F1665" s="2" t="e">
        <f t="shared" si="101"/>
        <v>#VALUE!</v>
      </c>
      <c r="G1665" s="13" t="e">
        <f t="shared" si="102"/>
        <v>#VALUE!</v>
      </c>
      <c r="J1665" t="str">
        <f>MAIN!A1670&amp;"B"</f>
        <v>B</v>
      </c>
      <c r="K1665" s="12" t="e">
        <f t="shared" si="103"/>
        <v>#VALUE!</v>
      </c>
      <c r="L1665" t="str">
        <f>MAIN!C1670</f>
        <v/>
      </c>
    </row>
    <row r="1666" spans="1:12" x14ac:dyDescent="0.3">
      <c r="A1666">
        <f>IF(J1666="0",0,IF(COUNTIF($J$2:J1666,J1666)=1,1,0))</f>
        <v>0</v>
      </c>
      <c r="B1666" s="12" t="e">
        <f>MID(MAIN!A1671,K1666,2)</f>
        <v>#VALUE!</v>
      </c>
      <c r="C1666" s="12" t="e">
        <f t="shared" si="100"/>
        <v>#VALUE!</v>
      </c>
      <c r="D1666" s="12" t="e">
        <f>MID(MAIN!A1671,K1666+2,2)</f>
        <v>#VALUE!</v>
      </c>
      <c r="E1666" s="12" t="e">
        <f>MID(MAIN!A1671,K1666+4,2)</f>
        <v>#VALUE!</v>
      </c>
      <c r="F1666" s="2" t="e">
        <f t="shared" si="101"/>
        <v>#VALUE!</v>
      </c>
      <c r="G1666" s="13" t="e">
        <f t="shared" si="102"/>
        <v>#VALUE!</v>
      </c>
      <c r="J1666" t="str">
        <f>MAIN!A1671&amp;"B"</f>
        <v>B</v>
      </c>
      <c r="K1666" s="12" t="e">
        <f t="shared" si="103"/>
        <v>#VALUE!</v>
      </c>
      <c r="L1666" t="str">
        <f>MAIN!C1671</f>
        <v/>
      </c>
    </row>
    <row r="1667" spans="1:12" x14ac:dyDescent="0.3">
      <c r="A1667">
        <f>IF(J1667="0",0,IF(COUNTIF($J$2:J1667,J1667)=1,1,0))</f>
        <v>0</v>
      </c>
      <c r="B1667" s="12" t="e">
        <f>MID(MAIN!A1672,K1667,2)</f>
        <v>#VALUE!</v>
      </c>
      <c r="C1667" s="12" t="e">
        <f t="shared" ref="C1667:C1730" si="104">"20"&amp;B1667</f>
        <v>#VALUE!</v>
      </c>
      <c r="D1667" s="12" t="e">
        <f>MID(MAIN!A1672,K1667+2,2)</f>
        <v>#VALUE!</v>
      </c>
      <c r="E1667" s="12" t="e">
        <f>MID(MAIN!A1672,K1667+4,2)</f>
        <v>#VALUE!</v>
      </c>
      <c r="F1667" s="2" t="e">
        <f t="shared" ref="F1667:F1730" si="105">C1667&amp;"/"&amp;D1667&amp;"/"&amp;E1667</f>
        <v>#VALUE!</v>
      </c>
      <c r="G1667" s="13" t="e">
        <f t="shared" ref="G1667:G1730" si="106">DATEVALUE(F1667)</f>
        <v>#VALUE!</v>
      </c>
      <c r="J1667" t="str">
        <f>MAIN!A1672&amp;"B"</f>
        <v>B</v>
      </c>
      <c r="K1667" s="12" t="e">
        <f t="shared" ref="K1667:K1730" si="107">FIND("172",J1667,30)+2</f>
        <v>#VALUE!</v>
      </c>
      <c r="L1667" t="str">
        <f>MAIN!C1672</f>
        <v/>
      </c>
    </row>
    <row r="1668" spans="1:12" x14ac:dyDescent="0.3">
      <c r="A1668">
        <f>IF(J1668="0",0,IF(COUNTIF($J$2:J1668,J1668)=1,1,0))</f>
        <v>0</v>
      </c>
      <c r="B1668" s="12" t="e">
        <f>MID(MAIN!A1673,K1668,2)</f>
        <v>#VALUE!</v>
      </c>
      <c r="C1668" s="12" t="e">
        <f t="shared" si="104"/>
        <v>#VALUE!</v>
      </c>
      <c r="D1668" s="12" t="e">
        <f>MID(MAIN!A1673,K1668+2,2)</f>
        <v>#VALUE!</v>
      </c>
      <c r="E1668" s="12" t="e">
        <f>MID(MAIN!A1673,K1668+4,2)</f>
        <v>#VALUE!</v>
      </c>
      <c r="F1668" s="2" t="e">
        <f t="shared" si="105"/>
        <v>#VALUE!</v>
      </c>
      <c r="G1668" s="13" t="e">
        <f t="shared" si="106"/>
        <v>#VALUE!</v>
      </c>
      <c r="J1668" t="str">
        <f>MAIN!A1673&amp;"B"</f>
        <v>B</v>
      </c>
      <c r="K1668" s="12" t="e">
        <f t="shared" si="107"/>
        <v>#VALUE!</v>
      </c>
      <c r="L1668" t="str">
        <f>MAIN!C1673</f>
        <v/>
      </c>
    </row>
    <row r="1669" spans="1:12" x14ac:dyDescent="0.3">
      <c r="A1669">
        <f>IF(J1669="0",0,IF(COUNTIF($J$2:J1669,J1669)=1,1,0))</f>
        <v>0</v>
      </c>
      <c r="B1669" s="12" t="e">
        <f>MID(MAIN!A1674,K1669,2)</f>
        <v>#VALUE!</v>
      </c>
      <c r="C1669" s="12" t="e">
        <f t="shared" si="104"/>
        <v>#VALUE!</v>
      </c>
      <c r="D1669" s="12" t="e">
        <f>MID(MAIN!A1674,K1669+2,2)</f>
        <v>#VALUE!</v>
      </c>
      <c r="E1669" s="12" t="e">
        <f>MID(MAIN!A1674,K1669+4,2)</f>
        <v>#VALUE!</v>
      </c>
      <c r="F1669" s="2" t="e">
        <f t="shared" si="105"/>
        <v>#VALUE!</v>
      </c>
      <c r="G1669" s="13" t="e">
        <f t="shared" si="106"/>
        <v>#VALUE!</v>
      </c>
      <c r="J1669" t="str">
        <f>MAIN!A1674&amp;"B"</f>
        <v>B</v>
      </c>
      <c r="K1669" s="12" t="e">
        <f t="shared" si="107"/>
        <v>#VALUE!</v>
      </c>
      <c r="L1669" t="str">
        <f>MAIN!C1674</f>
        <v/>
      </c>
    </row>
    <row r="1670" spans="1:12" x14ac:dyDescent="0.3">
      <c r="A1670">
        <f>IF(J1670="0",0,IF(COUNTIF($J$2:J1670,J1670)=1,1,0))</f>
        <v>0</v>
      </c>
      <c r="B1670" s="12" t="e">
        <f>MID(MAIN!A1675,K1670,2)</f>
        <v>#VALUE!</v>
      </c>
      <c r="C1670" s="12" t="e">
        <f t="shared" si="104"/>
        <v>#VALUE!</v>
      </c>
      <c r="D1670" s="12" t="e">
        <f>MID(MAIN!A1675,K1670+2,2)</f>
        <v>#VALUE!</v>
      </c>
      <c r="E1670" s="12" t="e">
        <f>MID(MAIN!A1675,K1670+4,2)</f>
        <v>#VALUE!</v>
      </c>
      <c r="F1670" s="2" t="e">
        <f t="shared" si="105"/>
        <v>#VALUE!</v>
      </c>
      <c r="G1670" s="13" t="e">
        <f t="shared" si="106"/>
        <v>#VALUE!</v>
      </c>
      <c r="J1670" t="str">
        <f>MAIN!A1675&amp;"B"</f>
        <v>B</v>
      </c>
      <c r="K1670" s="12" t="e">
        <f t="shared" si="107"/>
        <v>#VALUE!</v>
      </c>
      <c r="L1670" t="str">
        <f>MAIN!C1675</f>
        <v/>
      </c>
    </row>
    <row r="1671" spans="1:12" x14ac:dyDescent="0.3">
      <c r="A1671">
        <f>IF(J1671="0",0,IF(COUNTIF($J$2:J1671,J1671)=1,1,0))</f>
        <v>0</v>
      </c>
      <c r="B1671" s="12" t="e">
        <f>MID(MAIN!A1676,K1671,2)</f>
        <v>#VALUE!</v>
      </c>
      <c r="C1671" s="12" t="e">
        <f t="shared" si="104"/>
        <v>#VALUE!</v>
      </c>
      <c r="D1671" s="12" t="e">
        <f>MID(MAIN!A1676,K1671+2,2)</f>
        <v>#VALUE!</v>
      </c>
      <c r="E1671" s="12" t="e">
        <f>MID(MAIN!A1676,K1671+4,2)</f>
        <v>#VALUE!</v>
      </c>
      <c r="F1671" s="2" t="e">
        <f t="shared" si="105"/>
        <v>#VALUE!</v>
      </c>
      <c r="G1671" s="13" t="e">
        <f t="shared" si="106"/>
        <v>#VALUE!</v>
      </c>
      <c r="J1671" t="str">
        <f>MAIN!A1676&amp;"B"</f>
        <v>B</v>
      </c>
      <c r="K1671" s="12" t="e">
        <f t="shared" si="107"/>
        <v>#VALUE!</v>
      </c>
      <c r="L1671" t="str">
        <f>MAIN!C1676</f>
        <v/>
      </c>
    </row>
    <row r="1672" spans="1:12" x14ac:dyDescent="0.3">
      <c r="A1672">
        <f>IF(J1672="0",0,IF(COUNTIF($J$2:J1672,J1672)=1,1,0))</f>
        <v>0</v>
      </c>
      <c r="B1672" s="12" t="e">
        <f>MID(MAIN!A1677,K1672,2)</f>
        <v>#VALUE!</v>
      </c>
      <c r="C1672" s="12" t="e">
        <f t="shared" si="104"/>
        <v>#VALUE!</v>
      </c>
      <c r="D1672" s="12" t="e">
        <f>MID(MAIN!A1677,K1672+2,2)</f>
        <v>#VALUE!</v>
      </c>
      <c r="E1672" s="12" t="e">
        <f>MID(MAIN!A1677,K1672+4,2)</f>
        <v>#VALUE!</v>
      </c>
      <c r="F1672" s="2" t="e">
        <f t="shared" si="105"/>
        <v>#VALUE!</v>
      </c>
      <c r="G1672" s="13" t="e">
        <f t="shared" si="106"/>
        <v>#VALUE!</v>
      </c>
      <c r="J1672" t="str">
        <f>MAIN!A1677&amp;"B"</f>
        <v>B</v>
      </c>
      <c r="K1672" s="12" t="e">
        <f t="shared" si="107"/>
        <v>#VALUE!</v>
      </c>
      <c r="L1672" t="str">
        <f>MAIN!C1677</f>
        <v/>
      </c>
    </row>
    <row r="1673" spans="1:12" x14ac:dyDescent="0.3">
      <c r="A1673">
        <f>IF(J1673="0",0,IF(COUNTIF($J$2:J1673,J1673)=1,1,0))</f>
        <v>0</v>
      </c>
      <c r="B1673" s="12" t="e">
        <f>MID(MAIN!A1678,K1673,2)</f>
        <v>#VALUE!</v>
      </c>
      <c r="C1673" s="12" t="e">
        <f t="shared" si="104"/>
        <v>#VALUE!</v>
      </c>
      <c r="D1673" s="12" t="e">
        <f>MID(MAIN!A1678,K1673+2,2)</f>
        <v>#VALUE!</v>
      </c>
      <c r="E1673" s="12" t="e">
        <f>MID(MAIN!A1678,K1673+4,2)</f>
        <v>#VALUE!</v>
      </c>
      <c r="F1673" s="2" t="e">
        <f t="shared" si="105"/>
        <v>#VALUE!</v>
      </c>
      <c r="G1673" s="13" t="e">
        <f t="shared" si="106"/>
        <v>#VALUE!</v>
      </c>
      <c r="J1673" t="str">
        <f>MAIN!A1678&amp;"B"</f>
        <v>B</v>
      </c>
      <c r="K1673" s="12" t="e">
        <f t="shared" si="107"/>
        <v>#VALUE!</v>
      </c>
      <c r="L1673" t="str">
        <f>MAIN!C1678</f>
        <v/>
      </c>
    </row>
    <row r="1674" spans="1:12" x14ac:dyDescent="0.3">
      <c r="A1674">
        <f>IF(J1674="0",0,IF(COUNTIF($J$2:J1674,J1674)=1,1,0))</f>
        <v>0</v>
      </c>
      <c r="B1674" s="12" t="e">
        <f>MID(MAIN!A1679,K1674,2)</f>
        <v>#VALUE!</v>
      </c>
      <c r="C1674" s="12" t="e">
        <f t="shared" si="104"/>
        <v>#VALUE!</v>
      </c>
      <c r="D1674" s="12" t="e">
        <f>MID(MAIN!A1679,K1674+2,2)</f>
        <v>#VALUE!</v>
      </c>
      <c r="E1674" s="12" t="e">
        <f>MID(MAIN!A1679,K1674+4,2)</f>
        <v>#VALUE!</v>
      </c>
      <c r="F1674" s="2" t="e">
        <f t="shared" si="105"/>
        <v>#VALUE!</v>
      </c>
      <c r="G1674" s="13" t="e">
        <f t="shared" si="106"/>
        <v>#VALUE!</v>
      </c>
      <c r="J1674" t="str">
        <f>MAIN!A1679&amp;"B"</f>
        <v>B</v>
      </c>
      <c r="K1674" s="12" t="e">
        <f t="shared" si="107"/>
        <v>#VALUE!</v>
      </c>
      <c r="L1674" t="str">
        <f>MAIN!C1679</f>
        <v/>
      </c>
    </row>
    <row r="1675" spans="1:12" x14ac:dyDescent="0.3">
      <c r="A1675">
        <f>IF(J1675="0",0,IF(COUNTIF($J$2:J1675,J1675)=1,1,0))</f>
        <v>0</v>
      </c>
      <c r="B1675" s="12" t="e">
        <f>MID(MAIN!A1680,K1675,2)</f>
        <v>#VALUE!</v>
      </c>
      <c r="C1675" s="12" t="e">
        <f t="shared" si="104"/>
        <v>#VALUE!</v>
      </c>
      <c r="D1675" s="12" t="e">
        <f>MID(MAIN!A1680,K1675+2,2)</f>
        <v>#VALUE!</v>
      </c>
      <c r="E1675" s="12" t="e">
        <f>MID(MAIN!A1680,K1675+4,2)</f>
        <v>#VALUE!</v>
      </c>
      <c r="F1675" s="2" t="e">
        <f t="shared" si="105"/>
        <v>#VALUE!</v>
      </c>
      <c r="G1675" s="13" t="e">
        <f t="shared" si="106"/>
        <v>#VALUE!</v>
      </c>
      <c r="J1675" t="str">
        <f>MAIN!A1680&amp;"B"</f>
        <v>B</v>
      </c>
      <c r="K1675" s="12" t="e">
        <f t="shared" si="107"/>
        <v>#VALUE!</v>
      </c>
      <c r="L1675" t="str">
        <f>MAIN!C1680</f>
        <v/>
      </c>
    </row>
    <row r="1676" spans="1:12" x14ac:dyDescent="0.3">
      <c r="A1676">
        <f>IF(J1676="0",0,IF(COUNTIF($J$2:J1676,J1676)=1,1,0))</f>
        <v>0</v>
      </c>
      <c r="B1676" s="12" t="e">
        <f>MID(MAIN!A1681,K1676,2)</f>
        <v>#VALUE!</v>
      </c>
      <c r="C1676" s="12" t="e">
        <f t="shared" si="104"/>
        <v>#VALUE!</v>
      </c>
      <c r="D1676" s="12" t="e">
        <f>MID(MAIN!A1681,K1676+2,2)</f>
        <v>#VALUE!</v>
      </c>
      <c r="E1676" s="12" t="e">
        <f>MID(MAIN!A1681,K1676+4,2)</f>
        <v>#VALUE!</v>
      </c>
      <c r="F1676" s="2" t="e">
        <f t="shared" si="105"/>
        <v>#VALUE!</v>
      </c>
      <c r="G1676" s="13" t="e">
        <f t="shared" si="106"/>
        <v>#VALUE!</v>
      </c>
      <c r="J1676" t="str">
        <f>MAIN!A1681&amp;"B"</f>
        <v>B</v>
      </c>
      <c r="K1676" s="12" t="e">
        <f t="shared" si="107"/>
        <v>#VALUE!</v>
      </c>
      <c r="L1676" t="str">
        <f>MAIN!C1681</f>
        <v/>
      </c>
    </row>
    <row r="1677" spans="1:12" x14ac:dyDescent="0.3">
      <c r="A1677">
        <f>IF(J1677="0",0,IF(COUNTIF($J$2:J1677,J1677)=1,1,0))</f>
        <v>0</v>
      </c>
      <c r="B1677" s="12" t="e">
        <f>MID(MAIN!A1682,K1677,2)</f>
        <v>#VALUE!</v>
      </c>
      <c r="C1677" s="12" t="e">
        <f t="shared" si="104"/>
        <v>#VALUE!</v>
      </c>
      <c r="D1677" s="12" t="e">
        <f>MID(MAIN!A1682,K1677+2,2)</f>
        <v>#VALUE!</v>
      </c>
      <c r="E1677" s="12" t="e">
        <f>MID(MAIN!A1682,K1677+4,2)</f>
        <v>#VALUE!</v>
      </c>
      <c r="F1677" s="2" t="e">
        <f t="shared" si="105"/>
        <v>#VALUE!</v>
      </c>
      <c r="G1677" s="13" t="e">
        <f t="shared" si="106"/>
        <v>#VALUE!</v>
      </c>
      <c r="J1677" t="str">
        <f>MAIN!A1682&amp;"B"</f>
        <v>B</v>
      </c>
      <c r="K1677" s="12" t="e">
        <f t="shared" si="107"/>
        <v>#VALUE!</v>
      </c>
      <c r="L1677" t="str">
        <f>MAIN!C1682</f>
        <v/>
      </c>
    </row>
    <row r="1678" spans="1:12" x14ac:dyDescent="0.3">
      <c r="A1678">
        <f>IF(J1678="0",0,IF(COUNTIF($J$2:J1678,J1678)=1,1,0))</f>
        <v>0</v>
      </c>
      <c r="B1678" s="12" t="e">
        <f>MID(MAIN!A1683,K1678,2)</f>
        <v>#VALUE!</v>
      </c>
      <c r="C1678" s="12" t="e">
        <f t="shared" si="104"/>
        <v>#VALUE!</v>
      </c>
      <c r="D1678" s="12" t="e">
        <f>MID(MAIN!A1683,K1678+2,2)</f>
        <v>#VALUE!</v>
      </c>
      <c r="E1678" s="12" t="e">
        <f>MID(MAIN!A1683,K1678+4,2)</f>
        <v>#VALUE!</v>
      </c>
      <c r="F1678" s="2" t="e">
        <f t="shared" si="105"/>
        <v>#VALUE!</v>
      </c>
      <c r="G1678" s="13" t="e">
        <f t="shared" si="106"/>
        <v>#VALUE!</v>
      </c>
      <c r="J1678" t="str">
        <f>MAIN!A1683&amp;"B"</f>
        <v>B</v>
      </c>
      <c r="K1678" s="12" t="e">
        <f t="shared" si="107"/>
        <v>#VALUE!</v>
      </c>
      <c r="L1678" t="str">
        <f>MAIN!C1683</f>
        <v/>
      </c>
    </row>
    <row r="1679" spans="1:12" x14ac:dyDescent="0.3">
      <c r="A1679">
        <f>IF(J1679="0",0,IF(COUNTIF($J$2:J1679,J1679)=1,1,0))</f>
        <v>0</v>
      </c>
      <c r="B1679" s="12" t="e">
        <f>MID(MAIN!A1684,K1679,2)</f>
        <v>#VALUE!</v>
      </c>
      <c r="C1679" s="12" t="e">
        <f t="shared" si="104"/>
        <v>#VALUE!</v>
      </c>
      <c r="D1679" s="12" t="e">
        <f>MID(MAIN!A1684,K1679+2,2)</f>
        <v>#VALUE!</v>
      </c>
      <c r="E1679" s="12" t="e">
        <f>MID(MAIN!A1684,K1679+4,2)</f>
        <v>#VALUE!</v>
      </c>
      <c r="F1679" s="2" t="e">
        <f t="shared" si="105"/>
        <v>#VALUE!</v>
      </c>
      <c r="G1679" s="13" t="e">
        <f t="shared" si="106"/>
        <v>#VALUE!</v>
      </c>
      <c r="J1679" t="str">
        <f>MAIN!A1684&amp;"B"</f>
        <v>B</v>
      </c>
      <c r="K1679" s="12" t="e">
        <f t="shared" si="107"/>
        <v>#VALUE!</v>
      </c>
      <c r="L1679" t="str">
        <f>MAIN!C1684</f>
        <v/>
      </c>
    </row>
    <row r="1680" spans="1:12" x14ac:dyDescent="0.3">
      <c r="A1680">
        <f>IF(J1680="0",0,IF(COUNTIF($J$2:J1680,J1680)=1,1,0))</f>
        <v>0</v>
      </c>
      <c r="B1680" s="12" t="e">
        <f>MID(MAIN!A1685,K1680,2)</f>
        <v>#VALUE!</v>
      </c>
      <c r="C1680" s="12" t="e">
        <f t="shared" si="104"/>
        <v>#VALUE!</v>
      </c>
      <c r="D1680" s="12" t="e">
        <f>MID(MAIN!A1685,K1680+2,2)</f>
        <v>#VALUE!</v>
      </c>
      <c r="E1680" s="12" t="e">
        <f>MID(MAIN!A1685,K1680+4,2)</f>
        <v>#VALUE!</v>
      </c>
      <c r="F1680" s="2" t="e">
        <f t="shared" si="105"/>
        <v>#VALUE!</v>
      </c>
      <c r="G1680" s="13" t="e">
        <f t="shared" si="106"/>
        <v>#VALUE!</v>
      </c>
      <c r="J1680" t="str">
        <f>MAIN!A1685&amp;"B"</f>
        <v>B</v>
      </c>
      <c r="K1680" s="12" t="e">
        <f t="shared" si="107"/>
        <v>#VALUE!</v>
      </c>
      <c r="L1680" t="str">
        <f>MAIN!C1685</f>
        <v/>
      </c>
    </row>
    <row r="1681" spans="1:12" x14ac:dyDescent="0.3">
      <c r="A1681">
        <f>IF(J1681="0",0,IF(COUNTIF($J$2:J1681,J1681)=1,1,0))</f>
        <v>0</v>
      </c>
      <c r="B1681" s="12" t="e">
        <f>MID(MAIN!A1686,K1681,2)</f>
        <v>#VALUE!</v>
      </c>
      <c r="C1681" s="12" t="e">
        <f t="shared" si="104"/>
        <v>#VALUE!</v>
      </c>
      <c r="D1681" s="12" t="e">
        <f>MID(MAIN!A1686,K1681+2,2)</f>
        <v>#VALUE!</v>
      </c>
      <c r="E1681" s="12" t="e">
        <f>MID(MAIN!A1686,K1681+4,2)</f>
        <v>#VALUE!</v>
      </c>
      <c r="F1681" s="2" t="e">
        <f t="shared" si="105"/>
        <v>#VALUE!</v>
      </c>
      <c r="G1681" s="13" t="e">
        <f t="shared" si="106"/>
        <v>#VALUE!</v>
      </c>
      <c r="J1681" t="str">
        <f>MAIN!A1686&amp;"B"</f>
        <v>B</v>
      </c>
      <c r="K1681" s="12" t="e">
        <f t="shared" si="107"/>
        <v>#VALUE!</v>
      </c>
      <c r="L1681" t="str">
        <f>MAIN!C1686</f>
        <v/>
      </c>
    </row>
    <row r="1682" spans="1:12" x14ac:dyDescent="0.3">
      <c r="A1682">
        <f>IF(J1682="0",0,IF(COUNTIF($J$2:J1682,J1682)=1,1,0))</f>
        <v>0</v>
      </c>
      <c r="B1682" s="12" t="e">
        <f>MID(MAIN!A1687,K1682,2)</f>
        <v>#VALUE!</v>
      </c>
      <c r="C1682" s="12" t="e">
        <f t="shared" si="104"/>
        <v>#VALUE!</v>
      </c>
      <c r="D1682" s="12" t="e">
        <f>MID(MAIN!A1687,K1682+2,2)</f>
        <v>#VALUE!</v>
      </c>
      <c r="E1682" s="12" t="e">
        <f>MID(MAIN!A1687,K1682+4,2)</f>
        <v>#VALUE!</v>
      </c>
      <c r="F1682" s="2" t="e">
        <f t="shared" si="105"/>
        <v>#VALUE!</v>
      </c>
      <c r="G1682" s="13" t="e">
        <f t="shared" si="106"/>
        <v>#VALUE!</v>
      </c>
      <c r="J1682" t="str">
        <f>MAIN!A1687&amp;"B"</f>
        <v>B</v>
      </c>
      <c r="K1682" s="12" t="e">
        <f t="shared" si="107"/>
        <v>#VALUE!</v>
      </c>
      <c r="L1682" t="str">
        <f>MAIN!C1687</f>
        <v/>
      </c>
    </row>
    <row r="1683" spans="1:12" x14ac:dyDescent="0.3">
      <c r="A1683">
        <f>IF(J1683="0",0,IF(COUNTIF($J$2:J1683,J1683)=1,1,0))</f>
        <v>0</v>
      </c>
      <c r="B1683" s="12" t="e">
        <f>MID(MAIN!A1688,K1683,2)</f>
        <v>#VALUE!</v>
      </c>
      <c r="C1683" s="12" t="e">
        <f t="shared" si="104"/>
        <v>#VALUE!</v>
      </c>
      <c r="D1683" s="12" t="e">
        <f>MID(MAIN!A1688,K1683+2,2)</f>
        <v>#VALUE!</v>
      </c>
      <c r="E1683" s="12" t="e">
        <f>MID(MAIN!A1688,K1683+4,2)</f>
        <v>#VALUE!</v>
      </c>
      <c r="F1683" s="2" t="e">
        <f t="shared" si="105"/>
        <v>#VALUE!</v>
      </c>
      <c r="G1683" s="13" t="e">
        <f t="shared" si="106"/>
        <v>#VALUE!</v>
      </c>
      <c r="J1683" t="str">
        <f>MAIN!A1688&amp;"B"</f>
        <v>B</v>
      </c>
      <c r="K1683" s="12" t="e">
        <f t="shared" si="107"/>
        <v>#VALUE!</v>
      </c>
      <c r="L1683" t="str">
        <f>MAIN!C1688</f>
        <v/>
      </c>
    </row>
    <row r="1684" spans="1:12" x14ac:dyDescent="0.3">
      <c r="A1684">
        <f>IF(J1684="0",0,IF(COUNTIF($J$2:J1684,J1684)=1,1,0))</f>
        <v>0</v>
      </c>
      <c r="B1684" s="12" t="e">
        <f>MID(MAIN!A1689,K1684,2)</f>
        <v>#VALUE!</v>
      </c>
      <c r="C1684" s="12" t="e">
        <f t="shared" si="104"/>
        <v>#VALUE!</v>
      </c>
      <c r="D1684" s="12" t="e">
        <f>MID(MAIN!A1689,K1684+2,2)</f>
        <v>#VALUE!</v>
      </c>
      <c r="E1684" s="12" t="e">
        <f>MID(MAIN!A1689,K1684+4,2)</f>
        <v>#VALUE!</v>
      </c>
      <c r="F1684" s="2" t="e">
        <f t="shared" si="105"/>
        <v>#VALUE!</v>
      </c>
      <c r="G1684" s="13" t="e">
        <f t="shared" si="106"/>
        <v>#VALUE!</v>
      </c>
      <c r="J1684" t="str">
        <f>MAIN!A1689&amp;"B"</f>
        <v>B</v>
      </c>
      <c r="K1684" s="12" t="e">
        <f t="shared" si="107"/>
        <v>#VALUE!</v>
      </c>
      <c r="L1684" t="str">
        <f>MAIN!C1689</f>
        <v/>
      </c>
    </row>
    <row r="1685" spans="1:12" x14ac:dyDescent="0.3">
      <c r="A1685">
        <f>IF(J1685="0",0,IF(COUNTIF($J$2:J1685,J1685)=1,1,0))</f>
        <v>0</v>
      </c>
      <c r="B1685" s="12" t="e">
        <f>MID(MAIN!A1690,K1685,2)</f>
        <v>#VALUE!</v>
      </c>
      <c r="C1685" s="12" t="e">
        <f t="shared" si="104"/>
        <v>#VALUE!</v>
      </c>
      <c r="D1685" s="12" t="e">
        <f>MID(MAIN!A1690,K1685+2,2)</f>
        <v>#VALUE!</v>
      </c>
      <c r="E1685" s="12" t="e">
        <f>MID(MAIN!A1690,K1685+4,2)</f>
        <v>#VALUE!</v>
      </c>
      <c r="F1685" s="2" t="e">
        <f t="shared" si="105"/>
        <v>#VALUE!</v>
      </c>
      <c r="G1685" s="13" t="e">
        <f t="shared" si="106"/>
        <v>#VALUE!</v>
      </c>
      <c r="J1685" t="str">
        <f>MAIN!A1690&amp;"B"</f>
        <v>B</v>
      </c>
      <c r="K1685" s="12" t="e">
        <f t="shared" si="107"/>
        <v>#VALUE!</v>
      </c>
      <c r="L1685" t="str">
        <f>MAIN!C1690</f>
        <v/>
      </c>
    </row>
    <row r="1686" spans="1:12" x14ac:dyDescent="0.3">
      <c r="A1686">
        <f>IF(J1686="0",0,IF(COUNTIF($J$2:J1686,J1686)=1,1,0))</f>
        <v>0</v>
      </c>
      <c r="B1686" s="12" t="e">
        <f>MID(MAIN!A1691,K1686,2)</f>
        <v>#VALUE!</v>
      </c>
      <c r="C1686" s="12" t="e">
        <f t="shared" si="104"/>
        <v>#VALUE!</v>
      </c>
      <c r="D1686" s="12" t="e">
        <f>MID(MAIN!A1691,K1686+2,2)</f>
        <v>#VALUE!</v>
      </c>
      <c r="E1686" s="12" t="e">
        <f>MID(MAIN!A1691,K1686+4,2)</f>
        <v>#VALUE!</v>
      </c>
      <c r="F1686" s="2" t="e">
        <f t="shared" si="105"/>
        <v>#VALUE!</v>
      </c>
      <c r="G1686" s="13" t="e">
        <f t="shared" si="106"/>
        <v>#VALUE!</v>
      </c>
      <c r="J1686" t="str">
        <f>MAIN!A1691&amp;"B"</f>
        <v>B</v>
      </c>
      <c r="K1686" s="12" t="e">
        <f t="shared" si="107"/>
        <v>#VALUE!</v>
      </c>
      <c r="L1686" t="str">
        <f>MAIN!C1691</f>
        <v/>
      </c>
    </row>
    <row r="1687" spans="1:12" x14ac:dyDescent="0.3">
      <c r="A1687">
        <f>IF(J1687="0",0,IF(COUNTIF($J$2:J1687,J1687)=1,1,0))</f>
        <v>0</v>
      </c>
      <c r="B1687" s="12" t="e">
        <f>MID(MAIN!A1692,K1687,2)</f>
        <v>#VALUE!</v>
      </c>
      <c r="C1687" s="12" t="e">
        <f t="shared" si="104"/>
        <v>#VALUE!</v>
      </c>
      <c r="D1687" s="12" t="e">
        <f>MID(MAIN!A1692,K1687+2,2)</f>
        <v>#VALUE!</v>
      </c>
      <c r="E1687" s="12" t="e">
        <f>MID(MAIN!A1692,K1687+4,2)</f>
        <v>#VALUE!</v>
      </c>
      <c r="F1687" s="2" t="e">
        <f t="shared" si="105"/>
        <v>#VALUE!</v>
      </c>
      <c r="G1687" s="13" t="e">
        <f t="shared" si="106"/>
        <v>#VALUE!</v>
      </c>
      <c r="J1687" t="str">
        <f>MAIN!A1692&amp;"B"</f>
        <v>B</v>
      </c>
      <c r="K1687" s="12" t="e">
        <f t="shared" si="107"/>
        <v>#VALUE!</v>
      </c>
      <c r="L1687" t="str">
        <f>MAIN!C1692</f>
        <v/>
      </c>
    </row>
    <row r="1688" spans="1:12" x14ac:dyDescent="0.3">
      <c r="A1688">
        <f>IF(J1688="0",0,IF(COUNTIF($J$2:J1688,J1688)=1,1,0))</f>
        <v>0</v>
      </c>
      <c r="B1688" s="12" t="e">
        <f>MID(MAIN!A1693,K1688,2)</f>
        <v>#VALUE!</v>
      </c>
      <c r="C1688" s="12" t="e">
        <f t="shared" si="104"/>
        <v>#VALUE!</v>
      </c>
      <c r="D1688" s="12" t="e">
        <f>MID(MAIN!A1693,K1688+2,2)</f>
        <v>#VALUE!</v>
      </c>
      <c r="E1688" s="12" t="e">
        <f>MID(MAIN!A1693,K1688+4,2)</f>
        <v>#VALUE!</v>
      </c>
      <c r="F1688" s="2" t="e">
        <f t="shared" si="105"/>
        <v>#VALUE!</v>
      </c>
      <c r="G1688" s="13" t="e">
        <f t="shared" si="106"/>
        <v>#VALUE!</v>
      </c>
      <c r="J1688" t="str">
        <f>MAIN!A1693&amp;"B"</f>
        <v>B</v>
      </c>
      <c r="K1688" s="12" t="e">
        <f t="shared" si="107"/>
        <v>#VALUE!</v>
      </c>
      <c r="L1688" t="str">
        <f>MAIN!C1693</f>
        <v/>
      </c>
    </row>
    <row r="1689" spans="1:12" x14ac:dyDescent="0.3">
      <c r="A1689">
        <f>IF(J1689="0",0,IF(COUNTIF($J$2:J1689,J1689)=1,1,0))</f>
        <v>0</v>
      </c>
      <c r="B1689" s="12" t="e">
        <f>MID(MAIN!A1694,K1689,2)</f>
        <v>#VALUE!</v>
      </c>
      <c r="C1689" s="12" t="e">
        <f t="shared" si="104"/>
        <v>#VALUE!</v>
      </c>
      <c r="D1689" s="12" t="e">
        <f>MID(MAIN!A1694,K1689+2,2)</f>
        <v>#VALUE!</v>
      </c>
      <c r="E1689" s="12" t="e">
        <f>MID(MAIN!A1694,K1689+4,2)</f>
        <v>#VALUE!</v>
      </c>
      <c r="F1689" s="2" t="e">
        <f t="shared" si="105"/>
        <v>#VALUE!</v>
      </c>
      <c r="G1689" s="13" t="e">
        <f t="shared" si="106"/>
        <v>#VALUE!</v>
      </c>
      <c r="J1689" t="str">
        <f>MAIN!A1694&amp;"B"</f>
        <v>B</v>
      </c>
      <c r="K1689" s="12" t="e">
        <f t="shared" si="107"/>
        <v>#VALUE!</v>
      </c>
      <c r="L1689" t="str">
        <f>MAIN!C1694</f>
        <v/>
      </c>
    </row>
    <row r="1690" spans="1:12" x14ac:dyDescent="0.3">
      <c r="A1690">
        <f>IF(J1690="0",0,IF(COUNTIF($J$2:J1690,J1690)=1,1,0))</f>
        <v>0</v>
      </c>
      <c r="B1690" s="12" t="e">
        <f>MID(MAIN!A1695,K1690,2)</f>
        <v>#VALUE!</v>
      </c>
      <c r="C1690" s="12" t="e">
        <f t="shared" si="104"/>
        <v>#VALUE!</v>
      </c>
      <c r="D1690" s="12" t="e">
        <f>MID(MAIN!A1695,K1690+2,2)</f>
        <v>#VALUE!</v>
      </c>
      <c r="E1690" s="12" t="e">
        <f>MID(MAIN!A1695,K1690+4,2)</f>
        <v>#VALUE!</v>
      </c>
      <c r="F1690" s="2" t="e">
        <f t="shared" si="105"/>
        <v>#VALUE!</v>
      </c>
      <c r="G1690" s="13" t="e">
        <f t="shared" si="106"/>
        <v>#VALUE!</v>
      </c>
      <c r="J1690" t="str">
        <f>MAIN!A1695&amp;"B"</f>
        <v>B</v>
      </c>
      <c r="K1690" s="12" t="e">
        <f t="shared" si="107"/>
        <v>#VALUE!</v>
      </c>
      <c r="L1690" t="str">
        <f>MAIN!C1695</f>
        <v/>
      </c>
    </row>
    <row r="1691" spans="1:12" x14ac:dyDescent="0.3">
      <c r="A1691">
        <f>IF(J1691="0",0,IF(COUNTIF($J$2:J1691,J1691)=1,1,0))</f>
        <v>0</v>
      </c>
      <c r="B1691" s="12" t="e">
        <f>MID(MAIN!A1696,K1691,2)</f>
        <v>#VALUE!</v>
      </c>
      <c r="C1691" s="12" t="e">
        <f t="shared" si="104"/>
        <v>#VALUE!</v>
      </c>
      <c r="D1691" s="12" t="e">
        <f>MID(MAIN!A1696,K1691+2,2)</f>
        <v>#VALUE!</v>
      </c>
      <c r="E1691" s="12" t="e">
        <f>MID(MAIN!A1696,K1691+4,2)</f>
        <v>#VALUE!</v>
      </c>
      <c r="F1691" s="2" t="e">
        <f t="shared" si="105"/>
        <v>#VALUE!</v>
      </c>
      <c r="G1691" s="13" t="e">
        <f t="shared" si="106"/>
        <v>#VALUE!</v>
      </c>
      <c r="J1691" t="str">
        <f>MAIN!A1696&amp;"B"</f>
        <v>B</v>
      </c>
      <c r="K1691" s="12" t="e">
        <f t="shared" si="107"/>
        <v>#VALUE!</v>
      </c>
      <c r="L1691" t="str">
        <f>MAIN!C1696</f>
        <v/>
      </c>
    </row>
    <row r="1692" spans="1:12" x14ac:dyDescent="0.3">
      <c r="A1692">
        <f>IF(J1692="0",0,IF(COUNTIF($J$2:J1692,J1692)=1,1,0))</f>
        <v>0</v>
      </c>
      <c r="B1692" s="12" t="e">
        <f>MID(MAIN!A1697,K1692,2)</f>
        <v>#VALUE!</v>
      </c>
      <c r="C1692" s="12" t="e">
        <f t="shared" si="104"/>
        <v>#VALUE!</v>
      </c>
      <c r="D1692" s="12" t="e">
        <f>MID(MAIN!A1697,K1692+2,2)</f>
        <v>#VALUE!</v>
      </c>
      <c r="E1692" s="12" t="e">
        <f>MID(MAIN!A1697,K1692+4,2)</f>
        <v>#VALUE!</v>
      </c>
      <c r="F1692" s="2" t="e">
        <f t="shared" si="105"/>
        <v>#VALUE!</v>
      </c>
      <c r="G1692" s="13" t="e">
        <f t="shared" si="106"/>
        <v>#VALUE!</v>
      </c>
      <c r="J1692" t="str">
        <f>MAIN!A1697&amp;"B"</f>
        <v>B</v>
      </c>
      <c r="K1692" s="12" t="e">
        <f t="shared" si="107"/>
        <v>#VALUE!</v>
      </c>
      <c r="L1692" t="str">
        <f>MAIN!C1697</f>
        <v/>
      </c>
    </row>
    <row r="1693" spans="1:12" x14ac:dyDescent="0.3">
      <c r="A1693">
        <f>IF(J1693="0",0,IF(COUNTIF($J$2:J1693,J1693)=1,1,0))</f>
        <v>0</v>
      </c>
      <c r="B1693" s="12" t="e">
        <f>MID(MAIN!A1698,K1693,2)</f>
        <v>#VALUE!</v>
      </c>
      <c r="C1693" s="12" t="e">
        <f t="shared" si="104"/>
        <v>#VALUE!</v>
      </c>
      <c r="D1693" s="12" t="e">
        <f>MID(MAIN!A1698,K1693+2,2)</f>
        <v>#VALUE!</v>
      </c>
      <c r="E1693" s="12" t="e">
        <f>MID(MAIN!A1698,K1693+4,2)</f>
        <v>#VALUE!</v>
      </c>
      <c r="F1693" s="2" t="e">
        <f t="shared" si="105"/>
        <v>#VALUE!</v>
      </c>
      <c r="G1693" s="13" t="e">
        <f t="shared" si="106"/>
        <v>#VALUE!</v>
      </c>
      <c r="J1693" t="str">
        <f>MAIN!A1698&amp;"B"</f>
        <v>B</v>
      </c>
      <c r="K1693" s="12" t="e">
        <f t="shared" si="107"/>
        <v>#VALUE!</v>
      </c>
      <c r="L1693" t="str">
        <f>MAIN!C1698</f>
        <v/>
      </c>
    </row>
    <row r="1694" spans="1:12" x14ac:dyDescent="0.3">
      <c r="A1694">
        <f>IF(J1694="0",0,IF(COUNTIF($J$2:J1694,J1694)=1,1,0))</f>
        <v>0</v>
      </c>
      <c r="B1694" s="12" t="e">
        <f>MID(MAIN!A1699,K1694,2)</f>
        <v>#VALUE!</v>
      </c>
      <c r="C1694" s="12" t="e">
        <f t="shared" si="104"/>
        <v>#VALUE!</v>
      </c>
      <c r="D1694" s="12" t="e">
        <f>MID(MAIN!A1699,K1694+2,2)</f>
        <v>#VALUE!</v>
      </c>
      <c r="E1694" s="12" t="e">
        <f>MID(MAIN!A1699,K1694+4,2)</f>
        <v>#VALUE!</v>
      </c>
      <c r="F1694" s="2" t="e">
        <f t="shared" si="105"/>
        <v>#VALUE!</v>
      </c>
      <c r="G1694" s="13" t="e">
        <f t="shared" si="106"/>
        <v>#VALUE!</v>
      </c>
      <c r="J1694" t="str">
        <f>MAIN!A1699&amp;"B"</f>
        <v>B</v>
      </c>
      <c r="K1694" s="12" t="e">
        <f t="shared" si="107"/>
        <v>#VALUE!</v>
      </c>
      <c r="L1694" t="str">
        <f>MAIN!C1699</f>
        <v/>
      </c>
    </row>
    <row r="1695" spans="1:12" x14ac:dyDescent="0.3">
      <c r="A1695">
        <f>IF(J1695="0",0,IF(COUNTIF($J$2:J1695,J1695)=1,1,0))</f>
        <v>0</v>
      </c>
      <c r="B1695" s="12" t="e">
        <f>MID(MAIN!A1700,K1695,2)</f>
        <v>#VALUE!</v>
      </c>
      <c r="C1695" s="12" t="e">
        <f t="shared" si="104"/>
        <v>#VALUE!</v>
      </c>
      <c r="D1695" s="12" t="e">
        <f>MID(MAIN!A1700,K1695+2,2)</f>
        <v>#VALUE!</v>
      </c>
      <c r="E1695" s="12" t="e">
        <f>MID(MAIN!A1700,K1695+4,2)</f>
        <v>#VALUE!</v>
      </c>
      <c r="F1695" s="2" t="e">
        <f t="shared" si="105"/>
        <v>#VALUE!</v>
      </c>
      <c r="G1695" s="13" t="e">
        <f t="shared" si="106"/>
        <v>#VALUE!</v>
      </c>
      <c r="J1695" t="str">
        <f>MAIN!A1700&amp;"B"</f>
        <v>B</v>
      </c>
      <c r="K1695" s="12" t="e">
        <f t="shared" si="107"/>
        <v>#VALUE!</v>
      </c>
      <c r="L1695" t="str">
        <f>MAIN!C1700</f>
        <v/>
      </c>
    </row>
    <row r="1696" spans="1:12" x14ac:dyDescent="0.3">
      <c r="A1696">
        <f>IF(J1696="0",0,IF(COUNTIF($J$2:J1696,J1696)=1,1,0))</f>
        <v>0</v>
      </c>
      <c r="B1696" s="12" t="e">
        <f>MID(MAIN!A1701,K1696,2)</f>
        <v>#VALUE!</v>
      </c>
      <c r="C1696" s="12" t="e">
        <f t="shared" si="104"/>
        <v>#VALUE!</v>
      </c>
      <c r="D1696" s="12" t="e">
        <f>MID(MAIN!A1701,K1696+2,2)</f>
        <v>#VALUE!</v>
      </c>
      <c r="E1696" s="12" t="e">
        <f>MID(MAIN!A1701,K1696+4,2)</f>
        <v>#VALUE!</v>
      </c>
      <c r="F1696" s="2" t="e">
        <f t="shared" si="105"/>
        <v>#VALUE!</v>
      </c>
      <c r="G1696" s="13" t="e">
        <f t="shared" si="106"/>
        <v>#VALUE!</v>
      </c>
      <c r="J1696" t="str">
        <f>MAIN!A1701&amp;"B"</f>
        <v>B</v>
      </c>
      <c r="K1696" s="12" t="e">
        <f t="shared" si="107"/>
        <v>#VALUE!</v>
      </c>
      <c r="L1696" t="str">
        <f>MAIN!C1701</f>
        <v/>
      </c>
    </row>
    <row r="1697" spans="1:12" x14ac:dyDescent="0.3">
      <c r="A1697">
        <f>IF(J1697="0",0,IF(COUNTIF($J$2:J1697,J1697)=1,1,0))</f>
        <v>0</v>
      </c>
      <c r="B1697" s="12" t="e">
        <f>MID(MAIN!A1702,K1697,2)</f>
        <v>#VALUE!</v>
      </c>
      <c r="C1697" s="12" t="e">
        <f t="shared" si="104"/>
        <v>#VALUE!</v>
      </c>
      <c r="D1697" s="12" t="e">
        <f>MID(MAIN!A1702,K1697+2,2)</f>
        <v>#VALUE!</v>
      </c>
      <c r="E1697" s="12" t="e">
        <f>MID(MAIN!A1702,K1697+4,2)</f>
        <v>#VALUE!</v>
      </c>
      <c r="F1697" s="2" t="e">
        <f t="shared" si="105"/>
        <v>#VALUE!</v>
      </c>
      <c r="G1697" s="13" t="e">
        <f t="shared" si="106"/>
        <v>#VALUE!</v>
      </c>
      <c r="J1697" t="str">
        <f>MAIN!A1702&amp;"B"</f>
        <v>B</v>
      </c>
      <c r="K1697" s="12" t="e">
        <f t="shared" si="107"/>
        <v>#VALUE!</v>
      </c>
      <c r="L1697" t="str">
        <f>MAIN!C1702</f>
        <v/>
      </c>
    </row>
    <row r="1698" spans="1:12" x14ac:dyDescent="0.3">
      <c r="A1698">
        <f>IF(J1698="0",0,IF(COUNTIF($J$2:J1698,J1698)=1,1,0))</f>
        <v>0</v>
      </c>
      <c r="B1698" s="12" t="e">
        <f>MID(MAIN!A1703,K1698,2)</f>
        <v>#VALUE!</v>
      </c>
      <c r="C1698" s="12" t="e">
        <f t="shared" si="104"/>
        <v>#VALUE!</v>
      </c>
      <c r="D1698" s="12" t="e">
        <f>MID(MAIN!A1703,K1698+2,2)</f>
        <v>#VALUE!</v>
      </c>
      <c r="E1698" s="12" t="e">
        <f>MID(MAIN!A1703,K1698+4,2)</f>
        <v>#VALUE!</v>
      </c>
      <c r="F1698" s="2" t="e">
        <f t="shared" si="105"/>
        <v>#VALUE!</v>
      </c>
      <c r="G1698" s="13" t="e">
        <f t="shared" si="106"/>
        <v>#VALUE!</v>
      </c>
      <c r="J1698" t="str">
        <f>MAIN!A1703&amp;"B"</f>
        <v>B</v>
      </c>
      <c r="K1698" s="12" t="e">
        <f t="shared" si="107"/>
        <v>#VALUE!</v>
      </c>
      <c r="L1698" t="str">
        <f>MAIN!C1703</f>
        <v/>
      </c>
    </row>
    <row r="1699" spans="1:12" x14ac:dyDescent="0.3">
      <c r="A1699">
        <f>IF(J1699="0",0,IF(COUNTIF($J$2:J1699,J1699)=1,1,0))</f>
        <v>0</v>
      </c>
      <c r="B1699" s="12" t="e">
        <f>MID(MAIN!A1704,K1699,2)</f>
        <v>#VALUE!</v>
      </c>
      <c r="C1699" s="12" t="e">
        <f t="shared" si="104"/>
        <v>#VALUE!</v>
      </c>
      <c r="D1699" s="12" t="e">
        <f>MID(MAIN!A1704,K1699+2,2)</f>
        <v>#VALUE!</v>
      </c>
      <c r="E1699" s="12" t="e">
        <f>MID(MAIN!A1704,K1699+4,2)</f>
        <v>#VALUE!</v>
      </c>
      <c r="F1699" s="2" t="e">
        <f t="shared" si="105"/>
        <v>#VALUE!</v>
      </c>
      <c r="G1699" s="13" t="e">
        <f t="shared" si="106"/>
        <v>#VALUE!</v>
      </c>
      <c r="J1699" t="str">
        <f>MAIN!A1704&amp;"B"</f>
        <v>B</v>
      </c>
      <c r="K1699" s="12" t="e">
        <f t="shared" si="107"/>
        <v>#VALUE!</v>
      </c>
      <c r="L1699" t="str">
        <f>MAIN!C1704</f>
        <v/>
      </c>
    </row>
    <row r="1700" spans="1:12" x14ac:dyDescent="0.3">
      <c r="A1700">
        <f>IF(J1700="0",0,IF(COUNTIF($J$2:J1700,J1700)=1,1,0))</f>
        <v>0</v>
      </c>
      <c r="B1700" s="12" t="e">
        <f>MID(MAIN!A1705,K1700,2)</f>
        <v>#VALUE!</v>
      </c>
      <c r="C1700" s="12" t="e">
        <f t="shared" si="104"/>
        <v>#VALUE!</v>
      </c>
      <c r="D1700" s="12" t="e">
        <f>MID(MAIN!A1705,K1700+2,2)</f>
        <v>#VALUE!</v>
      </c>
      <c r="E1700" s="12" t="e">
        <f>MID(MAIN!A1705,K1700+4,2)</f>
        <v>#VALUE!</v>
      </c>
      <c r="F1700" s="2" t="e">
        <f t="shared" si="105"/>
        <v>#VALUE!</v>
      </c>
      <c r="G1700" s="13" t="e">
        <f t="shared" si="106"/>
        <v>#VALUE!</v>
      </c>
      <c r="J1700" t="str">
        <f>MAIN!A1705&amp;"B"</f>
        <v>B</v>
      </c>
      <c r="K1700" s="12" t="e">
        <f t="shared" si="107"/>
        <v>#VALUE!</v>
      </c>
      <c r="L1700" t="str">
        <f>MAIN!C1705</f>
        <v/>
      </c>
    </row>
    <row r="1701" spans="1:12" x14ac:dyDescent="0.3">
      <c r="A1701">
        <f>IF(J1701="0",0,IF(COUNTIF($J$2:J1701,J1701)=1,1,0))</f>
        <v>0</v>
      </c>
      <c r="B1701" s="12" t="e">
        <f>MID(MAIN!A1706,K1701,2)</f>
        <v>#VALUE!</v>
      </c>
      <c r="C1701" s="12" t="e">
        <f t="shared" si="104"/>
        <v>#VALUE!</v>
      </c>
      <c r="D1701" s="12" t="e">
        <f>MID(MAIN!A1706,K1701+2,2)</f>
        <v>#VALUE!</v>
      </c>
      <c r="E1701" s="12" t="e">
        <f>MID(MAIN!A1706,K1701+4,2)</f>
        <v>#VALUE!</v>
      </c>
      <c r="F1701" s="2" t="e">
        <f t="shared" si="105"/>
        <v>#VALUE!</v>
      </c>
      <c r="G1701" s="13" t="e">
        <f t="shared" si="106"/>
        <v>#VALUE!</v>
      </c>
      <c r="J1701" t="str">
        <f>MAIN!A1706&amp;"B"</f>
        <v>B</v>
      </c>
      <c r="K1701" s="12" t="e">
        <f t="shared" si="107"/>
        <v>#VALUE!</v>
      </c>
      <c r="L1701" t="str">
        <f>MAIN!C1706</f>
        <v/>
      </c>
    </row>
    <row r="1702" spans="1:12" x14ac:dyDescent="0.3">
      <c r="A1702">
        <f>IF(J1702="0",0,IF(COUNTIF($J$2:J1702,J1702)=1,1,0))</f>
        <v>0</v>
      </c>
      <c r="B1702" s="12" t="e">
        <f>MID(MAIN!A1707,K1702,2)</f>
        <v>#VALUE!</v>
      </c>
      <c r="C1702" s="12" t="e">
        <f t="shared" si="104"/>
        <v>#VALUE!</v>
      </c>
      <c r="D1702" s="12" t="e">
        <f>MID(MAIN!A1707,K1702+2,2)</f>
        <v>#VALUE!</v>
      </c>
      <c r="E1702" s="12" t="e">
        <f>MID(MAIN!A1707,K1702+4,2)</f>
        <v>#VALUE!</v>
      </c>
      <c r="F1702" s="2" t="e">
        <f t="shared" si="105"/>
        <v>#VALUE!</v>
      </c>
      <c r="G1702" s="13" t="e">
        <f t="shared" si="106"/>
        <v>#VALUE!</v>
      </c>
      <c r="J1702" t="str">
        <f>MAIN!A1707&amp;"B"</f>
        <v>B</v>
      </c>
      <c r="K1702" s="12" t="e">
        <f t="shared" si="107"/>
        <v>#VALUE!</v>
      </c>
      <c r="L1702" t="str">
        <f>MAIN!C1707</f>
        <v/>
      </c>
    </row>
    <row r="1703" spans="1:12" x14ac:dyDescent="0.3">
      <c r="A1703">
        <f>IF(J1703="0",0,IF(COUNTIF($J$2:J1703,J1703)=1,1,0))</f>
        <v>0</v>
      </c>
      <c r="B1703" s="12" t="e">
        <f>MID(MAIN!A1708,K1703,2)</f>
        <v>#VALUE!</v>
      </c>
      <c r="C1703" s="12" t="e">
        <f t="shared" si="104"/>
        <v>#VALUE!</v>
      </c>
      <c r="D1703" s="12" t="e">
        <f>MID(MAIN!A1708,K1703+2,2)</f>
        <v>#VALUE!</v>
      </c>
      <c r="E1703" s="12" t="e">
        <f>MID(MAIN!A1708,K1703+4,2)</f>
        <v>#VALUE!</v>
      </c>
      <c r="F1703" s="2" t="e">
        <f t="shared" si="105"/>
        <v>#VALUE!</v>
      </c>
      <c r="G1703" s="13" t="e">
        <f t="shared" si="106"/>
        <v>#VALUE!</v>
      </c>
      <c r="J1703" t="str">
        <f>MAIN!A1708&amp;"B"</f>
        <v>B</v>
      </c>
      <c r="K1703" s="12" t="e">
        <f t="shared" si="107"/>
        <v>#VALUE!</v>
      </c>
      <c r="L1703" t="str">
        <f>MAIN!C1708</f>
        <v/>
      </c>
    </row>
    <row r="1704" spans="1:12" x14ac:dyDescent="0.3">
      <c r="A1704">
        <f>IF(J1704="0",0,IF(COUNTIF($J$2:J1704,J1704)=1,1,0))</f>
        <v>0</v>
      </c>
      <c r="B1704" s="12" t="e">
        <f>MID(MAIN!A1709,K1704,2)</f>
        <v>#VALUE!</v>
      </c>
      <c r="C1704" s="12" t="e">
        <f t="shared" si="104"/>
        <v>#VALUE!</v>
      </c>
      <c r="D1704" s="12" t="e">
        <f>MID(MAIN!A1709,K1704+2,2)</f>
        <v>#VALUE!</v>
      </c>
      <c r="E1704" s="12" t="e">
        <f>MID(MAIN!A1709,K1704+4,2)</f>
        <v>#VALUE!</v>
      </c>
      <c r="F1704" s="2" t="e">
        <f t="shared" si="105"/>
        <v>#VALUE!</v>
      </c>
      <c r="G1704" s="13" t="e">
        <f t="shared" si="106"/>
        <v>#VALUE!</v>
      </c>
      <c r="J1704" t="str">
        <f>MAIN!A1709&amp;"B"</f>
        <v>B</v>
      </c>
      <c r="K1704" s="12" t="e">
        <f t="shared" si="107"/>
        <v>#VALUE!</v>
      </c>
      <c r="L1704" t="str">
        <f>MAIN!C1709</f>
        <v/>
      </c>
    </row>
    <row r="1705" spans="1:12" x14ac:dyDescent="0.3">
      <c r="A1705">
        <f>IF(J1705="0",0,IF(COUNTIF($J$2:J1705,J1705)=1,1,0))</f>
        <v>0</v>
      </c>
      <c r="B1705" s="12" t="e">
        <f>MID(MAIN!A1710,K1705,2)</f>
        <v>#VALUE!</v>
      </c>
      <c r="C1705" s="12" t="e">
        <f t="shared" si="104"/>
        <v>#VALUE!</v>
      </c>
      <c r="D1705" s="12" t="e">
        <f>MID(MAIN!A1710,K1705+2,2)</f>
        <v>#VALUE!</v>
      </c>
      <c r="E1705" s="12" t="e">
        <f>MID(MAIN!A1710,K1705+4,2)</f>
        <v>#VALUE!</v>
      </c>
      <c r="F1705" s="2" t="e">
        <f t="shared" si="105"/>
        <v>#VALUE!</v>
      </c>
      <c r="G1705" s="13" t="e">
        <f t="shared" si="106"/>
        <v>#VALUE!</v>
      </c>
      <c r="J1705" t="str">
        <f>MAIN!A1710&amp;"B"</f>
        <v>B</v>
      </c>
      <c r="K1705" s="12" t="e">
        <f t="shared" si="107"/>
        <v>#VALUE!</v>
      </c>
      <c r="L1705" t="str">
        <f>MAIN!C1710</f>
        <v/>
      </c>
    </row>
    <row r="1706" spans="1:12" x14ac:dyDescent="0.3">
      <c r="A1706">
        <f>IF(J1706="0",0,IF(COUNTIF($J$2:J1706,J1706)=1,1,0))</f>
        <v>0</v>
      </c>
      <c r="B1706" s="12" t="e">
        <f>MID(MAIN!A1711,K1706,2)</f>
        <v>#VALUE!</v>
      </c>
      <c r="C1706" s="12" t="e">
        <f t="shared" si="104"/>
        <v>#VALUE!</v>
      </c>
      <c r="D1706" s="12" t="e">
        <f>MID(MAIN!A1711,K1706+2,2)</f>
        <v>#VALUE!</v>
      </c>
      <c r="E1706" s="12" t="e">
        <f>MID(MAIN!A1711,K1706+4,2)</f>
        <v>#VALUE!</v>
      </c>
      <c r="F1706" s="2" t="e">
        <f t="shared" si="105"/>
        <v>#VALUE!</v>
      </c>
      <c r="G1706" s="13" t="e">
        <f t="shared" si="106"/>
        <v>#VALUE!</v>
      </c>
      <c r="J1706" t="str">
        <f>MAIN!A1711&amp;"B"</f>
        <v>B</v>
      </c>
      <c r="K1706" s="12" t="e">
        <f t="shared" si="107"/>
        <v>#VALUE!</v>
      </c>
      <c r="L1706" t="str">
        <f>MAIN!C1711</f>
        <v/>
      </c>
    </row>
    <row r="1707" spans="1:12" x14ac:dyDescent="0.3">
      <c r="A1707">
        <f>IF(J1707="0",0,IF(COUNTIF($J$2:J1707,J1707)=1,1,0))</f>
        <v>0</v>
      </c>
      <c r="B1707" s="12" t="e">
        <f>MID(MAIN!A1712,K1707,2)</f>
        <v>#VALUE!</v>
      </c>
      <c r="C1707" s="12" t="e">
        <f t="shared" si="104"/>
        <v>#VALUE!</v>
      </c>
      <c r="D1707" s="12" t="e">
        <f>MID(MAIN!A1712,K1707+2,2)</f>
        <v>#VALUE!</v>
      </c>
      <c r="E1707" s="12" t="e">
        <f>MID(MAIN!A1712,K1707+4,2)</f>
        <v>#VALUE!</v>
      </c>
      <c r="F1707" s="2" t="e">
        <f t="shared" si="105"/>
        <v>#VALUE!</v>
      </c>
      <c r="G1707" s="13" t="e">
        <f t="shared" si="106"/>
        <v>#VALUE!</v>
      </c>
      <c r="J1707" t="str">
        <f>MAIN!A1712&amp;"B"</f>
        <v>B</v>
      </c>
      <c r="K1707" s="12" t="e">
        <f t="shared" si="107"/>
        <v>#VALUE!</v>
      </c>
      <c r="L1707" t="str">
        <f>MAIN!C1712</f>
        <v/>
      </c>
    </row>
    <row r="1708" spans="1:12" x14ac:dyDescent="0.3">
      <c r="A1708">
        <f>IF(J1708="0",0,IF(COUNTIF($J$2:J1708,J1708)=1,1,0))</f>
        <v>0</v>
      </c>
      <c r="B1708" s="12" t="e">
        <f>MID(MAIN!A1713,K1708,2)</f>
        <v>#VALUE!</v>
      </c>
      <c r="C1708" s="12" t="e">
        <f t="shared" si="104"/>
        <v>#VALUE!</v>
      </c>
      <c r="D1708" s="12" t="e">
        <f>MID(MAIN!A1713,K1708+2,2)</f>
        <v>#VALUE!</v>
      </c>
      <c r="E1708" s="12" t="e">
        <f>MID(MAIN!A1713,K1708+4,2)</f>
        <v>#VALUE!</v>
      </c>
      <c r="F1708" s="2" t="e">
        <f t="shared" si="105"/>
        <v>#VALUE!</v>
      </c>
      <c r="G1708" s="13" t="e">
        <f t="shared" si="106"/>
        <v>#VALUE!</v>
      </c>
      <c r="J1708" t="str">
        <f>MAIN!A1713&amp;"B"</f>
        <v>B</v>
      </c>
      <c r="K1708" s="12" t="e">
        <f t="shared" si="107"/>
        <v>#VALUE!</v>
      </c>
      <c r="L1708" t="str">
        <f>MAIN!C1713</f>
        <v/>
      </c>
    </row>
    <row r="1709" spans="1:12" x14ac:dyDescent="0.3">
      <c r="A1709">
        <f>IF(J1709="0",0,IF(COUNTIF($J$2:J1709,J1709)=1,1,0))</f>
        <v>0</v>
      </c>
      <c r="B1709" s="12" t="e">
        <f>MID(MAIN!A1714,K1709,2)</f>
        <v>#VALUE!</v>
      </c>
      <c r="C1709" s="12" t="e">
        <f t="shared" si="104"/>
        <v>#VALUE!</v>
      </c>
      <c r="D1709" s="12" t="e">
        <f>MID(MAIN!A1714,K1709+2,2)</f>
        <v>#VALUE!</v>
      </c>
      <c r="E1709" s="12" t="e">
        <f>MID(MAIN!A1714,K1709+4,2)</f>
        <v>#VALUE!</v>
      </c>
      <c r="F1709" s="2" t="e">
        <f t="shared" si="105"/>
        <v>#VALUE!</v>
      </c>
      <c r="G1709" s="13" t="e">
        <f t="shared" si="106"/>
        <v>#VALUE!</v>
      </c>
      <c r="J1709" t="str">
        <f>MAIN!A1714&amp;"B"</f>
        <v>B</v>
      </c>
      <c r="K1709" s="12" t="e">
        <f t="shared" si="107"/>
        <v>#VALUE!</v>
      </c>
      <c r="L1709" t="str">
        <f>MAIN!C1714</f>
        <v/>
      </c>
    </row>
    <row r="1710" spans="1:12" x14ac:dyDescent="0.3">
      <c r="A1710">
        <f>IF(J1710="0",0,IF(COUNTIF($J$2:J1710,J1710)=1,1,0))</f>
        <v>0</v>
      </c>
      <c r="B1710" s="12" t="e">
        <f>MID(MAIN!A1715,K1710,2)</f>
        <v>#VALUE!</v>
      </c>
      <c r="C1710" s="12" t="e">
        <f t="shared" si="104"/>
        <v>#VALUE!</v>
      </c>
      <c r="D1710" s="12" t="e">
        <f>MID(MAIN!A1715,K1710+2,2)</f>
        <v>#VALUE!</v>
      </c>
      <c r="E1710" s="12" t="e">
        <f>MID(MAIN!A1715,K1710+4,2)</f>
        <v>#VALUE!</v>
      </c>
      <c r="F1710" s="2" t="e">
        <f t="shared" si="105"/>
        <v>#VALUE!</v>
      </c>
      <c r="G1710" s="13" t="e">
        <f t="shared" si="106"/>
        <v>#VALUE!</v>
      </c>
      <c r="J1710" t="str">
        <f>MAIN!A1715&amp;"B"</f>
        <v>B</v>
      </c>
      <c r="K1710" s="12" t="e">
        <f t="shared" si="107"/>
        <v>#VALUE!</v>
      </c>
      <c r="L1710" t="str">
        <f>MAIN!C1715</f>
        <v/>
      </c>
    </row>
    <row r="1711" spans="1:12" x14ac:dyDescent="0.3">
      <c r="A1711">
        <f>IF(J1711="0",0,IF(COUNTIF($J$2:J1711,J1711)=1,1,0))</f>
        <v>0</v>
      </c>
      <c r="B1711" s="12" t="e">
        <f>MID(MAIN!A1716,K1711,2)</f>
        <v>#VALUE!</v>
      </c>
      <c r="C1711" s="12" t="e">
        <f t="shared" si="104"/>
        <v>#VALUE!</v>
      </c>
      <c r="D1711" s="12" t="e">
        <f>MID(MAIN!A1716,K1711+2,2)</f>
        <v>#VALUE!</v>
      </c>
      <c r="E1711" s="12" t="e">
        <f>MID(MAIN!A1716,K1711+4,2)</f>
        <v>#VALUE!</v>
      </c>
      <c r="F1711" s="2" t="e">
        <f t="shared" si="105"/>
        <v>#VALUE!</v>
      </c>
      <c r="G1711" s="13" t="e">
        <f t="shared" si="106"/>
        <v>#VALUE!</v>
      </c>
      <c r="J1711" t="str">
        <f>MAIN!A1716&amp;"B"</f>
        <v>B</v>
      </c>
      <c r="K1711" s="12" t="e">
        <f t="shared" si="107"/>
        <v>#VALUE!</v>
      </c>
      <c r="L1711" t="str">
        <f>MAIN!C1716</f>
        <v/>
      </c>
    </row>
    <row r="1712" spans="1:12" x14ac:dyDescent="0.3">
      <c r="A1712">
        <f>IF(J1712="0",0,IF(COUNTIF($J$2:J1712,J1712)=1,1,0))</f>
        <v>0</v>
      </c>
      <c r="B1712" s="12" t="e">
        <f>MID(MAIN!A1717,K1712,2)</f>
        <v>#VALUE!</v>
      </c>
      <c r="C1712" s="12" t="e">
        <f t="shared" si="104"/>
        <v>#VALUE!</v>
      </c>
      <c r="D1712" s="12" t="e">
        <f>MID(MAIN!A1717,K1712+2,2)</f>
        <v>#VALUE!</v>
      </c>
      <c r="E1712" s="12" t="e">
        <f>MID(MAIN!A1717,K1712+4,2)</f>
        <v>#VALUE!</v>
      </c>
      <c r="F1712" s="2" t="e">
        <f t="shared" si="105"/>
        <v>#VALUE!</v>
      </c>
      <c r="G1712" s="13" t="e">
        <f t="shared" si="106"/>
        <v>#VALUE!</v>
      </c>
      <c r="J1712" t="str">
        <f>MAIN!A1717&amp;"B"</f>
        <v>B</v>
      </c>
      <c r="K1712" s="12" t="e">
        <f t="shared" si="107"/>
        <v>#VALUE!</v>
      </c>
      <c r="L1712" t="str">
        <f>MAIN!C1717</f>
        <v/>
      </c>
    </row>
    <row r="1713" spans="1:12" x14ac:dyDescent="0.3">
      <c r="A1713">
        <f>IF(J1713="0",0,IF(COUNTIF($J$2:J1713,J1713)=1,1,0))</f>
        <v>0</v>
      </c>
      <c r="B1713" s="12" t="e">
        <f>MID(MAIN!A1718,K1713,2)</f>
        <v>#VALUE!</v>
      </c>
      <c r="C1713" s="12" t="e">
        <f t="shared" si="104"/>
        <v>#VALUE!</v>
      </c>
      <c r="D1713" s="12" t="e">
        <f>MID(MAIN!A1718,K1713+2,2)</f>
        <v>#VALUE!</v>
      </c>
      <c r="E1713" s="12" t="e">
        <f>MID(MAIN!A1718,K1713+4,2)</f>
        <v>#VALUE!</v>
      </c>
      <c r="F1713" s="2" t="e">
        <f t="shared" si="105"/>
        <v>#VALUE!</v>
      </c>
      <c r="G1713" s="13" t="e">
        <f t="shared" si="106"/>
        <v>#VALUE!</v>
      </c>
      <c r="J1713" t="str">
        <f>MAIN!A1718&amp;"B"</f>
        <v>B</v>
      </c>
      <c r="K1713" s="12" t="e">
        <f t="shared" si="107"/>
        <v>#VALUE!</v>
      </c>
      <c r="L1713" t="str">
        <f>MAIN!C1718</f>
        <v/>
      </c>
    </row>
    <row r="1714" spans="1:12" x14ac:dyDescent="0.3">
      <c r="A1714">
        <f>IF(J1714="0",0,IF(COUNTIF($J$2:J1714,J1714)=1,1,0))</f>
        <v>0</v>
      </c>
      <c r="B1714" s="12" t="e">
        <f>MID(MAIN!A1719,K1714,2)</f>
        <v>#VALUE!</v>
      </c>
      <c r="C1714" s="12" t="e">
        <f t="shared" si="104"/>
        <v>#VALUE!</v>
      </c>
      <c r="D1714" s="12" t="e">
        <f>MID(MAIN!A1719,K1714+2,2)</f>
        <v>#VALUE!</v>
      </c>
      <c r="E1714" s="12" t="e">
        <f>MID(MAIN!A1719,K1714+4,2)</f>
        <v>#VALUE!</v>
      </c>
      <c r="F1714" s="2" t="e">
        <f t="shared" si="105"/>
        <v>#VALUE!</v>
      </c>
      <c r="G1714" s="13" t="e">
        <f t="shared" si="106"/>
        <v>#VALUE!</v>
      </c>
      <c r="J1714" t="str">
        <f>MAIN!A1719&amp;"B"</f>
        <v>B</v>
      </c>
      <c r="K1714" s="12" t="e">
        <f t="shared" si="107"/>
        <v>#VALUE!</v>
      </c>
      <c r="L1714" t="str">
        <f>MAIN!C1719</f>
        <v/>
      </c>
    </row>
    <row r="1715" spans="1:12" x14ac:dyDescent="0.3">
      <c r="A1715">
        <f>IF(J1715="0",0,IF(COUNTIF($J$2:J1715,J1715)=1,1,0))</f>
        <v>0</v>
      </c>
      <c r="B1715" s="12" t="e">
        <f>MID(MAIN!A1720,K1715,2)</f>
        <v>#VALUE!</v>
      </c>
      <c r="C1715" s="12" t="e">
        <f t="shared" si="104"/>
        <v>#VALUE!</v>
      </c>
      <c r="D1715" s="12" t="e">
        <f>MID(MAIN!A1720,K1715+2,2)</f>
        <v>#VALUE!</v>
      </c>
      <c r="E1715" s="12" t="e">
        <f>MID(MAIN!A1720,K1715+4,2)</f>
        <v>#VALUE!</v>
      </c>
      <c r="F1715" s="2" t="e">
        <f t="shared" si="105"/>
        <v>#VALUE!</v>
      </c>
      <c r="G1715" s="13" t="e">
        <f t="shared" si="106"/>
        <v>#VALUE!</v>
      </c>
      <c r="J1715" t="str">
        <f>MAIN!A1720&amp;"B"</f>
        <v>B</v>
      </c>
      <c r="K1715" s="12" t="e">
        <f t="shared" si="107"/>
        <v>#VALUE!</v>
      </c>
      <c r="L1715" t="str">
        <f>MAIN!C1720</f>
        <v/>
      </c>
    </row>
    <row r="1716" spans="1:12" x14ac:dyDescent="0.3">
      <c r="A1716">
        <f>IF(J1716="0",0,IF(COUNTIF($J$2:J1716,J1716)=1,1,0))</f>
        <v>0</v>
      </c>
      <c r="B1716" s="12" t="e">
        <f>MID(MAIN!A1721,K1716,2)</f>
        <v>#VALUE!</v>
      </c>
      <c r="C1716" s="12" t="e">
        <f t="shared" si="104"/>
        <v>#VALUE!</v>
      </c>
      <c r="D1716" s="12" t="e">
        <f>MID(MAIN!A1721,K1716+2,2)</f>
        <v>#VALUE!</v>
      </c>
      <c r="E1716" s="12" t="e">
        <f>MID(MAIN!A1721,K1716+4,2)</f>
        <v>#VALUE!</v>
      </c>
      <c r="F1716" s="2" t="e">
        <f t="shared" si="105"/>
        <v>#VALUE!</v>
      </c>
      <c r="G1716" s="13" t="e">
        <f t="shared" si="106"/>
        <v>#VALUE!</v>
      </c>
      <c r="J1716" t="str">
        <f>MAIN!A1721&amp;"B"</f>
        <v>B</v>
      </c>
      <c r="K1716" s="12" t="e">
        <f t="shared" si="107"/>
        <v>#VALUE!</v>
      </c>
      <c r="L1716" t="str">
        <f>MAIN!C1721</f>
        <v/>
      </c>
    </row>
    <row r="1717" spans="1:12" x14ac:dyDescent="0.3">
      <c r="A1717">
        <f>IF(J1717="0",0,IF(COUNTIF($J$2:J1717,J1717)=1,1,0))</f>
        <v>0</v>
      </c>
      <c r="B1717" s="12" t="e">
        <f>MID(MAIN!A1722,K1717,2)</f>
        <v>#VALUE!</v>
      </c>
      <c r="C1717" s="12" t="e">
        <f t="shared" si="104"/>
        <v>#VALUE!</v>
      </c>
      <c r="D1717" s="12" t="e">
        <f>MID(MAIN!A1722,K1717+2,2)</f>
        <v>#VALUE!</v>
      </c>
      <c r="E1717" s="12" t="e">
        <f>MID(MAIN!A1722,K1717+4,2)</f>
        <v>#VALUE!</v>
      </c>
      <c r="F1717" s="2" t="e">
        <f t="shared" si="105"/>
        <v>#VALUE!</v>
      </c>
      <c r="G1717" s="13" t="e">
        <f t="shared" si="106"/>
        <v>#VALUE!</v>
      </c>
      <c r="J1717" t="str">
        <f>MAIN!A1722&amp;"B"</f>
        <v>B</v>
      </c>
      <c r="K1717" s="12" t="e">
        <f t="shared" si="107"/>
        <v>#VALUE!</v>
      </c>
      <c r="L1717" t="str">
        <f>MAIN!C1722</f>
        <v/>
      </c>
    </row>
    <row r="1718" spans="1:12" x14ac:dyDescent="0.3">
      <c r="A1718">
        <f>IF(J1718="0",0,IF(COUNTIF($J$2:J1718,J1718)=1,1,0))</f>
        <v>0</v>
      </c>
      <c r="B1718" s="12" t="e">
        <f>MID(MAIN!A1723,K1718,2)</f>
        <v>#VALUE!</v>
      </c>
      <c r="C1718" s="12" t="e">
        <f t="shared" si="104"/>
        <v>#VALUE!</v>
      </c>
      <c r="D1718" s="12" t="e">
        <f>MID(MAIN!A1723,K1718+2,2)</f>
        <v>#VALUE!</v>
      </c>
      <c r="E1718" s="12" t="e">
        <f>MID(MAIN!A1723,K1718+4,2)</f>
        <v>#VALUE!</v>
      </c>
      <c r="F1718" s="2" t="e">
        <f t="shared" si="105"/>
        <v>#VALUE!</v>
      </c>
      <c r="G1718" s="13" t="e">
        <f t="shared" si="106"/>
        <v>#VALUE!</v>
      </c>
      <c r="J1718" t="str">
        <f>MAIN!A1723&amp;"B"</f>
        <v>B</v>
      </c>
      <c r="K1718" s="12" t="e">
        <f t="shared" si="107"/>
        <v>#VALUE!</v>
      </c>
      <c r="L1718" t="str">
        <f>MAIN!C1723</f>
        <v/>
      </c>
    </row>
    <row r="1719" spans="1:12" x14ac:dyDescent="0.3">
      <c r="A1719">
        <f>IF(J1719="0",0,IF(COUNTIF($J$2:J1719,J1719)=1,1,0))</f>
        <v>0</v>
      </c>
      <c r="B1719" s="12" t="e">
        <f>MID(MAIN!A1724,K1719,2)</f>
        <v>#VALUE!</v>
      </c>
      <c r="C1719" s="12" t="e">
        <f t="shared" si="104"/>
        <v>#VALUE!</v>
      </c>
      <c r="D1719" s="12" t="e">
        <f>MID(MAIN!A1724,K1719+2,2)</f>
        <v>#VALUE!</v>
      </c>
      <c r="E1719" s="12" t="e">
        <f>MID(MAIN!A1724,K1719+4,2)</f>
        <v>#VALUE!</v>
      </c>
      <c r="F1719" s="2" t="e">
        <f t="shared" si="105"/>
        <v>#VALUE!</v>
      </c>
      <c r="G1719" s="13" t="e">
        <f t="shared" si="106"/>
        <v>#VALUE!</v>
      </c>
      <c r="J1719" t="str">
        <f>MAIN!A1724&amp;"B"</f>
        <v>B</v>
      </c>
      <c r="K1719" s="12" t="e">
        <f t="shared" si="107"/>
        <v>#VALUE!</v>
      </c>
      <c r="L1719" t="str">
        <f>MAIN!C1724</f>
        <v/>
      </c>
    </row>
    <row r="1720" spans="1:12" x14ac:dyDescent="0.3">
      <c r="A1720">
        <f>IF(J1720="0",0,IF(COUNTIF($J$2:J1720,J1720)=1,1,0))</f>
        <v>0</v>
      </c>
      <c r="B1720" s="12" t="e">
        <f>MID(MAIN!A1725,K1720,2)</f>
        <v>#VALUE!</v>
      </c>
      <c r="C1720" s="12" t="e">
        <f t="shared" si="104"/>
        <v>#VALUE!</v>
      </c>
      <c r="D1720" s="12" t="e">
        <f>MID(MAIN!A1725,K1720+2,2)</f>
        <v>#VALUE!</v>
      </c>
      <c r="E1720" s="12" t="e">
        <f>MID(MAIN!A1725,K1720+4,2)</f>
        <v>#VALUE!</v>
      </c>
      <c r="F1720" s="2" t="e">
        <f t="shared" si="105"/>
        <v>#VALUE!</v>
      </c>
      <c r="G1720" s="13" t="e">
        <f t="shared" si="106"/>
        <v>#VALUE!</v>
      </c>
      <c r="J1720" t="str">
        <f>MAIN!A1725&amp;"B"</f>
        <v>B</v>
      </c>
      <c r="K1720" s="12" t="e">
        <f t="shared" si="107"/>
        <v>#VALUE!</v>
      </c>
      <c r="L1720" t="str">
        <f>MAIN!C1725</f>
        <v/>
      </c>
    </row>
    <row r="1721" spans="1:12" x14ac:dyDescent="0.3">
      <c r="A1721">
        <f>IF(J1721="0",0,IF(COUNTIF($J$2:J1721,J1721)=1,1,0))</f>
        <v>0</v>
      </c>
      <c r="B1721" s="12" t="e">
        <f>MID(MAIN!A1726,K1721,2)</f>
        <v>#VALUE!</v>
      </c>
      <c r="C1721" s="12" t="e">
        <f t="shared" si="104"/>
        <v>#VALUE!</v>
      </c>
      <c r="D1721" s="12" t="e">
        <f>MID(MAIN!A1726,K1721+2,2)</f>
        <v>#VALUE!</v>
      </c>
      <c r="E1721" s="12" t="e">
        <f>MID(MAIN!A1726,K1721+4,2)</f>
        <v>#VALUE!</v>
      </c>
      <c r="F1721" s="2" t="e">
        <f t="shared" si="105"/>
        <v>#VALUE!</v>
      </c>
      <c r="G1721" s="13" t="e">
        <f t="shared" si="106"/>
        <v>#VALUE!</v>
      </c>
      <c r="J1721" t="str">
        <f>MAIN!A1726&amp;"B"</f>
        <v>B</v>
      </c>
      <c r="K1721" s="12" t="e">
        <f t="shared" si="107"/>
        <v>#VALUE!</v>
      </c>
      <c r="L1721" t="str">
        <f>MAIN!C1726</f>
        <v/>
      </c>
    </row>
    <row r="1722" spans="1:12" x14ac:dyDescent="0.3">
      <c r="A1722">
        <f>IF(J1722="0",0,IF(COUNTIF($J$2:J1722,J1722)=1,1,0))</f>
        <v>0</v>
      </c>
      <c r="B1722" s="12" t="e">
        <f>MID(MAIN!A1727,K1722,2)</f>
        <v>#VALUE!</v>
      </c>
      <c r="C1722" s="12" t="e">
        <f t="shared" si="104"/>
        <v>#VALUE!</v>
      </c>
      <c r="D1722" s="12" t="e">
        <f>MID(MAIN!A1727,K1722+2,2)</f>
        <v>#VALUE!</v>
      </c>
      <c r="E1722" s="12" t="e">
        <f>MID(MAIN!A1727,K1722+4,2)</f>
        <v>#VALUE!</v>
      </c>
      <c r="F1722" s="2" t="e">
        <f t="shared" si="105"/>
        <v>#VALUE!</v>
      </c>
      <c r="G1722" s="13" t="e">
        <f t="shared" si="106"/>
        <v>#VALUE!</v>
      </c>
      <c r="J1722" t="str">
        <f>MAIN!A1727&amp;"B"</f>
        <v>B</v>
      </c>
      <c r="K1722" s="12" t="e">
        <f t="shared" si="107"/>
        <v>#VALUE!</v>
      </c>
      <c r="L1722" t="str">
        <f>MAIN!C1727</f>
        <v/>
      </c>
    </row>
    <row r="1723" spans="1:12" x14ac:dyDescent="0.3">
      <c r="A1723">
        <f>IF(J1723="0",0,IF(COUNTIF($J$2:J1723,J1723)=1,1,0))</f>
        <v>0</v>
      </c>
      <c r="B1723" s="12" t="e">
        <f>MID(MAIN!A1728,K1723,2)</f>
        <v>#VALUE!</v>
      </c>
      <c r="C1723" s="12" t="e">
        <f t="shared" si="104"/>
        <v>#VALUE!</v>
      </c>
      <c r="D1723" s="12" t="e">
        <f>MID(MAIN!A1728,K1723+2,2)</f>
        <v>#VALUE!</v>
      </c>
      <c r="E1723" s="12" t="e">
        <f>MID(MAIN!A1728,K1723+4,2)</f>
        <v>#VALUE!</v>
      </c>
      <c r="F1723" s="2" t="e">
        <f t="shared" si="105"/>
        <v>#VALUE!</v>
      </c>
      <c r="G1723" s="13" t="e">
        <f t="shared" si="106"/>
        <v>#VALUE!</v>
      </c>
      <c r="J1723" t="str">
        <f>MAIN!A1728&amp;"B"</f>
        <v>B</v>
      </c>
      <c r="K1723" s="12" t="e">
        <f t="shared" si="107"/>
        <v>#VALUE!</v>
      </c>
      <c r="L1723" t="str">
        <f>MAIN!C1728</f>
        <v/>
      </c>
    </row>
    <row r="1724" spans="1:12" x14ac:dyDescent="0.3">
      <c r="A1724">
        <f>IF(J1724="0",0,IF(COUNTIF($J$2:J1724,J1724)=1,1,0))</f>
        <v>0</v>
      </c>
      <c r="B1724" s="12" t="e">
        <f>MID(MAIN!A1729,K1724,2)</f>
        <v>#VALUE!</v>
      </c>
      <c r="C1724" s="12" t="e">
        <f t="shared" si="104"/>
        <v>#VALUE!</v>
      </c>
      <c r="D1724" s="12" t="e">
        <f>MID(MAIN!A1729,K1724+2,2)</f>
        <v>#VALUE!</v>
      </c>
      <c r="E1724" s="12" t="e">
        <f>MID(MAIN!A1729,K1724+4,2)</f>
        <v>#VALUE!</v>
      </c>
      <c r="F1724" s="2" t="e">
        <f t="shared" si="105"/>
        <v>#VALUE!</v>
      </c>
      <c r="G1724" s="13" t="e">
        <f t="shared" si="106"/>
        <v>#VALUE!</v>
      </c>
      <c r="J1724" t="str">
        <f>MAIN!A1729&amp;"B"</f>
        <v>B</v>
      </c>
      <c r="K1724" s="12" t="e">
        <f t="shared" si="107"/>
        <v>#VALUE!</v>
      </c>
      <c r="L1724" t="str">
        <f>MAIN!C1729</f>
        <v/>
      </c>
    </row>
    <row r="1725" spans="1:12" x14ac:dyDescent="0.3">
      <c r="A1725">
        <f>IF(J1725="0",0,IF(COUNTIF($J$2:J1725,J1725)=1,1,0))</f>
        <v>0</v>
      </c>
      <c r="B1725" s="12" t="e">
        <f>MID(MAIN!A1730,K1725,2)</f>
        <v>#VALUE!</v>
      </c>
      <c r="C1725" s="12" t="e">
        <f t="shared" si="104"/>
        <v>#VALUE!</v>
      </c>
      <c r="D1725" s="12" t="e">
        <f>MID(MAIN!A1730,K1725+2,2)</f>
        <v>#VALUE!</v>
      </c>
      <c r="E1725" s="12" t="e">
        <f>MID(MAIN!A1730,K1725+4,2)</f>
        <v>#VALUE!</v>
      </c>
      <c r="F1725" s="2" t="e">
        <f t="shared" si="105"/>
        <v>#VALUE!</v>
      </c>
      <c r="G1725" s="13" t="e">
        <f t="shared" si="106"/>
        <v>#VALUE!</v>
      </c>
      <c r="J1725" t="str">
        <f>MAIN!A1730&amp;"B"</f>
        <v>B</v>
      </c>
      <c r="K1725" s="12" t="e">
        <f t="shared" si="107"/>
        <v>#VALUE!</v>
      </c>
      <c r="L1725" t="str">
        <f>MAIN!C1730</f>
        <v/>
      </c>
    </row>
    <row r="1726" spans="1:12" x14ac:dyDescent="0.3">
      <c r="A1726">
        <f>IF(J1726="0",0,IF(COUNTIF($J$2:J1726,J1726)=1,1,0))</f>
        <v>0</v>
      </c>
      <c r="B1726" s="12" t="e">
        <f>MID(MAIN!A1731,K1726,2)</f>
        <v>#VALUE!</v>
      </c>
      <c r="C1726" s="12" t="e">
        <f t="shared" si="104"/>
        <v>#VALUE!</v>
      </c>
      <c r="D1726" s="12" t="e">
        <f>MID(MAIN!A1731,K1726+2,2)</f>
        <v>#VALUE!</v>
      </c>
      <c r="E1726" s="12" t="e">
        <f>MID(MAIN!A1731,K1726+4,2)</f>
        <v>#VALUE!</v>
      </c>
      <c r="F1726" s="2" t="e">
        <f t="shared" si="105"/>
        <v>#VALUE!</v>
      </c>
      <c r="G1726" s="13" t="e">
        <f t="shared" si="106"/>
        <v>#VALUE!</v>
      </c>
      <c r="J1726" t="str">
        <f>MAIN!A1731&amp;"B"</f>
        <v>B</v>
      </c>
      <c r="K1726" s="12" t="e">
        <f t="shared" si="107"/>
        <v>#VALUE!</v>
      </c>
      <c r="L1726" t="str">
        <f>MAIN!C1731</f>
        <v/>
      </c>
    </row>
    <row r="1727" spans="1:12" x14ac:dyDescent="0.3">
      <c r="A1727">
        <f>IF(J1727="0",0,IF(COUNTIF($J$2:J1727,J1727)=1,1,0))</f>
        <v>0</v>
      </c>
      <c r="B1727" s="12" t="e">
        <f>MID(MAIN!A1732,K1727,2)</f>
        <v>#VALUE!</v>
      </c>
      <c r="C1727" s="12" t="e">
        <f t="shared" si="104"/>
        <v>#VALUE!</v>
      </c>
      <c r="D1727" s="12" t="e">
        <f>MID(MAIN!A1732,K1727+2,2)</f>
        <v>#VALUE!</v>
      </c>
      <c r="E1727" s="12" t="e">
        <f>MID(MAIN!A1732,K1727+4,2)</f>
        <v>#VALUE!</v>
      </c>
      <c r="F1727" s="2" t="e">
        <f t="shared" si="105"/>
        <v>#VALUE!</v>
      </c>
      <c r="G1727" s="13" t="e">
        <f t="shared" si="106"/>
        <v>#VALUE!</v>
      </c>
      <c r="J1727" t="str">
        <f>MAIN!A1732&amp;"B"</f>
        <v>B</v>
      </c>
      <c r="K1727" s="12" t="e">
        <f t="shared" si="107"/>
        <v>#VALUE!</v>
      </c>
      <c r="L1727" t="str">
        <f>MAIN!C1732</f>
        <v/>
      </c>
    </row>
    <row r="1728" spans="1:12" x14ac:dyDescent="0.3">
      <c r="A1728">
        <f>IF(J1728="0",0,IF(COUNTIF($J$2:J1728,J1728)=1,1,0))</f>
        <v>0</v>
      </c>
      <c r="B1728" s="12" t="e">
        <f>MID(MAIN!A1733,K1728,2)</f>
        <v>#VALUE!</v>
      </c>
      <c r="C1728" s="12" t="e">
        <f t="shared" si="104"/>
        <v>#VALUE!</v>
      </c>
      <c r="D1728" s="12" t="e">
        <f>MID(MAIN!A1733,K1728+2,2)</f>
        <v>#VALUE!</v>
      </c>
      <c r="E1728" s="12" t="e">
        <f>MID(MAIN!A1733,K1728+4,2)</f>
        <v>#VALUE!</v>
      </c>
      <c r="F1728" s="2" t="e">
        <f t="shared" si="105"/>
        <v>#VALUE!</v>
      </c>
      <c r="G1728" s="13" t="e">
        <f t="shared" si="106"/>
        <v>#VALUE!</v>
      </c>
      <c r="J1728" t="str">
        <f>MAIN!A1733&amp;"B"</f>
        <v>B</v>
      </c>
      <c r="K1728" s="12" t="e">
        <f t="shared" si="107"/>
        <v>#VALUE!</v>
      </c>
      <c r="L1728" t="str">
        <f>MAIN!C1733</f>
        <v/>
      </c>
    </row>
    <row r="1729" spans="1:12" x14ac:dyDescent="0.3">
      <c r="A1729">
        <f>IF(J1729="0",0,IF(COUNTIF($J$2:J1729,J1729)=1,1,0))</f>
        <v>0</v>
      </c>
      <c r="B1729" s="12" t="e">
        <f>MID(MAIN!A1734,K1729,2)</f>
        <v>#VALUE!</v>
      </c>
      <c r="C1729" s="12" t="e">
        <f t="shared" si="104"/>
        <v>#VALUE!</v>
      </c>
      <c r="D1729" s="12" t="e">
        <f>MID(MAIN!A1734,K1729+2,2)</f>
        <v>#VALUE!</v>
      </c>
      <c r="E1729" s="12" t="e">
        <f>MID(MAIN!A1734,K1729+4,2)</f>
        <v>#VALUE!</v>
      </c>
      <c r="F1729" s="2" t="e">
        <f t="shared" si="105"/>
        <v>#VALUE!</v>
      </c>
      <c r="G1729" s="13" t="e">
        <f t="shared" si="106"/>
        <v>#VALUE!</v>
      </c>
      <c r="J1729" t="str">
        <f>MAIN!A1734&amp;"B"</f>
        <v>B</v>
      </c>
      <c r="K1729" s="12" t="e">
        <f t="shared" si="107"/>
        <v>#VALUE!</v>
      </c>
      <c r="L1729" t="str">
        <f>MAIN!C1734</f>
        <v/>
      </c>
    </row>
    <row r="1730" spans="1:12" x14ac:dyDescent="0.3">
      <c r="A1730">
        <f>IF(J1730="0",0,IF(COUNTIF($J$2:J1730,J1730)=1,1,0))</f>
        <v>0</v>
      </c>
      <c r="B1730" s="12" t="e">
        <f>MID(MAIN!A1735,K1730,2)</f>
        <v>#VALUE!</v>
      </c>
      <c r="C1730" s="12" t="e">
        <f t="shared" si="104"/>
        <v>#VALUE!</v>
      </c>
      <c r="D1730" s="12" t="e">
        <f>MID(MAIN!A1735,K1730+2,2)</f>
        <v>#VALUE!</v>
      </c>
      <c r="E1730" s="12" t="e">
        <f>MID(MAIN!A1735,K1730+4,2)</f>
        <v>#VALUE!</v>
      </c>
      <c r="F1730" s="2" t="e">
        <f t="shared" si="105"/>
        <v>#VALUE!</v>
      </c>
      <c r="G1730" s="13" t="e">
        <f t="shared" si="106"/>
        <v>#VALUE!</v>
      </c>
      <c r="J1730" t="str">
        <f>MAIN!A1735&amp;"B"</f>
        <v>B</v>
      </c>
      <c r="K1730" s="12" t="e">
        <f t="shared" si="107"/>
        <v>#VALUE!</v>
      </c>
      <c r="L1730" t="str">
        <f>MAIN!C1735</f>
        <v/>
      </c>
    </row>
    <row r="1731" spans="1:12" x14ac:dyDescent="0.3">
      <c r="A1731">
        <f>IF(J1731="0",0,IF(COUNTIF($J$2:J1731,J1731)=1,1,0))</f>
        <v>0</v>
      </c>
      <c r="B1731" s="12" t="e">
        <f>MID(MAIN!A1736,K1731,2)</f>
        <v>#VALUE!</v>
      </c>
      <c r="C1731" s="12" t="e">
        <f t="shared" ref="C1731:C1794" si="108">"20"&amp;B1731</f>
        <v>#VALUE!</v>
      </c>
      <c r="D1731" s="12" t="e">
        <f>MID(MAIN!A1736,K1731+2,2)</f>
        <v>#VALUE!</v>
      </c>
      <c r="E1731" s="12" t="e">
        <f>MID(MAIN!A1736,K1731+4,2)</f>
        <v>#VALUE!</v>
      </c>
      <c r="F1731" s="2" t="e">
        <f t="shared" ref="F1731:F1794" si="109">C1731&amp;"/"&amp;D1731&amp;"/"&amp;E1731</f>
        <v>#VALUE!</v>
      </c>
      <c r="G1731" s="13" t="e">
        <f t="shared" ref="G1731:G1794" si="110">DATEVALUE(F1731)</f>
        <v>#VALUE!</v>
      </c>
      <c r="J1731" t="str">
        <f>MAIN!A1736&amp;"B"</f>
        <v>B</v>
      </c>
      <c r="K1731" s="12" t="e">
        <f t="shared" ref="K1731:K1794" si="111">FIND("172",J1731,30)+2</f>
        <v>#VALUE!</v>
      </c>
      <c r="L1731" t="str">
        <f>MAIN!C1736</f>
        <v/>
      </c>
    </row>
    <row r="1732" spans="1:12" x14ac:dyDescent="0.3">
      <c r="A1732">
        <f>IF(J1732="0",0,IF(COUNTIF($J$2:J1732,J1732)=1,1,0))</f>
        <v>0</v>
      </c>
      <c r="B1732" s="12" t="e">
        <f>MID(MAIN!A1737,K1732,2)</f>
        <v>#VALUE!</v>
      </c>
      <c r="C1732" s="12" t="e">
        <f t="shared" si="108"/>
        <v>#VALUE!</v>
      </c>
      <c r="D1732" s="12" t="e">
        <f>MID(MAIN!A1737,K1732+2,2)</f>
        <v>#VALUE!</v>
      </c>
      <c r="E1732" s="12" t="e">
        <f>MID(MAIN!A1737,K1732+4,2)</f>
        <v>#VALUE!</v>
      </c>
      <c r="F1732" s="2" t="e">
        <f t="shared" si="109"/>
        <v>#VALUE!</v>
      </c>
      <c r="G1732" s="13" t="e">
        <f t="shared" si="110"/>
        <v>#VALUE!</v>
      </c>
      <c r="J1732" t="str">
        <f>MAIN!A1737&amp;"B"</f>
        <v>B</v>
      </c>
      <c r="K1732" s="12" t="e">
        <f t="shared" si="111"/>
        <v>#VALUE!</v>
      </c>
      <c r="L1732" t="str">
        <f>MAIN!C1737</f>
        <v/>
      </c>
    </row>
    <row r="1733" spans="1:12" x14ac:dyDescent="0.3">
      <c r="A1733">
        <f>IF(J1733="0",0,IF(COUNTIF($J$2:J1733,J1733)=1,1,0))</f>
        <v>0</v>
      </c>
      <c r="B1733" s="12" t="e">
        <f>MID(MAIN!A1738,K1733,2)</f>
        <v>#VALUE!</v>
      </c>
      <c r="C1733" s="12" t="e">
        <f t="shared" si="108"/>
        <v>#VALUE!</v>
      </c>
      <c r="D1733" s="12" t="e">
        <f>MID(MAIN!A1738,K1733+2,2)</f>
        <v>#VALUE!</v>
      </c>
      <c r="E1733" s="12" t="e">
        <f>MID(MAIN!A1738,K1733+4,2)</f>
        <v>#VALUE!</v>
      </c>
      <c r="F1733" s="2" t="e">
        <f t="shared" si="109"/>
        <v>#VALUE!</v>
      </c>
      <c r="G1733" s="13" t="e">
        <f t="shared" si="110"/>
        <v>#VALUE!</v>
      </c>
      <c r="J1733" t="str">
        <f>MAIN!A1738&amp;"B"</f>
        <v>B</v>
      </c>
      <c r="K1733" s="12" t="e">
        <f t="shared" si="111"/>
        <v>#VALUE!</v>
      </c>
      <c r="L1733" t="str">
        <f>MAIN!C1738</f>
        <v/>
      </c>
    </row>
    <row r="1734" spans="1:12" x14ac:dyDescent="0.3">
      <c r="A1734">
        <f>IF(J1734="0",0,IF(COUNTIF($J$2:J1734,J1734)=1,1,0))</f>
        <v>0</v>
      </c>
      <c r="B1734" s="12" t="e">
        <f>MID(MAIN!A1739,K1734,2)</f>
        <v>#VALUE!</v>
      </c>
      <c r="C1734" s="12" t="e">
        <f t="shared" si="108"/>
        <v>#VALUE!</v>
      </c>
      <c r="D1734" s="12" t="e">
        <f>MID(MAIN!A1739,K1734+2,2)</f>
        <v>#VALUE!</v>
      </c>
      <c r="E1734" s="12" t="e">
        <f>MID(MAIN!A1739,K1734+4,2)</f>
        <v>#VALUE!</v>
      </c>
      <c r="F1734" s="2" t="e">
        <f t="shared" si="109"/>
        <v>#VALUE!</v>
      </c>
      <c r="G1734" s="13" t="e">
        <f t="shared" si="110"/>
        <v>#VALUE!</v>
      </c>
      <c r="J1734" t="str">
        <f>MAIN!A1739&amp;"B"</f>
        <v>B</v>
      </c>
      <c r="K1734" s="12" t="e">
        <f t="shared" si="111"/>
        <v>#VALUE!</v>
      </c>
      <c r="L1734" t="str">
        <f>MAIN!C1739</f>
        <v/>
      </c>
    </row>
    <row r="1735" spans="1:12" x14ac:dyDescent="0.3">
      <c r="A1735">
        <f>IF(J1735="0",0,IF(COUNTIF($J$2:J1735,J1735)=1,1,0))</f>
        <v>0</v>
      </c>
      <c r="B1735" s="12" t="e">
        <f>MID(MAIN!A1740,K1735,2)</f>
        <v>#VALUE!</v>
      </c>
      <c r="C1735" s="12" t="e">
        <f t="shared" si="108"/>
        <v>#VALUE!</v>
      </c>
      <c r="D1735" s="12" t="e">
        <f>MID(MAIN!A1740,K1735+2,2)</f>
        <v>#VALUE!</v>
      </c>
      <c r="E1735" s="12" t="e">
        <f>MID(MAIN!A1740,K1735+4,2)</f>
        <v>#VALUE!</v>
      </c>
      <c r="F1735" s="2" t="e">
        <f t="shared" si="109"/>
        <v>#VALUE!</v>
      </c>
      <c r="G1735" s="13" t="e">
        <f t="shared" si="110"/>
        <v>#VALUE!</v>
      </c>
      <c r="J1735" t="str">
        <f>MAIN!A1740&amp;"B"</f>
        <v>B</v>
      </c>
      <c r="K1735" s="12" t="e">
        <f t="shared" si="111"/>
        <v>#VALUE!</v>
      </c>
      <c r="L1735" t="str">
        <f>MAIN!C1740</f>
        <v/>
      </c>
    </row>
    <row r="1736" spans="1:12" x14ac:dyDescent="0.3">
      <c r="A1736">
        <f>IF(J1736="0",0,IF(COUNTIF($J$2:J1736,J1736)=1,1,0))</f>
        <v>0</v>
      </c>
      <c r="B1736" s="12" t="e">
        <f>MID(MAIN!A1741,K1736,2)</f>
        <v>#VALUE!</v>
      </c>
      <c r="C1736" s="12" t="e">
        <f t="shared" si="108"/>
        <v>#VALUE!</v>
      </c>
      <c r="D1736" s="12" t="e">
        <f>MID(MAIN!A1741,K1736+2,2)</f>
        <v>#VALUE!</v>
      </c>
      <c r="E1736" s="12" t="e">
        <f>MID(MAIN!A1741,K1736+4,2)</f>
        <v>#VALUE!</v>
      </c>
      <c r="F1736" s="2" t="e">
        <f t="shared" si="109"/>
        <v>#VALUE!</v>
      </c>
      <c r="G1736" s="13" t="e">
        <f t="shared" si="110"/>
        <v>#VALUE!</v>
      </c>
      <c r="J1736" t="str">
        <f>MAIN!A1741&amp;"B"</f>
        <v>B</v>
      </c>
      <c r="K1736" s="12" t="e">
        <f t="shared" si="111"/>
        <v>#VALUE!</v>
      </c>
      <c r="L1736" t="str">
        <f>MAIN!C1741</f>
        <v/>
      </c>
    </row>
    <row r="1737" spans="1:12" x14ac:dyDescent="0.3">
      <c r="A1737">
        <f>IF(J1737="0",0,IF(COUNTIF($J$2:J1737,J1737)=1,1,0))</f>
        <v>0</v>
      </c>
      <c r="B1737" s="12" t="e">
        <f>MID(MAIN!A1742,K1737,2)</f>
        <v>#VALUE!</v>
      </c>
      <c r="C1737" s="12" t="e">
        <f t="shared" si="108"/>
        <v>#VALUE!</v>
      </c>
      <c r="D1737" s="12" t="e">
        <f>MID(MAIN!A1742,K1737+2,2)</f>
        <v>#VALUE!</v>
      </c>
      <c r="E1737" s="12" t="e">
        <f>MID(MAIN!A1742,K1737+4,2)</f>
        <v>#VALUE!</v>
      </c>
      <c r="F1737" s="2" t="e">
        <f t="shared" si="109"/>
        <v>#VALUE!</v>
      </c>
      <c r="G1737" s="13" t="e">
        <f t="shared" si="110"/>
        <v>#VALUE!</v>
      </c>
      <c r="J1737" t="str">
        <f>MAIN!A1742&amp;"B"</f>
        <v>B</v>
      </c>
      <c r="K1737" s="12" t="e">
        <f t="shared" si="111"/>
        <v>#VALUE!</v>
      </c>
      <c r="L1737" t="str">
        <f>MAIN!C1742</f>
        <v/>
      </c>
    </row>
    <row r="1738" spans="1:12" x14ac:dyDescent="0.3">
      <c r="A1738">
        <f>IF(J1738="0",0,IF(COUNTIF($J$2:J1738,J1738)=1,1,0))</f>
        <v>0</v>
      </c>
      <c r="B1738" s="12" t="e">
        <f>MID(MAIN!A1743,K1738,2)</f>
        <v>#VALUE!</v>
      </c>
      <c r="C1738" s="12" t="e">
        <f t="shared" si="108"/>
        <v>#VALUE!</v>
      </c>
      <c r="D1738" s="12" t="e">
        <f>MID(MAIN!A1743,K1738+2,2)</f>
        <v>#VALUE!</v>
      </c>
      <c r="E1738" s="12" t="e">
        <f>MID(MAIN!A1743,K1738+4,2)</f>
        <v>#VALUE!</v>
      </c>
      <c r="F1738" s="2" t="e">
        <f t="shared" si="109"/>
        <v>#VALUE!</v>
      </c>
      <c r="G1738" s="13" t="e">
        <f t="shared" si="110"/>
        <v>#VALUE!</v>
      </c>
      <c r="J1738" t="str">
        <f>MAIN!A1743&amp;"B"</f>
        <v>B</v>
      </c>
      <c r="K1738" s="12" t="e">
        <f t="shared" si="111"/>
        <v>#VALUE!</v>
      </c>
      <c r="L1738" t="str">
        <f>MAIN!C1743</f>
        <v/>
      </c>
    </row>
    <row r="1739" spans="1:12" x14ac:dyDescent="0.3">
      <c r="A1739">
        <f>IF(J1739="0",0,IF(COUNTIF($J$2:J1739,J1739)=1,1,0))</f>
        <v>0</v>
      </c>
      <c r="B1739" s="12" t="e">
        <f>MID(MAIN!A1744,K1739,2)</f>
        <v>#VALUE!</v>
      </c>
      <c r="C1739" s="12" t="e">
        <f t="shared" si="108"/>
        <v>#VALUE!</v>
      </c>
      <c r="D1739" s="12" t="e">
        <f>MID(MAIN!A1744,K1739+2,2)</f>
        <v>#VALUE!</v>
      </c>
      <c r="E1739" s="12" t="e">
        <f>MID(MAIN!A1744,K1739+4,2)</f>
        <v>#VALUE!</v>
      </c>
      <c r="F1739" s="2" t="e">
        <f t="shared" si="109"/>
        <v>#VALUE!</v>
      </c>
      <c r="G1739" s="13" t="e">
        <f t="shared" si="110"/>
        <v>#VALUE!</v>
      </c>
      <c r="J1739" t="str">
        <f>MAIN!A1744&amp;"B"</f>
        <v>B</v>
      </c>
      <c r="K1739" s="12" t="e">
        <f t="shared" si="111"/>
        <v>#VALUE!</v>
      </c>
      <c r="L1739" t="str">
        <f>MAIN!C1744</f>
        <v/>
      </c>
    </row>
    <row r="1740" spans="1:12" x14ac:dyDescent="0.3">
      <c r="A1740">
        <f>IF(J1740="0",0,IF(COUNTIF($J$2:J1740,J1740)=1,1,0))</f>
        <v>0</v>
      </c>
      <c r="B1740" s="12" t="e">
        <f>MID(MAIN!A1745,K1740,2)</f>
        <v>#VALUE!</v>
      </c>
      <c r="C1740" s="12" t="e">
        <f t="shared" si="108"/>
        <v>#VALUE!</v>
      </c>
      <c r="D1740" s="12" t="e">
        <f>MID(MAIN!A1745,K1740+2,2)</f>
        <v>#VALUE!</v>
      </c>
      <c r="E1740" s="12" t="e">
        <f>MID(MAIN!A1745,K1740+4,2)</f>
        <v>#VALUE!</v>
      </c>
      <c r="F1740" s="2" t="e">
        <f t="shared" si="109"/>
        <v>#VALUE!</v>
      </c>
      <c r="G1740" s="13" t="e">
        <f t="shared" si="110"/>
        <v>#VALUE!</v>
      </c>
      <c r="J1740" t="str">
        <f>MAIN!A1745&amp;"B"</f>
        <v>B</v>
      </c>
      <c r="K1740" s="12" t="e">
        <f t="shared" si="111"/>
        <v>#VALUE!</v>
      </c>
      <c r="L1740" t="str">
        <f>MAIN!C1745</f>
        <v/>
      </c>
    </row>
    <row r="1741" spans="1:12" x14ac:dyDescent="0.3">
      <c r="A1741">
        <f>IF(J1741="0",0,IF(COUNTIF($J$2:J1741,J1741)=1,1,0))</f>
        <v>0</v>
      </c>
      <c r="B1741" s="12" t="e">
        <f>MID(MAIN!A1746,K1741,2)</f>
        <v>#VALUE!</v>
      </c>
      <c r="C1741" s="12" t="e">
        <f t="shared" si="108"/>
        <v>#VALUE!</v>
      </c>
      <c r="D1741" s="12" t="e">
        <f>MID(MAIN!A1746,K1741+2,2)</f>
        <v>#VALUE!</v>
      </c>
      <c r="E1741" s="12" t="e">
        <f>MID(MAIN!A1746,K1741+4,2)</f>
        <v>#VALUE!</v>
      </c>
      <c r="F1741" s="2" t="e">
        <f t="shared" si="109"/>
        <v>#VALUE!</v>
      </c>
      <c r="G1741" s="13" t="e">
        <f t="shared" si="110"/>
        <v>#VALUE!</v>
      </c>
      <c r="J1741" t="str">
        <f>MAIN!A1746&amp;"B"</f>
        <v>B</v>
      </c>
      <c r="K1741" s="12" t="e">
        <f t="shared" si="111"/>
        <v>#VALUE!</v>
      </c>
      <c r="L1741" t="str">
        <f>MAIN!C1746</f>
        <v/>
      </c>
    </row>
    <row r="1742" spans="1:12" x14ac:dyDescent="0.3">
      <c r="A1742">
        <f>IF(J1742="0",0,IF(COUNTIF($J$2:J1742,J1742)=1,1,0))</f>
        <v>0</v>
      </c>
      <c r="B1742" s="12" t="e">
        <f>MID(MAIN!A1747,K1742,2)</f>
        <v>#VALUE!</v>
      </c>
      <c r="C1742" s="12" t="e">
        <f t="shared" si="108"/>
        <v>#VALUE!</v>
      </c>
      <c r="D1742" s="12" t="e">
        <f>MID(MAIN!A1747,K1742+2,2)</f>
        <v>#VALUE!</v>
      </c>
      <c r="E1742" s="12" t="e">
        <f>MID(MAIN!A1747,K1742+4,2)</f>
        <v>#VALUE!</v>
      </c>
      <c r="F1742" s="2" t="e">
        <f t="shared" si="109"/>
        <v>#VALUE!</v>
      </c>
      <c r="G1742" s="13" t="e">
        <f t="shared" si="110"/>
        <v>#VALUE!</v>
      </c>
      <c r="J1742" t="str">
        <f>MAIN!A1747&amp;"B"</f>
        <v>B</v>
      </c>
      <c r="K1742" s="12" t="e">
        <f t="shared" si="111"/>
        <v>#VALUE!</v>
      </c>
      <c r="L1742" t="str">
        <f>MAIN!C1747</f>
        <v/>
      </c>
    </row>
    <row r="1743" spans="1:12" x14ac:dyDescent="0.3">
      <c r="A1743">
        <f>IF(J1743="0",0,IF(COUNTIF($J$2:J1743,J1743)=1,1,0))</f>
        <v>0</v>
      </c>
      <c r="B1743" s="12" t="e">
        <f>MID(MAIN!A1748,K1743,2)</f>
        <v>#VALUE!</v>
      </c>
      <c r="C1743" s="12" t="e">
        <f t="shared" si="108"/>
        <v>#VALUE!</v>
      </c>
      <c r="D1743" s="12" t="e">
        <f>MID(MAIN!A1748,K1743+2,2)</f>
        <v>#VALUE!</v>
      </c>
      <c r="E1743" s="12" t="e">
        <f>MID(MAIN!A1748,K1743+4,2)</f>
        <v>#VALUE!</v>
      </c>
      <c r="F1743" s="2" t="e">
        <f t="shared" si="109"/>
        <v>#VALUE!</v>
      </c>
      <c r="G1743" s="13" t="e">
        <f t="shared" si="110"/>
        <v>#VALUE!</v>
      </c>
      <c r="J1743" t="str">
        <f>MAIN!A1748&amp;"B"</f>
        <v>B</v>
      </c>
      <c r="K1743" s="12" t="e">
        <f t="shared" si="111"/>
        <v>#VALUE!</v>
      </c>
      <c r="L1743" t="str">
        <f>MAIN!C1748</f>
        <v/>
      </c>
    </row>
    <row r="1744" spans="1:12" x14ac:dyDescent="0.3">
      <c r="A1744">
        <f>IF(J1744="0",0,IF(COUNTIF($J$2:J1744,J1744)=1,1,0))</f>
        <v>0</v>
      </c>
      <c r="B1744" s="12" t="e">
        <f>MID(MAIN!A1749,K1744,2)</f>
        <v>#VALUE!</v>
      </c>
      <c r="C1744" s="12" t="e">
        <f t="shared" si="108"/>
        <v>#VALUE!</v>
      </c>
      <c r="D1744" s="12" t="e">
        <f>MID(MAIN!A1749,K1744+2,2)</f>
        <v>#VALUE!</v>
      </c>
      <c r="E1744" s="12" t="e">
        <f>MID(MAIN!A1749,K1744+4,2)</f>
        <v>#VALUE!</v>
      </c>
      <c r="F1744" s="2" t="e">
        <f t="shared" si="109"/>
        <v>#VALUE!</v>
      </c>
      <c r="G1744" s="13" t="e">
        <f t="shared" si="110"/>
        <v>#VALUE!</v>
      </c>
      <c r="J1744" t="str">
        <f>MAIN!A1749&amp;"B"</f>
        <v>B</v>
      </c>
      <c r="K1744" s="12" t="e">
        <f t="shared" si="111"/>
        <v>#VALUE!</v>
      </c>
      <c r="L1744" t="str">
        <f>MAIN!C1749</f>
        <v/>
      </c>
    </row>
    <row r="1745" spans="1:12" x14ac:dyDescent="0.3">
      <c r="A1745">
        <f>IF(J1745="0",0,IF(COUNTIF($J$2:J1745,J1745)=1,1,0))</f>
        <v>0</v>
      </c>
      <c r="B1745" s="12" t="e">
        <f>MID(MAIN!A1750,K1745,2)</f>
        <v>#VALUE!</v>
      </c>
      <c r="C1745" s="12" t="e">
        <f t="shared" si="108"/>
        <v>#VALUE!</v>
      </c>
      <c r="D1745" s="12" t="e">
        <f>MID(MAIN!A1750,K1745+2,2)</f>
        <v>#VALUE!</v>
      </c>
      <c r="E1745" s="12" t="e">
        <f>MID(MAIN!A1750,K1745+4,2)</f>
        <v>#VALUE!</v>
      </c>
      <c r="F1745" s="2" t="e">
        <f t="shared" si="109"/>
        <v>#VALUE!</v>
      </c>
      <c r="G1745" s="13" t="e">
        <f t="shared" si="110"/>
        <v>#VALUE!</v>
      </c>
      <c r="J1745" t="str">
        <f>MAIN!A1750&amp;"B"</f>
        <v>B</v>
      </c>
      <c r="K1745" s="12" t="e">
        <f t="shared" si="111"/>
        <v>#VALUE!</v>
      </c>
      <c r="L1745" t="str">
        <f>MAIN!C1750</f>
        <v/>
      </c>
    </row>
    <row r="1746" spans="1:12" x14ac:dyDescent="0.3">
      <c r="A1746">
        <f>IF(J1746="0",0,IF(COUNTIF($J$2:J1746,J1746)=1,1,0))</f>
        <v>0</v>
      </c>
      <c r="B1746" s="12" t="e">
        <f>MID(MAIN!A1751,K1746,2)</f>
        <v>#VALUE!</v>
      </c>
      <c r="C1746" s="12" t="e">
        <f t="shared" si="108"/>
        <v>#VALUE!</v>
      </c>
      <c r="D1746" s="12" t="e">
        <f>MID(MAIN!A1751,K1746+2,2)</f>
        <v>#VALUE!</v>
      </c>
      <c r="E1746" s="12" t="e">
        <f>MID(MAIN!A1751,K1746+4,2)</f>
        <v>#VALUE!</v>
      </c>
      <c r="F1746" s="2" t="e">
        <f t="shared" si="109"/>
        <v>#VALUE!</v>
      </c>
      <c r="G1746" s="13" t="e">
        <f t="shared" si="110"/>
        <v>#VALUE!</v>
      </c>
      <c r="J1746" t="str">
        <f>MAIN!A1751&amp;"B"</f>
        <v>B</v>
      </c>
      <c r="K1746" s="12" t="e">
        <f t="shared" si="111"/>
        <v>#VALUE!</v>
      </c>
      <c r="L1746" t="str">
        <f>MAIN!C1751</f>
        <v/>
      </c>
    </row>
    <row r="1747" spans="1:12" x14ac:dyDescent="0.3">
      <c r="A1747">
        <f>IF(J1747="0",0,IF(COUNTIF($J$2:J1747,J1747)=1,1,0))</f>
        <v>0</v>
      </c>
      <c r="B1747" s="12" t="e">
        <f>MID(MAIN!A1752,K1747,2)</f>
        <v>#VALUE!</v>
      </c>
      <c r="C1747" s="12" t="e">
        <f t="shared" si="108"/>
        <v>#VALUE!</v>
      </c>
      <c r="D1747" s="12" t="e">
        <f>MID(MAIN!A1752,K1747+2,2)</f>
        <v>#VALUE!</v>
      </c>
      <c r="E1747" s="12" t="e">
        <f>MID(MAIN!A1752,K1747+4,2)</f>
        <v>#VALUE!</v>
      </c>
      <c r="F1747" s="2" t="e">
        <f t="shared" si="109"/>
        <v>#VALUE!</v>
      </c>
      <c r="G1747" s="13" t="e">
        <f t="shared" si="110"/>
        <v>#VALUE!</v>
      </c>
      <c r="J1747" t="str">
        <f>MAIN!A1752&amp;"B"</f>
        <v>B</v>
      </c>
      <c r="K1747" s="12" t="e">
        <f t="shared" si="111"/>
        <v>#VALUE!</v>
      </c>
      <c r="L1747" t="str">
        <f>MAIN!C1752</f>
        <v/>
      </c>
    </row>
    <row r="1748" spans="1:12" x14ac:dyDescent="0.3">
      <c r="A1748">
        <f>IF(J1748="0",0,IF(COUNTIF($J$2:J1748,J1748)=1,1,0))</f>
        <v>0</v>
      </c>
      <c r="B1748" s="12" t="e">
        <f>MID(MAIN!A1753,K1748,2)</f>
        <v>#VALUE!</v>
      </c>
      <c r="C1748" s="12" t="e">
        <f t="shared" si="108"/>
        <v>#VALUE!</v>
      </c>
      <c r="D1748" s="12" t="e">
        <f>MID(MAIN!A1753,K1748+2,2)</f>
        <v>#VALUE!</v>
      </c>
      <c r="E1748" s="12" t="e">
        <f>MID(MAIN!A1753,K1748+4,2)</f>
        <v>#VALUE!</v>
      </c>
      <c r="F1748" s="2" t="e">
        <f t="shared" si="109"/>
        <v>#VALUE!</v>
      </c>
      <c r="G1748" s="13" t="e">
        <f t="shared" si="110"/>
        <v>#VALUE!</v>
      </c>
      <c r="J1748" t="str">
        <f>MAIN!A1753&amp;"B"</f>
        <v>B</v>
      </c>
      <c r="K1748" s="12" t="e">
        <f t="shared" si="111"/>
        <v>#VALUE!</v>
      </c>
      <c r="L1748" t="str">
        <f>MAIN!C1753</f>
        <v/>
      </c>
    </row>
    <row r="1749" spans="1:12" x14ac:dyDescent="0.3">
      <c r="A1749">
        <f>IF(J1749="0",0,IF(COUNTIF($J$2:J1749,J1749)=1,1,0))</f>
        <v>0</v>
      </c>
      <c r="B1749" s="12" t="e">
        <f>MID(MAIN!A1754,K1749,2)</f>
        <v>#VALUE!</v>
      </c>
      <c r="C1749" s="12" t="e">
        <f t="shared" si="108"/>
        <v>#VALUE!</v>
      </c>
      <c r="D1749" s="12" t="e">
        <f>MID(MAIN!A1754,K1749+2,2)</f>
        <v>#VALUE!</v>
      </c>
      <c r="E1749" s="12" t="e">
        <f>MID(MAIN!A1754,K1749+4,2)</f>
        <v>#VALUE!</v>
      </c>
      <c r="F1749" s="2" t="e">
        <f t="shared" si="109"/>
        <v>#VALUE!</v>
      </c>
      <c r="G1749" s="13" t="e">
        <f t="shared" si="110"/>
        <v>#VALUE!</v>
      </c>
      <c r="J1749" t="str">
        <f>MAIN!A1754&amp;"B"</f>
        <v>B</v>
      </c>
      <c r="K1749" s="12" t="e">
        <f t="shared" si="111"/>
        <v>#VALUE!</v>
      </c>
      <c r="L1749" t="str">
        <f>MAIN!C1754</f>
        <v/>
      </c>
    </row>
    <row r="1750" spans="1:12" x14ac:dyDescent="0.3">
      <c r="A1750">
        <f>IF(J1750="0",0,IF(COUNTIF($J$2:J1750,J1750)=1,1,0))</f>
        <v>0</v>
      </c>
      <c r="B1750" s="12" t="e">
        <f>MID(MAIN!A1755,K1750,2)</f>
        <v>#VALUE!</v>
      </c>
      <c r="C1750" s="12" t="e">
        <f t="shared" si="108"/>
        <v>#VALUE!</v>
      </c>
      <c r="D1750" s="12" t="e">
        <f>MID(MAIN!A1755,K1750+2,2)</f>
        <v>#VALUE!</v>
      </c>
      <c r="E1750" s="12" t="e">
        <f>MID(MAIN!A1755,K1750+4,2)</f>
        <v>#VALUE!</v>
      </c>
      <c r="F1750" s="2" t="e">
        <f t="shared" si="109"/>
        <v>#VALUE!</v>
      </c>
      <c r="G1750" s="13" t="e">
        <f t="shared" si="110"/>
        <v>#VALUE!</v>
      </c>
      <c r="J1750" t="str">
        <f>MAIN!A1755&amp;"B"</f>
        <v>B</v>
      </c>
      <c r="K1750" s="12" t="e">
        <f t="shared" si="111"/>
        <v>#VALUE!</v>
      </c>
      <c r="L1750" t="str">
        <f>MAIN!C1755</f>
        <v/>
      </c>
    </row>
    <row r="1751" spans="1:12" x14ac:dyDescent="0.3">
      <c r="A1751">
        <f>IF(J1751="0",0,IF(COUNTIF($J$2:J1751,J1751)=1,1,0))</f>
        <v>0</v>
      </c>
      <c r="B1751" s="12" t="e">
        <f>MID(MAIN!A1756,K1751,2)</f>
        <v>#VALUE!</v>
      </c>
      <c r="C1751" s="12" t="e">
        <f t="shared" si="108"/>
        <v>#VALUE!</v>
      </c>
      <c r="D1751" s="12" t="e">
        <f>MID(MAIN!A1756,K1751+2,2)</f>
        <v>#VALUE!</v>
      </c>
      <c r="E1751" s="12" t="e">
        <f>MID(MAIN!A1756,K1751+4,2)</f>
        <v>#VALUE!</v>
      </c>
      <c r="F1751" s="2" t="e">
        <f t="shared" si="109"/>
        <v>#VALUE!</v>
      </c>
      <c r="G1751" s="13" t="e">
        <f t="shared" si="110"/>
        <v>#VALUE!</v>
      </c>
      <c r="J1751" t="str">
        <f>MAIN!A1756&amp;"B"</f>
        <v>B</v>
      </c>
      <c r="K1751" s="12" t="e">
        <f t="shared" si="111"/>
        <v>#VALUE!</v>
      </c>
      <c r="L1751" t="str">
        <f>MAIN!C1756</f>
        <v/>
      </c>
    </row>
    <row r="1752" spans="1:12" x14ac:dyDescent="0.3">
      <c r="A1752">
        <f>IF(J1752="0",0,IF(COUNTIF($J$2:J1752,J1752)=1,1,0))</f>
        <v>0</v>
      </c>
      <c r="B1752" s="12" t="e">
        <f>MID(MAIN!A1757,K1752,2)</f>
        <v>#VALUE!</v>
      </c>
      <c r="C1752" s="12" t="e">
        <f t="shared" si="108"/>
        <v>#VALUE!</v>
      </c>
      <c r="D1752" s="12" t="e">
        <f>MID(MAIN!A1757,K1752+2,2)</f>
        <v>#VALUE!</v>
      </c>
      <c r="E1752" s="12" t="e">
        <f>MID(MAIN!A1757,K1752+4,2)</f>
        <v>#VALUE!</v>
      </c>
      <c r="F1752" s="2" t="e">
        <f t="shared" si="109"/>
        <v>#VALUE!</v>
      </c>
      <c r="G1752" s="13" t="e">
        <f t="shared" si="110"/>
        <v>#VALUE!</v>
      </c>
      <c r="J1752" t="str">
        <f>MAIN!A1757&amp;"B"</f>
        <v>B</v>
      </c>
      <c r="K1752" s="12" t="e">
        <f t="shared" si="111"/>
        <v>#VALUE!</v>
      </c>
      <c r="L1752" t="str">
        <f>MAIN!C1757</f>
        <v/>
      </c>
    </row>
    <row r="1753" spans="1:12" x14ac:dyDescent="0.3">
      <c r="A1753">
        <f>IF(J1753="0",0,IF(COUNTIF($J$2:J1753,J1753)=1,1,0))</f>
        <v>0</v>
      </c>
      <c r="B1753" s="12" t="e">
        <f>MID(MAIN!A1758,K1753,2)</f>
        <v>#VALUE!</v>
      </c>
      <c r="C1753" s="12" t="e">
        <f t="shared" si="108"/>
        <v>#VALUE!</v>
      </c>
      <c r="D1753" s="12" t="e">
        <f>MID(MAIN!A1758,K1753+2,2)</f>
        <v>#VALUE!</v>
      </c>
      <c r="E1753" s="12" t="e">
        <f>MID(MAIN!A1758,K1753+4,2)</f>
        <v>#VALUE!</v>
      </c>
      <c r="F1753" s="2" t="e">
        <f t="shared" si="109"/>
        <v>#VALUE!</v>
      </c>
      <c r="G1753" s="13" t="e">
        <f t="shared" si="110"/>
        <v>#VALUE!</v>
      </c>
      <c r="J1753" t="str">
        <f>MAIN!A1758&amp;"B"</f>
        <v>B</v>
      </c>
      <c r="K1753" s="12" t="e">
        <f t="shared" si="111"/>
        <v>#VALUE!</v>
      </c>
      <c r="L1753" t="str">
        <f>MAIN!C1758</f>
        <v/>
      </c>
    </row>
    <row r="1754" spans="1:12" x14ac:dyDescent="0.3">
      <c r="A1754">
        <f>IF(J1754="0",0,IF(COUNTIF($J$2:J1754,J1754)=1,1,0))</f>
        <v>0</v>
      </c>
      <c r="B1754" s="12" t="e">
        <f>MID(MAIN!A1759,K1754,2)</f>
        <v>#VALUE!</v>
      </c>
      <c r="C1754" s="12" t="e">
        <f t="shared" si="108"/>
        <v>#VALUE!</v>
      </c>
      <c r="D1754" s="12" t="e">
        <f>MID(MAIN!A1759,K1754+2,2)</f>
        <v>#VALUE!</v>
      </c>
      <c r="E1754" s="12" t="e">
        <f>MID(MAIN!A1759,K1754+4,2)</f>
        <v>#VALUE!</v>
      </c>
      <c r="F1754" s="2" t="e">
        <f t="shared" si="109"/>
        <v>#VALUE!</v>
      </c>
      <c r="G1754" s="13" t="e">
        <f t="shared" si="110"/>
        <v>#VALUE!</v>
      </c>
      <c r="J1754" t="str">
        <f>MAIN!A1759&amp;"B"</f>
        <v>B</v>
      </c>
      <c r="K1754" s="12" t="e">
        <f t="shared" si="111"/>
        <v>#VALUE!</v>
      </c>
      <c r="L1754" t="str">
        <f>MAIN!C1759</f>
        <v/>
      </c>
    </row>
    <row r="1755" spans="1:12" x14ac:dyDescent="0.3">
      <c r="A1755">
        <f>IF(J1755="0",0,IF(COUNTIF($J$2:J1755,J1755)=1,1,0))</f>
        <v>0</v>
      </c>
      <c r="B1755" s="12" t="e">
        <f>MID(MAIN!A1760,K1755,2)</f>
        <v>#VALUE!</v>
      </c>
      <c r="C1755" s="12" t="e">
        <f t="shared" si="108"/>
        <v>#VALUE!</v>
      </c>
      <c r="D1755" s="12" t="e">
        <f>MID(MAIN!A1760,K1755+2,2)</f>
        <v>#VALUE!</v>
      </c>
      <c r="E1755" s="12" t="e">
        <f>MID(MAIN!A1760,K1755+4,2)</f>
        <v>#VALUE!</v>
      </c>
      <c r="F1755" s="2" t="e">
        <f t="shared" si="109"/>
        <v>#VALUE!</v>
      </c>
      <c r="G1755" s="13" t="e">
        <f t="shared" si="110"/>
        <v>#VALUE!</v>
      </c>
      <c r="J1755" t="str">
        <f>MAIN!A1760&amp;"B"</f>
        <v>B</v>
      </c>
      <c r="K1755" s="12" t="e">
        <f t="shared" si="111"/>
        <v>#VALUE!</v>
      </c>
      <c r="L1755" t="str">
        <f>MAIN!C1760</f>
        <v/>
      </c>
    </row>
    <row r="1756" spans="1:12" x14ac:dyDescent="0.3">
      <c r="A1756">
        <f>IF(J1756="0",0,IF(COUNTIF($J$2:J1756,J1756)=1,1,0))</f>
        <v>0</v>
      </c>
      <c r="B1756" s="12" t="e">
        <f>MID(MAIN!A1761,K1756,2)</f>
        <v>#VALUE!</v>
      </c>
      <c r="C1756" s="12" t="e">
        <f t="shared" si="108"/>
        <v>#VALUE!</v>
      </c>
      <c r="D1756" s="12" t="e">
        <f>MID(MAIN!A1761,K1756+2,2)</f>
        <v>#VALUE!</v>
      </c>
      <c r="E1756" s="12" t="e">
        <f>MID(MAIN!A1761,K1756+4,2)</f>
        <v>#VALUE!</v>
      </c>
      <c r="F1756" s="2" t="e">
        <f t="shared" si="109"/>
        <v>#VALUE!</v>
      </c>
      <c r="G1756" s="13" t="e">
        <f t="shared" si="110"/>
        <v>#VALUE!</v>
      </c>
      <c r="J1756" t="str">
        <f>MAIN!A1761&amp;"B"</f>
        <v>B</v>
      </c>
      <c r="K1756" s="12" t="e">
        <f t="shared" si="111"/>
        <v>#VALUE!</v>
      </c>
      <c r="L1756" t="str">
        <f>MAIN!C1761</f>
        <v/>
      </c>
    </row>
    <row r="1757" spans="1:12" x14ac:dyDescent="0.3">
      <c r="A1757">
        <f>IF(J1757="0",0,IF(COUNTIF($J$2:J1757,J1757)=1,1,0))</f>
        <v>0</v>
      </c>
      <c r="B1757" s="12" t="e">
        <f>MID(MAIN!A1762,K1757,2)</f>
        <v>#VALUE!</v>
      </c>
      <c r="C1757" s="12" t="e">
        <f t="shared" si="108"/>
        <v>#VALUE!</v>
      </c>
      <c r="D1757" s="12" t="e">
        <f>MID(MAIN!A1762,K1757+2,2)</f>
        <v>#VALUE!</v>
      </c>
      <c r="E1757" s="12" t="e">
        <f>MID(MAIN!A1762,K1757+4,2)</f>
        <v>#VALUE!</v>
      </c>
      <c r="F1757" s="2" t="e">
        <f t="shared" si="109"/>
        <v>#VALUE!</v>
      </c>
      <c r="G1757" s="13" t="e">
        <f t="shared" si="110"/>
        <v>#VALUE!</v>
      </c>
      <c r="J1757" t="str">
        <f>MAIN!A1762&amp;"B"</f>
        <v>B</v>
      </c>
      <c r="K1757" s="12" t="e">
        <f t="shared" si="111"/>
        <v>#VALUE!</v>
      </c>
      <c r="L1757" t="str">
        <f>MAIN!C1762</f>
        <v/>
      </c>
    </row>
    <row r="1758" spans="1:12" x14ac:dyDescent="0.3">
      <c r="A1758">
        <f>IF(J1758="0",0,IF(COUNTIF($J$2:J1758,J1758)=1,1,0))</f>
        <v>0</v>
      </c>
      <c r="B1758" s="12" t="e">
        <f>MID(MAIN!A1763,K1758,2)</f>
        <v>#VALUE!</v>
      </c>
      <c r="C1758" s="12" t="e">
        <f t="shared" si="108"/>
        <v>#VALUE!</v>
      </c>
      <c r="D1758" s="12" t="e">
        <f>MID(MAIN!A1763,K1758+2,2)</f>
        <v>#VALUE!</v>
      </c>
      <c r="E1758" s="12" t="e">
        <f>MID(MAIN!A1763,K1758+4,2)</f>
        <v>#VALUE!</v>
      </c>
      <c r="F1758" s="2" t="e">
        <f t="shared" si="109"/>
        <v>#VALUE!</v>
      </c>
      <c r="G1758" s="13" t="e">
        <f t="shared" si="110"/>
        <v>#VALUE!</v>
      </c>
      <c r="J1758" t="str">
        <f>MAIN!A1763&amp;"B"</f>
        <v>B</v>
      </c>
      <c r="K1758" s="12" t="e">
        <f t="shared" si="111"/>
        <v>#VALUE!</v>
      </c>
      <c r="L1758" t="str">
        <f>MAIN!C1763</f>
        <v/>
      </c>
    </row>
    <row r="1759" spans="1:12" x14ac:dyDescent="0.3">
      <c r="A1759">
        <f>IF(J1759="0",0,IF(COUNTIF($J$2:J1759,J1759)=1,1,0))</f>
        <v>0</v>
      </c>
      <c r="B1759" s="12" t="e">
        <f>MID(MAIN!A1764,K1759,2)</f>
        <v>#VALUE!</v>
      </c>
      <c r="C1759" s="12" t="e">
        <f t="shared" si="108"/>
        <v>#VALUE!</v>
      </c>
      <c r="D1759" s="12" t="e">
        <f>MID(MAIN!A1764,K1759+2,2)</f>
        <v>#VALUE!</v>
      </c>
      <c r="E1759" s="12" t="e">
        <f>MID(MAIN!A1764,K1759+4,2)</f>
        <v>#VALUE!</v>
      </c>
      <c r="F1759" s="2" t="e">
        <f t="shared" si="109"/>
        <v>#VALUE!</v>
      </c>
      <c r="G1759" s="13" t="e">
        <f t="shared" si="110"/>
        <v>#VALUE!</v>
      </c>
      <c r="J1759" t="str">
        <f>MAIN!A1764&amp;"B"</f>
        <v>B</v>
      </c>
      <c r="K1759" s="12" t="e">
        <f t="shared" si="111"/>
        <v>#VALUE!</v>
      </c>
      <c r="L1759" t="str">
        <f>MAIN!C1764</f>
        <v/>
      </c>
    </row>
    <row r="1760" spans="1:12" x14ac:dyDescent="0.3">
      <c r="A1760">
        <f>IF(J1760="0",0,IF(COUNTIF($J$2:J1760,J1760)=1,1,0))</f>
        <v>0</v>
      </c>
      <c r="B1760" s="12" t="e">
        <f>MID(MAIN!A1765,K1760,2)</f>
        <v>#VALUE!</v>
      </c>
      <c r="C1760" s="12" t="e">
        <f t="shared" si="108"/>
        <v>#VALUE!</v>
      </c>
      <c r="D1760" s="12" t="e">
        <f>MID(MAIN!A1765,K1760+2,2)</f>
        <v>#VALUE!</v>
      </c>
      <c r="E1760" s="12" t="e">
        <f>MID(MAIN!A1765,K1760+4,2)</f>
        <v>#VALUE!</v>
      </c>
      <c r="F1760" s="2" t="e">
        <f t="shared" si="109"/>
        <v>#VALUE!</v>
      </c>
      <c r="G1760" s="13" t="e">
        <f t="shared" si="110"/>
        <v>#VALUE!</v>
      </c>
      <c r="J1760" t="str">
        <f>MAIN!A1765&amp;"B"</f>
        <v>B</v>
      </c>
      <c r="K1760" s="12" t="e">
        <f t="shared" si="111"/>
        <v>#VALUE!</v>
      </c>
      <c r="L1760" t="str">
        <f>MAIN!C1765</f>
        <v/>
      </c>
    </row>
    <row r="1761" spans="1:12" x14ac:dyDescent="0.3">
      <c r="A1761">
        <f>IF(J1761="0",0,IF(COUNTIF($J$2:J1761,J1761)=1,1,0))</f>
        <v>0</v>
      </c>
      <c r="B1761" s="12" t="e">
        <f>MID(MAIN!A1766,K1761,2)</f>
        <v>#VALUE!</v>
      </c>
      <c r="C1761" s="12" t="e">
        <f t="shared" si="108"/>
        <v>#VALUE!</v>
      </c>
      <c r="D1761" s="12" t="e">
        <f>MID(MAIN!A1766,K1761+2,2)</f>
        <v>#VALUE!</v>
      </c>
      <c r="E1761" s="12" t="e">
        <f>MID(MAIN!A1766,K1761+4,2)</f>
        <v>#VALUE!</v>
      </c>
      <c r="F1761" s="2" t="e">
        <f t="shared" si="109"/>
        <v>#VALUE!</v>
      </c>
      <c r="G1761" s="13" t="e">
        <f t="shared" si="110"/>
        <v>#VALUE!</v>
      </c>
      <c r="J1761" t="str">
        <f>MAIN!A1766&amp;"B"</f>
        <v>B</v>
      </c>
      <c r="K1761" s="12" t="e">
        <f t="shared" si="111"/>
        <v>#VALUE!</v>
      </c>
      <c r="L1761" t="str">
        <f>MAIN!C1766</f>
        <v/>
      </c>
    </row>
    <row r="1762" spans="1:12" x14ac:dyDescent="0.3">
      <c r="A1762">
        <f>IF(J1762="0",0,IF(COUNTIF($J$2:J1762,J1762)=1,1,0))</f>
        <v>0</v>
      </c>
      <c r="B1762" s="12" t="e">
        <f>MID(MAIN!A1767,K1762,2)</f>
        <v>#VALUE!</v>
      </c>
      <c r="C1762" s="12" t="e">
        <f t="shared" si="108"/>
        <v>#VALUE!</v>
      </c>
      <c r="D1762" s="12" t="e">
        <f>MID(MAIN!A1767,K1762+2,2)</f>
        <v>#VALUE!</v>
      </c>
      <c r="E1762" s="12" t="e">
        <f>MID(MAIN!A1767,K1762+4,2)</f>
        <v>#VALUE!</v>
      </c>
      <c r="F1762" s="2" t="e">
        <f t="shared" si="109"/>
        <v>#VALUE!</v>
      </c>
      <c r="G1762" s="13" t="e">
        <f t="shared" si="110"/>
        <v>#VALUE!</v>
      </c>
      <c r="J1762" t="str">
        <f>MAIN!A1767&amp;"B"</f>
        <v>B</v>
      </c>
      <c r="K1762" s="12" t="e">
        <f t="shared" si="111"/>
        <v>#VALUE!</v>
      </c>
      <c r="L1762" t="str">
        <f>MAIN!C1767</f>
        <v/>
      </c>
    </row>
    <row r="1763" spans="1:12" x14ac:dyDescent="0.3">
      <c r="A1763">
        <f>IF(J1763="0",0,IF(COUNTIF($J$2:J1763,J1763)=1,1,0))</f>
        <v>0</v>
      </c>
      <c r="B1763" s="12" t="e">
        <f>MID(MAIN!A1768,K1763,2)</f>
        <v>#VALUE!</v>
      </c>
      <c r="C1763" s="12" t="e">
        <f t="shared" si="108"/>
        <v>#VALUE!</v>
      </c>
      <c r="D1763" s="12" t="e">
        <f>MID(MAIN!A1768,K1763+2,2)</f>
        <v>#VALUE!</v>
      </c>
      <c r="E1763" s="12" t="e">
        <f>MID(MAIN!A1768,K1763+4,2)</f>
        <v>#VALUE!</v>
      </c>
      <c r="F1763" s="2" t="e">
        <f t="shared" si="109"/>
        <v>#VALUE!</v>
      </c>
      <c r="G1763" s="13" t="e">
        <f t="shared" si="110"/>
        <v>#VALUE!</v>
      </c>
      <c r="J1763" t="str">
        <f>MAIN!A1768&amp;"B"</f>
        <v>B</v>
      </c>
      <c r="K1763" s="12" t="e">
        <f t="shared" si="111"/>
        <v>#VALUE!</v>
      </c>
      <c r="L1763" t="str">
        <f>MAIN!C1768</f>
        <v/>
      </c>
    </row>
    <row r="1764" spans="1:12" x14ac:dyDescent="0.3">
      <c r="A1764">
        <f>IF(J1764="0",0,IF(COUNTIF($J$2:J1764,J1764)=1,1,0))</f>
        <v>0</v>
      </c>
      <c r="B1764" s="12" t="e">
        <f>MID(MAIN!A1769,K1764,2)</f>
        <v>#VALUE!</v>
      </c>
      <c r="C1764" s="12" t="e">
        <f t="shared" si="108"/>
        <v>#VALUE!</v>
      </c>
      <c r="D1764" s="12" t="e">
        <f>MID(MAIN!A1769,K1764+2,2)</f>
        <v>#VALUE!</v>
      </c>
      <c r="E1764" s="12" t="e">
        <f>MID(MAIN!A1769,K1764+4,2)</f>
        <v>#VALUE!</v>
      </c>
      <c r="F1764" s="2" t="e">
        <f t="shared" si="109"/>
        <v>#VALUE!</v>
      </c>
      <c r="G1764" s="13" t="e">
        <f t="shared" si="110"/>
        <v>#VALUE!</v>
      </c>
      <c r="J1764" t="str">
        <f>MAIN!A1769&amp;"B"</f>
        <v>B</v>
      </c>
      <c r="K1764" s="12" t="e">
        <f t="shared" si="111"/>
        <v>#VALUE!</v>
      </c>
      <c r="L1764" t="str">
        <f>MAIN!C1769</f>
        <v/>
      </c>
    </row>
    <row r="1765" spans="1:12" x14ac:dyDescent="0.3">
      <c r="A1765">
        <f>IF(J1765="0",0,IF(COUNTIF($J$2:J1765,J1765)=1,1,0))</f>
        <v>0</v>
      </c>
      <c r="B1765" s="12" t="e">
        <f>MID(MAIN!A1770,K1765,2)</f>
        <v>#VALUE!</v>
      </c>
      <c r="C1765" s="12" t="e">
        <f t="shared" si="108"/>
        <v>#VALUE!</v>
      </c>
      <c r="D1765" s="12" t="e">
        <f>MID(MAIN!A1770,K1765+2,2)</f>
        <v>#VALUE!</v>
      </c>
      <c r="E1765" s="12" t="e">
        <f>MID(MAIN!A1770,K1765+4,2)</f>
        <v>#VALUE!</v>
      </c>
      <c r="F1765" s="2" t="e">
        <f t="shared" si="109"/>
        <v>#VALUE!</v>
      </c>
      <c r="G1765" s="13" t="e">
        <f t="shared" si="110"/>
        <v>#VALUE!</v>
      </c>
      <c r="J1765" t="str">
        <f>MAIN!A1770&amp;"B"</f>
        <v>B</v>
      </c>
      <c r="K1765" s="12" t="e">
        <f t="shared" si="111"/>
        <v>#VALUE!</v>
      </c>
      <c r="L1765" t="str">
        <f>MAIN!C1770</f>
        <v/>
      </c>
    </row>
    <row r="1766" spans="1:12" x14ac:dyDescent="0.3">
      <c r="A1766">
        <f>IF(J1766="0",0,IF(COUNTIF($J$2:J1766,J1766)=1,1,0))</f>
        <v>0</v>
      </c>
      <c r="B1766" s="12" t="e">
        <f>MID(MAIN!A1771,K1766,2)</f>
        <v>#VALUE!</v>
      </c>
      <c r="C1766" s="12" t="e">
        <f t="shared" si="108"/>
        <v>#VALUE!</v>
      </c>
      <c r="D1766" s="12" t="e">
        <f>MID(MAIN!A1771,K1766+2,2)</f>
        <v>#VALUE!</v>
      </c>
      <c r="E1766" s="12" t="e">
        <f>MID(MAIN!A1771,K1766+4,2)</f>
        <v>#VALUE!</v>
      </c>
      <c r="F1766" s="2" t="e">
        <f t="shared" si="109"/>
        <v>#VALUE!</v>
      </c>
      <c r="G1766" s="13" t="e">
        <f t="shared" si="110"/>
        <v>#VALUE!</v>
      </c>
      <c r="J1766" t="str">
        <f>MAIN!A1771&amp;"B"</f>
        <v>B</v>
      </c>
      <c r="K1766" s="12" t="e">
        <f t="shared" si="111"/>
        <v>#VALUE!</v>
      </c>
      <c r="L1766" t="str">
        <f>MAIN!C1771</f>
        <v/>
      </c>
    </row>
    <row r="1767" spans="1:12" x14ac:dyDescent="0.3">
      <c r="A1767">
        <f>IF(J1767="0",0,IF(COUNTIF($J$2:J1767,J1767)=1,1,0))</f>
        <v>0</v>
      </c>
      <c r="B1767" s="12" t="e">
        <f>MID(MAIN!A1772,K1767,2)</f>
        <v>#VALUE!</v>
      </c>
      <c r="C1767" s="12" t="e">
        <f t="shared" si="108"/>
        <v>#VALUE!</v>
      </c>
      <c r="D1767" s="12" t="e">
        <f>MID(MAIN!A1772,K1767+2,2)</f>
        <v>#VALUE!</v>
      </c>
      <c r="E1767" s="12" t="e">
        <f>MID(MAIN!A1772,K1767+4,2)</f>
        <v>#VALUE!</v>
      </c>
      <c r="F1767" s="2" t="e">
        <f t="shared" si="109"/>
        <v>#VALUE!</v>
      </c>
      <c r="G1767" s="13" t="e">
        <f t="shared" si="110"/>
        <v>#VALUE!</v>
      </c>
      <c r="J1767" t="str">
        <f>MAIN!A1772&amp;"B"</f>
        <v>B</v>
      </c>
      <c r="K1767" s="12" t="e">
        <f t="shared" si="111"/>
        <v>#VALUE!</v>
      </c>
      <c r="L1767" t="str">
        <f>MAIN!C1772</f>
        <v/>
      </c>
    </row>
    <row r="1768" spans="1:12" x14ac:dyDescent="0.3">
      <c r="A1768">
        <f>IF(J1768="0",0,IF(COUNTIF($J$2:J1768,J1768)=1,1,0))</f>
        <v>0</v>
      </c>
      <c r="B1768" s="12" t="e">
        <f>MID(MAIN!A1773,K1768,2)</f>
        <v>#VALUE!</v>
      </c>
      <c r="C1768" s="12" t="e">
        <f t="shared" si="108"/>
        <v>#VALUE!</v>
      </c>
      <c r="D1768" s="12" t="e">
        <f>MID(MAIN!A1773,K1768+2,2)</f>
        <v>#VALUE!</v>
      </c>
      <c r="E1768" s="12" t="e">
        <f>MID(MAIN!A1773,K1768+4,2)</f>
        <v>#VALUE!</v>
      </c>
      <c r="F1768" s="2" t="e">
        <f t="shared" si="109"/>
        <v>#VALUE!</v>
      </c>
      <c r="G1768" s="13" t="e">
        <f t="shared" si="110"/>
        <v>#VALUE!</v>
      </c>
      <c r="J1768" t="str">
        <f>MAIN!A1773&amp;"B"</f>
        <v>B</v>
      </c>
      <c r="K1768" s="12" t="e">
        <f t="shared" si="111"/>
        <v>#VALUE!</v>
      </c>
      <c r="L1768" t="str">
        <f>MAIN!C1773</f>
        <v/>
      </c>
    </row>
    <row r="1769" spans="1:12" x14ac:dyDescent="0.3">
      <c r="A1769">
        <f>IF(J1769="0",0,IF(COUNTIF($J$2:J1769,J1769)=1,1,0))</f>
        <v>0</v>
      </c>
      <c r="B1769" s="12" t="e">
        <f>MID(MAIN!A1774,K1769,2)</f>
        <v>#VALUE!</v>
      </c>
      <c r="C1769" s="12" t="e">
        <f t="shared" si="108"/>
        <v>#VALUE!</v>
      </c>
      <c r="D1769" s="12" t="e">
        <f>MID(MAIN!A1774,K1769+2,2)</f>
        <v>#VALUE!</v>
      </c>
      <c r="E1769" s="12" t="e">
        <f>MID(MAIN!A1774,K1769+4,2)</f>
        <v>#VALUE!</v>
      </c>
      <c r="F1769" s="2" t="e">
        <f t="shared" si="109"/>
        <v>#VALUE!</v>
      </c>
      <c r="G1769" s="13" t="e">
        <f t="shared" si="110"/>
        <v>#VALUE!</v>
      </c>
      <c r="J1769" t="str">
        <f>MAIN!A1774&amp;"B"</f>
        <v>B</v>
      </c>
      <c r="K1769" s="12" t="e">
        <f t="shared" si="111"/>
        <v>#VALUE!</v>
      </c>
      <c r="L1769" t="str">
        <f>MAIN!C1774</f>
        <v/>
      </c>
    </row>
    <row r="1770" spans="1:12" x14ac:dyDescent="0.3">
      <c r="A1770">
        <f>IF(J1770="0",0,IF(COUNTIF($J$2:J1770,J1770)=1,1,0))</f>
        <v>0</v>
      </c>
      <c r="B1770" s="12" t="e">
        <f>MID(MAIN!A1775,K1770,2)</f>
        <v>#VALUE!</v>
      </c>
      <c r="C1770" s="12" t="e">
        <f t="shared" si="108"/>
        <v>#VALUE!</v>
      </c>
      <c r="D1770" s="12" t="e">
        <f>MID(MAIN!A1775,K1770+2,2)</f>
        <v>#VALUE!</v>
      </c>
      <c r="E1770" s="12" t="e">
        <f>MID(MAIN!A1775,K1770+4,2)</f>
        <v>#VALUE!</v>
      </c>
      <c r="F1770" s="2" t="e">
        <f t="shared" si="109"/>
        <v>#VALUE!</v>
      </c>
      <c r="G1770" s="13" t="e">
        <f t="shared" si="110"/>
        <v>#VALUE!</v>
      </c>
      <c r="J1770" t="str">
        <f>MAIN!A1775&amp;"B"</f>
        <v>B</v>
      </c>
      <c r="K1770" s="12" t="e">
        <f t="shared" si="111"/>
        <v>#VALUE!</v>
      </c>
      <c r="L1770" t="str">
        <f>MAIN!C1775</f>
        <v/>
      </c>
    </row>
    <row r="1771" spans="1:12" x14ac:dyDescent="0.3">
      <c r="A1771">
        <f>IF(J1771="0",0,IF(COUNTIF($J$2:J1771,J1771)=1,1,0))</f>
        <v>0</v>
      </c>
      <c r="B1771" s="12" t="e">
        <f>MID(MAIN!A1776,K1771,2)</f>
        <v>#VALUE!</v>
      </c>
      <c r="C1771" s="12" t="e">
        <f t="shared" si="108"/>
        <v>#VALUE!</v>
      </c>
      <c r="D1771" s="12" t="e">
        <f>MID(MAIN!A1776,K1771+2,2)</f>
        <v>#VALUE!</v>
      </c>
      <c r="E1771" s="12" t="e">
        <f>MID(MAIN!A1776,K1771+4,2)</f>
        <v>#VALUE!</v>
      </c>
      <c r="F1771" s="2" t="e">
        <f t="shared" si="109"/>
        <v>#VALUE!</v>
      </c>
      <c r="G1771" s="13" t="e">
        <f t="shared" si="110"/>
        <v>#VALUE!</v>
      </c>
      <c r="J1771" t="str">
        <f>MAIN!A1776&amp;"B"</f>
        <v>B</v>
      </c>
      <c r="K1771" s="12" t="e">
        <f t="shared" si="111"/>
        <v>#VALUE!</v>
      </c>
      <c r="L1771" t="str">
        <f>MAIN!C1776</f>
        <v/>
      </c>
    </row>
    <row r="1772" spans="1:12" x14ac:dyDescent="0.3">
      <c r="A1772">
        <f>IF(J1772="0",0,IF(COUNTIF($J$2:J1772,J1772)=1,1,0))</f>
        <v>0</v>
      </c>
      <c r="B1772" s="12" t="e">
        <f>MID(MAIN!A1777,K1772,2)</f>
        <v>#VALUE!</v>
      </c>
      <c r="C1772" s="12" t="e">
        <f t="shared" si="108"/>
        <v>#VALUE!</v>
      </c>
      <c r="D1772" s="12" t="e">
        <f>MID(MAIN!A1777,K1772+2,2)</f>
        <v>#VALUE!</v>
      </c>
      <c r="E1772" s="12" t="e">
        <f>MID(MAIN!A1777,K1772+4,2)</f>
        <v>#VALUE!</v>
      </c>
      <c r="F1772" s="2" t="e">
        <f t="shared" si="109"/>
        <v>#VALUE!</v>
      </c>
      <c r="G1772" s="13" t="e">
        <f t="shared" si="110"/>
        <v>#VALUE!</v>
      </c>
      <c r="J1772" t="str">
        <f>MAIN!A1777&amp;"B"</f>
        <v>B</v>
      </c>
      <c r="K1772" s="12" t="e">
        <f t="shared" si="111"/>
        <v>#VALUE!</v>
      </c>
      <c r="L1772" t="str">
        <f>MAIN!C1777</f>
        <v/>
      </c>
    </row>
    <row r="1773" spans="1:12" x14ac:dyDescent="0.3">
      <c r="A1773">
        <f>IF(J1773="0",0,IF(COUNTIF($J$2:J1773,J1773)=1,1,0))</f>
        <v>0</v>
      </c>
      <c r="B1773" s="12" t="e">
        <f>MID(MAIN!A1778,K1773,2)</f>
        <v>#VALUE!</v>
      </c>
      <c r="C1773" s="12" t="e">
        <f t="shared" si="108"/>
        <v>#VALUE!</v>
      </c>
      <c r="D1773" s="12" t="e">
        <f>MID(MAIN!A1778,K1773+2,2)</f>
        <v>#VALUE!</v>
      </c>
      <c r="E1773" s="12" t="e">
        <f>MID(MAIN!A1778,K1773+4,2)</f>
        <v>#VALUE!</v>
      </c>
      <c r="F1773" s="2" t="e">
        <f t="shared" si="109"/>
        <v>#VALUE!</v>
      </c>
      <c r="G1773" s="13" t="e">
        <f t="shared" si="110"/>
        <v>#VALUE!</v>
      </c>
      <c r="J1773" t="str">
        <f>MAIN!A1778&amp;"B"</f>
        <v>B</v>
      </c>
      <c r="K1773" s="12" t="e">
        <f t="shared" si="111"/>
        <v>#VALUE!</v>
      </c>
      <c r="L1773" t="str">
        <f>MAIN!C1778</f>
        <v/>
      </c>
    </row>
    <row r="1774" spans="1:12" x14ac:dyDescent="0.3">
      <c r="A1774">
        <f>IF(J1774="0",0,IF(COUNTIF($J$2:J1774,J1774)=1,1,0))</f>
        <v>0</v>
      </c>
      <c r="B1774" s="12" t="e">
        <f>MID(MAIN!A1779,K1774,2)</f>
        <v>#VALUE!</v>
      </c>
      <c r="C1774" s="12" t="e">
        <f t="shared" si="108"/>
        <v>#VALUE!</v>
      </c>
      <c r="D1774" s="12" t="e">
        <f>MID(MAIN!A1779,K1774+2,2)</f>
        <v>#VALUE!</v>
      </c>
      <c r="E1774" s="12" t="e">
        <f>MID(MAIN!A1779,K1774+4,2)</f>
        <v>#VALUE!</v>
      </c>
      <c r="F1774" s="2" t="e">
        <f t="shared" si="109"/>
        <v>#VALUE!</v>
      </c>
      <c r="G1774" s="13" t="e">
        <f t="shared" si="110"/>
        <v>#VALUE!</v>
      </c>
      <c r="J1774" t="str">
        <f>MAIN!A1779&amp;"B"</f>
        <v>B</v>
      </c>
      <c r="K1774" s="12" t="e">
        <f t="shared" si="111"/>
        <v>#VALUE!</v>
      </c>
      <c r="L1774" t="str">
        <f>MAIN!C1779</f>
        <v/>
      </c>
    </row>
    <row r="1775" spans="1:12" x14ac:dyDescent="0.3">
      <c r="A1775">
        <f>IF(J1775="0",0,IF(COUNTIF($J$2:J1775,J1775)=1,1,0))</f>
        <v>0</v>
      </c>
      <c r="B1775" s="12" t="e">
        <f>MID(MAIN!A1780,K1775,2)</f>
        <v>#VALUE!</v>
      </c>
      <c r="C1775" s="12" t="e">
        <f t="shared" si="108"/>
        <v>#VALUE!</v>
      </c>
      <c r="D1775" s="12" t="e">
        <f>MID(MAIN!A1780,K1775+2,2)</f>
        <v>#VALUE!</v>
      </c>
      <c r="E1775" s="12" t="e">
        <f>MID(MAIN!A1780,K1775+4,2)</f>
        <v>#VALUE!</v>
      </c>
      <c r="F1775" s="2" t="e">
        <f t="shared" si="109"/>
        <v>#VALUE!</v>
      </c>
      <c r="G1775" s="13" t="e">
        <f t="shared" si="110"/>
        <v>#VALUE!</v>
      </c>
      <c r="J1775" t="str">
        <f>MAIN!A1780&amp;"B"</f>
        <v>B</v>
      </c>
      <c r="K1775" s="12" t="e">
        <f t="shared" si="111"/>
        <v>#VALUE!</v>
      </c>
      <c r="L1775" t="str">
        <f>MAIN!C1780</f>
        <v/>
      </c>
    </row>
    <row r="1776" spans="1:12" x14ac:dyDescent="0.3">
      <c r="A1776">
        <f>IF(J1776="0",0,IF(COUNTIF($J$2:J1776,J1776)=1,1,0))</f>
        <v>0</v>
      </c>
      <c r="B1776" s="12" t="e">
        <f>MID(MAIN!A1781,K1776,2)</f>
        <v>#VALUE!</v>
      </c>
      <c r="C1776" s="12" t="e">
        <f t="shared" si="108"/>
        <v>#VALUE!</v>
      </c>
      <c r="D1776" s="12" t="e">
        <f>MID(MAIN!A1781,K1776+2,2)</f>
        <v>#VALUE!</v>
      </c>
      <c r="E1776" s="12" t="e">
        <f>MID(MAIN!A1781,K1776+4,2)</f>
        <v>#VALUE!</v>
      </c>
      <c r="F1776" s="2" t="e">
        <f t="shared" si="109"/>
        <v>#VALUE!</v>
      </c>
      <c r="G1776" s="13" t="e">
        <f t="shared" si="110"/>
        <v>#VALUE!</v>
      </c>
      <c r="J1776" t="str">
        <f>MAIN!A1781&amp;"B"</f>
        <v>B</v>
      </c>
      <c r="K1776" s="12" t="e">
        <f t="shared" si="111"/>
        <v>#VALUE!</v>
      </c>
      <c r="L1776" t="str">
        <f>MAIN!C1781</f>
        <v/>
      </c>
    </row>
    <row r="1777" spans="1:12" x14ac:dyDescent="0.3">
      <c r="A1777">
        <f>IF(J1777="0",0,IF(COUNTIF($J$2:J1777,J1777)=1,1,0))</f>
        <v>0</v>
      </c>
      <c r="B1777" s="12" t="e">
        <f>MID(MAIN!A1782,K1777,2)</f>
        <v>#VALUE!</v>
      </c>
      <c r="C1777" s="12" t="e">
        <f t="shared" si="108"/>
        <v>#VALUE!</v>
      </c>
      <c r="D1777" s="12" t="e">
        <f>MID(MAIN!A1782,K1777+2,2)</f>
        <v>#VALUE!</v>
      </c>
      <c r="E1777" s="12" t="e">
        <f>MID(MAIN!A1782,K1777+4,2)</f>
        <v>#VALUE!</v>
      </c>
      <c r="F1777" s="2" t="e">
        <f t="shared" si="109"/>
        <v>#VALUE!</v>
      </c>
      <c r="G1777" s="13" t="e">
        <f t="shared" si="110"/>
        <v>#VALUE!</v>
      </c>
      <c r="J1777" t="str">
        <f>MAIN!A1782&amp;"B"</f>
        <v>B</v>
      </c>
      <c r="K1777" s="12" t="e">
        <f t="shared" si="111"/>
        <v>#VALUE!</v>
      </c>
      <c r="L1777" t="str">
        <f>MAIN!C1782</f>
        <v/>
      </c>
    </row>
    <row r="1778" spans="1:12" x14ac:dyDescent="0.3">
      <c r="A1778">
        <f>IF(J1778="0",0,IF(COUNTIF($J$2:J1778,J1778)=1,1,0))</f>
        <v>0</v>
      </c>
      <c r="B1778" s="12" t="e">
        <f>MID(MAIN!A1783,K1778,2)</f>
        <v>#VALUE!</v>
      </c>
      <c r="C1778" s="12" t="e">
        <f t="shared" si="108"/>
        <v>#VALUE!</v>
      </c>
      <c r="D1778" s="12" t="e">
        <f>MID(MAIN!A1783,K1778+2,2)</f>
        <v>#VALUE!</v>
      </c>
      <c r="E1778" s="12" t="e">
        <f>MID(MAIN!A1783,K1778+4,2)</f>
        <v>#VALUE!</v>
      </c>
      <c r="F1778" s="2" t="e">
        <f t="shared" si="109"/>
        <v>#VALUE!</v>
      </c>
      <c r="G1778" s="13" t="e">
        <f t="shared" si="110"/>
        <v>#VALUE!</v>
      </c>
      <c r="J1778" t="str">
        <f>MAIN!A1783&amp;"B"</f>
        <v>B</v>
      </c>
      <c r="K1778" s="12" t="e">
        <f t="shared" si="111"/>
        <v>#VALUE!</v>
      </c>
      <c r="L1778" t="str">
        <f>MAIN!C1783</f>
        <v/>
      </c>
    </row>
    <row r="1779" spans="1:12" x14ac:dyDescent="0.3">
      <c r="A1779">
        <f>IF(J1779="0",0,IF(COUNTIF($J$2:J1779,J1779)=1,1,0))</f>
        <v>0</v>
      </c>
      <c r="B1779" s="12" t="e">
        <f>MID(MAIN!A1784,K1779,2)</f>
        <v>#VALUE!</v>
      </c>
      <c r="C1779" s="12" t="e">
        <f t="shared" si="108"/>
        <v>#VALUE!</v>
      </c>
      <c r="D1779" s="12" t="e">
        <f>MID(MAIN!A1784,K1779+2,2)</f>
        <v>#VALUE!</v>
      </c>
      <c r="E1779" s="12" t="e">
        <f>MID(MAIN!A1784,K1779+4,2)</f>
        <v>#VALUE!</v>
      </c>
      <c r="F1779" s="2" t="e">
        <f t="shared" si="109"/>
        <v>#VALUE!</v>
      </c>
      <c r="G1779" s="13" t="e">
        <f t="shared" si="110"/>
        <v>#VALUE!</v>
      </c>
      <c r="J1779" t="str">
        <f>MAIN!A1784&amp;"B"</f>
        <v>B</v>
      </c>
      <c r="K1779" s="12" t="e">
        <f t="shared" si="111"/>
        <v>#VALUE!</v>
      </c>
      <c r="L1779" t="str">
        <f>MAIN!C1784</f>
        <v/>
      </c>
    </row>
    <row r="1780" spans="1:12" x14ac:dyDescent="0.3">
      <c r="A1780">
        <f>IF(J1780="0",0,IF(COUNTIF($J$2:J1780,J1780)=1,1,0))</f>
        <v>0</v>
      </c>
      <c r="B1780" s="12" t="e">
        <f>MID(MAIN!A1785,K1780,2)</f>
        <v>#VALUE!</v>
      </c>
      <c r="C1780" s="12" t="e">
        <f t="shared" si="108"/>
        <v>#VALUE!</v>
      </c>
      <c r="D1780" s="12" t="e">
        <f>MID(MAIN!A1785,K1780+2,2)</f>
        <v>#VALUE!</v>
      </c>
      <c r="E1780" s="12" t="e">
        <f>MID(MAIN!A1785,K1780+4,2)</f>
        <v>#VALUE!</v>
      </c>
      <c r="F1780" s="2" t="e">
        <f t="shared" si="109"/>
        <v>#VALUE!</v>
      </c>
      <c r="G1780" s="13" t="e">
        <f t="shared" si="110"/>
        <v>#VALUE!</v>
      </c>
      <c r="J1780" t="str">
        <f>MAIN!A1785&amp;"B"</f>
        <v>B</v>
      </c>
      <c r="K1780" s="12" t="e">
        <f t="shared" si="111"/>
        <v>#VALUE!</v>
      </c>
      <c r="L1780" t="str">
        <f>MAIN!C1785</f>
        <v/>
      </c>
    </row>
    <row r="1781" spans="1:12" x14ac:dyDescent="0.3">
      <c r="A1781">
        <f>IF(J1781="0",0,IF(COUNTIF($J$2:J1781,J1781)=1,1,0))</f>
        <v>0</v>
      </c>
      <c r="B1781" s="12" t="e">
        <f>MID(MAIN!A1786,K1781,2)</f>
        <v>#VALUE!</v>
      </c>
      <c r="C1781" s="12" t="e">
        <f t="shared" si="108"/>
        <v>#VALUE!</v>
      </c>
      <c r="D1781" s="12" t="e">
        <f>MID(MAIN!A1786,K1781+2,2)</f>
        <v>#VALUE!</v>
      </c>
      <c r="E1781" s="12" t="e">
        <f>MID(MAIN!A1786,K1781+4,2)</f>
        <v>#VALUE!</v>
      </c>
      <c r="F1781" s="2" t="e">
        <f t="shared" si="109"/>
        <v>#VALUE!</v>
      </c>
      <c r="G1781" s="13" t="e">
        <f t="shared" si="110"/>
        <v>#VALUE!</v>
      </c>
      <c r="J1781" t="str">
        <f>MAIN!A1786&amp;"B"</f>
        <v>B</v>
      </c>
      <c r="K1781" s="12" t="e">
        <f t="shared" si="111"/>
        <v>#VALUE!</v>
      </c>
      <c r="L1781" t="str">
        <f>MAIN!C1786</f>
        <v/>
      </c>
    </row>
    <row r="1782" spans="1:12" x14ac:dyDescent="0.3">
      <c r="A1782">
        <f>IF(J1782="0",0,IF(COUNTIF($J$2:J1782,J1782)=1,1,0))</f>
        <v>0</v>
      </c>
      <c r="B1782" s="12" t="e">
        <f>MID(MAIN!A1787,K1782,2)</f>
        <v>#VALUE!</v>
      </c>
      <c r="C1782" s="12" t="e">
        <f t="shared" si="108"/>
        <v>#VALUE!</v>
      </c>
      <c r="D1782" s="12" t="e">
        <f>MID(MAIN!A1787,K1782+2,2)</f>
        <v>#VALUE!</v>
      </c>
      <c r="E1782" s="12" t="e">
        <f>MID(MAIN!A1787,K1782+4,2)</f>
        <v>#VALUE!</v>
      </c>
      <c r="F1782" s="2" t="e">
        <f t="shared" si="109"/>
        <v>#VALUE!</v>
      </c>
      <c r="G1782" s="13" t="e">
        <f t="shared" si="110"/>
        <v>#VALUE!</v>
      </c>
      <c r="J1782" t="str">
        <f>MAIN!A1787&amp;"B"</f>
        <v>B</v>
      </c>
      <c r="K1782" s="12" t="e">
        <f t="shared" si="111"/>
        <v>#VALUE!</v>
      </c>
      <c r="L1782" t="str">
        <f>MAIN!C1787</f>
        <v/>
      </c>
    </row>
    <row r="1783" spans="1:12" x14ac:dyDescent="0.3">
      <c r="A1783">
        <f>IF(J1783="0",0,IF(COUNTIF($J$2:J1783,J1783)=1,1,0))</f>
        <v>0</v>
      </c>
      <c r="B1783" s="12" t="e">
        <f>MID(MAIN!A1788,K1783,2)</f>
        <v>#VALUE!</v>
      </c>
      <c r="C1783" s="12" t="e">
        <f t="shared" si="108"/>
        <v>#VALUE!</v>
      </c>
      <c r="D1783" s="12" t="e">
        <f>MID(MAIN!A1788,K1783+2,2)</f>
        <v>#VALUE!</v>
      </c>
      <c r="E1783" s="12" t="e">
        <f>MID(MAIN!A1788,K1783+4,2)</f>
        <v>#VALUE!</v>
      </c>
      <c r="F1783" s="2" t="e">
        <f t="shared" si="109"/>
        <v>#VALUE!</v>
      </c>
      <c r="G1783" s="13" t="e">
        <f t="shared" si="110"/>
        <v>#VALUE!</v>
      </c>
      <c r="J1783" t="str">
        <f>MAIN!A1788&amp;"B"</f>
        <v>B</v>
      </c>
      <c r="K1783" s="12" t="e">
        <f t="shared" si="111"/>
        <v>#VALUE!</v>
      </c>
      <c r="L1783" t="str">
        <f>MAIN!C1788</f>
        <v/>
      </c>
    </row>
    <row r="1784" spans="1:12" x14ac:dyDescent="0.3">
      <c r="A1784">
        <f>IF(J1784="0",0,IF(COUNTIF($J$2:J1784,J1784)=1,1,0))</f>
        <v>0</v>
      </c>
      <c r="B1784" s="12" t="e">
        <f>MID(MAIN!A1789,K1784,2)</f>
        <v>#VALUE!</v>
      </c>
      <c r="C1784" s="12" t="e">
        <f t="shared" si="108"/>
        <v>#VALUE!</v>
      </c>
      <c r="D1784" s="12" t="e">
        <f>MID(MAIN!A1789,K1784+2,2)</f>
        <v>#VALUE!</v>
      </c>
      <c r="E1784" s="12" t="e">
        <f>MID(MAIN!A1789,K1784+4,2)</f>
        <v>#VALUE!</v>
      </c>
      <c r="F1784" s="2" t="e">
        <f t="shared" si="109"/>
        <v>#VALUE!</v>
      </c>
      <c r="G1784" s="13" t="e">
        <f t="shared" si="110"/>
        <v>#VALUE!</v>
      </c>
      <c r="J1784" t="str">
        <f>MAIN!A1789&amp;"B"</f>
        <v>B</v>
      </c>
      <c r="K1784" s="12" t="e">
        <f t="shared" si="111"/>
        <v>#VALUE!</v>
      </c>
      <c r="L1784" t="str">
        <f>MAIN!C1789</f>
        <v/>
      </c>
    </row>
    <row r="1785" spans="1:12" x14ac:dyDescent="0.3">
      <c r="A1785">
        <f>IF(J1785="0",0,IF(COUNTIF($J$2:J1785,J1785)=1,1,0))</f>
        <v>0</v>
      </c>
      <c r="B1785" s="12" t="e">
        <f>MID(MAIN!A1790,K1785,2)</f>
        <v>#VALUE!</v>
      </c>
      <c r="C1785" s="12" t="e">
        <f t="shared" si="108"/>
        <v>#VALUE!</v>
      </c>
      <c r="D1785" s="12" t="e">
        <f>MID(MAIN!A1790,K1785+2,2)</f>
        <v>#VALUE!</v>
      </c>
      <c r="E1785" s="12" t="e">
        <f>MID(MAIN!A1790,K1785+4,2)</f>
        <v>#VALUE!</v>
      </c>
      <c r="F1785" s="2" t="e">
        <f t="shared" si="109"/>
        <v>#VALUE!</v>
      </c>
      <c r="G1785" s="13" t="e">
        <f t="shared" si="110"/>
        <v>#VALUE!</v>
      </c>
      <c r="J1785" t="str">
        <f>MAIN!A1790&amp;"B"</f>
        <v>B</v>
      </c>
      <c r="K1785" s="12" t="e">
        <f t="shared" si="111"/>
        <v>#VALUE!</v>
      </c>
      <c r="L1785" t="str">
        <f>MAIN!C1790</f>
        <v/>
      </c>
    </row>
    <row r="1786" spans="1:12" x14ac:dyDescent="0.3">
      <c r="A1786">
        <f>IF(J1786="0",0,IF(COUNTIF($J$2:J1786,J1786)=1,1,0))</f>
        <v>0</v>
      </c>
      <c r="B1786" s="12" t="e">
        <f>MID(MAIN!A1791,K1786,2)</f>
        <v>#VALUE!</v>
      </c>
      <c r="C1786" s="12" t="e">
        <f t="shared" si="108"/>
        <v>#VALUE!</v>
      </c>
      <c r="D1786" s="12" t="e">
        <f>MID(MAIN!A1791,K1786+2,2)</f>
        <v>#VALUE!</v>
      </c>
      <c r="E1786" s="12" t="e">
        <f>MID(MAIN!A1791,K1786+4,2)</f>
        <v>#VALUE!</v>
      </c>
      <c r="F1786" s="2" t="e">
        <f t="shared" si="109"/>
        <v>#VALUE!</v>
      </c>
      <c r="G1786" s="13" t="e">
        <f t="shared" si="110"/>
        <v>#VALUE!</v>
      </c>
      <c r="J1786" t="str">
        <f>MAIN!A1791&amp;"B"</f>
        <v>B</v>
      </c>
      <c r="K1786" s="12" t="e">
        <f t="shared" si="111"/>
        <v>#VALUE!</v>
      </c>
      <c r="L1786" t="str">
        <f>MAIN!C1791</f>
        <v/>
      </c>
    </row>
    <row r="1787" spans="1:12" x14ac:dyDescent="0.3">
      <c r="A1787">
        <f>IF(J1787="0",0,IF(COUNTIF($J$2:J1787,J1787)=1,1,0))</f>
        <v>0</v>
      </c>
      <c r="B1787" s="12" t="e">
        <f>MID(MAIN!A1792,K1787,2)</f>
        <v>#VALUE!</v>
      </c>
      <c r="C1787" s="12" t="e">
        <f t="shared" si="108"/>
        <v>#VALUE!</v>
      </c>
      <c r="D1787" s="12" t="e">
        <f>MID(MAIN!A1792,K1787+2,2)</f>
        <v>#VALUE!</v>
      </c>
      <c r="E1787" s="12" t="e">
        <f>MID(MAIN!A1792,K1787+4,2)</f>
        <v>#VALUE!</v>
      </c>
      <c r="F1787" s="2" t="e">
        <f t="shared" si="109"/>
        <v>#VALUE!</v>
      </c>
      <c r="G1787" s="13" t="e">
        <f t="shared" si="110"/>
        <v>#VALUE!</v>
      </c>
      <c r="J1787" t="str">
        <f>MAIN!A1792&amp;"B"</f>
        <v>B</v>
      </c>
      <c r="K1787" s="12" t="e">
        <f t="shared" si="111"/>
        <v>#VALUE!</v>
      </c>
      <c r="L1787" t="str">
        <f>MAIN!C1792</f>
        <v/>
      </c>
    </row>
    <row r="1788" spans="1:12" x14ac:dyDescent="0.3">
      <c r="A1788">
        <f>IF(J1788="0",0,IF(COUNTIF($J$2:J1788,J1788)=1,1,0))</f>
        <v>0</v>
      </c>
      <c r="B1788" s="12" t="e">
        <f>MID(MAIN!A1793,K1788,2)</f>
        <v>#VALUE!</v>
      </c>
      <c r="C1788" s="12" t="e">
        <f t="shared" si="108"/>
        <v>#VALUE!</v>
      </c>
      <c r="D1788" s="12" t="e">
        <f>MID(MAIN!A1793,K1788+2,2)</f>
        <v>#VALUE!</v>
      </c>
      <c r="E1788" s="12" t="e">
        <f>MID(MAIN!A1793,K1788+4,2)</f>
        <v>#VALUE!</v>
      </c>
      <c r="F1788" s="2" t="e">
        <f t="shared" si="109"/>
        <v>#VALUE!</v>
      </c>
      <c r="G1788" s="13" t="e">
        <f t="shared" si="110"/>
        <v>#VALUE!</v>
      </c>
      <c r="J1788" t="str">
        <f>MAIN!A1793&amp;"B"</f>
        <v>B</v>
      </c>
      <c r="K1788" s="12" t="e">
        <f t="shared" si="111"/>
        <v>#VALUE!</v>
      </c>
      <c r="L1788" t="str">
        <f>MAIN!C1793</f>
        <v/>
      </c>
    </row>
    <row r="1789" spans="1:12" x14ac:dyDescent="0.3">
      <c r="A1789">
        <f>IF(J1789="0",0,IF(COUNTIF($J$2:J1789,J1789)=1,1,0))</f>
        <v>0</v>
      </c>
      <c r="B1789" s="12" t="e">
        <f>MID(MAIN!A1794,K1789,2)</f>
        <v>#VALUE!</v>
      </c>
      <c r="C1789" s="12" t="e">
        <f t="shared" si="108"/>
        <v>#VALUE!</v>
      </c>
      <c r="D1789" s="12" t="e">
        <f>MID(MAIN!A1794,K1789+2,2)</f>
        <v>#VALUE!</v>
      </c>
      <c r="E1789" s="12" t="e">
        <f>MID(MAIN!A1794,K1789+4,2)</f>
        <v>#VALUE!</v>
      </c>
      <c r="F1789" s="2" t="e">
        <f t="shared" si="109"/>
        <v>#VALUE!</v>
      </c>
      <c r="G1789" s="13" t="e">
        <f t="shared" si="110"/>
        <v>#VALUE!</v>
      </c>
      <c r="J1789" t="str">
        <f>MAIN!A1794&amp;"B"</f>
        <v>B</v>
      </c>
      <c r="K1789" s="12" t="e">
        <f t="shared" si="111"/>
        <v>#VALUE!</v>
      </c>
      <c r="L1789" t="str">
        <f>MAIN!C1794</f>
        <v/>
      </c>
    </row>
    <row r="1790" spans="1:12" x14ac:dyDescent="0.3">
      <c r="A1790">
        <f>IF(J1790="0",0,IF(COUNTIF($J$2:J1790,J1790)=1,1,0))</f>
        <v>0</v>
      </c>
      <c r="B1790" s="12" t="e">
        <f>MID(MAIN!A1795,K1790,2)</f>
        <v>#VALUE!</v>
      </c>
      <c r="C1790" s="12" t="e">
        <f t="shared" si="108"/>
        <v>#VALUE!</v>
      </c>
      <c r="D1790" s="12" t="e">
        <f>MID(MAIN!A1795,K1790+2,2)</f>
        <v>#VALUE!</v>
      </c>
      <c r="E1790" s="12" t="e">
        <f>MID(MAIN!A1795,K1790+4,2)</f>
        <v>#VALUE!</v>
      </c>
      <c r="F1790" s="2" t="e">
        <f t="shared" si="109"/>
        <v>#VALUE!</v>
      </c>
      <c r="G1790" s="13" t="e">
        <f t="shared" si="110"/>
        <v>#VALUE!</v>
      </c>
      <c r="J1790" t="str">
        <f>MAIN!A1795&amp;"B"</f>
        <v>B</v>
      </c>
      <c r="K1790" s="12" t="e">
        <f t="shared" si="111"/>
        <v>#VALUE!</v>
      </c>
      <c r="L1790" t="str">
        <f>MAIN!C1795</f>
        <v/>
      </c>
    </row>
    <row r="1791" spans="1:12" x14ac:dyDescent="0.3">
      <c r="A1791">
        <f>IF(J1791="0",0,IF(COUNTIF($J$2:J1791,J1791)=1,1,0))</f>
        <v>0</v>
      </c>
      <c r="B1791" s="12" t="e">
        <f>MID(MAIN!A1796,K1791,2)</f>
        <v>#VALUE!</v>
      </c>
      <c r="C1791" s="12" t="e">
        <f t="shared" si="108"/>
        <v>#VALUE!</v>
      </c>
      <c r="D1791" s="12" t="e">
        <f>MID(MAIN!A1796,K1791+2,2)</f>
        <v>#VALUE!</v>
      </c>
      <c r="E1791" s="12" t="e">
        <f>MID(MAIN!A1796,K1791+4,2)</f>
        <v>#VALUE!</v>
      </c>
      <c r="F1791" s="2" t="e">
        <f t="shared" si="109"/>
        <v>#VALUE!</v>
      </c>
      <c r="G1791" s="13" t="e">
        <f t="shared" si="110"/>
        <v>#VALUE!</v>
      </c>
      <c r="J1791" t="str">
        <f>MAIN!A1796&amp;"B"</f>
        <v>B</v>
      </c>
      <c r="K1791" s="12" t="e">
        <f t="shared" si="111"/>
        <v>#VALUE!</v>
      </c>
      <c r="L1791" t="str">
        <f>MAIN!C1796</f>
        <v/>
      </c>
    </row>
    <row r="1792" spans="1:12" x14ac:dyDescent="0.3">
      <c r="A1792">
        <f>IF(J1792="0",0,IF(COUNTIF($J$2:J1792,J1792)=1,1,0))</f>
        <v>0</v>
      </c>
      <c r="B1792" s="12" t="e">
        <f>MID(MAIN!A1797,K1792,2)</f>
        <v>#VALUE!</v>
      </c>
      <c r="C1792" s="12" t="e">
        <f t="shared" si="108"/>
        <v>#VALUE!</v>
      </c>
      <c r="D1792" s="12" t="e">
        <f>MID(MAIN!A1797,K1792+2,2)</f>
        <v>#VALUE!</v>
      </c>
      <c r="E1792" s="12" t="e">
        <f>MID(MAIN!A1797,K1792+4,2)</f>
        <v>#VALUE!</v>
      </c>
      <c r="F1792" s="2" t="e">
        <f t="shared" si="109"/>
        <v>#VALUE!</v>
      </c>
      <c r="G1792" s="13" t="e">
        <f t="shared" si="110"/>
        <v>#VALUE!</v>
      </c>
      <c r="J1792" t="str">
        <f>MAIN!A1797&amp;"B"</f>
        <v>B</v>
      </c>
      <c r="K1792" s="12" t="e">
        <f t="shared" si="111"/>
        <v>#VALUE!</v>
      </c>
      <c r="L1792" t="str">
        <f>MAIN!C1797</f>
        <v/>
      </c>
    </row>
    <row r="1793" spans="1:12" x14ac:dyDescent="0.3">
      <c r="A1793">
        <f>IF(J1793="0",0,IF(COUNTIF($J$2:J1793,J1793)=1,1,0))</f>
        <v>0</v>
      </c>
      <c r="B1793" s="12" t="e">
        <f>MID(MAIN!A1798,K1793,2)</f>
        <v>#VALUE!</v>
      </c>
      <c r="C1793" s="12" t="e">
        <f t="shared" si="108"/>
        <v>#VALUE!</v>
      </c>
      <c r="D1793" s="12" t="e">
        <f>MID(MAIN!A1798,K1793+2,2)</f>
        <v>#VALUE!</v>
      </c>
      <c r="E1793" s="12" t="e">
        <f>MID(MAIN!A1798,K1793+4,2)</f>
        <v>#VALUE!</v>
      </c>
      <c r="F1793" s="2" t="e">
        <f t="shared" si="109"/>
        <v>#VALUE!</v>
      </c>
      <c r="G1793" s="13" t="e">
        <f t="shared" si="110"/>
        <v>#VALUE!</v>
      </c>
      <c r="J1793" t="str">
        <f>MAIN!A1798&amp;"B"</f>
        <v>B</v>
      </c>
      <c r="K1793" s="12" t="e">
        <f t="shared" si="111"/>
        <v>#VALUE!</v>
      </c>
      <c r="L1793" t="str">
        <f>MAIN!C1798</f>
        <v/>
      </c>
    </row>
    <row r="1794" spans="1:12" x14ac:dyDescent="0.3">
      <c r="A1794">
        <f>IF(J1794="0",0,IF(COUNTIF($J$2:J1794,J1794)=1,1,0))</f>
        <v>0</v>
      </c>
      <c r="B1794" s="12" t="e">
        <f>MID(MAIN!A1799,K1794,2)</f>
        <v>#VALUE!</v>
      </c>
      <c r="C1794" s="12" t="e">
        <f t="shared" si="108"/>
        <v>#VALUE!</v>
      </c>
      <c r="D1794" s="12" t="e">
        <f>MID(MAIN!A1799,K1794+2,2)</f>
        <v>#VALUE!</v>
      </c>
      <c r="E1794" s="12" t="e">
        <f>MID(MAIN!A1799,K1794+4,2)</f>
        <v>#VALUE!</v>
      </c>
      <c r="F1794" s="2" t="e">
        <f t="shared" si="109"/>
        <v>#VALUE!</v>
      </c>
      <c r="G1794" s="13" t="e">
        <f t="shared" si="110"/>
        <v>#VALUE!</v>
      </c>
      <c r="J1794" t="str">
        <f>MAIN!A1799&amp;"B"</f>
        <v>B</v>
      </c>
      <c r="K1794" s="12" t="e">
        <f t="shared" si="111"/>
        <v>#VALUE!</v>
      </c>
      <c r="L1794" t="str">
        <f>MAIN!C1799</f>
        <v/>
      </c>
    </row>
    <row r="1795" spans="1:12" x14ac:dyDescent="0.3">
      <c r="A1795">
        <f>IF(J1795="0",0,IF(COUNTIF($J$2:J1795,J1795)=1,1,0))</f>
        <v>0</v>
      </c>
      <c r="B1795" s="12" t="e">
        <f>MID(MAIN!A1800,K1795,2)</f>
        <v>#VALUE!</v>
      </c>
      <c r="C1795" s="12" t="e">
        <f t="shared" ref="C1795:C1858" si="112">"20"&amp;B1795</f>
        <v>#VALUE!</v>
      </c>
      <c r="D1795" s="12" t="e">
        <f>MID(MAIN!A1800,K1795+2,2)</f>
        <v>#VALUE!</v>
      </c>
      <c r="E1795" s="12" t="e">
        <f>MID(MAIN!A1800,K1795+4,2)</f>
        <v>#VALUE!</v>
      </c>
      <c r="F1795" s="2" t="e">
        <f t="shared" ref="F1795:F1858" si="113">C1795&amp;"/"&amp;D1795&amp;"/"&amp;E1795</f>
        <v>#VALUE!</v>
      </c>
      <c r="G1795" s="13" t="e">
        <f t="shared" ref="G1795:G1858" si="114">DATEVALUE(F1795)</f>
        <v>#VALUE!</v>
      </c>
      <c r="J1795" t="str">
        <f>MAIN!A1800&amp;"B"</f>
        <v>B</v>
      </c>
      <c r="K1795" s="12" t="e">
        <f t="shared" ref="K1795:K1858" si="115">FIND("172",J1795,30)+2</f>
        <v>#VALUE!</v>
      </c>
      <c r="L1795" t="str">
        <f>MAIN!C1800</f>
        <v/>
      </c>
    </row>
    <row r="1796" spans="1:12" x14ac:dyDescent="0.3">
      <c r="A1796">
        <f>IF(J1796="0",0,IF(COUNTIF($J$2:J1796,J1796)=1,1,0))</f>
        <v>0</v>
      </c>
      <c r="B1796" s="12" t="e">
        <f>MID(MAIN!A1801,K1796,2)</f>
        <v>#VALUE!</v>
      </c>
      <c r="C1796" s="12" t="e">
        <f t="shared" si="112"/>
        <v>#VALUE!</v>
      </c>
      <c r="D1796" s="12" t="e">
        <f>MID(MAIN!A1801,K1796+2,2)</f>
        <v>#VALUE!</v>
      </c>
      <c r="E1796" s="12" t="e">
        <f>MID(MAIN!A1801,K1796+4,2)</f>
        <v>#VALUE!</v>
      </c>
      <c r="F1796" s="2" t="e">
        <f t="shared" si="113"/>
        <v>#VALUE!</v>
      </c>
      <c r="G1796" s="13" t="e">
        <f t="shared" si="114"/>
        <v>#VALUE!</v>
      </c>
      <c r="J1796" t="str">
        <f>MAIN!A1801&amp;"B"</f>
        <v>B</v>
      </c>
      <c r="K1796" s="12" t="e">
        <f t="shared" si="115"/>
        <v>#VALUE!</v>
      </c>
      <c r="L1796" t="str">
        <f>MAIN!C1801</f>
        <v/>
      </c>
    </row>
    <row r="1797" spans="1:12" x14ac:dyDescent="0.3">
      <c r="A1797">
        <f>IF(J1797="0",0,IF(COUNTIF($J$2:J1797,J1797)=1,1,0))</f>
        <v>0</v>
      </c>
      <c r="B1797" s="12" t="e">
        <f>MID(MAIN!A1802,K1797,2)</f>
        <v>#VALUE!</v>
      </c>
      <c r="C1797" s="12" t="e">
        <f t="shared" si="112"/>
        <v>#VALUE!</v>
      </c>
      <c r="D1797" s="12" t="e">
        <f>MID(MAIN!A1802,K1797+2,2)</f>
        <v>#VALUE!</v>
      </c>
      <c r="E1797" s="12" t="e">
        <f>MID(MAIN!A1802,K1797+4,2)</f>
        <v>#VALUE!</v>
      </c>
      <c r="F1797" s="2" t="e">
        <f t="shared" si="113"/>
        <v>#VALUE!</v>
      </c>
      <c r="G1797" s="13" t="e">
        <f t="shared" si="114"/>
        <v>#VALUE!</v>
      </c>
      <c r="J1797" t="str">
        <f>MAIN!A1802&amp;"B"</f>
        <v>B</v>
      </c>
      <c r="K1797" s="12" t="e">
        <f t="shared" si="115"/>
        <v>#VALUE!</v>
      </c>
      <c r="L1797" t="str">
        <f>MAIN!C1802</f>
        <v/>
      </c>
    </row>
    <row r="1798" spans="1:12" x14ac:dyDescent="0.3">
      <c r="A1798">
        <f>IF(J1798="0",0,IF(COUNTIF($J$2:J1798,J1798)=1,1,0))</f>
        <v>0</v>
      </c>
      <c r="B1798" s="12" t="e">
        <f>MID(MAIN!A1803,K1798,2)</f>
        <v>#VALUE!</v>
      </c>
      <c r="C1798" s="12" t="e">
        <f t="shared" si="112"/>
        <v>#VALUE!</v>
      </c>
      <c r="D1798" s="12" t="e">
        <f>MID(MAIN!A1803,K1798+2,2)</f>
        <v>#VALUE!</v>
      </c>
      <c r="E1798" s="12" t="e">
        <f>MID(MAIN!A1803,K1798+4,2)</f>
        <v>#VALUE!</v>
      </c>
      <c r="F1798" s="2" t="e">
        <f t="shared" si="113"/>
        <v>#VALUE!</v>
      </c>
      <c r="G1798" s="13" t="e">
        <f t="shared" si="114"/>
        <v>#VALUE!</v>
      </c>
      <c r="J1798" t="str">
        <f>MAIN!A1803&amp;"B"</f>
        <v>B</v>
      </c>
      <c r="K1798" s="12" t="e">
        <f t="shared" si="115"/>
        <v>#VALUE!</v>
      </c>
      <c r="L1798" t="str">
        <f>MAIN!C1803</f>
        <v/>
      </c>
    </row>
    <row r="1799" spans="1:12" x14ac:dyDescent="0.3">
      <c r="A1799">
        <f>IF(J1799="0",0,IF(COUNTIF($J$2:J1799,J1799)=1,1,0))</f>
        <v>0</v>
      </c>
      <c r="B1799" s="12" t="e">
        <f>MID(MAIN!A1804,K1799,2)</f>
        <v>#VALUE!</v>
      </c>
      <c r="C1799" s="12" t="e">
        <f t="shared" si="112"/>
        <v>#VALUE!</v>
      </c>
      <c r="D1799" s="12" t="e">
        <f>MID(MAIN!A1804,K1799+2,2)</f>
        <v>#VALUE!</v>
      </c>
      <c r="E1799" s="12" t="e">
        <f>MID(MAIN!A1804,K1799+4,2)</f>
        <v>#VALUE!</v>
      </c>
      <c r="F1799" s="2" t="e">
        <f t="shared" si="113"/>
        <v>#VALUE!</v>
      </c>
      <c r="G1799" s="13" t="e">
        <f t="shared" si="114"/>
        <v>#VALUE!</v>
      </c>
      <c r="J1799" t="str">
        <f>MAIN!A1804&amp;"B"</f>
        <v>B</v>
      </c>
      <c r="K1799" s="12" t="e">
        <f t="shared" si="115"/>
        <v>#VALUE!</v>
      </c>
      <c r="L1799" t="str">
        <f>MAIN!C1804</f>
        <v/>
      </c>
    </row>
    <row r="1800" spans="1:12" x14ac:dyDescent="0.3">
      <c r="A1800">
        <f>IF(J1800="0",0,IF(COUNTIF($J$2:J1800,J1800)=1,1,0))</f>
        <v>0</v>
      </c>
      <c r="B1800" s="12" t="e">
        <f>MID(MAIN!A1805,K1800,2)</f>
        <v>#VALUE!</v>
      </c>
      <c r="C1800" s="12" t="e">
        <f t="shared" si="112"/>
        <v>#VALUE!</v>
      </c>
      <c r="D1800" s="12" t="e">
        <f>MID(MAIN!A1805,K1800+2,2)</f>
        <v>#VALUE!</v>
      </c>
      <c r="E1800" s="12" t="e">
        <f>MID(MAIN!A1805,K1800+4,2)</f>
        <v>#VALUE!</v>
      </c>
      <c r="F1800" s="2" t="e">
        <f t="shared" si="113"/>
        <v>#VALUE!</v>
      </c>
      <c r="G1800" s="13" t="e">
        <f t="shared" si="114"/>
        <v>#VALUE!</v>
      </c>
      <c r="J1800" t="str">
        <f>MAIN!A1805&amp;"B"</f>
        <v>B</v>
      </c>
      <c r="K1800" s="12" t="e">
        <f t="shared" si="115"/>
        <v>#VALUE!</v>
      </c>
      <c r="L1800" t="str">
        <f>MAIN!C1805</f>
        <v/>
      </c>
    </row>
    <row r="1801" spans="1:12" x14ac:dyDescent="0.3">
      <c r="A1801">
        <f>IF(J1801="0",0,IF(COUNTIF($J$2:J1801,J1801)=1,1,0))</f>
        <v>0</v>
      </c>
      <c r="B1801" s="12" t="e">
        <f>MID(MAIN!A1806,K1801,2)</f>
        <v>#VALUE!</v>
      </c>
      <c r="C1801" s="12" t="e">
        <f t="shared" si="112"/>
        <v>#VALUE!</v>
      </c>
      <c r="D1801" s="12" t="e">
        <f>MID(MAIN!A1806,K1801+2,2)</f>
        <v>#VALUE!</v>
      </c>
      <c r="E1801" s="12" t="e">
        <f>MID(MAIN!A1806,K1801+4,2)</f>
        <v>#VALUE!</v>
      </c>
      <c r="F1801" s="2" t="e">
        <f t="shared" si="113"/>
        <v>#VALUE!</v>
      </c>
      <c r="G1801" s="13" t="e">
        <f t="shared" si="114"/>
        <v>#VALUE!</v>
      </c>
      <c r="J1801" t="str">
        <f>MAIN!A1806&amp;"B"</f>
        <v>B</v>
      </c>
      <c r="K1801" s="12" t="e">
        <f t="shared" si="115"/>
        <v>#VALUE!</v>
      </c>
      <c r="L1801" t="str">
        <f>MAIN!C1806</f>
        <v/>
      </c>
    </row>
    <row r="1802" spans="1:12" x14ac:dyDescent="0.3">
      <c r="A1802">
        <f>IF(J1802="0",0,IF(COUNTIF($J$2:J1802,J1802)=1,1,0))</f>
        <v>0</v>
      </c>
      <c r="B1802" s="12" t="e">
        <f>MID(MAIN!A1807,K1802,2)</f>
        <v>#VALUE!</v>
      </c>
      <c r="C1802" s="12" t="e">
        <f t="shared" si="112"/>
        <v>#VALUE!</v>
      </c>
      <c r="D1802" s="12" t="e">
        <f>MID(MAIN!A1807,K1802+2,2)</f>
        <v>#VALUE!</v>
      </c>
      <c r="E1802" s="12" t="e">
        <f>MID(MAIN!A1807,K1802+4,2)</f>
        <v>#VALUE!</v>
      </c>
      <c r="F1802" s="2" t="e">
        <f t="shared" si="113"/>
        <v>#VALUE!</v>
      </c>
      <c r="G1802" s="13" t="e">
        <f t="shared" si="114"/>
        <v>#VALUE!</v>
      </c>
      <c r="J1802" t="str">
        <f>MAIN!A1807&amp;"B"</f>
        <v>B</v>
      </c>
      <c r="K1802" s="12" t="e">
        <f t="shared" si="115"/>
        <v>#VALUE!</v>
      </c>
      <c r="L1802" t="str">
        <f>MAIN!C1807</f>
        <v/>
      </c>
    </row>
    <row r="1803" spans="1:12" x14ac:dyDescent="0.3">
      <c r="A1803">
        <f>IF(J1803="0",0,IF(COUNTIF($J$2:J1803,J1803)=1,1,0))</f>
        <v>0</v>
      </c>
      <c r="B1803" s="12" t="e">
        <f>MID(MAIN!A1808,K1803,2)</f>
        <v>#VALUE!</v>
      </c>
      <c r="C1803" s="12" t="e">
        <f t="shared" si="112"/>
        <v>#VALUE!</v>
      </c>
      <c r="D1803" s="12" t="e">
        <f>MID(MAIN!A1808,K1803+2,2)</f>
        <v>#VALUE!</v>
      </c>
      <c r="E1803" s="12" t="e">
        <f>MID(MAIN!A1808,K1803+4,2)</f>
        <v>#VALUE!</v>
      </c>
      <c r="F1803" s="2" t="e">
        <f t="shared" si="113"/>
        <v>#VALUE!</v>
      </c>
      <c r="G1803" s="13" t="e">
        <f t="shared" si="114"/>
        <v>#VALUE!</v>
      </c>
      <c r="J1803" t="str">
        <f>MAIN!A1808&amp;"B"</f>
        <v>B</v>
      </c>
      <c r="K1803" s="12" t="e">
        <f t="shared" si="115"/>
        <v>#VALUE!</v>
      </c>
      <c r="L1803" t="str">
        <f>MAIN!C1808</f>
        <v/>
      </c>
    </row>
    <row r="1804" spans="1:12" x14ac:dyDescent="0.3">
      <c r="A1804">
        <f>IF(J1804="0",0,IF(COUNTIF($J$2:J1804,J1804)=1,1,0))</f>
        <v>0</v>
      </c>
      <c r="B1804" s="12" t="e">
        <f>MID(MAIN!A1809,K1804,2)</f>
        <v>#VALUE!</v>
      </c>
      <c r="C1804" s="12" t="e">
        <f t="shared" si="112"/>
        <v>#VALUE!</v>
      </c>
      <c r="D1804" s="12" t="e">
        <f>MID(MAIN!A1809,K1804+2,2)</f>
        <v>#VALUE!</v>
      </c>
      <c r="E1804" s="12" t="e">
        <f>MID(MAIN!A1809,K1804+4,2)</f>
        <v>#VALUE!</v>
      </c>
      <c r="F1804" s="2" t="e">
        <f t="shared" si="113"/>
        <v>#VALUE!</v>
      </c>
      <c r="G1804" s="13" t="e">
        <f t="shared" si="114"/>
        <v>#VALUE!</v>
      </c>
      <c r="J1804" t="str">
        <f>MAIN!A1809&amp;"B"</f>
        <v>B</v>
      </c>
      <c r="K1804" s="12" t="e">
        <f t="shared" si="115"/>
        <v>#VALUE!</v>
      </c>
      <c r="L1804" t="str">
        <f>MAIN!C1809</f>
        <v/>
      </c>
    </row>
    <row r="1805" spans="1:12" x14ac:dyDescent="0.3">
      <c r="A1805">
        <f>IF(J1805="0",0,IF(COUNTIF($J$2:J1805,J1805)=1,1,0))</f>
        <v>0</v>
      </c>
      <c r="B1805" s="12" t="e">
        <f>MID(MAIN!A1810,K1805,2)</f>
        <v>#VALUE!</v>
      </c>
      <c r="C1805" s="12" t="e">
        <f t="shared" si="112"/>
        <v>#VALUE!</v>
      </c>
      <c r="D1805" s="12" t="e">
        <f>MID(MAIN!A1810,K1805+2,2)</f>
        <v>#VALUE!</v>
      </c>
      <c r="E1805" s="12" t="e">
        <f>MID(MAIN!A1810,K1805+4,2)</f>
        <v>#VALUE!</v>
      </c>
      <c r="F1805" s="2" t="e">
        <f t="shared" si="113"/>
        <v>#VALUE!</v>
      </c>
      <c r="G1805" s="13" t="e">
        <f t="shared" si="114"/>
        <v>#VALUE!</v>
      </c>
      <c r="J1805" t="str">
        <f>MAIN!A1810&amp;"B"</f>
        <v>B</v>
      </c>
      <c r="K1805" s="12" t="e">
        <f t="shared" si="115"/>
        <v>#VALUE!</v>
      </c>
      <c r="L1805" t="str">
        <f>MAIN!C1810</f>
        <v/>
      </c>
    </row>
    <row r="1806" spans="1:12" x14ac:dyDescent="0.3">
      <c r="A1806">
        <f>IF(J1806="0",0,IF(COUNTIF($J$2:J1806,J1806)=1,1,0))</f>
        <v>0</v>
      </c>
      <c r="B1806" s="12" t="e">
        <f>MID(MAIN!A1811,K1806,2)</f>
        <v>#VALUE!</v>
      </c>
      <c r="C1806" s="12" t="e">
        <f t="shared" si="112"/>
        <v>#VALUE!</v>
      </c>
      <c r="D1806" s="12" t="e">
        <f>MID(MAIN!A1811,K1806+2,2)</f>
        <v>#VALUE!</v>
      </c>
      <c r="E1806" s="12" t="e">
        <f>MID(MAIN!A1811,K1806+4,2)</f>
        <v>#VALUE!</v>
      </c>
      <c r="F1806" s="2" t="e">
        <f t="shared" si="113"/>
        <v>#VALUE!</v>
      </c>
      <c r="G1806" s="13" t="e">
        <f t="shared" si="114"/>
        <v>#VALUE!</v>
      </c>
      <c r="J1806" t="str">
        <f>MAIN!A1811&amp;"B"</f>
        <v>B</v>
      </c>
      <c r="K1806" s="12" t="e">
        <f t="shared" si="115"/>
        <v>#VALUE!</v>
      </c>
      <c r="L1806" t="str">
        <f>MAIN!C1811</f>
        <v/>
      </c>
    </row>
    <row r="1807" spans="1:12" x14ac:dyDescent="0.3">
      <c r="A1807">
        <f>IF(J1807="0",0,IF(COUNTIF($J$2:J1807,J1807)=1,1,0))</f>
        <v>0</v>
      </c>
      <c r="B1807" s="12" t="e">
        <f>MID(MAIN!A1812,K1807,2)</f>
        <v>#VALUE!</v>
      </c>
      <c r="C1807" s="12" t="e">
        <f t="shared" si="112"/>
        <v>#VALUE!</v>
      </c>
      <c r="D1807" s="12" t="e">
        <f>MID(MAIN!A1812,K1807+2,2)</f>
        <v>#VALUE!</v>
      </c>
      <c r="E1807" s="12" t="e">
        <f>MID(MAIN!A1812,K1807+4,2)</f>
        <v>#VALUE!</v>
      </c>
      <c r="F1807" s="2" t="e">
        <f t="shared" si="113"/>
        <v>#VALUE!</v>
      </c>
      <c r="G1807" s="13" t="e">
        <f t="shared" si="114"/>
        <v>#VALUE!</v>
      </c>
      <c r="J1807" t="str">
        <f>MAIN!A1812&amp;"B"</f>
        <v>B</v>
      </c>
      <c r="K1807" s="12" t="e">
        <f t="shared" si="115"/>
        <v>#VALUE!</v>
      </c>
      <c r="L1807" t="str">
        <f>MAIN!C1812</f>
        <v/>
      </c>
    </row>
    <row r="1808" spans="1:12" x14ac:dyDescent="0.3">
      <c r="A1808">
        <f>IF(J1808="0",0,IF(COUNTIF($J$2:J1808,J1808)=1,1,0))</f>
        <v>0</v>
      </c>
      <c r="B1808" s="12" t="e">
        <f>MID(MAIN!A1813,K1808,2)</f>
        <v>#VALUE!</v>
      </c>
      <c r="C1808" s="12" t="e">
        <f t="shared" si="112"/>
        <v>#VALUE!</v>
      </c>
      <c r="D1808" s="12" t="e">
        <f>MID(MAIN!A1813,K1808+2,2)</f>
        <v>#VALUE!</v>
      </c>
      <c r="E1808" s="12" t="e">
        <f>MID(MAIN!A1813,K1808+4,2)</f>
        <v>#VALUE!</v>
      </c>
      <c r="F1808" s="2" t="e">
        <f t="shared" si="113"/>
        <v>#VALUE!</v>
      </c>
      <c r="G1808" s="13" t="e">
        <f t="shared" si="114"/>
        <v>#VALUE!</v>
      </c>
      <c r="J1808" t="str">
        <f>MAIN!A1813&amp;"B"</f>
        <v>B</v>
      </c>
      <c r="K1808" s="12" t="e">
        <f t="shared" si="115"/>
        <v>#VALUE!</v>
      </c>
      <c r="L1808" t="str">
        <f>MAIN!C1813</f>
        <v/>
      </c>
    </row>
    <row r="1809" spans="1:12" x14ac:dyDescent="0.3">
      <c r="A1809">
        <f>IF(J1809="0",0,IF(COUNTIF($J$2:J1809,J1809)=1,1,0))</f>
        <v>0</v>
      </c>
      <c r="B1809" s="12" t="e">
        <f>MID(MAIN!A1814,K1809,2)</f>
        <v>#VALUE!</v>
      </c>
      <c r="C1809" s="12" t="e">
        <f t="shared" si="112"/>
        <v>#VALUE!</v>
      </c>
      <c r="D1809" s="12" t="e">
        <f>MID(MAIN!A1814,K1809+2,2)</f>
        <v>#VALUE!</v>
      </c>
      <c r="E1809" s="12" t="e">
        <f>MID(MAIN!A1814,K1809+4,2)</f>
        <v>#VALUE!</v>
      </c>
      <c r="F1809" s="2" t="e">
        <f t="shared" si="113"/>
        <v>#VALUE!</v>
      </c>
      <c r="G1809" s="13" t="e">
        <f t="shared" si="114"/>
        <v>#VALUE!</v>
      </c>
      <c r="J1809" t="str">
        <f>MAIN!A1814&amp;"B"</f>
        <v>B</v>
      </c>
      <c r="K1809" s="12" t="e">
        <f t="shared" si="115"/>
        <v>#VALUE!</v>
      </c>
      <c r="L1809" t="str">
        <f>MAIN!C1814</f>
        <v/>
      </c>
    </row>
    <row r="1810" spans="1:12" x14ac:dyDescent="0.3">
      <c r="A1810">
        <f>IF(J1810="0",0,IF(COUNTIF($J$2:J1810,J1810)=1,1,0))</f>
        <v>0</v>
      </c>
      <c r="B1810" s="12" t="e">
        <f>MID(MAIN!A1815,K1810,2)</f>
        <v>#VALUE!</v>
      </c>
      <c r="C1810" s="12" t="e">
        <f t="shared" si="112"/>
        <v>#VALUE!</v>
      </c>
      <c r="D1810" s="12" t="e">
        <f>MID(MAIN!A1815,K1810+2,2)</f>
        <v>#VALUE!</v>
      </c>
      <c r="E1810" s="12" t="e">
        <f>MID(MAIN!A1815,K1810+4,2)</f>
        <v>#VALUE!</v>
      </c>
      <c r="F1810" s="2" t="e">
        <f t="shared" si="113"/>
        <v>#VALUE!</v>
      </c>
      <c r="G1810" s="13" t="e">
        <f t="shared" si="114"/>
        <v>#VALUE!</v>
      </c>
      <c r="J1810" t="str">
        <f>MAIN!A1815&amp;"B"</f>
        <v>B</v>
      </c>
      <c r="K1810" s="12" t="e">
        <f t="shared" si="115"/>
        <v>#VALUE!</v>
      </c>
      <c r="L1810" t="str">
        <f>MAIN!C1815</f>
        <v/>
      </c>
    </row>
    <row r="1811" spans="1:12" x14ac:dyDescent="0.3">
      <c r="A1811">
        <f>IF(J1811="0",0,IF(COUNTIF($J$2:J1811,J1811)=1,1,0))</f>
        <v>0</v>
      </c>
      <c r="B1811" s="12" t="e">
        <f>MID(MAIN!A1816,K1811,2)</f>
        <v>#VALUE!</v>
      </c>
      <c r="C1811" s="12" t="e">
        <f t="shared" si="112"/>
        <v>#VALUE!</v>
      </c>
      <c r="D1811" s="12" t="e">
        <f>MID(MAIN!A1816,K1811+2,2)</f>
        <v>#VALUE!</v>
      </c>
      <c r="E1811" s="12" t="e">
        <f>MID(MAIN!A1816,K1811+4,2)</f>
        <v>#VALUE!</v>
      </c>
      <c r="F1811" s="2" t="e">
        <f t="shared" si="113"/>
        <v>#VALUE!</v>
      </c>
      <c r="G1811" s="13" t="e">
        <f t="shared" si="114"/>
        <v>#VALUE!</v>
      </c>
      <c r="J1811" t="str">
        <f>MAIN!A1816&amp;"B"</f>
        <v>B</v>
      </c>
      <c r="K1811" s="12" t="e">
        <f t="shared" si="115"/>
        <v>#VALUE!</v>
      </c>
      <c r="L1811" t="str">
        <f>MAIN!C1816</f>
        <v/>
      </c>
    </row>
    <row r="1812" spans="1:12" x14ac:dyDescent="0.3">
      <c r="A1812">
        <f>IF(J1812="0",0,IF(COUNTIF($J$2:J1812,J1812)=1,1,0))</f>
        <v>0</v>
      </c>
      <c r="B1812" s="12" t="e">
        <f>MID(MAIN!A1817,K1812,2)</f>
        <v>#VALUE!</v>
      </c>
      <c r="C1812" s="12" t="e">
        <f t="shared" si="112"/>
        <v>#VALUE!</v>
      </c>
      <c r="D1812" s="12" t="e">
        <f>MID(MAIN!A1817,K1812+2,2)</f>
        <v>#VALUE!</v>
      </c>
      <c r="E1812" s="12" t="e">
        <f>MID(MAIN!A1817,K1812+4,2)</f>
        <v>#VALUE!</v>
      </c>
      <c r="F1812" s="2" t="e">
        <f t="shared" si="113"/>
        <v>#VALUE!</v>
      </c>
      <c r="G1812" s="13" t="e">
        <f t="shared" si="114"/>
        <v>#VALUE!</v>
      </c>
      <c r="J1812" t="str">
        <f>MAIN!A1817&amp;"B"</f>
        <v>B</v>
      </c>
      <c r="K1812" s="12" t="e">
        <f t="shared" si="115"/>
        <v>#VALUE!</v>
      </c>
      <c r="L1812" t="str">
        <f>MAIN!C1817</f>
        <v/>
      </c>
    </row>
    <row r="1813" spans="1:12" x14ac:dyDescent="0.3">
      <c r="A1813">
        <f>IF(J1813="0",0,IF(COUNTIF($J$2:J1813,J1813)=1,1,0))</f>
        <v>0</v>
      </c>
      <c r="B1813" s="12" t="e">
        <f>MID(MAIN!A1818,K1813,2)</f>
        <v>#VALUE!</v>
      </c>
      <c r="C1813" s="12" t="e">
        <f t="shared" si="112"/>
        <v>#VALUE!</v>
      </c>
      <c r="D1813" s="12" t="e">
        <f>MID(MAIN!A1818,K1813+2,2)</f>
        <v>#VALUE!</v>
      </c>
      <c r="E1813" s="12" t="e">
        <f>MID(MAIN!A1818,K1813+4,2)</f>
        <v>#VALUE!</v>
      </c>
      <c r="F1813" s="2" t="e">
        <f t="shared" si="113"/>
        <v>#VALUE!</v>
      </c>
      <c r="G1813" s="13" t="e">
        <f t="shared" si="114"/>
        <v>#VALUE!</v>
      </c>
      <c r="J1813" t="str">
        <f>MAIN!A1818&amp;"B"</f>
        <v>B</v>
      </c>
      <c r="K1813" s="12" t="e">
        <f t="shared" si="115"/>
        <v>#VALUE!</v>
      </c>
      <c r="L1813" t="str">
        <f>MAIN!C1818</f>
        <v/>
      </c>
    </row>
    <row r="1814" spans="1:12" x14ac:dyDescent="0.3">
      <c r="A1814">
        <f>IF(J1814="0",0,IF(COUNTIF($J$2:J1814,J1814)=1,1,0))</f>
        <v>0</v>
      </c>
      <c r="B1814" s="12" t="e">
        <f>MID(MAIN!A1819,K1814,2)</f>
        <v>#VALUE!</v>
      </c>
      <c r="C1814" s="12" t="e">
        <f t="shared" si="112"/>
        <v>#VALUE!</v>
      </c>
      <c r="D1814" s="12" t="e">
        <f>MID(MAIN!A1819,K1814+2,2)</f>
        <v>#VALUE!</v>
      </c>
      <c r="E1814" s="12" t="e">
        <f>MID(MAIN!A1819,K1814+4,2)</f>
        <v>#VALUE!</v>
      </c>
      <c r="F1814" s="2" t="e">
        <f t="shared" si="113"/>
        <v>#VALUE!</v>
      </c>
      <c r="G1814" s="13" t="e">
        <f t="shared" si="114"/>
        <v>#VALUE!</v>
      </c>
      <c r="J1814" t="str">
        <f>MAIN!A1819&amp;"B"</f>
        <v>B</v>
      </c>
      <c r="K1814" s="12" t="e">
        <f t="shared" si="115"/>
        <v>#VALUE!</v>
      </c>
      <c r="L1814" t="str">
        <f>MAIN!C1819</f>
        <v/>
      </c>
    </row>
    <row r="1815" spans="1:12" x14ac:dyDescent="0.3">
      <c r="A1815">
        <f>IF(J1815="0",0,IF(COUNTIF($J$2:J1815,J1815)=1,1,0))</f>
        <v>0</v>
      </c>
      <c r="B1815" s="12" t="e">
        <f>MID(MAIN!A1820,K1815,2)</f>
        <v>#VALUE!</v>
      </c>
      <c r="C1815" s="12" t="e">
        <f t="shared" si="112"/>
        <v>#VALUE!</v>
      </c>
      <c r="D1815" s="12" t="e">
        <f>MID(MAIN!A1820,K1815+2,2)</f>
        <v>#VALUE!</v>
      </c>
      <c r="E1815" s="12" t="e">
        <f>MID(MAIN!A1820,K1815+4,2)</f>
        <v>#VALUE!</v>
      </c>
      <c r="F1815" s="2" t="e">
        <f t="shared" si="113"/>
        <v>#VALUE!</v>
      </c>
      <c r="G1815" s="13" t="e">
        <f t="shared" si="114"/>
        <v>#VALUE!</v>
      </c>
      <c r="J1815" t="str">
        <f>MAIN!A1820&amp;"B"</f>
        <v>B</v>
      </c>
      <c r="K1815" s="12" t="e">
        <f t="shared" si="115"/>
        <v>#VALUE!</v>
      </c>
      <c r="L1815" t="str">
        <f>MAIN!C1820</f>
        <v/>
      </c>
    </row>
    <row r="1816" spans="1:12" x14ac:dyDescent="0.3">
      <c r="A1816">
        <f>IF(J1816="0",0,IF(COUNTIF($J$2:J1816,J1816)=1,1,0))</f>
        <v>0</v>
      </c>
      <c r="B1816" s="12" t="e">
        <f>MID(MAIN!A1821,K1816,2)</f>
        <v>#VALUE!</v>
      </c>
      <c r="C1816" s="12" t="e">
        <f t="shared" si="112"/>
        <v>#VALUE!</v>
      </c>
      <c r="D1816" s="12" t="e">
        <f>MID(MAIN!A1821,K1816+2,2)</f>
        <v>#VALUE!</v>
      </c>
      <c r="E1816" s="12" t="e">
        <f>MID(MAIN!A1821,K1816+4,2)</f>
        <v>#VALUE!</v>
      </c>
      <c r="F1816" s="2" t="e">
        <f t="shared" si="113"/>
        <v>#VALUE!</v>
      </c>
      <c r="G1816" s="13" t="e">
        <f t="shared" si="114"/>
        <v>#VALUE!</v>
      </c>
      <c r="J1816" t="str">
        <f>MAIN!A1821&amp;"B"</f>
        <v>B</v>
      </c>
      <c r="K1816" s="12" t="e">
        <f t="shared" si="115"/>
        <v>#VALUE!</v>
      </c>
      <c r="L1816" t="str">
        <f>MAIN!C1821</f>
        <v/>
      </c>
    </row>
    <row r="1817" spans="1:12" x14ac:dyDescent="0.3">
      <c r="A1817">
        <f>IF(J1817="0",0,IF(COUNTIF($J$2:J1817,J1817)=1,1,0))</f>
        <v>0</v>
      </c>
      <c r="B1817" s="12" t="e">
        <f>MID(MAIN!A1822,K1817,2)</f>
        <v>#VALUE!</v>
      </c>
      <c r="C1817" s="12" t="e">
        <f t="shared" si="112"/>
        <v>#VALUE!</v>
      </c>
      <c r="D1817" s="12" t="e">
        <f>MID(MAIN!A1822,K1817+2,2)</f>
        <v>#VALUE!</v>
      </c>
      <c r="E1817" s="12" t="e">
        <f>MID(MAIN!A1822,K1817+4,2)</f>
        <v>#VALUE!</v>
      </c>
      <c r="F1817" s="2" t="e">
        <f t="shared" si="113"/>
        <v>#VALUE!</v>
      </c>
      <c r="G1817" s="13" t="e">
        <f t="shared" si="114"/>
        <v>#VALUE!</v>
      </c>
      <c r="J1817" t="str">
        <f>MAIN!A1822&amp;"B"</f>
        <v>B</v>
      </c>
      <c r="K1817" s="12" t="e">
        <f t="shared" si="115"/>
        <v>#VALUE!</v>
      </c>
      <c r="L1817" t="str">
        <f>MAIN!C1822</f>
        <v/>
      </c>
    </row>
    <row r="1818" spans="1:12" x14ac:dyDescent="0.3">
      <c r="A1818">
        <f>IF(J1818="0",0,IF(COUNTIF($J$2:J1818,J1818)=1,1,0))</f>
        <v>0</v>
      </c>
      <c r="B1818" s="12" t="e">
        <f>MID(MAIN!A1823,K1818,2)</f>
        <v>#VALUE!</v>
      </c>
      <c r="C1818" s="12" t="e">
        <f t="shared" si="112"/>
        <v>#VALUE!</v>
      </c>
      <c r="D1818" s="12" t="e">
        <f>MID(MAIN!A1823,K1818+2,2)</f>
        <v>#VALUE!</v>
      </c>
      <c r="E1818" s="12" t="e">
        <f>MID(MAIN!A1823,K1818+4,2)</f>
        <v>#VALUE!</v>
      </c>
      <c r="F1818" s="2" t="e">
        <f t="shared" si="113"/>
        <v>#VALUE!</v>
      </c>
      <c r="G1818" s="13" t="e">
        <f t="shared" si="114"/>
        <v>#VALUE!</v>
      </c>
      <c r="J1818" t="str">
        <f>MAIN!A1823&amp;"B"</f>
        <v>B</v>
      </c>
      <c r="K1818" s="12" t="e">
        <f t="shared" si="115"/>
        <v>#VALUE!</v>
      </c>
      <c r="L1818" t="str">
        <f>MAIN!C1823</f>
        <v/>
      </c>
    </row>
    <row r="1819" spans="1:12" x14ac:dyDescent="0.3">
      <c r="A1819">
        <f>IF(J1819="0",0,IF(COUNTIF($J$2:J1819,J1819)=1,1,0))</f>
        <v>0</v>
      </c>
      <c r="B1819" s="12" t="e">
        <f>MID(MAIN!A1824,K1819,2)</f>
        <v>#VALUE!</v>
      </c>
      <c r="C1819" s="12" t="e">
        <f t="shared" si="112"/>
        <v>#VALUE!</v>
      </c>
      <c r="D1819" s="12" t="e">
        <f>MID(MAIN!A1824,K1819+2,2)</f>
        <v>#VALUE!</v>
      </c>
      <c r="E1819" s="12" t="e">
        <f>MID(MAIN!A1824,K1819+4,2)</f>
        <v>#VALUE!</v>
      </c>
      <c r="F1819" s="2" t="e">
        <f t="shared" si="113"/>
        <v>#VALUE!</v>
      </c>
      <c r="G1819" s="13" t="e">
        <f t="shared" si="114"/>
        <v>#VALUE!</v>
      </c>
      <c r="J1819" t="str">
        <f>MAIN!A1824&amp;"B"</f>
        <v>B</v>
      </c>
      <c r="K1819" s="12" t="e">
        <f t="shared" si="115"/>
        <v>#VALUE!</v>
      </c>
      <c r="L1819" t="str">
        <f>MAIN!C1824</f>
        <v/>
      </c>
    </row>
    <row r="1820" spans="1:12" x14ac:dyDescent="0.3">
      <c r="A1820">
        <f>IF(J1820="0",0,IF(COUNTIF($J$2:J1820,J1820)=1,1,0))</f>
        <v>0</v>
      </c>
      <c r="B1820" s="12" t="e">
        <f>MID(MAIN!A1825,K1820,2)</f>
        <v>#VALUE!</v>
      </c>
      <c r="C1820" s="12" t="e">
        <f t="shared" si="112"/>
        <v>#VALUE!</v>
      </c>
      <c r="D1820" s="12" t="e">
        <f>MID(MAIN!A1825,K1820+2,2)</f>
        <v>#VALUE!</v>
      </c>
      <c r="E1820" s="12" t="e">
        <f>MID(MAIN!A1825,K1820+4,2)</f>
        <v>#VALUE!</v>
      </c>
      <c r="F1820" s="2" t="e">
        <f t="shared" si="113"/>
        <v>#VALUE!</v>
      </c>
      <c r="G1820" s="13" t="e">
        <f t="shared" si="114"/>
        <v>#VALUE!</v>
      </c>
      <c r="J1820" t="str">
        <f>MAIN!A1825&amp;"B"</f>
        <v>B</v>
      </c>
      <c r="K1820" s="12" t="e">
        <f t="shared" si="115"/>
        <v>#VALUE!</v>
      </c>
      <c r="L1820" t="str">
        <f>MAIN!C1825</f>
        <v/>
      </c>
    </row>
    <row r="1821" spans="1:12" x14ac:dyDescent="0.3">
      <c r="A1821">
        <f>IF(J1821="0",0,IF(COUNTIF($J$2:J1821,J1821)=1,1,0))</f>
        <v>0</v>
      </c>
      <c r="B1821" s="12" t="e">
        <f>MID(MAIN!A1826,K1821,2)</f>
        <v>#VALUE!</v>
      </c>
      <c r="C1821" s="12" t="e">
        <f t="shared" si="112"/>
        <v>#VALUE!</v>
      </c>
      <c r="D1821" s="12" t="e">
        <f>MID(MAIN!A1826,K1821+2,2)</f>
        <v>#VALUE!</v>
      </c>
      <c r="E1821" s="12" t="e">
        <f>MID(MAIN!A1826,K1821+4,2)</f>
        <v>#VALUE!</v>
      </c>
      <c r="F1821" s="2" t="e">
        <f t="shared" si="113"/>
        <v>#VALUE!</v>
      </c>
      <c r="G1821" s="13" t="e">
        <f t="shared" si="114"/>
        <v>#VALUE!</v>
      </c>
      <c r="J1821" t="str">
        <f>MAIN!A1826&amp;"B"</f>
        <v>B</v>
      </c>
      <c r="K1821" s="12" t="e">
        <f t="shared" si="115"/>
        <v>#VALUE!</v>
      </c>
      <c r="L1821" t="str">
        <f>MAIN!C1826</f>
        <v/>
      </c>
    </row>
    <row r="1822" spans="1:12" x14ac:dyDescent="0.3">
      <c r="A1822">
        <f>IF(J1822="0",0,IF(COUNTIF($J$2:J1822,J1822)=1,1,0))</f>
        <v>0</v>
      </c>
      <c r="B1822" s="12" t="e">
        <f>MID(MAIN!A1827,K1822,2)</f>
        <v>#VALUE!</v>
      </c>
      <c r="C1822" s="12" t="e">
        <f t="shared" si="112"/>
        <v>#VALUE!</v>
      </c>
      <c r="D1822" s="12" t="e">
        <f>MID(MAIN!A1827,K1822+2,2)</f>
        <v>#VALUE!</v>
      </c>
      <c r="E1822" s="12" t="e">
        <f>MID(MAIN!A1827,K1822+4,2)</f>
        <v>#VALUE!</v>
      </c>
      <c r="F1822" s="2" t="e">
        <f t="shared" si="113"/>
        <v>#VALUE!</v>
      </c>
      <c r="G1822" s="13" t="e">
        <f t="shared" si="114"/>
        <v>#VALUE!</v>
      </c>
      <c r="J1822" t="str">
        <f>MAIN!A1827&amp;"B"</f>
        <v>B</v>
      </c>
      <c r="K1822" s="12" t="e">
        <f t="shared" si="115"/>
        <v>#VALUE!</v>
      </c>
      <c r="L1822" t="str">
        <f>MAIN!C1827</f>
        <v/>
      </c>
    </row>
    <row r="1823" spans="1:12" x14ac:dyDescent="0.3">
      <c r="A1823">
        <f>IF(J1823="0",0,IF(COUNTIF($J$2:J1823,J1823)=1,1,0))</f>
        <v>0</v>
      </c>
      <c r="B1823" s="12" t="e">
        <f>MID(MAIN!A1828,K1823,2)</f>
        <v>#VALUE!</v>
      </c>
      <c r="C1823" s="12" t="e">
        <f t="shared" si="112"/>
        <v>#VALUE!</v>
      </c>
      <c r="D1823" s="12" t="e">
        <f>MID(MAIN!A1828,K1823+2,2)</f>
        <v>#VALUE!</v>
      </c>
      <c r="E1823" s="12" t="e">
        <f>MID(MAIN!A1828,K1823+4,2)</f>
        <v>#VALUE!</v>
      </c>
      <c r="F1823" s="2" t="e">
        <f t="shared" si="113"/>
        <v>#VALUE!</v>
      </c>
      <c r="G1823" s="13" t="e">
        <f t="shared" si="114"/>
        <v>#VALUE!</v>
      </c>
      <c r="J1823" t="str">
        <f>MAIN!A1828&amp;"B"</f>
        <v>B</v>
      </c>
      <c r="K1823" s="12" t="e">
        <f t="shared" si="115"/>
        <v>#VALUE!</v>
      </c>
      <c r="L1823" t="str">
        <f>MAIN!C1828</f>
        <v/>
      </c>
    </row>
    <row r="1824" spans="1:12" x14ac:dyDescent="0.3">
      <c r="A1824">
        <f>IF(J1824="0",0,IF(COUNTIF($J$2:J1824,J1824)=1,1,0))</f>
        <v>0</v>
      </c>
      <c r="B1824" s="12" t="e">
        <f>MID(MAIN!A1829,K1824,2)</f>
        <v>#VALUE!</v>
      </c>
      <c r="C1824" s="12" t="e">
        <f t="shared" si="112"/>
        <v>#VALUE!</v>
      </c>
      <c r="D1824" s="12" t="e">
        <f>MID(MAIN!A1829,K1824+2,2)</f>
        <v>#VALUE!</v>
      </c>
      <c r="E1824" s="12" t="e">
        <f>MID(MAIN!A1829,K1824+4,2)</f>
        <v>#VALUE!</v>
      </c>
      <c r="F1824" s="2" t="e">
        <f t="shared" si="113"/>
        <v>#VALUE!</v>
      </c>
      <c r="G1824" s="13" t="e">
        <f t="shared" si="114"/>
        <v>#VALUE!</v>
      </c>
      <c r="J1824" t="str">
        <f>MAIN!A1829&amp;"B"</f>
        <v>B</v>
      </c>
      <c r="K1824" s="12" t="e">
        <f t="shared" si="115"/>
        <v>#VALUE!</v>
      </c>
      <c r="L1824" t="str">
        <f>MAIN!C1829</f>
        <v/>
      </c>
    </row>
    <row r="1825" spans="1:12" x14ac:dyDescent="0.3">
      <c r="A1825">
        <f>IF(J1825="0",0,IF(COUNTIF($J$2:J1825,J1825)=1,1,0))</f>
        <v>0</v>
      </c>
      <c r="B1825" s="12" t="e">
        <f>MID(MAIN!A1830,K1825,2)</f>
        <v>#VALUE!</v>
      </c>
      <c r="C1825" s="12" t="e">
        <f t="shared" si="112"/>
        <v>#VALUE!</v>
      </c>
      <c r="D1825" s="12" t="e">
        <f>MID(MAIN!A1830,K1825+2,2)</f>
        <v>#VALUE!</v>
      </c>
      <c r="E1825" s="12" t="e">
        <f>MID(MAIN!A1830,K1825+4,2)</f>
        <v>#VALUE!</v>
      </c>
      <c r="F1825" s="2" t="e">
        <f t="shared" si="113"/>
        <v>#VALUE!</v>
      </c>
      <c r="G1825" s="13" t="e">
        <f t="shared" si="114"/>
        <v>#VALUE!</v>
      </c>
      <c r="J1825" t="str">
        <f>MAIN!A1830&amp;"B"</f>
        <v>B</v>
      </c>
      <c r="K1825" s="12" t="e">
        <f t="shared" si="115"/>
        <v>#VALUE!</v>
      </c>
      <c r="L1825" t="str">
        <f>MAIN!C1830</f>
        <v/>
      </c>
    </row>
    <row r="1826" spans="1:12" x14ac:dyDescent="0.3">
      <c r="A1826">
        <f>IF(J1826="0",0,IF(COUNTIF($J$2:J1826,J1826)=1,1,0))</f>
        <v>0</v>
      </c>
      <c r="B1826" s="12" t="e">
        <f>MID(MAIN!A1831,K1826,2)</f>
        <v>#VALUE!</v>
      </c>
      <c r="C1826" s="12" t="e">
        <f t="shared" si="112"/>
        <v>#VALUE!</v>
      </c>
      <c r="D1826" s="12" t="e">
        <f>MID(MAIN!A1831,K1826+2,2)</f>
        <v>#VALUE!</v>
      </c>
      <c r="E1826" s="12" t="e">
        <f>MID(MAIN!A1831,K1826+4,2)</f>
        <v>#VALUE!</v>
      </c>
      <c r="F1826" s="2" t="e">
        <f t="shared" si="113"/>
        <v>#VALUE!</v>
      </c>
      <c r="G1826" s="13" t="e">
        <f t="shared" si="114"/>
        <v>#VALUE!</v>
      </c>
      <c r="J1826" t="str">
        <f>MAIN!A1831&amp;"B"</f>
        <v>B</v>
      </c>
      <c r="K1826" s="12" t="e">
        <f t="shared" si="115"/>
        <v>#VALUE!</v>
      </c>
      <c r="L1826" t="str">
        <f>MAIN!C1831</f>
        <v/>
      </c>
    </row>
    <row r="1827" spans="1:12" x14ac:dyDescent="0.3">
      <c r="A1827">
        <f>IF(J1827="0",0,IF(COUNTIF($J$2:J1827,J1827)=1,1,0))</f>
        <v>0</v>
      </c>
      <c r="B1827" s="12" t="e">
        <f>MID(MAIN!A1832,K1827,2)</f>
        <v>#VALUE!</v>
      </c>
      <c r="C1827" s="12" t="e">
        <f t="shared" si="112"/>
        <v>#VALUE!</v>
      </c>
      <c r="D1827" s="12" t="e">
        <f>MID(MAIN!A1832,K1827+2,2)</f>
        <v>#VALUE!</v>
      </c>
      <c r="E1827" s="12" t="e">
        <f>MID(MAIN!A1832,K1827+4,2)</f>
        <v>#VALUE!</v>
      </c>
      <c r="F1827" s="2" t="e">
        <f t="shared" si="113"/>
        <v>#VALUE!</v>
      </c>
      <c r="G1827" s="13" t="e">
        <f t="shared" si="114"/>
        <v>#VALUE!</v>
      </c>
      <c r="J1827" t="str">
        <f>MAIN!A1832&amp;"B"</f>
        <v>B</v>
      </c>
      <c r="K1827" s="12" t="e">
        <f t="shared" si="115"/>
        <v>#VALUE!</v>
      </c>
      <c r="L1827" t="str">
        <f>MAIN!C1832</f>
        <v/>
      </c>
    </row>
    <row r="1828" spans="1:12" x14ac:dyDescent="0.3">
      <c r="A1828">
        <f>IF(J1828="0",0,IF(COUNTIF($J$2:J1828,J1828)=1,1,0))</f>
        <v>0</v>
      </c>
      <c r="B1828" s="12" t="e">
        <f>MID(MAIN!A1833,K1828,2)</f>
        <v>#VALUE!</v>
      </c>
      <c r="C1828" s="12" t="e">
        <f t="shared" si="112"/>
        <v>#VALUE!</v>
      </c>
      <c r="D1828" s="12" t="e">
        <f>MID(MAIN!A1833,K1828+2,2)</f>
        <v>#VALUE!</v>
      </c>
      <c r="E1828" s="12" t="e">
        <f>MID(MAIN!A1833,K1828+4,2)</f>
        <v>#VALUE!</v>
      </c>
      <c r="F1828" s="2" t="e">
        <f t="shared" si="113"/>
        <v>#VALUE!</v>
      </c>
      <c r="G1828" s="13" t="e">
        <f t="shared" si="114"/>
        <v>#VALUE!</v>
      </c>
      <c r="J1828" t="str">
        <f>MAIN!A1833&amp;"B"</f>
        <v>B</v>
      </c>
      <c r="K1828" s="12" t="e">
        <f t="shared" si="115"/>
        <v>#VALUE!</v>
      </c>
      <c r="L1828" t="str">
        <f>MAIN!C1833</f>
        <v/>
      </c>
    </row>
    <row r="1829" spans="1:12" x14ac:dyDescent="0.3">
      <c r="A1829">
        <f>IF(J1829="0",0,IF(COUNTIF($J$2:J1829,J1829)=1,1,0))</f>
        <v>0</v>
      </c>
      <c r="B1829" s="12" t="e">
        <f>MID(MAIN!A1834,K1829,2)</f>
        <v>#VALUE!</v>
      </c>
      <c r="C1829" s="12" t="e">
        <f t="shared" si="112"/>
        <v>#VALUE!</v>
      </c>
      <c r="D1829" s="12" t="e">
        <f>MID(MAIN!A1834,K1829+2,2)</f>
        <v>#VALUE!</v>
      </c>
      <c r="E1829" s="12" t="e">
        <f>MID(MAIN!A1834,K1829+4,2)</f>
        <v>#VALUE!</v>
      </c>
      <c r="F1829" s="2" t="e">
        <f t="shared" si="113"/>
        <v>#VALUE!</v>
      </c>
      <c r="G1829" s="13" t="e">
        <f t="shared" si="114"/>
        <v>#VALUE!</v>
      </c>
      <c r="J1829" t="str">
        <f>MAIN!A1834&amp;"B"</f>
        <v>B</v>
      </c>
      <c r="K1829" s="12" t="e">
        <f t="shared" si="115"/>
        <v>#VALUE!</v>
      </c>
      <c r="L1829" t="str">
        <f>MAIN!C1834</f>
        <v/>
      </c>
    </row>
    <row r="1830" spans="1:12" x14ac:dyDescent="0.3">
      <c r="A1830">
        <f>IF(J1830="0",0,IF(COUNTIF($J$2:J1830,J1830)=1,1,0))</f>
        <v>0</v>
      </c>
      <c r="B1830" s="12" t="e">
        <f>MID(MAIN!A1835,K1830,2)</f>
        <v>#VALUE!</v>
      </c>
      <c r="C1830" s="12" t="e">
        <f t="shared" si="112"/>
        <v>#VALUE!</v>
      </c>
      <c r="D1830" s="12" t="e">
        <f>MID(MAIN!A1835,K1830+2,2)</f>
        <v>#VALUE!</v>
      </c>
      <c r="E1830" s="12" t="e">
        <f>MID(MAIN!A1835,K1830+4,2)</f>
        <v>#VALUE!</v>
      </c>
      <c r="F1830" s="2" t="e">
        <f t="shared" si="113"/>
        <v>#VALUE!</v>
      </c>
      <c r="G1830" s="13" t="e">
        <f t="shared" si="114"/>
        <v>#VALUE!</v>
      </c>
      <c r="J1830" t="str">
        <f>MAIN!A1835&amp;"B"</f>
        <v>B</v>
      </c>
      <c r="K1830" s="12" t="e">
        <f t="shared" si="115"/>
        <v>#VALUE!</v>
      </c>
      <c r="L1830" t="str">
        <f>MAIN!C1835</f>
        <v/>
      </c>
    </row>
    <row r="1831" spans="1:12" x14ac:dyDescent="0.3">
      <c r="A1831">
        <f>IF(J1831="0",0,IF(COUNTIF($J$2:J1831,J1831)=1,1,0))</f>
        <v>0</v>
      </c>
      <c r="B1831" s="12" t="e">
        <f>MID(MAIN!A1836,K1831,2)</f>
        <v>#VALUE!</v>
      </c>
      <c r="C1831" s="12" t="e">
        <f t="shared" si="112"/>
        <v>#VALUE!</v>
      </c>
      <c r="D1831" s="12" t="e">
        <f>MID(MAIN!A1836,K1831+2,2)</f>
        <v>#VALUE!</v>
      </c>
      <c r="E1831" s="12" t="e">
        <f>MID(MAIN!A1836,K1831+4,2)</f>
        <v>#VALUE!</v>
      </c>
      <c r="F1831" s="2" t="e">
        <f t="shared" si="113"/>
        <v>#VALUE!</v>
      </c>
      <c r="G1831" s="13" t="e">
        <f t="shared" si="114"/>
        <v>#VALUE!</v>
      </c>
      <c r="J1831" t="str">
        <f>MAIN!A1836&amp;"B"</f>
        <v>B</v>
      </c>
      <c r="K1831" s="12" t="e">
        <f t="shared" si="115"/>
        <v>#VALUE!</v>
      </c>
      <c r="L1831" t="str">
        <f>MAIN!C1836</f>
        <v/>
      </c>
    </row>
    <row r="1832" spans="1:12" x14ac:dyDescent="0.3">
      <c r="A1832">
        <f>IF(J1832="0",0,IF(COUNTIF($J$2:J1832,J1832)=1,1,0))</f>
        <v>0</v>
      </c>
      <c r="B1832" s="12" t="e">
        <f>MID(MAIN!A1837,K1832,2)</f>
        <v>#VALUE!</v>
      </c>
      <c r="C1832" s="12" t="e">
        <f t="shared" si="112"/>
        <v>#VALUE!</v>
      </c>
      <c r="D1832" s="12" t="e">
        <f>MID(MAIN!A1837,K1832+2,2)</f>
        <v>#VALUE!</v>
      </c>
      <c r="E1832" s="12" t="e">
        <f>MID(MAIN!A1837,K1832+4,2)</f>
        <v>#VALUE!</v>
      </c>
      <c r="F1832" s="2" t="e">
        <f t="shared" si="113"/>
        <v>#VALUE!</v>
      </c>
      <c r="G1832" s="13" t="e">
        <f t="shared" si="114"/>
        <v>#VALUE!</v>
      </c>
      <c r="J1832" t="str">
        <f>MAIN!A1837&amp;"B"</f>
        <v>B</v>
      </c>
      <c r="K1832" s="12" t="e">
        <f t="shared" si="115"/>
        <v>#VALUE!</v>
      </c>
      <c r="L1832" t="str">
        <f>MAIN!C1837</f>
        <v/>
      </c>
    </row>
    <row r="1833" spans="1:12" x14ac:dyDescent="0.3">
      <c r="A1833">
        <f>IF(J1833="0",0,IF(COUNTIF($J$2:J1833,J1833)=1,1,0))</f>
        <v>0</v>
      </c>
      <c r="B1833" s="12" t="e">
        <f>MID(MAIN!A1838,K1833,2)</f>
        <v>#VALUE!</v>
      </c>
      <c r="C1833" s="12" t="e">
        <f t="shared" si="112"/>
        <v>#VALUE!</v>
      </c>
      <c r="D1833" s="12" t="e">
        <f>MID(MAIN!A1838,K1833+2,2)</f>
        <v>#VALUE!</v>
      </c>
      <c r="E1833" s="12" t="e">
        <f>MID(MAIN!A1838,K1833+4,2)</f>
        <v>#VALUE!</v>
      </c>
      <c r="F1833" s="2" t="e">
        <f t="shared" si="113"/>
        <v>#VALUE!</v>
      </c>
      <c r="G1833" s="13" t="e">
        <f t="shared" si="114"/>
        <v>#VALUE!</v>
      </c>
      <c r="J1833" t="str">
        <f>MAIN!A1838&amp;"B"</f>
        <v>B</v>
      </c>
      <c r="K1833" s="12" t="e">
        <f t="shared" si="115"/>
        <v>#VALUE!</v>
      </c>
      <c r="L1833" t="str">
        <f>MAIN!C1838</f>
        <v/>
      </c>
    </row>
    <row r="1834" spans="1:12" x14ac:dyDescent="0.3">
      <c r="A1834">
        <f>IF(J1834="0",0,IF(COUNTIF($J$2:J1834,J1834)=1,1,0))</f>
        <v>0</v>
      </c>
      <c r="B1834" s="12" t="e">
        <f>MID(MAIN!A1839,K1834,2)</f>
        <v>#VALUE!</v>
      </c>
      <c r="C1834" s="12" t="e">
        <f t="shared" si="112"/>
        <v>#VALUE!</v>
      </c>
      <c r="D1834" s="12" t="e">
        <f>MID(MAIN!A1839,K1834+2,2)</f>
        <v>#VALUE!</v>
      </c>
      <c r="E1834" s="12" t="e">
        <f>MID(MAIN!A1839,K1834+4,2)</f>
        <v>#VALUE!</v>
      </c>
      <c r="F1834" s="2" t="e">
        <f t="shared" si="113"/>
        <v>#VALUE!</v>
      </c>
      <c r="G1834" s="13" t="e">
        <f t="shared" si="114"/>
        <v>#VALUE!</v>
      </c>
      <c r="J1834" t="str">
        <f>MAIN!A1839&amp;"B"</f>
        <v>B</v>
      </c>
      <c r="K1834" s="12" t="e">
        <f t="shared" si="115"/>
        <v>#VALUE!</v>
      </c>
      <c r="L1834" t="str">
        <f>MAIN!C1839</f>
        <v/>
      </c>
    </row>
    <row r="1835" spans="1:12" x14ac:dyDescent="0.3">
      <c r="A1835">
        <f>IF(J1835="0",0,IF(COUNTIF($J$2:J1835,J1835)=1,1,0))</f>
        <v>0</v>
      </c>
      <c r="B1835" s="12" t="e">
        <f>MID(MAIN!A1840,K1835,2)</f>
        <v>#VALUE!</v>
      </c>
      <c r="C1835" s="12" t="e">
        <f t="shared" si="112"/>
        <v>#VALUE!</v>
      </c>
      <c r="D1835" s="12" t="e">
        <f>MID(MAIN!A1840,K1835+2,2)</f>
        <v>#VALUE!</v>
      </c>
      <c r="E1835" s="12" t="e">
        <f>MID(MAIN!A1840,K1835+4,2)</f>
        <v>#VALUE!</v>
      </c>
      <c r="F1835" s="2" t="e">
        <f t="shared" si="113"/>
        <v>#VALUE!</v>
      </c>
      <c r="G1835" s="13" t="e">
        <f t="shared" si="114"/>
        <v>#VALUE!</v>
      </c>
      <c r="J1835" t="str">
        <f>MAIN!A1840&amp;"B"</f>
        <v>B</v>
      </c>
      <c r="K1835" s="12" t="e">
        <f t="shared" si="115"/>
        <v>#VALUE!</v>
      </c>
      <c r="L1835" t="str">
        <f>MAIN!C1840</f>
        <v/>
      </c>
    </row>
    <row r="1836" spans="1:12" x14ac:dyDescent="0.3">
      <c r="A1836">
        <f>IF(J1836="0",0,IF(COUNTIF($J$2:J1836,J1836)=1,1,0))</f>
        <v>0</v>
      </c>
      <c r="B1836" s="12" t="e">
        <f>MID(MAIN!A1841,K1836,2)</f>
        <v>#VALUE!</v>
      </c>
      <c r="C1836" s="12" t="e">
        <f t="shared" si="112"/>
        <v>#VALUE!</v>
      </c>
      <c r="D1836" s="12" t="e">
        <f>MID(MAIN!A1841,K1836+2,2)</f>
        <v>#VALUE!</v>
      </c>
      <c r="E1836" s="12" t="e">
        <f>MID(MAIN!A1841,K1836+4,2)</f>
        <v>#VALUE!</v>
      </c>
      <c r="F1836" s="2" t="e">
        <f t="shared" si="113"/>
        <v>#VALUE!</v>
      </c>
      <c r="G1836" s="13" t="e">
        <f t="shared" si="114"/>
        <v>#VALUE!</v>
      </c>
      <c r="J1836" t="str">
        <f>MAIN!A1841&amp;"B"</f>
        <v>B</v>
      </c>
      <c r="K1836" s="12" t="e">
        <f t="shared" si="115"/>
        <v>#VALUE!</v>
      </c>
      <c r="L1836" t="str">
        <f>MAIN!C1841</f>
        <v/>
      </c>
    </row>
    <row r="1837" spans="1:12" x14ac:dyDescent="0.3">
      <c r="A1837">
        <f>IF(J1837="0",0,IF(COUNTIF($J$2:J1837,J1837)=1,1,0))</f>
        <v>0</v>
      </c>
      <c r="B1837" s="12" t="e">
        <f>MID(MAIN!A1842,K1837,2)</f>
        <v>#VALUE!</v>
      </c>
      <c r="C1837" s="12" t="e">
        <f t="shared" si="112"/>
        <v>#VALUE!</v>
      </c>
      <c r="D1837" s="12" t="e">
        <f>MID(MAIN!A1842,K1837+2,2)</f>
        <v>#VALUE!</v>
      </c>
      <c r="E1837" s="12" t="e">
        <f>MID(MAIN!A1842,K1837+4,2)</f>
        <v>#VALUE!</v>
      </c>
      <c r="F1837" s="2" t="e">
        <f t="shared" si="113"/>
        <v>#VALUE!</v>
      </c>
      <c r="G1837" s="13" t="e">
        <f t="shared" si="114"/>
        <v>#VALUE!</v>
      </c>
      <c r="J1837" t="str">
        <f>MAIN!A1842&amp;"B"</f>
        <v>B</v>
      </c>
      <c r="K1837" s="12" t="e">
        <f t="shared" si="115"/>
        <v>#VALUE!</v>
      </c>
      <c r="L1837" t="str">
        <f>MAIN!C1842</f>
        <v/>
      </c>
    </row>
    <row r="1838" spans="1:12" x14ac:dyDescent="0.3">
      <c r="A1838">
        <f>IF(J1838="0",0,IF(COUNTIF($J$2:J1838,J1838)=1,1,0))</f>
        <v>0</v>
      </c>
      <c r="B1838" s="12" t="e">
        <f>MID(MAIN!A1843,K1838,2)</f>
        <v>#VALUE!</v>
      </c>
      <c r="C1838" s="12" t="e">
        <f t="shared" si="112"/>
        <v>#VALUE!</v>
      </c>
      <c r="D1838" s="12" t="e">
        <f>MID(MAIN!A1843,K1838+2,2)</f>
        <v>#VALUE!</v>
      </c>
      <c r="E1838" s="12" t="e">
        <f>MID(MAIN!A1843,K1838+4,2)</f>
        <v>#VALUE!</v>
      </c>
      <c r="F1838" s="2" t="e">
        <f t="shared" si="113"/>
        <v>#VALUE!</v>
      </c>
      <c r="G1838" s="13" t="e">
        <f t="shared" si="114"/>
        <v>#VALUE!</v>
      </c>
      <c r="J1838" t="str">
        <f>MAIN!A1843&amp;"B"</f>
        <v>B</v>
      </c>
      <c r="K1838" s="12" t="e">
        <f t="shared" si="115"/>
        <v>#VALUE!</v>
      </c>
      <c r="L1838" t="str">
        <f>MAIN!C1843</f>
        <v/>
      </c>
    </row>
    <row r="1839" spans="1:12" x14ac:dyDescent="0.3">
      <c r="A1839">
        <f>IF(J1839="0",0,IF(COUNTIF($J$2:J1839,J1839)=1,1,0))</f>
        <v>0</v>
      </c>
      <c r="B1839" s="12" t="e">
        <f>MID(MAIN!A1844,K1839,2)</f>
        <v>#VALUE!</v>
      </c>
      <c r="C1839" s="12" t="e">
        <f t="shared" si="112"/>
        <v>#VALUE!</v>
      </c>
      <c r="D1839" s="12" t="e">
        <f>MID(MAIN!A1844,K1839+2,2)</f>
        <v>#VALUE!</v>
      </c>
      <c r="E1839" s="12" t="e">
        <f>MID(MAIN!A1844,K1839+4,2)</f>
        <v>#VALUE!</v>
      </c>
      <c r="F1839" s="2" t="e">
        <f t="shared" si="113"/>
        <v>#VALUE!</v>
      </c>
      <c r="G1839" s="13" t="e">
        <f t="shared" si="114"/>
        <v>#VALUE!</v>
      </c>
      <c r="J1839" t="str">
        <f>MAIN!A1844&amp;"B"</f>
        <v>B</v>
      </c>
      <c r="K1839" s="12" t="e">
        <f t="shared" si="115"/>
        <v>#VALUE!</v>
      </c>
      <c r="L1839" t="str">
        <f>MAIN!C1844</f>
        <v/>
      </c>
    </row>
    <row r="1840" spans="1:12" x14ac:dyDescent="0.3">
      <c r="A1840">
        <f>IF(J1840="0",0,IF(COUNTIF($J$2:J1840,J1840)=1,1,0))</f>
        <v>0</v>
      </c>
      <c r="B1840" s="12" t="e">
        <f>MID(MAIN!A1845,K1840,2)</f>
        <v>#VALUE!</v>
      </c>
      <c r="C1840" s="12" t="e">
        <f t="shared" si="112"/>
        <v>#VALUE!</v>
      </c>
      <c r="D1840" s="12" t="e">
        <f>MID(MAIN!A1845,K1840+2,2)</f>
        <v>#VALUE!</v>
      </c>
      <c r="E1840" s="12" t="e">
        <f>MID(MAIN!A1845,K1840+4,2)</f>
        <v>#VALUE!</v>
      </c>
      <c r="F1840" s="2" t="e">
        <f t="shared" si="113"/>
        <v>#VALUE!</v>
      </c>
      <c r="G1840" s="13" t="e">
        <f t="shared" si="114"/>
        <v>#VALUE!</v>
      </c>
      <c r="J1840" t="str">
        <f>MAIN!A1845&amp;"B"</f>
        <v>B</v>
      </c>
      <c r="K1840" s="12" t="e">
        <f t="shared" si="115"/>
        <v>#VALUE!</v>
      </c>
      <c r="L1840" t="str">
        <f>MAIN!C1845</f>
        <v/>
      </c>
    </row>
    <row r="1841" spans="1:12" x14ac:dyDescent="0.3">
      <c r="A1841">
        <f>IF(J1841="0",0,IF(COUNTIF($J$2:J1841,J1841)=1,1,0))</f>
        <v>0</v>
      </c>
      <c r="B1841" s="12" t="e">
        <f>MID(MAIN!A1846,K1841,2)</f>
        <v>#VALUE!</v>
      </c>
      <c r="C1841" s="12" t="e">
        <f t="shared" si="112"/>
        <v>#VALUE!</v>
      </c>
      <c r="D1841" s="12" t="e">
        <f>MID(MAIN!A1846,K1841+2,2)</f>
        <v>#VALUE!</v>
      </c>
      <c r="E1841" s="12" t="e">
        <f>MID(MAIN!A1846,K1841+4,2)</f>
        <v>#VALUE!</v>
      </c>
      <c r="F1841" s="2" t="e">
        <f t="shared" si="113"/>
        <v>#VALUE!</v>
      </c>
      <c r="G1841" s="13" t="e">
        <f t="shared" si="114"/>
        <v>#VALUE!</v>
      </c>
      <c r="J1841" t="str">
        <f>MAIN!A1846&amp;"B"</f>
        <v>B</v>
      </c>
      <c r="K1841" s="12" t="e">
        <f t="shared" si="115"/>
        <v>#VALUE!</v>
      </c>
      <c r="L1841" t="str">
        <f>MAIN!C1846</f>
        <v/>
      </c>
    </row>
    <row r="1842" spans="1:12" x14ac:dyDescent="0.3">
      <c r="A1842">
        <f>IF(J1842="0",0,IF(COUNTIF($J$2:J1842,J1842)=1,1,0))</f>
        <v>0</v>
      </c>
      <c r="B1842" s="12" t="e">
        <f>MID(MAIN!A1847,K1842,2)</f>
        <v>#VALUE!</v>
      </c>
      <c r="C1842" s="12" t="e">
        <f t="shared" si="112"/>
        <v>#VALUE!</v>
      </c>
      <c r="D1842" s="12" t="e">
        <f>MID(MAIN!A1847,K1842+2,2)</f>
        <v>#VALUE!</v>
      </c>
      <c r="E1842" s="12" t="e">
        <f>MID(MAIN!A1847,K1842+4,2)</f>
        <v>#VALUE!</v>
      </c>
      <c r="F1842" s="2" t="e">
        <f t="shared" si="113"/>
        <v>#VALUE!</v>
      </c>
      <c r="G1842" s="13" t="e">
        <f t="shared" si="114"/>
        <v>#VALUE!</v>
      </c>
      <c r="J1842" t="str">
        <f>MAIN!A1847&amp;"B"</f>
        <v>B</v>
      </c>
      <c r="K1842" s="12" t="e">
        <f t="shared" si="115"/>
        <v>#VALUE!</v>
      </c>
      <c r="L1842" t="str">
        <f>MAIN!C1847</f>
        <v/>
      </c>
    </row>
    <row r="1843" spans="1:12" x14ac:dyDescent="0.3">
      <c r="A1843">
        <f>IF(J1843="0",0,IF(COUNTIF($J$2:J1843,J1843)=1,1,0))</f>
        <v>0</v>
      </c>
      <c r="B1843" s="12" t="e">
        <f>MID(MAIN!A1848,K1843,2)</f>
        <v>#VALUE!</v>
      </c>
      <c r="C1843" s="12" t="e">
        <f t="shared" si="112"/>
        <v>#VALUE!</v>
      </c>
      <c r="D1843" s="12" t="e">
        <f>MID(MAIN!A1848,K1843+2,2)</f>
        <v>#VALUE!</v>
      </c>
      <c r="E1843" s="12" t="e">
        <f>MID(MAIN!A1848,K1843+4,2)</f>
        <v>#VALUE!</v>
      </c>
      <c r="F1843" s="2" t="e">
        <f t="shared" si="113"/>
        <v>#VALUE!</v>
      </c>
      <c r="G1843" s="13" t="e">
        <f t="shared" si="114"/>
        <v>#VALUE!</v>
      </c>
      <c r="J1843" t="str">
        <f>MAIN!A1848&amp;"B"</f>
        <v>B</v>
      </c>
      <c r="K1843" s="12" t="e">
        <f t="shared" si="115"/>
        <v>#VALUE!</v>
      </c>
      <c r="L1843" t="str">
        <f>MAIN!C1848</f>
        <v/>
      </c>
    </row>
    <row r="1844" spans="1:12" x14ac:dyDescent="0.3">
      <c r="A1844">
        <f>IF(J1844="0",0,IF(COUNTIF($J$2:J1844,J1844)=1,1,0))</f>
        <v>0</v>
      </c>
      <c r="B1844" s="12" t="e">
        <f>MID(MAIN!A1849,K1844,2)</f>
        <v>#VALUE!</v>
      </c>
      <c r="C1844" s="12" t="e">
        <f t="shared" si="112"/>
        <v>#VALUE!</v>
      </c>
      <c r="D1844" s="12" t="e">
        <f>MID(MAIN!A1849,K1844+2,2)</f>
        <v>#VALUE!</v>
      </c>
      <c r="E1844" s="12" t="e">
        <f>MID(MAIN!A1849,K1844+4,2)</f>
        <v>#VALUE!</v>
      </c>
      <c r="F1844" s="2" t="e">
        <f t="shared" si="113"/>
        <v>#VALUE!</v>
      </c>
      <c r="G1844" s="13" t="e">
        <f t="shared" si="114"/>
        <v>#VALUE!</v>
      </c>
      <c r="J1844" t="str">
        <f>MAIN!A1849&amp;"B"</f>
        <v>B</v>
      </c>
      <c r="K1844" s="12" t="e">
        <f t="shared" si="115"/>
        <v>#VALUE!</v>
      </c>
      <c r="L1844" t="str">
        <f>MAIN!C1849</f>
        <v/>
      </c>
    </row>
    <row r="1845" spans="1:12" x14ac:dyDescent="0.3">
      <c r="A1845">
        <f>IF(J1845="0",0,IF(COUNTIF($J$2:J1845,J1845)=1,1,0))</f>
        <v>0</v>
      </c>
      <c r="B1845" s="12" t="e">
        <f>MID(MAIN!A1850,K1845,2)</f>
        <v>#VALUE!</v>
      </c>
      <c r="C1845" s="12" t="e">
        <f t="shared" si="112"/>
        <v>#VALUE!</v>
      </c>
      <c r="D1845" s="12" t="e">
        <f>MID(MAIN!A1850,K1845+2,2)</f>
        <v>#VALUE!</v>
      </c>
      <c r="E1845" s="12" t="e">
        <f>MID(MAIN!A1850,K1845+4,2)</f>
        <v>#VALUE!</v>
      </c>
      <c r="F1845" s="2" t="e">
        <f t="shared" si="113"/>
        <v>#VALUE!</v>
      </c>
      <c r="G1845" s="13" t="e">
        <f t="shared" si="114"/>
        <v>#VALUE!</v>
      </c>
      <c r="J1845" t="str">
        <f>MAIN!A1850&amp;"B"</f>
        <v>B</v>
      </c>
      <c r="K1845" s="12" t="e">
        <f t="shared" si="115"/>
        <v>#VALUE!</v>
      </c>
      <c r="L1845" t="str">
        <f>MAIN!C1850</f>
        <v/>
      </c>
    </row>
    <row r="1846" spans="1:12" x14ac:dyDescent="0.3">
      <c r="A1846">
        <f>IF(J1846="0",0,IF(COUNTIF($J$2:J1846,J1846)=1,1,0))</f>
        <v>0</v>
      </c>
      <c r="B1846" s="12" t="e">
        <f>MID(MAIN!A1851,K1846,2)</f>
        <v>#VALUE!</v>
      </c>
      <c r="C1846" s="12" t="e">
        <f t="shared" si="112"/>
        <v>#VALUE!</v>
      </c>
      <c r="D1846" s="12" t="e">
        <f>MID(MAIN!A1851,K1846+2,2)</f>
        <v>#VALUE!</v>
      </c>
      <c r="E1846" s="12" t="e">
        <f>MID(MAIN!A1851,K1846+4,2)</f>
        <v>#VALUE!</v>
      </c>
      <c r="F1846" s="2" t="e">
        <f t="shared" si="113"/>
        <v>#VALUE!</v>
      </c>
      <c r="G1846" s="13" t="e">
        <f t="shared" si="114"/>
        <v>#VALUE!</v>
      </c>
      <c r="J1846" t="str">
        <f>MAIN!A1851&amp;"B"</f>
        <v>B</v>
      </c>
      <c r="K1846" s="12" t="e">
        <f t="shared" si="115"/>
        <v>#VALUE!</v>
      </c>
      <c r="L1846" t="str">
        <f>MAIN!C1851</f>
        <v/>
      </c>
    </row>
    <row r="1847" spans="1:12" x14ac:dyDescent="0.3">
      <c r="A1847">
        <f>IF(J1847="0",0,IF(COUNTIF($J$2:J1847,J1847)=1,1,0))</f>
        <v>0</v>
      </c>
      <c r="B1847" s="12" t="e">
        <f>MID(MAIN!A1852,K1847,2)</f>
        <v>#VALUE!</v>
      </c>
      <c r="C1847" s="12" t="e">
        <f t="shared" si="112"/>
        <v>#VALUE!</v>
      </c>
      <c r="D1847" s="12" t="e">
        <f>MID(MAIN!A1852,K1847+2,2)</f>
        <v>#VALUE!</v>
      </c>
      <c r="E1847" s="12" t="e">
        <f>MID(MAIN!A1852,K1847+4,2)</f>
        <v>#VALUE!</v>
      </c>
      <c r="F1847" s="2" t="e">
        <f t="shared" si="113"/>
        <v>#VALUE!</v>
      </c>
      <c r="G1847" s="13" t="e">
        <f t="shared" si="114"/>
        <v>#VALUE!</v>
      </c>
      <c r="J1847" t="str">
        <f>MAIN!A1852&amp;"B"</f>
        <v>B</v>
      </c>
      <c r="K1847" s="12" t="e">
        <f t="shared" si="115"/>
        <v>#VALUE!</v>
      </c>
      <c r="L1847" t="str">
        <f>MAIN!C1852</f>
        <v/>
      </c>
    </row>
    <row r="1848" spans="1:12" x14ac:dyDescent="0.3">
      <c r="A1848">
        <f>IF(J1848="0",0,IF(COUNTIF($J$2:J1848,J1848)=1,1,0))</f>
        <v>0</v>
      </c>
      <c r="B1848" s="12" t="e">
        <f>MID(MAIN!A1853,K1848,2)</f>
        <v>#VALUE!</v>
      </c>
      <c r="C1848" s="12" t="e">
        <f t="shared" si="112"/>
        <v>#VALUE!</v>
      </c>
      <c r="D1848" s="12" t="e">
        <f>MID(MAIN!A1853,K1848+2,2)</f>
        <v>#VALUE!</v>
      </c>
      <c r="E1848" s="12" t="e">
        <f>MID(MAIN!A1853,K1848+4,2)</f>
        <v>#VALUE!</v>
      </c>
      <c r="F1848" s="2" t="e">
        <f t="shared" si="113"/>
        <v>#VALUE!</v>
      </c>
      <c r="G1848" s="13" t="e">
        <f t="shared" si="114"/>
        <v>#VALUE!</v>
      </c>
      <c r="J1848" t="str">
        <f>MAIN!A1853&amp;"B"</f>
        <v>B</v>
      </c>
      <c r="K1848" s="12" t="e">
        <f t="shared" si="115"/>
        <v>#VALUE!</v>
      </c>
      <c r="L1848" t="str">
        <f>MAIN!C1853</f>
        <v/>
      </c>
    </row>
    <row r="1849" spans="1:12" x14ac:dyDescent="0.3">
      <c r="A1849">
        <f>IF(J1849="0",0,IF(COUNTIF($J$2:J1849,J1849)=1,1,0))</f>
        <v>0</v>
      </c>
      <c r="B1849" s="12" t="e">
        <f>MID(MAIN!A1854,K1849,2)</f>
        <v>#VALUE!</v>
      </c>
      <c r="C1849" s="12" t="e">
        <f t="shared" si="112"/>
        <v>#VALUE!</v>
      </c>
      <c r="D1849" s="12" t="e">
        <f>MID(MAIN!A1854,K1849+2,2)</f>
        <v>#VALUE!</v>
      </c>
      <c r="E1849" s="12" t="e">
        <f>MID(MAIN!A1854,K1849+4,2)</f>
        <v>#VALUE!</v>
      </c>
      <c r="F1849" s="2" t="e">
        <f t="shared" si="113"/>
        <v>#VALUE!</v>
      </c>
      <c r="G1849" s="13" t="e">
        <f t="shared" si="114"/>
        <v>#VALUE!</v>
      </c>
      <c r="J1849" t="str">
        <f>MAIN!A1854&amp;"B"</f>
        <v>B</v>
      </c>
      <c r="K1849" s="12" t="e">
        <f t="shared" si="115"/>
        <v>#VALUE!</v>
      </c>
      <c r="L1849" t="str">
        <f>MAIN!C1854</f>
        <v/>
      </c>
    </row>
    <row r="1850" spans="1:12" x14ac:dyDescent="0.3">
      <c r="A1850">
        <f>IF(J1850="0",0,IF(COUNTIF($J$2:J1850,J1850)=1,1,0))</f>
        <v>0</v>
      </c>
      <c r="B1850" s="12" t="e">
        <f>MID(MAIN!A1855,K1850,2)</f>
        <v>#VALUE!</v>
      </c>
      <c r="C1850" s="12" t="e">
        <f t="shared" si="112"/>
        <v>#VALUE!</v>
      </c>
      <c r="D1850" s="12" t="e">
        <f>MID(MAIN!A1855,K1850+2,2)</f>
        <v>#VALUE!</v>
      </c>
      <c r="E1850" s="12" t="e">
        <f>MID(MAIN!A1855,K1850+4,2)</f>
        <v>#VALUE!</v>
      </c>
      <c r="F1850" s="2" t="e">
        <f t="shared" si="113"/>
        <v>#VALUE!</v>
      </c>
      <c r="G1850" s="13" t="e">
        <f t="shared" si="114"/>
        <v>#VALUE!</v>
      </c>
      <c r="J1850" t="str">
        <f>MAIN!A1855&amp;"B"</f>
        <v>B</v>
      </c>
      <c r="K1850" s="12" t="e">
        <f t="shared" si="115"/>
        <v>#VALUE!</v>
      </c>
      <c r="L1850" t="str">
        <f>MAIN!C1855</f>
        <v/>
      </c>
    </row>
    <row r="1851" spans="1:12" x14ac:dyDescent="0.3">
      <c r="A1851">
        <f>IF(J1851="0",0,IF(COUNTIF($J$2:J1851,J1851)=1,1,0))</f>
        <v>0</v>
      </c>
      <c r="B1851" s="12" t="e">
        <f>MID(MAIN!A1856,K1851,2)</f>
        <v>#VALUE!</v>
      </c>
      <c r="C1851" s="12" t="e">
        <f t="shared" si="112"/>
        <v>#VALUE!</v>
      </c>
      <c r="D1851" s="12" t="e">
        <f>MID(MAIN!A1856,K1851+2,2)</f>
        <v>#VALUE!</v>
      </c>
      <c r="E1851" s="12" t="e">
        <f>MID(MAIN!A1856,K1851+4,2)</f>
        <v>#VALUE!</v>
      </c>
      <c r="F1851" s="2" t="e">
        <f t="shared" si="113"/>
        <v>#VALUE!</v>
      </c>
      <c r="G1851" s="13" t="e">
        <f t="shared" si="114"/>
        <v>#VALUE!</v>
      </c>
      <c r="J1851" t="str">
        <f>MAIN!A1856&amp;"B"</f>
        <v>B</v>
      </c>
      <c r="K1851" s="12" t="e">
        <f t="shared" si="115"/>
        <v>#VALUE!</v>
      </c>
      <c r="L1851" t="str">
        <f>MAIN!C1856</f>
        <v/>
      </c>
    </row>
    <row r="1852" spans="1:12" x14ac:dyDescent="0.3">
      <c r="A1852">
        <f>IF(J1852="0",0,IF(COUNTIF($J$2:J1852,J1852)=1,1,0))</f>
        <v>0</v>
      </c>
      <c r="B1852" s="12" t="e">
        <f>MID(MAIN!A1857,K1852,2)</f>
        <v>#VALUE!</v>
      </c>
      <c r="C1852" s="12" t="e">
        <f t="shared" si="112"/>
        <v>#VALUE!</v>
      </c>
      <c r="D1852" s="12" t="e">
        <f>MID(MAIN!A1857,K1852+2,2)</f>
        <v>#VALUE!</v>
      </c>
      <c r="E1852" s="12" t="e">
        <f>MID(MAIN!A1857,K1852+4,2)</f>
        <v>#VALUE!</v>
      </c>
      <c r="F1852" s="2" t="e">
        <f t="shared" si="113"/>
        <v>#VALUE!</v>
      </c>
      <c r="G1852" s="13" t="e">
        <f t="shared" si="114"/>
        <v>#VALUE!</v>
      </c>
      <c r="J1852" t="str">
        <f>MAIN!A1857&amp;"B"</f>
        <v>B</v>
      </c>
      <c r="K1852" s="12" t="e">
        <f t="shared" si="115"/>
        <v>#VALUE!</v>
      </c>
      <c r="L1852" t="str">
        <f>MAIN!C1857</f>
        <v/>
      </c>
    </row>
    <row r="1853" spans="1:12" x14ac:dyDescent="0.3">
      <c r="A1853">
        <f>IF(J1853="0",0,IF(COUNTIF($J$2:J1853,J1853)=1,1,0))</f>
        <v>0</v>
      </c>
      <c r="B1853" s="12" t="e">
        <f>MID(MAIN!A1858,K1853,2)</f>
        <v>#VALUE!</v>
      </c>
      <c r="C1853" s="12" t="e">
        <f t="shared" si="112"/>
        <v>#VALUE!</v>
      </c>
      <c r="D1853" s="12" t="e">
        <f>MID(MAIN!A1858,K1853+2,2)</f>
        <v>#VALUE!</v>
      </c>
      <c r="E1853" s="12" t="e">
        <f>MID(MAIN!A1858,K1853+4,2)</f>
        <v>#VALUE!</v>
      </c>
      <c r="F1853" s="2" t="e">
        <f t="shared" si="113"/>
        <v>#VALUE!</v>
      </c>
      <c r="G1853" s="13" t="e">
        <f t="shared" si="114"/>
        <v>#VALUE!</v>
      </c>
      <c r="J1853" t="str">
        <f>MAIN!A1858&amp;"B"</f>
        <v>B</v>
      </c>
      <c r="K1853" s="12" t="e">
        <f t="shared" si="115"/>
        <v>#VALUE!</v>
      </c>
      <c r="L1853" t="str">
        <f>MAIN!C1858</f>
        <v/>
      </c>
    </row>
    <row r="1854" spans="1:12" x14ac:dyDescent="0.3">
      <c r="A1854">
        <f>IF(J1854="0",0,IF(COUNTIF($J$2:J1854,J1854)=1,1,0))</f>
        <v>0</v>
      </c>
      <c r="B1854" s="12" t="e">
        <f>MID(MAIN!A1859,K1854,2)</f>
        <v>#VALUE!</v>
      </c>
      <c r="C1854" s="12" t="e">
        <f t="shared" si="112"/>
        <v>#VALUE!</v>
      </c>
      <c r="D1854" s="12" t="e">
        <f>MID(MAIN!A1859,K1854+2,2)</f>
        <v>#VALUE!</v>
      </c>
      <c r="E1854" s="12" t="e">
        <f>MID(MAIN!A1859,K1854+4,2)</f>
        <v>#VALUE!</v>
      </c>
      <c r="F1854" s="2" t="e">
        <f t="shared" si="113"/>
        <v>#VALUE!</v>
      </c>
      <c r="G1854" s="13" t="e">
        <f t="shared" si="114"/>
        <v>#VALUE!</v>
      </c>
      <c r="J1854" t="str">
        <f>MAIN!A1859&amp;"B"</f>
        <v>B</v>
      </c>
      <c r="K1854" s="12" t="e">
        <f t="shared" si="115"/>
        <v>#VALUE!</v>
      </c>
      <c r="L1854" t="str">
        <f>MAIN!C1859</f>
        <v/>
      </c>
    </row>
    <row r="1855" spans="1:12" x14ac:dyDescent="0.3">
      <c r="A1855">
        <f>IF(J1855="0",0,IF(COUNTIF($J$2:J1855,J1855)=1,1,0))</f>
        <v>0</v>
      </c>
      <c r="B1855" s="12" t="e">
        <f>MID(MAIN!A1860,K1855,2)</f>
        <v>#VALUE!</v>
      </c>
      <c r="C1855" s="12" t="e">
        <f t="shared" si="112"/>
        <v>#VALUE!</v>
      </c>
      <c r="D1855" s="12" t="e">
        <f>MID(MAIN!A1860,K1855+2,2)</f>
        <v>#VALUE!</v>
      </c>
      <c r="E1855" s="12" t="e">
        <f>MID(MAIN!A1860,K1855+4,2)</f>
        <v>#VALUE!</v>
      </c>
      <c r="F1855" s="2" t="e">
        <f t="shared" si="113"/>
        <v>#VALUE!</v>
      </c>
      <c r="G1855" s="13" t="e">
        <f t="shared" si="114"/>
        <v>#VALUE!</v>
      </c>
      <c r="J1855" t="str">
        <f>MAIN!A1860&amp;"B"</f>
        <v>B</v>
      </c>
      <c r="K1855" s="12" t="e">
        <f t="shared" si="115"/>
        <v>#VALUE!</v>
      </c>
      <c r="L1855" t="str">
        <f>MAIN!C1860</f>
        <v/>
      </c>
    </row>
    <row r="1856" spans="1:12" x14ac:dyDescent="0.3">
      <c r="A1856">
        <f>IF(J1856="0",0,IF(COUNTIF($J$2:J1856,J1856)=1,1,0))</f>
        <v>0</v>
      </c>
      <c r="B1856" s="12" t="e">
        <f>MID(MAIN!A1861,K1856,2)</f>
        <v>#VALUE!</v>
      </c>
      <c r="C1856" s="12" t="e">
        <f t="shared" si="112"/>
        <v>#VALUE!</v>
      </c>
      <c r="D1856" s="12" t="e">
        <f>MID(MAIN!A1861,K1856+2,2)</f>
        <v>#VALUE!</v>
      </c>
      <c r="E1856" s="12" t="e">
        <f>MID(MAIN!A1861,K1856+4,2)</f>
        <v>#VALUE!</v>
      </c>
      <c r="F1856" s="2" t="e">
        <f t="shared" si="113"/>
        <v>#VALUE!</v>
      </c>
      <c r="G1856" s="13" t="e">
        <f t="shared" si="114"/>
        <v>#VALUE!</v>
      </c>
      <c r="J1856" t="str">
        <f>MAIN!A1861&amp;"B"</f>
        <v>B</v>
      </c>
      <c r="K1856" s="12" t="e">
        <f t="shared" si="115"/>
        <v>#VALUE!</v>
      </c>
      <c r="L1856" t="str">
        <f>MAIN!C1861</f>
        <v/>
      </c>
    </row>
    <row r="1857" spans="1:12" x14ac:dyDescent="0.3">
      <c r="A1857">
        <f>IF(J1857="0",0,IF(COUNTIF($J$2:J1857,J1857)=1,1,0))</f>
        <v>0</v>
      </c>
      <c r="B1857" s="12" t="e">
        <f>MID(MAIN!A1862,K1857,2)</f>
        <v>#VALUE!</v>
      </c>
      <c r="C1857" s="12" t="e">
        <f t="shared" si="112"/>
        <v>#VALUE!</v>
      </c>
      <c r="D1857" s="12" t="e">
        <f>MID(MAIN!A1862,K1857+2,2)</f>
        <v>#VALUE!</v>
      </c>
      <c r="E1857" s="12" t="e">
        <f>MID(MAIN!A1862,K1857+4,2)</f>
        <v>#VALUE!</v>
      </c>
      <c r="F1857" s="2" t="e">
        <f t="shared" si="113"/>
        <v>#VALUE!</v>
      </c>
      <c r="G1857" s="13" t="e">
        <f t="shared" si="114"/>
        <v>#VALUE!</v>
      </c>
      <c r="J1857" t="str">
        <f>MAIN!A1862&amp;"B"</f>
        <v>B</v>
      </c>
      <c r="K1857" s="12" t="e">
        <f t="shared" si="115"/>
        <v>#VALUE!</v>
      </c>
      <c r="L1857" t="str">
        <f>MAIN!C1862</f>
        <v/>
      </c>
    </row>
    <row r="1858" spans="1:12" x14ac:dyDescent="0.3">
      <c r="A1858">
        <f>IF(J1858="0",0,IF(COUNTIF($J$2:J1858,J1858)=1,1,0))</f>
        <v>0</v>
      </c>
      <c r="B1858" s="12" t="e">
        <f>MID(MAIN!A1863,K1858,2)</f>
        <v>#VALUE!</v>
      </c>
      <c r="C1858" s="12" t="e">
        <f t="shared" si="112"/>
        <v>#VALUE!</v>
      </c>
      <c r="D1858" s="12" t="e">
        <f>MID(MAIN!A1863,K1858+2,2)</f>
        <v>#VALUE!</v>
      </c>
      <c r="E1858" s="12" t="e">
        <f>MID(MAIN!A1863,K1858+4,2)</f>
        <v>#VALUE!</v>
      </c>
      <c r="F1858" s="2" t="e">
        <f t="shared" si="113"/>
        <v>#VALUE!</v>
      </c>
      <c r="G1858" s="13" t="e">
        <f t="shared" si="114"/>
        <v>#VALUE!</v>
      </c>
      <c r="J1858" t="str">
        <f>MAIN!A1863&amp;"B"</f>
        <v>B</v>
      </c>
      <c r="K1858" s="12" t="e">
        <f t="shared" si="115"/>
        <v>#VALUE!</v>
      </c>
      <c r="L1858" t="str">
        <f>MAIN!C1863</f>
        <v/>
      </c>
    </row>
    <row r="1859" spans="1:12" x14ac:dyDescent="0.3">
      <c r="A1859">
        <f>IF(J1859="0",0,IF(COUNTIF($J$2:J1859,J1859)=1,1,0))</f>
        <v>0</v>
      </c>
      <c r="B1859" s="12" t="e">
        <f>MID(MAIN!A1864,K1859,2)</f>
        <v>#VALUE!</v>
      </c>
      <c r="C1859" s="12" t="e">
        <f t="shared" ref="C1859:C1922" si="116">"20"&amp;B1859</f>
        <v>#VALUE!</v>
      </c>
      <c r="D1859" s="12" t="e">
        <f>MID(MAIN!A1864,K1859+2,2)</f>
        <v>#VALUE!</v>
      </c>
      <c r="E1859" s="12" t="e">
        <f>MID(MAIN!A1864,K1859+4,2)</f>
        <v>#VALUE!</v>
      </c>
      <c r="F1859" s="2" t="e">
        <f t="shared" ref="F1859:F1922" si="117">C1859&amp;"/"&amp;D1859&amp;"/"&amp;E1859</f>
        <v>#VALUE!</v>
      </c>
      <c r="G1859" s="13" t="e">
        <f t="shared" ref="G1859:G1922" si="118">DATEVALUE(F1859)</f>
        <v>#VALUE!</v>
      </c>
      <c r="J1859" t="str">
        <f>MAIN!A1864&amp;"B"</f>
        <v>B</v>
      </c>
      <c r="K1859" s="12" t="e">
        <f t="shared" ref="K1859:K1922" si="119">FIND("172",J1859,30)+2</f>
        <v>#VALUE!</v>
      </c>
      <c r="L1859" t="str">
        <f>MAIN!C1864</f>
        <v/>
      </c>
    </row>
    <row r="1860" spans="1:12" x14ac:dyDescent="0.3">
      <c r="A1860">
        <f>IF(J1860="0",0,IF(COUNTIF($J$2:J1860,J1860)=1,1,0))</f>
        <v>0</v>
      </c>
      <c r="B1860" s="12" t="e">
        <f>MID(MAIN!A1865,K1860,2)</f>
        <v>#VALUE!</v>
      </c>
      <c r="C1860" s="12" t="e">
        <f t="shared" si="116"/>
        <v>#VALUE!</v>
      </c>
      <c r="D1860" s="12" t="e">
        <f>MID(MAIN!A1865,K1860+2,2)</f>
        <v>#VALUE!</v>
      </c>
      <c r="E1860" s="12" t="e">
        <f>MID(MAIN!A1865,K1860+4,2)</f>
        <v>#VALUE!</v>
      </c>
      <c r="F1860" s="2" t="e">
        <f t="shared" si="117"/>
        <v>#VALUE!</v>
      </c>
      <c r="G1860" s="13" t="e">
        <f t="shared" si="118"/>
        <v>#VALUE!</v>
      </c>
      <c r="J1860" t="str">
        <f>MAIN!A1865&amp;"B"</f>
        <v>B</v>
      </c>
      <c r="K1860" s="12" t="e">
        <f t="shared" si="119"/>
        <v>#VALUE!</v>
      </c>
      <c r="L1860" t="str">
        <f>MAIN!C1865</f>
        <v/>
      </c>
    </row>
    <row r="1861" spans="1:12" x14ac:dyDescent="0.3">
      <c r="A1861">
        <f>IF(J1861="0",0,IF(COUNTIF($J$2:J1861,J1861)=1,1,0))</f>
        <v>0</v>
      </c>
      <c r="B1861" s="12" t="e">
        <f>MID(MAIN!A1866,K1861,2)</f>
        <v>#VALUE!</v>
      </c>
      <c r="C1861" s="12" t="e">
        <f t="shared" si="116"/>
        <v>#VALUE!</v>
      </c>
      <c r="D1861" s="12" t="e">
        <f>MID(MAIN!A1866,K1861+2,2)</f>
        <v>#VALUE!</v>
      </c>
      <c r="E1861" s="12" t="e">
        <f>MID(MAIN!A1866,K1861+4,2)</f>
        <v>#VALUE!</v>
      </c>
      <c r="F1861" s="2" t="e">
        <f t="shared" si="117"/>
        <v>#VALUE!</v>
      </c>
      <c r="G1861" s="13" t="e">
        <f t="shared" si="118"/>
        <v>#VALUE!</v>
      </c>
      <c r="J1861" t="str">
        <f>MAIN!A1866&amp;"B"</f>
        <v>B</v>
      </c>
      <c r="K1861" s="12" t="e">
        <f t="shared" si="119"/>
        <v>#VALUE!</v>
      </c>
      <c r="L1861" t="str">
        <f>MAIN!C1866</f>
        <v/>
      </c>
    </row>
    <row r="1862" spans="1:12" x14ac:dyDescent="0.3">
      <c r="A1862">
        <f>IF(J1862="0",0,IF(COUNTIF($J$2:J1862,J1862)=1,1,0))</f>
        <v>0</v>
      </c>
      <c r="B1862" s="12" t="e">
        <f>MID(MAIN!A1867,K1862,2)</f>
        <v>#VALUE!</v>
      </c>
      <c r="C1862" s="12" t="e">
        <f t="shared" si="116"/>
        <v>#VALUE!</v>
      </c>
      <c r="D1862" s="12" t="e">
        <f>MID(MAIN!A1867,K1862+2,2)</f>
        <v>#VALUE!</v>
      </c>
      <c r="E1862" s="12" t="e">
        <f>MID(MAIN!A1867,K1862+4,2)</f>
        <v>#VALUE!</v>
      </c>
      <c r="F1862" s="2" t="e">
        <f t="shared" si="117"/>
        <v>#VALUE!</v>
      </c>
      <c r="G1862" s="13" t="e">
        <f t="shared" si="118"/>
        <v>#VALUE!</v>
      </c>
      <c r="J1862" t="str">
        <f>MAIN!A1867&amp;"B"</f>
        <v>B</v>
      </c>
      <c r="K1862" s="12" t="e">
        <f t="shared" si="119"/>
        <v>#VALUE!</v>
      </c>
      <c r="L1862" t="str">
        <f>MAIN!C1867</f>
        <v/>
      </c>
    </row>
    <row r="1863" spans="1:12" x14ac:dyDescent="0.3">
      <c r="A1863">
        <f>IF(J1863="0",0,IF(COUNTIF($J$2:J1863,J1863)=1,1,0))</f>
        <v>0</v>
      </c>
      <c r="B1863" s="12" t="e">
        <f>MID(MAIN!A1868,K1863,2)</f>
        <v>#VALUE!</v>
      </c>
      <c r="C1863" s="12" t="e">
        <f t="shared" si="116"/>
        <v>#VALUE!</v>
      </c>
      <c r="D1863" s="12" t="e">
        <f>MID(MAIN!A1868,K1863+2,2)</f>
        <v>#VALUE!</v>
      </c>
      <c r="E1863" s="12" t="e">
        <f>MID(MAIN!A1868,K1863+4,2)</f>
        <v>#VALUE!</v>
      </c>
      <c r="F1863" s="2" t="e">
        <f t="shared" si="117"/>
        <v>#VALUE!</v>
      </c>
      <c r="G1863" s="13" t="e">
        <f t="shared" si="118"/>
        <v>#VALUE!</v>
      </c>
      <c r="J1863" t="str">
        <f>MAIN!A1868&amp;"B"</f>
        <v>B</v>
      </c>
      <c r="K1863" s="12" t="e">
        <f t="shared" si="119"/>
        <v>#VALUE!</v>
      </c>
      <c r="L1863" t="str">
        <f>MAIN!C1868</f>
        <v/>
      </c>
    </row>
    <row r="1864" spans="1:12" x14ac:dyDescent="0.3">
      <c r="A1864">
        <f>IF(J1864="0",0,IF(COUNTIF($J$2:J1864,J1864)=1,1,0))</f>
        <v>0</v>
      </c>
      <c r="B1864" s="12" t="e">
        <f>MID(MAIN!A1869,K1864,2)</f>
        <v>#VALUE!</v>
      </c>
      <c r="C1864" s="12" t="e">
        <f t="shared" si="116"/>
        <v>#VALUE!</v>
      </c>
      <c r="D1864" s="12" t="e">
        <f>MID(MAIN!A1869,K1864+2,2)</f>
        <v>#VALUE!</v>
      </c>
      <c r="E1864" s="12" t="e">
        <f>MID(MAIN!A1869,K1864+4,2)</f>
        <v>#VALUE!</v>
      </c>
      <c r="F1864" s="2" t="e">
        <f t="shared" si="117"/>
        <v>#VALUE!</v>
      </c>
      <c r="G1864" s="13" t="e">
        <f t="shared" si="118"/>
        <v>#VALUE!</v>
      </c>
      <c r="J1864" t="str">
        <f>MAIN!A1869&amp;"B"</f>
        <v>B</v>
      </c>
      <c r="K1864" s="12" t="e">
        <f t="shared" si="119"/>
        <v>#VALUE!</v>
      </c>
      <c r="L1864" t="str">
        <f>MAIN!C1869</f>
        <v/>
      </c>
    </row>
    <row r="1865" spans="1:12" x14ac:dyDescent="0.3">
      <c r="A1865">
        <f>IF(J1865="0",0,IF(COUNTIF($J$2:J1865,J1865)=1,1,0))</f>
        <v>0</v>
      </c>
      <c r="B1865" s="12" t="e">
        <f>MID(MAIN!A1870,K1865,2)</f>
        <v>#VALUE!</v>
      </c>
      <c r="C1865" s="12" t="e">
        <f t="shared" si="116"/>
        <v>#VALUE!</v>
      </c>
      <c r="D1865" s="12" t="e">
        <f>MID(MAIN!A1870,K1865+2,2)</f>
        <v>#VALUE!</v>
      </c>
      <c r="E1865" s="12" t="e">
        <f>MID(MAIN!A1870,K1865+4,2)</f>
        <v>#VALUE!</v>
      </c>
      <c r="F1865" s="2" t="e">
        <f t="shared" si="117"/>
        <v>#VALUE!</v>
      </c>
      <c r="G1865" s="13" t="e">
        <f t="shared" si="118"/>
        <v>#VALUE!</v>
      </c>
      <c r="J1865" t="str">
        <f>MAIN!A1870&amp;"B"</f>
        <v>B</v>
      </c>
      <c r="K1865" s="12" t="e">
        <f t="shared" si="119"/>
        <v>#VALUE!</v>
      </c>
      <c r="L1865" t="str">
        <f>MAIN!C1870</f>
        <v/>
      </c>
    </row>
    <row r="1866" spans="1:12" x14ac:dyDescent="0.3">
      <c r="A1866">
        <f>IF(J1866="0",0,IF(COUNTIF($J$2:J1866,J1866)=1,1,0))</f>
        <v>0</v>
      </c>
      <c r="B1866" s="12" t="e">
        <f>MID(MAIN!A1871,K1866,2)</f>
        <v>#VALUE!</v>
      </c>
      <c r="C1866" s="12" t="e">
        <f t="shared" si="116"/>
        <v>#VALUE!</v>
      </c>
      <c r="D1866" s="12" t="e">
        <f>MID(MAIN!A1871,K1866+2,2)</f>
        <v>#VALUE!</v>
      </c>
      <c r="E1866" s="12" t="e">
        <f>MID(MAIN!A1871,K1866+4,2)</f>
        <v>#VALUE!</v>
      </c>
      <c r="F1866" s="2" t="e">
        <f t="shared" si="117"/>
        <v>#VALUE!</v>
      </c>
      <c r="G1866" s="13" t="e">
        <f t="shared" si="118"/>
        <v>#VALUE!</v>
      </c>
      <c r="J1866" t="str">
        <f>MAIN!A1871&amp;"B"</f>
        <v>B</v>
      </c>
      <c r="K1866" s="12" t="e">
        <f t="shared" si="119"/>
        <v>#VALUE!</v>
      </c>
      <c r="L1866" t="str">
        <f>MAIN!C1871</f>
        <v/>
      </c>
    </row>
    <row r="1867" spans="1:12" x14ac:dyDescent="0.3">
      <c r="A1867">
        <f>IF(J1867="0",0,IF(COUNTIF($J$2:J1867,J1867)=1,1,0))</f>
        <v>0</v>
      </c>
      <c r="B1867" s="12" t="e">
        <f>MID(MAIN!A1872,K1867,2)</f>
        <v>#VALUE!</v>
      </c>
      <c r="C1867" s="12" t="e">
        <f t="shared" si="116"/>
        <v>#VALUE!</v>
      </c>
      <c r="D1867" s="12" t="e">
        <f>MID(MAIN!A1872,K1867+2,2)</f>
        <v>#VALUE!</v>
      </c>
      <c r="E1867" s="12" t="e">
        <f>MID(MAIN!A1872,K1867+4,2)</f>
        <v>#VALUE!</v>
      </c>
      <c r="F1867" s="2" t="e">
        <f t="shared" si="117"/>
        <v>#VALUE!</v>
      </c>
      <c r="G1867" s="13" t="e">
        <f t="shared" si="118"/>
        <v>#VALUE!</v>
      </c>
      <c r="J1867" t="str">
        <f>MAIN!A1872&amp;"B"</f>
        <v>B</v>
      </c>
      <c r="K1867" s="12" t="e">
        <f t="shared" si="119"/>
        <v>#VALUE!</v>
      </c>
      <c r="L1867" t="str">
        <f>MAIN!C1872</f>
        <v/>
      </c>
    </row>
    <row r="1868" spans="1:12" x14ac:dyDescent="0.3">
      <c r="A1868">
        <f>IF(J1868="0",0,IF(COUNTIF($J$2:J1868,J1868)=1,1,0))</f>
        <v>0</v>
      </c>
      <c r="B1868" s="12" t="e">
        <f>MID(MAIN!A1873,K1868,2)</f>
        <v>#VALUE!</v>
      </c>
      <c r="C1868" s="12" t="e">
        <f t="shared" si="116"/>
        <v>#VALUE!</v>
      </c>
      <c r="D1868" s="12" t="e">
        <f>MID(MAIN!A1873,K1868+2,2)</f>
        <v>#VALUE!</v>
      </c>
      <c r="E1868" s="12" t="e">
        <f>MID(MAIN!A1873,K1868+4,2)</f>
        <v>#VALUE!</v>
      </c>
      <c r="F1868" s="2" t="e">
        <f t="shared" si="117"/>
        <v>#VALUE!</v>
      </c>
      <c r="G1868" s="13" t="e">
        <f t="shared" si="118"/>
        <v>#VALUE!</v>
      </c>
      <c r="J1868" t="str">
        <f>MAIN!A1873&amp;"B"</f>
        <v>B</v>
      </c>
      <c r="K1868" s="12" t="e">
        <f t="shared" si="119"/>
        <v>#VALUE!</v>
      </c>
      <c r="L1868" t="str">
        <f>MAIN!C1873</f>
        <v/>
      </c>
    </row>
    <row r="1869" spans="1:12" x14ac:dyDescent="0.3">
      <c r="A1869">
        <f>IF(J1869="0",0,IF(COUNTIF($J$2:J1869,J1869)=1,1,0))</f>
        <v>0</v>
      </c>
      <c r="B1869" s="12" t="e">
        <f>MID(MAIN!A1874,K1869,2)</f>
        <v>#VALUE!</v>
      </c>
      <c r="C1869" s="12" t="e">
        <f t="shared" si="116"/>
        <v>#VALUE!</v>
      </c>
      <c r="D1869" s="12" t="e">
        <f>MID(MAIN!A1874,K1869+2,2)</f>
        <v>#VALUE!</v>
      </c>
      <c r="E1869" s="12" t="e">
        <f>MID(MAIN!A1874,K1869+4,2)</f>
        <v>#VALUE!</v>
      </c>
      <c r="F1869" s="2" t="e">
        <f t="shared" si="117"/>
        <v>#VALUE!</v>
      </c>
      <c r="G1869" s="13" t="e">
        <f t="shared" si="118"/>
        <v>#VALUE!</v>
      </c>
      <c r="J1869" t="str">
        <f>MAIN!A1874&amp;"B"</f>
        <v>B</v>
      </c>
      <c r="K1869" s="12" t="e">
        <f t="shared" si="119"/>
        <v>#VALUE!</v>
      </c>
      <c r="L1869" t="str">
        <f>MAIN!C1874</f>
        <v/>
      </c>
    </row>
    <row r="1870" spans="1:12" x14ac:dyDescent="0.3">
      <c r="A1870">
        <f>IF(J1870="0",0,IF(COUNTIF($J$2:J1870,J1870)=1,1,0))</f>
        <v>0</v>
      </c>
      <c r="B1870" s="12" t="e">
        <f>MID(MAIN!A1875,K1870,2)</f>
        <v>#VALUE!</v>
      </c>
      <c r="C1870" s="12" t="e">
        <f t="shared" si="116"/>
        <v>#VALUE!</v>
      </c>
      <c r="D1870" s="12" t="e">
        <f>MID(MAIN!A1875,K1870+2,2)</f>
        <v>#VALUE!</v>
      </c>
      <c r="E1870" s="12" t="e">
        <f>MID(MAIN!A1875,K1870+4,2)</f>
        <v>#VALUE!</v>
      </c>
      <c r="F1870" s="2" t="e">
        <f t="shared" si="117"/>
        <v>#VALUE!</v>
      </c>
      <c r="G1870" s="13" t="e">
        <f t="shared" si="118"/>
        <v>#VALUE!</v>
      </c>
      <c r="J1870" t="str">
        <f>MAIN!A1875&amp;"B"</f>
        <v>B</v>
      </c>
      <c r="K1870" s="12" t="e">
        <f t="shared" si="119"/>
        <v>#VALUE!</v>
      </c>
      <c r="L1870" t="str">
        <f>MAIN!C1875</f>
        <v/>
      </c>
    </row>
    <row r="1871" spans="1:12" x14ac:dyDescent="0.3">
      <c r="A1871">
        <f>IF(J1871="0",0,IF(COUNTIF($J$2:J1871,J1871)=1,1,0))</f>
        <v>0</v>
      </c>
      <c r="B1871" s="12" t="e">
        <f>MID(MAIN!A1876,K1871,2)</f>
        <v>#VALUE!</v>
      </c>
      <c r="C1871" s="12" t="e">
        <f t="shared" si="116"/>
        <v>#VALUE!</v>
      </c>
      <c r="D1871" s="12" t="e">
        <f>MID(MAIN!A1876,K1871+2,2)</f>
        <v>#VALUE!</v>
      </c>
      <c r="E1871" s="12" t="e">
        <f>MID(MAIN!A1876,K1871+4,2)</f>
        <v>#VALUE!</v>
      </c>
      <c r="F1871" s="2" t="e">
        <f t="shared" si="117"/>
        <v>#VALUE!</v>
      </c>
      <c r="G1871" s="13" t="e">
        <f t="shared" si="118"/>
        <v>#VALUE!</v>
      </c>
      <c r="J1871" t="str">
        <f>MAIN!A1876&amp;"B"</f>
        <v>B</v>
      </c>
      <c r="K1871" s="12" t="e">
        <f t="shared" si="119"/>
        <v>#VALUE!</v>
      </c>
      <c r="L1871" t="str">
        <f>MAIN!C1876</f>
        <v/>
      </c>
    </row>
    <row r="1872" spans="1:12" x14ac:dyDescent="0.3">
      <c r="A1872">
        <f>IF(J1872="0",0,IF(COUNTIF($J$2:J1872,J1872)=1,1,0))</f>
        <v>0</v>
      </c>
      <c r="B1872" s="12" t="e">
        <f>MID(MAIN!A1877,K1872,2)</f>
        <v>#VALUE!</v>
      </c>
      <c r="C1872" s="12" t="e">
        <f t="shared" si="116"/>
        <v>#VALUE!</v>
      </c>
      <c r="D1872" s="12" t="e">
        <f>MID(MAIN!A1877,K1872+2,2)</f>
        <v>#VALUE!</v>
      </c>
      <c r="E1872" s="12" t="e">
        <f>MID(MAIN!A1877,K1872+4,2)</f>
        <v>#VALUE!</v>
      </c>
      <c r="F1872" s="2" t="e">
        <f t="shared" si="117"/>
        <v>#VALUE!</v>
      </c>
      <c r="G1872" s="13" t="e">
        <f t="shared" si="118"/>
        <v>#VALUE!</v>
      </c>
      <c r="J1872" t="str">
        <f>MAIN!A1877&amp;"B"</f>
        <v>B</v>
      </c>
      <c r="K1872" s="12" t="e">
        <f t="shared" si="119"/>
        <v>#VALUE!</v>
      </c>
      <c r="L1872" t="str">
        <f>MAIN!C1877</f>
        <v/>
      </c>
    </row>
    <row r="1873" spans="1:12" x14ac:dyDescent="0.3">
      <c r="A1873">
        <f>IF(J1873="0",0,IF(COUNTIF($J$2:J1873,J1873)=1,1,0))</f>
        <v>0</v>
      </c>
      <c r="B1873" s="12" t="e">
        <f>MID(MAIN!A1878,K1873,2)</f>
        <v>#VALUE!</v>
      </c>
      <c r="C1873" s="12" t="e">
        <f t="shared" si="116"/>
        <v>#VALUE!</v>
      </c>
      <c r="D1873" s="12" t="e">
        <f>MID(MAIN!A1878,K1873+2,2)</f>
        <v>#VALUE!</v>
      </c>
      <c r="E1873" s="12" t="e">
        <f>MID(MAIN!A1878,K1873+4,2)</f>
        <v>#VALUE!</v>
      </c>
      <c r="F1873" s="2" t="e">
        <f t="shared" si="117"/>
        <v>#VALUE!</v>
      </c>
      <c r="G1873" s="13" t="e">
        <f t="shared" si="118"/>
        <v>#VALUE!</v>
      </c>
      <c r="J1873" t="str">
        <f>MAIN!A1878&amp;"B"</f>
        <v>B</v>
      </c>
      <c r="K1873" s="12" t="e">
        <f t="shared" si="119"/>
        <v>#VALUE!</v>
      </c>
      <c r="L1873" t="str">
        <f>MAIN!C1878</f>
        <v/>
      </c>
    </row>
    <row r="1874" spans="1:12" x14ac:dyDescent="0.3">
      <c r="A1874">
        <f>IF(J1874="0",0,IF(COUNTIF($J$2:J1874,J1874)=1,1,0))</f>
        <v>0</v>
      </c>
      <c r="B1874" s="12" t="e">
        <f>MID(MAIN!A1879,K1874,2)</f>
        <v>#VALUE!</v>
      </c>
      <c r="C1874" s="12" t="e">
        <f t="shared" si="116"/>
        <v>#VALUE!</v>
      </c>
      <c r="D1874" s="12" t="e">
        <f>MID(MAIN!A1879,K1874+2,2)</f>
        <v>#VALUE!</v>
      </c>
      <c r="E1874" s="12" t="e">
        <f>MID(MAIN!A1879,K1874+4,2)</f>
        <v>#VALUE!</v>
      </c>
      <c r="F1874" s="2" t="e">
        <f t="shared" si="117"/>
        <v>#VALUE!</v>
      </c>
      <c r="G1874" s="13" t="e">
        <f t="shared" si="118"/>
        <v>#VALUE!</v>
      </c>
      <c r="J1874" t="str">
        <f>MAIN!A1879&amp;"B"</f>
        <v>B</v>
      </c>
      <c r="K1874" s="12" t="e">
        <f t="shared" si="119"/>
        <v>#VALUE!</v>
      </c>
      <c r="L1874" t="str">
        <f>MAIN!C1879</f>
        <v/>
      </c>
    </row>
    <row r="1875" spans="1:12" x14ac:dyDescent="0.3">
      <c r="A1875">
        <f>IF(J1875="0",0,IF(COUNTIF($J$2:J1875,J1875)=1,1,0))</f>
        <v>0</v>
      </c>
      <c r="B1875" s="12" t="e">
        <f>MID(MAIN!A1880,K1875,2)</f>
        <v>#VALUE!</v>
      </c>
      <c r="C1875" s="12" t="e">
        <f t="shared" si="116"/>
        <v>#VALUE!</v>
      </c>
      <c r="D1875" s="12" t="e">
        <f>MID(MAIN!A1880,K1875+2,2)</f>
        <v>#VALUE!</v>
      </c>
      <c r="E1875" s="12" t="e">
        <f>MID(MAIN!A1880,K1875+4,2)</f>
        <v>#VALUE!</v>
      </c>
      <c r="F1875" s="2" t="e">
        <f t="shared" si="117"/>
        <v>#VALUE!</v>
      </c>
      <c r="G1875" s="13" t="e">
        <f t="shared" si="118"/>
        <v>#VALUE!</v>
      </c>
      <c r="J1875" t="str">
        <f>MAIN!A1880&amp;"B"</f>
        <v>B</v>
      </c>
      <c r="K1875" s="12" t="e">
        <f t="shared" si="119"/>
        <v>#VALUE!</v>
      </c>
      <c r="L1875" t="str">
        <f>MAIN!C1880</f>
        <v/>
      </c>
    </row>
    <row r="1876" spans="1:12" x14ac:dyDescent="0.3">
      <c r="A1876">
        <f>IF(J1876="0",0,IF(COUNTIF($J$2:J1876,J1876)=1,1,0))</f>
        <v>0</v>
      </c>
      <c r="B1876" s="12" t="e">
        <f>MID(MAIN!A1881,K1876,2)</f>
        <v>#VALUE!</v>
      </c>
      <c r="C1876" s="12" t="e">
        <f t="shared" si="116"/>
        <v>#VALUE!</v>
      </c>
      <c r="D1876" s="12" t="e">
        <f>MID(MAIN!A1881,K1876+2,2)</f>
        <v>#VALUE!</v>
      </c>
      <c r="E1876" s="12" t="e">
        <f>MID(MAIN!A1881,K1876+4,2)</f>
        <v>#VALUE!</v>
      </c>
      <c r="F1876" s="2" t="e">
        <f t="shared" si="117"/>
        <v>#VALUE!</v>
      </c>
      <c r="G1876" s="13" t="e">
        <f t="shared" si="118"/>
        <v>#VALUE!</v>
      </c>
      <c r="J1876" t="str">
        <f>MAIN!A1881&amp;"B"</f>
        <v>B</v>
      </c>
      <c r="K1876" s="12" t="e">
        <f t="shared" si="119"/>
        <v>#VALUE!</v>
      </c>
      <c r="L1876" t="str">
        <f>MAIN!C1881</f>
        <v/>
      </c>
    </row>
    <row r="1877" spans="1:12" x14ac:dyDescent="0.3">
      <c r="A1877">
        <f>IF(J1877="0",0,IF(COUNTIF($J$2:J1877,J1877)=1,1,0))</f>
        <v>0</v>
      </c>
      <c r="B1877" s="12" t="e">
        <f>MID(MAIN!A1882,K1877,2)</f>
        <v>#VALUE!</v>
      </c>
      <c r="C1877" s="12" t="e">
        <f t="shared" si="116"/>
        <v>#VALUE!</v>
      </c>
      <c r="D1877" s="12" t="e">
        <f>MID(MAIN!A1882,K1877+2,2)</f>
        <v>#VALUE!</v>
      </c>
      <c r="E1877" s="12" t="e">
        <f>MID(MAIN!A1882,K1877+4,2)</f>
        <v>#VALUE!</v>
      </c>
      <c r="F1877" s="2" t="e">
        <f t="shared" si="117"/>
        <v>#VALUE!</v>
      </c>
      <c r="G1877" s="13" t="e">
        <f t="shared" si="118"/>
        <v>#VALUE!</v>
      </c>
      <c r="J1877" t="str">
        <f>MAIN!A1882&amp;"B"</f>
        <v>B</v>
      </c>
      <c r="K1877" s="12" t="e">
        <f t="shared" si="119"/>
        <v>#VALUE!</v>
      </c>
      <c r="L1877" t="str">
        <f>MAIN!C1882</f>
        <v/>
      </c>
    </row>
    <row r="1878" spans="1:12" x14ac:dyDescent="0.3">
      <c r="A1878">
        <f>IF(J1878="0",0,IF(COUNTIF($J$2:J1878,J1878)=1,1,0))</f>
        <v>0</v>
      </c>
      <c r="B1878" s="12" t="e">
        <f>MID(MAIN!A1883,K1878,2)</f>
        <v>#VALUE!</v>
      </c>
      <c r="C1878" s="12" t="e">
        <f t="shared" si="116"/>
        <v>#VALUE!</v>
      </c>
      <c r="D1878" s="12" t="e">
        <f>MID(MAIN!A1883,K1878+2,2)</f>
        <v>#VALUE!</v>
      </c>
      <c r="E1878" s="12" t="e">
        <f>MID(MAIN!A1883,K1878+4,2)</f>
        <v>#VALUE!</v>
      </c>
      <c r="F1878" s="2" t="e">
        <f t="shared" si="117"/>
        <v>#VALUE!</v>
      </c>
      <c r="G1878" s="13" t="e">
        <f t="shared" si="118"/>
        <v>#VALUE!</v>
      </c>
      <c r="J1878" t="str">
        <f>MAIN!A1883&amp;"B"</f>
        <v>B</v>
      </c>
      <c r="K1878" s="12" t="e">
        <f t="shared" si="119"/>
        <v>#VALUE!</v>
      </c>
      <c r="L1878" t="str">
        <f>MAIN!C1883</f>
        <v/>
      </c>
    </row>
    <row r="1879" spans="1:12" x14ac:dyDescent="0.3">
      <c r="A1879">
        <f>IF(J1879="0",0,IF(COUNTIF($J$2:J1879,J1879)=1,1,0))</f>
        <v>0</v>
      </c>
      <c r="B1879" s="12" t="e">
        <f>MID(MAIN!A1884,K1879,2)</f>
        <v>#VALUE!</v>
      </c>
      <c r="C1879" s="12" t="e">
        <f t="shared" si="116"/>
        <v>#VALUE!</v>
      </c>
      <c r="D1879" s="12" t="e">
        <f>MID(MAIN!A1884,K1879+2,2)</f>
        <v>#VALUE!</v>
      </c>
      <c r="E1879" s="12" t="e">
        <f>MID(MAIN!A1884,K1879+4,2)</f>
        <v>#VALUE!</v>
      </c>
      <c r="F1879" s="2" t="e">
        <f t="shared" si="117"/>
        <v>#VALUE!</v>
      </c>
      <c r="G1879" s="13" t="e">
        <f t="shared" si="118"/>
        <v>#VALUE!</v>
      </c>
      <c r="J1879" t="str">
        <f>MAIN!A1884&amp;"B"</f>
        <v>B</v>
      </c>
      <c r="K1879" s="12" t="e">
        <f t="shared" si="119"/>
        <v>#VALUE!</v>
      </c>
      <c r="L1879" t="str">
        <f>MAIN!C1884</f>
        <v/>
      </c>
    </row>
    <row r="1880" spans="1:12" x14ac:dyDescent="0.3">
      <c r="A1880">
        <f>IF(J1880="0",0,IF(COUNTIF($J$2:J1880,J1880)=1,1,0))</f>
        <v>0</v>
      </c>
      <c r="B1880" s="12" t="e">
        <f>MID(MAIN!A1885,K1880,2)</f>
        <v>#VALUE!</v>
      </c>
      <c r="C1880" s="12" t="e">
        <f t="shared" si="116"/>
        <v>#VALUE!</v>
      </c>
      <c r="D1880" s="12" t="e">
        <f>MID(MAIN!A1885,K1880+2,2)</f>
        <v>#VALUE!</v>
      </c>
      <c r="E1880" s="12" t="e">
        <f>MID(MAIN!A1885,K1880+4,2)</f>
        <v>#VALUE!</v>
      </c>
      <c r="F1880" s="2" t="e">
        <f t="shared" si="117"/>
        <v>#VALUE!</v>
      </c>
      <c r="G1880" s="13" t="e">
        <f t="shared" si="118"/>
        <v>#VALUE!</v>
      </c>
      <c r="J1880" t="str">
        <f>MAIN!A1885&amp;"B"</f>
        <v>B</v>
      </c>
      <c r="K1880" s="12" t="e">
        <f t="shared" si="119"/>
        <v>#VALUE!</v>
      </c>
      <c r="L1880" t="str">
        <f>MAIN!C1885</f>
        <v/>
      </c>
    </row>
    <row r="1881" spans="1:12" x14ac:dyDescent="0.3">
      <c r="A1881">
        <f>IF(J1881="0",0,IF(COUNTIF($J$2:J1881,J1881)=1,1,0))</f>
        <v>0</v>
      </c>
      <c r="B1881" s="12" t="e">
        <f>MID(MAIN!A1886,K1881,2)</f>
        <v>#VALUE!</v>
      </c>
      <c r="C1881" s="12" t="e">
        <f t="shared" si="116"/>
        <v>#VALUE!</v>
      </c>
      <c r="D1881" s="12" t="e">
        <f>MID(MAIN!A1886,K1881+2,2)</f>
        <v>#VALUE!</v>
      </c>
      <c r="E1881" s="12" t="e">
        <f>MID(MAIN!A1886,K1881+4,2)</f>
        <v>#VALUE!</v>
      </c>
      <c r="F1881" s="2" t="e">
        <f t="shared" si="117"/>
        <v>#VALUE!</v>
      </c>
      <c r="G1881" s="13" t="e">
        <f t="shared" si="118"/>
        <v>#VALUE!</v>
      </c>
      <c r="J1881" t="str">
        <f>MAIN!A1886&amp;"B"</f>
        <v>B</v>
      </c>
      <c r="K1881" s="12" t="e">
        <f t="shared" si="119"/>
        <v>#VALUE!</v>
      </c>
      <c r="L1881" t="str">
        <f>MAIN!C1886</f>
        <v/>
      </c>
    </row>
    <row r="1882" spans="1:12" x14ac:dyDescent="0.3">
      <c r="A1882">
        <f>IF(J1882="0",0,IF(COUNTIF($J$2:J1882,J1882)=1,1,0))</f>
        <v>0</v>
      </c>
      <c r="B1882" s="12" t="e">
        <f>MID(MAIN!A1887,K1882,2)</f>
        <v>#VALUE!</v>
      </c>
      <c r="C1882" s="12" t="e">
        <f t="shared" si="116"/>
        <v>#VALUE!</v>
      </c>
      <c r="D1882" s="12" t="e">
        <f>MID(MAIN!A1887,K1882+2,2)</f>
        <v>#VALUE!</v>
      </c>
      <c r="E1882" s="12" t="e">
        <f>MID(MAIN!A1887,K1882+4,2)</f>
        <v>#VALUE!</v>
      </c>
      <c r="F1882" s="2" t="e">
        <f t="shared" si="117"/>
        <v>#VALUE!</v>
      </c>
      <c r="G1882" s="13" t="e">
        <f t="shared" si="118"/>
        <v>#VALUE!</v>
      </c>
      <c r="J1882" t="str">
        <f>MAIN!A1887&amp;"B"</f>
        <v>B</v>
      </c>
      <c r="K1882" s="12" t="e">
        <f t="shared" si="119"/>
        <v>#VALUE!</v>
      </c>
      <c r="L1882" t="str">
        <f>MAIN!C1887</f>
        <v/>
      </c>
    </row>
    <row r="1883" spans="1:12" x14ac:dyDescent="0.3">
      <c r="A1883">
        <f>IF(J1883="0",0,IF(COUNTIF($J$2:J1883,J1883)=1,1,0))</f>
        <v>0</v>
      </c>
      <c r="B1883" s="12" t="e">
        <f>MID(MAIN!A1888,K1883,2)</f>
        <v>#VALUE!</v>
      </c>
      <c r="C1883" s="12" t="e">
        <f t="shared" si="116"/>
        <v>#VALUE!</v>
      </c>
      <c r="D1883" s="12" t="e">
        <f>MID(MAIN!A1888,K1883+2,2)</f>
        <v>#VALUE!</v>
      </c>
      <c r="E1883" s="12" t="e">
        <f>MID(MAIN!A1888,K1883+4,2)</f>
        <v>#VALUE!</v>
      </c>
      <c r="F1883" s="2" t="e">
        <f t="shared" si="117"/>
        <v>#VALUE!</v>
      </c>
      <c r="G1883" s="13" t="e">
        <f t="shared" si="118"/>
        <v>#VALUE!</v>
      </c>
      <c r="J1883" t="str">
        <f>MAIN!A1888&amp;"B"</f>
        <v>B</v>
      </c>
      <c r="K1883" s="12" t="e">
        <f t="shared" si="119"/>
        <v>#VALUE!</v>
      </c>
      <c r="L1883" t="str">
        <f>MAIN!C1888</f>
        <v/>
      </c>
    </row>
    <row r="1884" spans="1:12" x14ac:dyDescent="0.3">
      <c r="A1884">
        <f>IF(J1884="0",0,IF(COUNTIF($J$2:J1884,J1884)=1,1,0))</f>
        <v>0</v>
      </c>
      <c r="B1884" s="12" t="e">
        <f>MID(MAIN!A1889,K1884,2)</f>
        <v>#VALUE!</v>
      </c>
      <c r="C1884" s="12" t="e">
        <f t="shared" si="116"/>
        <v>#VALUE!</v>
      </c>
      <c r="D1884" s="12" t="e">
        <f>MID(MAIN!A1889,K1884+2,2)</f>
        <v>#VALUE!</v>
      </c>
      <c r="E1884" s="12" t="e">
        <f>MID(MAIN!A1889,K1884+4,2)</f>
        <v>#VALUE!</v>
      </c>
      <c r="F1884" s="2" t="e">
        <f t="shared" si="117"/>
        <v>#VALUE!</v>
      </c>
      <c r="G1884" s="13" t="e">
        <f t="shared" si="118"/>
        <v>#VALUE!</v>
      </c>
      <c r="J1884" t="str">
        <f>MAIN!A1889&amp;"B"</f>
        <v>B</v>
      </c>
      <c r="K1884" s="12" t="e">
        <f t="shared" si="119"/>
        <v>#VALUE!</v>
      </c>
      <c r="L1884" t="str">
        <f>MAIN!C1889</f>
        <v/>
      </c>
    </row>
    <row r="1885" spans="1:12" x14ac:dyDescent="0.3">
      <c r="A1885">
        <f>IF(J1885="0",0,IF(COUNTIF($J$2:J1885,J1885)=1,1,0))</f>
        <v>0</v>
      </c>
      <c r="B1885" s="12" t="e">
        <f>MID(MAIN!A1890,K1885,2)</f>
        <v>#VALUE!</v>
      </c>
      <c r="C1885" s="12" t="e">
        <f t="shared" si="116"/>
        <v>#VALUE!</v>
      </c>
      <c r="D1885" s="12" t="e">
        <f>MID(MAIN!A1890,K1885+2,2)</f>
        <v>#VALUE!</v>
      </c>
      <c r="E1885" s="12" t="e">
        <f>MID(MAIN!A1890,K1885+4,2)</f>
        <v>#VALUE!</v>
      </c>
      <c r="F1885" s="2" t="e">
        <f t="shared" si="117"/>
        <v>#VALUE!</v>
      </c>
      <c r="G1885" s="13" t="e">
        <f t="shared" si="118"/>
        <v>#VALUE!</v>
      </c>
      <c r="J1885" t="str">
        <f>MAIN!A1890&amp;"B"</f>
        <v>B</v>
      </c>
      <c r="K1885" s="12" t="e">
        <f t="shared" si="119"/>
        <v>#VALUE!</v>
      </c>
      <c r="L1885" t="str">
        <f>MAIN!C1890</f>
        <v/>
      </c>
    </row>
    <row r="1886" spans="1:12" x14ac:dyDescent="0.3">
      <c r="A1886">
        <f>IF(J1886="0",0,IF(COUNTIF($J$2:J1886,J1886)=1,1,0))</f>
        <v>0</v>
      </c>
      <c r="B1886" s="12" t="e">
        <f>MID(MAIN!A1891,K1886,2)</f>
        <v>#VALUE!</v>
      </c>
      <c r="C1886" s="12" t="e">
        <f t="shared" si="116"/>
        <v>#VALUE!</v>
      </c>
      <c r="D1886" s="12" t="e">
        <f>MID(MAIN!A1891,K1886+2,2)</f>
        <v>#VALUE!</v>
      </c>
      <c r="E1886" s="12" t="e">
        <f>MID(MAIN!A1891,K1886+4,2)</f>
        <v>#VALUE!</v>
      </c>
      <c r="F1886" s="2" t="e">
        <f t="shared" si="117"/>
        <v>#VALUE!</v>
      </c>
      <c r="G1886" s="13" t="e">
        <f t="shared" si="118"/>
        <v>#VALUE!</v>
      </c>
      <c r="J1886" t="str">
        <f>MAIN!A1891&amp;"B"</f>
        <v>B</v>
      </c>
      <c r="K1886" s="12" t="e">
        <f t="shared" si="119"/>
        <v>#VALUE!</v>
      </c>
      <c r="L1886" t="str">
        <f>MAIN!C1891</f>
        <v/>
      </c>
    </row>
    <row r="1887" spans="1:12" x14ac:dyDescent="0.3">
      <c r="A1887">
        <f>IF(J1887="0",0,IF(COUNTIF($J$2:J1887,J1887)=1,1,0))</f>
        <v>0</v>
      </c>
      <c r="B1887" s="12" t="e">
        <f>MID(MAIN!A1892,K1887,2)</f>
        <v>#VALUE!</v>
      </c>
      <c r="C1887" s="12" t="e">
        <f t="shared" si="116"/>
        <v>#VALUE!</v>
      </c>
      <c r="D1887" s="12" t="e">
        <f>MID(MAIN!A1892,K1887+2,2)</f>
        <v>#VALUE!</v>
      </c>
      <c r="E1887" s="12" t="e">
        <f>MID(MAIN!A1892,K1887+4,2)</f>
        <v>#VALUE!</v>
      </c>
      <c r="F1887" s="2" t="e">
        <f t="shared" si="117"/>
        <v>#VALUE!</v>
      </c>
      <c r="G1887" s="13" t="e">
        <f t="shared" si="118"/>
        <v>#VALUE!</v>
      </c>
      <c r="J1887" t="str">
        <f>MAIN!A1892&amp;"B"</f>
        <v>B</v>
      </c>
      <c r="K1887" s="12" t="e">
        <f t="shared" si="119"/>
        <v>#VALUE!</v>
      </c>
      <c r="L1887" t="str">
        <f>MAIN!C1892</f>
        <v/>
      </c>
    </row>
    <row r="1888" spans="1:12" x14ac:dyDescent="0.3">
      <c r="A1888">
        <f>IF(J1888="0",0,IF(COUNTIF($J$2:J1888,J1888)=1,1,0))</f>
        <v>0</v>
      </c>
      <c r="B1888" s="12" t="e">
        <f>MID(MAIN!A1893,K1888,2)</f>
        <v>#VALUE!</v>
      </c>
      <c r="C1888" s="12" t="e">
        <f t="shared" si="116"/>
        <v>#VALUE!</v>
      </c>
      <c r="D1888" s="12" t="e">
        <f>MID(MAIN!A1893,K1888+2,2)</f>
        <v>#VALUE!</v>
      </c>
      <c r="E1888" s="12" t="e">
        <f>MID(MAIN!A1893,K1888+4,2)</f>
        <v>#VALUE!</v>
      </c>
      <c r="F1888" s="2" t="e">
        <f t="shared" si="117"/>
        <v>#VALUE!</v>
      </c>
      <c r="G1888" s="13" t="e">
        <f t="shared" si="118"/>
        <v>#VALUE!</v>
      </c>
      <c r="J1888" t="str">
        <f>MAIN!A1893&amp;"B"</f>
        <v>B</v>
      </c>
      <c r="K1888" s="12" t="e">
        <f t="shared" si="119"/>
        <v>#VALUE!</v>
      </c>
      <c r="L1888" t="str">
        <f>MAIN!C1893</f>
        <v/>
      </c>
    </row>
    <row r="1889" spans="1:12" x14ac:dyDescent="0.3">
      <c r="A1889">
        <f>IF(J1889="0",0,IF(COUNTIF($J$2:J1889,J1889)=1,1,0))</f>
        <v>0</v>
      </c>
      <c r="B1889" s="12" t="e">
        <f>MID(MAIN!A1894,K1889,2)</f>
        <v>#VALUE!</v>
      </c>
      <c r="C1889" s="12" t="e">
        <f t="shared" si="116"/>
        <v>#VALUE!</v>
      </c>
      <c r="D1889" s="12" t="e">
        <f>MID(MAIN!A1894,K1889+2,2)</f>
        <v>#VALUE!</v>
      </c>
      <c r="E1889" s="12" t="e">
        <f>MID(MAIN!A1894,K1889+4,2)</f>
        <v>#VALUE!</v>
      </c>
      <c r="F1889" s="2" t="e">
        <f t="shared" si="117"/>
        <v>#VALUE!</v>
      </c>
      <c r="G1889" s="13" t="e">
        <f t="shared" si="118"/>
        <v>#VALUE!</v>
      </c>
      <c r="J1889" t="str">
        <f>MAIN!A1894&amp;"B"</f>
        <v>B</v>
      </c>
      <c r="K1889" s="12" t="e">
        <f t="shared" si="119"/>
        <v>#VALUE!</v>
      </c>
      <c r="L1889" t="str">
        <f>MAIN!C1894</f>
        <v/>
      </c>
    </row>
    <row r="1890" spans="1:12" x14ac:dyDescent="0.3">
      <c r="A1890">
        <f>IF(J1890="0",0,IF(COUNTIF($J$2:J1890,J1890)=1,1,0))</f>
        <v>0</v>
      </c>
      <c r="B1890" s="12" t="e">
        <f>MID(MAIN!A1895,K1890,2)</f>
        <v>#VALUE!</v>
      </c>
      <c r="C1890" s="12" t="e">
        <f t="shared" si="116"/>
        <v>#VALUE!</v>
      </c>
      <c r="D1890" s="12" t="e">
        <f>MID(MAIN!A1895,K1890+2,2)</f>
        <v>#VALUE!</v>
      </c>
      <c r="E1890" s="12" t="e">
        <f>MID(MAIN!A1895,K1890+4,2)</f>
        <v>#VALUE!</v>
      </c>
      <c r="F1890" s="2" t="e">
        <f t="shared" si="117"/>
        <v>#VALUE!</v>
      </c>
      <c r="G1890" s="13" t="e">
        <f t="shared" si="118"/>
        <v>#VALUE!</v>
      </c>
      <c r="J1890" t="str">
        <f>MAIN!A1895&amp;"B"</f>
        <v>B</v>
      </c>
      <c r="K1890" s="12" t="e">
        <f t="shared" si="119"/>
        <v>#VALUE!</v>
      </c>
      <c r="L1890" t="str">
        <f>MAIN!C1895</f>
        <v/>
      </c>
    </row>
    <row r="1891" spans="1:12" x14ac:dyDescent="0.3">
      <c r="A1891">
        <f>IF(J1891="0",0,IF(COUNTIF($J$2:J1891,J1891)=1,1,0))</f>
        <v>0</v>
      </c>
      <c r="B1891" s="12" t="e">
        <f>MID(MAIN!A1896,K1891,2)</f>
        <v>#VALUE!</v>
      </c>
      <c r="C1891" s="12" t="e">
        <f t="shared" si="116"/>
        <v>#VALUE!</v>
      </c>
      <c r="D1891" s="12" t="e">
        <f>MID(MAIN!A1896,K1891+2,2)</f>
        <v>#VALUE!</v>
      </c>
      <c r="E1891" s="12" t="e">
        <f>MID(MAIN!A1896,K1891+4,2)</f>
        <v>#VALUE!</v>
      </c>
      <c r="F1891" s="2" t="e">
        <f t="shared" si="117"/>
        <v>#VALUE!</v>
      </c>
      <c r="G1891" s="13" t="e">
        <f t="shared" si="118"/>
        <v>#VALUE!</v>
      </c>
      <c r="J1891" t="str">
        <f>MAIN!A1896&amp;"B"</f>
        <v>B</v>
      </c>
      <c r="K1891" s="12" t="e">
        <f t="shared" si="119"/>
        <v>#VALUE!</v>
      </c>
      <c r="L1891" t="str">
        <f>MAIN!C1896</f>
        <v/>
      </c>
    </row>
    <row r="1892" spans="1:12" x14ac:dyDescent="0.3">
      <c r="A1892">
        <f>IF(J1892="0",0,IF(COUNTIF($J$2:J1892,J1892)=1,1,0))</f>
        <v>0</v>
      </c>
      <c r="B1892" s="12" t="e">
        <f>MID(MAIN!A1897,K1892,2)</f>
        <v>#VALUE!</v>
      </c>
      <c r="C1892" s="12" t="e">
        <f t="shared" si="116"/>
        <v>#VALUE!</v>
      </c>
      <c r="D1892" s="12" t="e">
        <f>MID(MAIN!A1897,K1892+2,2)</f>
        <v>#VALUE!</v>
      </c>
      <c r="E1892" s="12" t="e">
        <f>MID(MAIN!A1897,K1892+4,2)</f>
        <v>#VALUE!</v>
      </c>
      <c r="F1892" s="2" t="e">
        <f t="shared" si="117"/>
        <v>#VALUE!</v>
      </c>
      <c r="G1892" s="13" t="e">
        <f t="shared" si="118"/>
        <v>#VALUE!</v>
      </c>
      <c r="J1892" t="str">
        <f>MAIN!A1897&amp;"B"</f>
        <v>B</v>
      </c>
      <c r="K1892" s="12" t="e">
        <f t="shared" si="119"/>
        <v>#VALUE!</v>
      </c>
      <c r="L1892" t="str">
        <f>MAIN!C1897</f>
        <v/>
      </c>
    </row>
    <row r="1893" spans="1:12" x14ac:dyDescent="0.3">
      <c r="A1893">
        <f>IF(J1893="0",0,IF(COUNTIF($J$2:J1893,J1893)=1,1,0))</f>
        <v>0</v>
      </c>
      <c r="B1893" s="12" t="e">
        <f>MID(MAIN!A1898,K1893,2)</f>
        <v>#VALUE!</v>
      </c>
      <c r="C1893" s="12" t="e">
        <f t="shared" si="116"/>
        <v>#VALUE!</v>
      </c>
      <c r="D1893" s="12" t="e">
        <f>MID(MAIN!A1898,K1893+2,2)</f>
        <v>#VALUE!</v>
      </c>
      <c r="E1893" s="12" t="e">
        <f>MID(MAIN!A1898,K1893+4,2)</f>
        <v>#VALUE!</v>
      </c>
      <c r="F1893" s="2" t="e">
        <f t="shared" si="117"/>
        <v>#VALUE!</v>
      </c>
      <c r="G1893" s="13" t="e">
        <f t="shared" si="118"/>
        <v>#VALUE!</v>
      </c>
      <c r="J1893" t="str">
        <f>MAIN!A1898&amp;"B"</f>
        <v>B</v>
      </c>
      <c r="K1893" s="12" t="e">
        <f t="shared" si="119"/>
        <v>#VALUE!</v>
      </c>
      <c r="L1893" t="str">
        <f>MAIN!C1898</f>
        <v/>
      </c>
    </row>
    <row r="1894" spans="1:12" x14ac:dyDescent="0.3">
      <c r="A1894">
        <f>IF(J1894="0",0,IF(COUNTIF($J$2:J1894,J1894)=1,1,0))</f>
        <v>0</v>
      </c>
      <c r="B1894" s="12" t="e">
        <f>MID(MAIN!A1899,K1894,2)</f>
        <v>#VALUE!</v>
      </c>
      <c r="C1894" s="12" t="e">
        <f t="shared" si="116"/>
        <v>#VALUE!</v>
      </c>
      <c r="D1894" s="12" t="e">
        <f>MID(MAIN!A1899,K1894+2,2)</f>
        <v>#VALUE!</v>
      </c>
      <c r="E1894" s="12" t="e">
        <f>MID(MAIN!A1899,K1894+4,2)</f>
        <v>#VALUE!</v>
      </c>
      <c r="F1894" s="2" t="e">
        <f t="shared" si="117"/>
        <v>#VALUE!</v>
      </c>
      <c r="G1894" s="13" t="e">
        <f t="shared" si="118"/>
        <v>#VALUE!</v>
      </c>
      <c r="J1894" t="str">
        <f>MAIN!A1899&amp;"B"</f>
        <v>B</v>
      </c>
      <c r="K1894" s="12" t="e">
        <f t="shared" si="119"/>
        <v>#VALUE!</v>
      </c>
      <c r="L1894" t="str">
        <f>MAIN!C1899</f>
        <v/>
      </c>
    </row>
    <row r="1895" spans="1:12" x14ac:dyDescent="0.3">
      <c r="A1895">
        <f>IF(J1895="0",0,IF(COUNTIF($J$2:J1895,J1895)=1,1,0))</f>
        <v>0</v>
      </c>
      <c r="B1895" s="12" t="e">
        <f>MID(MAIN!A1900,K1895,2)</f>
        <v>#VALUE!</v>
      </c>
      <c r="C1895" s="12" t="e">
        <f t="shared" si="116"/>
        <v>#VALUE!</v>
      </c>
      <c r="D1895" s="12" t="e">
        <f>MID(MAIN!A1900,K1895+2,2)</f>
        <v>#VALUE!</v>
      </c>
      <c r="E1895" s="12" t="e">
        <f>MID(MAIN!A1900,K1895+4,2)</f>
        <v>#VALUE!</v>
      </c>
      <c r="F1895" s="2" t="e">
        <f t="shared" si="117"/>
        <v>#VALUE!</v>
      </c>
      <c r="G1895" s="13" t="e">
        <f t="shared" si="118"/>
        <v>#VALUE!</v>
      </c>
      <c r="J1895" t="str">
        <f>MAIN!A1900&amp;"B"</f>
        <v>B</v>
      </c>
      <c r="K1895" s="12" t="e">
        <f t="shared" si="119"/>
        <v>#VALUE!</v>
      </c>
      <c r="L1895" t="str">
        <f>MAIN!C1900</f>
        <v/>
      </c>
    </row>
    <row r="1896" spans="1:12" x14ac:dyDescent="0.3">
      <c r="A1896">
        <f>IF(J1896="0",0,IF(COUNTIF($J$2:J1896,J1896)=1,1,0))</f>
        <v>0</v>
      </c>
      <c r="B1896" s="12" t="e">
        <f>MID(MAIN!A1901,K1896,2)</f>
        <v>#VALUE!</v>
      </c>
      <c r="C1896" s="12" t="e">
        <f t="shared" si="116"/>
        <v>#VALUE!</v>
      </c>
      <c r="D1896" s="12" t="e">
        <f>MID(MAIN!A1901,K1896+2,2)</f>
        <v>#VALUE!</v>
      </c>
      <c r="E1896" s="12" t="e">
        <f>MID(MAIN!A1901,K1896+4,2)</f>
        <v>#VALUE!</v>
      </c>
      <c r="F1896" s="2" t="e">
        <f t="shared" si="117"/>
        <v>#VALUE!</v>
      </c>
      <c r="G1896" s="13" t="e">
        <f t="shared" si="118"/>
        <v>#VALUE!</v>
      </c>
      <c r="J1896" t="str">
        <f>MAIN!A1901&amp;"B"</f>
        <v>B</v>
      </c>
      <c r="K1896" s="12" t="e">
        <f t="shared" si="119"/>
        <v>#VALUE!</v>
      </c>
      <c r="L1896" t="str">
        <f>MAIN!C1901</f>
        <v/>
      </c>
    </row>
    <row r="1897" spans="1:12" x14ac:dyDescent="0.3">
      <c r="A1897">
        <f>IF(J1897="0",0,IF(COUNTIF($J$2:J1897,J1897)=1,1,0))</f>
        <v>0</v>
      </c>
      <c r="B1897" s="12" t="e">
        <f>MID(MAIN!A1902,K1897,2)</f>
        <v>#VALUE!</v>
      </c>
      <c r="C1897" s="12" t="e">
        <f t="shared" si="116"/>
        <v>#VALUE!</v>
      </c>
      <c r="D1897" s="12" t="e">
        <f>MID(MAIN!A1902,K1897+2,2)</f>
        <v>#VALUE!</v>
      </c>
      <c r="E1897" s="12" t="e">
        <f>MID(MAIN!A1902,K1897+4,2)</f>
        <v>#VALUE!</v>
      </c>
      <c r="F1897" s="2" t="e">
        <f t="shared" si="117"/>
        <v>#VALUE!</v>
      </c>
      <c r="G1897" s="13" t="e">
        <f t="shared" si="118"/>
        <v>#VALUE!</v>
      </c>
      <c r="J1897" t="str">
        <f>MAIN!A1902&amp;"B"</f>
        <v>B</v>
      </c>
      <c r="K1897" s="12" t="e">
        <f t="shared" si="119"/>
        <v>#VALUE!</v>
      </c>
      <c r="L1897" t="str">
        <f>MAIN!C1902</f>
        <v/>
      </c>
    </row>
    <row r="1898" spans="1:12" x14ac:dyDescent="0.3">
      <c r="A1898">
        <f>IF(J1898="0",0,IF(COUNTIF($J$2:J1898,J1898)=1,1,0))</f>
        <v>0</v>
      </c>
      <c r="B1898" s="12" t="e">
        <f>MID(MAIN!A1903,K1898,2)</f>
        <v>#VALUE!</v>
      </c>
      <c r="C1898" s="12" t="e">
        <f t="shared" si="116"/>
        <v>#VALUE!</v>
      </c>
      <c r="D1898" s="12" t="e">
        <f>MID(MAIN!A1903,K1898+2,2)</f>
        <v>#VALUE!</v>
      </c>
      <c r="E1898" s="12" t="e">
        <f>MID(MAIN!A1903,K1898+4,2)</f>
        <v>#VALUE!</v>
      </c>
      <c r="F1898" s="2" t="e">
        <f t="shared" si="117"/>
        <v>#VALUE!</v>
      </c>
      <c r="G1898" s="13" t="e">
        <f t="shared" si="118"/>
        <v>#VALUE!</v>
      </c>
      <c r="J1898" t="str">
        <f>MAIN!A1903&amp;"B"</f>
        <v>B</v>
      </c>
      <c r="K1898" s="12" t="e">
        <f t="shared" si="119"/>
        <v>#VALUE!</v>
      </c>
      <c r="L1898" t="str">
        <f>MAIN!C1903</f>
        <v/>
      </c>
    </row>
    <row r="1899" spans="1:12" x14ac:dyDescent="0.3">
      <c r="A1899">
        <f>IF(J1899="0",0,IF(COUNTIF($J$2:J1899,J1899)=1,1,0))</f>
        <v>0</v>
      </c>
      <c r="B1899" s="12" t="e">
        <f>MID(MAIN!A1904,K1899,2)</f>
        <v>#VALUE!</v>
      </c>
      <c r="C1899" s="12" t="e">
        <f t="shared" si="116"/>
        <v>#VALUE!</v>
      </c>
      <c r="D1899" s="12" t="e">
        <f>MID(MAIN!A1904,K1899+2,2)</f>
        <v>#VALUE!</v>
      </c>
      <c r="E1899" s="12" t="e">
        <f>MID(MAIN!A1904,K1899+4,2)</f>
        <v>#VALUE!</v>
      </c>
      <c r="F1899" s="2" t="e">
        <f t="shared" si="117"/>
        <v>#VALUE!</v>
      </c>
      <c r="G1899" s="13" t="e">
        <f t="shared" si="118"/>
        <v>#VALUE!</v>
      </c>
      <c r="J1899" t="str">
        <f>MAIN!A1904&amp;"B"</f>
        <v>B</v>
      </c>
      <c r="K1899" s="12" t="e">
        <f t="shared" si="119"/>
        <v>#VALUE!</v>
      </c>
      <c r="L1899" t="str">
        <f>MAIN!C1904</f>
        <v/>
      </c>
    </row>
    <row r="1900" spans="1:12" x14ac:dyDescent="0.3">
      <c r="A1900">
        <f>IF(J1900="0",0,IF(COUNTIF($J$2:J1900,J1900)=1,1,0))</f>
        <v>0</v>
      </c>
      <c r="B1900" s="12" t="e">
        <f>MID(MAIN!A1905,K1900,2)</f>
        <v>#VALUE!</v>
      </c>
      <c r="C1900" s="12" t="e">
        <f t="shared" si="116"/>
        <v>#VALUE!</v>
      </c>
      <c r="D1900" s="12" t="e">
        <f>MID(MAIN!A1905,K1900+2,2)</f>
        <v>#VALUE!</v>
      </c>
      <c r="E1900" s="12" t="e">
        <f>MID(MAIN!A1905,K1900+4,2)</f>
        <v>#VALUE!</v>
      </c>
      <c r="F1900" s="2" t="e">
        <f t="shared" si="117"/>
        <v>#VALUE!</v>
      </c>
      <c r="G1900" s="13" t="e">
        <f t="shared" si="118"/>
        <v>#VALUE!</v>
      </c>
      <c r="J1900" t="str">
        <f>MAIN!A1905&amp;"B"</f>
        <v>B</v>
      </c>
      <c r="K1900" s="12" t="e">
        <f t="shared" si="119"/>
        <v>#VALUE!</v>
      </c>
      <c r="L1900" t="str">
        <f>MAIN!C1905</f>
        <v/>
      </c>
    </row>
    <row r="1901" spans="1:12" x14ac:dyDescent="0.3">
      <c r="A1901">
        <f>IF(J1901="0",0,IF(COUNTIF($J$2:J1901,J1901)=1,1,0))</f>
        <v>0</v>
      </c>
      <c r="B1901" s="12" t="e">
        <f>MID(MAIN!A1906,K1901,2)</f>
        <v>#VALUE!</v>
      </c>
      <c r="C1901" s="12" t="e">
        <f t="shared" si="116"/>
        <v>#VALUE!</v>
      </c>
      <c r="D1901" s="12" t="e">
        <f>MID(MAIN!A1906,K1901+2,2)</f>
        <v>#VALUE!</v>
      </c>
      <c r="E1901" s="12" t="e">
        <f>MID(MAIN!A1906,K1901+4,2)</f>
        <v>#VALUE!</v>
      </c>
      <c r="F1901" s="2" t="e">
        <f t="shared" si="117"/>
        <v>#VALUE!</v>
      </c>
      <c r="G1901" s="13" t="e">
        <f t="shared" si="118"/>
        <v>#VALUE!</v>
      </c>
      <c r="J1901" t="str">
        <f>MAIN!A1906&amp;"B"</f>
        <v>B</v>
      </c>
      <c r="K1901" s="12" t="e">
        <f t="shared" si="119"/>
        <v>#VALUE!</v>
      </c>
      <c r="L1901" t="str">
        <f>MAIN!C1906</f>
        <v/>
      </c>
    </row>
    <row r="1902" spans="1:12" x14ac:dyDescent="0.3">
      <c r="A1902">
        <f>IF(J1902="0",0,IF(COUNTIF($J$2:J1902,J1902)=1,1,0))</f>
        <v>0</v>
      </c>
      <c r="B1902" s="12" t="e">
        <f>MID(MAIN!A1907,K1902,2)</f>
        <v>#VALUE!</v>
      </c>
      <c r="C1902" s="12" t="e">
        <f t="shared" si="116"/>
        <v>#VALUE!</v>
      </c>
      <c r="D1902" s="12" t="e">
        <f>MID(MAIN!A1907,K1902+2,2)</f>
        <v>#VALUE!</v>
      </c>
      <c r="E1902" s="12" t="e">
        <f>MID(MAIN!A1907,K1902+4,2)</f>
        <v>#VALUE!</v>
      </c>
      <c r="F1902" s="2" t="e">
        <f t="shared" si="117"/>
        <v>#VALUE!</v>
      </c>
      <c r="G1902" s="13" t="e">
        <f t="shared" si="118"/>
        <v>#VALUE!</v>
      </c>
      <c r="J1902" t="str">
        <f>MAIN!A1907&amp;"B"</f>
        <v>B</v>
      </c>
      <c r="K1902" s="12" t="e">
        <f t="shared" si="119"/>
        <v>#VALUE!</v>
      </c>
      <c r="L1902" t="str">
        <f>MAIN!C1907</f>
        <v/>
      </c>
    </row>
    <row r="1903" spans="1:12" x14ac:dyDescent="0.3">
      <c r="A1903">
        <f>IF(J1903="0",0,IF(COUNTIF($J$2:J1903,J1903)=1,1,0))</f>
        <v>0</v>
      </c>
      <c r="B1903" s="12" t="e">
        <f>MID(MAIN!A1908,K1903,2)</f>
        <v>#VALUE!</v>
      </c>
      <c r="C1903" s="12" t="e">
        <f t="shared" si="116"/>
        <v>#VALUE!</v>
      </c>
      <c r="D1903" s="12" t="e">
        <f>MID(MAIN!A1908,K1903+2,2)</f>
        <v>#VALUE!</v>
      </c>
      <c r="E1903" s="12" t="e">
        <f>MID(MAIN!A1908,K1903+4,2)</f>
        <v>#VALUE!</v>
      </c>
      <c r="F1903" s="2" t="e">
        <f t="shared" si="117"/>
        <v>#VALUE!</v>
      </c>
      <c r="G1903" s="13" t="e">
        <f t="shared" si="118"/>
        <v>#VALUE!</v>
      </c>
      <c r="J1903" t="str">
        <f>MAIN!A1908&amp;"B"</f>
        <v>B</v>
      </c>
      <c r="K1903" s="12" t="e">
        <f t="shared" si="119"/>
        <v>#VALUE!</v>
      </c>
      <c r="L1903" t="str">
        <f>MAIN!C1908</f>
        <v/>
      </c>
    </row>
    <row r="1904" spans="1:12" x14ac:dyDescent="0.3">
      <c r="A1904">
        <f>IF(J1904="0",0,IF(COUNTIF($J$2:J1904,J1904)=1,1,0))</f>
        <v>0</v>
      </c>
      <c r="B1904" s="12" t="e">
        <f>MID(MAIN!A1909,K1904,2)</f>
        <v>#VALUE!</v>
      </c>
      <c r="C1904" s="12" t="e">
        <f t="shared" si="116"/>
        <v>#VALUE!</v>
      </c>
      <c r="D1904" s="12" t="e">
        <f>MID(MAIN!A1909,K1904+2,2)</f>
        <v>#VALUE!</v>
      </c>
      <c r="E1904" s="12" t="e">
        <f>MID(MAIN!A1909,K1904+4,2)</f>
        <v>#VALUE!</v>
      </c>
      <c r="F1904" s="2" t="e">
        <f t="shared" si="117"/>
        <v>#VALUE!</v>
      </c>
      <c r="G1904" s="13" t="e">
        <f t="shared" si="118"/>
        <v>#VALUE!</v>
      </c>
      <c r="J1904" t="str">
        <f>MAIN!A1909&amp;"B"</f>
        <v>B</v>
      </c>
      <c r="K1904" s="12" t="e">
        <f t="shared" si="119"/>
        <v>#VALUE!</v>
      </c>
      <c r="L1904" t="str">
        <f>MAIN!C1909</f>
        <v/>
      </c>
    </row>
    <row r="1905" spans="1:12" x14ac:dyDescent="0.3">
      <c r="A1905">
        <f>IF(J1905="0",0,IF(COUNTIF($J$2:J1905,J1905)=1,1,0))</f>
        <v>0</v>
      </c>
      <c r="B1905" s="12" t="e">
        <f>MID(MAIN!A1910,K1905,2)</f>
        <v>#VALUE!</v>
      </c>
      <c r="C1905" s="12" t="e">
        <f t="shared" si="116"/>
        <v>#VALUE!</v>
      </c>
      <c r="D1905" s="12" t="e">
        <f>MID(MAIN!A1910,K1905+2,2)</f>
        <v>#VALUE!</v>
      </c>
      <c r="E1905" s="12" t="e">
        <f>MID(MAIN!A1910,K1905+4,2)</f>
        <v>#VALUE!</v>
      </c>
      <c r="F1905" s="2" t="e">
        <f t="shared" si="117"/>
        <v>#VALUE!</v>
      </c>
      <c r="G1905" s="13" t="e">
        <f t="shared" si="118"/>
        <v>#VALUE!</v>
      </c>
      <c r="J1905" t="str">
        <f>MAIN!A1910&amp;"B"</f>
        <v>B</v>
      </c>
      <c r="K1905" s="12" t="e">
        <f t="shared" si="119"/>
        <v>#VALUE!</v>
      </c>
      <c r="L1905" t="str">
        <f>MAIN!C1910</f>
        <v/>
      </c>
    </row>
    <row r="1906" spans="1:12" x14ac:dyDescent="0.3">
      <c r="A1906">
        <f>IF(J1906="0",0,IF(COUNTIF($J$2:J1906,J1906)=1,1,0))</f>
        <v>0</v>
      </c>
      <c r="B1906" s="12" t="e">
        <f>MID(MAIN!A1911,K1906,2)</f>
        <v>#VALUE!</v>
      </c>
      <c r="C1906" s="12" t="e">
        <f t="shared" si="116"/>
        <v>#VALUE!</v>
      </c>
      <c r="D1906" s="12" t="e">
        <f>MID(MAIN!A1911,K1906+2,2)</f>
        <v>#VALUE!</v>
      </c>
      <c r="E1906" s="12" t="e">
        <f>MID(MAIN!A1911,K1906+4,2)</f>
        <v>#VALUE!</v>
      </c>
      <c r="F1906" s="2" t="e">
        <f t="shared" si="117"/>
        <v>#VALUE!</v>
      </c>
      <c r="G1906" s="13" t="e">
        <f t="shared" si="118"/>
        <v>#VALUE!</v>
      </c>
      <c r="J1906" t="str">
        <f>MAIN!A1911&amp;"B"</f>
        <v>B</v>
      </c>
      <c r="K1906" s="12" t="e">
        <f t="shared" si="119"/>
        <v>#VALUE!</v>
      </c>
      <c r="L1906" t="str">
        <f>MAIN!C1911</f>
        <v/>
      </c>
    </row>
    <row r="1907" spans="1:12" x14ac:dyDescent="0.3">
      <c r="A1907">
        <f>IF(J1907="0",0,IF(COUNTIF($J$2:J1907,J1907)=1,1,0))</f>
        <v>0</v>
      </c>
      <c r="B1907" s="12" t="e">
        <f>MID(MAIN!A1912,K1907,2)</f>
        <v>#VALUE!</v>
      </c>
      <c r="C1907" s="12" t="e">
        <f t="shared" si="116"/>
        <v>#VALUE!</v>
      </c>
      <c r="D1907" s="12" t="e">
        <f>MID(MAIN!A1912,K1907+2,2)</f>
        <v>#VALUE!</v>
      </c>
      <c r="E1907" s="12" t="e">
        <f>MID(MAIN!A1912,K1907+4,2)</f>
        <v>#VALUE!</v>
      </c>
      <c r="F1907" s="2" t="e">
        <f t="shared" si="117"/>
        <v>#VALUE!</v>
      </c>
      <c r="G1907" s="13" t="e">
        <f t="shared" si="118"/>
        <v>#VALUE!</v>
      </c>
      <c r="J1907" t="str">
        <f>MAIN!A1912&amp;"B"</f>
        <v>B</v>
      </c>
      <c r="K1907" s="12" t="e">
        <f t="shared" si="119"/>
        <v>#VALUE!</v>
      </c>
      <c r="L1907" t="str">
        <f>MAIN!C1912</f>
        <v/>
      </c>
    </row>
    <row r="1908" spans="1:12" x14ac:dyDescent="0.3">
      <c r="A1908">
        <f>IF(J1908="0",0,IF(COUNTIF($J$2:J1908,J1908)=1,1,0))</f>
        <v>0</v>
      </c>
      <c r="B1908" s="12" t="e">
        <f>MID(MAIN!A1913,K1908,2)</f>
        <v>#VALUE!</v>
      </c>
      <c r="C1908" s="12" t="e">
        <f t="shared" si="116"/>
        <v>#VALUE!</v>
      </c>
      <c r="D1908" s="12" t="e">
        <f>MID(MAIN!A1913,K1908+2,2)</f>
        <v>#VALUE!</v>
      </c>
      <c r="E1908" s="12" t="e">
        <f>MID(MAIN!A1913,K1908+4,2)</f>
        <v>#VALUE!</v>
      </c>
      <c r="F1908" s="2" t="e">
        <f t="shared" si="117"/>
        <v>#VALUE!</v>
      </c>
      <c r="G1908" s="13" t="e">
        <f t="shared" si="118"/>
        <v>#VALUE!</v>
      </c>
      <c r="J1908" t="str">
        <f>MAIN!A1913&amp;"B"</f>
        <v>B</v>
      </c>
      <c r="K1908" s="12" t="e">
        <f t="shared" si="119"/>
        <v>#VALUE!</v>
      </c>
      <c r="L1908" t="str">
        <f>MAIN!C1913</f>
        <v/>
      </c>
    </row>
    <row r="1909" spans="1:12" x14ac:dyDescent="0.3">
      <c r="A1909">
        <f>IF(J1909="0",0,IF(COUNTIF($J$2:J1909,J1909)=1,1,0))</f>
        <v>0</v>
      </c>
      <c r="B1909" s="12" t="e">
        <f>MID(MAIN!A1914,K1909,2)</f>
        <v>#VALUE!</v>
      </c>
      <c r="C1909" s="12" t="e">
        <f t="shared" si="116"/>
        <v>#VALUE!</v>
      </c>
      <c r="D1909" s="12" t="e">
        <f>MID(MAIN!A1914,K1909+2,2)</f>
        <v>#VALUE!</v>
      </c>
      <c r="E1909" s="12" t="e">
        <f>MID(MAIN!A1914,K1909+4,2)</f>
        <v>#VALUE!</v>
      </c>
      <c r="F1909" s="2" t="e">
        <f t="shared" si="117"/>
        <v>#VALUE!</v>
      </c>
      <c r="G1909" s="13" t="e">
        <f t="shared" si="118"/>
        <v>#VALUE!</v>
      </c>
      <c r="J1909" t="str">
        <f>MAIN!A1914&amp;"B"</f>
        <v>B</v>
      </c>
      <c r="K1909" s="12" t="e">
        <f t="shared" si="119"/>
        <v>#VALUE!</v>
      </c>
      <c r="L1909" t="str">
        <f>MAIN!C1914</f>
        <v/>
      </c>
    </row>
    <row r="1910" spans="1:12" x14ac:dyDescent="0.3">
      <c r="A1910">
        <f>IF(J1910="0",0,IF(COUNTIF($J$2:J1910,J1910)=1,1,0))</f>
        <v>0</v>
      </c>
      <c r="B1910" s="12" t="e">
        <f>MID(MAIN!A1915,K1910,2)</f>
        <v>#VALUE!</v>
      </c>
      <c r="C1910" s="12" t="e">
        <f t="shared" si="116"/>
        <v>#VALUE!</v>
      </c>
      <c r="D1910" s="12" t="e">
        <f>MID(MAIN!A1915,K1910+2,2)</f>
        <v>#VALUE!</v>
      </c>
      <c r="E1910" s="12" t="e">
        <f>MID(MAIN!A1915,K1910+4,2)</f>
        <v>#VALUE!</v>
      </c>
      <c r="F1910" s="2" t="e">
        <f t="shared" si="117"/>
        <v>#VALUE!</v>
      </c>
      <c r="G1910" s="13" t="e">
        <f t="shared" si="118"/>
        <v>#VALUE!</v>
      </c>
      <c r="J1910" t="str">
        <f>MAIN!A1915&amp;"B"</f>
        <v>B</v>
      </c>
      <c r="K1910" s="12" t="e">
        <f t="shared" si="119"/>
        <v>#VALUE!</v>
      </c>
      <c r="L1910" t="str">
        <f>MAIN!C1915</f>
        <v/>
      </c>
    </row>
    <row r="1911" spans="1:12" x14ac:dyDescent="0.3">
      <c r="A1911">
        <f>IF(J1911="0",0,IF(COUNTIF($J$2:J1911,J1911)=1,1,0))</f>
        <v>0</v>
      </c>
      <c r="B1911" s="12" t="e">
        <f>MID(MAIN!A1916,K1911,2)</f>
        <v>#VALUE!</v>
      </c>
      <c r="C1911" s="12" t="e">
        <f t="shared" si="116"/>
        <v>#VALUE!</v>
      </c>
      <c r="D1911" s="12" t="e">
        <f>MID(MAIN!A1916,K1911+2,2)</f>
        <v>#VALUE!</v>
      </c>
      <c r="E1911" s="12" t="e">
        <f>MID(MAIN!A1916,K1911+4,2)</f>
        <v>#VALUE!</v>
      </c>
      <c r="F1911" s="2" t="e">
        <f t="shared" si="117"/>
        <v>#VALUE!</v>
      </c>
      <c r="G1911" s="13" t="e">
        <f t="shared" si="118"/>
        <v>#VALUE!</v>
      </c>
      <c r="J1911" t="str">
        <f>MAIN!A1916&amp;"B"</f>
        <v>B</v>
      </c>
      <c r="K1911" s="12" t="e">
        <f t="shared" si="119"/>
        <v>#VALUE!</v>
      </c>
      <c r="L1911" t="str">
        <f>MAIN!C1916</f>
        <v/>
      </c>
    </row>
    <row r="1912" spans="1:12" x14ac:dyDescent="0.3">
      <c r="A1912">
        <f>IF(J1912="0",0,IF(COUNTIF($J$2:J1912,J1912)=1,1,0))</f>
        <v>0</v>
      </c>
      <c r="B1912" s="12" t="e">
        <f>MID(MAIN!A1917,K1912,2)</f>
        <v>#VALUE!</v>
      </c>
      <c r="C1912" s="12" t="e">
        <f t="shared" si="116"/>
        <v>#VALUE!</v>
      </c>
      <c r="D1912" s="12" t="e">
        <f>MID(MAIN!A1917,K1912+2,2)</f>
        <v>#VALUE!</v>
      </c>
      <c r="E1912" s="12" t="e">
        <f>MID(MAIN!A1917,K1912+4,2)</f>
        <v>#VALUE!</v>
      </c>
      <c r="F1912" s="2" t="e">
        <f t="shared" si="117"/>
        <v>#VALUE!</v>
      </c>
      <c r="G1912" s="13" t="e">
        <f t="shared" si="118"/>
        <v>#VALUE!</v>
      </c>
      <c r="J1912" t="str">
        <f>MAIN!A1917&amp;"B"</f>
        <v>B</v>
      </c>
      <c r="K1912" s="12" t="e">
        <f t="shared" si="119"/>
        <v>#VALUE!</v>
      </c>
      <c r="L1912" t="str">
        <f>MAIN!C1917</f>
        <v/>
      </c>
    </row>
    <row r="1913" spans="1:12" x14ac:dyDescent="0.3">
      <c r="A1913">
        <f>IF(J1913="0",0,IF(COUNTIF($J$2:J1913,J1913)=1,1,0))</f>
        <v>0</v>
      </c>
      <c r="B1913" s="12" t="e">
        <f>MID(MAIN!A1918,K1913,2)</f>
        <v>#VALUE!</v>
      </c>
      <c r="C1913" s="12" t="e">
        <f t="shared" si="116"/>
        <v>#VALUE!</v>
      </c>
      <c r="D1913" s="12" t="e">
        <f>MID(MAIN!A1918,K1913+2,2)</f>
        <v>#VALUE!</v>
      </c>
      <c r="E1913" s="12" t="e">
        <f>MID(MAIN!A1918,K1913+4,2)</f>
        <v>#VALUE!</v>
      </c>
      <c r="F1913" s="2" t="e">
        <f t="shared" si="117"/>
        <v>#VALUE!</v>
      </c>
      <c r="G1913" s="13" t="e">
        <f t="shared" si="118"/>
        <v>#VALUE!</v>
      </c>
      <c r="J1913" t="str">
        <f>MAIN!A1918&amp;"B"</f>
        <v>B</v>
      </c>
      <c r="K1913" s="12" t="e">
        <f t="shared" si="119"/>
        <v>#VALUE!</v>
      </c>
      <c r="L1913" t="str">
        <f>MAIN!C1918</f>
        <v/>
      </c>
    </row>
    <row r="1914" spans="1:12" x14ac:dyDescent="0.3">
      <c r="A1914">
        <f>IF(J1914="0",0,IF(COUNTIF($J$2:J1914,J1914)=1,1,0))</f>
        <v>0</v>
      </c>
      <c r="B1914" s="12" t="e">
        <f>MID(MAIN!A1919,K1914,2)</f>
        <v>#VALUE!</v>
      </c>
      <c r="C1914" s="12" t="e">
        <f t="shared" si="116"/>
        <v>#VALUE!</v>
      </c>
      <c r="D1914" s="12" t="e">
        <f>MID(MAIN!A1919,K1914+2,2)</f>
        <v>#VALUE!</v>
      </c>
      <c r="E1914" s="12" t="e">
        <f>MID(MAIN!A1919,K1914+4,2)</f>
        <v>#VALUE!</v>
      </c>
      <c r="F1914" s="2" t="e">
        <f t="shared" si="117"/>
        <v>#VALUE!</v>
      </c>
      <c r="G1914" s="13" t="e">
        <f t="shared" si="118"/>
        <v>#VALUE!</v>
      </c>
      <c r="J1914" t="str">
        <f>MAIN!A1919&amp;"B"</f>
        <v>B</v>
      </c>
      <c r="K1914" s="12" t="e">
        <f t="shared" si="119"/>
        <v>#VALUE!</v>
      </c>
      <c r="L1914" t="str">
        <f>MAIN!C1919</f>
        <v/>
      </c>
    </row>
    <row r="1915" spans="1:12" x14ac:dyDescent="0.3">
      <c r="A1915">
        <f>IF(J1915="0",0,IF(COUNTIF($J$2:J1915,J1915)=1,1,0))</f>
        <v>0</v>
      </c>
      <c r="B1915" s="12" t="e">
        <f>MID(MAIN!A1920,K1915,2)</f>
        <v>#VALUE!</v>
      </c>
      <c r="C1915" s="12" t="e">
        <f t="shared" si="116"/>
        <v>#VALUE!</v>
      </c>
      <c r="D1915" s="12" t="e">
        <f>MID(MAIN!A1920,K1915+2,2)</f>
        <v>#VALUE!</v>
      </c>
      <c r="E1915" s="12" t="e">
        <f>MID(MAIN!A1920,K1915+4,2)</f>
        <v>#VALUE!</v>
      </c>
      <c r="F1915" s="2" t="e">
        <f t="shared" si="117"/>
        <v>#VALUE!</v>
      </c>
      <c r="G1915" s="13" t="e">
        <f t="shared" si="118"/>
        <v>#VALUE!</v>
      </c>
      <c r="J1915" t="str">
        <f>MAIN!A1920&amp;"B"</f>
        <v>B</v>
      </c>
      <c r="K1915" s="12" t="e">
        <f t="shared" si="119"/>
        <v>#VALUE!</v>
      </c>
      <c r="L1915" t="str">
        <f>MAIN!C1920</f>
        <v/>
      </c>
    </row>
    <row r="1916" spans="1:12" x14ac:dyDescent="0.3">
      <c r="A1916">
        <f>IF(J1916="0",0,IF(COUNTIF($J$2:J1916,J1916)=1,1,0))</f>
        <v>0</v>
      </c>
      <c r="B1916" s="12" t="e">
        <f>MID(MAIN!A1921,K1916,2)</f>
        <v>#VALUE!</v>
      </c>
      <c r="C1916" s="12" t="e">
        <f t="shared" si="116"/>
        <v>#VALUE!</v>
      </c>
      <c r="D1916" s="12" t="e">
        <f>MID(MAIN!A1921,K1916+2,2)</f>
        <v>#VALUE!</v>
      </c>
      <c r="E1916" s="12" t="e">
        <f>MID(MAIN!A1921,K1916+4,2)</f>
        <v>#VALUE!</v>
      </c>
      <c r="F1916" s="2" t="e">
        <f t="shared" si="117"/>
        <v>#VALUE!</v>
      </c>
      <c r="G1916" s="13" t="e">
        <f t="shared" si="118"/>
        <v>#VALUE!</v>
      </c>
      <c r="J1916" t="str">
        <f>MAIN!A1921&amp;"B"</f>
        <v>B</v>
      </c>
      <c r="K1916" s="12" t="e">
        <f t="shared" si="119"/>
        <v>#VALUE!</v>
      </c>
      <c r="L1916" t="str">
        <f>MAIN!C1921</f>
        <v/>
      </c>
    </row>
    <row r="1917" spans="1:12" x14ac:dyDescent="0.3">
      <c r="A1917">
        <f>IF(J1917="0",0,IF(COUNTIF($J$2:J1917,J1917)=1,1,0))</f>
        <v>0</v>
      </c>
      <c r="B1917" s="12" t="e">
        <f>MID(MAIN!A1922,K1917,2)</f>
        <v>#VALUE!</v>
      </c>
      <c r="C1917" s="12" t="e">
        <f t="shared" si="116"/>
        <v>#VALUE!</v>
      </c>
      <c r="D1917" s="12" t="e">
        <f>MID(MAIN!A1922,K1917+2,2)</f>
        <v>#VALUE!</v>
      </c>
      <c r="E1917" s="12" t="e">
        <f>MID(MAIN!A1922,K1917+4,2)</f>
        <v>#VALUE!</v>
      </c>
      <c r="F1917" s="2" t="e">
        <f t="shared" si="117"/>
        <v>#VALUE!</v>
      </c>
      <c r="G1917" s="13" t="e">
        <f t="shared" si="118"/>
        <v>#VALUE!</v>
      </c>
      <c r="J1917" t="str">
        <f>MAIN!A1922&amp;"B"</f>
        <v>B</v>
      </c>
      <c r="K1917" s="12" t="e">
        <f t="shared" si="119"/>
        <v>#VALUE!</v>
      </c>
      <c r="L1917" t="str">
        <f>MAIN!C1922</f>
        <v/>
      </c>
    </row>
    <row r="1918" spans="1:12" x14ac:dyDescent="0.3">
      <c r="A1918">
        <f>IF(J1918="0",0,IF(COUNTIF($J$2:J1918,J1918)=1,1,0))</f>
        <v>0</v>
      </c>
      <c r="B1918" s="12" t="e">
        <f>MID(MAIN!A1923,K1918,2)</f>
        <v>#VALUE!</v>
      </c>
      <c r="C1918" s="12" t="e">
        <f t="shared" si="116"/>
        <v>#VALUE!</v>
      </c>
      <c r="D1918" s="12" t="e">
        <f>MID(MAIN!A1923,K1918+2,2)</f>
        <v>#VALUE!</v>
      </c>
      <c r="E1918" s="12" t="e">
        <f>MID(MAIN!A1923,K1918+4,2)</f>
        <v>#VALUE!</v>
      </c>
      <c r="F1918" s="2" t="e">
        <f t="shared" si="117"/>
        <v>#VALUE!</v>
      </c>
      <c r="G1918" s="13" t="e">
        <f t="shared" si="118"/>
        <v>#VALUE!</v>
      </c>
      <c r="J1918" t="str">
        <f>MAIN!A1923&amp;"B"</f>
        <v>B</v>
      </c>
      <c r="K1918" s="12" t="e">
        <f t="shared" si="119"/>
        <v>#VALUE!</v>
      </c>
      <c r="L1918" t="str">
        <f>MAIN!C1923</f>
        <v/>
      </c>
    </row>
    <row r="1919" spans="1:12" x14ac:dyDescent="0.3">
      <c r="A1919">
        <f>IF(J1919="0",0,IF(COUNTIF($J$2:J1919,J1919)=1,1,0))</f>
        <v>0</v>
      </c>
      <c r="B1919" s="12" t="e">
        <f>MID(MAIN!A1924,K1919,2)</f>
        <v>#VALUE!</v>
      </c>
      <c r="C1919" s="12" t="e">
        <f t="shared" si="116"/>
        <v>#VALUE!</v>
      </c>
      <c r="D1919" s="12" t="e">
        <f>MID(MAIN!A1924,K1919+2,2)</f>
        <v>#VALUE!</v>
      </c>
      <c r="E1919" s="12" t="e">
        <f>MID(MAIN!A1924,K1919+4,2)</f>
        <v>#VALUE!</v>
      </c>
      <c r="F1919" s="2" t="e">
        <f t="shared" si="117"/>
        <v>#VALUE!</v>
      </c>
      <c r="G1919" s="13" t="e">
        <f t="shared" si="118"/>
        <v>#VALUE!</v>
      </c>
      <c r="J1919" t="str">
        <f>MAIN!A1924&amp;"B"</f>
        <v>B</v>
      </c>
      <c r="K1919" s="12" t="e">
        <f t="shared" si="119"/>
        <v>#VALUE!</v>
      </c>
      <c r="L1919" t="str">
        <f>MAIN!C1924</f>
        <v/>
      </c>
    </row>
    <row r="1920" spans="1:12" x14ac:dyDescent="0.3">
      <c r="A1920">
        <f>IF(J1920="0",0,IF(COUNTIF($J$2:J1920,J1920)=1,1,0))</f>
        <v>0</v>
      </c>
      <c r="B1920" s="12" t="e">
        <f>MID(MAIN!A1925,K1920,2)</f>
        <v>#VALUE!</v>
      </c>
      <c r="C1920" s="12" t="e">
        <f t="shared" si="116"/>
        <v>#VALUE!</v>
      </c>
      <c r="D1920" s="12" t="e">
        <f>MID(MAIN!A1925,K1920+2,2)</f>
        <v>#VALUE!</v>
      </c>
      <c r="E1920" s="12" t="e">
        <f>MID(MAIN!A1925,K1920+4,2)</f>
        <v>#VALUE!</v>
      </c>
      <c r="F1920" s="2" t="e">
        <f t="shared" si="117"/>
        <v>#VALUE!</v>
      </c>
      <c r="G1920" s="13" t="e">
        <f t="shared" si="118"/>
        <v>#VALUE!</v>
      </c>
      <c r="J1920" t="str">
        <f>MAIN!A1925&amp;"B"</f>
        <v>B</v>
      </c>
      <c r="K1920" s="12" t="e">
        <f t="shared" si="119"/>
        <v>#VALUE!</v>
      </c>
      <c r="L1920" t="str">
        <f>MAIN!C1925</f>
        <v/>
      </c>
    </row>
    <row r="1921" spans="1:12" x14ac:dyDescent="0.3">
      <c r="A1921">
        <f>IF(J1921="0",0,IF(COUNTIF($J$2:J1921,J1921)=1,1,0))</f>
        <v>0</v>
      </c>
      <c r="B1921" s="12" t="e">
        <f>MID(MAIN!A1926,K1921,2)</f>
        <v>#VALUE!</v>
      </c>
      <c r="C1921" s="12" t="e">
        <f t="shared" si="116"/>
        <v>#VALUE!</v>
      </c>
      <c r="D1921" s="12" t="e">
        <f>MID(MAIN!A1926,K1921+2,2)</f>
        <v>#VALUE!</v>
      </c>
      <c r="E1921" s="12" t="e">
        <f>MID(MAIN!A1926,K1921+4,2)</f>
        <v>#VALUE!</v>
      </c>
      <c r="F1921" s="2" t="e">
        <f t="shared" si="117"/>
        <v>#VALUE!</v>
      </c>
      <c r="G1921" s="13" t="e">
        <f t="shared" si="118"/>
        <v>#VALUE!</v>
      </c>
      <c r="J1921" t="str">
        <f>MAIN!A1926&amp;"B"</f>
        <v>B</v>
      </c>
      <c r="K1921" s="12" t="e">
        <f t="shared" si="119"/>
        <v>#VALUE!</v>
      </c>
      <c r="L1921" t="str">
        <f>MAIN!C1926</f>
        <v/>
      </c>
    </row>
    <row r="1922" spans="1:12" x14ac:dyDescent="0.3">
      <c r="A1922">
        <f>IF(J1922="0",0,IF(COUNTIF($J$2:J1922,J1922)=1,1,0))</f>
        <v>0</v>
      </c>
      <c r="B1922" s="12" t="e">
        <f>MID(MAIN!A1927,K1922,2)</f>
        <v>#VALUE!</v>
      </c>
      <c r="C1922" s="12" t="e">
        <f t="shared" si="116"/>
        <v>#VALUE!</v>
      </c>
      <c r="D1922" s="12" t="e">
        <f>MID(MAIN!A1927,K1922+2,2)</f>
        <v>#VALUE!</v>
      </c>
      <c r="E1922" s="12" t="e">
        <f>MID(MAIN!A1927,K1922+4,2)</f>
        <v>#VALUE!</v>
      </c>
      <c r="F1922" s="2" t="e">
        <f t="shared" si="117"/>
        <v>#VALUE!</v>
      </c>
      <c r="G1922" s="13" t="e">
        <f t="shared" si="118"/>
        <v>#VALUE!</v>
      </c>
      <c r="J1922" t="str">
        <f>MAIN!A1927&amp;"B"</f>
        <v>B</v>
      </c>
      <c r="K1922" s="12" t="e">
        <f t="shared" si="119"/>
        <v>#VALUE!</v>
      </c>
      <c r="L1922" t="str">
        <f>MAIN!C1927</f>
        <v/>
      </c>
    </row>
    <row r="1923" spans="1:12" x14ac:dyDescent="0.3">
      <c r="A1923">
        <f>IF(J1923="0",0,IF(COUNTIF($J$2:J1923,J1923)=1,1,0))</f>
        <v>0</v>
      </c>
      <c r="B1923" s="12" t="e">
        <f>MID(MAIN!A1928,K1923,2)</f>
        <v>#VALUE!</v>
      </c>
      <c r="C1923" s="12" t="e">
        <f t="shared" ref="C1923:C1986" si="120">"20"&amp;B1923</f>
        <v>#VALUE!</v>
      </c>
      <c r="D1923" s="12" t="e">
        <f>MID(MAIN!A1928,K1923+2,2)</f>
        <v>#VALUE!</v>
      </c>
      <c r="E1923" s="12" t="e">
        <f>MID(MAIN!A1928,K1923+4,2)</f>
        <v>#VALUE!</v>
      </c>
      <c r="F1923" s="2" t="e">
        <f t="shared" ref="F1923:F1986" si="121">C1923&amp;"/"&amp;D1923&amp;"/"&amp;E1923</f>
        <v>#VALUE!</v>
      </c>
      <c r="G1923" s="13" t="e">
        <f t="shared" ref="G1923:G1986" si="122">DATEVALUE(F1923)</f>
        <v>#VALUE!</v>
      </c>
      <c r="J1923" t="str">
        <f>MAIN!A1928&amp;"B"</f>
        <v>B</v>
      </c>
      <c r="K1923" s="12" t="e">
        <f t="shared" ref="K1923:K1986" si="123">FIND("172",J1923,30)+2</f>
        <v>#VALUE!</v>
      </c>
      <c r="L1923" t="str">
        <f>MAIN!C1928</f>
        <v/>
      </c>
    </row>
    <row r="1924" spans="1:12" x14ac:dyDescent="0.3">
      <c r="A1924">
        <f>IF(J1924="0",0,IF(COUNTIF($J$2:J1924,J1924)=1,1,0))</f>
        <v>0</v>
      </c>
      <c r="B1924" s="12" t="e">
        <f>MID(MAIN!A1929,K1924,2)</f>
        <v>#VALUE!</v>
      </c>
      <c r="C1924" s="12" t="e">
        <f t="shared" si="120"/>
        <v>#VALUE!</v>
      </c>
      <c r="D1924" s="12" t="e">
        <f>MID(MAIN!A1929,K1924+2,2)</f>
        <v>#VALUE!</v>
      </c>
      <c r="E1924" s="12" t="e">
        <f>MID(MAIN!A1929,K1924+4,2)</f>
        <v>#VALUE!</v>
      </c>
      <c r="F1924" s="2" t="e">
        <f t="shared" si="121"/>
        <v>#VALUE!</v>
      </c>
      <c r="G1924" s="13" t="e">
        <f t="shared" si="122"/>
        <v>#VALUE!</v>
      </c>
      <c r="J1924" t="str">
        <f>MAIN!A1929&amp;"B"</f>
        <v>B</v>
      </c>
      <c r="K1924" s="12" t="e">
        <f t="shared" si="123"/>
        <v>#VALUE!</v>
      </c>
      <c r="L1924" t="str">
        <f>MAIN!C1929</f>
        <v/>
      </c>
    </row>
    <row r="1925" spans="1:12" x14ac:dyDescent="0.3">
      <c r="A1925">
        <f>IF(J1925="0",0,IF(COUNTIF($J$2:J1925,J1925)=1,1,0))</f>
        <v>0</v>
      </c>
      <c r="B1925" s="12" t="e">
        <f>MID(MAIN!A1930,K1925,2)</f>
        <v>#VALUE!</v>
      </c>
      <c r="C1925" s="12" t="e">
        <f t="shared" si="120"/>
        <v>#VALUE!</v>
      </c>
      <c r="D1925" s="12" t="e">
        <f>MID(MAIN!A1930,K1925+2,2)</f>
        <v>#VALUE!</v>
      </c>
      <c r="E1925" s="12" t="e">
        <f>MID(MAIN!A1930,K1925+4,2)</f>
        <v>#VALUE!</v>
      </c>
      <c r="F1925" s="2" t="e">
        <f t="shared" si="121"/>
        <v>#VALUE!</v>
      </c>
      <c r="G1925" s="13" t="e">
        <f t="shared" si="122"/>
        <v>#VALUE!</v>
      </c>
      <c r="J1925" t="str">
        <f>MAIN!A1930&amp;"B"</f>
        <v>B</v>
      </c>
      <c r="K1925" s="12" t="e">
        <f t="shared" si="123"/>
        <v>#VALUE!</v>
      </c>
      <c r="L1925" t="str">
        <f>MAIN!C1930</f>
        <v/>
      </c>
    </row>
    <row r="1926" spans="1:12" x14ac:dyDescent="0.3">
      <c r="A1926">
        <f>IF(J1926="0",0,IF(COUNTIF($J$2:J1926,J1926)=1,1,0))</f>
        <v>0</v>
      </c>
      <c r="B1926" s="12" t="e">
        <f>MID(MAIN!A1931,K1926,2)</f>
        <v>#VALUE!</v>
      </c>
      <c r="C1926" s="12" t="e">
        <f t="shared" si="120"/>
        <v>#VALUE!</v>
      </c>
      <c r="D1926" s="12" t="e">
        <f>MID(MAIN!A1931,K1926+2,2)</f>
        <v>#VALUE!</v>
      </c>
      <c r="E1926" s="12" t="e">
        <f>MID(MAIN!A1931,K1926+4,2)</f>
        <v>#VALUE!</v>
      </c>
      <c r="F1926" s="2" t="e">
        <f t="shared" si="121"/>
        <v>#VALUE!</v>
      </c>
      <c r="G1926" s="13" t="e">
        <f t="shared" si="122"/>
        <v>#VALUE!</v>
      </c>
      <c r="J1926" t="str">
        <f>MAIN!A1931&amp;"B"</f>
        <v>B</v>
      </c>
      <c r="K1926" s="12" t="e">
        <f t="shared" si="123"/>
        <v>#VALUE!</v>
      </c>
      <c r="L1926" t="str">
        <f>MAIN!C1931</f>
        <v/>
      </c>
    </row>
    <row r="1927" spans="1:12" x14ac:dyDescent="0.3">
      <c r="A1927">
        <f>IF(J1927="0",0,IF(COUNTIF($J$2:J1927,J1927)=1,1,0))</f>
        <v>0</v>
      </c>
      <c r="B1927" s="12" t="e">
        <f>MID(MAIN!A1932,K1927,2)</f>
        <v>#VALUE!</v>
      </c>
      <c r="C1927" s="12" t="e">
        <f t="shared" si="120"/>
        <v>#VALUE!</v>
      </c>
      <c r="D1927" s="12" t="e">
        <f>MID(MAIN!A1932,K1927+2,2)</f>
        <v>#VALUE!</v>
      </c>
      <c r="E1927" s="12" t="e">
        <f>MID(MAIN!A1932,K1927+4,2)</f>
        <v>#VALUE!</v>
      </c>
      <c r="F1927" s="2" t="e">
        <f t="shared" si="121"/>
        <v>#VALUE!</v>
      </c>
      <c r="G1927" s="13" t="e">
        <f t="shared" si="122"/>
        <v>#VALUE!</v>
      </c>
      <c r="J1927" t="str">
        <f>MAIN!A1932&amp;"B"</f>
        <v>B</v>
      </c>
      <c r="K1927" s="12" t="e">
        <f t="shared" si="123"/>
        <v>#VALUE!</v>
      </c>
      <c r="L1927" t="str">
        <f>MAIN!C1932</f>
        <v/>
      </c>
    </row>
    <row r="1928" spans="1:12" x14ac:dyDescent="0.3">
      <c r="A1928">
        <f>IF(J1928="0",0,IF(COUNTIF($J$2:J1928,J1928)=1,1,0))</f>
        <v>0</v>
      </c>
      <c r="B1928" s="12" t="e">
        <f>MID(MAIN!A1933,K1928,2)</f>
        <v>#VALUE!</v>
      </c>
      <c r="C1928" s="12" t="e">
        <f t="shared" si="120"/>
        <v>#VALUE!</v>
      </c>
      <c r="D1928" s="12" t="e">
        <f>MID(MAIN!A1933,K1928+2,2)</f>
        <v>#VALUE!</v>
      </c>
      <c r="E1928" s="12" t="e">
        <f>MID(MAIN!A1933,K1928+4,2)</f>
        <v>#VALUE!</v>
      </c>
      <c r="F1928" s="2" t="e">
        <f t="shared" si="121"/>
        <v>#VALUE!</v>
      </c>
      <c r="G1928" s="13" t="e">
        <f t="shared" si="122"/>
        <v>#VALUE!</v>
      </c>
      <c r="J1928" t="str">
        <f>MAIN!A1933&amp;"B"</f>
        <v>B</v>
      </c>
      <c r="K1928" s="12" t="e">
        <f t="shared" si="123"/>
        <v>#VALUE!</v>
      </c>
      <c r="L1928" t="str">
        <f>MAIN!C1933</f>
        <v/>
      </c>
    </row>
    <row r="1929" spans="1:12" x14ac:dyDescent="0.3">
      <c r="A1929">
        <f>IF(J1929="0",0,IF(COUNTIF($J$2:J1929,J1929)=1,1,0))</f>
        <v>0</v>
      </c>
      <c r="B1929" s="12" t="e">
        <f>MID(MAIN!A1934,K1929,2)</f>
        <v>#VALUE!</v>
      </c>
      <c r="C1929" s="12" t="e">
        <f t="shared" si="120"/>
        <v>#VALUE!</v>
      </c>
      <c r="D1929" s="12" t="e">
        <f>MID(MAIN!A1934,K1929+2,2)</f>
        <v>#VALUE!</v>
      </c>
      <c r="E1929" s="12" t="e">
        <f>MID(MAIN!A1934,K1929+4,2)</f>
        <v>#VALUE!</v>
      </c>
      <c r="F1929" s="2" t="e">
        <f t="shared" si="121"/>
        <v>#VALUE!</v>
      </c>
      <c r="G1929" s="13" t="e">
        <f t="shared" si="122"/>
        <v>#VALUE!</v>
      </c>
      <c r="J1929" t="str">
        <f>MAIN!A1934&amp;"B"</f>
        <v>B</v>
      </c>
      <c r="K1929" s="12" t="e">
        <f t="shared" si="123"/>
        <v>#VALUE!</v>
      </c>
      <c r="L1929" t="str">
        <f>MAIN!C1934</f>
        <v/>
      </c>
    </row>
    <row r="1930" spans="1:12" x14ac:dyDescent="0.3">
      <c r="A1930">
        <f>IF(J1930="0",0,IF(COUNTIF($J$2:J1930,J1930)=1,1,0))</f>
        <v>0</v>
      </c>
      <c r="B1930" s="12" t="e">
        <f>MID(MAIN!A1935,K1930,2)</f>
        <v>#VALUE!</v>
      </c>
      <c r="C1930" s="12" t="e">
        <f t="shared" si="120"/>
        <v>#VALUE!</v>
      </c>
      <c r="D1930" s="12" t="e">
        <f>MID(MAIN!A1935,K1930+2,2)</f>
        <v>#VALUE!</v>
      </c>
      <c r="E1930" s="12" t="e">
        <f>MID(MAIN!A1935,K1930+4,2)</f>
        <v>#VALUE!</v>
      </c>
      <c r="F1930" s="2" t="e">
        <f t="shared" si="121"/>
        <v>#VALUE!</v>
      </c>
      <c r="G1930" s="13" t="e">
        <f t="shared" si="122"/>
        <v>#VALUE!</v>
      </c>
      <c r="J1930" t="str">
        <f>MAIN!A1935&amp;"B"</f>
        <v>B</v>
      </c>
      <c r="K1930" s="12" t="e">
        <f t="shared" si="123"/>
        <v>#VALUE!</v>
      </c>
      <c r="L1930" t="str">
        <f>MAIN!C1935</f>
        <v/>
      </c>
    </row>
    <row r="1931" spans="1:12" x14ac:dyDescent="0.3">
      <c r="A1931">
        <f>IF(J1931="0",0,IF(COUNTIF($J$2:J1931,J1931)=1,1,0))</f>
        <v>0</v>
      </c>
      <c r="B1931" s="12" t="e">
        <f>MID(MAIN!A1936,K1931,2)</f>
        <v>#VALUE!</v>
      </c>
      <c r="C1931" s="12" t="e">
        <f t="shared" si="120"/>
        <v>#VALUE!</v>
      </c>
      <c r="D1931" s="12" t="e">
        <f>MID(MAIN!A1936,K1931+2,2)</f>
        <v>#VALUE!</v>
      </c>
      <c r="E1931" s="12" t="e">
        <f>MID(MAIN!A1936,K1931+4,2)</f>
        <v>#VALUE!</v>
      </c>
      <c r="F1931" s="2" t="e">
        <f t="shared" si="121"/>
        <v>#VALUE!</v>
      </c>
      <c r="G1931" s="13" t="e">
        <f t="shared" si="122"/>
        <v>#VALUE!</v>
      </c>
      <c r="J1931" t="str">
        <f>MAIN!A1936&amp;"B"</f>
        <v>B</v>
      </c>
      <c r="K1931" s="12" t="e">
        <f t="shared" si="123"/>
        <v>#VALUE!</v>
      </c>
      <c r="L1931" t="str">
        <f>MAIN!C1936</f>
        <v/>
      </c>
    </row>
    <row r="1932" spans="1:12" x14ac:dyDescent="0.3">
      <c r="A1932">
        <f>IF(J1932="0",0,IF(COUNTIF($J$2:J1932,J1932)=1,1,0))</f>
        <v>0</v>
      </c>
      <c r="B1932" s="12" t="e">
        <f>MID(MAIN!A1937,K1932,2)</f>
        <v>#VALUE!</v>
      </c>
      <c r="C1932" s="12" t="e">
        <f t="shared" si="120"/>
        <v>#VALUE!</v>
      </c>
      <c r="D1932" s="12" t="e">
        <f>MID(MAIN!A1937,K1932+2,2)</f>
        <v>#VALUE!</v>
      </c>
      <c r="E1932" s="12" t="e">
        <f>MID(MAIN!A1937,K1932+4,2)</f>
        <v>#VALUE!</v>
      </c>
      <c r="F1932" s="2" t="e">
        <f t="shared" si="121"/>
        <v>#VALUE!</v>
      </c>
      <c r="G1932" s="13" t="e">
        <f t="shared" si="122"/>
        <v>#VALUE!</v>
      </c>
      <c r="J1932" t="str">
        <f>MAIN!A1937&amp;"B"</f>
        <v>B</v>
      </c>
      <c r="K1932" s="12" t="e">
        <f t="shared" si="123"/>
        <v>#VALUE!</v>
      </c>
      <c r="L1932" t="str">
        <f>MAIN!C1937</f>
        <v/>
      </c>
    </row>
    <row r="1933" spans="1:12" x14ac:dyDescent="0.3">
      <c r="A1933">
        <f>IF(J1933="0",0,IF(COUNTIF($J$2:J1933,J1933)=1,1,0))</f>
        <v>0</v>
      </c>
      <c r="B1933" s="12" t="e">
        <f>MID(MAIN!A1938,K1933,2)</f>
        <v>#VALUE!</v>
      </c>
      <c r="C1933" s="12" t="e">
        <f t="shared" si="120"/>
        <v>#VALUE!</v>
      </c>
      <c r="D1933" s="12" t="e">
        <f>MID(MAIN!A1938,K1933+2,2)</f>
        <v>#VALUE!</v>
      </c>
      <c r="E1933" s="12" t="e">
        <f>MID(MAIN!A1938,K1933+4,2)</f>
        <v>#VALUE!</v>
      </c>
      <c r="F1933" s="2" t="e">
        <f t="shared" si="121"/>
        <v>#VALUE!</v>
      </c>
      <c r="G1933" s="13" t="e">
        <f t="shared" si="122"/>
        <v>#VALUE!</v>
      </c>
      <c r="J1933" t="str">
        <f>MAIN!A1938&amp;"B"</f>
        <v>B</v>
      </c>
      <c r="K1933" s="12" t="e">
        <f t="shared" si="123"/>
        <v>#VALUE!</v>
      </c>
      <c r="L1933" t="str">
        <f>MAIN!C1938</f>
        <v/>
      </c>
    </row>
    <row r="1934" spans="1:12" x14ac:dyDescent="0.3">
      <c r="A1934">
        <f>IF(J1934="0",0,IF(COUNTIF($J$2:J1934,J1934)=1,1,0))</f>
        <v>0</v>
      </c>
      <c r="B1934" s="12" t="e">
        <f>MID(MAIN!A1939,K1934,2)</f>
        <v>#VALUE!</v>
      </c>
      <c r="C1934" s="12" t="e">
        <f t="shared" si="120"/>
        <v>#VALUE!</v>
      </c>
      <c r="D1934" s="12" t="e">
        <f>MID(MAIN!A1939,K1934+2,2)</f>
        <v>#VALUE!</v>
      </c>
      <c r="E1934" s="12" t="e">
        <f>MID(MAIN!A1939,K1934+4,2)</f>
        <v>#VALUE!</v>
      </c>
      <c r="F1934" s="2" t="e">
        <f t="shared" si="121"/>
        <v>#VALUE!</v>
      </c>
      <c r="G1934" s="13" t="e">
        <f t="shared" si="122"/>
        <v>#VALUE!</v>
      </c>
      <c r="J1934" t="str">
        <f>MAIN!A1939&amp;"B"</f>
        <v>B</v>
      </c>
      <c r="K1934" s="12" t="e">
        <f t="shared" si="123"/>
        <v>#VALUE!</v>
      </c>
      <c r="L1934" t="str">
        <f>MAIN!C1939</f>
        <v/>
      </c>
    </row>
    <row r="1935" spans="1:12" x14ac:dyDescent="0.3">
      <c r="A1935">
        <f>IF(J1935="0",0,IF(COUNTIF($J$2:J1935,J1935)=1,1,0))</f>
        <v>0</v>
      </c>
      <c r="B1935" s="12" t="e">
        <f>MID(MAIN!A1940,K1935,2)</f>
        <v>#VALUE!</v>
      </c>
      <c r="C1935" s="12" t="e">
        <f t="shared" si="120"/>
        <v>#VALUE!</v>
      </c>
      <c r="D1935" s="12" t="e">
        <f>MID(MAIN!A1940,K1935+2,2)</f>
        <v>#VALUE!</v>
      </c>
      <c r="E1935" s="12" t="e">
        <f>MID(MAIN!A1940,K1935+4,2)</f>
        <v>#VALUE!</v>
      </c>
      <c r="F1935" s="2" t="e">
        <f t="shared" si="121"/>
        <v>#VALUE!</v>
      </c>
      <c r="G1935" s="13" t="e">
        <f t="shared" si="122"/>
        <v>#VALUE!</v>
      </c>
      <c r="J1935" t="str">
        <f>MAIN!A1940&amp;"B"</f>
        <v>B</v>
      </c>
      <c r="K1935" s="12" t="e">
        <f t="shared" si="123"/>
        <v>#VALUE!</v>
      </c>
      <c r="L1935" t="str">
        <f>MAIN!C1940</f>
        <v/>
      </c>
    </row>
    <row r="1936" spans="1:12" x14ac:dyDescent="0.3">
      <c r="A1936">
        <f>IF(J1936="0",0,IF(COUNTIF($J$2:J1936,J1936)=1,1,0))</f>
        <v>0</v>
      </c>
      <c r="B1936" s="12" t="e">
        <f>MID(MAIN!A1941,K1936,2)</f>
        <v>#VALUE!</v>
      </c>
      <c r="C1936" s="12" t="e">
        <f t="shared" si="120"/>
        <v>#VALUE!</v>
      </c>
      <c r="D1936" s="12" t="e">
        <f>MID(MAIN!A1941,K1936+2,2)</f>
        <v>#VALUE!</v>
      </c>
      <c r="E1936" s="12" t="e">
        <f>MID(MAIN!A1941,K1936+4,2)</f>
        <v>#VALUE!</v>
      </c>
      <c r="F1936" s="2" t="e">
        <f t="shared" si="121"/>
        <v>#VALUE!</v>
      </c>
      <c r="G1936" s="13" t="e">
        <f t="shared" si="122"/>
        <v>#VALUE!</v>
      </c>
      <c r="J1936" t="str">
        <f>MAIN!A1941&amp;"B"</f>
        <v>B</v>
      </c>
      <c r="K1936" s="12" t="e">
        <f t="shared" si="123"/>
        <v>#VALUE!</v>
      </c>
      <c r="L1936" t="str">
        <f>MAIN!C1941</f>
        <v/>
      </c>
    </row>
    <row r="1937" spans="1:12" x14ac:dyDescent="0.3">
      <c r="A1937">
        <f>IF(J1937="0",0,IF(COUNTIF($J$2:J1937,J1937)=1,1,0))</f>
        <v>0</v>
      </c>
      <c r="B1937" s="12" t="e">
        <f>MID(MAIN!A1942,K1937,2)</f>
        <v>#VALUE!</v>
      </c>
      <c r="C1937" s="12" t="e">
        <f t="shared" si="120"/>
        <v>#VALUE!</v>
      </c>
      <c r="D1937" s="12" t="e">
        <f>MID(MAIN!A1942,K1937+2,2)</f>
        <v>#VALUE!</v>
      </c>
      <c r="E1937" s="12" t="e">
        <f>MID(MAIN!A1942,K1937+4,2)</f>
        <v>#VALUE!</v>
      </c>
      <c r="F1937" s="2" t="e">
        <f t="shared" si="121"/>
        <v>#VALUE!</v>
      </c>
      <c r="G1937" s="13" t="e">
        <f t="shared" si="122"/>
        <v>#VALUE!</v>
      </c>
      <c r="J1937" t="str">
        <f>MAIN!A1942&amp;"B"</f>
        <v>B</v>
      </c>
      <c r="K1937" s="12" t="e">
        <f t="shared" si="123"/>
        <v>#VALUE!</v>
      </c>
      <c r="L1937" t="str">
        <f>MAIN!C1942</f>
        <v/>
      </c>
    </row>
    <row r="1938" spans="1:12" x14ac:dyDescent="0.3">
      <c r="A1938">
        <f>IF(J1938="0",0,IF(COUNTIF($J$2:J1938,J1938)=1,1,0))</f>
        <v>0</v>
      </c>
      <c r="B1938" s="12" t="e">
        <f>MID(MAIN!A1943,K1938,2)</f>
        <v>#VALUE!</v>
      </c>
      <c r="C1938" s="12" t="e">
        <f t="shared" si="120"/>
        <v>#VALUE!</v>
      </c>
      <c r="D1938" s="12" t="e">
        <f>MID(MAIN!A1943,K1938+2,2)</f>
        <v>#VALUE!</v>
      </c>
      <c r="E1938" s="12" t="e">
        <f>MID(MAIN!A1943,K1938+4,2)</f>
        <v>#VALUE!</v>
      </c>
      <c r="F1938" s="2" t="e">
        <f t="shared" si="121"/>
        <v>#VALUE!</v>
      </c>
      <c r="G1938" s="13" t="e">
        <f t="shared" si="122"/>
        <v>#VALUE!</v>
      </c>
      <c r="J1938" t="str">
        <f>MAIN!A1943&amp;"B"</f>
        <v>B</v>
      </c>
      <c r="K1938" s="12" t="e">
        <f t="shared" si="123"/>
        <v>#VALUE!</v>
      </c>
      <c r="L1938" t="str">
        <f>MAIN!C1943</f>
        <v/>
      </c>
    </row>
    <row r="1939" spans="1:12" x14ac:dyDescent="0.3">
      <c r="A1939">
        <f>IF(J1939="0",0,IF(COUNTIF($J$2:J1939,J1939)=1,1,0))</f>
        <v>0</v>
      </c>
      <c r="B1939" s="12" t="e">
        <f>MID(MAIN!A1944,K1939,2)</f>
        <v>#VALUE!</v>
      </c>
      <c r="C1939" s="12" t="e">
        <f t="shared" si="120"/>
        <v>#VALUE!</v>
      </c>
      <c r="D1939" s="12" t="e">
        <f>MID(MAIN!A1944,K1939+2,2)</f>
        <v>#VALUE!</v>
      </c>
      <c r="E1939" s="12" t="e">
        <f>MID(MAIN!A1944,K1939+4,2)</f>
        <v>#VALUE!</v>
      </c>
      <c r="F1939" s="2" t="e">
        <f t="shared" si="121"/>
        <v>#VALUE!</v>
      </c>
      <c r="G1939" s="13" t="e">
        <f t="shared" si="122"/>
        <v>#VALUE!</v>
      </c>
      <c r="J1939" t="str">
        <f>MAIN!A1944&amp;"B"</f>
        <v>B</v>
      </c>
      <c r="K1939" s="12" t="e">
        <f t="shared" si="123"/>
        <v>#VALUE!</v>
      </c>
      <c r="L1939" t="str">
        <f>MAIN!C1944</f>
        <v/>
      </c>
    </row>
    <row r="1940" spans="1:12" x14ac:dyDescent="0.3">
      <c r="A1940">
        <f>IF(J1940="0",0,IF(COUNTIF($J$2:J1940,J1940)=1,1,0))</f>
        <v>0</v>
      </c>
      <c r="B1940" s="12" t="e">
        <f>MID(MAIN!A1945,K1940,2)</f>
        <v>#VALUE!</v>
      </c>
      <c r="C1940" s="12" t="e">
        <f t="shared" si="120"/>
        <v>#VALUE!</v>
      </c>
      <c r="D1940" s="12" t="e">
        <f>MID(MAIN!A1945,K1940+2,2)</f>
        <v>#VALUE!</v>
      </c>
      <c r="E1940" s="12" t="e">
        <f>MID(MAIN!A1945,K1940+4,2)</f>
        <v>#VALUE!</v>
      </c>
      <c r="F1940" s="2" t="e">
        <f t="shared" si="121"/>
        <v>#VALUE!</v>
      </c>
      <c r="G1940" s="13" t="e">
        <f t="shared" si="122"/>
        <v>#VALUE!</v>
      </c>
      <c r="J1940" t="str">
        <f>MAIN!A1945&amp;"B"</f>
        <v>B</v>
      </c>
      <c r="K1940" s="12" t="e">
        <f t="shared" si="123"/>
        <v>#VALUE!</v>
      </c>
      <c r="L1940" t="str">
        <f>MAIN!C1945</f>
        <v/>
      </c>
    </row>
    <row r="1941" spans="1:12" x14ac:dyDescent="0.3">
      <c r="A1941">
        <f>IF(J1941="0",0,IF(COUNTIF($J$2:J1941,J1941)=1,1,0))</f>
        <v>0</v>
      </c>
      <c r="B1941" s="12" t="e">
        <f>MID(MAIN!A1946,K1941,2)</f>
        <v>#VALUE!</v>
      </c>
      <c r="C1941" s="12" t="e">
        <f t="shared" si="120"/>
        <v>#VALUE!</v>
      </c>
      <c r="D1941" s="12" t="e">
        <f>MID(MAIN!A1946,K1941+2,2)</f>
        <v>#VALUE!</v>
      </c>
      <c r="E1941" s="12" t="e">
        <f>MID(MAIN!A1946,K1941+4,2)</f>
        <v>#VALUE!</v>
      </c>
      <c r="F1941" s="2" t="e">
        <f t="shared" si="121"/>
        <v>#VALUE!</v>
      </c>
      <c r="G1941" s="13" t="e">
        <f t="shared" si="122"/>
        <v>#VALUE!</v>
      </c>
      <c r="J1941" t="str">
        <f>MAIN!A1946&amp;"B"</f>
        <v>B</v>
      </c>
      <c r="K1941" s="12" t="e">
        <f t="shared" si="123"/>
        <v>#VALUE!</v>
      </c>
      <c r="L1941" t="str">
        <f>MAIN!C1946</f>
        <v/>
      </c>
    </row>
    <row r="1942" spans="1:12" x14ac:dyDescent="0.3">
      <c r="A1942">
        <f>IF(J1942="0",0,IF(COUNTIF($J$2:J1942,J1942)=1,1,0))</f>
        <v>0</v>
      </c>
      <c r="B1942" s="12" t="e">
        <f>MID(MAIN!A1947,K1942,2)</f>
        <v>#VALUE!</v>
      </c>
      <c r="C1942" s="12" t="e">
        <f t="shared" si="120"/>
        <v>#VALUE!</v>
      </c>
      <c r="D1942" s="12" t="e">
        <f>MID(MAIN!A1947,K1942+2,2)</f>
        <v>#VALUE!</v>
      </c>
      <c r="E1942" s="12" t="e">
        <f>MID(MAIN!A1947,K1942+4,2)</f>
        <v>#VALUE!</v>
      </c>
      <c r="F1942" s="2" t="e">
        <f t="shared" si="121"/>
        <v>#VALUE!</v>
      </c>
      <c r="G1942" s="13" t="e">
        <f t="shared" si="122"/>
        <v>#VALUE!</v>
      </c>
      <c r="J1942" t="str">
        <f>MAIN!A1947&amp;"B"</f>
        <v>B</v>
      </c>
      <c r="K1942" s="12" t="e">
        <f t="shared" si="123"/>
        <v>#VALUE!</v>
      </c>
      <c r="L1942" t="str">
        <f>MAIN!C1947</f>
        <v/>
      </c>
    </row>
    <row r="1943" spans="1:12" x14ac:dyDescent="0.3">
      <c r="A1943">
        <f>IF(J1943="0",0,IF(COUNTIF($J$2:J1943,J1943)=1,1,0))</f>
        <v>0</v>
      </c>
      <c r="B1943" s="12" t="e">
        <f>MID(MAIN!A1948,K1943,2)</f>
        <v>#VALUE!</v>
      </c>
      <c r="C1943" s="12" t="e">
        <f t="shared" si="120"/>
        <v>#VALUE!</v>
      </c>
      <c r="D1943" s="12" t="e">
        <f>MID(MAIN!A1948,K1943+2,2)</f>
        <v>#VALUE!</v>
      </c>
      <c r="E1943" s="12" t="e">
        <f>MID(MAIN!A1948,K1943+4,2)</f>
        <v>#VALUE!</v>
      </c>
      <c r="F1943" s="2" t="e">
        <f t="shared" si="121"/>
        <v>#VALUE!</v>
      </c>
      <c r="G1943" s="13" t="e">
        <f t="shared" si="122"/>
        <v>#VALUE!</v>
      </c>
      <c r="J1943" t="str">
        <f>MAIN!A1948&amp;"B"</f>
        <v>B</v>
      </c>
      <c r="K1943" s="12" t="e">
        <f t="shared" si="123"/>
        <v>#VALUE!</v>
      </c>
      <c r="L1943" t="str">
        <f>MAIN!C1948</f>
        <v/>
      </c>
    </row>
    <row r="1944" spans="1:12" x14ac:dyDescent="0.3">
      <c r="A1944">
        <f>IF(J1944="0",0,IF(COUNTIF($J$2:J1944,J1944)=1,1,0))</f>
        <v>0</v>
      </c>
      <c r="B1944" s="12" t="e">
        <f>MID(MAIN!A1949,K1944,2)</f>
        <v>#VALUE!</v>
      </c>
      <c r="C1944" s="12" t="e">
        <f t="shared" si="120"/>
        <v>#VALUE!</v>
      </c>
      <c r="D1944" s="12" t="e">
        <f>MID(MAIN!A1949,K1944+2,2)</f>
        <v>#VALUE!</v>
      </c>
      <c r="E1944" s="12" t="e">
        <f>MID(MAIN!A1949,K1944+4,2)</f>
        <v>#VALUE!</v>
      </c>
      <c r="F1944" s="2" t="e">
        <f t="shared" si="121"/>
        <v>#VALUE!</v>
      </c>
      <c r="G1944" s="13" t="e">
        <f t="shared" si="122"/>
        <v>#VALUE!</v>
      </c>
      <c r="J1944" t="str">
        <f>MAIN!A1949&amp;"B"</f>
        <v>B</v>
      </c>
      <c r="K1944" s="12" t="e">
        <f t="shared" si="123"/>
        <v>#VALUE!</v>
      </c>
      <c r="L1944" t="str">
        <f>MAIN!C1949</f>
        <v/>
      </c>
    </row>
    <row r="1945" spans="1:12" x14ac:dyDescent="0.3">
      <c r="A1945">
        <f>IF(J1945="0",0,IF(COUNTIF($J$2:J1945,J1945)=1,1,0))</f>
        <v>0</v>
      </c>
      <c r="B1945" s="12" t="e">
        <f>MID(MAIN!A1950,K1945,2)</f>
        <v>#VALUE!</v>
      </c>
      <c r="C1945" s="12" t="e">
        <f t="shared" si="120"/>
        <v>#VALUE!</v>
      </c>
      <c r="D1945" s="12" t="e">
        <f>MID(MAIN!A1950,K1945+2,2)</f>
        <v>#VALUE!</v>
      </c>
      <c r="E1945" s="12" t="e">
        <f>MID(MAIN!A1950,K1945+4,2)</f>
        <v>#VALUE!</v>
      </c>
      <c r="F1945" s="2" t="e">
        <f t="shared" si="121"/>
        <v>#VALUE!</v>
      </c>
      <c r="G1945" s="13" t="e">
        <f t="shared" si="122"/>
        <v>#VALUE!</v>
      </c>
      <c r="J1945" t="str">
        <f>MAIN!A1950&amp;"B"</f>
        <v>B</v>
      </c>
      <c r="K1945" s="12" t="e">
        <f t="shared" si="123"/>
        <v>#VALUE!</v>
      </c>
      <c r="L1945" t="str">
        <f>MAIN!C1950</f>
        <v/>
      </c>
    </row>
    <row r="1946" spans="1:12" x14ac:dyDescent="0.3">
      <c r="A1946">
        <f>IF(J1946="0",0,IF(COUNTIF($J$2:J1946,J1946)=1,1,0))</f>
        <v>0</v>
      </c>
      <c r="B1946" s="12" t="e">
        <f>MID(MAIN!A1951,K1946,2)</f>
        <v>#VALUE!</v>
      </c>
      <c r="C1946" s="12" t="e">
        <f t="shared" si="120"/>
        <v>#VALUE!</v>
      </c>
      <c r="D1946" s="12" t="e">
        <f>MID(MAIN!A1951,K1946+2,2)</f>
        <v>#VALUE!</v>
      </c>
      <c r="E1946" s="12" t="e">
        <f>MID(MAIN!A1951,K1946+4,2)</f>
        <v>#VALUE!</v>
      </c>
      <c r="F1946" s="2" t="e">
        <f t="shared" si="121"/>
        <v>#VALUE!</v>
      </c>
      <c r="G1946" s="13" t="e">
        <f t="shared" si="122"/>
        <v>#VALUE!</v>
      </c>
      <c r="J1946" t="str">
        <f>MAIN!A1951&amp;"B"</f>
        <v>B</v>
      </c>
      <c r="K1946" s="12" t="e">
        <f t="shared" si="123"/>
        <v>#VALUE!</v>
      </c>
      <c r="L1946" t="str">
        <f>MAIN!C1951</f>
        <v/>
      </c>
    </row>
    <row r="1947" spans="1:12" x14ac:dyDescent="0.3">
      <c r="A1947">
        <f>IF(J1947="0",0,IF(COUNTIF($J$2:J1947,J1947)=1,1,0))</f>
        <v>0</v>
      </c>
      <c r="B1947" s="12" t="e">
        <f>MID(MAIN!A1952,K1947,2)</f>
        <v>#VALUE!</v>
      </c>
      <c r="C1947" s="12" t="e">
        <f t="shared" si="120"/>
        <v>#VALUE!</v>
      </c>
      <c r="D1947" s="12" t="e">
        <f>MID(MAIN!A1952,K1947+2,2)</f>
        <v>#VALUE!</v>
      </c>
      <c r="E1947" s="12" t="e">
        <f>MID(MAIN!A1952,K1947+4,2)</f>
        <v>#VALUE!</v>
      </c>
      <c r="F1947" s="2" t="e">
        <f t="shared" si="121"/>
        <v>#VALUE!</v>
      </c>
      <c r="G1947" s="13" t="e">
        <f t="shared" si="122"/>
        <v>#VALUE!</v>
      </c>
      <c r="J1947" t="str">
        <f>MAIN!A1952&amp;"B"</f>
        <v>B</v>
      </c>
      <c r="K1947" s="12" t="e">
        <f t="shared" si="123"/>
        <v>#VALUE!</v>
      </c>
      <c r="L1947" t="str">
        <f>MAIN!C1952</f>
        <v/>
      </c>
    </row>
    <row r="1948" spans="1:12" x14ac:dyDescent="0.3">
      <c r="A1948">
        <f>IF(J1948="0",0,IF(COUNTIF($J$2:J1948,J1948)=1,1,0))</f>
        <v>0</v>
      </c>
      <c r="B1948" s="12" t="e">
        <f>MID(MAIN!A1953,K1948,2)</f>
        <v>#VALUE!</v>
      </c>
      <c r="C1948" s="12" t="e">
        <f t="shared" si="120"/>
        <v>#VALUE!</v>
      </c>
      <c r="D1948" s="12" t="e">
        <f>MID(MAIN!A1953,K1948+2,2)</f>
        <v>#VALUE!</v>
      </c>
      <c r="E1948" s="12" t="e">
        <f>MID(MAIN!A1953,K1948+4,2)</f>
        <v>#VALUE!</v>
      </c>
      <c r="F1948" s="2" t="e">
        <f t="shared" si="121"/>
        <v>#VALUE!</v>
      </c>
      <c r="G1948" s="13" t="e">
        <f t="shared" si="122"/>
        <v>#VALUE!</v>
      </c>
      <c r="J1948" t="str">
        <f>MAIN!A1953&amp;"B"</f>
        <v>B</v>
      </c>
      <c r="K1948" s="12" t="e">
        <f t="shared" si="123"/>
        <v>#VALUE!</v>
      </c>
      <c r="L1948" t="str">
        <f>MAIN!C1953</f>
        <v/>
      </c>
    </row>
    <row r="1949" spans="1:12" x14ac:dyDescent="0.3">
      <c r="A1949">
        <f>IF(J1949="0",0,IF(COUNTIF($J$2:J1949,J1949)=1,1,0))</f>
        <v>0</v>
      </c>
      <c r="B1949" s="12" t="e">
        <f>MID(MAIN!A1954,K1949,2)</f>
        <v>#VALUE!</v>
      </c>
      <c r="C1949" s="12" t="e">
        <f t="shared" si="120"/>
        <v>#VALUE!</v>
      </c>
      <c r="D1949" s="12" t="e">
        <f>MID(MAIN!A1954,K1949+2,2)</f>
        <v>#VALUE!</v>
      </c>
      <c r="E1949" s="12" t="e">
        <f>MID(MAIN!A1954,K1949+4,2)</f>
        <v>#VALUE!</v>
      </c>
      <c r="F1949" s="2" t="e">
        <f t="shared" si="121"/>
        <v>#VALUE!</v>
      </c>
      <c r="G1949" s="13" t="e">
        <f t="shared" si="122"/>
        <v>#VALUE!</v>
      </c>
      <c r="J1949" t="str">
        <f>MAIN!A1954&amp;"B"</f>
        <v>B</v>
      </c>
      <c r="K1949" s="12" t="e">
        <f t="shared" si="123"/>
        <v>#VALUE!</v>
      </c>
      <c r="L1949" t="str">
        <f>MAIN!C1954</f>
        <v/>
      </c>
    </row>
    <row r="1950" spans="1:12" x14ac:dyDescent="0.3">
      <c r="A1950">
        <f>IF(J1950="0",0,IF(COUNTIF($J$2:J1950,J1950)=1,1,0))</f>
        <v>0</v>
      </c>
      <c r="B1950" s="12" t="e">
        <f>MID(MAIN!A1955,K1950,2)</f>
        <v>#VALUE!</v>
      </c>
      <c r="C1950" s="12" t="e">
        <f t="shared" si="120"/>
        <v>#VALUE!</v>
      </c>
      <c r="D1950" s="12" t="e">
        <f>MID(MAIN!A1955,K1950+2,2)</f>
        <v>#VALUE!</v>
      </c>
      <c r="E1950" s="12" t="e">
        <f>MID(MAIN!A1955,K1950+4,2)</f>
        <v>#VALUE!</v>
      </c>
      <c r="F1950" s="2" t="e">
        <f t="shared" si="121"/>
        <v>#VALUE!</v>
      </c>
      <c r="G1950" s="13" t="e">
        <f t="shared" si="122"/>
        <v>#VALUE!</v>
      </c>
      <c r="J1950" t="str">
        <f>MAIN!A1955&amp;"B"</f>
        <v>B</v>
      </c>
      <c r="K1950" s="12" t="e">
        <f t="shared" si="123"/>
        <v>#VALUE!</v>
      </c>
      <c r="L1950" t="str">
        <f>MAIN!C1955</f>
        <v/>
      </c>
    </row>
    <row r="1951" spans="1:12" x14ac:dyDescent="0.3">
      <c r="A1951">
        <f>IF(J1951="0",0,IF(COUNTIF($J$2:J1951,J1951)=1,1,0))</f>
        <v>0</v>
      </c>
      <c r="B1951" s="12" t="e">
        <f>MID(MAIN!A1956,K1951,2)</f>
        <v>#VALUE!</v>
      </c>
      <c r="C1951" s="12" t="e">
        <f t="shared" si="120"/>
        <v>#VALUE!</v>
      </c>
      <c r="D1951" s="12" t="e">
        <f>MID(MAIN!A1956,K1951+2,2)</f>
        <v>#VALUE!</v>
      </c>
      <c r="E1951" s="12" t="e">
        <f>MID(MAIN!A1956,K1951+4,2)</f>
        <v>#VALUE!</v>
      </c>
      <c r="F1951" s="2" t="e">
        <f t="shared" si="121"/>
        <v>#VALUE!</v>
      </c>
      <c r="G1951" s="13" t="e">
        <f t="shared" si="122"/>
        <v>#VALUE!</v>
      </c>
      <c r="J1951" t="str">
        <f>MAIN!A1956&amp;"B"</f>
        <v>B</v>
      </c>
      <c r="K1951" s="12" t="e">
        <f t="shared" si="123"/>
        <v>#VALUE!</v>
      </c>
      <c r="L1951" t="str">
        <f>MAIN!C1956</f>
        <v/>
      </c>
    </row>
    <row r="1952" spans="1:12" x14ac:dyDescent="0.3">
      <c r="A1952">
        <f>IF(J1952="0",0,IF(COUNTIF($J$2:J1952,J1952)=1,1,0))</f>
        <v>0</v>
      </c>
      <c r="B1952" s="12" t="e">
        <f>MID(MAIN!A1957,K1952,2)</f>
        <v>#VALUE!</v>
      </c>
      <c r="C1952" s="12" t="e">
        <f t="shared" si="120"/>
        <v>#VALUE!</v>
      </c>
      <c r="D1952" s="12" t="e">
        <f>MID(MAIN!A1957,K1952+2,2)</f>
        <v>#VALUE!</v>
      </c>
      <c r="E1952" s="12" t="e">
        <f>MID(MAIN!A1957,K1952+4,2)</f>
        <v>#VALUE!</v>
      </c>
      <c r="F1952" s="2" t="e">
        <f t="shared" si="121"/>
        <v>#VALUE!</v>
      </c>
      <c r="G1952" s="13" t="e">
        <f t="shared" si="122"/>
        <v>#VALUE!</v>
      </c>
      <c r="J1952" t="str">
        <f>MAIN!A1957&amp;"B"</f>
        <v>B</v>
      </c>
      <c r="K1952" s="12" t="e">
        <f t="shared" si="123"/>
        <v>#VALUE!</v>
      </c>
      <c r="L1952" t="str">
        <f>MAIN!C1957</f>
        <v/>
      </c>
    </row>
    <row r="1953" spans="1:12" x14ac:dyDescent="0.3">
      <c r="A1953">
        <f>IF(J1953="0",0,IF(COUNTIF($J$2:J1953,J1953)=1,1,0))</f>
        <v>0</v>
      </c>
      <c r="B1953" s="12" t="e">
        <f>MID(MAIN!A1958,K1953,2)</f>
        <v>#VALUE!</v>
      </c>
      <c r="C1953" s="12" t="e">
        <f t="shared" si="120"/>
        <v>#VALUE!</v>
      </c>
      <c r="D1953" s="12" t="e">
        <f>MID(MAIN!A1958,K1953+2,2)</f>
        <v>#VALUE!</v>
      </c>
      <c r="E1953" s="12" t="e">
        <f>MID(MAIN!A1958,K1953+4,2)</f>
        <v>#VALUE!</v>
      </c>
      <c r="F1953" s="2" t="e">
        <f t="shared" si="121"/>
        <v>#VALUE!</v>
      </c>
      <c r="G1953" s="13" t="e">
        <f t="shared" si="122"/>
        <v>#VALUE!</v>
      </c>
      <c r="J1953" t="str">
        <f>MAIN!A1958&amp;"B"</f>
        <v>B</v>
      </c>
      <c r="K1953" s="12" t="e">
        <f t="shared" si="123"/>
        <v>#VALUE!</v>
      </c>
      <c r="L1953" t="str">
        <f>MAIN!C1958</f>
        <v/>
      </c>
    </row>
    <row r="1954" spans="1:12" x14ac:dyDescent="0.3">
      <c r="A1954">
        <f>IF(J1954="0",0,IF(COUNTIF($J$2:J1954,J1954)=1,1,0))</f>
        <v>0</v>
      </c>
      <c r="B1954" s="12" t="e">
        <f>MID(MAIN!A1959,K1954,2)</f>
        <v>#VALUE!</v>
      </c>
      <c r="C1954" s="12" t="e">
        <f t="shared" si="120"/>
        <v>#VALUE!</v>
      </c>
      <c r="D1954" s="12" t="e">
        <f>MID(MAIN!A1959,K1954+2,2)</f>
        <v>#VALUE!</v>
      </c>
      <c r="E1954" s="12" t="e">
        <f>MID(MAIN!A1959,K1954+4,2)</f>
        <v>#VALUE!</v>
      </c>
      <c r="F1954" s="2" t="e">
        <f t="shared" si="121"/>
        <v>#VALUE!</v>
      </c>
      <c r="G1954" s="13" t="e">
        <f t="shared" si="122"/>
        <v>#VALUE!</v>
      </c>
      <c r="J1954" t="str">
        <f>MAIN!A1959&amp;"B"</f>
        <v>B</v>
      </c>
      <c r="K1954" s="12" t="e">
        <f t="shared" si="123"/>
        <v>#VALUE!</v>
      </c>
      <c r="L1954" t="str">
        <f>MAIN!C1959</f>
        <v/>
      </c>
    </row>
    <row r="1955" spans="1:12" x14ac:dyDescent="0.3">
      <c r="A1955">
        <f>IF(J1955="0",0,IF(COUNTIF($J$2:J1955,J1955)=1,1,0))</f>
        <v>0</v>
      </c>
      <c r="B1955" s="12" t="e">
        <f>MID(MAIN!A1960,K1955,2)</f>
        <v>#VALUE!</v>
      </c>
      <c r="C1955" s="12" t="e">
        <f t="shared" si="120"/>
        <v>#VALUE!</v>
      </c>
      <c r="D1955" s="12" t="e">
        <f>MID(MAIN!A1960,K1955+2,2)</f>
        <v>#VALUE!</v>
      </c>
      <c r="E1955" s="12" t="e">
        <f>MID(MAIN!A1960,K1955+4,2)</f>
        <v>#VALUE!</v>
      </c>
      <c r="F1955" s="2" t="e">
        <f t="shared" si="121"/>
        <v>#VALUE!</v>
      </c>
      <c r="G1955" s="13" t="e">
        <f t="shared" si="122"/>
        <v>#VALUE!</v>
      </c>
      <c r="J1955" t="str">
        <f>MAIN!A1960&amp;"B"</f>
        <v>B</v>
      </c>
      <c r="K1955" s="12" t="e">
        <f t="shared" si="123"/>
        <v>#VALUE!</v>
      </c>
      <c r="L1955" t="str">
        <f>MAIN!C1960</f>
        <v/>
      </c>
    </row>
    <row r="1956" spans="1:12" x14ac:dyDescent="0.3">
      <c r="A1956">
        <f>IF(J1956="0",0,IF(COUNTIF($J$2:J1956,J1956)=1,1,0))</f>
        <v>0</v>
      </c>
      <c r="B1956" s="12" t="e">
        <f>MID(MAIN!A1961,K1956,2)</f>
        <v>#VALUE!</v>
      </c>
      <c r="C1956" s="12" t="e">
        <f t="shared" si="120"/>
        <v>#VALUE!</v>
      </c>
      <c r="D1956" s="12" t="e">
        <f>MID(MAIN!A1961,K1956+2,2)</f>
        <v>#VALUE!</v>
      </c>
      <c r="E1956" s="12" t="e">
        <f>MID(MAIN!A1961,K1956+4,2)</f>
        <v>#VALUE!</v>
      </c>
      <c r="F1956" s="2" t="e">
        <f t="shared" si="121"/>
        <v>#VALUE!</v>
      </c>
      <c r="G1956" s="13" t="e">
        <f t="shared" si="122"/>
        <v>#VALUE!</v>
      </c>
      <c r="J1956" t="str">
        <f>MAIN!A1961&amp;"B"</f>
        <v>B</v>
      </c>
      <c r="K1956" s="12" t="e">
        <f t="shared" si="123"/>
        <v>#VALUE!</v>
      </c>
      <c r="L1956" t="str">
        <f>MAIN!C1961</f>
        <v/>
      </c>
    </row>
    <row r="1957" spans="1:12" x14ac:dyDescent="0.3">
      <c r="A1957">
        <f>IF(J1957="0",0,IF(COUNTIF($J$2:J1957,J1957)=1,1,0))</f>
        <v>0</v>
      </c>
      <c r="B1957" s="12" t="e">
        <f>MID(MAIN!A1962,K1957,2)</f>
        <v>#VALUE!</v>
      </c>
      <c r="C1957" s="12" t="e">
        <f t="shared" si="120"/>
        <v>#VALUE!</v>
      </c>
      <c r="D1957" s="12" t="e">
        <f>MID(MAIN!A1962,K1957+2,2)</f>
        <v>#VALUE!</v>
      </c>
      <c r="E1957" s="12" t="e">
        <f>MID(MAIN!A1962,K1957+4,2)</f>
        <v>#VALUE!</v>
      </c>
      <c r="F1957" s="2" t="e">
        <f t="shared" si="121"/>
        <v>#VALUE!</v>
      </c>
      <c r="G1957" s="13" t="e">
        <f t="shared" si="122"/>
        <v>#VALUE!</v>
      </c>
      <c r="J1957" t="str">
        <f>MAIN!A1962&amp;"B"</f>
        <v>B</v>
      </c>
      <c r="K1957" s="12" t="e">
        <f t="shared" si="123"/>
        <v>#VALUE!</v>
      </c>
      <c r="L1957" t="str">
        <f>MAIN!C1962</f>
        <v/>
      </c>
    </row>
    <row r="1958" spans="1:12" x14ac:dyDescent="0.3">
      <c r="A1958">
        <f>IF(J1958="0",0,IF(COUNTIF($J$2:J1958,J1958)=1,1,0))</f>
        <v>0</v>
      </c>
      <c r="B1958" s="12" t="e">
        <f>MID(MAIN!A1963,K1958,2)</f>
        <v>#VALUE!</v>
      </c>
      <c r="C1958" s="12" t="e">
        <f t="shared" si="120"/>
        <v>#VALUE!</v>
      </c>
      <c r="D1958" s="12" t="e">
        <f>MID(MAIN!A1963,K1958+2,2)</f>
        <v>#VALUE!</v>
      </c>
      <c r="E1958" s="12" t="e">
        <f>MID(MAIN!A1963,K1958+4,2)</f>
        <v>#VALUE!</v>
      </c>
      <c r="F1958" s="2" t="e">
        <f t="shared" si="121"/>
        <v>#VALUE!</v>
      </c>
      <c r="G1958" s="13" t="e">
        <f t="shared" si="122"/>
        <v>#VALUE!</v>
      </c>
      <c r="J1958" t="str">
        <f>MAIN!A1963&amp;"B"</f>
        <v>B</v>
      </c>
      <c r="K1958" s="12" t="e">
        <f t="shared" si="123"/>
        <v>#VALUE!</v>
      </c>
      <c r="L1958" t="str">
        <f>MAIN!C1963</f>
        <v/>
      </c>
    </row>
    <row r="1959" spans="1:12" x14ac:dyDescent="0.3">
      <c r="A1959">
        <f>IF(J1959="0",0,IF(COUNTIF($J$2:J1959,J1959)=1,1,0))</f>
        <v>0</v>
      </c>
      <c r="B1959" s="12" t="e">
        <f>MID(MAIN!A1964,K1959,2)</f>
        <v>#VALUE!</v>
      </c>
      <c r="C1959" s="12" t="e">
        <f t="shared" si="120"/>
        <v>#VALUE!</v>
      </c>
      <c r="D1959" s="12" t="e">
        <f>MID(MAIN!A1964,K1959+2,2)</f>
        <v>#VALUE!</v>
      </c>
      <c r="E1959" s="12" t="e">
        <f>MID(MAIN!A1964,K1959+4,2)</f>
        <v>#VALUE!</v>
      </c>
      <c r="F1959" s="2" t="e">
        <f t="shared" si="121"/>
        <v>#VALUE!</v>
      </c>
      <c r="G1959" s="13" t="e">
        <f t="shared" si="122"/>
        <v>#VALUE!</v>
      </c>
      <c r="J1959" t="str">
        <f>MAIN!A1964&amp;"B"</f>
        <v>B</v>
      </c>
      <c r="K1959" s="12" t="e">
        <f t="shared" si="123"/>
        <v>#VALUE!</v>
      </c>
      <c r="L1959" t="str">
        <f>MAIN!C1964</f>
        <v/>
      </c>
    </row>
    <row r="1960" spans="1:12" x14ac:dyDescent="0.3">
      <c r="A1960">
        <f>IF(J1960="0",0,IF(COUNTIF($J$2:J1960,J1960)=1,1,0))</f>
        <v>0</v>
      </c>
      <c r="B1960" s="12" t="e">
        <f>MID(MAIN!A1965,K1960,2)</f>
        <v>#VALUE!</v>
      </c>
      <c r="C1960" s="12" t="e">
        <f t="shared" si="120"/>
        <v>#VALUE!</v>
      </c>
      <c r="D1960" s="12" t="e">
        <f>MID(MAIN!A1965,K1960+2,2)</f>
        <v>#VALUE!</v>
      </c>
      <c r="E1960" s="12" t="e">
        <f>MID(MAIN!A1965,K1960+4,2)</f>
        <v>#VALUE!</v>
      </c>
      <c r="F1960" s="2" t="e">
        <f t="shared" si="121"/>
        <v>#VALUE!</v>
      </c>
      <c r="G1960" s="13" t="e">
        <f t="shared" si="122"/>
        <v>#VALUE!</v>
      </c>
      <c r="J1960" t="str">
        <f>MAIN!A1965&amp;"B"</f>
        <v>B</v>
      </c>
      <c r="K1960" s="12" t="e">
        <f t="shared" si="123"/>
        <v>#VALUE!</v>
      </c>
      <c r="L1960" t="str">
        <f>MAIN!C1965</f>
        <v/>
      </c>
    </row>
    <row r="1961" spans="1:12" x14ac:dyDescent="0.3">
      <c r="A1961">
        <f>IF(J1961="0",0,IF(COUNTIF($J$2:J1961,J1961)=1,1,0))</f>
        <v>0</v>
      </c>
      <c r="B1961" s="12" t="e">
        <f>MID(MAIN!A1966,K1961,2)</f>
        <v>#VALUE!</v>
      </c>
      <c r="C1961" s="12" t="e">
        <f t="shared" si="120"/>
        <v>#VALUE!</v>
      </c>
      <c r="D1961" s="12" t="e">
        <f>MID(MAIN!A1966,K1961+2,2)</f>
        <v>#VALUE!</v>
      </c>
      <c r="E1961" s="12" t="e">
        <f>MID(MAIN!A1966,K1961+4,2)</f>
        <v>#VALUE!</v>
      </c>
      <c r="F1961" s="2" t="e">
        <f t="shared" si="121"/>
        <v>#VALUE!</v>
      </c>
      <c r="G1961" s="13" t="e">
        <f t="shared" si="122"/>
        <v>#VALUE!</v>
      </c>
      <c r="J1961" t="str">
        <f>MAIN!A1966&amp;"B"</f>
        <v>B</v>
      </c>
      <c r="K1961" s="12" t="e">
        <f t="shared" si="123"/>
        <v>#VALUE!</v>
      </c>
      <c r="L1961" t="str">
        <f>MAIN!C1966</f>
        <v/>
      </c>
    </row>
    <row r="1962" spans="1:12" x14ac:dyDescent="0.3">
      <c r="A1962">
        <f>IF(J1962="0",0,IF(COUNTIF($J$2:J1962,J1962)=1,1,0))</f>
        <v>0</v>
      </c>
      <c r="B1962" s="12" t="e">
        <f>MID(MAIN!A1967,K1962,2)</f>
        <v>#VALUE!</v>
      </c>
      <c r="C1962" s="12" t="e">
        <f t="shared" si="120"/>
        <v>#VALUE!</v>
      </c>
      <c r="D1962" s="12" t="e">
        <f>MID(MAIN!A1967,K1962+2,2)</f>
        <v>#VALUE!</v>
      </c>
      <c r="E1962" s="12" t="e">
        <f>MID(MAIN!A1967,K1962+4,2)</f>
        <v>#VALUE!</v>
      </c>
      <c r="F1962" s="2" t="e">
        <f t="shared" si="121"/>
        <v>#VALUE!</v>
      </c>
      <c r="G1962" s="13" t="e">
        <f t="shared" si="122"/>
        <v>#VALUE!</v>
      </c>
      <c r="J1962" t="str">
        <f>MAIN!A1967&amp;"B"</f>
        <v>B</v>
      </c>
      <c r="K1962" s="12" t="e">
        <f t="shared" si="123"/>
        <v>#VALUE!</v>
      </c>
      <c r="L1962" t="str">
        <f>MAIN!C1967</f>
        <v/>
      </c>
    </row>
    <row r="1963" spans="1:12" x14ac:dyDescent="0.3">
      <c r="A1963">
        <f>IF(J1963="0",0,IF(COUNTIF($J$2:J1963,J1963)=1,1,0))</f>
        <v>0</v>
      </c>
      <c r="B1963" s="12" t="e">
        <f>MID(MAIN!A1968,K1963,2)</f>
        <v>#VALUE!</v>
      </c>
      <c r="C1963" s="12" t="e">
        <f t="shared" si="120"/>
        <v>#VALUE!</v>
      </c>
      <c r="D1963" s="12" t="e">
        <f>MID(MAIN!A1968,K1963+2,2)</f>
        <v>#VALUE!</v>
      </c>
      <c r="E1963" s="12" t="e">
        <f>MID(MAIN!A1968,K1963+4,2)</f>
        <v>#VALUE!</v>
      </c>
      <c r="F1963" s="2" t="e">
        <f t="shared" si="121"/>
        <v>#VALUE!</v>
      </c>
      <c r="G1963" s="13" t="e">
        <f t="shared" si="122"/>
        <v>#VALUE!</v>
      </c>
      <c r="J1963" t="str">
        <f>MAIN!A1968&amp;"B"</f>
        <v>B</v>
      </c>
      <c r="K1963" s="12" t="e">
        <f t="shared" si="123"/>
        <v>#VALUE!</v>
      </c>
      <c r="L1963" t="str">
        <f>MAIN!C1968</f>
        <v/>
      </c>
    </row>
    <row r="1964" spans="1:12" x14ac:dyDescent="0.3">
      <c r="A1964">
        <f>IF(J1964="0",0,IF(COUNTIF($J$2:J1964,J1964)=1,1,0))</f>
        <v>0</v>
      </c>
      <c r="B1964" s="12" t="e">
        <f>MID(MAIN!A1969,K1964,2)</f>
        <v>#VALUE!</v>
      </c>
      <c r="C1964" s="12" t="e">
        <f t="shared" si="120"/>
        <v>#VALUE!</v>
      </c>
      <c r="D1964" s="12" t="e">
        <f>MID(MAIN!A1969,K1964+2,2)</f>
        <v>#VALUE!</v>
      </c>
      <c r="E1964" s="12" t="e">
        <f>MID(MAIN!A1969,K1964+4,2)</f>
        <v>#VALUE!</v>
      </c>
      <c r="F1964" s="2" t="e">
        <f t="shared" si="121"/>
        <v>#VALUE!</v>
      </c>
      <c r="G1964" s="13" t="e">
        <f t="shared" si="122"/>
        <v>#VALUE!</v>
      </c>
      <c r="J1964" t="str">
        <f>MAIN!A1969&amp;"B"</f>
        <v>B</v>
      </c>
      <c r="K1964" s="12" t="e">
        <f t="shared" si="123"/>
        <v>#VALUE!</v>
      </c>
      <c r="L1964" t="str">
        <f>MAIN!C1969</f>
        <v/>
      </c>
    </row>
    <row r="1965" spans="1:12" x14ac:dyDescent="0.3">
      <c r="A1965">
        <f>IF(J1965="0",0,IF(COUNTIF($J$2:J1965,J1965)=1,1,0))</f>
        <v>0</v>
      </c>
      <c r="B1965" s="12" t="e">
        <f>MID(MAIN!A1970,K1965,2)</f>
        <v>#VALUE!</v>
      </c>
      <c r="C1965" s="12" t="e">
        <f t="shared" si="120"/>
        <v>#VALUE!</v>
      </c>
      <c r="D1965" s="12" t="e">
        <f>MID(MAIN!A1970,K1965+2,2)</f>
        <v>#VALUE!</v>
      </c>
      <c r="E1965" s="12" t="e">
        <f>MID(MAIN!A1970,K1965+4,2)</f>
        <v>#VALUE!</v>
      </c>
      <c r="F1965" s="2" t="e">
        <f t="shared" si="121"/>
        <v>#VALUE!</v>
      </c>
      <c r="G1965" s="13" t="e">
        <f t="shared" si="122"/>
        <v>#VALUE!</v>
      </c>
      <c r="J1965" t="str">
        <f>MAIN!A1970&amp;"B"</f>
        <v>B</v>
      </c>
      <c r="K1965" s="12" t="e">
        <f t="shared" si="123"/>
        <v>#VALUE!</v>
      </c>
      <c r="L1965" t="str">
        <f>MAIN!C1970</f>
        <v/>
      </c>
    </row>
    <row r="1966" spans="1:12" x14ac:dyDescent="0.3">
      <c r="A1966">
        <f>IF(J1966="0",0,IF(COUNTIF($J$2:J1966,J1966)=1,1,0))</f>
        <v>0</v>
      </c>
      <c r="B1966" s="12" t="e">
        <f>MID(MAIN!A1971,K1966,2)</f>
        <v>#VALUE!</v>
      </c>
      <c r="C1966" s="12" t="e">
        <f t="shared" si="120"/>
        <v>#VALUE!</v>
      </c>
      <c r="D1966" s="12" t="e">
        <f>MID(MAIN!A1971,K1966+2,2)</f>
        <v>#VALUE!</v>
      </c>
      <c r="E1966" s="12" t="e">
        <f>MID(MAIN!A1971,K1966+4,2)</f>
        <v>#VALUE!</v>
      </c>
      <c r="F1966" s="2" t="e">
        <f t="shared" si="121"/>
        <v>#VALUE!</v>
      </c>
      <c r="G1966" s="13" t="e">
        <f t="shared" si="122"/>
        <v>#VALUE!</v>
      </c>
      <c r="J1966" t="str">
        <f>MAIN!A1971&amp;"B"</f>
        <v>B</v>
      </c>
      <c r="K1966" s="12" t="e">
        <f t="shared" si="123"/>
        <v>#VALUE!</v>
      </c>
      <c r="L1966" t="str">
        <f>MAIN!C1971</f>
        <v/>
      </c>
    </row>
    <row r="1967" spans="1:12" x14ac:dyDescent="0.3">
      <c r="A1967">
        <f>IF(J1967="0",0,IF(COUNTIF($J$2:J1967,J1967)=1,1,0))</f>
        <v>0</v>
      </c>
      <c r="B1967" s="12" t="e">
        <f>MID(MAIN!A1972,K1967,2)</f>
        <v>#VALUE!</v>
      </c>
      <c r="C1967" s="12" t="e">
        <f t="shared" si="120"/>
        <v>#VALUE!</v>
      </c>
      <c r="D1967" s="12" t="e">
        <f>MID(MAIN!A1972,K1967+2,2)</f>
        <v>#VALUE!</v>
      </c>
      <c r="E1967" s="12" t="e">
        <f>MID(MAIN!A1972,K1967+4,2)</f>
        <v>#VALUE!</v>
      </c>
      <c r="F1967" s="2" t="e">
        <f t="shared" si="121"/>
        <v>#VALUE!</v>
      </c>
      <c r="G1967" s="13" t="e">
        <f t="shared" si="122"/>
        <v>#VALUE!</v>
      </c>
      <c r="J1967" t="str">
        <f>MAIN!A1972&amp;"B"</f>
        <v>B</v>
      </c>
      <c r="K1967" s="12" t="e">
        <f t="shared" si="123"/>
        <v>#VALUE!</v>
      </c>
      <c r="L1967" t="str">
        <f>MAIN!C1972</f>
        <v/>
      </c>
    </row>
    <row r="1968" spans="1:12" x14ac:dyDescent="0.3">
      <c r="A1968">
        <f>IF(J1968="0",0,IF(COUNTIF($J$2:J1968,J1968)=1,1,0))</f>
        <v>0</v>
      </c>
      <c r="B1968" s="12" t="e">
        <f>MID(MAIN!A1973,K1968,2)</f>
        <v>#VALUE!</v>
      </c>
      <c r="C1968" s="12" t="e">
        <f t="shared" si="120"/>
        <v>#VALUE!</v>
      </c>
      <c r="D1968" s="12" t="e">
        <f>MID(MAIN!A1973,K1968+2,2)</f>
        <v>#VALUE!</v>
      </c>
      <c r="E1968" s="12" t="e">
        <f>MID(MAIN!A1973,K1968+4,2)</f>
        <v>#VALUE!</v>
      </c>
      <c r="F1968" s="2" t="e">
        <f t="shared" si="121"/>
        <v>#VALUE!</v>
      </c>
      <c r="G1968" s="13" t="e">
        <f t="shared" si="122"/>
        <v>#VALUE!</v>
      </c>
      <c r="J1968" t="str">
        <f>MAIN!A1973&amp;"B"</f>
        <v>B</v>
      </c>
      <c r="K1968" s="12" t="e">
        <f t="shared" si="123"/>
        <v>#VALUE!</v>
      </c>
      <c r="L1968" t="str">
        <f>MAIN!C1973</f>
        <v/>
      </c>
    </row>
    <row r="1969" spans="1:12" x14ac:dyDescent="0.3">
      <c r="A1969">
        <f>IF(J1969="0",0,IF(COUNTIF($J$2:J1969,J1969)=1,1,0))</f>
        <v>0</v>
      </c>
      <c r="B1969" s="12" t="e">
        <f>MID(MAIN!A1974,K1969,2)</f>
        <v>#VALUE!</v>
      </c>
      <c r="C1969" s="12" t="e">
        <f t="shared" si="120"/>
        <v>#VALUE!</v>
      </c>
      <c r="D1969" s="12" t="e">
        <f>MID(MAIN!A1974,K1969+2,2)</f>
        <v>#VALUE!</v>
      </c>
      <c r="E1969" s="12" t="e">
        <f>MID(MAIN!A1974,K1969+4,2)</f>
        <v>#VALUE!</v>
      </c>
      <c r="F1969" s="2" t="e">
        <f t="shared" si="121"/>
        <v>#VALUE!</v>
      </c>
      <c r="G1969" s="13" t="e">
        <f t="shared" si="122"/>
        <v>#VALUE!</v>
      </c>
      <c r="J1969" t="str">
        <f>MAIN!A1974&amp;"B"</f>
        <v>B</v>
      </c>
      <c r="K1969" s="12" t="e">
        <f t="shared" si="123"/>
        <v>#VALUE!</v>
      </c>
      <c r="L1969" t="str">
        <f>MAIN!C1974</f>
        <v/>
      </c>
    </row>
    <row r="1970" spans="1:12" x14ac:dyDescent="0.3">
      <c r="A1970">
        <f>IF(J1970="0",0,IF(COUNTIF($J$2:J1970,J1970)=1,1,0))</f>
        <v>0</v>
      </c>
      <c r="B1970" s="12" t="e">
        <f>MID(MAIN!A1975,K1970,2)</f>
        <v>#VALUE!</v>
      </c>
      <c r="C1970" s="12" t="e">
        <f t="shared" si="120"/>
        <v>#VALUE!</v>
      </c>
      <c r="D1970" s="12" t="e">
        <f>MID(MAIN!A1975,K1970+2,2)</f>
        <v>#VALUE!</v>
      </c>
      <c r="E1970" s="12" t="e">
        <f>MID(MAIN!A1975,K1970+4,2)</f>
        <v>#VALUE!</v>
      </c>
      <c r="F1970" s="2" t="e">
        <f t="shared" si="121"/>
        <v>#VALUE!</v>
      </c>
      <c r="G1970" s="13" t="e">
        <f t="shared" si="122"/>
        <v>#VALUE!</v>
      </c>
      <c r="J1970" t="str">
        <f>MAIN!A1975&amp;"B"</f>
        <v>B</v>
      </c>
      <c r="K1970" s="12" t="e">
        <f t="shared" si="123"/>
        <v>#VALUE!</v>
      </c>
      <c r="L1970" t="str">
        <f>MAIN!C1975</f>
        <v/>
      </c>
    </row>
    <row r="1971" spans="1:12" x14ac:dyDescent="0.3">
      <c r="A1971">
        <f>IF(J1971="0",0,IF(COUNTIF($J$2:J1971,J1971)=1,1,0))</f>
        <v>0</v>
      </c>
      <c r="B1971" s="12" t="e">
        <f>MID(MAIN!A1976,K1971,2)</f>
        <v>#VALUE!</v>
      </c>
      <c r="C1971" s="12" t="e">
        <f t="shared" si="120"/>
        <v>#VALUE!</v>
      </c>
      <c r="D1971" s="12" t="e">
        <f>MID(MAIN!A1976,K1971+2,2)</f>
        <v>#VALUE!</v>
      </c>
      <c r="E1971" s="12" t="e">
        <f>MID(MAIN!A1976,K1971+4,2)</f>
        <v>#VALUE!</v>
      </c>
      <c r="F1971" s="2" t="e">
        <f t="shared" si="121"/>
        <v>#VALUE!</v>
      </c>
      <c r="G1971" s="13" t="e">
        <f t="shared" si="122"/>
        <v>#VALUE!</v>
      </c>
      <c r="J1971" t="str">
        <f>MAIN!A1976&amp;"B"</f>
        <v>B</v>
      </c>
      <c r="K1971" s="12" t="e">
        <f t="shared" si="123"/>
        <v>#VALUE!</v>
      </c>
      <c r="L1971" t="str">
        <f>MAIN!C1976</f>
        <v/>
      </c>
    </row>
    <row r="1972" spans="1:12" x14ac:dyDescent="0.3">
      <c r="A1972">
        <f>IF(J1972="0",0,IF(COUNTIF($J$2:J1972,J1972)=1,1,0))</f>
        <v>0</v>
      </c>
      <c r="B1972" s="12" t="e">
        <f>MID(MAIN!A1977,K1972,2)</f>
        <v>#VALUE!</v>
      </c>
      <c r="C1972" s="12" t="e">
        <f t="shared" si="120"/>
        <v>#VALUE!</v>
      </c>
      <c r="D1972" s="12" t="e">
        <f>MID(MAIN!A1977,K1972+2,2)</f>
        <v>#VALUE!</v>
      </c>
      <c r="E1972" s="12" t="e">
        <f>MID(MAIN!A1977,K1972+4,2)</f>
        <v>#VALUE!</v>
      </c>
      <c r="F1972" s="2" t="e">
        <f t="shared" si="121"/>
        <v>#VALUE!</v>
      </c>
      <c r="G1972" s="13" t="e">
        <f t="shared" si="122"/>
        <v>#VALUE!</v>
      </c>
      <c r="J1972" t="str">
        <f>MAIN!A1977&amp;"B"</f>
        <v>B</v>
      </c>
      <c r="K1972" s="12" t="e">
        <f t="shared" si="123"/>
        <v>#VALUE!</v>
      </c>
      <c r="L1972" t="str">
        <f>MAIN!C1977</f>
        <v/>
      </c>
    </row>
    <row r="1973" spans="1:12" x14ac:dyDescent="0.3">
      <c r="A1973">
        <f>IF(J1973="0",0,IF(COUNTIF($J$2:J1973,J1973)=1,1,0))</f>
        <v>0</v>
      </c>
      <c r="B1973" s="12" t="e">
        <f>MID(MAIN!A1978,K1973,2)</f>
        <v>#VALUE!</v>
      </c>
      <c r="C1973" s="12" t="e">
        <f t="shared" si="120"/>
        <v>#VALUE!</v>
      </c>
      <c r="D1973" s="12" t="e">
        <f>MID(MAIN!A1978,K1973+2,2)</f>
        <v>#VALUE!</v>
      </c>
      <c r="E1973" s="12" t="e">
        <f>MID(MAIN!A1978,K1973+4,2)</f>
        <v>#VALUE!</v>
      </c>
      <c r="F1973" s="2" t="e">
        <f t="shared" si="121"/>
        <v>#VALUE!</v>
      </c>
      <c r="G1973" s="13" t="e">
        <f t="shared" si="122"/>
        <v>#VALUE!</v>
      </c>
      <c r="J1973" t="str">
        <f>MAIN!A1978&amp;"B"</f>
        <v>B</v>
      </c>
      <c r="K1973" s="12" t="e">
        <f t="shared" si="123"/>
        <v>#VALUE!</v>
      </c>
      <c r="L1973" t="str">
        <f>MAIN!C1978</f>
        <v/>
      </c>
    </row>
    <row r="1974" spans="1:12" x14ac:dyDescent="0.3">
      <c r="A1974">
        <f>IF(J1974="0",0,IF(COUNTIF($J$2:J1974,J1974)=1,1,0))</f>
        <v>0</v>
      </c>
      <c r="B1974" s="12" t="e">
        <f>MID(MAIN!A1979,K1974,2)</f>
        <v>#VALUE!</v>
      </c>
      <c r="C1974" s="12" t="e">
        <f t="shared" si="120"/>
        <v>#VALUE!</v>
      </c>
      <c r="D1974" s="12" t="e">
        <f>MID(MAIN!A1979,K1974+2,2)</f>
        <v>#VALUE!</v>
      </c>
      <c r="E1974" s="12" t="e">
        <f>MID(MAIN!A1979,K1974+4,2)</f>
        <v>#VALUE!</v>
      </c>
      <c r="F1974" s="2" t="e">
        <f t="shared" si="121"/>
        <v>#VALUE!</v>
      </c>
      <c r="G1974" s="13" t="e">
        <f t="shared" si="122"/>
        <v>#VALUE!</v>
      </c>
      <c r="J1974" t="str">
        <f>MAIN!A1979&amp;"B"</f>
        <v>B</v>
      </c>
      <c r="K1974" s="12" t="e">
        <f t="shared" si="123"/>
        <v>#VALUE!</v>
      </c>
      <c r="L1974" t="str">
        <f>MAIN!C1979</f>
        <v/>
      </c>
    </row>
    <row r="1975" spans="1:12" x14ac:dyDescent="0.3">
      <c r="A1975">
        <f>IF(J1975="0",0,IF(COUNTIF($J$2:J1975,J1975)=1,1,0))</f>
        <v>0</v>
      </c>
      <c r="B1975" s="12" t="e">
        <f>MID(MAIN!A1980,K1975,2)</f>
        <v>#VALUE!</v>
      </c>
      <c r="C1975" s="12" t="e">
        <f t="shared" si="120"/>
        <v>#VALUE!</v>
      </c>
      <c r="D1975" s="12" t="e">
        <f>MID(MAIN!A1980,K1975+2,2)</f>
        <v>#VALUE!</v>
      </c>
      <c r="E1975" s="12" t="e">
        <f>MID(MAIN!A1980,K1975+4,2)</f>
        <v>#VALUE!</v>
      </c>
      <c r="F1975" s="2" t="e">
        <f t="shared" si="121"/>
        <v>#VALUE!</v>
      </c>
      <c r="G1975" s="13" t="e">
        <f t="shared" si="122"/>
        <v>#VALUE!</v>
      </c>
      <c r="J1975" t="str">
        <f>MAIN!A1980&amp;"B"</f>
        <v>B</v>
      </c>
      <c r="K1975" s="12" t="e">
        <f t="shared" si="123"/>
        <v>#VALUE!</v>
      </c>
      <c r="L1975" t="str">
        <f>MAIN!C1980</f>
        <v/>
      </c>
    </row>
    <row r="1976" spans="1:12" x14ac:dyDescent="0.3">
      <c r="A1976">
        <f>IF(J1976="0",0,IF(COUNTIF($J$2:J1976,J1976)=1,1,0))</f>
        <v>0</v>
      </c>
      <c r="B1976" s="12" t="e">
        <f>MID(MAIN!A1981,K1976,2)</f>
        <v>#VALUE!</v>
      </c>
      <c r="C1976" s="12" t="e">
        <f t="shared" si="120"/>
        <v>#VALUE!</v>
      </c>
      <c r="D1976" s="12" t="e">
        <f>MID(MAIN!A1981,K1976+2,2)</f>
        <v>#VALUE!</v>
      </c>
      <c r="E1976" s="12" t="e">
        <f>MID(MAIN!A1981,K1976+4,2)</f>
        <v>#VALUE!</v>
      </c>
      <c r="F1976" s="2" t="e">
        <f t="shared" si="121"/>
        <v>#VALUE!</v>
      </c>
      <c r="G1976" s="13" t="e">
        <f t="shared" si="122"/>
        <v>#VALUE!</v>
      </c>
      <c r="J1976" t="str">
        <f>MAIN!A1981&amp;"B"</f>
        <v>B</v>
      </c>
      <c r="K1976" s="12" t="e">
        <f t="shared" si="123"/>
        <v>#VALUE!</v>
      </c>
      <c r="L1976" t="str">
        <f>MAIN!C1981</f>
        <v/>
      </c>
    </row>
    <row r="1977" spans="1:12" x14ac:dyDescent="0.3">
      <c r="A1977">
        <f>IF(J1977="0",0,IF(COUNTIF($J$2:J1977,J1977)=1,1,0))</f>
        <v>0</v>
      </c>
      <c r="B1977" s="12" t="e">
        <f>MID(MAIN!A1982,K1977,2)</f>
        <v>#VALUE!</v>
      </c>
      <c r="C1977" s="12" t="e">
        <f t="shared" si="120"/>
        <v>#VALUE!</v>
      </c>
      <c r="D1977" s="12" t="e">
        <f>MID(MAIN!A1982,K1977+2,2)</f>
        <v>#VALUE!</v>
      </c>
      <c r="E1977" s="12" t="e">
        <f>MID(MAIN!A1982,K1977+4,2)</f>
        <v>#VALUE!</v>
      </c>
      <c r="F1977" s="2" t="e">
        <f t="shared" si="121"/>
        <v>#VALUE!</v>
      </c>
      <c r="G1977" s="13" t="e">
        <f t="shared" si="122"/>
        <v>#VALUE!</v>
      </c>
      <c r="J1977" t="str">
        <f>MAIN!A1982&amp;"B"</f>
        <v>B</v>
      </c>
      <c r="K1977" s="12" t="e">
        <f t="shared" si="123"/>
        <v>#VALUE!</v>
      </c>
      <c r="L1977" t="str">
        <f>MAIN!C1982</f>
        <v/>
      </c>
    </row>
    <row r="1978" spans="1:12" x14ac:dyDescent="0.3">
      <c r="A1978">
        <f>IF(J1978="0",0,IF(COUNTIF($J$2:J1978,J1978)=1,1,0))</f>
        <v>0</v>
      </c>
      <c r="B1978" s="12" t="e">
        <f>MID(MAIN!A1983,K1978,2)</f>
        <v>#VALUE!</v>
      </c>
      <c r="C1978" s="12" t="e">
        <f t="shared" si="120"/>
        <v>#VALUE!</v>
      </c>
      <c r="D1978" s="12" t="e">
        <f>MID(MAIN!A1983,K1978+2,2)</f>
        <v>#VALUE!</v>
      </c>
      <c r="E1978" s="12" t="e">
        <f>MID(MAIN!A1983,K1978+4,2)</f>
        <v>#VALUE!</v>
      </c>
      <c r="F1978" s="2" t="e">
        <f t="shared" si="121"/>
        <v>#VALUE!</v>
      </c>
      <c r="G1978" s="13" t="e">
        <f t="shared" si="122"/>
        <v>#VALUE!</v>
      </c>
      <c r="J1978" t="str">
        <f>MAIN!A1983&amp;"B"</f>
        <v>B</v>
      </c>
      <c r="K1978" s="12" t="e">
        <f t="shared" si="123"/>
        <v>#VALUE!</v>
      </c>
      <c r="L1978" t="str">
        <f>MAIN!C1983</f>
        <v/>
      </c>
    </row>
    <row r="1979" spans="1:12" x14ac:dyDescent="0.3">
      <c r="A1979">
        <f>IF(J1979="0",0,IF(COUNTIF($J$2:J1979,J1979)=1,1,0))</f>
        <v>0</v>
      </c>
      <c r="B1979" s="12" t="e">
        <f>MID(MAIN!A1984,K1979,2)</f>
        <v>#VALUE!</v>
      </c>
      <c r="C1979" s="12" t="e">
        <f t="shared" si="120"/>
        <v>#VALUE!</v>
      </c>
      <c r="D1979" s="12" t="e">
        <f>MID(MAIN!A1984,K1979+2,2)</f>
        <v>#VALUE!</v>
      </c>
      <c r="E1979" s="12" t="e">
        <f>MID(MAIN!A1984,K1979+4,2)</f>
        <v>#VALUE!</v>
      </c>
      <c r="F1979" s="2" t="e">
        <f t="shared" si="121"/>
        <v>#VALUE!</v>
      </c>
      <c r="G1979" s="13" t="e">
        <f t="shared" si="122"/>
        <v>#VALUE!</v>
      </c>
      <c r="J1979" t="str">
        <f>MAIN!A1984&amp;"B"</f>
        <v>B</v>
      </c>
      <c r="K1979" s="12" t="e">
        <f t="shared" si="123"/>
        <v>#VALUE!</v>
      </c>
      <c r="L1979" t="str">
        <f>MAIN!C1984</f>
        <v/>
      </c>
    </row>
    <row r="1980" spans="1:12" x14ac:dyDescent="0.3">
      <c r="A1980">
        <f>IF(J1980="0",0,IF(COUNTIF($J$2:J1980,J1980)=1,1,0))</f>
        <v>0</v>
      </c>
      <c r="B1980" s="12" t="e">
        <f>MID(MAIN!A1985,K1980,2)</f>
        <v>#VALUE!</v>
      </c>
      <c r="C1980" s="12" t="e">
        <f t="shared" si="120"/>
        <v>#VALUE!</v>
      </c>
      <c r="D1980" s="12" t="e">
        <f>MID(MAIN!A1985,K1980+2,2)</f>
        <v>#VALUE!</v>
      </c>
      <c r="E1980" s="12" t="e">
        <f>MID(MAIN!A1985,K1980+4,2)</f>
        <v>#VALUE!</v>
      </c>
      <c r="F1980" s="2" t="e">
        <f t="shared" si="121"/>
        <v>#VALUE!</v>
      </c>
      <c r="G1980" s="13" t="e">
        <f t="shared" si="122"/>
        <v>#VALUE!</v>
      </c>
      <c r="J1980" t="str">
        <f>MAIN!A1985&amp;"B"</f>
        <v>B</v>
      </c>
      <c r="K1980" s="12" t="e">
        <f t="shared" si="123"/>
        <v>#VALUE!</v>
      </c>
      <c r="L1980" t="str">
        <f>MAIN!C1985</f>
        <v/>
      </c>
    </row>
    <row r="1981" spans="1:12" x14ac:dyDescent="0.3">
      <c r="A1981">
        <f>IF(J1981="0",0,IF(COUNTIF($J$2:J1981,J1981)=1,1,0))</f>
        <v>0</v>
      </c>
      <c r="B1981" s="12" t="e">
        <f>MID(MAIN!A1986,K1981,2)</f>
        <v>#VALUE!</v>
      </c>
      <c r="C1981" s="12" t="e">
        <f t="shared" si="120"/>
        <v>#VALUE!</v>
      </c>
      <c r="D1981" s="12" t="e">
        <f>MID(MAIN!A1986,K1981+2,2)</f>
        <v>#VALUE!</v>
      </c>
      <c r="E1981" s="12" t="e">
        <f>MID(MAIN!A1986,K1981+4,2)</f>
        <v>#VALUE!</v>
      </c>
      <c r="F1981" s="2" t="e">
        <f t="shared" si="121"/>
        <v>#VALUE!</v>
      </c>
      <c r="G1981" s="13" t="e">
        <f t="shared" si="122"/>
        <v>#VALUE!</v>
      </c>
      <c r="J1981" t="str">
        <f>MAIN!A1986&amp;"B"</f>
        <v>B</v>
      </c>
      <c r="K1981" s="12" t="e">
        <f t="shared" si="123"/>
        <v>#VALUE!</v>
      </c>
      <c r="L1981" t="str">
        <f>MAIN!C1986</f>
        <v/>
      </c>
    </row>
    <row r="1982" spans="1:12" x14ac:dyDescent="0.3">
      <c r="A1982">
        <f>IF(J1982="0",0,IF(COUNTIF($J$2:J1982,J1982)=1,1,0))</f>
        <v>0</v>
      </c>
      <c r="B1982" s="12" t="e">
        <f>MID(MAIN!A1987,K1982,2)</f>
        <v>#VALUE!</v>
      </c>
      <c r="C1982" s="12" t="e">
        <f t="shared" si="120"/>
        <v>#VALUE!</v>
      </c>
      <c r="D1982" s="12" t="e">
        <f>MID(MAIN!A1987,K1982+2,2)</f>
        <v>#VALUE!</v>
      </c>
      <c r="E1982" s="12" t="e">
        <f>MID(MAIN!A1987,K1982+4,2)</f>
        <v>#VALUE!</v>
      </c>
      <c r="F1982" s="2" t="e">
        <f t="shared" si="121"/>
        <v>#VALUE!</v>
      </c>
      <c r="G1982" s="13" t="e">
        <f t="shared" si="122"/>
        <v>#VALUE!</v>
      </c>
      <c r="J1982" t="str">
        <f>MAIN!A1987&amp;"B"</f>
        <v>B</v>
      </c>
      <c r="K1982" s="12" t="e">
        <f t="shared" si="123"/>
        <v>#VALUE!</v>
      </c>
      <c r="L1982" t="str">
        <f>MAIN!C1987</f>
        <v/>
      </c>
    </row>
    <row r="1983" spans="1:12" x14ac:dyDescent="0.3">
      <c r="A1983">
        <f>IF(J1983="0",0,IF(COUNTIF($J$2:J1983,J1983)=1,1,0))</f>
        <v>0</v>
      </c>
      <c r="B1983" s="12" t="e">
        <f>MID(MAIN!A1988,K1983,2)</f>
        <v>#VALUE!</v>
      </c>
      <c r="C1983" s="12" t="e">
        <f t="shared" si="120"/>
        <v>#VALUE!</v>
      </c>
      <c r="D1983" s="12" t="e">
        <f>MID(MAIN!A1988,K1983+2,2)</f>
        <v>#VALUE!</v>
      </c>
      <c r="E1983" s="12" t="e">
        <f>MID(MAIN!A1988,K1983+4,2)</f>
        <v>#VALUE!</v>
      </c>
      <c r="F1983" s="2" t="e">
        <f t="shared" si="121"/>
        <v>#VALUE!</v>
      </c>
      <c r="G1983" s="13" t="e">
        <f t="shared" si="122"/>
        <v>#VALUE!</v>
      </c>
      <c r="J1983" t="str">
        <f>MAIN!A1988&amp;"B"</f>
        <v>B</v>
      </c>
      <c r="K1983" s="12" t="e">
        <f t="shared" si="123"/>
        <v>#VALUE!</v>
      </c>
      <c r="L1983" t="str">
        <f>MAIN!C1988</f>
        <v/>
      </c>
    </row>
    <row r="1984" spans="1:12" x14ac:dyDescent="0.3">
      <c r="A1984">
        <f>IF(J1984="0",0,IF(COUNTIF($J$2:J1984,J1984)=1,1,0))</f>
        <v>0</v>
      </c>
      <c r="B1984" s="12" t="e">
        <f>MID(MAIN!A1989,K1984,2)</f>
        <v>#VALUE!</v>
      </c>
      <c r="C1984" s="12" t="e">
        <f t="shared" si="120"/>
        <v>#VALUE!</v>
      </c>
      <c r="D1984" s="12" t="e">
        <f>MID(MAIN!A1989,K1984+2,2)</f>
        <v>#VALUE!</v>
      </c>
      <c r="E1984" s="12" t="e">
        <f>MID(MAIN!A1989,K1984+4,2)</f>
        <v>#VALUE!</v>
      </c>
      <c r="F1984" s="2" t="e">
        <f t="shared" si="121"/>
        <v>#VALUE!</v>
      </c>
      <c r="G1984" s="13" t="e">
        <f t="shared" si="122"/>
        <v>#VALUE!</v>
      </c>
      <c r="J1984" t="str">
        <f>MAIN!A1989&amp;"B"</f>
        <v>B</v>
      </c>
      <c r="K1984" s="12" t="e">
        <f t="shared" si="123"/>
        <v>#VALUE!</v>
      </c>
      <c r="L1984" t="str">
        <f>MAIN!C1989</f>
        <v/>
      </c>
    </row>
    <row r="1985" spans="1:12" x14ac:dyDescent="0.3">
      <c r="A1985">
        <f>IF(J1985="0",0,IF(COUNTIF($J$2:J1985,J1985)=1,1,0))</f>
        <v>0</v>
      </c>
      <c r="B1985" s="12" t="e">
        <f>MID(MAIN!A1990,K1985,2)</f>
        <v>#VALUE!</v>
      </c>
      <c r="C1985" s="12" t="e">
        <f t="shared" si="120"/>
        <v>#VALUE!</v>
      </c>
      <c r="D1985" s="12" t="e">
        <f>MID(MAIN!A1990,K1985+2,2)</f>
        <v>#VALUE!</v>
      </c>
      <c r="E1985" s="12" t="e">
        <f>MID(MAIN!A1990,K1985+4,2)</f>
        <v>#VALUE!</v>
      </c>
      <c r="F1985" s="2" t="e">
        <f t="shared" si="121"/>
        <v>#VALUE!</v>
      </c>
      <c r="G1985" s="13" t="e">
        <f t="shared" si="122"/>
        <v>#VALUE!</v>
      </c>
      <c r="J1985" t="str">
        <f>MAIN!A1990&amp;"B"</f>
        <v>B</v>
      </c>
      <c r="K1985" s="12" t="e">
        <f t="shared" si="123"/>
        <v>#VALUE!</v>
      </c>
      <c r="L1985" t="str">
        <f>MAIN!C1990</f>
        <v/>
      </c>
    </row>
    <row r="1986" spans="1:12" x14ac:dyDescent="0.3">
      <c r="A1986">
        <f>IF(J1986="0",0,IF(COUNTIF($J$2:J1986,J1986)=1,1,0))</f>
        <v>0</v>
      </c>
      <c r="B1986" s="12" t="e">
        <f>MID(MAIN!A1991,K1986,2)</f>
        <v>#VALUE!</v>
      </c>
      <c r="C1986" s="12" t="e">
        <f t="shared" si="120"/>
        <v>#VALUE!</v>
      </c>
      <c r="D1986" s="12" t="e">
        <f>MID(MAIN!A1991,K1986+2,2)</f>
        <v>#VALUE!</v>
      </c>
      <c r="E1986" s="12" t="e">
        <f>MID(MAIN!A1991,K1986+4,2)</f>
        <v>#VALUE!</v>
      </c>
      <c r="F1986" s="2" t="e">
        <f t="shared" si="121"/>
        <v>#VALUE!</v>
      </c>
      <c r="G1986" s="13" t="e">
        <f t="shared" si="122"/>
        <v>#VALUE!</v>
      </c>
      <c r="J1986" t="str">
        <f>MAIN!A1991&amp;"B"</f>
        <v>B</v>
      </c>
      <c r="K1986" s="12" t="e">
        <f t="shared" si="123"/>
        <v>#VALUE!</v>
      </c>
      <c r="L1986" t="str">
        <f>MAIN!C1991</f>
        <v/>
      </c>
    </row>
    <row r="1987" spans="1:12" x14ac:dyDescent="0.3">
      <c r="A1987">
        <f>IF(J1987="0",0,IF(COUNTIF($J$2:J1987,J1987)=1,1,0))</f>
        <v>0</v>
      </c>
      <c r="B1987" s="12" t="e">
        <f>MID(MAIN!A1992,K1987,2)</f>
        <v>#VALUE!</v>
      </c>
      <c r="C1987" s="12" t="e">
        <f t="shared" ref="C1987:C2050" si="124">"20"&amp;B1987</f>
        <v>#VALUE!</v>
      </c>
      <c r="D1987" s="12" t="e">
        <f>MID(MAIN!A1992,K1987+2,2)</f>
        <v>#VALUE!</v>
      </c>
      <c r="E1987" s="12" t="e">
        <f>MID(MAIN!A1992,K1987+4,2)</f>
        <v>#VALUE!</v>
      </c>
      <c r="F1987" s="2" t="e">
        <f t="shared" ref="F1987:F2050" si="125">C1987&amp;"/"&amp;D1987&amp;"/"&amp;E1987</f>
        <v>#VALUE!</v>
      </c>
      <c r="G1987" s="13" t="e">
        <f t="shared" ref="G1987:G2050" si="126">DATEVALUE(F1987)</f>
        <v>#VALUE!</v>
      </c>
      <c r="J1987" t="str">
        <f>MAIN!A1992&amp;"B"</f>
        <v>B</v>
      </c>
      <c r="K1987" s="12" t="e">
        <f t="shared" ref="K1987:K2050" si="127">FIND("172",J1987,30)+2</f>
        <v>#VALUE!</v>
      </c>
      <c r="L1987" t="str">
        <f>MAIN!C1992</f>
        <v/>
      </c>
    </row>
    <row r="1988" spans="1:12" x14ac:dyDescent="0.3">
      <c r="A1988">
        <f>IF(J1988="0",0,IF(COUNTIF($J$2:J1988,J1988)=1,1,0))</f>
        <v>0</v>
      </c>
      <c r="B1988" s="12" t="e">
        <f>MID(MAIN!A1993,K1988,2)</f>
        <v>#VALUE!</v>
      </c>
      <c r="C1988" s="12" t="e">
        <f t="shared" si="124"/>
        <v>#VALUE!</v>
      </c>
      <c r="D1988" s="12" t="e">
        <f>MID(MAIN!A1993,K1988+2,2)</f>
        <v>#VALUE!</v>
      </c>
      <c r="E1988" s="12" t="e">
        <f>MID(MAIN!A1993,K1988+4,2)</f>
        <v>#VALUE!</v>
      </c>
      <c r="F1988" s="2" t="e">
        <f t="shared" si="125"/>
        <v>#VALUE!</v>
      </c>
      <c r="G1988" s="13" t="e">
        <f t="shared" si="126"/>
        <v>#VALUE!</v>
      </c>
      <c r="J1988" t="str">
        <f>MAIN!A1993&amp;"B"</f>
        <v>B</v>
      </c>
      <c r="K1988" s="12" t="e">
        <f t="shared" si="127"/>
        <v>#VALUE!</v>
      </c>
      <c r="L1988" t="str">
        <f>MAIN!C1993</f>
        <v/>
      </c>
    </row>
    <row r="1989" spans="1:12" x14ac:dyDescent="0.3">
      <c r="A1989">
        <f>IF(J1989="0",0,IF(COUNTIF($J$2:J1989,J1989)=1,1,0))</f>
        <v>0</v>
      </c>
      <c r="B1989" s="12" t="e">
        <f>MID(MAIN!A1994,K1989,2)</f>
        <v>#VALUE!</v>
      </c>
      <c r="C1989" s="12" t="e">
        <f t="shared" si="124"/>
        <v>#VALUE!</v>
      </c>
      <c r="D1989" s="12" t="e">
        <f>MID(MAIN!A1994,K1989+2,2)</f>
        <v>#VALUE!</v>
      </c>
      <c r="E1989" s="12" t="e">
        <f>MID(MAIN!A1994,K1989+4,2)</f>
        <v>#VALUE!</v>
      </c>
      <c r="F1989" s="2" t="e">
        <f t="shared" si="125"/>
        <v>#VALUE!</v>
      </c>
      <c r="G1989" s="13" t="e">
        <f t="shared" si="126"/>
        <v>#VALUE!</v>
      </c>
      <c r="J1989" t="str">
        <f>MAIN!A1994&amp;"B"</f>
        <v>B</v>
      </c>
      <c r="K1989" s="12" t="e">
        <f t="shared" si="127"/>
        <v>#VALUE!</v>
      </c>
      <c r="L1989" t="str">
        <f>MAIN!C1994</f>
        <v/>
      </c>
    </row>
    <row r="1990" spans="1:12" x14ac:dyDescent="0.3">
      <c r="A1990">
        <f>IF(J1990="0",0,IF(COUNTIF($J$2:J1990,J1990)=1,1,0))</f>
        <v>0</v>
      </c>
      <c r="B1990" s="12" t="e">
        <f>MID(MAIN!A1995,K1990,2)</f>
        <v>#VALUE!</v>
      </c>
      <c r="C1990" s="12" t="e">
        <f t="shared" si="124"/>
        <v>#VALUE!</v>
      </c>
      <c r="D1990" s="12" t="e">
        <f>MID(MAIN!A1995,K1990+2,2)</f>
        <v>#VALUE!</v>
      </c>
      <c r="E1990" s="12" t="e">
        <f>MID(MAIN!A1995,K1990+4,2)</f>
        <v>#VALUE!</v>
      </c>
      <c r="F1990" s="2" t="e">
        <f t="shared" si="125"/>
        <v>#VALUE!</v>
      </c>
      <c r="G1990" s="13" t="e">
        <f t="shared" si="126"/>
        <v>#VALUE!</v>
      </c>
      <c r="J1990" t="str">
        <f>MAIN!A1995&amp;"B"</f>
        <v>B</v>
      </c>
      <c r="K1990" s="12" t="e">
        <f t="shared" si="127"/>
        <v>#VALUE!</v>
      </c>
      <c r="L1990" t="str">
        <f>MAIN!C1995</f>
        <v/>
      </c>
    </row>
    <row r="1991" spans="1:12" x14ac:dyDescent="0.3">
      <c r="A1991">
        <f>IF(J1991="0",0,IF(COUNTIF($J$2:J1991,J1991)=1,1,0))</f>
        <v>0</v>
      </c>
      <c r="B1991" s="12" t="e">
        <f>MID(MAIN!A1996,K1991,2)</f>
        <v>#VALUE!</v>
      </c>
      <c r="C1991" s="12" t="e">
        <f t="shared" si="124"/>
        <v>#VALUE!</v>
      </c>
      <c r="D1991" s="12" t="e">
        <f>MID(MAIN!A1996,K1991+2,2)</f>
        <v>#VALUE!</v>
      </c>
      <c r="E1991" s="12" t="e">
        <f>MID(MAIN!A1996,K1991+4,2)</f>
        <v>#VALUE!</v>
      </c>
      <c r="F1991" s="2" t="e">
        <f t="shared" si="125"/>
        <v>#VALUE!</v>
      </c>
      <c r="G1991" s="13" t="e">
        <f t="shared" si="126"/>
        <v>#VALUE!</v>
      </c>
      <c r="J1991" t="str">
        <f>MAIN!A1996&amp;"B"</f>
        <v>B</v>
      </c>
      <c r="K1991" s="12" t="e">
        <f t="shared" si="127"/>
        <v>#VALUE!</v>
      </c>
      <c r="L1991" t="str">
        <f>MAIN!C1996</f>
        <v/>
      </c>
    </row>
    <row r="1992" spans="1:12" x14ac:dyDescent="0.3">
      <c r="A1992">
        <f>IF(J1992="0",0,IF(COUNTIF($J$2:J1992,J1992)=1,1,0))</f>
        <v>0</v>
      </c>
      <c r="B1992" s="12" t="e">
        <f>MID(MAIN!A1997,K1992,2)</f>
        <v>#VALUE!</v>
      </c>
      <c r="C1992" s="12" t="e">
        <f t="shared" si="124"/>
        <v>#VALUE!</v>
      </c>
      <c r="D1992" s="12" t="e">
        <f>MID(MAIN!A1997,K1992+2,2)</f>
        <v>#VALUE!</v>
      </c>
      <c r="E1992" s="12" t="e">
        <f>MID(MAIN!A1997,K1992+4,2)</f>
        <v>#VALUE!</v>
      </c>
      <c r="F1992" s="2" t="e">
        <f t="shared" si="125"/>
        <v>#VALUE!</v>
      </c>
      <c r="G1992" s="13" t="e">
        <f t="shared" si="126"/>
        <v>#VALUE!</v>
      </c>
      <c r="J1992" t="str">
        <f>MAIN!A1997&amp;"B"</f>
        <v>B</v>
      </c>
      <c r="K1992" s="12" t="e">
        <f t="shared" si="127"/>
        <v>#VALUE!</v>
      </c>
      <c r="L1992" t="str">
        <f>MAIN!C1997</f>
        <v/>
      </c>
    </row>
    <row r="1993" spans="1:12" x14ac:dyDescent="0.3">
      <c r="A1993">
        <f>IF(J1993="0",0,IF(COUNTIF($J$2:J1993,J1993)=1,1,0))</f>
        <v>0</v>
      </c>
      <c r="B1993" s="12" t="e">
        <f>MID(MAIN!A1998,K1993,2)</f>
        <v>#VALUE!</v>
      </c>
      <c r="C1993" s="12" t="e">
        <f t="shared" si="124"/>
        <v>#VALUE!</v>
      </c>
      <c r="D1993" s="12" t="e">
        <f>MID(MAIN!A1998,K1993+2,2)</f>
        <v>#VALUE!</v>
      </c>
      <c r="E1993" s="12" t="e">
        <f>MID(MAIN!A1998,K1993+4,2)</f>
        <v>#VALUE!</v>
      </c>
      <c r="F1993" s="2" t="e">
        <f t="shared" si="125"/>
        <v>#VALUE!</v>
      </c>
      <c r="G1993" s="13" t="e">
        <f t="shared" si="126"/>
        <v>#VALUE!</v>
      </c>
      <c r="J1993" t="str">
        <f>MAIN!A1998&amp;"B"</f>
        <v>B</v>
      </c>
      <c r="K1993" s="12" t="e">
        <f t="shared" si="127"/>
        <v>#VALUE!</v>
      </c>
      <c r="L1993" t="str">
        <f>MAIN!C1998</f>
        <v/>
      </c>
    </row>
    <row r="1994" spans="1:12" x14ac:dyDescent="0.3">
      <c r="A1994">
        <f>IF(J1994="0",0,IF(COUNTIF($J$2:J1994,J1994)=1,1,0))</f>
        <v>0</v>
      </c>
      <c r="B1994" s="12" t="e">
        <f>MID(MAIN!A1999,K1994,2)</f>
        <v>#VALUE!</v>
      </c>
      <c r="C1994" s="12" t="e">
        <f t="shared" si="124"/>
        <v>#VALUE!</v>
      </c>
      <c r="D1994" s="12" t="e">
        <f>MID(MAIN!A1999,K1994+2,2)</f>
        <v>#VALUE!</v>
      </c>
      <c r="E1994" s="12" t="e">
        <f>MID(MAIN!A1999,K1994+4,2)</f>
        <v>#VALUE!</v>
      </c>
      <c r="F1994" s="2" t="e">
        <f t="shared" si="125"/>
        <v>#VALUE!</v>
      </c>
      <c r="G1994" s="13" t="e">
        <f t="shared" si="126"/>
        <v>#VALUE!</v>
      </c>
      <c r="J1994" t="str">
        <f>MAIN!A1999&amp;"B"</f>
        <v>B</v>
      </c>
      <c r="K1994" s="12" t="e">
        <f t="shared" si="127"/>
        <v>#VALUE!</v>
      </c>
      <c r="L1994" t="str">
        <f>MAIN!C1999</f>
        <v/>
      </c>
    </row>
    <row r="1995" spans="1:12" x14ac:dyDescent="0.3">
      <c r="A1995">
        <f>IF(J1995="0",0,IF(COUNTIF($J$2:J1995,J1995)=1,1,0))</f>
        <v>0</v>
      </c>
      <c r="B1995" s="12" t="e">
        <f>MID(MAIN!A2000,K1995,2)</f>
        <v>#VALUE!</v>
      </c>
      <c r="C1995" s="12" t="e">
        <f t="shared" si="124"/>
        <v>#VALUE!</v>
      </c>
      <c r="D1995" s="12" t="e">
        <f>MID(MAIN!A2000,K1995+2,2)</f>
        <v>#VALUE!</v>
      </c>
      <c r="E1995" s="12" t="e">
        <f>MID(MAIN!A2000,K1995+4,2)</f>
        <v>#VALUE!</v>
      </c>
      <c r="F1995" s="2" t="e">
        <f t="shared" si="125"/>
        <v>#VALUE!</v>
      </c>
      <c r="G1995" s="13" t="e">
        <f t="shared" si="126"/>
        <v>#VALUE!</v>
      </c>
      <c r="J1995" t="str">
        <f>MAIN!A2000&amp;"B"</f>
        <v>B</v>
      </c>
      <c r="K1995" s="12" t="e">
        <f t="shared" si="127"/>
        <v>#VALUE!</v>
      </c>
      <c r="L1995" t="str">
        <f>MAIN!C2000</f>
        <v/>
      </c>
    </row>
    <row r="1996" spans="1:12" x14ac:dyDescent="0.3">
      <c r="A1996">
        <f>IF(J1996="0",0,IF(COUNTIF($J$2:J1996,J1996)=1,1,0))</f>
        <v>0</v>
      </c>
      <c r="B1996" s="12" t="e">
        <f>MID(MAIN!A2001,K1996,2)</f>
        <v>#VALUE!</v>
      </c>
      <c r="C1996" s="12" t="e">
        <f t="shared" si="124"/>
        <v>#VALUE!</v>
      </c>
      <c r="D1996" s="12" t="e">
        <f>MID(MAIN!A2001,K1996+2,2)</f>
        <v>#VALUE!</v>
      </c>
      <c r="E1996" s="12" t="e">
        <f>MID(MAIN!A2001,K1996+4,2)</f>
        <v>#VALUE!</v>
      </c>
      <c r="F1996" s="2" t="e">
        <f t="shared" si="125"/>
        <v>#VALUE!</v>
      </c>
      <c r="G1996" s="13" t="e">
        <f t="shared" si="126"/>
        <v>#VALUE!</v>
      </c>
      <c r="J1996" t="str">
        <f>MAIN!A2001&amp;"B"</f>
        <v>B</v>
      </c>
      <c r="K1996" s="12" t="e">
        <f t="shared" si="127"/>
        <v>#VALUE!</v>
      </c>
      <c r="L1996" t="str">
        <f>MAIN!C2001</f>
        <v/>
      </c>
    </row>
    <row r="1997" spans="1:12" x14ac:dyDescent="0.3">
      <c r="A1997">
        <f>IF(J1997="0",0,IF(COUNTIF($J$2:J1997,J1997)=1,1,0))</f>
        <v>0</v>
      </c>
      <c r="B1997" s="12" t="e">
        <f>MID(MAIN!A2002,K1997,2)</f>
        <v>#VALUE!</v>
      </c>
      <c r="C1997" s="12" t="e">
        <f t="shared" si="124"/>
        <v>#VALUE!</v>
      </c>
      <c r="D1997" s="12" t="e">
        <f>MID(MAIN!A2002,K1997+2,2)</f>
        <v>#VALUE!</v>
      </c>
      <c r="E1997" s="12" t="e">
        <f>MID(MAIN!A2002,K1997+4,2)</f>
        <v>#VALUE!</v>
      </c>
      <c r="F1997" s="2" t="e">
        <f t="shared" si="125"/>
        <v>#VALUE!</v>
      </c>
      <c r="G1997" s="13" t="e">
        <f t="shared" si="126"/>
        <v>#VALUE!</v>
      </c>
      <c r="J1997" t="str">
        <f>MAIN!A2002&amp;"B"</f>
        <v>B</v>
      </c>
      <c r="K1997" s="12" t="e">
        <f t="shared" si="127"/>
        <v>#VALUE!</v>
      </c>
      <c r="L1997" t="str">
        <f>MAIN!C2002</f>
        <v/>
      </c>
    </row>
    <row r="1998" spans="1:12" x14ac:dyDescent="0.3">
      <c r="A1998">
        <f>IF(J1998="0",0,IF(COUNTIF($J$2:J1998,J1998)=1,1,0))</f>
        <v>0</v>
      </c>
      <c r="B1998" s="12" t="e">
        <f>MID(MAIN!A2003,K1998,2)</f>
        <v>#VALUE!</v>
      </c>
      <c r="C1998" s="12" t="e">
        <f t="shared" si="124"/>
        <v>#VALUE!</v>
      </c>
      <c r="D1998" s="12" t="e">
        <f>MID(MAIN!A2003,K1998+2,2)</f>
        <v>#VALUE!</v>
      </c>
      <c r="E1998" s="12" t="e">
        <f>MID(MAIN!A2003,K1998+4,2)</f>
        <v>#VALUE!</v>
      </c>
      <c r="F1998" s="2" t="e">
        <f t="shared" si="125"/>
        <v>#VALUE!</v>
      </c>
      <c r="G1998" s="13" t="e">
        <f t="shared" si="126"/>
        <v>#VALUE!</v>
      </c>
      <c r="J1998" t="str">
        <f>MAIN!A2003&amp;"B"</f>
        <v>B</v>
      </c>
      <c r="K1998" s="12" t="e">
        <f t="shared" si="127"/>
        <v>#VALUE!</v>
      </c>
      <c r="L1998" t="str">
        <f>MAIN!C2003</f>
        <v/>
      </c>
    </row>
    <row r="1999" spans="1:12" x14ac:dyDescent="0.3">
      <c r="A1999">
        <f>IF(J1999="0",0,IF(COUNTIF($J$2:J1999,J1999)=1,1,0))</f>
        <v>0</v>
      </c>
      <c r="B1999" s="12" t="e">
        <f>MID(MAIN!A2004,K1999,2)</f>
        <v>#VALUE!</v>
      </c>
      <c r="C1999" s="12" t="e">
        <f t="shared" si="124"/>
        <v>#VALUE!</v>
      </c>
      <c r="D1999" s="12" t="e">
        <f>MID(MAIN!A2004,K1999+2,2)</f>
        <v>#VALUE!</v>
      </c>
      <c r="E1999" s="12" t="e">
        <f>MID(MAIN!A2004,K1999+4,2)</f>
        <v>#VALUE!</v>
      </c>
      <c r="F1999" s="2" t="e">
        <f t="shared" si="125"/>
        <v>#VALUE!</v>
      </c>
      <c r="G1999" s="13" t="e">
        <f t="shared" si="126"/>
        <v>#VALUE!</v>
      </c>
      <c r="J1999" t="str">
        <f>MAIN!A2004&amp;"B"</f>
        <v>B</v>
      </c>
      <c r="K1999" s="12" t="e">
        <f t="shared" si="127"/>
        <v>#VALUE!</v>
      </c>
      <c r="L1999" t="str">
        <f>MAIN!C2004</f>
        <v/>
      </c>
    </row>
    <row r="2000" spans="1:12" x14ac:dyDescent="0.3">
      <c r="A2000">
        <f>IF(J2000="0",0,IF(COUNTIF($J$2:J2000,J2000)=1,1,0))</f>
        <v>0</v>
      </c>
      <c r="B2000" s="12" t="e">
        <f>MID(MAIN!A2005,K2000,2)</f>
        <v>#VALUE!</v>
      </c>
      <c r="C2000" s="12" t="e">
        <f t="shared" si="124"/>
        <v>#VALUE!</v>
      </c>
      <c r="D2000" s="12" t="e">
        <f>MID(MAIN!A2005,K2000+2,2)</f>
        <v>#VALUE!</v>
      </c>
      <c r="E2000" s="12" t="e">
        <f>MID(MAIN!A2005,K2000+4,2)</f>
        <v>#VALUE!</v>
      </c>
      <c r="F2000" s="2" t="e">
        <f t="shared" si="125"/>
        <v>#VALUE!</v>
      </c>
      <c r="G2000" s="13" t="e">
        <f t="shared" si="126"/>
        <v>#VALUE!</v>
      </c>
      <c r="J2000" t="str">
        <f>MAIN!A2005&amp;"B"</f>
        <v>B</v>
      </c>
      <c r="K2000" s="12" t="e">
        <f t="shared" si="127"/>
        <v>#VALUE!</v>
      </c>
      <c r="L2000" t="str">
        <f>MAIN!C2005</f>
        <v/>
      </c>
    </row>
    <row r="2001" spans="1:12" x14ac:dyDescent="0.3">
      <c r="A2001">
        <f>IF(J2001="0",0,IF(COUNTIF($J$2:J2001,J2001)=1,1,0))</f>
        <v>0</v>
      </c>
      <c r="B2001" s="12" t="e">
        <f>MID(MAIN!A2006,K2001,2)</f>
        <v>#VALUE!</v>
      </c>
      <c r="C2001" s="12" t="e">
        <f t="shared" si="124"/>
        <v>#VALUE!</v>
      </c>
      <c r="D2001" s="12" t="e">
        <f>MID(MAIN!A2006,K2001+2,2)</f>
        <v>#VALUE!</v>
      </c>
      <c r="E2001" s="12" t="e">
        <f>MID(MAIN!A2006,K2001+4,2)</f>
        <v>#VALUE!</v>
      </c>
      <c r="F2001" s="2" t="e">
        <f t="shared" si="125"/>
        <v>#VALUE!</v>
      </c>
      <c r="G2001" s="13" t="e">
        <f t="shared" si="126"/>
        <v>#VALUE!</v>
      </c>
      <c r="J2001" t="str">
        <f>MAIN!A2006&amp;"B"</f>
        <v>B</v>
      </c>
      <c r="K2001" s="12" t="e">
        <f t="shared" si="127"/>
        <v>#VALUE!</v>
      </c>
      <c r="L2001" t="str">
        <f>MAIN!C2006</f>
        <v/>
      </c>
    </row>
    <row r="2002" spans="1:12" x14ac:dyDescent="0.3">
      <c r="A2002">
        <f>IF(J2002="0",0,IF(COUNTIF($J$2:J2002,J2002)=1,1,0))</f>
        <v>0</v>
      </c>
      <c r="B2002" s="12" t="e">
        <f>MID(MAIN!A2007,K2002,2)</f>
        <v>#VALUE!</v>
      </c>
      <c r="C2002" s="12" t="e">
        <f t="shared" si="124"/>
        <v>#VALUE!</v>
      </c>
      <c r="D2002" s="12" t="e">
        <f>MID(MAIN!A2007,K2002+2,2)</f>
        <v>#VALUE!</v>
      </c>
      <c r="E2002" s="12" t="e">
        <f>MID(MAIN!A2007,K2002+4,2)</f>
        <v>#VALUE!</v>
      </c>
      <c r="F2002" s="2" t="e">
        <f t="shared" si="125"/>
        <v>#VALUE!</v>
      </c>
      <c r="G2002" s="13" t="e">
        <f t="shared" si="126"/>
        <v>#VALUE!</v>
      </c>
      <c r="J2002" t="str">
        <f>MAIN!A2007&amp;"B"</f>
        <v>B</v>
      </c>
      <c r="K2002" s="12" t="e">
        <f t="shared" si="127"/>
        <v>#VALUE!</v>
      </c>
      <c r="L2002" t="str">
        <f>MAIN!C2007</f>
        <v/>
      </c>
    </row>
    <row r="2003" spans="1:12" x14ac:dyDescent="0.3">
      <c r="A2003">
        <f>IF(J2003="0",0,IF(COUNTIF($J$2:J2003,J2003)=1,1,0))</f>
        <v>0</v>
      </c>
      <c r="B2003" s="12" t="e">
        <f>MID(MAIN!A2008,K2003,2)</f>
        <v>#VALUE!</v>
      </c>
      <c r="C2003" s="12" t="e">
        <f t="shared" si="124"/>
        <v>#VALUE!</v>
      </c>
      <c r="D2003" s="12" t="e">
        <f>MID(MAIN!A2008,K2003+2,2)</f>
        <v>#VALUE!</v>
      </c>
      <c r="E2003" s="12" t="e">
        <f>MID(MAIN!A2008,K2003+4,2)</f>
        <v>#VALUE!</v>
      </c>
      <c r="F2003" s="2" t="e">
        <f t="shared" si="125"/>
        <v>#VALUE!</v>
      </c>
      <c r="G2003" s="13" t="e">
        <f t="shared" si="126"/>
        <v>#VALUE!</v>
      </c>
      <c r="J2003" t="str">
        <f>MAIN!A2008&amp;"B"</f>
        <v>B</v>
      </c>
      <c r="K2003" s="12" t="e">
        <f t="shared" si="127"/>
        <v>#VALUE!</v>
      </c>
      <c r="L2003" t="str">
        <f>MAIN!C2008</f>
        <v/>
      </c>
    </row>
    <row r="2004" spans="1:12" x14ac:dyDescent="0.3">
      <c r="A2004">
        <f>IF(J2004="0",0,IF(COUNTIF($J$2:J2004,J2004)=1,1,0))</f>
        <v>0</v>
      </c>
      <c r="B2004" s="12" t="e">
        <f>MID(MAIN!A2009,K2004,2)</f>
        <v>#VALUE!</v>
      </c>
      <c r="C2004" s="12" t="e">
        <f t="shared" si="124"/>
        <v>#VALUE!</v>
      </c>
      <c r="D2004" s="12" t="e">
        <f>MID(MAIN!A2009,K2004+2,2)</f>
        <v>#VALUE!</v>
      </c>
      <c r="E2004" s="12" t="e">
        <f>MID(MAIN!A2009,K2004+4,2)</f>
        <v>#VALUE!</v>
      </c>
      <c r="F2004" s="2" t="e">
        <f t="shared" si="125"/>
        <v>#VALUE!</v>
      </c>
      <c r="G2004" s="13" t="e">
        <f t="shared" si="126"/>
        <v>#VALUE!</v>
      </c>
      <c r="J2004" t="str">
        <f>MAIN!A2009&amp;"B"</f>
        <v>B</v>
      </c>
      <c r="K2004" s="12" t="e">
        <f t="shared" si="127"/>
        <v>#VALUE!</v>
      </c>
      <c r="L2004" t="str">
        <f>MAIN!C2009</f>
        <v/>
      </c>
    </row>
    <row r="2005" spans="1:12" x14ac:dyDescent="0.3">
      <c r="A2005">
        <f>IF(J2005="0",0,IF(COUNTIF($J$2:J2005,J2005)=1,1,0))</f>
        <v>0</v>
      </c>
      <c r="B2005" s="12" t="e">
        <f>MID(MAIN!A2010,K2005,2)</f>
        <v>#VALUE!</v>
      </c>
      <c r="C2005" s="12" t="e">
        <f t="shared" si="124"/>
        <v>#VALUE!</v>
      </c>
      <c r="D2005" s="12" t="e">
        <f>MID(MAIN!A2010,K2005+2,2)</f>
        <v>#VALUE!</v>
      </c>
      <c r="E2005" s="12" t="e">
        <f>MID(MAIN!A2010,K2005+4,2)</f>
        <v>#VALUE!</v>
      </c>
      <c r="F2005" s="2" t="e">
        <f t="shared" si="125"/>
        <v>#VALUE!</v>
      </c>
      <c r="G2005" s="13" t="e">
        <f t="shared" si="126"/>
        <v>#VALUE!</v>
      </c>
      <c r="J2005" t="str">
        <f>MAIN!A2010&amp;"B"</f>
        <v>B</v>
      </c>
      <c r="K2005" s="12" t="e">
        <f t="shared" si="127"/>
        <v>#VALUE!</v>
      </c>
      <c r="L2005" t="str">
        <f>MAIN!C2010</f>
        <v/>
      </c>
    </row>
    <row r="2006" spans="1:12" x14ac:dyDescent="0.3">
      <c r="A2006">
        <f>IF(J2006="0",0,IF(COUNTIF($J$2:J2006,J2006)=1,1,0))</f>
        <v>0</v>
      </c>
      <c r="B2006" s="12" t="e">
        <f>MID(MAIN!A2011,K2006,2)</f>
        <v>#VALUE!</v>
      </c>
      <c r="C2006" s="12" t="e">
        <f t="shared" si="124"/>
        <v>#VALUE!</v>
      </c>
      <c r="D2006" s="12" t="e">
        <f>MID(MAIN!A2011,K2006+2,2)</f>
        <v>#VALUE!</v>
      </c>
      <c r="E2006" s="12" t="e">
        <f>MID(MAIN!A2011,K2006+4,2)</f>
        <v>#VALUE!</v>
      </c>
      <c r="F2006" s="2" t="e">
        <f t="shared" si="125"/>
        <v>#VALUE!</v>
      </c>
      <c r="G2006" s="13" t="e">
        <f t="shared" si="126"/>
        <v>#VALUE!</v>
      </c>
      <c r="J2006" t="str">
        <f>MAIN!A2011&amp;"B"</f>
        <v>B</v>
      </c>
      <c r="K2006" s="12" t="e">
        <f t="shared" si="127"/>
        <v>#VALUE!</v>
      </c>
      <c r="L2006" t="str">
        <f>MAIN!C2011</f>
        <v/>
      </c>
    </row>
    <row r="2007" spans="1:12" x14ac:dyDescent="0.3">
      <c r="A2007">
        <f>IF(J2007="0",0,IF(COUNTIF($J$2:J2007,J2007)=1,1,0))</f>
        <v>0</v>
      </c>
      <c r="B2007" s="12" t="e">
        <f>MID(MAIN!A2012,K2007,2)</f>
        <v>#VALUE!</v>
      </c>
      <c r="C2007" s="12" t="e">
        <f t="shared" si="124"/>
        <v>#VALUE!</v>
      </c>
      <c r="D2007" s="12" t="e">
        <f>MID(MAIN!A2012,K2007+2,2)</f>
        <v>#VALUE!</v>
      </c>
      <c r="E2007" s="12" t="e">
        <f>MID(MAIN!A2012,K2007+4,2)</f>
        <v>#VALUE!</v>
      </c>
      <c r="F2007" s="2" t="e">
        <f t="shared" si="125"/>
        <v>#VALUE!</v>
      </c>
      <c r="G2007" s="13" t="e">
        <f t="shared" si="126"/>
        <v>#VALUE!</v>
      </c>
      <c r="J2007" t="str">
        <f>MAIN!A2012&amp;"B"</f>
        <v>B</v>
      </c>
      <c r="K2007" s="12" t="e">
        <f t="shared" si="127"/>
        <v>#VALUE!</v>
      </c>
      <c r="L2007" t="str">
        <f>MAIN!C2012</f>
        <v/>
      </c>
    </row>
    <row r="2008" spans="1:12" x14ac:dyDescent="0.3">
      <c r="A2008">
        <f>IF(J2008="0",0,IF(COUNTIF($J$2:J2008,J2008)=1,1,0))</f>
        <v>0</v>
      </c>
      <c r="B2008" s="12" t="e">
        <f>MID(MAIN!A2013,K2008,2)</f>
        <v>#VALUE!</v>
      </c>
      <c r="C2008" s="12" t="e">
        <f t="shared" si="124"/>
        <v>#VALUE!</v>
      </c>
      <c r="D2008" s="12" t="e">
        <f>MID(MAIN!A2013,K2008+2,2)</f>
        <v>#VALUE!</v>
      </c>
      <c r="E2008" s="12" t="e">
        <f>MID(MAIN!A2013,K2008+4,2)</f>
        <v>#VALUE!</v>
      </c>
      <c r="F2008" s="2" t="e">
        <f t="shared" si="125"/>
        <v>#VALUE!</v>
      </c>
      <c r="G2008" s="13" t="e">
        <f t="shared" si="126"/>
        <v>#VALUE!</v>
      </c>
      <c r="J2008" t="str">
        <f>MAIN!A2013&amp;"B"</f>
        <v>B</v>
      </c>
      <c r="K2008" s="12" t="e">
        <f t="shared" si="127"/>
        <v>#VALUE!</v>
      </c>
      <c r="L2008" t="str">
        <f>MAIN!C2013</f>
        <v/>
      </c>
    </row>
    <row r="2009" spans="1:12" x14ac:dyDescent="0.3">
      <c r="A2009">
        <f>IF(J2009="0",0,IF(COUNTIF($J$2:J2009,J2009)=1,1,0))</f>
        <v>0</v>
      </c>
      <c r="B2009" s="12" t="e">
        <f>MID(MAIN!A2014,K2009,2)</f>
        <v>#VALUE!</v>
      </c>
      <c r="C2009" s="12" t="e">
        <f t="shared" si="124"/>
        <v>#VALUE!</v>
      </c>
      <c r="D2009" s="12" t="e">
        <f>MID(MAIN!A2014,K2009+2,2)</f>
        <v>#VALUE!</v>
      </c>
      <c r="E2009" s="12" t="e">
        <f>MID(MAIN!A2014,K2009+4,2)</f>
        <v>#VALUE!</v>
      </c>
      <c r="F2009" s="2" t="e">
        <f t="shared" si="125"/>
        <v>#VALUE!</v>
      </c>
      <c r="G2009" s="13" t="e">
        <f t="shared" si="126"/>
        <v>#VALUE!</v>
      </c>
      <c r="J2009" t="str">
        <f>MAIN!A2014&amp;"B"</f>
        <v>B</v>
      </c>
      <c r="K2009" s="12" t="e">
        <f t="shared" si="127"/>
        <v>#VALUE!</v>
      </c>
      <c r="L2009" t="str">
        <f>MAIN!C2014</f>
        <v/>
      </c>
    </row>
    <row r="2010" spans="1:12" x14ac:dyDescent="0.3">
      <c r="A2010">
        <f>IF(J2010="0",0,IF(COUNTIF($J$2:J2010,J2010)=1,1,0))</f>
        <v>0</v>
      </c>
      <c r="B2010" s="12" t="e">
        <f>MID(MAIN!A2015,K2010,2)</f>
        <v>#VALUE!</v>
      </c>
      <c r="C2010" s="12" t="e">
        <f t="shared" si="124"/>
        <v>#VALUE!</v>
      </c>
      <c r="D2010" s="12" t="e">
        <f>MID(MAIN!A2015,K2010+2,2)</f>
        <v>#VALUE!</v>
      </c>
      <c r="E2010" s="12" t="e">
        <f>MID(MAIN!A2015,K2010+4,2)</f>
        <v>#VALUE!</v>
      </c>
      <c r="F2010" s="2" t="e">
        <f t="shared" si="125"/>
        <v>#VALUE!</v>
      </c>
      <c r="G2010" s="13" t="e">
        <f t="shared" si="126"/>
        <v>#VALUE!</v>
      </c>
      <c r="J2010" t="str">
        <f>MAIN!A2015&amp;"B"</f>
        <v>B</v>
      </c>
      <c r="K2010" s="12" t="e">
        <f t="shared" si="127"/>
        <v>#VALUE!</v>
      </c>
      <c r="L2010" t="str">
        <f>MAIN!C2015</f>
        <v/>
      </c>
    </row>
    <row r="2011" spans="1:12" x14ac:dyDescent="0.3">
      <c r="A2011">
        <f>IF(J2011="0",0,IF(COUNTIF($J$2:J2011,J2011)=1,1,0))</f>
        <v>0</v>
      </c>
      <c r="B2011" s="12" t="e">
        <f>MID(MAIN!A2016,K2011,2)</f>
        <v>#VALUE!</v>
      </c>
      <c r="C2011" s="12" t="e">
        <f t="shared" si="124"/>
        <v>#VALUE!</v>
      </c>
      <c r="D2011" s="12" t="e">
        <f>MID(MAIN!A2016,K2011+2,2)</f>
        <v>#VALUE!</v>
      </c>
      <c r="E2011" s="12" t="e">
        <f>MID(MAIN!A2016,K2011+4,2)</f>
        <v>#VALUE!</v>
      </c>
      <c r="F2011" s="2" t="e">
        <f t="shared" si="125"/>
        <v>#VALUE!</v>
      </c>
      <c r="G2011" s="13" t="e">
        <f t="shared" si="126"/>
        <v>#VALUE!</v>
      </c>
      <c r="J2011" t="str">
        <f>MAIN!A2016&amp;"B"</f>
        <v>B</v>
      </c>
      <c r="K2011" s="12" t="e">
        <f t="shared" si="127"/>
        <v>#VALUE!</v>
      </c>
      <c r="L2011" t="str">
        <f>MAIN!C2016</f>
        <v/>
      </c>
    </row>
    <row r="2012" spans="1:12" x14ac:dyDescent="0.3">
      <c r="A2012">
        <f>IF(J2012="0",0,IF(COUNTIF($J$2:J2012,J2012)=1,1,0))</f>
        <v>0</v>
      </c>
      <c r="B2012" s="12" t="e">
        <f>MID(MAIN!A2017,K2012,2)</f>
        <v>#VALUE!</v>
      </c>
      <c r="C2012" s="12" t="e">
        <f t="shared" si="124"/>
        <v>#VALUE!</v>
      </c>
      <c r="D2012" s="12" t="e">
        <f>MID(MAIN!A2017,K2012+2,2)</f>
        <v>#VALUE!</v>
      </c>
      <c r="E2012" s="12" t="e">
        <f>MID(MAIN!A2017,K2012+4,2)</f>
        <v>#VALUE!</v>
      </c>
      <c r="F2012" s="2" t="e">
        <f t="shared" si="125"/>
        <v>#VALUE!</v>
      </c>
      <c r="G2012" s="13" t="e">
        <f t="shared" si="126"/>
        <v>#VALUE!</v>
      </c>
      <c r="J2012" t="str">
        <f>MAIN!A2017&amp;"B"</f>
        <v>B</v>
      </c>
      <c r="K2012" s="12" t="e">
        <f t="shared" si="127"/>
        <v>#VALUE!</v>
      </c>
      <c r="L2012" t="str">
        <f>MAIN!C2017</f>
        <v/>
      </c>
    </row>
    <row r="2013" spans="1:12" x14ac:dyDescent="0.3">
      <c r="A2013">
        <f>IF(J2013="0",0,IF(COUNTIF($J$2:J2013,J2013)=1,1,0))</f>
        <v>0</v>
      </c>
      <c r="B2013" s="12" t="e">
        <f>MID(MAIN!A2018,K2013,2)</f>
        <v>#VALUE!</v>
      </c>
      <c r="C2013" s="12" t="e">
        <f t="shared" si="124"/>
        <v>#VALUE!</v>
      </c>
      <c r="D2013" s="12" t="e">
        <f>MID(MAIN!A2018,K2013+2,2)</f>
        <v>#VALUE!</v>
      </c>
      <c r="E2013" s="12" t="e">
        <f>MID(MAIN!A2018,K2013+4,2)</f>
        <v>#VALUE!</v>
      </c>
      <c r="F2013" s="2" t="e">
        <f t="shared" si="125"/>
        <v>#VALUE!</v>
      </c>
      <c r="G2013" s="13" t="e">
        <f t="shared" si="126"/>
        <v>#VALUE!</v>
      </c>
      <c r="J2013" t="str">
        <f>MAIN!A2018&amp;"B"</f>
        <v>B</v>
      </c>
      <c r="K2013" s="12" t="e">
        <f t="shared" si="127"/>
        <v>#VALUE!</v>
      </c>
      <c r="L2013" t="str">
        <f>MAIN!C2018</f>
        <v/>
      </c>
    </row>
    <row r="2014" spans="1:12" x14ac:dyDescent="0.3">
      <c r="A2014">
        <f>IF(J2014="0",0,IF(COUNTIF($J$2:J2014,J2014)=1,1,0))</f>
        <v>0</v>
      </c>
      <c r="B2014" s="12" t="e">
        <f>MID(MAIN!A2019,K2014,2)</f>
        <v>#VALUE!</v>
      </c>
      <c r="C2014" s="12" t="e">
        <f t="shared" si="124"/>
        <v>#VALUE!</v>
      </c>
      <c r="D2014" s="12" t="e">
        <f>MID(MAIN!A2019,K2014+2,2)</f>
        <v>#VALUE!</v>
      </c>
      <c r="E2014" s="12" t="e">
        <f>MID(MAIN!A2019,K2014+4,2)</f>
        <v>#VALUE!</v>
      </c>
      <c r="F2014" s="2" t="e">
        <f t="shared" si="125"/>
        <v>#VALUE!</v>
      </c>
      <c r="G2014" s="13" t="e">
        <f t="shared" si="126"/>
        <v>#VALUE!</v>
      </c>
      <c r="J2014" t="str">
        <f>MAIN!A2019&amp;"B"</f>
        <v>B</v>
      </c>
      <c r="K2014" s="12" t="e">
        <f t="shared" si="127"/>
        <v>#VALUE!</v>
      </c>
      <c r="L2014" t="str">
        <f>MAIN!C2019</f>
        <v/>
      </c>
    </row>
    <row r="2015" spans="1:12" x14ac:dyDescent="0.3">
      <c r="A2015">
        <f>IF(J2015="0",0,IF(COUNTIF($J$2:J2015,J2015)=1,1,0))</f>
        <v>0</v>
      </c>
      <c r="B2015" s="12" t="e">
        <f>MID(MAIN!A2020,K2015,2)</f>
        <v>#VALUE!</v>
      </c>
      <c r="C2015" s="12" t="e">
        <f t="shared" si="124"/>
        <v>#VALUE!</v>
      </c>
      <c r="D2015" s="12" t="e">
        <f>MID(MAIN!A2020,K2015+2,2)</f>
        <v>#VALUE!</v>
      </c>
      <c r="E2015" s="12" t="e">
        <f>MID(MAIN!A2020,K2015+4,2)</f>
        <v>#VALUE!</v>
      </c>
      <c r="F2015" s="2" t="e">
        <f t="shared" si="125"/>
        <v>#VALUE!</v>
      </c>
      <c r="G2015" s="13" t="e">
        <f t="shared" si="126"/>
        <v>#VALUE!</v>
      </c>
      <c r="J2015" t="str">
        <f>MAIN!A2020&amp;"B"</f>
        <v>B</v>
      </c>
      <c r="K2015" s="12" t="e">
        <f t="shared" si="127"/>
        <v>#VALUE!</v>
      </c>
      <c r="L2015" t="str">
        <f>MAIN!C2020</f>
        <v/>
      </c>
    </row>
    <row r="2016" spans="1:12" x14ac:dyDescent="0.3">
      <c r="A2016">
        <f>IF(J2016="0",0,IF(COUNTIF($J$2:J2016,J2016)=1,1,0))</f>
        <v>0</v>
      </c>
      <c r="B2016" s="12" t="e">
        <f>MID(MAIN!A2021,K2016,2)</f>
        <v>#VALUE!</v>
      </c>
      <c r="C2016" s="12" t="e">
        <f t="shared" si="124"/>
        <v>#VALUE!</v>
      </c>
      <c r="D2016" s="12" t="e">
        <f>MID(MAIN!A2021,K2016+2,2)</f>
        <v>#VALUE!</v>
      </c>
      <c r="E2016" s="12" t="e">
        <f>MID(MAIN!A2021,K2016+4,2)</f>
        <v>#VALUE!</v>
      </c>
      <c r="F2016" s="2" t="e">
        <f t="shared" si="125"/>
        <v>#VALUE!</v>
      </c>
      <c r="G2016" s="13" t="e">
        <f t="shared" si="126"/>
        <v>#VALUE!</v>
      </c>
      <c r="J2016" t="str">
        <f>MAIN!A2021&amp;"B"</f>
        <v>B</v>
      </c>
      <c r="K2016" s="12" t="e">
        <f t="shared" si="127"/>
        <v>#VALUE!</v>
      </c>
      <c r="L2016" t="str">
        <f>MAIN!C2021</f>
        <v/>
      </c>
    </row>
    <row r="2017" spans="1:12" x14ac:dyDescent="0.3">
      <c r="A2017">
        <f>IF(J2017="0",0,IF(COUNTIF($J$2:J2017,J2017)=1,1,0))</f>
        <v>0</v>
      </c>
      <c r="B2017" s="12" t="e">
        <f>MID(MAIN!A2022,K2017,2)</f>
        <v>#VALUE!</v>
      </c>
      <c r="C2017" s="12" t="e">
        <f t="shared" si="124"/>
        <v>#VALUE!</v>
      </c>
      <c r="D2017" s="12" t="e">
        <f>MID(MAIN!A2022,K2017+2,2)</f>
        <v>#VALUE!</v>
      </c>
      <c r="E2017" s="12" t="e">
        <f>MID(MAIN!A2022,K2017+4,2)</f>
        <v>#VALUE!</v>
      </c>
      <c r="F2017" s="2" t="e">
        <f t="shared" si="125"/>
        <v>#VALUE!</v>
      </c>
      <c r="G2017" s="13" t="e">
        <f t="shared" si="126"/>
        <v>#VALUE!</v>
      </c>
      <c r="J2017" t="str">
        <f>MAIN!A2022&amp;"B"</f>
        <v>B</v>
      </c>
      <c r="K2017" s="12" t="e">
        <f t="shared" si="127"/>
        <v>#VALUE!</v>
      </c>
      <c r="L2017" t="str">
        <f>MAIN!C2022</f>
        <v/>
      </c>
    </row>
    <row r="2018" spans="1:12" x14ac:dyDescent="0.3">
      <c r="A2018">
        <f>IF(J2018="0",0,IF(COUNTIF($J$2:J2018,J2018)=1,1,0))</f>
        <v>0</v>
      </c>
      <c r="B2018" s="12" t="e">
        <f>MID(MAIN!A2023,K2018,2)</f>
        <v>#VALUE!</v>
      </c>
      <c r="C2018" s="12" t="e">
        <f t="shared" si="124"/>
        <v>#VALUE!</v>
      </c>
      <c r="D2018" s="12" t="e">
        <f>MID(MAIN!A2023,K2018+2,2)</f>
        <v>#VALUE!</v>
      </c>
      <c r="E2018" s="12" t="e">
        <f>MID(MAIN!A2023,K2018+4,2)</f>
        <v>#VALUE!</v>
      </c>
      <c r="F2018" s="2" t="e">
        <f t="shared" si="125"/>
        <v>#VALUE!</v>
      </c>
      <c r="G2018" s="13" t="e">
        <f t="shared" si="126"/>
        <v>#VALUE!</v>
      </c>
      <c r="J2018" t="str">
        <f>MAIN!A2023&amp;"B"</f>
        <v>B</v>
      </c>
      <c r="K2018" s="12" t="e">
        <f t="shared" si="127"/>
        <v>#VALUE!</v>
      </c>
      <c r="L2018" t="str">
        <f>MAIN!C2023</f>
        <v/>
      </c>
    </row>
    <row r="2019" spans="1:12" x14ac:dyDescent="0.3">
      <c r="A2019">
        <f>IF(J2019="0",0,IF(COUNTIF($J$2:J2019,J2019)=1,1,0))</f>
        <v>0</v>
      </c>
      <c r="B2019" s="12" t="e">
        <f>MID(MAIN!A2024,K2019,2)</f>
        <v>#VALUE!</v>
      </c>
      <c r="C2019" s="12" t="e">
        <f t="shared" si="124"/>
        <v>#VALUE!</v>
      </c>
      <c r="D2019" s="12" t="e">
        <f>MID(MAIN!A2024,K2019+2,2)</f>
        <v>#VALUE!</v>
      </c>
      <c r="E2019" s="12" t="e">
        <f>MID(MAIN!A2024,K2019+4,2)</f>
        <v>#VALUE!</v>
      </c>
      <c r="F2019" s="2" t="e">
        <f t="shared" si="125"/>
        <v>#VALUE!</v>
      </c>
      <c r="G2019" s="13" t="e">
        <f t="shared" si="126"/>
        <v>#VALUE!</v>
      </c>
      <c r="J2019" t="str">
        <f>MAIN!A2024&amp;"B"</f>
        <v>B</v>
      </c>
      <c r="K2019" s="12" t="e">
        <f t="shared" si="127"/>
        <v>#VALUE!</v>
      </c>
      <c r="L2019" t="str">
        <f>MAIN!C2024</f>
        <v/>
      </c>
    </row>
    <row r="2020" spans="1:12" x14ac:dyDescent="0.3">
      <c r="A2020">
        <f>IF(J2020="0",0,IF(COUNTIF($J$2:J2020,J2020)=1,1,0))</f>
        <v>0</v>
      </c>
      <c r="B2020" s="12" t="e">
        <f>MID(MAIN!A2025,K2020,2)</f>
        <v>#VALUE!</v>
      </c>
      <c r="C2020" s="12" t="e">
        <f t="shared" si="124"/>
        <v>#VALUE!</v>
      </c>
      <c r="D2020" s="12" t="e">
        <f>MID(MAIN!A2025,K2020+2,2)</f>
        <v>#VALUE!</v>
      </c>
      <c r="E2020" s="12" t="e">
        <f>MID(MAIN!A2025,K2020+4,2)</f>
        <v>#VALUE!</v>
      </c>
      <c r="F2020" s="2" t="e">
        <f t="shared" si="125"/>
        <v>#VALUE!</v>
      </c>
      <c r="G2020" s="13" t="e">
        <f t="shared" si="126"/>
        <v>#VALUE!</v>
      </c>
      <c r="J2020" t="str">
        <f>MAIN!A2025&amp;"B"</f>
        <v>B</v>
      </c>
      <c r="K2020" s="12" t="e">
        <f t="shared" si="127"/>
        <v>#VALUE!</v>
      </c>
      <c r="L2020" t="str">
        <f>MAIN!C2025</f>
        <v/>
      </c>
    </row>
    <row r="2021" spans="1:12" x14ac:dyDescent="0.3">
      <c r="A2021">
        <f>IF(J2021="0",0,IF(COUNTIF($J$2:J2021,J2021)=1,1,0))</f>
        <v>0</v>
      </c>
      <c r="B2021" s="12" t="e">
        <f>MID(MAIN!A2026,K2021,2)</f>
        <v>#VALUE!</v>
      </c>
      <c r="C2021" s="12" t="e">
        <f t="shared" si="124"/>
        <v>#VALUE!</v>
      </c>
      <c r="D2021" s="12" t="e">
        <f>MID(MAIN!A2026,K2021+2,2)</f>
        <v>#VALUE!</v>
      </c>
      <c r="E2021" s="12" t="e">
        <f>MID(MAIN!A2026,K2021+4,2)</f>
        <v>#VALUE!</v>
      </c>
      <c r="F2021" s="2" t="e">
        <f t="shared" si="125"/>
        <v>#VALUE!</v>
      </c>
      <c r="G2021" s="13" t="e">
        <f t="shared" si="126"/>
        <v>#VALUE!</v>
      </c>
      <c r="J2021" t="str">
        <f>MAIN!A2026&amp;"B"</f>
        <v>B</v>
      </c>
      <c r="K2021" s="12" t="e">
        <f t="shared" si="127"/>
        <v>#VALUE!</v>
      </c>
      <c r="L2021" t="str">
        <f>MAIN!C2026</f>
        <v/>
      </c>
    </row>
    <row r="2022" spans="1:12" x14ac:dyDescent="0.3">
      <c r="A2022">
        <f>IF(J2022="0",0,IF(COUNTIF($J$2:J2022,J2022)=1,1,0))</f>
        <v>0</v>
      </c>
      <c r="B2022" s="12" t="e">
        <f>MID(MAIN!A2027,K2022,2)</f>
        <v>#VALUE!</v>
      </c>
      <c r="C2022" s="12" t="e">
        <f t="shared" si="124"/>
        <v>#VALUE!</v>
      </c>
      <c r="D2022" s="12" t="e">
        <f>MID(MAIN!A2027,K2022+2,2)</f>
        <v>#VALUE!</v>
      </c>
      <c r="E2022" s="12" t="e">
        <f>MID(MAIN!A2027,K2022+4,2)</f>
        <v>#VALUE!</v>
      </c>
      <c r="F2022" s="2" t="e">
        <f t="shared" si="125"/>
        <v>#VALUE!</v>
      </c>
      <c r="G2022" s="13" t="e">
        <f t="shared" si="126"/>
        <v>#VALUE!</v>
      </c>
      <c r="J2022" t="str">
        <f>MAIN!A2027&amp;"B"</f>
        <v>B</v>
      </c>
      <c r="K2022" s="12" t="e">
        <f t="shared" si="127"/>
        <v>#VALUE!</v>
      </c>
      <c r="L2022" t="str">
        <f>MAIN!C2027</f>
        <v/>
      </c>
    </row>
    <row r="2023" spans="1:12" x14ac:dyDescent="0.3">
      <c r="A2023">
        <f>IF(J2023="0",0,IF(COUNTIF($J$2:J2023,J2023)=1,1,0))</f>
        <v>0</v>
      </c>
      <c r="B2023" s="12" t="e">
        <f>MID(MAIN!A2028,K2023,2)</f>
        <v>#VALUE!</v>
      </c>
      <c r="C2023" s="12" t="e">
        <f t="shared" si="124"/>
        <v>#VALUE!</v>
      </c>
      <c r="D2023" s="12" t="e">
        <f>MID(MAIN!A2028,K2023+2,2)</f>
        <v>#VALUE!</v>
      </c>
      <c r="E2023" s="12" t="e">
        <f>MID(MAIN!A2028,K2023+4,2)</f>
        <v>#VALUE!</v>
      </c>
      <c r="F2023" s="2" t="e">
        <f t="shared" si="125"/>
        <v>#VALUE!</v>
      </c>
      <c r="G2023" s="13" t="e">
        <f t="shared" si="126"/>
        <v>#VALUE!</v>
      </c>
      <c r="J2023" t="str">
        <f>MAIN!A2028&amp;"B"</f>
        <v>B</v>
      </c>
      <c r="K2023" s="12" t="e">
        <f t="shared" si="127"/>
        <v>#VALUE!</v>
      </c>
      <c r="L2023" t="str">
        <f>MAIN!C2028</f>
        <v/>
      </c>
    </row>
    <row r="2024" spans="1:12" x14ac:dyDescent="0.3">
      <c r="A2024">
        <f>IF(J2024="0",0,IF(COUNTIF($J$2:J2024,J2024)=1,1,0))</f>
        <v>0</v>
      </c>
      <c r="B2024" s="12" t="e">
        <f>MID(MAIN!A2029,K2024,2)</f>
        <v>#VALUE!</v>
      </c>
      <c r="C2024" s="12" t="e">
        <f t="shared" si="124"/>
        <v>#VALUE!</v>
      </c>
      <c r="D2024" s="12" t="e">
        <f>MID(MAIN!A2029,K2024+2,2)</f>
        <v>#VALUE!</v>
      </c>
      <c r="E2024" s="12" t="e">
        <f>MID(MAIN!A2029,K2024+4,2)</f>
        <v>#VALUE!</v>
      </c>
      <c r="F2024" s="2" t="e">
        <f t="shared" si="125"/>
        <v>#VALUE!</v>
      </c>
      <c r="G2024" s="13" t="e">
        <f t="shared" si="126"/>
        <v>#VALUE!</v>
      </c>
      <c r="J2024" t="str">
        <f>MAIN!A2029&amp;"B"</f>
        <v>B</v>
      </c>
      <c r="K2024" s="12" t="e">
        <f t="shared" si="127"/>
        <v>#VALUE!</v>
      </c>
      <c r="L2024" t="str">
        <f>MAIN!C2029</f>
        <v/>
      </c>
    </row>
    <row r="2025" spans="1:12" x14ac:dyDescent="0.3">
      <c r="A2025">
        <f>IF(J2025="0",0,IF(COUNTIF($J$2:J2025,J2025)=1,1,0))</f>
        <v>0</v>
      </c>
      <c r="B2025" s="12" t="e">
        <f>MID(MAIN!A2030,K2025,2)</f>
        <v>#VALUE!</v>
      </c>
      <c r="C2025" s="12" t="e">
        <f t="shared" si="124"/>
        <v>#VALUE!</v>
      </c>
      <c r="D2025" s="12" t="e">
        <f>MID(MAIN!A2030,K2025+2,2)</f>
        <v>#VALUE!</v>
      </c>
      <c r="E2025" s="12" t="e">
        <f>MID(MAIN!A2030,K2025+4,2)</f>
        <v>#VALUE!</v>
      </c>
      <c r="F2025" s="2" t="e">
        <f t="shared" si="125"/>
        <v>#VALUE!</v>
      </c>
      <c r="G2025" s="13" t="e">
        <f t="shared" si="126"/>
        <v>#VALUE!</v>
      </c>
      <c r="J2025" t="str">
        <f>MAIN!A2030&amp;"B"</f>
        <v>B</v>
      </c>
      <c r="K2025" s="12" t="e">
        <f t="shared" si="127"/>
        <v>#VALUE!</v>
      </c>
      <c r="L2025" t="str">
        <f>MAIN!C2030</f>
        <v/>
      </c>
    </row>
    <row r="2026" spans="1:12" x14ac:dyDescent="0.3">
      <c r="A2026">
        <f>IF(J2026="0",0,IF(COUNTIF($J$2:J2026,J2026)=1,1,0))</f>
        <v>0</v>
      </c>
      <c r="B2026" s="12" t="e">
        <f>MID(MAIN!A2031,K2026,2)</f>
        <v>#VALUE!</v>
      </c>
      <c r="C2026" s="12" t="e">
        <f t="shared" si="124"/>
        <v>#VALUE!</v>
      </c>
      <c r="D2026" s="12" t="e">
        <f>MID(MAIN!A2031,K2026+2,2)</f>
        <v>#VALUE!</v>
      </c>
      <c r="E2026" s="12" t="e">
        <f>MID(MAIN!A2031,K2026+4,2)</f>
        <v>#VALUE!</v>
      </c>
      <c r="F2026" s="2" t="e">
        <f t="shared" si="125"/>
        <v>#VALUE!</v>
      </c>
      <c r="G2026" s="13" t="e">
        <f t="shared" si="126"/>
        <v>#VALUE!</v>
      </c>
      <c r="J2026" t="str">
        <f>MAIN!A2031&amp;"B"</f>
        <v>B</v>
      </c>
      <c r="K2026" s="12" t="e">
        <f t="shared" si="127"/>
        <v>#VALUE!</v>
      </c>
      <c r="L2026" t="str">
        <f>MAIN!C2031</f>
        <v/>
      </c>
    </row>
    <row r="2027" spans="1:12" x14ac:dyDescent="0.3">
      <c r="A2027">
        <f>IF(J2027="0",0,IF(COUNTIF($J$2:J2027,J2027)=1,1,0))</f>
        <v>0</v>
      </c>
      <c r="B2027" s="12" t="e">
        <f>MID(MAIN!A2032,K2027,2)</f>
        <v>#VALUE!</v>
      </c>
      <c r="C2027" s="12" t="e">
        <f t="shared" si="124"/>
        <v>#VALUE!</v>
      </c>
      <c r="D2027" s="12" t="e">
        <f>MID(MAIN!A2032,K2027+2,2)</f>
        <v>#VALUE!</v>
      </c>
      <c r="E2027" s="12" t="e">
        <f>MID(MAIN!A2032,K2027+4,2)</f>
        <v>#VALUE!</v>
      </c>
      <c r="F2027" s="2" t="e">
        <f t="shared" si="125"/>
        <v>#VALUE!</v>
      </c>
      <c r="G2027" s="13" t="e">
        <f t="shared" si="126"/>
        <v>#VALUE!</v>
      </c>
      <c r="J2027" t="str">
        <f>MAIN!A2032&amp;"B"</f>
        <v>B</v>
      </c>
      <c r="K2027" s="12" t="e">
        <f t="shared" si="127"/>
        <v>#VALUE!</v>
      </c>
      <c r="L2027" t="str">
        <f>MAIN!C2032</f>
        <v/>
      </c>
    </row>
    <row r="2028" spans="1:12" x14ac:dyDescent="0.3">
      <c r="A2028">
        <f>IF(J2028="0",0,IF(COUNTIF($J$2:J2028,J2028)=1,1,0))</f>
        <v>0</v>
      </c>
      <c r="B2028" s="12" t="e">
        <f>MID(MAIN!A2033,K2028,2)</f>
        <v>#VALUE!</v>
      </c>
      <c r="C2028" s="12" t="e">
        <f t="shared" si="124"/>
        <v>#VALUE!</v>
      </c>
      <c r="D2028" s="12" t="e">
        <f>MID(MAIN!A2033,K2028+2,2)</f>
        <v>#VALUE!</v>
      </c>
      <c r="E2028" s="12" t="e">
        <f>MID(MAIN!A2033,K2028+4,2)</f>
        <v>#VALUE!</v>
      </c>
      <c r="F2028" s="2" t="e">
        <f t="shared" si="125"/>
        <v>#VALUE!</v>
      </c>
      <c r="G2028" s="13" t="e">
        <f t="shared" si="126"/>
        <v>#VALUE!</v>
      </c>
      <c r="J2028" t="str">
        <f>MAIN!A2033&amp;"B"</f>
        <v>B</v>
      </c>
      <c r="K2028" s="12" t="e">
        <f t="shared" si="127"/>
        <v>#VALUE!</v>
      </c>
      <c r="L2028" t="str">
        <f>MAIN!C2033</f>
        <v/>
      </c>
    </row>
    <row r="2029" spans="1:12" x14ac:dyDescent="0.3">
      <c r="A2029">
        <f>IF(J2029="0",0,IF(COUNTIF($J$2:J2029,J2029)=1,1,0))</f>
        <v>0</v>
      </c>
      <c r="B2029" s="12" t="e">
        <f>MID(MAIN!A2034,K2029,2)</f>
        <v>#VALUE!</v>
      </c>
      <c r="C2029" s="12" t="e">
        <f t="shared" si="124"/>
        <v>#VALUE!</v>
      </c>
      <c r="D2029" s="12" t="e">
        <f>MID(MAIN!A2034,K2029+2,2)</f>
        <v>#VALUE!</v>
      </c>
      <c r="E2029" s="12" t="e">
        <f>MID(MAIN!A2034,K2029+4,2)</f>
        <v>#VALUE!</v>
      </c>
      <c r="F2029" s="2" t="e">
        <f t="shared" si="125"/>
        <v>#VALUE!</v>
      </c>
      <c r="G2029" s="13" t="e">
        <f t="shared" si="126"/>
        <v>#VALUE!</v>
      </c>
      <c r="J2029" t="str">
        <f>MAIN!A2034&amp;"B"</f>
        <v>B</v>
      </c>
      <c r="K2029" s="12" t="e">
        <f t="shared" si="127"/>
        <v>#VALUE!</v>
      </c>
      <c r="L2029" t="str">
        <f>MAIN!C2034</f>
        <v/>
      </c>
    </row>
    <row r="2030" spans="1:12" x14ac:dyDescent="0.3">
      <c r="A2030">
        <f>IF(J2030="0",0,IF(COUNTIF($J$2:J2030,J2030)=1,1,0))</f>
        <v>0</v>
      </c>
      <c r="B2030" s="12" t="e">
        <f>MID(MAIN!A2035,K2030,2)</f>
        <v>#VALUE!</v>
      </c>
      <c r="C2030" s="12" t="e">
        <f t="shared" si="124"/>
        <v>#VALUE!</v>
      </c>
      <c r="D2030" s="12" t="e">
        <f>MID(MAIN!A2035,K2030+2,2)</f>
        <v>#VALUE!</v>
      </c>
      <c r="E2030" s="12" t="e">
        <f>MID(MAIN!A2035,K2030+4,2)</f>
        <v>#VALUE!</v>
      </c>
      <c r="F2030" s="2" t="e">
        <f t="shared" si="125"/>
        <v>#VALUE!</v>
      </c>
      <c r="G2030" s="13" t="e">
        <f t="shared" si="126"/>
        <v>#VALUE!</v>
      </c>
      <c r="J2030" t="str">
        <f>MAIN!A2035&amp;"B"</f>
        <v>B</v>
      </c>
      <c r="K2030" s="12" t="e">
        <f t="shared" si="127"/>
        <v>#VALUE!</v>
      </c>
      <c r="L2030" t="str">
        <f>MAIN!C2035</f>
        <v/>
      </c>
    </row>
    <row r="2031" spans="1:12" x14ac:dyDescent="0.3">
      <c r="A2031">
        <f>IF(J2031="0",0,IF(COUNTIF($J$2:J2031,J2031)=1,1,0))</f>
        <v>0</v>
      </c>
      <c r="B2031" s="12" t="e">
        <f>MID(MAIN!A2036,K2031,2)</f>
        <v>#VALUE!</v>
      </c>
      <c r="C2031" s="12" t="e">
        <f t="shared" si="124"/>
        <v>#VALUE!</v>
      </c>
      <c r="D2031" s="12" t="e">
        <f>MID(MAIN!A2036,K2031+2,2)</f>
        <v>#VALUE!</v>
      </c>
      <c r="E2031" s="12" t="e">
        <f>MID(MAIN!A2036,K2031+4,2)</f>
        <v>#VALUE!</v>
      </c>
      <c r="F2031" s="2" t="e">
        <f t="shared" si="125"/>
        <v>#VALUE!</v>
      </c>
      <c r="G2031" s="13" t="e">
        <f t="shared" si="126"/>
        <v>#VALUE!</v>
      </c>
      <c r="J2031" t="str">
        <f>MAIN!A2036&amp;"B"</f>
        <v>B</v>
      </c>
      <c r="K2031" s="12" t="e">
        <f t="shared" si="127"/>
        <v>#VALUE!</v>
      </c>
      <c r="L2031" t="str">
        <f>MAIN!C2036</f>
        <v/>
      </c>
    </row>
    <row r="2032" spans="1:12" x14ac:dyDescent="0.3">
      <c r="A2032">
        <f>IF(J2032="0",0,IF(COUNTIF($J$2:J2032,J2032)=1,1,0))</f>
        <v>0</v>
      </c>
      <c r="B2032" s="12" t="e">
        <f>MID(MAIN!A2037,K2032,2)</f>
        <v>#VALUE!</v>
      </c>
      <c r="C2032" s="12" t="e">
        <f t="shared" si="124"/>
        <v>#VALUE!</v>
      </c>
      <c r="D2032" s="12" t="e">
        <f>MID(MAIN!A2037,K2032+2,2)</f>
        <v>#VALUE!</v>
      </c>
      <c r="E2032" s="12" t="e">
        <f>MID(MAIN!A2037,K2032+4,2)</f>
        <v>#VALUE!</v>
      </c>
      <c r="F2032" s="2" t="e">
        <f t="shared" si="125"/>
        <v>#VALUE!</v>
      </c>
      <c r="G2032" s="13" t="e">
        <f t="shared" si="126"/>
        <v>#VALUE!</v>
      </c>
      <c r="J2032" t="str">
        <f>MAIN!A2037&amp;"B"</f>
        <v>B</v>
      </c>
      <c r="K2032" s="12" t="e">
        <f t="shared" si="127"/>
        <v>#VALUE!</v>
      </c>
      <c r="L2032" t="str">
        <f>MAIN!C2037</f>
        <v/>
      </c>
    </row>
    <row r="2033" spans="1:12" x14ac:dyDescent="0.3">
      <c r="A2033">
        <f>IF(J2033="0",0,IF(COUNTIF($J$2:J2033,J2033)=1,1,0))</f>
        <v>0</v>
      </c>
      <c r="B2033" s="12" t="e">
        <f>MID(MAIN!A2038,K2033,2)</f>
        <v>#VALUE!</v>
      </c>
      <c r="C2033" s="12" t="e">
        <f t="shared" si="124"/>
        <v>#VALUE!</v>
      </c>
      <c r="D2033" s="12" t="e">
        <f>MID(MAIN!A2038,K2033+2,2)</f>
        <v>#VALUE!</v>
      </c>
      <c r="E2033" s="12" t="e">
        <f>MID(MAIN!A2038,K2033+4,2)</f>
        <v>#VALUE!</v>
      </c>
      <c r="F2033" s="2" t="e">
        <f t="shared" si="125"/>
        <v>#VALUE!</v>
      </c>
      <c r="G2033" s="13" t="e">
        <f t="shared" si="126"/>
        <v>#VALUE!</v>
      </c>
      <c r="J2033" t="str">
        <f>MAIN!A2038&amp;"B"</f>
        <v>B</v>
      </c>
      <c r="K2033" s="12" t="e">
        <f t="shared" si="127"/>
        <v>#VALUE!</v>
      </c>
      <c r="L2033" t="str">
        <f>MAIN!C2038</f>
        <v/>
      </c>
    </row>
    <row r="2034" spans="1:12" x14ac:dyDescent="0.3">
      <c r="A2034">
        <f>IF(J2034="0",0,IF(COUNTIF($J$2:J2034,J2034)=1,1,0))</f>
        <v>0</v>
      </c>
      <c r="B2034" s="12" t="e">
        <f>MID(MAIN!A2039,K2034,2)</f>
        <v>#VALUE!</v>
      </c>
      <c r="C2034" s="12" t="e">
        <f t="shared" si="124"/>
        <v>#VALUE!</v>
      </c>
      <c r="D2034" s="12" t="e">
        <f>MID(MAIN!A2039,K2034+2,2)</f>
        <v>#VALUE!</v>
      </c>
      <c r="E2034" s="12" t="e">
        <f>MID(MAIN!A2039,K2034+4,2)</f>
        <v>#VALUE!</v>
      </c>
      <c r="F2034" s="2" t="e">
        <f t="shared" si="125"/>
        <v>#VALUE!</v>
      </c>
      <c r="G2034" s="13" t="e">
        <f t="shared" si="126"/>
        <v>#VALUE!</v>
      </c>
      <c r="J2034" t="str">
        <f>MAIN!A2039&amp;"B"</f>
        <v>B</v>
      </c>
      <c r="K2034" s="12" t="e">
        <f t="shared" si="127"/>
        <v>#VALUE!</v>
      </c>
      <c r="L2034" t="str">
        <f>MAIN!C2039</f>
        <v/>
      </c>
    </row>
    <row r="2035" spans="1:12" x14ac:dyDescent="0.3">
      <c r="A2035">
        <f>IF(J2035="0",0,IF(COUNTIF($J$2:J2035,J2035)=1,1,0))</f>
        <v>0</v>
      </c>
      <c r="B2035" s="12" t="e">
        <f>MID(MAIN!A2040,K2035,2)</f>
        <v>#VALUE!</v>
      </c>
      <c r="C2035" s="12" t="e">
        <f t="shared" si="124"/>
        <v>#VALUE!</v>
      </c>
      <c r="D2035" s="12" t="e">
        <f>MID(MAIN!A2040,K2035+2,2)</f>
        <v>#VALUE!</v>
      </c>
      <c r="E2035" s="12" t="e">
        <f>MID(MAIN!A2040,K2035+4,2)</f>
        <v>#VALUE!</v>
      </c>
      <c r="F2035" s="2" t="e">
        <f t="shared" si="125"/>
        <v>#VALUE!</v>
      </c>
      <c r="G2035" s="13" t="e">
        <f t="shared" si="126"/>
        <v>#VALUE!</v>
      </c>
      <c r="J2035" t="str">
        <f>MAIN!A2040&amp;"B"</f>
        <v>B</v>
      </c>
      <c r="K2035" s="12" t="e">
        <f t="shared" si="127"/>
        <v>#VALUE!</v>
      </c>
      <c r="L2035" t="str">
        <f>MAIN!C2040</f>
        <v/>
      </c>
    </row>
    <row r="2036" spans="1:12" x14ac:dyDescent="0.3">
      <c r="A2036">
        <f>IF(J2036="0",0,IF(COUNTIF($J$2:J2036,J2036)=1,1,0))</f>
        <v>0</v>
      </c>
      <c r="B2036" s="12" t="e">
        <f>MID(MAIN!A2041,K2036,2)</f>
        <v>#VALUE!</v>
      </c>
      <c r="C2036" s="12" t="e">
        <f t="shared" si="124"/>
        <v>#VALUE!</v>
      </c>
      <c r="D2036" s="12" t="e">
        <f>MID(MAIN!A2041,K2036+2,2)</f>
        <v>#VALUE!</v>
      </c>
      <c r="E2036" s="12" t="e">
        <f>MID(MAIN!A2041,K2036+4,2)</f>
        <v>#VALUE!</v>
      </c>
      <c r="F2036" s="2" t="e">
        <f t="shared" si="125"/>
        <v>#VALUE!</v>
      </c>
      <c r="G2036" s="13" t="e">
        <f t="shared" si="126"/>
        <v>#VALUE!</v>
      </c>
      <c r="J2036" t="str">
        <f>MAIN!A2041&amp;"B"</f>
        <v>B</v>
      </c>
      <c r="K2036" s="12" t="e">
        <f t="shared" si="127"/>
        <v>#VALUE!</v>
      </c>
      <c r="L2036" t="str">
        <f>MAIN!C2041</f>
        <v/>
      </c>
    </row>
    <row r="2037" spans="1:12" x14ac:dyDescent="0.3">
      <c r="A2037">
        <f>IF(J2037="0",0,IF(COUNTIF($J$2:J2037,J2037)=1,1,0))</f>
        <v>0</v>
      </c>
      <c r="B2037" s="12" t="e">
        <f>MID(MAIN!A2042,K2037,2)</f>
        <v>#VALUE!</v>
      </c>
      <c r="C2037" s="12" t="e">
        <f t="shared" si="124"/>
        <v>#VALUE!</v>
      </c>
      <c r="D2037" s="12" t="e">
        <f>MID(MAIN!A2042,K2037+2,2)</f>
        <v>#VALUE!</v>
      </c>
      <c r="E2037" s="12" t="e">
        <f>MID(MAIN!A2042,K2037+4,2)</f>
        <v>#VALUE!</v>
      </c>
      <c r="F2037" s="2" t="e">
        <f t="shared" si="125"/>
        <v>#VALUE!</v>
      </c>
      <c r="G2037" s="13" t="e">
        <f t="shared" si="126"/>
        <v>#VALUE!</v>
      </c>
      <c r="J2037" t="str">
        <f>MAIN!A2042&amp;"B"</f>
        <v>B</v>
      </c>
      <c r="K2037" s="12" t="e">
        <f t="shared" si="127"/>
        <v>#VALUE!</v>
      </c>
      <c r="L2037" t="str">
        <f>MAIN!C2042</f>
        <v/>
      </c>
    </row>
    <row r="2038" spans="1:12" x14ac:dyDescent="0.3">
      <c r="A2038">
        <f>IF(J2038="0",0,IF(COUNTIF($J$2:J2038,J2038)=1,1,0))</f>
        <v>0</v>
      </c>
      <c r="B2038" s="12" t="e">
        <f>MID(MAIN!A2043,K2038,2)</f>
        <v>#VALUE!</v>
      </c>
      <c r="C2038" s="12" t="e">
        <f t="shared" si="124"/>
        <v>#VALUE!</v>
      </c>
      <c r="D2038" s="12" t="e">
        <f>MID(MAIN!A2043,K2038+2,2)</f>
        <v>#VALUE!</v>
      </c>
      <c r="E2038" s="12" t="e">
        <f>MID(MAIN!A2043,K2038+4,2)</f>
        <v>#VALUE!</v>
      </c>
      <c r="F2038" s="2" t="e">
        <f t="shared" si="125"/>
        <v>#VALUE!</v>
      </c>
      <c r="G2038" s="13" t="e">
        <f t="shared" si="126"/>
        <v>#VALUE!</v>
      </c>
      <c r="J2038" t="str">
        <f>MAIN!A2043&amp;"B"</f>
        <v>B</v>
      </c>
      <c r="K2038" s="12" t="e">
        <f t="shared" si="127"/>
        <v>#VALUE!</v>
      </c>
      <c r="L2038" t="str">
        <f>MAIN!C2043</f>
        <v/>
      </c>
    </row>
    <row r="2039" spans="1:12" x14ac:dyDescent="0.3">
      <c r="A2039">
        <f>IF(J2039="0",0,IF(COUNTIF($J$2:J2039,J2039)=1,1,0))</f>
        <v>0</v>
      </c>
      <c r="B2039" s="12" t="e">
        <f>MID(MAIN!A2044,K2039,2)</f>
        <v>#VALUE!</v>
      </c>
      <c r="C2039" s="12" t="e">
        <f t="shared" si="124"/>
        <v>#VALUE!</v>
      </c>
      <c r="D2039" s="12" t="e">
        <f>MID(MAIN!A2044,K2039+2,2)</f>
        <v>#VALUE!</v>
      </c>
      <c r="E2039" s="12" t="e">
        <f>MID(MAIN!A2044,K2039+4,2)</f>
        <v>#VALUE!</v>
      </c>
      <c r="F2039" s="2" t="e">
        <f t="shared" si="125"/>
        <v>#VALUE!</v>
      </c>
      <c r="G2039" s="13" t="e">
        <f t="shared" si="126"/>
        <v>#VALUE!</v>
      </c>
      <c r="J2039" t="str">
        <f>MAIN!A2044&amp;"B"</f>
        <v>B</v>
      </c>
      <c r="K2039" s="12" t="e">
        <f t="shared" si="127"/>
        <v>#VALUE!</v>
      </c>
      <c r="L2039" t="str">
        <f>MAIN!C2044</f>
        <v/>
      </c>
    </row>
    <row r="2040" spans="1:12" x14ac:dyDescent="0.3">
      <c r="A2040">
        <f>IF(J2040="0",0,IF(COUNTIF($J$2:J2040,J2040)=1,1,0))</f>
        <v>0</v>
      </c>
      <c r="B2040" s="12" t="e">
        <f>MID(MAIN!A2045,K2040,2)</f>
        <v>#VALUE!</v>
      </c>
      <c r="C2040" s="12" t="e">
        <f t="shared" si="124"/>
        <v>#VALUE!</v>
      </c>
      <c r="D2040" s="12" t="e">
        <f>MID(MAIN!A2045,K2040+2,2)</f>
        <v>#VALUE!</v>
      </c>
      <c r="E2040" s="12" t="e">
        <f>MID(MAIN!A2045,K2040+4,2)</f>
        <v>#VALUE!</v>
      </c>
      <c r="F2040" s="2" t="e">
        <f t="shared" si="125"/>
        <v>#VALUE!</v>
      </c>
      <c r="G2040" s="13" t="e">
        <f t="shared" si="126"/>
        <v>#VALUE!</v>
      </c>
      <c r="J2040" t="str">
        <f>MAIN!A2045&amp;"B"</f>
        <v>B</v>
      </c>
      <c r="K2040" s="12" t="e">
        <f t="shared" si="127"/>
        <v>#VALUE!</v>
      </c>
      <c r="L2040" t="str">
        <f>MAIN!C2045</f>
        <v/>
      </c>
    </row>
    <row r="2041" spans="1:12" x14ac:dyDescent="0.3">
      <c r="A2041">
        <f>IF(J2041="0",0,IF(COUNTIF($J$2:J2041,J2041)=1,1,0))</f>
        <v>0</v>
      </c>
      <c r="B2041" s="12" t="e">
        <f>MID(MAIN!A2046,K2041,2)</f>
        <v>#VALUE!</v>
      </c>
      <c r="C2041" s="12" t="e">
        <f t="shared" si="124"/>
        <v>#VALUE!</v>
      </c>
      <c r="D2041" s="12" t="e">
        <f>MID(MAIN!A2046,K2041+2,2)</f>
        <v>#VALUE!</v>
      </c>
      <c r="E2041" s="12" t="e">
        <f>MID(MAIN!A2046,K2041+4,2)</f>
        <v>#VALUE!</v>
      </c>
      <c r="F2041" s="2" t="e">
        <f t="shared" si="125"/>
        <v>#VALUE!</v>
      </c>
      <c r="G2041" s="13" t="e">
        <f t="shared" si="126"/>
        <v>#VALUE!</v>
      </c>
      <c r="J2041" t="str">
        <f>MAIN!A2046&amp;"B"</f>
        <v>B</v>
      </c>
      <c r="K2041" s="12" t="e">
        <f t="shared" si="127"/>
        <v>#VALUE!</v>
      </c>
      <c r="L2041" t="str">
        <f>MAIN!C2046</f>
        <v/>
      </c>
    </row>
    <row r="2042" spans="1:12" x14ac:dyDescent="0.3">
      <c r="A2042">
        <f>IF(J2042="0",0,IF(COUNTIF($J$2:J2042,J2042)=1,1,0))</f>
        <v>0</v>
      </c>
      <c r="B2042" s="12" t="e">
        <f>MID(MAIN!A2047,K2042,2)</f>
        <v>#VALUE!</v>
      </c>
      <c r="C2042" s="12" t="e">
        <f t="shared" si="124"/>
        <v>#VALUE!</v>
      </c>
      <c r="D2042" s="12" t="e">
        <f>MID(MAIN!A2047,K2042+2,2)</f>
        <v>#VALUE!</v>
      </c>
      <c r="E2042" s="12" t="e">
        <f>MID(MAIN!A2047,K2042+4,2)</f>
        <v>#VALUE!</v>
      </c>
      <c r="F2042" s="2" t="e">
        <f t="shared" si="125"/>
        <v>#VALUE!</v>
      </c>
      <c r="G2042" s="13" t="e">
        <f t="shared" si="126"/>
        <v>#VALUE!</v>
      </c>
      <c r="J2042" t="str">
        <f>MAIN!A2047&amp;"B"</f>
        <v>B</v>
      </c>
      <c r="K2042" s="12" t="e">
        <f t="shared" si="127"/>
        <v>#VALUE!</v>
      </c>
      <c r="L2042" t="str">
        <f>MAIN!C2047</f>
        <v/>
      </c>
    </row>
    <row r="2043" spans="1:12" x14ac:dyDescent="0.3">
      <c r="A2043">
        <f>IF(J2043="0",0,IF(COUNTIF($J$2:J2043,J2043)=1,1,0))</f>
        <v>0</v>
      </c>
      <c r="B2043" s="12" t="e">
        <f>MID(MAIN!A2048,K2043,2)</f>
        <v>#VALUE!</v>
      </c>
      <c r="C2043" s="12" t="e">
        <f t="shared" si="124"/>
        <v>#VALUE!</v>
      </c>
      <c r="D2043" s="12" t="e">
        <f>MID(MAIN!A2048,K2043+2,2)</f>
        <v>#VALUE!</v>
      </c>
      <c r="E2043" s="12" t="e">
        <f>MID(MAIN!A2048,K2043+4,2)</f>
        <v>#VALUE!</v>
      </c>
      <c r="F2043" s="2" t="e">
        <f t="shared" si="125"/>
        <v>#VALUE!</v>
      </c>
      <c r="G2043" s="13" t="e">
        <f t="shared" si="126"/>
        <v>#VALUE!</v>
      </c>
      <c r="J2043" t="str">
        <f>MAIN!A2048&amp;"B"</f>
        <v>B</v>
      </c>
      <c r="K2043" s="12" t="e">
        <f t="shared" si="127"/>
        <v>#VALUE!</v>
      </c>
      <c r="L2043" t="str">
        <f>MAIN!C2048</f>
        <v/>
      </c>
    </row>
    <row r="2044" spans="1:12" x14ac:dyDescent="0.3">
      <c r="A2044">
        <f>IF(J2044="0",0,IF(COUNTIF($J$2:J2044,J2044)=1,1,0))</f>
        <v>0</v>
      </c>
      <c r="B2044" s="12" t="e">
        <f>MID(MAIN!A2049,K2044,2)</f>
        <v>#VALUE!</v>
      </c>
      <c r="C2044" s="12" t="e">
        <f t="shared" si="124"/>
        <v>#VALUE!</v>
      </c>
      <c r="D2044" s="12" t="e">
        <f>MID(MAIN!A2049,K2044+2,2)</f>
        <v>#VALUE!</v>
      </c>
      <c r="E2044" s="12" t="e">
        <f>MID(MAIN!A2049,K2044+4,2)</f>
        <v>#VALUE!</v>
      </c>
      <c r="F2044" s="2" t="e">
        <f t="shared" si="125"/>
        <v>#VALUE!</v>
      </c>
      <c r="G2044" s="13" t="e">
        <f t="shared" si="126"/>
        <v>#VALUE!</v>
      </c>
      <c r="J2044" t="str">
        <f>MAIN!A2049&amp;"B"</f>
        <v>B</v>
      </c>
      <c r="K2044" s="12" t="e">
        <f t="shared" si="127"/>
        <v>#VALUE!</v>
      </c>
      <c r="L2044" t="str">
        <f>MAIN!C2049</f>
        <v/>
      </c>
    </row>
    <row r="2045" spans="1:12" x14ac:dyDescent="0.3">
      <c r="A2045">
        <f>IF(J2045="0",0,IF(COUNTIF($J$2:J2045,J2045)=1,1,0))</f>
        <v>0</v>
      </c>
      <c r="B2045" s="12" t="e">
        <f>MID(MAIN!A2050,K2045,2)</f>
        <v>#VALUE!</v>
      </c>
      <c r="C2045" s="12" t="e">
        <f t="shared" si="124"/>
        <v>#VALUE!</v>
      </c>
      <c r="D2045" s="12" t="e">
        <f>MID(MAIN!A2050,K2045+2,2)</f>
        <v>#VALUE!</v>
      </c>
      <c r="E2045" s="12" t="e">
        <f>MID(MAIN!A2050,K2045+4,2)</f>
        <v>#VALUE!</v>
      </c>
      <c r="F2045" s="2" t="e">
        <f t="shared" si="125"/>
        <v>#VALUE!</v>
      </c>
      <c r="G2045" s="13" t="e">
        <f t="shared" si="126"/>
        <v>#VALUE!</v>
      </c>
      <c r="J2045" t="str">
        <f>MAIN!A2050&amp;"B"</f>
        <v>B</v>
      </c>
      <c r="K2045" s="12" t="e">
        <f t="shared" si="127"/>
        <v>#VALUE!</v>
      </c>
      <c r="L2045" t="str">
        <f>MAIN!C2050</f>
        <v/>
      </c>
    </row>
    <row r="2046" spans="1:12" x14ac:dyDescent="0.3">
      <c r="A2046">
        <f>IF(J2046="0",0,IF(COUNTIF($J$2:J2046,J2046)=1,1,0))</f>
        <v>0</v>
      </c>
      <c r="B2046" s="12" t="e">
        <f>MID(MAIN!A2051,K2046,2)</f>
        <v>#VALUE!</v>
      </c>
      <c r="C2046" s="12" t="e">
        <f t="shared" si="124"/>
        <v>#VALUE!</v>
      </c>
      <c r="D2046" s="12" t="e">
        <f>MID(MAIN!A2051,K2046+2,2)</f>
        <v>#VALUE!</v>
      </c>
      <c r="E2046" s="12" t="e">
        <f>MID(MAIN!A2051,K2046+4,2)</f>
        <v>#VALUE!</v>
      </c>
      <c r="F2046" s="2" t="e">
        <f t="shared" si="125"/>
        <v>#VALUE!</v>
      </c>
      <c r="G2046" s="13" t="e">
        <f t="shared" si="126"/>
        <v>#VALUE!</v>
      </c>
      <c r="J2046" t="str">
        <f>MAIN!A2051&amp;"B"</f>
        <v>B</v>
      </c>
      <c r="K2046" s="12" t="e">
        <f t="shared" si="127"/>
        <v>#VALUE!</v>
      </c>
      <c r="L2046" t="str">
        <f>MAIN!C2051</f>
        <v/>
      </c>
    </row>
    <row r="2047" spans="1:12" x14ac:dyDescent="0.3">
      <c r="A2047">
        <f>IF(J2047="0",0,IF(COUNTIF($J$2:J2047,J2047)=1,1,0))</f>
        <v>0</v>
      </c>
      <c r="B2047" s="12" t="e">
        <f>MID(MAIN!A2052,K2047,2)</f>
        <v>#VALUE!</v>
      </c>
      <c r="C2047" s="12" t="e">
        <f t="shared" si="124"/>
        <v>#VALUE!</v>
      </c>
      <c r="D2047" s="12" t="e">
        <f>MID(MAIN!A2052,K2047+2,2)</f>
        <v>#VALUE!</v>
      </c>
      <c r="E2047" s="12" t="e">
        <f>MID(MAIN!A2052,K2047+4,2)</f>
        <v>#VALUE!</v>
      </c>
      <c r="F2047" s="2" t="e">
        <f t="shared" si="125"/>
        <v>#VALUE!</v>
      </c>
      <c r="G2047" s="13" t="e">
        <f t="shared" si="126"/>
        <v>#VALUE!</v>
      </c>
      <c r="J2047" t="str">
        <f>MAIN!A2052&amp;"B"</f>
        <v>B</v>
      </c>
      <c r="K2047" s="12" t="e">
        <f t="shared" si="127"/>
        <v>#VALUE!</v>
      </c>
      <c r="L2047" t="str">
        <f>MAIN!C2052</f>
        <v/>
      </c>
    </row>
    <row r="2048" spans="1:12" x14ac:dyDescent="0.3">
      <c r="A2048">
        <f>IF(J2048="0",0,IF(COUNTIF($J$2:J2048,J2048)=1,1,0))</f>
        <v>0</v>
      </c>
      <c r="B2048" s="12" t="e">
        <f>MID(MAIN!A2053,K2048,2)</f>
        <v>#VALUE!</v>
      </c>
      <c r="C2048" s="12" t="e">
        <f t="shared" si="124"/>
        <v>#VALUE!</v>
      </c>
      <c r="D2048" s="12" t="e">
        <f>MID(MAIN!A2053,K2048+2,2)</f>
        <v>#VALUE!</v>
      </c>
      <c r="E2048" s="12" t="e">
        <f>MID(MAIN!A2053,K2048+4,2)</f>
        <v>#VALUE!</v>
      </c>
      <c r="F2048" s="2" t="e">
        <f t="shared" si="125"/>
        <v>#VALUE!</v>
      </c>
      <c r="G2048" s="13" t="e">
        <f t="shared" si="126"/>
        <v>#VALUE!</v>
      </c>
      <c r="J2048" t="str">
        <f>MAIN!A2053&amp;"B"</f>
        <v>B</v>
      </c>
      <c r="K2048" s="12" t="e">
        <f t="shared" si="127"/>
        <v>#VALUE!</v>
      </c>
      <c r="L2048" t="str">
        <f>MAIN!C2053</f>
        <v/>
      </c>
    </row>
    <row r="2049" spans="1:12" x14ac:dyDescent="0.3">
      <c r="A2049">
        <f>IF(J2049="0",0,IF(COUNTIF($J$2:J2049,J2049)=1,1,0))</f>
        <v>0</v>
      </c>
      <c r="B2049" s="12" t="e">
        <f>MID(MAIN!A2054,K2049,2)</f>
        <v>#VALUE!</v>
      </c>
      <c r="C2049" s="12" t="e">
        <f t="shared" si="124"/>
        <v>#VALUE!</v>
      </c>
      <c r="D2049" s="12" t="e">
        <f>MID(MAIN!A2054,K2049+2,2)</f>
        <v>#VALUE!</v>
      </c>
      <c r="E2049" s="12" t="e">
        <f>MID(MAIN!A2054,K2049+4,2)</f>
        <v>#VALUE!</v>
      </c>
      <c r="F2049" s="2" t="e">
        <f t="shared" si="125"/>
        <v>#VALUE!</v>
      </c>
      <c r="G2049" s="13" t="e">
        <f t="shared" si="126"/>
        <v>#VALUE!</v>
      </c>
      <c r="J2049" t="str">
        <f>MAIN!A2054&amp;"B"</f>
        <v>B</v>
      </c>
      <c r="K2049" s="12" t="e">
        <f t="shared" si="127"/>
        <v>#VALUE!</v>
      </c>
      <c r="L2049" t="str">
        <f>MAIN!C2054</f>
        <v/>
      </c>
    </row>
    <row r="2050" spans="1:12" x14ac:dyDescent="0.3">
      <c r="A2050">
        <f>IF(J2050="0",0,IF(COUNTIF($J$2:J2050,J2050)=1,1,0))</f>
        <v>0</v>
      </c>
      <c r="B2050" s="12" t="e">
        <f>MID(MAIN!A2055,K2050,2)</f>
        <v>#VALUE!</v>
      </c>
      <c r="C2050" s="12" t="e">
        <f t="shared" si="124"/>
        <v>#VALUE!</v>
      </c>
      <c r="D2050" s="12" t="e">
        <f>MID(MAIN!A2055,K2050+2,2)</f>
        <v>#VALUE!</v>
      </c>
      <c r="E2050" s="12" t="e">
        <f>MID(MAIN!A2055,K2050+4,2)</f>
        <v>#VALUE!</v>
      </c>
      <c r="F2050" s="2" t="e">
        <f t="shared" si="125"/>
        <v>#VALUE!</v>
      </c>
      <c r="G2050" s="13" t="e">
        <f t="shared" si="126"/>
        <v>#VALUE!</v>
      </c>
      <c r="J2050" t="str">
        <f>MAIN!A2055&amp;"B"</f>
        <v>B</v>
      </c>
      <c r="K2050" s="12" t="e">
        <f t="shared" si="127"/>
        <v>#VALUE!</v>
      </c>
      <c r="L2050" t="str">
        <f>MAIN!C2055</f>
        <v/>
      </c>
    </row>
    <row r="2051" spans="1:12" x14ac:dyDescent="0.3">
      <c r="A2051">
        <f>IF(J2051="0",0,IF(COUNTIF($J$2:J2051,J2051)=1,1,0))</f>
        <v>0</v>
      </c>
      <c r="B2051" s="12" t="e">
        <f>MID(MAIN!A2056,K2051,2)</f>
        <v>#VALUE!</v>
      </c>
      <c r="C2051" s="12" t="e">
        <f t="shared" ref="C2051:C2114" si="128">"20"&amp;B2051</f>
        <v>#VALUE!</v>
      </c>
      <c r="D2051" s="12" t="e">
        <f>MID(MAIN!A2056,K2051+2,2)</f>
        <v>#VALUE!</v>
      </c>
      <c r="E2051" s="12" t="e">
        <f>MID(MAIN!A2056,K2051+4,2)</f>
        <v>#VALUE!</v>
      </c>
      <c r="F2051" s="2" t="e">
        <f t="shared" ref="F2051:F2114" si="129">C2051&amp;"/"&amp;D2051&amp;"/"&amp;E2051</f>
        <v>#VALUE!</v>
      </c>
      <c r="G2051" s="13" t="e">
        <f t="shared" ref="G2051:G2114" si="130">DATEVALUE(F2051)</f>
        <v>#VALUE!</v>
      </c>
      <c r="J2051" t="str">
        <f>MAIN!A2056&amp;"B"</f>
        <v>B</v>
      </c>
      <c r="K2051" s="12" t="e">
        <f t="shared" ref="K2051:K2114" si="131">FIND("172",J2051,30)+2</f>
        <v>#VALUE!</v>
      </c>
      <c r="L2051" t="str">
        <f>MAIN!C2056</f>
        <v/>
      </c>
    </row>
    <row r="2052" spans="1:12" x14ac:dyDescent="0.3">
      <c r="A2052">
        <f>IF(J2052="0",0,IF(COUNTIF($J$2:J2052,J2052)=1,1,0))</f>
        <v>0</v>
      </c>
      <c r="B2052" s="12" t="e">
        <f>MID(MAIN!A2057,K2052,2)</f>
        <v>#VALUE!</v>
      </c>
      <c r="C2052" s="12" t="e">
        <f t="shared" si="128"/>
        <v>#VALUE!</v>
      </c>
      <c r="D2052" s="12" t="e">
        <f>MID(MAIN!A2057,K2052+2,2)</f>
        <v>#VALUE!</v>
      </c>
      <c r="E2052" s="12" t="e">
        <f>MID(MAIN!A2057,K2052+4,2)</f>
        <v>#VALUE!</v>
      </c>
      <c r="F2052" s="2" t="e">
        <f t="shared" si="129"/>
        <v>#VALUE!</v>
      </c>
      <c r="G2052" s="13" t="e">
        <f t="shared" si="130"/>
        <v>#VALUE!</v>
      </c>
      <c r="J2052" t="str">
        <f>MAIN!A2057&amp;"B"</f>
        <v>B</v>
      </c>
      <c r="K2052" s="12" t="e">
        <f t="shared" si="131"/>
        <v>#VALUE!</v>
      </c>
      <c r="L2052" t="str">
        <f>MAIN!C2057</f>
        <v/>
      </c>
    </row>
    <row r="2053" spans="1:12" x14ac:dyDescent="0.3">
      <c r="A2053">
        <f>IF(J2053="0",0,IF(COUNTIF($J$2:J2053,J2053)=1,1,0))</f>
        <v>0</v>
      </c>
      <c r="B2053" s="12" t="e">
        <f>MID(MAIN!A2058,K2053,2)</f>
        <v>#VALUE!</v>
      </c>
      <c r="C2053" s="12" t="e">
        <f t="shared" si="128"/>
        <v>#VALUE!</v>
      </c>
      <c r="D2053" s="12" t="e">
        <f>MID(MAIN!A2058,K2053+2,2)</f>
        <v>#VALUE!</v>
      </c>
      <c r="E2053" s="12" t="e">
        <f>MID(MAIN!A2058,K2053+4,2)</f>
        <v>#VALUE!</v>
      </c>
      <c r="F2053" s="2" t="e">
        <f t="shared" si="129"/>
        <v>#VALUE!</v>
      </c>
      <c r="G2053" s="13" t="e">
        <f t="shared" si="130"/>
        <v>#VALUE!</v>
      </c>
      <c r="J2053" t="str">
        <f>MAIN!A2058&amp;"B"</f>
        <v>B</v>
      </c>
      <c r="K2053" s="12" t="e">
        <f t="shared" si="131"/>
        <v>#VALUE!</v>
      </c>
      <c r="L2053" t="str">
        <f>MAIN!C2058</f>
        <v/>
      </c>
    </row>
    <row r="2054" spans="1:12" x14ac:dyDescent="0.3">
      <c r="A2054">
        <f>IF(J2054="0",0,IF(COUNTIF($J$2:J2054,J2054)=1,1,0))</f>
        <v>0</v>
      </c>
      <c r="B2054" s="12" t="e">
        <f>MID(MAIN!A2059,K2054,2)</f>
        <v>#VALUE!</v>
      </c>
      <c r="C2054" s="12" t="e">
        <f t="shared" si="128"/>
        <v>#VALUE!</v>
      </c>
      <c r="D2054" s="12" t="e">
        <f>MID(MAIN!A2059,K2054+2,2)</f>
        <v>#VALUE!</v>
      </c>
      <c r="E2054" s="12" t="e">
        <f>MID(MAIN!A2059,K2054+4,2)</f>
        <v>#VALUE!</v>
      </c>
      <c r="F2054" s="2" t="e">
        <f t="shared" si="129"/>
        <v>#VALUE!</v>
      </c>
      <c r="G2054" s="13" t="e">
        <f t="shared" si="130"/>
        <v>#VALUE!</v>
      </c>
      <c r="J2054" t="str">
        <f>MAIN!A2059&amp;"B"</f>
        <v>B</v>
      </c>
      <c r="K2054" s="12" t="e">
        <f t="shared" si="131"/>
        <v>#VALUE!</v>
      </c>
      <c r="L2054" t="str">
        <f>MAIN!C2059</f>
        <v/>
      </c>
    </row>
    <row r="2055" spans="1:12" x14ac:dyDescent="0.3">
      <c r="A2055">
        <f>IF(J2055="0",0,IF(COUNTIF($J$2:J2055,J2055)=1,1,0))</f>
        <v>0</v>
      </c>
      <c r="B2055" s="12" t="e">
        <f>MID(MAIN!A2060,K2055,2)</f>
        <v>#VALUE!</v>
      </c>
      <c r="C2055" s="12" t="e">
        <f t="shared" si="128"/>
        <v>#VALUE!</v>
      </c>
      <c r="D2055" s="12" t="e">
        <f>MID(MAIN!A2060,K2055+2,2)</f>
        <v>#VALUE!</v>
      </c>
      <c r="E2055" s="12" t="e">
        <f>MID(MAIN!A2060,K2055+4,2)</f>
        <v>#VALUE!</v>
      </c>
      <c r="F2055" s="2" t="e">
        <f t="shared" si="129"/>
        <v>#VALUE!</v>
      </c>
      <c r="G2055" s="13" t="e">
        <f t="shared" si="130"/>
        <v>#VALUE!</v>
      </c>
      <c r="J2055" t="str">
        <f>MAIN!A2060&amp;"B"</f>
        <v>B</v>
      </c>
      <c r="K2055" s="12" t="e">
        <f t="shared" si="131"/>
        <v>#VALUE!</v>
      </c>
      <c r="L2055" t="str">
        <f>MAIN!C2060</f>
        <v/>
      </c>
    </row>
    <row r="2056" spans="1:12" x14ac:dyDescent="0.3">
      <c r="A2056">
        <f>IF(J2056="0",0,IF(COUNTIF($J$2:J2056,J2056)=1,1,0))</f>
        <v>0</v>
      </c>
      <c r="B2056" s="12" t="e">
        <f>MID(MAIN!A2061,K2056,2)</f>
        <v>#VALUE!</v>
      </c>
      <c r="C2056" s="12" t="e">
        <f t="shared" si="128"/>
        <v>#VALUE!</v>
      </c>
      <c r="D2056" s="12" t="e">
        <f>MID(MAIN!A2061,K2056+2,2)</f>
        <v>#VALUE!</v>
      </c>
      <c r="E2056" s="12" t="e">
        <f>MID(MAIN!A2061,K2056+4,2)</f>
        <v>#VALUE!</v>
      </c>
      <c r="F2056" s="2" t="e">
        <f t="shared" si="129"/>
        <v>#VALUE!</v>
      </c>
      <c r="G2056" s="13" t="e">
        <f t="shared" si="130"/>
        <v>#VALUE!</v>
      </c>
      <c r="J2056" t="str">
        <f>MAIN!A2061&amp;"B"</f>
        <v>B</v>
      </c>
      <c r="K2056" s="12" t="e">
        <f t="shared" si="131"/>
        <v>#VALUE!</v>
      </c>
      <c r="L2056" t="str">
        <f>MAIN!C2061</f>
        <v/>
      </c>
    </row>
    <row r="2057" spans="1:12" x14ac:dyDescent="0.3">
      <c r="A2057">
        <f>IF(J2057="0",0,IF(COUNTIF($J$2:J2057,J2057)=1,1,0))</f>
        <v>0</v>
      </c>
      <c r="B2057" s="12" t="e">
        <f>MID(MAIN!A2062,K2057,2)</f>
        <v>#VALUE!</v>
      </c>
      <c r="C2057" s="12" t="e">
        <f t="shared" si="128"/>
        <v>#VALUE!</v>
      </c>
      <c r="D2057" s="12" t="e">
        <f>MID(MAIN!A2062,K2057+2,2)</f>
        <v>#VALUE!</v>
      </c>
      <c r="E2057" s="12" t="e">
        <f>MID(MAIN!A2062,K2057+4,2)</f>
        <v>#VALUE!</v>
      </c>
      <c r="F2057" s="2" t="e">
        <f t="shared" si="129"/>
        <v>#VALUE!</v>
      </c>
      <c r="G2057" s="13" t="e">
        <f t="shared" si="130"/>
        <v>#VALUE!</v>
      </c>
      <c r="J2057" t="str">
        <f>MAIN!A2062&amp;"B"</f>
        <v>B</v>
      </c>
      <c r="K2057" s="12" t="e">
        <f t="shared" si="131"/>
        <v>#VALUE!</v>
      </c>
      <c r="L2057" t="str">
        <f>MAIN!C2062</f>
        <v/>
      </c>
    </row>
    <row r="2058" spans="1:12" x14ac:dyDescent="0.3">
      <c r="A2058">
        <f>IF(J2058="0",0,IF(COUNTIF($J$2:J2058,J2058)=1,1,0))</f>
        <v>0</v>
      </c>
      <c r="B2058" s="12" t="e">
        <f>MID(MAIN!A2063,K2058,2)</f>
        <v>#VALUE!</v>
      </c>
      <c r="C2058" s="12" t="e">
        <f t="shared" si="128"/>
        <v>#VALUE!</v>
      </c>
      <c r="D2058" s="12" t="e">
        <f>MID(MAIN!A2063,K2058+2,2)</f>
        <v>#VALUE!</v>
      </c>
      <c r="E2058" s="12" t="e">
        <f>MID(MAIN!A2063,K2058+4,2)</f>
        <v>#VALUE!</v>
      </c>
      <c r="F2058" s="2" t="e">
        <f t="shared" si="129"/>
        <v>#VALUE!</v>
      </c>
      <c r="G2058" s="13" t="e">
        <f t="shared" si="130"/>
        <v>#VALUE!</v>
      </c>
      <c r="J2058" t="str">
        <f>MAIN!A2063&amp;"B"</f>
        <v>B</v>
      </c>
      <c r="K2058" s="12" t="e">
        <f t="shared" si="131"/>
        <v>#VALUE!</v>
      </c>
      <c r="L2058" t="str">
        <f>MAIN!C2063</f>
        <v/>
      </c>
    </row>
    <row r="2059" spans="1:12" x14ac:dyDescent="0.3">
      <c r="A2059">
        <f>IF(J2059="0",0,IF(COUNTIF($J$2:J2059,J2059)=1,1,0))</f>
        <v>0</v>
      </c>
      <c r="B2059" s="12" t="e">
        <f>MID(MAIN!A2064,K2059,2)</f>
        <v>#VALUE!</v>
      </c>
      <c r="C2059" s="12" t="e">
        <f t="shared" si="128"/>
        <v>#VALUE!</v>
      </c>
      <c r="D2059" s="12" t="e">
        <f>MID(MAIN!A2064,K2059+2,2)</f>
        <v>#VALUE!</v>
      </c>
      <c r="E2059" s="12" t="e">
        <f>MID(MAIN!A2064,K2059+4,2)</f>
        <v>#VALUE!</v>
      </c>
      <c r="F2059" s="2" t="e">
        <f t="shared" si="129"/>
        <v>#VALUE!</v>
      </c>
      <c r="G2059" s="13" t="e">
        <f t="shared" si="130"/>
        <v>#VALUE!</v>
      </c>
      <c r="J2059" t="str">
        <f>MAIN!A2064&amp;"B"</f>
        <v>B</v>
      </c>
      <c r="K2059" s="12" t="e">
        <f t="shared" si="131"/>
        <v>#VALUE!</v>
      </c>
      <c r="L2059" t="str">
        <f>MAIN!C2064</f>
        <v/>
      </c>
    </row>
    <row r="2060" spans="1:12" x14ac:dyDescent="0.3">
      <c r="A2060">
        <f>IF(J2060="0",0,IF(COUNTIF($J$2:J2060,J2060)=1,1,0))</f>
        <v>0</v>
      </c>
      <c r="B2060" s="12" t="e">
        <f>MID(MAIN!A2065,K2060,2)</f>
        <v>#VALUE!</v>
      </c>
      <c r="C2060" s="12" t="e">
        <f t="shared" si="128"/>
        <v>#VALUE!</v>
      </c>
      <c r="D2060" s="12" t="e">
        <f>MID(MAIN!A2065,K2060+2,2)</f>
        <v>#VALUE!</v>
      </c>
      <c r="E2060" s="12" t="e">
        <f>MID(MAIN!A2065,K2060+4,2)</f>
        <v>#VALUE!</v>
      </c>
      <c r="F2060" s="2" t="e">
        <f t="shared" si="129"/>
        <v>#VALUE!</v>
      </c>
      <c r="G2060" s="13" t="e">
        <f t="shared" si="130"/>
        <v>#VALUE!</v>
      </c>
      <c r="J2060" t="str">
        <f>MAIN!A2065&amp;"B"</f>
        <v>B</v>
      </c>
      <c r="K2060" s="12" t="e">
        <f t="shared" si="131"/>
        <v>#VALUE!</v>
      </c>
      <c r="L2060" t="str">
        <f>MAIN!C2065</f>
        <v/>
      </c>
    </row>
    <row r="2061" spans="1:12" x14ac:dyDescent="0.3">
      <c r="A2061">
        <f>IF(J2061="0",0,IF(COUNTIF($J$2:J2061,J2061)=1,1,0))</f>
        <v>0</v>
      </c>
      <c r="B2061" s="12" t="e">
        <f>MID(MAIN!A2066,K2061,2)</f>
        <v>#VALUE!</v>
      </c>
      <c r="C2061" s="12" t="e">
        <f t="shared" si="128"/>
        <v>#VALUE!</v>
      </c>
      <c r="D2061" s="12" t="e">
        <f>MID(MAIN!A2066,K2061+2,2)</f>
        <v>#VALUE!</v>
      </c>
      <c r="E2061" s="12" t="e">
        <f>MID(MAIN!A2066,K2061+4,2)</f>
        <v>#VALUE!</v>
      </c>
      <c r="F2061" s="2" t="e">
        <f t="shared" si="129"/>
        <v>#VALUE!</v>
      </c>
      <c r="G2061" s="13" t="e">
        <f t="shared" si="130"/>
        <v>#VALUE!</v>
      </c>
      <c r="J2061" t="str">
        <f>MAIN!A2066&amp;"B"</f>
        <v>B</v>
      </c>
      <c r="K2061" s="12" t="e">
        <f t="shared" si="131"/>
        <v>#VALUE!</v>
      </c>
      <c r="L2061" t="str">
        <f>MAIN!C2066</f>
        <v/>
      </c>
    </row>
    <row r="2062" spans="1:12" x14ac:dyDescent="0.3">
      <c r="A2062">
        <f>IF(J2062="0",0,IF(COUNTIF($J$2:J2062,J2062)=1,1,0))</f>
        <v>0</v>
      </c>
      <c r="B2062" s="12" t="e">
        <f>MID(MAIN!A2067,K2062,2)</f>
        <v>#VALUE!</v>
      </c>
      <c r="C2062" s="12" t="e">
        <f t="shared" si="128"/>
        <v>#VALUE!</v>
      </c>
      <c r="D2062" s="12" t="e">
        <f>MID(MAIN!A2067,K2062+2,2)</f>
        <v>#VALUE!</v>
      </c>
      <c r="E2062" s="12" t="e">
        <f>MID(MAIN!A2067,K2062+4,2)</f>
        <v>#VALUE!</v>
      </c>
      <c r="F2062" s="2" t="e">
        <f t="shared" si="129"/>
        <v>#VALUE!</v>
      </c>
      <c r="G2062" s="13" t="e">
        <f t="shared" si="130"/>
        <v>#VALUE!</v>
      </c>
      <c r="J2062" t="str">
        <f>MAIN!A2067&amp;"B"</f>
        <v>B</v>
      </c>
      <c r="K2062" s="12" t="e">
        <f t="shared" si="131"/>
        <v>#VALUE!</v>
      </c>
      <c r="L2062" t="str">
        <f>MAIN!C2067</f>
        <v/>
      </c>
    </row>
    <row r="2063" spans="1:12" x14ac:dyDescent="0.3">
      <c r="A2063">
        <f>IF(J2063="0",0,IF(COUNTIF($J$2:J2063,J2063)=1,1,0))</f>
        <v>0</v>
      </c>
      <c r="B2063" s="12" t="e">
        <f>MID(MAIN!A2068,K2063,2)</f>
        <v>#VALUE!</v>
      </c>
      <c r="C2063" s="12" t="e">
        <f t="shared" si="128"/>
        <v>#VALUE!</v>
      </c>
      <c r="D2063" s="12" t="e">
        <f>MID(MAIN!A2068,K2063+2,2)</f>
        <v>#VALUE!</v>
      </c>
      <c r="E2063" s="12" t="e">
        <f>MID(MAIN!A2068,K2063+4,2)</f>
        <v>#VALUE!</v>
      </c>
      <c r="F2063" s="2" t="e">
        <f t="shared" si="129"/>
        <v>#VALUE!</v>
      </c>
      <c r="G2063" s="13" t="e">
        <f t="shared" si="130"/>
        <v>#VALUE!</v>
      </c>
      <c r="J2063" t="str">
        <f>MAIN!A2068&amp;"B"</f>
        <v>B</v>
      </c>
      <c r="K2063" s="12" t="e">
        <f t="shared" si="131"/>
        <v>#VALUE!</v>
      </c>
      <c r="L2063" t="str">
        <f>MAIN!C2068</f>
        <v/>
      </c>
    </row>
    <row r="2064" spans="1:12" x14ac:dyDescent="0.3">
      <c r="A2064">
        <f>IF(J2064="0",0,IF(COUNTIF($J$2:J2064,J2064)=1,1,0))</f>
        <v>0</v>
      </c>
      <c r="B2064" s="12" t="e">
        <f>MID(MAIN!A2069,K2064,2)</f>
        <v>#VALUE!</v>
      </c>
      <c r="C2064" s="12" t="e">
        <f t="shared" si="128"/>
        <v>#VALUE!</v>
      </c>
      <c r="D2064" s="12" t="e">
        <f>MID(MAIN!A2069,K2064+2,2)</f>
        <v>#VALUE!</v>
      </c>
      <c r="E2064" s="12" t="e">
        <f>MID(MAIN!A2069,K2064+4,2)</f>
        <v>#VALUE!</v>
      </c>
      <c r="F2064" s="2" t="e">
        <f t="shared" si="129"/>
        <v>#VALUE!</v>
      </c>
      <c r="G2064" s="13" t="e">
        <f t="shared" si="130"/>
        <v>#VALUE!</v>
      </c>
      <c r="J2064" t="str">
        <f>MAIN!A2069&amp;"B"</f>
        <v>B</v>
      </c>
      <c r="K2064" s="12" t="e">
        <f t="shared" si="131"/>
        <v>#VALUE!</v>
      </c>
      <c r="L2064" t="str">
        <f>MAIN!C2069</f>
        <v/>
      </c>
    </row>
    <row r="2065" spans="1:12" x14ac:dyDescent="0.3">
      <c r="A2065">
        <f>IF(J2065="0",0,IF(COUNTIF($J$2:J2065,J2065)=1,1,0))</f>
        <v>0</v>
      </c>
      <c r="B2065" s="12" t="e">
        <f>MID(MAIN!A2070,K2065,2)</f>
        <v>#VALUE!</v>
      </c>
      <c r="C2065" s="12" t="e">
        <f t="shared" si="128"/>
        <v>#VALUE!</v>
      </c>
      <c r="D2065" s="12" t="e">
        <f>MID(MAIN!A2070,K2065+2,2)</f>
        <v>#VALUE!</v>
      </c>
      <c r="E2065" s="12" t="e">
        <f>MID(MAIN!A2070,K2065+4,2)</f>
        <v>#VALUE!</v>
      </c>
      <c r="F2065" s="2" t="e">
        <f t="shared" si="129"/>
        <v>#VALUE!</v>
      </c>
      <c r="G2065" s="13" t="e">
        <f t="shared" si="130"/>
        <v>#VALUE!</v>
      </c>
      <c r="J2065" t="str">
        <f>MAIN!A2070&amp;"B"</f>
        <v>B</v>
      </c>
      <c r="K2065" s="12" t="e">
        <f t="shared" si="131"/>
        <v>#VALUE!</v>
      </c>
      <c r="L2065" t="str">
        <f>MAIN!C2070</f>
        <v/>
      </c>
    </row>
    <row r="2066" spans="1:12" x14ac:dyDescent="0.3">
      <c r="A2066">
        <f>IF(J2066="0",0,IF(COUNTIF($J$2:J2066,J2066)=1,1,0))</f>
        <v>0</v>
      </c>
      <c r="B2066" s="12" t="e">
        <f>MID(MAIN!A2071,K2066,2)</f>
        <v>#VALUE!</v>
      </c>
      <c r="C2066" s="12" t="e">
        <f t="shared" si="128"/>
        <v>#VALUE!</v>
      </c>
      <c r="D2066" s="12" t="e">
        <f>MID(MAIN!A2071,K2066+2,2)</f>
        <v>#VALUE!</v>
      </c>
      <c r="E2066" s="12" t="e">
        <f>MID(MAIN!A2071,K2066+4,2)</f>
        <v>#VALUE!</v>
      </c>
      <c r="F2066" s="2" t="e">
        <f t="shared" si="129"/>
        <v>#VALUE!</v>
      </c>
      <c r="G2066" s="13" t="e">
        <f t="shared" si="130"/>
        <v>#VALUE!</v>
      </c>
      <c r="J2066" t="str">
        <f>MAIN!A2071&amp;"B"</f>
        <v>B</v>
      </c>
      <c r="K2066" s="12" t="e">
        <f t="shared" si="131"/>
        <v>#VALUE!</v>
      </c>
      <c r="L2066" t="str">
        <f>MAIN!C2071</f>
        <v/>
      </c>
    </row>
    <row r="2067" spans="1:12" x14ac:dyDescent="0.3">
      <c r="A2067">
        <f>IF(J2067="0",0,IF(COUNTIF($J$2:J2067,J2067)=1,1,0))</f>
        <v>0</v>
      </c>
      <c r="B2067" s="12" t="e">
        <f>MID(MAIN!A2072,K2067,2)</f>
        <v>#VALUE!</v>
      </c>
      <c r="C2067" s="12" t="e">
        <f t="shared" si="128"/>
        <v>#VALUE!</v>
      </c>
      <c r="D2067" s="12" t="e">
        <f>MID(MAIN!A2072,K2067+2,2)</f>
        <v>#VALUE!</v>
      </c>
      <c r="E2067" s="12" t="e">
        <f>MID(MAIN!A2072,K2067+4,2)</f>
        <v>#VALUE!</v>
      </c>
      <c r="F2067" s="2" t="e">
        <f t="shared" si="129"/>
        <v>#VALUE!</v>
      </c>
      <c r="G2067" s="13" t="e">
        <f t="shared" si="130"/>
        <v>#VALUE!</v>
      </c>
      <c r="J2067" t="str">
        <f>MAIN!A2072&amp;"B"</f>
        <v>B</v>
      </c>
      <c r="K2067" s="12" t="e">
        <f t="shared" si="131"/>
        <v>#VALUE!</v>
      </c>
      <c r="L2067" t="str">
        <f>MAIN!C2072</f>
        <v/>
      </c>
    </row>
    <row r="2068" spans="1:12" x14ac:dyDescent="0.3">
      <c r="A2068">
        <f>IF(J2068="0",0,IF(COUNTIF($J$2:J2068,J2068)=1,1,0))</f>
        <v>0</v>
      </c>
      <c r="B2068" s="12" t="e">
        <f>MID(MAIN!A2073,K2068,2)</f>
        <v>#VALUE!</v>
      </c>
      <c r="C2068" s="12" t="e">
        <f t="shared" si="128"/>
        <v>#VALUE!</v>
      </c>
      <c r="D2068" s="12" t="e">
        <f>MID(MAIN!A2073,K2068+2,2)</f>
        <v>#VALUE!</v>
      </c>
      <c r="E2068" s="12" t="e">
        <f>MID(MAIN!A2073,K2068+4,2)</f>
        <v>#VALUE!</v>
      </c>
      <c r="F2068" s="2" t="e">
        <f t="shared" si="129"/>
        <v>#VALUE!</v>
      </c>
      <c r="G2068" s="13" t="e">
        <f t="shared" si="130"/>
        <v>#VALUE!</v>
      </c>
      <c r="J2068" t="str">
        <f>MAIN!A2073&amp;"B"</f>
        <v>B</v>
      </c>
      <c r="K2068" s="12" t="e">
        <f t="shared" si="131"/>
        <v>#VALUE!</v>
      </c>
      <c r="L2068" t="str">
        <f>MAIN!C2073</f>
        <v/>
      </c>
    </row>
    <row r="2069" spans="1:12" x14ac:dyDescent="0.3">
      <c r="A2069">
        <f>IF(J2069="0",0,IF(COUNTIF($J$2:J2069,J2069)=1,1,0))</f>
        <v>0</v>
      </c>
      <c r="B2069" s="12" t="e">
        <f>MID(MAIN!A2074,K2069,2)</f>
        <v>#VALUE!</v>
      </c>
      <c r="C2069" s="12" t="e">
        <f t="shared" si="128"/>
        <v>#VALUE!</v>
      </c>
      <c r="D2069" s="12" t="e">
        <f>MID(MAIN!A2074,K2069+2,2)</f>
        <v>#VALUE!</v>
      </c>
      <c r="E2069" s="12" t="e">
        <f>MID(MAIN!A2074,K2069+4,2)</f>
        <v>#VALUE!</v>
      </c>
      <c r="F2069" s="2" t="e">
        <f t="shared" si="129"/>
        <v>#VALUE!</v>
      </c>
      <c r="G2069" s="13" t="e">
        <f t="shared" si="130"/>
        <v>#VALUE!</v>
      </c>
      <c r="J2069" t="str">
        <f>MAIN!A2074&amp;"B"</f>
        <v>B</v>
      </c>
      <c r="K2069" s="12" t="e">
        <f t="shared" si="131"/>
        <v>#VALUE!</v>
      </c>
      <c r="L2069" t="str">
        <f>MAIN!C2074</f>
        <v/>
      </c>
    </row>
    <row r="2070" spans="1:12" x14ac:dyDescent="0.3">
      <c r="A2070">
        <f>IF(J2070="0",0,IF(COUNTIF($J$2:J2070,J2070)=1,1,0))</f>
        <v>0</v>
      </c>
      <c r="B2070" s="12" t="e">
        <f>MID(MAIN!A2075,K2070,2)</f>
        <v>#VALUE!</v>
      </c>
      <c r="C2070" s="12" t="e">
        <f t="shared" si="128"/>
        <v>#VALUE!</v>
      </c>
      <c r="D2070" s="12" t="e">
        <f>MID(MAIN!A2075,K2070+2,2)</f>
        <v>#VALUE!</v>
      </c>
      <c r="E2070" s="12" t="e">
        <f>MID(MAIN!A2075,K2070+4,2)</f>
        <v>#VALUE!</v>
      </c>
      <c r="F2070" s="2" t="e">
        <f t="shared" si="129"/>
        <v>#VALUE!</v>
      </c>
      <c r="G2070" s="13" t="e">
        <f t="shared" si="130"/>
        <v>#VALUE!</v>
      </c>
      <c r="J2070" t="str">
        <f>MAIN!A2075&amp;"B"</f>
        <v>B</v>
      </c>
      <c r="K2070" s="12" t="e">
        <f t="shared" si="131"/>
        <v>#VALUE!</v>
      </c>
      <c r="L2070" t="str">
        <f>MAIN!C2075</f>
        <v/>
      </c>
    </row>
    <row r="2071" spans="1:12" x14ac:dyDescent="0.3">
      <c r="A2071">
        <f>IF(J2071="0",0,IF(COUNTIF($J$2:J2071,J2071)=1,1,0))</f>
        <v>0</v>
      </c>
      <c r="B2071" s="12" t="e">
        <f>MID(MAIN!A2076,K2071,2)</f>
        <v>#VALUE!</v>
      </c>
      <c r="C2071" s="12" t="e">
        <f t="shared" si="128"/>
        <v>#VALUE!</v>
      </c>
      <c r="D2071" s="12" t="e">
        <f>MID(MAIN!A2076,K2071+2,2)</f>
        <v>#VALUE!</v>
      </c>
      <c r="E2071" s="12" t="e">
        <f>MID(MAIN!A2076,K2071+4,2)</f>
        <v>#VALUE!</v>
      </c>
      <c r="F2071" s="2" t="e">
        <f t="shared" si="129"/>
        <v>#VALUE!</v>
      </c>
      <c r="G2071" s="13" t="e">
        <f t="shared" si="130"/>
        <v>#VALUE!</v>
      </c>
      <c r="J2071" t="str">
        <f>MAIN!A2076&amp;"B"</f>
        <v>B</v>
      </c>
      <c r="K2071" s="12" t="e">
        <f t="shared" si="131"/>
        <v>#VALUE!</v>
      </c>
      <c r="L2071" t="str">
        <f>MAIN!C2076</f>
        <v/>
      </c>
    </row>
    <row r="2072" spans="1:12" x14ac:dyDescent="0.3">
      <c r="A2072">
        <f>IF(J2072="0",0,IF(COUNTIF($J$2:J2072,J2072)=1,1,0))</f>
        <v>0</v>
      </c>
      <c r="B2072" s="12" t="e">
        <f>MID(MAIN!A2077,K2072,2)</f>
        <v>#VALUE!</v>
      </c>
      <c r="C2072" s="12" t="e">
        <f t="shared" si="128"/>
        <v>#VALUE!</v>
      </c>
      <c r="D2072" s="12" t="e">
        <f>MID(MAIN!A2077,K2072+2,2)</f>
        <v>#VALUE!</v>
      </c>
      <c r="E2072" s="12" t="e">
        <f>MID(MAIN!A2077,K2072+4,2)</f>
        <v>#VALUE!</v>
      </c>
      <c r="F2072" s="2" t="e">
        <f t="shared" si="129"/>
        <v>#VALUE!</v>
      </c>
      <c r="G2072" s="13" t="e">
        <f t="shared" si="130"/>
        <v>#VALUE!</v>
      </c>
      <c r="J2072" t="str">
        <f>MAIN!A2077&amp;"B"</f>
        <v>B</v>
      </c>
      <c r="K2072" s="12" t="e">
        <f t="shared" si="131"/>
        <v>#VALUE!</v>
      </c>
      <c r="L2072" t="str">
        <f>MAIN!C2077</f>
        <v/>
      </c>
    </row>
    <row r="2073" spans="1:12" x14ac:dyDescent="0.3">
      <c r="A2073">
        <f>IF(J2073="0",0,IF(COUNTIF($J$2:J2073,J2073)=1,1,0))</f>
        <v>0</v>
      </c>
      <c r="B2073" s="12" t="e">
        <f>MID(MAIN!A2078,K2073,2)</f>
        <v>#VALUE!</v>
      </c>
      <c r="C2073" s="12" t="e">
        <f t="shared" si="128"/>
        <v>#VALUE!</v>
      </c>
      <c r="D2073" s="12" t="e">
        <f>MID(MAIN!A2078,K2073+2,2)</f>
        <v>#VALUE!</v>
      </c>
      <c r="E2073" s="12" t="e">
        <f>MID(MAIN!A2078,K2073+4,2)</f>
        <v>#VALUE!</v>
      </c>
      <c r="F2073" s="2" t="e">
        <f t="shared" si="129"/>
        <v>#VALUE!</v>
      </c>
      <c r="G2073" s="13" t="e">
        <f t="shared" si="130"/>
        <v>#VALUE!</v>
      </c>
      <c r="J2073" t="str">
        <f>MAIN!A2078&amp;"B"</f>
        <v>B</v>
      </c>
      <c r="K2073" s="12" t="e">
        <f t="shared" si="131"/>
        <v>#VALUE!</v>
      </c>
      <c r="L2073" t="str">
        <f>MAIN!C2078</f>
        <v/>
      </c>
    </row>
    <row r="2074" spans="1:12" x14ac:dyDescent="0.3">
      <c r="A2074">
        <f>IF(J2074="0",0,IF(COUNTIF($J$2:J2074,J2074)=1,1,0))</f>
        <v>0</v>
      </c>
      <c r="B2074" s="12" t="e">
        <f>MID(MAIN!A2079,K2074,2)</f>
        <v>#VALUE!</v>
      </c>
      <c r="C2074" s="12" t="e">
        <f t="shared" si="128"/>
        <v>#VALUE!</v>
      </c>
      <c r="D2074" s="12" t="e">
        <f>MID(MAIN!A2079,K2074+2,2)</f>
        <v>#VALUE!</v>
      </c>
      <c r="E2074" s="12" t="e">
        <f>MID(MAIN!A2079,K2074+4,2)</f>
        <v>#VALUE!</v>
      </c>
      <c r="F2074" s="2" t="e">
        <f t="shared" si="129"/>
        <v>#VALUE!</v>
      </c>
      <c r="G2074" s="13" t="e">
        <f t="shared" si="130"/>
        <v>#VALUE!</v>
      </c>
      <c r="J2074" t="str">
        <f>MAIN!A2079&amp;"B"</f>
        <v>B</v>
      </c>
      <c r="K2074" s="12" t="e">
        <f t="shared" si="131"/>
        <v>#VALUE!</v>
      </c>
      <c r="L2074" t="str">
        <f>MAIN!C2079</f>
        <v/>
      </c>
    </row>
    <row r="2075" spans="1:12" x14ac:dyDescent="0.3">
      <c r="A2075">
        <f>IF(J2075="0",0,IF(COUNTIF($J$2:J2075,J2075)=1,1,0))</f>
        <v>0</v>
      </c>
      <c r="B2075" s="12" t="e">
        <f>MID(MAIN!A2080,K2075,2)</f>
        <v>#VALUE!</v>
      </c>
      <c r="C2075" s="12" t="e">
        <f t="shared" si="128"/>
        <v>#VALUE!</v>
      </c>
      <c r="D2075" s="12" t="e">
        <f>MID(MAIN!A2080,K2075+2,2)</f>
        <v>#VALUE!</v>
      </c>
      <c r="E2075" s="12" t="e">
        <f>MID(MAIN!A2080,K2075+4,2)</f>
        <v>#VALUE!</v>
      </c>
      <c r="F2075" s="2" t="e">
        <f t="shared" si="129"/>
        <v>#VALUE!</v>
      </c>
      <c r="G2075" s="13" t="e">
        <f t="shared" si="130"/>
        <v>#VALUE!</v>
      </c>
      <c r="J2075" t="str">
        <f>MAIN!A2080&amp;"B"</f>
        <v>B</v>
      </c>
      <c r="K2075" s="12" t="e">
        <f t="shared" si="131"/>
        <v>#VALUE!</v>
      </c>
      <c r="L2075" t="str">
        <f>MAIN!C2080</f>
        <v/>
      </c>
    </row>
    <row r="2076" spans="1:12" x14ac:dyDescent="0.3">
      <c r="A2076">
        <f>IF(J2076="0",0,IF(COUNTIF($J$2:J2076,J2076)=1,1,0))</f>
        <v>0</v>
      </c>
      <c r="B2076" s="12" t="e">
        <f>MID(MAIN!A2081,K2076,2)</f>
        <v>#VALUE!</v>
      </c>
      <c r="C2076" s="12" t="e">
        <f t="shared" si="128"/>
        <v>#VALUE!</v>
      </c>
      <c r="D2076" s="12" t="e">
        <f>MID(MAIN!A2081,K2076+2,2)</f>
        <v>#VALUE!</v>
      </c>
      <c r="E2076" s="12" t="e">
        <f>MID(MAIN!A2081,K2076+4,2)</f>
        <v>#VALUE!</v>
      </c>
      <c r="F2076" s="2" t="e">
        <f t="shared" si="129"/>
        <v>#VALUE!</v>
      </c>
      <c r="G2076" s="13" t="e">
        <f t="shared" si="130"/>
        <v>#VALUE!</v>
      </c>
      <c r="J2076" t="str">
        <f>MAIN!A2081&amp;"B"</f>
        <v>B</v>
      </c>
      <c r="K2076" s="12" t="e">
        <f t="shared" si="131"/>
        <v>#VALUE!</v>
      </c>
      <c r="L2076" t="str">
        <f>MAIN!C2081</f>
        <v/>
      </c>
    </row>
    <row r="2077" spans="1:12" x14ac:dyDescent="0.3">
      <c r="A2077">
        <f>IF(J2077="0",0,IF(COUNTIF($J$2:J2077,J2077)=1,1,0))</f>
        <v>0</v>
      </c>
      <c r="B2077" s="12" t="e">
        <f>MID(MAIN!A2082,K2077,2)</f>
        <v>#VALUE!</v>
      </c>
      <c r="C2077" s="12" t="e">
        <f t="shared" si="128"/>
        <v>#VALUE!</v>
      </c>
      <c r="D2077" s="12" t="e">
        <f>MID(MAIN!A2082,K2077+2,2)</f>
        <v>#VALUE!</v>
      </c>
      <c r="E2077" s="12" t="e">
        <f>MID(MAIN!A2082,K2077+4,2)</f>
        <v>#VALUE!</v>
      </c>
      <c r="F2077" s="2" t="e">
        <f t="shared" si="129"/>
        <v>#VALUE!</v>
      </c>
      <c r="G2077" s="13" t="e">
        <f t="shared" si="130"/>
        <v>#VALUE!</v>
      </c>
      <c r="J2077" t="str">
        <f>MAIN!A2082&amp;"B"</f>
        <v>B</v>
      </c>
      <c r="K2077" s="12" t="e">
        <f t="shared" si="131"/>
        <v>#VALUE!</v>
      </c>
      <c r="L2077" t="str">
        <f>MAIN!C2082</f>
        <v/>
      </c>
    </row>
    <row r="2078" spans="1:12" x14ac:dyDescent="0.3">
      <c r="A2078">
        <f>IF(J2078="0",0,IF(COUNTIF($J$2:J2078,J2078)=1,1,0))</f>
        <v>0</v>
      </c>
      <c r="B2078" s="12" t="e">
        <f>MID(MAIN!A2083,K2078,2)</f>
        <v>#VALUE!</v>
      </c>
      <c r="C2078" s="12" t="e">
        <f t="shared" si="128"/>
        <v>#VALUE!</v>
      </c>
      <c r="D2078" s="12" t="e">
        <f>MID(MAIN!A2083,K2078+2,2)</f>
        <v>#VALUE!</v>
      </c>
      <c r="E2078" s="12" t="e">
        <f>MID(MAIN!A2083,K2078+4,2)</f>
        <v>#VALUE!</v>
      </c>
      <c r="F2078" s="2" t="e">
        <f t="shared" si="129"/>
        <v>#VALUE!</v>
      </c>
      <c r="G2078" s="13" t="e">
        <f t="shared" si="130"/>
        <v>#VALUE!</v>
      </c>
      <c r="J2078" t="str">
        <f>MAIN!A2083&amp;"B"</f>
        <v>B</v>
      </c>
      <c r="K2078" s="12" t="e">
        <f t="shared" si="131"/>
        <v>#VALUE!</v>
      </c>
      <c r="L2078" t="str">
        <f>MAIN!C2083</f>
        <v/>
      </c>
    </row>
    <row r="2079" spans="1:12" x14ac:dyDescent="0.3">
      <c r="A2079">
        <f>IF(J2079="0",0,IF(COUNTIF($J$2:J2079,J2079)=1,1,0))</f>
        <v>0</v>
      </c>
      <c r="B2079" s="12" t="e">
        <f>MID(MAIN!A2084,K2079,2)</f>
        <v>#VALUE!</v>
      </c>
      <c r="C2079" s="12" t="e">
        <f t="shared" si="128"/>
        <v>#VALUE!</v>
      </c>
      <c r="D2079" s="12" t="e">
        <f>MID(MAIN!A2084,K2079+2,2)</f>
        <v>#VALUE!</v>
      </c>
      <c r="E2079" s="12" t="e">
        <f>MID(MAIN!A2084,K2079+4,2)</f>
        <v>#VALUE!</v>
      </c>
      <c r="F2079" s="2" t="e">
        <f t="shared" si="129"/>
        <v>#VALUE!</v>
      </c>
      <c r="G2079" s="13" t="e">
        <f t="shared" si="130"/>
        <v>#VALUE!</v>
      </c>
      <c r="J2079" t="str">
        <f>MAIN!A2084&amp;"B"</f>
        <v>B</v>
      </c>
      <c r="K2079" s="12" t="e">
        <f t="shared" si="131"/>
        <v>#VALUE!</v>
      </c>
      <c r="L2079" t="str">
        <f>MAIN!C2084</f>
        <v/>
      </c>
    </row>
    <row r="2080" spans="1:12" x14ac:dyDescent="0.3">
      <c r="A2080">
        <f>IF(J2080="0",0,IF(COUNTIF($J$2:J2080,J2080)=1,1,0))</f>
        <v>0</v>
      </c>
      <c r="B2080" s="12" t="e">
        <f>MID(MAIN!A2085,K2080,2)</f>
        <v>#VALUE!</v>
      </c>
      <c r="C2080" s="12" t="e">
        <f t="shared" si="128"/>
        <v>#VALUE!</v>
      </c>
      <c r="D2080" s="12" t="e">
        <f>MID(MAIN!A2085,K2080+2,2)</f>
        <v>#VALUE!</v>
      </c>
      <c r="E2080" s="12" t="e">
        <f>MID(MAIN!A2085,K2080+4,2)</f>
        <v>#VALUE!</v>
      </c>
      <c r="F2080" s="2" t="e">
        <f t="shared" si="129"/>
        <v>#VALUE!</v>
      </c>
      <c r="G2080" s="13" t="e">
        <f t="shared" si="130"/>
        <v>#VALUE!</v>
      </c>
      <c r="J2080" t="str">
        <f>MAIN!A2085&amp;"B"</f>
        <v>B</v>
      </c>
      <c r="K2080" s="12" t="e">
        <f t="shared" si="131"/>
        <v>#VALUE!</v>
      </c>
      <c r="L2080" t="str">
        <f>MAIN!C2085</f>
        <v/>
      </c>
    </row>
    <row r="2081" spans="1:12" x14ac:dyDescent="0.3">
      <c r="A2081">
        <f>IF(J2081="0",0,IF(COUNTIF($J$2:J2081,J2081)=1,1,0))</f>
        <v>0</v>
      </c>
      <c r="B2081" s="12" t="e">
        <f>MID(MAIN!A2086,K2081,2)</f>
        <v>#VALUE!</v>
      </c>
      <c r="C2081" s="12" t="e">
        <f t="shared" si="128"/>
        <v>#VALUE!</v>
      </c>
      <c r="D2081" s="12" t="e">
        <f>MID(MAIN!A2086,K2081+2,2)</f>
        <v>#VALUE!</v>
      </c>
      <c r="E2081" s="12" t="e">
        <f>MID(MAIN!A2086,K2081+4,2)</f>
        <v>#VALUE!</v>
      </c>
      <c r="F2081" s="2" t="e">
        <f t="shared" si="129"/>
        <v>#VALUE!</v>
      </c>
      <c r="G2081" s="13" t="e">
        <f t="shared" si="130"/>
        <v>#VALUE!</v>
      </c>
      <c r="J2081" t="str">
        <f>MAIN!A2086&amp;"B"</f>
        <v>B</v>
      </c>
      <c r="K2081" s="12" t="e">
        <f t="shared" si="131"/>
        <v>#VALUE!</v>
      </c>
      <c r="L2081" t="str">
        <f>MAIN!C2086</f>
        <v/>
      </c>
    </row>
    <row r="2082" spans="1:12" x14ac:dyDescent="0.3">
      <c r="A2082">
        <f>IF(J2082="0",0,IF(COUNTIF($J$2:J2082,J2082)=1,1,0))</f>
        <v>0</v>
      </c>
      <c r="B2082" s="12" t="e">
        <f>MID(MAIN!A2087,K2082,2)</f>
        <v>#VALUE!</v>
      </c>
      <c r="C2082" s="12" t="e">
        <f t="shared" si="128"/>
        <v>#VALUE!</v>
      </c>
      <c r="D2082" s="12" t="e">
        <f>MID(MAIN!A2087,K2082+2,2)</f>
        <v>#VALUE!</v>
      </c>
      <c r="E2082" s="12" t="e">
        <f>MID(MAIN!A2087,K2082+4,2)</f>
        <v>#VALUE!</v>
      </c>
      <c r="F2082" s="2" t="e">
        <f t="shared" si="129"/>
        <v>#VALUE!</v>
      </c>
      <c r="G2082" s="13" t="e">
        <f t="shared" si="130"/>
        <v>#VALUE!</v>
      </c>
      <c r="J2082" t="str">
        <f>MAIN!A2087&amp;"B"</f>
        <v>B</v>
      </c>
      <c r="K2082" s="12" t="e">
        <f t="shared" si="131"/>
        <v>#VALUE!</v>
      </c>
      <c r="L2082" t="str">
        <f>MAIN!C2087</f>
        <v/>
      </c>
    </row>
    <row r="2083" spans="1:12" x14ac:dyDescent="0.3">
      <c r="A2083">
        <f>IF(J2083="0",0,IF(COUNTIF($J$2:J2083,J2083)=1,1,0))</f>
        <v>0</v>
      </c>
      <c r="B2083" s="12" t="e">
        <f>MID(MAIN!A2088,K2083,2)</f>
        <v>#VALUE!</v>
      </c>
      <c r="C2083" s="12" t="e">
        <f t="shared" si="128"/>
        <v>#VALUE!</v>
      </c>
      <c r="D2083" s="12" t="e">
        <f>MID(MAIN!A2088,K2083+2,2)</f>
        <v>#VALUE!</v>
      </c>
      <c r="E2083" s="12" t="e">
        <f>MID(MAIN!A2088,K2083+4,2)</f>
        <v>#VALUE!</v>
      </c>
      <c r="F2083" s="2" t="e">
        <f t="shared" si="129"/>
        <v>#VALUE!</v>
      </c>
      <c r="G2083" s="13" t="e">
        <f t="shared" si="130"/>
        <v>#VALUE!</v>
      </c>
      <c r="J2083" t="str">
        <f>MAIN!A2088&amp;"B"</f>
        <v>B</v>
      </c>
      <c r="K2083" s="12" t="e">
        <f t="shared" si="131"/>
        <v>#VALUE!</v>
      </c>
      <c r="L2083" t="str">
        <f>MAIN!C2088</f>
        <v/>
      </c>
    </row>
    <row r="2084" spans="1:12" x14ac:dyDescent="0.3">
      <c r="A2084">
        <f>IF(J2084="0",0,IF(COUNTIF($J$2:J2084,J2084)=1,1,0))</f>
        <v>0</v>
      </c>
      <c r="B2084" s="12" t="e">
        <f>MID(MAIN!A2089,K2084,2)</f>
        <v>#VALUE!</v>
      </c>
      <c r="C2084" s="12" t="e">
        <f t="shared" si="128"/>
        <v>#VALUE!</v>
      </c>
      <c r="D2084" s="12" t="e">
        <f>MID(MAIN!A2089,K2084+2,2)</f>
        <v>#VALUE!</v>
      </c>
      <c r="E2084" s="12" t="e">
        <f>MID(MAIN!A2089,K2084+4,2)</f>
        <v>#VALUE!</v>
      </c>
      <c r="F2084" s="2" t="e">
        <f t="shared" si="129"/>
        <v>#VALUE!</v>
      </c>
      <c r="G2084" s="13" t="e">
        <f t="shared" si="130"/>
        <v>#VALUE!</v>
      </c>
      <c r="J2084" t="str">
        <f>MAIN!A2089&amp;"B"</f>
        <v>B</v>
      </c>
      <c r="K2084" s="12" t="e">
        <f t="shared" si="131"/>
        <v>#VALUE!</v>
      </c>
      <c r="L2084" t="str">
        <f>MAIN!C2089</f>
        <v/>
      </c>
    </row>
    <row r="2085" spans="1:12" x14ac:dyDescent="0.3">
      <c r="A2085">
        <f>IF(J2085="0",0,IF(COUNTIF($J$2:J2085,J2085)=1,1,0))</f>
        <v>0</v>
      </c>
      <c r="B2085" s="12" t="e">
        <f>MID(MAIN!A2090,K2085,2)</f>
        <v>#VALUE!</v>
      </c>
      <c r="C2085" s="12" t="e">
        <f t="shared" si="128"/>
        <v>#VALUE!</v>
      </c>
      <c r="D2085" s="12" t="e">
        <f>MID(MAIN!A2090,K2085+2,2)</f>
        <v>#VALUE!</v>
      </c>
      <c r="E2085" s="12" t="e">
        <f>MID(MAIN!A2090,K2085+4,2)</f>
        <v>#VALUE!</v>
      </c>
      <c r="F2085" s="2" t="e">
        <f t="shared" si="129"/>
        <v>#VALUE!</v>
      </c>
      <c r="G2085" s="13" t="e">
        <f t="shared" si="130"/>
        <v>#VALUE!</v>
      </c>
      <c r="J2085" t="str">
        <f>MAIN!A2090&amp;"B"</f>
        <v>B</v>
      </c>
      <c r="K2085" s="12" t="e">
        <f t="shared" si="131"/>
        <v>#VALUE!</v>
      </c>
      <c r="L2085" t="str">
        <f>MAIN!C2090</f>
        <v/>
      </c>
    </row>
    <row r="2086" spans="1:12" x14ac:dyDescent="0.3">
      <c r="A2086">
        <f>IF(J2086="0",0,IF(COUNTIF($J$2:J2086,J2086)=1,1,0))</f>
        <v>0</v>
      </c>
      <c r="B2086" s="12" t="e">
        <f>MID(MAIN!A2091,K2086,2)</f>
        <v>#VALUE!</v>
      </c>
      <c r="C2086" s="12" t="e">
        <f t="shared" si="128"/>
        <v>#VALUE!</v>
      </c>
      <c r="D2086" s="12" t="e">
        <f>MID(MAIN!A2091,K2086+2,2)</f>
        <v>#VALUE!</v>
      </c>
      <c r="E2086" s="12" t="e">
        <f>MID(MAIN!A2091,K2086+4,2)</f>
        <v>#VALUE!</v>
      </c>
      <c r="F2086" s="2" t="e">
        <f t="shared" si="129"/>
        <v>#VALUE!</v>
      </c>
      <c r="G2086" s="13" t="e">
        <f t="shared" si="130"/>
        <v>#VALUE!</v>
      </c>
      <c r="J2086" t="str">
        <f>MAIN!A2091&amp;"B"</f>
        <v>B</v>
      </c>
      <c r="K2086" s="12" t="e">
        <f t="shared" si="131"/>
        <v>#VALUE!</v>
      </c>
      <c r="L2086" t="str">
        <f>MAIN!C2091</f>
        <v/>
      </c>
    </row>
    <row r="2087" spans="1:12" x14ac:dyDescent="0.3">
      <c r="A2087">
        <f>IF(J2087="0",0,IF(COUNTIF($J$2:J2087,J2087)=1,1,0))</f>
        <v>0</v>
      </c>
      <c r="B2087" s="12" t="e">
        <f>MID(MAIN!A2092,K2087,2)</f>
        <v>#VALUE!</v>
      </c>
      <c r="C2087" s="12" t="e">
        <f t="shared" si="128"/>
        <v>#VALUE!</v>
      </c>
      <c r="D2087" s="12" t="e">
        <f>MID(MAIN!A2092,K2087+2,2)</f>
        <v>#VALUE!</v>
      </c>
      <c r="E2087" s="12" t="e">
        <f>MID(MAIN!A2092,K2087+4,2)</f>
        <v>#VALUE!</v>
      </c>
      <c r="F2087" s="2" t="e">
        <f t="shared" si="129"/>
        <v>#VALUE!</v>
      </c>
      <c r="G2087" s="13" t="e">
        <f t="shared" si="130"/>
        <v>#VALUE!</v>
      </c>
      <c r="J2087" t="str">
        <f>MAIN!A2092&amp;"B"</f>
        <v>B</v>
      </c>
      <c r="K2087" s="12" t="e">
        <f t="shared" si="131"/>
        <v>#VALUE!</v>
      </c>
      <c r="L2087" t="str">
        <f>MAIN!C2092</f>
        <v/>
      </c>
    </row>
    <row r="2088" spans="1:12" x14ac:dyDescent="0.3">
      <c r="A2088">
        <f>IF(J2088="0",0,IF(COUNTIF($J$2:J2088,J2088)=1,1,0))</f>
        <v>0</v>
      </c>
      <c r="B2088" s="12" t="e">
        <f>MID(MAIN!A2093,K2088,2)</f>
        <v>#VALUE!</v>
      </c>
      <c r="C2088" s="12" t="e">
        <f t="shared" si="128"/>
        <v>#VALUE!</v>
      </c>
      <c r="D2088" s="12" t="e">
        <f>MID(MAIN!A2093,K2088+2,2)</f>
        <v>#VALUE!</v>
      </c>
      <c r="E2088" s="12" t="e">
        <f>MID(MAIN!A2093,K2088+4,2)</f>
        <v>#VALUE!</v>
      </c>
      <c r="F2088" s="2" t="e">
        <f t="shared" si="129"/>
        <v>#VALUE!</v>
      </c>
      <c r="G2088" s="13" t="e">
        <f t="shared" si="130"/>
        <v>#VALUE!</v>
      </c>
      <c r="J2088" t="str">
        <f>MAIN!A2093&amp;"B"</f>
        <v>B</v>
      </c>
      <c r="K2088" s="12" t="e">
        <f t="shared" si="131"/>
        <v>#VALUE!</v>
      </c>
      <c r="L2088" t="str">
        <f>MAIN!C2093</f>
        <v/>
      </c>
    </row>
    <row r="2089" spans="1:12" x14ac:dyDescent="0.3">
      <c r="A2089">
        <f>IF(J2089="0",0,IF(COUNTIF($J$2:J2089,J2089)=1,1,0))</f>
        <v>0</v>
      </c>
      <c r="B2089" s="12" t="e">
        <f>MID(MAIN!A2094,K2089,2)</f>
        <v>#VALUE!</v>
      </c>
      <c r="C2089" s="12" t="e">
        <f t="shared" si="128"/>
        <v>#VALUE!</v>
      </c>
      <c r="D2089" s="12" t="e">
        <f>MID(MAIN!A2094,K2089+2,2)</f>
        <v>#VALUE!</v>
      </c>
      <c r="E2089" s="12" t="e">
        <f>MID(MAIN!A2094,K2089+4,2)</f>
        <v>#VALUE!</v>
      </c>
      <c r="F2089" s="2" t="e">
        <f t="shared" si="129"/>
        <v>#VALUE!</v>
      </c>
      <c r="G2089" s="13" t="e">
        <f t="shared" si="130"/>
        <v>#VALUE!</v>
      </c>
      <c r="J2089" t="str">
        <f>MAIN!A2094&amp;"B"</f>
        <v>B</v>
      </c>
      <c r="K2089" s="12" t="e">
        <f t="shared" si="131"/>
        <v>#VALUE!</v>
      </c>
      <c r="L2089" t="str">
        <f>MAIN!C2094</f>
        <v/>
      </c>
    </row>
    <row r="2090" spans="1:12" x14ac:dyDescent="0.3">
      <c r="A2090">
        <f>IF(J2090="0",0,IF(COUNTIF($J$2:J2090,J2090)=1,1,0))</f>
        <v>0</v>
      </c>
      <c r="B2090" s="12" t="e">
        <f>MID(MAIN!A2095,K2090,2)</f>
        <v>#VALUE!</v>
      </c>
      <c r="C2090" s="12" t="e">
        <f t="shared" si="128"/>
        <v>#VALUE!</v>
      </c>
      <c r="D2090" s="12" t="e">
        <f>MID(MAIN!A2095,K2090+2,2)</f>
        <v>#VALUE!</v>
      </c>
      <c r="E2090" s="12" t="e">
        <f>MID(MAIN!A2095,K2090+4,2)</f>
        <v>#VALUE!</v>
      </c>
      <c r="F2090" s="2" t="e">
        <f t="shared" si="129"/>
        <v>#VALUE!</v>
      </c>
      <c r="G2090" s="13" t="e">
        <f t="shared" si="130"/>
        <v>#VALUE!</v>
      </c>
      <c r="J2090" t="str">
        <f>MAIN!A2095&amp;"B"</f>
        <v>B</v>
      </c>
      <c r="K2090" s="12" t="e">
        <f t="shared" si="131"/>
        <v>#VALUE!</v>
      </c>
      <c r="L2090" t="str">
        <f>MAIN!C2095</f>
        <v/>
      </c>
    </row>
    <row r="2091" spans="1:12" x14ac:dyDescent="0.3">
      <c r="A2091">
        <f>IF(J2091="0",0,IF(COUNTIF($J$2:J2091,J2091)=1,1,0))</f>
        <v>0</v>
      </c>
      <c r="B2091" s="12" t="e">
        <f>MID(MAIN!A2096,K2091,2)</f>
        <v>#VALUE!</v>
      </c>
      <c r="C2091" s="12" t="e">
        <f t="shared" si="128"/>
        <v>#VALUE!</v>
      </c>
      <c r="D2091" s="12" t="e">
        <f>MID(MAIN!A2096,K2091+2,2)</f>
        <v>#VALUE!</v>
      </c>
      <c r="E2091" s="12" t="e">
        <f>MID(MAIN!A2096,K2091+4,2)</f>
        <v>#VALUE!</v>
      </c>
      <c r="F2091" s="2" t="e">
        <f t="shared" si="129"/>
        <v>#VALUE!</v>
      </c>
      <c r="G2091" s="13" t="e">
        <f t="shared" si="130"/>
        <v>#VALUE!</v>
      </c>
      <c r="J2091" t="str">
        <f>MAIN!A2096&amp;"B"</f>
        <v>B</v>
      </c>
      <c r="K2091" s="12" t="e">
        <f t="shared" si="131"/>
        <v>#VALUE!</v>
      </c>
      <c r="L2091" t="str">
        <f>MAIN!C2096</f>
        <v/>
      </c>
    </row>
    <row r="2092" spans="1:12" x14ac:dyDescent="0.3">
      <c r="A2092">
        <f>IF(J2092="0",0,IF(COUNTIF($J$2:J2092,J2092)=1,1,0))</f>
        <v>0</v>
      </c>
      <c r="B2092" s="12" t="e">
        <f>MID(MAIN!A2097,K2092,2)</f>
        <v>#VALUE!</v>
      </c>
      <c r="C2092" s="12" t="e">
        <f t="shared" si="128"/>
        <v>#VALUE!</v>
      </c>
      <c r="D2092" s="12" t="e">
        <f>MID(MAIN!A2097,K2092+2,2)</f>
        <v>#VALUE!</v>
      </c>
      <c r="E2092" s="12" t="e">
        <f>MID(MAIN!A2097,K2092+4,2)</f>
        <v>#VALUE!</v>
      </c>
      <c r="F2092" s="2" t="e">
        <f t="shared" si="129"/>
        <v>#VALUE!</v>
      </c>
      <c r="G2092" s="13" t="e">
        <f t="shared" si="130"/>
        <v>#VALUE!</v>
      </c>
      <c r="J2092" t="str">
        <f>MAIN!A2097&amp;"B"</f>
        <v>B</v>
      </c>
      <c r="K2092" s="12" t="e">
        <f t="shared" si="131"/>
        <v>#VALUE!</v>
      </c>
      <c r="L2092" t="str">
        <f>MAIN!C2097</f>
        <v/>
      </c>
    </row>
    <row r="2093" spans="1:12" x14ac:dyDescent="0.3">
      <c r="A2093">
        <f>IF(J2093="0",0,IF(COUNTIF($J$2:J2093,J2093)=1,1,0))</f>
        <v>0</v>
      </c>
      <c r="B2093" s="12" t="e">
        <f>MID(MAIN!A2098,K2093,2)</f>
        <v>#VALUE!</v>
      </c>
      <c r="C2093" s="12" t="e">
        <f t="shared" si="128"/>
        <v>#VALUE!</v>
      </c>
      <c r="D2093" s="12" t="e">
        <f>MID(MAIN!A2098,K2093+2,2)</f>
        <v>#VALUE!</v>
      </c>
      <c r="E2093" s="12" t="e">
        <f>MID(MAIN!A2098,K2093+4,2)</f>
        <v>#VALUE!</v>
      </c>
      <c r="F2093" s="2" t="e">
        <f t="shared" si="129"/>
        <v>#VALUE!</v>
      </c>
      <c r="G2093" s="13" t="e">
        <f t="shared" si="130"/>
        <v>#VALUE!</v>
      </c>
      <c r="J2093" t="str">
        <f>MAIN!A2098&amp;"B"</f>
        <v>B</v>
      </c>
      <c r="K2093" s="12" t="e">
        <f t="shared" si="131"/>
        <v>#VALUE!</v>
      </c>
      <c r="L2093" t="str">
        <f>MAIN!C2098</f>
        <v/>
      </c>
    </row>
    <row r="2094" spans="1:12" x14ac:dyDescent="0.3">
      <c r="A2094">
        <f>IF(J2094="0",0,IF(COUNTIF($J$2:J2094,J2094)=1,1,0))</f>
        <v>0</v>
      </c>
      <c r="B2094" s="12" t="e">
        <f>MID(MAIN!A2099,K2094,2)</f>
        <v>#VALUE!</v>
      </c>
      <c r="C2094" s="12" t="e">
        <f t="shared" si="128"/>
        <v>#VALUE!</v>
      </c>
      <c r="D2094" s="12" t="e">
        <f>MID(MAIN!A2099,K2094+2,2)</f>
        <v>#VALUE!</v>
      </c>
      <c r="E2094" s="12" t="e">
        <f>MID(MAIN!A2099,K2094+4,2)</f>
        <v>#VALUE!</v>
      </c>
      <c r="F2094" s="2" t="e">
        <f t="shared" si="129"/>
        <v>#VALUE!</v>
      </c>
      <c r="G2094" s="13" t="e">
        <f t="shared" si="130"/>
        <v>#VALUE!</v>
      </c>
      <c r="J2094" t="str">
        <f>MAIN!A2099&amp;"B"</f>
        <v>B</v>
      </c>
      <c r="K2094" s="12" t="e">
        <f t="shared" si="131"/>
        <v>#VALUE!</v>
      </c>
      <c r="L2094" t="str">
        <f>MAIN!C2099</f>
        <v/>
      </c>
    </row>
    <row r="2095" spans="1:12" x14ac:dyDescent="0.3">
      <c r="A2095">
        <f>IF(J2095="0",0,IF(COUNTIF($J$2:J2095,J2095)=1,1,0))</f>
        <v>0</v>
      </c>
      <c r="B2095" s="12" t="e">
        <f>MID(MAIN!A2100,K2095,2)</f>
        <v>#VALUE!</v>
      </c>
      <c r="C2095" s="12" t="e">
        <f t="shared" si="128"/>
        <v>#VALUE!</v>
      </c>
      <c r="D2095" s="12" t="e">
        <f>MID(MAIN!A2100,K2095+2,2)</f>
        <v>#VALUE!</v>
      </c>
      <c r="E2095" s="12" t="e">
        <f>MID(MAIN!A2100,K2095+4,2)</f>
        <v>#VALUE!</v>
      </c>
      <c r="F2095" s="2" t="e">
        <f t="shared" si="129"/>
        <v>#VALUE!</v>
      </c>
      <c r="G2095" s="13" t="e">
        <f t="shared" si="130"/>
        <v>#VALUE!</v>
      </c>
      <c r="J2095" t="str">
        <f>MAIN!A2100&amp;"B"</f>
        <v>B</v>
      </c>
      <c r="K2095" s="12" t="e">
        <f t="shared" si="131"/>
        <v>#VALUE!</v>
      </c>
      <c r="L2095" t="str">
        <f>MAIN!C2100</f>
        <v/>
      </c>
    </row>
    <row r="2096" spans="1:12" x14ac:dyDescent="0.3">
      <c r="A2096">
        <f>IF(J2096="0",0,IF(COUNTIF($J$2:J2096,J2096)=1,1,0))</f>
        <v>0</v>
      </c>
      <c r="B2096" s="12" t="e">
        <f>MID(MAIN!A2101,K2096,2)</f>
        <v>#VALUE!</v>
      </c>
      <c r="C2096" s="12" t="e">
        <f t="shared" si="128"/>
        <v>#VALUE!</v>
      </c>
      <c r="D2096" s="12" t="e">
        <f>MID(MAIN!A2101,K2096+2,2)</f>
        <v>#VALUE!</v>
      </c>
      <c r="E2096" s="12" t="e">
        <f>MID(MAIN!A2101,K2096+4,2)</f>
        <v>#VALUE!</v>
      </c>
      <c r="F2096" s="2" t="e">
        <f t="shared" si="129"/>
        <v>#VALUE!</v>
      </c>
      <c r="G2096" s="13" t="e">
        <f t="shared" si="130"/>
        <v>#VALUE!</v>
      </c>
      <c r="J2096" t="str">
        <f>MAIN!A2101&amp;"B"</f>
        <v>B</v>
      </c>
      <c r="K2096" s="12" t="e">
        <f t="shared" si="131"/>
        <v>#VALUE!</v>
      </c>
      <c r="L2096" t="str">
        <f>MAIN!C2101</f>
        <v/>
      </c>
    </row>
    <row r="2097" spans="1:12" x14ac:dyDescent="0.3">
      <c r="A2097">
        <f>IF(J2097="0",0,IF(COUNTIF($J$2:J2097,J2097)=1,1,0))</f>
        <v>0</v>
      </c>
      <c r="B2097" s="12" t="e">
        <f>MID(MAIN!A2102,K2097,2)</f>
        <v>#VALUE!</v>
      </c>
      <c r="C2097" s="12" t="e">
        <f t="shared" si="128"/>
        <v>#VALUE!</v>
      </c>
      <c r="D2097" s="12" t="e">
        <f>MID(MAIN!A2102,K2097+2,2)</f>
        <v>#VALUE!</v>
      </c>
      <c r="E2097" s="12" t="e">
        <f>MID(MAIN!A2102,K2097+4,2)</f>
        <v>#VALUE!</v>
      </c>
      <c r="F2097" s="2" t="e">
        <f t="shared" si="129"/>
        <v>#VALUE!</v>
      </c>
      <c r="G2097" s="13" t="e">
        <f t="shared" si="130"/>
        <v>#VALUE!</v>
      </c>
      <c r="J2097" t="str">
        <f>MAIN!A2102&amp;"B"</f>
        <v>B</v>
      </c>
      <c r="K2097" s="12" t="e">
        <f t="shared" si="131"/>
        <v>#VALUE!</v>
      </c>
      <c r="L2097" t="str">
        <f>MAIN!C2102</f>
        <v/>
      </c>
    </row>
    <row r="2098" spans="1:12" x14ac:dyDescent="0.3">
      <c r="A2098">
        <f>IF(J2098="0",0,IF(COUNTIF($J$2:J2098,J2098)=1,1,0))</f>
        <v>0</v>
      </c>
      <c r="B2098" s="12" t="e">
        <f>MID(MAIN!A2103,K2098,2)</f>
        <v>#VALUE!</v>
      </c>
      <c r="C2098" s="12" t="e">
        <f t="shared" si="128"/>
        <v>#VALUE!</v>
      </c>
      <c r="D2098" s="12" t="e">
        <f>MID(MAIN!A2103,K2098+2,2)</f>
        <v>#VALUE!</v>
      </c>
      <c r="E2098" s="12" t="e">
        <f>MID(MAIN!A2103,K2098+4,2)</f>
        <v>#VALUE!</v>
      </c>
      <c r="F2098" s="2" t="e">
        <f t="shared" si="129"/>
        <v>#VALUE!</v>
      </c>
      <c r="G2098" s="13" t="e">
        <f t="shared" si="130"/>
        <v>#VALUE!</v>
      </c>
      <c r="J2098" t="str">
        <f>MAIN!A2103&amp;"B"</f>
        <v>B</v>
      </c>
      <c r="K2098" s="12" t="e">
        <f t="shared" si="131"/>
        <v>#VALUE!</v>
      </c>
      <c r="L2098" t="str">
        <f>MAIN!C2103</f>
        <v/>
      </c>
    </row>
    <row r="2099" spans="1:12" x14ac:dyDescent="0.3">
      <c r="A2099">
        <f>IF(J2099="0",0,IF(COUNTIF($J$2:J2099,J2099)=1,1,0))</f>
        <v>0</v>
      </c>
      <c r="B2099" s="12" t="e">
        <f>MID(MAIN!A2104,K2099,2)</f>
        <v>#VALUE!</v>
      </c>
      <c r="C2099" s="12" t="e">
        <f t="shared" si="128"/>
        <v>#VALUE!</v>
      </c>
      <c r="D2099" s="12" t="e">
        <f>MID(MAIN!A2104,K2099+2,2)</f>
        <v>#VALUE!</v>
      </c>
      <c r="E2099" s="12" t="e">
        <f>MID(MAIN!A2104,K2099+4,2)</f>
        <v>#VALUE!</v>
      </c>
      <c r="F2099" s="2" t="e">
        <f t="shared" si="129"/>
        <v>#VALUE!</v>
      </c>
      <c r="G2099" s="13" t="e">
        <f t="shared" si="130"/>
        <v>#VALUE!</v>
      </c>
      <c r="J2099" t="str">
        <f>MAIN!A2104&amp;"B"</f>
        <v>B</v>
      </c>
      <c r="K2099" s="12" t="e">
        <f t="shared" si="131"/>
        <v>#VALUE!</v>
      </c>
      <c r="L2099" t="str">
        <f>MAIN!C2104</f>
        <v/>
      </c>
    </row>
    <row r="2100" spans="1:12" x14ac:dyDescent="0.3">
      <c r="A2100">
        <f>IF(J2100="0",0,IF(COUNTIF($J$2:J2100,J2100)=1,1,0))</f>
        <v>0</v>
      </c>
      <c r="B2100" s="12" t="e">
        <f>MID(MAIN!A2105,K2100,2)</f>
        <v>#VALUE!</v>
      </c>
      <c r="C2100" s="12" t="e">
        <f t="shared" si="128"/>
        <v>#VALUE!</v>
      </c>
      <c r="D2100" s="12" t="e">
        <f>MID(MAIN!A2105,K2100+2,2)</f>
        <v>#VALUE!</v>
      </c>
      <c r="E2100" s="12" t="e">
        <f>MID(MAIN!A2105,K2100+4,2)</f>
        <v>#VALUE!</v>
      </c>
      <c r="F2100" s="2" t="e">
        <f t="shared" si="129"/>
        <v>#VALUE!</v>
      </c>
      <c r="G2100" s="13" t="e">
        <f t="shared" si="130"/>
        <v>#VALUE!</v>
      </c>
      <c r="J2100" t="str">
        <f>MAIN!A2105&amp;"B"</f>
        <v>B</v>
      </c>
      <c r="K2100" s="12" t="e">
        <f t="shared" si="131"/>
        <v>#VALUE!</v>
      </c>
      <c r="L2100" t="str">
        <f>MAIN!C2105</f>
        <v/>
      </c>
    </row>
    <row r="2101" spans="1:12" x14ac:dyDescent="0.3">
      <c r="A2101">
        <f>IF(J2101="0",0,IF(COUNTIF($J$2:J2101,J2101)=1,1,0))</f>
        <v>0</v>
      </c>
      <c r="B2101" s="12" t="e">
        <f>MID(MAIN!A2106,K2101,2)</f>
        <v>#VALUE!</v>
      </c>
      <c r="C2101" s="12" t="e">
        <f t="shared" si="128"/>
        <v>#VALUE!</v>
      </c>
      <c r="D2101" s="12" t="e">
        <f>MID(MAIN!A2106,K2101+2,2)</f>
        <v>#VALUE!</v>
      </c>
      <c r="E2101" s="12" t="e">
        <f>MID(MAIN!A2106,K2101+4,2)</f>
        <v>#VALUE!</v>
      </c>
      <c r="F2101" s="2" t="e">
        <f t="shared" si="129"/>
        <v>#VALUE!</v>
      </c>
      <c r="G2101" s="13" t="e">
        <f t="shared" si="130"/>
        <v>#VALUE!</v>
      </c>
      <c r="J2101" t="str">
        <f>MAIN!A2106&amp;"B"</f>
        <v>B</v>
      </c>
      <c r="K2101" s="12" t="e">
        <f t="shared" si="131"/>
        <v>#VALUE!</v>
      </c>
      <c r="L2101" t="str">
        <f>MAIN!C2106</f>
        <v/>
      </c>
    </row>
    <row r="2102" spans="1:12" x14ac:dyDescent="0.3">
      <c r="A2102">
        <f>IF(J2102="0",0,IF(COUNTIF($J$2:J2102,J2102)=1,1,0))</f>
        <v>0</v>
      </c>
      <c r="B2102" s="12" t="e">
        <f>MID(MAIN!A2107,K2102,2)</f>
        <v>#VALUE!</v>
      </c>
      <c r="C2102" s="12" t="e">
        <f t="shared" si="128"/>
        <v>#VALUE!</v>
      </c>
      <c r="D2102" s="12" t="e">
        <f>MID(MAIN!A2107,K2102+2,2)</f>
        <v>#VALUE!</v>
      </c>
      <c r="E2102" s="12" t="e">
        <f>MID(MAIN!A2107,K2102+4,2)</f>
        <v>#VALUE!</v>
      </c>
      <c r="F2102" s="2" t="e">
        <f t="shared" si="129"/>
        <v>#VALUE!</v>
      </c>
      <c r="G2102" s="13" t="e">
        <f t="shared" si="130"/>
        <v>#VALUE!</v>
      </c>
      <c r="J2102" t="str">
        <f>MAIN!A2107&amp;"B"</f>
        <v>B</v>
      </c>
      <c r="K2102" s="12" t="e">
        <f t="shared" si="131"/>
        <v>#VALUE!</v>
      </c>
      <c r="L2102" t="str">
        <f>MAIN!C2107</f>
        <v/>
      </c>
    </row>
    <row r="2103" spans="1:12" x14ac:dyDescent="0.3">
      <c r="A2103">
        <f>IF(J2103="0",0,IF(COUNTIF($J$2:J2103,J2103)=1,1,0))</f>
        <v>0</v>
      </c>
      <c r="B2103" s="12" t="e">
        <f>MID(MAIN!A2108,K2103,2)</f>
        <v>#VALUE!</v>
      </c>
      <c r="C2103" s="12" t="e">
        <f t="shared" si="128"/>
        <v>#VALUE!</v>
      </c>
      <c r="D2103" s="12" t="e">
        <f>MID(MAIN!A2108,K2103+2,2)</f>
        <v>#VALUE!</v>
      </c>
      <c r="E2103" s="12" t="e">
        <f>MID(MAIN!A2108,K2103+4,2)</f>
        <v>#VALUE!</v>
      </c>
      <c r="F2103" s="2" t="e">
        <f t="shared" si="129"/>
        <v>#VALUE!</v>
      </c>
      <c r="G2103" s="13" t="e">
        <f t="shared" si="130"/>
        <v>#VALUE!</v>
      </c>
      <c r="J2103" t="str">
        <f>MAIN!A2108&amp;"B"</f>
        <v>B</v>
      </c>
      <c r="K2103" s="12" t="e">
        <f t="shared" si="131"/>
        <v>#VALUE!</v>
      </c>
      <c r="L2103" t="str">
        <f>MAIN!C2108</f>
        <v/>
      </c>
    </row>
    <row r="2104" spans="1:12" x14ac:dyDescent="0.3">
      <c r="A2104">
        <f>IF(J2104="0",0,IF(COUNTIF($J$2:J2104,J2104)=1,1,0))</f>
        <v>0</v>
      </c>
      <c r="B2104" s="12" t="e">
        <f>MID(MAIN!A2109,K2104,2)</f>
        <v>#VALUE!</v>
      </c>
      <c r="C2104" s="12" t="e">
        <f t="shared" si="128"/>
        <v>#VALUE!</v>
      </c>
      <c r="D2104" s="12" t="e">
        <f>MID(MAIN!A2109,K2104+2,2)</f>
        <v>#VALUE!</v>
      </c>
      <c r="E2104" s="12" t="e">
        <f>MID(MAIN!A2109,K2104+4,2)</f>
        <v>#VALUE!</v>
      </c>
      <c r="F2104" s="2" t="e">
        <f t="shared" si="129"/>
        <v>#VALUE!</v>
      </c>
      <c r="G2104" s="13" t="e">
        <f t="shared" si="130"/>
        <v>#VALUE!</v>
      </c>
      <c r="J2104" t="str">
        <f>MAIN!A2109&amp;"B"</f>
        <v>B</v>
      </c>
      <c r="K2104" s="12" t="e">
        <f t="shared" si="131"/>
        <v>#VALUE!</v>
      </c>
      <c r="L2104" t="str">
        <f>MAIN!C2109</f>
        <v/>
      </c>
    </row>
    <row r="2105" spans="1:12" x14ac:dyDescent="0.3">
      <c r="A2105">
        <f>IF(J2105="0",0,IF(COUNTIF($J$2:J2105,J2105)=1,1,0))</f>
        <v>0</v>
      </c>
      <c r="B2105" s="12" t="e">
        <f>MID(MAIN!A2110,K2105,2)</f>
        <v>#VALUE!</v>
      </c>
      <c r="C2105" s="12" t="e">
        <f t="shared" si="128"/>
        <v>#VALUE!</v>
      </c>
      <c r="D2105" s="12" t="e">
        <f>MID(MAIN!A2110,K2105+2,2)</f>
        <v>#VALUE!</v>
      </c>
      <c r="E2105" s="12" t="e">
        <f>MID(MAIN!A2110,K2105+4,2)</f>
        <v>#VALUE!</v>
      </c>
      <c r="F2105" s="2" t="e">
        <f t="shared" si="129"/>
        <v>#VALUE!</v>
      </c>
      <c r="G2105" s="13" t="e">
        <f t="shared" si="130"/>
        <v>#VALUE!</v>
      </c>
      <c r="J2105" t="str">
        <f>MAIN!A2110&amp;"B"</f>
        <v>B</v>
      </c>
      <c r="K2105" s="12" t="e">
        <f t="shared" si="131"/>
        <v>#VALUE!</v>
      </c>
      <c r="L2105" t="str">
        <f>MAIN!C2110</f>
        <v/>
      </c>
    </row>
    <row r="2106" spans="1:12" x14ac:dyDescent="0.3">
      <c r="A2106">
        <f>IF(J2106="0",0,IF(COUNTIF($J$2:J2106,J2106)=1,1,0))</f>
        <v>0</v>
      </c>
      <c r="B2106" s="12" t="e">
        <f>MID(MAIN!A2111,K2106,2)</f>
        <v>#VALUE!</v>
      </c>
      <c r="C2106" s="12" t="e">
        <f t="shared" si="128"/>
        <v>#VALUE!</v>
      </c>
      <c r="D2106" s="12" t="e">
        <f>MID(MAIN!A2111,K2106+2,2)</f>
        <v>#VALUE!</v>
      </c>
      <c r="E2106" s="12" t="e">
        <f>MID(MAIN!A2111,K2106+4,2)</f>
        <v>#VALUE!</v>
      </c>
      <c r="F2106" s="2" t="e">
        <f t="shared" si="129"/>
        <v>#VALUE!</v>
      </c>
      <c r="G2106" s="13" t="e">
        <f t="shared" si="130"/>
        <v>#VALUE!</v>
      </c>
      <c r="J2106" t="str">
        <f>MAIN!A2111&amp;"B"</f>
        <v>B</v>
      </c>
      <c r="K2106" s="12" t="e">
        <f t="shared" si="131"/>
        <v>#VALUE!</v>
      </c>
      <c r="L2106" t="str">
        <f>MAIN!C2111</f>
        <v/>
      </c>
    </row>
    <row r="2107" spans="1:12" x14ac:dyDescent="0.3">
      <c r="A2107">
        <f>IF(J2107="0",0,IF(COUNTIF($J$2:J2107,J2107)=1,1,0))</f>
        <v>0</v>
      </c>
      <c r="B2107" s="12" t="e">
        <f>MID(MAIN!A2112,K2107,2)</f>
        <v>#VALUE!</v>
      </c>
      <c r="C2107" s="12" t="e">
        <f t="shared" si="128"/>
        <v>#VALUE!</v>
      </c>
      <c r="D2107" s="12" t="e">
        <f>MID(MAIN!A2112,K2107+2,2)</f>
        <v>#VALUE!</v>
      </c>
      <c r="E2107" s="12" t="e">
        <f>MID(MAIN!A2112,K2107+4,2)</f>
        <v>#VALUE!</v>
      </c>
      <c r="F2107" s="2" t="e">
        <f t="shared" si="129"/>
        <v>#VALUE!</v>
      </c>
      <c r="G2107" s="13" t="e">
        <f t="shared" si="130"/>
        <v>#VALUE!</v>
      </c>
      <c r="J2107" t="str">
        <f>MAIN!A2112&amp;"B"</f>
        <v>B</v>
      </c>
      <c r="K2107" s="12" t="e">
        <f t="shared" si="131"/>
        <v>#VALUE!</v>
      </c>
      <c r="L2107" t="str">
        <f>MAIN!C2112</f>
        <v/>
      </c>
    </row>
    <row r="2108" spans="1:12" x14ac:dyDescent="0.3">
      <c r="A2108">
        <f>IF(J2108="0",0,IF(COUNTIF($J$2:J2108,J2108)=1,1,0))</f>
        <v>0</v>
      </c>
      <c r="B2108" s="12" t="e">
        <f>MID(MAIN!A2113,K2108,2)</f>
        <v>#VALUE!</v>
      </c>
      <c r="C2108" s="12" t="e">
        <f t="shared" si="128"/>
        <v>#VALUE!</v>
      </c>
      <c r="D2108" s="12" t="e">
        <f>MID(MAIN!A2113,K2108+2,2)</f>
        <v>#VALUE!</v>
      </c>
      <c r="E2108" s="12" t="e">
        <f>MID(MAIN!A2113,K2108+4,2)</f>
        <v>#VALUE!</v>
      </c>
      <c r="F2108" s="2" t="e">
        <f t="shared" si="129"/>
        <v>#VALUE!</v>
      </c>
      <c r="G2108" s="13" t="e">
        <f t="shared" si="130"/>
        <v>#VALUE!</v>
      </c>
      <c r="J2108" t="str">
        <f>MAIN!A2113&amp;"B"</f>
        <v>B</v>
      </c>
      <c r="K2108" s="12" t="e">
        <f t="shared" si="131"/>
        <v>#VALUE!</v>
      </c>
      <c r="L2108" t="str">
        <f>MAIN!C2113</f>
        <v/>
      </c>
    </row>
    <row r="2109" spans="1:12" x14ac:dyDescent="0.3">
      <c r="A2109">
        <f>IF(J2109="0",0,IF(COUNTIF($J$2:J2109,J2109)=1,1,0))</f>
        <v>0</v>
      </c>
      <c r="B2109" s="12" t="e">
        <f>MID(MAIN!A2114,K2109,2)</f>
        <v>#VALUE!</v>
      </c>
      <c r="C2109" s="12" t="e">
        <f t="shared" si="128"/>
        <v>#VALUE!</v>
      </c>
      <c r="D2109" s="12" t="e">
        <f>MID(MAIN!A2114,K2109+2,2)</f>
        <v>#VALUE!</v>
      </c>
      <c r="E2109" s="12" t="e">
        <f>MID(MAIN!A2114,K2109+4,2)</f>
        <v>#VALUE!</v>
      </c>
      <c r="F2109" s="2" t="e">
        <f t="shared" si="129"/>
        <v>#VALUE!</v>
      </c>
      <c r="G2109" s="13" t="e">
        <f t="shared" si="130"/>
        <v>#VALUE!</v>
      </c>
      <c r="J2109" t="str">
        <f>MAIN!A2114&amp;"B"</f>
        <v>B</v>
      </c>
      <c r="K2109" s="12" t="e">
        <f t="shared" si="131"/>
        <v>#VALUE!</v>
      </c>
      <c r="L2109" t="str">
        <f>MAIN!C2114</f>
        <v/>
      </c>
    </row>
    <row r="2110" spans="1:12" x14ac:dyDescent="0.3">
      <c r="A2110">
        <f>IF(J2110="0",0,IF(COUNTIF($J$2:J2110,J2110)=1,1,0))</f>
        <v>0</v>
      </c>
      <c r="B2110" s="12" t="e">
        <f>MID(MAIN!A2115,K2110,2)</f>
        <v>#VALUE!</v>
      </c>
      <c r="C2110" s="12" t="e">
        <f t="shared" si="128"/>
        <v>#VALUE!</v>
      </c>
      <c r="D2110" s="12" t="e">
        <f>MID(MAIN!A2115,K2110+2,2)</f>
        <v>#VALUE!</v>
      </c>
      <c r="E2110" s="12" t="e">
        <f>MID(MAIN!A2115,K2110+4,2)</f>
        <v>#VALUE!</v>
      </c>
      <c r="F2110" s="2" t="e">
        <f t="shared" si="129"/>
        <v>#VALUE!</v>
      </c>
      <c r="G2110" s="13" t="e">
        <f t="shared" si="130"/>
        <v>#VALUE!</v>
      </c>
      <c r="J2110" t="str">
        <f>MAIN!A2115&amp;"B"</f>
        <v>B</v>
      </c>
      <c r="K2110" s="12" t="e">
        <f t="shared" si="131"/>
        <v>#VALUE!</v>
      </c>
      <c r="L2110" t="str">
        <f>MAIN!C2115</f>
        <v/>
      </c>
    </row>
    <row r="2111" spans="1:12" x14ac:dyDescent="0.3">
      <c r="A2111">
        <f>IF(J2111="0",0,IF(COUNTIF($J$2:J2111,J2111)=1,1,0))</f>
        <v>0</v>
      </c>
      <c r="B2111" s="12" t="e">
        <f>MID(MAIN!A2116,K2111,2)</f>
        <v>#VALUE!</v>
      </c>
      <c r="C2111" s="12" t="e">
        <f t="shared" si="128"/>
        <v>#VALUE!</v>
      </c>
      <c r="D2111" s="12" t="e">
        <f>MID(MAIN!A2116,K2111+2,2)</f>
        <v>#VALUE!</v>
      </c>
      <c r="E2111" s="12" t="e">
        <f>MID(MAIN!A2116,K2111+4,2)</f>
        <v>#VALUE!</v>
      </c>
      <c r="F2111" s="2" t="e">
        <f t="shared" si="129"/>
        <v>#VALUE!</v>
      </c>
      <c r="G2111" s="13" t="e">
        <f t="shared" si="130"/>
        <v>#VALUE!</v>
      </c>
      <c r="J2111" t="str">
        <f>MAIN!A2116&amp;"B"</f>
        <v>B</v>
      </c>
      <c r="K2111" s="12" t="e">
        <f t="shared" si="131"/>
        <v>#VALUE!</v>
      </c>
      <c r="L2111" t="str">
        <f>MAIN!C2116</f>
        <v/>
      </c>
    </row>
    <row r="2112" spans="1:12" x14ac:dyDescent="0.3">
      <c r="A2112">
        <f>IF(J2112="0",0,IF(COUNTIF($J$2:J2112,J2112)=1,1,0))</f>
        <v>0</v>
      </c>
      <c r="B2112" s="12" t="e">
        <f>MID(MAIN!A2117,K2112,2)</f>
        <v>#VALUE!</v>
      </c>
      <c r="C2112" s="12" t="e">
        <f t="shared" si="128"/>
        <v>#VALUE!</v>
      </c>
      <c r="D2112" s="12" t="e">
        <f>MID(MAIN!A2117,K2112+2,2)</f>
        <v>#VALUE!</v>
      </c>
      <c r="E2112" s="12" t="e">
        <f>MID(MAIN!A2117,K2112+4,2)</f>
        <v>#VALUE!</v>
      </c>
      <c r="F2112" s="2" t="e">
        <f t="shared" si="129"/>
        <v>#VALUE!</v>
      </c>
      <c r="G2112" s="13" t="e">
        <f t="shared" si="130"/>
        <v>#VALUE!</v>
      </c>
      <c r="J2112" t="str">
        <f>MAIN!A2117&amp;"B"</f>
        <v>B</v>
      </c>
      <c r="K2112" s="12" t="e">
        <f t="shared" si="131"/>
        <v>#VALUE!</v>
      </c>
      <c r="L2112" t="str">
        <f>MAIN!C2117</f>
        <v/>
      </c>
    </row>
    <row r="2113" spans="1:12" x14ac:dyDescent="0.3">
      <c r="A2113">
        <f>IF(J2113="0",0,IF(COUNTIF($J$2:J2113,J2113)=1,1,0))</f>
        <v>0</v>
      </c>
      <c r="B2113" s="12" t="e">
        <f>MID(MAIN!A2118,K2113,2)</f>
        <v>#VALUE!</v>
      </c>
      <c r="C2113" s="12" t="e">
        <f t="shared" si="128"/>
        <v>#VALUE!</v>
      </c>
      <c r="D2113" s="12" t="e">
        <f>MID(MAIN!A2118,K2113+2,2)</f>
        <v>#VALUE!</v>
      </c>
      <c r="E2113" s="12" t="e">
        <f>MID(MAIN!A2118,K2113+4,2)</f>
        <v>#VALUE!</v>
      </c>
      <c r="F2113" s="2" t="e">
        <f t="shared" si="129"/>
        <v>#VALUE!</v>
      </c>
      <c r="G2113" s="13" t="e">
        <f t="shared" si="130"/>
        <v>#VALUE!</v>
      </c>
      <c r="J2113" t="str">
        <f>MAIN!A2118&amp;"B"</f>
        <v>B</v>
      </c>
      <c r="K2113" s="12" t="e">
        <f t="shared" si="131"/>
        <v>#VALUE!</v>
      </c>
      <c r="L2113" t="str">
        <f>MAIN!C2118</f>
        <v/>
      </c>
    </row>
    <row r="2114" spans="1:12" x14ac:dyDescent="0.3">
      <c r="A2114">
        <f>IF(J2114="0",0,IF(COUNTIF($J$2:J2114,J2114)=1,1,0))</f>
        <v>0</v>
      </c>
      <c r="B2114" s="12" t="e">
        <f>MID(MAIN!A2119,K2114,2)</f>
        <v>#VALUE!</v>
      </c>
      <c r="C2114" s="12" t="e">
        <f t="shared" si="128"/>
        <v>#VALUE!</v>
      </c>
      <c r="D2114" s="12" t="e">
        <f>MID(MAIN!A2119,K2114+2,2)</f>
        <v>#VALUE!</v>
      </c>
      <c r="E2114" s="12" t="e">
        <f>MID(MAIN!A2119,K2114+4,2)</f>
        <v>#VALUE!</v>
      </c>
      <c r="F2114" s="2" t="e">
        <f t="shared" si="129"/>
        <v>#VALUE!</v>
      </c>
      <c r="G2114" s="13" t="e">
        <f t="shared" si="130"/>
        <v>#VALUE!</v>
      </c>
      <c r="J2114" t="str">
        <f>MAIN!A2119&amp;"B"</f>
        <v>B</v>
      </c>
      <c r="K2114" s="12" t="e">
        <f t="shared" si="131"/>
        <v>#VALUE!</v>
      </c>
      <c r="L2114" t="str">
        <f>MAIN!C2119</f>
        <v/>
      </c>
    </row>
    <row r="2115" spans="1:12" x14ac:dyDescent="0.3">
      <c r="A2115">
        <f>IF(J2115="0",0,IF(COUNTIF($J$2:J2115,J2115)=1,1,0))</f>
        <v>0</v>
      </c>
      <c r="B2115" s="12" t="e">
        <f>MID(MAIN!A2120,K2115,2)</f>
        <v>#VALUE!</v>
      </c>
      <c r="C2115" s="12" t="e">
        <f t="shared" ref="C2115:C2178" si="132">"20"&amp;B2115</f>
        <v>#VALUE!</v>
      </c>
      <c r="D2115" s="12" t="e">
        <f>MID(MAIN!A2120,K2115+2,2)</f>
        <v>#VALUE!</v>
      </c>
      <c r="E2115" s="12" t="e">
        <f>MID(MAIN!A2120,K2115+4,2)</f>
        <v>#VALUE!</v>
      </c>
      <c r="F2115" s="2" t="e">
        <f t="shared" ref="F2115:F2178" si="133">C2115&amp;"/"&amp;D2115&amp;"/"&amp;E2115</f>
        <v>#VALUE!</v>
      </c>
      <c r="G2115" s="13" t="e">
        <f t="shared" ref="G2115:G2178" si="134">DATEVALUE(F2115)</f>
        <v>#VALUE!</v>
      </c>
      <c r="J2115" t="str">
        <f>MAIN!A2120&amp;"B"</f>
        <v>B</v>
      </c>
      <c r="K2115" s="12" t="e">
        <f t="shared" ref="K2115:K2178" si="135">FIND("172",J2115,30)+2</f>
        <v>#VALUE!</v>
      </c>
      <c r="L2115" t="str">
        <f>MAIN!C2120</f>
        <v/>
      </c>
    </row>
    <row r="2116" spans="1:12" x14ac:dyDescent="0.3">
      <c r="A2116">
        <f>IF(J2116="0",0,IF(COUNTIF($J$2:J2116,J2116)=1,1,0))</f>
        <v>0</v>
      </c>
      <c r="B2116" s="12" t="e">
        <f>MID(MAIN!A2121,K2116,2)</f>
        <v>#VALUE!</v>
      </c>
      <c r="C2116" s="12" t="e">
        <f t="shared" si="132"/>
        <v>#VALUE!</v>
      </c>
      <c r="D2116" s="12" t="e">
        <f>MID(MAIN!A2121,K2116+2,2)</f>
        <v>#VALUE!</v>
      </c>
      <c r="E2116" s="12" t="e">
        <f>MID(MAIN!A2121,K2116+4,2)</f>
        <v>#VALUE!</v>
      </c>
      <c r="F2116" s="2" t="e">
        <f t="shared" si="133"/>
        <v>#VALUE!</v>
      </c>
      <c r="G2116" s="13" t="e">
        <f t="shared" si="134"/>
        <v>#VALUE!</v>
      </c>
      <c r="J2116" t="str">
        <f>MAIN!A2121&amp;"B"</f>
        <v>B</v>
      </c>
      <c r="K2116" s="12" t="e">
        <f t="shared" si="135"/>
        <v>#VALUE!</v>
      </c>
      <c r="L2116" t="str">
        <f>MAIN!C2121</f>
        <v/>
      </c>
    </row>
    <row r="2117" spans="1:12" x14ac:dyDescent="0.3">
      <c r="A2117">
        <f>IF(J2117="0",0,IF(COUNTIF($J$2:J2117,J2117)=1,1,0))</f>
        <v>0</v>
      </c>
      <c r="B2117" s="12" t="e">
        <f>MID(MAIN!A2122,K2117,2)</f>
        <v>#VALUE!</v>
      </c>
      <c r="C2117" s="12" t="e">
        <f t="shared" si="132"/>
        <v>#VALUE!</v>
      </c>
      <c r="D2117" s="12" t="e">
        <f>MID(MAIN!A2122,K2117+2,2)</f>
        <v>#VALUE!</v>
      </c>
      <c r="E2117" s="12" t="e">
        <f>MID(MAIN!A2122,K2117+4,2)</f>
        <v>#VALUE!</v>
      </c>
      <c r="F2117" s="2" t="e">
        <f t="shared" si="133"/>
        <v>#VALUE!</v>
      </c>
      <c r="G2117" s="13" t="e">
        <f t="shared" si="134"/>
        <v>#VALUE!</v>
      </c>
      <c r="J2117" t="str">
        <f>MAIN!A2122&amp;"B"</f>
        <v>B</v>
      </c>
      <c r="K2117" s="12" t="e">
        <f t="shared" si="135"/>
        <v>#VALUE!</v>
      </c>
      <c r="L2117" t="str">
        <f>MAIN!C2122</f>
        <v/>
      </c>
    </row>
    <row r="2118" spans="1:12" x14ac:dyDescent="0.3">
      <c r="A2118">
        <f>IF(J2118="0",0,IF(COUNTIF($J$2:J2118,J2118)=1,1,0))</f>
        <v>0</v>
      </c>
      <c r="B2118" s="12" t="e">
        <f>MID(MAIN!A2123,K2118,2)</f>
        <v>#VALUE!</v>
      </c>
      <c r="C2118" s="12" t="e">
        <f t="shared" si="132"/>
        <v>#VALUE!</v>
      </c>
      <c r="D2118" s="12" t="e">
        <f>MID(MAIN!A2123,K2118+2,2)</f>
        <v>#VALUE!</v>
      </c>
      <c r="E2118" s="12" t="e">
        <f>MID(MAIN!A2123,K2118+4,2)</f>
        <v>#VALUE!</v>
      </c>
      <c r="F2118" s="2" t="e">
        <f t="shared" si="133"/>
        <v>#VALUE!</v>
      </c>
      <c r="G2118" s="13" t="e">
        <f t="shared" si="134"/>
        <v>#VALUE!</v>
      </c>
      <c r="J2118" t="str">
        <f>MAIN!A2123&amp;"B"</f>
        <v>B</v>
      </c>
      <c r="K2118" s="12" t="e">
        <f t="shared" si="135"/>
        <v>#VALUE!</v>
      </c>
      <c r="L2118" t="str">
        <f>MAIN!C2123</f>
        <v/>
      </c>
    </row>
    <row r="2119" spans="1:12" x14ac:dyDescent="0.3">
      <c r="A2119">
        <f>IF(J2119="0",0,IF(COUNTIF($J$2:J2119,J2119)=1,1,0))</f>
        <v>0</v>
      </c>
      <c r="B2119" s="12" t="e">
        <f>MID(MAIN!A2124,K2119,2)</f>
        <v>#VALUE!</v>
      </c>
      <c r="C2119" s="12" t="e">
        <f t="shared" si="132"/>
        <v>#VALUE!</v>
      </c>
      <c r="D2119" s="12" t="e">
        <f>MID(MAIN!A2124,K2119+2,2)</f>
        <v>#VALUE!</v>
      </c>
      <c r="E2119" s="12" t="e">
        <f>MID(MAIN!A2124,K2119+4,2)</f>
        <v>#VALUE!</v>
      </c>
      <c r="F2119" s="2" t="e">
        <f t="shared" si="133"/>
        <v>#VALUE!</v>
      </c>
      <c r="G2119" s="13" t="e">
        <f t="shared" si="134"/>
        <v>#VALUE!</v>
      </c>
      <c r="J2119" t="str">
        <f>MAIN!A2124&amp;"B"</f>
        <v>B</v>
      </c>
      <c r="K2119" s="12" t="e">
        <f t="shared" si="135"/>
        <v>#VALUE!</v>
      </c>
      <c r="L2119" t="str">
        <f>MAIN!C2124</f>
        <v/>
      </c>
    </row>
    <row r="2120" spans="1:12" x14ac:dyDescent="0.3">
      <c r="A2120">
        <f>IF(J2120="0",0,IF(COUNTIF($J$2:J2120,J2120)=1,1,0))</f>
        <v>0</v>
      </c>
      <c r="B2120" s="12" t="e">
        <f>MID(MAIN!A2125,K2120,2)</f>
        <v>#VALUE!</v>
      </c>
      <c r="C2120" s="12" t="e">
        <f t="shared" si="132"/>
        <v>#VALUE!</v>
      </c>
      <c r="D2120" s="12" t="e">
        <f>MID(MAIN!A2125,K2120+2,2)</f>
        <v>#VALUE!</v>
      </c>
      <c r="E2120" s="12" t="e">
        <f>MID(MAIN!A2125,K2120+4,2)</f>
        <v>#VALUE!</v>
      </c>
      <c r="F2120" s="2" t="e">
        <f t="shared" si="133"/>
        <v>#VALUE!</v>
      </c>
      <c r="G2120" s="13" t="e">
        <f t="shared" si="134"/>
        <v>#VALUE!</v>
      </c>
      <c r="J2120" t="str">
        <f>MAIN!A2125&amp;"B"</f>
        <v>B</v>
      </c>
      <c r="K2120" s="12" t="e">
        <f t="shared" si="135"/>
        <v>#VALUE!</v>
      </c>
      <c r="L2120" t="str">
        <f>MAIN!C2125</f>
        <v/>
      </c>
    </row>
    <row r="2121" spans="1:12" x14ac:dyDescent="0.3">
      <c r="A2121">
        <f>IF(J2121="0",0,IF(COUNTIF($J$2:J2121,J2121)=1,1,0))</f>
        <v>0</v>
      </c>
      <c r="B2121" s="12" t="e">
        <f>MID(MAIN!A2126,K2121,2)</f>
        <v>#VALUE!</v>
      </c>
      <c r="C2121" s="12" t="e">
        <f t="shared" si="132"/>
        <v>#VALUE!</v>
      </c>
      <c r="D2121" s="12" t="e">
        <f>MID(MAIN!A2126,K2121+2,2)</f>
        <v>#VALUE!</v>
      </c>
      <c r="E2121" s="12" t="e">
        <f>MID(MAIN!A2126,K2121+4,2)</f>
        <v>#VALUE!</v>
      </c>
      <c r="F2121" s="2" t="e">
        <f t="shared" si="133"/>
        <v>#VALUE!</v>
      </c>
      <c r="G2121" s="13" t="e">
        <f t="shared" si="134"/>
        <v>#VALUE!</v>
      </c>
      <c r="J2121" t="str">
        <f>MAIN!A2126&amp;"B"</f>
        <v>B</v>
      </c>
      <c r="K2121" s="12" t="e">
        <f t="shared" si="135"/>
        <v>#VALUE!</v>
      </c>
      <c r="L2121" t="str">
        <f>MAIN!C2126</f>
        <v/>
      </c>
    </row>
    <row r="2122" spans="1:12" x14ac:dyDescent="0.3">
      <c r="A2122">
        <f>IF(J2122="0",0,IF(COUNTIF($J$2:J2122,J2122)=1,1,0))</f>
        <v>0</v>
      </c>
      <c r="B2122" s="12" t="e">
        <f>MID(MAIN!A2127,K2122,2)</f>
        <v>#VALUE!</v>
      </c>
      <c r="C2122" s="12" t="e">
        <f t="shared" si="132"/>
        <v>#VALUE!</v>
      </c>
      <c r="D2122" s="12" t="e">
        <f>MID(MAIN!A2127,K2122+2,2)</f>
        <v>#VALUE!</v>
      </c>
      <c r="E2122" s="12" t="e">
        <f>MID(MAIN!A2127,K2122+4,2)</f>
        <v>#VALUE!</v>
      </c>
      <c r="F2122" s="2" t="e">
        <f t="shared" si="133"/>
        <v>#VALUE!</v>
      </c>
      <c r="G2122" s="13" t="e">
        <f t="shared" si="134"/>
        <v>#VALUE!</v>
      </c>
      <c r="J2122" t="str">
        <f>MAIN!A2127&amp;"B"</f>
        <v>B</v>
      </c>
      <c r="K2122" s="12" t="e">
        <f t="shared" si="135"/>
        <v>#VALUE!</v>
      </c>
      <c r="L2122" t="str">
        <f>MAIN!C2127</f>
        <v/>
      </c>
    </row>
    <row r="2123" spans="1:12" x14ac:dyDescent="0.3">
      <c r="A2123">
        <f>IF(J2123="0",0,IF(COUNTIF($J$2:J2123,J2123)=1,1,0))</f>
        <v>0</v>
      </c>
      <c r="B2123" s="12" t="e">
        <f>MID(MAIN!A2128,K2123,2)</f>
        <v>#VALUE!</v>
      </c>
      <c r="C2123" s="12" t="e">
        <f t="shared" si="132"/>
        <v>#VALUE!</v>
      </c>
      <c r="D2123" s="12" t="e">
        <f>MID(MAIN!A2128,K2123+2,2)</f>
        <v>#VALUE!</v>
      </c>
      <c r="E2123" s="12" t="e">
        <f>MID(MAIN!A2128,K2123+4,2)</f>
        <v>#VALUE!</v>
      </c>
      <c r="F2123" s="2" t="e">
        <f t="shared" si="133"/>
        <v>#VALUE!</v>
      </c>
      <c r="G2123" s="13" t="e">
        <f t="shared" si="134"/>
        <v>#VALUE!</v>
      </c>
      <c r="J2123" t="str">
        <f>MAIN!A2128&amp;"B"</f>
        <v>B</v>
      </c>
      <c r="K2123" s="12" t="e">
        <f t="shared" si="135"/>
        <v>#VALUE!</v>
      </c>
      <c r="L2123" t="str">
        <f>MAIN!C2128</f>
        <v/>
      </c>
    </row>
    <row r="2124" spans="1:12" x14ac:dyDescent="0.3">
      <c r="A2124">
        <f>IF(J2124="0",0,IF(COUNTIF($J$2:J2124,J2124)=1,1,0))</f>
        <v>0</v>
      </c>
      <c r="B2124" s="12" t="e">
        <f>MID(MAIN!A2129,K2124,2)</f>
        <v>#VALUE!</v>
      </c>
      <c r="C2124" s="12" t="e">
        <f t="shared" si="132"/>
        <v>#VALUE!</v>
      </c>
      <c r="D2124" s="12" t="e">
        <f>MID(MAIN!A2129,K2124+2,2)</f>
        <v>#VALUE!</v>
      </c>
      <c r="E2124" s="12" t="e">
        <f>MID(MAIN!A2129,K2124+4,2)</f>
        <v>#VALUE!</v>
      </c>
      <c r="F2124" s="2" t="e">
        <f t="shared" si="133"/>
        <v>#VALUE!</v>
      </c>
      <c r="G2124" s="13" t="e">
        <f t="shared" si="134"/>
        <v>#VALUE!</v>
      </c>
      <c r="J2124" t="str">
        <f>MAIN!A2129&amp;"B"</f>
        <v>B</v>
      </c>
      <c r="K2124" s="12" t="e">
        <f t="shared" si="135"/>
        <v>#VALUE!</v>
      </c>
      <c r="L2124" t="str">
        <f>MAIN!C2129</f>
        <v/>
      </c>
    </row>
    <row r="2125" spans="1:12" x14ac:dyDescent="0.3">
      <c r="A2125">
        <f>IF(J2125="0",0,IF(COUNTIF($J$2:J2125,J2125)=1,1,0))</f>
        <v>0</v>
      </c>
      <c r="B2125" s="12" t="e">
        <f>MID(MAIN!A2130,K2125,2)</f>
        <v>#VALUE!</v>
      </c>
      <c r="C2125" s="12" t="e">
        <f t="shared" si="132"/>
        <v>#VALUE!</v>
      </c>
      <c r="D2125" s="12" t="e">
        <f>MID(MAIN!A2130,K2125+2,2)</f>
        <v>#VALUE!</v>
      </c>
      <c r="E2125" s="12" t="e">
        <f>MID(MAIN!A2130,K2125+4,2)</f>
        <v>#VALUE!</v>
      </c>
      <c r="F2125" s="2" t="e">
        <f t="shared" si="133"/>
        <v>#VALUE!</v>
      </c>
      <c r="G2125" s="13" t="e">
        <f t="shared" si="134"/>
        <v>#VALUE!</v>
      </c>
      <c r="J2125" t="str">
        <f>MAIN!A2130&amp;"B"</f>
        <v>B</v>
      </c>
      <c r="K2125" s="12" t="e">
        <f t="shared" si="135"/>
        <v>#VALUE!</v>
      </c>
      <c r="L2125" t="str">
        <f>MAIN!C2130</f>
        <v/>
      </c>
    </row>
    <row r="2126" spans="1:12" x14ac:dyDescent="0.3">
      <c r="A2126">
        <f>IF(J2126="0",0,IF(COUNTIF($J$2:J2126,J2126)=1,1,0))</f>
        <v>0</v>
      </c>
      <c r="B2126" s="12" t="e">
        <f>MID(MAIN!A2131,K2126,2)</f>
        <v>#VALUE!</v>
      </c>
      <c r="C2126" s="12" t="e">
        <f t="shared" si="132"/>
        <v>#VALUE!</v>
      </c>
      <c r="D2126" s="12" t="e">
        <f>MID(MAIN!A2131,K2126+2,2)</f>
        <v>#VALUE!</v>
      </c>
      <c r="E2126" s="12" t="e">
        <f>MID(MAIN!A2131,K2126+4,2)</f>
        <v>#VALUE!</v>
      </c>
      <c r="F2126" s="2" t="e">
        <f t="shared" si="133"/>
        <v>#VALUE!</v>
      </c>
      <c r="G2126" s="13" t="e">
        <f t="shared" si="134"/>
        <v>#VALUE!</v>
      </c>
      <c r="J2126" t="str">
        <f>MAIN!A2131&amp;"B"</f>
        <v>B</v>
      </c>
      <c r="K2126" s="12" t="e">
        <f t="shared" si="135"/>
        <v>#VALUE!</v>
      </c>
      <c r="L2126" t="str">
        <f>MAIN!C2131</f>
        <v/>
      </c>
    </row>
    <row r="2127" spans="1:12" x14ac:dyDescent="0.3">
      <c r="A2127">
        <f>IF(J2127="0",0,IF(COUNTIF($J$2:J2127,J2127)=1,1,0))</f>
        <v>0</v>
      </c>
      <c r="B2127" s="12" t="e">
        <f>MID(MAIN!A2132,K2127,2)</f>
        <v>#VALUE!</v>
      </c>
      <c r="C2127" s="12" t="e">
        <f t="shared" si="132"/>
        <v>#VALUE!</v>
      </c>
      <c r="D2127" s="12" t="e">
        <f>MID(MAIN!A2132,K2127+2,2)</f>
        <v>#VALUE!</v>
      </c>
      <c r="E2127" s="12" t="e">
        <f>MID(MAIN!A2132,K2127+4,2)</f>
        <v>#VALUE!</v>
      </c>
      <c r="F2127" s="2" t="e">
        <f t="shared" si="133"/>
        <v>#VALUE!</v>
      </c>
      <c r="G2127" s="13" t="e">
        <f t="shared" si="134"/>
        <v>#VALUE!</v>
      </c>
      <c r="J2127" t="str">
        <f>MAIN!A2132&amp;"B"</f>
        <v>B</v>
      </c>
      <c r="K2127" s="12" t="e">
        <f t="shared" si="135"/>
        <v>#VALUE!</v>
      </c>
      <c r="L2127" t="str">
        <f>MAIN!C2132</f>
        <v/>
      </c>
    </row>
    <row r="2128" spans="1:12" x14ac:dyDescent="0.3">
      <c r="A2128">
        <f>IF(J2128="0",0,IF(COUNTIF($J$2:J2128,J2128)=1,1,0))</f>
        <v>0</v>
      </c>
      <c r="B2128" s="12" t="e">
        <f>MID(MAIN!A2133,K2128,2)</f>
        <v>#VALUE!</v>
      </c>
      <c r="C2128" s="12" t="e">
        <f t="shared" si="132"/>
        <v>#VALUE!</v>
      </c>
      <c r="D2128" s="12" t="e">
        <f>MID(MAIN!A2133,K2128+2,2)</f>
        <v>#VALUE!</v>
      </c>
      <c r="E2128" s="12" t="e">
        <f>MID(MAIN!A2133,K2128+4,2)</f>
        <v>#VALUE!</v>
      </c>
      <c r="F2128" s="2" t="e">
        <f t="shared" si="133"/>
        <v>#VALUE!</v>
      </c>
      <c r="G2128" s="13" t="e">
        <f t="shared" si="134"/>
        <v>#VALUE!</v>
      </c>
      <c r="J2128" t="str">
        <f>MAIN!A2133&amp;"B"</f>
        <v>B</v>
      </c>
      <c r="K2128" s="12" t="e">
        <f t="shared" si="135"/>
        <v>#VALUE!</v>
      </c>
      <c r="L2128" t="str">
        <f>MAIN!C2133</f>
        <v/>
      </c>
    </row>
    <row r="2129" spans="1:12" x14ac:dyDescent="0.3">
      <c r="A2129">
        <f>IF(J2129="0",0,IF(COUNTIF($J$2:J2129,J2129)=1,1,0))</f>
        <v>0</v>
      </c>
      <c r="B2129" s="12" t="e">
        <f>MID(MAIN!A2134,K2129,2)</f>
        <v>#VALUE!</v>
      </c>
      <c r="C2129" s="12" t="e">
        <f t="shared" si="132"/>
        <v>#VALUE!</v>
      </c>
      <c r="D2129" s="12" t="e">
        <f>MID(MAIN!A2134,K2129+2,2)</f>
        <v>#VALUE!</v>
      </c>
      <c r="E2129" s="12" t="e">
        <f>MID(MAIN!A2134,K2129+4,2)</f>
        <v>#VALUE!</v>
      </c>
      <c r="F2129" s="2" t="e">
        <f t="shared" si="133"/>
        <v>#VALUE!</v>
      </c>
      <c r="G2129" s="13" t="e">
        <f t="shared" si="134"/>
        <v>#VALUE!</v>
      </c>
      <c r="J2129" t="str">
        <f>MAIN!A2134&amp;"B"</f>
        <v>B</v>
      </c>
      <c r="K2129" s="12" t="e">
        <f t="shared" si="135"/>
        <v>#VALUE!</v>
      </c>
      <c r="L2129" t="str">
        <f>MAIN!C2134</f>
        <v/>
      </c>
    </row>
    <row r="2130" spans="1:12" x14ac:dyDescent="0.3">
      <c r="A2130">
        <f>IF(J2130="0",0,IF(COUNTIF($J$2:J2130,J2130)=1,1,0))</f>
        <v>0</v>
      </c>
      <c r="B2130" s="12" t="e">
        <f>MID(MAIN!A2135,K2130,2)</f>
        <v>#VALUE!</v>
      </c>
      <c r="C2130" s="12" t="e">
        <f t="shared" si="132"/>
        <v>#VALUE!</v>
      </c>
      <c r="D2130" s="12" t="e">
        <f>MID(MAIN!A2135,K2130+2,2)</f>
        <v>#VALUE!</v>
      </c>
      <c r="E2130" s="12" t="e">
        <f>MID(MAIN!A2135,K2130+4,2)</f>
        <v>#VALUE!</v>
      </c>
      <c r="F2130" s="2" t="e">
        <f t="shared" si="133"/>
        <v>#VALUE!</v>
      </c>
      <c r="G2130" s="13" t="e">
        <f t="shared" si="134"/>
        <v>#VALUE!</v>
      </c>
      <c r="J2130" t="str">
        <f>MAIN!A2135&amp;"B"</f>
        <v>B</v>
      </c>
      <c r="K2130" s="12" t="e">
        <f t="shared" si="135"/>
        <v>#VALUE!</v>
      </c>
      <c r="L2130" t="str">
        <f>MAIN!C2135</f>
        <v/>
      </c>
    </row>
    <row r="2131" spans="1:12" x14ac:dyDescent="0.3">
      <c r="A2131">
        <f>IF(J2131="0",0,IF(COUNTIF($J$2:J2131,J2131)=1,1,0))</f>
        <v>0</v>
      </c>
      <c r="B2131" s="12" t="e">
        <f>MID(MAIN!A2136,K2131,2)</f>
        <v>#VALUE!</v>
      </c>
      <c r="C2131" s="12" t="e">
        <f t="shared" si="132"/>
        <v>#VALUE!</v>
      </c>
      <c r="D2131" s="12" t="e">
        <f>MID(MAIN!A2136,K2131+2,2)</f>
        <v>#VALUE!</v>
      </c>
      <c r="E2131" s="12" t="e">
        <f>MID(MAIN!A2136,K2131+4,2)</f>
        <v>#VALUE!</v>
      </c>
      <c r="F2131" s="2" t="e">
        <f t="shared" si="133"/>
        <v>#VALUE!</v>
      </c>
      <c r="G2131" s="13" t="e">
        <f t="shared" si="134"/>
        <v>#VALUE!</v>
      </c>
      <c r="J2131" t="str">
        <f>MAIN!A2136&amp;"B"</f>
        <v>B</v>
      </c>
      <c r="K2131" s="12" t="e">
        <f t="shared" si="135"/>
        <v>#VALUE!</v>
      </c>
      <c r="L2131" t="str">
        <f>MAIN!C2136</f>
        <v/>
      </c>
    </row>
    <row r="2132" spans="1:12" x14ac:dyDescent="0.3">
      <c r="A2132">
        <f>IF(J2132="0",0,IF(COUNTIF($J$2:J2132,J2132)=1,1,0))</f>
        <v>0</v>
      </c>
      <c r="B2132" s="12" t="e">
        <f>MID(MAIN!A2137,K2132,2)</f>
        <v>#VALUE!</v>
      </c>
      <c r="C2132" s="12" t="e">
        <f t="shared" si="132"/>
        <v>#VALUE!</v>
      </c>
      <c r="D2132" s="12" t="e">
        <f>MID(MAIN!A2137,K2132+2,2)</f>
        <v>#VALUE!</v>
      </c>
      <c r="E2132" s="12" t="e">
        <f>MID(MAIN!A2137,K2132+4,2)</f>
        <v>#VALUE!</v>
      </c>
      <c r="F2132" s="2" t="e">
        <f t="shared" si="133"/>
        <v>#VALUE!</v>
      </c>
      <c r="G2132" s="13" t="e">
        <f t="shared" si="134"/>
        <v>#VALUE!</v>
      </c>
      <c r="J2132" t="str">
        <f>MAIN!A2137&amp;"B"</f>
        <v>B</v>
      </c>
      <c r="K2132" s="12" t="e">
        <f t="shared" si="135"/>
        <v>#VALUE!</v>
      </c>
      <c r="L2132" t="str">
        <f>MAIN!C2137</f>
        <v/>
      </c>
    </row>
    <row r="2133" spans="1:12" x14ac:dyDescent="0.3">
      <c r="A2133">
        <f>IF(J2133="0",0,IF(COUNTIF($J$2:J2133,J2133)=1,1,0))</f>
        <v>0</v>
      </c>
      <c r="B2133" s="12" t="e">
        <f>MID(MAIN!A2138,K2133,2)</f>
        <v>#VALUE!</v>
      </c>
      <c r="C2133" s="12" t="e">
        <f t="shared" si="132"/>
        <v>#VALUE!</v>
      </c>
      <c r="D2133" s="12" t="e">
        <f>MID(MAIN!A2138,K2133+2,2)</f>
        <v>#VALUE!</v>
      </c>
      <c r="E2133" s="12" t="e">
        <f>MID(MAIN!A2138,K2133+4,2)</f>
        <v>#VALUE!</v>
      </c>
      <c r="F2133" s="2" t="e">
        <f t="shared" si="133"/>
        <v>#VALUE!</v>
      </c>
      <c r="G2133" s="13" t="e">
        <f t="shared" si="134"/>
        <v>#VALUE!</v>
      </c>
      <c r="J2133" t="str">
        <f>MAIN!A2138&amp;"B"</f>
        <v>B</v>
      </c>
      <c r="K2133" s="12" t="e">
        <f t="shared" si="135"/>
        <v>#VALUE!</v>
      </c>
      <c r="L2133" t="str">
        <f>MAIN!C2138</f>
        <v/>
      </c>
    </row>
    <row r="2134" spans="1:12" x14ac:dyDescent="0.3">
      <c r="A2134">
        <f>IF(J2134="0",0,IF(COUNTIF($J$2:J2134,J2134)=1,1,0))</f>
        <v>0</v>
      </c>
      <c r="B2134" s="12" t="e">
        <f>MID(MAIN!A2139,K2134,2)</f>
        <v>#VALUE!</v>
      </c>
      <c r="C2134" s="12" t="e">
        <f t="shared" si="132"/>
        <v>#VALUE!</v>
      </c>
      <c r="D2134" s="12" t="e">
        <f>MID(MAIN!A2139,K2134+2,2)</f>
        <v>#VALUE!</v>
      </c>
      <c r="E2134" s="12" t="e">
        <f>MID(MAIN!A2139,K2134+4,2)</f>
        <v>#VALUE!</v>
      </c>
      <c r="F2134" s="2" t="e">
        <f t="shared" si="133"/>
        <v>#VALUE!</v>
      </c>
      <c r="G2134" s="13" t="e">
        <f t="shared" si="134"/>
        <v>#VALUE!</v>
      </c>
      <c r="J2134" t="str">
        <f>MAIN!A2139&amp;"B"</f>
        <v>B</v>
      </c>
      <c r="K2134" s="12" t="e">
        <f t="shared" si="135"/>
        <v>#VALUE!</v>
      </c>
      <c r="L2134" t="str">
        <f>MAIN!C2139</f>
        <v/>
      </c>
    </row>
    <row r="2135" spans="1:12" x14ac:dyDescent="0.3">
      <c r="A2135">
        <f>IF(J2135="0",0,IF(COUNTIF($J$2:J2135,J2135)=1,1,0))</f>
        <v>0</v>
      </c>
      <c r="B2135" s="12" t="e">
        <f>MID(MAIN!A2140,K2135,2)</f>
        <v>#VALUE!</v>
      </c>
      <c r="C2135" s="12" t="e">
        <f t="shared" si="132"/>
        <v>#VALUE!</v>
      </c>
      <c r="D2135" s="12" t="e">
        <f>MID(MAIN!A2140,K2135+2,2)</f>
        <v>#VALUE!</v>
      </c>
      <c r="E2135" s="12" t="e">
        <f>MID(MAIN!A2140,K2135+4,2)</f>
        <v>#VALUE!</v>
      </c>
      <c r="F2135" s="2" t="e">
        <f t="shared" si="133"/>
        <v>#VALUE!</v>
      </c>
      <c r="G2135" s="13" t="e">
        <f t="shared" si="134"/>
        <v>#VALUE!</v>
      </c>
      <c r="J2135" t="str">
        <f>MAIN!A2140&amp;"B"</f>
        <v>B</v>
      </c>
      <c r="K2135" s="12" t="e">
        <f t="shared" si="135"/>
        <v>#VALUE!</v>
      </c>
      <c r="L2135" t="str">
        <f>MAIN!C2140</f>
        <v/>
      </c>
    </row>
    <row r="2136" spans="1:12" x14ac:dyDescent="0.3">
      <c r="A2136">
        <f>IF(J2136="0",0,IF(COUNTIF($J$2:J2136,J2136)=1,1,0))</f>
        <v>0</v>
      </c>
      <c r="B2136" s="12" t="e">
        <f>MID(MAIN!A2141,K2136,2)</f>
        <v>#VALUE!</v>
      </c>
      <c r="C2136" s="12" t="e">
        <f t="shared" si="132"/>
        <v>#VALUE!</v>
      </c>
      <c r="D2136" s="12" t="e">
        <f>MID(MAIN!A2141,K2136+2,2)</f>
        <v>#VALUE!</v>
      </c>
      <c r="E2136" s="12" t="e">
        <f>MID(MAIN!A2141,K2136+4,2)</f>
        <v>#VALUE!</v>
      </c>
      <c r="F2136" s="2" t="e">
        <f t="shared" si="133"/>
        <v>#VALUE!</v>
      </c>
      <c r="G2136" s="13" t="e">
        <f t="shared" si="134"/>
        <v>#VALUE!</v>
      </c>
      <c r="J2136" t="str">
        <f>MAIN!A2141&amp;"B"</f>
        <v>B</v>
      </c>
      <c r="K2136" s="12" t="e">
        <f t="shared" si="135"/>
        <v>#VALUE!</v>
      </c>
      <c r="L2136" t="str">
        <f>MAIN!C2141</f>
        <v/>
      </c>
    </row>
    <row r="2137" spans="1:12" x14ac:dyDescent="0.3">
      <c r="A2137">
        <f>IF(J2137="0",0,IF(COUNTIF($J$2:J2137,J2137)=1,1,0))</f>
        <v>0</v>
      </c>
      <c r="B2137" s="12" t="e">
        <f>MID(MAIN!A2142,K2137,2)</f>
        <v>#VALUE!</v>
      </c>
      <c r="C2137" s="12" t="e">
        <f t="shared" si="132"/>
        <v>#VALUE!</v>
      </c>
      <c r="D2137" s="12" t="e">
        <f>MID(MAIN!A2142,K2137+2,2)</f>
        <v>#VALUE!</v>
      </c>
      <c r="E2137" s="12" t="e">
        <f>MID(MAIN!A2142,K2137+4,2)</f>
        <v>#VALUE!</v>
      </c>
      <c r="F2137" s="2" t="e">
        <f t="shared" si="133"/>
        <v>#VALUE!</v>
      </c>
      <c r="G2137" s="13" t="e">
        <f t="shared" si="134"/>
        <v>#VALUE!</v>
      </c>
      <c r="J2137" t="str">
        <f>MAIN!A2142&amp;"B"</f>
        <v>B</v>
      </c>
      <c r="K2137" s="12" t="e">
        <f t="shared" si="135"/>
        <v>#VALUE!</v>
      </c>
      <c r="L2137" t="str">
        <f>MAIN!C2142</f>
        <v/>
      </c>
    </row>
    <row r="2138" spans="1:12" x14ac:dyDescent="0.3">
      <c r="A2138">
        <f>IF(J2138="0",0,IF(COUNTIF($J$2:J2138,J2138)=1,1,0))</f>
        <v>0</v>
      </c>
      <c r="B2138" s="12" t="e">
        <f>MID(MAIN!A2143,K2138,2)</f>
        <v>#VALUE!</v>
      </c>
      <c r="C2138" s="12" t="e">
        <f t="shared" si="132"/>
        <v>#VALUE!</v>
      </c>
      <c r="D2138" s="12" t="e">
        <f>MID(MAIN!A2143,K2138+2,2)</f>
        <v>#VALUE!</v>
      </c>
      <c r="E2138" s="12" t="e">
        <f>MID(MAIN!A2143,K2138+4,2)</f>
        <v>#VALUE!</v>
      </c>
      <c r="F2138" s="2" t="e">
        <f t="shared" si="133"/>
        <v>#VALUE!</v>
      </c>
      <c r="G2138" s="13" t="e">
        <f t="shared" si="134"/>
        <v>#VALUE!</v>
      </c>
      <c r="J2138" t="str">
        <f>MAIN!A2143&amp;"B"</f>
        <v>B</v>
      </c>
      <c r="K2138" s="12" t="e">
        <f t="shared" si="135"/>
        <v>#VALUE!</v>
      </c>
      <c r="L2138" t="str">
        <f>MAIN!C2143</f>
        <v/>
      </c>
    </row>
    <row r="2139" spans="1:12" x14ac:dyDescent="0.3">
      <c r="A2139">
        <f>IF(J2139="0",0,IF(COUNTIF($J$2:J2139,J2139)=1,1,0))</f>
        <v>0</v>
      </c>
      <c r="B2139" s="12" t="e">
        <f>MID(MAIN!A2144,K2139,2)</f>
        <v>#VALUE!</v>
      </c>
      <c r="C2139" s="12" t="e">
        <f t="shared" si="132"/>
        <v>#VALUE!</v>
      </c>
      <c r="D2139" s="12" t="e">
        <f>MID(MAIN!A2144,K2139+2,2)</f>
        <v>#VALUE!</v>
      </c>
      <c r="E2139" s="12" t="e">
        <f>MID(MAIN!A2144,K2139+4,2)</f>
        <v>#VALUE!</v>
      </c>
      <c r="F2139" s="2" t="e">
        <f t="shared" si="133"/>
        <v>#VALUE!</v>
      </c>
      <c r="G2139" s="13" t="e">
        <f t="shared" si="134"/>
        <v>#VALUE!</v>
      </c>
      <c r="J2139" t="str">
        <f>MAIN!A2144&amp;"B"</f>
        <v>B</v>
      </c>
      <c r="K2139" s="12" t="e">
        <f t="shared" si="135"/>
        <v>#VALUE!</v>
      </c>
      <c r="L2139" t="str">
        <f>MAIN!C2144</f>
        <v/>
      </c>
    </row>
    <row r="2140" spans="1:12" x14ac:dyDescent="0.3">
      <c r="A2140">
        <f>IF(J2140="0",0,IF(COUNTIF($J$2:J2140,J2140)=1,1,0))</f>
        <v>0</v>
      </c>
      <c r="B2140" s="12" t="e">
        <f>MID(MAIN!A2145,K2140,2)</f>
        <v>#VALUE!</v>
      </c>
      <c r="C2140" s="12" t="e">
        <f t="shared" si="132"/>
        <v>#VALUE!</v>
      </c>
      <c r="D2140" s="12" t="e">
        <f>MID(MAIN!A2145,K2140+2,2)</f>
        <v>#VALUE!</v>
      </c>
      <c r="E2140" s="12" t="e">
        <f>MID(MAIN!A2145,K2140+4,2)</f>
        <v>#VALUE!</v>
      </c>
      <c r="F2140" s="2" t="e">
        <f t="shared" si="133"/>
        <v>#VALUE!</v>
      </c>
      <c r="G2140" s="13" t="e">
        <f t="shared" si="134"/>
        <v>#VALUE!</v>
      </c>
      <c r="J2140" t="str">
        <f>MAIN!A2145&amp;"B"</f>
        <v>B</v>
      </c>
      <c r="K2140" s="12" t="e">
        <f t="shared" si="135"/>
        <v>#VALUE!</v>
      </c>
      <c r="L2140" t="str">
        <f>MAIN!C2145</f>
        <v/>
      </c>
    </row>
    <row r="2141" spans="1:12" x14ac:dyDescent="0.3">
      <c r="A2141">
        <f>IF(J2141="0",0,IF(COUNTIF($J$2:J2141,J2141)=1,1,0))</f>
        <v>0</v>
      </c>
      <c r="B2141" s="12" t="e">
        <f>MID(MAIN!A2146,K2141,2)</f>
        <v>#VALUE!</v>
      </c>
      <c r="C2141" s="12" t="e">
        <f t="shared" si="132"/>
        <v>#VALUE!</v>
      </c>
      <c r="D2141" s="12" t="e">
        <f>MID(MAIN!A2146,K2141+2,2)</f>
        <v>#VALUE!</v>
      </c>
      <c r="E2141" s="12" t="e">
        <f>MID(MAIN!A2146,K2141+4,2)</f>
        <v>#VALUE!</v>
      </c>
      <c r="F2141" s="2" t="e">
        <f t="shared" si="133"/>
        <v>#VALUE!</v>
      </c>
      <c r="G2141" s="13" t="e">
        <f t="shared" si="134"/>
        <v>#VALUE!</v>
      </c>
      <c r="J2141" t="str">
        <f>MAIN!A2146&amp;"B"</f>
        <v>B</v>
      </c>
      <c r="K2141" s="12" t="e">
        <f t="shared" si="135"/>
        <v>#VALUE!</v>
      </c>
      <c r="L2141" t="str">
        <f>MAIN!C2146</f>
        <v/>
      </c>
    </row>
    <row r="2142" spans="1:12" x14ac:dyDescent="0.3">
      <c r="A2142">
        <f>IF(J2142="0",0,IF(COUNTIF($J$2:J2142,J2142)=1,1,0))</f>
        <v>0</v>
      </c>
      <c r="B2142" s="12" t="e">
        <f>MID(MAIN!A2147,K2142,2)</f>
        <v>#VALUE!</v>
      </c>
      <c r="C2142" s="12" t="e">
        <f t="shared" si="132"/>
        <v>#VALUE!</v>
      </c>
      <c r="D2142" s="12" t="e">
        <f>MID(MAIN!A2147,K2142+2,2)</f>
        <v>#VALUE!</v>
      </c>
      <c r="E2142" s="12" t="e">
        <f>MID(MAIN!A2147,K2142+4,2)</f>
        <v>#VALUE!</v>
      </c>
      <c r="F2142" s="2" t="e">
        <f t="shared" si="133"/>
        <v>#VALUE!</v>
      </c>
      <c r="G2142" s="13" t="e">
        <f t="shared" si="134"/>
        <v>#VALUE!</v>
      </c>
      <c r="J2142" t="str">
        <f>MAIN!A2147&amp;"B"</f>
        <v>B</v>
      </c>
      <c r="K2142" s="12" t="e">
        <f t="shared" si="135"/>
        <v>#VALUE!</v>
      </c>
      <c r="L2142" t="str">
        <f>MAIN!C2147</f>
        <v/>
      </c>
    </row>
    <row r="2143" spans="1:12" x14ac:dyDescent="0.3">
      <c r="A2143">
        <f>IF(J2143="0",0,IF(COUNTIF($J$2:J2143,J2143)=1,1,0))</f>
        <v>0</v>
      </c>
      <c r="B2143" s="12" t="e">
        <f>MID(MAIN!A2148,K2143,2)</f>
        <v>#VALUE!</v>
      </c>
      <c r="C2143" s="12" t="e">
        <f t="shared" si="132"/>
        <v>#VALUE!</v>
      </c>
      <c r="D2143" s="12" t="e">
        <f>MID(MAIN!A2148,K2143+2,2)</f>
        <v>#VALUE!</v>
      </c>
      <c r="E2143" s="12" t="e">
        <f>MID(MAIN!A2148,K2143+4,2)</f>
        <v>#VALUE!</v>
      </c>
      <c r="F2143" s="2" t="e">
        <f t="shared" si="133"/>
        <v>#VALUE!</v>
      </c>
      <c r="G2143" s="13" t="e">
        <f t="shared" si="134"/>
        <v>#VALUE!</v>
      </c>
      <c r="J2143" t="str">
        <f>MAIN!A2148&amp;"B"</f>
        <v>B</v>
      </c>
      <c r="K2143" s="12" t="e">
        <f t="shared" si="135"/>
        <v>#VALUE!</v>
      </c>
      <c r="L2143" t="str">
        <f>MAIN!C2148</f>
        <v/>
      </c>
    </row>
    <row r="2144" spans="1:12" x14ac:dyDescent="0.3">
      <c r="A2144">
        <f>IF(J2144="0",0,IF(COUNTIF($J$2:J2144,J2144)=1,1,0))</f>
        <v>0</v>
      </c>
      <c r="B2144" s="12" t="e">
        <f>MID(MAIN!A2149,K2144,2)</f>
        <v>#VALUE!</v>
      </c>
      <c r="C2144" s="12" t="e">
        <f t="shared" si="132"/>
        <v>#VALUE!</v>
      </c>
      <c r="D2144" s="12" t="e">
        <f>MID(MAIN!A2149,K2144+2,2)</f>
        <v>#VALUE!</v>
      </c>
      <c r="E2144" s="12" t="e">
        <f>MID(MAIN!A2149,K2144+4,2)</f>
        <v>#VALUE!</v>
      </c>
      <c r="F2144" s="2" t="e">
        <f t="shared" si="133"/>
        <v>#VALUE!</v>
      </c>
      <c r="G2144" s="13" t="e">
        <f t="shared" si="134"/>
        <v>#VALUE!</v>
      </c>
      <c r="J2144" t="str">
        <f>MAIN!A2149&amp;"B"</f>
        <v>B</v>
      </c>
      <c r="K2144" s="12" t="e">
        <f t="shared" si="135"/>
        <v>#VALUE!</v>
      </c>
      <c r="L2144" t="str">
        <f>MAIN!C2149</f>
        <v/>
      </c>
    </row>
    <row r="2145" spans="1:12" x14ac:dyDescent="0.3">
      <c r="A2145">
        <f>IF(J2145="0",0,IF(COUNTIF($J$2:J2145,J2145)=1,1,0))</f>
        <v>0</v>
      </c>
      <c r="B2145" s="12" t="e">
        <f>MID(MAIN!A2150,K2145,2)</f>
        <v>#VALUE!</v>
      </c>
      <c r="C2145" s="12" t="e">
        <f t="shared" si="132"/>
        <v>#VALUE!</v>
      </c>
      <c r="D2145" s="12" t="e">
        <f>MID(MAIN!A2150,K2145+2,2)</f>
        <v>#VALUE!</v>
      </c>
      <c r="E2145" s="12" t="e">
        <f>MID(MAIN!A2150,K2145+4,2)</f>
        <v>#VALUE!</v>
      </c>
      <c r="F2145" s="2" t="e">
        <f t="shared" si="133"/>
        <v>#VALUE!</v>
      </c>
      <c r="G2145" s="13" t="e">
        <f t="shared" si="134"/>
        <v>#VALUE!</v>
      </c>
      <c r="J2145" t="str">
        <f>MAIN!A2150&amp;"B"</f>
        <v>B</v>
      </c>
      <c r="K2145" s="12" t="e">
        <f t="shared" si="135"/>
        <v>#VALUE!</v>
      </c>
      <c r="L2145" t="str">
        <f>MAIN!C2150</f>
        <v/>
      </c>
    </row>
    <row r="2146" spans="1:12" x14ac:dyDescent="0.3">
      <c r="A2146">
        <f>IF(J2146="0",0,IF(COUNTIF($J$2:J2146,J2146)=1,1,0))</f>
        <v>0</v>
      </c>
      <c r="B2146" s="12" t="e">
        <f>MID(MAIN!A2151,K2146,2)</f>
        <v>#VALUE!</v>
      </c>
      <c r="C2146" s="12" t="e">
        <f t="shared" si="132"/>
        <v>#VALUE!</v>
      </c>
      <c r="D2146" s="12" t="e">
        <f>MID(MAIN!A2151,K2146+2,2)</f>
        <v>#VALUE!</v>
      </c>
      <c r="E2146" s="12" t="e">
        <f>MID(MAIN!A2151,K2146+4,2)</f>
        <v>#VALUE!</v>
      </c>
      <c r="F2146" s="2" t="e">
        <f t="shared" si="133"/>
        <v>#VALUE!</v>
      </c>
      <c r="G2146" s="13" t="e">
        <f t="shared" si="134"/>
        <v>#VALUE!</v>
      </c>
      <c r="J2146" t="str">
        <f>MAIN!A2151&amp;"B"</f>
        <v>B</v>
      </c>
      <c r="K2146" s="12" t="e">
        <f t="shared" si="135"/>
        <v>#VALUE!</v>
      </c>
      <c r="L2146" t="str">
        <f>MAIN!C2151</f>
        <v/>
      </c>
    </row>
    <row r="2147" spans="1:12" x14ac:dyDescent="0.3">
      <c r="A2147">
        <f>IF(J2147="0",0,IF(COUNTIF($J$2:J2147,J2147)=1,1,0))</f>
        <v>0</v>
      </c>
      <c r="B2147" s="12" t="e">
        <f>MID(MAIN!A2152,K2147,2)</f>
        <v>#VALUE!</v>
      </c>
      <c r="C2147" s="12" t="e">
        <f t="shared" si="132"/>
        <v>#VALUE!</v>
      </c>
      <c r="D2147" s="12" t="e">
        <f>MID(MAIN!A2152,K2147+2,2)</f>
        <v>#VALUE!</v>
      </c>
      <c r="E2147" s="12" t="e">
        <f>MID(MAIN!A2152,K2147+4,2)</f>
        <v>#VALUE!</v>
      </c>
      <c r="F2147" s="2" t="e">
        <f t="shared" si="133"/>
        <v>#VALUE!</v>
      </c>
      <c r="G2147" s="13" t="e">
        <f t="shared" si="134"/>
        <v>#VALUE!</v>
      </c>
      <c r="J2147" t="str">
        <f>MAIN!A2152&amp;"B"</f>
        <v>B</v>
      </c>
      <c r="K2147" s="12" t="e">
        <f t="shared" si="135"/>
        <v>#VALUE!</v>
      </c>
      <c r="L2147" t="str">
        <f>MAIN!C2152</f>
        <v/>
      </c>
    </row>
    <row r="2148" spans="1:12" x14ac:dyDescent="0.3">
      <c r="A2148">
        <f>IF(J2148="0",0,IF(COUNTIF($J$2:J2148,J2148)=1,1,0))</f>
        <v>0</v>
      </c>
      <c r="B2148" s="12" t="e">
        <f>MID(MAIN!A2153,K2148,2)</f>
        <v>#VALUE!</v>
      </c>
      <c r="C2148" s="12" t="e">
        <f t="shared" si="132"/>
        <v>#VALUE!</v>
      </c>
      <c r="D2148" s="12" t="e">
        <f>MID(MAIN!A2153,K2148+2,2)</f>
        <v>#VALUE!</v>
      </c>
      <c r="E2148" s="12" t="e">
        <f>MID(MAIN!A2153,K2148+4,2)</f>
        <v>#VALUE!</v>
      </c>
      <c r="F2148" s="2" t="e">
        <f t="shared" si="133"/>
        <v>#VALUE!</v>
      </c>
      <c r="G2148" s="13" t="e">
        <f t="shared" si="134"/>
        <v>#VALUE!</v>
      </c>
      <c r="J2148" t="str">
        <f>MAIN!A2153&amp;"B"</f>
        <v>B</v>
      </c>
      <c r="K2148" s="12" t="e">
        <f t="shared" si="135"/>
        <v>#VALUE!</v>
      </c>
      <c r="L2148" t="str">
        <f>MAIN!C2153</f>
        <v/>
      </c>
    </row>
    <row r="2149" spans="1:12" x14ac:dyDescent="0.3">
      <c r="A2149">
        <f>IF(J2149="0",0,IF(COUNTIF($J$2:J2149,J2149)=1,1,0))</f>
        <v>0</v>
      </c>
      <c r="B2149" s="12" t="e">
        <f>MID(MAIN!A2154,K2149,2)</f>
        <v>#VALUE!</v>
      </c>
      <c r="C2149" s="12" t="e">
        <f t="shared" si="132"/>
        <v>#VALUE!</v>
      </c>
      <c r="D2149" s="12" t="e">
        <f>MID(MAIN!A2154,K2149+2,2)</f>
        <v>#VALUE!</v>
      </c>
      <c r="E2149" s="12" t="e">
        <f>MID(MAIN!A2154,K2149+4,2)</f>
        <v>#VALUE!</v>
      </c>
      <c r="F2149" s="2" t="e">
        <f t="shared" si="133"/>
        <v>#VALUE!</v>
      </c>
      <c r="G2149" s="13" t="e">
        <f t="shared" si="134"/>
        <v>#VALUE!</v>
      </c>
      <c r="J2149" t="str">
        <f>MAIN!A2154&amp;"B"</f>
        <v>B</v>
      </c>
      <c r="K2149" s="12" t="e">
        <f t="shared" si="135"/>
        <v>#VALUE!</v>
      </c>
      <c r="L2149" t="str">
        <f>MAIN!C2154</f>
        <v/>
      </c>
    </row>
    <row r="2150" spans="1:12" x14ac:dyDescent="0.3">
      <c r="A2150">
        <f>IF(J2150="0",0,IF(COUNTIF($J$2:J2150,J2150)=1,1,0))</f>
        <v>0</v>
      </c>
      <c r="B2150" s="12" t="e">
        <f>MID(MAIN!A2155,K2150,2)</f>
        <v>#VALUE!</v>
      </c>
      <c r="C2150" s="12" t="e">
        <f t="shared" si="132"/>
        <v>#VALUE!</v>
      </c>
      <c r="D2150" s="12" t="e">
        <f>MID(MAIN!A2155,K2150+2,2)</f>
        <v>#VALUE!</v>
      </c>
      <c r="E2150" s="12" t="e">
        <f>MID(MAIN!A2155,K2150+4,2)</f>
        <v>#VALUE!</v>
      </c>
      <c r="F2150" s="2" t="e">
        <f t="shared" si="133"/>
        <v>#VALUE!</v>
      </c>
      <c r="G2150" s="13" t="e">
        <f t="shared" si="134"/>
        <v>#VALUE!</v>
      </c>
      <c r="J2150" t="str">
        <f>MAIN!A2155&amp;"B"</f>
        <v>B</v>
      </c>
      <c r="K2150" s="12" t="e">
        <f t="shared" si="135"/>
        <v>#VALUE!</v>
      </c>
      <c r="L2150" t="str">
        <f>MAIN!C2155</f>
        <v/>
      </c>
    </row>
    <row r="2151" spans="1:12" x14ac:dyDescent="0.3">
      <c r="A2151">
        <f>IF(J2151="0",0,IF(COUNTIF($J$2:J2151,J2151)=1,1,0))</f>
        <v>0</v>
      </c>
      <c r="B2151" s="12" t="e">
        <f>MID(MAIN!A2156,K2151,2)</f>
        <v>#VALUE!</v>
      </c>
      <c r="C2151" s="12" t="e">
        <f t="shared" si="132"/>
        <v>#VALUE!</v>
      </c>
      <c r="D2151" s="12" t="e">
        <f>MID(MAIN!A2156,K2151+2,2)</f>
        <v>#VALUE!</v>
      </c>
      <c r="E2151" s="12" t="e">
        <f>MID(MAIN!A2156,K2151+4,2)</f>
        <v>#VALUE!</v>
      </c>
      <c r="F2151" s="2" t="e">
        <f t="shared" si="133"/>
        <v>#VALUE!</v>
      </c>
      <c r="G2151" s="13" t="e">
        <f t="shared" si="134"/>
        <v>#VALUE!</v>
      </c>
      <c r="J2151" t="str">
        <f>MAIN!A2156&amp;"B"</f>
        <v>B</v>
      </c>
      <c r="K2151" s="12" t="e">
        <f t="shared" si="135"/>
        <v>#VALUE!</v>
      </c>
      <c r="L2151" t="str">
        <f>MAIN!C2156</f>
        <v/>
      </c>
    </row>
    <row r="2152" spans="1:12" x14ac:dyDescent="0.3">
      <c r="A2152">
        <f>IF(J2152="0",0,IF(COUNTIF($J$2:J2152,J2152)=1,1,0))</f>
        <v>0</v>
      </c>
      <c r="B2152" s="12" t="e">
        <f>MID(MAIN!A2157,K2152,2)</f>
        <v>#VALUE!</v>
      </c>
      <c r="C2152" s="12" t="e">
        <f t="shared" si="132"/>
        <v>#VALUE!</v>
      </c>
      <c r="D2152" s="12" t="e">
        <f>MID(MAIN!A2157,K2152+2,2)</f>
        <v>#VALUE!</v>
      </c>
      <c r="E2152" s="12" t="e">
        <f>MID(MAIN!A2157,K2152+4,2)</f>
        <v>#VALUE!</v>
      </c>
      <c r="F2152" s="2" t="e">
        <f t="shared" si="133"/>
        <v>#VALUE!</v>
      </c>
      <c r="G2152" s="13" t="e">
        <f t="shared" si="134"/>
        <v>#VALUE!</v>
      </c>
      <c r="J2152" t="str">
        <f>MAIN!A2157&amp;"B"</f>
        <v>B</v>
      </c>
      <c r="K2152" s="12" t="e">
        <f t="shared" si="135"/>
        <v>#VALUE!</v>
      </c>
      <c r="L2152" t="str">
        <f>MAIN!C2157</f>
        <v/>
      </c>
    </row>
    <row r="2153" spans="1:12" x14ac:dyDescent="0.3">
      <c r="A2153">
        <f>IF(J2153="0",0,IF(COUNTIF($J$2:J2153,J2153)=1,1,0))</f>
        <v>0</v>
      </c>
      <c r="B2153" s="12" t="e">
        <f>MID(MAIN!A2158,K2153,2)</f>
        <v>#VALUE!</v>
      </c>
      <c r="C2153" s="12" t="e">
        <f t="shared" si="132"/>
        <v>#VALUE!</v>
      </c>
      <c r="D2153" s="12" t="e">
        <f>MID(MAIN!A2158,K2153+2,2)</f>
        <v>#VALUE!</v>
      </c>
      <c r="E2153" s="12" t="e">
        <f>MID(MAIN!A2158,K2153+4,2)</f>
        <v>#VALUE!</v>
      </c>
      <c r="F2153" s="2" t="e">
        <f t="shared" si="133"/>
        <v>#VALUE!</v>
      </c>
      <c r="G2153" s="13" t="e">
        <f t="shared" si="134"/>
        <v>#VALUE!</v>
      </c>
      <c r="J2153" t="str">
        <f>MAIN!A2158&amp;"B"</f>
        <v>B</v>
      </c>
      <c r="K2153" s="12" t="e">
        <f t="shared" si="135"/>
        <v>#VALUE!</v>
      </c>
      <c r="L2153" t="str">
        <f>MAIN!C2158</f>
        <v/>
      </c>
    </row>
    <row r="2154" spans="1:12" x14ac:dyDescent="0.3">
      <c r="A2154">
        <f>IF(J2154="0",0,IF(COUNTIF($J$2:J2154,J2154)=1,1,0))</f>
        <v>0</v>
      </c>
      <c r="B2154" s="12" t="e">
        <f>MID(MAIN!A2159,K2154,2)</f>
        <v>#VALUE!</v>
      </c>
      <c r="C2154" s="12" t="e">
        <f t="shared" si="132"/>
        <v>#VALUE!</v>
      </c>
      <c r="D2154" s="12" t="e">
        <f>MID(MAIN!A2159,K2154+2,2)</f>
        <v>#VALUE!</v>
      </c>
      <c r="E2154" s="12" t="e">
        <f>MID(MAIN!A2159,K2154+4,2)</f>
        <v>#VALUE!</v>
      </c>
      <c r="F2154" s="2" t="e">
        <f t="shared" si="133"/>
        <v>#VALUE!</v>
      </c>
      <c r="G2154" s="13" t="e">
        <f t="shared" si="134"/>
        <v>#VALUE!</v>
      </c>
      <c r="J2154" t="str">
        <f>MAIN!A2159&amp;"B"</f>
        <v>B</v>
      </c>
      <c r="K2154" s="12" t="e">
        <f t="shared" si="135"/>
        <v>#VALUE!</v>
      </c>
      <c r="L2154" t="str">
        <f>MAIN!C2159</f>
        <v/>
      </c>
    </row>
    <row r="2155" spans="1:12" x14ac:dyDescent="0.3">
      <c r="A2155">
        <f>IF(J2155="0",0,IF(COUNTIF($J$2:J2155,J2155)=1,1,0))</f>
        <v>0</v>
      </c>
      <c r="B2155" s="12" t="e">
        <f>MID(MAIN!A2160,K2155,2)</f>
        <v>#VALUE!</v>
      </c>
      <c r="C2155" s="12" t="e">
        <f t="shared" si="132"/>
        <v>#VALUE!</v>
      </c>
      <c r="D2155" s="12" t="e">
        <f>MID(MAIN!A2160,K2155+2,2)</f>
        <v>#VALUE!</v>
      </c>
      <c r="E2155" s="12" t="e">
        <f>MID(MAIN!A2160,K2155+4,2)</f>
        <v>#VALUE!</v>
      </c>
      <c r="F2155" s="2" t="e">
        <f t="shared" si="133"/>
        <v>#VALUE!</v>
      </c>
      <c r="G2155" s="13" t="e">
        <f t="shared" si="134"/>
        <v>#VALUE!</v>
      </c>
      <c r="J2155" t="str">
        <f>MAIN!A2160&amp;"B"</f>
        <v>B</v>
      </c>
      <c r="K2155" s="12" t="e">
        <f t="shared" si="135"/>
        <v>#VALUE!</v>
      </c>
      <c r="L2155" t="str">
        <f>MAIN!C2160</f>
        <v/>
      </c>
    </row>
    <row r="2156" spans="1:12" x14ac:dyDescent="0.3">
      <c r="A2156">
        <f>IF(J2156="0",0,IF(COUNTIF($J$2:J2156,J2156)=1,1,0))</f>
        <v>0</v>
      </c>
      <c r="B2156" s="12" t="e">
        <f>MID(MAIN!A2161,K2156,2)</f>
        <v>#VALUE!</v>
      </c>
      <c r="C2156" s="12" t="e">
        <f t="shared" si="132"/>
        <v>#VALUE!</v>
      </c>
      <c r="D2156" s="12" t="e">
        <f>MID(MAIN!A2161,K2156+2,2)</f>
        <v>#VALUE!</v>
      </c>
      <c r="E2156" s="12" t="e">
        <f>MID(MAIN!A2161,K2156+4,2)</f>
        <v>#VALUE!</v>
      </c>
      <c r="F2156" s="2" t="e">
        <f t="shared" si="133"/>
        <v>#VALUE!</v>
      </c>
      <c r="G2156" s="13" t="e">
        <f t="shared" si="134"/>
        <v>#VALUE!</v>
      </c>
      <c r="J2156" t="str">
        <f>MAIN!A2161&amp;"B"</f>
        <v>B</v>
      </c>
      <c r="K2156" s="12" t="e">
        <f t="shared" si="135"/>
        <v>#VALUE!</v>
      </c>
      <c r="L2156" t="str">
        <f>MAIN!C2161</f>
        <v/>
      </c>
    </row>
    <row r="2157" spans="1:12" x14ac:dyDescent="0.3">
      <c r="A2157">
        <f>IF(J2157="0",0,IF(COUNTIF($J$2:J2157,J2157)=1,1,0))</f>
        <v>0</v>
      </c>
      <c r="B2157" s="12" t="e">
        <f>MID(MAIN!A2162,K2157,2)</f>
        <v>#VALUE!</v>
      </c>
      <c r="C2157" s="12" t="e">
        <f t="shared" si="132"/>
        <v>#VALUE!</v>
      </c>
      <c r="D2157" s="12" t="e">
        <f>MID(MAIN!A2162,K2157+2,2)</f>
        <v>#VALUE!</v>
      </c>
      <c r="E2157" s="12" t="e">
        <f>MID(MAIN!A2162,K2157+4,2)</f>
        <v>#VALUE!</v>
      </c>
      <c r="F2157" s="2" t="e">
        <f t="shared" si="133"/>
        <v>#VALUE!</v>
      </c>
      <c r="G2157" s="13" t="e">
        <f t="shared" si="134"/>
        <v>#VALUE!</v>
      </c>
      <c r="J2157" t="str">
        <f>MAIN!A2162&amp;"B"</f>
        <v>B</v>
      </c>
      <c r="K2157" s="12" t="e">
        <f t="shared" si="135"/>
        <v>#VALUE!</v>
      </c>
      <c r="L2157" t="str">
        <f>MAIN!C2162</f>
        <v/>
      </c>
    </row>
    <row r="2158" spans="1:12" x14ac:dyDescent="0.3">
      <c r="A2158">
        <f>IF(J2158="0",0,IF(COUNTIF($J$2:J2158,J2158)=1,1,0))</f>
        <v>0</v>
      </c>
      <c r="B2158" s="12" t="e">
        <f>MID(MAIN!A2163,K2158,2)</f>
        <v>#VALUE!</v>
      </c>
      <c r="C2158" s="12" t="e">
        <f t="shared" si="132"/>
        <v>#VALUE!</v>
      </c>
      <c r="D2158" s="12" t="e">
        <f>MID(MAIN!A2163,K2158+2,2)</f>
        <v>#VALUE!</v>
      </c>
      <c r="E2158" s="12" t="e">
        <f>MID(MAIN!A2163,K2158+4,2)</f>
        <v>#VALUE!</v>
      </c>
      <c r="F2158" s="2" t="e">
        <f t="shared" si="133"/>
        <v>#VALUE!</v>
      </c>
      <c r="G2158" s="13" t="e">
        <f t="shared" si="134"/>
        <v>#VALUE!</v>
      </c>
      <c r="J2158" t="str">
        <f>MAIN!A2163&amp;"B"</f>
        <v>B</v>
      </c>
      <c r="K2158" s="12" t="e">
        <f t="shared" si="135"/>
        <v>#VALUE!</v>
      </c>
      <c r="L2158" t="str">
        <f>MAIN!C2163</f>
        <v/>
      </c>
    </row>
    <row r="2159" spans="1:12" x14ac:dyDescent="0.3">
      <c r="A2159">
        <f>IF(J2159="0",0,IF(COUNTIF($J$2:J2159,J2159)=1,1,0))</f>
        <v>0</v>
      </c>
      <c r="B2159" s="12" t="e">
        <f>MID(MAIN!A2164,K2159,2)</f>
        <v>#VALUE!</v>
      </c>
      <c r="C2159" s="12" t="e">
        <f t="shared" si="132"/>
        <v>#VALUE!</v>
      </c>
      <c r="D2159" s="12" t="e">
        <f>MID(MAIN!A2164,K2159+2,2)</f>
        <v>#VALUE!</v>
      </c>
      <c r="E2159" s="12" t="e">
        <f>MID(MAIN!A2164,K2159+4,2)</f>
        <v>#VALUE!</v>
      </c>
      <c r="F2159" s="2" t="e">
        <f t="shared" si="133"/>
        <v>#VALUE!</v>
      </c>
      <c r="G2159" s="13" t="e">
        <f t="shared" si="134"/>
        <v>#VALUE!</v>
      </c>
      <c r="J2159" t="str">
        <f>MAIN!A2164&amp;"B"</f>
        <v>B</v>
      </c>
      <c r="K2159" s="12" t="e">
        <f t="shared" si="135"/>
        <v>#VALUE!</v>
      </c>
      <c r="L2159" t="str">
        <f>MAIN!C2164</f>
        <v/>
      </c>
    </row>
    <row r="2160" spans="1:12" x14ac:dyDescent="0.3">
      <c r="A2160">
        <f>IF(J2160="0",0,IF(COUNTIF($J$2:J2160,J2160)=1,1,0))</f>
        <v>0</v>
      </c>
      <c r="B2160" s="12" t="e">
        <f>MID(MAIN!A2165,K2160,2)</f>
        <v>#VALUE!</v>
      </c>
      <c r="C2160" s="12" t="e">
        <f t="shared" si="132"/>
        <v>#VALUE!</v>
      </c>
      <c r="D2160" s="12" t="e">
        <f>MID(MAIN!A2165,K2160+2,2)</f>
        <v>#VALUE!</v>
      </c>
      <c r="E2160" s="12" t="e">
        <f>MID(MAIN!A2165,K2160+4,2)</f>
        <v>#VALUE!</v>
      </c>
      <c r="F2160" s="2" t="e">
        <f t="shared" si="133"/>
        <v>#VALUE!</v>
      </c>
      <c r="G2160" s="13" t="e">
        <f t="shared" si="134"/>
        <v>#VALUE!</v>
      </c>
      <c r="J2160" t="str">
        <f>MAIN!A2165&amp;"B"</f>
        <v>B</v>
      </c>
      <c r="K2160" s="12" t="e">
        <f t="shared" si="135"/>
        <v>#VALUE!</v>
      </c>
      <c r="L2160" t="str">
        <f>MAIN!C2165</f>
        <v/>
      </c>
    </row>
    <row r="2161" spans="1:12" x14ac:dyDescent="0.3">
      <c r="A2161">
        <f>IF(J2161="0",0,IF(COUNTIF($J$2:J2161,J2161)=1,1,0))</f>
        <v>0</v>
      </c>
      <c r="B2161" s="12" t="e">
        <f>MID(MAIN!A2166,K2161,2)</f>
        <v>#VALUE!</v>
      </c>
      <c r="C2161" s="12" t="e">
        <f t="shared" si="132"/>
        <v>#VALUE!</v>
      </c>
      <c r="D2161" s="12" t="e">
        <f>MID(MAIN!A2166,K2161+2,2)</f>
        <v>#VALUE!</v>
      </c>
      <c r="E2161" s="12" t="e">
        <f>MID(MAIN!A2166,K2161+4,2)</f>
        <v>#VALUE!</v>
      </c>
      <c r="F2161" s="2" t="e">
        <f t="shared" si="133"/>
        <v>#VALUE!</v>
      </c>
      <c r="G2161" s="13" t="e">
        <f t="shared" si="134"/>
        <v>#VALUE!</v>
      </c>
      <c r="J2161" t="str">
        <f>MAIN!A2166&amp;"B"</f>
        <v>B</v>
      </c>
      <c r="K2161" s="12" t="e">
        <f t="shared" si="135"/>
        <v>#VALUE!</v>
      </c>
      <c r="L2161" t="str">
        <f>MAIN!C2166</f>
        <v/>
      </c>
    </row>
    <row r="2162" spans="1:12" x14ac:dyDescent="0.3">
      <c r="A2162">
        <f>IF(J2162="0",0,IF(COUNTIF($J$2:J2162,J2162)=1,1,0))</f>
        <v>0</v>
      </c>
      <c r="B2162" s="12" t="e">
        <f>MID(MAIN!A2167,K2162,2)</f>
        <v>#VALUE!</v>
      </c>
      <c r="C2162" s="12" t="e">
        <f t="shared" si="132"/>
        <v>#VALUE!</v>
      </c>
      <c r="D2162" s="12" t="e">
        <f>MID(MAIN!A2167,K2162+2,2)</f>
        <v>#VALUE!</v>
      </c>
      <c r="E2162" s="12" t="e">
        <f>MID(MAIN!A2167,K2162+4,2)</f>
        <v>#VALUE!</v>
      </c>
      <c r="F2162" s="2" t="e">
        <f t="shared" si="133"/>
        <v>#VALUE!</v>
      </c>
      <c r="G2162" s="13" t="e">
        <f t="shared" si="134"/>
        <v>#VALUE!</v>
      </c>
      <c r="J2162" t="str">
        <f>MAIN!A2167&amp;"B"</f>
        <v>B</v>
      </c>
      <c r="K2162" s="12" t="e">
        <f t="shared" si="135"/>
        <v>#VALUE!</v>
      </c>
      <c r="L2162" t="str">
        <f>MAIN!C2167</f>
        <v/>
      </c>
    </row>
    <row r="2163" spans="1:12" x14ac:dyDescent="0.3">
      <c r="A2163">
        <f>IF(J2163="0",0,IF(COUNTIF($J$2:J2163,J2163)=1,1,0))</f>
        <v>0</v>
      </c>
      <c r="B2163" s="12" t="e">
        <f>MID(MAIN!A2168,K2163,2)</f>
        <v>#VALUE!</v>
      </c>
      <c r="C2163" s="12" t="e">
        <f t="shared" si="132"/>
        <v>#VALUE!</v>
      </c>
      <c r="D2163" s="12" t="e">
        <f>MID(MAIN!A2168,K2163+2,2)</f>
        <v>#VALUE!</v>
      </c>
      <c r="E2163" s="12" t="e">
        <f>MID(MAIN!A2168,K2163+4,2)</f>
        <v>#VALUE!</v>
      </c>
      <c r="F2163" s="2" t="e">
        <f t="shared" si="133"/>
        <v>#VALUE!</v>
      </c>
      <c r="G2163" s="13" t="e">
        <f t="shared" si="134"/>
        <v>#VALUE!</v>
      </c>
      <c r="J2163" t="str">
        <f>MAIN!A2168&amp;"B"</f>
        <v>B</v>
      </c>
      <c r="K2163" s="12" t="e">
        <f t="shared" si="135"/>
        <v>#VALUE!</v>
      </c>
      <c r="L2163" t="str">
        <f>MAIN!C2168</f>
        <v/>
      </c>
    </row>
    <row r="2164" spans="1:12" x14ac:dyDescent="0.3">
      <c r="A2164">
        <f>IF(J2164="0",0,IF(COUNTIF($J$2:J2164,J2164)=1,1,0))</f>
        <v>0</v>
      </c>
      <c r="B2164" s="12" t="e">
        <f>MID(MAIN!A2169,K2164,2)</f>
        <v>#VALUE!</v>
      </c>
      <c r="C2164" s="12" t="e">
        <f t="shared" si="132"/>
        <v>#VALUE!</v>
      </c>
      <c r="D2164" s="12" t="e">
        <f>MID(MAIN!A2169,K2164+2,2)</f>
        <v>#VALUE!</v>
      </c>
      <c r="E2164" s="12" t="e">
        <f>MID(MAIN!A2169,K2164+4,2)</f>
        <v>#VALUE!</v>
      </c>
      <c r="F2164" s="2" t="e">
        <f t="shared" si="133"/>
        <v>#VALUE!</v>
      </c>
      <c r="G2164" s="13" t="e">
        <f t="shared" si="134"/>
        <v>#VALUE!</v>
      </c>
      <c r="J2164" t="str">
        <f>MAIN!A2169&amp;"B"</f>
        <v>B</v>
      </c>
      <c r="K2164" s="12" t="e">
        <f t="shared" si="135"/>
        <v>#VALUE!</v>
      </c>
      <c r="L2164" t="str">
        <f>MAIN!C2169</f>
        <v/>
      </c>
    </row>
    <row r="2165" spans="1:12" x14ac:dyDescent="0.3">
      <c r="A2165">
        <f>IF(J2165="0",0,IF(COUNTIF($J$2:J2165,J2165)=1,1,0))</f>
        <v>0</v>
      </c>
      <c r="B2165" s="12" t="e">
        <f>MID(MAIN!A2170,K2165,2)</f>
        <v>#VALUE!</v>
      </c>
      <c r="C2165" s="12" t="e">
        <f t="shared" si="132"/>
        <v>#VALUE!</v>
      </c>
      <c r="D2165" s="12" t="e">
        <f>MID(MAIN!A2170,K2165+2,2)</f>
        <v>#VALUE!</v>
      </c>
      <c r="E2165" s="12" t="e">
        <f>MID(MAIN!A2170,K2165+4,2)</f>
        <v>#VALUE!</v>
      </c>
      <c r="F2165" s="2" t="e">
        <f t="shared" si="133"/>
        <v>#VALUE!</v>
      </c>
      <c r="G2165" s="13" t="e">
        <f t="shared" si="134"/>
        <v>#VALUE!</v>
      </c>
      <c r="J2165" t="str">
        <f>MAIN!A2170&amp;"B"</f>
        <v>B</v>
      </c>
      <c r="K2165" s="12" t="e">
        <f t="shared" si="135"/>
        <v>#VALUE!</v>
      </c>
      <c r="L2165" t="str">
        <f>MAIN!C2170</f>
        <v/>
      </c>
    </row>
    <row r="2166" spans="1:12" x14ac:dyDescent="0.3">
      <c r="A2166">
        <f>IF(J2166="0",0,IF(COUNTIF($J$2:J2166,J2166)=1,1,0))</f>
        <v>0</v>
      </c>
      <c r="B2166" s="12" t="e">
        <f>MID(MAIN!A2171,K2166,2)</f>
        <v>#VALUE!</v>
      </c>
      <c r="C2166" s="12" t="e">
        <f t="shared" si="132"/>
        <v>#VALUE!</v>
      </c>
      <c r="D2166" s="12" t="e">
        <f>MID(MAIN!A2171,K2166+2,2)</f>
        <v>#VALUE!</v>
      </c>
      <c r="E2166" s="12" t="e">
        <f>MID(MAIN!A2171,K2166+4,2)</f>
        <v>#VALUE!</v>
      </c>
      <c r="F2166" s="2" t="e">
        <f t="shared" si="133"/>
        <v>#VALUE!</v>
      </c>
      <c r="G2166" s="13" t="e">
        <f t="shared" si="134"/>
        <v>#VALUE!</v>
      </c>
      <c r="J2166" t="str">
        <f>MAIN!A2171&amp;"B"</f>
        <v>B</v>
      </c>
      <c r="K2166" s="12" t="e">
        <f t="shared" si="135"/>
        <v>#VALUE!</v>
      </c>
      <c r="L2166" t="str">
        <f>MAIN!C2171</f>
        <v/>
      </c>
    </row>
    <row r="2167" spans="1:12" x14ac:dyDescent="0.3">
      <c r="A2167">
        <f>IF(J2167="0",0,IF(COUNTIF($J$2:J2167,J2167)=1,1,0))</f>
        <v>0</v>
      </c>
      <c r="B2167" s="12" t="e">
        <f>MID(MAIN!A2172,K2167,2)</f>
        <v>#VALUE!</v>
      </c>
      <c r="C2167" s="12" t="e">
        <f t="shared" si="132"/>
        <v>#VALUE!</v>
      </c>
      <c r="D2167" s="12" t="e">
        <f>MID(MAIN!A2172,K2167+2,2)</f>
        <v>#VALUE!</v>
      </c>
      <c r="E2167" s="12" t="e">
        <f>MID(MAIN!A2172,K2167+4,2)</f>
        <v>#VALUE!</v>
      </c>
      <c r="F2167" s="2" t="e">
        <f t="shared" si="133"/>
        <v>#VALUE!</v>
      </c>
      <c r="G2167" s="13" t="e">
        <f t="shared" si="134"/>
        <v>#VALUE!</v>
      </c>
      <c r="J2167" t="str">
        <f>MAIN!A2172&amp;"B"</f>
        <v>B</v>
      </c>
      <c r="K2167" s="12" t="e">
        <f t="shared" si="135"/>
        <v>#VALUE!</v>
      </c>
      <c r="L2167" t="str">
        <f>MAIN!C2172</f>
        <v/>
      </c>
    </row>
    <row r="2168" spans="1:12" x14ac:dyDescent="0.3">
      <c r="A2168">
        <f>IF(J2168="0",0,IF(COUNTIF($J$2:J2168,J2168)=1,1,0))</f>
        <v>0</v>
      </c>
      <c r="B2168" s="12" t="e">
        <f>MID(MAIN!A2173,K2168,2)</f>
        <v>#VALUE!</v>
      </c>
      <c r="C2168" s="12" t="e">
        <f t="shared" si="132"/>
        <v>#VALUE!</v>
      </c>
      <c r="D2168" s="12" t="e">
        <f>MID(MAIN!A2173,K2168+2,2)</f>
        <v>#VALUE!</v>
      </c>
      <c r="E2168" s="12" t="e">
        <f>MID(MAIN!A2173,K2168+4,2)</f>
        <v>#VALUE!</v>
      </c>
      <c r="F2168" s="2" t="e">
        <f t="shared" si="133"/>
        <v>#VALUE!</v>
      </c>
      <c r="G2168" s="13" t="e">
        <f t="shared" si="134"/>
        <v>#VALUE!</v>
      </c>
      <c r="J2168" t="str">
        <f>MAIN!A2173&amp;"B"</f>
        <v>B</v>
      </c>
      <c r="K2168" s="12" t="e">
        <f t="shared" si="135"/>
        <v>#VALUE!</v>
      </c>
      <c r="L2168" t="str">
        <f>MAIN!C2173</f>
        <v/>
      </c>
    </row>
    <row r="2169" spans="1:12" x14ac:dyDescent="0.3">
      <c r="A2169">
        <f>IF(J2169="0",0,IF(COUNTIF($J$2:J2169,J2169)=1,1,0))</f>
        <v>0</v>
      </c>
      <c r="B2169" s="12" t="e">
        <f>MID(MAIN!A2174,K2169,2)</f>
        <v>#VALUE!</v>
      </c>
      <c r="C2169" s="12" t="e">
        <f t="shared" si="132"/>
        <v>#VALUE!</v>
      </c>
      <c r="D2169" s="12" t="e">
        <f>MID(MAIN!A2174,K2169+2,2)</f>
        <v>#VALUE!</v>
      </c>
      <c r="E2169" s="12" t="e">
        <f>MID(MAIN!A2174,K2169+4,2)</f>
        <v>#VALUE!</v>
      </c>
      <c r="F2169" s="2" t="e">
        <f t="shared" si="133"/>
        <v>#VALUE!</v>
      </c>
      <c r="G2169" s="13" t="e">
        <f t="shared" si="134"/>
        <v>#VALUE!</v>
      </c>
      <c r="J2169" t="str">
        <f>MAIN!A2174&amp;"B"</f>
        <v>B</v>
      </c>
      <c r="K2169" s="12" t="e">
        <f t="shared" si="135"/>
        <v>#VALUE!</v>
      </c>
      <c r="L2169" t="str">
        <f>MAIN!C2174</f>
        <v/>
      </c>
    </row>
    <row r="2170" spans="1:12" x14ac:dyDescent="0.3">
      <c r="A2170">
        <f>IF(J2170="0",0,IF(COUNTIF($J$2:J2170,J2170)=1,1,0))</f>
        <v>0</v>
      </c>
      <c r="B2170" s="12" t="e">
        <f>MID(MAIN!A2175,K2170,2)</f>
        <v>#VALUE!</v>
      </c>
      <c r="C2170" s="12" t="e">
        <f t="shared" si="132"/>
        <v>#VALUE!</v>
      </c>
      <c r="D2170" s="12" t="e">
        <f>MID(MAIN!A2175,K2170+2,2)</f>
        <v>#VALUE!</v>
      </c>
      <c r="E2170" s="12" t="e">
        <f>MID(MAIN!A2175,K2170+4,2)</f>
        <v>#VALUE!</v>
      </c>
      <c r="F2170" s="2" t="e">
        <f t="shared" si="133"/>
        <v>#VALUE!</v>
      </c>
      <c r="G2170" s="13" t="e">
        <f t="shared" si="134"/>
        <v>#VALUE!</v>
      </c>
      <c r="J2170" t="str">
        <f>MAIN!A2175&amp;"B"</f>
        <v>B</v>
      </c>
      <c r="K2170" s="12" t="e">
        <f t="shared" si="135"/>
        <v>#VALUE!</v>
      </c>
      <c r="L2170" t="str">
        <f>MAIN!C2175</f>
        <v/>
      </c>
    </row>
    <row r="2171" spans="1:12" x14ac:dyDescent="0.3">
      <c r="A2171">
        <f>IF(J2171="0",0,IF(COUNTIF($J$2:J2171,J2171)=1,1,0))</f>
        <v>0</v>
      </c>
      <c r="B2171" s="12" t="e">
        <f>MID(MAIN!A2176,K2171,2)</f>
        <v>#VALUE!</v>
      </c>
      <c r="C2171" s="12" t="e">
        <f t="shared" si="132"/>
        <v>#VALUE!</v>
      </c>
      <c r="D2171" s="12" t="e">
        <f>MID(MAIN!A2176,K2171+2,2)</f>
        <v>#VALUE!</v>
      </c>
      <c r="E2171" s="12" t="e">
        <f>MID(MAIN!A2176,K2171+4,2)</f>
        <v>#VALUE!</v>
      </c>
      <c r="F2171" s="2" t="e">
        <f t="shared" si="133"/>
        <v>#VALUE!</v>
      </c>
      <c r="G2171" s="13" t="e">
        <f t="shared" si="134"/>
        <v>#VALUE!</v>
      </c>
      <c r="J2171" t="str">
        <f>MAIN!A2176&amp;"B"</f>
        <v>B</v>
      </c>
      <c r="K2171" s="12" t="e">
        <f t="shared" si="135"/>
        <v>#VALUE!</v>
      </c>
      <c r="L2171" t="str">
        <f>MAIN!C2176</f>
        <v/>
      </c>
    </row>
    <row r="2172" spans="1:12" x14ac:dyDescent="0.3">
      <c r="A2172">
        <f>IF(J2172="0",0,IF(COUNTIF($J$2:J2172,J2172)=1,1,0))</f>
        <v>0</v>
      </c>
      <c r="B2172" s="12" t="e">
        <f>MID(MAIN!A2177,K2172,2)</f>
        <v>#VALUE!</v>
      </c>
      <c r="C2172" s="12" t="e">
        <f t="shared" si="132"/>
        <v>#VALUE!</v>
      </c>
      <c r="D2172" s="12" t="e">
        <f>MID(MAIN!A2177,K2172+2,2)</f>
        <v>#VALUE!</v>
      </c>
      <c r="E2172" s="12" t="e">
        <f>MID(MAIN!A2177,K2172+4,2)</f>
        <v>#VALUE!</v>
      </c>
      <c r="F2172" s="2" t="e">
        <f t="shared" si="133"/>
        <v>#VALUE!</v>
      </c>
      <c r="G2172" s="13" t="e">
        <f t="shared" si="134"/>
        <v>#VALUE!</v>
      </c>
      <c r="J2172" t="str">
        <f>MAIN!A2177&amp;"B"</f>
        <v>B</v>
      </c>
      <c r="K2172" s="12" t="e">
        <f t="shared" si="135"/>
        <v>#VALUE!</v>
      </c>
      <c r="L2172" t="str">
        <f>MAIN!C2177</f>
        <v/>
      </c>
    </row>
    <row r="2173" spans="1:12" x14ac:dyDescent="0.3">
      <c r="A2173">
        <f>IF(J2173="0",0,IF(COUNTIF($J$2:J2173,J2173)=1,1,0))</f>
        <v>0</v>
      </c>
      <c r="B2173" s="12" t="e">
        <f>MID(MAIN!A2178,K2173,2)</f>
        <v>#VALUE!</v>
      </c>
      <c r="C2173" s="12" t="e">
        <f t="shared" si="132"/>
        <v>#VALUE!</v>
      </c>
      <c r="D2173" s="12" t="e">
        <f>MID(MAIN!A2178,K2173+2,2)</f>
        <v>#VALUE!</v>
      </c>
      <c r="E2173" s="12" t="e">
        <f>MID(MAIN!A2178,K2173+4,2)</f>
        <v>#VALUE!</v>
      </c>
      <c r="F2173" s="2" t="e">
        <f t="shared" si="133"/>
        <v>#VALUE!</v>
      </c>
      <c r="G2173" s="13" t="e">
        <f t="shared" si="134"/>
        <v>#VALUE!</v>
      </c>
      <c r="J2173" t="str">
        <f>MAIN!A2178&amp;"B"</f>
        <v>B</v>
      </c>
      <c r="K2173" s="12" t="e">
        <f t="shared" si="135"/>
        <v>#VALUE!</v>
      </c>
      <c r="L2173" t="str">
        <f>MAIN!C2178</f>
        <v/>
      </c>
    </row>
    <row r="2174" spans="1:12" x14ac:dyDescent="0.3">
      <c r="A2174">
        <f>IF(J2174="0",0,IF(COUNTIF($J$2:J2174,J2174)=1,1,0))</f>
        <v>0</v>
      </c>
      <c r="B2174" s="12" t="e">
        <f>MID(MAIN!A2179,K2174,2)</f>
        <v>#VALUE!</v>
      </c>
      <c r="C2174" s="12" t="e">
        <f t="shared" si="132"/>
        <v>#VALUE!</v>
      </c>
      <c r="D2174" s="12" t="e">
        <f>MID(MAIN!A2179,K2174+2,2)</f>
        <v>#VALUE!</v>
      </c>
      <c r="E2174" s="12" t="e">
        <f>MID(MAIN!A2179,K2174+4,2)</f>
        <v>#VALUE!</v>
      </c>
      <c r="F2174" s="2" t="e">
        <f t="shared" si="133"/>
        <v>#VALUE!</v>
      </c>
      <c r="G2174" s="13" t="e">
        <f t="shared" si="134"/>
        <v>#VALUE!</v>
      </c>
      <c r="J2174" t="str">
        <f>MAIN!A2179&amp;"B"</f>
        <v>B</v>
      </c>
      <c r="K2174" s="12" t="e">
        <f t="shared" si="135"/>
        <v>#VALUE!</v>
      </c>
      <c r="L2174" t="str">
        <f>MAIN!C2179</f>
        <v/>
      </c>
    </row>
    <row r="2175" spans="1:12" x14ac:dyDescent="0.3">
      <c r="A2175">
        <f>IF(J2175="0",0,IF(COUNTIF($J$2:J2175,J2175)=1,1,0))</f>
        <v>0</v>
      </c>
      <c r="B2175" s="12" t="e">
        <f>MID(MAIN!A2180,K2175,2)</f>
        <v>#VALUE!</v>
      </c>
      <c r="C2175" s="12" t="e">
        <f t="shared" si="132"/>
        <v>#VALUE!</v>
      </c>
      <c r="D2175" s="12" t="e">
        <f>MID(MAIN!A2180,K2175+2,2)</f>
        <v>#VALUE!</v>
      </c>
      <c r="E2175" s="12" t="e">
        <f>MID(MAIN!A2180,K2175+4,2)</f>
        <v>#VALUE!</v>
      </c>
      <c r="F2175" s="2" t="e">
        <f t="shared" si="133"/>
        <v>#VALUE!</v>
      </c>
      <c r="G2175" s="13" t="e">
        <f t="shared" si="134"/>
        <v>#VALUE!</v>
      </c>
      <c r="J2175" t="str">
        <f>MAIN!A2180&amp;"B"</f>
        <v>B</v>
      </c>
      <c r="K2175" s="12" t="e">
        <f t="shared" si="135"/>
        <v>#VALUE!</v>
      </c>
      <c r="L2175" t="str">
        <f>MAIN!C2180</f>
        <v/>
      </c>
    </row>
    <row r="2176" spans="1:12" x14ac:dyDescent="0.3">
      <c r="A2176">
        <f>IF(J2176="0",0,IF(COUNTIF($J$2:J2176,J2176)=1,1,0))</f>
        <v>0</v>
      </c>
      <c r="B2176" s="12" t="e">
        <f>MID(MAIN!A2181,K2176,2)</f>
        <v>#VALUE!</v>
      </c>
      <c r="C2176" s="12" t="e">
        <f t="shared" si="132"/>
        <v>#VALUE!</v>
      </c>
      <c r="D2176" s="12" t="e">
        <f>MID(MAIN!A2181,K2176+2,2)</f>
        <v>#VALUE!</v>
      </c>
      <c r="E2176" s="12" t="e">
        <f>MID(MAIN!A2181,K2176+4,2)</f>
        <v>#VALUE!</v>
      </c>
      <c r="F2176" s="2" t="e">
        <f t="shared" si="133"/>
        <v>#VALUE!</v>
      </c>
      <c r="G2176" s="13" t="e">
        <f t="shared" si="134"/>
        <v>#VALUE!</v>
      </c>
      <c r="J2176" t="str">
        <f>MAIN!A2181&amp;"B"</f>
        <v>B</v>
      </c>
      <c r="K2176" s="12" t="e">
        <f t="shared" si="135"/>
        <v>#VALUE!</v>
      </c>
      <c r="L2176" t="str">
        <f>MAIN!C2181</f>
        <v/>
      </c>
    </row>
    <row r="2177" spans="1:12" x14ac:dyDescent="0.3">
      <c r="A2177">
        <f>IF(J2177="0",0,IF(COUNTIF($J$2:J2177,J2177)=1,1,0))</f>
        <v>0</v>
      </c>
      <c r="B2177" s="12" t="e">
        <f>MID(MAIN!A2182,K2177,2)</f>
        <v>#VALUE!</v>
      </c>
      <c r="C2177" s="12" t="e">
        <f t="shared" si="132"/>
        <v>#VALUE!</v>
      </c>
      <c r="D2177" s="12" t="e">
        <f>MID(MAIN!A2182,K2177+2,2)</f>
        <v>#VALUE!</v>
      </c>
      <c r="E2177" s="12" t="e">
        <f>MID(MAIN!A2182,K2177+4,2)</f>
        <v>#VALUE!</v>
      </c>
      <c r="F2177" s="2" t="e">
        <f t="shared" si="133"/>
        <v>#VALUE!</v>
      </c>
      <c r="G2177" s="13" t="e">
        <f t="shared" si="134"/>
        <v>#VALUE!</v>
      </c>
      <c r="J2177" t="str">
        <f>MAIN!A2182&amp;"B"</f>
        <v>B</v>
      </c>
      <c r="K2177" s="12" t="e">
        <f t="shared" si="135"/>
        <v>#VALUE!</v>
      </c>
      <c r="L2177" t="str">
        <f>MAIN!C2182</f>
        <v/>
      </c>
    </row>
    <row r="2178" spans="1:12" x14ac:dyDescent="0.3">
      <c r="A2178">
        <f>IF(J2178="0",0,IF(COUNTIF($J$2:J2178,J2178)=1,1,0))</f>
        <v>0</v>
      </c>
      <c r="B2178" s="12" t="e">
        <f>MID(MAIN!A2183,K2178,2)</f>
        <v>#VALUE!</v>
      </c>
      <c r="C2178" s="12" t="e">
        <f t="shared" si="132"/>
        <v>#VALUE!</v>
      </c>
      <c r="D2178" s="12" t="e">
        <f>MID(MAIN!A2183,K2178+2,2)</f>
        <v>#VALUE!</v>
      </c>
      <c r="E2178" s="12" t="e">
        <f>MID(MAIN!A2183,K2178+4,2)</f>
        <v>#VALUE!</v>
      </c>
      <c r="F2178" s="2" t="e">
        <f t="shared" si="133"/>
        <v>#VALUE!</v>
      </c>
      <c r="G2178" s="13" t="e">
        <f t="shared" si="134"/>
        <v>#VALUE!</v>
      </c>
      <c r="J2178" t="str">
        <f>MAIN!A2183&amp;"B"</f>
        <v>B</v>
      </c>
      <c r="K2178" s="12" t="e">
        <f t="shared" si="135"/>
        <v>#VALUE!</v>
      </c>
      <c r="L2178" t="str">
        <f>MAIN!C2183</f>
        <v/>
      </c>
    </row>
    <row r="2179" spans="1:12" x14ac:dyDescent="0.3">
      <c r="A2179">
        <f>IF(J2179="0",0,IF(COUNTIF($J$2:J2179,J2179)=1,1,0))</f>
        <v>0</v>
      </c>
      <c r="B2179" s="12" t="e">
        <f>MID(MAIN!A2184,K2179,2)</f>
        <v>#VALUE!</v>
      </c>
      <c r="C2179" s="12" t="e">
        <f t="shared" ref="C2179:C2242" si="136">"20"&amp;B2179</f>
        <v>#VALUE!</v>
      </c>
      <c r="D2179" s="12" t="e">
        <f>MID(MAIN!A2184,K2179+2,2)</f>
        <v>#VALUE!</v>
      </c>
      <c r="E2179" s="12" t="e">
        <f>MID(MAIN!A2184,K2179+4,2)</f>
        <v>#VALUE!</v>
      </c>
      <c r="F2179" s="2" t="e">
        <f t="shared" ref="F2179:F2242" si="137">C2179&amp;"/"&amp;D2179&amp;"/"&amp;E2179</f>
        <v>#VALUE!</v>
      </c>
      <c r="G2179" s="13" t="e">
        <f t="shared" ref="G2179:G2242" si="138">DATEVALUE(F2179)</f>
        <v>#VALUE!</v>
      </c>
      <c r="J2179" t="str">
        <f>MAIN!A2184&amp;"B"</f>
        <v>B</v>
      </c>
      <c r="K2179" s="12" t="e">
        <f t="shared" ref="K2179:K2242" si="139">FIND("172",J2179,30)+2</f>
        <v>#VALUE!</v>
      </c>
      <c r="L2179" t="str">
        <f>MAIN!C2184</f>
        <v/>
      </c>
    </row>
    <row r="2180" spans="1:12" x14ac:dyDescent="0.3">
      <c r="A2180">
        <f>IF(J2180="0",0,IF(COUNTIF($J$2:J2180,J2180)=1,1,0))</f>
        <v>0</v>
      </c>
      <c r="B2180" s="12" t="e">
        <f>MID(MAIN!A2185,K2180,2)</f>
        <v>#VALUE!</v>
      </c>
      <c r="C2180" s="12" t="e">
        <f t="shared" si="136"/>
        <v>#VALUE!</v>
      </c>
      <c r="D2180" s="12" t="e">
        <f>MID(MAIN!A2185,K2180+2,2)</f>
        <v>#VALUE!</v>
      </c>
      <c r="E2180" s="12" t="e">
        <f>MID(MAIN!A2185,K2180+4,2)</f>
        <v>#VALUE!</v>
      </c>
      <c r="F2180" s="2" t="e">
        <f t="shared" si="137"/>
        <v>#VALUE!</v>
      </c>
      <c r="G2180" s="13" t="e">
        <f t="shared" si="138"/>
        <v>#VALUE!</v>
      </c>
      <c r="J2180" t="str">
        <f>MAIN!A2185&amp;"B"</f>
        <v>B</v>
      </c>
      <c r="K2180" s="12" t="e">
        <f t="shared" si="139"/>
        <v>#VALUE!</v>
      </c>
      <c r="L2180" t="str">
        <f>MAIN!C2185</f>
        <v/>
      </c>
    </row>
    <row r="2181" spans="1:12" x14ac:dyDescent="0.3">
      <c r="A2181">
        <f>IF(J2181="0",0,IF(COUNTIF($J$2:J2181,J2181)=1,1,0))</f>
        <v>0</v>
      </c>
      <c r="B2181" s="12" t="e">
        <f>MID(MAIN!A2186,K2181,2)</f>
        <v>#VALUE!</v>
      </c>
      <c r="C2181" s="12" t="e">
        <f t="shared" si="136"/>
        <v>#VALUE!</v>
      </c>
      <c r="D2181" s="12" t="e">
        <f>MID(MAIN!A2186,K2181+2,2)</f>
        <v>#VALUE!</v>
      </c>
      <c r="E2181" s="12" t="e">
        <f>MID(MAIN!A2186,K2181+4,2)</f>
        <v>#VALUE!</v>
      </c>
      <c r="F2181" s="2" t="e">
        <f t="shared" si="137"/>
        <v>#VALUE!</v>
      </c>
      <c r="G2181" s="13" t="e">
        <f t="shared" si="138"/>
        <v>#VALUE!</v>
      </c>
      <c r="J2181" t="str">
        <f>MAIN!A2186&amp;"B"</f>
        <v>B</v>
      </c>
      <c r="K2181" s="12" t="e">
        <f t="shared" si="139"/>
        <v>#VALUE!</v>
      </c>
      <c r="L2181" t="str">
        <f>MAIN!C2186</f>
        <v/>
      </c>
    </row>
    <row r="2182" spans="1:12" x14ac:dyDescent="0.3">
      <c r="A2182">
        <f>IF(J2182="0",0,IF(COUNTIF($J$2:J2182,J2182)=1,1,0))</f>
        <v>0</v>
      </c>
      <c r="B2182" s="12" t="e">
        <f>MID(MAIN!A2187,K2182,2)</f>
        <v>#VALUE!</v>
      </c>
      <c r="C2182" s="12" t="e">
        <f t="shared" si="136"/>
        <v>#VALUE!</v>
      </c>
      <c r="D2182" s="12" t="e">
        <f>MID(MAIN!A2187,K2182+2,2)</f>
        <v>#VALUE!</v>
      </c>
      <c r="E2182" s="12" t="e">
        <f>MID(MAIN!A2187,K2182+4,2)</f>
        <v>#VALUE!</v>
      </c>
      <c r="F2182" s="2" t="e">
        <f t="shared" si="137"/>
        <v>#VALUE!</v>
      </c>
      <c r="G2182" s="13" t="e">
        <f t="shared" si="138"/>
        <v>#VALUE!</v>
      </c>
      <c r="J2182" t="str">
        <f>MAIN!A2187&amp;"B"</f>
        <v>B</v>
      </c>
      <c r="K2182" s="12" t="e">
        <f t="shared" si="139"/>
        <v>#VALUE!</v>
      </c>
      <c r="L2182" t="str">
        <f>MAIN!C2187</f>
        <v/>
      </c>
    </row>
    <row r="2183" spans="1:12" x14ac:dyDescent="0.3">
      <c r="A2183">
        <f>IF(J2183="0",0,IF(COUNTIF($J$2:J2183,J2183)=1,1,0))</f>
        <v>0</v>
      </c>
      <c r="B2183" s="12" t="e">
        <f>MID(MAIN!A2188,K2183,2)</f>
        <v>#VALUE!</v>
      </c>
      <c r="C2183" s="12" t="e">
        <f t="shared" si="136"/>
        <v>#VALUE!</v>
      </c>
      <c r="D2183" s="12" t="e">
        <f>MID(MAIN!A2188,K2183+2,2)</f>
        <v>#VALUE!</v>
      </c>
      <c r="E2183" s="12" t="e">
        <f>MID(MAIN!A2188,K2183+4,2)</f>
        <v>#VALUE!</v>
      </c>
      <c r="F2183" s="2" t="e">
        <f t="shared" si="137"/>
        <v>#VALUE!</v>
      </c>
      <c r="G2183" s="13" t="e">
        <f t="shared" si="138"/>
        <v>#VALUE!</v>
      </c>
      <c r="J2183" t="str">
        <f>MAIN!A2188&amp;"B"</f>
        <v>B</v>
      </c>
      <c r="K2183" s="12" t="e">
        <f t="shared" si="139"/>
        <v>#VALUE!</v>
      </c>
      <c r="L2183" t="str">
        <f>MAIN!C2188</f>
        <v/>
      </c>
    </row>
    <row r="2184" spans="1:12" x14ac:dyDescent="0.3">
      <c r="A2184">
        <f>IF(J2184="0",0,IF(COUNTIF($J$2:J2184,J2184)=1,1,0))</f>
        <v>0</v>
      </c>
      <c r="B2184" s="12" t="e">
        <f>MID(MAIN!A2189,K2184,2)</f>
        <v>#VALUE!</v>
      </c>
      <c r="C2184" s="12" t="e">
        <f t="shared" si="136"/>
        <v>#VALUE!</v>
      </c>
      <c r="D2184" s="12" t="e">
        <f>MID(MAIN!A2189,K2184+2,2)</f>
        <v>#VALUE!</v>
      </c>
      <c r="E2184" s="12" t="e">
        <f>MID(MAIN!A2189,K2184+4,2)</f>
        <v>#VALUE!</v>
      </c>
      <c r="F2184" s="2" t="e">
        <f t="shared" si="137"/>
        <v>#VALUE!</v>
      </c>
      <c r="G2184" s="13" t="e">
        <f t="shared" si="138"/>
        <v>#VALUE!</v>
      </c>
      <c r="J2184" t="str">
        <f>MAIN!A2189&amp;"B"</f>
        <v>B</v>
      </c>
      <c r="K2184" s="12" t="e">
        <f t="shared" si="139"/>
        <v>#VALUE!</v>
      </c>
      <c r="L2184" t="str">
        <f>MAIN!C2189</f>
        <v/>
      </c>
    </row>
    <row r="2185" spans="1:12" x14ac:dyDescent="0.3">
      <c r="A2185">
        <f>IF(J2185="0",0,IF(COUNTIF($J$2:J2185,J2185)=1,1,0))</f>
        <v>0</v>
      </c>
      <c r="B2185" s="12" t="e">
        <f>MID(MAIN!A2190,K2185,2)</f>
        <v>#VALUE!</v>
      </c>
      <c r="C2185" s="12" t="e">
        <f t="shared" si="136"/>
        <v>#VALUE!</v>
      </c>
      <c r="D2185" s="12" t="e">
        <f>MID(MAIN!A2190,K2185+2,2)</f>
        <v>#VALUE!</v>
      </c>
      <c r="E2185" s="12" t="e">
        <f>MID(MAIN!A2190,K2185+4,2)</f>
        <v>#VALUE!</v>
      </c>
      <c r="F2185" s="2" t="e">
        <f t="shared" si="137"/>
        <v>#VALUE!</v>
      </c>
      <c r="G2185" s="13" t="e">
        <f t="shared" si="138"/>
        <v>#VALUE!</v>
      </c>
      <c r="J2185" t="str">
        <f>MAIN!A2190&amp;"B"</f>
        <v>B</v>
      </c>
      <c r="K2185" s="12" t="e">
        <f t="shared" si="139"/>
        <v>#VALUE!</v>
      </c>
      <c r="L2185" t="str">
        <f>MAIN!C2190</f>
        <v/>
      </c>
    </row>
    <row r="2186" spans="1:12" x14ac:dyDescent="0.3">
      <c r="A2186">
        <f>IF(J2186="0",0,IF(COUNTIF($J$2:J2186,J2186)=1,1,0))</f>
        <v>0</v>
      </c>
      <c r="B2186" s="12" t="e">
        <f>MID(MAIN!A2191,K2186,2)</f>
        <v>#VALUE!</v>
      </c>
      <c r="C2186" s="12" t="e">
        <f t="shared" si="136"/>
        <v>#VALUE!</v>
      </c>
      <c r="D2186" s="12" t="e">
        <f>MID(MAIN!A2191,K2186+2,2)</f>
        <v>#VALUE!</v>
      </c>
      <c r="E2186" s="12" t="e">
        <f>MID(MAIN!A2191,K2186+4,2)</f>
        <v>#VALUE!</v>
      </c>
      <c r="F2186" s="2" t="e">
        <f t="shared" si="137"/>
        <v>#VALUE!</v>
      </c>
      <c r="G2186" s="13" t="e">
        <f t="shared" si="138"/>
        <v>#VALUE!</v>
      </c>
      <c r="J2186" t="str">
        <f>MAIN!A2191&amp;"B"</f>
        <v>B</v>
      </c>
      <c r="K2186" s="12" t="e">
        <f t="shared" si="139"/>
        <v>#VALUE!</v>
      </c>
      <c r="L2186" t="str">
        <f>MAIN!C2191</f>
        <v/>
      </c>
    </row>
    <row r="2187" spans="1:12" x14ac:dyDescent="0.3">
      <c r="A2187">
        <f>IF(J2187="0",0,IF(COUNTIF($J$2:J2187,J2187)=1,1,0))</f>
        <v>0</v>
      </c>
      <c r="B2187" s="12" t="e">
        <f>MID(MAIN!A2192,K2187,2)</f>
        <v>#VALUE!</v>
      </c>
      <c r="C2187" s="12" t="e">
        <f t="shared" si="136"/>
        <v>#VALUE!</v>
      </c>
      <c r="D2187" s="12" t="e">
        <f>MID(MAIN!A2192,K2187+2,2)</f>
        <v>#VALUE!</v>
      </c>
      <c r="E2187" s="12" t="e">
        <f>MID(MAIN!A2192,K2187+4,2)</f>
        <v>#VALUE!</v>
      </c>
      <c r="F2187" s="2" t="e">
        <f t="shared" si="137"/>
        <v>#VALUE!</v>
      </c>
      <c r="G2187" s="13" t="e">
        <f t="shared" si="138"/>
        <v>#VALUE!</v>
      </c>
      <c r="J2187" t="str">
        <f>MAIN!A2192&amp;"B"</f>
        <v>B</v>
      </c>
      <c r="K2187" s="12" t="e">
        <f t="shared" si="139"/>
        <v>#VALUE!</v>
      </c>
      <c r="L2187" t="str">
        <f>MAIN!C2192</f>
        <v/>
      </c>
    </row>
    <row r="2188" spans="1:12" x14ac:dyDescent="0.3">
      <c r="A2188">
        <f>IF(J2188="0",0,IF(COUNTIF($J$2:J2188,J2188)=1,1,0))</f>
        <v>0</v>
      </c>
      <c r="B2188" s="12" t="e">
        <f>MID(MAIN!A2193,K2188,2)</f>
        <v>#VALUE!</v>
      </c>
      <c r="C2188" s="12" t="e">
        <f t="shared" si="136"/>
        <v>#VALUE!</v>
      </c>
      <c r="D2188" s="12" t="e">
        <f>MID(MAIN!A2193,K2188+2,2)</f>
        <v>#VALUE!</v>
      </c>
      <c r="E2188" s="12" t="e">
        <f>MID(MAIN!A2193,K2188+4,2)</f>
        <v>#VALUE!</v>
      </c>
      <c r="F2188" s="2" t="e">
        <f t="shared" si="137"/>
        <v>#VALUE!</v>
      </c>
      <c r="G2188" s="13" t="e">
        <f t="shared" si="138"/>
        <v>#VALUE!</v>
      </c>
      <c r="J2188" t="str">
        <f>MAIN!A2193&amp;"B"</f>
        <v>B</v>
      </c>
      <c r="K2188" s="12" t="e">
        <f t="shared" si="139"/>
        <v>#VALUE!</v>
      </c>
      <c r="L2188" t="str">
        <f>MAIN!C2193</f>
        <v/>
      </c>
    </row>
    <row r="2189" spans="1:12" x14ac:dyDescent="0.3">
      <c r="A2189">
        <f>IF(J2189="0",0,IF(COUNTIF($J$2:J2189,J2189)=1,1,0))</f>
        <v>0</v>
      </c>
      <c r="B2189" s="12" t="e">
        <f>MID(MAIN!A2194,K2189,2)</f>
        <v>#VALUE!</v>
      </c>
      <c r="C2189" s="12" t="e">
        <f t="shared" si="136"/>
        <v>#VALUE!</v>
      </c>
      <c r="D2189" s="12" t="e">
        <f>MID(MAIN!A2194,K2189+2,2)</f>
        <v>#VALUE!</v>
      </c>
      <c r="E2189" s="12" t="e">
        <f>MID(MAIN!A2194,K2189+4,2)</f>
        <v>#VALUE!</v>
      </c>
      <c r="F2189" s="2" t="e">
        <f t="shared" si="137"/>
        <v>#VALUE!</v>
      </c>
      <c r="G2189" s="13" t="e">
        <f t="shared" si="138"/>
        <v>#VALUE!</v>
      </c>
      <c r="J2189" t="str">
        <f>MAIN!A2194&amp;"B"</f>
        <v>B</v>
      </c>
      <c r="K2189" s="12" t="e">
        <f t="shared" si="139"/>
        <v>#VALUE!</v>
      </c>
      <c r="L2189" t="str">
        <f>MAIN!C2194</f>
        <v/>
      </c>
    </row>
    <row r="2190" spans="1:12" x14ac:dyDescent="0.3">
      <c r="A2190">
        <f>IF(J2190="0",0,IF(COUNTIF($J$2:J2190,J2190)=1,1,0))</f>
        <v>0</v>
      </c>
      <c r="B2190" s="12" t="e">
        <f>MID(MAIN!A2195,K2190,2)</f>
        <v>#VALUE!</v>
      </c>
      <c r="C2190" s="12" t="e">
        <f t="shared" si="136"/>
        <v>#VALUE!</v>
      </c>
      <c r="D2190" s="12" t="e">
        <f>MID(MAIN!A2195,K2190+2,2)</f>
        <v>#VALUE!</v>
      </c>
      <c r="E2190" s="12" t="e">
        <f>MID(MAIN!A2195,K2190+4,2)</f>
        <v>#VALUE!</v>
      </c>
      <c r="F2190" s="2" t="e">
        <f t="shared" si="137"/>
        <v>#VALUE!</v>
      </c>
      <c r="G2190" s="13" t="e">
        <f t="shared" si="138"/>
        <v>#VALUE!</v>
      </c>
      <c r="J2190" t="str">
        <f>MAIN!A2195&amp;"B"</f>
        <v>B</v>
      </c>
      <c r="K2190" s="12" t="e">
        <f t="shared" si="139"/>
        <v>#VALUE!</v>
      </c>
      <c r="L2190" t="str">
        <f>MAIN!C2195</f>
        <v/>
      </c>
    </row>
    <row r="2191" spans="1:12" x14ac:dyDescent="0.3">
      <c r="A2191">
        <f>IF(J2191="0",0,IF(COUNTIF($J$2:J2191,J2191)=1,1,0))</f>
        <v>0</v>
      </c>
      <c r="B2191" s="12" t="e">
        <f>MID(MAIN!A2196,K2191,2)</f>
        <v>#VALUE!</v>
      </c>
      <c r="C2191" s="12" t="e">
        <f t="shared" si="136"/>
        <v>#VALUE!</v>
      </c>
      <c r="D2191" s="12" t="e">
        <f>MID(MAIN!A2196,K2191+2,2)</f>
        <v>#VALUE!</v>
      </c>
      <c r="E2191" s="12" t="e">
        <f>MID(MAIN!A2196,K2191+4,2)</f>
        <v>#VALUE!</v>
      </c>
      <c r="F2191" s="2" t="e">
        <f t="shared" si="137"/>
        <v>#VALUE!</v>
      </c>
      <c r="G2191" s="13" t="e">
        <f t="shared" si="138"/>
        <v>#VALUE!</v>
      </c>
      <c r="J2191" t="str">
        <f>MAIN!A2196&amp;"B"</f>
        <v>B</v>
      </c>
      <c r="K2191" s="12" t="e">
        <f t="shared" si="139"/>
        <v>#VALUE!</v>
      </c>
      <c r="L2191" t="str">
        <f>MAIN!C2196</f>
        <v/>
      </c>
    </row>
    <row r="2192" spans="1:12" x14ac:dyDescent="0.3">
      <c r="A2192">
        <f>IF(J2192="0",0,IF(COUNTIF($J$2:J2192,J2192)=1,1,0))</f>
        <v>0</v>
      </c>
      <c r="B2192" s="12" t="e">
        <f>MID(MAIN!A2197,K2192,2)</f>
        <v>#VALUE!</v>
      </c>
      <c r="C2192" s="12" t="e">
        <f t="shared" si="136"/>
        <v>#VALUE!</v>
      </c>
      <c r="D2192" s="12" t="e">
        <f>MID(MAIN!A2197,K2192+2,2)</f>
        <v>#VALUE!</v>
      </c>
      <c r="E2192" s="12" t="e">
        <f>MID(MAIN!A2197,K2192+4,2)</f>
        <v>#VALUE!</v>
      </c>
      <c r="F2192" s="2" t="e">
        <f t="shared" si="137"/>
        <v>#VALUE!</v>
      </c>
      <c r="G2192" s="13" t="e">
        <f t="shared" si="138"/>
        <v>#VALUE!</v>
      </c>
      <c r="J2192" t="str">
        <f>MAIN!A2197&amp;"B"</f>
        <v>B</v>
      </c>
      <c r="K2192" s="12" t="e">
        <f t="shared" si="139"/>
        <v>#VALUE!</v>
      </c>
      <c r="L2192" t="str">
        <f>MAIN!C2197</f>
        <v/>
      </c>
    </row>
    <row r="2193" spans="1:12" x14ac:dyDescent="0.3">
      <c r="A2193">
        <f>IF(J2193="0",0,IF(COUNTIF($J$2:J2193,J2193)=1,1,0))</f>
        <v>0</v>
      </c>
      <c r="B2193" s="12" t="e">
        <f>MID(MAIN!A2198,K2193,2)</f>
        <v>#VALUE!</v>
      </c>
      <c r="C2193" s="12" t="e">
        <f t="shared" si="136"/>
        <v>#VALUE!</v>
      </c>
      <c r="D2193" s="12" t="e">
        <f>MID(MAIN!A2198,K2193+2,2)</f>
        <v>#VALUE!</v>
      </c>
      <c r="E2193" s="12" t="e">
        <f>MID(MAIN!A2198,K2193+4,2)</f>
        <v>#VALUE!</v>
      </c>
      <c r="F2193" s="2" t="e">
        <f t="shared" si="137"/>
        <v>#VALUE!</v>
      </c>
      <c r="G2193" s="13" t="e">
        <f t="shared" si="138"/>
        <v>#VALUE!</v>
      </c>
      <c r="J2193" t="str">
        <f>MAIN!A2198&amp;"B"</f>
        <v>B</v>
      </c>
      <c r="K2193" s="12" t="e">
        <f t="shared" si="139"/>
        <v>#VALUE!</v>
      </c>
      <c r="L2193" t="str">
        <f>MAIN!C2198</f>
        <v/>
      </c>
    </row>
    <row r="2194" spans="1:12" x14ac:dyDescent="0.3">
      <c r="A2194">
        <f>IF(J2194="0",0,IF(COUNTIF($J$2:J2194,J2194)=1,1,0))</f>
        <v>0</v>
      </c>
      <c r="B2194" s="12" t="e">
        <f>MID(MAIN!A2199,K2194,2)</f>
        <v>#VALUE!</v>
      </c>
      <c r="C2194" s="12" t="e">
        <f t="shared" si="136"/>
        <v>#VALUE!</v>
      </c>
      <c r="D2194" s="12" t="e">
        <f>MID(MAIN!A2199,K2194+2,2)</f>
        <v>#VALUE!</v>
      </c>
      <c r="E2194" s="12" t="e">
        <f>MID(MAIN!A2199,K2194+4,2)</f>
        <v>#VALUE!</v>
      </c>
      <c r="F2194" s="2" t="e">
        <f t="shared" si="137"/>
        <v>#VALUE!</v>
      </c>
      <c r="G2194" s="13" t="e">
        <f t="shared" si="138"/>
        <v>#VALUE!</v>
      </c>
      <c r="J2194" t="str">
        <f>MAIN!A2199&amp;"B"</f>
        <v>B</v>
      </c>
      <c r="K2194" s="12" t="e">
        <f t="shared" si="139"/>
        <v>#VALUE!</v>
      </c>
      <c r="L2194" t="str">
        <f>MAIN!C2199</f>
        <v/>
      </c>
    </row>
    <row r="2195" spans="1:12" x14ac:dyDescent="0.3">
      <c r="A2195">
        <f>IF(J2195="0",0,IF(COUNTIF($J$2:J2195,J2195)=1,1,0))</f>
        <v>0</v>
      </c>
      <c r="B2195" s="12" t="e">
        <f>MID(MAIN!A2200,K2195,2)</f>
        <v>#VALUE!</v>
      </c>
      <c r="C2195" s="12" t="e">
        <f t="shared" si="136"/>
        <v>#VALUE!</v>
      </c>
      <c r="D2195" s="12" t="e">
        <f>MID(MAIN!A2200,K2195+2,2)</f>
        <v>#VALUE!</v>
      </c>
      <c r="E2195" s="12" t="e">
        <f>MID(MAIN!A2200,K2195+4,2)</f>
        <v>#VALUE!</v>
      </c>
      <c r="F2195" s="2" t="e">
        <f t="shared" si="137"/>
        <v>#VALUE!</v>
      </c>
      <c r="G2195" s="13" t="e">
        <f t="shared" si="138"/>
        <v>#VALUE!</v>
      </c>
      <c r="J2195" t="str">
        <f>MAIN!A2200&amp;"B"</f>
        <v>B</v>
      </c>
      <c r="K2195" s="12" t="e">
        <f t="shared" si="139"/>
        <v>#VALUE!</v>
      </c>
      <c r="L2195" t="str">
        <f>MAIN!C2200</f>
        <v/>
      </c>
    </row>
    <row r="2196" spans="1:12" x14ac:dyDescent="0.3">
      <c r="A2196">
        <f>IF(J2196="0",0,IF(COUNTIF($J$2:J2196,J2196)=1,1,0))</f>
        <v>0</v>
      </c>
      <c r="B2196" s="12" t="e">
        <f>MID(MAIN!A2201,K2196,2)</f>
        <v>#VALUE!</v>
      </c>
      <c r="C2196" s="12" t="e">
        <f t="shared" si="136"/>
        <v>#VALUE!</v>
      </c>
      <c r="D2196" s="12" t="e">
        <f>MID(MAIN!A2201,K2196+2,2)</f>
        <v>#VALUE!</v>
      </c>
      <c r="E2196" s="12" t="e">
        <f>MID(MAIN!A2201,K2196+4,2)</f>
        <v>#VALUE!</v>
      </c>
      <c r="F2196" s="2" t="e">
        <f t="shared" si="137"/>
        <v>#VALUE!</v>
      </c>
      <c r="G2196" s="13" t="e">
        <f t="shared" si="138"/>
        <v>#VALUE!</v>
      </c>
      <c r="J2196" t="str">
        <f>MAIN!A2201&amp;"B"</f>
        <v>B</v>
      </c>
      <c r="K2196" s="12" t="e">
        <f t="shared" si="139"/>
        <v>#VALUE!</v>
      </c>
      <c r="L2196" t="str">
        <f>MAIN!C2201</f>
        <v/>
      </c>
    </row>
    <row r="2197" spans="1:12" x14ac:dyDescent="0.3">
      <c r="A2197">
        <f>IF(J2197="0",0,IF(COUNTIF($J$2:J2197,J2197)=1,1,0))</f>
        <v>0</v>
      </c>
      <c r="B2197" s="12" t="e">
        <f>MID(MAIN!A2202,K2197,2)</f>
        <v>#VALUE!</v>
      </c>
      <c r="C2197" s="12" t="e">
        <f t="shared" si="136"/>
        <v>#VALUE!</v>
      </c>
      <c r="D2197" s="12" t="e">
        <f>MID(MAIN!A2202,K2197+2,2)</f>
        <v>#VALUE!</v>
      </c>
      <c r="E2197" s="12" t="e">
        <f>MID(MAIN!A2202,K2197+4,2)</f>
        <v>#VALUE!</v>
      </c>
      <c r="F2197" s="2" t="e">
        <f t="shared" si="137"/>
        <v>#VALUE!</v>
      </c>
      <c r="G2197" s="13" t="e">
        <f t="shared" si="138"/>
        <v>#VALUE!</v>
      </c>
      <c r="J2197" t="str">
        <f>MAIN!A2202&amp;"B"</f>
        <v>B</v>
      </c>
      <c r="K2197" s="12" t="e">
        <f t="shared" si="139"/>
        <v>#VALUE!</v>
      </c>
      <c r="L2197" t="str">
        <f>MAIN!C2202</f>
        <v/>
      </c>
    </row>
    <row r="2198" spans="1:12" x14ac:dyDescent="0.3">
      <c r="A2198">
        <f>IF(J2198="0",0,IF(COUNTIF($J$2:J2198,J2198)=1,1,0))</f>
        <v>0</v>
      </c>
      <c r="B2198" s="12" t="e">
        <f>MID(MAIN!A2203,K2198,2)</f>
        <v>#VALUE!</v>
      </c>
      <c r="C2198" s="12" t="e">
        <f t="shared" si="136"/>
        <v>#VALUE!</v>
      </c>
      <c r="D2198" s="12" t="e">
        <f>MID(MAIN!A2203,K2198+2,2)</f>
        <v>#VALUE!</v>
      </c>
      <c r="E2198" s="12" t="e">
        <f>MID(MAIN!A2203,K2198+4,2)</f>
        <v>#VALUE!</v>
      </c>
      <c r="F2198" s="2" t="e">
        <f t="shared" si="137"/>
        <v>#VALUE!</v>
      </c>
      <c r="G2198" s="13" t="e">
        <f t="shared" si="138"/>
        <v>#VALUE!</v>
      </c>
      <c r="J2198" t="str">
        <f>MAIN!A2203&amp;"B"</f>
        <v>B</v>
      </c>
      <c r="K2198" s="12" t="e">
        <f t="shared" si="139"/>
        <v>#VALUE!</v>
      </c>
      <c r="L2198" t="str">
        <f>MAIN!C2203</f>
        <v/>
      </c>
    </row>
    <row r="2199" spans="1:12" x14ac:dyDescent="0.3">
      <c r="A2199">
        <f>IF(J2199="0",0,IF(COUNTIF($J$2:J2199,J2199)=1,1,0))</f>
        <v>0</v>
      </c>
      <c r="B2199" s="12" t="e">
        <f>MID(MAIN!A2204,K2199,2)</f>
        <v>#VALUE!</v>
      </c>
      <c r="C2199" s="12" t="e">
        <f t="shared" si="136"/>
        <v>#VALUE!</v>
      </c>
      <c r="D2199" s="12" t="e">
        <f>MID(MAIN!A2204,K2199+2,2)</f>
        <v>#VALUE!</v>
      </c>
      <c r="E2199" s="12" t="e">
        <f>MID(MAIN!A2204,K2199+4,2)</f>
        <v>#VALUE!</v>
      </c>
      <c r="F2199" s="2" t="e">
        <f t="shared" si="137"/>
        <v>#VALUE!</v>
      </c>
      <c r="G2199" s="13" t="e">
        <f t="shared" si="138"/>
        <v>#VALUE!</v>
      </c>
      <c r="J2199" t="str">
        <f>MAIN!A2204&amp;"B"</f>
        <v>B</v>
      </c>
      <c r="K2199" s="12" t="e">
        <f t="shared" si="139"/>
        <v>#VALUE!</v>
      </c>
      <c r="L2199" t="str">
        <f>MAIN!C2204</f>
        <v/>
      </c>
    </row>
    <row r="2200" spans="1:12" x14ac:dyDescent="0.3">
      <c r="A2200">
        <f>IF(J2200="0",0,IF(COUNTIF($J$2:J2200,J2200)=1,1,0))</f>
        <v>0</v>
      </c>
      <c r="B2200" s="12" t="e">
        <f>MID(MAIN!A2205,K2200,2)</f>
        <v>#VALUE!</v>
      </c>
      <c r="C2200" s="12" t="e">
        <f t="shared" si="136"/>
        <v>#VALUE!</v>
      </c>
      <c r="D2200" s="12" t="e">
        <f>MID(MAIN!A2205,K2200+2,2)</f>
        <v>#VALUE!</v>
      </c>
      <c r="E2200" s="12" t="e">
        <f>MID(MAIN!A2205,K2200+4,2)</f>
        <v>#VALUE!</v>
      </c>
      <c r="F2200" s="2" t="e">
        <f t="shared" si="137"/>
        <v>#VALUE!</v>
      </c>
      <c r="G2200" s="13" t="e">
        <f t="shared" si="138"/>
        <v>#VALUE!</v>
      </c>
      <c r="J2200" t="str">
        <f>MAIN!A2205&amp;"B"</f>
        <v>B</v>
      </c>
      <c r="K2200" s="12" t="e">
        <f t="shared" si="139"/>
        <v>#VALUE!</v>
      </c>
      <c r="L2200" t="str">
        <f>MAIN!C2205</f>
        <v/>
      </c>
    </row>
    <row r="2201" spans="1:12" x14ac:dyDescent="0.3">
      <c r="A2201">
        <f>IF(J2201="0",0,IF(COUNTIF($J$2:J2201,J2201)=1,1,0))</f>
        <v>0</v>
      </c>
      <c r="B2201" s="12" t="e">
        <f>MID(MAIN!A2206,K2201,2)</f>
        <v>#VALUE!</v>
      </c>
      <c r="C2201" s="12" t="e">
        <f t="shared" si="136"/>
        <v>#VALUE!</v>
      </c>
      <c r="D2201" s="12" t="e">
        <f>MID(MAIN!A2206,K2201+2,2)</f>
        <v>#VALUE!</v>
      </c>
      <c r="E2201" s="12" t="e">
        <f>MID(MAIN!A2206,K2201+4,2)</f>
        <v>#VALUE!</v>
      </c>
      <c r="F2201" s="2" t="e">
        <f t="shared" si="137"/>
        <v>#VALUE!</v>
      </c>
      <c r="G2201" s="13" t="e">
        <f t="shared" si="138"/>
        <v>#VALUE!</v>
      </c>
      <c r="J2201" t="str">
        <f>MAIN!A2206&amp;"B"</f>
        <v>B</v>
      </c>
      <c r="K2201" s="12" t="e">
        <f t="shared" si="139"/>
        <v>#VALUE!</v>
      </c>
      <c r="L2201" t="str">
        <f>MAIN!C2206</f>
        <v/>
      </c>
    </row>
    <row r="2202" spans="1:12" x14ac:dyDescent="0.3">
      <c r="A2202">
        <f>IF(J2202="0",0,IF(COUNTIF($J$2:J2202,J2202)=1,1,0))</f>
        <v>0</v>
      </c>
      <c r="B2202" s="12" t="e">
        <f>MID(MAIN!A2207,K2202,2)</f>
        <v>#VALUE!</v>
      </c>
      <c r="C2202" s="12" t="e">
        <f t="shared" si="136"/>
        <v>#VALUE!</v>
      </c>
      <c r="D2202" s="12" t="e">
        <f>MID(MAIN!A2207,K2202+2,2)</f>
        <v>#VALUE!</v>
      </c>
      <c r="E2202" s="12" t="e">
        <f>MID(MAIN!A2207,K2202+4,2)</f>
        <v>#VALUE!</v>
      </c>
      <c r="F2202" s="2" t="e">
        <f t="shared" si="137"/>
        <v>#VALUE!</v>
      </c>
      <c r="G2202" s="13" t="e">
        <f t="shared" si="138"/>
        <v>#VALUE!</v>
      </c>
      <c r="J2202" t="str">
        <f>MAIN!A2207&amp;"B"</f>
        <v>B</v>
      </c>
      <c r="K2202" s="12" t="e">
        <f t="shared" si="139"/>
        <v>#VALUE!</v>
      </c>
      <c r="L2202" t="str">
        <f>MAIN!C2207</f>
        <v/>
      </c>
    </row>
    <row r="2203" spans="1:12" x14ac:dyDescent="0.3">
      <c r="A2203">
        <f>IF(J2203="0",0,IF(COUNTIF($J$2:J2203,J2203)=1,1,0))</f>
        <v>0</v>
      </c>
      <c r="B2203" s="12" t="e">
        <f>MID(MAIN!A2208,K2203,2)</f>
        <v>#VALUE!</v>
      </c>
      <c r="C2203" s="12" t="e">
        <f t="shared" si="136"/>
        <v>#VALUE!</v>
      </c>
      <c r="D2203" s="12" t="e">
        <f>MID(MAIN!A2208,K2203+2,2)</f>
        <v>#VALUE!</v>
      </c>
      <c r="E2203" s="12" t="e">
        <f>MID(MAIN!A2208,K2203+4,2)</f>
        <v>#VALUE!</v>
      </c>
      <c r="F2203" s="2" t="e">
        <f t="shared" si="137"/>
        <v>#VALUE!</v>
      </c>
      <c r="G2203" s="13" t="e">
        <f t="shared" si="138"/>
        <v>#VALUE!</v>
      </c>
      <c r="J2203" t="str">
        <f>MAIN!A2208&amp;"B"</f>
        <v>B</v>
      </c>
      <c r="K2203" s="12" t="e">
        <f t="shared" si="139"/>
        <v>#VALUE!</v>
      </c>
      <c r="L2203" t="str">
        <f>MAIN!C2208</f>
        <v/>
      </c>
    </row>
    <row r="2204" spans="1:12" x14ac:dyDescent="0.3">
      <c r="A2204">
        <f>IF(J2204="0",0,IF(COUNTIF($J$2:J2204,J2204)=1,1,0))</f>
        <v>0</v>
      </c>
      <c r="B2204" s="12" t="e">
        <f>MID(MAIN!A2209,K2204,2)</f>
        <v>#VALUE!</v>
      </c>
      <c r="C2204" s="12" t="e">
        <f t="shared" si="136"/>
        <v>#VALUE!</v>
      </c>
      <c r="D2204" s="12" t="e">
        <f>MID(MAIN!A2209,K2204+2,2)</f>
        <v>#VALUE!</v>
      </c>
      <c r="E2204" s="12" t="e">
        <f>MID(MAIN!A2209,K2204+4,2)</f>
        <v>#VALUE!</v>
      </c>
      <c r="F2204" s="2" t="e">
        <f t="shared" si="137"/>
        <v>#VALUE!</v>
      </c>
      <c r="G2204" s="13" t="e">
        <f t="shared" si="138"/>
        <v>#VALUE!</v>
      </c>
      <c r="J2204" t="str">
        <f>MAIN!A2209&amp;"B"</f>
        <v>B</v>
      </c>
      <c r="K2204" s="12" t="e">
        <f t="shared" si="139"/>
        <v>#VALUE!</v>
      </c>
      <c r="L2204" t="str">
        <f>MAIN!C2209</f>
        <v/>
      </c>
    </row>
    <row r="2205" spans="1:12" x14ac:dyDescent="0.3">
      <c r="A2205">
        <f>IF(J2205="0",0,IF(COUNTIF($J$2:J2205,J2205)=1,1,0))</f>
        <v>0</v>
      </c>
      <c r="B2205" s="12" t="e">
        <f>MID(MAIN!A2210,K2205,2)</f>
        <v>#VALUE!</v>
      </c>
      <c r="C2205" s="12" t="e">
        <f t="shared" si="136"/>
        <v>#VALUE!</v>
      </c>
      <c r="D2205" s="12" t="e">
        <f>MID(MAIN!A2210,K2205+2,2)</f>
        <v>#VALUE!</v>
      </c>
      <c r="E2205" s="12" t="e">
        <f>MID(MAIN!A2210,K2205+4,2)</f>
        <v>#VALUE!</v>
      </c>
      <c r="F2205" s="2" t="e">
        <f t="shared" si="137"/>
        <v>#VALUE!</v>
      </c>
      <c r="G2205" s="13" t="e">
        <f t="shared" si="138"/>
        <v>#VALUE!</v>
      </c>
      <c r="J2205" t="str">
        <f>MAIN!A2210&amp;"B"</f>
        <v>B</v>
      </c>
      <c r="K2205" s="12" t="e">
        <f t="shared" si="139"/>
        <v>#VALUE!</v>
      </c>
      <c r="L2205" t="str">
        <f>MAIN!C2210</f>
        <v/>
      </c>
    </row>
    <row r="2206" spans="1:12" x14ac:dyDescent="0.3">
      <c r="A2206">
        <f>IF(J2206="0",0,IF(COUNTIF($J$2:J2206,J2206)=1,1,0))</f>
        <v>0</v>
      </c>
      <c r="B2206" s="12" t="e">
        <f>MID(MAIN!A2211,K2206,2)</f>
        <v>#VALUE!</v>
      </c>
      <c r="C2206" s="12" t="e">
        <f t="shared" si="136"/>
        <v>#VALUE!</v>
      </c>
      <c r="D2206" s="12" t="e">
        <f>MID(MAIN!A2211,K2206+2,2)</f>
        <v>#VALUE!</v>
      </c>
      <c r="E2206" s="12" t="e">
        <f>MID(MAIN!A2211,K2206+4,2)</f>
        <v>#VALUE!</v>
      </c>
      <c r="F2206" s="2" t="e">
        <f t="shared" si="137"/>
        <v>#VALUE!</v>
      </c>
      <c r="G2206" s="13" t="e">
        <f t="shared" si="138"/>
        <v>#VALUE!</v>
      </c>
      <c r="J2206" t="str">
        <f>MAIN!A2211&amp;"B"</f>
        <v>B</v>
      </c>
      <c r="K2206" s="12" t="e">
        <f t="shared" si="139"/>
        <v>#VALUE!</v>
      </c>
      <c r="L2206" t="str">
        <f>MAIN!C2211</f>
        <v/>
      </c>
    </row>
    <row r="2207" spans="1:12" x14ac:dyDescent="0.3">
      <c r="A2207">
        <f>IF(J2207="0",0,IF(COUNTIF($J$2:J2207,J2207)=1,1,0))</f>
        <v>0</v>
      </c>
      <c r="B2207" s="12" t="e">
        <f>MID(MAIN!A2212,K2207,2)</f>
        <v>#VALUE!</v>
      </c>
      <c r="C2207" s="12" t="e">
        <f t="shared" si="136"/>
        <v>#VALUE!</v>
      </c>
      <c r="D2207" s="12" t="e">
        <f>MID(MAIN!A2212,K2207+2,2)</f>
        <v>#VALUE!</v>
      </c>
      <c r="E2207" s="12" t="e">
        <f>MID(MAIN!A2212,K2207+4,2)</f>
        <v>#VALUE!</v>
      </c>
      <c r="F2207" s="2" t="e">
        <f t="shared" si="137"/>
        <v>#VALUE!</v>
      </c>
      <c r="G2207" s="13" t="e">
        <f t="shared" si="138"/>
        <v>#VALUE!</v>
      </c>
      <c r="J2207" t="str">
        <f>MAIN!A2212&amp;"B"</f>
        <v>B</v>
      </c>
      <c r="K2207" s="12" t="e">
        <f t="shared" si="139"/>
        <v>#VALUE!</v>
      </c>
      <c r="L2207" t="str">
        <f>MAIN!C2212</f>
        <v/>
      </c>
    </row>
    <row r="2208" spans="1:12" x14ac:dyDescent="0.3">
      <c r="A2208">
        <f>IF(J2208="0",0,IF(COUNTIF($J$2:J2208,J2208)=1,1,0))</f>
        <v>0</v>
      </c>
      <c r="B2208" s="12" t="e">
        <f>MID(MAIN!A2213,K2208,2)</f>
        <v>#VALUE!</v>
      </c>
      <c r="C2208" s="12" t="e">
        <f t="shared" si="136"/>
        <v>#VALUE!</v>
      </c>
      <c r="D2208" s="12" t="e">
        <f>MID(MAIN!A2213,K2208+2,2)</f>
        <v>#VALUE!</v>
      </c>
      <c r="E2208" s="12" t="e">
        <f>MID(MAIN!A2213,K2208+4,2)</f>
        <v>#VALUE!</v>
      </c>
      <c r="F2208" s="2" t="e">
        <f t="shared" si="137"/>
        <v>#VALUE!</v>
      </c>
      <c r="G2208" s="13" t="e">
        <f t="shared" si="138"/>
        <v>#VALUE!</v>
      </c>
      <c r="J2208" t="str">
        <f>MAIN!A2213&amp;"B"</f>
        <v>B</v>
      </c>
      <c r="K2208" s="12" t="e">
        <f t="shared" si="139"/>
        <v>#VALUE!</v>
      </c>
      <c r="L2208" t="str">
        <f>MAIN!C2213</f>
        <v/>
      </c>
    </row>
    <row r="2209" spans="1:12" x14ac:dyDescent="0.3">
      <c r="A2209">
        <f>IF(J2209="0",0,IF(COUNTIF($J$2:J2209,J2209)=1,1,0))</f>
        <v>0</v>
      </c>
      <c r="B2209" s="12" t="e">
        <f>MID(MAIN!A2214,K2209,2)</f>
        <v>#VALUE!</v>
      </c>
      <c r="C2209" s="12" t="e">
        <f t="shared" si="136"/>
        <v>#VALUE!</v>
      </c>
      <c r="D2209" s="12" t="e">
        <f>MID(MAIN!A2214,K2209+2,2)</f>
        <v>#VALUE!</v>
      </c>
      <c r="E2209" s="12" t="e">
        <f>MID(MAIN!A2214,K2209+4,2)</f>
        <v>#VALUE!</v>
      </c>
      <c r="F2209" s="2" t="e">
        <f t="shared" si="137"/>
        <v>#VALUE!</v>
      </c>
      <c r="G2209" s="13" t="e">
        <f t="shared" si="138"/>
        <v>#VALUE!</v>
      </c>
      <c r="J2209" t="str">
        <f>MAIN!A2214&amp;"B"</f>
        <v>B</v>
      </c>
      <c r="K2209" s="12" t="e">
        <f t="shared" si="139"/>
        <v>#VALUE!</v>
      </c>
      <c r="L2209" t="str">
        <f>MAIN!C2214</f>
        <v/>
      </c>
    </row>
    <row r="2210" spans="1:12" x14ac:dyDescent="0.3">
      <c r="A2210">
        <f>IF(J2210="0",0,IF(COUNTIF($J$2:J2210,J2210)=1,1,0))</f>
        <v>0</v>
      </c>
      <c r="B2210" s="12" t="e">
        <f>MID(MAIN!A2215,K2210,2)</f>
        <v>#VALUE!</v>
      </c>
      <c r="C2210" s="12" t="e">
        <f t="shared" si="136"/>
        <v>#VALUE!</v>
      </c>
      <c r="D2210" s="12" t="e">
        <f>MID(MAIN!A2215,K2210+2,2)</f>
        <v>#VALUE!</v>
      </c>
      <c r="E2210" s="12" t="e">
        <f>MID(MAIN!A2215,K2210+4,2)</f>
        <v>#VALUE!</v>
      </c>
      <c r="F2210" s="2" t="e">
        <f t="shared" si="137"/>
        <v>#VALUE!</v>
      </c>
      <c r="G2210" s="13" t="e">
        <f t="shared" si="138"/>
        <v>#VALUE!</v>
      </c>
      <c r="J2210" t="str">
        <f>MAIN!A2215&amp;"B"</f>
        <v>B</v>
      </c>
      <c r="K2210" s="12" t="e">
        <f t="shared" si="139"/>
        <v>#VALUE!</v>
      </c>
      <c r="L2210" t="str">
        <f>MAIN!C2215</f>
        <v/>
      </c>
    </row>
    <row r="2211" spans="1:12" x14ac:dyDescent="0.3">
      <c r="A2211">
        <f>IF(J2211="0",0,IF(COUNTIF($J$2:J2211,J2211)=1,1,0))</f>
        <v>0</v>
      </c>
      <c r="B2211" s="12" t="e">
        <f>MID(MAIN!A2216,K2211,2)</f>
        <v>#VALUE!</v>
      </c>
      <c r="C2211" s="12" t="e">
        <f t="shared" si="136"/>
        <v>#VALUE!</v>
      </c>
      <c r="D2211" s="12" t="e">
        <f>MID(MAIN!A2216,K2211+2,2)</f>
        <v>#VALUE!</v>
      </c>
      <c r="E2211" s="12" t="e">
        <f>MID(MAIN!A2216,K2211+4,2)</f>
        <v>#VALUE!</v>
      </c>
      <c r="F2211" s="2" t="e">
        <f t="shared" si="137"/>
        <v>#VALUE!</v>
      </c>
      <c r="G2211" s="13" t="e">
        <f t="shared" si="138"/>
        <v>#VALUE!</v>
      </c>
      <c r="J2211" t="str">
        <f>MAIN!A2216&amp;"B"</f>
        <v>B</v>
      </c>
      <c r="K2211" s="12" t="e">
        <f t="shared" si="139"/>
        <v>#VALUE!</v>
      </c>
      <c r="L2211" t="str">
        <f>MAIN!C2216</f>
        <v/>
      </c>
    </row>
    <row r="2212" spans="1:12" x14ac:dyDescent="0.3">
      <c r="A2212">
        <f>IF(J2212="0",0,IF(COUNTIF($J$2:J2212,J2212)=1,1,0))</f>
        <v>0</v>
      </c>
      <c r="B2212" s="12" t="e">
        <f>MID(MAIN!A2217,K2212,2)</f>
        <v>#VALUE!</v>
      </c>
      <c r="C2212" s="12" t="e">
        <f t="shared" si="136"/>
        <v>#VALUE!</v>
      </c>
      <c r="D2212" s="12" t="e">
        <f>MID(MAIN!A2217,K2212+2,2)</f>
        <v>#VALUE!</v>
      </c>
      <c r="E2212" s="12" t="e">
        <f>MID(MAIN!A2217,K2212+4,2)</f>
        <v>#VALUE!</v>
      </c>
      <c r="F2212" s="2" t="e">
        <f t="shared" si="137"/>
        <v>#VALUE!</v>
      </c>
      <c r="G2212" s="13" t="e">
        <f t="shared" si="138"/>
        <v>#VALUE!</v>
      </c>
      <c r="J2212" t="str">
        <f>MAIN!A2217&amp;"B"</f>
        <v>B</v>
      </c>
      <c r="K2212" s="12" t="e">
        <f t="shared" si="139"/>
        <v>#VALUE!</v>
      </c>
      <c r="L2212" t="str">
        <f>MAIN!C2217</f>
        <v/>
      </c>
    </row>
    <row r="2213" spans="1:12" x14ac:dyDescent="0.3">
      <c r="A2213">
        <f>IF(J2213="0",0,IF(COUNTIF($J$2:J2213,J2213)=1,1,0))</f>
        <v>0</v>
      </c>
      <c r="B2213" s="12" t="e">
        <f>MID(MAIN!A2218,K2213,2)</f>
        <v>#VALUE!</v>
      </c>
      <c r="C2213" s="12" t="e">
        <f t="shared" si="136"/>
        <v>#VALUE!</v>
      </c>
      <c r="D2213" s="12" t="e">
        <f>MID(MAIN!A2218,K2213+2,2)</f>
        <v>#VALUE!</v>
      </c>
      <c r="E2213" s="12" t="e">
        <f>MID(MAIN!A2218,K2213+4,2)</f>
        <v>#VALUE!</v>
      </c>
      <c r="F2213" s="2" t="e">
        <f t="shared" si="137"/>
        <v>#VALUE!</v>
      </c>
      <c r="G2213" s="13" t="e">
        <f t="shared" si="138"/>
        <v>#VALUE!</v>
      </c>
      <c r="J2213" t="str">
        <f>MAIN!A2218&amp;"B"</f>
        <v>B</v>
      </c>
      <c r="K2213" s="12" t="e">
        <f t="shared" si="139"/>
        <v>#VALUE!</v>
      </c>
      <c r="L2213" t="str">
        <f>MAIN!C2218</f>
        <v/>
      </c>
    </row>
    <row r="2214" spans="1:12" x14ac:dyDescent="0.3">
      <c r="A2214">
        <f>IF(J2214="0",0,IF(COUNTIF($J$2:J2214,J2214)=1,1,0))</f>
        <v>0</v>
      </c>
      <c r="B2214" s="12" t="e">
        <f>MID(MAIN!A2219,K2214,2)</f>
        <v>#VALUE!</v>
      </c>
      <c r="C2214" s="12" t="e">
        <f t="shared" si="136"/>
        <v>#VALUE!</v>
      </c>
      <c r="D2214" s="12" t="e">
        <f>MID(MAIN!A2219,K2214+2,2)</f>
        <v>#VALUE!</v>
      </c>
      <c r="E2214" s="12" t="e">
        <f>MID(MAIN!A2219,K2214+4,2)</f>
        <v>#VALUE!</v>
      </c>
      <c r="F2214" s="2" t="e">
        <f t="shared" si="137"/>
        <v>#VALUE!</v>
      </c>
      <c r="G2214" s="13" t="e">
        <f t="shared" si="138"/>
        <v>#VALUE!</v>
      </c>
      <c r="J2214" t="str">
        <f>MAIN!A2219&amp;"B"</f>
        <v>B</v>
      </c>
      <c r="K2214" s="12" t="e">
        <f t="shared" si="139"/>
        <v>#VALUE!</v>
      </c>
      <c r="L2214" t="str">
        <f>MAIN!C2219</f>
        <v/>
      </c>
    </row>
    <row r="2215" spans="1:12" x14ac:dyDescent="0.3">
      <c r="A2215">
        <f>IF(J2215="0",0,IF(COUNTIF($J$2:J2215,J2215)=1,1,0))</f>
        <v>0</v>
      </c>
      <c r="B2215" s="12" t="e">
        <f>MID(MAIN!A2220,K2215,2)</f>
        <v>#VALUE!</v>
      </c>
      <c r="C2215" s="12" t="e">
        <f t="shared" si="136"/>
        <v>#VALUE!</v>
      </c>
      <c r="D2215" s="12" t="e">
        <f>MID(MAIN!A2220,K2215+2,2)</f>
        <v>#VALUE!</v>
      </c>
      <c r="E2215" s="12" t="e">
        <f>MID(MAIN!A2220,K2215+4,2)</f>
        <v>#VALUE!</v>
      </c>
      <c r="F2215" s="2" t="e">
        <f t="shared" si="137"/>
        <v>#VALUE!</v>
      </c>
      <c r="G2215" s="13" t="e">
        <f t="shared" si="138"/>
        <v>#VALUE!</v>
      </c>
      <c r="J2215" t="str">
        <f>MAIN!A2220&amp;"B"</f>
        <v>B</v>
      </c>
      <c r="K2215" s="12" t="e">
        <f t="shared" si="139"/>
        <v>#VALUE!</v>
      </c>
      <c r="L2215" t="str">
        <f>MAIN!C2220</f>
        <v/>
      </c>
    </row>
    <row r="2216" spans="1:12" x14ac:dyDescent="0.3">
      <c r="A2216">
        <f>IF(J2216="0",0,IF(COUNTIF($J$2:J2216,J2216)=1,1,0))</f>
        <v>0</v>
      </c>
      <c r="B2216" s="12" t="e">
        <f>MID(MAIN!A2221,K2216,2)</f>
        <v>#VALUE!</v>
      </c>
      <c r="C2216" s="12" t="e">
        <f t="shared" si="136"/>
        <v>#VALUE!</v>
      </c>
      <c r="D2216" s="12" t="e">
        <f>MID(MAIN!A2221,K2216+2,2)</f>
        <v>#VALUE!</v>
      </c>
      <c r="E2216" s="12" t="e">
        <f>MID(MAIN!A2221,K2216+4,2)</f>
        <v>#VALUE!</v>
      </c>
      <c r="F2216" s="2" t="e">
        <f t="shared" si="137"/>
        <v>#VALUE!</v>
      </c>
      <c r="G2216" s="13" t="e">
        <f t="shared" si="138"/>
        <v>#VALUE!</v>
      </c>
      <c r="J2216" t="str">
        <f>MAIN!A2221&amp;"B"</f>
        <v>B</v>
      </c>
      <c r="K2216" s="12" t="e">
        <f t="shared" si="139"/>
        <v>#VALUE!</v>
      </c>
      <c r="L2216" t="str">
        <f>MAIN!C2221</f>
        <v/>
      </c>
    </row>
    <row r="2217" spans="1:12" x14ac:dyDescent="0.3">
      <c r="A2217">
        <f>IF(J2217="0",0,IF(COUNTIF($J$2:J2217,J2217)=1,1,0))</f>
        <v>0</v>
      </c>
      <c r="B2217" s="12" t="e">
        <f>MID(MAIN!A2222,K2217,2)</f>
        <v>#VALUE!</v>
      </c>
      <c r="C2217" s="12" t="e">
        <f t="shared" si="136"/>
        <v>#VALUE!</v>
      </c>
      <c r="D2217" s="12" t="e">
        <f>MID(MAIN!A2222,K2217+2,2)</f>
        <v>#VALUE!</v>
      </c>
      <c r="E2217" s="12" t="e">
        <f>MID(MAIN!A2222,K2217+4,2)</f>
        <v>#VALUE!</v>
      </c>
      <c r="F2217" s="2" t="e">
        <f t="shared" si="137"/>
        <v>#VALUE!</v>
      </c>
      <c r="G2217" s="13" t="e">
        <f t="shared" si="138"/>
        <v>#VALUE!</v>
      </c>
      <c r="J2217" t="str">
        <f>MAIN!A2222&amp;"B"</f>
        <v>B</v>
      </c>
      <c r="K2217" s="12" t="e">
        <f t="shared" si="139"/>
        <v>#VALUE!</v>
      </c>
      <c r="L2217" t="str">
        <f>MAIN!C2222</f>
        <v/>
      </c>
    </row>
    <row r="2218" spans="1:12" x14ac:dyDescent="0.3">
      <c r="A2218">
        <f>IF(J2218="0",0,IF(COUNTIF($J$2:J2218,J2218)=1,1,0))</f>
        <v>0</v>
      </c>
      <c r="B2218" s="12" t="e">
        <f>MID(MAIN!A2223,K2218,2)</f>
        <v>#VALUE!</v>
      </c>
      <c r="C2218" s="12" t="e">
        <f t="shared" si="136"/>
        <v>#VALUE!</v>
      </c>
      <c r="D2218" s="12" t="e">
        <f>MID(MAIN!A2223,K2218+2,2)</f>
        <v>#VALUE!</v>
      </c>
      <c r="E2218" s="12" t="e">
        <f>MID(MAIN!A2223,K2218+4,2)</f>
        <v>#VALUE!</v>
      </c>
      <c r="F2218" s="2" t="e">
        <f t="shared" si="137"/>
        <v>#VALUE!</v>
      </c>
      <c r="G2218" s="13" t="e">
        <f t="shared" si="138"/>
        <v>#VALUE!</v>
      </c>
      <c r="J2218" t="str">
        <f>MAIN!A2223&amp;"B"</f>
        <v>B</v>
      </c>
      <c r="K2218" s="12" t="e">
        <f t="shared" si="139"/>
        <v>#VALUE!</v>
      </c>
      <c r="L2218" t="str">
        <f>MAIN!C2223</f>
        <v/>
      </c>
    </row>
    <row r="2219" spans="1:12" x14ac:dyDescent="0.3">
      <c r="A2219">
        <f>IF(J2219="0",0,IF(COUNTIF($J$2:J2219,J2219)=1,1,0))</f>
        <v>0</v>
      </c>
      <c r="B2219" s="12" t="e">
        <f>MID(MAIN!A2224,K2219,2)</f>
        <v>#VALUE!</v>
      </c>
      <c r="C2219" s="12" t="e">
        <f t="shared" si="136"/>
        <v>#VALUE!</v>
      </c>
      <c r="D2219" s="12" t="e">
        <f>MID(MAIN!A2224,K2219+2,2)</f>
        <v>#VALUE!</v>
      </c>
      <c r="E2219" s="12" t="e">
        <f>MID(MAIN!A2224,K2219+4,2)</f>
        <v>#VALUE!</v>
      </c>
      <c r="F2219" s="2" t="e">
        <f t="shared" si="137"/>
        <v>#VALUE!</v>
      </c>
      <c r="G2219" s="13" t="e">
        <f t="shared" si="138"/>
        <v>#VALUE!</v>
      </c>
      <c r="J2219" t="str">
        <f>MAIN!A2224&amp;"B"</f>
        <v>B</v>
      </c>
      <c r="K2219" s="12" t="e">
        <f t="shared" si="139"/>
        <v>#VALUE!</v>
      </c>
      <c r="L2219" t="str">
        <f>MAIN!C2224</f>
        <v/>
      </c>
    </row>
    <row r="2220" spans="1:12" x14ac:dyDescent="0.3">
      <c r="A2220">
        <f>IF(J2220="0",0,IF(COUNTIF($J$2:J2220,J2220)=1,1,0))</f>
        <v>0</v>
      </c>
      <c r="B2220" s="12" t="e">
        <f>MID(MAIN!A2225,K2220,2)</f>
        <v>#VALUE!</v>
      </c>
      <c r="C2220" s="12" t="e">
        <f t="shared" si="136"/>
        <v>#VALUE!</v>
      </c>
      <c r="D2220" s="12" t="e">
        <f>MID(MAIN!A2225,K2220+2,2)</f>
        <v>#VALUE!</v>
      </c>
      <c r="E2220" s="12" t="e">
        <f>MID(MAIN!A2225,K2220+4,2)</f>
        <v>#VALUE!</v>
      </c>
      <c r="F2220" s="2" t="e">
        <f t="shared" si="137"/>
        <v>#VALUE!</v>
      </c>
      <c r="G2220" s="13" t="e">
        <f t="shared" si="138"/>
        <v>#VALUE!</v>
      </c>
      <c r="J2220" t="str">
        <f>MAIN!A2225&amp;"B"</f>
        <v>B</v>
      </c>
      <c r="K2220" s="12" t="e">
        <f t="shared" si="139"/>
        <v>#VALUE!</v>
      </c>
      <c r="L2220" t="str">
        <f>MAIN!C2225</f>
        <v/>
      </c>
    </row>
    <row r="2221" spans="1:12" x14ac:dyDescent="0.3">
      <c r="A2221">
        <f>IF(J2221="0",0,IF(COUNTIF($J$2:J2221,J2221)=1,1,0))</f>
        <v>0</v>
      </c>
      <c r="B2221" s="12" t="e">
        <f>MID(MAIN!A2226,K2221,2)</f>
        <v>#VALUE!</v>
      </c>
      <c r="C2221" s="12" t="e">
        <f t="shared" si="136"/>
        <v>#VALUE!</v>
      </c>
      <c r="D2221" s="12" t="e">
        <f>MID(MAIN!A2226,K2221+2,2)</f>
        <v>#VALUE!</v>
      </c>
      <c r="E2221" s="12" t="e">
        <f>MID(MAIN!A2226,K2221+4,2)</f>
        <v>#VALUE!</v>
      </c>
      <c r="F2221" s="2" t="e">
        <f t="shared" si="137"/>
        <v>#VALUE!</v>
      </c>
      <c r="G2221" s="13" t="e">
        <f t="shared" si="138"/>
        <v>#VALUE!</v>
      </c>
      <c r="J2221" t="str">
        <f>MAIN!A2226&amp;"B"</f>
        <v>B</v>
      </c>
      <c r="K2221" s="12" t="e">
        <f t="shared" si="139"/>
        <v>#VALUE!</v>
      </c>
      <c r="L2221" t="str">
        <f>MAIN!C2226</f>
        <v/>
      </c>
    </row>
    <row r="2222" spans="1:12" x14ac:dyDescent="0.3">
      <c r="A2222">
        <f>IF(J2222="0",0,IF(COUNTIF($J$2:J2222,J2222)=1,1,0))</f>
        <v>0</v>
      </c>
      <c r="B2222" s="12" t="e">
        <f>MID(MAIN!A2227,K2222,2)</f>
        <v>#VALUE!</v>
      </c>
      <c r="C2222" s="12" t="e">
        <f t="shared" si="136"/>
        <v>#VALUE!</v>
      </c>
      <c r="D2222" s="12" t="e">
        <f>MID(MAIN!A2227,K2222+2,2)</f>
        <v>#VALUE!</v>
      </c>
      <c r="E2222" s="12" t="e">
        <f>MID(MAIN!A2227,K2222+4,2)</f>
        <v>#VALUE!</v>
      </c>
      <c r="F2222" s="2" t="e">
        <f t="shared" si="137"/>
        <v>#VALUE!</v>
      </c>
      <c r="G2222" s="13" t="e">
        <f t="shared" si="138"/>
        <v>#VALUE!</v>
      </c>
      <c r="J2222" t="str">
        <f>MAIN!A2227&amp;"B"</f>
        <v>B</v>
      </c>
      <c r="K2222" s="12" t="e">
        <f t="shared" si="139"/>
        <v>#VALUE!</v>
      </c>
      <c r="L2222" t="str">
        <f>MAIN!C2227</f>
        <v/>
      </c>
    </row>
    <row r="2223" spans="1:12" x14ac:dyDescent="0.3">
      <c r="A2223">
        <f>IF(J2223="0",0,IF(COUNTIF($J$2:J2223,J2223)=1,1,0))</f>
        <v>0</v>
      </c>
      <c r="B2223" s="12" t="e">
        <f>MID(MAIN!A2228,K2223,2)</f>
        <v>#VALUE!</v>
      </c>
      <c r="C2223" s="12" t="e">
        <f t="shared" si="136"/>
        <v>#VALUE!</v>
      </c>
      <c r="D2223" s="12" t="e">
        <f>MID(MAIN!A2228,K2223+2,2)</f>
        <v>#VALUE!</v>
      </c>
      <c r="E2223" s="12" t="e">
        <f>MID(MAIN!A2228,K2223+4,2)</f>
        <v>#VALUE!</v>
      </c>
      <c r="F2223" s="2" t="e">
        <f t="shared" si="137"/>
        <v>#VALUE!</v>
      </c>
      <c r="G2223" s="13" t="e">
        <f t="shared" si="138"/>
        <v>#VALUE!</v>
      </c>
      <c r="J2223" t="str">
        <f>MAIN!A2228&amp;"B"</f>
        <v>B</v>
      </c>
      <c r="K2223" s="12" t="e">
        <f t="shared" si="139"/>
        <v>#VALUE!</v>
      </c>
      <c r="L2223" t="str">
        <f>MAIN!C2228</f>
        <v/>
      </c>
    </row>
    <row r="2224" spans="1:12" x14ac:dyDescent="0.3">
      <c r="A2224">
        <f>IF(J2224="0",0,IF(COUNTIF($J$2:J2224,J2224)=1,1,0))</f>
        <v>0</v>
      </c>
      <c r="B2224" s="12" t="e">
        <f>MID(MAIN!A2229,K2224,2)</f>
        <v>#VALUE!</v>
      </c>
      <c r="C2224" s="12" t="e">
        <f t="shared" si="136"/>
        <v>#VALUE!</v>
      </c>
      <c r="D2224" s="12" t="e">
        <f>MID(MAIN!A2229,K2224+2,2)</f>
        <v>#VALUE!</v>
      </c>
      <c r="E2224" s="12" t="e">
        <f>MID(MAIN!A2229,K2224+4,2)</f>
        <v>#VALUE!</v>
      </c>
      <c r="F2224" s="2" t="e">
        <f t="shared" si="137"/>
        <v>#VALUE!</v>
      </c>
      <c r="G2224" s="13" t="e">
        <f t="shared" si="138"/>
        <v>#VALUE!</v>
      </c>
      <c r="J2224" t="str">
        <f>MAIN!A2229&amp;"B"</f>
        <v>B</v>
      </c>
      <c r="K2224" s="12" t="e">
        <f t="shared" si="139"/>
        <v>#VALUE!</v>
      </c>
      <c r="L2224" t="str">
        <f>MAIN!C2229</f>
        <v/>
      </c>
    </row>
    <row r="2225" spans="1:12" x14ac:dyDescent="0.3">
      <c r="A2225">
        <f>IF(J2225="0",0,IF(COUNTIF($J$2:J2225,J2225)=1,1,0))</f>
        <v>0</v>
      </c>
      <c r="B2225" s="12" t="e">
        <f>MID(MAIN!A2230,K2225,2)</f>
        <v>#VALUE!</v>
      </c>
      <c r="C2225" s="12" t="e">
        <f t="shared" si="136"/>
        <v>#VALUE!</v>
      </c>
      <c r="D2225" s="12" t="e">
        <f>MID(MAIN!A2230,K2225+2,2)</f>
        <v>#VALUE!</v>
      </c>
      <c r="E2225" s="12" t="e">
        <f>MID(MAIN!A2230,K2225+4,2)</f>
        <v>#VALUE!</v>
      </c>
      <c r="F2225" s="2" t="e">
        <f t="shared" si="137"/>
        <v>#VALUE!</v>
      </c>
      <c r="G2225" s="13" t="e">
        <f t="shared" si="138"/>
        <v>#VALUE!</v>
      </c>
      <c r="J2225" t="str">
        <f>MAIN!A2230&amp;"B"</f>
        <v>B</v>
      </c>
      <c r="K2225" s="12" t="e">
        <f t="shared" si="139"/>
        <v>#VALUE!</v>
      </c>
      <c r="L2225" t="str">
        <f>MAIN!C2230</f>
        <v/>
      </c>
    </row>
    <row r="2226" spans="1:12" x14ac:dyDescent="0.3">
      <c r="A2226">
        <f>IF(J2226="0",0,IF(COUNTIF($J$2:J2226,J2226)=1,1,0))</f>
        <v>0</v>
      </c>
      <c r="B2226" s="12" t="e">
        <f>MID(MAIN!A2231,K2226,2)</f>
        <v>#VALUE!</v>
      </c>
      <c r="C2226" s="12" t="e">
        <f t="shared" si="136"/>
        <v>#VALUE!</v>
      </c>
      <c r="D2226" s="12" t="e">
        <f>MID(MAIN!A2231,K2226+2,2)</f>
        <v>#VALUE!</v>
      </c>
      <c r="E2226" s="12" t="e">
        <f>MID(MAIN!A2231,K2226+4,2)</f>
        <v>#VALUE!</v>
      </c>
      <c r="F2226" s="2" t="e">
        <f t="shared" si="137"/>
        <v>#VALUE!</v>
      </c>
      <c r="G2226" s="13" t="e">
        <f t="shared" si="138"/>
        <v>#VALUE!</v>
      </c>
      <c r="J2226" t="str">
        <f>MAIN!A2231&amp;"B"</f>
        <v>B</v>
      </c>
      <c r="K2226" s="12" t="e">
        <f t="shared" si="139"/>
        <v>#VALUE!</v>
      </c>
      <c r="L2226" t="str">
        <f>MAIN!C2231</f>
        <v/>
      </c>
    </row>
    <row r="2227" spans="1:12" x14ac:dyDescent="0.3">
      <c r="A2227">
        <f>IF(J2227="0",0,IF(COUNTIF($J$2:J2227,J2227)=1,1,0))</f>
        <v>0</v>
      </c>
      <c r="B2227" s="12" t="e">
        <f>MID(MAIN!A2232,K2227,2)</f>
        <v>#VALUE!</v>
      </c>
      <c r="C2227" s="12" t="e">
        <f t="shared" si="136"/>
        <v>#VALUE!</v>
      </c>
      <c r="D2227" s="12" t="e">
        <f>MID(MAIN!A2232,K2227+2,2)</f>
        <v>#VALUE!</v>
      </c>
      <c r="E2227" s="12" t="e">
        <f>MID(MAIN!A2232,K2227+4,2)</f>
        <v>#VALUE!</v>
      </c>
      <c r="F2227" s="2" t="e">
        <f t="shared" si="137"/>
        <v>#VALUE!</v>
      </c>
      <c r="G2227" s="13" t="e">
        <f t="shared" si="138"/>
        <v>#VALUE!</v>
      </c>
      <c r="J2227" t="str">
        <f>MAIN!A2232&amp;"B"</f>
        <v>B</v>
      </c>
      <c r="K2227" s="12" t="e">
        <f t="shared" si="139"/>
        <v>#VALUE!</v>
      </c>
      <c r="L2227" t="str">
        <f>MAIN!C2232</f>
        <v/>
      </c>
    </row>
    <row r="2228" spans="1:12" x14ac:dyDescent="0.3">
      <c r="A2228">
        <f>IF(J2228="0",0,IF(COUNTIF($J$2:J2228,J2228)=1,1,0))</f>
        <v>0</v>
      </c>
      <c r="B2228" s="12" t="e">
        <f>MID(MAIN!A2233,K2228,2)</f>
        <v>#VALUE!</v>
      </c>
      <c r="C2228" s="12" t="e">
        <f t="shared" si="136"/>
        <v>#VALUE!</v>
      </c>
      <c r="D2228" s="12" t="e">
        <f>MID(MAIN!A2233,K2228+2,2)</f>
        <v>#VALUE!</v>
      </c>
      <c r="E2228" s="12" t="e">
        <f>MID(MAIN!A2233,K2228+4,2)</f>
        <v>#VALUE!</v>
      </c>
      <c r="F2228" s="2" t="e">
        <f t="shared" si="137"/>
        <v>#VALUE!</v>
      </c>
      <c r="G2228" s="13" t="e">
        <f t="shared" si="138"/>
        <v>#VALUE!</v>
      </c>
      <c r="J2228" t="str">
        <f>MAIN!A2233&amp;"B"</f>
        <v>B</v>
      </c>
      <c r="K2228" s="12" t="e">
        <f t="shared" si="139"/>
        <v>#VALUE!</v>
      </c>
      <c r="L2228" t="str">
        <f>MAIN!C2233</f>
        <v/>
      </c>
    </row>
    <row r="2229" spans="1:12" x14ac:dyDescent="0.3">
      <c r="A2229">
        <f>IF(J2229="0",0,IF(COUNTIF($J$2:J2229,J2229)=1,1,0))</f>
        <v>0</v>
      </c>
      <c r="B2229" s="12" t="e">
        <f>MID(MAIN!A2234,K2229,2)</f>
        <v>#VALUE!</v>
      </c>
      <c r="C2229" s="12" t="e">
        <f t="shared" si="136"/>
        <v>#VALUE!</v>
      </c>
      <c r="D2229" s="12" t="e">
        <f>MID(MAIN!A2234,K2229+2,2)</f>
        <v>#VALUE!</v>
      </c>
      <c r="E2229" s="12" t="e">
        <f>MID(MAIN!A2234,K2229+4,2)</f>
        <v>#VALUE!</v>
      </c>
      <c r="F2229" s="2" t="e">
        <f t="shared" si="137"/>
        <v>#VALUE!</v>
      </c>
      <c r="G2229" s="13" t="e">
        <f t="shared" si="138"/>
        <v>#VALUE!</v>
      </c>
      <c r="J2229" t="str">
        <f>MAIN!A2234&amp;"B"</f>
        <v>B</v>
      </c>
      <c r="K2229" s="12" t="e">
        <f t="shared" si="139"/>
        <v>#VALUE!</v>
      </c>
      <c r="L2229" t="str">
        <f>MAIN!C2234</f>
        <v/>
      </c>
    </row>
    <row r="2230" spans="1:12" x14ac:dyDescent="0.3">
      <c r="A2230">
        <f>IF(J2230="0",0,IF(COUNTIF($J$2:J2230,J2230)=1,1,0))</f>
        <v>0</v>
      </c>
      <c r="B2230" s="12" t="e">
        <f>MID(MAIN!A2235,K2230,2)</f>
        <v>#VALUE!</v>
      </c>
      <c r="C2230" s="12" t="e">
        <f t="shared" si="136"/>
        <v>#VALUE!</v>
      </c>
      <c r="D2230" s="12" t="e">
        <f>MID(MAIN!A2235,K2230+2,2)</f>
        <v>#VALUE!</v>
      </c>
      <c r="E2230" s="12" t="e">
        <f>MID(MAIN!A2235,K2230+4,2)</f>
        <v>#VALUE!</v>
      </c>
      <c r="F2230" s="2" t="e">
        <f t="shared" si="137"/>
        <v>#VALUE!</v>
      </c>
      <c r="G2230" s="13" t="e">
        <f t="shared" si="138"/>
        <v>#VALUE!</v>
      </c>
      <c r="J2230" t="str">
        <f>MAIN!A2235&amp;"B"</f>
        <v>B</v>
      </c>
      <c r="K2230" s="12" t="e">
        <f t="shared" si="139"/>
        <v>#VALUE!</v>
      </c>
      <c r="L2230" t="str">
        <f>MAIN!C2235</f>
        <v/>
      </c>
    </row>
    <row r="2231" spans="1:12" x14ac:dyDescent="0.3">
      <c r="A2231">
        <f>IF(J2231="0",0,IF(COUNTIF($J$2:J2231,J2231)=1,1,0))</f>
        <v>0</v>
      </c>
      <c r="B2231" s="12" t="e">
        <f>MID(MAIN!A2236,K2231,2)</f>
        <v>#VALUE!</v>
      </c>
      <c r="C2231" s="12" t="e">
        <f t="shared" si="136"/>
        <v>#VALUE!</v>
      </c>
      <c r="D2231" s="12" t="e">
        <f>MID(MAIN!A2236,K2231+2,2)</f>
        <v>#VALUE!</v>
      </c>
      <c r="E2231" s="12" t="e">
        <f>MID(MAIN!A2236,K2231+4,2)</f>
        <v>#VALUE!</v>
      </c>
      <c r="F2231" s="2" t="e">
        <f t="shared" si="137"/>
        <v>#VALUE!</v>
      </c>
      <c r="G2231" s="13" t="e">
        <f t="shared" si="138"/>
        <v>#VALUE!</v>
      </c>
      <c r="J2231" t="str">
        <f>MAIN!A2236&amp;"B"</f>
        <v>B</v>
      </c>
      <c r="K2231" s="12" t="e">
        <f t="shared" si="139"/>
        <v>#VALUE!</v>
      </c>
      <c r="L2231" t="str">
        <f>MAIN!C2236</f>
        <v/>
      </c>
    </row>
    <row r="2232" spans="1:12" x14ac:dyDescent="0.3">
      <c r="A2232">
        <f>IF(J2232="0",0,IF(COUNTIF($J$2:J2232,J2232)=1,1,0))</f>
        <v>0</v>
      </c>
      <c r="B2232" s="12" t="e">
        <f>MID(MAIN!A2237,K2232,2)</f>
        <v>#VALUE!</v>
      </c>
      <c r="C2232" s="12" t="e">
        <f t="shared" si="136"/>
        <v>#VALUE!</v>
      </c>
      <c r="D2232" s="12" t="e">
        <f>MID(MAIN!A2237,K2232+2,2)</f>
        <v>#VALUE!</v>
      </c>
      <c r="E2232" s="12" t="e">
        <f>MID(MAIN!A2237,K2232+4,2)</f>
        <v>#VALUE!</v>
      </c>
      <c r="F2232" s="2" t="e">
        <f t="shared" si="137"/>
        <v>#VALUE!</v>
      </c>
      <c r="G2232" s="13" t="e">
        <f t="shared" si="138"/>
        <v>#VALUE!</v>
      </c>
      <c r="J2232" t="str">
        <f>MAIN!A2237&amp;"B"</f>
        <v>B</v>
      </c>
      <c r="K2232" s="12" t="e">
        <f t="shared" si="139"/>
        <v>#VALUE!</v>
      </c>
      <c r="L2232" t="str">
        <f>MAIN!C2237</f>
        <v/>
      </c>
    </row>
    <row r="2233" spans="1:12" x14ac:dyDescent="0.3">
      <c r="A2233">
        <f>IF(J2233="0",0,IF(COUNTIF($J$2:J2233,J2233)=1,1,0))</f>
        <v>0</v>
      </c>
      <c r="B2233" s="12" t="e">
        <f>MID(MAIN!A2238,K2233,2)</f>
        <v>#VALUE!</v>
      </c>
      <c r="C2233" s="12" t="e">
        <f t="shared" si="136"/>
        <v>#VALUE!</v>
      </c>
      <c r="D2233" s="12" t="e">
        <f>MID(MAIN!A2238,K2233+2,2)</f>
        <v>#VALUE!</v>
      </c>
      <c r="E2233" s="12" t="e">
        <f>MID(MAIN!A2238,K2233+4,2)</f>
        <v>#VALUE!</v>
      </c>
      <c r="F2233" s="2" t="e">
        <f t="shared" si="137"/>
        <v>#VALUE!</v>
      </c>
      <c r="G2233" s="13" t="e">
        <f t="shared" si="138"/>
        <v>#VALUE!</v>
      </c>
      <c r="J2233" t="str">
        <f>MAIN!A2238&amp;"B"</f>
        <v>B</v>
      </c>
      <c r="K2233" s="12" t="e">
        <f t="shared" si="139"/>
        <v>#VALUE!</v>
      </c>
      <c r="L2233" t="str">
        <f>MAIN!C2238</f>
        <v/>
      </c>
    </row>
    <row r="2234" spans="1:12" x14ac:dyDescent="0.3">
      <c r="A2234">
        <f>IF(J2234="0",0,IF(COUNTIF($J$2:J2234,J2234)=1,1,0))</f>
        <v>0</v>
      </c>
      <c r="B2234" s="12" t="e">
        <f>MID(MAIN!A2239,K2234,2)</f>
        <v>#VALUE!</v>
      </c>
      <c r="C2234" s="12" t="e">
        <f t="shared" si="136"/>
        <v>#VALUE!</v>
      </c>
      <c r="D2234" s="12" t="e">
        <f>MID(MAIN!A2239,K2234+2,2)</f>
        <v>#VALUE!</v>
      </c>
      <c r="E2234" s="12" t="e">
        <f>MID(MAIN!A2239,K2234+4,2)</f>
        <v>#VALUE!</v>
      </c>
      <c r="F2234" s="2" t="e">
        <f t="shared" si="137"/>
        <v>#VALUE!</v>
      </c>
      <c r="G2234" s="13" t="e">
        <f t="shared" si="138"/>
        <v>#VALUE!</v>
      </c>
      <c r="J2234" t="str">
        <f>MAIN!A2239&amp;"B"</f>
        <v>B</v>
      </c>
      <c r="K2234" s="12" t="e">
        <f t="shared" si="139"/>
        <v>#VALUE!</v>
      </c>
      <c r="L2234" t="str">
        <f>MAIN!C2239</f>
        <v/>
      </c>
    </row>
    <row r="2235" spans="1:12" x14ac:dyDescent="0.3">
      <c r="A2235">
        <f>IF(J2235="0",0,IF(COUNTIF($J$2:J2235,J2235)=1,1,0))</f>
        <v>0</v>
      </c>
      <c r="B2235" s="12" t="e">
        <f>MID(MAIN!A2240,K2235,2)</f>
        <v>#VALUE!</v>
      </c>
      <c r="C2235" s="12" t="e">
        <f t="shared" si="136"/>
        <v>#VALUE!</v>
      </c>
      <c r="D2235" s="12" t="e">
        <f>MID(MAIN!A2240,K2235+2,2)</f>
        <v>#VALUE!</v>
      </c>
      <c r="E2235" s="12" t="e">
        <f>MID(MAIN!A2240,K2235+4,2)</f>
        <v>#VALUE!</v>
      </c>
      <c r="F2235" s="2" t="e">
        <f t="shared" si="137"/>
        <v>#VALUE!</v>
      </c>
      <c r="G2235" s="13" t="e">
        <f t="shared" si="138"/>
        <v>#VALUE!</v>
      </c>
      <c r="J2235" t="str">
        <f>MAIN!A2240&amp;"B"</f>
        <v>B</v>
      </c>
      <c r="K2235" s="12" t="e">
        <f t="shared" si="139"/>
        <v>#VALUE!</v>
      </c>
      <c r="L2235" t="str">
        <f>MAIN!C2240</f>
        <v/>
      </c>
    </row>
    <row r="2236" spans="1:12" x14ac:dyDescent="0.3">
      <c r="A2236">
        <f>IF(J2236="0",0,IF(COUNTIF($J$2:J2236,J2236)=1,1,0))</f>
        <v>0</v>
      </c>
      <c r="B2236" s="12" t="e">
        <f>MID(MAIN!A2241,K2236,2)</f>
        <v>#VALUE!</v>
      </c>
      <c r="C2236" s="12" t="e">
        <f t="shared" si="136"/>
        <v>#VALUE!</v>
      </c>
      <c r="D2236" s="12" t="e">
        <f>MID(MAIN!A2241,K2236+2,2)</f>
        <v>#VALUE!</v>
      </c>
      <c r="E2236" s="12" t="e">
        <f>MID(MAIN!A2241,K2236+4,2)</f>
        <v>#VALUE!</v>
      </c>
      <c r="F2236" s="2" t="e">
        <f t="shared" si="137"/>
        <v>#VALUE!</v>
      </c>
      <c r="G2236" s="13" t="e">
        <f t="shared" si="138"/>
        <v>#VALUE!</v>
      </c>
      <c r="J2236" t="str">
        <f>MAIN!A2241&amp;"B"</f>
        <v>B</v>
      </c>
      <c r="K2236" s="12" t="e">
        <f t="shared" si="139"/>
        <v>#VALUE!</v>
      </c>
      <c r="L2236" t="str">
        <f>MAIN!C2241</f>
        <v/>
      </c>
    </row>
    <row r="2237" spans="1:12" x14ac:dyDescent="0.3">
      <c r="A2237">
        <f>IF(J2237="0",0,IF(COUNTIF($J$2:J2237,J2237)=1,1,0))</f>
        <v>0</v>
      </c>
      <c r="B2237" s="12" t="e">
        <f>MID(MAIN!A2242,K2237,2)</f>
        <v>#VALUE!</v>
      </c>
      <c r="C2237" s="12" t="e">
        <f t="shared" si="136"/>
        <v>#VALUE!</v>
      </c>
      <c r="D2237" s="12" t="e">
        <f>MID(MAIN!A2242,K2237+2,2)</f>
        <v>#VALUE!</v>
      </c>
      <c r="E2237" s="12" t="e">
        <f>MID(MAIN!A2242,K2237+4,2)</f>
        <v>#VALUE!</v>
      </c>
      <c r="F2237" s="2" t="e">
        <f t="shared" si="137"/>
        <v>#VALUE!</v>
      </c>
      <c r="G2237" s="13" t="e">
        <f t="shared" si="138"/>
        <v>#VALUE!</v>
      </c>
      <c r="J2237" t="str">
        <f>MAIN!A2242&amp;"B"</f>
        <v>B</v>
      </c>
      <c r="K2237" s="12" t="e">
        <f t="shared" si="139"/>
        <v>#VALUE!</v>
      </c>
      <c r="L2237" t="str">
        <f>MAIN!C2242</f>
        <v/>
      </c>
    </row>
    <row r="2238" spans="1:12" x14ac:dyDescent="0.3">
      <c r="A2238">
        <f>IF(J2238="0",0,IF(COUNTIF($J$2:J2238,J2238)=1,1,0))</f>
        <v>0</v>
      </c>
      <c r="B2238" s="12" t="e">
        <f>MID(MAIN!A2243,K2238,2)</f>
        <v>#VALUE!</v>
      </c>
      <c r="C2238" s="12" t="e">
        <f t="shared" si="136"/>
        <v>#VALUE!</v>
      </c>
      <c r="D2238" s="12" t="e">
        <f>MID(MAIN!A2243,K2238+2,2)</f>
        <v>#VALUE!</v>
      </c>
      <c r="E2238" s="12" t="e">
        <f>MID(MAIN!A2243,K2238+4,2)</f>
        <v>#VALUE!</v>
      </c>
      <c r="F2238" s="2" t="e">
        <f t="shared" si="137"/>
        <v>#VALUE!</v>
      </c>
      <c r="G2238" s="13" t="e">
        <f t="shared" si="138"/>
        <v>#VALUE!</v>
      </c>
      <c r="J2238" t="str">
        <f>MAIN!A2243&amp;"B"</f>
        <v>B</v>
      </c>
      <c r="K2238" s="12" t="e">
        <f t="shared" si="139"/>
        <v>#VALUE!</v>
      </c>
      <c r="L2238" t="str">
        <f>MAIN!C2243</f>
        <v/>
      </c>
    </row>
    <row r="2239" spans="1:12" x14ac:dyDescent="0.3">
      <c r="A2239">
        <f>IF(J2239="0",0,IF(COUNTIF($J$2:J2239,J2239)=1,1,0))</f>
        <v>0</v>
      </c>
      <c r="B2239" s="12" t="e">
        <f>MID(MAIN!A2244,K2239,2)</f>
        <v>#VALUE!</v>
      </c>
      <c r="C2239" s="12" t="e">
        <f t="shared" si="136"/>
        <v>#VALUE!</v>
      </c>
      <c r="D2239" s="12" t="e">
        <f>MID(MAIN!A2244,K2239+2,2)</f>
        <v>#VALUE!</v>
      </c>
      <c r="E2239" s="12" t="e">
        <f>MID(MAIN!A2244,K2239+4,2)</f>
        <v>#VALUE!</v>
      </c>
      <c r="F2239" s="2" t="e">
        <f t="shared" si="137"/>
        <v>#VALUE!</v>
      </c>
      <c r="G2239" s="13" t="e">
        <f t="shared" si="138"/>
        <v>#VALUE!</v>
      </c>
      <c r="J2239" t="str">
        <f>MAIN!A2244&amp;"B"</f>
        <v>B</v>
      </c>
      <c r="K2239" s="12" t="e">
        <f t="shared" si="139"/>
        <v>#VALUE!</v>
      </c>
      <c r="L2239" t="str">
        <f>MAIN!C2244</f>
        <v/>
      </c>
    </row>
    <row r="2240" spans="1:12" x14ac:dyDescent="0.3">
      <c r="A2240">
        <f>IF(J2240="0",0,IF(COUNTIF($J$2:J2240,J2240)=1,1,0))</f>
        <v>0</v>
      </c>
      <c r="B2240" s="12" t="e">
        <f>MID(MAIN!A2245,K2240,2)</f>
        <v>#VALUE!</v>
      </c>
      <c r="C2240" s="12" t="e">
        <f t="shared" si="136"/>
        <v>#VALUE!</v>
      </c>
      <c r="D2240" s="12" t="e">
        <f>MID(MAIN!A2245,K2240+2,2)</f>
        <v>#VALUE!</v>
      </c>
      <c r="E2240" s="12" t="e">
        <f>MID(MAIN!A2245,K2240+4,2)</f>
        <v>#VALUE!</v>
      </c>
      <c r="F2240" s="2" t="e">
        <f t="shared" si="137"/>
        <v>#VALUE!</v>
      </c>
      <c r="G2240" s="13" t="e">
        <f t="shared" si="138"/>
        <v>#VALUE!</v>
      </c>
      <c r="J2240" t="str">
        <f>MAIN!A2245&amp;"B"</f>
        <v>B</v>
      </c>
      <c r="K2240" s="12" t="e">
        <f t="shared" si="139"/>
        <v>#VALUE!</v>
      </c>
      <c r="L2240" t="str">
        <f>MAIN!C2245</f>
        <v/>
      </c>
    </row>
    <row r="2241" spans="1:12" x14ac:dyDescent="0.3">
      <c r="A2241">
        <f>IF(J2241="0",0,IF(COUNTIF($J$2:J2241,J2241)=1,1,0))</f>
        <v>0</v>
      </c>
      <c r="B2241" s="12" t="e">
        <f>MID(MAIN!A2246,K2241,2)</f>
        <v>#VALUE!</v>
      </c>
      <c r="C2241" s="12" t="e">
        <f t="shared" si="136"/>
        <v>#VALUE!</v>
      </c>
      <c r="D2241" s="12" t="e">
        <f>MID(MAIN!A2246,K2241+2,2)</f>
        <v>#VALUE!</v>
      </c>
      <c r="E2241" s="12" t="e">
        <f>MID(MAIN!A2246,K2241+4,2)</f>
        <v>#VALUE!</v>
      </c>
      <c r="F2241" s="2" t="e">
        <f t="shared" si="137"/>
        <v>#VALUE!</v>
      </c>
      <c r="G2241" s="13" t="e">
        <f t="shared" si="138"/>
        <v>#VALUE!</v>
      </c>
      <c r="J2241" t="str">
        <f>MAIN!A2246&amp;"B"</f>
        <v>B</v>
      </c>
      <c r="K2241" s="12" t="e">
        <f t="shared" si="139"/>
        <v>#VALUE!</v>
      </c>
      <c r="L2241" t="str">
        <f>MAIN!C2246</f>
        <v/>
      </c>
    </row>
    <row r="2242" spans="1:12" x14ac:dyDescent="0.3">
      <c r="A2242">
        <f>IF(J2242="0",0,IF(COUNTIF($J$2:J2242,J2242)=1,1,0))</f>
        <v>0</v>
      </c>
      <c r="B2242" s="12" t="e">
        <f>MID(MAIN!A2247,K2242,2)</f>
        <v>#VALUE!</v>
      </c>
      <c r="C2242" s="12" t="e">
        <f t="shared" si="136"/>
        <v>#VALUE!</v>
      </c>
      <c r="D2242" s="12" t="e">
        <f>MID(MAIN!A2247,K2242+2,2)</f>
        <v>#VALUE!</v>
      </c>
      <c r="E2242" s="12" t="e">
        <f>MID(MAIN!A2247,K2242+4,2)</f>
        <v>#VALUE!</v>
      </c>
      <c r="F2242" s="2" t="e">
        <f t="shared" si="137"/>
        <v>#VALUE!</v>
      </c>
      <c r="G2242" s="13" t="e">
        <f t="shared" si="138"/>
        <v>#VALUE!</v>
      </c>
      <c r="J2242" t="str">
        <f>MAIN!A2247&amp;"B"</f>
        <v>B</v>
      </c>
      <c r="K2242" s="12" t="e">
        <f t="shared" si="139"/>
        <v>#VALUE!</v>
      </c>
      <c r="L2242" t="str">
        <f>MAIN!C2247</f>
        <v/>
      </c>
    </row>
    <row r="2243" spans="1:12" x14ac:dyDescent="0.3">
      <c r="A2243">
        <f>IF(J2243="0",0,IF(COUNTIF($J$2:J2243,J2243)=1,1,0))</f>
        <v>0</v>
      </c>
      <c r="B2243" s="12" t="e">
        <f>MID(MAIN!A2248,K2243,2)</f>
        <v>#VALUE!</v>
      </c>
      <c r="C2243" s="12" t="e">
        <f t="shared" ref="C2243:C2306" si="140">"20"&amp;B2243</f>
        <v>#VALUE!</v>
      </c>
      <c r="D2243" s="12" t="e">
        <f>MID(MAIN!A2248,K2243+2,2)</f>
        <v>#VALUE!</v>
      </c>
      <c r="E2243" s="12" t="e">
        <f>MID(MAIN!A2248,K2243+4,2)</f>
        <v>#VALUE!</v>
      </c>
      <c r="F2243" s="2" t="e">
        <f t="shared" ref="F2243:F2306" si="141">C2243&amp;"/"&amp;D2243&amp;"/"&amp;E2243</f>
        <v>#VALUE!</v>
      </c>
      <c r="G2243" s="13" t="e">
        <f t="shared" ref="G2243:G2306" si="142">DATEVALUE(F2243)</f>
        <v>#VALUE!</v>
      </c>
      <c r="J2243" t="str">
        <f>MAIN!A2248&amp;"B"</f>
        <v>B</v>
      </c>
      <c r="K2243" s="12" t="e">
        <f t="shared" ref="K2243:K2306" si="143">FIND("172",J2243,30)+2</f>
        <v>#VALUE!</v>
      </c>
      <c r="L2243" t="str">
        <f>MAIN!C2248</f>
        <v/>
      </c>
    </row>
    <row r="2244" spans="1:12" x14ac:dyDescent="0.3">
      <c r="A2244">
        <f>IF(J2244="0",0,IF(COUNTIF($J$2:J2244,J2244)=1,1,0))</f>
        <v>0</v>
      </c>
      <c r="B2244" s="12" t="e">
        <f>MID(MAIN!A2249,K2244,2)</f>
        <v>#VALUE!</v>
      </c>
      <c r="C2244" s="12" t="e">
        <f t="shared" si="140"/>
        <v>#VALUE!</v>
      </c>
      <c r="D2244" s="12" t="e">
        <f>MID(MAIN!A2249,K2244+2,2)</f>
        <v>#VALUE!</v>
      </c>
      <c r="E2244" s="12" t="e">
        <f>MID(MAIN!A2249,K2244+4,2)</f>
        <v>#VALUE!</v>
      </c>
      <c r="F2244" s="2" t="e">
        <f t="shared" si="141"/>
        <v>#VALUE!</v>
      </c>
      <c r="G2244" s="13" t="e">
        <f t="shared" si="142"/>
        <v>#VALUE!</v>
      </c>
      <c r="J2244" t="str">
        <f>MAIN!A2249&amp;"B"</f>
        <v>B</v>
      </c>
      <c r="K2244" s="12" t="e">
        <f t="shared" si="143"/>
        <v>#VALUE!</v>
      </c>
      <c r="L2244" t="str">
        <f>MAIN!C2249</f>
        <v/>
      </c>
    </row>
    <row r="2245" spans="1:12" x14ac:dyDescent="0.3">
      <c r="A2245">
        <f>IF(J2245="0",0,IF(COUNTIF($J$2:J2245,J2245)=1,1,0))</f>
        <v>0</v>
      </c>
      <c r="B2245" s="12" t="e">
        <f>MID(MAIN!A2250,K2245,2)</f>
        <v>#VALUE!</v>
      </c>
      <c r="C2245" s="12" t="e">
        <f t="shared" si="140"/>
        <v>#VALUE!</v>
      </c>
      <c r="D2245" s="12" t="e">
        <f>MID(MAIN!A2250,K2245+2,2)</f>
        <v>#VALUE!</v>
      </c>
      <c r="E2245" s="12" t="e">
        <f>MID(MAIN!A2250,K2245+4,2)</f>
        <v>#VALUE!</v>
      </c>
      <c r="F2245" s="2" t="e">
        <f t="shared" si="141"/>
        <v>#VALUE!</v>
      </c>
      <c r="G2245" s="13" t="e">
        <f t="shared" si="142"/>
        <v>#VALUE!</v>
      </c>
      <c r="J2245" t="str">
        <f>MAIN!A2250&amp;"B"</f>
        <v>B</v>
      </c>
      <c r="K2245" s="12" t="e">
        <f t="shared" si="143"/>
        <v>#VALUE!</v>
      </c>
      <c r="L2245" t="str">
        <f>MAIN!C2250</f>
        <v/>
      </c>
    </row>
    <row r="2246" spans="1:12" x14ac:dyDescent="0.3">
      <c r="A2246">
        <f>IF(J2246="0",0,IF(COUNTIF($J$2:J2246,J2246)=1,1,0))</f>
        <v>0</v>
      </c>
      <c r="B2246" s="12" t="e">
        <f>MID(MAIN!A2251,K2246,2)</f>
        <v>#VALUE!</v>
      </c>
      <c r="C2246" s="12" t="e">
        <f t="shared" si="140"/>
        <v>#VALUE!</v>
      </c>
      <c r="D2246" s="12" t="e">
        <f>MID(MAIN!A2251,K2246+2,2)</f>
        <v>#VALUE!</v>
      </c>
      <c r="E2246" s="12" t="e">
        <f>MID(MAIN!A2251,K2246+4,2)</f>
        <v>#VALUE!</v>
      </c>
      <c r="F2246" s="2" t="e">
        <f t="shared" si="141"/>
        <v>#VALUE!</v>
      </c>
      <c r="G2246" s="13" t="e">
        <f t="shared" si="142"/>
        <v>#VALUE!</v>
      </c>
      <c r="J2246" t="str">
        <f>MAIN!A2251&amp;"B"</f>
        <v>B</v>
      </c>
      <c r="K2246" s="12" t="e">
        <f t="shared" si="143"/>
        <v>#VALUE!</v>
      </c>
      <c r="L2246" t="str">
        <f>MAIN!C2251</f>
        <v/>
      </c>
    </row>
    <row r="2247" spans="1:12" x14ac:dyDescent="0.3">
      <c r="A2247">
        <f>IF(J2247="0",0,IF(COUNTIF($J$2:J2247,J2247)=1,1,0))</f>
        <v>0</v>
      </c>
      <c r="B2247" s="12" t="e">
        <f>MID(MAIN!A2252,K2247,2)</f>
        <v>#VALUE!</v>
      </c>
      <c r="C2247" s="12" t="e">
        <f t="shared" si="140"/>
        <v>#VALUE!</v>
      </c>
      <c r="D2247" s="12" t="e">
        <f>MID(MAIN!A2252,K2247+2,2)</f>
        <v>#VALUE!</v>
      </c>
      <c r="E2247" s="12" t="e">
        <f>MID(MAIN!A2252,K2247+4,2)</f>
        <v>#VALUE!</v>
      </c>
      <c r="F2247" s="2" t="e">
        <f t="shared" si="141"/>
        <v>#VALUE!</v>
      </c>
      <c r="G2247" s="13" t="e">
        <f t="shared" si="142"/>
        <v>#VALUE!</v>
      </c>
      <c r="J2247" t="str">
        <f>MAIN!A2252&amp;"B"</f>
        <v>B</v>
      </c>
      <c r="K2247" s="12" t="e">
        <f t="shared" si="143"/>
        <v>#VALUE!</v>
      </c>
      <c r="L2247" t="str">
        <f>MAIN!C2252</f>
        <v/>
      </c>
    </row>
    <row r="2248" spans="1:12" x14ac:dyDescent="0.3">
      <c r="A2248">
        <f>IF(J2248="0",0,IF(COUNTIF($J$2:J2248,J2248)=1,1,0))</f>
        <v>0</v>
      </c>
      <c r="B2248" s="12" t="e">
        <f>MID(MAIN!A2253,K2248,2)</f>
        <v>#VALUE!</v>
      </c>
      <c r="C2248" s="12" t="e">
        <f t="shared" si="140"/>
        <v>#VALUE!</v>
      </c>
      <c r="D2248" s="12" t="e">
        <f>MID(MAIN!A2253,K2248+2,2)</f>
        <v>#VALUE!</v>
      </c>
      <c r="E2248" s="12" t="e">
        <f>MID(MAIN!A2253,K2248+4,2)</f>
        <v>#VALUE!</v>
      </c>
      <c r="F2248" s="2" t="e">
        <f t="shared" si="141"/>
        <v>#VALUE!</v>
      </c>
      <c r="G2248" s="13" t="e">
        <f t="shared" si="142"/>
        <v>#VALUE!</v>
      </c>
      <c r="J2248" t="str">
        <f>MAIN!A2253&amp;"B"</f>
        <v>B</v>
      </c>
      <c r="K2248" s="12" t="e">
        <f t="shared" si="143"/>
        <v>#VALUE!</v>
      </c>
      <c r="L2248" t="str">
        <f>MAIN!C2253</f>
        <v/>
      </c>
    </row>
    <row r="2249" spans="1:12" x14ac:dyDescent="0.3">
      <c r="A2249">
        <f>IF(J2249="0",0,IF(COUNTIF($J$2:J2249,J2249)=1,1,0))</f>
        <v>0</v>
      </c>
      <c r="B2249" s="12" t="e">
        <f>MID(MAIN!A2254,K2249,2)</f>
        <v>#VALUE!</v>
      </c>
      <c r="C2249" s="12" t="e">
        <f t="shared" si="140"/>
        <v>#VALUE!</v>
      </c>
      <c r="D2249" s="12" t="e">
        <f>MID(MAIN!A2254,K2249+2,2)</f>
        <v>#VALUE!</v>
      </c>
      <c r="E2249" s="12" t="e">
        <f>MID(MAIN!A2254,K2249+4,2)</f>
        <v>#VALUE!</v>
      </c>
      <c r="F2249" s="2" t="e">
        <f t="shared" si="141"/>
        <v>#VALUE!</v>
      </c>
      <c r="G2249" s="13" t="e">
        <f t="shared" si="142"/>
        <v>#VALUE!</v>
      </c>
      <c r="J2249" t="str">
        <f>MAIN!A2254&amp;"B"</f>
        <v>B</v>
      </c>
      <c r="K2249" s="12" t="e">
        <f t="shared" si="143"/>
        <v>#VALUE!</v>
      </c>
      <c r="L2249" t="str">
        <f>MAIN!C2254</f>
        <v/>
      </c>
    </row>
    <row r="2250" spans="1:12" x14ac:dyDescent="0.3">
      <c r="A2250">
        <f>IF(J2250="0",0,IF(COUNTIF($J$2:J2250,J2250)=1,1,0))</f>
        <v>0</v>
      </c>
      <c r="B2250" s="12" t="e">
        <f>MID(MAIN!A2255,K2250,2)</f>
        <v>#VALUE!</v>
      </c>
      <c r="C2250" s="12" t="e">
        <f t="shared" si="140"/>
        <v>#VALUE!</v>
      </c>
      <c r="D2250" s="12" t="e">
        <f>MID(MAIN!A2255,K2250+2,2)</f>
        <v>#VALUE!</v>
      </c>
      <c r="E2250" s="12" t="e">
        <f>MID(MAIN!A2255,K2250+4,2)</f>
        <v>#VALUE!</v>
      </c>
      <c r="F2250" s="2" t="e">
        <f t="shared" si="141"/>
        <v>#VALUE!</v>
      </c>
      <c r="G2250" s="13" t="e">
        <f t="shared" si="142"/>
        <v>#VALUE!</v>
      </c>
      <c r="J2250" t="str">
        <f>MAIN!A2255&amp;"B"</f>
        <v>B</v>
      </c>
      <c r="K2250" s="12" t="e">
        <f t="shared" si="143"/>
        <v>#VALUE!</v>
      </c>
      <c r="L2250" t="str">
        <f>MAIN!C2255</f>
        <v/>
      </c>
    </row>
    <row r="2251" spans="1:12" x14ac:dyDescent="0.3">
      <c r="A2251">
        <f>IF(J2251="0",0,IF(COUNTIF($J$2:J2251,J2251)=1,1,0))</f>
        <v>0</v>
      </c>
      <c r="B2251" s="12" t="e">
        <f>MID(MAIN!A2256,K2251,2)</f>
        <v>#VALUE!</v>
      </c>
      <c r="C2251" s="12" t="e">
        <f t="shared" si="140"/>
        <v>#VALUE!</v>
      </c>
      <c r="D2251" s="12" t="e">
        <f>MID(MAIN!A2256,K2251+2,2)</f>
        <v>#VALUE!</v>
      </c>
      <c r="E2251" s="12" t="e">
        <f>MID(MAIN!A2256,K2251+4,2)</f>
        <v>#VALUE!</v>
      </c>
      <c r="F2251" s="2" t="e">
        <f t="shared" si="141"/>
        <v>#VALUE!</v>
      </c>
      <c r="G2251" s="13" t="e">
        <f t="shared" si="142"/>
        <v>#VALUE!</v>
      </c>
      <c r="J2251" t="str">
        <f>MAIN!A2256&amp;"B"</f>
        <v>B</v>
      </c>
      <c r="K2251" s="12" t="e">
        <f t="shared" si="143"/>
        <v>#VALUE!</v>
      </c>
      <c r="L2251" t="str">
        <f>MAIN!C2256</f>
        <v/>
      </c>
    </row>
    <row r="2252" spans="1:12" x14ac:dyDescent="0.3">
      <c r="A2252">
        <f>IF(J2252="0",0,IF(COUNTIF($J$2:J2252,J2252)=1,1,0))</f>
        <v>0</v>
      </c>
      <c r="B2252" s="12" t="e">
        <f>MID(MAIN!A2257,K2252,2)</f>
        <v>#VALUE!</v>
      </c>
      <c r="C2252" s="12" t="e">
        <f t="shared" si="140"/>
        <v>#VALUE!</v>
      </c>
      <c r="D2252" s="12" t="e">
        <f>MID(MAIN!A2257,K2252+2,2)</f>
        <v>#VALUE!</v>
      </c>
      <c r="E2252" s="12" t="e">
        <f>MID(MAIN!A2257,K2252+4,2)</f>
        <v>#VALUE!</v>
      </c>
      <c r="F2252" s="2" t="e">
        <f t="shared" si="141"/>
        <v>#VALUE!</v>
      </c>
      <c r="G2252" s="13" t="e">
        <f t="shared" si="142"/>
        <v>#VALUE!</v>
      </c>
      <c r="J2252" t="str">
        <f>MAIN!A2257&amp;"B"</f>
        <v>B</v>
      </c>
      <c r="K2252" s="12" t="e">
        <f t="shared" si="143"/>
        <v>#VALUE!</v>
      </c>
      <c r="L2252" t="str">
        <f>MAIN!C2257</f>
        <v/>
      </c>
    </row>
    <row r="2253" spans="1:12" x14ac:dyDescent="0.3">
      <c r="A2253">
        <f>IF(J2253="0",0,IF(COUNTIF($J$2:J2253,J2253)=1,1,0))</f>
        <v>0</v>
      </c>
      <c r="B2253" s="12" t="e">
        <f>MID(MAIN!A2258,K2253,2)</f>
        <v>#VALUE!</v>
      </c>
      <c r="C2253" s="12" t="e">
        <f t="shared" si="140"/>
        <v>#VALUE!</v>
      </c>
      <c r="D2253" s="12" t="e">
        <f>MID(MAIN!A2258,K2253+2,2)</f>
        <v>#VALUE!</v>
      </c>
      <c r="E2253" s="12" t="e">
        <f>MID(MAIN!A2258,K2253+4,2)</f>
        <v>#VALUE!</v>
      </c>
      <c r="F2253" s="2" t="e">
        <f t="shared" si="141"/>
        <v>#VALUE!</v>
      </c>
      <c r="G2253" s="13" t="e">
        <f t="shared" si="142"/>
        <v>#VALUE!</v>
      </c>
      <c r="J2253" t="str">
        <f>MAIN!A2258&amp;"B"</f>
        <v>B</v>
      </c>
      <c r="K2253" s="12" t="e">
        <f t="shared" si="143"/>
        <v>#VALUE!</v>
      </c>
      <c r="L2253" t="str">
        <f>MAIN!C2258</f>
        <v/>
      </c>
    </row>
    <row r="2254" spans="1:12" x14ac:dyDescent="0.3">
      <c r="A2254">
        <f>IF(J2254="0",0,IF(COUNTIF($J$2:J2254,J2254)=1,1,0))</f>
        <v>0</v>
      </c>
      <c r="B2254" s="12" t="e">
        <f>MID(MAIN!A2259,K2254,2)</f>
        <v>#VALUE!</v>
      </c>
      <c r="C2254" s="12" t="e">
        <f t="shared" si="140"/>
        <v>#VALUE!</v>
      </c>
      <c r="D2254" s="12" t="e">
        <f>MID(MAIN!A2259,K2254+2,2)</f>
        <v>#VALUE!</v>
      </c>
      <c r="E2254" s="12" t="e">
        <f>MID(MAIN!A2259,K2254+4,2)</f>
        <v>#VALUE!</v>
      </c>
      <c r="F2254" s="2" t="e">
        <f t="shared" si="141"/>
        <v>#VALUE!</v>
      </c>
      <c r="G2254" s="13" t="e">
        <f t="shared" si="142"/>
        <v>#VALUE!</v>
      </c>
      <c r="J2254" t="str">
        <f>MAIN!A2259&amp;"B"</f>
        <v>B</v>
      </c>
      <c r="K2254" s="12" t="e">
        <f t="shared" si="143"/>
        <v>#VALUE!</v>
      </c>
      <c r="L2254" t="str">
        <f>MAIN!C2259</f>
        <v/>
      </c>
    </row>
    <row r="2255" spans="1:12" x14ac:dyDescent="0.3">
      <c r="A2255">
        <f>IF(J2255="0",0,IF(COUNTIF($J$2:J2255,J2255)=1,1,0))</f>
        <v>0</v>
      </c>
      <c r="B2255" s="12" t="e">
        <f>MID(MAIN!A2260,K2255,2)</f>
        <v>#VALUE!</v>
      </c>
      <c r="C2255" s="12" t="e">
        <f t="shared" si="140"/>
        <v>#VALUE!</v>
      </c>
      <c r="D2255" s="12" t="e">
        <f>MID(MAIN!A2260,K2255+2,2)</f>
        <v>#VALUE!</v>
      </c>
      <c r="E2255" s="12" t="e">
        <f>MID(MAIN!A2260,K2255+4,2)</f>
        <v>#VALUE!</v>
      </c>
      <c r="F2255" s="2" t="e">
        <f t="shared" si="141"/>
        <v>#VALUE!</v>
      </c>
      <c r="G2255" s="13" t="e">
        <f t="shared" si="142"/>
        <v>#VALUE!</v>
      </c>
      <c r="J2255" t="str">
        <f>MAIN!A2260&amp;"B"</f>
        <v>B</v>
      </c>
      <c r="K2255" s="12" t="e">
        <f t="shared" si="143"/>
        <v>#VALUE!</v>
      </c>
      <c r="L2255" t="str">
        <f>MAIN!C2260</f>
        <v/>
      </c>
    </row>
    <row r="2256" spans="1:12" x14ac:dyDescent="0.3">
      <c r="A2256">
        <f>IF(J2256="0",0,IF(COUNTIF($J$2:J2256,J2256)=1,1,0))</f>
        <v>0</v>
      </c>
      <c r="B2256" s="12" t="e">
        <f>MID(MAIN!A2261,K2256,2)</f>
        <v>#VALUE!</v>
      </c>
      <c r="C2256" s="12" t="e">
        <f t="shared" si="140"/>
        <v>#VALUE!</v>
      </c>
      <c r="D2256" s="12" t="e">
        <f>MID(MAIN!A2261,K2256+2,2)</f>
        <v>#VALUE!</v>
      </c>
      <c r="E2256" s="12" t="e">
        <f>MID(MAIN!A2261,K2256+4,2)</f>
        <v>#VALUE!</v>
      </c>
      <c r="F2256" s="2" t="e">
        <f t="shared" si="141"/>
        <v>#VALUE!</v>
      </c>
      <c r="G2256" s="13" t="e">
        <f t="shared" si="142"/>
        <v>#VALUE!</v>
      </c>
      <c r="J2256" t="str">
        <f>MAIN!A2261&amp;"B"</f>
        <v>B</v>
      </c>
      <c r="K2256" s="12" t="e">
        <f t="shared" si="143"/>
        <v>#VALUE!</v>
      </c>
      <c r="L2256" t="str">
        <f>MAIN!C2261</f>
        <v/>
      </c>
    </row>
    <row r="2257" spans="1:12" x14ac:dyDescent="0.3">
      <c r="A2257">
        <f>IF(J2257="0",0,IF(COUNTIF($J$2:J2257,J2257)=1,1,0))</f>
        <v>0</v>
      </c>
      <c r="B2257" s="12" t="e">
        <f>MID(MAIN!A2262,K2257,2)</f>
        <v>#VALUE!</v>
      </c>
      <c r="C2257" s="12" t="e">
        <f t="shared" si="140"/>
        <v>#VALUE!</v>
      </c>
      <c r="D2257" s="12" t="e">
        <f>MID(MAIN!A2262,K2257+2,2)</f>
        <v>#VALUE!</v>
      </c>
      <c r="E2257" s="12" t="e">
        <f>MID(MAIN!A2262,K2257+4,2)</f>
        <v>#VALUE!</v>
      </c>
      <c r="F2257" s="2" t="e">
        <f t="shared" si="141"/>
        <v>#VALUE!</v>
      </c>
      <c r="G2257" s="13" t="e">
        <f t="shared" si="142"/>
        <v>#VALUE!</v>
      </c>
      <c r="J2257" t="str">
        <f>MAIN!A2262&amp;"B"</f>
        <v>B</v>
      </c>
      <c r="K2257" s="12" t="e">
        <f t="shared" si="143"/>
        <v>#VALUE!</v>
      </c>
      <c r="L2257" t="str">
        <f>MAIN!C2262</f>
        <v/>
      </c>
    </row>
    <row r="2258" spans="1:12" x14ac:dyDescent="0.3">
      <c r="A2258">
        <f>IF(J2258="0",0,IF(COUNTIF($J$2:J2258,J2258)=1,1,0))</f>
        <v>0</v>
      </c>
      <c r="B2258" s="12" t="e">
        <f>MID(MAIN!A2263,K2258,2)</f>
        <v>#VALUE!</v>
      </c>
      <c r="C2258" s="12" t="e">
        <f t="shared" si="140"/>
        <v>#VALUE!</v>
      </c>
      <c r="D2258" s="12" t="e">
        <f>MID(MAIN!A2263,K2258+2,2)</f>
        <v>#VALUE!</v>
      </c>
      <c r="E2258" s="12" t="e">
        <f>MID(MAIN!A2263,K2258+4,2)</f>
        <v>#VALUE!</v>
      </c>
      <c r="F2258" s="2" t="e">
        <f t="shared" si="141"/>
        <v>#VALUE!</v>
      </c>
      <c r="G2258" s="13" t="e">
        <f t="shared" si="142"/>
        <v>#VALUE!</v>
      </c>
      <c r="J2258" t="str">
        <f>MAIN!A2263&amp;"B"</f>
        <v>B</v>
      </c>
      <c r="K2258" s="12" t="e">
        <f t="shared" si="143"/>
        <v>#VALUE!</v>
      </c>
      <c r="L2258" t="str">
        <f>MAIN!C2263</f>
        <v/>
      </c>
    </row>
    <row r="2259" spans="1:12" x14ac:dyDescent="0.3">
      <c r="A2259">
        <f>IF(J2259="0",0,IF(COUNTIF($J$2:J2259,J2259)=1,1,0))</f>
        <v>0</v>
      </c>
      <c r="B2259" s="12" t="e">
        <f>MID(MAIN!A2264,K2259,2)</f>
        <v>#VALUE!</v>
      </c>
      <c r="C2259" s="12" t="e">
        <f t="shared" si="140"/>
        <v>#VALUE!</v>
      </c>
      <c r="D2259" s="12" t="e">
        <f>MID(MAIN!A2264,K2259+2,2)</f>
        <v>#VALUE!</v>
      </c>
      <c r="E2259" s="12" t="e">
        <f>MID(MAIN!A2264,K2259+4,2)</f>
        <v>#VALUE!</v>
      </c>
      <c r="F2259" s="2" t="e">
        <f t="shared" si="141"/>
        <v>#VALUE!</v>
      </c>
      <c r="G2259" s="13" t="e">
        <f t="shared" si="142"/>
        <v>#VALUE!</v>
      </c>
      <c r="J2259" t="str">
        <f>MAIN!A2264&amp;"B"</f>
        <v>B</v>
      </c>
      <c r="K2259" s="12" t="e">
        <f t="shared" si="143"/>
        <v>#VALUE!</v>
      </c>
      <c r="L2259" t="str">
        <f>MAIN!C2264</f>
        <v/>
      </c>
    </row>
    <row r="2260" spans="1:12" x14ac:dyDescent="0.3">
      <c r="A2260">
        <f>IF(J2260="0",0,IF(COUNTIF($J$2:J2260,J2260)=1,1,0))</f>
        <v>0</v>
      </c>
      <c r="B2260" s="12" t="e">
        <f>MID(MAIN!A2265,K2260,2)</f>
        <v>#VALUE!</v>
      </c>
      <c r="C2260" s="12" t="e">
        <f t="shared" si="140"/>
        <v>#VALUE!</v>
      </c>
      <c r="D2260" s="12" t="e">
        <f>MID(MAIN!A2265,K2260+2,2)</f>
        <v>#VALUE!</v>
      </c>
      <c r="E2260" s="12" t="e">
        <f>MID(MAIN!A2265,K2260+4,2)</f>
        <v>#VALUE!</v>
      </c>
      <c r="F2260" s="2" t="e">
        <f t="shared" si="141"/>
        <v>#VALUE!</v>
      </c>
      <c r="G2260" s="13" t="e">
        <f t="shared" si="142"/>
        <v>#VALUE!</v>
      </c>
      <c r="J2260" t="str">
        <f>MAIN!A2265&amp;"B"</f>
        <v>B</v>
      </c>
      <c r="K2260" s="12" t="e">
        <f t="shared" si="143"/>
        <v>#VALUE!</v>
      </c>
      <c r="L2260" t="str">
        <f>MAIN!C2265</f>
        <v/>
      </c>
    </row>
    <row r="2261" spans="1:12" x14ac:dyDescent="0.3">
      <c r="A2261">
        <f>IF(J2261="0",0,IF(COUNTIF($J$2:J2261,J2261)=1,1,0))</f>
        <v>0</v>
      </c>
      <c r="B2261" s="12" t="e">
        <f>MID(MAIN!A2266,K2261,2)</f>
        <v>#VALUE!</v>
      </c>
      <c r="C2261" s="12" t="e">
        <f t="shared" si="140"/>
        <v>#VALUE!</v>
      </c>
      <c r="D2261" s="12" t="e">
        <f>MID(MAIN!A2266,K2261+2,2)</f>
        <v>#VALUE!</v>
      </c>
      <c r="E2261" s="12" t="e">
        <f>MID(MAIN!A2266,K2261+4,2)</f>
        <v>#VALUE!</v>
      </c>
      <c r="F2261" s="2" t="e">
        <f t="shared" si="141"/>
        <v>#VALUE!</v>
      </c>
      <c r="G2261" s="13" t="e">
        <f t="shared" si="142"/>
        <v>#VALUE!</v>
      </c>
      <c r="J2261" t="str">
        <f>MAIN!A2266&amp;"B"</f>
        <v>B</v>
      </c>
      <c r="K2261" s="12" t="e">
        <f t="shared" si="143"/>
        <v>#VALUE!</v>
      </c>
      <c r="L2261" t="str">
        <f>MAIN!C2266</f>
        <v/>
      </c>
    </row>
    <row r="2262" spans="1:12" x14ac:dyDescent="0.3">
      <c r="A2262">
        <f>IF(J2262="0",0,IF(COUNTIF($J$2:J2262,J2262)=1,1,0))</f>
        <v>0</v>
      </c>
      <c r="B2262" s="12" t="e">
        <f>MID(MAIN!A2267,K2262,2)</f>
        <v>#VALUE!</v>
      </c>
      <c r="C2262" s="12" t="e">
        <f t="shared" si="140"/>
        <v>#VALUE!</v>
      </c>
      <c r="D2262" s="12" t="e">
        <f>MID(MAIN!A2267,K2262+2,2)</f>
        <v>#VALUE!</v>
      </c>
      <c r="E2262" s="12" t="e">
        <f>MID(MAIN!A2267,K2262+4,2)</f>
        <v>#VALUE!</v>
      </c>
      <c r="F2262" s="2" t="e">
        <f t="shared" si="141"/>
        <v>#VALUE!</v>
      </c>
      <c r="G2262" s="13" t="e">
        <f t="shared" si="142"/>
        <v>#VALUE!</v>
      </c>
      <c r="J2262" t="str">
        <f>MAIN!A2267&amp;"B"</f>
        <v>B</v>
      </c>
      <c r="K2262" s="12" t="e">
        <f t="shared" si="143"/>
        <v>#VALUE!</v>
      </c>
      <c r="L2262" t="str">
        <f>MAIN!C2267</f>
        <v/>
      </c>
    </row>
    <row r="2263" spans="1:12" x14ac:dyDescent="0.3">
      <c r="A2263">
        <f>IF(J2263="0",0,IF(COUNTIF($J$2:J2263,J2263)=1,1,0))</f>
        <v>0</v>
      </c>
      <c r="B2263" s="12" t="e">
        <f>MID(MAIN!A2268,K2263,2)</f>
        <v>#VALUE!</v>
      </c>
      <c r="C2263" s="12" t="e">
        <f t="shared" si="140"/>
        <v>#VALUE!</v>
      </c>
      <c r="D2263" s="12" t="e">
        <f>MID(MAIN!A2268,K2263+2,2)</f>
        <v>#VALUE!</v>
      </c>
      <c r="E2263" s="12" t="e">
        <f>MID(MAIN!A2268,K2263+4,2)</f>
        <v>#VALUE!</v>
      </c>
      <c r="F2263" s="2" t="e">
        <f t="shared" si="141"/>
        <v>#VALUE!</v>
      </c>
      <c r="G2263" s="13" t="e">
        <f t="shared" si="142"/>
        <v>#VALUE!</v>
      </c>
      <c r="J2263" t="str">
        <f>MAIN!A2268&amp;"B"</f>
        <v>B</v>
      </c>
      <c r="K2263" s="12" t="e">
        <f t="shared" si="143"/>
        <v>#VALUE!</v>
      </c>
      <c r="L2263" t="str">
        <f>MAIN!C2268</f>
        <v/>
      </c>
    </row>
    <row r="2264" spans="1:12" x14ac:dyDescent="0.3">
      <c r="A2264">
        <f>IF(J2264="0",0,IF(COUNTIF($J$2:J2264,J2264)=1,1,0))</f>
        <v>0</v>
      </c>
      <c r="B2264" s="12" t="e">
        <f>MID(MAIN!A2269,K2264,2)</f>
        <v>#VALUE!</v>
      </c>
      <c r="C2264" s="12" t="e">
        <f t="shared" si="140"/>
        <v>#VALUE!</v>
      </c>
      <c r="D2264" s="12" t="e">
        <f>MID(MAIN!A2269,K2264+2,2)</f>
        <v>#VALUE!</v>
      </c>
      <c r="E2264" s="12" t="e">
        <f>MID(MAIN!A2269,K2264+4,2)</f>
        <v>#VALUE!</v>
      </c>
      <c r="F2264" s="2" t="e">
        <f t="shared" si="141"/>
        <v>#VALUE!</v>
      </c>
      <c r="G2264" s="13" t="e">
        <f t="shared" si="142"/>
        <v>#VALUE!</v>
      </c>
      <c r="J2264" t="str">
        <f>MAIN!A2269&amp;"B"</f>
        <v>B</v>
      </c>
      <c r="K2264" s="12" t="e">
        <f t="shared" si="143"/>
        <v>#VALUE!</v>
      </c>
      <c r="L2264" t="str">
        <f>MAIN!C2269</f>
        <v/>
      </c>
    </row>
    <row r="2265" spans="1:12" x14ac:dyDescent="0.3">
      <c r="A2265">
        <f>IF(J2265="0",0,IF(COUNTIF($J$2:J2265,J2265)=1,1,0))</f>
        <v>0</v>
      </c>
      <c r="B2265" s="12" t="e">
        <f>MID(MAIN!A2270,K2265,2)</f>
        <v>#VALUE!</v>
      </c>
      <c r="C2265" s="12" t="e">
        <f t="shared" si="140"/>
        <v>#VALUE!</v>
      </c>
      <c r="D2265" s="12" t="e">
        <f>MID(MAIN!A2270,K2265+2,2)</f>
        <v>#VALUE!</v>
      </c>
      <c r="E2265" s="12" t="e">
        <f>MID(MAIN!A2270,K2265+4,2)</f>
        <v>#VALUE!</v>
      </c>
      <c r="F2265" s="2" t="e">
        <f t="shared" si="141"/>
        <v>#VALUE!</v>
      </c>
      <c r="G2265" s="13" t="e">
        <f t="shared" si="142"/>
        <v>#VALUE!</v>
      </c>
      <c r="J2265" t="str">
        <f>MAIN!A2270&amp;"B"</f>
        <v>B</v>
      </c>
      <c r="K2265" s="12" t="e">
        <f t="shared" si="143"/>
        <v>#VALUE!</v>
      </c>
      <c r="L2265" t="str">
        <f>MAIN!C2270</f>
        <v/>
      </c>
    </row>
    <row r="2266" spans="1:12" x14ac:dyDescent="0.3">
      <c r="A2266">
        <f>IF(J2266="0",0,IF(COUNTIF($J$2:J2266,J2266)=1,1,0))</f>
        <v>0</v>
      </c>
      <c r="B2266" s="12" t="e">
        <f>MID(MAIN!A2271,K2266,2)</f>
        <v>#VALUE!</v>
      </c>
      <c r="C2266" s="12" t="e">
        <f t="shared" si="140"/>
        <v>#VALUE!</v>
      </c>
      <c r="D2266" s="12" t="e">
        <f>MID(MAIN!A2271,K2266+2,2)</f>
        <v>#VALUE!</v>
      </c>
      <c r="E2266" s="12" t="e">
        <f>MID(MAIN!A2271,K2266+4,2)</f>
        <v>#VALUE!</v>
      </c>
      <c r="F2266" s="2" t="e">
        <f t="shared" si="141"/>
        <v>#VALUE!</v>
      </c>
      <c r="G2266" s="13" t="e">
        <f t="shared" si="142"/>
        <v>#VALUE!</v>
      </c>
      <c r="J2266" t="str">
        <f>MAIN!A2271&amp;"B"</f>
        <v>B</v>
      </c>
      <c r="K2266" s="12" t="e">
        <f t="shared" si="143"/>
        <v>#VALUE!</v>
      </c>
      <c r="L2266" t="str">
        <f>MAIN!C2271</f>
        <v/>
      </c>
    </row>
    <row r="2267" spans="1:12" x14ac:dyDescent="0.3">
      <c r="A2267">
        <f>IF(J2267="0",0,IF(COUNTIF($J$2:J2267,J2267)=1,1,0))</f>
        <v>0</v>
      </c>
      <c r="B2267" s="12" t="e">
        <f>MID(MAIN!A2272,K2267,2)</f>
        <v>#VALUE!</v>
      </c>
      <c r="C2267" s="12" t="e">
        <f t="shared" si="140"/>
        <v>#VALUE!</v>
      </c>
      <c r="D2267" s="12" t="e">
        <f>MID(MAIN!A2272,K2267+2,2)</f>
        <v>#VALUE!</v>
      </c>
      <c r="E2267" s="12" t="e">
        <f>MID(MAIN!A2272,K2267+4,2)</f>
        <v>#VALUE!</v>
      </c>
      <c r="F2267" s="2" t="e">
        <f t="shared" si="141"/>
        <v>#VALUE!</v>
      </c>
      <c r="G2267" s="13" t="e">
        <f t="shared" si="142"/>
        <v>#VALUE!</v>
      </c>
      <c r="J2267" t="str">
        <f>MAIN!A2272&amp;"B"</f>
        <v>B</v>
      </c>
      <c r="K2267" s="12" t="e">
        <f t="shared" si="143"/>
        <v>#VALUE!</v>
      </c>
      <c r="L2267" t="str">
        <f>MAIN!C2272</f>
        <v/>
      </c>
    </row>
    <row r="2268" spans="1:12" x14ac:dyDescent="0.3">
      <c r="A2268">
        <f>IF(J2268="0",0,IF(COUNTIF($J$2:J2268,J2268)=1,1,0))</f>
        <v>0</v>
      </c>
      <c r="B2268" s="12" t="e">
        <f>MID(MAIN!A2273,K2268,2)</f>
        <v>#VALUE!</v>
      </c>
      <c r="C2268" s="12" t="e">
        <f t="shared" si="140"/>
        <v>#VALUE!</v>
      </c>
      <c r="D2268" s="12" t="e">
        <f>MID(MAIN!A2273,K2268+2,2)</f>
        <v>#VALUE!</v>
      </c>
      <c r="E2268" s="12" t="e">
        <f>MID(MAIN!A2273,K2268+4,2)</f>
        <v>#VALUE!</v>
      </c>
      <c r="F2268" s="2" t="e">
        <f t="shared" si="141"/>
        <v>#VALUE!</v>
      </c>
      <c r="G2268" s="13" t="e">
        <f t="shared" si="142"/>
        <v>#VALUE!</v>
      </c>
      <c r="J2268" t="str">
        <f>MAIN!A2273&amp;"B"</f>
        <v>B</v>
      </c>
      <c r="K2268" s="12" t="e">
        <f t="shared" si="143"/>
        <v>#VALUE!</v>
      </c>
      <c r="L2268" t="str">
        <f>MAIN!C2273</f>
        <v/>
      </c>
    </row>
    <row r="2269" spans="1:12" x14ac:dyDescent="0.3">
      <c r="A2269">
        <f>IF(J2269="0",0,IF(COUNTIF($J$2:J2269,J2269)=1,1,0))</f>
        <v>0</v>
      </c>
      <c r="B2269" s="12" t="e">
        <f>MID(MAIN!A2274,K2269,2)</f>
        <v>#VALUE!</v>
      </c>
      <c r="C2269" s="12" t="e">
        <f t="shared" si="140"/>
        <v>#VALUE!</v>
      </c>
      <c r="D2269" s="12" t="e">
        <f>MID(MAIN!A2274,K2269+2,2)</f>
        <v>#VALUE!</v>
      </c>
      <c r="E2269" s="12" t="e">
        <f>MID(MAIN!A2274,K2269+4,2)</f>
        <v>#VALUE!</v>
      </c>
      <c r="F2269" s="2" t="e">
        <f t="shared" si="141"/>
        <v>#VALUE!</v>
      </c>
      <c r="G2269" s="13" t="e">
        <f t="shared" si="142"/>
        <v>#VALUE!</v>
      </c>
      <c r="J2269" t="str">
        <f>MAIN!A2274&amp;"B"</f>
        <v>B</v>
      </c>
      <c r="K2269" s="12" t="e">
        <f t="shared" si="143"/>
        <v>#VALUE!</v>
      </c>
      <c r="L2269" t="str">
        <f>MAIN!C2274</f>
        <v/>
      </c>
    </row>
    <row r="2270" spans="1:12" x14ac:dyDescent="0.3">
      <c r="A2270">
        <f>IF(J2270="0",0,IF(COUNTIF($J$2:J2270,J2270)=1,1,0))</f>
        <v>0</v>
      </c>
      <c r="B2270" s="12" t="e">
        <f>MID(MAIN!A2275,K2270,2)</f>
        <v>#VALUE!</v>
      </c>
      <c r="C2270" s="12" t="e">
        <f t="shared" si="140"/>
        <v>#VALUE!</v>
      </c>
      <c r="D2270" s="12" t="e">
        <f>MID(MAIN!A2275,K2270+2,2)</f>
        <v>#VALUE!</v>
      </c>
      <c r="E2270" s="12" t="e">
        <f>MID(MAIN!A2275,K2270+4,2)</f>
        <v>#VALUE!</v>
      </c>
      <c r="F2270" s="2" t="e">
        <f t="shared" si="141"/>
        <v>#VALUE!</v>
      </c>
      <c r="G2270" s="13" t="e">
        <f t="shared" si="142"/>
        <v>#VALUE!</v>
      </c>
      <c r="J2270" t="str">
        <f>MAIN!A2275&amp;"B"</f>
        <v>B</v>
      </c>
      <c r="K2270" s="12" t="e">
        <f t="shared" si="143"/>
        <v>#VALUE!</v>
      </c>
      <c r="L2270" t="str">
        <f>MAIN!C2275</f>
        <v/>
      </c>
    </row>
    <row r="2271" spans="1:12" x14ac:dyDescent="0.3">
      <c r="A2271">
        <f>IF(J2271="0",0,IF(COUNTIF($J$2:J2271,J2271)=1,1,0))</f>
        <v>0</v>
      </c>
      <c r="B2271" s="12" t="e">
        <f>MID(MAIN!A2276,K2271,2)</f>
        <v>#VALUE!</v>
      </c>
      <c r="C2271" s="12" t="e">
        <f t="shared" si="140"/>
        <v>#VALUE!</v>
      </c>
      <c r="D2271" s="12" t="e">
        <f>MID(MAIN!A2276,K2271+2,2)</f>
        <v>#VALUE!</v>
      </c>
      <c r="E2271" s="12" t="e">
        <f>MID(MAIN!A2276,K2271+4,2)</f>
        <v>#VALUE!</v>
      </c>
      <c r="F2271" s="2" t="e">
        <f t="shared" si="141"/>
        <v>#VALUE!</v>
      </c>
      <c r="G2271" s="13" t="e">
        <f t="shared" si="142"/>
        <v>#VALUE!</v>
      </c>
      <c r="J2271" t="str">
        <f>MAIN!A2276&amp;"B"</f>
        <v>B</v>
      </c>
      <c r="K2271" s="12" t="e">
        <f t="shared" si="143"/>
        <v>#VALUE!</v>
      </c>
      <c r="L2271" t="str">
        <f>MAIN!C2276</f>
        <v/>
      </c>
    </row>
    <row r="2272" spans="1:12" x14ac:dyDescent="0.3">
      <c r="A2272">
        <f>IF(J2272="0",0,IF(COUNTIF($J$2:J2272,J2272)=1,1,0))</f>
        <v>0</v>
      </c>
      <c r="B2272" s="12" t="e">
        <f>MID(MAIN!A2277,K2272,2)</f>
        <v>#VALUE!</v>
      </c>
      <c r="C2272" s="12" t="e">
        <f t="shared" si="140"/>
        <v>#VALUE!</v>
      </c>
      <c r="D2272" s="12" t="e">
        <f>MID(MAIN!A2277,K2272+2,2)</f>
        <v>#VALUE!</v>
      </c>
      <c r="E2272" s="12" t="e">
        <f>MID(MAIN!A2277,K2272+4,2)</f>
        <v>#VALUE!</v>
      </c>
      <c r="F2272" s="2" t="e">
        <f t="shared" si="141"/>
        <v>#VALUE!</v>
      </c>
      <c r="G2272" s="13" t="e">
        <f t="shared" si="142"/>
        <v>#VALUE!</v>
      </c>
      <c r="J2272" t="str">
        <f>MAIN!A2277&amp;"B"</f>
        <v>B</v>
      </c>
      <c r="K2272" s="12" t="e">
        <f t="shared" si="143"/>
        <v>#VALUE!</v>
      </c>
      <c r="L2272" t="str">
        <f>MAIN!C2277</f>
        <v/>
      </c>
    </row>
    <row r="2273" spans="1:12" x14ac:dyDescent="0.3">
      <c r="A2273">
        <f>IF(J2273="0",0,IF(COUNTIF($J$2:J2273,J2273)=1,1,0))</f>
        <v>0</v>
      </c>
      <c r="B2273" s="12" t="e">
        <f>MID(MAIN!A2278,K2273,2)</f>
        <v>#VALUE!</v>
      </c>
      <c r="C2273" s="12" t="e">
        <f t="shared" si="140"/>
        <v>#VALUE!</v>
      </c>
      <c r="D2273" s="12" t="e">
        <f>MID(MAIN!A2278,K2273+2,2)</f>
        <v>#VALUE!</v>
      </c>
      <c r="E2273" s="12" t="e">
        <f>MID(MAIN!A2278,K2273+4,2)</f>
        <v>#VALUE!</v>
      </c>
      <c r="F2273" s="2" t="e">
        <f t="shared" si="141"/>
        <v>#VALUE!</v>
      </c>
      <c r="G2273" s="13" t="e">
        <f t="shared" si="142"/>
        <v>#VALUE!</v>
      </c>
      <c r="J2273" t="str">
        <f>MAIN!A2278&amp;"B"</f>
        <v>B</v>
      </c>
      <c r="K2273" s="12" t="e">
        <f t="shared" si="143"/>
        <v>#VALUE!</v>
      </c>
      <c r="L2273" t="str">
        <f>MAIN!C2278</f>
        <v/>
      </c>
    </row>
    <row r="2274" spans="1:12" x14ac:dyDescent="0.3">
      <c r="A2274">
        <f>IF(J2274="0",0,IF(COUNTIF($J$2:J2274,J2274)=1,1,0))</f>
        <v>0</v>
      </c>
      <c r="B2274" s="12" t="e">
        <f>MID(MAIN!A2279,K2274,2)</f>
        <v>#VALUE!</v>
      </c>
      <c r="C2274" s="12" t="e">
        <f t="shared" si="140"/>
        <v>#VALUE!</v>
      </c>
      <c r="D2274" s="12" t="e">
        <f>MID(MAIN!A2279,K2274+2,2)</f>
        <v>#VALUE!</v>
      </c>
      <c r="E2274" s="12" t="e">
        <f>MID(MAIN!A2279,K2274+4,2)</f>
        <v>#VALUE!</v>
      </c>
      <c r="F2274" s="2" t="e">
        <f t="shared" si="141"/>
        <v>#VALUE!</v>
      </c>
      <c r="G2274" s="13" t="e">
        <f t="shared" si="142"/>
        <v>#VALUE!</v>
      </c>
      <c r="J2274" t="str">
        <f>MAIN!A2279&amp;"B"</f>
        <v>B</v>
      </c>
      <c r="K2274" s="12" t="e">
        <f t="shared" si="143"/>
        <v>#VALUE!</v>
      </c>
      <c r="L2274" t="str">
        <f>MAIN!C2279</f>
        <v/>
      </c>
    </row>
    <row r="2275" spans="1:12" x14ac:dyDescent="0.3">
      <c r="A2275">
        <f>IF(J2275="0",0,IF(COUNTIF($J$2:J2275,J2275)=1,1,0))</f>
        <v>0</v>
      </c>
      <c r="B2275" s="12" t="e">
        <f>MID(MAIN!A2280,K2275,2)</f>
        <v>#VALUE!</v>
      </c>
      <c r="C2275" s="12" t="e">
        <f t="shared" si="140"/>
        <v>#VALUE!</v>
      </c>
      <c r="D2275" s="12" t="e">
        <f>MID(MAIN!A2280,K2275+2,2)</f>
        <v>#VALUE!</v>
      </c>
      <c r="E2275" s="12" t="e">
        <f>MID(MAIN!A2280,K2275+4,2)</f>
        <v>#VALUE!</v>
      </c>
      <c r="F2275" s="2" t="e">
        <f t="shared" si="141"/>
        <v>#VALUE!</v>
      </c>
      <c r="G2275" s="13" t="e">
        <f t="shared" si="142"/>
        <v>#VALUE!</v>
      </c>
      <c r="J2275" t="str">
        <f>MAIN!A2280&amp;"B"</f>
        <v>B</v>
      </c>
      <c r="K2275" s="12" t="e">
        <f t="shared" si="143"/>
        <v>#VALUE!</v>
      </c>
      <c r="L2275" t="str">
        <f>MAIN!C2280</f>
        <v/>
      </c>
    </row>
    <row r="2276" spans="1:12" x14ac:dyDescent="0.3">
      <c r="A2276">
        <f>IF(J2276="0",0,IF(COUNTIF($J$2:J2276,J2276)=1,1,0))</f>
        <v>0</v>
      </c>
      <c r="B2276" s="12" t="e">
        <f>MID(MAIN!A2281,K2276,2)</f>
        <v>#VALUE!</v>
      </c>
      <c r="C2276" s="12" t="e">
        <f t="shared" si="140"/>
        <v>#VALUE!</v>
      </c>
      <c r="D2276" s="12" t="e">
        <f>MID(MAIN!A2281,K2276+2,2)</f>
        <v>#VALUE!</v>
      </c>
      <c r="E2276" s="12" t="e">
        <f>MID(MAIN!A2281,K2276+4,2)</f>
        <v>#VALUE!</v>
      </c>
      <c r="F2276" s="2" t="e">
        <f t="shared" si="141"/>
        <v>#VALUE!</v>
      </c>
      <c r="G2276" s="13" t="e">
        <f t="shared" si="142"/>
        <v>#VALUE!</v>
      </c>
      <c r="J2276" t="str">
        <f>MAIN!A2281&amp;"B"</f>
        <v>B</v>
      </c>
      <c r="K2276" s="12" t="e">
        <f t="shared" si="143"/>
        <v>#VALUE!</v>
      </c>
      <c r="L2276" t="str">
        <f>MAIN!C2281</f>
        <v/>
      </c>
    </row>
    <row r="2277" spans="1:12" x14ac:dyDescent="0.3">
      <c r="A2277">
        <f>IF(J2277="0",0,IF(COUNTIF($J$2:J2277,J2277)=1,1,0))</f>
        <v>0</v>
      </c>
      <c r="B2277" s="12" t="e">
        <f>MID(MAIN!A2282,K2277,2)</f>
        <v>#VALUE!</v>
      </c>
      <c r="C2277" s="12" t="e">
        <f t="shared" si="140"/>
        <v>#VALUE!</v>
      </c>
      <c r="D2277" s="12" t="e">
        <f>MID(MAIN!A2282,K2277+2,2)</f>
        <v>#VALUE!</v>
      </c>
      <c r="E2277" s="12" t="e">
        <f>MID(MAIN!A2282,K2277+4,2)</f>
        <v>#VALUE!</v>
      </c>
      <c r="F2277" s="2" t="e">
        <f t="shared" si="141"/>
        <v>#VALUE!</v>
      </c>
      <c r="G2277" s="13" t="e">
        <f t="shared" si="142"/>
        <v>#VALUE!</v>
      </c>
      <c r="J2277" t="str">
        <f>MAIN!A2282&amp;"B"</f>
        <v>B</v>
      </c>
      <c r="K2277" s="12" t="e">
        <f t="shared" si="143"/>
        <v>#VALUE!</v>
      </c>
      <c r="L2277" t="str">
        <f>MAIN!C2282</f>
        <v/>
      </c>
    </row>
    <row r="2278" spans="1:12" x14ac:dyDescent="0.3">
      <c r="A2278">
        <f>IF(J2278="0",0,IF(COUNTIF($J$2:J2278,J2278)=1,1,0))</f>
        <v>0</v>
      </c>
      <c r="B2278" s="12" t="e">
        <f>MID(MAIN!A2283,K2278,2)</f>
        <v>#VALUE!</v>
      </c>
      <c r="C2278" s="12" t="e">
        <f t="shared" si="140"/>
        <v>#VALUE!</v>
      </c>
      <c r="D2278" s="12" t="e">
        <f>MID(MAIN!A2283,K2278+2,2)</f>
        <v>#VALUE!</v>
      </c>
      <c r="E2278" s="12" t="e">
        <f>MID(MAIN!A2283,K2278+4,2)</f>
        <v>#VALUE!</v>
      </c>
      <c r="F2278" s="2" t="e">
        <f t="shared" si="141"/>
        <v>#VALUE!</v>
      </c>
      <c r="G2278" s="13" t="e">
        <f t="shared" si="142"/>
        <v>#VALUE!</v>
      </c>
      <c r="J2278" t="str">
        <f>MAIN!A2283&amp;"B"</f>
        <v>B</v>
      </c>
      <c r="K2278" s="12" t="e">
        <f t="shared" si="143"/>
        <v>#VALUE!</v>
      </c>
      <c r="L2278" t="str">
        <f>MAIN!C2283</f>
        <v/>
      </c>
    </row>
    <row r="2279" spans="1:12" x14ac:dyDescent="0.3">
      <c r="A2279">
        <f>IF(J2279="0",0,IF(COUNTIF($J$2:J2279,J2279)=1,1,0))</f>
        <v>0</v>
      </c>
      <c r="B2279" s="12" t="e">
        <f>MID(MAIN!A2284,K2279,2)</f>
        <v>#VALUE!</v>
      </c>
      <c r="C2279" s="12" t="e">
        <f t="shared" si="140"/>
        <v>#VALUE!</v>
      </c>
      <c r="D2279" s="12" t="e">
        <f>MID(MAIN!A2284,K2279+2,2)</f>
        <v>#VALUE!</v>
      </c>
      <c r="E2279" s="12" t="e">
        <f>MID(MAIN!A2284,K2279+4,2)</f>
        <v>#VALUE!</v>
      </c>
      <c r="F2279" s="2" t="e">
        <f t="shared" si="141"/>
        <v>#VALUE!</v>
      </c>
      <c r="G2279" s="13" t="e">
        <f t="shared" si="142"/>
        <v>#VALUE!</v>
      </c>
      <c r="J2279" t="str">
        <f>MAIN!A2284&amp;"B"</f>
        <v>B</v>
      </c>
      <c r="K2279" s="12" t="e">
        <f t="shared" si="143"/>
        <v>#VALUE!</v>
      </c>
      <c r="L2279" t="str">
        <f>MAIN!C2284</f>
        <v/>
      </c>
    </row>
    <row r="2280" spans="1:12" x14ac:dyDescent="0.3">
      <c r="A2280">
        <f>IF(J2280="0",0,IF(COUNTIF($J$2:J2280,J2280)=1,1,0))</f>
        <v>0</v>
      </c>
      <c r="B2280" s="12" t="e">
        <f>MID(MAIN!A2285,K2280,2)</f>
        <v>#VALUE!</v>
      </c>
      <c r="C2280" s="12" t="e">
        <f t="shared" si="140"/>
        <v>#VALUE!</v>
      </c>
      <c r="D2280" s="12" t="e">
        <f>MID(MAIN!A2285,K2280+2,2)</f>
        <v>#VALUE!</v>
      </c>
      <c r="E2280" s="12" t="e">
        <f>MID(MAIN!A2285,K2280+4,2)</f>
        <v>#VALUE!</v>
      </c>
      <c r="F2280" s="2" t="e">
        <f t="shared" si="141"/>
        <v>#VALUE!</v>
      </c>
      <c r="G2280" s="13" t="e">
        <f t="shared" si="142"/>
        <v>#VALUE!</v>
      </c>
      <c r="J2280" t="str">
        <f>MAIN!A2285&amp;"B"</f>
        <v>B</v>
      </c>
      <c r="K2280" s="12" t="e">
        <f t="shared" si="143"/>
        <v>#VALUE!</v>
      </c>
      <c r="L2280" t="str">
        <f>MAIN!C2285</f>
        <v/>
      </c>
    </row>
    <row r="2281" spans="1:12" x14ac:dyDescent="0.3">
      <c r="A2281">
        <f>IF(J2281="0",0,IF(COUNTIF($J$2:J2281,J2281)=1,1,0))</f>
        <v>0</v>
      </c>
      <c r="B2281" s="12" t="e">
        <f>MID(MAIN!A2286,K2281,2)</f>
        <v>#VALUE!</v>
      </c>
      <c r="C2281" s="12" t="e">
        <f t="shared" si="140"/>
        <v>#VALUE!</v>
      </c>
      <c r="D2281" s="12" t="e">
        <f>MID(MAIN!A2286,K2281+2,2)</f>
        <v>#VALUE!</v>
      </c>
      <c r="E2281" s="12" t="e">
        <f>MID(MAIN!A2286,K2281+4,2)</f>
        <v>#VALUE!</v>
      </c>
      <c r="F2281" s="2" t="e">
        <f t="shared" si="141"/>
        <v>#VALUE!</v>
      </c>
      <c r="G2281" s="13" t="e">
        <f t="shared" si="142"/>
        <v>#VALUE!</v>
      </c>
      <c r="J2281" t="str">
        <f>MAIN!A2286&amp;"B"</f>
        <v>B</v>
      </c>
      <c r="K2281" s="12" t="e">
        <f t="shared" si="143"/>
        <v>#VALUE!</v>
      </c>
      <c r="L2281" t="str">
        <f>MAIN!C2286</f>
        <v/>
      </c>
    </row>
    <row r="2282" spans="1:12" x14ac:dyDescent="0.3">
      <c r="A2282">
        <f>IF(J2282="0",0,IF(COUNTIF($J$2:J2282,J2282)=1,1,0))</f>
        <v>0</v>
      </c>
      <c r="B2282" s="12" t="e">
        <f>MID(MAIN!A2287,K2282,2)</f>
        <v>#VALUE!</v>
      </c>
      <c r="C2282" s="12" t="e">
        <f t="shared" si="140"/>
        <v>#VALUE!</v>
      </c>
      <c r="D2282" s="12" t="e">
        <f>MID(MAIN!A2287,K2282+2,2)</f>
        <v>#VALUE!</v>
      </c>
      <c r="E2282" s="12" t="e">
        <f>MID(MAIN!A2287,K2282+4,2)</f>
        <v>#VALUE!</v>
      </c>
      <c r="F2282" s="2" t="e">
        <f t="shared" si="141"/>
        <v>#VALUE!</v>
      </c>
      <c r="G2282" s="13" t="e">
        <f t="shared" si="142"/>
        <v>#VALUE!</v>
      </c>
      <c r="J2282" t="str">
        <f>MAIN!A2287&amp;"B"</f>
        <v>B</v>
      </c>
      <c r="K2282" s="12" t="e">
        <f t="shared" si="143"/>
        <v>#VALUE!</v>
      </c>
      <c r="L2282" t="str">
        <f>MAIN!C2287</f>
        <v/>
      </c>
    </row>
    <row r="2283" spans="1:12" x14ac:dyDescent="0.3">
      <c r="A2283">
        <f>IF(J2283="0",0,IF(COUNTIF($J$2:J2283,J2283)=1,1,0))</f>
        <v>0</v>
      </c>
      <c r="B2283" s="12" t="e">
        <f>MID(MAIN!A2288,K2283,2)</f>
        <v>#VALUE!</v>
      </c>
      <c r="C2283" s="12" t="e">
        <f t="shared" si="140"/>
        <v>#VALUE!</v>
      </c>
      <c r="D2283" s="12" t="e">
        <f>MID(MAIN!A2288,K2283+2,2)</f>
        <v>#VALUE!</v>
      </c>
      <c r="E2283" s="12" t="e">
        <f>MID(MAIN!A2288,K2283+4,2)</f>
        <v>#VALUE!</v>
      </c>
      <c r="F2283" s="2" t="e">
        <f t="shared" si="141"/>
        <v>#VALUE!</v>
      </c>
      <c r="G2283" s="13" t="e">
        <f t="shared" si="142"/>
        <v>#VALUE!</v>
      </c>
      <c r="J2283" t="str">
        <f>MAIN!A2288&amp;"B"</f>
        <v>B</v>
      </c>
      <c r="K2283" s="12" t="e">
        <f t="shared" si="143"/>
        <v>#VALUE!</v>
      </c>
      <c r="L2283" t="str">
        <f>MAIN!C2288</f>
        <v/>
      </c>
    </row>
    <row r="2284" spans="1:12" x14ac:dyDescent="0.3">
      <c r="A2284">
        <f>IF(J2284="0",0,IF(COUNTIF($J$2:J2284,J2284)=1,1,0))</f>
        <v>0</v>
      </c>
      <c r="B2284" s="12" t="e">
        <f>MID(MAIN!A2289,K2284,2)</f>
        <v>#VALUE!</v>
      </c>
      <c r="C2284" s="12" t="e">
        <f t="shared" si="140"/>
        <v>#VALUE!</v>
      </c>
      <c r="D2284" s="12" t="e">
        <f>MID(MAIN!A2289,K2284+2,2)</f>
        <v>#VALUE!</v>
      </c>
      <c r="E2284" s="12" t="e">
        <f>MID(MAIN!A2289,K2284+4,2)</f>
        <v>#VALUE!</v>
      </c>
      <c r="F2284" s="2" t="e">
        <f t="shared" si="141"/>
        <v>#VALUE!</v>
      </c>
      <c r="G2284" s="13" t="e">
        <f t="shared" si="142"/>
        <v>#VALUE!</v>
      </c>
      <c r="J2284" t="str">
        <f>MAIN!A2289&amp;"B"</f>
        <v>B</v>
      </c>
      <c r="K2284" s="12" t="e">
        <f t="shared" si="143"/>
        <v>#VALUE!</v>
      </c>
      <c r="L2284" t="str">
        <f>MAIN!C2289</f>
        <v/>
      </c>
    </row>
    <row r="2285" spans="1:12" x14ac:dyDescent="0.3">
      <c r="A2285">
        <f>IF(J2285="0",0,IF(COUNTIF($J$2:J2285,J2285)=1,1,0))</f>
        <v>0</v>
      </c>
      <c r="B2285" s="12" t="e">
        <f>MID(MAIN!A2290,K2285,2)</f>
        <v>#VALUE!</v>
      </c>
      <c r="C2285" s="12" t="e">
        <f t="shared" si="140"/>
        <v>#VALUE!</v>
      </c>
      <c r="D2285" s="12" t="e">
        <f>MID(MAIN!A2290,K2285+2,2)</f>
        <v>#VALUE!</v>
      </c>
      <c r="E2285" s="12" t="e">
        <f>MID(MAIN!A2290,K2285+4,2)</f>
        <v>#VALUE!</v>
      </c>
      <c r="F2285" s="2" t="e">
        <f t="shared" si="141"/>
        <v>#VALUE!</v>
      </c>
      <c r="G2285" s="13" t="e">
        <f t="shared" si="142"/>
        <v>#VALUE!</v>
      </c>
      <c r="J2285" t="str">
        <f>MAIN!A2290&amp;"B"</f>
        <v>B</v>
      </c>
      <c r="K2285" s="12" t="e">
        <f t="shared" si="143"/>
        <v>#VALUE!</v>
      </c>
      <c r="L2285" t="str">
        <f>MAIN!C2290</f>
        <v/>
      </c>
    </row>
    <row r="2286" spans="1:12" x14ac:dyDescent="0.3">
      <c r="A2286">
        <f>IF(J2286="0",0,IF(COUNTIF($J$2:J2286,J2286)=1,1,0))</f>
        <v>0</v>
      </c>
      <c r="B2286" s="12" t="e">
        <f>MID(MAIN!A2291,K2286,2)</f>
        <v>#VALUE!</v>
      </c>
      <c r="C2286" s="12" t="e">
        <f t="shared" si="140"/>
        <v>#VALUE!</v>
      </c>
      <c r="D2286" s="12" t="e">
        <f>MID(MAIN!A2291,K2286+2,2)</f>
        <v>#VALUE!</v>
      </c>
      <c r="E2286" s="12" t="e">
        <f>MID(MAIN!A2291,K2286+4,2)</f>
        <v>#VALUE!</v>
      </c>
      <c r="F2286" s="2" t="e">
        <f t="shared" si="141"/>
        <v>#VALUE!</v>
      </c>
      <c r="G2286" s="13" t="e">
        <f t="shared" si="142"/>
        <v>#VALUE!</v>
      </c>
      <c r="J2286" t="str">
        <f>MAIN!A2291&amp;"B"</f>
        <v>B</v>
      </c>
      <c r="K2286" s="12" t="e">
        <f t="shared" si="143"/>
        <v>#VALUE!</v>
      </c>
      <c r="L2286" t="str">
        <f>MAIN!C2291</f>
        <v/>
      </c>
    </row>
    <row r="2287" spans="1:12" x14ac:dyDescent="0.3">
      <c r="A2287">
        <f>IF(J2287="0",0,IF(COUNTIF($J$2:J2287,J2287)=1,1,0))</f>
        <v>0</v>
      </c>
      <c r="B2287" s="12" t="e">
        <f>MID(MAIN!A2292,K2287,2)</f>
        <v>#VALUE!</v>
      </c>
      <c r="C2287" s="12" t="e">
        <f t="shared" si="140"/>
        <v>#VALUE!</v>
      </c>
      <c r="D2287" s="12" t="e">
        <f>MID(MAIN!A2292,K2287+2,2)</f>
        <v>#VALUE!</v>
      </c>
      <c r="E2287" s="12" t="e">
        <f>MID(MAIN!A2292,K2287+4,2)</f>
        <v>#VALUE!</v>
      </c>
      <c r="F2287" s="2" t="e">
        <f t="shared" si="141"/>
        <v>#VALUE!</v>
      </c>
      <c r="G2287" s="13" t="e">
        <f t="shared" si="142"/>
        <v>#VALUE!</v>
      </c>
      <c r="J2287" t="str">
        <f>MAIN!A2292&amp;"B"</f>
        <v>B</v>
      </c>
      <c r="K2287" s="12" t="e">
        <f t="shared" si="143"/>
        <v>#VALUE!</v>
      </c>
      <c r="L2287" t="str">
        <f>MAIN!C2292</f>
        <v/>
      </c>
    </row>
    <row r="2288" spans="1:12" x14ac:dyDescent="0.3">
      <c r="A2288">
        <f>IF(J2288="0",0,IF(COUNTIF($J$2:J2288,J2288)=1,1,0))</f>
        <v>0</v>
      </c>
      <c r="B2288" s="12" t="e">
        <f>MID(MAIN!A2293,K2288,2)</f>
        <v>#VALUE!</v>
      </c>
      <c r="C2288" s="12" t="e">
        <f t="shared" si="140"/>
        <v>#VALUE!</v>
      </c>
      <c r="D2288" s="12" t="e">
        <f>MID(MAIN!A2293,K2288+2,2)</f>
        <v>#VALUE!</v>
      </c>
      <c r="E2288" s="12" t="e">
        <f>MID(MAIN!A2293,K2288+4,2)</f>
        <v>#VALUE!</v>
      </c>
      <c r="F2288" s="2" t="e">
        <f t="shared" si="141"/>
        <v>#VALUE!</v>
      </c>
      <c r="G2288" s="13" t="e">
        <f t="shared" si="142"/>
        <v>#VALUE!</v>
      </c>
      <c r="J2288" t="str">
        <f>MAIN!A2293&amp;"B"</f>
        <v>B</v>
      </c>
      <c r="K2288" s="12" t="e">
        <f t="shared" si="143"/>
        <v>#VALUE!</v>
      </c>
      <c r="L2288" t="str">
        <f>MAIN!C2293</f>
        <v/>
      </c>
    </row>
    <row r="2289" spans="1:12" x14ac:dyDescent="0.3">
      <c r="A2289">
        <f>IF(J2289="0",0,IF(COUNTIF($J$2:J2289,J2289)=1,1,0))</f>
        <v>0</v>
      </c>
      <c r="B2289" s="12" t="e">
        <f>MID(MAIN!A2294,K2289,2)</f>
        <v>#VALUE!</v>
      </c>
      <c r="C2289" s="12" t="e">
        <f t="shared" si="140"/>
        <v>#VALUE!</v>
      </c>
      <c r="D2289" s="12" t="e">
        <f>MID(MAIN!A2294,K2289+2,2)</f>
        <v>#VALUE!</v>
      </c>
      <c r="E2289" s="12" t="e">
        <f>MID(MAIN!A2294,K2289+4,2)</f>
        <v>#VALUE!</v>
      </c>
      <c r="F2289" s="2" t="e">
        <f t="shared" si="141"/>
        <v>#VALUE!</v>
      </c>
      <c r="G2289" s="13" t="e">
        <f t="shared" si="142"/>
        <v>#VALUE!</v>
      </c>
      <c r="J2289" t="str">
        <f>MAIN!A2294&amp;"B"</f>
        <v>B</v>
      </c>
      <c r="K2289" s="12" t="e">
        <f t="shared" si="143"/>
        <v>#VALUE!</v>
      </c>
      <c r="L2289" t="str">
        <f>MAIN!C2294</f>
        <v/>
      </c>
    </row>
    <row r="2290" spans="1:12" x14ac:dyDescent="0.3">
      <c r="A2290">
        <f>IF(J2290="0",0,IF(COUNTIF($J$2:J2290,J2290)=1,1,0))</f>
        <v>0</v>
      </c>
      <c r="B2290" s="12" t="e">
        <f>MID(MAIN!A2295,K2290,2)</f>
        <v>#VALUE!</v>
      </c>
      <c r="C2290" s="12" t="e">
        <f t="shared" si="140"/>
        <v>#VALUE!</v>
      </c>
      <c r="D2290" s="12" t="e">
        <f>MID(MAIN!A2295,K2290+2,2)</f>
        <v>#VALUE!</v>
      </c>
      <c r="E2290" s="12" t="e">
        <f>MID(MAIN!A2295,K2290+4,2)</f>
        <v>#VALUE!</v>
      </c>
      <c r="F2290" s="2" t="e">
        <f t="shared" si="141"/>
        <v>#VALUE!</v>
      </c>
      <c r="G2290" s="13" t="e">
        <f t="shared" si="142"/>
        <v>#VALUE!</v>
      </c>
      <c r="J2290" t="str">
        <f>MAIN!A2295&amp;"B"</f>
        <v>B</v>
      </c>
      <c r="K2290" s="12" t="e">
        <f t="shared" si="143"/>
        <v>#VALUE!</v>
      </c>
      <c r="L2290" t="str">
        <f>MAIN!C2295</f>
        <v/>
      </c>
    </row>
    <row r="2291" spans="1:12" x14ac:dyDescent="0.3">
      <c r="A2291">
        <f>IF(J2291="0",0,IF(COUNTIF($J$2:J2291,J2291)=1,1,0))</f>
        <v>0</v>
      </c>
      <c r="B2291" s="12" t="e">
        <f>MID(MAIN!A2296,K2291,2)</f>
        <v>#VALUE!</v>
      </c>
      <c r="C2291" s="12" t="e">
        <f t="shared" si="140"/>
        <v>#VALUE!</v>
      </c>
      <c r="D2291" s="12" t="e">
        <f>MID(MAIN!A2296,K2291+2,2)</f>
        <v>#VALUE!</v>
      </c>
      <c r="E2291" s="12" t="e">
        <f>MID(MAIN!A2296,K2291+4,2)</f>
        <v>#VALUE!</v>
      </c>
      <c r="F2291" s="2" t="e">
        <f t="shared" si="141"/>
        <v>#VALUE!</v>
      </c>
      <c r="G2291" s="13" t="e">
        <f t="shared" si="142"/>
        <v>#VALUE!</v>
      </c>
      <c r="J2291" t="str">
        <f>MAIN!A2296&amp;"B"</f>
        <v>B</v>
      </c>
      <c r="K2291" s="12" t="e">
        <f t="shared" si="143"/>
        <v>#VALUE!</v>
      </c>
      <c r="L2291" t="str">
        <f>MAIN!C2296</f>
        <v/>
      </c>
    </row>
    <row r="2292" spans="1:12" x14ac:dyDescent="0.3">
      <c r="A2292">
        <f>IF(J2292="0",0,IF(COUNTIF($J$2:J2292,J2292)=1,1,0))</f>
        <v>0</v>
      </c>
      <c r="B2292" s="12" t="e">
        <f>MID(MAIN!A2297,K2292,2)</f>
        <v>#VALUE!</v>
      </c>
      <c r="C2292" s="12" t="e">
        <f t="shared" si="140"/>
        <v>#VALUE!</v>
      </c>
      <c r="D2292" s="12" t="e">
        <f>MID(MAIN!A2297,K2292+2,2)</f>
        <v>#VALUE!</v>
      </c>
      <c r="E2292" s="12" t="e">
        <f>MID(MAIN!A2297,K2292+4,2)</f>
        <v>#VALUE!</v>
      </c>
      <c r="F2292" s="2" t="e">
        <f t="shared" si="141"/>
        <v>#VALUE!</v>
      </c>
      <c r="G2292" s="13" t="e">
        <f t="shared" si="142"/>
        <v>#VALUE!</v>
      </c>
      <c r="J2292" t="str">
        <f>MAIN!A2297&amp;"B"</f>
        <v>B</v>
      </c>
      <c r="K2292" s="12" t="e">
        <f t="shared" si="143"/>
        <v>#VALUE!</v>
      </c>
      <c r="L2292" t="str">
        <f>MAIN!C2297</f>
        <v/>
      </c>
    </row>
    <row r="2293" spans="1:12" x14ac:dyDescent="0.3">
      <c r="A2293">
        <f>IF(J2293="0",0,IF(COUNTIF($J$2:J2293,J2293)=1,1,0))</f>
        <v>0</v>
      </c>
      <c r="B2293" s="12" t="e">
        <f>MID(MAIN!A2298,K2293,2)</f>
        <v>#VALUE!</v>
      </c>
      <c r="C2293" s="12" t="e">
        <f t="shared" si="140"/>
        <v>#VALUE!</v>
      </c>
      <c r="D2293" s="12" t="e">
        <f>MID(MAIN!A2298,K2293+2,2)</f>
        <v>#VALUE!</v>
      </c>
      <c r="E2293" s="12" t="e">
        <f>MID(MAIN!A2298,K2293+4,2)</f>
        <v>#VALUE!</v>
      </c>
      <c r="F2293" s="2" t="e">
        <f t="shared" si="141"/>
        <v>#VALUE!</v>
      </c>
      <c r="G2293" s="13" t="e">
        <f t="shared" si="142"/>
        <v>#VALUE!</v>
      </c>
      <c r="J2293" t="str">
        <f>MAIN!A2298&amp;"B"</f>
        <v>B</v>
      </c>
      <c r="K2293" s="12" t="e">
        <f t="shared" si="143"/>
        <v>#VALUE!</v>
      </c>
      <c r="L2293" t="str">
        <f>MAIN!C2298</f>
        <v/>
      </c>
    </row>
    <row r="2294" spans="1:12" x14ac:dyDescent="0.3">
      <c r="A2294">
        <f>IF(J2294="0",0,IF(COUNTIF($J$2:J2294,J2294)=1,1,0))</f>
        <v>0</v>
      </c>
      <c r="B2294" s="12" t="e">
        <f>MID(MAIN!A2299,K2294,2)</f>
        <v>#VALUE!</v>
      </c>
      <c r="C2294" s="12" t="e">
        <f t="shared" si="140"/>
        <v>#VALUE!</v>
      </c>
      <c r="D2294" s="12" t="e">
        <f>MID(MAIN!A2299,K2294+2,2)</f>
        <v>#VALUE!</v>
      </c>
      <c r="E2294" s="12" t="e">
        <f>MID(MAIN!A2299,K2294+4,2)</f>
        <v>#VALUE!</v>
      </c>
      <c r="F2294" s="2" t="e">
        <f t="shared" si="141"/>
        <v>#VALUE!</v>
      </c>
      <c r="G2294" s="13" t="e">
        <f t="shared" si="142"/>
        <v>#VALUE!</v>
      </c>
      <c r="J2294" t="str">
        <f>MAIN!A2299&amp;"B"</f>
        <v>B</v>
      </c>
      <c r="K2294" s="12" t="e">
        <f t="shared" si="143"/>
        <v>#VALUE!</v>
      </c>
      <c r="L2294" t="str">
        <f>MAIN!C2299</f>
        <v/>
      </c>
    </row>
    <row r="2295" spans="1:12" x14ac:dyDescent="0.3">
      <c r="A2295">
        <f>IF(J2295="0",0,IF(COUNTIF($J$2:J2295,J2295)=1,1,0))</f>
        <v>0</v>
      </c>
      <c r="B2295" s="12" t="e">
        <f>MID(MAIN!A2300,K2295,2)</f>
        <v>#VALUE!</v>
      </c>
      <c r="C2295" s="12" t="e">
        <f t="shared" si="140"/>
        <v>#VALUE!</v>
      </c>
      <c r="D2295" s="12" t="e">
        <f>MID(MAIN!A2300,K2295+2,2)</f>
        <v>#VALUE!</v>
      </c>
      <c r="E2295" s="12" t="e">
        <f>MID(MAIN!A2300,K2295+4,2)</f>
        <v>#VALUE!</v>
      </c>
      <c r="F2295" s="2" t="e">
        <f t="shared" si="141"/>
        <v>#VALUE!</v>
      </c>
      <c r="G2295" s="13" t="e">
        <f t="shared" si="142"/>
        <v>#VALUE!</v>
      </c>
      <c r="J2295" t="str">
        <f>MAIN!A2300&amp;"B"</f>
        <v>B</v>
      </c>
      <c r="K2295" s="12" t="e">
        <f t="shared" si="143"/>
        <v>#VALUE!</v>
      </c>
      <c r="L2295" t="str">
        <f>MAIN!C2300</f>
        <v/>
      </c>
    </row>
    <row r="2296" spans="1:12" x14ac:dyDescent="0.3">
      <c r="A2296">
        <f>IF(J2296="0",0,IF(COUNTIF($J$2:J2296,J2296)=1,1,0))</f>
        <v>0</v>
      </c>
      <c r="B2296" s="12" t="e">
        <f>MID(MAIN!A2301,K2296,2)</f>
        <v>#VALUE!</v>
      </c>
      <c r="C2296" s="12" t="e">
        <f t="shared" si="140"/>
        <v>#VALUE!</v>
      </c>
      <c r="D2296" s="12" t="e">
        <f>MID(MAIN!A2301,K2296+2,2)</f>
        <v>#VALUE!</v>
      </c>
      <c r="E2296" s="12" t="e">
        <f>MID(MAIN!A2301,K2296+4,2)</f>
        <v>#VALUE!</v>
      </c>
      <c r="F2296" s="2" t="e">
        <f t="shared" si="141"/>
        <v>#VALUE!</v>
      </c>
      <c r="G2296" s="13" t="e">
        <f t="shared" si="142"/>
        <v>#VALUE!</v>
      </c>
      <c r="J2296" t="str">
        <f>MAIN!A2301&amp;"B"</f>
        <v>B</v>
      </c>
      <c r="K2296" s="12" t="e">
        <f t="shared" si="143"/>
        <v>#VALUE!</v>
      </c>
      <c r="L2296" t="str">
        <f>MAIN!C2301</f>
        <v/>
      </c>
    </row>
    <row r="2297" spans="1:12" x14ac:dyDescent="0.3">
      <c r="A2297">
        <f>IF(J2297="0",0,IF(COUNTIF($J$2:J2297,J2297)=1,1,0))</f>
        <v>0</v>
      </c>
      <c r="B2297" s="12" t="e">
        <f>MID(MAIN!A2302,K2297,2)</f>
        <v>#VALUE!</v>
      </c>
      <c r="C2297" s="12" t="e">
        <f t="shared" si="140"/>
        <v>#VALUE!</v>
      </c>
      <c r="D2297" s="12" t="e">
        <f>MID(MAIN!A2302,K2297+2,2)</f>
        <v>#VALUE!</v>
      </c>
      <c r="E2297" s="12" t="e">
        <f>MID(MAIN!A2302,K2297+4,2)</f>
        <v>#VALUE!</v>
      </c>
      <c r="F2297" s="2" t="e">
        <f t="shared" si="141"/>
        <v>#VALUE!</v>
      </c>
      <c r="G2297" s="13" t="e">
        <f t="shared" si="142"/>
        <v>#VALUE!</v>
      </c>
      <c r="J2297" t="str">
        <f>MAIN!A2302&amp;"B"</f>
        <v>B</v>
      </c>
      <c r="K2297" s="12" t="e">
        <f t="shared" si="143"/>
        <v>#VALUE!</v>
      </c>
      <c r="L2297" t="str">
        <f>MAIN!C2302</f>
        <v/>
      </c>
    </row>
    <row r="2298" spans="1:12" x14ac:dyDescent="0.3">
      <c r="A2298">
        <f>IF(J2298="0",0,IF(COUNTIF($J$2:J2298,J2298)=1,1,0))</f>
        <v>0</v>
      </c>
      <c r="B2298" s="12" t="e">
        <f>MID(MAIN!A2303,K2298,2)</f>
        <v>#VALUE!</v>
      </c>
      <c r="C2298" s="12" t="e">
        <f t="shared" si="140"/>
        <v>#VALUE!</v>
      </c>
      <c r="D2298" s="12" t="e">
        <f>MID(MAIN!A2303,K2298+2,2)</f>
        <v>#VALUE!</v>
      </c>
      <c r="E2298" s="12" t="e">
        <f>MID(MAIN!A2303,K2298+4,2)</f>
        <v>#VALUE!</v>
      </c>
      <c r="F2298" s="2" t="e">
        <f t="shared" si="141"/>
        <v>#VALUE!</v>
      </c>
      <c r="G2298" s="13" t="e">
        <f t="shared" si="142"/>
        <v>#VALUE!</v>
      </c>
      <c r="J2298" t="str">
        <f>MAIN!A2303&amp;"B"</f>
        <v>B</v>
      </c>
      <c r="K2298" s="12" t="e">
        <f t="shared" si="143"/>
        <v>#VALUE!</v>
      </c>
      <c r="L2298" t="str">
        <f>MAIN!C2303</f>
        <v/>
      </c>
    </row>
    <row r="2299" spans="1:12" x14ac:dyDescent="0.3">
      <c r="A2299">
        <f>IF(J2299="0",0,IF(COUNTIF($J$2:J2299,J2299)=1,1,0))</f>
        <v>0</v>
      </c>
      <c r="B2299" s="12" t="e">
        <f>MID(MAIN!A2304,K2299,2)</f>
        <v>#VALUE!</v>
      </c>
      <c r="C2299" s="12" t="e">
        <f t="shared" si="140"/>
        <v>#VALUE!</v>
      </c>
      <c r="D2299" s="12" t="e">
        <f>MID(MAIN!A2304,K2299+2,2)</f>
        <v>#VALUE!</v>
      </c>
      <c r="E2299" s="12" t="e">
        <f>MID(MAIN!A2304,K2299+4,2)</f>
        <v>#VALUE!</v>
      </c>
      <c r="F2299" s="2" t="e">
        <f t="shared" si="141"/>
        <v>#VALUE!</v>
      </c>
      <c r="G2299" s="13" t="e">
        <f t="shared" si="142"/>
        <v>#VALUE!</v>
      </c>
      <c r="J2299" t="str">
        <f>MAIN!A2304&amp;"B"</f>
        <v>B</v>
      </c>
      <c r="K2299" s="12" t="e">
        <f t="shared" si="143"/>
        <v>#VALUE!</v>
      </c>
      <c r="L2299" t="str">
        <f>MAIN!C2304</f>
        <v/>
      </c>
    </row>
    <row r="2300" spans="1:12" x14ac:dyDescent="0.3">
      <c r="A2300">
        <f>IF(J2300="0",0,IF(COUNTIF($J$2:J2300,J2300)=1,1,0))</f>
        <v>0</v>
      </c>
      <c r="B2300" s="12" t="e">
        <f>MID(MAIN!A2305,K2300,2)</f>
        <v>#VALUE!</v>
      </c>
      <c r="C2300" s="12" t="e">
        <f t="shared" si="140"/>
        <v>#VALUE!</v>
      </c>
      <c r="D2300" s="12" t="e">
        <f>MID(MAIN!A2305,K2300+2,2)</f>
        <v>#VALUE!</v>
      </c>
      <c r="E2300" s="12" t="e">
        <f>MID(MAIN!A2305,K2300+4,2)</f>
        <v>#VALUE!</v>
      </c>
      <c r="F2300" s="2" t="e">
        <f t="shared" si="141"/>
        <v>#VALUE!</v>
      </c>
      <c r="G2300" s="13" t="e">
        <f t="shared" si="142"/>
        <v>#VALUE!</v>
      </c>
      <c r="J2300" t="str">
        <f>MAIN!A2305&amp;"B"</f>
        <v>B</v>
      </c>
      <c r="K2300" s="12" t="e">
        <f t="shared" si="143"/>
        <v>#VALUE!</v>
      </c>
      <c r="L2300" t="str">
        <f>MAIN!C2305</f>
        <v/>
      </c>
    </row>
    <row r="2301" spans="1:12" x14ac:dyDescent="0.3">
      <c r="A2301">
        <f>IF(J2301="0",0,IF(COUNTIF($J$2:J2301,J2301)=1,1,0))</f>
        <v>0</v>
      </c>
      <c r="B2301" s="12" t="e">
        <f>MID(MAIN!A2306,K2301,2)</f>
        <v>#VALUE!</v>
      </c>
      <c r="C2301" s="12" t="e">
        <f t="shared" si="140"/>
        <v>#VALUE!</v>
      </c>
      <c r="D2301" s="12" t="e">
        <f>MID(MAIN!A2306,K2301+2,2)</f>
        <v>#VALUE!</v>
      </c>
      <c r="E2301" s="12" t="e">
        <f>MID(MAIN!A2306,K2301+4,2)</f>
        <v>#VALUE!</v>
      </c>
      <c r="F2301" s="2" t="e">
        <f t="shared" si="141"/>
        <v>#VALUE!</v>
      </c>
      <c r="G2301" s="13" t="e">
        <f t="shared" si="142"/>
        <v>#VALUE!</v>
      </c>
      <c r="J2301" t="str">
        <f>MAIN!A2306&amp;"B"</f>
        <v>B</v>
      </c>
      <c r="K2301" s="12" t="e">
        <f t="shared" si="143"/>
        <v>#VALUE!</v>
      </c>
      <c r="L2301" t="str">
        <f>MAIN!C2306</f>
        <v/>
      </c>
    </row>
    <row r="2302" spans="1:12" x14ac:dyDescent="0.3">
      <c r="A2302">
        <f>IF(J2302="0",0,IF(COUNTIF($J$2:J2302,J2302)=1,1,0))</f>
        <v>0</v>
      </c>
      <c r="B2302" s="12" t="e">
        <f>MID(MAIN!A2307,K2302,2)</f>
        <v>#VALUE!</v>
      </c>
      <c r="C2302" s="12" t="e">
        <f t="shared" si="140"/>
        <v>#VALUE!</v>
      </c>
      <c r="D2302" s="12" t="e">
        <f>MID(MAIN!A2307,K2302+2,2)</f>
        <v>#VALUE!</v>
      </c>
      <c r="E2302" s="12" t="e">
        <f>MID(MAIN!A2307,K2302+4,2)</f>
        <v>#VALUE!</v>
      </c>
      <c r="F2302" s="2" t="e">
        <f t="shared" si="141"/>
        <v>#VALUE!</v>
      </c>
      <c r="G2302" s="13" t="e">
        <f t="shared" si="142"/>
        <v>#VALUE!</v>
      </c>
      <c r="J2302" t="str">
        <f>MAIN!A2307&amp;"B"</f>
        <v>B</v>
      </c>
      <c r="K2302" s="12" t="e">
        <f t="shared" si="143"/>
        <v>#VALUE!</v>
      </c>
      <c r="L2302" t="str">
        <f>MAIN!C2307</f>
        <v/>
      </c>
    </row>
    <row r="2303" spans="1:12" x14ac:dyDescent="0.3">
      <c r="A2303">
        <f>IF(J2303="0",0,IF(COUNTIF($J$2:J2303,J2303)=1,1,0))</f>
        <v>0</v>
      </c>
      <c r="B2303" s="12" t="e">
        <f>MID(MAIN!A2308,K2303,2)</f>
        <v>#VALUE!</v>
      </c>
      <c r="C2303" s="12" t="e">
        <f t="shared" si="140"/>
        <v>#VALUE!</v>
      </c>
      <c r="D2303" s="12" t="e">
        <f>MID(MAIN!A2308,K2303+2,2)</f>
        <v>#VALUE!</v>
      </c>
      <c r="E2303" s="12" t="e">
        <f>MID(MAIN!A2308,K2303+4,2)</f>
        <v>#VALUE!</v>
      </c>
      <c r="F2303" s="2" t="e">
        <f t="shared" si="141"/>
        <v>#VALUE!</v>
      </c>
      <c r="G2303" s="13" t="e">
        <f t="shared" si="142"/>
        <v>#VALUE!</v>
      </c>
      <c r="J2303" t="str">
        <f>MAIN!A2308&amp;"B"</f>
        <v>B</v>
      </c>
      <c r="K2303" s="12" t="e">
        <f t="shared" si="143"/>
        <v>#VALUE!</v>
      </c>
      <c r="L2303" t="str">
        <f>MAIN!C2308</f>
        <v/>
      </c>
    </row>
    <row r="2304" spans="1:12" x14ac:dyDescent="0.3">
      <c r="A2304">
        <f>IF(J2304="0",0,IF(COUNTIF($J$2:J2304,J2304)=1,1,0))</f>
        <v>0</v>
      </c>
      <c r="B2304" s="12" t="e">
        <f>MID(MAIN!A2309,K2304,2)</f>
        <v>#VALUE!</v>
      </c>
      <c r="C2304" s="12" t="e">
        <f t="shared" si="140"/>
        <v>#VALUE!</v>
      </c>
      <c r="D2304" s="12" t="e">
        <f>MID(MAIN!A2309,K2304+2,2)</f>
        <v>#VALUE!</v>
      </c>
      <c r="E2304" s="12" t="e">
        <f>MID(MAIN!A2309,K2304+4,2)</f>
        <v>#VALUE!</v>
      </c>
      <c r="F2304" s="2" t="e">
        <f t="shared" si="141"/>
        <v>#VALUE!</v>
      </c>
      <c r="G2304" s="13" t="e">
        <f t="shared" si="142"/>
        <v>#VALUE!</v>
      </c>
      <c r="J2304" t="str">
        <f>MAIN!A2309&amp;"B"</f>
        <v>B</v>
      </c>
      <c r="K2304" s="12" t="e">
        <f t="shared" si="143"/>
        <v>#VALUE!</v>
      </c>
      <c r="L2304" t="str">
        <f>MAIN!C2309</f>
        <v/>
      </c>
    </row>
    <row r="2305" spans="1:12" x14ac:dyDescent="0.3">
      <c r="A2305">
        <f>IF(J2305="0",0,IF(COUNTIF($J$2:J2305,J2305)=1,1,0))</f>
        <v>0</v>
      </c>
      <c r="B2305" s="12" t="e">
        <f>MID(MAIN!A2310,K2305,2)</f>
        <v>#VALUE!</v>
      </c>
      <c r="C2305" s="12" t="e">
        <f t="shared" si="140"/>
        <v>#VALUE!</v>
      </c>
      <c r="D2305" s="12" t="e">
        <f>MID(MAIN!A2310,K2305+2,2)</f>
        <v>#VALUE!</v>
      </c>
      <c r="E2305" s="12" t="e">
        <f>MID(MAIN!A2310,K2305+4,2)</f>
        <v>#VALUE!</v>
      </c>
      <c r="F2305" s="2" t="e">
        <f t="shared" si="141"/>
        <v>#VALUE!</v>
      </c>
      <c r="G2305" s="13" t="e">
        <f t="shared" si="142"/>
        <v>#VALUE!</v>
      </c>
      <c r="J2305" t="str">
        <f>MAIN!A2310&amp;"B"</f>
        <v>B</v>
      </c>
      <c r="K2305" s="12" t="e">
        <f t="shared" si="143"/>
        <v>#VALUE!</v>
      </c>
      <c r="L2305" t="str">
        <f>MAIN!C2310</f>
        <v/>
      </c>
    </row>
    <row r="2306" spans="1:12" x14ac:dyDescent="0.3">
      <c r="A2306">
        <f>IF(J2306="0",0,IF(COUNTIF($J$2:J2306,J2306)=1,1,0))</f>
        <v>0</v>
      </c>
      <c r="B2306" s="12" t="e">
        <f>MID(MAIN!A2311,K2306,2)</f>
        <v>#VALUE!</v>
      </c>
      <c r="C2306" s="12" t="e">
        <f t="shared" si="140"/>
        <v>#VALUE!</v>
      </c>
      <c r="D2306" s="12" t="e">
        <f>MID(MAIN!A2311,K2306+2,2)</f>
        <v>#VALUE!</v>
      </c>
      <c r="E2306" s="12" t="e">
        <f>MID(MAIN!A2311,K2306+4,2)</f>
        <v>#VALUE!</v>
      </c>
      <c r="F2306" s="2" t="e">
        <f t="shared" si="141"/>
        <v>#VALUE!</v>
      </c>
      <c r="G2306" s="13" t="e">
        <f t="shared" si="142"/>
        <v>#VALUE!</v>
      </c>
      <c r="J2306" t="str">
        <f>MAIN!A2311&amp;"B"</f>
        <v>B</v>
      </c>
      <c r="K2306" s="12" t="e">
        <f t="shared" si="143"/>
        <v>#VALUE!</v>
      </c>
      <c r="L2306" t="str">
        <f>MAIN!C2311</f>
        <v/>
      </c>
    </row>
    <row r="2307" spans="1:12" x14ac:dyDescent="0.3">
      <c r="A2307">
        <f>IF(J2307="0",0,IF(COUNTIF($J$2:J2307,J2307)=1,1,0))</f>
        <v>0</v>
      </c>
      <c r="B2307" s="12" t="e">
        <f>MID(MAIN!A2312,K2307,2)</f>
        <v>#VALUE!</v>
      </c>
      <c r="C2307" s="12" t="e">
        <f t="shared" ref="C2307:C2370" si="144">"20"&amp;B2307</f>
        <v>#VALUE!</v>
      </c>
      <c r="D2307" s="12" t="e">
        <f>MID(MAIN!A2312,K2307+2,2)</f>
        <v>#VALUE!</v>
      </c>
      <c r="E2307" s="12" t="e">
        <f>MID(MAIN!A2312,K2307+4,2)</f>
        <v>#VALUE!</v>
      </c>
      <c r="F2307" s="2" t="e">
        <f t="shared" ref="F2307:F2370" si="145">C2307&amp;"/"&amp;D2307&amp;"/"&amp;E2307</f>
        <v>#VALUE!</v>
      </c>
      <c r="G2307" s="13" t="e">
        <f t="shared" ref="G2307:G2370" si="146">DATEVALUE(F2307)</f>
        <v>#VALUE!</v>
      </c>
      <c r="J2307" t="str">
        <f>MAIN!A2312&amp;"B"</f>
        <v>B</v>
      </c>
      <c r="K2307" s="12" t="e">
        <f t="shared" ref="K2307:K2370" si="147">FIND("172",J2307,30)+2</f>
        <v>#VALUE!</v>
      </c>
      <c r="L2307" t="str">
        <f>MAIN!C2312</f>
        <v/>
      </c>
    </row>
    <row r="2308" spans="1:12" x14ac:dyDescent="0.3">
      <c r="A2308">
        <f>IF(J2308="0",0,IF(COUNTIF($J$2:J2308,J2308)=1,1,0))</f>
        <v>0</v>
      </c>
      <c r="B2308" s="12" t="e">
        <f>MID(MAIN!A2313,K2308,2)</f>
        <v>#VALUE!</v>
      </c>
      <c r="C2308" s="12" t="e">
        <f t="shared" si="144"/>
        <v>#VALUE!</v>
      </c>
      <c r="D2308" s="12" t="e">
        <f>MID(MAIN!A2313,K2308+2,2)</f>
        <v>#VALUE!</v>
      </c>
      <c r="E2308" s="12" t="e">
        <f>MID(MAIN!A2313,K2308+4,2)</f>
        <v>#VALUE!</v>
      </c>
      <c r="F2308" s="2" t="e">
        <f t="shared" si="145"/>
        <v>#VALUE!</v>
      </c>
      <c r="G2308" s="13" t="e">
        <f t="shared" si="146"/>
        <v>#VALUE!</v>
      </c>
      <c r="J2308" t="str">
        <f>MAIN!A2313&amp;"B"</f>
        <v>B</v>
      </c>
      <c r="K2308" s="12" t="e">
        <f t="shared" si="147"/>
        <v>#VALUE!</v>
      </c>
      <c r="L2308" t="str">
        <f>MAIN!C2313</f>
        <v/>
      </c>
    </row>
    <row r="2309" spans="1:12" x14ac:dyDescent="0.3">
      <c r="A2309">
        <f>IF(J2309="0",0,IF(COUNTIF($J$2:J2309,J2309)=1,1,0))</f>
        <v>0</v>
      </c>
      <c r="B2309" s="12" t="e">
        <f>MID(MAIN!A2314,K2309,2)</f>
        <v>#VALUE!</v>
      </c>
      <c r="C2309" s="12" t="e">
        <f t="shared" si="144"/>
        <v>#VALUE!</v>
      </c>
      <c r="D2309" s="12" t="e">
        <f>MID(MAIN!A2314,K2309+2,2)</f>
        <v>#VALUE!</v>
      </c>
      <c r="E2309" s="12" t="e">
        <f>MID(MAIN!A2314,K2309+4,2)</f>
        <v>#VALUE!</v>
      </c>
      <c r="F2309" s="2" t="e">
        <f t="shared" si="145"/>
        <v>#VALUE!</v>
      </c>
      <c r="G2309" s="13" t="e">
        <f t="shared" si="146"/>
        <v>#VALUE!</v>
      </c>
      <c r="J2309" t="str">
        <f>MAIN!A2314&amp;"B"</f>
        <v>B</v>
      </c>
      <c r="K2309" s="12" t="e">
        <f t="shared" si="147"/>
        <v>#VALUE!</v>
      </c>
      <c r="L2309" t="str">
        <f>MAIN!C2314</f>
        <v/>
      </c>
    </row>
    <row r="2310" spans="1:12" x14ac:dyDescent="0.3">
      <c r="A2310">
        <f>IF(J2310="0",0,IF(COUNTIF($J$2:J2310,J2310)=1,1,0))</f>
        <v>0</v>
      </c>
      <c r="B2310" s="12" t="e">
        <f>MID(MAIN!A2315,K2310,2)</f>
        <v>#VALUE!</v>
      </c>
      <c r="C2310" s="12" t="e">
        <f t="shared" si="144"/>
        <v>#VALUE!</v>
      </c>
      <c r="D2310" s="12" t="e">
        <f>MID(MAIN!A2315,K2310+2,2)</f>
        <v>#VALUE!</v>
      </c>
      <c r="E2310" s="12" t="e">
        <f>MID(MAIN!A2315,K2310+4,2)</f>
        <v>#VALUE!</v>
      </c>
      <c r="F2310" s="2" t="e">
        <f t="shared" si="145"/>
        <v>#VALUE!</v>
      </c>
      <c r="G2310" s="13" t="e">
        <f t="shared" si="146"/>
        <v>#VALUE!</v>
      </c>
      <c r="J2310" t="str">
        <f>MAIN!A2315&amp;"B"</f>
        <v>B</v>
      </c>
      <c r="K2310" s="12" t="e">
        <f t="shared" si="147"/>
        <v>#VALUE!</v>
      </c>
      <c r="L2310" t="str">
        <f>MAIN!C2315</f>
        <v/>
      </c>
    </row>
    <row r="2311" spans="1:12" x14ac:dyDescent="0.3">
      <c r="A2311">
        <f>IF(J2311="0",0,IF(COUNTIF($J$2:J2311,J2311)=1,1,0))</f>
        <v>0</v>
      </c>
      <c r="B2311" s="12" t="e">
        <f>MID(MAIN!A2316,K2311,2)</f>
        <v>#VALUE!</v>
      </c>
      <c r="C2311" s="12" t="e">
        <f t="shared" si="144"/>
        <v>#VALUE!</v>
      </c>
      <c r="D2311" s="12" t="e">
        <f>MID(MAIN!A2316,K2311+2,2)</f>
        <v>#VALUE!</v>
      </c>
      <c r="E2311" s="12" t="e">
        <f>MID(MAIN!A2316,K2311+4,2)</f>
        <v>#VALUE!</v>
      </c>
      <c r="F2311" s="2" t="e">
        <f t="shared" si="145"/>
        <v>#VALUE!</v>
      </c>
      <c r="G2311" s="13" t="e">
        <f t="shared" si="146"/>
        <v>#VALUE!</v>
      </c>
      <c r="J2311" t="str">
        <f>MAIN!A2316&amp;"B"</f>
        <v>B</v>
      </c>
      <c r="K2311" s="12" t="e">
        <f t="shared" si="147"/>
        <v>#VALUE!</v>
      </c>
      <c r="L2311" t="str">
        <f>MAIN!C2316</f>
        <v/>
      </c>
    </row>
    <row r="2312" spans="1:12" x14ac:dyDescent="0.3">
      <c r="A2312">
        <f>IF(J2312="0",0,IF(COUNTIF($J$2:J2312,J2312)=1,1,0))</f>
        <v>0</v>
      </c>
      <c r="B2312" s="12" t="e">
        <f>MID(MAIN!A2317,K2312,2)</f>
        <v>#VALUE!</v>
      </c>
      <c r="C2312" s="12" t="e">
        <f t="shared" si="144"/>
        <v>#VALUE!</v>
      </c>
      <c r="D2312" s="12" t="e">
        <f>MID(MAIN!A2317,K2312+2,2)</f>
        <v>#VALUE!</v>
      </c>
      <c r="E2312" s="12" t="e">
        <f>MID(MAIN!A2317,K2312+4,2)</f>
        <v>#VALUE!</v>
      </c>
      <c r="F2312" s="2" t="e">
        <f t="shared" si="145"/>
        <v>#VALUE!</v>
      </c>
      <c r="G2312" s="13" t="e">
        <f t="shared" si="146"/>
        <v>#VALUE!</v>
      </c>
      <c r="J2312" t="str">
        <f>MAIN!A2317&amp;"B"</f>
        <v>B</v>
      </c>
      <c r="K2312" s="12" t="e">
        <f t="shared" si="147"/>
        <v>#VALUE!</v>
      </c>
      <c r="L2312" t="str">
        <f>MAIN!C2317</f>
        <v/>
      </c>
    </row>
    <row r="2313" spans="1:12" x14ac:dyDescent="0.3">
      <c r="A2313">
        <f>IF(J2313="0",0,IF(COUNTIF($J$2:J2313,J2313)=1,1,0))</f>
        <v>0</v>
      </c>
      <c r="B2313" s="12" t="e">
        <f>MID(MAIN!A2318,K2313,2)</f>
        <v>#VALUE!</v>
      </c>
      <c r="C2313" s="12" t="e">
        <f t="shared" si="144"/>
        <v>#VALUE!</v>
      </c>
      <c r="D2313" s="12" t="e">
        <f>MID(MAIN!A2318,K2313+2,2)</f>
        <v>#VALUE!</v>
      </c>
      <c r="E2313" s="12" t="e">
        <f>MID(MAIN!A2318,K2313+4,2)</f>
        <v>#VALUE!</v>
      </c>
      <c r="F2313" s="2" t="e">
        <f t="shared" si="145"/>
        <v>#VALUE!</v>
      </c>
      <c r="G2313" s="13" t="e">
        <f t="shared" si="146"/>
        <v>#VALUE!</v>
      </c>
      <c r="J2313" t="str">
        <f>MAIN!A2318&amp;"B"</f>
        <v>B</v>
      </c>
      <c r="K2313" s="12" t="e">
        <f t="shared" si="147"/>
        <v>#VALUE!</v>
      </c>
      <c r="L2313" t="str">
        <f>MAIN!C2318</f>
        <v/>
      </c>
    </row>
    <row r="2314" spans="1:12" x14ac:dyDescent="0.3">
      <c r="A2314">
        <f>IF(J2314="0",0,IF(COUNTIF($J$2:J2314,J2314)=1,1,0))</f>
        <v>0</v>
      </c>
      <c r="B2314" s="12" t="e">
        <f>MID(MAIN!A2319,K2314,2)</f>
        <v>#VALUE!</v>
      </c>
      <c r="C2314" s="12" t="e">
        <f t="shared" si="144"/>
        <v>#VALUE!</v>
      </c>
      <c r="D2314" s="12" t="e">
        <f>MID(MAIN!A2319,K2314+2,2)</f>
        <v>#VALUE!</v>
      </c>
      <c r="E2314" s="12" t="e">
        <f>MID(MAIN!A2319,K2314+4,2)</f>
        <v>#VALUE!</v>
      </c>
      <c r="F2314" s="2" t="e">
        <f t="shared" si="145"/>
        <v>#VALUE!</v>
      </c>
      <c r="G2314" s="13" t="e">
        <f t="shared" si="146"/>
        <v>#VALUE!</v>
      </c>
      <c r="J2314" t="str">
        <f>MAIN!A2319&amp;"B"</f>
        <v>B</v>
      </c>
      <c r="K2314" s="12" t="e">
        <f t="shared" si="147"/>
        <v>#VALUE!</v>
      </c>
      <c r="L2314" t="str">
        <f>MAIN!C2319</f>
        <v/>
      </c>
    </row>
    <row r="2315" spans="1:12" x14ac:dyDescent="0.3">
      <c r="A2315">
        <f>IF(J2315="0",0,IF(COUNTIF($J$2:J2315,J2315)=1,1,0))</f>
        <v>0</v>
      </c>
      <c r="B2315" s="12" t="e">
        <f>MID(MAIN!A2320,K2315,2)</f>
        <v>#VALUE!</v>
      </c>
      <c r="C2315" s="12" t="e">
        <f t="shared" si="144"/>
        <v>#VALUE!</v>
      </c>
      <c r="D2315" s="12" t="e">
        <f>MID(MAIN!A2320,K2315+2,2)</f>
        <v>#VALUE!</v>
      </c>
      <c r="E2315" s="12" t="e">
        <f>MID(MAIN!A2320,K2315+4,2)</f>
        <v>#VALUE!</v>
      </c>
      <c r="F2315" s="2" t="e">
        <f t="shared" si="145"/>
        <v>#VALUE!</v>
      </c>
      <c r="G2315" s="13" t="e">
        <f t="shared" si="146"/>
        <v>#VALUE!</v>
      </c>
      <c r="J2315" t="str">
        <f>MAIN!A2320&amp;"B"</f>
        <v>B</v>
      </c>
      <c r="K2315" s="12" t="e">
        <f t="shared" si="147"/>
        <v>#VALUE!</v>
      </c>
      <c r="L2315" t="str">
        <f>MAIN!C2320</f>
        <v/>
      </c>
    </row>
    <row r="2316" spans="1:12" x14ac:dyDescent="0.3">
      <c r="A2316">
        <f>IF(J2316="0",0,IF(COUNTIF($J$2:J2316,J2316)=1,1,0))</f>
        <v>0</v>
      </c>
      <c r="B2316" s="12" t="e">
        <f>MID(MAIN!A2321,K2316,2)</f>
        <v>#VALUE!</v>
      </c>
      <c r="C2316" s="12" t="e">
        <f t="shared" si="144"/>
        <v>#VALUE!</v>
      </c>
      <c r="D2316" s="12" t="e">
        <f>MID(MAIN!A2321,K2316+2,2)</f>
        <v>#VALUE!</v>
      </c>
      <c r="E2316" s="12" t="e">
        <f>MID(MAIN!A2321,K2316+4,2)</f>
        <v>#VALUE!</v>
      </c>
      <c r="F2316" s="2" t="e">
        <f t="shared" si="145"/>
        <v>#VALUE!</v>
      </c>
      <c r="G2316" s="13" t="e">
        <f t="shared" si="146"/>
        <v>#VALUE!</v>
      </c>
      <c r="J2316" t="str">
        <f>MAIN!A2321&amp;"B"</f>
        <v>B</v>
      </c>
      <c r="K2316" s="12" t="e">
        <f t="shared" si="147"/>
        <v>#VALUE!</v>
      </c>
      <c r="L2316" t="str">
        <f>MAIN!C2321</f>
        <v/>
      </c>
    </row>
    <row r="2317" spans="1:12" x14ac:dyDescent="0.3">
      <c r="A2317">
        <f>IF(J2317="0",0,IF(COUNTIF($J$2:J2317,J2317)=1,1,0))</f>
        <v>0</v>
      </c>
      <c r="B2317" s="12" t="e">
        <f>MID(MAIN!A2322,K2317,2)</f>
        <v>#VALUE!</v>
      </c>
      <c r="C2317" s="12" t="e">
        <f t="shared" si="144"/>
        <v>#VALUE!</v>
      </c>
      <c r="D2317" s="12" t="e">
        <f>MID(MAIN!A2322,K2317+2,2)</f>
        <v>#VALUE!</v>
      </c>
      <c r="E2317" s="12" t="e">
        <f>MID(MAIN!A2322,K2317+4,2)</f>
        <v>#VALUE!</v>
      </c>
      <c r="F2317" s="2" t="e">
        <f t="shared" si="145"/>
        <v>#VALUE!</v>
      </c>
      <c r="G2317" s="13" t="e">
        <f t="shared" si="146"/>
        <v>#VALUE!</v>
      </c>
      <c r="J2317" t="str">
        <f>MAIN!A2322&amp;"B"</f>
        <v>B</v>
      </c>
      <c r="K2317" s="12" t="e">
        <f t="shared" si="147"/>
        <v>#VALUE!</v>
      </c>
      <c r="L2317" t="str">
        <f>MAIN!C2322</f>
        <v/>
      </c>
    </row>
    <row r="2318" spans="1:12" x14ac:dyDescent="0.3">
      <c r="A2318">
        <f>IF(J2318="0",0,IF(COUNTIF($J$2:J2318,J2318)=1,1,0))</f>
        <v>0</v>
      </c>
      <c r="B2318" s="12" t="e">
        <f>MID(MAIN!A2323,K2318,2)</f>
        <v>#VALUE!</v>
      </c>
      <c r="C2318" s="12" t="e">
        <f t="shared" si="144"/>
        <v>#VALUE!</v>
      </c>
      <c r="D2318" s="12" t="e">
        <f>MID(MAIN!A2323,K2318+2,2)</f>
        <v>#VALUE!</v>
      </c>
      <c r="E2318" s="12" t="e">
        <f>MID(MAIN!A2323,K2318+4,2)</f>
        <v>#VALUE!</v>
      </c>
      <c r="F2318" s="2" t="e">
        <f t="shared" si="145"/>
        <v>#VALUE!</v>
      </c>
      <c r="G2318" s="13" t="e">
        <f t="shared" si="146"/>
        <v>#VALUE!</v>
      </c>
      <c r="J2318" t="str">
        <f>MAIN!A2323&amp;"B"</f>
        <v>B</v>
      </c>
      <c r="K2318" s="12" t="e">
        <f t="shared" si="147"/>
        <v>#VALUE!</v>
      </c>
      <c r="L2318" t="str">
        <f>MAIN!C2323</f>
        <v/>
      </c>
    </row>
    <row r="2319" spans="1:12" x14ac:dyDescent="0.3">
      <c r="A2319">
        <f>IF(J2319="0",0,IF(COUNTIF($J$2:J2319,J2319)=1,1,0))</f>
        <v>0</v>
      </c>
      <c r="B2319" s="12" t="e">
        <f>MID(MAIN!A2324,K2319,2)</f>
        <v>#VALUE!</v>
      </c>
      <c r="C2319" s="12" t="e">
        <f t="shared" si="144"/>
        <v>#VALUE!</v>
      </c>
      <c r="D2319" s="12" t="e">
        <f>MID(MAIN!A2324,K2319+2,2)</f>
        <v>#VALUE!</v>
      </c>
      <c r="E2319" s="12" t="e">
        <f>MID(MAIN!A2324,K2319+4,2)</f>
        <v>#VALUE!</v>
      </c>
      <c r="F2319" s="2" t="e">
        <f t="shared" si="145"/>
        <v>#VALUE!</v>
      </c>
      <c r="G2319" s="13" t="e">
        <f t="shared" si="146"/>
        <v>#VALUE!</v>
      </c>
      <c r="J2319" t="str">
        <f>MAIN!A2324&amp;"B"</f>
        <v>B</v>
      </c>
      <c r="K2319" s="12" t="e">
        <f t="shared" si="147"/>
        <v>#VALUE!</v>
      </c>
      <c r="L2319" t="str">
        <f>MAIN!C2324</f>
        <v/>
      </c>
    </row>
    <row r="2320" spans="1:12" x14ac:dyDescent="0.3">
      <c r="A2320">
        <f>IF(J2320="0",0,IF(COUNTIF($J$2:J2320,J2320)=1,1,0))</f>
        <v>0</v>
      </c>
      <c r="B2320" s="12" t="e">
        <f>MID(MAIN!A2325,K2320,2)</f>
        <v>#VALUE!</v>
      </c>
      <c r="C2320" s="12" t="e">
        <f t="shared" si="144"/>
        <v>#VALUE!</v>
      </c>
      <c r="D2320" s="12" t="e">
        <f>MID(MAIN!A2325,K2320+2,2)</f>
        <v>#VALUE!</v>
      </c>
      <c r="E2320" s="12" t="e">
        <f>MID(MAIN!A2325,K2320+4,2)</f>
        <v>#VALUE!</v>
      </c>
      <c r="F2320" s="2" t="e">
        <f t="shared" si="145"/>
        <v>#VALUE!</v>
      </c>
      <c r="G2320" s="13" t="e">
        <f t="shared" si="146"/>
        <v>#VALUE!</v>
      </c>
      <c r="J2320" t="str">
        <f>MAIN!A2325&amp;"B"</f>
        <v>B</v>
      </c>
      <c r="K2320" s="12" t="e">
        <f t="shared" si="147"/>
        <v>#VALUE!</v>
      </c>
      <c r="L2320" t="str">
        <f>MAIN!C2325</f>
        <v/>
      </c>
    </row>
    <row r="2321" spans="1:12" x14ac:dyDescent="0.3">
      <c r="A2321">
        <f>IF(J2321="0",0,IF(COUNTIF($J$2:J2321,J2321)=1,1,0))</f>
        <v>0</v>
      </c>
      <c r="B2321" s="12" t="e">
        <f>MID(MAIN!A2326,K2321,2)</f>
        <v>#VALUE!</v>
      </c>
      <c r="C2321" s="12" t="e">
        <f t="shared" si="144"/>
        <v>#VALUE!</v>
      </c>
      <c r="D2321" s="12" t="e">
        <f>MID(MAIN!A2326,K2321+2,2)</f>
        <v>#VALUE!</v>
      </c>
      <c r="E2321" s="12" t="e">
        <f>MID(MAIN!A2326,K2321+4,2)</f>
        <v>#VALUE!</v>
      </c>
      <c r="F2321" s="2" t="e">
        <f t="shared" si="145"/>
        <v>#VALUE!</v>
      </c>
      <c r="G2321" s="13" t="e">
        <f t="shared" si="146"/>
        <v>#VALUE!</v>
      </c>
      <c r="J2321" t="str">
        <f>MAIN!A2326&amp;"B"</f>
        <v>B</v>
      </c>
      <c r="K2321" s="12" t="e">
        <f t="shared" si="147"/>
        <v>#VALUE!</v>
      </c>
      <c r="L2321" t="str">
        <f>MAIN!C2326</f>
        <v/>
      </c>
    </row>
    <row r="2322" spans="1:12" x14ac:dyDescent="0.3">
      <c r="A2322">
        <f>IF(J2322="0",0,IF(COUNTIF($J$2:J2322,J2322)=1,1,0))</f>
        <v>0</v>
      </c>
      <c r="B2322" s="12" t="e">
        <f>MID(MAIN!A2327,K2322,2)</f>
        <v>#VALUE!</v>
      </c>
      <c r="C2322" s="12" t="e">
        <f t="shared" si="144"/>
        <v>#VALUE!</v>
      </c>
      <c r="D2322" s="12" t="e">
        <f>MID(MAIN!A2327,K2322+2,2)</f>
        <v>#VALUE!</v>
      </c>
      <c r="E2322" s="12" t="e">
        <f>MID(MAIN!A2327,K2322+4,2)</f>
        <v>#VALUE!</v>
      </c>
      <c r="F2322" s="2" t="e">
        <f t="shared" si="145"/>
        <v>#VALUE!</v>
      </c>
      <c r="G2322" s="13" t="e">
        <f t="shared" si="146"/>
        <v>#VALUE!</v>
      </c>
      <c r="J2322" t="str">
        <f>MAIN!A2327&amp;"B"</f>
        <v>B</v>
      </c>
      <c r="K2322" s="12" t="e">
        <f t="shared" si="147"/>
        <v>#VALUE!</v>
      </c>
      <c r="L2322" t="str">
        <f>MAIN!C2327</f>
        <v/>
      </c>
    </row>
    <row r="2323" spans="1:12" x14ac:dyDescent="0.3">
      <c r="A2323">
        <f>IF(J2323="0",0,IF(COUNTIF($J$2:J2323,J2323)=1,1,0))</f>
        <v>0</v>
      </c>
      <c r="B2323" s="12" t="e">
        <f>MID(MAIN!A2328,K2323,2)</f>
        <v>#VALUE!</v>
      </c>
      <c r="C2323" s="12" t="e">
        <f t="shared" si="144"/>
        <v>#VALUE!</v>
      </c>
      <c r="D2323" s="12" t="e">
        <f>MID(MAIN!A2328,K2323+2,2)</f>
        <v>#VALUE!</v>
      </c>
      <c r="E2323" s="12" t="e">
        <f>MID(MAIN!A2328,K2323+4,2)</f>
        <v>#VALUE!</v>
      </c>
      <c r="F2323" s="2" t="e">
        <f t="shared" si="145"/>
        <v>#VALUE!</v>
      </c>
      <c r="G2323" s="13" t="e">
        <f t="shared" si="146"/>
        <v>#VALUE!</v>
      </c>
      <c r="J2323" t="str">
        <f>MAIN!A2328&amp;"B"</f>
        <v>B</v>
      </c>
      <c r="K2323" s="12" t="e">
        <f t="shared" si="147"/>
        <v>#VALUE!</v>
      </c>
      <c r="L2323" t="str">
        <f>MAIN!C2328</f>
        <v/>
      </c>
    </row>
    <row r="2324" spans="1:12" x14ac:dyDescent="0.3">
      <c r="A2324">
        <f>IF(J2324="0",0,IF(COUNTIF($J$2:J2324,J2324)=1,1,0))</f>
        <v>0</v>
      </c>
      <c r="B2324" s="12" t="e">
        <f>MID(MAIN!A2329,K2324,2)</f>
        <v>#VALUE!</v>
      </c>
      <c r="C2324" s="12" t="e">
        <f t="shared" si="144"/>
        <v>#VALUE!</v>
      </c>
      <c r="D2324" s="12" t="e">
        <f>MID(MAIN!A2329,K2324+2,2)</f>
        <v>#VALUE!</v>
      </c>
      <c r="E2324" s="12" t="e">
        <f>MID(MAIN!A2329,K2324+4,2)</f>
        <v>#VALUE!</v>
      </c>
      <c r="F2324" s="2" t="e">
        <f t="shared" si="145"/>
        <v>#VALUE!</v>
      </c>
      <c r="G2324" s="13" t="e">
        <f t="shared" si="146"/>
        <v>#VALUE!</v>
      </c>
      <c r="J2324" t="str">
        <f>MAIN!A2329&amp;"B"</f>
        <v>B</v>
      </c>
      <c r="K2324" s="12" t="e">
        <f t="shared" si="147"/>
        <v>#VALUE!</v>
      </c>
      <c r="L2324" t="str">
        <f>MAIN!C2329</f>
        <v/>
      </c>
    </row>
    <row r="2325" spans="1:12" x14ac:dyDescent="0.3">
      <c r="A2325">
        <f>IF(J2325="0",0,IF(COUNTIF($J$2:J2325,J2325)=1,1,0))</f>
        <v>0</v>
      </c>
      <c r="B2325" s="12" t="e">
        <f>MID(MAIN!A2330,K2325,2)</f>
        <v>#VALUE!</v>
      </c>
      <c r="C2325" s="12" t="e">
        <f t="shared" si="144"/>
        <v>#VALUE!</v>
      </c>
      <c r="D2325" s="12" t="e">
        <f>MID(MAIN!A2330,K2325+2,2)</f>
        <v>#VALUE!</v>
      </c>
      <c r="E2325" s="12" t="e">
        <f>MID(MAIN!A2330,K2325+4,2)</f>
        <v>#VALUE!</v>
      </c>
      <c r="F2325" s="2" t="e">
        <f t="shared" si="145"/>
        <v>#VALUE!</v>
      </c>
      <c r="G2325" s="13" t="e">
        <f t="shared" si="146"/>
        <v>#VALUE!</v>
      </c>
      <c r="J2325" t="str">
        <f>MAIN!A2330&amp;"B"</f>
        <v>B</v>
      </c>
      <c r="K2325" s="12" t="e">
        <f t="shared" si="147"/>
        <v>#VALUE!</v>
      </c>
      <c r="L2325" t="str">
        <f>MAIN!C2330</f>
        <v/>
      </c>
    </row>
    <row r="2326" spans="1:12" x14ac:dyDescent="0.3">
      <c r="A2326">
        <f>IF(J2326="0",0,IF(COUNTIF($J$2:J2326,J2326)=1,1,0))</f>
        <v>0</v>
      </c>
      <c r="B2326" s="12" t="e">
        <f>MID(MAIN!A2331,K2326,2)</f>
        <v>#VALUE!</v>
      </c>
      <c r="C2326" s="12" t="e">
        <f t="shared" si="144"/>
        <v>#VALUE!</v>
      </c>
      <c r="D2326" s="12" t="e">
        <f>MID(MAIN!A2331,K2326+2,2)</f>
        <v>#VALUE!</v>
      </c>
      <c r="E2326" s="12" t="e">
        <f>MID(MAIN!A2331,K2326+4,2)</f>
        <v>#VALUE!</v>
      </c>
      <c r="F2326" s="2" t="e">
        <f t="shared" si="145"/>
        <v>#VALUE!</v>
      </c>
      <c r="G2326" s="13" t="e">
        <f t="shared" si="146"/>
        <v>#VALUE!</v>
      </c>
      <c r="J2326" t="str">
        <f>MAIN!A2331&amp;"B"</f>
        <v>B</v>
      </c>
      <c r="K2326" s="12" t="e">
        <f t="shared" si="147"/>
        <v>#VALUE!</v>
      </c>
      <c r="L2326" t="str">
        <f>MAIN!C2331</f>
        <v/>
      </c>
    </row>
    <row r="2327" spans="1:12" x14ac:dyDescent="0.3">
      <c r="A2327">
        <f>IF(J2327="0",0,IF(COUNTIF($J$2:J2327,J2327)=1,1,0))</f>
        <v>0</v>
      </c>
      <c r="B2327" s="12" t="e">
        <f>MID(MAIN!A2332,K2327,2)</f>
        <v>#VALUE!</v>
      </c>
      <c r="C2327" s="12" t="e">
        <f t="shared" si="144"/>
        <v>#VALUE!</v>
      </c>
      <c r="D2327" s="12" t="e">
        <f>MID(MAIN!A2332,K2327+2,2)</f>
        <v>#VALUE!</v>
      </c>
      <c r="E2327" s="12" t="e">
        <f>MID(MAIN!A2332,K2327+4,2)</f>
        <v>#VALUE!</v>
      </c>
      <c r="F2327" s="2" t="e">
        <f t="shared" si="145"/>
        <v>#VALUE!</v>
      </c>
      <c r="G2327" s="13" t="e">
        <f t="shared" si="146"/>
        <v>#VALUE!</v>
      </c>
      <c r="J2327" t="str">
        <f>MAIN!A2332&amp;"B"</f>
        <v>B</v>
      </c>
      <c r="K2327" s="12" t="e">
        <f t="shared" si="147"/>
        <v>#VALUE!</v>
      </c>
      <c r="L2327" t="str">
        <f>MAIN!C2332</f>
        <v/>
      </c>
    </row>
    <row r="2328" spans="1:12" x14ac:dyDescent="0.3">
      <c r="A2328">
        <f>IF(J2328="0",0,IF(COUNTIF($J$2:J2328,J2328)=1,1,0))</f>
        <v>0</v>
      </c>
      <c r="B2328" s="12" t="e">
        <f>MID(MAIN!A2333,K2328,2)</f>
        <v>#VALUE!</v>
      </c>
      <c r="C2328" s="12" t="e">
        <f t="shared" si="144"/>
        <v>#VALUE!</v>
      </c>
      <c r="D2328" s="12" t="e">
        <f>MID(MAIN!A2333,K2328+2,2)</f>
        <v>#VALUE!</v>
      </c>
      <c r="E2328" s="12" t="e">
        <f>MID(MAIN!A2333,K2328+4,2)</f>
        <v>#VALUE!</v>
      </c>
      <c r="F2328" s="2" t="e">
        <f t="shared" si="145"/>
        <v>#VALUE!</v>
      </c>
      <c r="G2328" s="13" t="e">
        <f t="shared" si="146"/>
        <v>#VALUE!</v>
      </c>
      <c r="J2328" t="str">
        <f>MAIN!A2333&amp;"B"</f>
        <v>B</v>
      </c>
      <c r="K2328" s="12" t="e">
        <f t="shared" si="147"/>
        <v>#VALUE!</v>
      </c>
      <c r="L2328" t="str">
        <f>MAIN!C2333</f>
        <v/>
      </c>
    </row>
    <row r="2329" spans="1:12" x14ac:dyDescent="0.3">
      <c r="A2329">
        <f>IF(J2329="0",0,IF(COUNTIF($J$2:J2329,J2329)=1,1,0))</f>
        <v>0</v>
      </c>
      <c r="B2329" s="12" t="e">
        <f>MID(MAIN!A2334,K2329,2)</f>
        <v>#VALUE!</v>
      </c>
      <c r="C2329" s="12" t="e">
        <f t="shared" si="144"/>
        <v>#VALUE!</v>
      </c>
      <c r="D2329" s="12" t="e">
        <f>MID(MAIN!A2334,K2329+2,2)</f>
        <v>#VALUE!</v>
      </c>
      <c r="E2329" s="12" t="e">
        <f>MID(MAIN!A2334,K2329+4,2)</f>
        <v>#VALUE!</v>
      </c>
      <c r="F2329" s="2" t="e">
        <f t="shared" si="145"/>
        <v>#VALUE!</v>
      </c>
      <c r="G2329" s="13" t="e">
        <f t="shared" si="146"/>
        <v>#VALUE!</v>
      </c>
      <c r="J2329" t="str">
        <f>MAIN!A2334&amp;"B"</f>
        <v>B</v>
      </c>
      <c r="K2329" s="12" t="e">
        <f t="shared" si="147"/>
        <v>#VALUE!</v>
      </c>
      <c r="L2329" t="str">
        <f>MAIN!C2334</f>
        <v/>
      </c>
    </row>
    <row r="2330" spans="1:12" x14ac:dyDescent="0.3">
      <c r="A2330">
        <f>IF(J2330="0",0,IF(COUNTIF($J$2:J2330,J2330)=1,1,0))</f>
        <v>0</v>
      </c>
      <c r="B2330" s="12" t="e">
        <f>MID(MAIN!A2335,K2330,2)</f>
        <v>#VALUE!</v>
      </c>
      <c r="C2330" s="12" t="e">
        <f t="shared" si="144"/>
        <v>#VALUE!</v>
      </c>
      <c r="D2330" s="12" t="e">
        <f>MID(MAIN!A2335,K2330+2,2)</f>
        <v>#VALUE!</v>
      </c>
      <c r="E2330" s="12" t="e">
        <f>MID(MAIN!A2335,K2330+4,2)</f>
        <v>#VALUE!</v>
      </c>
      <c r="F2330" s="2" t="e">
        <f t="shared" si="145"/>
        <v>#VALUE!</v>
      </c>
      <c r="G2330" s="13" t="e">
        <f t="shared" si="146"/>
        <v>#VALUE!</v>
      </c>
      <c r="J2330" t="str">
        <f>MAIN!A2335&amp;"B"</f>
        <v>B</v>
      </c>
      <c r="K2330" s="12" t="e">
        <f t="shared" si="147"/>
        <v>#VALUE!</v>
      </c>
      <c r="L2330" t="str">
        <f>MAIN!C2335</f>
        <v/>
      </c>
    </row>
    <row r="2331" spans="1:12" x14ac:dyDescent="0.3">
      <c r="A2331">
        <f>IF(J2331="0",0,IF(COUNTIF($J$2:J2331,J2331)=1,1,0))</f>
        <v>0</v>
      </c>
      <c r="B2331" s="12" t="e">
        <f>MID(MAIN!A2336,K2331,2)</f>
        <v>#VALUE!</v>
      </c>
      <c r="C2331" s="12" t="e">
        <f t="shared" si="144"/>
        <v>#VALUE!</v>
      </c>
      <c r="D2331" s="12" t="e">
        <f>MID(MAIN!A2336,K2331+2,2)</f>
        <v>#VALUE!</v>
      </c>
      <c r="E2331" s="12" t="e">
        <f>MID(MAIN!A2336,K2331+4,2)</f>
        <v>#VALUE!</v>
      </c>
      <c r="F2331" s="2" t="e">
        <f t="shared" si="145"/>
        <v>#VALUE!</v>
      </c>
      <c r="G2331" s="13" t="e">
        <f t="shared" si="146"/>
        <v>#VALUE!</v>
      </c>
      <c r="J2331" t="str">
        <f>MAIN!A2336&amp;"B"</f>
        <v>B</v>
      </c>
      <c r="K2331" s="12" t="e">
        <f t="shared" si="147"/>
        <v>#VALUE!</v>
      </c>
      <c r="L2331" t="str">
        <f>MAIN!C2336</f>
        <v/>
      </c>
    </row>
    <row r="2332" spans="1:12" x14ac:dyDescent="0.3">
      <c r="A2332">
        <f>IF(J2332="0",0,IF(COUNTIF($J$2:J2332,J2332)=1,1,0))</f>
        <v>0</v>
      </c>
      <c r="B2332" s="12" t="e">
        <f>MID(MAIN!A2337,K2332,2)</f>
        <v>#VALUE!</v>
      </c>
      <c r="C2332" s="12" t="e">
        <f t="shared" si="144"/>
        <v>#VALUE!</v>
      </c>
      <c r="D2332" s="12" t="e">
        <f>MID(MAIN!A2337,K2332+2,2)</f>
        <v>#VALUE!</v>
      </c>
      <c r="E2332" s="12" t="e">
        <f>MID(MAIN!A2337,K2332+4,2)</f>
        <v>#VALUE!</v>
      </c>
      <c r="F2332" s="2" t="e">
        <f t="shared" si="145"/>
        <v>#VALUE!</v>
      </c>
      <c r="G2332" s="13" t="e">
        <f t="shared" si="146"/>
        <v>#VALUE!</v>
      </c>
      <c r="J2332" t="str">
        <f>MAIN!A2337&amp;"B"</f>
        <v>B</v>
      </c>
      <c r="K2332" s="12" t="e">
        <f t="shared" si="147"/>
        <v>#VALUE!</v>
      </c>
      <c r="L2332" t="str">
        <f>MAIN!C2337</f>
        <v/>
      </c>
    </row>
    <row r="2333" spans="1:12" x14ac:dyDescent="0.3">
      <c r="A2333">
        <f>IF(J2333="0",0,IF(COUNTIF($J$2:J2333,J2333)=1,1,0))</f>
        <v>0</v>
      </c>
      <c r="B2333" s="12" t="e">
        <f>MID(MAIN!A2338,K2333,2)</f>
        <v>#VALUE!</v>
      </c>
      <c r="C2333" s="12" t="e">
        <f t="shared" si="144"/>
        <v>#VALUE!</v>
      </c>
      <c r="D2333" s="12" t="e">
        <f>MID(MAIN!A2338,K2333+2,2)</f>
        <v>#VALUE!</v>
      </c>
      <c r="E2333" s="12" t="e">
        <f>MID(MAIN!A2338,K2333+4,2)</f>
        <v>#VALUE!</v>
      </c>
      <c r="F2333" s="2" t="e">
        <f t="shared" si="145"/>
        <v>#VALUE!</v>
      </c>
      <c r="G2333" s="13" t="e">
        <f t="shared" si="146"/>
        <v>#VALUE!</v>
      </c>
      <c r="J2333" t="str">
        <f>MAIN!A2338&amp;"B"</f>
        <v>B</v>
      </c>
      <c r="K2333" s="12" t="e">
        <f t="shared" si="147"/>
        <v>#VALUE!</v>
      </c>
      <c r="L2333" t="str">
        <f>MAIN!C2338</f>
        <v/>
      </c>
    </row>
    <row r="2334" spans="1:12" x14ac:dyDescent="0.3">
      <c r="A2334">
        <f>IF(J2334="0",0,IF(COUNTIF($J$2:J2334,J2334)=1,1,0))</f>
        <v>0</v>
      </c>
      <c r="B2334" s="12" t="e">
        <f>MID(MAIN!A2339,K2334,2)</f>
        <v>#VALUE!</v>
      </c>
      <c r="C2334" s="12" t="e">
        <f t="shared" si="144"/>
        <v>#VALUE!</v>
      </c>
      <c r="D2334" s="12" t="e">
        <f>MID(MAIN!A2339,K2334+2,2)</f>
        <v>#VALUE!</v>
      </c>
      <c r="E2334" s="12" t="e">
        <f>MID(MAIN!A2339,K2334+4,2)</f>
        <v>#VALUE!</v>
      </c>
      <c r="F2334" s="2" t="e">
        <f t="shared" si="145"/>
        <v>#VALUE!</v>
      </c>
      <c r="G2334" s="13" t="e">
        <f t="shared" si="146"/>
        <v>#VALUE!</v>
      </c>
      <c r="J2334" t="str">
        <f>MAIN!A2339&amp;"B"</f>
        <v>B</v>
      </c>
      <c r="K2334" s="12" t="e">
        <f t="shared" si="147"/>
        <v>#VALUE!</v>
      </c>
      <c r="L2334" t="str">
        <f>MAIN!C2339</f>
        <v/>
      </c>
    </row>
    <row r="2335" spans="1:12" x14ac:dyDescent="0.3">
      <c r="A2335">
        <f>IF(J2335="0",0,IF(COUNTIF($J$2:J2335,J2335)=1,1,0))</f>
        <v>0</v>
      </c>
      <c r="B2335" s="12" t="e">
        <f>MID(MAIN!A2340,K2335,2)</f>
        <v>#VALUE!</v>
      </c>
      <c r="C2335" s="12" t="e">
        <f t="shared" si="144"/>
        <v>#VALUE!</v>
      </c>
      <c r="D2335" s="12" t="e">
        <f>MID(MAIN!A2340,K2335+2,2)</f>
        <v>#VALUE!</v>
      </c>
      <c r="E2335" s="12" t="e">
        <f>MID(MAIN!A2340,K2335+4,2)</f>
        <v>#VALUE!</v>
      </c>
      <c r="F2335" s="2" t="e">
        <f t="shared" si="145"/>
        <v>#VALUE!</v>
      </c>
      <c r="G2335" s="13" t="e">
        <f t="shared" si="146"/>
        <v>#VALUE!</v>
      </c>
      <c r="J2335" t="str">
        <f>MAIN!A2340&amp;"B"</f>
        <v>B</v>
      </c>
      <c r="K2335" s="12" t="e">
        <f t="shared" si="147"/>
        <v>#VALUE!</v>
      </c>
      <c r="L2335" t="str">
        <f>MAIN!C2340</f>
        <v/>
      </c>
    </row>
    <row r="2336" spans="1:12" x14ac:dyDescent="0.3">
      <c r="A2336">
        <f>IF(J2336="0",0,IF(COUNTIF($J$2:J2336,J2336)=1,1,0))</f>
        <v>0</v>
      </c>
      <c r="B2336" s="12" t="e">
        <f>MID(MAIN!A2341,K2336,2)</f>
        <v>#VALUE!</v>
      </c>
      <c r="C2336" s="12" t="e">
        <f t="shared" si="144"/>
        <v>#VALUE!</v>
      </c>
      <c r="D2336" s="12" t="e">
        <f>MID(MAIN!A2341,K2336+2,2)</f>
        <v>#VALUE!</v>
      </c>
      <c r="E2336" s="12" t="e">
        <f>MID(MAIN!A2341,K2336+4,2)</f>
        <v>#VALUE!</v>
      </c>
      <c r="F2336" s="2" t="e">
        <f t="shared" si="145"/>
        <v>#VALUE!</v>
      </c>
      <c r="G2336" s="13" t="e">
        <f t="shared" si="146"/>
        <v>#VALUE!</v>
      </c>
      <c r="J2336" t="str">
        <f>MAIN!A2341&amp;"B"</f>
        <v>B</v>
      </c>
      <c r="K2336" s="12" t="e">
        <f t="shared" si="147"/>
        <v>#VALUE!</v>
      </c>
      <c r="L2336" t="str">
        <f>MAIN!C2341</f>
        <v/>
      </c>
    </row>
    <row r="2337" spans="1:12" x14ac:dyDescent="0.3">
      <c r="A2337">
        <f>IF(J2337="0",0,IF(COUNTIF($J$2:J2337,J2337)=1,1,0))</f>
        <v>0</v>
      </c>
      <c r="B2337" s="12" t="e">
        <f>MID(MAIN!A2342,K2337,2)</f>
        <v>#VALUE!</v>
      </c>
      <c r="C2337" s="12" t="e">
        <f t="shared" si="144"/>
        <v>#VALUE!</v>
      </c>
      <c r="D2337" s="12" t="e">
        <f>MID(MAIN!A2342,K2337+2,2)</f>
        <v>#VALUE!</v>
      </c>
      <c r="E2337" s="12" t="e">
        <f>MID(MAIN!A2342,K2337+4,2)</f>
        <v>#VALUE!</v>
      </c>
      <c r="F2337" s="2" t="e">
        <f t="shared" si="145"/>
        <v>#VALUE!</v>
      </c>
      <c r="G2337" s="13" t="e">
        <f t="shared" si="146"/>
        <v>#VALUE!</v>
      </c>
      <c r="J2337" t="str">
        <f>MAIN!A2342&amp;"B"</f>
        <v>B</v>
      </c>
      <c r="K2337" s="12" t="e">
        <f t="shared" si="147"/>
        <v>#VALUE!</v>
      </c>
      <c r="L2337" t="str">
        <f>MAIN!C2342</f>
        <v/>
      </c>
    </row>
    <row r="2338" spans="1:12" x14ac:dyDescent="0.3">
      <c r="A2338">
        <f>IF(J2338="0",0,IF(COUNTIF($J$2:J2338,J2338)=1,1,0))</f>
        <v>0</v>
      </c>
      <c r="B2338" s="12" t="e">
        <f>MID(MAIN!A2343,K2338,2)</f>
        <v>#VALUE!</v>
      </c>
      <c r="C2338" s="12" t="e">
        <f t="shared" si="144"/>
        <v>#VALUE!</v>
      </c>
      <c r="D2338" s="12" t="e">
        <f>MID(MAIN!A2343,K2338+2,2)</f>
        <v>#VALUE!</v>
      </c>
      <c r="E2338" s="12" t="e">
        <f>MID(MAIN!A2343,K2338+4,2)</f>
        <v>#VALUE!</v>
      </c>
      <c r="F2338" s="2" t="e">
        <f t="shared" si="145"/>
        <v>#VALUE!</v>
      </c>
      <c r="G2338" s="13" t="e">
        <f t="shared" si="146"/>
        <v>#VALUE!</v>
      </c>
      <c r="J2338" t="str">
        <f>MAIN!A2343&amp;"B"</f>
        <v>B</v>
      </c>
      <c r="K2338" s="12" t="e">
        <f t="shared" si="147"/>
        <v>#VALUE!</v>
      </c>
      <c r="L2338" t="str">
        <f>MAIN!C2343</f>
        <v/>
      </c>
    </row>
    <row r="2339" spans="1:12" x14ac:dyDescent="0.3">
      <c r="A2339">
        <f>IF(J2339="0",0,IF(COUNTIF($J$2:J2339,J2339)=1,1,0))</f>
        <v>0</v>
      </c>
      <c r="B2339" s="12" t="e">
        <f>MID(MAIN!A2344,K2339,2)</f>
        <v>#VALUE!</v>
      </c>
      <c r="C2339" s="12" t="e">
        <f t="shared" si="144"/>
        <v>#VALUE!</v>
      </c>
      <c r="D2339" s="12" t="e">
        <f>MID(MAIN!A2344,K2339+2,2)</f>
        <v>#VALUE!</v>
      </c>
      <c r="E2339" s="12" t="e">
        <f>MID(MAIN!A2344,K2339+4,2)</f>
        <v>#VALUE!</v>
      </c>
      <c r="F2339" s="2" t="e">
        <f t="shared" si="145"/>
        <v>#VALUE!</v>
      </c>
      <c r="G2339" s="13" t="e">
        <f t="shared" si="146"/>
        <v>#VALUE!</v>
      </c>
      <c r="J2339" t="str">
        <f>MAIN!A2344&amp;"B"</f>
        <v>B</v>
      </c>
      <c r="K2339" s="12" t="e">
        <f t="shared" si="147"/>
        <v>#VALUE!</v>
      </c>
      <c r="L2339" t="str">
        <f>MAIN!C2344</f>
        <v/>
      </c>
    </row>
    <row r="2340" spans="1:12" x14ac:dyDescent="0.3">
      <c r="A2340">
        <f>IF(J2340="0",0,IF(COUNTIF($J$2:J2340,J2340)=1,1,0))</f>
        <v>0</v>
      </c>
      <c r="B2340" s="12" t="e">
        <f>MID(MAIN!A2345,K2340,2)</f>
        <v>#VALUE!</v>
      </c>
      <c r="C2340" s="12" t="e">
        <f t="shared" si="144"/>
        <v>#VALUE!</v>
      </c>
      <c r="D2340" s="12" t="e">
        <f>MID(MAIN!A2345,K2340+2,2)</f>
        <v>#VALUE!</v>
      </c>
      <c r="E2340" s="12" t="e">
        <f>MID(MAIN!A2345,K2340+4,2)</f>
        <v>#VALUE!</v>
      </c>
      <c r="F2340" s="2" t="e">
        <f t="shared" si="145"/>
        <v>#VALUE!</v>
      </c>
      <c r="G2340" s="13" t="e">
        <f t="shared" si="146"/>
        <v>#VALUE!</v>
      </c>
      <c r="J2340" t="str">
        <f>MAIN!A2345&amp;"B"</f>
        <v>B</v>
      </c>
      <c r="K2340" s="12" t="e">
        <f t="shared" si="147"/>
        <v>#VALUE!</v>
      </c>
      <c r="L2340" t="str">
        <f>MAIN!C2345</f>
        <v/>
      </c>
    </row>
    <row r="2341" spans="1:12" x14ac:dyDescent="0.3">
      <c r="A2341">
        <f>IF(J2341="0",0,IF(COUNTIF($J$2:J2341,J2341)=1,1,0))</f>
        <v>0</v>
      </c>
      <c r="B2341" s="12" t="e">
        <f>MID(MAIN!A2346,K2341,2)</f>
        <v>#VALUE!</v>
      </c>
      <c r="C2341" s="12" t="e">
        <f t="shared" si="144"/>
        <v>#VALUE!</v>
      </c>
      <c r="D2341" s="12" t="e">
        <f>MID(MAIN!A2346,K2341+2,2)</f>
        <v>#VALUE!</v>
      </c>
      <c r="E2341" s="12" t="e">
        <f>MID(MAIN!A2346,K2341+4,2)</f>
        <v>#VALUE!</v>
      </c>
      <c r="F2341" s="2" t="e">
        <f t="shared" si="145"/>
        <v>#VALUE!</v>
      </c>
      <c r="G2341" s="13" t="e">
        <f t="shared" si="146"/>
        <v>#VALUE!</v>
      </c>
      <c r="J2341" t="str">
        <f>MAIN!A2346&amp;"B"</f>
        <v>B</v>
      </c>
      <c r="K2341" s="12" t="e">
        <f t="shared" si="147"/>
        <v>#VALUE!</v>
      </c>
      <c r="L2341" t="str">
        <f>MAIN!C2346</f>
        <v/>
      </c>
    </row>
    <row r="2342" spans="1:12" x14ac:dyDescent="0.3">
      <c r="A2342">
        <f>IF(J2342="0",0,IF(COUNTIF($J$2:J2342,J2342)=1,1,0))</f>
        <v>0</v>
      </c>
      <c r="B2342" s="12" t="e">
        <f>MID(MAIN!A2347,K2342,2)</f>
        <v>#VALUE!</v>
      </c>
      <c r="C2342" s="12" t="e">
        <f t="shared" si="144"/>
        <v>#VALUE!</v>
      </c>
      <c r="D2342" s="12" t="e">
        <f>MID(MAIN!A2347,K2342+2,2)</f>
        <v>#VALUE!</v>
      </c>
      <c r="E2342" s="12" t="e">
        <f>MID(MAIN!A2347,K2342+4,2)</f>
        <v>#VALUE!</v>
      </c>
      <c r="F2342" s="2" t="e">
        <f t="shared" si="145"/>
        <v>#VALUE!</v>
      </c>
      <c r="G2342" s="13" t="e">
        <f t="shared" si="146"/>
        <v>#VALUE!</v>
      </c>
      <c r="J2342" t="str">
        <f>MAIN!A2347&amp;"B"</f>
        <v>B</v>
      </c>
      <c r="K2342" s="12" t="e">
        <f t="shared" si="147"/>
        <v>#VALUE!</v>
      </c>
      <c r="L2342" t="str">
        <f>MAIN!C2347</f>
        <v/>
      </c>
    </row>
    <row r="2343" spans="1:12" x14ac:dyDescent="0.3">
      <c r="A2343">
        <f>IF(J2343="0",0,IF(COUNTIF($J$2:J2343,J2343)=1,1,0))</f>
        <v>0</v>
      </c>
      <c r="B2343" s="12" t="e">
        <f>MID(MAIN!A2348,K2343,2)</f>
        <v>#VALUE!</v>
      </c>
      <c r="C2343" s="12" t="e">
        <f t="shared" si="144"/>
        <v>#VALUE!</v>
      </c>
      <c r="D2343" s="12" t="e">
        <f>MID(MAIN!A2348,K2343+2,2)</f>
        <v>#VALUE!</v>
      </c>
      <c r="E2343" s="12" t="e">
        <f>MID(MAIN!A2348,K2343+4,2)</f>
        <v>#VALUE!</v>
      </c>
      <c r="F2343" s="2" t="e">
        <f t="shared" si="145"/>
        <v>#VALUE!</v>
      </c>
      <c r="G2343" s="13" t="e">
        <f t="shared" si="146"/>
        <v>#VALUE!</v>
      </c>
      <c r="J2343" t="str">
        <f>MAIN!A2348&amp;"B"</f>
        <v>B</v>
      </c>
      <c r="K2343" s="12" t="e">
        <f t="shared" si="147"/>
        <v>#VALUE!</v>
      </c>
      <c r="L2343" t="str">
        <f>MAIN!C2348</f>
        <v/>
      </c>
    </row>
    <row r="2344" spans="1:12" x14ac:dyDescent="0.3">
      <c r="A2344">
        <f>IF(J2344="0",0,IF(COUNTIF($J$2:J2344,J2344)=1,1,0))</f>
        <v>0</v>
      </c>
      <c r="B2344" s="12" t="e">
        <f>MID(MAIN!A2349,K2344,2)</f>
        <v>#VALUE!</v>
      </c>
      <c r="C2344" s="12" t="e">
        <f t="shared" si="144"/>
        <v>#VALUE!</v>
      </c>
      <c r="D2344" s="12" t="e">
        <f>MID(MAIN!A2349,K2344+2,2)</f>
        <v>#VALUE!</v>
      </c>
      <c r="E2344" s="12" t="e">
        <f>MID(MAIN!A2349,K2344+4,2)</f>
        <v>#VALUE!</v>
      </c>
      <c r="F2344" s="2" t="e">
        <f t="shared" si="145"/>
        <v>#VALUE!</v>
      </c>
      <c r="G2344" s="13" t="e">
        <f t="shared" si="146"/>
        <v>#VALUE!</v>
      </c>
      <c r="J2344" t="str">
        <f>MAIN!A2349&amp;"B"</f>
        <v>B</v>
      </c>
      <c r="K2344" s="12" t="e">
        <f t="shared" si="147"/>
        <v>#VALUE!</v>
      </c>
      <c r="L2344" t="str">
        <f>MAIN!C2349</f>
        <v/>
      </c>
    </row>
    <row r="2345" spans="1:12" x14ac:dyDescent="0.3">
      <c r="A2345">
        <f>IF(J2345="0",0,IF(COUNTIF($J$2:J2345,J2345)=1,1,0))</f>
        <v>0</v>
      </c>
      <c r="B2345" s="12" t="e">
        <f>MID(MAIN!A2350,K2345,2)</f>
        <v>#VALUE!</v>
      </c>
      <c r="C2345" s="12" t="e">
        <f t="shared" si="144"/>
        <v>#VALUE!</v>
      </c>
      <c r="D2345" s="12" t="e">
        <f>MID(MAIN!A2350,K2345+2,2)</f>
        <v>#VALUE!</v>
      </c>
      <c r="E2345" s="12" t="e">
        <f>MID(MAIN!A2350,K2345+4,2)</f>
        <v>#VALUE!</v>
      </c>
      <c r="F2345" s="2" t="e">
        <f t="shared" si="145"/>
        <v>#VALUE!</v>
      </c>
      <c r="G2345" s="13" t="e">
        <f t="shared" si="146"/>
        <v>#VALUE!</v>
      </c>
      <c r="J2345" t="str">
        <f>MAIN!A2350&amp;"B"</f>
        <v>B</v>
      </c>
      <c r="K2345" s="12" t="e">
        <f t="shared" si="147"/>
        <v>#VALUE!</v>
      </c>
      <c r="L2345" t="str">
        <f>MAIN!C2350</f>
        <v/>
      </c>
    </row>
    <row r="2346" spans="1:12" x14ac:dyDescent="0.3">
      <c r="A2346">
        <f>IF(J2346="0",0,IF(COUNTIF($J$2:J2346,J2346)=1,1,0))</f>
        <v>0</v>
      </c>
      <c r="B2346" s="12" t="e">
        <f>MID(MAIN!A2351,K2346,2)</f>
        <v>#VALUE!</v>
      </c>
      <c r="C2346" s="12" t="e">
        <f t="shared" si="144"/>
        <v>#VALUE!</v>
      </c>
      <c r="D2346" s="12" t="e">
        <f>MID(MAIN!A2351,K2346+2,2)</f>
        <v>#VALUE!</v>
      </c>
      <c r="E2346" s="12" t="e">
        <f>MID(MAIN!A2351,K2346+4,2)</f>
        <v>#VALUE!</v>
      </c>
      <c r="F2346" s="2" t="e">
        <f t="shared" si="145"/>
        <v>#VALUE!</v>
      </c>
      <c r="G2346" s="13" t="e">
        <f t="shared" si="146"/>
        <v>#VALUE!</v>
      </c>
      <c r="J2346" t="str">
        <f>MAIN!A2351&amp;"B"</f>
        <v>B</v>
      </c>
      <c r="K2346" s="12" t="e">
        <f t="shared" si="147"/>
        <v>#VALUE!</v>
      </c>
      <c r="L2346" t="str">
        <f>MAIN!C2351</f>
        <v/>
      </c>
    </row>
    <row r="2347" spans="1:12" x14ac:dyDescent="0.3">
      <c r="A2347">
        <f>IF(J2347="0",0,IF(COUNTIF($J$2:J2347,J2347)=1,1,0))</f>
        <v>0</v>
      </c>
      <c r="B2347" s="12" t="e">
        <f>MID(MAIN!A2352,K2347,2)</f>
        <v>#VALUE!</v>
      </c>
      <c r="C2347" s="12" t="e">
        <f t="shared" si="144"/>
        <v>#VALUE!</v>
      </c>
      <c r="D2347" s="12" t="e">
        <f>MID(MAIN!A2352,K2347+2,2)</f>
        <v>#VALUE!</v>
      </c>
      <c r="E2347" s="12" t="e">
        <f>MID(MAIN!A2352,K2347+4,2)</f>
        <v>#VALUE!</v>
      </c>
      <c r="F2347" s="2" t="e">
        <f t="shared" si="145"/>
        <v>#VALUE!</v>
      </c>
      <c r="G2347" s="13" t="e">
        <f t="shared" si="146"/>
        <v>#VALUE!</v>
      </c>
      <c r="J2347" t="str">
        <f>MAIN!A2352&amp;"B"</f>
        <v>B</v>
      </c>
      <c r="K2347" s="12" t="e">
        <f t="shared" si="147"/>
        <v>#VALUE!</v>
      </c>
      <c r="L2347" t="str">
        <f>MAIN!C2352</f>
        <v/>
      </c>
    </row>
    <row r="2348" spans="1:12" x14ac:dyDescent="0.3">
      <c r="A2348">
        <f>IF(J2348="0",0,IF(COUNTIF($J$2:J2348,J2348)=1,1,0))</f>
        <v>0</v>
      </c>
      <c r="B2348" s="12" t="e">
        <f>MID(MAIN!A2353,K2348,2)</f>
        <v>#VALUE!</v>
      </c>
      <c r="C2348" s="12" t="e">
        <f t="shared" si="144"/>
        <v>#VALUE!</v>
      </c>
      <c r="D2348" s="12" t="e">
        <f>MID(MAIN!A2353,K2348+2,2)</f>
        <v>#VALUE!</v>
      </c>
      <c r="E2348" s="12" t="e">
        <f>MID(MAIN!A2353,K2348+4,2)</f>
        <v>#VALUE!</v>
      </c>
      <c r="F2348" s="2" t="e">
        <f t="shared" si="145"/>
        <v>#VALUE!</v>
      </c>
      <c r="G2348" s="13" t="e">
        <f t="shared" si="146"/>
        <v>#VALUE!</v>
      </c>
      <c r="J2348" t="str">
        <f>MAIN!A2353&amp;"B"</f>
        <v>B</v>
      </c>
      <c r="K2348" s="12" t="e">
        <f t="shared" si="147"/>
        <v>#VALUE!</v>
      </c>
      <c r="L2348" t="str">
        <f>MAIN!C2353</f>
        <v/>
      </c>
    </row>
    <row r="2349" spans="1:12" x14ac:dyDescent="0.3">
      <c r="A2349">
        <f>IF(J2349="0",0,IF(COUNTIF($J$2:J2349,J2349)=1,1,0))</f>
        <v>0</v>
      </c>
      <c r="B2349" s="12" t="e">
        <f>MID(MAIN!A2354,K2349,2)</f>
        <v>#VALUE!</v>
      </c>
      <c r="C2349" s="12" t="e">
        <f t="shared" si="144"/>
        <v>#VALUE!</v>
      </c>
      <c r="D2349" s="12" t="e">
        <f>MID(MAIN!A2354,K2349+2,2)</f>
        <v>#VALUE!</v>
      </c>
      <c r="E2349" s="12" t="e">
        <f>MID(MAIN!A2354,K2349+4,2)</f>
        <v>#VALUE!</v>
      </c>
      <c r="F2349" s="2" t="e">
        <f t="shared" si="145"/>
        <v>#VALUE!</v>
      </c>
      <c r="G2349" s="13" t="e">
        <f t="shared" si="146"/>
        <v>#VALUE!</v>
      </c>
      <c r="J2349" t="str">
        <f>MAIN!A2354&amp;"B"</f>
        <v>B</v>
      </c>
      <c r="K2349" s="12" t="e">
        <f t="shared" si="147"/>
        <v>#VALUE!</v>
      </c>
      <c r="L2349" t="str">
        <f>MAIN!C2354</f>
        <v/>
      </c>
    </row>
    <row r="2350" spans="1:12" x14ac:dyDescent="0.3">
      <c r="A2350">
        <f>IF(J2350="0",0,IF(COUNTIF($J$2:J2350,J2350)=1,1,0))</f>
        <v>0</v>
      </c>
      <c r="B2350" s="12" t="e">
        <f>MID(MAIN!A2355,K2350,2)</f>
        <v>#VALUE!</v>
      </c>
      <c r="C2350" s="12" t="e">
        <f t="shared" si="144"/>
        <v>#VALUE!</v>
      </c>
      <c r="D2350" s="12" t="e">
        <f>MID(MAIN!A2355,K2350+2,2)</f>
        <v>#VALUE!</v>
      </c>
      <c r="E2350" s="12" t="e">
        <f>MID(MAIN!A2355,K2350+4,2)</f>
        <v>#VALUE!</v>
      </c>
      <c r="F2350" s="2" t="e">
        <f t="shared" si="145"/>
        <v>#VALUE!</v>
      </c>
      <c r="G2350" s="13" t="e">
        <f t="shared" si="146"/>
        <v>#VALUE!</v>
      </c>
      <c r="J2350" t="str">
        <f>MAIN!A2355&amp;"B"</f>
        <v>B</v>
      </c>
      <c r="K2350" s="12" t="e">
        <f t="shared" si="147"/>
        <v>#VALUE!</v>
      </c>
      <c r="L2350" t="str">
        <f>MAIN!C2355</f>
        <v/>
      </c>
    </row>
    <row r="2351" spans="1:12" x14ac:dyDescent="0.3">
      <c r="A2351">
        <f>IF(J2351="0",0,IF(COUNTIF($J$2:J2351,J2351)=1,1,0))</f>
        <v>0</v>
      </c>
      <c r="B2351" s="12" t="e">
        <f>MID(MAIN!A2356,K2351,2)</f>
        <v>#VALUE!</v>
      </c>
      <c r="C2351" s="12" t="e">
        <f t="shared" si="144"/>
        <v>#VALUE!</v>
      </c>
      <c r="D2351" s="12" t="e">
        <f>MID(MAIN!A2356,K2351+2,2)</f>
        <v>#VALUE!</v>
      </c>
      <c r="E2351" s="12" t="e">
        <f>MID(MAIN!A2356,K2351+4,2)</f>
        <v>#VALUE!</v>
      </c>
      <c r="F2351" s="2" t="e">
        <f t="shared" si="145"/>
        <v>#VALUE!</v>
      </c>
      <c r="G2351" s="13" t="e">
        <f t="shared" si="146"/>
        <v>#VALUE!</v>
      </c>
      <c r="J2351" t="str">
        <f>MAIN!A2356&amp;"B"</f>
        <v>B</v>
      </c>
      <c r="K2351" s="12" t="e">
        <f t="shared" si="147"/>
        <v>#VALUE!</v>
      </c>
      <c r="L2351" t="str">
        <f>MAIN!C2356</f>
        <v/>
      </c>
    </row>
    <row r="2352" spans="1:12" x14ac:dyDescent="0.3">
      <c r="A2352">
        <f>IF(J2352="0",0,IF(COUNTIF($J$2:J2352,J2352)=1,1,0))</f>
        <v>0</v>
      </c>
      <c r="B2352" s="12" t="e">
        <f>MID(MAIN!A2357,K2352,2)</f>
        <v>#VALUE!</v>
      </c>
      <c r="C2352" s="12" t="e">
        <f t="shared" si="144"/>
        <v>#VALUE!</v>
      </c>
      <c r="D2352" s="12" t="e">
        <f>MID(MAIN!A2357,K2352+2,2)</f>
        <v>#VALUE!</v>
      </c>
      <c r="E2352" s="12" t="e">
        <f>MID(MAIN!A2357,K2352+4,2)</f>
        <v>#VALUE!</v>
      </c>
      <c r="F2352" s="2" t="e">
        <f t="shared" si="145"/>
        <v>#VALUE!</v>
      </c>
      <c r="G2352" s="13" t="e">
        <f t="shared" si="146"/>
        <v>#VALUE!</v>
      </c>
      <c r="J2352" t="str">
        <f>MAIN!A2357&amp;"B"</f>
        <v>B</v>
      </c>
      <c r="K2352" s="12" t="e">
        <f t="shared" si="147"/>
        <v>#VALUE!</v>
      </c>
      <c r="L2352" t="str">
        <f>MAIN!C2357</f>
        <v/>
      </c>
    </row>
    <row r="2353" spans="1:12" x14ac:dyDescent="0.3">
      <c r="A2353">
        <f>IF(J2353="0",0,IF(COUNTIF($J$2:J2353,J2353)=1,1,0))</f>
        <v>0</v>
      </c>
      <c r="B2353" s="12" t="e">
        <f>MID(MAIN!A2358,K2353,2)</f>
        <v>#VALUE!</v>
      </c>
      <c r="C2353" s="12" t="e">
        <f t="shared" si="144"/>
        <v>#VALUE!</v>
      </c>
      <c r="D2353" s="12" t="e">
        <f>MID(MAIN!A2358,K2353+2,2)</f>
        <v>#VALUE!</v>
      </c>
      <c r="E2353" s="12" t="e">
        <f>MID(MAIN!A2358,K2353+4,2)</f>
        <v>#VALUE!</v>
      </c>
      <c r="F2353" s="2" t="e">
        <f t="shared" si="145"/>
        <v>#VALUE!</v>
      </c>
      <c r="G2353" s="13" t="e">
        <f t="shared" si="146"/>
        <v>#VALUE!</v>
      </c>
      <c r="J2353" t="str">
        <f>MAIN!A2358&amp;"B"</f>
        <v>B</v>
      </c>
      <c r="K2353" s="12" t="e">
        <f t="shared" si="147"/>
        <v>#VALUE!</v>
      </c>
      <c r="L2353" t="str">
        <f>MAIN!C2358</f>
        <v/>
      </c>
    </row>
    <row r="2354" spans="1:12" x14ac:dyDescent="0.3">
      <c r="A2354">
        <f>IF(J2354="0",0,IF(COUNTIF($J$2:J2354,J2354)=1,1,0))</f>
        <v>0</v>
      </c>
      <c r="B2354" s="12" t="e">
        <f>MID(MAIN!A2359,K2354,2)</f>
        <v>#VALUE!</v>
      </c>
      <c r="C2354" s="12" t="e">
        <f t="shared" si="144"/>
        <v>#VALUE!</v>
      </c>
      <c r="D2354" s="12" t="e">
        <f>MID(MAIN!A2359,K2354+2,2)</f>
        <v>#VALUE!</v>
      </c>
      <c r="E2354" s="12" t="e">
        <f>MID(MAIN!A2359,K2354+4,2)</f>
        <v>#VALUE!</v>
      </c>
      <c r="F2354" s="2" t="e">
        <f t="shared" si="145"/>
        <v>#VALUE!</v>
      </c>
      <c r="G2354" s="13" t="e">
        <f t="shared" si="146"/>
        <v>#VALUE!</v>
      </c>
      <c r="J2354" t="str">
        <f>MAIN!A2359&amp;"B"</f>
        <v>B</v>
      </c>
      <c r="K2354" s="12" t="e">
        <f t="shared" si="147"/>
        <v>#VALUE!</v>
      </c>
      <c r="L2354" t="str">
        <f>MAIN!C2359</f>
        <v/>
      </c>
    </row>
    <row r="2355" spans="1:12" x14ac:dyDescent="0.3">
      <c r="A2355">
        <f>IF(J2355="0",0,IF(COUNTIF($J$2:J2355,J2355)=1,1,0))</f>
        <v>0</v>
      </c>
      <c r="B2355" s="12" t="e">
        <f>MID(MAIN!A2360,K2355,2)</f>
        <v>#VALUE!</v>
      </c>
      <c r="C2355" s="12" t="e">
        <f t="shared" si="144"/>
        <v>#VALUE!</v>
      </c>
      <c r="D2355" s="12" t="e">
        <f>MID(MAIN!A2360,K2355+2,2)</f>
        <v>#VALUE!</v>
      </c>
      <c r="E2355" s="12" t="e">
        <f>MID(MAIN!A2360,K2355+4,2)</f>
        <v>#VALUE!</v>
      </c>
      <c r="F2355" s="2" t="e">
        <f t="shared" si="145"/>
        <v>#VALUE!</v>
      </c>
      <c r="G2355" s="13" t="e">
        <f t="shared" si="146"/>
        <v>#VALUE!</v>
      </c>
      <c r="J2355" t="str">
        <f>MAIN!A2360&amp;"B"</f>
        <v>B</v>
      </c>
      <c r="K2355" s="12" t="e">
        <f t="shared" si="147"/>
        <v>#VALUE!</v>
      </c>
      <c r="L2355" t="str">
        <f>MAIN!C2360</f>
        <v/>
      </c>
    </row>
    <row r="2356" spans="1:12" x14ac:dyDescent="0.3">
      <c r="A2356">
        <f>IF(J2356="0",0,IF(COUNTIF($J$2:J2356,J2356)=1,1,0))</f>
        <v>0</v>
      </c>
      <c r="B2356" s="12" t="e">
        <f>MID(MAIN!A2361,K2356,2)</f>
        <v>#VALUE!</v>
      </c>
      <c r="C2356" s="12" t="e">
        <f t="shared" si="144"/>
        <v>#VALUE!</v>
      </c>
      <c r="D2356" s="12" t="e">
        <f>MID(MAIN!A2361,K2356+2,2)</f>
        <v>#VALUE!</v>
      </c>
      <c r="E2356" s="12" t="e">
        <f>MID(MAIN!A2361,K2356+4,2)</f>
        <v>#VALUE!</v>
      </c>
      <c r="F2356" s="2" t="e">
        <f t="shared" si="145"/>
        <v>#VALUE!</v>
      </c>
      <c r="G2356" s="13" t="e">
        <f t="shared" si="146"/>
        <v>#VALUE!</v>
      </c>
      <c r="J2356" t="str">
        <f>MAIN!A2361&amp;"B"</f>
        <v>B</v>
      </c>
      <c r="K2356" s="12" t="e">
        <f t="shared" si="147"/>
        <v>#VALUE!</v>
      </c>
      <c r="L2356" t="str">
        <f>MAIN!C2361</f>
        <v/>
      </c>
    </row>
    <row r="2357" spans="1:12" x14ac:dyDescent="0.3">
      <c r="A2357">
        <f>IF(J2357="0",0,IF(COUNTIF($J$2:J2357,J2357)=1,1,0))</f>
        <v>0</v>
      </c>
      <c r="B2357" s="12" t="e">
        <f>MID(MAIN!A2362,K2357,2)</f>
        <v>#VALUE!</v>
      </c>
      <c r="C2357" s="12" t="e">
        <f t="shared" si="144"/>
        <v>#VALUE!</v>
      </c>
      <c r="D2357" s="12" t="e">
        <f>MID(MAIN!A2362,K2357+2,2)</f>
        <v>#VALUE!</v>
      </c>
      <c r="E2357" s="12" t="e">
        <f>MID(MAIN!A2362,K2357+4,2)</f>
        <v>#VALUE!</v>
      </c>
      <c r="F2357" s="2" t="e">
        <f t="shared" si="145"/>
        <v>#VALUE!</v>
      </c>
      <c r="G2357" s="13" t="e">
        <f t="shared" si="146"/>
        <v>#VALUE!</v>
      </c>
      <c r="J2357" t="str">
        <f>MAIN!A2362&amp;"B"</f>
        <v>B</v>
      </c>
      <c r="K2357" s="12" t="e">
        <f t="shared" si="147"/>
        <v>#VALUE!</v>
      </c>
      <c r="L2357" t="str">
        <f>MAIN!C2362</f>
        <v/>
      </c>
    </row>
    <row r="2358" spans="1:12" x14ac:dyDescent="0.3">
      <c r="A2358">
        <f>IF(J2358="0",0,IF(COUNTIF($J$2:J2358,J2358)=1,1,0))</f>
        <v>0</v>
      </c>
      <c r="B2358" s="12" t="e">
        <f>MID(MAIN!A2363,K2358,2)</f>
        <v>#VALUE!</v>
      </c>
      <c r="C2358" s="12" t="e">
        <f t="shared" si="144"/>
        <v>#VALUE!</v>
      </c>
      <c r="D2358" s="12" t="e">
        <f>MID(MAIN!A2363,K2358+2,2)</f>
        <v>#VALUE!</v>
      </c>
      <c r="E2358" s="12" t="e">
        <f>MID(MAIN!A2363,K2358+4,2)</f>
        <v>#VALUE!</v>
      </c>
      <c r="F2358" s="2" t="e">
        <f t="shared" si="145"/>
        <v>#VALUE!</v>
      </c>
      <c r="G2358" s="13" t="e">
        <f t="shared" si="146"/>
        <v>#VALUE!</v>
      </c>
      <c r="J2358" t="str">
        <f>MAIN!A2363&amp;"B"</f>
        <v>B</v>
      </c>
      <c r="K2358" s="12" t="e">
        <f t="shared" si="147"/>
        <v>#VALUE!</v>
      </c>
      <c r="L2358" t="str">
        <f>MAIN!C2363</f>
        <v/>
      </c>
    </row>
    <row r="2359" spans="1:12" x14ac:dyDescent="0.3">
      <c r="A2359">
        <f>IF(J2359="0",0,IF(COUNTIF($J$2:J2359,J2359)=1,1,0))</f>
        <v>0</v>
      </c>
      <c r="B2359" s="12" t="e">
        <f>MID(MAIN!A2364,K2359,2)</f>
        <v>#VALUE!</v>
      </c>
      <c r="C2359" s="12" t="e">
        <f t="shared" si="144"/>
        <v>#VALUE!</v>
      </c>
      <c r="D2359" s="12" t="e">
        <f>MID(MAIN!A2364,K2359+2,2)</f>
        <v>#VALUE!</v>
      </c>
      <c r="E2359" s="12" t="e">
        <f>MID(MAIN!A2364,K2359+4,2)</f>
        <v>#VALUE!</v>
      </c>
      <c r="F2359" s="2" t="e">
        <f t="shared" si="145"/>
        <v>#VALUE!</v>
      </c>
      <c r="G2359" s="13" t="e">
        <f t="shared" si="146"/>
        <v>#VALUE!</v>
      </c>
      <c r="J2359" t="str">
        <f>MAIN!A2364&amp;"B"</f>
        <v>B</v>
      </c>
      <c r="K2359" s="12" t="e">
        <f t="shared" si="147"/>
        <v>#VALUE!</v>
      </c>
      <c r="L2359" t="str">
        <f>MAIN!C2364</f>
        <v/>
      </c>
    </row>
    <row r="2360" spans="1:12" x14ac:dyDescent="0.3">
      <c r="A2360">
        <f>IF(J2360="0",0,IF(COUNTIF($J$2:J2360,J2360)=1,1,0))</f>
        <v>0</v>
      </c>
      <c r="B2360" s="12" t="e">
        <f>MID(MAIN!A2365,K2360,2)</f>
        <v>#VALUE!</v>
      </c>
      <c r="C2360" s="12" t="e">
        <f t="shared" si="144"/>
        <v>#VALUE!</v>
      </c>
      <c r="D2360" s="12" t="e">
        <f>MID(MAIN!A2365,K2360+2,2)</f>
        <v>#VALUE!</v>
      </c>
      <c r="E2360" s="12" t="e">
        <f>MID(MAIN!A2365,K2360+4,2)</f>
        <v>#VALUE!</v>
      </c>
      <c r="F2360" s="2" t="e">
        <f t="shared" si="145"/>
        <v>#VALUE!</v>
      </c>
      <c r="G2360" s="13" t="e">
        <f t="shared" si="146"/>
        <v>#VALUE!</v>
      </c>
      <c r="J2360" t="str">
        <f>MAIN!A2365&amp;"B"</f>
        <v>B</v>
      </c>
      <c r="K2360" s="12" t="e">
        <f t="shared" si="147"/>
        <v>#VALUE!</v>
      </c>
      <c r="L2360" t="str">
        <f>MAIN!C2365</f>
        <v/>
      </c>
    </row>
    <row r="2361" spans="1:12" x14ac:dyDescent="0.3">
      <c r="A2361">
        <f>IF(J2361="0",0,IF(COUNTIF($J$2:J2361,J2361)=1,1,0))</f>
        <v>0</v>
      </c>
      <c r="B2361" s="12" t="e">
        <f>MID(MAIN!A2366,K2361,2)</f>
        <v>#VALUE!</v>
      </c>
      <c r="C2361" s="12" t="e">
        <f t="shared" si="144"/>
        <v>#VALUE!</v>
      </c>
      <c r="D2361" s="12" t="e">
        <f>MID(MAIN!A2366,K2361+2,2)</f>
        <v>#VALUE!</v>
      </c>
      <c r="E2361" s="12" t="e">
        <f>MID(MAIN!A2366,K2361+4,2)</f>
        <v>#VALUE!</v>
      </c>
      <c r="F2361" s="2" t="e">
        <f t="shared" si="145"/>
        <v>#VALUE!</v>
      </c>
      <c r="G2361" s="13" t="e">
        <f t="shared" si="146"/>
        <v>#VALUE!</v>
      </c>
      <c r="J2361" t="str">
        <f>MAIN!A2366&amp;"B"</f>
        <v>B</v>
      </c>
      <c r="K2361" s="12" t="e">
        <f t="shared" si="147"/>
        <v>#VALUE!</v>
      </c>
      <c r="L2361" t="str">
        <f>MAIN!C2366</f>
        <v/>
      </c>
    </row>
    <row r="2362" spans="1:12" x14ac:dyDescent="0.3">
      <c r="A2362">
        <f>IF(J2362="0",0,IF(COUNTIF($J$2:J2362,J2362)=1,1,0))</f>
        <v>0</v>
      </c>
      <c r="B2362" s="12" t="e">
        <f>MID(MAIN!A2367,K2362,2)</f>
        <v>#VALUE!</v>
      </c>
      <c r="C2362" s="12" t="e">
        <f t="shared" si="144"/>
        <v>#VALUE!</v>
      </c>
      <c r="D2362" s="12" t="e">
        <f>MID(MAIN!A2367,K2362+2,2)</f>
        <v>#VALUE!</v>
      </c>
      <c r="E2362" s="12" t="e">
        <f>MID(MAIN!A2367,K2362+4,2)</f>
        <v>#VALUE!</v>
      </c>
      <c r="F2362" s="2" t="e">
        <f t="shared" si="145"/>
        <v>#VALUE!</v>
      </c>
      <c r="G2362" s="13" t="e">
        <f t="shared" si="146"/>
        <v>#VALUE!</v>
      </c>
      <c r="J2362" t="str">
        <f>MAIN!A2367&amp;"B"</f>
        <v>B</v>
      </c>
      <c r="K2362" s="12" t="e">
        <f t="shared" si="147"/>
        <v>#VALUE!</v>
      </c>
      <c r="L2362" t="str">
        <f>MAIN!C2367</f>
        <v/>
      </c>
    </row>
    <row r="2363" spans="1:12" x14ac:dyDescent="0.3">
      <c r="A2363">
        <f>IF(J2363="0",0,IF(COUNTIF($J$2:J2363,J2363)=1,1,0))</f>
        <v>0</v>
      </c>
      <c r="B2363" s="12" t="e">
        <f>MID(MAIN!A2368,K2363,2)</f>
        <v>#VALUE!</v>
      </c>
      <c r="C2363" s="12" t="e">
        <f t="shared" si="144"/>
        <v>#VALUE!</v>
      </c>
      <c r="D2363" s="12" t="e">
        <f>MID(MAIN!A2368,K2363+2,2)</f>
        <v>#VALUE!</v>
      </c>
      <c r="E2363" s="12" t="e">
        <f>MID(MAIN!A2368,K2363+4,2)</f>
        <v>#VALUE!</v>
      </c>
      <c r="F2363" s="2" t="e">
        <f t="shared" si="145"/>
        <v>#VALUE!</v>
      </c>
      <c r="G2363" s="13" t="e">
        <f t="shared" si="146"/>
        <v>#VALUE!</v>
      </c>
      <c r="J2363" t="str">
        <f>MAIN!A2368&amp;"B"</f>
        <v>B</v>
      </c>
      <c r="K2363" s="12" t="e">
        <f t="shared" si="147"/>
        <v>#VALUE!</v>
      </c>
      <c r="L2363" t="str">
        <f>MAIN!C2368</f>
        <v/>
      </c>
    </row>
    <row r="2364" spans="1:12" x14ac:dyDescent="0.3">
      <c r="A2364">
        <f>IF(J2364="0",0,IF(COUNTIF($J$2:J2364,J2364)=1,1,0))</f>
        <v>0</v>
      </c>
      <c r="B2364" s="12" t="e">
        <f>MID(MAIN!A2369,K2364,2)</f>
        <v>#VALUE!</v>
      </c>
      <c r="C2364" s="12" t="e">
        <f t="shared" si="144"/>
        <v>#VALUE!</v>
      </c>
      <c r="D2364" s="12" t="e">
        <f>MID(MAIN!A2369,K2364+2,2)</f>
        <v>#VALUE!</v>
      </c>
      <c r="E2364" s="12" t="e">
        <f>MID(MAIN!A2369,K2364+4,2)</f>
        <v>#VALUE!</v>
      </c>
      <c r="F2364" s="2" t="e">
        <f t="shared" si="145"/>
        <v>#VALUE!</v>
      </c>
      <c r="G2364" s="13" t="e">
        <f t="shared" si="146"/>
        <v>#VALUE!</v>
      </c>
      <c r="J2364" t="str">
        <f>MAIN!A2369&amp;"B"</f>
        <v>B</v>
      </c>
      <c r="K2364" s="12" t="e">
        <f t="shared" si="147"/>
        <v>#VALUE!</v>
      </c>
      <c r="L2364" t="str">
        <f>MAIN!C2369</f>
        <v/>
      </c>
    </row>
    <row r="2365" spans="1:12" x14ac:dyDescent="0.3">
      <c r="A2365">
        <f>IF(J2365="0",0,IF(COUNTIF($J$2:J2365,J2365)=1,1,0))</f>
        <v>0</v>
      </c>
      <c r="B2365" s="12" t="e">
        <f>MID(MAIN!A2370,K2365,2)</f>
        <v>#VALUE!</v>
      </c>
      <c r="C2365" s="12" t="e">
        <f t="shared" si="144"/>
        <v>#VALUE!</v>
      </c>
      <c r="D2365" s="12" t="e">
        <f>MID(MAIN!A2370,K2365+2,2)</f>
        <v>#VALUE!</v>
      </c>
      <c r="E2365" s="12" t="e">
        <f>MID(MAIN!A2370,K2365+4,2)</f>
        <v>#VALUE!</v>
      </c>
      <c r="F2365" s="2" t="e">
        <f t="shared" si="145"/>
        <v>#VALUE!</v>
      </c>
      <c r="G2365" s="13" t="e">
        <f t="shared" si="146"/>
        <v>#VALUE!</v>
      </c>
      <c r="J2365" t="str">
        <f>MAIN!A2370&amp;"B"</f>
        <v>B</v>
      </c>
      <c r="K2365" s="12" t="e">
        <f t="shared" si="147"/>
        <v>#VALUE!</v>
      </c>
      <c r="L2365" t="str">
        <f>MAIN!C2370</f>
        <v/>
      </c>
    </row>
    <row r="2366" spans="1:12" x14ac:dyDescent="0.3">
      <c r="A2366">
        <f>IF(J2366="0",0,IF(COUNTIF($J$2:J2366,J2366)=1,1,0))</f>
        <v>0</v>
      </c>
      <c r="B2366" s="12" t="e">
        <f>MID(MAIN!A2371,K2366,2)</f>
        <v>#VALUE!</v>
      </c>
      <c r="C2366" s="12" t="e">
        <f t="shared" si="144"/>
        <v>#VALUE!</v>
      </c>
      <c r="D2366" s="12" t="e">
        <f>MID(MAIN!A2371,K2366+2,2)</f>
        <v>#VALUE!</v>
      </c>
      <c r="E2366" s="12" t="e">
        <f>MID(MAIN!A2371,K2366+4,2)</f>
        <v>#VALUE!</v>
      </c>
      <c r="F2366" s="2" t="e">
        <f t="shared" si="145"/>
        <v>#VALUE!</v>
      </c>
      <c r="G2366" s="13" t="e">
        <f t="shared" si="146"/>
        <v>#VALUE!</v>
      </c>
      <c r="J2366" t="str">
        <f>MAIN!A2371&amp;"B"</f>
        <v>B</v>
      </c>
      <c r="K2366" s="12" t="e">
        <f t="shared" si="147"/>
        <v>#VALUE!</v>
      </c>
      <c r="L2366" t="str">
        <f>MAIN!C2371</f>
        <v/>
      </c>
    </row>
    <row r="2367" spans="1:12" x14ac:dyDescent="0.3">
      <c r="A2367">
        <f>IF(J2367="0",0,IF(COUNTIF($J$2:J2367,J2367)=1,1,0))</f>
        <v>0</v>
      </c>
      <c r="B2367" s="12" t="e">
        <f>MID(MAIN!A2372,K2367,2)</f>
        <v>#VALUE!</v>
      </c>
      <c r="C2367" s="12" t="e">
        <f t="shared" si="144"/>
        <v>#VALUE!</v>
      </c>
      <c r="D2367" s="12" t="e">
        <f>MID(MAIN!A2372,K2367+2,2)</f>
        <v>#VALUE!</v>
      </c>
      <c r="E2367" s="12" t="e">
        <f>MID(MAIN!A2372,K2367+4,2)</f>
        <v>#VALUE!</v>
      </c>
      <c r="F2367" s="2" t="e">
        <f t="shared" si="145"/>
        <v>#VALUE!</v>
      </c>
      <c r="G2367" s="13" t="e">
        <f t="shared" si="146"/>
        <v>#VALUE!</v>
      </c>
      <c r="J2367" t="str">
        <f>MAIN!A2372&amp;"B"</f>
        <v>B</v>
      </c>
      <c r="K2367" s="12" t="e">
        <f t="shared" si="147"/>
        <v>#VALUE!</v>
      </c>
      <c r="L2367" t="str">
        <f>MAIN!C2372</f>
        <v/>
      </c>
    </row>
    <row r="2368" spans="1:12" x14ac:dyDescent="0.3">
      <c r="A2368">
        <f>IF(J2368="0",0,IF(COUNTIF($J$2:J2368,J2368)=1,1,0))</f>
        <v>0</v>
      </c>
      <c r="B2368" s="12" t="e">
        <f>MID(MAIN!A2373,K2368,2)</f>
        <v>#VALUE!</v>
      </c>
      <c r="C2368" s="12" t="e">
        <f t="shared" si="144"/>
        <v>#VALUE!</v>
      </c>
      <c r="D2368" s="12" t="e">
        <f>MID(MAIN!A2373,K2368+2,2)</f>
        <v>#VALUE!</v>
      </c>
      <c r="E2368" s="12" t="e">
        <f>MID(MAIN!A2373,K2368+4,2)</f>
        <v>#VALUE!</v>
      </c>
      <c r="F2368" s="2" t="e">
        <f t="shared" si="145"/>
        <v>#VALUE!</v>
      </c>
      <c r="G2368" s="13" t="e">
        <f t="shared" si="146"/>
        <v>#VALUE!</v>
      </c>
      <c r="J2368" t="str">
        <f>MAIN!A2373&amp;"B"</f>
        <v>B</v>
      </c>
      <c r="K2368" s="12" t="e">
        <f t="shared" si="147"/>
        <v>#VALUE!</v>
      </c>
      <c r="L2368" t="str">
        <f>MAIN!C2373</f>
        <v/>
      </c>
    </row>
    <row r="2369" spans="1:12" x14ac:dyDescent="0.3">
      <c r="A2369">
        <f>IF(J2369="0",0,IF(COUNTIF($J$2:J2369,J2369)=1,1,0))</f>
        <v>0</v>
      </c>
      <c r="B2369" s="12" t="e">
        <f>MID(MAIN!A2374,K2369,2)</f>
        <v>#VALUE!</v>
      </c>
      <c r="C2369" s="12" t="e">
        <f t="shared" si="144"/>
        <v>#VALUE!</v>
      </c>
      <c r="D2369" s="12" t="e">
        <f>MID(MAIN!A2374,K2369+2,2)</f>
        <v>#VALUE!</v>
      </c>
      <c r="E2369" s="12" t="e">
        <f>MID(MAIN!A2374,K2369+4,2)</f>
        <v>#VALUE!</v>
      </c>
      <c r="F2369" s="2" t="e">
        <f t="shared" si="145"/>
        <v>#VALUE!</v>
      </c>
      <c r="G2369" s="13" t="e">
        <f t="shared" si="146"/>
        <v>#VALUE!</v>
      </c>
      <c r="J2369" t="str">
        <f>MAIN!A2374&amp;"B"</f>
        <v>B</v>
      </c>
      <c r="K2369" s="12" t="e">
        <f t="shared" si="147"/>
        <v>#VALUE!</v>
      </c>
      <c r="L2369" t="str">
        <f>MAIN!C2374</f>
        <v/>
      </c>
    </row>
    <row r="2370" spans="1:12" x14ac:dyDescent="0.3">
      <c r="A2370">
        <f>IF(J2370="0",0,IF(COUNTIF($J$2:J2370,J2370)=1,1,0))</f>
        <v>0</v>
      </c>
      <c r="B2370" s="12" t="e">
        <f>MID(MAIN!A2375,K2370,2)</f>
        <v>#VALUE!</v>
      </c>
      <c r="C2370" s="12" t="e">
        <f t="shared" si="144"/>
        <v>#VALUE!</v>
      </c>
      <c r="D2370" s="12" t="e">
        <f>MID(MAIN!A2375,K2370+2,2)</f>
        <v>#VALUE!</v>
      </c>
      <c r="E2370" s="12" t="e">
        <f>MID(MAIN!A2375,K2370+4,2)</f>
        <v>#VALUE!</v>
      </c>
      <c r="F2370" s="2" t="e">
        <f t="shared" si="145"/>
        <v>#VALUE!</v>
      </c>
      <c r="G2370" s="13" t="e">
        <f t="shared" si="146"/>
        <v>#VALUE!</v>
      </c>
      <c r="J2370" t="str">
        <f>MAIN!A2375&amp;"B"</f>
        <v>B</v>
      </c>
      <c r="K2370" s="12" t="e">
        <f t="shared" si="147"/>
        <v>#VALUE!</v>
      </c>
      <c r="L2370" t="str">
        <f>MAIN!C2375</f>
        <v/>
      </c>
    </row>
    <row r="2371" spans="1:12" x14ac:dyDescent="0.3">
      <c r="A2371">
        <f>IF(J2371="0",0,IF(COUNTIF($J$2:J2371,J2371)=1,1,0))</f>
        <v>0</v>
      </c>
      <c r="B2371" s="12" t="e">
        <f>MID(MAIN!A2376,K2371,2)</f>
        <v>#VALUE!</v>
      </c>
      <c r="C2371" s="12" t="e">
        <f t="shared" ref="C2371:C2434" si="148">"20"&amp;B2371</f>
        <v>#VALUE!</v>
      </c>
      <c r="D2371" s="12" t="e">
        <f>MID(MAIN!A2376,K2371+2,2)</f>
        <v>#VALUE!</v>
      </c>
      <c r="E2371" s="12" t="e">
        <f>MID(MAIN!A2376,K2371+4,2)</f>
        <v>#VALUE!</v>
      </c>
      <c r="F2371" s="2" t="e">
        <f t="shared" ref="F2371:F2434" si="149">C2371&amp;"/"&amp;D2371&amp;"/"&amp;E2371</f>
        <v>#VALUE!</v>
      </c>
      <c r="G2371" s="13" t="e">
        <f t="shared" ref="G2371:G2434" si="150">DATEVALUE(F2371)</f>
        <v>#VALUE!</v>
      </c>
      <c r="J2371" t="str">
        <f>MAIN!A2376&amp;"B"</f>
        <v>B</v>
      </c>
      <c r="K2371" s="12" t="e">
        <f t="shared" ref="K2371:K2434" si="151">FIND("172",J2371,30)+2</f>
        <v>#VALUE!</v>
      </c>
      <c r="L2371" t="str">
        <f>MAIN!C2376</f>
        <v/>
      </c>
    </row>
    <row r="2372" spans="1:12" x14ac:dyDescent="0.3">
      <c r="A2372">
        <f>IF(J2372="0",0,IF(COUNTIF($J$2:J2372,J2372)=1,1,0))</f>
        <v>0</v>
      </c>
      <c r="B2372" s="12" t="e">
        <f>MID(MAIN!A2377,K2372,2)</f>
        <v>#VALUE!</v>
      </c>
      <c r="C2372" s="12" t="e">
        <f t="shared" si="148"/>
        <v>#VALUE!</v>
      </c>
      <c r="D2372" s="12" t="e">
        <f>MID(MAIN!A2377,K2372+2,2)</f>
        <v>#VALUE!</v>
      </c>
      <c r="E2372" s="12" t="e">
        <f>MID(MAIN!A2377,K2372+4,2)</f>
        <v>#VALUE!</v>
      </c>
      <c r="F2372" s="2" t="e">
        <f t="shared" si="149"/>
        <v>#VALUE!</v>
      </c>
      <c r="G2372" s="13" t="e">
        <f t="shared" si="150"/>
        <v>#VALUE!</v>
      </c>
      <c r="J2372" t="str">
        <f>MAIN!A2377&amp;"B"</f>
        <v>B</v>
      </c>
      <c r="K2372" s="12" t="e">
        <f t="shared" si="151"/>
        <v>#VALUE!</v>
      </c>
      <c r="L2372" t="str">
        <f>MAIN!C2377</f>
        <v/>
      </c>
    </row>
    <row r="2373" spans="1:12" x14ac:dyDescent="0.3">
      <c r="A2373">
        <f>IF(J2373="0",0,IF(COUNTIF($J$2:J2373,J2373)=1,1,0))</f>
        <v>0</v>
      </c>
      <c r="B2373" s="12" t="e">
        <f>MID(MAIN!A2378,K2373,2)</f>
        <v>#VALUE!</v>
      </c>
      <c r="C2373" s="12" t="e">
        <f t="shared" si="148"/>
        <v>#VALUE!</v>
      </c>
      <c r="D2373" s="12" t="e">
        <f>MID(MAIN!A2378,K2373+2,2)</f>
        <v>#VALUE!</v>
      </c>
      <c r="E2373" s="12" t="e">
        <f>MID(MAIN!A2378,K2373+4,2)</f>
        <v>#VALUE!</v>
      </c>
      <c r="F2373" s="2" t="e">
        <f t="shared" si="149"/>
        <v>#VALUE!</v>
      </c>
      <c r="G2373" s="13" t="e">
        <f t="shared" si="150"/>
        <v>#VALUE!</v>
      </c>
      <c r="J2373" t="str">
        <f>MAIN!A2378&amp;"B"</f>
        <v>B</v>
      </c>
      <c r="K2373" s="12" t="e">
        <f t="shared" si="151"/>
        <v>#VALUE!</v>
      </c>
      <c r="L2373" t="str">
        <f>MAIN!C2378</f>
        <v/>
      </c>
    </row>
    <row r="2374" spans="1:12" x14ac:dyDescent="0.3">
      <c r="A2374">
        <f>IF(J2374="0",0,IF(COUNTIF($J$2:J2374,J2374)=1,1,0))</f>
        <v>0</v>
      </c>
      <c r="B2374" s="12" t="e">
        <f>MID(MAIN!A2379,K2374,2)</f>
        <v>#VALUE!</v>
      </c>
      <c r="C2374" s="12" t="e">
        <f t="shared" si="148"/>
        <v>#VALUE!</v>
      </c>
      <c r="D2374" s="12" t="e">
        <f>MID(MAIN!A2379,K2374+2,2)</f>
        <v>#VALUE!</v>
      </c>
      <c r="E2374" s="12" t="e">
        <f>MID(MAIN!A2379,K2374+4,2)</f>
        <v>#VALUE!</v>
      </c>
      <c r="F2374" s="2" t="e">
        <f t="shared" si="149"/>
        <v>#VALUE!</v>
      </c>
      <c r="G2374" s="13" t="e">
        <f t="shared" si="150"/>
        <v>#VALUE!</v>
      </c>
      <c r="J2374" t="str">
        <f>MAIN!A2379&amp;"B"</f>
        <v>B</v>
      </c>
      <c r="K2374" s="12" t="e">
        <f t="shared" si="151"/>
        <v>#VALUE!</v>
      </c>
      <c r="L2374" t="str">
        <f>MAIN!C2379</f>
        <v/>
      </c>
    </row>
    <row r="2375" spans="1:12" x14ac:dyDescent="0.3">
      <c r="A2375">
        <f>IF(J2375="0",0,IF(COUNTIF($J$2:J2375,J2375)=1,1,0))</f>
        <v>0</v>
      </c>
      <c r="B2375" s="12" t="e">
        <f>MID(MAIN!A2380,K2375,2)</f>
        <v>#VALUE!</v>
      </c>
      <c r="C2375" s="12" t="e">
        <f t="shared" si="148"/>
        <v>#VALUE!</v>
      </c>
      <c r="D2375" s="12" t="e">
        <f>MID(MAIN!A2380,K2375+2,2)</f>
        <v>#VALUE!</v>
      </c>
      <c r="E2375" s="12" t="e">
        <f>MID(MAIN!A2380,K2375+4,2)</f>
        <v>#VALUE!</v>
      </c>
      <c r="F2375" s="2" t="e">
        <f t="shared" si="149"/>
        <v>#VALUE!</v>
      </c>
      <c r="G2375" s="13" t="e">
        <f t="shared" si="150"/>
        <v>#VALUE!</v>
      </c>
      <c r="J2375" t="str">
        <f>MAIN!A2380&amp;"B"</f>
        <v>B</v>
      </c>
      <c r="K2375" s="12" t="e">
        <f t="shared" si="151"/>
        <v>#VALUE!</v>
      </c>
      <c r="L2375" t="str">
        <f>MAIN!C2380</f>
        <v/>
      </c>
    </row>
    <row r="2376" spans="1:12" x14ac:dyDescent="0.3">
      <c r="A2376">
        <f>IF(J2376="0",0,IF(COUNTIF($J$2:J2376,J2376)=1,1,0))</f>
        <v>0</v>
      </c>
      <c r="B2376" s="12" t="e">
        <f>MID(MAIN!A2381,K2376,2)</f>
        <v>#VALUE!</v>
      </c>
      <c r="C2376" s="12" t="e">
        <f t="shared" si="148"/>
        <v>#VALUE!</v>
      </c>
      <c r="D2376" s="12" t="e">
        <f>MID(MAIN!A2381,K2376+2,2)</f>
        <v>#VALUE!</v>
      </c>
      <c r="E2376" s="12" t="e">
        <f>MID(MAIN!A2381,K2376+4,2)</f>
        <v>#VALUE!</v>
      </c>
      <c r="F2376" s="2" t="e">
        <f t="shared" si="149"/>
        <v>#VALUE!</v>
      </c>
      <c r="G2376" s="13" t="e">
        <f t="shared" si="150"/>
        <v>#VALUE!</v>
      </c>
      <c r="J2376" t="str">
        <f>MAIN!A2381&amp;"B"</f>
        <v>B</v>
      </c>
      <c r="K2376" s="12" t="e">
        <f t="shared" si="151"/>
        <v>#VALUE!</v>
      </c>
      <c r="L2376" t="str">
        <f>MAIN!C2381</f>
        <v/>
      </c>
    </row>
    <row r="2377" spans="1:12" x14ac:dyDescent="0.3">
      <c r="A2377">
        <f>IF(J2377="0",0,IF(COUNTIF($J$2:J2377,J2377)=1,1,0))</f>
        <v>0</v>
      </c>
      <c r="B2377" s="12" t="e">
        <f>MID(MAIN!A2382,K2377,2)</f>
        <v>#VALUE!</v>
      </c>
      <c r="C2377" s="12" t="e">
        <f t="shared" si="148"/>
        <v>#VALUE!</v>
      </c>
      <c r="D2377" s="12" t="e">
        <f>MID(MAIN!A2382,K2377+2,2)</f>
        <v>#VALUE!</v>
      </c>
      <c r="E2377" s="12" t="e">
        <f>MID(MAIN!A2382,K2377+4,2)</f>
        <v>#VALUE!</v>
      </c>
      <c r="F2377" s="2" t="e">
        <f t="shared" si="149"/>
        <v>#VALUE!</v>
      </c>
      <c r="G2377" s="13" t="e">
        <f t="shared" si="150"/>
        <v>#VALUE!</v>
      </c>
      <c r="J2377" t="str">
        <f>MAIN!A2382&amp;"B"</f>
        <v>B</v>
      </c>
      <c r="K2377" s="12" t="e">
        <f t="shared" si="151"/>
        <v>#VALUE!</v>
      </c>
      <c r="L2377" t="str">
        <f>MAIN!C2382</f>
        <v/>
      </c>
    </row>
    <row r="2378" spans="1:12" x14ac:dyDescent="0.3">
      <c r="A2378">
        <f>IF(J2378="0",0,IF(COUNTIF($J$2:J2378,J2378)=1,1,0))</f>
        <v>0</v>
      </c>
      <c r="B2378" s="12" t="e">
        <f>MID(MAIN!A2383,K2378,2)</f>
        <v>#VALUE!</v>
      </c>
      <c r="C2378" s="12" t="e">
        <f t="shared" si="148"/>
        <v>#VALUE!</v>
      </c>
      <c r="D2378" s="12" t="e">
        <f>MID(MAIN!A2383,K2378+2,2)</f>
        <v>#VALUE!</v>
      </c>
      <c r="E2378" s="12" t="e">
        <f>MID(MAIN!A2383,K2378+4,2)</f>
        <v>#VALUE!</v>
      </c>
      <c r="F2378" s="2" t="e">
        <f t="shared" si="149"/>
        <v>#VALUE!</v>
      </c>
      <c r="G2378" s="13" t="e">
        <f t="shared" si="150"/>
        <v>#VALUE!</v>
      </c>
      <c r="J2378" t="str">
        <f>MAIN!A2383&amp;"B"</f>
        <v>B</v>
      </c>
      <c r="K2378" s="12" t="e">
        <f t="shared" si="151"/>
        <v>#VALUE!</v>
      </c>
      <c r="L2378" t="str">
        <f>MAIN!C2383</f>
        <v/>
      </c>
    </row>
    <row r="2379" spans="1:12" x14ac:dyDescent="0.3">
      <c r="A2379">
        <f>IF(J2379="0",0,IF(COUNTIF($J$2:J2379,J2379)=1,1,0))</f>
        <v>0</v>
      </c>
      <c r="B2379" s="12" t="e">
        <f>MID(MAIN!A2384,K2379,2)</f>
        <v>#VALUE!</v>
      </c>
      <c r="C2379" s="12" t="e">
        <f t="shared" si="148"/>
        <v>#VALUE!</v>
      </c>
      <c r="D2379" s="12" t="e">
        <f>MID(MAIN!A2384,K2379+2,2)</f>
        <v>#VALUE!</v>
      </c>
      <c r="E2379" s="12" t="e">
        <f>MID(MAIN!A2384,K2379+4,2)</f>
        <v>#VALUE!</v>
      </c>
      <c r="F2379" s="2" t="e">
        <f t="shared" si="149"/>
        <v>#VALUE!</v>
      </c>
      <c r="G2379" s="13" t="e">
        <f t="shared" si="150"/>
        <v>#VALUE!</v>
      </c>
      <c r="J2379" t="str">
        <f>MAIN!A2384&amp;"B"</f>
        <v>B</v>
      </c>
      <c r="K2379" s="12" t="e">
        <f t="shared" si="151"/>
        <v>#VALUE!</v>
      </c>
      <c r="L2379" t="str">
        <f>MAIN!C2384</f>
        <v/>
      </c>
    </row>
    <row r="2380" spans="1:12" x14ac:dyDescent="0.3">
      <c r="A2380">
        <f>IF(J2380="0",0,IF(COUNTIF($J$2:J2380,J2380)=1,1,0))</f>
        <v>0</v>
      </c>
      <c r="B2380" s="12" t="e">
        <f>MID(MAIN!A2385,K2380,2)</f>
        <v>#VALUE!</v>
      </c>
      <c r="C2380" s="12" t="e">
        <f t="shared" si="148"/>
        <v>#VALUE!</v>
      </c>
      <c r="D2380" s="12" t="e">
        <f>MID(MAIN!A2385,K2380+2,2)</f>
        <v>#VALUE!</v>
      </c>
      <c r="E2380" s="12" t="e">
        <f>MID(MAIN!A2385,K2380+4,2)</f>
        <v>#VALUE!</v>
      </c>
      <c r="F2380" s="2" t="e">
        <f t="shared" si="149"/>
        <v>#VALUE!</v>
      </c>
      <c r="G2380" s="13" t="e">
        <f t="shared" si="150"/>
        <v>#VALUE!</v>
      </c>
      <c r="J2380" t="str">
        <f>MAIN!A2385&amp;"B"</f>
        <v>B</v>
      </c>
      <c r="K2380" s="12" t="e">
        <f t="shared" si="151"/>
        <v>#VALUE!</v>
      </c>
      <c r="L2380" t="str">
        <f>MAIN!C2385</f>
        <v/>
      </c>
    </row>
    <row r="2381" spans="1:12" x14ac:dyDescent="0.3">
      <c r="A2381">
        <f>IF(J2381="0",0,IF(COUNTIF($J$2:J2381,J2381)=1,1,0))</f>
        <v>0</v>
      </c>
      <c r="B2381" s="12" t="e">
        <f>MID(MAIN!A2386,K2381,2)</f>
        <v>#VALUE!</v>
      </c>
      <c r="C2381" s="12" t="e">
        <f t="shared" si="148"/>
        <v>#VALUE!</v>
      </c>
      <c r="D2381" s="12" t="e">
        <f>MID(MAIN!A2386,K2381+2,2)</f>
        <v>#VALUE!</v>
      </c>
      <c r="E2381" s="12" t="e">
        <f>MID(MAIN!A2386,K2381+4,2)</f>
        <v>#VALUE!</v>
      </c>
      <c r="F2381" s="2" t="e">
        <f t="shared" si="149"/>
        <v>#VALUE!</v>
      </c>
      <c r="G2381" s="13" t="e">
        <f t="shared" si="150"/>
        <v>#VALUE!</v>
      </c>
      <c r="J2381" t="str">
        <f>MAIN!A2386&amp;"B"</f>
        <v>B</v>
      </c>
      <c r="K2381" s="12" t="e">
        <f t="shared" si="151"/>
        <v>#VALUE!</v>
      </c>
      <c r="L2381" t="str">
        <f>MAIN!C2386</f>
        <v/>
      </c>
    </row>
    <row r="2382" spans="1:12" x14ac:dyDescent="0.3">
      <c r="A2382">
        <f>IF(J2382="0",0,IF(COUNTIF($J$2:J2382,J2382)=1,1,0))</f>
        <v>0</v>
      </c>
      <c r="B2382" s="12" t="e">
        <f>MID(MAIN!A2387,K2382,2)</f>
        <v>#VALUE!</v>
      </c>
      <c r="C2382" s="12" t="e">
        <f t="shared" si="148"/>
        <v>#VALUE!</v>
      </c>
      <c r="D2382" s="12" t="e">
        <f>MID(MAIN!A2387,K2382+2,2)</f>
        <v>#VALUE!</v>
      </c>
      <c r="E2382" s="12" t="e">
        <f>MID(MAIN!A2387,K2382+4,2)</f>
        <v>#VALUE!</v>
      </c>
      <c r="F2382" s="2" t="e">
        <f t="shared" si="149"/>
        <v>#VALUE!</v>
      </c>
      <c r="G2382" s="13" t="e">
        <f t="shared" si="150"/>
        <v>#VALUE!</v>
      </c>
      <c r="J2382" t="str">
        <f>MAIN!A2387&amp;"B"</f>
        <v>B</v>
      </c>
      <c r="K2382" s="12" t="e">
        <f t="shared" si="151"/>
        <v>#VALUE!</v>
      </c>
      <c r="L2382" t="str">
        <f>MAIN!C2387</f>
        <v/>
      </c>
    </row>
    <row r="2383" spans="1:12" x14ac:dyDescent="0.3">
      <c r="A2383">
        <f>IF(J2383="0",0,IF(COUNTIF($J$2:J2383,J2383)=1,1,0))</f>
        <v>0</v>
      </c>
      <c r="B2383" s="12" t="e">
        <f>MID(MAIN!A2388,K2383,2)</f>
        <v>#VALUE!</v>
      </c>
      <c r="C2383" s="12" t="e">
        <f t="shared" si="148"/>
        <v>#VALUE!</v>
      </c>
      <c r="D2383" s="12" t="e">
        <f>MID(MAIN!A2388,K2383+2,2)</f>
        <v>#VALUE!</v>
      </c>
      <c r="E2383" s="12" t="e">
        <f>MID(MAIN!A2388,K2383+4,2)</f>
        <v>#VALUE!</v>
      </c>
      <c r="F2383" s="2" t="e">
        <f t="shared" si="149"/>
        <v>#VALUE!</v>
      </c>
      <c r="G2383" s="13" t="e">
        <f t="shared" si="150"/>
        <v>#VALUE!</v>
      </c>
      <c r="J2383" t="str">
        <f>MAIN!A2388&amp;"B"</f>
        <v>B</v>
      </c>
      <c r="K2383" s="12" t="e">
        <f t="shared" si="151"/>
        <v>#VALUE!</v>
      </c>
      <c r="L2383" t="str">
        <f>MAIN!C2388</f>
        <v/>
      </c>
    </row>
    <row r="2384" spans="1:12" x14ac:dyDescent="0.3">
      <c r="A2384">
        <f>IF(J2384="0",0,IF(COUNTIF($J$2:J2384,J2384)=1,1,0))</f>
        <v>0</v>
      </c>
      <c r="B2384" s="12" t="e">
        <f>MID(MAIN!A2389,K2384,2)</f>
        <v>#VALUE!</v>
      </c>
      <c r="C2384" s="12" t="e">
        <f t="shared" si="148"/>
        <v>#VALUE!</v>
      </c>
      <c r="D2384" s="12" t="e">
        <f>MID(MAIN!A2389,K2384+2,2)</f>
        <v>#VALUE!</v>
      </c>
      <c r="E2384" s="12" t="e">
        <f>MID(MAIN!A2389,K2384+4,2)</f>
        <v>#VALUE!</v>
      </c>
      <c r="F2384" s="2" t="e">
        <f t="shared" si="149"/>
        <v>#VALUE!</v>
      </c>
      <c r="G2384" s="13" t="e">
        <f t="shared" si="150"/>
        <v>#VALUE!</v>
      </c>
      <c r="J2384" t="str">
        <f>MAIN!A2389&amp;"B"</f>
        <v>B</v>
      </c>
      <c r="K2384" s="12" t="e">
        <f t="shared" si="151"/>
        <v>#VALUE!</v>
      </c>
      <c r="L2384" t="str">
        <f>MAIN!C2389</f>
        <v/>
      </c>
    </row>
    <row r="2385" spans="1:12" x14ac:dyDescent="0.3">
      <c r="A2385">
        <f>IF(J2385="0",0,IF(COUNTIF($J$2:J2385,J2385)=1,1,0))</f>
        <v>0</v>
      </c>
      <c r="B2385" s="12" t="e">
        <f>MID(MAIN!A2390,K2385,2)</f>
        <v>#VALUE!</v>
      </c>
      <c r="C2385" s="12" t="e">
        <f t="shared" si="148"/>
        <v>#VALUE!</v>
      </c>
      <c r="D2385" s="12" t="e">
        <f>MID(MAIN!A2390,K2385+2,2)</f>
        <v>#VALUE!</v>
      </c>
      <c r="E2385" s="12" t="e">
        <f>MID(MAIN!A2390,K2385+4,2)</f>
        <v>#VALUE!</v>
      </c>
      <c r="F2385" s="2" t="e">
        <f t="shared" si="149"/>
        <v>#VALUE!</v>
      </c>
      <c r="G2385" s="13" t="e">
        <f t="shared" si="150"/>
        <v>#VALUE!</v>
      </c>
      <c r="J2385" t="str">
        <f>MAIN!A2390&amp;"B"</f>
        <v>B</v>
      </c>
      <c r="K2385" s="12" t="e">
        <f t="shared" si="151"/>
        <v>#VALUE!</v>
      </c>
      <c r="L2385" t="str">
        <f>MAIN!C2390</f>
        <v/>
      </c>
    </row>
    <row r="2386" spans="1:12" x14ac:dyDescent="0.3">
      <c r="A2386">
        <f>IF(J2386="0",0,IF(COUNTIF($J$2:J2386,J2386)=1,1,0))</f>
        <v>0</v>
      </c>
      <c r="B2386" s="12" t="e">
        <f>MID(MAIN!A2391,K2386,2)</f>
        <v>#VALUE!</v>
      </c>
      <c r="C2386" s="12" t="e">
        <f t="shared" si="148"/>
        <v>#VALUE!</v>
      </c>
      <c r="D2386" s="12" t="e">
        <f>MID(MAIN!A2391,K2386+2,2)</f>
        <v>#VALUE!</v>
      </c>
      <c r="E2386" s="12" t="e">
        <f>MID(MAIN!A2391,K2386+4,2)</f>
        <v>#VALUE!</v>
      </c>
      <c r="F2386" s="2" t="e">
        <f t="shared" si="149"/>
        <v>#VALUE!</v>
      </c>
      <c r="G2386" s="13" t="e">
        <f t="shared" si="150"/>
        <v>#VALUE!</v>
      </c>
      <c r="J2386" t="str">
        <f>MAIN!A2391&amp;"B"</f>
        <v>B</v>
      </c>
      <c r="K2386" s="12" t="e">
        <f t="shared" si="151"/>
        <v>#VALUE!</v>
      </c>
      <c r="L2386" t="str">
        <f>MAIN!C2391</f>
        <v/>
      </c>
    </row>
    <row r="2387" spans="1:12" x14ac:dyDescent="0.3">
      <c r="A2387">
        <f>IF(J2387="0",0,IF(COUNTIF($J$2:J2387,J2387)=1,1,0))</f>
        <v>0</v>
      </c>
      <c r="B2387" s="12" t="e">
        <f>MID(MAIN!A2392,K2387,2)</f>
        <v>#VALUE!</v>
      </c>
      <c r="C2387" s="12" t="e">
        <f t="shared" si="148"/>
        <v>#VALUE!</v>
      </c>
      <c r="D2387" s="12" t="e">
        <f>MID(MAIN!A2392,K2387+2,2)</f>
        <v>#VALUE!</v>
      </c>
      <c r="E2387" s="12" t="e">
        <f>MID(MAIN!A2392,K2387+4,2)</f>
        <v>#VALUE!</v>
      </c>
      <c r="F2387" s="2" t="e">
        <f t="shared" si="149"/>
        <v>#VALUE!</v>
      </c>
      <c r="G2387" s="13" t="e">
        <f t="shared" si="150"/>
        <v>#VALUE!</v>
      </c>
      <c r="J2387" t="str">
        <f>MAIN!A2392&amp;"B"</f>
        <v>B</v>
      </c>
      <c r="K2387" s="12" t="e">
        <f t="shared" si="151"/>
        <v>#VALUE!</v>
      </c>
      <c r="L2387" t="str">
        <f>MAIN!C2392</f>
        <v/>
      </c>
    </row>
    <row r="2388" spans="1:12" x14ac:dyDescent="0.3">
      <c r="A2388">
        <f>IF(J2388="0",0,IF(COUNTIF($J$2:J2388,J2388)=1,1,0))</f>
        <v>0</v>
      </c>
      <c r="B2388" s="12" t="e">
        <f>MID(MAIN!A2393,K2388,2)</f>
        <v>#VALUE!</v>
      </c>
      <c r="C2388" s="12" t="e">
        <f t="shared" si="148"/>
        <v>#VALUE!</v>
      </c>
      <c r="D2388" s="12" t="e">
        <f>MID(MAIN!A2393,K2388+2,2)</f>
        <v>#VALUE!</v>
      </c>
      <c r="E2388" s="12" t="e">
        <f>MID(MAIN!A2393,K2388+4,2)</f>
        <v>#VALUE!</v>
      </c>
      <c r="F2388" s="2" t="e">
        <f t="shared" si="149"/>
        <v>#VALUE!</v>
      </c>
      <c r="G2388" s="13" t="e">
        <f t="shared" si="150"/>
        <v>#VALUE!</v>
      </c>
      <c r="J2388" t="str">
        <f>MAIN!A2393&amp;"B"</f>
        <v>B</v>
      </c>
      <c r="K2388" s="12" t="e">
        <f t="shared" si="151"/>
        <v>#VALUE!</v>
      </c>
      <c r="L2388" t="str">
        <f>MAIN!C2393</f>
        <v/>
      </c>
    </row>
    <row r="2389" spans="1:12" x14ac:dyDescent="0.3">
      <c r="A2389">
        <f>IF(J2389="0",0,IF(COUNTIF($J$2:J2389,J2389)=1,1,0))</f>
        <v>0</v>
      </c>
      <c r="B2389" s="12" t="e">
        <f>MID(MAIN!A2394,K2389,2)</f>
        <v>#VALUE!</v>
      </c>
      <c r="C2389" s="12" t="e">
        <f t="shared" si="148"/>
        <v>#VALUE!</v>
      </c>
      <c r="D2389" s="12" t="e">
        <f>MID(MAIN!A2394,K2389+2,2)</f>
        <v>#VALUE!</v>
      </c>
      <c r="E2389" s="12" t="e">
        <f>MID(MAIN!A2394,K2389+4,2)</f>
        <v>#VALUE!</v>
      </c>
      <c r="F2389" s="2" t="e">
        <f t="shared" si="149"/>
        <v>#VALUE!</v>
      </c>
      <c r="G2389" s="13" t="e">
        <f t="shared" si="150"/>
        <v>#VALUE!</v>
      </c>
      <c r="J2389" t="str">
        <f>MAIN!A2394&amp;"B"</f>
        <v>B</v>
      </c>
      <c r="K2389" s="12" t="e">
        <f t="shared" si="151"/>
        <v>#VALUE!</v>
      </c>
      <c r="L2389" t="str">
        <f>MAIN!C2394</f>
        <v/>
      </c>
    </row>
    <row r="2390" spans="1:12" x14ac:dyDescent="0.3">
      <c r="A2390">
        <f>IF(J2390="0",0,IF(COUNTIF($J$2:J2390,J2390)=1,1,0))</f>
        <v>0</v>
      </c>
      <c r="B2390" s="12" t="e">
        <f>MID(MAIN!A2395,K2390,2)</f>
        <v>#VALUE!</v>
      </c>
      <c r="C2390" s="12" t="e">
        <f t="shared" si="148"/>
        <v>#VALUE!</v>
      </c>
      <c r="D2390" s="12" t="e">
        <f>MID(MAIN!A2395,K2390+2,2)</f>
        <v>#VALUE!</v>
      </c>
      <c r="E2390" s="12" t="e">
        <f>MID(MAIN!A2395,K2390+4,2)</f>
        <v>#VALUE!</v>
      </c>
      <c r="F2390" s="2" t="e">
        <f t="shared" si="149"/>
        <v>#VALUE!</v>
      </c>
      <c r="G2390" s="13" t="e">
        <f t="shared" si="150"/>
        <v>#VALUE!</v>
      </c>
      <c r="J2390" t="str">
        <f>MAIN!A2395&amp;"B"</f>
        <v>B</v>
      </c>
      <c r="K2390" s="12" t="e">
        <f t="shared" si="151"/>
        <v>#VALUE!</v>
      </c>
      <c r="L2390" t="str">
        <f>MAIN!C2395</f>
        <v/>
      </c>
    </row>
    <row r="2391" spans="1:12" x14ac:dyDescent="0.3">
      <c r="A2391">
        <f>IF(J2391="0",0,IF(COUNTIF($J$2:J2391,J2391)=1,1,0))</f>
        <v>0</v>
      </c>
      <c r="B2391" s="12" t="e">
        <f>MID(MAIN!A2396,K2391,2)</f>
        <v>#VALUE!</v>
      </c>
      <c r="C2391" s="12" t="e">
        <f t="shared" si="148"/>
        <v>#VALUE!</v>
      </c>
      <c r="D2391" s="12" t="e">
        <f>MID(MAIN!A2396,K2391+2,2)</f>
        <v>#VALUE!</v>
      </c>
      <c r="E2391" s="12" t="e">
        <f>MID(MAIN!A2396,K2391+4,2)</f>
        <v>#VALUE!</v>
      </c>
      <c r="F2391" s="2" t="e">
        <f t="shared" si="149"/>
        <v>#VALUE!</v>
      </c>
      <c r="G2391" s="13" t="e">
        <f t="shared" si="150"/>
        <v>#VALUE!</v>
      </c>
      <c r="J2391" t="str">
        <f>MAIN!A2396&amp;"B"</f>
        <v>B</v>
      </c>
      <c r="K2391" s="12" t="e">
        <f t="shared" si="151"/>
        <v>#VALUE!</v>
      </c>
      <c r="L2391" t="str">
        <f>MAIN!C2396</f>
        <v/>
      </c>
    </row>
    <row r="2392" spans="1:12" x14ac:dyDescent="0.3">
      <c r="A2392">
        <f>IF(J2392="0",0,IF(COUNTIF($J$2:J2392,J2392)=1,1,0))</f>
        <v>0</v>
      </c>
      <c r="B2392" s="12" t="e">
        <f>MID(MAIN!A2397,K2392,2)</f>
        <v>#VALUE!</v>
      </c>
      <c r="C2392" s="12" t="e">
        <f t="shared" si="148"/>
        <v>#VALUE!</v>
      </c>
      <c r="D2392" s="12" t="e">
        <f>MID(MAIN!A2397,K2392+2,2)</f>
        <v>#VALUE!</v>
      </c>
      <c r="E2392" s="12" t="e">
        <f>MID(MAIN!A2397,K2392+4,2)</f>
        <v>#VALUE!</v>
      </c>
      <c r="F2392" s="2" t="e">
        <f t="shared" si="149"/>
        <v>#VALUE!</v>
      </c>
      <c r="G2392" s="13" t="e">
        <f t="shared" si="150"/>
        <v>#VALUE!</v>
      </c>
      <c r="J2392" t="str">
        <f>MAIN!A2397&amp;"B"</f>
        <v>B</v>
      </c>
      <c r="K2392" s="12" t="e">
        <f t="shared" si="151"/>
        <v>#VALUE!</v>
      </c>
      <c r="L2392" t="str">
        <f>MAIN!C2397</f>
        <v/>
      </c>
    </row>
    <row r="2393" spans="1:12" x14ac:dyDescent="0.3">
      <c r="A2393">
        <f>IF(J2393="0",0,IF(COUNTIF($J$2:J2393,J2393)=1,1,0))</f>
        <v>0</v>
      </c>
      <c r="B2393" s="12" t="e">
        <f>MID(MAIN!A2398,K2393,2)</f>
        <v>#VALUE!</v>
      </c>
      <c r="C2393" s="12" t="e">
        <f t="shared" si="148"/>
        <v>#VALUE!</v>
      </c>
      <c r="D2393" s="12" t="e">
        <f>MID(MAIN!A2398,K2393+2,2)</f>
        <v>#VALUE!</v>
      </c>
      <c r="E2393" s="12" t="e">
        <f>MID(MAIN!A2398,K2393+4,2)</f>
        <v>#VALUE!</v>
      </c>
      <c r="F2393" s="2" t="e">
        <f t="shared" si="149"/>
        <v>#VALUE!</v>
      </c>
      <c r="G2393" s="13" t="e">
        <f t="shared" si="150"/>
        <v>#VALUE!</v>
      </c>
      <c r="J2393" t="str">
        <f>MAIN!A2398&amp;"B"</f>
        <v>B</v>
      </c>
      <c r="K2393" s="12" t="e">
        <f t="shared" si="151"/>
        <v>#VALUE!</v>
      </c>
      <c r="L2393" t="str">
        <f>MAIN!C2398</f>
        <v/>
      </c>
    </row>
    <row r="2394" spans="1:12" x14ac:dyDescent="0.3">
      <c r="A2394">
        <f>IF(J2394="0",0,IF(COUNTIF($J$2:J2394,J2394)=1,1,0))</f>
        <v>0</v>
      </c>
      <c r="B2394" s="12" t="e">
        <f>MID(MAIN!A2399,K2394,2)</f>
        <v>#VALUE!</v>
      </c>
      <c r="C2394" s="12" t="e">
        <f t="shared" si="148"/>
        <v>#VALUE!</v>
      </c>
      <c r="D2394" s="12" t="e">
        <f>MID(MAIN!A2399,K2394+2,2)</f>
        <v>#VALUE!</v>
      </c>
      <c r="E2394" s="12" t="e">
        <f>MID(MAIN!A2399,K2394+4,2)</f>
        <v>#VALUE!</v>
      </c>
      <c r="F2394" s="2" t="e">
        <f t="shared" si="149"/>
        <v>#VALUE!</v>
      </c>
      <c r="G2394" s="13" t="e">
        <f t="shared" si="150"/>
        <v>#VALUE!</v>
      </c>
      <c r="J2394" t="str">
        <f>MAIN!A2399&amp;"B"</f>
        <v>B</v>
      </c>
      <c r="K2394" s="12" t="e">
        <f t="shared" si="151"/>
        <v>#VALUE!</v>
      </c>
      <c r="L2394" t="str">
        <f>MAIN!C2399</f>
        <v/>
      </c>
    </row>
    <row r="2395" spans="1:12" x14ac:dyDescent="0.3">
      <c r="A2395">
        <f>IF(J2395="0",0,IF(COUNTIF($J$2:J2395,J2395)=1,1,0))</f>
        <v>0</v>
      </c>
      <c r="B2395" s="12" t="e">
        <f>MID(MAIN!A2400,K2395,2)</f>
        <v>#VALUE!</v>
      </c>
      <c r="C2395" s="12" t="e">
        <f t="shared" si="148"/>
        <v>#VALUE!</v>
      </c>
      <c r="D2395" s="12" t="e">
        <f>MID(MAIN!A2400,K2395+2,2)</f>
        <v>#VALUE!</v>
      </c>
      <c r="E2395" s="12" t="e">
        <f>MID(MAIN!A2400,K2395+4,2)</f>
        <v>#VALUE!</v>
      </c>
      <c r="F2395" s="2" t="e">
        <f t="shared" si="149"/>
        <v>#VALUE!</v>
      </c>
      <c r="G2395" s="13" t="e">
        <f t="shared" si="150"/>
        <v>#VALUE!</v>
      </c>
      <c r="J2395" t="str">
        <f>MAIN!A2400&amp;"B"</f>
        <v>B</v>
      </c>
      <c r="K2395" s="12" t="e">
        <f t="shared" si="151"/>
        <v>#VALUE!</v>
      </c>
      <c r="L2395" t="str">
        <f>MAIN!C2400</f>
        <v/>
      </c>
    </row>
    <row r="2396" spans="1:12" x14ac:dyDescent="0.3">
      <c r="A2396">
        <f>IF(J2396="0",0,IF(COUNTIF($J$2:J2396,J2396)=1,1,0))</f>
        <v>0</v>
      </c>
      <c r="B2396" s="12" t="e">
        <f>MID(MAIN!A2401,K2396,2)</f>
        <v>#VALUE!</v>
      </c>
      <c r="C2396" s="12" t="e">
        <f t="shared" si="148"/>
        <v>#VALUE!</v>
      </c>
      <c r="D2396" s="12" t="e">
        <f>MID(MAIN!A2401,K2396+2,2)</f>
        <v>#VALUE!</v>
      </c>
      <c r="E2396" s="12" t="e">
        <f>MID(MAIN!A2401,K2396+4,2)</f>
        <v>#VALUE!</v>
      </c>
      <c r="F2396" s="2" t="e">
        <f t="shared" si="149"/>
        <v>#VALUE!</v>
      </c>
      <c r="G2396" s="13" t="e">
        <f t="shared" si="150"/>
        <v>#VALUE!</v>
      </c>
      <c r="J2396" t="str">
        <f>MAIN!A2401&amp;"B"</f>
        <v>B</v>
      </c>
      <c r="K2396" s="12" t="e">
        <f t="shared" si="151"/>
        <v>#VALUE!</v>
      </c>
      <c r="L2396" t="str">
        <f>MAIN!C2401</f>
        <v/>
      </c>
    </row>
    <row r="2397" spans="1:12" x14ac:dyDescent="0.3">
      <c r="A2397">
        <f>IF(J2397="0",0,IF(COUNTIF($J$2:J2397,J2397)=1,1,0))</f>
        <v>0</v>
      </c>
      <c r="B2397" s="12" t="e">
        <f>MID(MAIN!A2402,K2397,2)</f>
        <v>#VALUE!</v>
      </c>
      <c r="C2397" s="12" t="e">
        <f t="shared" si="148"/>
        <v>#VALUE!</v>
      </c>
      <c r="D2397" s="12" t="e">
        <f>MID(MAIN!A2402,K2397+2,2)</f>
        <v>#VALUE!</v>
      </c>
      <c r="E2397" s="12" t="e">
        <f>MID(MAIN!A2402,K2397+4,2)</f>
        <v>#VALUE!</v>
      </c>
      <c r="F2397" s="2" t="e">
        <f t="shared" si="149"/>
        <v>#VALUE!</v>
      </c>
      <c r="G2397" s="13" t="e">
        <f t="shared" si="150"/>
        <v>#VALUE!</v>
      </c>
      <c r="J2397" t="str">
        <f>MAIN!A2402&amp;"B"</f>
        <v>B</v>
      </c>
      <c r="K2397" s="12" t="e">
        <f t="shared" si="151"/>
        <v>#VALUE!</v>
      </c>
      <c r="L2397" t="str">
        <f>MAIN!C2402</f>
        <v/>
      </c>
    </row>
    <row r="2398" spans="1:12" x14ac:dyDescent="0.3">
      <c r="A2398">
        <f>IF(J2398="0",0,IF(COUNTIF($J$2:J2398,J2398)=1,1,0))</f>
        <v>0</v>
      </c>
      <c r="B2398" s="12" t="e">
        <f>MID(MAIN!A2403,K2398,2)</f>
        <v>#VALUE!</v>
      </c>
      <c r="C2398" s="12" t="e">
        <f t="shared" si="148"/>
        <v>#VALUE!</v>
      </c>
      <c r="D2398" s="12" t="e">
        <f>MID(MAIN!A2403,K2398+2,2)</f>
        <v>#VALUE!</v>
      </c>
      <c r="E2398" s="12" t="e">
        <f>MID(MAIN!A2403,K2398+4,2)</f>
        <v>#VALUE!</v>
      </c>
      <c r="F2398" s="2" t="e">
        <f t="shared" si="149"/>
        <v>#VALUE!</v>
      </c>
      <c r="G2398" s="13" t="e">
        <f t="shared" si="150"/>
        <v>#VALUE!</v>
      </c>
      <c r="J2398" t="str">
        <f>MAIN!A2403&amp;"B"</f>
        <v>B</v>
      </c>
      <c r="K2398" s="12" t="e">
        <f t="shared" si="151"/>
        <v>#VALUE!</v>
      </c>
      <c r="L2398" t="str">
        <f>MAIN!C2403</f>
        <v/>
      </c>
    </row>
    <row r="2399" spans="1:12" x14ac:dyDescent="0.3">
      <c r="A2399">
        <f>IF(J2399="0",0,IF(COUNTIF($J$2:J2399,J2399)=1,1,0))</f>
        <v>0</v>
      </c>
      <c r="B2399" s="12" t="e">
        <f>MID(MAIN!A2404,K2399,2)</f>
        <v>#VALUE!</v>
      </c>
      <c r="C2399" s="12" t="e">
        <f t="shared" si="148"/>
        <v>#VALUE!</v>
      </c>
      <c r="D2399" s="12" t="e">
        <f>MID(MAIN!A2404,K2399+2,2)</f>
        <v>#VALUE!</v>
      </c>
      <c r="E2399" s="12" t="e">
        <f>MID(MAIN!A2404,K2399+4,2)</f>
        <v>#VALUE!</v>
      </c>
      <c r="F2399" s="2" t="e">
        <f t="shared" si="149"/>
        <v>#VALUE!</v>
      </c>
      <c r="G2399" s="13" t="e">
        <f t="shared" si="150"/>
        <v>#VALUE!</v>
      </c>
      <c r="J2399" t="str">
        <f>MAIN!A2404&amp;"B"</f>
        <v>B</v>
      </c>
      <c r="K2399" s="12" t="e">
        <f t="shared" si="151"/>
        <v>#VALUE!</v>
      </c>
      <c r="L2399" t="str">
        <f>MAIN!C2404</f>
        <v/>
      </c>
    </row>
    <row r="2400" spans="1:12" x14ac:dyDescent="0.3">
      <c r="A2400">
        <f>IF(J2400="0",0,IF(COUNTIF($J$2:J2400,J2400)=1,1,0))</f>
        <v>0</v>
      </c>
      <c r="B2400" s="12" t="e">
        <f>MID(MAIN!A2405,K2400,2)</f>
        <v>#VALUE!</v>
      </c>
      <c r="C2400" s="12" t="e">
        <f t="shared" si="148"/>
        <v>#VALUE!</v>
      </c>
      <c r="D2400" s="12" t="e">
        <f>MID(MAIN!A2405,K2400+2,2)</f>
        <v>#VALUE!</v>
      </c>
      <c r="E2400" s="12" t="e">
        <f>MID(MAIN!A2405,K2400+4,2)</f>
        <v>#VALUE!</v>
      </c>
      <c r="F2400" s="2" t="e">
        <f t="shared" si="149"/>
        <v>#VALUE!</v>
      </c>
      <c r="G2400" s="13" t="e">
        <f t="shared" si="150"/>
        <v>#VALUE!</v>
      </c>
      <c r="J2400" t="str">
        <f>MAIN!A2405&amp;"B"</f>
        <v>B</v>
      </c>
      <c r="K2400" s="12" t="e">
        <f t="shared" si="151"/>
        <v>#VALUE!</v>
      </c>
      <c r="L2400" t="str">
        <f>MAIN!C2405</f>
        <v/>
      </c>
    </row>
    <row r="2401" spans="1:12" x14ac:dyDescent="0.3">
      <c r="A2401">
        <f>IF(J2401="0",0,IF(COUNTIF($J$2:J2401,J2401)=1,1,0))</f>
        <v>0</v>
      </c>
      <c r="B2401" s="12" t="e">
        <f>MID(MAIN!A2406,K2401,2)</f>
        <v>#VALUE!</v>
      </c>
      <c r="C2401" s="12" t="e">
        <f t="shared" si="148"/>
        <v>#VALUE!</v>
      </c>
      <c r="D2401" s="12" t="e">
        <f>MID(MAIN!A2406,K2401+2,2)</f>
        <v>#VALUE!</v>
      </c>
      <c r="E2401" s="12" t="e">
        <f>MID(MAIN!A2406,K2401+4,2)</f>
        <v>#VALUE!</v>
      </c>
      <c r="F2401" s="2" t="e">
        <f t="shared" si="149"/>
        <v>#VALUE!</v>
      </c>
      <c r="G2401" s="13" t="e">
        <f t="shared" si="150"/>
        <v>#VALUE!</v>
      </c>
      <c r="J2401" t="str">
        <f>MAIN!A2406&amp;"B"</f>
        <v>B</v>
      </c>
      <c r="K2401" s="12" t="e">
        <f t="shared" si="151"/>
        <v>#VALUE!</v>
      </c>
      <c r="L2401" t="str">
        <f>MAIN!C2406</f>
        <v/>
      </c>
    </row>
    <row r="2402" spans="1:12" x14ac:dyDescent="0.3">
      <c r="A2402">
        <f>IF(J2402="0",0,IF(COUNTIF($J$2:J2402,J2402)=1,1,0))</f>
        <v>0</v>
      </c>
      <c r="B2402" s="12" t="e">
        <f>MID(MAIN!A2407,K2402,2)</f>
        <v>#VALUE!</v>
      </c>
      <c r="C2402" s="12" t="e">
        <f t="shared" si="148"/>
        <v>#VALUE!</v>
      </c>
      <c r="D2402" s="12" t="e">
        <f>MID(MAIN!A2407,K2402+2,2)</f>
        <v>#VALUE!</v>
      </c>
      <c r="E2402" s="12" t="e">
        <f>MID(MAIN!A2407,K2402+4,2)</f>
        <v>#VALUE!</v>
      </c>
      <c r="F2402" s="2" t="e">
        <f t="shared" si="149"/>
        <v>#VALUE!</v>
      </c>
      <c r="G2402" s="13" t="e">
        <f t="shared" si="150"/>
        <v>#VALUE!</v>
      </c>
      <c r="J2402" t="str">
        <f>MAIN!A2407&amp;"B"</f>
        <v>B</v>
      </c>
      <c r="K2402" s="12" t="e">
        <f t="shared" si="151"/>
        <v>#VALUE!</v>
      </c>
      <c r="L2402" t="str">
        <f>MAIN!C2407</f>
        <v/>
      </c>
    </row>
    <row r="2403" spans="1:12" x14ac:dyDescent="0.3">
      <c r="A2403">
        <f>IF(J2403="0",0,IF(COUNTIF($J$2:J2403,J2403)=1,1,0))</f>
        <v>0</v>
      </c>
      <c r="B2403" s="12" t="e">
        <f>MID(MAIN!A2408,K2403,2)</f>
        <v>#VALUE!</v>
      </c>
      <c r="C2403" s="12" t="e">
        <f t="shared" si="148"/>
        <v>#VALUE!</v>
      </c>
      <c r="D2403" s="12" t="e">
        <f>MID(MAIN!A2408,K2403+2,2)</f>
        <v>#VALUE!</v>
      </c>
      <c r="E2403" s="12" t="e">
        <f>MID(MAIN!A2408,K2403+4,2)</f>
        <v>#VALUE!</v>
      </c>
      <c r="F2403" s="2" t="e">
        <f t="shared" si="149"/>
        <v>#VALUE!</v>
      </c>
      <c r="G2403" s="13" t="e">
        <f t="shared" si="150"/>
        <v>#VALUE!</v>
      </c>
      <c r="J2403" t="str">
        <f>MAIN!A2408&amp;"B"</f>
        <v>B</v>
      </c>
      <c r="K2403" s="12" t="e">
        <f t="shared" si="151"/>
        <v>#VALUE!</v>
      </c>
      <c r="L2403" t="str">
        <f>MAIN!C2408</f>
        <v/>
      </c>
    </row>
    <row r="2404" spans="1:12" x14ac:dyDescent="0.3">
      <c r="A2404">
        <f>IF(J2404="0",0,IF(COUNTIF($J$2:J2404,J2404)=1,1,0))</f>
        <v>0</v>
      </c>
      <c r="B2404" s="12" t="e">
        <f>MID(MAIN!A2409,K2404,2)</f>
        <v>#VALUE!</v>
      </c>
      <c r="C2404" s="12" t="e">
        <f t="shared" si="148"/>
        <v>#VALUE!</v>
      </c>
      <c r="D2404" s="12" t="e">
        <f>MID(MAIN!A2409,K2404+2,2)</f>
        <v>#VALUE!</v>
      </c>
      <c r="E2404" s="12" t="e">
        <f>MID(MAIN!A2409,K2404+4,2)</f>
        <v>#VALUE!</v>
      </c>
      <c r="F2404" s="2" t="e">
        <f t="shared" si="149"/>
        <v>#VALUE!</v>
      </c>
      <c r="G2404" s="13" t="e">
        <f t="shared" si="150"/>
        <v>#VALUE!</v>
      </c>
      <c r="J2404" t="str">
        <f>MAIN!A2409&amp;"B"</f>
        <v>B</v>
      </c>
      <c r="K2404" s="12" t="e">
        <f t="shared" si="151"/>
        <v>#VALUE!</v>
      </c>
      <c r="L2404" t="str">
        <f>MAIN!C2409</f>
        <v/>
      </c>
    </row>
    <row r="2405" spans="1:12" x14ac:dyDescent="0.3">
      <c r="A2405">
        <f>IF(J2405="0",0,IF(COUNTIF($J$2:J2405,J2405)=1,1,0))</f>
        <v>0</v>
      </c>
      <c r="B2405" s="12" t="e">
        <f>MID(MAIN!A2410,K2405,2)</f>
        <v>#VALUE!</v>
      </c>
      <c r="C2405" s="12" t="e">
        <f t="shared" si="148"/>
        <v>#VALUE!</v>
      </c>
      <c r="D2405" s="12" t="e">
        <f>MID(MAIN!A2410,K2405+2,2)</f>
        <v>#VALUE!</v>
      </c>
      <c r="E2405" s="12" t="e">
        <f>MID(MAIN!A2410,K2405+4,2)</f>
        <v>#VALUE!</v>
      </c>
      <c r="F2405" s="2" t="e">
        <f t="shared" si="149"/>
        <v>#VALUE!</v>
      </c>
      <c r="G2405" s="13" t="e">
        <f t="shared" si="150"/>
        <v>#VALUE!</v>
      </c>
      <c r="J2405" t="str">
        <f>MAIN!A2410&amp;"B"</f>
        <v>B</v>
      </c>
      <c r="K2405" s="12" t="e">
        <f t="shared" si="151"/>
        <v>#VALUE!</v>
      </c>
      <c r="L2405" t="str">
        <f>MAIN!C2410</f>
        <v/>
      </c>
    </row>
    <row r="2406" spans="1:12" x14ac:dyDescent="0.3">
      <c r="A2406">
        <f>IF(J2406="0",0,IF(COUNTIF($J$2:J2406,J2406)=1,1,0))</f>
        <v>0</v>
      </c>
      <c r="B2406" s="12" t="e">
        <f>MID(MAIN!A2411,K2406,2)</f>
        <v>#VALUE!</v>
      </c>
      <c r="C2406" s="12" t="e">
        <f t="shared" si="148"/>
        <v>#VALUE!</v>
      </c>
      <c r="D2406" s="12" t="e">
        <f>MID(MAIN!A2411,K2406+2,2)</f>
        <v>#VALUE!</v>
      </c>
      <c r="E2406" s="12" t="e">
        <f>MID(MAIN!A2411,K2406+4,2)</f>
        <v>#VALUE!</v>
      </c>
      <c r="F2406" s="2" t="e">
        <f t="shared" si="149"/>
        <v>#VALUE!</v>
      </c>
      <c r="G2406" s="13" t="e">
        <f t="shared" si="150"/>
        <v>#VALUE!</v>
      </c>
      <c r="J2406" t="str">
        <f>MAIN!A2411&amp;"B"</f>
        <v>B</v>
      </c>
      <c r="K2406" s="12" t="e">
        <f t="shared" si="151"/>
        <v>#VALUE!</v>
      </c>
      <c r="L2406" t="str">
        <f>MAIN!C2411</f>
        <v/>
      </c>
    </row>
    <row r="2407" spans="1:12" x14ac:dyDescent="0.3">
      <c r="A2407">
        <f>IF(J2407="0",0,IF(COUNTIF($J$2:J2407,J2407)=1,1,0))</f>
        <v>0</v>
      </c>
      <c r="B2407" s="12" t="e">
        <f>MID(MAIN!A2412,K2407,2)</f>
        <v>#VALUE!</v>
      </c>
      <c r="C2407" s="12" t="e">
        <f t="shared" si="148"/>
        <v>#VALUE!</v>
      </c>
      <c r="D2407" s="12" t="e">
        <f>MID(MAIN!A2412,K2407+2,2)</f>
        <v>#VALUE!</v>
      </c>
      <c r="E2407" s="12" t="e">
        <f>MID(MAIN!A2412,K2407+4,2)</f>
        <v>#VALUE!</v>
      </c>
      <c r="F2407" s="2" t="e">
        <f t="shared" si="149"/>
        <v>#VALUE!</v>
      </c>
      <c r="G2407" s="13" t="e">
        <f t="shared" si="150"/>
        <v>#VALUE!</v>
      </c>
      <c r="J2407" t="str">
        <f>MAIN!A2412&amp;"B"</f>
        <v>B</v>
      </c>
      <c r="K2407" s="12" t="e">
        <f t="shared" si="151"/>
        <v>#VALUE!</v>
      </c>
      <c r="L2407" t="str">
        <f>MAIN!C2412</f>
        <v/>
      </c>
    </row>
    <row r="2408" spans="1:12" x14ac:dyDescent="0.3">
      <c r="A2408">
        <f>IF(J2408="0",0,IF(COUNTIF($J$2:J2408,J2408)=1,1,0))</f>
        <v>0</v>
      </c>
      <c r="B2408" s="12" t="e">
        <f>MID(MAIN!A2413,K2408,2)</f>
        <v>#VALUE!</v>
      </c>
      <c r="C2408" s="12" t="e">
        <f t="shared" si="148"/>
        <v>#VALUE!</v>
      </c>
      <c r="D2408" s="12" t="e">
        <f>MID(MAIN!A2413,K2408+2,2)</f>
        <v>#VALUE!</v>
      </c>
      <c r="E2408" s="12" t="e">
        <f>MID(MAIN!A2413,K2408+4,2)</f>
        <v>#VALUE!</v>
      </c>
      <c r="F2408" s="2" t="e">
        <f t="shared" si="149"/>
        <v>#VALUE!</v>
      </c>
      <c r="G2408" s="13" t="e">
        <f t="shared" si="150"/>
        <v>#VALUE!</v>
      </c>
      <c r="J2408" t="str">
        <f>MAIN!A2413&amp;"B"</f>
        <v>B</v>
      </c>
      <c r="K2408" s="12" t="e">
        <f t="shared" si="151"/>
        <v>#VALUE!</v>
      </c>
      <c r="L2408" t="str">
        <f>MAIN!C2413</f>
        <v/>
      </c>
    </row>
    <row r="2409" spans="1:12" x14ac:dyDescent="0.3">
      <c r="A2409">
        <f>IF(J2409="0",0,IF(COUNTIF($J$2:J2409,J2409)=1,1,0))</f>
        <v>0</v>
      </c>
      <c r="B2409" s="12" t="e">
        <f>MID(MAIN!A2414,K2409,2)</f>
        <v>#VALUE!</v>
      </c>
      <c r="C2409" s="12" t="e">
        <f t="shared" si="148"/>
        <v>#VALUE!</v>
      </c>
      <c r="D2409" s="12" t="e">
        <f>MID(MAIN!A2414,K2409+2,2)</f>
        <v>#VALUE!</v>
      </c>
      <c r="E2409" s="12" t="e">
        <f>MID(MAIN!A2414,K2409+4,2)</f>
        <v>#VALUE!</v>
      </c>
      <c r="F2409" s="2" t="e">
        <f t="shared" si="149"/>
        <v>#VALUE!</v>
      </c>
      <c r="G2409" s="13" t="e">
        <f t="shared" si="150"/>
        <v>#VALUE!</v>
      </c>
      <c r="J2409" t="str">
        <f>MAIN!A2414&amp;"B"</f>
        <v>B</v>
      </c>
      <c r="K2409" s="12" t="e">
        <f t="shared" si="151"/>
        <v>#VALUE!</v>
      </c>
      <c r="L2409" t="str">
        <f>MAIN!C2414</f>
        <v/>
      </c>
    </row>
    <row r="2410" spans="1:12" x14ac:dyDescent="0.3">
      <c r="A2410">
        <f>IF(J2410="0",0,IF(COUNTIF($J$2:J2410,J2410)=1,1,0))</f>
        <v>0</v>
      </c>
      <c r="B2410" s="12" t="e">
        <f>MID(MAIN!A2415,K2410,2)</f>
        <v>#VALUE!</v>
      </c>
      <c r="C2410" s="12" t="e">
        <f t="shared" si="148"/>
        <v>#VALUE!</v>
      </c>
      <c r="D2410" s="12" t="e">
        <f>MID(MAIN!A2415,K2410+2,2)</f>
        <v>#VALUE!</v>
      </c>
      <c r="E2410" s="12" t="e">
        <f>MID(MAIN!A2415,K2410+4,2)</f>
        <v>#VALUE!</v>
      </c>
      <c r="F2410" s="2" t="e">
        <f t="shared" si="149"/>
        <v>#VALUE!</v>
      </c>
      <c r="G2410" s="13" t="e">
        <f t="shared" si="150"/>
        <v>#VALUE!</v>
      </c>
      <c r="J2410" t="str">
        <f>MAIN!A2415&amp;"B"</f>
        <v>B</v>
      </c>
      <c r="K2410" s="12" t="e">
        <f t="shared" si="151"/>
        <v>#VALUE!</v>
      </c>
      <c r="L2410" t="str">
        <f>MAIN!C2415</f>
        <v/>
      </c>
    </row>
    <row r="2411" spans="1:12" x14ac:dyDescent="0.3">
      <c r="A2411">
        <f>IF(J2411="0",0,IF(COUNTIF($J$2:J2411,J2411)=1,1,0))</f>
        <v>0</v>
      </c>
      <c r="B2411" s="12" t="e">
        <f>MID(MAIN!A2416,K2411,2)</f>
        <v>#VALUE!</v>
      </c>
      <c r="C2411" s="12" t="e">
        <f t="shared" si="148"/>
        <v>#VALUE!</v>
      </c>
      <c r="D2411" s="12" t="e">
        <f>MID(MAIN!A2416,K2411+2,2)</f>
        <v>#VALUE!</v>
      </c>
      <c r="E2411" s="12" t="e">
        <f>MID(MAIN!A2416,K2411+4,2)</f>
        <v>#VALUE!</v>
      </c>
      <c r="F2411" s="2" t="e">
        <f t="shared" si="149"/>
        <v>#VALUE!</v>
      </c>
      <c r="G2411" s="13" t="e">
        <f t="shared" si="150"/>
        <v>#VALUE!</v>
      </c>
      <c r="J2411" t="str">
        <f>MAIN!A2416&amp;"B"</f>
        <v>B</v>
      </c>
      <c r="K2411" s="12" t="e">
        <f t="shared" si="151"/>
        <v>#VALUE!</v>
      </c>
      <c r="L2411" t="str">
        <f>MAIN!C2416</f>
        <v/>
      </c>
    </row>
    <row r="2412" spans="1:12" x14ac:dyDescent="0.3">
      <c r="A2412">
        <f>IF(J2412="0",0,IF(COUNTIF($J$2:J2412,J2412)=1,1,0))</f>
        <v>0</v>
      </c>
      <c r="B2412" s="12" t="e">
        <f>MID(MAIN!A2417,K2412,2)</f>
        <v>#VALUE!</v>
      </c>
      <c r="C2412" s="12" t="e">
        <f t="shared" si="148"/>
        <v>#VALUE!</v>
      </c>
      <c r="D2412" s="12" t="e">
        <f>MID(MAIN!A2417,K2412+2,2)</f>
        <v>#VALUE!</v>
      </c>
      <c r="E2412" s="12" t="e">
        <f>MID(MAIN!A2417,K2412+4,2)</f>
        <v>#VALUE!</v>
      </c>
      <c r="F2412" s="2" t="e">
        <f t="shared" si="149"/>
        <v>#VALUE!</v>
      </c>
      <c r="G2412" s="13" t="e">
        <f t="shared" si="150"/>
        <v>#VALUE!</v>
      </c>
      <c r="J2412" t="str">
        <f>MAIN!A2417&amp;"B"</f>
        <v>B</v>
      </c>
      <c r="K2412" s="12" t="e">
        <f t="shared" si="151"/>
        <v>#VALUE!</v>
      </c>
      <c r="L2412" t="str">
        <f>MAIN!C2417</f>
        <v/>
      </c>
    </row>
    <row r="2413" spans="1:12" x14ac:dyDescent="0.3">
      <c r="A2413">
        <f>IF(J2413="0",0,IF(COUNTIF($J$2:J2413,J2413)=1,1,0))</f>
        <v>0</v>
      </c>
      <c r="B2413" s="12" t="e">
        <f>MID(MAIN!A2418,K2413,2)</f>
        <v>#VALUE!</v>
      </c>
      <c r="C2413" s="12" t="e">
        <f t="shared" si="148"/>
        <v>#VALUE!</v>
      </c>
      <c r="D2413" s="12" t="e">
        <f>MID(MAIN!A2418,K2413+2,2)</f>
        <v>#VALUE!</v>
      </c>
      <c r="E2413" s="12" t="e">
        <f>MID(MAIN!A2418,K2413+4,2)</f>
        <v>#VALUE!</v>
      </c>
      <c r="F2413" s="2" t="e">
        <f t="shared" si="149"/>
        <v>#VALUE!</v>
      </c>
      <c r="G2413" s="13" t="e">
        <f t="shared" si="150"/>
        <v>#VALUE!</v>
      </c>
      <c r="J2413" t="str">
        <f>MAIN!A2418&amp;"B"</f>
        <v>B</v>
      </c>
      <c r="K2413" s="12" t="e">
        <f t="shared" si="151"/>
        <v>#VALUE!</v>
      </c>
      <c r="L2413" t="str">
        <f>MAIN!C2418</f>
        <v/>
      </c>
    </row>
    <row r="2414" spans="1:12" x14ac:dyDescent="0.3">
      <c r="A2414">
        <f>IF(J2414="0",0,IF(COUNTIF($J$2:J2414,J2414)=1,1,0))</f>
        <v>0</v>
      </c>
      <c r="B2414" s="12" t="e">
        <f>MID(MAIN!A2419,K2414,2)</f>
        <v>#VALUE!</v>
      </c>
      <c r="C2414" s="12" t="e">
        <f t="shared" si="148"/>
        <v>#VALUE!</v>
      </c>
      <c r="D2414" s="12" t="e">
        <f>MID(MAIN!A2419,K2414+2,2)</f>
        <v>#VALUE!</v>
      </c>
      <c r="E2414" s="12" t="e">
        <f>MID(MAIN!A2419,K2414+4,2)</f>
        <v>#VALUE!</v>
      </c>
      <c r="F2414" s="2" t="e">
        <f t="shared" si="149"/>
        <v>#VALUE!</v>
      </c>
      <c r="G2414" s="13" t="e">
        <f t="shared" si="150"/>
        <v>#VALUE!</v>
      </c>
      <c r="J2414" t="str">
        <f>MAIN!A2419&amp;"B"</f>
        <v>B</v>
      </c>
      <c r="K2414" s="12" t="e">
        <f t="shared" si="151"/>
        <v>#VALUE!</v>
      </c>
      <c r="L2414" t="str">
        <f>MAIN!C2419</f>
        <v/>
      </c>
    </row>
    <row r="2415" spans="1:12" x14ac:dyDescent="0.3">
      <c r="A2415">
        <f>IF(J2415="0",0,IF(COUNTIF($J$2:J2415,J2415)=1,1,0))</f>
        <v>0</v>
      </c>
      <c r="B2415" s="12" t="e">
        <f>MID(MAIN!A2420,K2415,2)</f>
        <v>#VALUE!</v>
      </c>
      <c r="C2415" s="12" t="e">
        <f t="shared" si="148"/>
        <v>#VALUE!</v>
      </c>
      <c r="D2415" s="12" t="e">
        <f>MID(MAIN!A2420,K2415+2,2)</f>
        <v>#VALUE!</v>
      </c>
      <c r="E2415" s="12" t="e">
        <f>MID(MAIN!A2420,K2415+4,2)</f>
        <v>#VALUE!</v>
      </c>
      <c r="F2415" s="2" t="e">
        <f t="shared" si="149"/>
        <v>#VALUE!</v>
      </c>
      <c r="G2415" s="13" t="e">
        <f t="shared" si="150"/>
        <v>#VALUE!</v>
      </c>
      <c r="J2415" t="str">
        <f>MAIN!A2420&amp;"B"</f>
        <v>B</v>
      </c>
      <c r="K2415" s="12" t="e">
        <f t="shared" si="151"/>
        <v>#VALUE!</v>
      </c>
      <c r="L2415" t="str">
        <f>MAIN!C2420</f>
        <v/>
      </c>
    </row>
    <row r="2416" spans="1:12" x14ac:dyDescent="0.3">
      <c r="A2416">
        <f>IF(J2416="0",0,IF(COUNTIF($J$2:J2416,J2416)=1,1,0))</f>
        <v>0</v>
      </c>
      <c r="B2416" s="12" t="e">
        <f>MID(MAIN!A2421,K2416,2)</f>
        <v>#VALUE!</v>
      </c>
      <c r="C2416" s="12" t="e">
        <f t="shared" si="148"/>
        <v>#VALUE!</v>
      </c>
      <c r="D2416" s="12" t="e">
        <f>MID(MAIN!A2421,K2416+2,2)</f>
        <v>#VALUE!</v>
      </c>
      <c r="E2416" s="12" t="e">
        <f>MID(MAIN!A2421,K2416+4,2)</f>
        <v>#VALUE!</v>
      </c>
      <c r="F2416" s="2" t="e">
        <f t="shared" si="149"/>
        <v>#VALUE!</v>
      </c>
      <c r="G2416" s="13" t="e">
        <f t="shared" si="150"/>
        <v>#VALUE!</v>
      </c>
      <c r="J2416" t="str">
        <f>MAIN!A2421&amp;"B"</f>
        <v>B</v>
      </c>
      <c r="K2416" s="12" t="e">
        <f t="shared" si="151"/>
        <v>#VALUE!</v>
      </c>
      <c r="L2416" t="str">
        <f>MAIN!C2421</f>
        <v/>
      </c>
    </row>
    <row r="2417" spans="1:12" x14ac:dyDescent="0.3">
      <c r="A2417">
        <f>IF(J2417="0",0,IF(COUNTIF($J$2:J2417,J2417)=1,1,0))</f>
        <v>0</v>
      </c>
      <c r="B2417" s="12" t="e">
        <f>MID(MAIN!A2422,K2417,2)</f>
        <v>#VALUE!</v>
      </c>
      <c r="C2417" s="12" t="e">
        <f t="shared" si="148"/>
        <v>#VALUE!</v>
      </c>
      <c r="D2417" s="12" t="e">
        <f>MID(MAIN!A2422,K2417+2,2)</f>
        <v>#VALUE!</v>
      </c>
      <c r="E2417" s="12" t="e">
        <f>MID(MAIN!A2422,K2417+4,2)</f>
        <v>#VALUE!</v>
      </c>
      <c r="F2417" s="2" t="e">
        <f t="shared" si="149"/>
        <v>#VALUE!</v>
      </c>
      <c r="G2417" s="13" t="e">
        <f t="shared" si="150"/>
        <v>#VALUE!</v>
      </c>
      <c r="J2417" t="str">
        <f>MAIN!A2422&amp;"B"</f>
        <v>B</v>
      </c>
      <c r="K2417" s="12" t="e">
        <f t="shared" si="151"/>
        <v>#VALUE!</v>
      </c>
      <c r="L2417" t="str">
        <f>MAIN!C2422</f>
        <v/>
      </c>
    </row>
    <row r="2418" spans="1:12" x14ac:dyDescent="0.3">
      <c r="A2418">
        <f>IF(J2418="0",0,IF(COUNTIF($J$2:J2418,J2418)=1,1,0))</f>
        <v>0</v>
      </c>
      <c r="B2418" s="12" t="e">
        <f>MID(MAIN!A2423,K2418,2)</f>
        <v>#VALUE!</v>
      </c>
      <c r="C2418" s="12" t="e">
        <f t="shared" si="148"/>
        <v>#VALUE!</v>
      </c>
      <c r="D2418" s="12" t="e">
        <f>MID(MAIN!A2423,K2418+2,2)</f>
        <v>#VALUE!</v>
      </c>
      <c r="E2418" s="12" t="e">
        <f>MID(MAIN!A2423,K2418+4,2)</f>
        <v>#VALUE!</v>
      </c>
      <c r="F2418" s="2" t="e">
        <f t="shared" si="149"/>
        <v>#VALUE!</v>
      </c>
      <c r="G2418" s="13" t="e">
        <f t="shared" si="150"/>
        <v>#VALUE!</v>
      </c>
      <c r="J2418" t="str">
        <f>MAIN!A2423&amp;"B"</f>
        <v>B</v>
      </c>
      <c r="K2418" s="12" t="e">
        <f t="shared" si="151"/>
        <v>#VALUE!</v>
      </c>
      <c r="L2418" t="str">
        <f>MAIN!C2423</f>
        <v/>
      </c>
    </row>
    <row r="2419" spans="1:12" x14ac:dyDescent="0.3">
      <c r="A2419">
        <f>IF(J2419="0",0,IF(COUNTIF($J$2:J2419,J2419)=1,1,0))</f>
        <v>0</v>
      </c>
      <c r="B2419" s="12" t="e">
        <f>MID(MAIN!A2424,K2419,2)</f>
        <v>#VALUE!</v>
      </c>
      <c r="C2419" s="12" t="e">
        <f t="shared" si="148"/>
        <v>#VALUE!</v>
      </c>
      <c r="D2419" s="12" t="e">
        <f>MID(MAIN!A2424,K2419+2,2)</f>
        <v>#VALUE!</v>
      </c>
      <c r="E2419" s="12" t="e">
        <f>MID(MAIN!A2424,K2419+4,2)</f>
        <v>#VALUE!</v>
      </c>
      <c r="F2419" s="2" t="e">
        <f t="shared" si="149"/>
        <v>#VALUE!</v>
      </c>
      <c r="G2419" s="13" t="e">
        <f t="shared" si="150"/>
        <v>#VALUE!</v>
      </c>
      <c r="J2419" t="str">
        <f>MAIN!A2424&amp;"B"</f>
        <v>B</v>
      </c>
      <c r="K2419" s="12" t="e">
        <f t="shared" si="151"/>
        <v>#VALUE!</v>
      </c>
      <c r="L2419" t="str">
        <f>MAIN!C2424</f>
        <v/>
      </c>
    </row>
    <row r="2420" spans="1:12" x14ac:dyDescent="0.3">
      <c r="A2420">
        <f>IF(J2420="0",0,IF(COUNTIF($J$2:J2420,J2420)=1,1,0))</f>
        <v>0</v>
      </c>
      <c r="B2420" s="12" t="e">
        <f>MID(MAIN!A2425,K2420,2)</f>
        <v>#VALUE!</v>
      </c>
      <c r="C2420" s="12" t="e">
        <f t="shared" si="148"/>
        <v>#VALUE!</v>
      </c>
      <c r="D2420" s="12" t="e">
        <f>MID(MAIN!A2425,K2420+2,2)</f>
        <v>#VALUE!</v>
      </c>
      <c r="E2420" s="12" t="e">
        <f>MID(MAIN!A2425,K2420+4,2)</f>
        <v>#VALUE!</v>
      </c>
      <c r="F2420" s="2" t="e">
        <f t="shared" si="149"/>
        <v>#VALUE!</v>
      </c>
      <c r="G2420" s="13" t="e">
        <f t="shared" si="150"/>
        <v>#VALUE!</v>
      </c>
      <c r="J2420" t="str">
        <f>MAIN!A2425&amp;"B"</f>
        <v>B</v>
      </c>
      <c r="K2420" s="12" t="e">
        <f t="shared" si="151"/>
        <v>#VALUE!</v>
      </c>
      <c r="L2420" t="str">
        <f>MAIN!C2425</f>
        <v/>
      </c>
    </row>
    <row r="2421" spans="1:12" x14ac:dyDescent="0.3">
      <c r="A2421">
        <f>IF(J2421="0",0,IF(COUNTIF($J$2:J2421,J2421)=1,1,0))</f>
        <v>0</v>
      </c>
      <c r="B2421" s="12" t="e">
        <f>MID(MAIN!A2426,K2421,2)</f>
        <v>#VALUE!</v>
      </c>
      <c r="C2421" s="12" t="e">
        <f t="shared" si="148"/>
        <v>#VALUE!</v>
      </c>
      <c r="D2421" s="12" t="e">
        <f>MID(MAIN!A2426,K2421+2,2)</f>
        <v>#VALUE!</v>
      </c>
      <c r="E2421" s="12" t="e">
        <f>MID(MAIN!A2426,K2421+4,2)</f>
        <v>#VALUE!</v>
      </c>
      <c r="F2421" s="2" t="e">
        <f t="shared" si="149"/>
        <v>#VALUE!</v>
      </c>
      <c r="G2421" s="13" t="e">
        <f t="shared" si="150"/>
        <v>#VALUE!</v>
      </c>
      <c r="J2421" t="str">
        <f>MAIN!A2426&amp;"B"</f>
        <v>B</v>
      </c>
      <c r="K2421" s="12" t="e">
        <f t="shared" si="151"/>
        <v>#VALUE!</v>
      </c>
      <c r="L2421" t="str">
        <f>MAIN!C2426</f>
        <v/>
      </c>
    </row>
    <row r="2422" spans="1:12" x14ac:dyDescent="0.3">
      <c r="A2422">
        <f>IF(J2422="0",0,IF(COUNTIF($J$2:J2422,J2422)=1,1,0))</f>
        <v>0</v>
      </c>
      <c r="B2422" s="12" t="e">
        <f>MID(MAIN!A2427,K2422,2)</f>
        <v>#VALUE!</v>
      </c>
      <c r="C2422" s="12" t="e">
        <f t="shared" si="148"/>
        <v>#VALUE!</v>
      </c>
      <c r="D2422" s="12" t="e">
        <f>MID(MAIN!A2427,K2422+2,2)</f>
        <v>#VALUE!</v>
      </c>
      <c r="E2422" s="12" t="e">
        <f>MID(MAIN!A2427,K2422+4,2)</f>
        <v>#VALUE!</v>
      </c>
      <c r="F2422" s="2" t="e">
        <f t="shared" si="149"/>
        <v>#VALUE!</v>
      </c>
      <c r="G2422" s="13" t="e">
        <f t="shared" si="150"/>
        <v>#VALUE!</v>
      </c>
      <c r="J2422" t="str">
        <f>MAIN!A2427&amp;"B"</f>
        <v>B</v>
      </c>
      <c r="K2422" s="12" t="e">
        <f t="shared" si="151"/>
        <v>#VALUE!</v>
      </c>
      <c r="L2422" t="str">
        <f>MAIN!C2427</f>
        <v/>
      </c>
    </row>
    <row r="2423" spans="1:12" x14ac:dyDescent="0.3">
      <c r="A2423">
        <f>IF(J2423="0",0,IF(COUNTIF($J$2:J2423,J2423)=1,1,0))</f>
        <v>0</v>
      </c>
      <c r="B2423" s="12" t="e">
        <f>MID(MAIN!A2428,K2423,2)</f>
        <v>#VALUE!</v>
      </c>
      <c r="C2423" s="12" t="e">
        <f t="shared" si="148"/>
        <v>#VALUE!</v>
      </c>
      <c r="D2423" s="12" t="e">
        <f>MID(MAIN!A2428,K2423+2,2)</f>
        <v>#VALUE!</v>
      </c>
      <c r="E2423" s="12" t="e">
        <f>MID(MAIN!A2428,K2423+4,2)</f>
        <v>#VALUE!</v>
      </c>
      <c r="F2423" s="2" t="e">
        <f t="shared" si="149"/>
        <v>#VALUE!</v>
      </c>
      <c r="G2423" s="13" t="e">
        <f t="shared" si="150"/>
        <v>#VALUE!</v>
      </c>
      <c r="J2423" t="str">
        <f>MAIN!A2428&amp;"B"</f>
        <v>B</v>
      </c>
      <c r="K2423" s="12" t="e">
        <f t="shared" si="151"/>
        <v>#VALUE!</v>
      </c>
      <c r="L2423" t="str">
        <f>MAIN!C2428</f>
        <v/>
      </c>
    </row>
    <row r="2424" spans="1:12" x14ac:dyDescent="0.3">
      <c r="A2424">
        <f>IF(J2424="0",0,IF(COUNTIF($J$2:J2424,J2424)=1,1,0))</f>
        <v>0</v>
      </c>
      <c r="B2424" s="12" t="e">
        <f>MID(MAIN!A2429,K2424,2)</f>
        <v>#VALUE!</v>
      </c>
      <c r="C2424" s="12" t="e">
        <f t="shared" si="148"/>
        <v>#VALUE!</v>
      </c>
      <c r="D2424" s="12" t="e">
        <f>MID(MAIN!A2429,K2424+2,2)</f>
        <v>#VALUE!</v>
      </c>
      <c r="E2424" s="12" t="e">
        <f>MID(MAIN!A2429,K2424+4,2)</f>
        <v>#VALUE!</v>
      </c>
      <c r="F2424" s="2" t="e">
        <f t="shared" si="149"/>
        <v>#VALUE!</v>
      </c>
      <c r="G2424" s="13" t="e">
        <f t="shared" si="150"/>
        <v>#VALUE!</v>
      </c>
      <c r="J2424" t="str">
        <f>MAIN!A2429&amp;"B"</f>
        <v>B</v>
      </c>
      <c r="K2424" s="12" t="e">
        <f t="shared" si="151"/>
        <v>#VALUE!</v>
      </c>
      <c r="L2424" t="str">
        <f>MAIN!C2429</f>
        <v/>
      </c>
    </row>
    <row r="2425" spans="1:12" x14ac:dyDescent="0.3">
      <c r="A2425">
        <f>IF(J2425="0",0,IF(COUNTIF($J$2:J2425,J2425)=1,1,0))</f>
        <v>0</v>
      </c>
      <c r="B2425" s="12" t="e">
        <f>MID(MAIN!A2430,K2425,2)</f>
        <v>#VALUE!</v>
      </c>
      <c r="C2425" s="12" t="e">
        <f t="shared" si="148"/>
        <v>#VALUE!</v>
      </c>
      <c r="D2425" s="12" t="e">
        <f>MID(MAIN!A2430,K2425+2,2)</f>
        <v>#VALUE!</v>
      </c>
      <c r="E2425" s="12" t="e">
        <f>MID(MAIN!A2430,K2425+4,2)</f>
        <v>#VALUE!</v>
      </c>
      <c r="F2425" s="2" t="e">
        <f t="shared" si="149"/>
        <v>#VALUE!</v>
      </c>
      <c r="G2425" s="13" t="e">
        <f t="shared" si="150"/>
        <v>#VALUE!</v>
      </c>
      <c r="J2425" t="str">
        <f>MAIN!A2430&amp;"B"</f>
        <v>B</v>
      </c>
      <c r="K2425" s="12" t="e">
        <f t="shared" si="151"/>
        <v>#VALUE!</v>
      </c>
      <c r="L2425" t="str">
        <f>MAIN!C2430</f>
        <v/>
      </c>
    </row>
    <row r="2426" spans="1:12" x14ac:dyDescent="0.3">
      <c r="A2426">
        <f>IF(J2426="0",0,IF(COUNTIF($J$2:J2426,J2426)=1,1,0))</f>
        <v>0</v>
      </c>
      <c r="B2426" s="12" t="e">
        <f>MID(MAIN!A2431,K2426,2)</f>
        <v>#VALUE!</v>
      </c>
      <c r="C2426" s="12" t="e">
        <f t="shared" si="148"/>
        <v>#VALUE!</v>
      </c>
      <c r="D2426" s="12" t="e">
        <f>MID(MAIN!A2431,K2426+2,2)</f>
        <v>#VALUE!</v>
      </c>
      <c r="E2426" s="12" t="e">
        <f>MID(MAIN!A2431,K2426+4,2)</f>
        <v>#VALUE!</v>
      </c>
      <c r="F2426" s="2" t="e">
        <f t="shared" si="149"/>
        <v>#VALUE!</v>
      </c>
      <c r="G2426" s="13" t="e">
        <f t="shared" si="150"/>
        <v>#VALUE!</v>
      </c>
      <c r="J2426" t="str">
        <f>MAIN!A2431&amp;"B"</f>
        <v>B</v>
      </c>
      <c r="K2426" s="12" t="e">
        <f t="shared" si="151"/>
        <v>#VALUE!</v>
      </c>
      <c r="L2426" t="str">
        <f>MAIN!C2431</f>
        <v/>
      </c>
    </row>
    <row r="2427" spans="1:12" x14ac:dyDescent="0.3">
      <c r="A2427">
        <f>IF(J2427="0",0,IF(COUNTIF($J$2:J2427,J2427)=1,1,0))</f>
        <v>0</v>
      </c>
      <c r="B2427" s="12" t="e">
        <f>MID(MAIN!A2432,K2427,2)</f>
        <v>#VALUE!</v>
      </c>
      <c r="C2427" s="12" t="e">
        <f t="shared" si="148"/>
        <v>#VALUE!</v>
      </c>
      <c r="D2427" s="12" t="e">
        <f>MID(MAIN!A2432,K2427+2,2)</f>
        <v>#VALUE!</v>
      </c>
      <c r="E2427" s="12" t="e">
        <f>MID(MAIN!A2432,K2427+4,2)</f>
        <v>#VALUE!</v>
      </c>
      <c r="F2427" s="2" t="e">
        <f t="shared" si="149"/>
        <v>#VALUE!</v>
      </c>
      <c r="G2427" s="13" t="e">
        <f t="shared" si="150"/>
        <v>#VALUE!</v>
      </c>
      <c r="J2427" t="str">
        <f>MAIN!A2432&amp;"B"</f>
        <v>B</v>
      </c>
      <c r="K2427" s="12" t="e">
        <f t="shared" si="151"/>
        <v>#VALUE!</v>
      </c>
      <c r="L2427" t="str">
        <f>MAIN!C2432</f>
        <v/>
      </c>
    </row>
    <row r="2428" spans="1:12" x14ac:dyDescent="0.3">
      <c r="A2428">
        <f>IF(J2428="0",0,IF(COUNTIF($J$2:J2428,J2428)=1,1,0))</f>
        <v>0</v>
      </c>
      <c r="B2428" s="12" t="e">
        <f>MID(MAIN!A2433,K2428,2)</f>
        <v>#VALUE!</v>
      </c>
      <c r="C2428" s="12" t="e">
        <f t="shared" si="148"/>
        <v>#VALUE!</v>
      </c>
      <c r="D2428" s="12" t="e">
        <f>MID(MAIN!A2433,K2428+2,2)</f>
        <v>#VALUE!</v>
      </c>
      <c r="E2428" s="12" t="e">
        <f>MID(MAIN!A2433,K2428+4,2)</f>
        <v>#VALUE!</v>
      </c>
      <c r="F2428" s="2" t="e">
        <f t="shared" si="149"/>
        <v>#VALUE!</v>
      </c>
      <c r="G2428" s="13" t="e">
        <f t="shared" si="150"/>
        <v>#VALUE!</v>
      </c>
      <c r="J2428" t="str">
        <f>MAIN!A2433&amp;"B"</f>
        <v>B</v>
      </c>
      <c r="K2428" s="12" t="e">
        <f t="shared" si="151"/>
        <v>#VALUE!</v>
      </c>
      <c r="L2428" t="str">
        <f>MAIN!C2433</f>
        <v/>
      </c>
    </row>
    <row r="2429" spans="1:12" x14ac:dyDescent="0.3">
      <c r="A2429">
        <f>IF(J2429="0",0,IF(COUNTIF($J$2:J2429,J2429)=1,1,0))</f>
        <v>0</v>
      </c>
      <c r="B2429" s="12" t="e">
        <f>MID(MAIN!A2434,K2429,2)</f>
        <v>#VALUE!</v>
      </c>
      <c r="C2429" s="12" t="e">
        <f t="shared" si="148"/>
        <v>#VALUE!</v>
      </c>
      <c r="D2429" s="12" t="e">
        <f>MID(MAIN!A2434,K2429+2,2)</f>
        <v>#VALUE!</v>
      </c>
      <c r="E2429" s="12" t="e">
        <f>MID(MAIN!A2434,K2429+4,2)</f>
        <v>#VALUE!</v>
      </c>
      <c r="F2429" s="2" t="e">
        <f t="shared" si="149"/>
        <v>#VALUE!</v>
      </c>
      <c r="G2429" s="13" t="e">
        <f t="shared" si="150"/>
        <v>#VALUE!</v>
      </c>
      <c r="J2429" t="str">
        <f>MAIN!A2434&amp;"B"</f>
        <v>B</v>
      </c>
      <c r="K2429" s="12" t="e">
        <f t="shared" si="151"/>
        <v>#VALUE!</v>
      </c>
      <c r="L2429" t="str">
        <f>MAIN!C2434</f>
        <v/>
      </c>
    </row>
    <row r="2430" spans="1:12" x14ac:dyDescent="0.3">
      <c r="A2430">
        <f>IF(J2430="0",0,IF(COUNTIF($J$2:J2430,J2430)=1,1,0))</f>
        <v>0</v>
      </c>
      <c r="B2430" s="12" t="e">
        <f>MID(MAIN!A2435,K2430,2)</f>
        <v>#VALUE!</v>
      </c>
      <c r="C2430" s="12" t="e">
        <f t="shared" si="148"/>
        <v>#VALUE!</v>
      </c>
      <c r="D2430" s="12" t="e">
        <f>MID(MAIN!A2435,K2430+2,2)</f>
        <v>#VALUE!</v>
      </c>
      <c r="E2430" s="12" t="e">
        <f>MID(MAIN!A2435,K2430+4,2)</f>
        <v>#VALUE!</v>
      </c>
      <c r="F2430" s="2" t="e">
        <f t="shared" si="149"/>
        <v>#VALUE!</v>
      </c>
      <c r="G2430" s="13" t="e">
        <f t="shared" si="150"/>
        <v>#VALUE!</v>
      </c>
      <c r="J2430" t="str">
        <f>MAIN!A2435&amp;"B"</f>
        <v>B</v>
      </c>
      <c r="K2430" s="12" t="e">
        <f t="shared" si="151"/>
        <v>#VALUE!</v>
      </c>
      <c r="L2430" t="str">
        <f>MAIN!C2435</f>
        <v/>
      </c>
    </row>
    <row r="2431" spans="1:12" x14ac:dyDescent="0.3">
      <c r="A2431">
        <f>IF(J2431="0",0,IF(COUNTIF($J$2:J2431,J2431)=1,1,0))</f>
        <v>0</v>
      </c>
      <c r="B2431" s="12" t="e">
        <f>MID(MAIN!A2436,K2431,2)</f>
        <v>#VALUE!</v>
      </c>
      <c r="C2431" s="12" t="e">
        <f t="shared" si="148"/>
        <v>#VALUE!</v>
      </c>
      <c r="D2431" s="12" t="e">
        <f>MID(MAIN!A2436,K2431+2,2)</f>
        <v>#VALUE!</v>
      </c>
      <c r="E2431" s="12" t="e">
        <f>MID(MAIN!A2436,K2431+4,2)</f>
        <v>#VALUE!</v>
      </c>
      <c r="F2431" s="2" t="e">
        <f t="shared" si="149"/>
        <v>#VALUE!</v>
      </c>
      <c r="G2431" s="13" t="e">
        <f t="shared" si="150"/>
        <v>#VALUE!</v>
      </c>
      <c r="J2431" t="str">
        <f>MAIN!A2436&amp;"B"</f>
        <v>B</v>
      </c>
      <c r="K2431" s="12" t="e">
        <f t="shared" si="151"/>
        <v>#VALUE!</v>
      </c>
      <c r="L2431" t="str">
        <f>MAIN!C2436</f>
        <v/>
      </c>
    </row>
    <row r="2432" spans="1:12" x14ac:dyDescent="0.3">
      <c r="A2432">
        <f>IF(J2432="0",0,IF(COUNTIF($J$2:J2432,J2432)=1,1,0))</f>
        <v>0</v>
      </c>
      <c r="B2432" s="12" t="e">
        <f>MID(MAIN!A2437,K2432,2)</f>
        <v>#VALUE!</v>
      </c>
      <c r="C2432" s="12" t="e">
        <f t="shared" si="148"/>
        <v>#VALUE!</v>
      </c>
      <c r="D2432" s="12" t="e">
        <f>MID(MAIN!A2437,K2432+2,2)</f>
        <v>#VALUE!</v>
      </c>
      <c r="E2432" s="12" t="e">
        <f>MID(MAIN!A2437,K2432+4,2)</f>
        <v>#VALUE!</v>
      </c>
      <c r="F2432" s="2" t="e">
        <f t="shared" si="149"/>
        <v>#VALUE!</v>
      </c>
      <c r="G2432" s="13" t="e">
        <f t="shared" si="150"/>
        <v>#VALUE!</v>
      </c>
      <c r="J2432" t="str">
        <f>MAIN!A2437&amp;"B"</f>
        <v>B</v>
      </c>
      <c r="K2432" s="12" t="e">
        <f t="shared" si="151"/>
        <v>#VALUE!</v>
      </c>
      <c r="L2432" t="str">
        <f>MAIN!C2437</f>
        <v/>
      </c>
    </row>
    <row r="2433" spans="1:12" x14ac:dyDescent="0.3">
      <c r="A2433">
        <f>IF(J2433="0",0,IF(COUNTIF($J$2:J2433,J2433)=1,1,0))</f>
        <v>0</v>
      </c>
      <c r="B2433" s="12" t="e">
        <f>MID(MAIN!A2438,K2433,2)</f>
        <v>#VALUE!</v>
      </c>
      <c r="C2433" s="12" t="e">
        <f t="shared" si="148"/>
        <v>#VALUE!</v>
      </c>
      <c r="D2433" s="12" t="e">
        <f>MID(MAIN!A2438,K2433+2,2)</f>
        <v>#VALUE!</v>
      </c>
      <c r="E2433" s="12" t="e">
        <f>MID(MAIN!A2438,K2433+4,2)</f>
        <v>#VALUE!</v>
      </c>
      <c r="F2433" s="2" t="e">
        <f t="shared" si="149"/>
        <v>#VALUE!</v>
      </c>
      <c r="G2433" s="13" t="e">
        <f t="shared" si="150"/>
        <v>#VALUE!</v>
      </c>
      <c r="J2433" t="str">
        <f>MAIN!A2438&amp;"B"</f>
        <v>B</v>
      </c>
      <c r="K2433" s="12" t="e">
        <f t="shared" si="151"/>
        <v>#VALUE!</v>
      </c>
      <c r="L2433" t="str">
        <f>MAIN!C2438</f>
        <v/>
      </c>
    </row>
    <row r="2434" spans="1:12" x14ac:dyDescent="0.3">
      <c r="A2434">
        <f>IF(J2434="0",0,IF(COUNTIF($J$2:J2434,J2434)=1,1,0))</f>
        <v>0</v>
      </c>
      <c r="B2434" s="12" t="e">
        <f>MID(MAIN!A2439,K2434,2)</f>
        <v>#VALUE!</v>
      </c>
      <c r="C2434" s="12" t="e">
        <f t="shared" si="148"/>
        <v>#VALUE!</v>
      </c>
      <c r="D2434" s="12" t="e">
        <f>MID(MAIN!A2439,K2434+2,2)</f>
        <v>#VALUE!</v>
      </c>
      <c r="E2434" s="12" t="e">
        <f>MID(MAIN!A2439,K2434+4,2)</f>
        <v>#VALUE!</v>
      </c>
      <c r="F2434" s="2" t="e">
        <f t="shared" si="149"/>
        <v>#VALUE!</v>
      </c>
      <c r="G2434" s="13" t="e">
        <f t="shared" si="150"/>
        <v>#VALUE!</v>
      </c>
      <c r="J2434" t="str">
        <f>MAIN!A2439&amp;"B"</f>
        <v>B</v>
      </c>
      <c r="K2434" s="12" t="e">
        <f t="shared" si="151"/>
        <v>#VALUE!</v>
      </c>
      <c r="L2434" t="str">
        <f>MAIN!C2439</f>
        <v/>
      </c>
    </row>
    <row r="2435" spans="1:12" x14ac:dyDescent="0.3">
      <c r="A2435">
        <f>IF(J2435="0",0,IF(COUNTIF($J$2:J2435,J2435)=1,1,0))</f>
        <v>0</v>
      </c>
      <c r="B2435" s="12" t="e">
        <f>MID(MAIN!A2440,K2435,2)</f>
        <v>#VALUE!</v>
      </c>
      <c r="C2435" s="12" t="e">
        <f t="shared" ref="C2435:C2498" si="152">"20"&amp;B2435</f>
        <v>#VALUE!</v>
      </c>
      <c r="D2435" s="12" t="e">
        <f>MID(MAIN!A2440,K2435+2,2)</f>
        <v>#VALUE!</v>
      </c>
      <c r="E2435" s="12" t="e">
        <f>MID(MAIN!A2440,K2435+4,2)</f>
        <v>#VALUE!</v>
      </c>
      <c r="F2435" s="2" t="e">
        <f t="shared" ref="F2435:F2498" si="153">C2435&amp;"/"&amp;D2435&amp;"/"&amp;E2435</f>
        <v>#VALUE!</v>
      </c>
      <c r="G2435" s="13" t="e">
        <f t="shared" ref="G2435:G2498" si="154">DATEVALUE(F2435)</f>
        <v>#VALUE!</v>
      </c>
      <c r="J2435" t="str">
        <f>MAIN!A2440&amp;"B"</f>
        <v>B</v>
      </c>
      <c r="K2435" s="12" t="e">
        <f t="shared" ref="K2435:K2498" si="155">FIND("172",J2435,30)+2</f>
        <v>#VALUE!</v>
      </c>
      <c r="L2435" t="str">
        <f>MAIN!C2440</f>
        <v/>
      </c>
    </row>
    <row r="2436" spans="1:12" x14ac:dyDescent="0.3">
      <c r="A2436">
        <f>IF(J2436="0",0,IF(COUNTIF($J$2:J2436,J2436)=1,1,0))</f>
        <v>0</v>
      </c>
      <c r="B2436" s="12" t="e">
        <f>MID(MAIN!A2441,K2436,2)</f>
        <v>#VALUE!</v>
      </c>
      <c r="C2436" s="12" t="e">
        <f t="shared" si="152"/>
        <v>#VALUE!</v>
      </c>
      <c r="D2436" s="12" t="e">
        <f>MID(MAIN!A2441,K2436+2,2)</f>
        <v>#VALUE!</v>
      </c>
      <c r="E2436" s="12" t="e">
        <f>MID(MAIN!A2441,K2436+4,2)</f>
        <v>#VALUE!</v>
      </c>
      <c r="F2436" s="2" t="e">
        <f t="shared" si="153"/>
        <v>#VALUE!</v>
      </c>
      <c r="G2436" s="13" t="e">
        <f t="shared" si="154"/>
        <v>#VALUE!</v>
      </c>
      <c r="J2436" t="str">
        <f>MAIN!A2441&amp;"B"</f>
        <v>B</v>
      </c>
      <c r="K2436" s="12" t="e">
        <f t="shared" si="155"/>
        <v>#VALUE!</v>
      </c>
      <c r="L2436" t="str">
        <f>MAIN!C2441</f>
        <v/>
      </c>
    </row>
    <row r="2437" spans="1:12" x14ac:dyDescent="0.3">
      <c r="A2437">
        <f>IF(J2437="0",0,IF(COUNTIF($J$2:J2437,J2437)=1,1,0))</f>
        <v>0</v>
      </c>
      <c r="B2437" s="12" t="e">
        <f>MID(MAIN!A2442,K2437,2)</f>
        <v>#VALUE!</v>
      </c>
      <c r="C2437" s="12" t="e">
        <f t="shared" si="152"/>
        <v>#VALUE!</v>
      </c>
      <c r="D2437" s="12" t="e">
        <f>MID(MAIN!A2442,K2437+2,2)</f>
        <v>#VALUE!</v>
      </c>
      <c r="E2437" s="12" t="e">
        <f>MID(MAIN!A2442,K2437+4,2)</f>
        <v>#VALUE!</v>
      </c>
      <c r="F2437" s="2" t="e">
        <f t="shared" si="153"/>
        <v>#VALUE!</v>
      </c>
      <c r="G2437" s="13" t="e">
        <f t="shared" si="154"/>
        <v>#VALUE!</v>
      </c>
      <c r="J2437" t="str">
        <f>MAIN!A2442&amp;"B"</f>
        <v>B</v>
      </c>
      <c r="K2437" s="12" t="e">
        <f t="shared" si="155"/>
        <v>#VALUE!</v>
      </c>
      <c r="L2437" t="str">
        <f>MAIN!C2442</f>
        <v/>
      </c>
    </row>
    <row r="2438" spans="1:12" x14ac:dyDescent="0.3">
      <c r="A2438">
        <f>IF(J2438="0",0,IF(COUNTIF($J$2:J2438,J2438)=1,1,0))</f>
        <v>0</v>
      </c>
      <c r="B2438" s="12" t="e">
        <f>MID(MAIN!A2443,K2438,2)</f>
        <v>#VALUE!</v>
      </c>
      <c r="C2438" s="12" t="e">
        <f t="shared" si="152"/>
        <v>#VALUE!</v>
      </c>
      <c r="D2438" s="12" t="e">
        <f>MID(MAIN!A2443,K2438+2,2)</f>
        <v>#VALUE!</v>
      </c>
      <c r="E2438" s="12" t="e">
        <f>MID(MAIN!A2443,K2438+4,2)</f>
        <v>#VALUE!</v>
      </c>
      <c r="F2438" s="2" t="e">
        <f t="shared" si="153"/>
        <v>#VALUE!</v>
      </c>
      <c r="G2438" s="13" t="e">
        <f t="shared" si="154"/>
        <v>#VALUE!</v>
      </c>
      <c r="J2438" t="str">
        <f>MAIN!A2443&amp;"B"</f>
        <v>B</v>
      </c>
      <c r="K2438" s="12" t="e">
        <f t="shared" si="155"/>
        <v>#VALUE!</v>
      </c>
      <c r="L2438" t="str">
        <f>MAIN!C2443</f>
        <v/>
      </c>
    </row>
    <row r="2439" spans="1:12" x14ac:dyDescent="0.3">
      <c r="A2439">
        <f>IF(J2439="0",0,IF(COUNTIF($J$2:J2439,J2439)=1,1,0))</f>
        <v>0</v>
      </c>
      <c r="B2439" s="12" t="e">
        <f>MID(MAIN!A2444,K2439,2)</f>
        <v>#VALUE!</v>
      </c>
      <c r="C2439" s="12" t="e">
        <f t="shared" si="152"/>
        <v>#VALUE!</v>
      </c>
      <c r="D2439" s="12" t="e">
        <f>MID(MAIN!A2444,K2439+2,2)</f>
        <v>#VALUE!</v>
      </c>
      <c r="E2439" s="12" t="e">
        <f>MID(MAIN!A2444,K2439+4,2)</f>
        <v>#VALUE!</v>
      </c>
      <c r="F2439" s="2" t="e">
        <f t="shared" si="153"/>
        <v>#VALUE!</v>
      </c>
      <c r="G2439" s="13" t="e">
        <f t="shared" si="154"/>
        <v>#VALUE!</v>
      </c>
      <c r="J2439" t="str">
        <f>MAIN!A2444&amp;"B"</f>
        <v>B</v>
      </c>
      <c r="K2439" s="12" t="e">
        <f t="shared" si="155"/>
        <v>#VALUE!</v>
      </c>
      <c r="L2439" t="str">
        <f>MAIN!C2444</f>
        <v/>
      </c>
    </row>
    <row r="2440" spans="1:12" x14ac:dyDescent="0.3">
      <c r="A2440">
        <f>IF(J2440="0",0,IF(COUNTIF($J$2:J2440,J2440)=1,1,0))</f>
        <v>0</v>
      </c>
      <c r="B2440" s="12" t="e">
        <f>MID(MAIN!A2445,K2440,2)</f>
        <v>#VALUE!</v>
      </c>
      <c r="C2440" s="12" t="e">
        <f t="shared" si="152"/>
        <v>#VALUE!</v>
      </c>
      <c r="D2440" s="12" t="e">
        <f>MID(MAIN!A2445,K2440+2,2)</f>
        <v>#VALUE!</v>
      </c>
      <c r="E2440" s="12" t="e">
        <f>MID(MAIN!A2445,K2440+4,2)</f>
        <v>#VALUE!</v>
      </c>
      <c r="F2440" s="2" t="e">
        <f t="shared" si="153"/>
        <v>#VALUE!</v>
      </c>
      <c r="G2440" s="13" t="e">
        <f t="shared" si="154"/>
        <v>#VALUE!</v>
      </c>
      <c r="J2440" t="str">
        <f>MAIN!A2445&amp;"B"</f>
        <v>B</v>
      </c>
      <c r="K2440" s="12" t="e">
        <f t="shared" si="155"/>
        <v>#VALUE!</v>
      </c>
      <c r="L2440" t="str">
        <f>MAIN!C2445</f>
        <v/>
      </c>
    </row>
    <row r="2441" spans="1:12" x14ac:dyDescent="0.3">
      <c r="A2441">
        <f>IF(J2441="0",0,IF(COUNTIF($J$2:J2441,J2441)=1,1,0))</f>
        <v>0</v>
      </c>
      <c r="B2441" s="12" t="e">
        <f>MID(MAIN!A2446,K2441,2)</f>
        <v>#VALUE!</v>
      </c>
      <c r="C2441" s="12" t="e">
        <f t="shared" si="152"/>
        <v>#VALUE!</v>
      </c>
      <c r="D2441" s="12" t="e">
        <f>MID(MAIN!A2446,K2441+2,2)</f>
        <v>#VALUE!</v>
      </c>
      <c r="E2441" s="12" t="e">
        <f>MID(MAIN!A2446,K2441+4,2)</f>
        <v>#VALUE!</v>
      </c>
      <c r="F2441" s="2" t="e">
        <f t="shared" si="153"/>
        <v>#VALUE!</v>
      </c>
      <c r="G2441" s="13" t="e">
        <f t="shared" si="154"/>
        <v>#VALUE!</v>
      </c>
      <c r="J2441" t="str">
        <f>MAIN!A2446&amp;"B"</f>
        <v>B</v>
      </c>
      <c r="K2441" s="12" t="e">
        <f t="shared" si="155"/>
        <v>#VALUE!</v>
      </c>
      <c r="L2441" t="str">
        <f>MAIN!C2446</f>
        <v/>
      </c>
    </row>
    <row r="2442" spans="1:12" x14ac:dyDescent="0.3">
      <c r="A2442">
        <f>IF(J2442="0",0,IF(COUNTIF($J$2:J2442,J2442)=1,1,0))</f>
        <v>0</v>
      </c>
      <c r="B2442" s="12" t="e">
        <f>MID(MAIN!A2447,K2442,2)</f>
        <v>#VALUE!</v>
      </c>
      <c r="C2442" s="12" t="e">
        <f t="shared" si="152"/>
        <v>#VALUE!</v>
      </c>
      <c r="D2442" s="12" t="e">
        <f>MID(MAIN!A2447,K2442+2,2)</f>
        <v>#VALUE!</v>
      </c>
      <c r="E2442" s="12" t="e">
        <f>MID(MAIN!A2447,K2442+4,2)</f>
        <v>#VALUE!</v>
      </c>
      <c r="F2442" s="2" t="e">
        <f t="shared" si="153"/>
        <v>#VALUE!</v>
      </c>
      <c r="G2442" s="13" t="e">
        <f t="shared" si="154"/>
        <v>#VALUE!</v>
      </c>
      <c r="J2442" t="str">
        <f>MAIN!A2447&amp;"B"</f>
        <v>B</v>
      </c>
      <c r="K2442" s="12" t="e">
        <f t="shared" si="155"/>
        <v>#VALUE!</v>
      </c>
      <c r="L2442" t="str">
        <f>MAIN!C2447</f>
        <v/>
      </c>
    </row>
    <row r="2443" spans="1:12" x14ac:dyDescent="0.3">
      <c r="A2443">
        <f>IF(J2443="0",0,IF(COUNTIF($J$2:J2443,J2443)=1,1,0))</f>
        <v>0</v>
      </c>
      <c r="B2443" s="12" t="e">
        <f>MID(MAIN!A2448,K2443,2)</f>
        <v>#VALUE!</v>
      </c>
      <c r="C2443" s="12" t="e">
        <f t="shared" si="152"/>
        <v>#VALUE!</v>
      </c>
      <c r="D2443" s="12" t="e">
        <f>MID(MAIN!A2448,K2443+2,2)</f>
        <v>#VALUE!</v>
      </c>
      <c r="E2443" s="12" t="e">
        <f>MID(MAIN!A2448,K2443+4,2)</f>
        <v>#VALUE!</v>
      </c>
      <c r="F2443" s="2" t="e">
        <f t="shared" si="153"/>
        <v>#VALUE!</v>
      </c>
      <c r="G2443" s="13" t="e">
        <f t="shared" si="154"/>
        <v>#VALUE!</v>
      </c>
      <c r="J2443" t="str">
        <f>MAIN!A2448&amp;"B"</f>
        <v>B</v>
      </c>
      <c r="K2443" s="12" t="e">
        <f t="shared" si="155"/>
        <v>#VALUE!</v>
      </c>
      <c r="L2443" t="str">
        <f>MAIN!C2448</f>
        <v/>
      </c>
    </row>
    <row r="2444" spans="1:12" x14ac:dyDescent="0.3">
      <c r="A2444">
        <f>IF(J2444="0",0,IF(COUNTIF($J$2:J2444,J2444)=1,1,0))</f>
        <v>0</v>
      </c>
      <c r="B2444" s="12" t="e">
        <f>MID(MAIN!A2449,K2444,2)</f>
        <v>#VALUE!</v>
      </c>
      <c r="C2444" s="12" t="e">
        <f t="shared" si="152"/>
        <v>#VALUE!</v>
      </c>
      <c r="D2444" s="12" t="e">
        <f>MID(MAIN!A2449,K2444+2,2)</f>
        <v>#VALUE!</v>
      </c>
      <c r="E2444" s="12" t="e">
        <f>MID(MAIN!A2449,K2444+4,2)</f>
        <v>#VALUE!</v>
      </c>
      <c r="F2444" s="2" t="e">
        <f t="shared" si="153"/>
        <v>#VALUE!</v>
      </c>
      <c r="G2444" s="13" t="e">
        <f t="shared" si="154"/>
        <v>#VALUE!</v>
      </c>
      <c r="J2444" t="str">
        <f>MAIN!A2449&amp;"B"</f>
        <v>B</v>
      </c>
      <c r="K2444" s="12" t="e">
        <f t="shared" si="155"/>
        <v>#VALUE!</v>
      </c>
      <c r="L2444" t="str">
        <f>MAIN!C2449</f>
        <v/>
      </c>
    </row>
    <row r="2445" spans="1:12" x14ac:dyDescent="0.3">
      <c r="A2445">
        <f>IF(J2445="0",0,IF(COUNTIF($J$2:J2445,J2445)=1,1,0))</f>
        <v>0</v>
      </c>
      <c r="B2445" s="12" t="e">
        <f>MID(MAIN!A2450,K2445,2)</f>
        <v>#VALUE!</v>
      </c>
      <c r="C2445" s="12" t="e">
        <f t="shared" si="152"/>
        <v>#VALUE!</v>
      </c>
      <c r="D2445" s="12" t="e">
        <f>MID(MAIN!A2450,K2445+2,2)</f>
        <v>#VALUE!</v>
      </c>
      <c r="E2445" s="12" t="e">
        <f>MID(MAIN!A2450,K2445+4,2)</f>
        <v>#VALUE!</v>
      </c>
      <c r="F2445" s="2" t="e">
        <f t="shared" si="153"/>
        <v>#VALUE!</v>
      </c>
      <c r="G2445" s="13" t="e">
        <f t="shared" si="154"/>
        <v>#VALUE!</v>
      </c>
      <c r="J2445" t="str">
        <f>MAIN!A2450&amp;"B"</f>
        <v>B</v>
      </c>
      <c r="K2445" s="12" t="e">
        <f t="shared" si="155"/>
        <v>#VALUE!</v>
      </c>
      <c r="L2445" t="str">
        <f>MAIN!C2450</f>
        <v/>
      </c>
    </row>
    <row r="2446" spans="1:12" x14ac:dyDescent="0.3">
      <c r="A2446">
        <f>IF(J2446="0",0,IF(COUNTIF($J$2:J2446,J2446)=1,1,0))</f>
        <v>0</v>
      </c>
      <c r="B2446" s="12" t="e">
        <f>MID(MAIN!A2451,K2446,2)</f>
        <v>#VALUE!</v>
      </c>
      <c r="C2446" s="12" t="e">
        <f t="shared" si="152"/>
        <v>#VALUE!</v>
      </c>
      <c r="D2446" s="12" t="e">
        <f>MID(MAIN!A2451,K2446+2,2)</f>
        <v>#VALUE!</v>
      </c>
      <c r="E2446" s="12" t="e">
        <f>MID(MAIN!A2451,K2446+4,2)</f>
        <v>#VALUE!</v>
      </c>
      <c r="F2446" s="2" t="e">
        <f t="shared" si="153"/>
        <v>#VALUE!</v>
      </c>
      <c r="G2446" s="13" t="e">
        <f t="shared" si="154"/>
        <v>#VALUE!</v>
      </c>
      <c r="J2446" t="str">
        <f>MAIN!A2451&amp;"B"</f>
        <v>B</v>
      </c>
      <c r="K2446" s="12" t="e">
        <f t="shared" si="155"/>
        <v>#VALUE!</v>
      </c>
      <c r="L2446" t="str">
        <f>MAIN!C2451</f>
        <v/>
      </c>
    </row>
    <row r="2447" spans="1:12" x14ac:dyDescent="0.3">
      <c r="A2447">
        <f>IF(J2447="0",0,IF(COUNTIF($J$2:J2447,J2447)=1,1,0))</f>
        <v>0</v>
      </c>
      <c r="B2447" s="12" t="e">
        <f>MID(MAIN!A2452,K2447,2)</f>
        <v>#VALUE!</v>
      </c>
      <c r="C2447" s="12" t="e">
        <f t="shared" si="152"/>
        <v>#VALUE!</v>
      </c>
      <c r="D2447" s="12" t="e">
        <f>MID(MAIN!A2452,K2447+2,2)</f>
        <v>#VALUE!</v>
      </c>
      <c r="E2447" s="12" t="e">
        <f>MID(MAIN!A2452,K2447+4,2)</f>
        <v>#VALUE!</v>
      </c>
      <c r="F2447" s="2" t="e">
        <f t="shared" si="153"/>
        <v>#VALUE!</v>
      </c>
      <c r="G2447" s="13" t="e">
        <f t="shared" si="154"/>
        <v>#VALUE!</v>
      </c>
      <c r="J2447" t="str">
        <f>MAIN!A2452&amp;"B"</f>
        <v>B</v>
      </c>
      <c r="K2447" s="12" t="e">
        <f t="shared" si="155"/>
        <v>#VALUE!</v>
      </c>
      <c r="L2447" t="str">
        <f>MAIN!C2452</f>
        <v/>
      </c>
    </row>
    <row r="2448" spans="1:12" x14ac:dyDescent="0.3">
      <c r="A2448">
        <f>IF(J2448="0",0,IF(COUNTIF($J$2:J2448,J2448)=1,1,0))</f>
        <v>0</v>
      </c>
      <c r="B2448" s="12" t="e">
        <f>MID(MAIN!A2453,K2448,2)</f>
        <v>#VALUE!</v>
      </c>
      <c r="C2448" s="12" t="e">
        <f t="shared" si="152"/>
        <v>#VALUE!</v>
      </c>
      <c r="D2448" s="12" t="e">
        <f>MID(MAIN!A2453,K2448+2,2)</f>
        <v>#VALUE!</v>
      </c>
      <c r="E2448" s="12" t="e">
        <f>MID(MAIN!A2453,K2448+4,2)</f>
        <v>#VALUE!</v>
      </c>
      <c r="F2448" s="2" t="e">
        <f t="shared" si="153"/>
        <v>#VALUE!</v>
      </c>
      <c r="G2448" s="13" t="e">
        <f t="shared" si="154"/>
        <v>#VALUE!</v>
      </c>
      <c r="J2448" t="str">
        <f>MAIN!A2453&amp;"B"</f>
        <v>B</v>
      </c>
      <c r="K2448" s="12" t="e">
        <f t="shared" si="155"/>
        <v>#VALUE!</v>
      </c>
      <c r="L2448" t="str">
        <f>MAIN!C2453</f>
        <v/>
      </c>
    </row>
    <row r="2449" spans="1:12" x14ac:dyDescent="0.3">
      <c r="A2449">
        <f>IF(J2449="0",0,IF(COUNTIF($J$2:J2449,J2449)=1,1,0))</f>
        <v>0</v>
      </c>
      <c r="B2449" s="12" t="e">
        <f>MID(MAIN!A2454,K2449,2)</f>
        <v>#VALUE!</v>
      </c>
      <c r="C2449" s="12" t="e">
        <f t="shared" si="152"/>
        <v>#VALUE!</v>
      </c>
      <c r="D2449" s="12" t="e">
        <f>MID(MAIN!A2454,K2449+2,2)</f>
        <v>#VALUE!</v>
      </c>
      <c r="E2449" s="12" t="e">
        <f>MID(MAIN!A2454,K2449+4,2)</f>
        <v>#VALUE!</v>
      </c>
      <c r="F2449" s="2" t="e">
        <f t="shared" si="153"/>
        <v>#VALUE!</v>
      </c>
      <c r="G2449" s="13" t="e">
        <f t="shared" si="154"/>
        <v>#VALUE!</v>
      </c>
      <c r="J2449" t="str">
        <f>MAIN!A2454&amp;"B"</f>
        <v>B</v>
      </c>
      <c r="K2449" s="12" t="e">
        <f t="shared" si="155"/>
        <v>#VALUE!</v>
      </c>
      <c r="L2449" t="str">
        <f>MAIN!C2454</f>
        <v/>
      </c>
    </row>
    <row r="2450" spans="1:12" x14ac:dyDescent="0.3">
      <c r="A2450">
        <f>IF(J2450="0",0,IF(COUNTIF($J$2:J2450,J2450)=1,1,0))</f>
        <v>0</v>
      </c>
      <c r="B2450" s="12" t="e">
        <f>MID(MAIN!A2455,K2450,2)</f>
        <v>#VALUE!</v>
      </c>
      <c r="C2450" s="12" t="e">
        <f t="shared" si="152"/>
        <v>#VALUE!</v>
      </c>
      <c r="D2450" s="12" t="e">
        <f>MID(MAIN!A2455,K2450+2,2)</f>
        <v>#VALUE!</v>
      </c>
      <c r="E2450" s="12" t="e">
        <f>MID(MAIN!A2455,K2450+4,2)</f>
        <v>#VALUE!</v>
      </c>
      <c r="F2450" s="2" t="e">
        <f t="shared" si="153"/>
        <v>#VALUE!</v>
      </c>
      <c r="G2450" s="13" t="e">
        <f t="shared" si="154"/>
        <v>#VALUE!</v>
      </c>
      <c r="J2450" t="str">
        <f>MAIN!A2455&amp;"B"</f>
        <v>B</v>
      </c>
      <c r="K2450" s="12" t="e">
        <f t="shared" si="155"/>
        <v>#VALUE!</v>
      </c>
      <c r="L2450" t="str">
        <f>MAIN!C2455</f>
        <v/>
      </c>
    </row>
    <row r="2451" spans="1:12" x14ac:dyDescent="0.3">
      <c r="A2451">
        <f>IF(J2451="0",0,IF(COUNTIF($J$2:J2451,J2451)=1,1,0))</f>
        <v>0</v>
      </c>
      <c r="B2451" s="12" t="e">
        <f>MID(MAIN!A2456,K2451,2)</f>
        <v>#VALUE!</v>
      </c>
      <c r="C2451" s="12" t="e">
        <f t="shared" si="152"/>
        <v>#VALUE!</v>
      </c>
      <c r="D2451" s="12" t="e">
        <f>MID(MAIN!A2456,K2451+2,2)</f>
        <v>#VALUE!</v>
      </c>
      <c r="E2451" s="12" t="e">
        <f>MID(MAIN!A2456,K2451+4,2)</f>
        <v>#VALUE!</v>
      </c>
      <c r="F2451" s="2" t="e">
        <f t="shared" si="153"/>
        <v>#VALUE!</v>
      </c>
      <c r="G2451" s="13" t="e">
        <f t="shared" si="154"/>
        <v>#VALUE!</v>
      </c>
      <c r="J2451" t="str">
        <f>MAIN!A2456&amp;"B"</f>
        <v>B</v>
      </c>
      <c r="K2451" s="12" t="e">
        <f t="shared" si="155"/>
        <v>#VALUE!</v>
      </c>
      <c r="L2451" t="str">
        <f>MAIN!C2456</f>
        <v/>
      </c>
    </row>
    <row r="2452" spans="1:12" x14ac:dyDescent="0.3">
      <c r="A2452">
        <f>IF(J2452="0",0,IF(COUNTIF($J$2:J2452,J2452)=1,1,0))</f>
        <v>0</v>
      </c>
      <c r="B2452" s="12" t="e">
        <f>MID(MAIN!A2457,K2452,2)</f>
        <v>#VALUE!</v>
      </c>
      <c r="C2452" s="12" t="e">
        <f t="shared" si="152"/>
        <v>#VALUE!</v>
      </c>
      <c r="D2452" s="12" t="e">
        <f>MID(MAIN!A2457,K2452+2,2)</f>
        <v>#VALUE!</v>
      </c>
      <c r="E2452" s="12" t="e">
        <f>MID(MAIN!A2457,K2452+4,2)</f>
        <v>#VALUE!</v>
      </c>
      <c r="F2452" s="2" t="e">
        <f t="shared" si="153"/>
        <v>#VALUE!</v>
      </c>
      <c r="G2452" s="13" t="e">
        <f t="shared" si="154"/>
        <v>#VALUE!</v>
      </c>
      <c r="J2452" t="str">
        <f>MAIN!A2457&amp;"B"</f>
        <v>B</v>
      </c>
      <c r="K2452" s="12" t="e">
        <f t="shared" si="155"/>
        <v>#VALUE!</v>
      </c>
      <c r="L2452" t="str">
        <f>MAIN!C2457</f>
        <v/>
      </c>
    </row>
    <row r="2453" spans="1:12" x14ac:dyDescent="0.3">
      <c r="A2453">
        <f>IF(J2453="0",0,IF(COUNTIF($J$2:J2453,J2453)=1,1,0))</f>
        <v>0</v>
      </c>
      <c r="B2453" s="12" t="e">
        <f>MID(MAIN!A2458,K2453,2)</f>
        <v>#VALUE!</v>
      </c>
      <c r="C2453" s="12" t="e">
        <f t="shared" si="152"/>
        <v>#VALUE!</v>
      </c>
      <c r="D2453" s="12" t="e">
        <f>MID(MAIN!A2458,K2453+2,2)</f>
        <v>#VALUE!</v>
      </c>
      <c r="E2453" s="12" t="e">
        <f>MID(MAIN!A2458,K2453+4,2)</f>
        <v>#VALUE!</v>
      </c>
      <c r="F2453" s="2" t="e">
        <f t="shared" si="153"/>
        <v>#VALUE!</v>
      </c>
      <c r="G2453" s="13" t="e">
        <f t="shared" si="154"/>
        <v>#VALUE!</v>
      </c>
      <c r="J2453" t="str">
        <f>MAIN!A2458&amp;"B"</f>
        <v>B</v>
      </c>
      <c r="K2453" s="12" t="e">
        <f t="shared" si="155"/>
        <v>#VALUE!</v>
      </c>
      <c r="L2453" t="str">
        <f>MAIN!C2458</f>
        <v/>
      </c>
    </row>
    <row r="2454" spans="1:12" x14ac:dyDescent="0.3">
      <c r="A2454">
        <f>IF(J2454="0",0,IF(COUNTIF($J$2:J2454,J2454)=1,1,0))</f>
        <v>0</v>
      </c>
      <c r="B2454" s="12" t="e">
        <f>MID(MAIN!A2459,K2454,2)</f>
        <v>#VALUE!</v>
      </c>
      <c r="C2454" s="12" t="e">
        <f t="shared" si="152"/>
        <v>#VALUE!</v>
      </c>
      <c r="D2454" s="12" t="e">
        <f>MID(MAIN!A2459,K2454+2,2)</f>
        <v>#VALUE!</v>
      </c>
      <c r="E2454" s="12" t="e">
        <f>MID(MAIN!A2459,K2454+4,2)</f>
        <v>#VALUE!</v>
      </c>
      <c r="F2454" s="2" t="e">
        <f t="shared" si="153"/>
        <v>#VALUE!</v>
      </c>
      <c r="G2454" s="13" t="e">
        <f t="shared" si="154"/>
        <v>#VALUE!</v>
      </c>
      <c r="J2454" t="str">
        <f>MAIN!A2459&amp;"B"</f>
        <v>B</v>
      </c>
      <c r="K2454" s="12" t="e">
        <f t="shared" si="155"/>
        <v>#VALUE!</v>
      </c>
      <c r="L2454" t="str">
        <f>MAIN!C2459</f>
        <v/>
      </c>
    </row>
    <row r="2455" spans="1:12" x14ac:dyDescent="0.3">
      <c r="A2455">
        <f>IF(J2455="0",0,IF(COUNTIF($J$2:J2455,J2455)=1,1,0))</f>
        <v>0</v>
      </c>
      <c r="B2455" s="12" t="e">
        <f>MID(MAIN!A2460,K2455,2)</f>
        <v>#VALUE!</v>
      </c>
      <c r="C2455" s="12" t="e">
        <f t="shared" si="152"/>
        <v>#VALUE!</v>
      </c>
      <c r="D2455" s="12" t="e">
        <f>MID(MAIN!A2460,K2455+2,2)</f>
        <v>#VALUE!</v>
      </c>
      <c r="E2455" s="12" t="e">
        <f>MID(MAIN!A2460,K2455+4,2)</f>
        <v>#VALUE!</v>
      </c>
      <c r="F2455" s="2" t="e">
        <f t="shared" si="153"/>
        <v>#VALUE!</v>
      </c>
      <c r="G2455" s="13" t="e">
        <f t="shared" si="154"/>
        <v>#VALUE!</v>
      </c>
      <c r="J2455" t="str">
        <f>MAIN!A2460&amp;"B"</f>
        <v>B</v>
      </c>
      <c r="K2455" s="12" t="e">
        <f t="shared" si="155"/>
        <v>#VALUE!</v>
      </c>
      <c r="L2455" t="str">
        <f>MAIN!C2460</f>
        <v/>
      </c>
    </row>
    <row r="2456" spans="1:12" x14ac:dyDescent="0.3">
      <c r="A2456">
        <f>IF(J2456="0",0,IF(COUNTIF($J$2:J2456,J2456)=1,1,0))</f>
        <v>0</v>
      </c>
      <c r="B2456" s="12" t="e">
        <f>MID(MAIN!A2461,K2456,2)</f>
        <v>#VALUE!</v>
      </c>
      <c r="C2456" s="12" t="e">
        <f t="shared" si="152"/>
        <v>#VALUE!</v>
      </c>
      <c r="D2456" s="12" t="e">
        <f>MID(MAIN!A2461,K2456+2,2)</f>
        <v>#VALUE!</v>
      </c>
      <c r="E2456" s="12" t="e">
        <f>MID(MAIN!A2461,K2456+4,2)</f>
        <v>#VALUE!</v>
      </c>
      <c r="F2456" s="2" t="e">
        <f t="shared" si="153"/>
        <v>#VALUE!</v>
      </c>
      <c r="G2456" s="13" t="e">
        <f t="shared" si="154"/>
        <v>#VALUE!</v>
      </c>
      <c r="J2456" t="str">
        <f>MAIN!A2461&amp;"B"</f>
        <v>B</v>
      </c>
      <c r="K2456" s="12" t="e">
        <f t="shared" si="155"/>
        <v>#VALUE!</v>
      </c>
      <c r="L2456" t="str">
        <f>MAIN!C2461</f>
        <v/>
      </c>
    </row>
    <row r="2457" spans="1:12" x14ac:dyDescent="0.3">
      <c r="A2457">
        <f>IF(J2457="0",0,IF(COUNTIF($J$2:J2457,J2457)=1,1,0))</f>
        <v>0</v>
      </c>
      <c r="B2457" s="12" t="e">
        <f>MID(MAIN!A2462,K2457,2)</f>
        <v>#VALUE!</v>
      </c>
      <c r="C2457" s="12" t="e">
        <f t="shared" si="152"/>
        <v>#VALUE!</v>
      </c>
      <c r="D2457" s="12" t="e">
        <f>MID(MAIN!A2462,K2457+2,2)</f>
        <v>#VALUE!</v>
      </c>
      <c r="E2457" s="12" t="e">
        <f>MID(MAIN!A2462,K2457+4,2)</f>
        <v>#VALUE!</v>
      </c>
      <c r="F2457" s="2" t="e">
        <f t="shared" si="153"/>
        <v>#VALUE!</v>
      </c>
      <c r="G2457" s="13" t="e">
        <f t="shared" si="154"/>
        <v>#VALUE!</v>
      </c>
      <c r="J2457" t="str">
        <f>MAIN!A2462&amp;"B"</f>
        <v>B</v>
      </c>
      <c r="K2457" s="12" t="e">
        <f t="shared" si="155"/>
        <v>#VALUE!</v>
      </c>
      <c r="L2457" t="str">
        <f>MAIN!C2462</f>
        <v/>
      </c>
    </row>
    <row r="2458" spans="1:12" x14ac:dyDescent="0.3">
      <c r="A2458">
        <f>IF(J2458="0",0,IF(COUNTIF($J$2:J2458,J2458)=1,1,0))</f>
        <v>0</v>
      </c>
      <c r="B2458" s="12" t="e">
        <f>MID(MAIN!A2463,K2458,2)</f>
        <v>#VALUE!</v>
      </c>
      <c r="C2458" s="12" t="e">
        <f t="shared" si="152"/>
        <v>#VALUE!</v>
      </c>
      <c r="D2458" s="12" t="e">
        <f>MID(MAIN!A2463,K2458+2,2)</f>
        <v>#VALUE!</v>
      </c>
      <c r="E2458" s="12" t="e">
        <f>MID(MAIN!A2463,K2458+4,2)</f>
        <v>#VALUE!</v>
      </c>
      <c r="F2458" s="2" t="e">
        <f t="shared" si="153"/>
        <v>#VALUE!</v>
      </c>
      <c r="G2458" s="13" t="e">
        <f t="shared" si="154"/>
        <v>#VALUE!</v>
      </c>
      <c r="J2458" t="str">
        <f>MAIN!A2463&amp;"B"</f>
        <v>B</v>
      </c>
      <c r="K2458" s="12" t="e">
        <f t="shared" si="155"/>
        <v>#VALUE!</v>
      </c>
      <c r="L2458" t="str">
        <f>MAIN!C2463</f>
        <v/>
      </c>
    </row>
    <row r="2459" spans="1:12" x14ac:dyDescent="0.3">
      <c r="A2459">
        <f>IF(J2459="0",0,IF(COUNTIF($J$2:J2459,J2459)=1,1,0))</f>
        <v>0</v>
      </c>
      <c r="B2459" s="12" t="e">
        <f>MID(MAIN!A2464,K2459,2)</f>
        <v>#VALUE!</v>
      </c>
      <c r="C2459" s="12" t="e">
        <f t="shared" si="152"/>
        <v>#VALUE!</v>
      </c>
      <c r="D2459" s="12" t="e">
        <f>MID(MAIN!A2464,K2459+2,2)</f>
        <v>#VALUE!</v>
      </c>
      <c r="E2459" s="12" t="e">
        <f>MID(MAIN!A2464,K2459+4,2)</f>
        <v>#VALUE!</v>
      </c>
      <c r="F2459" s="2" t="e">
        <f t="shared" si="153"/>
        <v>#VALUE!</v>
      </c>
      <c r="G2459" s="13" t="e">
        <f t="shared" si="154"/>
        <v>#VALUE!</v>
      </c>
      <c r="J2459" t="str">
        <f>MAIN!A2464&amp;"B"</f>
        <v>B</v>
      </c>
      <c r="K2459" s="12" t="e">
        <f t="shared" si="155"/>
        <v>#VALUE!</v>
      </c>
      <c r="L2459" t="str">
        <f>MAIN!C2464</f>
        <v/>
      </c>
    </row>
    <row r="2460" spans="1:12" x14ac:dyDescent="0.3">
      <c r="A2460">
        <f>IF(J2460="0",0,IF(COUNTIF($J$2:J2460,J2460)=1,1,0))</f>
        <v>0</v>
      </c>
      <c r="B2460" s="12" t="e">
        <f>MID(MAIN!A2465,K2460,2)</f>
        <v>#VALUE!</v>
      </c>
      <c r="C2460" s="12" t="e">
        <f t="shared" si="152"/>
        <v>#VALUE!</v>
      </c>
      <c r="D2460" s="12" t="e">
        <f>MID(MAIN!A2465,K2460+2,2)</f>
        <v>#VALUE!</v>
      </c>
      <c r="E2460" s="12" t="e">
        <f>MID(MAIN!A2465,K2460+4,2)</f>
        <v>#VALUE!</v>
      </c>
      <c r="F2460" s="2" t="e">
        <f t="shared" si="153"/>
        <v>#VALUE!</v>
      </c>
      <c r="G2460" s="13" t="e">
        <f t="shared" si="154"/>
        <v>#VALUE!</v>
      </c>
      <c r="J2460" t="str">
        <f>MAIN!A2465&amp;"B"</f>
        <v>B</v>
      </c>
      <c r="K2460" s="12" t="e">
        <f t="shared" si="155"/>
        <v>#VALUE!</v>
      </c>
      <c r="L2460" t="str">
        <f>MAIN!C2465</f>
        <v/>
      </c>
    </row>
    <row r="2461" spans="1:12" x14ac:dyDescent="0.3">
      <c r="A2461">
        <f>IF(J2461="0",0,IF(COUNTIF($J$2:J2461,J2461)=1,1,0))</f>
        <v>0</v>
      </c>
      <c r="B2461" s="12" t="e">
        <f>MID(MAIN!A2466,K2461,2)</f>
        <v>#VALUE!</v>
      </c>
      <c r="C2461" s="12" t="e">
        <f t="shared" si="152"/>
        <v>#VALUE!</v>
      </c>
      <c r="D2461" s="12" t="e">
        <f>MID(MAIN!A2466,K2461+2,2)</f>
        <v>#VALUE!</v>
      </c>
      <c r="E2461" s="12" t="e">
        <f>MID(MAIN!A2466,K2461+4,2)</f>
        <v>#VALUE!</v>
      </c>
      <c r="F2461" s="2" t="e">
        <f t="shared" si="153"/>
        <v>#VALUE!</v>
      </c>
      <c r="G2461" s="13" t="e">
        <f t="shared" si="154"/>
        <v>#VALUE!</v>
      </c>
      <c r="J2461" t="str">
        <f>MAIN!A2466&amp;"B"</f>
        <v>B</v>
      </c>
      <c r="K2461" s="12" t="e">
        <f t="shared" si="155"/>
        <v>#VALUE!</v>
      </c>
      <c r="L2461" t="str">
        <f>MAIN!C2466</f>
        <v/>
      </c>
    </row>
    <row r="2462" spans="1:12" x14ac:dyDescent="0.3">
      <c r="A2462">
        <f>IF(J2462="0",0,IF(COUNTIF($J$2:J2462,J2462)=1,1,0))</f>
        <v>0</v>
      </c>
      <c r="B2462" s="12" t="e">
        <f>MID(MAIN!A2467,K2462,2)</f>
        <v>#VALUE!</v>
      </c>
      <c r="C2462" s="12" t="e">
        <f t="shared" si="152"/>
        <v>#VALUE!</v>
      </c>
      <c r="D2462" s="12" t="e">
        <f>MID(MAIN!A2467,K2462+2,2)</f>
        <v>#VALUE!</v>
      </c>
      <c r="E2462" s="12" t="e">
        <f>MID(MAIN!A2467,K2462+4,2)</f>
        <v>#VALUE!</v>
      </c>
      <c r="F2462" s="2" t="e">
        <f t="shared" si="153"/>
        <v>#VALUE!</v>
      </c>
      <c r="G2462" s="13" t="e">
        <f t="shared" si="154"/>
        <v>#VALUE!</v>
      </c>
      <c r="J2462" t="str">
        <f>MAIN!A2467&amp;"B"</f>
        <v>B</v>
      </c>
      <c r="K2462" s="12" t="e">
        <f t="shared" si="155"/>
        <v>#VALUE!</v>
      </c>
      <c r="L2462" t="str">
        <f>MAIN!C2467</f>
        <v/>
      </c>
    </row>
    <row r="2463" spans="1:12" x14ac:dyDescent="0.3">
      <c r="A2463">
        <f>IF(J2463="0",0,IF(COUNTIF($J$2:J2463,J2463)=1,1,0))</f>
        <v>0</v>
      </c>
      <c r="B2463" s="12" t="e">
        <f>MID(MAIN!A2468,K2463,2)</f>
        <v>#VALUE!</v>
      </c>
      <c r="C2463" s="12" t="e">
        <f t="shared" si="152"/>
        <v>#VALUE!</v>
      </c>
      <c r="D2463" s="12" t="e">
        <f>MID(MAIN!A2468,K2463+2,2)</f>
        <v>#VALUE!</v>
      </c>
      <c r="E2463" s="12" t="e">
        <f>MID(MAIN!A2468,K2463+4,2)</f>
        <v>#VALUE!</v>
      </c>
      <c r="F2463" s="2" t="e">
        <f t="shared" si="153"/>
        <v>#VALUE!</v>
      </c>
      <c r="G2463" s="13" t="e">
        <f t="shared" si="154"/>
        <v>#VALUE!</v>
      </c>
      <c r="J2463" t="str">
        <f>MAIN!A2468&amp;"B"</f>
        <v>B</v>
      </c>
      <c r="K2463" s="12" t="e">
        <f t="shared" si="155"/>
        <v>#VALUE!</v>
      </c>
      <c r="L2463" t="str">
        <f>MAIN!C2468</f>
        <v/>
      </c>
    </row>
    <row r="2464" spans="1:12" x14ac:dyDescent="0.3">
      <c r="A2464">
        <f>IF(J2464="0",0,IF(COUNTIF($J$2:J2464,J2464)=1,1,0))</f>
        <v>0</v>
      </c>
      <c r="B2464" s="12" t="e">
        <f>MID(MAIN!A2469,K2464,2)</f>
        <v>#VALUE!</v>
      </c>
      <c r="C2464" s="12" t="e">
        <f t="shared" si="152"/>
        <v>#VALUE!</v>
      </c>
      <c r="D2464" s="12" t="e">
        <f>MID(MAIN!A2469,K2464+2,2)</f>
        <v>#VALUE!</v>
      </c>
      <c r="E2464" s="12" t="e">
        <f>MID(MAIN!A2469,K2464+4,2)</f>
        <v>#VALUE!</v>
      </c>
      <c r="F2464" s="2" t="e">
        <f t="shared" si="153"/>
        <v>#VALUE!</v>
      </c>
      <c r="G2464" s="13" t="e">
        <f t="shared" si="154"/>
        <v>#VALUE!</v>
      </c>
      <c r="J2464" t="str">
        <f>MAIN!A2469&amp;"B"</f>
        <v>B</v>
      </c>
      <c r="K2464" s="12" t="e">
        <f t="shared" si="155"/>
        <v>#VALUE!</v>
      </c>
      <c r="L2464" t="str">
        <f>MAIN!C2469</f>
        <v/>
      </c>
    </row>
    <row r="2465" spans="1:12" x14ac:dyDescent="0.3">
      <c r="A2465">
        <f>IF(J2465="0",0,IF(COUNTIF($J$2:J2465,J2465)=1,1,0))</f>
        <v>0</v>
      </c>
      <c r="B2465" s="12" t="e">
        <f>MID(MAIN!A2470,K2465,2)</f>
        <v>#VALUE!</v>
      </c>
      <c r="C2465" s="12" t="e">
        <f t="shared" si="152"/>
        <v>#VALUE!</v>
      </c>
      <c r="D2465" s="12" t="e">
        <f>MID(MAIN!A2470,K2465+2,2)</f>
        <v>#VALUE!</v>
      </c>
      <c r="E2465" s="12" t="e">
        <f>MID(MAIN!A2470,K2465+4,2)</f>
        <v>#VALUE!</v>
      </c>
      <c r="F2465" s="2" t="e">
        <f t="shared" si="153"/>
        <v>#VALUE!</v>
      </c>
      <c r="G2465" s="13" t="e">
        <f t="shared" si="154"/>
        <v>#VALUE!</v>
      </c>
      <c r="J2465" t="str">
        <f>MAIN!A2470&amp;"B"</f>
        <v>B</v>
      </c>
      <c r="K2465" s="12" t="e">
        <f t="shared" si="155"/>
        <v>#VALUE!</v>
      </c>
      <c r="L2465" t="str">
        <f>MAIN!C2470</f>
        <v/>
      </c>
    </row>
    <row r="2466" spans="1:12" x14ac:dyDescent="0.3">
      <c r="A2466">
        <f>IF(J2466="0",0,IF(COUNTIF($J$2:J2466,J2466)=1,1,0))</f>
        <v>0</v>
      </c>
      <c r="B2466" s="12" t="e">
        <f>MID(MAIN!A2471,K2466,2)</f>
        <v>#VALUE!</v>
      </c>
      <c r="C2466" s="12" t="e">
        <f t="shared" si="152"/>
        <v>#VALUE!</v>
      </c>
      <c r="D2466" s="12" t="e">
        <f>MID(MAIN!A2471,K2466+2,2)</f>
        <v>#VALUE!</v>
      </c>
      <c r="E2466" s="12" t="e">
        <f>MID(MAIN!A2471,K2466+4,2)</f>
        <v>#VALUE!</v>
      </c>
      <c r="F2466" s="2" t="e">
        <f t="shared" si="153"/>
        <v>#VALUE!</v>
      </c>
      <c r="G2466" s="13" t="e">
        <f t="shared" si="154"/>
        <v>#VALUE!</v>
      </c>
      <c r="J2466" t="str">
        <f>MAIN!A2471&amp;"B"</f>
        <v>B</v>
      </c>
      <c r="K2466" s="12" t="e">
        <f t="shared" si="155"/>
        <v>#VALUE!</v>
      </c>
      <c r="L2466" t="str">
        <f>MAIN!C2471</f>
        <v/>
      </c>
    </row>
    <row r="2467" spans="1:12" x14ac:dyDescent="0.3">
      <c r="A2467">
        <f>IF(J2467="0",0,IF(COUNTIF($J$2:J2467,J2467)=1,1,0))</f>
        <v>0</v>
      </c>
      <c r="B2467" s="12" t="e">
        <f>MID(MAIN!A2472,K2467,2)</f>
        <v>#VALUE!</v>
      </c>
      <c r="C2467" s="12" t="e">
        <f t="shared" si="152"/>
        <v>#VALUE!</v>
      </c>
      <c r="D2467" s="12" t="e">
        <f>MID(MAIN!A2472,K2467+2,2)</f>
        <v>#VALUE!</v>
      </c>
      <c r="E2467" s="12" t="e">
        <f>MID(MAIN!A2472,K2467+4,2)</f>
        <v>#VALUE!</v>
      </c>
      <c r="F2467" s="2" t="e">
        <f t="shared" si="153"/>
        <v>#VALUE!</v>
      </c>
      <c r="G2467" s="13" t="e">
        <f t="shared" si="154"/>
        <v>#VALUE!</v>
      </c>
      <c r="J2467" t="str">
        <f>MAIN!A2472&amp;"B"</f>
        <v>B</v>
      </c>
      <c r="K2467" s="12" t="e">
        <f t="shared" si="155"/>
        <v>#VALUE!</v>
      </c>
      <c r="L2467" t="str">
        <f>MAIN!C2472</f>
        <v/>
      </c>
    </row>
    <row r="2468" spans="1:12" x14ac:dyDescent="0.3">
      <c r="A2468">
        <f>IF(J2468="0",0,IF(COUNTIF($J$2:J2468,J2468)=1,1,0))</f>
        <v>0</v>
      </c>
      <c r="B2468" s="12" t="e">
        <f>MID(MAIN!A2473,K2468,2)</f>
        <v>#VALUE!</v>
      </c>
      <c r="C2468" s="12" t="e">
        <f t="shared" si="152"/>
        <v>#VALUE!</v>
      </c>
      <c r="D2468" s="12" t="e">
        <f>MID(MAIN!A2473,K2468+2,2)</f>
        <v>#VALUE!</v>
      </c>
      <c r="E2468" s="12" t="e">
        <f>MID(MAIN!A2473,K2468+4,2)</f>
        <v>#VALUE!</v>
      </c>
      <c r="F2468" s="2" t="e">
        <f t="shared" si="153"/>
        <v>#VALUE!</v>
      </c>
      <c r="G2468" s="13" t="e">
        <f t="shared" si="154"/>
        <v>#VALUE!</v>
      </c>
      <c r="J2468" t="str">
        <f>MAIN!A2473&amp;"B"</f>
        <v>B</v>
      </c>
      <c r="K2468" s="12" t="e">
        <f t="shared" si="155"/>
        <v>#VALUE!</v>
      </c>
      <c r="L2468" t="str">
        <f>MAIN!C2473</f>
        <v/>
      </c>
    </row>
    <row r="2469" spans="1:12" x14ac:dyDescent="0.3">
      <c r="A2469">
        <f>IF(J2469="0",0,IF(COUNTIF($J$2:J2469,J2469)=1,1,0))</f>
        <v>0</v>
      </c>
      <c r="B2469" s="12" t="e">
        <f>MID(MAIN!A2474,K2469,2)</f>
        <v>#VALUE!</v>
      </c>
      <c r="C2469" s="12" t="e">
        <f t="shared" si="152"/>
        <v>#VALUE!</v>
      </c>
      <c r="D2469" s="12" t="e">
        <f>MID(MAIN!A2474,K2469+2,2)</f>
        <v>#VALUE!</v>
      </c>
      <c r="E2469" s="12" t="e">
        <f>MID(MAIN!A2474,K2469+4,2)</f>
        <v>#VALUE!</v>
      </c>
      <c r="F2469" s="2" t="e">
        <f t="shared" si="153"/>
        <v>#VALUE!</v>
      </c>
      <c r="G2469" s="13" t="e">
        <f t="shared" si="154"/>
        <v>#VALUE!</v>
      </c>
      <c r="J2469" t="str">
        <f>MAIN!A2474&amp;"B"</f>
        <v>B</v>
      </c>
      <c r="K2469" s="12" t="e">
        <f t="shared" si="155"/>
        <v>#VALUE!</v>
      </c>
      <c r="L2469" t="str">
        <f>MAIN!C2474</f>
        <v/>
      </c>
    </row>
    <row r="2470" spans="1:12" x14ac:dyDescent="0.3">
      <c r="A2470">
        <f>IF(J2470="0",0,IF(COUNTIF($J$2:J2470,J2470)=1,1,0))</f>
        <v>0</v>
      </c>
      <c r="B2470" s="12" t="e">
        <f>MID(MAIN!A2475,K2470,2)</f>
        <v>#VALUE!</v>
      </c>
      <c r="C2470" s="12" t="e">
        <f t="shared" si="152"/>
        <v>#VALUE!</v>
      </c>
      <c r="D2470" s="12" t="e">
        <f>MID(MAIN!A2475,K2470+2,2)</f>
        <v>#VALUE!</v>
      </c>
      <c r="E2470" s="12" t="e">
        <f>MID(MAIN!A2475,K2470+4,2)</f>
        <v>#VALUE!</v>
      </c>
      <c r="F2470" s="2" t="e">
        <f t="shared" si="153"/>
        <v>#VALUE!</v>
      </c>
      <c r="G2470" s="13" t="e">
        <f t="shared" si="154"/>
        <v>#VALUE!</v>
      </c>
      <c r="J2470" t="str">
        <f>MAIN!A2475&amp;"B"</f>
        <v>B</v>
      </c>
      <c r="K2470" s="12" t="e">
        <f t="shared" si="155"/>
        <v>#VALUE!</v>
      </c>
      <c r="L2470" t="str">
        <f>MAIN!C2475</f>
        <v/>
      </c>
    </row>
    <row r="2471" spans="1:12" x14ac:dyDescent="0.3">
      <c r="A2471">
        <f>IF(J2471="0",0,IF(COUNTIF($J$2:J2471,J2471)=1,1,0))</f>
        <v>0</v>
      </c>
      <c r="B2471" s="12" t="e">
        <f>MID(MAIN!A2476,K2471,2)</f>
        <v>#VALUE!</v>
      </c>
      <c r="C2471" s="12" t="e">
        <f t="shared" si="152"/>
        <v>#VALUE!</v>
      </c>
      <c r="D2471" s="12" t="e">
        <f>MID(MAIN!A2476,K2471+2,2)</f>
        <v>#VALUE!</v>
      </c>
      <c r="E2471" s="12" t="e">
        <f>MID(MAIN!A2476,K2471+4,2)</f>
        <v>#VALUE!</v>
      </c>
      <c r="F2471" s="2" t="e">
        <f t="shared" si="153"/>
        <v>#VALUE!</v>
      </c>
      <c r="G2471" s="13" t="e">
        <f t="shared" si="154"/>
        <v>#VALUE!</v>
      </c>
      <c r="J2471" t="str">
        <f>MAIN!A2476&amp;"B"</f>
        <v>B</v>
      </c>
      <c r="K2471" s="12" t="e">
        <f t="shared" si="155"/>
        <v>#VALUE!</v>
      </c>
      <c r="L2471" t="str">
        <f>MAIN!C2476</f>
        <v/>
      </c>
    </row>
    <row r="2472" spans="1:12" x14ac:dyDescent="0.3">
      <c r="A2472">
        <f>IF(J2472="0",0,IF(COUNTIF($J$2:J2472,J2472)=1,1,0))</f>
        <v>0</v>
      </c>
      <c r="B2472" s="12" t="e">
        <f>MID(MAIN!A2477,K2472,2)</f>
        <v>#VALUE!</v>
      </c>
      <c r="C2472" s="12" t="e">
        <f t="shared" si="152"/>
        <v>#VALUE!</v>
      </c>
      <c r="D2472" s="12" t="e">
        <f>MID(MAIN!A2477,K2472+2,2)</f>
        <v>#VALUE!</v>
      </c>
      <c r="E2472" s="12" t="e">
        <f>MID(MAIN!A2477,K2472+4,2)</f>
        <v>#VALUE!</v>
      </c>
      <c r="F2472" s="2" t="e">
        <f t="shared" si="153"/>
        <v>#VALUE!</v>
      </c>
      <c r="G2472" s="13" t="e">
        <f t="shared" si="154"/>
        <v>#VALUE!</v>
      </c>
      <c r="J2472" t="str">
        <f>MAIN!A2477&amp;"B"</f>
        <v>B</v>
      </c>
      <c r="K2472" s="12" t="e">
        <f t="shared" si="155"/>
        <v>#VALUE!</v>
      </c>
      <c r="L2472" t="str">
        <f>MAIN!C2477</f>
        <v/>
      </c>
    </row>
    <row r="2473" spans="1:12" x14ac:dyDescent="0.3">
      <c r="A2473">
        <f>IF(J2473="0",0,IF(COUNTIF($J$2:J2473,J2473)=1,1,0))</f>
        <v>0</v>
      </c>
      <c r="B2473" s="12" t="e">
        <f>MID(MAIN!A2478,K2473,2)</f>
        <v>#VALUE!</v>
      </c>
      <c r="C2473" s="12" t="e">
        <f t="shared" si="152"/>
        <v>#VALUE!</v>
      </c>
      <c r="D2473" s="12" t="e">
        <f>MID(MAIN!A2478,K2473+2,2)</f>
        <v>#VALUE!</v>
      </c>
      <c r="E2473" s="12" t="e">
        <f>MID(MAIN!A2478,K2473+4,2)</f>
        <v>#VALUE!</v>
      </c>
      <c r="F2473" s="2" t="e">
        <f t="shared" si="153"/>
        <v>#VALUE!</v>
      </c>
      <c r="G2473" s="13" t="e">
        <f t="shared" si="154"/>
        <v>#VALUE!</v>
      </c>
      <c r="J2473" t="str">
        <f>MAIN!A2478&amp;"B"</f>
        <v>B</v>
      </c>
      <c r="K2473" s="12" t="e">
        <f t="shared" si="155"/>
        <v>#VALUE!</v>
      </c>
      <c r="L2473" t="str">
        <f>MAIN!C2478</f>
        <v/>
      </c>
    </row>
    <row r="2474" spans="1:12" x14ac:dyDescent="0.3">
      <c r="A2474">
        <f>IF(J2474="0",0,IF(COUNTIF($J$2:J2474,J2474)=1,1,0))</f>
        <v>0</v>
      </c>
      <c r="B2474" s="12" t="e">
        <f>MID(MAIN!A2479,K2474,2)</f>
        <v>#VALUE!</v>
      </c>
      <c r="C2474" s="12" t="e">
        <f t="shared" si="152"/>
        <v>#VALUE!</v>
      </c>
      <c r="D2474" s="12" t="e">
        <f>MID(MAIN!A2479,K2474+2,2)</f>
        <v>#VALUE!</v>
      </c>
      <c r="E2474" s="12" t="e">
        <f>MID(MAIN!A2479,K2474+4,2)</f>
        <v>#VALUE!</v>
      </c>
      <c r="F2474" s="2" t="e">
        <f t="shared" si="153"/>
        <v>#VALUE!</v>
      </c>
      <c r="G2474" s="13" t="e">
        <f t="shared" si="154"/>
        <v>#VALUE!</v>
      </c>
      <c r="J2474" t="str">
        <f>MAIN!A2479&amp;"B"</f>
        <v>B</v>
      </c>
      <c r="K2474" s="12" t="e">
        <f t="shared" si="155"/>
        <v>#VALUE!</v>
      </c>
      <c r="L2474" t="str">
        <f>MAIN!C2479</f>
        <v/>
      </c>
    </row>
    <row r="2475" spans="1:12" x14ac:dyDescent="0.3">
      <c r="A2475">
        <f>IF(J2475="0",0,IF(COUNTIF($J$2:J2475,J2475)=1,1,0))</f>
        <v>0</v>
      </c>
      <c r="B2475" s="12" t="e">
        <f>MID(MAIN!A2480,K2475,2)</f>
        <v>#VALUE!</v>
      </c>
      <c r="C2475" s="12" t="e">
        <f t="shared" si="152"/>
        <v>#VALUE!</v>
      </c>
      <c r="D2475" s="12" t="e">
        <f>MID(MAIN!A2480,K2475+2,2)</f>
        <v>#VALUE!</v>
      </c>
      <c r="E2475" s="12" t="e">
        <f>MID(MAIN!A2480,K2475+4,2)</f>
        <v>#VALUE!</v>
      </c>
      <c r="F2475" s="2" t="e">
        <f t="shared" si="153"/>
        <v>#VALUE!</v>
      </c>
      <c r="G2475" s="13" t="e">
        <f t="shared" si="154"/>
        <v>#VALUE!</v>
      </c>
      <c r="J2475" t="str">
        <f>MAIN!A2480&amp;"B"</f>
        <v>B</v>
      </c>
      <c r="K2475" s="12" t="e">
        <f t="shared" si="155"/>
        <v>#VALUE!</v>
      </c>
      <c r="L2475" t="str">
        <f>MAIN!C2480</f>
        <v/>
      </c>
    </row>
    <row r="2476" spans="1:12" x14ac:dyDescent="0.3">
      <c r="A2476">
        <f>IF(J2476="0",0,IF(COUNTIF($J$2:J2476,J2476)=1,1,0))</f>
        <v>0</v>
      </c>
      <c r="B2476" s="12" t="e">
        <f>MID(MAIN!A2481,K2476,2)</f>
        <v>#VALUE!</v>
      </c>
      <c r="C2476" s="12" t="e">
        <f t="shared" si="152"/>
        <v>#VALUE!</v>
      </c>
      <c r="D2476" s="12" t="e">
        <f>MID(MAIN!A2481,K2476+2,2)</f>
        <v>#VALUE!</v>
      </c>
      <c r="E2476" s="12" t="e">
        <f>MID(MAIN!A2481,K2476+4,2)</f>
        <v>#VALUE!</v>
      </c>
      <c r="F2476" s="2" t="e">
        <f t="shared" si="153"/>
        <v>#VALUE!</v>
      </c>
      <c r="G2476" s="13" t="e">
        <f t="shared" si="154"/>
        <v>#VALUE!</v>
      </c>
      <c r="J2476" t="str">
        <f>MAIN!A2481&amp;"B"</f>
        <v>B</v>
      </c>
      <c r="K2476" s="12" t="e">
        <f t="shared" si="155"/>
        <v>#VALUE!</v>
      </c>
      <c r="L2476" t="str">
        <f>MAIN!C2481</f>
        <v/>
      </c>
    </row>
    <row r="2477" spans="1:12" x14ac:dyDescent="0.3">
      <c r="A2477">
        <f>IF(J2477="0",0,IF(COUNTIF($J$2:J2477,J2477)=1,1,0))</f>
        <v>0</v>
      </c>
      <c r="B2477" s="12" t="e">
        <f>MID(MAIN!A2482,K2477,2)</f>
        <v>#VALUE!</v>
      </c>
      <c r="C2477" s="12" t="e">
        <f t="shared" si="152"/>
        <v>#VALUE!</v>
      </c>
      <c r="D2477" s="12" t="e">
        <f>MID(MAIN!A2482,K2477+2,2)</f>
        <v>#VALUE!</v>
      </c>
      <c r="E2477" s="12" t="e">
        <f>MID(MAIN!A2482,K2477+4,2)</f>
        <v>#VALUE!</v>
      </c>
      <c r="F2477" s="2" t="e">
        <f t="shared" si="153"/>
        <v>#VALUE!</v>
      </c>
      <c r="G2477" s="13" t="e">
        <f t="shared" si="154"/>
        <v>#VALUE!</v>
      </c>
      <c r="J2477" t="str">
        <f>MAIN!A2482&amp;"B"</f>
        <v>B</v>
      </c>
      <c r="K2477" s="12" t="e">
        <f t="shared" si="155"/>
        <v>#VALUE!</v>
      </c>
      <c r="L2477" t="str">
        <f>MAIN!C2482</f>
        <v/>
      </c>
    </row>
    <row r="2478" spans="1:12" x14ac:dyDescent="0.3">
      <c r="A2478">
        <f>IF(J2478="0",0,IF(COUNTIF($J$2:J2478,J2478)=1,1,0))</f>
        <v>0</v>
      </c>
      <c r="B2478" s="12" t="e">
        <f>MID(MAIN!A2483,K2478,2)</f>
        <v>#VALUE!</v>
      </c>
      <c r="C2478" s="12" t="e">
        <f t="shared" si="152"/>
        <v>#VALUE!</v>
      </c>
      <c r="D2478" s="12" t="e">
        <f>MID(MAIN!A2483,K2478+2,2)</f>
        <v>#VALUE!</v>
      </c>
      <c r="E2478" s="12" t="e">
        <f>MID(MAIN!A2483,K2478+4,2)</f>
        <v>#VALUE!</v>
      </c>
      <c r="F2478" s="2" t="e">
        <f t="shared" si="153"/>
        <v>#VALUE!</v>
      </c>
      <c r="G2478" s="13" t="e">
        <f t="shared" si="154"/>
        <v>#VALUE!</v>
      </c>
      <c r="J2478" t="str">
        <f>MAIN!A2483&amp;"B"</f>
        <v>B</v>
      </c>
      <c r="K2478" s="12" t="e">
        <f t="shared" si="155"/>
        <v>#VALUE!</v>
      </c>
      <c r="L2478" t="str">
        <f>MAIN!C2483</f>
        <v/>
      </c>
    </row>
    <row r="2479" spans="1:12" x14ac:dyDescent="0.3">
      <c r="A2479">
        <f>IF(J2479="0",0,IF(COUNTIF($J$2:J2479,J2479)=1,1,0))</f>
        <v>0</v>
      </c>
      <c r="B2479" s="12" t="e">
        <f>MID(MAIN!A2484,K2479,2)</f>
        <v>#VALUE!</v>
      </c>
      <c r="C2479" s="12" t="e">
        <f t="shared" si="152"/>
        <v>#VALUE!</v>
      </c>
      <c r="D2479" s="12" t="e">
        <f>MID(MAIN!A2484,K2479+2,2)</f>
        <v>#VALUE!</v>
      </c>
      <c r="E2479" s="12" t="e">
        <f>MID(MAIN!A2484,K2479+4,2)</f>
        <v>#VALUE!</v>
      </c>
      <c r="F2479" s="2" t="e">
        <f t="shared" si="153"/>
        <v>#VALUE!</v>
      </c>
      <c r="G2479" s="13" t="e">
        <f t="shared" si="154"/>
        <v>#VALUE!</v>
      </c>
      <c r="J2479" t="str">
        <f>MAIN!A2484&amp;"B"</f>
        <v>B</v>
      </c>
      <c r="K2479" s="12" t="e">
        <f t="shared" si="155"/>
        <v>#VALUE!</v>
      </c>
      <c r="L2479" t="str">
        <f>MAIN!C2484</f>
        <v/>
      </c>
    </row>
    <row r="2480" spans="1:12" x14ac:dyDescent="0.3">
      <c r="A2480">
        <f>IF(J2480="0",0,IF(COUNTIF($J$2:J2480,J2480)=1,1,0))</f>
        <v>0</v>
      </c>
      <c r="B2480" s="12" t="e">
        <f>MID(MAIN!A2485,K2480,2)</f>
        <v>#VALUE!</v>
      </c>
      <c r="C2480" s="12" t="e">
        <f t="shared" si="152"/>
        <v>#VALUE!</v>
      </c>
      <c r="D2480" s="12" t="e">
        <f>MID(MAIN!A2485,K2480+2,2)</f>
        <v>#VALUE!</v>
      </c>
      <c r="E2480" s="12" t="e">
        <f>MID(MAIN!A2485,K2480+4,2)</f>
        <v>#VALUE!</v>
      </c>
      <c r="F2480" s="2" t="e">
        <f t="shared" si="153"/>
        <v>#VALUE!</v>
      </c>
      <c r="G2480" s="13" t="e">
        <f t="shared" si="154"/>
        <v>#VALUE!</v>
      </c>
      <c r="J2480" t="str">
        <f>MAIN!A2485&amp;"B"</f>
        <v>B</v>
      </c>
      <c r="K2480" s="12" t="e">
        <f t="shared" si="155"/>
        <v>#VALUE!</v>
      </c>
      <c r="L2480" t="str">
        <f>MAIN!C2485</f>
        <v/>
      </c>
    </row>
    <row r="2481" spans="1:12" x14ac:dyDescent="0.3">
      <c r="A2481">
        <f>IF(J2481="0",0,IF(COUNTIF($J$2:J2481,J2481)=1,1,0))</f>
        <v>0</v>
      </c>
      <c r="B2481" s="12" t="e">
        <f>MID(MAIN!A2486,K2481,2)</f>
        <v>#VALUE!</v>
      </c>
      <c r="C2481" s="12" t="e">
        <f t="shared" si="152"/>
        <v>#VALUE!</v>
      </c>
      <c r="D2481" s="12" t="e">
        <f>MID(MAIN!A2486,K2481+2,2)</f>
        <v>#VALUE!</v>
      </c>
      <c r="E2481" s="12" t="e">
        <f>MID(MAIN!A2486,K2481+4,2)</f>
        <v>#VALUE!</v>
      </c>
      <c r="F2481" s="2" t="e">
        <f t="shared" si="153"/>
        <v>#VALUE!</v>
      </c>
      <c r="G2481" s="13" t="e">
        <f t="shared" si="154"/>
        <v>#VALUE!</v>
      </c>
      <c r="J2481" t="str">
        <f>MAIN!A2486&amp;"B"</f>
        <v>B</v>
      </c>
      <c r="K2481" s="12" t="e">
        <f t="shared" si="155"/>
        <v>#VALUE!</v>
      </c>
      <c r="L2481" t="str">
        <f>MAIN!C2486</f>
        <v/>
      </c>
    </row>
    <row r="2482" spans="1:12" x14ac:dyDescent="0.3">
      <c r="A2482">
        <f>IF(J2482="0",0,IF(COUNTIF($J$2:J2482,J2482)=1,1,0))</f>
        <v>0</v>
      </c>
      <c r="B2482" s="12" t="e">
        <f>MID(MAIN!A2487,K2482,2)</f>
        <v>#VALUE!</v>
      </c>
      <c r="C2482" s="12" t="e">
        <f t="shared" si="152"/>
        <v>#VALUE!</v>
      </c>
      <c r="D2482" s="12" t="e">
        <f>MID(MAIN!A2487,K2482+2,2)</f>
        <v>#VALUE!</v>
      </c>
      <c r="E2482" s="12" t="e">
        <f>MID(MAIN!A2487,K2482+4,2)</f>
        <v>#VALUE!</v>
      </c>
      <c r="F2482" s="2" t="e">
        <f t="shared" si="153"/>
        <v>#VALUE!</v>
      </c>
      <c r="G2482" s="13" t="e">
        <f t="shared" si="154"/>
        <v>#VALUE!</v>
      </c>
      <c r="J2482" t="str">
        <f>MAIN!A2487&amp;"B"</f>
        <v>B</v>
      </c>
      <c r="K2482" s="12" t="e">
        <f t="shared" si="155"/>
        <v>#VALUE!</v>
      </c>
      <c r="L2482" t="str">
        <f>MAIN!C2487</f>
        <v/>
      </c>
    </row>
    <row r="2483" spans="1:12" x14ac:dyDescent="0.3">
      <c r="A2483">
        <f>IF(J2483="0",0,IF(COUNTIF($J$2:J2483,J2483)=1,1,0))</f>
        <v>0</v>
      </c>
      <c r="B2483" s="12" t="e">
        <f>MID(MAIN!A2488,K2483,2)</f>
        <v>#VALUE!</v>
      </c>
      <c r="C2483" s="12" t="e">
        <f t="shared" si="152"/>
        <v>#VALUE!</v>
      </c>
      <c r="D2483" s="12" t="e">
        <f>MID(MAIN!A2488,K2483+2,2)</f>
        <v>#VALUE!</v>
      </c>
      <c r="E2483" s="12" t="e">
        <f>MID(MAIN!A2488,K2483+4,2)</f>
        <v>#VALUE!</v>
      </c>
      <c r="F2483" s="2" t="e">
        <f t="shared" si="153"/>
        <v>#VALUE!</v>
      </c>
      <c r="G2483" s="13" t="e">
        <f t="shared" si="154"/>
        <v>#VALUE!</v>
      </c>
      <c r="J2483" t="str">
        <f>MAIN!A2488&amp;"B"</f>
        <v>B</v>
      </c>
      <c r="K2483" s="12" t="e">
        <f t="shared" si="155"/>
        <v>#VALUE!</v>
      </c>
      <c r="L2483" t="str">
        <f>MAIN!C2488</f>
        <v/>
      </c>
    </row>
    <row r="2484" spans="1:12" x14ac:dyDescent="0.3">
      <c r="A2484">
        <f>IF(J2484="0",0,IF(COUNTIF($J$2:J2484,J2484)=1,1,0))</f>
        <v>0</v>
      </c>
      <c r="B2484" s="12" t="e">
        <f>MID(MAIN!A2489,K2484,2)</f>
        <v>#VALUE!</v>
      </c>
      <c r="C2484" s="12" t="e">
        <f t="shared" si="152"/>
        <v>#VALUE!</v>
      </c>
      <c r="D2484" s="12" t="e">
        <f>MID(MAIN!A2489,K2484+2,2)</f>
        <v>#VALUE!</v>
      </c>
      <c r="E2484" s="12" t="e">
        <f>MID(MAIN!A2489,K2484+4,2)</f>
        <v>#VALUE!</v>
      </c>
      <c r="F2484" s="2" t="e">
        <f t="shared" si="153"/>
        <v>#VALUE!</v>
      </c>
      <c r="G2484" s="13" t="e">
        <f t="shared" si="154"/>
        <v>#VALUE!</v>
      </c>
      <c r="J2484" t="str">
        <f>MAIN!A2489&amp;"B"</f>
        <v>B</v>
      </c>
      <c r="K2484" s="12" t="e">
        <f t="shared" si="155"/>
        <v>#VALUE!</v>
      </c>
      <c r="L2484" t="str">
        <f>MAIN!C2489</f>
        <v/>
      </c>
    </row>
    <row r="2485" spans="1:12" x14ac:dyDescent="0.3">
      <c r="A2485">
        <f>IF(J2485="0",0,IF(COUNTIF($J$2:J2485,J2485)=1,1,0))</f>
        <v>0</v>
      </c>
      <c r="B2485" s="12" t="e">
        <f>MID(MAIN!A2490,K2485,2)</f>
        <v>#VALUE!</v>
      </c>
      <c r="C2485" s="12" t="e">
        <f t="shared" si="152"/>
        <v>#VALUE!</v>
      </c>
      <c r="D2485" s="12" t="e">
        <f>MID(MAIN!A2490,K2485+2,2)</f>
        <v>#VALUE!</v>
      </c>
      <c r="E2485" s="12" t="e">
        <f>MID(MAIN!A2490,K2485+4,2)</f>
        <v>#VALUE!</v>
      </c>
      <c r="F2485" s="2" t="e">
        <f t="shared" si="153"/>
        <v>#VALUE!</v>
      </c>
      <c r="G2485" s="13" t="e">
        <f t="shared" si="154"/>
        <v>#VALUE!</v>
      </c>
      <c r="J2485" t="str">
        <f>MAIN!A2490&amp;"B"</f>
        <v>B</v>
      </c>
      <c r="K2485" s="12" t="e">
        <f t="shared" si="155"/>
        <v>#VALUE!</v>
      </c>
      <c r="L2485" t="str">
        <f>MAIN!C2490</f>
        <v/>
      </c>
    </row>
    <row r="2486" spans="1:12" x14ac:dyDescent="0.3">
      <c r="A2486">
        <f>IF(J2486="0",0,IF(COUNTIF($J$2:J2486,J2486)=1,1,0))</f>
        <v>0</v>
      </c>
      <c r="B2486" s="12" t="e">
        <f>MID(MAIN!A2491,K2486,2)</f>
        <v>#VALUE!</v>
      </c>
      <c r="C2486" s="12" t="e">
        <f t="shared" si="152"/>
        <v>#VALUE!</v>
      </c>
      <c r="D2486" s="12" t="e">
        <f>MID(MAIN!A2491,K2486+2,2)</f>
        <v>#VALUE!</v>
      </c>
      <c r="E2486" s="12" t="e">
        <f>MID(MAIN!A2491,K2486+4,2)</f>
        <v>#VALUE!</v>
      </c>
      <c r="F2486" s="2" t="e">
        <f t="shared" si="153"/>
        <v>#VALUE!</v>
      </c>
      <c r="G2486" s="13" t="e">
        <f t="shared" si="154"/>
        <v>#VALUE!</v>
      </c>
      <c r="J2486" t="str">
        <f>MAIN!A2491&amp;"B"</f>
        <v>B</v>
      </c>
      <c r="K2486" s="12" t="e">
        <f t="shared" si="155"/>
        <v>#VALUE!</v>
      </c>
      <c r="L2486" t="str">
        <f>MAIN!C2491</f>
        <v/>
      </c>
    </row>
    <row r="2487" spans="1:12" x14ac:dyDescent="0.3">
      <c r="A2487">
        <f>IF(J2487="0",0,IF(COUNTIF($J$2:J2487,J2487)=1,1,0))</f>
        <v>0</v>
      </c>
      <c r="B2487" s="12" t="e">
        <f>MID(MAIN!A2492,K2487,2)</f>
        <v>#VALUE!</v>
      </c>
      <c r="C2487" s="12" t="e">
        <f t="shared" si="152"/>
        <v>#VALUE!</v>
      </c>
      <c r="D2487" s="12" t="e">
        <f>MID(MAIN!A2492,K2487+2,2)</f>
        <v>#VALUE!</v>
      </c>
      <c r="E2487" s="12" t="e">
        <f>MID(MAIN!A2492,K2487+4,2)</f>
        <v>#VALUE!</v>
      </c>
      <c r="F2487" s="2" t="e">
        <f t="shared" si="153"/>
        <v>#VALUE!</v>
      </c>
      <c r="G2487" s="13" t="e">
        <f t="shared" si="154"/>
        <v>#VALUE!</v>
      </c>
      <c r="J2487" t="str">
        <f>MAIN!A2492&amp;"B"</f>
        <v>B</v>
      </c>
      <c r="K2487" s="12" t="e">
        <f t="shared" si="155"/>
        <v>#VALUE!</v>
      </c>
      <c r="L2487" t="str">
        <f>MAIN!C2492</f>
        <v/>
      </c>
    </row>
    <row r="2488" spans="1:12" x14ac:dyDescent="0.3">
      <c r="A2488">
        <f>IF(J2488="0",0,IF(COUNTIF($J$2:J2488,J2488)=1,1,0))</f>
        <v>0</v>
      </c>
      <c r="B2488" s="12" t="e">
        <f>MID(MAIN!A2493,K2488,2)</f>
        <v>#VALUE!</v>
      </c>
      <c r="C2488" s="12" t="e">
        <f t="shared" si="152"/>
        <v>#VALUE!</v>
      </c>
      <c r="D2488" s="12" t="e">
        <f>MID(MAIN!A2493,K2488+2,2)</f>
        <v>#VALUE!</v>
      </c>
      <c r="E2488" s="12" t="e">
        <f>MID(MAIN!A2493,K2488+4,2)</f>
        <v>#VALUE!</v>
      </c>
      <c r="F2488" s="2" t="e">
        <f t="shared" si="153"/>
        <v>#VALUE!</v>
      </c>
      <c r="G2488" s="13" t="e">
        <f t="shared" si="154"/>
        <v>#VALUE!</v>
      </c>
      <c r="J2488" t="str">
        <f>MAIN!A2493&amp;"B"</f>
        <v>B</v>
      </c>
      <c r="K2488" s="12" t="e">
        <f t="shared" si="155"/>
        <v>#VALUE!</v>
      </c>
      <c r="L2488" t="str">
        <f>MAIN!C2493</f>
        <v/>
      </c>
    </row>
    <row r="2489" spans="1:12" x14ac:dyDescent="0.3">
      <c r="A2489">
        <f>IF(J2489="0",0,IF(COUNTIF($J$2:J2489,J2489)=1,1,0))</f>
        <v>0</v>
      </c>
      <c r="B2489" s="12" t="e">
        <f>MID(MAIN!A2494,K2489,2)</f>
        <v>#VALUE!</v>
      </c>
      <c r="C2489" s="12" t="e">
        <f t="shared" si="152"/>
        <v>#VALUE!</v>
      </c>
      <c r="D2489" s="12" t="e">
        <f>MID(MAIN!A2494,K2489+2,2)</f>
        <v>#VALUE!</v>
      </c>
      <c r="E2489" s="12" t="e">
        <f>MID(MAIN!A2494,K2489+4,2)</f>
        <v>#VALUE!</v>
      </c>
      <c r="F2489" s="2" t="e">
        <f t="shared" si="153"/>
        <v>#VALUE!</v>
      </c>
      <c r="G2489" s="13" t="e">
        <f t="shared" si="154"/>
        <v>#VALUE!</v>
      </c>
      <c r="J2489" t="str">
        <f>MAIN!A2494&amp;"B"</f>
        <v>B</v>
      </c>
      <c r="K2489" s="12" t="e">
        <f t="shared" si="155"/>
        <v>#VALUE!</v>
      </c>
      <c r="L2489" t="str">
        <f>MAIN!C2494</f>
        <v/>
      </c>
    </row>
    <row r="2490" spans="1:12" x14ac:dyDescent="0.3">
      <c r="A2490">
        <f>IF(J2490="0",0,IF(COUNTIF($J$2:J2490,J2490)=1,1,0))</f>
        <v>0</v>
      </c>
      <c r="B2490" s="12" t="e">
        <f>MID(MAIN!A2495,K2490,2)</f>
        <v>#VALUE!</v>
      </c>
      <c r="C2490" s="12" t="e">
        <f t="shared" si="152"/>
        <v>#VALUE!</v>
      </c>
      <c r="D2490" s="12" t="e">
        <f>MID(MAIN!A2495,K2490+2,2)</f>
        <v>#VALUE!</v>
      </c>
      <c r="E2490" s="12" t="e">
        <f>MID(MAIN!A2495,K2490+4,2)</f>
        <v>#VALUE!</v>
      </c>
      <c r="F2490" s="2" t="e">
        <f t="shared" si="153"/>
        <v>#VALUE!</v>
      </c>
      <c r="G2490" s="13" t="e">
        <f t="shared" si="154"/>
        <v>#VALUE!</v>
      </c>
      <c r="J2490" t="str">
        <f>MAIN!A2495&amp;"B"</f>
        <v>B</v>
      </c>
      <c r="K2490" s="12" t="e">
        <f t="shared" si="155"/>
        <v>#VALUE!</v>
      </c>
      <c r="L2490" t="str">
        <f>MAIN!C2495</f>
        <v/>
      </c>
    </row>
    <row r="2491" spans="1:12" x14ac:dyDescent="0.3">
      <c r="A2491">
        <f>IF(J2491="0",0,IF(COUNTIF($J$2:J2491,J2491)=1,1,0))</f>
        <v>0</v>
      </c>
      <c r="B2491" s="12" t="e">
        <f>MID(MAIN!A2496,K2491,2)</f>
        <v>#VALUE!</v>
      </c>
      <c r="C2491" s="12" t="e">
        <f t="shared" si="152"/>
        <v>#VALUE!</v>
      </c>
      <c r="D2491" s="12" t="e">
        <f>MID(MAIN!A2496,K2491+2,2)</f>
        <v>#VALUE!</v>
      </c>
      <c r="E2491" s="12" t="e">
        <f>MID(MAIN!A2496,K2491+4,2)</f>
        <v>#VALUE!</v>
      </c>
      <c r="F2491" s="2" t="e">
        <f t="shared" si="153"/>
        <v>#VALUE!</v>
      </c>
      <c r="G2491" s="13" t="e">
        <f t="shared" si="154"/>
        <v>#VALUE!</v>
      </c>
      <c r="J2491" t="str">
        <f>MAIN!A2496&amp;"B"</f>
        <v>B</v>
      </c>
      <c r="K2491" s="12" t="e">
        <f t="shared" si="155"/>
        <v>#VALUE!</v>
      </c>
      <c r="L2491" t="str">
        <f>MAIN!C2496</f>
        <v/>
      </c>
    </row>
    <row r="2492" spans="1:12" x14ac:dyDescent="0.3">
      <c r="A2492">
        <f>IF(J2492="0",0,IF(COUNTIF($J$2:J2492,J2492)=1,1,0))</f>
        <v>0</v>
      </c>
      <c r="B2492" s="12" t="e">
        <f>MID(MAIN!A2497,K2492,2)</f>
        <v>#VALUE!</v>
      </c>
      <c r="C2492" s="12" t="e">
        <f t="shared" si="152"/>
        <v>#VALUE!</v>
      </c>
      <c r="D2492" s="12" t="e">
        <f>MID(MAIN!A2497,K2492+2,2)</f>
        <v>#VALUE!</v>
      </c>
      <c r="E2492" s="12" t="e">
        <f>MID(MAIN!A2497,K2492+4,2)</f>
        <v>#VALUE!</v>
      </c>
      <c r="F2492" s="2" t="e">
        <f t="shared" si="153"/>
        <v>#VALUE!</v>
      </c>
      <c r="G2492" s="13" t="e">
        <f t="shared" si="154"/>
        <v>#VALUE!</v>
      </c>
      <c r="J2492" t="str">
        <f>MAIN!A2497&amp;"B"</f>
        <v>B</v>
      </c>
      <c r="K2492" s="12" t="e">
        <f t="shared" si="155"/>
        <v>#VALUE!</v>
      </c>
      <c r="L2492" t="str">
        <f>MAIN!C2497</f>
        <v/>
      </c>
    </row>
    <row r="2493" spans="1:12" x14ac:dyDescent="0.3">
      <c r="A2493">
        <f>IF(J2493="0",0,IF(COUNTIF($J$2:J2493,J2493)=1,1,0))</f>
        <v>0</v>
      </c>
      <c r="B2493" s="12" t="e">
        <f>MID(MAIN!A2498,K2493,2)</f>
        <v>#VALUE!</v>
      </c>
      <c r="C2493" s="12" t="e">
        <f t="shared" si="152"/>
        <v>#VALUE!</v>
      </c>
      <c r="D2493" s="12" t="e">
        <f>MID(MAIN!A2498,K2493+2,2)</f>
        <v>#VALUE!</v>
      </c>
      <c r="E2493" s="12" t="e">
        <f>MID(MAIN!A2498,K2493+4,2)</f>
        <v>#VALUE!</v>
      </c>
      <c r="F2493" s="2" t="e">
        <f t="shared" si="153"/>
        <v>#VALUE!</v>
      </c>
      <c r="G2493" s="13" t="e">
        <f t="shared" si="154"/>
        <v>#VALUE!</v>
      </c>
      <c r="J2493" t="str">
        <f>MAIN!A2498&amp;"B"</f>
        <v>B</v>
      </c>
      <c r="K2493" s="12" t="e">
        <f t="shared" si="155"/>
        <v>#VALUE!</v>
      </c>
      <c r="L2493" t="str">
        <f>MAIN!C2498</f>
        <v/>
      </c>
    </row>
    <row r="2494" spans="1:12" x14ac:dyDescent="0.3">
      <c r="A2494">
        <f>IF(J2494="0",0,IF(COUNTIF($J$2:J2494,J2494)=1,1,0))</f>
        <v>0</v>
      </c>
      <c r="B2494" s="12" t="e">
        <f>MID(MAIN!A2499,K2494,2)</f>
        <v>#VALUE!</v>
      </c>
      <c r="C2494" s="12" t="e">
        <f t="shared" si="152"/>
        <v>#VALUE!</v>
      </c>
      <c r="D2494" s="12" t="e">
        <f>MID(MAIN!A2499,K2494+2,2)</f>
        <v>#VALUE!</v>
      </c>
      <c r="E2494" s="12" t="e">
        <f>MID(MAIN!A2499,K2494+4,2)</f>
        <v>#VALUE!</v>
      </c>
      <c r="F2494" s="2" t="e">
        <f t="shared" si="153"/>
        <v>#VALUE!</v>
      </c>
      <c r="G2494" s="13" t="e">
        <f t="shared" si="154"/>
        <v>#VALUE!</v>
      </c>
      <c r="J2494" t="str">
        <f>MAIN!A2499&amp;"B"</f>
        <v>B</v>
      </c>
      <c r="K2494" s="12" t="e">
        <f t="shared" si="155"/>
        <v>#VALUE!</v>
      </c>
      <c r="L2494" t="str">
        <f>MAIN!C2499</f>
        <v/>
      </c>
    </row>
    <row r="2495" spans="1:12" x14ac:dyDescent="0.3">
      <c r="A2495">
        <f>IF(J2495="0",0,IF(COUNTIF($J$2:J2495,J2495)=1,1,0))</f>
        <v>0</v>
      </c>
      <c r="B2495" s="12" t="e">
        <f>MID(MAIN!A2500,K2495,2)</f>
        <v>#VALUE!</v>
      </c>
      <c r="C2495" s="12" t="e">
        <f t="shared" si="152"/>
        <v>#VALUE!</v>
      </c>
      <c r="D2495" s="12" t="e">
        <f>MID(MAIN!A2500,K2495+2,2)</f>
        <v>#VALUE!</v>
      </c>
      <c r="E2495" s="12" t="e">
        <f>MID(MAIN!A2500,K2495+4,2)</f>
        <v>#VALUE!</v>
      </c>
      <c r="F2495" s="2" t="e">
        <f t="shared" si="153"/>
        <v>#VALUE!</v>
      </c>
      <c r="G2495" s="13" t="e">
        <f t="shared" si="154"/>
        <v>#VALUE!</v>
      </c>
      <c r="J2495" t="str">
        <f>MAIN!A2500&amp;"B"</f>
        <v>B</v>
      </c>
      <c r="K2495" s="12" t="e">
        <f t="shared" si="155"/>
        <v>#VALUE!</v>
      </c>
      <c r="L2495" t="str">
        <f>MAIN!C2500</f>
        <v/>
      </c>
    </row>
    <row r="2496" spans="1:12" x14ac:dyDescent="0.3">
      <c r="A2496">
        <f>IF(J2496="0",0,IF(COUNTIF($J$2:J2496,J2496)=1,1,0))</f>
        <v>0</v>
      </c>
      <c r="B2496" s="12" t="e">
        <f>MID(MAIN!A2501,K2496,2)</f>
        <v>#VALUE!</v>
      </c>
      <c r="C2496" s="12" t="e">
        <f t="shared" si="152"/>
        <v>#VALUE!</v>
      </c>
      <c r="D2496" s="12" t="e">
        <f>MID(MAIN!A2501,K2496+2,2)</f>
        <v>#VALUE!</v>
      </c>
      <c r="E2496" s="12" t="e">
        <f>MID(MAIN!A2501,K2496+4,2)</f>
        <v>#VALUE!</v>
      </c>
      <c r="F2496" s="2" t="e">
        <f t="shared" si="153"/>
        <v>#VALUE!</v>
      </c>
      <c r="G2496" s="13" t="e">
        <f t="shared" si="154"/>
        <v>#VALUE!</v>
      </c>
      <c r="J2496" t="str">
        <f>MAIN!A2501&amp;"B"</f>
        <v>B</v>
      </c>
      <c r="K2496" s="12" t="e">
        <f t="shared" si="155"/>
        <v>#VALUE!</v>
      </c>
      <c r="L2496" t="str">
        <f>MAIN!C2501</f>
        <v/>
      </c>
    </row>
    <row r="2497" spans="1:12" x14ac:dyDescent="0.3">
      <c r="A2497">
        <f>IF(J2497="0",0,IF(COUNTIF($J$2:J2497,J2497)=1,1,0))</f>
        <v>0</v>
      </c>
      <c r="B2497" s="12" t="e">
        <f>MID(MAIN!A2502,K2497,2)</f>
        <v>#VALUE!</v>
      </c>
      <c r="C2497" s="12" t="e">
        <f t="shared" si="152"/>
        <v>#VALUE!</v>
      </c>
      <c r="D2497" s="12" t="e">
        <f>MID(MAIN!A2502,K2497+2,2)</f>
        <v>#VALUE!</v>
      </c>
      <c r="E2497" s="12" t="e">
        <f>MID(MAIN!A2502,K2497+4,2)</f>
        <v>#VALUE!</v>
      </c>
      <c r="F2497" s="2" t="e">
        <f t="shared" si="153"/>
        <v>#VALUE!</v>
      </c>
      <c r="G2497" s="13" t="e">
        <f t="shared" si="154"/>
        <v>#VALUE!</v>
      </c>
      <c r="J2497" t="str">
        <f>MAIN!A2502&amp;"B"</f>
        <v>B</v>
      </c>
      <c r="K2497" s="12" t="e">
        <f t="shared" si="155"/>
        <v>#VALUE!</v>
      </c>
      <c r="L2497" t="str">
        <f>MAIN!C2502</f>
        <v/>
      </c>
    </row>
    <row r="2498" spans="1:12" x14ac:dyDescent="0.3">
      <c r="A2498">
        <f>IF(J2498="0",0,IF(COUNTIF($J$2:J2498,J2498)=1,1,0))</f>
        <v>0</v>
      </c>
      <c r="B2498" s="12" t="e">
        <f>MID(MAIN!A2503,K2498,2)</f>
        <v>#VALUE!</v>
      </c>
      <c r="C2498" s="12" t="e">
        <f t="shared" si="152"/>
        <v>#VALUE!</v>
      </c>
      <c r="D2498" s="12" t="e">
        <f>MID(MAIN!A2503,K2498+2,2)</f>
        <v>#VALUE!</v>
      </c>
      <c r="E2498" s="12" t="e">
        <f>MID(MAIN!A2503,K2498+4,2)</f>
        <v>#VALUE!</v>
      </c>
      <c r="F2498" s="2" t="e">
        <f t="shared" si="153"/>
        <v>#VALUE!</v>
      </c>
      <c r="G2498" s="13" t="e">
        <f t="shared" si="154"/>
        <v>#VALUE!</v>
      </c>
      <c r="J2498" t="str">
        <f>MAIN!A2503&amp;"B"</f>
        <v>B</v>
      </c>
      <c r="K2498" s="12" t="e">
        <f t="shared" si="155"/>
        <v>#VALUE!</v>
      </c>
      <c r="L2498" t="str">
        <f>MAIN!C2503</f>
        <v/>
      </c>
    </row>
    <row r="2499" spans="1:12" x14ac:dyDescent="0.3">
      <c r="A2499">
        <f>IF(J2499="0",0,IF(COUNTIF($J$2:J2499,J2499)=1,1,0))</f>
        <v>0</v>
      </c>
      <c r="B2499" s="12" t="e">
        <f>MID(MAIN!A2504,K2499,2)</f>
        <v>#VALUE!</v>
      </c>
      <c r="C2499" s="12" t="e">
        <f t="shared" ref="C2499:C2562" si="156">"20"&amp;B2499</f>
        <v>#VALUE!</v>
      </c>
      <c r="D2499" s="12" t="e">
        <f>MID(MAIN!A2504,K2499+2,2)</f>
        <v>#VALUE!</v>
      </c>
      <c r="E2499" s="12" t="e">
        <f>MID(MAIN!A2504,K2499+4,2)</f>
        <v>#VALUE!</v>
      </c>
      <c r="F2499" s="2" t="e">
        <f t="shared" ref="F2499:F2562" si="157">C2499&amp;"/"&amp;D2499&amp;"/"&amp;E2499</f>
        <v>#VALUE!</v>
      </c>
      <c r="G2499" s="13" t="e">
        <f t="shared" ref="G2499:G2562" si="158">DATEVALUE(F2499)</f>
        <v>#VALUE!</v>
      </c>
      <c r="J2499" t="str">
        <f>MAIN!A2504&amp;"B"</f>
        <v>B</v>
      </c>
      <c r="K2499" s="12" t="e">
        <f t="shared" ref="K2499:K2562" si="159">FIND("172",J2499,30)+2</f>
        <v>#VALUE!</v>
      </c>
      <c r="L2499" t="str">
        <f>MAIN!C2504</f>
        <v/>
      </c>
    </row>
    <row r="2500" spans="1:12" x14ac:dyDescent="0.3">
      <c r="A2500">
        <f>IF(J2500="0",0,IF(COUNTIF($J$2:J2500,J2500)=1,1,0))</f>
        <v>0</v>
      </c>
      <c r="B2500" s="12" t="e">
        <f>MID(MAIN!A2505,K2500,2)</f>
        <v>#VALUE!</v>
      </c>
      <c r="C2500" s="12" t="e">
        <f t="shared" si="156"/>
        <v>#VALUE!</v>
      </c>
      <c r="D2500" s="12" t="e">
        <f>MID(MAIN!A2505,K2500+2,2)</f>
        <v>#VALUE!</v>
      </c>
      <c r="E2500" s="12" t="e">
        <f>MID(MAIN!A2505,K2500+4,2)</f>
        <v>#VALUE!</v>
      </c>
      <c r="F2500" s="2" t="e">
        <f t="shared" si="157"/>
        <v>#VALUE!</v>
      </c>
      <c r="G2500" s="13" t="e">
        <f t="shared" si="158"/>
        <v>#VALUE!</v>
      </c>
      <c r="J2500" t="str">
        <f>MAIN!A2505&amp;"B"</f>
        <v>B</v>
      </c>
      <c r="K2500" s="12" t="e">
        <f t="shared" si="159"/>
        <v>#VALUE!</v>
      </c>
      <c r="L2500" t="str">
        <f>MAIN!C2505</f>
        <v/>
      </c>
    </row>
    <row r="2501" spans="1:12" x14ac:dyDescent="0.3">
      <c r="A2501">
        <f>IF(J2501="0",0,IF(COUNTIF($J$2:J2501,J2501)=1,1,0))</f>
        <v>0</v>
      </c>
      <c r="B2501" s="12" t="e">
        <f>MID(MAIN!A2506,K2501,2)</f>
        <v>#VALUE!</v>
      </c>
      <c r="C2501" s="12" t="e">
        <f t="shared" si="156"/>
        <v>#VALUE!</v>
      </c>
      <c r="D2501" s="12" t="e">
        <f>MID(MAIN!A2506,K2501+2,2)</f>
        <v>#VALUE!</v>
      </c>
      <c r="E2501" s="12" t="e">
        <f>MID(MAIN!A2506,K2501+4,2)</f>
        <v>#VALUE!</v>
      </c>
      <c r="F2501" s="2" t="e">
        <f t="shared" si="157"/>
        <v>#VALUE!</v>
      </c>
      <c r="G2501" s="13" t="e">
        <f t="shared" si="158"/>
        <v>#VALUE!</v>
      </c>
      <c r="J2501" t="str">
        <f>MAIN!A2506&amp;"B"</f>
        <v>B</v>
      </c>
      <c r="K2501" s="12" t="e">
        <f t="shared" si="159"/>
        <v>#VALUE!</v>
      </c>
      <c r="L2501" t="str">
        <f>MAIN!C2506</f>
        <v/>
      </c>
    </row>
    <row r="2502" spans="1:12" x14ac:dyDescent="0.3">
      <c r="A2502">
        <f>IF(J2502="0",0,IF(COUNTIF($J$2:J2502,J2502)=1,1,0))</f>
        <v>0</v>
      </c>
      <c r="B2502" s="12" t="e">
        <f>MID(MAIN!A2507,K2502,2)</f>
        <v>#VALUE!</v>
      </c>
      <c r="C2502" s="12" t="e">
        <f t="shared" si="156"/>
        <v>#VALUE!</v>
      </c>
      <c r="D2502" s="12" t="e">
        <f>MID(MAIN!A2507,K2502+2,2)</f>
        <v>#VALUE!</v>
      </c>
      <c r="E2502" s="12" t="e">
        <f>MID(MAIN!A2507,K2502+4,2)</f>
        <v>#VALUE!</v>
      </c>
      <c r="F2502" s="2" t="e">
        <f t="shared" si="157"/>
        <v>#VALUE!</v>
      </c>
      <c r="G2502" s="13" t="e">
        <f t="shared" si="158"/>
        <v>#VALUE!</v>
      </c>
      <c r="J2502" t="str">
        <f>MAIN!A2507&amp;"B"</f>
        <v>B</v>
      </c>
      <c r="K2502" s="12" t="e">
        <f t="shared" si="159"/>
        <v>#VALUE!</v>
      </c>
      <c r="L2502" t="str">
        <f>MAIN!C2507</f>
        <v/>
      </c>
    </row>
    <row r="2503" spans="1:12" x14ac:dyDescent="0.3">
      <c r="A2503">
        <f>IF(J2503="0",0,IF(COUNTIF($J$2:J2503,J2503)=1,1,0))</f>
        <v>0</v>
      </c>
      <c r="B2503" s="12" t="e">
        <f>MID(MAIN!A2508,K2503,2)</f>
        <v>#VALUE!</v>
      </c>
      <c r="C2503" s="12" t="e">
        <f t="shared" si="156"/>
        <v>#VALUE!</v>
      </c>
      <c r="D2503" s="12" t="e">
        <f>MID(MAIN!A2508,K2503+2,2)</f>
        <v>#VALUE!</v>
      </c>
      <c r="E2503" s="12" t="e">
        <f>MID(MAIN!A2508,K2503+4,2)</f>
        <v>#VALUE!</v>
      </c>
      <c r="F2503" s="2" t="e">
        <f t="shared" si="157"/>
        <v>#VALUE!</v>
      </c>
      <c r="G2503" s="13" t="e">
        <f t="shared" si="158"/>
        <v>#VALUE!</v>
      </c>
      <c r="J2503" t="str">
        <f>MAIN!A2508&amp;"B"</f>
        <v>B</v>
      </c>
      <c r="K2503" s="12" t="e">
        <f t="shared" si="159"/>
        <v>#VALUE!</v>
      </c>
      <c r="L2503" t="str">
        <f>MAIN!C2508</f>
        <v/>
      </c>
    </row>
    <row r="2504" spans="1:12" x14ac:dyDescent="0.3">
      <c r="A2504">
        <f>IF(J2504="0",0,IF(COUNTIF($J$2:J2504,J2504)=1,1,0))</f>
        <v>0</v>
      </c>
      <c r="B2504" s="12" t="e">
        <f>MID(MAIN!A2509,K2504,2)</f>
        <v>#VALUE!</v>
      </c>
      <c r="C2504" s="12" t="e">
        <f t="shared" si="156"/>
        <v>#VALUE!</v>
      </c>
      <c r="D2504" s="12" t="e">
        <f>MID(MAIN!A2509,K2504+2,2)</f>
        <v>#VALUE!</v>
      </c>
      <c r="E2504" s="12" t="e">
        <f>MID(MAIN!A2509,K2504+4,2)</f>
        <v>#VALUE!</v>
      </c>
      <c r="F2504" s="2" t="e">
        <f t="shared" si="157"/>
        <v>#VALUE!</v>
      </c>
      <c r="G2504" s="13" t="e">
        <f t="shared" si="158"/>
        <v>#VALUE!</v>
      </c>
      <c r="J2504" t="str">
        <f>MAIN!A2509&amp;"B"</f>
        <v>B</v>
      </c>
      <c r="K2504" s="12" t="e">
        <f t="shared" si="159"/>
        <v>#VALUE!</v>
      </c>
      <c r="L2504" t="str">
        <f>MAIN!C2509</f>
        <v/>
      </c>
    </row>
    <row r="2505" spans="1:12" x14ac:dyDescent="0.3">
      <c r="A2505">
        <f>IF(J2505="0",0,IF(COUNTIF($J$2:J2505,J2505)=1,1,0))</f>
        <v>0</v>
      </c>
      <c r="B2505" s="12" t="e">
        <f>MID(MAIN!A2510,K2505,2)</f>
        <v>#VALUE!</v>
      </c>
      <c r="C2505" s="12" t="e">
        <f t="shared" si="156"/>
        <v>#VALUE!</v>
      </c>
      <c r="D2505" s="12" t="e">
        <f>MID(MAIN!A2510,K2505+2,2)</f>
        <v>#VALUE!</v>
      </c>
      <c r="E2505" s="12" t="e">
        <f>MID(MAIN!A2510,K2505+4,2)</f>
        <v>#VALUE!</v>
      </c>
      <c r="F2505" s="2" t="e">
        <f t="shared" si="157"/>
        <v>#VALUE!</v>
      </c>
      <c r="G2505" s="13" t="e">
        <f t="shared" si="158"/>
        <v>#VALUE!</v>
      </c>
      <c r="J2505" t="str">
        <f>MAIN!A2510&amp;"B"</f>
        <v>B</v>
      </c>
      <c r="K2505" s="12" t="e">
        <f t="shared" si="159"/>
        <v>#VALUE!</v>
      </c>
      <c r="L2505" t="str">
        <f>MAIN!C2510</f>
        <v/>
      </c>
    </row>
    <row r="2506" spans="1:12" x14ac:dyDescent="0.3">
      <c r="A2506">
        <f>IF(J2506="0",0,IF(COUNTIF($J$2:J2506,J2506)=1,1,0))</f>
        <v>0</v>
      </c>
      <c r="B2506" s="12" t="e">
        <f>MID(MAIN!A2511,K2506,2)</f>
        <v>#VALUE!</v>
      </c>
      <c r="C2506" s="12" t="e">
        <f t="shared" si="156"/>
        <v>#VALUE!</v>
      </c>
      <c r="D2506" s="12" t="e">
        <f>MID(MAIN!A2511,K2506+2,2)</f>
        <v>#VALUE!</v>
      </c>
      <c r="E2506" s="12" t="e">
        <f>MID(MAIN!A2511,K2506+4,2)</f>
        <v>#VALUE!</v>
      </c>
      <c r="F2506" s="2" t="e">
        <f t="shared" si="157"/>
        <v>#VALUE!</v>
      </c>
      <c r="G2506" s="13" t="e">
        <f t="shared" si="158"/>
        <v>#VALUE!</v>
      </c>
      <c r="J2506" t="str">
        <f>MAIN!A2511&amp;"B"</f>
        <v>B</v>
      </c>
      <c r="K2506" s="12" t="e">
        <f t="shared" si="159"/>
        <v>#VALUE!</v>
      </c>
      <c r="L2506" t="str">
        <f>MAIN!C2511</f>
        <v/>
      </c>
    </row>
    <row r="2507" spans="1:12" x14ac:dyDescent="0.3">
      <c r="A2507">
        <f>IF(J2507="0",0,IF(COUNTIF($J$2:J2507,J2507)=1,1,0))</f>
        <v>0</v>
      </c>
      <c r="B2507" s="12" t="e">
        <f>MID(MAIN!A2512,K2507,2)</f>
        <v>#VALUE!</v>
      </c>
      <c r="C2507" s="12" t="e">
        <f t="shared" si="156"/>
        <v>#VALUE!</v>
      </c>
      <c r="D2507" s="12" t="e">
        <f>MID(MAIN!A2512,K2507+2,2)</f>
        <v>#VALUE!</v>
      </c>
      <c r="E2507" s="12" t="e">
        <f>MID(MAIN!A2512,K2507+4,2)</f>
        <v>#VALUE!</v>
      </c>
      <c r="F2507" s="2" t="e">
        <f t="shared" si="157"/>
        <v>#VALUE!</v>
      </c>
      <c r="G2507" s="13" t="e">
        <f t="shared" si="158"/>
        <v>#VALUE!</v>
      </c>
      <c r="J2507" t="str">
        <f>MAIN!A2512&amp;"B"</f>
        <v>B</v>
      </c>
      <c r="K2507" s="12" t="e">
        <f t="shared" si="159"/>
        <v>#VALUE!</v>
      </c>
      <c r="L2507" t="str">
        <f>MAIN!C2512</f>
        <v/>
      </c>
    </row>
    <row r="2508" spans="1:12" x14ac:dyDescent="0.3">
      <c r="A2508">
        <f>IF(J2508="0",0,IF(COUNTIF($J$2:J2508,J2508)=1,1,0))</f>
        <v>0</v>
      </c>
      <c r="B2508" s="12" t="e">
        <f>MID(MAIN!A2513,K2508,2)</f>
        <v>#VALUE!</v>
      </c>
      <c r="C2508" s="12" t="e">
        <f t="shared" si="156"/>
        <v>#VALUE!</v>
      </c>
      <c r="D2508" s="12" t="e">
        <f>MID(MAIN!A2513,K2508+2,2)</f>
        <v>#VALUE!</v>
      </c>
      <c r="E2508" s="12" t="e">
        <f>MID(MAIN!A2513,K2508+4,2)</f>
        <v>#VALUE!</v>
      </c>
      <c r="F2508" s="2" t="e">
        <f t="shared" si="157"/>
        <v>#VALUE!</v>
      </c>
      <c r="G2508" s="13" t="e">
        <f t="shared" si="158"/>
        <v>#VALUE!</v>
      </c>
      <c r="J2508" t="str">
        <f>MAIN!A2513&amp;"B"</f>
        <v>B</v>
      </c>
      <c r="K2508" s="12" t="e">
        <f t="shared" si="159"/>
        <v>#VALUE!</v>
      </c>
      <c r="L2508" t="str">
        <f>MAIN!C2513</f>
        <v/>
      </c>
    </row>
    <row r="2509" spans="1:12" x14ac:dyDescent="0.3">
      <c r="A2509">
        <f>IF(J2509="0",0,IF(COUNTIF($J$2:J2509,J2509)=1,1,0))</f>
        <v>0</v>
      </c>
      <c r="B2509" s="12" t="e">
        <f>MID(MAIN!A2514,K2509,2)</f>
        <v>#VALUE!</v>
      </c>
      <c r="C2509" s="12" t="e">
        <f t="shared" si="156"/>
        <v>#VALUE!</v>
      </c>
      <c r="D2509" s="12" t="e">
        <f>MID(MAIN!A2514,K2509+2,2)</f>
        <v>#VALUE!</v>
      </c>
      <c r="E2509" s="12" t="e">
        <f>MID(MAIN!A2514,K2509+4,2)</f>
        <v>#VALUE!</v>
      </c>
      <c r="F2509" s="2" t="e">
        <f t="shared" si="157"/>
        <v>#VALUE!</v>
      </c>
      <c r="G2509" s="13" t="e">
        <f t="shared" si="158"/>
        <v>#VALUE!</v>
      </c>
      <c r="J2509" t="str">
        <f>MAIN!A2514&amp;"B"</f>
        <v>B</v>
      </c>
      <c r="K2509" s="12" t="e">
        <f t="shared" si="159"/>
        <v>#VALUE!</v>
      </c>
      <c r="L2509" t="str">
        <f>MAIN!C2514</f>
        <v/>
      </c>
    </row>
    <row r="2510" spans="1:12" x14ac:dyDescent="0.3">
      <c r="A2510">
        <f>IF(J2510="0",0,IF(COUNTIF($J$2:J2510,J2510)=1,1,0))</f>
        <v>0</v>
      </c>
      <c r="B2510" s="12" t="e">
        <f>MID(MAIN!A2515,K2510,2)</f>
        <v>#VALUE!</v>
      </c>
      <c r="C2510" s="12" t="e">
        <f t="shared" si="156"/>
        <v>#VALUE!</v>
      </c>
      <c r="D2510" s="12" t="e">
        <f>MID(MAIN!A2515,K2510+2,2)</f>
        <v>#VALUE!</v>
      </c>
      <c r="E2510" s="12" t="e">
        <f>MID(MAIN!A2515,K2510+4,2)</f>
        <v>#VALUE!</v>
      </c>
      <c r="F2510" s="2" t="e">
        <f t="shared" si="157"/>
        <v>#VALUE!</v>
      </c>
      <c r="G2510" s="13" t="e">
        <f t="shared" si="158"/>
        <v>#VALUE!</v>
      </c>
      <c r="J2510" t="str">
        <f>MAIN!A2515&amp;"B"</f>
        <v>B</v>
      </c>
      <c r="K2510" s="12" t="e">
        <f t="shared" si="159"/>
        <v>#VALUE!</v>
      </c>
      <c r="L2510" t="str">
        <f>MAIN!C2515</f>
        <v/>
      </c>
    </row>
    <row r="2511" spans="1:12" x14ac:dyDescent="0.3">
      <c r="A2511">
        <f>IF(J2511="0",0,IF(COUNTIF($J$2:J2511,J2511)=1,1,0))</f>
        <v>0</v>
      </c>
      <c r="B2511" s="12" t="e">
        <f>MID(MAIN!A2516,K2511,2)</f>
        <v>#VALUE!</v>
      </c>
      <c r="C2511" s="12" t="e">
        <f t="shared" si="156"/>
        <v>#VALUE!</v>
      </c>
      <c r="D2511" s="12" t="e">
        <f>MID(MAIN!A2516,K2511+2,2)</f>
        <v>#VALUE!</v>
      </c>
      <c r="E2511" s="12" t="e">
        <f>MID(MAIN!A2516,K2511+4,2)</f>
        <v>#VALUE!</v>
      </c>
      <c r="F2511" s="2" t="e">
        <f t="shared" si="157"/>
        <v>#VALUE!</v>
      </c>
      <c r="G2511" s="13" t="e">
        <f t="shared" si="158"/>
        <v>#VALUE!</v>
      </c>
      <c r="J2511" t="str">
        <f>MAIN!A2516&amp;"B"</f>
        <v>B</v>
      </c>
      <c r="K2511" s="12" t="e">
        <f t="shared" si="159"/>
        <v>#VALUE!</v>
      </c>
      <c r="L2511" t="str">
        <f>MAIN!C2516</f>
        <v/>
      </c>
    </row>
    <row r="2512" spans="1:12" x14ac:dyDescent="0.3">
      <c r="A2512">
        <f>IF(J2512="0",0,IF(COUNTIF($J$2:J2512,J2512)=1,1,0))</f>
        <v>0</v>
      </c>
      <c r="B2512" s="12" t="e">
        <f>MID(MAIN!A2517,K2512,2)</f>
        <v>#VALUE!</v>
      </c>
      <c r="C2512" s="12" t="e">
        <f t="shared" si="156"/>
        <v>#VALUE!</v>
      </c>
      <c r="D2512" s="12" t="e">
        <f>MID(MAIN!A2517,K2512+2,2)</f>
        <v>#VALUE!</v>
      </c>
      <c r="E2512" s="12" t="e">
        <f>MID(MAIN!A2517,K2512+4,2)</f>
        <v>#VALUE!</v>
      </c>
      <c r="F2512" s="2" t="e">
        <f t="shared" si="157"/>
        <v>#VALUE!</v>
      </c>
      <c r="G2512" s="13" t="e">
        <f t="shared" si="158"/>
        <v>#VALUE!</v>
      </c>
      <c r="J2512" t="str">
        <f>MAIN!A2517&amp;"B"</f>
        <v>B</v>
      </c>
      <c r="K2512" s="12" t="e">
        <f t="shared" si="159"/>
        <v>#VALUE!</v>
      </c>
      <c r="L2512" t="str">
        <f>MAIN!C2517</f>
        <v/>
      </c>
    </row>
    <row r="2513" spans="1:12" x14ac:dyDescent="0.3">
      <c r="A2513">
        <f>IF(J2513="0",0,IF(COUNTIF($J$2:J2513,J2513)=1,1,0))</f>
        <v>0</v>
      </c>
      <c r="B2513" s="12" t="e">
        <f>MID(MAIN!A2518,K2513,2)</f>
        <v>#VALUE!</v>
      </c>
      <c r="C2513" s="12" t="e">
        <f t="shared" si="156"/>
        <v>#VALUE!</v>
      </c>
      <c r="D2513" s="12" t="e">
        <f>MID(MAIN!A2518,K2513+2,2)</f>
        <v>#VALUE!</v>
      </c>
      <c r="E2513" s="12" t="e">
        <f>MID(MAIN!A2518,K2513+4,2)</f>
        <v>#VALUE!</v>
      </c>
      <c r="F2513" s="2" t="e">
        <f t="shared" si="157"/>
        <v>#VALUE!</v>
      </c>
      <c r="G2513" s="13" t="e">
        <f t="shared" si="158"/>
        <v>#VALUE!</v>
      </c>
      <c r="J2513" t="str">
        <f>MAIN!A2518&amp;"B"</f>
        <v>B</v>
      </c>
      <c r="K2513" s="12" t="e">
        <f t="shared" si="159"/>
        <v>#VALUE!</v>
      </c>
      <c r="L2513" t="str">
        <f>MAIN!C2518</f>
        <v/>
      </c>
    </row>
    <row r="2514" spans="1:12" x14ac:dyDescent="0.3">
      <c r="A2514">
        <f>IF(J2514="0",0,IF(COUNTIF($J$2:J2514,J2514)=1,1,0))</f>
        <v>0</v>
      </c>
      <c r="B2514" s="12" t="e">
        <f>MID(MAIN!A2519,K2514,2)</f>
        <v>#VALUE!</v>
      </c>
      <c r="C2514" s="12" t="e">
        <f t="shared" si="156"/>
        <v>#VALUE!</v>
      </c>
      <c r="D2514" s="12" t="e">
        <f>MID(MAIN!A2519,K2514+2,2)</f>
        <v>#VALUE!</v>
      </c>
      <c r="E2514" s="12" t="e">
        <f>MID(MAIN!A2519,K2514+4,2)</f>
        <v>#VALUE!</v>
      </c>
      <c r="F2514" s="2" t="e">
        <f t="shared" si="157"/>
        <v>#VALUE!</v>
      </c>
      <c r="G2514" s="13" t="e">
        <f t="shared" si="158"/>
        <v>#VALUE!</v>
      </c>
      <c r="J2514" t="str">
        <f>MAIN!A2519&amp;"B"</f>
        <v>B</v>
      </c>
      <c r="K2514" s="12" t="e">
        <f t="shared" si="159"/>
        <v>#VALUE!</v>
      </c>
      <c r="L2514" t="str">
        <f>MAIN!C2519</f>
        <v/>
      </c>
    </row>
    <row r="2515" spans="1:12" x14ac:dyDescent="0.3">
      <c r="A2515">
        <f>IF(J2515="0",0,IF(COUNTIF($J$2:J2515,J2515)=1,1,0))</f>
        <v>0</v>
      </c>
      <c r="B2515" s="12" t="e">
        <f>MID(MAIN!A2520,K2515,2)</f>
        <v>#VALUE!</v>
      </c>
      <c r="C2515" s="12" t="e">
        <f t="shared" si="156"/>
        <v>#VALUE!</v>
      </c>
      <c r="D2515" s="12" t="e">
        <f>MID(MAIN!A2520,K2515+2,2)</f>
        <v>#VALUE!</v>
      </c>
      <c r="E2515" s="12" t="e">
        <f>MID(MAIN!A2520,K2515+4,2)</f>
        <v>#VALUE!</v>
      </c>
      <c r="F2515" s="2" t="e">
        <f t="shared" si="157"/>
        <v>#VALUE!</v>
      </c>
      <c r="G2515" s="13" t="e">
        <f t="shared" si="158"/>
        <v>#VALUE!</v>
      </c>
      <c r="J2515" t="str">
        <f>MAIN!A2520&amp;"B"</f>
        <v>B</v>
      </c>
      <c r="K2515" s="12" t="e">
        <f t="shared" si="159"/>
        <v>#VALUE!</v>
      </c>
      <c r="L2515" t="str">
        <f>MAIN!C2520</f>
        <v/>
      </c>
    </row>
    <row r="2516" spans="1:12" x14ac:dyDescent="0.3">
      <c r="A2516">
        <f>IF(J2516="0",0,IF(COUNTIF($J$2:J2516,J2516)=1,1,0))</f>
        <v>0</v>
      </c>
      <c r="B2516" s="12" t="e">
        <f>MID(MAIN!A2521,K2516,2)</f>
        <v>#VALUE!</v>
      </c>
      <c r="C2516" s="12" t="e">
        <f t="shared" si="156"/>
        <v>#VALUE!</v>
      </c>
      <c r="D2516" s="12" t="e">
        <f>MID(MAIN!A2521,K2516+2,2)</f>
        <v>#VALUE!</v>
      </c>
      <c r="E2516" s="12" t="e">
        <f>MID(MAIN!A2521,K2516+4,2)</f>
        <v>#VALUE!</v>
      </c>
      <c r="F2516" s="2" t="e">
        <f t="shared" si="157"/>
        <v>#VALUE!</v>
      </c>
      <c r="G2516" s="13" t="e">
        <f t="shared" si="158"/>
        <v>#VALUE!</v>
      </c>
      <c r="J2516" t="str">
        <f>MAIN!A2521&amp;"B"</f>
        <v>B</v>
      </c>
      <c r="K2516" s="12" t="e">
        <f t="shared" si="159"/>
        <v>#VALUE!</v>
      </c>
      <c r="L2516" t="str">
        <f>MAIN!C2521</f>
        <v/>
      </c>
    </row>
    <row r="2517" spans="1:12" x14ac:dyDescent="0.3">
      <c r="A2517">
        <f>IF(J2517="0",0,IF(COUNTIF($J$2:J2517,J2517)=1,1,0))</f>
        <v>0</v>
      </c>
      <c r="B2517" s="12" t="e">
        <f>MID(MAIN!A2522,K2517,2)</f>
        <v>#VALUE!</v>
      </c>
      <c r="C2517" s="12" t="e">
        <f t="shared" si="156"/>
        <v>#VALUE!</v>
      </c>
      <c r="D2517" s="12" t="e">
        <f>MID(MAIN!A2522,K2517+2,2)</f>
        <v>#VALUE!</v>
      </c>
      <c r="E2517" s="12" t="e">
        <f>MID(MAIN!A2522,K2517+4,2)</f>
        <v>#VALUE!</v>
      </c>
      <c r="F2517" s="2" t="e">
        <f t="shared" si="157"/>
        <v>#VALUE!</v>
      </c>
      <c r="G2517" s="13" t="e">
        <f t="shared" si="158"/>
        <v>#VALUE!</v>
      </c>
      <c r="J2517" t="str">
        <f>MAIN!A2522&amp;"B"</f>
        <v>B</v>
      </c>
      <c r="K2517" s="12" t="e">
        <f t="shared" si="159"/>
        <v>#VALUE!</v>
      </c>
      <c r="L2517" t="str">
        <f>MAIN!C2522</f>
        <v/>
      </c>
    </row>
    <row r="2518" spans="1:12" x14ac:dyDescent="0.3">
      <c r="A2518">
        <f>IF(J2518="0",0,IF(COUNTIF($J$2:J2518,J2518)=1,1,0))</f>
        <v>0</v>
      </c>
      <c r="B2518" s="12" t="e">
        <f>MID(MAIN!A2523,K2518,2)</f>
        <v>#VALUE!</v>
      </c>
      <c r="C2518" s="12" t="e">
        <f t="shared" si="156"/>
        <v>#VALUE!</v>
      </c>
      <c r="D2518" s="12" t="e">
        <f>MID(MAIN!A2523,K2518+2,2)</f>
        <v>#VALUE!</v>
      </c>
      <c r="E2518" s="12" t="e">
        <f>MID(MAIN!A2523,K2518+4,2)</f>
        <v>#VALUE!</v>
      </c>
      <c r="F2518" s="2" t="e">
        <f t="shared" si="157"/>
        <v>#VALUE!</v>
      </c>
      <c r="G2518" s="13" t="e">
        <f t="shared" si="158"/>
        <v>#VALUE!</v>
      </c>
      <c r="J2518" t="str">
        <f>MAIN!A2523&amp;"B"</f>
        <v>B</v>
      </c>
      <c r="K2518" s="12" t="e">
        <f t="shared" si="159"/>
        <v>#VALUE!</v>
      </c>
      <c r="L2518" t="str">
        <f>MAIN!C2523</f>
        <v/>
      </c>
    </row>
    <row r="2519" spans="1:12" x14ac:dyDescent="0.3">
      <c r="A2519">
        <f>IF(J2519="0",0,IF(COUNTIF($J$2:J2519,J2519)=1,1,0))</f>
        <v>0</v>
      </c>
      <c r="B2519" s="12" t="e">
        <f>MID(MAIN!A2524,K2519,2)</f>
        <v>#VALUE!</v>
      </c>
      <c r="C2519" s="12" t="e">
        <f t="shared" si="156"/>
        <v>#VALUE!</v>
      </c>
      <c r="D2519" s="12" t="e">
        <f>MID(MAIN!A2524,K2519+2,2)</f>
        <v>#VALUE!</v>
      </c>
      <c r="E2519" s="12" t="e">
        <f>MID(MAIN!A2524,K2519+4,2)</f>
        <v>#VALUE!</v>
      </c>
      <c r="F2519" s="2" t="e">
        <f t="shared" si="157"/>
        <v>#VALUE!</v>
      </c>
      <c r="G2519" s="13" t="e">
        <f t="shared" si="158"/>
        <v>#VALUE!</v>
      </c>
      <c r="J2519" t="str">
        <f>MAIN!A2524&amp;"B"</f>
        <v>B</v>
      </c>
      <c r="K2519" s="12" t="e">
        <f t="shared" si="159"/>
        <v>#VALUE!</v>
      </c>
      <c r="L2519" t="str">
        <f>MAIN!C2524</f>
        <v/>
      </c>
    </row>
    <row r="2520" spans="1:12" x14ac:dyDescent="0.3">
      <c r="A2520">
        <f>IF(J2520="0",0,IF(COUNTIF($J$2:J2520,J2520)=1,1,0))</f>
        <v>0</v>
      </c>
      <c r="B2520" s="12" t="e">
        <f>MID(MAIN!A2525,K2520,2)</f>
        <v>#VALUE!</v>
      </c>
      <c r="C2520" s="12" t="e">
        <f t="shared" si="156"/>
        <v>#VALUE!</v>
      </c>
      <c r="D2520" s="12" t="e">
        <f>MID(MAIN!A2525,K2520+2,2)</f>
        <v>#VALUE!</v>
      </c>
      <c r="E2520" s="12" t="e">
        <f>MID(MAIN!A2525,K2520+4,2)</f>
        <v>#VALUE!</v>
      </c>
      <c r="F2520" s="2" t="e">
        <f t="shared" si="157"/>
        <v>#VALUE!</v>
      </c>
      <c r="G2520" s="13" t="e">
        <f t="shared" si="158"/>
        <v>#VALUE!</v>
      </c>
      <c r="J2520" t="str">
        <f>MAIN!A2525&amp;"B"</f>
        <v>B</v>
      </c>
      <c r="K2520" s="12" t="e">
        <f t="shared" si="159"/>
        <v>#VALUE!</v>
      </c>
      <c r="L2520" t="str">
        <f>MAIN!C2525</f>
        <v/>
      </c>
    </row>
    <row r="2521" spans="1:12" x14ac:dyDescent="0.3">
      <c r="A2521">
        <f>IF(J2521="0",0,IF(COUNTIF($J$2:J2521,J2521)=1,1,0))</f>
        <v>0</v>
      </c>
      <c r="B2521" s="12" t="e">
        <f>MID(MAIN!A2526,K2521,2)</f>
        <v>#VALUE!</v>
      </c>
      <c r="C2521" s="12" t="e">
        <f t="shared" si="156"/>
        <v>#VALUE!</v>
      </c>
      <c r="D2521" s="12" t="e">
        <f>MID(MAIN!A2526,K2521+2,2)</f>
        <v>#VALUE!</v>
      </c>
      <c r="E2521" s="12" t="e">
        <f>MID(MAIN!A2526,K2521+4,2)</f>
        <v>#VALUE!</v>
      </c>
      <c r="F2521" s="2" t="e">
        <f t="shared" si="157"/>
        <v>#VALUE!</v>
      </c>
      <c r="G2521" s="13" t="e">
        <f t="shared" si="158"/>
        <v>#VALUE!</v>
      </c>
      <c r="J2521" t="str">
        <f>MAIN!A2526&amp;"B"</f>
        <v>B</v>
      </c>
      <c r="K2521" s="12" t="e">
        <f t="shared" si="159"/>
        <v>#VALUE!</v>
      </c>
      <c r="L2521" t="str">
        <f>MAIN!C2526</f>
        <v/>
      </c>
    </row>
    <row r="2522" spans="1:12" x14ac:dyDescent="0.3">
      <c r="A2522">
        <f>IF(J2522="0",0,IF(COUNTIF($J$2:J2522,J2522)=1,1,0))</f>
        <v>0</v>
      </c>
      <c r="B2522" s="12" t="e">
        <f>MID(MAIN!A2527,K2522,2)</f>
        <v>#VALUE!</v>
      </c>
      <c r="C2522" s="12" t="e">
        <f t="shared" si="156"/>
        <v>#VALUE!</v>
      </c>
      <c r="D2522" s="12" t="e">
        <f>MID(MAIN!A2527,K2522+2,2)</f>
        <v>#VALUE!</v>
      </c>
      <c r="E2522" s="12" t="e">
        <f>MID(MAIN!A2527,K2522+4,2)</f>
        <v>#VALUE!</v>
      </c>
      <c r="F2522" s="2" t="e">
        <f t="shared" si="157"/>
        <v>#VALUE!</v>
      </c>
      <c r="G2522" s="13" t="e">
        <f t="shared" si="158"/>
        <v>#VALUE!</v>
      </c>
      <c r="J2522" t="str">
        <f>MAIN!A2527&amp;"B"</f>
        <v>B</v>
      </c>
      <c r="K2522" s="12" t="e">
        <f t="shared" si="159"/>
        <v>#VALUE!</v>
      </c>
      <c r="L2522" t="str">
        <f>MAIN!C2527</f>
        <v/>
      </c>
    </row>
    <row r="2523" spans="1:12" x14ac:dyDescent="0.3">
      <c r="A2523">
        <f>IF(J2523="0",0,IF(COUNTIF($J$2:J2523,J2523)=1,1,0))</f>
        <v>0</v>
      </c>
      <c r="B2523" s="12" t="e">
        <f>MID(MAIN!A2528,K2523,2)</f>
        <v>#VALUE!</v>
      </c>
      <c r="C2523" s="12" t="e">
        <f t="shared" si="156"/>
        <v>#VALUE!</v>
      </c>
      <c r="D2523" s="12" t="e">
        <f>MID(MAIN!A2528,K2523+2,2)</f>
        <v>#VALUE!</v>
      </c>
      <c r="E2523" s="12" t="e">
        <f>MID(MAIN!A2528,K2523+4,2)</f>
        <v>#VALUE!</v>
      </c>
      <c r="F2523" s="2" t="e">
        <f t="shared" si="157"/>
        <v>#VALUE!</v>
      </c>
      <c r="G2523" s="13" t="e">
        <f t="shared" si="158"/>
        <v>#VALUE!</v>
      </c>
      <c r="J2523" t="str">
        <f>MAIN!A2528&amp;"B"</f>
        <v>B</v>
      </c>
      <c r="K2523" s="12" t="e">
        <f t="shared" si="159"/>
        <v>#VALUE!</v>
      </c>
      <c r="L2523" t="str">
        <f>MAIN!C2528</f>
        <v/>
      </c>
    </row>
    <row r="2524" spans="1:12" x14ac:dyDescent="0.3">
      <c r="A2524">
        <f>IF(J2524="0",0,IF(COUNTIF($J$2:J2524,J2524)=1,1,0))</f>
        <v>0</v>
      </c>
      <c r="B2524" s="12" t="e">
        <f>MID(MAIN!A2529,K2524,2)</f>
        <v>#VALUE!</v>
      </c>
      <c r="C2524" s="12" t="e">
        <f t="shared" si="156"/>
        <v>#VALUE!</v>
      </c>
      <c r="D2524" s="12" t="e">
        <f>MID(MAIN!A2529,K2524+2,2)</f>
        <v>#VALUE!</v>
      </c>
      <c r="E2524" s="12" t="e">
        <f>MID(MAIN!A2529,K2524+4,2)</f>
        <v>#VALUE!</v>
      </c>
      <c r="F2524" s="2" t="e">
        <f t="shared" si="157"/>
        <v>#VALUE!</v>
      </c>
      <c r="G2524" s="13" t="e">
        <f t="shared" si="158"/>
        <v>#VALUE!</v>
      </c>
      <c r="J2524" t="str">
        <f>MAIN!A2529&amp;"B"</f>
        <v>B</v>
      </c>
      <c r="K2524" s="12" t="e">
        <f t="shared" si="159"/>
        <v>#VALUE!</v>
      </c>
      <c r="L2524" t="str">
        <f>MAIN!C2529</f>
        <v/>
      </c>
    </row>
    <row r="2525" spans="1:12" x14ac:dyDescent="0.3">
      <c r="A2525">
        <f>IF(J2525="0",0,IF(COUNTIF($J$2:J2525,J2525)=1,1,0))</f>
        <v>0</v>
      </c>
      <c r="B2525" s="12" t="e">
        <f>MID(MAIN!A2530,K2525,2)</f>
        <v>#VALUE!</v>
      </c>
      <c r="C2525" s="12" t="e">
        <f t="shared" si="156"/>
        <v>#VALUE!</v>
      </c>
      <c r="D2525" s="12" t="e">
        <f>MID(MAIN!A2530,K2525+2,2)</f>
        <v>#VALUE!</v>
      </c>
      <c r="E2525" s="12" t="e">
        <f>MID(MAIN!A2530,K2525+4,2)</f>
        <v>#VALUE!</v>
      </c>
      <c r="F2525" s="2" t="e">
        <f t="shared" si="157"/>
        <v>#VALUE!</v>
      </c>
      <c r="G2525" s="13" t="e">
        <f t="shared" si="158"/>
        <v>#VALUE!</v>
      </c>
      <c r="J2525" t="str">
        <f>MAIN!A2530&amp;"B"</f>
        <v>B</v>
      </c>
      <c r="K2525" s="12" t="e">
        <f t="shared" si="159"/>
        <v>#VALUE!</v>
      </c>
      <c r="L2525" t="str">
        <f>MAIN!C2530</f>
        <v/>
      </c>
    </row>
    <row r="2526" spans="1:12" x14ac:dyDescent="0.3">
      <c r="A2526">
        <f>IF(J2526="0",0,IF(COUNTIF($J$2:J2526,J2526)=1,1,0))</f>
        <v>0</v>
      </c>
      <c r="B2526" s="12" t="e">
        <f>MID(MAIN!A2531,K2526,2)</f>
        <v>#VALUE!</v>
      </c>
      <c r="C2526" s="12" t="e">
        <f t="shared" si="156"/>
        <v>#VALUE!</v>
      </c>
      <c r="D2526" s="12" t="e">
        <f>MID(MAIN!A2531,K2526+2,2)</f>
        <v>#VALUE!</v>
      </c>
      <c r="E2526" s="12" t="e">
        <f>MID(MAIN!A2531,K2526+4,2)</f>
        <v>#VALUE!</v>
      </c>
      <c r="F2526" s="2" t="e">
        <f t="shared" si="157"/>
        <v>#VALUE!</v>
      </c>
      <c r="G2526" s="13" t="e">
        <f t="shared" si="158"/>
        <v>#VALUE!</v>
      </c>
      <c r="J2526" t="str">
        <f>MAIN!A2531&amp;"B"</f>
        <v>B</v>
      </c>
      <c r="K2526" s="12" t="e">
        <f t="shared" si="159"/>
        <v>#VALUE!</v>
      </c>
      <c r="L2526" t="str">
        <f>MAIN!C2531</f>
        <v/>
      </c>
    </row>
    <row r="2527" spans="1:12" x14ac:dyDescent="0.3">
      <c r="A2527">
        <f>IF(J2527="0",0,IF(COUNTIF($J$2:J2527,J2527)=1,1,0))</f>
        <v>0</v>
      </c>
      <c r="B2527" s="12" t="e">
        <f>MID(MAIN!A2532,K2527,2)</f>
        <v>#VALUE!</v>
      </c>
      <c r="C2527" s="12" t="e">
        <f t="shared" si="156"/>
        <v>#VALUE!</v>
      </c>
      <c r="D2527" s="12" t="e">
        <f>MID(MAIN!A2532,K2527+2,2)</f>
        <v>#VALUE!</v>
      </c>
      <c r="E2527" s="12" t="e">
        <f>MID(MAIN!A2532,K2527+4,2)</f>
        <v>#VALUE!</v>
      </c>
      <c r="F2527" s="2" t="e">
        <f t="shared" si="157"/>
        <v>#VALUE!</v>
      </c>
      <c r="G2527" s="13" t="e">
        <f t="shared" si="158"/>
        <v>#VALUE!</v>
      </c>
      <c r="J2527" t="str">
        <f>MAIN!A2532&amp;"B"</f>
        <v>B</v>
      </c>
      <c r="K2527" s="12" t="e">
        <f t="shared" si="159"/>
        <v>#VALUE!</v>
      </c>
      <c r="L2527" t="str">
        <f>MAIN!C2532</f>
        <v/>
      </c>
    </row>
    <row r="2528" spans="1:12" x14ac:dyDescent="0.3">
      <c r="A2528">
        <f>IF(J2528="0",0,IF(COUNTIF($J$2:J2528,J2528)=1,1,0))</f>
        <v>0</v>
      </c>
      <c r="B2528" s="12" t="e">
        <f>MID(MAIN!A2533,K2528,2)</f>
        <v>#VALUE!</v>
      </c>
      <c r="C2528" s="12" t="e">
        <f t="shared" si="156"/>
        <v>#VALUE!</v>
      </c>
      <c r="D2528" s="12" t="e">
        <f>MID(MAIN!A2533,K2528+2,2)</f>
        <v>#VALUE!</v>
      </c>
      <c r="E2528" s="12" t="e">
        <f>MID(MAIN!A2533,K2528+4,2)</f>
        <v>#VALUE!</v>
      </c>
      <c r="F2528" s="2" t="e">
        <f t="shared" si="157"/>
        <v>#VALUE!</v>
      </c>
      <c r="G2528" s="13" t="e">
        <f t="shared" si="158"/>
        <v>#VALUE!</v>
      </c>
      <c r="J2528" t="str">
        <f>MAIN!A2533&amp;"B"</f>
        <v>B</v>
      </c>
      <c r="K2528" s="12" t="e">
        <f t="shared" si="159"/>
        <v>#VALUE!</v>
      </c>
      <c r="L2528" t="str">
        <f>MAIN!C2533</f>
        <v/>
      </c>
    </row>
    <row r="2529" spans="1:12" x14ac:dyDescent="0.3">
      <c r="A2529">
        <f>IF(J2529="0",0,IF(COUNTIF($J$2:J2529,J2529)=1,1,0))</f>
        <v>0</v>
      </c>
      <c r="B2529" s="12" t="e">
        <f>MID(MAIN!A2534,K2529,2)</f>
        <v>#VALUE!</v>
      </c>
      <c r="C2529" s="12" t="e">
        <f t="shared" si="156"/>
        <v>#VALUE!</v>
      </c>
      <c r="D2529" s="12" t="e">
        <f>MID(MAIN!A2534,K2529+2,2)</f>
        <v>#VALUE!</v>
      </c>
      <c r="E2529" s="12" t="e">
        <f>MID(MAIN!A2534,K2529+4,2)</f>
        <v>#VALUE!</v>
      </c>
      <c r="F2529" s="2" t="e">
        <f t="shared" si="157"/>
        <v>#VALUE!</v>
      </c>
      <c r="G2529" s="13" t="e">
        <f t="shared" si="158"/>
        <v>#VALUE!</v>
      </c>
      <c r="J2529" t="str">
        <f>MAIN!A2534&amp;"B"</f>
        <v>B</v>
      </c>
      <c r="K2529" s="12" t="e">
        <f t="shared" si="159"/>
        <v>#VALUE!</v>
      </c>
      <c r="L2529" t="str">
        <f>MAIN!C2534</f>
        <v/>
      </c>
    </row>
    <row r="2530" spans="1:12" x14ac:dyDescent="0.3">
      <c r="A2530">
        <f>IF(J2530="0",0,IF(COUNTIF($J$2:J2530,J2530)=1,1,0))</f>
        <v>0</v>
      </c>
      <c r="B2530" s="12" t="e">
        <f>MID(MAIN!A2535,K2530,2)</f>
        <v>#VALUE!</v>
      </c>
      <c r="C2530" s="12" t="e">
        <f t="shared" si="156"/>
        <v>#VALUE!</v>
      </c>
      <c r="D2530" s="12" t="e">
        <f>MID(MAIN!A2535,K2530+2,2)</f>
        <v>#VALUE!</v>
      </c>
      <c r="E2530" s="12" t="e">
        <f>MID(MAIN!A2535,K2530+4,2)</f>
        <v>#VALUE!</v>
      </c>
      <c r="F2530" s="2" t="e">
        <f t="shared" si="157"/>
        <v>#VALUE!</v>
      </c>
      <c r="G2530" s="13" t="e">
        <f t="shared" si="158"/>
        <v>#VALUE!</v>
      </c>
      <c r="J2530" t="str">
        <f>MAIN!A2535&amp;"B"</f>
        <v>B</v>
      </c>
      <c r="K2530" s="12" t="e">
        <f t="shared" si="159"/>
        <v>#VALUE!</v>
      </c>
      <c r="L2530" t="str">
        <f>MAIN!C2535</f>
        <v/>
      </c>
    </row>
    <row r="2531" spans="1:12" x14ac:dyDescent="0.3">
      <c r="A2531">
        <f>IF(J2531="0",0,IF(COUNTIF($J$2:J2531,J2531)=1,1,0))</f>
        <v>0</v>
      </c>
      <c r="B2531" s="12" t="e">
        <f>MID(MAIN!A2536,K2531,2)</f>
        <v>#VALUE!</v>
      </c>
      <c r="C2531" s="12" t="e">
        <f t="shared" si="156"/>
        <v>#VALUE!</v>
      </c>
      <c r="D2531" s="12" t="e">
        <f>MID(MAIN!A2536,K2531+2,2)</f>
        <v>#VALUE!</v>
      </c>
      <c r="E2531" s="12" t="e">
        <f>MID(MAIN!A2536,K2531+4,2)</f>
        <v>#VALUE!</v>
      </c>
      <c r="F2531" s="2" t="e">
        <f t="shared" si="157"/>
        <v>#VALUE!</v>
      </c>
      <c r="G2531" s="13" t="e">
        <f t="shared" si="158"/>
        <v>#VALUE!</v>
      </c>
      <c r="J2531" t="str">
        <f>MAIN!A2536&amp;"B"</f>
        <v>B</v>
      </c>
      <c r="K2531" s="12" t="e">
        <f t="shared" si="159"/>
        <v>#VALUE!</v>
      </c>
      <c r="L2531" t="str">
        <f>MAIN!C2536</f>
        <v/>
      </c>
    </row>
    <row r="2532" spans="1:12" x14ac:dyDescent="0.3">
      <c r="A2532">
        <f>IF(J2532="0",0,IF(COUNTIF($J$2:J2532,J2532)=1,1,0))</f>
        <v>0</v>
      </c>
      <c r="B2532" s="12" t="e">
        <f>MID(MAIN!A2537,K2532,2)</f>
        <v>#VALUE!</v>
      </c>
      <c r="C2532" s="12" t="e">
        <f t="shared" si="156"/>
        <v>#VALUE!</v>
      </c>
      <c r="D2532" s="12" t="e">
        <f>MID(MAIN!A2537,K2532+2,2)</f>
        <v>#VALUE!</v>
      </c>
      <c r="E2532" s="12" t="e">
        <f>MID(MAIN!A2537,K2532+4,2)</f>
        <v>#VALUE!</v>
      </c>
      <c r="F2532" s="2" t="e">
        <f t="shared" si="157"/>
        <v>#VALUE!</v>
      </c>
      <c r="G2532" s="13" t="e">
        <f t="shared" si="158"/>
        <v>#VALUE!</v>
      </c>
      <c r="J2532" t="str">
        <f>MAIN!A2537&amp;"B"</f>
        <v>B</v>
      </c>
      <c r="K2532" s="12" t="e">
        <f t="shared" si="159"/>
        <v>#VALUE!</v>
      </c>
      <c r="L2532" t="str">
        <f>MAIN!C2537</f>
        <v/>
      </c>
    </row>
    <row r="2533" spans="1:12" x14ac:dyDescent="0.3">
      <c r="A2533">
        <f>IF(J2533="0",0,IF(COUNTIF($J$2:J2533,J2533)=1,1,0))</f>
        <v>0</v>
      </c>
      <c r="B2533" s="12" t="e">
        <f>MID(MAIN!A2538,K2533,2)</f>
        <v>#VALUE!</v>
      </c>
      <c r="C2533" s="12" t="e">
        <f t="shared" si="156"/>
        <v>#VALUE!</v>
      </c>
      <c r="D2533" s="12" t="e">
        <f>MID(MAIN!A2538,K2533+2,2)</f>
        <v>#VALUE!</v>
      </c>
      <c r="E2533" s="12" t="e">
        <f>MID(MAIN!A2538,K2533+4,2)</f>
        <v>#VALUE!</v>
      </c>
      <c r="F2533" s="2" t="e">
        <f t="shared" si="157"/>
        <v>#VALUE!</v>
      </c>
      <c r="G2533" s="13" t="e">
        <f t="shared" si="158"/>
        <v>#VALUE!</v>
      </c>
      <c r="J2533" t="str">
        <f>MAIN!A2538&amp;"B"</f>
        <v>B</v>
      </c>
      <c r="K2533" s="12" t="e">
        <f t="shared" si="159"/>
        <v>#VALUE!</v>
      </c>
      <c r="L2533" t="str">
        <f>MAIN!C2538</f>
        <v/>
      </c>
    </row>
    <row r="2534" spans="1:12" x14ac:dyDescent="0.3">
      <c r="A2534">
        <f>IF(J2534="0",0,IF(COUNTIF($J$2:J2534,J2534)=1,1,0))</f>
        <v>0</v>
      </c>
      <c r="B2534" s="12" t="e">
        <f>MID(MAIN!A2539,K2534,2)</f>
        <v>#VALUE!</v>
      </c>
      <c r="C2534" s="12" t="e">
        <f t="shared" si="156"/>
        <v>#VALUE!</v>
      </c>
      <c r="D2534" s="12" t="e">
        <f>MID(MAIN!A2539,K2534+2,2)</f>
        <v>#VALUE!</v>
      </c>
      <c r="E2534" s="12" t="e">
        <f>MID(MAIN!A2539,K2534+4,2)</f>
        <v>#VALUE!</v>
      </c>
      <c r="F2534" s="2" t="e">
        <f t="shared" si="157"/>
        <v>#VALUE!</v>
      </c>
      <c r="G2534" s="13" t="e">
        <f t="shared" si="158"/>
        <v>#VALUE!</v>
      </c>
      <c r="J2534" t="str">
        <f>MAIN!A2539&amp;"B"</f>
        <v>B</v>
      </c>
      <c r="K2534" s="12" t="e">
        <f t="shared" si="159"/>
        <v>#VALUE!</v>
      </c>
      <c r="L2534" t="str">
        <f>MAIN!C2539</f>
        <v/>
      </c>
    </row>
    <row r="2535" spans="1:12" x14ac:dyDescent="0.3">
      <c r="A2535">
        <f>IF(J2535="0",0,IF(COUNTIF($J$2:J2535,J2535)=1,1,0))</f>
        <v>0</v>
      </c>
      <c r="B2535" s="12" t="e">
        <f>MID(MAIN!A2540,K2535,2)</f>
        <v>#VALUE!</v>
      </c>
      <c r="C2535" s="12" t="e">
        <f t="shared" si="156"/>
        <v>#VALUE!</v>
      </c>
      <c r="D2535" s="12" t="e">
        <f>MID(MAIN!A2540,K2535+2,2)</f>
        <v>#VALUE!</v>
      </c>
      <c r="E2535" s="12" t="e">
        <f>MID(MAIN!A2540,K2535+4,2)</f>
        <v>#VALUE!</v>
      </c>
      <c r="F2535" s="2" t="e">
        <f t="shared" si="157"/>
        <v>#VALUE!</v>
      </c>
      <c r="G2535" s="13" t="e">
        <f t="shared" si="158"/>
        <v>#VALUE!</v>
      </c>
      <c r="J2535" t="str">
        <f>MAIN!A2540&amp;"B"</f>
        <v>B</v>
      </c>
      <c r="K2535" s="12" t="e">
        <f t="shared" si="159"/>
        <v>#VALUE!</v>
      </c>
      <c r="L2535" t="str">
        <f>MAIN!C2540</f>
        <v/>
      </c>
    </row>
    <row r="2536" spans="1:12" x14ac:dyDescent="0.3">
      <c r="A2536">
        <f>IF(J2536="0",0,IF(COUNTIF($J$2:J2536,J2536)=1,1,0))</f>
        <v>0</v>
      </c>
      <c r="B2536" s="12" t="e">
        <f>MID(MAIN!A2541,K2536,2)</f>
        <v>#VALUE!</v>
      </c>
      <c r="C2536" s="12" t="e">
        <f t="shared" si="156"/>
        <v>#VALUE!</v>
      </c>
      <c r="D2536" s="12" t="e">
        <f>MID(MAIN!A2541,K2536+2,2)</f>
        <v>#VALUE!</v>
      </c>
      <c r="E2536" s="12" t="e">
        <f>MID(MAIN!A2541,K2536+4,2)</f>
        <v>#VALUE!</v>
      </c>
      <c r="F2536" s="2" t="e">
        <f t="shared" si="157"/>
        <v>#VALUE!</v>
      </c>
      <c r="G2536" s="13" t="e">
        <f t="shared" si="158"/>
        <v>#VALUE!</v>
      </c>
      <c r="J2536" t="str">
        <f>MAIN!A2541&amp;"B"</f>
        <v>B</v>
      </c>
      <c r="K2536" s="12" t="e">
        <f t="shared" si="159"/>
        <v>#VALUE!</v>
      </c>
      <c r="L2536" t="str">
        <f>MAIN!C2541</f>
        <v/>
      </c>
    </row>
    <row r="2537" spans="1:12" x14ac:dyDescent="0.3">
      <c r="A2537">
        <f>IF(J2537="0",0,IF(COUNTIF($J$2:J2537,J2537)=1,1,0))</f>
        <v>0</v>
      </c>
      <c r="B2537" s="12" t="e">
        <f>MID(MAIN!A2542,K2537,2)</f>
        <v>#VALUE!</v>
      </c>
      <c r="C2537" s="12" t="e">
        <f t="shared" si="156"/>
        <v>#VALUE!</v>
      </c>
      <c r="D2537" s="12" t="e">
        <f>MID(MAIN!A2542,K2537+2,2)</f>
        <v>#VALUE!</v>
      </c>
      <c r="E2537" s="12" t="e">
        <f>MID(MAIN!A2542,K2537+4,2)</f>
        <v>#VALUE!</v>
      </c>
      <c r="F2537" s="2" t="e">
        <f t="shared" si="157"/>
        <v>#VALUE!</v>
      </c>
      <c r="G2537" s="13" t="e">
        <f t="shared" si="158"/>
        <v>#VALUE!</v>
      </c>
      <c r="J2537" t="str">
        <f>MAIN!A2542&amp;"B"</f>
        <v>B</v>
      </c>
      <c r="K2537" s="12" t="e">
        <f t="shared" si="159"/>
        <v>#VALUE!</v>
      </c>
      <c r="L2537" t="str">
        <f>MAIN!C2542</f>
        <v/>
      </c>
    </row>
    <row r="2538" spans="1:12" x14ac:dyDescent="0.3">
      <c r="A2538">
        <f>IF(J2538="0",0,IF(COUNTIF($J$2:J2538,J2538)=1,1,0))</f>
        <v>0</v>
      </c>
      <c r="B2538" s="12" t="e">
        <f>MID(MAIN!A2543,K2538,2)</f>
        <v>#VALUE!</v>
      </c>
      <c r="C2538" s="12" t="e">
        <f t="shared" si="156"/>
        <v>#VALUE!</v>
      </c>
      <c r="D2538" s="12" t="e">
        <f>MID(MAIN!A2543,K2538+2,2)</f>
        <v>#VALUE!</v>
      </c>
      <c r="E2538" s="12" t="e">
        <f>MID(MAIN!A2543,K2538+4,2)</f>
        <v>#VALUE!</v>
      </c>
      <c r="F2538" s="2" t="e">
        <f t="shared" si="157"/>
        <v>#VALUE!</v>
      </c>
      <c r="G2538" s="13" t="e">
        <f t="shared" si="158"/>
        <v>#VALUE!</v>
      </c>
      <c r="J2538" t="str">
        <f>MAIN!A2543&amp;"B"</f>
        <v>B</v>
      </c>
      <c r="K2538" s="12" t="e">
        <f t="shared" si="159"/>
        <v>#VALUE!</v>
      </c>
      <c r="L2538" t="str">
        <f>MAIN!C2543</f>
        <v/>
      </c>
    </row>
    <row r="2539" spans="1:12" x14ac:dyDescent="0.3">
      <c r="A2539">
        <f>IF(J2539="0",0,IF(COUNTIF($J$2:J2539,J2539)=1,1,0))</f>
        <v>0</v>
      </c>
      <c r="B2539" s="12" t="e">
        <f>MID(MAIN!A2544,K2539,2)</f>
        <v>#VALUE!</v>
      </c>
      <c r="C2539" s="12" t="e">
        <f t="shared" si="156"/>
        <v>#VALUE!</v>
      </c>
      <c r="D2539" s="12" t="e">
        <f>MID(MAIN!A2544,K2539+2,2)</f>
        <v>#VALUE!</v>
      </c>
      <c r="E2539" s="12" t="e">
        <f>MID(MAIN!A2544,K2539+4,2)</f>
        <v>#VALUE!</v>
      </c>
      <c r="F2539" s="2" t="e">
        <f t="shared" si="157"/>
        <v>#VALUE!</v>
      </c>
      <c r="G2539" s="13" t="e">
        <f t="shared" si="158"/>
        <v>#VALUE!</v>
      </c>
      <c r="J2539" t="str">
        <f>MAIN!A2544&amp;"B"</f>
        <v>B</v>
      </c>
      <c r="K2539" s="12" t="e">
        <f t="shared" si="159"/>
        <v>#VALUE!</v>
      </c>
      <c r="L2539" t="str">
        <f>MAIN!C2544</f>
        <v/>
      </c>
    </row>
    <row r="2540" spans="1:12" x14ac:dyDescent="0.3">
      <c r="A2540">
        <f>IF(J2540="0",0,IF(COUNTIF($J$2:J2540,J2540)=1,1,0))</f>
        <v>0</v>
      </c>
      <c r="B2540" s="12" t="e">
        <f>MID(MAIN!A2545,K2540,2)</f>
        <v>#VALUE!</v>
      </c>
      <c r="C2540" s="12" t="e">
        <f t="shared" si="156"/>
        <v>#VALUE!</v>
      </c>
      <c r="D2540" s="12" t="e">
        <f>MID(MAIN!A2545,K2540+2,2)</f>
        <v>#VALUE!</v>
      </c>
      <c r="E2540" s="12" t="e">
        <f>MID(MAIN!A2545,K2540+4,2)</f>
        <v>#VALUE!</v>
      </c>
      <c r="F2540" s="2" t="e">
        <f t="shared" si="157"/>
        <v>#VALUE!</v>
      </c>
      <c r="G2540" s="13" t="e">
        <f t="shared" si="158"/>
        <v>#VALUE!</v>
      </c>
      <c r="J2540" t="str">
        <f>MAIN!A2545&amp;"B"</f>
        <v>B</v>
      </c>
      <c r="K2540" s="12" t="e">
        <f t="shared" si="159"/>
        <v>#VALUE!</v>
      </c>
      <c r="L2540" t="str">
        <f>MAIN!C2545</f>
        <v/>
      </c>
    </row>
    <row r="2541" spans="1:12" x14ac:dyDescent="0.3">
      <c r="A2541">
        <f>IF(J2541="0",0,IF(COUNTIF($J$2:J2541,J2541)=1,1,0))</f>
        <v>0</v>
      </c>
      <c r="B2541" s="12" t="e">
        <f>MID(MAIN!A2546,K2541,2)</f>
        <v>#VALUE!</v>
      </c>
      <c r="C2541" s="12" t="e">
        <f t="shared" si="156"/>
        <v>#VALUE!</v>
      </c>
      <c r="D2541" s="12" t="e">
        <f>MID(MAIN!A2546,K2541+2,2)</f>
        <v>#VALUE!</v>
      </c>
      <c r="E2541" s="12" t="e">
        <f>MID(MAIN!A2546,K2541+4,2)</f>
        <v>#VALUE!</v>
      </c>
      <c r="F2541" s="2" t="e">
        <f t="shared" si="157"/>
        <v>#VALUE!</v>
      </c>
      <c r="G2541" s="13" t="e">
        <f t="shared" si="158"/>
        <v>#VALUE!</v>
      </c>
      <c r="J2541" t="str">
        <f>MAIN!A2546&amp;"B"</f>
        <v>B</v>
      </c>
      <c r="K2541" s="12" t="e">
        <f t="shared" si="159"/>
        <v>#VALUE!</v>
      </c>
      <c r="L2541" t="str">
        <f>MAIN!C2546</f>
        <v/>
      </c>
    </row>
    <row r="2542" spans="1:12" x14ac:dyDescent="0.3">
      <c r="A2542">
        <f>IF(J2542="0",0,IF(COUNTIF($J$2:J2542,J2542)=1,1,0))</f>
        <v>0</v>
      </c>
      <c r="B2542" s="12" t="e">
        <f>MID(MAIN!A2547,K2542,2)</f>
        <v>#VALUE!</v>
      </c>
      <c r="C2542" s="12" t="e">
        <f t="shared" si="156"/>
        <v>#VALUE!</v>
      </c>
      <c r="D2542" s="12" t="e">
        <f>MID(MAIN!A2547,K2542+2,2)</f>
        <v>#VALUE!</v>
      </c>
      <c r="E2542" s="12" t="e">
        <f>MID(MAIN!A2547,K2542+4,2)</f>
        <v>#VALUE!</v>
      </c>
      <c r="F2542" s="2" t="e">
        <f t="shared" si="157"/>
        <v>#VALUE!</v>
      </c>
      <c r="G2542" s="13" t="e">
        <f t="shared" si="158"/>
        <v>#VALUE!</v>
      </c>
      <c r="J2542" t="str">
        <f>MAIN!A2547&amp;"B"</f>
        <v>B</v>
      </c>
      <c r="K2542" s="12" t="e">
        <f t="shared" si="159"/>
        <v>#VALUE!</v>
      </c>
      <c r="L2542" t="str">
        <f>MAIN!C2547</f>
        <v/>
      </c>
    </row>
    <row r="2543" spans="1:12" x14ac:dyDescent="0.3">
      <c r="A2543">
        <f>IF(J2543="0",0,IF(COUNTIF($J$2:J2543,J2543)=1,1,0))</f>
        <v>0</v>
      </c>
      <c r="B2543" s="12" t="e">
        <f>MID(MAIN!A2548,K2543,2)</f>
        <v>#VALUE!</v>
      </c>
      <c r="C2543" s="12" t="e">
        <f t="shared" si="156"/>
        <v>#VALUE!</v>
      </c>
      <c r="D2543" s="12" t="e">
        <f>MID(MAIN!A2548,K2543+2,2)</f>
        <v>#VALUE!</v>
      </c>
      <c r="E2543" s="12" t="e">
        <f>MID(MAIN!A2548,K2543+4,2)</f>
        <v>#VALUE!</v>
      </c>
      <c r="F2543" s="2" t="e">
        <f t="shared" si="157"/>
        <v>#VALUE!</v>
      </c>
      <c r="G2543" s="13" t="e">
        <f t="shared" si="158"/>
        <v>#VALUE!</v>
      </c>
      <c r="J2543" t="str">
        <f>MAIN!A2548&amp;"B"</f>
        <v>B</v>
      </c>
      <c r="K2543" s="12" t="e">
        <f t="shared" si="159"/>
        <v>#VALUE!</v>
      </c>
      <c r="L2543" t="str">
        <f>MAIN!C2548</f>
        <v/>
      </c>
    </row>
    <row r="2544" spans="1:12" x14ac:dyDescent="0.3">
      <c r="A2544">
        <f>IF(J2544="0",0,IF(COUNTIF($J$2:J2544,J2544)=1,1,0))</f>
        <v>0</v>
      </c>
      <c r="B2544" s="12" t="e">
        <f>MID(MAIN!A2549,K2544,2)</f>
        <v>#VALUE!</v>
      </c>
      <c r="C2544" s="12" t="e">
        <f t="shared" si="156"/>
        <v>#VALUE!</v>
      </c>
      <c r="D2544" s="12" t="e">
        <f>MID(MAIN!A2549,K2544+2,2)</f>
        <v>#VALUE!</v>
      </c>
      <c r="E2544" s="12" t="e">
        <f>MID(MAIN!A2549,K2544+4,2)</f>
        <v>#VALUE!</v>
      </c>
      <c r="F2544" s="2" t="e">
        <f t="shared" si="157"/>
        <v>#VALUE!</v>
      </c>
      <c r="G2544" s="13" t="e">
        <f t="shared" si="158"/>
        <v>#VALUE!</v>
      </c>
      <c r="J2544" t="str">
        <f>MAIN!A2549&amp;"B"</f>
        <v>B</v>
      </c>
      <c r="K2544" s="12" t="e">
        <f t="shared" si="159"/>
        <v>#VALUE!</v>
      </c>
      <c r="L2544" t="str">
        <f>MAIN!C2549</f>
        <v/>
      </c>
    </row>
    <row r="2545" spans="1:12" x14ac:dyDescent="0.3">
      <c r="A2545">
        <f>IF(J2545="0",0,IF(COUNTIF($J$2:J2545,J2545)=1,1,0))</f>
        <v>0</v>
      </c>
      <c r="B2545" s="12" t="e">
        <f>MID(MAIN!A2550,K2545,2)</f>
        <v>#VALUE!</v>
      </c>
      <c r="C2545" s="12" t="e">
        <f t="shared" si="156"/>
        <v>#VALUE!</v>
      </c>
      <c r="D2545" s="12" t="e">
        <f>MID(MAIN!A2550,K2545+2,2)</f>
        <v>#VALUE!</v>
      </c>
      <c r="E2545" s="12" t="e">
        <f>MID(MAIN!A2550,K2545+4,2)</f>
        <v>#VALUE!</v>
      </c>
      <c r="F2545" s="2" t="e">
        <f t="shared" si="157"/>
        <v>#VALUE!</v>
      </c>
      <c r="G2545" s="13" t="e">
        <f t="shared" si="158"/>
        <v>#VALUE!</v>
      </c>
      <c r="J2545" t="str">
        <f>MAIN!A2550&amp;"B"</f>
        <v>B</v>
      </c>
      <c r="K2545" s="12" t="e">
        <f t="shared" si="159"/>
        <v>#VALUE!</v>
      </c>
      <c r="L2545" t="str">
        <f>MAIN!C2550</f>
        <v/>
      </c>
    </row>
    <row r="2546" spans="1:12" x14ac:dyDescent="0.3">
      <c r="A2546">
        <f>IF(J2546="0",0,IF(COUNTIF($J$2:J2546,J2546)=1,1,0))</f>
        <v>0</v>
      </c>
      <c r="B2546" s="12" t="e">
        <f>MID(MAIN!A2551,K2546,2)</f>
        <v>#VALUE!</v>
      </c>
      <c r="C2546" s="12" t="e">
        <f t="shared" si="156"/>
        <v>#VALUE!</v>
      </c>
      <c r="D2546" s="12" t="e">
        <f>MID(MAIN!A2551,K2546+2,2)</f>
        <v>#VALUE!</v>
      </c>
      <c r="E2546" s="12" t="e">
        <f>MID(MAIN!A2551,K2546+4,2)</f>
        <v>#VALUE!</v>
      </c>
      <c r="F2546" s="2" t="e">
        <f t="shared" si="157"/>
        <v>#VALUE!</v>
      </c>
      <c r="G2546" s="13" t="e">
        <f t="shared" si="158"/>
        <v>#VALUE!</v>
      </c>
      <c r="J2546" t="str">
        <f>MAIN!A2551&amp;"B"</f>
        <v>B</v>
      </c>
      <c r="K2546" s="12" t="e">
        <f t="shared" si="159"/>
        <v>#VALUE!</v>
      </c>
      <c r="L2546" t="str">
        <f>MAIN!C2551</f>
        <v/>
      </c>
    </row>
    <row r="2547" spans="1:12" x14ac:dyDescent="0.3">
      <c r="A2547">
        <f>IF(J2547="0",0,IF(COUNTIF($J$2:J2547,J2547)=1,1,0))</f>
        <v>0</v>
      </c>
      <c r="B2547" s="12" t="e">
        <f>MID(MAIN!A2552,K2547,2)</f>
        <v>#VALUE!</v>
      </c>
      <c r="C2547" s="12" t="e">
        <f t="shared" si="156"/>
        <v>#VALUE!</v>
      </c>
      <c r="D2547" s="12" t="e">
        <f>MID(MAIN!A2552,K2547+2,2)</f>
        <v>#VALUE!</v>
      </c>
      <c r="E2547" s="12" t="e">
        <f>MID(MAIN!A2552,K2547+4,2)</f>
        <v>#VALUE!</v>
      </c>
      <c r="F2547" s="2" t="e">
        <f t="shared" si="157"/>
        <v>#VALUE!</v>
      </c>
      <c r="G2547" s="13" t="e">
        <f t="shared" si="158"/>
        <v>#VALUE!</v>
      </c>
      <c r="J2547" t="str">
        <f>MAIN!A2552&amp;"B"</f>
        <v>B</v>
      </c>
      <c r="K2547" s="12" t="e">
        <f t="shared" si="159"/>
        <v>#VALUE!</v>
      </c>
      <c r="L2547" t="str">
        <f>MAIN!C2552</f>
        <v/>
      </c>
    </row>
    <row r="2548" spans="1:12" x14ac:dyDescent="0.3">
      <c r="A2548">
        <f>IF(J2548="0",0,IF(COUNTIF($J$2:J2548,J2548)=1,1,0))</f>
        <v>0</v>
      </c>
      <c r="B2548" s="12" t="e">
        <f>MID(MAIN!A2553,K2548,2)</f>
        <v>#VALUE!</v>
      </c>
      <c r="C2548" s="12" t="e">
        <f t="shared" si="156"/>
        <v>#VALUE!</v>
      </c>
      <c r="D2548" s="12" t="e">
        <f>MID(MAIN!A2553,K2548+2,2)</f>
        <v>#VALUE!</v>
      </c>
      <c r="E2548" s="12" t="e">
        <f>MID(MAIN!A2553,K2548+4,2)</f>
        <v>#VALUE!</v>
      </c>
      <c r="F2548" s="2" t="e">
        <f t="shared" si="157"/>
        <v>#VALUE!</v>
      </c>
      <c r="G2548" s="13" t="e">
        <f t="shared" si="158"/>
        <v>#VALUE!</v>
      </c>
      <c r="J2548" t="str">
        <f>MAIN!A2553&amp;"B"</f>
        <v>B</v>
      </c>
      <c r="K2548" s="12" t="e">
        <f t="shared" si="159"/>
        <v>#VALUE!</v>
      </c>
      <c r="L2548" t="str">
        <f>MAIN!C2553</f>
        <v/>
      </c>
    </row>
    <row r="2549" spans="1:12" x14ac:dyDescent="0.3">
      <c r="A2549">
        <f>IF(J2549="0",0,IF(COUNTIF($J$2:J2549,J2549)=1,1,0))</f>
        <v>0</v>
      </c>
      <c r="B2549" s="12" t="e">
        <f>MID(MAIN!A2554,K2549,2)</f>
        <v>#VALUE!</v>
      </c>
      <c r="C2549" s="12" t="e">
        <f t="shared" si="156"/>
        <v>#VALUE!</v>
      </c>
      <c r="D2549" s="12" t="e">
        <f>MID(MAIN!A2554,K2549+2,2)</f>
        <v>#VALUE!</v>
      </c>
      <c r="E2549" s="12" t="e">
        <f>MID(MAIN!A2554,K2549+4,2)</f>
        <v>#VALUE!</v>
      </c>
      <c r="F2549" s="2" t="e">
        <f t="shared" si="157"/>
        <v>#VALUE!</v>
      </c>
      <c r="G2549" s="13" t="e">
        <f t="shared" si="158"/>
        <v>#VALUE!</v>
      </c>
      <c r="J2549" t="str">
        <f>MAIN!A2554&amp;"B"</f>
        <v>B</v>
      </c>
      <c r="K2549" s="12" t="e">
        <f t="shared" si="159"/>
        <v>#VALUE!</v>
      </c>
      <c r="L2549" t="str">
        <f>MAIN!C2554</f>
        <v/>
      </c>
    </row>
    <row r="2550" spans="1:12" x14ac:dyDescent="0.3">
      <c r="A2550">
        <f>IF(J2550="0",0,IF(COUNTIF($J$2:J2550,J2550)=1,1,0))</f>
        <v>0</v>
      </c>
      <c r="B2550" s="12" t="e">
        <f>MID(MAIN!A2555,K2550,2)</f>
        <v>#VALUE!</v>
      </c>
      <c r="C2550" s="12" t="e">
        <f t="shared" si="156"/>
        <v>#VALUE!</v>
      </c>
      <c r="D2550" s="12" t="e">
        <f>MID(MAIN!A2555,K2550+2,2)</f>
        <v>#VALUE!</v>
      </c>
      <c r="E2550" s="12" t="e">
        <f>MID(MAIN!A2555,K2550+4,2)</f>
        <v>#VALUE!</v>
      </c>
      <c r="F2550" s="2" t="e">
        <f t="shared" si="157"/>
        <v>#VALUE!</v>
      </c>
      <c r="G2550" s="13" t="e">
        <f t="shared" si="158"/>
        <v>#VALUE!</v>
      </c>
      <c r="J2550" t="str">
        <f>MAIN!A2555&amp;"B"</f>
        <v>B</v>
      </c>
      <c r="K2550" s="12" t="e">
        <f t="shared" si="159"/>
        <v>#VALUE!</v>
      </c>
      <c r="L2550" t="str">
        <f>MAIN!C2555</f>
        <v/>
      </c>
    </row>
    <row r="2551" spans="1:12" x14ac:dyDescent="0.3">
      <c r="A2551">
        <f>IF(J2551="0",0,IF(COUNTIF($J$2:J2551,J2551)=1,1,0))</f>
        <v>0</v>
      </c>
      <c r="B2551" s="12" t="e">
        <f>MID(MAIN!A2556,K2551,2)</f>
        <v>#VALUE!</v>
      </c>
      <c r="C2551" s="12" t="e">
        <f t="shared" si="156"/>
        <v>#VALUE!</v>
      </c>
      <c r="D2551" s="12" t="e">
        <f>MID(MAIN!A2556,K2551+2,2)</f>
        <v>#VALUE!</v>
      </c>
      <c r="E2551" s="12" t="e">
        <f>MID(MAIN!A2556,K2551+4,2)</f>
        <v>#VALUE!</v>
      </c>
      <c r="F2551" s="2" t="e">
        <f t="shared" si="157"/>
        <v>#VALUE!</v>
      </c>
      <c r="G2551" s="13" t="e">
        <f t="shared" si="158"/>
        <v>#VALUE!</v>
      </c>
      <c r="J2551" t="str">
        <f>MAIN!A2556&amp;"B"</f>
        <v>B</v>
      </c>
      <c r="K2551" s="12" t="e">
        <f t="shared" si="159"/>
        <v>#VALUE!</v>
      </c>
      <c r="L2551" t="str">
        <f>MAIN!C2556</f>
        <v/>
      </c>
    </row>
    <row r="2552" spans="1:12" x14ac:dyDescent="0.3">
      <c r="A2552">
        <f>IF(J2552="0",0,IF(COUNTIF($J$2:J2552,J2552)=1,1,0))</f>
        <v>0</v>
      </c>
      <c r="B2552" s="12" t="e">
        <f>MID(MAIN!A2557,K2552,2)</f>
        <v>#VALUE!</v>
      </c>
      <c r="C2552" s="12" t="e">
        <f t="shared" si="156"/>
        <v>#VALUE!</v>
      </c>
      <c r="D2552" s="12" t="e">
        <f>MID(MAIN!A2557,K2552+2,2)</f>
        <v>#VALUE!</v>
      </c>
      <c r="E2552" s="12" t="e">
        <f>MID(MAIN!A2557,K2552+4,2)</f>
        <v>#VALUE!</v>
      </c>
      <c r="F2552" s="2" t="e">
        <f t="shared" si="157"/>
        <v>#VALUE!</v>
      </c>
      <c r="G2552" s="13" t="e">
        <f t="shared" si="158"/>
        <v>#VALUE!</v>
      </c>
      <c r="J2552" t="str">
        <f>MAIN!A2557&amp;"B"</f>
        <v>B</v>
      </c>
      <c r="K2552" s="12" t="e">
        <f t="shared" si="159"/>
        <v>#VALUE!</v>
      </c>
      <c r="L2552" t="str">
        <f>MAIN!C2557</f>
        <v/>
      </c>
    </row>
    <row r="2553" spans="1:12" x14ac:dyDescent="0.3">
      <c r="A2553">
        <f>IF(J2553="0",0,IF(COUNTIF($J$2:J2553,J2553)=1,1,0))</f>
        <v>0</v>
      </c>
      <c r="B2553" s="12" t="e">
        <f>MID(MAIN!A2558,K2553,2)</f>
        <v>#VALUE!</v>
      </c>
      <c r="C2553" s="12" t="e">
        <f t="shared" si="156"/>
        <v>#VALUE!</v>
      </c>
      <c r="D2553" s="12" t="e">
        <f>MID(MAIN!A2558,K2553+2,2)</f>
        <v>#VALUE!</v>
      </c>
      <c r="E2553" s="12" t="e">
        <f>MID(MAIN!A2558,K2553+4,2)</f>
        <v>#VALUE!</v>
      </c>
      <c r="F2553" s="2" t="e">
        <f t="shared" si="157"/>
        <v>#VALUE!</v>
      </c>
      <c r="G2553" s="13" t="e">
        <f t="shared" si="158"/>
        <v>#VALUE!</v>
      </c>
      <c r="J2553" t="str">
        <f>MAIN!A2558&amp;"B"</f>
        <v>B</v>
      </c>
      <c r="K2553" s="12" t="e">
        <f t="shared" si="159"/>
        <v>#VALUE!</v>
      </c>
      <c r="L2553" t="str">
        <f>MAIN!C2558</f>
        <v/>
      </c>
    </row>
    <row r="2554" spans="1:12" x14ac:dyDescent="0.3">
      <c r="A2554">
        <f>IF(J2554="0",0,IF(COUNTIF($J$2:J2554,J2554)=1,1,0))</f>
        <v>0</v>
      </c>
      <c r="B2554" s="12" t="e">
        <f>MID(MAIN!A2559,K2554,2)</f>
        <v>#VALUE!</v>
      </c>
      <c r="C2554" s="12" t="e">
        <f t="shared" si="156"/>
        <v>#VALUE!</v>
      </c>
      <c r="D2554" s="12" t="e">
        <f>MID(MAIN!A2559,K2554+2,2)</f>
        <v>#VALUE!</v>
      </c>
      <c r="E2554" s="12" t="e">
        <f>MID(MAIN!A2559,K2554+4,2)</f>
        <v>#VALUE!</v>
      </c>
      <c r="F2554" s="2" t="e">
        <f t="shared" si="157"/>
        <v>#VALUE!</v>
      </c>
      <c r="G2554" s="13" t="e">
        <f t="shared" si="158"/>
        <v>#VALUE!</v>
      </c>
      <c r="J2554" t="str">
        <f>MAIN!A2559&amp;"B"</f>
        <v>B</v>
      </c>
      <c r="K2554" s="12" t="e">
        <f t="shared" si="159"/>
        <v>#VALUE!</v>
      </c>
      <c r="L2554" t="str">
        <f>MAIN!C2559</f>
        <v/>
      </c>
    </row>
    <row r="2555" spans="1:12" x14ac:dyDescent="0.3">
      <c r="A2555">
        <f>IF(J2555="0",0,IF(COUNTIF($J$2:J2555,J2555)=1,1,0))</f>
        <v>0</v>
      </c>
      <c r="B2555" s="12" t="e">
        <f>MID(MAIN!A2560,K2555,2)</f>
        <v>#VALUE!</v>
      </c>
      <c r="C2555" s="12" t="e">
        <f t="shared" si="156"/>
        <v>#VALUE!</v>
      </c>
      <c r="D2555" s="12" t="e">
        <f>MID(MAIN!A2560,K2555+2,2)</f>
        <v>#VALUE!</v>
      </c>
      <c r="E2555" s="12" t="e">
        <f>MID(MAIN!A2560,K2555+4,2)</f>
        <v>#VALUE!</v>
      </c>
      <c r="F2555" s="2" t="e">
        <f t="shared" si="157"/>
        <v>#VALUE!</v>
      </c>
      <c r="G2555" s="13" t="e">
        <f t="shared" si="158"/>
        <v>#VALUE!</v>
      </c>
      <c r="J2555" t="str">
        <f>MAIN!A2560&amp;"B"</f>
        <v>B</v>
      </c>
      <c r="K2555" s="12" t="e">
        <f t="shared" si="159"/>
        <v>#VALUE!</v>
      </c>
      <c r="L2555" t="str">
        <f>MAIN!C2560</f>
        <v/>
      </c>
    </row>
    <row r="2556" spans="1:12" x14ac:dyDescent="0.3">
      <c r="A2556">
        <f>IF(J2556="0",0,IF(COUNTIF($J$2:J2556,J2556)=1,1,0))</f>
        <v>0</v>
      </c>
      <c r="B2556" s="12" t="e">
        <f>MID(MAIN!A2561,K2556,2)</f>
        <v>#VALUE!</v>
      </c>
      <c r="C2556" s="12" t="e">
        <f t="shared" si="156"/>
        <v>#VALUE!</v>
      </c>
      <c r="D2556" s="12" t="e">
        <f>MID(MAIN!A2561,K2556+2,2)</f>
        <v>#VALUE!</v>
      </c>
      <c r="E2556" s="12" t="e">
        <f>MID(MAIN!A2561,K2556+4,2)</f>
        <v>#VALUE!</v>
      </c>
      <c r="F2556" s="2" t="e">
        <f t="shared" si="157"/>
        <v>#VALUE!</v>
      </c>
      <c r="G2556" s="13" t="e">
        <f t="shared" si="158"/>
        <v>#VALUE!</v>
      </c>
      <c r="J2556" t="str">
        <f>MAIN!A2561&amp;"B"</f>
        <v>B</v>
      </c>
      <c r="K2556" s="12" t="e">
        <f t="shared" si="159"/>
        <v>#VALUE!</v>
      </c>
      <c r="L2556" t="str">
        <f>MAIN!C2561</f>
        <v/>
      </c>
    </row>
    <row r="2557" spans="1:12" x14ac:dyDescent="0.3">
      <c r="A2557">
        <f>IF(J2557="0",0,IF(COUNTIF($J$2:J2557,J2557)=1,1,0))</f>
        <v>0</v>
      </c>
      <c r="B2557" s="12" t="e">
        <f>MID(MAIN!A2562,K2557,2)</f>
        <v>#VALUE!</v>
      </c>
      <c r="C2557" s="12" t="e">
        <f t="shared" si="156"/>
        <v>#VALUE!</v>
      </c>
      <c r="D2557" s="12" t="e">
        <f>MID(MAIN!A2562,K2557+2,2)</f>
        <v>#VALUE!</v>
      </c>
      <c r="E2557" s="12" t="e">
        <f>MID(MAIN!A2562,K2557+4,2)</f>
        <v>#VALUE!</v>
      </c>
      <c r="F2557" s="2" t="e">
        <f t="shared" si="157"/>
        <v>#VALUE!</v>
      </c>
      <c r="G2557" s="13" t="e">
        <f t="shared" si="158"/>
        <v>#VALUE!</v>
      </c>
      <c r="J2557" t="str">
        <f>MAIN!A2562&amp;"B"</f>
        <v>B</v>
      </c>
      <c r="K2557" s="12" t="e">
        <f t="shared" si="159"/>
        <v>#VALUE!</v>
      </c>
      <c r="L2557" t="str">
        <f>MAIN!C2562</f>
        <v/>
      </c>
    </row>
    <row r="2558" spans="1:12" x14ac:dyDescent="0.3">
      <c r="A2558">
        <f>IF(J2558="0",0,IF(COUNTIF($J$2:J2558,J2558)=1,1,0))</f>
        <v>0</v>
      </c>
      <c r="B2558" s="12" t="e">
        <f>MID(MAIN!A2563,K2558,2)</f>
        <v>#VALUE!</v>
      </c>
      <c r="C2558" s="12" t="e">
        <f t="shared" si="156"/>
        <v>#VALUE!</v>
      </c>
      <c r="D2558" s="12" t="e">
        <f>MID(MAIN!A2563,K2558+2,2)</f>
        <v>#VALUE!</v>
      </c>
      <c r="E2558" s="12" t="e">
        <f>MID(MAIN!A2563,K2558+4,2)</f>
        <v>#VALUE!</v>
      </c>
      <c r="F2558" s="2" t="e">
        <f t="shared" si="157"/>
        <v>#VALUE!</v>
      </c>
      <c r="G2558" s="13" t="e">
        <f t="shared" si="158"/>
        <v>#VALUE!</v>
      </c>
      <c r="J2558" t="str">
        <f>MAIN!A2563&amp;"B"</f>
        <v>B</v>
      </c>
      <c r="K2558" s="12" t="e">
        <f t="shared" si="159"/>
        <v>#VALUE!</v>
      </c>
      <c r="L2558" t="str">
        <f>MAIN!C2563</f>
        <v/>
      </c>
    </row>
    <row r="2559" spans="1:12" x14ac:dyDescent="0.3">
      <c r="A2559">
        <f>IF(J2559="0",0,IF(COUNTIF($J$2:J2559,J2559)=1,1,0))</f>
        <v>0</v>
      </c>
      <c r="B2559" s="12" t="e">
        <f>MID(MAIN!A2564,K2559,2)</f>
        <v>#VALUE!</v>
      </c>
      <c r="C2559" s="12" t="e">
        <f t="shared" si="156"/>
        <v>#VALUE!</v>
      </c>
      <c r="D2559" s="12" t="e">
        <f>MID(MAIN!A2564,K2559+2,2)</f>
        <v>#VALUE!</v>
      </c>
      <c r="E2559" s="12" t="e">
        <f>MID(MAIN!A2564,K2559+4,2)</f>
        <v>#VALUE!</v>
      </c>
      <c r="F2559" s="2" t="e">
        <f t="shared" si="157"/>
        <v>#VALUE!</v>
      </c>
      <c r="G2559" s="13" t="e">
        <f t="shared" si="158"/>
        <v>#VALUE!</v>
      </c>
      <c r="J2559" t="str">
        <f>MAIN!A2564&amp;"B"</f>
        <v>B</v>
      </c>
      <c r="K2559" s="12" t="e">
        <f t="shared" si="159"/>
        <v>#VALUE!</v>
      </c>
      <c r="L2559" t="str">
        <f>MAIN!C2564</f>
        <v/>
      </c>
    </row>
    <row r="2560" spans="1:12" x14ac:dyDescent="0.3">
      <c r="A2560">
        <f>IF(J2560="0",0,IF(COUNTIF($J$2:J2560,J2560)=1,1,0))</f>
        <v>0</v>
      </c>
      <c r="B2560" s="12" t="e">
        <f>MID(MAIN!A2565,K2560,2)</f>
        <v>#VALUE!</v>
      </c>
      <c r="C2560" s="12" t="e">
        <f t="shared" si="156"/>
        <v>#VALUE!</v>
      </c>
      <c r="D2560" s="12" t="e">
        <f>MID(MAIN!A2565,K2560+2,2)</f>
        <v>#VALUE!</v>
      </c>
      <c r="E2560" s="12" t="e">
        <f>MID(MAIN!A2565,K2560+4,2)</f>
        <v>#VALUE!</v>
      </c>
      <c r="F2560" s="2" t="e">
        <f t="shared" si="157"/>
        <v>#VALUE!</v>
      </c>
      <c r="G2560" s="13" t="e">
        <f t="shared" si="158"/>
        <v>#VALUE!</v>
      </c>
      <c r="J2560" t="str">
        <f>MAIN!A2565&amp;"B"</f>
        <v>B</v>
      </c>
      <c r="K2560" s="12" t="e">
        <f t="shared" si="159"/>
        <v>#VALUE!</v>
      </c>
      <c r="L2560" t="str">
        <f>MAIN!C2565</f>
        <v/>
      </c>
    </row>
    <row r="2561" spans="1:12" x14ac:dyDescent="0.3">
      <c r="A2561">
        <f>IF(J2561="0",0,IF(COUNTIF($J$2:J2561,J2561)=1,1,0))</f>
        <v>0</v>
      </c>
      <c r="B2561" s="12" t="e">
        <f>MID(MAIN!A2566,K2561,2)</f>
        <v>#VALUE!</v>
      </c>
      <c r="C2561" s="12" t="e">
        <f t="shared" si="156"/>
        <v>#VALUE!</v>
      </c>
      <c r="D2561" s="12" t="e">
        <f>MID(MAIN!A2566,K2561+2,2)</f>
        <v>#VALUE!</v>
      </c>
      <c r="E2561" s="12" t="e">
        <f>MID(MAIN!A2566,K2561+4,2)</f>
        <v>#VALUE!</v>
      </c>
      <c r="F2561" s="2" t="e">
        <f t="shared" si="157"/>
        <v>#VALUE!</v>
      </c>
      <c r="G2561" s="13" t="e">
        <f t="shared" si="158"/>
        <v>#VALUE!</v>
      </c>
      <c r="J2561" t="str">
        <f>MAIN!A2566&amp;"B"</f>
        <v>B</v>
      </c>
      <c r="K2561" s="12" t="e">
        <f t="shared" si="159"/>
        <v>#VALUE!</v>
      </c>
      <c r="L2561" t="str">
        <f>MAIN!C2566</f>
        <v/>
      </c>
    </row>
    <row r="2562" spans="1:12" x14ac:dyDescent="0.3">
      <c r="A2562">
        <f>IF(J2562="0",0,IF(COUNTIF($J$2:J2562,J2562)=1,1,0))</f>
        <v>0</v>
      </c>
      <c r="B2562" s="12" t="e">
        <f>MID(MAIN!A2567,K2562,2)</f>
        <v>#VALUE!</v>
      </c>
      <c r="C2562" s="12" t="e">
        <f t="shared" si="156"/>
        <v>#VALUE!</v>
      </c>
      <c r="D2562" s="12" t="e">
        <f>MID(MAIN!A2567,K2562+2,2)</f>
        <v>#VALUE!</v>
      </c>
      <c r="E2562" s="12" t="e">
        <f>MID(MAIN!A2567,K2562+4,2)</f>
        <v>#VALUE!</v>
      </c>
      <c r="F2562" s="2" t="e">
        <f t="shared" si="157"/>
        <v>#VALUE!</v>
      </c>
      <c r="G2562" s="13" t="e">
        <f t="shared" si="158"/>
        <v>#VALUE!</v>
      </c>
      <c r="J2562" t="str">
        <f>MAIN!A2567&amp;"B"</f>
        <v>B</v>
      </c>
      <c r="K2562" s="12" t="e">
        <f t="shared" si="159"/>
        <v>#VALUE!</v>
      </c>
      <c r="L2562" t="str">
        <f>MAIN!C2567</f>
        <v/>
      </c>
    </row>
    <row r="2563" spans="1:12" x14ac:dyDescent="0.3">
      <c r="A2563">
        <f>IF(J2563="0",0,IF(COUNTIF($J$2:J2563,J2563)=1,1,0))</f>
        <v>0</v>
      </c>
      <c r="B2563" s="12" t="e">
        <f>MID(MAIN!A2568,K2563,2)</f>
        <v>#VALUE!</v>
      </c>
      <c r="C2563" s="12" t="e">
        <f t="shared" ref="C2563:C2626" si="160">"20"&amp;B2563</f>
        <v>#VALUE!</v>
      </c>
      <c r="D2563" s="12" t="e">
        <f>MID(MAIN!A2568,K2563+2,2)</f>
        <v>#VALUE!</v>
      </c>
      <c r="E2563" s="12" t="e">
        <f>MID(MAIN!A2568,K2563+4,2)</f>
        <v>#VALUE!</v>
      </c>
      <c r="F2563" s="2" t="e">
        <f t="shared" ref="F2563:F2626" si="161">C2563&amp;"/"&amp;D2563&amp;"/"&amp;E2563</f>
        <v>#VALUE!</v>
      </c>
      <c r="G2563" s="13" t="e">
        <f t="shared" ref="G2563:G2626" si="162">DATEVALUE(F2563)</f>
        <v>#VALUE!</v>
      </c>
      <c r="J2563" t="str">
        <f>MAIN!A2568&amp;"B"</f>
        <v>B</v>
      </c>
      <c r="K2563" s="12" t="e">
        <f t="shared" ref="K2563:K2626" si="163">FIND("172",J2563,30)+2</f>
        <v>#VALUE!</v>
      </c>
      <c r="L2563" t="str">
        <f>MAIN!C2568</f>
        <v/>
      </c>
    </row>
    <row r="2564" spans="1:12" x14ac:dyDescent="0.3">
      <c r="A2564">
        <f>IF(J2564="0",0,IF(COUNTIF($J$2:J2564,J2564)=1,1,0))</f>
        <v>0</v>
      </c>
      <c r="B2564" s="12" t="e">
        <f>MID(MAIN!A2569,K2564,2)</f>
        <v>#VALUE!</v>
      </c>
      <c r="C2564" s="12" t="e">
        <f t="shared" si="160"/>
        <v>#VALUE!</v>
      </c>
      <c r="D2564" s="12" t="e">
        <f>MID(MAIN!A2569,K2564+2,2)</f>
        <v>#VALUE!</v>
      </c>
      <c r="E2564" s="12" t="e">
        <f>MID(MAIN!A2569,K2564+4,2)</f>
        <v>#VALUE!</v>
      </c>
      <c r="F2564" s="2" t="e">
        <f t="shared" si="161"/>
        <v>#VALUE!</v>
      </c>
      <c r="G2564" s="13" t="e">
        <f t="shared" si="162"/>
        <v>#VALUE!</v>
      </c>
      <c r="J2564" t="str">
        <f>MAIN!A2569&amp;"B"</f>
        <v>B</v>
      </c>
      <c r="K2564" s="12" t="e">
        <f t="shared" si="163"/>
        <v>#VALUE!</v>
      </c>
      <c r="L2564" t="str">
        <f>MAIN!C2569</f>
        <v/>
      </c>
    </row>
    <row r="2565" spans="1:12" x14ac:dyDescent="0.3">
      <c r="A2565">
        <f>IF(J2565="0",0,IF(COUNTIF($J$2:J2565,J2565)=1,1,0))</f>
        <v>0</v>
      </c>
      <c r="B2565" s="12" t="e">
        <f>MID(MAIN!A2570,K2565,2)</f>
        <v>#VALUE!</v>
      </c>
      <c r="C2565" s="12" t="e">
        <f t="shared" si="160"/>
        <v>#VALUE!</v>
      </c>
      <c r="D2565" s="12" t="e">
        <f>MID(MAIN!A2570,K2565+2,2)</f>
        <v>#VALUE!</v>
      </c>
      <c r="E2565" s="12" t="e">
        <f>MID(MAIN!A2570,K2565+4,2)</f>
        <v>#VALUE!</v>
      </c>
      <c r="F2565" s="2" t="e">
        <f t="shared" si="161"/>
        <v>#VALUE!</v>
      </c>
      <c r="G2565" s="13" t="e">
        <f t="shared" si="162"/>
        <v>#VALUE!</v>
      </c>
      <c r="J2565" t="str">
        <f>MAIN!A2570&amp;"B"</f>
        <v>B</v>
      </c>
      <c r="K2565" s="12" t="e">
        <f t="shared" si="163"/>
        <v>#VALUE!</v>
      </c>
      <c r="L2565" t="str">
        <f>MAIN!C2570</f>
        <v/>
      </c>
    </row>
    <row r="2566" spans="1:12" x14ac:dyDescent="0.3">
      <c r="A2566">
        <f>IF(J2566="0",0,IF(COUNTIF($J$2:J2566,J2566)=1,1,0))</f>
        <v>0</v>
      </c>
      <c r="B2566" s="12" t="e">
        <f>MID(MAIN!A2571,K2566,2)</f>
        <v>#VALUE!</v>
      </c>
      <c r="C2566" s="12" t="e">
        <f t="shared" si="160"/>
        <v>#VALUE!</v>
      </c>
      <c r="D2566" s="12" t="e">
        <f>MID(MAIN!A2571,K2566+2,2)</f>
        <v>#VALUE!</v>
      </c>
      <c r="E2566" s="12" t="e">
        <f>MID(MAIN!A2571,K2566+4,2)</f>
        <v>#VALUE!</v>
      </c>
      <c r="F2566" s="2" t="e">
        <f t="shared" si="161"/>
        <v>#VALUE!</v>
      </c>
      <c r="G2566" s="13" t="e">
        <f t="shared" si="162"/>
        <v>#VALUE!</v>
      </c>
      <c r="J2566" t="str">
        <f>MAIN!A2571&amp;"B"</f>
        <v>B</v>
      </c>
      <c r="K2566" s="12" t="e">
        <f t="shared" si="163"/>
        <v>#VALUE!</v>
      </c>
      <c r="L2566" t="str">
        <f>MAIN!C2571</f>
        <v/>
      </c>
    </row>
    <row r="2567" spans="1:12" x14ac:dyDescent="0.3">
      <c r="A2567">
        <f>IF(J2567="0",0,IF(COUNTIF($J$2:J2567,J2567)=1,1,0))</f>
        <v>0</v>
      </c>
      <c r="B2567" s="12" t="e">
        <f>MID(MAIN!A2572,K2567,2)</f>
        <v>#VALUE!</v>
      </c>
      <c r="C2567" s="12" t="e">
        <f t="shared" si="160"/>
        <v>#VALUE!</v>
      </c>
      <c r="D2567" s="12" t="e">
        <f>MID(MAIN!A2572,K2567+2,2)</f>
        <v>#VALUE!</v>
      </c>
      <c r="E2567" s="12" t="e">
        <f>MID(MAIN!A2572,K2567+4,2)</f>
        <v>#VALUE!</v>
      </c>
      <c r="F2567" s="2" t="e">
        <f t="shared" si="161"/>
        <v>#VALUE!</v>
      </c>
      <c r="G2567" s="13" t="e">
        <f t="shared" si="162"/>
        <v>#VALUE!</v>
      </c>
      <c r="J2567" t="str">
        <f>MAIN!A2572&amp;"B"</f>
        <v>B</v>
      </c>
      <c r="K2567" s="12" t="e">
        <f t="shared" si="163"/>
        <v>#VALUE!</v>
      </c>
      <c r="L2567" t="str">
        <f>MAIN!C2572</f>
        <v/>
      </c>
    </row>
    <row r="2568" spans="1:12" x14ac:dyDescent="0.3">
      <c r="A2568">
        <f>IF(J2568="0",0,IF(COUNTIF($J$2:J2568,J2568)=1,1,0))</f>
        <v>0</v>
      </c>
      <c r="B2568" s="12" t="e">
        <f>MID(MAIN!A2573,K2568,2)</f>
        <v>#VALUE!</v>
      </c>
      <c r="C2568" s="12" t="e">
        <f t="shared" si="160"/>
        <v>#VALUE!</v>
      </c>
      <c r="D2568" s="12" t="e">
        <f>MID(MAIN!A2573,K2568+2,2)</f>
        <v>#VALUE!</v>
      </c>
      <c r="E2568" s="12" t="e">
        <f>MID(MAIN!A2573,K2568+4,2)</f>
        <v>#VALUE!</v>
      </c>
      <c r="F2568" s="2" t="e">
        <f t="shared" si="161"/>
        <v>#VALUE!</v>
      </c>
      <c r="G2568" s="13" t="e">
        <f t="shared" si="162"/>
        <v>#VALUE!</v>
      </c>
      <c r="J2568" t="str">
        <f>MAIN!A2573&amp;"B"</f>
        <v>B</v>
      </c>
      <c r="K2568" s="12" t="e">
        <f t="shared" si="163"/>
        <v>#VALUE!</v>
      </c>
      <c r="L2568" t="str">
        <f>MAIN!C2573</f>
        <v/>
      </c>
    </row>
    <row r="2569" spans="1:12" x14ac:dyDescent="0.3">
      <c r="A2569">
        <f>IF(J2569="0",0,IF(COUNTIF($J$2:J2569,J2569)=1,1,0))</f>
        <v>0</v>
      </c>
      <c r="B2569" s="12" t="e">
        <f>MID(MAIN!A2574,K2569,2)</f>
        <v>#VALUE!</v>
      </c>
      <c r="C2569" s="12" t="e">
        <f t="shared" si="160"/>
        <v>#VALUE!</v>
      </c>
      <c r="D2569" s="12" t="e">
        <f>MID(MAIN!A2574,K2569+2,2)</f>
        <v>#VALUE!</v>
      </c>
      <c r="E2569" s="12" t="e">
        <f>MID(MAIN!A2574,K2569+4,2)</f>
        <v>#VALUE!</v>
      </c>
      <c r="F2569" s="2" t="e">
        <f t="shared" si="161"/>
        <v>#VALUE!</v>
      </c>
      <c r="G2569" s="13" t="e">
        <f t="shared" si="162"/>
        <v>#VALUE!</v>
      </c>
      <c r="J2569" t="str">
        <f>MAIN!A2574&amp;"B"</f>
        <v>B</v>
      </c>
      <c r="K2569" s="12" t="e">
        <f t="shared" si="163"/>
        <v>#VALUE!</v>
      </c>
      <c r="L2569" t="str">
        <f>MAIN!C2574</f>
        <v/>
      </c>
    </row>
    <row r="2570" spans="1:12" x14ac:dyDescent="0.3">
      <c r="A2570">
        <f>IF(J2570="0",0,IF(COUNTIF($J$2:J2570,J2570)=1,1,0))</f>
        <v>0</v>
      </c>
      <c r="B2570" s="12" t="e">
        <f>MID(MAIN!A2575,K2570,2)</f>
        <v>#VALUE!</v>
      </c>
      <c r="C2570" s="12" t="e">
        <f t="shared" si="160"/>
        <v>#VALUE!</v>
      </c>
      <c r="D2570" s="12" t="e">
        <f>MID(MAIN!A2575,K2570+2,2)</f>
        <v>#VALUE!</v>
      </c>
      <c r="E2570" s="12" t="e">
        <f>MID(MAIN!A2575,K2570+4,2)</f>
        <v>#VALUE!</v>
      </c>
      <c r="F2570" s="2" t="e">
        <f t="shared" si="161"/>
        <v>#VALUE!</v>
      </c>
      <c r="G2570" s="13" t="e">
        <f t="shared" si="162"/>
        <v>#VALUE!</v>
      </c>
      <c r="J2570" t="str">
        <f>MAIN!A2575&amp;"B"</f>
        <v>B</v>
      </c>
      <c r="K2570" s="12" t="e">
        <f t="shared" si="163"/>
        <v>#VALUE!</v>
      </c>
      <c r="L2570" t="str">
        <f>MAIN!C2575</f>
        <v/>
      </c>
    </row>
    <row r="2571" spans="1:12" x14ac:dyDescent="0.3">
      <c r="A2571">
        <f>IF(J2571="0",0,IF(COUNTIF($J$2:J2571,J2571)=1,1,0))</f>
        <v>0</v>
      </c>
      <c r="B2571" s="12" t="e">
        <f>MID(MAIN!A2576,K2571,2)</f>
        <v>#VALUE!</v>
      </c>
      <c r="C2571" s="12" t="e">
        <f t="shared" si="160"/>
        <v>#VALUE!</v>
      </c>
      <c r="D2571" s="12" t="e">
        <f>MID(MAIN!A2576,K2571+2,2)</f>
        <v>#VALUE!</v>
      </c>
      <c r="E2571" s="12" t="e">
        <f>MID(MAIN!A2576,K2571+4,2)</f>
        <v>#VALUE!</v>
      </c>
      <c r="F2571" s="2" t="e">
        <f t="shared" si="161"/>
        <v>#VALUE!</v>
      </c>
      <c r="G2571" s="13" t="e">
        <f t="shared" si="162"/>
        <v>#VALUE!</v>
      </c>
      <c r="J2571" t="str">
        <f>MAIN!A2576&amp;"B"</f>
        <v>B</v>
      </c>
      <c r="K2571" s="12" t="e">
        <f t="shared" si="163"/>
        <v>#VALUE!</v>
      </c>
      <c r="L2571" t="str">
        <f>MAIN!C2576</f>
        <v/>
      </c>
    </row>
    <row r="2572" spans="1:12" x14ac:dyDescent="0.3">
      <c r="A2572">
        <f>IF(J2572="0",0,IF(COUNTIF($J$2:J2572,J2572)=1,1,0))</f>
        <v>0</v>
      </c>
      <c r="B2572" s="12" t="e">
        <f>MID(MAIN!A2577,K2572,2)</f>
        <v>#VALUE!</v>
      </c>
      <c r="C2572" s="12" t="e">
        <f t="shared" si="160"/>
        <v>#VALUE!</v>
      </c>
      <c r="D2572" s="12" t="e">
        <f>MID(MAIN!A2577,K2572+2,2)</f>
        <v>#VALUE!</v>
      </c>
      <c r="E2572" s="12" t="e">
        <f>MID(MAIN!A2577,K2572+4,2)</f>
        <v>#VALUE!</v>
      </c>
      <c r="F2572" s="2" t="e">
        <f t="shared" si="161"/>
        <v>#VALUE!</v>
      </c>
      <c r="G2572" s="13" t="e">
        <f t="shared" si="162"/>
        <v>#VALUE!</v>
      </c>
      <c r="J2572" t="str">
        <f>MAIN!A2577&amp;"B"</f>
        <v>B</v>
      </c>
      <c r="K2572" s="12" t="e">
        <f t="shared" si="163"/>
        <v>#VALUE!</v>
      </c>
      <c r="L2572" t="str">
        <f>MAIN!C2577</f>
        <v/>
      </c>
    </row>
    <row r="2573" spans="1:12" x14ac:dyDescent="0.3">
      <c r="A2573">
        <f>IF(J2573="0",0,IF(COUNTIF($J$2:J2573,J2573)=1,1,0))</f>
        <v>0</v>
      </c>
      <c r="B2573" s="12" t="e">
        <f>MID(MAIN!A2578,K2573,2)</f>
        <v>#VALUE!</v>
      </c>
      <c r="C2573" s="12" t="e">
        <f t="shared" si="160"/>
        <v>#VALUE!</v>
      </c>
      <c r="D2573" s="12" t="e">
        <f>MID(MAIN!A2578,K2573+2,2)</f>
        <v>#VALUE!</v>
      </c>
      <c r="E2573" s="12" t="e">
        <f>MID(MAIN!A2578,K2573+4,2)</f>
        <v>#VALUE!</v>
      </c>
      <c r="F2573" s="2" t="e">
        <f t="shared" si="161"/>
        <v>#VALUE!</v>
      </c>
      <c r="G2573" s="13" t="e">
        <f t="shared" si="162"/>
        <v>#VALUE!</v>
      </c>
      <c r="J2573" t="str">
        <f>MAIN!A2578&amp;"B"</f>
        <v>B</v>
      </c>
      <c r="K2573" s="12" t="e">
        <f t="shared" si="163"/>
        <v>#VALUE!</v>
      </c>
      <c r="L2573" t="str">
        <f>MAIN!C2578</f>
        <v/>
      </c>
    </row>
    <row r="2574" spans="1:12" x14ac:dyDescent="0.3">
      <c r="A2574">
        <f>IF(J2574="0",0,IF(COUNTIF($J$2:J2574,J2574)=1,1,0))</f>
        <v>0</v>
      </c>
      <c r="B2574" s="12" t="e">
        <f>MID(MAIN!A2579,K2574,2)</f>
        <v>#VALUE!</v>
      </c>
      <c r="C2574" s="12" t="e">
        <f t="shared" si="160"/>
        <v>#VALUE!</v>
      </c>
      <c r="D2574" s="12" t="e">
        <f>MID(MAIN!A2579,K2574+2,2)</f>
        <v>#VALUE!</v>
      </c>
      <c r="E2574" s="12" t="e">
        <f>MID(MAIN!A2579,K2574+4,2)</f>
        <v>#VALUE!</v>
      </c>
      <c r="F2574" s="2" t="e">
        <f t="shared" si="161"/>
        <v>#VALUE!</v>
      </c>
      <c r="G2574" s="13" t="e">
        <f t="shared" si="162"/>
        <v>#VALUE!</v>
      </c>
      <c r="J2574" t="str">
        <f>MAIN!A2579&amp;"B"</f>
        <v>B</v>
      </c>
      <c r="K2574" s="12" t="e">
        <f t="shared" si="163"/>
        <v>#VALUE!</v>
      </c>
      <c r="L2574" t="str">
        <f>MAIN!C2579</f>
        <v/>
      </c>
    </row>
    <row r="2575" spans="1:12" x14ac:dyDescent="0.3">
      <c r="A2575">
        <f>IF(J2575="0",0,IF(COUNTIF($J$2:J2575,J2575)=1,1,0))</f>
        <v>0</v>
      </c>
      <c r="B2575" s="12" t="e">
        <f>MID(MAIN!A2580,K2575,2)</f>
        <v>#VALUE!</v>
      </c>
      <c r="C2575" s="12" t="e">
        <f t="shared" si="160"/>
        <v>#VALUE!</v>
      </c>
      <c r="D2575" s="12" t="e">
        <f>MID(MAIN!A2580,K2575+2,2)</f>
        <v>#VALUE!</v>
      </c>
      <c r="E2575" s="12" t="e">
        <f>MID(MAIN!A2580,K2575+4,2)</f>
        <v>#VALUE!</v>
      </c>
      <c r="F2575" s="2" t="e">
        <f t="shared" si="161"/>
        <v>#VALUE!</v>
      </c>
      <c r="G2575" s="13" t="e">
        <f t="shared" si="162"/>
        <v>#VALUE!</v>
      </c>
      <c r="J2575" t="str">
        <f>MAIN!A2580&amp;"B"</f>
        <v>B</v>
      </c>
      <c r="K2575" s="12" t="e">
        <f t="shared" si="163"/>
        <v>#VALUE!</v>
      </c>
      <c r="L2575" t="str">
        <f>MAIN!C2580</f>
        <v/>
      </c>
    </row>
    <row r="2576" spans="1:12" x14ac:dyDescent="0.3">
      <c r="A2576">
        <f>IF(J2576="0",0,IF(COUNTIF($J$2:J2576,J2576)=1,1,0))</f>
        <v>0</v>
      </c>
      <c r="B2576" s="12" t="e">
        <f>MID(MAIN!A2581,K2576,2)</f>
        <v>#VALUE!</v>
      </c>
      <c r="C2576" s="12" t="e">
        <f t="shared" si="160"/>
        <v>#VALUE!</v>
      </c>
      <c r="D2576" s="12" t="e">
        <f>MID(MAIN!A2581,K2576+2,2)</f>
        <v>#VALUE!</v>
      </c>
      <c r="E2576" s="12" t="e">
        <f>MID(MAIN!A2581,K2576+4,2)</f>
        <v>#VALUE!</v>
      </c>
      <c r="F2576" s="2" t="e">
        <f t="shared" si="161"/>
        <v>#VALUE!</v>
      </c>
      <c r="G2576" s="13" t="e">
        <f t="shared" si="162"/>
        <v>#VALUE!</v>
      </c>
      <c r="J2576" t="str">
        <f>MAIN!A2581&amp;"B"</f>
        <v>B</v>
      </c>
      <c r="K2576" s="12" t="e">
        <f t="shared" si="163"/>
        <v>#VALUE!</v>
      </c>
      <c r="L2576" t="str">
        <f>MAIN!C2581</f>
        <v/>
      </c>
    </row>
    <row r="2577" spans="1:12" x14ac:dyDescent="0.3">
      <c r="A2577">
        <f>IF(J2577="0",0,IF(COUNTIF($J$2:J2577,J2577)=1,1,0))</f>
        <v>0</v>
      </c>
      <c r="B2577" s="12" t="e">
        <f>MID(MAIN!A2582,K2577,2)</f>
        <v>#VALUE!</v>
      </c>
      <c r="C2577" s="12" t="e">
        <f t="shared" si="160"/>
        <v>#VALUE!</v>
      </c>
      <c r="D2577" s="12" t="e">
        <f>MID(MAIN!A2582,K2577+2,2)</f>
        <v>#VALUE!</v>
      </c>
      <c r="E2577" s="12" t="e">
        <f>MID(MAIN!A2582,K2577+4,2)</f>
        <v>#VALUE!</v>
      </c>
      <c r="F2577" s="2" t="e">
        <f t="shared" si="161"/>
        <v>#VALUE!</v>
      </c>
      <c r="G2577" s="13" t="e">
        <f t="shared" si="162"/>
        <v>#VALUE!</v>
      </c>
      <c r="J2577" t="str">
        <f>MAIN!A2582&amp;"B"</f>
        <v>B</v>
      </c>
      <c r="K2577" s="12" t="e">
        <f t="shared" si="163"/>
        <v>#VALUE!</v>
      </c>
      <c r="L2577" t="str">
        <f>MAIN!C2582</f>
        <v/>
      </c>
    </row>
    <row r="2578" spans="1:12" x14ac:dyDescent="0.3">
      <c r="A2578">
        <f>IF(J2578="0",0,IF(COUNTIF($J$2:J2578,J2578)=1,1,0))</f>
        <v>0</v>
      </c>
      <c r="B2578" s="12" t="e">
        <f>MID(MAIN!A2583,K2578,2)</f>
        <v>#VALUE!</v>
      </c>
      <c r="C2578" s="12" t="e">
        <f t="shared" si="160"/>
        <v>#VALUE!</v>
      </c>
      <c r="D2578" s="12" t="e">
        <f>MID(MAIN!A2583,K2578+2,2)</f>
        <v>#VALUE!</v>
      </c>
      <c r="E2578" s="12" t="e">
        <f>MID(MAIN!A2583,K2578+4,2)</f>
        <v>#VALUE!</v>
      </c>
      <c r="F2578" s="2" t="e">
        <f t="shared" si="161"/>
        <v>#VALUE!</v>
      </c>
      <c r="G2578" s="13" t="e">
        <f t="shared" si="162"/>
        <v>#VALUE!</v>
      </c>
      <c r="J2578" t="str">
        <f>MAIN!A2583&amp;"B"</f>
        <v>B</v>
      </c>
      <c r="K2578" s="12" t="e">
        <f t="shared" si="163"/>
        <v>#VALUE!</v>
      </c>
      <c r="L2578" t="str">
        <f>MAIN!C2583</f>
        <v/>
      </c>
    </row>
    <row r="2579" spans="1:12" x14ac:dyDescent="0.3">
      <c r="A2579">
        <f>IF(J2579="0",0,IF(COUNTIF($J$2:J2579,J2579)=1,1,0))</f>
        <v>0</v>
      </c>
      <c r="B2579" s="12" t="e">
        <f>MID(MAIN!A2584,K2579,2)</f>
        <v>#VALUE!</v>
      </c>
      <c r="C2579" s="12" t="e">
        <f t="shared" si="160"/>
        <v>#VALUE!</v>
      </c>
      <c r="D2579" s="12" t="e">
        <f>MID(MAIN!A2584,K2579+2,2)</f>
        <v>#VALUE!</v>
      </c>
      <c r="E2579" s="12" t="e">
        <f>MID(MAIN!A2584,K2579+4,2)</f>
        <v>#VALUE!</v>
      </c>
      <c r="F2579" s="2" t="e">
        <f t="shared" si="161"/>
        <v>#VALUE!</v>
      </c>
      <c r="G2579" s="13" t="e">
        <f t="shared" si="162"/>
        <v>#VALUE!</v>
      </c>
      <c r="J2579" t="str">
        <f>MAIN!A2584&amp;"B"</f>
        <v>B</v>
      </c>
      <c r="K2579" s="12" t="e">
        <f t="shared" si="163"/>
        <v>#VALUE!</v>
      </c>
      <c r="L2579" t="str">
        <f>MAIN!C2584</f>
        <v/>
      </c>
    </row>
    <row r="2580" spans="1:12" x14ac:dyDescent="0.3">
      <c r="A2580">
        <f>IF(J2580="0",0,IF(COUNTIF($J$2:J2580,J2580)=1,1,0))</f>
        <v>0</v>
      </c>
      <c r="B2580" s="12" t="e">
        <f>MID(MAIN!A2585,K2580,2)</f>
        <v>#VALUE!</v>
      </c>
      <c r="C2580" s="12" t="e">
        <f t="shared" si="160"/>
        <v>#VALUE!</v>
      </c>
      <c r="D2580" s="12" t="e">
        <f>MID(MAIN!A2585,K2580+2,2)</f>
        <v>#VALUE!</v>
      </c>
      <c r="E2580" s="12" t="e">
        <f>MID(MAIN!A2585,K2580+4,2)</f>
        <v>#VALUE!</v>
      </c>
      <c r="F2580" s="2" t="e">
        <f t="shared" si="161"/>
        <v>#VALUE!</v>
      </c>
      <c r="G2580" s="13" t="e">
        <f t="shared" si="162"/>
        <v>#VALUE!</v>
      </c>
      <c r="J2580" t="str">
        <f>MAIN!A2585&amp;"B"</f>
        <v>B</v>
      </c>
      <c r="K2580" s="12" t="e">
        <f t="shared" si="163"/>
        <v>#VALUE!</v>
      </c>
      <c r="L2580" t="str">
        <f>MAIN!C2585</f>
        <v/>
      </c>
    </row>
    <row r="2581" spans="1:12" x14ac:dyDescent="0.3">
      <c r="A2581">
        <f>IF(J2581="0",0,IF(COUNTIF($J$2:J2581,J2581)=1,1,0))</f>
        <v>0</v>
      </c>
      <c r="B2581" s="12" t="e">
        <f>MID(MAIN!A2586,K2581,2)</f>
        <v>#VALUE!</v>
      </c>
      <c r="C2581" s="12" t="e">
        <f t="shared" si="160"/>
        <v>#VALUE!</v>
      </c>
      <c r="D2581" s="12" t="e">
        <f>MID(MAIN!A2586,K2581+2,2)</f>
        <v>#VALUE!</v>
      </c>
      <c r="E2581" s="12" t="e">
        <f>MID(MAIN!A2586,K2581+4,2)</f>
        <v>#VALUE!</v>
      </c>
      <c r="F2581" s="2" t="e">
        <f t="shared" si="161"/>
        <v>#VALUE!</v>
      </c>
      <c r="G2581" s="13" t="e">
        <f t="shared" si="162"/>
        <v>#VALUE!</v>
      </c>
      <c r="J2581" t="str">
        <f>MAIN!A2586&amp;"B"</f>
        <v>B</v>
      </c>
      <c r="K2581" s="12" t="e">
        <f t="shared" si="163"/>
        <v>#VALUE!</v>
      </c>
      <c r="L2581" t="str">
        <f>MAIN!C2586</f>
        <v/>
      </c>
    </row>
    <row r="2582" spans="1:12" x14ac:dyDescent="0.3">
      <c r="A2582">
        <f>IF(J2582="0",0,IF(COUNTIF($J$2:J2582,J2582)=1,1,0))</f>
        <v>0</v>
      </c>
      <c r="B2582" s="12" t="e">
        <f>MID(MAIN!A2587,K2582,2)</f>
        <v>#VALUE!</v>
      </c>
      <c r="C2582" s="12" t="e">
        <f t="shared" si="160"/>
        <v>#VALUE!</v>
      </c>
      <c r="D2582" s="12" t="e">
        <f>MID(MAIN!A2587,K2582+2,2)</f>
        <v>#VALUE!</v>
      </c>
      <c r="E2582" s="12" t="e">
        <f>MID(MAIN!A2587,K2582+4,2)</f>
        <v>#VALUE!</v>
      </c>
      <c r="F2582" s="2" t="e">
        <f t="shared" si="161"/>
        <v>#VALUE!</v>
      </c>
      <c r="G2582" s="13" t="e">
        <f t="shared" si="162"/>
        <v>#VALUE!</v>
      </c>
      <c r="J2582" t="str">
        <f>MAIN!A2587&amp;"B"</f>
        <v>B</v>
      </c>
      <c r="K2582" s="12" t="e">
        <f t="shared" si="163"/>
        <v>#VALUE!</v>
      </c>
      <c r="L2582" t="str">
        <f>MAIN!C2587</f>
        <v/>
      </c>
    </row>
    <row r="2583" spans="1:12" x14ac:dyDescent="0.3">
      <c r="A2583">
        <f>IF(J2583="0",0,IF(COUNTIF($J$2:J2583,J2583)=1,1,0))</f>
        <v>0</v>
      </c>
      <c r="B2583" s="12" t="e">
        <f>MID(MAIN!A2588,K2583,2)</f>
        <v>#VALUE!</v>
      </c>
      <c r="C2583" s="12" t="e">
        <f t="shared" si="160"/>
        <v>#VALUE!</v>
      </c>
      <c r="D2583" s="12" t="e">
        <f>MID(MAIN!A2588,K2583+2,2)</f>
        <v>#VALUE!</v>
      </c>
      <c r="E2583" s="12" t="e">
        <f>MID(MAIN!A2588,K2583+4,2)</f>
        <v>#VALUE!</v>
      </c>
      <c r="F2583" s="2" t="e">
        <f t="shared" si="161"/>
        <v>#VALUE!</v>
      </c>
      <c r="G2583" s="13" t="e">
        <f t="shared" si="162"/>
        <v>#VALUE!</v>
      </c>
      <c r="J2583" t="str">
        <f>MAIN!A2588&amp;"B"</f>
        <v>B</v>
      </c>
      <c r="K2583" s="12" t="e">
        <f t="shared" si="163"/>
        <v>#VALUE!</v>
      </c>
      <c r="L2583" t="str">
        <f>MAIN!C2588</f>
        <v/>
      </c>
    </row>
    <row r="2584" spans="1:12" x14ac:dyDescent="0.3">
      <c r="A2584">
        <f>IF(J2584="0",0,IF(COUNTIF($J$2:J2584,J2584)=1,1,0))</f>
        <v>0</v>
      </c>
      <c r="B2584" s="12" t="e">
        <f>MID(MAIN!A2589,K2584,2)</f>
        <v>#VALUE!</v>
      </c>
      <c r="C2584" s="12" t="e">
        <f t="shared" si="160"/>
        <v>#VALUE!</v>
      </c>
      <c r="D2584" s="12" t="e">
        <f>MID(MAIN!A2589,K2584+2,2)</f>
        <v>#VALUE!</v>
      </c>
      <c r="E2584" s="12" t="e">
        <f>MID(MAIN!A2589,K2584+4,2)</f>
        <v>#VALUE!</v>
      </c>
      <c r="F2584" s="2" t="e">
        <f t="shared" si="161"/>
        <v>#VALUE!</v>
      </c>
      <c r="G2584" s="13" t="e">
        <f t="shared" si="162"/>
        <v>#VALUE!</v>
      </c>
      <c r="J2584" t="str">
        <f>MAIN!A2589&amp;"B"</f>
        <v>B</v>
      </c>
      <c r="K2584" s="12" t="e">
        <f t="shared" si="163"/>
        <v>#VALUE!</v>
      </c>
      <c r="L2584" t="str">
        <f>MAIN!C2589</f>
        <v/>
      </c>
    </row>
    <row r="2585" spans="1:12" x14ac:dyDescent="0.3">
      <c r="A2585">
        <f>IF(J2585="0",0,IF(COUNTIF($J$2:J2585,J2585)=1,1,0))</f>
        <v>0</v>
      </c>
      <c r="B2585" s="12" t="e">
        <f>MID(MAIN!A2590,K2585,2)</f>
        <v>#VALUE!</v>
      </c>
      <c r="C2585" s="12" t="e">
        <f t="shared" si="160"/>
        <v>#VALUE!</v>
      </c>
      <c r="D2585" s="12" t="e">
        <f>MID(MAIN!A2590,K2585+2,2)</f>
        <v>#VALUE!</v>
      </c>
      <c r="E2585" s="12" t="e">
        <f>MID(MAIN!A2590,K2585+4,2)</f>
        <v>#VALUE!</v>
      </c>
      <c r="F2585" s="2" t="e">
        <f t="shared" si="161"/>
        <v>#VALUE!</v>
      </c>
      <c r="G2585" s="13" t="e">
        <f t="shared" si="162"/>
        <v>#VALUE!</v>
      </c>
      <c r="J2585" t="str">
        <f>MAIN!A2590&amp;"B"</f>
        <v>B</v>
      </c>
      <c r="K2585" s="12" t="e">
        <f t="shared" si="163"/>
        <v>#VALUE!</v>
      </c>
      <c r="L2585" t="str">
        <f>MAIN!C2590</f>
        <v/>
      </c>
    </row>
    <row r="2586" spans="1:12" x14ac:dyDescent="0.3">
      <c r="A2586">
        <f>IF(J2586="0",0,IF(COUNTIF($J$2:J2586,J2586)=1,1,0))</f>
        <v>0</v>
      </c>
      <c r="B2586" s="12" t="e">
        <f>MID(MAIN!A2591,K2586,2)</f>
        <v>#VALUE!</v>
      </c>
      <c r="C2586" s="12" t="e">
        <f t="shared" si="160"/>
        <v>#VALUE!</v>
      </c>
      <c r="D2586" s="12" t="e">
        <f>MID(MAIN!A2591,K2586+2,2)</f>
        <v>#VALUE!</v>
      </c>
      <c r="E2586" s="12" t="e">
        <f>MID(MAIN!A2591,K2586+4,2)</f>
        <v>#VALUE!</v>
      </c>
      <c r="F2586" s="2" t="e">
        <f t="shared" si="161"/>
        <v>#VALUE!</v>
      </c>
      <c r="G2586" s="13" t="e">
        <f t="shared" si="162"/>
        <v>#VALUE!</v>
      </c>
      <c r="J2586" t="str">
        <f>MAIN!A2591&amp;"B"</f>
        <v>B</v>
      </c>
      <c r="K2586" s="12" t="e">
        <f t="shared" si="163"/>
        <v>#VALUE!</v>
      </c>
      <c r="L2586" t="str">
        <f>MAIN!C2591</f>
        <v/>
      </c>
    </row>
    <row r="2587" spans="1:12" x14ac:dyDescent="0.3">
      <c r="A2587">
        <f>IF(J2587="0",0,IF(COUNTIF($J$2:J2587,J2587)=1,1,0))</f>
        <v>0</v>
      </c>
      <c r="B2587" s="12" t="e">
        <f>MID(MAIN!A2592,K2587,2)</f>
        <v>#VALUE!</v>
      </c>
      <c r="C2587" s="12" t="e">
        <f t="shared" si="160"/>
        <v>#VALUE!</v>
      </c>
      <c r="D2587" s="12" t="e">
        <f>MID(MAIN!A2592,K2587+2,2)</f>
        <v>#VALUE!</v>
      </c>
      <c r="E2587" s="12" t="e">
        <f>MID(MAIN!A2592,K2587+4,2)</f>
        <v>#VALUE!</v>
      </c>
      <c r="F2587" s="2" t="e">
        <f t="shared" si="161"/>
        <v>#VALUE!</v>
      </c>
      <c r="G2587" s="13" t="e">
        <f t="shared" si="162"/>
        <v>#VALUE!</v>
      </c>
      <c r="J2587" t="str">
        <f>MAIN!A2592&amp;"B"</f>
        <v>B</v>
      </c>
      <c r="K2587" s="12" t="e">
        <f t="shared" si="163"/>
        <v>#VALUE!</v>
      </c>
      <c r="L2587" t="str">
        <f>MAIN!C2592</f>
        <v/>
      </c>
    </row>
    <row r="2588" spans="1:12" x14ac:dyDescent="0.3">
      <c r="A2588">
        <f>IF(J2588="0",0,IF(COUNTIF($J$2:J2588,J2588)=1,1,0))</f>
        <v>0</v>
      </c>
      <c r="B2588" s="12" t="e">
        <f>MID(MAIN!A2593,K2588,2)</f>
        <v>#VALUE!</v>
      </c>
      <c r="C2588" s="12" t="e">
        <f t="shared" si="160"/>
        <v>#VALUE!</v>
      </c>
      <c r="D2588" s="12" t="e">
        <f>MID(MAIN!A2593,K2588+2,2)</f>
        <v>#VALUE!</v>
      </c>
      <c r="E2588" s="12" t="e">
        <f>MID(MAIN!A2593,K2588+4,2)</f>
        <v>#VALUE!</v>
      </c>
      <c r="F2588" s="2" t="e">
        <f t="shared" si="161"/>
        <v>#VALUE!</v>
      </c>
      <c r="G2588" s="13" t="e">
        <f t="shared" si="162"/>
        <v>#VALUE!</v>
      </c>
      <c r="J2588" t="str">
        <f>MAIN!A2593&amp;"B"</f>
        <v>B</v>
      </c>
      <c r="K2588" s="12" t="e">
        <f t="shared" si="163"/>
        <v>#VALUE!</v>
      </c>
      <c r="L2588" t="str">
        <f>MAIN!C2593</f>
        <v/>
      </c>
    </row>
    <row r="2589" spans="1:12" x14ac:dyDescent="0.3">
      <c r="A2589">
        <f>IF(J2589="0",0,IF(COUNTIF($J$2:J2589,J2589)=1,1,0))</f>
        <v>0</v>
      </c>
      <c r="B2589" s="12" t="e">
        <f>MID(MAIN!A2594,K2589,2)</f>
        <v>#VALUE!</v>
      </c>
      <c r="C2589" s="12" t="e">
        <f t="shared" si="160"/>
        <v>#VALUE!</v>
      </c>
      <c r="D2589" s="12" t="e">
        <f>MID(MAIN!A2594,K2589+2,2)</f>
        <v>#VALUE!</v>
      </c>
      <c r="E2589" s="12" t="e">
        <f>MID(MAIN!A2594,K2589+4,2)</f>
        <v>#VALUE!</v>
      </c>
      <c r="F2589" s="2" t="e">
        <f t="shared" si="161"/>
        <v>#VALUE!</v>
      </c>
      <c r="G2589" s="13" t="e">
        <f t="shared" si="162"/>
        <v>#VALUE!</v>
      </c>
      <c r="J2589" t="str">
        <f>MAIN!A2594&amp;"B"</f>
        <v>B</v>
      </c>
      <c r="K2589" s="12" t="e">
        <f t="shared" si="163"/>
        <v>#VALUE!</v>
      </c>
      <c r="L2589" t="str">
        <f>MAIN!C2594</f>
        <v/>
      </c>
    </row>
    <row r="2590" spans="1:12" x14ac:dyDescent="0.3">
      <c r="A2590">
        <f>IF(J2590="0",0,IF(COUNTIF($J$2:J2590,J2590)=1,1,0))</f>
        <v>0</v>
      </c>
      <c r="B2590" s="12" t="e">
        <f>MID(MAIN!A2595,K2590,2)</f>
        <v>#VALUE!</v>
      </c>
      <c r="C2590" s="12" t="e">
        <f t="shared" si="160"/>
        <v>#VALUE!</v>
      </c>
      <c r="D2590" s="12" t="e">
        <f>MID(MAIN!A2595,K2590+2,2)</f>
        <v>#VALUE!</v>
      </c>
      <c r="E2590" s="12" t="e">
        <f>MID(MAIN!A2595,K2590+4,2)</f>
        <v>#VALUE!</v>
      </c>
      <c r="F2590" s="2" t="e">
        <f t="shared" si="161"/>
        <v>#VALUE!</v>
      </c>
      <c r="G2590" s="13" t="e">
        <f t="shared" si="162"/>
        <v>#VALUE!</v>
      </c>
      <c r="J2590" t="str">
        <f>MAIN!A2595&amp;"B"</f>
        <v>B</v>
      </c>
      <c r="K2590" s="12" t="e">
        <f t="shared" si="163"/>
        <v>#VALUE!</v>
      </c>
      <c r="L2590" t="str">
        <f>MAIN!C2595</f>
        <v/>
      </c>
    </row>
    <row r="2591" spans="1:12" x14ac:dyDescent="0.3">
      <c r="A2591">
        <f>IF(J2591="0",0,IF(COUNTIF($J$2:J2591,J2591)=1,1,0))</f>
        <v>0</v>
      </c>
      <c r="B2591" s="12" t="e">
        <f>MID(MAIN!A2596,K2591,2)</f>
        <v>#VALUE!</v>
      </c>
      <c r="C2591" s="12" t="e">
        <f t="shared" si="160"/>
        <v>#VALUE!</v>
      </c>
      <c r="D2591" s="12" t="e">
        <f>MID(MAIN!A2596,K2591+2,2)</f>
        <v>#VALUE!</v>
      </c>
      <c r="E2591" s="12" t="e">
        <f>MID(MAIN!A2596,K2591+4,2)</f>
        <v>#VALUE!</v>
      </c>
      <c r="F2591" s="2" t="e">
        <f t="shared" si="161"/>
        <v>#VALUE!</v>
      </c>
      <c r="G2591" s="13" t="e">
        <f t="shared" si="162"/>
        <v>#VALUE!</v>
      </c>
      <c r="J2591" t="str">
        <f>MAIN!A2596&amp;"B"</f>
        <v>B</v>
      </c>
      <c r="K2591" s="12" t="e">
        <f t="shared" si="163"/>
        <v>#VALUE!</v>
      </c>
      <c r="L2591" t="str">
        <f>MAIN!C2596</f>
        <v/>
      </c>
    </row>
    <row r="2592" spans="1:12" x14ac:dyDescent="0.3">
      <c r="A2592">
        <f>IF(J2592="0",0,IF(COUNTIF($J$2:J2592,J2592)=1,1,0))</f>
        <v>0</v>
      </c>
      <c r="B2592" s="12" t="e">
        <f>MID(MAIN!A2597,K2592,2)</f>
        <v>#VALUE!</v>
      </c>
      <c r="C2592" s="12" t="e">
        <f t="shared" si="160"/>
        <v>#VALUE!</v>
      </c>
      <c r="D2592" s="12" t="e">
        <f>MID(MAIN!A2597,K2592+2,2)</f>
        <v>#VALUE!</v>
      </c>
      <c r="E2592" s="12" t="e">
        <f>MID(MAIN!A2597,K2592+4,2)</f>
        <v>#VALUE!</v>
      </c>
      <c r="F2592" s="2" t="e">
        <f t="shared" si="161"/>
        <v>#VALUE!</v>
      </c>
      <c r="G2592" s="13" t="e">
        <f t="shared" si="162"/>
        <v>#VALUE!</v>
      </c>
      <c r="J2592" t="str">
        <f>MAIN!A2597&amp;"B"</f>
        <v>B</v>
      </c>
      <c r="K2592" s="12" t="e">
        <f t="shared" si="163"/>
        <v>#VALUE!</v>
      </c>
      <c r="L2592" t="str">
        <f>MAIN!C2597</f>
        <v/>
      </c>
    </row>
    <row r="2593" spans="1:12" x14ac:dyDescent="0.3">
      <c r="A2593">
        <f>IF(J2593="0",0,IF(COUNTIF($J$2:J2593,J2593)=1,1,0))</f>
        <v>0</v>
      </c>
      <c r="B2593" s="12" t="e">
        <f>MID(MAIN!A2598,K2593,2)</f>
        <v>#VALUE!</v>
      </c>
      <c r="C2593" s="12" t="e">
        <f t="shared" si="160"/>
        <v>#VALUE!</v>
      </c>
      <c r="D2593" s="12" t="e">
        <f>MID(MAIN!A2598,K2593+2,2)</f>
        <v>#VALUE!</v>
      </c>
      <c r="E2593" s="12" t="e">
        <f>MID(MAIN!A2598,K2593+4,2)</f>
        <v>#VALUE!</v>
      </c>
      <c r="F2593" s="2" t="e">
        <f t="shared" si="161"/>
        <v>#VALUE!</v>
      </c>
      <c r="G2593" s="13" t="e">
        <f t="shared" si="162"/>
        <v>#VALUE!</v>
      </c>
      <c r="J2593" t="str">
        <f>MAIN!A2598&amp;"B"</f>
        <v>B</v>
      </c>
      <c r="K2593" s="12" t="e">
        <f t="shared" si="163"/>
        <v>#VALUE!</v>
      </c>
      <c r="L2593" t="str">
        <f>MAIN!C2598</f>
        <v/>
      </c>
    </row>
    <row r="2594" spans="1:12" x14ac:dyDescent="0.3">
      <c r="A2594">
        <f>IF(J2594="0",0,IF(COUNTIF($J$2:J2594,J2594)=1,1,0))</f>
        <v>0</v>
      </c>
      <c r="B2594" s="12" t="e">
        <f>MID(MAIN!A2599,K2594,2)</f>
        <v>#VALUE!</v>
      </c>
      <c r="C2594" s="12" t="e">
        <f t="shared" si="160"/>
        <v>#VALUE!</v>
      </c>
      <c r="D2594" s="12" t="e">
        <f>MID(MAIN!A2599,K2594+2,2)</f>
        <v>#VALUE!</v>
      </c>
      <c r="E2594" s="12" t="e">
        <f>MID(MAIN!A2599,K2594+4,2)</f>
        <v>#VALUE!</v>
      </c>
      <c r="F2594" s="2" t="e">
        <f t="shared" si="161"/>
        <v>#VALUE!</v>
      </c>
      <c r="G2594" s="13" t="e">
        <f t="shared" si="162"/>
        <v>#VALUE!</v>
      </c>
      <c r="J2594" t="str">
        <f>MAIN!A2599&amp;"B"</f>
        <v>B</v>
      </c>
      <c r="K2594" s="12" t="e">
        <f t="shared" si="163"/>
        <v>#VALUE!</v>
      </c>
      <c r="L2594" t="str">
        <f>MAIN!C2599</f>
        <v/>
      </c>
    </row>
    <row r="2595" spans="1:12" x14ac:dyDescent="0.3">
      <c r="A2595">
        <f>IF(J2595="0",0,IF(COUNTIF($J$2:J2595,J2595)=1,1,0))</f>
        <v>0</v>
      </c>
      <c r="B2595" s="12" t="e">
        <f>MID(MAIN!A2600,K2595,2)</f>
        <v>#VALUE!</v>
      </c>
      <c r="C2595" s="12" t="e">
        <f t="shared" si="160"/>
        <v>#VALUE!</v>
      </c>
      <c r="D2595" s="12" t="e">
        <f>MID(MAIN!A2600,K2595+2,2)</f>
        <v>#VALUE!</v>
      </c>
      <c r="E2595" s="12" t="e">
        <f>MID(MAIN!A2600,K2595+4,2)</f>
        <v>#VALUE!</v>
      </c>
      <c r="F2595" s="2" t="e">
        <f t="shared" si="161"/>
        <v>#VALUE!</v>
      </c>
      <c r="G2595" s="13" t="e">
        <f t="shared" si="162"/>
        <v>#VALUE!</v>
      </c>
      <c r="J2595" t="str">
        <f>MAIN!A2600&amp;"B"</f>
        <v>B</v>
      </c>
      <c r="K2595" s="12" t="e">
        <f t="shared" si="163"/>
        <v>#VALUE!</v>
      </c>
      <c r="L2595" t="str">
        <f>MAIN!C2600</f>
        <v/>
      </c>
    </row>
    <row r="2596" spans="1:12" x14ac:dyDescent="0.3">
      <c r="A2596">
        <f>IF(J2596="0",0,IF(COUNTIF($J$2:J2596,J2596)=1,1,0))</f>
        <v>0</v>
      </c>
      <c r="B2596" s="12" t="e">
        <f>MID(MAIN!A2601,K2596,2)</f>
        <v>#VALUE!</v>
      </c>
      <c r="C2596" s="12" t="e">
        <f t="shared" si="160"/>
        <v>#VALUE!</v>
      </c>
      <c r="D2596" s="12" t="e">
        <f>MID(MAIN!A2601,K2596+2,2)</f>
        <v>#VALUE!</v>
      </c>
      <c r="E2596" s="12" t="e">
        <f>MID(MAIN!A2601,K2596+4,2)</f>
        <v>#VALUE!</v>
      </c>
      <c r="F2596" s="2" t="e">
        <f t="shared" si="161"/>
        <v>#VALUE!</v>
      </c>
      <c r="G2596" s="13" t="e">
        <f t="shared" si="162"/>
        <v>#VALUE!</v>
      </c>
      <c r="J2596" t="str">
        <f>MAIN!A2601&amp;"B"</f>
        <v>B</v>
      </c>
      <c r="K2596" s="12" t="e">
        <f t="shared" si="163"/>
        <v>#VALUE!</v>
      </c>
      <c r="L2596" t="str">
        <f>MAIN!C2601</f>
        <v/>
      </c>
    </row>
    <row r="2597" spans="1:12" x14ac:dyDescent="0.3">
      <c r="A2597">
        <f>IF(J2597="0",0,IF(COUNTIF($J$2:J2597,J2597)=1,1,0))</f>
        <v>0</v>
      </c>
      <c r="B2597" s="12" t="e">
        <f>MID(MAIN!A2602,K2597,2)</f>
        <v>#VALUE!</v>
      </c>
      <c r="C2597" s="12" t="e">
        <f t="shared" si="160"/>
        <v>#VALUE!</v>
      </c>
      <c r="D2597" s="12" t="e">
        <f>MID(MAIN!A2602,K2597+2,2)</f>
        <v>#VALUE!</v>
      </c>
      <c r="E2597" s="12" t="e">
        <f>MID(MAIN!A2602,K2597+4,2)</f>
        <v>#VALUE!</v>
      </c>
      <c r="F2597" s="2" t="e">
        <f t="shared" si="161"/>
        <v>#VALUE!</v>
      </c>
      <c r="G2597" s="13" t="e">
        <f t="shared" si="162"/>
        <v>#VALUE!</v>
      </c>
      <c r="J2597" t="str">
        <f>MAIN!A2602&amp;"B"</f>
        <v>B</v>
      </c>
      <c r="K2597" s="12" t="e">
        <f t="shared" si="163"/>
        <v>#VALUE!</v>
      </c>
      <c r="L2597" t="str">
        <f>MAIN!C2602</f>
        <v/>
      </c>
    </row>
    <row r="2598" spans="1:12" x14ac:dyDescent="0.3">
      <c r="A2598">
        <f>IF(J2598="0",0,IF(COUNTIF($J$2:J2598,J2598)=1,1,0))</f>
        <v>0</v>
      </c>
      <c r="B2598" s="12" t="e">
        <f>MID(MAIN!A2603,K2598,2)</f>
        <v>#VALUE!</v>
      </c>
      <c r="C2598" s="12" t="e">
        <f t="shared" si="160"/>
        <v>#VALUE!</v>
      </c>
      <c r="D2598" s="12" t="e">
        <f>MID(MAIN!A2603,K2598+2,2)</f>
        <v>#VALUE!</v>
      </c>
      <c r="E2598" s="12" t="e">
        <f>MID(MAIN!A2603,K2598+4,2)</f>
        <v>#VALUE!</v>
      </c>
      <c r="F2598" s="2" t="e">
        <f t="shared" si="161"/>
        <v>#VALUE!</v>
      </c>
      <c r="G2598" s="13" t="e">
        <f t="shared" si="162"/>
        <v>#VALUE!</v>
      </c>
      <c r="J2598" t="str">
        <f>MAIN!A2603&amp;"B"</f>
        <v>B</v>
      </c>
      <c r="K2598" s="12" t="e">
        <f t="shared" si="163"/>
        <v>#VALUE!</v>
      </c>
      <c r="L2598" t="str">
        <f>MAIN!C2603</f>
        <v/>
      </c>
    </row>
    <row r="2599" spans="1:12" x14ac:dyDescent="0.3">
      <c r="A2599">
        <f>IF(J2599="0",0,IF(COUNTIF($J$2:J2599,J2599)=1,1,0))</f>
        <v>0</v>
      </c>
      <c r="B2599" s="12" t="e">
        <f>MID(MAIN!A2604,K2599,2)</f>
        <v>#VALUE!</v>
      </c>
      <c r="C2599" s="12" t="e">
        <f t="shared" si="160"/>
        <v>#VALUE!</v>
      </c>
      <c r="D2599" s="12" t="e">
        <f>MID(MAIN!A2604,K2599+2,2)</f>
        <v>#VALUE!</v>
      </c>
      <c r="E2599" s="12" t="e">
        <f>MID(MAIN!A2604,K2599+4,2)</f>
        <v>#VALUE!</v>
      </c>
      <c r="F2599" s="2" t="e">
        <f t="shared" si="161"/>
        <v>#VALUE!</v>
      </c>
      <c r="G2599" s="13" t="e">
        <f t="shared" si="162"/>
        <v>#VALUE!</v>
      </c>
      <c r="J2599" t="str">
        <f>MAIN!A2604&amp;"B"</f>
        <v>B</v>
      </c>
      <c r="K2599" s="12" t="e">
        <f t="shared" si="163"/>
        <v>#VALUE!</v>
      </c>
      <c r="L2599" t="str">
        <f>MAIN!C2604</f>
        <v/>
      </c>
    </row>
    <row r="2600" spans="1:12" x14ac:dyDescent="0.3">
      <c r="A2600">
        <f>IF(J2600="0",0,IF(COUNTIF($J$2:J2600,J2600)=1,1,0))</f>
        <v>0</v>
      </c>
      <c r="B2600" s="12" t="e">
        <f>MID(MAIN!A2605,K2600,2)</f>
        <v>#VALUE!</v>
      </c>
      <c r="C2600" s="12" t="e">
        <f t="shared" si="160"/>
        <v>#VALUE!</v>
      </c>
      <c r="D2600" s="12" t="e">
        <f>MID(MAIN!A2605,K2600+2,2)</f>
        <v>#VALUE!</v>
      </c>
      <c r="E2600" s="12" t="e">
        <f>MID(MAIN!A2605,K2600+4,2)</f>
        <v>#VALUE!</v>
      </c>
      <c r="F2600" s="2" t="e">
        <f t="shared" si="161"/>
        <v>#VALUE!</v>
      </c>
      <c r="G2600" s="13" t="e">
        <f t="shared" si="162"/>
        <v>#VALUE!</v>
      </c>
      <c r="J2600" t="str">
        <f>MAIN!A2605&amp;"B"</f>
        <v>B</v>
      </c>
      <c r="K2600" s="12" t="e">
        <f t="shared" si="163"/>
        <v>#VALUE!</v>
      </c>
      <c r="L2600" t="str">
        <f>MAIN!C2605</f>
        <v/>
      </c>
    </row>
    <row r="2601" spans="1:12" x14ac:dyDescent="0.3">
      <c r="A2601">
        <f>IF(J2601="0",0,IF(COUNTIF($J$2:J2601,J2601)=1,1,0))</f>
        <v>0</v>
      </c>
      <c r="B2601" s="12" t="e">
        <f>MID(MAIN!A2606,K2601,2)</f>
        <v>#VALUE!</v>
      </c>
      <c r="C2601" s="12" t="e">
        <f t="shared" si="160"/>
        <v>#VALUE!</v>
      </c>
      <c r="D2601" s="12" t="e">
        <f>MID(MAIN!A2606,K2601+2,2)</f>
        <v>#VALUE!</v>
      </c>
      <c r="E2601" s="12" t="e">
        <f>MID(MAIN!A2606,K2601+4,2)</f>
        <v>#VALUE!</v>
      </c>
      <c r="F2601" s="2" t="e">
        <f t="shared" si="161"/>
        <v>#VALUE!</v>
      </c>
      <c r="G2601" s="13" t="e">
        <f t="shared" si="162"/>
        <v>#VALUE!</v>
      </c>
      <c r="J2601" t="str">
        <f>MAIN!A2606&amp;"B"</f>
        <v>B</v>
      </c>
      <c r="K2601" s="12" t="e">
        <f t="shared" si="163"/>
        <v>#VALUE!</v>
      </c>
      <c r="L2601" t="str">
        <f>MAIN!C2606</f>
        <v/>
      </c>
    </row>
    <row r="2602" spans="1:12" x14ac:dyDescent="0.3">
      <c r="A2602">
        <f>IF(J2602="0",0,IF(COUNTIF($J$2:J2602,J2602)=1,1,0))</f>
        <v>0</v>
      </c>
      <c r="B2602" s="12" t="e">
        <f>MID(MAIN!A2607,K2602,2)</f>
        <v>#VALUE!</v>
      </c>
      <c r="C2602" s="12" t="e">
        <f t="shared" si="160"/>
        <v>#VALUE!</v>
      </c>
      <c r="D2602" s="12" t="e">
        <f>MID(MAIN!A2607,K2602+2,2)</f>
        <v>#VALUE!</v>
      </c>
      <c r="E2602" s="12" t="e">
        <f>MID(MAIN!A2607,K2602+4,2)</f>
        <v>#VALUE!</v>
      </c>
      <c r="F2602" s="2" t="e">
        <f t="shared" si="161"/>
        <v>#VALUE!</v>
      </c>
      <c r="G2602" s="13" t="e">
        <f t="shared" si="162"/>
        <v>#VALUE!</v>
      </c>
      <c r="J2602" t="str">
        <f>MAIN!A2607&amp;"B"</f>
        <v>B</v>
      </c>
      <c r="K2602" s="12" t="e">
        <f t="shared" si="163"/>
        <v>#VALUE!</v>
      </c>
      <c r="L2602" t="str">
        <f>MAIN!C2607</f>
        <v/>
      </c>
    </row>
    <row r="2603" spans="1:12" x14ac:dyDescent="0.3">
      <c r="A2603">
        <f>IF(J2603="0",0,IF(COUNTIF($J$2:J2603,J2603)=1,1,0))</f>
        <v>0</v>
      </c>
      <c r="B2603" s="12" t="e">
        <f>MID(MAIN!A2608,K2603,2)</f>
        <v>#VALUE!</v>
      </c>
      <c r="C2603" s="12" t="e">
        <f t="shared" si="160"/>
        <v>#VALUE!</v>
      </c>
      <c r="D2603" s="12" t="e">
        <f>MID(MAIN!A2608,K2603+2,2)</f>
        <v>#VALUE!</v>
      </c>
      <c r="E2603" s="12" t="e">
        <f>MID(MAIN!A2608,K2603+4,2)</f>
        <v>#VALUE!</v>
      </c>
      <c r="F2603" s="2" t="e">
        <f t="shared" si="161"/>
        <v>#VALUE!</v>
      </c>
      <c r="G2603" s="13" t="e">
        <f t="shared" si="162"/>
        <v>#VALUE!</v>
      </c>
      <c r="J2603" t="str">
        <f>MAIN!A2608&amp;"B"</f>
        <v>B</v>
      </c>
      <c r="K2603" s="12" t="e">
        <f t="shared" si="163"/>
        <v>#VALUE!</v>
      </c>
      <c r="L2603" t="str">
        <f>MAIN!C2608</f>
        <v/>
      </c>
    </row>
    <row r="2604" spans="1:12" x14ac:dyDescent="0.3">
      <c r="A2604">
        <f>IF(J2604="0",0,IF(COUNTIF($J$2:J2604,J2604)=1,1,0))</f>
        <v>0</v>
      </c>
      <c r="B2604" s="12" t="e">
        <f>MID(MAIN!A2609,K2604,2)</f>
        <v>#VALUE!</v>
      </c>
      <c r="C2604" s="12" t="e">
        <f t="shared" si="160"/>
        <v>#VALUE!</v>
      </c>
      <c r="D2604" s="12" t="e">
        <f>MID(MAIN!A2609,K2604+2,2)</f>
        <v>#VALUE!</v>
      </c>
      <c r="E2604" s="12" t="e">
        <f>MID(MAIN!A2609,K2604+4,2)</f>
        <v>#VALUE!</v>
      </c>
      <c r="F2604" s="2" t="e">
        <f t="shared" si="161"/>
        <v>#VALUE!</v>
      </c>
      <c r="G2604" s="13" t="e">
        <f t="shared" si="162"/>
        <v>#VALUE!</v>
      </c>
      <c r="J2604" t="str">
        <f>MAIN!A2609&amp;"B"</f>
        <v>B</v>
      </c>
      <c r="K2604" s="12" t="e">
        <f t="shared" si="163"/>
        <v>#VALUE!</v>
      </c>
      <c r="L2604" t="str">
        <f>MAIN!C2609</f>
        <v/>
      </c>
    </row>
    <row r="2605" spans="1:12" x14ac:dyDescent="0.3">
      <c r="A2605">
        <f>IF(J2605="0",0,IF(COUNTIF($J$2:J2605,J2605)=1,1,0))</f>
        <v>0</v>
      </c>
      <c r="B2605" s="12" t="e">
        <f>MID(MAIN!A2610,K2605,2)</f>
        <v>#VALUE!</v>
      </c>
      <c r="C2605" s="12" t="e">
        <f t="shared" si="160"/>
        <v>#VALUE!</v>
      </c>
      <c r="D2605" s="12" t="e">
        <f>MID(MAIN!A2610,K2605+2,2)</f>
        <v>#VALUE!</v>
      </c>
      <c r="E2605" s="12" t="e">
        <f>MID(MAIN!A2610,K2605+4,2)</f>
        <v>#VALUE!</v>
      </c>
      <c r="F2605" s="2" t="e">
        <f t="shared" si="161"/>
        <v>#VALUE!</v>
      </c>
      <c r="G2605" s="13" t="e">
        <f t="shared" si="162"/>
        <v>#VALUE!</v>
      </c>
      <c r="J2605" t="str">
        <f>MAIN!A2610&amp;"B"</f>
        <v>B</v>
      </c>
      <c r="K2605" s="12" t="e">
        <f t="shared" si="163"/>
        <v>#VALUE!</v>
      </c>
      <c r="L2605" t="str">
        <f>MAIN!C2610</f>
        <v/>
      </c>
    </row>
    <row r="2606" spans="1:12" x14ac:dyDescent="0.3">
      <c r="A2606">
        <f>IF(J2606="0",0,IF(COUNTIF($J$2:J2606,J2606)=1,1,0))</f>
        <v>0</v>
      </c>
      <c r="B2606" s="12" t="e">
        <f>MID(MAIN!A2611,K2606,2)</f>
        <v>#VALUE!</v>
      </c>
      <c r="C2606" s="12" t="e">
        <f t="shared" si="160"/>
        <v>#VALUE!</v>
      </c>
      <c r="D2606" s="12" t="e">
        <f>MID(MAIN!A2611,K2606+2,2)</f>
        <v>#VALUE!</v>
      </c>
      <c r="E2606" s="12" t="e">
        <f>MID(MAIN!A2611,K2606+4,2)</f>
        <v>#VALUE!</v>
      </c>
      <c r="F2606" s="2" t="e">
        <f t="shared" si="161"/>
        <v>#VALUE!</v>
      </c>
      <c r="G2606" s="13" t="e">
        <f t="shared" si="162"/>
        <v>#VALUE!</v>
      </c>
      <c r="J2606" t="str">
        <f>MAIN!A2611&amp;"B"</f>
        <v>B</v>
      </c>
      <c r="K2606" s="12" t="e">
        <f t="shared" si="163"/>
        <v>#VALUE!</v>
      </c>
      <c r="L2606" t="str">
        <f>MAIN!C2611</f>
        <v/>
      </c>
    </row>
    <row r="2607" spans="1:12" x14ac:dyDescent="0.3">
      <c r="A2607">
        <f>IF(J2607="0",0,IF(COUNTIF($J$2:J2607,J2607)=1,1,0))</f>
        <v>0</v>
      </c>
      <c r="B2607" s="12" t="e">
        <f>MID(MAIN!A2612,K2607,2)</f>
        <v>#VALUE!</v>
      </c>
      <c r="C2607" s="12" t="e">
        <f t="shared" si="160"/>
        <v>#VALUE!</v>
      </c>
      <c r="D2607" s="12" t="e">
        <f>MID(MAIN!A2612,K2607+2,2)</f>
        <v>#VALUE!</v>
      </c>
      <c r="E2607" s="12" t="e">
        <f>MID(MAIN!A2612,K2607+4,2)</f>
        <v>#VALUE!</v>
      </c>
      <c r="F2607" s="2" t="e">
        <f t="shared" si="161"/>
        <v>#VALUE!</v>
      </c>
      <c r="G2607" s="13" t="e">
        <f t="shared" si="162"/>
        <v>#VALUE!</v>
      </c>
      <c r="J2607" t="str">
        <f>MAIN!A2612&amp;"B"</f>
        <v>B</v>
      </c>
      <c r="K2607" s="12" t="e">
        <f t="shared" si="163"/>
        <v>#VALUE!</v>
      </c>
      <c r="L2607" t="str">
        <f>MAIN!C2612</f>
        <v/>
      </c>
    </row>
    <row r="2608" spans="1:12" x14ac:dyDescent="0.3">
      <c r="A2608">
        <f>IF(J2608="0",0,IF(COUNTIF($J$2:J2608,J2608)=1,1,0))</f>
        <v>0</v>
      </c>
      <c r="B2608" s="12" t="e">
        <f>MID(MAIN!A2613,K2608,2)</f>
        <v>#VALUE!</v>
      </c>
      <c r="C2608" s="12" t="e">
        <f t="shared" si="160"/>
        <v>#VALUE!</v>
      </c>
      <c r="D2608" s="12" t="e">
        <f>MID(MAIN!A2613,K2608+2,2)</f>
        <v>#VALUE!</v>
      </c>
      <c r="E2608" s="12" t="e">
        <f>MID(MAIN!A2613,K2608+4,2)</f>
        <v>#VALUE!</v>
      </c>
      <c r="F2608" s="2" t="e">
        <f t="shared" si="161"/>
        <v>#VALUE!</v>
      </c>
      <c r="G2608" s="13" t="e">
        <f t="shared" si="162"/>
        <v>#VALUE!</v>
      </c>
      <c r="J2608" t="str">
        <f>MAIN!A2613&amp;"B"</f>
        <v>B</v>
      </c>
      <c r="K2608" s="12" t="e">
        <f t="shared" si="163"/>
        <v>#VALUE!</v>
      </c>
      <c r="L2608" t="str">
        <f>MAIN!C2613</f>
        <v/>
      </c>
    </row>
    <row r="2609" spans="1:12" x14ac:dyDescent="0.3">
      <c r="A2609">
        <f>IF(J2609="0",0,IF(COUNTIF($J$2:J2609,J2609)=1,1,0))</f>
        <v>0</v>
      </c>
      <c r="B2609" s="12" t="e">
        <f>MID(MAIN!A2614,K2609,2)</f>
        <v>#VALUE!</v>
      </c>
      <c r="C2609" s="12" t="e">
        <f t="shared" si="160"/>
        <v>#VALUE!</v>
      </c>
      <c r="D2609" s="12" t="e">
        <f>MID(MAIN!A2614,K2609+2,2)</f>
        <v>#VALUE!</v>
      </c>
      <c r="E2609" s="12" t="e">
        <f>MID(MAIN!A2614,K2609+4,2)</f>
        <v>#VALUE!</v>
      </c>
      <c r="F2609" s="2" t="e">
        <f t="shared" si="161"/>
        <v>#VALUE!</v>
      </c>
      <c r="G2609" s="13" t="e">
        <f t="shared" si="162"/>
        <v>#VALUE!</v>
      </c>
      <c r="J2609" t="str">
        <f>MAIN!A2614&amp;"B"</f>
        <v>B</v>
      </c>
      <c r="K2609" s="12" t="e">
        <f t="shared" si="163"/>
        <v>#VALUE!</v>
      </c>
      <c r="L2609" t="str">
        <f>MAIN!C2614</f>
        <v/>
      </c>
    </row>
    <row r="2610" spans="1:12" x14ac:dyDescent="0.3">
      <c r="A2610">
        <f>IF(J2610="0",0,IF(COUNTIF($J$2:J2610,J2610)=1,1,0))</f>
        <v>0</v>
      </c>
      <c r="B2610" s="12" t="e">
        <f>MID(MAIN!A2615,K2610,2)</f>
        <v>#VALUE!</v>
      </c>
      <c r="C2610" s="12" t="e">
        <f t="shared" si="160"/>
        <v>#VALUE!</v>
      </c>
      <c r="D2610" s="12" t="e">
        <f>MID(MAIN!A2615,K2610+2,2)</f>
        <v>#VALUE!</v>
      </c>
      <c r="E2610" s="12" t="e">
        <f>MID(MAIN!A2615,K2610+4,2)</f>
        <v>#VALUE!</v>
      </c>
      <c r="F2610" s="2" t="e">
        <f t="shared" si="161"/>
        <v>#VALUE!</v>
      </c>
      <c r="G2610" s="13" t="e">
        <f t="shared" si="162"/>
        <v>#VALUE!</v>
      </c>
      <c r="J2610" t="str">
        <f>MAIN!A2615&amp;"B"</f>
        <v>B</v>
      </c>
      <c r="K2610" s="12" t="e">
        <f t="shared" si="163"/>
        <v>#VALUE!</v>
      </c>
      <c r="L2610" t="str">
        <f>MAIN!C2615</f>
        <v/>
      </c>
    </row>
    <row r="2611" spans="1:12" x14ac:dyDescent="0.3">
      <c r="A2611">
        <f>IF(J2611="0",0,IF(COUNTIF($J$2:J2611,J2611)=1,1,0))</f>
        <v>0</v>
      </c>
      <c r="B2611" s="12" t="e">
        <f>MID(MAIN!A2616,K2611,2)</f>
        <v>#VALUE!</v>
      </c>
      <c r="C2611" s="12" t="e">
        <f t="shared" si="160"/>
        <v>#VALUE!</v>
      </c>
      <c r="D2611" s="12" t="e">
        <f>MID(MAIN!A2616,K2611+2,2)</f>
        <v>#VALUE!</v>
      </c>
      <c r="E2611" s="12" t="e">
        <f>MID(MAIN!A2616,K2611+4,2)</f>
        <v>#VALUE!</v>
      </c>
      <c r="F2611" s="2" t="e">
        <f t="shared" si="161"/>
        <v>#VALUE!</v>
      </c>
      <c r="G2611" s="13" t="e">
        <f t="shared" si="162"/>
        <v>#VALUE!</v>
      </c>
      <c r="J2611" t="str">
        <f>MAIN!A2616&amp;"B"</f>
        <v>B</v>
      </c>
      <c r="K2611" s="12" t="e">
        <f t="shared" si="163"/>
        <v>#VALUE!</v>
      </c>
      <c r="L2611" t="str">
        <f>MAIN!C2616</f>
        <v/>
      </c>
    </row>
    <row r="2612" spans="1:12" x14ac:dyDescent="0.3">
      <c r="A2612">
        <f>IF(J2612="0",0,IF(COUNTIF($J$2:J2612,J2612)=1,1,0))</f>
        <v>0</v>
      </c>
      <c r="B2612" s="12" t="e">
        <f>MID(MAIN!A2617,K2612,2)</f>
        <v>#VALUE!</v>
      </c>
      <c r="C2612" s="12" t="e">
        <f t="shared" si="160"/>
        <v>#VALUE!</v>
      </c>
      <c r="D2612" s="12" t="e">
        <f>MID(MAIN!A2617,K2612+2,2)</f>
        <v>#VALUE!</v>
      </c>
      <c r="E2612" s="12" t="e">
        <f>MID(MAIN!A2617,K2612+4,2)</f>
        <v>#VALUE!</v>
      </c>
      <c r="F2612" s="2" t="e">
        <f t="shared" si="161"/>
        <v>#VALUE!</v>
      </c>
      <c r="G2612" s="13" t="e">
        <f t="shared" si="162"/>
        <v>#VALUE!</v>
      </c>
      <c r="J2612" t="str">
        <f>MAIN!A2617&amp;"B"</f>
        <v>B</v>
      </c>
      <c r="K2612" s="12" t="e">
        <f t="shared" si="163"/>
        <v>#VALUE!</v>
      </c>
      <c r="L2612" t="str">
        <f>MAIN!C2617</f>
        <v/>
      </c>
    </row>
    <row r="2613" spans="1:12" x14ac:dyDescent="0.3">
      <c r="A2613">
        <f>IF(J2613="0",0,IF(COUNTIF($J$2:J2613,J2613)=1,1,0))</f>
        <v>0</v>
      </c>
      <c r="B2613" s="12" t="e">
        <f>MID(MAIN!A2618,K2613,2)</f>
        <v>#VALUE!</v>
      </c>
      <c r="C2613" s="12" t="e">
        <f t="shared" si="160"/>
        <v>#VALUE!</v>
      </c>
      <c r="D2613" s="12" t="e">
        <f>MID(MAIN!A2618,K2613+2,2)</f>
        <v>#VALUE!</v>
      </c>
      <c r="E2613" s="12" t="e">
        <f>MID(MAIN!A2618,K2613+4,2)</f>
        <v>#VALUE!</v>
      </c>
      <c r="F2613" s="2" t="e">
        <f t="shared" si="161"/>
        <v>#VALUE!</v>
      </c>
      <c r="G2613" s="13" t="e">
        <f t="shared" si="162"/>
        <v>#VALUE!</v>
      </c>
      <c r="J2613" t="str">
        <f>MAIN!A2618&amp;"B"</f>
        <v>B</v>
      </c>
      <c r="K2613" s="12" t="e">
        <f t="shared" si="163"/>
        <v>#VALUE!</v>
      </c>
      <c r="L2613" t="str">
        <f>MAIN!C2618</f>
        <v/>
      </c>
    </row>
    <row r="2614" spans="1:12" x14ac:dyDescent="0.3">
      <c r="A2614">
        <f>IF(J2614="0",0,IF(COUNTIF($J$2:J2614,J2614)=1,1,0))</f>
        <v>0</v>
      </c>
      <c r="B2614" s="12" t="e">
        <f>MID(MAIN!A2619,K2614,2)</f>
        <v>#VALUE!</v>
      </c>
      <c r="C2614" s="12" t="e">
        <f t="shared" si="160"/>
        <v>#VALUE!</v>
      </c>
      <c r="D2614" s="12" t="e">
        <f>MID(MAIN!A2619,K2614+2,2)</f>
        <v>#VALUE!</v>
      </c>
      <c r="E2614" s="12" t="e">
        <f>MID(MAIN!A2619,K2614+4,2)</f>
        <v>#VALUE!</v>
      </c>
      <c r="F2614" s="2" t="e">
        <f t="shared" si="161"/>
        <v>#VALUE!</v>
      </c>
      <c r="G2614" s="13" t="e">
        <f t="shared" si="162"/>
        <v>#VALUE!</v>
      </c>
      <c r="J2614" t="str">
        <f>MAIN!A2619&amp;"B"</f>
        <v>B</v>
      </c>
      <c r="K2614" s="12" t="e">
        <f t="shared" si="163"/>
        <v>#VALUE!</v>
      </c>
      <c r="L2614" t="str">
        <f>MAIN!C2619</f>
        <v/>
      </c>
    </row>
    <row r="2615" spans="1:12" x14ac:dyDescent="0.3">
      <c r="A2615">
        <f>IF(J2615="0",0,IF(COUNTIF($J$2:J2615,J2615)=1,1,0))</f>
        <v>0</v>
      </c>
      <c r="B2615" s="12" t="e">
        <f>MID(MAIN!A2620,K2615,2)</f>
        <v>#VALUE!</v>
      </c>
      <c r="C2615" s="12" t="e">
        <f t="shared" si="160"/>
        <v>#VALUE!</v>
      </c>
      <c r="D2615" s="12" t="e">
        <f>MID(MAIN!A2620,K2615+2,2)</f>
        <v>#VALUE!</v>
      </c>
      <c r="E2615" s="12" t="e">
        <f>MID(MAIN!A2620,K2615+4,2)</f>
        <v>#VALUE!</v>
      </c>
      <c r="F2615" s="2" t="e">
        <f t="shared" si="161"/>
        <v>#VALUE!</v>
      </c>
      <c r="G2615" s="13" t="e">
        <f t="shared" si="162"/>
        <v>#VALUE!</v>
      </c>
      <c r="J2615" t="str">
        <f>MAIN!A2620&amp;"B"</f>
        <v>B</v>
      </c>
      <c r="K2615" s="12" t="e">
        <f t="shared" si="163"/>
        <v>#VALUE!</v>
      </c>
      <c r="L2615" t="str">
        <f>MAIN!C2620</f>
        <v/>
      </c>
    </row>
    <row r="2616" spans="1:12" x14ac:dyDescent="0.3">
      <c r="A2616">
        <f>IF(J2616="0",0,IF(COUNTIF($J$2:J2616,J2616)=1,1,0))</f>
        <v>0</v>
      </c>
      <c r="B2616" s="12" t="e">
        <f>MID(MAIN!A2621,K2616,2)</f>
        <v>#VALUE!</v>
      </c>
      <c r="C2616" s="12" t="e">
        <f t="shared" si="160"/>
        <v>#VALUE!</v>
      </c>
      <c r="D2616" s="12" t="e">
        <f>MID(MAIN!A2621,K2616+2,2)</f>
        <v>#VALUE!</v>
      </c>
      <c r="E2616" s="12" t="e">
        <f>MID(MAIN!A2621,K2616+4,2)</f>
        <v>#VALUE!</v>
      </c>
      <c r="F2616" s="2" t="e">
        <f t="shared" si="161"/>
        <v>#VALUE!</v>
      </c>
      <c r="G2616" s="13" t="e">
        <f t="shared" si="162"/>
        <v>#VALUE!</v>
      </c>
      <c r="J2616" t="str">
        <f>MAIN!A2621&amp;"B"</f>
        <v>B</v>
      </c>
      <c r="K2616" s="12" t="e">
        <f t="shared" si="163"/>
        <v>#VALUE!</v>
      </c>
      <c r="L2616" t="str">
        <f>MAIN!C2621</f>
        <v/>
      </c>
    </row>
    <row r="2617" spans="1:12" x14ac:dyDescent="0.3">
      <c r="A2617">
        <f>IF(J2617="0",0,IF(COUNTIF($J$2:J2617,J2617)=1,1,0))</f>
        <v>0</v>
      </c>
      <c r="B2617" s="12" t="e">
        <f>MID(MAIN!A2622,K2617,2)</f>
        <v>#VALUE!</v>
      </c>
      <c r="C2617" s="12" t="e">
        <f t="shared" si="160"/>
        <v>#VALUE!</v>
      </c>
      <c r="D2617" s="12" t="e">
        <f>MID(MAIN!A2622,K2617+2,2)</f>
        <v>#VALUE!</v>
      </c>
      <c r="E2617" s="12" t="e">
        <f>MID(MAIN!A2622,K2617+4,2)</f>
        <v>#VALUE!</v>
      </c>
      <c r="F2617" s="2" t="e">
        <f t="shared" si="161"/>
        <v>#VALUE!</v>
      </c>
      <c r="G2617" s="13" t="e">
        <f t="shared" si="162"/>
        <v>#VALUE!</v>
      </c>
      <c r="J2617" t="str">
        <f>MAIN!A2622&amp;"B"</f>
        <v>B</v>
      </c>
      <c r="K2617" s="12" t="e">
        <f t="shared" si="163"/>
        <v>#VALUE!</v>
      </c>
      <c r="L2617" t="str">
        <f>MAIN!C2622</f>
        <v/>
      </c>
    </row>
    <row r="2618" spans="1:12" x14ac:dyDescent="0.3">
      <c r="A2618">
        <f>IF(J2618="0",0,IF(COUNTIF($J$2:J2618,J2618)=1,1,0))</f>
        <v>0</v>
      </c>
      <c r="B2618" s="12" t="e">
        <f>MID(MAIN!A2623,K2618,2)</f>
        <v>#VALUE!</v>
      </c>
      <c r="C2618" s="12" t="e">
        <f t="shared" si="160"/>
        <v>#VALUE!</v>
      </c>
      <c r="D2618" s="12" t="e">
        <f>MID(MAIN!A2623,K2618+2,2)</f>
        <v>#VALUE!</v>
      </c>
      <c r="E2618" s="12" t="e">
        <f>MID(MAIN!A2623,K2618+4,2)</f>
        <v>#VALUE!</v>
      </c>
      <c r="F2618" s="2" t="e">
        <f t="shared" si="161"/>
        <v>#VALUE!</v>
      </c>
      <c r="G2618" s="13" t="e">
        <f t="shared" si="162"/>
        <v>#VALUE!</v>
      </c>
      <c r="J2618" t="str">
        <f>MAIN!A2623&amp;"B"</f>
        <v>B</v>
      </c>
      <c r="K2618" s="12" t="e">
        <f t="shared" si="163"/>
        <v>#VALUE!</v>
      </c>
      <c r="L2618" t="str">
        <f>MAIN!C2623</f>
        <v/>
      </c>
    </row>
    <row r="2619" spans="1:12" x14ac:dyDescent="0.3">
      <c r="A2619">
        <f>IF(J2619="0",0,IF(COUNTIF($J$2:J2619,J2619)=1,1,0))</f>
        <v>0</v>
      </c>
      <c r="B2619" s="12" t="e">
        <f>MID(MAIN!A2624,K2619,2)</f>
        <v>#VALUE!</v>
      </c>
      <c r="C2619" s="12" t="e">
        <f t="shared" si="160"/>
        <v>#VALUE!</v>
      </c>
      <c r="D2619" s="12" t="e">
        <f>MID(MAIN!A2624,K2619+2,2)</f>
        <v>#VALUE!</v>
      </c>
      <c r="E2619" s="12" t="e">
        <f>MID(MAIN!A2624,K2619+4,2)</f>
        <v>#VALUE!</v>
      </c>
      <c r="F2619" s="2" t="e">
        <f t="shared" si="161"/>
        <v>#VALUE!</v>
      </c>
      <c r="G2619" s="13" t="e">
        <f t="shared" si="162"/>
        <v>#VALUE!</v>
      </c>
      <c r="J2619" t="str">
        <f>MAIN!A2624&amp;"B"</f>
        <v>B</v>
      </c>
      <c r="K2619" s="12" t="e">
        <f t="shared" si="163"/>
        <v>#VALUE!</v>
      </c>
      <c r="L2619" t="str">
        <f>MAIN!C2624</f>
        <v/>
      </c>
    </row>
    <row r="2620" spans="1:12" x14ac:dyDescent="0.3">
      <c r="A2620">
        <f>IF(J2620="0",0,IF(COUNTIF($J$2:J2620,J2620)=1,1,0))</f>
        <v>0</v>
      </c>
      <c r="B2620" s="12" t="e">
        <f>MID(MAIN!A2625,K2620,2)</f>
        <v>#VALUE!</v>
      </c>
      <c r="C2620" s="12" t="e">
        <f t="shared" si="160"/>
        <v>#VALUE!</v>
      </c>
      <c r="D2620" s="12" t="e">
        <f>MID(MAIN!A2625,K2620+2,2)</f>
        <v>#VALUE!</v>
      </c>
      <c r="E2620" s="12" t="e">
        <f>MID(MAIN!A2625,K2620+4,2)</f>
        <v>#VALUE!</v>
      </c>
      <c r="F2620" s="2" t="e">
        <f t="shared" si="161"/>
        <v>#VALUE!</v>
      </c>
      <c r="G2620" s="13" t="e">
        <f t="shared" si="162"/>
        <v>#VALUE!</v>
      </c>
      <c r="J2620" t="str">
        <f>MAIN!A2625&amp;"B"</f>
        <v>B</v>
      </c>
      <c r="K2620" s="12" t="e">
        <f t="shared" si="163"/>
        <v>#VALUE!</v>
      </c>
      <c r="L2620" t="str">
        <f>MAIN!C2625</f>
        <v/>
      </c>
    </row>
    <row r="2621" spans="1:12" x14ac:dyDescent="0.3">
      <c r="A2621">
        <f>IF(J2621="0",0,IF(COUNTIF($J$2:J2621,J2621)=1,1,0))</f>
        <v>0</v>
      </c>
      <c r="B2621" s="12" t="e">
        <f>MID(MAIN!A2626,K2621,2)</f>
        <v>#VALUE!</v>
      </c>
      <c r="C2621" s="12" t="e">
        <f t="shared" si="160"/>
        <v>#VALUE!</v>
      </c>
      <c r="D2621" s="12" t="e">
        <f>MID(MAIN!A2626,K2621+2,2)</f>
        <v>#VALUE!</v>
      </c>
      <c r="E2621" s="12" t="e">
        <f>MID(MAIN!A2626,K2621+4,2)</f>
        <v>#VALUE!</v>
      </c>
      <c r="F2621" s="2" t="e">
        <f t="shared" si="161"/>
        <v>#VALUE!</v>
      </c>
      <c r="G2621" s="13" t="e">
        <f t="shared" si="162"/>
        <v>#VALUE!</v>
      </c>
      <c r="J2621" t="str">
        <f>MAIN!A2626&amp;"B"</f>
        <v>B</v>
      </c>
      <c r="K2621" s="12" t="e">
        <f t="shared" si="163"/>
        <v>#VALUE!</v>
      </c>
      <c r="L2621" t="str">
        <f>MAIN!C2626</f>
        <v/>
      </c>
    </row>
    <row r="2622" spans="1:12" x14ac:dyDescent="0.3">
      <c r="A2622">
        <f>IF(J2622="0",0,IF(COUNTIF($J$2:J2622,J2622)=1,1,0))</f>
        <v>0</v>
      </c>
      <c r="B2622" s="12" t="e">
        <f>MID(MAIN!A2627,K2622,2)</f>
        <v>#VALUE!</v>
      </c>
      <c r="C2622" s="12" t="e">
        <f t="shared" si="160"/>
        <v>#VALUE!</v>
      </c>
      <c r="D2622" s="12" t="e">
        <f>MID(MAIN!A2627,K2622+2,2)</f>
        <v>#VALUE!</v>
      </c>
      <c r="E2622" s="12" t="e">
        <f>MID(MAIN!A2627,K2622+4,2)</f>
        <v>#VALUE!</v>
      </c>
      <c r="F2622" s="2" t="e">
        <f t="shared" si="161"/>
        <v>#VALUE!</v>
      </c>
      <c r="G2622" s="13" t="e">
        <f t="shared" si="162"/>
        <v>#VALUE!</v>
      </c>
      <c r="J2622" t="str">
        <f>MAIN!A2627&amp;"B"</f>
        <v>B</v>
      </c>
      <c r="K2622" s="12" t="e">
        <f t="shared" si="163"/>
        <v>#VALUE!</v>
      </c>
      <c r="L2622" t="str">
        <f>MAIN!C2627</f>
        <v/>
      </c>
    </row>
    <row r="2623" spans="1:12" x14ac:dyDescent="0.3">
      <c r="A2623">
        <f>IF(J2623="0",0,IF(COUNTIF($J$2:J2623,J2623)=1,1,0))</f>
        <v>0</v>
      </c>
      <c r="B2623" s="12" t="e">
        <f>MID(MAIN!A2628,K2623,2)</f>
        <v>#VALUE!</v>
      </c>
      <c r="C2623" s="12" t="e">
        <f t="shared" si="160"/>
        <v>#VALUE!</v>
      </c>
      <c r="D2623" s="12" t="e">
        <f>MID(MAIN!A2628,K2623+2,2)</f>
        <v>#VALUE!</v>
      </c>
      <c r="E2623" s="12" t="e">
        <f>MID(MAIN!A2628,K2623+4,2)</f>
        <v>#VALUE!</v>
      </c>
      <c r="F2623" s="2" t="e">
        <f t="shared" si="161"/>
        <v>#VALUE!</v>
      </c>
      <c r="G2623" s="13" t="e">
        <f t="shared" si="162"/>
        <v>#VALUE!</v>
      </c>
      <c r="J2623" t="str">
        <f>MAIN!A2628&amp;"B"</f>
        <v>B</v>
      </c>
      <c r="K2623" s="12" t="e">
        <f t="shared" si="163"/>
        <v>#VALUE!</v>
      </c>
      <c r="L2623" t="str">
        <f>MAIN!C2628</f>
        <v/>
      </c>
    </row>
    <row r="2624" spans="1:12" x14ac:dyDescent="0.3">
      <c r="A2624">
        <f>IF(J2624="0",0,IF(COUNTIF($J$2:J2624,J2624)=1,1,0))</f>
        <v>0</v>
      </c>
      <c r="B2624" s="12" t="e">
        <f>MID(MAIN!A2629,K2624,2)</f>
        <v>#VALUE!</v>
      </c>
      <c r="C2624" s="12" t="e">
        <f t="shared" si="160"/>
        <v>#VALUE!</v>
      </c>
      <c r="D2624" s="12" t="e">
        <f>MID(MAIN!A2629,K2624+2,2)</f>
        <v>#VALUE!</v>
      </c>
      <c r="E2624" s="12" t="e">
        <f>MID(MAIN!A2629,K2624+4,2)</f>
        <v>#VALUE!</v>
      </c>
      <c r="F2624" s="2" t="e">
        <f t="shared" si="161"/>
        <v>#VALUE!</v>
      </c>
      <c r="G2624" s="13" t="e">
        <f t="shared" si="162"/>
        <v>#VALUE!</v>
      </c>
      <c r="J2624" t="str">
        <f>MAIN!A2629&amp;"B"</f>
        <v>B</v>
      </c>
      <c r="K2624" s="12" t="e">
        <f t="shared" si="163"/>
        <v>#VALUE!</v>
      </c>
      <c r="L2624" t="str">
        <f>MAIN!C2629</f>
        <v/>
      </c>
    </row>
    <row r="2625" spans="1:12" x14ac:dyDescent="0.3">
      <c r="A2625">
        <f>IF(J2625="0",0,IF(COUNTIF($J$2:J2625,J2625)=1,1,0))</f>
        <v>0</v>
      </c>
      <c r="B2625" s="12" t="e">
        <f>MID(MAIN!A2630,K2625,2)</f>
        <v>#VALUE!</v>
      </c>
      <c r="C2625" s="12" t="e">
        <f t="shared" si="160"/>
        <v>#VALUE!</v>
      </c>
      <c r="D2625" s="12" t="e">
        <f>MID(MAIN!A2630,K2625+2,2)</f>
        <v>#VALUE!</v>
      </c>
      <c r="E2625" s="12" t="e">
        <f>MID(MAIN!A2630,K2625+4,2)</f>
        <v>#VALUE!</v>
      </c>
      <c r="F2625" s="2" t="e">
        <f t="shared" si="161"/>
        <v>#VALUE!</v>
      </c>
      <c r="G2625" s="13" t="e">
        <f t="shared" si="162"/>
        <v>#VALUE!</v>
      </c>
      <c r="J2625" t="str">
        <f>MAIN!A2630&amp;"B"</f>
        <v>B</v>
      </c>
      <c r="K2625" s="12" t="e">
        <f t="shared" si="163"/>
        <v>#VALUE!</v>
      </c>
      <c r="L2625" t="str">
        <f>MAIN!C2630</f>
        <v/>
      </c>
    </row>
    <row r="2626" spans="1:12" x14ac:dyDescent="0.3">
      <c r="A2626">
        <f>IF(J2626="0",0,IF(COUNTIF($J$2:J2626,J2626)=1,1,0))</f>
        <v>0</v>
      </c>
      <c r="B2626" s="12" t="e">
        <f>MID(MAIN!A2631,K2626,2)</f>
        <v>#VALUE!</v>
      </c>
      <c r="C2626" s="12" t="e">
        <f t="shared" si="160"/>
        <v>#VALUE!</v>
      </c>
      <c r="D2626" s="12" t="e">
        <f>MID(MAIN!A2631,K2626+2,2)</f>
        <v>#VALUE!</v>
      </c>
      <c r="E2626" s="12" t="e">
        <f>MID(MAIN!A2631,K2626+4,2)</f>
        <v>#VALUE!</v>
      </c>
      <c r="F2626" s="2" t="e">
        <f t="shared" si="161"/>
        <v>#VALUE!</v>
      </c>
      <c r="G2626" s="13" t="e">
        <f t="shared" si="162"/>
        <v>#VALUE!</v>
      </c>
      <c r="J2626" t="str">
        <f>MAIN!A2631&amp;"B"</f>
        <v>B</v>
      </c>
      <c r="K2626" s="12" t="e">
        <f t="shared" si="163"/>
        <v>#VALUE!</v>
      </c>
      <c r="L2626" t="str">
        <f>MAIN!C2631</f>
        <v/>
      </c>
    </row>
    <row r="2627" spans="1:12" x14ac:dyDescent="0.3">
      <c r="A2627">
        <f>IF(J2627="0",0,IF(COUNTIF($J$2:J2627,J2627)=1,1,0))</f>
        <v>0</v>
      </c>
      <c r="B2627" s="12" t="e">
        <f>MID(MAIN!A2632,K2627,2)</f>
        <v>#VALUE!</v>
      </c>
      <c r="C2627" s="12" t="e">
        <f t="shared" ref="C2627:C2690" si="164">"20"&amp;B2627</f>
        <v>#VALUE!</v>
      </c>
      <c r="D2627" s="12" t="e">
        <f>MID(MAIN!A2632,K2627+2,2)</f>
        <v>#VALUE!</v>
      </c>
      <c r="E2627" s="12" t="e">
        <f>MID(MAIN!A2632,K2627+4,2)</f>
        <v>#VALUE!</v>
      </c>
      <c r="F2627" s="2" t="e">
        <f t="shared" ref="F2627:F2690" si="165">C2627&amp;"/"&amp;D2627&amp;"/"&amp;E2627</f>
        <v>#VALUE!</v>
      </c>
      <c r="G2627" s="13" t="e">
        <f t="shared" ref="G2627:G2690" si="166">DATEVALUE(F2627)</f>
        <v>#VALUE!</v>
      </c>
      <c r="J2627" t="str">
        <f>MAIN!A2632&amp;"B"</f>
        <v>B</v>
      </c>
      <c r="K2627" s="12" t="e">
        <f t="shared" ref="K2627:K2690" si="167">FIND("172",J2627,30)+2</f>
        <v>#VALUE!</v>
      </c>
      <c r="L2627" t="str">
        <f>MAIN!C2632</f>
        <v/>
      </c>
    </row>
    <row r="2628" spans="1:12" x14ac:dyDescent="0.3">
      <c r="A2628">
        <f>IF(J2628="0",0,IF(COUNTIF($J$2:J2628,J2628)=1,1,0))</f>
        <v>0</v>
      </c>
      <c r="B2628" s="12" t="e">
        <f>MID(MAIN!A2633,K2628,2)</f>
        <v>#VALUE!</v>
      </c>
      <c r="C2628" s="12" t="e">
        <f t="shared" si="164"/>
        <v>#VALUE!</v>
      </c>
      <c r="D2628" s="12" t="e">
        <f>MID(MAIN!A2633,K2628+2,2)</f>
        <v>#VALUE!</v>
      </c>
      <c r="E2628" s="12" t="e">
        <f>MID(MAIN!A2633,K2628+4,2)</f>
        <v>#VALUE!</v>
      </c>
      <c r="F2628" s="2" t="e">
        <f t="shared" si="165"/>
        <v>#VALUE!</v>
      </c>
      <c r="G2628" s="13" t="e">
        <f t="shared" si="166"/>
        <v>#VALUE!</v>
      </c>
      <c r="J2628" t="str">
        <f>MAIN!A2633&amp;"B"</f>
        <v>B</v>
      </c>
      <c r="K2628" s="12" t="e">
        <f t="shared" si="167"/>
        <v>#VALUE!</v>
      </c>
      <c r="L2628" t="str">
        <f>MAIN!C2633</f>
        <v/>
      </c>
    </row>
    <row r="2629" spans="1:12" x14ac:dyDescent="0.3">
      <c r="A2629">
        <f>IF(J2629="0",0,IF(COUNTIF($J$2:J2629,J2629)=1,1,0))</f>
        <v>0</v>
      </c>
      <c r="B2629" s="12" t="e">
        <f>MID(MAIN!A2634,K2629,2)</f>
        <v>#VALUE!</v>
      </c>
      <c r="C2629" s="12" t="e">
        <f t="shared" si="164"/>
        <v>#VALUE!</v>
      </c>
      <c r="D2629" s="12" t="e">
        <f>MID(MAIN!A2634,K2629+2,2)</f>
        <v>#VALUE!</v>
      </c>
      <c r="E2629" s="12" t="e">
        <f>MID(MAIN!A2634,K2629+4,2)</f>
        <v>#VALUE!</v>
      </c>
      <c r="F2629" s="2" t="e">
        <f t="shared" si="165"/>
        <v>#VALUE!</v>
      </c>
      <c r="G2629" s="13" t="e">
        <f t="shared" si="166"/>
        <v>#VALUE!</v>
      </c>
      <c r="J2629" t="str">
        <f>MAIN!A2634&amp;"B"</f>
        <v>B</v>
      </c>
      <c r="K2629" s="12" t="e">
        <f t="shared" si="167"/>
        <v>#VALUE!</v>
      </c>
      <c r="L2629" t="str">
        <f>MAIN!C2634</f>
        <v/>
      </c>
    </row>
    <row r="2630" spans="1:12" x14ac:dyDescent="0.3">
      <c r="A2630">
        <f>IF(J2630="0",0,IF(COUNTIF($J$2:J2630,J2630)=1,1,0))</f>
        <v>0</v>
      </c>
      <c r="B2630" s="12" t="e">
        <f>MID(MAIN!A2635,K2630,2)</f>
        <v>#VALUE!</v>
      </c>
      <c r="C2630" s="12" t="e">
        <f t="shared" si="164"/>
        <v>#VALUE!</v>
      </c>
      <c r="D2630" s="12" t="e">
        <f>MID(MAIN!A2635,K2630+2,2)</f>
        <v>#VALUE!</v>
      </c>
      <c r="E2630" s="12" t="e">
        <f>MID(MAIN!A2635,K2630+4,2)</f>
        <v>#VALUE!</v>
      </c>
      <c r="F2630" s="2" t="e">
        <f t="shared" si="165"/>
        <v>#VALUE!</v>
      </c>
      <c r="G2630" s="13" t="e">
        <f t="shared" si="166"/>
        <v>#VALUE!</v>
      </c>
      <c r="J2630" t="str">
        <f>MAIN!A2635&amp;"B"</f>
        <v>B</v>
      </c>
      <c r="K2630" s="12" t="e">
        <f t="shared" si="167"/>
        <v>#VALUE!</v>
      </c>
      <c r="L2630" t="str">
        <f>MAIN!C2635</f>
        <v/>
      </c>
    </row>
    <row r="2631" spans="1:12" x14ac:dyDescent="0.3">
      <c r="A2631">
        <f>IF(J2631="0",0,IF(COUNTIF($J$2:J2631,J2631)=1,1,0))</f>
        <v>0</v>
      </c>
      <c r="B2631" s="12" t="e">
        <f>MID(MAIN!A2636,K2631,2)</f>
        <v>#VALUE!</v>
      </c>
      <c r="C2631" s="12" t="e">
        <f t="shared" si="164"/>
        <v>#VALUE!</v>
      </c>
      <c r="D2631" s="12" t="e">
        <f>MID(MAIN!A2636,K2631+2,2)</f>
        <v>#VALUE!</v>
      </c>
      <c r="E2631" s="12" t="e">
        <f>MID(MAIN!A2636,K2631+4,2)</f>
        <v>#VALUE!</v>
      </c>
      <c r="F2631" s="2" t="e">
        <f t="shared" si="165"/>
        <v>#VALUE!</v>
      </c>
      <c r="G2631" s="13" t="e">
        <f t="shared" si="166"/>
        <v>#VALUE!</v>
      </c>
      <c r="J2631" t="str">
        <f>MAIN!A2636&amp;"B"</f>
        <v>B</v>
      </c>
      <c r="K2631" s="12" t="e">
        <f t="shared" si="167"/>
        <v>#VALUE!</v>
      </c>
      <c r="L2631" t="str">
        <f>MAIN!C2636</f>
        <v/>
      </c>
    </row>
    <row r="2632" spans="1:12" x14ac:dyDescent="0.3">
      <c r="A2632">
        <f>IF(J2632="0",0,IF(COUNTIF($J$2:J2632,J2632)=1,1,0))</f>
        <v>0</v>
      </c>
      <c r="B2632" s="12" t="e">
        <f>MID(MAIN!A2637,K2632,2)</f>
        <v>#VALUE!</v>
      </c>
      <c r="C2632" s="12" t="e">
        <f t="shared" si="164"/>
        <v>#VALUE!</v>
      </c>
      <c r="D2632" s="12" t="e">
        <f>MID(MAIN!A2637,K2632+2,2)</f>
        <v>#VALUE!</v>
      </c>
      <c r="E2632" s="12" t="e">
        <f>MID(MAIN!A2637,K2632+4,2)</f>
        <v>#VALUE!</v>
      </c>
      <c r="F2632" s="2" t="e">
        <f t="shared" si="165"/>
        <v>#VALUE!</v>
      </c>
      <c r="G2632" s="13" t="e">
        <f t="shared" si="166"/>
        <v>#VALUE!</v>
      </c>
      <c r="J2632" t="str">
        <f>MAIN!A2637&amp;"B"</f>
        <v>B</v>
      </c>
      <c r="K2632" s="12" t="e">
        <f t="shared" si="167"/>
        <v>#VALUE!</v>
      </c>
      <c r="L2632" t="str">
        <f>MAIN!C2637</f>
        <v/>
      </c>
    </row>
    <row r="2633" spans="1:12" x14ac:dyDescent="0.3">
      <c r="A2633">
        <f>IF(J2633="0",0,IF(COUNTIF($J$2:J2633,J2633)=1,1,0))</f>
        <v>0</v>
      </c>
      <c r="B2633" s="12" t="e">
        <f>MID(MAIN!A2638,K2633,2)</f>
        <v>#VALUE!</v>
      </c>
      <c r="C2633" s="12" t="e">
        <f t="shared" si="164"/>
        <v>#VALUE!</v>
      </c>
      <c r="D2633" s="12" t="e">
        <f>MID(MAIN!A2638,K2633+2,2)</f>
        <v>#VALUE!</v>
      </c>
      <c r="E2633" s="12" t="e">
        <f>MID(MAIN!A2638,K2633+4,2)</f>
        <v>#VALUE!</v>
      </c>
      <c r="F2633" s="2" t="e">
        <f t="shared" si="165"/>
        <v>#VALUE!</v>
      </c>
      <c r="G2633" s="13" t="e">
        <f t="shared" si="166"/>
        <v>#VALUE!</v>
      </c>
      <c r="J2633" t="str">
        <f>MAIN!A2638&amp;"B"</f>
        <v>B</v>
      </c>
      <c r="K2633" s="12" t="e">
        <f t="shared" si="167"/>
        <v>#VALUE!</v>
      </c>
      <c r="L2633" t="str">
        <f>MAIN!C2638</f>
        <v/>
      </c>
    </row>
    <row r="2634" spans="1:12" x14ac:dyDescent="0.3">
      <c r="A2634">
        <f>IF(J2634="0",0,IF(COUNTIF($J$2:J2634,J2634)=1,1,0))</f>
        <v>0</v>
      </c>
      <c r="B2634" s="12" t="e">
        <f>MID(MAIN!A2639,K2634,2)</f>
        <v>#VALUE!</v>
      </c>
      <c r="C2634" s="12" t="e">
        <f t="shared" si="164"/>
        <v>#VALUE!</v>
      </c>
      <c r="D2634" s="12" t="e">
        <f>MID(MAIN!A2639,K2634+2,2)</f>
        <v>#VALUE!</v>
      </c>
      <c r="E2634" s="12" t="e">
        <f>MID(MAIN!A2639,K2634+4,2)</f>
        <v>#VALUE!</v>
      </c>
      <c r="F2634" s="2" t="e">
        <f t="shared" si="165"/>
        <v>#VALUE!</v>
      </c>
      <c r="G2634" s="13" t="e">
        <f t="shared" si="166"/>
        <v>#VALUE!</v>
      </c>
      <c r="J2634" t="str">
        <f>MAIN!A2639&amp;"B"</f>
        <v>B</v>
      </c>
      <c r="K2634" s="12" t="e">
        <f t="shared" si="167"/>
        <v>#VALUE!</v>
      </c>
      <c r="L2634" t="str">
        <f>MAIN!C2639</f>
        <v/>
      </c>
    </row>
    <row r="2635" spans="1:12" x14ac:dyDescent="0.3">
      <c r="A2635">
        <f>IF(J2635="0",0,IF(COUNTIF($J$2:J2635,J2635)=1,1,0))</f>
        <v>0</v>
      </c>
      <c r="B2635" s="12" t="e">
        <f>MID(MAIN!A2640,K2635,2)</f>
        <v>#VALUE!</v>
      </c>
      <c r="C2635" s="12" t="e">
        <f t="shared" si="164"/>
        <v>#VALUE!</v>
      </c>
      <c r="D2635" s="12" t="e">
        <f>MID(MAIN!A2640,K2635+2,2)</f>
        <v>#VALUE!</v>
      </c>
      <c r="E2635" s="12" t="e">
        <f>MID(MAIN!A2640,K2635+4,2)</f>
        <v>#VALUE!</v>
      </c>
      <c r="F2635" s="2" t="e">
        <f t="shared" si="165"/>
        <v>#VALUE!</v>
      </c>
      <c r="G2635" s="13" t="e">
        <f t="shared" si="166"/>
        <v>#VALUE!</v>
      </c>
      <c r="J2635" t="str">
        <f>MAIN!A2640&amp;"B"</f>
        <v>B</v>
      </c>
      <c r="K2635" s="12" t="e">
        <f t="shared" si="167"/>
        <v>#VALUE!</v>
      </c>
      <c r="L2635" t="str">
        <f>MAIN!C2640</f>
        <v/>
      </c>
    </row>
    <row r="2636" spans="1:12" x14ac:dyDescent="0.3">
      <c r="A2636">
        <f>IF(J2636="0",0,IF(COUNTIF($J$2:J2636,J2636)=1,1,0))</f>
        <v>0</v>
      </c>
      <c r="B2636" s="12" t="e">
        <f>MID(MAIN!A2641,K2636,2)</f>
        <v>#VALUE!</v>
      </c>
      <c r="C2636" s="12" t="e">
        <f t="shared" si="164"/>
        <v>#VALUE!</v>
      </c>
      <c r="D2636" s="12" t="e">
        <f>MID(MAIN!A2641,K2636+2,2)</f>
        <v>#VALUE!</v>
      </c>
      <c r="E2636" s="12" t="e">
        <f>MID(MAIN!A2641,K2636+4,2)</f>
        <v>#VALUE!</v>
      </c>
      <c r="F2636" s="2" t="e">
        <f t="shared" si="165"/>
        <v>#VALUE!</v>
      </c>
      <c r="G2636" s="13" t="e">
        <f t="shared" si="166"/>
        <v>#VALUE!</v>
      </c>
      <c r="J2636" t="str">
        <f>MAIN!A2641&amp;"B"</f>
        <v>B</v>
      </c>
      <c r="K2636" s="12" t="e">
        <f t="shared" si="167"/>
        <v>#VALUE!</v>
      </c>
      <c r="L2636" t="str">
        <f>MAIN!C2641</f>
        <v/>
      </c>
    </row>
    <row r="2637" spans="1:12" x14ac:dyDescent="0.3">
      <c r="A2637">
        <f>IF(J2637="0",0,IF(COUNTIF($J$2:J2637,J2637)=1,1,0))</f>
        <v>0</v>
      </c>
      <c r="B2637" s="12" t="e">
        <f>MID(MAIN!A2642,K2637,2)</f>
        <v>#VALUE!</v>
      </c>
      <c r="C2637" s="12" t="e">
        <f t="shared" si="164"/>
        <v>#VALUE!</v>
      </c>
      <c r="D2637" s="12" t="e">
        <f>MID(MAIN!A2642,K2637+2,2)</f>
        <v>#VALUE!</v>
      </c>
      <c r="E2637" s="12" t="e">
        <f>MID(MAIN!A2642,K2637+4,2)</f>
        <v>#VALUE!</v>
      </c>
      <c r="F2637" s="2" t="e">
        <f t="shared" si="165"/>
        <v>#VALUE!</v>
      </c>
      <c r="G2637" s="13" t="e">
        <f t="shared" si="166"/>
        <v>#VALUE!</v>
      </c>
      <c r="J2637" t="str">
        <f>MAIN!A2642&amp;"B"</f>
        <v>B</v>
      </c>
      <c r="K2637" s="12" t="e">
        <f t="shared" si="167"/>
        <v>#VALUE!</v>
      </c>
      <c r="L2637" t="str">
        <f>MAIN!C2642</f>
        <v/>
      </c>
    </row>
    <row r="2638" spans="1:12" x14ac:dyDescent="0.3">
      <c r="A2638">
        <f>IF(J2638="0",0,IF(COUNTIF($J$2:J2638,J2638)=1,1,0))</f>
        <v>0</v>
      </c>
      <c r="B2638" s="12" t="e">
        <f>MID(MAIN!A2643,K2638,2)</f>
        <v>#VALUE!</v>
      </c>
      <c r="C2638" s="12" t="e">
        <f t="shared" si="164"/>
        <v>#VALUE!</v>
      </c>
      <c r="D2638" s="12" t="e">
        <f>MID(MAIN!A2643,K2638+2,2)</f>
        <v>#VALUE!</v>
      </c>
      <c r="E2638" s="12" t="e">
        <f>MID(MAIN!A2643,K2638+4,2)</f>
        <v>#VALUE!</v>
      </c>
      <c r="F2638" s="2" t="e">
        <f t="shared" si="165"/>
        <v>#VALUE!</v>
      </c>
      <c r="G2638" s="13" t="e">
        <f t="shared" si="166"/>
        <v>#VALUE!</v>
      </c>
      <c r="J2638" t="str">
        <f>MAIN!A2643&amp;"B"</f>
        <v>B</v>
      </c>
      <c r="K2638" s="12" t="e">
        <f t="shared" si="167"/>
        <v>#VALUE!</v>
      </c>
      <c r="L2638" t="str">
        <f>MAIN!C2643</f>
        <v/>
      </c>
    </row>
    <row r="2639" spans="1:12" x14ac:dyDescent="0.3">
      <c r="A2639">
        <f>IF(J2639="0",0,IF(COUNTIF($J$2:J2639,J2639)=1,1,0))</f>
        <v>0</v>
      </c>
      <c r="B2639" s="12" t="e">
        <f>MID(MAIN!A2644,K2639,2)</f>
        <v>#VALUE!</v>
      </c>
      <c r="C2639" s="12" t="e">
        <f t="shared" si="164"/>
        <v>#VALUE!</v>
      </c>
      <c r="D2639" s="12" t="e">
        <f>MID(MAIN!A2644,K2639+2,2)</f>
        <v>#VALUE!</v>
      </c>
      <c r="E2639" s="12" t="e">
        <f>MID(MAIN!A2644,K2639+4,2)</f>
        <v>#VALUE!</v>
      </c>
      <c r="F2639" s="2" t="e">
        <f t="shared" si="165"/>
        <v>#VALUE!</v>
      </c>
      <c r="G2639" s="13" t="e">
        <f t="shared" si="166"/>
        <v>#VALUE!</v>
      </c>
      <c r="J2639" t="str">
        <f>MAIN!A2644&amp;"B"</f>
        <v>B</v>
      </c>
      <c r="K2639" s="12" t="e">
        <f t="shared" si="167"/>
        <v>#VALUE!</v>
      </c>
      <c r="L2639" t="str">
        <f>MAIN!C2644</f>
        <v/>
      </c>
    </row>
    <row r="2640" spans="1:12" x14ac:dyDescent="0.3">
      <c r="A2640">
        <f>IF(J2640="0",0,IF(COUNTIF($J$2:J2640,J2640)=1,1,0))</f>
        <v>0</v>
      </c>
      <c r="B2640" s="12" t="e">
        <f>MID(MAIN!A2645,K2640,2)</f>
        <v>#VALUE!</v>
      </c>
      <c r="C2640" s="12" t="e">
        <f t="shared" si="164"/>
        <v>#VALUE!</v>
      </c>
      <c r="D2640" s="12" t="e">
        <f>MID(MAIN!A2645,K2640+2,2)</f>
        <v>#VALUE!</v>
      </c>
      <c r="E2640" s="12" t="e">
        <f>MID(MAIN!A2645,K2640+4,2)</f>
        <v>#VALUE!</v>
      </c>
      <c r="F2640" s="2" t="e">
        <f t="shared" si="165"/>
        <v>#VALUE!</v>
      </c>
      <c r="G2640" s="13" t="e">
        <f t="shared" si="166"/>
        <v>#VALUE!</v>
      </c>
      <c r="J2640" t="str">
        <f>MAIN!A2645&amp;"B"</f>
        <v>B</v>
      </c>
      <c r="K2640" s="12" t="e">
        <f t="shared" si="167"/>
        <v>#VALUE!</v>
      </c>
      <c r="L2640" t="str">
        <f>MAIN!C2645</f>
        <v/>
      </c>
    </row>
    <row r="2641" spans="1:12" x14ac:dyDescent="0.3">
      <c r="A2641">
        <f>IF(J2641="0",0,IF(COUNTIF($J$2:J2641,J2641)=1,1,0))</f>
        <v>0</v>
      </c>
      <c r="B2641" s="12" t="e">
        <f>MID(MAIN!A2646,K2641,2)</f>
        <v>#VALUE!</v>
      </c>
      <c r="C2641" s="12" t="e">
        <f t="shared" si="164"/>
        <v>#VALUE!</v>
      </c>
      <c r="D2641" s="12" t="e">
        <f>MID(MAIN!A2646,K2641+2,2)</f>
        <v>#VALUE!</v>
      </c>
      <c r="E2641" s="12" t="e">
        <f>MID(MAIN!A2646,K2641+4,2)</f>
        <v>#VALUE!</v>
      </c>
      <c r="F2641" s="2" t="e">
        <f t="shared" si="165"/>
        <v>#VALUE!</v>
      </c>
      <c r="G2641" s="13" t="e">
        <f t="shared" si="166"/>
        <v>#VALUE!</v>
      </c>
      <c r="J2641" t="str">
        <f>MAIN!A2646&amp;"B"</f>
        <v>B</v>
      </c>
      <c r="K2641" s="12" t="e">
        <f t="shared" si="167"/>
        <v>#VALUE!</v>
      </c>
      <c r="L2641" t="str">
        <f>MAIN!C2646</f>
        <v/>
      </c>
    </row>
    <row r="2642" spans="1:12" x14ac:dyDescent="0.3">
      <c r="A2642">
        <f>IF(J2642="0",0,IF(COUNTIF($J$2:J2642,J2642)=1,1,0))</f>
        <v>0</v>
      </c>
      <c r="B2642" s="12" t="e">
        <f>MID(MAIN!A2647,K2642,2)</f>
        <v>#VALUE!</v>
      </c>
      <c r="C2642" s="12" t="e">
        <f t="shared" si="164"/>
        <v>#VALUE!</v>
      </c>
      <c r="D2642" s="12" t="e">
        <f>MID(MAIN!A2647,K2642+2,2)</f>
        <v>#VALUE!</v>
      </c>
      <c r="E2642" s="12" t="e">
        <f>MID(MAIN!A2647,K2642+4,2)</f>
        <v>#VALUE!</v>
      </c>
      <c r="F2642" s="2" t="e">
        <f t="shared" si="165"/>
        <v>#VALUE!</v>
      </c>
      <c r="G2642" s="13" t="e">
        <f t="shared" si="166"/>
        <v>#VALUE!</v>
      </c>
      <c r="J2642" t="str">
        <f>MAIN!A2647&amp;"B"</f>
        <v>B</v>
      </c>
      <c r="K2642" s="12" t="e">
        <f t="shared" si="167"/>
        <v>#VALUE!</v>
      </c>
      <c r="L2642" t="str">
        <f>MAIN!C2647</f>
        <v/>
      </c>
    </row>
    <row r="2643" spans="1:12" x14ac:dyDescent="0.3">
      <c r="A2643">
        <f>IF(J2643="0",0,IF(COUNTIF($J$2:J2643,J2643)=1,1,0))</f>
        <v>0</v>
      </c>
      <c r="B2643" s="12" t="e">
        <f>MID(MAIN!A2648,K2643,2)</f>
        <v>#VALUE!</v>
      </c>
      <c r="C2643" s="12" t="e">
        <f t="shared" si="164"/>
        <v>#VALUE!</v>
      </c>
      <c r="D2643" s="12" t="e">
        <f>MID(MAIN!A2648,K2643+2,2)</f>
        <v>#VALUE!</v>
      </c>
      <c r="E2643" s="12" t="e">
        <f>MID(MAIN!A2648,K2643+4,2)</f>
        <v>#VALUE!</v>
      </c>
      <c r="F2643" s="2" t="e">
        <f t="shared" si="165"/>
        <v>#VALUE!</v>
      </c>
      <c r="G2643" s="13" t="e">
        <f t="shared" si="166"/>
        <v>#VALUE!</v>
      </c>
      <c r="J2643" t="str">
        <f>MAIN!A2648&amp;"B"</f>
        <v>B</v>
      </c>
      <c r="K2643" s="12" t="e">
        <f t="shared" si="167"/>
        <v>#VALUE!</v>
      </c>
      <c r="L2643" t="str">
        <f>MAIN!C2648</f>
        <v/>
      </c>
    </row>
    <row r="2644" spans="1:12" x14ac:dyDescent="0.3">
      <c r="A2644">
        <f>IF(J2644="0",0,IF(COUNTIF($J$2:J2644,J2644)=1,1,0))</f>
        <v>0</v>
      </c>
      <c r="B2644" s="12" t="e">
        <f>MID(MAIN!A2649,K2644,2)</f>
        <v>#VALUE!</v>
      </c>
      <c r="C2644" s="12" t="e">
        <f t="shared" si="164"/>
        <v>#VALUE!</v>
      </c>
      <c r="D2644" s="12" t="e">
        <f>MID(MAIN!A2649,K2644+2,2)</f>
        <v>#VALUE!</v>
      </c>
      <c r="E2644" s="12" t="e">
        <f>MID(MAIN!A2649,K2644+4,2)</f>
        <v>#VALUE!</v>
      </c>
      <c r="F2644" s="2" t="e">
        <f t="shared" si="165"/>
        <v>#VALUE!</v>
      </c>
      <c r="G2644" s="13" t="e">
        <f t="shared" si="166"/>
        <v>#VALUE!</v>
      </c>
      <c r="J2644" t="str">
        <f>MAIN!A2649&amp;"B"</f>
        <v>B</v>
      </c>
      <c r="K2644" s="12" t="e">
        <f t="shared" si="167"/>
        <v>#VALUE!</v>
      </c>
      <c r="L2644" t="str">
        <f>MAIN!C2649</f>
        <v/>
      </c>
    </row>
    <row r="2645" spans="1:12" x14ac:dyDescent="0.3">
      <c r="A2645">
        <f>IF(J2645="0",0,IF(COUNTIF($J$2:J2645,J2645)=1,1,0))</f>
        <v>0</v>
      </c>
      <c r="B2645" s="12" t="e">
        <f>MID(MAIN!A2650,K2645,2)</f>
        <v>#VALUE!</v>
      </c>
      <c r="C2645" s="12" t="e">
        <f t="shared" si="164"/>
        <v>#VALUE!</v>
      </c>
      <c r="D2645" s="12" t="e">
        <f>MID(MAIN!A2650,K2645+2,2)</f>
        <v>#VALUE!</v>
      </c>
      <c r="E2645" s="12" t="e">
        <f>MID(MAIN!A2650,K2645+4,2)</f>
        <v>#VALUE!</v>
      </c>
      <c r="F2645" s="2" t="e">
        <f t="shared" si="165"/>
        <v>#VALUE!</v>
      </c>
      <c r="G2645" s="13" t="e">
        <f t="shared" si="166"/>
        <v>#VALUE!</v>
      </c>
      <c r="J2645" t="str">
        <f>MAIN!A2650&amp;"B"</f>
        <v>B</v>
      </c>
      <c r="K2645" s="12" t="e">
        <f t="shared" si="167"/>
        <v>#VALUE!</v>
      </c>
      <c r="L2645" t="str">
        <f>MAIN!C2650</f>
        <v/>
      </c>
    </row>
    <row r="2646" spans="1:12" x14ac:dyDescent="0.3">
      <c r="A2646">
        <f>IF(J2646="0",0,IF(COUNTIF($J$2:J2646,J2646)=1,1,0))</f>
        <v>0</v>
      </c>
      <c r="B2646" s="12" t="e">
        <f>MID(MAIN!A2651,K2646,2)</f>
        <v>#VALUE!</v>
      </c>
      <c r="C2646" s="12" t="e">
        <f t="shared" si="164"/>
        <v>#VALUE!</v>
      </c>
      <c r="D2646" s="12" t="e">
        <f>MID(MAIN!A2651,K2646+2,2)</f>
        <v>#VALUE!</v>
      </c>
      <c r="E2646" s="12" t="e">
        <f>MID(MAIN!A2651,K2646+4,2)</f>
        <v>#VALUE!</v>
      </c>
      <c r="F2646" s="2" t="e">
        <f t="shared" si="165"/>
        <v>#VALUE!</v>
      </c>
      <c r="G2646" s="13" t="e">
        <f t="shared" si="166"/>
        <v>#VALUE!</v>
      </c>
      <c r="J2646" t="str">
        <f>MAIN!A2651&amp;"B"</f>
        <v>B</v>
      </c>
      <c r="K2646" s="12" t="e">
        <f t="shared" si="167"/>
        <v>#VALUE!</v>
      </c>
      <c r="L2646" t="str">
        <f>MAIN!C2651</f>
        <v/>
      </c>
    </row>
    <row r="2647" spans="1:12" x14ac:dyDescent="0.3">
      <c r="A2647">
        <f>IF(J2647="0",0,IF(COUNTIF($J$2:J2647,J2647)=1,1,0))</f>
        <v>0</v>
      </c>
      <c r="B2647" s="12" t="e">
        <f>MID(MAIN!A2652,K2647,2)</f>
        <v>#VALUE!</v>
      </c>
      <c r="C2647" s="12" t="e">
        <f t="shared" si="164"/>
        <v>#VALUE!</v>
      </c>
      <c r="D2647" s="12" t="e">
        <f>MID(MAIN!A2652,K2647+2,2)</f>
        <v>#VALUE!</v>
      </c>
      <c r="E2647" s="12" t="e">
        <f>MID(MAIN!A2652,K2647+4,2)</f>
        <v>#VALUE!</v>
      </c>
      <c r="F2647" s="2" t="e">
        <f t="shared" si="165"/>
        <v>#VALUE!</v>
      </c>
      <c r="G2647" s="13" t="e">
        <f t="shared" si="166"/>
        <v>#VALUE!</v>
      </c>
      <c r="J2647" t="str">
        <f>MAIN!A2652&amp;"B"</f>
        <v>B</v>
      </c>
      <c r="K2647" s="12" t="e">
        <f t="shared" si="167"/>
        <v>#VALUE!</v>
      </c>
      <c r="L2647" t="str">
        <f>MAIN!C2652</f>
        <v/>
      </c>
    </row>
    <row r="2648" spans="1:12" x14ac:dyDescent="0.3">
      <c r="A2648">
        <f>IF(J2648="0",0,IF(COUNTIF($J$2:J2648,J2648)=1,1,0))</f>
        <v>0</v>
      </c>
      <c r="B2648" s="12" t="e">
        <f>MID(MAIN!A2653,K2648,2)</f>
        <v>#VALUE!</v>
      </c>
      <c r="C2648" s="12" t="e">
        <f t="shared" si="164"/>
        <v>#VALUE!</v>
      </c>
      <c r="D2648" s="12" t="e">
        <f>MID(MAIN!A2653,K2648+2,2)</f>
        <v>#VALUE!</v>
      </c>
      <c r="E2648" s="12" t="e">
        <f>MID(MAIN!A2653,K2648+4,2)</f>
        <v>#VALUE!</v>
      </c>
      <c r="F2648" s="2" t="e">
        <f t="shared" si="165"/>
        <v>#VALUE!</v>
      </c>
      <c r="G2648" s="13" t="e">
        <f t="shared" si="166"/>
        <v>#VALUE!</v>
      </c>
      <c r="J2648" t="str">
        <f>MAIN!A2653&amp;"B"</f>
        <v>B</v>
      </c>
      <c r="K2648" s="12" t="e">
        <f t="shared" si="167"/>
        <v>#VALUE!</v>
      </c>
      <c r="L2648" t="str">
        <f>MAIN!C2653</f>
        <v/>
      </c>
    </row>
    <row r="2649" spans="1:12" x14ac:dyDescent="0.3">
      <c r="A2649">
        <f>IF(J2649="0",0,IF(COUNTIF($J$2:J2649,J2649)=1,1,0))</f>
        <v>0</v>
      </c>
      <c r="B2649" s="12" t="e">
        <f>MID(MAIN!A2654,K2649,2)</f>
        <v>#VALUE!</v>
      </c>
      <c r="C2649" s="12" t="e">
        <f t="shared" si="164"/>
        <v>#VALUE!</v>
      </c>
      <c r="D2649" s="12" t="e">
        <f>MID(MAIN!A2654,K2649+2,2)</f>
        <v>#VALUE!</v>
      </c>
      <c r="E2649" s="12" t="e">
        <f>MID(MAIN!A2654,K2649+4,2)</f>
        <v>#VALUE!</v>
      </c>
      <c r="F2649" s="2" t="e">
        <f t="shared" si="165"/>
        <v>#VALUE!</v>
      </c>
      <c r="G2649" s="13" t="e">
        <f t="shared" si="166"/>
        <v>#VALUE!</v>
      </c>
      <c r="J2649" t="str">
        <f>MAIN!A2654&amp;"B"</f>
        <v>B</v>
      </c>
      <c r="K2649" s="12" t="e">
        <f t="shared" si="167"/>
        <v>#VALUE!</v>
      </c>
      <c r="L2649" t="str">
        <f>MAIN!C2654</f>
        <v/>
      </c>
    </row>
    <row r="2650" spans="1:12" x14ac:dyDescent="0.3">
      <c r="A2650">
        <f>IF(J2650="0",0,IF(COUNTIF($J$2:J2650,J2650)=1,1,0))</f>
        <v>0</v>
      </c>
      <c r="B2650" s="12" t="e">
        <f>MID(MAIN!A2655,K2650,2)</f>
        <v>#VALUE!</v>
      </c>
      <c r="C2650" s="12" t="e">
        <f t="shared" si="164"/>
        <v>#VALUE!</v>
      </c>
      <c r="D2650" s="12" t="e">
        <f>MID(MAIN!A2655,K2650+2,2)</f>
        <v>#VALUE!</v>
      </c>
      <c r="E2650" s="12" t="e">
        <f>MID(MAIN!A2655,K2650+4,2)</f>
        <v>#VALUE!</v>
      </c>
      <c r="F2650" s="2" t="e">
        <f t="shared" si="165"/>
        <v>#VALUE!</v>
      </c>
      <c r="G2650" s="13" t="e">
        <f t="shared" si="166"/>
        <v>#VALUE!</v>
      </c>
      <c r="J2650" t="str">
        <f>MAIN!A2655&amp;"B"</f>
        <v>B</v>
      </c>
      <c r="K2650" s="12" t="e">
        <f t="shared" si="167"/>
        <v>#VALUE!</v>
      </c>
      <c r="L2650" t="str">
        <f>MAIN!C2655</f>
        <v/>
      </c>
    </row>
    <row r="2651" spans="1:12" x14ac:dyDescent="0.3">
      <c r="A2651">
        <f>IF(J2651="0",0,IF(COUNTIF($J$2:J2651,J2651)=1,1,0))</f>
        <v>0</v>
      </c>
      <c r="B2651" s="12" t="e">
        <f>MID(MAIN!A2656,K2651,2)</f>
        <v>#VALUE!</v>
      </c>
      <c r="C2651" s="12" t="e">
        <f t="shared" si="164"/>
        <v>#VALUE!</v>
      </c>
      <c r="D2651" s="12" t="e">
        <f>MID(MAIN!A2656,K2651+2,2)</f>
        <v>#VALUE!</v>
      </c>
      <c r="E2651" s="12" t="e">
        <f>MID(MAIN!A2656,K2651+4,2)</f>
        <v>#VALUE!</v>
      </c>
      <c r="F2651" s="2" t="e">
        <f t="shared" si="165"/>
        <v>#VALUE!</v>
      </c>
      <c r="G2651" s="13" t="e">
        <f t="shared" si="166"/>
        <v>#VALUE!</v>
      </c>
      <c r="J2651" t="str">
        <f>MAIN!A2656&amp;"B"</f>
        <v>B</v>
      </c>
      <c r="K2651" s="12" t="e">
        <f t="shared" si="167"/>
        <v>#VALUE!</v>
      </c>
      <c r="L2651" t="str">
        <f>MAIN!C2656</f>
        <v/>
      </c>
    </row>
    <row r="2652" spans="1:12" x14ac:dyDescent="0.3">
      <c r="A2652">
        <f>IF(J2652="0",0,IF(COUNTIF($J$2:J2652,J2652)=1,1,0))</f>
        <v>0</v>
      </c>
      <c r="B2652" s="12" t="e">
        <f>MID(MAIN!A2657,K2652,2)</f>
        <v>#VALUE!</v>
      </c>
      <c r="C2652" s="12" t="e">
        <f t="shared" si="164"/>
        <v>#VALUE!</v>
      </c>
      <c r="D2652" s="12" t="e">
        <f>MID(MAIN!A2657,K2652+2,2)</f>
        <v>#VALUE!</v>
      </c>
      <c r="E2652" s="12" t="e">
        <f>MID(MAIN!A2657,K2652+4,2)</f>
        <v>#VALUE!</v>
      </c>
      <c r="F2652" s="2" t="e">
        <f t="shared" si="165"/>
        <v>#VALUE!</v>
      </c>
      <c r="G2652" s="13" t="e">
        <f t="shared" si="166"/>
        <v>#VALUE!</v>
      </c>
      <c r="J2652" t="str">
        <f>MAIN!A2657&amp;"B"</f>
        <v>B</v>
      </c>
      <c r="K2652" s="12" t="e">
        <f t="shared" si="167"/>
        <v>#VALUE!</v>
      </c>
      <c r="L2652" t="str">
        <f>MAIN!C2657</f>
        <v/>
      </c>
    </row>
    <row r="2653" spans="1:12" x14ac:dyDescent="0.3">
      <c r="A2653">
        <f>IF(J2653="0",0,IF(COUNTIF($J$2:J2653,J2653)=1,1,0))</f>
        <v>0</v>
      </c>
      <c r="B2653" s="12" t="e">
        <f>MID(MAIN!A2658,K2653,2)</f>
        <v>#VALUE!</v>
      </c>
      <c r="C2653" s="12" t="e">
        <f t="shared" si="164"/>
        <v>#VALUE!</v>
      </c>
      <c r="D2653" s="12" t="e">
        <f>MID(MAIN!A2658,K2653+2,2)</f>
        <v>#VALUE!</v>
      </c>
      <c r="E2653" s="12" t="e">
        <f>MID(MAIN!A2658,K2653+4,2)</f>
        <v>#VALUE!</v>
      </c>
      <c r="F2653" s="2" t="e">
        <f t="shared" si="165"/>
        <v>#VALUE!</v>
      </c>
      <c r="G2653" s="13" t="e">
        <f t="shared" si="166"/>
        <v>#VALUE!</v>
      </c>
      <c r="J2653" t="str">
        <f>MAIN!A2658&amp;"B"</f>
        <v>B</v>
      </c>
      <c r="K2653" s="12" t="e">
        <f t="shared" si="167"/>
        <v>#VALUE!</v>
      </c>
      <c r="L2653" t="str">
        <f>MAIN!C2658</f>
        <v/>
      </c>
    </row>
    <row r="2654" spans="1:12" x14ac:dyDescent="0.3">
      <c r="A2654">
        <f>IF(J2654="0",0,IF(COUNTIF($J$2:J2654,J2654)=1,1,0))</f>
        <v>0</v>
      </c>
      <c r="B2654" s="12" t="e">
        <f>MID(MAIN!A2659,K2654,2)</f>
        <v>#VALUE!</v>
      </c>
      <c r="C2654" s="12" t="e">
        <f t="shared" si="164"/>
        <v>#VALUE!</v>
      </c>
      <c r="D2654" s="12" t="e">
        <f>MID(MAIN!A2659,K2654+2,2)</f>
        <v>#VALUE!</v>
      </c>
      <c r="E2654" s="12" t="e">
        <f>MID(MAIN!A2659,K2654+4,2)</f>
        <v>#VALUE!</v>
      </c>
      <c r="F2654" s="2" t="e">
        <f t="shared" si="165"/>
        <v>#VALUE!</v>
      </c>
      <c r="G2654" s="13" t="e">
        <f t="shared" si="166"/>
        <v>#VALUE!</v>
      </c>
      <c r="J2654" t="str">
        <f>MAIN!A2659&amp;"B"</f>
        <v>B</v>
      </c>
      <c r="K2654" s="12" t="e">
        <f t="shared" si="167"/>
        <v>#VALUE!</v>
      </c>
      <c r="L2654" t="str">
        <f>MAIN!C2659</f>
        <v/>
      </c>
    </row>
    <row r="2655" spans="1:12" x14ac:dyDescent="0.3">
      <c r="A2655">
        <f>IF(J2655="0",0,IF(COUNTIF($J$2:J2655,J2655)=1,1,0))</f>
        <v>0</v>
      </c>
      <c r="B2655" s="12" t="e">
        <f>MID(MAIN!A2660,K2655,2)</f>
        <v>#VALUE!</v>
      </c>
      <c r="C2655" s="12" t="e">
        <f t="shared" si="164"/>
        <v>#VALUE!</v>
      </c>
      <c r="D2655" s="12" t="e">
        <f>MID(MAIN!A2660,K2655+2,2)</f>
        <v>#VALUE!</v>
      </c>
      <c r="E2655" s="12" t="e">
        <f>MID(MAIN!A2660,K2655+4,2)</f>
        <v>#VALUE!</v>
      </c>
      <c r="F2655" s="2" t="e">
        <f t="shared" si="165"/>
        <v>#VALUE!</v>
      </c>
      <c r="G2655" s="13" t="e">
        <f t="shared" si="166"/>
        <v>#VALUE!</v>
      </c>
      <c r="J2655" t="str">
        <f>MAIN!A2660&amp;"B"</f>
        <v>B</v>
      </c>
      <c r="K2655" s="12" t="e">
        <f t="shared" si="167"/>
        <v>#VALUE!</v>
      </c>
      <c r="L2655" t="str">
        <f>MAIN!C2660</f>
        <v/>
      </c>
    </row>
    <row r="2656" spans="1:12" x14ac:dyDescent="0.3">
      <c r="A2656">
        <f>IF(J2656="0",0,IF(COUNTIF($J$2:J2656,J2656)=1,1,0))</f>
        <v>0</v>
      </c>
      <c r="B2656" s="12" t="e">
        <f>MID(MAIN!A2661,K2656,2)</f>
        <v>#VALUE!</v>
      </c>
      <c r="C2656" s="12" t="e">
        <f t="shared" si="164"/>
        <v>#VALUE!</v>
      </c>
      <c r="D2656" s="12" t="e">
        <f>MID(MAIN!A2661,K2656+2,2)</f>
        <v>#VALUE!</v>
      </c>
      <c r="E2656" s="12" t="e">
        <f>MID(MAIN!A2661,K2656+4,2)</f>
        <v>#VALUE!</v>
      </c>
      <c r="F2656" s="2" t="e">
        <f t="shared" si="165"/>
        <v>#VALUE!</v>
      </c>
      <c r="G2656" s="13" t="e">
        <f t="shared" si="166"/>
        <v>#VALUE!</v>
      </c>
      <c r="J2656" t="str">
        <f>MAIN!A2661&amp;"B"</f>
        <v>B</v>
      </c>
      <c r="K2656" s="12" t="e">
        <f t="shared" si="167"/>
        <v>#VALUE!</v>
      </c>
      <c r="L2656" t="str">
        <f>MAIN!C2661</f>
        <v/>
      </c>
    </row>
    <row r="2657" spans="1:12" x14ac:dyDescent="0.3">
      <c r="A2657">
        <f>IF(J2657="0",0,IF(COUNTIF($J$2:J2657,J2657)=1,1,0))</f>
        <v>0</v>
      </c>
      <c r="B2657" s="12" t="e">
        <f>MID(MAIN!A2662,K2657,2)</f>
        <v>#VALUE!</v>
      </c>
      <c r="C2657" s="12" t="e">
        <f t="shared" si="164"/>
        <v>#VALUE!</v>
      </c>
      <c r="D2657" s="12" t="e">
        <f>MID(MAIN!A2662,K2657+2,2)</f>
        <v>#VALUE!</v>
      </c>
      <c r="E2657" s="12" t="e">
        <f>MID(MAIN!A2662,K2657+4,2)</f>
        <v>#VALUE!</v>
      </c>
      <c r="F2657" s="2" t="e">
        <f t="shared" si="165"/>
        <v>#VALUE!</v>
      </c>
      <c r="G2657" s="13" t="e">
        <f t="shared" si="166"/>
        <v>#VALUE!</v>
      </c>
      <c r="J2657" t="str">
        <f>MAIN!A2662&amp;"B"</f>
        <v>B</v>
      </c>
      <c r="K2657" s="12" t="e">
        <f t="shared" si="167"/>
        <v>#VALUE!</v>
      </c>
      <c r="L2657" t="str">
        <f>MAIN!C2662</f>
        <v/>
      </c>
    </row>
    <row r="2658" spans="1:12" x14ac:dyDescent="0.3">
      <c r="A2658">
        <f>IF(J2658="0",0,IF(COUNTIF($J$2:J2658,J2658)=1,1,0))</f>
        <v>0</v>
      </c>
      <c r="B2658" s="12" t="e">
        <f>MID(MAIN!A2663,K2658,2)</f>
        <v>#VALUE!</v>
      </c>
      <c r="C2658" s="12" t="e">
        <f t="shared" si="164"/>
        <v>#VALUE!</v>
      </c>
      <c r="D2658" s="12" t="e">
        <f>MID(MAIN!A2663,K2658+2,2)</f>
        <v>#VALUE!</v>
      </c>
      <c r="E2658" s="12" t="e">
        <f>MID(MAIN!A2663,K2658+4,2)</f>
        <v>#VALUE!</v>
      </c>
      <c r="F2658" s="2" t="e">
        <f t="shared" si="165"/>
        <v>#VALUE!</v>
      </c>
      <c r="G2658" s="13" t="e">
        <f t="shared" si="166"/>
        <v>#VALUE!</v>
      </c>
      <c r="J2658" t="str">
        <f>MAIN!A2663&amp;"B"</f>
        <v>B</v>
      </c>
      <c r="K2658" s="12" t="e">
        <f t="shared" si="167"/>
        <v>#VALUE!</v>
      </c>
      <c r="L2658" t="str">
        <f>MAIN!C2663</f>
        <v/>
      </c>
    </row>
    <row r="2659" spans="1:12" x14ac:dyDescent="0.3">
      <c r="A2659">
        <f>IF(J2659="0",0,IF(COUNTIF($J$2:J2659,J2659)=1,1,0))</f>
        <v>0</v>
      </c>
      <c r="B2659" s="12" t="e">
        <f>MID(MAIN!A2664,K2659,2)</f>
        <v>#VALUE!</v>
      </c>
      <c r="C2659" s="12" t="e">
        <f t="shared" si="164"/>
        <v>#VALUE!</v>
      </c>
      <c r="D2659" s="12" t="e">
        <f>MID(MAIN!A2664,K2659+2,2)</f>
        <v>#VALUE!</v>
      </c>
      <c r="E2659" s="12" t="e">
        <f>MID(MAIN!A2664,K2659+4,2)</f>
        <v>#VALUE!</v>
      </c>
      <c r="F2659" s="2" t="e">
        <f t="shared" si="165"/>
        <v>#VALUE!</v>
      </c>
      <c r="G2659" s="13" t="e">
        <f t="shared" si="166"/>
        <v>#VALUE!</v>
      </c>
      <c r="J2659" t="str">
        <f>MAIN!A2664&amp;"B"</f>
        <v>B</v>
      </c>
      <c r="K2659" s="12" t="e">
        <f t="shared" si="167"/>
        <v>#VALUE!</v>
      </c>
      <c r="L2659" t="str">
        <f>MAIN!C2664</f>
        <v/>
      </c>
    </row>
    <row r="2660" spans="1:12" x14ac:dyDescent="0.3">
      <c r="A2660">
        <f>IF(J2660="0",0,IF(COUNTIF($J$2:J2660,J2660)=1,1,0))</f>
        <v>0</v>
      </c>
      <c r="B2660" s="12" t="e">
        <f>MID(MAIN!A2665,K2660,2)</f>
        <v>#VALUE!</v>
      </c>
      <c r="C2660" s="12" t="e">
        <f t="shared" si="164"/>
        <v>#VALUE!</v>
      </c>
      <c r="D2660" s="12" t="e">
        <f>MID(MAIN!A2665,K2660+2,2)</f>
        <v>#VALUE!</v>
      </c>
      <c r="E2660" s="12" t="e">
        <f>MID(MAIN!A2665,K2660+4,2)</f>
        <v>#VALUE!</v>
      </c>
      <c r="F2660" s="2" t="e">
        <f t="shared" si="165"/>
        <v>#VALUE!</v>
      </c>
      <c r="G2660" s="13" t="e">
        <f t="shared" si="166"/>
        <v>#VALUE!</v>
      </c>
      <c r="J2660" t="str">
        <f>MAIN!A2665&amp;"B"</f>
        <v>B</v>
      </c>
      <c r="K2660" s="12" t="e">
        <f t="shared" si="167"/>
        <v>#VALUE!</v>
      </c>
      <c r="L2660" t="str">
        <f>MAIN!C2665</f>
        <v/>
      </c>
    </row>
    <row r="2661" spans="1:12" x14ac:dyDescent="0.3">
      <c r="A2661">
        <f>IF(J2661="0",0,IF(COUNTIF($J$2:J2661,J2661)=1,1,0))</f>
        <v>0</v>
      </c>
      <c r="B2661" s="12" t="e">
        <f>MID(MAIN!A2666,K2661,2)</f>
        <v>#VALUE!</v>
      </c>
      <c r="C2661" s="12" t="e">
        <f t="shared" si="164"/>
        <v>#VALUE!</v>
      </c>
      <c r="D2661" s="12" t="e">
        <f>MID(MAIN!A2666,K2661+2,2)</f>
        <v>#VALUE!</v>
      </c>
      <c r="E2661" s="12" t="e">
        <f>MID(MAIN!A2666,K2661+4,2)</f>
        <v>#VALUE!</v>
      </c>
      <c r="F2661" s="2" t="e">
        <f t="shared" si="165"/>
        <v>#VALUE!</v>
      </c>
      <c r="G2661" s="13" t="e">
        <f t="shared" si="166"/>
        <v>#VALUE!</v>
      </c>
      <c r="J2661" t="str">
        <f>MAIN!A2666&amp;"B"</f>
        <v>B</v>
      </c>
      <c r="K2661" s="12" t="e">
        <f t="shared" si="167"/>
        <v>#VALUE!</v>
      </c>
      <c r="L2661" t="str">
        <f>MAIN!C2666</f>
        <v/>
      </c>
    </row>
    <row r="2662" spans="1:12" x14ac:dyDescent="0.3">
      <c r="A2662">
        <f>IF(J2662="0",0,IF(COUNTIF($J$2:J2662,J2662)=1,1,0))</f>
        <v>0</v>
      </c>
      <c r="B2662" s="12" t="e">
        <f>MID(MAIN!A2667,K2662,2)</f>
        <v>#VALUE!</v>
      </c>
      <c r="C2662" s="12" t="e">
        <f t="shared" si="164"/>
        <v>#VALUE!</v>
      </c>
      <c r="D2662" s="12" t="e">
        <f>MID(MAIN!A2667,K2662+2,2)</f>
        <v>#VALUE!</v>
      </c>
      <c r="E2662" s="12" t="e">
        <f>MID(MAIN!A2667,K2662+4,2)</f>
        <v>#VALUE!</v>
      </c>
      <c r="F2662" s="2" t="e">
        <f t="shared" si="165"/>
        <v>#VALUE!</v>
      </c>
      <c r="G2662" s="13" t="e">
        <f t="shared" si="166"/>
        <v>#VALUE!</v>
      </c>
      <c r="J2662" t="str">
        <f>MAIN!A2667&amp;"B"</f>
        <v>B</v>
      </c>
      <c r="K2662" s="12" t="e">
        <f t="shared" si="167"/>
        <v>#VALUE!</v>
      </c>
      <c r="L2662" t="str">
        <f>MAIN!C2667</f>
        <v/>
      </c>
    </row>
    <row r="2663" spans="1:12" x14ac:dyDescent="0.3">
      <c r="A2663">
        <f>IF(J2663="0",0,IF(COUNTIF($J$2:J2663,J2663)=1,1,0))</f>
        <v>0</v>
      </c>
      <c r="B2663" s="12" t="e">
        <f>MID(MAIN!A2668,K2663,2)</f>
        <v>#VALUE!</v>
      </c>
      <c r="C2663" s="12" t="e">
        <f t="shared" si="164"/>
        <v>#VALUE!</v>
      </c>
      <c r="D2663" s="12" t="e">
        <f>MID(MAIN!A2668,K2663+2,2)</f>
        <v>#VALUE!</v>
      </c>
      <c r="E2663" s="12" t="e">
        <f>MID(MAIN!A2668,K2663+4,2)</f>
        <v>#VALUE!</v>
      </c>
      <c r="F2663" s="2" t="e">
        <f t="shared" si="165"/>
        <v>#VALUE!</v>
      </c>
      <c r="G2663" s="13" t="e">
        <f t="shared" si="166"/>
        <v>#VALUE!</v>
      </c>
      <c r="J2663" t="str">
        <f>MAIN!A2668&amp;"B"</f>
        <v>B</v>
      </c>
      <c r="K2663" s="12" t="e">
        <f t="shared" si="167"/>
        <v>#VALUE!</v>
      </c>
      <c r="L2663" t="str">
        <f>MAIN!C2668</f>
        <v/>
      </c>
    </row>
    <row r="2664" spans="1:12" x14ac:dyDescent="0.3">
      <c r="A2664">
        <f>IF(J2664="0",0,IF(COUNTIF($J$2:J2664,J2664)=1,1,0))</f>
        <v>0</v>
      </c>
      <c r="B2664" s="12" t="e">
        <f>MID(MAIN!A2669,K2664,2)</f>
        <v>#VALUE!</v>
      </c>
      <c r="C2664" s="12" t="e">
        <f t="shared" si="164"/>
        <v>#VALUE!</v>
      </c>
      <c r="D2664" s="12" t="e">
        <f>MID(MAIN!A2669,K2664+2,2)</f>
        <v>#VALUE!</v>
      </c>
      <c r="E2664" s="12" t="e">
        <f>MID(MAIN!A2669,K2664+4,2)</f>
        <v>#VALUE!</v>
      </c>
      <c r="F2664" s="2" t="e">
        <f t="shared" si="165"/>
        <v>#VALUE!</v>
      </c>
      <c r="G2664" s="13" t="e">
        <f t="shared" si="166"/>
        <v>#VALUE!</v>
      </c>
      <c r="J2664" t="str">
        <f>MAIN!A2669&amp;"B"</f>
        <v>B</v>
      </c>
      <c r="K2664" s="12" t="e">
        <f t="shared" si="167"/>
        <v>#VALUE!</v>
      </c>
      <c r="L2664" t="str">
        <f>MAIN!C2669</f>
        <v/>
      </c>
    </row>
    <row r="2665" spans="1:12" x14ac:dyDescent="0.3">
      <c r="A2665">
        <f>IF(J2665="0",0,IF(COUNTIF($J$2:J2665,J2665)=1,1,0))</f>
        <v>0</v>
      </c>
      <c r="B2665" s="12" t="e">
        <f>MID(MAIN!A2670,K2665,2)</f>
        <v>#VALUE!</v>
      </c>
      <c r="C2665" s="12" t="e">
        <f t="shared" si="164"/>
        <v>#VALUE!</v>
      </c>
      <c r="D2665" s="12" t="e">
        <f>MID(MAIN!A2670,K2665+2,2)</f>
        <v>#VALUE!</v>
      </c>
      <c r="E2665" s="12" t="e">
        <f>MID(MAIN!A2670,K2665+4,2)</f>
        <v>#VALUE!</v>
      </c>
      <c r="F2665" s="2" t="e">
        <f t="shared" si="165"/>
        <v>#VALUE!</v>
      </c>
      <c r="G2665" s="13" t="e">
        <f t="shared" si="166"/>
        <v>#VALUE!</v>
      </c>
      <c r="J2665" t="str">
        <f>MAIN!A2670&amp;"B"</f>
        <v>B</v>
      </c>
      <c r="K2665" s="12" t="e">
        <f t="shared" si="167"/>
        <v>#VALUE!</v>
      </c>
      <c r="L2665" t="str">
        <f>MAIN!C2670</f>
        <v/>
      </c>
    </row>
    <row r="2666" spans="1:12" x14ac:dyDescent="0.3">
      <c r="A2666">
        <f>IF(J2666="0",0,IF(COUNTIF($J$2:J2666,J2666)=1,1,0))</f>
        <v>0</v>
      </c>
      <c r="B2666" s="12" t="e">
        <f>MID(MAIN!A2671,K2666,2)</f>
        <v>#VALUE!</v>
      </c>
      <c r="C2666" s="12" t="e">
        <f t="shared" si="164"/>
        <v>#VALUE!</v>
      </c>
      <c r="D2666" s="12" t="e">
        <f>MID(MAIN!A2671,K2666+2,2)</f>
        <v>#VALUE!</v>
      </c>
      <c r="E2666" s="12" t="e">
        <f>MID(MAIN!A2671,K2666+4,2)</f>
        <v>#VALUE!</v>
      </c>
      <c r="F2666" s="2" t="e">
        <f t="shared" si="165"/>
        <v>#VALUE!</v>
      </c>
      <c r="G2666" s="13" t="e">
        <f t="shared" si="166"/>
        <v>#VALUE!</v>
      </c>
      <c r="J2666" t="str">
        <f>MAIN!A2671&amp;"B"</f>
        <v>B</v>
      </c>
      <c r="K2666" s="12" t="e">
        <f t="shared" si="167"/>
        <v>#VALUE!</v>
      </c>
      <c r="L2666" t="str">
        <f>MAIN!C2671</f>
        <v/>
      </c>
    </row>
    <row r="2667" spans="1:12" x14ac:dyDescent="0.3">
      <c r="A2667">
        <f>IF(J2667="0",0,IF(COUNTIF($J$2:J2667,J2667)=1,1,0))</f>
        <v>0</v>
      </c>
      <c r="B2667" s="12" t="e">
        <f>MID(MAIN!A2672,K2667,2)</f>
        <v>#VALUE!</v>
      </c>
      <c r="C2667" s="12" t="e">
        <f t="shared" si="164"/>
        <v>#VALUE!</v>
      </c>
      <c r="D2667" s="12" t="e">
        <f>MID(MAIN!A2672,K2667+2,2)</f>
        <v>#VALUE!</v>
      </c>
      <c r="E2667" s="12" t="e">
        <f>MID(MAIN!A2672,K2667+4,2)</f>
        <v>#VALUE!</v>
      </c>
      <c r="F2667" s="2" t="e">
        <f t="shared" si="165"/>
        <v>#VALUE!</v>
      </c>
      <c r="G2667" s="13" t="e">
        <f t="shared" si="166"/>
        <v>#VALUE!</v>
      </c>
      <c r="J2667" t="str">
        <f>MAIN!A2672&amp;"B"</f>
        <v>B</v>
      </c>
      <c r="K2667" s="12" t="e">
        <f t="shared" si="167"/>
        <v>#VALUE!</v>
      </c>
      <c r="L2667" t="str">
        <f>MAIN!C2672</f>
        <v/>
      </c>
    </row>
    <row r="2668" spans="1:12" x14ac:dyDescent="0.3">
      <c r="A2668">
        <f>IF(J2668="0",0,IF(COUNTIF($J$2:J2668,J2668)=1,1,0))</f>
        <v>0</v>
      </c>
      <c r="B2668" s="12" t="e">
        <f>MID(MAIN!A2673,K2668,2)</f>
        <v>#VALUE!</v>
      </c>
      <c r="C2668" s="12" t="e">
        <f t="shared" si="164"/>
        <v>#VALUE!</v>
      </c>
      <c r="D2668" s="12" t="e">
        <f>MID(MAIN!A2673,K2668+2,2)</f>
        <v>#VALUE!</v>
      </c>
      <c r="E2668" s="12" t="e">
        <f>MID(MAIN!A2673,K2668+4,2)</f>
        <v>#VALUE!</v>
      </c>
      <c r="F2668" s="2" t="e">
        <f t="shared" si="165"/>
        <v>#VALUE!</v>
      </c>
      <c r="G2668" s="13" t="e">
        <f t="shared" si="166"/>
        <v>#VALUE!</v>
      </c>
      <c r="J2668" t="str">
        <f>MAIN!A2673&amp;"B"</f>
        <v>B</v>
      </c>
      <c r="K2668" s="12" t="e">
        <f t="shared" si="167"/>
        <v>#VALUE!</v>
      </c>
      <c r="L2668" t="str">
        <f>MAIN!C2673</f>
        <v/>
      </c>
    </row>
    <row r="2669" spans="1:12" x14ac:dyDescent="0.3">
      <c r="A2669">
        <f>IF(J2669="0",0,IF(COUNTIF($J$2:J2669,J2669)=1,1,0))</f>
        <v>0</v>
      </c>
      <c r="B2669" s="12" t="e">
        <f>MID(MAIN!A2674,K2669,2)</f>
        <v>#VALUE!</v>
      </c>
      <c r="C2669" s="12" t="e">
        <f t="shared" si="164"/>
        <v>#VALUE!</v>
      </c>
      <c r="D2669" s="12" t="e">
        <f>MID(MAIN!A2674,K2669+2,2)</f>
        <v>#VALUE!</v>
      </c>
      <c r="E2669" s="12" t="e">
        <f>MID(MAIN!A2674,K2669+4,2)</f>
        <v>#VALUE!</v>
      </c>
      <c r="F2669" s="2" t="e">
        <f t="shared" si="165"/>
        <v>#VALUE!</v>
      </c>
      <c r="G2669" s="13" t="e">
        <f t="shared" si="166"/>
        <v>#VALUE!</v>
      </c>
      <c r="J2669" t="str">
        <f>MAIN!A2674&amp;"B"</f>
        <v>B</v>
      </c>
      <c r="K2669" s="12" t="e">
        <f t="shared" si="167"/>
        <v>#VALUE!</v>
      </c>
      <c r="L2669" t="str">
        <f>MAIN!C2674</f>
        <v/>
      </c>
    </row>
    <row r="2670" spans="1:12" x14ac:dyDescent="0.3">
      <c r="A2670">
        <f>IF(J2670="0",0,IF(COUNTIF($J$2:J2670,J2670)=1,1,0))</f>
        <v>0</v>
      </c>
      <c r="B2670" s="12" t="e">
        <f>MID(MAIN!A2675,K2670,2)</f>
        <v>#VALUE!</v>
      </c>
      <c r="C2670" s="12" t="e">
        <f t="shared" si="164"/>
        <v>#VALUE!</v>
      </c>
      <c r="D2670" s="12" t="e">
        <f>MID(MAIN!A2675,K2670+2,2)</f>
        <v>#VALUE!</v>
      </c>
      <c r="E2670" s="12" t="e">
        <f>MID(MAIN!A2675,K2670+4,2)</f>
        <v>#VALUE!</v>
      </c>
      <c r="F2670" s="2" t="e">
        <f t="shared" si="165"/>
        <v>#VALUE!</v>
      </c>
      <c r="G2670" s="13" t="e">
        <f t="shared" si="166"/>
        <v>#VALUE!</v>
      </c>
      <c r="J2670" t="str">
        <f>MAIN!A2675&amp;"B"</f>
        <v>B</v>
      </c>
      <c r="K2670" s="12" t="e">
        <f t="shared" si="167"/>
        <v>#VALUE!</v>
      </c>
      <c r="L2670" t="str">
        <f>MAIN!C2675</f>
        <v/>
      </c>
    </row>
    <row r="2671" spans="1:12" x14ac:dyDescent="0.3">
      <c r="A2671">
        <f>IF(J2671="0",0,IF(COUNTIF($J$2:J2671,J2671)=1,1,0))</f>
        <v>0</v>
      </c>
      <c r="B2671" s="12" t="e">
        <f>MID(MAIN!A2676,K2671,2)</f>
        <v>#VALUE!</v>
      </c>
      <c r="C2671" s="12" t="e">
        <f t="shared" si="164"/>
        <v>#VALUE!</v>
      </c>
      <c r="D2671" s="12" t="e">
        <f>MID(MAIN!A2676,K2671+2,2)</f>
        <v>#VALUE!</v>
      </c>
      <c r="E2671" s="12" t="e">
        <f>MID(MAIN!A2676,K2671+4,2)</f>
        <v>#VALUE!</v>
      </c>
      <c r="F2671" s="2" t="e">
        <f t="shared" si="165"/>
        <v>#VALUE!</v>
      </c>
      <c r="G2671" s="13" t="e">
        <f t="shared" si="166"/>
        <v>#VALUE!</v>
      </c>
      <c r="J2671" t="str">
        <f>MAIN!A2676&amp;"B"</f>
        <v>B</v>
      </c>
      <c r="K2671" s="12" t="e">
        <f t="shared" si="167"/>
        <v>#VALUE!</v>
      </c>
      <c r="L2671" t="str">
        <f>MAIN!C2676</f>
        <v/>
      </c>
    </row>
    <row r="2672" spans="1:12" x14ac:dyDescent="0.3">
      <c r="A2672">
        <f>IF(J2672="0",0,IF(COUNTIF($J$2:J2672,J2672)=1,1,0))</f>
        <v>0</v>
      </c>
      <c r="B2672" s="12" t="e">
        <f>MID(MAIN!A2677,K2672,2)</f>
        <v>#VALUE!</v>
      </c>
      <c r="C2672" s="12" t="e">
        <f t="shared" si="164"/>
        <v>#VALUE!</v>
      </c>
      <c r="D2672" s="12" t="e">
        <f>MID(MAIN!A2677,K2672+2,2)</f>
        <v>#VALUE!</v>
      </c>
      <c r="E2672" s="12" t="e">
        <f>MID(MAIN!A2677,K2672+4,2)</f>
        <v>#VALUE!</v>
      </c>
      <c r="F2672" s="2" t="e">
        <f t="shared" si="165"/>
        <v>#VALUE!</v>
      </c>
      <c r="G2672" s="13" t="e">
        <f t="shared" si="166"/>
        <v>#VALUE!</v>
      </c>
      <c r="J2672" t="str">
        <f>MAIN!A2677&amp;"B"</f>
        <v>B</v>
      </c>
      <c r="K2672" s="12" t="e">
        <f t="shared" si="167"/>
        <v>#VALUE!</v>
      </c>
      <c r="L2672" t="str">
        <f>MAIN!C2677</f>
        <v/>
      </c>
    </row>
    <row r="2673" spans="1:12" x14ac:dyDescent="0.3">
      <c r="A2673">
        <f>IF(J2673="0",0,IF(COUNTIF($J$2:J2673,J2673)=1,1,0))</f>
        <v>0</v>
      </c>
      <c r="B2673" s="12" t="e">
        <f>MID(MAIN!A2678,K2673,2)</f>
        <v>#VALUE!</v>
      </c>
      <c r="C2673" s="12" t="e">
        <f t="shared" si="164"/>
        <v>#VALUE!</v>
      </c>
      <c r="D2673" s="12" t="e">
        <f>MID(MAIN!A2678,K2673+2,2)</f>
        <v>#VALUE!</v>
      </c>
      <c r="E2673" s="12" t="e">
        <f>MID(MAIN!A2678,K2673+4,2)</f>
        <v>#VALUE!</v>
      </c>
      <c r="F2673" s="2" t="e">
        <f t="shared" si="165"/>
        <v>#VALUE!</v>
      </c>
      <c r="G2673" s="13" t="e">
        <f t="shared" si="166"/>
        <v>#VALUE!</v>
      </c>
      <c r="J2673" t="str">
        <f>MAIN!A2678&amp;"B"</f>
        <v>B</v>
      </c>
      <c r="K2673" s="12" t="e">
        <f t="shared" si="167"/>
        <v>#VALUE!</v>
      </c>
      <c r="L2673" t="str">
        <f>MAIN!C2678</f>
        <v/>
      </c>
    </row>
    <row r="2674" spans="1:12" x14ac:dyDescent="0.3">
      <c r="A2674">
        <f>IF(J2674="0",0,IF(COUNTIF($J$2:J2674,J2674)=1,1,0))</f>
        <v>0</v>
      </c>
      <c r="B2674" s="12" t="e">
        <f>MID(MAIN!A2679,K2674,2)</f>
        <v>#VALUE!</v>
      </c>
      <c r="C2674" s="12" t="e">
        <f t="shared" si="164"/>
        <v>#VALUE!</v>
      </c>
      <c r="D2674" s="12" t="e">
        <f>MID(MAIN!A2679,K2674+2,2)</f>
        <v>#VALUE!</v>
      </c>
      <c r="E2674" s="12" t="e">
        <f>MID(MAIN!A2679,K2674+4,2)</f>
        <v>#VALUE!</v>
      </c>
      <c r="F2674" s="2" t="e">
        <f t="shared" si="165"/>
        <v>#VALUE!</v>
      </c>
      <c r="G2674" s="13" t="e">
        <f t="shared" si="166"/>
        <v>#VALUE!</v>
      </c>
      <c r="J2674" t="str">
        <f>MAIN!A2679&amp;"B"</f>
        <v>B</v>
      </c>
      <c r="K2674" s="12" t="e">
        <f t="shared" si="167"/>
        <v>#VALUE!</v>
      </c>
      <c r="L2674" t="str">
        <f>MAIN!C2679</f>
        <v/>
      </c>
    </row>
    <row r="2675" spans="1:12" x14ac:dyDescent="0.3">
      <c r="A2675">
        <f>IF(J2675="0",0,IF(COUNTIF($J$2:J2675,J2675)=1,1,0))</f>
        <v>0</v>
      </c>
      <c r="B2675" s="12" t="e">
        <f>MID(MAIN!A2680,K2675,2)</f>
        <v>#VALUE!</v>
      </c>
      <c r="C2675" s="12" t="e">
        <f t="shared" si="164"/>
        <v>#VALUE!</v>
      </c>
      <c r="D2675" s="12" t="e">
        <f>MID(MAIN!A2680,K2675+2,2)</f>
        <v>#VALUE!</v>
      </c>
      <c r="E2675" s="12" t="e">
        <f>MID(MAIN!A2680,K2675+4,2)</f>
        <v>#VALUE!</v>
      </c>
      <c r="F2675" s="2" t="e">
        <f t="shared" si="165"/>
        <v>#VALUE!</v>
      </c>
      <c r="G2675" s="13" t="e">
        <f t="shared" si="166"/>
        <v>#VALUE!</v>
      </c>
      <c r="J2675" t="str">
        <f>MAIN!A2680&amp;"B"</f>
        <v>B</v>
      </c>
      <c r="K2675" s="12" t="e">
        <f t="shared" si="167"/>
        <v>#VALUE!</v>
      </c>
      <c r="L2675" t="str">
        <f>MAIN!C2680</f>
        <v/>
      </c>
    </row>
    <row r="2676" spans="1:12" x14ac:dyDescent="0.3">
      <c r="A2676">
        <f>IF(J2676="0",0,IF(COUNTIF($J$2:J2676,J2676)=1,1,0))</f>
        <v>0</v>
      </c>
      <c r="B2676" s="12" t="e">
        <f>MID(MAIN!A2681,K2676,2)</f>
        <v>#VALUE!</v>
      </c>
      <c r="C2676" s="12" t="e">
        <f t="shared" si="164"/>
        <v>#VALUE!</v>
      </c>
      <c r="D2676" s="12" t="e">
        <f>MID(MAIN!A2681,K2676+2,2)</f>
        <v>#VALUE!</v>
      </c>
      <c r="E2676" s="12" t="e">
        <f>MID(MAIN!A2681,K2676+4,2)</f>
        <v>#VALUE!</v>
      </c>
      <c r="F2676" s="2" t="e">
        <f t="shared" si="165"/>
        <v>#VALUE!</v>
      </c>
      <c r="G2676" s="13" t="e">
        <f t="shared" si="166"/>
        <v>#VALUE!</v>
      </c>
      <c r="J2676" t="str">
        <f>MAIN!A2681&amp;"B"</f>
        <v>B</v>
      </c>
      <c r="K2676" s="12" t="e">
        <f t="shared" si="167"/>
        <v>#VALUE!</v>
      </c>
      <c r="L2676" t="str">
        <f>MAIN!C2681</f>
        <v/>
      </c>
    </row>
    <row r="2677" spans="1:12" x14ac:dyDescent="0.3">
      <c r="A2677">
        <f>IF(J2677="0",0,IF(COUNTIF($J$2:J2677,J2677)=1,1,0))</f>
        <v>0</v>
      </c>
      <c r="B2677" s="12" t="e">
        <f>MID(MAIN!A2682,K2677,2)</f>
        <v>#VALUE!</v>
      </c>
      <c r="C2677" s="12" t="e">
        <f t="shared" si="164"/>
        <v>#VALUE!</v>
      </c>
      <c r="D2677" s="12" t="e">
        <f>MID(MAIN!A2682,K2677+2,2)</f>
        <v>#VALUE!</v>
      </c>
      <c r="E2677" s="12" t="e">
        <f>MID(MAIN!A2682,K2677+4,2)</f>
        <v>#VALUE!</v>
      </c>
      <c r="F2677" s="2" t="e">
        <f t="shared" si="165"/>
        <v>#VALUE!</v>
      </c>
      <c r="G2677" s="13" t="e">
        <f t="shared" si="166"/>
        <v>#VALUE!</v>
      </c>
      <c r="J2677" t="str">
        <f>MAIN!A2682&amp;"B"</f>
        <v>B</v>
      </c>
      <c r="K2677" s="12" t="e">
        <f t="shared" si="167"/>
        <v>#VALUE!</v>
      </c>
      <c r="L2677" t="str">
        <f>MAIN!C2682</f>
        <v/>
      </c>
    </row>
    <row r="2678" spans="1:12" x14ac:dyDescent="0.3">
      <c r="A2678">
        <f>IF(J2678="0",0,IF(COUNTIF($J$2:J2678,J2678)=1,1,0))</f>
        <v>0</v>
      </c>
      <c r="B2678" s="12" t="e">
        <f>MID(MAIN!A2683,K2678,2)</f>
        <v>#VALUE!</v>
      </c>
      <c r="C2678" s="12" t="e">
        <f t="shared" si="164"/>
        <v>#VALUE!</v>
      </c>
      <c r="D2678" s="12" t="e">
        <f>MID(MAIN!A2683,K2678+2,2)</f>
        <v>#VALUE!</v>
      </c>
      <c r="E2678" s="12" t="e">
        <f>MID(MAIN!A2683,K2678+4,2)</f>
        <v>#VALUE!</v>
      </c>
      <c r="F2678" s="2" t="e">
        <f t="shared" si="165"/>
        <v>#VALUE!</v>
      </c>
      <c r="G2678" s="13" t="e">
        <f t="shared" si="166"/>
        <v>#VALUE!</v>
      </c>
      <c r="J2678" t="str">
        <f>MAIN!A2683&amp;"B"</f>
        <v>B</v>
      </c>
      <c r="K2678" s="12" t="e">
        <f t="shared" si="167"/>
        <v>#VALUE!</v>
      </c>
      <c r="L2678" t="str">
        <f>MAIN!C2683</f>
        <v/>
      </c>
    </row>
    <row r="2679" spans="1:12" x14ac:dyDescent="0.3">
      <c r="A2679">
        <f>IF(J2679="0",0,IF(COUNTIF($J$2:J2679,J2679)=1,1,0))</f>
        <v>0</v>
      </c>
      <c r="B2679" s="12" t="e">
        <f>MID(MAIN!A2684,K2679,2)</f>
        <v>#VALUE!</v>
      </c>
      <c r="C2679" s="12" t="e">
        <f t="shared" si="164"/>
        <v>#VALUE!</v>
      </c>
      <c r="D2679" s="12" t="e">
        <f>MID(MAIN!A2684,K2679+2,2)</f>
        <v>#VALUE!</v>
      </c>
      <c r="E2679" s="12" t="e">
        <f>MID(MAIN!A2684,K2679+4,2)</f>
        <v>#VALUE!</v>
      </c>
      <c r="F2679" s="2" t="e">
        <f t="shared" si="165"/>
        <v>#VALUE!</v>
      </c>
      <c r="G2679" s="13" t="e">
        <f t="shared" si="166"/>
        <v>#VALUE!</v>
      </c>
      <c r="J2679" t="str">
        <f>MAIN!A2684&amp;"B"</f>
        <v>B</v>
      </c>
      <c r="K2679" s="12" t="e">
        <f t="shared" si="167"/>
        <v>#VALUE!</v>
      </c>
      <c r="L2679" t="str">
        <f>MAIN!C2684</f>
        <v/>
      </c>
    </row>
    <row r="2680" spans="1:12" x14ac:dyDescent="0.3">
      <c r="A2680">
        <f>IF(J2680="0",0,IF(COUNTIF($J$2:J2680,J2680)=1,1,0))</f>
        <v>0</v>
      </c>
      <c r="B2680" s="12" t="e">
        <f>MID(MAIN!A2685,K2680,2)</f>
        <v>#VALUE!</v>
      </c>
      <c r="C2680" s="12" t="e">
        <f t="shared" si="164"/>
        <v>#VALUE!</v>
      </c>
      <c r="D2680" s="12" t="e">
        <f>MID(MAIN!A2685,K2680+2,2)</f>
        <v>#VALUE!</v>
      </c>
      <c r="E2680" s="12" t="e">
        <f>MID(MAIN!A2685,K2680+4,2)</f>
        <v>#VALUE!</v>
      </c>
      <c r="F2680" s="2" t="e">
        <f t="shared" si="165"/>
        <v>#VALUE!</v>
      </c>
      <c r="G2680" s="13" t="e">
        <f t="shared" si="166"/>
        <v>#VALUE!</v>
      </c>
      <c r="J2680" t="str">
        <f>MAIN!A2685&amp;"B"</f>
        <v>B</v>
      </c>
      <c r="K2680" s="12" t="e">
        <f t="shared" si="167"/>
        <v>#VALUE!</v>
      </c>
      <c r="L2680" t="str">
        <f>MAIN!C2685</f>
        <v/>
      </c>
    </row>
    <row r="2681" spans="1:12" x14ac:dyDescent="0.3">
      <c r="A2681">
        <f>IF(J2681="0",0,IF(COUNTIF($J$2:J2681,J2681)=1,1,0))</f>
        <v>0</v>
      </c>
      <c r="B2681" s="12" t="e">
        <f>MID(MAIN!A2686,K2681,2)</f>
        <v>#VALUE!</v>
      </c>
      <c r="C2681" s="12" t="e">
        <f t="shared" si="164"/>
        <v>#VALUE!</v>
      </c>
      <c r="D2681" s="12" t="e">
        <f>MID(MAIN!A2686,K2681+2,2)</f>
        <v>#VALUE!</v>
      </c>
      <c r="E2681" s="12" t="e">
        <f>MID(MAIN!A2686,K2681+4,2)</f>
        <v>#VALUE!</v>
      </c>
      <c r="F2681" s="2" t="e">
        <f t="shared" si="165"/>
        <v>#VALUE!</v>
      </c>
      <c r="G2681" s="13" t="e">
        <f t="shared" si="166"/>
        <v>#VALUE!</v>
      </c>
      <c r="J2681" t="str">
        <f>MAIN!A2686&amp;"B"</f>
        <v>B</v>
      </c>
      <c r="K2681" s="12" t="e">
        <f t="shared" si="167"/>
        <v>#VALUE!</v>
      </c>
      <c r="L2681" t="str">
        <f>MAIN!C2686</f>
        <v/>
      </c>
    </row>
    <row r="2682" spans="1:12" x14ac:dyDescent="0.3">
      <c r="A2682">
        <f>IF(J2682="0",0,IF(COUNTIF($J$2:J2682,J2682)=1,1,0))</f>
        <v>0</v>
      </c>
      <c r="B2682" s="12" t="e">
        <f>MID(MAIN!A2687,K2682,2)</f>
        <v>#VALUE!</v>
      </c>
      <c r="C2682" s="12" t="e">
        <f t="shared" si="164"/>
        <v>#VALUE!</v>
      </c>
      <c r="D2682" s="12" t="e">
        <f>MID(MAIN!A2687,K2682+2,2)</f>
        <v>#VALUE!</v>
      </c>
      <c r="E2682" s="12" t="e">
        <f>MID(MAIN!A2687,K2682+4,2)</f>
        <v>#VALUE!</v>
      </c>
      <c r="F2682" s="2" t="e">
        <f t="shared" si="165"/>
        <v>#VALUE!</v>
      </c>
      <c r="G2682" s="13" t="e">
        <f t="shared" si="166"/>
        <v>#VALUE!</v>
      </c>
      <c r="J2682" t="str">
        <f>MAIN!A2687&amp;"B"</f>
        <v>B</v>
      </c>
      <c r="K2682" s="12" t="e">
        <f t="shared" si="167"/>
        <v>#VALUE!</v>
      </c>
      <c r="L2682" t="str">
        <f>MAIN!C2687</f>
        <v/>
      </c>
    </row>
    <row r="2683" spans="1:12" x14ac:dyDescent="0.3">
      <c r="A2683">
        <f>IF(J2683="0",0,IF(COUNTIF($J$2:J2683,J2683)=1,1,0))</f>
        <v>0</v>
      </c>
      <c r="B2683" s="12" t="e">
        <f>MID(MAIN!A2688,K2683,2)</f>
        <v>#VALUE!</v>
      </c>
      <c r="C2683" s="12" t="e">
        <f t="shared" si="164"/>
        <v>#VALUE!</v>
      </c>
      <c r="D2683" s="12" t="e">
        <f>MID(MAIN!A2688,K2683+2,2)</f>
        <v>#VALUE!</v>
      </c>
      <c r="E2683" s="12" t="e">
        <f>MID(MAIN!A2688,K2683+4,2)</f>
        <v>#VALUE!</v>
      </c>
      <c r="F2683" s="2" t="e">
        <f t="shared" si="165"/>
        <v>#VALUE!</v>
      </c>
      <c r="G2683" s="13" t="e">
        <f t="shared" si="166"/>
        <v>#VALUE!</v>
      </c>
      <c r="J2683" t="str">
        <f>MAIN!A2688&amp;"B"</f>
        <v>B</v>
      </c>
      <c r="K2683" s="12" t="e">
        <f t="shared" si="167"/>
        <v>#VALUE!</v>
      </c>
      <c r="L2683" t="str">
        <f>MAIN!C2688</f>
        <v/>
      </c>
    </row>
    <row r="2684" spans="1:12" x14ac:dyDescent="0.3">
      <c r="A2684">
        <f>IF(J2684="0",0,IF(COUNTIF($J$2:J2684,J2684)=1,1,0))</f>
        <v>0</v>
      </c>
      <c r="B2684" s="12" t="e">
        <f>MID(MAIN!A2689,K2684,2)</f>
        <v>#VALUE!</v>
      </c>
      <c r="C2684" s="12" t="e">
        <f t="shared" si="164"/>
        <v>#VALUE!</v>
      </c>
      <c r="D2684" s="12" t="e">
        <f>MID(MAIN!A2689,K2684+2,2)</f>
        <v>#VALUE!</v>
      </c>
      <c r="E2684" s="12" t="e">
        <f>MID(MAIN!A2689,K2684+4,2)</f>
        <v>#VALUE!</v>
      </c>
      <c r="F2684" s="2" t="e">
        <f t="shared" si="165"/>
        <v>#VALUE!</v>
      </c>
      <c r="G2684" s="13" t="e">
        <f t="shared" si="166"/>
        <v>#VALUE!</v>
      </c>
      <c r="J2684" t="str">
        <f>MAIN!A2689&amp;"B"</f>
        <v>B</v>
      </c>
      <c r="K2684" s="12" t="e">
        <f t="shared" si="167"/>
        <v>#VALUE!</v>
      </c>
      <c r="L2684" t="str">
        <f>MAIN!C2689</f>
        <v/>
      </c>
    </row>
    <row r="2685" spans="1:12" x14ac:dyDescent="0.3">
      <c r="A2685">
        <f>IF(J2685="0",0,IF(COUNTIF($J$2:J2685,J2685)=1,1,0))</f>
        <v>0</v>
      </c>
      <c r="B2685" s="12" t="e">
        <f>MID(MAIN!A2690,K2685,2)</f>
        <v>#VALUE!</v>
      </c>
      <c r="C2685" s="12" t="e">
        <f t="shared" si="164"/>
        <v>#VALUE!</v>
      </c>
      <c r="D2685" s="12" t="e">
        <f>MID(MAIN!A2690,K2685+2,2)</f>
        <v>#VALUE!</v>
      </c>
      <c r="E2685" s="12" t="e">
        <f>MID(MAIN!A2690,K2685+4,2)</f>
        <v>#VALUE!</v>
      </c>
      <c r="F2685" s="2" t="e">
        <f t="shared" si="165"/>
        <v>#VALUE!</v>
      </c>
      <c r="G2685" s="13" t="e">
        <f t="shared" si="166"/>
        <v>#VALUE!</v>
      </c>
      <c r="J2685" t="str">
        <f>MAIN!A2690&amp;"B"</f>
        <v>B</v>
      </c>
      <c r="K2685" s="12" t="e">
        <f t="shared" si="167"/>
        <v>#VALUE!</v>
      </c>
      <c r="L2685" t="str">
        <f>MAIN!C2690</f>
        <v/>
      </c>
    </row>
    <row r="2686" spans="1:12" x14ac:dyDescent="0.3">
      <c r="A2686">
        <f>IF(J2686="0",0,IF(COUNTIF($J$2:J2686,J2686)=1,1,0))</f>
        <v>0</v>
      </c>
      <c r="B2686" s="12" t="e">
        <f>MID(MAIN!A2691,K2686,2)</f>
        <v>#VALUE!</v>
      </c>
      <c r="C2686" s="12" t="e">
        <f t="shared" si="164"/>
        <v>#VALUE!</v>
      </c>
      <c r="D2686" s="12" t="e">
        <f>MID(MAIN!A2691,K2686+2,2)</f>
        <v>#VALUE!</v>
      </c>
      <c r="E2686" s="12" t="e">
        <f>MID(MAIN!A2691,K2686+4,2)</f>
        <v>#VALUE!</v>
      </c>
      <c r="F2686" s="2" t="e">
        <f t="shared" si="165"/>
        <v>#VALUE!</v>
      </c>
      <c r="G2686" s="13" t="e">
        <f t="shared" si="166"/>
        <v>#VALUE!</v>
      </c>
      <c r="J2686" t="str">
        <f>MAIN!A2691&amp;"B"</f>
        <v>B</v>
      </c>
      <c r="K2686" s="12" t="e">
        <f t="shared" si="167"/>
        <v>#VALUE!</v>
      </c>
      <c r="L2686" t="str">
        <f>MAIN!C2691</f>
        <v/>
      </c>
    </row>
    <row r="2687" spans="1:12" x14ac:dyDescent="0.3">
      <c r="A2687">
        <f>IF(J2687="0",0,IF(COUNTIF($J$2:J2687,J2687)=1,1,0))</f>
        <v>0</v>
      </c>
      <c r="B2687" s="12" t="e">
        <f>MID(MAIN!A2692,K2687,2)</f>
        <v>#VALUE!</v>
      </c>
      <c r="C2687" s="12" t="e">
        <f t="shared" si="164"/>
        <v>#VALUE!</v>
      </c>
      <c r="D2687" s="12" t="e">
        <f>MID(MAIN!A2692,K2687+2,2)</f>
        <v>#VALUE!</v>
      </c>
      <c r="E2687" s="12" t="e">
        <f>MID(MAIN!A2692,K2687+4,2)</f>
        <v>#VALUE!</v>
      </c>
      <c r="F2687" s="2" t="e">
        <f t="shared" si="165"/>
        <v>#VALUE!</v>
      </c>
      <c r="G2687" s="13" t="e">
        <f t="shared" si="166"/>
        <v>#VALUE!</v>
      </c>
      <c r="J2687" t="str">
        <f>MAIN!A2692&amp;"B"</f>
        <v>B</v>
      </c>
      <c r="K2687" s="12" t="e">
        <f t="shared" si="167"/>
        <v>#VALUE!</v>
      </c>
      <c r="L2687" t="str">
        <f>MAIN!C2692</f>
        <v/>
      </c>
    </row>
    <row r="2688" spans="1:12" x14ac:dyDescent="0.3">
      <c r="A2688">
        <f>IF(J2688="0",0,IF(COUNTIF($J$2:J2688,J2688)=1,1,0))</f>
        <v>0</v>
      </c>
      <c r="B2688" s="12" t="e">
        <f>MID(MAIN!A2693,K2688,2)</f>
        <v>#VALUE!</v>
      </c>
      <c r="C2688" s="12" t="e">
        <f t="shared" si="164"/>
        <v>#VALUE!</v>
      </c>
      <c r="D2688" s="12" t="e">
        <f>MID(MAIN!A2693,K2688+2,2)</f>
        <v>#VALUE!</v>
      </c>
      <c r="E2688" s="12" t="e">
        <f>MID(MAIN!A2693,K2688+4,2)</f>
        <v>#VALUE!</v>
      </c>
      <c r="F2688" s="2" t="e">
        <f t="shared" si="165"/>
        <v>#VALUE!</v>
      </c>
      <c r="G2688" s="13" t="e">
        <f t="shared" si="166"/>
        <v>#VALUE!</v>
      </c>
      <c r="J2688" t="str">
        <f>MAIN!A2693&amp;"B"</f>
        <v>B</v>
      </c>
      <c r="K2688" s="12" t="e">
        <f t="shared" si="167"/>
        <v>#VALUE!</v>
      </c>
      <c r="L2688" t="str">
        <f>MAIN!C2693</f>
        <v/>
      </c>
    </row>
    <row r="2689" spans="1:12" x14ac:dyDescent="0.3">
      <c r="A2689">
        <f>IF(J2689="0",0,IF(COUNTIF($J$2:J2689,J2689)=1,1,0))</f>
        <v>0</v>
      </c>
      <c r="B2689" s="12" t="e">
        <f>MID(MAIN!A2694,K2689,2)</f>
        <v>#VALUE!</v>
      </c>
      <c r="C2689" s="12" t="e">
        <f t="shared" si="164"/>
        <v>#VALUE!</v>
      </c>
      <c r="D2689" s="12" t="e">
        <f>MID(MAIN!A2694,K2689+2,2)</f>
        <v>#VALUE!</v>
      </c>
      <c r="E2689" s="12" t="e">
        <f>MID(MAIN!A2694,K2689+4,2)</f>
        <v>#VALUE!</v>
      </c>
      <c r="F2689" s="2" t="e">
        <f t="shared" si="165"/>
        <v>#VALUE!</v>
      </c>
      <c r="G2689" s="13" t="e">
        <f t="shared" si="166"/>
        <v>#VALUE!</v>
      </c>
      <c r="J2689" t="str">
        <f>MAIN!A2694&amp;"B"</f>
        <v>B</v>
      </c>
      <c r="K2689" s="12" t="e">
        <f t="shared" si="167"/>
        <v>#VALUE!</v>
      </c>
      <c r="L2689" t="str">
        <f>MAIN!C2694</f>
        <v/>
      </c>
    </row>
    <row r="2690" spans="1:12" x14ac:dyDescent="0.3">
      <c r="A2690">
        <f>IF(J2690="0",0,IF(COUNTIF($J$2:J2690,J2690)=1,1,0))</f>
        <v>0</v>
      </c>
      <c r="B2690" s="12" t="e">
        <f>MID(MAIN!A2695,K2690,2)</f>
        <v>#VALUE!</v>
      </c>
      <c r="C2690" s="12" t="e">
        <f t="shared" si="164"/>
        <v>#VALUE!</v>
      </c>
      <c r="D2690" s="12" t="e">
        <f>MID(MAIN!A2695,K2690+2,2)</f>
        <v>#VALUE!</v>
      </c>
      <c r="E2690" s="12" t="e">
        <f>MID(MAIN!A2695,K2690+4,2)</f>
        <v>#VALUE!</v>
      </c>
      <c r="F2690" s="2" t="e">
        <f t="shared" si="165"/>
        <v>#VALUE!</v>
      </c>
      <c r="G2690" s="13" t="e">
        <f t="shared" si="166"/>
        <v>#VALUE!</v>
      </c>
      <c r="J2690" t="str">
        <f>MAIN!A2695&amp;"B"</f>
        <v>B</v>
      </c>
      <c r="K2690" s="12" t="e">
        <f t="shared" si="167"/>
        <v>#VALUE!</v>
      </c>
      <c r="L2690" t="str">
        <f>MAIN!C2695</f>
        <v/>
      </c>
    </row>
    <row r="2691" spans="1:12" x14ac:dyDescent="0.3">
      <c r="A2691">
        <f>IF(J2691="0",0,IF(COUNTIF($J$2:J2691,J2691)=1,1,0))</f>
        <v>0</v>
      </c>
      <c r="B2691" s="12" t="e">
        <f>MID(MAIN!A2696,K2691,2)</f>
        <v>#VALUE!</v>
      </c>
      <c r="C2691" s="12" t="e">
        <f t="shared" ref="C2691:C2754" si="168">"20"&amp;B2691</f>
        <v>#VALUE!</v>
      </c>
      <c r="D2691" s="12" t="e">
        <f>MID(MAIN!A2696,K2691+2,2)</f>
        <v>#VALUE!</v>
      </c>
      <c r="E2691" s="12" t="e">
        <f>MID(MAIN!A2696,K2691+4,2)</f>
        <v>#VALUE!</v>
      </c>
      <c r="F2691" s="2" t="e">
        <f t="shared" ref="F2691:F2754" si="169">C2691&amp;"/"&amp;D2691&amp;"/"&amp;E2691</f>
        <v>#VALUE!</v>
      </c>
      <c r="G2691" s="13" t="e">
        <f t="shared" ref="G2691:G2754" si="170">DATEVALUE(F2691)</f>
        <v>#VALUE!</v>
      </c>
      <c r="J2691" t="str">
        <f>MAIN!A2696&amp;"B"</f>
        <v>B</v>
      </c>
      <c r="K2691" s="12" t="e">
        <f t="shared" ref="K2691:K2754" si="171">FIND("172",J2691,30)+2</f>
        <v>#VALUE!</v>
      </c>
      <c r="L2691" t="str">
        <f>MAIN!C2696</f>
        <v/>
      </c>
    </row>
    <row r="2692" spans="1:12" x14ac:dyDescent="0.3">
      <c r="A2692">
        <f>IF(J2692="0",0,IF(COUNTIF($J$2:J2692,J2692)=1,1,0))</f>
        <v>0</v>
      </c>
      <c r="B2692" s="12" t="e">
        <f>MID(MAIN!A2697,K2692,2)</f>
        <v>#VALUE!</v>
      </c>
      <c r="C2692" s="12" t="e">
        <f t="shared" si="168"/>
        <v>#VALUE!</v>
      </c>
      <c r="D2692" s="12" t="e">
        <f>MID(MAIN!A2697,K2692+2,2)</f>
        <v>#VALUE!</v>
      </c>
      <c r="E2692" s="12" t="e">
        <f>MID(MAIN!A2697,K2692+4,2)</f>
        <v>#VALUE!</v>
      </c>
      <c r="F2692" s="2" t="e">
        <f t="shared" si="169"/>
        <v>#VALUE!</v>
      </c>
      <c r="G2692" s="13" t="e">
        <f t="shared" si="170"/>
        <v>#VALUE!</v>
      </c>
      <c r="J2692" t="str">
        <f>MAIN!A2697&amp;"B"</f>
        <v>B</v>
      </c>
      <c r="K2692" s="12" t="e">
        <f t="shared" si="171"/>
        <v>#VALUE!</v>
      </c>
      <c r="L2692" t="str">
        <f>MAIN!C2697</f>
        <v/>
      </c>
    </row>
    <row r="2693" spans="1:12" x14ac:dyDescent="0.3">
      <c r="A2693">
        <f>IF(J2693="0",0,IF(COUNTIF($J$2:J2693,J2693)=1,1,0))</f>
        <v>0</v>
      </c>
      <c r="B2693" s="12" t="e">
        <f>MID(MAIN!A2698,K2693,2)</f>
        <v>#VALUE!</v>
      </c>
      <c r="C2693" s="12" t="e">
        <f t="shared" si="168"/>
        <v>#VALUE!</v>
      </c>
      <c r="D2693" s="12" t="e">
        <f>MID(MAIN!A2698,K2693+2,2)</f>
        <v>#VALUE!</v>
      </c>
      <c r="E2693" s="12" t="e">
        <f>MID(MAIN!A2698,K2693+4,2)</f>
        <v>#VALUE!</v>
      </c>
      <c r="F2693" s="2" t="e">
        <f t="shared" si="169"/>
        <v>#VALUE!</v>
      </c>
      <c r="G2693" s="13" t="e">
        <f t="shared" si="170"/>
        <v>#VALUE!</v>
      </c>
      <c r="J2693" t="str">
        <f>MAIN!A2698&amp;"B"</f>
        <v>B</v>
      </c>
      <c r="K2693" s="12" t="e">
        <f t="shared" si="171"/>
        <v>#VALUE!</v>
      </c>
      <c r="L2693" t="str">
        <f>MAIN!C2698</f>
        <v/>
      </c>
    </row>
    <row r="2694" spans="1:12" x14ac:dyDescent="0.3">
      <c r="A2694">
        <f>IF(J2694="0",0,IF(COUNTIF($J$2:J2694,J2694)=1,1,0))</f>
        <v>0</v>
      </c>
      <c r="B2694" s="12" t="e">
        <f>MID(MAIN!A2699,K2694,2)</f>
        <v>#VALUE!</v>
      </c>
      <c r="C2694" s="12" t="e">
        <f t="shared" si="168"/>
        <v>#VALUE!</v>
      </c>
      <c r="D2694" s="12" t="e">
        <f>MID(MAIN!A2699,K2694+2,2)</f>
        <v>#VALUE!</v>
      </c>
      <c r="E2694" s="12" t="e">
        <f>MID(MAIN!A2699,K2694+4,2)</f>
        <v>#VALUE!</v>
      </c>
      <c r="F2694" s="2" t="e">
        <f t="shared" si="169"/>
        <v>#VALUE!</v>
      </c>
      <c r="G2694" s="13" t="e">
        <f t="shared" si="170"/>
        <v>#VALUE!</v>
      </c>
      <c r="J2694" t="str">
        <f>MAIN!A2699&amp;"B"</f>
        <v>B</v>
      </c>
      <c r="K2694" s="12" t="e">
        <f t="shared" si="171"/>
        <v>#VALUE!</v>
      </c>
      <c r="L2694" t="str">
        <f>MAIN!C2699</f>
        <v/>
      </c>
    </row>
    <row r="2695" spans="1:12" x14ac:dyDescent="0.3">
      <c r="A2695">
        <f>IF(J2695="0",0,IF(COUNTIF($J$2:J2695,J2695)=1,1,0))</f>
        <v>0</v>
      </c>
      <c r="B2695" s="12" t="e">
        <f>MID(MAIN!A2700,K2695,2)</f>
        <v>#VALUE!</v>
      </c>
      <c r="C2695" s="12" t="e">
        <f t="shared" si="168"/>
        <v>#VALUE!</v>
      </c>
      <c r="D2695" s="12" t="e">
        <f>MID(MAIN!A2700,K2695+2,2)</f>
        <v>#VALUE!</v>
      </c>
      <c r="E2695" s="12" t="e">
        <f>MID(MAIN!A2700,K2695+4,2)</f>
        <v>#VALUE!</v>
      </c>
      <c r="F2695" s="2" t="e">
        <f t="shared" si="169"/>
        <v>#VALUE!</v>
      </c>
      <c r="G2695" s="13" t="e">
        <f t="shared" si="170"/>
        <v>#VALUE!</v>
      </c>
      <c r="J2695" t="str">
        <f>MAIN!A2700&amp;"B"</f>
        <v>B</v>
      </c>
      <c r="K2695" s="12" t="e">
        <f t="shared" si="171"/>
        <v>#VALUE!</v>
      </c>
      <c r="L2695" t="str">
        <f>MAIN!C2700</f>
        <v/>
      </c>
    </row>
    <row r="2696" spans="1:12" x14ac:dyDescent="0.3">
      <c r="A2696">
        <f>IF(J2696="0",0,IF(COUNTIF($J$2:J2696,J2696)=1,1,0))</f>
        <v>0</v>
      </c>
      <c r="B2696" s="12" t="e">
        <f>MID(MAIN!A2701,K2696,2)</f>
        <v>#VALUE!</v>
      </c>
      <c r="C2696" s="12" t="e">
        <f t="shared" si="168"/>
        <v>#VALUE!</v>
      </c>
      <c r="D2696" s="12" t="e">
        <f>MID(MAIN!A2701,K2696+2,2)</f>
        <v>#VALUE!</v>
      </c>
      <c r="E2696" s="12" t="e">
        <f>MID(MAIN!A2701,K2696+4,2)</f>
        <v>#VALUE!</v>
      </c>
      <c r="F2696" s="2" t="e">
        <f t="shared" si="169"/>
        <v>#VALUE!</v>
      </c>
      <c r="G2696" s="13" t="e">
        <f t="shared" si="170"/>
        <v>#VALUE!</v>
      </c>
      <c r="J2696" t="str">
        <f>MAIN!A2701&amp;"B"</f>
        <v>B</v>
      </c>
      <c r="K2696" s="12" t="e">
        <f t="shared" si="171"/>
        <v>#VALUE!</v>
      </c>
      <c r="L2696" t="str">
        <f>MAIN!C2701</f>
        <v/>
      </c>
    </row>
    <row r="2697" spans="1:12" x14ac:dyDescent="0.3">
      <c r="A2697">
        <f>IF(J2697="0",0,IF(COUNTIF($J$2:J2697,J2697)=1,1,0))</f>
        <v>0</v>
      </c>
      <c r="B2697" s="12" t="e">
        <f>MID(MAIN!A2702,K2697,2)</f>
        <v>#VALUE!</v>
      </c>
      <c r="C2697" s="12" t="e">
        <f t="shared" si="168"/>
        <v>#VALUE!</v>
      </c>
      <c r="D2697" s="12" t="e">
        <f>MID(MAIN!A2702,K2697+2,2)</f>
        <v>#VALUE!</v>
      </c>
      <c r="E2697" s="12" t="e">
        <f>MID(MAIN!A2702,K2697+4,2)</f>
        <v>#VALUE!</v>
      </c>
      <c r="F2697" s="2" t="e">
        <f t="shared" si="169"/>
        <v>#VALUE!</v>
      </c>
      <c r="G2697" s="13" t="e">
        <f t="shared" si="170"/>
        <v>#VALUE!</v>
      </c>
      <c r="J2697" t="str">
        <f>MAIN!A2702&amp;"B"</f>
        <v>B</v>
      </c>
      <c r="K2697" s="12" t="e">
        <f t="shared" si="171"/>
        <v>#VALUE!</v>
      </c>
      <c r="L2697" t="str">
        <f>MAIN!C2702</f>
        <v/>
      </c>
    </row>
    <row r="2698" spans="1:12" x14ac:dyDescent="0.3">
      <c r="A2698">
        <f>IF(J2698="0",0,IF(COUNTIF($J$2:J2698,J2698)=1,1,0))</f>
        <v>0</v>
      </c>
      <c r="B2698" s="12" t="e">
        <f>MID(MAIN!A2703,K2698,2)</f>
        <v>#VALUE!</v>
      </c>
      <c r="C2698" s="12" t="e">
        <f t="shared" si="168"/>
        <v>#VALUE!</v>
      </c>
      <c r="D2698" s="12" t="e">
        <f>MID(MAIN!A2703,K2698+2,2)</f>
        <v>#VALUE!</v>
      </c>
      <c r="E2698" s="12" t="e">
        <f>MID(MAIN!A2703,K2698+4,2)</f>
        <v>#VALUE!</v>
      </c>
      <c r="F2698" s="2" t="e">
        <f t="shared" si="169"/>
        <v>#VALUE!</v>
      </c>
      <c r="G2698" s="13" t="e">
        <f t="shared" si="170"/>
        <v>#VALUE!</v>
      </c>
      <c r="J2698" t="str">
        <f>MAIN!A2703&amp;"B"</f>
        <v>B</v>
      </c>
      <c r="K2698" s="12" t="e">
        <f t="shared" si="171"/>
        <v>#VALUE!</v>
      </c>
      <c r="L2698" t="str">
        <f>MAIN!C2703</f>
        <v/>
      </c>
    </row>
    <row r="2699" spans="1:12" x14ac:dyDescent="0.3">
      <c r="A2699">
        <f>IF(J2699="0",0,IF(COUNTIF($J$2:J2699,J2699)=1,1,0))</f>
        <v>0</v>
      </c>
      <c r="B2699" s="12" t="e">
        <f>MID(MAIN!A2704,K2699,2)</f>
        <v>#VALUE!</v>
      </c>
      <c r="C2699" s="12" t="e">
        <f t="shared" si="168"/>
        <v>#VALUE!</v>
      </c>
      <c r="D2699" s="12" t="e">
        <f>MID(MAIN!A2704,K2699+2,2)</f>
        <v>#VALUE!</v>
      </c>
      <c r="E2699" s="12" t="e">
        <f>MID(MAIN!A2704,K2699+4,2)</f>
        <v>#VALUE!</v>
      </c>
      <c r="F2699" s="2" t="e">
        <f t="shared" si="169"/>
        <v>#VALUE!</v>
      </c>
      <c r="G2699" s="13" t="e">
        <f t="shared" si="170"/>
        <v>#VALUE!</v>
      </c>
      <c r="J2699" t="str">
        <f>MAIN!A2704&amp;"B"</f>
        <v>B</v>
      </c>
      <c r="K2699" s="12" t="e">
        <f t="shared" si="171"/>
        <v>#VALUE!</v>
      </c>
      <c r="L2699" t="str">
        <f>MAIN!C2704</f>
        <v/>
      </c>
    </row>
    <row r="2700" spans="1:12" x14ac:dyDescent="0.3">
      <c r="A2700">
        <f>IF(J2700="0",0,IF(COUNTIF($J$2:J2700,J2700)=1,1,0))</f>
        <v>0</v>
      </c>
      <c r="B2700" s="12" t="e">
        <f>MID(MAIN!A2705,K2700,2)</f>
        <v>#VALUE!</v>
      </c>
      <c r="C2700" s="12" t="e">
        <f t="shared" si="168"/>
        <v>#VALUE!</v>
      </c>
      <c r="D2700" s="12" t="e">
        <f>MID(MAIN!A2705,K2700+2,2)</f>
        <v>#VALUE!</v>
      </c>
      <c r="E2700" s="12" t="e">
        <f>MID(MAIN!A2705,K2700+4,2)</f>
        <v>#VALUE!</v>
      </c>
      <c r="F2700" s="2" t="e">
        <f t="shared" si="169"/>
        <v>#VALUE!</v>
      </c>
      <c r="G2700" s="13" t="e">
        <f t="shared" si="170"/>
        <v>#VALUE!</v>
      </c>
      <c r="J2700" t="str">
        <f>MAIN!A2705&amp;"B"</f>
        <v>B</v>
      </c>
      <c r="K2700" s="12" t="e">
        <f t="shared" si="171"/>
        <v>#VALUE!</v>
      </c>
      <c r="L2700" t="str">
        <f>MAIN!C2705</f>
        <v/>
      </c>
    </row>
    <row r="2701" spans="1:12" x14ac:dyDescent="0.3">
      <c r="A2701">
        <f>IF(J2701="0",0,IF(COUNTIF($J$2:J2701,J2701)=1,1,0))</f>
        <v>0</v>
      </c>
      <c r="B2701" s="12" t="e">
        <f>MID(MAIN!A2706,K2701,2)</f>
        <v>#VALUE!</v>
      </c>
      <c r="C2701" s="12" t="e">
        <f t="shared" si="168"/>
        <v>#VALUE!</v>
      </c>
      <c r="D2701" s="12" t="e">
        <f>MID(MAIN!A2706,K2701+2,2)</f>
        <v>#VALUE!</v>
      </c>
      <c r="E2701" s="12" t="e">
        <f>MID(MAIN!A2706,K2701+4,2)</f>
        <v>#VALUE!</v>
      </c>
      <c r="F2701" s="2" t="e">
        <f t="shared" si="169"/>
        <v>#VALUE!</v>
      </c>
      <c r="G2701" s="13" t="e">
        <f t="shared" si="170"/>
        <v>#VALUE!</v>
      </c>
      <c r="J2701" t="str">
        <f>MAIN!A2706&amp;"B"</f>
        <v>B</v>
      </c>
      <c r="K2701" s="12" t="e">
        <f t="shared" si="171"/>
        <v>#VALUE!</v>
      </c>
      <c r="L2701" t="str">
        <f>MAIN!C2706</f>
        <v/>
      </c>
    </row>
    <row r="2702" spans="1:12" x14ac:dyDescent="0.3">
      <c r="A2702">
        <f>IF(J2702="0",0,IF(COUNTIF($J$2:J2702,J2702)=1,1,0))</f>
        <v>0</v>
      </c>
      <c r="B2702" s="12" t="e">
        <f>MID(MAIN!A2707,K2702,2)</f>
        <v>#VALUE!</v>
      </c>
      <c r="C2702" s="12" t="e">
        <f t="shared" si="168"/>
        <v>#VALUE!</v>
      </c>
      <c r="D2702" s="12" t="e">
        <f>MID(MAIN!A2707,K2702+2,2)</f>
        <v>#VALUE!</v>
      </c>
      <c r="E2702" s="12" t="e">
        <f>MID(MAIN!A2707,K2702+4,2)</f>
        <v>#VALUE!</v>
      </c>
      <c r="F2702" s="2" t="e">
        <f t="shared" si="169"/>
        <v>#VALUE!</v>
      </c>
      <c r="G2702" s="13" t="e">
        <f t="shared" si="170"/>
        <v>#VALUE!</v>
      </c>
      <c r="J2702" t="str">
        <f>MAIN!A2707&amp;"B"</f>
        <v>B</v>
      </c>
      <c r="K2702" s="12" t="e">
        <f t="shared" si="171"/>
        <v>#VALUE!</v>
      </c>
      <c r="L2702" t="str">
        <f>MAIN!C2707</f>
        <v/>
      </c>
    </row>
    <row r="2703" spans="1:12" x14ac:dyDescent="0.3">
      <c r="A2703">
        <f>IF(J2703="0",0,IF(COUNTIF($J$2:J2703,J2703)=1,1,0))</f>
        <v>0</v>
      </c>
      <c r="B2703" s="12" t="e">
        <f>MID(MAIN!A2708,K2703,2)</f>
        <v>#VALUE!</v>
      </c>
      <c r="C2703" s="12" t="e">
        <f t="shared" si="168"/>
        <v>#VALUE!</v>
      </c>
      <c r="D2703" s="12" t="e">
        <f>MID(MAIN!A2708,K2703+2,2)</f>
        <v>#VALUE!</v>
      </c>
      <c r="E2703" s="12" t="e">
        <f>MID(MAIN!A2708,K2703+4,2)</f>
        <v>#VALUE!</v>
      </c>
      <c r="F2703" s="2" t="e">
        <f t="shared" si="169"/>
        <v>#VALUE!</v>
      </c>
      <c r="G2703" s="13" t="e">
        <f t="shared" si="170"/>
        <v>#VALUE!</v>
      </c>
      <c r="J2703" t="str">
        <f>MAIN!A2708&amp;"B"</f>
        <v>B</v>
      </c>
      <c r="K2703" s="12" t="e">
        <f t="shared" si="171"/>
        <v>#VALUE!</v>
      </c>
      <c r="L2703" t="str">
        <f>MAIN!C2708</f>
        <v/>
      </c>
    </row>
    <row r="2704" spans="1:12" x14ac:dyDescent="0.3">
      <c r="A2704">
        <f>IF(J2704="0",0,IF(COUNTIF($J$2:J2704,J2704)=1,1,0))</f>
        <v>0</v>
      </c>
      <c r="B2704" s="12" t="e">
        <f>MID(MAIN!A2709,K2704,2)</f>
        <v>#VALUE!</v>
      </c>
      <c r="C2704" s="12" t="e">
        <f t="shared" si="168"/>
        <v>#VALUE!</v>
      </c>
      <c r="D2704" s="12" t="e">
        <f>MID(MAIN!A2709,K2704+2,2)</f>
        <v>#VALUE!</v>
      </c>
      <c r="E2704" s="12" t="e">
        <f>MID(MAIN!A2709,K2704+4,2)</f>
        <v>#VALUE!</v>
      </c>
      <c r="F2704" s="2" t="e">
        <f t="shared" si="169"/>
        <v>#VALUE!</v>
      </c>
      <c r="G2704" s="13" t="e">
        <f t="shared" si="170"/>
        <v>#VALUE!</v>
      </c>
      <c r="J2704" t="str">
        <f>MAIN!A2709&amp;"B"</f>
        <v>B</v>
      </c>
      <c r="K2704" s="12" t="e">
        <f t="shared" si="171"/>
        <v>#VALUE!</v>
      </c>
      <c r="L2704" t="str">
        <f>MAIN!C2709</f>
        <v/>
      </c>
    </row>
    <row r="2705" spans="1:12" x14ac:dyDescent="0.3">
      <c r="A2705">
        <f>IF(J2705="0",0,IF(COUNTIF($J$2:J2705,J2705)=1,1,0))</f>
        <v>0</v>
      </c>
      <c r="B2705" s="12" t="e">
        <f>MID(MAIN!A2710,K2705,2)</f>
        <v>#VALUE!</v>
      </c>
      <c r="C2705" s="12" t="e">
        <f t="shared" si="168"/>
        <v>#VALUE!</v>
      </c>
      <c r="D2705" s="12" t="e">
        <f>MID(MAIN!A2710,K2705+2,2)</f>
        <v>#VALUE!</v>
      </c>
      <c r="E2705" s="12" t="e">
        <f>MID(MAIN!A2710,K2705+4,2)</f>
        <v>#VALUE!</v>
      </c>
      <c r="F2705" s="2" t="e">
        <f t="shared" si="169"/>
        <v>#VALUE!</v>
      </c>
      <c r="G2705" s="13" t="e">
        <f t="shared" si="170"/>
        <v>#VALUE!</v>
      </c>
      <c r="J2705" t="str">
        <f>MAIN!A2710&amp;"B"</f>
        <v>B</v>
      </c>
      <c r="K2705" s="12" t="e">
        <f t="shared" si="171"/>
        <v>#VALUE!</v>
      </c>
      <c r="L2705" t="str">
        <f>MAIN!C2710</f>
        <v/>
      </c>
    </row>
    <row r="2706" spans="1:12" x14ac:dyDescent="0.3">
      <c r="A2706">
        <f>IF(J2706="0",0,IF(COUNTIF($J$2:J2706,J2706)=1,1,0))</f>
        <v>0</v>
      </c>
      <c r="B2706" s="12" t="e">
        <f>MID(MAIN!A2711,K2706,2)</f>
        <v>#VALUE!</v>
      </c>
      <c r="C2706" s="12" t="e">
        <f t="shared" si="168"/>
        <v>#VALUE!</v>
      </c>
      <c r="D2706" s="12" t="e">
        <f>MID(MAIN!A2711,K2706+2,2)</f>
        <v>#VALUE!</v>
      </c>
      <c r="E2706" s="12" t="e">
        <f>MID(MAIN!A2711,K2706+4,2)</f>
        <v>#VALUE!</v>
      </c>
      <c r="F2706" s="2" t="e">
        <f t="shared" si="169"/>
        <v>#VALUE!</v>
      </c>
      <c r="G2706" s="13" t="e">
        <f t="shared" si="170"/>
        <v>#VALUE!</v>
      </c>
      <c r="J2706" t="str">
        <f>MAIN!A2711&amp;"B"</f>
        <v>B</v>
      </c>
      <c r="K2706" s="12" t="e">
        <f t="shared" si="171"/>
        <v>#VALUE!</v>
      </c>
      <c r="L2706" t="str">
        <f>MAIN!C2711</f>
        <v/>
      </c>
    </row>
    <row r="2707" spans="1:12" x14ac:dyDescent="0.3">
      <c r="A2707">
        <f>IF(J2707="0",0,IF(COUNTIF($J$2:J2707,J2707)=1,1,0))</f>
        <v>0</v>
      </c>
      <c r="B2707" s="12" t="e">
        <f>MID(MAIN!A2712,K2707,2)</f>
        <v>#VALUE!</v>
      </c>
      <c r="C2707" s="12" t="e">
        <f t="shared" si="168"/>
        <v>#VALUE!</v>
      </c>
      <c r="D2707" s="12" t="e">
        <f>MID(MAIN!A2712,K2707+2,2)</f>
        <v>#VALUE!</v>
      </c>
      <c r="E2707" s="12" t="e">
        <f>MID(MAIN!A2712,K2707+4,2)</f>
        <v>#VALUE!</v>
      </c>
      <c r="F2707" s="2" t="e">
        <f t="shared" si="169"/>
        <v>#VALUE!</v>
      </c>
      <c r="G2707" s="13" t="e">
        <f t="shared" si="170"/>
        <v>#VALUE!</v>
      </c>
      <c r="J2707" t="str">
        <f>MAIN!A2712&amp;"B"</f>
        <v>B</v>
      </c>
      <c r="K2707" s="12" t="e">
        <f t="shared" si="171"/>
        <v>#VALUE!</v>
      </c>
      <c r="L2707" t="str">
        <f>MAIN!C2712</f>
        <v/>
      </c>
    </row>
    <row r="2708" spans="1:12" x14ac:dyDescent="0.3">
      <c r="A2708">
        <f>IF(J2708="0",0,IF(COUNTIF($J$2:J2708,J2708)=1,1,0))</f>
        <v>0</v>
      </c>
      <c r="B2708" s="12" t="e">
        <f>MID(MAIN!A2713,K2708,2)</f>
        <v>#VALUE!</v>
      </c>
      <c r="C2708" s="12" t="e">
        <f t="shared" si="168"/>
        <v>#VALUE!</v>
      </c>
      <c r="D2708" s="12" t="e">
        <f>MID(MAIN!A2713,K2708+2,2)</f>
        <v>#VALUE!</v>
      </c>
      <c r="E2708" s="12" t="e">
        <f>MID(MAIN!A2713,K2708+4,2)</f>
        <v>#VALUE!</v>
      </c>
      <c r="F2708" s="2" t="e">
        <f t="shared" si="169"/>
        <v>#VALUE!</v>
      </c>
      <c r="G2708" s="13" t="e">
        <f t="shared" si="170"/>
        <v>#VALUE!</v>
      </c>
      <c r="J2708" t="str">
        <f>MAIN!A2713&amp;"B"</f>
        <v>B</v>
      </c>
      <c r="K2708" s="12" t="e">
        <f t="shared" si="171"/>
        <v>#VALUE!</v>
      </c>
      <c r="L2708" t="str">
        <f>MAIN!C2713</f>
        <v/>
      </c>
    </row>
    <row r="2709" spans="1:12" x14ac:dyDescent="0.3">
      <c r="A2709">
        <f>IF(J2709="0",0,IF(COUNTIF($J$2:J2709,J2709)=1,1,0))</f>
        <v>0</v>
      </c>
      <c r="B2709" s="12" t="e">
        <f>MID(MAIN!A2714,K2709,2)</f>
        <v>#VALUE!</v>
      </c>
      <c r="C2709" s="12" t="e">
        <f t="shared" si="168"/>
        <v>#VALUE!</v>
      </c>
      <c r="D2709" s="12" t="e">
        <f>MID(MAIN!A2714,K2709+2,2)</f>
        <v>#VALUE!</v>
      </c>
      <c r="E2709" s="12" t="e">
        <f>MID(MAIN!A2714,K2709+4,2)</f>
        <v>#VALUE!</v>
      </c>
      <c r="F2709" s="2" t="e">
        <f t="shared" si="169"/>
        <v>#VALUE!</v>
      </c>
      <c r="G2709" s="13" t="e">
        <f t="shared" si="170"/>
        <v>#VALUE!</v>
      </c>
      <c r="J2709" t="str">
        <f>MAIN!A2714&amp;"B"</f>
        <v>B</v>
      </c>
      <c r="K2709" s="12" t="e">
        <f t="shared" si="171"/>
        <v>#VALUE!</v>
      </c>
      <c r="L2709" t="str">
        <f>MAIN!C2714</f>
        <v/>
      </c>
    </row>
    <row r="2710" spans="1:12" x14ac:dyDescent="0.3">
      <c r="A2710">
        <f>IF(J2710="0",0,IF(COUNTIF($J$2:J2710,J2710)=1,1,0))</f>
        <v>0</v>
      </c>
      <c r="B2710" s="12" t="e">
        <f>MID(MAIN!A2715,K2710,2)</f>
        <v>#VALUE!</v>
      </c>
      <c r="C2710" s="12" t="e">
        <f t="shared" si="168"/>
        <v>#VALUE!</v>
      </c>
      <c r="D2710" s="12" t="e">
        <f>MID(MAIN!A2715,K2710+2,2)</f>
        <v>#VALUE!</v>
      </c>
      <c r="E2710" s="12" t="e">
        <f>MID(MAIN!A2715,K2710+4,2)</f>
        <v>#VALUE!</v>
      </c>
      <c r="F2710" s="2" t="e">
        <f t="shared" si="169"/>
        <v>#VALUE!</v>
      </c>
      <c r="G2710" s="13" t="e">
        <f t="shared" si="170"/>
        <v>#VALUE!</v>
      </c>
      <c r="J2710" t="str">
        <f>MAIN!A2715&amp;"B"</f>
        <v>B</v>
      </c>
      <c r="K2710" s="12" t="e">
        <f t="shared" si="171"/>
        <v>#VALUE!</v>
      </c>
      <c r="L2710" t="str">
        <f>MAIN!C2715</f>
        <v/>
      </c>
    </row>
    <row r="2711" spans="1:12" x14ac:dyDescent="0.3">
      <c r="A2711">
        <f>IF(J2711="0",0,IF(COUNTIF($J$2:J2711,J2711)=1,1,0))</f>
        <v>0</v>
      </c>
      <c r="B2711" s="12" t="e">
        <f>MID(MAIN!A2716,K2711,2)</f>
        <v>#VALUE!</v>
      </c>
      <c r="C2711" s="12" t="e">
        <f t="shared" si="168"/>
        <v>#VALUE!</v>
      </c>
      <c r="D2711" s="12" t="e">
        <f>MID(MAIN!A2716,K2711+2,2)</f>
        <v>#VALUE!</v>
      </c>
      <c r="E2711" s="12" t="e">
        <f>MID(MAIN!A2716,K2711+4,2)</f>
        <v>#VALUE!</v>
      </c>
      <c r="F2711" s="2" t="e">
        <f t="shared" si="169"/>
        <v>#VALUE!</v>
      </c>
      <c r="G2711" s="13" t="e">
        <f t="shared" si="170"/>
        <v>#VALUE!</v>
      </c>
      <c r="J2711" t="str">
        <f>MAIN!A2716&amp;"B"</f>
        <v>B</v>
      </c>
      <c r="K2711" s="12" t="e">
        <f t="shared" si="171"/>
        <v>#VALUE!</v>
      </c>
      <c r="L2711" t="str">
        <f>MAIN!C2716</f>
        <v/>
      </c>
    </row>
    <row r="2712" spans="1:12" x14ac:dyDescent="0.3">
      <c r="A2712">
        <f>IF(J2712="0",0,IF(COUNTIF($J$2:J2712,J2712)=1,1,0))</f>
        <v>0</v>
      </c>
      <c r="B2712" s="12" t="e">
        <f>MID(MAIN!A2717,K2712,2)</f>
        <v>#VALUE!</v>
      </c>
      <c r="C2712" s="12" t="e">
        <f t="shared" si="168"/>
        <v>#VALUE!</v>
      </c>
      <c r="D2712" s="12" t="e">
        <f>MID(MAIN!A2717,K2712+2,2)</f>
        <v>#VALUE!</v>
      </c>
      <c r="E2712" s="12" t="e">
        <f>MID(MAIN!A2717,K2712+4,2)</f>
        <v>#VALUE!</v>
      </c>
      <c r="F2712" s="2" t="e">
        <f t="shared" si="169"/>
        <v>#VALUE!</v>
      </c>
      <c r="G2712" s="13" t="e">
        <f t="shared" si="170"/>
        <v>#VALUE!</v>
      </c>
      <c r="J2712" t="str">
        <f>MAIN!A2717&amp;"B"</f>
        <v>B</v>
      </c>
      <c r="K2712" s="12" t="e">
        <f t="shared" si="171"/>
        <v>#VALUE!</v>
      </c>
      <c r="L2712" t="str">
        <f>MAIN!C2717</f>
        <v/>
      </c>
    </row>
    <row r="2713" spans="1:12" x14ac:dyDescent="0.3">
      <c r="A2713">
        <f>IF(J2713="0",0,IF(COUNTIF($J$2:J2713,J2713)=1,1,0))</f>
        <v>0</v>
      </c>
      <c r="B2713" s="12" t="e">
        <f>MID(MAIN!A2718,K2713,2)</f>
        <v>#VALUE!</v>
      </c>
      <c r="C2713" s="12" t="e">
        <f t="shared" si="168"/>
        <v>#VALUE!</v>
      </c>
      <c r="D2713" s="12" t="e">
        <f>MID(MAIN!A2718,K2713+2,2)</f>
        <v>#VALUE!</v>
      </c>
      <c r="E2713" s="12" t="e">
        <f>MID(MAIN!A2718,K2713+4,2)</f>
        <v>#VALUE!</v>
      </c>
      <c r="F2713" s="2" t="e">
        <f t="shared" si="169"/>
        <v>#VALUE!</v>
      </c>
      <c r="G2713" s="13" t="e">
        <f t="shared" si="170"/>
        <v>#VALUE!</v>
      </c>
      <c r="J2713" t="str">
        <f>MAIN!A2718&amp;"B"</f>
        <v>B</v>
      </c>
      <c r="K2713" s="12" t="e">
        <f t="shared" si="171"/>
        <v>#VALUE!</v>
      </c>
      <c r="L2713" t="str">
        <f>MAIN!C2718</f>
        <v/>
      </c>
    </row>
    <row r="2714" spans="1:12" x14ac:dyDescent="0.3">
      <c r="A2714">
        <f>IF(J2714="0",0,IF(COUNTIF($J$2:J2714,J2714)=1,1,0))</f>
        <v>0</v>
      </c>
      <c r="B2714" s="12" t="e">
        <f>MID(MAIN!A2719,K2714,2)</f>
        <v>#VALUE!</v>
      </c>
      <c r="C2714" s="12" t="e">
        <f t="shared" si="168"/>
        <v>#VALUE!</v>
      </c>
      <c r="D2714" s="12" t="e">
        <f>MID(MAIN!A2719,K2714+2,2)</f>
        <v>#VALUE!</v>
      </c>
      <c r="E2714" s="12" t="e">
        <f>MID(MAIN!A2719,K2714+4,2)</f>
        <v>#VALUE!</v>
      </c>
      <c r="F2714" s="2" t="e">
        <f t="shared" si="169"/>
        <v>#VALUE!</v>
      </c>
      <c r="G2714" s="13" t="e">
        <f t="shared" si="170"/>
        <v>#VALUE!</v>
      </c>
      <c r="J2714" t="str">
        <f>MAIN!A2719&amp;"B"</f>
        <v>B</v>
      </c>
      <c r="K2714" s="12" t="e">
        <f t="shared" si="171"/>
        <v>#VALUE!</v>
      </c>
      <c r="L2714" t="str">
        <f>MAIN!C2719</f>
        <v/>
      </c>
    </row>
    <row r="2715" spans="1:12" x14ac:dyDescent="0.3">
      <c r="A2715">
        <f>IF(J2715="0",0,IF(COUNTIF($J$2:J2715,J2715)=1,1,0))</f>
        <v>0</v>
      </c>
      <c r="B2715" s="12" t="e">
        <f>MID(MAIN!A2720,K2715,2)</f>
        <v>#VALUE!</v>
      </c>
      <c r="C2715" s="12" t="e">
        <f t="shared" si="168"/>
        <v>#VALUE!</v>
      </c>
      <c r="D2715" s="12" t="e">
        <f>MID(MAIN!A2720,K2715+2,2)</f>
        <v>#VALUE!</v>
      </c>
      <c r="E2715" s="12" t="e">
        <f>MID(MAIN!A2720,K2715+4,2)</f>
        <v>#VALUE!</v>
      </c>
      <c r="F2715" s="2" t="e">
        <f t="shared" si="169"/>
        <v>#VALUE!</v>
      </c>
      <c r="G2715" s="13" t="e">
        <f t="shared" si="170"/>
        <v>#VALUE!</v>
      </c>
      <c r="J2715" t="str">
        <f>MAIN!A2720&amp;"B"</f>
        <v>B</v>
      </c>
      <c r="K2715" s="12" t="e">
        <f t="shared" si="171"/>
        <v>#VALUE!</v>
      </c>
      <c r="L2715" t="str">
        <f>MAIN!C2720</f>
        <v/>
      </c>
    </row>
    <row r="2716" spans="1:12" x14ac:dyDescent="0.3">
      <c r="A2716">
        <f>IF(J2716="0",0,IF(COUNTIF($J$2:J2716,J2716)=1,1,0))</f>
        <v>0</v>
      </c>
      <c r="B2716" s="12" t="e">
        <f>MID(MAIN!A2721,K2716,2)</f>
        <v>#VALUE!</v>
      </c>
      <c r="C2716" s="12" t="e">
        <f t="shared" si="168"/>
        <v>#VALUE!</v>
      </c>
      <c r="D2716" s="12" t="e">
        <f>MID(MAIN!A2721,K2716+2,2)</f>
        <v>#VALUE!</v>
      </c>
      <c r="E2716" s="12" t="e">
        <f>MID(MAIN!A2721,K2716+4,2)</f>
        <v>#VALUE!</v>
      </c>
      <c r="F2716" s="2" t="e">
        <f t="shared" si="169"/>
        <v>#VALUE!</v>
      </c>
      <c r="G2716" s="13" t="e">
        <f t="shared" si="170"/>
        <v>#VALUE!</v>
      </c>
      <c r="J2716" t="str">
        <f>MAIN!A2721&amp;"B"</f>
        <v>B</v>
      </c>
      <c r="K2716" s="12" t="e">
        <f t="shared" si="171"/>
        <v>#VALUE!</v>
      </c>
      <c r="L2716" t="str">
        <f>MAIN!C2721</f>
        <v/>
      </c>
    </row>
    <row r="2717" spans="1:12" x14ac:dyDescent="0.3">
      <c r="A2717">
        <f>IF(J2717="0",0,IF(COUNTIF($J$2:J2717,J2717)=1,1,0))</f>
        <v>0</v>
      </c>
      <c r="B2717" s="12" t="e">
        <f>MID(MAIN!A2722,K2717,2)</f>
        <v>#VALUE!</v>
      </c>
      <c r="C2717" s="12" t="e">
        <f t="shared" si="168"/>
        <v>#VALUE!</v>
      </c>
      <c r="D2717" s="12" t="e">
        <f>MID(MAIN!A2722,K2717+2,2)</f>
        <v>#VALUE!</v>
      </c>
      <c r="E2717" s="12" t="e">
        <f>MID(MAIN!A2722,K2717+4,2)</f>
        <v>#VALUE!</v>
      </c>
      <c r="F2717" s="2" t="e">
        <f t="shared" si="169"/>
        <v>#VALUE!</v>
      </c>
      <c r="G2717" s="13" t="e">
        <f t="shared" si="170"/>
        <v>#VALUE!</v>
      </c>
      <c r="J2717" t="str">
        <f>MAIN!A2722&amp;"B"</f>
        <v>B</v>
      </c>
      <c r="K2717" s="12" t="e">
        <f t="shared" si="171"/>
        <v>#VALUE!</v>
      </c>
      <c r="L2717" t="str">
        <f>MAIN!C2722</f>
        <v/>
      </c>
    </row>
    <row r="2718" spans="1:12" x14ac:dyDescent="0.3">
      <c r="A2718">
        <f>IF(J2718="0",0,IF(COUNTIF($J$2:J2718,J2718)=1,1,0))</f>
        <v>0</v>
      </c>
      <c r="B2718" s="12" t="e">
        <f>MID(MAIN!A2723,K2718,2)</f>
        <v>#VALUE!</v>
      </c>
      <c r="C2718" s="12" t="e">
        <f t="shared" si="168"/>
        <v>#VALUE!</v>
      </c>
      <c r="D2718" s="12" t="e">
        <f>MID(MAIN!A2723,K2718+2,2)</f>
        <v>#VALUE!</v>
      </c>
      <c r="E2718" s="12" t="e">
        <f>MID(MAIN!A2723,K2718+4,2)</f>
        <v>#VALUE!</v>
      </c>
      <c r="F2718" s="2" t="e">
        <f t="shared" si="169"/>
        <v>#VALUE!</v>
      </c>
      <c r="G2718" s="13" t="e">
        <f t="shared" si="170"/>
        <v>#VALUE!</v>
      </c>
      <c r="J2718" t="str">
        <f>MAIN!A2723&amp;"B"</f>
        <v>B</v>
      </c>
      <c r="K2718" s="12" t="e">
        <f t="shared" si="171"/>
        <v>#VALUE!</v>
      </c>
      <c r="L2718" t="str">
        <f>MAIN!C2723</f>
        <v/>
      </c>
    </row>
    <row r="2719" spans="1:12" x14ac:dyDescent="0.3">
      <c r="A2719">
        <f>IF(J2719="0",0,IF(COUNTIF($J$2:J2719,J2719)=1,1,0))</f>
        <v>0</v>
      </c>
      <c r="B2719" s="12" t="e">
        <f>MID(MAIN!A2724,K2719,2)</f>
        <v>#VALUE!</v>
      </c>
      <c r="C2719" s="12" t="e">
        <f t="shared" si="168"/>
        <v>#VALUE!</v>
      </c>
      <c r="D2719" s="12" t="e">
        <f>MID(MAIN!A2724,K2719+2,2)</f>
        <v>#VALUE!</v>
      </c>
      <c r="E2719" s="12" t="e">
        <f>MID(MAIN!A2724,K2719+4,2)</f>
        <v>#VALUE!</v>
      </c>
      <c r="F2719" s="2" t="e">
        <f t="shared" si="169"/>
        <v>#VALUE!</v>
      </c>
      <c r="G2719" s="13" t="e">
        <f t="shared" si="170"/>
        <v>#VALUE!</v>
      </c>
      <c r="J2719" t="str">
        <f>MAIN!A2724&amp;"B"</f>
        <v>B</v>
      </c>
      <c r="K2719" s="12" t="e">
        <f t="shared" si="171"/>
        <v>#VALUE!</v>
      </c>
      <c r="L2719" t="str">
        <f>MAIN!C2724</f>
        <v/>
      </c>
    </row>
    <row r="2720" spans="1:12" x14ac:dyDescent="0.3">
      <c r="A2720">
        <f>IF(J2720="0",0,IF(COUNTIF($J$2:J2720,J2720)=1,1,0))</f>
        <v>0</v>
      </c>
      <c r="B2720" s="12" t="e">
        <f>MID(MAIN!A2725,K2720,2)</f>
        <v>#VALUE!</v>
      </c>
      <c r="C2720" s="12" t="e">
        <f t="shared" si="168"/>
        <v>#VALUE!</v>
      </c>
      <c r="D2720" s="12" t="e">
        <f>MID(MAIN!A2725,K2720+2,2)</f>
        <v>#VALUE!</v>
      </c>
      <c r="E2720" s="12" t="e">
        <f>MID(MAIN!A2725,K2720+4,2)</f>
        <v>#VALUE!</v>
      </c>
      <c r="F2720" s="2" t="e">
        <f t="shared" si="169"/>
        <v>#VALUE!</v>
      </c>
      <c r="G2720" s="13" t="e">
        <f t="shared" si="170"/>
        <v>#VALUE!</v>
      </c>
      <c r="J2720" t="str">
        <f>MAIN!A2725&amp;"B"</f>
        <v>B</v>
      </c>
      <c r="K2720" s="12" t="e">
        <f t="shared" si="171"/>
        <v>#VALUE!</v>
      </c>
      <c r="L2720" t="str">
        <f>MAIN!C2725</f>
        <v/>
      </c>
    </row>
    <row r="2721" spans="1:12" x14ac:dyDescent="0.3">
      <c r="A2721">
        <f>IF(J2721="0",0,IF(COUNTIF($J$2:J2721,J2721)=1,1,0))</f>
        <v>0</v>
      </c>
      <c r="B2721" s="12" t="e">
        <f>MID(MAIN!A2726,K2721,2)</f>
        <v>#VALUE!</v>
      </c>
      <c r="C2721" s="12" t="e">
        <f t="shared" si="168"/>
        <v>#VALUE!</v>
      </c>
      <c r="D2721" s="12" t="e">
        <f>MID(MAIN!A2726,K2721+2,2)</f>
        <v>#VALUE!</v>
      </c>
      <c r="E2721" s="12" t="e">
        <f>MID(MAIN!A2726,K2721+4,2)</f>
        <v>#VALUE!</v>
      </c>
      <c r="F2721" s="2" t="e">
        <f t="shared" si="169"/>
        <v>#VALUE!</v>
      </c>
      <c r="G2721" s="13" t="e">
        <f t="shared" si="170"/>
        <v>#VALUE!</v>
      </c>
      <c r="J2721" t="str">
        <f>MAIN!A2726&amp;"B"</f>
        <v>B</v>
      </c>
      <c r="K2721" s="12" t="e">
        <f t="shared" si="171"/>
        <v>#VALUE!</v>
      </c>
      <c r="L2721" t="str">
        <f>MAIN!C2726</f>
        <v/>
      </c>
    </row>
    <row r="2722" spans="1:12" x14ac:dyDescent="0.3">
      <c r="A2722">
        <f>IF(J2722="0",0,IF(COUNTIF($J$2:J2722,J2722)=1,1,0))</f>
        <v>0</v>
      </c>
      <c r="B2722" s="12" t="e">
        <f>MID(MAIN!A2727,K2722,2)</f>
        <v>#VALUE!</v>
      </c>
      <c r="C2722" s="12" t="e">
        <f t="shared" si="168"/>
        <v>#VALUE!</v>
      </c>
      <c r="D2722" s="12" t="e">
        <f>MID(MAIN!A2727,K2722+2,2)</f>
        <v>#VALUE!</v>
      </c>
      <c r="E2722" s="12" t="e">
        <f>MID(MAIN!A2727,K2722+4,2)</f>
        <v>#VALUE!</v>
      </c>
      <c r="F2722" s="2" t="e">
        <f t="shared" si="169"/>
        <v>#VALUE!</v>
      </c>
      <c r="G2722" s="13" t="e">
        <f t="shared" si="170"/>
        <v>#VALUE!</v>
      </c>
      <c r="J2722" t="str">
        <f>MAIN!A2727&amp;"B"</f>
        <v>B</v>
      </c>
      <c r="K2722" s="12" t="e">
        <f t="shared" si="171"/>
        <v>#VALUE!</v>
      </c>
      <c r="L2722" t="str">
        <f>MAIN!C2727</f>
        <v/>
      </c>
    </row>
    <row r="2723" spans="1:12" x14ac:dyDescent="0.3">
      <c r="A2723">
        <f>IF(J2723="0",0,IF(COUNTIF($J$2:J2723,J2723)=1,1,0))</f>
        <v>0</v>
      </c>
      <c r="B2723" s="12" t="e">
        <f>MID(MAIN!A2728,K2723,2)</f>
        <v>#VALUE!</v>
      </c>
      <c r="C2723" s="12" t="e">
        <f t="shared" si="168"/>
        <v>#VALUE!</v>
      </c>
      <c r="D2723" s="12" t="e">
        <f>MID(MAIN!A2728,K2723+2,2)</f>
        <v>#VALUE!</v>
      </c>
      <c r="E2723" s="12" t="e">
        <f>MID(MAIN!A2728,K2723+4,2)</f>
        <v>#VALUE!</v>
      </c>
      <c r="F2723" s="2" t="e">
        <f t="shared" si="169"/>
        <v>#VALUE!</v>
      </c>
      <c r="G2723" s="13" t="e">
        <f t="shared" si="170"/>
        <v>#VALUE!</v>
      </c>
      <c r="J2723" t="str">
        <f>MAIN!A2728&amp;"B"</f>
        <v>B</v>
      </c>
      <c r="K2723" s="12" t="e">
        <f t="shared" si="171"/>
        <v>#VALUE!</v>
      </c>
      <c r="L2723" t="str">
        <f>MAIN!C2728</f>
        <v/>
      </c>
    </row>
    <row r="2724" spans="1:12" x14ac:dyDescent="0.3">
      <c r="A2724">
        <f>IF(J2724="0",0,IF(COUNTIF($J$2:J2724,J2724)=1,1,0))</f>
        <v>0</v>
      </c>
      <c r="B2724" s="12" t="e">
        <f>MID(MAIN!A2729,K2724,2)</f>
        <v>#VALUE!</v>
      </c>
      <c r="C2724" s="12" t="e">
        <f t="shared" si="168"/>
        <v>#VALUE!</v>
      </c>
      <c r="D2724" s="12" t="e">
        <f>MID(MAIN!A2729,K2724+2,2)</f>
        <v>#VALUE!</v>
      </c>
      <c r="E2724" s="12" t="e">
        <f>MID(MAIN!A2729,K2724+4,2)</f>
        <v>#VALUE!</v>
      </c>
      <c r="F2724" s="2" t="e">
        <f t="shared" si="169"/>
        <v>#VALUE!</v>
      </c>
      <c r="G2724" s="13" t="e">
        <f t="shared" si="170"/>
        <v>#VALUE!</v>
      </c>
      <c r="J2724" t="str">
        <f>MAIN!A2729&amp;"B"</f>
        <v>B</v>
      </c>
      <c r="K2724" s="12" t="e">
        <f t="shared" si="171"/>
        <v>#VALUE!</v>
      </c>
      <c r="L2724" t="str">
        <f>MAIN!C2729</f>
        <v/>
      </c>
    </row>
    <row r="2725" spans="1:12" x14ac:dyDescent="0.3">
      <c r="A2725">
        <f>IF(J2725="0",0,IF(COUNTIF($J$2:J2725,J2725)=1,1,0))</f>
        <v>0</v>
      </c>
      <c r="B2725" s="12" t="e">
        <f>MID(MAIN!A2730,K2725,2)</f>
        <v>#VALUE!</v>
      </c>
      <c r="C2725" s="12" t="e">
        <f t="shared" si="168"/>
        <v>#VALUE!</v>
      </c>
      <c r="D2725" s="12" t="e">
        <f>MID(MAIN!A2730,K2725+2,2)</f>
        <v>#VALUE!</v>
      </c>
      <c r="E2725" s="12" t="e">
        <f>MID(MAIN!A2730,K2725+4,2)</f>
        <v>#VALUE!</v>
      </c>
      <c r="F2725" s="2" t="e">
        <f t="shared" si="169"/>
        <v>#VALUE!</v>
      </c>
      <c r="G2725" s="13" t="e">
        <f t="shared" si="170"/>
        <v>#VALUE!</v>
      </c>
      <c r="J2725" t="str">
        <f>MAIN!A2730&amp;"B"</f>
        <v>B</v>
      </c>
      <c r="K2725" s="12" t="e">
        <f t="shared" si="171"/>
        <v>#VALUE!</v>
      </c>
      <c r="L2725" t="str">
        <f>MAIN!C2730</f>
        <v/>
      </c>
    </row>
    <row r="2726" spans="1:12" x14ac:dyDescent="0.3">
      <c r="A2726">
        <f>IF(J2726="0",0,IF(COUNTIF($J$2:J2726,J2726)=1,1,0))</f>
        <v>0</v>
      </c>
      <c r="B2726" s="12" t="e">
        <f>MID(MAIN!A2731,K2726,2)</f>
        <v>#VALUE!</v>
      </c>
      <c r="C2726" s="12" t="e">
        <f t="shared" si="168"/>
        <v>#VALUE!</v>
      </c>
      <c r="D2726" s="12" t="e">
        <f>MID(MAIN!A2731,K2726+2,2)</f>
        <v>#VALUE!</v>
      </c>
      <c r="E2726" s="12" t="e">
        <f>MID(MAIN!A2731,K2726+4,2)</f>
        <v>#VALUE!</v>
      </c>
      <c r="F2726" s="2" t="e">
        <f t="shared" si="169"/>
        <v>#VALUE!</v>
      </c>
      <c r="G2726" s="13" t="e">
        <f t="shared" si="170"/>
        <v>#VALUE!</v>
      </c>
      <c r="J2726" t="str">
        <f>MAIN!A2731&amp;"B"</f>
        <v>B</v>
      </c>
      <c r="K2726" s="12" t="e">
        <f t="shared" si="171"/>
        <v>#VALUE!</v>
      </c>
      <c r="L2726" t="str">
        <f>MAIN!C2731</f>
        <v/>
      </c>
    </row>
    <row r="2727" spans="1:12" x14ac:dyDescent="0.3">
      <c r="A2727">
        <f>IF(J2727="0",0,IF(COUNTIF($J$2:J2727,J2727)=1,1,0))</f>
        <v>0</v>
      </c>
      <c r="B2727" s="12" t="e">
        <f>MID(MAIN!A2732,K2727,2)</f>
        <v>#VALUE!</v>
      </c>
      <c r="C2727" s="12" t="e">
        <f t="shared" si="168"/>
        <v>#VALUE!</v>
      </c>
      <c r="D2727" s="12" t="e">
        <f>MID(MAIN!A2732,K2727+2,2)</f>
        <v>#VALUE!</v>
      </c>
      <c r="E2727" s="12" t="e">
        <f>MID(MAIN!A2732,K2727+4,2)</f>
        <v>#VALUE!</v>
      </c>
      <c r="F2727" s="2" t="e">
        <f t="shared" si="169"/>
        <v>#VALUE!</v>
      </c>
      <c r="G2727" s="13" t="e">
        <f t="shared" si="170"/>
        <v>#VALUE!</v>
      </c>
      <c r="J2727" t="str">
        <f>MAIN!A2732&amp;"B"</f>
        <v>B</v>
      </c>
      <c r="K2727" s="12" t="e">
        <f t="shared" si="171"/>
        <v>#VALUE!</v>
      </c>
      <c r="L2727" t="str">
        <f>MAIN!C2732</f>
        <v/>
      </c>
    </row>
    <row r="2728" spans="1:12" x14ac:dyDescent="0.3">
      <c r="A2728">
        <f>IF(J2728="0",0,IF(COUNTIF($J$2:J2728,J2728)=1,1,0))</f>
        <v>0</v>
      </c>
      <c r="B2728" s="12" t="e">
        <f>MID(MAIN!A2733,K2728,2)</f>
        <v>#VALUE!</v>
      </c>
      <c r="C2728" s="12" t="e">
        <f t="shared" si="168"/>
        <v>#VALUE!</v>
      </c>
      <c r="D2728" s="12" t="e">
        <f>MID(MAIN!A2733,K2728+2,2)</f>
        <v>#VALUE!</v>
      </c>
      <c r="E2728" s="12" t="e">
        <f>MID(MAIN!A2733,K2728+4,2)</f>
        <v>#VALUE!</v>
      </c>
      <c r="F2728" s="2" t="e">
        <f t="shared" si="169"/>
        <v>#VALUE!</v>
      </c>
      <c r="G2728" s="13" t="e">
        <f t="shared" si="170"/>
        <v>#VALUE!</v>
      </c>
      <c r="J2728" t="str">
        <f>MAIN!A2733&amp;"B"</f>
        <v>B</v>
      </c>
      <c r="K2728" s="12" t="e">
        <f t="shared" si="171"/>
        <v>#VALUE!</v>
      </c>
      <c r="L2728" t="str">
        <f>MAIN!C2733</f>
        <v/>
      </c>
    </row>
    <row r="2729" spans="1:12" x14ac:dyDescent="0.3">
      <c r="A2729">
        <f>IF(J2729="0",0,IF(COUNTIF($J$2:J2729,J2729)=1,1,0))</f>
        <v>0</v>
      </c>
      <c r="B2729" s="12" t="e">
        <f>MID(MAIN!A2734,K2729,2)</f>
        <v>#VALUE!</v>
      </c>
      <c r="C2729" s="12" t="e">
        <f t="shared" si="168"/>
        <v>#VALUE!</v>
      </c>
      <c r="D2729" s="12" t="e">
        <f>MID(MAIN!A2734,K2729+2,2)</f>
        <v>#VALUE!</v>
      </c>
      <c r="E2729" s="12" t="e">
        <f>MID(MAIN!A2734,K2729+4,2)</f>
        <v>#VALUE!</v>
      </c>
      <c r="F2729" s="2" t="e">
        <f t="shared" si="169"/>
        <v>#VALUE!</v>
      </c>
      <c r="G2729" s="13" t="e">
        <f t="shared" si="170"/>
        <v>#VALUE!</v>
      </c>
      <c r="J2729" t="str">
        <f>MAIN!A2734&amp;"B"</f>
        <v>B</v>
      </c>
      <c r="K2729" s="12" t="e">
        <f t="shared" si="171"/>
        <v>#VALUE!</v>
      </c>
      <c r="L2729" t="str">
        <f>MAIN!C2734</f>
        <v/>
      </c>
    </row>
    <row r="2730" spans="1:12" x14ac:dyDescent="0.3">
      <c r="A2730">
        <f>IF(J2730="0",0,IF(COUNTIF($J$2:J2730,J2730)=1,1,0))</f>
        <v>0</v>
      </c>
      <c r="B2730" s="12" t="e">
        <f>MID(MAIN!A2735,K2730,2)</f>
        <v>#VALUE!</v>
      </c>
      <c r="C2730" s="12" t="e">
        <f t="shared" si="168"/>
        <v>#VALUE!</v>
      </c>
      <c r="D2730" s="12" t="e">
        <f>MID(MAIN!A2735,K2730+2,2)</f>
        <v>#VALUE!</v>
      </c>
      <c r="E2730" s="12" t="e">
        <f>MID(MAIN!A2735,K2730+4,2)</f>
        <v>#VALUE!</v>
      </c>
      <c r="F2730" s="2" t="e">
        <f t="shared" si="169"/>
        <v>#VALUE!</v>
      </c>
      <c r="G2730" s="13" t="e">
        <f t="shared" si="170"/>
        <v>#VALUE!</v>
      </c>
      <c r="J2730" t="str">
        <f>MAIN!A2735&amp;"B"</f>
        <v>B</v>
      </c>
      <c r="K2730" s="12" t="e">
        <f t="shared" si="171"/>
        <v>#VALUE!</v>
      </c>
      <c r="L2730" t="str">
        <f>MAIN!C2735</f>
        <v/>
      </c>
    </row>
    <row r="2731" spans="1:12" x14ac:dyDescent="0.3">
      <c r="A2731">
        <f>IF(J2731="0",0,IF(COUNTIF($J$2:J2731,J2731)=1,1,0))</f>
        <v>0</v>
      </c>
      <c r="B2731" s="12" t="e">
        <f>MID(MAIN!A2736,K2731,2)</f>
        <v>#VALUE!</v>
      </c>
      <c r="C2731" s="12" t="e">
        <f t="shared" si="168"/>
        <v>#VALUE!</v>
      </c>
      <c r="D2731" s="12" t="e">
        <f>MID(MAIN!A2736,K2731+2,2)</f>
        <v>#VALUE!</v>
      </c>
      <c r="E2731" s="12" t="e">
        <f>MID(MAIN!A2736,K2731+4,2)</f>
        <v>#VALUE!</v>
      </c>
      <c r="F2731" s="2" t="e">
        <f t="shared" si="169"/>
        <v>#VALUE!</v>
      </c>
      <c r="G2731" s="13" t="e">
        <f t="shared" si="170"/>
        <v>#VALUE!</v>
      </c>
      <c r="J2731" t="str">
        <f>MAIN!A2736&amp;"B"</f>
        <v>B</v>
      </c>
      <c r="K2731" s="12" t="e">
        <f t="shared" si="171"/>
        <v>#VALUE!</v>
      </c>
      <c r="L2731" t="str">
        <f>MAIN!C2736</f>
        <v/>
      </c>
    </row>
    <row r="2732" spans="1:12" x14ac:dyDescent="0.3">
      <c r="A2732">
        <f>IF(J2732="0",0,IF(COUNTIF($J$2:J2732,J2732)=1,1,0))</f>
        <v>0</v>
      </c>
      <c r="B2732" s="12" t="e">
        <f>MID(MAIN!A2737,K2732,2)</f>
        <v>#VALUE!</v>
      </c>
      <c r="C2732" s="12" t="e">
        <f t="shared" si="168"/>
        <v>#VALUE!</v>
      </c>
      <c r="D2732" s="12" t="e">
        <f>MID(MAIN!A2737,K2732+2,2)</f>
        <v>#VALUE!</v>
      </c>
      <c r="E2732" s="12" t="e">
        <f>MID(MAIN!A2737,K2732+4,2)</f>
        <v>#VALUE!</v>
      </c>
      <c r="F2732" s="2" t="e">
        <f t="shared" si="169"/>
        <v>#VALUE!</v>
      </c>
      <c r="G2732" s="13" t="e">
        <f t="shared" si="170"/>
        <v>#VALUE!</v>
      </c>
      <c r="J2732" t="str">
        <f>MAIN!A2737&amp;"B"</f>
        <v>B</v>
      </c>
      <c r="K2732" s="12" t="e">
        <f t="shared" si="171"/>
        <v>#VALUE!</v>
      </c>
      <c r="L2732" t="str">
        <f>MAIN!C2737</f>
        <v/>
      </c>
    </row>
    <row r="2733" spans="1:12" x14ac:dyDescent="0.3">
      <c r="A2733">
        <f>IF(J2733="0",0,IF(COUNTIF($J$2:J2733,J2733)=1,1,0))</f>
        <v>0</v>
      </c>
      <c r="B2733" s="12" t="e">
        <f>MID(MAIN!A2738,K2733,2)</f>
        <v>#VALUE!</v>
      </c>
      <c r="C2733" s="12" t="e">
        <f t="shared" si="168"/>
        <v>#VALUE!</v>
      </c>
      <c r="D2733" s="12" t="e">
        <f>MID(MAIN!A2738,K2733+2,2)</f>
        <v>#VALUE!</v>
      </c>
      <c r="E2733" s="12" t="e">
        <f>MID(MAIN!A2738,K2733+4,2)</f>
        <v>#VALUE!</v>
      </c>
      <c r="F2733" s="2" t="e">
        <f t="shared" si="169"/>
        <v>#VALUE!</v>
      </c>
      <c r="G2733" s="13" t="e">
        <f t="shared" si="170"/>
        <v>#VALUE!</v>
      </c>
      <c r="J2733" t="str">
        <f>MAIN!A2738&amp;"B"</f>
        <v>B</v>
      </c>
      <c r="K2733" s="12" t="e">
        <f t="shared" si="171"/>
        <v>#VALUE!</v>
      </c>
      <c r="L2733" t="str">
        <f>MAIN!C2738</f>
        <v/>
      </c>
    </row>
    <row r="2734" spans="1:12" x14ac:dyDescent="0.3">
      <c r="A2734">
        <f>IF(J2734="0",0,IF(COUNTIF($J$2:J2734,J2734)=1,1,0))</f>
        <v>0</v>
      </c>
      <c r="B2734" s="12" t="e">
        <f>MID(MAIN!A2739,K2734,2)</f>
        <v>#VALUE!</v>
      </c>
      <c r="C2734" s="12" t="e">
        <f t="shared" si="168"/>
        <v>#VALUE!</v>
      </c>
      <c r="D2734" s="12" t="e">
        <f>MID(MAIN!A2739,K2734+2,2)</f>
        <v>#VALUE!</v>
      </c>
      <c r="E2734" s="12" t="e">
        <f>MID(MAIN!A2739,K2734+4,2)</f>
        <v>#VALUE!</v>
      </c>
      <c r="F2734" s="2" t="e">
        <f t="shared" si="169"/>
        <v>#VALUE!</v>
      </c>
      <c r="G2734" s="13" t="e">
        <f t="shared" si="170"/>
        <v>#VALUE!</v>
      </c>
      <c r="J2734" t="str">
        <f>MAIN!A2739&amp;"B"</f>
        <v>B</v>
      </c>
      <c r="K2734" s="12" t="e">
        <f t="shared" si="171"/>
        <v>#VALUE!</v>
      </c>
      <c r="L2734" t="str">
        <f>MAIN!C2739</f>
        <v/>
      </c>
    </row>
    <row r="2735" spans="1:12" x14ac:dyDescent="0.3">
      <c r="A2735">
        <f>IF(J2735="0",0,IF(COUNTIF($J$2:J2735,J2735)=1,1,0))</f>
        <v>0</v>
      </c>
      <c r="B2735" s="12" t="e">
        <f>MID(MAIN!A2740,K2735,2)</f>
        <v>#VALUE!</v>
      </c>
      <c r="C2735" s="12" t="e">
        <f t="shared" si="168"/>
        <v>#VALUE!</v>
      </c>
      <c r="D2735" s="12" t="e">
        <f>MID(MAIN!A2740,K2735+2,2)</f>
        <v>#VALUE!</v>
      </c>
      <c r="E2735" s="12" t="e">
        <f>MID(MAIN!A2740,K2735+4,2)</f>
        <v>#VALUE!</v>
      </c>
      <c r="F2735" s="2" t="e">
        <f t="shared" si="169"/>
        <v>#VALUE!</v>
      </c>
      <c r="G2735" s="13" t="e">
        <f t="shared" si="170"/>
        <v>#VALUE!</v>
      </c>
      <c r="J2735" t="str">
        <f>MAIN!A2740&amp;"B"</f>
        <v>B</v>
      </c>
      <c r="K2735" s="12" t="e">
        <f t="shared" si="171"/>
        <v>#VALUE!</v>
      </c>
      <c r="L2735" t="str">
        <f>MAIN!C2740</f>
        <v/>
      </c>
    </row>
    <row r="2736" spans="1:12" x14ac:dyDescent="0.3">
      <c r="A2736">
        <f>IF(J2736="0",0,IF(COUNTIF($J$2:J2736,J2736)=1,1,0))</f>
        <v>0</v>
      </c>
      <c r="B2736" s="12" t="e">
        <f>MID(MAIN!A2741,K2736,2)</f>
        <v>#VALUE!</v>
      </c>
      <c r="C2736" s="12" t="e">
        <f t="shared" si="168"/>
        <v>#VALUE!</v>
      </c>
      <c r="D2736" s="12" t="e">
        <f>MID(MAIN!A2741,K2736+2,2)</f>
        <v>#VALUE!</v>
      </c>
      <c r="E2736" s="12" t="e">
        <f>MID(MAIN!A2741,K2736+4,2)</f>
        <v>#VALUE!</v>
      </c>
      <c r="F2736" s="2" t="e">
        <f t="shared" si="169"/>
        <v>#VALUE!</v>
      </c>
      <c r="G2736" s="13" t="e">
        <f t="shared" si="170"/>
        <v>#VALUE!</v>
      </c>
      <c r="J2736" t="str">
        <f>MAIN!A2741&amp;"B"</f>
        <v>B</v>
      </c>
      <c r="K2736" s="12" t="e">
        <f t="shared" si="171"/>
        <v>#VALUE!</v>
      </c>
      <c r="L2736" t="str">
        <f>MAIN!C2741</f>
        <v/>
      </c>
    </row>
    <row r="2737" spans="1:12" x14ac:dyDescent="0.3">
      <c r="A2737">
        <f>IF(J2737="0",0,IF(COUNTIF($J$2:J2737,J2737)=1,1,0))</f>
        <v>0</v>
      </c>
      <c r="B2737" s="12" t="e">
        <f>MID(MAIN!A2742,K2737,2)</f>
        <v>#VALUE!</v>
      </c>
      <c r="C2737" s="12" t="e">
        <f t="shared" si="168"/>
        <v>#VALUE!</v>
      </c>
      <c r="D2737" s="12" t="e">
        <f>MID(MAIN!A2742,K2737+2,2)</f>
        <v>#VALUE!</v>
      </c>
      <c r="E2737" s="12" t="e">
        <f>MID(MAIN!A2742,K2737+4,2)</f>
        <v>#VALUE!</v>
      </c>
      <c r="F2737" s="2" t="e">
        <f t="shared" si="169"/>
        <v>#VALUE!</v>
      </c>
      <c r="G2737" s="13" t="e">
        <f t="shared" si="170"/>
        <v>#VALUE!</v>
      </c>
      <c r="J2737" t="str">
        <f>MAIN!A2742&amp;"B"</f>
        <v>B</v>
      </c>
      <c r="K2737" s="12" t="e">
        <f t="shared" si="171"/>
        <v>#VALUE!</v>
      </c>
      <c r="L2737" t="str">
        <f>MAIN!C2742</f>
        <v/>
      </c>
    </row>
    <row r="2738" spans="1:12" x14ac:dyDescent="0.3">
      <c r="A2738">
        <f>IF(J2738="0",0,IF(COUNTIF($J$2:J2738,J2738)=1,1,0))</f>
        <v>0</v>
      </c>
      <c r="B2738" s="12" t="e">
        <f>MID(MAIN!A2743,K2738,2)</f>
        <v>#VALUE!</v>
      </c>
      <c r="C2738" s="12" t="e">
        <f t="shared" si="168"/>
        <v>#VALUE!</v>
      </c>
      <c r="D2738" s="12" t="e">
        <f>MID(MAIN!A2743,K2738+2,2)</f>
        <v>#VALUE!</v>
      </c>
      <c r="E2738" s="12" t="e">
        <f>MID(MAIN!A2743,K2738+4,2)</f>
        <v>#VALUE!</v>
      </c>
      <c r="F2738" s="2" t="e">
        <f t="shared" si="169"/>
        <v>#VALUE!</v>
      </c>
      <c r="G2738" s="13" t="e">
        <f t="shared" si="170"/>
        <v>#VALUE!</v>
      </c>
      <c r="J2738" t="str">
        <f>MAIN!A2743&amp;"B"</f>
        <v>B</v>
      </c>
      <c r="K2738" s="12" t="e">
        <f t="shared" si="171"/>
        <v>#VALUE!</v>
      </c>
      <c r="L2738" t="str">
        <f>MAIN!C2743</f>
        <v/>
      </c>
    </row>
    <row r="2739" spans="1:12" x14ac:dyDescent="0.3">
      <c r="A2739">
        <f>IF(J2739="0",0,IF(COUNTIF($J$2:J2739,J2739)=1,1,0))</f>
        <v>0</v>
      </c>
      <c r="B2739" s="12" t="e">
        <f>MID(MAIN!A2744,K2739,2)</f>
        <v>#VALUE!</v>
      </c>
      <c r="C2739" s="12" t="e">
        <f t="shared" si="168"/>
        <v>#VALUE!</v>
      </c>
      <c r="D2739" s="12" t="e">
        <f>MID(MAIN!A2744,K2739+2,2)</f>
        <v>#VALUE!</v>
      </c>
      <c r="E2739" s="12" t="e">
        <f>MID(MAIN!A2744,K2739+4,2)</f>
        <v>#VALUE!</v>
      </c>
      <c r="F2739" s="2" t="e">
        <f t="shared" si="169"/>
        <v>#VALUE!</v>
      </c>
      <c r="G2739" s="13" t="e">
        <f t="shared" si="170"/>
        <v>#VALUE!</v>
      </c>
      <c r="J2739" t="str">
        <f>MAIN!A2744&amp;"B"</f>
        <v>B</v>
      </c>
      <c r="K2739" s="12" t="e">
        <f t="shared" si="171"/>
        <v>#VALUE!</v>
      </c>
      <c r="L2739" t="str">
        <f>MAIN!C2744</f>
        <v/>
      </c>
    </row>
    <row r="2740" spans="1:12" x14ac:dyDescent="0.3">
      <c r="A2740">
        <f>IF(J2740="0",0,IF(COUNTIF($J$2:J2740,J2740)=1,1,0))</f>
        <v>0</v>
      </c>
      <c r="B2740" s="12" t="e">
        <f>MID(MAIN!A2745,K2740,2)</f>
        <v>#VALUE!</v>
      </c>
      <c r="C2740" s="12" t="e">
        <f t="shared" si="168"/>
        <v>#VALUE!</v>
      </c>
      <c r="D2740" s="12" t="e">
        <f>MID(MAIN!A2745,K2740+2,2)</f>
        <v>#VALUE!</v>
      </c>
      <c r="E2740" s="12" t="e">
        <f>MID(MAIN!A2745,K2740+4,2)</f>
        <v>#VALUE!</v>
      </c>
      <c r="F2740" s="2" t="e">
        <f t="shared" si="169"/>
        <v>#VALUE!</v>
      </c>
      <c r="G2740" s="13" t="e">
        <f t="shared" si="170"/>
        <v>#VALUE!</v>
      </c>
      <c r="J2740" t="str">
        <f>MAIN!A2745&amp;"B"</f>
        <v>B</v>
      </c>
      <c r="K2740" s="12" t="e">
        <f t="shared" si="171"/>
        <v>#VALUE!</v>
      </c>
      <c r="L2740" t="str">
        <f>MAIN!C2745</f>
        <v/>
      </c>
    </row>
    <row r="2741" spans="1:12" x14ac:dyDescent="0.3">
      <c r="A2741">
        <f>IF(J2741="0",0,IF(COUNTIF($J$2:J2741,J2741)=1,1,0))</f>
        <v>0</v>
      </c>
      <c r="B2741" s="12" t="e">
        <f>MID(MAIN!A2746,K2741,2)</f>
        <v>#VALUE!</v>
      </c>
      <c r="C2741" s="12" t="e">
        <f t="shared" si="168"/>
        <v>#VALUE!</v>
      </c>
      <c r="D2741" s="12" t="e">
        <f>MID(MAIN!A2746,K2741+2,2)</f>
        <v>#VALUE!</v>
      </c>
      <c r="E2741" s="12" t="e">
        <f>MID(MAIN!A2746,K2741+4,2)</f>
        <v>#VALUE!</v>
      </c>
      <c r="F2741" s="2" t="e">
        <f t="shared" si="169"/>
        <v>#VALUE!</v>
      </c>
      <c r="G2741" s="13" t="e">
        <f t="shared" si="170"/>
        <v>#VALUE!</v>
      </c>
      <c r="J2741" t="str">
        <f>MAIN!A2746&amp;"B"</f>
        <v>B</v>
      </c>
      <c r="K2741" s="12" t="e">
        <f t="shared" si="171"/>
        <v>#VALUE!</v>
      </c>
      <c r="L2741" t="str">
        <f>MAIN!C2746</f>
        <v/>
      </c>
    </row>
    <row r="2742" spans="1:12" x14ac:dyDescent="0.3">
      <c r="A2742">
        <f>IF(J2742="0",0,IF(COUNTIF($J$2:J2742,J2742)=1,1,0))</f>
        <v>0</v>
      </c>
      <c r="B2742" s="12" t="e">
        <f>MID(MAIN!A2747,K2742,2)</f>
        <v>#VALUE!</v>
      </c>
      <c r="C2742" s="12" t="e">
        <f t="shared" si="168"/>
        <v>#VALUE!</v>
      </c>
      <c r="D2742" s="12" t="e">
        <f>MID(MAIN!A2747,K2742+2,2)</f>
        <v>#VALUE!</v>
      </c>
      <c r="E2742" s="12" t="e">
        <f>MID(MAIN!A2747,K2742+4,2)</f>
        <v>#VALUE!</v>
      </c>
      <c r="F2742" s="2" t="e">
        <f t="shared" si="169"/>
        <v>#VALUE!</v>
      </c>
      <c r="G2742" s="13" t="e">
        <f t="shared" si="170"/>
        <v>#VALUE!</v>
      </c>
      <c r="J2742" t="str">
        <f>MAIN!A2747&amp;"B"</f>
        <v>B</v>
      </c>
      <c r="K2742" s="12" t="e">
        <f t="shared" si="171"/>
        <v>#VALUE!</v>
      </c>
      <c r="L2742" t="str">
        <f>MAIN!C2747</f>
        <v/>
      </c>
    </row>
    <row r="2743" spans="1:12" x14ac:dyDescent="0.3">
      <c r="A2743">
        <f>IF(J2743="0",0,IF(COUNTIF($J$2:J2743,J2743)=1,1,0))</f>
        <v>0</v>
      </c>
      <c r="B2743" s="12" t="e">
        <f>MID(MAIN!A2748,K2743,2)</f>
        <v>#VALUE!</v>
      </c>
      <c r="C2743" s="12" t="e">
        <f t="shared" si="168"/>
        <v>#VALUE!</v>
      </c>
      <c r="D2743" s="12" t="e">
        <f>MID(MAIN!A2748,K2743+2,2)</f>
        <v>#VALUE!</v>
      </c>
      <c r="E2743" s="12" t="e">
        <f>MID(MAIN!A2748,K2743+4,2)</f>
        <v>#VALUE!</v>
      </c>
      <c r="F2743" s="2" t="e">
        <f t="shared" si="169"/>
        <v>#VALUE!</v>
      </c>
      <c r="G2743" s="13" t="e">
        <f t="shared" si="170"/>
        <v>#VALUE!</v>
      </c>
      <c r="J2743" t="str">
        <f>MAIN!A2748&amp;"B"</f>
        <v>B</v>
      </c>
      <c r="K2743" s="12" t="e">
        <f t="shared" si="171"/>
        <v>#VALUE!</v>
      </c>
      <c r="L2743" t="str">
        <f>MAIN!C2748</f>
        <v/>
      </c>
    </row>
    <row r="2744" spans="1:12" x14ac:dyDescent="0.3">
      <c r="A2744">
        <f>IF(J2744="0",0,IF(COUNTIF($J$2:J2744,J2744)=1,1,0))</f>
        <v>0</v>
      </c>
      <c r="B2744" s="12" t="e">
        <f>MID(MAIN!A2749,K2744,2)</f>
        <v>#VALUE!</v>
      </c>
      <c r="C2744" s="12" t="e">
        <f t="shared" si="168"/>
        <v>#VALUE!</v>
      </c>
      <c r="D2744" s="12" t="e">
        <f>MID(MAIN!A2749,K2744+2,2)</f>
        <v>#VALUE!</v>
      </c>
      <c r="E2744" s="12" t="e">
        <f>MID(MAIN!A2749,K2744+4,2)</f>
        <v>#VALUE!</v>
      </c>
      <c r="F2744" s="2" t="e">
        <f t="shared" si="169"/>
        <v>#VALUE!</v>
      </c>
      <c r="G2744" s="13" t="e">
        <f t="shared" si="170"/>
        <v>#VALUE!</v>
      </c>
      <c r="J2744" t="str">
        <f>MAIN!A2749&amp;"B"</f>
        <v>B</v>
      </c>
      <c r="K2744" s="12" t="e">
        <f t="shared" si="171"/>
        <v>#VALUE!</v>
      </c>
      <c r="L2744" t="str">
        <f>MAIN!C2749</f>
        <v/>
      </c>
    </row>
    <row r="2745" spans="1:12" x14ac:dyDescent="0.3">
      <c r="A2745">
        <f>IF(J2745="0",0,IF(COUNTIF($J$2:J2745,J2745)=1,1,0))</f>
        <v>0</v>
      </c>
      <c r="B2745" s="12" t="e">
        <f>MID(MAIN!A2750,K2745,2)</f>
        <v>#VALUE!</v>
      </c>
      <c r="C2745" s="12" t="e">
        <f t="shared" si="168"/>
        <v>#VALUE!</v>
      </c>
      <c r="D2745" s="12" t="e">
        <f>MID(MAIN!A2750,K2745+2,2)</f>
        <v>#VALUE!</v>
      </c>
      <c r="E2745" s="12" t="e">
        <f>MID(MAIN!A2750,K2745+4,2)</f>
        <v>#VALUE!</v>
      </c>
      <c r="F2745" s="2" t="e">
        <f t="shared" si="169"/>
        <v>#VALUE!</v>
      </c>
      <c r="G2745" s="13" t="e">
        <f t="shared" si="170"/>
        <v>#VALUE!</v>
      </c>
      <c r="J2745" t="str">
        <f>MAIN!A2750&amp;"B"</f>
        <v>B</v>
      </c>
      <c r="K2745" s="12" t="e">
        <f t="shared" si="171"/>
        <v>#VALUE!</v>
      </c>
      <c r="L2745" t="str">
        <f>MAIN!C2750</f>
        <v/>
      </c>
    </row>
    <row r="2746" spans="1:12" x14ac:dyDescent="0.3">
      <c r="A2746">
        <f>IF(J2746="0",0,IF(COUNTIF($J$2:J2746,J2746)=1,1,0))</f>
        <v>0</v>
      </c>
      <c r="B2746" s="12" t="e">
        <f>MID(MAIN!A2751,K2746,2)</f>
        <v>#VALUE!</v>
      </c>
      <c r="C2746" s="12" t="e">
        <f t="shared" si="168"/>
        <v>#VALUE!</v>
      </c>
      <c r="D2746" s="12" t="e">
        <f>MID(MAIN!A2751,K2746+2,2)</f>
        <v>#VALUE!</v>
      </c>
      <c r="E2746" s="12" t="e">
        <f>MID(MAIN!A2751,K2746+4,2)</f>
        <v>#VALUE!</v>
      </c>
      <c r="F2746" s="2" t="e">
        <f t="shared" si="169"/>
        <v>#VALUE!</v>
      </c>
      <c r="G2746" s="13" t="e">
        <f t="shared" si="170"/>
        <v>#VALUE!</v>
      </c>
      <c r="J2746" t="str">
        <f>MAIN!A2751&amp;"B"</f>
        <v>B</v>
      </c>
      <c r="K2746" s="12" t="e">
        <f t="shared" si="171"/>
        <v>#VALUE!</v>
      </c>
      <c r="L2746" t="str">
        <f>MAIN!C2751</f>
        <v/>
      </c>
    </row>
    <row r="2747" spans="1:12" x14ac:dyDescent="0.3">
      <c r="A2747">
        <f>IF(J2747="0",0,IF(COUNTIF($J$2:J2747,J2747)=1,1,0))</f>
        <v>0</v>
      </c>
      <c r="B2747" s="12" t="e">
        <f>MID(MAIN!A2752,K2747,2)</f>
        <v>#VALUE!</v>
      </c>
      <c r="C2747" s="12" t="e">
        <f t="shared" si="168"/>
        <v>#VALUE!</v>
      </c>
      <c r="D2747" s="12" t="e">
        <f>MID(MAIN!A2752,K2747+2,2)</f>
        <v>#VALUE!</v>
      </c>
      <c r="E2747" s="12" t="e">
        <f>MID(MAIN!A2752,K2747+4,2)</f>
        <v>#VALUE!</v>
      </c>
      <c r="F2747" s="2" t="e">
        <f t="shared" si="169"/>
        <v>#VALUE!</v>
      </c>
      <c r="G2747" s="13" t="e">
        <f t="shared" si="170"/>
        <v>#VALUE!</v>
      </c>
      <c r="J2747" t="str">
        <f>MAIN!A2752&amp;"B"</f>
        <v>B</v>
      </c>
      <c r="K2747" s="12" t="e">
        <f t="shared" si="171"/>
        <v>#VALUE!</v>
      </c>
      <c r="L2747" t="str">
        <f>MAIN!C2752</f>
        <v/>
      </c>
    </row>
    <row r="2748" spans="1:12" x14ac:dyDescent="0.3">
      <c r="A2748">
        <f>IF(J2748="0",0,IF(COUNTIF($J$2:J2748,J2748)=1,1,0))</f>
        <v>0</v>
      </c>
      <c r="B2748" s="12" t="e">
        <f>MID(MAIN!A2753,K2748,2)</f>
        <v>#VALUE!</v>
      </c>
      <c r="C2748" s="12" t="e">
        <f t="shared" si="168"/>
        <v>#VALUE!</v>
      </c>
      <c r="D2748" s="12" t="e">
        <f>MID(MAIN!A2753,K2748+2,2)</f>
        <v>#VALUE!</v>
      </c>
      <c r="E2748" s="12" t="e">
        <f>MID(MAIN!A2753,K2748+4,2)</f>
        <v>#VALUE!</v>
      </c>
      <c r="F2748" s="2" t="e">
        <f t="shared" si="169"/>
        <v>#VALUE!</v>
      </c>
      <c r="G2748" s="13" t="e">
        <f t="shared" si="170"/>
        <v>#VALUE!</v>
      </c>
      <c r="J2748" t="str">
        <f>MAIN!A2753&amp;"B"</f>
        <v>B</v>
      </c>
      <c r="K2748" s="12" t="e">
        <f t="shared" si="171"/>
        <v>#VALUE!</v>
      </c>
      <c r="L2748" t="str">
        <f>MAIN!C2753</f>
        <v/>
      </c>
    </row>
    <row r="2749" spans="1:12" x14ac:dyDescent="0.3">
      <c r="A2749">
        <f>IF(J2749="0",0,IF(COUNTIF($J$2:J2749,J2749)=1,1,0))</f>
        <v>0</v>
      </c>
      <c r="B2749" s="12" t="e">
        <f>MID(MAIN!A2754,K2749,2)</f>
        <v>#VALUE!</v>
      </c>
      <c r="C2749" s="12" t="e">
        <f t="shared" si="168"/>
        <v>#VALUE!</v>
      </c>
      <c r="D2749" s="12" t="e">
        <f>MID(MAIN!A2754,K2749+2,2)</f>
        <v>#VALUE!</v>
      </c>
      <c r="E2749" s="12" t="e">
        <f>MID(MAIN!A2754,K2749+4,2)</f>
        <v>#VALUE!</v>
      </c>
      <c r="F2749" s="2" t="e">
        <f t="shared" si="169"/>
        <v>#VALUE!</v>
      </c>
      <c r="G2749" s="13" t="e">
        <f t="shared" si="170"/>
        <v>#VALUE!</v>
      </c>
      <c r="J2749" t="str">
        <f>MAIN!A2754&amp;"B"</f>
        <v>B</v>
      </c>
      <c r="K2749" s="12" t="e">
        <f t="shared" si="171"/>
        <v>#VALUE!</v>
      </c>
      <c r="L2749" t="str">
        <f>MAIN!C2754</f>
        <v/>
      </c>
    </row>
    <row r="2750" spans="1:12" x14ac:dyDescent="0.3">
      <c r="A2750">
        <f>IF(J2750="0",0,IF(COUNTIF($J$2:J2750,J2750)=1,1,0))</f>
        <v>0</v>
      </c>
      <c r="B2750" s="12" t="e">
        <f>MID(MAIN!A2755,K2750,2)</f>
        <v>#VALUE!</v>
      </c>
      <c r="C2750" s="12" t="e">
        <f t="shared" si="168"/>
        <v>#VALUE!</v>
      </c>
      <c r="D2750" s="12" t="e">
        <f>MID(MAIN!A2755,K2750+2,2)</f>
        <v>#VALUE!</v>
      </c>
      <c r="E2750" s="12" t="e">
        <f>MID(MAIN!A2755,K2750+4,2)</f>
        <v>#VALUE!</v>
      </c>
      <c r="F2750" s="2" t="e">
        <f t="shared" si="169"/>
        <v>#VALUE!</v>
      </c>
      <c r="G2750" s="13" t="e">
        <f t="shared" si="170"/>
        <v>#VALUE!</v>
      </c>
      <c r="J2750" t="str">
        <f>MAIN!A2755&amp;"B"</f>
        <v>B</v>
      </c>
      <c r="K2750" s="12" t="e">
        <f t="shared" si="171"/>
        <v>#VALUE!</v>
      </c>
      <c r="L2750" t="str">
        <f>MAIN!C2755</f>
        <v/>
      </c>
    </row>
    <row r="2751" spans="1:12" x14ac:dyDescent="0.3">
      <c r="A2751">
        <f>IF(J2751="0",0,IF(COUNTIF($J$2:J2751,J2751)=1,1,0))</f>
        <v>0</v>
      </c>
      <c r="B2751" s="12" t="e">
        <f>MID(MAIN!A2756,K2751,2)</f>
        <v>#VALUE!</v>
      </c>
      <c r="C2751" s="12" t="e">
        <f t="shared" si="168"/>
        <v>#VALUE!</v>
      </c>
      <c r="D2751" s="12" t="e">
        <f>MID(MAIN!A2756,K2751+2,2)</f>
        <v>#VALUE!</v>
      </c>
      <c r="E2751" s="12" t="e">
        <f>MID(MAIN!A2756,K2751+4,2)</f>
        <v>#VALUE!</v>
      </c>
      <c r="F2751" s="2" t="e">
        <f t="shared" si="169"/>
        <v>#VALUE!</v>
      </c>
      <c r="G2751" s="13" t="e">
        <f t="shared" si="170"/>
        <v>#VALUE!</v>
      </c>
      <c r="J2751" t="str">
        <f>MAIN!A2756&amp;"B"</f>
        <v>B</v>
      </c>
      <c r="K2751" s="12" t="e">
        <f t="shared" si="171"/>
        <v>#VALUE!</v>
      </c>
      <c r="L2751" t="str">
        <f>MAIN!C2756</f>
        <v/>
      </c>
    </row>
    <row r="2752" spans="1:12" x14ac:dyDescent="0.3">
      <c r="A2752">
        <f>IF(J2752="0",0,IF(COUNTIF($J$2:J2752,J2752)=1,1,0))</f>
        <v>0</v>
      </c>
      <c r="B2752" s="12" t="e">
        <f>MID(MAIN!A2757,K2752,2)</f>
        <v>#VALUE!</v>
      </c>
      <c r="C2752" s="12" t="e">
        <f t="shared" si="168"/>
        <v>#VALUE!</v>
      </c>
      <c r="D2752" s="12" t="e">
        <f>MID(MAIN!A2757,K2752+2,2)</f>
        <v>#VALUE!</v>
      </c>
      <c r="E2752" s="12" t="e">
        <f>MID(MAIN!A2757,K2752+4,2)</f>
        <v>#VALUE!</v>
      </c>
      <c r="F2752" s="2" t="e">
        <f t="shared" si="169"/>
        <v>#VALUE!</v>
      </c>
      <c r="G2752" s="13" t="e">
        <f t="shared" si="170"/>
        <v>#VALUE!</v>
      </c>
      <c r="J2752" t="str">
        <f>MAIN!A2757&amp;"B"</f>
        <v>B</v>
      </c>
      <c r="K2752" s="12" t="e">
        <f t="shared" si="171"/>
        <v>#VALUE!</v>
      </c>
      <c r="L2752" t="str">
        <f>MAIN!C2757</f>
        <v/>
      </c>
    </row>
    <row r="2753" spans="1:12" x14ac:dyDescent="0.3">
      <c r="A2753">
        <f>IF(J2753="0",0,IF(COUNTIF($J$2:J2753,J2753)=1,1,0))</f>
        <v>0</v>
      </c>
      <c r="B2753" s="12" t="e">
        <f>MID(MAIN!A2758,K2753,2)</f>
        <v>#VALUE!</v>
      </c>
      <c r="C2753" s="12" t="e">
        <f t="shared" si="168"/>
        <v>#VALUE!</v>
      </c>
      <c r="D2753" s="12" t="e">
        <f>MID(MAIN!A2758,K2753+2,2)</f>
        <v>#VALUE!</v>
      </c>
      <c r="E2753" s="12" t="e">
        <f>MID(MAIN!A2758,K2753+4,2)</f>
        <v>#VALUE!</v>
      </c>
      <c r="F2753" s="2" t="e">
        <f t="shared" si="169"/>
        <v>#VALUE!</v>
      </c>
      <c r="G2753" s="13" t="e">
        <f t="shared" si="170"/>
        <v>#VALUE!</v>
      </c>
      <c r="J2753" t="str">
        <f>MAIN!A2758&amp;"B"</f>
        <v>B</v>
      </c>
      <c r="K2753" s="12" t="e">
        <f t="shared" si="171"/>
        <v>#VALUE!</v>
      </c>
      <c r="L2753" t="str">
        <f>MAIN!C2758</f>
        <v/>
      </c>
    </row>
    <row r="2754" spans="1:12" x14ac:dyDescent="0.3">
      <c r="A2754">
        <f>IF(J2754="0",0,IF(COUNTIF($J$2:J2754,J2754)=1,1,0))</f>
        <v>0</v>
      </c>
      <c r="B2754" s="12" t="e">
        <f>MID(MAIN!A2759,K2754,2)</f>
        <v>#VALUE!</v>
      </c>
      <c r="C2754" s="12" t="e">
        <f t="shared" si="168"/>
        <v>#VALUE!</v>
      </c>
      <c r="D2754" s="12" t="e">
        <f>MID(MAIN!A2759,K2754+2,2)</f>
        <v>#VALUE!</v>
      </c>
      <c r="E2754" s="12" t="e">
        <f>MID(MAIN!A2759,K2754+4,2)</f>
        <v>#VALUE!</v>
      </c>
      <c r="F2754" s="2" t="e">
        <f t="shared" si="169"/>
        <v>#VALUE!</v>
      </c>
      <c r="G2754" s="13" t="e">
        <f t="shared" si="170"/>
        <v>#VALUE!</v>
      </c>
      <c r="J2754" t="str">
        <f>MAIN!A2759&amp;"B"</f>
        <v>B</v>
      </c>
      <c r="K2754" s="12" t="e">
        <f t="shared" si="171"/>
        <v>#VALUE!</v>
      </c>
      <c r="L2754" t="str">
        <f>MAIN!C2759</f>
        <v/>
      </c>
    </row>
    <row r="2755" spans="1:12" x14ac:dyDescent="0.3">
      <c r="A2755">
        <f>IF(J2755="0",0,IF(COUNTIF($J$2:J2755,J2755)=1,1,0))</f>
        <v>0</v>
      </c>
      <c r="B2755" s="12" t="e">
        <f>MID(MAIN!A2760,K2755,2)</f>
        <v>#VALUE!</v>
      </c>
      <c r="C2755" s="12" t="e">
        <f t="shared" ref="C2755:C2818" si="172">"20"&amp;B2755</f>
        <v>#VALUE!</v>
      </c>
      <c r="D2755" s="12" t="e">
        <f>MID(MAIN!A2760,K2755+2,2)</f>
        <v>#VALUE!</v>
      </c>
      <c r="E2755" s="12" t="e">
        <f>MID(MAIN!A2760,K2755+4,2)</f>
        <v>#VALUE!</v>
      </c>
      <c r="F2755" s="2" t="e">
        <f t="shared" ref="F2755:F2818" si="173">C2755&amp;"/"&amp;D2755&amp;"/"&amp;E2755</f>
        <v>#VALUE!</v>
      </c>
      <c r="G2755" s="13" t="e">
        <f t="shared" ref="G2755:G2818" si="174">DATEVALUE(F2755)</f>
        <v>#VALUE!</v>
      </c>
      <c r="J2755" t="str">
        <f>MAIN!A2760&amp;"B"</f>
        <v>B</v>
      </c>
      <c r="K2755" s="12" t="e">
        <f t="shared" ref="K2755:K2818" si="175">FIND("172",J2755,30)+2</f>
        <v>#VALUE!</v>
      </c>
      <c r="L2755" t="str">
        <f>MAIN!C2760</f>
        <v/>
      </c>
    </row>
    <row r="2756" spans="1:12" x14ac:dyDescent="0.3">
      <c r="A2756">
        <f>IF(J2756="0",0,IF(COUNTIF($J$2:J2756,J2756)=1,1,0))</f>
        <v>0</v>
      </c>
      <c r="B2756" s="12" t="e">
        <f>MID(MAIN!A2761,K2756,2)</f>
        <v>#VALUE!</v>
      </c>
      <c r="C2756" s="12" t="e">
        <f t="shared" si="172"/>
        <v>#VALUE!</v>
      </c>
      <c r="D2756" s="12" t="e">
        <f>MID(MAIN!A2761,K2756+2,2)</f>
        <v>#VALUE!</v>
      </c>
      <c r="E2756" s="12" t="e">
        <f>MID(MAIN!A2761,K2756+4,2)</f>
        <v>#VALUE!</v>
      </c>
      <c r="F2756" s="2" t="e">
        <f t="shared" si="173"/>
        <v>#VALUE!</v>
      </c>
      <c r="G2756" s="13" t="e">
        <f t="shared" si="174"/>
        <v>#VALUE!</v>
      </c>
      <c r="J2756" t="str">
        <f>MAIN!A2761&amp;"B"</f>
        <v>B</v>
      </c>
      <c r="K2756" s="12" t="e">
        <f t="shared" si="175"/>
        <v>#VALUE!</v>
      </c>
      <c r="L2756" t="str">
        <f>MAIN!C2761</f>
        <v/>
      </c>
    </row>
    <row r="2757" spans="1:12" x14ac:dyDescent="0.3">
      <c r="A2757">
        <f>IF(J2757="0",0,IF(COUNTIF($J$2:J2757,J2757)=1,1,0))</f>
        <v>0</v>
      </c>
      <c r="B2757" s="12" t="e">
        <f>MID(MAIN!A2762,K2757,2)</f>
        <v>#VALUE!</v>
      </c>
      <c r="C2757" s="12" t="e">
        <f t="shared" si="172"/>
        <v>#VALUE!</v>
      </c>
      <c r="D2757" s="12" t="e">
        <f>MID(MAIN!A2762,K2757+2,2)</f>
        <v>#VALUE!</v>
      </c>
      <c r="E2757" s="12" t="e">
        <f>MID(MAIN!A2762,K2757+4,2)</f>
        <v>#VALUE!</v>
      </c>
      <c r="F2757" s="2" t="e">
        <f t="shared" si="173"/>
        <v>#VALUE!</v>
      </c>
      <c r="G2757" s="13" t="e">
        <f t="shared" si="174"/>
        <v>#VALUE!</v>
      </c>
      <c r="J2757" t="str">
        <f>MAIN!A2762&amp;"B"</f>
        <v>B</v>
      </c>
      <c r="K2757" s="12" t="e">
        <f t="shared" si="175"/>
        <v>#VALUE!</v>
      </c>
      <c r="L2757" t="str">
        <f>MAIN!C2762</f>
        <v/>
      </c>
    </row>
    <row r="2758" spans="1:12" x14ac:dyDescent="0.3">
      <c r="A2758">
        <f>IF(J2758="0",0,IF(COUNTIF($J$2:J2758,J2758)=1,1,0))</f>
        <v>0</v>
      </c>
      <c r="B2758" s="12" t="e">
        <f>MID(MAIN!A2763,K2758,2)</f>
        <v>#VALUE!</v>
      </c>
      <c r="C2758" s="12" t="e">
        <f t="shared" si="172"/>
        <v>#VALUE!</v>
      </c>
      <c r="D2758" s="12" t="e">
        <f>MID(MAIN!A2763,K2758+2,2)</f>
        <v>#VALUE!</v>
      </c>
      <c r="E2758" s="12" t="e">
        <f>MID(MAIN!A2763,K2758+4,2)</f>
        <v>#VALUE!</v>
      </c>
      <c r="F2758" s="2" t="e">
        <f t="shared" si="173"/>
        <v>#VALUE!</v>
      </c>
      <c r="G2758" s="13" t="e">
        <f t="shared" si="174"/>
        <v>#VALUE!</v>
      </c>
      <c r="J2758" t="str">
        <f>MAIN!A2763&amp;"B"</f>
        <v>B</v>
      </c>
      <c r="K2758" s="12" t="e">
        <f t="shared" si="175"/>
        <v>#VALUE!</v>
      </c>
      <c r="L2758" t="str">
        <f>MAIN!C2763</f>
        <v/>
      </c>
    </row>
    <row r="2759" spans="1:12" x14ac:dyDescent="0.3">
      <c r="A2759">
        <f>IF(J2759="0",0,IF(COUNTIF($J$2:J2759,J2759)=1,1,0))</f>
        <v>0</v>
      </c>
      <c r="B2759" s="12" t="e">
        <f>MID(MAIN!A2764,K2759,2)</f>
        <v>#VALUE!</v>
      </c>
      <c r="C2759" s="12" t="e">
        <f t="shared" si="172"/>
        <v>#VALUE!</v>
      </c>
      <c r="D2759" s="12" t="e">
        <f>MID(MAIN!A2764,K2759+2,2)</f>
        <v>#VALUE!</v>
      </c>
      <c r="E2759" s="12" t="e">
        <f>MID(MAIN!A2764,K2759+4,2)</f>
        <v>#VALUE!</v>
      </c>
      <c r="F2759" s="2" t="e">
        <f t="shared" si="173"/>
        <v>#VALUE!</v>
      </c>
      <c r="G2759" s="13" t="e">
        <f t="shared" si="174"/>
        <v>#VALUE!</v>
      </c>
      <c r="J2759" t="str">
        <f>MAIN!A2764&amp;"B"</f>
        <v>B</v>
      </c>
      <c r="K2759" s="12" t="e">
        <f t="shared" si="175"/>
        <v>#VALUE!</v>
      </c>
      <c r="L2759" t="str">
        <f>MAIN!C2764</f>
        <v/>
      </c>
    </row>
    <row r="2760" spans="1:12" x14ac:dyDescent="0.3">
      <c r="A2760">
        <f>IF(J2760="0",0,IF(COUNTIF($J$2:J2760,J2760)=1,1,0))</f>
        <v>0</v>
      </c>
      <c r="B2760" s="12" t="e">
        <f>MID(MAIN!A2765,K2760,2)</f>
        <v>#VALUE!</v>
      </c>
      <c r="C2760" s="12" t="e">
        <f t="shared" si="172"/>
        <v>#VALUE!</v>
      </c>
      <c r="D2760" s="12" t="e">
        <f>MID(MAIN!A2765,K2760+2,2)</f>
        <v>#VALUE!</v>
      </c>
      <c r="E2760" s="12" t="e">
        <f>MID(MAIN!A2765,K2760+4,2)</f>
        <v>#VALUE!</v>
      </c>
      <c r="F2760" s="2" t="e">
        <f t="shared" si="173"/>
        <v>#VALUE!</v>
      </c>
      <c r="G2760" s="13" t="e">
        <f t="shared" si="174"/>
        <v>#VALUE!</v>
      </c>
      <c r="J2760" t="str">
        <f>MAIN!A2765&amp;"B"</f>
        <v>B</v>
      </c>
      <c r="K2760" s="12" t="e">
        <f t="shared" si="175"/>
        <v>#VALUE!</v>
      </c>
      <c r="L2760" t="str">
        <f>MAIN!C2765</f>
        <v/>
      </c>
    </row>
    <row r="2761" spans="1:12" x14ac:dyDescent="0.3">
      <c r="A2761">
        <f>IF(J2761="0",0,IF(COUNTIF($J$2:J2761,J2761)=1,1,0))</f>
        <v>0</v>
      </c>
      <c r="B2761" s="12" t="e">
        <f>MID(MAIN!A2766,K2761,2)</f>
        <v>#VALUE!</v>
      </c>
      <c r="C2761" s="12" t="e">
        <f t="shared" si="172"/>
        <v>#VALUE!</v>
      </c>
      <c r="D2761" s="12" t="e">
        <f>MID(MAIN!A2766,K2761+2,2)</f>
        <v>#VALUE!</v>
      </c>
      <c r="E2761" s="12" t="e">
        <f>MID(MAIN!A2766,K2761+4,2)</f>
        <v>#VALUE!</v>
      </c>
      <c r="F2761" s="2" t="e">
        <f t="shared" si="173"/>
        <v>#VALUE!</v>
      </c>
      <c r="G2761" s="13" t="e">
        <f t="shared" si="174"/>
        <v>#VALUE!</v>
      </c>
      <c r="J2761" t="str">
        <f>MAIN!A2766&amp;"B"</f>
        <v>B</v>
      </c>
      <c r="K2761" s="12" t="e">
        <f t="shared" si="175"/>
        <v>#VALUE!</v>
      </c>
      <c r="L2761" t="str">
        <f>MAIN!C2766</f>
        <v/>
      </c>
    </row>
    <row r="2762" spans="1:12" x14ac:dyDescent="0.3">
      <c r="A2762">
        <f>IF(J2762="0",0,IF(COUNTIF($J$2:J2762,J2762)=1,1,0))</f>
        <v>0</v>
      </c>
      <c r="B2762" s="12" t="e">
        <f>MID(MAIN!A2767,K2762,2)</f>
        <v>#VALUE!</v>
      </c>
      <c r="C2762" s="12" t="e">
        <f t="shared" si="172"/>
        <v>#VALUE!</v>
      </c>
      <c r="D2762" s="12" t="e">
        <f>MID(MAIN!A2767,K2762+2,2)</f>
        <v>#VALUE!</v>
      </c>
      <c r="E2762" s="12" t="e">
        <f>MID(MAIN!A2767,K2762+4,2)</f>
        <v>#VALUE!</v>
      </c>
      <c r="F2762" s="2" t="e">
        <f t="shared" si="173"/>
        <v>#VALUE!</v>
      </c>
      <c r="G2762" s="13" t="e">
        <f t="shared" si="174"/>
        <v>#VALUE!</v>
      </c>
      <c r="J2762" t="str">
        <f>MAIN!A2767&amp;"B"</f>
        <v>B</v>
      </c>
      <c r="K2762" s="12" t="e">
        <f t="shared" si="175"/>
        <v>#VALUE!</v>
      </c>
      <c r="L2762" t="str">
        <f>MAIN!C2767</f>
        <v/>
      </c>
    </row>
    <row r="2763" spans="1:12" x14ac:dyDescent="0.3">
      <c r="A2763">
        <f>IF(J2763="0",0,IF(COUNTIF($J$2:J2763,J2763)=1,1,0))</f>
        <v>0</v>
      </c>
      <c r="B2763" s="12" t="e">
        <f>MID(MAIN!A2768,K2763,2)</f>
        <v>#VALUE!</v>
      </c>
      <c r="C2763" s="12" t="e">
        <f t="shared" si="172"/>
        <v>#VALUE!</v>
      </c>
      <c r="D2763" s="12" t="e">
        <f>MID(MAIN!A2768,K2763+2,2)</f>
        <v>#VALUE!</v>
      </c>
      <c r="E2763" s="12" t="e">
        <f>MID(MAIN!A2768,K2763+4,2)</f>
        <v>#VALUE!</v>
      </c>
      <c r="F2763" s="2" t="e">
        <f t="shared" si="173"/>
        <v>#VALUE!</v>
      </c>
      <c r="G2763" s="13" t="e">
        <f t="shared" si="174"/>
        <v>#VALUE!</v>
      </c>
      <c r="J2763" t="str">
        <f>MAIN!A2768&amp;"B"</f>
        <v>B</v>
      </c>
      <c r="K2763" s="12" t="e">
        <f t="shared" si="175"/>
        <v>#VALUE!</v>
      </c>
      <c r="L2763" t="str">
        <f>MAIN!C2768</f>
        <v/>
      </c>
    </row>
    <row r="2764" spans="1:12" x14ac:dyDescent="0.3">
      <c r="A2764">
        <f>IF(J2764="0",0,IF(COUNTIF($J$2:J2764,J2764)=1,1,0))</f>
        <v>0</v>
      </c>
      <c r="B2764" s="12" t="e">
        <f>MID(MAIN!A2769,K2764,2)</f>
        <v>#VALUE!</v>
      </c>
      <c r="C2764" s="12" t="e">
        <f t="shared" si="172"/>
        <v>#VALUE!</v>
      </c>
      <c r="D2764" s="12" t="e">
        <f>MID(MAIN!A2769,K2764+2,2)</f>
        <v>#VALUE!</v>
      </c>
      <c r="E2764" s="12" t="e">
        <f>MID(MAIN!A2769,K2764+4,2)</f>
        <v>#VALUE!</v>
      </c>
      <c r="F2764" s="2" t="e">
        <f t="shared" si="173"/>
        <v>#VALUE!</v>
      </c>
      <c r="G2764" s="13" t="e">
        <f t="shared" si="174"/>
        <v>#VALUE!</v>
      </c>
      <c r="J2764" t="str">
        <f>MAIN!A2769&amp;"B"</f>
        <v>B</v>
      </c>
      <c r="K2764" s="12" t="e">
        <f t="shared" si="175"/>
        <v>#VALUE!</v>
      </c>
      <c r="L2764" t="str">
        <f>MAIN!C2769</f>
        <v/>
      </c>
    </row>
    <row r="2765" spans="1:12" x14ac:dyDescent="0.3">
      <c r="A2765">
        <f>IF(J2765="0",0,IF(COUNTIF($J$2:J2765,J2765)=1,1,0))</f>
        <v>0</v>
      </c>
      <c r="B2765" s="12" t="e">
        <f>MID(MAIN!A2770,K2765,2)</f>
        <v>#VALUE!</v>
      </c>
      <c r="C2765" s="12" t="e">
        <f t="shared" si="172"/>
        <v>#VALUE!</v>
      </c>
      <c r="D2765" s="12" t="e">
        <f>MID(MAIN!A2770,K2765+2,2)</f>
        <v>#VALUE!</v>
      </c>
      <c r="E2765" s="12" t="e">
        <f>MID(MAIN!A2770,K2765+4,2)</f>
        <v>#VALUE!</v>
      </c>
      <c r="F2765" s="2" t="e">
        <f t="shared" si="173"/>
        <v>#VALUE!</v>
      </c>
      <c r="G2765" s="13" t="e">
        <f t="shared" si="174"/>
        <v>#VALUE!</v>
      </c>
      <c r="J2765" t="str">
        <f>MAIN!A2770&amp;"B"</f>
        <v>B</v>
      </c>
      <c r="K2765" s="12" t="e">
        <f t="shared" si="175"/>
        <v>#VALUE!</v>
      </c>
      <c r="L2765" t="str">
        <f>MAIN!C2770</f>
        <v/>
      </c>
    </row>
    <row r="2766" spans="1:12" x14ac:dyDescent="0.3">
      <c r="A2766">
        <f>IF(J2766="0",0,IF(COUNTIF($J$2:J2766,J2766)=1,1,0))</f>
        <v>0</v>
      </c>
      <c r="B2766" s="12" t="e">
        <f>MID(MAIN!A2771,K2766,2)</f>
        <v>#VALUE!</v>
      </c>
      <c r="C2766" s="12" t="e">
        <f t="shared" si="172"/>
        <v>#VALUE!</v>
      </c>
      <c r="D2766" s="12" t="e">
        <f>MID(MAIN!A2771,K2766+2,2)</f>
        <v>#VALUE!</v>
      </c>
      <c r="E2766" s="12" t="e">
        <f>MID(MAIN!A2771,K2766+4,2)</f>
        <v>#VALUE!</v>
      </c>
      <c r="F2766" s="2" t="e">
        <f t="shared" si="173"/>
        <v>#VALUE!</v>
      </c>
      <c r="G2766" s="13" t="e">
        <f t="shared" si="174"/>
        <v>#VALUE!</v>
      </c>
      <c r="J2766" t="str">
        <f>MAIN!A2771&amp;"B"</f>
        <v>B</v>
      </c>
      <c r="K2766" s="12" t="e">
        <f t="shared" si="175"/>
        <v>#VALUE!</v>
      </c>
      <c r="L2766" t="str">
        <f>MAIN!C2771</f>
        <v/>
      </c>
    </row>
    <row r="2767" spans="1:12" x14ac:dyDescent="0.3">
      <c r="A2767">
        <f>IF(J2767="0",0,IF(COUNTIF($J$2:J2767,J2767)=1,1,0))</f>
        <v>0</v>
      </c>
      <c r="B2767" s="12" t="e">
        <f>MID(MAIN!A2772,K2767,2)</f>
        <v>#VALUE!</v>
      </c>
      <c r="C2767" s="12" t="e">
        <f t="shared" si="172"/>
        <v>#VALUE!</v>
      </c>
      <c r="D2767" s="12" t="e">
        <f>MID(MAIN!A2772,K2767+2,2)</f>
        <v>#VALUE!</v>
      </c>
      <c r="E2767" s="12" t="e">
        <f>MID(MAIN!A2772,K2767+4,2)</f>
        <v>#VALUE!</v>
      </c>
      <c r="F2767" s="2" t="e">
        <f t="shared" si="173"/>
        <v>#VALUE!</v>
      </c>
      <c r="G2767" s="13" t="e">
        <f t="shared" si="174"/>
        <v>#VALUE!</v>
      </c>
      <c r="J2767" t="str">
        <f>MAIN!A2772&amp;"B"</f>
        <v>B</v>
      </c>
      <c r="K2767" s="12" t="e">
        <f t="shared" si="175"/>
        <v>#VALUE!</v>
      </c>
      <c r="L2767" t="str">
        <f>MAIN!C2772</f>
        <v/>
      </c>
    </row>
    <row r="2768" spans="1:12" x14ac:dyDescent="0.3">
      <c r="A2768">
        <f>IF(J2768="0",0,IF(COUNTIF($J$2:J2768,J2768)=1,1,0))</f>
        <v>0</v>
      </c>
      <c r="B2768" s="12" t="e">
        <f>MID(MAIN!A2773,K2768,2)</f>
        <v>#VALUE!</v>
      </c>
      <c r="C2768" s="12" t="e">
        <f t="shared" si="172"/>
        <v>#VALUE!</v>
      </c>
      <c r="D2768" s="12" t="e">
        <f>MID(MAIN!A2773,K2768+2,2)</f>
        <v>#VALUE!</v>
      </c>
      <c r="E2768" s="12" t="e">
        <f>MID(MAIN!A2773,K2768+4,2)</f>
        <v>#VALUE!</v>
      </c>
      <c r="F2768" s="2" t="e">
        <f t="shared" si="173"/>
        <v>#VALUE!</v>
      </c>
      <c r="G2768" s="13" t="e">
        <f t="shared" si="174"/>
        <v>#VALUE!</v>
      </c>
      <c r="J2768" t="str">
        <f>MAIN!A2773&amp;"B"</f>
        <v>B</v>
      </c>
      <c r="K2768" s="12" t="e">
        <f t="shared" si="175"/>
        <v>#VALUE!</v>
      </c>
      <c r="L2768" t="str">
        <f>MAIN!C2773</f>
        <v/>
      </c>
    </row>
    <row r="2769" spans="1:12" x14ac:dyDescent="0.3">
      <c r="A2769">
        <f>IF(J2769="0",0,IF(COUNTIF($J$2:J2769,J2769)=1,1,0))</f>
        <v>0</v>
      </c>
      <c r="B2769" s="12" t="e">
        <f>MID(MAIN!A2774,K2769,2)</f>
        <v>#VALUE!</v>
      </c>
      <c r="C2769" s="12" t="e">
        <f t="shared" si="172"/>
        <v>#VALUE!</v>
      </c>
      <c r="D2769" s="12" t="e">
        <f>MID(MAIN!A2774,K2769+2,2)</f>
        <v>#VALUE!</v>
      </c>
      <c r="E2769" s="12" t="e">
        <f>MID(MAIN!A2774,K2769+4,2)</f>
        <v>#VALUE!</v>
      </c>
      <c r="F2769" s="2" t="e">
        <f t="shared" si="173"/>
        <v>#VALUE!</v>
      </c>
      <c r="G2769" s="13" t="e">
        <f t="shared" si="174"/>
        <v>#VALUE!</v>
      </c>
      <c r="J2769" t="str">
        <f>MAIN!A2774&amp;"B"</f>
        <v>B</v>
      </c>
      <c r="K2769" s="12" t="e">
        <f t="shared" si="175"/>
        <v>#VALUE!</v>
      </c>
      <c r="L2769" t="str">
        <f>MAIN!C2774</f>
        <v/>
      </c>
    </row>
    <row r="2770" spans="1:12" x14ac:dyDescent="0.3">
      <c r="A2770">
        <f>IF(J2770="0",0,IF(COUNTIF($J$2:J2770,J2770)=1,1,0))</f>
        <v>0</v>
      </c>
      <c r="B2770" s="12" t="e">
        <f>MID(MAIN!A2775,K2770,2)</f>
        <v>#VALUE!</v>
      </c>
      <c r="C2770" s="12" t="e">
        <f t="shared" si="172"/>
        <v>#VALUE!</v>
      </c>
      <c r="D2770" s="12" t="e">
        <f>MID(MAIN!A2775,K2770+2,2)</f>
        <v>#VALUE!</v>
      </c>
      <c r="E2770" s="12" t="e">
        <f>MID(MAIN!A2775,K2770+4,2)</f>
        <v>#VALUE!</v>
      </c>
      <c r="F2770" s="2" t="e">
        <f t="shared" si="173"/>
        <v>#VALUE!</v>
      </c>
      <c r="G2770" s="13" t="e">
        <f t="shared" si="174"/>
        <v>#VALUE!</v>
      </c>
      <c r="J2770" t="str">
        <f>MAIN!A2775&amp;"B"</f>
        <v>B</v>
      </c>
      <c r="K2770" s="12" t="e">
        <f t="shared" si="175"/>
        <v>#VALUE!</v>
      </c>
      <c r="L2770" t="str">
        <f>MAIN!C2775</f>
        <v/>
      </c>
    </row>
    <row r="2771" spans="1:12" x14ac:dyDescent="0.3">
      <c r="A2771">
        <f>IF(J2771="0",0,IF(COUNTIF($J$2:J2771,J2771)=1,1,0))</f>
        <v>0</v>
      </c>
      <c r="B2771" s="12" t="e">
        <f>MID(MAIN!A2776,K2771,2)</f>
        <v>#VALUE!</v>
      </c>
      <c r="C2771" s="12" t="e">
        <f t="shared" si="172"/>
        <v>#VALUE!</v>
      </c>
      <c r="D2771" s="12" t="e">
        <f>MID(MAIN!A2776,K2771+2,2)</f>
        <v>#VALUE!</v>
      </c>
      <c r="E2771" s="12" t="e">
        <f>MID(MAIN!A2776,K2771+4,2)</f>
        <v>#VALUE!</v>
      </c>
      <c r="F2771" s="2" t="e">
        <f t="shared" si="173"/>
        <v>#VALUE!</v>
      </c>
      <c r="G2771" s="13" t="e">
        <f t="shared" si="174"/>
        <v>#VALUE!</v>
      </c>
      <c r="J2771" t="str">
        <f>MAIN!A2776&amp;"B"</f>
        <v>B</v>
      </c>
      <c r="K2771" s="12" t="e">
        <f t="shared" si="175"/>
        <v>#VALUE!</v>
      </c>
      <c r="L2771" t="str">
        <f>MAIN!C2776</f>
        <v/>
      </c>
    </row>
    <row r="2772" spans="1:12" x14ac:dyDescent="0.3">
      <c r="A2772">
        <f>IF(J2772="0",0,IF(COUNTIF($J$2:J2772,J2772)=1,1,0))</f>
        <v>0</v>
      </c>
      <c r="B2772" s="12" t="e">
        <f>MID(MAIN!A2777,K2772,2)</f>
        <v>#VALUE!</v>
      </c>
      <c r="C2772" s="12" t="e">
        <f t="shared" si="172"/>
        <v>#VALUE!</v>
      </c>
      <c r="D2772" s="12" t="e">
        <f>MID(MAIN!A2777,K2772+2,2)</f>
        <v>#VALUE!</v>
      </c>
      <c r="E2772" s="12" t="e">
        <f>MID(MAIN!A2777,K2772+4,2)</f>
        <v>#VALUE!</v>
      </c>
      <c r="F2772" s="2" t="e">
        <f t="shared" si="173"/>
        <v>#VALUE!</v>
      </c>
      <c r="G2772" s="13" t="e">
        <f t="shared" si="174"/>
        <v>#VALUE!</v>
      </c>
      <c r="J2772" t="str">
        <f>MAIN!A2777&amp;"B"</f>
        <v>B</v>
      </c>
      <c r="K2772" s="12" t="e">
        <f t="shared" si="175"/>
        <v>#VALUE!</v>
      </c>
      <c r="L2772" t="str">
        <f>MAIN!C2777</f>
        <v/>
      </c>
    </row>
    <row r="2773" spans="1:12" x14ac:dyDescent="0.3">
      <c r="A2773">
        <f>IF(J2773="0",0,IF(COUNTIF($J$2:J2773,J2773)=1,1,0))</f>
        <v>0</v>
      </c>
      <c r="B2773" s="12" t="e">
        <f>MID(MAIN!A2778,K2773,2)</f>
        <v>#VALUE!</v>
      </c>
      <c r="C2773" s="12" t="e">
        <f t="shared" si="172"/>
        <v>#VALUE!</v>
      </c>
      <c r="D2773" s="12" t="e">
        <f>MID(MAIN!A2778,K2773+2,2)</f>
        <v>#VALUE!</v>
      </c>
      <c r="E2773" s="12" t="e">
        <f>MID(MAIN!A2778,K2773+4,2)</f>
        <v>#VALUE!</v>
      </c>
      <c r="F2773" s="2" t="e">
        <f t="shared" si="173"/>
        <v>#VALUE!</v>
      </c>
      <c r="G2773" s="13" t="e">
        <f t="shared" si="174"/>
        <v>#VALUE!</v>
      </c>
      <c r="J2773" t="str">
        <f>MAIN!A2778&amp;"B"</f>
        <v>B</v>
      </c>
      <c r="K2773" s="12" t="e">
        <f t="shared" si="175"/>
        <v>#VALUE!</v>
      </c>
      <c r="L2773" t="str">
        <f>MAIN!C2778</f>
        <v/>
      </c>
    </row>
    <row r="2774" spans="1:12" x14ac:dyDescent="0.3">
      <c r="A2774">
        <f>IF(J2774="0",0,IF(COUNTIF($J$2:J2774,J2774)=1,1,0))</f>
        <v>0</v>
      </c>
      <c r="B2774" s="12" t="e">
        <f>MID(MAIN!A2779,K2774,2)</f>
        <v>#VALUE!</v>
      </c>
      <c r="C2774" s="12" t="e">
        <f t="shared" si="172"/>
        <v>#VALUE!</v>
      </c>
      <c r="D2774" s="12" t="e">
        <f>MID(MAIN!A2779,K2774+2,2)</f>
        <v>#VALUE!</v>
      </c>
      <c r="E2774" s="12" t="e">
        <f>MID(MAIN!A2779,K2774+4,2)</f>
        <v>#VALUE!</v>
      </c>
      <c r="F2774" s="2" t="e">
        <f t="shared" si="173"/>
        <v>#VALUE!</v>
      </c>
      <c r="G2774" s="13" t="e">
        <f t="shared" si="174"/>
        <v>#VALUE!</v>
      </c>
      <c r="J2774" t="str">
        <f>MAIN!A2779&amp;"B"</f>
        <v>B</v>
      </c>
      <c r="K2774" s="12" t="e">
        <f t="shared" si="175"/>
        <v>#VALUE!</v>
      </c>
      <c r="L2774" t="str">
        <f>MAIN!C2779</f>
        <v/>
      </c>
    </row>
    <row r="2775" spans="1:12" x14ac:dyDescent="0.3">
      <c r="A2775">
        <f>IF(J2775="0",0,IF(COUNTIF($J$2:J2775,J2775)=1,1,0))</f>
        <v>0</v>
      </c>
      <c r="B2775" s="12" t="e">
        <f>MID(MAIN!A2780,K2775,2)</f>
        <v>#VALUE!</v>
      </c>
      <c r="C2775" s="12" t="e">
        <f t="shared" si="172"/>
        <v>#VALUE!</v>
      </c>
      <c r="D2775" s="12" t="e">
        <f>MID(MAIN!A2780,K2775+2,2)</f>
        <v>#VALUE!</v>
      </c>
      <c r="E2775" s="12" t="e">
        <f>MID(MAIN!A2780,K2775+4,2)</f>
        <v>#VALUE!</v>
      </c>
      <c r="F2775" s="2" t="e">
        <f t="shared" si="173"/>
        <v>#VALUE!</v>
      </c>
      <c r="G2775" s="13" t="e">
        <f t="shared" si="174"/>
        <v>#VALUE!</v>
      </c>
      <c r="J2775" t="str">
        <f>MAIN!A2780&amp;"B"</f>
        <v>B</v>
      </c>
      <c r="K2775" s="12" t="e">
        <f t="shared" si="175"/>
        <v>#VALUE!</v>
      </c>
      <c r="L2775" t="str">
        <f>MAIN!C2780</f>
        <v/>
      </c>
    </row>
    <row r="2776" spans="1:12" x14ac:dyDescent="0.3">
      <c r="A2776">
        <f>IF(J2776="0",0,IF(COUNTIF($J$2:J2776,J2776)=1,1,0))</f>
        <v>0</v>
      </c>
      <c r="B2776" s="12" t="e">
        <f>MID(MAIN!A2781,K2776,2)</f>
        <v>#VALUE!</v>
      </c>
      <c r="C2776" s="12" t="e">
        <f t="shared" si="172"/>
        <v>#VALUE!</v>
      </c>
      <c r="D2776" s="12" t="e">
        <f>MID(MAIN!A2781,K2776+2,2)</f>
        <v>#VALUE!</v>
      </c>
      <c r="E2776" s="12" t="e">
        <f>MID(MAIN!A2781,K2776+4,2)</f>
        <v>#VALUE!</v>
      </c>
      <c r="F2776" s="2" t="e">
        <f t="shared" si="173"/>
        <v>#VALUE!</v>
      </c>
      <c r="G2776" s="13" t="e">
        <f t="shared" si="174"/>
        <v>#VALUE!</v>
      </c>
      <c r="J2776" t="str">
        <f>MAIN!A2781&amp;"B"</f>
        <v>B</v>
      </c>
      <c r="K2776" s="12" t="e">
        <f t="shared" si="175"/>
        <v>#VALUE!</v>
      </c>
      <c r="L2776" t="str">
        <f>MAIN!C2781</f>
        <v/>
      </c>
    </row>
    <row r="2777" spans="1:12" x14ac:dyDescent="0.3">
      <c r="A2777">
        <f>IF(J2777="0",0,IF(COUNTIF($J$2:J2777,J2777)=1,1,0))</f>
        <v>0</v>
      </c>
      <c r="B2777" s="12" t="e">
        <f>MID(MAIN!A2782,K2777,2)</f>
        <v>#VALUE!</v>
      </c>
      <c r="C2777" s="12" t="e">
        <f t="shared" si="172"/>
        <v>#VALUE!</v>
      </c>
      <c r="D2777" s="12" t="e">
        <f>MID(MAIN!A2782,K2777+2,2)</f>
        <v>#VALUE!</v>
      </c>
      <c r="E2777" s="12" t="e">
        <f>MID(MAIN!A2782,K2777+4,2)</f>
        <v>#VALUE!</v>
      </c>
      <c r="F2777" s="2" t="e">
        <f t="shared" si="173"/>
        <v>#VALUE!</v>
      </c>
      <c r="G2777" s="13" t="e">
        <f t="shared" si="174"/>
        <v>#VALUE!</v>
      </c>
      <c r="J2777" t="str">
        <f>MAIN!A2782&amp;"B"</f>
        <v>B</v>
      </c>
      <c r="K2777" s="12" t="e">
        <f t="shared" si="175"/>
        <v>#VALUE!</v>
      </c>
      <c r="L2777" t="str">
        <f>MAIN!C2782</f>
        <v/>
      </c>
    </row>
    <row r="2778" spans="1:12" x14ac:dyDescent="0.3">
      <c r="A2778">
        <f>IF(J2778="0",0,IF(COUNTIF($J$2:J2778,J2778)=1,1,0))</f>
        <v>0</v>
      </c>
      <c r="B2778" s="12" t="e">
        <f>MID(MAIN!A2783,K2778,2)</f>
        <v>#VALUE!</v>
      </c>
      <c r="C2778" s="12" t="e">
        <f t="shared" si="172"/>
        <v>#VALUE!</v>
      </c>
      <c r="D2778" s="12" t="e">
        <f>MID(MAIN!A2783,K2778+2,2)</f>
        <v>#VALUE!</v>
      </c>
      <c r="E2778" s="12" t="e">
        <f>MID(MAIN!A2783,K2778+4,2)</f>
        <v>#VALUE!</v>
      </c>
      <c r="F2778" s="2" t="e">
        <f t="shared" si="173"/>
        <v>#VALUE!</v>
      </c>
      <c r="G2778" s="13" t="e">
        <f t="shared" si="174"/>
        <v>#VALUE!</v>
      </c>
      <c r="J2778" t="str">
        <f>MAIN!A2783&amp;"B"</f>
        <v>B</v>
      </c>
      <c r="K2778" s="12" t="e">
        <f t="shared" si="175"/>
        <v>#VALUE!</v>
      </c>
      <c r="L2778" t="str">
        <f>MAIN!C2783</f>
        <v/>
      </c>
    </row>
    <row r="2779" spans="1:12" x14ac:dyDescent="0.3">
      <c r="A2779">
        <f>IF(J2779="0",0,IF(COUNTIF($J$2:J2779,J2779)=1,1,0))</f>
        <v>0</v>
      </c>
      <c r="B2779" s="12" t="e">
        <f>MID(MAIN!A2784,K2779,2)</f>
        <v>#VALUE!</v>
      </c>
      <c r="C2779" s="12" t="e">
        <f t="shared" si="172"/>
        <v>#VALUE!</v>
      </c>
      <c r="D2779" s="12" t="e">
        <f>MID(MAIN!A2784,K2779+2,2)</f>
        <v>#VALUE!</v>
      </c>
      <c r="E2779" s="12" t="e">
        <f>MID(MAIN!A2784,K2779+4,2)</f>
        <v>#VALUE!</v>
      </c>
      <c r="F2779" s="2" t="e">
        <f t="shared" si="173"/>
        <v>#VALUE!</v>
      </c>
      <c r="G2779" s="13" t="e">
        <f t="shared" si="174"/>
        <v>#VALUE!</v>
      </c>
      <c r="J2779" t="str">
        <f>MAIN!A2784&amp;"B"</f>
        <v>B</v>
      </c>
      <c r="K2779" s="12" t="e">
        <f t="shared" si="175"/>
        <v>#VALUE!</v>
      </c>
      <c r="L2779" t="str">
        <f>MAIN!C2784</f>
        <v/>
      </c>
    </row>
    <row r="2780" spans="1:12" x14ac:dyDescent="0.3">
      <c r="A2780">
        <f>IF(J2780="0",0,IF(COUNTIF($J$2:J2780,J2780)=1,1,0))</f>
        <v>0</v>
      </c>
      <c r="B2780" s="12" t="e">
        <f>MID(MAIN!A2785,K2780,2)</f>
        <v>#VALUE!</v>
      </c>
      <c r="C2780" s="12" t="e">
        <f t="shared" si="172"/>
        <v>#VALUE!</v>
      </c>
      <c r="D2780" s="12" t="e">
        <f>MID(MAIN!A2785,K2780+2,2)</f>
        <v>#VALUE!</v>
      </c>
      <c r="E2780" s="12" t="e">
        <f>MID(MAIN!A2785,K2780+4,2)</f>
        <v>#VALUE!</v>
      </c>
      <c r="F2780" s="2" t="e">
        <f t="shared" si="173"/>
        <v>#VALUE!</v>
      </c>
      <c r="G2780" s="13" t="e">
        <f t="shared" si="174"/>
        <v>#VALUE!</v>
      </c>
      <c r="J2780" t="str">
        <f>MAIN!A2785&amp;"B"</f>
        <v>B</v>
      </c>
      <c r="K2780" s="12" t="e">
        <f t="shared" si="175"/>
        <v>#VALUE!</v>
      </c>
      <c r="L2780" t="str">
        <f>MAIN!C2785</f>
        <v/>
      </c>
    </row>
    <row r="2781" spans="1:12" x14ac:dyDescent="0.3">
      <c r="A2781">
        <f>IF(J2781="0",0,IF(COUNTIF($J$2:J2781,J2781)=1,1,0))</f>
        <v>0</v>
      </c>
      <c r="B2781" s="12" t="e">
        <f>MID(MAIN!A2786,K2781,2)</f>
        <v>#VALUE!</v>
      </c>
      <c r="C2781" s="12" t="e">
        <f t="shared" si="172"/>
        <v>#VALUE!</v>
      </c>
      <c r="D2781" s="12" t="e">
        <f>MID(MAIN!A2786,K2781+2,2)</f>
        <v>#VALUE!</v>
      </c>
      <c r="E2781" s="12" t="e">
        <f>MID(MAIN!A2786,K2781+4,2)</f>
        <v>#VALUE!</v>
      </c>
      <c r="F2781" s="2" t="e">
        <f t="shared" si="173"/>
        <v>#VALUE!</v>
      </c>
      <c r="G2781" s="13" t="e">
        <f t="shared" si="174"/>
        <v>#VALUE!</v>
      </c>
      <c r="J2781" t="str">
        <f>MAIN!A2786&amp;"B"</f>
        <v>B</v>
      </c>
      <c r="K2781" s="12" t="e">
        <f t="shared" si="175"/>
        <v>#VALUE!</v>
      </c>
      <c r="L2781" t="str">
        <f>MAIN!C2786</f>
        <v/>
      </c>
    </row>
    <row r="2782" spans="1:12" x14ac:dyDescent="0.3">
      <c r="A2782">
        <f>IF(J2782="0",0,IF(COUNTIF($J$2:J2782,J2782)=1,1,0))</f>
        <v>0</v>
      </c>
      <c r="B2782" s="12" t="e">
        <f>MID(MAIN!A2787,K2782,2)</f>
        <v>#VALUE!</v>
      </c>
      <c r="C2782" s="12" t="e">
        <f t="shared" si="172"/>
        <v>#VALUE!</v>
      </c>
      <c r="D2782" s="12" t="e">
        <f>MID(MAIN!A2787,K2782+2,2)</f>
        <v>#VALUE!</v>
      </c>
      <c r="E2782" s="12" t="e">
        <f>MID(MAIN!A2787,K2782+4,2)</f>
        <v>#VALUE!</v>
      </c>
      <c r="F2782" s="2" t="e">
        <f t="shared" si="173"/>
        <v>#VALUE!</v>
      </c>
      <c r="G2782" s="13" t="e">
        <f t="shared" si="174"/>
        <v>#VALUE!</v>
      </c>
      <c r="J2782" t="str">
        <f>MAIN!A2787&amp;"B"</f>
        <v>B</v>
      </c>
      <c r="K2782" s="12" t="e">
        <f t="shared" si="175"/>
        <v>#VALUE!</v>
      </c>
      <c r="L2782" t="str">
        <f>MAIN!C2787</f>
        <v/>
      </c>
    </row>
    <row r="2783" spans="1:12" x14ac:dyDescent="0.3">
      <c r="A2783">
        <f>IF(J2783="0",0,IF(COUNTIF($J$2:J2783,J2783)=1,1,0))</f>
        <v>0</v>
      </c>
      <c r="B2783" s="12" t="e">
        <f>MID(MAIN!A2788,K2783,2)</f>
        <v>#VALUE!</v>
      </c>
      <c r="C2783" s="12" t="e">
        <f t="shared" si="172"/>
        <v>#VALUE!</v>
      </c>
      <c r="D2783" s="12" t="e">
        <f>MID(MAIN!A2788,K2783+2,2)</f>
        <v>#VALUE!</v>
      </c>
      <c r="E2783" s="12" t="e">
        <f>MID(MAIN!A2788,K2783+4,2)</f>
        <v>#VALUE!</v>
      </c>
      <c r="F2783" s="2" t="e">
        <f t="shared" si="173"/>
        <v>#VALUE!</v>
      </c>
      <c r="G2783" s="13" t="e">
        <f t="shared" si="174"/>
        <v>#VALUE!</v>
      </c>
      <c r="J2783" t="str">
        <f>MAIN!A2788&amp;"B"</f>
        <v>B</v>
      </c>
      <c r="K2783" s="12" t="e">
        <f t="shared" si="175"/>
        <v>#VALUE!</v>
      </c>
      <c r="L2783" t="str">
        <f>MAIN!C2788</f>
        <v/>
      </c>
    </row>
    <row r="2784" spans="1:12" x14ac:dyDescent="0.3">
      <c r="A2784">
        <f>IF(J2784="0",0,IF(COUNTIF($J$2:J2784,J2784)=1,1,0))</f>
        <v>0</v>
      </c>
      <c r="B2784" s="12" t="e">
        <f>MID(MAIN!A2789,K2784,2)</f>
        <v>#VALUE!</v>
      </c>
      <c r="C2784" s="12" t="e">
        <f t="shared" si="172"/>
        <v>#VALUE!</v>
      </c>
      <c r="D2784" s="12" t="e">
        <f>MID(MAIN!A2789,K2784+2,2)</f>
        <v>#VALUE!</v>
      </c>
      <c r="E2784" s="12" t="e">
        <f>MID(MAIN!A2789,K2784+4,2)</f>
        <v>#VALUE!</v>
      </c>
      <c r="F2784" s="2" t="e">
        <f t="shared" si="173"/>
        <v>#VALUE!</v>
      </c>
      <c r="G2784" s="13" t="e">
        <f t="shared" si="174"/>
        <v>#VALUE!</v>
      </c>
      <c r="J2784" t="str">
        <f>MAIN!A2789&amp;"B"</f>
        <v>B</v>
      </c>
      <c r="K2784" s="12" t="e">
        <f t="shared" si="175"/>
        <v>#VALUE!</v>
      </c>
      <c r="L2784" t="str">
        <f>MAIN!C2789</f>
        <v/>
      </c>
    </row>
    <row r="2785" spans="1:12" x14ac:dyDescent="0.3">
      <c r="A2785">
        <f>IF(J2785="0",0,IF(COUNTIF($J$2:J2785,J2785)=1,1,0))</f>
        <v>0</v>
      </c>
      <c r="B2785" s="12" t="e">
        <f>MID(MAIN!A2790,K2785,2)</f>
        <v>#VALUE!</v>
      </c>
      <c r="C2785" s="12" t="e">
        <f t="shared" si="172"/>
        <v>#VALUE!</v>
      </c>
      <c r="D2785" s="12" t="e">
        <f>MID(MAIN!A2790,K2785+2,2)</f>
        <v>#VALUE!</v>
      </c>
      <c r="E2785" s="12" t="e">
        <f>MID(MAIN!A2790,K2785+4,2)</f>
        <v>#VALUE!</v>
      </c>
      <c r="F2785" s="2" t="e">
        <f t="shared" si="173"/>
        <v>#VALUE!</v>
      </c>
      <c r="G2785" s="13" t="e">
        <f t="shared" si="174"/>
        <v>#VALUE!</v>
      </c>
      <c r="J2785" t="str">
        <f>MAIN!A2790&amp;"B"</f>
        <v>B</v>
      </c>
      <c r="K2785" s="12" t="e">
        <f t="shared" si="175"/>
        <v>#VALUE!</v>
      </c>
      <c r="L2785" t="str">
        <f>MAIN!C2790</f>
        <v/>
      </c>
    </row>
    <row r="2786" spans="1:12" x14ac:dyDescent="0.3">
      <c r="A2786">
        <f>IF(J2786="0",0,IF(COUNTIF($J$2:J2786,J2786)=1,1,0))</f>
        <v>0</v>
      </c>
      <c r="B2786" s="12" t="e">
        <f>MID(MAIN!A2791,K2786,2)</f>
        <v>#VALUE!</v>
      </c>
      <c r="C2786" s="12" t="e">
        <f t="shared" si="172"/>
        <v>#VALUE!</v>
      </c>
      <c r="D2786" s="12" t="e">
        <f>MID(MAIN!A2791,K2786+2,2)</f>
        <v>#VALUE!</v>
      </c>
      <c r="E2786" s="12" t="e">
        <f>MID(MAIN!A2791,K2786+4,2)</f>
        <v>#VALUE!</v>
      </c>
      <c r="F2786" s="2" t="e">
        <f t="shared" si="173"/>
        <v>#VALUE!</v>
      </c>
      <c r="G2786" s="13" t="e">
        <f t="shared" si="174"/>
        <v>#VALUE!</v>
      </c>
      <c r="J2786" t="str">
        <f>MAIN!A2791&amp;"B"</f>
        <v>B</v>
      </c>
      <c r="K2786" s="12" t="e">
        <f t="shared" si="175"/>
        <v>#VALUE!</v>
      </c>
      <c r="L2786" t="str">
        <f>MAIN!C2791</f>
        <v/>
      </c>
    </row>
    <row r="2787" spans="1:12" x14ac:dyDescent="0.3">
      <c r="A2787">
        <f>IF(J2787="0",0,IF(COUNTIF($J$2:J2787,J2787)=1,1,0))</f>
        <v>0</v>
      </c>
      <c r="B2787" s="12" t="e">
        <f>MID(MAIN!A2792,K2787,2)</f>
        <v>#VALUE!</v>
      </c>
      <c r="C2787" s="12" t="e">
        <f t="shared" si="172"/>
        <v>#VALUE!</v>
      </c>
      <c r="D2787" s="12" t="e">
        <f>MID(MAIN!A2792,K2787+2,2)</f>
        <v>#VALUE!</v>
      </c>
      <c r="E2787" s="12" t="e">
        <f>MID(MAIN!A2792,K2787+4,2)</f>
        <v>#VALUE!</v>
      </c>
      <c r="F2787" s="2" t="e">
        <f t="shared" si="173"/>
        <v>#VALUE!</v>
      </c>
      <c r="G2787" s="13" t="e">
        <f t="shared" si="174"/>
        <v>#VALUE!</v>
      </c>
      <c r="J2787" t="str">
        <f>MAIN!A2792&amp;"B"</f>
        <v>B</v>
      </c>
      <c r="K2787" s="12" t="e">
        <f t="shared" si="175"/>
        <v>#VALUE!</v>
      </c>
      <c r="L2787" t="str">
        <f>MAIN!C2792</f>
        <v/>
      </c>
    </row>
    <row r="2788" spans="1:12" x14ac:dyDescent="0.3">
      <c r="A2788">
        <f>IF(J2788="0",0,IF(COUNTIF($J$2:J2788,J2788)=1,1,0))</f>
        <v>0</v>
      </c>
      <c r="B2788" s="12" t="e">
        <f>MID(MAIN!A2793,K2788,2)</f>
        <v>#VALUE!</v>
      </c>
      <c r="C2788" s="12" t="e">
        <f t="shared" si="172"/>
        <v>#VALUE!</v>
      </c>
      <c r="D2788" s="12" t="e">
        <f>MID(MAIN!A2793,K2788+2,2)</f>
        <v>#VALUE!</v>
      </c>
      <c r="E2788" s="12" t="e">
        <f>MID(MAIN!A2793,K2788+4,2)</f>
        <v>#VALUE!</v>
      </c>
      <c r="F2788" s="2" t="e">
        <f t="shared" si="173"/>
        <v>#VALUE!</v>
      </c>
      <c r="G2788" s="13" t="e">
        <f t="shared" si="174"/>
        <v>#VALUE!</v>
      </c>
      <c r="J2788" t="str">
        <f>MAIN!A2793&amp;"B"</f>
        <v>B</v>
      </c>
      <c r="K2788" s="12" t="e">
        <f t="shared" si="175"/>
        <v>#VALUE!</v>
      </c>
      <c r="L2788" t="str">
        <f>MAIN!C2793</f>
        <v/>
      </c>
    </row>
    <row r="2789" spans="1:12" x14ac:dyDescent="0.3">
      <c r="A2789">
        <f>IF(J2789="0",0,IF(COUNTIF($J$2:J2789,J2789)=1,1,0))</f>
        <v>0</v>
      </c>
      <c r="B2789" s="12" t="e">
        <f>MID(MAIN!A2794,K2789,2)</f>
        <v>#VALUE!</v>
      </c>
      <c r="C2789" s="12" t="e">
        <f t="shared" si="172"/>
        <v>#VALUE!</v>
      </c>
      <c r="D2789" s="12" t="e">
        <f>MID(MAIN!A2794,K2789+2,2)</f>
        <v>#VALUE!</v>
      </c>
      <c r="E2789" s="12" t="e">
        <f>MID(MAIN!A2794,K2789+4,2)</f>
        <v>#VALUE!</v>
      </c>
      <c r="F2789" s="2" t="e">
        <f t="shared" si="173"/>
        <v>#VALUE!</v>
      </c>
      <c r="G2789" s="13" t="e">
        <f t="shared" si="174"/>
        <v>#VALUE!</v>
      </c>
      <c r="J2789" t="str">
        <f>MAIN!A2794&amp;"B"</f>
        <v>B</v>
      </c>
      <c r="K2789" s="12" t="e">
        <f t="shared" si="175"/>
        <v>#VALUE!</v>
      </c>
      <c r="L2789" t="str">
        <f>MAIN!C2794</f>
        <v/>
      </c>
    </row>
    <row r="2790" spans="1:12" x14ac:dyDescent="0.3">
      <c r="A2790">
        <f>IF(J2790="0",0,IF(COUNTIF($J$2:J2790,J2790)=1,1,0))</f>
        <v>0</v>
      </c>
      <c r="B2790" s="12" t="e">
        <f>MID(MAIN!A2795,K2790,2)</f>
        <v>#VALUE!</v>
      </c>
      <c r="C2790" s="12" t="e">
        <f t="shared" si="172"/>
        <v>#VALUE!</v>
      </c>
      <c r="D2790" s="12" t="e">
        <f>MID(MAIN!A2795,K2790+2,2)</f>
        <v>#VALUE!</v>
      </c>
      <c r="E2790" s="12" t="e">
        <f>MID(MAIN!A2795,K2790+4,2)</f>
        <v>#VALUE!</v>
      </c>
      <c r="F2790" s="2" t="e">
        <f t="shared" si="173"/>
        <v>#VALUE!</v>
      </c>
      <c r="G2790" s="13" t="e">
        <f t="shared" si="174"/>
        <v>#VALUE!</v>
      </c>
      <c r="J2790" t="str">
        <f>MAIN!A2795&amp;"B"</f>
        <v>B</v>
      </c>
      <c r="K2790" s="12" t="e">
        <f t="shared" si="175"/>
        <v>#VALUE!</v>
      </c>
      <c r="L2790" t="str">
        <f>MAIN!C2795</f>
        <v/>
      </c>
    </row>
    <row r="2791" spans="1:12" x14ac:dyDescent="0.3">
      <c r="A2791">
        <f>IF(J2791="0",0,IF(COUNTIF($J$2:J2791,J2791)=1,1,0))</f>
        <v>0</v>
      </c>
      <c r="B2791" s="12" t="e">
        <f>MID(MAIN!A2796,K2791,2)</f>
        <v>#VALUE!</v>
      </c>
      <c r="C2791" s="12" t="e">
        <f t="shared" si="172"/>
        <v>#VALUE!</v>
      </c>
      <c r="D2791" s="12" t="e">
        <f>MID(MAIN!A2796,K2791+2,2)</f>
        <v>#VALUE!</v>
      </c>
      <c r="E2791" s="12" t="e">
        <f>MID(MAIN!A2796,K2791+4,2)</f>
        <v>#VALUE!</v>
      </c>
      <c r="F2791" s="2" t="e">
        <f t="shared" si="173"/>
        <v>#VALUE!</v>
      </c>
      <c r="G2791" s="13" t="e">
        <f t="shared" si="174"/>
        <v>#VALUE!</v>
      </c>
      <c r="J2791" t="str">
        <f>MAIN!A2796&amp;"B"</f>
        <v>B</v>
      </c>
      <c r="K2791" s="12" t="e">
        <f t="shared" si="175"/>
        <v>#VALUE!</v>
      </c>
      <c r="L2791" t="str">
        <f>MAIN!C2796</f>
        <v/>
      </c>
    </row>
    <row r="2792" spans="1:12" x14ac:dyDescent="0.3">
      <c r="A2792">
        <f>IF(J2792="0",0,IF(COUNTIF($J$2:J2792,J2792)=1,1,0))</f>
        <v>0</v>
      </c>
      <c r="B2792" s="12" t="e">
        <f>MID(MAIN!A2797,K2792,2)</f>
        <v>#VALUE!</v>
      </c>
      <c r="C2792" s="12" t="e">
        <f t="shared" si="172"/>
        <v>#VALUE!</v>
      </c>
      <c r="D2792" s="12" t="e">
        <f>MID(MAIN!A2797,K2792+2,2)</f>
        <v>#VALUE!</v>
      </c>
      <c r="E2792" s="12" t="e">
        <f>MID(MAIN!A2797,K2792+4,2)</f>
        <v>#VALUE!</v>
      </c>
      <c r="F2792" s="2" t="e">
        <f t="shared" si="173"/>
        <v>#VALUE!</v>
      </c>
      <c r="G2792" s="13" t="e">
        <f t="shared" si="174"/>
        <v>#VALUE!</v>
      </c>
      <c r="J2792" t="str">
        <f>MAIN!A2797&amp;"B"</f>
        <v>B</v>
      </c>
      <c r="K2792" s="12" t="e">
        <f t="shared" si="175"/>
        <v>#VALUE!</v>
      </c>
      <c r="L2792" t="str">
        <f>MAIN!C2797</f>
        <v/>
      </c>
    </row>
    <row r="2793" spans="1:12" x14ac:dyDescent="0.3">
      <c r="A2793">
        <f>IF(J2793="0",0,IF(COUNTIF($J$2:J2793,J2793)=1,1,0))</f>
        <v>0</v>
      </c>
      <c r="B2793" s="12" t="e">
        <f>MID(MAIN!A2798,K2793,2)</f>
        <v>#VALUE!</v>
      </c>
      <c r="C2793" s="12" t="e">
        <f t="shared" si="172"/>
        <v>#VALUE!</v>
      </c>
      <c r="D2793" s="12" t="e">
        <f>MID(MAIN!A2798,K2793+2,2)</f>
        <v>#VALUE!</v>
      </c>
      <c r="E2793" s="12" t="e">
        <f>MID(MAIN!A2798,K2793+4,2)</f>
        <v>#VALUE!</v>
      </c>
      <c r="F2793" s="2" t="e">
        <f t="shared" si="173"/>
        <v>#VALUE!</v>
      </c>
      <c r="G2793" s="13" t="e">
        <f t="shared" si="174"/>
        <v>#VALUE!</v>
      </c>
      <c r="J2793" t="str">
        <f>MAIN!A2798&amp;"B"</f>
        <v>B</v>
      </c>
      <c r="K2793" s="12" t="e">
        <f t="shared" si="175"/>
        <v>#VALUE!</v>
      </c>
      <c r="L2793" t="str">
        <f>MAIN!C2798</f>
        <v/>
      </c>
    </row>
    <row r="2794" spans="1:12" x14ac:dyDescent="0.3">
      <c r="A2794">
        <f>IF(J2794="0",0,IF(COUNTIF($J$2:J2794,J2794)=1,1,0))</f>
        <v>0</v>
      </c>
      <c r="B2794" s="12" t="e">
        <f>MID(MAIN!A2799,K2794,2)</f>
        <v>#VALUE!</v>
      </c>
      <c r="C2794" s="12" t="e">
        <f t="shared" si="172"/>
        <v>#VALUE!</v>
      </c>
      <c r="D2794" s="12" t="e">
        <f>MID(MAIN!A2799,K2794+2,2)</f>
        <v>#VALUE!</v>
      </c>
      <c r="E2794" s="12" t="e">
        <f>MID(MAIN!A2799,K2794+4,2)</f>
        <v>#VALUE!</v>
      </c>
      <c r="F2794" s="2" t="e">
        <f t="shared" si="173"/>
        <v>#VALUE!</v>
      </c>
      <c r="G2794" s="13" t="e">
        <f t="shared" si="174"/>
        <v>#VALUE!</v>
      </c>
      <c r="J2794" t="str">
        <f>MAIN!A2799&amp;"B"</f>
        <v>B</v>
      </c>
      <c r="K2794" s="12" t="e">
        <f t="shared" si="175"/>
        <v>#VALUE!</v>
      </c>
      <c r="L2794" t="str">
        <f>MAIN!C2799</f>
        <v/>
      </c>
    </row>
    <row r="2795" spans="1:12" x14ac:dyDescent="0.3">
      <c r="A2795">
        <f>IF(J2795="0",0,IF(COUNTIF($J$2:J2795,J2795)=1,1,0))</f>
        <v>0</v>
      </c>
      <c r="B2795" s="12" t="e">
        <f>MID(MAIN!A2800,K2795,2)</f>
        <v>#VALUE!</v>
      </c>
      <c r="C2795" s="12" t="e">
        <f t="shared" si="172"/>
        <v>#VALUE!</v>
      </c>
      <c r="D2795" s="12" t="e">
        <f>MID(MAIN!A2800,K2795+2,2)</f>
        <v>#VALUE!</v>
      </c>
      <c r="E2795" s="12" t="e">
        <f>MID(MAIN!A2800,K2795+4,2)</f>
        <v>#VALUE!</v>
      </c>
      <c r="F2795" s="2" t="e">
        <f t="shared" si="173"/>
        <v>#VALUE!</v>
      </c>
      <c r="G2795" s="13" t="e">
        <f t="shared" si="174"/>
        <v>#VALUE!</v>
      </c>
      <c r="J2795" t="str">
        <f>MAIN!A2800&amp;"B"</f>
        <v>B</v>
      </c>
      <c r="K2795" s="12" t="e">
        <f t="shared" si="175"/>
        <v>#VALUE!</v>
      </c>
      <c r="L2795" t="str">
        <f>MAIN!C2800</f>
        <v/>
      </c>
    </row>
    <row r="2796" spans="1:12" x14ac:dyDescent="0.3">
      <c r="A2796">
        <f>IF(J2796="0",0,IF(COUNTIF($J$2:J2796,J2796)=1,1,0))</f>
        <v>0</v>
      </c>
      <c r="B2796" s="12" t="e">
        <f>MID(MAIN!A2801,K2796,2)</f>
        <v>#VALUE!</v>
      </c>
      <c r="C2796" s="12" t="e">
        <f t="shared" si="172"/>
        <v>#VALUE!</v>
      </c>
      <c r="D2796" s="12" t="e">
        <f>MID(MAIN!A2801,K2796+2,2)</f>
        <v>#VALUE!</v>
      </c>
      <c r="E2796" s="12" t="e">
        <f>MID(MAIN!A2801,K2796+4,2)</f>
        <v>#VALUE!</v>
      </c>
      <c r="F2796" s="2" t="e">
        <f t="shared" si="173"/>
        <v>#VALUE!</v>
      </c>
      <c r="G2796" s="13" t="e">
        <f t="shared" si="174"/>
        <v>#VALUE!</v>
      </c>
      <c r="J2796" t="str">
        <f>MAIN!A2801&amp;"B"</f>
        <v>B</v>
      </c>
      <c r="K2796" s="12" t="e">
        <f t="shared" si="175"/>
        <v>#VALUE!</v>
      </c>
      <c r="L2796" t="str">
        <f>MAIN!C2801</f>
        <v/>
      </c>
    </row>
    <row r="2797" spans="1:12" x14ac:dyDescent="0.3">
      <c r="A2797">
        <f>IF(J2797="0",0,IF(COUNTIF($J$2:J2797,J2797)=1,1,0))</f>
        <v>0</v>
      </c>
      <c r="B2797" s="12" t="e">
        <f>MID(MAIN!A2802,K2797,2)</f>
        <v>#VALUE!</v>
      </c>
      <c r="C2797" s="12" t="e">
        <f t="shared" si="172"/>
        <v>#VALUE!</v>
      </c>
      <c r="D2797" s="12" t="e">
        <f>MID(MAIN!A2802,K2797+2,2)</f>
        <v>#VALUE!</v>
      </c>
      <c r="E2797" s="12" t="e">
        <f>MID(MAIN!A2802,K2797+4,2)</f>
        <v>#VALUE!</v>
      </c>
      <c r="F2797" s="2" t="e">
        <f t="shared" si="173"/>
        <v>#VALUE!</v>
      </c>
      <c r="G2797" s="13" t="e">
        <f t="shared" si="174"/>
        <v>#VALUE!</v>
      </c>
      <c r="J2797" t="str">
        <f>MAIN!A2802&amp;"B"</f>
        <v>B</v>
      </c>
      <c r="K2797" s="12" t="e">
        <f t="shared" si="175"/>
        <v>#VALUE!</v>
      </c>
      <c r="L2797" t="str">
        <f>MAIN!C2802</f>
        <v/>
      </c>
    </row>
    <row r="2798" spans="1:12" x14ac:dyDescent="0.3">
      <c r="A2798">
        <f>IF(J2798="0",0,IF(COUNTIF($J$2:J2798,J2798)=1,1,0))</f>
        <v>0</v>
      </c>
      <c r="B2798" s="12" t="e">
        <f>MID(MAIN!A2803,K2798,2)</f>
        <v>#VALUE!</v>
      </c>
      <c r="C2798" s="12" t="e">
        <f t="shared" si="172"/>
        <v>#VALUE!</v>
      </c>
      <c r="D2798" s="12" t="e">
        <f>MID(MAIN!A2803,K2798+2,2)</f>
        <v>#VALUE!</v>
      </c>
      <c r="E2798" s="12" t="e">
        <f>MID(MAIN!A2803,K2798+4,2)</f>
        <v>#VALUE!</v>
      </c>
      <c r="F2798" s="2" t="e">
        <f t="shared" si="173"/>
        <v>#VALUE!</v>
      </c>
      <c r="G2798" s="13" t="e">
        <f t="shared" si="174"/>
        <v>#VALUE!</v>
      </c>
      <c r="J2798" t="str">
        <f>MAIN!A2803&amp;"B"</f>
        <v>B</v>
      </c>
      <c r="K2798" s="12" t="e">
        <f t="shared" si="175"/>
        <v>#VALUE!</v>
      </c>
      <c r="L2798" t="str">
        <f>MAIN!C2803</f>
        <v/>
      </c>
    </row>
    <row r="2799" spans="1:12" x14ac:dyDescent="0.3">
      <c r="A2799">
        <f>IF(J2799="0",0,IF(COUNTIF($J$2:J2799,J2799)=1,1,0))</f>
        <v>0</v>
      </c>
      <c r="B2799" s="12" t="e">
        <f>MID(MAIN!A2804,K2799,2)</f>
        <v>#VALUE!</v>
      </c>
      <c r="C2799" s="12" t="e">
        <f t="shared" si="172"/>
        <v>#VALUE!</v>
      </c>
      <c r="D2799" s="12" t="e">
        <f>MID(MAIN!A2804,K2799+2,2)</f>
        <v>#VALUE!</v>
      </c>
      <c r="E2799" s="12" t="e">
        <f>MID(MAIN!A2804,K2799+4,2)</f>
        <v>#VALUE!</v>
      </c>
      <c r="F2799" s="2" t="e">
        <f t="shared" si="173"/>
        <v>#VALUE!</v>
      </c>
      <c r="G2799" s="13" t="e">
        <f t="shared" si="174"/>
        <v>#VALUE!</v>
      </c>
      <c r="J2799" t="str">
        <f>MAIN!A2804&amp;"B"</f>
        <v>B</v>
      </c>
      <c r="K2799" s="12" t="e">
        <f t="shared" si="175"/>
        <v>#VALUE!</v>
      </c>
      <c r="L2799" t="str">
        <f>MAIN!C2804</f>
        <v/>
      </c>
    </row>
    <row r="2800" spans="1:12" x14ac:dyDescent="0.3">
      <c r="A2800">
        <f>IF(J2800="0",0,IF(COUNTIF($J$2:J2800,J2800)=1,1,0))</f>
        <v>0</v>
      </c>
      <c r="B2800" s="12" t="e">
        <f>MID(MAIN!A2805,K2800,2)</f>
        <v>#VALUE!</v>
      </c>
      <c r="C2800" s="12" t="e">
        <f t="shared" si="172"/>
        <v>#VALUE!</v>
      </c>
      <c r="D2800" s="12" t="e">
        <f>MID(MAIN!A2805,K2800+2,2)</f>
        <v>#VALUE!</v>
      </c>
      <c r="E2800" s="12" t="e">
        <f>MID(MAIN!A2805,K2800+4,2)</f>
        <v>#VALUE!</v>
      </c>
      <c r="F2800" s="2" t="e">
        <f t="shared" si="173"/>
        <v>#VALUE!</v>
      </c>
      <c r="G2800" s="13" t="e">
        <f t="shared" si="174"/>
        <v>#VALUE!</v>
      </c>
      <c r="J2800" t="str">
        <f>MAIN!A2805&amp;"B"</f>
        <v>B</v>
      </c>
      <c r="K2800" s="12" t="e">
        <f t="shared" si="175"/>
        <v>#VALUE!</v>
      </c>
      <c r="L2800" t="str">
        <f>MAIN!C2805</f>
        <v/>
      </c>
    </row>
    <row r="2801" spans="1:12" x14ac:dyDescent="0.3">
      <c r="A2801">
        <f>IF(J2801="0",0,IF(COUNTIF($J$2:J2801,J2801)=1,1,0))</f>
        <v>0</v>
      </c>
      <c r="B2801" s="12" t="e">
        <f>MID(MAIN!A2806,K2801,2)</f>
        <v>#VALUE!</v>
      </c>
      <c r="C2801" s="12" t="e">
        <f t="shared" si="172"/>
        <v>#VALUE!</v>
      </c>
      <c r="D2801" s="12" t="e">
        <f>MID(MAIN!A2806,K2801+2,2)</f>
        <v>#VALUE!</v>
      </c>
      <c r="E2801" s="12" t="e">
        <f>MID(MAIN!A2806,K2801+4,2)</f>
        <v>#VALUE!</v>
      </c>
      <c r="F2801" s="2" t="e">
        <f t="shared" si="173"/>
        <v>#VALUE!</v>
      </c>
      <c r="G2801" s="13" t="e">
        <f t="shared" si="174"/>
        <v>#VALUE!</v>
      </c>
      <c r="J2801" t="str">
        <f>MAIN!A2806&amp;"B"</f>
        <v>B</v>
      </c>
      <c r="K2801" s="12" t="e">
        <f t="shared" si="175"/>
        <v>#VALUE!</v>
      </c>
      <c r="L2801" t="str">
        <f>MAIN!C2806</f>
        <v/>
      </c>
    </row>
    <row r="2802" spans="1:12" x14ac:dyDescent="0.3">
      <c r="A2802">
        <f>IF(J2802="0",0,IF(COUNTIF($J$2:J2802,J2802)=1,1,0))</f>
        <v>0</v>
      </c>
      <c r="B2802" s="12" t="e">
        <f>MID(MAIN!A2807,K2802,2)</f>
        <v>#VALUE!</v>
      </c>
      <c r="C2802" s="12" t="e">
        <f t="shared" si="172"/>
        <v>#VALUE!</v>
      </c>
      <c r="D2802" s="12" t="e">
        <f>MID(MAIN!A2807,K2802+2,2)</f>
        <v>#VALUE!</v>
      </c>
      <c r="E2802" s="12" t="e">
        <f>MID(MAIN!A2807,K2802+4,2)</f>
        <v>#VALUE!</v>
      </c>
      <c r="F2802" s="2" t="e">
        <f t="shared" si="173"/>
        <v>#VALUE!</v>
      </c>
      <c r="G2802" s="13" t="e">
        <f t="shared" si="174"/>
        <v>#VALUE!</v>
      </c>
      <c r="J2802" t="str">
        <f>MAIN!A2807&amp;"B"</f>
        <v>B</v>
      </c>
      <c r="K2802" s="12" t="e">
        <f t="shared" si="175"/>
        <v>#VALUE!</v>
      </c>
      <c r="L2802" t="str">
        <f>MAIN!C2807</f>
        <v/>
      </c>
    </row>
    <row r="2803" spans="1:12" x14ac:dyDescent="0.3">
      <c r="A2803">
        <f>IF(J2803="0",0,IF(COUNTIF($J$2:J2803,J2803)=1,1,0))</f>
        <v>0</v>
      </c>
      <c r="B2803" s="12" t="e">
        <f>MID(MAIN!A2808,K2803,2)</f>
        <v>#VALUE!</v>
      </c>
      <c r="C2803" s="12" t="e">
        <f t="shared" si="172"/>
        <v>#VALUE!</v>
      </c>
      <c r="D2803" s="12" t="e">
        <f>MID(MAIN!A2808,K2803+2,2)</f>
        <v>#VALUE!</v>
      </c>
      <c r="E2803" s="12" t="e">
        <f>MID(MAIN!A2808,K2803+4,2)</f>
        <v>#VALUE!</v>
      </c>
      <c r="F2803" s="2" t="e">
        <f t="shared" si="173"/>
        <v>#VALUE!</v>
      </c>
      <c r="G2803" s="13" t="e">
        <f t="shared" si="174"/>
        <v>#VALUE!</v>
      </c>
      <c r="J2803" t="str">
        <f>MAIN!A2808&amp;"B"</f>
        <v>B</v>
      </c>
      <c r="K2803" s="12" t="e">
        <f t="shared" si="175"/>
        <v>#VALUE!</v>
      </c>
      <c r="L2803" t="str">
        <f>MAIN!C2808</f>
        <v/>
      </c>
    </row>
    <row r="2804" spans="1:12" x14ac:dyDescent="0.3">
      <c r="A2804">
        <f>IF(J2804="0",0,IF(COUNTIF($J$2:J2804,J2804)=1,1,0))</f>
        <v>0</v>
      </c>
      <c r="B2804" s="12" t="e">
        <f>MID(MAIN!A2809,K2804,2)</f>
        <v>#VALUE!</v>
      </c>
      <c r="C2804" s="12" t="e">
        <f t="shared" si="172"/>
        <v>#VALUE!</v>
      </c>
      <c r="D2804" s="12" t="e">
        <f>MID(MAIN!A2809,K2804+2,2)</f>
        <v>#VALUE!</v>
      </c>
      <c r="E2804" s="12" t="e">
        <f>MID(MAIN!A2809,K2804+4,2)</f>
        <v>#VALUE!</v>
      </c>
      <c r="F2804" s="2" t="e">
        <f t="shared" si="173"/>
        <v>#VALUE!</v>
      </c>
      <c r="G2804" s="13" t="e">
        <f t="shared" si="174"/>
        <v>#VALUE!</v>
      </c>
      <c r="J2804" t="str">
        <f>MAIN!A2809&amp;"B"</f>
        <v>B</v>
      </c>
      <c r="K2804" s="12" t="e">
        <f t="shared" si="175"/>
        <v>#VALUE!</v>
      </c>
      <c r="L2804" t="str">
        <f>MAIN!C2809</f>
        <v/>
      </c>
    </row>
    <row r="2805" spans="1:12" x14ac:dyDescent="0.3">
      <c r="A2805">
        <f>IF(J2805="0",0,IF(COUNTIF($J$2:J2805,J2805)=1,1,0))</f>
        <v>0</v>
      </c>
      <c r="B2805" s="12" t="e">
        <f>MID(MAIN!A2810,K2805,2)</f>
        <v>#VALUE!</v>
      </c>
      <c r="C2805" s="12" t="e">
        <f t="shared" si="172"/>
        <v>#VALUE!</v>
      </c>
      <c r="D2805" s="12" t="e">
        <f>MID(MAIN!A2810,K2805+2,2)</f>
        <v>#VALUE!</v>
      </c>
      <c r="E2805" s="12" t="e">
        <f>MID(MAIN!A2810,K2805+4,2)</f>
        <v>#VALUE!</v>
      </c>
      <c r="F2805" s="2" t="e">
        <f t="shared" si="173"/>
        <v>#VALUE!</v>
      </c>
      <c r="G2805" s="13" t="e">
        <f t="shared" si="174"/>
        <v>#VALUE!</v>
      </c>
      <c r="J2805" t="str">
        <f>MAIN!A2810&amp;"B"</f>
        <v>B</v>
      </c>
      <c r="K2805" s="12" t="e">
        <f t="shared" si="175"/>
        <v>#VALUE!</v>
      </c>
      <c r="L2805" t="str">
        <f>MAIN!C2810</f>
        <v/>
      </c>
    </row>
    <row r="2806" spans="1:12" x14ac:dyDescent="0.3">
      <c r="A2806">
        <f>IF(J2806="0",0,IF(COUNTIF($J$2:J2806,J2806)=1,1,0))</f>
        <v>0</v>
      </c>
      <c r="B2806" s="12" t="e">
        <f>MID(MAIN!A2811,K2806,2)</f>
        <v>#VALUE!</v>
      </c>
      <c r="C2806" s="12" t="e">
        <f t="shared" si="172"/>
        <v>#VALUE!</v>
      </c>
      <c r="D2806" s="12" t="e">
        <f>MID(MAIN!A2811,K2806+2,2)</f>
        <v>#VALUE!</v>
      </c>
      <c r="E2806" s="12" t="e">
        <f>MID(MAIN!A2811,K2806+4,2)</f>
        <v>#VALUE!</v>
      </c>
      <c r="F2806" s="2" t="e">
        <f t="shared" si="173"/>
        <v>#VALUE!</v>
      </c>
      <c r="G2806" s="13" t="e">
        <f t="shared" si="174"/>
        <v>#VALUE!</v>
      </c>
      <c r="J2806" t="str">
        <f>MAIN!A2811&amp;"B"</f>
        <v>B</v>
      </c>
      <c r="K2806" s="12" t="e">
        <f t="shared" si="175"/>
        <v>#VALUE!</v>
      </c>
      <c r="L2806" t="str">
        <f>MAIN!C2811</f>
        <v/>
      </c>
    </row>
    <row r="2807" spans="1:12" x14ac:dyDescent="0.3">
      <c r="A2807">
        <f>IF(J2807="0",0,IF(COUNTIF($J$2:J2807,J2807)=1,1,0))</f>
        <v>0</v>
      </c>
      <c r="B2807" s="12" t="e">
        <f>MID(MAIN!A2812,K2807,2)</f>
        <v>#VALUE!</v>
      </c>
      <c r="C2807" s="12" t="e">
        <f t="shared" si="172"/>
        <v>#VALUE!</v>
      </c>
      <c r="D2807" s="12" t="e">
        <f>MID(MAIN!A2812,K2807+2,2)</f>
        <v>#VALUE!</v>
      </c>
      <c r="E2807" s="12" t="e">
        <f>MID(MAIN!A2812,K2807+4,2)</f>
        <v>#VALUE!</v>
      </c>
      <c r="F2807" s="2" t="e">
        <f t="shared" si="173"/>
        <v>#VALUE!</v>
      </c>
      <c r="G2807" s="13" t="e">
        <f t="shared" si="174"/>
        <v>#VALUE!</v>
      </c>
      <c r="J2807" t="str">
        <f>MAIN!A2812&amp;"B"</f>
        <v>B</v>
      </c>
      <c r="K2807" s="12" t="e">
        <f t="shared" si="175"/>
        <v>#VALUE!</v>
      </c>
      <c r="L2807" t="str">
        <f>MAIN!C2812</f>
        <v/>
      </c>
    </row>
    <row r="2808" spans="1:12" x14ac:dyDescent="0.3">
      <c r="A2808">
        <f>IF(J2808="0",0,IF(COUNTIF($J$2:J2808,J2808)=1,1,0))</f>
        <v>0</v>
      </c>
      <c r="B2808" s="12" t="e">
        <f>MID(MAIN!A2813,K2808,2)</f>
        <v>#VALUE!</v>
      </c>
      <c r="C2808" s="12" t="e">
        <f t="shared" si="172"/>
        <v>#VALUE!</v>
      </c>
      <c r="D2808" s="12" t="e">
        <f>MID(MAIN!A2813,K2808+2,2)</f>
        <v>#VALUE!</v>
      </c>
      <c r="E2808" s="12" t="e">
        <f>MID(MAIN!A2813,K2808+4,2)</f>
        <v>#VALUE!</v>
      </c>
      <c r="F2808" s="2" t="e">
        <f t="shared" si="173"/>
        <v>#VALUE!</v>
      </c>
      <c r="G2808" s="13" t="e">
        <f t="shared" si="174"/>
        <v>#VALUE!</v>
      </c>
      <c r="J2808" t="str">
        <f>MAIN!A2813&amp;"B"</f>
        <v>B</v>
      </c>
      <c r="K2808" s="12" t="e">
        <f t="shared" si="175"/>
        <v>#VALUE!</v>
      </c>
      <c r="L2808" t="str">
        <f>MAIN!C2813</f>
        <v/>
      </c>
    </row>
    <row r="2809" spans="1:12" x14ac:dyDescent="0.3">
      <c r="A2809">
        <f>IF(J2809="0",0,IF(COUNTIF($J$2:J2809,J2809)=1,1,0))</f>
        <v>0</v>
      </c>
      <c r="B2809" s="12" t="e">
        <f>MID(MAIN!A2814,K2809,2)</f>
        <v>#VALUE!</v>
      </c>
      <c r="C2809" s="12" t="e">
        <f t="shared" si="172"/>
        <v>#VALUE!</v>
      </c>
      <c r="D2809" s="12" t="e">
        <f>MID(MAIN!A2814,K2809+2,2)</f>
        <v>#VALUE!</v>
      </c>
      <c r="E2809" s="12" t="e">
        <f>MID(MAIN!A2814,K2809+4,2)</f>
        <v>#VALUE!</v>
      </c>
      <c r="F2809" s="2" t="e">
        <f t="shared" si="173"/>
        <v>#VALUE!</v>
      </c>
      <c r="G2809" s="13" t="e">
        <f t="shared" si="174"/>
        <v>#VALUE!</v>
      </c>
      <c r="J2809" t="str">
        <f>MAIN!A2814&amp;"B"</f>
        <v>B</v>
      </c>
      <c r="K2809" s="12" t="e">
        <f t="shared" si="175"/>
        <v>#VALUE!</v>
      </c>
      <c r="L2809" t="str">
        <f>MAIN!C2814</f>
        <v/>
      </c>
    </row>
    <row r="2810" spans="1:12" x14ac:dyDescent="0.3">
      <c r="A2810">
        <f>IF(J2810="0",0,IF(COUNTIF($J$2:J2810,J2810)=1,1,0))</f>
        <v>0</v>
      </c>
      <c r="B2810" s="12" t="e">
        <f>MID(MAIN!A2815,K2810,2)</f>
        <v>#VALUE!</v>
      </c>
      <c r="C2810" s="12" t="e">
        <f t="shared" si="172"/>
        <v>#VALUE!</v>
      </c>
      <c r="D2810" s="12" t="e">
        <f>MID(MAIN!A2815,K2810+2,2)</f>
        <v>#VALUE!</v>
      </c>
      <c r="E2810" s="12" t="e">
        <f>MID(MAIN!A2815,K2810+4,2)</f>
        <v>#VALUE!</v>
      </c>
      <c r="F2810" s="2" t="e">
        <f t="shared" si="173"/>
        <v>#VALUE!</v>
      </c>
      <c r="G2810" s="13" t="e">
        <f t="shared" si="174"/>
        <v>#VALUE!</v>
      </c>
      <c r="J2810" t="str">
        <f>MAIN!A2815&amp;"B"</f>
        <v>B</v>
      </c>
      <c r="K2810" s="12" t="e">
        <f t="shared" si="175"/>
        <v>#VALUE!</v>
      </c>
      <c r="L2810" t="str">
        <f>MAIN!C2815</f>
        <v/>
      </c>
    </row>
    <row r="2811" spans="1:12" x14ac:dyDescent="0.3">
      <c r="A2811">
        <f>IF(J2811="0",0,IF(COUNTIF($J$2:J2811,J2811)=1,1,0))</f>
        <v>0</v>
      </c>
      <c r="B2811" s="12" t="e">
        <f>MID(MAIN!A2816,K2811,2)</f>
        <v>#VALUE!</v>
      </c>
      <c r="C2811" s="12" t="e">
        <f t="shared" si="172"/>
        <v>#VALUE!</v>
      </c>
      <c r="D2811" s="12" t="e">
        <f>MID(MAIN!A2816,K2811+2,2)</f>
        <v>#VALUE!</v>
      </c>
      <c r="E2811" s="12" t="e">
        <f>MID(MAIN!A2816,K2811+4,2)</f>
        <v>#VALUE!</v>
      </c>
      <c r="F2811" s="2" t="e">
        <f t="shared" si="173"/>
        <v>#VALUE!</v>
      </c>
      <c r="G2811" s="13" t="e">
        <f t="shared" si="174"/>
        <v>#VALUE!</v>
      </c>
      <c r="J2811" t="str">
        <f>MAIN!A2816&amp;"B"</f>
        <v>B</v>
      </c>
      <c r="K2811" s="12" t="e">
        <f t="shared" si="175"/>
        <v>#VALUE!</v>
      </c>
      <c r="L2811" t="str">
        <f>MAIN!C2816</f>
        <v/>
      </c>
    </row>
    <row r="2812" spans="1:12" x14ac:dyDescent="0.3">
      <c r="A2812">
        <f>IF(J2812="0",0,IF(COUNTIF($J$2:J2812,J2812)=1,1,0))</f>
        <v>0</v>
      </c>
      <c r="B2812" s="12" t="e">
        <f>MID(MAIN!A2817,K2812,2)</f>
        <v>#VALUE!</v>
      </c>
      <c r="C2812" s="12" t="e">
        <f t="shared" si="172"/>
        <v>#VALUE!</v>
      </c>
      <c r="D2812" s="12" t="e">
        <f>MID(MAIN!A2817,K2812+2,2)</f>
        <v>#VALUE!</v>
      </c>
      <c r="E2812" s="12" t="e">
        <f>MID(MAIN!A2817,K2812+4,2)</f>
        <v>#VALUE!</v>
      </c>
      <c r="F2812" s="2" t="e">
        <f t="shared" si="173"/>
        <v>#VALUE!</v>
      </c>
      <c r="G2812" s="13" t="e">
        <f t="shared" si="174"/>
        <v>#VALUE!</v>
      </c>
      <c r="J2812" t="str">
        <f>MAIN!A2817&amp;"B"</f>
        <v>B</v>
      </c>
      <c r="K2812" s="12" t="e">
        <f t="shared" si="175"/>
        <v>#VALUE!</v>
      </c>
      <c r="L2812" t="str">
        <f>MAIN!C2817</f>
        <v/>
      </c>
    </row>
    <row r="2813" spans="1:12" x14ac:dyDescent="0.3">
      <c r="A2813">
        <f>IF(J2813="0",0,IF(COUNTIF($J$2:J2813,J2813)=1,1,0))</f>
        <v>0</v>
      </c>
      <c r="B2813" s="12" t="e">
        <f>MID(MAIN!A2818,K2813,2)</f>
        <v>#VALUE!</v>
      </c>
      <c r="C2813" s="12" t="e">
        <f t="shared" si="172"/>
        <v>#VALUE!</v>
      </c>
      <c r="D2813" s="12" t="e">
        <f>MID(MAIN!A2818,K2813+2,2)</f>
        <v>#VALUE!</v>
      </c>
      <c r="E2813" s="12" t="e">
        <f>MID(MAIN!A2818,K2813+4,2)</f>
        <v>#VALUE!</v>
      </c>
      <c r="F2813" s="2" t="e">
        <f t="shared" si="173"/>
        <v>#VALUE!</v>
      </c>
      <c r="G2813" s="13" t="e">
        <f t="shared" si="174"/>
        <v>#VALUE!</v>
      </c>
      <c r="J2813" t="str">
        <f>MAIN!A2818&amp;"B"</f>
        <v>B</v>
      </c>
      <c r="K2813" s="12" t="e">
        <f t="shared" si="175"/>
        <v>#VALUE!</v>
      </c>
      <c r="L2813" t="str">
        <f>MAIN!C2818</f>
        <v/>
      </c>
    </row>
    <row r="2814" spans="1:12" x14ac:dyDescent="0.3">
      <c r="A2814">
        <f>IF(J2814="0",0,IF(COUNTIF($J$2:J2814,J2814)=1,1,0))</f>
        <v>0</v>
      </c>
      <c r="B2814" s="12" t="e">
        <f>MID(MAIN!A2819,K2814,2)</f>
        <v>#VALUE!</v>
      </c>
      <c r="C2814" s="12" t="e">
        <f t="shared" si="172"/>
        <v>#VALUE!</v>
      </c>
      <c r="D2814" s="12" t="e">
        <f>MID(MAIN!A2819,K2814+2,2)</f>
        <v>#VALUE!</v>
      </c>
      <c r="E2814" s="12" t="e">
        <f>MID(MAIN!A2819,K2814+4,2)</f>
        <v>#VALUE!</v>
      </c>
      <c r="F2814" s="2" t="e">
        <f t="shared" si="173"/>
        <v>#VALUE!</v>
      </c>
      <c r="G2814" s="13" t="e">
        <f t="shared" si="174"/>
        <v>#VALUE!</v>
      </c>
      <c r="J2814" t="str">
        <f>MAIN!A2819&amp;"B"</f>
        <v>B</v>
      </c>
      <c r="K2814" s="12" t="e">
        <f t="shared" si="175"/>
        <v>#VALUE!</v>
      </c>
      <c r="L2814" t="str">
        <f>MAIN!C2819</f>
        <v/>
      </c>
    </row>
    <row r="2815" spans="1:12" x14ac:dyDescent="0.3">
      <c r="A2815">
        <f>IF(J2815="0",0,IF(COUNTIF($J$2:J2815,J2815)=1,1,0))</f>
        <v>0</v>
      </c>
      <c r="B2815" s="12" t="e">
        <f>MID(MAIN!A2820,K2815,2)</f>
        <v>#VALUE!</v>
      </c>
      <c r="C2815" s="12" t="e">
        <f t="shared" si="172"/>
        <v>#VALUE!</v>
      </c>
      <c r="D2815" s="12" t="e">
        <f>MID(MAIN!A2820,K2815+2,2)</f>
        <v>#VALUE!</v>
      </c>
      <c r="E2815" s="12" t="e">
        <f>MID(MAIN!A2820,K2815+4,2)</f>
        <v>#VALUE!</v>
      </c>
      <c r="F2815" s="2" t="e">
        <f t="shared" si="173"/>
        <v>#VALUE!</v>
      </c>
      <c r="G2815" s="13" t="e">
        <f t="shared" si="174"/>
        <v>#VALUE!</v>
      </c>
      <c r="J2815" t="str">
        <f>MAIN!A2820&amp;"B"</f>
        <v>B</v>
      </c>
      <c r="K2815" s="12" t="e">
        <f t="shared" si="175"/>
        <v>#VALUE!</v>
      </c>
      <c r="L2815" t="str">
        <f>MAIN!C2820</f>
        <v/>
      </c>
    </row>
    <row r="2816" spans="1:12" x14ac:dyDescent="0.3">
      <c r="A2816">
        <f>IF(J2816="0",0,IF(COUNTIF($J$2:J2816,J2816)=1,1,0))</f>
        <v>0</v>
      </c>
      <c r="B2816" s="12" t="e">
        <f>MID(MAIN!A2821,K2816,2)</f>
        <v>#VALUE!</v>
      </c>
      <c r="C2816" s="12" t="e">
        <f t="shared" si="172"/>
        <v>#VALUE!</v>
      </c>
      <c r="D2816" s="12" t="e">
        <f>MID(MAIN!A2821,K2816+2,2)</f>
        <v>#VALUE!</v>
      </c>
      <c r="E2816" s="12" t="e">
        <f>MID(MAIN!A2821,K2816+4,2)</f>
        <v>#VALUE!</v>
      </c>
      <c r="F2816" s="2" t="e">
        <f t="shared" si="173"/>
        <v>#VALUE!</v>
      </c>
      <c r="G2816" s="13" t="e">
        <f t="shared" si="174"/>
        <v>#VALUE!</v>
      </c>
      <c r="J2816" t="str">
        <f>MAIN!A2821&amp;"B"</f>
        <v>B</v>
      </c>
      <c r="K2816" s="12" t="e">
        <f t="shared" si="175"/>
        <v>#VALUE!</v>
      </c>
      <c r="L2816" t="str">
        <f>MAIN!C2821</f>
        <v/>
      </c>
    </row>
    <row r="2817" spans="1:12" x14ac:dyDescent="0.3">
      <c r="A2817">
        <f>IF(J2817="0",0,IF(COUNTIF($J$2:J2817,J2817)=1,1,0))</f>
        <v>0</v>
      </c>
      <c r="B2817" s="12" t="e">
        <f>MID(MAIN!A2822,K2817,2)</f>
        <v>#VALUE!</v>
      </c>
      <c r="C2817" s="12" t="e">
        <f t="shared" si="172"/>
        <v>#VALUE!</v>
      </c>
      <c r="D2817" s="12" t="e">
        <f>MID(MAIN!A2822,K2817+2,2)</f>
        <v>#VALUE!</v>
      </c>
      <c r="E2817" s="12" t="e">
        <f>MID(MAIN!A2822,K2817+4,2)</f>
        <v>#VALUE!</v>
      </c>
      <c r="F2817" s="2" t="e">
        <f t="shared" si="173"/>
        <v>#VALUE!</v>
      </c>
      <c r="G2817" s="13" t="e">
        <f t="shared" si="174"/>
        <v>#VALUE!</v>
      </c>
      <c r="J2817" t="str">
        <f>MAIN!A2822&amp;"B"</f>
        <v>B</v>
      </c>
      <c r="K2817" s="12" t="e">
        <f t="shared" si="175"/>
        <v>#VALUE!</v>
      </c>
      <c r="L2817" t="str">
        <f>MAIN!C2822</f>
        <v/>
      </c>
    </row>
    <row r="2818" spans="1:12" x14ac:dyDescent="0.3">
      <c r="A2818">
        <f>IF(J2818="0",0,IF(COUNTIF($J$2:J2818,J2818)=1,1,0))</f>
        <v>0</v>
      </c>
      <c r="B2818" s="12" t="e">
        <f>MID(MAIN!A2823,K2818,2)</f>
        <v>#VALUE!</v>
      </c>
      <c r="C2818" s="12" t="e">
        <f t="shared" si="172"/>
        <v>#VALUE!</v>
      </c>
      <c r="D2818" s="12" t="e">
        <f>MID(MAIN!A2823,K2818+2,2)</f>
        <v>#VALUE!</v>
      </c>
      <c r="E2818" s="12" t="e">
        <f>MID(MAIN!A2823,K2818+4,2)</f>
        <v>#VALUE!</v>
      </c>
      <c r="F2818" s="2" t="e">
        <f t="shared" si="173"/>
        <v>#VALUE!</v>
      </c>
      <c r="G2818" s="13" t="e">
        <f t="shared" si="174"/>
        <v>#VALUE!</v>
      </c>
      <c r="J2818" t="str">
        <f>MAIN!A2823&amp;"B"</f>
        <v>B</v>
      </c>
      <c r="K2818" s="12" t="e">
        <f t="shared" si="175"/>
        <v>#VALUE!</v>
      </c>
      <c r="L2818" t="str">
        <f>MAIN!C2823</f>
        <v/>
      </c>
    </row>
    <row r="2819" spans="1:12" x14ac:dyDescent="0.3">
      <c r="A2819">
        <f>IF(J2819="0",0,IF(COUNTIF($J$2:J2819,J2819)=1,1,0))</f>
        <v>0</v>
      </c>
      <c r="B2819" s="12" t="e">
        <f>MID(MAIN!A2824,K2819,2)</f>
        <v>#VALUE!</v>
      </c>
      <c r="C2819" s="12" t="e">
        <f t="shared" ref="C2819:C2882" si="176">"20"&amp;B2819</f>
        <v>#VALUE!</v>
      </c>
      <c r="D2819" s="12" t="e">
        <f>MID(MAIN!A2824,K2819+2,2)</f>
        <v>#VALUE!</v>
      </c>
      <c r="E2819" s="12" t="e">
        <f>MID(MAIN!A2824,K2819+4,2)</f>
        <v>#VALUE!</v>
      </c>
      <c r="F2819" s="2" t="e">
        <f t="shared" ref="F2819:F2882" si="177">C2819&amp;"/"&amp;D2819&amp;"/"&amp;E2819</f>
        <v>#VALUE!</v>
      </c>
      <c r="G2819" s="13" t="e">
        <f t="shared" ref="G2819:G2882" si="178">DATEVALUE(F2819)</f>
        <v>#VALUE!</v>
      </c>
      <c r="J2819" t="str">
        <f>MAIN!A2824&amp;"B"</f>
        <v>B</v>
      </c>
      <c r="K2819" s="12" t="e">
        <f t="shared" ref="K2819:K2882" si="179">FIND("172",J2819,30)+2</f>
        <v>#VALUE!</v>
      </c>
      <c r="L2819" t="str">
        <f>MAIN!C2824</f>
        <v/>
      </c>
    </row>
    <row r="2820" spans="1:12" x14ac:dyDescent="0.3">
      <c r="A2820">
        <f>IF(J2820="0",0,IF(COUNTIF($J$2:J2820,J2820)=1,1,0))</f>
        <v>0</v>
      </c>
      <c r="B2820" s="12" t="e">
        <f>MID(MAIN!A2825,K2820,2)</f>
        <v>#VALUE!</v>
      </c>
      <c r="C2820" s="12" t="e">
        <f t="shared" si="176"/>
        <v>#VALUE!</v>
      </c>
      <c r="D2820" s="12" t="e">
        <f>MID(MAIN!A2825,K2820+2,2)</f>
        <v>#VALUE!</v>
      </c>
      <c r="E2820" s="12" t="e">
        <f>MID(MAIN!A2825,K2820+4,2)</f>
        <v>#VALUE!</v>
      </c>
      <c r="F2820" s="2" t="e">
        <f t="shared" si="177"/>
        <v>#VALUE!</v>
      </c>
      <c r="G2820" s="13" t="e">
        <f t="shared" si="178"/>
        <v>#VALUE!</v>
      </c>
      <c r="J2820" t="str">
        <f>MAIN!A2825&amp;"B"</f>
        <v>B</v>
      </c>
      <c r="K2820" s="12" t="e">
        <f t="shared" si="179"/>
        <v>#VALUE!</v>
      </c>
      <c r="L2820" t="str">
        <f>MAIN!C2825</f>
        <v/>
      </c>
    </row>
    <row r="2821" spans="1:12" x14ac:dyDescent="0.3">
      <c r="A2821">
        <f>IF(J2821="0",0,IF(COUNTIF($J$2:J2821,J2821)=1,1,0))</f>
        <v>0</v>
      </c>
      <c r="B2821" s="12" t="e">
        <f>MID(MAIN!A2826,K2821,2)</f>
        <v>#VALUE!</v>
      </c>
      <c r="C2821" s="12" t="e">
        <f t="shared" si="176"/>
        <v>#VALUE!</v>
      </c>
      <c r="D2821" s="12" t="e">
        <f>MID(MAIN!A2826,K2821+2,2)</f>
        <v>#VALUE!</v>
      </c>
      <c r="E2821" s="12" t="e">
        <f>MID(MAIN!A2826,K2821+4,2)</f>
        <v>#VALUE!</v>
      </c>
      <c r="F2821" s="2" t="e">
        <f t="shared" si="177"/>
        <v>#VALUE!</v>
      </c>
      <c r="G2821" s="13" t="e">
        <f t="shared" si="178"/>
        <v>#VALUE!</v>
      </c>
      <c r="J2821" t="str">
        <f>MAIN!A2826&amp;"B"</f>
        <v>B</v>
      </c>
      <c r="K2821" s="12" t="e">
        <f t="shared" si="179"/>
        <v>#VALUE!</v>
      </c>
      <c r="L2821" t="str">
        <f>MAIN!C2826</f>
        <v/>
      </c>
    </row>
    <row r="2822" spans="1:12" x14ac:dyDescent="0.3">
      <c r="A2822">
        <f>IF(J2822="0",0,IF(COUNTIF($J$2:J2822,J2822)=1,1,0))</f>
        <v>0</v>
      </c>
      <c r="B2822" s="12" t="e">
        <f>MID(MAIN!A2827,K2822,2)</f>
        <v>#VALUE!</v>
      </c>
      <c r="C2822" s="12" t="e">
        <f t="shared" si="176"/>
        <v>#VALUE!</v>
      </c>
      <c r="D2822" s="12" t="e">
        <f>MID(MAIN!A2827,K2822+2,2)</f>
        <v>#VALUE!</v>
      </c>
      <c r="E2822" s="12" t="e">
        <f>MID(MAIN!A2827,K2822+4,2)</f>
        <v>#VALUE!</v>
      </c>
      <c r="F2822" s="2" t="e">
        <f t="shared" si="177"/>
        <v>#VALUE!</v>
      </c>
      <c r="G2822" s="13" t="e">
        <f t="shared" si="178"/>
        <v>#VALUE!</v>
      </c>
      <c r="J2822" t="str">
        <f>MAIN!A2827&amp;"B"</f>
        <v>B</v>
      </c>
      <c r="K2822" s="12" t="e">
        <f t="shared" si="179"/>
        <v>#VALUE!</v>
      </c>
      <c r="L2822" t="str">
        <f>MAIN!C2827</f>
        <v/>
      </c>
    </row>
    <row r="2823" spans="1:12" x14ac:dyDescent="0.3">
      <c r="A2823">
        <f>IF(J2823="0",0,IF(COUNTIF($J$2:J2823,J2823)=1,1,0))</f>
        <v>0</v>
      </c>
      <c r="B2823" s="12" t="e">
        <f>MID(MAIN!A2828,K2823,2)</f>
        <v>#VALUE!</v>
      </c>
      <c r="C2823" s="12" t="e">
        <f t="shared" si="176"/>
        <v>#VALUE!</v>
      </c>
      <c r="D2823" s="12" t="e">
        <f>MID(MAIN!A2828,K2823+2,2)</f>
        <v>#VALUE!</v>
      </c>
      <c r="E2823" s="12" t="e">
        <f>MID(MAIN!A2828,K2823+4,2)</f>
        <v>#VALUE!</v>
      </c>
      <c r="F2823" s="2" t="e">
        <f t="shared" si="177"/>
        <v>#VALUE!</v>
      </c>
      <c r="G2823" s="13" t="e">
        <f t="shared" si="178"/>
        <v>#VALUE!</v>
      </c>
      <c r="J2823" t="str">
        <f>MAIN!A2828&amp;"B"</f>
        <v>B</v>
      </c>
      <c r="K2823" s="12" t="e">
        <f t="shared" si="179"/>
        <v>#VALUE!</v>
      </c>
      <c r="L2823" t="str">
        <f>MAIN!C2828</f>
        <v/>
      </c>
    </row>
    <row r="2824" spans="1:12" x14ac:dyDescent="0.3">
      <c r="A2824">
        <f>IF(J2824="0",0,IF(COUNTIF($J$2:J2824,J2824)=1,1,0))</f>
        <v>0</v>
      </c>
      <c r="B2824" s="12" t="e">
        <f>MID(MAIN!A2829,K2824,2)</f>
        <v>#VALUE!</v>
      </c>
      <c r="C2824" s="12" t="e">
        <f t="shared" si="176"/>
        <v>#VALUE!</v>
      </c>
      <c r="D2824" s="12" t="e">
        <f>MID(MAIN!A2829,K2824+2,2)</f>
        <v>#VALUE!</v>
      </c>
      <c r="E2824" s="12" t="e">
        <f>MID(MAIN!A2829,K2824+4,2)</f>
        <v>#VALUE!</v>
      </c>
      <c r="F2824" s="2" t="e">
        <f t="shared" si="177"/>
        <v>#VALUE!</v>
      </c>
      <c r="G2824" s="13" t="e">
        <f t="shared" si="178"/>
        <v>#VALUE!</v>
      </c>
      <c r="J2824" t="str">
        <f>MAIN!A2829&amp;"B"</f>
        <v>B</v>
      </c>
      <c r="K2824" s="12" t="e">
        <f t="shared" si="179"/>
        <v>#VALUE!</v>
      </c>
      <c r="L2824" t="str">
        <f>MAIN!C2829</f>
        <v/>
      </c>
    </row>
    <row r="2825" spans="1:12" x14ac:dyDescent="0.3">
      <c r="A2825">
        <f>IF(J2825="0",0,IF(COUNTIF($J$2:J2825,J2825)=1,1,0))</f>
        <v>0</v>
      </c>
      <c r="B2825" s="12" t="e">
        <f>MID(MAIN!A2830,K2825,2)</f>
        <v>#VALUE!</v>
      </c>
      <c r="C2825" s="12" t="e">
        <f t="shared" si="176"/>
        <v>#VALUE!</v>
      </c>
      <c r="D2825" s="12" t="e">
        <f>MID(MAIN!A2830,K2825+2,2)</f>
        <v>#VALUE!</v>
      </c>
      <c r="E2825" s="12" t="e">
        <f>MID(MAIN!A2830,K2825+4,2)</f>
        <v>#VALUE!</v>
      </c>
      <c r="F2825" s="2" t="e">
        <f t="shared" si="177"/>
        <v>#VALUE!</v>
      </c>
      <c r="G2825" s="13" t="e">
        <f t="shared" si="178"/>
        <v>#VALUE!</v>
      </c>
      <c r="J2825" t="str">
        <f>MAIN!A2830&amp;"B"</f>
        <v>B</v>
      </c>
      <c r="K2825" s="12" t="e">
        <f t="shared" si="179"/>
        <v>#VALUE!</v>
      </c>
      <c r="L2825" t="str">
        <f>MAIN!C2830</f>
        <v/>
      </c>
    </row>
    <row r="2826" spans="1:12" x14ac:dyDescent="0.3">
      <c r="A2826">
        <f>IF(J2826="0",0,IF(COUNTIF($J$2:J2826,J2826)=1,1,0))</f>
        <v>0</v>
      </c>
      <c r="B2826" s="12" t="e">
        <f>MID(MAIN!A2831,K2826,2)</f>
        <v>#VALUE!</v>
      </c>
      <c r="C2826" s="12" t="e">
        <f t="shared" si="176"/>
        <v>#VALUE!</v>
      </c>
      <c r="D2826" s="12" t="e">
        <f>MID(MAIN!A2831,K2826+2,2)</f>
        <v>#VALUE!</v>
      </c>
      <c r="E2826" s="12" t="e">
        <f>MID(MAIN!A2831,K2826+4,2)</f>
        <v>#VALUE!</v>
      </c>
      <c r="F2826" s="2" t="e">
        <f t="shared" si="177"/>
        <v>#VALUE!</v>
      </c>
      <c r="G2826" s="13" t="e">
        <f t="shared" si="178"/>
        <v>#VALUE!</v>
      </c>
      <c r="J2826" t="str">
        <f>MAIN!A2831&amp;"B"</f>
        <v>B</v>
      </c>
      <c r="K2826" s="12" t="e">
        <f t="shared" si="179"/>
        <v>#VALUE!</v>
      </c>
      <c r="L2826" t="str">
        <f>MAIN!C2831</f>
        <v/>
      </c>
    </row>
    <row r="2827" spans="1:12" x14ac:dyDescent="0.3">
      <c r="A2827">
        <f>IF(J2827="0",0,IF(COUNTIF($J$2:J2827,J2827)=1,1,0))</f>
        <v>0</v>
      </c>
      <c r="B2827" s="12" t="e">
        <f>MID(MAIN!A2832,K2827,2)</f>
        <v>#VALUE!</v>
      </c>
      <c r="C2827" s="12" t="e">
        <f t="shared" si="176"/>
        <v>#VALUE!</v>
      </c>
      <c r="D2827" s="12" t="e">
        <f>MID(MAIN!A2832,K2827+2,2)</f>
        <v>#VALUE!</v>
      </c>
      <c r="E2827" s="12" t="e">
        <f>MID(MAIN!A2832,K2827+4,2)</f>
        <v>#VALUE!</v>
      </c>
      <c r="F2827" s="2" t="e">
        <f t="shared" si="177"/>
        <v>#VALUE!</v>
      </c>
      <c r="G2827" s="13" t="e">
        <f t="shared" si="178"/>
        <v>#VALUE!</v>
      </c>
      <c r="J2827" t="str">
        <f>MAIN!A2832&amp;"B"</f>
        <v>B</v>
      </c>
      <c r="K2827" s="12" t="e">
        <f t="shared" si="179"/>
        <v>#VALUE!</v>
      </c>
      <c r="L2827" t="str">
        <f>MAIN!C2832</f>
        <v/>
      </c>
    </row>
    <row r="2828" spans="1:12" x14ac:dyDescent="0.3">
      <c r="A2828">
        <f>IF(J2828="0",0,IF(COUNTIF($J$2:J2828,J2828)=1,1,0))</f>
        <v>0</v>
      </c>
      <c r="B2828" s="12" t="e">
        <f>MID(MAIN!A2833,K2828,2)</f>
        <v>#VALUE!</v>
      </c>
      <c r="C2828" s="12" t="e">
        <f t="shared" si="176"/>
        <v>#VALUE!</v>
      </c>
      <c r="D2828" s="12" t="e">
        <f>MID(MAIN!A2833,K2828+2,2)</f>
        <v>#VALUE!</v>
      </c>
      <c r="E2828" s="12" t="e">
        <f>MID(MAIN!A2833,K2828+4,2)</f>
        <v>#VALUE!</v>
      </c>
      <c r="F2828" s="2" t="e">
        <f t="shared" si="177"/>
        <v>#VALUE!</v>
      </c>
      <c r="G2828" s="13" t="e">
        <f t="shared" si="178"/>
        <v>#VALUE!</v>
      </c>
      <c r="J2828" t="str">
        <f>MAIN!A2833&amp;"B"</f>
        <v>B</v>
      </c>
      <c r="K2828" s="12" t="e">
        <f t="shared" si="179"/>
        <v>#VALUE!</v>
      </c>
      <c r="L2828" t="str">
        <f>MAIN!C2833</f>
        <v/>
      </c>
    </row>
    <row r="2829" spans="1:12" x14ac:dyDescent="0.3">
      <c r="A2829">
        <f>IF(J2829="0",0,IF(COUNTIF($J$2:J2829,J2829)=1,1,0))</f>
        <v>0</v>
      </c>
      <c r="B2829" s="12" t="e">
        <f>MID(MAIN!A2834,K2829,2)</f>
        <v>#VALUE!</v>
      </c>
      <c r="C2829" s="12" t="e">
        <f t="shared" si="176"/>
        <v>#VALUE!</v>
      </c>
      <c r="D2829" s="12" t="e">
        <f>MID(MAIN!A2834,K2829+2,2)</f>
        <v>#VALUE!</v>
      </c>
      <c r="E2829" s="12" t="e">
        <f>MID(MAIN!A2834,K2829+4,2)</f>
        <v>#VALUE!</v>
      </c>
      <c r="F2829" s="2" t="e">
        <f t="shared" si="177"/>
        <v>#VALUE!</v>
      </c>
      <c r="G2829" s="13" t="e">
        <f t="shared" si="178"/>
        <v>#VALUE!</v>
      </c>
      <c r="J2829" t="str">
        <f>MAIN!A2834&amp;"B"</f>
        <v>B</v>
      </c>
      <c r="K2829" s="12" t="e">
        <f t="shared" si="179"/>
        <v>#VALUE!</v>
      </c>
      <c r="L2829" t="str">
        <f>MAIN!C2834</f>
        <v/>
      </c>
    </row>
    <row r="2830" spans="1:12" x14ac:dyDescent="0.3">
      <c r="A2830">
        <f>IF(J2830="0",0,IF(COUNTIF($J$2:J2830,J2830)=1,1,0))</f>
        <v>0</v>
      </c>
      <c r="B2830" s="12" t="e">
        <f>MID(MAIN!A2835,K2830,2)</f>
        <v>#VALUE!</v>
      </c>
      <c r="C2830" s="12" t="e">
        <f t="shared" si="176"/>
        <v>#VALUE!</v>
      </c>
      <c r="D2830" s="12" t="e">
        <f>MID(MAIN!A2835,K2830+2,2)</f>
        <v>#VALUE!</v>
      </c>
      <c r="E2830" s="12" t="e">
        <f>MID(MAIN!A2835,K2830+4,2)</f>
        <v>#VALUE!</v>
      </c>
      <c r="F2830" s="2" t="e">
        <f t="shared" si="177"/>
        <v>#VALUE!</v>
      </c>
      <c r="G2830" s="13" t="e">
        <f t="shared" si="178"/>
        <v>#VALUE!</v>
      </c>
      <c r="J2830" t="str">
        <f>MAIN!A2835&amp;"B"</f>
        <v>B</v>
      </c>
      <c r="K2830" s="12" t="e">
        <f t="shared" si="179"/>
        <v>#VALUE!</v>
      </c>
      <c r="L2830" t="str">
        <f>MAIN!C2835</f>
        <v/>
      </c>
    </row>
    <row r="2831" spans="1:12" x14ac:dyDescent="0.3">
      <c r="A2831">
        <f>IF(J2831="0",0,IF(COUNTIF($J$2:J2831,J2831)=1,1,0))</f>
        <v>0</v>
      </c>
      <c r="B2831" s="12" t="e">
        <f>MID(MAIN!A2836,K2831,2)</f>
        <v>#VALUE!</v>
      </c>
      <c r="C2831" s="12" t="e">
        <f t="shared" si="176"/>
        <v>#VALUE!</v>
      </c>
      <c r="D2831" s="12" t="e">
        <f>MID(MAIN!A2836,K2831+2,2)</f>
        <v>#VALUE!</v>
      </c>
      <c r="E2831" s="12" t="e">
        <f>MID(MAIN!A2836,K2831+4,2)</f>
        <v>#VALUE!</v>
      </c>
      <c r="F2831" s="2" t="e">
        <f t="shared" si="177"/>
        <v>#VALUE!</v>
      </c>
      <c r="G2831" s="13" t="e">
        <f t="shared" si="178"/>
        <v>#VALUE!</v>
      </c>
      <c r="J2831" t="str">
        <f>MAIN!A2836&amp;"B"</f>
        <v>B</v>
      </c>
      <c r="K2831" s="12" t="e">
        <f t="shared" si="179"/>
        <v>#VALUE!</v>
      </c>
      <c r="L2831" t="str">
        <f>MAIN!C2836</f>
        <v/>
      </c>
    </row>
    <row r="2832" spans="1:12" x14ac:dyDescent="0.3">
      <c r="A2832">
        <f>IF(J2832="0",0,IF(COUNTIF($J$2:J2832,J2832)=1,1,0))</f>
        <v>0</v>
      </c>
      <c r="B2832" s="12" t="e">
        <f>MID(MAIN!A2837,K2832,2)</f>
        <v>#VALUE!</v>
      </c>
      <c r="C2832" s="12" t="e">
        <f t="shared" si="176"/>
        <v>#VALUE!</v>
      </c>
      <c r="D2832" s="12" t="e">
        <f>MID(MAIN!A2837,K2832+2,2)</f>
        <v>#VALUE!</v>
      </c>
      <c r="E2832" s="12" t="e">
        <f>MID(MAIN!A2837,K2832+4,2)</f>
        <v>#VALUE!</v>
      </c>
      <c r="F2832" s="2" t="e">
        <f t="shared" si="177"/>
        <v>#VALUE!</v>
      </c>
      <c r="G2832" s="13" t="e">
        <f t="shared" si="178"/>
        <v>#VALUE!</v>
      </c>
      <c r="J2832" t="str">
        <f>MAIN!A2837&amp;"B"</f>
        <v>B</v>
      </c>
      <c r="K2832" s="12" t="e">
        <f t="shared" si="179"/>
        <v>#VALUE!</v>
      </c>
      <c r="L2832" t="str">
        <f>MAIN!C2837</f>
        <v/>
      </c>
    </row>
    <row r="2833" spans="1:12" x14ac:dyDescent="0.3">
      <c r="A2833">
        <f>IF(J2833="0",0,IF(COUNTIF($J$2:J2833,J2833)=1,1,0))</f>
        <v>0</v>
      </c>
      <c r="B2833" s="12" t="e">
        <f>MID(MAIN!A2838,K2833,2)</f>
        <v>#VALUE!</v>
      </c>
      <c r="C2833" s="12" t="e">
        <f t="shared" si="176"/>
        <v>#VALUE!</v>
      </c>
      <c r="D2833" s="12" t="e">
        <f>MID(MAIN!A2838,K2833+2,2)</f>
        <v>#VALUE!</v>
      </c>
      <c r="E2833" s="12" t="e">
        <f>MID(MAIN!A2838,K2833+4,2)</f>
        <v>#VALUE!</v>
      </c>
      <c r="F2833" s="2" t="e">
        <f t="shared" si="177"/>
        <v>#VALUE!</v>
      </c>
      <c r="G2833" s="13" t="e">
        <f t="shared" si="178"/>
        <v>#VALUE!</v>
      </c>
      <c r="J2833" t="str">
        <f>MAIN!A2838&amp;"B"</f>
        <v>B</v>
      </c>
      <c r="K2833" s="12" t="e">
        <f t="shared" si="179"/>
        <v>#VALUE!</v>
      </c>
      <c r="L2833" t="str">
        <f>MAIN!C2838</f>
        <v/>
      </c>
    </row>
    <row r="2834" spans="1:12" x14ac:dyDescent="0.3">
      <c r="A2834">
        <f>IF(J2834="0",0,IF(COUNTIF($J$2:J2834,J2834)=1,1,0))</f>
        <v>0</v>
      </c>
      <c r="B2834" s="12" t="e">
        <f>MID(MAIN!A2839,K2834,2)</f>
        <v>#VALUE!</v>
      </c>
      <c r="C2834" s="12" t="e">
        <f t="shared" si="176"/>
        <v>#VALUE!</v>
      </c>
      <c r="D2834" s="12" t="e">
        <f>MID(MAIN!A2839,K2834+2,2)</f>
        <v>#VALUE!</v>
      </c>
      <c r="E2834" s="12" t="e">
        <f>MID(MAIN!A2839,K2834+4,2)</f>
        <v>#VALUE!</v>
      </c>
      <c r="F2834" s="2" t="e">
        <f t="shared" si="177"/>
        <v>#VALUE!</v>
      </c>
      <c r="G2834" s="13" t="e">
        <f t="shared" si="178"/>
        <v>#VALUE!</v>
      </c>
      <c r="J2834" t="str">
        <f>MAIN!A2839&amp;"B"</f>
        <v>B</v>
      </c>
      <c r="K2834" s="12" t="e">
        <f t="shared" si="179"/>
        <v>#VALUE!</v>
      </c>
      <c r="L2834" t="str">
        <f>MAIN!C2839</f>
        <v/>
      </c>
    </row>
    <row r="2835" spans="1:12" x14ac:dyDescent="0.3">
      <c r="A2835">
        <f>IF(J2835="0",0,IF(COUNTIF($J$2:J2835,J2835)=1,1,0))</f>
        <v>0</v>
      </c>
      <c r="B2835" s="12" t="e">
        <f>MID(MAIN!A2840,K2835,2)</f>
        <v>#VALUE!</v>
      </c>
      <c r="C2835" s="12" t="e">
        <f t="shared" si="176"/>
        <v>#VALUE!</v>
      </c>
      <c r="D2835" s="12" t="e">
        <f>MID(MAIN!A2840,K2835+2,2)</f>
        <v>#VALUE!</v>
      </c>
      <c r="E2835" s="12" t="e">
        <f>MID(MAIN!A2840,K2835+4,2)</f>
        <v>#VALUE!</v>
      </c>
      <c r="F2835" s="2" t="e">
        <f t="shared" si="177"/>
        <v>#VALUE!</v>
      </c>
      <c r="G2835" s="13" t="e">
        <f t="shared" si="178"/>
        <v>#VALUE!</v>
      </c>
      <c r="J2835" t="str">
        <f>MAIN!A2840&amp;"B"</f>
        <v>B</v>
      </c>
      <c r="K2835" s="12" t="e">
        <f t="shared" si="179"/>
        <v>#VALUE!</v>
      </c>
      <c r="L2835" t="str">
        <f>MAIN!C2840</f>
        <v/>
      </c>
    </row>
    <row r="2836" spans="1:12" x14ac:dyDescent="0.3">
      <c r="A2836">
        <f>IF(J2836="0",0,IF(COUNTIF($J$2:J2836,J2836)=1,1,0))</f>
        <v>0</v>
      </c>
      <c r="B2836" s="12" t="e">
        <f>MID(MAIN!A2841,K2836,2)</f>
        <v>#VALUE!</v>
      </c>
      <c r="C2836" s="12" t="e">
        <f t="shared" si="176"/>
        <v>#VALUE!</v>
      </c>
      <c r="D2836" s="12" t="e">
        <f>MID(MAIN!A2841,K2836+2,2)</f>
        <v>#VALUE!</v>
      </c>
      <c r="E2836" s="12" t="e">
        <f>MID(MAIN!A2841,K2836+4,2)</f>
        <v>#VALUE!</v>
      </c>
      <c r="F2836" s="2" t="e">
        <f t="shared" si="177"/>
        <v>#VALUE!</v>
      </c>
      <c r="G2836" s="13" t="e">
        <f t="shared" si="178"/>
        <v>#VALUE!</v>
      </c>
      <c r="J2836" t="str">
        <f>MAIN!A2841&amp;"B"</f>
        <v>B</v>
      </c>
      <c r="K2836" s="12" t="e">
        <f t="shared" si="179"/>
        <v>#VALUE!</v>
      </c>
      <c r="L2836" t="str">
        <f>MAIN!C2841</f>
        <v/>
      </c>
    </row>
    <row r="2837" spans="1:12" x14ac:dyDescent="0.3">
      <c r="A2837">
        <f>IF(J2837="0",0,IF(COUNTIF($J$2:J2837,J2837)=1,1,0))</f>
        <v>0</v>
      </c>
      <c r="B2837" s="12" t="e">
        <f>MID(MAIN!A2842,K2837,2)</f>
        <v>#VALUE!</v>
      </c>
      <c r="C2837" s="12" t="e">
        <f t="shared" si="176"/>
        <v>#VALUE!</v>
      </c>
      <c r="D2837" s="12" t="e">
        <f>MID(MAIN!A2842,K2837+2,2)</f>
        <v>#VALUE!</v>
      </c>
      <c r="E2837" s="12" t="e">
        <f>MID(MAIN!A2842,K2837+4,2)</f>
        <v>#VALUE!</v>
      </c>
      <c r="F2837" s="2" t="e">
        <f t="shared" si="177"/>
        <v>#VALUE!</v>
      </c>
      <c r="G2837" s="13" t="e">
        <f t="shared" si="178"/>
        <v>#VALUE!</v>
      </c>
      <c r="J2837" t="str">
        <f>MAIN!A2842&amp;"B"</f>
        <v>B</v>
      </c>
      <c r="K2837" s="12" t="e">
        <f t="shared" si="179"/>
        <v>#VALUE!</v>
      </c>
      <c r="L2837" t="str">
        <f>MAIN!C2842</f>
        <v/>
      </c>
    </row>
    <row r="2838" spans="1:12" x14ac:dyDescent="0.3">
      <c r="A2838">
        <f>IF(J2838="0",0,IF(COUNTIF($J$2:J2838,J2838)=1,1,0))</f>
        <v>0</v>
      </c>
      <c r="B2838" s="12" t="e">
        <f>MID(MAIN!A2843,K2838,2)</f>
        <v>#VALUE!</v>
      </c>
      <c r="C2838" s="12" t="e">
        <f t="shared" si="176"/>
        <v>#VALUE!</v>
      </c>
      <c r="D2838" s="12" t="e">
        <f>MID(MAIN!A2843,K2838+2,2)</f>
        <v>#VALUE!</v>
      </c>
      <c r="E2838" s="12" t="e">
        <f>MID(MAIN!A2843,K2838+4,2)</f>
        <v>#VALUE!</v>
      </c>
      <c r="F2838" s="2" t="e">
        <f t="shared" si="177"/>
        <v>#VALUE!</v>
      </c>
      <c r="G2838" s="13" t="e">
        <f t="shared" si="178"/>
        <v>#VALUE!</v>
      </c>
      <c r="J2838" t="str">
        <f>MAIN!A2843&amp;"B"</f>
        <v>B</v>
      </c>
      <c r="K2838" s="12" t="e">
        <f t="shared" si="179"/>
        <v>#VALUE!</v>
      </c>
      <c r="L2838" t="str">
        <f>MAIN!C2843</f>
        <v/>
      </c>
    </row>
    <row r="2839" spans="1:12" x14ac:dyDescent="0.3">
      <c r="A2839">
        <f>IF(J2839="0",0,IF(COUNTIF($J$2:J2839,J2839)=1,1,0))</f>
        <v>0</v>
      </c>
      <c r="B2839" s="12" t="e">
        <f>MID(MAIN!A2844,K2839,2)</f>
        <v>#VALUE!</v>
      </c>
      <c r="C2839" s="12" t="e">
        <f t="shared" si="176"/>
        <v>#VALUE!</v>
      </c>
      <c r="D2839" s="12" t="e">
        <f>MID(MAIN!A2844,K2839+2,2)</f>
        <v>#VALUE!</v>
      </c>
      <c r="E2839" s="12" t="e">
        <f>MID(MAIN!A2844,K2839+4,2)</f>
        <v>#VALUE!</v>
      </c>
      <c r="F2839" s="2" t="e">
        <f t="shared" si="177"/>
        <v>#VALUE!</v>
      </c>
      <c r="G2839" s="13" t="e">
        <f t="shared" si="178"/>
        <v>#VALUE!</v>
      </c>
      <c r="J2839" t="str">
        <f>MAIN!A2844&amp;"B"</f>
        <v>B</v>
      </c>
      <c r="K2839" s="12" t="e">
        <f t="shared" si="179"/>
        <v>#VALUE!</v>
      </c>
      <c r="L2839" t="str">
        <f>MAIN!C2844</f>
        <v/>
      </c>
    </row>
    <row r="2840" spans="1:12" x14ac:dyDescent="0.3">
      <c r="A2840">
        <f>IF(J2840="0",0,IF(COUNTIF($J$2:J2840,J2840)=1,1,0))</f>
        <v>0</v>
      </c>
      <c r="B2840" s="12" t="e">
        <f>MID(MAIN!A2845,K2840,2)</f>
        <v>#VALUE!</v>
      </c>
      <c r="C2840" s="12" t="e">
        <f t="shared" si="176"/>
        <v>#VALUE!</v>
      </c>
      <c r="D2840" s="12" t="e">
        <f>MID(MAIN!A2845,K2840+2,2)</f>
        <v>#VALUE!</v>
      </c>
      <c r="E2840" s="12" t="e">
        <f>MID(MAIN!A2845,K2840+4,2)</f>
        <v>#VALUE!</v>
      </c>
      <c r="F2840" s="2" t="e">
        <f t="shared" si="177"/>
        <v>#VALUE!</v>
      </c>
      <c r="G2840" s="13" t="e">
        <f t="shared" si="178"/>
        <v>#VALUE!</v>
      </c>
      <c r="J2840" t="str">
        <f>MAIN!A2845&amp;"B"</f>
        <v>B</v>
      </c>
      <c r="K2840" s="12" t="e">
        <f t="shared" si="179"/>
        <v>#VALUE!</v>
      </c>
      <c r="L2840" t="str">
        <f>MAIN!C2845</f>
        <v/>
      </c>
    </row>
    <row r="2841" spans="1:12" x14ac:dyDescent="0.3">
      <c r="A2841">
        <f>IF(J2841="0",0,IF(COUNTIF($J$2:J2841,J2841)=1,1,0))</f>
        <v>0</v>
      </c>
      <c r="B2841" s="12" t="e">
        <f>MID(MAIN!A2846,K2841,2)</f>
        <v>#VALUE!</v>
      </c>
      <c r="C2841" s="12" t="e">
        <f t="shared" si="176"/>
        <v>#VALUE!</v>
      </c>
      <c r="D2841" s="12" t="e">
        <f>MID(MAIN!A2846,K2841+2,2)</f>
        <v>#VALUE!</v>
      </c>
      <c r="E2841" s="12" t="e">
        <f>MID(MAIN!A2846,K2841+4,2)</f>
        <v>#VALUE!</v>
      </c>
      <c r="F2841" s="2" t="e">
        <f t="shared" si="177"/>
        <v>#VALUE!</v>
      </c>
      <c r="G2841" s="13" t="e">
        <f t="shared" si="178"/>
        <v>#VALUE!</v>
      </c>
      <c r="J2841" t="str">
        <f>MAIN!A2846&amp;"B"</f>
        <v>B</v>
      </c>
      <c r="K2841" s="12" t="e">
        <f t="shared" si="179"/>
        <v>#VALUE!</v>
      </c>
      <c r="L2841" t="str">
        <f>MAIN!C2846</f>
        <v/>
      </c>
    </row>
    <row r="2842" spans="1:12" x14ac:dyDescent="0.3">
      <c r="A2842">
        <f>IF(J2842="0",0,IF(COUNTIF($J$2:J2842,J2842)=1,1,0))</f>
        <v>0</v>
      </c>
      <c r="B2842" s="12" t="e">
        <f>MID(MAIN!A2847,K2842,2)</f>
        <v>#VALUE!</v>
      </c>
      <c r="C2842" s="12" t="e">
        <f t="shared" si="176"/>
        <v>#VALUE!</v>
      </c>
      <c r="D2842" s="12" t="e">
        <f>MID(MAIN!A2847,K2842+2,2)</f>
        <v>#VALUE!</v>
      </c>
      <c r="E2842" s="12" t="e">
        <f>MID(MAIN!A2847,K2842+4,2)</f>
        <v>#VALUE!</v>
      </c>
      <c r="F2842" s="2" t="e">
        <f t="shared" si="177"/>
        <v>#VALUE!</v>
      </c>
      <c r="G2842" s="13" t="e">
        <f t="shared" si="178"/>
        <v>#VALUE!</v>
      </c>
      <c r="J2842" t="str">
        <f>MAIN!A2847&amp;"B"</f>
        <v>B</v>
      </c>
      <c r="K2842" s="12" t="e">
        <f t="shared" si="179"/>
        <v>#VALUE!</v>
      </c>
      <c r="L2842" t="str">
        <f>MAIN!C2847</f>
        <v/>
      </c>
    </row>
    <row r="2843" spans="1:12" x14ac:dyDescent="0.3">
      <c r="A2843">
        <f>IF(J2843="0",0,IF(COUNTIF($J$2:J2843,J2843)=1,1,0))</f>
        <v>0</v>
      </c>
      <c r="B2843" s="12" t="e">
        <f>MID(MAIN!A2848,K2843,2)</f>
        <v>#VALUE!</v>
      </c>
      <c r="C2843" s="12" t="e">
        <f t="shared" si="176"/>
        <v>#VALUE!</v>
      </c>
      <c r="D2843" s="12" t="e">
        <f>MID(MAIN!A2848,K2843+2,2)</f>
        <v>#VALUE!</v>
      </c>
      <c r="E2843" s="12" t="e">
        <f>MID(MAIN!A2848,K2843+4,2)</f>
        <v>#VALUE!</v>
      </c>
      <c r="F2843" s="2" t="e">
        <f t="shared" si="177"/>
        <v>#VALUE!</v>
      </c>
      <c r="G2843" s="13" t="e">
        <f t="shared" si="178"/>
        <v>#VALUE!</v>
      </c>
      <c r="J2843" t="str">
        <f>MAIN!A2848&amp;"B"</f>
        <v>B</v>
      </c>
      <c r="K2843" s="12" t="e">
        <f t="shared" si="179"/>
        <v>#VALUE!</v>
      </c>
      <c r="L2843" t="str">
        <f>MAIN!C2848</f>
        <v/>
      </c>
    </row>
    <row r="2844" spans="1:12" x14ac:dyDescent="0.3">
      <c r="A2844">
        <f>IF(J2844="0",0,IF(COUNTIF($J$2:J2844,J2844)=1,1,0))</f>
        <v>0</v>
      </c>
      <c r="B2844" s="12" t="e">
        <f>MID(MAIN!A2849,K2844,2)</f>
        <v>#VALUE!</v>
      </c>
      <c r="C2844" s="12" t="e">
        <f t="shared" si="176"/>
        <v>#VALUE!</v>
      </c>
      <c r="D2844" s="12" t="e">
        <f>MID(MAIN!A2849,K2844+2,2)</f>
        <v>#VALUE!</v>
      </c>
      <c r="E2844" s="12" t="e">
        <f>MID(MAIN!A2849,K2844+4,2)</f>
        <v>#VALUE!</v>
      </c>
      <c r="F2844" s="2" t="e">
        <f t="shared" si="177"/>
        <v>#VALUE!</v>
      </c>
      <c r="G2844" s="13" t="e">
        <f t="shared" si="178"/>
        <v>#VALUE!</v>
      </c>
      <c r="J2844" t="str">
        <f>MAIN!A2849&amp;"B"</f>
        <v>B</v>
      </c>
      <c r="K2844" s="12" t="e">
        <f t="shared" si="179"/>
        <v>#VALUE!</v>
      </c>
      <c r="L2844" t="str">
        <f>MAIN!C2849</f>
        <v/>
      </c>
    </row>
    <row r="2845" spans="1:12" x14ac:dyDescent="0.3">
      <c r="A2845">
        <f>IF(J2845="0",0,IF(COUNTIF($J$2:J2845,J2845)=1,1,0))</f>
        <v>0</v>
      </c>
      <c r="B2845" s="12" t="e">
        <f>MID(MAIN!A2850,K2845,2)</f>
        <v>#VALUE!</v>
      </c>
      <c r="C2845" s="12" t="e">
        <f t="shared" si="176"/>
        <v>#VALUE!</v>
      </c>
      <c r="D2845" s="12" t="e">
        <f>MID(MAIN!A2850,K2845+2,2)</f>
        <v>#VALUE!</v>
      </c>
      <c r="E2845" s="12" t="e">
        <f>MID(MAIN!A2850,K2845+4,2)</f>
        <v>#VALUE!</v>
      </c>
      <c r="F2845" s="2" t="e">
        <f t="shared" si="177"/>
        <v>#VALUE!</v>
      </c>
      <c r="G2845" s="13" t="e">
        <f t="shared" si="178"/>
        <v>#VALUE!</v>
      </c>
      <c r="J2845" t="str">
        <f>MAIN!A2850&amp;"B"</f>
        <v>B</v>
      </c>
      <c r="K2845" s="12" t="e">
        <f t="shared" si="179"/>
        <v>#VALUE!</v>
      </c>
      <c r="L2845" t="str">
        <f>MAIN!C2850</f>
        <v/>
      </c>
    </row>
    <row r="2846" spans="1:12" x14ac:dyDescent="0.3">
      <c r="A2846">
        <f>IF(J2846="0",0,IF(COUNTIF($J$2:J2846,J2846)=1,1,0))</f>
        <v>0</v>
      </c>
      <c r="B2846" s="12" t="e">
        <f>MID(MAIN!A2851,K2846,2)</f>
        <v>#VALUE!</v>
      </c>
      <c r="C2846" s="12" t="e">
        <f t="shared" si="176"/>
        <v>#VALUE!</v>
      </c>
      <c r="D2846" s="12" t="e">
        <f>MID(MAIN!A2851,K2846+2,2)</f>
        <v>#VALUE!</v>
      </c>
      <c r="E2846" s="12" t="e">
        <f>MID(MAIN!A2851,K2846+4,2)</f>
        <v>#VALUE!</v>
      </c>
      <c r="F2846" s="2" t="e">
        <f t="shared" si="177"/>
        <v>#VALUE!</v>
      </c>
      <c r="G2846" s="13" t="e">
        <f t="shared" si="178"/>
        <v>#VALUE!</v>
      </c>
      <c r="J2846" t="str">
        <f>MAIN!A2851&amp;"B"</f>
        <v>B</v>
      </c>
      <c r="K2846" s="12" t="e">
        <f t="shared" si="179"/>
        <v>#VALUE!</v>
      </c>
      <c r="L2846" t="str">
        <f>MAIN!C2851</f>
        <v/>
      </c>
    </row>
    <row r="2847" spans="1:12" x14ac:dyDescent="0.3">
      <c r="A2847">
        <f>IF(J2847="0",0,IF(COUNTIF($J$2:J2847,J2847)=1,1,0))</f>
        <v>0</v>
      </c>
      <c r="B2847" s="12" t="e">
        <f>MID(MAIN!A2852,K2847,2)</f>
        <v>#VALUE!</v>
      </c>
      <c r="C2847" s="12" t="e">
        <f t="shared" si="176"/>
        <v>#VALUE!</v>
      </c>
      <c r="D2847" s="12" t="e">
        <f>MID(MAIN!A2852,K2847+2,2)</f>
        <v>#VALUE!</v>
      </c>
      <c r="E2847" s="12" t="e">
        <f>MID(MAIN!A2852,K2847+4,2)</f>
        <v>#VALUE!</v>
      </c>
      <c r="F2847" s="2" t="e">
        <f t="shared" si="177"/>
        <v>#VALUE!</v>
      </c>
      <c r="G2847" s="13" t="e">
        <f t="shared" si="178"/>
        <v>#VALUE!</v>
      </c>
      <c r="J2847" t="str">
        <f>MAIN!A2852&amp;"B"</f>
        <v>B</v>
      </c>
      <c r="K2847" s="12" t="e">
        <f t="shared" si="179"/>
        <v>#VALUE!</v>
      </c>
      <c r="L2847" t="str">
        <f>MAIN!C2852</f>
        <v/>
      </c>
    </row>
    <row r="2848" spans="1:12" x14ac:dyDescent="0.3">
      <c r="A2848">
        <f>IF(J2848="0",0,IF(COUNTIF($J$2:J2848,J2848)=1,1,0))</f>
        <v>0</v>
      </c>
      <c r="B2848" s="12" t="e">
        <f>MID(MAIN!A2853,K2848,2)</f>
        <v>#VALUE!</v>
      </c>
      <c r="C2848" s="12" t="e">
        <f t="shared" si="176"/>
        <v>#VALUE!</v>
      </c>
      <c r="D2848" s="12" t="e">
        <f>MID(MAIN!A2853,K2848+2,2)</f>
        <v>#VALUE!</v>
      </c>
      <c r="E2848" s="12" t="e">
        <f>MID(MAIN!A2853,K2848+4,2)</f>
        <v>#VALUE!</v>
      </c>
      <c r="F2848" s="2" t="e">
        <f t="shared" si="177"/>
        <v>#VALUE!</v>
      </c>
      <c r="G2848" s="13" t="e">
        <f t="shared" si="178"/>
        <v>#VALUE!</v>
      </c>
      <c r="J2848" t="str">
        <f>MAIN!A2853&amp;"B"</f>
        <v>B</v>
      </c>
      <c r="K2848" s="12" t="e">
        <f t="shared" si="179"/>
        <v>#VALUE!</v>
      </c>
      <c r="L2848" t="str">
        <f>MAIN!C2853</f>
        <v/>
      </c>
    </row>
    <row r="2849" spans="1:12" x14ac:dyDescent="0.3">
      <c r="A2849">
        <f>IF(J2849="0",0,IF(COUNTIF($J$2:J2849,J2849)=1,1,0))</f>
        <v>0</v>
      </c>
      <c r="B2849" s="12" t="e">
        <f>MID(MAIN!A2854,K2849,2)</f>
        <v>#VALUE!</v>
      </c>
      <c r="C2849" s="12" t="e">
        <f t="shared" si="176"/>
        <v>#VALUE!</v>
      </c>
      <c r="D2849" s="12" t="e">
        <f>MID(MAIN!A2854,K2849+2,2)</f>
        <v>#VALUE!</v>
      </c>
      <c r="E2849" s="12" t="e">
        <f>MID(MAIN!A2854,K2849+4,2)</f>
        <v>#VALUE!</v>
      </c>
      <c r="F2849" s="2" t="e">
        <f t="shared" si="177"/>
        <v>#VALUE!</v>
      </c>
      <c r="G2849" s="13" t="e">
        <f t="shared" si="178"/>
        <v>#VALUE!</v>
      </c>
      <c r="J2849" t="str">
        <f>MAIN!A2854&amp;"B"</f>
        <v>B</v>
      </c>
      <c r="K2849" s="12" t="e">
        <f t="shared" si="179"/>
        <v>#VALUE!</v>
      </c>
      <c r="L2849" t="str">
        <f>MAIN!C2854</f>
        <v/>
      </c>
    </row>
    <row r="2850" spans="1:12" x14ac:dyDescent="0.3">
      <c r="A2850">
        <f>IF(J2850="0",0,IF(COUNTIF($J$2:J2850,J2850)=1,1,0))</f>
        <v>0</v>
      </c>
      <c r="B2850" s="12" t="e">
        <f>MID(MAIN!A2855,K2850,2)</f>
        <v>#VALUE!</v>
      </c>
      <c r="C2850" s="12" t="e">
        <f t="shared" si="176"/>
        <v>#VALUE!</v>
      </c>
      <c r="D2850" s="12" t="e">
        <f>MID(MAIN!A2855,K2850+2,2)</f>
        <v>#VALUE!</v>
      </c>
      <c r="E2850" s="12" t="e">
        <f>MID(MAIN!A2855,K2850+4,2)</f>
        <v>#VALUE!</v>
      </c>
      <c r="F2850" s="2" t="e">
        <f t="shared" si="177"/>
        <v>#VALUE!</v>
      </c>
      <c r="G2850" s="13" t="e">
        <f t="shared" si="178"/>
        <v>#VALUE!</v>
      </c>
      <c r="J2850" t="str">
        <f>MAIN!A2855&amp;"B"</f>
        <v>B</v>
      </c>
      <c r="K2850" s="12" t="e">
        <f t="shared" si="179"/>
        <v>#VALUE!</v>
      </c>
      <c r="L2850" t="str">
        <f>MAIN!C2855</f>
        <v/>
      </c>
    </row>
    <row r="2851" spans="1:12" x14ac:dyDescent="0.3">
      <c r="A2851">
        <f>IF(J2851="0",0,IF(COUNTIF($J$2:J2851,J2851)=1,1,0))</f>
        <v>0</v>
      </c>
      <c r="B2851" s="12" t="e">
        <f>MID(MAIN!A2856,K2851,2)</f>
        <v>#VALUE!</v>
      </c>
      <c r="C2851" s="12" t="e">
        <f t="shared" si="176"/>
        <v>#VALUE!</v>
      </c>
      <c r="D2851" s="12" t="e">
        <f>MID(MAIN!A2856,K2851+2,2)</f>
        <v>#VALUE!</v>
      </c>
      <c r="E2851" s="12" t="e">
        <f>MID(MAIN!A2856,K2851+4,2)</f>
        <v>#VALUE!</v>
      </c>
      <c r="F2851" s="2" t="e">
        <f t="shared" si="177"/>
        <v>#VALUE!</v>
      </c>
      <c r="G2851" s="13" t="e">
        <f t="shared" si="178"/>
        <v>#VALUE!</v>
      </c>
      <c r="J2851" t="str">
        <f>MAIN!A2856&amp;"B"</f>
        <v>B</v>
      </c>
      <c r="K2851" s="12" t="e">
        <f t="shared" si="179"/>
        <v>#VALUE!</v>
      </c>
      <c r="L2851" t="str">
        <f>MAIN!C2856</f>
        <v/>
      </c>
    </row>
    <row r="2852" spans="1:12" x14ac:dyDescent="0.3">
      <c r="A2852">
        <f>IF(J2852="0",0,IF(COUNTIF($J$2:J2852,J2852)=1,1,0))</f>
        <v>0</v>
      </c>
      <c r="B2852" s="12" t="e">
        <f>MID(MAIN!A2857,K2852,2)</f>
        <v>#VALUE!</v>
      </c>
      <c r="C2852" s="12" t="e">
        <f t="shared" si="176"/>
        <v>#VALUE!</v>
      </c>
      <c r="D2852" s="12" t="e">
        <f>MID(MAIN!A2857,K2852+2,2)</f>
        <v>#VALUE!</v>
      </c>
      <c r="E2852" s="12" t="e">
        <f>MID(MAIN!A2857,K2852+4,2)</f>
        <v>#VALUE!</v>
      </c>
      <c r="F2852" s="2" t="e">
        <f t="shared" si="177"/>
        <v>#VALUE!</v>
      </c>
      <c r="G2852" s="13" t="e">
        <f t="shared" si="178"/>
        <v>#VALUE!</v>
      </c>
      <c r="J2852" t="str">
        <f>MAIN!A2857&amp;"B"</f>
        <v>B</v>
      </c>
      <c r="K2852" s="12" t="e">
        <f t="shared" si="179"/>
        <v>#VALUE!</v>
      </c>
      <c r="L2852" t="str">
        <f>MAIN!C2857</f>
        <v/>
      </c>
    </row>
    <row r="2853" spans="1:12" x14ac:dyDescent="0.3">
      <c r="A2853">
        <f>IF(J2853="0",0,IF(COUNTIF($J$2:J2853,J2853)=1,1,0))</f>
        <v>0</v>
      </c>
      <c r="B2853" s="12" t="e">
        <f>MID(MAIN!A2858,K2853,2)</f>
        <v>#VALUE!</v>
      </c>
      <c r="C2853" s="12" t="e">
        <f t="shared" si="176"/>
        <v>#VALUE!</v>
      </c>
      <c r="D2853" s="12" t="e">
        <f>MID(MAIN!A2858,K2853+2,2)</f>
        <v>#VALUE!</v>
      </c>
      <c r="E2853" s="12" t="e">
        <f>MID(MAIN!A2858,K2853+4,2)</f>
        <v>#VALUE!</v>
      </c>
      <c r="F2853" s="2" t="e">
        <f t="shared" si="177"/>
        <v>#VALUE!</v>
      </c>
      <c r="G2853" s="13" t="e">
        <f t="shared" si="178"/>
        <v>#VALUE!</v>
      </c>
      <c r="J2853" t="str">
        <f>MAIN!A2858&amp;"B"</f>
        <v>B</v>
      </c>
      <c r="K2853" s="12" t="e">
        <f t="shared" si="179"/>
        <v>#VALUE!</v>
      </c>
      <c r="L2853" t="str">
        <f>MAIN!C2858</f>
        <v/>
      </c>
    </row>
    <row r="2854" spans="1:12" x14ac:dyDescent="0.3">
      <c r="A2854">
        <f>IF(J2854="0",0,IF(COUNTIF($J$2:J2854,J2854)=1,1,0))</f>
        <v>0</v>
      </c>
      <c r="B2854" s="12" t="e">
        <f>MID(MAIN!A2859,K2854,2)</f>
        <v>#VALUE!</v>
      </c>
      <c r="C2854" s="12" t="e">
        <f t="shared" si="176"/>
        <v>#VALUE!</v>
      </c>
      <c r="D2854" s="12" t="e">
        <f>MID(MAIN!A2859,K2854+2,2)</f>
        <v>#VALUE!</v>
      </c>
      <c r="E2854" s="12" t="e">
        <f>MID(MAIN!A2859,K2854+4,2)</f>
        <v>#VALUE!</v>
      </c>
      <c r="F2854" s="2" t="e">
        <f t="shared" si="177"/>
        <v>#VALUE!</v>
      </c>
      <c r="G2854" s="13" t="e">
        <f t="shared" si="178"/>
        <v>#VALUE!</v>
      </c>
      <c r="J2854" t="str">
        <f>MAIN!A2859&amp;"B"</f>
        <v>B</v>
      </c>
      <c r="K2854" s="12" t="e">
        <f t="shared" si="179"/>
        <v>#VALUE!</v>
      </c>
      <c r="L2854" t="str">
        <f>MAIN!C2859</f>
        <v/>
      </c>
    </row>
    <row r="2855" spans="1:12" x14ac:dyDescent="0.3">
      <c r="A2855">
        <f>IF(J2855="0",0,IF(COUNTIF($J$2:J2855,J2855)=1,1,0))</f>
        <v>0</v>
      </c>
      <c r="B2855" s="12" t="e">
        <f>MID(MAIN!A2860,K2855,2)</f>
        <v>#VALUE!</v>
      </c>
      <c r="C2855" s="12" t="e">
        <f t="shared" si="176"/>
        <v>#VALUE!</v>
      </c>
      <c r="D2855" s="12" t="e">
        <f>MID(MAIN!A2860,K2855+2,2)</f>
        <v>#VALUE!</v>
      </c>
      <c r="E2855" s="12" t="e">
        <f>MID(MAIN!A2860,K2855+4,2)</f>
        <v>#VALUE!</v>
      </c>
      <c r="F2855" s="2" t="e">
        <f t="shared" si="177"/>
        <v>#VALUE!</v>
      </c>
      <c r="G2855" s="13" t="e">
        <f t="shared" si="178"/>
        <v>#VALUE!</v>
      </c>
      <c r="J2855" t="str">
        <f>MAIN!A2860&amp;"B"</f>
        <v>B</v>
      </c>
      <c r="K2855" s="12" t="e">
        <f t="shared" si="179"/>
        <v>#VALUE!</v>
      </c>
      <c r="L2855" t="str">
        <f>MAIN!C2860</f>
        <v/>
      </c>
    </row>
    <row r="2856" spans="1:12" x14ac:dyDescent="0.3">
      <c r="A2856">
        <f>IF(J2856="0",0,IF(COUNTIF($J$2:J2856,J2856)=1,1,0))</f>
        <v>0</v>
      </c>
      <c r="B2856" s="12" t="e">
        <f>MID(MAIN!A2861,K2856,2)</f>
        <v>#VALUE!</v>
      </c>
      <c r="C2856" s="12" t="e">
        <f t="shared" si="176"/>
        <v>#VALUE!</v>
      </c>
      <c r="D2856" s="12" t="e">
        <f>MID(MAIN!A2861,K2856+2,2)</f>
        <v>#VALUE!</v>
      </c>
      <c r="E2856" s="12" t="e">
        <f>MID(MAIN!A2861,K2856+4,2)</f>
        <v>#VALUE!</v>
      </c>
      <c r="F2856" s="2" t="e">
        <f t="shared" si="177"/>
        <v>#VALUE!</v>
      </c>
      <c r="G2856" s="13" t="e">
        <f t="shared" si="178"/>
        <v>#VALUE!</v>
      </c>
      <c r="J2856" t="str">
        <f>MAIN!A2861&amp;"B"</f>
        <v>B</v>
      </c>
      <c r="K2856" s="12" t="e">
        <f t="shared" si="179"/>
        <v>#VALUE!</v>
      </c>
      <c r="L2856" t="str">
        <f>MAIN!C2861</f>
        <v/>
      </c>
    </row>
    <row r="2857" spans="1:12" x14ac:dyDescent="0.3">
      <c r="A2857">
        <f>IF(J2857="0",0,IF(COUNTIF($J$2:J2857,J2857)=1,1,0))</f>
        <v>0</v>
      </c>
      <c r="B2857" s="12" t="e">
        <f>MID(MAIN!A2862,K2857,2)</f>
        <v>#VALUE!</v>
      </c>
      <c r="C2857" s="12" t="e">
        <f t="shared" si="176"/>
        <v>#VALUE!</v>
      </c>
      <c r="D2857" s="12" t="e">
        <f>MID(MAIN!A2862,K2857+2,2)</f>
        <v>#VALUE!</v>
      </c>
      <c r="E2857" s="12" t="e">
        <f>MID(MAIN!A2862,K2857+4,2)</f>
        <v>#VALUE!</v>
      </c>
      <c r="F2857" s="2" t="e">
        <f t="shared" si="177"/>
        <v>#VALUE!</v>
      </c>
      <c r="G2857" s="13" t="e">
        <f t="shared" si="178"/>
        <v>#VALUE!</v>
      </c>
      <c r="J2857" t="str">
        <f>MAIN!A2862&amp;"B"</f>
        <v>B</v>
      </c>
      <c r="K2857" s="12" t="e">
        <f t="shared" si="179"/>
        <v>#VALUE!</v>
      </c>
      <c r="L2857" t="str">
        <f>MAIN!C2862</f>
        <v/>
      </c>
    </row>
    <row r="2858" spans="1:12" x14ac:dyDescent="0.3">
      <c r="A2858">
        <f>IF(J2858="0",0,IF(COUNTIF($J$2:J2858,J2858)=1,1,0))</f>
        <v>0</v>
      </c>
      <c r="B2858" s="12" t="e">
        <f>MID(MAIN!A2863,K2858,2)</f>
        <v>#VALUE!</v>
      </c>
      <c r="C2858" s="12" t="e">
        <f t="shared" si="176"/>
        <v>#VALUE!</v>
      </c>
      <c r="D2858" s="12" t="e">
        <f>MID(MAIN!A2863,K2858+2,2)</f>
        <v>#VALUE!</v>
      </c>
      <c r="E2858" s="12" t="e">
        <f>MID(MAIN!A2863,K2858+4,2)</f>
        <v>#VALUE!</v>
      </c>
      <c r="F2858" s="2" t="e">
        <f t="shared" si="177"/>
        <v>#VALUE!</v>
      </c>
      <c r="G2858" s="13" t="e">
        <f t="shared" si="178"/>
        <v>#VALUE!</v>
      </c>
      <c r="J2858" t="str">
        <f>MAIN!A2863&amp;"B"</f>
        <v>B</v>
      </c>
      <c r="K2858" s="12" t="e">
        <f t="shared" si="179"/>
        <v>#VALUE!</v>
      </c>
      <c r="L2858" t="str">
        <f>MAIN!C2863</f>
        <v/>
      </c>
    </row>
    <row r="2859" spans="1:12" x14ac:dyDescent="0.3">
      <c r="A2859">
        <f>IF(J2859="0",0,IF(COUNTIF($J$2:J2859,J2859)=1,1,0))</f>
        <v>0</v>
      </c>
      <c r="B2859" s="12" t="e">
        <f>MID(MAIN!A2864,K2859,2)</f>
        <v>#VALUE!</v>
      </c>
      <c r="C2859" s="12" t="e">
        <f t="shared" si="176"/>
        <v>#VALUE!</v>
      </c>
      <c r="D2859" s="12" t="e">
        <f>MID(MAIN!A2864,K2859+2,2)</f>
        <v>#VALUE!</v>
      </c>
      <c r="E2859" s="12" t="e">
        <f>MID(MAIN!A2864,K2859+4,2)</f>
        <v>#VALUE!</v>
      </c>
      <c r="F2859" s="2" t="e">
        <f t="shared" si="177"/>
        <v>#VALUE!</v>
      </c>
      <c r="G2859" s="13" t="e">
        <f t="shared" si="178"/>
        <v>#VALUE!</v>
      </c>
      <c r="J2859" t="str">
        <f>MAIN!A2864&amp;"B"</f>
        <v>B</v>
      </c>
      <c r="K2859" s="12" t="e">
        <f t="shared" si="179"/>
        <v>#VALUE!</v>
      </c>
      <c r="L2859" t="str">
        <f>MAIN!C2864</f>
        <v/>
      </c>
    </row>
    <row r="2860" spans="1:12" x14ac:dyDescent="0.3">
      <c r="A2860">
        <f>IF(J2860="0",0,IF(COUNTIF($J$2:J2860,J2860)=1,1,0))</f>
        <v>0</v>
      </c>
      <c r="B2860" s="12" t="e">
        <f>MID(MAIN!A2865,K2860,2)</f>
        <v>#VALUE!</v>
      </c>
      <c r="C2860" s="12" t="e">
        <f t="shared" si="176"/>
        <v>#VALUE!</v>
      </c>
      <c r="D2860" s="12" t="e">
        <f>MID(MAIN!A2865,K2860+2,2)</f>
        <v>#VALUE!</v>
      </c>
      <c r="E2860" s="12" t="e">
        <f>MID(MAIN!A2865,K2860+4,2)</f>
        <v>#VALUE!</v>
      </c>
      <c r="F2860" s="2" t="e">
        <f t="shared" si="177"/>
        <v>#VALUE!</v>
      </c>
      <c r="G2860" s="13" t="e">
        <f t="shared" si="178"/>
        <v>#VALUE!</v>
      </c>
      <c r="J2860" t="str">
        <f>MAIN!A2865&amp;"B"</f>
        <v>B</v>
      </c>
      <c r="K2860" s="12" t="e">
        <f t="shared" si="179"/>
        <v>#VALUE!</v>
      </c>
      <c r="L2860" t="str">
        <f>MAIN!C2865</f>
        <v/>
      </c>
    </row>
    <row r="2861" spans="1:12" x14ac:dyDescent="0.3">
      <c r="A2861">
        <f>IF(J2861="0",0,IF(COUNTIF($J$2:J2861,J2861)=1,1,0))</f>
        <v>0</v>
      </c>
      <c r="B2861" s="12" t="e">
        <f>MID(MAIN!A2866,K2861,2)</f>
        <v>#VALUE!</v>
      </c>
      <c r="C2861" s="12" t="e">
        <f t="shared" si="176"/>
        <v>#VALUE!</v>
      </c>
      <c r="D2861" s="12" t="e">
        <f>MID(MAIN!A2866,K2861+2,2)</f>
        <v>#VALUE!</v>
      </c>
      <c r="E2861" s="12" t="e">
        <f>MID(MAIN!A2866,K2861+4,2)</f>
        <v>#VALUE!</v>
      </c>
      <c r="F2861" s="2" t="e">
        <f t="shared" si="177"/>
        <v>#VALUE!</v>
      </c>
      <c r="G2861" s="13" t="e">
        <f t="shared" si="178"/>
        <v>#VALUE!</v>
      </c>
      <c r="J2861" t="str">
        <f>MAIN!A2866&amp;"B"</f>
        <v>B</v>
      </c>
      <c r="K2861" s="12" t="e">
        <f t="shared" si="179"/>
        <v>#VALUE!</v>
      </c>
      <c r="L2861" t="str">
        <f>MAIN!C2866</f>
        <v/>
      </c>
    </row>
    <row r="2862" spans="1:12" x14ac:dyDescent="0.3">
      <c r="A2862">
        <f>IF(J2862="0",0,IF(COUNTIF($J$2:J2862,J2862)=1,1,0))</f>
        <v>0</v>
      </c>
      <c r="B2862" s="12" t="e">
        <f>MID(MAIN!A2867,K2862,2)</f>
        <v>#VALUE!</v>
      </c>
      <c r="C2862" s="12" t="e">
        <f t="shared" si="176"/>
        <v>#VALUE!</v>
      </c>
      <c r="D2862" s="12" t="e">
        <f>MID(MAIN!A2867,K2862+2,2)</f>
        <v>#VALUE!</v>
      </c>
      <c r="E2862" s="12" t="e">
        <f>MID(MAIN!A2867,K2862+4,2)</f>
        <v>#VALUE!</v>
      </c>
      <c r="F2862" s="2" t="e">
        <f t="shared" si="177"/>
        <v>#VALUE!</v>
      </c>
      <c r="G2862" s="13" t="e">
        <f t="shared" si="178"/>
        <v>#VALUE!</v>
      </c>
      <c r="J2862" t="str">
        <f>MAIN!A2867&amp;"B"</f>
        <v>B</v>
      </c>
      <c r="K2862" s="12" t="e">
        <f t="shared" si="179"/>
        <v>#VALUE!</v>
      </c>
      <c r="L2862" t="str">
        <f>MAIN!C2867</f>
        <v/>
      </c>
    </row>
    <row r="2863" spans="1:12" x14ac:dyDescent="0.3">
      <c r="A2863">
        <f>IF(J2863="0",0,IF(COUNTIF($J$2:J2863,J2863)=1,1,0))</f>
        <v>0</v>
      </c>
      <c r="B2863" s="12" t="e">
        <f>MID(MAIN!A2868,K2863,2)</f>
        <v>#VALUE!</v>
      </c>
      <c r="C2863" s="12" t="e">
        <f t="shared" si="176"/>
        <v>#VALUE!</v>
      </c>
      <c r="D2863" s="12" t="e">
        <f>MID(MAIN!A2868,K2863+2,2)</f>
        <v>#VALUE!</v>
      </c>
      <c r="E2863" s="12" t="e">
        <f>MID(MAIN!A2868,K2863+4,2)</f>
        <v>#VALUE!</v>
      </c>
      <c r="F2863" s="2" t="e">
        <f t="shared" si="177"/>
        <v>#VALUE!</v>
      </c>
      <c r="G2863" s="13" t="e">
        <f t="shared" si="178"/>
        <v>#VALUE!</v>
      </c>
      <c r="J2863" t="str">
        <f>MAIN!A2868&amp;"B"</f>
        <v>B</v>
      </c>
      <c r="K2863" s="12" t="e">
        <f t="shared" si="179"/>
        <v>#VALUE!</v>
      </c>
      <c r="L2863" t="str">
        <f>MAIN!C2868</f>
        <v/>
      </c>
    </row>
    <row r="2864" spans="1:12" x14ac:dyDescent="0.3">
      <c r="A2864">
        <f>IF(J2864="0",0,IF(COUNTIF($J$2:J2864,J2864)=1,1,0))</f>
        <v>0</v>
      </c>
      <c r="B2864" s="12" t="e">
        <f>MID(MAIN!A2869,K2864,2)</f>
        <v>#VALUE!</v>
      </c>
      <c r="C2864" s="12" t="e">
        <f t="shared" si="176"/>
        <v>#VALUE!</v>
      </c>
      <c r="D2864" s="12" t="e">
        <f>MID(MAIN!A2869,K2864+2,2)</f>
        <v>#VALUE!</v>
      </c>
      <c r="E2864" s="12" t="e">
        <f>MID(MAIN!A2869,K2864+4,2)</f>
        <v>#VALUE!</v>
      </c>
      <c r="F2864" s="2" t="e">
        <f t="shared" si="177"/>
        <v>#VALUE!</v>
      </c>
      <c r="G2864" s="13" t="e">
        <f t="shared" si="178"/>
        <v>#VALUE!</v>
      </c>
      <c r="J2864" t="str">
        <f>MAIN!A2869&amp;"B"</f>
        <v>B</v>
      </c>
      <c r="K2864" s="12" t="e">
        <f t="shared" si="179"/>
        <v>#VALUE!</v>
      </c>
      <c r="L2864" t="str">
        <f>MAIN!C2869</f>
        <v/>
      </c>
    </row>
    <row r="2865" spans="1:12" x14ac:dyDescent="0.3">
      <c r="A2865">
        <f>IF(J2865="0",0,IF(COUNTIF($J$2:J2865,J2865)=1,1,0))</f>
        <v>0</v>
      </c>
      <c r="B2865" s="12" t="e">
        <f>MID(MAIN!A2870,K2865,2)</f>
        <v>#VALUE!</v>
      </c>
      <c r="C2865" s="12" t="e">
        <f t="shared" si="176"/>
        <v>#VALUE!</v>
      </c>
      <c r="D2865" s="12" t="e">
        <f>MID(MAIN!A2870,K2865+2,2)</f>
        <v>#VALUE!</v>
      </c>
      <c r="E2865" s="12" t="e">
        <f>MID(MAIN!A2870,K2865+4,2)</f>
        <v>#VALUE!</v>
      </c>
      <c r="F2865" s="2" t="e">
        <f t="shared" si="177"/>
        <v>#VALUE!</v>
      </c>
      <c r="G2865" s="13" t="e">
        <f t="shared" si="178"/>
        <v>#VALUE!</v>
      </c>
      <c r="J2865" t="str">
        <f>MAIN!A2870&amp;"B"</f>
        <v>B</v>
      </c>
      <c r="K2865" s="12" t="e">
        <f t="shared" si="179"/>
        <v>#VALUE!</v>
      </c>
      <c r="L2865" t="str">
        <f>MAIN!C2870</f>
        <v/>
      </c>
    </row>
    <row r="2866" spans="1:12" x14ac:dyDescent="0.3">
      <c r="A2866">
        <f>IF(J2866="0",0,IF(COUNTIF($J$2:J2866,J2866)=1,1,0))</f>
        <v>0</v>
      </c>
      <c r="B2866" s="12" t="e">
        <f>MID(MAIN!A2871,K2866,2)</f>
        <v>#VALUE!</v>
      </c>
      <c r="C2866" s="12" t="e">
        <f t="shared" si="176"/>
        <v>#VALUE!</v>
      </c>
      <c r="D2866" s="12" t="e">
        <f>MID(MAIN!A2871,K2866+2,2)</f>
        <v>#VALUE!</v>
      </c>
      <c r="E2866" s="12" t="e">
        <f>MID(MAIN!A2871,K2866+4,2)</f>
        <v>#VALUE!</v>
      </c>
      <c r="F2866" s="2" t="e">
        <f t="shared" si="177"/>
        <v>#VALUE!</v>
      </c>
      <c r="G2866" s="13" t="e">
        <f t="shared" si="178"/>
        <v>#VALUE!</v>
      </c>
      <c r="J2866" t="str">
        <f>MAIN!A2871&amp;"B"</f>
        <v>B</v>
      </c>
      <c r="K2866" s="12" t="e">
        <f t="shared" si="179"/>
        <v>#VALUE!</v>
      </c>
      <c r="L2866" t="str">
        <f>MAIN!C2871</f>
        <v/>
      </c>
    </row>
    <row r="2867" spans="1:12" x14ac:dyDescent="0.3">
      <c r="A2867">
        <f>IF(J2867="0",0,IF(COUNTIF($J$2:J2867,J2867)=1,1,0))</f>
        <v>0</v>
      </c>
      <c r="B2867" s="12" t="e">
        <f>MID(MAIN!A2872,K2867,2)</f>
        <v>#VALUE!</v>
      </c>
      <c r="C2867" s="12" t="e">
        <f t="shared" si="176"/>
        <v>#VALUE!</v>
      </c>
      <c r="D2867" s="12" t="e">
        <f>MID(MAIN!A2872,K2867+2,2)</f>
        <v>#VALUE!</v>
      </c>
      <c r="E2867" s="12" t="e">
        <f>MID(MAIN!A2872,K2867+4,2)</f>
        <v>#VALUE!</v>
      </c>
      <c r="F2867" s="2" t="e">
        <f t="shared" si="177"/>
        <v>#VALUE!</v>
      </c>
      <c r="G2867" s="13" t="e">
        <f t="shared" si="178"/>
        <v>#VALUE!</v>
      </c>
      <c r="J2867" t="str">
        <f>MAIN!A2872&amp;"B"</f>
        <v>B</v>
      </c>
      <c r="K2867" s="12" t="e">
        <f t="shared" si="179"/>
        <v>#VALUE!</v>
      </c>
      <c r="L2867" t="str">
        <f>MAIN!C2872</f>
        <v/>
      </c>
    </row>
    <row r="2868" spans="1:12" x14ac:dyDescent="0.3">
      <c r="A2868">
        <f>IF(J2868="0",0,IF(COUNTIF($J$2:J2868,J2868)=1,1,0))</f>
        <v>0</v>
      </c>
      <c r="B2868" s="12" t="e">
        <f>MID(MAIN!A2873,K2868,2)</f>
        <v>#VALUE!</v>
      </c>
      <c r="C2868" s="12" t="e">
        <f t="shared" si="176"/>
        <v>#VALUE!</v>
      </c>
      <c r="D2868" s="12" t="e">
        <f>MID(MAIN!A2873,K2868+2,2)</f>
        <v>#VALUE!</v>
      </c>
      <c r="E2868" s="12" t="e">
        <f>MID(MAIN!A2873,K2868+4,2)</f>
        <v>#VALUE!</v>
      </c>
      <c r="F2868" s="2" t="e">
        <f t="shared" si="177"/>
        <v>#VALUE!</v>
      </c>
      <c r="G2868" s="13" t="e">
        <f t="shared" si="178"/>
        <v>#VALUE!</v>
      </c>
      <c r="J2868" t="str">
        <f>MAIN!A2873&amp;"B"</f>
        <v>B</v>
      </c>
      <c r="K2868" s="12" t="e">
        <f t="shared" si="179"/>
        <v>#VALUE!</v>
      </c>
      <c r="L2868" t="str">
        <f>MAIN!C2873</f>
        <v/>
      </c>
    </row>
    <row r="2869" spans="1:12" x14ac:dyDescent="0.3">
      <c r="A2869">
        <f>IF(J2869="0",0,IF(COUNTIF($J$2:J2869,J2869)=1,1,0))</f>
        <v>0</v>
      </c>
      <c r="B2869" s="12" t="e">
        <f>MID(MAIN!A2874,K2869,2)</f>
        <v>#VALUE!</v>
      </c>
      <c r="C2869" s="12" t="e">
        <f t="shared" si="176"/>
        <v>#VALUE!</v>
      </c>
      <c r="D2869" s="12" t="e">
        <f>MID(MAIN!A2874,K2869+2,2)</f>
        <v>#VALUE!</v>
      </c>
      <c r="E2869" s="12" t="e">
        <f>MID(MAIN!A2874,K2869+4,2)</f>
        <v>#VALUE!</v>
      </c>
      <c r="F2869" s="2" t="e">
        <f t="shared" si="177"/>
        <v>#VALUE!</v>
      </c>
      <c r="G2869" s="13" t="e">
        <f t="shared" si="178"/>
        <v>#VALUE!</v>
      </c>
      <c r="J2869" t="str">
        <f>MAIN!A2874&amp;"B"</f>
        <v>B</v>
      </c>
      <c r="K2869" s="12" t="e">
        <f t="shared" si="179"/>
        <v>#VALUE!</v>
      </c>
      <c r="L2869" t="str">
        <f>MAIN!C2874</f>
        <v/>
      </c>
    </row>
    <row r="2870" spans="1:12" x14ac:dyDescent="0.3">
      <c r="A2870">
        <f>IF(J2870="0",0,IF(COUNTIF($J$2:J2870,J2870)=1,1,0))</f>
        <v>0</v>
      </c>
      <c r="B2870" s="12" t="e">
        <f>MID(MAIN!A2875,K2870,2)</f>
        <v>#VALUE!</v>
      </c>
      <c r="C2870" s="12" t="e">
        <f t="shared" si="176"/>
        <v>#VALUE!</v>
      </c>
      <c r="D2870" s="12" t="e">
        <f>MID(MAIN!A2875,K2870+2,2)</f>
        <v>#VALUE!</v>
      </c>
      <c r="E2870" s="12" t="e">
        <f>MID(MAIN!A2875,K2870+4,2)</f>
        <v>#VALUE!</v>
      </c>
      <c r="F2870" s="2" t="e">
        <f t="shared" si="177"/>
        <v>#VALUE!</v>
      </c>
      <c r="G2870" s="13" t="e">
        <f t="shared" si="178"/>
        <v>#VALUE!</v>
      </c>
      <c r="J2870" t="str">
        <f>MAIN!A2875&amp;"B"</f>
        <v>B</v>
      </c>
      <c r="K2870" s="12" t="e">
        <f t="shared" si="179"/>
        <v>#VALUE!</v>
      </c>
      <c r="L2870" t="str">
        <f>MAIN!C2875</f>
        <v/>
      </c>
    </row>
    <row r="2871" spans="1:12" x14ac:dyDescent="0.3">
      <c r="A2871">
        <f>IF(J2871="0",0,IF(COUNTIF($J$2:J2871,J2871)=1,1,0))</f>
        <v>0</v>
      </c>
      <c r="B2871" s="12" t="e">
        <f>MID(MAIN!A2876,K2871,2)</f>
        <v>#VALUE!</v>
      </c>
      <c r="C2871" s="12" t="e">
        <f t="shared" si="176"/>
        <v>#VALUE!</v>
      </c>
      <c r="D2871" s="12" t="e">
        <f>MID(MAIN!A2876,K2871+2,2)</f>
        <v>#VALUE!</v>
      </c>
      <c r="E2871" s="12" t="e">
        <f>MID(MAIN!A2876,K2871+4,2)</f>
        <v>#VALUE!</v>
      </c>
      <c r="F2871" s="2" t="e">
        <f t="shared" si="177"/>
        <v>#VALUE!</v>
      </c>
      <c r="G2871" s="13" t="e">
        <f t="shared" si="178"/>
        <v>#VALUE!</v>
      </c>
      <c r="J2871" t="str">
        <f>MAIN!A2876&amp;"B"</f>
        <v>B</v>
      </c>
      <c r="K2871" s="12" t="e">
        <f t="shared" si="179"/>
        <v>#VALUE!</v>
      </c>
      <c r="L2871" t="str">
        <f>MAIN!C2876</f>
        <v/>
      </c>
    </row>
    <row r="2872" spans="1:12" x14ac:dyDescent="0.3">
      <c r="A2872">
        <f>IF(J2872="0",0,IF(COUNTIF($J$2:J2872,J2872)=1,1,0))</f>
        <v>0</v>
      </c>
      <c r="B2872" s="12" t="e">
        <f>MID(MAIN!A2877,K2872,2)</f>
        <v>#VALUE!</v>
      </c>
      <c r="C2872" s="12" t="e">
        <f t="shared" si="176"/>
        <v>#VALUE!</v>
      </c>
      <c r="D2872" s="12" t="e">
        <f>MID(MAIN!A2877,K2872+2,2)</f>
        <v>#VALUE!</v>
      </c>
      <c r="E2872" s="12" t="e">
        <f>MID(MAIN!A2877,K2872+4,2)</f>
        <v>#VALUE!</v>
      </c>
      <c r="F2872" s="2" t="e">
        <f t="shared" si="177"/>
        <v>#VALUE!</v>
      </c>
      <c r="G2872" s="13" t="e">
        <f t="shared" si="178"/>
        <v>#VALUE!</v>
      </c>
      <c r="J2872" t="str">
        <f>MAIN!A2877&amp;"B"</f>
        <v>B</v>
      </c>
      <c r="K2872" s="12" t="e">
        <f t="shared" si="179"/>
        <v>#VALUE!</v>
      </c>
      <c r="L2872" t="str">
        <f>MAIN!C2877</f>
        <v/>
      </c>
    </row>
    <row r="2873" spans="1:12" x14ac:dyDescent="0.3">
      <c r="A2873">
        <f>IF(J2873="0",0,IF(COUNTIF($J$2:J2873,J2873)=1,1,0))</f>
        <v>0</v>
      </c>
      <c r="B2873" s="12" t="e">
        <f>MID(MAIN!A2878,K2873,2)</f>
        <v>#VALUE!</v>
      </c>
      <c r="C2873" s="12" t="e">
        <f t="shared" si="176"/>
        <v>#VALUE!</v>
      </c>
      <c r="D2873" s="12" t="e">
        <f>MID(MAIN!A2878,K2873+2,2)</f>
        <v>#VALUE!</v>
      </c>
      <c r="E2873" s="12" t="e">
        <f>MID(MAIN!A2878,K2873+4,2)</f>
        <v>#VALUE!</v>
      </c>
      <c r="F2873" s="2" t="e">
        <f t="shared" si="177"/>
        <v>#VALUE!</v>
      </c>
      <c r="G2873" s="13" t="e">
        <f t="shared" si="178"/>
        <v>#VALUE!</v>
      </c>
      <c r="J2873" t="str">
        <f>MAIN!A2878&amp;"B"</f>
        <v>B</v>
      </c>
      <c r="K2873" s="12" t="e">
        <f t="shared" si="179"/>
        <v>#VALUE!</v>
      </c>
      <c r="L2873" t="str">
        <f>MAIN!C2878</f>
        <v/>
      </c>
    </row>
    <row r="2874" spans="1:12" x14ac:dyDescent="0.3">
      <c r="A2874">
        <f>IF(J2874="0",0,IF(COUNTIF($J$2:J2874,J2874)=1,1,0))</f>
        <v>0</v>
      </c>
      <c r="B2874" s="12" t="e">
        <f>MID(MAIN!A2879,K2874,2)</f>
        <v>#VALUE!</v>
      </c>
      <c r="C2874" s="12" t="e">
        <f t="shared" si="176"/>
        <v>#VALUE!</v>
      </c>
      <c r="D2874" s="12" t="e">
        <f>MID(MAIN!A2879,K2874+2,2)</f>
        <v>#VALUE!</v>
      </c>
      <c r="E2874" s="12" t="e">
        <f>MID(MAIN!A2879,K2874+4,2)</f>
        <v>#VALUE!</v>
      </c>
      <c r="F2874" s="2" t="e">
        <f t="shared" si="177"/>
        <v>#VALUE!</v>
      </c>
      <c r="G2874" s="13" t="e">
        <f t="shared" si="178"/>
        <v>#VALUE!</v>
      </c>
      <c r="J2874" t="str">
        <f>MAIN!A2879&amp;"B"</f>
        <v>B</v>
      </c>
      <c r="K2874" s="12" t="e">
        <f t="shared" si="179"/>
        <v>#VALUE!</v>
      </c>
      <c r="L2874" t="str">
        <f>MAIN!C2879</f>
        <v/>
      </c>
    </row>
    <row r="2875" spans="1:12" x14ac:dyDescent="0.3">
      <c r="A2875">
        <f>IF(J2875="0",0,IF(COUNTIF($J$2:J2875,J2875)=1,1,0))</f>
        <v>0</v>
      </c>
      <c r="B2875" s="12" t="e">
        <f>MID(MAIN!A2880,K2875,2)</f>
        <v>#VALUE!</v>
      </c>
      <c r="C2875" s="12" t="e">
        <f t="shared" si="176"/>
        <v>#VALUE!</v>
      </c>
      <c r="D2875" s="12" t="e">
        <f>MID(MAIN!A2880,K2875+2,2)</f>
        <v>#VALUE!</v>
      </c>
      <c r="E2875" s="12" t="e">
        <f>MID(MAIN!A2880,K2875+4,2)</f>
        <v>#VALUE!</v>
      </c>
      <c r="F2875" s="2" t="e">
        <f t="shared" si="177"/>
        <v>#VALUE!</v>
      </c>
      <c r="G2875" s="13" t="e">
        <f t="shared" si="178"/>
        <v>#VALUE!</v>
      </c>
      <c r="J2875" t="str">
        <f>MAIN!A2880&amp;"B"</f>
        <v>B</v>
      </c>
      <c r="K2875" s="12" t="e">
        <f t="shared" si="179"/>
        <v>#VALUE!</v>
      </c>
      <c r="L2875" t="str">
        <f>MAIN!C2880</f>
        <v/>
      </c>
    </row>
    <row r="2876" spans="1:12" x14ac:dyDescent="0.3">
      <c r="A2876">
        <f>IF(J2876="0",0,IF(COUNTIF($J$2:J2876,J2876)=1,1,0))</f>
        <v>0</v>
      </c>
      <c r="B2876" s="12" t="e">
        <f>MID(MAIN!A2881,K2876,2)</f>
        <v>#VALUE!</v>
      </c>
      <c r="C2876" s="12" t="e">
        <f t="shared" si="176"/>
        <v>#VALUE!</v>
      </c>
      <c r="D2876" s="12" t="e">
        <f>MID(MAIN!A2881,K2876+2,2)</f>
        <v>#VALUE!</v>
      </c>
      <c r="E2876" s="12" t="e">
        <f>MID(MAIN!A2881,K2876+4,2)</f>
        <v>#VALUE!</v>
      </c>
      <c r="F2876" s="2" t="e">
        <f t="shared" si="177"/>
        <v>#VALUE!</v>
      </c>
      <c r="G2876" s="13" t="e">
        <f t="shared" si="178"/>
        <v>#VALUE!</v>
      </c>
      <c r="J2876" t="str">
        <f>MAIN!A2881&amp;"B"</f>
        <v>B</v>
      </c>
      <c r="K2876" s="12" t="e">
        <f t="shared" si="179"/>
        <v>#VALUE!</v>
      </c>
      <c r="L2876" t="str">
        <f>MAIN!C2881</f>
        <v/>
      </c>
    </row>
    <row r="2877" spans="1:12" x14ac:dyDescent="0.3">
      <c r="A2877">
        <f>IF(J2877="0",0,IF(COUNTIF($J$2:J2877,J2877)=1,1,0))</f>
        <v>0</v>
      </c>
      <c r="B2877" s="12" t="e">
        <f>MID(MAIN!A2882,K2877,2)</f>
        <v>#VALUE!</v>
      </c>
      <c r="C2877" s="12" t="e">
        <f t="shared" si="176"/>
        <v>#VALUE!</v>
      </c>
      <c r="D2877" s="12" t="e">
        <f>MID(MAIN!A2882,K2877+2,2)</f>
        <v>#VALUE!</v>
      </c>
      <c r="E2877" s="12" t="e">
        <f>MID(MAIN!A2882,K2877+4,2)</f>
        <v>#VALUE!</v>
      </c>
      <c r="F2877" s="2" t="e">
        <f t="shared" si="177"/>
        <v>#VALUE!</v>
      </c>
      <c r="G2877" s="13" t="e">
        <f t="shared" si="178"/>
        <v>#VALUE!</v>
      </c>
      <c r="J2877" t="str">
        <f>MAIN!A2882&amp;"B"</f>
        <v>B</v>
      </c>
      <c r="K2877" s="12" t="e">
        <f t="shared" si="179"/>
        <v>#VALUE!</v>
      </c>
      <c r="L2877" t="str">
        <f>MAIN!C2882</f>
        <v/>
      </c>
    </row>
    <row r="2878" spans="1:12" x14ac:dyDescent="0.3">
      <c r="A2878">
        <f>IF(J2878="0",0,IF(COUNTIF($J$2:J2878,J2878)=1,1,0))</f>
        <v>0</v>
      </c>
      <c r="B2878" s="12" t="e">
        <f>MID(MAIN!A2883,K2878,2)</f>
        <v>#VALUE!</v>
      </c>
      <c r="C2878" s="12" t="e">
        <f t="shared" si="176"/>
        <v>#VALUE!</v>
      </c>
      <c r="D2878" s="12" t="e">
        <f>MID(MAIN!A2883,K2878+2,2)</f>
        <v>#VALUE!</v>
      </c>
      <c r="E2878" s="12" t="e">
        <f>MID(MAIN!A2883,K2878+4,2)</f>
        <v>#VALUE!</v>
      </c>
      <c r="F2878" s="2" t="e">
        <f t="shared" si="177"/>
        <v>#VALUE!</v>
      </c>
      <c r="G2878" s="13" t="e">
        <f t="shared" si="178"/>
        <v>#VALUE!</v>
      </c>
      <c r="J2878" t="str">
        <f>MAIN!A2883&amp;"B"</f>
        <v>B</v>
      </c>
      <c r="K2878" s="12" t="e">
        <f t="shared" si="179"/>
        <v>#VALUE!</v>
      </c>
      <c r="L2878" t="str">
        <f>MAIN!C2883</f>
        <v/>
      </c>
    </row>
    <row r="2879" spans="1:12" x14ac:dyDescent="0.3">
      <c r="A2879">
        <f>IF(J2879="0",0,IF(COUNTIF($J$2:J2879,J2879)=1,1,0))</f>
        <v>0</v>
      </c>
      <c r="B2879" s="12" t="e">
        <f>MID(MAIN!A2884,K2879,2)</f>
        <v>#VALUE!</v>
      </c>
      <c r="C2879" s="12" t="e">
        <f t="shared" si="176"/>
        <v>#VALUE!</v>
      </c>
      <c r="D2879" s="12" t="e">
        <f>MID(MAIN!A2884,K2879+2,2)</f>
        <v>#VALUE!</v>
      </c>
      <c r="E2879" s="12" t="e">
        <f>MID(MAIN!A2884,K2879+4,2)</f>
        <v>#VALUE!</v>
      </c>
      <c r="F2879" s="2" t="e">
        <f t="shared" si="177"/>
        <v>#VALUE!</v>
      </c>
      <c r="G2879" s="13" t="e">
        <f t="shared" si="178"/>
        <v>#VALUE!</v>
      </c>
      <c r="J2879" t="str">
        <f>MAIN!A2884&amp;"B"</f>
        <v>B</v>
      </c>
      <c r="K2879" s="12" t="e">
        <f t="shared" si="179"/>
        <v>#VALUE!</v>
      </c>
      <c r="L2879" t="str">
        <f>MAIN!C2884</f>
        <v/>
      </c>
    </row>
    <row r="2880" spans="1:12" x14ac:dyDescent="0.3">
      <c r="A2880">
        <f>IF(J2880="0",0,IF(COUNTIF($J$2:J2880,J2880)=1,1,0))</f>
        <v>0</v>
      </c>
      <c r="B2880" s="12" t="e">
        <f>MID(MAIN!A2885,K2880,2)</f>
        <v>#VALUE!</v>
      </c>
      <c r="C2880" s="12" t="e">
        <f t="shared" si="176"/>
        <v>#VALUE!</v>
      </c>
      <c r="D2880" s="12" t="e">
        <f>MID(MAIN!A2885,K2880+2,2)</f>
        <v>#VALUE!</v>
      </c>
      <c r="E2880" s="12" t="e">
        <f>MID(MAIN!A2885,K2880+4,2)</f>
        <v>#VALUE!</v>
      </c>
      <c r="F2880" s="2" t="e">
        <f t="shared" si="177"/>
        <v>#VALUE!</v>
      </c>
      <c r="G2880" s="13" t="e">
        <f t="shared" si="178"/>
        <v>#VALUE!</v>
      </c>
      <c r="J2880" t="str">
        <f>MAIN!A2885&amp;"B"</f>
        <v>B</v>
      </c>
      <c r="K2880" s="12" t="e">
        <f t="shared" si="179"/>
        <v>#VALUE!</v>
      </c>
      <c r="L2880" t="str">
        <f>MAIN!C2885</f>
        <v/>
      </c>
    </row>
    <row r="2881" spans="1:12" x14ac:dyDescent="0.3">
      <c r="A2881">
        <f>IF(J2881="0",0,IF(COUNTIF($J$2:J2881,J2881)=1,1,0))</f>
        <v>0</v>
      </c>
      <c r="B2881" s="12" t="e">
        <f>MID(MAIN!A2886,K2881,2)</f>
        <v>#VALUE!</v>
      </c>
      <c r="C2881" s="12" t="e">
        <f t="shared" si="176"/>
        <v>#VALUE!</v>
      </c>
      <c r="D2881" s="12" t="e">
        <f>MID(MAIN!A2886,K2881+2,2)</f>
        <v>#VALUE!</v>
      </c>
      <c r="E2881" s="12" t="e">
        <f>MID(MAIN!A2886,K2881+4,2)</f>
        <v>#VALUE!</v>
      </c>
      <c r="F2881" s="2" t="e">
        <f t="shared" si="177"/>
        <v>#VALUE!</v>
      </c>
      <c r="G2881" s="13" t="e">
        <f t="shared" si="178"/>
        <v>#VALUE!</v>
      </c>
      <c r="J2881" t="str">
        <f>MAIN!A2886&amp;"B"</f>
        <v>B</v>
      </c>
      <c r="K2881" s="12" t="e">
        <f t="shared" si="179"/>
        <v>#VALUE!</v>
      </c>
      <c r="L2881" t="str">
        <f>MAIN!C2886</f>
        <v/>
      </c>
    </row>
    <row r="2882" spans="1:12" x14ac:dyDescent="0.3">
      <c r="A2882">
        <f>IF(J2882="0",0,IF(COUNTIF($J$2:J2882,J2882)=1,1,0))</f>
        <v>0</v>
      </c>
      <c r="B2882" s="12" t="e">
        <f>MID(MAIN!A2887,K2882,2)</f>
        <v>#VALUE!</v>
      </c>
      <c r="C2882" s="12" t="e">
        <f t="shared" si="176"/>
        <v>#VALUE!</v>
      </c>
      <c r="D2882" s="12" t="e">
        <f>MID(MAIN!A2887,K2882+2,2)</f>
        <v>#VALUE!</v>
      </c>
      <c r="E2882" s="12" t="e">
        <f>MID(MAIN!A2887,K2882+4,2)</f>
        <v>#VALUE!</v>
      </c>
      <c r="F2882" s="2" t="e">
        <f t="shared" si="177"/>
        <v>#VALUE!</v>
      </c>
      <c r="G2882" s="13" t="e">
        <f t="shared" si="178"/>
        <v>#VALUE!</v>
      </c>
      <c r="J2882" t="str">
        <f>MAIN!A2887&amp;"B"</f>
        <v>B</v>
      </c>
      <c r="K2882" s="12" t="e">
        <f t="shared" si="179"/>
        <v>#VALUE!</v>
      </c>
      <c r="L2882" t="str">
        <f>MAIN!C2887</f>
        <v/>
      </c>
    </row>
    <row r="2883" spans="1:12" x14ac:dyDescent="0.3">
      <c r="A2883">
        <f>IF(J2883="0",0,IF(COUNTIF($J$2:J2883,J2883)=1,1,0))</f>
        <v>0</v>
      </c>
      <c r="B2883" s="12" t="e">
        <f>MID(MAIN!A2888,K2883,2)</f>
        <v>#VALUE!</v>
      </c>
      <c r="C2883" s="12" t="e">
        <f t="shared" ref="C2883:C2946" si="180">"20"&amp;B2883</f>
        <v>#VALUE!</v>
      </c>
      <c r="D2883" s="12" t="e">
        <f>MID(MAIN!A2888,K2883+2,2)</f>
        <v>#VALUE!</v>
      </c>
      <c r="E2883" s="12" t="e">
        <f>MID(MAIN!A2888,K2883+4,2)</f>
        <v>#VALUE!</v>
      </c>
      <c r="F2883" s="2" t="e">
        <f t="shared" ref="F2883:F2946" si="181">C2883&amp;"/"&amp;D2883&amp;"/"&amp;E2883</f>
        <v>#VALUE!</v>
      </c>
      <c r="G2883" s="13" t="e">
        <f t="shared" ref="G2883:G2946" si="182">DATEVALUE(F2883)</f>
        <v>#VALUE!</v>
      </c>
      <c r="J2883" t="str">
        <f>MAIN!A2888&amp;"B"</f>
        <v>B</v>
      </c>
      <c r="K2883" s="12" t="e">
        <f t="shared" ref="K2883:K2946" si="183">FIND("172",J2883,30)+2</f>
        <v>#VALUE!</v>
      </c>
      <c r="L2883" t="str">
        <f>MAIN!C2888</f>
        <v/>
      </c>
    </row>
    <row r="2884" spans="1:12" x14ac:dyDescent="0.3">
      <c r="A2884">
        <f>IF(J2884="0",0,IF(COUNTIF($J$2:J2884,J2884)=1,1,0))</f>
        <v>0</v>
      </c>
      <c r="B2884" s="12" t="e">
        <f>MID(MAIN!A2889,K2884,2)</f>
        <v>#VALUE!</v>
      </c>
      <c r="C2884" s="12" t="e">
        <f t="shared" si="180"/>
        <v>#VALUE!</v>
      </c>
      <c r="D2884" s="12" t="e">
        <f>MID(MAIN!A2889,K2884+2,2)</f>
        <v>#VALUE!</v>
      </c>
      <c r="E2884" s="12" t="e">
        <f>MID(MAIN!A2889,K2884+4,2)</f>
        <v>#VALUE!</v>
      </c>
      <c r="F2884" s="2" t="e">
        <f t="shared" si="181"/>
        <v>#VALUE!</v>
      </c>
      <c r="G2884" s="13" t="e">
        <f t="shared" si="182"/>
        <v>#VALUE!</v>
      </c>
      <c r="J2884" t="str">
        <f>MAIN!A2889&amp;"B"</f>
        <v>B</v>
      </c>
      <c r="K2884" s="12" t="e">
        <f t="shared" si="183"/>
        <v>#VALUE!</v>
      </c>
      <c r="L2884" t="str">
        <f>MAIN!C2889</f>
        <v/>
      </c>
    </row>
    <row r="2885" spans="1:12" x14ac:dyDescent="0.3">
      <c r="A2885">
        <f>IF(J2885="0",0,IF(COUNTIF($J$2:J2885,J2885)=1,1,0))</f>
        <v>0</v>
      </c>
      <c r="B2885" s="12" t="e">
        <f>MID(MAIN!A2890,K2885,2)</f>
        <v>#VALUE!</v>
      </c>
      <c r="C2885" s="12" t="e">
        <f t="shared" si="180"/>
        <v>#VALUE!</v>
      </c>
      <c r="D2885" s="12" t="e">
        <f>MID(MAIN!A2890,K2885+2,2)</f>
        <v>#VALUE!</v>
      </c>
      <c r="E2885" s="12" t="e">
        <f>MID(MAIN!A2890,K2885+4,2)</f>
        <v>#VALUE!</v>
      </c>
      <c r="F2885" s="2" t="e">
        <f t="shared" si="181"/>
        <v>#VALUE!</v>
      </c>
      <c r="G2885" s="13" t="e">
        <f t="shared" si="182"/>
        <v>#VALUE!</v>
      </c>
      <c r="J2885" t="str">
        <f>MAIN!A2890&amp;"B"</f>
        <v>B</v>
      </c>
      <c r="K2885" s="12" t="e">
        <f t="shared" si="183"/>
        <v>#VALUE!</v>
      </c>
      <c r="L2885" t="str">
        <f>MAIN!C2890</f>
        <v/>
      </c>
    </row>
    <row r="2886" spans="1:12" x14ac:dyDescent="0.3">
      <c r="A2886">
        <f>IF(J2886="0",0,IF(COUNTIF($J$2:J2886,J2886)=1,1,0))</f>
        <v>0</v>
      </c>
      <c r="B2886" s="12" t="e">
        <f>MID(MAIN!A2891,K2886,2)</f>
        <v>#VALUE!</v>
      </c>
      <c r="C2886" s="12" t="e">
        <f t="shared" si="180"/>
        <v>#VALUE!</v>
      </c>
      <c r="D2886" s="12" t="e">
        <f>MID(MAIN!A2891,K2886+2,2)</f>
        <v>#VALUE!</v>
      </c>
      <c r="E2886" s="12" t="e">
        <f>MID(MAIN!A2891,K2886+4,2)</f>
        <v>#VALUE!</v>
      </c>
      <c r="F2886" s="2" t="e">
        <f t="shared" si="181"/>
        <v>#VALUE!</v>
      </c>
      <c r="G2886" s="13" t="e">
        <f t="shared" si="182"/>
        <v>#VALUE!</v>
      </c>
      <c r="J2886" t="str">
        <f>MAIN!A2891&amp;"B"</f>
        <v>B</v>
      </c>
      <c r="K2886" s="12" t="e">
        <f t="shared" si="183"/>
        <v>#VALUE!</v>
      </c>
      <c r="L2886" t="str">
        <f>MAIN!C2891</f>
        <v/>
      </c>
    </row>
    <row r="2887" spans="1:12" x14ac:dyDescent="0.3">
      <c r="A2887">
        <f>IF(J2887="0",0,IF(COUNTIF($J$2:J2887,J2887)=1,1,0))</f>
        <v>0</v>
      </c>
      <c r="B2887" s="12" t="e">
        <f>MID(MAIN!A2892,K2887,2)</f>
        <v>#VALUE!</v>
      </c>
      <c r="C2887" s="12" t="e">
        <f t="shared" si="180"/>
        <v>#VALUE!</v>
      </c>
      <c r="D2887" s="12" t="e">
        <f>MID(MAIN!A2892,K2887+2,2)</f>
        <v>#VALUE!</v>
      </c>
      <c r="E2887" s="12" t="e">
        <f>MID(MAIN!A2892,K2887+4,2)</f>
        <v>#VALUE!</v>
      </c>
      <c r="F2887" s="2" t="e">
        <f t="shared" si="181"/>
        <v>#VALUE!</v>
      </c>
      <c r="G2887" s="13" t="e">
        <f t="shared" si="182"/>
        <v>#VALUE!</v>
      </c>
      <c r="J2887" t="str">
        <f>MAIN!A2892&amp;"B"</f>
        <v>B</v>
      </c>
      <c r="K2887" s="12" t="e">
        <f t="shared" si="183"/>
        <v>#VALUE!</v>
      </c>
      <c r="L2887" t="str">
        <f>MAIN!C2892</f>
        <v/>
      </c>
    </row>
    <row r="2888" spans="1:12" x14ac:dyDescent="0.3">
      <c r="A2888">
        <f>IF(J2888="0",0,IF(COUNTIF($J$2:J2888,J2888)=1,1,0))</f>
        <v>0</v>
      </c>
      <c r="B2888" s="12" t="e">
        <f>MID(MAIN!A2893,K2888,2)</f>
        <v>#VALUE!</v>
      </c>
      <c r="C2888" s="12" t="e">
        <f t="shared" si="180"/>
        <v>#VALUE!</v>
      </c>
      <c r="D2888" s="12" t="e">
        <f>MID(MAIN!A2893,K2888+2,2)</f>
        <v>#VALUE!</v>
      </c>
      <c r="E2888" s="12" t="e">
        <f>MID(MAIN!A2893,K2888+4,2)</f>
        <v>#VALUE!</v>
      </c>
      <c r="F2888" s="2" t="e">
        <f t="shared" si="181"/>
        <v>#VALUE!</v>
      </c>
      <c r="G2888" s="13" t="e">
        <f t="shared" si="182"/>
        <v>#VALUE!</v>
      </c>
      <c r="J2888" t="str">
        <f>MAIN!A2893&amp;"B"</f>
        <v>B</v>
      </c>
      <c r="K2888" s="12" t="e">
        <f t="shared" si="183"/>
        <v>#VALUE!</v>
      </c>
      <c r="L2888" t="str">
        <f>MAIN!C2893</f>
        <v/>
      </c>
    </row>
    <row r="2889" spans="1:12" x14ac:dyDescent="0.3">
      <c r="A2889">
        <f>IF(J2889="0",0,IF(COUNTIF($J$2:J2889,J2889)=1,1,0))</f>
        <v>0</v>
      </c>
      <c r="B2889" s="12" t="e">
        <f>MID(MAIN!A2894,K2889,2)</f>
        <v>#VALUE!</v>
      </c>
      <c r="C2889" s="12" t="e">
        <f t="shared" si="180"/>
        <v>#VALUE!</v>
      </c>
      <c r="D2889" s="12" t="e">
        <f>MID(MAIN!A2894,K2889+2,2)</f>
        <v>#VALUE!</v>
      </c>
      <c r="E2889" s="12" t="e">
        <f>MID(MAIN!A2894,K2889+4,2)</f>
        <v>#VALUE!</v>
      </c>
      <c r="F2889" s="2" t="e">
        <f t="shared" si="181"/>
        <v>#VALUE!</v>
      </c>
      <c r="G2889" s="13" t="e">
        <f t="shared" si="182"/>
        <v>#VALUE!</v>
      </c>
      <c r="J2889" t="str">
        <f>MAIN!A2894&amp;"B"</f>
        <v>B</v>
      </c>
      <c r="K2889" s="12" t="e">
        <f t="shared" si="183"/>
        <v>#VALUE!</v>
      </c>
      <c r="L2889" t="str">
        <f>MAIN!C2894</f>
        <v/>
      </c>
    </row>
    <row r="2890" spans="1:12" x14ac:dyDescent="0.3">
      <c r="A2890">
        <f>IF(J2890="0",0,IF(COUNTIF($J$2:J2890,J2890)=1,1,0))</f>
        <v>0</v>
      </c>
      <c r="B2890" s="12" t="e">
        <f>MID(MAIN!A2895,K2890,2)</f>
        <v>#VALUE!</v>
      </c>
      <c r="C2890" s="12" t="e">
        <f t="shared" si="180"/>
        <v>#VALUE!</v>
      </c>
      <c r="D2890" s="12" t="e">
        <f>MID(MAIN!A2895,K2890+2,2)</f>
        <v>#VALUE!</v>
      </c>
      <c r="E2890" s="12" t="e">
        <f>MID(MAIN!A2895,K2890+4,2)</f>
        <v>#VALUE!</v>
      </c>
      <c r="F2890" s="2" t="e">
        <f t="shared" si="181"/>
        <v>#VALUE!</v>
      </c>
      <c r="G2890" s="13" t="e">
        <f t="shared" si="182"/>
        <v>#VALUE!</v>
      </c>
      <c r="J2890" t="str">
        <f>MAIN!A2895&amp;"B"</f>
        <v>B</v>
      </c>
      <c r="K2890" s="12" t="e">
        <f t="shared" si="183"/>
        <v>#VALUE!</v>
      </c>
      <c r="L2890" t="str">
        <f>MAIN!C2895</f>
        <v/>
      </c>
    </row>
    <row r="2891" spans="1:12" x14ac:dyDescent="0.3">
      <c r="A2891">
        <f>IF(J2891="0",0,IF(COUNTIF($J$2:J2891,J2891)=1,1,0))</f>
        <v>0</v>
      </c>
      <c r="B2891" s="12" t="e">
        <f>MID(MAIN!A2896,K2891,2)</f>
        <v>#VALUE!</v>
      </c>
      <c r="C2891" s="12" t="e">
        <f t="shared" si="180"/>
        <v>#VALUE!</v>
      </c>
      <c r="D2891" s="12" t="e">
        <f>MID(MAIN!A2896,K2891+2,2)</f>
        <v>#VALUE!</v>
      </c>
      <c r="E2891" s="12" t="e">
        <f>MID(MAIN!A2896,K2891+4,2)</f>
        <v>#VALUE!</v>
      </c>
      <c r="F2891" s="2" t="e">
        <f t="shared" si="181"/>
        <v>#VALUE!</v>
      </c>
      <c r="G2891" s="13" t="e">
        <f t="shared" si="182"/>
        <v>#VALUE!</v>
      </c>
      <c r="J2891" t="str">
        <f>MAIN!A2896&amp;"B"</f>
        <v>B</v>
      </c>
      <c r="K2891" s="12" t="e">
        <f t="shared" si="183"/>
        <v>#VALUE!</v>
      </c>
      <c r="L2891" t="str">
        <f>MAIN!C2896</f>
        <v/>
      </c>
    </row>
    <row r="2892" spans="1:12" x14ac:dyDescent="0.3">
      <c r="A2892">
        <f>IF(J2892="0",0,IF(COUNTIF($J$2:J2892,J2892)=1,1,0))</f>
        <v>0</v>
      </c>
      <c r="B2892" s="12" t="e">
        <f>MID(MAIN!A2897,K2892,2)</f>
        <v>#VALUE!</v>
      </c>
      <c r="C2892" s="12" t="e">
        <f t="shared" si="180"/>
        <v>#VALUE!</v>
      </c>
      <c r="D2892" s="12" t="e">
        <f>MID(MAIN!A2897,K2892+2,2)</f>
        <v>#VALUE!</v>
      </c>
      <c r="E2892" s="12" t="e">
        <f>MID(MAIN!A2897,K2892+4,2)</f>
        <v>#VALUE!</v>
      </c>
      <c r="F2892" s="2" t="e">
        <f t="shared" si="181"/>
        <v>#VALUE!</v>
      </c>
      <c r="G2892" s="13" t="e">
        <f t="shared" si="182"/>
        <v>#VALUE!</v>
      </c>
      <c r="J2892" t="str">
        <f>MAIN!A2897&amp;"B"</f>
        <v>B</v>
      </c>
      <c r="K2892" s="12" t="e">
        <f t="shared" si="183"/>
        <v>#VALUE!</v>
      </c>
      <c r="L2892" t="str">
        <f>MAIN!C2897</f>
        <v/>
      </c>
    </row>
    <row r="2893" spans="1:12" x14ac:dyDescent="0.3">
      <c r="A2893">
        <f>IF(J2893="0",0,IF(COUNTIF($J$2:J2893,J2893)=1,1,0))</f>
        <v>0</v>
      </c>
      <c r="B2893" s="12" t="e">
        <f>MID(MAIN!A2898,K2893,2)</f>
        <v>#VALUE!</v>
      </c>
      <c r="C2893" s="12" t="e">
        <f t="shared" si="180"/>
        <v>#VALUE!</v>
      </c>
      <c r="D2893" s="12" t="e">
        <f>MID(MAIN!A2898,K2893+2,2)</f>
        <v>#VALUE!</v>
      </c>
      <c r="E2893" s="12" t="e">
        <f>MID(MAIN!A2898,K2893+4,2)</f>
        <v>#VALUE!</v>
      </c>
      <c r="F2893" s="2" t="e">
        <f t="shared" si="181"/>
        <v>#VALUE!</v>
      </c>
      <c r="G2893" s="13" t="e">
        <f t="shared" si="182"/>
        <v>#VALUE!</v>
      </c>
      <c r="J2893" t="str">
        <f>MAIN!A2898&amp;"B"</f>
        <v>B</v>
      </c>
      <c r="K2893" s="12" t="e">
        <f t="shared" si="183"/>
        <v>#VALUE!</v>
      </c>
      <c r="L2893" t="str">
        <f>MAIN!C2898</f>
        <v/>
      </c>
    </row>
    <row r="2894" spans="1:12" x14ac:dyDescent="0.3">
      <c r="A2894">
        <f>IF(J2894="0",0,IF(COUNTIF($J$2:J2894,J2894)=1,1,0))</f>
        <v>0</v>
      </c>
      <c r="B2894" s="12" t="e">
        <f>MID(MAIN!A2899,K2894,2)</f>
        <v>#VALUE!</v>
      </c>
      <c r="C2894" s="12" t="e">
        <f t="shared" si="180"/>
        <v>#VALUE!</v>
      </c>
      <c r="D2894" s="12" t="e">
        <f>MID(MAIN!A2899,K2894+2,2)</f>
        <v>#VALUE!</v>
      </c>
      <c r="E2894" s="12" t="e">
        <f>MID(MAIN!A2899,K2894+4,2)</f>
        <v>#VALUE!</v>
      </c>
      <c r="F2894" s="2" t="e">
        <f t="shared" si="181"/>
        <v>#VALUE!</v>
      </c>
      <c r="G2894" s="13" t="e">
        <f t="shared" si="182"/>
        <v>#VALUE!</v>
      </c>
      <c r="J2894" t="str">
        <f>MAIN!A2899&amp;"B"</f>
        <v>B</v>
      </c>
      <c r="K2894" s="12" t="e">
        <f t="shared" si="183"/>
        <v>#VALUE!</v>
      </c>
      <c r="L2894" t="str">
        <f>MAIN!C2899</f>
        <v/>
      </c>
    </row>
    <row r="2895" spans="1:12" x14ac:dyDescent="0.3">
      <c r="A2895">
        <f>IF(J2895="0",0,IF(COUNTIF($J$2:J2895,J2895)=1,1,0))</f>
        <v>0</v>
      </c>
      <c r="B2895" s="12" t="e">
        <f>MID(MAIN!A2900,K2895,2)</f>
        <v>#VALUE!</v>
      </c>
      <c r="C2895" s="12" t="e">
        <f t="shared" si="180"/>
        <v>#VALUE!</v>
      </c>
      <c r="D2895" s="12" t="e">
        <f>MID(MAIN!A2900,K2895+2,2)</f>
        <v>#VALUE!</v>
      </c>
      <c r="E2895" s="12" t="e">
        <f>MID(MAIN!A2900,K2895+4,2)</f>
        <v>#VALUE!</v>
      </c>
      <c r="F2895" s="2" t="e">
        <f t="shared" si="181"/>
        <v>#VALUE!</v>
      </c>
      <c r="G2895" s="13" t="e">
        <f t="shared" si="182"/>
        <v>#VALUE!</v>
      </c>
      <c r="J2895" t="str">
        <f>MAIN!A2900&amp;"B"</f>
        <v>B</v>
      </c>
      <c r="K2895" s="12" t="e">
        <f t="shared" si="183"/>
        <v>#VALUE!</v>
      </c>
      <c r="L2895" t="str">
        <f>MAIN!C2900</f>
        <v/>
      </c>
    </row>
    <row r="2896" spans="1:12" x14ac:dyDescent="0.3">
      <c r="A2896">
        <f>IF(J2896="0",0,IF(COUNTIF($J$2:J2896,J2896)=1,1,0))</f>
        <v>0</v>
      </c>
      <c r="B2896" s="12" t="e">
        <f>MID(MAIN!A2901,K2896,2)</f>
        <v>#VALUE!</v>
      </c>
      <c r="C2896" s="12" t="e">
        <f t="shared" si="180"/>
        <v>#VALUE!</v>
      </c>
      <c r="D2896" s="12" t="e">
        <f>MID(MAIN!A2901,K2896+2,2)</f>
        <v>#VALUE!</v>
      </c>
      <c r="E2896" s="12" t="e">
        <f>MID(MAIN!A2901,K2896+4,2)</f>
        <v>#VALUE!</v>
      </c>
      <c r="F2896" s="2" t="e">
        <f t="shared" si="181"/>
        <v>#VALUE!</v>
      </c>
      <c r="G2896" s="13" t="e">
        <f t="shared" si="182"/>
        <v>#VALUE!</v>
      </c>
      <c r="J2896" t="str">
        <f>MAIN!A2901&amp;"B"</f>
        <v>B</v>
      </c>
      <c r="K2896" s="12" t="e">
        <f t="shared" si="183"/>
        <v>#VALUE!</v>
      </c>
      <c r="L2896" t="str">
        <f>MAIN!C2901</f>
        <v/>
      </c>
    </row>
    <row r="2897" spans="1:12" x14ac:dyDescent="0.3">
      <c r="A2897">
        <f>IF(J2897="0",0,IF(COUNTIF($J$2:J2897,J2897)=1,1,0))</f>
        <v>0</v>
      </c>
      <c r="B2897" s="12" t="e">
        <f>MID(MAIN!A2902,K2897,2)</f>
        <v>#VALUE!</v>
      </c>
      <c r="C2897" s="12" t="e">
        <f t="shared" si="180"/>
        <v>#VALUE!</v>
      </c>
      <c r="D2897" s="12" t="e">
        <f>MID(MAIN!A2902,K2897+2,2)</f>
        <v>#VALUE!</v>
      </c>
      <c r="E2897" s="12" t="e">
        <f>MID(MAIN!A2902,K2897+4,2)</f>
        <v>#VALUE!</v>
      </c>
      <c r="F2897" s="2" t="e">
        <f t="shared" si="181"/>
        <v>#VALUE!</v>
      </c>
      <c r="G2897" s="13" t="e">
        <f t="shared" si="182"/>
        <v>#VALUE!</v>
      </c>
      <c r="J2897" t="str">
        <f>MAIN!A2902&amp;"B"</f>
        <v>B</v>
      </c>
      <c r="K2897" s="12" t="e">
        <f t="shared" si="183"/>
        <v>#VALUE!</v>
      </c>
      <c r="L2897" t="str">
        <f>MAIN!C2902</f>
        <v/>
      </c>
    </row>
    <row r="2898" spans="1:12" x14ac:dyDescent="0.3">
      <c r="A2898">
        <f>IF(J2898="0",0,IF(COUNTIF($J$2:J2898,J2898)=1,1,0))</f>
        <v>0</v>
      </c>
      <c r="B2898" s="12" t="e">
        <f>MID(MAIN!A2903,K2898,2)</f>
        <v>#VALUE!</v>
      </c>
      <c r="C2898" s="12" t="e">
        <f t="shared" si="180"/>
        <v>#VALUE!</v>
      </c>
      <c r="D2898" s="12" t="e">
        <f>MID(MAIN!A2903,K2898+2,2)</f>
        <v>#VALUE!</v>
      </c>
      <c r="E2898" s="12" t="e">
        <f>MID(MAIN!A2903,K2898+4,2)</f>
        <v>#VALUE!</v>
      </c>
      <c r="F2898" s="2" t="e">
        <f t="shared" si="181"/>
        <v>#VALUE!</v>
      </c>
      <c r="G2898" s="13" t="e">
        <f t="shared" si="182"/>
        <v>#VALUE!</v>
      </c>
      <c r="J2898" t="str">
        <f>MAIN!A2903&amp;"B"</f>
        <v>B</v>
      </c>
      <c r="K2898" s="12" t="e">
        <f t="shared" si="183"/>
        <v>#VALUE!</v>
      </c>
      <c r="L2898" t="str">
        <f>MAIN!C2903</f>
        <v/>
      </c>
    </row>
    <row r="2899" spans="1:12" x14ac:dyDescent="0.3">
      <c r="A2899">
        <f>IF(J2899="0",0,IF(COUNTIF($J$2:J2899,J2899)=1,1,0))</f>
        <v>0</v>
      </c>
      <c r="B2899" s="12" t="e">
        <f>MID(MAIN!A2904,K2899,2)</f>
        <v>#VALUE!</v>
      </c>
      <c r="C2899" s="12" t="e">
        <f t="shared" si="180"/>
        <v>#VALUE!</v>
      </c>
      <c r="D2899" s="12" t="e">
        <f>MID(MAIN!A2904,K2899+2,2)</f>
        <v>#VALUE!</v>
      </c>
      <c r="E2899" s="12" t="e">
        <f>MID(MAIN!A2904,K2899+4,2)</f>
        <v>#VALUE!</v>
      </c>
      <c r="F2899" s="2" t="e">
        <f t="shared" si="181"/>
        <v>#VALUE!</v>
      </c>
      <c r="G2899" s="13" t="e">
        <f t="shared" si="182"/>
        <v>#VALUE!</v>
      </c>
      <c r="J2899" t="str">
        <f>MAIN!A2904&amp;"B"</f>
        <v>B</v>
      </c>
      <c r="K2899" s="12" t="e">
        <f t="shared" si="183"/>
        <v>#VALUE!</v>
      </c>
      <c r="L2899" t="str">
        <f>MAIN!C2904</f>
        <v/>
      </c>
    </row>
    <row r="2900" spans="1:12" x14ac:dyDescent="0.3">
      <c r="A2900">
        <f>IF(J2900="0",0,IF(COUNTIF($J$2:J2900,J2900)=1,1,0))</f>
        <v>0</v>
      </c>
      <c r="B2900" s="12" t="e">
        <f>MID(MAIN!A2905,K2900,2)</f>
        <v>#VALUE!</v>
      </c>
      <c r="C2900" s="12" t="e">
        <f t="shared" si="180"/>
        <v>#VALUE!</v>
      </c>
      <c r="D2900" s="12" t="e">
        <f>MID(MAIN!A2905,K2900+2,2)</f>
        <v>#VALUE!</v>
      </c>
      <c r="E2900" s="12" t="e">
        <f>MID(MAIN!A2905,K2900+4,2)</f>
        <v>#VALUE!</v>
      </c>
      <c r="F2900" s="2" t="e">
        <f t="shared" si="181"/>
        <v>#VALUE!</v>
      </c>
      <c r="G2900" s="13" t="e">
        <f t="shared" si="182"/>
        <v>#VALUE!</v>
      </c>
      <c r="J2900" t="str">
        <f>MAIN!A2905&amp;"B"</f>
        <v>B</v>
      </c>
      <c r="K2900" s="12" t="e">
        <f t="shared" si="183"/>
        <v>#VALUE!</v>
      </c>
      <c r="L2900" t="str">
        <f>MAIN!C2905</f>
        <v/>
      </c>
    </row>
    <row r="2901" spans="1:12" x14ac:dyDescent="0.3">
      <c r="A2901">
        <f>IF(J2901="0",0,IF(COUNTIF($J$2:J2901,J2901)=1,1,0))</f>
        <v>0</v>
      </c>
      <c r="B2901" s="12" t="e">
        <f>MID(MAIN!A2906,K2901,2)</f>
        <v>#VALUE!</v>
      </c>
      <c r="C2901" s="12" t="e">
        <f t="shared" si="180"/>
        <v>#VALUE!</v>
      </c>
      <c r="D2901" s="12" t="e">
        <f>MID(MAIN!A2906,K2901+2,2)</f>
        <v>#VALUE!</v>
      </c>
      <c r="E2901" s="12" t="e">
        <f>MID(MAIN!A2906,K2901+4,2)</f>
        <v>#VALUE!</v>
      </c>
      <c r="F2901" s="2" t="e">
        <f t="shared" si="181"/>
        <v>#VALUE!</v>
      </c>
      <c r="G2901" s="13" t="e">
        <f t="shared" si="182"/>
        <v>#VALUE!</v>
      </c>
      <c r="J2901" t="str">
        <f>MAIN!A2906&amp;"B"</f>
        <v>B</v>
      </c>
      <c r="K2901" s="12" t="e">
        <f t="shared" si="183"/>
        <v>#VALUE!</v>
      </c>
      <c r="L2901" t="str">
        <f>MAIN!C2906</f>
        <v/>
      </c>
    </row>
    <row r="2902" spans="1:12" x14ac:dyDescent="0.3">
      <c r="A2902">
        <f>IF(J2902="0",0,IF(COUNTIF($J$2:J2902,J2902)=1,1,0))</f>
        <v>0</v>
      </c>
      <c r="B2902" s="12" t="e">
        <f>MID(MAIN!A2907,K2902,2)</f>
        <v>#VALUE!</v>
      </c>
      <c r="C2902" s="12" t="e">
        <f t="shared" si="180"/>
        <v>#VALUE!</v>
      </c>
      <c r="D2902" s="12" t="e">
        <f>MID(MAIN!A2907,K2902+2,2)</f>
        <v>#VALUE!</v>
      </c>
      <c r="E2902" s="12" t="e">
        <f>MID(MAIN!A2907,K2902+4,2)</f>
        <v>#VALUE!</v>
      </c>
      <c r="F2902" s="2" t="e">
        <f t="shared" si="181"/>
        <v>#VALUE!</v>
      </c>
      <c r="G2902" s="13" t="e">
        <f t="shared" si="182"/>
        <v>#VALUE!</v>
      </c>
      <c r="J2902" t="str">
        <f>MAIN!A2907&amp;"B"</f>
        <v>B</v>
      </c>
      <c r="K2902" s="12" t="e">
        <f t="shared" si="183"/>
        <v>#VALUE!</v>
      </c>
      <c r="L2902" t="str">
        <f>MAIN!C2907</f>
        <v/>
      </c>
    </row>
    <row r="2903" spans="1:12" x14ac:dyDescent="0.3">
      <c r="A2903">
        <f>IF(J2903="0",0,IF(COUNTIF($J$2:J2903,J2903)=1,1,0))</f>
        <v>0</v>
      </c>
      <c r="B2903" s="12" t="e">
        <f>MID(MAIN!A2908,K2903,2)</f>
        <v>#VALUE!</v>
      </c>
      <c r="C2903" s="12" t="e">
        <f t="shared" si="180"/>
        <v>#VALUE!</v>
      </c>
      <c r="D2903" s="12" t="e">
        <f>MID(MAIN!A2908,K2903+2,2)</f>
        <v>#VALUE!</v>
      </c>
      <c r="E2903" s="12" t="e">
        <f>MID(MAIN!A2908,K2903+4,2)</f>
        <v>#VALUE!</v>
      </c>
      <c r="F2903" s="2" t="e">
        <f t="shared" si="181"/>
        <v>#VALUE!</v>
      </c>
      <c r="G2903" s="13" t="e">
        <f t="shared" si="182"/>
        <v>#VALUE!</v>
      </c>
      <c r="J2903" t="str">
        <f>MAIN!A2908&amp;"B"</f>
        <v>B</v>
      </c>
      <c r="K2903" s="12" t="e">
        <f t="shared" si="183"/>
        <v>#VALUE!</v>
      </c>
      <c r="L2903" t="str">
        <f>MAIN!C2908</f>
        <v/>
      </c>
    </row>
    <row r="2904" spans="1:12" x14ac:dyDescent="0.3">
      <c r="A2904">
        <f>IF(J2904="0",0,IF(COUNTIF($J$2:J2904,J2904)=1,1,0))</f>
        <v>0</v>
      </c>
      <c r="B2904" s="12" t="e">
        <f>MID(MAIN!A2909,K2904,2)</f>
        <v>#VALUE!</v>
      </c>
      <c r="C2904" s="12" t="e">
        <f t="shared" si="180"/>
        <v>#VALUE!</v>
      </c>
      <c r="D2904" s="12" t="e">
        <f>MID(MAIN!A2909,K2904+2,2)</f>
        <v>#VALUE!</v>
      </c>
      <c r="E2904" s="12" t="e">
        <f>MID(MAIN!A2909,K2904+4,2)</f>
        <v>#VALUE!</v>
      </c>
      <c r="F2904" s="2" t="e">
        <f t="shared" si="181"/>
        <v>#VALUE!</v>
      </c>
      <c r="G2904" s="13" t="e">
        <f t="shared" si="182"/>
        <v>#VALUE!</v>
      </c>
      <c r="J2904" t="str">
        <f>MAIN!A2909&amp;"B"</f>
        <v>B</v>
      </c>
      <c r="K2904" s="12" t="e">
        <f t="shared" si="183"/>
        <v>#VALUE!</v>
      </c>
      <c r="L2904" t="str">
        <f>MAIN!C2909</f>
        <v/>
      </c>
    </row>
    <row r="2905" spans="1:12" x14ac:dyDescent="0.3">
      <c r="A2905">
        <f>IF(J2905="0",0,IF(COUNTIF($J$2:J2905,J2905)=1,1,0))</f>
        <v>0</v>
      </c>
      <c r="B2905" s="12" t="e">
        <f>MID(MAIN!A2910,K2905,2)</f>
        <v>#VALUE!</v>
      </c>
      <c r="C2905" s="12" t="e">
        <f t="shared" si="180"/>
        <v>#VALUE!</v>
      </c>
      <c r="D2905" s="12" t="e">
        <f>MID(MAIN!A2910,K2905+2,2)</f>
        <v>#VALUE!</v>
      </c>
      <c r="E2905" s="12" t="e">
        <f>MID(MAIN!A2910,K2905+4,2)</f>
        <v>#VALUE!</v>
      </c>
      <c r="F2905" s="2" t="e">
        <f t="shared" si="181"/>
        <v>#VALUE!</v>
      </c>
      <c r="G2905" s="13" t="e">
        <f t="shared" si="182"/>
        <v>#VALUE!</v>
      </c>
      <c r="J2905" t="str">
        <f>MAIN!A2910&amp;"B"</f>
        <v>B</v>
      </c>
      <c r="K2905" s="12" t="e">
        <f t="shared" si="183"/>
        <v>#VALUE!</v>
      </c>
      <c r="L2905" t="str">
        <f>MAIN!C2910</f>
        <v/>
      </c>
    </row>
    <row r="2906" spans="1:12" x14ac:dyDescent="0.3">
      <c r="A2906">
        <f>IF(J2906="0",0,IF(COUNTIF($J$2:J2906,J2906)=1,1,0))</f>
        <v>0</v>
      </c>
      <c r="B2906" s="12" t="e">
        <f>MID(MAIN!A2911,K2906,2)</f>
        <v>#VALUE!</v>
      </c>
      <c r="C2906" s="12" t="e">
        <f t="shared" si="180"/>
        <v>#VALUE!</v>
      </c>
      <c r="D2906" s="12" t="e">
        <f>MID(MAIN!A2911,K2906+2,2)</f>
        <v>#VALUE!</v>
      </c>
      <c r="E2906" s="12" t="e">
        <f>MID(MAIN!A2911,K2906+4,2)</f>
        <v>#VALUE!</v>
      </c>
      <c r="F2906" s="2" t="e">
        <f t="shared" si="181"/>
        <v>#VALUE!</v>
      </c>
      <c r="G2906" s="13" t="e">
        <f t="shared" si="182"/>
        <v>#VALUE!</v>
      </c>
      <c r="J2906" t="str">
        <f>MAIN!A2911&amp;"B"</f>
        <v>B</v>
      </c>
      <c r="K2906" s="12" t="e">
        <f t="shared" si="183"/>
        <v>#VALUE!</v>
      </c>
      <c r="L2906" t="str">
        <f>MAIN!C2911</f>
        <v/>
      </c>
    </row>
    <row r="2907" spans="1:12" x14ac:dyDescent="0.3">
      <c r="A2907">
        <f>IF(J2907="0",0,IF(COUNTIF($J$2:J2907,J2907)=1,1,0))</f>
        <v>0</v>
      </c>
      <c r="B2907" s="12" t="e">
        <f>MID(MAIN!A2912,K2907,2)</f>
        <v>#VALUE!</v>
      </c>
      <c r="C2907" s="12" t="e">
        <f t="shared" si="180"/>
        <v>#VALUE!</v>
      </c>
      <c r="D2907" s="12" t="e">
        <f>MID(MAIN!A2912,K2907+2,2)</f>
        <v>#VALUE!</v>
      </c>
      <c r="E2907" s="12" t="e">
        <f>MID(MAIN!A2912,K2907+4,2)</f>
        <v>#VALUE!</v>
      </c>
      <c r="F2907" s="2" t="e">
        <f t="shared" si="181"/>
        <v>#VALUE!</v>
      </c>
      <c r="G2907" s="13" t="e">
        <f t="shared" si="182"/>
        <v>#VALUE!</v>
      </c>
      <c r="J2907" t="str">
        <f>MAIN!A2912&amp;"B"</f>
        <v>B</v>
      </c>
      <c r="K2907" s="12" t="e">
        <f t="shared" si="183"/>
        <v>#VALUE!</v>
      </c>
      <c r="L2907" t="str">
        <f>MAIN!C2912</f>
        <v/>
      </c>
    </row>
    <row r="2908" spans="1:12" x14ac:dyDescent="0.3">
      <c r="A2908">
        <f>IF(J2908="0",0,IF(COUNTIF($J$2:J2908,J2908)=1,1,0))</f>
        <v>0</v>
      </c>
      <c r="B2908" s="12" t="e">
        <f>MID(MAIN!A2913,K2908,2)</f>
        <v>#VALUE!</v>
      </c>
      <c r="C2908" s="12" t="e">
        <f t="shared" si="180"/>
        <v>#VALUE!</v>
      </c>
      <c r="D2908" s="12" t="e">
        <f>MID(MAIN!A2913,K2908+2,2)</f>
        <v>#VALUE!</v>
      </c>
      <c r="E2908" s="12" t="e">
        <f>MID(MAIN!A2913,K2908+4,2)</f>
        <v>#VALUE!</v>
      </c>
      <c r="F2908" s="2" t="e">
        <f t="shared" si="181"/>
        <v>#VALUE!</v>
      </c>
      <c r="G2908" s="13" t="e">
        <f t="shared" si="182"/>
        <v>#VALUE!</v>
      </c>
      <c r="J2908" t="str">
        <f>MAIN!A2913&amp;"B"</f>
        <v>B</v>
      </c>
      <c r="K2908" s="12" t="e">
        <f t="shared" si="183"/>
        <v>#VALUE!</v>
      </c>
      <c r="L2908" t="str">
        <f>MAIN!C2913</f>
        <v/>
      </c>
    </row>
    <row r="2909" spans="1:12" x14ac:dyDescent="0.3">
      <c r="A2909">
        <f>IF(J2909="0",0,IF(COUNTIF($J$2:J2909,J2909)=1,1,0))</f>
        <v>0</v>
      </c>
      <c r="B2909" s="12" t="e">
        <f>MID(MAIN!A2914,K2909,2)</f>
        <v>#VALUE!</v>
      </c>
      <c r="C2909" s="12" t="e">
        <f t="shared" si="180"/>
        <v>#VALUE!</v>
      </c>
      <c r="D2909" s="12" t="e">
        <f>MID(MAIN!A2914,K2909+2,2)</f>
        <v>#VALUE!</v>
      </c>
      <c r="E2909" s="12" t="e">
        <f>MID(MAIN!A2914,K2909+4,2)</f>
        <v>#VALUE!</v>
      </c>
      <c r="F2909" s="2" t="e">
        <f t="shared" si="181"/>
        <v>#VALUE!</v>
      </c>
      <c r="G2909" s="13" t="e">
        <f t="shared" si="182"/>
        <v>#VALUE!</v>
      </c>
      <c r="J2909" t="str">
        <f>MAIN!A2914&amp;"B"</f>
        <v>B</v>
      </c>
      <c r="K2909" s="12" t="e">
        <f t="shared" si="183"/>
        <v>#VALUE!</v>
      </c>
      <c r="L2909" t="str">
        <f>MAIN!C2914</f>
        <v/>
      </c>
    </row>
    <row r="2910" spans="1:12" x14ac:dyDescent="0.3">
      <c r="A2910">
        <f>IF(J2910="0",0,IF(COUNTIF($J$2:J2910,J2910)=1,1,0))</f>
        <v>0</v>
      </c>
      <c r="B2910" s="12" t="e">
        <f>MID(MAIN!A2915,K2910,2)</f>
        <v>#VALUE!</v>
      </c>
      <c r="C2910" s="12" t="e">
        <f t="shared" si="180"/>
        <v>#VALUE!</v>
      </c>
      <c r="D2910" s="12" t="e">
        <f>MID(MAIN!A2915,K2910+2,2)</f>
        <v>#VALUE!</v>
      </c>
      <c r="E2910" s="12" t="e">
        <f>MID(MAIN!A2915,K2910+4,2)</f>
        <v>#VALUE!</v>
      </c>
      <c r="F2910" s="2" t="e">
        <f t="shared" si="181"/>
        <v>#VALUE!</v>
      </c>
      <c r="G2910" s="13" t="e">
        <f t="shared" si="182"/>
        <v>#VALUE!</v>
      </c>
      <c r="J2910" t="str">
        <f>MAIN!A2915&amp;"B"</f>
        <v>B</v>
      </c>
      <c r="K2910" s="12" t="e">
        <f t="shared" si="183"/>
        <v>#VALUE!</v>
      </c>
      <c r="L2910" t="str">
        <f>MAIN!C2915</f>
        <v/>
      </c>
    </row>
    <row r="2911" spans="1:12" x14ac:dyDescent="0.3">
      <c r="A2911">
        <f>IF(J2911="0",0,IF(COUNTIF($J$2:J2911,J2911)=1,1,0))</f>
        <v>0</v>
      </c>
      <c r="B2911" s="12" t="e">
        <f>MID(MAIN!A2916,K2911,2)</f>
        <v>#VALUE!</v>
      </c>
      <c r="C2911" s="12" t="e">
        <f t="shared" si="180"/>
        <v>#VALUE!</v>
      </c>
      <c r="D2911" s="12" t="e">
        <f>MID(MAIN!A2916,K2911+2,2)</f>
        <v>#VALUE!</v>
      </c>
      <c r="E2911" s="12" t="e">
        <f>MID(MAIN!A2916,K2911+4,2)</f>
        <v>#VALUE!</v>
      </c>
      <c r="F2911" s="2" t="e">
        <f t="shared" si="181"/>
        <v>#VALUE!</v>
      </c>
      <c r="G2911" s="13" t="e">
        <f t="shared" si="182"/>
        <v>#VALUE!</v>
      </c>
      <c r="J2911" t="str">
        <f>MAIN!A2916&amp;"B"</f>
        <v>B</v>
      </c>
      <c r="K2911" s="12" t="e">
        <f t="shared" si="183"/>
        <v>#VALUE!</v>
      </c>
      <c r="L2911" t="str">
        <f>MAIN!C2916</f>
        <v/>
      </c>
    </row>
    <row r="2912" spans="1:12" x14ac:dyDescent="0.3">
      <c r="A2912">
        <f>IF(J2912="0",0,IF(COUNTIF($J$2:J2912,J2912)=1,1,0))</f>
        <v>0</v>
      </c>
      <c r="B2912" s="12" t="e">
        <f>MID(MAIN!A2917,K2912,2)</f>
        <v>#VALUE!</v>
      </c>
      <c r="C2912" s="12" t="e">
        <f t="shared" si="180"/>
        <v>#VALUE!</v>
      </c>
      <c r="D2912" s="12" t="e">
        <f>MID(MAIN!A2917,K2912+2,2)</f>
        <v>#VALUE!</v>
      </c>
      <c r="E2912" s="12" t="e">
        <f>MID(MAIN!A2917,K2912+4,2)</f>
        <v>#VALUE!</v>
      </c>
      <c r="F2912" s="2" t="e">
        <f t="shared" si="181"/>
        <v>#VALUE!</v>
      </c>
      <c r="G2912" s="13" t="e">
        <f t="shared" si="182"/>
        <v>#VALUE!</v>
      </c>
      <c r="J2912" t="str">
        <f>MAIN!A2917&amp;"B"</f>
        <v>B</v>
      </c>
      <c r="K2912" s="12" t="e">
        <f t="shared" si="183"/>
        <v>#VALUE!</v>
      </c>
      <c r="L2912" t="str">
        <f>MAIN!C2917</f>
        <v/>
      </c>
    </row>
    <row r="2913" spans="1:12" x14ac:dyDescent="0.3">
      <c r="A2913">
        <f>IF(J2913="0",0,IF(COUNTIF($J$2:J2913,J2913)=1,1,0))</f>
        <v>0</v>
      </c>
      <c r="B2913" s="12" t="e">
        <f>MID(MAIN!A2918,K2913,2)</f>
        <v>#VALUE!</v>
      </c>
      <c r="C2913" s="12" t="e">
        <f t="shared" si="180"/>
        <v>#VALUE!</v>
      </c>
      <c r="D2913" s="12" t="e">
        <f>MID(MAIN!A2918,K2913+2,2)</f>
        <v>#VALUE!</v>
      </c>
      <c r="E2913" s="12" t="e">
        <f>MID(MAIN!A2918,K2913+4,2)</f>
        <v>#VALUE!</v>
      </c>
      <c r="F2913" s="2" t="e">
        <f t="shared" si="181"/>
        <v>#VALUE!</v>
      </c>
      <c r="G2913" s="13" t="e">
        <f t="shared" si="182"/>
        <v>#VALUE!</v>
      </c>
      <c r="J2913" t="str">
        <f>MAIN!A2918&amp;"B"</f>
        <v>B</v>
      </c>
      <c r="K2913" s="12" t="e">
        <f t="shared" si="183"/>
        <v>#VALUE!</v>
      </c>
      <c r="L2913" t="str">
        <f>MAIN!C2918</f>
        <v/>
      </c>
    </row>
    <row r="2914" spans="1:12" x14ac:dyDescent="0.3">
      <c r="A2914">
        <f>IF(J2914="0",0,IF(COUNTIF($J$2:J2914,J2914)=1,1,0))</f>
        <v>0</v>
      </c>
      <c r="B2914" s="12" t="e">
        <f>MID(MAIN!A2919,K2914,2)</f>
        <v>#VALUE!</v>
      </c>
      <c r="C2914" s="12" t="e">
        <f t="shared" si="180"/>
        <v>#VALUE!</v>
      </c>
      <c r="D2914" s="12" t="e">
        <f>MID(MAIN!A2919,K2914+2,2)</f>
        <v>#VALUE!</v>
      </c>
      <c r="E2914" s="12" t="e">
        <f>MID(MAIN!A2919,K2914+4,2)</f>
        <v>#VALUE!</v>
      </c>
      <c r="F2914" s="2" t="e">
        <f t="shared" si="181"/>
        <v>#VALUE!</v>
      </c>
      <c r="G2914" s="13" t="e">
        <f t="shared" si="182"/>
        <v>#VALUE!</v>
      </c>
      <c r="J2914" t="str">
        <f>MAIN!A2919&amp;"B"</f>
        <v>B</v>
      </c>
      <c r="K2914" s="12" t="e">
        <f t="shared" si="183"/>
        <v>#VALUE!</v>
      </c>
      <c r="L2914" t="str">
        <f>MAIN!C2919</f>
        <v/>
      </c>
    </row>
    <row r="2915" spans="1:12" x14ac:dyDescent="0.3">
      <c r="A2915">
        <f>IF(J2915="0",0,IF(COUNTIF($J$2:J2915,J2915)=1,1,0))</f>
        <v>0</v>
      </c>
      <c r="B2915" s="12" t="e">
        <f>MID(MAIN!A2920,K2915,2)</f>
        <v>#VALUE!</v>
      </c>
      <c r="C2915" s="12" t="e">
        <f t="shared" si="180"/>
        <v>#VALUE!</v>
      </c>
      <c r="D2915" s="12" t="e">
        <f>MID(MAIN!A2920,K2915+2,2)</f>
        <v>#VALUE!</v>
      </c>
      <c r="E2915" s="12" t="e">
        <f>MID(MAIN!A2920,K2915+4,2)</f>
        <v>#VALUE!</v>
      </c>
      <c r="F2915" s="2" t="e">
        <f t="shared" si="181"/>
        <v>#VALUE!</v>
      </c>
      <c r="G2915" s="13" t="e">
        <f t="shared" si="182"/>
        <v>#VALUE!</v>
      </c>
      <c r="J2915" t="str">
        <f>MAIN!A2920&amp;"B"</f>
        <v>B</v>
      </c>
      <c r="K2915" s="12" t="e">
        <f t="shared" si="183"/>
        <v>#VALUE!</v>
      </c>
      <c r="L2915" t="str">
        <f>MAIN!C2920</f>
        <v/>
      </c>
    </row>
    <row r="2916" spans="1:12" x14ac:dyDescent="0.3">
      <c r="A2916">
        <f>IF(J2916="0",0,IF(COUNTIF($J$2:J2916,J2916)=1,1,0))</f>
        <v>0</v>
      </c>
      <c r="B2916" s="12" t="e">
        <f>MID(MAIN!A2921,K2916,2)</f>
        <v>#VALUE!</v>
      </c>
      <c r="C2916" s="12" t="e">
        <f t="shared" si="180"/>
        <v>#VALUE!</v>
      </c>
      <c r="D2916" s="12" t="e">
        <f>MID(MAIN!A2921,K2916+2,2)</f>
        <v>#VALUE!</v>
      </c>
      <c r="E2916" s="12" t="e">
        <f>MID(MAIN!A2921,K2916+4,2)</f>
        <v>#VALUE!</v>
      </c>
      <c r="F2916" s="2" t="e">
        <f t="shared" si="181"/>
        <v>#VALUE!</v>
      </c>
      <c r="G2916" s="13" t="e">
        <f t="shared" si="182"/>
        <v>#VALUE!</v>
      </c>
      <c r="J2916" t="str">
        <f>MAIN!A2921&amp;"B"</f>
        <v>B</v>
      </c>
      <c r="K2916" s="12" t="e">
        <f t="shared" si="183"/>
        <v>#VALUE!</v>
      </c>
      <c r="L2916" t="str">
        <f>MAIN!C2921</f>
        <v/>
      </c>
    </row>
    <row r="2917" spans="1:12" x14ac:dyDescent="0.3">
      <c r="A2917">
        <f>IF(J2917="0",0,IF(COUNTIF($J$2:J2917,J2917)=1,1,0))</f>
        <v>0</v>
      </c>
      <c r="B2917" s="12" t="e">
        <f>MID(MAIN!A2922,K2917,2)</f>
        <v>#VALUE!</v>
      </c>
      <c r="C2917" s="12" t="e">
        <f t="shared" si="180"/>
        <v>#VALUE!</v>
      </c>
      <c r="D2917" s="12" t="e">
        <f>MID(MAIN!A2922,K2917+2,2)</f>
        <v>#VALUE!</v>
      </c>
      <c r="E2917" s="12" t="e">
        <f>MID(MAIN!A2922,K2917+4,2)</f>
        <v>#VALUE!</v>
      </c>
      <c r="F2917" s="2" t="e">
        <f t="shared" si="181"/>
        <v>#VALUE!</v>
      </c>
      <c r="G2917" s="13" t="e">
        <f t="shared" si="182"/>
        <v>#VALUE!</v>
      </c>
      <c r="J2917" t="str">
        <f>MAIN!A2922&amp;"B"</f>
        <v>B</v>
      </c>
      <c r="K2917" s="12" t="e">
        <f t="shared" si="183"/>
        <v>#VALUE!</v>
      </c>
      <c r="L2917" t="str">
        <f>MAIN!C2922</f>
        <v/>
      </c>
    </row>
    <row r="2918" spans="1:12" x14ac:dyDescent="0.3">
      <c r="A2918">
        <f>IF(J2918="0",0,IF(COUNTIF($J$2:J2918,J2918)=1,1,0))</f>
        <v>0</v>
      </c>
      <c r="B2918" s="12" t="e">
        <f>MID(MAIN!A2923,K2918,2)</f>
        <v>#VALUE!</v>
      </c>
      <c r="C2918" s="12" t="e">
        <f t="shared" si="180"/>
        <v>#VALUE!</v>
      </c>
      <c r="D2918" s="12" t="e">
        <f>MID(MAIN!A2923,K2918+2,2)</f>
        <v>#VALUE!</v>
      </c>
      <c r="E2918" s="12" t="e">
        <f>MID(MAIN!A2923,K2918+4,2)</f>
        <v>#VALUE!</v>
      </c>
      <c r="F2918" s="2" t="e">
        <f t="shared" si="181"/>
        <v>#VALUE!</v>
      </c>
      <c r="G2918" s="13" t="e">
        <f t="shared" si="182"/>
        <v>#VALUE!</v>
      </c>
      <c r="J2918" t="str">
        <f>MAIN!A2923&amp;"B"</f>
        <v>B</v>
      </c>
      <c r="K2918" s="12" t="e">
        <f t="shared" si="183"/>
        <v>#VALUE!</v>
      </c>
      <c r="L2918" t="str">
        <f>MAIN!C2923</f>
        <v/>
      </c>
    </row>
    <row r="2919" spans="1:12" x14ac:dyDescent="0.3">
      <c r="A2919">
        <f>IF(J2919="0",0,IF(COUNTIF($J$2:J2919,J2919)=1,1,0))</f>
        <v>0</v>
      </c>
      <c r="B2919" s="12" t="e">
        <f>MID(MAIN!A2924,K2919,2)</f>
        <v>#VALUE!</v>
      </c>
      <c r="C2919" s="12" t="e">
        <f t="shared" si="180"/>
        <v>#VALUE!</v>
      </c>
      <c r="D2919" s="12" t="e">
        <f>MID(MAIN!A2924,K2919+2,2)</f>
        <v>#VALUE!</v>
      </c>
      <c r="E2919" s="12" t="e">
        <f>MID(MAIN!A2924,K2919+4,2)</f>
        <v>#VALUE!</v>
      </c>
      <c r="F2919" s="2" t="e">
        <f t="shared" si="181"/>
        <v>#VALUE!</v>
      </c>
      <c r="G2919" s="13" t="e">
        <f t="shared" si="182"/>
        <v>#VALUE!</v>
      </c>
      <c r="J2919" t="str">
        <f>MAIN!A2924&amp;"B"</f>
        <v>B</v>
      </c>
      <c r="K2919" s="12" t="e">
        <f t="shared" si="183"/>
        <v>#VALUE!</v>
      </c>
      <c r="L2919" t="str">
        <f>MAIN!C2924</f>
        <v/>
      </c>
    </row>
    <row r="2920" spans="1:12" x14ac:dyDescent="0.3">
      <c r="A2920">
        <f>IF(J2920="0",0,IF(COUNTIF($J$2:J2920,J2920)=1,1,0))</f>
        <v>0</v>
      </c>
      <c r="B2920" s="12" t="e">
        <f>MID(MAIN!A2925,K2920,2)</f>
        <v>#VALUE!</v>
      </c>
      <c r="C2920" s="12" t="e">
        <f t="shared" si="180"/>
        <v>#VALUE!</v>
      </c>
      <c r="D2920" s="12" t="e">
        <f>MID(MAIN!A2925,K2920+2,2)</f>
        <v>#VALUE!</v>
      </c>
      <c r="E2920" s="12" t="e">
        <f>MID(MAIN!A2925,K2920+4,2)</f>
        <v>#VALUE!</v>
      </c>
      <c r="F2920" s="2" t="e">
        <f t="shared" si="181"/>
        <v>#VALUE!</v>
      </c>
      <c r="G2920" s="13" t="e">
        <f t="shared" si="182"/>
        <v>#VALUE!</v>
      </c>
      <c r="J2920" t="str">
        <f>MAIN!A2925&amp;"B"</f>
        <v>B</v>
      </c>
      <c r="K2920" s="12" t="e">
        <f t="shared" si="183"/>
        <v>#VALUE!</v>
      </c>
      <c r="L2920" t="str">
        <f>MAIN!C2925</f>
        <v/>
      </c>
    </row>
    <row r="2921" spans="1:12" x14ac:dyDescent="0.3">
      <c r="A2921">
        <f>IF(J2921="0",0,IF(COUNTIF($J$2:J2921,J2921)=1,1,0))</f>
        <v>0</v>
      </c>
      <c r="B2921" s="12" t="e">
        <f>MID(MAIN!A2926,K2921,2)</f>
        <v>#VALUE!</v>
      </c>
      <c r="C2921" s="12" t="e">
        <f t="shared" si="180"/>
        <v>#VALUE!</v>
      </c>
      <c r="D2921" s="12" t="e">
        <f>MID(MAIN!A2926,K2921+2,2)</f>
        <v>#VALUE!</v>
      </c>
      <c r="E2921" s="12" t="e">
        <f>MID(MAIN!A2926,K2921+4,2)</f>
        <v>#VALUE!</v>
      </c>
      <c r="F2921" s="2" t="e">
        <f t="shared" si="181"/>
        <v>#VALUE!</v>
      </c>
      <c r="G2921" s="13" t="e">
        <f t="shared" si="182"/>
        <v>#VALUE!</v>
      </c>
      <c r="J2921" t="str">
        <f>MAIN!A2926&amp;"B"</f>
        <v>B</v>
      </c>
      <c r="K2921" s="12" t="e">
        <f t="shared" si="183"/>
        <v>#VALUE!</v>
      </c>
      <c r="L2921" t="str">
        <f>MAIN!C2926</f>
        <v/>
      </c>
    </row>
    <row r="2922" spans="1:12" x14ac:dyDescent="0.3">
      <c r="A2922">
        <f>IF(J2922="0",0,IF(COUNTIF($J$2:J2922,J2922)=1,1,0))</f>
        <v>0</v>
      </c>
      <c r="B2922" s="12" t="e">
        <f>MID(MAIN!A2927,K2922,2)</f>
        <v>#VALUE!</v>
      </c>
      <c r="C2922" s="12" t="e">
        <f t="shared" si="180"/>
        <v>#VALUE!</v>
      </c>
      <c r="D2922" s="12" t="e">
        <f>MID(MAIN!A2927,K2922+2,2)</f>
        <v>#VALUE!</v>
      </c>
      <c r="E2922" s="12" t="e">
        <f>MID(MAIN!A2927,K2922+4,2)</f>
        <v>#VALUE!</v>
      </c>
      <c r="F2922" s="2" t="e">
        <f t="shared" si="181"/>
        <v>#VALUE!</v>
      </c>
      <c r="G2922" s="13" t="e">
        <f t="shared" si="182"/>
        <v>#VALUE!</v>
      </c>
      <c r="J2922" t="str">
        <f>MAIN!A2927&amp;"B"</f>
        <v>B</v>
      </c>
      <c r="K2922" s="12" t="e">
        <f t="shared" si="183"/>
        <v>#VALUE!</v>
      </c>
      <c r="L2922" t="str">
        <f>MAIN!C2927</f>
        <v/>
      </c>
    </row>
    <row r="2923" spans="1:12" x14ac:dyDescent="0.3">
      <c r="A2923">
        <f>IF(J2923="0",0,IF(COUNTIF($J$2:J2923,J2923)=1,1,0))</f>
        <v>0</v>
      </c>
      <c r="B2923" s="12" t="e">
        <f>MID(MAIN!A2928,K2923,2)</f>
        <v>#VALUE!</v>
      </c>
      <c r="C2923" s="12" t="e">
        <f t="shared" si="180"/>
        <v>#VALUE!</v>
      </c>
      <c r="D2923" s="12" t="e">
        <f>MID(MAIN!A2928,K2923+2,2)</f>
        <v>#VALUE!</v>
      </c>
      <c r="E2923" s="12" t="e">
        <f>MID(MAIN!A2928,K2923+4,2)</f>
        <v>#VALUE!</v>
      </c>
      <c r="F2923" s="2" t="e">
        <f t="shared" si="181"/>
        <v>#VALUE!</v>
      </c>
      <c r="G2923" s="13" t="e">
        <f t="shared" si="182"/>
        <v>#VALUE!</v>
      </c>
      <c r="J2923" t="str">
        <f>MAIN!A2928&amp;"B"</f>
        <v>B</v>
      </c>
      <c r="K2923" s="12" t="e">
        <f t="shared" si="183"/>
        <v>#VALUE!</v>
      </c>
      <c r="L2923" t="str">
        <f>MAIN!C2928</f>
        <v/>
      </c>
    </row>
    <row r="2924" spans="1:12" x14ac:dyDescent="0.3">
      <c r="A2924">
        <f>IF(J2924="0",0,IF(COUNTIF($J$2:J2924,J2924)=1,1,0))</f>
        <v>0</v>
      </c>
      <c r="B2924" s="12" t="e">
        <f>MID(MAIN!A2929,K2924,2)</f>
        <v>#VALUE!</v>
      </c>
      <c r="C2924" s="12" t="e">
        <f t="shared" si="180"/>
        <v>#VALUE!</v>
      </c>
      <c r="D2924" s="12" t="e">
        <f>MID(MAIN!A2929,K2924+2,2)</f>
        <v>#VALUE!</v>
      </c>
      <c r="E2924" s="12" t="e">
        <f>MID(MAIN!A2929,K2924+4,2)</f>
        <v>#VALUE!</v>
      </c>
      <c r="F2924" s="2" t="e">
        <f t="shared" si="181"/>
        <v>#VALUE!</v>
      </c>
      <c r="G2924" s="13" t="e">
        <f t="shared" si="182"/>
        <v>#VALUE!</v>
      </c>
      <c r="J2924" t="str">
        <f>MAIN!A2929&amp;"B"</f>
        <v>B</v>
      </c>
      <c r="K2924" s="12" t="e">
        <f t="shared" si="183"/>
        <v>#VALUE!</v>
      </c>
      <c r="L2924" t="str">
        <f>MAIN!C2929</f>
        <v/>
      </c>
    </row>
    <row r="2925" spans="1:12" x14ac:dyDescent="0.3">
      <c r="A2925">
        <f>IF(J2925="0",0,IF(COUNTIF($J$2:J2925,J2925)=1,1,0))</f>
        <v>0</v>
      </c>
      <c r="B2925" s="12" t="e">
        <f>MID(MAIN!A2930,K2925,2)</f>
        <v>#VALUE!</v>
      </c>
      <c r="C2925" s="12" t="e">
        <f t="shared" si="180"/>
        <v>#VALUE!</v>
      </c>
      <c r="D2925" s="12" t="e">
        <f>MID(MAIN!A2930,K2925+2,2)</f>
        <v>#VALUE!</v>
      </c>
      <c r="E2925" s="12" t="e">
        <f>MID(MAIN!A2930,K2925+4,2)</f>
        <v>#VALUE!</v>
      </c>
      <c r="F2925" s="2" t="e">
        <f t="shared" si="181"/>
        <v>#VALUE!</v>
      </c>
      <c r="G2925" s="13" t="e">
        <f t="shared" si="182"/>
        <v>#VALUE!</v>
      </c>
      <c r="J2925" t="str">
        <f>MAIN!A2930&amp;"B"</f>
        <v>B</v>
      </c>
      <c r="K2925" s="12" t="e">
        <f t="shared" si="183"/>
        <v>#VALUE!</v>
      </c>
      <c r="L2925" t="str">
        <f>MAIN!C2930</f>
        <v/>
      </c>
    </row>
    <row r="2926" spans="1:12" x14ac:dyDescent="0.3">
      <c r="A2926">
        <f>IF(J2926="0",0,IF(COUNTIF($J$2:J2926,J2926)=1,1,0))</f>
        <v>0</v>
      </c>
      <c r="B2926" s="12" t="e">
        <f>MID(MAIN!A2931,K2926,2)</f>
        <v>#VALUE!</v>
      </c>
      <c r="C2926" s="12" t="e">
        <f t="shared" si="180"/>
        <v>#VALUE!</v>
      </c>
      <c r="D2926" s="12" t="e">
        <f>MID(MAIN!A2931,K2926+2,2)</f>
        <v>#VALUE!</v>
      </c>
      <c r="E2926" s="12" t="e">
        <f>MID(MAIN!A2931,K2926+4,2)</f>
        <v>#VALUE!</v>
      </c>
      <c r="F2926" s="2" t="e">
        <f t="shared" si="181"/>
        <v>#VALUE!</v>
      </c>
      <c r="G2926" s="13" t="e">
        <f t="shared" si="182"/>
        <v>#VALUE!</v>
      </c>
      <c r="J2926" t="str">
        <f>MAIN!A2931&amp;"B"</f>
        <v>B</v>
      </c>
      <c r="K2926" s="12" t="e">
        <f t="shared" si="183"/>
        <v>#VALUE!</v>
      </c>
      <c r="L2926" t="str">
        <f>MAIN!C2931</f>
        <v/>
      </c>
    </row>
    <row r="2927" spans="1:12" x14ac:dyDescent="0.3">
      <c r="A2927">
        <f>IF(J2927="0",0,IF(COUNTIF($J$2:J2927,J2927)=1,1,0))</f>
        <v>0</v>
      </c>
      <c r="B2927" s="12" t="e">
        <f>MID(MAIN!A2932,K2927,2)</f>
        <v>#VALUE!</v>
      </c>
      <c r="C2927" s="12" t="e">
        <f t="shared" si="180"/>
        <v>#VALUE!</v>
      </c>
      <c r="D2927" s="12" t="e">
        <f>MID(MAIN!A2932,K2927+2,2)</f>
        <v>#VALUE!</v>
      </c>
      <c r="E2927" s="12" t="e">
        <f>MID(MAIN!A2932,K2927+4,2)</f>
        <v>#VALUE!</v>
      </c>
      <c r="F2927" s="2" t="e">
        <f t="shared" si="181"/>
        <v>#VALUE!</v>
      </c>
      <c r="G2927" s="13" t="e">
        <f t="shared" si="182"/>
        <v>#VALUE!</v>
      </c>
      <c r="J2927" t="str">
        <f>MAIN!A2932&amp;"B"</f>
        <v>B</v>
      </c>
      <c r="K2927" s="12" t="e">
        <f t="shared" si="183"/>
        <v>#VALUE!</v>
      </c>
      <c r="L2927" t="str">
        <f>MAIN!C2932</f>
        <v/>
      </c>
    </row>
    <row r="2928" spans="1:12" x14ac:dyDescent="0.3">
      <c r="A2928">
        <f>IF(J2928="0",0,IF(COUNTIF($J$2:J2928,J2928)=1,1,0))</f>
        <v>0</v>
      </c>
      <c r="B2928" s="12" t="e">
        <f>MID(MAIN!A2933,K2928,2)</f>
        <v>#VALUE!</v>
      </c>
      <c r="C2928" s="12" t="e">
        <f t="shared" si="180"/>
        <v>#VALUE!</v>
      </c>
      <c r="D2928" s="12" t="e">
        <f>MID(MAIN!A2933,K2928+2,2)</f>
        <v>#VALUE!</v>
      </c>
      <c r="E2928" s="12" t="e">
        <f>MID(MAIN!A2933,K2928+4,2)</f>
        <v>#VALUE!</v>
      </c>
      <c r="F2928" s="2" t="e">
        <f t="shared" si="181"/>
        <v>#VALUE!</v>
      </c>
      <c r="G2928" s="13" t="e">
        <f t="shared" si="182"/>
        <v>#VALUE!</v>
      </c>
      <c r="J2928" t="str">
        <f>MAIN!A2933&amp;"B"</f>
        <v>B</v>
      </c>
      <c r="K2928" s="12" t="e">
        <f t="shared" si="183"/>
        <v>#VALUE!</v>
      </c>
      <c r="L2928" t="str">
        <f>MAIN!C2933</f>
        <v/>
      </c>
    </row>
    <row r="2929" spans="1:12" x14ac:dyDescent="0.3">
      <c r="A2929">
        <f>IF(J2929="0",0,IF(COUNTIF($J$2:J2929,J2929)=1,1,0))</f>
        <v>0</v>
      </c>
      <c r="B2929" s="12" t="e">
        <f>MID(MAIN!A2934,K2929,2)</f>
        <v>#VALUE!</v>
      </c>
      <c r="C2929" s="12" t="e">
        <f t="shared" si="180"/>
        <v>#VALUE!</v>
      </c>
      <c r="D2929" s="12" t="e">
        <f>MID(MAIN!A2934,K2929+2,2)</f>
        <v>#VALUE!</v>
      </c>
      <c r="E2929" s="12" t="e">
        <f>MID(MAIN!A2934,K2929+4,2)</f>
        <v>#VALUE!</v>
      </c>
      <c r="F2929" s="2" t="e">
        <f t="shared" si="181"/>
        <v>#VALUE!</v>
      </c>
      <c r="G2929" s="13" t="e">
        <f t="shared" si="182"/>
        <v>#VALUE!</v>
      </c>
      <c r="J2929" t="str">
        <f>MAIN!A2934&amp;"B"</f>
        <v>B</v>
      </c>
      <c r="K2929" s="12" t="e">
        <f t="shared" si="183"/>
        <v>#VALUE!</v>
      </c>
      <c r="L2929" t="str">
        <f>MAIN!C2934</f>
        <v/>
      </c>
    </row>
    <row r="2930" spans="1:12" x14ac:dyDescent="0.3">
      <c r="A2930">
        <f>IF(J2930="0",0,IF(COUNTIF($J$2:J2930,J2930)=1,1,0))</f>
        <v>0</v>
      </c>
      <c r="B2930" s="12" t="e">
        <f>MID(MAIN!A2935,K2930,2)</f>
        <v>#VALUE!</v>
      </c>
      <c r="C2930" s="12" t="e">
        <f t="shared" si="180"/>
        <v>#VALUE!</v>
      </c>
      <c r="D2930" s="12" t="e">
        <f>MID(MAIN!A2935,K2930+2,2)</f>
        <v>#VALUE!</v>
      </c>
      <c r="E2930" s="12" t="e">
        <f>MID(MAIN!A2935,K2930+4,2)</f>
        <v>#VALUE!</v>
      </c>
      <c r="F2930" s="2" t="e">
        <f t="shared" si="181"/>
        <v>#VALUE!</v>
      </c>
      <c r="G2930" s="13" t="e">
        <f t="shared" si="182"/>
        <v>#VALUE!</v>
      </c>
      <c r="J2930" t="str">
        <f>MAIN!A2935&amp;"B"</f>
        <v>B</v>
      </c>
      <c r="K2930" s="12" t="e">
        <f t="shared" si="183"/>
        <v>#VALUE!</v>
      </c>
      <c r="L2930" t="str">
        <f>MAIN!C2935</f>
        <v/>
      </c>
    </row>
    <row r="2931" spans="1:12" x14ac:dyDescent="0.3">
      <c r="A2931">
        <f>IF(J2931="0",0,IF(COUNTIF($J$2:J2931,J2931)=1,1,0))</f>
        <v>0</v>
      </c>
      <c r="B2931" s="12" t="e">
        <f>MID(MAIN!A2936,K2931,2)</f>
        <v>#VALUE!</v>
      </c>
      <c r="C2931" s="12" t="e">
        <f t="shared" si="180"/>
        <v>#VALUE!</v>
      </c>
      <c r="D2931" s="12" t="e">
        <f>MID(MAIN!A2936,K2931+2,2)</f>
        <v>#VALUE!</v>
      </c>
      <c r="E2931" s="12" t="e">
        <f>MID(MAIN!A2936,K2931+4,2)</f>
        <v>#VALUE!</v>
      </c>
      <c r="F2931" s="2" t="e">
        <f t="shared" si="181"/>
        <v>#VALUE!</v>
      </c>
      <c r="G2931" s="13" t="e">
        <f t="shared" si="182"/>
        <v>#VALUE!</v>
      </c>
      <c r="J2931" t="str">
        <f>MAIN!A2936&amp;"B"</f>
        <v>B</v>
      </c>
      <c r="K2931" s="12" t="e">
        <f t="shared" si="183"/>
        <v>#VALUE!</v>
      </c>
      <c r="L2931" t="str">
        <f>MAIN!C2936</f>
        <v/>
      </c>
    </row>
    <row r="2932" spans="1:12" x14ac:dyDescent="0.3">
      <c r="A2932">
        <f>IF(J2932="0",0,IF(COUNTIF($J$2:J2932,J2932)=1,1,0))</f>
        <v>0</v>
      </c>
      <c r="B2932" s="12" t="e">
        <f>MID(MAIN!A2937,K2932,2)</f>
        <v>#VALUE!</v>
      </c>
      <c r="C2932" s="12" t="e">
        <f t="shared" si="180"/>
        <v>#VALUE!</v>
      </c>
      <c r="D2932" s="12" t="e">
        <f>MID(MAIN!A2937,K2932+2,2)</f>
        <v>#VALUE!</v>
      </c>
      <c r="E2932" s="12" t="e">
        <f>MID(MAIN!A2937,K2932+4,2)</f>
        <v>#VALUE!</v>
      </c>
      <c r="F2932" s="2" t="e">
        <f t="shared" si="181"/>
        <v>#VALUE!</v>
      </c>
      <c r="G2932" s="13" t="e">
        <f t="shared" si="182"/>
        <v>#VALUE!</v>
      </c>
      <c r="J2932" t="str">
        <f>MAIN!A2937&amp;"B"</f>
        <v>B</v>
      </c>
      <c r="K2932" s="12" t="e">
        <f t="shared" si="183"/>
        <v>#VALUE!</v>
      </c>
      <c r="L2932" t="str">
        <f>MAIN!C2937</f>
        <v/>
      </c>
    </row>
    <row r="2933" spans="1:12" x14ac:dyDescent="0.3">
      <c r="A2933">
        <f>IF(J2933="0",0,IF(COUNTIF($J$2:J2933,J2933)=1,1,0))</f>
        <v>0</v>
      </c>
      <c r="B2933" s="12" t="e">
        <f>MID(MAIN!A2938,K2933,2)</f>
        <v>#VALUE!</v>
      </c>
      <c r="C2933" s="12" t="e">
        <f t="shared" si="180"/>
        <v>#VALUE!</v>
      </c>
      <c r="D2933" s="12" t="e">
        <f>MID(MAIN!A2938,K2933+2,2)</f>
        <v>#VALUE!</v>
      </c>
      <c r="E2933" s="12" t="e">
        <f>MID(MAIN!A2938,K2933+4,2)</f>
        <v>#VALUE!</v>
      </c>
      <c r="F2933" s="2" t="e">
        <f t="shared" si="181"/>
        <v>#VALUE!</v>
      </c>
      <c r="G2933" s="13" t="e">
        <f t="shared" si="182"/>
        <v>#VALUE!</v>
      </c>
      <c r="J2933" t="str">
        <f>MAIN!A2938&amp;"B"</f>
        <v>B</v>
      </c>
      <c r="K2933" s="12" t="e">
        <f t="shared" si="183"/>
        <v>#VALUE!</v>
      </c>
      <c r="L2933" t="str">
        <f>MAIN!C2938</f>
        <v/>
      </c>
    </row>
    <row r="2934" spans="1:12" x14ac:dyDescent="0.3">
      <c r="A2934">
        <f>IF(J2934="0",0,IF(COUNTIF($J$2:J2934,J2934)=1,1,0))</f>
        <v>0</v>
      </c>
      <c r="B2934" s="12" t="e">
        <f>MID(MAIN!A2939,K2934,2)</f>
        <v>#VALUE!</v>
      </c>
      <c r="C2934" s="12" t="e">
        <f t="shared" si="180"/>
        <v>#VALUE!</v>
      </c>
      <c r="D2934" s="12" t="e">
        <f>MID(MAIN!A2939,K2934+2,2)</f>
        <v>#VALUE!</v>
      </c>
      <c r="E2934" s="12" t="e">
        <f>MID(MAIN!A2939,K2934+4,2)</f>
        <v>#VALUE!</v>
      </c>
      <c r="F2934" s="2" t="e">
        <f t="shared" si="181"/>
        <v>#VALUE!</v>
      </c>
      <c r="G2934" s="13" t="e">
        <f t="shared" si="182"/>
        <v>#VALUE!</v>
      </c>
      <c r="J2934" t="str">
        <f>MAIN!A2939&amp;"B"</f>
        <v>B</v>
      </c>
      <c r="K2934" s="12" t="e">
        <f t="shared" si="183"/>
        <v>#VALUE!</v>
      </c>
      <c r="L2934" t="str">
        <f>MAIN!C2939</f>
        <v/>
      </c>
    </row>
    <row r="2935" spans="1:12" x14ac:dyDescent="0.3">
      <c r="A2935">
        <f>IF(J2935="0",0,IF(COUNTIF($J$2:J2935,J2935)=1,1,0))</f>
        <v>0</v>
      </c>
      <c r="B2935" s="12" t="e">
        <f>MID(MAIN!A2940,K2935,2)</f>
        <v>#VALUE!</v>
      </c>
      <c r="C2935" s="12" t="e">
        <f t="shared" si="180"/>
        <v>#VALUE!</v>
      </c>
      <c r="D2935" s="12" t="e">
        <f>MID(MAIN!A2940,K2935+2,2)</f>
        <v>#VALUE!</v>
      </c>
      <c r="E2935" s="12" t="e">
        <f>MID(MAIN!A2940,K2935+4,2)</f>
        <v>#VALUE!</v>
      </c>
      <c r="F2935" s="2" t="e">
        <f t="shared" si="181"/>
        <v>#VALUE!</v>
      </c>
      <c r="G2935" s="13" t="e">
        <f t="shared" si="182"/>
        <v>#VALUE!</v>
      </c>
      <c r="J2935" t="str">
        <f>MAIN!A2940&amp;"B"</f>
        <v>B</v>
      </c>
      <c r="K2935" s="12" t="e">
        <f t="shared" si="183"/>
        <v>#VALUE!</v>
      </c>
      <c r="L2935" t="str">
        <f>MAIN!C2940</f>
        <v/>
      </c>
    </row>
    <row r="2936" spans="1:12" x14ac:dyDescent="0.3">
      <c r="A2936">
        <f>IF(J2936="0",0,IF(COUNTIF($J$2:J2936,J2936)=1,1,0))</f>
        <v>0</v>
      </c>
      <c r="B2936" s="12" t="e">
        <f>MID(MAIN!A2941,K2936,2)</f>
        <v>#VALUE!</v>
      </c>
      <c r="C2936" s="12" t="e">
        <f t="shared" si="180"/>
        <v>#VALUE!</v>
      </c>
      <c r="D2936" s="12" t="e">
        <f>MID(MAIN!A2941,K2936+2,2)</f>
        <v>#VALUE!</v>
      </c>
      <c r="E2936" s="12" t="e">
        <f>MID(MAIN!A2941,K2936+4,2)</f>
        <v>#VALUE!</v>
      </c>
      <c r="F2936" s="2" t="e">
        <f t="shared" si="181"/>
        <v>#VALUE!</v>
      </c>
      <c r="G2936" s="13" t="e">
        <f t="shared" si="182"/>
        <v>#VALUE!</v>
      </c>
      <c r="J2936" t="str">
        <f>MAIN!A2941&amp;"B"</f>
        <v>B</v>
      </c>
      <c r="K2936" s="12" t="e">
        <f t="shared" si="183"/>
        <v>#VALUE!</v>
      </c>
      <c r="L2936" t="str">
        <f>MAIN!C2941</f>
        <v/>
      </c>
    </row>
    <row r="2937" spans="1:12" x14ac:dyDescent="0.3">
      <c r="A2937">
        <f>IF(J2937="0",0,IF(COUNTIF($J$2:J2937,J2937)=1,1,0))</f>
        <v>0</v>
      </c>
      <c r="B2937" s="12" t="e">
        <f>MID(MAIN!A2942,K2937,2)</f>
        <v>#VALUE!</v>
      </c>
      <c r="C2937" s="12" t="e">
        <f t="shared" si="180"/>
        <v>#VALUE!</v>
      </c>
      <c r="D2937" s="12" t="e">
        <f>MID(MAIN!A2942,K2937+2,2)</f>
        <v>#VALUE!</v>
      </c>
      <c r="E2937" s="12" t="e">
        <f>MID(MAIN!A2942,K2937+4,2)</f>
        <v>#VALUE!</v>
      </c>
      <c r="F2937" s="2" t="e">
        <f t="shared" si="181"/>
        <v>#VALUE!</v>
      </c>
      <c r="G2937" s="13" t="e">
        <f t="shared" si="182"/>
        <v>#VALUE!</v>
      </c>
      <c r="J2937" t="str">
        <f>MAIN!A2942&amp;"B"</f>
        <v>B</v>
      </c>
      <c r="K2937" s="12" t="e">
        <f t="shared" si="183"/>
        <v>#VALUE!</v>
      </c>
      <c r="L2937" t="str">
        <f>MAIN!C2942</f>
        <v/>
      </c>
    </row>
    <row r="2938" spans="1:12" x14ac:dyDescent="0.3">
      <c r="A2938">
        <f>IF(J2938="0",0,IF(COUNTIF($J$2:J2938,J2938)=1,1,0))</f>
        <v>0</v>
      </c>
      <c r="B2938" s="12" t="e">
        <f>MID(MAIN!A2943,K2938,2)</f>
        <v>#VALUE!</v>
      </c>
      <c r="C2938" s="12" t="e">
        <f t="shared" si="180"/>
        <v>#VALUE!</v>
      </c>
      <c r="D2938" s="12" t="e">
        <f>MID(MAIN!A2943,K2938+2,2)</f>
        <v>#VALUE!</v>
      </c>
      <c r="E2938" s="12" t="e">
        <f>MID(MAIN!A2943,K2938+4,2)</f>
        <v>#VALUE!</v>
      </c>
      <c r="F2938" s="2" t="e">
        <f t="shared" si="181"/>
        <v>#VALUE!</v>
      </c>
      <c r="G2938" s="13" t="e">
        <f t="shared" si="182"/>
        <v>#VALUE!</v>
      </c>
      <c r="J2938" t="str">
        <f>MAIN!A2943&amp;"B"</f>
        <v>B</v>
      </c>
      <c r="K2938" s="12" t="e">
        <f t="shared" si="183"/>
        <v>#VALUE!</v>
      </c>
      <c r="L2938" t="str">
        <f>MAIN!C2943</f>
        <v/>
      </c>
    </row>
    <row r="2939" spans="1:12" x14ac:dyDescent="0.3">
      <c r="A2939">
        <f>IF(J2939="0",0,IF(COUNTIF($J$2:J2939,J2939)=1,1,0))</f>
        <v>0</v>
      </c>
      <c r="B2939" s="12" t="e">
        <f>MID(MAIN!A2944,K2939,2)</f>
        <v>#VALUE!</v>
      </c>
      <c r="C2939" s="12" t="e">
        <f t="shared" si="180"/>
        <v>#VALUE!</v>
      </c>
      <c r="D2939" s="12" t="e">
        <f>MID(MAIN!A2944,K2939+2,2)</f>
        <v>#VALUE!</v>
      </c>
      <c r="E2939" s="12" t="e">
        <f>MID(MAIN!A2944,K2939+4,2)</f>
        <v>#VALUE!</v>
      </c>
      <c r="F2939" s="2" t="e">
        <f t="shared" si="181"/>
        <v>#VALUE!</v>
      </c>
      <c r="G2939" s="13" t="e">
        <f t="shared" si="182"/>
        <v>#VALUE!</v>
      </c>
      <c r="J2939" t="str">
        <f>MAIN!A2944&amp;"B"</f>
        <v>B</v>
      </c>
      <c r="K2939" s="12" t="e">
        <f t="shared" si="183"/>
        <v>#VALUE!</v>
      </c>
      <c r="L2939" t="str">
        <f>MAIN!C2944</f>
        <v/>
      </c>
    </row>
    <row r="2940" spans="1:12" x14ac:dyDescent="0.3">
      <c r="A2940">
        <f>IF(J2940="0",0,IF(COUNTIF($J$2:J2940,J2940)=1,1,0))</f>
        <v>0</v>
      </c>
      <c r="B2940" s="12" t="e">
        <f>MID(MAIN!A2945,K2940,2)</f>
        <v>#VALUE!</v>
      </c>
      <c r="C2940" s="12" t="e">
        <f t="shared" si="180"/>
        <v>#VALUE!</v>
      </c>
      <c r="D2940" s="12" t="e">
        <f>MID(MAIN!A2945,K2940+2,2)</f>
        <v>#VALUE!</v>
      </c>
      <c r="E2940" s="12" t="e">
        <f>MID(MAIN!A2945,K2940+4,2)</f>
        <v>#VALUE!</v>
      </c>
      <c r="F2940" s="2" t="e">
        <f t="shared" si="181"/>
        <v>#VALUE!</v>
      </c>
      <c r="G2940" s="13" t="e">
        <f t="shared" si="182"/>
        <v>#VALUE!</v>
      </c>
      <c r="J2940" t="str">
        <f>MAIN!A2945&amp;"B"</f>
        <v>B</v>
      </c>
      <c r="K2940" s="12" t="e">
        <f t="shared" si="183"/>
        <v>#VALUE!</v>
      </c>
      <c r="L2940" t="str">
        <f>MAIN!C2945</f>
        <v/>
      </c>
    </row>
    <row r="2941" spans="1:12" x14ac:dyDescent="0.3">
      <c r="A2941">
        <f>IF(J2941="0",0,IF(COUNTIF($J$2:J2941,J2941)=1,1,0))</f>
        <v>0</v>
      </c>
      <c r="B2941" s="12" t="e">
        <f>MID(MAIN!A2946,K2941,2)</f>
        <v>#VALUE!</v>
      </c>
      <c r="C2941" s="12" t="e">
        <f t="shared" si="180"/>
        <v>#VALUE!</v>
      </c>
      <c r="D2941" s="12" t="e">
        <f>MID(MAIN!A2946,K2941+2,2)</f>
        <v>#VALUE!</v>
      </c>
      <c r="E2941" s="12" t="e">
        <f>MID(MAIN!A2946,K2941+4,2)</f>
        <v>#VALUE!</v>
      </c>
      <c r="F2941" s="2" t="e">
        <f t="shared" si="181"/>
        <v>#VALUE!</v>
      </c>
      <c r="G2941" s="13" t="e">
        <f t="shared" si="182"/>
        <v>#VALUE!</v>
      </c>
      <c r="J2941" t="str">
        <f>MAIN!A2946&amp;"B"</f>
        <v>B</v>
      </c>
      <c r="K2941" s="12" t="e">
        <f t="shared" si="183"/>
        <v>#VALUE!</v>
      </c>
      <c r="L2941" t="str">
        <f>MAIN!C2946</f>
        <v/>
      </c>
    </row>
    <row r="2942" spans="1:12" x14ac:dyDescent="0.3">
      <c r="A2942">
        <f>IF(J2942="0",0,IF(COUNTIF($J$2:J2942,J2942)=1,1,0))</f>
        <v>0</v>
      </c>
      <c r="B2942" s="12" t="e">
        <f>MID(MAIN!A2947,K2942,2)</f>
        <v>#VALUE!</v>
      </c>
      <c r="C2942" s="12" t="e">
        <f t="shared" si="180"/>
        <v>#VALUE!</v>
      </c>
      <c r="D2942" s="12" t="e">
        <f>MID(MAIN!A2947,K2942+2,2)</f>
        <v>#VALUE!</v>
      </c>
      <c r="E2942" s="12" t="e">
        <f>MID(MAIN!A2947,K2942+4,2)</f>
        <v>#VALUE!</v>
      </c>
      <c r="F2942" s="2" t="e">
        <f t="shared" si="181"/>
        <v>#VALUE!</v>
      </c>
      <c r="G2942" s="13" t="e">
        <f t="shared" si="182"/>
        <v>#VALUE!</v>
      </c>
      <c r="J2942" t="str">
        <f>MAIN!A2947&amp;"B"</f>
        <v>B</v>
      </c>
      <c r="K2942" s="12" t="e">
        <f t="shared" si="183"/>
        <v>#VALUE!</v>
      </c>
      <c r="L2942" t="str">
        <f>MAIN!C2947</f>
        <v/>
      </c>
    </row>
    <row r="2943" spans="1:12" x14ac:dyDescent="0.3">
      <c r="A2943">
        <f>IF(J2943="0",0,IF(COUNTIF($J$2:J2943,J2943)=1,1,0))</f>
        <v>0</v>
      </c>
      <c r="B2943" s="12" t="e">
        <f>MID(MAIN!A2948,K2943,2)</f>
        <v>#VALUE!</v>
      </c>
      <c r="C2943" s="12" t="e">
        <f t="shared" si="180"/>
        <v>#VALUE!</v>
      </c>
      <c r="D2943" s="12" t="e">
        <f>MID(MAIN!A2948,K2943+2,2)</f>
        <v>#VALUE!</v>
      </c>
      <c r="E2943" s="12" t="e">
        <f>MID(MAIN!A2948,K2943+4,2)</f>
        <v>#VALUE!</v>
      </c>
      <c r="F2943" s="2" t="e">
        <f t="shared" si="181"/>
        <v>#VALUE!</v>
      </c>
      <c r="G2943" s="13" t="e">
        <f t="shared" si="182"/>
        <v>#VALUE!</v>
      </c>
      <c r="J2943" t="str">
        <f>MAIN!A2948&amp;"B"</f>
        <v>B</v>
      </c>
      <c r="K2943" s="12" t="e">
        <f t="shared" si="183"/>
        <v>#VALUE!</v>
      </c>
      <c r="L2943" t="str">
        <f>MAIN!C2948</f>
        <v/>
      </c>
    </row>
    <row r="2944" spans="1:12" x14ac:dyDescent="0.3">
      <c r="A2944">
        <f>IF(J2944="0",0,IF(COUNTIF($J$2:J2944,J2944)=1,1,0))</f>
        <v>0</v>
      </c>
      <c r="B2944" s="12" t="e">
        <f>MID(MAIN!A2949,K2944,2)</f>
        <v>#VALUE!</v>
      </c>
      <c r="C2944" s="12" t="e">
        <f t="shared" si="180"/>
        <v>#VALUE!</v>
      </c>
      <c r="D2944" s="12" t="e">
        <f>MID(MAIN!A2949,K2944+2,2)</f>
        <v>#VALUE!</v>
      </c>
      <c r="E2944" s="12" t="e">
        <f>MID(MAIN!A2949,K2944+4,2)</f>
        <v>#VALUE!</v>
      </c>
      <c r="F2944" s="2" t="e">
        <f t="shared" si="181"/>
        <v>#VALUE!</v>
      </c>
      <c r="G2944" s="13" t="e">
        <f t="shared" si="182"/>
        <v>#VALUE!</v>
      </c>
      <c r="J2944" t="str">
        <f>MAIN!A2949&amp;"B"</f>
        <v>B</v>
      </c>
      <c r="K2944" s="12" t="e">
        <f t="shared" si="183"/>
        <v>#VALUE!</v>
      </c>
      <c r="L2944" t="str">
        <f>MAIN!C2949</f>
        <v/>
      </c>
    </row>
    <row r="2945" spans="1:12" x14ac:dyDescent="0.3">
      <c r="A2945">
        <f>IF(J2945="0",0,IF(COUNTIF($J$2:J2945,J2945)=1,1,0))</f>
        <v>0</v>
      </c>
      <c r="B2945" s="12" t="e">
        <f>MID(MAIN!A2950,K2945,2)</f>
        <v>#VALUE!</v>
      </c>
      <c r="C2945" s="12" t="e">
        <f t="shared" si="180"/>
        <v>#VALUE!</v>
      </c>
      <c r="D2945" s="12" t="e">
        <f>MID(MAIN!A2950,K2945+2,2)</f>
        <v>#VALUE!</v>
      </c>
      <c r="E2945" s="12" t="e">
        <f>MID(MAIN!A2950,K2945+4,2)</f>
        <v>#VALUE!</v>
      </c>
      <c r="F2945" s="2" t="e">
        <f t="shared" si="181"/>
        <v>#VALUE!</v>
      </c>
      <c r="G2945" s="13" t="e">
        <f t="shared" si="182"/>
        <v>#VALUE!</v>
      </c>
      <c r="J2945" t="str">
        <f>MAIN!A2950&amp;"B"</f>
        <v>B</v>
      </c>
      <c r="K2945" s="12" t="e">
        <f t="shared" si="183"/>
        <v>#VALUE!</v>
      </c>
      <c r="L2945" t="str">
        <f>MAIN!C2950</f>
        <v/>
      </c>
    </row>
    <row r="2946" spans="1:12" x14ac:dyDescent="0.3">
      <c r="A2946">
        <f>IF(J2946="0",0,IF(COUNTIF($J$2:J2946,J2946)=1,1,0))</f>
        <v>0</v>
      </c>
      <c r="B2946" s="12" t="e">
        <f>MID(MAIN!A2951,K2946,2)</f>
        <v>#VALUE!</v>
      </c>
      <c r="C2946" s="12" t="e">
        <f t="shared" si="180"/>
        <v>#VALUE!</v>
      </c>
      <c r="D2946" s="12" t="e">
        <f>MID(MAIN!A2951,K2946+2,2)</f>
        <v>#VALUE!</v>
      </c>
      <c r="E2946" s="12" t="e">
        <f>MID(MAIN!A2951,K2946+4,2)</f>
        <v>#VALUE!</v>
      </c>
      <c r="F2946" s="2" t="e">
        <f t="shared" si="181"/>
        <v>#VALUE!</v>
      </c>
      <c r="G2946" s="13" t="e">
        <f t="shared" si="182"/>
        <v>#VALUE!</v>
      </c>
      <c r="J2946" t="str">
        <f>MAIN!A2951&amp;"B"</f>
        <v>B</v>
      </c>
      <c r="K2946" s="12" t="e">
        <f t="shared" si="183"/>
        <v>#VALUE!</v>
      </c>
      <c r="L2946" t="str">
        <f>MAIN!C2951</f>
        <v/>
      </c>
    </row>
    <row r="2947" spans="1:12" x14ac:dyDescent="0.3">
      <c r="A2947">
        <f>IF(J2947="0",0,IF(COUNTIF($J$2:J2947,J2947)=1,1,0))</f>
        <v>0</v>
      </c>
      <c r="B2947" s="12" t="e">
        <f>MID(MAIN!A2952,K2947,2)</f>
        <v>#VALUE!</v>
      </c>
      <c r="C2947" s="12" t="e">
        <f t="shared" ref="C2947:C3010" si="184">"20"&amp;B2947</f>
        <v>#VALUE!</v>
      </c>
      <c r="D2947" s="12" t="e">
        <f>MID(MAIN!A2952,K2947+2,2)</f>
        <v>#VALUE!</v>
      </c>
      <c r="E2947" s="12" t="e">
        <f>MID(MAIN!A2952,K2947+4,2)</f>
        <v>#VALUE!</v>
      </c>
      <c r="F2947" s="2" t="e">
        <f t="shared" ref="F2947:F3010" si="185">C2947&amp;"/"&amp;D2947&amp;"/"&amp;E2947</f>
        <v>#VALUE!</v>
      </c>
      <c r="G2947" s="13" t="e">
        <f t="shared" ref="G2947:G3010" si="186">DATEVALUE(F2947)</f>
        <v>#VALUE!</v>
      </c>
      <c r="J2947" t="str">
        <f>MAIN!A2952&amp;"B"</f>
        <v>B</v>
      </c>
      <c r="K2947" s="12" t="e">
        <f t="shared" ref="K2947:K3010" si="187">FIND("172",J2947,30)+2</f>
        <v>#VALUE!</v>
      </c>
      <c r="L2947" t="str">
        <f>MAIN!C2952</f>
        <v/>
      </c>
    </row>
    <row r="2948" spans="1:12" x14ac:dyDescent="0.3">
      <c r="A2948">
        <f>IF(J2948="0",0,IF(COUNTIF($J$2:J2948,J2948)=1,1,0))</f>
        <v>0</v>
      </c>
      <c r="B2948" s="12" t="e">
        <f>MID(MAIN!A2953,K2948,2)</f>
        <v>#VALUE!</v>
      </c>
      <c r="C2948" s="12" t="e">
        <f t="shared" si="184"/>
        <v>#VALUE!</v>
      </c>
      <c r="D2948" s="12" t="e">
        <f>MID(MAIN!A2953,K2948+2,2)</f>
        <v>#VALUE!</v>
      </c>
      <c r="E2948" s="12" t="e">
        <f>MID(MAIN!A2953,K2948+4,2)</f>
        <v>#VALUE!</v>
      </c>
      <c r="F2948" s="2" t="e">
        <f t="shared" si="185"/>
        <v>#VALUE!</v>
      </c>
      <c r="G2948" s="13" t="e">
        <f t="shared" si="186"/>
        <v>#VALUE!</v>
      </c>
      <c r="J2948" t="str">
        <f>MAIN!A2953&amp;"B"</f>
        <v>B</v>
      </c>
      <c r="K2948" s="12" t="e">
        <f t="shared" si="187"/>
        <v>#VALUE!</v>
      </c>
      <c r="L2948" t="str">
        <f>MAIN!C2953</f>
        <v/>
      </c>
    </row>
    <row r="2949" spans="1:12" x14ac:dyDescent="0.3">
      <c r="A2949">
        <f>IF(J2949="0",0,IF(COUNTIF($J$2:J2949,J2949)=1,1,0))</f>
        <v>0</v>
      </c>
      <c r="B2949" s="12" t="e">
        <f>MID(MAIN!A2954,K2949,2)</f>
        <v>#VALUE!</v>
      </c>
      <c r="C2949" s="12" t="e">
        <f t="shared" si="184"/>
        <v>#VALUE!</v>
      </c>
      <c r="D2949" s="12" t="e">
        <f>MID(MAIN!A2954,K2949+2,2)</f>
        <v>#VALUE!</v>
      </c>
      <c r="E2949" s="12" t="e">
        <f>MID(MAIN!A2954,K2949+4,2)</f>
        <v>#VALUE!</v>
      </c>
      <c r="F2949" s="2" t="e">
        <f t="shared" si="185"/>
        <v>#VALUE!</v>
      </c>
      <c r="G2949" s="13" t="e">
        <f t="shared" si="186"/>
        <v>#VALUE!</v>
      </c>
      <c r="J2949" t="str">
        <f>MAIN!A2954&amp;"B"</f>
        <v>B</v>
      </c>
      <c r="K2949" s="12" t="e">
        <f t="shared" si="187"/>
        <v>#VALUE!</v>
      </c>
      <c r="L2949" t="str">
        <f>MAIN!C2954</f>
        <v/>
      </c>
    </row>
    <row r="2950" spans="1:12" x14ac:dyDescent="0.3">
      <c r="A2950">
        <f>IF(J2950="0",0,IF(COUNTIF($J$2:J2950,J2950)=1,1,0))</f>
        <v>0</v>
      </c>
      <c r="B2950" s="12" t="e">
        <f>MID(MAIN!A2955,K2950,2)</f>
        <v>#VALUE!</v>
      </c>
      <c r="C2950" s="12" t="e">
        <f t="shared" si="184"/>
        <v>#VALUE!</v>
      </c>
      <c r="D2950" s="12" t="e">
        <f>MID(MAIN!A2955,K2950+2,2)</f>
        <v>#VALUE!</v>
      </c>
      <c r="E2950" s="12" t="e">
        <f>MID(MAIN!A2955,K2950+4,2)</f>
        <v>#VALUE!</v>
      </c>
      <c r="F2950" s="2" t="e">
        <f t="shared" si="185"/>
        <v>#VALUE!</v>
      </c>
      <c r="G2950" s="13" t="e">
        <f t="shared" si="186"/>
        <v>#VALUE!</v>
      </c>
      <c r="J2950" t="str">
        <f>MAIN!A2955&amp;"B"</f>
        <v>B</v>
      </c>
      <c r="K2950" s="12" t="e">
        <f t="shared" si="187"/>
        <v>#VALUE!</v>
      </c>
      <c r="L2950" t="str">
        <f>MAIN!C2955</f>
        <v/>
      </c>
    </row>
    <row r="2951" spans="1:12" x14ac:dyDescent="0.3">
      <c r="A2951">
        <f>IF(J2951="0",0,IF(COUNTIF($J$2:J2951,J2951)=1,1,0))</f>
        <v>0</v>
      </c>
      <c r="B2951" s="12" t="e">
        <f>MID(MAIN!A2956,K2951,2)</f>
        <v>#VALUE!</v>
      </c>
      <c r="C2951" s="12" t="e">
        <f t="shared" si="184"/>
        <v>#VALUE!</v>
      </c>
      <c r="D2951" s="12" t="e">
        <f>MID(MAIN!A2956,K2951+2,2)</f>
        <v>#VALUE!</v>
      </c>
      <c r="E2951" s="12" t="e">
        <f>MID(MAIN!A2956,K2951+4,2)</f>
        <v>#VALUE!</v>
      </c>
      <c r="F2951" s="2" t="e">
        <f t="shared" si="185"/>
        <v>#VALUE!</v>
      </c>
      <c r="G2951" s="13" t="e">
        <f t="shared" si="186"/>
        <v>#VALUE!</v>
      </c>
      <c r="J2951" t="str">
        <f>MAIN!A2956&amp;"B"</f>
        <v>B</v>
      </c>
      <c r="K2951" s="12" t="e">
        <f t="shared" si="187"/>
        <v>#VALUE!</v>
      </c>
      <c r="L2951" t="str">
        <f>MAIN!C2956</f>
        <v/>
      </c>
    </row>
    <row r="2952" spans="1:12" x14ac:dyDescent="0.3">
      <c r="A2952">
        <f>IF(J2952="0",0,IF(COUNTIF($J$2:J2952,J2952)=1,1,0))</f>
        <v>0</v>
      </c>
      <c r="B2952" s="12" t="e">
        <f>MID(MAIN!A2957,K2952,2)</f>
        <v>#VALUE!</v>
      </c>
      <c r="C2952" s="12" t="e">
        <f t="shared" si="184"/>
        <v>#VALUE!</v>
      </c>
      <c r="D2952" s="12" t="e">
        <f>MID(MAIN!A2957,K2952+2,2)</f>
        <v>#VALUE!</v>
      </c>
      <c r="E2952" s="12" t="e">
        <f>MID(MAIN!A2957,K2952+4,2)</f>
        <v>#VALUE!</v>
      </c>
      <c r="F2952" s="2" t="e">
        <f t="shared" si="185"/>
        <v>#VALUE!</v>
      </c>
      <c r="G2952" s="13" t="e">
        <f t="shared" si="186"/>
        <v>#VALUE!</v>
      </c>
      <c r="J2952" t="str">
        <f>MAIN!A2957&amp;"B"</f>
        <v>B</v>
      </c>
      <c r="K2952" s="12" t="e">
        <f t="shared" si="187"/>
        <v>#VALUE!</v>
      </c>
      <c r="L2952" t="str">
        <f>MAIN!C2957</f>
        <v/>
      </c>
    </row>
    <row r="2953" spans="1:12" x14ac:dyDescent="0.3">
      <c r="A2953">
        <f>IF(J2953="0",0,IF(COUNTIF($J$2:J2953,J2953)=1,1,0))</f>
        <v>0</v>
      </c>
      <c r="B2953" s="12" t="e">
        <f>MID(MAIN!A2958,K2953,2)</f>
        <v>#VALUE!</v>
      </c>
      <c r="C2953" s="12" t="e">
        <f t="shared" si="184"/>
        <v>#VALUE!</v>
      </c>
      <c r="D2953" s="12" t="e">
        <f>MID(MAIN!A2958,K2953+2,2)</f>
        <v>#VALUE!</v>
      </c>
      <c r="E2953" s="12" t="e">
        <f>MID(MAIN!A2958,K2953+4,2)</f>
        <v>#VALUE!</v>
      </c>
      <c r="F2953" s="2" t="e">
        <f t="shared" si="185"/>
        <v>#VALUE!</v>
      </c>
      <c r="G2953" s="13" t="e">
        <f t="shared" si="186"/>
        <v>#VALUE!</v>
      </c>
      <c r="J2953" t="str">
        <f>MAIN!A2958&amp;"B"</f>
        <v>B</v>
      </c>
      <c r="K2953" s="12" t="e">
        <f t="shared" si="187"/>
        <v>#VALUE!</v>
      </c>
      <c r="L2953" t="str">
        <f>MAIN!C2958</f>
        <v/>
      </c>
    </row>
    <row r="2954" spans="1:12" x14ac:dyDescent="0.3">
      <c r="A2954">
        <f>IF(J2954="0",0,IF(COUNTIF($J$2:J2954,J2954)=1,1,0))</f>
        <v>0</v>
      </c>
      <c r="B2954" s="12" t="e">
        <f>MID(MAIN!A2959,K2954,2)</f>
        <v>#VALUE!</v>
      </c>
      <c r="C2954" s="12" t="e">
        <f t="shared" si="184"/>
        <v>#VALUE!</v>
      </c>
      <c r="D2954" s="12" t="e">
        <f>MID(MAIN!A2959,K2954+2,2)</f>
        <v>#VALUE!</v>
      </c>
      <c r="E2954" s="12" t="e">
        <f>MID(MAIN!A2959,K2954+4,2)</f>
        <v>#VALUE!</v>
      </c>
      <c r="F2954" s="2" t="e">
        <f t="shared" si="185"/>
        <v>#VALUE!</v>
      </c>
      <c r="G2954" s="13" t="e">
        <f t="shared" si="186"/>
        <v>#VALUE!</v>
      </c>
      <c r="J2954" t="str">
        <f>MAIN!A2959&amp;"B"</f>
        <v>B</v>
      </c>
      <c r="K2954" s="12" t="e">
        <f t="shared" si="187"/>
        <v>#VALUE!</v>
      </c>
      <c r="L2954" t="str">
        <f>MAIN!C2959</f>
        <v/>
      </c>
    </row>
    <row r="2955" spans="1:12" x14ac:dyDescent="0.3">
      <c r="A2955">
        <f>IF(J2955="0",0,IF(COUNTIF($J$2:J2955,J2955)=1,1,0))</f>
        <v>0</v>
      </c>
      <c r="B2955" s="12" t="e">
        <f>MID(MAIN!A2960,K2955,2)</f>
        <v>#VALUE!</v>
      </c>
      <c r="C2955" s="12" t="e">
        <f t="shared" si="184"/>
        <v>#VALUE!</v>
      </c>
      <c r="D2955" s="12" t="e">
        <f>MID(MAIN!A2960,K2955+2,2)</f>
        <v>#VALUE!</v>
      </c>
      <c r="E2955" s="12" t="e">
        <f>MID(MAIN!A2960,K2955+4,2)</f>
        <v>#VALUE!</v>
      </c>
      <c r="F2955" s="2" t="e">
        <f t="shared" si="185"/>
        <v>#VALUE!</v>
      </c>
      <c r="G2955" s="13" t="e">
        <f t="shared" si="186"/>
        <v>#VALUE!</v>
      </c>
      <c r="J2955" t="str">
        <f>MAIN!A2960&amp;"B"</f>
        <v>B</v>
      </c>
      <c r="K2955" s="12" t="e">
        <f t="shared" si="187"/>
        <v>#VALUE!</v>
      </c>
      <c r="L2955" t="str">
        <f>MAIN!C2960</f>
        <v/>
      </c>
    </row>
    <row r="2956" spans="1:12" x14ac:dyDescent="0.3">
      <c r="A2956">
        <f>IF(J2956="0",0,IF(COUNTIF($J$2:J2956,J2956)=1,1,0))</f>
        <v>0</v>
      </c>
      <c r="B2956" s="12" t="e">
        <f>MID(MAIN!A2961,K2956,2)</f>
        <v>#VALUE!</v>
      </c>
      <c r="C2956" s="12" t="e">
        <f t="shared" si="184"/>
        <v>#VALUE!</v>
      </c>
      <c r="D2956" s="12" t="e">
        <f>MID(MAIN!A2961,K2956+2,2)</f>
        <v>#VALUE!</v>
      </c>
      <c r="E2956" s="12" t="e">
        <f>MID(MAIN!A2961,K2956+4,2)</f>
        <v>#VALUE!</v>
      </c>
      <c r="F2956" s="2" t="e">
        <f t="shared" si="185"/>
        <v>#VALUE!</v>
      </c>
      <c r="G2956" s="13" t="e">
        <f t="shared" si="186"/>
        <v>#VALUE!</v>
      </c>
      <c r="J2956" t="str">
        <f>MAIN!A2961&amp;"B"</f>
        <v>B</v>
      </c>
      <c r="K2956" s="12" t="e">
        <f t="shared" si="187"/>
        <v>#VALUE!</v>
      </c>
      <c r="L2956" t="str">
        <f>MAIN!C2961</f>
        <v/>
      </c>
    </row>
    <row r="2957" spans="1:12" x14ac:dyDescent="0.3">
      <c r="A2957">
        <f>IF(J2957="0",0,IF(COUNTIF($J$2:J2957,J2957)=1,1,0))</f>
        <v>0</v>
      </c>
      <c r="B2957" s="12" t="e">
        <f>MID(MAIN!A2962,K2957,2)</f>
        <v>#VALUE!</v>
      </c>
      <c r="C2957" s="12" t="e">
        <f t="shared" si="184"/>
        <v>#VALUE!</v>
      </c>
      <c r="D2957" s="12" t="e">
        <f>MID(MAIN!A2962,K2957+2,2)</f>
        <v>#VALUE!</v>
      </c>
      <c r="E2957" s="12" t="e">
        <f>MID(MAIN!A2962,K2957+4,2)</f>
        <v>#VALUE!</v>
      </c>
      <c r="F2957" s="2" t="e">
        <f t="shared" si="185"/>
        <v>#VALUE!</v>
      </c>
      <c r="G2957" s="13" t="e">
        <f t="shared" si="186"/>
        <v>#VALUE!</v>
      </c>
      <c r="J2957" t="str">
        <f>MAIN!A2962&amp;"B"</f>
        <v>B</v>
      </c>
      <c r="K2957" s="12" t="e">
        <f t="shared" si="187"/>
        <v>#VALUE!</v>
      </c>
      <c r="L2957" t="str">
        <f>MAIN!C2962</f>
        <v/>
      </c>
    </row>
    <row r="2958" spans="1:12" x14ac:dyDescent="0.3">
      <c r="A2958">
        <f>IF(J2958="0",0,IF(COUNTIF($J$2:J2958,J2958)=1,1,0))</f>
        <v>0</v>
      </c>
      <c r="B2958" s="12" t="e">
        <f>MID(MAIN!A2963,K2958,2)</f>
        <v>#VALUE!</v>
      </c>
      <c r="C2958" s="12" t="e">
        <f t="shared" si="184"/>
        <v>#VALUE!</v>
      </c>
      <c r="D2958" s="12" t="e">
        <f>MID(MAIN!A2963,K2958+2,2)</f>
        <v>#VALUE!</v>
      </c>
      <c r="E2958" s="12" t="e">
        <f>MID(MAIN!A2963,K2958+4,2)</f>
        <v>#VALUE!</v>
      </c>
      <c r="F2958" s="2" t="e">
        <f t="shared" si="185"/>
        <v>#VALUE!</v>
      </c>
      <c r="G2958" s="13" t="e">
        <f t="shared" si="186"/>
        <v>#VALUE!</v>
      </c>
      <c r="J2958" t="str">
        <f>MAIN!A2963&amp;"B"</f>
        <v>B</v>
      </c>
      <c r="K2958" s="12" t="e">
        <f t="shared" si="187"/>
        <v>#VALUE!</v>
      </c>
      <c r="L2958" t="str">
        <f>MAIN!C2963</f>
        <v/>
      </c>
    </row>
    <row r="2959" spans="1:12" x14ac:dyDescent="0.3">
      <c r="A2959">
        <f>IF(J2959="0",0,IF(COUNTIF($J$2:J2959,J2959)=1,1,0))</f>
        <v>0</v>
      </c>
      <c r="B2959" s="12" t="e">
        <f>MID(MAIN!A2964,K2959,2)</f>
        <v>#VALUE!</v>
      </c>
      <c r="C2959" s="12" t="e">
        <f t="shared" si="184"/>
        <v>#VALUE!</v>
      </c>
      <c r="D2959" s="12" t="e">
        <f>MID(MAIN!A2964,K2959+2,2)</f>
        <v>#VALUE!</v>
      </c>
      <c r="E2959" s="12" t="e">
        <f>MID(MAIN!A2964,K2959+4,2)</f>
        <v>#VALUE!</v>
      </c>
      <c r="F2959" s="2" t="e">
        <f t="shared" si="185"/>
        <v>#VALUE!</v>
      </c>
      <c r="G2959" s="13" t="e">
        <f t="shared" si="186"/>
        <v>#VALUE!</v>
      </c>
      <c r="J2959" t="str">
        <f>MAIN!A2964&amp;"B"</f>
        <v>B</v>
      </c>
      <c r="K2959" s="12" t="e">
        <f t="shared" si="187"/>
        <v>#VALUE!</v>
      </c>
      <c r="L2959" t="str">
        <f>MAIN!C2964</f>
        <v/>
      </c>
    </row>
    <row r="2960" spans="1:12" x14ac:dyDescent="0.3">
      <c r="A2960">
        <f>IF(J2960="0",0,IF(COUNTIF($J$2:J2960,J2960)=1,1,0))</f>
        <v>0</v>
      </c>
      <c r="B2960" s="12" t="e">
        <f>MID(MAIN!A2965,K2960,2)</f>
        <v>#VALUE!</v>
      </c>
      <c r="C2960" s="12" t="e">
        <f t="shared" si="184"/>
        <v>#VALUE!</v>
      </c>
      <c r="D2960" s="12" t="e">
        <f>MID(MAIN!A2965,K2960+2,2)</f>
        <v>#VALUE!</v>
      </c>
      <c r="E2960" s="12" t="e">
        <f>MID(MAIN!A2965,K2960+4,2)</f>
        <v>#VALUE!</v>
      </c>
      <c r="F2960" s="2" t="e">
        <f t="shared" si="185"/>
        <v>#VALUE!</v>
      </c>
      <c r="G2960" s="13" t="e">
        <f t="shared" si="186"/>
        <v>#VALUE!</v>
      </c>
      <c r="J2960" t="str">
        <f>MAIN!A2965&amp;"B"</f>
        <v>B</v>
      </c>
      <c r="K2960" s="12" t="e">
        <f t="shared" si="187"/>
        <v>#VALUE!</v>
      </c>
      <c r="L2960" t="str">
        <f>MAIN!C2965</f>
        <v/>
      </c>
    </row>
    <row r="2961" spans="1:12" x14ac:dyDescent="0.3">
      <c r="A2961">
        <f>IF(J2961="0",0,IF(COUNTIF($J$2:J2961,J2961)=1,1,0))</f>
        <v>0</v>
      </c>
      <c r="B2961" s="12" t="e">
        <f>MID(MAIN!A2966,K2961,2)</f>
        <v>#VALUE!</v>
      </c>
      <c r="C2961" s="12" t="e">
        <f t="shared" si="184"/>
        <v>#VALUE!</v>
      </c>
      <c r="D2961" s="12" t="e">
        <f>MID(MAIN!A2966,K2961+2,2)</f>
        <v>#VALUE!</v>
      </c>
      <c r="E2961" s="12" t="e">
        <f>MID(MAIN!A2966,K2961+4,2)</f>
        <v>#VALUE!</v>
      </c>
      <c r="F2961" s="2" t="e">
        <f t="shared" si="185"/>
        <v>#VALUE!</v>
      </c>
      <c r="G2961" s="13" t="e">
        <f t="shared" si="186"/>
        <v>#VALUE!</v>
      </c>
      <c r="J2961" t="str">
        <f>MAIN!A2966&amp;"B"</f>
        <v>B</v>
      </c>
      <c r="K2961" s="12" t="e">
        <f t="shared" si="187"/>
        <v>#VALUE!</v>
      </c>
      <c r="L2961" t="str">
        <f>MAIN!C2966</f>
        <v/>
      </c>
    </row>
    <row r="2962" spans="1:12" x14ac:dyDescent="0.3">
      <c r="A2962">
        <f>IF(J2962="0",0,IF(COUNTIF($J$2:J2962,J2962)=1,1,0))</f>
        <v>0</v>
      </c>
      <c r="B2962" s="12" t="e">
        <f>MID(MAIN!A2967,K2962,2)</f>
        <v>#VALUE!</v>
      </c>
      <c r="C2962" s="12" t="e">
        <f t="shared" si="184"/>
        <v>#VALUE!</v>
      </c>
      <c r="D2962" s="12" t="e">
        <f>MID(MAIN!A2967,K2962+2,2)</f>
        <v>#VALUE!</v>
      </c>
      <c r="E2962" s="12" t="e">
        <f>MID(MAIN!A2967,K2962+4,2)</f>
        <v>#VALUE!</v>
      </c>
      <c r="F2962" s="2" t="e">
        <f t="shared" si="185"/>
        <v>#VALUE!</v>
      </c>
      <c r="G2962" s="13" t="e">
        <f t="shared" si="186"/>
        <v>#VALUE!</v>
      </c>
      <c r="J2962" t="str">
        <f>MAIN!A2967&amp;"B"</f>
        <v>B</v>
      </c>
      <c r="K2962" s="12" t="e">
        <f t="shared" si="187"/>
        <v>#VALUE!</v>
      </c>
      <c r="L2962" t="str">
        <f>MAIN!C2967</f>
        <v/>
      </c>
    </row>
    <row r="2963" spans="1:12" x14ac:dyDescent="0.3">
      <c r="A2963">
        <f>IF(J2963="0",0,IF(COUNTIF($J$2:J2963,J2963)=1,1,0))</f>
        <v>0</v>
      </c>
      <c r="B2963" s="12" t="e">
        <f>MID(MAIN!A2968,K2963,2)</f>
        <v>#VALUE!</v>
      </c>
      <c r="C2963" s="12" t="e">
        <f t="shared" si="184"/>
        <v>#VALUE!</v>
      </c>
      <c r="D2963" s="12" t="e">
        <f>MID(MAIN!A2968,K2963+2,2)</f>
        <v>#VALUE!</v>
      </c>
      <c r="E2963" s="12" t="e">
        <f>MID(MAIN!A2968,K2963+4,2)</f>
        <v>#VALUE!</v>
      </c>
      <c r="F2963" s="2" t="e">
        <f t="shared" si="185"/>
        <v>#VALUE!</v>
      </c>
      <c r="G2963" s="13" t="e">
        <f t="shared" si="186"/>
        <v>#VALUE!</v>
      </c>
      <c r="J2963" t="str">
        <f>MAIN!A2968&amp;"B"</f>
        <v>B</v>
      </c>
      <c r="K2963" s="12" t="e">
        <f t="shared" si="187"/>
        <v>#VALUE!</v>
      </c>
      <c r="L2963" t="str">
        <f>MAIN!C2968</f>
        <v/>
      </c>
    </row>
    <row r="2964" spans="1:12" x14ac:dyDescent="0.3">
      <c r="A2964">
        <f>IF(J2964="0",0,IF(COUNTIF($J$2:J2964,J2964)=1,1,0))</f>
        <v>0</v>
      </c>
      <c r="B2964" s="12" t="e">
        <f>MID(MAIN!A2969,K2964,2)</f>
        <v>#VALUE!</v>
      </c>
      <c r="C2964" s="12" t="e">
        <f t="shared" si="184"/>
        <v>#VALUE!</v>
      </c>
      <c r="D2964" s="12" t="e">
        <f>MID(MAIN!A2969,K2964+2,2)</f>
        <v>#VALUE!</v>
      </c>
      <c r="E2964" s="12" t="e">
        <f>MID(MAIN!A2969,K2964+4,2)</f>
        <v>#VALUE!</v>
      </c>
      <c r="F2964" s="2" t="e">
        <f t="shared" si="185"/>
        <v>#VALUE!</v>
      </c>
      <c r="G2964" s="13" t="e">
        <f t="shared" si="186"/>
        <v>#VALUE!</v>
      </c>
      <c r="J2964" t="str">
        <f>MAIN!A2969&amp;"B"</f>
        <v>B</v>
      </c>
      <c r="K2964" s="12" t="e">
        <f t="shared" si="187"/>
        <v>#VALUE!</v>
      </c>
      <c r="L2964" t="str">
        <f>MAIN!C2969</f>
        <v/>
      </c>
    </row>
    <row r="2965" spans="1:12" x14ac:dyDescent="0.3">
      <c r="A2965">
        <f>IF(J2965="0",0,IF(COUNTIF($J$2:J2965,J2965)=1,1,0))</f>
        <v>0</v>
      </c>
      <c r="B2965" s="12" t="e">
        <f>MID(MAIN!A2970,K2965,2)</f>
        <v>#VALUE!</v>
      </c>
      <c r="C2965" s="12" t="e">
        <f t="shared" si="184"/>
        <v>#VALUE!</v>
      </c>
      <c r="D2965" s="12" t="e">
        <f>MID(MAIN!A2970,K2965+2,2)</f>
        <v>#VALUE!</v>
      </c>
      <c r="E2965" s="12" t="e">
        <f>MID(MAIN!A2970,K2965+4,2)</f>
        <v>#VALUE!</v>
      </c>
      <c r="F2965" s="2" t="e">
        <f t="shared" si="185"/>
        <v>#VALUE!</v>
      </c>
      <c r="G2965" s="13" t="e">
        <f t="shared" si="186"/>
        <v>#VALUE!</v>
      </c>
      <c r="J2965" t="str">
        <f>MAIN!A2970&amp;"B"</f>
        <v>B</v>
      </c>
      <c r="K2965" s="12" t="e">
        <f t="shared" si="187"/>
        <v>#VALUE!</v>
      </c>
      <c r="L2965" t="str">
        <f>MAIN!C2970</f>
        <v/>
      </c>
    </row>
    <row r="2966" spans="1:12" x14ac:dyDescent="0.3">
      <c r="A2966">
        <f>IF(J2966="0",0,IF(COUNTIF($J$2:J2966,J2966)=1,1,0))</f>
        <v>0</v>
      </c>
      <c r="B2966" s="12" t="e">
        <f>MID(MAIN!A2971,K2966,2)</f>
        <v>#VALUE!</v>
      </c>
      <c r="C2966" s="12" t="e">
        <f t="shared" si="184"/>
        <v>#VALUE!</v>
      </c>
      <c r="D2966" s="12" t="e">
        <f>MID(MAIN!A2971,K2966+2,2)</f>
        <v>#VALUE!</v>
      </c>
      <c r="E2966" s="12" t="e">
        <f>MID(MAIN!A2971,K2966+4,2)</f>
        <v>#VALUE!</v>
      </c>
      <c r="F2966" s="2" t="e">
        <f t="shared" si="185"/>
        <v>#VALUE!</v>
      </c>
      <c r="G2966" s="13" t="e">
        <f t="shared" si="186"/>
        <v>#VALUE!</v>
      </c>
      <c r="J2966" t="str">
        <f>MAIN!A2971&amp;"B"</f>
        <v>B</v>
      </c>
      <c r="K2966" s="12" t="e">
        <f t="shared" si="187"/>
        <v>#VALUE!</v>
      </c>
      <c r="L2966" t="str">
        <f>MAIN!C2971</f>
        <v/>
      </c>
    </row>
    <row r="2967" spans="1:12" x14ac:dyDescent="0.3">
      <c r="A2967">
        <f>IF(J2967="0",0,IF(COUNTIF($J$2:J2967,J2967)=1,1,0))</f>
        <v>0</v>
      </c>
      <c r="B2967" s="12" t="e">
        <f>MID(MAIN!A2972,K2967,2)</f>
        <v>#VALUE!</v>
      </c>
      <c r="C2967" s="12" t="e">
        <f t="shared" si="184"/>
        <v>#VALUE!</v>
      </c>
      <c r="D2967" s="12" t="e">
        <f>MID(MAIN!A2972,K2967+2,2)</f>
        <v>#VALUE!</v>
      </c>
      <c r="E2967" s="12" t="e">
        <f>MID(MAIN!A2972,K2967+4,2)</f>
        <v>#VALUE!</v>
      </c>
      <c r="F2967" s="2" t="e">
        <f t="shared" si="185"/>
        <v>#VALUE!</v>
      </c>
      <c r="G2967" s="13" t="e">
        <f t="shared" si="186"/>
        <v>#VALUE!</v>
      </c>
      <c r="J2967" t="str">
        <f>MAIN!A2972&amp;"B"</f>
        <v>B</v>
      </c>
      <c r="K2967" s="12" t="e">
        <f t="shared" si="187"/>
        <v>#VALUE!</v>
      </c>
      <c r="L2967" t="str">
        <f>MAIN!C2972</f>
        <v/>
      </c>
    </row>
    <row r="2968" spans="1:12" x14ac:dyDescent="0.3">
      <c r="A2968">
        <f>IF(J2968="0",0,IF(COUNTIF($J$2:J2968,J2968)=1,1,0))</f>
        <v>0</v>
      </c>
      <c r="B2968" s="12" t="e">
        <f>MID(MAIN!A2973,K2968,2)</f>
        <v>#VALUE!</v>
      </c>
      <c r="C2968" s="12" t="e">
        <f t="shared" si="184"/>
        <v>#VALUE!</v>
      </c>
      <c r="D2968" s="12" t="e">
        <f>MID(MAIN!A2973,K2968+2,2)</f>
        <v>#VALUE!</v>
      </c>
      <c r="E2968" s="12" t="e">
        <f>MID(MAIN!A2973,K2968+4,2)</f>
        <v>#VALUE!</v>
      </c>
      <c r="F2968" s="2" t="e">
        <f t="shared" si="185"/>
        <v>#VALUE!</v>
      </c>
      <c r="G2968" s="13" t="e">
        <f t="shared" si="186"/>
        <v>#VALUE!</v>
      </c>
      <c r="J2968" t="str">
        <f>MAIN!A2973&amp;"B"</f>
        <v>B</v>
      </c>
      <c r="K2968" s="12" t="e">
        <f t="shared" si="187"/>
        <v>#VALUE!</v>
      </c>
      <c r="L2968" t="str">
        <f>MAIN!C2973</f>
        <v/>
      </c>
    </row>
    <row r="2969" spans="1:12" x14ac:dyDescent="0.3">
      <c r="A2969">
        <f>IF(J2969="0",0,IF(COUNTIF($J$2:J2969,J2969)=1,1,0))</f>
        <v>0</v>
      </c>
      <c r="B2969" s="12" t="e">
        <f>MID(MAIN!A2974,K2969,2)</f>
        <v>#VALUE!</v>
      </c>
      <c r="C2969" s="12" t="e">
        <f t="shared" si="184"/>
        <v>#VALUE!</v>
      </c>
      <c r="D2969" s="12" t="e">
        <f>MID(MAIN!A2974,K2969+2,2)</f>
        <v>#VALUE!</v>
      </c>
      <c r="E2969" s="12" t="e">
        <f>MID(MAIN!A2974,K2969+4,2)</f>
        <v>#VALUE!</v>
      </c>
      <c r="F2969" s="2" t="e">
        <f t="shared" si="185"/>
        <v>#VALUE!</v>
      </c>
      <c r="G2969" s="13" t="e">
        <f t="shared" si="186"/>
        <v>#VALUE!</v>
      </c>
      <c r="J2969" t="str">
        <f>MAIN!A2974&amp;"B"</f>
        <v>B</v>
      </c>
      <c r="K2969" s="12" t="e">
        <f t="shared" si="187"/>
        <v>#VALUE!</v>
      </c>
      <c r="L2969" t="str">
        <f>MAIN!C2974</f>
        <v/>
      </c>
    </row>
    <row r="2970" spans="1:12" x14ac:dyDescent="0.3">
      <c r="A2970">
        <f>IF(J2970="0",0,IF(COUNTIF($J$2:J2970,J2970)=1,1,0))</f>
        <v>0</v>
      </c>
      <c r="B2970" s="12" t="e">
        <f>MID(MAIN!A2975,K2970,2)</f>
        <v>#VALUE!</v>
      </c>
      <c r="C2970" s="12" t="e">
        <f t="shared" si="184"/>
        <v>#VALUE!</v>
      </c>
      <c r="D2970" s="12" t="e">
        <f>MID(MAIN!A2975,K2970+2,2)</f>
        <v>#VALUE!</v>
      </c>
      <c r="E2970" s="12" t="e">
        <f>MID(MAIN!A2975,K2970+4,2)</f>
        <v>#VALUE!</v>
      </c>
      <c r="F2970" s="2" t="e">
        <f t="shared" si="185"/>
        <v>#VALUE!</v>
      </c>
      <c r="G2970" s="13" t="e">
        <f t="shared" si="186"/>
        <v>#VALUE!</v>
      </c>
      <c r="J2970" t="str">
        <f>MAIN!A2975&amp;"B"</f>
        <v>B</v>
      </c>
      <c r="K2970" s="12" t="e">
        <f t="shared" si="187"/>
        <v>#VALUE!</v>
      </c>
      <c r="L2970" t="str">
        <f>MAIN!C2975</f>
        <v/>
      </c>
    </row>
    <row r="2971" spans="1:12" x14ac:dyDescent="0.3">
      <c r="A2971">
        <f>IF(J2971="0",0,IF(COUNTIF($J$2:J2971,J2971)=1,1,0))</f>
        <v>0</v>
      </c>
      <c r="B2971" s="12" t="e">
        <f>MID(MAIN!A2976,K2971,2)</f>
        <v>#VALUE!</v>
      </c>
      <c r="C2971" s="12" t="e">
        <f t="shared" si="184"/>
        <v>#VALUE!</v>
      </c>
      <c r="D2971" s="12" t="e">
        <f>MID(MAIN!A2976,K2971+2,2)</f>
        <v>#VALUE!</v>
      </c>
      <c r="E2971" s="12" t="e">
        <f>MID(MAIN!A2976,K2971+4,2)</f>
        <v>#VALUE!</v>
      </c>
      <c r="F2971" s="2" t="e">
        <f t="shared" si="185"/>
        <v>#VALUE!</v>
      </c>
      <c r="G2971" s="13" t="e">
        <f t="shared" si="186"/>
        <v>#VALUE!</v>
      </c>
      <c r="J2971" t="str">
        <f>MAIN!A2976&amp;"B"</f>
        <v>B</v>
      </c>
      <c r="K2971" s="12" t="e">
        <f t="shared" si="187"/>
        <v>#VALUE!</v>
      </c>
      <c r="L2971" t="str">
        <f>MAIN!C2976</f>
        <v/>
      </c>
    </row>
    <row r="2972" spans="1:12" x14ac:dyDescent="0.3">
      <c r="A2972">
        <f>IF(J2972="0",0,IF(COUNTIF($J$2:J2972,J2972)=1,1,0))</f>
        <v>0</v>
      </c>
      <c r="B2972" s="12" t="e">
        <f>MID(MAIN!A2977,K2972,2)</f>
        <v>#VALUE!</v>
      </c>
      <c r="C2972" s="12" t="e">
        <f t="shared" si="184"/>
        <v>#VALUE!</v>
      </c>
      <c r="D2972" s="12" t="e">
        <f>MID(MAIN!A2977,K2972+2,2)</f>
        <v>#VALUE!</v>
      </c>
      <c r="E2972" s="12" t="e">
        <f>MID(MAIN!A2977,K2972+4,2)</f>
        <v>#VALUE!</v>
      </c>
      <c r="F2972" s="2" t="e">
        <f t="shared" si="185"/>
        <v>#VALUE!</v>
      </c>
      <c r="G2972" s="13" t="e">
        <f t="shared" si="186"/>
        <v>#VALUE!</v>
      </c>
      <c r="J2972" t="str">
        <f>MAIN!A2977&amp;"B"</f>
        <v>B</v>
      </c>
      <c r="K2972" s="12" t="e">
        <f t="shared" si="187"/>
        <v>#VALUE!</v>
      </c>
      <c r="L2972" t="str">
        <f>MAIN!C2977</f>
        <v/>
      </c>
    </row>
    <row r="2973" spans="1:12" x14ac:dyDescent="0.3">
      <c r="A2973">
        <f>IF(J2973="0",0,IF(COUNTIF($J$2:J2973,J2973)=1,1,0))</f>
        <v>0</v>
      </c>
      <c r="B2973" s="12" t="e">
        <f>MID(MAIN!A2978,K2973,2)</f>
        <v>#VALUE!</v>
      </c>
      <c r="C2973" s="12" t="e">
        <f t="shared" si="184"/>
        <v>#VALUE!</v>
      </c>
      <c r="D2973" s="12" t="e">
        <f>MID(MAIN!A2978,K2973+2,2)</f>
        <v>#VALUE!</v>
      </c>
      <c r="E2973" s="12" t="e">
        <f>MID(MAIN!A2978,K2973+4,2)</f>
        <v>#VALUE!</v>
      </c>
      <c r="F2973" s="2" t="e">
        <f t="shared" si="185"/>
        <v>#VALUE!</v>
      </c>
      <c r="G2973" s="13" t="e">
        <f t="shared" si="186"/>
        <v>#VALUE!</v>
      </c>
      <c r="J2973" t="str">
        <f>MAIN!A2978&amp;"B"</f>
        <v>B</v>
      </c>
      <c r="K2973" s="12" t="e">
        <f t="shared" si="187"/>
        <v>#VALUE!</v>
      </c>
      <c r="L2973" t="str">
        <f>MAIN!C2978</f>
        <v/>
      </c>
    </row>
    <row r="2974" spans="1:12" x14ac:dyDescent="0.3">
      <c r="A2974">
        <f>IF(J2974="0",0,IF(COUNTIF($J$2:J2974,J2974)=1,1,0))</f>
        <v>0</v>
      </c>
      <c r="B2974" s="12" t="e">
        <f>MID(MAIN!A2979,K2974,2)</f>
        <v>#VALUE!</v>
      </c>
      <c r="C2974" s="12" t="e">
        <f t="shared" si="184"/>
        <v>#VALUE!</v>
      </c>
      <c r="D2974" s="12" t="e">
        <f>MID(MAIN!A2979,K2974+2,2)</f>
        <v>#VALUE!</v>
      </c>
      <c r="E2974" s="12" t="e">
        <f>MID(MAIN!A2979,K2974+4,2)</f>
        <v>#VALUE!</v>
      </c>
      <c r="F2974" s="2" t="e">
        <f t="shared" si="185"/>
        <v>#VALUE!</v>
      </c>
      <c r="G2974" s="13" t="e">
        <f t="shared" si="186"/>
        <v>#VALUE!</v>
      </c>
      <c r="J2974" t="str">
        <f>MAIN!A2979&amp;"B"</f>
        <v>B</v>
      </c>
      <c r="K2974" s="12" t="e">
        <f t="shared" si="187"/>
        <v>#VALUE!</v>
      </c>
      <c r="L2974" t="str">
        <f>MAIN!C2979</f>
        <v/>
      </c>
    </row>
    <row r="2975" spans="1:12" x14ac:dyDescent="0.3">
      <c r="A2975">
        <f>IF(J2975="0",0,IF(COUNTIF($J$2:J2975,J2975)=1,1,0))</f>
        <v>0</v>
      </c>
      <c r="B2975" s="12" t="e">
        <f>MID(MAIN!A2980,K2975,2)</f>
        <v>#VALUE!</v>
      </c>
      <c r="C2975" s="12" t="e">
        <f t="shared" si="184"/>
        <v>#VALUE!</v>
      </c>
      <c r="D2975" s="12" t="e">
        <f>MID(MAIN!A2980,K2975+2,2)</f>
        <v>#VALUE!</v>
      </c>
      <c r="E2975" s="12" t="e">
        <f>MID(MAIN!A2980,K2975+4,2)</f>
        <v>#VALUE!</v>
      </c>
      <c r="F2975" s="2" t="e">
        <f t="shared" si="185"/>
        <v>#VALUE!</v>
      </c>
      <c r="G2975" s="13" t="e">
        <f t="shared" si="186"/>
        <v>#VALUE!</v>
      </c>
      <c r="J2975" t="str">
        <f>MAIN!A2980&amp;"B"</f>
        <v>B</v>
      </c>
      <c r="K2975" s="12" t="e">
        <f t="shared" si="187"/>
        <v>#VALUE!</v>
      </c>
      <c r="L2975" t="str">
        <f>MAIN!C2980</f>
        <v/>
      </c>
    </row>
    <row r="2976" spans="1:12" x14ac:dyDescent="0.3">
      <c r="A2976">
        <f>IF(J2976="0",0,IF(COUNTIF($J$2:J2976,J2976)=1,1,0))</f>
        <v>0</v>
      </c>
      <c r="B2976" s="12" t="e">
        <f>MID(MAIN!A2981,K2976,2)</f>
        <v>#VALUE!</v>
      </c>
      <c r="C2976" s="12" t="e">
        <f t="shared" si="184"/>
        <v>#VALUE!</v>
      </c>
      <c r="D2976" s="12" t="e">
        <f>MID(MAIN!A2981,K2976+2,2)</f>
        <v>#VALUE!</v>
      </c>
      <c r="E2976" s="12" t="e">
        <f>MID(MAIN!A2981,K2976+4,2)</f>
        <v>#VALUE!</v>
      </c>
      <c r="F2976" s="2" t="e">
        <f t="shared" si="185"/>
        <v>#VALUE!</v>
      </c>
      <c r="G2976" s="13" t="e">
        <f t="shared" si="186"/>
        <v>#VALUE!</v>
      </c>
      <c r="J2976" t="str">
        <f>MAIN!A2981&amp;"B"</f>
        <v>B</v>
      </c>
      <c r="K2976" s="12" t="e">
        <f t="shared" si="187"/>
        <v>#VALUE!</v>
      </c>
      <c r="L2976" t="str">
        <f>MAIN!C2981</f>
        <v/>
      </c>
    </row>
    <row r="2977" spans="1:12" x14ac:dyDescent="0.3">
      <c r="A2977">
        <f>IF(J2977="0",0,IF(COUNTIF($J$2:J2977,J2977)=1,1,0))</f>
        <v>0</v>
      </c>
      <c r="B2977" s="12" t="e">
        <f>MID(MAIN!A2982,K2977,2)</f>
        <v>#VALUE!</v>
      </c>
      <c r="C2977" s="12" t="e">
        <f t="shared" si="184"/>
        <v>#VALUE!</v>
      </c>
      <c r="D2977" s="12" t="e">
        <f>MID(MAIN!A2982,K2977+2,2)</f>
        <v>#VALUE!</v>
      </c>
      <c r="E2977" s="12" t="e">
        <f>MID(MAIN!A2982,K2977+4,2)</f>
        <v>#VALUE!</v>
      </c>
      <c r="F2977" s="2" t="e">
        <f t="shared" si="185"/>
        <v>#VALUE!</v>
      </c>
      <c r="G2977" s="13" t="e">
        <f t="shared" si="186"/>
        <v>#VALUE!</v>
      </c>
      <c r="J2977" t="str">
        <f>MAIN!A2982&amp;"B"</f>
        <v>B</v>
      </c>
      <c r="K2977" s="12" t="e">
        <f t="shared" si="187"/>
        <v>#VALUE!</v>
      </c>
      <c r="L2977" t="str">
        <f>MAIN!C2982</f>
        <v/>
      </c>
    </row>
    <row r="2978" spans="1:12" x14ac:dyDescent="0.3">
      <c r="A2978">
        <f>IF(J2978="0",0,IF(COUNTIF($J$2:J2978,J2978)=1,1,0))</f>
        <v>0</v>
      </c>
      <c r="B2978" s="12" t="e">
        <f>MID(MAIN!A2983,K2978,2)</f>
        <v>#VALUE!</v>
      </c>
      <c r="C2978" s="12" t="e">
        <f t="shared" si="184"/>
        <v>#VALUE!</v>
      </c>
      <c r="D2978" s="12" t="e">
        <f>MID(MAIN!A2983,K2978+2,2)</f>
        <v>#VALUE!</v>
      </c>
      <c r="E2978" s="12" t="e">
        <f>MID(MAIN!A2983,K2978+4,2)</f>
        <v>#VALUE!</v>
      </c>
      <c r="F2978" s="2" t="e">
        <f t="shared" si="185"/>
        <v>#VALUE!</v>
      </c>
      <c r="G2978" s="13" t="e">
        <f t="shared" si="186"/>
        <v>#VALUE!</v>
      </c>
      <c r="J2978" t="str">
        <f>MAIN!A2983&amp;"B"</f>
        <v>B</v>
      </c>
      <c r="K2978" s="12" t="e">
        <f t="shared" si="187"/>
        <v>#VALUE!</v>
      </c>
      <c r="L2978" t="str">
        <f>MAIN!C2983</f>
        <v/>
      </c>
    </row>
    <row r="2979" spans="1:12" x14ac:dyDescent="0.3">
      <c r="A2979">
        <f>IF(J2979="0",0,IF(COUNTIF($J$2:J2979,J2979)=1,1,0))</f>
        <v>0</v>
      </c>
      <c r="B2979" s="12" t="e">
        <f>MID(MAIN!A2984,K2979,2)</f>
        <v>#VALUE!</v>
      </c>
      <c r="C2979" s="12" t="e">
        <f t="shared" si="184"/>
        <v>#VALUE!</v>
      </c>
      <c r="D2979" s="12" t="e">
        <f>MID(MAIN!A2984,K2979+2,2)</f>
        <v>#VALUE!</v>
      </c>
      <c r="E2979" s="12" t="e">
        <f>MID(MAIN!A2984,K2979+4,2)</f>
        <v>#VALUE!</v>
      </c>
      <c r="F2979" s="2" t="e">
        <f t="shared" si="185"/>
        <v>#VALUE!</v>
      </c>
      <c r="G2979" s="13" t="e">
        <f t="shared" si="186"/>
        <v>#VALUE!</v>
      </c>
      <c r="J2979" t="str">
        <f>MAIN!A2984&amp;"B"</f>
        <v>B</v>
      </c>
      <c r="K2979" s="12" t="e">
        <f t="shared" si="187"/>
        <v>#VALUE!</v>
      </c>
      <c r="L2979" t="str">
        <f>MAIN!C2984</f>
        <v/>
      </c>
    </row>
    <row r="2980" spans="1:12" x14ac:dyDescent="0.3">
      <c r="A2980">
        <f>IF(J2980="0",0,IF(COUNTIF($J$2:J2980,J2980)=1,1,0))</f>
        <v>0</v>
      </c>
      <c r="B2980" s="12" t="e">
        <f>MID(MAIN!A2985,K2980,2)</f>
        <v>#VALUE!</v>
      </c>
      <c r="C2980" s="12" t="e">
        <f t="shared" si="184"/>
        <v>#VALUE!</v>
      </c>
      <c r="D2980" s="12" t="e">
        <f>MID(MAIN!A2985,K2980+2,2)</f>
        <v>#VALUE!</v>
      </c>
      <c r="E2980" s="12" t="e">
        <f>MID(MAIN!A2985,K2980+4,2)</f>
        <v>#VALUE!</v>
      </c>
      <c r="F2980" s="2" t="e">
        <f t="shared" si="185"/>
        <v>#VALUE!</v>
      </c>
      <c r="G2980" s="13" t="e">
        <f t="shared" si="186"/>
        <v>#VALUE!</v>
      </c>
      <c r="J2980" t="str">
        <f>MAIN!A2985&amp;"B"</f>
        <v>B</v>
      </c>
      <c r="K2980" s="12" t="e">
        <f t="shared" si="187"/>
        <v>#VALUE!</v>
      </c>
      <c r="L2980" t="str">
        <f>MAIN!C2985</f>
        <v/>
      </c>
    </row>
    <row r="2981" spans="1:12" x14ac:dyDescent="0.3">
      <c r="A2981">
        <f>IF(J2981="0",0,IF(COUNTIF($J$2:J2981,J2981)=1,1,0))</f>
        <v>0</v>
      </c>
      <c r="B2981" s="12" t="e">
        <f>MID(MAIN!A2986,K2981,2)</f>
        <v>#VALUE!</v>
      </c>
      <c r="C2981" s="12" t="e">
        <f t="shared" si="184"/>
        <v>#VALUE!</v>
      </c>
      <c r="D2981" s="12" t="e">
        <f>MID(MAIN!A2986,K2981+2,2)</f>
        <v>#VALUE!</v>
      </c>
      <c r="E2981" s="12" t="e">
        <f>MID(MAIN!A2986,K2981+4,2)</f>
        <v>#VALUE!</v>
      </c>
      <c r="F2981" s="2" t="e">
        <f t="shared" si="185"/>
        <v>#VALUE!</v>
      </c>
      <c r="G2981" s="13" t="e">
        <f t="shared" si="186"/>
        <v>#VALUE!</v>
      </c>
      <c r="J2981" t="str">
        <f>MAIN!A2986&amp;"B"</f>
        <v>B</v>
      </c>
      <c r="K2981" s="12" t="e">
        <f t="shared" si="187"/>
        <v>#VALUE!</v>
      </c>
      <c r="L2981" t="str">
        <f>MAIN!C2986</f>
        <v/>
      </c>
    </row>
    <row r="2982" spans="1:12" x14ac:dyDescent="0.3">
      <c r="A2982">
        <f>IF(J2982="0",0,IF(COUNTIF($J$2:J2982,J2982)=1,1,0))</f>
        <v>0</v>
      </c>
      <c r="B2982" s="12" t="e">
        <f>MID(MAIN!A2987,K2982,2)</f>
        <v>#VALUE!</v>
      </c>
      <c r="C2982" s="12" t="e">
        <f t="shared" si="184"/>
        <v>#VALUE!</v>
      </c>
      <c r="D2982" s="12" t="e">
        <f>MID(MAIN!A2987,K2982+2,2)</f>
        <v>#VALUE!</v>
      </c>
      <c r="E2982" s="12" t="e">
        <f>MID(MAIN!A2987,K2982+4,2)</f>
        <v>#VALUE!</v>
      </c>
      <c r="F2982" s="2" t="e">
        <f t="shared" si="185"/>
        <v>#VALUE!</v>
      </c>
      <c r="G2982" s="13" t="e">
        <f t="shared" si="186"/>
        <v>#VALUE!</v>
      </c>
      <c r="J2982" t="str">
        <f>MAIN!A2987&amp;"B"</f>
        <v>B</v>
      </c>
      <c r="K2982" s="12" t="e">
        <f t="shared" si="187"/>
        <v>#VALUE!</v>
      </c>
      <c r="L2982" t="str">
        <f>MAIN!C2987</f>
        <v/>
      </c>
    </row>
    <row r="2983" spans="1:12" x14ac:dyDescent="0.3">
      <c r="A2983">
        <f>IF(J2983="0",0,IF(COUNTIF($J$2:J2983,J2983)=1,1,0))</f>
        <v>0</v>
      </c>
      <c r="B2983" s="12" t="e">
        <f>MID(MAIN!A2988,K2983,2)</f>
        <v>#VALUE!</v>
      </c>
      <c r="C2983" s="12" t="e">
        <f t="shared" si="184"/>
        <v>#VALUE!</v>
      </c>
      <c r="D2983" s="12" t="e">
        <f>MID(MAIN!A2988,K2983+2,2)</f>
        <v>#VALUE!</v>
      </c>
      <c r="E2983" s="12" t="e">
        <f>MID(MAIN!A2988,K2983+4,2)</f>
        <v>#VALUE!</v>
      </c>
      <c r="F2983" s="2" t="e">
        <f t="shared" si="185"/>
        <v>#VALUE!</v>
      </c>
      <c r="G2983" s="13" t="e">
        <f t="shared" si="186"/>
        <v>#VALUE!</v>
      </c>
      <c r="J2983" t="str">
        <f>MAIN!A2988&amp;"B"</f>
        <v>B</v>
      </c>
      <c r="K2983" s="12" t="e">
        <f t="shared" si="187"/>
        <v>#VALUE!</v>
      </c>
      <c r="L2983" t="str">
        <f>MAIN!C2988</f>
        <v/>
      </c>
    </row>
    <row r="2984" spans="1:12" x14ac:dyDescent="0.3">
      <c r="A2984">
        <f>IF(J2984="0",0,IF(COUNTIF($J$2:J2984,J2984)=1,1,0))</f>
        <v>0</v>
      </c>
      <c r="B2984" s="12" t="e">
        <f>MID(MAIN!A2989,K2984,2)</f>
        <v>#VALUE!</v>
      </c>
      <c r="C2984" s="12" t="e">
        <f t="shared" si="184"/>
        <v>#VALUE!</v>
      </c>
      <c r="D2984" s="12" t="e">
        <f>MID(MAIN!A2989,K2984+2,2)</f>
        <v>#VALUE!</v>
      </c>
      <c r="E2984" s="12" t="e">
        <f>MID(MAIN!A2989,K2984+4,2)</f>
        <v>#VALUE!</v>
      </c>
      <c r="F2984" s="2" t="e">
        <f t="shared" si="185"/>
        <v>#VALUE!</v>
      </c>
      <c r="G2984" s="13" t="e">
        <f t="shared" si="186"/>
        <v>#VALUE!</v>
      </c>
      <c r="J2984" t="str">
        <f>MAIN!A2989&amp;"B"</f>
        <v>B</v>
      </c>
      <c r="K2984" s="12" t="e">
        <f t="shared" si="187"/>
        <v>#VALUE!</v>
      </c>
      <c r="L2984" t="str">
        <f>MAIN!C2989</f>
        <v/>
      </c>
    </row>
    <row r="2985" spans="1:12" x14ac:dyDescent="0.3">
      <c r="A2985">
        <f>IF(J2985="0",0,IF(COUNTIF($J$2:J2985,J2985)=1,1,0))</f>
        <v>0</v>
      </c>
      <c r="B2985" s="12" t="e">
        <f>MID(MAIN!A2990,K2985,2)</f>
        <v>#VALUE!</v>
      </c>
      <c r="C2985" s="12" t="e">
        <f t="shared" si="184"/>
        <v>#VALUE!</v>
      </c>
      <c r="D2985" s="12" t="e">
        <f>MID(MAIN!A2990,K2985+2,2)</f>
        <v>#VALUE!</v>
      </c>
      <c r="E2985" s="12" t="e">
        <f>MID(MAIN!A2990,K2985+4,2)</f>
        <v>#VALUE!</v>
      </c>
      <c r="F2985" s="2" t="e">
        <f t="shared" si="185"/>
        <v>#VALUE!</v>
      </c>
      <c r="G2985" s="13" t="e">
        <f t="shared" si="186"/>
        <v>#VALUE!</v>
      </c>
      <c r="J2985" t="str">
        <f>MAIN!A2990&amp;"B"</f>
        <v>B</v>
      </c>
      <c r="K2985" s="12" t="e">
        <f t="shared" si="187"/>
        <v>#VALUE!</v>
      </c>
      <c r="L2985" t="str">
        <f>MAIN!C2990</f>
        <v/>
      </c>
    </row>
    <row r="2986" spans="1:12" x14ac:dyDescent="0.3">
      <c r="A2986">
        <f>IF(J2986="0",0,IF(COUNTIF($J$2:J2986,J2986)=1,1,0))</f>
        <v>0</v>
      </c>
      <c r="B2986" s="12" t="e">
        <f>MID(MAIN!A2991,K2986,2)</f>
        <v>#VALUE!</v>
      </c>
      <c r="C2986" s="12" t="e">
        <f t="shared" si="184"/>
        <v>#VALUE!</v>
      </c>
      <c r="D2986" s="12" t="e">
        <f>MID(MAIN!A2991,K2986+2,2)</f>
        <v>#VALUE!</v>
      </c>
      <c r="E2986" s="12" t="e">
        <f>MID(MAIN!A2991,K2986+4,2)</f>
        <v>#VALUE!</v>
      </c>
      <c r="F2986" s="2" t="e">
        <f t="shared" si="185"/>
        <v>#VALUE!</v>
      </c>
      <c r="G2986" s="13" t="e">
        <f t="shared" si="186"/>
        <v>#VALUE!</v>
      </c>
      <c r="J2986" t="str">
        <f>MAIN!A2991&amp;"B"</f>
        <v>B</v>
      </c>
      <c r="K2986" s="12" t="e">
        <f t="shared" si="187"/>
        <v>#VALUE!</v>
      </c>
      <c r="L2986" t="str">
        <f>MAIN!C2991</f>
        <v/>
      </c>
    </row>
    <row r="2987" spans="1:12" x14ac:dyDescent="0.3">
      <c r="A2987">
        <f>IF(J2987="0",0,IF(COUNTIF($J$2:J2987,J2987)=1,1,0))</f>
        <v>0</v>
      </c>
      <c r="B2987" s="12" t="e">
        <f>MID(MAIN!A2992,K2987,2)</f>
        <v>#VALUE!</v>
      </c>
      <c r="C2987" s="12" t="e">
        <f t="shared" si="184"/>
        <v>#VALUE!</v>
      </c>
      <c r="D2987" s="12" t="e">
        <f>MID(MAIN!A2992,K2987+2,2)</f>
        <v>#VALUE!</v>
      </c>
      <c r="E2987" s="12" t="e">
        <f>MID(MAIN!A2992,K2987+4,2)</f>
        <v>#VALUE!</v>
      </c>
      <c r="F2987" s="2" t="e">
        <f t="shared" si="185"/>
        <v>#VALUE!</v>
      </c>
      <c r="G2987" s="13" t="e">
        <f t="shared" si="186"/>
        <v>#VALUE!</v>
      </c>
      <c r="J2987" t="str">
        <f>MAIN!A2992&amp;"B"</f>
        <v>B</v>
      </c>
      <c r="K2987" s="12" t="e">
        <f t="shared" si="187"/>
        <v>#VALUE!</v>
      </c>
      <c r="L2987" t="str">
        <f>MAIN!C2992</f>
        <v/>
      </c>
    </row>
    <row r="2988" spans="1:12" x14ac:dyDescent="0.3">
      <c r="A2988">
        <f>IF(J2988="0",0,IF(COUNTIF($J$2:J2988,J2988)=1,1,0))</f>
        <v>0</v>
      </c>
      <c r="B2988" s="12" t="e">
        <f>MID(MAIN!A2993,K2988,2)</f>
        <v>#VALUE!</v>
      </c>
      <c r="C2988" s="12" t="e">
        <f t="shared" si="184"/>
        <v>#VALUE!</v>
      </c>
      <c r="D2988" s="12" t="e">
        <f>MID(MAIN!A2993,K2988+2,2)</f>
        <v>#VALUE!</v>
      </c>
      <c r="E2988" s="12" t="e">
        <f>MID(MAIN!A2993,K2988+4,2)</f>
        <v>#VALUE!</v>
      </c>
      <c r="F2988" s="2" t="e">
        <f t="shared" si="185"/>
        <v>#VALUE!</v>
      </c>
      <c r="G2988" s="13" t="e">
        <f t="shared" si="186"/>
        <v>#VALUE!</v>
      </c>
      <c r="J2988" t="str">
        <f>MAIN!A2993&amp;"B"</f>
        <v>B</v>
      </c>
      <c r="K2988" s="12" t="e">
        <f t="shared" si="187"/>
        <v>#VALUE!</v>
      </c>
      <c r="L2988" t="str">
        <f>MAIN!C2993</f>
        <v/>
      </c>
    </row>
    <row r="2989" spans="1:12" x14ac:dyDescent="0.3">
      <c r="A2989">
        <f>IF(J2989="0",0,IF(COUNTIF($J$2:J2989,J2989)=1,1,0))</f>
        <v>0</v>
      </c>
      <c r="B2989" s="12" t="e">
        <f>MID(MAIN!A2994,K2989,2)</f>
        <v>#VALUE!</v>
      </c>
      <c r="C2989" s="12" t="e">
        <f t="shared" si="184"/>
        <v>#VALUE!</v>
      </c>
      <c r="D2989" s="12" t="e">
        <f>MID(MAIN!A2994,K2989+2,2)</f>
        <v>#VALUE!</v>
      </c>
      <c r="E2989" s="12" t="e">
        <f>MID(MAIN!A2994,K2989+4,2)</f>
        <v>#VALUE!</v>
      </c>
      <c r="F2989" s="2" t="e">
        <f t="shared" si="185"/>
        <v>#VALUE!</v>
      </c>
      <c r="G2989" s="13" t="e">
        <f t="shared" si="186"/>
        <v>#VALUE!</v>
      </c>
      <c r="J2989" t="str">
        <f>MAIN!A2994&amp;"B"</f>
        <v>B</v>
      </c>
      <c r="K2989" s="12" t="e">
        <f t="shared" si="187"/>
        <v>#VALUE!</v>
      </c>
      <c r="L2989" t="str">
        <f>MAIN!C2994</f>
        <v/>
      </c>
    </row>
    <row r="2990" spans="1:12" x14ac:dyDescent="0.3">
      <c r="A2990">
        <f>IF(J2990="0",0,IF(COUNTIF($J$2:J2990,J2990)=1,1,0))</f>
        <v>0</v>
      </c>
      <c r="B2990" s="12" t="e">
        <f>MID(MAIN!A2995,K2990,2)</f>
        <v>#VALUE!</v>
      </c>
      <c r="C2990" s="12" t="e">
        <f t="shared" si="184"/>
        <v>#VALUE!</v>
      </c>
      <c r="D2990" s="12" t="e">
        <f>MID(MAIN!A2995,K2990+2,2)</f>
        <v>#VALUE!</v>
      </c>
      <c r="E2990" s="12" t="e">
        <f>MID(MAIN!A2995,K2990+4,2)</f>
        <v>#VALUE!</v>
      </c>
      <c r="F2990" s="2" t="e">
        <f t="shared" si="185"/>
        <v>#VALUE!</v>
      </c>
      <c r="G2990" s="13" t="e">
        <f t="shared" si="186"/>
        <v>#VALUE!</v>
      </c>
      <c r="J2990" t="str">
        <f>MAIN!A2995&amp;"B"</f>
        <v>B</v>
      </c>
      <c r="K2990" s="12" t="e">
        <f t="shared" si="187"/>
        <v>#VALUE!</v>
      </c>
      <c r="L2990" t="str">
        <f>MAIN!C2995</f>
        <v/>
      </c>
    </row>
    <row r="2991" spans="1:12" x14ac:dyDescent="0.3">
      <c r="A2991">
        <f>IF(J2991="0",0,IF(COUNTIF($J$2:J2991,J2991)=1,1,0))</f>
        <v>0</v>
      </c>
      <c r="B2991" s="12" t="e">
        <f>MID(MAIN!A2996,K2991,2)</f>
        <v>#VALUE!</v>
      </c>
      <c r="C2991" s="12" t="e">
        <f t="shared" si="184"/>
        <v>#VALUE!</v>
      </c>
      <c r="D2991" s="12" t="e">
        <f>MID(MAIN!A2996,K2991+2,2)</f>
        <v>#VALUE!</v>
      </c>
      <c r="E2991" s="12" t="e">
        <f>MID(MAIN!A2996,K2991+4,2)</f>
        <v>#VALUE!</v>
      </c>
      <c r="F2991" s="2" t="e">
        <f t="shared" si="185"/>
        <v>#VALUE!</v>
      </c>
      <c r="G2991" s="13" t="e">
        <f t="shared" si="186"/>
        <v>#VALUE!</v>
      </c>
      <c r="J2991" t="str">
        <f>MAIN!A2996&amp;"B"</f>
        <v>B</v>
      </c>
      <c r="K2991" s="12" t="e">
        <f t="shared" si="187"/>
        <v>#VALUE!</v>
      </c>
      <c r="L2991" t="str">
        <f>MAIN!C2996</f>
        <v/>
      </c>
    </row>
    <row r="2992" spans="1:12" x14ac:dyDescent="0.3">
      <c r="A2992">
        <f>IF(J2992="0",0,IF(COUNTIF($J$2:J2992,J2992)=1,1,0))</f>
        <v>0</v>
      </c>
      <c r="B2992" s="12" t="e">
        <f>MID(MAIN!A2997,K2992,2)</f>
        <v>#VALUE!</v>
      </c>
      <c r="C2992" s="12" t="e">
        <f t="shared" si="184"/>
        <v>#VALUE!</v>
      </c>
      <c r="D2992" s="12" t="e">
        <f>MID(MAIN!A2997,K2992+2,2)</f>
        <v>#VALUE!</v>
      </c>
      <c r="E2992" s="12" t="e">
        <f>MID(MAIN!A2997,K2992+4,2)</f>
        <v>#VALUE!</v>
      </c>
      <c r="F2992" s="2" t="e">
        <f t="shared" si="185"/>
        <v>#VALUE!</v>
      </c>
      <c r="G2992" s="13" t="e">
        <f t="shared" si="186"/>
        <v>#VALUE!</v>
      </c>
      <c r="J2992" t="str">
        <f>MAIN!A2997&amp;"B"</f>
        <v>B</v>
      </c>
      <c r="K2992" s="12" t="e">
        <f t="shared" si="187"/>
        <v>#VALUE!</v>
      </c>
      <c r="L2992" t="str">
        <f>MAIN!C2997</f>
        <v/>
      </c>
    </row>
    <row r="2993" spans="1:12" x14ac:dyDescent="0.3">
      <c r="A2993">
        <f>IF(J2993="0",0,IF(COUNTIF($J$2:J2993,J2993)=1,1,0))</f>
        <v>0</v>
      </c>
      <c r="B2993" s="12" t="e">
        <f>MID(MAIN!A2998,K2993,2)</f>
        <v>#VALUE!</v>
      </c>
      <c r="C2993" s="12" t="e">
        <f t="shared" si="184"/>
        <v>#VALUE!</v>
      </c>
      <c r="D2993" s="12" t="e">
        <f>MID(MAIN!A2998,K2993+2,2)</f>
        <v>#VALUE!</v>
      </c>
      <c r="E2993" s="12" t="e">
        <f>MID(MAIN!A2998,K2993+4,2)</f>
        <v>#VALUE!</v>
      </c>
      <c r="F2993" s="2" t="e">
        <f t="shared" si="185"/>
        <v>#VALUE!</v>
      </c>
      <c r="G2993" s="13" t="e">
        <f t="shared" si="186"/>
        <v>#VALUE!</v>
      </c>
      <c r="J2993" t="str">
        <f>MAIN!A2998&amp;"B"</f>
        <v>B</v>
      </c>
      <c r="K2993" s="12" t="e">
        <f t="shared" si="187"/>
        <v>#VALUE!</v>
      </c>
      <c r="L2993" t="str">
        <f>MAIN!C2998</f>
        <v/>
      </c>
    </row>
    <row r="2994" spans="1:12" x14ac:dyDescent="0.3">
      <c r="A2994">
        <f>IF(J2994="0",0,IF(COUNTIF($J$2:J2994,J2994)=1,1,0))</f>
        <v>0</v>
      </c>
      <c r="B2994" s="12" t="e">
        <f>MID(MAIN!A2999,K2994,2)</f>
        <v>#VALUE!</v>
      </c>
      <c r="C2994" s="12" t="e">
        <f t="shared" si="184"/>
        <v>#VALUE!</v>
      </c>
      <c r="D2994" s="12" t="e">
        <f>MID(MAIN!A2999,K2994+2,2)</f>
        <v>#VALUE!</v>
      </c>
      <c r="E2994" s="12" t="e">
        <f>MID(MAIN!A2999,K2994+4,2)</f>
        <v>#VALUE!</v>
      </c>
      <c r="F2994" s="2" t="e">
        <f t="shared" si="185"/>
        <v>#VALUE!</v>
      </c>
      <c r="G2994" s="13" t="e">
        <f t="shared" si="186"/>
        <v>#VALUE!</v>
      </c>
      <c r="J2994" t="str">
        <f>MAIN!A2999&amp;"B"</f>
        <v>B</v>
      </c>
      <c r="K2994" s="12" t="e">
        <f t="shared" si="187"/>
        <v>#VALUE!</v>
      </c>
      <c r="L2994" t="str">
        <f>MAIN!C2999</f>
        <v/>
      </c>
    </row>
    <row r="2995" spans="1:12" x14ac:dyDescent="0.3">
      <c r="A2995">
        <f>IF(J2995="0",0,IF(COUNTIF($J$2:J2995,J2995)=1,1,0))</f>
        <v>0</v>
      </c>
      <c r="B2995" s="12" t="e">
        <f>MID(MAIN!A3000,K2995,2)</f>
        <v>#VALUE!</v>
      </c>
      <c r="C2995" s="12" t="e">
        <f t="shared" si="184"/>
        <v>#VALUE!</v>
      </c>
      <c r="D2995" s="12" t="e">
        <f>MID(MAIN!A3000,K2995+2,2)</f>
        <v>#VALUE!</v>
      </c>
      <c r="E2995" s="12" t="e">
        <f>MID(MAIN!A3000,K2995+4,2)</f>
        <v>#VALUE!</v>
      </c>
      <c r="F2995" s="2" t="e">
        <f t="shared" si="185"/>
        <v>#VALUE!</v>
      </c>
      <c r="G2995" s="13" t="e">
        <f t="shared" si="186"/>
        <v>#VALUE!</v>
      </c>
      <c r="J2995" t="str">
        <f>MAIN!A3000&amp;"B"</f>
        <v>B</v>
      </c>
      <c r="K2995" s="12" t="e">
        <f t="shared" si="187"/>
        <v>#VALUE!</v>
      </c>
      <c r="L2995" t="str">
        <f>MAIN!C3000</f>
        <v/>
      </c>
    </row>
    <row r="2996" spans="1:12" x14ac:dyDescent="0.3">
      <c r="A2996">
        <f>IF(J2996="0",0,IF(COUNTIF($J$2:J2996,J2996)=1,1,0))</f>
        <v>0</v>
      </c>
      <c r="B2996" s="12" t="e">
        <f>MID(MAIN!A3001,K2996,2)</f>
        <v>#VALUE!</v>
      </c>
      <c r="C2996" s="12" t="e">
        <f t="shared" si="184"/>
        <v>#VALUE!</v>
      </c>
      <c r="D2996" s="12" t="e">
        <f>MID(MAIN!A3001,K2996+2,2)</f>
        <v>#VALUE!</v>
      </c>
      <c r="E2996" s="12" t="e">
        <f>MID(MAIN!A3001,K2996+4,2)</f>
        <v>#VALUE!</v>
      </c>
      <c r="F2996" s="2" t="e">
        <f t="shared" si="185"/>
        <v>#VALUE!</v>
      </c>
      <c r="G2996" s="13" t="e">
        <f t="shared" si="186"/>
        <v>#VALUE!</v>
      </c>
      <c r="J2996" t="str">
        <f>MAIN!A3001&amp;"B"</f>
        <v>B</v>
      </c>
      <c r="K2996" s="12" t="e">
        <f t="shared" si="187"/>
        <v>#VALUE!</v>
      </c>
      <c r="L2996" t="str">
        <f>MAIN!C3001</f>
        <v/>
      </c>
    </row>
    <row r="2997" spans="1:12" x14ac:dyDescent="0.3">
      <c r="A2997">
        <f>IF(J2997="0",0,IF(COUNTIF($J$2:J2997,J2997)=1,1,0))</f>
        <v>0</v>
      </c>
      <c r="B2997" s="12" t="e">
        <f>MID(MAIN!A3002,K2997,2)</f>
        <v>#VALUE!</v>
      </c>
      <c r="C2997" s="12" t="e">
        <f t="shared" si="184"/>
        <v>#VALUE!</v>
      </c>
      <c r="D2997" s="12" t="e">
        <f>MID(MAIN!A3002,K2997+2,2)</f>
        <v>#VALUE!</v>
      </c>
      <c r="E2997" s="12" t="e">
        <f>MID(MAIN!A3002,K2997+4,2)</f>
        <v>#VALUE!</v>
      </c>
      <c r="F2997" s="2" t="e">
        <f t="shared" si="185"/>
        <v>#VALUE!</v>
      </c>
      <c r="G2997" s="13" t="e">
        <f t="shared" si="186"/>
        <v>#VALUE!</v>
      </c>
      <c r="J2997" t="str">
        <f>MAIN!A3002&amp;"B"</f>
        <v>B</v>
      </c>
      <c r="K2997" s="12" t="e">
        <f t="shared" si="187"/>
        <v>#VALUE!</v>
      </c>
      <c r="L2997" t="str">
        <f>MAIN!C3002</f>
        <v/>
      </c>
    </row>
    <row r="2998" spans="1:12" x14ac:dyDescent="0.3">
      <c r="A2998">
        <f>IF(J2998="0",0,IF(COUNTIF($J$2:J2998,J2998)=1,1,0))</f>
        <v>0</v>
      </c>
      <c r="B2998" s="12" t="e">
        <f>MID(MAIN!A3003,K2998,2)</f>
        <v>#VALUE!</v>
      </c>
      <c r="C2998" s="12" t="e">
        <f t="shared" si="184"/>
        <v>#VALUE!</v>
      </c>
      <c r="D2998" s="12" t="e">
        <f>MID(MAIN!A3003,K2998+2,2)</f>
        <v>#VALUE!</v>
      </c>
      <c r="E2998" s="12" t="e">
        <f>MID(MAIN!A3003,K2998+4,2)</f>
        <v>#VALUE!</v>
      </c>
      <c r="F2998" s="2" t="e">
        <f t="shared" si="185"/>
        <v>#VALUE!</v>
      </c>
      <c r="G2998" s="13" t="e">
        <f t="shared" si="186"/>
        <v>#VALUE!</v>
      </c>
      <c r="J2998" t="str">
        <f>MAIN!A3003&amp;"B"</f>
        <v>B</v>
      </c>
      <c r="K2998" s="12" t="e">
        <f t="shared" si="187"/>
        <v>#VALUE!</v>
      </c>
      <c r="L2998" t="str">
        <f>MAIN!C3003</f>
        <v/>
      </c>
    </row>
    <row r="2999" spans="1:12" x14ac:dyDescent="0.3">
      <c r="A2999">
        <f>IF(J2999="0",0,IF(COUNTIF($J$2:J2999,J2999)=1,1,0))</f>
        <v>0</v>
      </c>
      <c r="B2999" s="12" t="e">
        <f>MID(MAIN!A3004,K2999,2)</f>
        <v>#VALUE!</v>
      </c>
      <c r="C2999" s="12" t="e">
        <f t="shared" si="184"/>
        <v>#VALUE!</v>
      </c>
      <c r="D2999" s="12" t="e">
        <f>MID(MAIN!A3004,K2999+2,2)</f>
        <v>#VALUE!</v>
      </c>
      <c r="E2999" s="12" t="e">
        <f>MID(MAIN!A3004,K2999+4,2)</f>
        <v>#VALUE!</v>
      </c>
      <c r="F2999" s="2" t="e">
        <f t="shared" si="185"/>
        <v>#VALUE!</v>
      </c>
      <c r="G2999" s="13" t="e">
        <f t="shared" si="186"/>
        <v>#VALUE!</v>
      </c>
      <c r="J2999" t="str">
        <f>MAIN!A3004&amp;"B"</f>
        <v>B</v>
      </c>
      <c r="K2999" s="12" t="e">
        <f t="shared" si="187"/>
        <v>#VALUE!</v>
      </c>
      <c r="L2999" t="str">
        <f>MAIN!C3004</f>
        <v/>
      </c>
    </row>
    <row r="3000" spans="1:12" x14ac:dyDescent="0.3">
      <c r="A3000">
        <f>IF(J3000="0",0,IF(COUNTIF($J$2:J3000,J3000)=1,1,0))</f>
        <v>0</v>
      </c>
      <c r="B3000" s="12" t="e">
        <f>MID(MAIN!A3005,K3000,2)</f>
        <v>#VALUE!</v>
      </c>
      <c r="C3000" s="12" t="e">
        <f t="shared" si="184"/>
        <v>#VALUE!</v>
      </c>
      <c r="D3000" s="12" t="e">
        <f>MID(MAIN!A3005,K3000+2,2)</f>
        <v>#VALUE!</v>
      </c>
      <c r="E3000" s="12" t="e">
        <f>MID(MAIN!A3005,K3000+4,2)</f>
        <v>#VALUE!</v>
      </c>
      <c r="F3000" s="2" t="e">
        <f t="shared" si="185"/>
        <v>#VALUE!</v>
      </c>
      <c r="G3000" s="13" t="e">
        <f t="shared" si="186"/>
        <v>#VALUE!</v>
      </c>
      <c r="J3000" t="str">
        <f>MAIN!A3005&amp;"B"</f>
        <v>B</v>
      </c>
      <c r="K3000" s="12" t="e">
        <f t="shared" si="187"/>
        <v>#VALUE!</v>
      </c>
      <c r="L3000" t="str">
        <f>MAIN!C3005</f>
        <v/>
      </c>
    </row>
    <row r="3001" spans="1:12" x14ac:dyDescent="0.3">
      <c r="A3001">
        <f>IF(J3001="0",0,IF(COUNTIF($J$2:J3001,J3001)=1,1,0))</f>
        <v>0</v>
      </c>
      <c r="B3001" s="12" t="e">
        <f>MID(MAIN!A3006,K3001,2)</f>
        <v>#VALUE!</v>
      </c>
      <c r="C3001" s="12" t="e">
        <f t="shared" si="184"/>
        <v>#VALUE!</v>
      </c>
      <c r="D3001" s="12" t="e">
        <f>MID(MAIN!A3006,K3001+2,2)</f>
        <v>#VALUE!</v>
      </c>
      <c r="E3001" s="12" t="e">
        <f>MID(MAIN!A3006,K3001+4,2)</f>
        <v>#VALUE!</v>
      </c>
      <c r="F3001" s="2" t="e">
        <f t="shared" si="185"/>
        <v>#VALUE!</v>
      </c>
      <c r="G3001" s="13" t="e">
        <f t="shared" si="186"/>
        <v>#VALUE!</v>
      </c>
      <c r="J3001" t="str">
        <f>MAIN!A3006&amp;"B"</f>
        <v>B</v>
      </c>
      <c r="K3001" s="12" t="e">
        <f t="shared" si="187"/>
        <v>#VALUE!</v>
      </c>
      <c r="L3001" t="str">
        <f>MAIN!C3006</f>
        <v/>
      </c>
    </row>
    <row r="3002" spans="1:12" x14ac:dyDescent="0.3">
      <c r="A3002">
        <f>IF(J3002="0",0,IF(COUNTIF($J$2:J3002,J3002)=1,1,0))</f>
        <v>0</v>
      </c>
      <c r="B3002" s="12" t="e">
        <f>MID(MAIN!A3007,K3002,2)</f>
        <v>#VALUE!</v>
      </c>
      <c r="C3002" s="12" t="e">
        <f t="shared" si="184"/>
        <v>#VALUE!</v>
      </c>
      <c r="D3002" s="12" t="e">
        <f>MID(MAIN!A3007,K3002+2,2)</f>
        <v>#VALUE!</v>
      </c>
      <c r="E3002" s="12" t="e">
        <f>MID(MAIN!A3007,K3002+4,2)</f>
        <v>#VALUE!</v>
      </c>
      <c r="F3002" s="2" t="e">
        <f t="shared" si="185"/>
        <v>#VALUE!</v>
      </c>
      <c r="G3002" s="13" t="e">
        <f t="shared" si="186"/>
        <v>#VALUE!</v>
      </c>
      <c r="J3002" t="str">
        <f>MAIN!A3007&amp;"B"</f>
        <v>B</v>
      </c>
      <c r="K3002" s="12" t="e">
        <f t="shared" si="187"/>
        <v>#VALUE!</v>
      </c>
      <c r="L3002" t="str">
        <f>MAIN!C3007</f>
        <v/>
      </c>
    </row>
    <row r="3003" spans="1:12" x14ac:dyDescent="0.3">
      <c r="A3003">
        <f>IF(J3003="0",0,IF(COUNTIF($J$2:J3003,J3003)=1,1,0))</f>
        <v>0</v>
      </c>
      <c r="B3003" s="12" t="e">
        <f>MID(MAIN!A3008,K3003,2)</f>
        <v>#VALUE!</v>
      </c>
      <c r="C3003" s="12" t="e">
        <f t="shared" si="184"/>
        <v>#VALUE!</v>
      </c>
      <c r="D3003" s="12" t="e">
        <f>MID(MAIN!A3008,K3003+2,2)</f>
        <v>#VALUE!</v>
      </c>
      <c r="E3003" s="12" t="e">
        <f>MID(MAIN!A3008,K3003+4,2)</f>
        <v>#VALUE!</v>
      </c>
      <c r="F3003" s="2" t="e">
        <f t="shared" si="185"/>
        <v>#VALUE!</v>
      </c>
      <c r="G3003" s="13" t="e">
        <f t="shared" si="186"/>
        <v>#VALUE!</v>
      </c>
      <c r="J3003" t="str">
        <f>MAIN!A3008&amp;"B"</f>
        <v>B</v>
      </c>
      <c r="K3003" s="12" t="e">
        <f t="shared" si="187"/>
        <v>#VALUE!</v>
      </c>
      <c r="L3003" t="str">
        <f>MAIN!C3008</f>
        <v/>
      </c>
    </row>
    <row r="3004" spans="1:12" x14ac:dyDescent="0.3">
      <c r="A3004">
        <f>IF(J3004="0",0,IF(COUNTIF($J$2:J3004,J3004)=1,1,0))</f>
        <v>0</v>
      </c>
      <c r="B3004" s="12" t="e">
        <f>MID(MAIN!A3009,K3004,2)</f>
        <v>#VALUE!</v>
      </c>
      <c r="C3004" s="12" t="e">
        <f t="shared" si="184"/>
        <v>#VALUE!</v>
      </c>
      <c r="D3004" s="12" t="e">
        <f>MID(MAIN!A3009,K3004+2,2)</f>
        <v>#VALUE!</v>
      </c>
      <c r="E3004" s="12" t="e">
        <f>MID(MAIN!A3009,K3004+4,2)</f>
        <v>#VALUE!</v>
      </c>
      <c r="F3004" s="2" t="e">
        <f t="shared" si="185"/>
        <v>#VALUE!</v>
      </c>
      <c r="G3004" s="13" t="e">
        <f t="shared" si="186"/>
        <v>#VALUE!</v>
      </c>
      <c r="J3004" t="str">
        <f>MAIN!A3009&amp;"B"</f>
        <v>B</v>
      </c>
      <c r="K3004" s="12" t="e">
        <f t="shared" si="187"/>
        <v>#VALUE!</v>
      </c>
      <c r="L3004" t="str">
        <f>MAIN!C3009</f>
        <v/>
      </c>
    </row>
    <row r="3005" spans="1:12" x14ac:dyDescent="0.3">
      <c r="A3005">
        <f>IF(J3005="0",0,IF(COUNTIF($J$2:J3005,J3005)=1,1,0))</f>
        <v>0</v>
      </c>
      <c r="B3005" s="12" t="e">
        <f>MID(MAIN!A3010,K3005,2)</f>
        <v>#VALUE!</v>
      </c>
      <c r="C3005" s="12" t="e">
        <f t="shared" si="184"/>
        <v>#VALUE!</v>
      </c>
      <c r="D3005" s="12" t="e">
        <f>MID(MAIN!A3010,K3005+2,2)</f>
        <v>#VALUE!</v>
      </c>
      <c r="E3005" s="12" t="e">
        <f>MID(MAIN!A3010,K3005+4,2)</f>
        <v>#VALUE!</v>
      </c>
      <c r="F3005" s="2" t="e">
        <f t="shared" si="185"/>
        <v>#VALUE!</v>
      </c>
      <c r="G3005" s="13" t="e">
        <f t="shared" si="186"/>
        <v>#VALUE!</v>
      </c>
      <c r="J3005" t="str">
        <f>MAIN!A3010&amp;"B"</f>
        <v>B</v>
      </c>
      <c r="K3005" s="12" t="e">
        <f t="shared" si="187"/>
        <v>#VALUE!</v>
      </c>
      <c r="L3005" t="str">
        <f>MAIN!C3010</f>
        <v/>
      </c>
    </row>
    <row r="3006" spans="1:12" x14ac:dyDescent="0.3">
      <c r="A3006">
        <f>IF(J3006="0",0,IF(COUNTIF($J$2:J3006,J3006)=1,1,0))</f>
        <v>0</v>
      </c>
      <c r="B3006" s="12" t="e">
        <f>MID(MAIN!A3011,K3006,2)</f>
        <v>#VALUE!</v>
      </c>
      <c r="C3006" s="12" t="e">
        <f t="shared" si="184"/>
        <v>#VALUE!</v>
      </c>
      <c r="D3006" s="12" t="e">
        <f>MID(MAIN!A3011,K3006+2,2)</f>
        <v>#VALUE!</v>
      </c>
      <c r="E3006" s="12" t="e">
        <f>MID(MAIN!A3011,K3006+4,2)</f>
        <v>#VALUE!</v>
      </c>
      <c r="F3006" s="2" t="e">
        <f t="shared" si="185"/>
        <v>#VALUE!</v>
      </c>
      <c r="G3006" s="13" t="e">
        <f t="shared" si="186"/>
        <v>#VALUE!</v>
      </c>
      <c r="J3006" t="str">
        <f>MAIN!A3011&amp;"B"</f>
        <v>B</v>
      </c>
      <c r="K3006" s="12" t="e">
        <f t="shared" si="187"/>
        <v>#VALUE!</v>
      </c>
      <c r="L3006" t="str">
        <f>MAIN!C3011</f>
        <v/>
      </c>
    </row>
    <row r="3007" spans="1:12" x14ac:dyDescent="0.3">
      <c r="A3007">
        <f>IF(J3007="0",0,IF(COUNTIF($J$2:J3007,J3007)=1,1,0))</f>
        <v>0</v>
      </c>
      <c r="B3007" s="12" t="e">
        <f>MID(MAIN!A3012,K3007,2)</f>
        <v>#VALUE!</v>
      </c>
      <c r="C3007" s="12" t="e">
        <f t="shared" si="184"/>
        <v>#VALUE!</v>
      </c>
      <c r="D3007" s="12" t="e">
        <f>MID(MAIN!A3012,K3007+2,2)</f>
        <v>#VALUE!</v>
      </c>
      <c r="E3007" s="12" t="e">
        <f>MID(MAIN!A3012,K3007+4,2)</f>
        <v>#VALUE!</v>
      </c>
      <c r="F3007" s="2" t="e">
        <f t="shared" si="185"/>
        <v>#VALUE!</v>
      </c>
      <c r="G3007" s="13" t="e">
        <f t="shared" si="186"/>
        <v>#VALUE!</v>
      </c>
      <c r="J3007" t="str">
        <f>MAIN!A3012&amp;"B"</f>
        <v>B</v>
      </c>
      <c r="K3007" s="12" t="e">
        <f t="shared" si="187"/>
        <v>#VALUE!</v>
      </c>
      <c r="L3007" t="str">
        <f>MAIN!C3012</f>
        <v/>
      </c>
    </row>
    <row r="3008" spans="1:12" x14ac:dyDescent="0.3">
      <c r="A3008">
        <f>IF(J3008="0",0,IF(COUNTIF($J$2:J3008,J3008)=1,1,0))</f>
        <v>0</v>
      </c>
      <c r="B3008" s="12" t="e">
        <f>MID(MAIN!A3013,K3008,2)</f>
        <v>#VALUE!</v>
      </c>
      <c r="C3008" s="12" t="e">
        <f t="shared" si="184"/>
        <v>#VALUE!</v>
      </c>
      <c r="D3008" s="12" t="e">
        <f>MID(MAIN!A3013,K3008+2,2)</f>
        <v>#VALUE!</v>
      </c>
      <c r="E3008" s="12" t="e">
        <f>MID(MAIN!A3013,K3008+4,2)</f>
        <v>#VALUE!</v>
      </c>
      <c r="F3008" s="2" t="e">
        <f t="shared" si="185"/>
        <v>#VALUE!</v>
      </c>
      <c r="G3008" s="13" t="e">
        <f t="shared" si="186"/>
        <v>#VALUE!</v>
      </c>
      <c r="J3008" t="str">
        <f>MAIN!A3013&amp;"B"</f>
        <v>B</v>
      </c>
      <c r="K3008" s="12" t="e">
        <f t="shared" si="187"/>
        <v>#VALUE!</v>
      </c>
      <c r="L3008" t="str">
        <f>MAIN!C3013</f>
        <v/>
      </c>
    </row>
    <row r="3009" spans="1:12" x14ac:dyDescent="0.3">
      <c r="A3009">
        <f>IF(J3009="0",0,IF(COUNTIF($J$2:J3009,J3009)=1,1,0))</f>
        <v>0</v>
      </c>
      <c r="B3009" s="12" t="e">
        <f>MID(MAIN!A3014,K3009,2)</f>
        <v>#VALUE!</v>
      </c>
      <c r="C3009" s="12" t="e">
        <f t="shared" si="184"/>
        <v>#VALUE!</v>
      </c>
      <c r="D3009" s="12" t="e">
        <f>MID(MAIN!A3014,K3009+2,2)</f>
        <v>#VALUE!</v>
      </c>
      <c r="E3009" s="12" t="e">
        <f>MID(MAIN!A3014,K3009+4,2)</f>
        <v>#VALUE!</v>
      </c>
      <c r="F3009" s="2" t="e">
        <f t="shared" si="185"/>
        <v>#VALUE!</v>
      </c>
      <c r="G3009" s="13" t="e">
        <f t="shared" si="186"/>
        <v>#VALUE!</v>
      </c>
      <c r="J3009" t="str">
        <f>MAIN!A3014&amp;"B"</f>
        <v>B</v>
      </c>
      <c r="K3009" s="12" t="e">
        <f t="shared" si="187"/>
        <v>#VALUE!</v>
      </c>
      <c r="L3009" t="str">
        <f>MAIN!C3014</f>
        <v/>
      </c>
    </row>
    <row r="3010" spans="1:12" x14ac:dyDescent="0.3">
      <c r="A3010">
        <f>IF(J3010="0",0,IF(COUNTIF($J$2:J3010,J3010)=1,1,0))</f>
        <v>0</v>
      </c>
      <c r="B3010" s="12" t="e">
        <f>MID(MAIN!A3015,K3010,2)</f>
        <v>#VALUE!</v>
      </c>
      <c r="C3010" s="12" t="e">
        <f t="shared" si="184"/>
        <v>#VALUE!</v>
      </c>
      <c r="D3010" s="12" t="e">
        <f>MID(MAIN!A3015,K3010+2,2)</f>
        <v>#VALUE!</v>
      </c>
      <c r="E3010" s="12" t="e">
        <f>MID(MAIN!A3015,K3010+4,2)</f>
        <v>#VALUE!</v>
      </c>
      <c r="F3010" s="2" t="e">
        <f t="shared" si="185"/>
        <v>#VALUE!</v>
      </c>
      <c r="G3010" s="13" t="e">
        <f t="shared" si="186"/>
        <v>#VALUE!</v>
      </c>
      <c r="J3010" t="str">
        <f>MAIN!A3015&amp;"B"</f>
        <v>B</v>
      </c>
      <c r="K3010" s="12" t="e">
        <f t="shared" si="187"/>
        <v>#VALUE!</v>
      </c>
      <c r="L3010" t="str">
        <f>MAIN!C3015</f>
        <v/>
      </c>
    </row>
    <row r="3011" spans="1:12" x14ac:dyDescent="0.3">
      <c r="A3011">
        <f>IF(J3011="0",0,IF(COUNTIF($J$2:J3011,J3011)=1,1,0))</f>
        <v>0</v>
      </c>
      <c r="B3011" s="12" t="e">
        <f>MID(MAIN!A3016,K3011,2)</f>
        <v>#VALUE!</v>
      </c>
      <c r="C3011" s="12" t="e">
        <f t="shared" ref="C3011:C3074" si="188">"20"&amp;B3011</f>
        <v>#VALUE!</v>
      </c>
      <c r="D3011" s="12" t="e">
        <f>MID(MAIN!A3016,K3011+2,2)</f>
        <v>#VALUE!</v>
      </c>
      <c r="E3011" s="12" t="e">
        <f>MID(MAIN!A3016,K3011+4,2)</f>
        <v>#VALUE!</v>
      </c>
      <c r="F3011" s="2" t="e">
        <f t="shared" ref="F3011:F3074" si="189">C3011&amp;"/"&amp;D3011&amp;"/"&amp;E3011</f>
        <v>#VALUE!</v>
      </c>
      <c r="G3011" s="13" t="e">
        <f t="shared" ref="G3011:G3074" si="190">DATEVALUE(F3011)</f>
        <v>#VALUE!</v>
      </c>
      <c r="J3011" t="str">
        <f>MAIN!A3016&amp;"B"</f>
        <v>B</v>
      </c>
      <c r="K3011" s="12" t="e">
        <f t="shared" ref="K3011:K3074" si="191">FIND("172",J3011,30)+2</f>
        <v>#VALUE!</v>
      </c>
      <c r="L3011" t="str">
        <f>MAIN!C3016</f>
        <v/>
      </c>
    </row>
    <row r="3012" spans="1:12" x14ac:dyDescent="0.3">
      <c r="A3012">
        <f>IF(J3012="0",0,IF(COUNTIF($J$2:J3012,J3012)=1,1,0))</f>
        <v>0</v>
      </c>
      <c r="B3012" s="12" t="e">
        <f>MID(MAIN!A3017,K3012,2)</f>
        <v>#VALUE!</v>
      </c>
      <c r="C3012" s="12" t="e">
        <f t="shared" si="188"/>
        <v>#VALUE!</v>
      </c>
      <c r="D3012" s="12" t="e">
        <f>MID(MAIN!A3017,K3012+2,2)</f>
        <v>#VALUE!</v>
      </c>
      <c r="E3012" s="12" t="e">
        <f>MID(MAIN!A3017,K3012+4,2)</f>
        <v>#VALUE!</v>
      </c>
      <c r="F3012" s="2" t="e">
        <f t="shared" si="189"/>
        <v>#VALUE!</v>
      </c>
      <c r="G3012" s="13" t="e">
        <f t="shared" si="190"/>
        <v>#VALUE!</v>
      </c>
      <c r="J3012" t="str">
        <f>MAIN!A3017&amp;"B"</f>
        <v>B</v>
      </c>
      <c r="K3012" s="12" t="e">
        <f t="shared" si="191"/>
        <v>#VALUE!</v>
      </c>
      <c r="L3012" t="str">
        <f>MAIN!C3017</f>
        <v/>
      </c>
    </row>
    <row r="3013" spans="1:12" x14ac:dyDescent="0.3">
      <c r="A3013">
        <f>IF(J3013="0",0,IF(COUNTIF($J$2:J3013,J3013)=1,1,0))</f>
        <v>0</v>
      </c>
      <c r="B3013" s="12" t="e">
        <f>MID(MAIN!A3018,K3013,2)</f>
        <v>#VALUE!</v>
      </c>
      <c r="C3013" s="12" t="e">
        <f t="shared" si="188"/>
        <v>#VALUE!</v>
      </c>
      <c r="D3013" s="12" t="e">
        <f>MID(MAIN!A3018,K3013+2,2)</f>
        <v>#VALUE!</v>
      </c>
      <c r="E3013" s="12" t="e">
        <f>MID(MAIN!A3018,K3013+4,2)</f>
        <v>#VALUE!</v>
      </c>
      <c r="F3013" s="2" t="e">
        <f t="shared" si="189"/>
        <v>#VALUE!</v>
      </c>
      <c r="G3013" s="13" t="e">
        <f t="shared" si="190"/>
        <v>#VALUE!</v>
      </c>
      <c r="J3013" t="str">
        <f>MAIN!A3018&amp;"B"</f>
        <v>B</v>
      </c>
      <c r="K3013" s="12" t="e">
        <f t="shared" si="191"/>
        <v>#VALUE!</v>
      </c>
      <c r="L3013" t="str">
        <f>MAIN!C3018</f>
        <v/>
      </c>
    </row>
    <row r="3014" spans="1:12" x14ac:dyDescent="0.3">
      <c r="A3014">
        <f>IF(J3014="0",0,IF(COUNTIF($J$2:J3014,J3014)=1,1,0))</f>
        <v>0</v>
      </c>
      <c r="B3014" s="12" t="e">
        <f>MID(MAIN!A3019,K3014,2)</f>
        <v>#VALUE!</v>
      </c>
      <c r="C3014" s="12" t="e">
        <f t="shared" si="188"/>
        <v>#VALUE!</v>
      </c>
      <c r="D3014" s="12" t="e">
        <f>MID(MAIN!A3019,K3014+2,2)</f>
        <v>#VALUE!</v>
      </c>
      <c r="E3014" s="12" t="e">
        <f>MID(MAIN!A3019,K3014+4,2)</f>
        <v>#VALUE!</v>
      </c>
      <c r="F3014" s="2" t="e">
        <f t="shared" si="189"/>
        <v>#VALUE!</v>
      </c>
      <c r="G3014" s="13" t="e">
        <f t="shared" si="190"/>
        <v>#VALUE!</v>
      </c>
      <c r="J3014" t="str">
        <f>MAIN!A3019&amp;"B"</f>
        <v>B</v>
      </c>
      <c r="K3014" s="12" t="e">
        <f t="shared" si="191"/>
        <v>#VALUE!</v>
      </c>
      <c r="L3014" t="str">
        <f>MAIN!C3019</f>
        <v/>
      </c>
    </row>
    <row r="3015" spans="1:12" x14ac:dyDescent="0.3">
      <c r="A3015">
        <f>IF(J3015="0",0,IF(COUNTIF($J$2:J3015,J3015)=1,1,0))</f>
        <v>0</v>
      </c>
      <c r="B3015" s="12" t="e">
        <f>MID(MAIN!A3020,K3015,2)</f>
        <v>#VALUE!</v>
      </c>
      <c r="C3015" s="12" t="e">
        <f t="shared" si="188"/>
        <v>#VALUE!</v>
      </c>
      <c r="D3015" s="12" t="e">
        <f>MID(MAIN!A3020,K3015+2,2)</f>
        <v>#VALUE!</v>
      </c>
      <c r="E3015" s="12" t="e">
        <f>MID(MAIN!A3020,K3015+4,2)</f>
        <v>#VALUE!</v>
      </c>
      <c r="F3015" s="2" t="e">
        <f t="shared" si="189"/>
        <v>#VALUE!</v>
      </c>
      <c r="G3015" s="13" t="e">
        <f t="shared" si="190"/>
        <v>#VALUE!</v>
      </c>
      <c r="J3015" t="str">
        <f>MAIN!A3020&amp;"B"</f>
        <v>B</v>
      </c>
      <c r="K3015" s="12" t="e">
        <f t="shared" si="191"/>
        <v>#VALUE!</v>
      </c>
      <c r="L3015" t="str">
        <f>MAIN!C3020</f>
        <v/>
      </c>
    </row>
    <row r="3016" spans="1:12" x14ac:dyDescent="0.3">
      <c r="A3016">
        <f>IF(J3016="0",0,IF(COUNTIF($J$2:J3016,J3016)=1,1,0))</f>
        <v>0</v>
      </c>
      <c r="B3016" s="12" t="e">
        <f>MID(MAIN!A3021,K3016,2)</f>
        <v>#VALUE!</v>
      </c>
      <c r="C3016" s="12" t="e">
        <f t="shared" si="188"/>
        <v>#VALUE!</v>
      </c>
      <c r="D3016" s="12" t="e">
        <f>MID(MAIN!A3021,K3016+2,2)</f>
        <v>#VALUE!</v>
      </c>
      <c r="E3016" s="12" t="e">
        <f>MID(MAIN!A3021,K3016+4,2)</f>
        <v>#VALUE!</v>
      </c>
      <c r="F3016" s="2" t="e">
        <f t="shared" si="189"/>
        <v>#VALUE!</v>
      </c>
      <c r="G3016" s="13" t="e">
        <f t="shared" si="190"/>
        <v>#VALUE!</v>
      </c>
      <c r="J3016" t="str">
        <f>MAIN!A3021&amp;"B"</f>
        <v>B</v>
      </c>
      <c r="K3016" s="12" t="e">
        <f t="shared" si="191"/>
        <v>#VALUE!</v>
      </c>
      <c r="L3016" t="str">
        <f>MAIN!C3021</f>
        <v/>
      </c>
    </row>
    <row r="3017" spans="1:12" x14ac:dyDescent="0.3">
      <c r="A3017">
        <f>IF(J3017="0",0,IF(COUNTIF($J$2:J3017,J3017)=1,1,0))</f>
        <v>0</v>
      </c>
      <c r="B3017" s="12" t="e">
        <f>MID(MAIN!A3022,K3017,2)</f>
        <v>#VALUE!</v>
      </c>
      <c r="C3017" s="12" t="e">
        <f t="shared" si="188"/>
        <v>#VALUE!</v>
      </c>
      <c r="D3017" s="12" t="e">
        <f>MID(MAIN!A3022,K3017+2,2)</f>
        <v>#VALUE!</v>
      </c>
      <c r="E3017" s="12" t="e">
        <f>MID(MAIN!A3022,K3017+4,2)</f>
        <v>#VALUE!</v>
      </c>
      <c r="F3017" s="2" t="e">
        <f t="shared" si="189"/>
        <v>#VALUE!</v>
      </c>
      <c r="G3017" s="13" t="e">
        <f t="shared" si="190"/>
        <v>#VALUE!</v>
      </c>
      <c r="J3017" t="str">
        <f>MAIN!A3022&amp;"B"</f>
        <v>B</v>
      </c>
      <c r="K3017" s="12" t="e">
        <f t="shared" si="191"/>
        <v>#VALUE!</v>
      </c>
      <c r="L3017" t="str">
        <f>MAIN!C3022</f>
        <v/>
      </c>
    </row>
    <row r="3018" spans="1:12" x14ac:dyDescent="0.3">
      <c r="A3018">
        <f>IF(J3018="0",0,IF(COUNTIF($J$2:J3018,J3018)=1,1,0))</f>
        <v>0</v>
      </c>
      <c r="B3018" s="12" t="e">
        <f>MID(MAIN!A3023,K3018,2)</f>
        <v>#VALUE!</v>
      </c>
      <c r="C3018" s="12" t="e">
        <f t="shared" si="188"/>
        <v>#VALUE!</v>
      </c>
      <c r="D3018" s="12" t="e">
        <f>MID(MAIN!A3023,K3018+2,2)</f>
        <v>#VALUE!</v>
      </c>
      <c r="E3018" s="12" t="e">
        <f>MID(MAIN!A3023,K3018+4,2)</f>
        <v>#VALUE!</v>
      </c>
      <c r="F3018" s="2" t="e">
        <f t="shared" si="189"/>
        <v>#VALUE!</v>
      </c>
      <c r="G3018" s="13" t="e">
        <f t="shared" si="190"/>
        <v>#VALUE!</v>
      </c>
      <c r="J3018" t="str">
        <f>MAIN!A3023&amp;"B"</f>
        <v>B</v>
      </c>
      <c r="K3018" s="12" t="e">
        <f t="shared" si="191"/>
        <v>#VALUE!</v>
      </c>
      <c r="L3018" t="str">
        <f>MAIN!C3023</f>
        <v/>
      </c>
    </row>
    <row r="3019" spans="1:12" x14ac:dyDescent="0.3">
      <c r="A3019">
        <f>IF(J3019="0",0,IF(COUNTIF($J$2:J3019,J3019)=1,1,0))</f>
        <v>0</v>
      </c>
      <c r="B3019" s="12" t="e">
        <f>MID(MAIN!A3024,K3019,2)</f>
        <v>#VALUE!</v>
      </c>
      <c r="C3019" s="12" t="e">
        <f t="shared" si="188"/>
        <v>#VALUE!</v>
      </c>
      <c r="D3019" s="12" t="e">
        <f>MID(MAIN!A3024,K3019+2,2)</f>
        <v>#VALUE!</v>
      </c>
      <c r="E3019" s="12" t="e">
        <f>MID(MAIN!A3024,K3019+4,2)</f>
        <v>#VALUE!</v>
      </c>
      <c r="F3019" s="2" t="e">
        <f t="shared" si="189"/>
        <v>#VALUE!</v>
      </c>
      <c r="G3019" s="13" t="e">
        <f t="shared" si="190"/>
        <v>#VALUE!</v>
      </c>
      <c r="J3019" t="str">
        <f>MAIN!A3024&amp;"B"</f>
        <v>B</v>
      </c>
      <c r="K3019" s="12" t="e">
        <f t="shared" si="191"/>
        <v>#VALUE!</v>
      </c>
      <c r="L3019" t="str">
        <f>MAIN!C3024</f>
        <v/>
      </c>
    </row>
    <row r="3020" spans="1:12" x14ac:dyDescent="0.3">
      <c r="A3020">
        <f>IF(J3020="0",0,IF(COUNTIF($J$2:J3020,J3020)=1,1,0))</f>
        <v>0</v>
      </c>
      <c r="B3020" s="12" t="e">
        <f>MID(MAIN!A3025,K3020,2)</f>
        <v>#VALUE!</v>
      </c>
      <c r="C3020" s="12" t="e">
        <f t="shared" si="188"/>
        <v>#VALUE!</v>
      </c>
      <c r="D3020" s="12" t="e">
        <f>MID(MAIN!A3025,K3020+2,2)</f>
        <v>#VALUE!</v>
      </c>
      <c r="E3020" s="12" t="e">
        <f>MID(MAIN!A3025,K3020+4,2)</f>
        <v>#VALUE!</v>
      </c>
      <c r="F3020" s="2" t="e">
        <f t="shared" si="189"/>
        <v>#VALUE!</v>
      </c>
      <c r="G3020" s="13" t="e">
        <f t="shared" si="190"/>
        <v>#VALUE!</v>
      </c>
      <c r="J3020" t="str">
        <f>MAIN!A3025&amp;"B"</f>
        <v>B</v>
      </c>
      <c r="K3020" s="12" t="e">
        <f t="shared" si="191"/>
        <v>#VALUE!</v>
      </c>
      <c r="L3020" t="str">
        <f>MAIN!C3025</f>
        <v/>
      </c>
    </row>
    <row r="3021" spans="1:12" x14ac:dyDescent="0.3">
      <c r="A3021">
        <f>IF(J3021="0",0,IF(COUNTIF($J$2:J3021,J3021)=1,1,0))</f>
        <v>0</v>
      </c>
      <c r="B3021" s="12" t="e">
        <f>MID(MAIN!A3026,K3021,2)</f>
        <v>#VALUE!</v>
      </c>
      <c r="C3021" s="12" t="e">
        <f t="shared" si="188"/>
        <v>#VALUE!</v>
      </c>
      <c r="D3021" s="12" t="e">
        <f>MID(MAIN!A3026,K3021+2,2)</f>
        <v>#VALUE!</v>
      </c>
      <c r="E3021" s="12" t="e">
        <f>MID(MAIN!A3026,K3021+4,2)</f>
        <v>#VALUE!</v>
      </c>
      <c r="F3021" s="2" t="e">
        <f t="shared" si="189"/>
        <v>#VALUE!</v>
      </c>
      <c r="G3021" s="13" t="e">
        <f t="shared" si="190"/>
        <v>#VALUE!</v>
      </c>
      <c r="J3021" t="str">
        <f>MAIN!A3026&amp;"B"</f>
        <v>B</v>
      </c>
      <c r="K3021" s="12" t="e">
        <f t="shared" si="191"/>
        <v>#VALUE!</v>
      </c>
      <c r="L3021" t="str">
        <f>MAIN!C3026</f>
        <v/>
      </c>
    </row>
    <row r="3022" spans="1:12" x14ac:dyDescent="0.3">
      <c r="A3022">
        <f>IF(J3022="0",0,IF(COUNTIF($J$2:J3022,J3022)=1,1,0))</f>
        <v>0</v>
      </c>
      <c r="B3022" s="12" t="e">
        <f>MID(MAIN!A3027,K3022,2)</f>
        <v>#VALUE!</v>
      </c>
      <c r="C3022" s="12" t="e">
        <f t="shared" si="188"/>
        <v>#VALUE!</v>
      </c>
      <c r="D3022" s="12" t="e">
        <f>MID(MAIN!A3027,K3022+2,2)</f>
        <v>#VALUE!</v>
      </c>
      <c r="E3022" s="12" t="e">
        <f>MID(MAIN!A3027,K3022+4,2)</f>
        <v>#VALUE!</v>
      </c>
      <c r="F3022" s="2" t="e">
        <f t="shared" si="189"/>
        <v>#VALUE!</v>
      </c>
      <c r="G3022" s="13" t="e">
        <f t="shared" si="190"/>
        <v>#VALUE!</v>
      </c>
      <c r="J3022" t="str">
        <f>MAIN!A3027&amp;"B"</f>
        <v>B</v>
      </c>
      <c r="K3022" s="12" t="e">
        <f t="shared" si="191"/>
        <v>#VALUE!</v>
      </c>
      <c r="L3022" t="str">
        <f>MAIN!C3027</f>
        <v/>
      </c>
    </row>
    <row r="3023" spans="1:12" x14ac:dyDescent="0.3">
      <c r="A3023">
        <f>IF(J3023="0",0,IF(COUNTIF($J$2:J3023,J3023)=1,1,0))</f>
        <v>0</v>
      </c>
      <c r="B3023" s="12" t="e">
        <f>MID(MAIN!A3028,K3023,2)</f>
        <v>#VALUE!</v>
      </c>
      <c r="C3023" s="12" t="e">
        <f t="shared" si="188"/>
        <v>#VALUE!</v>
      </c>
      <c r="D3023" s="12" t="e">
        <f>MID(MAIN!A3028,K3023+2,2)</f>
        <v>#VALUE!</v>
      </c>
      <c r="E3023" s="12" t="e">
        <f>MID(MAIN!A3028,K3023+4,2)</f>
        <v>#VALUE!</v>
      </c>
      <c r="F3023" s="2" t="e">
        <f t="shared" si="189"/>
        <v>#VALUE!</v>
      </c>
      <c r="G3023" s="13" t="e">
        <f t="shared" si="190"/>
        <v>#VALUE!</v>
      </c>
      <c r="J3023" t="str">
        <f>MAIN!A3028&amp;"B"</f>
        <v>B</v>
      </c>
      <c r="K3023" s="12" t="e">
        <f t="shared" si="191"/>
        <v>#VALUE!</v>
      </c>
      <c r="L3023" t="str">
        <f>MAIN!C3028</f>
        <v/>
      </c>
    </row>
    <row r="3024" spans="1:12" x14ac:dyDescent="0.3">
      <c r="A3024">
        <f>IF(J3024="0",0,IF(COUNTIF($J$2:J3024,J3024)=1,1,0))</f>
        <v>0</v>
      </c>
      <c r="B3024" s="12" t="e">
        <f>MID(MAIN!A3029,K3024,2)</f>
        <v>#VALUE!</v>
      </c>
      <c r="C3024" s="12" t="e">
        <f t="shared" si="188"/>
        <v>#VALUE!</v>
      </c>
      <c r="D3024" s="12" t="e">
        <f>MID(MAIN!A3029,K3024+2,2)</f>
        <v>#VALUE!</v>
      </c>
      <c r="E3024" s="12" t="e">
        <f>MID(MAIN!A3029,K3024+4,2)</f>
        <v>#VALUE!</v>
      </c>
      <c r="F3024" s="2" t="e">
        <f t="shared" si="189"/>
        <v>#VALUE!</v>
      </c>
      <c r="G3024" s="13" t="e">
        <f t="shared" si="190"/>
        <v>#VALUE!</v>
      </c>
      <c r="J3024" t="str">
        <f>MAIN!A3029&amp;"B"</f>
        <v>B</v>
      </c>
      <c r="K3024" s="12" t="e">
        <f t="shared" si="191"/>
        <v>#VALUE!</v>
      </c>
      <c r="L3024" t="str">
        <f>MAIN!C3029</f>
        <v/>
      </c>
    </row>
    <row r="3025" spans="1:12" x14ac:dyDescent="0.3">
      <c r="A3025">
        <f>IF(J3025="0",0,IF(COUNTIF($J$2:J3025,J3025)=1,1,0))</f>
        <v>0</v>
      </c>
      <c r="B3025" s="12" t="e">
        <f>MID(MAIN!A3030,K3025,2)</f>
        <v>#VALUE!</v>
      </c>
      <c r="C3025" s="12" t="e">
        <f t="shared" si="188"/>
        <v>#VALUE!</v>
      </c>
      <c r="D3025" s="12" t="e">
        <f>MID(MAIN!A3030,K3025+2,2)</f>
        <v>#VALUE!</v>
      </c>
      <c r="E3025" s="12" t="e">
        <f>MID(MAIN!A3030,K3025+4,2)</f>
        <v>#VALUE!</v>
      </c>
      <c r="F3025" s="2" t="e">
        <f t="shared" si="189"/>
        <v>#VALUE!</v>
      </c>
      <c r="G3025" s="13" t="e">
        <f t="shared" si="190"/>
        <v>#VALUE!</v>
      </c>
      <c r="J3025" t="str">
        <f>MAIN!A3030&amp;"B"</f>
        <v>B</v>
      </c>
      <c r="K3025" s="12" t="e">
        <f t="shared" si="191"/>
        <v>#VALUE!</v>
      </c>
      <c r="L3025" t="str">
        <f>MAIN!C3030</f>
        <v/>
      </c>
    </row>
    <row r="3026" spans="1:12" x14ac:dyDescent="0.3">
      <c r="A3026">
        <f>IF(J3026="0",0,IF(COUNTIF($J$2:J3026,J3026)=1,1,0))</f>
        <v>0</v>
      </c>
      <c r="B3026" s="12" t="e">
        <f>MID(MAIN!A3031,K3026,2)</f>
        <v>#VALUE!</v>
      </c>
      <c r="C3026" s="12" t="e">
        <f t="shared" si="188"/>
        <v>#VALUE!</v>
      </c>
      <c r="D3026" s="12" t="e">
        <f>MID(MAIN!A3031,K3026+2,2)</f>
        <v>#VALUE!</v>
      </c>
      <c r="E3026" s="12" t="e">
        <f>MID(MAIN!A3031,K3026+4,2)</f>
        <v>#VALUE!</v>
      </c>
      <c r="F3026" s="2" t="e">
        <f t="shared" si="189"/>
        <v>#VALUE!</v>
      </c>
      <c r="G3026" s="13" t="e">
        <f t="shared" si="190"/>
        <v>#VALUE!</v>
      </c>
      <c r="J3026" t="str">
        <f>MAIN!A3031&amp;"B"</f>
        <v>B</v>
      </c>
      <c r="K3026" s="12" t="e">
        <f t="shared" si="191"/>
        <v>#VALUE!</v>
      </c>
      <c r="L3026" t="str">
        <f>MAIN!C3031</f>
        <v/>
      </c>
    </row>
    <row r="3027" spans="1:12" x14ac:dyDescent="0.3">
      <c r="A3027">
        <f>IF(J3027="0",0,IF(COUNTIF($J$2:J3027,J3027)=1,1,0))</f>
        <v>0</v>
      </c>
      <c r="B3027" s="12" t="e">
        <f>MID(MAIN!A3032,K3027,2)</f>
        <v>#VALUE!</v>
      </c>
      <c r="C3027" s="12" t="e">
        <f t="shared" si="188"/>
        <v>#VALUE!</v>
      </c>
      <c r="D3027" s="12" t="e">
        <f>MID(MAIN!A3032,K3027+2,2)</f>
        <v>#VALUE!</v>
      </c>
      <c r="E3027" s="12" t="e">
        <f>MID(MAIN!A3032,K3027+4,2)</f>
        <v>#VALUE!</v>
      </c>
      <c r="F3027" s="2" t="e">
        <f t="shared" si="189"/>
        <v>#VALUE!</v>
      </c>
      <c r="G3027" s="13" t="e">
        <f t="shared" si="190"/>
        <v>#VALUE!</v>
      </c>
      <c r="J3027" t="str">
        <f>MAIN!A3032&amp;"B"</f>
        <v>B</v>
      </c>
      <c r="K3027" s="12" t="e">
        <f t="shared" si="191"/>
        <v>#VALUE!</v>
      </c>
      <c r="L3027" t="str">
        <f>MAIN!C3032</f>
        <v/>
      </c>
    </row>
    <row r="3028" spans="1:12" x14ac:dyDescent="0.3">
      <c r="A3028">
        <f>IF(J3028="0",0,IF(COUNTIF($J$2:J3028,J3028)=1,1,0))</f>
        <v>0</v>
      </c>
      <c r="B3028" s="12" t="e">
        <f>MID(MAIN!A3033,K3028,2)</f>
        <v>#VALUE!</v>
      </c>
      <c r="C3028" s="12" t="e">
        <f t="shared" si="188"/>
        <v>#VALUE!</v>
      </c>
      <c r="D3028" s="12" t="e">
        <f>MID(MAIN!A3033,K3028+2,2)</f>
        <v>#VALUE!</v>
      </c>
      <c r="E3028" s="12" t="e">
        <f>MID(MAIN!A3033,K3028+4,2)</f>
        <v>#VALUE!</v>
      </c>
      <c r="F3028" s="2" t="e">
        <f t="shared" si="189"/>
        <v>#VALUE!</v>
      </c>
      <c r="G3028" s="13" t="e">
        <f t="shared" si="190"/>
        <v>#VALUE!</v>
      </c>
      <c r="J3028" t="str">
        <f>MAIN!A3033&amp;"B"</f>
        <v>B</v>
      </c>
      <c r="K3028" s="12" t="e">
        <f t="shared" si="191"/>
        <v>#VALUE!</v>
      </c>
      <c r="L3028" t="str">
        <f>MAIN!C3033</f>
        <v/>
      </c>
    </row>
    <row r="3029" spans="1:12" x14ac:dyDescent="0.3">
      <c r="A3029">
        <f>IF(J3029="0",0,IF(COUNTIF($J$2:J3029,J3029)=1,1,0))</f>
        <v>0</v>
      </c>
      <c r="B3029" s="12" t="e">
        <f>MID(MAIN!A3034,K3029,2)</f>
        <v>#VALUE!</v>
      </c>
      <c r="C3029" s="12" t="e">
        <f t="shared" si="188"/>
        <v>#VALUE!</v>
      </c>
      <c r="D3029" s="12" t="e">
        <f>MID(MAIN!A3034,K3029+2,2)</f>
        <v>#VALUE!</v>
      </c>
      <c r="E3029" s="12" t="e">
        <f>MID(MAIN!A3034,K3029+4,2)</f>
        <v>#VALUE!</v>
      </c>
      <c r="F3029" s="2" t="e">
        <f t="shared" si="189"/>
        <v>#VALUE!</v>
      </c>
      <c r="G3029" s="13" t="e">
        <f t="shared" si="190"/>
        <v>#VALUE!</v>
      </c>
      <c r="J3029" t="str">
        <f>MAIN!A3034&amp;"B"</f>
        <v>B</v>
      </c>
      <c r="K3029" s="12" t="e">
        <f t="shared" si="191"/>
        <v>#VALUE!</v>
      </c>
      <c r="L3029" t="str">
        <f>MAIN!C3034</f>
        <v/>
      </c>
    </row>
    <row r="3030" spans="1:12" x14ac:dyDescent="0.3">
      <c r="A3030">
        <f>IF(J3030="0",0,IF(COUNTIF($J$2:J3030,J3030)=1,1,0))</f>
        <v>0</v>
      </c>
      <c r="B3030" s="12" t="e">
        <f>MID(MAIN!A3035,K3030,2)</f>
        <v>#VALUE!</v>
      </c>
      <c r="C3030" s="12" t="e">
        <f t="shared" si="188"/>
        <v>#VALUE!</v>
      </c>
      <c r="D3030" s="12" t="e">
        <f>MID(MAIN!A3035,K3030+2,2)</f>
        <v>#VALUE!</v>
      </c>
      <c r="E3030" s="12" t="e">
        <f>MID(MAIN!A3035,K3030+4,2)</f>
        <v>#VALUE!</v>
      </c>
      <c r="F3030" s="2" t="e">
        <f t="shared" si="189"/>
        <v>#VALUE!</v>
      </c>
      <c r="G3030" s="13" t="e">
        <f t="shared" si="190"/>
        <v>#VALUE!</v>
      </c>
      <c r="J3030" t="str">
        <f>MAIN!A3035&amp;"B"</f>
        <v>B</v>
      </c>
      <c r="K3030" s="12" t="e">
        <f t="shared" si="191"/>
        <v>#VALUE!</v>
      </c>
      <c r="L3030" t="str">
        <f>MAIN!C3035</f>
        <v/>
      </c>
    </row>
    <row r="3031" spans="1:12" x14ac:dyDescent="0.3">
      <c r="A3031">
        <f>IF(J3031="0",0,IF(COUNTIF($J$2:J3031,J3031)=1,1,0))</f>
        <v>0</v>
      </c>
      <c r="B3031" s="12" t="e">
        <f>MID(MAIN!A3036,K3031,2)</f>
        <v>#VALUE!</v>
      </c>
      <c r="C3031" s="12" t="e">
        <f t="shared" si="188"/>
        <v>#VALUE!</v>
      </c>
      <c r="D3031" s="12" t="e">
        <f>MID(MAIN!A3036,K3031+2,2)</f>
        <v>#VALUE!</v>
      </c>
      <c r="E3031" s="12" t="e">
        <f>MID(MAIN!A3036,K3031+4,2)</f>
        <v>#VALUE!</v>
      </c>
      <c r="F3031" s="2" t="e">
        <f t="shared" si="189"/>
        <v>#VALUE!</v>
      </c>
      <c r="G3031" s="13" t="e">
        <f t="shared" si="190"/>
        <v>#VALUE!</v>
      </c>
      <c r="J3031" t="str">
        <f>MAIN!A3036&amp;"B"</f>
        <v>B</v>
      </c>
      <c r="K3031" s="12" t="e">
        <f t="shared" si="191"/>
        <v>#VALUE!</v>
      </c>
      <c r="L3031" t="str">
        <f>MAIN!C3036</f>
        <v/>
      </c>
    </row>
    <row r="3032" spans="1:12" x14ac:dyDescent="0.3">
      <c r="A3032">
        <f>IF(J3032="0",0,IF(COUNTIF($J$2:J3032,J3032)=1,1,0))</f>
        <v>0</v>
      </c>
      <c r="B3032" s="12" t="e">
        <f>MID(MAIN!A3037,K3032,2)</f>
        <v>#VALUE!</v>
      </c>
      <c r="C3032" s="12" t="e">
        <f t="shared" si="188"/>
        <v>#VALUE!</v>
      </c>
      <c r="D3032" s="12" t="e">
        <f>MID(MAIN!A3037,K3032+2,2)</f>
        <v>#VALUE!</v>
      </c>
      <c r="E3032" s="12" t="e">
        <f>MID(MAIN!A3037,K3032+4,2)</f>
        <v>#VALUE!</v>
      </c>
      <c r="F3032" s="2" t="e">
        <f t="shared" si="189"/>
        <v>#VALUE!</v>
      </c>
      <c r="G3032" s="13" t="e">
        <f t="shared" si="190"/>
        <v>#VALUE!</v>
      </c>
      <c r="J3032" t="str">
        <f>MAIN!A3037&amp;"B"</f>
        <v>B</v>
      </c>
      <c r="K3032" s="12" t="e">
        <f t="shared" si="191"/>
        <v>#VALUE!</v>
      </c>
      <c r="L3032" t="str">
        <f>MAIN!C3037</f>
        <v/>
      </c>
    </row>
    <row r="3033" spans="1:12" x14ac:dyDescent="0.3">
      <c r="A3033">
        <f>IF(J3033="0",0,IF(COUNTIF($J$2:J3033,J3033)=1,1,0))</f>
        <v>0</v>
      </c>
      <c r="B3033" s="12" t="e">
        <f>MID(MAIN!A3038,K3033,2)</f>
        <v>#VALUE!</v>
      </c>
      <c r="C3033" s="12" t="e">
        <f t="shared" si="188"/>
        <v>#VALUE!</v>
      </c>
      <c r="D3033" s="12" t="e">
        <f>MID(MAIN!A3038,K3033+2,2)</f>
        <v>#VALUE!</v>
      </c>
      <c r="E3033" s="12" t="e">
        <f>MID(MAIN!A3038,K3033+4,2)</f>
        <v>#VALUE!</v>
      </c>
      <c r="F3033" s="2" t="e">
        <f t="shared" si="189"/>
        <v>#VALUE!</v>
      </c>
      <c r="G3033" s="13" t="e">
        <f t="shared" si="190"/>
        <v>#VALUE!</v>
      </c>
      <c r="J3033" t="str">
        <f>MAIN!A3038&amp;"B"</f>
        <v>B</v>
      </c>
      <c r="K3033" s="12" t="e">
        <f t="shared" si="191"/>
        <v>#VALUE!</v>
      </c>
      <c r="L3033" t="str">
        <f>MAIN!C3038</f>
        <v/>
      </c>
    </row>
    <row r="3034" spans="1:12" x14ac:dyDescent="0.3">
      <c r="A3034">
        <f>IF(J3034="0",0,IF(COUNTIF($J$2:J3034,J3034)=1,1,0))</f>
        <v>0</v>
      </c>
      <c r="B3034" s="12" t="e">
        <f>MID(MAIN!A3039,K3034,2)</f>
        <v>#VALUE!</v>
      </c>
      <c r="C3034" s="12" t="e">
        <f t="shared" si="188"/>
        <v>#VALUE!</v>
      </c>
      <c r="D3034" s="12" t="e">
        <f>MID(MAIN!A3039,K3034+2,2)</f>
        <v>#VALUE!</v>
      </c>
      <c r="E3034" s="12" t="e">
        <f>MID(MAIN!A3039,K3034+4,2)</f>
        <v>#VALUE!</v>
      </c>
      <c r="F3034" s="2" t="e">
        <f t="shared" si="189"/>
        <v>#VALUE!</v>
      </c>
      <c r="G3034" s="13" t="e">
        <f t="shared" si="190"/>
        <v>#VALUE!</v>
      </c>
      <c r="J3034" t="str">
        <f>MAIN!A3039&amp;"B"</f>
        <v>B</v>
      </c>
      <c r="K3034" s="12" t="e">
        <f t="shared" si="191"/>
        <v>#VALUE!</v>
      </c>
      <c r="L3034" t="str">
        <f>MAIN!C3039</f>
        <v/>
      </c>
    </row>
    <row r="3035" spans="1:12" x14ac:dyDescent="0.3">
      <c r="A3035">
        <f>IF(J3035="0",0,IF(COUNTIF($J$2:J3035,J3035)=1,1,0))</f>
        <v>0</v>
      </c>
      <c r="B3035" s="12" t="e">
        <f>MID(MAIN!A3040,K3035,2)</f>
        <v>#VALUE!</v>
      </c>
      <c r="C3035" s="12" t="e">
        <f t="shared" si="188"/>
        <v>#VALUE!</v>
      </c>
      <c r="D3035" s="12" t="e">
        <f>MID(MAIN!A3040,K3035+2,2)</f>
        <v>#VALUE!</v>
      </c>
      <c r="E3035" s="12" t="e">
        <f>MID(MAIN!A3040,K3035+4,2)</f>
        <v>#VALUE!</v>
      </c>
      <c r="F3035" s="2" t="e">
        <f t="shared" si="189"/>
        <v>#VALUE!</v>
      </c>
      <c r="G3035" s="13" t="e">
        <f t="shared" si="190"/>
        <v>#VALUE!</v>
      </c>
      <c r="J3035" t="str">
        <f>MAIN!A3040&amp;"B"</f>
        <v>B</v>
      </c>
      <c r="K3035" s="12" t="e">
        <f t="shared" si="191"/>
        <v>#VALUE!</v>
      </c>
      <c r="L3035" t="str">
        <f>MAIN!C3040</f>
        <v/>
      </c>
    </row>
    <row r="3036" spans="1:12" x14ac:dyDescent="0.3">
      <c r="A3036">
        <f>IF(J3036="0",0,IF(COUNTIF($J$2:J3036,J3036)=1,1,0))</f>
        <v>0</v>
      </c>
      <c r="B3036" s="12" t="e">
        <f>MID(MAIN!A3041,K3036,2)</f>
        <v>#VALUE!</v>
      </c>
      <c r="C3036" s="12" t="e">
        <f t="shared" si="188"/>
        <v>#VALUE!</v>
      </c>
      <c r="D3036" s="12" t="e">
        <f>MID(MAIN!A3041,K3036+2,2)</f>
        <v>#VALUE!</v>
      </c>
      <c r="E3036" s="12" t="e">
        <f>MID(MAIN!A3041,K3036+4,2)</f>
        <v>#VALUE!</v>
      </c>
      <c r="F3036" s="2" t="e">
        <f t="shared" si="189"/>
        <v>#VALUE!</v>
      </c>
      <c r="G3036" s="13" t="e">
        <f t="shared" si="190"/>
        <v>#VALUE!</v>
      </c>
      <c r="J3036" t="str">
        <f>MAIN!A3041&amp;"B"</f>
        <v>B</v>
      </c>
      <c r="K3036" s="12" t="e">
        <f t="shared" si="191"/>
        <v>#VALUE!</v>
      </c>
      <c r="L3036" t="str">
        <f>MAIN!C3041</f>
        <v/>
      </c>
    </row>
    <row r="3037" spans="1:12" x14ac:dyDescent="0.3">
      <c r="A3037">
        <f>IF(J3037="0",0,IF(COUNTIF($J$2:J3037,J3037)=1,1,0))</f>
        <v>0</v>
      </c>
      <c r="B3037" s="12" t="e">
        <f>MID(MAIN!A3042,K3037,2)</f>
        <v>#VALUE!</v>
      </c>
      <c r="C3037" s="12" t="e">
        <f t="shared" si="188"/>
        <v>#VALUE!</v>
      </c>
      <c r="D3037" s="12" t="e">
        <f>MID(MAIN!A3042,K3037+2,2)</f>
        <v>#VALUE!</v>
      </c>
      <c r="E3037" s="12" t="e">
        <f>MID(MAIN!A3042,K3037+4,2)</f>
        <v>#VALUE!</v>
      </c>
      <c r="F3037" s="2" t="e">
        <f t="shared" si="189"/>
        <v>#VALUE!</v>
      </c>
      <c r="G3037" s="13" t="e">
        <f t="shared" si="190"/>
        <v>#VALUE!</v>
      </c>
      <c r="J3037" t="str">
        <f>MAIN!A3042&amp;"B"</f>
        <v>B</v>
      </c>
      <c r="K3037" s="12" t="e">
        <f t="shared" si="191"/>
        <v>#VALUE!</v>
      </c>
      <c r="L3037" t="str">
        <f>MAIN!C3042</f>
        <v/>
      </c>
    </row>
    <row r="3038" spans="1:12" x14ac:dyDescent="0.3">
      <c r="A3038">
        <f>IF(J3038="0",0,IF(COUNTIF($J$2:J3038,J3038)=1,1,0))</f>
        <v>0</v>
      </c>
      <c r="B3038" s="12" t="e">
        <f>MID(MAIN!A3043,K3038,2)</f>
        <v>#VALUE!</v>
      </c>
      <c r="C3038" s="12" t="e">
        <f t="shared" si="188"/>
        <v>#VALUE!</v>
      </c>
      <c r="D3038" s="12" t="e">
        <f>MID(MAIN!A3043,K3038+2,2)</f>
        <v>#VALUE!</v>
      </c>
      <c r="E3038" s="12" t="e">
        <f>MID(MAIN!A3043,K3038+4,2)</f>
        <v>#VALUE!</v>
      </c>
      <c r="F3038" s="2" t="e">
        <f t="shared" si="189"/>
        <v>#VALUE!</v>
      </c>
      <c r="G3038" s="13" t="e">
        <f t="shared" si="190"/>
        <v>#VALUE!</v>
      </c>
      <c r="J3038" t="str">
        <f>MAIN!A3043&amp;"B"</f>
        <v>B</v>
      </c>
      <c r="K3038" s="12" t="e">
        <f t="shared" si="191"/>
        <v>#VALUE!</v>
      </c>
      <c r="L3038" t="str">
        <f>MAIN!C3043</f>
        <v/>
      </c>
    </row>
    <row r="3039" spans="1:12" x14ac:dyDescent="0.3">
      <c r="A3039">
        <f>IF(J3039="0",0,IF(COUNTIF($J$2:J3039,J3039)=1,1,0))</f>
        <v>0</v>
      </c>
      <c r="B3039" s="12" t="e">
        <f>MID(MAIN!A3044,K3039,2)</f>
        <v>#VALUE!</v>
      </c>
      <c r="C3039" s="12" t="e">
        <f t="shared" si="188"/>
        <v>#VALUE!</v>
      </c>
      <c r="D3039" s="12" t="e">
        <f>MID(MAIN!A3044,K3039+2,2)</f>
        <v>#VALUE!</v>
      </c>
      <c r="E3039" s="12" t="e">
        <f>MID(MAIN!A3044,K3039+4,2)</f>
        <v>#VALUE!</v>
      </c>
      <c r="F3039" s="2" t="e">
        <f t="shared" si="189"/>
        <v>#VALUE!</v>
      </c>
      <c r="G3039" s="13" t="e">
        <f t="shared" si="190"/>
        <v>#VALUE!</v>
      </c>
      <c r="J3039" t="str">
        <f>MAIN!A3044&amp;"B"</f>
        <v>B</v>
      </c>
      <c r="K3039" s="12" t="e">
        <f t="shared" si="191"/>
        <v>#VALUE!</v>
      </c>
      <c r="L3039" t="str">
        <f>MAIN!C3044</f>
        <v/>
      </c>
    </row>
    <row r="3040" spans="1:12" x14ac:dyDescent="0.3">
      <c r="A3040">
        <f>IF(J3040="0",0,IF(COUNTIF($J$2:J3040,J3040)=1,1,0))</f>
        <v>0</v>
      </c>
      <c r="B3040" s="12" t="e">
        <f>MID(MAIN!A3045,K3040,2)</f>
        <v>#VALUE!</v>
      </c>
      <c r="C3040" s="12" t="e">
        <f t="shared" si="188"/>
        <v>#VALUE!</v>
      </c>
      <c r="D3040" s="12" t="e">
        <f>MID(MAIN!A3045,K3040+2,2)</f>
        <v>#VALUE!</v>
      </c>
      <c r="E3040" s="12" t="e">
        <f>MID(MAIN!A3045,K3040+4,2)</f>
        <v>#VALUE!</v>
      </c>
      <c r="F3040" s="2" t="e">
        <f t="shared" si="189"/>
        <v>#VALUE!</v>
      </c>
      <c r="G3040" s="13" t="e">
        <f t="shared" si="190"/>
        <v>#VALUE!</v>
      </c>
      <c r="J3040" t="str">
        <f>MAIN!A3045&amp;"B"</f>
        <v>B</v>
      </c>
      <c r="K3040" s="12" t="e">
        <f t="shared" si="191"/>
        <v>#VALUE!</v>
      </c>
      <c r="L3040" t="str">
        <f>MAIN!C3045</f>
        <v/>
      </c>
    </row>
    <row r="3041" spans="1:12" x14ac:dyDescent="0.3">
      <c r="A3041">
        <f>IF(J3041="0",0,IF(COUNTIF($J$2:J3041,J3041)=1,1,0))</f>
        <v>0</v>
      </c>
      <c r="B3041" s="12" t="e">
        <f>MID(MAIN!A3046,K3041,2)</f>
        <v>#VALUE!</v>
      </c>
      <c r="C3041" s="12" t="e">
        <f t="shared" si="188"/>
        <v>#VALUE!</v>
      </c>
      <c r="D3041" s="12" t="e">
        <f>MID(MAIN!A3046,K3041+2,2)</f>
        <v>#VALUE!</v>
      </c>
      <c r="E3041" s="12" t="e">
        <f>MID(MAIN!A3046,K3041+4,2)</f>
        <v>#VALUE!</v>
      </c>
      <c r="F3041" s="2" t="e">
        <f t="shared" si="189"/>
        <v>#VALUE!</v>
      </c>
      <c r="G3041" s="13" t="e">
        <f t="shared" si="190"/>
        <v>#VALUE!</v>
      </c>
      <c r="J3041" t="str">
        <f>MAIN!A3046&amp;"B"</f>
        <v>B</v>
      </c>
      <c r="K3041" s="12" t="e">
        <f t="shared" si="191"/>
        <v>#VALUE!</v>
      </c>
      <c r="L3041" t="str">
        <f>MAIN!C3046</f>
        <v/>
      </c>
    </row>
    <row r="3042" spans="1:12" x14ac:dyDescent="0.3">
      <c r="A3042">
        <f>IF(J3042="0",0,IF(COUNTIF($J$2:J3042,J3042)=1,1,0))</f>
        <v>0</v>
      </c>
      <c r="B3042" s="12" t="e">
        <f>MID(MAIN!A3047,K3042,2)</f>
        <v>#VALUE!</v>
      </c>
      <c r="C3042" s="12" t="e">
        <f t="shared" si="188"/>
        <v>#VALUE!</v>
      </c>
      <c r="D3042" s="12" t="e">
        <f>MID(MAIN!A3047,K3042+2,2)</f>
        <v>#VALUE!</v>
      </c>
      <c r="E3042" s="12" t="e">
        <f>MID(MAIN!A3047,K3042+4,2)</f>
        <v>#VALUE!</v>
      </c>
      <c r="F3042" s="2" t="e">
        <f t="shared" si="189"/>
        <v>#VALUE!</v>
      </c>
      <c r="G3042" s="13" t="e">
        <f t="shared" si="190"/>
        <v>#VALUE!</v>
      </c>
      <c r="J3042" t="str">
        <f>MAIN!A3047&amp;"B"</f>
        <v>B</v>
      </c>
      <c r="K3042" s="12" t="e">
        <f t="shared" si="191"/>
        <v>#VALUE!</v>
      </c>
      <c r="L3042" t="str">
        <f>MAIN!C3047</f>
        <v/>
      </c>
    </row>
    <row r="3043" spans="1:12" x14ac:dyDescent="0.3">
      <c r="A3043">
        <f>IF(J3043="0",0,IF(COUNTIF($J$2:J3043,J3043)=1,1,0))</f>
        <v>0</v>
      </c>
      <c r="B3043" s="12" t="e">
        <f>MID(MAIN!A3048,K3043,2)</f>
        <v>#VALUE!</v>
      </c>
      <c r="C3043" s="12" t="e">
        <f t="shared" si="188"/>
        <v>#VALUE!</v>
      </c>
      <c r="D3043" s="12" t="e">
        <f>MID(MAIN!A3048,K3043+2,2)</f>
        <v>#VALUE!</v>
      </c>
      <c r="E3043" s="12" t="e">
        <f>MID(MAIN!A3048,K3043+4,2)</f>
        <v>#VALUE!</v>
      </c>
      <c r="F3043" s="2" t="e">
        <f t="shared" si="189"/>
        <v>#VALUE!</v>
      </c>
      <c r="G3043" s="13" t="e">
        <f t="shared" si="190"/>
        <v>#VALUE!</v>
      </c>
      <c r="J3043" t="str">
        <f>MAIN!A3048&amp;"B"</f>
        <v>B</v>
      </c>
      <c r="K3043" s="12" t="e">
        <f t="shared" si="191"/>
        <v>#VALUE!</v>
      </c>
      <c r="L3043" t="str">
        <f>MAIN!C3048</f>
        <v/>
      </c>
    </row>
    <row r="3044" spans="1:12" x14ac:dyDescent="0.3">
      <c r="A3044">
        <f>IF(J3044="0",0,IF(COUNTIF($J$2:J3044,J3044)=1,1,0))</f>
        <v>0</v>
      </c>
      <c r="B3044" s="12" t="e">
        <f>MID(MAIN!A3049,K3044,2)</f>
        <v>#VALUE!</v>
      </c>
      <c r="C3044" s="12" t="e">
        <f t="shared" si="188"/>
        <v>#VALUE!</v>
      </c>
      <c r="D3044" s="12" t="e">
        <f>MID(MAIN!A3049,K3044+2,2)</f>
        <v>#VALUE!</v>
      </c>
      <c r="E3044" s="12" t="e">
        <f>MID(MAIN!A3049,K3044+4,2)</f>
        <v>#VALUE!</v>
      </c>
      <c r="F3044" s="2" t="e">
        <f t="shared" si="189"/>
        <v>#VALUE!</v>
      </c>
      <c r="G3044" s="13" t="e">
        <f t="shared" si="190"/>
        <v>#VALUE!</v>
      </c>
      <c r="J3044" t="str">
        <f>MAIN!A3049&amp;"B"</f>
        <v>B</v>
      </c>
      <c r="K3044" s="12" t="e">
        <f t="shared" si="191"/>
        <v>#VALUE!</v>
      </c>
      <c r="L3044" t="str">
        <f>MAIN!C3049</f>
        <v/>
      </c>
    </row>
    <row r="3045" spans="1:12" x14ac:dyDescent="0.3">
      <c r="A3045">
        <f>IF(J3045="0",0,IF(COUNTIF($J$2:J3045,J3045)=1,1,0))</f>
        <v>0</v>
      </c>
      <c r="B3045" s="12" t="e">
        <f>MID(MAIN!A3050,K3045,2)</f>
        <v>#VALUE!</v>
      </c>
      <c r="C3045" s="12" t="e">
        <f t="shared" si="188"/>
        <v>#VALUE!</v>
      </c>
      <c r="D3045" s="12" t="e">
        <f>MID(MAIN!A3050,K3045+2,2)</f>
        <v>#VALUE!</v>
      </c>
      <c r="E3045" s="12" t="e">
        <f>MID(MAIN!A3050,K3045+4,2)</f>
        <v>#VALUE!</v>
      </c>
      <c r="F3045" s="2" t="e">
        <f t="shared" si="189"/>
        <v>#VALUE!</v>
      </c>
      <c r="G3045" s="13" t="e">
        <f t="shared" si="190"/>
        <v>#VALUE!</v>
      </c>
      <c r="J3045" t="str">
        <f>MAIN!A3050&amp;"B"</f>
        <v>B</v>
      </c>
      <c r="K3045" s="12" t="e">
        <f t="shared" si="191"/>
        <v>#VALUE!</v>
      </c>
      <c r="L3045" t="str">
        <f>MAIN!C3050</f>
        <v/>
      </c>
    </row>
    <row r="3046" spans="1:12" x14ac:dyDescent="0.3">
      <c r="A3046">
        <f>IF(J3046="0",0,IF(COUNTIF($J$2:J3046,J3046)=1,1,0))</f>
        <v>0</v>
      </c>
      <c r="B3046" s="12" t="e">
        <f>MID(MAIN!A3051,K3046,2)</f>
        <v>#VALUE!</v>
      </c>
      <c r="C3046" s="12" t="e">
        <f t="shared" si="188"/>
        <v>#VALUE!</v>
      </c>
      <c r="D3046" s="12" t="e">
        <f>MID(MAIN!A3051,K3046+2,2)</f>
        <v>#VALUE!</v>
      </c>
      <c r="E3046" s="12" t="e">
        <f>MID(MAIN!A3051,K3046+4,2)</f>
        <v>#VALUE!</v>
      </c>
      <c r="F3046" s="2" t="e">
        <f t="shared" si="189"/>
        <v>#VALUE!</v>
      </c>
      <c r="G3046" s="13" t="e">
        <f t="shared" si="190"/>
        <v>#VALUE!</v>
      </c>
      <c r="J3046" t="str">
        <f>MAIN!A3051&amp;"B"</f>
        <v>B</v>
      </c>
      <c r="K3046" s="12" t="e">
        <f t="shared" si="191"/>
        <v>#VALUE!</v>
      </c>
      <c r="L3046" t="str">
        <f>MAIN!C3051</f>
        <v/>
      </c>
    </row>
    <row r="3047" spans="1:12" x14ac:dyDescent="0.3">
      <c r="A3047">
        <f>IF(J3047="0",0,IF(COUNTIF($J$2:J3047,J3047)=1,1,0))</f>
        <v>0</v>
      </c>
      <c r="B3047" s="12" t="e">
        <f>MID(MAIN!A3052,K3047,2)</f>
        <v>#VALUE!</v>
      </c>
      <c r="C3047" s="12" t="e">
        <f t="shared" si="188"/>
        <v>#VALUE!</v>
      </c>
      <c r="D3047" s="12" t="e">
        <f>MID(MAIN!A3052,K3047+2,2)</f>
        <v>#VALUE!</v>
      </c>
      <c r="E3047" s="12" t="e">
        <f>MID(MAIN!A3052,K3047+4,2)</f>
        <v>#VALUE!</v>
      </c>
      <c r="F3047" s="2" t="e">
        <f t="shared" si="189"/>
        <v>#VALUE!</v>
      </c>
      <c r="G3047" s="13" t="e">
        <f t="shared" si="190"/>
        <v>#VALUE!</v>
      </c>
      <c r="J3047" t="str">
        <f>MAIN!A3052&amp;"B"</f>
        <v>B</v>
      </c>
      <c r="K3047" s="12" t="e">
        <f t="shared" si="191"/>
        <v>#VALUE!</v>
      </c>
      <c r="L3047" t="str">
        <f>MAIN!C3052</f>
        <v/>
      </c>
    </row>
    <row r="3048" spans="1:12" x14ac:dyDescent="0.3">
      <c r="A3048">
        <f>IF(J3048="0",0,IF(COUNTIF($J$2:J3048,J3048)=1,1,0))</f>
        <v>0</v>
      </c>
      <c r="B3048" s="12" t="e">
        <f>MID(MAIN!A3053,K3048,2)</f>
        <v>#VALUE!</v>
      </c>
      <c r="C3048" s="12" t="e">
        <f t="shared" si="188"/>
        <v>#VALUE!</v>
      </c>
      <c r="D3048" s="12" t="e">
        <f>MID(MAIN!A3053,K3048+2,2)</f>
        <v>#VALUE!</v>
      </c>
      <c r="E3048" s="12" t="e">
        <f>MID(MAIN!A3053,K3048+4,2)</f>
        <v>#VALUE!</v>
      </c>
      <c r="F3048" s="2" t="e">
        <f t="shared" si="189"/>
        <v>#VALUE!</v>
      </c>
      <c r="G3048" s="13" t="e">
        <f t="shared" si="190"/>
        <v>#VALUE!</v>
      </c>
      <c r="J3048" t="str">
        <f>MAIN!A3053&amp;"B"</f>
        <v>B</v>
      </c>
      <c r="K3048" s="12" t="e">
        <f t="shared" si="191"/>
        <v>#VALUE!</v>
      </c>
      <c r="L3048" t="str">
        <f>MAIN!C3053</f>
        <v/>
      </c>
    </row>
    <row r="3049" spans="1:12" x14ac:dyDescent="0.3">
      <c r="A3049">
        <f>IF(J3049="0",0,IF(COUNTIF($J$2:J3049,J3049)=1,1,0))</f>
        <v>0</v>
      </c>
      <c r="B3049" s="12" t="e">
        <f>MID(MAIN!A3054,K3049,2)</f>
        <v>#VALUE!</v>
      </c>
      <c r="C3049" s="12" t="e">
        <f t="shared" si="188"/>
        <v>#VALUE!</v>
      </c>
      <c r="D3049" s="12" t="e">
        <f>MID(MAIN!A3054,K3049+2,2)</f>
        <v>#VALUE!</v>
      </c>
      <c r="E3049" s="12" t="e">
        <f>MID(MAIN!A3054,K3049+4,2)</f>
        <v>#VALUE!</v>
      </c>
      <c r="F3049" s="2" t="e">
        <f t="shared" si="189"/>
        <v>#VALUE!</v>
      </c>
      <c r="G3049" s="13" t="e">
        <f t="shared" si="190"/>
        <v>#VALUE!</v>
      </c>
      <c r="J3049" t="str">
        <f>MAIN!A3054&amp;"B"</f>
        <v>B</v>
      </c>
      <c r="K3049" s="12" t="e">
        <f t="shared" si="191"/>
        <v>#VALUE!</v>
      </c>
      <c r="L3049" t="str">
        <f>MAIN!C3054</f>
        <v/>
      </c>
    </row>
    <row r="3050" spans="1:12" x14ac:dyDescent="0.3">
      <c r="A3050">
        <f>IF(J3050="0",0,IF(COUNTIF($J$2:J3050,J3050)=1,1,0))</f>
        <v>0</v>
      </c>
      <c r="B3050" s="12" t="e">
        <f>MID(MAIN!A3055,K3050,2)</f>
        <v>#VALUE!</v>
      </c>
      <c r="C3050" s="12" t="e">
        <f t="shared" si="188"/>
        <v>#VALUE!</v>
      </c>
      <c r="D3050" s="12" t="e">
        <f>MID(MAIN!A3055,K3050+2,2)</f>
        <v>#VALUE!</v>
      </c>
      <c r="E3050" s="12" t="e">
        <f>MID(MAIN!A3055,K3050+4,2)</f>
        <v>#VALUE!</v>
      </c>
      <c r="F3050" s="2" t="e">
        <f t="shared" si="189"/>
        <v>#VALUE!</v>
      </c>
      <c r="G3050" s="13" t="e">
        <f t="shared" si="190"/>
        <v>#VALUE!</v>
      </c>
      <c r="J3050" t="str">
        <f>MAIN!A3055&amp;"B"</f>
        <v>B</v>
      </c>
      <c r="K3050" s="12" t="e">
        <f t="shared" si="191"/>
        <v>#VALUE!</v>
      </c>
      <c r="L3050" t="str">
        <f>MAIN!C3055</f>
        <v/>
      </c>
    </row>
    <row r="3051" spans="1:12" x14ac:dyDescent="0.3">
      <c r="A3051">
        <f>IF(J3051="0",0,IF(COUNTIF($J$2:J3051,J3051)=1,1,0))</f>
        <v>0</v>
      </c>
      <c r="B3051" s="12" t="e">
        <f>MID(MAIN!A3056,K3051,2)</f>
        <v>#VALUE!</v>
      </c>
      <c r="C3051" s="12" t="e">
        <f t="shared" si="188"/>
        <v>#VALUE!</v>
      </c>
      <c r="D3051" s="12" t="e">
        <f>MID(MAIN!A3056,K3051+2,2)</f>
        <v>#VALUE!</v>
      </c>
      <c r="E3051" s="12" t="e">
        <f>MID(MAIN!A3056,K3051+4,2)</f>
        <v>#VALUE!</v>
      </c>
      <c r="F3051" s="2" t="e">
        <f t="shared" si="189"/>
        <v>#VALUE!</v>
      </c>
      <c r="G3051" s="13" t="e">
        <f t="shared" si="190"/>
        <v>#VALUE!</v>
      </c>
      <c r="J3051" t="str">
        <f>MAIN!A3056&amp;"B"</f>
        <v>B</v>
      </c>
      <c r="K3051" s="12" t="e">
        <f t="shared" si="191"/>
        <v>#VALUE!</v>
      </c>
      <c r="L3051" t="str">
        <f>MAIN!C3056</f>
        <v/>
      </c>
    </row>
    <row r="3052" spans="1:12" x14ac:dyDescent="0.3">
      <c r="A3052">
        <f>IF(J3052="0",0,IF(COUNTIF($J$2:J3052,J3052)=1,1,0))</f>
        <v>0</v>
      </c>
      <c r="B3052" s="12" t="e">
        <f>MID(MAIN!A3057,K3052,2)</f>
        <v>#VALUE!</v>
      </c>
      <c r="C3052" s="12" t="e">
        <f t="shared" si="188"/>
        <v>#VALUE!</v>
      </c>
      <c r="D3052" s="12" t="e">
        <f>MID(MAIN!A3057,K3052+2,2)</f>
        <v>#VALUE!</v>
      </c>
      <c r="E3052" s="12" t="e">
        <f>MID(MAIN!A3057,K3052+4,2)</f>
        <v>#VALUE!</v>
      </c>
      <c r="F3052" s="2" t="e">
        <f t="shared" si="189"/>
        <v>#VALUE!</v>
      </c>
      <c r="G3052" s="13" t="e">
        <f t="shared" si="190"/>
        <v>#VALUE!</v>
      </c>
      <c r="J3052" t="str">
        <f>MAIN!A3057&amp;"B"</f>
        <v>B</v>
      </c>
      <c r="K3052" s="12" t="e">
        <f t="shared" si="191"/>
        <v>#VALUE!</v>
      </c>
      <c r="L3052" t="str">
        <f>MAIN!C3057</f>
        <v/>
      </c>
    </row>
    <row r="3053" spans="1:12" x14ac:dyDescent="0.3">
      <c r="A3053">
        <f>IF(J3053="0",0,IF(COUNTIF($J$2:J3053,J3053)=1,1,0))</f>
        <v>0</v>
      </c>
      <c r="B3053" s="12" t="e">
        <f>MID(MAIN!A3058,K3053,2)</f>
        <v>#VALUE!</v>
      </c>
      <c r="C3053" s="12" t="e">
        <f t="shared" si="188"/>
        <v>#VALUE!</v>
      </c>
      <c r="D3053" s="12" t="e">
        <f>MID(MAIN!A3058,K3053+2,2)</f>
        <v>#VALUE!</v>
      </c>
      <c r="E3053" s="12" t="e">
        <f>MID(MAIN!A3058,K3053+4,2)</f>
        <v>#VALUE!</v>
      </c>
      <c r="F3053" s="2" t="e">
        <f t="shared" si="189"/>
        <v>#VALUE!</v>
      </c>
      <c r="G3053" s="13" t="e">
        <f t="shared" si="190"/>
        <v>#VALUE!</v>
      </c>
      <c r="J3053" t="str">
        <f>MAIN!A3058&amp;"B"</f>
        <v>B</v>
      </c>
      <c r="K3053" s="12" t="e">
        <f t="shared" si="191"/>
        <v>#VALUE!</v>
      </c>
      <c r="L3053" t="str">
        <f>MAIN!C3058</f>
        <v/>
      </c>
    </row>
    <row r="3054" spans="1:12" x14ac:dyDescent="0.3">
      <c r="A3054">
        <f>IF(J3054="0",0,IF(COUNTIF($J$2:J3054,J3054)=1,1,0))</f>
        <v>0</v>
      </c>
      <c r="B3054" s="12" t="e">
        <f>MID(MAIN!A3059,K3054,2)</f>
        <v>#VALUE!</v>
      </c>
      <c r="C3054" s="12" t="e">
        <f t="shared" si="188"/>
        <v>#VALUE!</v>
      </c>
      <c r="D3054" s="12" t="e">
        <f>MID(MAIN!A3059,K3054+2,2)</f>
        <v>#VALUE!</v>
      </c>
      <c r="E3054" s="12" t="e">
        <f>MID(MAIN!A3059,K3054+4,2)</f>
        <v>#VALUE!</v>
      </c>
      <c r="F3054" s="2" t="e">
        <f t="shared" si="189"/>
        <v>#VALUE!</v>
      </c>
      <c r="G3054" s="13" t="e">
        <f t="shared" si="190"/>
        <v>#VALUE!</v>
      </c>
      <c r="J3054" t="str">
        <f>MAIN!A3059&amp;"B"</f>
        <v>B</v>
      </c>
      <c r="K3054" s="12" t="e">
        <f t="shared" si="191"/>
        <v>#VALUE!</v>
      </c>
      <c r="L3054" t="str">
        <f>MAIN!C3059</f>
        <v/>
      </c>
    </row>
    <row r="3055" spans="1:12" x14ac:dyDescent="0.3">
      <c r="A3055">
        <f>IF(J3055="0",0,IF(COUNTIF($J$2:J3055,J3055)=1,1,0))</f>
        <v>0</v>
      </c>
      <c r="B3055" s="12" t="e">
        <f>MID(MAIN!A3060,K3055,2)</f>
        <v>#VALUE!</v>
      </c>
      <c r="C3055" s="12" t="e">
        <f t="shared" si="188"/>
        <v>#VALUE!</v>
      </c>
      <c r="D3055" s="12" t="e">
        <f>MID(MAIN!A3060,K3055+2,2)</f>
        <v>#VALUE!</v>
      </c>
      <c r="E3055" s="12" t="e">
        <f>MID(MAIN!A3060,K3055+4,2)</f>
        <v>#VALUE!</v>
      </c>
      <c r="F3055" s="2" t="e">
        <f t="shared" si="189"/>
        <v>#VALUE!</v>
      </c>
      <c r="G3055" s="13" t="e">
        <f t="shared" si="190"/>
        <v>#VALUE!</v>
      </c>
      <c r="J3055" t="str">
        <f>MAIN!A3060&amp;"B"</f>
        <v>B</v>
      </c>
      <c r="K3055" s="12" t="e">
        <f t="shared" si="191"/>
        <v>#VALUE!</v>
      </c>
      <c r="L3055" t="str">
        <f>MAIN!C3060</f>
        <v/>
      </c>
    </row>
    <row r="3056" spans="1:12" x14ac:dyDescent="0.3">
      <c r="A3056">
        <f>IF(J3056="0",0,IF(COUNTIF($J$2:J3056,J3056)=1,1,0))</f>
        <v>0</v>
      </c>
      <c r="B3056" s="12" t="e">
        <f>MID(MAIN!A3061,K3056,2)</f>
        <v>#VALUE!</v>
      </c>
      <c r="C3056" s="12" t="e">
        <f t="shared" si="188"/>
        <v>#VALUE!</v>
      </c>
      <c r="D3056" s="12" t="e">
        <f>MID(MAIN!A3061,K3056+2,2)</f>
        <v>#VALUE!</v>
      </c>
      <c r="E3056" s="12" t="e">
        <f>MID(MAIN!A3061,K3056+4,2)</f>
        <v>#VALUE!</v>
      </c>
      <c r="F3056" s="2" t="e">
        <f t="shared" si="189"/>
        <v>#VALUE!</v>
      </c>
      <c r="G3056" s="13" t="e">
        <f t="shared" si="190"/>
        <v>#VALUE!</v>
      </c>
      <c r="J3056" t="str">
        <f>MAIN!A3061&amp;"B"</f>
        <v>B</v>
      </c>
      <c r="K3056" s="12" t="e">
        <f t="shared" si="191"/>
        <v>#VALUE!</v>
      </c>
      <c r="L3056" t="str">
        <f>MAIN!C3061</f>
        <v/>
      </c>
    </row>
    <row r="3057" spans="1:12" x14ac:dyDescent="0.3">
      <c r="A3057">
        <f>IF(J3057="0",0,IF(COUNTIF($J$2:J3057,J3057)=1,1,0))</f>
        <v>0</v>
      </c>
      <c r="B3057" s="12" t="e">
        <f>MID(MAIN!A3062,K3057,2)</f>
        <v>#VALUE!</v>
      </c>
      <c r="C3057" s="12" t="e">
        <f t="shared" si="188"/>
        <v>#VALUE!</v>
      </c>
      <c r="D3057" s="12" t="e">
        <f>MID(MAIN!A3062,K3057+2,2)</f>
        <v>#VALUE!</v>
      </c>
      <c r="E3057" s="12" t="e">
        <f>MID(MAIN!A3062,K3057+4,2)</f>
        <v>#VALUE!</v>
      </c>
      <c r="F3057" s="2" t="e">
        <f t="shared" si="189"/>
        <v>#VALUE!</v>
      </c>
      <c r="G3057" s="13" t="e">
        <f t="shared" si="190"/>
        <v>#VALUE!</v>
      </c>
      <c r="J3057" t="str">
        <f>MAIN!A3062&amp;"B"</f>
        <v>B</v>
      </c>
      <c r="K3057" s="12" t="e">
        <f t="shared" si="191"/>
        <v>#VALUE!</v>
      </c>
      <c r="L3057" t="str">
        <f>MAIN!C3062</f>
        <v/>
      </c>
    </row>
    <row r="3058" spans="1:12" x14ac:dyDescent="0.3">
      <c r="A3058">
        <f>IF(J3058="0",0,IF(COUNTIF($J$2:J3058,J3058)=1,1,0))</f>
        <v>0</v>
      </c>
      <c r="B3058" s="12" t="e">
        <f>MID(MAIN!A3063,K3058,2)</f>
        <v>#VALUE!</v>
      </c>
      <c r="C3058" s="12" t="e">
        <f t="shared" si="188"/>
        <v>#VALUE!</v>
      </c>
      <c r="D3058" s="12" t="e">
        <f>MID(MAIN!A3063,K3058+2,2)</f>
        <v>#VALUE!</v>
      </c>
      <c r="E3058" s="12" t="e">
        <f>MID(MAIN!A3063,K3058+4,2)</f>
        <v>#VALUE!</v>
      </c>
      <c r="F3058" s="2" t="e">
        <f t="shared" si="189"/>
        <v>#VALUE!</v>
      </c>
      <c r="G3058" s="13" t="e">
        <f t="shared" si="190"/>
        <v>#VALUE!</v>
      </c>
      <c r="J3058" t="str">
        <f>MAIN!A3063&amp;"B"</f>
        <v>B</v>
      </c>
      <c r="K3058" s="12" t="e">
        <f t="shared" si="191"/>
        <v>#VALUE!</v>
      </c>
      <c r="L3058" t="str">
        <f>MAIN!C3063</f>
        <v/>
      </c>
    </row>
    <row r="3059" spans="1:12" x14ac:dyDescent="0.3">
      <c r="A3059">
        <f>IF(J3059="0",0,IF(COUNTIF($J$2:J3059,J3059)=1,1,0))</f>
        <v>0</v>
      </c>
      <c r="B3059" s="12" t="e">
        <f>MID(MAIN!A3064,K3059,2)</f>
        <v>#VALUE!</v>
      </c>
      <c r="C3059" s="12" t="e">
        <f t="shared" si="188"/>
        <v>#VALUE!</v>
      </c>
      <c r="D3059" s="12" t="e">
        <f>MID(MAIN!A3064,K3059+2,2)</f>
        <v>#VALUE!</v>
      </c>
      <c r="E3059" s="12" t="e">
        <f>MID(MAIN!A3064,K3059+4,2)</f>
        <v>#VALUE!</v>
      </c>
      <c r="F3059" s="2" t="e">
        <f t="shared" si="189"/>
        <v>#VALUE!</v>
      </c>
      <c r="G3059" s="13" t="e">
        <f t="shared" si="190"/>
        <v>#VALUE!</v>
      </c>
      <c r="J3059" t="str">
        <f>MAIN!A3064&amp;"B"</f>
        <v>B</v>
      </c>
      <c r="K3059" s="12" t="e">
        <f t="shared" si="191"/>
        <v>#VALUE!</v>
      </c>
      <c r="L3059" t="str">
        <f>MAIN!C3064</f>
        <v/>
      </c>
    </row>
    <row r="3060" spans="1:12" x14ac:dyDescent="0.3">
      <c r="A3060">
        <f>IF(J3060="0",0,IF(COUNTIF($J$2:J3060,J3060)=1,1,0))</f>
        <v>0</v>
      </c>
      <c r="B3060" s="12" t="e">
        <f>MID(MAIN!A3065,K3060,2)</f>
        <v>#VALUE!</v>
      </c>
      <c r="C3060" s="12" t="e">
        <f t="shared" si="188"/>
        <v>#VALUE!</v>
      </c>
      <c r="D3060" s="12" t="e">
        <f>MID(MAIN!A3065,K3060+2,2)</f>
        <v>#VALUE!</v>
      </c>
      <c r="E3060" s="12" t="e">
        <f>MID(MAIN!A3065,K3060+4,2)</f>
        <v>#VALUE!</v>
      </c>
      <c r="F3060" s="2" t="e">
        <f t="shared" si="189"/>
        <v>#VALUE!</v>
      </c>
      <c r="G3060" s="13" t="e">
        <f t="shared" si="190"/>
        <v>#VALUE!</v>
      </c>
      <c r="J3060" t="str">
        <f>MAIN!A3065&amp;"B"</f>
        <v>B</v>
      </c>
      <c r="K3060" s="12" t="e">
        <f t="shared" si="191"/>
        <v>#VALUE!</v>
      </c>
      <c r="L3060" t="str">
        <f>MAIN!C3065</f>
        <v/>
      </c>
    </row>
    <row r="3061" spans="1:12" x14ac:dyDescent="0.3">
      <c r="A3061">
        <f>IF(J3061="0",0,IF(COUNTIF($J$2:J3061,J3061)=1,1,0))</f>
        <v>0</v>
      </c>
      <c r="B3061" s="12" t="e">
        <f>MID(MAIN!A3066,K3061,2)</f>
        <v>#VALUE!</v>
      </c>
      <c r="C3061" s="12" t="e">
        <f t="shared" si="188"/>
        <v>#VALUE!</v>
      </c>
      <c r="D3061" s="12" t="e">
        <f>MID(MAIN!A3066,K3061+2,2)</f>
        <v>#VALUE!</v>
      </c>
      <c r="E3061" s="12" t="e">
        <f>MID(MAIN!A3066,K3061+4,2)</f>
        <v>#VALUE!</v>
      </c>
      <c r="F3061" s="2" t="e">
        <f t="shared" si="189"/>
        <v>#VALUE!</v>
      </c>
      <c r="G3061" s="13" t="e">
        <f t="shared" si="190"/>
        <v>#VALUE!</v>
      </c>
      <c r="J3061" t="str">
        <f>MAIN!A3066&amp;"B"</f>
        <v>B</v>
      </c>
      <c r="K3061" s="12" t="e">
        <f t="shared" si="191"/>
        <v>#VALUE!</v>
      </c>
      <c r="L3061" t="str">
        <f>MAIN!C3066</f>
        <v/>
      </c>
    </row>
    <row r="3062" spans="1:12" x14ac:dyDescent="0.3">
      <c r="A3062">
        <f>IF(J3062="0",0,IF(COUNTIF($J$2:J3062,J3062)=1,1,0))</f>
        <v>0</v>
      </c>
      <c r="B3062" s="12" t="e">
        <f>MID(MAIN!A3067,K3062,2)</f>
        <v>#VALUE!</v>
      </c>
      <c r="C3062" s="12" t="e">
        <f t="shared" si="188"/>
        <v>#VALUE!</v>
      </c>
      <c r="D3062" s="12" t="e">
        <f>MID(MAIN!A3067,K3062+2,2)</f>
        <v>#VALUE!</v>
      </c>
      <c r="E3062" s="12" t="e">
        <f>MID(MAIN!A3067,K3062+4,2)</f>
        <v>#VALUE!</v>
      </c>
      <c r="F3062" s="2" t="e">
        <f t="shared" si="189"/>
        <v>#VALUE!</v>
      </c>
      <c r="G3062" s="13" t="e">
        <f t="shared" si="190"/>
        <v>#VALUE!</v>
      </c>
      <c r="J3062" t="str">
        <f>MAIN!A3067&amp;"B"</f>
        <v>B</v>
      </c>
      <c r="K3062" s="12" t="e">
        <f t="shared" si="191"/>
        <v>#VALUE!</v>
      </c>
      <c r="L3062" t="str">
        <f>MAIN!C3067</f>
        <v/>
      </c>
    </row>
    <row r="3063" spans="1:12" x14ac:dyDescent="0.3">
      <c r="A3063">
        <f>IF(J3063="0",0,IF(COUNTIF($J$2:J3063,J3063)=1,1,0))</f>
        <v>0</v>
      </c>
      <c r="B3063" s="12" t="e">
        <f>MID(MAIN!A3068,K3063,2)</f>
        <v>#VALUE!</v>
      </c>
      <c r="C3063" s="12" t="e">
        <f t="shared" si="188"/>
        <v>#VALUE!</v>
      </c>
      <c r="D3063" s="12" t="e">
        <f>MID(MAIN!A3068,K3063+2,2)</f>
        <v>#VALUE!</v>
      </c>
      <c r="E3063" s="12" t="e">
        <f>MID(MAIN!A3068,K3063+4,2)</f>
        <v>#VALUE!</v>
      </c>
      <c r="F3063" s="2" t="e">
        <f t="shared" si="189"/>
        <v>#VALUE!</v>
      </c>
      <c r="G3063" s="13" t="e">
        <f t="shared" si="190"/>
        <v>#VALUE!</v>
      </c>
      <c r="J3063" t="str">
        <f>MAIN!A3068&amp;"B"</f>
        <v>B</v>
      </c>
      <c r="K3063" s="12" t="e">
        <f t="shared" si="191"/>
        <v>#VALUE!</v>
      </c>
      <c r="L3063" t="str">
        <f>MAIN!C3068</f>
        <v/>
      </c>
    </row>
    <row r="3064" spans="1:12" x14ac:dyDescent="0.3">
      <c r="A3064">
        <f>IF(J3064="0",0,IF(COUNTIF($J$2:J3064,J3064)=1,1,0))</f>
        <v>0</v>
      </c>
      <c r="B3064" s="12" t="e">
        <f>MID(MAIN!A3069,K3064,2)</f>
        <v>#VALUE!</v>
      </c>
      <c r="C3064" s="12" t="e">
        <f t="shared" si="188"/>
        <v>#VALUE!</v>
      </c>
      <c r="D3064" s="12" t="e">
        <f>MID(MAIN!A3069,K3064+2,2)</f>
        <v>#VALUE!</v>
      </c>
      <c r="E3064" s="12" t="e">
        <f>MID(MAIN!A3069,K3064+4,2)</f>
        <v>#VALUE!</v>
      </c>
      <c r="F3064" s="2" t="e">
        <f t="shared" si="189"/>
        <v>#VALUE!</v>
      </c>
      <c r="G3064" s="13" t="e">
        <f t="shared" si="190"/>
        <v>#VALUE!</v>
      </c>
      <c r="J3064" t="str">
        <f>MAIN!A3069&amp;"B"</f>
        <v>B</v>
      </c>
      <c r="K3064" s="12" t="e">
        <f t="shared" si="191"/>
        <v>#VALUE!</v>
      </c>
      <c r="L3064" t="str">
        <f>MAIN!C3069</f>
        <v/>
      </c>
    </row>
    <row r="3065" spans="1:12" x14ac:dyDescent="0.3">
      <c r="A3065">
        <f>IF(J3065="0",0,IF(COUNTIF($J$2:J3065,J3065)=1,1,0))</f>
        <v>0</v>
      </c>
      <c r="B3065" s="12" t="e">
        <f>MID(MAIN!A3070,K3065,2)</f>
        <v>#VALUE!</v>
      </c>
      <c r="C3065" s="12" t="e">
        <f t="shared" si="188"/>
        <v>#VALUE!</v>
      </c>
      <c r="D3065" s="12" t="e">
        <f>MID(MAIN!A3070,K3065+2,2)</f>
        <v>#VALUE!</v>
      </c>
      <c r="E3065" s="12" t="e">
        <f>MID(MAIN!A3070,K3065+4,2)</f>
        <v>#VALUE!</v>
      </c>
      <c r="F3065" s="2" t="e">
        <f t="shared" si="189"/>
        <v>#VALUE!</v>
      </c>
      <c r="G3065" s="13" t="e">
        <f t="shared" si="190"/>
        <v>#VALUE!</v>
      </c>
      <c r="J3065" t="str">
        <f>MAIN!A3070&amp;"B"</f>
        <v>B</v>
      </c>
      <c r="K3065" s="12" t="e">
        <f t="shared" si="191"/>
        <v>#VALUE!</v>
      </c>
      <c r="L3065" t="str">
        <f>MAIN!C3070</f>
        <v/>
      </c>
    </row>
    <row r="3066" spans="1:12" x14ac:dyDescent="0.3">
      <c r="A3066">
        <f>IF(J3066="0",0,IF(COUNTIF($J$2:J3066,J3066)=1,1,0))</f>
        <v>0</v>
      </c>
      <c r="B3066" s="12" t="e">
        <f>MID(MAIN!A3071,K3066,2)</f>
        <v>#VALUE!</v>
      </c>
      <c r="C3066" s="12" t="e">
        <f t="shared" si="188"/>
        <v>#VALUE!</v>
      </c>
      <c r="D3066" s="12" t="e">
        <f>MID(MAIN!A3071,K3066+2,2)</f>
        <v>#VALUE!</v>
      </c>
      <c r="E3066" s="12" t="e">
        <f>MID(MAIN!A3071,K3066+4,2)</f>
        <v>#VALUE!</v>
      </c>
      <c r="F3066" s="2" t="e">
        <f t="shared" si="189"/>
        <v>#VALUE!</v>
      </c>
      <c r="G3066" s="13" t="e">
        <f t="shared" si="190"/>
        <v>#VALUE!</v>
      </c>
      <c r="J3066" t="str">
        <f>MAIN!A3071&amp;"B"</f>
        <v>B</v>
      </c>
      <c r="K3066" s="12" t="e">
        <f t="shared" si="191"/>
        <v>#VALUE!</v>
      </c>
      <c r="L3066" t="str">
        <f>MAIN!C3071</f>
        <v/>
      </c>
    </row>
    <row r="3067" spans="1:12" x14ac:dyDescent="0.3">
      <c r="A3067">
        <f>IF(J3067="0",0,IF(COUNTIF($J$2:J3067,J3067)=1,1,0))</f>
        <v>0</v>
      </c>
      <c r="B3067" s="12" t="e">
        <f>MID(MAIN!A3072,K3067,2)</f>
        <v>#VALUE!</v>
      </c>
      <c r="C3067" s="12" t="e">
        <f t="shared" si="188"/>
        <v>#VALUE!</v>
      </c>
      <c r="D3067" s="12" t="e">
        <f>MID(MAIN!A3072,K3067+2,2)</f>
        <v>#VALUE!</v>
      </c>
      <c r="E3067" s="12" t="e">
        <f>MID(MAIN!A3072,K3067+4,2)</f>
        <v>#VALUE!</v>
      </c>
      <c r="F3067" s="2" t="e">
        <f t="shared" si="189"/>
        <v>#VALUE!</v>
      </c>
      <c r="G3067" s="13" t="e">
        <f t="shared" si="190"/>
        <v>#VALUE!</v>
      </c>
      <c r="J3067" t="str">
        <f>MAIN!A3072&amp;"B"</f>
        <v>B</v>
      </c>
      <c r="K3067" s="12" t="e">
        <f t="shared" si="191"/>
        <v>#VALUE!</v>
      </c>
      <c r="L3067" t="str">
        <f>MAIN!C3072</f>
        <v/>
      </c>
    </row>
    <row r="3068" spans="1:12" x14ac:dyDescent="0.3">
      <c r="A3068">
        <f>IF(J3068="0",0,IF(COUNTIF($J$2:J3068,J3068)=1,1,0))</f>
        <v>0</v>
      </c>
      <c r="B3068" s="12" t="e">
        <f>MID(MAIN!A3073,K3068,2)</f>
        <v>#VALUE!</v>
      </c>
      <c r="C3068" s="12" t="e">
        <f t="shared" si="188"/>
        <v>#VALUE!</v>
      </c>
      <c r="D3068" s="12" t="e">
        <f>MID(MAIN!A3073,K3068+2,2)</f>
        <v>#VALUE!</v>
      </c>
      <c r="E3068" s="12" t="e">
        <f>MID(MAIN!A3073,K3068+4,2)</f>
        <v>#VALUE!</v>
      </c>
      <c r="F3068" s="2" t="e">
        <f t="shared" si="189"/>
        <v>#VALUE!</v>
      </c>
      <c r="G3068" s="13" t="e">
        <f t="shared" si="190"/>
        <v>#VALUE!</v>
      </c>
      <c r="J3068" t="str">
        <f>MAIN!A3073&amp;"B"</f>
        <v>B</v>
      </c>
      <c r="K3068" s="12" t="e">
        <f t="shared" si="191"/>
        <v>#VALUE!</v>
      </c>
      <c r="L3068" t="str">
        <f>MAIN!C3073</f>
        <v/>
      </c>
    </row>
    <row r="3069" spans="1:12" x14ac:dyDescent="0.3">
      <c r="A3069">
        <f>IF(J3069="0",0,IF(COUNTIF($J$2:J3069,J3069)=1,1,0))</f>
        <v>0</v>
      </c>
      <c r="B3069" s="12" t="e">
        <f>MID(MAIN!A3074,K3069,2)</f>
        <v>#VALUE!</v>
      </c>
      <c r="C3069" s="12" t="e">
        <f t="shared" si="188"/>
        <v>#VALUE!</v>
      </c>
      <c r="D3069" s="12" t="e">
        <f>MID(MAIN!A3074,K3069+2,2)</f>
        <v>#VALUE!</v>
      </c>
      <c r="E3069" s="12" t="e">
        <f>MID(MAIN!A3074,K3069+4,2)</f>
        <v>#VALUE!</v>
      </c>
      <c r="F3069" s="2" t="e">
        <f t="shared" si="189"/>
        <v>#VALUE!</v>
      </c>
      <c r="G3069" s="13" t="e">
        <f t="shared" si="190"/>
        <v>#VALUE!</v>
      </c>
      <c r="J3069" t="str">
        <f>MAIN!A3074&amp;"B"</f>
        <v>B</v>
      </c>
      <c r="K3069" s="12" t="e">
        <f t="shared" si="191"/>
        <v>#VALUE!</v>
      </c>
      <c r="L3069" t="str">
        <f>MAIN!C3074</f>
        <v/>
      </c>
    </row>
    <row r="3070" spans="1:12" x14ac:dyDescent="0.3">
      <c r="A3070">
        <f>IF(J3070="0",0,IF(COUNTIF($J$2:J3070,J3070)=1,1,0))</f>
        <v>0</v>
      </c>
      <c r="B3070" s="12" t="e">
        <f>MID(MAIN!A3075,K3070,2)</f>
        <v>#VALUE!</v>
      </c>
      <c r="C3070" s="12" t="e">
        <f t="shared" si="188"/>
        <v>#VALUE!</v>
      </c>
      <c r="D3070" s="12" t="e">
        <f>MID(MAIN!A3075,K3070+2,2)</f>
        <v>#VALUE!</v>
      </c>
      <c r="E3070" s="12" t="e">
        <f>MID(MAIN!A3075,K3070+4,2)</f>
        <v>#VALUE!</v>
      </c>
      <c r="F3070" s="2" t="e">
        <f t="shared" si="189"/>
        <v>#VALUE!</v>
      </c>
      <c r="G3070" s="13" t="e">
        <f t="shared" si="190"/>
        <v>#VALUE!</v>
      </c>
      <c r="J3070" t="str">
        <f>MAIN!A3075&amp;"B"</f>
        <v>B</v>
      </c>
      <c r="K3070" s="12" t="e">
        <f t="shared" si="191"/>
        <v>#VALUE!</v>
      </c>
      <c r="L3070" t="str">
        <f>MAIN!C3075</f>
        <v/>
      </c>
    </row>
    <row r="3071" spans="1:12" x14ac:dyDescent="0.3">
      <c r="A3071">
        <f>IF(J3071="0",0,IF(COUNTIF($J$2:J3071,J3071)=1,1,0))</f>
        <v>0</v>
      </c>
      <c r="B3071" s="12" t="e">
        <f>MID(MAIN!A3076,K3071,2)</f>
        <v>#VALUE!</v>
      </c>
      <c r="C3071" s="12" t="e">
        <f t="shared" si="188"/>
        <v>#VALUE!</v>
      </c>
      <c r="D3071" s="12" t="e">
        <f>MID(MAIN!A3076,K3071+2,2)</f>
        <v>#VALUE!</v>
      </c>
      <c r="E3071" s="12" t="e">
        <f>MID(MAIN!A3076,K3071+4,2)</f>
        <v>#VALUE!</v>
      </c>
      <c r="F3071" s="2" t="e">
        <f t="shared" si="189"/>
        <v>#VALUE!</v>
      </c>
      <c r="G3071" s="13" t="e">
        <f t="shared" si="190"/>
        <v>#VALUE!</v>
      </c>
      <c r="J3071" t="str">
        <f>MAIN!A3076&amp;"B"</f>
        <v>B</v>
      </c>
      <c r="K3071" s="12" t="e">
        <f t="shared" si="191"/>
        <v>#VALUE!</v>
      </c>
      <c r="L3071" t="str">
        <f>MAIN!C3076</f>
        <v/>
      </c>
    </row>
    <row r="3072" spans="1:12" x14ac:dyDescent="0.3">
      <c r="A3072">
        <f>IF(J3072="0",0,IF(COUNTIF($J$2:J3072,J3072)=1,1,0))</f>
        <v>0</v>
      </c>
      <c r="B3072" s="12" t="e">
        <f>MID(MAIN!A3077,K3072,2)</f>
        <v>#VALUE!</v>
      </c>
      <c r="C3072" s="12" t="e">
        <f t="shared" si="188"/>
        <v>#VALUE!</v>
      </c>
      <c r="D3072" s="12" t="e">
        <f>MID(MAIN!A3077,K3072+2,2)</f>
        <v>#VALUE!</v>
      </c>
      <c r="E3072" s="12" t="e">
        <f>MID(MAIN!A3077,K3072+4,2)</f>
        <v>#VALUE!</v>
      </c>
      <c r="F3072" s="2" t="e">
        <f t="shared" si="189"/>
        <v>#VALUE!</v>
      </c>
      <c r="G3072" s="13" t="e">
        <f t="shared" si="190"/>
        <v>#VALUE!</v>
      </c>
      <c r="J3072" t="str">
        <f>MAIN!A3077&amp;"B"</f>
        <v>B</v>
      </c>
      <c r="K3072" s="12" t="e">
        <f t="shared" si="191"/>
        <v>#VALUE!</v>
      </c>
      <c r="L3072" t="str">
        <f>MAIN!C3077</f>
        <v/>
      </c>
    </row>
    <row r="3073" spans="1:12" x14ac:dyDescent="0.3">
      <c r="A3073">
        <f>IF(J3073="0",0,IF(COUNTIF($J$2:J3073,J3073)=1,1,0))</f>
        <v>0</v>
      </c>
      <c r="B3073" s="12" t="e">
        <f>MID(MAIN!A3078,K3073,2)</f>
        <v>#VALUE!</v>
      </c>
      <c r="C3073" s="12" t="e">
        <f t="shared" si="188"/>
        <v>#VALUE!</v>
      </c>
      <c r="D3073" s="12" t="e">
        <f>MID(MAIN!A3078,K3073+2,2)</f>
        <v>#VALUE!</v>
      </c>
      <c r="E3073" s="12" t="e">
        <f>MID(MAIN!A3078,K3073+4,2)</f>
        <v>#VALUE!</v>
      </c>
      <c r="F3073" s="2" t="e">
        <f t="shared" si="189"/>
        <v>#VALUE!</v>
      </c>
      <c r="G3073" s="13" t="e">
        <f t="shared" si="190"/>
        <v>#VALUE!</v>
      </c>
      <c r="J3073" t="str">
        <f>MAIN!A3078&amp;"B"</f>
        <v>B</v>
      </c>
      <c r="K3073" s="12" t="e">
        <f t="shared" si="191"/>
        <v>#VALUE!</v>
      </c>
      <c r="L3073" t="str">
        <f>MAIN!C3078</f>
        <v/>
      </c>
    </row>
    <row r="3074" spans="1:12" x14ac:dyDescent="0.3">
      <c r="A3074">
        <f>IF(J3074="0",0,IF(COUNTIF($J$2:J3074,J3074)=1,1,0))</f>
        <v>0</v>
      </c>
      <c r="B3074" s="12" t="e">
        <f>MID(MAIN!A3079,K3074,2)</f>
        <v>#VALUE!</v>
      </c>
      <c r="C3074" s="12" t="e">
        <f t="shared" si="188"/>
        <v>#VALUE!</v>
      </c>
      <c r="D3074" s="12" t="e">
        <f>MID(MAIN!A3079,K3074+2,2)</f>
        <v>#VALUE!</v>
      </c>
      <c r="E3074" s="12" t="e">
        <f>MID(MAIN!A3079,K3074+4,2)</f>
        <v>#VALUE!</v>
      </c>
      <c r="F3074" s="2" t="e">
        <f t="shared" si="189"/>
        <v>#VALUE!</v>
      </c>
      <c r="G3074" s="13" t="e">
        <f t="shared" si="190"/>
        <v>#VALUE!</v>
      </c>
      <c r="J3074" t="str">
        <f>MAIN!A3079&amp;"B"</f>
        <v>B</v>
      </c>
      <c r="K3074" s="12" t="e">
        <f t="shared" si="191"/>
        <v>#VALUE!</v>
      </c>
      <c r="L3074" t="str">
        <f>MAIN!C3079</f>
        <v/>
      </c>
    </row>
    <row r="3075" spans="1:12" x14ac:dyDescent="0.3">
      <c r="A3075">
        <f>IF(J3075="0",0,IF(COUNTIF($J$2:J3075,J3075)=1,1,0))</f>
        <v>0</v>
      </c>
      <c r="B3075" s="12" t="e">
        <f>MID(MAIN!A3080,K3075,2)</f>
        <v>#VALUE!</v>
      </c>
      <c r="C3075" s="12" t="e">
        <f t="shared" ref="C3075:C3138" si="192">"20"&amp;B3075</f>
        <v>#VALUE!</v>
      </c>
      <c r="D3075" s="12" t="e">
        <f>MID(MAIN!A3080,K3075+2,2)</f>
        <v>#VALUE!</v>
      </c>
      <c r="E3075" s="12" t="e">
        <f>MID(MAIN!A3080,K3075+4,2)</f>
        <v>#VALUE!</v>
      </c>
      <c r="F3075" s="2" t="e">
        <f t="shared" ref="F3075:F3138" si="193">C3075&amp;"/"&amp;D3075&amp;"/"&amp;E3075</f>
        <v>#VALUE!</v>
      </c>
      <c r="G3075" s="13" t="e">
        <f t="shared" ref="G3075:G3138" si="194">DATEVALUE(F3075)</f>
        <v>#VALUE!</v>
      </c>
      <c r="J3075" t="str">
        <f>MAIN!A3080&amp;"B"</f>
        <v>B</v>
      </c>
      <c r="K3075" s="12" t="e">
        <f t="shared" ref="K3075:K3138" si="195">FIND("172",J3075,30)+2</f>
        <v>#VALUE!</v>
      </c>
      <c r="L3075" t="str">
        <f>MAIN!C3080</f>
        <v/>
      </c>
    </row>
    <row r="3076" spans="1:12" x14ac:dyDescent="0.3">
      <c r="A3076">
        <f>IF(J3076="0",0,IF(COUNTIF($J$2:J3076,J3076)=1,1,0))</f>
        <v>0</v>
      </c>
      <c r="B3076" s="12" t="e">
        <f>MID(MAIN!A3081,K3076,2)</f>
        <v>#VALUE!</v>
      </c>
      <c r="C3076" s="12" t="e">
        <f t="shared" si="192"/>
        <v>#VALUE!</v>
      </c>
      <c r="D3076" s="12" t="e">
        <f>MID(MAIN!A3081,K3076+2,2)</f>
        <v>#VALUE!</v>
      </c>
      <c r="E3076" s="12" t="e">
        <f>MID(MAIN!A3081,K3076+4,2)</f>
        <v>#VALUE!</v>
      </c>
      <c r="F3076" s="2" t="e">
        <f t="shared" si="193"/>
        <v>#VALUE!</v>
      </c>
      <c r="G3076" s="13" t="e">
        <f t="shared" si="194"/>
        <v>#VALUE!</v>
      </c>
      <c r="J3076" t="str">
        <f>MAIN!A3081&amp;"B"</f>
        <v>B</v>
      </c>
      <c r="K3076" s="12" t="e">
        <f t="shared" si="195"/>
        <v>#VALUE!</v>
      </c>
      <c r="L3076" t="str">
        <f>MAIN!C3081</f>
        <v/>
      </c>
    </row>
    <row r="3077" spans="1:12" x14ac:dyDescent="0.3">
      <c r="A3077">
        <f>IF(J3077="0",0,IF(COUNTIF($J$2:J3077,J3077)=1,1,0))</f>
        <v>0</v>
      </c>
      <c r="B3077" s="12" t="e">
        <f>MID(MAIN!A3082,K3077,2)</f>
        <v>#VALUE!</v>
      </c>
      <c r="C3077" s="12" t="e">
        <f t="shared" si="192"/>
        <v>#VALUE!</v>
      </c>
      <c r="D3077" s="12" t="e">
        <f>MID(MAIN!A3082,K3077+2,2)</f>
        <v>#VALUE!</v>
      </c>
      <c r="E3077" s="12" t="e">
        <f>MID(MAIN!A3082,K3077+4,2)</f>
        <v>#VALUE!</v>
      </c>
      <c r="F3077" s="2" t="e">
        <f t="shared" si="193"/>
        <v>#VALUE!</v>
      </c>
      <c r="G3077" s="13" t="e">
        <f t="shared" si="194"/>
        <v>#VALUE!</v>
      </c>
      <c r="J3077" t="str">
        <f>MAIN!A3082&amp;"B"</f>
        <v>B</v>
      </c>
      <c r="K3077" s="12" t="e">
        <f t="shared" si="195"/>
        <v>#VALUE!</v>
      </c>
      <c r="L3077" t="str">
        <f>MAIN!C3082</f>
        <v/>
      </c>
    </row>
    <row r="3078" spans="1:12" x14ac:dyDescent="0.3">
      <c r="A3078">
        <f>IF(J3078="0",0,IF(COUNTIF($J$2:J3078,J3078)=1,1,0))</f>
        <v>0</v>
      </c>
      <c r="B3078" s="12" t="e">
        <f>MID(MAIN!A3083,K3078,2)</f>
        <v>#VALUE!</v>
      </c>
      <c r="C3078" s="12" t="e">
        <f t="shared" si="192"/>
        <v>#VALUE!</v>
      </c>
      <c r="D3078" s="12" t="e">
        <f>MID(MAIN!A3083,K3078+2,2)</f>
        <v>#VALUE!</v>
      </c>
      <c r="E3078" s="12" t="e">
        <f>MID(MAIN!A3083,K3078+4,2)</f>
        <v>#VALUE!</v>
      </c>
      <c r="F3078" s="2" t="e">
        <f t="shared" si="193"/>
        <v>#VALUE!</v>
      </c>
      <c r="G3078" s="13" t="e">
        <f t="shared" si="194"/>
        <v>#VALUE!</v>
      </c>
      <c r="J3078" t="str">
        <f>MAIN!A3083&amp;"B"</f>
        <v>B</v>
      </c>
      <c r="K3078" s="12" t="e">
        <f t="shared" si="195"/>
        <v>#VALUE!</v>
      </c>
      <c r="L3078" t="str">
        <f>MAIN!C3083</f>
        <v/>
      </c>
    </row>
    <row r="3079" spans="1:12" x14ac:dyDescent="0.3">
      <c r="A3079">
        <f>IF(J3079="0",0,IF(COUNTIF($J$2:J3079,J3079)=1,1,0))</f>
        <v>0</v>
      </c>
      <c r="B3079" s="12" t="e">
        <f>MID(MAIN!A3084,K3079,2)</f>
        <v>#VALUE!</v>
      </c>
      <c r="C3079" s="12" t="e">
        <f t="shared" si="192"/>
        <v>#VALUE!</v>
      </c>
      <c r="D3079" s="12" t="e">
        <f>MID(MAIN!A3084,K3079+2,2)</f>
        <v>#VALUE!</v>
      </c>
      <c r="E3079" s="12" t="e">
        <f>MID(MAIN!A3084,K3079+4,2)</f>
        <v>#VALUE!</v>
      </c>
      <c r="F3079" s="2" t="e">
        <f t="shared" si="193"/>
        <v>#VALUE!</v>
      </c>
      <c r="G3079" s="13" t="e">
        <f t="shared" si="194"/>
        <v>#VALUE!</v>
      </c>
      <c r="J3079" t="str">
        <f>MAIN!A3084&amp;"B"</f>
        <v>B</v>
      </c>
      <c r="K3079" s="12" t="e">
        <f t="shared" si="195"/>
        <v>#VALUE!</v>
      </c>
      <c r="L3079" t="str">
        <f>MAIN!C3084</f>
        <v/>
      </c>
    </row>
    <row r="3080" spans="1:12" x14ac:dyDescent="0.3">
      <c r="A3080">
        <f>IF(J3080="0",0,IF(COUNTIF($J$2:J3080,J3080)=1,1,0))</f>
        <v>0</v>
      </c>
      <c r="B3080" s="12" t="e">
        <f>MID(MAIN!A3085,K3080,2)</f>
        <v>#VALUE!</v>
      </c>
      <c r="C3080" s="12" t="e">
        <f t="shared" si="192"/>
        <v>#VALUE!</v>
      </c>
      <c r="D3080" s="12" t="e">
        <f>MID(MAIN!A3085,K3080+2,2)</f>
        <v>#VALUE!</v>
      </c>
      <c r="E3080" s="12" t="e">
        <f>MID(MAIN!A3085,K3080+4,2)</f>
        <v>#VALUE!</v>
      </c>
      <c r="F3080" s="2" t="e">
        <f t="shared" si="193"/>
        <v>#VALUE!</v>
      </c>
      <c r="G3080" s="13" t="e">
        <f t="shared" si="194"/>
        <v>#VALUE!</v>
      </c>
      <c r="J3080" t="str">
        <f>MAIN!A3085&amp;"B"</f>
        <v>B</v>
      </c>
      <c r="K3080" s="12" t="e">
        <f t="shared" si="195"/>
        <v>#VALUE!</v>
      </c>
      <c r="L3080" t="str">
        <f>MAIN!C3085</f>
        <v/>
      </c>
    </row>
    <row r="3081" spans="1:12" x14ac:dyDescent="0.3">
      <c r="A3081">
        <f>IF(J3081="0",0,IF(COUNTIF($J$2:J3081,J3081)=1,1,0))</f>
        <v>0</v>
      </c>
      <c r="B3081" s="12" t="e">
        <f>MID(MAIN!A3086,K3081,2)</f>
        <v>#VALUE!</v>
      </c>
      <c r="C3081" s="12" t="e">
        <f t="shared" si="192"/>
        <v>#VALUE!</v>
      </c>
      <c r="D3081" s="12" t="e">
        <f>MID(MAIN!A3086,K3081+2,2)</f>
        <v>#VALUE!</v>
      </c>
      <c r="E3081" s="12" t="e">
        <f>MID(MAIN!A3086,K3081+4,2)</f>
        <v>#VALUE!</v>
      </c>
      <c r="F3081" s="2" t="e">
        <f t="shared" si="193"/>
        <v>#VALUE!</v>
      </c>
      <c r="G3081" s="13" t="e">
        <f t="shared" si="194"/>
        <v>#VALUE!</v>
      </c>
      <c r="J3081" t="str">
        <f>MAIN!A3086&amp;"B"</f>
        <v>B</v>
      </c>
      <c r="K3081" s="12" t="e">
        <f t="shared" si="195"/>
        <v>#VALUE!</v>
      </c>
      <c r="L3081" t="str">
        <f>MAIN!C3086</f>
        <v/>
      </c>
    </row>
    <row r="3082" spans="1:12" x14ac:dyDescent="0.3">
      <c r="A3082">
        <f>IF(J3082="0",0,IF(COUNTIF($J$2:J3082,J3082)=1,1,0))</f>
        <v>0</v>
      </c>
      <c r="B3082" s="12" t="e">
        <f>MID(MAIN!A3087,K3082,2)</f>
        <v>#VALUE!</v>
      </c>
      <c r="C3082" s="12" t="e">
        <f t="shared" si="192"/>
        <v>#VALUE!</v>
      </c>
      <c r="D3082" s="12" t="e">
        <f>MID(MAIN!A3087,K3082+2,2)</f>
        <v>#VALUE!</v>
      </c>
      <c r="E3082" s="12" t="e">
        <f>MID(MAIN!A3087,K3082+4,2)</f>
        <v>#VALUE!</v>
      </c>
      <c r="F3082" s="2" t="e">
        <f t="shared" si="193"/>
        <v>#VALUE!</v>
      </c>
      <c r="G3082" s="13" t="e">
        <f t="shared" si="194"/>
        <v>#VALUE!</v>
      </c>
      <c r="J3082" t="str">
        <f>MAIN!A3087&amp;"B"</f>
        <v>B</v>
      </c>
      <c r="K3082" s="12" t="e">
        <f t="shared" si="195"/>
        <v>#VALUE!</v>
      </c>
      <c r="L3082" t="str">
        <f>MAIN!C3087</f>
        <v/>
      </c>
    </row>
    <row r="3083" spans="1:12" x14ac:dyDescent="0.3">
      <c r="A3083">
        <f>IF(J3083="0",0,IF(COUNTIF($J$2:J3083,J3083)=1,1,0))</f>
        <v>0</v>
      </c>
      <c r="B3083" s="12" t="e">
        <f>MID(MAIN!A3088,K3083,2)</f>
        <v>#VALUE!</v>
      </c>
      <c r="C3083" s="12" t="e">
        <f t="shared" si="192"/>
        <v>#VALUE!</v>
      </c>
      <c r="D3083" s="12" t="e">
        <f>MID(MAIN!A3088,K3083+2,2)</f>
        <v>#VALUE!</v>
      </c>
      <c r="E3083" s="12" t="e">
        <f>MID(MAIN!A3088,K3083+4,2)</f>
        <v>#VALUE!</v>
      </c>
      <c r="F3083" s="2" t="e">
        <f t="shared" si="193"/>
        <v>#VALUE!</v>
      </c>
      <c r="G3083" s="13" t="e">
        <f t="shared" si="194"/>
        <v>#VALUE!</v>
      </c>
      <c r="J3083" t="str">
        <f>MAIN!A3088&amp;"B"</f>
        <v>B</v>
      </c>
      <c r="K3083" s="12" t="e">
        <f t="shared" si="195"/>
        <v>#VALUE!</v>
      </c>
      <c r="L3083" t="str">
        <f>MAIN!C3088</f>
        <v/>
      </c>
    </row>
    <row r="3084" spans="1:12" x14ac:dyDescent="0.3">
      <c r="A3084">
        <f>IF(J3084="0",0,IF(COUNTIF($J$2:J3084,J3084)=1,1,0))</f>
        <v>0</v>
      </c>
      <c r="B3084" s="12" t="e">
        <f>MID(MAIN!A3089,K3084,2)</f>
        <v>#VALUE!</v>
      </c>
      <c r="C3084" s="12" t="e">
        <f t="shared" si="192"/>
        <v>#VALUE!</v>
      </c>
      <c r="D3084" s="12" t="e">
        <f>MID(MAIN!A3089,K3084+2,2)</f>
        <v>#VALUE!</v>
      </c>
      <c r="E3084" s="12" t="e">
        <f>MID(MAIN!A3089,K3084+4,2)</f>
        <v>#VALUE!</v>
      </c>
      <c r="F3084" s="2" t="e">
        <f t="shared" si="193"/>
        <v>#VALUE!</v>
      </c>
      <c r="G3084" s="13" t="e">
        <f t="shared" si="194"/>
        <v>#VALUE!</v>
      </c>
      <c r="J3084" t="str">
        <f>MAIN!A3089&amp;"B"</f>
        <v>B</v>
      </c>
      <c r="K3084" s="12" t="e">
        <f t="shared" si="195"/>
        <v>#VALUE!</v>
      </c>
      <c r="L3084" t="str">
        <f>MAIN!C3089</f>
        <v/>
      </c>
    </row>
    <row r="3085" spans="1:12" x14ac:dyDescent="0.3">
      <c r="A3085">
        <f>IF(J3085="0",0,IF(COUNTIF($J$2:J3085,J3085)=1,1,0))</f>
        <v>0</v>
      </c>
      <c r="B3085" s="12" t="e">
        <f>MID(MAIN!A3090,K3085,2)</f>
        <v>#VALUE!</v>
      </c>
      <c r="C3085" s="12" t="e">
        <f t="shared" si="192"/>
        <v>#VALUE!</v>
      </c>
      <c r="D3085" s="12" t="e">
        <f>MID(MAIN!A3090,K3085+2,2)</f>
        <v>#VALUE!</v>
      </c>
      <c r="E3085" s="12" t="e">
        <f>MID(MAIN!A3090,K3085+4,2)</f>
        <v>#VALUE!</v>
      </c>
      <c r="F3085" s="2" t="e">
        <f t="shared" si="193"/>
        <v>#VALUE!</v>
      </c>
      <c r="G3085" s="13" t="e">
        <f t="shared" si="194"/>
        <v>#VALUE!</v>
      </c>
      <c r="J3085" t="str">
        <f>MAIN!A3090&amp;"B"</f>
        <v>B</v>
      </c>
      <c r="K3085" s="12" t="e">
        <f t="shared" si="195"/>
        <v>#VALUE!</v>
      </c>
      <c r="L3085" t="str">
        <f>MAIN!C3090</f>
        <v/>
      </c>
    </row>
    <row r="3086" spans="1:12" x14ac:dyDescent="0.3">
      <c r="A3086">
        <f>IF(J3086="0",0,IF(COUNTIF($J$2:J3086,J3086)=1,1,0))</f>
        <v>0</v>
      </c>
      <c r="B3086" s="12" t="e">
        <f>MID(MAIN!A3091,K3086,2)</f>
        <v>#VALUE!</v>
      </c>
      <c r="C3086" s="12" t="e">
        <f t="shared" si="192"/>
        <v>#VALUE!</v>
      </c>
      <c r="D3086" s="12" t="e">
        <f>MID(MAIN!A3091,K3086+2,2)</f>
        <v>#VALUE!</v>
      </c>
      <c r="E3086" s="12" t="e">
        <f>MID(MAIN!A3091,K3086+4,2)</f>
        <v>#VALUE!</v>
      </c>
      <c r="F3086" s="2" t="e">
        <f t="shared" si="193"/>
        <v>#VALUE!</v>
      </c>
      <c r="G3086" s="13" t="e">
        <f t="shared" si="194"/>
        <v>#VALUE!</v>
      </c>
      <c r="J3086" t="str">
        <f>MAIN!A3091&amp;"B"</f>
        <v>B</v>
      </c>
      <c r="K3086" s="12" t="e">
        <f t="shared" si="195"/>
        <v>#VALUE!</v>
      </c>
      <c r="L3086" t="str">
        <f>MAIN!C3091</f>
        <v/>
      </c>
    </row>
    <row r="3087" spans="1:12" x14ac:dyDescent="0.3">
      <c r="A3087">
        <f>IF(J3087="0",0,IF(COUNTIF($J$2:J3087,J3087)=1,1,0))</f>
        <v>0</v>
      </c>
      <c r="B3087" s="12" t="e">
        <f>MID(MAIN!A3092,K3087,2)</f>
        <v>#VALUE!</v>
      </c>
      <c r="C3087" s="12" t="e">
        <f t="shared" si="192"/>
        <v>#VALUE!</v>
      </c>
      <c r="D3087" s="12" t="e">
        <f>MID(MAIN!A3092,K3087+2,2)</f>
        <v>#VALUE!</v>
      </c>
      <c r="E3087" s="12" t="e">
        <f>MID(MAIN!A3092,K3087+4,2)</f>
        <v>#VALUE!</v>
      </c>
      <c r="F3087" s="2" t="e">
        <f t="shared" si="193"/>
        <v>#VALUE!</v>
      </c>
      <c r="G3087" s="13" t="e">
        <f t="shared" si="194"/>
        <v>#VALUE!</v>
      </c>
      <c r="J3087" t="str">
        <f>MAIN!A3092&amp;"B"</f>
        <v>B</v>
      </c>
      <c r="K3087" s="12" t="e">
        <f t="shared" si="195"/>
        <v>#VALUE!</v>
      </c>
      <c r="L3087" t="str">
        <f>MAIN!C3092</f>
        <v/>
      </c>
    </row>
    <row r="3088" spans="1:12" x14ac:dyDescent="0.3">
      <c r="A3088">
        <f>IF(J3088="0",0,IF(COUNTIF($J$2:J3088,J3088)=1,1,0))</f>
        <v>0</v>
      </c>
      <c r="B3088" s="12" t="e">
        <f>MID(MAIN!A3093,K3088,2)</f>
        <v>#VALUE!</v>
      </c>
      <c r="C3088" s="12" t="e">
        <f t="shared" si="192"/>
        <v>#VALUE!</v>
      </c>
      <c r="D3088" s="12" t="e">
        <f>MID(MAIN!A3093,K3088+2,2)</f>
        <v>#VALUE!</v>
      </c>
      <c r="E3088" s="12" t="e">
        <f>MID(MAIN!A3093,K3088+4,2)</f>
        <v>#VALUE!</v>
      </c>
      <c r="F3088" s="2" t="e">
        <f t="shared" si="193"/>
        <v>#VALUE!</v>
      </c>
      <c r="G3088" s="13" t="e">
        <f t="shared" si="194"/>
        <v>#VALUE!</v>
      </c>
      <c r="J3088" t="str">
        <f>MAIN!A3093&amp;"B"</f>
        <v>B</v>
      </c>
      <c r="K3088" s="12" t="e">
        <f t="shared" si="195"/>
        <v>#VALUE!</v>
      </c>
      <c r="L3088" t="str">
        <f>MAIN!C3093</f>
        <v/>
      </c>
    </row>
    <row r="3089" spans="1:12" x14ac:dyDescent="0.3">
      <c r="A3089">
        <f>IF(J3089="0",0,IF(COUNTIF($J$2:J3089,J3089)=1,1,0))</f>
        <v>0</v>
      </c>
      <c r="B3089" s="12" t="e">
        <f>MID(MAIN!A3094,K3089,2)</f>
        <v>#VALUE!</v>
      </c>
      <c r="C3089" s="12" t="e">
        <f t="shared" si="192"/>
        <v>#VALUE!</v>
      </c>
      <c r="D3089" s="12" t="e">
        <f>MID(MAIN!A3094,K3089+2,2)</f>
        <v>#VALUE!</v>
      </c>
      <c r="E3089" s="12" t="e">
        <f>MID(MAIN!A3094,K3089+4,2)</f>
        <v>#VALUE!</v>
      </c>
      <c r="F3089" s="2" t="e">
        <f t="shared" si="193"/>
        <v>#VALUE!</v>
      </c>
      <c r="G3089" s="13" t="e">
        <f t="shared" si="194"/>
        <v>#VALUE!</v>
      </c>
      <c r="J3089" t="str">
        <f>MAIN!A3094&amp;"B"</f>
        <v>B</v>
      </c>
      <c r="K3089" s="12" t="e">
        <f t="shared" si="195"/>
        <v>#VALUE!</v>
      </c>
      <c r="L3089" t="str">
        <f>MAIN!C3094</f>
        <v/>
      </c>
    </row>
    <row r="3090" spans="1:12" x14ac:dyDescent="0.3">
      <c r="A3090">
        <f>IF(J3090="0",0,IF(COUNTIF($J$2:J3090,J3090)=1,1,0))</f>
        <v>0</v>
      </c>
      <c r="B3090" s="12" t="e">
        <f>MID(MAIN!A3095,K3090,2)</f>
        <v>#VALUE!</v>
      </c>
      <c r="C3090" s="12" t="e">
        <f t="shared" si="192"/>
        <v>#VALUE!</v>
      </c>
      <c r="D3090" s="12" t="e">
        <f>MID(MAIN!A3095,K3090+2,2)</f>
        <v>#VALUE!</v>
      </c>
      <c r="E3090" s="12" t="e">
        <f>MID(MAIN!A3095,K3090+4,2)</f>
        <v>#VALUE!</v>
      </c>
      <c r="F3090" s="2" t="e">
        <f t="shared" si="193"/>
        <v>#VALUE!</v>
      </c>
      <c r="G3090" s="13" t="e">
        <f t="shared" si="194"/>
        <v>#VALUE!</v>
      </c>
      <c r="J3090" t="str">
        <f>MAIN!A3095&amp;"B"</f>
        <v>B</v>
      </c>
      <c r="K3090" s="12" t="e">
        <f t="shared" si="195"/>
        <v>#VALUE!</v>
      </c>
      <c r="L3090" t="str">
        <f>MAIN!C3095</f>
        <v/>
      </c>
    </row>
    <row r="3091" spans="1:12" x14ac:dyDescent="0.3">
      <c r="A3091">
        <f>IF(J3091="0",0,IF(COUNTIF($J$2:J3091,J3091)=1,1,0))</f>
        <v>0</v>
      </c>
      <c r="B3091" s="12" t="e">
        <f>MID(MAIN!A3096,K3091,2)</f>
        <v>#VALUE!</v>
      </c>
      <c r="C3091" s="12" t="e">
        <f t="shared" si="192"/>
        <v>#VALUE!</v>
      </c>
      <c r="D3091" s="12" t="e">
        <f>MID(MAIN!A3096,K3091+2,2)</f>
        <v>#VALUE!</v>
      </c>
      <c r="E3091" s="12" t="e">
        <f>MID(MAIN!A3096,K3091+4,2)</f>
        <v>#VALUE!</v>
      </c>
      <c r="F3091" s="2" t="e">
        <f t="shared" si="193"/>
        <v>#VALUE!</v>
      </c>
      <c r="G3091" s="13" t="e">
        <f t="shared" si="194"/>
        <v>#VALUE!</v>
      </c>
      <c r="J3091" t="str">
        <f>MAIN!A3096&amp;"B"</f>
        <v>B</v>
      </c>
      <c r="K3091" s="12" t="e">
        <f t="shared" si="195"/>
        <v>#VALUE!</v>
      </c>
      <c r="L3091" t="str">
        <f>MAIN!C3096</f>
        <v/>
      </c>
    </row>
    <row r="3092" spans="1:12" x14ac:dyDescent="0.3">
      <c r="A3092">
        <f>IF(J3092="0",0,IF(COUNTIF($J$2:J3092,J3092)=1,1,0))</f>
        <v>0</v>
      </c>
      <c r="B3092" s="12" t="e">
        <f>MID(MAIN!A3097,K3092,2)</f>
        <v>#VALUE!</v>
      </c>
      <c r="C3092" s="12" t="e">
        <f t="shared" si="192"/>
        <v>#VALUE!</v>
      </c>
      <c r="D3092" s="12" t="e">
        <f>MID(MAIN!A3097,K3092+2,2)</f>
        <v>#VALUE!</v>
      </c>
      <c r="E3092" s="12" t="e">
        <f>MID(MAIN!A3097,K3092+4,2)</f>
        <v>#VALUE!</v>
      </c>
      <c r="F3092" s="2" t="e">
        <f t="shared" si="193"/>
        <v>#VALUE!</v>
      </c>
      <c r="G3092" s="13" t="e">
        <f t="shared" si="194"/>
        <v>#VALUE!</v>
      </c>
      <c r="J3092" t="str">
        <f>MAIN!A3097&amp;"B"</f>
        <v>B</v>
      </c>
      <c r="K3092" s="12" t="e">
        <f t="shared" si="195"/>
        <v>#VALUE!</v>
      </c>
      <c r="L3092" t="str">
        <f>MAIN!C3097</f>
        <v/>
      </c>
    </row>
    <row r="3093" spans="1:12" x14ac:dyDescent="0.3">
      <c r="A3093">
        <f>IF(J3093="0",0,IF(COUNTIF($J$2:J3093,J3093)=1,1,0))</f>
        <v>0</v>
      </c>
      <c r="B3093" s="12" t="e">
        <f>MID(MAIN!A3098,K3093,2)</f>
        <v>#VALUE!</v>
      </c>
      <c r="C3093" s="12" t="e">
        <f t="shared" si="192"/>
        <v>#VALUE!</v>
      </c>
      <c r="D3093" s="12" t="e">
        <f>MID(MAIN!A3098,K3093+2,2)</f>
        <v>#VALUE!</v>
      </c>
      <c r="E3093" s="12" t="e">
        <f>MID(MAIN!A3098,K3093+4,2)</f>
        <v>#VALUE!</v>
      </c>
      <c r="F3093" s="2" t="e">
        <f t="shared" si="193"/>
        <v>#VALUE!</v>
      </c>
      <c r="G3093" s="13" t="e">
        <f t="shared" si="194"/>
        <v>#VALUE!</v>
      </c>
      <c r="J3093" t="str">
        <f>MAIN!A3098&amp;"B"</f>
        <v>B</v>
      </c>
      <c r="K3093" s="12" t="e">
        <f t="shared" si="195"/>
        <v>#VALUE!</v>
      </c>
      <c r="L3093" t="str">
        <f>MAIN!C3098</f>
        <v/>
      </c>
    </row>
    <row r="3094" spans="1:12" x14ac:dyDescent="0.3">
      <c r="A3094">
        <f>IF(J3094="0",0,IF(COUNTIF($J$2:J3094,J3094)=1,1,0))</f>
        <v>0</v>
      </c>
      <c r="B3094" s="12" t="e">
        <f>MID(MAIN!A3099,K3094,2)</f>
        <v>#VALUE!</v>
      </c>
      <c r="C3094" s="12" t="e">
        <f t="shared" si="192"/>
        <v>#VALUE!</v>
      </c>
      <c r="D3094" s="12" t="e">
        <f>MID(MAIN!A3099,K3094+2,2)</f>
        <v>#VALUE!</v>
      </c>
      <c r="E3094" s="12" t="e">
        <f>MID(MAIN!A3099,K3094+4,2)</f>
        <v>#VALUE!</v>
      </c>
      <c r="F3094" s="2" t="e">
        <f t="shared" si="193"/>
        <v>#VALUE!</v>
      </c>
      <c r="G3094" s="13" t="e">
        <f t="shared" si="194"/>
        <v>#VALUE!</v>
      </c>
      <c r="J3094" t="str">
        <f>MAIN!A3099&amp;"B"</f>
        <v>B</v>
      </c>
      <c r="K3094" s="12" t="e">
        <f t="shared" si="195"/>
        <v>#VALUE!</v>
      </c>
      <c r="L3094" t="str">
        <f>MAIN!C3099</f>
        <v/>
      </c>
    </row>
    <row r="3095" spans="1:12" x14ac:dyDescent="0.3">
      <c r="A3095">
        <f>IF(J3095="0",0,IF(COUNTIF($J$2:J3095,J3095)=1,1,0))</f>
        <v>0</v>
      </c>
      <c r="B3095" s="12" t="e">
        <f>MID(MAIN!A3100,K3095,2)</f>
        <v>#VALUE!</v>
      </c>
      <c r="C3095" s="12" t="e">
        <f t="shared" si="192"/>
        <v>#VALUE!</v>
      </c>
      <c r="D3095" s="12" t="e">
        <f>MID(MAIN!A3100,K3095+2,2)</f>
        <v>#VALUE!</v>
      </c>
      <c r="E3095" s="12" t="e">
        <f>MID(MAIN!A3100,K3095+4,2)</f>
        <v>#VALUE!</v>
      </c>
      <c r="F3095" s="2" t="e">
        <f t="shared" si="193"/>
        <v>#VALUE!</v>
      </c>
      <c r="G3095" s="13" t="e">
        <f t="shared" si="194"/>
        <v>#VALUE!</v>
      </c>
      <c r="J3095" t="str">
        <f>MAIN!A3100&amp;"B"</f>
        <v>B</v>
      </c>
      <c r="K3095" s="12" t="e">
        <f t="shared" si="195"/>
        <v>#VALUE!</v>
      </c>
      <c r="L3095" t="str">
        <f>MAIN!C3100</f>
        <v/>
      </c>
    </row>
    <row r="3096" spans="1:12" x14ac:dyDescent="0.3">
      <c r="A3096">
        <f>IF(J3096="0",0,IF(COUNTIF($J$2:J3096,J3096)=1,1,0))</f>
        <v>0</v>
      </c>
      <c r="B3096" s="12" t="e">
        <f>MID(MAIN!A3101,K3096,2)</f>
        <v>#VALUE!</v>
      </c>
      <c r="C3096" s="12" t="e">
        <f t="shared" si="192"/>
        <v>#VALUE!</v>
      </c>
      <c r="D3096" s="12" t="e">
        <f>MID(MAIN!A3101,K3096+2,2)</f>
        <v>#VALUE!</v>
      </c>
      <c r="E3096" s="12" t="e">
        <f>MID(MAIN!A3101,K3096+4,2)</f>
        <v>#VALUE!</v>
      </c>
      <c r="F3096" s="2" t="e">
        <f t="shared" si="193"/>
        <v>#VALUE!</v>
      </c>
      <c r="G3096" s="13" t="e">
        <f t="shared" si="194"/>
        <v>#VALUE!</v>
      </c>
      <c r="J3096" t="str">
        <f>MAIN!A3101&amp;"B"</f>
        <v>B</v>
      </c>
      <c r="K3096" s="12" t="e">
        <f t="shared" si="195"/>
        <v>#VALUE!</v>
      </c>
      <c r="L3096" t="str">
        <f>MAIN!C3101</f>
        <v/>
      </c>
    </row>
    <row r="3097" spans="1:12" x14ac:dyDescent="0.3">
      <c r="A3097">
        <f>IF(J3097="0",0,IF(COUNTIF($J$2:J3097,J3097)=1,1,0))</f>
        <v>0</v>
      </c>
      <c r="B3097" s="12" t="e">
        <f>MID(MAIN!A3102,K3097,2)</f>
        <v>#VALUE!</v>
      </c>
      <c r="C3097" s="12" t="e">
        <f t="shared" si="192"/>
        <v>#VALUE!</v>
      </c>
      <c r="D3097" s="12" t="e">
        <f>MID(MAIN!A3102,K3097+2,2)</f>
        <v>#VALUE!</v>
      </c>
      <c r="E3097" s="12" t="e">
        <f>MID(MAIN!A3102,K3097+4,2)</f>
        <v>#VALUE!</v>
      </c>
      <c r="F3097" s="2" t="e">
        <f t="shared" si="193"/>
        <v>#VALUE!</v>
      </c>
      <c r="G3097" s="13" t="e">
        <f t="shared" si="194"/>
        <v>#VALUE!</v>
      </c>
      <c r="J3097" t="str">
        <f>MAIN!A3102&amp;"B"</f>
        <v>B</v>
      </c>
      <c r="K3097" s="12" t="e">
        <f t="shared" si="195"/>
        <v>#VALUE!</v>
      </c>
      <c r="L3097" t="str">
        <f>MAIN!C3102</f>
        <v/>
      </c>
    </row>
    <row r="3098" spans="1:12" x14ac:dyDescent="0.3">
      <c r="A3098">
        <f>IF(J3098="0",0,IF(COUNTIF($J$2:J3098,J3098)=1,1,0))</f>
        <v>0</v>
      </c>
      <c r="B3098" s="12" t="e">
        <f>MID(MAIN!A3103,K3098,2)</f>
        <v>#VALUE!</v>
      </c>
      <c r="C3098" s="12" t="e">
        <f t="shared" si="192"/>
        <v>#VALUE!</v>
      </c>
      <c r="D3098" s="12" t="e">
        <f>MID(MAIN!A3103,K3098+2,2)</f>
        <v>#VALUE!</v>
      </c>
      <c r="E3098" s="12" t="e">
        <f>MID(MAIN!A3103,K3098+4,2)</f>
        <v>#VALUE!</v>
      </c>
      <c r="F3098" s="2" t="e">
        <f t="shared" si="193"/>
        <v>#VALUE!</v>
      </c>
      <c r="G3098" s="13" t="e">
        <f t="shared" si="194"/>
        <v>#VALUE!</v>
      </c>
      <c r="J3098" t="str">
        <f>MAIN!A3103&amp;"B"</f>
        <v>B</v>
      </c>
      <c r="K3098" s="12" t="e">
        <f t="shared" si="195"/>
        <v>#VALUE!</v>
      </c>
      <c r="L3098" t="str">
        <f>MAIN!C3103</f>
        <v/>
      </c>
    </row>
    <row r="3099" spans="1:12" x14ac:dyDescent="0.3">
      <c r="A3099">
        <f>IF(J3099="0",0,IF(COUNTIF($J$2:J3099,J3099)=1,1,0))</f>
        <v>0</v>
      </c>
      <c r="B3099" s="12" t="e">
        <f>MID(MAIN!A3104,K3099,2)</f>
        <v>#VALUE!</v>
      </c>
      <c r="C3099" s="12" t="e">
        <f t="shared" si="192"/>
        <v>#VALUE!</v>
      </c>
      <c r="D3099" s="12" t="e">
        <f>MID(MAIN!A3104,K3099+2,2)</f>
        <v>#VALUE!</v>
      </c>
      <c r="E3099" s="12" t="e">
        <f>MID(MAIN!A3104,K3099+4,2)</f>
        <v>#VALUE!</v>
      </c>
      <c r="F3099" s="2" t="e">
        <f t="shared" si="193"/>
        <v>#VALUE!</v>
      </c>
      <c r="G3099" s="13" t="e">
        <f t="shared" si="194"/>
        <v>#VALUE!</v>
      </c>
      <c r="J3099" t="str">
        <f>MAIN!A3104&amp;"B"</f>
        <v>B</v>
      </c>
      <c r="K3099" s="12" t="e">
        <f t="shared" si="195"/>
        <v>#VALUE!</v>
      </c>
      <c r="L3099" t="str">
        <f>MAIN!C3104</f>
        <v/>
      </c>
    </row>
    <row r="3100" spans="1:12" x14ac:dyDescent="0.3">
      <c r="A3100">
        <f>IF(J3100="0",0,IF(COUNTIF($J$2:J3100,J3100)=1,1,0))</f>
        <v>0</v>
      </c>
      <c r="B3100" s="12" t="e">
        <f>MID(MAIN!A3105,K3100,2)</f>
        <v>#VALUE!</v>
      </c>
      <c r="C3100" s="12" t="e">
        <f t="shared" si="192"/>
        <v>#VALUE!</v>
      </c>
      <c r="D3100" s="12" t="e">
        <f>MID(MAIN!A3105,K3100+2,2)</f>
        <v>#VALUE!</v>
      </c>
      <c r="E3100" s="12" t="e">
        <f>MID(MAIN!A3105,K3100+4,2)</f>
        <v>#VALUE!</v>
      </c>
      <c r="F3100" s="2" t="e">
        <f t="shared" si="193"/>
        <v>#VALUE!</v>
      </c>
      <c r="G3100" s="13" t="e">
        <f t="shared" si="194"/>
        <v>#VALUE!</v>
      </c>
      <c r="J3100" t="str">
        <f>MAIN!A3105&amp;"B"</f>
        <v>B</v>
      </c>
      <c r="K3100" s="12" t="e">
        <f t="shared" si="195"/>
        <v>#VALUE!</v>
      </c>
      <c r="L3100" t="str">
        <f>MAIN!C3105</f>
        <v/>
      </c>
    </row>
    <row r="3101" spans="1:12" x14ac:dyDescent="0.3">
      <c r="A3101">
        <f>IF(J3101="0",0,IF(COUNTIF($J$2:J3101,J3101)=1,1,0))</f>
        <v>0</v>
      </c>
      <c r="B3101" s="12" t="e">
        <f>MID(MAIN!A3106,K3101,2)</f>
        <v>#VALUE!</v>
      </c>
      <c r="C3101" s="12" t="e">
        <f t="shared" si="192"/>
        <v>#VALUE!</v>
      </c>
      <c r="D3101" s="12" t="e">
        <f>MID(MAIN!A3106,K3101+2,2)</f>
        <v>#VALUE!</v>
      </c>
      <c r="E3101" s="12" t="e">
        <f>MID(MAIN!A3106,K3101+4,2)</f>
        <v>#VALUE!</v>
      </c>
      <c r="F3101" s="2" t="e">
        <f t="shared" si="193"/>
        <v>#VALUE!</v>
      </c>
      <c r="G3101" s="13" t="e">
        <f t="shared" si="194"/>
        <v>#VALUE!</v>
      </c>
      <c r="J3101" t="str">
        <f>MAIN!A3106&amp;"B"</f>
        <v>B</v>
      </c>
      <c r="K3101" s="12" t="e">
        <f t="shared" si="195"/>
        <v>#VALUE!</v>
      </c>
      <c r="L3101" t="str">
        <f>MAIN!C3106</f>
        <v/>
      </c>
    </row>
    <row r="3102" spans="1:12" x14ac:dyDescent="0.3">
      <c r="A3102">
        <f>IF(J3102="0",0,IF(COUNTIF($J$2:J3102,J3102)=1,1,0))</f>
        <v>0</v>
      </c>
      <c r="B3102" s="12" t="e">
        <f>MID(MAIN!A3107,K3102,2)</f>
        <v>#VALUE!</v>
      </c>
      <c r="C3102" s="12" t="e">
        <f t="shared" si="192"/>
        <v>#VALUE!</v>
      </c>
      <c r="D3102" s="12" t="e">
        <f>MID(MAIN!A3107,K3102+2,2)</f>
        <v>#VALUE!</v>
      </c>
      <c r="E3102" s="12" t="e">
        <f>MID(MAIN!A3107,K3102+4,2)</f>
        <v>#VALUE!</v>
      </c>
      <c r="F3102" s="2" t="e">
        <f t="shared" si="193"/>
        <v>#VALUE!</v>
      </c>
      <c r="G3102" s="13" t="e">
        <f t="shared" si="194"/>
        <v>#VALUE!</v>
      </c>
      <c r="J3102" t="str">
        <f>MAIN!A3107&amp;"B"</f>
        <v>B</v>
      </c>
      <c r="K3102" s="12" t="e">
        <f t="shared" si="195"/>
        <v>#VALUE!</v>
      </c>
      <c r="L3102" t="str">
        <f>MAIN!C3107</f>
        <v/>
      </c>
    </row>
    <row r="3103" spans="1:12" x14ac:dyDescent="0.3">
      <c r="A3103">
        <f>IF(J3103="0",0,IF(COUNTIF($J$2:J3103,J3103)=1,1,0))</f>
        <v>0</v>
      </c>
      <c r="B3103" s="12" t="e">
        <f>MID(MAIN!A3108,K3103,2)</f>
        <v>#VALUE!</v>
      </c>
      <c r="C3103" s="12" t="e">
        <f t="shared" si="192"/>
        <v>#VALUE!</v>
      </c>
      <c r="D3103" s="12" t="e">
        <f>MID(MAIN!A3108,K3103+2,2)</f>
        <v>#VALUE!</v>
      </c>
      <c r="E3103" s="12" t="e">
        <f>MID(MAIN!A3108,K3103+4,2)</f>
        <v>#VALUE!</v>
      </c>
      <c r="F3103" s="2" t="e">
        <f t="shared" si="193"/>
        <v>#VALUE!</v>
      </c>
      <c r="G3103" s="13" t="e">
        <f t="shared" si="194"/>
        <v>#VALUE!</v>
      </c>
      <c r="J3103" t="str">
        <f>MAIN!A3108&amp;"B"</f>
        <v>B</v>
      </c>
      <c r="K3103" s="12" t="e">
        <f t="shared" si="195"/>
        <v>#VALUE!</v>
      </c>
      <c r="L3103" t="str">
        <f>MAIN!C3108</f>
        <v/>
      </c>
    </row>
    <row r="3104" spans="1:12" x14ac:dyDescent="0.3">
      <c r="A3104">
        <f>IF(J3104="0",0,IF(COUNTIF($J$2:J3104,J3104)=1,1,0))</f>
        <v>0</v>
      </c>
      <c r="B3104" s="12" t="e">
        <f>MID(MAIN!A3109,K3104,2)</f>
        <v>#VALUE!</v>
      </c>
      <c r="C3104" s="12" t="e">
        <f t="shared" si="192"/>
        <v>#VALUE!</v>
      </c>
      <c r="D3104" s="12" t="e">
        <f>MID(MAIN!A3109,K3104+2,2)</f>
        <v>#VALUE!</v>
      </c>
      <c r="E3104" s="12" t="e">
        <f>MID(MAIN!A3109,K3104+4,2)</f>
        <v>#VALUE!</v>
      </c>
      <c r="F3104" s="2" t="e">
        <f t="shared" si="193"/>
        <v>#VALUE!</v>
      </c>
      <c r="G3104" s="13" t="e">
        <f t="shared" si="194"/>
        <v>#VALUE!</v>
      </c>
      <c r="J3104" t="str">
        <f>MAIN!A3109&amp;"B"</f>
        <v>B</v>
      </c>
      <c r="K3104" s="12" t="e">
        <f t="shared" si="195"/>
        <v>#VALUE!</v>
      </c>
      <c r="L3104" t="str">
        <f>MAIN!C3109</f>
        <v/>
      </c>
    </row>
    <row r="3105" spans="1:12" x14ac:dyDescent="0.3">
      <c r="A3105">
        <f>IF(J3105="0",0,IF(COUNTIF($J$2:J3105,J3105)=1,1,0))</f>
        <v>0</v>
      </c>
      <c r="B3105" s="12" t="e">
        <f>MID(MAIN!A3110,K3105,2)</f>
        <v>#VALUE!</v>
      </c>
      <c r="C3105" s="12" t="e">
        <f t="shared" si="192"/>
        <v>#VALUE!</v>
      </c>
      <c r="D3105" s="12" t="e">
        <f>MID(MAIN!A3110,K3105+2,2)</f>
        <v>#VALUE!</v>
      </c>
      <c r="E3105" s="12" t="e">
        <f>MID(MAIN!A3110,K3105+4,2)</f>
        <v>#VALUE!</v>
      </c>
      <c r="F3105" s="2" t="e">
        <f t="shared" si="193"/>
        <v>#VALUE!</v>
      </c>
      <c r="G3105" s="13" t="e">
        <f t="shared" si="194"/>
        <v>#VALUE!</v>
      </c>
      <c r="J3105" t="str">
        <f>MAIN!A3110&amp;"B"</f>
        <v>B</v>
      </c>
      <c r="K3105" s="12" t="e">
        <f t="shared" si="195"/>
        <v>#VALUE!</v>
      </c>
      <c r="L3105" t="str">
        <f>MAIN!C3110</f>
        <v/>
      </c>
    </row>
    <row r="3106" spans="1:12" x14ac:dyDescent="0.3">
      <c r="A3106">
        <f>IF(J3106="0",0,IF(COUNTIF($J$2:J3106,J3106)=1,1,0))</f>
        <v>0</v>
      </c>
      <c r="B3106" s="12" t="e">
        <f>MID(MAIN!A3111,K3106,2)</f>
        <v>#VALUE!</v>
      </c>
      <c r="C3106" s="12" t="e">
        <f t="shared" si="192"/>
        <v>#VALUE!</v>
      </c>
      <c r="D3106" s="12" t="e">
        <f>MID(MAIN!A3111,K3106+2,2)</f>
        <v>#VALUE!</v>
      </c>
      <c r="E3106" s="12" t="e">
        <f>MID(MAIN!A3111,K3106+4,2)</f>
        <v>#VALUE!</v>
      </c>
      <c r="F3106" s="2" t="e">
        <f t="shared" si="193"/>
        <v>#VALUE!</v>
      </c>
      <c r="G3106" s="13" t="e">
        <f t="shared" si="194"/>
        <v>#VALUE!</v>
      </c>
      <c r="J3106" t="str">
        <f>MAIN!A3111&amp;"B"</f>
        <v>B</v>
      </c>
      <c r="K3106" s="12" t="e">
        <f t="shared" si="195"/>
        <v>#VALUE!</v>
      </c>
      <c r="L3106" t="str">
        <f>MAIN!C3111</f>
        <v/>
      </c>
    </row>
    <row r="3107" spans="1:12" x14ac:dyDescent="0.3">
      <c r="A3107">
        <f>IF(J3107="0",0,IF(COUNTIF($J$2:J3107,J3107)=1,1,0))</f>
        <v>0</v>
      </c>
      <c r="B3107" s="12" t="e">
        <f>MID(MAIN!A3112,K3107,2)</f>
        <v>#VALUE!</v>
      </c>
      <c r="C3107" s="12" t="e">
        <f t="shared" si="192"/>
        <v>#VALUE!</v>
      </c>
      <c r="D3107" s="12" t="e">
        <f>MID(MAIN!A3112,K3107+2,2)</f>
        <v>#VALUE!</v>
      </c>
      <c r="E3107" s="12" t="e">
        <f>MID(MAIN!A3112,K3107+4,2)</f>
        <v>#VALUE!</v>
      </c>
      <c r="F3107" s="2" t="e">
        <f t="shared" si="193"/>
        <v>#VALUE!</v>
      </c>
      <c r="G3107" s="13" t="e">
        <f t="shared" si="194"/>
        <v>#VALUE!</v>
      </c>
      <c r="J3107" t="str">
        <f>MAIN!A3112&amp;"B"</f>
        <v>B</v>
      </c>
      <c r="K3107" s="12" t="e">
        <f t="shared" si="195"/>
        <v>#VALUE!</v>
      </c>
      <c r="L3107" t="str">
        <f>MAIN!C3112</f>
        <v/>
      </c>
    </row>
    <row r="3108" spans="1:12" x14ac:dyDescent="0.3">
      <c r="A3108">
        <f>IF(J3108="0",0,IF(COUNTIF($J$2:J3108,J3108)=1,1,0))</f>
        <v>0</v>
      </c>
      <c r="B3108" s="12" t="e">
        <f>MID(MAIN!A3113,K3108,2)</f>
        <v>#VALUE!</v>
      </c>
      <c r="C3108" s="12" t="e">
        <f t="shared" si="192"/>
        <v>#VALUE!</v>
      </c>
      <c r="D3108" s="12" t="e">
        <f>MID(MAIN!A3113,K3108+2,2)</f>
        <v>#VALUE!</v>
      </c>
      <c r="E3108" s="12" t="e">
        <f>MID(MAIN!A3113,K3108+4,2)</f>
        <v>#VALUE!</v>
      </c>
      <c r="F3108" s="2" t="e">
        <f t="shared" si="193"/>
        <v>#VALUE!</v>
      </c>
      <c r="G3108" s="13" t="e">
        <f t="shared" si="194"/>
        <v>#VALUE!</v>
      </c>
      <c r="J3108" t="str">
        <f>MAIN!A3113&amp;"B"</f>
        <v>B</v>
      </c>
      <c r="K3108" s="12" t="e">
        <f t="shared" si="195"/>
        <v>#VALUE!</v>
      </c>
      <c r="L3108" t="str">
        <f>MAIN!C3113</f>
        <v/>
      </c>
    </row>
    <row r="3109" spans="1:12" x14ac:dyDescent="0.3">
      <c r="A3109">
        <f>IF(J3109="0",0,IF(COUNTIF($J$2:J3109,J3109)=1,1,0))</f>
        <v>0</v>
      </c>
      <c r="B3109" s="12" t="e">
        <f>MID(MAIN!A3114,K3109,2)</f>
        <v>#VALUE!</v>
      </c>
      <c r="C3109" s="12" t="e">
        <f t="shared" si="192"/>
        <v>#VALUE!</v>
      </c>
      <c r="D3109" s="12" t="e">
        <f>MID(MAIN!A3114,K3109+2,2)</f>
        <v>#VALUE!</v>
      </c>
      <c r="E3109" s="12" t="e">
        <f>MID(MAIN!A3114,K3109+4,2)</f>
        <v>#VALUE!</v>
      </c>
      <c r="F3109" s="2" t="e">
        <f t="shared" si="193"/>
        <v>#VALUE!</v>
      </c>
      <c r="G3109" s="13" t="e">
        <f t="shared" si="194"/>
        <v>#VALUE!</v>
      </c>
      <c r="J3109" t="str">
        <f>MAIN!A3114&amp;"B"</f>
        <v>B</v>
      </c>
      <c r="K3109" s="12" t="e">
        <f t="shared" si="195"/>
        <v>#VALUE!</v>
      </c>
      <c r="L3109" t="str">
        <f>MAIN!C3114</f>
        <v/>
      </c>
    </row>
    <row r="3110" spans="1:12" x14ac:dyDescent="0.3">
      <c r="A3110">
        <f>IF(J3110="0",0,IF(COUNTIF($J$2:J3110,J3110)=1,1,0))</f>
        <v>0</v>
      </c>
      <c r="B3110" s="12" t="e">
        <f>MID(MAIN!A3115,K3110,2)</f>
        <v>#VALUE!</v>
      </c>
      <c r="C3110" s="12" t="e">
        <f t="shared" si="192"/>
        <v>#VALUE!</v>
      </c>
      <c r="D3110" s="12" t="e">
        <f>MID(MAIN!A3115,K3110+2,2)</f>
        <v>#VALUE!</v>
      </c>
      <c r="E3110" s="12" t="e">
        <f>MID(MAIN!A3115,K3110+4,2)</f>
        <v>#VALUE!</v>
      </c>
      <c r="F3110" s="2" t="e">
        <f t="shared" si="193"/>
        <v>#VALUE!</v>
      </c>
      <c r="G3110" s="13" t="e">
        <f t="shared" si="194"/>
        <v>#VALUE!</v>
      </c>
      <c r="J3110" t="str">
        <f>MAIN!A3115&amp;"B"</f>
        <v>B</v>
      </c>
      <c r="K3110" s="12" t="e">
        <f t="shared" si="195"/>
        <v>#VALUE!</v>
      </c>
      <c r="L3110" t="str">
        <f>MAIN!C3115</f>
        <v/>
      </c>
    </row>
    <row r="3111" spans="1:12" x14ac:dyDescent="0.3">
      <c r="A3111">
        <f>IF(J3111="0",0,IF(COUNTIF($J$2:J3111,J3111)=1,1,0))</f>
        <v>0</v>
      </c>
      <c r="B3111" s="12" t="e">
        <f>MID(MAIN!A3116,K3111,2)</f>
        <v>#VALUE!</v>
      </c>
      <c r="C3111" s="12" t="e">
        <f t="shared" si="192"/>
        <v>#VALUE!</v>
      </c>
      <c r="D3111" s="12" t="e">
        <f>MID(MAIN!A3116,K3111+2,2)</f>
        <v>#VALUE!</v>
      </c>
      <c r="E3111" s="12" t="e">
        <f>MID(MAIN!A3116,K3111+4,2)</f>
        <v>#VALUE!</v>
      </c>
      <c r="F3111" s="2" t="e">
        <f t="shared" si="193"/>
        <v>#VALUE!</v>
      </c>
      <c r="G3111" s="13" t="e">
        <f t="shared" si="194"/>
        <v>#VALUE!</v>
      </c>
      <c r="J3111" t="str">
        <f>MAIN!A3116&amp;"B"</f>
        <v>B</v>
      </c>
      <c r="K3111" s="12" t="e">
        <f t="shared" si="195"/>
        <v>#VALUE!</v>
      </c>
      <c r="L3111" t="str">
        <f>MAIN!C3116</f>
        <v/>
      </c>
    </row>
    <row r="3112" spans="1:12" x14ac:dyDescent="0.3">
      <c r="A3112">
        <f>IF(J3112="0",0,IF(COUNTIF($J$2:J3112,J3112)=1,1,0))</f>
        <v>0</v>
      </c>
      <c r="B3112" s="12" t="e">
        <f>MID(MAIN!A3117,K3112,2)</f>
        <v>#VALUE!</v>
      </c>
      <c r="C3112" s="12" t="e">
        <f t="shared" si="192"/>
        <v>#VALUE!</v>
      </c>
      <c r="D3112" s="12" t="e">
        <f>MID(MAIN!A3117,K3112+2,2)</f>
        <v>#VALUE!</v>
      </c>
      <c r="E3112" s="12" t="e">
        <f>MID(MAIN!A3117,K3112+4,2)</f>
        <v>#VALUE!</v>
      </c>
      <c r="F3112" s="2" t="e">
        <f t="shared" si="193"/>
        <v>#VALUE!</v>
      </c>
      <c r="G3112" s="13" t="e">
        <f t="shared" si="194"/>
        <v>#VALUE!</v>
      </c>
      <c r="J3112" t="str">
        <f>MAIN!A3117&amp;"B"</f>
        <v>B</v>
      </c>
      <c r="K3112" s="12" t="e">
        <f t="shared" si="195"/>
        <v>#VALUE!</v>
      </c>
      <c r="L3112" t="str">
        <f>MAIN!C3117</f>
        <v/>
      </c>
    </row>
    <row r="3113" spans="1:12" x14ac:dyDescent="0.3">
      <c r="A3113">
        <f>IF(J3113="0",0,IF(COUNTIF($J$2:J3113,J3113)=1,1,0))</f>
        <v>0</v>
      </c>
      <c r="B3113" s="12" t="e">
        <f>MID(MAIN!A3118,K3113,2)</f>
        <v>#VALUE!</v>
      </c>
      <c r="C3113" s="12" t="e">
        <f t="shared" si="192"/>
        <v>#VALUE!</v>
      </c>
      <c r="D3113" s="12" t="e">
        <f>MID(MAIN!A3118,K3113+2,2)</f>
        <v>#VALUE!</v>
      </c>
      <c r="E3113" s="12" t="e">
        <f>MID(MAIN!A3118,K3113+4,2)</f>
        <v>#VALUE!</v>
      </c>
      <c r="F3113" s="2" t="e">
        <f t="shared" si="193"/>
        <v>#VALUE!</v>
      </c>
      <c r="G3113" s="13" t="e">
        <f t="shared" si="194"/>
        <v>#VALUE!</v>
      </c>
      <c r="J3113" t="str">
        <f>MAIN!A3118&amp;"B"</f>
        <v>B</v>
      </c>
      <c r="K3113" s="12" t="e">
        <f t="shared" si="195"/>
        <v>#VALUE!</v>
      </c>
      <c r="L3113" t="str">
        <f>MAIN!C3118</f>
        <v/>
      </c>
    </row>
    <row r="3114" spans="1:12" x14ac:dyDescent="0.3">
      <c r="A3114">
        <f>IF(J3114="0",0,IF(COUNTIF($J$2:J3114,J3114)=1,1,0))</f>
        <v>0</v>
      </c>
      <c r="B3114" s="12" t="e">
        <f>MID(MAIN!A3119,K3114,2)</f>
        <v>#VALUE!</v>
      </c>
      <c r="C3114" s="12" t="e">
        <f t="shared" si="192"/>
        <v>#VALUE!</v>
      </c>
      <c r="D3114" s="12" t="e">
        <f>MID(MAIN!A3119,K3114+2,2)</f>
        <v>#VALUE!</v>
      </c>
      <c r="E3114" s="12" t="e">
        <f>MID(MAIN!A3119,K3114+4,2)</f>
        <v>#VALUE!</v>
      </c>
      <c r="F3114" s="2" t="e">
        <f t="shared" si="193"/>
        <v>#VALUE!</v>
      </c>
      <c r="G3114" s="13" t="e">
        <f t="shared" si="194"/>
        <v>#VALUE!</v>
      </c>
      <c r="J3114" t="str">
        <f>MAIN!A3119&amp;"B"</f>
        <v>B</v>
      </c>
      <c r="K3114" s="12" t="e">
        <f t="shared" si="195"/>
        <v>#VALUE!</v>
      </c>
      <c r="L3114" t="str">
        <f>MAIN!C3119</f>
        <v/>
      </c>
    </row>
    <row r="3115" spans="1:12" x14ac:dyDescent="0.3">
      <c r="A3115">
        <f>IF(J3115="0",0,IF(COUNTIF($J$2:J3115,J3115)=1,1,0))</f>
        <v>0</v>
      </c>
      <c r="B3115" s="12" t="e">
        <f>MID(MAIN!A3120,K3115,2)</f>
        <v>#VALUE!</v>
      </c>
      <c r="C3115" s="12" t="e">
        <f t="shared" si="192"/>
        <v>#VALUE!</v>
      </c>
      <c r="D3115" s="12" t="e">
        <f>MID(MAIN!A3120,K3115+2,2)</f>
        <v>#VALUE!</v>
      </c>
      <c r="E3115" s="12" t="e">
        <f>MID(MAIN!A3120,K3115+4,2)</f>
        <v>#VALUE!</v>
      </c>
      <c r="F3115" s="2" t="e">
        <f t="shared" si="193"/>
        <v>#VALUE!</v>
      </c>
      <c r="G3115" s="13" t="e">
        <f t="shared" si="194"/>
        <v>#VALUE!</v>
      </c>
      <c r="J3115" t="str">
        <f>MAIN!A3120&amp;"B"</f>
        <v>B</v>
      </c>
      <c r="K3115" s="12" t="e">
        <f t="shared" si="195"/>
        <v>#VALUE!</v>
      </c>
      <c r="L3115" t="str">
        <f>MAIN!C3120</f>
        <v/>
      </c>
    </row>
    <row r="3116" spans="1:12" x14ac:dyDescent="0.3">
      <c r="A3116">
        <f>IF(J3116="0",0,IF(COUNTIF($J$2:J3116,J3116)=1,1,0))</f>
        <v>0</v>
      </c>
      <c r="B3116" s="12" t="e">
        <f>MID(MAIN!A3121,K3116,2)</f>
        <v>#VALUE!</v>
      </c>
      <c r="C3116" s="12" t="e">
        <f t="shared" si="192"/>
        <v>#VALUE!</v>
      </c>
      <c r="D3116" s="12" t="e">
        <f>MID(MAIN!A3121,K3116+2,2)</f>
        <v>#VALUE!</v>
      </c>
      <c r="E3116" s="12" t="e">
        <f>MID(MAIN!A3121,K3116+4,2)</f>
        <v>#VALUE!</v>
      </c>
      <c r="F3116" s="2" t="e">
        <f t="shared" si="193"/>
        <v>#VALUE!</v>
      </c>
      <c r="G3116" s="13" t="e">
        <f t="shared" si="194"/>
        <v>#VALUE!</v>
      </c>
      <c r="J3116" t="str">
        <f>MAIN!A3121&amp;"B"</f>
        <v>B</v>
      </c>
      <c r="K3116" s="12" t="e">
        <f t="shared" si="195"/>
        <v>#VALUE!</v>
      </c>
      <c r="L3116" t="str">
        <f>MAIN!C3121</f>
        <v/>
      </c>
    </row>
    <row r="3117" spans="1:12" x14ac:dyDescent="0.3">
      <c r="A3117">
        <f>IF(J3117="0",0,IF(COUNTIF($J$2:J3117,J3117)=1,1,0))</f>
        <v>0</v>
      </c>
      <c r="B3117" s="12" t="e">
        <f>MID(MAIN!A3122,K3117,2)</f>
        <v>#VALUE!</v>
      </c>
      <c r="C3117" s="12" t="e">
        <f t="shared" si="192"/>
        <v>#VALUE!</v>
      </c>
      <c r="D3117" s="12" t="e">
        <f>MID(MAIN!A3122,K3117+2,2)</f>
        <v>#VALUE!</v>
      </c>
      <c r="E3117" s="12" t="e">
        <f>MID(MAIN!A3122,K3117+4,2)</f>
        <v>#VALUE!</v>
      </c>
      <c r="F3117" s="2" t="e">
        <f t="shared" si="193"/>
        <v>#VALUE!</v>
      </c>
      <c r="G3117" s="13" t="e">
        <f t="shared" si="194"/>
        <v>#VALUE!</v>
      </c>
      <c r="J3117" t="str">
        <f>MAIN!A3122&amp;"B"</f>
        <v>B</v>
      </c>
      <c r="K3117" s="12" t="e">
        <f t="shared" si="195"/>
        <v>#VALUE!</v>
      </c>
      <c r="L3117" t="str">
        <f>MAIN!C3122</f>
        <v/>
      </c>
    </row>
    <row r="3118" spans="1:12" x14ac:dyDescent="0.3">
      <c r="A3118">
        <f>IF(J3118="0",0,IF(COUNTIF($J$2:J3118,J3118)=1,1,0))</f>
        <v>0</v>
      </c>
      <c r="B3118" s="12" t="e">
        <f>MID(MAIN!A3123,K3118,2)</f>
        <v>#VALUE!</v>
      </c>
      <c r="C3118" s="12" t="e">
        <f t="shared" si="192"/>
        <v>#VALUE!</v>
      </c>
      <c r="D3118" s="12" t="e">
        <f>MID(MAIN!A3123,K3118+2,2)</f>
        <v>#VALUE!</v>
      </c>
      <c r="E3118" s="12" t="e">
        <f>MID(MAIN!A3123,K3118+4,2)</f>
        <v>#VALUE!</v>
      </c>
      <c r="F3118" s="2" t="e">
        <f t="shared" si="193"/>
        <v>#VALUE!</v>
      </c>
      <c r="G3118" s="13" t="e">
        <f t="shared" si="194"/>
        <v>#VALUE!</v>
      </c>
      <c r="J3118" t="str">
        <f>MAIN!A3123&amp;"B"</f>
        <v>B</v>
      </c>
      <c r="K3118" s="12" t="e">
        <f t="shared" si="195"/>
        <v>#VALUE!</v>
      </c>
      <c r="L3118" t="str">
        <f>MAIN!C3123</f>
        <v/>
      </c>
    </row>
    <row r="3119" spans="1:12" x14ac:dyDescent="0.3">
      <c r="A3119">
        <f>IF(J3119="0",0,IF(COUNTIF($J$2:J3119,J3119)=1,1,0))</f>
        <v>0</v>
      </c>
      <c r="B3119" s="12" t="e">
        <f>MID(MAIN!A3124,K3119,2)</f>
        <v>#VALUE!</v>
      </c>
      <c r="C3119" s="12" t="e">
        <f t="shared" si="192"/>
        <v>#VALUE!</v>
      </c>
      <c r="D3119" s="12" t="e">
        <f>MID(MAIN!A3124,K3119+2,2)</f>
        <v>#VALUE!</v>
      </c>
      <c r="E3119" s="12" t="e">
        <f>MID(MAIN!A3124,K3119+4,2)</f>
        <v>#VALUE!</v>
      </c>
      <c r="F3119" s="2" t="e">
        <f t="shared" si="193"/>
        <v>#VALUE!</v>
      </c>
      <c r="G3119" s="13" t="e">
        <f t="shared" si="194"/>
        <v>#VALUE!</v>
      </c>
      <c r="J3119" t="str">
        <f>MAIN!A3124&amp;"B"</f>
        <v>B</v>
      </c>
      <c r="K3119" s="12" t="e">
        <f t="shared" si="195"/>
        <v>#VALUE!</v>
      </c>
      <c r="L3119" t="str">
        <f>MAIN!C3124</f>
        <v/>
      </c>
    </row>
    <row r="3120" spans="1:12" x14ac:dyDescent="0.3">
      <c r="A3120">
        <f>IF(J3120="0",0,IF(COUNTIF($J$2:J3120,J3120)=1,1,0))</f>
        <v>0</v>
      </c>
      <c r="B3120" s="12" t="e">
        <f>MID(MAIN!A3125,K3120,2)</f>
        <v>#VALUE!</v>
      </c>
      <c r="C3120" s="12" t="e">
        <f t="shared" si="192"/>
        <v>#VALUE!</v>
      </c>
      <c r="D3120" s="12" t="e">
        <f>MID(MAIN!A3125,K3120+2,2)</f>
        <v>#VALUE!</v>
      </c>
      <c r="E3120" s="12" t="e">
        <f>MID(MAIN!A3125,K3120+4,2)</f>
        <v>#VALUE!</v>
      </c>
      <c r="F3120" s="2" t="e">
        <f t="shared" si="193"/>
        <v>#VALUE!</v>
      </c>
      <c r="G3120" s="13" t="e">
        <f t="shared" si="194"/>
        <v>#VALUE!</v>
      </c>
      <c r="J3120" t="str">
        <f>MAIN!A3125&amp;"B"</f>
        <v>B</v>
      </c>
      <c r="K3120" s="12" t="e">
        <f t="shared" si="195"/>
        <v>#VALUE!</v>
      </c>
      <c r="L3120" t="str">
        <f>MAIN!C3125</f>
        <v/>
      </c>
    </row>
    <row r="3121" spans="1:12" x14ac:dyDescent="0.3">
      <c r="A3121">
        <f>IF(J3121="0",0,IF(COUNTIF($J$2:J3121,J3121)=1,1,0))</f>
        <v>0</v>
      </c>
      <c r="B3121" s="12" t="e">
        <f>MID(MAIN!A3126,K3121,2)</f>
        <v>#VALUE!</v>
      </c>
      <c r="C3121" s="12" t="e">
        <f t="shared" si="192"/>
        <v>#VALUE!</v>
      </c>
      <c r="D3121" s="12" t="e">
        <f>MID(MAIN!A3126,K3121+2,2)</f>
        <v>#VALUE!</v>
      </c>
      <c r="E3121" s="12" t="e">
        <f>MID(MAIN!A3126,K3121+4,2)</f>
        <v>#VALUE!</v>
      </c>
      <c r="F3121" s="2" t="e">
        <f t="shared" si="193"/>
        <v>#VALUE!</v>
      </c>
      <c r="G3121" s="13" t="e">
        <f t="shared" si="194"/>
        <v>#VALUE!</v>
      </c>
      <c r="J3121" t="str">
        <f>MAIN!A3126&amp;"B"</f>
        <v>B</v>
      </c>
      <c r="K3121" s="12" t="e">
        <f t="shared" si="195"/>
        <v>#VALUE!</v>
      </c>
      <c r="L3121" t="str">
        <f>MAIN!C3126</f>
        <v/>
      </c>
    </row>
    <row r="3122" spans="1:12" x14ac:dyDescent="0.3">
      <c r="A3122">
        <f>IF(J3122="0",0,IF(COUNTIF($J$2:J3122,J3122)=1,1,0))</f>
        <v>0</v>
      </c>
      <c r="B3122" s="12" t="e">
        <f>MID(MAIN!A3127,K3122,2)</f>
        <v>#VALUE!</v>
      </c>
      <c r="C3122" s="12" t="e">
        <f t="shared" si="192"/>
        <v>#VALUE!</v>
      </c>
      <c r="D3122" s="12" t="e">
        <f>MID(MAIN!A3127,K3122+2,2)</f>
        <v>#VALUE!</v>
      </c>
      <c r="E3122" s="12" t="e">
        <f>MID(MAIN!A3127,K3122+4,2)</f>
        <v>#VALUE!</v>
      </c>
      <c r="F3122" s="2" t="e">
        <f t="shared" si="193"/>
        <v>#VALUE!</v>
      </c>
      <c r="G3122" s="13" t="e">
        <f t="shared" si="194"/>
        <v>#VALUE!</v>
      </c>
      <c r="J3122" t="str">
        <f>MAIN!A3127&amp;"B"</f>
        <v>B</v>
      </c>
      <c r="K3122" s="12" t="e">
        <f t="shared" si="195"/>
        <v>#VALUE!</v>
      </c>
      <c r="L3122" t="str">
        <f>MAIN!C3127</f>
        <v/>
      </c>
    </row>
    <row r="3123" spans="1:12" x14ac:dyDescent="0.3">
      <c r="A3123">
        <f>IF(J3123="0",0,IF(COUNTIF($J$2:J3123,J3123)=1,1,0))</f>
        <v>0</v>
      </c>
      <c r="B3123" s="12" t="e">
        <f>MID(MAIN!A3128,K3123,2)</f>
        <v>#VALUE!</v>
      </c>
      <c r="C3123" s="12" t="e">
        <f t="shared" si="192"/>
        <v>#VALUE!</v>
      </c>
      <c r="D3123" s="12" t="e">
        <f>MID(MAIN!A3128,K3123+2,2)</f>
        <v>#VALUE!</v>
      </c>
      <c r="E3123" s="12" t="e">
        <f>MID(MAIN!A3128,K3123+4,2)</f>
        <v>#VALUE!</v>
      </c>
      <c r="F3123" s="2" t="e">
        <f t="shared" si="193"/>
        <v>#VALUE!</v>
      </c>
      <c r="G3123" s="13" t="e">
        <f t="shared" si="194"/>
        <v>#VALUE!</v>
      </c>
      <c r="J3123" t="str">
        <f>MAIN!A3128&amp;"B"</f>
        <v>B</v>
      </c>
      <c r="K3123" s="12" t="e">
        <f t="shared" si="195"/>
        <v>#VALUE!</v>
      </c>
      <c r="L3123" t="str">
        <f>MAIN!C3128</f>
        <v/>
      </c>
    </row>
    <row r="3124" spans="1:12" x14ac:dyDescent="0.3">
      <c r="A3124">
        <f>IF(J3124="0",0,IF(COUNTIF($J$2:J3124,J3124)=1,1,0))</f>
        <v>0</v>
      </c>
      <c r="B3124" s="12" t="e">
        <f>MID(MAIN!A3129,K3124,2)</f>
        <v>#VALUE!</v>
      </c>
      <c r="C3124" s="12" t="e">
        <f t="shared" si="192"/>
        <v>#VALUE!</v>
      </c>
      <c r="D3124" s="12" t="e">
        <f>MID(MAIN!A3129,K3124+2,2)</f>
        <v>#VALUE!</v>
      </c>
      <c r="E3124" s="12" t="e">
        <f>MID(MAIN!A3129,K3124+4,2)</f>
        <v>#VALUE!</v>
      </c>
      <c r="F3124" s="2" t="e">
        <f t="shared" si="193"/>
        <v>#VALUE!</v>
      </c>
      <c r="G3124" s="13" t="e">
        <f t="shared" si="194"/>
        <v>#VALUE!</v>
      </c>
      <c r="J3124" t="str">
        <f>MAIN!A3129&amp;"B"</f>
        <v>B</v>
      </c>
      <c r="K3124" s="12" t="e">
        <f t="shared" si="195"/>
        <v>#VALUE!</v>
      </c>
      <c r="L3124" t="str">
        <f>MAIN!C3129</f>
        <v/>
      </c>
    </row>
    <row r="3125" spans="1:12" x14ac:dyDescent="0.3">
      <c r="A3125">
        <f>IF(J3125="0",0,IF(COUNTIF($J$2:J3125,J3125)=1,1,0))</f>
        <v>0</v>
      </c>
      <c r="B3125" s="12" t="e">
        <f>MID(MAIN!A3130,K3125,2)</f>
        <v>#VALUE!</v>
      </c>
      <c r="C3125" s="12" t="e">
        <f t="shared" si="192"/>
        <v>#VALUE!</v>
      </c>
      <c r="D3125" s="12" t="e">
        <f>MID(MAIN!A3130,K3125+2,2)</f>
        <v>#VALUE!</v>
      </c>
      <c r="E3125" s="12" t="e">
        <f>MID(MAIN!A3130,K3125+4,2)</f>
        <v>#VALUE!</v>
      </c>
      <c r="F3125" s="2" t="e">
        <f t="shared" si="193"/>
        <v>#VALUE!</v>
      </c>
      <c r="G3125" s="13" t="e">
        <f t="shared" si="194"/>
        <v>#VALUE!</v>
      </c>
      <c r="J3125" t="str">
        <f>MAIN!A3130&amp;"B"</f>
        <v>B</v>
      </c>
      <c r="K3125" s="12" t="e">
        <f t="shared" si="195"/>
        <v>#VALUE!</v>
      </c>
      <c r="L3125" t="str">
        <f>MAIN!C3130</f>
        <v/>
      </c>
    </row>
    <row r="3126" spans="1:12" x14ac:dyDescent="0.3">
      <c r="A3126">
        <f>IF(J3126="0",0,IF(COUNTIF($J$2:J3126,J3126)=1,1,0))</f>
        <v>0</v>
      </c>
      <c r="B3126" s="12" t="e">
        <f>MID(MAIN!A3131,K3126,2)</f>
        <v>#VALUE!</v>
      </c>
      <c r="C3126" s="12" t="e">
        <f t="shared" si="192"/>
        <v>#VALUE!</v>
      </c>
      <c r="D3126" s="12" t="e">
        <f>MID(MAIN!A3131,K3126+2,2)</f>
        <v>#VALUE!</v>
      </c>
      <c r="E3126" s="12" t="e">
        <f>MID(MAIN!A3131,K3126+4,2)</f>
        <v>#VALUE!</v>
      </c>
      <c r="F3126" s="2" t="e">
        <f t="shared" si="193"/>
        <v>#VALUE!</v>
      </c>
      <c r="G3126" s="13" t="e">
        <f t="shared" si="194"/>
        <v>#VALUE!</v>
      </c>
      <c r="J3126" t="str">
        <f>MAIN!A3131&amp;"B"</f>
        <v>B</v>
      </c>
      <c r="K3126" s="12" t="e">
        <f t="shared" si="195"/>
        <v>#VALUE!</v>
      </c>
      <c r="L3126" t="str">
        <f>MAIN!C3131</f>
        <v/>
      </c>
    </row>
    <row r="3127" spans="1:12" x14ac:dyDescent="0.3">
      <c r="A3127">
        <f>IF(J3127="0",0,IF(COUNTIF($J$2:J3127,J3127)=1,1,0))</f>
        <v>0</v>
      </c>
      <c r="B3127" s="12" t="e">
        <f>MID(MAIN!A3132,K3127,2)</f>
        <v>#VALUE!</v>
      </c>
      <c r="C3127" s="12" t="e">
        <f t="shared" si="192"/>
        <v>#VALUE!</v>
      </c>
      <c r="D3127" s="12" t="e">
        <f>MID(MAIN!A3132,K3127+2,2)</f>
        <v>#VALUE!</v>
      </c>
      <c r="E3127" s="12" t="e">
        <f>MID(MAIN!A3132,K3127+4,2)</f>
        <v>#VALUE!</v>
      </c>
      <c r="F3127" s="2" t="e">
        <f t="shared" si="193"/>
        <v>#VALUE!</v>
      </c>
      <c r="G3127" s="13" t="e">
        <f t="shared" si="194"/>
        <v>#VALUE!</v>
      </c>
      <c r="J3127" t="str">
        <f>MAIN!A3132&amp;"B"</f>
        <v>B</v>
      </c>
      <c r="K3127" s="12" t="e">
        <f t="shared" si="195"/>
        <v>#VALUE!</v>
      </c>
      <c r="L3127" t="str">
        <f>MAIN!C3132</f>
        <v/>
      </c>
    </row>
    <row r="3128" spans="1:12" x14ac:dyDescent="0.3">
      <c r="A3128">
        <f>IF(J3128="0",0,IF(COUNTIF($J$2:J3128,J3128)=1,1,0))</f>
        <v>0</v>
      </c>
      <c r="B3128" s="12" t="e">
        <f>MID(MAIN!A3133,K3128,2)</f>
        <v>#VALUE!</v>
      </c>
      <c r="C3128" s="12" t="e">
        <f t="shared" si="192"/>
        <v>#VALUE!</v>
      </c>
      <c r="D3128" s="12" t="e">
        <f>MID(MAIN!A3133,K3128+2,2)</f>
        <v>#VALUE!</v>
      </c>
      <c r="E3128" s="12" t="e">
        <f>MID(MAIN!A3133,K3128+4,2)</f>
        <v>#VALUE!</v>
      </c>
      <c r="F3128" s="2" t="e">
        <f t="shared" si="193"/>
        <v>#VALUE!</v>
      </c>
      <c r="G3128" s="13" t="e">
        <f t="shared" si="194"/>
        <v>#VALUE!</v>
      </c>
      <c r="J3128" t="str">
        <f>MAIN!A3133&amp;"B"</f>
        <v>B</v>
      </c>
      <c r="K3128" s="12" t="e">
        <f t="shared" si="195"/>
        <v>#VALUE!</v>
      </c>
      <c r="L3128" t="str">
        <f>MAIN!C3133</f>
        <v/>
      </c>
    </row>
    <row r="3129" spans="1:12" x14ac:dyDescent="0.3">
      <c r="A3129">
        <f>IF(J3129="0",0,IF(COUNTIF($J$2:J3129,J3129)=1,1,0))</f>
        <v>0</v>
      </c>
      <c r="B3129" s="12" t="e">
        <f>MID(MAIN!A3134,K3129,2)</f>
        <v>#VALUE!</v>
      </c>
      <c r="C3129" s="12" t="e">
        <f t="shared" si="192"/>
        <v>#VALUE!</v>
      </c>
      <c r="D3129" s="12" t="e">
        <f>MID(MAIN!A3134,K3129+2,2)</f>
        <v>#VALUE!</v>
      </c>
      <c r="E3129" s="12" t="e">
        <f>MID(MAIN!A3134,K3129+4,2)</f>
        <v>#VALUE!</v>
      </c>
      <c r="F3129" s="2" t="e">
        <f t="shared" si="193"/>
        <v>#VALUE!</v>
      </c>
      <c r="G3129" s="13" t="e">
        <f t="shared" si="194"/>
        <v>#VALUE!</v>
      </c>
      <c r="J3129" t="str">
        <f>MAIN!A3134&amp;"B"</f>
        <v>B</v>
      </c>
      <c r="K3129" s="12" t="e">
        <f t="shared" si="195"/>
        <v>#VALUE!</v>
      </c>
      <c r="L3129" t="str">
        <f>MAIN!C3134</f>
        <v/>
      </c>
    </row>
    <row r="3130" spans="1:12" x14ac:dyDescent="0.3">
      <c r="A3130">
        <f>IF(J3130="0",0,IF(COUNTIF($J$2:J3130,J3130)=1,1,0))</f>
        <v>0</v>
      </c>
      <c r="B3130" s="12" t="e">
        <f>MID(MAIN!A3135,K3130,2)</f>
        <v>#VALUE!</v>
      </c>
      <c r="C3130" s="12" t="e">
        <f t="shared" si="192"/>
        <v>#VALUE!</v>
      </c>
      <c r="D3130" s="12" t="e">
        <f>MID(MAIN!A3135,K3130+2,2)</f>
        <v>#VALUE!</v>
      </c>
      <c r="E3130" s="12" t="e">
        <f>MID(MAIN!A3135,K3130+4,2)</f>
        <v>#VALUE!</v>
      </c>
      <c r="F3130" s="2" t="e">
        <f t="shared" si="193"/>
        <v>#VALUE!</v>
      </c>
      <c r="G3130" s="13" t="e">
        <f t="shared" si="194"/>
        <v>#VALUE!</v>
      </c>
      <c r="J3130" t="str">
        <f>MAIN!A3135&amp;"B"</f>
        <v>B</v>
      </c>
      <c r="K3130" s="12" t="e">
        <f t="shared" si="195"/>
        <v>#VALUE!</v>
      </c>
      <c r="L3130" t="str">
        <f>MAIN!C3135</f>
        <v/>
      </c>
    </row>
    <row r="3131" spans="1:12" x14ac:dyDescent="0.3">
      <c r="A3131">
        <f>IF(J3131="0",0,IF(COUNTIF($J$2:J3131,J3131)=1,1,0))</f>
        <v>0</v>
      </c>
      <c r="B3131" s="12" t="e">
        <f>MID(MAIN!A3136,K3131,2)</f>
        <v>#VALUE!</v>
      </c>
      <c r="C3131" s="12" t="e">
        <f t="shared" si="192"/>
        <v>#VALUE!</v>
      </c>
      <c r="D3131" s="12" t="e">
        <f>MID(MAIN!A3136,K3131+2,2)</f>
        <v>#VALUE!</v>
      </c>
      <c r="E3131" s="12" t="e">
        <f>MID(MAIN!A3136,K3131+4,2)</f>
        <v>#VALUE!</v>
      </c>
      <c r="F3131" s="2" t="e">
        <f t="shared" si="193"/>
        <v>#VALUE!</v>
      </c>
      <c r="G3131" s="13" t="e">
        <f t="shared" si="194"/>
        <v>#VALUE!</v>
      </c>
      <c r="J3131" t="str">
        <f>MAIN!A3136&amp;"B"</f>
        <v>B</v>
      </c>
      <c r="K3131" s="12" t="e">
        <f t="shared" si="195"/>
        <v>#VALUE!</v>
      </c>
      <c r="L3131" t="str">
        <f>MAIN!C3136</f>
        <v/>
      </c>
    </row>
    <row r="3132" spans="1:12" x14ac:dyDescent="0.3">
      <c r="A3132">
        <f>IF(J3132="0",0,IF(COUNTIF($J$2:J3132,J3132)=1,1,0))</f>
        <v>0</v>
      </c>
      <c r="B3132" s="12" t="e">
        <f>MID(MAIN!A3137,K3132,2)</f>
        <v>#VALUE!</v>
      </c>
      <c r="C3132" s="12" t="e">
        <f t="shared" si="192"/>
        <v>#VALUE!</v>
      </c>
      <c r="D3132" s="12" t="e">
        <f>MID(MAIN!A3137,K3132+2,2)</f>
        <v>#VALUE!</v>
      </c>
      <c r="E3132" s="12" t="e">
        <f>MID(MAIN!A3137,K3132+4,2)</f>
        <v>#VALUE!</v>
      </c>
      <c r="F3132" s="2" t="e">
        <f t="shared" si="193"/>
        <v>#VALUE!</v>
      </c>
      <c r="G3132" s="13" t="e">
        <f t="shared" si="194"/>
        <v>#VALUE!</v>
      </c>
      <c r="J3132" t="str">
        <f>MAIN!A3137&amp;"B"</f>
        <v>B</v>
      </c>
      <c r="K3132" s="12" t="e">
        <f t="shared" si="195"/>
        <v>#VALUE!</v>
      </c>
      <c r="L3132" t="str">
        <f>MAIN!C3137</f>
        <v/>
      </c>
    </row>
    <row r="3133" spans="1:12" x14ac:dyDescent="0.3">
      <c r="A3133">
        <f>IF(J3133="0",0,IF(COUNTIF($J$2:J3133,J3133)=1,1,0))</f>
        <v>0</v>
      </c>
      <c r="B3133" s="12" t="e">
        <f>MID(MAIN!A3138,K3133,2)</f>
        <v>#VALUE!</v>
      </c>
      <c r="C3133" s="12" t="e">
        <f t="shared" si="192"/>
        <v>#VALUE!</v>
      </c>
      <c r="D3133" s="12" t="e">
        <f>MID(MAIN!A3138,K3133+2,2)</f>
        <v>#VALUE!</v>
      </c>
      <c r="E3133" s="12" t="e">
        <f>MID(MAIN!A3138,K3133+4,2)</f>
        <v>#VALUE!</v>
      </c>
      <c r="F3133" s="2" t="e">
        <f t="shared" si="193"/>
        <v>#VALUE!</v>
      </c>
      <c r="G3133" s="13" t="e">
        <f t="shared" si="194"/>
        <v>#VALUE!</v>
      </c>
      <c r="J3133" t="str">
        <f>MAIN!A3138&amp;"B"</f>
        <v>B</v>
      </c>
      <c r="K3133" s="12" t="e">
        <f t="shared" si="195"/>
        <v>#VALUE!</v>
      </c>
      <c r="L3133" t="str">
        <f>MAIN!C3138</f>
        <v/>
      </c>
    </row>
    <row r="3134" spans="1:12" x14ac:dyDescent="0.3">
      <c r="A3134">
        <f>IF(J3134="0",0,IF(COUNTIF($J$2:J3134,J3134)=1,1,0))</f>
        <v>0</v>
      </c>
      <c r="B3134" s="12" t="e">
        <f>MID(MAIN!A3139,K3134,2)</f>
        <v>#VALUE!</v>
      </c>
      <c r="C3134" s="12" t="e">
        <f t="shared" si="192"/>
        <v>#VALUE!</v>
      </c>
      <c r="D3134" s="12" t="e">
        <f>MID(MAIN!A3139,K3134+2,2)</f>
        <v>#VALUE!</v>
      </c>
      <c r="E3134" s="12" t="e">
        <f>MID(MAIN!A3139,K3134+4,2)</f>
        <v>#VALUE!</v>
      </c>
      <c r="F3134" s="2" t="e">
        <f t="shared" si="193"/>
        <v>#VALUE!</v>
      </c>
      <c r="G3134" s="13" t="e">
        <f t="shared" si="194"/>
        <v>#VALUE!</v>
      </c>
      <c r="J3134" t="str">
        <f>MAIN!A3139&amp;"B"</f>
        <v>B</v>
      </c>
      <c r="K3134" s="12" t="e">
        <f t="shared" si="195"/>
        <v>#VALUE!</v>
      </c>
      <c r="L3134" t="str">
        <f>MAIN!C3139</f>
        <v/>
      </c>
    </row>
    <row r="3135" spans="1:12" x14ac:dyDescent="0.3">
      <c r="A3135">
        <f>IF(J3135="0",0,IF(COUNTIF($J$2:J3135,J3135)=1,1,0))</f>
        <v>0</v>
      </c>
      <c r="B3135" s="12" t="e">
        <f>MID(MAIN!A3140,K3135,2)</f>
        <v>#VALUE!</v>
      </c>
      <c r="C3135" s="12" t="e">
        <f t="shared" si="192"/>
        <v>#VALUE!</v>
      </c>
      <c r="D3135" s="12" t="e">
        <f>MID(MAIN!A3140,K3135+2,2)</f>
        <v>#VALUE!</v>
      </c>
      <c r="E3135" s="12" t="e">
        <f>MID(MAIN!A3140,K3135+4,2)</f>
        <v>#VALUE!</v>
      </c>
      <c r="F3135" s="2" t="e">
        <f t="shared" si="193"/>
        <v>#VALUE!</v>
      </c>
      <c r="G3135" s="13" t="e">
        <f t="shared" si="194"/>
        <v>#VALUE!</v>
      </c>
      <c r="J3135" t="str">
        <f>MAIN!A3140&amp;"B"</f>
        <v>B</v>
      </c>
      <c r="K3135" s="12" t="e">
        <f t="shared" si="195"/>
        <v>#VALUE!</v>
      </c>
      <c r="L3135" t="str">
        <f>MAIN!C3140</f>
        <v/>
      </c>
    </row>
    <row r="3136" spans="1:12" x14ac:dyDescent="0.3">
      <c r="A3136">
        <f>IF(J3136="0",0,IF(COUNTIF($J$2:J3136,J3136)=1,1,0))</f>
        <v>0</v>
      </c>
      <c r="B3136" s="12" t="e">
        <f>MID(MAIN!A3141,K3136,2)</f>
        <v>#VALUE!</v>
      </c>
      <c r="C3136" s="12" t="e">
        <f t="shared" si="192"/>
        <v>#VALUE!</v>
      </c>
      <c r="D3136" s="12" t="e">
        <f>MID(MAIN!A3141,K3136+2,2)</f>
        <v>#VALUE!</v>
      </c>
      <c r="E3136" s="12" t="e">
        <f>MID(MAIN!A3141,K3136+4,2)</f>
        <v>#VALUE!</v>
      </c>
      <c r="F3136" s="2" t="e">
        <f t="shared" si="193"/>
        <v>#VALUE!</v>
      </c>
      <c r="G3136" s="13" t="e">
        <f t="shared" si="194"/>
        <v>#VALUE!</v>
      </c>
      <c r="J3136" t="str">
        <f>MAIN!A3141&amp;"B"</f>
        <v>B</v>
      </c>
      <c r="K3136" s="12" t="e">
        <f t="shared" si="195"/>
        <v>#VALUE!</v>
      </c>
      <c r="L3136" t="str">
        <f>MAIN!C3141</f>
        <v/>
      </c>
    </row>
    <row r="3137" spans="1:12" x14ac:dyDescent="0.3">
      <c r="A3137">
        <f>IF(J3137="0",0,IF(COUNTIF($J$2:J3137,J3137)=1,1,0))</f>
        <v>0</v>
      </c>
      <c r="B3137" s="12" t="e">
        <f>MID(MAIN!A3142,K3137,2)</f>
        <v>#VALUE!</v>
      </c>
      <c r="C3137" s="12" t="e">
        <f t="shared" si="192"/>
        <v>#VALUE!</v>
      </c>
      <c r="D3137" s="12" t="e">
        <f>MID(MAIN!A3142,K3137+2,2)</f>
        <v>#VALUE!</v>
      </c>
      <c r="E3137" s="12" t="e">
        <f>MID(MAIN!A3142,K3137+4,2)</f>
        <v>#VALUE!</v>
      </c>
      <c r="F3137" s="2" t="e">
        <f t="shared" si="193"/>
        <v>#VALUE!</v>
      </c>
      <c r="G3137" s="13" t="e">
        <f t="shared" si="194"/>
        <v>#VALUE!</v>
      </c>
      <c r="J3137" t="str">
        <f>MAIN!A3142&amp;"B"</f>
        <v>B</v>
      </c>
      <c r="K3137" s="12" t="e">
        <f t="shared" si="195"/>
        <v>#VALUE!</v>
      </c>
      <c r="L3137" t="str">
        <f>MAIN!C3142</f>
        <v/>
      </c>
    </row>
    <row r="3138" spans="1:12" x14ac:dyDescent="0.3">
      <c r="A3138">
        <f>IF(J3138="0",0,IF(COUNTIF($J$2:J3138,J3138)=1,1,0))</f>
        <v>0</v>
      </c>
      <c r="B3138" s="12" t="e">
        <f>MID(MAIN!A3143,K3138,2)</f>
        <v>#VALUE!</v>
      </c>
      <c r="C3138" s="12" t="e">
        <f t="shared" si="192"/>
        <v>#VALUE!</v>
      </c>
      <c r="D3138" s="12" t="e">
        <f>MID(MAIN!A3143,K3138+2,2)</f>
        <v>#VALUE!</v>
      </c>
      <c r="E3138" s="12" t="e">
        <f>MID(MAIN!A3143,K3138+4,2)</f>
        <v>#VALUE!</v>
      </c>
      <c r="F3138" s="2" t="e">
        <f t="shared" si="193"/>
        <v>#VALUE!</v>
      </c>
      <c r="G3138" s="13" t="e">
        <f t="shared" si="194"/>
        <v>#VALUE!</v>
      </c>
      <c r="J3138" t="str">
        <f>MAIN!A3143&amp;"B"</f>
        <v>B</v>
      </c>
      <c r="K3138" s="12" t="e">
        <f t="shared" si="195"/>
        <v>#VALUE!</v>
      </c>
      <c r="L3138" t="str">
        <f>MAIN!C3143</f>
        <v/>
      </c>
    </row>
    <row r="3139" spans="1:12" x14ac:dyDescent="0.3">
      <c r="A3139">
        <f>IF(J3139="0",0,IF(COUNTIF($J$2:J3139,J3139)=1,1,0))</f>
        <v>0</v>
      </c>
      <c r="B3139" s="12" t="e">
        <f>MID(MAIN!A3144,K3139,2)</f>
        <v>#VALUE!</v>
      </c>
      <c r="C3139" s="12" t="e">
        <f t="shared" ref="C3139:C3202" si="196">"20"&amp;B3139</f>
        <v>#VALUE!</v>
      </c>
      <c r="D3139" s="12" t="e">
        <f>MID(MAIN!A3144,K3139+2,2)</f>
        <v>#VALUE!</v>
      </c>
      <c r="E3139" s="12" t="e">
        <f>MID(MAIN!A3144,K3139+4,2)</f>
        <v>#VALUE!</v>
      </c>
      <c r="F3139" s="2" t="e">
        <f t="shared" ref="F3139:F3202" si="197">C3139&amp;"/"&amp;D3139&amp;"/"&amp;E3139</f>
        <v>#VALUE!</v>
      </c>
      <c r="G3139" s="13" t="e">
        <f t="shared" ref="G3139:G3202" si="198">DATEVALUE(F3139)</f>
        <v>#VALUE!</v>
      </c>
      <c r="J3139" t="str">
        <f>MAIN!A3144&amp;"B"</f>
        <v>B</v>
      </c>
      <c r="K3139" s="12" t="e">
        <f t="shared" ref="K3139:K3202" si="199">FIND("172",J3139,30)+2</f>
        <v>#VALUE!</v>
      </c>
      <c r="L3139" t="str">
        <f>MAIN!C3144</f>
        <v/>
      </c>
    </row>
    <row r="3140" spans="1:12" x14ac:dyDescent="0.3">
      <c r="A3140">
        <f>IF(J3140="0",0,IF(COUNTIF($J$2:J3140,J3140)=1,1,0))</f>
        <v>0</v>
      </c>
      <c r="B3140" s="12" t="e">
        <f>MID(MAIN!A3145,K3140,2)</f>
        <v>#VALUE!</v>
      </c>
      <c r="C3140" s="12" t="e">
        <f t="shared" si="196"/>
        <v>#VALUE!</v>
      </c>
      <c r="D3140" s="12" t="e">
        <f>MID(MAIN!A3145,K3140+2,2)</f>
        <v>#VALUE!</v>
      </c>
      <c r="E3140" s="12" t="e">
        <f>MID(MAIN!A3145,K3140+4,2)</f>
        <v>#VALUE!</v>
      </c>
      <c r="F3140" s="2" t="e">
        <f t="shared" si="197"/>
        <v>#VALUE!</v>
      </c>
      <c r="G3140" s="13" t="e">
        <f t="shared" si="198"/>
        <v>#VALUE!</v>
      </c>
      <c r="J3140" t="str">
        <f>MAIN!A3145&amp;"B"</f>
        <v>B</v>
      </c>
      <c r="K3140" s="12" t="e">
        <f t="shared" si="199"/>
        <v>#VALUE!</v>
      </c>
      <c r="L3140" t="str">
        <f>MAIN!C3145</f>
        <v/>
      </c>
    </row>
    <row r="3141" spans="1:12" x14ac:dyDescent="0.3">
      <c r="A3141">
        <f>IF(J3141="0",0,IF(COUNTIF($J$2:J3141,J3141)=1,1,0))</f>
        <v>0</v>
      </c>
      <c r="B3141" s="12" t="e">
        <f>MID(MAIN!A3146,K3141,2)</f>
        <v>#VALUE!</v>
      </c>
      <c r="C3141" s="12" t="e">
        <f t="shared" si="196"/>
        <v>#VALUE!</v>
      </c>
      <c r="D3141" s="12" t="e">
        <f>MID(MAIN!A3146,K3141+2,2)</f>
        <v>#VALUE!</v>
      </c>
      <c r="E3141" s="12" t="e">
        <f>MID(MAIN!A3146,K3141+4,2)</f>
        <v>#VALUE!</v>
      </c>
      <c r="F3141" s="2" t="e">
        <f t="shared" si="197"/>
        <v>#VALUE!</v>
      </c>
      <c r="G3141" s="13" t="e">
        <f t="shared" si="198"/>
        <v>#VALUE!</v>
      </c>
      <c r="J3141" t="str">
        <f>MAIN!A3146&amp;"B"</f>
        <v>B</v>
      </c>
      <c r="K3141" s="12" t="e">
        <f t="shared" si="199"/>
        <v>#VALUE!</v>
      </c>
      <c r="L3141" t="str">
        <f>MAIN!C3146</f>
        <v/>
      </c>
    </row>
    <row r="3142" spans="1:12" x14ac:dyDescent="0.3">
      <c r="A3142">
        <f>IF(J3142="0",0,IF(COUNTIF($J$2:J3142,J3142)=1,1,0))</f>
        <v>0</v>
      </c>
      <c r="B3142" s="12" t="e">
        <f>MID(MAIN!A3147,K3142,2)</f>
        <v>#VALUE!</v>
      </c>
      <c r="C3142" s="12" t="e">
        <f t="shared" si="196"/>
        <v>#VALUE!</v>
      </c>
      <c r="D3142" s="12" t="e">
        <f>MID(MAIN!A3147,K3142+2,2)</f>
        <v>#VALUE!</v>
      </c>
      <c r="E3142" s="12" t="e">
        <f>MID(MAIN!A3147,K3142+4,2)</f>
        <v>#VALUE!</v>
      </c>
      <c r="F3142" s="2" t="e">
        <f t="shared" si="197"/>
        <v>#VALUE!</v>
      </c>
      <c r="G3142" s="13" t="e">
        <f t="shared" si="198"/>
        <v>#VALUE!</v>
      </c>
      <c r="J3142" t="str">
        <f>MAIN!A3147&amp;"B"</f>
        <v>B</v>
      </c>
      <c r="K3142" s="12" t="e">
        <f t="shared" si="199"/>
        <v>#VALUE!</v>
      </c>
      <c r="L3142" t="str">
        <f>MAIN!C3147</f>
        <v/>
      </c>
    </row>
    <row r="3143" spans="1:12" x14ac:dyDescent="0.3">
      <c r="A3143">
        <f>IF(J3143="0",0,IF(COUNTIF($J$2:J3143,J3143)=1,1,0))</f>
        <v>0</v>
      </c>
      <c r="B3143" s="12" t="e">
        <f>MID(MAIN!A3148,K3143,2)</f>
        <v>#VALUE!</v>
      </c>
      <c r="C3143" s="12" t="e">
        <f t="shared" si="196"/>
        <v>#VALUE!</v>
      </c>
      <c r="D3143" s="12" t="e">
        <f>MID(MAIN!A3148,K3143+2,2)</f>
        <v>#VALUE!</v>
      </c>
      <c r="E3143" s="12" t="e">
        <f>MID(MAIN!A3148,K3143+4,2)</f>
        <v>#VALUE!</v>
      </c>
      <c r="F3143" s="2" t="e">
        <f t="shared" si="197"/>
        <v>#VALUE!</v>
      </c>
      <c r="G3143" s="13" t="e">
        <f t="shared" si="198"/>
        <v>#VALUE!</v>
      </c>
      <c r="J3143" t="str">
        <f>MAIN!A3148&amp;"B"</f>
        <v>B</v>
      </c>
      <c r="K3143" s="12" t="e">
        <f t="shared" si="199"/>
        <v>#VALUE!</v>
      </c>
      <c r="L3143" t="str">
        <f>MAIN!C3148</f>
        <v/>
      </c>
    </row>
    <row r="3144" spans="1:12" x14ac:dyDescent="0.3">
      <c r="A3144">
        <f>IF(J3144="0",0,IF(COUNTIF($J$2:J3144,J3144)=1,1,0))</f>
        <v>0</v>
      </c>
      <c r="B3144" s="12" t="e">
        <f>MID(MAIN!A3149,K3144,2)</f>
        <v>#VALUE!</v>
      </c>
      <c r="C3144" s="12" t="e">
        <f t="shared" si="196"/>
        <v>#VALUE!</v>
      </c>
      <c r="D3144" s="12" t="e">
        <f>MID(MAIN!A3149,K3144+2,2)</f>
        <v>#VALUE!</v>
      </c>
      <c r="E3144" s="12" t="e">
        <f>MID(MAIN!A3149,K3144+4,2)</f>
        <v>#VALUE!</v>
      </c>
      <c r="F3144" s="2" t="e">
        <f t="shared" si="197"/>
        <v>#VALUE!</v>
      </c>
      <c r="G3144" s="13" t="e">
        <f t="shared" si="198"/>
        <v>#VALUE!</v>
      </c>
      <c r="J3144" t="str">
        <f>MAIN!A3149&amp;"B"</f>
        <v>B</v>
      </c>
      <c r="K3144" s="12" t="e">
        <f t="shared" si="199"/>
        <v>#VALUE!</v>
      </c>
      <c r="L3144" t="str">
        <f>MAIN!C3149</f>
        <v/>
      </c>
    </row>
    <row r="3145" spans="1:12" x14ac:dyDescent="0.3">
      <c r="A3145">
        <f>IF(J3145="0",0,IF(COUNTIF($J$2:J3145,J3145)=1,1,0))</f>
        <v>0</v>
      </c>
      <c r="B3145" s="12" t="e">
        <f>MID(MAIN!A3150,K3145,2)</f>
        <v>#VALUE!</v>
      </c>
      <c r="C3145" s="12" t="e">
        <f t="shared" si="196"/>
        <v>#VALUE!</v>
      </c>
      <c r="D3145" s="12" t="e">
        <f>MID(MAIN!A3150,K3145+2,2)</f>
        <v>#VALUE!</v>
      </c>
      <c r="E3145" s="12" t="e">
        <f>MID(MAIN!A3150,K3145+4,2)</f>
        <v>#VALUE!</v>
      </c>
      <c r="F3145" s="2" t="e">
        <f t="shared" si="197"/>
        <v>#VALUE!</v>
      </c>
      <c r="G3145" s="13" t="e">
        <f t="shared" si="198"/>
        <v>#VALUE!</v>
      </c>
      <c r="J3145" t="str">
        <f>MAIN!A3150&amp;"B"</f>
        <v>B</v>
      </c>
      <c r="K3145" s="12" t="e">
        <f t="shared" si="199"/>
        <v>#VALUE!</v>
      </c>
      <c r="L3145" t="str">
        <f>MAIN!C3150</f>
        <v/>
      </c>
    </row>
    <row r="3146" spans="1:12" x14ac:dyDescent="0.3">
      <c r="A3146">
        <f>IF(J3146="0",0,IF(COUNTIF($J$2:J3146,J3146)=1,1,0))</f>
        <v>0</v>
      </c>
      <c r="B3146" s="12" t="e">
        <f>MID(MAIN!A3151,K3146,2)</f>
        <v>#VALUE!</v>
      </c>
      <c r="C3146" s="12" t="e">
        <f t="shared" si="196"/>
        <v>#VALUE!</v>
      </c>
      <c r="D3146" s="12" t="e">
        <f>MID(MAIN!A3151,K3146+2,2)</f>
        <v>#VALUE!</v>
      </c>
      <c r="E3146" s="12" t="e">
        <f>MID(MAIN!A3151,K3146+4,2)</f>
        <v>#VALUE!</v>
      </c>
      <c r="F3146" s="2" t="e">
        <f t="shared" si="197"/>
        <v>#VALUE!</v>
      </c>
      <c r="G3146" s="13" t="e">
        <f t="shared" si="198"/>
        <v>#VALUE!</v>
      </c>
      <c r="J3146" t="str">
        <f>MAIN!A3151&amp;"B"</f>
        <v>B</v>
      </c>
      <c r="K3146" s="12" t="e">
        <f t="shared" si="199"/>
        <v>#VALUE!</v>
      </c>
      <c r="L3146" t="str">
        <f>MAIN!C3151</f>
        <v/>
      </c>
    </row>
    <row r="3147" spans="1:12" x14ac:dyDescent="0.3">
      <c r="A3147">
        <f>IF(J3147="0",0,IF(COUNTIF($J$2:J3147,J3147)=1,1,0))</f>
        <v>0</v>
      </c>
      <c r="B3147" s="12" t="e">
        <f>MID(MAIN!A3152,K3147,2)</f>
        <v>#VALUE!</v>
      </c>
      <c r="C3147" s="12" t="e">
        <f t="shared" si="196"/>
        <v>#VALUE!</v>
      </c>
      <c r="D3147" s="12" t="e">
        <f>MID(MAIN!A3152,K3147+2,2)</f>
        <v>#VALUE!</v>
      </c>
      <c r="E3147" s="12" t="e">
        <f>MID(MAIN!A3152,K3147+4,2)</f>
        <v>#VALUE!</v>
      </c>
      <c r="F3147" s="2" t="e">
        <f t="shared" si="197"/>
        <v>#VALUE!</v>
      </c>
      <c r="G3147" s="13" t="e">
        <f t="shared" si="198"/>
        <v>#VALUE!</v>
      </c>
      <c r="J3147" t="str">
        <f>MAIN!A3152&amp;"B"</f>
        <v>B</v>
      </c>
      <c r="K3147" s="12" t="e">
        <f t="shared" si="199"/>
        <v>#VALUE!</v>
      </c>
      <c r="L3147" t="str">
        <f>MAIN!C3152</f>
        <v/>
      </c>
    </row>
    <row r="3148" spans="1:12" x14ac:dyDescent="0.3">
      <c r="A3148">
        <f>IF(J3148="0",0,IF(COUNTIF($J$2:J3148,J3148)=1,1,0))</f>
        <v>0</v>
      </c>
      <c r="B3148" s="12" t="e">
        <f>MID(MAIN!A3153,K3148,2)</f>
        <v>#VALUE!</v>
      </c>
      <c r="C3148" s="12" t="e">
        <f t="shared" si="196"/>
        <v>#VALUE!</v>
      </c>
      <c r="D3148" s="12" t="e">
        <f>MID(MAIN!A3153,K3148+2,2)</f>
        <v>#VALUE!</v>
      </c>
      <c r="E3148" s="12" t="e">
        <f>MID(MAIN!A3153,K3148+4,2)</f>
        <v>#VALUE!</v>
      </c>
      <c r="F3148" s="2" t="e">
        <f t="shared" si="197"/>
        <v>#VALUE!</v>
      </c>
      <c r="G3148" s="13" t="e">
        <f t="shared" si="198"/>
        <v>#VALUE!</v>
      </c>
      <c r="J3148" t="str">
        <f>MAIN!A3153&amp;"B"</f>
        <v>B</v>
      </c>
      <c r="K3148" s="12" t="e">
        <f t="shared" si="199"/>
        <v>#VALUE!</v>
      </c>
      <c r="L3148" t="str">
        <f>MAIN!C3153</f>
        <v/>
      </c>
    </row>
    <row r="3149" spans="1:12" x14ac:dyDescent="0.3">
      <c r="A3149">
        <f>IF(J3149="0",0,IF(COUNTIF($J$2:J3149,J3149)=1,1,0))</f>
        <v>0</v>
      </c>
      <c r="B3149" s="12" t="e">
        <f>MID(MAIN!A3154,K3149,2)</f>
        <v>#VALUE!</v>
      </c>
      <c r="C3149" s="12" t="e">
        <f t="shared" si="196"/>
        <v>#VALUE!</v>
      </c>
      <c r="D3149" s="12" t="e">
        <f>MID(MAIN!A3154,K3149+2,2)</f>
        <v>#VALUE!</v>
      </c>
      <c r="E3149" s="12" t="e">
        <f>MID(MAIN!A3154,K3149+4,2)</f>
        <v>#VALUE!</v>
      </c>
      <c r="F3149" s="2" t="e">
        <f t="shared" si="197"/>
        <v>#VALUE!</v>
      </c>
      <c r="G3149" s="13" t="e">
        <f t="shared" si="198"/>
        <v>#VALUE!</v>
      </c>
      <c r="J3149" t="str">
        <f>MAIN!A3154&amp;"B"</f>
        <v>B</v>
      </c>
      <c r="K3149" s="12" t="e">
        <f t="shared" si="199"/>
        <v>#VALUE!</v>
      </c>
      <c r="L3149" t="str">
        <f>MAIN!C3154</f>
        <v/>
      </c>
    </row>
    <row r="3150" spans="1:12" x14ac:dyDescent="0.3">
      <c r="A3150">
        <f>IF(J3150="0",0,IF(COUNTIF($J$2:J3150,J3150)=1,1,0))</f>
        <v>0</v>
      </c>
      <c r="B3150" s="12" t="e">
        <f>MID(MAIN!A3155,K3150,2)</f>
        <v>#VALUE!</v>
      </c>
      <c r="C3150" s="12" t="e">
        <f t="shared" si="196"/>
        <v>#VALUE!</v>
      </c>
      <c r="D3150" s="12" t="e">
        <f>MID(MAIN!A3155,K3150+2,2)</f>
        <v>#VALUE!</v>
      </c>
      <c r="E3150" s="12" t="e">
        <f>MID(MAIN!A3155,K3150+4,2)</f>
        <v>#VALUE!</v>
      </c>
      <c r="F3150" s="2" t="e">
        <f t="shared" si="197"/>
        <v>#VALUE!</v>
      </c>
      <c r="G3150" s="13" t="e">
        <f t="shared" si="198"/>
        <v>#VALUE!</v>
      </c>
      <c r="J3150" t="str">
        <f>MAIN!A3155&amp;"B"</f>
        <v>B</v>
      </c>
      <c r="K3150" s="12" t="e">
        <f t="shared" si="199"/>
        <v>#VALUE!</v>
      </c>
      <c r="L3150" t="str">
        <f>MAIN!C3155</f>
        <v/>
      </c>
    </row>
    <row r="3151" spans="1:12" x14ac:dyDescent="0.3">
      <c r="A3151">
        <f>IF(J3151="0",0,IF(COUNTIF($J$2:J3151,J3151)=1,1,0))</f>
        <v>0</v>
      </c>
      <c r="B3151" s="12" t="e">
        <f>MID(MAIN!A3156,K3151,2)</f>
        <v>#VALUE!</v>
      </c>
      <c r="C3151" s="12" t="e">
        <f t="shared" si="196"/>
        <v>#VALUE!</v>
      </c>
      <c r="D3151" s="12" t="e">
        <f>MID(MAIN!A3156,K3151+2,2)</f>
        <v>#VALUE!</v>
      </c>
      <c r="E3151" s="12" t="e">
        <f>MID(MAIN!A3156,K3151+4,2)</f>
        <v>#VALUE!</v>
      </c>
      <c r="F3151" s="2" t="e">
        <f t="shared" si="197"/>
        <v>#VALUE!</v>
      </c>
      <c r="G3151" s="13" t="e">
        <f t="shared" si="198"/>
        <v>#VALUE!</v>
      </c>
      <c r="J3151" t="str">
        <f>MAIN!A3156&amp;"B"</f>
        <v>B</v>
      </c>
      <c r="K3151" s="12" t="e">
        <f t="shared" si="199"/>
        <v>#VALUE!</v>
      </c>
      <c r="L3151" t="str">
        <f>MAIN!C3156</f>
        <v/>
      </c>
    </row>
    <row r="3152" spans="1:12" x14ac:dyDescent="0.3">
      <c r="A3152">
        <f>IF(J3152="0",0,IF(COUNTIF($J$2:J3152,J3152)=1,1,0))</f>
        <v>0</v>
      </c>
      <c r="B3152" s="12" t="e">
        <f>MID(MAIN!A3157,K3152,2)</f>
        <v>#VALUE!</v>
      </c>
      <c r="C3152" s="12" t="e">
        <f t="shared" si="196"/>
        <v>#VALUE!</v>
      </c>
      <c r="D3152" s="12" t="e">
        <f>MID(MAIN!A3157,K3152+2,2)</f>
        <v>#VALUE!</v>
      </c>
      <c r="E3152" s="12" t="e">
        <f>MID(MAIN!A3157,K3152+4,2)</f>
        <v>#VALUE!</v>
      </c>
      <c r="F3152" s="2" t="e">
        <f t="shared" si="197"/>
        <v>#VALUE!</v>
      </c>
      <c r="G3152" s="13" t="e">
        <f t="shared" si="198"/>
        <v>#VALUE!</v>
      </c>
      <c r="J3152" t="str">
        <f>MAIN!A3157&amp;"B"</f>
        <v>B</v>
      </c>
      <c r="K3152" s="12" t="e">
        <f t="shared" si="199"/>
        <v>#VALUE!</v>
      </c>
      <c r="L3152" t="str">
        <f>MAIN!C3157</f>
        <v/>
      </c>
    </row>
    <row r="3153" spans="1:12" x14ac:dyDescent="0.3">
      <c r="A3153">
        <f>IF(J3153="0",0,IF(COUNTIF($J$2:J3153,J3153)=1,1,0))</f>
        <v>0</v>
      </c>
      <c r="B3153" s="12" t="e">
        <f>MID(MAIN!A3158,K3153,2)</f>
        <v>#VALUE!</v>
      </c>
      <c r="C3153" s="12" t="e">
        <f t="shared" si="196"/>
        <v>#VALUE!</v>
      </c>
      <c r="D3153" s="12" t="e">
        <f>MID(MAIN!A3158,K3153+2,2)</f>
        <v>#VALUE!</v>
      </c>
      <c r="E3153" s="12" t="e">
        <f>MID(MAIN!A3158,K3153+4,2)</f>
        <v>#VALUE!</v>
      </c>
      <c r="F3153" s="2" t="e">
        <f t="shared" si="197"/>
        <v>#VALUE!</v>
      </c>
      <c r="G3153" s="13" t="e">
        <f t="shared" si="198"/>
        <v>#VALUE!</v>
      </c>
      <c r="J3153" t="str">
        <f>MAIN!A3158&amp;"B"</f>
        <v>B</v>
      </c>
      <c r="K3153" s="12" t="e">
        <f t="shared" si="199"/>
        <v>#VALUE!</v>
      </c>
      <c r="L3153" t="str">
        <f>MAIN!C3158</f>
        <v/>
      </c>
    </row>
    <row r="3154" spans="1:12" x14ac:dyDescent="0.3">
      <c r="A3154">
        <f>IF(J3154="0",0,IF(COUNTIF($J$2:J3154,J3154)=1,1,0))</f>
        <v>0</v>
      </c>
      <c r="B3154" s="12" t="e">
        <f>MID(MAIN!A3159,K3154,2)</f>
        <v>#VALUE!</v>
      </c>
      <c r="C3154" s="12" t="e">
        <f t="shared" si="196"/>
        <v>#VALUE!</v>
      </c>
      <c r="D3154" s="12" t="e">
        <f>MID(MAIN!A3159,K3154+2,2)</f>
        <v>#VALUE!</v>
      </c>
      <c r="E3154" s="12" t="e">
        <f>MID(MAIN!A3159,K3154+4,2)</f>
        <v>#VALUE!</v>
      </c>
      <c r="F3154" s="2" t="e">
        <f t="shared" si="197"/>
        <v>#VALUE!</v>
      </c>
      <c r="G3154" s="13" t="e">
        <f t="shared" si="198"/>
        <v>#VALUE!</v>
      </c>
      <c r="J3154" t="str">
        <f>MAIN!A3159&amp;"B"</f>
        <v>B</v>
      </c>
      <c r="K3154" s="12" t="e">
        <f t="shared" si="199"/>
        <v>#VALUE!</v>
      </c>
      <c r="L3154" t="str">
        <f>MAIN!C3159</f>
        <v/>
      </c>
    </row>
    <row r="3155" spans="1:12" x14ac:dyDescent="0.3">
      <c r="A3155">
        <f>IF(J3155="0",0,IF(COUNTIF($J$2:J3155,J3155)=1,1,0))</f>
        <v>0</v>
      </c>
      <c r="B3155" s="12" t="e">
        <f>MID(MAIN!A3160,K3155,2)</f>
        <v>#VALUE!</v>
      </c>
      <c r="C3155" s="12" t="e">
        <f t="shared" si="196"/>
        <v>#VALUE!</v>
      </c>
      <c r="D3155" s="12" t="e">
        <f>MID(MAIN!A3160,K3155+2,2)</f>
        <v>#VALUE!</v>
      </c>
      <c r="E3155" s="12" t="e">
        <f>MID(MAIN!A3160,K3155+4,2)</f>
        <v>#VALUE!</v>
      </c>
      <c r="F3155" s="2" t="e">
        <f t="shared" si="197"/>
        <v>#VALUE!</v>
      </c>
      <c r="G3155" s="13" t="e">
        <f t="shared" si="198"/>
        <v>#VALUE!</v>
      </c>
      <c r="J3155" t="str">
        <f>MAIN!A3160&amp;"B"</f>
        <v>B</v>
      </c>
      <c r="K3155" s="12" t="e">
        <f t="shared" si="199"/>
        <v>#VALUE!</v>
      </c>
      <c r="L3155" t="str">
        <f>MAIN!C3160</f>
        <v/>
      </c>
    </row>
    <row r="3156" spans="1:12" x14ac:dyDescent="0.3">
      <c r="A3156">
        <f>IF(J3156="0",0,IF(COUNTIF($J$2:J3156,J3156)=1,1,0))</f>
        <v>0</v>
      </c>
      <c r="B3156" s="12" t="e">
        <f>MID(MAIN!A3161,K3156,2)</f>
        <v>#VALUE!</v>
      </c>
      <c r="C3156" s="12" t="e">
        <f t="shared" si="196"/>
        <v>#VALUE!</v>
      </c>
      <c r="D3156" s="12" t="e">
        <f>MID(MAIN!A3161,K3156+2,2)</f>
        <v>#VALUE!</v>
      </c>
      <c r="E3156" s="12" t="e">
        <f>MID(MAIN!A3161,K3156+4,2)</f>
        <v>#VALUE!</v>
      </c>
      <c r="F3156" s="2" t="e">
        <f t="shared" si="197"/>
        <v>#VALUE!</v>
      </c>
      <c r="G3156" s="13" t="e">
        <f t="shared" si="198"/>
        <v>#VALUE!</v>
      </c>
      <c r="J3156" t="str">
        <f>MAIN!A3161&amp;"B"</f>
        <v>B</v>
      </c>
      <c r="K3156" s="12" t="e">
        <f t="shared" si="199"/>
        <v>#VALUE!</v>
      </c>
      <c r="L3156" t="str">
        <f>MAIN!C3161</f>
        <v/>
      </c>
    </row>
    <row r="3157" spans="1:12" x14ac:dyDescent="0.3">
      <c r="A3157">
        <f>IF(J3157="0",0,IF(COUNTIF($J$2:J3157,J3157)=1,1,0))</f>
        <v>0</v>
      </c>
      <c r="B3157" s="12" t="e">
        <f>MID(MAIN!A3162,K3157,2)</f>
        <v>#VALUE!</v>
      </c>
      <c r="C3157" s="12" t="e">
        <f t="shared" si="196"/>
        <v>#VALUE!</v>
      </c>
      <c r="D3157" s="12" t="e">
        <f>MID(MAIN!A3162,K3157+2,2)</f>
        <v>#VALUE!</v>
      </c>
      <c r="E3157" s="12" t="e">
        <f>MID(MAIN!A3162,K3157+4,2)</f>
        <v>#VALUE!</v>
      </c>
      <c r="F3157" s="2" t="e">
        <f t="shared" si="197"/>
        <v>#VALUE!</v>
      </c>
      <c r="G3157" s="13" t="e">
        <f t="shared" si="198"/>
        <v>#VALUE!</v>
      </c>
      <c r="J3157" t="str">
        <f>MAIN!A3162&amp;"B"</f>
        <v>B</v>
      </c>
      <c r="K3157" s="12" t="e">
        <f t="shared" si="199"/>
        <v>#VALUE!</v>
      </c>
      <c r="L3157" t="str">
        <f>MAIN!C3162</f>
        <v/>
      </c>
    </row>
    <row r="3158" spans="1:12" x14ac:dyDescent="0.3">
      <c r="A3158">
        <f>IF(J3158="0",0,IF(COUNTIF($J$2:J3158,J3158)=1,1,0))</f>
        <v>0</v>
      </c>
      <c r="B3158" s="12" t="e">
        <f>MID(MAIN!A3163,K3158,2)</f>
        <v>#VALUE!</v>
      </c>
      <c r="C3158" s="12" t="e">
        <f t="shared" si="196"/>
        <v>#VALUE!</v>
      </c>
      <c r="D3158" s="12" t="e">
        <f>MID(MAIN!A3163,K3158+2,2)</f>
        <v>#VALUE!</v>
      </c>
      <c r="E3158" s="12" t="e">
        <f>MID(MAIN!A3163,K3158+4,2)</f>
        <v>#VALUE!</v>
      </c>
      <c r="F3158" s="2" t="e">
        <f t="shared" si="197"/>
        <v>#VALUE!</v>
      </c>
      <c r="G3158" s="13" t="e">
        <f t="shared" si="198"/>
        <v>#VALUE!</v>
      </c>
      <c r="J3158" t="str">
        <f>MAIN!A3163&amp;"B"</f>
        <v>B</v>
      </c>
      <c r="K3158" s="12" t="e">
        <f t="shared" si="199"/>
        <v>#VALUE!</v>
      </c>
      <c r="L3158" t="str">
        <f>MAIN!C3163</f>
        <v/>
      </c>
    </row>
    <row r="3159" spans="1:12" x14ac:dyDescent="0.3">
      <c r="A3159">
        <f>IF(J3159="0",0,IF(COUNTIF($J$2:J3159,J3159)=1,1,0))</f>
        <v>0</v>
      </c>
      <c r="B3159" s="12" t="e">
        <f>MID(MAIN!A3164,K3159,2)</f>
        <v>#VALUE!</v>
      </c>
      <c r="C3159" s="12" t="e">
        <f t="shared" si="196"/>
        <v>#VALUE!</v>
      </c>
      <c r="D3159" s="12" t="e">
        <f>MID(MAIN!A3164,K3159+2,2)</f>
        <v>#VALUE!</v>
      </c>
      <c r="E3159" s="12" t="e">
        <f>MID(MAIN!A3164,K3159+4,2)</f>
        <v>#VALUE!</v>
      </c>
      <c r="F3159" s="2" t="e">
        <f t="shared" si="197"/>
        <v>#VALUE!</v>
      </c>
      <c r="G3159" s="13" t="e">
        <f t="shared" si="198"/>
        <v>#VALUE!</v>
      </c>
      <c r="J3159" t="str">
        <f>MAIN!A3164&amp;"B"</f>
        <v>B</v>
      </c>
      <c r="K3159" s="12" t="e">
        <f t="shared" si="199"/>
        <v>#VALUE!</v>
      </c>
      <c r="L3159" t="str">
        <f>MAIN!C3164</f>
        <v/>
      </c>
    </row>
    <row r="3160" spans="1:12" x14ac:dyDescent="0.3">
      <c r="A3160">
        <f>IF(J3160="0",0,IF(COUNTIF($J$2:J3160,J3160)=1,1,0))</f>
        <v>0</v>
      </c>
      <c r="B3160" s="12" t="e">
        <f>MID(MAIN!A3165,K3160,2)</f>
        <v>#VALUE!</v>
      </c>
      <c r="C3160" s="12" t="e">
        <f t="shared" si="196"/>
        <v>#VALUE!</v>
      </c>
      <c r="D3160" s="12" t="e">
        <f>MID(MAIN!A3165,K3160+2,2)</f>
        <v>#VALUE!</v>
      </c>
      <c r="E3160" s="12" t="e">
        <f>MID(MAIN!A3165,K3160+4,2)</f>
        <v>#VALUE!</v>
      </c>
      <c r="F3160" s="2" t="e">
        <f t="shared" si="197"/>
        <v>#VALUE!</v>
      </c>
      <c r="G3160" s="13" t="e">
        <f t="shared" si="198"/>
        <v>#VALUE!</v>
      </c>
      <c r="J3160" t="str">
        <f>MAIN!A3165&amp;"B"</f>
        <v>B</v>
      </c>
      <c r="K3160" s="12" t="e">
        <f t="shared" si="199"/>
        <v>#VALUE!</v>
      </c>
      <c r="L3160" t="str">
        <f>MAIN!C3165</f>
        <v/>
      </c>
    </row>
    <row r="3161" spans="1:12" x14ac:dyDescent="0.3">
      <c r="A3161">
        <f>IF(J3161="0",0,IF(COUNTIF($J$2:J3161,J3161)=1,1,0))</f>
        <v>0</v>
      </c>
      <c r="B3161" s="12" t="e">
        <f>MID(MAIN!A3166,K3161,2)</f>
        <v>#VALUE!</v>
      </c>
      <c r="C3161" s="12" t="e">
        <f t="shared" si="196"/>
        <v>#VALUE!</v>
      </c>
      <c r="D3161" s="12" t="e">
        <f>MID(MAIN!A3166,K3161+2,2)</f>
        <v>#VALUE!</v>
      </c>
      <c r="E3161" s="12" t="e">
        <f>MID(MAIN!A3166,K3161+4,2)</f>
        <v>#VALUE!</v>
      </c>
      <c r="F3161" s="2" t="e">
        <f t="shared" si="197"/>
        <v>#VALUE!</v>
      </c>
      <c r="G3161" s="13" t="e">
        <f t="shared" si="198"/>
        <v>#VALUE!</v>
      </c>
      <c r="J3161" t="str">
        <f>MAIN!A3166&amp;"B"</f>
        <v>B</v>
      </c>
      <c r="K3161" s="12" t="e">
        <f t="shared" si="199"/>
        <v>#VALUE!</v>
      </c>
      <c r="L3161" t="str">
        <f>MAIN!C3166</f>
        <v/>
      </c>
    </row>
    <row r="3162" spans="1:12" x14ac:dyDescent="0.3">
      <c r="A3162">
        <f>IF(J3162="0",0,IF(COUNTIF($J$2:J3162,J3162)=1,1,0))</f>
        <v>0</v>
      </c>
      <c r="B3162" s="12" t="e">
        <f>MID(MAIN!A3167,K3162,2)</f>
        <v>#VALUE!</v>
      </c>
      <c r="C3162" s="12" t="e">
        <f t="shared" si="196"/>
        <v>#VALUE!</v>
      </c>
      <c r="D3162" s="12" t="e">
        <f>MID(MAIN!A3167,K3162+2,2)</f>
        <v>#VALUE!</v>
      </c>
      <c r="E3162" s="12" t="e">
        <f>MID(MAIN!A3167,K3162+4,2)</f>
        <v>#VALUE!</v>
      </c>
      <c r="F3162" s="2" t="e">
        <f t="shared" si="197"/>
        <v>#VALUE!</v>
      </c>
      <c r="G3162" s="13" t="e">
        <f t="shared" si="198"/>
        <v>#VALUE!</v>
      </c>
      <c r="J3162" t="str">
        <f>MAIN!A3167&amp;"B"</f>
        <v>B</v>
      </c>
      <c r="K3162" s="12" t="e">
        <f t="shared" si="199"/>
        <v>#VALUE!</v>
      </c>
      <c r="L3162" t="str">
        <f>MAIN!C3167</f>
        <v/>
      </c>
    </row>
    <row r="3163" spans="1:12" x14ac:dyDescent="0.3">
      <c r="A3163">
        <f>IF(J3163="0",0,IF(COUNTIF($J$2:J3163,J3163)=1,1,0))</f>
        <v>0</v>
      </c>
      <c r="B3163" s="12" t="e">
        <f>MID(MAIN!A3168,K3163,2)</f>
        <v>#VALUE!</v>
      </c>
      <c r="C3163" s="12" t="e">
        <f t="shared" si="196"/>
        <v>#VALUE!</v>
      </c>
      <c r="D3163" s="12" t="e">
        <f>MID(MAIN!A3168,K3163+2,2)</f>
        <v>#VALUE!</v>
      </c>
      <c r="E3163" s="12" t="e">
        <f>MID(MAIN!A3168,K3163+4,2)</f>
        <v>#VALUE!</v>
      </c>
      <c r="F3163" s="2" t="e">
        <f t="shared" si="197"/>
        <v>#VALUE!</v>
      </c>
      <c r="G3163" s="13" t="e">
        <f t="shared" si="198"/>
        <v>#VALUE!</v>
      </c>
      <c r="J3163" t="str">
        <f>MAIN!A3168&amp;"B"</f>
        <v>B</v>
      </c>
      <c r="K3163" s="12" t="e">
        <f t="shared" si="199"/>
        <v>#VALUE!</v>
      </c>
      <c r="L3163" t="str">
        <f>MAIN!C3168</f>
        <v/>
      </c>
    </row>
    <row r="3164" spans="1:12" x14ac:dyDescent="0.3">
      <c r="A3164">
        <f>IF(J3164="0",0,IF(COUNTIF($J$2:J3164,J3164)=1,1,0))</f>
        <v>0</v>
      </c>
      <c r="B3164" s="12" t="e">
        <f>MID(MAIN!A3169,K3164,2)</f>
        <v>#VALUE!</v>
      </c>
      <c r="C3164" s="12" t="e">
        <f t="shared" si="196"/>
        <v>#VALUE!</v>
      </c>
      <c r="D3164" s="12" t="e">
        <f>MID(MAIN!A3169,K3164+2,2)</f>
        <v>#VALUE!</v>
      </c>
      <c r="E3164" s="12" t="e">
        <f>MID(MAIN!A3169,K3164+4,2)</f>
        <v>#VALUE!</v>
      </c>
      <c r="F3164" s="2" t="e">
        <f t="shared" si="197"/>
        <v>#VALUE!</v>
      </c>
      <c r="G3164" s="13" t="e">
        <f t="shared" si="198"/>
        <v>#VALUE!</v>
      </c>
      <c r="J3164" t="str">
        <f>MAIN!A3169&amp;"B"</f>
        <v>B</v>
      </c>
      <c r="K3164" s="12" t="e">
        <f t="shared" si="199"/>
        <v>#VALUE!</v>
      </c>
      <c r="L3164" t="str">
        <f>MAIN!C3169</f>
        <v/>
      </c>
    </row>
    <row r="3165" spans="1:12" x14ac:dyDescent="0.3">
      <c r="A3165">
        <f>IF(J3165="0",0,IF(COUNTIF($J$2:J3165,J3165)=1,1,0))</f>
        <v>0</v>
      </c>
      <c r="B3165" s="12" t="e">
        <f>MID(MAIN!A3170,K3165,2)</f>
        <v>#VALUE!</v>
      </c>
      <c r="C3165" s="12" t="e">
        <f t="shared" si="196"/>
        <v>#VALUE!</v>
      </c>
      <c r="D3165" s="12" t="e">
        <f>MID(MAIN!A3170,K3165+2,2)</f>
        <v>#VALUE!</v>
      </c>
      <c r="E3165" s="12" t="e">
        <f>MID(MAIN!A3170,K3165+4,2)</f>
        <v>#VALUE!</v>
      </c>
      <c r="F3165" s="2" t="e">
        <f t="shared" si="197"/>
        <v>#VALUE!</v>
      </c>
      <c r="G3165" s="13" t="e">
        <f t="shared" si="198"/>
        <v>#VALUE!</v>
      </c>
      <c r="J3165" t="str">
        <f>MAIN!A3170&amp;"B"</f>
        <v>B</v>
      </c>
      <c r="K3165" s="12" t="e">
        <f t="shared" si="199"/>
        <v>#VALUE!</v>
      </c>
      <c r="L3165" t="str">
        <f>MAIN!C3170</f>
        <v/>
      </c>
    </row>
    <row r="3166" spans="1:12" x14ac:dyDescent="0.3">
      <c r="A3166">
        <f>IF(J3166="0",0,IF(COUNTIF($J$2:J3166,J3166)=1,1,0))</f>
        <v>0</v>
      </c>
      <c r="B3166" s="12" t="e">
        <f>MID(MAIN!A3171,K3166,2)</f>
        <v>#VALUE!</v>
      </c>
      <c r="C3166" s="12" t="e">
        <f t="shared" si="196"/>
        <v>#VALUE!</v>
      </c>
      <c r="D3166" s="12" t="e">
        <f>MID(MAIN!A3171,K3166+2,2)</f>
        <v>#VALUE!</v>
      </c>
      <c r="E3166" s="12" t="e">
        <f>MID(MAIN!A3171,K3166+4,2)</f>
        <v>#VALUE!</v>
      </c>
      <c r="F3166" s="2" t="e">
        <f t="shared" si="197"/>
        <v>#VALUE!</v>
      </c>
      <c r="G3166" s="13" t="e">
        <f t="shared" si="198"/>
        <v>#VALUE!</v>
      </c>
      <c r="J3166" t="str">
        <f>MAIN!A3171&amp;"B"</f>
        <v>B</v>
      </c>
      <c r="K3166" s="12" t="e">
        <f t="shared" si="199"/>
        <v>#VALUE!</v>
      </c>
      <c r="L3166" t="str">
        <f>MAIN!C3171</f>
        <v/>
      </c>
    </row>
    <row r="3167" spans="1:12" x14ac:dyDescent="0.3">
      <c r="A3167">
        <f>IF(J3167="0",0,IF(COUNTIF($J$2:J3167,J3167)=1,1,0))</f>
        <v>0</v>
      </c>
      <c r="B3167" s="12" t="e">
        <f>MID(MAIN!A3172,K3167,2)</f>
        <v>#VALUE!</v>
      </c>
      <c r="C3167" s="12" t="e">
        <f t="shared" si="196"/>
        <v>#VALUE!</v>
      </c>
      <c r="D3167" s="12" t="e">
        <f>MID(MAIN!A3172,K3167+2,2)</f>
        <v>#VALUE!</v>
      </c>
      <c r="E3167" s="12" t="e">
        <f>MID(MAIN!A3172,K3167+4,2)</f>
        <v>#VALUE!</v>
      </c>
      <c r="F3167" s="2" t="e">
        <f t="shared" si="197"/>
        <v>#VALUE!</v>
      </c>
      <c r="G3167" s="13" t="e">
        <f t="shared" si="198"/>
        <v>#VALUE!</v>
      </c>
      <c r="J3167" t="str">
        <f>MAIN!A3172&amp;"B"</f>
        <v>B</v>
      </c>
      <c r="K3167" s="12" t="e">
        <f t="shared" si="199"/>
        <v>#VALUE!</v>
      </c>
      <c r="L3167" t="str">
        <f>MAIN!C3172</f>
        <v/>
      </c>
    </row>
    <row r="3168" spans="1:12" x14ac:dyDescent="0.3">
      <c r="A3168">
        <f>IF(J3168="0",0,IF(COUNTIF($J$2:J3168,J3168)=1,1,0))</f>
        <v>0</v>
      </c>
      <c r="B3168" s="12" t="e">
        <f>MID(MAIN!A3173,K3168,2)</f>
        <v>#VALUE!</v>
      </c>
      <c r="C3168" s="12" t="e">
        <f t="shared" si="196"/>
        <v>#VALUE!</v>
      </c>
      <c r="D3168" s="12" t="e">
        <f>MID(MAIN!A3173,K3168+2,2)</f>
        <v>#VALUE!</v>
      </c>
      <c r="E3168" s="12" t="e">
        <f>MID(MAIN!A3173,K3168+4,2)</f>
        <v>#VALUE!</v>
      </c>
      <c r="F3168" s="2" t="e">
        <f t="shared" si="197"/>
        <v>#VALUE!</v>
      </c>
      <c r="G3168" s="13" t="e">
        <f t="shared" si="198"/>
        <v>#VALUE!</v>
      </c>
      <c r="J3168" t="str">
        <f>MAIN!A3173&amp;"B"</f>
        <v>B</v>
      </c>
      <c r="K3168" s="12" t="e">
        <f t="shared" si="199"/>
        <v>#VALUE!</v>
      </c>
      <c r="L3168" t="str">
        <f>MAIN!C3173</f>
        <v/>
      </c>
    </row>
    <row r="3169" spans="1:12" x14ac:dyDescent="0.3">
      <c r="A3169">
        <f>IF(J3169="0",0,IF(COUNTIF($J$2:J3169,J3169)=1,1,0))</f>
        <v>0</v>
      </c>
      <c r="B3169" s="12" t="e">
        <f>MID(MAIN!A3174,K3169,2)</f>
        <v>#VALUE!</v>
      </c>
      <c r="C3169" s="12" t="e">
        <f t="shared" si="196"/>
        <v>#VALUE!</v>
      </c>
      <c r="D3169" s="12" t="e">
        <f>MID(MAIN!A3174,K3169+2,2)</f>
        <v>#VALUE!</v>
      </c>
      <c r="E3169" s="12" t="e">
        <f>MID(MAIN!A3174,K3169+4,2)</f>
        <v>#VALUE!</v>
      </c>
      <c r="F3169" s="2" t="e">
        <f t="shared" si="197"/>
        <v>#VALUE!</v>
      </c>
      <c r="G3169" s="13" t="e">
        <f t="shared" si="198"/>
        <v>#VALUE!</v>
      </c>
      <c r="J3169" t="str">
        <f>MAIN!A3174&amp;"B"</f>
        <v>B</v>
      </c>
      <c r="K3169" s="12" t="e">
        <f t="shared" si="199"/>
        <v>#VALUE!</v>
      </c>
      <c r="L3169" t="str">
        <f>MAIN!C3174</f>
        <v/>
      </c>
    </row>
    <row r="3170" spans="1:12" x14ac:dyDescent="0.3">
      <c r="A3170">
        <f>IF(J3170="0",0,IF(COUNTIF($J$2:J3170,J3170)=1,1,0))</f>
        <v>0</v>
      </c>
      <c r="B3170" s="12" t="e">
        <f>MID(MAIN!A3175,K3170,2)</f>
        <v>#VALUE!</v>
      </c>
      <c r="C3170" s="12" t="e">
        <f t="shared" si="196"/>
        <v>#VALUE!</v>
      </c>
      <c r="D3170" s="12" t="e">
        <f>MID(MAIN!A3175,K3170+2,2)</f>
        <v>#VALUE!</v>
      </c>
      <c r="E3170" s="12" t="e">
        <f>MID(MAIN!A3175,K3170+4,2)</f>
        <v>#VALUE!</v>
      </c>
      <c r="F3170" s="2" t="e">
        <f t="shared" si="197"/>
        <v>#VALUE!</v>
      </c>
      <c r="G3170" s="13" t="e">
        <f t="shared" si="198"/>
        <v>#VALUE!</v>
      </c>
      <c r="J3170" t="str">
        <f>MAIN!A3175&amp;"B"</f>
        <v>B</v>
      </c>
      <c r="K3170" s="12" t="e">
        <f t="shared" si="199"/>
        <v>#VALUE!</v>
      </c>
      <c r="L3170" t="str">
        <f>MAIN!C3175</f>
        <v/>
      </c>
    </row>
    <row r="3171" spans="1:12" x14ac:dyDescent="0.3">
      <c r="A3171">
        <f>IF(J3171="0",0,IF(COUNTIF($J$2:J3171,J3171)=1,1,0))</f>
        <v>0</v>
      </c>
      <c r="B3171" s="12" t="e">
        <f>MID(MAIN!A3176,K3171,2)</f>
        <v>#VALUE!</v>
      </c>
      <c r="C3171" s="12" t="e">
        <f t="shared" si="196"/>
        <v>#VALUE!</v>
      </c>
      <c r="D3171" s="12" t="e">
        <f>MID(MAIN!A3176,K3171+2,2)</f>
        <v>#VALUE!</v>
      </c>
      <c r="E3171" s="12" t="e">
        <f>MID(MAIN!A3176,K3171+4,2)</f>
        <v>#VALUE!</v>
      </c>
      <c r="F3171" s="2" t="e">
        <f t="shared" si="197"/>
        <v>#VALUE!</v>
      </c>
      <c r="G3171" s="13" t="e">
        <f t="shared" si="198"/>
        <v>#VALUE!</v>
      </c>
      <c r="J3171" t="str">
        <f>MAIN!A3176&amp;"B"</f>
        <v>B</v>
      </c>
      <c r="K3171" s="12" t="e">
        <f t="shared" si="199"/>
        <v>#VALUE!</v>
      </c>
      <c r="L3171" t="str">
        <f>MAIN!C3176</f>
        <v/>
      </c>
    </row>
    <row r="3172" spans="1:12" x14ac:dyDescent="0.3">
      <c r="A3172">
        <f>IF(J3172="0",0,IF(COUNTIF($J$2:J3172,J3172)=1,1,0))</f>
        <v>0</v>
      </c>
      <c r="B3172" s="12" t="e">
        <f>MID(MAIN!A3177,K3172,2)</f>
        <v>#VALUE!</v>
      </c>
      <c r="C3172" s="12" t="e">
        <f t="shared" si="196"/>
        <v>#VALUE!</v>
      </c>
      <c r="D3172" s="12" t="e">
        <f>MID(MAIN!A3177,K3172+2,2)</f>
        <v>#VALUE!</v>
      </c>
      <c r="E3172" s="12" t="e">
        <f>MID(MAIN!A3177,K3172+4,2)</f>
        <v>#VALUE!</v>
      </c>
      <c r="F3172" s="2" t="e">
        <f t="shared" si="197"/>
        <v>#VALUE!</v>
      </c>
      <c r="G3172" s="13" t="e">
        <f t="shared" si="198"/>
        <v>#VALUE!</v>
      </c>
      <c r="J3172" t="str">
        <f>MAIN!A3177&amp;"B"</f>
        <v>B</v>
      </c>
      <c r="K3172" s="12" t="e">
        <f t="shared" si="199"/>
        <v>#VALUE!</v>
      </c>
      <c r="L3172" t="str">
        <f>MAIN!C3177</f>
        <v/>
      </c>
    </row>
    <row r="3173" spans="1:12" x14ac:dyDescent="0.3">
      <c r="A3173">
        <f>IF(J3173="0",0,IF(COUNTIF($J$2:J3173,J3173)=1,1,0))</f>
        <v>0</v>
      </c>
      <c r="B3173" s="12" t="e">
        <f>MID(MAIN!A3178,K3173,2)</f>
        <v>#VALUE!</v>
      </c>
      <c r="C3173" s="12" t="e">
        <f t="shared" si="196"/>
        <v>#VALUE!</v>
      </c>
      <c r="D3173" s="12" t="e">
        <f>MID(MAIN!A3178,K3173+2,2)</f>
        <v>#VALUE!</v>
      </c>
      <c r="E3173" s="12" t="e">
        <f>MID(MAIN!A3178,K3173+4,2)</f>
        <v>#VALUE!</v>
      </c>
      <c r="F3173" s="2" t="e">
        <f t="shared" si="197"/>
        <v>#VALUE!</v>
      </c>
      <c r="G3173" s="13" t="e">
        <f t="shared" si="198"/>
        <v>#VALUE!</v>
      </c>
      <c r="J3173" t="str">
        <f>MAIN!A3178&amp;"B"</f>
        <v>B</v>
      </c>
      <c r="K3173" s="12" t="e">
        <f t="shared" si="199"/>
        <v>#VALUE!</v>
      </c>
      <c r="L3173" t="str">
        <f>MAIN!C3178</f>
        <v/>
      </c>
    </row>
    <row r="3174" spans="1:12" x14ac:dyDescent="0.3">
      <c r="A3174">
        <f>IF(J3174="0",0,IF(COUNTIF($J$2:J3174,J3174)=1,1,0))</f>
        <v>0</v>
      </c>
      <c r="B3174" s="12" t="e">
        <f>MID(MAIN!A3179,K3174,2)</f>
        <v>#VALUE!</v>
      </c>
      <c r="C3174" s="12" t="e">
        <f t="shared" si="196"/>
        <v>#VALUE!</v>
      </c>
      <c r="D3174" s="12" t="e">
        <f>MID(MAIN!A3179,K3174+2,2)</f>
        <v>#VALUE!</v>
      </c>
      <c r="E3174" s="12" t="e">
        <f>MID(MAIN!A3179,K3174+4,2)</f>
        <v>#VALUE!</v>
      </c>
      <c r="F3174" s="2" t="e">
        <f t="shared" si="197"/>
        <v>#VALUE!</v>
      </c>
      <c r="G3174" s="13" t="e">
        <f t="shared" si="198"/>
        <v>#VALUE!</v>
      </c>
      <c r="J3174" t="str">
        <f>MAIN!A3179&amp;"B"</f>
        <v>B</v>
      </c>
      <c r="K3174" s="12" t="e">
        <f t="shared" si="199"/>
        <v>#VALUE!</v>
      </c>
      <c r="L3174" t="str">
        <f>MAIN!C3179</f>
        <v/>
      </c>
    </row>
    <row r="3175" spans="1:12" x14ac:dyDescent="0.3">
      <c r="A3175">
        <f>IF(J3175="0",0,IF(COUNTIF($J$2:J3175,J3175)=1,1,0))</f>
        <v>0</v>
      </c>
      <c r="B3175" s="12" t="e">
        <f>MID(MAIN!A3180,K3175,2)</f>
        <v>#VALUE!</v>
      </c>
      <c r="C3175" s="12" t="e">
        <f t="shared" si="196"/>
        <v>#VALUE!</v>
      </c>
      <c r="D3175" s="12" t="e">
        <f>MID(MAIN!A3180,K3175+2,2)</f>
        <v>#VALUE!</v>
      </c>
      <c r="E3175" s="12" t="e">
        <f>MID(MAIN!A3180,K3175+4,2)</f>
        <v>#VALUE!</v>
      </c>
      <c r="F3175" s="2" t="e">
        <f t="shared" si="197"/>
        <v>#VALUE!</v>
      </c>
      <c r="G3175" s="13" t="e">
        <f t="shared" si="198"/>
        <v>#VALUE!</v>
      </c>
      <c r="J3175" t="str">
        <f>MAIN!A3180&amp;"B"</f>
        <v>B</v>
      </c>
      <c r="K3175" s="12" t="e">
        <f t="shared" si="199"/>
        <v>#VALUE!</v>
      </c>
      <c r="L3175" t="str">
        <f>MAIN!C3180</f>
        <v/>
      </c>
    </row>
    <row r="3176" spans="1:12" x14ac:dyDescent="0.3">
      <c r="A3176">
        <f>IF(J3176="0",0,IF(COUNTIF($J$2:J3176,J3176)=1,1,0))</f>
        <v>0</v>
      </c>
      <c r="B3176" s="12" t="e">
        <f>MID(MAIN!A3181,K3176,2)</f>
        <v>#VALUE!</v>
      </c>
      <c r="C3176" s="12" t="e">
        <f t="shared" si="196"/>
        <v>#VALUE!</v>
      </c>
      <c r="D3176" s="12" t="e">
        <f>MID(MAIN!A3181,K3176+2,2)</f>
        <v>#VALUE!</v>
      </c>
      <c r="E3176" s="12" t="e">
        <f>MID(MAIN!A3181,K3176+4,2)</f>
        <v>#VALUE!</v>
      </c>
      <c r="F3176" s="2" t="e">
        <f t="shared" si="197"/>
        <v>#VALUE!</v>
      </c>
      <c r="G3176" s="13" t="e">
        <f t="shared" si="198"/>
        <v>#VALUE!</v>
      </c>
      <c r="J3176" t="str">
        <f>MAIN!A3181&amp;"B"</f>
        <v>B</v>
      </c>
      <c r="K3176" s="12" t="e">
        <f t="shared" si="199"/>
        <v>#VALUE!</v>
      </c>
      <c r="L3176" t="str">
        <f>MAIN!C3181</f>
        <v/>
      </c>
    </row>
    <row r="3177" spans="1:12" x14ac:dyDescent="0.3">
      <c r="A3177">
        <f>IF(J3177="0",0,IF(COUNTIF($J$2:J3177,J3177)=1,1,0))</f>
        <v>0</v>
      </c>
      <c r="B3177" s="12" t="e">
        <f>MID(MAIN!A3182,K3177,2)</f>
        <v>#VALUE!</v>
      </c>
      <c r="C3177" s="12" t="e">
        <f t="shared" si="196"/>
        <v>#VALUE!</v>
      </c>
      <c r="D3177" s="12" t="e">
        <f>MID(MAIN!A3182,K3177+2,2)</f>
        <v>#VALUE!</v>
      </c>
      <c r="E3177" s="12" t="e">
        <f>MID(MAIN!A3182,K3177+4,2)</f>
        <v>#VALUE!</v>
      </c>
      <c r="F3177" s="2" t="e">
        <f t="shared" si="197"/>
        <v>#VALUE!</v>
      </c>
      <c r="G3177" s="13" t="e">
        <f t="shared" si="198"/>
        <v>#VALUE!</v>
      </c>
      <c r="J3177" t="str">
        <f>MAIN!A3182&amp;"B"</f>
        <v>B</v>
      </c>
      <c r="K3177" s="12" t="e">
        <f t="shared" si="199"/>
        <v>#VALUE!</v>
      </c>
      <c r="L3177" t="str">
        <f>MAIN!C3182</f>
        <v/>
      </c>
    </row>
    <row r="3178" spans="1:12" x14ac:dyDescent="0.3">
      <c r="A3178">
        <f>IF(J3178="0",0,IF(COUNTIF($J$2:J3178,J3178)=1,1,0))</f>
        <v>0</v>
      </c>
      <c r="B3178" s="12" t="e">
        <f>MID(MAIN!A3183,K3178,2)</f>
        <v>#VALUE!</v>
      </c>
      <c r="C3178" s="12" t="e">
        <f t="shared" si="196"/>
        <v>#VALUE!</v>
      </c>
      <c r="D3178" s="12" t="e">
        <f>MID(MAIN!A3183,K3178+2,2)</f>
        <v>#VALUE!</v>
      </c>
      <c r="E3178" s="12" t="e">
        <f>MID(MAIN!A3183,K3178+4,2)</f>
        <v>#VALUE!</v>
      </c>
      <c r="F3178" s="2" t="e">
        <f t="shared" si="197"/>
        <v>#VALUE!</v>
      </c>
      <c r="G3178" s="13" t="e">
        <f t="shared" si="198"/>
        <v>#VALUE!</v>
      </c>
      <c r="J3178" t="str">
        <f>MAIN!A3183&amp;"B"</f>
        <v>B</v>
      </c>
      <c r="K3178" s="12" t="e">
        <f t="shared" si="199"/>
        <v>#VALUE!</v>
      </c>
      <c r="L3178" t="str">
        <f>MAIN!C3183</f>
        <v/>
      </c>
    </row>
    <row r="3179" spans="1:12" x14ac:dyDescent="0.3">
      <c r="A3179">
        <f>IF(J3179="0",0,IF(COUNTIF($J$2:J3179,J3179)=1,1,0))</f>
        <v>0</v>
      </c>
      <c r="B3179" s="12" t="e">
        <f>MID(MAIN!A3184,K3179,2)</f>
        <v>#VALUE!</v>
      </c>
      <c r="C3179" s="12" t="e">
        <f t="shared" si="196"/>
        <v>#VALUE!</v>
      </c>
      <c r="D3179" s="12" t="e">
        <f>MID(MAIN!A3184,K3179+2,2)</f>
        <v>#VALUE!</v>
      </c>
      <c r="E3179" s="12" t="e">
        <f>MID(MAIN!A3184,K3179+4,2)</f>
        <v>#VALUE!</v>
      </c>
      <c r="F3179" s="2" t="e">
        <f t="shared" si="197"/>
        <v>#VALUE!</v>
      </c>
      <c r="G3179" s="13" t="e">
        <f t="shared" si="198"/>
        <v>#VALUE!</v>
      </c>
      <c r="J3179" t="str">
        <f>MAIN!A3184&amp;"B"</f>
        <v>B</v>
      </c>
      <c r="K3179" s="12" t="e">
        <f t="shared" si="199"/>
        <v>#VALUE!</v>
      </c>
      <c r="L3179" t="str">
        <f>MAIN!C3184</f>
        <v/>
      </c>
    </row>
    <row r="3180" spans="1:12" x14ac:dyDescent="0.3">
      <c r="A3180">
        <f>IF(J3180="0",0,IF(COUNTIF($J$2:J3180,J3180)=1,1,0))</f>
        <v>0</v>
      </c>
      <c r="B3180" s="12" t="e">
        <f>MID(MAIN!A3185,K3180,2)</f>
        <v>#VALUE!</v>
      </c>
      <c r="C3180" s="12" t="e">
        <f t="shared" si="196"/>
        <v>#VALUE!</v>
      </c>
      <c r="D3180" s="12" t="e">
        <f>MID(MAIN!A3185,K3180+2,2)</f>
        <v>#VALUE!</v>
      </c>
      <c r="E3180" s="12" t="e">
        <f>MID(MAIN!A3185,K3180+4,2)</f>
        <v>#VALUE!</v>
      </c>
      <c r="F3180" s="2" t="e">
        <f t="shared" si="197"/>
        <v>#VALUE!</v>
      </c>
      <c r="G3180" s="13" t="e">
        <f t="shared" si="198"/>
        <v>#VALUE!</v>
      </c>
      <c r="J3180" t="str">
        <f>MAIN!A3185&amp;"B"</f>
        <v>B</v>
      </c>
      <c r="K3180" s="12" t="e">
        <f t="shared" si="199"/>
        <v>#VALUE!</v>
      </c>
      <c r="L3180" t="str">
        <f>MAIN!C3185</f>
        <v/>
      </c>
    </row>
    <row r="3181" spans="1:12" x14ac:dyDescent="0.3">
      <c r="A3181">
        <f>IF(J3181="0",0,IF(COUNTIF($J$2:J3181,J3181)=1,1,0))</f>
        <v>0</v>
      </c>
      <c r="B3181" s="12" t="e">
        <f>MID(MAIN!A3186,K3181,2)</f>
        <v>#VALUE!</v>
      </c>
      <c r="C3181" s="12" t="e">
        <f t="shared" si="196"/>
        <v>#VALUE!</v>
      </c>
      <c r="D3181" s="12" t="e">
        <f>MID(MAIN!A3186,K3181+2,2)</f>
        <v>#VALUE!</v>
      </c>
      <c r="E3181" s="12" t="e">
        <f>MID(MAIN!A3186,K3181+4,2)</f>
        <v>#VALUE!</v>
      </c>
      <c r="F3181" s="2" t="e">
        <f t="shared" si="197"/>
        <v>#VALUE!</v>
      </c>
      <c r="G3181" s="13" t="e">
        <f t="shared" si="198"/>
        <v>#VALUE!</v>
      </c>
      <c r="J3181" t="str">
        <f>MAIN!A3186&amp;"B"</f>
        <v>B</v>
      </c>
      <c r="K3181" s="12" t="e">
        <f t="shared" si="199"/>
        <v>#VALUE!</v>
      </c>
      <c r="L3181" t="str">
        <f>MAIN!C3186</f>
        <v/>
      </c>
    </row>
    <row r="3182" spans="1:12" x14ac:dyDescent="0.3">
      <c r="A3182">
        <f>IF(J3182="0",0,IF(COUNTIF($J$2:J3182,J3182)=1,1,0))</f>
        <v>0</v>
      </c>
      <c r="B3182" s="12" t="e">
        <f>MID(MAIN!A3187,K3182,2)</f>
        <v>#VALUE!</v>
      </c>
      <c r="C3182" s="12" t="e">
        <f t="shared" si="196"/>
        <v>#VALUE!</v>
      </c>
      <c r="D3182" s="12" t="e">
        <f>MID(MAIN!A3187,K3182+2,2)</f>
        <v>#VALUE!</v>
      </c>
      <c r="E3182" s="12" t="e">
        <f>MID(MAIN!A3187,K3182+4,2)</f>
        <v>#VALUE!</v>
      </c>
      <c r="F3182" s="2" t="e">
        <f t="shared" si="197"/>
        <v>#VALUE!</v>
      </c>
      <c r="G3182" s="13" t="e">
        <f t="shared" si="198"/>
        <v>#VALUE!</v>
      </c>
      <c r="J3182" t="str">
        <f>MAIN!A3187&amp;"B"</f>
        <v>B</v>
      </c>
      <c r="K3182" s="12" t="e">
        <f t="shared" si="199"/>
        <v>#VALUE!</v>
      </c>
      <c r="L3182" t="str">
        <f>MAIN!C3187</f>
        <v/>
      </c>
    </row>
    <row r="3183" spans="1:12" x14ac:dyDescent="0.3">
      <c r="A3183">
        <f>IF(J3183="0",0,IF(COUNTIF($J$2:J3183,J3183)=1,1,0))</f>
        <v>0</v>
      </c>
      <c r="B3183" s="12" t="e">
        <f>MID(MAIN!A3188,K3183,2)</f>
        <v>#VALUE!</v>
      </c>
      <c r="C3183" s="12" t="e">
        <f t="shared" si="196"/>
        <v>#VALUE!</v>
      </c>
      <c r="D3183" s="12" t="e">
        <f>MID(MAIN!A3188,K3183+2,2)</f>
        <v>#VALUE!</v>
      </c>
      <c r="E3183" s="12" t="e">
        <f>MID(MAIN!A3188,K3183+4,2)</f>
        <v>#VALUE!</v>
      </c>
      <c r="F3183" s="2" t="e">
        <f t="shared" si="197"/>
        <v>#VALUE!</v>
      </c>
      <c r="G3183" s="13" t="e">
        <f t="shared" si="198"/>
        <v>#VALUE!</v>
      </c>
      <c r="J3183" t="str">
        <f>MAIN!A3188&amp;"B"</f>
        <v>B</v>
      </c>
      <c r="K3183" s="12" t="e">
        <f t="shared" si="199"/>
        <v>#VALUE!</v>
      </c>
      <c r="L3183" t="str">
        <f>MAIN!C3188</f>
        <v/>
      </c>
    </row>
    <row r="3184" spans="1:12" x14ac:dyDescent="0.3">
      <c r="A3184">
        <f>IF(J3184="0",0,IF(COUNTIF($J$2:J3184,J3184)=1,1,0))</f>
        <v>0</v>
      </c>
      <c r="B3184" s="12" t="e">
        <f>MID(MAIN!A3189,K3184,2)</f>
        <v>#VALUE!</v>
      </c>
      <c r="C3184" s="12" t="e">
        <f t="shared" si="196"/>
        <v>#VALUE!</v>
      </c>
      <c r="D3184" s="12" t="e">
        <f>MID(MAIN!A3189,K3184+2,2)</f>
        <v>#VALUE!</v>
      </c>
      <c r="E3184" s="12" t="e">
        <f>MID(MAIN!A3189,K3184+4,2)</f>
        <v>#VALUE!</v>
      </c>
      <c r="F3184" s="2" t="e">
        <f t="shared" si="197"/>
        <v>#VALUE!</v>
      </c>
      <c r="G3184" s="13" t="e">
        <f t="shared" si="198"/>
        <v>#VALUE!</v>
      </c>
      <c r="J3184" t="str">
        <f>MAIN!A3189&amp;"B"</f>
        <v>B</v>
      </c>
      <c r="K3184" s="12" t="e">
        <f t="shared" si="199"/>
        <v>#VALUE!</v>
      </c>
      <c r="L3184" t="str">
        <f>MAIN!C3189</f>
        <v/>
      </c>
    </row>
    <row r="3185" spans="1:12" x14ac:dyDescent="0.3">
      <c r="A3185">
        <f>IF(J3185="0",0,IF(COUNTIF($J$2:J3185,J3185)=1,1,0))</f>
        <v>0</v>
      </c>
      <c r="B3185" s="12" t="e">
        <f>MID(MAIN!A3190,K3185,2)</f>
        <v>#VALUE!</v>
      </c>
      <c r="C3185" s="12" t="e">
        <f t="shared" si="196"/>
        <v>#VALUE!</v>
      </c>
      <c r="D3185" s="12" t="e">
        <f>MID(MAIN!A3190,K3185+2,2)</f>
        <v>#VALUE!</v>
      </c>
      <c r="E3185" s="12" t="e">
        <f>MID(MAIN!A3190,K3185+4,2)</f>
        <v>#VALUE!</v>
      </c>
      <c r="F3185" s="2" t="e">
        <f t="shared" si="197"/>
        <v>#VALUE!</v>
      </c>
      <c r="G3185" s="13" t="e">
        <f t="shared" si="198"/>
        <v>#VALUE!</v>
      </c>
      <c r="J3185" t="str">
        <f>MAIN!A3190&amp;"B"</f>
        <v>B</v>
      </c>
      <c r="K3185" s="12" t="e">
        <f t="shared" si="199"/>
        <v>#VALUE!</v>
      </c>
      <c r="L3185" t="str">
        <f>MAIN!C3190</f>
        <v/>
      </c>
    </row>
    <row r="3186" spans="1:12" x14ac:dyDescent="0.3">
      <c r="A3186">
        <f>IF(J3186="0",0,IF(COUNTIF($J$2:J3186,J3186)=1,1,0))</f>
        <v>0</v>
      </c>
      <c r="B3186" s="12" t="e">
        <f>MID(MAIN!A3191,K3186,2)</f>
        <v>#VALUE!</v>
      </c>
      <c r="C3186" s="12" t="e">
        <f t="shared" si="196"/>
        <v>#VALUE!</v>
      </c>
      <c r="D3186" s="12" t="e">
        <f>MID(MAIN!A3191,K3186+2,2)</f>
        <v>#VALUE!</v>
      </c>
      <c r="E3186" s="12" t="e">
        <f>MID(MAIN!A3191,K3186+4,2)</f>
        <v>#VALUE!</v>
      </c>
      <c r="F3186" s="2" t="e">
        <f t="shared" si="197"/>
        <v>#VALUE!</v>
      </c>
      <c r="G3186" s="13" t="e">
        <f t="shared" si="198"/>
        <v>#VALUE!</v>
      </c>
      <c r="J3186" t="str">
        <f>MAIN!A3191&amp;"B"</f>
        <v>B</v>
      </c>
      <c r="K3186" s="12" t="e">
        <f t="shared" si="199"/>
        <v>#VALUE!</v>
      </c>
      <c r="L3186" t="str">
        <f>MAIN!C3191</f>
        <v/>
      </c>
    </row>
    <row r="3187" spans="1:12" x14ac:dyDescent="0.3">
      <c r="A3187">
        <f>IF(J3187="0",0,IF(COUNTIF($J$2:J3187,J3187)=1,1,0))</f>
        <v>0</v>
      </c>
      <c r="B3187" s="12" t="e">
        <f>MID(MAIN!A3192,K3187,2)</f>
        <v>#VALUE!</v>
      </c>
      <c r="C3187" s="12" t="e">
        <f t="shared" si="196"/>
        <v>#VALUE!</v>
      </c>
      <c r="D3187" s="12" t="e">
        <f>MID(MAIN!A3192,K3187+2,2)</f>
        <v>#VALUE!</v>
      </c>
      <c r="E3187" s="12" t="e">
        <f>MID(MAIN!A3192,K3187+4,2)</f>
        <v>#VALUE!</v>
      </c>
      <c r="F3187" s="2" t="e">
        <f t="shared" si="197"/>
        <v>#VALUE!</v>
      </c>
      <c r="G3187" s="13" t="e">
        <f t="shared" si="198"/>
        <v>#VALUE!</v>
      </c>
      <c r="J3187" t="str">
        <f>MAIN!A3192&amp;"B"</f>
        <v>B</v>
      </c>
      <c r="K3187" s="12" t="e">
        <f t="shared" si="199"/>
        <v>#VALUE!</v>
      </c>
      <c r="L3187" t="str">
        <f>MAIN!C3192</f>
        <v/>
      </c>
    </row>
    <row r="3188" spans="1:12" x14ac:dyDescent="0.3">
      <c r="A3188">
        <f>IF(J3188="0",0,IF(COUNTIF($J$2:J3188,J3188)=1,1,0))</f>
        <v>0</v>
      </c>
      <c r="B3188" s="12" t="e">
        <f>MID(MAIN!A3193,K3188,2)</f>
        <v>#VALUE!</v>
      </c>
      <c r="C3188" s="12" t="e">
        <f t="shared" si="196"/>
        <v>#VALUE!</v>
      </c>
      <c r="D3188" s="12" t="e">
        <f>MID(MAIN!A3193,K3188+2,2)</f>
        <v>#VALUE!</v>
      </c>
      <c r="E3188" s="12" t="e">
        <f>MID(MAIN!A3193,K3188+4,2)</f>
        <v>#VALUE!</v>
      </c>
      <c r="F3188" s="2" t="e">
        <f t="shared" si="197"/>
        <v>#VALUE!</v>
      </c>
      <c r="G3188" s="13" t="e">
        <f t="shared" si="198"/>
        <v>#VALUE!</v>
      </c>
      <c r="J3188" t="str">
        <f>MAIN!A3193&amp;"B"</f>
        <v>B</v>
      </c>
      <c r="K3188" s="12" t="e">
        <f t="shared" si="199"/>
        <v>#VALUE!</v>
      </c>
      <c r="L3188" t="str">
        <f>MAIN!C3193</f>
        <v/>
      </c>
    </row>
    <row r="3189" spans="1:12" x14ac:dyDescent="0.3">
      <c r="A3189">
        <f>IF(J3189="0",0,IF(COUNTIF($J$2:J3189,J3189)=1,1,0))</f>
        <v>0</v>
      </c>
      <c r="B3189" s="12" t="e">
        <f>MID(MAIN!A3194,K3189,2)</f>
        <v>#VALUE!</v>
      </c>
      <c r="C3189" s="12" t="e">
        <f t="shared" si="196"/>
        <v>#VALUE!</v>
      </c>
      <c r="D3189" s="12" t="e">
        <f>MID(MAIN!A3194,K3189+2,2)</f>
        <v>#VALUE!</v>
      </c>
      <c r="E3189" s="12" t="e">
        <f>MID(MAIN!A3194,K3189+4,2)</f>
        <v>#VALUE!</v>
      </c>
      <c r="F3189" s="2" t="e">
        <f t="shared" si="197"/>
        <v>#VALUE!</v>
      </c>
      <c r="G3189" s="13" t="e">
        <f t="shared" si="198"/>
        <v>#VALUE!</v>
      </c>
      <c r="J3189" t="str">
        <f>MAIN!A3194&amp;"B"</f>
        <v>B</v>
      </c>
      <c r="K3189" s="12" t="e">
        <f t="shared" si="199"/>
        <v>#VALUE!</v>
      </c>
      <c r="L3189" t="str">
        <f>MAIN!C3194</f>
        <v/>
      </c>
    </row>
    <row r="3190" spans="1:12" x14ac:dyDescent="0.3">
      <c r="A3190">
        <f>IF(J3190="0",0,IF(COUNTIF($J$2:J3190,J3190)=1,1,0))</f>
        <v>0</v>
      </c>
      <c r="B3190" s="12" t="e">
        <f>MID(MAIN!A3195,K3190,2)</f>
        <v>#VALUE!</v>
      </c>
      <c r="C3190" s="12" t="e">
        <f t="shared" si="196"/>
        <v>#VALUE!</v>
      </c>
      <c r="D3190" s="12" t="e">
        <f>MID(MAIN!A3195,K3190+2,2)</f>
        <v>#VALUE!</v>
      </c>
      <c r="E3190" s="12" t="e">
        <f>MID(MAIN!A3195,K3190+4,2)</f>
        <v>#VALUE!</v>
      </c>
      <c r="F3190" s="2" t="e">
        <f t="shared" si="197"/>
        <v>#VALUE!</v>
      </c>
      <c r="G3190" s="13" t="e">
        <f t="shared" si="198"/>
        <v>#VALUE!</v>
      </c>
      <c r="J3190" t="str">
        <f>MAIN!A3195&amp;"B"</f>
        <v>B</v>
      </c>
      <c r="K3190" s="12" t="e">
        <f t="shared" si="199"/>
        <v>#VALUE!</v>
      </c>
      <c r="L3190" t="str">
        <f>MAIN!C3195</f>
        <v/>
      </c>
    </row>
    <row r="3191" spans="1:12" x14ac:dyDescent="0.3">
      <c r="A3191">
        <f>IF(J3191="0",0,IF(COUNTIF($J$2:J3191,J3191)=1,1,0))</f>
        <v>0</v>
      </c>
      <c r="B3191" s="12" t="e">
        <f>MID(MAIN!A3196,K3191,2)</f>
        <v>#VALUE!</v>
      </c>
      <c r="C3191" s="12" t="e">
        <f t="shared" si="196"/>
        <v>#VALUE!</v>
      </c>
      <c r="D3191" s="12" t="e">
        <f>MID(MAIN!A3196,K3191+2,2)</f>
        <v>#VALUE!</v>
      </c>
      <c r="E3191" s="12" t="e">
        <f>MID(MAIN!A3196,K3191+4,2)</f>
        <v>#VALUE!</v>
      </c>
      <c r="F3191" s="2" t="e">
        <f t="shared" si="197"/>
        <v>#VALUE!</v>
      </c>
      <c r="G3191" s="13" t="e">
        <f t="shared" si="198"/>
        <v>#VALUE!</v>
      </c>
      <c r="J3191" t="str">
        <f>MAIN!A3196&amp;"B"</f>
        <v>B</v>
      </c>
      <c r="K3191" s="12" t="e">
        <f t="shared" si="199"/>
        <v>#VALUE!</v>
      </c>
      <c r="L3191" t="str">
        <f>MAIN!C3196</f>
        <v/>
      </c>
    </row>
    <row r="3192" spans="1:12" x14ac:dyDescent="0.3">
      <c r="A3192">
        <f>IF(J3192="0",0,IF(COUNTIF($J$2:J3192,J3192)=1,1,0))</f>
        <v>0</v>
      </c>
      <c r="B3192" s="12" t="e">
        <f>MID(MAIN!A3197,K3192,2)</f>
        <v>#VALUE!</v>
      </c>
      <c r="C3192" s="12" t="e">
        <f t="shared" si="196"/>
        <v>#VALUE!</v>
      </c>
      <c r="D3192" s="12" t="e">
        <f>MID(MAIN!A3197,K3192+2,2)</f>
        <v>#VALUE!</v>
      </c>
      <c r="E3192" s="12" t="e">
        <f>MID(MAIN!A3197,K3192+4,2)</f>
        <v>#VALUE!</v>
      </c>
      <c r="F3192" s="2" t="e">
        <f t="shared" si="197"/>
        <v>#VALUE!</v>
      </c>
      <c r="G3192" s="13" t="e">
        <f t="shared" si="198"/>
        <v>#VALUE!</v>
      </c>
      <c r="J3192" t="str">
        <f>MAIN!A3197&amp;"B"</f>
        <v>B</v>
      </c>
      <c r="K3192" s="12" t="e">
        <f t="shared" si="199"/>
        <v>#VALUE!</v>
      </c>
      <c r="L3192" t="str">
        <f>MAIN!C3197</f>
        <v/>
      </c>
    </row>
    <row r="3193" spans="1:12" x14ac:dyDescent="0.3">
      <c r="A3193">
        <f>IF(J3193="0",0,IF(COUNTIF($J$2:J3193,J3193)=1,1,0))</f>
        <v>0</v>
      </c>
      <c r="B3193" s="12" t="e">
        <f>MID(MAIN!A3198,K3193,2)</f>
        <v>#VALUE!</v>
      </c>
      <c r="C3193" s="12" t="e">
        <f t="shared" si="196"/>
        <v>#VALUE!</v>
      </c>
      <c r="D3193" s="12" t="e">
        <f>MID(MAIN!A3198,K3193+2,2)</f>
        <v>#VALUE!</v>
      </c>
      <c r="E3193" s="12" t="e">
        <f>MID(MAIN!A3198,K3193+4,2)</f>
        <v>#VALUE!</v>
      </c>
      <c r="F3193" s="2" t="e">
        <f t="shared" si="197"/>
        <v>#VALUE!</v>
      </c>
      <c r="G3193" s="13" t="e">
        <f t="shared" si="198"/>
        <v>#VALUE!</v>
      </c>
      <c r="J3193" t="str">
        <f>MAIN!A3198&amp;"B"</f>
        <v>B</v>
      </c>
      <c r="K3193" s="12" t="e">
        <f t="shared" si="199"/>
        <v>#VALUE!</v>
      </c>
      <c r="L3193" t="str">
        <f>MAIN!C3198</f>
        <v/>
      </c>
    </row>
    <row r="3194" spans="1:12" x14ac:dyDescent="0.3">
      <c r="A3194">
        <f>IF(J3194="0",0,IF(COUNTIF($J$2:J3194,J3194)=1,1,0))</f>
        <v>0</v>
      </c>
      <c r="B3194" s="12" t="e">
        <f>MID(MAIN!A3199,K3194,2)</f>
        <v>#VALUE!</v>
      </c>
      <c r="C3194" s="12" t="e">
        <f t="shared" si="196"/>
        <v>#VALUE!</v>
      </c>
      <c r="D3194" s="12" t="e">
        <f>MID(MAIN!A3199,K3194+2,2)</f>
        <v>#VALUE!</v>
      </c>
      <c r="E3194" s="12" t="e">
        <f>MID(MAIN!A3199,K3194+4,2)</f>
        <v>#VALUE!</v>
      </c>
      <c r="F3194" s="2" t="e">
        <f t="shared" si="197"/>
        <v>#VALUE!</v>
      </c>
      <c r="G3194" s="13" t="e">
        <f t="shared" si="198"/>
        <v>#VALUE!</v>
      </c>
      <c r="J3194" t="str">
        <f>MAIN!A3199&amp;"B"</f>
        <v>B</v>
      </c>
      <c r="K3194" s="12" t="e">
        <f t="shared" si="199"/>
        <v>#VALUE!</v>
      </c>
      <c r="L3194" t="str">
        <f>MAIN!C3199</f>
        <v/>
      </c>
    </row>
    <row r="3195" spans="1:12" x14ac:dyDescent="0.3">
      <c r="A3195">
        <f>IF(J3195="0",0,IF(COUNTIF($J$2:J3195,J3195)=1,1,0))</f>
        <v>0</v>
      </c>
      <c r="B3195" s="12" t="e">
        <f>MID(MAIN!A3200,K3195,2)</f>
        <v>#VALUE!</v>
      </c>
      <c r="C3195" s="12" t="e">
        <f t="shared" si="196"/>
        <v>#VALUE!</v>
      </c>
      <c r="D3195" s="12" t="e">
        <f>MID(MAIN!A3200,K3195+2,2)</f>
        <v>#VALUE!</v>
      </c>
      <c r="E3195" s="12" t="e">
        <f>MID(MAIN!A3200,K3195+4,2)</f>
        <v>#VALUE!</v>
      </c>
      <c r="F3195" s="2" t="e">
        <f t="shared" si="197"/>
        <v>#VALUE!</v>
      </c>
      <c r="G3195" s="13" t="e">
        <f t="shared" si="198"/>
        <v>#VALUE!</v>
      </c>
      <c r="J3195" t="str">
        <f>MAIN!A3200&amp;"B"</f>
        <v>B</v>
      </c>
      <c r="K3195" s="12" t="e">
        <f t="shared" si="199"/>
        <v>#VALUE!</v>
      </c>
      <c r="L3195" t="str">
        <f>MAIN!C3200</f>
        <v/>
      </c>
    </row>
    <row r="3196" spans="1:12" x14ac:dyDescent="0.3">
      <c r="A3196">
        <f>IF(J3196="0",0,IF(COUNTIF($J$2:J3196,J3196)=1,1,0))</f>
        <v>0</v>
      </c>
      <c r="B3196" s="12" t="e">
        <f>MID(MAIN!A3201,K3196,2)</f>
        <v>#VALUE!</v>
      </c>
      <c r="C3196" s="12" t="e">
        <f t="shared" si="196"/>
        <v>#VALUE!</v>
      </c>
      <c r="D3196" s="12" t="e">
        <f>MID(MAIN!A3201,K3196+2,2)</f>
        <v>#VALUE!</v>
      </c>
      <c r="E3196" s="12" t="e">
        <f>MID(MAIN!A3201,K3196+4,2)</f>
        <v>#VALUE!</v>
      </c>
      <c r="F3196" s="2" t="e">
        <f t="shared" si="197"/>
        <v>#VALUE!</v>
      </c>
      <c r="G3196" s="13" t="e">
        <f t="shared" si="198"/>
        <v>#VALUE!</v>
      </c>
      <c r="J3196" t="str">
        <f>MAIN!A3201&amp;"B"</f>
        <v>B</v>
      </c>
      <c r="K3196" s="12" t="e">
        <f t="shared" si="199"/>
        <v>#VALUE!</v>
      </c>
      <c r="L3196" t="str">
        <f>MAIN!C3201</f>
        <v/>
      </c>
    </row>
    <row r="3197" spans="1:12" x14ac:dyDescent="0.3">
      <c r="A3197">
        <f>IF(J3197="0",0,IF(COUNTIF($J$2:J3197,J3197)=1,1,0))</f>
        <v>0</v>
      </c>
      <c r="B3197" s="12" t="e">
        <f>MID(MAIN!A3202,K3197,2)</f>
        <v>#VALUE!</v>
      </c>
      <c r="C3197" s="12" t="e">
        <f t="shared" si="196"/>
        <v>#VALUE!</v>
      </c>
      <c r="D3197" s="12" t="e">
        <f>MID(MAIN!A3202,K3197+2,2)</f>
        <v>#VALUE!</v>
      </c>
      <c r="E3197" s="12" t="e">
        <f>MID(MAIN!A3202,K3197+4,2)</f>
        <v>#VALUE!</v>
      </c>
      <c r="F3197" s="2" t="e">
        <f t="shared" si="197"/>
        <v>#VALUE!</v>
      </c>
      <c r="G3197" s="13" t="e">
        <f t="shared" si="198"/>
        <v>#VALUE!</v>
      </c>
      <c r="J3197" t="str">
        <f>MAIN!A3202&amp;"B"</f>
        <v>B</v>
      </c>
      <c r="K3197" s="12" t="e">
        <f t="shared" si="199"/>
        <v>#VALUE!</v>
      </c>
      <c r="L3197" t="str">
        <f>MAIN!C3202</f>
        <v/>
      </c>
    </row>
    <row r="3198" spans="1:12" x14ac:dyDescent="0.3">
      <c r="A3198">
        <f>IF(J3198="0",0,IF(COUNTIF($J$2:J3198,J3198)=1,1,0))</f>
        <v>0</v>
      </c>
      <c r="B3198" s="12" t="e">
        <f>MID(MAIN!A3203,K3198,2)</f>
        <v>#VALUE!</v>
      </c>
      <c r="C3198" s="12" t="e">
        <f t="shared" si="196"/>
        <v>#VALUE!</v>
      </c>
      <c r="D3198" s="12" t="e">
        <f>MID(MAIN!A3203,K3198+2,2)</f>
        <v>#VALUE!</v>
      </c>
      <c r="E3198" s="12" t="e">
        <f>MID(MAIN!A3203,K3198+4,2)</f>
        <v>#VALUE!</v>
      </c>
      <c r="F3198" s="2" t="e">
        <f t="shared" si="197"/>
        <v>#VALUE!</v>
      </c>
      <c r="G3198" s="13" t="e">
        <f t="shared" si="198"/>
        <v>#VALUE!</v>
      </c>
      <c r="J3198" t="str">
        <f>MAIN!A3203&amp;"B"</f>
        <v>B</v>
      </c>
      <c r="K3198" s="12" t="e">
        <f t="shared" si="199"/>
        <v>#VALUE!</v>
      </c>
      <c r="L3198" t="str">
        <f>MAIN!C3203</f>
        <v/>
      </c>
    </row>
    <row r="3199" spans="1:12" x14ac:dyDescent="0.3">
      <c r="A3199">
        <f>IF(J3199="0",0,IF(COUNTIF($J$2:J3199,J3199)=1,1,0))</f>
        <v>0</v>
      </c>
      <c r="B3199" s="12" t="e">
        <f>MID(MAIN!A3204,K3199,2)</f>
        <v>#VALUE!</v>
      </c>
      <c r="C3199" s="12" t="e">
        <f t="shared" si="196"/>
        <v>#VALUE!</v>
      </c>
      <c r="D3199" s="12" t="e">
        <f>MID(MAIN!A3204,K3199+2,2)</f>
        <v>#VALUE!</v>
      </c>
      <c r="E3199" s="12" t="e">
        <f>MID(MAIN!A3204,K3199+4,2)</f>
        <v>#VALUE!</v>
      </c>
      <c r="F3199" s="2" t="e">
        <f t="shared" si="197"/>
        <v>#VALUE!</v>
      </c>
      <c r="G3199" s="13" t="e">
        <f t="shared" si="198"/>
        <v>#VALUE!</v>
      </c>
      <c r="J3199" t="str">
        <f>MAIN!A3204&amp;"B"</f>
        <v>B</v>
      </c>
      <c r="K3199" s="12" t="e">
        <f t="shared" si="199"/>
        <v>#VALUE!</v>
      </c>
      <c r="L3199" t="str">
        <f>MAIN!C3204</f>
        <v/>
      </c>
    </row>
    <row r="3200" spans="1:12" x14ac:dyDescent="0.3">
      <c r="A3200">
        <f>IF(J3200="0",0,IF(COUNTIF($J$2:J3200,J3200)=1,1,0))</f>
        <v>0</v>
      </c>
      <c r="B3200" s="12" t="e">
        <f>MID(MAIN!A3205,K3200,2)</f>
        <v>#VALUE!</v>
      </c>
      <c r="C3200" s="12" t="e">
        <f t="shared" si="196"/>
        <v>#VALUE!</v>
      </c>
      <c r="D3200" s="12" t="e">
        <f>MID(MAIN!A3205,K3200+2,2)</f>
        <v>#VALUE!</v>
      </c>
      <c r="E3200" s="12" t="e">
        <f>MID(MAIN!A3205,K3200+4,2)</f>
        <v>#VALUE!</v>
      </c>
      <c r="F3200" s="2" t="e">
        <f t="shared" si="197"/>
        <v>#VALUE!</v>
      </c>
      <c r="G3200" s="13" t="e">
        <f t="shared" si="198"/>
        <v>#VALUE!</v>
      </c>
      <c r="J3200" t="str">
        <f>MAIN!A3205&amp;"B"</f>
        <v>B</v>
      </c>
      <c r="K3200" s="12" t="e">
        <f t="shared" si="199"/>
        <v>#VALUE!</v>
      </c>
      <c r="L3200" t="str">
        <f>MAIN!C3205</f>
        <v/>
      </c>
    </row>
    <row r="3201" spans="1:12" x14ac:dyDescent="0.3">
      <c r="A3201">
        <f>IF(J3201="0",0,IF(COUNTIF($J$2:J3201,J3201)=1,1,0))</f>
        <v>0</v>
      </c>
      <c r="B3201" s="12" t="e">
        <f>MID(MAIN!A3206,K3201,2)</f>
        <v>#VALUE!</v>
      </c>
      <c r="C3201" s="12" t="e">
        <f t="shared" si="196"/>
        <v>#VALUE!</v>
      </c>
      <c r="D3201" s="12" t="e">
        <f>MID(MAIN!A3206,K3201+2,2)</f>
        <v>#VALUE!</v>
      </c>
      <c r="E3201" s="12" t="e">
        <f>MID(MAIN!A3206,K3201+4,2)</f>
        <v>#VALUE!</v>
      </c>
      <c r="F3201" s="2" t="e">
        <f t="shared" si="197"/>
        <v>#VALUE!</v>
      </c>
      <c r="G3201" s="13" t="e">
        <f t="shared" si="198"/>
        <v>#VALUE!</v>
      </c>
      <c r="J3201" t="str">
        <f>MAIN!A3206&amp;"B"</f>
        <v>B</v>
      </c>
      <c r="K3201" s="12" t="e">
        <f t="shared" si="199"/>
        <v>#VALUE!</v>
      </c>
      <c r="L3201" t="str">
        <f>MAIN!C3206</f>
        <v/>
      </c>
    </row>
    <row r="3202" spans="1:12" x14ac:dyDescent="0.3">
      <c r="A3202">
        <f>IF(J3202="0",0,IF(COUNTIF($J$2:J3202,J3202)=1,1,0))</f>
        <v>0</v>
      </c>
      <c r="B3202" s="12" t="e">
        <f>MID(MAIN!A3207,K3202,2)</f>
        <v>#VALUE!</v>
      </c>
      <c r="C3202" s="12" t="e">
        <f t="shared" si="196"/>
        <v>#VALUE!</v>
      </c>
      <c r="D3202" s="12" t="e">
        <f>MID(MAIN!A3207,K3202+2,2)</f>
        <v>#VALUE!</v>
      </c>
      <c r="E3202" s="12" t="e">
        <f>MID(MAIN!A3207,K3202+4,2)</f>
        <v>#VALUE!</v>
      </c>
      <c r="F3202" s="2" t="e">
        <f t="shared" si="197"/>
        <v>#VALUE!</v>
      </c>
      <c r="G3202" s="13" t="e">
        <f t="shared" si="198"/>
        <v>#VALUE!</v>
      </c>
      <c r="J3202" t="str">
        <f>MAIN!A3207&amp;"B"</f>
        <v>B</v>
      </c>
      <c r="K3202" s="12" t="e">
        <f t="shared" si="199"/>
        <v>#VALUE!</v>
      </c>
      <c r="L3202" t="str">
        <f>MAIN!C3207</f>
        <v/>
      </c>
    </row>
    <row r="3203" spans="1:12" x14ac:dyDescent="0.3">
      <c r="A3203">
        <f>IF(J3203="0",0,IF(COUNTIF($J$2:J3203,J3203)=1,1,0))</f>
        <v>0</v>
      </c>
      <c r="B3203" s="12" t="e">
        <f>MID(MAIN!A3208,K3203,2)</f>
        <v>#VALUE!</v>
      </c>
      <c r="C3203" s="12" t="e">
        <f t="shared" ref="C3203:C3266" si="200">"20"&amp;B3203</f>
        <v>#VALUE!</v>
      </c>
      <c r="D3203" s="12" t="e">
        <f>MID(MAIN!A3208,K3203+2,2)</f>
        <v>#VALUE!</v>
      </c>
      <c r="E3203" s="12" t="e">
        <f>MID(MAIN!A3208,K3203+4,2)</f>
        <v>#VALUE!</v>
      </c>
      <c r="F3203" s="2" t="e">
        <f t="shared" ref="F3203:F3266" si="201">C3203&amp;"/"&amp;D3203&amp;"/"&amp;E3203</f>
        <v>#VALUE!</v>
      </c>
      <c r="G3203" s="13" t="e">
        <f t="shared" ref="G3203:G3266" si="202">DATEVALUE(F3203)</f>
        <v>#VALUE!</v>
      </c>
      <c r="J3203" t="str">
        <f>MAIN!A3208&amp;"B"</f>
        <v>B</v>
      </c>
      <c r="K3203" s="12" t="e">
        <f t="shared" ref="K3203:K3266" si="203">FIND("172",J3203,30)+2</f>
        <v>#VALUE!</v>
      </c>
      <c r="L3203" t="str">
        <f>MAIN!C3208</f>
        <v/>
      </c>
    </row>
    <row r="3204" spans="1:12" x14ac:dyDescent="0.3">
      <c r="A3204">
        <f>IF(J3204="0",0,IF(COUNTIF($J$2:J3204,J3204)=1,1,0))</f>
        <v>0</v>
      </c>
      <c r="B3204" s="12" t="e">
        <f>MID(MAIN!A3209,K3204,2)</f>
        <v>#VALUE!</v>
      </c>
      <c r="C3204" s="12" t="e">
        <f t="shared" si="200"/>
        <v>#VALUE!</v>
      </c>
      <c r="D3204" s="12" t="e">
        <f>MID(MAIN!A3209,K3204+2,2)</f>
        <v>#VALUE!</v>
      </c>
      <c r="E3204" s="12" t="e">
        <f>MID(MAIN!A3209,K3204+4,2)</f>
        <v>#VALUE!</v>
      </c>
      <c r="F3204" s="2" t="e">
        <f t="shared" si="201"/>
        <v>#VALUE!</v>
      </c>
      <c r="G3204" s="13" t="e">
        <f t="shared" si="202"/>
        <v>#VALUE!</v>
      </c>
      <c r="J3204" t="str">
        <f>MAIN!A3209&amp;"B"</f>
        <v>B</v>
      </c>
      <c r="K3204" s="12" t="e">
        <f t="shared" si="203"/>
        <v>#VALUE!</v>
      </c>
      <c r="L3204" t="str">
        <f>MAIN!C3209</f>
        <v/>
      </c>
    </row>
    <row r="3205" spans="1:12" x14ac:dyDescent="0.3">
      <c r="A3205">
        <f>IF(J3205="0",0,IF(COUNTIF($J$2:J3205,J3205)=1,1,0))</f>
        <v>0</v>
      </c>
      <c r="B3205" s="12" t="e">
        <f>MID(MAIN!A3210,K3205,2)</f>
        <v>#VALUE!</v>
      </c>
      <c r="C3205" s="12" t="e">
        <f t="shared" si="200"/>
        <v>#VALUE!</v>
      </c>
      <c r="D3205" s="12" t="e">
        <f>MID(MAIN!A3210,K3205+2,2)</f>
        <v>#VALUE!</v>
      </c>
      <c r="E3205" s="12" t="e">
        <f>MID(MAIN!A3210,K3205+4,2)</f>
        <v>#VALUE!</v>
      </c>
      <c r="F3205" s="2" t="e">
        <f t="shared" si="201"/>
        <v>#VALUE!</v>
      </c>
      <c r="G3205" s="13" t="e">
        <f t="shared" si="202"/>
        <v>#VALUE!</v>
      </c>
      <c r="J3205" t="str">
        <f>MAIN!A3210&amp;"B"</f>
        <v>B</v>
      </c>
      <c r="K3205" s="12" t="e">
        <f t="shared" si="203"/>
        <v>#VALUE!</v>
      </c>
      <c r="L3205" t="str">
        <f>MAIN!C3210</f>
        <v/>
      </c>
    </row>
    <row r="3206" spans="1:12" x14ac:dyDescent="0.3">
      <c r="A3206">
        <f>IF(J3206="0",0,IF(COUNTIF($J$2:J3206,J3206)=1,1,0))</f>
        <v>0</v>
      </c>
      <c r="B3206" s="12" t="e">
        <f>MID(MAIN!A3211,K3206,2)</f>
        <v>#VALUE!</v>
      </c>
      <c r="C3206" s="12" t="e">
        <f t="shared" si="200"/>
        <v>#VALUE!</v>
      </c>
      <c r="D3206" s="12" t="e">
        <f>MID(MAIN!A3211,K3206+2,2)</f>
        <v>#VALUE!</v>
      </c>
      <c r="E3206" s="12" t="e">
        <f>MID(MAIN!A3211,K3206+4,2)</f>
        <v>#VALUE!</v>
      </c>
      <c r="F3206" s="2" t="e">
        <f t="shared" si="201"/>
        <v>#VALUE!</v>
      </c>
      <c r="G3206" s="13" t="e">
        <f t="shared" si="202"/>
        <v>#VALUE!</v>
      </c>
      <c r="J3206" t="str">
        <f>MAIN!A3211&amp;"B"</f>
        <v>B</v>
      </c>
      <c r="K3206" s="12" t="e">
        <f t="shared" si="203"/>
        <v>#VALUE!</v>
      </c>
      <c r="L3206" t="str">
        <f>MAIN!C3211</f>
        <v/>
      </c>
    </row>
    <row r="3207" spans="1:12" x14ac:dyDescent="0.3">
      <c r="A3207">
        <f>IF(J3207="0",0,IF(COUNTIF($J$2:J3207,J3207)=1,1,0))</f>
        <v>0</v>
      </c>
      <c r="B3207" s="12" t="e">
        <f>MID(MAIN!A3212,K3207,2)</f>
        <v>#VALUE!</v>
      </c>
      <c r="C3207" s="12" t="e">
        <f t="shared" si="200"/>
        <v>#VALUE!</v>
      </c>
      <c r="D3207" s="12" t="e">
        <f>MID(MAIN!A3212,K3207+2,2)</f>
        <v>#VALUE!</v>
      </c>
      <c r="E3207" s="12" t="e">
        <f>MID(MAIN!A3212,K3207+4,2)</f>
        <v>#VALUE!</v>
      </c>
      <c r="F3207" s="2" t="e">
        <f t="shared" si="201"/>
        <v>#VALUE!</v>
      </c>
      <c r="G3207" s="13" t="e">
        <f t="shared" si="202"/>
        <v>#VALUE!</v>
      </c>
      <c r="J3207" t="str">
        <f>MAIN!A3212&amp;"B"</f>
        <v>B</v>
      </c>
      <c r="K3207" s="12" t="e">
        <f t="shared" si="203"/>
        <v>#VALUE!</v>
      </c>
      <c r="L3207" t="str">
        <f>MAIN!C3212</f>
        <v/>
      </c>
    </row>
    <row r="3208" spans="1:12" x14ac:dyDescent="0.3">
      <c r="A3208">
        <f>IF(J3208="0",0,IF(COUNTIF($J$2:J3208,J3208)=1,1,0))</f>
        <v>0</v>
      </c>
      <c r="B3208" s="12" t="e">
        <f>MID(MAIN!A3213,K3208,2)</f>
        <v>#VALUE!</v>
      </c>
      <c r="C3208" s="12" t="e">
        <f t="shared" si="200"/>
        <v>#VALUE!</v>
      </c>
      <c r="D3208" s="12" t="e">
        <f>MID(MAIN!A3213,K3208+2,2)</f>
        <v>#VALUE!</v>
      </c>
      <c r="E3208" s="12" t="e">
        <f>MID(MAIN!A3213,K3208+4,2)</f>
        <v>#VALUE!</v>
      </c>
      <c r="F3208" s="2" t="e">
        <f t="shared" si="201"/>
        <v>#VALUE!</v>
      </c>
      <c r="G3208" s="13" t="e">
        <f t="shared" si="202"/>
        <v>#VALUE!</v>
      </c>
      <c r="J3208" t="str">
        <f>MAIN!A3213&amp;"B"</f>
        <v>B</v>
      </c>
      <c r="K3208" s="12" t="e">
        <f t="shared" si="203"/>
        <v>#VALUE!</v>
      </c>
      <c r="L3208" t="str">
        <f>MAIN!C3213</f>
        <v/>
      </c>
    </row>
    <row r="3209" spans="1:12" x14ac:dyDescent="0.3">
      <c r="A3209">
        <f>IF(J3209="0",0,IF(COUNTIF($J$2:J3209,J3209)=1,1,0))</f>
        <v>0</v>
      </c>
      <c r="B3209" s="12" t="e">
        <f>MID(MAIN!A3214,K3209,2)</f>
        <v>#VALUE!</v>
      </c>
      <c r="C3209" s="12" t="e">
        <f t="shared" si="200"/>
        <v>#VALUE!</v>
      </c>
      <c r="D3209" s="12" t="e">
        <f>MID(MAIN!A3214,K3209+2,2)</f>
        <v>#VALUE!</v>
      </c>
      <c r="E3209" s="12" t="e">
        <f>MID(MAIN!A3214,K3209+4,2)</f>
        <v>#VALUE!</v>
      </c>
      <c r="F3209" s="2" t="e">
        <f t="shared" si="201"/>
        <v>#VALUE!</v>
      </c>
      <c r="G3209" s="13" t="e">
        <f t="shared" si="202"/>
        <v>#VALUE!</v>
      </c>
      <c r="J3209" t="str">
        <f>MAIN!A3214&amp;"B"</f>
        <v>B</v>
      </c>
      <c r="K3209" s="12" t="e">
        <f t="shared" si="203"/>
        <v>#VALUE!</v>
      </c>
      <c r="L3209" t="str">
        <f>MAIN!C3214</f>
        <v/>
      </c>
    </row>
    <row r="3210" spans="1:12" x14ac:dyDescent="0.3">
      <c r="A3210">
        <f>IF(J3210="0",0,IF(COUNTIF($J$2:J3210,J3210)=1,1,0))</f>
        <v>0</v>
      </c>
      <c r="B3210" s="12" t="e">
        <f>MID(MAIN!A3215,K3210,2)</f>
        <v>#VALUE!</v>
      </c>
      <c r="C3210" s="12" t="e">
        <f t="shared" si="200"/>
        <v>#VALUE!</v>
      </c>
      <c r="D3210" s="12" t="e">
        <f>MID(MAIN!A3215,K3210+2,2)</f>
        <v>#VALUE!</v>
      </c>
      <c r="E3210" s="12" t="e">
        <f>MID(MAIN!A3215,K3210+4,2)</f>
        <v>#VALUE!</v>
      </c>
      <c r="F3210" s="2" t="e">
        <f t="shared" si="201"/>
        <v>#VALUE!</v>
      </c>
      <c r="G3210" s="13" t="e">
        <f t="shared" si="202"/>
        <v>#VALUE!</v>
      </c>
      <c r="J3210" t="str">
        <f>MAIN!A3215&amp;"B"</f>
        <v>B</v>
      </c>
      <c r="K3210" s="12" t="e">
        <f t="shared" si="203"/>
        <v>#VALUE!</v>
      </c>
      <c r="L3210" t="str">
        <f>MAIN!C3215</f>
        <v/>
      </c>
    </row>
    <row r="3211" spans="1:12" x14ac:dyDescent="0.3">
      <c r="A3211">
        <f>IF(J3211="0",0,IF(COUNTIF($J$2:J3211,J3211)=1,1,0))</f>
        <v>0</v>
      </c>
      <c r="B3211" s="12" t="e">
        <f>MID(MAIN!A3216,K3211,2)</f>
        <v>#VALUE!</v>
      </c>
      <c r="C3211" s="12" t="e">
        <f t="shared" si="200"/>
        <v>#VALUE!</v>
      </c>
      <c r="D3211" s="12" t="e">
        <f>MID(MAIN!A3216,K3211+2,2)</f>
        <v>#VALUE!</v>
      </c>
      <c r="E3211" s="12" t="e">
        <f>MID(MAIN!A3216,K3211+4,2)</f>
        <v>#VALUE!</v>
      </c>
      <c r="F3211" s="2" t="e">
        <f t="shared" si="201"/>
        <v>#VALUE!</v>
      </c>
      <c r="G3211" s="13" t="e">
        <f t="shared" si="202"/>
        <v>#VALUE!</v>
      </c>
      <c r="J3211" t="str">
        <f>MAIN!A3216&amp;"B"</f>
        <v>B</v>
      </c>
      <c r="K3211" s="12" t="e">
        <f t="shared" si="203"/>
        <v>#VALUE!</v>
      </c>
      <c r="L3211" t="str">
        <f>MAIN!C3216</f>
        <v/>
      </c>
    </row>
    <row r="3212" spans="1:12" x14ac:dyDescent="0.3">
      <c r="A3212">
        <f>IF(J3212="0",0,IF(COUNTIF($J$2:J3212,J3212)=1,1,0))</f>
        <v>0</v>
      </c>
      <c r="B3212" s="12" t="e">
        <f>MID(MAIN!A3217,K3212,2)</f>
        <v>#VALUE!</v>
      </c>
      <c r="C3212" s="12" t="e">
        <f t="shared" si="200"/>
        <v>#VALUE!</v>
      </c>
      <c r="D3212" s="12" t="e">
        <f>MID(MAIN!A3217,K3212+2,2)</f>
        <v>#VALUE!</v>
      </c>
      <c r="E3212" s="12" t="e">
        <f>MID(MAIN!A3217,K3212+4,2)</f>
        <v>#VALUE!</v>
      </c>
      <c r="F3212" s="2" t="e">
        <f t="shared" si="201"/>
        <v>#VALUE!</v>
      </c>
      <c r="G3212" s="13" t="e">
        <f t="shared" si="202"/>
        <v>#VALUE!</v>
      </c>
      <c r="J3212" t="str">
        <f>MAIN!A3217&amp;"B"</f>
        <v>B</v>
      </c>
      <c r="K3212" s="12" t="e">
        <f t="shared" si="203"/>
        <v>#VALUE!</v>
      </c>
      <c r="L3212" t="str">
        <f>MAIN!C3217</f>
        <v/>
      </c>
    </row>
    <row r="3213" spans="1:12" x14ac:dyDescent="0.3">
      <c r="A3213">
        <f>IF(J3213="0",0,IF(COUNTIF($J$2:J3213,J3213)=1,1,0))</f>
        <v>0</v>
      </c>
      <c r="B3213" s="12" t="e">
        <f>MID(MAIN!A3218,K3213,2)</f>
        <v>#VALUE!</v>
      </c>
      <c r="C3213" s="12" t="e">
        <f t="shared" si="200"/>
        <v>#VALUE!</v>
      </c>
      <c r="D3213" s="12" t="e">
        <f>MID(MAIN!A3218,K3213+2,2)</f>
        <v>#VALUE!</v>
      </c>
      <c r="E3213" s="12" t="e">
        <f>MID(MAIN!A3218,K3213+4,2)</f>
        <v>#VALUE!</v>
      </c>
      <c r="F3213" s="2" t="e">
        <f t="shared" si="201"/>
        <v>#VALUE!</v>
      </c>
      <c r="G3213" s="13" t="e">
        <f t="shared" si="202"/>
        <v>#VALUE!</v>
      </c>
      <c r="J3213" t="str">
        <f>MAIN!A3218&amp;"B"</f>
        <v>B</v>
      </c>
      <c r="K3213" s="12" t="e">
        <f t="shared" si="203"/>
        <v>#VALUE!</v>
      </c>
      <c r="L3213" t="str">
        <f>MAIN!C3218</f>
        <v/>
      </c>
    </row>
    <row r="3214" spans="1:12" x14ac:dyDescent="0.3">
      <c r="A3214">
        <f>IF(J3214="0",0,IF(COUNTIF($J$2:J3214,J3214)=1,1,0))</f>
        <v>0</v>
      </c>
      <c r="B3214" s="12" t="e">
        <f>MID(MAIN!A3219,K3214,2)</f>
        <v>#VALUE!</v>
      </c>
      <c r="C3214" s="12" t="e">
        <f t="shared" si="200"/>
        <v>#VALUE!</v>
      </c>
      <c r="D3214" s="12" t="e">
        <f>MID(MAIN!A3219,K3214+2,2)</f>
        <v>#VALUE!</v>
      </c>
      <c r="E3214" s="12" t="e">
        <f>MID(MAIN!A3219,K3214+4,2)</f>
        <v>#VALUE!</v>
      </c>
      <c r="F3214" s="2" t="e">
        <f t="shared" si="201"/>
        <v>#VALUE!</v>
      </c>
      <c r="G3214" s="13" t="e">
        <f t="shared" si="202"/>
        <v>#VALUE!</v>
      </c>
      <c r="J3214" t="str">
        <f>MAIN!A3219&amp;"B"</f>
        <v>B</v>
      </c>
      <c r="K3214" s="12" t="e">
        <f t="shared" si="203"/>
        <v>#VALUE!</v>
      </c>
      <c r="L3214" t="str">
        <f>MAIN!C3219</f>
        <v/>
      </c>
    </row>
    <row r="3215" spans="1:12" x14ac:dyDescent="0.3">
      <c r="A3215">
        <f>IF(J3215="0",0,IF(COUNTIF($J$2:J3215,J3215)=1,1,0))</f>
        <v>0</v>
      </c>
      <c r="B3215" s="12" t="e">
        <f>MID(MAIN!A3220,K3215,2)</f>
        <v>#VALUE!</v>
      </c>
      <c r="C3215" s="12" t="e">
        <f t="shared" si="200"/>
        <v>#VALUE!</v>
      </c>
      <c r="D3215" s="12" t="e">
        <f>MID(MAIN!A3220,K3215+2,2)</f>
        <v>#VALUE!</v>
      </c>
      <c r="E3215" s="12" t="e">
        <f>MID(MAIN!A3220,K3215+4,2)</f>
        <v>#VALUE!</v>
      </c>
      <c r="F3215" s="2" t="e">
        <f t="shared" si="201"/>
        <v>#VALUE!</v>
      </c>
      <c r="G3215" s="13" t="e">
        <f t="shared" si="202"/>
        <v>#VALUE!</v>
      </c>
      <c r="J3215" t="str">
        <f>MAIN!A3220&amp;"B"</f>
        <v>B</v>
      </c>
      <c r="K3215" s="12" t="e">
        <f t="shared" si="203"/>
        <v>#VALUE!</v>
      </c>
      <c r="L3215" t="str">
        <f>MAIN!C3220</f>
        <v/>
      </c>
    </row>
    <row r="3216" spans="1:12" x14ac:dyDescent="0.3">
      <c r="A3216">
        <f>IF(J3216="0",0,IF(COUNTIF($J$2:J3216,J3216)=1,1,0))</f>
        <v>0</v>
      </c>
      <c r="B3216" s="12" t="e">
        <f>MID(MAIN!A3221,K3216,2)</f>
        <v>#VALUE!</v>
      </c>
      <c r="C3216" s="12" t="e">
        <f t="shared" si="200"/>
        <v>#VALUE!</v>
      </c>
      <c r="D3216" s="12" t="e">
        <f>MID(MAIN!A3221,K3216+2,2)</f>
        <v>#VALUE!</v>
      </c>
      <c r="E3216" s="12" t="e">
        <f>MID(MAIN!A3221,K3216+4,2)</f>
        <v>#VALUE!</v>
      </c>
      <c r="F3216" s="2" t="e">
        <f t="shared" si="201"/>
        <v>#VALUE!</v>
      </c>
      <c r="G3216" s="13" t="e">
        <f t="shared" si="202"/>
        <v>#VALUE!</v>
      </c>
      <c r="J3216" t="str">
        <f>MAIN!A3221&amp;"B"</f>
        <v>B</v>
      </c>
      <c r="K3216" s="12" t="e">
        <f t="shared" si="203"/>
        <v>#VALUE!</v>
      </c>
      <c r="L3216" t="str">
        <f>MAIN!C3221</f>
        <v/>
      </c>
    </row>
    <row r="3217" spans="1:12" x14ac:dyDescent="0.3">
      <c r="A3217">
        <f>IF(J3217="0",0,IF(COUNTIF($J$2:J3217,J3217)=1,1,0))</f>
        <v>0</v>
      </c>
      <c r="B3217" s="12" t="e">
        <f>MID(MAIN!A3222,K3217,2)</f>
        <v>#VALUE!</v>
      </c>
      <c r="C3217" s="12" t="e">
        <f t="shared" si="200"/>
        <v>#VALUE!</v>
      </c>
      <c r="D3217" s="12" t="e">
        <f>MID(MAIN!A3222,K3217+2,2)</f>
        <v>#VALUE!</v>
      </c>
      <c r="E3217" s="12" t="e">
        <f>MID(MAIN!A3222,K3217+4,2)</f>
        <v>#VALUE!</v>
      </c>
      <c r="F3217" s="2" t="e">
        <f t="shared" si="201"/>
        <v>#VALUE!</v>
      </c>
      <c r="G3217" s="13" t="e">
        <f t="shared" si="202"/>
        <v>#VALUE!</v>
      </c>
      <c r="J3217" t="str">
        <f>MAIN!A3222&amp;"B"</f>
        <v>B</v>
      </c>
      <c r="K3217" s="12" t="e">
        <f t="shared" si="203"/>
        <v>#VALUE!</v>
      </c>
      <c r="L3217" t="str">
        <f>MAIN!C3222</f>
        <v/>
      </c>
    </row>
    <row r="3218" spans="1:12" x14ac:dyDescent="0.3">
      <c r="A3218">
        <f>IF(J3218="0",0,IF(COUNTIF($J$2:J3218,J3218)=1,1,0))</f>
        <v>0</v>
      </c>
      <c r="B3218" s="12" t="e">
        <f>MID(MAIN!A3223,K3218,2)</f>
        <v>#VALUE!</v>
      </c>
      <c r="C3218" s="12" t="e">
        <f t="shared" si="200"/>
        <v>#VALUE!</v>
      </c>
      <c r="D3218" s="12" t="e">
        <f>MID(MAIN!A3223,K3218+2,2)</f>
        <v>#VALUE!</v>
      </c>
      <c r="E3218" s="12" t="e">
        <f>MID(MAIN!A3223,K3218+4,2)</f>
        <v>#VALUE!</v>
      </c>
      <c r="F3218" s="2" t="e">
        <f t="shared" si="201"/>
        <v>#VALUE!</v>
      </c>
      <c r="G3218" s="13" t="e">
        <f t="shared" si="202"/>
        <v>#VALUE!</v>
      </c>
      <c r="J3218" t="str">
        <f>MAIN!A3223&amp;"B"</f>
        <v>B</v>
      </c>
      <c r="K3218" s="12" t="e">
        <f t="shared" si="203"/>
        <v>#VALUE!</v>
      </c>
      <c r="L3218" t="str">
        <f>MAIN!C3223</f>
        <v/>
      </c>
    </row>
    <row r="3219" spans="1:12" x14ac:dyDescent="0.3">
      <c r="A3219">
        <f>IF(J3219="0",0,IF(COUNTIF($J$2:J3219,J3219)=1,1,0))</f>
        <v>0</v>
      </c>
      <c r="B3219" s="12" t="e">
        <f>MID(MAIN!A3224,K3219,2)</f>
        <v>#VALUE!</v>
      </c>
      <c r="C3219" s="12" t="e">
        <f t="shared" si="200"/>
        <v>#VALUE!</v>
      </c>
      <c r="D3219" s="12" t="e">
        <f>MID(MAIN!A3224,K3219+2,2)</f>
        <v>#VALUE!</v>
      </c>
      <c r="E3219" s="12" t="e">
        <f>MID(MAIN!A3224,K3219+4,2)</f>
        <v>#VALUE!</v>
      </c>
      <c r="F3219" s="2" t="e">
        <f t="shared" si="201"/>
        <v>#VALUE!</v>
      </c>
      <c r="G3219" s="13" t="e">
        <f t="shared" si="202"/>
        <v>#VALUE!</v>
      </c>
      <c r="J3219" t="str">
        <f>MAIN!A3224&amp;"B"</f>
        <v>B</v>
      </c>
      <c r="K3219" s="12" t="e">
        <f t="shared" si="203"/>
        <v>#VALUE!</v>
      </c>
      <c r="L3219" t="str">
        <f>MAIN!C3224</f>
        <v/>
      </c>
    </row>
    <row r="3220" spans="1:12" x14ac:dyDescent="0.3">
      <c r="A3220">
        <f>IF(J3220="0",0,IF(COUNTIF($J$2:J3220,J3220)=1,1,0))</f>
        <v>0</v>
      </c>
      <c r="B3220" s="12" t="e">
        <f>MID(MAIN!A3225,K3220,2)</f>
        <v>#VALUE!</v>
      </c>
      <c r="C3220" s="12" t="e">
        <f t="shared" si="200"/>
        <v>#VALUE!</v>
      </c>
      <c r="D3220" s="12" t="e">
        <f>MID(MAIN!A3225,K3220+2,2)</f>
        <v>#VALUE!</v>
      </c>
      <c r="E3220" s="12" t="e">
        <f>MID(MAIN!A3225,K3220+4,2)</f>
        <v>#VALUE!</v>
      </c>
      <c r="F3220" s="2" t="e">
        <f t="shared" si="201"/>
        <v>#VALUE!</v>
      </c>
      <c r="G3220" s="13" t="e">
        <f t="shared" si="202"/>
        <v>#VALUE!</v>
      </c>
      <c r="J3220" t="str">
        <f>MAIN!A3225&amp;"B"</f>
        <v>B</v>
      </c>
      <c r="K3220" s="12" t="e">
        <f t="shared" si="203"/>
        <v>#VALUE!</v>
      </c>
      <c r="L3220" t="str">
        <f>MAIN!C3225</f>
        <v/>
      </c>
    </row>
    <row r="3221" spans="1:12" x14ac:dyDescent="0.3">
      <c r="A3221">
        <f>IF(J3221="0",0,IF(COUNTIF($J$2:J3221,J3221)=1,1,0))</f>
        <v>0</v>
      </c>
      <c r="B3221" s="12" t="e">
        <f>MID(MAIN!A3226,K3221,2)</f>
        <v>#VALUE!</v>
      </c>
      <c r="C3221" s="12" t="e">
        <f t="shared" si="200"/>
        <v>#VALUE!</v>
      </c>
      <c r="D3221" s="12" t="e">
        <f>MID(MAIN!A3226,K3221+2,2)</f>
        <v>#VALUE!</v>
      </c>
      <c r="E3221" s="12" t="e">
        <f>MID(MAIN!A3226,K3221+4,2)</f>
        <v>#VALUE!</v>
      </c>
      <c r="F3221" s="2" t="e">
        <f t="shared" si="201"/>
        <v>#VALUE!</v>
      </c>
      <c r="G3221" s="13" t="e">
        <f t="shared" si="202"/>
        <v>#VALUE!</v>
      </c>
      <c r="J3221" t="str">
        <f>MAIN!A3226&amp;"B"</f>
        <v>B</v>
      </c>
      <c r="K3221" s="12" t="e">
        <f t="shared" si="203"/>
        <v>#VALUE!</v>
      </c>
      <c r="L3221" t="str">
        <f>MAIN!C3226</f>
        <v/>
      </c>
    </row>
    <row r="3222" spans="1:12" x14ac:dyDescent="0.3">
      <c r="A3222">
        <f>IF(J3222="0",0,IF(COUNTIF($J$2:J3222,J3222)=1,1,0))</f>
        <v>0</v>
      </c>
      <c r="B3222" s="12" t="e">
        <f>MID(MAIN!A3227,K3222,2)</f>
        <v>#VALUE!</v>
      </c>
      <c r="C3222" s="12" t="e">
        <f t="shared" si="200"/>
        <v>#VALUE!</v>
      </c>
      <c r="D3222" s="12" t="e">
        <f>MID(MAIN!A3227,K3222+2,2)</f>
        <v>#VALUE!</v>
      </c>
      <c r="E3222" s="12" t="e">
        <f>MID(MAIN!A3227,K3222+4,2)</f>
        <v>#VALUE!</v>
      </c>
      <c r="F3222" s="2" t="e">
        <f t="shared" si="201"/>
        <v>#VALUE!</v>
      </c>
      <c r="G3222" s="13" t="e">
        <f t="shared" si="202"/>
        <v>#VALUE!</v>
      </c>
      <c r="J3222" t="str">
        <f>MAIN!A3227&amp;"B"</f>
        <v>B</v>
      </c>
      <c r="K3222" s="12" t="e">
        <f t="shared" si="203"/>
        <v>#VALUE!</v>
      </c>
      <c r="L3222" t="str">
        <f>MAIN!C3227</f>
        <v/>
      </c>
    </row>
    <row r="3223" spans="1:12" x14ac:dyDescent="0.3">
      <c r="A3223">
        <f>IF(J3223="0",0,IF(COUNTIF($J$2:J3223,J3223)=1,1,0))</f>
        <v>0</v>
      </c>
      <c r="B3223" s="12" t="e">
        <f>MID(MAIN!A3228,K3223,2)</f>
        <v>#VALUE!</v>
      </c>
      <c r="C3223" s="12" t="e">
        <f t="shared" si="200"/>
        <v>#VALUE!</v>
      </c>
      <c r="D3223" s="12" t="e">
        <f>MID(MAIN!A3228,K3223+2,2)</f>
        <v>#VALUE!</v>
      </c>
      <c r="E3223" s="12" t="e">
        <f>MID(MAIN!A3228,K3223+4,2)</f>
        <v>#VALUE!</v>
      </c>
      <c r="F3223" s="2" t="e">
        <f t="shared" si="201"/>
        <v>#VALUE!</v>
      </c>
      <c r="G3223" s="13" t="e">
        <f t="shared" si="202"/>
        <v>#VALUE!</v>
      </c>
      <c r="J3223" t="str">
        <f>MAIN!A3228&amp;"B"</f>
        <v>B</v>
      </c>
      <c r="K3223" s="12" t="e">
        <f t="shared" si="203"/>
        <v>#VALUE!</v>
      </c>
      <c r="L3223" t="str">
        <f>MAIN!C3228</f>
        <v/>
      </c>
    </row>
    <row r="3224" spans="1:12" x14ac:dyDescent="0.3">
      <c r="A3224">
        <f>IF(J3224="0",0,IF(COUNTIF($J$2:J3224,J3224)=1,1,0))</f>
        <v>0</v>
      </c>
      <c r="B3224" s="12" t="e">
        <f>MID(MAIN!A3229,K3224,2)</f>
        <v>#VALUE!</v>
      </c>
      <c r="C3224" s="12" t="e">
        <f t="shared" si="200"/>
        <v>#VALUE!</v>
      </c>
      <c r="D3224" s="12" t="e">
        <f>MID(MAIN!A3229,K3224+2,2)</f>
        <v>#VALUE!</v>
      </c>
      <c r="E3224" s="12" t="e">
        <f>MID(MAIN!A3229,K3224+4,2)</f>
        <v>#VALUE!</v>
      </c>
      <c r="F3224" s="2" t="e">
        <f t="shared" si="201"/>
        <v>#VALUE!</v>
      </c>
      <c r="G3224" s="13" t="e">
        <f t="shared" si="202"/>
        <v>#VALUE!</v>
      </c>
      <c r="J3224" t="str">
        <f>MAIN!A3229&amp;"B"</f>
        <v>B</v>
      </c>
      <c r="K3224" s="12" t="e">
        <f t="shared" si="203"/>
        <v>#VALUE!</v>
      </c>
      <c r="L3224" t="str">
        <f>MAIN!C3229</f>
        <v/>
      </c>
    </row>
    <row r="3225" spans="1:12" x14ac:dyDescent="0.3">
      <c r="A3225">
        <f>IF(J3225="0",0,IF(COUNTIF($J$2:J3225,J3225)=1,1,0))</f>
        <v>0</v>
      </c>
      <c r="B3225" s="12" t="e">
        <f>MID(MAIN!A3230,K3225,2)</f>
        <v>#VALUE!</v>
      </c>
      <c r="C3225" s="12" t="e">
        <f t="shared" si="200"/>
        <v>#VALUE!</v>
      </c>
      <c r="D3225" s="12" t="e">
        <f>MID(MAIN!A3230,K3225+2,2)</f>
        <v>#VALUE!</v>
      </c>
      <c r="E3225" s="12" t="e">
        <f>MID(MAIN!A3230,K3225+4,2)</f>
        <v>#VALUE!</v>
      </c>
      <c r="F3225" s="2" t="e">
        <f t="shared" si="201"/>
        <v>#VALUE!</v>
      </c>
      <c r="G3225" s="13" t="e">
        <f t="shared" si="202"/>
        <v>#VALUE!</v>
      </c>
      <c r="J3225" t="str">
        <f>MAIN!A3230&amp;"B"</f>
        <v>B</v>
      </c>
      <c r="K3225" s="12" t="e">
        <f t="shared" si="203"/>
        <v>#VALUE!</v>
      </c>
      <c r="L3225" t="str">
        <f>MAIN!C3230</f>
        <v/>
      </c>
    </row>
    <row r="3226" spans="1:12" x14ac:dyDescent="0.3">
      <c r="A3226">
        <f>IF(J3226="0",0,IF(COUNTIF($J$2:J3226,J3226)=1,1,0))</f>
        <v>0</v>
      </c>
      <c r="B3226" s="12" t="e">
        <f>MID(MAIN!A3231,K3226,2)</f>
        <v>#VALUE!</v>
      </c>
      <c r="C3226" s="12" t="e">
        <f t="shared" si="200"/>
        <v>#VALUE!</v>
      </c>
      <c r="D3226" s="12" t="e">
        <f>MID(MAIN!A3231,K3226+2,2)</f>
        <v>#VALUE!</v>
      </c>
      <c r="E3226" s="12" t="e">
        <f>MID(MAIN!A3231,K3226+4,2)</f>
        <v>#VALUE!</v>
      </c>
      <c r="F3226" s="2" t="e">
        <f t="shared" si="201"/>
        <v>#VALUE!</v>
      </c>
      <c r="G3226" s="13" t="e">
        <f t="shared" si="202"/>
        <v>#VALUE!</v>
      </c>
      <c r="J3226" t="str">
        <f>MAIN!A3231&amp;"B"</f>
        <v>B</v>
      </c>
      <c r="K3226" s="12" t="e">
        <f t="shared" si="203"/>
        <v>#VALUE!</v>
      </c>
      <c r="L3226" t="str">
        <f>MAIN!C3231</f>
        <v/>
      </c>
    </row>
    <row r="3227" spans="1:12" x14ac:dyDescent="0.3">
      <c r="A3227">
        <f>IF(J3227="0",0,IF(COUNTIF($J$2:J3227,J3227)=1,1,0))</f>
        <v>0</v>
      </c>
      <c r="B3227" s="12" t="e">
        <f>MID(MAIN!A3232,K3227,2)</f>
        <v>#VALUE!</v>
      </c>
      <c r="C3227" s="12" t="e">
        <f t="shared" si="200"/>
        <v>#VALUE!</v>
      </c>
      <c r="D3227" s="12" t="e">
        <f>MID(MAIN!A3232,K3227+2,2)</f>
        <v>#VALUE!</v>
      </c>
      <c r="E3227" s="12" t="e">
        <f>MID(MAIN!A3232,K3227+4,2)</f>
        <v>#VALUE!</v>
      </c>
      <c r="F3227" s="2" t="e">
        <f t="shared" si="201"/>
        <v>#VALUE!</v>
      </c>
      <c r="G3227" s="13" t="e">
        <f t="shared" si="202"/>
        <v>#VALUE!</v>
      </c>
      <c r="J3227" t="str">
        <f>MAIN!A3232&amp;"B"</f>
        <v>B</v>
      </c>
      <c r="K3227" s="12" t="e">
        <f t="shared" si="203"/>
        <v>#VALUE!</v>
      </c>
      <c r="L3227" t="str">
        <f>MAIN!C3232</f>
        <v/>
      </c>
    </row>
    <row r="3228" spans="1:12" x14ac:dyDescent="0.3">
      <c r="A3228">
        <f>IF(J3228="0",0,IF(COUNTIF($J$2:J3228,J3228)=1,1,0))</f>
        <v>0</v>
      </c>
      <c r="B3228" s="12" t="e">
        <f>MID(MAIN!A3233,K3228,2)</f>
        <v>#VALUE!</v>
      </c>
      <c r="C3228" s="12" t="e">
        <f t="shared" si="200"/>
        <v>#VALUE!</v>
      </c>
      <c r="D3228" s="12" t="e">
        <f>MID(MAIN!A3233,K3228+2,2)</f>
        <v>#VALUE!</v>
      </c>
      <c r="E3228" s="12" t="e">
        <f>MID(MAIN!A3233,K3228+4,2)</f>
        <v>#VALUE!</v>
      </c>
      <c r="F3228" s="2" t="e">
        <f t="shared" si="201"/>
        <v>#VALUE!</v>
      </c>
      <c r="G3228" s="13" t="e">
        <f t="shared" si="202"/>
        <v>#VALUE!</v>
      </c>
      <c r="J3228" t="str">
        <f>MAIN!A3233&amp;"B"</f>
        <v>B</v>
      </c>
      <c r="K3228" s="12" t="e">
        <f t="shared" si="203"/>
        <v>#VALUE!</v>
      </c>
      <c r="L3228" t="str">
        <f>MAIN!C3233</f>
        <v/>
      </c>
    </row>
    <row r="3229" spans="1:12" x14ac:dyDescent="0.3">
      <c r="A3229">
        <f>IF(J3229="0",0,IF(COUNTIF($J$2:J3229,J3229)=1,1,0))</f>
        <v>0</v>
      </c>
      <c r="B3229" s="12" t="e">
        <f>MID(MAIN!A3234,K3229,2)</f>
        <v>#VALUE!</v>
      </c>
      <c r="C3229" s="12" t="e">
        <f t="shared" si="200"/>
        <v>#VALUE!</v>
      </c>
      <c r="D3229" s="12" t="e">
        <f>MID(MAIN!A3234,K3229+2,2)</f>
        <v>#VALUE!</v>
      </c>
      <c r="E3229" s="12" t="e">
        <f>MID(MAIN!A3234,K3229+4,2)</f>
        <v>#VALUE!</v>
      </c>
      <c r="F3229" s="2" t="e">
        <f t="shared" si="201"/>
        <v>#VALUE!</v>
      </c>
      <c r="G3229" s="13" t="e">
        <f t="shared" si="202"/>
        <v>#VALUE!</v>
      </c>
      <c r="J3229" t="str">
        <f>MAIN!A3234&amp;"B"</f>
        <v>B</v>
      </c>
      <c r="K3229" s="12" t="e">
        <f t="shared" si="203"/>
        <v>#VALUE!</v>
      </c>
      <c r="L3229" t="str">
        <f>MAIN!C3234</f>
        <v/>
      </c>
    </row>
    <row r="3230" spans="1:12" x14ac:dyDescent="0.3">
      <c r="A3230">
        <f>IF(J3230="0",0,IF(COUNTIF($J$2:J3230,J3230)=1,1,0))</f>
        <v>0</v>
      </c>
      <c r="B3230" s="12" t="e">
        <f>MID(MAIN!A3235,K3230,2)</f>
        <v>#VALUE!</v>
      </c>
      <c r="C3230" s="12" t="e">
        <f t="shared" si="200"/>
        <v>#VALUE!</v>
      </c>
      <c r="D3230" s="12" t="e">
        <f>MID(MAIN!A3235,K3230+2,2)</f>
        <v>#VALUE!</v>
      </c>
      <c r="E3230" s="12" t="e">
        <f>MID(MAIN!A3235,K3230+4,2)</f>
        <v>#VALUE!</v>
      </c>
      <c r="F3230" s="2" t="e">
        <f t="shared" si="201"/>
        <v>#VALUE!</v>
      </c>
      <c r="G3230" s="13" t="e">
        <f t="shared" si="202"/>
        <v>#VALUE!</v>
      </c>
      <c r="J3230" t="str">
        <f>MAIN!A3235&amp;"B"</f>
        <v>B</v>
      </c>
      <c r="K3230" s="12" t="e">
        <f t="shared" si="203"/>
        <v>#VALUE!</v>
      </c>
      <c r="L3230" t="str">
        <f>MAIN!C3235</f>
        <v/>
      </c>
    </row>
    <row r="3231" spans="1:12" x14ac:dyDescent="0.3">
      <c r="A3231">
        <f>IF(J3231="0",0,IF(COUNTIF($J$2:J3231,J3231)=1,1,0))</f>
        <v>0</v>
      </c>
      <c r="B3231" s="12" t="e">
        <f>MID(MAIN!A3236,K3231,2)</f>
        <v>#VALUE!</v>
      </c>
      <c r="C3231" s="12" t="e">
        <f t="shared" si="200"/>
        <v>#VALUE!</v>
      </c>
      <c r="D3231" s="12" t="e">
        <f>MID(MAIN!A3236,K3231+2,2)</f>
        <v>#VALUE!</v>
      </c>
      <c r="E3231" s="12" t="e">
        <f>MID(MAIN!A3236,K3231+4,2)</f>
        <v>#VALUE!</v>
      </c>
      <c r="F3231" s="2" t="e">
        <f t="shared" si="201"/>
        <v>#VALUE!</v>
      </c>
      <c r="G3231" s="13" t="e">
        <f t="shared" si="202"/>
        <v>#VALUE!</v>
      </c>
      <c r="J3231" t="str">
        <f>MAIN!A3236&amp;"B"</f>
        <v>B</v>
      </c>
      <c r="K3231" s="12" t="e">
        <f t="shared" si="203"/>
        <v>#VALUE!</v>
      </c>
      <c r="L3231" t="str">
        <f>MAIN!C3236</f>
        <v/>
      </c>
    </row>
    <row r="3232" spans="1:12" x14ac:dyDescent="0.3">
      <c r="A3232">
        <f>IF(J3232="0",0,IF(COUNTIF($J$2:J3232,J3232)=1,1,0))</f>
        <v>0</v>
      </c>
      <c r="B3232" s="12" t="e">
        <f>MID(MAIN!A3237,K3232,2)</f>
        <v>#VALUE!</v>
      </c>
      <c r="C3232" s="12" t="e">
        <f t="shared" si="200"/>
        <v>#VALUE!</v>
      </c>
      <c r="D3232" s="12" t="e">
        <f>MID(MAIN!A3237,K3232+2,2)</f>
        <v>#VALUE!</v>
      </c>
      <c r="E3232" s="12" t="e">
        <f>MID(MAIN!A3237,K3232+4,2)</f>
        <v>#VALUE!</v>
      </c>
      <c r="F3232" s="2" t="e">
        <f t="shared" si="201"/>
        <v>#VALUE!</v>
      </c>
      <c r="G3232" s="13" t="e">
        <f t="shared" si="202"/>
        <v>#VALUE!</v>
      </c>
      <c r="J3232" t="str">
        <f>MAIN!A3237&amp;"B"</f>
        <v>B</v>
      </c>
      <c r="K3232" s="12" t="e">
        <f t="shared" si="203"/>
        <v>#VALUE!</v>
      </c>
      <c r="L3232" t="str">
        <f>MAIN!C3237</f>
        <v/>
      </c>
    </row>
    <row r="3233" spans="1:12" x14ac:dyDescent="0.3">
      <c r="A3233">
        <f>IF(J3233="0",0,IF(COUNTIF($J$2:J3233,J3233)=1,1,0))</f>
        <v>0</v>
      </c>
      <c r="B3233" s="12" t="e">
        <f>MID(MAIN!A3238,K3233,2)</f>
        <v>#VALUE!</v>
      </c>
      <c r="C3233" s="12" t="e">
        <f t="shared" si="200"/>
        <v>#VALUE!</v>
      </c>
      <c r="D3233" s="12" t="e">
        <f>MID(MAIN!A3238,K3233+2,2)</f>
        <v>#VALUE!</v>
      </c>
      <c r="E3233" s="12" t="e">
        <f>MID(MAIN!A3238,K3233+4,2)</f>
        <v>#VALUE!</v>
      </c>
      <c r="F3233" s="2" t="e">
        <f t="shared" si="201"/>
        <v>#VALUE!</v>
      </c>
      <c r="G3233" s="13" t="e">
        <f t="shared" si="202"/>
        <v>#VALUE!</v>
      </c>
      <c r="J3233" t="str">
        <f>MAIN!A3238&amp;"B"</f>
        <v>B</v>
      </c>
      <c r="K3233" s="12" t="e">
        <f t="shared" si="203"/>
        <v>#VALUE!</v>
      </c>
      <c r="L3233" t="str">
        <f>MAIN!C3238</f>
        <v/>
      </c>
    </row>
    <row r="3234" spans="1:12" x14ac:dyDescent="0.3">
      <c r="A3234">
        <f>IF(J3234="0",0,IF(COUNTIF($J$2:J3234,J3234)=1,1,0))</f>
        <v>0</v>
      </c>
      <c r="B3234" s="12" t="e">
        <f>MID(MAIN!A3239,K3234,2)</f>
        <v>#VALUE!</v>
      </c>
      <c r="C3234" s="12" t="e">
        <f t="shared" si="200"/>
        <v>#VALUE!</v>
      </c>
      <c r="D3234" s="12" t="e">
        <f>MID(MAIN!A3239,K3234+2,2)</f>
        <v>#VALUE!</v>
      </c>
      <c r="E3234" s="12" t="e">
        <f>MID(MAIN!A3239,K3234+4,2)</f>
        <v>#VALUE!</v>
      </c>
      <c r="F3234" s="2" t="e">
        <f t="shared" si="201"/>
        <v>#VALUE!</v>
      </c>
      <c r="G3234" s="13" t="e">
        <f t="shared" si="202"/>
        <v>#VALUE!</v>
      </c>
      <c r="J3234" t="str">
        <f>MAIN!A3239&amp;"B"</f>
        <v>B</v>
      </c>
      <c r="K3234" s="12" t="e">
        <f t="shared" si="203"/>
        <v>#VALUE!</v>
      </c>
      <c r="L3234" t="str">
        <f>MAIN!C3239</f>
        <v/>
      </c>
    </row>
    <row r="3235" spans="1:12" x14ac:dyDescent="0.3">
      <c r="A3235">
        <f>IF(J3235="0",0,IF(COUNTIF($J$2:J3235,J3235)=1,1,0))</f>
        <v>0</v>
      </c>
      <c r="B3235" s="12" t="e">
        <f>MID(MAIN!A3240,K3235,2)</f>
        <v>#VALUE!</v>
      </c>
      <c r="C3235" s="12" t="e">
        <f t="shared" si="200"/>
        <v>#VALUE!</v>
      </c>
      <c r="D3235" s="12" t="e">
        <f>MID(MAIN!A3240,K3235+2,2)</f>
        <v>#VALUE!</v>
      </c>
      <c r="E3235" s="12" t="e">
        <f>MID(MAIN!A3240,K3235+4,2)</f>
        <v>#VALUE!</v>
      </c>
      <c r="F3235" s="2" t="e">
        <f t="shared" si="201"/>
        <v>#VALUE!</v>
      </c>
      <c r="G3235" s="13" t="e">
        <f t="shared" si="202"/>
        <v>#VALUE!</v>
      </c>
      <c r="J3235" t="str">
        <f>MAIN!A3240&amp;"B"</f>
        <v>B</v>
      </c>
      <c r="K3235" s="12" t="e">
        <f t="shared" si="203"/>
        <v>#VALUE!</v>
      </c>
      <c r="L3235" t="str">
        <f>MAIN!C3240</f>
        <v/>
      </c>
    </row>
    <row r="3236" spans="1:12" x14ac:dyDescent="0.3">
      <c r="A3236">
        <f>IF(J3236="0",0,IF(COUNTIF($J$2:J3236,J3236)=1,1,0))</f>
        <v>0</v>
      </c>
      <c r="B3236" s="12" t="e">
        <f>MID(MAIN!A3241,K3236,2)</f>
        <v>#VALUE!</v>
      </c>
      <c r="C3236" s="12" t="e">
        <f t="shared" si="200"/>
        <v>#VALUE!</v>
      </c>
      <c r="D3236" s="12" t="e">
        <f>MID(MAIN!A3241,K3236+2,2)</f>
        <v>#VALUE!</v>
      </c>
      <c r="E3236" s="12" t="e">
        <f>MID(MAIN!A3241,K3236+4,2)</f>
        <v>#VALUE!</v>
      </c>
      <c r="F3236" s="2" t="e">
        <f t="shared" si="201"/>
        <v>#VALUE!</v>
      </c>
      <c r="G3236" s="13" t="e">
        <f t="shared" si="202"/>
        <v>#VALUE!</v>
      </c>
      <c r="J3236" t="str">
        <f>MAIN!A3241&amp;"B"</f>
        <v>B</v>
      </c>
      <c r="K3236" s="12" t="e">
        <f t="shared" si="203"/>
        <v>#VALUE!</v>
      </c>
      <c r="L3236" t="str">
        <f>MAIN!C3241</f>
        <v/>
      </c>
    </row>
    <row r="3237" spans="1:12" x14ac:dyDescent="0.3">
      <c r="A3237">
        <f>IF(J3237="0",0,IF(COUNTIF($J$2:J3237,J3237)=1,1,0))</f>
        <v>0</v>
      </c>
      <c r="B3237" s="12" t="e">
        <f>MID(MAIN!A3242,K3237,2)</f>
        <v>#VALUE!</v>
      </c>
      <c r="C3237" s="12" t="e">
        <f t="shared" si="200"/>
        <v>#VALUE!</v>
      </c>
      <c r="D3237" s="12" t="e">
        <f>MID(MAIN!A3242,K3237+2,2)</f>
        <v>#VALUE!</v>
      </c>
      <c r="E3237" s="12" t="e">
        <f>MID(MAIN!A3242,K3237+4,2)</f>
        <v>#VALUE!</v>
      </c>
      <c r="F3237" s="2" t="e">
        <f t="shared" si="201"/>
        <v>#VALUE!</v>
      </c>
      <c r="G3237" s="13" t="e">
        <f t="shared" si="202"/>
        <v>#VALUE!</v>
      </c>
      <c r="J3237" t="str">
        <f>MAIN!A3242&amp;"B"</f>
        <v>B</v>
      </c>
      <c r="K3237" s="12" t="e">
        <f t="shared" si="203"/>
        <v>#VALUE!</v>
      </c>
      <c r="L3237" t="str">
        <f>MAIN!C3242</f>
        <v/>
      </c>
    </row>
    <row r="3238" spans="1:12" x14ac:dyDescent="0.3">
      <c r="A3238">
        <f>IF(J3238="0",0,IF(COUNTIF($J$2:J3238,J3238)=1,1,0))</f>
        <v>0</v>
      </c>
      <c r="B3238" s="12" t="e">
        <f>MID(MAIN!A3243,K3238,2)</f>
        <v>#VALUE!</v>
      </c>
      <c r="C3238" s="12" t="e">
        <f t="shared" si="200"/>
        <v>#VALUE!</v>
      </c>
      <c r="D3238" s="12" t="e">
        <f>MID(MAIN!A3243,K3238+2,2)</f>
        <v>#VALUE!</v>
      </c>
      <c r="E3238" s="12" t="e">
        <f>MID(MAIN!A3243,K3238+4,2)</f>
        <v>#VALUE!</v>
      </c>
      <c r="F3238" s="2" t="e">
        <f t="shared" si="201"/>
        <v>#VALUE!</v>
      </c>
      <c r="G3238" s="13" t="e">
        <f t="shared" si="202"/>
        <v>#VALUE!</v>
      </c>
      <c r="J3238" t="str">
        <f>MAIN!A3243&amp;"B"</f>
        <v>B</v>
      </c>
      <c r="K3238" s="12" t="e">
        <f t="shared" si="203"/>
        <v>#VALUE!</v>
      </c>
      <c r="L3238" t="str">
        <f>MAIN!C3243</f>
        <v/>
      </c>
    </row>
    <row r="3239" spans="1:12" x14ac:dyDescent="0.3">
      <c r="A3239">
        <f>IF(J3239="0",0,IF(COUNTIF($J$2:J3239,J3239)=1,1,0))</f>
        <v>0</v>
      </c>
      <c r="B3239" s="12" t="e">
        <f>MID(MAIN!A3244,K3239,2)</f>
        <v>#VALUE!</v>
      </c>
      <c r="C3239" s="12" t="e">
        <f t="shared" si="200"/>
        <v>#VALUE!</v>
      </c>
      <c r="D3239" s="12" t="e">
        <f>MID(MAIN!A3244,K3239+2,2)</f>
        <v>#VALUE!</v>
      </c>
      <c r="E3239" s="12" t="e">
        <f>MID(MAIN!A3244,K3239+4,2)</f>
        <v>#VALUE!</v>
      </c>
      <c r="F3239" s="2" t="e">
        <f t="shared" si="201"/>
        <v>#VALUE!</v>
      </c>
      <c r="G3239" s="13" t="e">
        <f t="shared" si="202"/>
        <v>#VALUE!</v>
      </c>
      <c r="J3239" t="str">
        <f>MAIN!A3244&amp;"B"</f>
        <v>B</v>
      </c>
      <c r="K3239" s="12" t="e">
        <f t="shared" si="203"/>
        <v>#VALUE!</v>
      </c>
      <c r="L3239" t="str">
        <f>MAIN!C3244</f>
        <v/>
      </c>
    </row>
    <row r="3240" spans="1:12" x14ac:dyDescent="0.3">
      <c r="A3240">
        <f>IF(J3240="0",0,IF(COUNTIF($J$2:J3240,J3240)=1,1,0))</f>
        <v>0</v>
      </c>
      <c r="B3240" s="12" t="e">
        <f>MID(MAIN!A3245,K3240,2)</f>
        <v>#VALUE!</v>
      </c>
      <c r="C3240" s="12" t="e">
        <f t="shared" si="200"/>
        <v>#VALUE!</v>
      </c>
      <c r="D3240" s="12" t="e">
        <f>MID(MAIN!A3245,K3240+2,2)</f>
        <v>#VALUE!</v>
      </c>
      <c r="E3240" s="12" t="e">
        <f>MID(MAIN!A3245,K3240+4,2)</f>
        <v>#VALUE!</v>
      </c>
      <c r="F3240" s="2" t="e">
        <f t="shared" si="201"/>
        <v>#VALUE!</v>
      </c>
      <c r="G3240" s="13" t="e">
        <f t="shared" si="202"/>
        <v>#VALUE!</v>
      </c>
      <c r="J3240" t="str">
        <f>MAIN!A3245&amp;"B"</f>
        <v>B</v>
      </c>
      <c r="K3240" s="12" t="e">
        <f t="shared" si="203"/>
        <v>#VALUE!</v>
      </c>
      <c r="L3240" t="str">
        <f>MAIN!C3245</f>
        <v/>
      </c>
    </row>
    <row r="3241" spans="1:12" x14ac:dyDescent="0.3">
      <c r="A3241">
        <f>IF(J3241="0",0,IF(COUNTIF($J$2:J3241,J3241)=1,1,0))</f>
        <v>0</v>
      </c>
      <c r="B3241" s="12" t="e">
        <f>MID(MAIN!A3246,K3241,2)</f>
        <v>#VALUE!</v>
      </c>
      <c r="C3241" s="12" t="e">
        <f t="shared" si="200"/>
        <v>#VALUE!</v>
      </c>
      <c r="D3241" s="12" t="e">
        <f>MID(MAIN!A3246,K3241+2,2)</f>
        <v>#VALUE!</v>
      </c>
      <c r="E3241" s="12" t="e">
        <f>MID(MAIN!A3246,K3241+4,2)</f>
        <v>#VALUE!</v>
      </c>
      <c r="F3241" s="2" t="e">
        <f t="shared" si="201"/>
        <v>#VALUE!</v>
      </c>
      <c r="G3241" s="13" t="e">
        <f t="shared" si="202"/>
        <v>#VALUE!</v>
      </c>
      <c r="J3241" t="str">
        <f>MAIN!A3246&amp;"B"</f>
        <v>B</v>
      </c>
      <c r="K3241" s="12" t="e">
        <f t="shared" si="203"/>
        <v>#VALUE!</v>
      </c>
      <c r="L3241" t="str">
        <f>MAIN!C3246</f>
        <v/>
      </c>
    </row>
    <row r="3242" spans="1:12" x14ac:dyDescent="0.3">
      <c r="A3242">
        <f>IF(J3242="0",0,IF(COUNTIF($J$2:J3242,J3242)=1,1,0))</f>
        <v>0</v>
      </c>
      <c r="B3242" s="12" t="e">
        <f>MID(MAIN!A3247,K3242,2)</f>
        <v>#VALUE!</v>
      </c>
      <c r="C3242" s="12" t="e">
        <f t="shared" si="200"/>
        <v>#VALUE!</v>
      </c>
      <c r="D3242" s="12" t="e">
        <f>MID(MAIN!A3247,K3242+2,2)</f>
        <v>#VALUE!</v>
      </c>
      <c r="E3242" s="12" t="e">
        <f>MID(MAIN!A3247,K3242+4,2)</f>
        <v>#VALUE!</v>
      </c>
      <c r="F3242" s="2" t="e">
        <f t="shared" si="201"/>
        <v>#VALUE!</v>
      </c>
      <c r="G3242" s="13" t="e">
        <f t="shared" si="202"/>
        <v>#VALUE!</v>
      </c>
      <c r="J3242" t="str">
        <f>MAIN!A3247&amp;"B"</f>
        <v>B</v>
      </c>
      <c r="K3242" s="12" t="e">
        <f t="shared" si="203"/>
        <v>#VALUE!</v>
      </c>
      <c r="L3242" t="str">
        <f>MAIN!C3247</f>
        <v/>
      </c>
    </row>
    <row r="3243" spans="1:12" x14ac:dyDescent="0.3">
      <c r="A3243">
        <f>IF(J3243="0",0,IF(COUNTIF($J$2:J3243,J3243)=1,1,0))</f>
        <v>0</v>
      </c>
      <c r="B3243" s="12" t="e">
        <f>MID(MAIN!A3248,K3243,2)</f>
        <v>#VALUE!</v>
      </c>
      <c r="C3243" s="12" t="e">
        <f t="shared" si="200"/>
        <v>#VALUE!</v>
      </c>
      <c r="D3243" s="12" t="e">
        <f>MID(MAIN!A3248,K3243+2,2)</f>
        <v>#VALUE!</v>
      </c>
      <c r="E3243" s="12" t="e">
        <f>MID(MAIN!A3248,K3243+4,2)</f>
        <v>#VALUE!</v>
      </c>
      <c r="F3243" s="2" t="e">
        <f t="shared" si="201"/>
        <v>#VALUE!</v>
      </c>
      <c r="G3243" s="13" t="e">
        <f t="shared" si="202"/>
        <v>#VALUE!</v>
      </c>
      <c r="J3243" t="str">
        <f>MAIN!A3248&amp;"B"</f>
        <v>B</v>
      </c>
      <c r="K3243" s="12" t="e">
        <f t="shared" si="203"/>
        <v>#VALUE!</v>
      </c>
      <c r="L3243" t="str">
        <f>MAIN!C3248</f>
        <v/>
      </c>
    </row>
    <row r="3244" spans="1:12" x14ac:dyDescent="0.3">
      <c r="A3244">
        <f>IF(J3244="0",0,IF(COUNTIF($J$2:J3244,J3244)=1,1,0))</f>
        <v>0</v>
      </c>
      <c r="B3244" s="12" t="e">
        <f>MID(MAIN!A3249,K3244,2)</f>
        <v>#VALUE!</v>
      </c>
      <c r="C3244" s="12" t="e">
        <f t="shared" si="200"/>
        <v>#VALUE!</v>
      </c>
      <c r="D3244" s="12" t="e">
        <f>MID(MAIN!A3249,K3244+2,2)</f>
        <v>#VALUE!</v>
      </c>
      <c r="E3244" s="12" t="e">
        <f>MID(MAIN!A3249,K3244+4,2)</f>
        <v>#VALUE!</v>
      </c>
      <c r="F3244" s="2" t="e">
        <f t="shared" si="201"/>
        <v>#VALUE!</v>
      </c>
      <c r="G3244" s="13" t="e">
        <f t="shared" si="202"/>
        <v>#VALUE!</v>
      </c>
      <c r="J3244" t="str">
        <f>MAIN!A3249&amp;"B"</f>
        <v>B</v>
      </c>
      <c r="K3244" s="12" t="e">
        <f t="shared" si="203"/>
        <v>#VALUE!</v>
      </c>
      <c r="L3244" t="str">
        <f>MAIN!C3249</f>
        <v/>
      </c>
    </row>
    <row r="3245" spans="1:12" x14ac:dyDescent="0.3">
      <c r="A3245">
        <f>IF(J3245="0",0,IF(COUNTIF($J$2:J3245,J3245)=1,1,0))</f>
        <v>0</v>
      </c>
      <c r="B3245" s="12" t="e">
        <f>MID(MAIN!A3250,K3245,2)</f>
        <v>#VALUE!</v>
      </c>
      <c r="C3245" s="12" t="e">
        <f t="shared" si="200"/>
        <v>#VALUE!</v>
      </c>
      <c r="D3245" s="12" t="e">
        <f>MID(MAIN!A3250,K3245+2,2)</f>
        <v>#VALUE!</v>
      </c>
      <c r="E3245" s="12" t="e">
        <f>MID(MAIN!A3250,K3245+4,2)</f>
        <v>#VALUE!</v>
      </c>
      <c r="F3245" s="2" t="e">
        <f t="shared" si="201"/>
        <v>#VALUE!</v>
      </c>
      <c r="G3245" s="13" t="e">
        <f t="shared" si="202"/>
        <v>#VALUE!</v>
      </c>
      <c r="J3245" t="str">
        <f>MAIN!A3250&amp;"B"</f>
        <v>B</v>
      </c>
      <c r="K3245" s="12" t="e">
        <f t="shared" si="203"/>
        <v>#VALUE!</v>
      </c>
      <c r="L3245" t="str">
        <f>MAIN!C3250</f>
        <v/>
      </c>
    </row>
    <row r="3246" spans="1:12" x14ac:dyDescent="0.3">
      <c r="A3246">
        <f>IF(J3246="0",0,IF(COUNTIF($J$2:J3246,J3246)=1,1,0))</f>
        <v>0</v>
      </c>
      <c r="B3246" s="12" t="e">
        <f>MID(MAIN!A3251,K3246,2)</f>
        <v>#VALUE!</v>
      </c>
      <c r="C3246" s="12" t="e">
        <f t="shared" si="200"/>
        <v>#VALUE!</v>
      </c>
      <c r="D3246" s="12" t="e">
        <f>MID(MAIN!A3251,K3246+2,2)</f>
        <v>#VALUE!</v>
      </c>
      <c r="E3246" s="12" t="e">
        <f>MID(MAIN!A3251,K3246+4,2)</f>
        <v>#VALUE!</v>
      </c>
      <c r="F3246" s="2" t="e">
        <f t="shared" si="201"/>
        <v>#VALUE!</v>
      </c>
      <c r="G3246" s="13" t="e">
        <f t="shared" si="202"/>
        <v>#VALUE!</v>
      </c>
      <c r="J3246" t="str">
        <f>MAIN!A3251&amp;"B"</f>
        <v>B</v>
      </c>
      <c r="K3246" s="12" t="e">
        <f t="shared" si="203"/>
        <v>#VALUE!</v>
      </c>
      <c r="L3246" t="str">
        <f>MAIN!C3251</f>
        <v/>
      </c>
    </row>
    <row r="3247" spans="1:12" x14ac:dyDescent="0.3">
      <c r="A3247">
        <f>IF(J3247="0",0,IF(COUNTIF($J$2:J3247,J3247)=1,1,0))</f>
        <v>0</v>
      </c>
      <c r="B3247" s="12" t="e">
        <f>MID(MAIN!A3252,K3247,2)</f>
        <v>#VALUE!</v>
      </c>
      <c r="C3247" s="12" t="e">
        <f t="shared" si="200"/>
        <v>#VALUE!</v>
      </c>
      <c r="D3247" s="12" t="e">
        <f>MID(MAIN!A3252,K3247+2,2)</f>
        <v>#VALUE!</v>
      </c>
      <c r="E3247" s="12" t="e">
        <f>MID(MAIN!A3252,K3247+4,2)</f>
        <v>#VALUE!</v>
      </c>
      <c r="F3247" s="2" t="e">
        <f t="shared" si="201"/>
        <v>#VALUE!</v>
      </c>
      <c r="G3247" s="13" t="e">
        <f t="shared" si="202"/>
        <v>#VALUE!</v>
      </c>
      <c r="J3247" t="str">
        <f>MAIN!A3252&amp;"B"</f>
        <v>B</v>
      </c>
      <c r="K3247" s="12" t="e">
        <f t="shared" si="203"/>
        <v>#VALUE!</v>
      </c>
      <c r="L3247" t="str">
        <f>MAIN!C3252</f>
        <v/>
      </c>
    </row>
    <row r="3248" spans="1:12" x14ac:dyDescent="0.3">
      <c r="A3248">
        <f>IF(J3248="0",0,IF(COUNTIF($J$2:J3248,J3248)=1,1,0))</f>
        <v>0</v>
      </c>
      <c r="B3248" s="12" t="e">
        <f>MID(MAIN!A3253,K3248,2)</f>
        <v>#VALUE!</v>
      </c>
      <c r="C3248" s="12" t="e">
        <f t="shared" si="200"/>
        <v>#VALUE!</v>
      </c>
      <c r="D3248" s="12" t="e">
        <f>MID(MAIN!A3253,K3248+2,2)</f>
        <v>#VALUE!</v>
      </c>
      <c r="E3248" s="12" t="e">
        <f>MID(MAIN!A3253,K3248+4,2)</f>
        <v>#VALUE!</v>
      </c>
      <c r="F3248" s="2" t="e">
        <f t="shared" si="201"/>
        <v>#VALUE!</v>
      </c>
      <c r="G3248" s="13" t="e">
        <f t="shared" si="202"/>
        <v>#VALUE!</v>
      </c>
      <c r="J3248" t="str">
        <f>MAIN!A3253&amp;"B"</f>
        <v>B</v>
      </c>
      <c r="K3248" s="12" t="e">
        <f t="shared" si="203"/>
        <v>#VALUE!</v>
      </c>
      <c r="L3248" t="str">
        <f>MAIN!C3253</f>
        <v/>
      </c>
    </row>
    <row r="3249" spans="1:12" x14ac:dyDescent="0.3">
      <c r="A3249">
        <f>IF(J3249="0",0,IF(COUNTIF($J$2:J3249,J3249)=1,1,0))</f>
        <v>0</v>
      </c>
      <c r="B3249" s="12" t="e">
        <f>MID(MAIN!A3254,K3249,2)</f>
        <v>#VALUE!</v>
      </c>
      <c r="C3249" s="12" t="e">
        <f t="shared" si="200"/>
        <v>#VALUE!</v>
      </c>
      <c r="D3249" s="12" t="e">
        <f>MID(MAIN!A3254,K3249+2,2)</f>
        <v>#VALUE!</v>
      </c>
      <c r="E3249" s="12" t="e">
        <f>MID(MAIN!A3254,K3249+4,2)</f>
        <v>#VALUE!</v>
      </c>
      <c r="F3249" s="2" t="e">
        <f t="shared" si="201"/>
        <v>#VALUE!</v>
      </c>
      <c r="G3249" s="13" t="e">
        <f t="shared" si="202"/>
        <v>#VALUE!</v>
      </c>
      <c r="J3249" t="str">
        <f>MAIN!A3254&amp;"B"</f>
        <v>B</v>
      </c>
      <c r="K3249" s="12" t="e">
        <f t="shared" si="203"/>
        <v>#VALUE!</v>
      </c>
      <c r="L3249" t="str">
        <f>MAIN!C3254</f>
        <v/>
      </c>
    </row>
    <row r="3250" spans="1:12" x14ac:dyDescent="0.3">
      <c r="A3250">
        <f>IF(J3250="0",0,IF(COUNTIF($J$2:J3250,J3250)=1,1,0))</f>
        <v>0</v>
      </c>
      <c r="B3250" s="12" t="e">
        <f>MID(MAIN!A3255,K3250,2)</f>
        <v>#VALUE!</v>
      </c>
      <c r="C3250" s="12" t="e">
        <f t="shared" si="200"/>
        <v>#VALUE!</v>
      </c>
      <c r="D3250" s="12" t="e">
        <f>MID(MAIN!A3255,K3250+2,2)</f>
        <v>#VALUE!</v>
      </c>
      <c r="E3250" s="12" t="e">
        <f>MID(MAIN!A3255,K3250+4,2)</f>
        <v>#VALUE!</v>
      </c>
      <c r="F3250" s="2" t="e">
        <f t="shared" si="201"/>
        <v>#VALUE!</v>
      </c>
      <c r="G3250" s="13" t="e">
        <f t="shared" si="202"/>
        <v>#VALUE!</v>
      </c>
      <c r="J3250" t="str">
        <f>MAIN!A3255&amp;"B"</f>
        <v>B</v>
      </c>
      <c r="K3250" s="12" t="e">
        <f t="shared" si="203"/>
        <v>#VALUE!</v>
      </c>
      <c r="L3250" t="str">
        <f>MAIN!C3255</f>
        <v/>
      </c>
    </row>
    <row r="3251" spans="1:12" x14ac:dyDescent="0.3">
      <c r="A3251">
        <f>IF(J3251="0",0,IF(COUNTIF($J$2:J3251,J3251)=1,1,0))</f>
        <v>0</v>
      </c>
      <c r="B3251" s="12" t="e">
        <f>MID(MAIN!A3256,K3251,2)</f>
        <v>#VALUE!</v>
      </c>
      <c r="C3251" s="12" t="e">
        <f t="shared" si="200"/>
        <v>#VALUE!</v>
      </c>
      <c r="D3251" s="12" t="e">
        <f>MID(MAIN!A3256,K3251+2,2)</f>
        <v>#VALUE!</v>
      </c>
      <c r="E3251" s="12" t="e">
        <f>MID(MAIN!A3256,K3251+4,2)</f>
        <v>#VALUE!</v>
      </c>
      <c r="F3251" s="2" t="e">
        <f t="shared" si="201"/>
        <v>#VALUE!</v>
      </c>
      <c r="G3251" s="13" t="e">
        <f t="shared" si="202"/>
        <v>#VALUE!</v>
      </c>
      <c r="J3251" t="str">
        <f>MAIN!A3256&amp;"B"</f>
        <v>B</v>
      </c>
      <c r="K3251" s="12" t="e">
        <f t="shared" si="203"/>
        <v>#VALUE!</v>
      </c>
      <c r="L3251" t="str">
        <f>MAIN!C3256</f>
        <v/>
      </c>
    </row>
    <row r="3252" spans="1:12" x14ac:dyDescent="0.3">
      <c r="A3252">
        <f>IF(J3252="0",0,IF(COUNTIF($J$2:J3252,J3252)=1,1,0))</f>
        <v>0</v>
      </c>
      <c r="B3252" s="12" t="e">
        <f>MID(MAIN!A3257,K3252,2)</f>
        <v>#VALUE!</v>
      </c>
      <c r="C3252" s="12" t="e">
        <f t="shared" si="200"/>
        <v>#VALUE!</v>
      </c>
      <c r="D3252" s="12" t="e">
        <f>MID(MAIN!A3257,K3252+2,2)</f>
        <v>#VALUE!</v>
      </c>
      <c r="E3252" s="12" t="e">
        <f>MID(MAIN!A3257,K3252+4,2)</f>
        <v>#VALUE!</v>
      </c>
      <c r="F3252" s="2" t="e">
        <f t="shared" si="201"/>
        <v>#VALUE!</v>
      </c>
      <c r="G3252" s="13" t="e">
        <f t="shared" si="202"/>
        <v>#VALUE!</v>
      </c>
      <c r="J3252" t="str">
        <f>MAIN!A3257&amp;"B"</f>
        <v>B</v>
      </c>
      <c r="K3252" s="12" t="e">
        <f t="shared" si="203"/>
        <v>#VALUE!</v>
      </c>
      <c r="L3252" t="str">
        <f>MAIN!C3257</f>
        <v/>
      </c>
    </row>
    <row r="3253" spans="1:12" x14ac:dyDescent="0.3">
      <c r="A3253">
        <f>IF(J3253="0",0,IF(COUNTIF($J$2:J3253,J3253)=1,1,0))</f>
        <v>0</v>
      </c>
      <c r="B3253" s="12" t="e">
        <f>MID(MAIN!A3258,K3253,2)</f>
        <v>#VALUE!</v>
      </c>
      <c r="C3253" s="12" t="e">
        <f t="shared" si="200"/>
        <v>#VALUE!</v>
      </c>
      <c r="D3253" s="12" t="e">
        <f>MID(MAIN!A3258,K3253+2,2)</f>
        <v>#VALUE!</v>
      </c>
      <c r="E3253" s="12" t="e">
        <f>MID(MAIN!A3258,K3253+4,2)</f>
        <v>#VALUE!</v>
      </c>
      <c r="F3253" s="2" t="e">
        <f t="shared" si="201"/>
        <v>#VALUE!</v>
      </c>
      <c r="G3253" s="13" t="e">
        <f t="shared" si="202"/>
        <v>#VALUE!</v>
      </c>
      <c r="J3253" t="str">
        <f>MAIN!A3258&amp;"B"</f>
        <v>B</v>
      </c>
      <c r="K3253" s="12" t="e">
        <f t="shared" si="203"/>
        <v>#VALUE!</v>
      </c>
      <c r="L3253" t="str">
        <f>MAIN!C3258</f>
        <v/>
      </c>
    </row>
    <row r="3254" spans="1:12" x14ac:dyDescent="0.3">
      <c r="A3254">
        <f>IF(J3254="0",0,IF(COUNTIF($J$2:J3254,J3254)=1,1,0))</f>
        <v>0</v>
      </c>
      <c r="B3254" s="12" t="e">
        <f>MID(MAIN!A3259,K3254,2)</f>
        <v>#VALUE!</v>
      </c>
      <c r="C3254" s="12" t="e">
        <f t="shared" si="200"/>
        <v>#VALUE!</v>
      </c>
      <c r="D3254" s="12" t="e">
        <f>MID(MAIN!A3259,K3254+2,2)</f>
        <v>#VALUE!</v>
      </c>
      <c r="E3254" s="12" t="e">
        <f>MID(MAIN!A3259,K3254+4,2)</f>
        <v>#VALUE!</v>
      </c>
      <c r="F3254" s="2" t="e">
        <f t="shared" si="201"/>
        <v>#VALUE!</v>
      </c>
      <c r="G3254" s="13" t="e">
        <f t="shared" si="202"/>
        <v>#VALUE!</v>
      </c>
      <c r="J3254" t="str">
        <f>MAIN!A3259&amp;"B"</f>
        <v>B</v>
      </c>
      <c r="K3254" s="12" t="e">
        <f t="shared" si="203"/>
        <v>#VALUE!</v>
      </c>
      <c r="L3254" t="str">
        <f>MAIN!C3259</f>
        <v/>
      </c>
    </row>
    <row r="3255" spans="1:12" x14ac:dyDescent="0.3">
      <c r="A3255">
        <f>IF(J3255="0",0,IF(COUNTIF($J$2:J3255,J3255)=1,1,0))</f>
        <v>0</v>
      </c>
      <c r="B3255" s="12" t="e">
        <f>MID(MAIN!A3260,K3255,2)</f>
        <v>#VALUE!</v>
      </c>
      <c r="C3255" s="12" t="e">
        <f t="shared" si="200"/>
        <v>#VALUE!</v>
      </c>
      <c r="D3255" s="12" t="e">
        <f>MID(MAIN!A3260,K3255+2,2)</f>
        <v>#VALUE!</v>
      </c>
      <c r="E3255" s="12" t="e">
        <f>MID(MAIN!A3260,K3255+4,2)</f>
        <v>#VALUE!</v>
      </c>
      <c r="F3255" s="2" t="e">
        <f t="shared" si="201"/>
        <v>#VALUE!</v>
      </c>
      <c r="G3255" s="13" t="e">
        <f t="shared" si="202"/>
        <v>#VALUE!</v>
      </c>
      <c r="J3255" t="str">
        <f>MAIN!A3260&amp;"B"</f>
        <v>B</v>
      </c>
      <c r="K3255" s="12" t="e">
        <f t="shared" si="203"/>
        <v>#VALUE!</v>
      </c>
      <c r="L3255" t="str">
        <f>MAIN!C3260</f>
        <v/>
      </c>
    </row>
    <row r="3256" spans="1:12" x14ac:dyDescent="0.3">
      <c r="A3256">
        <f>IF(J3256="0",0,IF(COUNTIF($J$2:J3256,J3256)=1,1,0))</f>
        <v>0</v>
      </c>
      <c r="B3256" s="12" t="e">
        <f>MID(MAIN!A3261,K3256,2)</f>
        <v>#VALUE!</v>
      </c>
      <c r="C3256" s="12" t="e">
        <f t="shared" si="200"/>
        <v>#VALUE!</v>
      </c>
      <c r="D3256" s="12" t="e">
        <f>MID(MAIN!A3261,K3256+2,2)</f>
        <v>#VALUE!</v>
      </c>
      <c r="E3256" s="12" t="e">
        <f>MID(MAIN!A3261,K3256+4,2)</f>
        <v>#VALUE!</v>
      </c>
      <c r="F3256" s="2" t="e">
        <f t="shared" si="201"/>
        <v>#VALUE!</v>
      </c>
      <c r="G3256" s="13" t="e">
        <f t="shared" si="202"/>
        <v>#VALUE!</v>
      </c>
      <c r="J3256" t="str">
        <f>MAIN!A3261&amp;"B"</f>
        <v>B</v>
      </c>
      <c r="K3256" s="12" t="e">
        <f t="shared" si="203"/>
        <v>#VALUE!</v>
      </c>
      <c r="L3256" t="str">
        <f>MAIN!C3261</f>
        <v/>
      </c>
    </row>
    <row r="3257" spans="1:12" x14ac:dyDescent="0.3">
      <c r="A3257">
        <f>IF(J3257="0",0,IF(COUNTIF($J$2:J3257,J3257)=1,1,0))</f>
        <v>0</v>
      </c>
      <c r="B3257" s="12" t="e">
        <f>MID(MAIN!A3262,K3257,2)</f>
        <v>#VALUE!</v>
      </c>
      <c r="C3257" s="12" t="e">
        <f t="shared" si="200"/>
        <v>#VALUE!</v>
      </c>
      <c r="D3257" s="12" t="e">
        <f>MID(MAIN!A3262,K3257+2,2)</f>
        <v>#VALUE!</v>
      </c>
      <c r="E3257" s="12" t="e">
        <f>MID(MAIN!A3262,K3257+4,2)</f>
        <v>#VALUE!</v>
      </c>
      <c r="F3257" s="2" t="e">
        <f t="shared" si="201"/>
        <v>#VALUE!</v>
      </c>
      <c r="G3257" s="13" t="e">
        <f t="shared" si="202"/>
        <v>#VALUE!</v>
      </c>
      <c r="J3257" t="str">
        <f>MAIN!A3262&amp;"B"</f>
        <v>B</v>
      </c>
      <c r="K3257" s="12" t="e">
        <f t="shared" si="203"/>
        <v>#VALUE!</v>
      </c>
      <c r="L3257" t="str">
        <f>MAIN!C3262</f>
        <v/>
      </c>
    </row>
    <row r="3258" spans="1:12" x14ac:dyDescent="0.3">
      <c r="A3258">
        <f>IF(J3258="0",0,IF(COUNTIF($J$2:J3258,J3258)=1,1,0))</f>
        <v>0</v>
      </c>
      <c r="B3258" s="12" t="e">
        <f>MID(MAIN!A3263,K3258,2)</f>
        <v>#VALUE!</v>
      </c>
      <c r="C3258" s="12" t="e">
        <f t="shared" si="200"/>
        <v>#VALUE!</v>
      </c>
      <c r="D3258" s="12" t="e">
        <f>MID(MAIN!A3263,K3258+2,2)</f>
        <v>#VALUE!</v>
      </c>
      <c r="E3258" s="12" t="e">
        <f>MID(MAIN!A3263,K3258+4,2)</f>
        <v>#VALUE!</v>
      </c>
      <c r="F3258" s="2" t="e">
        <f t="shared" si="201"/>
        <v>#VALUE!</v>
      </c>
      <c r="G3258" s="13" t="e">
        <f t="shared" si="202"/>
        <v>#VALUE!</v>
      </c>
      <c r="J3258" t="str">
        <f>MAIN!A3263&amp;"B"</f>
        <v>B</v>
      </c>
      <c r="K3258" s="12" t="e">
        <f t="shared" si="203"/>
        <v>#VALUE!</v>
      </c>
      <c r="L3258" t="str">
        <f>MAIN!C3263</f>
        <v/>
      </c>
    </row>
    <row r="3259" spans="1:12" x14ac:dyDescent="0.3">
      <c r="A3259">
        <f>IF(J3259="0",0,IF(COUNTIF($J$2:J3259,J3259)=1,1,0))</f>
        <v>0</v>
      </c>
      <c r="B3259" s="12" t="e">
        <f>MID(MAIN!A3264,K3259,2)</f>
        <v>#VALUE!</v>
      </c>
      <c r="C3259" s="12" t="e">
        <f t="shared" si="200"/>
        <v>#VALUE!</v>
      </c>
      <c r="D3259" s="12" t="e">
        <f>MID(MAIN!A3264,K3259+2,2)</f>
        <v>#VALUE!</v>
      </c>
      <c r="E3259" s="12" t="e">
        <f>MID(MAIN!A3264,K3259+4,2)</f>
        <v>#VALUE!</v>
      </c>
      <c r="F3259" s="2" t="e">
        <f t="shared" si="201"/>
        <v>#VALUE!</v>
      </c>
      <c r="G3259" s="13" t="e">
        <f t="shared" si="202"/>
        <v>#VALUE!</v>
      </c>
      <c r="J3259" t="str">
        <f>MAIN!A3264&amp;"B"</f>
        <v>B</v>
      </c>
      <c r="K3259" s="12" t="e">
        <f t="shared" si="203"/>
        <v>#VALUE!</v>
      </c>
      <c r="L3259" t="str">
        <f>MAIN!C3264</f>
        <v/>
      </c>
    </row>
    <row r="3260" spans="1:12" x14ac:dyDescent="0.3">
      <c r="A3260">
        <f>IF(J3260="0",0,IF(COUNTIF($J$2:J3260,J3260)=1,1,0))</f>
        <v>0</v>
      </c>
      <c r="B3260" s="12" t="e">
        <f>MID(MAIN!A3265,K3260,2)</f>
        <v>#VALUE!</v>
      </c>
      <c r="C3260" s="12" t="e">
        <f t="shared" si="200"/>
        <v>#VALUE!</v>
      </c>
      <c r="D3260" s="12" t="e">
        <f>MID(MAIN!A3265,K3260+2,2)</f>
        <v>#VALUE!</v>
      </c>
      <c r="E3260" s="12" t="e">
        <f>MID(MAIN!A3265,K3260+4,2)</f>
        <v>#VALUE!</v>
      </c>
      <c r="F3260" s="2" t="e">
        <f t="shared" si="201"/>
        <v>#VALUE!</v>
      </c>
      <c r="G3260" s="13" t="e">
        <f t="shared" si="202"/>
        <v>#VALUE!</v>
      </c>
      <c r="J3260" t="str">
        <f>MAIN!A3265&amp;"B"</f>
        <v>B</v>
      </c>
      <c r="K3260" s="12" t="e">
        <f t="shared" si="203"/>
        <v>#VALUE!</v>
      </c>
      <c r="L3260" t="str">
        <f>MAIN!C3265</f>
        <v/>
      </c>
    </row>
    <row r="3261" spans="1:12" x14ac:dyDescent="0.3">
      <c r="A3261">
        <f>IF(J3261="0",0,IF(COUNTIF($J$2:J3261,J3261)=1,1,0))</f>
        <v>0</v>
      </c>
      <c r="B3261" s="12" t="e">
        <f>MID(MAIN!A3266,K3261,2)</f>
        <v>#VALUE!</v>
      </c>
      <c r="C3261" s="12" t="e">
        <f t="shared" si="200"/>
        <v>#VALUE!</v>
      </c>
      <c r="D3261" s="12" t="e">
        <f>MID(MAIN!A3266,K3261+2,2)</f>
        <v>#VALUE!</v>
      </c>
      <c r="E3261" s="12" t="e">
        <f>MID(MAIN!A3266,K3261+4,2)</f>
        <v>#VALUE!</v>
      </c>
      <c r="F3261" s="2" t="e">
        <f t="shared" si="201"/>
        <v>#VALUE!</v>
      </c>
      <c r="G3261" s="13" t="e">
        <f t="shared" si="202"/>
        <v>#VALUE!</v>
      </c>
      <c r="J3261" t="str">
        <f>MAIN!A3266&amp;"B"</f>
        <v>B</v>
      </c>
      <c r="K3261" s="12" t="e">
        <f t="shared" si="203"/>
        <v>#VALUE!</v>
      </c>
      <c r="L3261" t="str">
        <f>MAIN!C3266</f>
        <v/>
      </c>
    </row>
    <row r="3262" spans="1:12" x14ac:dyDescent="0.3">
      <c r="A3262">
        <f>IF(J3262="0",0,IF(COUNTIF($J$2:J3262,J3262)=1,1,0))</f>
        <v>0</v>
      </c>
      <c r="B3262" s="12" t="e">
        <f>MID(MAIN!A3267,K3262,2)</f>
        <v>#VALUE!</v>
      </c>
      <c r="C3262" s="12" t="e">
        <f t="shared" si="200"/>
        <v>#VALUE!</v>
      </c>
      <c r="D3262" s="12" t="e">
        <f>MID(MAIN!A3267,K3262+2,2)</f>
        <v>#VALUE!</v>
      </c>
      <c r="E3262" s="12" t="e">
        <f>MID(MAIN!A3267,K3262+4,2)</f>
        <v>#VALUE!</v>
      </c>
      <c r="F3262" s="2" t="e">
        <f t="shared" si="201"/>
        <v>#VALUE!</v>
      </c>
      <c r="G3262" s="13" t="e">
        <f t="shared" si="202"/>
        <v>#VALUE!</v>
      </c>
      <c r="J3262" t="str">
        <f>MAIN!A3267&amp;"B"</f>
        <v>B</v>
      </c>
      <c r="K3262" s="12" t="e">
        <f t="shared" si="203"/>
        <v>#VALUE!</v>
      </c>
      <c r="L3262" t="str">
        <f>MAIN!C3267</f>
        <v/>
      </c>
    </row>
    <row r="3263" spans="1:12" x14ac:dyDescent="0.3">
      <c r="A3263">
        <f>IF(J3263="0",0,IF(COUNTIF($J$2:J3263,J3263)=1,1,0))</f>
        <v>0</v>
      </c>
      <c r="B3263" s="12" t="e">
        <f>MID(MAIN!A3268,K3263,2)</f>
        <v>#VALUE!</v>
      </c>
      <c r="C3263" s="12" t="e">
        <f t="shared" si="200"/>
        <v>#VALUE!</v>
      </c>
      <c r="D3263" s="12" t="e">
        <f>MID(MAIN!A3268,K3263+2,2)</f>
        <v>#VALUE!</v>
      </c>
      <c r="E3263" s="12" t="e">
        <f>MID(MAIN!A3268,K3263+4,2)</f>
        <v>#VALUE!</v>
      </c>
      <c r="F3263" s="2" t="e">
        <f t="shared" si="201"/>
        <v>#VALUE!</v>
      </c>
      <c r="G3263" s="13" t="e">
        <f t="shared" si="202"/>
        <v>#VALUE!</v>
      </c>
      <c r="J3263" t="str">
        <f>MAIN!A3268&amp;"B"</f>
        <v>B</v>
      </c>
      <c r="K3263" s="12" t="e">
        <f t="shared" si="203"/>
        <v>#VALUE!</v>
      </c>
      <c r="L3263" t="str">
        <f>MAIN!C3268</f>
        <v/>
      </c>
    </row>
    <row r="3264" spans="1:12" x14ac:dyDescent="0.3">
      <c r="A3264">
        <f>IF(J3264="0",0,IF(COUNTIF($J$2:J3264,J3264)=1,1,0))</f>
        <v>0</v>
      </c>
      <c r="B3264" s="12" t="e">
        <f>MID(MAIN!A3269,K3264,2)</f>
        <v>#VALUE!</v>
      </c>
      <c r="C3264" s="12" t="e">
        <f t="shared" si="200"/>
        <v>#VALUE!</v>
      </c>
      <c r="D3264" s="12" t="e">
        <f>MID(MAIN!A3269,K3264+2,2)</f>
        <v>#VALUE!</v>
      </c>
      <c r="E3264" s="12" t="e">
        <f>MID(MAIN!A3269,K3264+4,2)</f>
        <v>#VALUE!</v>
      </c>
      <c r="F3264" s="2" t="e">
        <f t="shared" si="201"/>
        <v>#VALUE!</v>
      </c>
      <c r="G3264" s="13" t="e">
        <f t="shared" si="202"/>
        <v>#VALUE!</v>
      </c>
      <c r="J3264" t="str">
        <f>MAIN!A3269&amp;"B"</f>
        <v>B</v>
      </c>
      <c r="K3264" s="12" t="e">
        <f t="shared" si="203"/>
        <v>#VALUE!</v>
      </c>
      <c r="L3264" t="str">
        <f>MAIN!C3269</f>
        <v/>
      </c>
    </row>
    <row r="3265" spans="1:12" x14ac:dyDescent="0.3">
      <c r="A3265">
        <f>IF(J3265="0",0,IF(COUNTIF($J$2:J3265,J3265)=1,1,0))</f>
        <v>0</v>
      </c>
      <c r="B3265" s="12" t="e">
        <f>MID(MAIN!A3270,K3265,2)</f>
        <v>#VALUE!</v>
      </c>
      <c r="C3265" s="12" t="e">
        <f t="shared" si="200"/>
        <v>#VALUE!</v>
      </c>
      <c r="D3265" s="12" t="e">
        <f>MID(MAIN!A3270,K3265+2,2)</f>
        <v>#VALUE!</v>
      </c>
      <c r="E3265" s="12" t="e">
        <f>MID(MAIN!A3270,K3265+4,2)</f>
        <v>#VALUE!</v>
      </c>
      <c r="F3265" s="2" t="e">
        <f t="shared" si="201"/>
        <v>#VALUE!</v>
      </c>
      <c r="G3265" s="13" t="e">
        <f t="shared" si="202"/>
        <v>#VALUE!</v>
      </c>
      <c r="J3265" t="str">
        <f>MAIN!A3270&amp;"B"</f>
        <v>B</v>
      </c>
      <c r="K3265" s="12" t="e">
        <f t="shared" si="203"/>
        <v>#VALUE!</v>
      </c>
      <c r="L3265" t="str">
        <f>MAIN!C3270</f>
        <v/>
      </c>
    </row>
    <row r="3266" spans="1:12" x14ac:dyDescent="0.3">
      <c r="A3266">
        <f>IF(J3266="0",0,IF(COUNTIF($J$2:J3266,J3266)=1,1,0))</f>
        <v>0</v>
      </c>
      <c r="B3266" s="12" t="e">
        <f>MID(MAIN!A3271,K3266,2)</f>
        <v>#VALUE!</v>
      </c>
      <c r="C3266" s="12" t="e">
        <f t="shared" si="200"/>
        <v>#VALUE!</v>
      </c>
      <c r="D3266" s="12" t="e">
        <f>MID(MAIN!A3271,K3266+2,2)</f>
        <v>#VALUE!</v>
      </c>
      <c r="E3266" s="12" t="e">
        <f>MID(MAIN!A3271,K3266+4,2)</f>
        <v>#VALUE!</v>
      </c>
      <c r="F3266" s="2" t="e">
        <f t="shared" si="201"/>
        <v>#VALUE!</v>
      </c>
      <c r="G3266" s="13" t="e">
        <f t="shared" si="202"/>
        <v>#VALUE!</v>
      </c>
      <c r="J3266" t="str">
        <f>MAIN!A3271&amp;"B"</f>
        <v>B</v>
      </c>
      <c r="K3266" s="12" t="e">
        <f t="shared" si="203"/>
        <v>#VALUE!</v>
      </c>
      <c r="L3266" t="str">
        <f>MAIN!C3271</f>
        <v/>
      </c>
    </row>
    <row r="3267" spans="1:12" x14ac:dyDescent="0.3">
      <c r="A3267">
        <f>IF(J3267="0",0,IF(COUNTIF($J$2:J3267,J3267)=1,1,0))</f>
        <v>0</v>
      </c>
      <c r="B3267" s="12" t="e">
        <f>MID(MAIN!A3272,K3267,2)</f>
        <v>#VALUE!</v>
      </c>
      <c r="C3267" s="12" t="e">
        <f t="shared" ref="C3267:C3330" si="204">"20"&amp;B3267</f>
        <v>#VALUE!</v>
      </c>
      <c r="D3267" s="12" t="e">
        <f>MID(MAIN!A3272,K3267+2,2)</f>
        <v>#VALUE!</v>
      </c>
      <c r="E3267" s="12" t="e">
        <f>MID(MAIN!A3272,K3267+4,2)</f>
        <v>#VALUE!</v>
      </c>
      <c r="F3267" s="2" t="e">
        <f t="shared" ref="F3267:F3330" si="205">C3267&amp;"/"&amp;D3267&amp;"/"&amp;E3267</f>
        <v>#VALUE!</v>
      </c>
      <c r="G3267" s="13" t="e">
        <f t="shared" ref="G3267:G3330" si="206">DATEVALUE(F3267)</f>
        <v>#VALUE!</v>
      </c>
      <c r="J3267" t="str">
        <f>MAIN!A3272&amp;"B"</f>
        <v>B</v>
      </c>
      <c r="K3267" s="12" t="e">
        <f t="shared" ref="K3267:K3330" si="207">FIND("172",J3267,30)+2</f>
        <v>#VALUE!</v>
      </c>
      <c r="L3267" t="str">
        <f>MAIN!C3272</f>
        <v/>
      </c>
    </row>
    <row r="3268" spans="1:12" x14ac:dyDescent="0.3">
      <c r="A3268">
        <f>IF(J3268="0",0,IF(COUNTIF($J$2:J3268,J3268)=1,1,0))</f>
        <v>0</v>
      </c>
      <c r="B3268" s="12" t="e">
        <f>MID(MAIN!A3273,K3268,2)</f>
        <v>#VALUE!</v>
      </c>
      <c r="C3268" s="12" t="e">
        <f t="shared" si="204"/>
        <v>#VALUE!</v>
      </c>
      <c r="D3268" s="12" t="e">
        <f>MID(MAIN!A3273,K3268+2,2)</f>
        <v>#VALUE!</v>
      </c>
      <c r="E3268" s="12" t="e">
        <f>MID(MAIN!A3273,K3268+4,2)</f>
        <v>#VALUE!</v>
      </c>
      <c r="F3268" s="2" t="e">
        <f t="shared" si="205"/>
        <v>#VALUE!</v>
      </c>
      <c r="G3268" s="13" t="e">
        <f t="shared" si="206"/>
        <v>#VALUE!</v>
      </c>
      <c r="J3268" t="str">
        <f>MAIN!A3273&amp;"B"</f>
        <v>B</v>
      </c>
      <c r="K3268" s="12" t="e">
        <f t="shared" si="207"/>
        <v>#VALUE!</v>
      </c>
      <c r="L3268" t="str">
        <f>MAIN!C3273</f>
        <v/>
      </c>
    </row>
    <row r="3269" spans="1:12" x14ac:dyDescent="0.3">
      <c r="A3269">
        <f>IF(J3269="0",0,IF(COUNTIF($J$2:J3269,J3269)=1,1,0))</f>
        <v>0</v>
      </c>
      <c r="B3269" s="12" t="e">
        <f>MID(MAIN!A3274,K3269,2)</f>
        <v>#VALUE!</v>
      </c>
      <c r="C3269" s="12" t="e">
        <f t="shared" si="204"/>
        <v>#VALUE!</v>
      </c>
      <c r="D3269" s="12" t="e">
        <f>MID(MAIN!A3274,K3269+2,2)</f>
        <v>#VALUE!</v>
      </c>
      <c r="E3269" s="12" t="e">
        <f>MID(MAIN!A3274,K3269+4,2)</f>
        <v>#VALUE!</v>
      </c>
      <c r="F3269" s="2" t="e">
        <f t="shared" si="205"/>
        <v>#VALUE!</v>
      </c>
      <c r="G3269" s="13" t="e">
        <f t="shared" si="206"/>
        <v>#VALUE!</v>
      </c>
      <c r="J3269" t="str">
        <f>MAIN!A3274&amp;"B"</f>
        <v>B</v>
      </c>
      <c r="K3269" s="12" t="e">
        <f t="shared" si="207"/>
        <v>#VALUE!</v>
      </c>
      <c r="L3269" t="str">
        <f>MAIN!C3274</f>
        <v/>
      </c>
    </row>
    <row r="3270" spans="1:12" x14ac:dyDescent="0.3">
      <c r="A3270">
        <f>IF(J3270="0",0,IF(COUNTIF($J$2:J3270,J3270)=1,1,0))</f>
        <v>0</v>
      </c>
      <c r="B3270" s="12" t="e">
        <f>MID(MAIN!A3275,K3270,2)</f>
        <v>#VALUE!</v>
      </c>
      <c r="C3270" s="12" t="e">
        <f t="shared" si="204"/>
        <v>#VALUE!</v>
      </c>
      <c r="D3270" s="12" t="e">
        <f>MID(MAIN!A3275,K3270+2,2)</f>
        <v>#VALUE!</v>
      </c>
      <c r="E3270" s="12" t="e">
        <f>MID(MAIN!A3275,K3270+4,2)</f>
        <v>#VALUE!</v>
      </c>
      <c r="F3270" s="2" t="e">
        <f t="shared" si="205"/>
        <v>#VALUE!</v>
      </c>
      <c r="G3270" s="13" t="e">
        <f t="shared" si="206"/>
        <v>#VALUE!</v>
      </c>
      <c r="J3270" t="str">
        <f>MAIN!A3275&amp;"B"</f>
        <v>B</v>
      </c>
      <c r="K3270" s="12" t="e">
        <f t="shared" si="207"/>
        <v>#VALUE!</v>
      </c>
      <c r="L3270" t="str">
        <f>MAIN!C3275</f>
        <v/>
      </c>
    </row>
    <row r="3271" spans="1:12" x14ac:dyDescent="0.3">
      <c r="A3271">
        <f>IF(J3271="0",0,IF(COUNTIF($J$2:J3271,J3271)=1,1,0))</f>
        <v>0</v>
      </c>
      <c r="B3271" s="12" t="e">
        <f>MID(MAIN!A3276,K3271,2)</f>
        <v>#VALUE!</v>
      </c>
      <c r="C3271" s="12" t="e">
        <f t="shared" si="204"/>
        <v>#VALUE!</v>
      </c>
      <c r="D3271" s="12" t="e">
        <f>MID(MAIN!A3276,K3271+2,2)</f>
        <v>#VALUE!</v>
      </c>
      <c r="E3271" s="12" t="e">
        <f>MID(MAIN!A3276,K3271+4,2)</f>
        <v>#VALUE!</v>
      </c>
      <c r="F3271" s="2" t="e">
        <f t="shared" si="205"/>
        <v>#VALUE!</v>
      </c>
      <c r="G3271" s="13" t="e">
        <f t="shared" si="206"/>
        <v>#VALUE!</v>
      </c>
      <c r="J3271" t="str">
        <f>MAIN!A3276&amp;"B"</f>
        <v>B</v>
      </c>
      <c r="K3271" s="12" t="e">
        <f t="shared" si="207"/>
        <v>#VALUE!</v>
      </c>
      <c r="L3271" t="str">
        <f>MAIN!C3276</f>
        <v/>
      </c>
    </row>
    <row r="3272" spans="1:12" x14ac:dyDescent="0.3">
      <c r="A3272">
        <f>IF(J3272="0",0,IF(COUNTIF($J$2:J3272,J3272)=1,1,0))</f>
        <v>0</v>
      </c>
      <c r="B3272" s="12" t="e">
        <f>MID(MAIN!A3277,K3272,2)</f>
        <v>#VALUE!</v>
      </c>
      <c r="C3272" s="12" t="e">
        <f t="shared" si="204"/>
        <v>#VALUE!</v>
      </c>
      <c r="D3272" s="12" t="e">
        <f>MID(MAIN!A3277,K3272+2,2)</f>
        <v>#VALUE!</v>
      </c>
      <c r="E3272" s="12" t="e">
        <f>MID(MAIN!A3277,K3272+4,2)</f>
        <v>#VALUE!</v>
      </c>
      <c r="F3272" s="2" t="e">
        <f t="shared" si="205"/>
        <v>#VALUE!</v>
      </c>
      <c r="G3272" s="13" t="e">
        <f t="shared" si="206"/>
        <v>#VALUE!</v>
      </c>
      <c r="J3272" t="str">
        <f>MAIN!A3277&amp;"B"</f>
        <v>B</v>
      </c>
      <c r="K3272" s="12" t="e">
        <f t="shared" si="207"/>
        <v>#VALUE!</v>
      </c>
      <c r="L3272" t="str">
        <f>MAIN!C3277</f>
        <v/>
      </c>
    </row>
    <row r="3273" spans="1:12" x14ac:dyDescent="0.3">
      <c r="A3273">
        <f>IF(J3273="0",0,IF(COUNTIF($J$2:J3273,J3273)=1,1,0))</f>
        <v>0</v>
      </c>
      <c r="B3273" s="12" t="e">
        <f>MID(MAIN!A3278,K3273,2)</f>
        <v>#VALUE!</v>
      </c>
      <c r="C3273" s="12" t="e">
        <f t="shared" si="204"/>
        <v>#VALUE!</v>
      </c>
      <c r="D3273" s="12" t="e">
        <f>MID(MAIN!A3278,K3273+2,2)</f>
        <v>#VALUE!</v>
      </c>
      <c r="E3273" s="12" t="e">
        <f>MID(MAIN!A3278,K3273+4,2)</f>
        <v>#VALUE!</v>
      </c>
      <c r="F3273" s="2" t="e">
        <f t="shared" si="205"/>
        <v>#VALUE!</v>
      </c>
      <c r="G3273" s="13" t="e">
        <f t="shared" si="206"/>
        <v>#VALUE!</v>
      </c>
      <c r="J3273" t="str">
        <f>MAIN!A3278&amp;"B"</f>
        <v>B</v>
      </c>
      <c r="K3273" s="12" t="e">
        <f t="shared" si="207"/>
        <v>#VALUE!</v>
      </c>
      <c r="L3273" t="str">
        <f>MAIN!C3278</f>
        <v/>
      </c>
    </row>
    <row r="3274" spans="1:12" x14ac:dyDescent="0.3">
      <c r="A3274">
        <f>IF(J3274="0",0,IF(COUNTIF($J$2:J3274,J3274)=1,1,0))</f>
        <v>0</v>
      </c>
      <c r="B3274" s="12" t="e">
        <f>MID(MAIN!A3279,K3274,2)</f>
        <v>#VALUE!</v>
      </c>
      <c r="C3274" s="12" t="e">
        <f t="shared" si="204"/>
        <v>#VALUE!</v>
      </c>
      <c r="D3274" s="12" t="e">
        <f>MID(MAIN!A3279,K3274+2,2)</f>
        <v>#VALUE!</v>
      </c>
      <c r="E3274" s="12" t="e">
        <f>MID(MAIN!A3279,K3274+4,2)</f>
        <v>#VALUE!</v>
      </c>
      <c r="F3274" s="2" t="e">
        <f t="shared" si="205"/>
        <v>#VALUE!</v>
      </c>
      <c r="G3274" s="13" t="e">
        <f t="shared" si="206"/>
        <v>#VALUE!</v>
      </c>
      <c r="J3274" t="str">
        <f>MAIN!A3279&amp;"B"</f>
        <v>B</v>
      </c>
      <c r="K3274" s="12" t="e">
        <f t="shared" si="207"/>
        <v>#VALUE!</v>
      </c>
      <c r="L3274" t="str">
        <f>MAIN!C3279</f>
        <v/>
      </c>
    </row>
    <row r="3275" spans="1:12" x14ac:dyDescent="0.3">
      <c r="A3275">
        <f>IF(J3275="0",0,IF(COUNTIF($J$2:J3275,J3275)=1,1,0))</f>
        <v>0</v>
      </c>
      <c r="B3275" s="12" t="e">
        <f>MID(MAIN!A3280,K3275,2)</f>
        <v>#VALUE!</v>
      </c>
      <c r="C3275" s="12" t="e">
        <f t="shared" si="204"/>
        <v>#VALUE!</v>
      </c>
      <c r="D3275" s="12" t="e">
        <f>MID(MAIN!A3280,K3275+2,2)</f>
        <v>#VALUE!</v>
      </c>
      <c r="E3275" s="12" t="e">
        <f>MID(MAIN!A3280,K3275+4,2)</f>
        <v>#VALUE!</v>
      </c>
      <c r="F3275" s="2" t="e">
        <f t="shared" si="205"/>
        <v>#VALUE!</v>
      </c>
      <c r="G3275" s="13" t="e">
        <f t="shared" si="206"/>
        <v>#VALUE!</v>
      </c>
      <c r="J3275" t="str">
        <f>MAIN!A3280&amp;"B"</f>
        <v>B</v>
      </c>
      <c r="K3275" s="12" t="e">
        <f t="shared" si="207"/>
        <v>#VALUE!</v>
      </c>
      <c r="L3275" t="str">
        <f>MAIN!C3280</f>
        <v/>
      </c>
    </row>
    <row r="3276" spans="1:12" x14ac:dyDescent="0.3">
      <c r="A3276">
        <f>IF(J3276="0",0,IF(COUNTIF($J$2:J3276,J3276)=1,1,0))</f>
        <v>0</v>
      </c>
      <c r="B3276" s="12" t="e">
        <f>MID(MAIN!A3281,K3276,2)</f>
        <v>#VALUE!</v>
      </c>
      <c r="C3276" s="12" t="e">
        <f t="shared" si="204"/>
        <v>#VALUE!</v>
      </c>
      <c r="D3276" s="12" t="e">
        <f>MID(MAIN!A3281,K3276+2,2)</f>
        <v>#VALUE!</v>
      </c>
      <c r="E3276" s="12" t="e">
        <f>MID(MAIN!A3281,K3276+4,2)</f>
        <v>#VALUE!</v>
      </c>
      <c r="F3276" s="2" t="e">
        <f t="shared" si="205"/>
        <v>#VALUE!</v>
      </c>
      <c r="G3276" s="13" t="e">
        <f t="shared" si="206"/>
        <v>#VALUE!</v>
      </c>
      <c r="J3276" t="str">
        <f>MAIN!A3281&amp;"B"</f>
        <v>B</v>
      </c>
      <c r="K3276" s="12" t="e">
        <f t="shared" si="207"/>
        <v>#VALUE!</v>
      </c>
      <c r="L3276" t="str">
        <f>MAIN!C3281</f>
        <v/>
      </c>
    </row>
    <row r="3277" spans="1:12" x14ac:dyDescent="0.3">
      <c r="A3277">
        <f>IF(J3277="0",0,IF(COUNTIF($J$2:J3277,J3277)=1,1,0))</f>
        <v>0</v>
      </c>
      <c r="B3277" s="12" t="e">
        <f>MID(MAIN!A3282,K3277,2)</f>
        <v>#VALUE!</v>
      </c>
      <c r="C3277" s="12" t="e">
        <f t="shared" si="204"/>
        <v>#VALUE!</v>
      </c>
      <c r="D3277" s="12" t="e">
        <f>MID(MAIN!A3282,K3277+2,2)</f>
        <v>#VALUE!</v>
      </c>
      <c r="E3277" s="12" t="e">
        <f>MID(MAIN!A3282,K3277+4,2)</f>
        <v>#VALUE!</v>
      </c>
      <c r="F3277" s="2" t="e">
        <f t="shared" si="205"/>
        <v>#VALUE!</v>
      </c>
      <c r="G3277" s="13" t="e">
        <f t="shared" si="206"/>
        <v>#VALUE!</v>
      </c>
      <c r="J3277" t="str">
        <f>MAIN!A3282&amp;"B"</f>
        <v>B</v>
      </c>
      <c r="K3277" s="12" t="e">
        <f t="shared" si="207"/>
        <v>#VALUE!</v>
      </c>
      <c r="L3277" t="str">
        <f>MAIN!C3282</f>
        <v/>
      </c>
    </row>
    <row r="3278" spans="1:12" x14ac:dyDescent="0.3">
      <c r="A3278">
        <f>IF(J3278="0",0,IF(COUNTIF($J$2:J3278,J3278)=1,1,0))</f>
        <v>0</v>
      </c>
      <c r="B3278" s="12" t="e">
        <f>MID(MAIN!A3283,K3278,2)</f>
        <v>#VALUE!</v>
      </c>
      <c r="C3278" s="12" t="e">
        <f t="shared" si="204"/>
        <v>#VALUE!</v>
      </c>
      <c r="D3278" s="12" t="e">
        <f>MID(MAIN!A3283,K3278+2,2)</f>
        <v>#VALUE!</v>
      </c>
      <c r="E3278" s="12" t="e">
        <f>MID(MAIN!A3283,K3278+4,2)</f>
        <v>#VALUE!</v>
      </c>
      <c r="F3278" s="2" t="e">
        <f t="shared" si="205"/>
        <v>#VALUE!</v>
      </c>
      <c r="G3278" s="13" t="e">
        <f t="shared" si="206"/>
        <v>#VALUE!</v>
      </c>
      <c r="J3278" t="str">
        <f>MAIN!A3283&amp;"B"</f>
        <v>B</v>
      </c>
      <c r="K3278" s="12" t="e">
        <f t="shared" si="207"/>
        <v>#VALUE!</v>
      </c>
      <c r="L3278" t="str">
        <f>MAIN!C3283</f>
        <v/>
      </c>
    </row>
    <row r="3279" spans="1:12" x14ac:dyDescent="0.3">
      <c r="A3279">
        <f>IF(J3279="0",0,IF(COUNTIF($J$2:J3279,J3279)=1,1,0))</f>
        <v>0</v>
      </c>
      <c r="B3279" s="12" t="e">
        <f>MID(MAIN!A3284,K3279,2)</f>
        <v>#VALUE!</v>
      </c>
      <c r="C3279" s="12" t="e">
        <f t="shared" si="204"/>
        <v>#VALUE!</v>
      </c>
      <c r="D3279" s="12" t="e">
        <f>MID(MAIN!A3284,K3279+2,2)</f>
        <v>#VALUE!</v>
      </c>
      <c r="E3279" s="12" t="e">
        <f>MID(MAIN!A3284,K3279+4,2)</f>
        <v>#VALUE!</v>
      </c>
      <c r="F3279" s="2" t="e">
        <f t="shared" si="205"/>
        <v>#VALUE!</v>
      </c>
      <c r="G3279" s="13" t="e">
        <f t="shared" si="206"/>
        <v>#VALUE!</v>
      </c>
      <c r="J3279" t="str">
        <f>MAIN!A3284&amp;"B"</f>
        <v>B</v>
      </c>
      <c r="K3279" s="12" t="e">
        <f t="shared" si="207"/>
        <v>#VALUE!</v>
      </c>
      <c r="L3279" t="str">
        <f>MAIN!C3284</f>
        <v/>
      </c>
    </row>
    <row r="3280" spans="1:12" x14ac:dyDescent="0.3">
      <c r="A3280">
        <f>IF(J3280="0",0,IF(COUNTIF($J$2:J3280,J3280)=1,1,0))</f>
        <v>0</v>
      </c>
      <c r="B3280" s="12" t="e">
        <f>MID(MAIN!A3285,K3280,2)</f>
        <v>#VALUE!</v>
      </c>
      <c r="C3280" s="12" t="e">
        <f t="shared" si="204"/>
        <v>#VALUE!</v>
      </c>
      <c r="D3280" s="12" t="e">
        <f>MID(MAIN!A3285,K3280+2,2)</f>
        <v>#VALUE!</v>
      </c>
      <c r="E3280" s="12" t="e">
        <f>MID(MAIN!A3285,K3280+4,2)</f>
        <v>#VALUE!</v>
      </c>
      <c r="F3280" s="2" t="e">
        <f t="shared" si="205"/>
        <v>#VALUE!</v>
      </c>
      <c r="G3280" s="13" t="e">
        <f t="shared" si="206"/>
        <v>#VALUE!</v>
      </c>
      <c r="J3280" t="str">
        <f>MAIN!A3285&amp;"B"</f>
        <v>B</v>
      </c>
      <c r="K3280" s="12" t="e">
        <f t="shared" si="207"/>
        <v>#VALUE!</v>
      </c>
      <c r="L3280" t="str">
        <f>MAIN!C3285</f>
        <v/>
      </c>
    </row>
    <row r="3281" spans="1:12" x14ac:dyDescent="0.3">
      <c r="A3281">
        <f>IF(J3281="0",0,IF(COUNTIF($J$2:J3281,J3281)=1,1,0))</f>
        <v>0</v>
      </c>
      <c r="B3281" s="12" t="e">
        <f>MID(MAIN!A3286,K3281,2)</f>
        <v>#VALUE!</v>
      </c>
      <c r="C3281" s="12" t="e">
        <f t="shared" si="204"/>
        <v>#VALUE!</v>
      </c>
      <c r="D3281" s="12" t="e">
        <f>MID(MAIN!A3286,K3281+2,2)</f>
        <v>#VALUE!</v>
      </c>
      <c r="E3281" s="12" t="e">
        <f>MID(MAIN!A3286,K3281+4,2)</f>
        <v>#VALUE!</v>
      </c>
      <c r="F3281" s="2" t="e">
        <f t="shared" si="205"/>
        <v>#VALUE!</v>
      </c>
      <c r="G3281" s="13" t="e">
        <f t="shared" si="206"/>
        <v>#VALUE!</v>
      </c>
      <c r="J3281" t="str">
        <f>MAIN!A3286&amp;"B"</f>
        <v>B</v>
      </c>
      <c r="K3281" s="12" t="e">
        <f t="shared" si="207"/>
        <v>#VALUE!</v>
      </c>
      <c r="L3281" t="str">
        <f>MAIN!C3286</f>
        <v/>
      </c>
    </row>
    <row r="3282" spans="1:12" x14ac:dyDescent="0.3">
      <c r="A3282">
        <f>IF(J3282="0",0,IF(COUNTIF($J$2:J3282,J3282)=1,1,0))</f>
        <v>0</v>
      </c>
      <c r="B3282" s="12" t="e">
        <f>MID(MAIN!A3287,K3282,2)</f>
        <v>#VALUE!</v>
      </c>
      <c r="C3282" s="12" t="e">
        <f t="shared" si="204"/>
        <v>#VALUE!</v>
      </c>
      <c r="D3282" s="12" t="e">
        <f>MID(MAIN!A3287,K3282+2,2)</f>
        <v>#VALUE!</v>
      </c>
      <c r="E3282" s="12" t="e">
        <f>MID(MAIN!A3287,K3282+4,2)</f>
        <v>#VALUE!</v>
      </c>
      <c r="F3282" s="2" t="e">
        <f t="shared" si="205"/>
        <v>#VALUE!</v>
      </c>
      <c r="G3282" s="13" t="e">
        <f t="shared" si="206"/>
        <v>#VALUE!</v>
      </c>
      <c r="J3282" t="str">
        <f>MAIN!A3287&amp;"B"</f>
        <v>B</v>
      </c>
      <c r="K3282" s="12" t="e">
        <f t="shared" si="207"/>
        <v>#VALUE!</v>
      </c>
      <c r="L3282" t="str">
        <f>MAIN!C3287</f>
        <v/>
      </c>
    </row>
    <row r="3283" spans="1:12" x14ac:dyDescent="0.3">
      <c r="A3283">
        <f>IF(J3283="0",0,IF(COUNTIF($J$2:J3283,J3283)=1,1,0))</f>
        <v>0</v>
      </c>
      <c r="B3283" s="12" t="e">
        <f>MID(MAIN!A3288,K3283,2)</f>
        <v>#VALUE!</v>
      </c>
      <c r="C3283" s="12" t="e">
        <f t="shared" si="204"/>
        <v>#VALUE!</v>
      </c>
      <c r="D3283" s="12" t="e">
        <f>MID(MAIN!A3288,K3283+2,2)</f>
        <v>#VALUE!</v>
      </c>
      <c r="E3283" s="12" t="e">
        <f>MID(MAIN!A3288,K3283+4,2)</f>
        <v>#VALUE!</v>
      </c>
      <c r="F3283" s="2" t="e">
        <f t="shared" si="205"/>
        <v>#VALUE!</v>
      </c>
      <c r="G3283" s="13" t="e">
        <f t="shared" si="206"/>
        <v>#VALUE!</v>
      </c>
      <c r="J3283" t="str">
        <f>MAIN!A3288&amp;"B"</f>
        <v>B</v>
      </c>
      <c r="K3283" s="12" t="e">
        <f t="shared" si="207"/>
        <v>#VALUE!</v>
      </c>
      <c r="L3283" t="str">
        <f>MAIN!C3288</f>
        <v/>
      </c>
    </row>
    <row r="3284" spans="1:12" x14ac:dyDescent="0.3">
      <c r="A3284">
        <f>IF(J3284="0",0,IF(COUNTIF($J$2:J3284,J3284)=1,1,0))</f>
        <v>0</v>
      </c>
      <c r="B3284" s="12" t="e">
        <f>MID(MAIN!A3289,K3284,2)</f>
        <v>#VALUE!</v>
      </c>
      <c r="C3284" s="12" t="e">
        <f t="shared" si="204"/>
        <v>#VALUE!</v>
      </c>
      <c r="D3284" s="12" t="e">
        <f>MID(MAIN!A3289,K3284+2,2)</f>
        <v>#VALUE!</v>
      </c>
      <c r="E3284" s="12" t="e">
        <f>MID(MAIN!A3289,K3284+4,2)</f>
        <v>#VALUE!</v>
      </c>
      <c r="F3284" s="2" t="e">
        <f t="shared" si="205"/>
        <v>#VALUE!</v>
      </c>
      <c r="G3284" s="13" t="e">
        <f t="shared" si="206"/>
        <v>#VALUE!</v>
      </c>
      <c r="J3284" t="str">
        <f>MAIN!A3289&amp;"B"</f>
        <v>B</v>
      </c>
      <c r="K3284" s="12" t="e">
        <f t="shared" si="207"/>
        <v>#VALUE!</v>
      </c>
      <c r="L3284" t="str">
        <f>MAIN!C3289</f>
        <v/>
      </c>
    </row>
    <row r="3285" spans="1:12" x14ac:dyDescent="0.3">
      <c r="A3285">
        <f>IF(J3285="0",0,IF(COUNTIF($J$2:J3285,J3285)=1,1,0))</f>
        <v>0</v>
      </c>
      <c r="B3285" s="12" t="e">
        <f>MID(MAIN!A3290,K3285,2)</f>
        <v>#VALUE!</v>
      </c>
      <c r="C3285" s="12" t="e">
        <f t="shared" si="204"/>
        <v>#VALUE!</v>
      </c>
      <c r="D3285" s="12" t="e">
        <f>MID(MAIN!A3290,K3285+2,2)</f>
        <v>#VALUE!</v>
      </c>
      <c r="E3285" s="12" t="e">
        <f>MID(MAIN!A3290,K3285+4,2)</f>
        <v>#VALUE!</v>
      </c>
      <c r="F3285" s="2" t="e">
        <f t="shared" si="205"/>
        <v>#VALUE!</v>
      </c>
      <c r="G3285" s="13" t="e">
        <f t="shared" si="206"/>
        <v>#VALUE!</v>
      </c>
      <c r="J3285" t="str">
        <f>MAIN!A3290&amp;"B"</f>
        <v>B</v>
      </c>
      <c r="K3285" s="12" t="e">
        <f t="shared" si="207"/>
        <v>#VALUE!</v>
      </c>
      <c r="L3285" t="str">
        <f>MAIN!C3290</f>
        <v/>
      </c>
    </row>
    <row r="3286" spans="1:12" x14ac:dyDescent="0.3">
      <c r="A3286">
        <f>IF(J3286="0",0,IF(COUNTIF($J$2:J3286,J3286)=1,1,0))</f>
        <v>0</v>
      </c>
      <c r="B3286" s="12" t="e">
        <f>MID(MAIN!A3291,K3286,2)</f>
        <v>#VALUE!</v>
      </c>
      <c r="C3286" s="12" t="e">
        <f t="shared" si="204"/>
        <v>#VALUE!</v>
      </c>
      <c r="D3286" s="12" t="e">
        <f>MID(MAIN!A3291,K3286+2,2)</f>
        <v>#VALUE!</v>
      </c>
      <c r="E3286" s="12" t="e">
        <f>MID(MAIN!A3291,K3286+4,2)</f>
        <v>#VALUE!</v>
      </c>
      <c r="F3286" s="2" t="e">
        <f t="shared" si="205"/>
        <v>#VALUE!</v>
      </c>
      <c r="G3286" s="13" t="e">
        <f t="shared" si="206"/>
        <v>#VALUE!</v>
      </c>
      <c r="J3286" t="str">
        <f>MAIN!A3291&amp;"B"</f>
        <v>B</v>
      </c>
      <c r="K3286" s="12" t="e">
        <f t="shared" si="207"/>
        <v>#VALUE!</v>
      </c>
      <c r="L3286" t="str">
        <f>MAIN!C3291</f>
        <v/>
      </c>
    </row>
    <row r="3287" spans="1:12" x14ac:dyDescent="0.3">
      <c r="A3287">
        <f>IF(J3287="0",0,IF(COUNTIF($J$2:J3287,J3287)=1,1,0))</f>
        <v>0</v>
      </c>
      <c r="B3287" s="12" t="e">
        <f>MID(MAIN!A3292,K3287,2)</f>
        <v>#VALUE!</v>
      </c>
      <c r="C3287" s="12" t="e">
        <f t="shared" si="204"/>
        <v>#VALUE!</v>
      </c>
      <c r="D3287" s="12" t="e">
        <f>MID(MAIN!A3292,K3287+2,2)</f>
        <v>#VALUE!</v>
      </c>
      <c r="E3287" s="12" t="e">
        <f>MID(MAIN!A3292,K3287+4,2)</f>
        <v>#VALUE!</v>
      </c>
      <c r="F3287" s="2" t="e">
        <f t="shared" si="205"/>
        <v>#VALUE!</v>
      </c>
      <c r="G3287" s="13" t="e">
        <f t="shared" si="206"/>
        <v>#VALUE!</v>
      </c>
      <c r="J3287" t="str">
        <f>MAIN!A3292&amp;"B"</f>
        <v>B</v>
      </c>
      <c r="K3287" s="12" t="e">
        <f t="shared" si="207"/>
        <v>#VALUE!</v>
      </c>
      <c r="L3287" t="str">
        <f>MAIN!C3292</f>
        <v/>
      </c>
    </row>
    <row r="3288" spans="1:12" x14ac:dyDescent="0.3">
      <c r="A3288">
        <f>IF(J3288="0",0,IF(COUNTIF($J$2:J3288,J3288)=1,1,0))</f>
        <v>0</v>
      </c>
      <c r="B3288" s="12" t="e">
        <f>MID(MAIN!A3293,K3288,2)</f>
        <v>#VALUE!</v>
      </c>
      <c r="C3288" s="12" t="e">
        <f t="shared" si="204"/>
        <v>#VALUE!</v>
      </c>
      <c r="D3288" s="12" t="e">
        <f>MID(MAIN!A3293,K3288+2,2)</f>
        <v>#VALUE!</v>
      </c>
      <c r="E3288" s="12" t="e">
        <f>MID(MAIN!A3293,K3288+4,2)</f>
        <v>#VALUE!</v>
      </c>
      <c r="F3288" s="2" t="e">
        <f t="shared" si="205"/>
        <v>#VALUE!</v>
      </c>
      <c r="G3288" s="13" t="e">
        <f t="shared" si="206"/>
        <v>#VALUE!</v>
      </c>
      <c r="J3288" t="str">
        <f>MAIN!A3293&amp;"B"</f>
        <v>B</v>
      </c>
      <c r="K3288" s="12" t="e">
        <f t="shared" si="207"/>
        <v>#VALUE!</v>
      </c>
      <c r="L3288" t="str">
        <f>MAIN!C3293</f>
        <v/>
      </c>
    </row>
    <row r="3289" spans="1:12" x14ac:dyDescent="0.3">
      <c r="A3289">
        <f>IF(J3289="0",0,IF(COUNTIF($J$2:J3289,J3289)=1,1,0))</f>
        <v>0</v>
      </c>
      <c r="B3289" s="12" t="e">
        <f>MID(MAIN!A3294,K3289,2)</f>
        <v>#VALUE!</v>
      </c>
      <c r="C3289" s="12" t="e">
        <f t="shared" si="204"/>
        <v>#VALUE!</v>
      </c>
      <c r="D3289" s="12" t="e">
        <f>MID(MAIN!A3294,K3289+2,2)</f>
        <v>#VALUE!</v>
      </c>
      <c r="E3289" s="12" t="e">
        <f>MID(MAIN!A3294,K3289+4,2)</f>
        <v>#VALUE!</v>
      </c>
      <c r="F3289" s="2" t="e">
        <f t="shared" si="205"/>
        <v>#VALUE!</v>
      </c>
      <c r="G3289" s="13" t="e">
        <f t="shared" si="206"/>
        <v>#VALUE!</v>
      </c>
      <c r="J3289" t="str">
        <f>MAIN!A3294&amp;"B"</f>
        <v>B</v>
      </c>
      <c r="K3289" s="12" t="e">
        <f t="shared" si="207"/>
        <v>#VALUE!</v>
      </c>
      <c r="L3289" t="str">
        <f>MAIN!C3294</f>
        <v/>
      </c>
    </row>
    <row r="3290" spans="1:12" x14ac:dyDescent="0.3">
      <c r="A3290">
        <f>IF(J3290="0",0,IF(COUNTIF($J$2:J3290,J3290)=1,1,0))</f>
        <v>0</v>
      </c>
      <c r="B3290" s="12" t="e">
        <f>MID(MAIN!A3295,K3290,2)</f>
        <v>#VALUE!</v>
      </c>
      <c r="C3290" s="12" t="e">
        <f t="shared" si="204"/>
        <v>#VALUE!</v>
      </c>
      <c r="D3290" s="12" t="e">
        <f>MID(MAIN!A3295,K3290+2,2)</f>
        <v>#VALUE!</v>
      </c>
      <c r="E3290" s="12" t="e">
        <f>MID(MAIN!A3295,K3290+4,2)</f>
        <v>#VALUE!</v>
      </c>
      <c r="F3290" s="2" t="e">
        <f t="shared" si="205"/>
        <v>#VALUE!</v>
      </c>
      <c r="G3290" s="13" t="e">
        <f t="shared" si="206"/>
        <v>#VALUE!</v>
      </c>
      <c r="J3290" t="str">
        <f>MAIN!A3295&amp;"B"</f>
        <v>B</v>
      </c>
      <c r="K3290" s="12" t="e">
        <f t="shared" si="207"/>
        <v>#VALUE!</v>
      </c>
      <c r="L3290" t="str">
        <f>MAIN!C3295</f>
        <v/>
      </c>
    </row>
    <row r="3291" spans="1:12" x14ac:dyDescent="0.3">
      <c r="A3291">
        <f>IF(J3291="0",0,IF(COUNTIF($J$2:J3291,J3291)=1,1,0))</f>
        <v>0</v>
      </c>
      <c r="B3291" s="12" t="e">
        <f>MID(MAIN!A3296,K3291,2)</f>
        <v>#VALUE!</v>
      </c>
      <c r="C3291" s="12" t="e">
        <f t="shared" si="204"/>
        <v>#VALUE!</v>
      </c>
      <c r="D3291" s="12" t="e">
        <f>MID(MAIN!A3296,K3291+2,2)</f>
        <v>#VALUE!</v>
      </c>
      <c r="E3291" s="12" t="e">
        <f>MID(MAIN!A3296,K3291+4,2)</f>
        <v>#VALUE!</v>
      </c>
      <c r="F3291" s="2" t="e">
        <f t="shared" si="205"/>
        <v>#VALUE!</v>
      </c>
      <c r="G3291" s="13" t="e">
        <f t="shared" si="206"/>
        <v>#VALUE!</v>
      </c>
      <c r="J3291" t="str">
        <f>MAIN!A3296&amp;"B"</f>
        <v>B</v>
      </c>
      <c r="K3291" s="12" t="e">
        <f t="shared" si="207"/>
        <v>#VALUE!</v>
      </c>
      <c r="L3291" t="str">
        <f>MAIN!C3296</f>
        <v/>
      </c>
    </row>
    <row r="3292" spans="1:12" x14ac:dyDescent="0.3">
      <c r="A3292">
        <f>IF(J3292="0",0,IF(COUNTIF($J$2:J3292,J3292)=1,1,0))</f>
        <v>0</v>
      </c>
      <c r="B3292" s="12" t="e">
        <f>MID(MAIN!A3297,K3292,2)</f>
        <v>#VALUE!</v>
      </c>
      <c r="C3292" s="12" t="e">
        <f t="shared" si="204"/>
        <v>#VALUE!</v>
      </c>
      <c r="D3292" s="12" t="e">
        <f>MID(MAIN!A3297,K3292+2,2)</f>
        <v>#VALUE!</v>
      </c>
      <c r="E3292" s="12" t="e">
        <f>MID(MAIN!A3297,K3292+4,2)</f>
        <v>#VALUE!</v>
      </c>
      <c r="F3292" s="2" t="e">
        <f t="shared" si="205"/>
        <v>#VALUE!</v>
      </c>
      <c r="G3292" s="13" t="e">
        <f t="shared" si="206"/>
        <v>#VALUE!</v>
      </c>
      <c r="J3292" t="str">
        <f>MAIN!A3297&amp;"B"</f>
        <v>B</v>
      </c>
      <c r="K3292" s="12" t="e">
        <f t="shared" si="207"/>
        <v>#VALUE!</v>
      </c>
      <c r="L3292" t="str">
        <f>MAIN!C3297</f>
        <v/>
      </c>
    </row>
    <row r="3293" spans="1:12" x14ac:dyDescent="0.3">
      <c r="A3293">
        <f>IF(J3293="0",0,IF(COUNTIF($J$2:J3293,J3293)=1,1,0))</f>
        <v>0</v>
      </c>
      <c r="B3293" s="12" t="e">
        <f>MID(MAIN!A3298,K3293,2)</f>
        <v>#VALUE!</v>
      </c>
      <c r="C3293" s="12" t="e">
        <f t="shared" si="204"/>
        <v>#VALUE!</v>
      </c>
      <c r="D3293" s="12" t="e">
        <f>MID(MAIN!A3298,K3293+2,2)</f>
        <v>#VALUE!</v>
      </c>
      <c r="E3293" s="12" t="e">
        <f>MID(MAIN!A3298,K3293+4,2)</f>
        <v>#VALUE!</v>
      </c>
      <c r="F3293" s="2" t="e">
        <f t="shared" si="205"/>
        <v>#VALUE!</v>
      </c>
      <c r="G3293" s="13" t="e">
        <f t="shared" si="206"/>
        <v>#VALUE!</v>
      </c>
      <c r="J3293" t="str">
        <f>MAIN!A3298&amp;"B"</f>
        <v>B</v>
      </c>
      <c r="K3293" s="12" t="e">
        <f t="shared" si="207"/>
        <v>#VALUE!</v>
      </c>
      <c r="L3293" t="str">
        <f>MAIN!C3298</f>
        <v/>
      </c>
    </row>
    <row r="3294" spans="1:12" x14ac:dyDescent="0.3">
      <c r="A3294">
        <f>IF(J3294="0",0,IF(COUNTIF($J$2:J3294,J3294)=1,1,0))</f>
        <v>0</v>
      </c>
      <c r="B3294" s="12" t="e">
        <f>MID(MAIN!A3299,K3294,2)</f>
        <v>#VALUE!</v>
      </c>
      <c r="C3294" s="12" t="e">
        <f t="shared" si="204"/>
        <v>#VALUE!</v>
      </c>
      <c r="D3294" s="12" t="e">
        <f>MID(MAIN!A3299,K3294+2,2)</f>
        <v>#VALUE!</v>
      </c>
      <c r="E3294" s="12" t="e">
        <f>MID(MAIN!A3299,K3294+4,2)</f>
        <v>#VALUE!</v>
      </c>
      <c r="F3294" s="2" t="e">
        <f t="shared" si="205"/>
        <v>#VALUE!</v>
      </c>
      <c r="G3294" s="13" t="e">
        <f t="shared" si="206"/>
        <v>#VALUE!</v>
      </c>
      <c r="J3294" t="str">
        <f>MAIN!A3299&amp;"B"</f>
        <v>B</v>
      </c>
      <c r="K3294" s="12" t="e">
        <f t="shared" si="207"/>
        <v>#VALUE!</v>
      </c>
      <c r="L3294" t="str">
        <f>MAIN!C3299</f>
        <v/>
      </c>
    </row>
    <row r="3295" spans="1:12" x14ac:dyDescent="0.3">
      <c r="A3295">
        <f>IF(J3295="0",0,IF(COUNTIF($J$2:J3295,J3295)=1,1,0))</f>
        <v>0</v>
      </c>
      <c r="B3295" s="12" t="e">
        <f>MID(MAIN!A3300,K3295,2)</f>
        <v>#VALUE!</v>
      </c>
      <c r="C3295" s="12" t="e">
        <f t="shared" si="204"/>
        <v>#VALUE!</v>
      </c>
      <c r="D3295" s="12" t="e">
        <f>MID(MAIN!A3300,K3295+2,2)</f>
        <v>#VALUE!</v>
      </c>
      <c r="E3295" s="12" t="e">
        <f>MID(MAIN!A3300,K3295+4,2)</f>
        <v>#VALUE!</v>
      </c>
      <c r="F3295" s="2" t="e">
        <f t="shared" si="205"/>
        <v>#VALUE!</v>
      </c>
      <c r="G3295" s="13" t="e">
        <f t="shared" si="206"/>
        <v>#VALUE!</v>
      </c>
      <c r="J3295" t="str">
        <f>MAIN!A3300&amp;"B"</f>
        <v>B</v>
      </c>
      <c r="K3295" s="12" t="e">
        <f t="shared" si="207"/>
        <v>#VALUE!</v>
      </c>
      <c r="L3295" t="str">
        <f>MAIN!C3300</f>
        <v/>
      </c>
    </row>
    <row r="3296" spans="1:12" x14ac:dyDescent="0.3">
      <c r="A3296">
        <f>IF(J3296="0",0,IF(COUNTIF($J$2:J3296,J3296)=1,1,0))</f>
        <v>0</v>
      </c>
      <c r="B3296" s="12" t="e">
        <f>MID(MAIN!A3301,K3296,2)</f>
        <v>#VALUE!</v>
      </c>
      <c r="C3296" s="12" t="e">
        <f t="shared" si="204"/>
        <v>#VALUE!</v>
      </c>
      <c r="D3296" s="12" t="e">
        <f>MID(MAIN!A3301,K3296+2,2)</f>
        <v>#VALUE!</v>
      </c>
      <c r="E3296" s="12" t="e">
        <f>MID(MAIN!A3301,K3296+4,2)</f>
        <v>#VALUE!</v>
      </c>
      <c r="F3296" s="2" t="e">
        <f t="shared" si="205"/>
        <v>#VALUE!</v>
      </c>
      <c r="G3296" s="13" t="e">
        <f t="shared" si="206"/>
        <v>#VALUE!</v>
      </c>
      <c r="J3296" t="str">
        <f>MAIN!A3301&amp;"B"</f>
        <v>B</v>
      </c>
      <c r="K3296" s="12" t="e">
        <f t="shared" si="207"/>
        <v>#VALUE!</v>
      </c>
      <c r="L3296" t="str">
        <f>MAIN!C3301</f>
        <v/>
      </c>
    </row>
    <row r="3297" spans="1:12" x14ac:dyDescent="0.3">
      <c r="A3297">
        <f>IF(J3297="0",0,IF(COUNTIF($J$2:J3297,J3297)=1,1,0))</f>
        <v>0</v>
      </c>
      <c r="B3297" s="12" t="e">
        <f>MID(MAIN!A3302,K3297,2)</f>
        <v>#VALUE!</v>
      </c>
      <c r="C3297" s="12" t="e">
        <f t="shared" si="204"/>
        <v>#VALUE!</v>
      </c>
      <c r="D3297" s="12" t="e">
        <f>MID(MAIN!A3302,K3297+2,2)</f>
        <v>#VALUE!</v>
      </c>
      <c r="E3297" s="12" t="e">
        <f>MID(MAIN!A3302,K3297+4,2)</f>
        <v>#VALUE!</v>
      </c>
      <c r="F3297" s="2" t="e">
        <f t="shared" si="205"/>
        <v>#VALUE!</v>
      </c>
      <c r="G3297" s="13" t="e">
        <f t="shared" si="206"/>
        <v>#VALUE!</v>
      </c>
      <c r="J3297" t="str">
        <f>MAIN!A3302&amp;"B"</f>
        <v>B</v>
      </c>
      <c r="K3297" s="12" t="e">
        <f t="shared" si="207"/>
        <v>#VALUE!</v>
      </c>
      <c r="L3297" t="str">
        <f>MAIN!C3302</f>
        <v/>
      </c>
    </row>
    <row r="3298" spans="1:12" x14ac:dyDescent="0.3">
      <c r="A3298">
        <f>IF(J3298="0",0,IF(COUNTIF($J$2:J3298,J3298)=1,1,0))</f>
        <v>0</v>
      </c>
      <c r="B3298" s="12" t="e">
        <f>MID(MAIN!A3303,K3298,2)</f>
        <v>#VALUE!</v>
      </c>
      <c r="C3298" s="12" t="e">
        <f t="shared" si="204"/>
        <v>#VALUE!</v>
      </c>
      <c r="D3298" s="12" t="e">
        <f>MID(MAIN!A3303,K3298+2,2)</f>
        <v>#VALUE!</v>
      </c>
      <c r="E3298" s="12" t="e">
        <f>MID(MAIN!A3303,K3298+4,2)</f>
        <v>#VALUE!</v>
      </c>
      <c r="F3298" s="2" t="e">
        <f t="shared" si="205"/>
        <v>#VALUE!</v>
      </c>
      <c r="G3298" s="13" t="e">
        <f t="shared" si="206"/>
        <v>#VALUE!</v>
      </c>
      <c r="J3298" t="str">
        <f>MAIN!A3303&amp;"B"</f>
        <v>B</v>
      </c>
      <c r="K3298" s="12" t="e">
        <f t="shared" si="207"/>
        <v>#VALUE!</v>
      </c>
      <c r="L3298" t="str">
        <f>MAIN!C3303</f>
        <v/>
      </c>
    </row>
    <row r="3299" spans="1:12" x14ac:dyDescent="0.3">
      <c r="A3299">
        <f>IF(J3299="0",0,IF(COUNTIF($J$2:J3299,J3299)=1,1,0))</f>
        <v>0</v>
      </c>
      <c r="B3299" s="12" t="e">
        <f>MID(MAIN!A3304,K3299,2)</f>
        <v>#VALUE!</v>
      </c>
      <c r="C3299" s="12" t="e">
        <f t="shared" si="204"/>
        <v>#VALUE!</v>
      </c>
      <c r="D3299" s="12" t="e">
        <f>MID(MAIN!A3304,K3299+2,2)</f>
        <v>#VALUE!</v>
      </c>
      <c r="E3299" s="12" t="e">
        <f>MID(MAIN!A3304,K3299+4,2)</f>
        <v>#VALUE!</v>
      </c>
      <c r="F3299" s="2" t="e">
        <f t="shared" si="205"/>
        <v>#VALUE!</v>
      </c>
      <c r="G3299" s="13" t="e">
        <f t="shared" si="206"/>
        <v>#VALUE!</v>
      </c>
      <c r="J3299" t="str">
        <f>MAIN!A3304&amp;"B"</f>
        <v>B</v>
      </c>
      <c r="K3299" s="12" t="e">
        <f t="shared" si="207"/>
        <v>#VALUE!</v>
      </c>
      <c r="L3299" t="str">
        <f>MAIN!C3304</f>
        <v/>
      </c>
    </row>
    <row r="3300" spans="1:12" x14ac:dyDescent="0.3">
      <c r="A3300">
        <f>IF(J3300="0",0,IF(COUNTIF($J$2:J3300,J3300)=1,1,0))</f>
        <v>0</v>
      </c>
      <c r="B3300" s="12" t="e">
        <f>MID(MAIN!A3305,K3300,2)</f>
        <v>#VALUE!</v>
      </c>
      <c r="C3300" s="12" t="e">
        <f t="shared" si="204"/>
        <v>#VALUE!</v>
      </c>
      <c r="D3300" s="12" t="e">
        <f>MID(MAIN!A3305,K3300+2,2)</f>
        <v>#VALUE!</v>
      </c>
      <c r="E3300" s="12" t="e">
        <f>MID(MAIN!A3305,K3300+4,2)</f>
        <v>#VALUE!</v>
      </c>
      <c r="F3300" s="2" t="e">
        <f t="shared" si="205"/>
        <v>#VALUE!</v>
      </c>
      <c r="G3300" s="13" t="e">
        <f t="shared" si="206"/>
        <v>#VALUE!</v>
      </c>
      <c r="J3300" t="str">
        <f>MAIN!A3305&amp;"B"</f>
        <v>B</v>
      </c>
      <c r="K3300" s="12" t="e">
        <f t="shared" si="207"/>
        <v>#VALUE!</v>
      </c>
      <c r="L3300" t="str">
        <f>MAIN!C3305</f>
        <v/>
      </c>
    </row>
    <row r="3301" spans="1:12" x14ac:dyDescent="0.3">
      <c r="A3301">
        <f>IF(J3301="0",0,IF(COUNTIF($J$2:J3301,J3301)=1,1,0))</f>
        <v>0</v>
      </c>
      <c r="B3301" s="12" t="e">
        <f>MID(MAIN!A3306,K3301,2)</f>
        <v>#VALUE!</v>
      </c>
      <c r="C3301" s="12" t="e">
        <f t="shared" si="204"/>
        <v>#VALUE!</v>
      </c>
      <c r="D3301" s="12" t="e">
        <f>MID(MAIN!A3306,K3301+2,2)</f>
        <v>#VALUE!</v>
      </c>
      <c r="E3301" s="12" t="e">
        <f>MID(MAIN!A3306,K3301+4,2)</f>
        <v>#VALUE!</v>
      </c>
      <c r="F3301" s="2" t="e">
        <f t="shared" si="205"/>
        <v>#VALUE!</v>
      </c>
      <c r="G3301" s="13" t="e">
        <f t="shared" si="206"/>
        <v>#VALUE!</v>
      </c>
      <c r="J3301" t="str">
        <f>MAIN!A3306&amp;"B"</f>
        <v>B</v>
      </c>
      <c r="K3301" s="12" t="e">
        <f t="shared" si="207"/>
        <v>#VALUE!</v>
      </c>
      <c r="L3301" t="str">
        <f>MAIN!C3306</f>
        <v/>
      </c>
    </row>
    <row r="3302" spans="1:12" x14ac:dyDescent="0.3">
      <c r="A3302">
        <f>IF(J3302="0",0,IF(COUNTIF($J$2:J3302,J3302)=1,1,0))</f>
        <v>0</v>
      </c>
      <c r="B3302" s="12" t="e">
        <f>MID(MAIN!A3307,K3302,2)</f>
        <v>#VALUE!</v>
      </c>
      <c r="C3302" s="12" t="e">
        <f t="shared" si="204"/>
        <v>#VALUE!</v>
      </c>
      <c r="D3302" s="12" t="e">
        <f>MID(MAIN!A3307,K3302+2,2)</f>
        <v>#VALUE!</v>
      </c>
      <c r="E3302" s="12" t="e">
        <f>MID(MAIN!A3307,K3302+4,2)</f>
        <v>#VALUE!</v>
      </c>
      <c r="F3302" s="2" t="e">
        <f t="shared" si="205"/>
        <v>#VALUE!</v>
      </c>
      <c r="G3302" s="13" t="e">
        <f t="shared" si="206"/>
        <v>#VALUE!</v>
      </c>
      <c r="J3302" t="str">
        <f>MAIN!A3307&amp;"B"</f>
        <v>B</v>
      </c>
      <c r="K3302" s="12" t="e">
        <f t="shared" si="207"/>
        <v>#VALUE!</v>
      </c>
      <c r="L3302" t="str">
        <f>MAIN!C3307</f>
        <v/>
      </c>
    </row>
    <row r="3303" spans="1:12" x14ac:dyDescent="0.3">
      <c r="A3303">
        <f>IF(J3303="0",0,IF(COUNTIF($J$2:J3303,J3303)=1,1,0))</f>
        <v>0</v>
      </c>
      <c r="B3303" s="12" t="e">
        <f>MID(MAIN!A3308,K3303,2)</f>
        <v>#VALUE!</v>
      </c>
      <c r="C3303" s="12" t="e">
        <f t="shared" si="204"/>
        <v>#VALUE!</v>
      </c>
      <c r="D3303" s="12" t="e">
        <f>MID(MAIN!A3308,K3303+2,2)</f>
        <v>#VALUE!</v>
      </c>
      <c r="E3303" s="12" t="e">
        <f>MID(MAIN!A3308,K3303+4,2)</f>
        <v>#VALUE!</v>
      </c>
      <c r="F3303" s="2" t="e">
        <f t="shared" si="205"/>
        <v>#VALUE!</v>
      </c>
      <c r="G3303" s="13" t="e">
        <f t="shared" si="206"/>
        <v>#VALUE!</v>
      </c>
      <c r="J3303" t="str">
        <f>MAIN!A3308&amp;"B"</f>
        <v>B</v>
      </c>
      <c r="K3303" s="12" t="e">
        <f t="shared" si="207"/>
        <v>#VALUE!</v>
      </c>
      <c r="L3303" t="str">
        <f>MAIN!C3308</f>
        <v/>
      </c>
    </row>
    <row r="3304" spans="1:12" x14ac:dyDescent="0.3">
      <c r="A3304">
        <f>IF(J3304="0",0,IF(COUNTIF($J$2:J3304,J3304)=1,1,0))</f>
        <v>0</v>
      </c>
      <c r="B3304" s="12" t="e">
        <f>MID(MAIN!A3309,K3304,2)</f>
        <v>#VALUE!</v>
      </c>
      <c r="C3304" s="12" t="e">
        <f t="shared" si="204"/>
        <v>#VALUE!</v>
      </c>
      <c r="D3304" s="12" t="e">
        <f>MID(MAIN!A3309,K3304+2,2)</f>
        <v>#VALUE!</v>
      </c>
      <c r="E3304" s="12" t="e">
        <f>MID(MAIN!A3309,K3304+4,2)</f>
        <v>#VALUE!</v>
      </c>
      <c r="F3304" s="2" t="e">
        <f t="shared" si="205"/>
        <v>#VALUE!</v>
      </c>
      <c r="G3304" s="13" t="e">
        <f t="shared" si="206"/>
        <v>#VALUE!</v>
      </c>
      <c r="J3304" t="str">
        <f>MAIN!A3309&amp;"B"</f>
        <v>B</v>
      </c>
      <c r="K3304" s="12" t="e">
        <f t="shared" si="207"/>
        <v>#VALUE!</v>
      </c>
      <c r="L3304" t="str">
        <f>MAIN!C3309</f>
        <v/>
      </c>
    </row>
    <row r="3305" spans="1:12" x14ac:dyDescent="0.3">
      <c r="A3305">
        <f>IF(J3305="0",0,IF(COUNTIF($J$2:J3305,J3305)=1,1,0))</f>
        <v>0</v>
      </c>
      <c r="B3305" s="12" t="e">
        <f>MID(MAIN!A3310,K3305,2)</f>
        <v>#VALUE!</v>
      </c>
      <c r="C3305" s="12" t="e">
        <f t="shared" si="204"/>
        <v>#VALUE!</v>
      </c>
      <c r="D3305" s="12" t="e">
        <f>MID(MAIN!A3310,K3305+2,2)</f>
        <v>#VALUE!</v>
      </c>
      <c r="E3305" s="12" t="e">
        <f>MID(MAIN!A3310,K3305+4,2)</f>
        <v>#VALUE!</v>
      </c>
      <c r="F3305" s="2" t="e">
        <f t="shared" si="205"/>
        <v>#VALUE!</v>
      </c>
      <c r="G3305" s="13" t="e">
        <f t="shared" si="206"/>
        <v>#VALUE!</v>
      </c>
      <c r="J3305" t="str">
        <f>MAIN!A3310&amp;"B"</f>
        <v>B</v>
      </c>
      <c r="K3305" s="12" t="e">
        <f t="shared" si="207"/>
        <v>#VALUE!</v>
      </c>
      <c r="L3305" t="str">
        <f>MAIN!C3310</f>
        <v/>
      </c>
    </row>
    <row r="3306" spans="1:12" x14ac:dyDescent="0.3">
      <c r="A3306">
        <f>IF(J3306="0",0,IF(COUNTIF($J$2:J3306,J3306)=1,1,0))</f>
        <v>0</v>
      </c>
      <c r="B3306" s="12" t="e">
        <f>MID(MAIN!A3311,K3306,2)</f>
        <v>#VALUE!</v>
      </c>
      <c r="C3306" s="12" t="e">
        <f t="shared" si="204"/>
        <v>#VALUE!</v>
      </c>
      <c r="D3306" s="12" t="e">
        <f>MID(MAIN!A3311,K3306+2,2)</f>
        <v>#VALUE!</v>
      </c>
      <c r="E3306" s="12" t="e">
        <f>MID(MAIN!A3311,K3306+4,2)</f>
        <v>#VALUE!</v>
      </c>
      <c r="F3306" s="2" t="e">
        <f t="shared" si="205"/>
        <v>#VALUE!</v>
      </c>
      <c r="G3306" s="13" t="e">
        <f t="shared" si="206"/>
        <v>#VALUE!</v>
      </c>
      <c r="J3306" t="str">
        <f>MAIN!A3311&amp;"B"</f>
        <v>B</v>
      </c>
      <c r="K3306" s="12" t="e">
        <f t="shared" si="207"/>
        <v>#VALUE!</v>
      </c>
      <c r="L3306" t="str">
        <f>MAIN!C3311</f>
        <v/>
      </c>
    </row>
    <row r="3307" spans="1:12" x14ac:dyDescent="0.3">
      <c r="A3307">
        <f>IF(J3307="0",0,IF(COUNTIF($J$2:J3307,J3307)=1,1,0))</f>
        <v>0</v>
      </c>
      <c r="B3307" s="12" t="e">
        <f>MID(MAIN!A3312,K3307,2)</f>
        <v>#VALUE!</v>
      </c>
      <c r="C3307" s="12" t="e">
        <f t="shared" si="204"/>
        <v>#VALUE!</v>
      </c>
      <c r="D3307" s="12" t="e">
        <f>MID(MAIN!A3312,K3307+2,2)</f>
        <v>#VALUE!</v>
      </c>
      <c r="E3307" s="12" t="e">
        <f>MID(MAIN!A3312,K3307+4,2)</f>
        <v>#VALUE!</v>
      </c>
      <c r="F3307" s="2" t="e">
        <f t="shared" si="205"/>
        <v>#VALUE!</v>
      </c>
      <c r="G3307" s="13" t="e">
        <f t="shared" si="206"/>
        <v>#VALUE!</v>
      </c>
      <c r="J3307" t="str">
        <f>MAIN!A3312&amp;"B"</f>
        <v>B</v>
      </c>
      <c r="K3307" s="12" t="e">
        <f t="shared" si="207"/>
        <v>#VALUE!</v>
      </c>
      <c r="L3307" t="str">
        <f>MAIN!C3312</f>
        <v/>
      </c>
    </row>
    <row r="3308" spans="1:12" x14ac:dyDescent="0.3">
      <c r="A3308">
        <f>IF(J3308="0",0,IF(COUNTIF($J$2:J3308,J3308)=1,1,0))</f>
        <v>0</v>
      </c>
      <c r="B3308" s="12" t="e">
        <f>MID(MAIN!A3313,K3308,2)</f>
        <v>#VALUE!</v>
      </c>
      <c r="C3308" s="12" t="e">
        <f t="shared" si="204"/>
        <v>#VALUE!</v>
      </c>
      <c r="D3308" s="12" t="e">
        <f>MID(MAIN!A3313,K3308+2,2)</f>
        <v>#VALUE!</v>
      </c>
      <c r="E3308" s="12" t="e">
        <f>MID(MAIN!A3313,K3308+4,2)</f>
        <v>#VALUE!</v>
      </c>
      <c r="F3308" s="2" t="e">
        <f t="shared" si="205"/>
        <v>#VALUE!</v>
      </c>
      <c r="G3308" s="13" t="e">
        <f t="shared" si="206"/>
        <v>#VALUE!</v>
      </c>
      <c r="J3308" t="str">
        <f>MAIN!A3313&amp;"B"</f>
        <v>B</v>
      </c>
      <c r="K3308" s="12" t="e">
        <f t="shared" si="207"/>
        <v>#VALUE!</v>
      </c>
      <c r="L3308" t="str">
        <f>MAIN!C3313</f>
        <v/>
      </c>
    </row>
    <row r="3309" spans="1:12" x14ac:dyDescent="0.3">
      <c r="A3309">
        <f>IF(J3309="0",0,IF(COUNTIF($J$2:J3309,J3309)=1,1,0))</f>
        <v>0</v>
      </c>
      <c r="B3309" s="12" t="e">
        <f>MID(MAIN!A3314,K3309,2)</f>
        <v>#VALUE!</v>
      </c>
      <c r="C3309" s="12" t="e">
        <f t="shared" si="204"/>
        <v>#VALUE!</v>
      </c>
      <c r="D3309" s="12" t="e">
        <f>MID(MAIN!A3314,K3309+2,2)</f>
        <v>#VALUE!</v>
      </c>
      <c r="E3309" s="12" t="e">
        <f>MID(MAIN!A3314,K3309+4,2)</f>
        <v>#VALUE!</v>
      </c>
      <c r="F3309" s="2" t="e">
        <f t="shared" si="205"/>
        <v>#VALUE!</v>
      </c>
      <c r="G3309" s="13" t="e">
        <f t="shared" si="206"/>
        <v>#VALUE!</v>
      </c>
      <c r="J3309" t="str">
        <f>MAIN!A3314&amp;"B"</f>
        <v>B</v>
      </c>
      <c r="K3309" s="12" t="e">
        <f t="shared" si="207"/>
        <v>#VALUE!</v>
      </c>
      <c r="L3309" t="str">
        <f>MAIN!C3314</f>
        <v/>
      </c>
    </row>
    <row r="3310" spans="1:12" x14ac:dyDescent="0.3">
      <c r="A3310">
        <f>IF(J3310="0",0,IF(COUNTIF($J$2:J3310,J3310)=1,1,0))</f>
        <v>0</v>
      </c>
      <c r="B3310" s="12" t="e">
        <f>MID(MAIN!A3315,K3310,2)</f>
        <v>#VALUE!</v>
      </c>
      <c r="C3310" s="12" t="e">
        <f t="shared" si="204"/>
        <v>#VALUE!</v>
      </c>
      <c r="D3310" s="12" t="e">
        <f>MID(MAIN!A3315,K3310+2,2)</f>
        <v>#VALUE!</v>
      </c>
      <c r="E3310" s="12" t="e">
        <f>MID(MAIN!A3315,K3310+4,2)</f>
        <v>#VALUE!</v>
      </c>
      <c r="F3310" s="2" t="e">
        <f t="shared" si="205"/>
        <v>#VALUE!</v>
      </c>
      <c r="G3310" s="13" t="e">
        <f t="shared" si="206"/>
        <v>#VALUE!</v>
      </c>
      <c r="J3310" t="str">
        <f>MAIN!A3315&amp;"B"</f>
        <v>B</v>
      </c>
      <c r="K3310" s="12" t="e">
        <f t="shared" si="207"/>
        <v>#VALUE!</v>
      </c>
      <c r="L3310" t="str">
        <f>MAIN!C3315</f>
        <v/>
      </c>
    </row>
    <row r="3311" spans="1:12" x14ac:dyDescent="0.3">
      <c r="A3311">
        <f>IF(J3311="0",0,IF(COUNTIF($J$2:J3311,J3311)=1,1,0))</f>
        <v>0</v>
      </c>
      <c r="B3311" s="12" t="e">
        <f>MID(MAIN!A3316,K3311,2)</f>
        <v>#VALUE!</v>
      </c>
      <c r="C3311" s="12" t="e">
        <f t="shared" si="204"/>
        <v>#VALUE!</v>
      </c>
      <c r="D3311" s="12" t="e">
        <f>MID(MAIN!A3316,K3311+2,2)</f>
        <v>#VALUE!</v>
      </c>
      <c r="E3311" s="12" t="e">
        <f>MID(MAIN!A3316,K3311+4,2)</f>
        <v>#VALUE!</v>
      </c>
      <c r="F3311" s="2" t="e">
        <f t="shared" si="205"/>
        <v>#VALUE!</v>
      </c>
      <c r="G3311" s="13" t="e">
        <f t="shared" si="206"/>
        <v>#VALUE!</v>
      </c>
      <c r="J3311" t="str">
        <f>MAIN!A3316&amp;"B"</f>
        <v>B</v>
      </c>
      <c r="K3311" s="12" t="e">
        <f t="shared" si="207"/>
        <v>#VALUE!</v>
      </c>
      <c r="L3311" t="str">
        <f>MAIN!C3316</f>
        <v/>
      </c>
    </row>
    <row r="3312" spans="1:12" x14ac:dyDescent="0.3">
      <c r="A3312">
        <f>IF(J3312="0",0,IF(COUNTIF($J$2:J3312,J3312)=1,1,0))</f>
        <v>0</v>
      </c>
      <c r="B3312" s="12" t="e">
        <f>MID(MAIN!A3317,K3312,2)</f>
        <v>#VALUE!</v>
      </c>
      <c r="C3312" s="12" t="e">
        <f t="shared" si="204"/>
        <v>#VALUE!</v>
      </c>
      <c r="D3312" s="12" t="e">
        <f>MID(MAIN!A3317,K3312+2,2)</f>
        <v>#VALUE!</v>
      </c>
      <c r="E3312" s="12" t="e">
        <f>MID(MAIN!A3317,K3312+4,2)</f>
        <v>#VALUE!</v>
      </c>
      <c r="F3312" s="2" t="e">
        <f t="shared" si="205"/>
        <v>#VALUE!</v>
      </c>
      <c r="G3312" s="13" t="e">
        <f t="shared" si="206"/>
        <v>#VALUE!</v>
      </c>
      <c r="J3312" t="str">
        <f>MAIN!A3317&amp;"B"</f>
        <v>B</v>
      </c>
      <c r="K3312" s="12" t="e">
        <f t="shared" si="207"/>
        <v>#VALUE!</v>
      </c>
      <c r="L3312" t="str">
        <f>MAIN!C3317</f>
        <v/>
      </c>
    </row>
    <row r="3313" spans="1:12" x14ac:dyDescent="0.3">
      <c r="A3313">
        <f>IF(J3313="0",0,IF(COUNTIF($J$2:J3313,J3313)=1,1,0))</f>
        <v>0</v>
      </c>
      <c r="B3313" s="12" t="e">
        <f>MID(MAIN!A3318,K3313,2)</f>
        <v>#VALUE!</v>
      </c>
      <c r="C3313" s="12" t="e">
        <f t="shared" si="204"/>
        <v>#VALUE!</v>
      </c>
      <c r="D3313" s="12" t="e">
        <f>MID(MAIN!A3318,K3313+2,2)</f>
        <v>#VALUE!</v>
      </c>
      <c r="E3313" s="12" t="e">
        <f>MID(MAIN!A3318,K3313+4,2)</f>
        <v>#VALUE!</v>
      </c>
      <c r="F3313" s="2" t="e">
        <f t="shared" si="205"/>
        <v>#VALUE!</v>
      </c>
      <c r="G3313" s="13" t="e">
        <f t="shared" si="206"/>
        <v>#VALUE!</v>
      </c>
      <c r="J3313" t="str">
        <f>MAIN!A3318&amp;"B"</f>
        <v>B</v>
      </c>
      <c r="K3313" s="12" t="e">
        <f t="shared" si="207"/>
        <v>#VALUE!</v>
      </c>
      <c r="L3313" t="str">
        <f>MAIN!C3318</f>
        <v/>
      </c>
    </row>
    <row r="3314" spans="1:12" x14ac:dyDescent="0.3">
      <c r="A3314">
        <f>IF(J3314="0",0,IF(COUNTIF($J$2:J3314,J3314)=1,1,0))</f>
        <v>0</v>
      </c>
      <c r="B3314" s="12" t="e">
        <f>MID(MAIN!A3319,K3314,2)</f>
        <v>#VALUE!</v>
      </c>
      <c r="C3314" s="12" t="e">
        <f t="shared" si="204"/>
        <v>#VALUE!</v>
      </c>
      <c r="D3314" s="12" t="e">
        <f>MID(MAIN!A3319,K3314+2,2)</f>
        <v>#VALUE!</v>
      </c>
      <c r="E3314" s="12" t="e">
        <f>MID(MAIN!A3319,K3314+4,2)</f>
        <v>#VALUE!</v>
      </c>
      <c r="F3314" s="2" t="e">
        <f t="shared" si="205"/>
        <v>#VALUE!</v>
      </c>
      <c r="G3314" s="13" t="e">
        <f t="shared" si="206"/>
        <v>#VALUE!</v>
      </c>
      <c r="J3314" t="str">
        <f>MAIN!A3319&amp;"B"</f>
        <v>B</v>
      </c>
      <c r="K3314" s="12" t="e">
        <f t="shared" si="207"/>
        <v>#VALUE!</v>
      </c>
      <c r="L3314" t="str">
        <f>MAIN!C3319</f>
        <v/>
      </c>
    </row>
    <row r="3315" spans="1:12" x14ac:dyDescent="0.3">
      <c r="A3315">
        <f>IF(J3315="0",0,IF(COUNTIF($J$2:J3315,J3315)=1,1,0))</f>
        <v>0</v>
      </c>
      <c r="B3315" s="12" t="e">
        <f>MID(MAIN!A3320,K3315,2)</f>
        <v>#VALUE!</v>
      </c>
      <c r="C3315" s="12" t="e">
        <f t="shared" si="204"/>
        <v>#VALUE!</v>
      </c>
      <c r="D3315" s="12" t="e">
        <f>MID(MAIN!A3320,K3315+2,2)</f>
        <v>#VALUE!</v>
      </c>
      <c r="E3315" s="12" t="e">
        <f>MID(MAIN!A3320,K3315+4,2)</f>
        <v>#VALUE!</v>
      </c>
      <c r="F3315" s="2" t="e">
        <f t="shared" si="205"/>
        <v>#VALUE!</v>
      </c>
      <c r="G3315" s="13" t="e">
        <f t="shared" si="206"/>
        <v>#VALUE!</v>
      </c>
      <c r="J3315" t="str">
        <f>MAIN!A3320&amp;"B"</f>
        <v>B</v>
      </c>
      <c r="K3315" s="12" t="e">
        <f t="shared" si="207"/>
        <v>#VALUE!</v>
      </c>
      <c r="L3315" t="str">
        <f>MAIN!C3320</f>
        <v/>
      </c>
    </row>
    <row r="3316" spans="1:12" x14ac:dyDescent="0.3">
      <c r="A3316">
        <f>IF(J3316="0",0,IF(COUNTIF($J$2:J3316,J3316)=1,1,0))</f>
        <v>0</v>
      </c>
      <c r="B3316" s="12" t="e">
        <f>MID(MAIN!A3321,K3316,2)</f>
        <v>#VALUE!</v>
      </c>
      <c r="C3316" s="12" t="e">
        <f t="shared" si="204"/>
        <v>#VALUE!</v>
      </c>
      <c r="D3316" s="12" t="e">
        <f>MID(MAIN!A3321,K3316+2,2)</f>
        <v>#VALUE!</v>
      </c>
      <c r="E3316" s="12" t="e">
        <f>MID(MAIN!A3321,K3316+4,2)</f>
        <v>#VALUE!</v>
      </c>
      <c r="F3316" s="2" t="e">
        <f t="shared" si="205"/>
        <v>#VALUE!</v>
      </c>
      <c r="G3316" s="13" t="e">
        <f t="shared" si="206"/>
        <v>#VALUE!</v>
      </c>
      <c r="J3316" t="str">
        <f>MAIN!A3321&amp;"B"</f>
        <v>B</v>
      </c>
      <c r="K3316" s="12" t="e">
        <f t="shared" si="207"/>
        <v>#VALUE!</v>
      </c>
      <c r="L3316" t="str">
        <f>MAIN!C3321</f>
        <v/>
      </c>
    </row>
    <row r="3317" spans="1:12" x14ac:dyDescent="0.3">
      <c r="A3317">
        <f>IF(J3317="0",0,IF(COUNTIF($J$2:J3317,J3317)=1,1,0))</f>
        <v>0</v>
      </c>
      <c r="B3317" s="12" t="e">
        <f>MID(MAIN!A3322,K3317,2)</f>
        <v>#VALUE!</v>
      </c>
      <c r="C3317" s="12" t="e">
        <f t="shared" si="204"/>
        <v>#VALUE!</v>
      </c>
      <c r="D3317" s="12" t="e">
        <f>MID(MAIN!A3322,K3317+2,2)</f>
        <v>#VALUE!</v>
      </c>
      <c r="E3317" s="12" t="e">
        <f>MID(MAIN!A3322,K3317+4,2)</f>
        <v>#VALUE!</v>
      </c>
      <c r="F3317" s="2" t="e">
        <f t="shared" si="205"/>
        <v>#VALUE!</v>
      </c>
      <c r="G3317" s="13" t="e">
        <f t="shared" si="206"/>
        <v>#VALUE!</v>
      </c>
      <c r="J3317" t="str">
        <f>MAIN!A3322&amp;"B"</f>
        <v>B</v>
      </c>
      <c r="K3317" s="12" t="e">
        <f t="shared" si="207"/>
        <v>#VALUE!</v>
      </c>
      <c r="L3317" t="str">
        <f>MAIN!C3322</f>
        <v/>
      </c>
    </row>
    <row r="3318" spans="1:12" x14ac:dyDescent="0.3">
      <c r="A3318">
        <f>IF(J3318="0",0,IF(COUNTIF($J$2:J3318,J3318)=1,1,0))</f>
        <v>0</v>
      </c>
      <c r="B3318" s="12" t="e">
        <f>MID(MAIN!A3323,K3318,2)</f>
        <v>#VALUE!</v>
      </c>
      <c r="C3318" s="12" t="e">
        <f t="shared" si="204"/>
        <v>#VALUE!</v>
      </c>
      <c r="D3318" s="12" t="e">
        <f>MID(MAIN!A3323,K3318+2,2)</f>
        <v>#VALUE!</v>
      </c>
      <c r="E3318" s="12" t="e">
        <f>MID(MAIN!A3323,K3318+4,2)</f>
        <v>#VALUE!</v>
      </c>
      <c r="F3318" s="2" t="e">
        <f t="shared" si="205"/>
        <v>#VALUE!</v>
      </c>
      <c r="G3318" s="13" t="e">
        <f t="shared" si="206"/>
        <v>#VALUE!</v>
      </c>
      <c r="J3318" t="str">
        <f>MAIN!A3323&amp;"B"</f>
        <v>B</v>
      </c>
      <c r="K3318" s="12" t="e">
        <f t="shared" si="207"/>
        <v>#VALUE!</v>
      </c>
      <c r="L3318" t="str">
        <f>MAIN!C3323</f>
        <v/>
      </c>
    </row>
    <row r="3319" spans="1:12" x14ac:dyDescent="0.3">
      <c r="A3319">
        <f>IF(J3319="0",0,IF(COUNTIF($J$2:J3319,J3319)=1,1,0))</f>
        <v>0</v>
      </c>
      <c r="B3319" s="12" t="e">
        <f>MID(MAIN!A3324,K3319,2)</f>
        <v>#VALUE!</v>
      </c>
      <c r="C3319" s="12" t="e">
        <f t="shared" si="204"/>
        <v>#VALUE!</v>
      </c>
      <c r="D3319" s="12" t="e">
        <f>MID(MAIN!A3324,K3319+2,2)</f>
        <v>#VALUE!</v>
      </c>
      <c r="E3319" s="12" t="e">
        <f>MID(MAIN!A3324,K3319+4,2)</f>
        <v>#VALUE!</v>
      </c>
      <c r="F3319" s="2" t="e">
        <f t="shared" si="205"/>
        <v>#VALUE!</v>
      </c>
      <c r="G3319" s="13" t="e">
        <f t="shared" si="206"/>
        <v>#VALUE!</v>
      </c>
      <c r="J3319" t="str">
        <f>MAIN!A3324&amp;"B"</f>
        <v>B</v>
      </c>
      <c r="K3319" s="12" t="e">
        <f t="shared" si="207"/>
        <v>#VALUE!</v>
      </c>
      <c r="L3319" t="str">
        <f>MAIN!C3324</f>
        <v/>
      </c>
    </row>
    <row r="3320" spans="1:12" x14ac:dyDescent="0.3">
      <c r="A3320">
        <f>IF(J3320="0",0,IF(COUNTIF($J$2:J3320,J3320)=1,1,0))</f>
        <v>0</v>
      </c>
      <c r="B3320" s="12" t="e">
        <f>MID(MAIN!A3325,K3320,2)</f>
        <v>#VALUE!</v>
      </c>
      <c r="C3320" s="12" t="e">
        <f t="shared" si="204"/>
        <v>#VALUE!</v>
      </c>
      <c r="D3320" s="12" t="e">
        <f>MID(MAIN!A3325,K3320+2,2)</f>
        <v>#VALUE!</v>
      </c>
      <c r="E3320" s="12" t="e">
        <f>MID(MAIN!A3325,K3320+4,2)</f>
        <v>#VALUE!</v>
      </c>
      <c r="F3320" s="2" t="e">
        <f t="shared" si="205"/>
        <v>#VALUE!</v>
      </c>
      <c r="G3320" s="13" t="e">
        <f t="shared" si="206"/>
        <v>#VALUE!</v>
      </c>
      <c r="J3320" t="str">
        <f>MAIN!A3325&amp;"B"</f>
        <v>B</v>
      </c>
      <c r="K3320" s="12" t="e">
        <f t="shared" si="207"/>
        <v>#VALUE!</v>
      </c>
      <c r="L3320" t="str">
        <f>MAIN!C3325</f>
        <v/>
      </c>
    </row>
    <row r="3321" spans="1:12" x14ac:dyDescent="0.3">
      <c r="A3321">
        <f>IF(J3321="0",0,IF(COUNTIF($J$2:J3321,J3321)=1,1,0))</f>
        <v>0</v>
      </c>
      <c r="B3321" s="12" t="e">
        <f>MID(MAIN!A3326,K3321,2)</f>
        <v>#VALUE!</v>
      </c>
      <c r="C3321" s="12" t="e">
        <f t="shared" si="204"/>
        <v>#VALUE!</v>
      </c>
      <c r="D3321" s="12" t="e">
        <f>MID(MAIN!A3326,K3321+2,2)</f>
        <v>#VALUE!</v>
      </c>
      <c r="E3321" s="12" t="e">
        <f>MID(MAIN!A3326,K3321+4,2)</f>
        <v>#VALUE!</v>
      </c>
      <c r="F3321" s="2" t="e">
        <f t="shared" si="205"/>
        <v>#VALUE!</v>
      </c>
      <c r="G3321" s="13" t="e">
        <f t="shared" si="206"/>
        <v>#VALUE!</v>
      </c>
      <c r="J3321" t="str">
        <f>MAIN!A3326&amp;"B"</f>
        <v>B</v>
      </c>
      <c r="K3321" s="12" t="e">
        <f t="shared" si="207"/>
        <v>#VALUE!</v>
      </c>
      <c r="L3321" t="str">
        <f>MAIN!C3326</f>
        <v/>
      </c>
    </row>
    <row r="3322" spans="1:12" x14ac:dyDescent="0.3">
      <c r="A3322">
        <f>IF(J3322="0",0,IF(COUNTIF($J$2:J3322,J3322)=1,1,0))</f>
        <v>0</v>
      </c>
      <c r="B3322" s="12" t="e">
        <f>MID(MAIN!A3327,K3322,2)</f>
        <v>#VALUE!</v>
      </c>
      <c r="C3322" s="12" t="e">
        <f t="shared" si="204"/>
        <v>#VALUE!</v>
      </c>
      <c r="D3322" s="12" t="e">
        <f>MID(MAIN!A3327,K3322+2,2)</f>
        <v>#VALUE!</v>
      </c>
      <c r="E3322" s="12" t="e">
        <f>MID(MAIN!A3327,K3322+4,2)</f>
        <v>#VALUE!</v>
      </c>
      <c r="F3322" s="2" t="e">
        <f t="shared" si="205"/>
        <v>#VALUE!</v>
      </c>
      <c r="G3322" s="13" t="e">
        <f t="shared" si="206"/>
        <v>#VALUE!</v>
      </c>
      <c r="J3322" t="str">
        <f>MAIN!A3327&amp;"B"</f>
        <v>B</v>
      </c>
      <c r="K3322" s="12" t="e">
        <f t="shared" si="207"/>
        <v>#VALUE!</v>
      </c>
      <c r="L3322" t="str">
        <f>MAIN!C3327</f>
        <v/>
      </c>
    </row>
    <row r="3323" spans="1:12" x14ac:dyDescent="0.3">
      <c r="A3323">
        <f>IF(J3323="0",0,IF(COUNTIF($J$2:J3323,J3323)=1,1,0))</f>
        <v>0</v>
      </c>
      <c r="B3323" s="12" t="e">
        <f>MID(MAIN!A3328,K3323,2)</f>
        <v>#VALUE!</v>
      </c>
      <c r="C3323" s="12" t="e">
        <f t="shared" si="204"/>
        <v>#VALUE!</v>
      </c>
      <c r="D3323" s="12" t="e">
        <f>MID(MAIN!A3328,K3323+2,2)</f>
        <v>#VALUE!</v>
      </c>
      <c r="E3323" s="12" t="e">
        <f>MID(MAIN!A3328,K3323+4,2)</f>
        <v>#VALUE!</v>
      </c>
      <c r="F3323" s="2" t="e">
        <f t="shared" si="205"/>
        <v>#VALUE!</v>
      </c>
      <c r="G3323" s="13" t="e">
        <f t="shared" si="206"/>
        <v>#VALUE!</v>
      </c>
      <c r="J3323" t="str">
        <f>MAIN!A3328&amp;"B"</f>
        <v>B</v>
      </c>
      <c r="K3323" s="12" t="e">
        <f t="shared" si="207"/>
        <v>#VALUE!</v>
      </c>
      <c r="L3323" t="str">
        <f>MAIN!C3328</f>
        <v/>
      </c>
    </row>
    <row r="3324" spans="1:12" x14ac:dyDescent="0.3">
      <c r="A3324">
        <f>IF(J3324="0",0,IF(COUNTIF($J$2:J3324,J3324)=1,1,0))</f>
        <v>0</v>
      </c>
      <c r="B3324" s="12" t="e">
        <f>MID(MAIN!A3329,K3324,2)</f>
        <v>#VALUE!</v>
      </c>
      <c r="C3324" s="12" t="e">
        <f t="shared" si="204"/>
        <v>#VALUE!</v>
      </c>
      <c r="D3324" s="12" t="e">
        <f>MID(MAIN!A3329,K3324+2,2)</f>
        <v>#VALUE!</v>
      </c>
      <c r="E3324" s="12" t="e">
        <f>MID(MAIN!A3329,K3324+4,2)</f>
        <v>#VALUE!</v>
      </c>
      <c r="F3324" s="2" t="e">
        <f t="shared" si="205"/>
        <v>#VALUE!</v>
      </c>
      <c r="G3324" s="13" t="e">
        <f t="shared" si="206"/>
        <v>#VALUE!</v>
      </c>
      <c r="J3324" t="str">
        <f>MAIN!A3329&amp;"B"</f>
        <v>B</v>
      </c>
      <c r="K3324" s="12" t="e">
        <f t="shared" si="207"/>
        <v>#VALUE!</v>
      </c>
      <c r="L3324" t="str">
        <f>MAIN!C3329</f>
        <v/>
      </c>
    </row>
    <row r="3325" spans="1:12" x14ac:dyDescent="0.3">
      <c r="A3325">
        <f>IF(J3325="0",0,IF(COUNTIF($J$2:J3325,J3325)=1,1,0))</f>
        <v>0</v>
      </c>
      <c r="B3325" s="12" t="e">
        <f>MID(MAIN!A3330,K3325,2)</f>
        <v>#VALUE!</v>
      </c>
      <c r="C3325" s="12" t="e">
        <f t="shared" si="204"/>
        <v>#VALUE!</v>
      </c>
      <c r="D3325" s="12" t="e">
        <f>MID(MAIN!A3330,K3325+2,2)</f>
        <v>#VALUE!</v>
      </c>
      <c r="E3325" s="12" t="e">
        <f>MID(MAIN!A3330,K3325+4,2)</f>
        <v>#VALUE!</v>
      </c>
      <c r="F3325" s="2" t="e">
        <f t="shared" si="205"/>
        <v>#VALUE!</v>
      </c>
      <c r="G3325" s="13" t="e">
        <f t="shared" si="206"/>
        <v>#VALUE!</v>
      </c>
      <c r="J3325" t="str">
        <f>MAIN!A3330&amp;"B"</f>
        <v>B</v>
      </c>
      <c r="K3325" s="12" t="e">
        <f t="shared" si="207"/>
        <v>#VALUE!</v>
      </c>
      <c r="L3325" t="str">
        <f>MAIN!C3330</f>
        <v/>
      </c>
    </row>
    <row r="3326" spans="1:12" x14ac:dyDescent="0.3">
      <c r="A3326">
        <f>IF(J3326="0",0,IF(COUNTIF($J$2:J3326,J3326)=1,1,0))</f>
        <v>0</v>
      </c>
      <c r="B3326" s="12" t="e">
        <f>MID(MAIN!A3331,K3326,2)</f>
        <v>#VALUE!</v>
      </c>
      <c r="C3326" s="12" t="e">
        <f t="shared" si="204"/>
        <v>#VALUE!</v>
      </c>
      <c r="D3326" s="12" t="e">
        <f>MID(MAIN!A3331,K3326+2,2)</f>
        <v>#VALUE!</v>
      </c>
      <c r="E3326" s="12" t="e">
        <f>MID(MAIN!A3331,K3326+4,2)</f>
        <v>#VALUE!</v>
      </c>
      <c r="F3326" s="2" t="e">
        <f t="shared" si="205"/>
        <v>#VALUE!</v>
      </c>
      <c r="G3326" s="13" t="e">
        <f t="shared" si="206"/>
        <v>#VALUE!</v>
      </c>
      <c r="J3326" t="str">
        <f>MAIN!A3331&amp;"B"</f>
        <v>B</v>
      </c>
      <c r="K3326" s="12" t="e">
        <f t="shared" si="207"/>
        <v>#VALUE!</v>
      </c>
      <c r="L3326" t="str">
        <f>MAIN!C3331</f>
        <v/>
      </c>
    </row>
    <row r="3327" spans="1:12" x14ac:dyDescent="0.3">
      <c r="A3327">
        <f>IF(J3327="0",0,IF(COUNTIF($J$2:J3327,J3327)=1,1,0))</f>
        <v>0</v>
      </c>
      <c r="B3327" s="12" t="e">
        <f>MID(MAIN!A3332,K3327,2)</f>
        <v>#VALUE!</v>
      </c>
      <c r="C3327" s="12" t="e">
        <f t="shared" si="204"/>
        <v>#VALUE!</v>
      </c>
      <c r="D3327" s="12" t="e">
        <f>MID(MAIN!A3332,K3327+2,2)</f>
        <v>#VALUE!</v>
      </c>
      <c r="E3327" s="12" t="e">
        <f>MID(MAIN!A3332,K3327+4,2)</f>
        <v>#VALUE!</v>
      </c>
      <c r="F3327" s="2" t="e">
        <f t="shared" si="205"/>
        <v>#VALUE!</v>
      </c>
      <c r="G3327" s="13" t="e">
        <f t="shared" si="206"/>
        <v>#VALUE!</v>
      </c>
      <c r="J3327" t="str">
        <f>MAIN!A3332&amp;"B"</f>
        <v>B</v>
      </c>
      <c r="K3327" s="12" t="e">
        <f t="shared" si="207"/>
        <v>#VALUE!</v>
      </c>
      <c r="L3327" t="str">
        <f>MAIN!C3332</f>
        <v/>
      </c>
    </row>
    <row r="3328" spans="1:12" x14ac:dyDescent="0.3">
      <c r="A3328">
        <f>IF(J3328="0",0,IF(COUNTIF($J$2:J3328,J3328)=1,1,0))</f>
        <v>0</v>
      </c>
      <c r="B3328" s="12" t="e">
        <f>MID(MAIN!A3333,K3328,2)</f>
        <v>#VALUE!</v>
      </c>
      <c r="C3328" s="12" t="e">
        <f t="shared" si="204"/>
        <v>#VALUE!</v>
      </c>
      <c r="D3328" s="12" t="e">
        <f>MID(MAIN!A3333,K3328+2,2)</f>
        <v>#VALUE!</v>
      </c>
      <c r="E3328" s="12" t="e">
        <f>MID(MAIN!A3333,K3328+4,2)</f>
        <v>#VALUE!</v>
      </c>
      <c r="F3328" s="2" t="e">
        <f t="shared" si="205"/>
        <v>#VALUE!</v>
      </c>
      <c r="G3328" s="13" t="e">
        <f t="shared" si="206"/>
        <v>#VALUE!</v>
      </c>
      <c r="J3328" t="str">
        <f>MAIN!A3333&amp;"B"</f>
        <v>B</v>
      </c>
      <c r="K3328" s="12" t="e">
        <f t="shared" si="207"/>
        <v>#VALUE!</v>
      </c>
      <c r="L3328" t="str">
        <f>MAIN!C3333</f>
        <v/>
      </c>
    </row>
    <row r="3329" spans="1:12" x14ac:dyDescent="0.3">
      <c r="A3329">
        <f>IF(J3329="0",0,IF(COUNTIF($J$2:J3329,J3329)=1,1,0))</f>
        <v>0</v>
      </c>
      <c r="B3329" s="12" t="e">
        <f>MID(MAIN!A3334,K3329,2)</f>
        <v>#VALUE!</v>
      </c>
      <c r="C3329" s="12" t="e">
        <f t="shared" si="204"/>
        <v>#VALUE!</v>
      </c>
      <c r="D3329" s="12" t="e">
        <f>MID(MAIN!A3334,K3329+2,2)</f>
        <v>#VALUE!</v>
      </c>
      <c r="E3329" s="12" t="e">
        <f>MID(MAIN!A3334,K3329+4,2)</f>
        <v>#VALUE!</v>
      </c>
      <c r="F3329" s="2" t="e">
        <f t="shared" si="205"/>
        <v>#VALUE!</v>
      </c>
      <c r="G3329" s="13" t="e">
        <f t="shared" si="206"/>
        <v>#VALUE!</v>
      </c>
      <c r="J3329" t="str">
        <f>MAIN!A3334&amp;"B"</f>
        <v>B</v>
      </c>
      <c r="K3329" s="12" t="e">
        <f t="shared" si="207"/>
        <v>#VALUE!</v>
      </c>
      <c r="L3329" t="str">
        <f>MAIN!C3334</f>
        <v/>
      </c>
    </row>
    <row r="3330" spans="1:12" x14ac:dyDescent="0.3">
      <c r="A3330">
        <f>IF(J3330="0",0,IF(COUNTIF($J$2:J3330,J3330)=1,1,0))</f>
        <v>0</v>
      </c>
      <c r="B3330" s="12" t="e">
        <f>MID(MAIN!A3335,K3330,2)</f>
        <v>#VALUE!</v>
      </c>
      <c r="C3330" s="12" t="e">
        <f t="shared" si="204"/>
        <v>#VALUE!</v>
      </c>
      <c r="D3330" s="12" t="e">
        <f>MID(MAIN!A3335,K3330+2,2)</f>
        <v>#VALUE!</v>
      </c>
      <c r="E3330" s="12" t="e">
        <f>MID(MAIN!A3335,K3330+4,2)</f>
        <v>#VALUE!</v>
      </c>
      <c r="F3330" s="2" t="e">
        <f t="shared" si="205"/>
        <v>#VALUE!</v>
      </c>
      <c r="G3330" s="13" t="e">
        <f t="shared" si="206"/>
        <v>#VALUE!</v>
      </c>
      <c r="J3330" t="str">
        <f>MAIN!A3335&amp;"B"</f>
        <v>B</v>
      </c>
      <c r="K3330" s="12" t="e">
        <f t="shared" si="207"/>
        <v>#VALUE!</v>
      </c>
      <c r="L3330" t="str">
        <f>MAIN!C3335</f>
        <v/>
      </c>
    </row>
    <row r="3331" spans="1:12" x14ac:dyDescent="0.3">
      <c r="A3331">
        <f>IF(J3331="0",0,IF(COUNTIF($J$2:J3331,J3331)=1,1,0))</f>
        <v>0</v>
      </c>
      <c r="B3331" s="12" t="e">
        <f>MID(MAIN!A3336,K3331,2)</f>
        <v>#VALUE!</v>
      </c>
      <c r="C3331" s="12" t="e">
        <f t="shared" ref="C3331:C3394" si="208">"20"&amp;B3331</f>
        <v>#VALUE!</v>
      </c>
      <c r="D3331" s="12" t="e">
        <f>MID(MAIN!A3336,K3331+2,2)</f>
        <v>#VALUE!</v>
      </c>
      <c r="E3331" s="12" t="e">
        <f>MID(MAIN!A3336,K3331+4,2)</f>
        <v>#VALUE!</v>
      </c>
      <c r="F3331" s="2" t="e">
        <f t="shared" ref="F3331:F3394" si="209">C3331&amp;"/"&amp;D3331&amp;"/"&amp;E3331</f>
        <v>#VALUE!</v>
      </c>
      <c r="G3331" s="13" t="e">
        <f t="shared" ref="G3331:G3394" si="210">DATEVALUE(F3331)</f>
        <v>#VALUE!</v>
      </c>
      <c r="J3331" t="str">
        <f>MAIN!A3336&amp;"B"</f>
        <v>B</v>
      </c>
      <c r="K3331" s="12" t="e">
        <f t="shared" ref="K3331:K3394" si="211">FIND("172",J3331,30)+2</f>
        <v>#VALUE!</v>
      </c>
      <c r="L3331" t="str">
        <f>MAIN!C3336</f>
        <v/>
      </c>
    </row>
    <row r="3332" spans="1:12" x14ac:dyDescent="0.3">
      <c r="A3332">
        <f>IF(J3332="0",0,IF(COUNTIF($J$2:J3332,J3332)=1,1,0))</f>
        <v>0</v>
      </c>
      <c r="B3332" s="12" t="e">
        <f>MID(MAIN!A3337,K3332,2)</f>
        <v>#VALUE!</v>
      </c>
      <c r="C3332" s="12" t="e">
        <f t="shared" si="208"/>
        <v>#VALUE!</v>
      </c>
      <c r="D3332" s="12" t="e">
        <f>MID(MAIN!A3337,K3332+2,2)</f>
        <v>#VALUE!</v>
      </c>
      <c r="E3332" s="12" t="e">
        <f>MID(MAIN!A3337,K3332+4,2)</f>
        <v>#VALUE!</v>
      </c>
      <c r="F3332" s="2" t="e">
        <f t="shared" si="209"/>
        <v>#VALUE!</v>
      </c>
      <c r="G3332" s="13" t="e">
        <f t="shared" si="210"/>
        <v>#VALUE!</v>
      </c>
      <c r="J3332" t="str">
        <f>MAIN!A3337&amp;"B"</f>
        <v>B</v>
      </c>
      <c r="K3332" s="12" t="e">
        <f t="shared" si="211"/>
        <v>#VALUE!</v>
      </c>
      <c r="L3332" t="str">
        <f>MAIN!C3337</f>
        <v/>
      </c>
    </row>
    <row r="3333" spans="1:12" x14ac:dyDescent="0.3">
      <c r="A3333">
        <f>IF(J3333="0",0,IF(COUNTIF($J$2:J3333,J3333)=1,1,0))</f>
        <v>0</v>
      </c>
      <c r="B3333" s="12" t="e">
        <f>MID(MAIN!A3338,K3333,2)</f>
        <v>#VALUE!</v>
      </c>
      <c r="C3333" s="12" t="e">
        <f t="shared" si="208"/>
        <v>#VALUE!</v>
      </c>
      <c r="D3333" s="12" t="e">
        <f>MID(MAIN!A3338,K3333+2,2)</f>
        <v>#VALUE!</v>
      </c>
      <c r="E3333" s="12" t="e">
        <f>MID(MAIN!A3338,K3333+4,2)</f>
        <v>#VALUE!</v>
      </c>
      <c r="F3333" s="2" t="e">
        <f t="shared" si="209"/>
        <v>#VALUE!</v>
      </c>
      <c r="G3333" s="13" t="e">
        <f t="shared" si="210"/>
        <v>#VALUE!</v>
      </c>
      <c r="J3333" t="str">
        <f>MAIN!A3338&amp;"B"</f>
        <v>B</v>
      </c>
      <c r="K3333" s="12" t="e">
        <f t="shared" si="211"/>
        <v>#VALUE!</v>
      </c>
      <c r="L3333" t="str">
        <f>MAIN!C3338</f>
        <v/>
      </c>
    </row>
    <row r="3334" spans="1:12" x14ac:dyDescent="0.3">
      <c r="A3334">
        <f>IF(J3334="0",0,IF(COUNTIF($J$2:J3334,J3334)=1,1,0))</f>
        <v>0</v>
      </c>
      <c r="B3334" s="12" t="e">
        <f>MID(MAIN!A3339,K3334,2)</f>
        <v>#VALUE!</v>
      </c>
      <c r="C3334" s="12" t="e">
        <f t="shared" si="208"/>
        <v>#VALUE!</v>
      </c>
      <c r="D3334" s="12" t="e">
        <f>MID(MAIN!A3339,K3334+2,2)</f>
        <v>#VALUE!</v>
      </c>
      <c r="E3334" s="12" t="e">
        <f>MID(MAIN!A3339,K3334+4,2)</f>
        <v>#VALUE!</v>
      </c>
      <c r="F3334" s="2" t="e">
        <f t="shared" si="209"/>
        <v>#VALUE!</v>
      </c>
      <c r="G3334" s="13" t="e">
        <f t="shared" si="210"/>
        <v>#VALUE!</v>
      </c>
      <c r="J3334" t="str">
        <f>MAIN!A3339&amp;"B"</f>
        <v>B</v>
      </c>
      <c r="K3334" s="12" t="e">
        <f t="shared" si="211"/>
        <v>#VALUE!</v>
      </c>
      <c r="L3334" t="str">
        <f>MAIN!C3339</f>
        <v/>
      </c>
    </row>
    <row r="3335" spans="1:12" x14ac:dyDescent="0.3">
      <c r="A3335">
        <f>IF(J3335="0",0,IF(COUNTIF($J$2:J3335,J3335)=1,1,0))</f>
        <v>0</v>
      </c>
      <c r="B3335" s="12" t="e">
        <f>MID(MAIN!A3340,K3335,2)</f>
        <v>#VALUE!</v>
      </c>
      <c r="C3335" s="12" t="e">
        <f t="shared" si="208"/>
        <v>#VALUE!</v>
      </c>
      <c r="D3335" s="12" t="e">
        <f>MID(MAIN!A3340,K3335+2,2)</f>
        <v>#VALUE!</v>
      </c>
      <c r="E3335" s="12" t="e">
        <f>MID(MAIN!A3340,K3335+4,2)</f>
        <v>#VALUE!</v>
      </c>
      <c r="F3335" s="2" t="e">
        <f t="shared" si="209"/>
        <v>#VALUE!</v>
      </c>
      <c r="G3335" s="13" t="e">
        <f t="shared" si="210"/>
        <v>#VALUE!</v>
      </c>
      <c r="J3335" t="str">
        <f>MAIN!A3340&amp;"B"</f>
        <v>B</v>
      </c>
      <c r="K3335" s="12" t="e">
        <f t="shared" si="211"/>
        <v>#VALUE!</v>
      </c>
      <c r="L3335" t="str">
        <f>MAIN!C3340</f>
        <v/>
      </c>
    </row>
    <row r="3336" spans="1:12" x14ac:dyDescent="0.3">
      <c r="A3336">
        <f>IF(J3336="0",0,IF(COUNTIF($J$2:J3336,J3336)=1,1,0))</f>
        <v>0</v>
      </c>
      <c r="B3336" s="12" t="e">
        <f>MID(MAIN!A3341,K3336,2)</f>
        <v>#VALUE!</v>
      </c>
      <c r="C3336" s="12" t="e">
        <f t="shared" si="208"/>
        <v>#VALUE!</v>
      </c>
      <c r="D3336" s="12" t="e">
        <f>MID(MAIN!A3341,K3336+2,2)</f>
        <v>#VALUE!</v>
      </c>
      <c r="E3336" s="12" t="e">
        <f>MID(MAIN!A3341,K3336+4,2)</f>
        <v>#VALUE!</v>
      </c>
      <c r="F3336" s="2" t="e">
        <f t="shared" si="209"/>
        <v>#VALUE!</v>
      </c>
      <c r="G3336" s="13" t="e">
        <f t="shared" si="210"/>
        <v>#VALUE!</v>
      </c>
      <c r="J3336" t="str">
        <f>MAIN!A3341&amp;"B"</f>
        <v>B</v>
      </c>
      <c r="K3336" s="12" t="e">
        <f t="shared" si="211"/>
        <v>#VALUE!</v>
      </c>
      <c r="L3336" t="str">
        <f>MAIN!C3341</f>
        <v/>
      </c>
    </row>
    <row r="3337" spans="1:12" x14ac:dyDescent="0.3">
      <c r="A3337">
        <f>IF(J3337="0",0,IF(COUNTIF($J$2:J3337,J3337)=1,1,0))</f>
        <v>0</v>
      </c>
      <c r="B3337" s="12" t="e">
        <f>MID(MAIN!A3342,K3337,2)</f>
        <v>#VALUE!</v>
      </c>
      <c r="C3337" s="12" t="e">
        <f t="shared" si="208"/>
        <v>#VALUE!</v>
      </c>
      <c r="D3337" s="12" t="e">
        <f>MID(MAIN!A3342,K3337+2,2)</f>
        <v>#VALUE!</v>
      </c>
      <c r="E3337" s="12" t="e">
        <f>MID(MAIN!A3342,K3337+4,2)</f>
        <v>#VALUE!</v>
      </c>
      <c r="F3337" s="2" t="e">
        <f t="shared" si="209"/>
        <v>#VALUE!</v>
      </c>
      <c r="G3337" s="13" t="e">
        <f t="shared" si="210"/>
        <v>#VALUE!</v>
      </c>
      <c r="J3337" t="str">
        <f>MAIN!A3342&amp;"B"</f>
        <v>B</v>
      </c>
      <c r="K3337" s="12" t="e">
        <f t="shared" si="211"/>
        <v>#VALUE!</v>
      </c>
      <c r="L3337" t="str">
        <f>MAIN!C3342</f>
        <v/>
      </c>
    </row>
    <row r="3338" spans="1:12" x14ac:dyDescent="0.3">
      <c r="A3338">
        <f>IF(J3338="0",0,IF(COUNTIF($J$2:J3338,J3338)=1,1,0))</f>
        <v>0</v>
      </c>
      <c r="B3338" s="12" t="e">
        <f>MID(MAIN!A3343,K3338,2)</f>
        <v>#VALUE!</v>
      </c>
      <c r="C3338" s="12" t="e">
        <f t="shared" si="208"/>
        <v>#VALUE!</v>
      </c>
      <c r="D3338" s="12" t="e">
        <f>MID(MAIN!A3343,K3338+2,2)</f>
        <v>#VALUE!</v>
      </c>
      <c r="E3338" s="12" t="e">
        <f>MID(MAIN!A3343,K3338+4,2)</f>
        <v>#VALUE!</v>
      </c>
      <c r="F3338" s="2" t="e">
        <f t="shared" si="209"/>
        <v>#VALUE!</v>
      </c>
      <c r="G3338" s="13" t="e">
        <f t="shared" si="210"/>
        <v>#VALUE!</v>
      </c>
      <c r="J3338" t="str">
        <f>MAIN!A3343&amp;"B"</f>
        <v>B</v>
      </c>
      <c r="K3338" s="12" t="e">
        <f t="shared" si="211"/>
        <v>#VALUE!</v>
      </c>
      <c r="L3338" t="str">
        <f>MAIN!C3343</f>
        <v/>
      </c>
    </row>
    <row r="3339" spans="1:12" x14ac:dyDescent="0.3">
      <c r="A3339">
        <f>IF(J3339="0",0,IF(COUNTIF($J$2:J3339,J3339)=1,1,0))</f>
        <v>0</v>
      </c>
      <c r="B3339" s="12" t="e">
        <f>MID(MAIN!A3344,K3339,2)</f>
        <v>#VALUE!</v>
      </c>
      <c r="C3339" s="12" t="e">
        <f t="shared" si="208"/>
        <v>#VALUE!</v>
      </c>
      <c r="D3339" s="12" t="e">
        <f>MID(MAIN!A3344,K3339+2,2)</f>
        <v>#VALUE!</v>
      </c>
      <c r="E3339" s="12" t="e">
        <f>MID(MAIN!A3344,K3339+4,2)</f>
        <v>#VALUE!</v>
      </c>
      <c r="F3339" s="2" t="e">
        <f t="shared" si="209"/>
        <v>#VALUE!</v>
      </c>
      <c r="G3339" s="13" t="e">
        <f t="shared" si="210"/>
        <v>#VALUE!</v>
      </c>
      <c r="J3339" t="str">
        <f>MAIN!A3344&amp;"B"</f>
        <v>B</v>
      </c>
      <c r="K3339" s="12" t="e">
        <f t="shared" si="211"/>
        <v>#VALUE!</v>
      </c>
      <c r="L3339" t="str">
        <f>MAIN!C3344</f>
        <v/>
      </c>
    </row>
    <row r="3340" spans="1:12" x14ac:dyDescent="0.3">
      <c r="A3340">
        <f>IF(J3340="0",0,IF(COUNTIF($J$2:J3340,J3340)=1,1,0))</f>
        <v>0</v>
      </c>
      <c r="B3340" s="12" t="e">
        <f>MID(MAIN!A3345,K3340,2)</f>
        <v>#VALUE!</v>
      </c>
      <c r="C3340" s="12" t="e">
        <f t="shared" si="208"/>
        <v>#VALUE!</v>
      </c>
      <c r="D3340" s="12" t="e">
        <f>MID(MAIN!A3345,K3340+2,2)</f>
        <v>#VALUE!</v>
      </c>
      <c r="E3340" s="12" t="e">
        <f>MID(MAIN!A3345,K3340+4,2)</f>
        <v>#VALUE!</v>
      </c>
      <c r="F3340" s="2" t="e">
        <f t="shared" si="209"/>
        <v>#VALUE!</v>
      </c>
      <c r="G3340" s="13" t="e">
        <f t="shared" si="210"/>
        <v>#VALUE!</v>
      </c>
      <c r="J3340" t="str">
        <f>MAIN!A3345&amp;"B"</f>
        <v>B</v>
      </c>
      <c r="K3340" s="12" t="e">
        <f t="shared" si="211"/>
        <v>#VALUE!</v>
      </c>
      <c r="L3340" t="str">
        <f>MAIN!C3345</f>
        <v/>
      </c>
    </row>
    <row r="3341" spans="1:12" x14ac:dyDescent="0.3">
      <c r="A3341">
        <f>IF(J3341="0",0,IF(COUNTIF($J$2:J3341,J3341)=1,1,0))</f>
        <v>0</v>
      </c>
      <c r="B3341" s="12" t="e">
        <f>MID(MAIN!A3346,K3341,2)</f>
        <v>#VALUE!</v>
      </c>
      <c r="C3341" s="12" t="e">
        <f t="shared" si="208"/>
        <v>#VALUE!</v>
      </c>
      <c r="D3341" s="12" t="e">
        <f>MID(MAIN!A3346,K3341+2,2)</f>
        <v>#VALUE!</v>
      </c>
      <c r="E3341" s="12" t="e">
        <f>MID(MAIN!A3346,K3341+4,2)</f>
        <v>#VALUE!</v>
      </c>
      <c r="F3341" s="2" t="e">
        <f t="shared" si="209"/>
        <v>#VALUE!</v>
      </c>
      <c r="G3341" s="13" t="e">
        <f t="shared" si="210"/>
        <v>#VALUE!</v>
      </c>
      <c r="J3341" t="str">
        <f>MAIN!A3346&amp;"B"</f>
        <v>B</v>
      </c>
      <c r="K3341" s="12" t="e">
        <f t="shared" si="211"/>
        <v>#VALUE!</v>
      </c>
      <c r="L3341" t="str">
        <f>MAIN!C3346</f>
        <v/>
      </c>
    </row>
    <row r="3342" spans="1:12" x14ac:dyDescent="0.3">
      <c r="A3342">
        <f>IF(J3342="0",0,IF(COUNTIF($J$2:J3342,J3342)=1,1,0))</f>
        <v>0</v>
      </c>
      <c r="B3342" s="12" t="e">
        <f>MID(MAIN!A3347,K3342,2)</f>
        <v>#VALUE!</v>
      </c>
      <c r="C3342" s="12" t="e">
        <f t="shared" si="208"/>
        <v>#VALUE!</v>
      </c>
      <c r="D3342" s="12" t="e">
        <f>MID(MAIN!A3347,K3342+2,2)</f>
        <v>#VALUE!</v>
      </c>
      <c r="E3342" s="12" t="e">
        <f>MID(MAIN!A3347,K3342+4,2)</f>
        <v>#VALUE!</v>
      </c>
      <c r="F3342" s="2" t="e">
        <f t="shared" si="209"/>
        <v>#VALUE!</v>
      </c>
      <c r="G3342" s="13" t="e">
        <f t="shared" si="210"/>
        <v>#VALUE!</v>
      </c>
      <c r="J3342" t="str">
        <f>MAIN!A3347&amp;"B"</f>
        <v>B</v>
      </c>
      <c r="K3342" s="12" t="e">
        <f t="shared" si="211"/>
        <v>#VALUE!</v>
      </c>
      <c r="L3342" t="str">
        <f>MAIN!C3347</f>
        <v/>
      </c>
    </row>
    <row r="3343" spans="1:12" x14ac:dyDescent="0.3">
      <c r="A3343">
        <f>IF(J3343="0",0,IF(COUNTIF($J$2:J3343,J3343)=1,1,0))</f>
        <v>0</v>
      </c>
      <c r="B3343" s="12" t="e">
        <f>MID(MAIN!A3348,K3343,2)</f>
        <v>#VALUE!</v>
      </c>
      <c r="C3343" s="12" t="e">
        <f t="shared" si="208"/>
        <v>#VALUE!</v>
      </c>
      <c r="D3343" s="12" t="e">
        <f>MID(MAIN!A3348,K3343+2,2)</f>
        <v>#VALUE!</v>
      </c>
      <c r="E3343" s="12" t="e">
        <f>MID(MAIN!A3348,K3343+4,2)</f>
        <v>#VALUE!</v>
      </c>
      <c r="F3343" s="2" t="e">
        <f t="shared" si="209"/>
        <v>#VALUE!</v>
      </c>
      <c r="G3343" s="13" t="e">
        <f t="shared" si="210"/>
        <v>#VALUE!</v>
      </c>
      <c r="J3343" t="str">
        <f>MAIN!A3348&amp;"B"</f>
        <v>B</v>
      </c>
      <c r="K3343" s="12" t="e">
        <f t="shared" si="211"/>
        <v>#VALUE!</v>
      </c>
      <c r="L3343" t="str">
        <f>MAIN!C3348</f>
        <v/>
      </c>
    </row>
    <row r="3344" spans="1:12" x14ac:dyDescent="0.3">
      <c r="A3344">
        <f>IF(J3344="0",0,IF(COUNTIF($J$2:J3344,J3344)=1,1,0))</f>
        <v>0</v>
      </c>
      <c r="B3344" s="12" t="e">
        <f>MID(MAIN!A3349,K3344,2)</f>
        <v>#VALUE!</v>
      </c>
      <c r="C3344" s="12" t="e">
        <f t="shared" si="208"/>
        <v>#VALUE!</v>
      </c>
      <c r="D3344" s="12" t="e">
        <f>MID(MAIN!A3349,K3344+2,2)</f>
        <v>#VALUE!</v>
      </c>
      <c r="E3344" s="12" t="e">
        <f>MID(MAIN!A3349,K3344+4,2)</f>
        <v>#VALUE!</v>
      </c>
      <c r="F3344" s="2" t="e">
        <f t="shared" si="209"/>
        <v>#VALUE!</v>
      </c>
      <c r="G3344" s="13" t="e">
        <f t="shared" si="210"/>
        <v>#VALUE!</v>
      </c>
      <c r="J3344" t="str">
        <f>MAIN!A3349&amp;"B"</f>
        <v>B</v>
      </c>
      <c r="K3344" s="12" t="e">
        <f t="shared" si="211"/>
        <v>#VALUE!</v>
      </c>
      <c r="L3344" t="str">
        <f>MAIN!C3349</f>
        <v/>
      </c>
    </row>
    <row r="3345" spans="1:12" x14ac:dyDescent="0.3">
      <c r="A3345">
        <f>IF(J3345="0",0,IF(COUNTIF($J$2:J3345,J3345)=1,1,0))</f>
        <v>0</v>
      </c>
      <c r="B3345" s="12" t="e">
        <f>MID(MAIN!A3350,K3345,2)</f>
        <v>#VALUE!</v>
      </c>
      <c r="C3345" s="12" t="e">
        <f t="shared" si="208"/>
        <v>#VALUE!</v>
      </c>
      <c r="D3345" s="12" t="e">
        <f>MID(MAIN!A3350,K3345+2,2)</f>
        <v>#VALUE!</v>
      </c>
      <c r="E3345" s="12" t="e">
        <f>MID(MAIN!A3350,K3345+4,2)</f>
        <v>#VALUE!</v>
      </c>
      <c r="F3345" s="2" t="e">
        <f t="shared" si="209"/>
        <v>#VALUE!</v>
      </c>
      <c r="G3345" s="13" t="e">
        <f t="shared" si="210"/>
        <v>#VALUE!</v>
      </c>
      <c r="J3345" t="str">
        <f>MAIN!A3350&amp;"B"</f>
        <v>B</v>
      </c>
      <c r="K3345" s="12" t="e">
        <f t="shared" si="211"/>
        <v>#VALUE!</v>
      </c>
      <c r="L3345" t="str">
        <f>MAIN!C3350</f>
        <v/>
      </c>
    </row>
    <row r="3346" spans="1:12" x14ac:dyDescent="0.3">
      <c r="A3346">
        <f>IF(J3346="0",0,IF(COUNTIF($J$2:J3346,J3346)=1,1,0))</f>
        <v>0</v>
      </c>
      <c r="B3346" s="12" t="e">
        <f>MID(MAIN!A3351,K3346,2)</f>
        <v>#VALUE!</v>
      </c>
      <c r="C3346" s="12" t="e">
        <f t="shared" si="208"/>
        <v>#VALUE!</v>
      </c>
      <c r="D3346" s="12" t="e">
        <f>MID(MAIN!A3351,K3346+2,2)</f>
        <v>#VALUE!</v>
      </c>
      <c r="E3346" s="12" t="e">
        <f>MID(MAIN!A3351,K3346+4,2)</f>
        <v>#VALUE!</v>
      </c>
      <c r="F3346" s="2" t="e">
        <f t="shared" si="209"/>
        <v>#VALUE!</v>
      </c>
      <c r="G3346" s="13" t="e">
        <f t="shared" si="210"/>
        <v>#VALUE!</v>
      </c>
      <c r="J3346" t="str">
        <f>MAIN!A3351&amp;"B"</f>
        <v>B</v>
      </c>
      <c r="K3346" s="12" t="e">
        <f t="shared" si="211"/>
        <v>#VALUE!</v>
      </c>
      <c r="L3346" t="str">
        <f>MAIN!C3351</f>
        <v/>
      </c>
    </row>
    <row r="3347" spans="1:12" x14ac:dyDescent="0.3">
      <c r="A3347">
        <f>IF(J3347="0",0,IF(COUNTIF($J$2:J3347,J3347)=1,1,0))</f>
        <v>0</v>
      </c>
      <c r="B3347" s="12" t="e">
        <f>MID(MAIN!A3352,K3347,2)</f>
        <v>#VALUE!</v>
      </c>
      <c r="C3347" s="12" t="e">
        <f t="shared" si="208"/>
        <v>#VALUE!</v>
      </c>
      <c r="D3347" s="12" t="e">
        <f>MID(MAIN!A3352,K3347+2,2)</f>
        <v>#VALUE!</v>
      </c>
      <c r="E3347" s="12" t="e">
        <f>MID(MAIN!A3352,K3347+4,2)</f>
        <v>#VALUE!</v>
      </c>
      <c r="F3347" s="2" t="e">
        <f t="shared" si="209"/>
        <v>#VALUE!</v>
      </c>
      <c r="G3347" s="13" t="e">
        <f t="shared" si="210"/>
        <v>#VALUE!</v>
      </c>
      <c r="J3347" t="str">
        <f>MAIN!A3352&amp;"B"</f>
        <v>B</v>
      </c>
      <c r="K3347" s="12" t="e">
        <f t="shared" si="211"/>
        <v>#VALUE!</v>
      </c>
      <c r="L3347" t="str">
        <f>MAIN!C3352</f>
        <v/>
      </c>
    </row>
    <row r="3348" spans="1:12" x14ac:dyDescent="0.3">
      <c r="A3348">
        <f>IF(J3348="0",0,IF(COUNTIF($J$2:J3348,J3348)=1,1,0))</f>
        <v>0</v>
      </c>
      <c r="B3348" s="12" t="e">
        <f>MID(MAIN!A3353,K3348,2)</f>
        <v>#VALUE!</v>
      </c>
      <c r="C3348" s="12" t="e">
        <f t="shared" si="208"/>
        <v>#VALUE!</v>
      </c>
      <c r="D3348" s="12" t="e">
        <f>MID(MAIN!A3353,K3348+2,2)</f>
        <v>#VALUE!</v>
      </c>
      <c r="E3348" s="12" t="e">
        <f>MID(MAIN!A3353,K3348+4,2)</f>
        <v>#VALUE!</v>
      </c>
      <c r="F3348" s="2" t="e">
        <f t="shared" si="209"/>
        <v>#VALUE!</v>
      </c>
      <c r="G3348" s="13" t="e">
        <f t="shared" si="210"/>
        <v>#VALUE!</v>
      </c>
      <c r="J3348" t="str">
        <f>MAIN!A3353&amp;"B"</f>
        <v>B</v>
      </c>
      <c r="K3348" s="12" t="e">
        <f t="shared" si="211"/>
        <v>#VALUE!</v>
      </c>
      <c r="L3348" t="str">
        <f>MAIN!C3353</f>
        <v/>
      </c>
    </row>
    <row r="3349" spans="1:12" x14ac:dyDescent="0.3">
      <c r="A3349">
        <f>IF(J3349="0",0,IF(COUNTIF($J$2:J3349,J3349)=1,1,0))</f>
        <v>0</v>
      </c>
      <c r="B3349" s="12" t="e">
        <f>MID(MAIN!A3354,K3349,2)</f>
        <v>#VALUE!</v>
      </c>
      <c r="C3349" s="12" t="e">
        <f t="shared" si="208"/>
        <v>#VALUE!</v>
      </c>
      <c r="D3349" s="12" t="e">
        <f>MID(MAIN!A3354,K3349+2,2)</f>
        <v>#VALUE!</v>
      </c>
      <c r="E3349" s="12" t="e">
        <f>MID(MAIN!A3354,K3349+4,2)</f>
        <v>#VALUE!</v>
      </c>
      <c r="F3349" s="2" t="e">
        <f t="shared" si="209"/>
        <v>#VALUE!</v>
      </c>
      <c r="G3349" s="13" t="e">
        <f t="shared" si="210"/>
        <v>#VALUE!</v>
      </c>
      <c r="J3349" t="str">
        <f>MAIN!A3354&amp;"B"</f>
        <v>B</v>
      </c>
      <c r="K3349" s="12" t="e">
        <f t="shared" si="211"/>
        <v>#VALUE!</v>
      </c>
      <c r="L3349" t="str">
        <f>MAIN!C3354</f>
        <v/>
      </c>
    </row>
    <row r="3350" spans="1:12" x14ac:dyDescent="0.3">
      <c r="A3350">
        <f>IF(J3350="0",0,IF(COUNTIF($J$2:J3350,J3350)=1,1,0))</f>
        <v>0</v>
      </c>
      <c r="B3350" s="12" t="e">
        <f>MID(MAIN!A3355,K3350,2)</f>
        <v>#VALUE!</v>
      </c>
      <c r="C3350" s="12" t="e">
        <f t="shared" si="208"/>
        <v>#VALUE!</v>
      </c>
      <c r="D3350" s="12" t="e">
        <f>MID(MAIN!A3355,K3350+2,2)</f>
        <v>#VALUE!</v>
      </c>
      <c r="E3350" s="12" t="e">
        <f>MID(MAIN!A3355,K3350+4,2)</f>
        <v>#VALUE!</v>
      </c>
      <c r="F3350" s="2" t="e">
        <f t="shared" si="209"/>
        <v>#VALUE!</v>
      </c>
      <c r="G3350" s="13" t="e">
        <f t="shared" si="210"/>
        <v>#VALUE!</v>
      </c>
      <c r="J3350" t="str">
        <f>MAIN!A3355&amp;"B"</f>
        <v>B</v>
      </c>
      <c r="K3350" s="12" t="e">
        <f t="shared" si="211"/>
        <v>#VALUE!</v>
      </c>
      <c r="L3350" t="str">
        <f>MAIN!C3355</f>
        <v/>
      </c>
    </row>
    <row r="3351" spans="1:12" x14ac:dyDescent="0.3">
      <c r="A3351">
        <f>IF(J3351="0",0,IF(COUNTIF($J$2:J3351,J3351)=1,1,0))</f>
        <v>0</v>
      </c>
      <c r="B3351" s="12" t="e">
        <f>MID(MAIN!A3356,K3351,2)</f>
        <v>#VALUE!</v>
      </c>
      <c r="C3351" s="12" t="e">
        <f t="shared" si="208"/>
        <v>#VALUE!</v>
      </c>
      <c r="D3351" s="12" t="e">
        <f>MID(MAIN!A3356,K3351+2,2)</f>
        <v>#VALUE!</v>
      </c>
      <c r="E3351" s="12" t="e">
        <f>MID(MAIN!A3356,K3351+4,2)</f>
        <v>#VALUE!</v>
      </c>
      <c r="F3351" s="2" t="e">
        <f t="shared" si="209"/>
        <v>#VALUE!</v>
      </c>
      <c r="G3351" s="13" t="e">
        <f t="shared" si="210"/>
        <v>#VALUE!</v>
      </c>
      <c r="J3351" t="str">
        <f>MAIN!A3356&amp;"B"</f>
        <v>B</v>
      </c>
      <c r="K3351" s="12" t="e">
        <f t="shared" si="211"/>
        <v>#VALUE!</v>
      </c>
      <c r="L3351" t="str">
        <f>MAIN!C3356</f>
        <v/>
      </c>
    </row>
    <row r="3352" spans="1:12" x14ac:dyDescent="0.3">
      <c r="A3352">
        <f>IF(J3352="0",0,IF(COUNTIF($J$2:J3352,J3352)=1,1,0))</f>
        <v>0</v>
      </c>
      <c r="B3352" s="12" t="e">
        <f>MID(MAIN!A3357,K3352,2)</f>
        <v>#VALUE!</v>
      </c>
      <c r="C3352" s="12" t="e">
        <f t="shared" si="208"/>
        <v>#VALUE!</v>
      </c>
      <c r="D3352" s="12" t="e">
        <f>MID(MAIN!A3357,K3352+2,2)</f>
        <v>#VALUE!</v>
      </c>
      <c r="E3352" s="12" t="e">
        <f>MID(MAIN!A3357,K3352+4,2)</f>
        <v>#VALUE!</v>
      </c>
      <c r="F3352" s="2" t="e">
        <f t="shared" si="209"/>
        <v>#VALUE!</v>
      </c>
      <c r="G3352" s="13" t="e">
        <f t="shared" si="210"/>
        <v>#VALUE!</v>
      </c>
      <c r="J3352" t="str">
        <f>MAIN!A3357&amp;"B"</f>
        <v>B</v>
      </c>
      <c r="K3352" s="12" t="e">
        <f t="shared" si="211"/>
        <v>#VALUE!</v>
      </c>
      <c r="L3352" t="str">
        <f>MAIN!C3357</f>
        <v/>
      </c>
    </row>
    <row r="3353" spans="1:12" x14ac:dyDescent="0.3">
      <c r="A3353">
        <f>IF(J3353="0",0,IF(COUNTIF($J$2:J3353,J3353)=1,1,0))</f>
        <v>0</v>
      </c>
      <c r="B3353" s="12" t="e">
        <f>MID(MAIN!A3358,K3353,2)</f>
        <v>#VALUE!</v>
      </c>
      <c r="C3353" s="12" t="e">
        <f t="shared" si="208"/>
        <v>#VALUE!</v>
      </c>
      <c r="D3353" s="12" t="e">
        <f>MID(MAIN!A3358,K3353+2,2)</f>
        <v>#VALUE!</v>
      </c>
      <c r="E3353" s="12" t="e">
        <f>MID(MAIN!A3358,K3353+4,2)</f>
        <v>#VALUE!</v>
      </c>
      <c r="F3353" s="2" t="e">
        <f t="shared" si="209"/>
        <v>#VALUE!</v>
      </c>
      <c r="G3353" s="13" t="e">
        <f t="shared" si="210"/>
        <v>#VALUE!</v>
      </c>
      <c r="J3353" t="str">
        <f>MAIN!A3358&amp;"B"</f>
        <v>B</v>
      </c>
      <c r="K3353" s="12" t="e">
        <f t="shared" si="211"/>
        <v>#VALUE!</v>
      </c>
      <c r="L3353" t="str">
        <f>MAIN!C3358</f>
        <v/>
      </c>
    </row>
    <row r="3354" spans="1:12" x14ac:dyDescent="0.3">
      <c r="A3354">
        <f>IF(J3354="0",0,IF(COUNTIF($J$2:J3354,J3354)=1,1,0))</f>
        <v>0</v>
      </c>
      <c r="B3354" s="12" t="e">
        <f>MID(MAIN!A3359,K3354,2)</f>
        <v>#VALUE!</v>
      </c>
      <c r="C3354" s="12" t="e">
        <f t="shared" si="208"/>
        <v>#VALUE!</v>
      </c>
      <c r="D3354" s="12" t="e">
        <f>MID(MAIN!A3359,K3354+2,2)</f>
        <v>#VALUE!</v>
      </c>
      <c r="E3354" s="12" t="e">
        <f>MID(MAIN!A3359,K3354+4,2)</f>
        <v>#VALUE!</v>
      </c>
      <c r="F3354" s="2" t="e">
        <f t="shared" si="209"/>
        <v>#VALUE!</v>
      </c>
      <c r="G3354" s="13" t="e">
        <f t="shared" si="210"/>
        <v>#VALUE!</v>
      </c>
      <c r="J3354" t="str">
        <f>MAIN!A3359&amp;"B"</f>
        <v>B</v>
      </c>
      <c r="K3354" s="12" t="e">
        <f t="shared" si="211"/>
        <v>#VALUE!</v>
      </c>
      <c r="L3354" t="str">
        <f>MAIN!C3359</f>
        <v/>
      </c>
    </row>
    <row r="3355" spans="1:12" x14ac:dyDescent="0.3">
      <c r="A3355">
        <f>IF(J3355="0",0,IF(COUNTIF($J$2:J3355,J3355)=1,1,0))</f>
        <v>0</v>
      </c>
      <c r="B3355" s="12" t="e">
        <f>MID(MAIN!A3360,K3355,2)</f>
        <v>#VALUE!</v>
      </c>
      <c r="C3355" s="12" t="e">
        <f t="shared" si="208"/>
        <v>#VALUE!</v>
      </c>
      <c r="D3355" s="12" t="e">
        <f>MID(MAIN!A3360,K3355+2,2)</f>
        <v>#VALUE!</v>
      </c>
      <c r="E3355" s="12" t="e">
        <f>MID(MAIN!A3360,K3355+4,2)</f>
        <v>#VALUE!</v>
      </c>
      <c r="F3355" s="2" t="e">
        <f t="shared" si="209"/>
        <v>#VALUE!</v>
      </c>
      <c r="G3355" s="13" t="e">
        <f t="shared" si="210"/>
        <v>#VALUE!</v>
      </c>
      <c r="J3355" t="str">
        <f>MAIN!A3360&amp;"B"</f>
        <v>B</v>
      </c>
      <c r="K3355" s="12" t="e">
        <f t="shared" si="211"/>
        <v>#VALUE!</v>
      </c>
      <c r="L3355" t="str">
        <f>MAIN!C3360</f>
        <v/>
      </c>
    </row>
    <row r="3356" spans="1:12" x14ac:dyDescent="0.3">
      <c r="A3356">
        <f>IF(J3356="0",0,IF(COUNTIF($J$2:J3356,J3356)=1,1,0))</f>
        <v>0</v>
      </c>
      <c r="B3356" s="12" t="e">
        <f>MID(MAIN!A3361,K3356,2)</f>
        <v>#VALUE!</v>
      </c>
      <c r="C3356" s="12" t="e">
        <f t="shared" si="208"/>
        <v>#VALUE!</v>
      </c>
      <c r="D3356" s="12" t="e">
        <f>MID(MAIN!A3361,K3356+2,2)</f>
        <v>#VALUE!</v>
      </c>
      <c r="E3356" s="12" t="e">
        <f>MID(MAIN!A3361,K3356+4,2)</f>
        <v>#VALUE!</v>
      </c>
      <c r="F3356" s="2" t="e">
        <f t="shared" si="209"/>
        <v>#VALUE!</v>
      </c>
      <c r="G3356" s="13" t="e">
        <f t="shared" si="210"/>
        <v>#VALUE!</v>
      </c>
      <c r="J3356" t="str">
        <f>MAIN!A3361&amp;"B"</f>
        <v>B</v>
      </c>
      <c r="K3356" s="12" t="e">
        <f t="shared" si="211"/>
        <v>#VALUE!</v>
      </c>
      <c r="L3356" t="str">
        <f>MAIN!C3361</f>
        <v/>
      </c>
    </row>
    <row r="3357" spans="1:12" x14ac:dyDescent="0.3">
      <c r="A3357">
        <f>IF(J3357="0",0,IF(COUNTIF($J$2:J3357,J3357)=1,1,0))</f>
        <v>0</v>
      </c>
      <c r="B3357" s="12" t="e">
        <f>MID(MAIN!A3362,K3357,2)</f>
        <v>#VALUE!</v>
      </c>
      <c r="C3357" s="12" t="e">
        <f t="shared" si="208"/>
        <v>#VALUE!</v>
      </c>
      <c r="D3357" s="12" t="e">
        <f>MID(MAIN!A3362,K3357+2,2)</f>
        <v>#VALUE!</v>
      </c>
      <c r="E3357" s="12" t="e">
        <f>MID(MAIN!A3362,K3357+4,2)</f>
        <v>#VALUE!</v>
      </c>
      <c r="F3357" s="2" t="e">
        <f t="shared" si="209"/>
        <v>#VALUE!</v>
      </c>
      <c r="G3357" s="13" t="e">
        <f t="shared" si="210"/>
        <v>#VALUE!</v>
      </c>
      <c r="J3357" t="str">
        <f>MAIN!A3362&amp;"B"</f>
        <v>B</v>
      </c>
      <c r="K3357" s="12" t="e">
        <f t="shared" si="211"/>
        <v>#VALUE!</v>
      </c>
      <c r="L3357" t="str">
        <f>MAIN!C3362</f>
        <v/>
      </c>
    </row>
    <row r="3358" spans="1:12" x14ac:dyDescent="0.3">
      <c r="A3358">
        <f>IF(J3358="0",0,IF(COUNTIF($J$2:J3358,J3358)=1,1,0))</f>
        <v>0</v>
      </c>
      <c r="B3358" s="12" t="e">
        <f>MID(MAIN!A3363,K3358,2)</f>
        <v>#VALUE!</v>
      </c>
      <c r="C3358" s="12" t="e">
        <f t="shared" si="208"/>
        <v>#VALUE!</v>
      </c>
      <c r="D3358" s="12" t="e">
        <f>MID(MAIN!A3363,K3358+2,2)</f>
        <v>#VALUE!</v>
      </c>
      <c r="E3358" s="12" t="e">
        <f>MID(MAIN!A3363,K3358+4,2)</f>
        <v>#VALUE!</v>
      </c>
      <c r="F3358" s="2" t="e">
        <f t="shared" si="209"/>
        <v>#VALUE!</v>
      </c>
      <c r="G3358" s="13" t="e">
        <f t="shared" si="210"/>
        <v>#VALUE!</v>
      </c>
      <c r="J3358" t="str">
        <f>MAIN!A3363&amp;"B"</f>
        <v>B</v>
      </c>
      <c r="K3358" s="12" t="e">
        <f t="shared" si="211"/>
        <v>#VALUE!</v>
      </c>
      <c r="L3358" t="str">
        <f>MAIN!C3363</f>
        <v/>
      </c>
    </row>
    <row r="3359" spans="1:12" x14ac:dyDescent="0.3">
      <c r="A3359">
        <f>IF(J3359="0",0,IF(COUNTIF($J$2:J3359,J3359)=1,1,0))</f>
        <v>0</v>
      </c>
      <c r="B3359" s="12" t="e">
        <f>MID(MAIN!A3364,K3359,2)</f>
        <v>#VALUE!</v>
      </c>
      <c r="C3359" s="12" t="e">
        <f t="shared" si="208"/>
        <v>#VALUE!</v>
      </c>
      <c r="D3359" s="12" t="e">
        <f>MID(MAIN!A3364,K3359+2,2)</f>
        <v>#VALUE!</v>
      </c>
      <c r="E3359" s="12" t="e">
        <f>MID(MAIN!A3364,K3359+4,2)</f>
        <v>#VALUE!</v>
      </c>
      <c r="F3359" s="2" t="e">
        <f t="shared" si="209"/>
        <v>#VALUE!</v>
      </c>
      <c r="G3359" s="13" t="e">
        <f t="shared" si="210"/>
        <v>#VALUE!</v>
      </c>
      <c r="J3359" t="str">
        <f>MAIN!A3364&amp;"B"</f>
        <v>B</v>
      </c>
      <c r="K3359" s="12" t="e">
        <f t="shared" si="211"/>
        <v>#VALUE!</v>
      </c>
      <c r="L3359" t="str">
        <f>MAIN!C3364</f>
        <v/>
      </c>
    </row>
    <row r="3360" spans="1:12" x14ac:dyDescent="0.3">
      <c r="A3360">
        <f>IF(J3360="0",0,IF(COUNTIF($J$2:J3360,J3360)=1,1,0))</f>
        <v>0</v>
      </c>
      <c r="B3360" s="12" t="e">
        <f>MID(MAIN!A3365,K3360,2)</f>
        <v>#VALUE!</v>
      </c>
      <c r="C3360" s="12" t="e">
        <f t="shared" si="208"/>
        <v>#VALUE!</v>
      </c>
      <c r="D3360" s="12" t="e">
        <f>MID(MAIN!A3365,K3360+2,2)</f>
        <v>#VALUE!</v>
      </c>
      <c r="E3360" s="12" t="e">
        <f>MID(MAIN!A3365,K3360+4,2)</f>
        <v>#VALUE!</v>
      </c>
      <c r="F3360" s="2" t="e">
        <f t="shared" si="209"/>
        <v>#VALUE!</v>
      </c>
      <c r="G3360" s="13" t="e">
        <f t="shared" si="210"/>
        <v>#VALUE!</v>
      </c>
      <c r="J3360" t="str">
        <f>MAIN!A3365&amp;"B"</f>
        <v>B</v>
      </c>
      <c r="K3360" s="12" t="e">
        <f t="shared" si="211"/>
        <v>#VALUE!</v>
      </c>
      <c r="L3360" t="str">
        <f>MAIN!C3365</f>
        <v/>
      </c>
    </row>
    <row r="3361" spans="1:12" x14ac:dyDescent="0.3">
      <c r="A3361">
        <f>IF(J3361="0",0,IF(COUNTIF($J$2:J3361,J3361)=1,1,0))</f>
        <v>0</v>
      </c>
      <c r="B3361" s="12" t="e">
        <f>MID(MAIN!A3366,K3361,2)</f>
        <v>#VALUE!</v>
      </c>
      <c r="C3361" s="12" t="e">
        <f t="shared" si="208"/>
        <v>#VALUE!</v>
      </c>
      <c r="D3361" s="12" t="e">
        <f>MID(MAIN!A3366,K3361+2,2)</f>
        <v>#VALUE!</v>
      </c>
      <c r="E3361" s="12" t="e">
        <f>MID(MAIN!A3366,K3361+4,2)</f>
        <v>#VALUE!</v>
      </c>
      <c r="F3361" s="2" t="e">
        <f t="shared" si="209"/>
        <v>#VALUE!</v>
      </c>
      <c r="G3361" s="13" t="e">
        <f t="shared" si="210"/>
        <v>#VALUE!</v>
      </c>
      <c r="J3361" t="str">
        <f>MAIN!A3366&amp;"B"</f>
        <v>B</v>
      </c>
      <c r="K3361" s="12" t="e">
        <f t="shared" si="211"/>
        <v>#VALUE!</v>
      </c>
      <c r="L3361" t="str">
        <f>MAIN!C3366</f>
        <v/>
      </c>
    </row>
    <row r="3362" spans="1:12" x14ac:dyDescent="0.3">
      <c r="A3362">
        <f>IF(J3362="0",0,IF(COUNTIF($J$2:J3362,J3362)=1,1,0))</f>
        <v>0</v>
      </c>
      <c r="B3362" s="12" t="e">
        <f>MID(MAIN!A3367,K3362,2)</f>
        <v>#VALUE!</v>
      </c>
      <c r="C3362" s="12" t="e">
        <f t="shared" si="208"/>
        <v>#VALUE!</v>
      </c>
      <c r="D3362" s="12" t="e">
        <f>MID(MAIN!A3367,K3362+2,2)</f>
        <v>#VALUE!</v>
      </c>
      <c r="E3362" s="12" t="e">
        <f>MID(MAIN!A3367,K3362+4,2)</f>
        <v>#VALUE!</v>
      </c>
      <c r="F3362" s="2" t="e">
        <f t="shared" si="209"/>
        <v>#VALUE!</v>
      </c>
      <c r="G3362" s="13" t="e">
        <f t="shared" si="210"/>
        <v>#VALUE!</v>
      </c>
      <c r="J3362" t="str">
        <f>MAIN!A3367&amp;"B"</f>
        <v>B</v>
      </c>
      <c r="K3362" s="12" t="e">
        <f t="shared" si="211"/>
        <v>#VALUE!</v>
      </c>
      <c r="L3362" t="str">
        <f>MAIN!C3367</f>
        <v/>
      </c>
    </row>
    <row r="3363" spans="1:12" x14ac:dyDescent="0.3">
      <c r="A3363">
        <f>IF(J3363="0",0,IF(COUNTIF($J$2:J3363,J3363)=1,1,0))</f>
        <v>0</v>
      </c>
      <c r="B3363" s="12" t="e">
        <f>MID(MAIN!A3368,K3363,2)</f>
        <v>#VALUE!</v>
      </c>
      <c r="C3363" s="12" t="e">
        <f t="shared" si="208"/>
        <v>#VALUE!</v>
      </c>
      <c r="D3363" s="12" t="e">
        <f>MID(MAIN!A3368,K3363+2,2)</f>
        <v>#VALUE!</v>
      </c>
      <c r="E3363" s="12" t="e">
        <f>MID(MAIN!A3368,K3363+4,2)</f>
        <v>#VALUE!</v>
      </c>
      <c r="F3363" s="2" t="e">
        <f t="shared" si="209"/>
        <v>#VALUE!</v>
      </c>
      <c r="G3363" s="13" t="e">
        <f t="shared" si="210"/>
        <v>#VALUE!</v>
      </c>
      <c r="J3363" t="str">
        <f>MAIN!A3368&amp;"B"</f>
        <v>B</v>
      </c>
      <c r="K3363" s="12" t="e">
        <f t="shared" si="211"/>
        <v>#VALUE!</v>
      </c>
      <c r="L3363" t="str">
        <f>MAIN!C3368</f>
        <v/>
      </c>
    </row>
    <row r="3364" spans="1:12" x14ac:dyDescent="0.3">
      <c r="A3364">
        <f>IF(J3364="0",0,IF(COUNTIF($J$2:J3364,J3364)=1,1,0))</f>
        <v>0</v>
      </c>
      <c r="B3364" s="12" t="e">
        <f>MID(MAIN!A3369,K3364,2)</f>
        <v>#VALUE!</v>
      </c>
      <c r="C3364" s="12" t="e">
        <f t="shared" si="208"/>
        <v>#VALUE!</v>
      </c>
      <c r="D3364" s="12" t="e">
        <f>MID(MAIN!A3369,K3364+2,2)</f>
        <v>#VALUE!</v>
      </c>
      <c r="E3364" s="12" t="e">
        <f>MID(MAIN!A3369,K3364+4,2)</f>
        <v>#VALUE!</v>
      </c>
      <c r="F3364" s="2" t="e">
        <f t="shared" si="209"/>
        <v>#VALUE!</v>
      </c>
      <c r="G3364" s="13" t="e">
        <f t="shared" si="210"/>
        <v>#VALUE!</v>
      </c>
      <c r="J3364" t="str">
        <f>MAIN!A3369&amp;"B"</f>
        <v>B</v>
      </c>
      <c r="K3364" s="12" t="e">
        <f t="shared" si="211"/>
        <v>#VALUE!</v>
      </c>
      <c r="L3364" t="str">
        <f>MAIN!C3369</f>
        <v/>
      </c>
    </row>
    <row r="3365" spans="1:12" x14ac:dyDescent="0.3">
      <c r="A3365">
        <f>IF(J3365="0",0,IF(COUNTIF($J$2:J3365,J3365)=1,1,0))</f>
        <v>0</v>
      </c>
      <c r="B3365" s="12" t="e">
        <f>MID(MAIN!A3370,K3365,2)</f>
        <v>#VALUE!</v>
      </c>
      <c r="C3365" s="12" t="e">
        <f t="shared" si="208"/>
        <v>#VALUE!</v>
      </c>
      <c r="D3365" s="12" t="e">
        <f>MID(MAIN!A3370,K3365+2,2)</f>
        <v>#VALUE!</v>
      </c>
      <c r="E3365" s="12" t="e">
        <f>MID(MAIN!A3370,K3365+4,2)</f>
        <v>#VALUE!</v>
      </c>
      <c r="F3365" s="2" t="e">
        <f t="shared" si="209"/>
        <v>#VALUE!</v>
      </c>
      <c r="G3365" s="13" t="e">
        <f t="shared" si="210"/>
        <v>#VALUE!</v>
      </c>
      <c r="J3365" t="str">
        <f>MAIN!A3370&amp;"B"</f>
        <v>B</v>
      </c>
      <c r="K3365" s="12" t="e">
        <f t="shared" si="211"/>
        <v>#VALUE!</v>
      </c>
      <c r="L3365" t="str">
        <f>MAIN!C3370</f>
        <v/>
      </c>
    </row>
    <row r="3366" spans="1:12" x14ac:dyDescent="0.3">
      <c r="A3366">
        <f>IF(J3366="0",0,IF(COUNTIF($J$2:J3366,J3366)=1,1,0))</f>
        <v>0</v>
      </c>
      <c r="B3366" s="12" t="e">
        <f>MID(MAIN!A3371,K3366,2)</f>
        <v>#VALUE!</v>
      </c>
      <c r="C3366" s="12" t="e">
        <f t="shared" si="208"/>
        <v>#VALUE!</v>
      </c>
      <c r="D3366" s="12" t="e">
        <f>MID(MAIN!A3371,K3366+2,2)</f>
        <v>#VALUE!</v>
      </c>
      <c r="E3366" s="12" t="e">
        <f>MID(MAIN!A3371,K3366+4,2)</f>
        <v>#VALUE!</v>
      </c>
      <c r="F3366" s="2" t="e">
        <f t="shared" si="209"/>
        <v>#VALUE!</v>
      </c>
      <c r="G3366" s="13" t="e">
        <f t="shared" si="210"/>
        <v>#VALUE!</v>
      </c>
      <c r="J3366" t="str">
        <f>MAIN!A3371&amp;"B"</f>
        <v>B</v>
      </c>
      <c r="K3366" s="12" t="e">
        <f t="shared" si="211"/>
        <v>#VALUE!</v>
      </c>
      <c r="L3366" t="str">
        <f>MAIN!C3371</f>
        <v/>
      </c>
    </row>
    <row r="3367" spans="1:12" x14ac:dyDescent="0.3">
      <c r="A3367">
        <f>IF(J3367="0",0,IF(COUNTIF($J$2:J3367,J3367)=1,1,0))</f>
        <v>0</v>
      </c>
      <c r="B3367" s="12" t="e">
        <f>MID(MAIN!A3372,K3367,2)</f>
        <v>#VALUE!</v>
      </c>
      <c r="C3367" s="12" t="e">
        <f t="shared" si="208"/>
        <v>#VALUE!</v>
      </c>
      <c r="D3367" s="12" t="e">
        <f>MID(MAIN!A3372,K3367+2,2)</f>
        <v>#VALUE!</v>
      </c>
      <c r="E3367" s="12" t="e">
        <f>MID(MAIN!A3372,K3367+4,2)</f>
        <v>#VALUE!</v>
      </c>
      <c r="F3367" s="2" t="e">
        <f t="shared" si="209"/>
        <v>#VALUE!</v>
      </c>
      <c r="G3367" s="13" t="e">
        <f t="shared" si="210"/>
        <v>#VALUE!</v>
      </c>
      <c r="J3367" t="str">
        <f>MAIN!A3372&amp;"B"</f>
        <v>B</v>
      </c>
      <c r="K3367" s="12" t="e">
        <f t="shared" si="211"/>
        <v>#VALUE!</v>
      </c>
      <c r="L3367" t="str">
        <f>MAIN!C3372</f>
        <v/>
      </c>
    </row>
    <row r="3368" spans="1:12" x14ac:dyDescent="0.3">
      <c r="A3368">
        <f>IF(J3368="0",0,IF(COUNTIF($J$2:J3368,J3368)=1,1,0))</f>
        <v>0</v>
      </c>
      <c r="B3368" s="12" t="e">
        <f>MID(MAIN!A3373,K3368,2)</f>
        <v>#VALUE!</v>
      </c>
      <c r="C3368" s="12" t="e">
        <f t="shared" si="208"/>
        <v>#VALUE!</v>
      </c>
      <c r="D3368" s="12" t="e">
        <f>MID(MAIN!A3373,K3368+2,2)</f>
        <v>#VALUE!</v>
      </c>
      <c r="E3368" s="12" t="e">
        <f>MID(MAIN!A3373,K3368+4,2)</f>
        <v>#VALUE!</v>
      </c>
      <c r="F3368" s="2" t="e">
        <f t="shared" si="209"/>
        <v>#VALUE!</v>
      </c>
      <c r="G3368" s="13" t="e">
        <f t="shared" si="210"/>
        <v>#VALUE!</v>
      </c>
      <c r="J3368" t="str">
        <f>MAIN!A3373&amp;"B"</f>
        <v>B</v>
      </c>
      <c r="K3368" s="12" t="e">
        <f t="shared" si="211"/>
        <v>#VALUE!</v>
      </c>
      <c r="L3368" t="str">
        <f>MAIN!C3373</f>
        <v/>
      </c>
    </row>
    <row r="3369" spans="1:12" x14ac:dyDescent="0.3">
      <c r="A3369">
        <f>IF(J3369="0",0,IF(COUNTIF($J$2:J3369,J3369)=1,1,0))</f>
        <v>0</v>
      </c>
      <c r="B3369" s="12" t="e">
        <f>MID(MAIN!A3374,K3369,2)</f>
        <v>#VALUE!</v>
      </c>
      <c r="C3369" s="12" t="e">
        <f t="shared" si="208"/>
        <v>#VALUE!</v>
      </c>
      <c r="D3369" s="12" t="e">
        <f>MID(MAIN!A3374,K3369+2,2)</f>
        <v>#VALUE!</v>
      </c>
      <c r="E3369" s="12" t="e">
        <f>MID(MAIN!A3374,K3369+4,2)</f>
        <v>#VALUE!</v>
      </c>
      <c r="F3369" s="2" t="e">
        <f t="shared" si="209"/>
        <v>#VALUE!</v>
      </c>
      <c r="G3369" s="13" t="e">
        <f t="shared" si="210"/>
        <v>#VALUE!</v>
      </c>
      <c r="J3369" t="str">
        <f>MAIN!A3374&amp;"B"</f>
        <v>B</v>
      </c>
      <c r="K3369" s="12" t="e">
        <f t="shared" si="211"/>
        <v>#VALUE!</v>
      </c>
      <c r="L3369" t="str">
        <f>MAIN!C3374</f>
        <v/>
      </c>
    </row>
    <row r="3370" spans="1:12" x14ac:dyDescent="0.3">
      <c r="A3370">
        <f>IF(J3370="0",0,IF(COUNTIF($J$2:J3370,J3370)=1,1,0))</f>
        <v>0</v>
      </c>
      <c r="B3370" s="12" t="e">
        <f>MID(MAIN!A3375,K3370,2)</f>
        <v>#VALUE!</v>
      </c>
      <c r="C3370" s="12" t="e">
        <f t="shared" si="208"/>
        <v>#VALUE!</v>
      </c>
      <c r="D3370" s="12" t="e">
        <f>MID(MAIN!A3375,K3370+2,2)</f>
        <v>#VALUE!</v>
      </c>
      <c r="E3370" s="12" t="e">
        <f>MID(MAIN!A3375,K3370+4,2)</f>
        <v>#VALUE!</v>
      </c>
      <c r="F3370" s="2" t="e">
        <f t="shared" si="209"/>
        <v>#VALUE!</v>
      </c>
      <c r="G3370" s="13" t="e">
        <f t="shared" si="210"/>
        <v>#VALUE!</v>
      </c>
      <c r="J3370" t="str">
        <f>MAIN!A3375&amp;"B"</f>
        <v>B</v>
      </c>
      <c r="K3370" s="12" t="e">
        <f t="shared" si="211"/>
        <v>#VALUE!</v>
      </c>
      <c r="L3370" t="str">
        <f>MAIN!C3375</f>
        <v/>
      </c>
    </row>
    <row r="3371" spans="1:12" x14ac:dyDescent="0.3">
      <c r="A3371">
        <f>IF(J3371="0",0,IF(COUNTIF($J$2:J3371,J3371)=1,1,0))</f>
        <v>0</v>
      </c>
      <c r="B3371" s="12" t="e">
        <f>MID(MAIN!A3376,K3371,2)</f>
        <v>#VALUE!</v>
      </c>
      <c r="C3371" s="12" t="e">
        <f t="shared" si="208"/>
        <v>#VALUE!</v>
      </c>
      <c r="D3371" s="12" t="e">
        <f>MID(MAIN!A3376,K3371+2,2)</f>
        <v>#VALUE!</v>
      </c>
      <c r="E3371" s="12" t="e">
        <f>MID(MAIN!A3376,K3371+4,2)</f>
        <v>#VALUE!</v>
      </c>
      <c r="F3371" s="2" t="e">
        <f t="shared" si="209"/>
        <v>#VALUE!</v>
      </c>
      <c r="G3371" s="13" t="e">
        <f t="shared" si="210"/>
        <v>#VALUE!</v>
      </c>
      <c r="J3371" t="str">
        <f>MAIN!A3376&amp;"B"</f>
        <v>B</v>
      </c>
      <c r="K3371" s="12" t="e">
        <f t="shared" si="211"/>
        <v>#VALUE!</v>
      </c>
      <c r="L3371" t="str">
        <f>MAIN!C3376</f>
        <v/>
      </c>
    </row>
    <row r="3372" spans="1:12" x14ac:dyDescent="0.3">
      <c r="A3372">
        <f>IF(J3372="0",0,IF(COUNTIF($J$2:J3372,J3372)=1,1,0))</f>
        <v>0</v>
      </c>
      <c r="B3372" s="12" t="e">
        <f>MID(MAIN!A3377,K3372,2)</f>
        <v>#VALUE!</v>
      </c>
      <c r="C3372" s="12" t="e">
        <f t="shared" si="208"/>
        <v>#VALUE!</v>
      </c>
      <c r="D3372" s="12" t="e">
        <f>MID(MAIN!A3377,K3372+2,2)</f>
        <v>#VALUE!</v>
      </c>
      <c r="E3372" s="12" t="e">
        <f>MID(MAIN!A3377,K3372+4,2)</f>
        <v>#VALUE!</v>
      </c>
      <c r="F3372" s="2" t="e">
        <f t="shared" si="209"/>
        <v>#VALUE!</v>
      </c>
      <c r="G3372" s="13" t="e">
        <f t="shared" si="210"/>
        <v>#VALUE!</v>
      </c>
      <c r="J3372" t="str">
        <f>MAIN!A3377&amp;"B"</f>
        <v>B</v>
      </c>
      <c r="K3372" s="12" t="e">
        <f t="shared" si="211"/>
        <v>#VALUE!</v>
      </c>
      <c r="L3372" t="str">
        <f>MAIN!C3377</f>
        <v/>
      </c>
    </row>
    <row r="3373" spans="1:12" x14ac:dyDescent="0.3">
      <c r="A3373">
        <f>IF(J3373="0",0,IF(COUNTIF($J$2:J3373,J3373)=1,1,0))</f>
        <v>0</v>
      </c>
      <c r="B3373" s="12" t="e">
        <f>MID(MAIN!A3378,K3373,2)</f>
        <v>#VALUE!</v>
      </c>
      <c r="C3373" s="12" t="e">
        <f t="shared" si="208"/>
        <v>#VALUE!</v>
      </c>
      <c r="D3373" s="12" t="e">
        <f>MID(MAIN!A3378,K3373+2,2)</f>
        <v>#VALUE!</v>
      </c>
      <c r="E3373" s="12" t="e">
        <f>MID(MAIN!A3378,K3373+4,2)</f>
        <v>#VALUE!</v>
      </c>
      <c r="F3373" s="2" t="e">
        <f t="shared" si="209"/>
        <v>#VALUE!</v>
      </c>
      <c r="G3373" s="13" t="e">
        <f t="shared" si="210"/>
        <v>#VALUE!</v>
      </c>
      <c r="J3373" t="str">
        <f>MAIN!A3378&amp;"B"</f>
        <v>B</v>
      </c>
      <c r="K3373" s="12" t="e">
        <f t="shared" si="211"/>
        <v>#VALUE!</v>
      </c>
      <c r="L3373" t="str">
        <f>MAIN!C3378</f>
        <v/>
      </c>
    </row>
    <row r="3374" spans="1:12" x14ac:dyDescent="0.3">
      <c r="A3374">
        <f>IF(J3374="0",0,IF(COUNTIF($J$2:J3374,J3374)=1,1,0))</f>
        <v>0</v>
      </c>
      <c r="B3374" s="12" t="e">
        <f>MID(MAIN!A3379,K3374,2)</f>
        <v>#VALUE!</v>
      </c>
      <c r="C3374" s="12" t="e">
        <f t="shared" si="208"/>
        <v>#VALUE!</v>
      </c>
      <c r="D3374" s="12" t="e">
        <f>MID(MAIN!A3379,K3374+2,2)</f>
        <v>#VALUE!</v>
      </c>
      <c r="E3374" s="12" t="e">
        <f>MID(MAIN!A3379,K3374+4,2)</f>
        <v>#VALUE!</v>
      </c>
      <c r="F3374" s="2" t="e">
        <f t="shared" si="209"/>
        <v>#VALUE!</v>
      </c>
      <c r="G3374" s="13" t="e">
        <f t="shared" si="210"/>
        <v>#VALUE!</v>
      </c>
      <c r="J3374" t="str">
        <f>MAIN!A3379&amp;"B"</f>
        <v>B</v>
      </c>
      <c r="K3374" s="12" t="e">
        <f t="shared" si="211"/>
        <v>#VALUE!</v>
      </c>
      <c r="L3374" t="str">
        <f>MAIN!C3379</f>
        <v/>
      </c>
    </row>
    <row r="3375" spans="1:12" x14ac:dyDescent="0.3">
      <c r="A3375">
        <f>IF(J3375="0",0,IF(COUNTIF($J$2:J3375,J3375)=1,1,0))</f>
        <v>0</v>
      </c>
      <c r="B3375" s="12" t="e">
        <f>MID(MAIN!A3380,K3375,2)</f>
        <v>#VALUE!</v>
      </c>
      <c r="C3375" s="12" t="e">
        <f t="shared" si="208"/>
        <v>#VALUE!</v>
      </c>
      <c r="D3375" s="12" t="e">
        <f>MID(MAIN!A3380,K3375+2,2)</f>
        <v>#VALUE!</v>
      </c>
      <c r="E3375" s="12" t="e">
        <f>MID(MAIN!A3380,K3375+4,2)</f>
        <v>#VALUE!</v>
      </c>
      <c r="F3375" s="2" t="e">
        <f t="shared" si="209"/>
        <v>#VALUE!</v>
      </c>
      <c r="G3375" s="13" t="e">
        <f t="shared" si="210"/>
        <v>#VALUE!</v>
      </c>
      <c r="J3375" t="str">
        <f>MAIN!A3380&amp;"B"</f>
        <v>B</v>
      </c>
      <c r="K3375" s="12" t="e">
        <f t="shared" si="211"/>
        <v>#VALUE!</v>
      </c>
      <c r="L3375" t="str">
        <f>MAIN!C3380</f>
        <v/>
      </c>
    </row>
    <row r="3376" spans="1:12" x14ac:dyDescent="0.3">
      <c r="A3376">
        <f>IF(J3376="0",0,IF(COUNTIF($J$2:J3376,J3376)=1,1,0))</f>
        <v>0</v>
      </c>
      <c r="B3376" s="12" t="e">
        <f>MID(MAIN!A3381,K3376,2)</f>
        <v>#VALUE!</v>
      </c>
      <c r="C3376" s="12" t="e">
        <f t="shared" si="208"/>
        <v>#VALUE!</v>
      </c>
      <c r="D3376" s="12" t="e">
        <f>MID(MAIN!A3381,K3376+2,2)</f>
        <v>#VALUE!</v>
      </c>
      <c r="E3376" s="12" t="e">
        <f>MID(MAIN!A3381,K3376+4,2)</f>
        <v>#VALUE!</v>
      </c>
      <c r="F3376" s="2" t="e">
        <f t="shared" si="209"/>
        <v>#VALUE!</v>
      </c>
      <c r="G3376" s="13" t="e">
        <f t="shared" si="210"/>
        <v>#VALUE!</v>
      </c>
      <c r="J3376" t="str">
        <f>MAIN!A3381&amp;"B"</f>
        <v>B</v>
      </c>
      <c r="K3376" s="12" t="e">
        <f t="shared" si="211"/>
        <v>#VALUE!</v>
      </c>
      <c r="L3376" t="str">
        <f>MAIN!C3381</f>
        <v/>
      </c>
    </row>
    <row r="3377" spans="1:12" x14ac:dyDescent="0.3">
      <c r="A3377">
        <f>IF(J3377="0",0,IF(COUNTIF($J$2:J3377,J3377)=1,1,0))</f>
        <v>0</v>
      </c>
      <c r="B3377" s="12" t="e">
        <f>MID(MAIN!A3382,K3377,2)</f>
        <v>#VALUE!</v>
      </c>
      <c r="C3377" s="12" t="e">
        <f t="shared" si="208"/>
        <v>#VALUE!</v>
      </c>
      <c r="D3377" s="12" t="e">
        <f>MID(MAIN!A3382,K3377+2,2)</f>
        <v>#VALUE!</v>
      </c>
      <c r="E3377" s="12" t="e">
        <f>MID(MAIN!A3382,K3377+4,2)</f>
        <v>#VALUE!</v>
      </c>
      <c r="F3377" s="2" t="e">
        <f t="shared" si="209"/>
        <v>#VALUE!</v>
      </c>
      <c r="G3377" s="13" t="e">
        <f t="shared" si="210"/>
        <v>#VALUE!</v>
      </c>
      <c r="J3377" t="str">
        <f>MAIN!A3382&amp;"B"</f>
        <v>B</v>
      </c>
      <c r="K3377" s="12" t="e">
        <f t="shared" si="211"/>
        <v>#VALUE!</v>
      </c>
      <c r="L3377" t="str">
        <f>MAIN!C3382</f>
        <v/>
      </c>
    </row>
    <row r="3378" spans="1:12" x14ac:dyDescent="0.3">
      <c r="A3378">
        <f>IF(J3378="0",0,IF(COUNTIF($J$2:J3378,J3378)=1,1,0))</f>
        <v>0</v>
      </c>
      <c r="B3378" s="12" t="e">
        <f>MID(MAIN!A3383,K3378,2)</f>
        <v>#VALUE!</v>
      </c>
      <c r="C3378" s="12" t="e">
        <f t="shared" si="208"/>
        <v>#VALUE!</v>
      </c>
      <c r="D3378" s="12" t="e">
        <f>MID(MAIN!A3383,K3378+2,2)</f>
        <v>#VALUE!</v>
      </c>
      <c r="E3378" s="12" t="e">
        <f>MID(MAIN!A3383,K3378+4,2)</f>
        <v>#VALUE!</v>
      </c>
      <c r="F3378" s="2" t="e">
        <f t="shared" si="209"/>
        <v>#VALUE!</v>
      </c>
      <c r="G3378" s="13" t="e">
        <f t="shared" si="210"/>
        <v>#VALUE!</v>
      </c>
      <c r="J3378" t="str">
        <f>MAIN!A3383&amp;"B"</f>
        <v>B</v>
      </c>
      <c r="K3378" s="12" t="e">
        <f t="shared" si="211"/>
        <v>#VALUE!</v>
      </c>
      <c r="L3378" t="str">
        <f>MAIN!C3383</f>
        <v/>
      </c>
    </row>
    <row r="3379" spans="1:12" x14ac:dyDescent="0.3">
      <c r="A3379">
        <f>IF(J3379="0",0,IF(COUNTIF($J$2:J3379,J3379)=1,1,0))</f>
        <v>0</v>
      </c>
      <c r="B3379" s="12" t="e">
        <f>MID(MAIN!A3384,K3379,2)</f>
        <v>#VALUE!</v>
      </c>
      <c r="C3379" s="12" t="e">
        <f t="shared" si="208"/>
        <v>#VALUE!</v>
      </c>
      <c r="D3379" s="12" t="e">
        <f>MID(MAIN!A3384,K3379+2,2)</f>
        <v>#VALUE!</v>
      </c>
      <c r="E3379" s="12" t="e">
        <f>MID(MAIN!A3384,K3379+4,2)</f>
        <v>#VALUE!</v>
      </c>
      <c r="F3379" s="2" t="e">
        <f t="shared" si="209"/>
        <v>#VALUE!</v>
      </c>
      <c r="G3379" s="13" t="e">
        <f t="shared" si="210"/>
        <v>#VALUE!</v>
      </c>
      <c r="J3379" t="str">
        <f>MAIN!A3384&amp;"B"</f>
        <v>B</v>
      </c>
      <c r="K3379" s="12" t="e">
        <f t="shared" si="211"/>
        <v>#VALUE!</v>
      </c>
      <c r="L3379" t="str">
        <f>MAIN!C3384</f>
        <v/>
      </c>
    </row>
    <row r="3380" spans="1:12" x14ac:dyDescent="0.3">
      <c r="A3380">
        <f>IF(J3380="0",0,IF(COUNTIF($J$2:J3380,J3380)=1,1,0))</f>
        <v>0</v>
      </c>
      <c r="B3380" s="12" t="e">
        <f>MID(MAIN!A3385,K3380,2)</f>
        <v>#VALUE!</v>
      </c>
      <c r="C3380" s="12" t="e">
        <f t="shared" si="208"/>
        <v>#VALUE!</v>
      </c>
      <c r="D3380" s="12" t="e">
        <f>MID(MAIN!A3385,K3380+2,2)</f>
        <v>#VALUE!</v>
      </c>
      <c r="E3380" s="12" t="e">
        <f>MID(MAIN!A3385,K3380+4,2)</f>
        <v>#VALUE!</v>
      </c>
      <c r="F3380" s="2" t="e">
        <f t="shared" si="209"/>
        <v>#VALUE!</v>
      </c>
      <c r="G3380" s="13" t="e">
        <f t="shared" si="210"/>
        <v>#VALUE!</v>
      </c>
      <c r="J3380" t="str">
        <f>MAIN!A3385&amp;"B"</f>
        <v>B</v>
      </c>
      <c r="K3380" s="12" t="e">
        <f t="shared" si="211"/>
        <v>#VALUE!</v>
      </c>
      <c r="L3380" t="str">
        <f>MAIN!C3385</f>
        <v/>
      </c>
    </row>
    <row r="3381" spans="1:12" x14ac:dyDescent="0.3">
      <c r="A3381">
        <f>IF(J3381="0",0,IF(COUNTIF($J$2:J3381,J3381)=1,1,0))</f>
        <v>0</v>
      </c>
      <c r="B3381" s="12" t="e">
        <f>MID(MAIN!A3386,K3381,2)</f>
        <v>#VALUE!</v>
      </c>
      <c r="C3381" s="12" t="e">
        <f t="shared" si="208"/>
        <v>#VALUE!</v>
      </c>
      <c r="D3381" s="12" t="e">
        <f>MID(MAIN!A3386,K3381+2,2)</f>
        <v>#VALUE!</v>
      </c>
      <c r="E3381" s="12" t="e">
        <f>MID(MAIN!A3386,K3381+4,2)</f>
        <v>#VALUE!</v>
      </c>
      <c r="F3381" s="2" t="e">
        <f t="shared" si="209"/>
        <v>#VALUE!</v>
      </c>
      <c r="G3381" s="13" t="e">
        <f t="shared" si="210"/>
        <v>#VALUE!</v>
      </c>
      <c r="J3381" t="str">
        <f>MAIN!A3386&amp;"B"</f>
        <v>B</v>
      </c>
      <c r="K3381" s="12" t="e">
        <f t="shared" si="211"/>
        <v>#VALUE!</v>
      </c>
      <c r="L3381" t="str">
        <f>MAIN!C3386</f>
        <v/>
      </c>
    </row>
    <row r="3382" spans="1:12" x14ac:dyDescent="0.3">
      <c r="A3382">
        <f>IF(J3382="0",0,IF(COUNTIF($J$2:J3382,J3382)=1,1,0))</f>
        <v>0</v>
      </c>
      <c r="B3382" s="12" t="e">
        <f>MID(MAIN!A3387,K3382,2)</f>
        <v>#VALUE!</v>
      </c>
      <c r="C3382" s="12" t="e">
        <f t="shared" si="208"/>
        <v>#VALUE!</v>
      </c>
      <c r="D3382" s="12" t="e">
        <f>MID(MAIN!A3387,K3382+2,2)</f>
        <v>#VALUE!</v>
      </c>
      <c r="E3382" s="12" t="e">
        <f>MID(MAIN!A3387,K3382+4,2)</f>
        <v>#VALUE!</v>
      </c>
      <c r="F3382" s="2" t="e">
        <f t="shared" si="209"/>
        <v>#VALUE!</v>
      </c>
      <c r="G3382" s="13" t="e">
        <f t="shared" si="210"/>
        <v>#VALUE!</v>
      </c>
      <c r="J3382" t="str">
        <f>MAIN!A3387&amp;"B"</f>
        <v>B</v>
      </c>
      <c r="K3382" s="12" t="e">
        <f t="shared" si="211"/>
        <v>#VALUE!</v>
      </c>
      <c r="L3382" t="str">
        <f>MAIN!C3387</f>
        <v/>
      </c>
    </row>
    <row r="3383" spans="1:12" x14ac:dyDescent="0.3">
      <c r="A3383">
        <f>IF(J3383="0",0,IF(COUNTIF($J$2:J3383,J3383)=1,1,0))</f>
        <v>0</v>
      </c>
      <c r="B3383" s="12" t="e">
        <f>MID(MAIN!A3388,K3383,2)</f>
        <v>#VALUE!</v>
      </c>
      <c r="C3383" s="12" t="e">
        <f t="shared" si="208"/>
        <v>#VALUE!</v>
      </c>
      <c r="D3383" s="12" t="e">
        <f>MID(MAIN!A3388,K3383+2,2)</f>
        <v>#VALUE!</v>
      </c>
      <c r="E3383" s="12" t="e">
        <f>MID(MAIN!A3388,K3383+4,2)</f>
        <v>#VALUE!</v>
      </c>
      <c r="F3383" s="2" t="e">
        <f t="shared" si="209"/>
        <v>#VALUE!</v>
      </c>
      <c r="G3383" s="13" t="e">
        <f t="shared" si="210"/>
        <v>#VALUE!</v>
      </c>
      <c r="J3383" t="str">
        <f>MAIN!A3388&amp;"B"</f>
        <v>B</v>
      </c>
      <c r="K3383" s="12" t="e">
        <f t="shared" si="211"/>
        <v>#VALUE!</v>
      </c>
      <c r="L3383" t="str">
        <f>MAIN!C3388</f>
        <v/>
      </c>
    </row>
    <row r="3384" spans="1:12" x14ac:dyDescent="0.3">
      <c r="A3384">
        <f>IF(J3384="0",0,IF(COUNTIF($J$2:J3384,J3384)=1,1,0))</f>
        <v>0</v>
      </c>
      <c r="B3384" s="12" t="e">
        <f>MID(MAIN!A3389,K3384,2)</f>
        <v>#VALUE!</v>
      </c>
      <c r="C3384" s="12" t="e">
        <f t="shared" si="208"/>
        <v>#VALUE!</v>
      </c>
      <c r="D3384" s="12" t="e">
        <f>MID(MAIN!A3389,K3384+2,2)</f>
        <v>#VALUE!</v>
      </c>
      <c r="E3384" s="12" t="e">
        <f>MID(MAIN!A3389,K3384+4,2)</f>
        <v>#VALUE!</v>
      </c>
      <c r="F3384" s="2" t="e">
        <f t="shared" si="209"/>
        <v>#VALUE!</v>
      </c>
      <c r="G3384" s="13" t="e">
        <f t="shared" si="210"/>
        <v>#VALUE!</v>
      </c>
      <c r="J3384" t="str">
        <f>MAIN!A3389&amp;"B"</f>
        <v>B</v>
      </c>
      <c r="K3384" s="12" t="e">
        <f t="shared" si="211"/>
        <v>#VALUE!</v>
      </c>
      <c r="L3384" t="str">
        <f>MAIN!C3389</f>
        <v/>
      </c>
    </row>
    <row r="3385" spans="1:12" x14ac:dyDescent="0.3">
      <c r="A3385">
        <f>IF(J3385="0",0,IF(COUNTIF($J$2:J3385,J3385)=1,1,0))</f>
        <v>0</v>
      </c>
      <c r="B3385" s="12" t="e">
        <f>MID(MAIN!A3390,K3385,2)</f>
        <v>#VALUE!</v>
      </c>
      <c r="C3385" s="12" t="e">
        <f t="shared" si="208"/>
        <v>#VALUE!</v>
      </c>
      <c r="D3385" s="12" t="e">
        <f>MID(MAIN!A3390,K3385+2,2)</f>
        <v>#VALUE!</v>
      </c>
      <c r="E3385" s="12" t="e">
        <f>MID(MAIN!A3390,K3385+4,2)</f>
        <v>#VALUE!</v>
      </c>
      <c r="F3385" s="2" t="e">
        <f t="shared" si="209"/>
        <v>#VALUE!</v>
      </c>
      <c r="G3385" s="13" t="e">
        <f t="shared" si="210"/>
        <v>#VALUE!</v>
      </c>
      <c r="J3385" t="str">
        <f>MAIN!A3390&amp;"B"</f>
        <v>B</v>
      </c>
      <c r="K3385" s="12" t="e">
        <f t="shared" si="211"/>
        <v>#VALUE!</v>
      </c>
      <c r="L3385" t="str">
        <f>MAIN!C3390</f>
        <v/>
      </c>
    </row>
    <row r="3386" spans="1:12" x14ac:dyDescent="0.3">
      <c r="A3386">
        <f>IF(J3386="0",0,IF(COUNTIF($J$2:J3386,J3386)=1,1,0))</f>
        <v>0</v>
      </c>
      <c r="B3386" s="12" t="e">
        <f>MID(MAIN!A3391,K3386,2)</f>
        <v>#VALUE!</v>
      </c>
      <c r="C3386" s="12" t="e">
        <f t="shared" si="208"/>
        <v>#VALUE!</v>
      </c>
      <c r="D3386" s="12" t="e">
        <f>MID(MAIN!A3391,K3386+2,2)</f>
        <v>#VALUE!</v>
      </c>
      <c r="E3386" s="12" t="e">
        <f>MID(MAIN!A3391,K3386+4,2)</f>
        <v>#VALUE!</v>
      </c>
      <c r="F3386" s="2" t="e">
        <f t="shared" si="209"/>
        <v>#VALUE!</v>
      </c>
      <c r="G3386" s="13" t="e">
        <f t="shared" si="210"/>
        <v>#VALUE!</v>
      </c>
      <c r="J3386" t="str">
        <f>MAIN!A3391&amp;"B"</f>
        <v>B</v>
      </c>
      <c r="K3386" s="12" t="e">
        <f t="shared" si="211"/>
        <v>#VALUE!</v>
      </c>
      <c r="L3386" t="str">
        <f>MAIN!C3391</f>
        <v/>
      </c>
    </row>
    <row r="3387" spans="1:12" x14ac:dyDescent="0.3">
      <c r="A3387">
        <f>IF(J3387="0",0,IF(COUNTIF($J$2:J3387,J3387)=1,1,0))</f>
        <v>0</v>
      </c>
      <c r="B3387" s="12" t="e">
        <f>MID(MAIN!A3392,K3387,2)</f>
        <v>#VALUE!</v>
      </c>
      <c r="C3387" s="12" t="e">
        <f t="shared" si="208"/>
        <v>#VALUE!</v>
      </c>
      <c r="D3387" s="12" t="e">
        <f>MID(MAIN!A3392,K3387+2,2)</f>
        <v>#VALUE!</v>
      </c>
      <c r="E3387" s="12" t="e">
        <f>MID(MAIN!A3392,K3387+4,2)</f>
        <v>#VALUE!</v>
      </c>
      <c r="F3387" s="2" t="e">
        <f t="shared" si="209"/>
        <v>#VALUE!</v>
      </c>
      <c r="G3387" s="13" t="e">
        <f t="shared" si="210"/>
        <v>#VALUE!</v>
      </c>
      <c r="J3387" t="str">
        <f>MAIN!A3392&amp;"B"</f>
        <v>B</v>
      </c>
      <c r="K3387" s="12" t="e">
        <f t="shared" si="211"/>
        <v>#VALUE!</v>
      </c>
      <c r="L3387" t="str">
        <f>MAIN!C3392</f>
        <v/>
      </c>
    </row>
    <row r="3388" spans="1:12" x14ac:dyDescent="0.3">
      <c r="A3388">
        <f>IF(J3388="0",0,IF(COUNTIF($J$2:J3388,J3388)=1,1,0))</f>
        <v>0</v>
      </c>
      <c r="B3388" s="12" t="e">
        <f>MID(MAIN!A3393,K3388,2)</f>
        <v>#VALUE!</v>
      </c>
      <c r="C3388" s="12" t="e">
        <f t="shared" si="208"/>
        <v>#VALUE!</v>
      </c>
      <c r="D3388" s="12" t="e">
        <f>MID(MAIN!A3393,K3388+2,2)</f>
        <v>#VALUE!</v>
      </c>
      <c r="E3388" s="12" t="e">
        <f>MID(MAIN!A3393,K3388+4,2)</f>
        <v>#VALUE!</v>
      </c>
      <c r="F3388" s="2" t="e">
        <f t="shared" si="209"/>
        <v>#VALUE!</v>
      </c>
      <c r="G3388" s="13" t="e">
        <f t="shared" si="210"/>
        <v>#VALUE!</v>
      </c>
      <c r="J3388" t="str">
        <f>MAIN!A3393&amp;"B"</f>
        <v>B</v>
      </c>
      <c r="K3388" s="12" t="e">
        <f t="shared" si="211"/>
        <v>#VALUE!</v>
      </c>
      <c r="L3388" t="str">
        <f>MAIN!C3393</f>
        <v/>
      </c>
    </row>
    <row r="3389" spans="1:12" x14ac:dyDescent="0.3">
      <c r="A3389">
        <f>IF(J3389="0",0,IF(COUNTIF($J$2:J3389,J3389)=1,1,0))</f>
        <v>0</v>
      </c>
      <c r="B3389" s="12" t="e">
        <f>MID(MAIN!A3394,K3389,2)</f>
        <v>#VALUE!</v>
      </c>
      <c r="C3389" s="12" t="e">
        <f t="shared" si="208"/>
        <v>#VALUE!</v>
      </c>
      <c r="D3389" s="12" t="e">
        <f>MID(MAIN!A3394,K3389+2,2)</f>
        <v>#VALUE!</v>
      </c>
      <c r="E3389" s="12" t="e">
        <f>MID(MAIN!A3394,K3389+4,2)</f>
        <v>#VALUE!</v>
      </c>
      <c r="F3389" s="2" t="e">
        <f t="shared" si="209"/>
        <v>#VALUE!</v>
      </c>
      <c r="G3389" s="13" t="e">
        <f t="shared" si="210"/>
        <v>#VALUE!</v>
      </c>
      <c r="J3389" t="str">
        <f>MAIN!A3394&amp;"B"</f>
        <v>B</v>
      </c>
      <c r="K3389" s="12" t="e">
        <f t="shared" si="211"/>
        <v>#VALUE!</v>
      </c>
      <c r="L3389" t="str">
        <f>MAIN!C3394</f>
        <v/>
      </c>
    </row>
    <row r="3390" spans="1:12" x14ac:dyDescent="0.3">
      <c r="A3390">
        <f>IF(J3390="0",0,IF(COUNTIF($J$2:J3390,J3390)=1,1,0))</f>
        <v>0</v>
      </c>
      <c r="B3390" s="12" t="e">
        <f>MID(MAIN!A3395,K3390,2)</f>
        <v>#VALUE!</v>
      </c>
      <c r="C3390" s="12" t="e">
        <f t="shared" si="208"/>
        <v>#VALUE!</v>
      </c>
      <c r="D3390" s="12" t="e">
        <f>MID(MAIN!A3395,K3390+2,2)</f>
        <v>#VALUE!</v>
      </c>
      <c r="E3390" s="12" t="e">
        <f>MID(MAIN!A3395,K3390+4,2)</f>
        <v>#VALUE!</v>
      </c>
      <c r="F3390" s="2" t="e">
        <f t="shared" si="209"/>
        <v>#VALUE!</v>
      </c>
      <c r="G3390" s="13" t="e">
        <f t="shared" si="210"/>
        <v>#VALUE!</v>
      </c>
      <c r="J3390" t="str">
        <f>MAIN!A3395&amp;"B"</f>
        <v>B</v>
      </c>
      <c r="K3390" s="12" t="e">
        <f t="shared" si="211"/>
        <v>#VALUE!</v>
      </c>
      <c r="L3390" t="str">
        <f>MAIN!C3395</f>
        <v/>
      </c>
    </row>
    <row r="3391" spans="1:12" x14ac:dyDescent="0.3">
      <c r="A3391">
        <f>IF(J3391="0",0,IF(COUNTIF($J$2:J3391,J3391)=1,1,0))</f>
        <v>0</v>
      </c>
      <c r="B3391" s="12" t="e">
        <f>MID(MAIN!A3396,K3391,2)</f>
        <v>#VALUE!</v>
      </c>
      <c r="C3391" s="12" t="e">
        <f t="shared" si="208"/>
        <v>#VALUE!</v>
      </c>
      <c r="D3391" s="12" t="e">
        <f>MID(MAIN!A3396,K3391+2,2)</f>
        <v>#VALUE!</v>
      </c>
      <c r="E3391" s="12" t="e">
        <f>MID(MAIN!A3396,K3391+4,2)</f>
        <v>#VALUE!</v>
      </c>
      <c r="F3391" s="2" t="e">
        <f t="shared" si="209"/>
        <v>#VALUE!</v>
      </c>
      <c r="G3391" s="13" t="e">
        <f t="shared" si="210"/>
        <v>#VALUE!</v>
      </c>
      <c r="J3391" t="str">
        <f>MAIN!A3396&amp;"B"</f>
        <v>B</v>
      </c>
      <c r="K3391" s="12" t="e">
        <f t="shared" si="211"/>
        <v>#VALUE!</v>
      </c>
      <c r="L3391" t="str">
        <f>MAIN!C3396</f>
        <v/>
      </c>
    </row>
    <row r="3392" spans="1:12" x14ac:dyDescent="0.3">
      <c r="A3392">
        <f>IF(J3392="0",0,IF(COUNTIF($J$2:J3392,J3392)=1,1,0))</f>
        <v>0</v>
      </c>
      <c r="B3392" s="12" t="e">
        <f>MID(MAIN!A3397,K3392,2)</f>
        <v>#VALUE!</v>
      </c>
      <c r="C3392" s="12" t="e">
        <f t="shared" si="208"/>
        <v>#VALUE!</v>
      </c>
      <c r="D3392" s="12" t="e">
        <f>MID(MAIN!A3397,K3392+2,2)</f>
        <v>#VALUE!</v>
      </c>
      <c r="E3392" s="12" t="e">
        <f>MID(MAIN!A3397,K3392+4,2)</f>
        <v>#VALUE!</v>
      </c>
      <c r="F3392" s="2" t="e">
        <f t="shared" si="209"/>
        <v>#VALUE!</v>
      </c>
      <c r="G3392" s="13" t="e">
        <f t="shared" si="210"/>
        <v>#VALUE!</v>
      </c>
      <c r="J3392" t="str">
        <f>MAIN!A3397&amp;"B"</f>
        <v>B</v>
      </c>
      <c r="K3392" s="12" t="e">
        <f t="shared" si="211"/>
        <v>#VALUE!</v>
      </c>
      <c r="L3392" t="str">
        <f>MAIN!C3397</f>
        <v/>
      </c>
    </row>
    <row r="3393" spans="1:12" x14ac:dyDescent="0.3">
      <c r="A3393">
        <f>IF(J3393="0",0,IF(COUNTIF($J$2:J3393,J3393)=1,1,0))</f>
        <v>0</v>
      </c>
      <c r="B3393" s="12" t="e">
        <f>MID(MAIN!A3398,K3393,2)</f>
        <v>#VALUE!</v>
      </c>
      <c r="C3393" s="12" t="e">
        <f t="shared" si="208"/>
        <v>#VALUE!</v>
      </c>
      <c r="D3393" s="12" t="e">
        <f>MID(MAIN!A3398,K3393+2,2)</f>
        <v>#VALUE!</v>
      </c>
      <c r="E3393" s="12" t="e">
        <f>MID(MAIN!A3398,K3393+4,2)</f>
        <v>#VALUE!</v>
      </c>
      <c r="F3393" s="2" t="e">
        <f t="shared" si="209"/>
        <v>#VALUE!</v>
      </c>
      <c r="G3393" s="13" t="e">
        <f t="shared" si="210"/>
        <v>#VALUE!</v>
      </c>
      <c r="J3393" t="str">
        <f>MAIN!A3398&amp;"B"</f>
        <v>B</v>
      </c>
      <c r="K3393" s="12" t="e">
        <f t="shared" si="211"/>
        <v>#VALUE!</v>
      </c>
      <c r="L3393" t="str">
        <f>MAIN!C3398</f>
        <v/>
      </c>
    </row>
    <row r="3394" spans="1:12" x14ac:dyDescent="0.3">
      <c r="A3394">
        <f>IF(J3394="0",0,IF(COUNTIF($J$2:J3394,J3394)=1,1,0))</f>
        <v>0</v>
      </c>
      <c r="B3394" s="12" t="e">
        <f>MID(MAIN!A3399,K3394,2)</f>
        <v>#VALUE!</v>
      </c>
      <c r="C3394" s="12" t="e">
        <f t="shared" si="208"/>
        <v>#VALUE!</v>
      </c>
      <c r="D3394" s="12" t="e">
        <f>MID(MAIN!A3399,K3394+2,2)</f>
        <v>#VALUE!</v>
      </c>
      <c r="E3394" s="12" t="e">
        <f>MID(MAIN!A3399,K3394+4,2)</f>
        <v>#VALUE!</v>
      </c>
      <c r="F3394" s="2" t="e">
        <f t="shared" si="209"/>
        <v>#VALUE!</v>
      </c>
      <c r="G3394" s="13" t="e">
        <f t="shared" si="210"/>
        <v>#VALUE!</v>
      </c>
      <c r="J3394" t="str">
        <f>MAIN!A3399&amp;"B"</f>
        <v>B</v>
      </c>
      <c r="K3394" s="12" t="e">
        <f t="shared" si="211"/>
        <v>#VALUE!</v>
      </c>
      <c r="L3394" t="str">
        <f>MAIN!C3399</f>
        <v/>
      </c>
    </row>
    <row r="3395" spans="1:12" x14ac:dyDescent="0.3">
      <c r="A3395">
        <f>IF(J3395="0",0,IF(COUNTIF($J$2:J3395,J3395)=1,1,0))</f>
        <v>0</v>
      </c>
      <c r="B3395" s="12" t="e">
        <f>MID(MAIN!A3400,K3395,2)</f>
        <v>#VALUE!</v>
      </c>
      <c r="C3395" s="12" t="e">
        <f t="shared" ref="C3395:C3458" si="212">"20"&amp;B3395</f>
        <v>#VALUE!</v>
      </c>
      <c r="D3395" s="12" t="e">
        <f>MID(MAIN!A3400,K3395+2,2)</f>
        <v>#VALUE!</v>
      </c>
      <c r="E3395" s="12" t="e">
        <f>MID(MAIN!A3400,K3395+4,2)</f>
        <v>#VALUE!</v>
      </c>
      <c r="F3395" s="2" t="e">
        <f t="shared" ref="F3395:F3458" si="213">C3395&amp;"/"&amp;D3395&amp;"/"&amp;E3395</f>
        <v>#VALUE!</v>
      </c>
      <c r="G3395" s="13" t="e">
        <f t="shared" ref="G3395:G3458" si="214">DATEVALUE(F3395)</f>
        <v>#VALUE!</v>
      </c>
      <c r="J3395" t="str">
        <f>MAIN!A3400&amp;"B"</f>
        <v>B</v>
      </c>
      <c r="K3395" s="12" t="e">
        <f t="shared" ref="K3395:K3458" si="215">FIND("172",J3395,30)+2</f>
        <v>#VALUE!</v>
      </c>
      <c r="L3395" t="str">
        <f>MAIN!C3400</f>
        <v/>
      </c>
    </row>
    <row r="3396" spans="1:12" x14ac:dyDescent="0.3">
      <c r="A3396">
        <f>IF(J3396="0",0,IF(COUNTIF($J$2:J3396,J3396)=1,1,0))</f>
        <v>0</v>
      </c>
      <c r="B3396" s="12" t="e">
        <f>MID(MAIN!A3401,K3396,2)</f>
        <v>#VALUE!</v>
      </c>
      <c r="C3396" s="12" t="e">
        <f t="shared" si="212"/>
        <v>#VALUE!</v>
      </c>
      <c r="D3396" s="12" t="e">
        <f>MID(MAIN!A3401,K3396+2,2)</f>
        <v>#VALUE!</v>
      </c>
      <c r="E3396" s="12" t="e">
        <f>MID(MAIN!A3401,K3396+4,2)</f>
        <v>#VALUE!</v>
      </c>
      <c r="F3396" s="2" t="e">
        <f t="shared" si="213"/>
        <v>#VALUE!</v>
      </c>
      <c r="G3396" s="13" t="e">
        <f t="shared" si="214"/>
        <v>#VALUE!</v>
      </c>
      <c r="J3396" t="str">
        <f>MAIN!A3401&amp;"B"</f>
        <v>B</v>
      </c>
      <c r="K3396" s="12" t="e">
        <f t="shared" si="215"/>
        <v>#VALUE!</v>
      </c>
      <c r="L3396" t="str">
        <f>MAIN!C3401</f>
        <v/>
      </c>
    </row>
    <row r="3397" spans="1:12" x14ac:dyDescent="0.3">
      <c r="A3397">
        <f>IF(J3397="0",0,IF(COUNTIF($J$2:J3397,J3397)=1,1,0))</f>
        <v>0</v>
      </c>
      <c r="B3397" s="12" t="e">
        <f>MID(MAIN!A3402,K3397,2)</f>
        <v>#VALUE!</v>
      </c>
      <c r="C3397" s="12" t="e">
        <f t="shared" si="212"/>
        <v>#VALUE!</v>
      </c>
      <c r="D3397" s="12" t="e">
        <f>MID(MAIN!A3402,K3397+2,2)</f>
        <v>#VALUE!</v>
      </c>
      <c r="E3397" s="12" t="e">
        <f>MID(MAIN!A3402,K3397+4,2)</f>
        <v>#VALUE!</v>
      </c>
      <c r="F3397" s="2" t="e">
        <f t="shared" si="213"/>
        <v>#VALUE!</v>
      </c>
      <c r="G3397" s="13" t="e">
        <f t="shared" si="214"/>
        <v>#VALUE!</v>
      </c>
      <c r="J3397" t="str">
        <f>MAIN!A3402&amp;"B"</f>
        <v>B</v>
      </c>
      <c r="K3397" s="12" t="e">
        <f t="shared" si="215"/>
        <v>#VALUE!</v>
      </c>
      <c r="L3397" t="str">
        <f>MAIN!C3402</f>
        <v/>
      </c>
    </row>
    <row r="3398" spans="1:12" x14ac:dyDescent="0.3">
      <c r="A3398">
        <f>IF(J3398="0",0,IF(COUNTIF($J$2:J3398,J3398)=1,1,0))</f>
        <v>0</v>
      </c>
      <c r="B3398" s="12" t="e">
        <f>MID(MAIN!A3403,K3398,2)</f>
        <v>#VALUE!</v>
      </c>
      <c r="C3398" s="12" t="e">
        <f t="shared" si="212"/>
        <v>#VALUE!</v>
      </c>
      <c r="D3398" s="12" t="e">
        <f>MID(MAIN!A3403,K3398+2,2)</f>
        <v>#VALUE!</v>
      </c>
      <c r="E3398" s="12" t="e">
        <f>MID(MAIN!A3403,K3398+4,2)</f>
        <v>#VALUE!</v>
      </c>
      <c r="F3398" s="2" t="e">
        <f t="shared" si="213"/>
        <v>#VALUE!</v>
      </c>
      <c r="G3398" s="13" t="e">
        <f t="shared" si="214"/>
        <v>#VALUE!</v>
      </c>
      <c r="J3398" t="str">
        <f>MAIN!A3403&amp;"B"</f>
        <v>B</v>
      </c>
      <c r="K3398" s="12" t="e">
        <f t="shared" si="215"/>
        <v>#VALUE!</v>
      </c>
      <c r="L3398" t="str">
        <f>MAIN!C3403</f>
        <v/>
      </c>
    </row>
    <row r="3399" spans="1:12" x14ac:dyDescent="0.3">
      <c r="A3399">
        <f>IF(J3399="0",0,IF(COUNTIF($J$2:J3399,J3399)=1,1,0))</f>
        <v>0</v>
      </c>
      <c r="B3399" s="12" t="e">
        <f>MID(MAIN!A3404,K3399,2)</f>
        <v>#VALUE!</v>
      </c>
      <c r="C3399" s="12" t="e">
        <f t="shared" si="212"/>
        <v>#VALUE!</v>
      </c>
      <c r="D3399" s="12" t="e">
        <f>MID(MAIN!A3404,K3399+2,2)</f>
        <v>#VALUE!</v>
      </c>
      <c r="E3399" s="12" t="e">
        <f>MID(MAIN!A3404,K3399+4,2)</f>
        <v>#VALUE!</v>
      </c>
      <c r="F3399" s="2" t="e">
        <f t="shared" si="213"/>
        <v>#VALUE!</v>
      </c>
      <c r="G3399" s="13" t="e">
        <f t="shared" si="214"/>
        <v>#VALUE!</v>
      </c>
      <c r="J3399" t="str">
        <f>MAIN!A3404&amp;"B"</f>
        <v>B</v>
      </c>
      <c r="K3399" s="12" t="e">
        <f t="shared" si="215"/>
        <v>#VALUE!</v>
      </c>
      <c r="L3399" t="str">
        <f>MAIN!C3404</f>
        <v/>
      </c>
    </row>
    <row r="3400" spans="1:12" x14ac:dyDescent="0.3">
      <c r="A3400">
        <f>IF(J3400="0",0,IF(COUNTIF($J$2:J3400,J3400)=1,1,0))</f>
        <v>0</v>
      </c>
      <c r="B3400" s="12" t="e">
        <f>MID(MAIN!A3405,K3400,2)</f>
        <v>#VALUE!</v>
      </c>
      <c r="C3400" s="12" t="e">
        <f t="shared" si="212"/>
        <v>#VALUE!</v>
      </c>
      <c r="D3400" s="12" t="e">
        <f>MID(MAIN!A3405,K3400+2,2)</f>
        <v>#VALUE!</v>
      </c>
      <c r="E3400" s="12" t="e">
        <f>MID(MAIN!A3405,K3400+4,2)</f>
        <v>#VALUE!</v>
      </c>
      <c r="F3400" s="2" t="e">
        <f t="shared" si="213"/>
        <v>#VALUE!</v>
      </c>
      <c r="G3400" s="13" t="e">
        <f t="shared" si="214"/>
        <v>#VALUE!</v>
      </c>
      <c r="J3400" t="str">
        <f>MAIN!A3405&amp;"B"</f>
        <v>B</v>
      </c>
      <c r="K3400" s="12" t="e">
        <f t="shared" si="215"/>
        <v>#VALUE!</v>
      </c>
      <c r="L3400" t="str">
        <f>MAIN!C3405</f>
        <v/>
      </c>
    </row>
    <row r="3401" spans="1:12" x14ac:dyDescent="0.3">
      <c r="A3401">
        <f>IF(J3401="0",0,IF(COUNTIF($J$2:J3401,J3401)=1,1,0))</f>
        <v>0</v>
      </c>
      <c r="B3401" s="12" t="e">
        <f>MID(MAIN!A3406,K3401,2)</f>
        <v>#VALUE!</v>
      </c>
      <c r="C3401" s="12" t="e">
        <f t="shared" si="212"/>
        <v>#VALUE!</v>
      </c>
      <c r="D3401" s="12" t="e">
        <f>MID(MAIN!A3406,K3401+2,2)</f>
        <v>#VALUE!</v>
      </c>
      <c r="E3401" s="12" t="e">
        <f>MID(MAIN!A3406,K3401+4,2)</f>
        <v>#VALUE!</v>
      </c>
      <c r="F3401" s="2" t="e">
        <f t="shared" si="213"/>
        <v>#VALUE!</v>
      </c>
      <c r="G3401" s="13" t="e">
        <f t="shared" si="214"/>
        <v>#VALUE!</v>
      </c>
      <c r="J3401" t="str">
        <f>MAIN!A3406&amp;"B"</f>
        <v>B</v>
      </c>
      <c r="K3401" s="12" t="e">
        <f t="shared" si="215"/>
        <v>#VALUE!</v>
      </c>
      <c r="L3401" t="str">
        <f>MAIN!C3406</f>
        <v/>
      </c>
    </row>
    <row r="3402" spans="1:12" x14ac:dyDescent="0.3">
      <c r="A3402">
        <f>IF(J3402="0",0,IF(COUNTIF($J$2:J3402,J3402)=1,1,0))</f>
        <v>0</v>
      </c>
      <c r="B3402" s="12" t="e">
        <f>MID(MAIN!A3407,K3402,2)</f>
        <v>#VALUE!</v>
      </c>
      <c r="C3402" s="12" t="e">
        <f t="shared" si="212"/>
        <v>#VALUE!</v>
      </c>
      <c r="D3402" s="12" t="e">
        <f>MID(MAIN!A3407,K3402+2,2)</f>
        <v>#VALUE!</v>
      </c>
      <c r="E3402" s="12" t="e">
        <f>MID(MAIN!A3407,K3402+4,2)</f>
        <v>#VALUE!</v>
      </c>
      <c r="F3402" s="2" t="e">
        <f t="shared" si="213"/>
        <v>#VALUE!</v>
      </c>
      <c r="G3402" s="13" t="e">
        <f t="shared" si="214"/>
        <v>#VALUE!</v>
      </c>
      <c r="J3402" t="str">
        <f>MAIN!A3407&amp;"B"</f>
        <v>B</v>
      </c>
      <c r="K3402" s="12" t="e">
        <f t="shared" si="215"/>
        <v>#VALUE!</v>
      </c>
      <c r="L3402" t="str">
        <f>MAIN!C3407</f>
        <v/>
      </c>
    </row>
    <row r="3403" spans="1:12" x14ac:dyDescent="0.3">
      <c r="A3403">
        <f>IF(J3403="0",0,IF(COUNTIF($J$2:J3403,J3403)=1,1,0))</f>
        <v>0</v>
      </c>
      <c r="B3403" s="12" t="e">
        <f>MID(MAIN!A3408,K3403,2)</f>
        <v>#VALUE!</v>
      </c>
      <c r="C3403" s="12" t="e">
        <f t="shared" si="212"/>
        <v>#VALUE!</v>
      </c>
      <c r="D3403" s="12" t="e">
        <f>MID(MAIN!A3408,K3403+2,2)</f>
        <v>#VALUE!</v>
      </c>
      <c r="E3403" s="12" t="e">
        <f>MID(MAIN!A3408,K3403+4,2)</f>
        <v>#VALUE!</v>
      </c>
      <c r="F3403" s="2" t="e">
        <f t="shared" si="213"/>
        <v>#VALUE!</v>
      </c>
      <c r="G3403" s="13" t="e">
        <f t="shared" si="214"/>
        <v>#VALUE!</v>
      </c>
      <c r="J3403" t="str">
        <f>MAIN!A3408&amp;"B"</f>
        <v>B</v>
      </c>
      <c r="K3403" s="12" t="e">
        <f t="shared" si="215"/>
        <v>#VALUE!</v>
      </c>
      <c r="L3403" t="str">
        <f>MAIN!C3408</f>
        <v/>
      </c>
    </row>
    <row r="3404" spans="1:12" x14ac:dyDescent="0.3">
      <c r="A3404">
        <f>IF(J3404="0",0,IF(COUNTIF($J$2:J3404,J3404)=1,1,0))</f>
        <v>0</v>
      </c>
      <c r="B3404" s="12" t="e">
        <f>MID(MAIN!A3409,K3404,2)</f>
        <v>#VALUE!</v>
      </c>
      <c r="C3404" s="12" t="e">
        <f t="shared" si="212"/>
        <v>#VALUE!</v>
      </c>
      <c r="D3404" s="12" t="e">
        <f>MID(MAIN!A3409,K3404+2,2)</f>
        <v>#VALUE!</v>
      </c>
      <c r="E3404" s="12" t="e">
        <f>MID(MAIN!A3409,K3404+4,2)</f>
        <v>#VALUE!</v>
      </c>
      <c r="F3404" s="2" t="e">
        <f t="shared" si="213"/>
        <v>#VALUE!</v>
      </c>
      <c r="G3404" s="13" t="e">
        <f t="shared" si="214"/>
        <v>#VALUE!</v>
      </c>
      <c r="J3404" t="str">
        <f>MAIN!A3409&amp;"B"</f>
        <v>B</v>
      </c>
      <c r="K3404" s="12" t="e">
        <f t="shared" si="215"/>
        <v>#VALUE!</v>
      </c>
      <c r="L3404" t="str">
        <f>MAIN!C3409</f>
        <v/>
      </c>
    </row>
    <row r="3405" spans="1:12" x14ac:dyDescent="0.3">
      <c r="A3405">
        <f>IF(J3405="0",0,IF(COUNTIF($J$2:J3405,J3405)=1,1,0))</f>
        <v>0</v>
      </c>
      <c r="B3405" s="12" t="e">
        <f>MID(MAIN!A3410,K3405,2)</f>
        <v>#VALUE!</v>
      </c>
      <c r="C3405" s="12" t="e">
        <f t="shared" si="212"/>
        <v>#VALUE!</v>
      </c>
      <c r="D3405" s="12" t="e">
        <f>MID(MAIN!A3410,K3405+2,2)</f>
        <v>#VALUE!</v>
      </c>
      <c r="E3405" s="12" t="e">
        <f>MID(MAIN!A3410,K3405+4,2)</f>
        <v>#VALUE!</v>
      </c>
      <c r="F3405" s="2" t="e">
        <f t="shared" si="213"/>
        <v>#VALUE!</v>
      </c>
      <c r="G3405" s="13" t="e">
        <f t="shared" si="214"/>
        <v>#VALUE!</v>
      </c>
      <c r="J3405" t="str">
        <f>MAIN!A3410&amp;"B"</f>
        <v>B</v>
      </c>
      <c r="K3405" s="12" t="e">
        <f t="shared" si="215"/>
        <v>#VALUE!</v>
      </c>
      <c r="L3405" t="str">
        <f>MAIN!C3410</f>
        <v/>
      </c>
    </row>
    <row r="3406" spans="1:12" x14ac:dyDescent="0.3">
      <c r="A3406">
        <f>IF(J3406="0",0,IF(COUNTIF($J$2:J3406,J3406)=1,1,0))</f>
        <v>0</v>
      </c>
      <c r="B3406" s="12" t="e">
        <f>MID(MAIN!A3411,K3406,2)</f>
        <v>#VALUE!</v>
      </c>
      <c r="C3406" s="12" t="e">
        <f t="shared" si="212"/>
        <v>#VALUE!</v>
      </c>
      <c r="D3406" s="12" t="e">
        <f>MID(MAIN!A3411,K3406+2,2)</f>
        <v>#VALUE!</v>
      </c>
      <c r="E3406" s="12" t="e">
        <f>MID(MAIN!A3411,K3406+4,2)</f>
        <v>#VALUE!</v>
      </c>
      <c r="F3406" s="2" t="e">
        <f t="shared" si="213"/>
        <v>#VALUE!</v>
      </c>
      <c r="G3406" s="13" t="e">
        <f t="shared" si="214"/>
        <v>#VALUE!</v>
      </c>
      <c r="J3406" t="str">
        <f>MAIN!A3411&amp;"B"</f>
        <v>B</v>
      </c>
      <c r="K3406" s="12" t="e">
        <f t="shared" si="215"/>
        <v>#VALUE!</v>
      </c>
      <c r="L3406" t="str">
        <f>MAIN!C3411</f>
        <v/>
      </c>
    </row>
    <row r="3407" spans="1:12" x14ac:dyDescent="0.3">
      <c r="A3407">
        <f>IF(J3407="0",0,IF(COUNTIF($J$2:J3407,J3407)=1,1,0))</f>
        <v>0</v>
      </c>
      <c r="B3407" s="12" t="e">
        <f>MID(MAIN!A3412,K3407,2)</f>
        <v>#VALUE!</v>
      </c>
      <c r="C3407" s="12" t="e">
        <f t="shared" si="212"/>
        <v>#VALUE!</v>
      </c>
      <c r="D3407" s="12" t="e">
        <f>MID(MAIN!A3412,K3407+2,2)</f>
        <v>#VALUE!</v>
      </c>
      <c r="E3407" s="12" t="e">
        <f>MID(MAIN!A3412,K3407+4,2)</f>
        <v>#VALUE!</v>
      </c>
      <c r="F3407" s="2" t="e">
        <f t="shared" si="213"/>
        <v>#VALUE!</v>
      </c>
      <c r="G3407" s="13" t="e">
        <f t="shared" si="214"/>
        <v>#VALUE!</v>
      </c>
      <c r="J3407" t="str">
        <f>MAIN!A3412&amp;"B"</f>
        <v>B</v>
      </c>
      <c r="K3407" s="12" t="e">
        <f t="shared" si="215"/>
        <v>#VALUE!</v>
      </c>
      <c r="L3407" t="str">
        <f>MAIN!C3412</f>
        <v/>
      </c>
    </row>
    <row r="3408" spans="1:12" x14ac:dyDescent="0.3">
      <c r="A3408">
        <f>IF(J3408="0",0,IF(COUNTIF($J$2:J3408,J3408)=1,1,0))</f>
        <v>0</v>
      </c>
      <c r="B3408" s="12" t="e">
        <f>MID(MAIN!A3413,K3408,2)</f>
        <v>#VALUE!</v>
      </c>
      <c r="C3408" s="12" t="e">
        <f t="shared" si="212"/>
        <v>#VALUE!</v>
      </c>
      <c r="D3408" s="12" t="e">
        <f>MID(MAIN!A3413,K3408+2,2)</f>
        <v>#VALUE!</v>
      </c>
      <c r="E3408" s="12" t="e">
        <f>MID(MAIN!A3413,K3408+4,2)</f>
        <v>#VALUE!</v>
      </c>
      <c r="F3408" s="2" t="e">
        <f t="shared" si="213"/>
        <v>#VALUE!</v>
      </c>
      <c r="G3408" s="13" t="e">
        <f t="shared" si="214"/>
        <v>#VALUE!</v>
      </c>
      <c r="J3408" t="str">
        <f>MAIN!A3413&amp;"B"</f>
        <v>B</v>
      </c>
      <c r="K3408" s="12" t="e">
        <f t="shared" si="215"/>
        <v>#VALUE!</v>
      </c>
      <c r="L3408" t="str">
        <f>MAIN!C3413</f>
        <v/>
      </c>
    </row>
    <row r="3409" spans="1:12" x14ac:dyDescent="0.3">
      <c r="A3409">
        <f>IF(J3409="0",0,IF(COUNTIF($J$2:J3409,J3409)=1,1,0))</f>
        <v>0</v>
      </c>
      <c r="B3409" s="12" t="e">
        <f>MID(MAIN!A3414,K3409,2)</f>
        <v>#VALUE!</v>
      </c>
      <c r="C3409" s="12" t="e">
        <f t="shared" si="212"/>
        <v>#VALUE!</v>
      </c>
      <c r="D3409" s="12" t="e">
        <f>MID(MAIN!A3414,K3409+2,2)</f>
        <v>#VALUE!</v>
      </c>
      <c r="E3409" s="12" t="e">
        <f>MID(MAIN!A3414,K3409+4,2)</f>
        <v>#VALUE!</v>
      </c>
      <c r="F3409" s="2" t="e">
        <f t="shared" si="213"/>
        <v>#VALUE!</v>
      </c>
      <c r="G3409" s="13" t="e">
        <f t="shared" si="214"/>
        <v>#VALUE!</v>
      </c>
      <c r="J3409" t="str">
        <f>MAIN!A3414&amp;"B"</f>
        <v>B</v>
      </c>
      <c r="K3409" s="12" t="e">
        <f t="shared" si="215"/>
        <v>#VALUE!</v>
      </c>
      <c r="L3409" t="str">
        <f>MAIN!C3414</f>
        <v/>
      </c>
    </row>
    <row r="3410" spans="1:12" x14ac:dyDescent="0.3">
      <c r="A3410">
        <f>IF(J3410="0",0,IF(COUNTIF($J$2:J3410,J3410)=1,1,0))</f>
        <v>0</v>
      </c>
      <c r="B3410" s="12" t="e">
        <f>MID(MAIN!A3415,K3410,2)</f>
        <v>#VALUE!</v>
      </c>
      <c r="C3410" s="12" t="e">
        <f t="shared" si="212"/>
        <v>#VALUE!</v>
      </c>
      <c r="D3410" s="12" t="e">
        <f>MID(MAIN!A3415,K3410+2,2)</f>
        <v>#VALUE!</v>
      </c>
      <c r="E3410" s="12" t="e">
        <f>MID(MAIN!A3415,K3410+4,2)</f>
        <v>#VALUE!</v>
      </c>
      <c r="F3410" s="2" t="e">
        <f t="shared" si="213"/>
        <v>#VALUE!</v>
      </c>
      <c r="G3410" s="13" t="e">
        <f t="shared" si="214"/>
        <v>#VALUE!</v>
      </c>
      <c r="J3410" t="str">
        <f>MAIN!A3415&amp;"B"</f>
        <v>B</v>
      </c>
      <c r="K3410" s="12" t="e">
        <f t="shared" si="215"/>
        <v>#VALUE!</v>
      </c>
      <c r="L3410" t="str">
        <f>MAIN!C3415</f>
        <v/>
      </c>
    </row>
    <row r="3411" spans="1:12" x14ac:dyDescent="0.3">
      <c r="A3411">
        <f>IF(J3411="0",0,IF(COUNTIF($J$2:J3411,J3411)=1,1,0))</f>
        <v>0</v>
      </c>
      <c r="B3411" s="12" t="e">
        <f>MID(MAIN!A3416,K3411,2)</f>
        <v>#VALUE!</v>
      </c>
      <c r="C3411" s="12" t="e">
        <f t="shared" si="212"/>
        <v>#VALUE!</v>
      </c>
      <c r="D3411" s="12" t="e">
        <f>MID(MAIN!A3416,K3411+2,2)</f>
        <v>#VALUE!</v>
      </c>
      <c r="E3411" s="12" t="e">
        <f>MID(MAIN!A3416,K3411+4,2)</f>
        <v>#VALUE!</v>
      </c>
      <c r="F3411" s="2" t="e">
        <f t="shared" si="213"/>
        <v>#VALUE!</v>
      </c>
      <c r="G3411" s="13" t="e">
        <f t="shared" si="214"/>
        <v>#VALUE!</v>
      </c>
      <c r="J3411" t="str">
        <f>MAIN!A3416&amp;"B"</f>
        <v>B</v>
      </c>
      <c r="K3411" s="12" t="e">
        <f t="shared" si="215"/>
        <v>#VALUE!</v>
      </c>
      <c r="L3411" t="str">
        <f>MAIN!C3416</f>
        <v/>
      </c>
    </row>
    <row r="3412" spans="1:12" x14ac:dyDescent="0.3">
      <c r="A3412">
        <f>IF(J3412="0",0,IF(COUNTIF($J$2:J3412,J3412)=1,1,0))</f>
        <v>0</v>
      </c>
      <c r="B3412" s="12" t="e">
        <f>MID(MAIN!A3417,K3412,2)</f>
        <v>#VALUE!</v>
      </c>
      <c r="C3412" s="12" t="e">
        <f t="shared" si="212"/>
        <v>#VALUE!</v>
      </c>
      <c r="D3412" s="12" t="e">
        <f>MID(MAIN!A3417,K3412+2,2)</f>
        <v>#VALUE!</v>
      </c>
      <c r="E3412" s="12" t="e">
        <f>MID(MAIN!A3417,K3412+4,2)</f>
        <v>#VALUE!</v>
      </c>
      <c r="F3412" s="2" t="e">
        <f t="shared" si="213"/>
        <v>#VALUE!</v>
      </c>
      <c r="G3412" s="13" t="e">
        <f t="shared" si="214"/>
        <v>#VALUE!</v>
      </c>
      <c r="J3412" t="str">
        <f>MAIN!A3417&amp;"B"</f>
        <v>B</v>
      </c>
      <c r="K3412" s="12" t="e">
        <f t="shared" si="215"/>
        <v>#VALUE!</v>
      </c>
      <c r="L3412" t="str">
        <f>MAIN!C3417</f>
        <v/>
      </c>
    </row>
    <row r="3413" spans="1:12" x14ac:dyDescent="0.3">
      <c r="A3413">
        <f>IF(J3413="0",0,IF(COUNTIF($J$2:J3413,J3413)=1,1,0))</f>
        <v>0</v>
      </c>
      <c r="B3413" s="12" t="e">
        <f>MID(MAIN!A3418,K3413,2)</f>
        <v>#VALUE!</v>
      </c>
      <c r="C3413" s="12" t="e">
        <f t="shared" si="212"/>
        <v>#VALUE!</v>
      </c>
      <c r="D3413" s="12" t="e">
        <f>MID(MAIN!A3418,K3413+2,2)</f>
        <v>#VALUE!</v>
      </c>
      <c r="E3413" s="12" t="e">
        <f>MID(MAIN!A3418,K3413+4,2)</f>
        <v>#VALUE!</v>
      </c>
      <c r="F3413" s="2" t="e">
        <f t="shared" si="213"/>
        <v>#VALUE!</v>
      </c>
      <c r="G3413" s="13" t="e">
        <f t="shared" si="214"/>
        <v>#VALUE!</v>
      </c>
      <c r="J3413" t="str">
        <f>MAIN!A3418&amp;"B"</f>
        <v>B</v>
      </c>
      <c r="K3413" s="12" t="e">
        <f t="shared" si="215"/>
        <v>#VALUE!</v>
      </c>
      <c r="L3413" t="str">
        <f>MAIN!C3418</f>
        <v/>
      </c>
    </row>
    <row r="3414" spans="1:12" x14ac:dyDescent="0.3">
      <c r="A3414">
        <f>IF(J3414="0",0,IF(COUNTIF($J$2:J3414,J3414)=1,1,0))</f>
        <v>0</v>
      </c>
      <c r="B3414" s="12" t="e">
        <f>MID(MAIN!A3419,K3414,2)</f>
        <v>#VALUE!</v>
      </c>
      <c r="C3414" s="12" t="e">
        <f t="shared" si="212"/>
        <v>#VALUE!</v>
      </c>
      <c r="D3414" s="12" t="e">
        <f>MID(MAIN!A3419,K3414+2,2)</f>
        <v>#VALUE!</v>
      </c>
      <c r="E3414" s="12" t="e">
        <f>MID(MAIN!A3419,K3414+4,2)</f>
        <v>#VALUE!</v>
      </c>
      <c r="F3414" s="2" t="e">
        <f t="shared" si="213"/>
        <v>#VALUE!</v>
      </c>
      <c r="G3414" s="13" t="e">
        <f t="shared" si="214"/>
        <v>#VALUE!</v>
      </c>
      <c r="J3414" t="str">
        <f>MAIN!A3419&amp;"B"</f>
        <v>B</v>
      </c>
      <c r="K3414" s="12" t="e">
        <f t="shared" si="215"/>
        <v>#VALUE!</v>
      </c>
      <c r="L3414" t="str">
        <f>MAIN!C3419</f>
        <v/>
      </c>
    </row>
    <row r="3415" spans="1:12" x14ac:dyDescent="0.3">
      <c r="A3415">
        <f>IF(J3415="0",0,IF(COUNTIF($J$2:J3415,J3415)=1,1,0))</f>
        <v>0</v>
      </c>
      <c r="B3415" s="12" t="e">
        <f>MID(MAIN!A3420,K3415,2)</f>
        <v>#VALUE!</v>
      </c>
      <c r="C3415" s="12" t="e">
        <f t="shared" si="212"/>
        <v>#VALUE!</v>
      </c>
      <c r="D3415" s="12" t="e">
        <f>MID(MAIN!A3420,K3415+2,2)</f>
        <v>#VALUE!</v>
      </c>
      <c r="E3415" s="12" t="e">
        <f>MID(MAIN!A3420,K3415+4,2)</f>
        <v>#VALUE!</v>
      </c>
      <c r="F3415" s="2" t="e">
        <f t="shared" si="213"/>
        <v>#VALUE!</v>
      </c>
      <c r="G3415" s="13" t="e">
        <f t="shared" si="214"/>
        <v>#VALUE!</v>
      </c>
      <c r="J3415" t="str">
        <f>MAIN!A3420&amp;"B"</f>
        <v>B</v>
      </c>
      <c r="K3415" s="12" t="e">
        <f t="shared" si="215"/>
        <v>#VALUE!</v>
      </c>
      <c r="L3415" t="str">
        <f>MAIN!C3420</f>
        <v/>
      </c>
    </row>
    <row r="3416" spans="1:12" x14ac:dyDescent="0.3">
      <c r="A3416">
        <f>IF(J3416="0",0,IF(COUNTIF($J$2:J3416,J3416)=1,1,0))</f>
        <v>0</v>
      </c>
      <c r="B3416" s="12" t="e">
        <f>MID(MAIN!A3421,K3416,2)</f>
        <v>#VALUE!</v>
      </c>
      <c r="C3416" s="12" t="e">
        <f t="shared" si="212"/>
        <v>#VALUE!</v>
      </c>
      <c r="D3416" s="12" t="e">
        <f>MID(MAIN!A3421,K3416+2,2)</f>
        <v>#VALUE!</v>
      </c>
      <c r="E3416" s="12" t="e">
        <f>MID(MAIN!A3421,K3416+4,2)</f>
        <v>#VALUE!</v>
      </c>
      <c r="F3416" s="2" t="e">
        <f t="shared" si="213"/>
        <v>#VALUE!</v>
      </c>
      <c r="G3416" s="13" t="e">
        <f t="shared" si="214"/>
        <v>#VALUE!</v>
      </c>
      <c r="J3416" t="str">
        <f>MAIN!A3421&amp;"B"</f>
        <v>B</v>
      </c>
      <c r="K3416" s="12" t="e">
        <f t="shared" si="215"/>
        <v>#VALUE!</v>
      </c>
      <c r="L3416" t="str">
        <f>MAIN!C3421</f>
        <v/>
      </c>
    </row>
    <row r="3417" spans="1:12" x14ac:dyDescent="0.3">
      <c r="A3417">
        <f>IF(J3417="0",0,IF(COUNTIF($J$2:J3417,J3417)=1,1,0))</f>
        <v>0</v>
      </c>
      <c r="B3417" s="12" t="e">
        <f>MID(MAIN!A3422,K3417,2)</f>
        <v>#VALUE!</v>
      </c>
      <c r="C3417" s="12" t="e">
        <f t="shared" si="212"/>
        <v>#VALUE!</v>
      </c>
      <c r="D3417" s="12" t="e">
        <f>MID(MAIN!A3422,K3417+2,2)</f>
        <v>#VALUE!</v>
      </c>
      <c r="E3417" s="12" t="e">
        <f>MID(MAIN!A3422,K3417+4,2)</f>
        <v>#VALUE!</v>
      </c>
      <c r="F3417" s="2" t="e">
        <f t="shared" si="213"/>
        <v>#VALUE!</v>
      </c>
      <c r="G3417" s="13" t="e">
        <f t="shared" si="214"/>
        <v>#VALUE!</v>
      </c>
      <c r="J3417" t="str">
        <f>MAIN!A3422&amp;"B"</f>
        <v>B</v>
      </c>
      <c r="K3417" s="12" t="e">
        <f t="shared" si="215"/>
        <v>#VALUE!</v>
      </c>
      <c r="L3417" t="str">
        <f>MAIN!C3422</f>
        <v/>
      </c>
    </row>
    <row r="3418" spans="1:12" x14ac:dyDescent="0.3">
      <c r="A3418">
        <f>IF(J3418="0",0,IF(COUNTIF($J$2:J3418,J3418)=1,1,0))</f>
        <v>0</v>
      </c>
      <c r="B3418" s="12" t="e">
        <f>MID(MAIN!A3423,K3418,2)</f>
        <v>#VALUE!</v>
      </c>
      <c r="C3418" s="12" t="e">
        <f t="shared" si="212"/>
        <v>#VALUE!</v>
      </c>
      <c r="D3418" s="12" t="e">
        <f>MID(MAIN!A3423,K3418+2,2)</f>
        <v>#VALUE!</v>
      </c>
      <c r="E3418" s="12" t="e">
        <f>MID(MAIN!A3423,K3418+4,2)</f>
        <v>#VALUE!</v>
      </c>
      <c r="F3418" s="2" t="e">
        <f t="shared" si="213"/>
        <v>#VALUE!</v>
      </c>
      <c r="G3418" s="13" t="e">
        <f t="shared" si="214"/>
        <v>#VALUE!</v>
      </c>
      <c r="J3418" t="str">
        <f>MAIN!A3423&amp;"B"</f>
        <v>B</v>
      </c>
      <c r="K3418" s="12" t="e">
        <f t="shared" si="215"/>
        <v>#VALUE!</v>
      </c>
      <c r="L3418" t="str">
        <f>MAIN!C3423</f>
        <v/>
      </c>
    </row>
    <row r="3419" spans="1:12" x14ac:dyDescent="0.3">
      <c r="A3419">
        <f>IF(J3419="0",0,IF(COUNTIF($J$2:J3419,J3419)=1,1,0))</f>
        <v>0</v>
      </c>
      <c r="B3419" s="12" t="e">
        <f>MID(MAIN!A3424,K3419,2)</f>
        <v>#VALUE!</v>
      </c>
      <c r="C3419" s="12" t="e">
        <f t="shared" si="212"/>
        <v>#VALUE!</v>
      </c>
      <c r="D3419" s="12" t="e">
        <f>MID(MAIN!A3424,K3419+2,2)</f>
        <v>#VALUE!</v>
      </c>
      <c r="E3419" s="12" t="e">
        <f>MID(MAIN!A3424,K3419+4,2)</f>
        <v>#VALUE!</v>
      </c>
      <c r="F3419" s="2" t="e">
        <f t="shared" si="213"/>
        <v>#VALUE!</v>
      </c>
      <c r="G3419" s="13" t="e">
        <f t="shared" si="214"/>
        <v>#VALUE!</v>
      </c>
      <c r="J3419" t="str">
        <f>MAIN!A3424&amp;"B"</f>
        <v>B</v>
      </c>
      <c r="K3419" s="12" t="e">
        <f t="shared" si="215"/>
        <v>#VALUE!</v>
      </c>
      <c r="L3419" t="str">
        <f>MAIN!C3424</f>
        <v/>
      </c>
    </row>
    <row r="3420" spans="1:12" x14ac:dyDescent="0.3">
      <c r="A3420">
        <f>IF(J3420="0",0,IF(COUNTIF($J$2:J3420,J3420)=1,1,0))</f>
        <v>0</v>
      </c>
      <c r="B3420" s="12" t="e">
        <f>MID(MAIN!A3425,K3420,2)</f>
        <v>#VALUE!</v>
      </c>
      <c r="C3420" s="12" t="e">
        <f t="shared" si="212"/>
        <v>#VALUE!</v>
      </c>
      <c r="D3420" s="12" t="e">
        <f>MID(MAIN!A3425,K3420+2,2)</f>
        <v>#VALUE!</v>
      </c>
      <c r="E3420" s="12" t="e">
        <f>MID(MAIN!A3425,K3420+4,2)</f>
        <v>#VALUE!</v>
      </c>
      <c r="F3420" s="2" t="e">
        <f t="shared" si="213"/>
        <v>#VALUE!</v>
      </c>
      <c r="G3420" s="13" t="e">
        <f t="shared" si="214"/>
        <v>#VALUE!</v>
      </c>
      <c r="J3420" t="str">
        <f>MAIN!A3425&amp;"B"</f>
        <v>B</v>
      </c>
      <c r="K3420" s="12" t="e">
        <f t="shared" si="215"/>
        <v>#VALUE!</v>
      </c>
      <c r="L3420" t="str">
        <f>MAIN!C3425</f>
        <v/>
      </c>
    </row>
    <row r="3421" spans="1:12" x14ac:dyDescent="0.3">
      <c r="A3421">
        <f>IF(J3421="0",0,IF(COUNTIF($J$2:J3421,J3421)=1,1,0))</f>
        <v>0</v>
      </c>
      <c r="B3421" s="12" t="e">
        <f>MID(MAIN!A3426,K3421,2)</f>
        <v>#VALUE!</v>
      </c>
      <c r="C3421" s="12" t="e">
        <f t="shared" si="212"/>
        <v>#VALUE!</v>
      </c>
      <c r="D3421" s="12" t="e">
        <f>MID(MAIN!A3426,K3421+2,2)</f>
        <v>#VALUE!</v>
      </c>
      <c r="E3421" s="12" t="e">
        <f>MID(MAIN!A3426,K3421+4,2)</f>
        <v>#VALUE!</v>
      </c>
      <c r="F3421" s="2" t="e">
        <f t="shared" si="213"/>
        <v>#VALUE!</v>
      </c>
      <c r="G3421" s="13" t="e">
        <f t="shared" si="214"/>
        <v>#VALUE!</v>
      </c>
      <c r="J3421" t="str">
        <f>MAIN!A3426&amp;"B"</f>
        <v>B</v>
      </c>
      <c r="K3421" s="12" t="e">
        <f t="shared" si="215"/>
        <v>#VALUE!</v>
      </c>
      <c r="L3421" t="str">
        <f>MAIN!C3426</f>
        <v/>
      </c>
    </row>
    <row r="3422" spans="1:12" x14ac:dyDescent="0.3">
      <c r="A3422">
        <f>IF(J3422="0",0,IF(COUNTIF($J$2:J3422,J3422)=1,1,0))</f>
        <v>0</v>
      </c>
      <c r="B3422" s="12" t="e">
        <f>MID(MAIN!A3427,K3422,2)</f>
        <v>#VALUE!</v>
      </c>
      <c r="C3422" s="12" t="e">
        <f t="shared" si="212"/>
        <v>#VALUE!</v>
      </c>
      <c r="D3422" s="12" t="e">
        <f>MID(MAIN!A3427,K3422+2,2)</f>
        <v>#VALUE!</v>
      </c>
      <c r="E3422" s="12" t="e">
        <f>MID(MAIN!A3427,K3422+4,2)</f>
        <v>#VALUE!</v>
      </c>
      <c r="F3422" s="2" t="e">
        <f t="shared" si="213"/>
        <v>#VALUE!</v>
      </c>
      <c r="G3422" s="13" t="e">
        <f t="shared" si="214"/>
        <v>#VALUE!</v>
      </c>
      <c r="J3422" t="str">
        <f>MAIN!A3427&amp;"B"</f>
        <v>B</v>
      </c>
      <c r="K3422" s="12" t="e">
        <f t="shared" si="215"/>
        <v>#VALUE!</v>
      </c>
      <c r="L3422" t="str">
        <f>MAIN!C3427</f>
        <v/>
      </c>
    </row>
    <row r="3423" spans="1:12" x14ac:dyDescent="0.3">
      <c r="A3423">
        <f>IF(J3423="0",0,IF(COUNTIF($J$2:J3423,J3423)=1,1,0))</f>
        <v>0</v>
      </c>
      <c r="B3423" s="12" t="e">
        <f>MID(MAIN!A3428,K3423,2)</f>
        <v>#VALUE!</v>
      </c>
      <c r="C3423" s="12" t="e">
        <f t="shared" si="212"/>
        <v>#VALUE!</v>
      </c>
      <c r="D3423" s="12" t="e">
        <f>MID(MAIN!A3428,K3423+2,2)</f>
        <v>#VALUE!</v>
      </c>
      <c r="E3423" s="12" t="e">
        <f>MID(MAIN!A3428,K3423+4,2)</f>
        <v>#VALUE!</v>
      </c>
      <c r="F3423" s="2" t="e">
        <f t="shared" si="213"/>
        <v>#VALUE!</v>
      </c>
      <c r="G3423" s="13" t="e">
        <f t="shared" si="214"/>
        <v>#VALUE!</v>
      </c>
      <c r="J3423" t="str">
        <f>MAIN!A3428&amp;"B"</f>
        <v>B</v>
      </c>
      <c r="K3423" s="12" t="e">
        <f t="shared" si="215"/>
        <v>#VALUE!</v>
      </c>
      <c r="L3423" t="str">
        <f>MAIN!C3428</f>
        <v/>
      </c>
    </row>
    <row r="3424" spans="1:12" x14ac:dyDescent="0.3">
      <c r="A3424">
        <f>IF(J3424="0",0,IF(COUNTIF($J$2:J3424,J3424)=1,1,0))</f>
        <v>0</v>
      </c>
      <c r="B3424" s="12" t="e">
        <f>MID(MAIN!A3429,K3424,2)</f>
        <v>#VALUE!</v>
      </c>
      <c r="C3424" s="12" t="e">
        <f t="shared" si="212"/>
        <v>#VALUE!</v>
      </c>
      <c r="D3424" s="12" t="e">
        <f>MID(MAIN!A3429,K3424+2,2)</f>
        <v>#VALUE!</v>
      </c>
      <c r="E3424" s="12" t="e">
        <f>MID(MAIN!A3429,K3424+4,2)</f>
        <v>#VALUE!</v>
      </c>
      <c r="F3424" s="2" t="e">
        <f t="shared" si="213"/>
        <v>#VALUE!</v>
      </c>
      <c r="G3424" s="13" t="e">
        <f t="shared" si="214"/>
        <v>#VALUE!</v>
      </c>
      <c r="J3424" t="str">
        <f>MAIN!A3429&amp;"B"</f>
        <v>B</v>
      </c>
      <c r="K3424" s="12" t="e">
        <f t="shared" si="215"/>
        <v>#VALUE!</v>
      </c>
      <c r="L3424" t="str">
        <f>MAIN!C3429</f>
        <v/>
      </c>
    </row>
    <row r="3425" spans="1:12" x14ac:dyDescent="0.3">
      <c r="A3425">
        <f>IF(J3425="0",0,IF(COUNTIF($J$2:J3425,J3425)=1,1,0))</f>
        <v>0</v>
      </c>
      <c r="B3425" s="12" t="e">
        <f>MID(MAIN!A3430,K3425,2)</f>
        <v>#VALUE!</v>
      </c>
      <c r="C3425" s="12" t="e">
        <f t="shared" si="212"/>
        <v>#VALUE!</v>
      </c>
      <c r="D3425" s="12" t="e">
        <f>MID(MAIN!A3430,K3425+2,2)</f>
        <v>#VALUE!</v>
      </c>
      <c r="E3425" s="12" t="e">
        <f>MID(MAIN!A3430,K3425+4,2)</f>
        <v>#VALUE!</v>
      </c>
      <c r="F3425" s="2" t="e">
        <f t="shared" si="213"/>
        <v>#VALUE!</v>
      </c>
      <c r="G3425" s="13" t="e">
        <f t="shared" si="214"/>
        <v>#VALUE!</v>
      </c>
      <c r="J3425" t="str">
        <f>MAIN!A3430&amp;"B"</f>
        <v>B</v>
      </c>
      <c r="K3425" s="12" t="e">
        <f t="shared" si="215"/>
        <v>#VALUE!</v>
      </c>
      <c r="L3425" t="str">
        <f>MAIN!C3430</f>
        <v/>
      </c>
    </row>
    <row r="3426" spans="1:12" x14ac:dyDescent="0.3">
      <c r="A3426">
        <f>IF(J3426="0",0,IF(COUNTIF($J$2:J3426,J3426)=1,1,0))</f>
        <v>0</v>
      </c>
      <c r="B3426" s="12" t="e">
        <f>MID(MAIN!A3431,K3426,2)</f>
        <v>#VALUE!</v>
      </c>
      <c r="C3426" s="12" t="e">
        <f t="shared" si="212"/>
        <v>#VALUE!</v>
      </c>
      <c r="D3426" s="12" t="e">
        <f>MID(MAIN!A3431,K3426+2,2)</f>
        <v>#VALUE!</v>
      </c>
      <c r="E3426" s="12" t="e">
        <f>MID(MAIN!A3431,K3426+4,2)</f>
        <v>#VALUE!</v>
      </c>
      <c r="F3426" s="2" t="e">
        <f t="shared" si="213"/>
        <v>#VALUE!</v>
      </c>
      <c r="G3426" s="13" t="e">
        <f t="shared" si="214"/>
        <v>#VALUE!</v>
      </c>
      <c r="J3426" t="str">
        <f>MAIN!A3431&amp;"B"</f>
        <v>B</v>
      </c>
      <c r="K3426" s="12" t="e">
        <f t="shared" si="215"/>
        <v>#VALUE!</v>
      </c>
      <c r="L3426" t="str">
        <f>MAIN!C3431</f>
        <v/>
      </c>
    </row>
    <row r="3427" spans="1:12" x14ac:dyDescent="0.3">
      <c r="A3427">
        <f>IF(J3427="0",0,IF(COUNTIF($J$2:J3427,J3427)=1,1,0))</f>
        <v>0</v>
      </c>
      <c r="B3427" s="12" t="e">
        <f>MID(MAIN!A3432,K3427,2)</f>
        <v>#VALUE!</v>
      </c>
      <c r="C3427" s="12" t="e">
        <f t="shared" si="212"/>
        <v>#VALUE!</v>
      </c>
      <c r="D3427" s="12" t="e">
        <f>MID(MAIN!A3432,K3427+2,2)</f>
        <v>#VALUE!</v>
      </c>
      <c r="E3427" s="12" t="e">
        <f>MID(MAIN!A3432,K3427+4,2)</f>
        <v>#VALUE!</v>
      </c>
      <c r="F3427" s="2" t="e">
        <f t="shared" si="213"/>
        <v>#VALUE!</v>
      </c>
      <c r="G3427" s="13" t="e">
        <f t="shared" si="214"/>
        <v>#VALUE!</v>
      </c>
      <c r="J3427" t="str">
        <f>MAIN!A3432&amp;"B"</f>
        <v>B</v>
      </c>
      <c r="K3427" s="12" t="e">
        <f t="shared" si="215"/>
        <v>#VALUE!</v>
      </c>
      <c r="L3427" t="str">
        <f>MAIN!C3432</f>
        <v/>
      </c>
    </row>
    <row r="3428" spans="1:12" x14ac:dyDescent="0.3">
      <c r="A3428">
        <f>IF(J3428="0",0,IF(COUNTIF($J$2:J3428,J3428)=1,1,0))</f>
        <v>0</v>
      </c>
      <c r="B3428" s="12" t="e">
        <f>MID(MAIN!A3433,K3428,2)</f>
        <v>#VALUE!</v>
      </c>
      <c r="C3428" s="12" t="e">
        <f t="shared" si="212"/>
        <v>#VALUE!</v>
      </c>
      <c r="D3428" s="12" t="e">
        <f>MID(MAIN!A3433,K3428+2,2)</f>
        <v>#VALUE!</v>
      </c>
      <c r="E3428" s="12" t="e">
        <f>MID(MAIN!A3433,K3428+4,2)</f>
        <v>#VALUE!</v>
      </c>
      <c r="F3428" s="2" t="e">
        <f t="shared" si="213"/>
        <v>#VALUE!</v>
      </c>
      <c r="G3428" s="13" t="e">
        <f t="shared" si="214"/>
        <v>#VALUE!</v>
      </c>
      <c r="J3428" t="str">
        <f>MAIN!A3433&amp;"B"</f>
        <v>B</v>
      </c>
      <c r="K3428" s="12" t="e">
        <f t="shared" si="215"/>
        <v>#VALUE!</v>
      </c>
      <c r="L3428" t="str">
        <f>MAIN!C3433</f>
        <v/>
      </c>
    </row>
    <row r="3429" spans="1:12" x14ac:dyDescent="0.3">
      <c r="A3429">
        <f>IF(J3429="0",0,IF(COUNTIF($J$2:J3429,J3429)=1,1,0))</f>
        <v>0</v>
      </c>
      <c r="B3429" s="12" t="e">
        <f>MID(MAIN!A3434,K3429,2)</f>
        <v>#VALUE!</v>
      </c>
      <c r="C3429" s="12" t="e">
        <f t="shared" si="212"/>
        <v>#VALUE!</v>
      </c>
      <c r="D3429" s="12" t="e">
        <f>MID(MAIN!A3434,K3429+2,2)</f>
        <v>#VALUE!</v>
      </c>
      <c r="E3429" s="12" t="e">
        <f>MID(MAIN!A3434,K3429+4,2)</f>
        <v>#VALUE!</v>
      </c>
      <c r="F3429" s="2" t="e">
        <f t="shared" si="213"/>
        <v>#VALUE!</v>
      </c>
      <c r="G3429" s="13" t="e">
        <f t="shared" si="214"/>
        <v>#VALUE!</v>
      </c>
      <c r="J3429" t="str">
        <f>MAIN!A3434&amp;"B"</f>
        <v>B</v>
      </c>
      <c r="K3429" s="12" t="e">
        <f t="shared" si="215"/>
        <v>#VALUE!</v>
      </c>
      <c r="L3429" t="str">
        <f>MAIN!C3434</f>
        <v/>
      </c>
    </row>
    <row r="3430" spans="1:12" x14ac:dyDescent="0.3">
      <c r="A3430">
        <f>IF(J3430="0",0,IF(COUNTIF($J$2:J3430,J3430)=1,1,0))</f>
        <v>0</v>
      </c>
      <c r="B3430" s="12" t="e">
        <f>MID(MAIN!A3435,K3430,2)</f>
        <v>#VALUE!</v>
      </c>
      <c r="C3430" s="12" t="e">
        <f t="shared" si="212"/>
        <v>#VALUE!</v>
      </c>
      <c r="D3430" s="12" t="e">
        <f>MID(MAIN!A3435,K3430+2,2)</f>
        <v>#VALUE!</v>
      </c>
      <c r="E3430" s="12" t="e">
        <f>MID(MAIN!A3435,K3430+4,2)</f>
        <v>#VALUE!</v>
      </c>
      <c r="F3430" s="2" t="e">
        <f t="shared" si="213"/>
        <v>#VALUE!</v>
      </c>
      <c r="G3430" s="13" t="e">
        <f t="shared" si="214"/>
        <v>#VALUE!</v>
      </c>
      <c r="J3430" t="str">
        <f>MAIN!A3435&amp;"B"</f>
        <v>B</v>
      </c>
      <c r="K3430" s="12" t="e">
        <f t="shared" si="215"/>
        <v>#VALUE!</v>
      </c>
      <c r="L3430" t="str">
        <f>MAIN!C3435</f>
        <v/>
      </c>
    </row>
    <row r="3431" spans="1:12" x14ac:dyDescent="0.3">
      <c r="A3431">
        <f>IF(J3431="0",0,IF(COUNTIF($J$2:J3431,J3431)=1,1,0))</f>
        <v>0</v>
      </c>
      <c r="B3431" s="12" t="e">
        <f>MID(MAIN!A3436,K3431,2)</f>
        <v>#VALUE!</v>
      </c>
      <c r="C3431" s="12" t="e">
        <f t="shared" si="212"/>
        <v>#VALUE!</v>
      </c>
      <c r="D3431" s="12" t="e">
        <f>MID(MAIN!A3436,K3431+2,2)</f>
        <v>#VALUE!</v>
      </c>
      <c r="E3431" s="12" t="e">
        <f>MID(MAIN!A3436,K3431+4,2)</f>
        <v>#VALUE!</v>
      </c>
      <c r="F3431" s="2" t="e">
        <f t="shared" si="213"/>
        <v>#VALUE!</v>
      </c>
      <c r="G3431" s="13" t="e">
        <f t="shared" si="214"/>
        <v>#VALUE!</v>
      </c>
      <c r="J3431" t="str">
        <f>MAIN!A3436&amp;"B"</f>
        <v>B</v>
      </c>
      <c r="K3431" s="12" t="e">
        <f t="shared" si="215"/>
        <v>#VALUE!</v>
      </c>
      <c r="L3431" t="str">
        <f>MAIN!C3436</f>
        <v/>
      </c>
    </row>
    <row r="3432" spans="1:12" x14ac:dyDescent="0.3">
      <c r="A3432">
        <f>IF(J3432="0",0,IF(COUNTIF($J$2:J3432,J3432)=1,1,0))</f>
        <v>0</v>
      </c>
      <c r="B3432" s="12" t="e">
        <f>MID(MAIN!A3437,K3432,2)</f>
        <v>#VALUE!</v>
      </c>
      <c r="C3432" s="12" t="e">
        <f t="shared" si="212"/>
        <v>#VALUE!</v>
      </c>
      <c r="D3432" s="12" t="e">
        <f>MID(MAIN!A3437,K3432+2,2)</f>
        <v>#VALUE!</v>
      </c>
      <c r="E3432" s="12" t="e">
        <f>MID(MAIN!A3437,K3432+4,2)</f>
        <v>#VALUE!</v>
      </c>
      <c r="F3432" s="2" t="e">
        <f t="shared" si="213"/>
        <v>#VALUE!</v>
      </c>
      <c r="G3432" s="13" t="e">
        <f t="shared" si="214"/>
        <v>#VALUE!</v>
      </c>
      <c r="J3432" t="str">
        <f>MAIN!A3437&amp;"B"</f>
        <v>B</v>
      </c>
      <c r="K3432" s="12" t="e">
        <f t="shared" si="215"/>
        <v>#VALUE!</v>
      </c>
      <c r="L3432" t="str">
        <f>MAIN!C3437</f>
        <v/>
      </c>
    </row>
    <row r="3433" spans="1:12" x14ac:dyDescent="0.3">
      <c r="A3433">
        <f>IF(J3433="0",0,IF(COUNTIF($J$2:J3433,J3433)=1,1,0))</f>
        <v>0</v>
      </c>
      <c r="B3433" s="12" t="e">
        <f>MID(MAIN!A3438,K3433,2)</f>
        <v>#VALUE!</v>
      </c>
      <c r="C3433" s="12" t="e">
        <f t="shared" si="212"/>
        <v>#VALUE!</v>
      </c>
      <c r="D3433" s="12" t="e">
        <f>MID(MAIN!A3438,K3433+2,2)</f>
        <v>#VALUE!</v>
      </c>
      <c r="E3433" s="12" t="e">
        <f>MID(MAIN!A3438,K3433+4,2)</f>
        <v>#VALUE!</v>
      </c>
      <c r="F3433" s="2" t="e">
        <f t="shared" si="213"/>
        <v>#VALUE!</v>
      </c>
      <c r="G3433" s="13" t="e">
        <f t="shared" si="214"/>
        <v>#VALUE!</v>
      </c>
      <c r="J3433" t="str">
        <f>MAIN!A3438&amp;"B"</f>
        <v>B</v>
      </c>
      <c r="K3433" s="12" t="e">
        <f t="shared" si="215"/>
        <v>#VALUE!</v>
      </c>
      <c r="L3433" t="str">
        <f>MAIN!C3438</f>
        <v/>
      </c>
    </row>
    <row r="3434" spans="1:12" x14ac:dyDescent="0.3">
      <c r="A3434">
        <f>IF(J3434="0",0,IF(COUNTIF($J$2:J3434,J3434)=1,1,0))</f>
        <v>0</v>
      </c>
      <c r="B3434" s="12" t="e">
        <f>MID(MAIN!A3439,K3434,2)</f>
        <v>#VALUE!</v>
      </c>
      <c r="C3434" s="12" t="e">
        <f t="shared" si="212"/>
        <v>#VALUE!</v>
      </c>
      <c r="D3434" s="12" t="e">
        <f>MID(MAIN!A3439,K3434+2,2)</f>
        <v>#VALUE!</v>
      </c>
      <c r="E3434" s="12" t="e">
        <f>MID(MAIN!A3439,K3434+4,2)</f>
        <v>#VALUE!</v>
      </c>
      <c r="F3434" s="2" t="e">
        <f t="shared" si="213"/>
        <v>#VALUE!</v>
      </c>
      <c r="G3434" s="13" t="e">
        <f t="shared" si="214"/>
        <v>#VALUE!</v>
      </c>
      <c r="J3434" t="str">
        <f>MAIN!A3439&amp;"B"</f>
        <v>B</v>
      </c>
      <c r="K3434" s="12" t="e">
        <f t="shared" si="215"/>
        <v>#VALUE!</v>
      </c>
      <c r="L3434" t="str">
        <f>MAIN!C3439</f>
        <v/>
      </c>
    </row>
    <row r="3435" spans="1:12" x14ac:dyDescent="0.3">
      <c r="A3435">
        <f>IF(J3435="0",0,IF(COUNTIF($J$2:J3435,J3435)=1,1,0))</f>
        <v>0</v>
      </c>
      <c r="B3435" s="12" t="e">
        <f>MID(MAIN!A3440,K3435,2)</f>
        <v>#VALUE!</v>
      </c>
      <c r="C3435" s="12" t="e">
        <f t="shared" si="212"/>
        <v>#VALUE!</v>
      </c>
      <c r="D3435" s="12" t="e">
        <f>MID(MAIN!A3440,K3435+2,2)</f>
        <v>#VALUE!</v>
      </c>
      <c r="E3435" s="12" t="e">
        <f>MID(MAIN!A3440,K3435+4,2)</f>
        <v>#VALUE!</v>
      </c>
      <c r="F3435" s="2" t="e">
        <f t="shared" si="213"/>
        <v>#VALUE!</v>
      </c>
      <c r="G3435" s="13" t="e">
        <f t="shared" si="214"/>
        <v>#VALUE!</v>
      </c>
      <c r="J3435" t="str">
        <f>MAIN!A3440&amp;"B"</f>
        <v>B</v>
      </c>
      <c r="K3435" s="12" t="e">
        <f t="shared" si="215"/>
        <v>#VALUE!</v>
      </c>
      <c r="L3435" t="str">
        <f>MAIN!C3440</f>
        <v/>
      </c>
    </row>
    <row r="3436" spans="1:12" x14ac:dyDescent="0.3">
      <c r="A3436">
        <f>IF(J3436="0",0,IF(COUNTIF($J$2:J3436,J3436)=1,1,0))</f>
        <v>0</v>
      </c>
      <c r="B3436" s="12" t="e">
        <f>MID(MAIN!A3441,K3436,2)</f>
        <v>#VALUE!</v>
      </c>
      <c r="C3436" s="12" t="e">
        <f t="shared" si="212"/>
        <v>#VALUE!</v>
      </c>
      <c r="D3436" s="12" t="e">
        <f>MID(MAIN!A3441,K3436+2,2)</f>
        <v>#VALUE!</v>
      </c>
      <c r="E3436" s="12" t="e">
        <f>MID(MAIN!A3441,K3436+4,2)</f>
        <v>#VALUE!</v>
      </c>
      <c r="F3436" s="2" t="e">
        <f t="shared" si="213"/>
        <v>#VALUE!</v>
      </c>
      <c r="G3436" s="13" t="e">
        <f t="shared" si="214"/>
        <v>#VALUE!</v>
      </c>
      <c r="J3436" t="str">
        <f>MAIN!A3441&amp;"B"</f>
        <v>B</v>
      </c>
      <c r="K3436" s="12" t="e">
        <f t="shared" si="215"/>
        <v>#VALUE!</v>
      </c>
      <c r="L3436" t="str">
        <f>MAIN!C3441</f>
        <v/>
      </c>
    </row>
    <row r="3437" spans="1:12" x14ac:dyDescent="0.3">
      <c r="A3437">
        <f>IF(J3437="0",0,IF(COUNTIF($J$2:J3437,J3437)=1,1,0))</f>
        <v>0</v>
      </c>
      <c r="B3437" s="12" t="e">
        <f>MID(MAIN!A3442,K3437,2)</f>
        <v>#VALUE!</v>
      </c>
      <c r="C3437" s="12" t="e">
        <f t="shared" si="212"/>
        <v>#VALUE!</v>
      </c>
      <c r="D3437" s="12" t="e">
        <f>MID(MAIN!A3442,K3437+2,2)</f>
        <v>#VALUE!</v>
      </c>
      <c r="E3437" s="12" t="e">
        <f>MID(MAIN!A3442,K3437+4,2)</f>
        <v>#VALUE!</v>
      </c>
      <c r="F3437" s="2" t="e">
        <f t="shared" si="213"/>
        <v>#VALUE!</v>
      </c>
      <c r="G3437" s="13" t="e">
        <f t="shared" si="214"/>
        <v>#VALUE!</v>
      </c>
      <c r="J3437" t="str">
        <f>MAIN!A3442&amp;"B"</f>
        <v>B</v>
      </c>
      <c r="K3437" s="12" t="e">
        <f t="shared" si="215"/>
        <v>#VALUE!</v>
      </c>
      <c r="L3437" t="str">
        <f>MAIN!C3442</f>
        <v/>
      </c>
    </row>
    <row r="3438" spans="1:12" x14ac:dyDescent="0.3">
      <c r="A3438">
        <f>IF(J3438="0",0,IF(COUNTIF($J$2:J3438,J3438)=1,1,0))</f>
        <v>0</v>
      </c>
      <c r="B3438" s="12" t="e">
        <f>MID(MAIN!A3443,K3438,2)</f>
        <v>#VALUE!</v>
      </c>
      <c r="C3438" s="12" t="e">
        <f t="shared" si="212"/>
        <v>#VALUE!</v>
      </c>
      <c r="D3438" s="12" t="e">
        <f>MID(MAIN!A3443,K3438+2,2)</f>
        <v>#VALUE!</v>
      </c>
      <c r="E3438" s="12" t="e">
        <f>MID(MAIN!A3443,K3438+4,2)</f>
        <v>#VALUE!</v>
      </c>
      <c r="F3438" s="2" t="e">
        <f t="shared" si="213"/>
        <v>#VALUE!</v>
      </c>
      <c r="G3438" s="13" t="e">
        <f t="shared" si="214"/>
        <v>#VALUE!</v>
      </c>
      <c r="J3438" t="str">
        <f>MAIN!A3443&amp;"B"</f>
        <v>B</v>
      </c>
      <c r="K3438" s="12" t="e">
        <f t="shared" si="215"/>
        <v>#VALUE!</v>
      </c>
      <c r="L3438" t="str">
        <f>MAIN!C3443</f>
        <v/>
      </c>
    </row>
    <row r="3439" spans="1:12" x14ac:dyDescent="0.3">
      <c r="A3439">
        <f>IF(J3439="0",0,IF(COUNTIF($J$2:J3439,J3439)=1,1,0))</f>
        <v>0</v>
      </c>
      <c r="B3439" s="12" t="e">
        <f>MID(MAIN!A3444,K3439,2)</f>
        <v>#VALUE!</v>
      </c>
      <c r="C3439" s="12" t="e">
        <f t="shared" si="212"/>
        <v>#VALUE!</v>
      </c>
      <c r="D3439" s="12" t="e">
        <f>MID(MAIN!A3444,K3439+2,2)</f>
        <v>#VALUE!</v>
      </c>
      <c r="E3439" s="12" t="e">
        <f>MID(MAIN!A3444,K3439+4,2)</f>
        <v>#VALUE!</v>
      </c>
      <c r="F3439" s="2" t="e">
        <f t="shared" si="213"/>
        <v>#VALUE!</v>
      </c>
      <c r="G3439" s="13" t="e">
        <f t="shared" si="214"/>
        <v>#VALUE!</v>
      </c>
      <c r="J3439" t="str">
        <f>MAIN!A3444&amp;"B"</f>
        <v>B</v>
      </c>
      <c r="K3439" s="12" t="e">
        <f t="shared" si="215"/>
        <v>#VALUE!</v>
      </c>
      <c r="L3439" t="str">
        <f>MAIN!C3444</f>
        <v/>
      </c>
    </row>
    <row r="3440" spans="1:12" x14ac:dyDescent="0.3">
      <c r="A3440">
        <f>IF(J3440="0",0,IF(COUNTIF($J$2:J3440,J3440)=1,1,0))</f>
        <v>0</v>
      </c>
      <c r="B3440" s="12" t="e">
        <f>MID(MAIN!A3445,K3440,2)</f>
        <v>#VALUE!</v>
      </c>
      <c r="C3440" s="12" t="e">
        <f t="shared" si="212"/>
        <v>#VALUE!</v>
      </c>
      <c r="D3440" s="12" t="e">
        <f>MID(MAIN!A3445,K3440+2,2)</f>
        <v>#VALUE!</v>
      </c>
      <c r="E3440" s="12" t="e">
        <f>MID(MAIN!A3445,K3440+4,2)</f>
        <v>#VALUE!</v>
      </c>
      <c r="F3440" s="2" t="e">
        <f t="shared" si="213"/>
        <v>#VALUE!</v>
      </c>
      <c r="G3440" s="13" t="e">
        <f t="shared" si="214"/>
        <v>#VALUE!</v>
      </c>
      <c r="J3440" t="str">
        <f>MAIN!A3445&amp;"B"</f>
        <v>B</v>
      </c>
      <c r="K3440" s="12" t="e">
        <f t="shared" si="215"/>
        <v>#VALUE!</v>
      </c>
      <c r="L3440" t="str">
        <f>MAIN!C3445</f>
        <v/>
      </c>
    </row>
    <row r="3441" spans="1:12" x14ac:dyDescent="0.3">
      <c r="A3441">
        <f>IF(J3441="0",0,IF(COUNTIF($J$2:J3441,J3441)=1,1,0))</f>
        <v>0</v>
      </c>
      <c r="B3441" s="12" t="e">
        <f>MID(MAIN!A3446,K3441,2)</f>
        <v>#VALUE!</v>
      </c>
      <c r="C3441" s="12" t="e">
        <f t="shared" si="212"/>
        <v>#VALUE!</v>
      </c>
      <c r="D3441" s="12" t="e">
        <f>MID(MAIN!A3446,K3441+2,2)</f>
        <v>#VALUE!</v>
      </c>
      <c r="E3441" s="12" t="e">
        <f>MID(MAIN!A3446,K3441+4,2)</f>
        <v>#VALUE!</v>
      </c>
      <c r="F3441" s="2" t="e">
        <f t="shared" si="213"/>
        <v>#VALUE!</v>
      </c>
      <c r="G3441" s="13" t="e">
        <f t="shared" si="214"/>
        <v>#VALUE!</v>
      </c>
      <c r="J3441" t="str">
        <f>MAIN!A3446&amp;"B"</f>
        <v>B</v>
      </c>
      <c r="K3441" s="12" t="e">
        <f t="shared" si="215"/>
        <v>#VALUE!</v>
      </c>
      <c r="L3441" t="str">
        <f>MAIN!C3446</f>
        <v/>
      </c>
    </row>
    <row r="3442" spans="1:12" x14ac:dyDescent="0.3">
      <c r="A3442">
        <f>IF(J3442="0",0,IF(COUNTIF($J$2:J3442,J3442)=1,1,0))</f>
        <v>0</v>
      </c>
      <c r="B3442" s="12" t="e">
        <f>MID(MAIN!A3447,K3442,2)</f>
        <v>#VALUE!</v>
      </c>
      <c r="C3442" s="12" t="e">
        <f t="shared" si="212"/>
        <v>#VALUE!</v>
      </c>
      <c r="D3442" s="12" t="e">
        <f>MID(MAIN!A3447,K3442+2,2)</f>
        <v>#VALUE!</v>
      </c>
      <c r="E3442" s="12" t="e">
        <f>MID(MAIN!A3447,K3442+4,2)</f>
        <v>#VALUE!</v>
      </c>
      <c r="F3442" s="2" t="e">
        <f t="shared" si="213"/>
        <v>#VALUE!</v>
      </c>
      <c r="G3442" s="13" t="e">
        <f t="shared" si="214"/>
        <v>#VALUE!</v>
      </c>
      <c r="J3442" t="str">
        <f>MAIN!A3447&amp;"B"</f>
        <v>B</v>
      </c>
      <c r="K3442" s="12" t="e">
        <f t="shared" si="215"/>
        <v>#VALUE!</v>
      </c>
      <c r="L3442" t="str">
        <f>MAIN!C3447</f>
        <v/>
      </c>
    </row>
    <row r="3443" spans="1:12" x14ac:dyDescent="0.3">
      <c r="A3443">
        <f>IF(J3443="0",0,IF(COUNTIF($J$2:J3443,J3443)=1,1,0))</f>
        <v>0</v>
      </c>
      <c r="B3443" s="12" t="e">
        <f>MID(MAIN!A3448,K3443,2)</f>
        <v>#VALUE!</v>
      </c>
      <c r="C3443" s="12" t="e">
        <f t="shared" si="212"/>
        <v>#VALUE!</v>
      </c>
      <c r="D3443" s="12" t="e">
        <f>MID(MAIN!A3448,K3443+2,2)</f>
        <v>#VALUE!</v>
      </c>
      <c r="E3443" s="12" t="e">
        <f>MID(MAIN!A3448,K3443+4,2)</f>
        <v>#VALUE!</v>
      </c>
      <c r="F3443" s="2" t="e">
        <f t="shared" si="213"/>
        <v>#VALUE!</v>
      </c>
      <c r="G3443" s="13" t="e">
        <f t="shared" si="214"/>
        <v>#VALUE!</v>
      </c>
      <c r="J3443" t="str">
        <f>MAIN!A3448&amp;"B"</f>
        <v>B</v>
      </c>
      <c r="K3443" s="12" t="e">
        <f t="shared" si="215"/>
        <v>#VALUE!</v>
      </c>
      <c r="L3443" t="str">
        <f>MAIN!C3448</f>
        <v/>
      </c>
    </row>
    <row r="3444" spans="1:12" x14ac:dyDescent="0.3">
      <c r="A3444">
        <f>IF(J3444="0",0,IF(COUNTIF($J$2:J3444,J3444)=1,1,0))</f>
        <v>0</v>
      </c>
      <c r="B3444" s="12" t="e">
        <f>MID(MAIN!A3449,K3444,2)</f>
        <v>#VALUE!</v>
      </c>
      <c r="C3444" s="12" t="e">
        <f t="shared" si="212"/>
        <v>#VALUE!</v>
      </c>
      <c r="D3444" s="12" t="e">
        <f>MID(MAIN!A3449,K3444+2,2)</f>
        <v>#VALUE!</v>
      </c>
      <c r="E3444" s="12" t="e">
        <f>MID(MAIN!A3449,K3444+4,2)</f>
        <v>#VALUE!</v>
      </c>
      <c r="F3444" s="2" t="e">
        <f t="shared" si="213"/>
        <v>#VALUE!</v>
      </c>
      <c r="G3444" s="13" t="e">
        <f t="shared" si="214"/>
        <v>#VALUE!</v>
      </c>
      <c r="J3444" t="str">
        <f>MAIN!A3449&amp;"B"</f>
        <v>B</v>
      </c>
      <c r="K3444" s="12" t="e">
        <f t="shared" si="215"/>
        <v>#VALUE!</v>
      </c>
      <c r="L3444" t="str">
        <f>MAIN!C3449</f>
        <v/>
      </c>
    </row>
    <row r="3445" spans="1:12" x14ac:dyDescent="0.3">
      <c r="A3445">
        <f>IF(J3445="0",0,IF(COUNTIF($J$2:J3445,J3445)=1,1,0))</f>
        <v>0</v>
      </c>
      <c r="B3445" s="12" t="e">
        <f>MID(MAIN!A3450,K3445,2)</f>
        <v>#VALUE!</v>
      </c>
      <c r="C3445" s="12" t="e">
        <f t="shared" si="212"/>
        <v>#VALUE!</v>
      </c>
      <c r="D3445" s="12" t="e">
        <f>MID(MAIN!A3450,K3445+2,2)</f>
        <v>#VALUE!</v>
      </c>
      <c r="E3445" s="12" t="e">
        <f>MID(MAIN!A3450,K3445+4,2)</f>
        <v>#VALUE!</v>
      </c>
      <c r="F3445" s="2" t="e">
        <f t="shared" si="213"/>
        <v>#VALUE!</v>
      </c>
      <c r="G3445" s="13" t="e">
        <f t="shared" si="214"/>
        <v>#VALUE!</v>
      </c>
      <c r="J3445" t="str">
        <f>MAIN!A3450&amp;"B"</f>
        <v>B</v>
      </c>
      <c r="K3445" s="12" t="e">
        <f t="shared" si="215"/>
        <v>#VALUE!</v>
      </c>
      <c r="L3445" t="str">
        <f>MAIN!C3450</f>
        <v/>
      </c>
    </row>
    <row r="3446" spans="1:12" x14ac:dyDescent="0.3">
      <c r="A3446">
        <f>IF(J3446="0",0,IF(COUNTIF($J$2:J3446,J3446)=1,1,0))</f>
        <v>0</v>
      </c>
      <c r="B3446" s="12" t="e">
        <f>MID(MAIN!A3451,K3446,2)</f>
        <v>#VALUE!</v>
      </c>
      <c r="C3446" s="12" t="e">
        <f t="shared" si="212"/>
        <v>#VALUE!</v>
      </c>
      <c r="D3446" s="12" t="e">
        <f>MID(MAIN!A3451,K3446+2,2)</f>
        <v>#VALUE!</v>
      </c>
      <c r="E3446" s="12" t="e">
        <f>MID(MAIN!A3451,K3446+4,2)</f>
        <v>#VALUE!</v>
      </c>
      <c r="F3446" s="2" t="e">
        <f t="shared" si="213"/>
        <v>#VALUE!</v>
      </c>
      <c r="G3446" s="13" t="e">
        <f t="shared" si="214"/>
        <v>#VALUE!</v>
      </c>
      <c r="J3446" t="str">
        <f>MAIN!A3451&amp;"B"</f>
        <v>B</v>
      </c>
      <c r="K3446" s="12" t="e">
        <f t="shared" si="215"/>
        <v>#VALUE!</v>
      </c>
      <c r="L3446" t="str">
        <f>MAIN!C3451</f>
        <v/>
      </c>
    </row>
    <row r="3447" spans="1:12" x14ac:dyDescent="0.3">
      <c r="A3447">
        <f>IF(J3447="0",0,IF(COUNTIF($J$2:J3447,J3447)=1,1,0))</f>
        <v>0</v>
      </c>
      <c r="B3447" s="12" t="e">
        <f>MID(MAIN!A3452,K3447,2)</f>
        <v>#VALUE!</v>
      </c>
      <c r="C3447" s="12" t="e">
        <f t="shared" si="212"/>
        <v>#VALUE!</v>
      </c>
      <c r="D3447" s="12" t="e">
        <f>MID(MAIN!A3452,K3447+2,2)</f>
        <v>#VALUE!</v>
      </c>
      <c r="E3447" s="12" t="e">
        <f>MID(MAIN!A3452,K3447+4,2)</f>
        <v>#VALUE!</v>
      </c>
      <c r="F3447" s="2" t="e">
        <f t="shared" si="213"/>
        <v>#VALUE!</v>
      </c>
      <c r="G3447" s="13" t="e">
        <f t="shared" si="214"/>
        <v>#VALUE!</v>
      </c>
      <c r="J3447" t="str">
        <f>MAIN!A3452&amp;"B"</f>
        <v>B</v>
      </c>
      <c r="K3447" s="12" t="e">
        <f t="shared" si="215"/>
        <v>#VALUE!</v>
      </c>
      <c r="L3447" t="str">
        <f>MAIN!C3452</f>
        <v/>
      </c>
    </row>
    <row r="3448" spans="1:12" x14ac:dyDescent="0.3">
      <c r="A3448">
        <f>IF(J3448="0",0,IF(COUNTIF($J$2:J3448,J3448)=1,1,0))</f>
        <v>0</v>
      </c>
      <c r="B3448" s="12" t="e">
        <f>MID(MAIN!A3453,K3448,2)</f>
        <v>#VALUE!</v>
      </c>
      <c r="C3448" s="12" t="e">
        <f t="shared" si="212"/>
        <v>#VALUE!</v>
      </c>
      <c r="D3448" s="12" t="e">
        <f>MID(MAIN!A3453,K3448+2,2)</f>
        <v>#VALUE!</v>
      </c>
      <c r="E3448" s="12" t="e">
        <f>MID(MAIN!A3453,K3448+4,2)</f>
        <v>#VALUE!</v>
      </c>
      <c r="F3448" s="2" t="e">
        <f t="shared" si="213"/>
        <v>#VALUE!</v>
      </c>
      <c r="G3448" s="13" t="e">
        <f t="shared" si="214"/>
        <v>#VALUE!</v>
      </c>
      <c r="J3448" t="str">
        <f>MAIN!A3453&amp;"B"</f>
        <v>B</v>
      </c>
      <c r="K3448" s="12" t="e">
        <f t="shared" si="215"/>
        <v>#VALUE!</v>
      </c>
      <c r="L3448" t="str">
        <f>MAIN!C3453</f>
        <v/>
      </c>
    </row>
    <row r="3449" spans="1:12" x14ac:dyDescent="0.3">
      <c r="A3449">
        <f>IF(J3449="0",0,IF(COUNTIF($J$2:J3449,J3449)=1,1,0))</f>
        <v>0</v>
      </c>
      <c r="B3449" s="12" t="e">
        <f>MID(MAIN!A3454,K3449,2)</f>
        <v>#VALUE!</v>
      </c>
      <c r="C3449" s="12" t="e">
        <f t="shared" si="212"/>
        <v>#VALUE!</v>
      </c>
      <c r="D3449" s="12" t="e">
        <f>MID(MAIN!A3454,K3449+2,2)</f>
        <v>#VALUE!</v>
      </c>
      <c r="E3449" s="12" t="e">
        <f>MID(MAIN!A3454,K3449+4,2)</f>
        <v>#VALUE!</v>
      </c>
      <c r="F3449" s="2" t="e">
        <f t="shared" si="213"/>
        <v>#VALUE!</v>
      </c>
      <c r="G3449" s="13" t="e">
        <f t="shared" si="214"/>
        <v>#VALUE!</v>
      </c>
      <c r="J3449" t="str">
        <f>MAIN!A3454&amp;"B"</f>
        <v>B</v>
      </c>
      <c r="K3449" s="12" t="e">
        <f t="shared" si="215"/>
        <v>#VALUE!</v>
      </c>
      <c r="L3449" t="str">
        <f>MAIN!C3454</f>
        <v/>
      </c>
    </row>
    <row r="3450" spans="1:12" x14ac:dyDescent="0.3">
      <c r="A3450">
        <f>IF(J3450="0",0,IF(COUNTIF($J$2:J3450,J3450)=1,1,0))</f>
        <v>0</v>
      </c>
      <c r="B3450" s="12" t="e">
        <f>MID(MAIN!A3455,K3450,2)</f>
        <v>#VALUE!</v>
      </c>
      <c r="C3450" s="12" t="e">
        <f t="shared" si="212"/>
        <v>#VALUE!</v>
      </c>
      <c r="D3450" s="12" t="e">
        <f>MID(MAIN!A3455,K3450+2,2)</f>
        <v>#VALUE!</v>
      </c>
      <c r="E3450" s="12" t="e">
        <f>MID(MAIN!A3455,K3450+4,2)</f>
        <v>#VALUE!</v>
      </c>
      <c r="F3450" s="2" t="e">
        <f t="shared" si="213"/>
        <v>#VALUE!</v>
      </c>
      <c r="G3450" s="13" t="e">
        <f t="shared" si="214"/>
        <v>#VALUE!</v>
      </c>
      <c r="J3450" t="str">
        <f>MAIN!A3455&amp;"B"</f>
        <v>B</v>
      </c>
      <c r="K3450" s="12" t="e">
        <f t="shared" si="215"/>
        <v>#VALUE!</v>
      </c>
      <c r="L3450" t="str">
        <f>MAIN!C3455</f>
        <v/>
      </c>
    </row>
    <row r="3451" spans="1:12" x14ac:dyDescent="0.3">
      <c r="A3451">
        <f>IF(J3451="0",0,IF(COUNTIF($J$2:J3451,J3451)=1,1,0))</f>
        <v>0</v>
      </c>
      <c r="B3451" s="12" t="e">
        <f>MID(MAIN!A3456,K3451,2)</f>
        <v>#VALUE!</v>
      </c>
      <c r="C3451" s="12" t="e">
        <f t="shared" si="212"/>
        <v>#VALUE!</v>
      </c>
      <c r="D3451" s="12" t="e">
        <f>MID(MAIN!A3456,K3451+2,2)</f>
        <v>#VALUE!</v>
      </c>
      <c r="E3451" s="12" t="e">
        <f>MID(MAIN!A3456,K3451+4,2)</f>
        <v>#VALUE!</v>
      </c>
      <c r="F3451" s="2" t="e">
        <f t="shared" si="213"/>
        <v>#VALUE!</v>
      </c>
      <c r="G3451" s="13" t="e">
        <f t="shared" si="214"/>
        <v>#VALUE!</v>
      </c>
      <c r="J3451" t="str">
        <f>MAIN!A3456&amp;"B"</f>
        <v>B</v>
      </c>
      <c r="K3451" s="12" t="e">
        <f t="shared" si="215"/>
        <v>#VALUE!</v>
      </c>
      <c r="L3451" t="str">
        <f>MAIN!C3456</f>
        <v/>
      </c>
    </row>
    <row r="3452" spans="1:12" x14ac:dyDescent="0.3">
      <c r="A3452">
        <f>IF(J3452="0",0,IF(COUNTIF($J$2:J3452,J3452)=1,1,0))</f>
        <v>0</v>
      </c>
      <c r="B3452" s="12" t="e">
        <f>MID(MAIN!A3457,K3452,2)</f>
        <v>#VALUE!</v>
      </c>
      <c r="C3452" s="12" t="e">
        <f t="shared" si="212"/>
        <v>#VALUE!</v>
      </c>
      <c r="D3452" s="12" t="e">
        <f>MID(MAIN!A3457,K3452+2,2)</f>
        <v>#VALUE!</v>
      </c>
      <c r="E3452" s="12" t="e">
        <f>MID(MAIN!A3457,K3452+4,2)</f>
        <v>#VALUE!</v>
      </c>
      <c r="F3452" s="2" t="e">
        <f t="shared" si="213"/>
        <v>#VALUE!</v>
      </c>
      <c r="G3452" s="13" t="e">
        <f t="shared" si="214"/>
        <v>#VALUE!</v>
      </c>
      <c r="J3452" t="str">
        <f>MAIN!A3457&amp;"B"</f>
        <v>B</v>
      </c>
      <c r="K3452" s="12" t="e">
        <f t="shared" si="215"/>
        <v>#VALUE!</v>
      </c>
      <c r="L3452" t="str">
        <f>MAIN!C3457</f>
        <v/>
      </c>
    </row>
    <row r="3453" spans="1:12" x14ac:dyDescent="0.3">
      <c r="A3453">
        <f>IF(J3453="0",0,IF(COUNTIF($J$2:J3453,J3453)=1,1,0))</f>
        <v>0</v>
      </c>
      <c r="B3453" s="12" t="e">
        <f>MID(MAIN!A3458,K3453,2)</f>
        <v>#VALUE!</v>
      </c>
      <c r="C3453" s="12" t="e">
        <f t="shared" si="212"/>
        <v>#VALUE!</v>
      </c>
      <c r="D3453" s="12" t="e">
        <f>MID(MAIN!A3458,K3453+2,2)</f>
        <v>#VALUE!</v>
      </c>
      <c r="E3453" s="12" t="e">
        <f>MID(MAIN!A3458,K3453+4,2)</f>
        <v>#VALUE!</v>
      </c>
      <c r="F3453" s="2" t="e">
        <f t="shared" si="213"/>
        <v>#VALUE!</v>
      </c>
      <c r="G3453" s="13" t="e">
        <f t="shared" si="214"/>
        <v>#VALUE!</v>
      </c>
      <c r="J3453" t="str">
        <f>MAIN!A3458&amp;"B"</f>
        <v>B</v>
      </c>
      <c r="K3453" s="12" t="e">
        <f t="shared" si="215"/>
        <v>#VALUE!</v>
      </c>
      <c r="L3453" t="str">
        <f>MAIN!C3458</f>
        <v/>
      </c>
    </row>
    <row r="3454" spans="1:12" x14ac:dyDescent="0.3">
      <c r="A3454">
        <f>IF(J3454="0",0,IF(COUNTIF($J$2:J3454,J3454)=1,1,0))</f>
        <v>0</v>
      </c>
      <c r="B3454" s="12" t="e">
        <f>MID(MAIN!A3459,K3454,2)</f>
        <v>#VALUE!</v>
      </c>
      <c r="C3454" s="12" t="e">
        <f t="shared" si="212"/>
        <v>#VALUE!</v>
      </c>
      <c r="D3454" s="12" t="e">
        <f>MID(MAIN!A3459,K3454+2,2)</f>
        <v>#VALUE!</v>
      </c>
      <c r="E3454" s="12" t="e">
        <f>MID(MAIN!A3459,K3454+4,2)</f>
        <v>#VALUE!</v>
      </c>
      <c r="F3454" s="2" t="e">
        <f t="shared" si="213"/>
        <v>#VALUE!</v>
      </c>
      <c r="G3454" s="13" t="e">
        <f t="shared" si="214"/>
        <v>#VALUE!</v>
      </c>
      <c r="J3454" t="str">
        <f>MAIN!A3459&amp;"B"</f>
        <v>B</v>
      </c>
      <c r="K3454" s="12" t="e">
        <f t="shared" si="215"/>
        <v>#VALUE!</v>
      </c>
      <c r="L3454" t="str">
        <f>MAIN!C3459</f>
        <v/>
      </c>
    </row>
    <row r="3455" spans="1:12" x14ac:dyDescent="0.3">
      <c r="A3455">
        <f>IF(J3455="0",0,IF(COUNTIF($J$2:J3455,J3455)=1,1,0))</f>
        <v>0</v>
      </c>
      <c r="B3455" s="12" t="e">
        <f>MID(MAIN!A3460,K3455,2)</f>
        <v>#VALUE!</v>
      </c>
      <c r="C3455" s="12" t="e">
        <f t="shared" si="212"/>
        <v>#VALUE!</v>
      </c>
      <c r="D3455" s="12" t="e">
        <f>MID(MAIN!A3460,K3455+2,2)</f>
        <v>#VALUE!</v>
      </c>
      <c r="E3455" s="12" t="e">
        <f>MID(MAIN!A3460,K3455+4,2)</f>
        <v>#VALUE!</v>
      </c>
      <c r="F3455" s="2" t="e">
        <f t="shared" si="213"/>
        <v>#VALUE!</v>
      </c>
      <c r="G3455" s="13" t="e">
        <f t="shared" si="214"/>
        <v>#VALUE!</v>
      </c>
      <c r="J3455" t="str">
        <f>MAIN!A3460&amp;"B"</f>
        <v>B</v>
      </c>
      <c r="K3455" s="12" t="e">
        <f t="shared" si="215"/>
        <v>#VALUE!</v>
      </c>
      <c r="L3455" t="str">
        <f>MAIN!C3460</f>
        <v/>
      </c>
    </row>
    <row r="3456" spans="1:12" x14ac:dyDescent="0.3">
      <c r="A3456">
        <f>IF(J3456="0",0,IF(COUNTIF($J$2:J3456,J3456)=1,1,0))</f>
        <v>0</v>
      </c>
      <c r="B3456" s="12" t="e">
        <f>MID(MAIN!A3461,K3456,2)</f>
        <v>#VALUE!</v>
      </c>
      <c r="C3456" s="12" t="e">
        <f t="shared" si="212"/>
        <v>#VALUE!</v>
      </c>
      <c r="D3456" s="12" t="e">
        <f>MID(MAIN!A3461,K3456+2,2)</f>
        <v>#VALUE!</v>
      </c>
      <c r="E3456" s="12" t="e">
        <f>MID(MAIN!A3461,K3456+4,2)</f>
        <v>#VALUE!</v>
      </c>
      <c r="F3456" s="2" t="e">
        <f t="shared" si="213"/>
        <v>#VALUE!</v>
      </c>
      <c r="G3456" s="13" t="e">
        <f t="shared" si="214"/>
        <v>#VALUE!</v>
      </c>
      <c r="J3456" t="str">
        <f>MAIN!A3461&amp;"B"</f>
        <v>B</v>
      </c>
      <c r="K3456" s="12" t="e">
        <f t="shared" si="215"/>
        <v>#VALUE!</v>
      </c>
      <c r="L3456" t="str">
        <f>MAIN!C3461</f>
        <v/>
      </c>
    </row>
    <row r="3457" spans="1:12" x14ac:dyDescent="0.3">
      <c r="A3457">
        <f>IF(J3457="0",0,IF(COUNTIF($J$2:J3457,J3457)=1,1,0))</f>
        <v>0</v>
      </c>
      <c r="B3457" s="12" t="e">
        <f>MID(MAIN!A3462,K3457,2)</f>
        <v>#VALUE!</v>
      </c>
      <c r="C3457" s="12" t="e">
        <f t="shared" si="212"/>
        <v>#VALUE!</v>
      </c>
      <c r="D3457" s="12" t="e">
        <f>MID(MAIN!A3462,K3457+2,2)</f>
        <v>#VALUE!</v>
      </c>
      <c r="E3457" s="12" t="e">
        <f>MID(MAIN!A3462,K3457+4,2)</f>
        <v>#VALUE!</v>
      </c>
      <c r="F3457" s="2" t="e">
        <f t="shared" si="213"/>
        <v>#VALUE!</v>
      </c>
      <c r="G3457" s="13" t="e">
        <f t="shared" si="214"/>
        <v>#VALUE!</v>
      </c>
      <c r="J3457" t="str">
        <f>MAIN!A3462&amp;"B"</f>
        <v>B</v>
      </c>
      <c r="K3457" s="12" t="e">
        <f t="shared" si="215"/>
        <v>#VALUE!</v>
      </c>
      <c r="L3457" t="str">
        <f>MAIN!C3462</f>
        <v/>
      </c>
    </row>
    <row r="3458" spans="1:12" x14ac:dyDescent="0.3">
      <c r="A3458">
        <f>IF(J3458="0",0,IF(COUNTIF($J$2:J3458,J3458)=1,1,0))</f>
        <v>0</v>
      </c>
      <c r="B3458" s="12" t="e">
        <f>MID(MAIN!A3463,K3458,2)</f>
        <v>#VALUE!</v>
      </c>
      <c r="C3458" s="12" t="e">
        <f t="shared" si="212"/>
        <v>#VALUE!</v>
      </c>
      <c r="D3458" s="12" t="e">
        <f>MID(MAIN!A3463,K3458+2,2)</f>
        <v>#VALUE!</v>
      </c>
      <c r="E3458" s="12" t="e">
        <f>MID(MAIN!A3463,K3458+4,2)</f>
        <v>#VALUE!</v>
      </c>
      <c r="F3458" s="2" t="e">
        <f t="shared" si="213"/>
        <v>#VALUE!</v>
      </c>
      <c r="G3458" s="13" t="e">
        <f t="shared" si="214"/>
        <v>#VALUE!</v>
      </c>
      <c r="J3458" t="str">
        <f>MAIN!A3463&amp;"B"</f>
        <v>B</v>
      </c>
      <c r="K3458" s="12" t="e">
        <f t="shared" si="215"/>
        <v>#VALUE!</v>
      </c>
      <c r="L3458" t="str">
        <f>MAIN!C3463</f>
        <v/>
      </c>
    </row>
    <row r="3459" spans="1:12" x14ac:dyDescent="0.3">
      <c r="A3459">
        <f>IF(J3459="0",0,IF(COUNTIF($J$2:J3459,J3459)=1,1,0))</f>
        <v>0</v>
      </c>
      <c r="B3459" s="12" t="e">
        <f>MID(MAIN!A3464,K3459,2)</f>
        <v>#VALUE!</v>
      </c>
      <c r="C3459" s="12" t="e">
        <f t="shared" ref="C3459:C3522" si="216">"20"&amp;B3459</f>
        <v>#VALUE!</v>
      </c>
      <c r="D3459" s="12" t="e">
        <f>MID(MAIN!A3464,K3459+2,2)</f>
        <v>#VALUE!</v>
      </c>
      <c r="E3459" s="12" t="e">
        <f>MID(MAIN!A3464,K3459+4,2)</f>
        <v>#VALUE!</v>
      </c>
      <c r="F3459" s="2" t="e">
        <f t="shared" ref="F3459:F3522" si="217">C3459&amp;"/"&amp;D3459&amp;"/"&amp;E3459</f>
        <v>#VALUE!</v>
      </c>
      <c r="G3459" s="13" t="e">
        <f t="shared" ref="G3459:G3522" si="218">DATEVALUE(F3459)</f>
        <v>#VALUE!</v>
      </c>
      <c r="J3459" t="str">
        <f>MAIN!A3464&amp;"B"</f>
        <v>B</v>
      </c>
      <c r="K3459" s="12" t="e">
        <f t="shared" ref="K3459:K3522" si="219">FIND("172",J3459,30)+2</f>
        <v>#VALUE!</v>
      </c>
      <c r="L3459" t="str">
        <f>MAIN!C3464</f>
        <v/>
      </c>
    </row>
    <row r="3460" spans="1:12" x14ac:dyDescent="0.3">
      <c r="A3460">
        <f>IF(J3460="0",0,IF(COUNTIF($J$2:J3460,J3460)=1,1,0))</f>
        <v>0</v>
      </c>
      <c r="B3460" s="12" t="e">
        <f>MID(MAIN!A3465,K3460,2)</f>
        <v>#VALUE!</v>
      </c>
      <c r="C3460" s="12" t="e">
        <f t="shared" si="216"/>
        <v>#VALUE!</v>
      </c>
      <c r="D3460" s="12" t="e">
        <f>MID(MAIN!A3465,K3460+2,2)</f>
        <v>#VALUE!</v>
      </c>
      <c r="E3460" s="12" t="e">
        <f>MID(MAIN!A3465,K3460+4,2)</f>
        <v>#VALUE!</v>
      </c>
      <c r="F3460" s="2" t="e">
        <f t="shared" si="217"/>
        <v>#VALUE!</v>
      </c>
      <c r="G3460" s="13" t="e">
        <f t="shared" si="218"/>
        <v>#VALUE!</v>
      </c>
      <c r="J3460" t="str">
        <f>MAIN!A3465&amp;"B"</f>
        <v>B</v>
      </c>
      <c r="K3460" s="12" t="e">
        <f t="shared" si="219"/>
        <v>#VALUE!</v>
      </c>
      <c r="L3460" t="str">
        <f>MAIN!C3465</f>
        <v/>
      </c>
    </row>
    <row r="3461" spans="1:12" x14ac:dyDescent="0.3">
      <c r="A3461">
        <f>IF(J3461="0",0,IF(COUNTIF($J$2:J3461,J3461)=1,1,0))</f>
        <v>0</v>
      </c>
      <c r="B3461" s="12" t="e">
        <f>MID(MAIN!A3466,K3461,2)</f>
        <v>#VALUE!</v>
      </c>
      <c r="C3461" s="12" t="e">
        <f t="shared" si="216"/>
        <v>#VALUE!</v>
      </c>
      <c r="D3461" s="12" t="e">
        <f>MID(MAIN!A3466,K3461+2,2)</f>
        <v>#VALUE!</v>
      </c>
      <c r="E3461" s="12" t="e">
        <f>MID(MAIN!A3466,K3461+4,2)</f>
        <v>#VALUE!</v>
      </c>
      <c r="F3461" s="2" t="e">
        <f t="shared" si="217"/>
        <v>#VALUE!</v>
      </c>
      <c r="G3461" s="13" t="e">
        <f t="shared" si="218"/>
        <v>#VALUE!</v>
      </c>
      <c r="J3461" t="str">
        <f>MAIN!A3466&amp;"B"</f>
        <v>B</v>
      </c>
      <c r="K3461" s="12" t="e">
        <f t="shared" si="219"/>
        <v>#VALUE!</v>
      </c>
      <c r="L3461" t="str">
        <f>MAIN!C3466</f>
        <v/>
      </c>
    </row>
    <row r="3462" spans="1:12" x14ac:dyDescent="0.3">
      <c r="A3462">
        <f>IF(J3462="0",0,IF(COUNTIF($J$2:J3462,J3462)=1,1,0))</f>
        <v>0</v>
      </c>
      <c r="B3462" s="12" t="e">
        <f>MID(MAIN!A3467,K3462,2)</f>
        <v>#VALUE!</v>
      </c>
      <c r="C3462" s="12" t="e">
        <f t="shared" si="216"/>
        <v>#VALUE!</v>
      </c>
      <c r="D3462" s="12" t="e">
        <f>MID(MAIN!A3467,K3462+2,2)</f>
        <v>#VALUE!</v>
      </c>
      <c r="E3462" s="12" t="e">
        <f>MID(MAIN!A3467,K3462+4,2)</f>
        <v>#VALUE!</v>
      </c>
      <c r="F3462" s="2" t="e">
        <f t="shared" si="217"/>
        <v>#VALUE!</v>
      </c>
      <c r="G3462" s="13" t="e">
        <f t="shared" si="218"/>
        <v>#VALUE!</v>
      </c>
      <c r="J3462" t="str">
        <f>MAIN!A3467&amp;"B"</f>
        <v>B</v>
      </c>
      <c r="K3462" s="12" t="e">
        <f t="shared" si="219"/>
        <v>#VALUE!</v>
      </c>
      <c r="L3462" t="str">
        <f>MAIN!C3467</f>
        <v/>
      </c>
    </row>
    <row r="3463" spans="1:12" x14ac:dyDescent="0.3">
      <c r="A3463">
        <f>IF(J3463="0",0,IF(COUNTIF($J$2:J3463,J3463)=1,1,0))</f>
        <v>0</v>
      </c>
      <c r="B3463" s="12" t="e">
        <f>MID(MAIN!A3468,K3463,2)</f>
        <v>#VALUE!</v>
      </c>
      <c r="C3463" s="12" t="e">
        <f t="shared" si="216"/>
        <v>#VALUE!</v>
      </c>
      <c r="D3463" s="12" t="e">
        <f>MID(MAIN!A3468,K3463+2,2)</f>
        <v>#VALUE!</v>
      </c>
      <c r="E3463" s="12" t="e">
        <f>MID(MAIN!A3468,K3463+4,2)</f>
        <v>#VALUE!</v>
      </c>
      <c r="F3463" s="2" t="e">
        <f t="shared" si="217"/>
        <v>#VALUE!</v>
      </c>
      <c r="G3463" s="13" t="e">
        <f t="shared" si="218"/>
        <v>#VALUE!</v>
      </c>
      <c r="J3463" t="str">
        <f>MAIN!A3468&amp;"B"</f>
        <v>B</v>
      </c>
      <c r="K3463" s="12" t="e">
        <f t="shared" si="219"/>
        <v>#VALUE!</v>
      </c>
      <c r="L3463" t="str">
        <f>MAIN!C3468</f>
        <v/>
      </c>
    </row>
    <row r="3464" spans="1:12" x14ac:dyDescent="0.3">
      <c r="A3464">
        <f>IF(J3464="0",0,IF(COUNTIF($J$2:J3464,J3464)=1,1,0))</f>
        <v>0</v>
      </c>
      <c r="B3464" s="12" t="e">
        <f>MID(MAIN!A3469,K3464,2)</f>
        <v>#VALUE!</v>
      </c>
      <c r="C3464" s="12" t="e">
        <f t="shared" si="216"/>
        <v>#VALUE!</v>
      </c>
      <c r="D3464" s="12" t="e">
        <f>MID(MAIN!A3469,K3464+2,2)</f>
        <v>#VALUE!</v>
      </c>
      <c r="E3464" s="12" t="e">
        <f>MID(MAIN!A3469,K3464+4,2)</f>
        <v>#VALUE!</v>
      </c>
      <c r="F3464" s="2" t="e">
        <f t="shared" si="217"/>
        <v>#VALUE!</v>
      </c>
      <c r="G3464" s="13" t="e">
        <f t="shared" si="218"/>
        <v>#VALUE!</v>
      </c>
      <c r="J3464" t="str">
        <f>MAIN!A3469&amp;"B"</f>
        <v>B</v>
      </c>
      <c r="K3464" s="12" t="e">
        <f t="shared" si="219"/>
        <v>#VALUE!</v>
      </c>
      <c r="L3464" t="str">
        <f>MAIN!C3469</f>
        <v/>
      </c>
    </row>
    <row r="3465" spans="1:12" x14ac:dyDescent="0.3">
      <c r="A3465">
        <f>IF(J3465="0",0,IF(COUNTIF($J$2:J3465,J3465)=1,1,0))</f>
        <v>0</v>
      </c>
      <c r="B3465" s="12" t="e">
        <f>MID(MAIN!A3470,K3465,2)</f>
        <v>#VALUE!</v>
      </c>
      <c r="C3465" s="12" t="e">
        <f t="shared" si="216"/>
        <v>#VALUE!</v>
      </c>
      <c r="D3465" s="12" t="e">
        <f>MID(MAIN!A3470,K3465+2,2)</f>
        <v>#VALUE!</v>
      </c>
      <c r="E3465" s="12" t="e">
        <f>MID(MAIN!A3470,K3465+4,2)</f>
        <v>#VALUE!</v>
      </c>
      <c r="F3465" s="2" t="e">
        <f t="shared" si="217"/>
        <v>#VALUE!</v>
      </c>
      <c r="G3465" s="13" t="e">
        <f t="shared" si="218"/>
        <v>#VALUE!</v>
      </c>
      <c r="J3465" t="str">
        <f>MAIN!A3470&amp;"B"</f>
        <v>B</v>
      </c>
      <c r="K3465" s="12" t="e">
        <f t="shared" si="219"/>
        <v>#VALUE!</v>
      </c>
      <c r="L3465" t="str">
        <f>MAIN!C3470</f>
        <v/>
      </c>
    </row>
    <row r="3466" spans="1:12" x14ac:dyDescent="0.3">
      <c r="A3466">
        <f>IF(J3466="0",0,IF(COUNTIF($J$2:J3466,J3466)=1,1,0))</f>
        <v>0</v>
      </c>
      <c r="B3466" s="12" t="e">
        <f>MID(MAIN!A3471,K3466,2)</f>
        <v>#VALUE!</v>
      </c>
      <c r="C3466" s="12" t="e">
        <f t="shared" si="216"/>
        <v>#VALUE!</v>
      </c>
      <c r="D3466" s="12" t="e">
        <f>MID(MAIN!A3471,K3466+2,2)</f>
        <v>#VALUE!</v>
      </c>
      <c r="E3466" s="12" t="e">
        <f>MID(MAIN!A3471,K3466+4,2)</f>
        <v>#VALUE!</v>
      </c>
      <c r="F3466" s="2" t="e">
        <f t="shared" si="217"/>
        <v>#VALUE!</v>
      </c>
      <c r="G3466" s="13" t="e">
        <f t="shared" si="218"/>
        <v>#VALUE!</v>
      </c>
      <c r="J3466" t="str">
        <f>MAIN!A3471&amp;"B"</f>
        <v>B</v>
      </c>
      <c r="K3466" s="12" t="e">
        <f t="shared" si="219"/>
        <v>#VALUE!</v>
      </c>
      <c r="L3466" t="str">
        <f>MAIN!C3471</f>
        <v/>
      </c>
    </row>
    <row r="3467" spans="1:12" x14ac:dyDescent="0.3">
      <c r="A3467">
        <f>IF(J3467="0",0,IF(COUNTIF($J$2:J3467,J3467)=1,1,0))</f>
        <v>0</v>
      </c>
      <c r="B3467" s="12" t="e">
        <f>MID(MAIN!A3472,K3467,2)</f>
        <v>#VALUE!</v>
      </c>
      <c r="C3467" s="12" t="e">
        <f t="shared" si="216"/>
        <v>#VALUE!</v>
      </c>
      <c r="D3467" s="12" t="e">
        <f>MID(MAIN!A3472,K3467+2,2)</f>
        <v>#VALUE!</v>
      </c>
      <c r="E3467" s="12" t="e">
        <f>MID(MAIN!A3472,K3467+4,2)</f>
        <v>#VALUE!</v>
      </c>
      <c r="F3467" s="2" t="e">
        <f t="shared" si="217"/>
        <v>#VALUE!</v>
      </c>
      <c r="G3467" s="13" t="e">
        <f t="shared" si="218"/>
        <v>#VALUE!</v>
      </c>
      <c r="J3467" t="str">
        <f>MAIN!A3472&amp;"B"</f>
        <v>B</v>
      </c>
      <c r="K3467" s="12" t="e">
        <f t="shared" si="219"/>
        <v>#VALUE!</v>
      </c>
      <c r="L3467" t="str">
        <f>MAIN!C3472</f>
        <v/>
      </c>
    </row>
    <row r="3468" spans="1:12" x14ac:dyDescent="0.3">
      <c r="A3468">
        <f>IF(J3468="0",0,IF(COUNTIF($J$2:J3468,J3468)=1,1,0))</f>
        <v>0</v>
      </c>
      <c r="B3468" s="12" t="e">
        <f>MID(MAIN!A3473,K3468,2)</f>
        <v>#VALUE!</v>
      </c>
      <c r="C3468" s="12" t="e">
        <f t="shared" si="216"/>
        <v>#VALUE!</v>
      </c>
      <c r="D3468" s="12" t="e">
        <f>MID(MAIN!A3473,K3468+2,2)</f>
        <v>#VALUE!</v>
      </c>
      <c r="E3468" s="12" t="e">
        <f>MID(MAIN!A3473,K3468+4,2)</f>
        <v>#VALUE!</v>
      </c>
      <c r="F3468" s="2" t="e">
        <f t="shared" si="217"/>
        <v>#VALUE!</v>
      </c>
      <c r="G3468" s="13" t="e">
        <f t="shared" si="218"/>
        <v>#VALUE!</v>
      </c>
      <c r="J3468" t="str">
        <f>MAIN!A3473&amp;"B"</f>
        <v>B</v>
      </c>
      <c r="K3468" s="12" t="e">
        <f t="shared" si="219"/>
        <v>#VALUE!</v>
      </c>
      <c r="L3468" t="str">
        <f>MAIN!C3473</f>
        <v/>
      </c>
    </row>
    <row r="3469" spans="1:12" x14ac:dyDescent="0.3">
      <c r="A3469">
        <f>IF(J3469="0",0,IF(COUNTIF($J$2:J3469,J3469)=1,1,0))</f>
        <v>0</v>
      </c>
      <c r="B3469" s="12" t="e">
        <f>MID(MAIN!A3474,K3469,2)</f>
        <v>#VALUE!</v>
      </c>
      <c r="C3469" s="12" t="e">
        <f t="shared" si="216"/>
        <v>#VALUE!</v>
      </c>
      <c r="D3469" s="12" t="e">
        <f>MID(MAIN!A3474,K3469+2,2)</f>
        <v>#VALUE!</v>
      </c>
      <c r="E3469" s="12" t="e">
        <f>MID(MAIN!A3474,K3469+4,2)</f>
        <v>#VALUE!</v>
      </c>
      <c r="F3469" s="2" t="e">
        <f t="shared" si="217"/>
        <v>#VALUE!</v>
      </c>
      <c r="G3469" s="13" t="e">
        <f t="shared" si="218"/>
        <v>#VALUE!</v>
      </c>
      <c r="J3469" t="str">
        <f>MAIN!A3474&amp;"B"</f>
        <v>B</v>
      </c>
      <c r="K3469" s="12" t="e">
        <f t="shared" si="219"/>
        <v>#VALUE!</v>
      </c>
      <c r="L3469" t="str">
        <f>MAIN!C3474</f>
        <v/>
      </c>
    </row>
    <row r="3470" spans="1:12" x14ac:dyDescent="0.3">
      <c r="A3470">
        <f>IF(J3470="0",0,IF(COUNTIF($J$2:J3470,J3470)=1,1,0))</f>
        <v>0</v>
      </c>
      <c r="B3470" s="12" t="e">
        <f>MID(MAIN!A3475,K3470,2)</f>
        <v>#VALUE!</v>
      </c>
      <c r="C3470" s="12" t="e">
        <f t="shared" si="216"/>
        <v>#VALUE!</v>
      </c>
      <c r="D3470" s="12" t="e">
        <f>MID(MAIN!A3475,K3470+2,2)</f>
        <v>#VALUE!</v>
      </c>
      <c r="E3470" s="12" t="e">
        <f>MID(MAIN!A3475,K3470+4,2)</f>
        <v>#VALUE!</v>
      </c>
      <c r="F3470" s="2" t="e">
        <f t="shared" si="217"/>
        <v>#VALUE!</v>
      </c>
      <c r="G3470" s="13" t="e">
        <f t="shared" si="218"/>
        <v>#VALUE!</v>
      </c>
      <c r="J3470" t="str">
        <f>MAIN!A3475&amp;"B"</f>
        <v>B</v>
      </c>
      <c r="K3470" s="12" t="e">
        <f t="shared" si="219"/>
        <v>#VALUE!</v>
      </c>
      <c r="L3470" t="str">
        <f>MAIN!C3475</f>
        <v/>
      </c>
    </row>
    <row r="3471" spans="1:12" x14ac:dyDescent="0.3">
      <c r="A3471">
        <f>IF(J3471="0",0,IF(COUNTIF($J$2:J3471,J3471)=1,1,0))</f>
        <v>0</v>
      </c>
      <c r="B3471" s="12" t="e">
        <f>MID(MAIN!A3476,K3471,2)</f>
        <v>#VALUE!</v>
      </c>
      <c r="C3471" s="12" t="e">
        <f t="shared" si="216"/>
        <v>#VALUE!</v>
      </c>
      <c r="D3471" s="12" t="e">
        <f>MID(MAIN!A3476,K3471+2,2)</f>
        <v>#VALUE!</v>
      </c>
      <c r="E3471" s="12" t="e">
        <f>MID(MAIN!A3476,K3471+4,2)</f>
        <v>#VALUE!</v>
      </c>
      <c r="F3471" s="2" t="e">
        <f t="shared" si="217"/>
        <v>#VALUE!</v>
      </c>
      <c r="G3471" s="13" t="e">
        <f t="shared" si="218"/>
        <v>#VALUE!</v>
      </c>
      <c r="J3471" t="str">
        <f>MAIN!A3476&amp;"B"</f>
        <v>B</v>
      </c>
      <c r="K3471" s="12" t="e">
        <f t="shared" si="219"/>
        <v>#VALUE!</v>
      </c>
      <c r="L3471" t="str">
        <f>MAIN!C3476</f>
        <v/>
      </c>
    </row>
    <row r="3472" spans="1:12" x14ac:dyDescent="0.3">
      <c r="A3472">
        <f>IF(J3472="0",0,IF(COUNTIF($J$2:J3472,J3472)=1,1,0))</f>
        <v>0</v>
      </c>
      <c r="B3472" s="12" t="e">
        <f>MID(MAIN!A3477,K3472,2)</f>
        <v>#VALUE!</v>
      </c>
      <c r="C3472" s="12" t="e">
        <f t="shared" si="216"/>
        <v>#VALUE!</v>
      </c>
      <c r="D3472" s="12" t="e">
        <f>MID(MAIN!A3477,K3472+2,2)</f>
        <v>#VALUE!</v>
      </c>
      <c r="E3472" s="12" t="e">
        <f>MID(MAIN!A3477,K3472+4,2)</f>
        <v>#VALUE!</v>
      </c>
      <c r="F3472" s="2" t="e">
        <f t="shared" si="217"/>
        <v>#VALUE!</v>
      </c>
      <c r="G3472" s="13" t="e">
        <f t="shared" si="218"/>
        <v>#VALUE!</v>
      </c>
      <c r="J3472" t="str">
        <f>MAIN!A3477&amp;"B"</f>
        <v>B</v>
      </c>
      <c r="K3472" s="12" t="e">
        <f t="shared" si="219"/>
        <v>#VALUE!</v>
      </c>
      <c r="L3472" t="str">
        <f>MAIN!C3477</f>
        <v/>
      </c>
    </row>
    <row r="3473" spans="1:12" x14ac:dyDescent="0.3">
      <c r="A3473">
        <f>IF(J3473="0",0,IF(COUNTIF($J$2:J3473,J3473)=1,1,0))</f>
        <v>0</v>
      </c>
      <c r="B3473" s="12" t="e">
        <f>MID(MAIN!A3478,K3473,2)</f>
        <v>#VALUE!</v>
      </c>
      <c r="C3473" s="12" t="e">
        <f t="shared" si="216"/>
        <v>#VALUE!</v>
      </c>
      <c r="D3473" s="12" t="e">
        <f>MID(MAIN!A3478,K3473+2,2)</f>
        <v>#VALUE!</v>
      </c>
      <c r="E3473" s="12" t="e">
        <f>MID(MAIN!A3478,K3473+4,2)</f>
        <v>#VALUE!</v>
      </c>
      <c r="F3473" s="2" t="e">
        <f t="shared" si="217"/>
        <v>#VALUE!</v>
      </c>
      <c r="G3473" s="13" t="e">
        <f t="shared" si="218"/>
        <v>#VALUE!</v>
      </c>
      <c r="J3473" t="str">
        <f>MAIN!A3478&amp;"B"</f>
        <v>B</v>
      </c>
      <c r="K3473" s="12" t="e">
        <f t="shared" si="219"/>
        <v>#VALUE!</v>
      </c>
      <c r="L3473" t="str">
        <f>MAIN!C3478</f>
        <v/>
      </c>
    </row>
    <row r="3474" spans="1:12" x14ac:dyDescent="0.3">
      <c r="A3474">
        <f>IF(J3474="0",0,IF(COUNTIF($J$2:J3474,J3474)=1,1,0))</f>
        <v>0</v>
      </c>
      <c r="B3474" s="12" t="e">
        <f>MID(MAIN!A3479,K3474,2)</f>
        <v>#VALUE!</v>
      </c>
      <c r="C3474" s="12" t="e">
        <f t="shared" si="216"/>
        <v>#VALUE!</v>
      </c>
      <c r="D3474" s="12" t="e">
        <f>MID(MAIN!A3479,K3474+2,2)</f>
        <v>#VALUE!</v>
      </c>
      <c r="E3474" s="12" t="e">
        <f>MID(MAIN!A3479,K3474+4,2)</f>
        <v>#VALUE!</v>
      </c>
      <c r="F3474" s="2" t="e">
        <f t="shared" si="217"/>
        <v>#VALUE!</v>
      </c>
      <c r="G3474" s="13" t="e">
        <f t="shared" si="218"/>
        <v>#VALUE!</v>
      </c>
      <c r="J3474" t="str">
        <f>MAIN!A3479&amp;"B"</f>
        <v>B</v>
      </c>
      <c r="K3474" s="12" t="e">
        <f t="shared" si="219"/>
        <v>#VALUE!</v>
      </c>
      <c r="L3474" t="str">
        <f>MAIN!C3479</f>
        <v/>
      </c>
    </row>
    <row r="3475" spans="1:12" x14ac:dyDescent="0.3">
      <c r="A3475">
        <f>IF(J3475="0",0,IF(COUNTIF($J$2:J3475,J3475)=1,1,0))</f>
        <v>0</v>
      </c>
      <c r="B3475" s="12" t="e">
        <f>MID(MAIN!A3480,K3475,2)</f>
        <v>#VALUE!</v>
      </c>
      <c r="C3475" s="12" t="e">
        <f t="shared" si="216"/>
        <v>#VALUE!</v>
      </c>
      <c r="D3475" s="12" t="e">
        <f>MID(MAIN!A3480,K3475+2,2)</f>
        <v>#VALUE!</v>
      </c>
      <c r="E3475" s="12" t="e">
        <f>MID(MAIN!A3480,K3475+4,2)</f>
        <v>#VALUE!</v>
      </c>
      <c r="F3475" s="2" t="e">
        <f t="shared" si="217"/>
        <v>#VALUE!</v>
      </c>
      <c r="G3475" s="13" t="e">
        <f t="shared" si="218"/>
        <v>#VALUE!</v>
      </c>
      <c r="J3475" t="str">
        <f>MAIN!A3480&amp;"B"</f>
        <v>B</v>
      </c>
      <c r="K3475" s="12" t="e">
        <f t="shared" si="219"/>
        <v>#VALUE!</v>
      </c>
      <c r="L3475" t="str">
        <f>MAIN!C3480</f>
        <v/>
      </c>
    </row>
    <row r="3476" spans="1:12" x14ac:dyDescent="0.3">
      <c r="A3476">
        <f>IF(J3476="0",0,IF(COUNTIF($J$2:J3476,J3476)=1,1,0))</f>
        <v>0</v>
      </c>
      <c r="B3476" s="12" t="e">
        <f>MID(MAIN!A3481,K3476,2)</f>
        <v>#VALUE!</v>
      </c>
      <c r="C3476" s="12" t="e">
        <f t="shared" si="216"/>
        <v>#VALUE!</v>
      </c>
      <c r="D3476" s="12" t="e">
        <f>MID(MAIN!A3481,K3476+2,2)</f>
        <v>#VALUE!</v>
      </c>
      <c r="E3476" s="12" t="e">
        <f>MID(MAIN!A3481,K3476+4,2)</f>
        <v>#VALUE!</v>
      </c>
      <c r="F3476" s="2" t="e">
        <f t="shared" si="217"/>
        <v>#VALUE!</v>
      </c>
      <c r="G3476" s="13" t="e">
        <f t="shared" si="218"/>
        <v>#VALUE!</v>
      </c>
      <c r="J3476" t="str">
        <f>MAIN!A3481&amp;"B"</f>
        <v>B</v>
      </c>
      <c r="K3476" s="12" t="e">
        <f t="shared" si="219"/>
        <v>#VALUE!</v>
      </c>
      <c r="L3476" t="str">
        <f>MAIN!C3481</f>
        <v/>
      </c>
    </row>
    <row r="3477" spans="1:12" x14ac:dyDescent="0.3">
      <c r="A3477">
        <f>IF(J3477="0",0,IF(COUNTIF($J$2:J3477,J3477)=1,1,0))</f>
        <v>0</v>
      </c>
      <c r="B3477" s="12" t="e">
        <f>MID(MAIN!A3482,K3477,2)</f>
        <v>#VALUE!</v>
      </c>
      <c r="C3477" s="12" t="e">
        <f t="shared" si="216"/>
        <v>#VALUE!</v>
      </c>
      <c r="D3477" s="12" t="e">
        <f>MID(MAIN!A3482,K3477+2,2)</f>
        <v>#VALUE!</v>
      </c>
      <c r="E3477" s="12" t="e">
        <f>MID(MAIN!A3482,K3477+4,2)</f>
        <v>#VALUE!</v>
      </c>
      <c r="F3477" s="2" t="e">
        <f t="shared" si="217"/>
        <v>#VALUE!</v>
      </c>
      <c r="G3477" s="13" t="e">
        <f t="shared" si="218"/>
        <v>#VALUE!</v>
      </c>
      <c r="J3477" t="str">
        <f>MAIN!A3482&amp;"B"</f>
        <v>B</v>
      </c>
      <c r="K3477" s="12" t="e">
        <f t="shared" si="219"/>
        <v>#VALUE!</v>
      </c>
      <c r="L3477" t="str">
        <f>MAIN!C3482</f>
        <v/>
      </c>
    </row>
    <row r="3478" spans="1:12" x14ac:dyDescent="0.3">
      <c r="A3478">
        <f>IF(J3478="0",0,IF(COUNTIF($J$2:J3478,J3478)=1,1,0))</f>
        <v>0</v>
      </c>
      <c r="B3478" s="12" t="e">
        <f>MID(MAIN!A3483,K3478,2)</f>
        <v>#VALUE!</v>
      </c>
      <c r="C3478" s="12" t="e">
        <f t="shared" si="216"/>
        <v>#VALUE!</v>
      </c>
      <c r="D3478" s="12" t="e">
        <f>MID(MAIN!A3483,K3478+2,2)</f>
        <v>#VALUE!</v>
      </c>
      <c r="E3478" s="12" t="e">
        <f>MID(MAIN!A3483,K3478+4,2)</f>
        <v>#VALUE!</v>
      </c>
      <c r="F3478" s="2" t="e">
        <f t="shared" si="217"/>
        <v>#VALUE!</v>
      </c>
      <c r="G3478" s="13" t="e">
        <f t="shared" si="218"/>
        <v>#VALUE!</v>
      </c>
      <c r="J3478" t="str">
        <f>MAIN!A3483&amp;"B"</f>
        <v>B</v>
      </c>
      <c r="K3478" s="12" t="e">
        <f t="shared" si="219"/>
        <v>#VALUE!</v>
      </c>
      <c r="L3478" t="str">
        <f>MAIN!C3483</f>
        <v/>
      </c>
    </row>
    <row r="3479" spans="1:12" x14ac:dyDescent="0.3">
      <c r="A3479">
        <f>IF(J3479="0",0,IF(COUNTIF($J$2:J3479,J3479)=1,1,0))</f>
        <v>0</v>
      </c>
      <c r="B3479" s="12" t="e">
        <f>MID(MAIN!A3484,K3479,2)</f>
        <v>#VALUE!</v>
      </c>
      <c r="C3479" s="12" t="e">
        <f t="shared" si="216"/>
        <v>#VALUE!</v>
      </c>
      <c r="D3479" s="12" t="e">
        <f>MID(MAIN!A3484,K3479+2,2)</f>
        <v>#VALUE!</v>
      </c>
      <c r="E3479" s="12" t="e">
        <f>MID(MAIN!A3484,K3479+4,2)</f>
        <v>#VALUE!</v>
      </c>
      <c r="F3479" s="2" t="e">
        <f t="shared" si="217"/>
        <v>#VALUE!</v>
      </c>
      <c r="G3479" s="13" t="e">
        <f t="shared" si="218"/>
        <v>#VALUE!</v>
      </c>
      <c r="J3479" t="str">
        <f>MAIN!A3484&amp;"B"</f>
        <v>B</v>
      </c>
      <c r="K3479" s="12" t="e">
        <f t="shared" si="219"/>
        <v>#VALUE!</v>
      </c>
      <c r="L3479" t="str">
        <f>MAIN!C3484</f>
        <v/>
      </c>
    </row>
    <row r="3480" spans="1:12" x14ac:dyDescent="0.3">
      <c r="A3480">
        <f>IF(J3480="0",0,IF(COUNTIF($J$2:J3480,J3480)=1,1,0))</f>
        <v>0</v>
      </c>
      <c r="B3480" s="12" t="e">
        <f>MID(MAIN!A3485,K3480,2)</f>
        <v>#VALUE!</v>
      </c>
      <c r="C3480" s="12" t="e">
        <f t="shared" si="216"/>
        <v>#VALUE!</v>
      </c>
      <c r="D3480" s="12" t="e">
        <f>MID(MAIN!A3485,K3480+2,2)</f>
        <v>#VALUE!</v>
      </c>
      <c r="E3480" s="12" t="e">
        <f>MID(MAIN!A3485,K3480+4,2)</f>
        <v>#VALUE!</v>
      </c>
      <c r="F3480" s="2" t="e">
        <f t="shared" si="217"/>
        <v>#VALUE!</v>
      </c>
      <c r="G3480" s="13" t="e">
        <f t="shared" si="218"/>
        <v>#VALUE!</v>
      </c>
      <c r="J3480" t="str">
        <f>MAIN!A3485&amp;"B"</f>
        <v>B</v>
      </c>
      <c r="K3480" s="12" t="e">
        <f t="shared" si="219"/>
        <v>#VALUE!</v>
      </c>
      <c r="L3480" t="str">
        <f>MAIN!C3485</f>
        <v/>
      </c>
    </row>
    <row r="3481" spans="1:12" x14ac:dyDescent="0.3">
      <c r="A3481">
        <f>IF(J3481="0",0,IF(COUNTIF($J$2:J3481,J3481)=1,1,0))</f>
        <v>0</v>
      </c>
      <c r="B3481" s="12" t="e">
        <f>MID(MAIN!A3486,K3481,2)</f>
        <v>#VALUE!</v>
      </c>
      <c r="C3481" s="12" t="e">
        <f t="shared" si="216"/>
        <v>#VALUE!</v>
      </c>
      <c r="D3481" s="12" t="e">
        <f>MID(MAIN!A3486,K3481+2,2)</f>
        <v>#VALUE!</v>
      </c>
      <c r="E3481" s="12" t="e">
        <f>MID(MAIN!A3486,K3481+4,2)</f>
        <v>#VALUE!</v>
      </c>
      <c r="F3481" s="2" t="e">
        <f t="shared" si="217"/>
        <v>#VALUE!</v>
      </c>
      <c r="G3481" s="13" t="e">
        <f t="shared" si="218"/>
        <v>#VALUE!</v>
      </c>
      <c r="J3481" t="str">
        <f>MAIN!A3486&amp;"B"</f>
        <v>B</v>
      </c>
      <c r="K3481" s="12" t="e">
        <f t="shared" si="219"/>
        <v>#VALUE!</v>
      </c>
      <c r="L3481" t="str">
        <f>MAIN!C3486</f>
        <v/>
      </c>
    </row>
    <row r="3482" spans="1:12" x14ac:dyDescent="0.3">
      <c r="A3482">
        <f>IF(J3482="0",0,IF(COUNTIF($J$2:J3482,J3482)=1,1,0))</f>
        <v>0</v>
      </c>
      <c r="B3482" s="12" t="e">
        <f>MID(MAIN!A3487,K3482,2)</f>
        <v>#VALUE!</v>
      </c>
      <c r="C3482" s="12" t="e">
        <f t="shared" si="216"/>
        <v>#VALUE!</v>
      </c>
      <c r="D3482" s="12" t="e">
        <f>MID(MAIN!A3487,K3482+2,2)</f>
        <v>#VALUE!</v>
      </c>
      <c r="E3482" s="12" t="e">
        <f>MID(MAIN!A3487,K3482+4,2)</f>
        <v>#VALUE!</v>
      </c>
      <c r="F3482" s="2" t="e">
        <f t="shared" si="217"/>
        <v>#VALUE!</v>
      </c>
      <c r="G3482" s="13" t="e">
        <f t="shared" si="218"/>
        <v>#VALUE!</v>
      </c>
      <c r="J3482" t="str">
        <f>MAIN!A3487&amp;"B"</f>
        <v>B</v>
      </c>
      <c r="K3482" s="12" t="e">
        <f t="shared" si="219"/>
        <v>#VALUE!</v>
      </c>
      <c r="L3482" t="str">
        <f>MAIN!C3487</f>
        <v/>
      </c>
    </row>
    <row r="3483" spans="1:12" x14ac:dyDescent="0.3">
      <c r="A3483">
        <f>IF(J3483="0",0,IF(COUNTIF($J$2:J3483,J3483)=1,1,0))</f>
        <v>0</v>
      </c>
      <c r="B3483" s="12" t="e">
        <f>MID(MAIN!A3488,K3483,2)</f>
        <v>#VALUE!</v>
      </c>
      <c r="C3483" s="12" t="e">
        <f t="shared" si="216"/>
        <v>#VALUE!</v>
      </c>
      <c r="D3483" s="12" t="e">
        <f>MID(MAIN!A3488,K3483+2,2)</f>
        <v>#VALUE!</v>
      </c>
      <c r="E3483" s="12" t="e">
        <f>MID(MAIN!A3488,K3483+4,2)</f>
        <v>#VALUE!</v>
      </c>
      <c r="F3483" s="2" t="e">
        <f t="shared" si="217"/>
        <v>#VALUE!</v>
      </c>
      <c r="G3483" s="13" t="e">
        <f t="shared" si="218"/>
        <v>#VALUE!</v>
      </c>
      <c r="J3483" t="str">
        <f>MAIN!A3488&amp;"B"</f>
        <v>B</v>
      </c>
      <c r="K3483" s="12" t="e">
        <f t="shared" si="219"/>
        <v>#VALUE!</v>
      </c>
      <c r="L3483" t="str">
        <f>MAIN!C3488</f>
        <v/>
      </c>
    </row>
    <row r="3484" spans="1:12" x14ac:dyDescent="0.3">
      <c r="A3484">
        <f>IF(J3484="0",0,IF(COUNTIF($J$2:J3484,J3484)=1,1,0))</f>
        <v>0</v>
      </c>
      <c r="B3484" s="12" t="e">
        <f>MID(MAIN!A3489,K3484,2)</f>
        <v>#VALUE!</v>
      </c>
      <c r="C3484" s="12" t="e">
        <f t="shared" si="216"/>
        <v>#VALUE!</v>
      </c>
      <c r="D3484" s="12" t="e">
        <f>MID(MAIN!A3489,K3484+2,2)</f>
        <v>#VALUE!</v>
      </c>
      <c r="E3484" s="12" t="e">
        <f>MID(MAIN!A3489,K3484+4,2)</f>
        <v>#VALUE!</v>
      </c>
      <c r="F3484" s="2" t="e">
        <f t="shared" si="217"/>
        <v>#VALUE!</v>
      </c>
      <c r="G3484" s="13" t="e">
        <f t="shared" si="218"/>
        <v>#VALUE!</v>
      </c>
      <c r="J3484" t="str">
        <f>MAIN!A3489&amp;"B"</f>
        <v>B</v>
      </c>
      <c r="K3484" s="12" t="e">
        <f t="shared" si="219"/>
        <v>#VALUE!</v>
      </c>
      <c r="L3484" t="str">
        <f>MAIN!C3489</f>
        <v/>
      </c>
    </row>
    <row r="3485" spans="1:12" x14ac:dyDescent="0.3">
      <c r="A3485">
        <f>IF(J3485="0",0,IF(COUNTIF($J$2:J3485,J3485)=1,1,0))</f>
        <v>0</v>
      </c>
      <c r="B3485" s="12" t="e">
        <f>MID(MAIN!A3490,K3485,2)</f>
        <v>#VALUE!</v>
      </c>
      <c r="C3485" s="12" t="e">
        <f t="shared" si="216"/>
        <v>#VALUE!</v>
      </c>
      <c r="D3485" s="12" t="e">
        <f>MID(MAIN!A3490,K3485+2,2)</f>
        <v>#VALUE!</v>
      </c>
      <c r="E3485" s="12" t="e">
        <f>MID(MAIN!A3490,K3485+4,2)</f>
        <v>#VALUE!</v>
      </c>
      <c r="F3485" s="2" t="e">
        <f t="shared" si="217"/>
        <v>#VALUE!</v>
      </c>
      <c r="G3485" s="13" t="e">
        <f t="shared" si="218"/>
        <v>#VALUE!</v>
      </c>
      <c r="J3485" t="str">
        <f>MAIN!A3490&amp;"B"</f>
        <v>B</v>
      </c>
      <c r="K3485" s="12" t="e">
        <f t="shared" si="219"/>
        <v>#VALUE!</v>
      </c>
      <c r="L3485" t="str">
        <f>MAIN!C3490</f>
        <v/>
      </c>
    </row>
    <row r="3486" spans="1:12" x14ac:dyDescent="0.3">
      <c r="A3486">
        <f>IF(J3486="0",0,IF(COUNTIF($J$2:J3486,J3486)=1,1,0))</f>
        <v>0</v>
      </c>
      <c r="B3486" s="12" t="e">
        <f>MID(MAIN!A3491,K3486,2)</f>
        <v>#VALUE!</v>
      </c>
      <c r="C3486" s="12" t="e">
        <f t="shared" si="216"/>
        <v>#VALUE!</v>
      </c>
      <c r="D3486" s="12" t="e">
        <f>MID(MAIN!A3491,K3486+2,2)</f>
        <v>#VALUE!</v>
      </c>
      <c r="E3486" s="12" t="e">
        <f>MID(MAIN!A3491,K3486+4,2)</f>
        <v>#VALUE!</v>
      </c>
      <c r="F3486" s="2" t="e">
        <f t="shared" si="217"/>
        <v>#VALUE!</v>
      </c>
      <c r="G3486" s="13" t="e">
        <f t="shared" si="218"/>
        <v>#VALUE!</v>
      </c>
      <c r="J3486" t="str">
        <f>MAIN!A3491&amp;"B"</f>
        <v>B</v>
      </c>
      <c r="K3486" s="12" t="e">
        <f t="shared" si="219"/>
        <v>#VALUE!</v>
      </c>
      <c r="L3486" t="str">
        <f>MAIN!C3491</f>
        <v/>
      </c>
    </row>
    <row r="3487" spans="1:12" x14ac:dyDescent="0.3">
      <c r="A3487">
        <f>IF(J3487="0",0,IF(COUNTIF($J$2:J3487,J3487)=1,1,0))</f>
        <v>0</v>
      </c>
      <c r="B3487" s="12" t="e">
        <f>MID(MAIN!A3492,K3487,2)</f>
        <v>#VALUE!</v>
      </c>
      <c r="C3487" s="12" t="e">
        <f t="shared" si="216"/>
        <v>#VALUE!</v>
      </c>
      <c r="D3487" s="12" t="e">
        <f>MID(MAIN!A3492,K3487+2,2)</f>
        <v>#VALUE!</v>
      </c>
      <c r="E3487" s="12" t="e">
        <f>MID(MAIN!A3492,K3487+4,2)</f>
        <v>#VALUE!</v>
      </c>
      <c r="F3487" s="2" t="e">
        <f t="shared" si="217"/>
        <v>#VALUE!</v>
      </c>
      <c r="G3487" s="13" t="e">
        <f t="shared" si="218"/>
        <v>#VALUE!</v>
      </c>
      <c r="J3487" t="str">
        <f>MAIN!A3492&amp;"B"</f>
        <v>B</v>
      </c>
      <c r="K3487" s="12" t="e">
        <f t="shared" si="219"/>
        <v>#VALUE!</v>
      </c>
      <c r="L3487" t="str">
        <f>MAIN!C3492</f>
        <v/>
      </c>
    </row>
    <row r="3488" spans="1:12" x14ac:dyDescent="0.3">
      <c r="A3488">
        <f>IF(J3488="0",0,IF(COUNTIF($J$2:J3488,J3488)=1,1,0))</f>
        <v>0</v>
      </c>
      <c r="B3488" s="12" t="e">
        <f>MID(MAIN!A3493,K3488,2)</f>
        <v>#VALUE!</v>
      </c>
      <c r="C3488" s="12" t="e">
        <f t="shared" si="216"/>
        <v>#VALUE!</v>
      </c>
      <c r="D3488" s="12" t="e">
        <f>MID(MAIN!A3493,K3488+2,2)</f>
        <v>#VALUE!</v>
      </c>
      <c r="E3488" s="12" t="e">
        <f>MID(MAIN!A3493,K3488+4,2)</f>
        <v>#VALUE!</v>
      </c>
      <c r="F3488" s="2" t="e">
        <f t="shared" si="217"/>
        <v>#VALUE!</v>
      </c>
      <c r="G3488" s="13" t="e">
        <f t="shared" si="218"/>
        <v>#VALUE!</v>
      </c>
      <c r="J3488" t="str">
        <f>MAIN!A3493&amp;"B"</f>
        <v>B</v>
      </c>
      <c r="K3488" s="12" t="e">
        <f t="shared" si="219"/>
        <v>#VALUE!</v>
      </c>
      <c r="L3488" t="str">
        <f>MAIN!C3493</f>
        <v/>
      </c>
    </row>
    <row r="3489" spans="1:12" x14ac:dyDescent="0.3">
      <c r="A3489">
        <f>IF(J3489="0",0,IF(COUNTIF($J$2:J3489,J3489)=1,1,0))</f>
        <v>0</v>
      </c>
      <c r="B3489" s="12" t="e">
        <f>MID(MAIN!A3494,K3489,2)</f>
        <v>#VALUE!</v>
      </c>
      <c r="C3489" s="12" t="e">
        <f t="shared" si="216"/>
        <v>#VALUE!</v>
      </c>
      <c r="D3489" s="12" t="e">
        <f>MID(MAIN!A3494,K3489+2,2)</f>
        <v>#VALUE!</v>
      </c>
      <c r="E3489" s="12" t="e">
        <f>MID(MAIN!A3494,K3489+4,2)</f>
        <v>#VALUE!</v>
      </c>
      <c r="F3489" s="2" t="e">
        <f t="shared" si="217"/>
        <v>#VALUE!</v>
      </c>
      <c r="G3489" s="13" t="e">
        <f t="shared" si="218"/>
        <v>#VALUE!</v>
      </c>
      <c r="J3489" t="str">
        <f>MAIN!A3494&amp;"B"</f>
        <v>B</v>
      </c>
      <c r="K3489" s="12" t="e">
        <f t="shared" si="219"/>
        <v>#VALUE!</v>
      </c>
      <c r="L3489" t="str">
        <f>MAIN!C3494</f>
        <v/>
      </c>
    </row>
    <row r="3490" spans="1:12" x14ac:dyDescent="0.3">
      <c r="A3490">
        <f>IF(J3490="0",0,IF(COUNTIF($J$2:J3490,J3490)=1,1,0))</f>
        <v>0</v>
      </c>
      <c r="B3490" s="12" t="e">
        <f>MID(MAIN!A3495,K3490,2)</f>
        <v>#VALUE!</v>
      </c>
      <c r="C3490" s="12" t="e">
        <f t="shared" si="216"/>
        <v>#VALUE!</v>
      </c>
      <c r="D3490" s="12" t="e">
        <f>MID(MAIN!A3495,K3490+2,2)</f>
        <v>#VALUE!</v>
      </c>
      <c r="E3490" s="12" t="e">
        <f>MID(MAIN!A3495,K3490+4,2)</f>
        <v>#VALUE!</v>
      </c>
      <c r="F3490" s="2" t="e">
        <f t="shared" si="217"/>
        <v>#VALUE!</v>
      </c>
      <c r="G3490" s="13" t="e">
        <f t="shared" si="218"/>
        <v>#VALUE!</v>
      </c>
      <c r="J3490" t="str">
        <f>MAIN!A3495&amp;"B"</f>
        <v>B</v>
      </c>
      <c r="K3490" s="12" t="e">
        <f t="shared" si="219"/>
        <v>#VALUE!</v>
      </c>
      <c r="L3490" t="str">
        <f>MAIN!C3495</f>
        <v/>
      </c>
    </row>
    <row r="3491" spans="1:12" x14ac:dyDescent="0.3">
      <c r="A3491">
        <f>IF(J3491="0",0,IF(COUNTIF($J$2:J3491,J3491)=1,1,0))</f>
        <v>0</v>
      </c>
      <c r="B3491" s="12" t="e">
        <f>MID(MAIN!A3496,K3491,2)</f>
        <v>#VALUE!</v>
      </c>
      <c r="C3491" s="12" t="e">
        <f t="shared" si="216"/>
        <v>#VALUE!</v>
      </c>
      <c r="D3491" s="12" t="e">
        <f>MID(MAIN!A3496,K3491+2,2)</f>
        <v>#VALUE!</v>
      </c>
      <c r="E3491" s="12" t="e">
        <f>MID(MAIN!A3496,K3491+4,2)</f>
        <v>#VALUE!</v>
      </c>
      <c r="F3491" s="2" t="e">
        <f t="shared" si="217"/>
        <v>#VALUE!</v>
      </c>
      <c r="G3491" s="13" t="e">
        <f t="shared" si="218"/>
        <v>#VALUE!</v>
      </c>
      <c r="J3491" t="str">
        <f>MAIN!A3496&amp;"B"</f>
        <v>B</v>
      </c>
      <c r="K3491" s="12" t="e">
        <f t="shared" si="219"/>
        <v>#VALUE!</v>
      </c>
      <c r="L3491" t="str">
        <f>MAIN!C3496</f>
        <v/>
      </c>
    </row>
    <row r="3492" spans="1:12" x14ac:dyDescent="0.3">
      <c r="A3492">
        <f>IF(J3492="0",0,IF(COUNTIF($J$2:J3492,J3492)=1,1,0))</f>
        <v>0</v>
      </c>
      <c r="B3492" s="12" t="e">
        <f>MID(MAIN!A3497,K3492,2)</f>
        <v>#VALUE!</v>
      </c>
      <c r="C3492" s="12" t="e">
        <f t="shared" si="216"/>
        <v>#VALUE!</v>
      </c>
      <c r="D3492" s="12" t="e">
        <f>MID(MAIN!A3497,K3492+2,2)</f>
        <v>#VALUE!</v>
      </c>
      <c r="E3492" s="12" t="e">
        <f>MID(MAIN!A3497,K3492+4,2)</f>
        <v>#VALUE!</v>
      </c>
      <c r="F3492" s="2" t="e">
        <f t="shared" si="217"/>
        <v>#VALUE!</v>
      </c>
      <c r="G3492" s="13" t="e">
        <f t="shared" si="218"/>
        <v>#VALUE!</v>
      </c>
      <c r="J3492" t="str">
        <f>MAIN!A3497&amp;"B"</f>
        <v>B</v>
      </c>
      <c r="K3492" s="12" t="e">
        <f t="shared" si="219"/>
        <v>#VALUE!</v>
      </c>
      <c r="L3492" t="str">
        <f>MAIN!C3497</f>
        <v/>
      </c>
    </row>
    <row r="3493" spans="1:12" x14ac:dyDescent="0.3">
      <c r="A3493">
        <f>IF(J3493="0",0,IF(COUNTIF($J$2:J3493,J3493)=1,1,0))</f>
        <v>0</v>
      </c>
      <c r="B3493" s="12" t="e">
        <f>MID(MAIN!A3498,K3493,2)</f>
        <v>#VALUE!</v>
      </c>
      <c r="C3493" s="12" t="e">
        <f t="shared" si="216"/>
        <v>#VALUE!</v>
      </c>
      <c r="D3493" s="12" t="e">
        <f>MID(MAIN!A3498,K3493+2,2)</f>
        <v>#VALUE!</v>
      </c>
      <c r="E3493" s="12" t="e">
        <f>MID(MAIN!A3498,K3493+4,2)</f>
        <v>#VALUE!</v>
      </c>
      <c r="F3493" s="2" t="e">
        <f t="shared" si="217"/>
        <v>#VALUE!</v>
      </c>
      <c r="G3493" s="13" t="e">
        <f t="shared" si="218"/>
        <v>#VALUE!</v>
      </c>
      <c r="J3493" t="str">
        <f>MAIN!A3498&amp;"B"</f>
        <v>B</v>
      </c>
      <c r="K3493" s="12" t="e">
        <f t="shared" si="219"/>
        <v>#VALUE!</v>
      </c>
      <c r="L3493" t="str">
        <f>MAIN!C3498</f>
        <v/>
      </c>
    </row>
    <row r="3494" spans="1:12" x14ac:dyDescent="0.3">
      <c r="A3494">
        <f>IF(J3494="0",0,IF(COUNTIF($J$2:J3494,J3494)=1,1,0))</f>
        <v>0</v>
      </c>
      <c r="B3494" s="12" t="e">
        <f>MID(MAIN!A3499,K3494,2)</f>
        <v>#VALUE!</v>
      </c>
      <c r="C3494" s="12" t="e">
        <f t="shared" si="216"/>
        <v>#VALUE!</v>
      </c>
      <c r="D3494" s="12" t="e">
        <f>MID(MAIN!A3499,K3494+2,2)</f>
        <v>#VALUE!</v>
      </c>
      <c r="E3494" s="12" t="e">
        <f>MID(MAIN!A3499,K3494+4,2)</f>
        <v>#VALUE!</v>
      </c>
      <c r="F3494" s="2" t="e">
        <f t="shared" si="217"/>
        <v>#VALUE!</v>
      </c>
      <c r="G3494" s="13" t="e">
        <f t="shared" si="218"/>
        <v>#VALUE!</v>
      </c>
      <c r="J3494" t="str">
        <f>MAIN!A3499&amp;"B"</f>
        <v>B</v>
      </c>
      <c r="K3494" s="12" t="e">
        <f t="shared" si="219"/>
        <v>#VALUE!</v>
      </c>
      <c r="L3494" t="str">
        <f>MAIN!C3499</f>
        <v/>
      </c>
    </row>
    <row r="3495" spans="1:12" x14ac:dyDescent="0.3">
      <c r="A3495">
        <f>IF(J3495="0",0,IF(COUNTIF($J$2:J3495,J3495)=1,1,0))</f>
        <v>0</v>
      </c>
      <c r="B3495" s="12" t="e">
        <f>MID(MAIN!A3500,K3495,2)</f>
        <v>#VALUE!</v>
      </c>
      <c r="C3495" s="12" t="e">
        <f t="shared" si="216"/>
        <v>#VALUE!</v>
      </c>
      <c r="D3495" s="12" t="e">
        <f>MID(MAIN!A3500,K3495+2,2)</f>
        <v>#VALUE!</v>
      </c>
      <c r="E3495" s="12" t="e">
        <f>MID(MAIN!A3500,K3495+4,2)</f>
        <v>#VALUE!</v>
      </c>
      <c r="F3495" s="2" t="e">
        <f t="shared" si="217"/>
        <v>#VALUE!</v>
      </c>
      <c r="G3495" s="13" t="e">
        <f t="shared" si="218"/>
        <v>#VALUE!</v>
      </c>
      <c r="J3495" t="str">
        <f>MAIN!A3500&amp;"B"</f>
        <v>B</v>
      </c>
      <c r="K3495" s="12" t="e">
        <f t="shared" si="219"/>
        <v>#VALUE!</v>
      </c>
      <c r="L3495" t="str">
        <f>MAIN!C3500</f>
        <v/>
      </c>
    </row>
    <row r="3496" spans="1:12" x14ac:dyDescent="0.3">
      <c r="A3496">
        <f>IF(J3496="0",0,IF(COUNTIF($J$2:J3496,J3496)=1,1,0))</f>
        <v>0</v>
      </c>
      <c r="B3496" s="12" t="e">
        <f>MID(MAIN!A3501,K3496,2)</f>
        <v>#VALUE!</v>
      </c>
      <c r="C3496" s="12" t="e">
        <f t="shared" si="216"/>
        <v>#VALUE!</v>
      </c>
      <c r="D3496" s="12" t="e">
        <f>MID(MAIN!A3501,K3496+2,2)</f>
        <v>#VALUE!</v>
      </c>
      <c r="E3496" s="12" t="e">
        <f>MID(MAIN!A3501,K3496+4,2)</f>
        <v>#VALUE!</v>
      </c>
      <c r="F3496" s="2" t="e">
        <f t="shared" si="217"/>
        <v>#VALUE!</v>
      </c>
      <c r="G3496" s="13" t="e">
        <f t="shared" si="218"/>
        <v>#VALUE!</v>
      </c>
      <c r="J3496" t="str">
        <f>MAIN!A3501&amp;"B"</f>
        <v>B</v>
      </c>
      <c r="K3496" s="12" t="e">
        <f t="shared" si="219"/>
        <v>#VALUE!</v>
      </c>
      <c r="L3496" t="str">
        <f>MAIN!C3501</f>
        <v/>
      </c>
    </row>
    <row r="3497" spans="1:12" x14ac:dyDescent="0.3">
      <c r="A3497">
        <f>IF(J3497="0",0,IF(COUNTIF($J$2:J3497,J3497)=1,1,0))</f>
        <v>0</v>
      </c>
      <c r="B3497" s="12" t="e">
        <f>MID(MAIN!A3502,K3497,2)</f>
        <v>#VALUE!</v>
      </c>
      <c r="C3497" s="12" t="e">
        <f t="shared" si="216"/>
        <v>#VALUE!</v>
      </c>
      <c r="D3497" s="12" t="e">
        <f>MID(MAIN!A3502,K3497+2,2)</f>
        <v>#VALUE!</v>
      </c>
      <c r="E3497" s="12" t="e">
        <f>MID(MAIN!A3502,K3497+4,2)</f>
        <v>#VALUE!</v>
      </c>
      <c r="F3497" s="2" t="e">
        <f t="shared" si="217"/>
        <v>#VALUE!</v>
      </c>
      <c r="G3497" s="13" t="e">
        <f t="shared" si="218"/>
        <v>#VALUE!</v>
      </c>
      <c r="J3497" t="str">
        <f>MAIN!A3502&amp;"B"</f>
        <v>B</v>
      </c>
      <c r="K3497" s="12" t="e">
        <f t="shared" si="219"/>
        <v>#VALUE!</v>
      </c>
      <c r="L3497" t="str">
        <f>MAIN!C3502</f>
        <v/>
      </c>
    </row>
    <row r="3498" spans="1:12" x14ac:dyDescent="0.3">
      <c r="A3498">
        <f>IF(J3498="0",0,IF(COUNTIF($J$2:J3498,J3498)=1,1,0))</f>
        <v>0</v>
      </c>
      <c r="B3498" s="12" t="e">
        <f>MID(MAIN!A3503,K3498,2)</f>
        <v>#VALUE!</v>
      </c>
      <c r="C3498" s="12" t="e">
        <f t="shared" si="216"/>
        <v>#VALUE!</v>
      </c>
      <c r="D3498" s="12" t="e">
        <f>MID(MAIN!A3503,K3498+2,2)</f>
        <v>#VALUE!</v>
      </c>
      <c r="E3498" s="12" t="e">
        <f>MID(MAIN!A3503,K3498+4,2)</f>
        <v>#VALUE!</v>
      </c>
      <c r="F3498" s="2" t="e">
        <f t="shared" si="217"/>
        <v>#VALUE!</v>
      </c>
      <c r="G3498" s="13" t="e">
        <f t="shared" si="218"/>
        <v>#VALUE!</v>
      </c>
      <c r="J3498" t="str">
        <f>MAIN!A3503&amp;"B"</f>
        <v>B</v>
      </c>
      <c r="K3498" s="12" t="e">
        <f t="shared" si="219"/>
        <v>#VALUE!</v>
      </c>
      <c r="L3498" t="str">
        <f>MAIN!C3503</f>
        <v/>
      </c>
    </row>
    <row r="3499" spans="1:12" x14ac:dyDescent="0.3">
      <c r="A3499">
        <f>IF(J3499="0",0,IF(COUNTIF($J$2:J3499,J3499)=1,1,0))</f>
        <v>0</v>
      </c>
      <c r="B3499" s="12" t="e">
        <f>MID(MAIN!A3504,K3499,2)</f>
        <v>#VALUE!</v>
      </c>
      <c r="C3499" s="12" t="e">
        <f t="shared" si="216"/>
        <v>#VALUE!</v>
      </c>
      <c r="D3499" s="12" t="e">
        <f>MID(MAIN!A3504,K3499+2,2)</f>
        <v>#VALUE!</v>
      </c>
      <c r="E3499" s="12" t="e">
        <f>MID(MAIN!A3504,K3499+4,2)</f>
        <v>#VALUE!</v>
      </c>
      <c r="F3499" s="2" t="e">
        <f t="shared" si="217"/>
        <v>#VALUE!</v>
      </c>
      <c r="G3499" s="13" t="e">
        <f t="shared" si="218"/>
        <v>#VALUE!</v>
      </c>
      <c r="J3499" t="str">
        <f>MAIN!A3504&amp;"B"</f>
        <v>B</v>
      </c>
      <c r="K3499" s="12" t="e">
        <f t="shared" si="219"/>
        <v>#VALUE!</v>
      </c>
      <c r="L3499" t="str">
        <f>MAIN!C3504</f>
        <v/>
      </c>
    </row>
    <row r="3500" spans="1:12" x14ac:dyDescent="0.3">
      <c r="A3500">
        <f>IF(J3500="0",0,IF(COUNTIF($J$2:J3500,J3500)=1,1,0))</f>
        <v>0</v>
      </c>
      <c r="B3500" s="12" t="e">
        <f>MID(MAIN!A3505,K3500,2)</f>
        <v>#VALUE!</v>
      </c>
      <c r="C3500" s="12" t="e">
        <f t="shared" si="216"/>
        <v>#VALUE!</v>
      </c>
      <c r="D3500" s="12" t="e">
        <f>MID(MAIN!A3505,K3500+2,2)</f>
        <v>#VALUE!</v>
      </c>
      <c r="E3500" s="12" t="e">
        <f>MID(MAIN!A3505,K3500+4,2)</f>
        <v>#VALUE!</v>
      </c>
      <c r="F3500" s="2" t="e">
        <f t="shared" si="217"/>
        <v>#VALUE!</v>
      </c>
      <c r="G3500" s="13" t="e">
        <f t="shared" si="218"/>
        <v>#VALUE!</v>
      </c>
      <c r="J3500" t="str">
        <f>MAIN!A3505&amp;"B"</f>
        <v>B</v>
      </c>
      <c r="K3500" s="12" t="e">
        <f t="shared" si="219"/>
        <v>#VALUE!</v>
      </c>
      <c r="L3500" t="str">
        <f>MAIN!C3505</f>
        <v/>
      </c>
    </row>
    <row r="3501" spans="1:12" x14ac:dyDescent="0.3">
      <c r="A3501">
        <f>IF(J3501="0",0,IF(COUNTIF($J$2:J3501,J3501)=1,1,0))</f>
        <v>0</v>
      </c>
      <c r="B3501" s="12" t="e">
        <f>MID(MAIN!A3506,K3501,2)</f>
        <v>#VALUE!</v>
      </c>
      <c r="C3501" s="12" t="e">
        <f t="shared" si="216"/>
        <v>#VALUE!</v>
      </c>
      <c r="D3501" s="12" t="e">
        <f>MID(MAIN!A3506,K3501+2,2)</f>
        <v>#VALUE!</v>
      </c>
      <c r="E3501" s="12" t="e">
        <f>MID(MAIN!A3506,K3501+4,2)</f>
        <v>#VALUE!</v>
      </c>
      <c r="F3501" s="2" t="e">
        <f t="shared" si="217"/>
        <v>#VALUE!</v>
      </c>
      <c r="G3501" s="13" t="e">
        <f t="shared" si="218"/>
        <v>#VALUE!</v>
      </c>
      <c r="J3501" t="str">
        <f>MAIN!A3506&amp;"B"</f>
        <v>B</v>
      </c>
      <c r="K3501" s="12" t="e">
        <f t="shared" si="219"/>
        <v>#VALUE!</v>
      </c>
      <c r="L3501" t="str">
        <f>MAIN!C3506</f>
        <v/>
      </c>
    </row>
    <row r="3502" spans="1:12" x14ac:dyDescent="0.3">
      <c r="A3502">
        <f>IF(J3502="0",0,IF(COUNTIF($J$2:J3502,J3502)=1,1,0))</f>
        <v>0</v>
      </c>
      <c r="B3502" s="12" t="e">
        <f>MID(MAIN!A3507,K3502,2)</f>
        <v>#VALUE!</v>
      </c>
      <c r="C3502" s="12" t="e">
        <f t="shared" si="216"/>
        <v>#VALUE!</v>
      </c>
      <c r="D3502" s="12" t="e">
        <f>MID(MAIN!A3507,K3502+2,2)</f>
        <v>#VALUE!</v>
      </c>
      <c r="E3502" s="12" t="e">
        <f>MID(MAIN!A3507,K3502+4,2)</f>
        <v>#VALUE!</v>
      </c>
      <c r="F3502" s="2" t="e">
        <f t="shared" si="217"/>
        <v>#VALUE!</v>
      </c>
      <c r="G3502" s="13" t="e">
        <f t="shared" si="218"/>
        <v>#VALUE!</v>
      </c>
      <c r="J3502" t="str">
        <f>MAIN!A3507&amp;"B"</f>
        <v>B</v>
      </c>
      <c r="K3502" s="12" t="e">
        <f t="shared" si="219"/>
        <v>#VALUE!</v>
      </c>
      <c r="L3502" t="str">
        <f>MAIN!C3507</f>
        <v/>
      </c>
    </row>
    <row r="3503" spans="1:12" x14ac:dyDescent="0.3">
      <c r="A3503">
        <f>IF(J3503="0",0,IF(COUNTIF($J$2:J3503,J3503)=1,1,0))</f>
        <v>0</v>
      </c>
      <c r="B3503" s="12" t="e">
        <f>MID(MAIN!A3508,K3503,2)</f>
        <v>#VALUE!</v>
      </c>
      <c r="C3503" s="12" t="e">
        <f t="shared" si="216"/>
        <v>#VALUE!</v>
      </c>
      <c r="D3503" s="12" t="e">
        <f>MID(MAIN!A3508,K3503+2,2)</f>
        <v>#VALUE!</v>
      </c>
      <c r="E3503" s="12" t="e">
        <f>MID(MAIN!A3508,K3503+4,2)</f>
        <v>#VALUE!</v>
      </c>
      <c r="F3503" s="2" t="e">
        <f t="shared" si="217"/>
        <v>#VALUE!</v>
      </c>
      <c r="G3503" s="13" t="e">
        <f t="shared" si="218"/>
        <v>#VALUE!</v>
      </c>
      <c r="J3503" t="str">
        <f>MAIN!A3508&amp;"B"</f>
        <v>B</v>
      </c>
      <c r="K3503" s="12" t="e">
        <f t="shared" si="219"/>
        <v>#VALUE!</v>
      </c>
      <c r="L3503" t="str">
        <f>MAIN!C3508</f>
        <v/>
      </c>
    </row>
    <row r="3504" spans="1:12" x14ac:dyDescent="0.3">
      <c r="A3504">
        <f>IF(J3504="0",0,IF(COUNTIF($J$2:J3504,J3504)=1,1,0))</f>
        <v>0</v>
      </c>
      <c r="B3504" s="12" t="e">
        <f>MID(MAIN!A3509,K3504,2)</f>
        <v>#VALUE!</v>
      </c>
      <c r="C3504" s="12" t="e">
        <f t="shared" si="216"/>
        <v>#VALUE!</v>
      </c>
      <c r="D3504" s="12" t="e">
        <f>MID(MAIN!A3509,K3504+2,2)</f>
        <v>#VALUE!</v>
      </c>
      <c r="E3504" s="12" t="e">
        <f>MID(MAIN!A3509,K3504+4,2)</f>
        <v>#VALUE!</v>
      </c>
      <c r="F3504" s="2" t="e">
        <f t="shared" si="217"/>
        <v>#VALUE!</v>
      </c>
      <c r="G3504" s="13" t="e">
        <f t="shared" si="218"/>
        <v>#VALUE!</v>
      </c>
      <c r="J3504" t="str">
        <f>MAIN!A3509&amp;"B"</f>
        <v>B</v>
      </c>
      <c r="K3504" s="12" t="e">
        <f t="shared" si="219"/>
        <v>#VALUE!</v>
      </c>
      <c r="L3504" t="str">
        <f>MAIN!C3509</f>
        <v/>
      </c>
    </row>
    <row r="3505" spans="1:12" x14ac:dyDescent="0.3">
      <c r="A3505">
        <f>IF(J3505="0",0,IF(COUNTIF($J$2:J3505,J3505)=1,1,0))</f>
        <v>0</v>
      </c>
      <c r="B3505" s="12" t="e">
        <f>MID(MAIN!A3510,K3505,2)</f>
        <v>#VALUE!</v>
      </c>
      <c r="C3505" s="12" t="e">
        <f t="shared" si="216"/>
        <v>#VALUE!</v>
      </c>
      <c r="D3505" s="12" t="e">
        <f>MID(MAIN!A3510,K3505+2,2)</f>
        <v>#VALUE!</v>
      </c>
      <c r="E3505" s="12" t="e">
        <f>MID(MAIN!A3510,K3505+4,2)</f>
        <v>#VALUE!</v>
      </c>
      <c r="F3505" s="2" t="e">
        <f t="shared" si="217"/>
        <v>#VALUE!</v>
      </c>
      <c r="G3505" s="13" t="e">
        <f t="shared" si="218"/>
        <v>#VALUE!</v>
      </c>
      <c r="J3505" t="str">
        <f>MAIN!A3510&amp;"B"</f>
        <v>B</v>
      </c>
      <c r="K3505" s="12" t="e">
        <f t="shared" si="219"/>
        <v>#VALUE!</v>
      </c>
      <c r="L3505" t="str">
        <f>MAIN!C3510</f>
        <v/>
      </c>
    </row>
    <row r="3506" spans="1:12" x14ac:dyDescent="0.3">
      <c r="A3506">
        <f>IF(J3506="0",0,IF(COUNTIF($J$2:J3506,J3506)=1,1,0))</f>
        <v>0</v>
      </c>
      <c r="B3506" s="12" t="e">
        <f>MID(MAIN!A3511,K3506,2)</f>
        <v>#VALUE!</v>
      </c>
      <c r="C3506" s="12" t="e">
        <f t="shared" si="216"/>
        <v>#VALUE!</v>
      </c>
      <c r="D3506" s="12" t="e">
        <f>MID(MAIN!A3511,K3506+2,2)</f>
        <v>#VALUE!</v>
      </c>
      <c r="E3506" s="12" t="e">
        <f>MID(MAIN!A3511,K3506+4,2)</f>
        <v>#VALUE!</v>
      </c>
      <c r="F3506" s="2" t="e">
        <f t="shared" si="217"/>
        <v>#VALUE!</v>
      </c>
      <c r="G3506" s="13" t="e">
        <f t="shared" si="218"/>
        <v>#VALUE!</v>
      </c>
      <c r="J3506" t="str">
        <f>MAIN!A3511&amp;"B"</f>
        <v>B</v>
      </c>
      <c r="K3506" s="12" t="e">
        <f t="shared" si="219"/>
        <v>#VALUE!</v>
      </c>
      <c r="L3506" t="str">
        <f>MAIN!C3511</f>
        <v/>
      </c>
    </row>
    <row r="3507" spans="1:12" x14ac:dyDescent="0.3">
      <c r="A3507">
        <f>IF(J3507="0",0,IF(COUNTIF($J$2:J3507,J3507)=1,1,0))</f>
        <v>0</v>
      </c>
      <c r="B3507" s="12" t="e">
        <f>MID(MAIN!A3512,K3507,2)</f>
        <v>#VALUE!</v>
      </c>
      <c r="C3507" s="12" t="e">
        <f t="shared" si="216"/>
        <v>#VALUE!</v>
      </c>
      <c r="D3507" s="12" t="e">
        <f>MID(MAIN!A3512,K3507+2,2)</f>
        <v>#VALUE!</v>
      </c>
      <c r="E3507" s="12" t="e">
        <f>MID(MAIN!A3512,K3507+4,2)</f>
        <v>#VALUE!</v>
      </c>
      <c r="F3507" s="2" t="e">
        <f t="shared" si="217"/>
        <v>#VALUE!</v>
      </c>
      <c r="G3507" s="13" t="e">
        <f t="shared" si="218"/>
        <v>#VALUE!</v>
      </c>
      <c r="J3507" t="str">
        <f>MAIN!A3512&amp;"B"</f>
        <v>B</v>
      </c>
      <c r="K3507" s="12" t="e">
        <f t="shared" si="219"/>
        <v>#VALUE!</v>
      </c>
      <c r="L3507" t="str">
        <f>MAIN!C3512</f>
        <v/>
      </c>
    </row>
    <row r="3508" spans="1:12" x14ac:dyDescent="0.3">
      <c r="A3508">
        <f>IF(J3508="0",0,IF(COUNTIF($J$2:J3508,J3508)=1,1,0))</f>
        <v>0</v>
      </c>
      <c r="B3508" s="12" t="e">
        <f>MID(MAIN!A3513,K3508,2)</f>
        <v>#VALUE!</v>
      </c>
      <c r="C3508" s="12" t="e">
        <f t="shared" si="216"/>
        <v>#VALUE!</v>
      </c>
      <c r="D3508" s="12" t="e">
        <f>MID(MAIN!A3513,K3508+2,2)</f>
        <v>#VALUE!</v>
      </c>
      <c r="E3508" s="12" t="e">
        <f>MID(MAIN!A3513,K3508+4,2)</f>
        <v>#VALUE!</v>
      </c>
      <c r="F3508" s="2" t="e">
        <f t="shared" si="217"/>
        <v>#VALUE!</v>
      </c>
      <c r="G3508" s="13" t="e">
        <f t="shared" si="218"/>
        <v>#VALUE!</v>
      </c>
      <c r="J3508" t="str">
        <f>MAIN!A3513&amp;"B"</f>
        <v>B</v>
      </c>
      <c r="K3508" s="12" t="e">
        <f t="shared" si="219"/>
        <v>#VALUE!</v>
      </c>
      <c r="L3508" t="str">
        <f>MAIN!C3513</f>
        <v/>
      </c>
    </row>
    <row r="3509" spans="1:12" x14ac:dyDescent="0.3">
      <c r="A3509">
        <f>IF(J3509="0",0,IF(COUNTIF($J$2:J3509,J3509)=1,1,0))</f>
        <v>0</v>
      </c>
      <c r="B3509" s="12" t="e">
        <f>MID(MAIN!A3514,K3509,2)</f>
        <v>#VALUE!</v>
      </c>
      <c r="C3509" s="12" t="e">
        <f t="shared" si="216"/>
        <v>#VALUE!</v>
      </c>
      <c r="D3509" s="12" t="e">
        <f>MID(MAIN!A3514,K3509+2,2)</f>
        <v>#VALUE!</v>
      </c>
      <c r="E3509" s="12" t="e">
        <f>MID(MAIN!A3514,K3509+4,2)</f>
        <v>#VALUE!</v>
      </c>
      <c r="F3509" s="2" t="e">
        <f t="shared" si="217"/>
        <v>#VALUE!</v>
      </c>
      <c r="G3509" s="13" t="e">
        <f t="shared" si="218"/>
        <v>#VALUE!</v>
      </c>
      <c r="J3509" t="str">
        <f>MAIN!A3514&amp;"B"</f>
        <v>B</v>
      </c>
      <c r="K3509" s="12" t="e">
        <f t="shared" si="219"/>
        <v>#VALUE!</v>
      </c>
      <c r="L3509" t="str">
        <f>MAIN!C3514</f>
        <v/>
      </c>
    </row>
    <row r="3510" spans="1:12" x14ac:dyDescent="0.3">
      <c r="A3510">
        <f>IF(J3510="0",0,IF(COUNTIF($J$2:J3510,J3510)=1,1,0))</f>
        <v>0</v>
      </c>
      <c r="B3510" s="12" t="e">
        <f>MID(MAIN!A3515,K3510,2)</f>
        <v>#VALUE!</v>
      </c>
      <c r="C3510" s="12" t="e">
        <f t="shared" si="216"/>
        <v>#VALUE!</v>
      </c>
      <c r="D3510" s="12" t="e">
        <f>MID(MAIN!A3515,K3510+2,2)</f>
        <v>#VALUE!</v>
      </c>
      <c r="E3510" s="12" t="e">
        <f>MID(MAIN!A3515,K3510+4,2)</f>
        <v>#VALUE!</v>
      </c>
      <c r="F3510" s="2" t="e">
        <f t="shared" si="217"/>
        <v>#VALUE!</v>
      </c>
      <c r="G3510" s="13" t="e">
        <f t="shared" si="218"/>
        <v>#VALUE!</v>
      </c>
      <c r="J3510" t="str">
        <f>MAIN!A3515&amp;"B"</f>
        <v>B</v>
      </c>
      <c r="K3510" s="12" t="e">
        <f t="shared" si="219"/>
        <v>#VALUE!</v>
      </c>
      <c r="L3510" t="str">
        <f>MAIN!C3515</f>
        <v/>
      </c>
    </row>
    <row r="3511" spans="1:12" x14ac:dyDescent="0.3">
      <c r="A3511">
        <f>IF(J3511="0",0,IF(COUNTIF($J$2:J3511,J3511)=1,1,0))</f>
        <v>0</v>
      </c>
      <c r="B3511" s="12" t="e">
        <f>MID(MAIN!A3516,K3511,2)</f>
        <v>#VALUE!</v>
      </c>
      <c r="C3511" s="12" t="e">
        <f t="shared" si="216"/>
        <v>#VALUE!</v>
      </c>
      <c r="D3511" s="12" t="e">
        <f>MID(MAIN!A3516,K3511+2,2)</f>
        <v>#VALUE!</v>
      </c>
      <c r="E3511" s="12" t="e">
        <f>MID(MAIN!A3516,K3511+4,2)</f>
        <v>#VALUE!</v>
      </c>
      <c r="F3511" s="2" t="e">
        <f t="shared" si="217"/>
        <v>#VALUE!</v>
      </c>
      <c r="G3511" s="13" t="e">
        <f t="shared" si="218"/>
        <v>#VALUE!</v>
      </c>
      <c r="J3511" t="str">
        <f>MAIN!A3516&amp;"B"</f>
        <v>B</v>
      </c>
      <c r="K3511" s="12" t="e">
        <f t="shared" si="219"/>
        <v>#VALUE!</v>
      </c>
      <c r="L3511" t="str">
        <f>MAIN!C3516</f>
        <v/>
      </c>
    </row>
    <row r="3512" spans="1:12" x14ac:dyDescent="0.3">
      <c r="A3512">
        <f>IF(J3512="0",0,IF(COUNTIF($J$2:J3512,J3512)=1,1,0))</f>
        <v>0</v>
      </c>
      <c r="B3512" s="12" t="e">
        <f>MID(MAIN!A3517,K3512,2)</f>
        <v>#VALUE!</v>
      </c>
      <c r="C3512" s="12" t="e">
        <f t="shared" si="216"/>
        <v>#VALUE!</v>
      </c>
      <c r="D3512" s="12" t="e">
        <f>MID(MAIN!A3517,K3512+2,2)</f>
        <v>#VALUE!</v>
      </c>
      <c r="E3512" s="12" t="e">
        <f>MID(MAIN!A3517,K3512+4,2)</f>
        <v>#VALUE!</v>
      </c>
      <c r="F3512" s="2" t="e">
        <f t="shared" si="217"/>
        <v>#VALUE!</v>
      </c>
      <c r="G3512" s="13" t="e">
        <f t="shared" si="218"/>
        <v>#VALUE!</v>
      </c>
      <c r="J3512" t="str">
        <f>MAIN!A3517&amp;"B"</f>
        <v>B</v>
      </c>
      <c r="K3512" s="12" t="e">
        <f t="shared" si="219"/>
        <v>#VALUE!</v>
      </c>
      <c r="L3512" t="str">
        <f>MAIN!C3517</f>
        <v/>
      </c>
    </row>
    <row r="3513" spans="1:12" x14ac:dyDescent="0.3">
      <c r="A3513">
        <f>IF(J3513="0",0,IF(COUNTIF($J$2:J3513,J3513)=1,1,0))</f>
        <v>0</v>
      </c>
      <c r="B3513" s="12" t="e">
        <f>MID(MAIN!A3518,K3513,2)</f>
        <v>#VALUE!</v>
      </c>
      <c r="C3513" s="12" t="e">
        <f t="shared" si="216"/>
        <v>#VALUE!</v>
      </c>
      <c r="D3513" s="12" t="e">
        <f>MID(MAIN!A3518,K3513+2,2)</f>
        <v>#VALUE!</v>
      </c>
      <c r="E3513" s="12" t="e">
        <f>MID(MAIN!A3518,K3513+4,2)</f>
        <v>#VALUE!</v>
      </c>
      <c r="F3513" s="2" t="e">
        <f t="shared" si="217"/>
        <v>#VALUE!</v>
      </c>
      <c r="G3513" s="13" t="e">
        <f t="shared" si="218"/>
        <v>#VALUE!</v>
      </c>
      <c r="J3513" t="str">
        <f>MAIN!A3518&amp;"B"</f>
        <v>B</v>
      </c>
      <c r="K3513" s="12" t="e">
        <f t="shared" si="219"/>
        <v>#VALUE!</v>
      </c>
      <c r="L3513" t="str">
        <f>MAIN!C3518</f>
        <v/>
      </c>
    </row>
    <row r="3514" spans="1:12" x14ac:dyDescent="0.3">
      <c r="A3514">
        <f>IF(J3514="0",0,IF(COUNTIF($J$2:J3514,J3514)=1,1,0))</f>
        <v>0</v>
      </c>
      <c r="B3514" s="12" t="e">
        <f>MID(MAIN!A3519,K3514,2)</f>
        <v>#VALUE!</v>
      </c>
      <c r="C3514" s="12" t="e">
        <f t="shared" si="216"/>
        <v>#VALUE!</v>
      </c>
      <c r="D3514" s="12" t="e">
        <f>MID(MAIN!A3519,K3514+2,2)</f>
        <v>#VALUE!</v>
      </c>
      <c r="E3514" s="12" t="e">
        <f>MID(MAIN!A3519,K3514+4,2)</f>
        <v>#VALUE!</v>
      </c>
      <c r="F3514" s="2" t="e">
        <f t="shared" si="217"/>
        <v>#VALUE!</v>
      </c>
      <c r="G3514" s="13" t="e">
        <f t="shared" si="218"/>
        <v>#VALUE!</v>
      </c>
      <c r="J3514" t="str">
        <f>MAIN!A3519&amp;"B"</f>
        <v>B</v>
      </c>
      <c r="K3514" s="12" t="e">
        <f t="shared" si="219"/>
        <v>#VALUE!</v>
      </c>
      <c r="L3514" t="str">
        <f>MAIN!C3519</f>
        <v/>
      </c>
    </row>
    <row r="3515" spans="1:12" x14ac:dyDescent="0.3">
      <c r="A3515">
        <f>IF(J3515="0",0,IF(COUNTIF($J$2:J3515,J3515)=1,1,0))</f>
        <v>0</v>
      </c>
      <c r="B3515" s="12" t="e">
        <f>MID(MAIN!A3520,K3515,2)</f>
        <v>#VALUE!</v>
      </c>
      <c r="C3515" s="12" t="e">
        <f t="shared" si="216"/>
        <v>#VALUE!</v>
      </c>
      <c r="D3515" s="12" t="e">
        <f>MID(MAIN!A3520,K3515+2,2)</f>
        <v>#VALUE!</v>
      </c>
      <c r="E3515" s="12" t="e">
        <f>MID(MAIN!A3520,K3515+4,2)</f>
        <v>#VALUE!</v>
      </c>
      <c r="F3515" s="2" t="e">
        <f t="shared" si="217"/>
        <v>#VALUE!</v>
      </c>
      <c r="G3515" s="13" t="e">
        <f t="shared" si="218"/>
        <v>#VALUE!</v>
      </c>
      <c r="J3515" t="str">
        <f>MAIN!A3520&amp;"B"</f>
        <v>B</v>
      </c>
      <c r="K3515" s="12" t="e">
        <f t="shared" si="219"/>
        <v>#VALUE!</v>
      </c>
      <c r="L3515" t="str">
        <f>MAIN!C3520</f>
        <v/>
      </c>
    </row>
    <row r="3516" spans="1:12" x14ac:dyDescent="0.3">
      <c r="A3516">
        <f>IF(J3516="0",0,IF(COUNTIF($J$2:J3516,J3516)=1,1,0))</f>
        <v>0</v>
      </c>
      <c r="B3516" s="12" t="e">
        <f>MID(MAIN!A3521,K3516,2)</f>
        <v>#VALUE!</v>
      </c>
      <c r="C3516" s="12" t="e">
        <f t="shared" si="216"/>
        <v>#VALUE!</v>
      </c>
      <c r="D3516" s="12" t="e">
        <f>MID(MAIN!A3521,K3516+2,2)</f>
        <v>#VALUE!</v>
      </c>
      <c r="E3516" s="12" t="e">
        <f>MID(MAIN!A3521,K3516+4,2)</f>
        <v>#VALUE!</v>
      </c>
      <c r="F3516" s="2" t="e">
        <f t="shared" si="217"/>
        <v>#VALUE!</v>
      </c>
      <c r="G3516" s="13" t="e">
        <f t="shared" si="218"/>
        <v>#VALUE!</v>
      </c>
      <c r="J3516" t="str">
        <f>MAIN!A3521&amp;"B"</f>
        <v>B</v>
      </c>
      <c r="K3516" s="12" t="e">
        <f t="shared" si="219"/>
        <v>#VALUE!</v>
      </c>
      <c r="L3516" t="str">
        <f>MAIN!C3521</f>
        <v/>
      </c>
    </row>
    <row r="3517" spans="1:12" x14ac:dyDescent="0.3">
      <c r="A3517">
        <f>IF(J3517="0",0,IF(COUNTIF($J$2:J3517,J3517)=1,1,0))</f>
        <v>0</v>
      </c>
      <c r="B3517" s="12" t="e">
        <f>MID(MAIN!A3522,K3517,2)</f>
        <v>#VALUE!</v>
      </c>
      <c r="C3517" s="12" t="e">
        <f t="shared" si="216"/>
        <v>#VALUE!</v>
      </c>
      <c r="D3517" s="12" t="e">
        <f>MID(MAIN!A3522,K3517+2,2)</f>
        <v>#VALUE!</v>
      </c>
      <c r="E3517" s="12" t="e">
        <f>MID(MAIN!A3522,K3517+4,2)</f>
        <v>#VALUE!</v>
      </c>
      <c r="F3517" s="2" t="e">
        <f t="shared" si="217"/>
        <v>#VALUE!</v>
      </c>
      <c r="G3517" s="13" t="e">
        <f t="shared" si="218"/>
        <v>#VALUE!</v>
      </c>
      <c r="J3517" t="str">
        <f>MAIN!A3522&amp;"B"</f>
        <v>B</v>
      </c>
      <c r="K3517" s="12" t="e">
        <f t="shared" si="219"/>
        <v>#VALUE!</v>
      </c>
      <c r="L3517" t="str">
        <f>MAIN!C3522</f>
        <v/>
      </c>
    </row>
    <row r="3518" spans="1:12" x14ac:dyDescent="0.3">
      <c r="A3518">
        <f>IF(J3518="0",0,IF(COUNTIF($J$2:J3518,J3518)=1,1,0))</f>
        <v>0</v>
      </c>
      <c r="B3518" s="12" t="e">
        <f>MID(MAIN!A3523,K3518,2)</f>
        <v>#VALUE!</v>
      </c>
      <c r="C3518" s="12" t="e">
        <f t="shared" si="216"/>
        <v>#VALUE!</v>
      </c>
      <c r="D3518" s="12" t="e">
        <f>MID(MAIN!A3523,K3518+2,2)</f>
        <v>#VALUE!</v>
      </c>
      <c r="E3518" s="12" t="e">
        <f>MID(MAIN!A3523,K3518+4,2)</f>
        <v>#VALUE!</v>
      </c>
      <c r="F3518" s="2" t="e">
        <f t="shared" si="217"/>
        <v>#VALUE!</v>
      </c>
      <c r="G3518" s="13" t="e">
        <f t="shared" si="218"/>
        <v>#VALUE!</v>
      </c>
      <c r="J3518" t="str">
        <f>MAIN!A3523&amp;"B"</f>
        <v>B</v>
      </c>
      <c r="K3518" s="12" t="e">
        <f t="shared" si="219"/>
        <v>#VALUE!</v>
      </c>
      <c r="L3518" t="str">
        <f>MAIN!C3523</f>
        <v/>
      </c>
    </row>
    <row r="3519" spans="1:12" x14ac:dyDescent="0.3">
      <c r="A3519">
        <f>IF(J3519="0",0,IF(COUNTIF($J$2:J3519,J3519)=1,1,0))</f>
        <v>0</v>
      </c>
      <c r="B3519" s="12" t="e">
        <f>MID(MAIN!A3524,K3519,2)</f>
        <v>#VALUE!</v>
      </c>
      <c r="C3519" s="12" t="e">
        <f t="shared" si="216"/>
        <v>#VALUE!</v>
      </c>
      <c r="D3519" s="12" t="e">
        <f>MID(MAIN!A3524,K3519+2,2)</f>
        <v>#VALUE!</v>
      </c>
      <c r="E3519" s="12" t="e">
        <f>MID(MAIN!A3524,K3519+4,2)</f>
        <v>#VALUE!</v>
      </c>
      <c r="F3519" s="2" t="e">
        <f t="shared" si="217"/>
        <v>#VALUE!</v>
      </c>
      <c r="G3519" s="13" t="e">
        <f t="shared" si="218"/>
        <v>#VALUE!</v>
      </c>
      <c r="J3519" t="str">
        <f>MAIN!A3524&amp;"B"</f>
        <v>B</v>
      </c>
      <c r="K3519" s="12" t="e">
        <f t="shared" si="219"/>
        <v>#VALUE!</v>
      </c>
      <c r="L3519" t="str">
        <f>MAIN!C3524</f>
        <v/>
      </c>
    </row>
    <row r="3520" spans="1:12" x14ac:dyDescent="0.3">
      <c r="A3520">
        <f>IF(J3520="0",0,IF(COUNTIF($J$2:J3520,J3520)=1,1,0))</f>
        <v>0</v>
      </c>
      <c r="B3520" s="12" t="e">
        <f>MID(MAIN!A3525,K3520,2)</f>
        <v>#VALUE!</v>
      </c>
      <c r="C3520" s="12" t="e">
        <f t="shared" si="216"/>
        <v>#VALUE!</v>
      </c>
      <c r="D3520" s="12" t="e">
        <f>MID(MAIN!A3525,K3520+2,2)</f>
        <v>#VALUE!</v>
      </c>
      <c r="E3520" s="12" t="e">
        <f>MID(MAIN!A3525,K3520+4,2)</f>
        <v>#VALUE!</v>
      </c>
      <c r="F3520" s="2" t="e">
        <f t="shared" si="217"/>
        <v>#VALUE!</v>
      </c>
      <c r="G3520" s="13" t="e">
        <f t="shared" si="218"/>
        <v>#VALUE!</v>
      </c>
      <c r="J3520" t="str">
        <f>MAIN!A3525&amp;"B"</f>
        <v>B</v>
      </c>
      <c r="K3520" s="12" t="e">
        <f t="shared" si="219"/>
        <v>#VALUE!</v>
      </c>
      <c r="L3520" t="str">
        <f>MAIN!C3525</f>
        <v/>
      </c>
    </row>
    <row r="3521" spans="1:12" x14ac:dyDescent="0.3">
      <c r="A3521">
        <f>IF(J3521="0",0,IF(COUNTIF($J$2:J3521,J3521)=1,1,0))</f>
        <v>0</v>
      </c>
      <c r="B3521" s="12" t="e">
        <f>MID(MAIN!A3526,K3521,2)</f>
        <v>#VALUE!</v>
      </c>
      <c r="C3521" s="12" t="e">
        <f t="shared" si="216"/>
        <v>#VALUE!</v>
      </c>
      <c r="D3521" s="12" t="e">
        <f>MID(MAIN!A3526,K3521+2,2)</f>
        <v>#VALUE!</v>
      </c>
      <c r="E3521" s="12" t="e">
        <f>MID(MAIN!A3526,K3521+4,2)</f>
        <v>#VALUE!</v>
      </c>
      <c r="F3521" s="2" t="e">
        <f t="shared" si="217"/>
        <v>#VALUE!</v>
      </c>
      <c r="G3521" s="13" t="e">
        <f t="shared" si="218"/>
        <v>#VALUE!</v>
      </c>
      <c r="J3521" t="str">
        <f>MAIN!A3526&amp;"B"</f>
        <v>B</v>
      </c>
      <c r="K3521" s="12" t="e">
        <f t="shared" si="219"/>
        <v>#VALUE!</v>
      </c>
      <c r="L3521" t="str">
        <f>MAIN!C3526</f>
        <v/>
      </c>
    </row>
    <row r="3522" spans="1:12" x14ac:dyDescent="0.3">
      <c r="A3522">
        <f>IF(J3522="0",0,IF(COUNTIF($J$2:J3522,J3522)=1,1,0))</f>
        <v>0</v>
      </c>
      <c r="B3522" s="12" t="e">
        <f>MID(MAIN!A3527,K3522,2)</f>
        <v>#VALUE!</v>
      </c>
      <c r="C3522" s="12" t="e">
        <f t="shared" si="216"/>
        <v>#VALUE!</v>
      </c>
      <c r="D3522" s="12" t="e">
        <f>MID(MAIN!A3527,K3522+2,2)</f>
        <v>#VALUE!</v>
      </c>
      <c r="E3522" s="12" t="e">
        <f>MID(MAIN!A3527,K3522+4,2)</f>
        <v>#VALUE!</v>
      </c>
      <c r="F3522" s="2" t="e">
        <f t="shared" si="217"/>
        <v>#VALUE!</v>
      </c>
      <c r="G3522" s="13" t="e">
        <f t="shared" si="218"/>
        <v>#VALUE!</v>
      </c>
      <c r="J3522" t="str">
        <f>MAIN!A3527&amp;"B"</f>
        <v>B</v>
      </c>
      <c r="K3522" s="12" t="e">
        <f t="shared" si="219"/>
        <v>#VALUE!</v>
      </c>
      <c r="L3522" t="str">
        <f>MAIN!C3527</f>
        <v/>
      </c>
    </row>
    <row r="3523" spans="1:12" x14ac:dyDescent="0.3">
      <c r="A3523">
        <f>IF(J3523="0",0,IF(COUNTIF($J$2:J3523,J3523)=1,1,0))</f>
        <v>0</v>
      </c>
      <c r="B3523" s="12" t="e">
        <f>MID(MAIN!A3528,K3523,2)</f>
        <v>#VALUE!</v>
      </c>
      <c r="C3523" s="12" t="e">
        <f t="shared" ref="C3523:C3586" si="220">"20"&amp;B3523</f>
        <v>#VALUE!</v>
      </c>
      <c r="D3523" s="12" t="e">
        <f>MID(MAIN!A3528,K3523+2,2)</f>
        <v>#VALUE!</v>
      </c>
      <c r="E3523" s="12" t="e">
        <f>MID(MAIN!A3528,K3523+4,2)</f>
        <v>#VALUE!</v>
      </c>
      <c r="F3523" s="2" t="e">
        <f t="shared" ref="F3523:F3586" si="221">C3523&amp;"/"&amp;D3523&amp;"/"&amp;E3523</f>
        <v>#VALUE!</v>
      </c>
      <c r="G3523" s="13" t="e">
        <f t="shared" ref="G3523:G3586" si="222">DATEVALUE(F3523)</f>
        <v>#VALUE!</v>
      </c>
      <c r="J3523" t="str">
        <f>MAIN!A3528&amp;"B"</f>
        <v>B</v>
      </c>
      <c r="K3523" s="12" t="e">
        <f t="shared" ref="K3523:K3586" si="223">FIND("172",J3523,30)+2</f>
        <v>#VALUE!</v>
      </c>
      <c r="L3523" t="str">
        <f>MAIN!C3528</f>
        <v/>
      </c>
    </row>
    <row r="3524" spans="1:12" x14ac:dyDescent="0.3">
      <c r="A3524">
        <f>IF(J3524="0",0,IF(COUNTIF($J$2:J3524,J3524)=1,1,0))</f>
        <v>0</v>
      </c>
      <c r="B3524" s="12" t="e">
        <f>MID(MAIN!A3529,K3524,2)</f>
        <v>#VALUE!</v>
      </c>
      <c r="C3524" s="12" t="e">
        <f t="shared" si="220"/>
        <v>#VALUE!</v>
      </c>
      <c r="D3524" s="12" t="e">
        <f>MID(MAIN!A3529,K3524+2,2)</f>
        <v>#VALUE!</v>
      </c>
      <c r="E3524" s="12" t="e">
        <f>MID(MAIN!A3529,K3524+4,2)</f>
        <v>#VALUE!</v>
      </c>
      <c r="F3524" s="2" t="e">
        <f t="shared" si="221"/>
        <v>#VALUE!</v>
      </c>
      <c r="G3524" s="13" t="e">
        <f t="shared" si="222"/>
        <v>#VALUE!</v>
      </c>
      <c r="J3524" t="str">
        <f>MAIN!A3529&amp;"B"</f>
        <v>B</v>
      </c>
      <c r="K3524" s="12" t="e">
        <f t="shared" si="223"/>
        <v>#VALUE!</v>
      </c>
      <c r="L3524" t="str">
        <f>MAIN!C3529</f>
        <v/>
      </c>
    </row>
    <row r="3525" spans="1:12" x14ac:dyDescent="0.3">
      <c r="A3525">
        <f>IF(J3525="0",0,IF(COUNTIF($J$2:J3525,J3525)=1,1,0))</f>
        <v>0</v>
      </c>
      <c r="B3525" s="12" t="e">
        <f>MID(MAIN!A3530,K3525,2)</f>
        <v>#VALUE!</v>
      </c>
      <c r="C3525" s="12" t="e">
        <f t="shared" si="220"/>
        <v>#VALUE!</v>
      </c>
      <c r="D3525" s="12" t="e">
        <f>MID(MAIN!A3530,K3525+2,2)</f>
        <v>#VALUE!</v>
      </c>
      <c r="E3525" s="12" t="e">
        <f>MID(MAIN!A3530,K3525+4,2)</f>
        <v>#VALUE!</v>
      </c>
      <c r="F3525" s="2" t="e">
        <f t="shared" si="221"/>
        <v>#VALUE!</v>
      </c>
      <c r="G3525" s="13" t="e">
        <f t="shared" si="222"/>
        <v>#VALUE!</v>
      </c>
      <c r="J3525" t="str">
        <f>MAIN!A3530&amp;"B"</f>
        <v>B</v>
      </c>
      <c r="K3525" s="12" t="e">
        <f t="shared" si="223"/>
        <v>#VALUE!</v>
      </c>
      <c r="L3525" t="str">
        <f>MAIN!C3530</f>
        <v/>
      </c>
    </row>
    <row r="3526" spans="1:12" x14ac:dyDescent="0.3">
      <c r="A3526">
        <f>IF(J3526="0",0,IF(COUNTIF($J$2:J3526,J3526)=1,1,0))</f>
        <v>0</v>
      </c>
      <c r="B3526" s="12" t="e">
        <f>MID(MAIN!A3531,K3526,2)</f>
        <v>#VALUE!</v>
      </c>
      <c r="C3526" s="12" t="e">
        <f t="shared" si="220"/>
        <v>#VALUE!</v>
      </c>
      <c r="D3526" s="12" t="e">
        <f>MID(MAIN!A3531,K3526+2,2)</f>
        <v>#VALUE!</v>
      </c>
      <c r="E3526" s="12" t="e">
        <f>MID(MAIN!A3531,K3526+4,2)</f>
        <v>#VALUE!</v>
      </c>
      <c r="F3526" s="2" t="e">
        <f t="shared" si="221"/>
        <v>#VALUE!</v>
      </c>
      <c r="G3526" s="13" t="e">
        <f t="shared" si="222"/>
        <v>#VALUE!</v>
      </c>
      <c r="J3526" t="str">
        <f>MAIN!A3531&amp;"B"</f>
        <v>B</v>
      </c>
      <c r="K3526" s="12" t="e">
        <f t="shared" si="223"/>
        <v>#VALUE!</v>
      </c>
      <c r="L3526" t="str">
        <f>MAIN!C3531</f>
        <v/>
      </c>
    </row>
    <row r="3527" spans="1:12" x14ac:dyDescent="0.3">
      <c r="A3527">
        <f>IF(J3527="0",0,IF(COUNTIF($J$2:J3527,J3527)=1,1,0))</f>
        <v>0</v>
      </c>
      <c r="B3527" s="12" t="e">
        <f>MID(MAIN!A3532,K3527,2)</f>
        <v>#VALUE!</v>
      </c>
      <c r="C3527" s="12" t="e">
        <f t="shared" si="220"/>
        <v>#VALUE!</v>
      </c>
      <c r="D3527" s="12" t="e">
        <f>MID(MAIN!A3532,K3527+2,2)</f>
        <v>#VALUE!</v>
      </c>
      <c r="E3527" s="12" t="e">
        <f>MID(MAIN!A3532,K3527+4,2)</f>
        <v>#VALUE!</v>
      </c>
      <c r="F3527" s="2" t="e">
        <f t="shared" si="221"/>
        <v>#VALUE!</v>
      </c>
      <c r="G3527" s="13" t="e">
        <f t="shared" si="222"/>
        <v>#VALUE!</v>
      </c>
      <c r="J3527" t="str">
        <f>MAIN!A3532&amp;"B"</f>
        <v>B</v>
      </c>
      <c r="K3527" s="12" t="e">
        <f t="shared" si="223"/>
        <v>#VALUE!</v>
      </c>
      <c r="L3527" t="str">
        <f>MAIN!C3532</f>
        <v/>
      </c>
    </row>
    <row r="3528" spans="1:12" x14ac:dyDescent="0.3">
      <c r="A3528">
        <f>IF(J3528="0",0,IF(COUNTIF($J$2:J3528,J3528)=1,1,0))</f>
        <v>0</v>
      </c>
      <c r="B3528" s="12" t="e">
        <f>MID(MAIN!A3533,K3528,2)</f>
        <v>#VALUE!</v>
      </c>
      <c r="C3528" s="12" t="e">
        <f t="shared" si="220"/>
        <v>#VALUE!</v>
      </c>
      <c r="D3528" s="12" t="e">
        <f>MID(MAIN!A3533,K3528+2,2)</f>
        <v>#VALUE!</v>
      </c>
      <c r="E3528" s="12" t="e">
        <f>MID(MAIN!A3533,K3528+4,2)</f>
        <v>#VALUE!</v>
      </c>
      <c r="F3528" s="2" t="e">
        <f t="shared" si="221"/>
        <v>#VALUE!</v>
      </c>
      <c r="G3528" s="13" t="e">
        <f t="shared" si="222"/>
        <v>#VALUE!</v>
      </c>
      <c r="J3528" t="str">
        <f>MAIN!A3533&amp;"B"</f>
        <v>B</v>
      </c>
      <c r="K3528" s="12" t="e">
        <f t="shared" si="223"/>
        <v>#VALUE!</v>
      </c>
      <c r="L3528" t="str">
        <f>MAIN!C3533</f>
        <v/>
      </c>
    </row>
    <row r="3529" spans="1:12" x14ac:dyDescent="0.3">
      <c r="A3529">
        <f>IF(J3529="0",0,IF(COUNTIF($J$2:J3529,J3529)=1,1,0))</f>
        <v>0</v>
      </c>
      <c r="B3529" s="12" t="e">
        <f>MID(MAIN!A3534,K3529,2)</f>
        <v>#VALUE!</v>
      </c>
      <c r="C3529" s="12" t="e">
        <f t="shared" si="220"/>
        <v>#VALUE!</v>
      </c>
      <c r="D3529" s="12" t="e">
        <f>MID(MAIN!A3534,K3529+2,2)</f>
        <v>#VALUE!</v>
      </c>
      <c r="E3529" s="12" t="e">
        <f>MID(MAIN!A3534,K3529+4,2)</f>
        <v>#VALUE!</v>
      </c>
      <c r="F3529" s="2" t="e">
        <f t="shared" si="221"/>
        <v>#VALUE!</v>
      </c>
      <c r="G3529" s="13" t="e">
        <f t="shared" si="222"/>
        <v>#VALUE!</v>
      </c>
      <c r="J3529" t="str">
        <f>MAIN!A3534&amp;"B"</f>
        <v>B</v>
      </c>
      <c r="K3529" s="12" t="e">
        <f t="shared" si="223"/>
        <v>#VALUE!</v>
      </c>
      <c r="L3529" t="str">
        <f>MAIN!C3534</f>
        <v/>
      </c>
    </row>
    <row r="3530" spans="1:12" x14ac:dyDescent="0.3">
      <c r="A3530">
        <f>IF(J3530="0",0,IF(COUNTIF($J$2:J3530,J3530)=1,1,0))</f>
        <v>0</v>
      </c>
      <c r="B3530" s="12" t="e">
        <f>MID(MAIN!A3535,K3530,2)</f>
        <v>#VALUE!</v>
      </c>
      <c r="C3530" s="12" t="e">
        <f t="shared" si="220"/>
        <v>#VALUE!</v>
      </c>
      <c r="D3530" s="12" t="e">
        <f>MID(MAIN!A3535,K3530+2,2)</f>
        <v>#VALUE!</v>
      </c>
      <c r="E3530" s="12" t="e">
        <f>MID(MAIN!A3535,K3530+4,2)</f>
        <v>#VALUE!</v>
      </c>
      <c r="F3530" s="2" t="e">
        <f t="shared" si="221"/>
        <v>#VALUE!</v>
      </c>
      <c r="G3530" s="13" t="e">
        <f t="shared" si="222"/>
        <v>#VALUE!</v>
      </c>
      <c r="J3530" t="str">
        <f>MAIN!A3535&amp;"B"</f>
        <v>B</v>
      </c>
      <c r="K3530" s="12" t="e">
        <f t="shared" si="223"/>
        <v>#VALUE!</v>
      </c>
      <c r="L3530" t="str">
        <f>MAIN!C3535</f>
        <v/>
      </c>
    </row>
    <row r="3531" spans="1:12" x14ac:dyDescent="0.3">
      <c r="A3531">
        <f>IF(J3531="0",0,IF(COUNTIF($J$2:J3531,J3531)=1,1,0))</f>
        <v>0</v>
      </c>
      <c r="B3531" s="12" t="e">
        <f>MID(MAIN!A3536,K3531,2)</f>
        <v>#VALUE!</v>
      </c>
      <c r="C3531" s="12" t="e">
        <f t="shared" si="220"/>
        <v>#VALUE!</v>
      </c>
      <c r="D3531" s="12" t="e">
        <f>MID(MAIN!A3536,K3531+2,2)</f>
        <v>#VALUE!</v>
      </c>
      <c r="E3531" s="12" t="e">
        <f>MID(MAIN!A3536,K3531+4,2)</f>
        <v>#VALUE!</v>
      </c>
      <c r="F3531" s="2" t="e">
        <f t="shared" si="221"/>
        <v>#VALUE!</v>
      </c>
      <c r="G3531" s="13" t="e">
        <f t="shared" si="222"/>
        <v>#VALUE!</v>
      </c>
      <c r="J3531" t="str">
        <f>MAIN!A3536&amp;"B"</f>
        <v>B</v>
      </c>
      <c r="K3531" s="12" t="e">
        <f t="shared" si="223"/>
        <v>#VALUE!</v>
      </c>
      <c r="L3531" t="str">
        <f>MAIN!C3536</f>
        <v/>
      </c>
    </row>
    <row r="3532" spans="1:12" x14ac:dyDescent="0.3">
      <c r="A3532">
        <f>IF(J3532="0",0,IF(COUNTIF($J$2:J3532,J3532)=1,1,0))</f>
        <v>0</v>
      </c>
      <c r="B3532" s="12" t="e">
        <f>MID(MAIN!A3537,K3532,2)</f>
        <v>#VALUE!</v>
      </c>
      <c r="C3532" s="12" t="e">
        <f t="shared" si="220"/>
        <v>#VALUE!</v>
      </c>
      <c r="D3532" s="12" t="e">
        <f>MID(MAIN!A3537,K3532+2,2)</f>
        <v>#VALUE!</v>
      </c>
      <c r="E3532" s="12" t="e">
        <f>MID(MAIN!A3537,K3532+4,2)</f>
        <v>#VALUE!</v>
      </c>
      <c r="F3532" s="2" t="e">
        <f t="shared" si="221"/>
        <v>#VALUE!</v>
      </c>
      <c r="G3532" s="13" t="e">
        <f t="shared" si="222"/>
        <v>#VALUE!</v>
      </c>
      <c r="J3532" t="str">
        <f>MAIN!A3537&amp;"B"</f>
        <v>B</v>
      </c>
      <c r="K3532" s="12" t="e">
        <f t="shared" si="223"/>
        <v>#VALUE!</v>
      </c>
      <c r="L3532" t="str">
        <f>MAIN!C3537</f>
        <v/>
      </c>
    </row>
    <row r="3533" spans="1:12" x14ac:dyDescent="0.3">
      <c r="A3533">
        <f>IF(J3533="0",0,IF(COUNTIF($J$2:J3533,J3533)=1,1,0))</f>
        <v>0</v>
      </c>
      <c r="B3533" s="12" t="e">
        <f>MID(MAIN!A3538,K3533,2)</f>
        <v>#VALUE!</v>
      </c>
      <c r="C3533" s="12" t="e">
        <f t="shared" si="220"/>
        <v>#VALUE!</v>
      </c>
      <c r="D3533" s="12" t="e">
        <f>MID(MAIN!A3538,K3533+2,2)</f>
        <v>#VALUE!</v>
      </c>
      <c r="E3533" s="12" t="e">
        <f>MID(MAIN!A3538,K3533+4,2)</f>
        <v>#VALUE!</v>
      </c>
      <c r="F3533" s="2" t="e">
        <f t="shared" si="221"/>
        <v>#VALUE!</v>
      </c>
      <c r="G3533" s="13" t="e">
        <f t="shared" si="222"/>
        <v>#VALUE!</v>
      </c>
      <c r="J3533" t="str">
        <f>MAIN!A3538&amp;"B"</f>
        <v>B</v>
      </c>
      <c r="K3533" s="12" t="e">
        <f t="shared" si="223"/>
        <v>#VALUE!</v>
      </c>
      <c r="L3533" t="str">
        <f>MAIN!C3538</f>
        <v/>
      </c>
    </row>
    <row r="3534" spans="1:12" x14ac:dyDescent="0.3">
      <c r="A3534">
        <f>IF(J3534="0",0,IF(COUNTIF($J$2:J3534,J3534)=1,1,0))</f>
        <v>0</v>
      </c>
      <c r="B3534" s="12" t="e">
        <f>MID(MAIN!A3539,K3534,2)</f>
        <v>#VALUE!</v>
      </c>
      <c r="C3534" s="12" t="e">
        <f t="shared" si="220"/>
        <v>#VALUE!</v>
      </c>
      <c r="D3534" s="12" t="e">
        <f>MID(MAIN!A3539,K3534+2,2)</f>
        <v>#VALUE!</v>
      </c>
      <c r="E3534" s="12" t="e">
        <f>MID(MAIN!A3539,K3534+4,2)</f>
        <v>#VALUE!</v>
      </c>
      <c r="F3534" s="2" t="e">
        <f t="shared" si="221"/>
        <v>#VALUE!</v>
      </c>
      <c r="G3534" s="13" t="e">
        <f t="shared" si="222"/>
        <v>#VALUE!</v>
      </c>
      <c r="J3534" t="str">
        <f>MAIN!A3539&amp;"B"</f>
        <v>B</v>
      </c>
      <c r="K3534" s="12" t="e">
        <f t="shared" si="223"/>
        <v>#VALUE!</v>
      </c>
      <c r="L3534" t="str">
        <f>MAIN!C3539</f>
        <v/>
      </c>
    </row>
    <row r="3535" spans="1:12" x14ac:dyDescent="0.3">
      <c r="A3535">
        <f>IF(J3535="0",0,IF(COUNTIF($J$2:J3535,J3535)=1,1,0))</f>
        <v>0</v>
      </c>
      <c r="B3535" s="12" t="e">
        <f>MID(MAIN!A3540,K3535,2)</f>
        <v>#VALUE!</v>
      </c>
      <c r="C3535" s="12" t="e">
        <f t="shared" si="220"/>
        <v>#VALUE!</v>
      </c>
      <c r="D3535" s="12" t="e">
        <f>MID(MAIN!A3540,K3535+2,2)</f>
        <v>#VALUE!</v>
      </c>
      <c r="E3535" s="12" t="e">
        <f>MID(MAIN!A3540,K3535+4,2)</f>
        <v>#VALUE!</v>
      </c>
      <c r="F3535" s="2" t="e">
        <f t="shared" si="221"/>
        <v>#VALUE!</v>
      </c>
      <c r="G3535" s="13" t="e">
        <f t="shared" si="222"/>
        <v>#VALUE!</v>
      </c>
      <c r="J3535" t="str">
        <f>MAIN!A3540&amp;"B"</f>
        <v>B</v>
      </c>
      <c r="K3535" s="12" t="e">
        <f t="shared" si="223"/>
        <v>#VALUE!</v>
      </c>
      <c r="L3535" t="str">
        <f>MAIN!C3540</f>
        <v/>
      </c>
    </row>
    <row r="3536" spans="1:12" x14ac:dyDescent="0.3">
      <c r="A3536">
        <f>IF(J3536="0",0,IF(COUNTIF($J$2:J3536,J3536)=1,1,0))</f>
        <v>0</v>
      </c>
      <c r="B3536" s="12" t="e">
        <f>MID(MAIN!A3541,K3536,2)</f>
        <v>#VALUE!</v>
      </c>
      <c r="C3536" s="12" t="e">
        <f t="shared" si="220"/>
        <v>#VALUE!</v>
      </c>
      <c r="D3536" s="12" t="e">
        <f>MID(MAIN!A3541,K3536+2,2)</f>
        <v>#VALUE!</v>
      </c>
      <c r="E3536" s="12" t="e">
        <f>MID(MAIN!A3541,K3536+4,2)</f>
        <v>#VALUE!</v>
      </c>
      <c r="F3536" s="2" t="e">
        <f t="shared" si="221"/>
        <v>#VALUE!</v>
      </c>
      <c r="G3536" s="13" t="e">
        <f t="shared" si="222"/>
        <v>#VALUE!</v>
      </c>
      <c r="J3536" t="str">
        <f>MAIN!A3541&amp;"B"</f>
        <v>B</v>
      </c>
      <c r="K3536" s="12" t="e">
        <f t="shared" si="223"/>
        <v>#VALUE!</v>
      </c>
      <c r="L3536" t="str">
        <f>MAIN!C3541</f>
        <v/>
      </c>
    </row>
    <row r="3537" spans="1:12" x14ac:dyDescent="0.3">
      <c r="A3537">
        <f>IF(J3537="0",0,IF(COUNTIF($J$2:J3537,J3537)=1,1,0))</f>
        <v>0</v>
      </c>
      <c r="B3537" s="12" t="e">
        <f>MID(MAIN!A3542,K3537,2)</f>
        <v>#VALUE!</v>
      </c>
      <c r="C3537" s="12" t="e">
        <f t="shared" si="220"/>
        <v>#VALUE!</v>
      </c>
      <c r="D3537" s="12" t="e">
        <f>MID(MAIN!A3542,K3537+2,2)</f>
        <v>#VALUE!</v>
      </c>
      <c r="E3537" s="12" t="e">
        <f>MID(MAIN!A3542,K3537+4,2)</f>
        <v>#VALUE!</v>
      </c>
      <c r="F3537" s="2" t="e">
        <f t="shared" si="221"/>
        <v>#VALUE!</v>
      </c>
      <c r="G3537" s="13" t="e">
        <f t="shared" si="222"/>
        <v>#VALUE!</v>
      </c>
      <c r="J3537" t="str">
        <f>MAIN!A3542&amp;"B"</f>
        <v>B</v>
      </c>
      <c r="K3537" s="12" t="e">
        <f t="shared" si="223"/>
        <v>#VALUE!</v>
      </c>
      <c r="L3537" t="str">
        <f>MAIN!C3542</f>
        <v/>
      </c>
    </row>
    <row r="3538" spans="1:12" x14ac:dyDescent="0.3">
      <c r="A3538">
        <f>IF(J3538="0",0,IF(COUNTIF($J$2:J3538,J3538)=1,1,0))</f>
        <v>0</v>
      </c>
      <c r="B3538" s="12" t="e">
        <f>MID(MAIN!A3543,K3538,2)</f>
        <v>#VALUE!</v>
      </c>
      <c r="C3538" s="12" t="e">
        <f t="shared" si="220"/>
        <v>#VALUE!</v>
      </c>
      <c r="D3538" s="12" t="e">
        <f>MID(MAIN!A3543,K3538+2,2)</f>
        <v>#VALUE!</v>
      </c>
      <c r="E3538" s="12" t="e">
        <f>MID(MAIN!A3543,K3538+4,2)</f>
        <v>#VALUE!</v>
      </c>
      <c r="F3538" s="2" t="e">
        <f t="shared" si="221"/>
        <v>#VALUE!</v>
      </c>
      <c r="G3538" s="13" t="e">
        <f t="shared" si="222"/>
        <v>#VALUE!</v>
      </c>
      <c r="J3538" t="str">
        <f>MAIN!A3543&amp;"B"</f>
        <v>B</v>
      </c>
      <c r="K3538" s="12" t="e">
        <f t="shared" si="223"/>
        <v>#VALUE!</v>
      </c>
      <c r="L3538" t="str">
        <f>MAIN!C3543</f>
        <v/>
      </c>
    </row>
    <row r="3539" spans="1:12" x14ac:dyDescent="0.3">
      <c r="A3539">
        <f>IF(J3539="0",0,IF(COUNTIF($J$2:J3539,J3539)=1,1,0))</f>
        <v>0</v>
      </c>
      <c r="B3539" s="12" t="e">
        <f>MID(MAIN!A3544,K3539,2)</f>
        <v>#VALUE!</v>
      </c>
      <c r="C3539" s="12" t="e">
        <f t="shared" si="220"/>
        <v>#VALUE!</v>
      </c>
      <c r="D3539" s="12" t="e">
        <f>MID(MAIN!A3544,K3539+2,2)</f>
        <v>#VALUE!</v>
      </c>
      <c r="E3539" s="12" t="e">
        <f>MID(MAIN!A3544,K3539+4,2)</f>
        <v>#VALUE!</v>
      </c>
      <c r="F3539" s="2" t="e">
        <f t="shared" si="221"/>
        <v>#VALUE!</v>
      </c>
      <c r="G3539" s="13" t="e">
        <f t="shared" si="222"/>
        <v>#VALUE!</v>
      </c>
      <c r="J3539" t="str">
        <f>MAIN!A3544&amp;"B"</f>
        <v>B</v>
      </c>
      <c r="K3539" s="12" t="e">
        <f t="shared" si="223"/>
        <v>#VALUE!</v>
      </c>
      <c r="L3539" t="str">
        <f>MAIN!C3544</f>
        <v/>
      </c>
    </row>
    <row r="3540" spans="1:12" x14ac:dyDescent="0.3">
      <c r="A3540">
        <f>IF(J3540="0",0,IF(COUNTIF($J$2:J3540,J3540)=1,1,0))</f>
        <v>0</v>
      </c>
      <c r="B3540" s="12" t="e">
        <f>MID(MAIN!A3545,K3540,2)</f>
        <v>#VALUE!</v>
      </c>
      <c r="C3540" s="12" t="e">
        <f t="shared" si="220"/>
        <v>#VALUE!</v>
      </c>
      <c r="D3540" s="12" t="e">
        <f>MID(MAIN!A3545,K3540+2,2)</f>
        <v>#VALUE!</v>
      </c>
      <c r="E3540" s="12" t="e">
        <f>MID(MAIN!A3545,K3540+4,2)</f>
        <v>#VALUE!</v>
      </c>
      <c r="F3540" s="2" t="e">
        <f t="shared" si="221"/>
        <v>#VALUE!</v>
      </c>
      <c r="G3540" s="13" t="e">
        <f t="shared" si="222"/>
        <v>#VALUE!</v>
      </c>
      <c r="J3540" t="str">
        <f>MAIN!A3545&amp;"B"</f>
        <v>B</v>
      </c>
      <c r="K3540" s="12" t="e">
        <f t="shared" si="223"/>
        <v>#VALUE!</v>
      </c>
      <c r="L3540" t="str">
        <f>MAIN!C3545</f>
        <v/>
      </c>
    </row>
    <row r="3541" spans="1:12" x14ac:dyDescent="0.3">
      <c r="A3541">
        <f>IF(J3541="0",0,IF(COUNTIF($J$2:J3541,J3541)=1,1,0))</f>
        <v>0</v>
      </c>
      <c r="B3541" s="12" t="e">
        <f>MID(MAIN!A3546,K3541,2)</f>
        <v>#VALUE!</v>
      </c>
      <c r="C3541" s="12" t="e">
        <f t="shared" si="220"/>
        <v>#VALUE!</v>
      </c>
      <c r="D3541" s="12" t="e">
        <f>MID(MAIN!A3546,K3541+2,2)</f>
        <v>#VALUE!</v>
      </c>
      <c r="E3541" s="12" t="e">
        <f>MID(MAIN!A3546,K3541+4,2)</f>
        <v>#VALUE!</v>
      </c>
      <c r="F3541" s="2" t="e">
        <f t="shared" si="221"/>
        <v>#VALUE!</v>
      </c>
      <c r="G3541" s="13" t="e">
        <f t="shared" si="222"/>
        <v>#VALUE!</v>
      </c>
      <c r="J3541" t="str">
        <f>MAIN!A3546&amp;"B"</f>
        <v>B</v>
      </c>
      <c r="K3541" s="12" t="e">
        <f t="shared" si="223"/>
        <v>#VALUE!</v>
      </c>
      <c r="L3541" t="str">
        <f>MAIN!C3546</f>
        <v/>
      </c>
    </row>
    <row r="3542" spans="1:12" x14ac:dyDescent="0.3">
      <c r="A3542">
        <f>IF(J3542="0",0,IF(COUNTIF($J$2:J3542,J3542)=1,1,0))</f>
        <v>0</v>
      </c>
      <c r="B3542" s="12" t="e">
        <f>MID(MAIN!A3547,K3542,2)</f>
        <v>#VALUE!</v>
      </c>
      <c r="C3542" s="12" t="e">
        <f t="shared" si="220"/>
        <v>#VALUE!</v>
      </c>
      <c r="D3542" s="12" t="e">
        <f>MID(MAIN!A3547,K3542+2,2)</f>
        <v>#VALUE!</v>
      </c>
      <c r="E3542" s="12" t="e">
        <f>MID(MAIN!A3547,K3542+4,2)</f>
        <v>#VALUE!</v>
      </c>
      <c r="F3542" s="2" t="e">
        <f t="shared" si="221"/>
        <v>#VALUE!</v>
      </c>
      <c r="G3542" s="13" t="e">
        <f t="shared" si="222"/>
        <v>#VALUE!</v>
      </c>
      <c r="J3542" t="str">
        <f>MAIN!A3547&amp;"B"</f>
        <v>B</v>
      </c>
      <c r="K3542" s="12" t="e">
        <f t="shared" si="223"/>
        <v>#VALUE!</v>
      </c>
      <c r="L3542" t="str">
        <f>MAIN!C3547</f>
        <v/>
      </c>
    </row>
    <row r="3543" spans="1:12" x14ac:dyDescent="0.3">
      <c r="A3543">
        <f>IF(J3543="0",0,IF(COUNTIF($J$2:J3543,J3543)=1,1,0))</f>
        <v>0</v>
      </c>
      <c r="B3543" s="12" t="e">
        <f>MID(MAIN!A3548,K3543,2)</f>
        <v>#VALUE!</v>
      </c>
      <c r="C3543" s="12" t="e">
        <f t="shared" si="220"/>
        <v>#VALUE!</v>
      </c>
      <c r="D3543" s="12" t="e">
        <f>MID(MAIN!A3548,K3543+2,2)</f>
        <v>#VALUE!</v>
      </c>
      <c r="E3543" s="12" t="e">
        <f>MID(MAIN!A3548,K3543+4,2)</f>
        <v>#VALUE!</v>
      </c>
      <c r="F3543" s="2" t="e">
        <f t="shared" si="221"/>
        <v>#VALUE!</v>
      </c>
      <c r="G3543" s="13" t="e">
        <f t="shared" si="222"/>
        <v>#VALUE!</v>
      </c>
      <c r="J3543" t="str">
        <f>MAIN!A3548&amp;"B"</f>
        <v>B</v>
      </c>
      <c r="K3543" s="12" t="e">
        <f t="shared" si="223"/>
        <v>#VALUE!</v>
      </c>
      <c r="L3543" t="str">
        <f>MAIN!C3548</f>
        <v/>
      </c>
    </row>
    <row r="3544" spans="1:12" x14ac:dyDescent="0.3">
      <c r="A3544">
        <f>IF(J3544="0",0,IF(COUNTIF($J$2:J3544,J3544)=1,1,0))</f>
        <v>0</v>
      </c>
      <c r="B3544" s="12" t="e">
        <f>MID(MAIN!A3549,K3544,2)</f>
        <v>#VALUE!</v>
      </c>
      <c r="C3544" s="12" t="e">
        <f t="shared" si="220"/>
        <v>#VALUE!</v>
      </c>
      <c r="D3544" s="12" t="e">
        <f>MID(MAIN!A3549,K3544+2,2)</f>
        <v>#VALUE!</v>
      </c>
      <c r="E3544" s="12" t="e">
        <f>MID(MAIN!A3549,K3544+4,2)</f>
        <v>#VALUE!</v>
      </c>
      <c r="F3544" s="2" t="e">
        <f t="shared" si="221"/>
        <v>#VALUE!</v>
      </c>
      <c r="G3544" s="13" t="e">
        <f t="shared" si="222"/>
        <v>#VALUE!</v>
      </c>
      <c r="J3544" t="str">
        <f>MAIN!A3549&amp;"B"</f>
        <v>B</v>
      </c>
      <c r="K3544" s="12" t="e">
        <f t="shared" si="223"/>
        <v>#VALUE!</v>
      </c>
      <c r="L3544" t="str">
        <f>MAIN!C3549</f>
        <v/>
      </c>
    </row>
    <row r="3545" spans="1:12" x14ac:dyDescent="0.3">
      <c r="A3545">
        <f>IF(J3545="0",0,IF(COUNTIF($J$2:J3545,J3545)=1,1,0))</f>
        <v>0</v>
      </c>
      <c r="B3545" s="12" t="e">
        <f>MID(MAIN!A3550,K3545,2)</f>
        <v>#VALUE!</v>
      </c>
      <c r="C3545" s="12" t="e">
        <f t="shared" si="220"/>
        <v>#VALUE!</v>
      </c>
      <c r="D3545" s="12" t="e">
        <f>MID(MAIN!A3550,K3545+2,2)</f>
        <v>#VALUE!</v>
      </c>
      <c r="E3545" s="12" t="e">
        <f>MID(MAIN!A3550,K3545+4,2)</f>
        <v>#VALUE!</v>
      </c>
      <c r="F3545" s="2" t="e">
        <f t="shared" si="221"/>
        <v>#VALUE!</v>
      </c>
      <c r="G3545" s="13" t="e">
        <f t="shared" si="222"/>
        <v>#VALUE!</v>
      </c>
      <c r="J3545" t="str">
        <f>MAIN!A3550&amp;"B"</f>
        <v>B</v>
      </c>
      <c r="K3545" s="12" t="e">
        <f t="shared" si="223"/>
        <v>#VALUE!</v>
      </c>
      <c r="L3545" t="str">
        <f>MAIN!C3550</f>
        <v/>
      </c>
    </row>
    <row r="3546" spans="1:12" x14ac:dyDescent="0.3">
      <c r="A3546">
        <f>IF(J3546="0",0,IF(COUNTIF($J$2:J3546,J3546)=1,1,0))</f>
        <v>0</v>
      </c>
      <c r="B3546" s="12" t="e">
        <f>MID(MAIN!A3551,K3546,2)</f>
        <v>#VALUE!</v>
      </c>
      <c r="C3546" s="12" t="e">
        <f t="shared" si="220"/>
        <v>#VALUE!</v>
      </c>
      <c r="D3546" s="12" t="e">
        <f>MID(MAIN!A3551,K3546+2,2)</f>
        <v>#VALUE!</v>
      </c>
      <c r="E3546" s="12" t="e">
        <f>MID(MAIN!A3551,K3546+4,2)</f>
        <v>#VALUE!</v>
      </c>
      <c r="F3546" s="2" t="e">
        <f t="shared" si="221"/>
        <v>#VALUE!</v>
      </c>
      <c r="G3546" s="13" t="e">
        <f t="shared" si="222"/>
        <v>#VALUE!</v>
      </c>
      <c r="J3546" t="str">
        <f>MAIN!A3551&amp;"B"</f>
        <v>B</v>
      </c>
      <c r="K3546" s="12" t="e">
        <f t="shared" si="223"/>
        <v>#VALUE!</v>
      </c>
      <c r="L3546" t="str">
        <f>MAIN!C3551</f>
        <v/>
      </c>
    </row>
    <row r="3547" spans="1:12" x14ac:dyDescent="0.3">
      <c r="A3547">
        <f>IF(J3547="0",0,IF(COUNTIF($J$2:J3547,J3547)=1,1,0))</f>
        <v>0</v>
      </c>
      <c r="B3547" s="12" t="e">
        <f>MID(MAIN!A3552,K3547,2)</f>
        <v>#VALUE!</v>
      </c>
      <c r="C3547" s="12" t="e">
        <f t="shared" si="220"/>
        <v>#VALUE!</v>
      </c>
      <c r="D3547" s="12" t="e">
        <f>MID(MAIN!A3552,K3547+2,2)</f>
        <v>#VALUE!</v>
      </c>
      <c r="E3547" s="12" t="e">
        <f>MID(MAIN!A3552,K3547+4,2)</f>
        <v>#VALUE!</v>
      </c>
      <c r="F3547" s="2" t="e">
        <f t="shared" si="221"/>
        <v>#VALUE!</v>
      </c>
      <c r="G3547" s="13" t="e">
        <f t="shared" si="222"/>
        <v>#VALUE!</v>
      </c>
      <c r="J3547" t="str">
        <f>MAIN!A3552&amp;"B"</f>
        <v>B</v>
      </c>
      <c r="K3547" s="12" t="e">
        <f t="shared" si="223"/>
        <v>#VALUE!</v>
      </c>
      <c r="L3547" t="str">
        <f>MAIN!C3552</f>
        <v/>
      </c>
    </row>
    <row r="3548" spans="1:12" x14ac:dyDescent="0.3">
      <c r="A3548">
        <f>IF(J3548="0",0,IF(COUNTIF($J$2:J3548,J3548)=1,1,0))</f>
        <v>0</v>
      </c>
      <c r="B3548" s="12" t="e">
        <f>MID(MAIN!A3553,K3548,2)</f>
        <v>#VALUE!</v>
      </c>
      <c r="C3548" s="12" t="e">
        <f t="shared" si="220"/>
        <v>#VALUE!</v>
      </c>
      <c r="D3548" s="12" t="e">
        <f>MID(MAIN!A3553,K3548+2,2)</f>
        <v>#VALUE!</v>
      </c>
      <c r="E3548" s="12" t="e">
        <f>MID(MAIN!A3553,K3548+4,2)</f>
        <v>#VALUE!</v>
      </c>
      <c r="F3548" s="2" t="e">
        <f t="shared" si="221"/>
        <v>#VALUE!</v>
      </c>
      <c r="G3548" s="13" t="e">
        <f t="shared" si="222"/>
        <v>#VALUE!</v>
      </c>
      <c r="J3548" t="str">
        <f>MAIN!A3553&amp;"B"</f>
        <v>B</v>
      </c>
      <c r="K3548" s="12" t="e">
        <f t="shared" si="223"/>
        <v>#VALUE!</v>
      </c>
      <c r="L3548" t="str">
        <f>MAIN!C3553</f>
        <v/>
      </c>
    </row>
    <row r="3549" spans="1:12" x14ac:dyDescent="0.3">
      <c r="A3549">
        <f>IF(J3549="0",0,IF(COUNTIF($J$2:J3549,J3549)=1,1,0))</f>
        <v>0</v>
      </c>
      <c r="B3549" s="12" t="e">
        <f>MID(MAIN!A3554,K3549,2)</f>
        <v>#VALUE!</v>
      </c>
      <c r="C3549" s="12" t="e">
        <f t="shared" si="220"/>
        <v>#VALUE!</v>
      </c>
      <c r="D3549" s="12" t="e">
        <f>MID(MAIN!A3554,K3549+2,2)</f>
        <v>#VALUE!</v>
      </c>
      <c r="E3549" s="12" t="e">
        <f>MID(MAIN!A3554,K3549+4,2)</f>
        <v>#VALUE!</v>
      </c>
      <c r="F3549" s="2" t="e">
        <f t="shared" si="221"/>
        <v>#VALUE!</v>
      </c>
      <c r="G3549" s="13" t="e">
        <f t="shared" si="222"/>
        <v>#VALUE!</v>
      </c>
      <c r="J3549" t="str">
        <f>MAIN!A3554&amp;"B"</f>
        <v>B</v>
      </c>
      <c r="K3549" s="12" t="e">
        <f t="shared" si="223"/>
        <v>#VALUE!</v>
      </c>
      <c r="L3549" t="str">
        <f>MAIN!C3554</f>
        <v/>
      </c>
    </row>
    <row r="3550" spans="1:12" x14ac:dyDescent="0.3">
      <c r="A3550">
        <f>IF(J3550="0",0,IF(COUNTIF($J$2:J3550,J3550)=1,1,0))</f>
        <v>0</v>
      </c>
      <c r="B3550" s="12" t="e">
        <f>MID(MAIN!A3555,K3550,2)</f>
        <v>#VALUE!</v>
      </c>
      <c r="C3550" s="12" t="e">
        <f t="shared" si="220"/>
        <v>#VALUE!</v>
      </c>
      <c r="D3550" s="12" t="e">
        <f>MID(MAIN!A3555,K3550+2,2)</f>
        <v>#VALUE!</v>
      </c>
      <c r="E3550" s="12" t="e">
        <f>MID(MAIN!A3555,K3550+4,2)</f>
        <v>#VALUE!</v>
      </c>
      <c r="F3550" s="2" t="e">
        <f t="shared" si="221"/>
        <v>#VALUE!</v>
      </c>
      <c r="G3550" s="13" t="e">
        <f t="shared" si="222"/>
        <v>#VALUE!</v>
      </c>
      <c r="J3550" t="str">
        <f>MAIN!A3555&amp;"B"</f>
        <v>B</v>
      </c>
      <c r="K3550" s="12" t="e">
        <f t="shared" si="223"/>
        <v>#VALUE!</v>
      </c>
      <c r="L3550" t="str">
        <f>MAIN!C3555</f>
        <v/>
      </c>
    </row>
    <row r="3551" spans="1:12" x14ac:dyDescent="0.3">
      <c r="A3551">
        <f>IF(J3551="0",0,IF(COUNTIF($J$2:J3551,J3551)=1,1,0))</f>
        <v>0</v>
      </c>
      <c r="B3551" s="12" t="e">
        <f>MID(MAIN!A3556,K3551,2)</f>
        <v>#VALUE!</v>
      </c>
      <c r="C3551" s="12" t="e">
        <f t="shared" si="220"/>
        <v>#VALUE!</v>
      </c>
      <c r="D3551" s="12" t="e">
        <f>MID(MAIN!A3556,K3551+2,2)</f>
        <v>#VALUE!</v>
      </c>
      <c r="E3551" s="12" t="e">
        <f>MID(MAIN!A3556,K3551+4,2)</f>
        <v>#VALUE!</v>
      </c>
      <c r="F3551" s="2" t="e">
        <f t="shared" si="221"/>
        <v>#VALUE!</v>
      </c>
      <c r="G3551" s="13" t="e">
        <f t="shared" si="222"/>
        <v>#VALUE!</v>
      </c>
      <c r="J3551" t="str">
        <f>MAIN!A3556&amp;"B"</f>
        <v>B</v>
      </c>
      <c r="K3551" s="12" t="e">
        <f t="shared" si="223"/>
        <v>#VALUE!</v>
      </c>
      <c r="L3551" t="str">
        <f>MAIN!C3556</f>
        <v/>
      </c>
    </row>
    <row r="3552" spans="1:12" x14ac:dyDescent="0.3">
      <c r="A3552">
        <f>IF(J3552="0",0,IF(COUNTIF($J$2:J3552,J3552)=1,1,0))</f>
        <v>0</v>
      </c>
      <c r="B3552" s="12" t="e">
        <f>MID(MAIN!A3557,K3552,2)</f>
        <v>#VALUE!</v>
      </c>
      <c r="C3552" s="12" t="e">
        <f t="shared" si="220"/>
        <v>#VALUE!</v>
      </c>
      <c r="D3552" s="12" t="e">
        <f>MID(MAIN!A3557,K3552+2,2)</f>
        <v>#VALUE!</v>
      </c>
      <c r="E3552" s="12" t="e">
        <f>MID(MAIN!A3557,K3552+4,2)</f>
        <v>#VALUE!</v>
      </c>
      <c r="F3552" s="2" t="e">
        <f t="shared" si="221"/>
        <v>#VALUE!</v>
      </c>
      <c r="G3552" s="13" t="e">
        <f t="shared" si="222"/>
        <v>#VALUE!</v>
      </c>
      <c r="J3552" t="str">
        <f>MAIN!A3557&amp;"B"</f>
        <v>B</v>
      </c>
      <c r="K3552" s="12" t="e">
        <f t="shared" si="223"/>
        <v>#VALUE!</v>
      </c>
      <c r="L3552" t="str">
        <f>MAIN!C3557</f>
        <v/>
      </c>
    </row>
    <row r="3553" spans="1:12" x14ac:dyDescent="0.3">
      <c r="A3553">
        <f>IF(J3553="0",0,IF(COUNTIF($J$2:J3553,J3553)=1,1,0))</f>
        <v>0</v>
      </c>
      <c r="B3553" s="12" t="e">
        <f>MID(MAIN!A3558,K3553,2)</f>
        <v>#VALUE!</v>
      </c>
      <c r="C3553" s="12" t="e">
        <f t="shared" si="220"/>
        <v>#VALUE!</v>
      </c>
      <c r="D3553" s="12" t="e">
        <f>MID(MAIN!A3558,K3553+2,2)</f>
        <v>#VALUE!</v>
      </c>
      <c r="E3553" s="12" t="e">
        <f>MID(MAIN!A3558,K3553+4,2)</f>
        <v>#VALUE!</v>
      </c>
      <c r="F3553" s="2" t="e">
        <f t="shared" si="221"/>
        <v>#VALUE!</v>
      </c>
      <c r="G3553" s="13" t="e">
        <f t="shared" si="222"/>
        <v>#VALUE!</v>
      </c>
      <c r="J3553" t="str">
        <f>MAIN!A3558&amp;"B"</f>
        <v>B</v>
      </c>
      <c r="K3553" s="12" t="e">
        <f t="shared" si="223"/>
        <v>#VALUE!</v>
      </c>
      <c r="L3553" t="str">
        <f>MAIN!C3558</f>
        <v/>
      </c>
    </row>
    <row r="3554" spans="1:12" x14ac:dyDescent="0.3">
      <c r="A3554">
        <f>IF(J3554="0",0,IF(COUNTIF($J$2:J3554,J3554)=1,1,0))</f>
        <v>0</v>
      </c>
      <c r="B3554" s="12" t="e">
        <f>MID(MAIN!A3559,K3554,2)</f>
        <v>#VALUE!</v>
      </c>
      <c r="C3554" s="12" t="e">
        <f t="shared" si="220"/>
        <v>#VALUE!</v>
      </c>
      <c r="D3554" s="12" t="e">
        <f>MID(MAIN!A3559,K3554+2,2)</f>
        <v>#VALUE!</v>
      </c>
      <c r="E3554" s="12" t="e">
        <f>MID(MAIN!A3559,K3554+4,2)</f>
        <v>#VALUE!</v>
      </c>
      <c r="F3554" s="2" t="e">
        <f t="shared" si="221"/>
        <v>#VALUE!</v>
      </c>
      <c r="G3554" s="13" t="e">
        <f t="shared" si="222"/>
        <v>#VALUE!</v>
      </c>
      <c r="J3554" t="str">
        <f>MAIN!A3559&amp;"B"</f>
        <v>B</v>
      </c>
      <c r="K3554" s="12" t="e">
        <f t="shared" si="223"/>
        <v>#VALUE!</v>
      </c>
      <c r="L3554" t="str">
        <f>MAIN!C3559</f>
        <v/>
      </c>
    </row>
    <row r="3555" spans="1:12" x14ac:dyDescent="0.3">
      <c r="A3555">
        <f>IF(J3555="0",0,IF(COUNTIF($J$2:J3555,J3555)=1,1,0))</f>
        <v>0</v>
      </c>
      <c r="B3555" s="12" t="e">
        <f>MID(MAIN!A3560,K3555,2)</f>
        <v>#VALUE!</v>
      </c>
      <c r="C3555" s="12" t="e">
        <f t="shared" si="220"/>
        <v>#VALUE!</v>
      </c>
      <c r="D3555" s="12" t="e">
        <f>MID(MAIN!A3560,K3555+2,2)</f>
        <v>#VALUE!</v>
      </c>
      <c r="E3555" s="12" t="e">
        <f>MID(MAIN!A3560,K3555+4,2)</f>
        <v>#VALUE!</v>
      </c>
      <c r="F3555" s="2" t="e">
        <f t="shared" si="221"/>
        <v>#VALUE!</v>
      </c>
      <c r="G3555" s="13" t="e">
        <f t="shared" si="222"/>
        <v>#VALUE!</v>
      </c>
      <c r="J3555" t="str">
        <f>MAIN!A3560&amp;"B"</f>
        <v>B</v>
      </c>
      <c r="K3555" s="12" t="e">
        <f t="shared" si="223"/>
        <v>#VALUE!</v>
      </c>
      <c r="L3555" t="str">
        <f>MAIN!C3560</f>
        <v/>
      </c>
    </row>
    <row r="3556" spans="1:12" x14ac:dyDescent="0.3">
      <c r="A3556">
        <f>IF(J3556="0",0,IF(COUNTIF($J$2:J3556,J3556)=1,1,0))</f>
        <v>0</v>
      </c>
      <c r="B3556" s="12" t="e">
        <f>MID(MAIN!A3561,K3556,2)</f>
        <v>#VALUE!</v>
      </c>
      <c r="C3556" s="12" t="e">
        <f t="shared" si="220"/>
        <v>#VALUE!</v>
      </c>
      <c r="D3556" s="12" t="e">
        <f>MID(MAIN!A3561,K3556+2,2)</f>
        <v>#VALUE!</v>
      </c>
      <c r="E3556" s="12" t="e">
        <f>MID(MAIN!A3561,K3556+4,2)</f>
        <v>#VALUE!</v>
      </c>
      <c r="F3556" s="2" t="e">
        <f t="shared" si="221"/>
        <v>#VALUE!</v>
      </c>
      <c r="G3556" s="13" t="e">
        <f t="shared" si="222"/>
        <v>#VALUE!</v>
      </c>
      <c r="J3556" t="str">
        <f>MAIN!A3561&amp;"B"</f>
        <v>B</v>
      </c>
      <c r="K3556" s="12" t="e">
        <f t="shared" si="223"/>
        <v>#VALUE!</v>
      </c>
      <c r="L3556" t="str">
        <f>MAIN!C3561</f>
        <v/>
      </c>
    </row>
    <row r="3557" spans="1:12" x14ac:dyDescent="0.3">
      <c r="A3557">
        <f>IF(J3557="0",0,IF(COUNTIF($J$2:J3557,J3557)=1,1,0))</f>
        <v>0</v>
      </c>
      <c r="B3557" s="12" t="e">
        <f>MID(MAIN!A3562,K3557,2)</f>
        <v>#VALUE!</v>
      </c>
      <c r="C3557" s="12" t="e">
        <f t="shared" si="220"/>
        <v>#VALUE!</v>
      </c>
      <c r="D3557" s="12" t="e">
        <f>MID(MAIN!A3562,K3557+2,2)</f>
        <v>#VALUE!</v>
      </c>
      <c r="E3557" s="12" t="e">
        <f>MID(MAIN!A3562,K3557+4,2)</f>
        <v>#VALUE!</v>
      </c>
      <c r="F3557" s="2" t="e">
        <f t="shared" si="221"/>
        <v>#VALUE!</v>
      </c>
      <c r="G3557" s="13" t="e">
        <f t="shared" si="222"/>
        <v>#VALUE!</v>
      </c>
      <c r="J3557" t="str">
        <f>MAIN!A3562&amp;"B"</f>
        <v>B</v>
      </c>
      <c r="K3557" s="12" t="e">
        <f t="shared" si="223"/>
        <v>#VALUE!</v>
      </c>
      <c r="L3557" t="str">
        <f>MAIN!C3562</f>
        <v/>
      </c>
    </row>
    <row r="3558" spans="1:12" x14ac:dyDescent="0.3">
      <c r="A3558">
        <f>IF(J3558="0",0,IF(COUNTIF($J$2:J3558,J3558)=1,1,0))</f>
        <v>0</v>
      </c>
      <c r="B3558" s="12" t="e">
        <f>MID(MAIN!A3563,K3558,2)</f>
        <v>#VALUE!</v>
      </c>
      <c r="C3558" s="12" t="e">
        <f t="shared" si="220"/>
        <v>#VALUE!</v>
      </c>
      <c r="D3558" s="12" t="e">
        <f>MID(MAIN!A3563,K3558+2,2)</f>
        <v>#VALUE!</v>
      </c>
      <c r="E3558" s="12" t="e">
        <f>MID(MAIN!A3563,K3558+4,2)</f>
        <v>#VALUE!</v>
      </c>
      <c r="F3558" s="2" t="e">
        <f t="shared" si="221"/>
        <v>#VALUE!</v>
      </c>
      <c r="G3558" s="13" t="e">
        <f t="shared" si="222"/>
        <v>#VALUE!</v>
      </c>
      <c r="J3558" t="str">
        <f>MAIN!A3563&amp;"B"</f>
        <v>B</v>
      </c>
      <c r="K3558" s="12" t="e">
        <f t="shared" si="223"/>
        <v>#VALUE!</v>
      </c>
      <c r="L3558" t="str">
        <f>MAIN!C3563</f>
        <v/>
      </c>
    </row>
    <row r="3559" spans="1:12" x14ac:dyDescent="0.3">
      <c r="A3559">
        <f>IF(J3559="0",0,IF(COUNTIF($J$2:J3559,J3559)=1,1,0))</f>
        <v>0</v>
      </c>
      <c r="B3559" s="12" t="e">
        <f>MID(MAIN!A3564,K3559,2)</f>
        <v>#VALUE!</v>
      </c>
      <c r="C3559" s="12" t="e">
        <f t="shared" si="220"/>
        <v>#VALUE!</v>
      </c>
      <c r="D3559" s="12" t="e">
        <f>MID(MAIN!A3564,K3559+2,2)</f>
        <v>#VALUE!</v>
      </c>
      <c r="E3559" s="12" t="e">
        <f>MID(MAIN!A3564,K3559+4,2)</f>
        <v>#VALUE!</v>
      </c>
      <c r="F3559" s="2" t="e">
        <f t="shared" si="221"/>
        <v>#VALUE!</v>
      </c>
      <c r="G3559" s="13" t="e">
        <f t="shared" si="222"/>
        <v>#VALUE!</v>
      </c>
      <c r="J3559" t="str">
        <f>MAIN!A3564&amp;"B"</f>
        <v>B</v>
      </c>
      <c r="K3559" s="12" t="e">
        <f t="shared" si="223"/>
        <v>#VALUE!</v>
      </c>
      <c r="L3559" t="str">
        <f>MAIN!C3564</f>
        <v/>
      </c>
    </row>
    <row r="3560" spans="1:12" x14ac:dyDescent="0.3">
      <c r="A3560">
        <f>IF(J3560="0",0,IF(COUNTIF($J$2:J3560,J3560)=1,1,0))</f>
        <v>0</v>
      </c>
      <c r="B3560" s="12" t="e">
        <f>MID(MAIN!A3565,K3560,2)</f>
        <v>#VALUE!</v>
      </c>
      <c r="C3560" s="12" t="e">
        <f t="shared" si="220"/>
        <v>#VALUE!</v>
      </c>
      <c r="D3560" s="12" t="e">
        <f>MID(MAIN!A3565,K3560+2,2)</f>
        <v>#VALUE!</v>
      </c>
      <c r="E3560" s="12" t="e">
        <f>MID(MAIN!A3565,K3560+4,2)</f>
        <v>#VALUE!</v>
      </c>
      <c r="F3560" s="2" t="e">
        <f t="shared" si="221"/>
        <v>#VALUE!</v>
      </c>
      <c r="G3560" s="13" t="e">
        <f t="shared" si="222"/>
        <v>#VALUE!</v>
      </c>
      <c r="J3560" t="str">
        <f>MAIN!A3565&amp;"B"</f>
        <v>B</v>
      </c>
      <c r="K3560" s="12" t="e">
        <f t="shared" si="223"/>
        <v>#VALUE!</v>
      </c>
      <c r="L3560" t="str">
        <f>MAIN!C3565</f>
        <v/>
      </c>
    </row>
    <row r="3561" spans="1:12" x14ac:dyDescent="0.3">
      <c r="A3561">
        <f>IF(J3561="0",0,IF(COUNTIF($J$2:J3561,J3561)=1,1,0))</f>
        <v>0</v>
      </c>
      <c r="B3561" s="12" t="e">
        <f>MID(MAIN!A3566,K3561,2)</f>
        <v>#VALUE!</v>
      </c>
      <c r="C3561" s="12" t="e">
        <f t="shared" si="220"/>
        <v>#VALUE!</v>
      </c>
      <c r="D3561" s="12" t="e">
        <f>MID(MAIN!A3566,K3561+2,2)</f>
        <v>#VALUE!</v>
      </c>
      <c r="E3561" s="12" t="e">
        <f>MID(MAIN!A3566,K3561+4,2)</f>
        <v>#VALUE!</v>
      </c>
      <c r="F3561" s="2" t="e">
        <f t="shared" si="221"/>
        <v>#VALUE!</v>
      </c>
      <c r="G3561" s="13" t="e">
        <f t="shared" si="222"/>
        <v>#VALUE!</v>
      </c>
      <c r="J3561" t="str">
        <f>MAIN!A3566&amp;"B"</f>
        <v>B</v>
      </c>
      <c r="K3561" s="12" t="e">
        <f t="shared" si="223"/>
        <v>#VALUE!</v>
      </c>
      <c r="L3561" t="str">
        <f>MAIN!C3566</f>
        <v/>
      </c>
    </row>
    <row r="3562" spans="1:12" x14ac:dyDescent="0.3">
      <c r="A3562">
        <f>IF(J3562="0",0,IF(COUNTIF($J$2:J3562,J3562)=1,1,0))</f>
        <v>0</v>
      </c>
      <c r="B3562" s="12" t="e">
        <f>MID(MAIN!A3567,K3562,2)</f>
        <v>#VALUE!</v>
      </c>
      <c r="C3562" s="12" t="e">
        <f t="shared" si="220"/>
        <v>#VALUE!</v>
      </c>
      <c r="D3562" s="12" t="e">
        <f>MID(MAIN!A3567,K3562+2,2)</f>
        <v>#VALUE!</v>
      </c>
      <c r="E3562" s="12" t="e">
        <f>MID(MAIN!A3567,K3562+4,2)</f>
        <v>#VALUE!</v>
      </c>
      <c r="F3562" s="2" t="e">
        <f t="shared" si="221"/>
        <v>#VALUE!</v>
      </c>
      <c r="G3562" s="13" t="e">
        <f t="shared" si="222"/>
        <v>#VALUE!</v>
      </c>
      <c r="J3562" t="str">
        <f>MAIN!A3567&amp;"B"</f>
        <v>B</v>
      </c>
      <c r="K3562" s="12" t="e">
        <f t="shared" si="223"/>
        <v>#VALUE!</v>
      </c>
      <c r="L3562" t="str">
        <f>MAIN!C3567</f>
        <v/>
      </c>
    </row>
    <row r="3563" spans="1:12" x14ac:dyDescent="0.3">
      <c r="A3563">
        <f>IF(J3563="0",0,IF(COUNTIF($J$2:J3563,J3563)=1,1,0))</f>
        <v>0</v>
      </c>
      <c r="B3563" s="12" t="e">
        <f>MID(MAIN!A3568,K3563,2)</f>
        <v>#VALUE!</v>
      </c>
      <c r="C3563" s="12" t="e">
        <f t="shared" si="220"/>
        <v>#VALUE!</v>
      </c>
      <c r="D3563" s="12" t="e">
        <f>MID(MAIN!A3568,K3563+2,2)</f>
        <v>#VALUE!</v>
      </c>
      <c r="E3563" s="12" t="e">
        <f>MID(MAIN!A3568,K3563+4,2)</f>
        <v>#VALUE!</v>
      </c>
      <c r="F3563" s="2" t="e">
        <f t="shared" si="221"/>
        <v>#VALUE!</v>
      </c>
      <c r="G3563" s="13" t="e">
        <f t="shared" si="222"/>
        <v>#VALUE!</v>
      </c>
      <c r="J3563" t="str">
        <f>MAIN!A3568&amp;"B"</f>
        <v>B</v>
      </c>
      <c r="K3563" s="12" t="e">
        <f t="shared" si="223"/>
        <v>#VALUE!</v>
      </c>
      <c r="L3563" t="str">
        <f>MAIN!C3568</f>
        <v/>
      </c>
    </row>
    <row r="3564" spans="1:12" x14ac:dyDescent="0.3">
      <c r="A3564">
        <f>IF(J3564="0",0,IF(COUNTIF($J$2:J3564,J3564)=1,1,0))</f>
        <v>0</v>
      </c>
      <c r="B3564" s="12" t="e">
        <f>MID(MAIN!A3569,K3564,2)</f>
        <v>#VALUE!</v>
      </c>
      <c r="C3564" s="12" t="e">
        <f t="shared" si="220"/>
        <v>#VALUE!</v>
      </c>
      <c r="D3564" s="12" t="e">
        <f>MID(MAIN!A3569,K3564+2,2)</f>
        <v>#VALUE!</v>
      </c>
      <c r="E3564" s="12" t="e">
        <f>MID(MAIN!A3569,K3564+4,2)</f>
        <v>#VALUE!</v>
      </c>
      <c r="F3564" s="2" t="e">
        <f t="shared" si="221"/>
        <v>#VALUE!</v>
      </c>
      <c r="G3564" s="13" t="e">
        <f t="shared" si="222"/>
        <v>#VALUE!</v>
      </c>
      <c r="J3564" t="str">
        <f>MAIN!A3569&amp;"B"</f>
        <v>B</v>
      </c>
      <c r="K3564" s="12" t="e">
        <f t="shared" si="223"/>
        <v>#VALUE!</v>
      </c>
      <c r="L3564" t="str">
        <f>MAIN!C3569</f>
        <v/>
      </c>
    </row>
    <row r="3565" spans="1:12" x14ac:dyDescent="0.3">
      <c r="A3565">
        <f>IF(J3565="0",0,IF(COUNTIF($J$2:J3565,J3565)=1,1,0))</f>
        <v>0</v>
      </c>
      <c r="B3565" s="12" t="e">
        <f>MID(MAIN!A3570,K3565,2)</f>
        <v>#VALUE!</v>
      </c>
      <c r="C3565" s="12" t="e">
        <f t="shared" si="220"/>
        <v>#VALUE!</v>
      </c>
      <c r="D3565" s="12" t="e">
        <f>MID(MAIN!A3570,K3565+2,2)</f>
        <v>#VALUE!</v>
      </c>
      <c r="E3565" s="12" t="e">
        <f>MID(MAIN!A3570,K3565+4,2)</f>
        <v>#VALUE!</v>
      </c>
      <c r="F3565" s="2" t="e">
        <f t="shared" si="221"/>
        <v>#VALUE!</v>
      </c>
      <c r="G3565" s="13" t="e">
        <f t="shared" si="222"/>
        <v>#VALUE!</v>
      </c>
      <c r="J3565" t="str">
        <f>MAIN!A3570&amp;"B"</f>
        <v>B</v>
      </c>
      <c r="K3565" s="12" t="e">
        <f t="shared" si="223"/>
        <v>#VALUE!</v>
      </c>
      <c r="L3565" t="str">
        <f>MAIN!C3570</f>
        <v/>
      </c>
    </row>
    <row r="3566" spans="1:12" x14ac:dyDescent="0.3">
      <c r="A3566">
        <f>IF(J3566="0",0,IF(COUNTIF($J$2:J3566,J3566)=1,1,0))</f>
        <v>0</v>
      </c>
      <c r="B3566" s="12" t="e">
        <f>MID(MAIN!A3571,K3566,2)</f>
        <v>#VALUE!</v>
      </c>
      <c r="C3566" s="12" t="e">
        <f t="shared" si="220"/>
        <v>#VALUE!</v>
      </c>
      <c r="D3566" s="12" t="e">
        <f>MID(MAIN!A3571,K3566+2,2)</f>
        <v>#VALUE!</v>
      </c>
      <c r="E3566" s="12" t="e">
        <f>MID(MAIN!A3571,K3566+4,2)</f>
        <v>#VALUE!</v>
      </c>
      <c r="F3566" s="2" t="e">
        <f t="shared" si="221"/>
        <v>#VALUE!</v>
      </c>
      <c r="G3566" s="13" t="e">
        <f t="shared" si="222"/>
        <v>#VALUE!</v>
      </c>
      <c r="J3566" t="str">
        <f>MAIN!A3571&amp;"B"</f>
        <v>B</v>
      </c>
      <c r="K3566" s="12" t="e">
        <f t="shared" si="223"/>
        <v>#VALUE!</v>
      </c>
      <c r="L3566" t="str">
        <f>MAIN!C3571</f>
        <v/>
      </c>
    </row>
    <row r="3567" spans="1:12" x14ac:dyDescent="0.3">
      <c r="A3567">
        <f>IF(J3567="0",0,IF(COUNTIF($J$2:J3567,J3567)=1,1,0))</f>
        <v>0</v>
      </c>
      <c r="B3567" s="12" t="e">
        <f>MID(MAIN!A3572,K3567,2)</f>
        <v>#VALUE!</v>
      </c>
      <c r="C3567" s="12" t="e">
        <f t="shared" si="220"/>
        <v>#VALUE!</v>
      </c>
      <c r="D3567" s="12" t="e">
        <f>MID(MAIN!A3572,K3567+2,2)</f>
        <v>#VALUE!</v>
      </c>
      <c r="E3567" s="12" t="e">
        <f>MID(MAIN!A3572,K3567+4,2)</f>
        <v>#VALUE!</v>
      </c>
      <c r="F3567" s="2" t="e">
        <f t="shared" si="221"/>
        <v>#VALUE!</v>
      </c>
      <c r="G3567" s="13" t="e">
        <f t="shared" si="222"/>
        <v>#VALUE!</v>
      </c>
      <c r="J3567" t="str">
        <f>MAIN!A3572&amp;"B"</f>
        <v>B</v>
      </c>
      <c r="K3567" s="12" t="e">
        <f t="shared" si="223"/>
        <v>#VALUE!</v>
      </c>
      <c r="L3567" t="str">
        <f>MAIN!C3572</f>
        <v/>
      </c>
    </row>
    <row r="3568" spans="1:12" x14ac:dyDescent="0.3">
      <c r="A3568">
        <f>IF(J3568="0",0,IF(COUNTIF($J$2:J3568,J3568)=1,1,0))</f>
        <v>0</v>
      </c>
      <c r="B3568" s="12" t="e">
        <f>MID(MAIN!A3573,K3568,2)</f>
        <v>#VALUE!</v>
      </c>
      <c r="C3568" s="12" t="e">
        <f t="shared" si="220"/>
        <v>#VALUE!</v>
      </c>
      <c r="D3568" s="12" t="e">
        <f>MID(MAIN!A3573,K3568+2,2)</f>
        <v>#VALUE!</v>
      </c>
      <c r="E3568" s="12" t="e">
        <f>MID(MAIN!A3573,K3568+4,2)</f>
        <v>#VALUE!</v>
      </c>
      <c r="F3568" s="2" t="e">
        <f t="shared" si="221"/>
        <v>#VALUE!</v>
      </c>
      <c r="G3568" s="13" t="e">
        <f t="shared" si="222"/>
        <v>#VALUE!</v>
      </c>
      <c r="J3568" t="str">
        <f>MAIN!A3573&amp;"B"</f>
        <v>B</v>
      </c>
      <c r="K3568" s="12" t="e">
        <f t="shared" si="223"/>
        <v>#VALUE!</v>
      </c>
      <c r="L3568" t="str">
        <f>MAIN!C3573</f>
        <v/>
      </c>
    </row>
    <row r="3569" spans="1:12" x14ac:dyDescent="0.3">
      <c r="A3569">
        <f>IF(J3569="0",0,IF(COUNTIF($J$2:J3569,J3569)=1,1,0))</f>
        <v>0</v>
      </c>
      <c r="B3569" s="12" t="e">
        <f>MID(MAIN!A3574,K3569,2)</f>
        <v>#VALUE!</v>
      </c>
      <c r="C3569" s="12" t="e">
        <f t="shared" si="220"/>
        <v>#VALUE!</v>
      </c>
      <c r="D3569" s="12" t="e">
        <f>MID(MAIN!A3574,K3569+2,2)</f>
        <v>#VALUE!</v>
      </c>
      <c r="E3569" s="12" t="e">
        <f>MID(MAIN!A3574,K3569+4,2)</f>
        <v>#VALUE!</v>
      </c>
      <c r="F3569" s="2" t="e">
        <f t="shared" si="221"/>
        <v>#VALUE!</v>
      </c>
      <c r="G3569" s="13" t="e">
        <f t="shared" si="222"/>
        <v>#VALUE!</v>
      </c>
      <c r="J3569" t="str">
        <f>MAIN!A3574&amp;"B"</f>
        <v>B</v>
      </c>
      <c r="K3569" s="12" t="e">
        <f t="shared" si="223"/>
        <v>#VALUE!</v>
      </c>
      <c r="L3569" t="str">
        <f>MAIN!C3574</f>
        <v/>
      </c>
    </row>
    <row r="3570" spans="1:12" x14ac:dyDescent="0.3">
      <c r="A3570">
        <f>IF(J3570="0",0,IF(COUNTIF($J$2:J3570,J3570)=1,1,0))</f>
        <v>0</v>
      </c>
      <c r="B3570" s="12" t="e">
        <f>MID(MAIN!A3575,K3570,2)</f>
        <v>#VALUE!</v>
      </c>
      <c r="C3570" s="12" t="e">
        <f t="shared" si="220"/>
        <v>#VALUE!</v>
      </c>
      <c r="D3570" s="12" t="e">
        <f>MID(MAIN!A3575,K3570+2,2)</f>
        <v>#VALUE!</v>
      </c>
      <c r="E3570" s="12" t="e">
        <f>MID(MAIN!A3575,K3570+4,2)</f>
        <v>#VALUE!</v>
      </c>
      <c r="F3570" s="2" t="e">
        <f t="shared" si="221"/>
        <v>#VALUE!</v>
      </c>
      <c r="G3570" s="13" t="e">
        <f t="shared" si="222"/>
        <v>#VALUE!</v>
      </c>
      <c r="J3570" t="str">
        <f>MAIN!A3575&amp;"B"</f>
        <v>B</v>
      </c>
      <c r="K3570" s="12" t="e">
        <f t="shared" si="223"/>
        <v>#VALUE!</v>
      </c>
      <c r="L3570" t="str">
        <f>MAIN!C3575</f>
        <v/>
      </c>
    </row>
    <row r="3571" spans="1:12" x14ac:dyDescent="0.3">
      <c r="A3571">
        <f>IF(J3571="0",0,IF(COUNTIF($J$2:J3571,J3571)=1,1,0))</f>
        <v>0</v>
      </c>
      <c r="B3571" s="12" t="e">
        <f>MID(MAIN!A3576,K3571,2)</f>
        <v>#VALUE!</v>
      </c>
      <c r="C3571" s="12" t="e">
        <f t="shared" si="220"/>
        <v>#VALUE!</v>
      </c>
      <c r="D3571" s="12" t="e">
        <f>MID(MAIN!A3576,K3571+2,2)</f>
        <v>#VALUE!</v>
      </c>
      <c r="E3571" s="12" t="e">
        <f>MID(MAIN!A3576,K3571+4,2)</f>
        <v>#VALUE!</v>
      </c>
      <c r="F3571" s="2" t="e">
        <f t="shared" si="221"/>
        <v>#VALUE!</v>
      </c>
      <c r="G3571" s="13" t="e">
        <f t="shared" si="222"/>
        <v>#VALUE!</v>
      </c>
      <c r="J3571" t="str">
        <f>MAIN!A3576&amp;"B"</f>
        <v>B</v>
      </c>
      <c r="K3571" s="12" t="e">
        <f t="shared" si="223"/>
        <v>#VALUE!</v>
      </c>
      <c r="L3571" t="str">
        <f>MAIN!C3576</f>
        <v/>
      </c>
    </row>
    <row r="3572" spans="1:12" x14ac:dyDescent="0.3">
      <c r="A3572">
        <f>IF(J3572="0",0,IF(COUNTIF($J$2:J3572,J3572)=1,1,0))</f>
        <v>0</v>
      </c>
      <c r="B3572" s="12" t="e">
        <f>MID(MAIN!A3577,K3572,2)</f>
        <v>#VALUE!</v>
      </c>
      <c r="C3572" s="12" t="e">
        <f t="shared" si="220"/>
        <v>#VALUE!</v>
      </c>
      <c r="D3572" s="12" t="e">
        <f>MID(MAIN!A3577,K3572+2,2)</f>
        <v>#VALUE!</v>
      </c>
      <c r="E3572" s="12" t="e">
        <f>MID(MAIN!A3577,K3572+4,2)</f>
        <v>#VALUE!</v>
      </c>
      <c r="F3572" s="2" t="e">
        <f t="shared" si="221"/>
        <v>#VALUE!</v>
      </c>
      <c r="G3572" s="13" t="e">
        <f t="shared" si="222"/>
        <v>#VALUE!</v>
      </c>
      <c r="J3572" t="str">
        <f>MAIN!A3577&amp;"B"</f>
        <v>B</v>
      </c>
      <c r="K3572" s="12" t="e">
        <f t="shared" si="223"/>
        <v>#VALUE!</v>
      </c>
      <c r="L3572" t="str">
        <f>MAIN!C3577</f>
        <v/>
      </c>
    </row>
    <row r="3573" spans="1:12" x14ac:dyDescent="0.3">
      <c r="A3573">
        <f>IF(J3573="0",0,IF(COUNTIF($J$2:J3573,J3573)=1,1,0))</f>
        <v>0</v>
      </c>
      <c r="B3573" s="12" t="e">
        <f>MID(MAIN!A3578,K3573,2)</f>
        <v>#VALUE!</v>
      </c>
      <c r="C3573" s="12" t="e">
        <f t="shared" si="220"/>
        <v>#VALUE!</v>
      </c>
      <c r="D3573" s="12" t="e">
        <f>MID(MAIN!A3578,K3573+2,2)</f>
        <v>#VALUE!</v>
      </c>
      <c r="E3573" s="12" t="e">
        <f>MID(MAIN!A3578,K3573+4,2)</f>
        <v>#VALUE!</v>
      </c>
      <c r="F3573" s="2" t="e">
        <f t="shared" si="221"/>
        <v>#VALUE!</v>
      </c>
      <c r="G3573" s="13" t="e">
        <f t="shared" si="222"/>
        <v>#VALUE!</v>
      </c>
      <c r="J3573" t="str">
        <f>MAIN!A3578&amp;"B"</f>
        <v>B</v>
      </c>
      <c r="K3573" s="12" t="e">
        <f t="shared" si="223"/>
        <v>#VALUE!</v>
      </c>
      <c r="L3573" t="str">
        <f>MAIN!C3578</f>
        <v/>
      </c>
    </row>
    <row r="3574" spans="1:12" x14ac:dyDescent="0.3">
      <c r="A3574">
        <f>IF(J3574="0",0,IF(COUNTIF($J$2:J3574,J3574)=1,1,0))</f>
        <v>0</v>
      </c>
      <c r="B3574" s="12" t="e">
        <f>MID(MAIN!A3579,K3574,2)</f>
        <v>#VALUE!</v>
      </c>
      <c r="C3574" s="12" t="e">
        <f t="shared" si="220"/>
        <v>#VALUE!</v>
      </c>
      <c r="D3574" s="12" t="e">
        <f>MID(MAIN!A3579,K3574+2,2)</f>
        <v>#VALUE!</v>
      </c>
      <c r="E3574" s="12" t="e">
        <f>MID(MAIN!A3579,K3574+4,2)</f>
        <v>#VALUE!</v>
      </c>
      <c r="F3574" s="2" t="e">
        <f t="shared" si="221"/>
        <v>#VALUE!</v>
      </c>
      <c r="G3574" s="13" t="e">
        <f t="shared" si="222"/>
        <v>#VALUE!</v>
      </c>
      <c r="J3574" t="str">
        <f>MAIN!A3579&amp;"B"</f>
        <v>B</v>
      </c>
      <c r="K3574" s="12" t="e">
        <f t="shared" si="223"/>
        <v>#VALUE!</v>
      </c>
      <c r="L3574" t="str">
        <f>MAIN!C3579</f>
        <v/>
      </c>
    </row>
    <row r="3575" spans="1:12" x14ac:dyDescent="0.3">
      <c r="A3575">
        <f>IF(J3575="0",0,IF(COUNTIF($J$2:J3575,J3575)=1,1,0))</f>
        <v>0</v>
      </c>
      <c r="B3575" s="12" t="e">
        <f>MID(MAIN!A3580,K3575,2)</f>
        <v>#VALUE!</v>
      </c>
      <c r="C3575" s="12" t="e">
        <f t="shared" si="220"/>
        <v>#VALUE!</v>
      </c>
      <c r="D3575" s="12" t="e">
        <f>MID(MAIN!A3580,K3575+2,2)</f>
        <v>#VALUE!</v>
      </c>
      <c r="E3575" s="12" t="e">
        <f>MID(MAIN!A3580,K3575+4,2)</f>
        <v>#VALUE!</v>
      </c>
      <c r="F3575" s="2" t="e">
        <f t="shared" si="221"/>
        <v>#VALUE!</v>
      </c>
      <c r="G3575" s="13" t="e">
        <f t="shared" si="222"/>
        <v>#VALUE!</v>
      </c>
      <c r="J3575" t="str">
        <f>MAIN!A3580&amp;"B"</f>
        <v>B</v>
      </c>
      <c r="K3575" s="12" t="e">
        <f t="shared" si="223"/>
        <v>#VALUE!</v>
      </c>
      <c r="L3575" t="str">
        <f>MAIN!C3580</f>
        <v/>
      </c>
    </row>
    <row r="3576" spans="1:12" x14ac:dyDescent="0.3">
      <c r="A3576">
        <f>IF(J3576="0",0,IF(COUNTIF($J$2:J3576,J3576)=1,1,0))</f>
        <v>0</v>
      </c>
      <c r="B3576" s="12" t="e">
        <f>MID(MAIN!A3581,K3576,2)</f>
        <v>#VALUE!</v>
      </c>
      <c r="C3576" s="12" t="e">
        <f t="shared" si="220"/>
        <v>#VALUE!</v>
      </c>
      <c r="D3576" s="12" t="e">
        <f>MID(MAIN!A3581,K3576+2,2)</f>
        <v>#VALUE!</v>
      </c>
      <c r="E3576" s="12" t="e">
        <f>MID(MAIN!A3581,K3576+4,2)</f>
        <v>#VALUE!</v>
      </c>
      <c r="F3576" s="2" t="e">
        <f t="shared" si="221"/>
        <v>#VALUE!</v>
      </c>
      <c r="G3576" s="13" t="e">
        <f t="shared" si="222"/>
        <v>#VALUE!</v>
      </c>
      <c r="J3576" t="str">
        <f>MAIN!A3581&amp;"B"</f>
        <v>B</v>
      </c>
      <c r="K3576" s="12" t="e">
        <f t="shared" si="223"/>
        <v>#VALUE!</v>
      </c>
      <c r="L3576" t="str">
        <f>MAIN!C3581</f>
        <v/>
      </c>
    </row>
    <row r="3577" spans="1:12" x14ac:dyDescent="0.3">
      <c r="A3577">
        <f>IF(J3577="0",0,IF(COUNTIF($J$2:J3577,J3577)=1,1,0))</f>
        <v>0</v>
      </c>
      <c r="B3577" s="12" t="e">
        <f>MID(MAIN!A3582,K3577,2)</f>
        <v>#VALUE!</v>
      </c>
      <c r="C3577" s="12" t="e">
        <f t="shared" si="220"/>
        <v>#VALUE!</v>
      </c>
      <c r="D3577" s="12" t="e">
        <f>MID(MAIN!A3582,K3577+2,2)</f>
        <v>#VALUE!</v>
      </c>
      <c r="E3577" s="12" t="e">
        <f>MID(MAIN!A3582,K3577+4,2)</f>
        <v>#VALUE!</v>
      </c>
      <c r="F3577" s="2" t="e">
        <f t="shared" si="221"/>
        <v>#VALUE!</v>
      </c>
      <c r="G3577" s="13" t="e">
        <f t="shared" si="222"/>
        <v>#VALUE!</v>
      </c>
      <c r="J3577" t="str">
        <f>MAIN!A3582&amp;"B"</f>
        <v>B</v>
      </c>
      <c r="K3577" s="12" t="e">
        <f t="shared" si="223"/>
        <v>#VALUE!</v>
      </c>
      <c r="L3577" t="str">
        <f>MAIN!C3582</f>
        <v/>
      </c>
    </row>
    <row r="3578" spans="1:12" x14ac:dyDescent="0.3">
      <c r="A3578">
        <f>IF(J3578="0",0,IF(COUNTIF($J$2:J3578,J3578)=1,1,0))</f>
        <v>0</v>
      </c>
      <c r="B3578" s="12" t="e">
        <f>MID(MAIN!A3583,K3578,2)</f>
        <v>#VALUE!</v>
      </c>
      <c r="C3578" s="12" t="e">
        <f t="shared" si="220"/>
        <v>#VALUE!</v>
      </c>
      <c r="D3578" s="12" t="e">
        <f>MID(MAIN!A3583,K3578+2,2)</f>
        <v>#VALUE!</v>
      </c>
      <c r="E3578" s="12" t="e">
        <f>MID(MAIN!A3583,K3578+4,2)</f>
        <v>#VALUE!</v>
      </c>
      <c r="F3578" s="2" t="e">
        <f t="shared" si="221"/>
        <v>#VALUE!</v>
      </c>
      <c r="G3578" s="13" t="e">
        <f t="shared" si="222"/>
        <v>#VALUE!</v>
      </c>
      <c r="J3578" t="str">
        <f>MAIN!A3583&amp;"B"</f>
        <v>B</v>
      </c>
      <c r="K3578" s="12" t="e">
        <f t="shared" si="223"/>
        <v>#VALUE!</v>
      </c>
      <c r="L3578" t="str">
        <f>MAIN!C3583</f>
        <v/>
      </c>
    </row>
    <row r="3579" spans="1:12" x14ac:dyDescent="0.3">
      <c r="A3579">
        <f>IF(J3579="0",0,IF(COUNTIF($J$2:J3579,J3579)=1,1,0))</f>
        <v>0</v>
      </c>
      <c r="B3579" s="12" t="e">
        <f>MID(MAIN!A3584,K3579,2)</f>
        <v>#VALUE!</v>
      </c>
      <c r="C3579" s="12" t="e">
        <f t="shared" si="220"/>
        <v>#VALUE!</v>
      </c>
      <c r="D3579" s="12" t="e">
        <f>MID(MAIN!A3584,K3579+2,2)</f>
        <v>#VALUE!</v>
      </c>
      <c r="E3579" s="12" t="e">
        <f>MID(MAIN!A3584,K3579+4,2)</f>
        <v>#VALUE!</v>
      </c>
      <c r="F3579" s="2" t="e">
        <f t="shared" si="221"/>
        <v>#VALUE!</v>
      </c>
      <c r="G3579" s="13" t="e">
        <f t="shared" si="222"/>
        <v>#VALUE!</v>
      </c>
      <c r="J3579" t="str">
        <f>MAIN!A3584&amp;"B"</f>
        <v>B</v>
      </c>
      <c r="K3579" s="12" t="e">
        <f t="shared" si="223"/>
        <v>#VALUE!</v>
      </c>
      <c r="L3579" t="str">
        <f>MAIN!C3584</f>
        <v/>
      </c>
    </row>
    <row r="3580" spans="1:12" x14ac:dyDescent="0.3">
      <c r="A3580">
        <f>IF(J3580="0",0,IF(COUNTIF($J$2:J3580,J3580)=1,1,0))</f>
        <v>0</v>
      </c>
      <c r="B3580" s="12" t="e">
        <f>MID(MAIN!A3585,K3580,2)</f>
        <v>#VALUE!</v>
      </c>
      <c r="C3580" s="12" t="e">
        <f t="shared" si="220"/>
        <v>#VALUE!</v>
      </c>
      <c r="D3580" s="12" t="e">
        <f>MID(MAIN!A3585,K3580+2,2)</f>
        <v>#VALUE!</v>
      </c>
      <c r="E3580" s="12" t="e">
        <f>MID(MAIN!A3585,K3580+4,2)</f>
        <v>#VALUE!</v>
      </c>
      <c r="F3580" s="2" t="e">
        <f t="shared" si="221"/>
        <v>#VALUE!</v>
      </c>
      <c r="G3580" s="13" t="e">
        <f t="shared" si="222"/>
        <v>#VALUE!</v>
      </c>
      <c r="J3580" t="str">
        <f>MAIN!A3585&amp;"B"</f>
        <v>B</v>
      </c>
      <c r="K3580" s="12" t="e">
        <f t="shared" si="223"/>
        <v>#VALUE!</v>
      </c>
      <c r="L3580" t="str">
        <f>MAIN!C3585</f>
        <v/>
      </c>
    </row>
    <row r="3581" spans="1:12" x14ac:dyDescent="0.3">
      <c r="A3581">
        <f>IF(J3581="0",0,IF(COUNTIF($J$2:J3581,J3581)=1,1,0))</f>
        <v>0</v>
      </c>
      <c r="B3581" s="12" t="e">
        <f>MID(MAIN!A3586,K3581,2)</f>
        <v>#VALUE!</v>
      </c>
      <c r="C3581" s="12" t="e">
        <f t="shared" si="220"/>
        <v>#VALUE!</v>
      </c>
      <c r="D3581" s="12" t="e">
        <f>MID(MAIN!A3586,K3581+2,2)</f>
        <v>#VALUE!</v>
      </c>
      <c r="E3581" s="12" t="e">
        <f>MID(MAIN!A3586,K3581+4,2)</f>
        <v>#VALUE!</v>
      </c>
      <c r="F3581" s="2" t="e">
        <f t="shared" si="221"/>
        <v>#VALUE!</v>
      </c>
      <c r="G3581" s="13" t="e">
        <f t="shared" si="222"/>
        <v>#VALUE!</v>
      </c>
      <c r="J3581" t="str">
        <f>MAIN!A3586&amp;"B"</f>
        <v>B</v>
      </c>
      <c r="K3581" s="12" t="e">
        <f t="shared" si="223"/>
        <v>#VALUE!</v>
      </c>
      <c r="L3581" t="str">
        <f>MAIN!C3586</f>
        <v/>
      </c>
    </row>
    <row r="3582" spans="1:12" x14ac:dyDescent="0.3">
      <c r="A3582">
        <f>IF(J3582="0",0,IF(COUNTIF($J$2:J3582,J3582)=1,1,0))</f>
        <v>0</v>
      </c>
      <c r="B3582" s="12" t="e">
        <f>MID(MAIN!A3587,K3582,2)</f>
        <v>#VALUE!</v>
      </c>
      <c r="C3582" s="12" t="e">
        <f t="shared" si="220"/>
        <v>#VALUE!</v>
      </c>
      <c r="D3582" s="12" t="e">
        <f>MID(MAIN!A3587,K3582+2,2)</f>
        <v>#VALUE!</v>
      </c>
      <c r="E3582" s="12" t="e">
        <f>MID(MAIN!A3587,K3582+4,2)</f>
        <v>#VALUE!</v>
      </c>
      <c r="F3582" s="2" t="e">
        <f t="shared" si="221"/>
        <v>#VALUE!</v>
      </c>
      <c r="G3582" s="13" t="e">
        <f t="shared" si="222"/>
        <v>#VALUE!</v>
      </c>
      <c r="J3582" t="str">
        <f>MAIN!A3587&amp;"B"</f>
        <v>B</v>
      </c>
      <c r="K3582" s="12" t="e">
        <f t="shared" si="223"/>
        <v>#VALUE!</v>
      </c>
      <c r="L3582" t="str">
        <f>MAIN!C3587</f>
        <v/>
      </c>
    </row>
    <row r="3583" spans="1:12" x14ac:dyDescent="0.3">
      <c r="A3583">
        <f>IF(J3583="0",0,IF(COUNTIF($J$2:J3583,J3583)=1,1,0))</f>
        <v>0</v>
      </c>
      <c r="B3583" s="12" t="e">
        <f>MID(MAIN!A3588,K3583,2)</f>
        <v>#VALUE!</v>
      </c>
      <c r="C3583" s="12" t="e">
        <f t="shared" si="220"/>
        <v>#VALUE!</v>
      </c>
      <c r="D3583" s="12" t="e">
        <f>MID(MAIN!A3588,K3583+2,2)</f>
        <v>#VALUE!</v>
      </c>
      <c r="E3583" s="12" t="e">
        <f>MID(MAIN!A3588,K3583+4,2)</f>
        <v>#VALUE!</v>
      </c>
      <c r="F3583" s="2" t="e">
        <f t="shared" si="221"/>
        <v>#VALUE!</v>
      </c>
      <c r="G3583" s="13" t="e">
        <f t="shared" si="222"/>
        <v>#VALUE!</v>
      </c>
      <c r="J3583" t="str">
        <f>MAIN!A3588&amp;"B"</f>
        <v>B</v>
      </c>
      <c r="K3583" s="12" t="e">
        <f t="shared" si="223"/>
        <v>#VALUE!</v>
      </c>
      <c r="L3583" t="str">
        <f>MAIN!C3588</f>
        <v/>
      </c>
    </row>
    <row r="3584" spans="1:12" x14ac:dyDescent="0.3">
      <c r="A3584">
        <f>IF(J3584="0",0,IF(COUNTIF($J$2:J3584,J3584)=1,1,0))</f>
        <v>0</v>
      </c>
      <c r="B3584" s="12" t="e">
        <f>MID(MAIN!A3589,K3584,2)</f>
        <v>#VALUE!</v>
      </c>
      <c r="C3584" s="12" t="e">
        <f t="shared" si="220"/>
        <v>#VALUE!</v>
      </c>
      <c r="D3584" s="12" t="e">
        <f>MID(MAIN!A3589,K3584+2,2)</f>
        <v>#VALUE!</v>
      </c>
      <c r="E3584" s="12" t="e">
        <f>MID(MAIN!A3589,K3584+4,2)</f>
        <v>#VALUE!</v>
      </c>
      <c r="F3584" s="2" t="e">
        <f t="shared" si="221"/>
        <v>#VALUE!</v>
      </c>
      <c r="G3584" s="13" t="e">
        <f t="shared" si="222"/>
        <v>#VALUE!</v>
      </c>
      <c r="J3584" t="str">
        <f>MAIN!A3589&amp;"B"</f>
        <v>B</v>
      </c>
      <c r="K3584" s="12" t="e">
        <f t="shared" si="223"/>
        <v>#VALUE!</v>
      </c>
      <c r="L3584" t="str">
        <f>MAIN!C3589</f>
        <v/>
      </c>
    </row>
    <row r="3585" spans="1:12" x14ac:dyDescent="0.3">
      <c r="A3585">
        <f>IF(J3585="0",0,IF(COUNTIF($J$2:J3585,J3585)=1,1,0))</f>
        <v>0</v>
      </c>
      <c r="B3585" s="12" t="e">
        <f>MID(MAIN!A3590,K3585,2)</f>
        <v>#VALUE!</v>
      </c>
      <c r="C3585" s="12" t="e">
        <f t="shared" si="220"/>
        <v>#VALUE!</v>
      </c>
      <c r="D3585" s="12" t="e">
        <f>MID(MAIN!A3590,K3585+2,2)</f>
        <v>#VALUE!</v>
      </c>
      <c r="E3585" s="12" t="e">
        <f>MID(MAIN!A3590,K3585+4,2)</f>
        <v>#VALUE!</v>
      </c>
      <c r="F3585" s="2" t="e">
        <f t="shared" si="221"/>
        <v>#VALUE!</v>
      </c>
      <c r="G3585" s="13" t="e">
        <f t="shared" si="222"/>
        <v>#VALUE!</v>
      </c>
      <c r="J3585" t="str">
        <f>MAIN!A3590&amp;"B"</f>
        <v>B</v>
      </c>
      <c r="K3585" s="12" t="e">
        <f t="shared" si="223"/>
        <v>#VALUE!</v>
      </c>
      <c r="L3585" t="str">
        <f>MAIN!C3590</f>
        <v/>
      </c>
    </row>
    <row r="3586" spans="1:12" x14ac:dyDescent="0.3">
      <c r="A3586">
        <f>IF(J3586="0",0,IF(COUNTIF($J$2:J3586,J3586)=1,1,0))</f>
        <v>0</v>
      </c>
      <c r="B3586" s="12" t="e">
        <f>MID(MAIN!A3591,K3586,2)</f>
        <v>#VALUE!</v>
      </c>
      <c r="C3586" s="12" t="e">
        <f t="shared" si="220"/>
        <v>#VALUE!</v>
      </c>
      <c r="D3586" s="12" t="e">
        <f>MID(MAIN!A3591,K3586+2,2)</f>
        <v>#VALUE!</v>
      </c>
      <c r="E3586" s="12" t="e">
        <f>MID(MAIN!A3591,K3586+4,2)</f>
        <v>#VALUE!</v>
      </c>
      <c r="F3586" s="2" t="e">
        <f t="shared" si="221"/>
        <v>#VALUE!</v>
      </c>
      <c r="G3586" s="13" t="e">
        <f t="shared" si="222"/>
        <v>#VALUE!</v>
      </c>
      <c r="J3586" t="str">
        <f>MAIN!A3591&amp;"B"</f>
        <v>B</v>
      </c>
      <c r="K3586" s="12" t="e">
        <f t="shared" si="223"/>
        <v>#VALUE!</v>
      </c>
      <c r="L3586" t="str">
        <f>MAIN!C3591</f>
        <v/>
      </c>
    </row>
    <row r="3587" spans="1:12" x14ac:dyDescent="0.3">
      <c r="A3587">
        <f>IF(J3587="0",0,IF(COUNTIF($J$2:J3587,J3587)=1,1,0))</f>
        <v>0</v>
      </c>
      <c r="B3587" s="12" t="e">
        <f>MID(MAIN!A3592,K3587,2)</f>
        <v>#VALUE!</v>
      </c>
      <c r="C3587" s="12" t="e">
        <f t="shared" ref="C3587:C3650" si="224">"20"&amp;B3587</f>
        <v>#VALUE!</v>
      </c>
      <c r="D3587" s="12" t="e">
        <f>MID(MAIN!A3592,K3587+2,2)</f>
        <v>#VALUE!</v>
      </c>
      <c r="E3587" s="12" t="e">
        <f>MID(MAIN!A3592,K3587+4,2)</f>
        <v>#VALUE!</v>
      </c>
      <c r="F3587" s="2" t="e">
        <f t="shared" ref="F3587:F3650" si="225">C3587&amp;"/"&amp;D3587&amp;"/"&amp;E3587</f>
        <v>#VALUE!</v>
      </c>
      <c r="G3587" s="13" t="e">
        <f t="shared" ref="G3587:G3650" si="226">DATEVALUE(F3587)</f>
        <v>#VALUE!</v>
      </c>
      <c r="J3587" t="str">
        <f>MAIN!A3592&amp;"B"</f>
        <v>B</v>
      </c>
      <c r="K3587" s="12" t="e">
        <f t="shared" ref="K3587:K3650" si="227">FIND("172",J3587,30)+2</f>
        <v>#VALUE!</v>
      </c>
      <c r="L3587" t="str">
        <f>MAIN!C3592</f>
        <v/>
      </c>
    </row>
    <row r="3588" spans="1:12" x14ac:dyDescent="0.3">
      <c r="A3588">
        <f>IF(J3588="0",0,IF(COUNTIF($J$2:J3588,J3588)=1,1,0))</f>
        <v>0</v>
      </c>
      <c r="B3588" s="12" t="e">
        <f>MID(MAIN!A3593,K3588,2)</f>
        <v>#VALUE!</v>
      </c>
      <c r="C3588" s="12" t="e">
        <f t="shared" si="224"/>
        <v>#VALUE!</v>
      </c>
      <c r="D3588" s="12" t="e">
        <f>MID(MAIN!A3593,K3588+2,2)</f>
        <v>#VALUE!</v>
      </c>
      <c r="E3588" s="12" t="e">
        <f>MID(MAIN!A3593,K3588+4,2)</f>
        <v>#VALUE!</v>
      </c>
      <c r="F3588" s="2" t="e">
        <f t="shared" si="225"/>
        <v>#VALUE!</v>
      </c>
      <c r="G3588" s="13" t="e">
        <f t="shared" si="226"/>
        <v>#VALUE!</v>
      </c>
      <c r="J3588" t="str">
        <f>MAIN!A3593&amp;"B"</f>
        <v>B</v>
      </c>
      <c r="K3588" s="12" t="e">
        <f t="shared" si="227"/>
        <v>#VALUE!</v>
      </c>
      <c r="L3588" t="str">
        <f>MAIN!C3593</f>
        <v/>
      </c>
    </row>
    <row r="3589" spans="1:12" x14ac:dyDescent="0.3">
      <c r="A3589">
        <f>IF(J3589="0",0,IF(COUNTIF($J$2:J3589,J3589)=1,1,0))</f>
        <v>0</v>
      </c>
      <c r="B3589" s="12" t="e">
        <f>MID(MAIN!A3594,K3589,2)</f>
        <v>#VALUE!</v>
      </c>
      <c r="C3589" s="12" t="e">
        <f t="shared" si="224"/>
        <v>#VALUE!</v>
      </c>
      <c r="D3589" s="12" t="e">
        <f>MID(MAIN!A3594,K3589+2,2)</f>
        <v>#VALUE!</v>
      </c>
      <c r="E3589" s="12" t="e">
        <f>MID(MAIN!A3594,K3589+4,2)</f>
        <v>#VALUE!</v>
      </c>
      <c r="F3589" s="2" t="e">
        <f t="shared" si="225"/>
        <v>#VALUE!</v>
      </c>
      <c r="G3589" s="13" t="e">
        <f t="shared" si="226"/>
        <v>#VALUE!</v>
      </c>
      <c r="J3589" t="str">
        <f>MAIN!A3594&amp;"B"</f>
        <v>B</v>
      </c>
      <c r="K3589" s="12" t="e">
        <f t="shared" si="227"/>
        <v>#VALUE!</v>
      </c>
      <c r="L3589" t="str">
        <f>MAIN!C3594</f>
        <v/>
      </c>
    </row>
    <row r="3590" spans="1:12" x14ac:dyDescent="0.3">
      <c r="A3590">
        <f>IF(J3590="0",0,IF(COUNTIF($J$2:J3590,J3590)=1,1,0))</f>
        <v>0</v>
      </c>
      <c r="B3590" s="12" t="e">
        <f>MID(MAIN!A3595,K3590,2)</f>
        <v>#VALUE!</v>
      </c>
      <c r="C3590" s="12" t="e">
        <f t="shared" si="224"/>
        <v>#VALUE!</v>
      </c>
      <c r="D3590" s="12" t="e">
        <f>MID(MAIN!A3595,K3590+2,2)</f>
        <v>#VALUE!</v>
      </c>
      <c r="E3590" s="12" t="e">
        <f>MID(MAIN!A3595,K3590+4,2)</f>
        <v>#VALUE!</v>
      </c>
      <c r="F3590" s="2" t="e">
        <f t="shared" si="225"/>
        <v>#VALUE!</v>
      </c>
      <c r="G3590" s="13" t="e">
        <f t="shared" si="226"/>
        <v>#VALUE!</v>
      </c>
      <c r="J3590" t="str">
        <f>MAIN!A3595&amp;"B"</f>
        <v>B</v>
      </c>
      <c r="K3590" s="12" t="e">
        <f t="shared" si="227"/>
        <v>#VALUE!</v>
      </c>
      <c r="L3590" t="str">
        <f>MAIN!C3595</f>
        <v/>
      </c>
    </row>
    <row r="3591" spans="1:12" x14ac:dyDescent="0.3">
      <c r="A3591">
        <f>IF(J3591="0",0,IF(COUNTIF($J$2:J3591,J3591)=1,1,0))</f>
        <v>0</v>
      </c>
      <c r="B3591" s="12" t="e">
        <f>MID(MAIN!A3596,K3591,2)</f>
        <v>#VALUE!</v>
      </c>
      <c r="C3591" s="12" t="e">
        <f t="shared" si="224"/>
        <v>#VALUE!</v>
      </c>
      <c r="D3591" s="12" t="e">
        <f>MID(MAIN!A3596,K3591+2,2)</f>
        <v>#VALUE!</v>
      </c>
      <c r="E3591" s="12" t="e">
        <f>MID(MAIN!A3596,K3591+4,2)</f>
        <v>#VALUE!</v>
      </c>
      <c r="F3591" s="2" t="e">
        <f t="shared" si="225"/>
        <v>#VALUE!</v>
      </c>
      <c r="G3591" s="13" t="e">
        <f t="shared" si="226"/>
        <v>#VALUE!</v>
      </c>
      <c r="J3591" t="str">
        <f>MAIN!A3596&amp;"B"</f>
        <v>B</v>
      </c>
      <c r="K3591" s="12" t="e">
        <f t="shared" si="227"/>
        <v>#VALUE!</v>
      </c>
      <c r="L3591" t="str">
        <f>MAIN!C3596</f>
        <v/>
      </c>
    </row>
    <row r="3592" spans="1:12" x14ac:dyDescent="0.3">
      <c r="A3592">
        <f>IF(J3592="0",0,IF(COUNTIF($J$2:J3592,J3592)=1,1,0))</f>
        <v>0</v>
      </c>
      <c r="B3592" s="12" t="e">
        <f>MID(MAIN!A3597,K3592,2)</f>
        <v>#VALUE!</v>
      </c>
      <c r="C3592" s="12" t="e">
        <f t="shared" si="224"/>
        <v>#VALUE!</v>
      </c>
      <c r="D3592" s="12" t="e">
        <f>MID(MAIN!A3597,K3592+2,2)</f>
        <v>#VALUE!</v>
      </c>
      <c r="E3592" s="12" t="e">
        <f>MID(MAIN!A3597,K3592+4,2)</f>
        <v>#VALUE!</v>
      </c>
      <c r="F3592" s="2" t="e">
        <f t="shared" si="225"/>
        <v>#VALUE!</v>
      </c>
      <c r="G3592" s="13" t="e">
        <f t="shared" si="226"/>
        <v>#VALUE!</v>
      </c>
      <c r="J3592" t="str">
        <f>MAIN!A3597&amp;"B"</f>
        <v>B</v>
      </c>
      <c r="K3592" s="12" t="e">
        <f t="shared" si="227"/>
        <v>#VALUE!</v>
      </c>
      <c r="L3592" t="str">
        <f>MAIN!C3597</f>
        <v/>
      </c>
    </row>
    <row r="3593" spans="1:12" x14ac:dyDescent="0.3">
      <c r="A3593">
        <f>IF(J3593="0",0,IF(COUNTIF($J$2:J3593,J3593)=1,1,0))</f>
        <v>0</v>
      </c>
      <c r="B3593" s="12" t="e">
        <f>MID(MAIN!A3598,K3593,2)</f>
        <v>#VALUE!</v>
      </c>
      <c r="C3593" s="12" t="e">
        <f t="shared" si="224"/>
        <v>#VALUE!</v>
      </c>
      <c r="D3593" s="12" t="e">
        <f>MID(MAIN!A3598,K3593+2,2)</f>
        <v>#VALUE!</v>
      </c>
      <c r="E3593" s="12" t="e">
        <f>MID(MAIN!A3598,K3593+4,2)</f>
        <v>#VALUE!</v>
      </c>
      <c r="F3593" s="2" t="e">
        <f t="shared" si="225"/>
        <v>#VALUE!</v>
      </c>
      <c r="G3593" s="13" t="e">
        <f t="shared" si="226"/>
        <v>#VALUE!</v>
      </c>
      <c r="J3593" t="str">
        <f>MAIN!A3598&amp;"B"</f>
        <v>B</v>
      </c>
      <c r="K3593" s="12" t="e">
        <f t="shared" si="227"/>
        <v>#VALUE!</v>
      </c>
      <c r="L3593" t="str">
        <f>MAIN!C3598</f>
        <v/>
      </c>
    </row>
    <row r="3594" spans="1:12" x14ac:dyDescent="0.3">
      <c r="A3594">
        <f>IF(J3594="0",0,IF(COUNTIF($J$2:J3594,J3594)=1,1,0))</f>
        <v>0</v>
      </c>
      <c r="B3594" s="12" t="e">
        <f>MID(MAIN!A3599,K3594,2)</f>
        <v>#VALUE!</v>
      </c>
      <c r="C3594" s="12" t="e">
        <f t="shared" si="224"/>
        <v>#VALUE!</v>
      </c>
      <c r="D3594" s="12" t="e">
        <f>MID(MAIN!A3599,K3594+2,2)</f>
        <v>#VALUE!</v>
      </c>
      <c r="E3594" s="12" t="e">
        <f>MID(MAIN!A3599,K3594+4,2)</f>
        <v>#VALUE!</v>
      </c>
      <c r="F3594" s="2" t="e">
        <f t="shared" si="225"/>
        <v>#VALUE!</v>
      </c>
      <c r="G3594" s="13" t="e">
        <f t="shared" si="226"/>
        <v>#VALUE!</v>
      </c>
      <c r="J3594" t="str">
        <f>MAIN!A3599&amp;"B"</f>
        <v>B</v>
      </c>
      <c r="K3594" s="12" t="e">
        <f t="shared" si="227"/>
        <v>#VALUE!</v>
      </c>
      <c r="L3594" t="str">
        <f>MAIN!C3599</f>
        <v/>
      </c>
    </row>
    <row r="3595" spans="1:12" x14ac:dyDescent="0.3">
      <c r="A3595">
        <f>IF(J3595="0",0,IF(COUNTIF($J$2:J3595,J3595)=1,1,0))</f>
        <v>0</v>
      </c>
      <c r="B3595" s="12" t="e">
        <f>MID(MAIN!A3600,K3595,2)</f>
        <v>#VALUE!</v>
      </c>
      <c r="C3595" s="12" t="e">
        <f t="shared" si="224"/>
        <v>#VALUE!</v>
      </c>
      <c r="D3595" s="12" t="e">
        <f>MID(MAIN!A3600,K3595+2,2)</f>
        <v>#VALUE!</v>
      </c>
      <c r="E3595" s="12" t="e">
        <f>MID(MAIN!A3600,K3595+4,2)</f>
        <v>#VALUE!</v>
      </c>
      <c r="F3595" s="2" t="e">
        <f t="shared" si="225"/>
        <v>#VALUE!</v>
      </c>
      <c r="G3595" s="13" t="e">
        <f t="shared" si="226"/>
        <v>#VALUE!</v>
      </c>
      <c r="J3595" t="str">
        <f>MAIN!A3600&amp;"B"</f>
        <v>B</v>
      </c>
      <c r="K3595" s="12" t="e">
        <f t="shared" si="227"/>
        <v>#VALUE!</v>
      </c>
      <c r="L3595" t="str">
        <f>MAIN!C3600</f>
        <v/>
      </c>
    </row>
    <row r="3596" spans="1:12" x14ac:dyDescent="0.3">
      <c r="A3596">
        <f>IF(J3596="0",0,IF(COUNTIF($J$2:J3596,J3596)=1,1,0))</f>
        <v>0</v>
      </c>
      <c r="B3596" s="12" t="e">
        <f>MID(MAIN!A3601,K3596,2)</f>
        <v>#VALUE!</v>
      </c>
      <c r="C3596" s="12" t="e">
        <f t="shared" si="224"/>
        <v>#VALUE!</v>
      </c>
      <c r="D3596" s="12" t="e">
        <f>MID(MAIN!A3601,K3596+2,2)</f>
        <v>#VALUE!</v>
      </c>
      <c r="E3596" s="12" t="e">
        <f>MID(MAIN!A3601,K3596+4,2)</f>
        <v>#VALUE!</v>
      </c>
      <c r="F3596" s="2" t="e">
        <f t="shared" si="225"/>
        <v>#VALUE!</v>
      </c>
      <c r="G3596" s="13" t="e">
        <f t="shared" si="226"/>
        <v>#VALUE!</v>
      </c>
      <c r="J3596" t="str">
        <f>MAIN!A3601&amp;"B"</f>
        <v>B</v>
      </c>
      <c r="K3596" s="12" t="e">
        <f t="shared" si="227"/>
        <v>#VALUE!</v>
      </c>
      <c r="L3596" t="str">
        <f>MAIN!C3601</f>
        <v/>
      </c>
    </row>
    <row r="3597" spans="1:12" x14ac:dyDescent="0.3">
      <c r="A3597">
        <f>IF(J3597="0",0,IF(COUNTIF($J$2:J3597,J3597)=1,1,0))</f>
        <v>0</v>
      </c>
      <c r="B3597" s="12" t="e">
        <f>MID(MAIN!A3602,K3597,2)</f>
        <v>#VALUE!</v>
      </c>
      <c r="C3597" s="12" t="e">
        <f t="shared" si="224"/>
        <v>#VALUE!</v>
      </c>
      <c r="D3597" s="12" t="e">
        <f>MID(MAIN!A3602,K3597+2,2)</f>
        <v>#VALUE!</v>
      </c>
      <c r="E3597" s="12" t="e">
        <f>MID(MAIN!A3602,K3597+4,2)</f>
        <v>#VALUE!</v>
      </c>
      <c r="F3597" s="2" t="e">
        <f t="shared" si="225"/>
        <v>#VALUE!</v>
      </c>
      <c r="G3597" s="13" t="e">
        <f t="shared" si="226"/>
        <v>#VALUE!</v>
      </c>
      <c r="J3597" t="str">
        <f>MAIN!A3602&amp;"B"</f>
        <v>B</v>
      </c>
      <c r="K3597" s="12" t="e">
        <f t="shared" si="227"/>
        <v>#VALUE!</v>
      </c>
      <c r="L3597" t="str">
        <f>MAIN!C3602</f>
        <v/>
      </c>
    </row>
    <row r="3598" spans="1:12" x14ac:dyDescent="0.3">
      <c r="A3598">
        <f>IF(J3598="0",0,IF(COUNTIF($J$2:J3598,J3598)=1,1,0))</f>
        <v>0</v>
      </c>
      <c r="B3598" s="12" t="e">
        <f>MID(MAIN!A3603,K3598,2)</f>
        <v>#VALUE!</v>
      </c>
      <c r="C3598" s="12" t="e">
        <f t="shared" si="224"/>
        <v>#VALUE!</v>
      </c>
      <c r="D3598" s="12" t="e">
        <f>MID(MAIN!A3603,K3598+2,2)</f>
        <v>#VALUE!</v>
      </c>
      <c r="E3598" s="12" t="e">
        <f>MID(MAIN!A3603,K3598+4,2)</f>
        <v>#VALUE!</v>
      </c>
      <c r="F3598" s="2" t="e">
        <f t="shared" si="225"/>
        <v>#VALUE!</v>
      </c>
      <c r="G3598" s="13" t="e">
        <f t="shared" si="226"/>
        <v>#VALUE!</v>
      </c>
      <c r="J3598" t="str">
        <f>MAIN!A3603&amp;"B"</f>
        <v>B</v>
      </c>
      <c r="K3598" s="12" t="e">
        <f t="shared" si="227"/>
        <v>#VALUE!</v>
      </c>
      <c r="L3598" t="str">
        <f>MAIN!C3603</f>
        <v/>
      </c>
    </row>
    <row r="3599" spans="1:12" x14ac:dyDescent="0.3">
      <c r="A3599">
        <f>IF(J3599="0",0,IF(COUNTIF($J$2:J3599,J3599)=1,1,0))</f>
        <v>0</v>
      </c>
      <c r="B3599" s="12" t="e">
        <f>MID(MAIN!A3604,K3599,2)</f>
        <v>#VALUE!</v>
      </c>
      <c r="C3599" s="12" t="e">
        <f t="shared" si="224"/>
        <v>#VALUE!</v>
      </c>
      <c r="D3599" s="12" t="e">
        <f>MID(MAIN!A3604,K3599+2,2)</f>
        <v>#VALUE!</v>
      </c>
      <c r="E3599" s="12" t="e">
        <f>MID(MAIN!A3604,K3599+4,2)</f>
        <v>#VALUE!</v>
      </c>
      <c r="F3599" s="2" t="e">
        <f t="shared" si="225"/>
        <v>#VALUE!</v>
      </c>
      <c r="G3599" s="13" t="e">
        <f t="shared" si="226"/>
        <v>#VALUE!</v>
      </c>
      <c r="J3599" t="str">
        <f>MAIN!A3604&amp;"B"</f>
        <v>B</v>
      </c>
      <c r="K3599" s="12" t="e">
        <f t="shared" si="227"/>
        <v>#VALUE!</v>
      </c>
      <c r="L3599" t="str">
        <f>MAIN!C3604</f>
        <v/>
      </c>
    </row>
    <row r="3600" spans="1:12" x14ac:dyDescent="0.3">
      <c r="A3600">
        <f>IF(J3600="0",0,IF(COUNTIF($J$2:J3600,J3600)=1,1,0))</f>
        <v>0</v>
      </c>
      <c r="B3600" s="12" t="e">
        <f>MID(MAIN!A3605,K3600,2)</f>
        <v>#VALUE!</v>
      </c>
      <c r="C3600" s="12" t="e">
        <f t="shared" si="224"/>
        <v>#VALUE!</v>
      </c>
      <c r="D3600" s="12" t="e">
        <f>MID(MAIN!A3605,K3600+2,2)</f>
        <v>#VALUE!</v>
      </c>
      <c r="E3600" s="12" t="e">
        <f>MID(MAIN!A3605,K3600+4,2)</f>
        <v>#VALUE!</v>
      </c>
      <c r="F3600" s="2" t="e">
        <f t="shared" si="225"/>
        <v>#VALUE!</v>
      </c>
      <c r="G3600" s="13" t="e">
        <f t="shared" si="226"/>
        <v>#VALUE!</v>
      </c>
      <c r="J3600" t="str">
        <f>MAIN!A3605&amp;"B"</f>
        <v>B</v>
      </c>
      <c r="K3600" s="12" t="e">
        <f t="shared" si="227"/>
        <v>#VALUE!</v>
      </c>
      <c r="L3600" t="str">
        <f>MAIN!C3605</f>
        <v/>
      </c>
    </row>
    <row r="3601" spans="1:12" x14ac:dyDescent="0.3">
      <c r="A3601">
        <f>IF(J3601="0",0,IF(COUNTIF($J$2:J3601,J3601)=1,1,0))</f>
        <v>0</v>
      </c>
      <c r="B3601" s="12" t="e">
        <f>MID(MAIN!A3606,K3601,2)</f>
        <v>#VALUE!</v>
      </c>
      <c r="C3601" s="12" t="e">
        <f t="shared" si="224"/>
        <v>#VALUE!</v>
      </c>
      <c r="D3601" s="12" t="e">
        <f>MID(MAIN!A3606,K3601+2,2)</f>
        <v>#VALUE!</v>
      </c>
      <c r="E3601" s="12" t="e">
        <f>MID(MAIN!A3606,K3601+4,2)</f>
        <v>#VALUE!</v>
      </c>
      <c r="F3601" s="2" t="e">
        <f t="shared" si="225"/>
        <v>#VALUE!</v>
      </c>
      <c r="G3601" s="13" t="e">
        <f t="shared" si="226"/>
        <v>#VALUE!</v>
      </c>
      <c r="J3601" t="str">
        <f>MAIN!A3606&amp;"B"</f>
        <v>B</v>
      </c>
      <c r="K3601" s="12" t="e">
        <f t="shared" si="227"/>
        <v>#VALUE!</v>
      </c>
      <c r="L3601" t="str">
        <f>MAIN!C3606</f>
        <v/>
      </c>
    </row>
    <row r="3602" spans="1:12" x14ac:dyDescent="0.3">
      <c r="A3602">
        <f>IF(J3602="0",0,IF(COUNTIF($J$2:J3602,J3602)=1,1,0))</f>
        <v>0</v>
      </c>
      <c r="B3602" s="12" t="e">
        <f>MID(MAIN!A3607,K3602,2)</f>
        <v>#VALUE!</v>
      </c>
      <c r="C3602" s="12" t="e">
        <f t="shared" si="224"/>
        <v>#VALUE!</v>
      </c>
      <c r="D3602" s="12" t="e">
        <f>MID(MAIN!A3607,K3602+2,2)</f>
        <v>#VALUE!</v>
      </c>
      <c r="E3602" s="12" t="e">
        <f>MID(MAIN!A3607,K3602+4,2)</f>
        <v>#VALUE!</v>
      </c>
      <c r="F3602" s="2" t="e">
        <f t="shared" si="225"/>
        <v>#VALUE!</v>
      </c>
      <c r="G3602" s="13" t="e">
        <f t="shared" si="226"/>
        <v>#VALUE!</v>
      </c>
      <c r="J3602" t="str">
        <f>MAIN!A3607&amp;"B"</f>
        <v>B</v>
      </c>
      <c r="K3602" s="12" t="e">
        <f t="shared" si="227"/>
        <v>#VALUE!</v>
      </c>
      <c r="L3602" t="str">
        <f>MAIN!C3607</f>
        <v/>
      </c>
    </row>
    <row r="3603" spans="1:12" x14ac:dyDescent="0.3">
      <c r="A3603">
        <f>IF(J3603="0",0,IF(COUNTIF($J$2:J3603,J3603)=1,1,0))</f>
        <v>0</v>
      </c>
      <c r="B3603" s="12" t="e">
        <f>MID(MAIN!A3608,K3603,2)</f>
        <v>#VALUE!</v>
      </c>
      <c r="C3603" s="12" t="e">
        <f t="shared" si="224"/>
        <v>#VALUE!</v>
      </c>
      <c r="D3603" s="12" t="e">
        <f>MID(MAIN!A3608,K3603+2,2)</f>
        <v>#VALUE!</v>
      </c>
      <c r="E3603" s="12" t="e">
        <f>MID(MAIN!A3608,K3603+4,2)</f>
        <v>#VALUE!</v>
      </c>
      <c r="F3603" s="2" t="e">
        <f t="shared" si="225"/>
        <v>#VALUE!</v>
      </c>
      <c r="G3603" s="13" t="e">
        <f t="shared" si="226"/>
        <v>#VALUE!</v>
      </c>
      <c r="J3603" t="str">
        <f>MAIN!A3608&amp;"B"</f>
        <v>B</v>
      </c>
      <c r="K3603" s="12" t="e">
        <f t="shared" si="227"/>
        <v>#VALUE!</v>
      </c>
      <c r="L3603" t="str">
        <f>MAIN!C3608</f>
        <v/>
      </c>
    </row>
    <row r="3604" spans="1:12" x14ac:dyDescent="0.3">
      <c r="A3604">
        <f>IF(J3604="0",0,IF(COUNTIF($J$2:J3604,J3604)=1,1,0))</f>
        <v>0</v>
      </c>
      <c r="B3604" s="12" t="e">
        <f>MID(MAIN!A3609,K3604,2)</f>
        <v>#VALUE!</v>
      </c>
      <c r="C3604" s="12" t="e">
        <f t="shared" si="224"/>
        <v>#VALUE!</v>
      </c>
      <c r="D3604" s="12" t="e">
        <f>MID(MAIN!A3609,K3604+2,2)</f>
        <v>#VALUE!</v>
      </c>
      <c r="E3604" s="12" t="e">
        <f>MID(MAIN!A3609,K3604+4,2)</f>
        <v>#VALUE!</v>
      </c>
      <c r="F3604" s="2" t="e">
        <f t="shared" si="225"/>
        <v>#VALUE!</v>
      </c>
      <c r="G3604" s="13" t="e">
        <f t="shared" si="226"/>
        <v>#VALUE!</v>
      </c>
      <c r="J3604" t="str">
        <f>MAIN!A3609&amp;"B"</f>
        <v>B</v>
      </c>
      <c r="K3604" s="12" t="e">
        <f t="shared" si="227"/>
        <v>#VALUE!</v>
      </c>
      <c r="L3604" t="str">
        <f>MAIN!C3609</f>
        <v/>
      </c>
    </row>
    <row r="3605" spans="1:12" x14ac:dyDescent="0.3">
      <c r="A3605">
        <f>IF(J3605="0",0,IF(COUNTIF($J$2:J3605,J3605)=1,1,0))</f>
        <v>0</v>
      </c>
      <c r="B3605" s="12" t="e">
        <f>MID(MAIN!A3610,K3605,2)</f>
        <v>#VALUE!</v>
      </c>
      <c r="C3605" s="12" t="e">
        <f t="shared" si="224"/>
        <v>#VALUE!</v>
      </c>
      <c r="D3605" s="12" t="e">
        <f>MID(MAIN!A3610,K3605+2,2)</f>
        <v>#VALUE!</v>
      </c>
      <c r="E3605" s="12" t="e">
        <f>MID(MAIN!A3610,K3605+4,2)</f>
        <v>#VALUE!</v>
      </c>
      <c r="F3605" s="2" t="e">
        <f t="shared" si="225"/>
        <v>#VALUE!</v>
      </c>
      <c r="G3605" s="13" t="e">
        <f t="shared" si="226"/>
        <v>#VALUE!</v>
      </c>
      <c r="J3605" t="str">
        <f>MAIN!A3610&amp;"B"</f>
        <v>B</v>
      </c>
      <c r="K3605" s="12" t="e">
        <f t="shared" si="227"/>
        <v>#VALUE!</v>
      </c>
      <c r="L3605" t="str">
        <f>MAIN!C3610</f>
        <v/>
      </c>
    </row>
    <row r="3606" spans="1:12" x14ac:dyDescent="0.3">
      <c r="A3606">
        <f>IF(J3606="0",0,IF(COUNTIF($J$2:J3606,J3606)=1,1,0))</f>
        <v>0</v>
      </c>
      <c r="B3606" s="12" t="e">
        <f>MID(MAIN!A3611,K3606,2)</f>
        <v>#VALUE!</v>
      </c>
      <c r="C3606" s="12" t="e">
        <f t="shared" si="224"/>
        <v>#VALUE!</v>
      </c>
      <c r="D3606" s="12" t="e">
        <f>MID(MAIN!A3611,K3606+2,2)</f>
        <v>#VALUE!</v>
      </c>
      <c r="E3606" s="12" t="e">
        <f>MID(MAIN!A3611,K3606+4,2)</f>
        <v>#VALUE!</v>
      </c>
      <c r="F3606" s="2" t="e">
        <f t="shared" si="225"/>
        <v>#VALUE!</v>
      </c>
      <c r="G3606" s="13" t="e">
        <f t="shared" si="226"/>
        <v>#VALUE!</v>
      </c>
      <c r="J3606" t="str">
        <f>MAIN!A3611&amp;"B"</f>
        <v>B</v>
      </c>
      <c r="K3606" s="12" t="e">
        <f t="shared" si="227"/>
        <v>#VALUE!</v>
      </c>
      <c r="L3606" t="str">
        <f>MAIN!C3611</f>
        <v/>
      </c>
    </row>
    <row r="3607" spans="1:12" x14ac:dyDescent="0.3">
      <c r="A3607">
        <f>IF(J3607="0",0,IF(COUNTIF($J$2:J3607,J3607)=1,1,0))</f>
        <v>0</v>
      </c>
      <c r="B3607" s="12" t="e">
        <f>MID(MAIN!A3612,K3607,2)</f>
        <v>#VALUE!</v>
      </c>
      <c r="C3607" s="12" t="e">
        <f t="shared" si="224"/>
        <v>#VALUE!</v>
      </c>
      <c r="D3607" s="12" t="e">
        <f>MID(MAIN!A3612,K3607+2,2)</f>
        <v>#VALUE!</v>
      </c>
      <c r="E3607" s="12" t="e">
        <f>MID(MAIN!A3612,K3607+4,2)</f>
        <v>#VALUE!</v>
      </c>
      <c r="F3607" s="2" t="e">
        <f t="shared" si="225"/>
        <v>#VALUE!</v>
      </c>
      <c r="G3607" s="13" t="e">
        <f t="shared" si="226"/>
        <v>#VALUE!</v>
      </c>
      <c r="J3607" t="str">
        <f>MAIN!A3612&amp;"B"</f>
        <v>B</v>
      </c>
      <c r="K3607" s="12" t="e">
        <f t="shared" si="227"/>
        <v>#VALUE!</v>
      </c>
      <c r="L3607" t="str">
        <f>MAIN!C3612</f>
        <v/>
      </c>
    </row>
    <row r="3608" spans="1:12" x14ac:dyDescent="0.3">
      <c r="A3608">
        <f>IF(J3608="0",0,IF(COUNTIF($J$2:J3608,J3608)=1,1,0))</f>
        <v>0</v>
      </c>
      <c r="B3608" s="12" t="e">
        <f>MID(MAIN!A3613,K3608,2)</f>
        <v>#VALUE!</v>
      </c>
      <c r="C3608" s="12" t="e">
        <f t="shared" si="224"/>
        <v>#VALUE!</v>
      </c>
      <c r="D3608" s="12" t="e">
        <f>MID(MAIN!A3613,K3608+2,2)</f>
        <v>#VALUE!</v>
      </c>
      <c r="E3608" s="12" t="e">
        <f>MID(MAIN!A3613,K3608+4,2)</f>
        <v>#VALUE!</v>
      </c>
      <c r="F3608" s="2" t="e">
        <f t="shared" si="225"/>
        <v>#VALUE!</v>
      </c>
      <c r="G3608" s="13" t="e">
        <f t="shared" si="226"/>
        <v>#VALUE!</v>
      </c>
      <c r="J3608" t="str">
        <f>MAIN!A3613&amp;"B"</f>
        <v>B</v>
      </c>
      <c r="K3608" s="12" t="e">
        <f t="shared" si="227"/>
        <v>#VALUE!</v>
      </c>
      <c r="L3608" t="str">
        <f>MAIN!C3613</f>
        <v/>
      </c>
    </row>
    <row r="3609" spans="1:12" x14ac:dyDescent="0.3">
      <c r="A3609">
        <f>IF(J3609="0",0,IF(COUNTIF($J$2:J3609,J3609)=1,1,0))</f>
        <v>0</v>
      </c>
      <c r="B3609" s="12" t="e">
        <f>MID(MAIN!A3614,K3609,2)</f>
        <v>#VALUE!</v>
      </c>
      <c r="C3609" s="12" t="e">
        <f t="shared" si="224"/>
        <v>#VALUE!</v>
      </c>
      <c r="D3609" s="12" t="e">
        <f>MID(MAIN!A3614,K3609+2,2)</f>
        <v>#VALUE!</v>
      </c>
      <c r="E3609" s="12" t="e">
        <f>MID(MAIN!A3614,K3609+4,2)</f>
        <v>#VALUE!</v>
      </c>
      <c r="F3609" s="2" t="e">
        <f t="shared" si="225"/>
        <v>#VALUE!</v>
      </c>
      <c r="G3609" s="13" t="e">
        <f t="shared" si="226"/>
        <v>#VALUE!</v>
      </c>
      <c r="J3609" t="str">
        <f>MAIN!A3614&amp;"B"</f>
        <v>B</v>
      </c>
      <c r="K3609" s="12" t="e">
        <f t="shared" si="227"/>
        <v>#VALUE!</v>
      </c>
      <c r="L3609" t="str">
        <f>MAIN!C3614</f>
        <v/>
      </c>
    </row>
    <row r="3610" spans="1:12" x14ac:dyDescent="0.3">
      <c r="A3610">
        <f>IF(J3610="0",0,IF(COUNTIF($J$2:J3610,J3610)=1,1,0))</f>
        <v>0</v>
      </c>
      <c r="B3610" s="12" t="e">
        <f>MID(MAIN!A3615,K3610,2)</f>
        <v>#VALUE!</v>
      </c>
      <c r="C3610" s="12" t="e">
        <f t="shared" si="224"/>
        <v>#VALUE!</v>
      </c>
      <c r="D3610" s="12" t="e">
        <f>MID(MAIN!A3615,K3610+2,2)</f>
        <v>#VALUE!</v>
      </c>
      <c r="E3610" s="12" t="e">
        <f>MID(MAIN!A3615,K3610+4,2)</f>
        <v>#VALUE!</v>
      </c>
      <c r="F3610" s="2" t="e">
        <f t="shared" si="225"/>
        <v>#VALUE!</v>
      </c>
      <c r="G3610" s="13" t="e">
        <f t="shared" si="226"/>
        <v>#VALUE!</v>
      </c>
      <c r="J3610" t="str">
        <f>MAIN!A3615&amp;"B"</f>
        <v>B</v>
      </c>
      <c r="K3610" s="12" t="e">
        <f t="shared" si="227"/>
        <v>#VALUE!</v>
      </c>
      <c r="L3610" t="str">
        <f>MAIN!C3615</f>
        <v/>
      </c>
    </row>
    <row r="3611" spans="1:12" x14ac:dyDescent="0.3">
      <c r="A3611">
        <f>IF(J3611="0",0,IF(COUNTIF($J$2:J3611,J3611)=1,1,0))</f>
        <v>0</v>
      </c>
      <c r="B3611" s="12" t="e">
        <f>MID(MAIN!A3616,K3611,2)</f>
        <v>#VALUE!</v>
      </c>
      <c r="C3611" s="12" t="e">
        <f t="shared" si="224"/>
        <v>#VALUE!</v>
      </c>
      <c r="D3611" s="12" t="e">
        <f>MID(MAIN!A3616,K3611+2,2)</f>
        <v>#VALUE!</v>
      </c>
      <c r="E3611" s="12" t="e">
        <f>MID(MAIN!A3616,K3611+4,2)</f>
        <v>#VALUE!</v>
      </c>
      <c r="F3611" s="2" t="e">
        <f t="shared" si="225"/>
        <v>#VALUE!</v>
      </c>
      <c r="G3611" s="13" t="e">
        <f t="shared" si="226"/>
        <v>#VALUE!</v>
      </c>
      <c r="J3611" t="str">
        <f>MAIN!A3616&amp;"B"</f>
        <v>B</v>
      </c>
      <c r="K3611" s="12" t="e">
        <f t="shared" si="227"/>
        <v>#VALUE!</v>
      </c>
      <c r="L3611" t="str">
        <f>MAIN!C3616</f>
        <v/>
      </c>
    </row>
    <row r="3612" spans="1:12" x14ac:dyDescent="0.3">
      <c r="A3612">
        <f>IF(J3612="0",0,IF(COUNTIF($J$2:J3612,J3612)=1,1,0))</f>
        <v>0</v>
      </c>
      <c r="B3612" s="12" t="e">
        <f>MID(MAIN!A3617,K3612,2)</f>
        <v>#VALUE!</v>
      </c>
      <c r="C3612" s="12" t="e">
        <f t="shared" si="224"/>
        <v>#VALUE!</v>
      </c>
      <c r="D3612" s="12" t="e">
        <f>MID(MAIN!A3617,K3612+2,2)</f>
        <v>#VALUE!</v>
      </c>
      <c r="E3612" s="12" t="e">
        <f>MID(MAIN!A3617,K3612+4,2)</f>
        <v>#VALUE!</v>
      </c>
      <c r="F3612" s="2" t="e">
        <f t="shared" si="225"/>
        <v>#VALUE!</v>
      </c>
      <c r="G3612" s="13" t="e">
        <f t="shared" si="226"/>
        <v>#VALUE!</v>
      </c>
      <c r="J3612" t="str">
        <f>MAIN!A3617&amp;"B"</f>
        <v>B</v>
      </c>
      <c r="K3612" s="12" t="e">
        <f t="shared" si="227"/>
        <v>#VALUE!</v>
      </c>
      <c r="L3612" t="str">
        <f>MAIN!C3617</f>
        <v/>
      </c>
    </row>
    <row r="3613" spans="1:12" x14ac:dyDescent="0.3">
      <c r="A3613">
        <f>IF(J3613="0",0,IF(COUNTIF($J$2:J3613,J3613)=1,1,0))</f>
        <v>0</v>
      </c>
      <c r="B3613" s="12" t="e">
        <f>MID(MAIN!A3618,K3613,2)</f>
        <v>#VALUE!</v>
      </c>
      <c r="C3613" s="12" t="e">
        <f t="shared" si="224"/>
        <v>#VALUE!</v>
      </c>
      <c r="D3613" s="12" t="e">
        <f>MID(MAIN!A3618,K3613+2,2)</f>
        <v>#VALUE!</v>
      </c>
      <c r="E3613" s="12" t="e">
        <f>MID(MAIN!A3618,K3613+4,2)</f>
        <v>#VALUE!</v>
      </c>
      <c r="F3613" s="2" t="e">
        <f t="shared" si="225"/>
        <v>#VALUE!</v>
      </c>
      <c r="G3613" s="13" t="e">
        <f t="shared" si="226"/>
        <v>#VALUE!</v>
      </c>
      <c r="J3613" t="str">
        <f>MAIN!A3618&amp;"B"</f>
        <v>B</v>
      </c>
      <c r="K3613" s="12" t="e">
        <f t="shared" si="227"/>
        <v>#VALUE!</v>
      </c>
      <c r="L3613" t="str">
        <f>MAIN!C3618</f>
        <v/>
      </c>
    </row>
    <row r="3614" spans="1:12" x14ac:dyDescent="0.3">
      <c r="A3614">
        <f>IF(J3614="0",0,IF(COUNTIF($J$2:J3614,J3614)=1,1,0))</f>
        <v>0</v>
      </c>
      <c r="B3614" s="12" t="e">
        <f>MID(MAIN!A3619,K3614,2)</f>
        <v>#VALUE!</v>
      </c>
      <c r="C3614" s="12" t="e">
        <f t="shared" si="224"/>
        <v>#VALUE!</v>
      </c>
      <c r="D3614" s="12" t="e">
        <f>MID(MAIN!A3619,K3614+2,2)</f>
        <v>#VALUE!</v>
      </c>
      <c r="E3614" s="12" t="e">
        <f>MID(MAIN!A3619,K3614+4,2)</f>
        <v>#VALUE!</v>
      </c>
      <c r="F3614" s="2" t="e">
        <f t="shared" si="225"/>
        <v>#VALUE!</v>
      </c>
      <c r="G3614" s="13" t="e">
        <f t="shared" si="226"/>
        <v>#VALUE!</v>
      </c>
      <c r="J3614" t="str">
        <f>MAIN!A3619&amp;"B"</f>
        <v>B</v>
      </c>
      <c r="K3614" s="12" t="e">
        <f t="shared" si="227"/>
        <v>#VALUE!</v>
      </c>
      <c r="L3614" t="str">
        <f>MAIN!C3619</f>
        <v/>
      </c>
    </row>
    <row r="3615" spans="1:12" x14ac:dyDescent="0.3">
      <c r="A3615">
        <f>IF(J3615="0",0,IF(COUNTIF($J$2:J3615,J3615)=1,1,0))</f>
        <v>0</v>
      </c>
      <c r="B3615" s="12" t="e">
        <f>MID(MAIN!A3620,K3615,2)</f>
        <v>#VALUE!</v>
      </c>
      <c r="C3615" s="12" t="e">
        <f t="shared" si="224"/>
        <v>#VALUE!</v>
      </c>
      <c r="D3615" s="12" t="e">
        <f>MID(MAIN!A3620,K3615+2,2)</f>
        <v>#VALUE!</v>
      </c>
      <c r="E3615" s="12" t="e">
        <f>MID(MAIN!A3620,K3615+4,2)</f>
        <v>#VALUE!</v>
      </c>
      <c r="F3615" s="2" t="e">
        <f t="shared" si="225"/>
        <v>#VALUE!</v>
      </c>
      <c r="G3615" s="13" t="e">
        <f t="shared" si="226"/>
        <v>#VALUE!</v>
      </c>
      <c r="J3615" t="str">
        <f>MAIN!A3620&amp;"B"</f>
        <v>B</v>
      </c>
      <c r="K3615" s="12" t="e">
        <f t="shared" si="227"/>
        <v>#VALUE!</v>
      </c>
      <c r="L3615" t="str">
        <f>MAIN!C3620</f>
        <v/>
      </c>
    </row>
    <row r="3616" spans="1:12" x14ac:dyDescent="0.3">
      <c r="A3616">
        <f>IF(J3616="0",0,IF(COUNTIF($J$2:J3616,J3616)=1,1,0))</f>
        <v>0</v>
      </c>
      <c r="B3616" s="12" t="e">
        <f>MID(MAIN!A3621,K3616,2)</f>
        <v>#VALUE!</v>
      </c>
      <c r="C3616" s="12" t="e">
        <f t="shared" si="224"/>
        <v>#VALUE!</v>
      </c>
      <c r="D3616" s="12" t="e">
        <f>MID(MAIN!A3621,K3616+2,2)</f>
        <v>#VALUE!</v>
      </c>
      <c r="E3616" s="12" t="e">
        <f>MID(MAIN!A3621,K3616+4,2)</f>
        <v>#VALUE!</v>
      </c>
      <c r="F3616" s="2" t="e">
        <f t="shared" si="225"/>
        <v>#VALUE!</v>
      </c>
      <c r="G3616" s="13" t="e">
        <f t="shared" si="226"/>
        <v>#VALUE!</v>
      </c>
      <c r="J3616" t="str">
        <f>MAIN!A3621&amp;"B"</f>
        <v>B</v>
      </c>
      <c r="K3616" s="12" t="e">
        <f t="shared" si="227"/>
        <v>#VALUE!</v>
      </c>
      <c r="L3616" t="str">
        <f>MAIN!C3621</f>
        <v/>
      </c>
    </row>
    <row r="3617" spans="1:12" x14ac:dyDescent="0.3">
      <c r="A3617">
        <f>IF(J3617="0",0,IF(COUNTIF($J$2:J3617,J3617)=1,1,0))</f>
        <v>0</v>
      </c>
      <c r="B3617" s="12" t="e">
        <f>MID(MAIN!A3622,K3617,2)</f>
        <v>#VALUE!</v>
      </c>
      <c r="C3617" s="12" t="e">
        <f t="shared" si="224"/>
        <v>#VALUE!</v>
      </c>
      <c r="D3617" s="12" t="e">
        <f>MID(MAIN!A3622,K3617+2,2)</f>
        <v>#VALUE!</v>
      </c>
      <c r="E3617" s="12" t="e">
        <f>MID(MAIN!A3622,K3617+4,2)</f>
        <v>#VALUE!</v>
      </c>
      <c r="F3617" s="2" t="e">
        <f t="shared" si="225"/>
        <v>#VALUE!</v>
      </c>
      <c r="G3617" s="13" t="e">
        <f t="shared" si="226"/>
        <v>#VALUE!</v>
      </c>
      <c r="J3617" t="str">
        <f>MAIN!A3622&amp;"B"</f>
        <v>B</v>
      </c>
      <c r="K3617" s="12" t="e">
        <f t="shared" si="227"/>
        <v>#VALUE!</v>
      </c>
      <c r="L3617" t="str">
        <f>MAIN!C3622</f>
        <v/>
      </c>
    </row>
    <row r="3618" spans="1:12" x14ac:dyDescent="0.3">
      <c r="A3618">
        <f>IF(J3618="0",0,IF(COUNTIF($J$2:J3618,J3618)=1,1,0))</f>
        <v>0</v>
      </c>
      <c r="B3618" s="12" t="e">
        <f>MID(MAIN!A3623,K3618,2)</f>
        <v>#VALUE!</v>
      </c>
      <c r="C3618" s="12" t="e">
        <f t="shared" si="224"/>
        <v>#VALUE!</v>
      </c>
      <c r="D3618" s="12" t="e">
        <f>MID(MAIN!A3623,K3618+2,2)</f>
        <v>#VALUE!</v>
      </c>
      <c r="E3618" s="12" t="e">
        <f>MID(MAIN!A3623,K3618+4,2)</f>
        <v>#VALUE!</v>
      </c>
      <c r="F3618" s="2" t="e">
        <f t="shared" si="225"/>
        <v>#VALUE!</v>
      </c>
      <c r="G3618" s="13" t="e">
        <f t="shared" si="226"/>
        <v>#VALUE!</v>
      </c>
      <c r="J3618" t="str">
        <f>MAIN!A3623&amp;"B"</f>
        <v>B</v>
      </c>
      <c r="K3618" s="12" t="e">
        <f t="shared" si="227"/>
        <v>#VALUE!</v>
      </c>
      <c r="L3618" t="str">
        <f>MAIN!C3623</f>
        <v/>
      </c>
    </row>
    <row r="3619" spans="1:12" x14ac:dyDescent="0.3">
      <c r="A3619">
        <f>IF(J3619="0",0,IF(COUNTIF($J$2:J3619,J3619)=1,1,0))</f>
        <v>0</v>
      </c>
      <c r="B3619" s="12" t="e">
        <f>MID(MAIN!A3624,K3619,2)</f>
        <v>#VALUE!</v>
      </c>
      <c r="C3619" s="12" t="e">
        <f t="shared" si="224"/>
        <v>#VALUE!</v>
      </c>
      <c r="D3619" s="12" t="e">
        <f>MID(MAIN!A3624,K3619+2,2)</f>
        <v>#VALUE!</v>
      </c>
      <c r="E3619" s="12" t="e">
        <f>MID(MAIN!A3624,K3619+4,2)</f>
        <v>#VALUE!</v>
      </c>
      <c r="F3619" s="2" t="e">
        <f t="shared" si="225"/>
        <v>#VALUE!</v>
      </c>
      <c r="G3619" s="13" t="e">
        <f t="shared" si="226"/>
        <v>#VALUE!</v>
      </c>
      <c r="J3619" t="str">
        <f>MAIN!A3624&amp;"B"</f>
        <v>B</v>
      </c>
      <c r="K3619" s="12" t="e">
        <f t="shared" si="227"/>
        <v>#VALUE!</v>
      </c>
      <c r="L3619" t="str">
        <f>MAIN!C3624</f>
        <v/>
      </c>
    </row>
    <row r="3620" spans="1:12" x14ac:dyDescent="0.3">
      <c r="A3620">
        <f>IF(J3620="0",0,IF(COUNTIF($J$2:J3620,J3620)=1,1,0))</f>
        <v>0</v>
      </c>
      <c r="B3620" s="12" t="e">
        <f>MID(MAIN!A3625,K3620,2)</f>
        <v>#VALUE!</v>
      </c>
      <c r="C3620" s="12" t="e">
        <f t="shared" si="224"/>
        <v>#VALUE!</v>
      </c>
      <c r="D3620" s="12" t="e">
        <f>MID(MAIN!A3625,K3620+2,2)</f>
        <v>#VALUE!</v>
      </c>
      <c r="E3620" s="12" t="e">
        <f>MID(MAIN!A3625,K3620+4,2)</f>
        <v>#VALUE!</v>
      </c>
      <c r="F3620" s="2" t="e">
        <f t="shared" si="225"/>
        <v>#VALUE!</v>
      </c>
      <c r="G3620" s="13" t="e">
        <f t="shared" si="226"/>
        <v>#VALUE!</v>
      </c>
      <c r="J3620" t="str">
        <f>MAIN!A3625&amp;"B"</f>
        <v>B</v>
      </c>
      <c r="K3620" s="12" t="e">
        <f t="shared" si="227"/>
        <v>#VALUE!</v>
      </c>
      <c r="L3620" t="str">
        <f>MAIN!C3625</f>
        <v/>
      </c>
    </row>
    <row r="3621" spans="1:12" x14ac:dyDescent="0.3">
      <c r="A3621">
        <f>IF(J3621="0",0,IF(COUNTIF($J$2:J3621,J3621)=1,1,0))</f>
        <v>0</v>
      </c>
      <c r="B3621" s="12" t="e">
        <f>MID(MAIN!A3626,K3621,2)</f>
        <v>#VALUE!</v>
      </c>
      <c r="C3621" s="12" t="e">
        <f t="shared" si="224"/>
        <v>#VALUE!</v>
      </c>
      <c r="D3621" s="12" t="e">
        <f>MID(MAIN!A3626,K3621+2,2)</f>
        <v>#VALUE!</v>
      </c>
      <c r="E3621" s="12" t="e">
        <f>MID(MAIN!A3626,K3621+4,2)</f>
        <v>#VALUE!</v>
      </c>
      <c r="F3621" s="2" t="e">
        <f t="shared" si="225"/>
        <v>#VALUE!</v>
      </c>
      <c r="G3621" s="13" t="e">
        <f t="shared" si="226"/>
        <v>#VALUE!</v>
      </c>
      <c r="J3621" t="str">
        <f>MAIN!A3626&amp;"B"</f>
        <v>B</v>
      </c>
      <c r="K3621" s="12" t="e">
        <f t="shared" si="227"/>
        <v>#VALUE!</v>
      </c>
      <c r="L3621" t="str">
        <f>MAIN!C3626</f>
        <v/>
      </c>
    </row>
    <row r="3622" spans="1:12" x14ac:dyDescent="0.3">
      <c r="A3622">
        <f>IF(J3622="0",0,IF(COUNTIF($J$2:J3622,J3622)=1,1,0))</f>
        <v>0</v>
      </c>
      <c r="B3622" s="12" t="e">
        <f>MID(MAIN!A3627,K3622,2)</f>
        <v>#VALUE!</v>
      </c>
      <c r="C3622" s="12" t="e">
        <f t="shared" si="224"/>
        <v>#VALUE!</v>
      </c>
      <c r="D3622" s="12" t="e">
        <f>MID(MAIN!A3627,K3622+2,2)</f>
        <v>#VALUE!</v>
      </c>
      <c r="E3622" s="12" t="e">
        <f>MID(MAIN!A3627,K3622+4,2)</f>
        <v>#VALUE!</v>
      </c>
      <c r="F3622" s="2" t="e">
        <f t="shared" si="225"/>
        <v>#VALUE!</v>
      </c>
      <c r="G3622" s="13" t="e">
        <f t="shared" si="226"/>
        <v>#VALUE!</v>
      </c>
      <c r="J3622" t="str">
        <f>MAIN!A3627&amp;"B"</f>
        <v>B</v>
      </c>
      <c r="K3622" s="12" t="e">
        <f t="shared" si="227"/>
        <v>#VALUE!</v>
      </c>
      <c r="L3622" t="str">
        <f>MAIN!C3627</f>
        <v/>
      </c>
    </row>
    <row r="3623" spans="1:12" x14ac:dyDescent="0.3">
      <c r="A3623">
        <f>IF(J3623="0",0,IF(COUNTIF($J$2:J3623,J3623)=1,1,0))</f>
        <v>0</v>
      </c>
      <c r="B3623" s="12" t="e">
        <f>MID(MAIN!A3628,K3623,2)</f>
        <v>#VALUE!</v>
      </c>
      <c r="C3623" s="12" t="e">
        <f t="shared" si="224"/>
        <v>#VALUE!</v>
      </c>
      <c r="D3623" s="12" t="e">
        <f>MID(MAIN!A3628,K3623+2,2)</f>
        <v>#VALUE!</v>
      </c>
      <c r="E3623" s="12" t="e">
        <f>MID(MAIN!A3628,K3623+4,2)</f>
        <v>#VALUE!</v>
      </c>
      <c r="F3623" s="2" t="e">
        <f t="shared" si="225"/>
        <v>#VALUE!</v>
      </c>
      <c r="G3623" s="13" t="e">
        <f t="shared" si="226"/>
        <v>#VALUE!</v>
      </c>
      <c r="J3623" t="str">
        <f>MAIN!A3628&amp;"B"</f>
        <v>B</v>
      </c>
      <c r="K3623" s="12" t="e">
        <f t="shared" si="227"/>
        <v>#VALUE!</v>
      </c>
      <c r="L3623" t="str">
        <f>MAIN!C3628</f>
        <v/>
      </c>
    </row>
    <row r="3624" spans="1:12" x14ac:dyDescent="0.3">
      <c r="A3624">
        <f>IF(J3624="0",0,IF(COUNTIF($J$2:J3624,J3624)=1,1,0))</f>
        <v>0</v>
      </c>
      <c r="B3624" s="12" t="e">
        <f>MID(MAIN!A3629,K3624,2)</f>
        <v>#VALUE!</v>
      </c>
      <c r="C3624" s="12" t="e">
        <f t="shared" si="224"/>
        <v>#VALUE!</v>
      </c>
      <c r="D3624" s="12" t="e">
        <f>MID(MAIN!A3629,K3624+2,2)</f>
        <v>#VALUE!</v>
      </c>
      <c r="E3624" s="12" t="e">
        <f>MID(MAIN!A3629,K3624+4,2)</f>
        <v>#VALUE!</v>
      </c>
      <c r="F3624" s="2" t="e">
        <f t="shared" si="225"/>
        <v>#VALUE!</v>
      </c>
      <c r="G3624" s="13" t="e">
        <f t="shared" si="226"/>
        <v>#VALUE!</v>
      </c>
      <c r="J3624" t="str">
        <f>MAIN!A3629&amp;"B"</f>
        <v>B</v>
      </c>
      <c r="K3624" s="12" t="e">
        <f t="shared" si="227"/>
        <v>#VALUE!</v>
      </c>
      <c r="L3624" t="str">
        <f>MAIN!C3629</f>
        <v/>
      </c>
    </row>
    <row r="3625" spans="1:12" x14ac:dyDescent="0.3">
      <c r="A3625">
        <f>IF(J3625="0",0,IF(COUNTIF($J$2:J3625,J3625)=1,1,0))</f>
        <v>0</v>
      </c>
      <c r="B3625" s="12" t="e">
        <f>MID(MAIN!A3630,K3625,2)</f>
        <v>#VALUE!</v>
      </c>
      <c r="C3625" s="12" t="e">
        <f t="shared" si="224"/>
        <v>#VALUE!</v>
      </c>
      <c r="D3625" s="12" t="e">
        <f>MID(MAIN!A3630,K3625+2,2)</f>
        <v>#VALUE!</v>
      </c>
      <c r="E3625" s="12" t="e">
        <f>MID(MAIN!A3630,K3625+4,2)</f>
        <v>#VALUE!</v>
      </c>
      <c r="F3625" s="2" t="e">
        <f t="shared" si="225"/>
        <v>#VALUE!</v>
      </c>
      <c r="G3625" s="13" t="e">
        <f t="shared" si="226"/>
        <v>#VALUE!</v>
      </c>
      <c r="J3625" t="str">
        <f>MAIN!A3630&amp;"B"</f>
        <v>B</v>
      </c>
      <c r="K3625" s="12" t="e">
        <f t="shared" si="227"/>
        <v>#VALUE!</v>
      </c>
      <c r="L3625" t="str">
        <f>MAIN!C3630</f>
        <v/>
      </c>
    </row>
    <row r="3626" spans="1:12" x14ac:dyDescent="0.3">
      <c r="A3626">
        <f>IF(J3626="0",0,IF(COUNTIF($J$2:J3626,J3626)=1,1,0))</f>
        <v>0</v>
      </c>
      <c r="B3626" s="12" t="e">
        <f>MID(MAIN!A3631,K3626,2)</f>
        <v>#VALUE!</v>
      </c>
      <c r="C3626" s="12" t="e">
        <f t="shared" si="224"/>
        <v>#VALUE!</v>
      </c>
      <c r="D3626" s="12" t="e">
        <f>MID(MAIN!A3631,K3626+2,2)</f>
        <v>#VALUE!</v>
      </c>
      <c r="E3626" s="12" t="e">
        <f>MID(MAIN!A3631,K3626+4,2)</f>
        <v>#VALUE!</v>
      </c>
      <c r="F3626" s="2" t="e">
        <f t="shared" si="225"/>
        <v>#VALUE!</v>
      </c>
      <c r="G3626" s="13" t="e">
        <f t="shared" si="226"/>
        <v>#VALUE!</v>
      </c>
      <c r="J3626" t="str">
        <f>MAIN!A3631&amp;"B"</f>
        <v>B</v>
      </c>
      <c r="K3626" s="12" t="e">
        <f t="shared" si="227"/>
        <v>#VALUE!</v>
      </c>
      <c r="L3626" t="str">
        <f>MAIN!C3631</f>
        <v/>
      </c>
    </row>
    <row r="3627" spans="1:12" x14ac:dyDescent="0.3">
      <c r="A3627">
        <f>IF(J3627="0",0,IF(COUNTIF($J$2:J3627,J3627)=1,1,0))</f>
        <v>0</v>
      </c>
      <c r="B3627" s="12" t="e">
        <f>MID(MAIN!A3632,K3627,2)</f>
        <v>#VALUE!</v>
      </c>
      <c r="C3627" s="12" t="e">
        <f t="shared" si="224"/>
        <v>#VALUE!</v>
      </c>
      <c r="D3627" s="12" t="e">
        <f>MID(MAIN!A3632,K3627+2,2)</f>
        <v>#VALUE!</v>
      </c>
      <c r="E3627" s="12" t="e">
        <f>MID(MAIN!A3632,K3627+4,2)</f>
        <v>#VALUE!</v>
      </c>
      <c r="F3627" s="2" t="e">
        <f t="shared" si="225"/>
        <v>#VALUE!</v>
      </c>
      <c r="G3627" s="13" t="e">
        <f t="shared" si="226"/>
        <v>#VALUE!</v>
      </c>
      <c r="J3627" t="str">
        <f>MAIN!A3632&amp;"B"</f>
        <v>B</v>
      </c>
      <c r="K3627" s="12" t="e">
        <f t="shared" si="227"/>
        <v>#VALUE!</v>
      </c>
      <c r="L3627" t="str">
        <f>MAIN!C3632</f>
        <v/>
      </c>
    </row>
    <row r="3628" spans="1:12" x14ac:dyDescent="0.3">
      <c r="A3628">
        <f>IF(J3628="0",0,IF(COUNTIF($J$2:J3628,J3628)=1,1,0))</f>
        <v>0</v>
      </c>
      <c r="B3628" s="12" t="e">
        <f>MID(MAIN!A3633,K3628,2)</f>
        <v>#VALUE!</v>
      </c>
      <c r="C3628" s="12" t="e">
        <f t="shared" si="224"/>
        <v>#VALUE!</v>
      </c>
      <c r="D3628" s="12" t="e">
        <f>MID(MAIN!A3633,K3628+2,2)</f>
        <v>#VALUE!</v>
      </c>
      <c r="E3628" s="12" t="e">
        <f>MID(MAIN!A3633,K3628+4,2)</f>
        <v>#VALUE!</v>
      </c>
      <c r="F3628" s="2" t="e">
        <f t="shared" si="225"/>
        <v>#VALUE!</v>
      </c>
      <c r="G3628" s="13" t="e">
        <f t="shared" si="226"/>
        <v>#VALUE!</v>
      </c>
      <c r="J3628" t="str">
        <f>MAIN!A3633&amp;"B"</f>
        <v>B</v>
      </c>
      <c r="K3628" s="12" t="e">
        <f t="shared" si="227"/>
        <v>#VALUE!</v>
      </c>
      <c r="L3628" t="str">
        <f>MAIN!C3633</f>
        <v/>
      </c>
    </row>
    <row r="3629" spans="1:12" x14ac:dyDescent="0.3">
      <c r="A3629">
        <f>IF(J3629="0",0,IF(COUNTIF($J$2:J3629,J3629)=1,1,0))</f>
        <v>0</v>
      </c>
      <c r="B3629" s="12" t="e">
        <f>MID(MAIN!A3634,K3629,2)</f>
        <v>#VALUE!</v>
      </c>
      <c r="C3629" s="12" t="e">
        <f t="shared" si="224"/>
        <v>#VALUE!</v>
      </c>
      <c r="D3629" s="12" t="e">
        <f>MID(MAIN!A3634,K3629+2,2)</f>
        <v>#VALUE!</v>
      </c>
      <c r="E3629" s="12" t="e">
        <f>MID(MAIN!A3634,K3629+4,2)</f>
        <v>#VALUE!</v>
      </c>
      <c r="F3629" s="2" t="e">
        <f t="shared" si="225"/>
        <v>#VALUE!</v>
      </c>
      <c r="G3629" s="13" t="e">
        <f t="shared" si="226"/>
        <v>#VALUE!</v>
      </c>
      <c r="J3629" t="str">
        <f>MAIN!A3634&amp;"B"</f>
        <v>B</v>
      </c>
      <c r="K3629" s="12" t="e">
        <f t="shared" si="227"/>
        <v>#VALUE!</v>
      </c>
      <c r="L3629" t="str">
        <f>MAIN!C3634</f>
        <v/>
      </c>
    </row>
    <row r="3630" spans="1:12" x14ac:dyDescent="0.3">
      <c r="A3630">
        <f>IF(J3630="0",0,IF(COUNTIF($J$2:J3630,J3630)=1,1,0))</f>
        <v>0</v>
      </c>
      <c r="B3630" s="12" t="e">
        <f>MID(MAIN!A3635,K3630,2)</f>
        <v>#VALUE!</v>
      </c>
      <c r="C3630" s="12" t="e">
        <f t="shared" si="224"/>
        <v>#VALUE!</v>
      </c>
      <c r="D3630" s="12" t="e">
        <f>MID(MAIN!A3635,K3630+2,2)</f>
        <v>#VALUE!</v>
      </c>
      <c r="E3630" s="12" t="e">
        <f>MID(MAIN!A3635,K3630+4,2)</f>
        <v>#VALUE!</v>
      </c>
      <c r="F3630" s="2" t="e">
        <f t="shared" si="225"/>
        <v>#VALUE!</v>
      </c>
      <c r="G3630" s="13" t="e">
        <f t="shared" si="226"/>
        <v>#VALUE!</v>
      </c>
      <c r="J3630" t="str">
        <f>MAIN!A3635&amp;"B"</f>
        <v>B</v>
      </c>
      <c r="K3630" s="12" t="e">
        <f t="shared" si="227"/>
        <v>#VALUE!</v>
      </c>
      <c r="L3630" t="str">
        <f>MAIN!C3635</f>
        <v/>
      </c>
    </row>
    <row r="3631" spans="1:12" x14ac:dyDescent="0.3">
      <c r="A3631">
        <f>IF(J3631="0",0,IF(COUNTIF($J$2:J3631,J3631)=1,1,0))</f>
        <v>0</v>
      </c>
      <c r="B3631" s="12" t="e">
        <f>MID(MAIN!A3636,K3631,2)</f>
        <v>#VALUE!</v>
      </c>
      <c r="C3631" s="12" t="e">
        <f t="shared" si="224"/>
        <v>#VALUE!</v>
      </c>
      <c r="D3631" s="12" t="e">
        <f>MID(MAIN!A3636,K3631+2,2)</f>
        <v>#VALUE!</v>
      </c>
      <c r="E3631" s="12" t="e">
        <f>MID(MAIN!A3636,K3631+4,2)</f>
        <v>#VALUE!</v>
      </c>
      <c r="F3631" s="2" t="e">
        <f t="shared" si="225"/>
        <v>#VALUE!</v>
      </c>
      <c r="G3631" s="13" t="e">
        <f t="shared" si="226"/>
        <v>#VALUE!</v>
      </c>
      <c r="J3631" t="str">
        <f>MAIN!A3636&amp;"B"</f>
        <v>B</v>
      </c>
      <c r="K3631" s="12" t="e">
        <f t="shared" si="227"/>
        <v>#VALUE!</v>
      </c>
      <c r="L3631" t="str">
        <f>MAIN!C3636</f>
        <v/>
      </c>
    </row>
    <row r="3632" spans="1:12" x14ac:dyDescent="0.3">
      <c r="A3632">
        <f>IF(J3632="0",0,IF(COUNTIF($J$2:J3632,J3632)=1,1,0))</f>
        <v>0</v>
      </c>
      <c r="B3632" s="12" t="e">
        <f>MID(MAIN!A3637,K3632,2)</f>
        <v>#VALUE!</v>
      </c>
      <c r="C3632" s="12" t="e">
        <f t="shared" si="224"/>
        <v>#VALUE!</v>
      </c>
      <c r="D3632" s="12" t="e">
        <f>MID(MAIN!A3637,K3632+2,2)</f>
        <v>#VALUE!</v>
      </c>
      <c r="E3632" s="12" t="e">
        <f>MID(MAIN!A3637,K3632+4,2)</f>
        <v>#VALUE!</v>
      </c>
      <c r="F3632" s="2" t="e">
        <f t="shared" si="225"/>
        <v>#VALUE!</v>
      </c>
      <c r="G3632" s="13" t="e">
        <f t="shared" si="226"/>
        <v>#VALUE!</v>
      </c>
      <c r="J3632" t="str">
        <f>MAIN!A3637&amp;"B"</f>
        <v>B</v>
      </c>
      <c r="K3632" s="12" t="e">
        <f t="shared" si="227"/>
        <v>#VALUE!</v>
      </c>
      <c r="L3632" t="str">
        <f>MAIN!C3637</f>
        <v/>
      </c>
    </row>
    <row r="3633" spans="1:12" x14ac:dyDescent="0.3">
      <c r="A3633">
        <f>IF(J3633="0",0,IF(COUNTIF($J$2:J3633,J3633)=1,1,0))</f>
        <v>0</v>
      </c>
      <c r="B3633" s="12" t="e">
        <f>MID(MAIN!A3638,K3633,2)</f>
        <v>#VALUE!</v>
      </c>
      <c r="C3633" s="12" t="e">
        <f t="shared" si="224"/>
        <v>#VALUE!</v>
      </c>
      <c r="D3633" s="12" t="e">
        <f>MID(MAIN!A3638,K3633+2,2)</f>
        <v>#VALUE!</v>
      </c>
      <c r="E3633" s="12" t="e">
        <f>MID(MAIN!A3638,K3633+4,2)</f>
        <v>#VALUE!</v>
      </c>
      <c r="F3633" s="2" t="e">
        <f t="shared" si="225"/>
        <v>#VALUE!</v>
      </c>
      <c r="G3633" s="13" t="e">
        <f t="shared" si="226"/>
        <v>#VALUE!</v>
      </c>
      <c r="J3633" t="str">
        <f>MAIN!A3638&amp;"B"</f>
        <v>B</v>
      </c>
      <c r="K3633" s="12" t="e">
        <f t="shared" si="227"/>
        <v>#VALUE!</v>
      </c>
      <c r="L3633" t="str">
        <f>MAIN!C3638</f>
        <v/>
      </c>
    </row>
    <row r="3634" spans="1:12" x14ac:dyDescent="0.3">
      <c r="A3634">
        <f>IF(J3634="0",0,IF(COUNTIF($J$2:J3634,J3634)=1,1,0))</f>
        <v>0</v>
      </c>
      <c r="B3634" s="12" t="e">
        <f>MID(MAIN!A3639,K3634,2)</f>
        <v>#VALUE!</v>
      </c>
      <c r="C3634" s="12" t="e">
        <f t="shared" si="224"/>
        <v>#VALUE!</v>
      </c>
      <c r="D3634" s="12" t="e">
        <f>MID(MAIN!A3639,K3634+2,2)</f>
        <v>#VALUE!</v>
      </c>
      <c r="E3634" s="12" t="e">
        <f>MID(MAIN!A3639,K3634+4,2)</f>
        <v>#VALUE!</v>
      </c>
      <c r="F3634" s="2" t="e">
        <f t="shared" si="225"/>
        <v>#VALUE!</v>
      </c>
      <c r="G3634" s="13" t="e">
        <f t="shared" si="226"/>
        <v>#VALUE!</v>
      </c>
      <c r="J3634" t="str">
        <f>MAIN!A3639&amp;"B"</f>
        <v>B</v>
      </c>
      <c r="K3634" s="12" t="e">
        <f t="shared" si="227"/>
        <v>#VALUE!</v>
      </c>
      <c r="L3634" t="str">
        <f>MAIN!C3639</f>
        <v/>
      </c>
    </row>
    <row r="3635" spans="1:12" x14ac:dyDescent="0.3">
      <c r="A3635">
        <f>IF(J3635="0",0,IF(COUNTIF($J$2:J3635,J3635)=1,1,0))</f>
        <v>0</v>
      </c>
      <c r="B3635" s="12" t="e">
        <f>MID(MAIN!A3640,K3635,2)</f>
        <v>#VALUE!</v>
      </c>
      <c r="C3635" s="12" t="e">
        <f t="shared" si="224"/>
        <v>#VALUE!</v>
      </c>
      <c r="D3635" s="12" t="e">
        <f>MID(MAIN!A3640,K3635+2,2)</f>
        <v>#VALUE!</v>
      </c>
      <c r="E3635" s="12" t="e">
        <f>MID(MAIN!A3640,K3635+4,2)</f>
        <v>#VALUE!</v>
      </c>
      <c r="F3635" s="2" t="e">
        <f t="shared" si="225"/>
        <v>#VALUE!</v>
      </c>
      <c r="G3635" s="13" t="e">
        <f t="shared" si="226"/>
        <v>#VALUE!</v>
      </c>
      <c r="J3635" t="str">
        <f>MAIN!A3640&amp;"B"</f>
        <v>B</v>
      </c>
      <c r="K3635" s="12" t="e">
        <f t="shared" si="227"/>
        <v>#VALUE!</v>
      </c>
      <c r="L3635" t="str">
        <f>MAIN!C3640</f>
        <v/>
      </c>
    </row>
    <row r="3636" spans="1:12" x14ac:dyDescent="0.3">
      <c r="A3636">
        <f>IF(J3636="0",0,IF(COUNTIF($J$2:J3636,J3636)=1,1,0))</f>
        <v>0</v>
      </c>
      <c r="B3636" s="12" t="e">
        <f>MID(MAIN!A3641,K3636,2)</f>
        <v>#VALUE!</v>
      </c>
      <c r="C3636" s="12" t="e">
        <f t="shared" si="224"/>
        <v>#VALUE!</v>
      </c>
      <c r="D3636" s="12" t="e">
        <f>MID(MAIN!A3641,K3636+2,2)</f>
        <v>#VALUE!</v>
      </c>
      <c r="E3636" s="12" t="e">
        <f>MID(MAIN!A3641,K3636+4,2)</f>
        <v>#VALUE!</v>
      </c>
      <c r="F3636" s="2" t="e">
        <f t="shared" si="225"/>
        <v>#VALUE!</v>
      </c>
      <c r="G3636" s="13" t="e">
        <f t="shared" si="226"/>
        <v>#VALUE!</v>
      </c>
      <c r="J3636" t="str">
        <f>MAIN!A3641&amp;"B"</f>
        <v>B</v>
      </c>
      <c r="K3636" s="12" t="e">
        <f t="shared" si="227"/>
        <v>#VALUE!</v>
      </c>
      <c r="L3636" t="str">
        <f>MAIN!C3641</f>
        <v/>
      </c>
    </row>
    <row r="3637" spans="1:12" x14ac:dyDescent="0.3">
      <c r="A3637">
        <f>IF(J3637="0",0,IF(COUNTIF($J$2:J3637,J3637)=1,1,0))</f>
        <v>0</v>
      </c>
      <c r="B3637" s="12" t="e">
        <f>MID(MAIN!A3642,K3637,2)</f>
        <v>#VALUE!</v>
      </c>
      <c r="C3637" s="12" t="e">
        <f t="shared" si="224"/>
        <v>#VALUE!</v>
      </c>
      <c r="D3637" s="12" t="e">
        <f>MID(MAIN!A3642,K3637+2,2)</f>
        <v>#VALUE!</v>
      </c>
      <c r="E3637" s="12" t="e">
        <f>MID(MAIN!A3642,K3637+4,2)</f>
        <v>#VALUE!</v>
      </c>
      <c r="F3637" s="2" t="e">
        <f t="shared" si="225"/>
        <v>#VALUE!</v>
      </c>
      <c r="G3637" s="13" t="e">
        <f t="shared" si="226"/>
        <v>#VALUE!</v>
      </c>
      <c r="J3637" t="str">
        <f>MAIN!A3642&amp;"B"</f>
        <v>B</v>
      </c>
      <c r="K3637" s="12" t="e">
        <f t="shared" si="227"/>
        <v>#VALUE!</v>
      </c>
      <c r="L3637" t="str">
        <f>MAIN!C3642</f>
        <v/>
      </c>
    </row>
    <row r="3638" spans="1:12" x14ac:dyDescent="0.3">
      <c r="A3638">
        <f>IF(J3638="0",0,IF(COUNTIF($J$2:J3638,J3638)=1,1,0))</f>
        <v>0</v>
      </c>
      <c r="B3638" s="12" t="e">
        <f>MID(MAIN!A3643,K3638,2)</f>
        <v>#VALUE!</v>
      </c>
      <c r="C3638" s="12" t="e">
        <f t="shared" si="224"/>
        <v>#VALUE!</v>
      </c>
      <c r="D3638" s="12" t="e">
        <f>MID(MAIN!A3643,K3638+2,2)</f>
        <v>#VALUE!</v>
      </c>
      <c r="E3638" s="12" t="e">
        <f>MID(MAIN!A3643,K3638+4,2)</f>
        <v>#VALUE!</v>
      </c>
      <c r="F3638" s="2" t="e">
        <f t="shared" si="225"/>
        <v>#VALUE!</v>
      </c>
      <c r="G3638" s="13" t="e">
        <f t="shared" si="226"/>
        <v>#VALUE!</v>
      </c>
      <c r="J3638" t="str">
        <f>MAIN!A3643&amp;"B"</f>
        <v>B</v>
      </c>
      <c r="K3638" s="12" t="e">
        <f t="shared" si="227"/>
        <v>#VALUE!</v>
      </c>
      <c r="L3638" t="str">
        <f>MAIN!C3643</f>
        <v/>
      </c>
    </row>
    <row r="3639" spans="1:12" x14ac:dyDescent="0.3">
      <c r="A3639">
        <f>IF(J3639="0",0,IF(COUNTIF($J$2:J3639,J3639)=1,1,0))</f>
        <v>0</v>
      </c>
      <c r="B3639" s="12" t="e">
        <f>MID(MAIN!A3644,K3639,2)</f>
        <v>#VALUE!</v>
      </c>
      <c r="C3639" s="12" t="e">
        <f t="shared" si="224"/>
        <v>#VALUE!</v>
      </c>
      <c r="D3639" s="12" t="e">
        <f>MID(MAIN!A3644,K3639+2,2)</f>
        <v>#VALUE!</v>
      </c>
      <c r="E3639" s="12" t="e">
        <f>MID(MAIN!A3644,K3639+4,2)</f>
        <v>#VALUE!</v>
      </c>
      <c r="F3639" s="2" t="e">
        <f t="shared" si="225"/>
        <v>#VALUE!</v>
      </c>
      <c r="G3639" s="13" t="e">
        <f t="shared" si="226"/>
        <v>#VALUE!</v>
      </c>
      <c r="J3639" t="str">
        <f>MAIN!A3644&amp;"B"</f>
        <v>B</v>
      </c>
      <c r="K3639" s="12" t="e">
        <f t="shared" si="227"/>
        <v>#VALUE!</v>
      </c>
      <c r="L3639" t="str">
        <f>MAIN!C3644</f>
        <v/>
      </c>
    </row>
    <row r="3640" spans="1:12" x14ac:dyDescent="0.3">
      <c r="A3640">
        <f>IF(J3640="0",0,IF(COUNTIF($J$2:J3640,J3640)=1,1,0))</f>
        <v>0</v>
      </c>
      <c r="B3640" s="12" t="e">
        <f>MID(MAIN!A3645,K3640,2)</f>
        <v>#VALUE!</v>
      </c>
      <c r="C3640" s="12" t="e">
        <f t="shared" si="224"/>
        <v>#VALUE!</v>
      </c>
      <c r="D3640" s="12" t="e">
        <f>MID(MAIN!A3645,K3640+2,2)</f>
        <v>#VALUE!</v>
      </c>
      <c r="E3640" s="12" t="e">
        <f>MID(MAIN!A3645,K3640+4,2)</f>
        <v>#VALUE!</v>
      </c>
      <c r="F3640" s="2" t="e">
        <f t="shared" si="225"/>
        <v>#VALUE!</v>
      </c>
      <c r="G3640" s="13" t="e">
        <f t="shared" si="226"/>
        <v>#VALUE!</v>
      </c>
      <c r="J3640" t="str">
        <f>MAIN!A3645&amp;"B"</f>
        <v>B</v>
      </c>
      <c r="K3640" s="12" t="e">
        <f t="shared" si="227"/>
        <v>#VALUE!</v>
      </c>
      <c r="L3640" t="str">
        <f>MAIN!C3645</f>
        <v/>
      </c>
    </row>
    <row r="3641" spans="1:12" x14ac:dyDescent="0.3">
      <c r="A3641">
        <f>IF(J3641="0",0,IF(COUNTIF($J$2:J3641,J3641)=1,1,0))</f>
        <v>0</v>
      </c>
      <c r="B3641" s="12" t="e">
        <f>MID(MAIN!A3646,K3641,2)</f>
        <v>#VALUE!</v>
      </c>
      <c r="C3641" s="12" t="e">
        <f t="shared" si="224"/>
        <v>#VALUE!</v>
      </c>
      <c r="D3641" s="12" t="e">
        <f>MID(MAIN!A3646,K3641+2,2)</f>
        <v>#VALUE!</v>
      </c>
      <c r="E3641" s="12" t="e">
        <f>MID(MAIN!A3646,K3641+4,2)</f>
        <v>#VALUE!</v>
      </c>
      <c r="F3641" s="2" t="e">
        <f t="shared" si="225"/>
        <v>#VALUE!</v>
      </c>
      <c r="G3641" s="13" t="e">
        <f t="shared" si="226"/>
        <v>#VALUE!</v>
      </c>
      <c r="J3641" t="str">
        <f>MAIN!A3646&amp;"B"</f>
        <v>B</v>
      </c>
      <c r="K3641" s="12" t="e">
        <f t="shared" si="227"/>
        <v>#VALUE!</v>
      </c>
      <c r="L3641" t="str">
        <f>MAIN!C3646</f>
        <v/>
      </c>
    </row>
    <row r="3642" spans="1:12" x14ac:dyDescent="0.3">
      <c r="A3642">
        <f>IF(J3642="0",0,IF(COUNTIF($J$2:J3642,J3642)=1,1,0))</f>
        <v>0</v>
      </c>
      <c r="B3642" s="12" t="e">
        <f>MID(MAIN!A3647,K3642,2)</f>
        <v>#VALUE!</v>
      </c>
      <c r="C3642" s="12" t="e">
        <f t="shared" si="224"/>
        <v>#VALUE!</v>
      </c>
      <c r="D3642" s="12" t="e">
        <f>MID(MAIN!A3647,K3642+2,2)</f>
        <v>#VALUE!</v>
      </c>
      <c r="E3642" s="12" t="e">
        <f>MID(MAIN!A3647,K3642+4,2)</f>
        <v>#VALUE!</v>
      </c>
      <c r="F3642" s="2" t="e">
        <f t="shared" si="225"/>
        <v>#VALUE!</v>
      </c>
      <c r="G3642" s="13" t="e">
        <f t="shared" si="226"/>
        <v>#VALUE!</v>
      </c>
      <c r="J3642" t="str">
        <f>MAIN!A3647&amp;"B"</f>
        <v>B</v>
      </c>
      <c r="K3642" s="12" t="e">
        <f t="shared" si="227"/>
        <v>#VALUE!</v>
      </c>
      <c r="L3642" t="str">
        <f>MAIN!C3647</f>
        <v/>
      </c>
    </row>
    <row r="3643" spans="1:12" x14ac:dyDescent="0.3">
      <c r="A3643">
        <f>IF(J3643="0",0,IF(COUNTIF($J$2:J3643,J3643)=1,1,0))</f>
        <v>0</v>
      </c>
      <c r="B3643" s="12" t="e">
        <f>MID(MAIN!A3648,K3643,2)</f>
        <v>#VALUE!</v>
      </c>
      <c r="C3643" s="12" t="e">
        <f t="shared" si="224"/>
        <v>#VALUE!</v>
      </c>
      <c r="D3643" s="12" t="e">
        <f>MID(MAIN!A3648,K3643+2,2)</f>
        <v>#VALUE!</v>
      </c>
      <c r="E3643" s="12" t="e">
        <f>MID(MAIN!A3648,K3643+4,2)</f>
        <v>#VALUE!</v>
      </c>
      <c r="F3643" s="2" t="e">
        <f t="shared" si="225"/>
        <v>#VALUE!</v>
      </c>
      <c r="G3643" s="13" t="e">
        <f t="shared" si="226"/>
        <v>#VALUE!</v>
      </c>
      <c r="J3643" t="str">
        <f>MAIN!A3648&amp;"B"</f>
        <v>B</v>
      </c>
      <c r="K3643" s="12" t="e">
        <f t="shared" si="227"/>
        <v>#VALUE!</v>
      </c>
      <c r="L3643" t="str">
        <f>MAIN!C3648</f>
        <v/>
      </c>
    </row>
    <row r="3644" spans="1:12" x14ac:dyDescent="0.3">
      <c r="A3644">
        <f>IF(J3644="0",0,IF(COUNTIF($J$2:J3644,J3644)=1,1,0))</f>
        <v>0</v>
      </c>
      <c r="B3644" s="12" t="e">
        <f>MID(MAIN!A3649,K3644,2)</f>
        <v>#VALUE!</v>
      </c>
      <c r="C3644" s="12" t="e">
        <f t="shared" si="224"/>
        <v>#VALUE!</v>
      </c>
      <c r="D3644" s="12" t="e">
        <f>MID(MAIN!A3649,K3644+2,2)</f>
        <v>#VALUE!</v>
      </c>
      <c r="E3644" s="12" t="e">
        <f>MID(MAIN!A3649,K3644+4,2)</f>
        <v>#VALUE!</v>
      </c>
      <c r="F3644" s="2" t="e">
        <f t="shared" si="225"/>
        <v>#VALUE!</v>
      </c>
      <c r="G3644" s="13" t="e">
        <f t="shared" si="226"/>
        <v>#VALUE!</v>
      </c>
      <c r="J3644" t="str">
        <f>MAIN!A3649&amp;"B"</f>
        <v>B</v>
      </c>
      <c r="K3644" s="12" t="e">
        <f t="shared" si="227"/>
        <v>#VALUE!</v>
      </c>
      <c r="L3644" t="str">
        <f>MAIN!C3649</f>
        <v/>
      </c>
    </row>
    <row r="3645" spans="1:12" x14ac:dyDescent="0.3">
      <c r="A3645">
        <f>IF(J3645="0",0,IF(COUNTIF($J$2:J3645,J3645)=1,1,0))</f>
        <v>0</v>
      </c>
      <c r="B3645" s="12" t="e">
        <f>MID(MAIN!A3650,K3645,2)</f>
        <v>#VALUE!</v>
      </c>
      <c r="C3645" s="12" t="e">
        <f t="shared" si="224"/>
        <v>#VALUE!</v>
      </c>
      <c r="D3645" s="12" t="e">
        <f>MID(MAIN!A3650,K3645+2,2)</f>
        <v>#VALUE!</v>
      </c>
      <c r="E3645" s="12" t="e">
        <f>MID(MAIN!A3650,K3645+4,2)</f>
        <v>#VALUE!</v>
      </c>
      <c r="F3645" s="2" t="e">
        <f t="shared" si="225"/>
        <v>#VALUE!</v>
      </c>
      <c r="G3645" s="13" t="e">
        <f t="shared" si="226"/>
        <v>#VALUE!</v>
      </c>
      <c r="J3645" t="str">
        <f>MAIN!A3650&amp;"B"</f>
        <v>B</v>
      </c>
      <c r="K3645" s="12" t="e">
        <f t="shared" si="227"/>
        <v>#VALUE!</v>
      </c>
      <c r="L3645" t="str">
        <f>MAIN!C3650</f>
        <v/>
      </c>
    </row>
    <row r="3646" spans="1:12" x14ac:dyDescent="0.3">
      <c r="A3646">
        <f>IF(J3646="0",0,IF(COUNTIF($J$2:J3646,J3646)=1,1,0))</f>
        <v>0</v>
      </c>
      <c r="B3646" s="12" t="e">
        <f>MID(MAIN!A3651,K3646,2)</f>
        <v>#VALUE!</v>
      </c>
      <c r="C3646" s="12" t="e">
        <f t="shared" si="224"/>
        <v>#VALUE!</v>
      </c>
      <c r="D3646" s="12" t="e">
        <f>MID(MAIN!A3651,K3646+2,2)</f>
        <v>#VALUE!</v>
      </c>
      <c r="E3646" s="12" t="e">
        <f>MID(MAIN!A3651,K3646+4,2)</f>
        <v>#VALUE!</v>
      </c>
      <c r="F3646" s="2" t="e">
        <f t="shared" si="225"/>
        <v>#VALUE!</v>
      </c>
      <c r="G3646" s="13" t="e">
        <f t="shared" si="226"/>
        <v>#VALUE!</v>
      </c>
      <c r="J3646" t="str">
        <f>MAIN!A3651&amp;"B"</f>
        <v>B</v>
      </c>
      <c r="K3646" s="12" t="e">
        <f t="shared" si="227"/>
        <v>#VALUE!</v>
      </c>
      <c r="L3646" t="str">
        <f>MAIN!C3651</f>
        <v/>
      </c>
    </row>
    <row r="3647" spans="1:12" x14ac:dyDescent="0.3">
      <c r="A3647">
        <f>IF(J3647="0",0,IF(COUNTIF($J$2:J3647,J3647)=1,1,0))</f>
        <v>0</v>
      </c>
      <c r="B3647" s="12" t="e">
        <f>MID(MAIN!A3652,K3647,2)</f>
        <v>#VALUE!</v>
      </c>
      <c r="C3647" s="12" t="e">
        <f t="shared" si="224"/>
        <v>#VALUE!</v>
      </c>
      <c r="D3647" s="12" t="e">
        <f>MID(MAIN!A3652,K3647+2,2)</f>
        <v>#VALUE!</v>
      </c>
      <c r="E3647" s="12" t="e">
        <f>MID(MAIN!A3652,K3647+4,2)</f>
        <v>#VALUE!</v>
      </c>
      <c r="F3647" s="2" t="e">
        <f t="shared" si="225"/>
        <v>#VALUE!</v>
      </c>
      <c r="G3647" s="13" t="e">
        <f t="shared" si="226"/>
        <v>#VALUE!</v>
      </c>
      <c r="J3647" t="str">
        <f>MAIN!A3652&amp;"B"</f>
        <v>B</v>
      </c>
      <c r="K3647" s="12" t="e">
        <f t="shared" si="227"/>
        <v>#VALUE!</v>
      </c>
      <c r="L3647" t="str">
        <f>MAIN!C3652</f>
        <v/>
      </c>
    </row>
    <row r="3648" spans="1:12" x14ac:dyDescent="0.3">
      <c r="A3648">
        <f>IF(J3648="0",0,IF(COUNTIF($J$2:J3648,J3648)=1,1,0))</f>
        <v>0</v>
      </c>
      <c r="B3648" s="12" t="e">
        <f>MID(MAIN!A3653,K3648,2)</f>
        <v>#VALUE!</v>
      </c>
      <c r="C3648" s="12" t="e">
        <f t="shared" si="224"/>
        <v>#VALUE!</v>
      </c>
      <c r="D3648" s="12" t="e">
        <f>MID(MAIN!A3653,K3648+2,2)</f>
        <v>#VALUE!</v>
      </c>
      <c r="E3648" s="12" t="e">
        <f>MID(MAIN!A3653,K3648+4,2)</f>
        <v>#VALUE!</v>
      </c>
      <c r="F3648" s="2" t="e">
        <f t="shared" si="225"/>
        <v>#VALUE!</v>
      </c>
      <c r="G3648" s="13" t="e">
        <f t="shared" si="226"/>
        <v>#VALUE!</v>
      </c>
      <c r="J3648" t="str">
        <f>MAIN!A3653&amp;"B"</f>
        <v>B</v>
      </c>
      <c r="K3648" s="12" t="e">
        <f t="shared" si="227"/>
        <v>#VALUE!</v>
      </c>
      <c r="L3648" t="str">
        <f>MAIN!C3653</f>
        <v/>
      </c>
    </row>
    <row r="3649" spans="1:12" x14ac:dyDescent="0.3">
      <c r="A3649">
        <f>IF(J3649="0",0,IF(COUNTIF($J$2:J3649,J3649)=1,1,0))</f>
        <v>0</v>
      </c>
      <c r="B3649" s="12" t="e">
        <f>MID(MAIN!A3654,K3649,2)</f>
        <v>#VALUE!</v>
      </c>
      <c r="C3649" s="12" t="e">
        <f t="shared" si="224"/>
        <v>#VALUE!</v>
      </c>
      <c r="D3649" s="12" t="e">
        <f>MID(MAIN!A3654,K3649+2,2)</f>
        <v>#VALUE!</v>
      </c>
      <c r="E3649" s="12" t="e">
        <f>MID(MAIN!A3654,K3649+4,2)</f>
        <v>#VALUE!</v>
      </c>
      <c r="F3649" s="2" t="e">
        <f t="shared" si="225"/>
        <v>#VALUE!</v>
      </c>
      <c r="G3649" s="13" t="e">
        <f t="shared" si="226"/>
        <v>#VALUE!</v>
      </c>
      <c r="J3649" t="str">
        <f>MAIN!A3654&amp;"B"</f>
        <v>B</v>
      </c>
      <c r="K3649" s="12" t="e">
        <f t="shared" si="227"/>
        <v>#VALUE!</v>
      </c>
      <c r="L3649" t="str">
        <f>MAIN!C3654</f>
        <v/>
      </c>
    </row>
    <row r="3650" spans="1:12" x14ac:dyDescent="0.3">
      <c r="A3650">
        <f>IF(J3650="0",0,IF(COUNTIF($J$2:J3650,J3650)=1,1,0))</f>
        <v>0</v>
      </c>
      <c r="B3650" s="12" t="e">
        <f>MID(MAIN!A3655,K3650,2)</f>
        <v>#VALUE!</v>
      </c>
      <c r="C3650" s="12" t="e">
        <f t="shared" si="224"/>
        <v>#VALUE!</v>
      </c>
      <c r="D3650" s="12" t="e">
        <f>MID(MAIN!A3655,K3650+2,2)</f>
        <v>#VALUE!</v>
      </c>
      <c r="E3650" s="12" t="e">
        <f>MID(MAIN!A3655,K3650+4,2)</f>
        <v>#VALUE!</v>
      </c>
      <c r="F3650" s="2" t="e">
        <f t="shared" si="225"/>
        <v>#VALUE!</v>
      </c>
      <c r="G3650" s="13" t="e">
        <f t="shared" si="226"/>
        <v>#VALUE!</v>
      </c>
      <c r="J3650" t="str">
        <f>MAIN!A3655&amp;"B"</f>
        <v>B</v>
      </c>
      <c r="K3650" s="12" t="e">
        <f t="shared" si="227"/>
        <v>#VALUE!</v>
      </c>
      <c r="L3650" t="str">
        <f>MAIN!C3655</f>
        <v/>
      </c>
    </row>
    <row r="3651" spans="1:12" x14ac:dyDescent="0.3">
      <c r="A3651">
        <f>IF(J3651="0",0,IF(COUNTIF($J$2:J3651,J3651)=1,1,0))</f>
        <v>0</v>
      </c>
      <c r="B3651" s="12" t="e">
        <f>MID(MAIN!A3656,K3651,2)</f>
        <v>#VALUE!</v>
      </c>
      <c r="C3651" s="12" t="e">
        <f t="shared" ref="C3651:C3714" si="228">"20"&amp;B3651</f>
        <v>#VALUE!</v>
      </c>
      <c r="D3651" s="12" t="e">
        <f>MID(MAIN!A3656,K3651+2,2)</f>
        <v>#VALUE!</v>
      </c>
      <c r="E3651" s="12" t="e">
        <f>MID(MAIN!A3656,K3651+4,2)</f>
        <v>#VALUE!</v>
      </c>
      <c r="F3651" s="2" t="e">
        <f t="shared" ref="F3651:F3714" si="229">C3651&amp;"/"&amp;D3651&amp;"/"&amp;E3651</f>
        <v>#VALUE!</v>
      </c>
      <c r="G3651" s="13" t="e">
        <f t="shared" ref="G3651:G3714" si="230">DATEVALUE(F3651)</f>
        <v>#VALUE!</v>
      </c>
      <c r="J3651" t="str">
        <f>MAIN!A3656&amp;"B"</f>
        <v>B</v>
      </c>
      <c r="K3651" s="12" t="e">
        <f t="shared" ref="K3651:K3714" si="231">FIND("172",J3651,30)+2</f>
        <v>#VALUE!</v>
      </c>
      <c r="L3651" t="str">
        <f>MAIN!C3656</f>
        <v/>
      </c>
    </row>
    <row r="3652" spans="1:12" x14ac:dyDescent="0.3">
      <c r="A3652">
        <f>IF(J3652="0",0,IF(COUNTIF($J$2:J3652,J3652)=1,1,0))</f>
        <v>0</v>
      </c>
      <c r="B3652" s="12" t="e">
        <f>MID(MAIN!A3657,K3652,2)</f>
        <v>#VALUE!</v>
      </c>
      <c r="C3652" s="12" t="e">
        <f t="shared" si="228"/>
        <v>#VALUE!</v>
      </c>
      <c r="D3652" s="12" t="e">
        <f>MID(MAIN!A3657,K3652+2,2)</f>
        <v>#VALUE!</v>
      </c>
      <c r="E3652" s="12" t="e">
        <f>MID(MAIN!A3657,K3652+4,2)</f>
        <v>#VALUE!</v>
      </c>
      <c r="F3652" s="2" t="e">
        <f t="shared" si="229"/>
        <v>#VALUE!</v>
      </c>
      <c r="G3652" s="13" t="e">
        <f t="shared" si="230"/>
        <v>#VALUE!</v>
      </c>
      <c r="J3652" t="str">
        <f>MAIN!A3657&amp;"B"</f>
        <v>B</v>
      </c>
      <c r="K3652" s="12" t="e">
        <f t="shared" si="231"/>
        <v>#VALUE!</v>
      </c>
      <c r="L3652" t="str">
        <f>MAIN!C3657</f>
        <v/>
      </c>
    </row>
    <row r="3653" spans="1:12" x14ac:dyDescent="0.3">
      <c r="A3653">
        <f>IF(J3653="0",0,IF(COUNTIF($J$2:J3653,J3653)=1,1,0))</f>
        <v>0</v>
      </c>
      <c r="B3653" s="12" t="e">
        <f>MID(MAIN!A3658,K3653,2)</f>
        <v>#VALUE!</v>
      </c>
      <c r="C3653" s="12" t="e">
        <f t="shared" si="228"/>
        <v>#VALUE!</v>
      </c>
      <c r="D3653" s="12" t="e">
        <f>MID(MAIN!A3658,K3653+2,2)</f>
        <v>#VALUE!</v>
      </c>
      <c r="E3653" s="12" t="e">
        <f>MID(MAIN!A3658,K3653+4,2)</f>
        <v>#VALUE!</v>
      </c>
      <c r="F3653" s="2" t="e">
        <f t="shared" si="229"/>
        <v>#VALUE!</v>
      </c>
      <c r="G3653" s="13" t="e">
        <f t="shared" si="230"/>
        <v>#VALUE!</v>
      </c>
      <c r="J3653" t="str">
        <f>MAIN!A3658&amp;"B"</f>
        <v>B</v>
      </c>
      <c r="K3653" s="12" t="e">
        <f t="shared" si="231"/>
        <v>#VALUE!</v>
      </c>
      <c r="L3653" t="str">
        <f>MAIN!C3658</f>
        <v/>
      </c>
    </row>
    <row r="3654" spans="1:12" x14ac:dyDescent="0.3">
      <c r="A3654">
        <f>IF(J3654="0",0,IF(COUNTIF($J$2:J3654,J3654)=1,1,0))</f>
        <v>0</v>
      </c>
      <c r="B3654" s="12" t="e">
        <f>MID(MAIN!A3659,K3654,2)</f>
        <v>#VALUE!</v>
      </c>
      <c r="C3654" s="12" t="e">
        <f t="shared" si="228"/>
        <v>#VALUE!</v>
      </c>
      <c r="D3654" s="12" t="e">
        <f>MID(MAIN!A3659,K3654+2,2)</f>
        <v>#VALUE!</v>
      </c>
      <c r="E3654" s="12" t="e">
        <f>MID(MAIN!A3659,K3654+4,2)</f>
        <v>#VALUE!</v>
      </c>
      <c r="F3654" s="2" t="e">
        <f t="shared" si="229"/>
        <v>#VALUE!</v>
      </c>
      <c r="G3654" s="13" t="e">
        <f t="shared" si="230"/>
        <v>#VALUE!</v>
      </c>
      <c r="J3654" t="str">
        <f>MAIN!A3659&amp;"B"</f>
        <v>B</v>
      </c>
      <c r="K3654" s="12" t="e">
        <f t="shared" si="231"/>
        <v>#VALUE!</v>
      </c>
      <c r="L3654" t="str">
        <f>MAIN!C3659</f>
        <v/>
      </c>
    </row>
    <row r="3655" spans="1:12" x14ac:dyDescent="0.3">
      <c r="A3655">
        <f>IF(J3655="0",0,IF(COUNTIF($J$2:J3655,J3655)=1,1,0))</f>
        <v>0</v>
      </c>
      <c r="B3655" s="12" t="e">
        <f>MID(MAIN!A3660,K3655,2)</f>
        <v>#VALUE!</v>
      </c>
      <c r="C3655" s="12" t="e">
        <f t="shared" si="228"/>
        <v>#VALUE!</v>
      </c>
      <c r="D3655" s="12" t="e">
        <f>MID(MAIN!A3660,K3655+2,2)</f>
        <v>#VALUE!</v>
      </c>
      <c r="E3655" s="12" t="e">
        <f>MID(MAIN!A3660,K3655+4,2)</f>
        <v>#VALUE!</v>
      </c>
      <c r="F3655" s="2" t="e">
        <f t="shared" si="229"/>
        <v>#VALUE!</v>
      </c>
      <c r="G3655" s="13" t="e">
        <f t="shared" si="230"/>
        <v>#VALUE!</v>
      </c>
      <c r="J3655" t="str">
        <f>MAIN!A3660&amp;"B"</f>
        <v>B</v>
      </c>
      <c r="K3655" s="12" t="e">
        <f t="shared" si="231"/>
        <v>#VALUE!</v>
      </c>
      <c r="L3655" t="str">
        <f>MAIN!C3660</f>
        <v/>
      </c>
    </row>
    <row r="3656" spans="1:12" x14ac:dyDescent="0.3">
      <c r="A3656">
        <f>IF(J3656="0",0,IF(COUNTIF($J$2:J3656,J3656)=1,1,0))</f>
        <v>0</v>
      </c>
      <c r="B3656" s="12" t="e">
        <f>MID(MAIN!A3661,K3656,2)</f>
        <v>#VALUE!</v>
      </c>
      <c r="C3656" s="12" t="e">
        <f t="shared" si="228"/>
        <v>#VALUE!</v>
      </c>
      <c r="D3656" s="12" t="e">
        <f>MID(MAIN!A3661,K3656+2,2)</f>
        <v>#VALUE!</v>
      </c>
      <c r="E3656" s="12" t="e">
        <f>MID(MAIN!A3661,K3656+4,2)</f>
        <v>#VALUE!</v>
      </c>
      <c r="F3656" s="2" t="e">
        <f t="shared" si="229"/>
        <v>#VALUE!</v>
      </c>
      <c r="G3656" s="13" t="e">
        <f t="shared" si="230"/>
        <v>#VALUE!</v>
      </c>
      <c r="J3656" t="str">
        <f>MAIN!A3661&amp;"B"</f>
        <v>B</v>
      </c>
      <c r="K3656" s="12" t="e">
        <f t="shared" si="231"/>
        <v>#VALUE!</v>
      </c>
      <c r="L3656" t="str">
        <f>MAIN!C3661</f>
        <v/>
      </c>
    </row>
    <row r="3657" spans="1:12" x14ac:dyDescent="0.3">
      <c r="A3657">
        <f>IF(J3657="0",0,IF(COUNTIF($J$2:J3657,J3657)=1,1,0))</f>
        <v>0</v>
      </c>
      <c r="B3657" s="12" t="e">
        <f>MID(MAIN!A3662,K3657,2)</f>
        <v>#VALUE!</v>
      </c>
      <c r="C3657" s="12" t="e">
        <f t="shared" si="228"/>
        <v>#VALUE!</v>
      </c>
      <c r="D3657" s="12" t="e">
        <f>MID(MAIN!A3662,K3657+2,2)</f>
        <v>#VALUE!</v>
      </c>
      <c r="E3657" s="12" t="e">
        <f>MID(MAIN!A3662,K3657+4,2)</f>
        <v>#VALUE!</v>
      </c>
      <c r="F3657" s="2" t="e">
        <f t="shared" si="229"/>
        <v>#VALUE!</v>
      </c>
      <c r="G3657" s="13" t="e">
        <f t="shared" si="230"/>
        <v>#VALUE!</v>
      </c>
      <c r="J3657" t="str">
        <f>MAIN!A3662&amp;"B"</f>
        <v>B</v>
      </c>
      <c r="K3657" s="12" t="e">
        <f t="shared" si="231"/>
        <v>#VALUE!</v>
      </c>
      <c r="L3657" t="str">
        <f>MAIN!C3662</f>
        <v/>
      </c>
    </row>
    <row r="3658" spans="1:12" x14ac:dyDescent="0.3">
      <c r="A3658">
        <f>IF(J3658="0",0,IF(COUNTIF($J$2:J3658,J3658)=1,1,0))</f>
        <v>0</v>
      </c>
      <c r="B3658" s="12" t="e">
        <f>MID(MAIN!A3663,K3658,2)</f>
        <v>#VALUE!</v>
      </c>
      <c r="C3658" s="12" t="e">
        <f t="shared" si="228"/>
        <v>#VALUE!</v>
      </c>
      <c r="D3658" s="12" t="e">
        <f>MID(MAIN!A3663,K3658+2,2)</f>
        <v>#VALUE!</v>
      </c>
      <c r="E3658" s="12" t="e">
        <f>MID(MAIN!A3663,K3658+4,2)</f>
        <v>#VALUE!</v>
      </c>
      <c r="F3658" s="2" t="e">
        <f t="shared" si="229"/>
        <v>#VALUE!</v>
      </c>
      <c r="G3658" s="13" t="e">
        <f t="shared" si="230"/>
        <v>#VALUE!</v>
      </c>
      <c r="J3658" t="str">
        <f>MAIN!A3663&amp;"B"</f>
        <v>B</v>
      </c>
      <c r="K3658" s="12" t="e">
        <f t="shared" si="231"/>
        <v>#VALUE!</v>
      </c>
      <c r="L3658" t="str">
        <f>MAIN!C3663</f>
        <v/>
      </c>
    </row>
    <row r="3659" spans="1:12" x14ac:dyDescent="0.3">
      <c r="A3659">
        <f>IF(J3659="0",0,IF(COUNTIF($J$2:J3659,J3659)=1,1,0))</f>
        <v>0</v>
      </c>
      <c r="B3659" s="12" t="e">
        <f>MID(MAIN!A3664,K3659,2)</f>
        <v>#VALUE!</v>
      </c>
      <c r="C3659" s="12" t="e">
        <f t="shared" si="228"/>
        <v>#VALUE!</v>
      </c>
      <c r="D3659" s="12" t="e">
        <f>MID(MAIN!A3664,K3659+2,2)</f>
        <v>#VALUE!</v>
      </c>
      <c r="E3659" s="12" t="e">
        <f>MID(MAIN!A3664,K3659+4,2)</f>
        <v>#VALUE!</v>
      </c>
      <c r="F3659" s="2" t="e">
        <f t="shared" si="229"/>
        <v>#VALUE!</v>
      </c>
      <c r="G3659" s="13" t="e">
        <f t="shared" si="230"/>
        <v>#VALUE!</v>
      </c>
      <c r="J3659" t="str">
        <f>MAIN!A3664&amp;"B"</f>
        <v>B</v>
      </c>
      <c r="K3659" s="12" t="e">
        <f t="shared" si="231"/>
        <v>#VALUE!</v>
      </c>
      <c r="L3659" t="str">
        <f>MAIN!C3664</f>
        <v/>
      </c>
    </row>
    <row r="3660" spans="1:12" x14ac:dyDescent="0.3">
      <c r="A3660">
        <f>IF(J3660="0",0,IF(COUNTIF($J$2:J3660,J3660)=1,1,0))</f>
        <v>0</v>
      </c>
      <c r="B3660" s="12" t="e">
        <f>MID(MAIN!A3665,K3660,2)</f>
        <v>#VALUE!</v>
      </c>
      <c r="C3660" s="12" t="e">
        <f t="shared" si="228"/>
        <v>#VALUE!</v>
      </c>
      <c r="D3660" s="12" t="e">
        <f>MID(MAIN!A3665,K3660+2,2)</f>
        <v>#VALUE!</v>
      </c>
      <c r="E3660" s="12" t="e">
        <f>MID(MAIN!A3665,K3660+4,2)</f>
        <v>#VALUE!</v>
      </c>
      <c r="F3660" s="2" t="e">
        <f t="shared" si="229"/>
        <v>#VALUE!</v>
      </c>
      <c r="G3660" s="13" t="e">
        <f t="shared" si="230"/>
        <v>#VALUE!</v>
      </c>
      <c r="J3660" t="str">
        <f>MAIN!A3665&amp;"B"</f>
        <v>B</v>
      </c>
      <c r="K3660" s="12" t="e">
        <f t="shared" si="231"/>
        <v>#VALUE!</v>
      </c>
      <c r="L3660" t="str">
        <f>MAIN!C3665</f>
        <v/>
      </c>
    </row>
    <row r="3661" spans="1:12" x14ac:dyDescent="0.3">
      <c r="A3661">
        <f>IF(J3661="0",0,IF(COUNTIF($J$2:J3661,J3661)=1,1,0))</f>
        <v>0</v>
      </c>
      <c r="B3661" s="12" t="e">
        <f>MID(MAIN!A3666,K3661,2)</f>
        <v>#VALUE!</v>
      </c>
      <c r="C3661" s="12" t="e">
        <f t="shared" si="228"/>
        <v>#VALUE!</v>
      </c>
      <c r="D3661" s="12" t="e">
        <f>MID(MAIN!A3666,K3661+2,2)</f>
        <v>#VALUE!</v>
      </c>
      <c r="E3661" s="12" t="e">
        <f>MID(MAIN!A3666,K3661+4,2)</f>
        <v>#VALUE!</v>
      </c>
      <c r="F3661" s="2" t="e">
        <f t="shared" si="229"/>
        <v>#VALUE!</v>
      </c>
      <c r="G3661" s="13" t="e">
        <f t="shared" si="230"/>
        <v>#VALUE!</v>
      </c>
      <c r="J3661" t="str">
        <f>MAIN!A3666&amp;"B"</f>
        <v>B</v>
      </c>
      <c r="K3661" s="12" t="e">
        <f t="shared" si="231"/>
        <v>#VALUE!</v>
      </c>
      <c r="L3661" t="str">
        <f>MAIN!C3666</f>
        <v/>
      </c>
    </row>
    <row r="3662" spans="1:12" x14ac:dyDescent="0.3">
      <c r="A3662">
        <f>IF(J3662="0",0,IF(COUNTIF($J$2:J3662,J3662)=1,1,0))</f>
        <v>0</v>
      </c>
      <c r="B3662" s="12" t="e">
        <f>MID(MAIN!A3667,K3662,2)</f>
        <v>#VALUE!</v>
      </c>
      <c r="C3662" s="12" t="e">
        <f t="shared" si="228"/>
        <v>#VALUE!</v>
      </c>
      <c r="D3662" s="12" t="e">
        <f>MID(MAIN!A3667,K3662+2,2)</f>
        <v>#VALUE!</v>
      </c>
      <c r="E3662" s="12" t="e">
        <f>MID(MAIN!A3667,K3662+4,2)</f>
        <v>#VALUE!</v>
      </c>
      <c r="F3662" s="2" t="e">
        <f t="shared" si="229"/>
        <v>#VALUE!</v>
      </c>
      <c r="G3662" s="13" t="e">
        <f t="shared" si="230"/>
        <v>#VALUE!</v>
      </c>
      <c r="J3662" t="str">
        <f>MAIN!A3667&amp;"B"</f>
        <v>B</v>
      </c>
      <c r="K3662" s="12" t="e">
        <f t="shared" si="231"/>
        <v>#VALUE!</v>
      </c>
      <c r="L3662" t="str">
        <f>MAIN!C3667</f>
        <v/>
      </c>
    </row>
    <row r="3663" spans="1:12" x14ac:dyDescent="0.3">
      <c r="A3663">
        <f>IF(J3663="0",0,IF(COUNTIF($J$2:J3663,J3663)=1,1,0))</f>
        <v>0</v>
      </c>
      <c r="B3663" s="12" t="e">
        <f>MID(MAIN!A3668,K3663,2)</f>
        <v>#VALUE!</v>
      </c>
      <c r="C3663" s="12" t="e">
        <f t="shared" si="228"/>
        <v>#VALUE!</v>
      </c>
      <c r="D3663" s="12" t="e">
        <f>MID(MAIN!A3668,K3663+2,2)</f>
        <v>#VALUE!</v>
      </c>
      <c r="E3663" s="12" t="e">
        <f>MID(MAIN!A3668,K3663+4,2)</f>
        <v>#VALUE!</v>
      </c>
      <c r="F3663" s="2" t="e">
        <f t="shared" si="229"/>
        <v>#VALUE!</v>
      </c>
      <c r="G3663" s="13" t="e">
        <f t="shared" si="230"/>
        <v>#VALUE!</v>
      </c>
      <c r="J3663" t="str">
        <f>MAIN!A3668&amp;"B"</f>
        <v>B</v>
      </c>
      <c r="K3663" s="12" t="e">
        <f t="shared" si="231"/>
        <v>#VALUE!</v>
      </c>
      <c r="L3663" t="str">
        <f>MAIN!C3668</f>
        <v/>
      </c>
    </row>
    <row r="3664" spans="1:12" x14ac:dyDescent="0.3">
      <c r="A3664">
        <f>IF(J3664="0",0,IF(COUNTIF($J$2:J3664,J3664)=1,1,0))</f>
        <v>0</v>
      </c>
      <c r="B3664" s="12" t="e">
        <f>MID(MAIN!A3669,K3664,2)</f>
        <v>#VALUE!</v>
      </c>
      <c r="C3664" s="12" t="e">
        <f t="shared" si="228"/>
        <v>#VALUE!</v>
      </c>
      <c r="D3664" s="12" t="e">
        <f>MID(MAIN!A3669,K3664+2,2)</f>
        <v>#VALUE!</v>
      </c>
      <c r="E3664" s="12" t="e">
        <f>MID(MAIN!A3669,K3664+4,2)</f>
        <v>#VALUE!</v>
      </c>
      <c r="F3664" s="2" t="e">
        <f t="shared" si="229"/>
        <v>#VALUE!</v>
      </c>
      <c r="G3664" s="13" t="e">
        <f t="shared" si="230"/>
        <v>#VALUE!</v>
      </c>
      <c r="J3664" t="str">
        <f>MAIN!A3669&amp;"B"</f>
        <v>B</v>
      </c>
      <c r="K3664" s="12" t="e">
        <f t="shared" si="231"/>
        <v>#VALUE!</v>
      </c>
      <c r="L3664" t="str">
        <f>MAIN!C3669</f>
        <v/>
      </c>
    </row>
    <row r="3665" spans="1:12" x14ac:dyDescent="0.3">
      <c r="A3665">
        <f>IF(J3665="0",0,IF(COUNTIF($J$2:J3665,J3665)=1,1,0))</f>
        <v>0</v>
      </c>
      <c r="B3665" s="12" t="e">
        <f>MID(MAIN!A3670,K3665,2)</f>
        <v>#VALUE!</v>
      </c>
      <c r="C3665" s="12" t="e">
        <f t="shared" si="228"/>
        <v>#VALUE!</v>
      </c>
      <c r="D3665" s="12" t="e">
        <f>MID(MAIN!A3670,K3665+2,2)</f>
        <v>#VALUE!</v>
      </c>
      <c r="E3665" s="12" t="e">
        <f>MID(MAIN!A3670,K3665+4,2)</f>
        <v>#VALUE!</v>
      </c>
      <c r="F3665" s="2" t="e">
        <f t="shared" si="229"/>
        <v>#VALUE!</v>
      </c>
      <c r="G3665" s="13" t="e">
        <f t="shared" si="230"/>
        <v>#VALUE!</v>
      </c>
      <c r="J3665" t="str">
        <f>MAIN!A3670&amp;"B"</f>
        <v>B</v>
      </c>
      <c r="K3665" s="12" t="e">
        <f t="shared" si="231"/>
        <v>#VALUE!</v>
      </c>
      <c r="L3665" t="str">
        <f>MAIN!C3670</f>
        <v/>
      </c>
    </row>
    <row r="3666" spans="1:12" x14ac:dyDescent="0.3">
      <c r="A3666">
        <f>IF(J3666="0",0,IF(COUNTIF($J$2:J3666,J3666)=1,1,0))</f>
        <v>0</v>
      </c>
      <c r="B3666" s="12" t="e">
        <f>MID(MAIN!A3671,K3666,2)</f>
        <v>#VALUE!</v>
      </c>
      <c r="C3666" s="12" t="e">
        <f t="shared" si="228"/>
        <v>#VALUE!</v>
      </c>
      <c r="D3666" s="12" t="e">
        <f>MID(MAIN!A3671,K3666+2,2)</f>
        <v>#VALUE!</v>
      </c>
      <c r="E3666" s="12" t="e">
        <f>MID(MAIN!A3671,K3666+4,2)</f>
        <v>#VALUE!</v>
      </c>
      <c r="F3666" s="2" t="e">
        <f t="shared" si="229"/>
        <v>#VALUE!</v>
      </c>
      <c r="G3666" s="13" t="e">
        <f t="shared" si="230"/>
        <v>#VALUE!</v>
      </c>
      <c r="J3666" t="str">
        <f>MAIN!A3671&amp;"B"</f>
        <v>B</v>
      </c>
      <c r="K3666" s="12" t="e">
        <f t="shared" si="231"/>
        <v>#VALUE!</v>
      </c>
      <c r="L3666" t="str">
        <f>MAIN!C3671</f>
        <v/>
      </c>
    </row>
    <row r="3667" spans="1:12" x14ac:dyDescent="0.3">
      <c r="A3667">
        <f>IF(J3667="0",0,IF(COUNTIF($J$2:J3667,J3667)=1,1,0))</f>
        <v>0</v>
      </c>
      <c r="B3667" s="12" t="e">
        <f>MID(MAIN!A3672,K3667,2)</f>
        <v>#VALUE!</v>
      </c>
      <c r="C3667" s="12" t="e">
        <f t="shared" si="228"/>
        <v>#VALUE!</v>
      </c>
      <c r="D3667" s="12" t="e">
        <f>MID(MAIN!A3672,K3667+2,2)</f>
        <v>#VALUE!</v>
      </c>
      <c r="E3667" s="12" t="e">
        <f>MID(MAIN!A3672,K3667+4,2)</f>
        <v>#VALUE!</v>
      </c>
      <c r="F3667" s="2" t="e">
        <f t="shared" si="229"/>
        <v>#VALUE!</v>
      </c>
      <c r="G3667" s="13" t="e">
        <f t="shared" si="230"/>
        <v>#VALUE!</v>
      </c>
      <c r="J3667" t="str">
        <f>MAIN!A3672&amp;"B"</f>
        <v>B</v>
      </c>
      <c r="K3667" s="12" t="e">
        <f t="shared" si="231"/>
        <v>#VALUE!</v>
      </c>
      <c r="L3667" t="str">
        <f>MAIN!C3672</f>
        <v/>
      </c>
    </row>
    <row r="3668" spans="1:12" x14ac:dyDescent="0.3">
      <c r="A3668">
        <f>IF(J3668="0",0,IF(COUNTIF($J$2:J3668,J3668)=1,1,0))</f>
        <v>0</v>
      </c>
      <c r="B3668" s="12" t="e">
        <f>MID(MAIN!A3673,K3668,2)</f>
        <v>#VALUE!</v>
      </c>
      <c r="C3668" s="12" t="e">
        <f t="shared" si="228"/>
        <v>#VALUE!</v>
      </c>
      <c r="D3668" s="12" t="e">
        <f>MID(MAIN!A3673,K3668+2,2)</f>
        <v>#VALUE!</v>
      </c>
      <c r="E3668" s="12" t="e">
        <f>MID(MAIN!A3673,K3668+4,2)</f>
        <v>#VALUE!</v>
      </c>
      <c r="F3668" s="2" t="e">
        <f t="shared" si="229"/>
        <v>#VALUE!</v>
      </c>
      <c r="G3668" s="13" t="e">
        <f t="shared" si="230"/>
        <v>#VALUE!</v>
      </c>
      <c r="J3668" t="str">
        <f>MAIN!A3673&amp;"B"</f>
        <v>B</v>
      </c>
      <c r="K3668" s="12" t="e">
        <f t="shared" si="231"/>
        <v>#VALUE!</v>
      </c>
      <c r="L3668" t="str">
        <f>MAIN!C3673</f>
        <v/>
      </c>
    </row>
    <row r="3669" spans="1:12" x14ac:dyDescent="0.3">
      <c r="A3669">
        <f>IF(J3669="0",0,IF(COUNTIF($J$2:J3669,J3669)=1,1,0))</f>
        <v>0</v>
      </c>
      <c r="B3669" s="12" t="e">
        <f>MID(MAIN!A3674,K3669,2)</f>
        <v>#VALUE!</v>
      </c>
      <c r="C3669" s="12" t="e">
        <f t="shared" si="228"/>
        <v>#VALUE!</v>
      </c>
      <c r="D3669" s="12" t="e">
        <f>MID(MAIN!A3674,K3669+2,2)</f>
        <v>#VALUE!</v>
      </c>
      <c r="E3669" s="12" t="e">
        <f>MID(MAIN!A3674,K3669+4,2)</f>
        <v>#VALUE!</v>
      </c>
      <c r="F3669" s="2" t="e">
        <f t="shared" si="229"/>
        <v>#VALUE!</v>
      </c>
      <c r="G3669" s="13" t="e">
        <f t="shared" si="230"/>
        <v>#VALUE!</v>
      </c>
      <c r="J3669" t="str">
        <f>MAIN!A3674&amp;"B"</f>
        <v>B</v>
      </c>
      <c r="K3669" s="12" t="e">
        <f t="shared" si="231"/>
        <v>#VALUE!</v>
      </c>
      <c r="L3669" t="str">
        <f>MAIN!C3674</f>
        <v/>
      </c>
    </row>
    <row r="3670" spans="1:12" x14ac:dyDescent="0.3">
      <c r="A3670">
        <f>IF(J3670="0",0,IF(COUNTIF($J$2:J3670,J3670)=1,1,0))</f>
        <v>0</v>
      </c>
      <c r="B3670" s="12" t="e">
        <f>MID(MAIN!A3675,K3670,2)</f>
        <v>#VALUE!</v>
      </c>
      <c r="C3670" s="12" t="e">
        <f t="shared" si="228"/>
        <v>#VALUE!</v>
      </c>
      <c r="D3670" s="12" t="e">
        <f>MID(MAIN!A3675,K3670+2,2)</f>
        <v>#VALUE!</v>
      </c>
      <c r="E3670" s="12" t="e">
        <f>MID(MAIN!A3675,K3670+4,2)</f>
        <v>#VALUE!</v>
      </c>
      <c r="F3670" s="2" t="e">
        <f t="shared" si="229"/>
        <v>#VALUE!</v>
      </c>
      <c r="G3670" s="13" t="e">
        <f t="shared" si="230"/>
        <v>#VALUE!</v>
      </c>
      <c r="J3670" t="str">
        <f>MAIN!A3675&amp;"B"</f>
        <v>B</v>
      </c>
      <c r="K3670" s="12" t="e">
        <f t="shared" si="231"/>
        <v>#VALUE!</v>
      </c>
      <c r="L3670" t="str">
        <f>MAIN!C3675</f>
        <v/>
      </c>
    </row>
    <row r="3671" spans="1:12" x14ac:dyDescent="0.3">
      <c r="A3671">
        <f>IF(J3671="0",0,IF(COUNTIF($J$2:J3671,J3671)=1,1,0))</f>
        <v>0</v>
      </c>
      <c r="B3671" s="12" t="e">
        <f>MID(MAIN!A3676,K3671,2)</f>
        <v>#VALUE!</v>
      </c>
      <c r="C3671" s="12" t="e">
        <f t="shared" si="228"/>
        <v>#VALUE!</v>
      </c>
      <c r="D3671" s="12" t="e">
        <f>MID(MAIN!A3676,K3671+2,2)</f>
        <v>#VALUE!</v>
      </c>
      <c r="E3671" s="12" t="e">
        <f>MID(MAIN!A3676,K3671+4,2)</f>
        <v>#VALUE!</v>
      </c>
      <c r="F3671" s="2" t="e">
        <f t="shared" si="229"/>
        <v>#VALUE!</v>
      </c>
      <c r="G3671" s="13" t="e">
        <f t="shared" si="230"/>
        <v>#VALUE!</v>
      </c>
      <c r="J3671" t="str">
        <f>MAIN!A3676&amp;"B"</f>
        <v>B</v>
      </c>
      <c r="K3671" s="12" t="e">
        <f t="shared" si="231"/>
        <v>#VALUE!</v>
      </c>
      <c r="L3671" t="str">
        <f>MAIN!C3676</f>
        <v/>
      </c>
    </row>
    <row r="3672" spans="1:12" x14ac:dyDescent="0.3">
      <c r="A3672">
        <f>IF(J3672="0",0,IF(COUNTIF($J$2:J3672,J3672)=1,1,0))</f>
        <v>0</v>
      </c>
      <c r="B3672" s="12" t="e">
        <f>MID(MAIN!A3677,K3672,2)</f>
        <v>#VALUE!</v>
      </c>
      <c r="C3672" s="12" t="e">
        <f t="shared" si="228"/>
        <v>#VALUE!</v>
      </c>
      <c r="D3672" s="12" t="e">
        <f>MID(MAIN!A3677,K3672+2,2)</f>
        <v>#VALUE!</v>
      </c>
      <c r="E3672" s="12" t="e">
        <f>MID(MAIN!A3677,K3672+4,2)</f>
        <v>#VALUE!</v>
      </c>
      <c r="F3672" s="2" t="e">
        <f t="shared" si="229"/>
        <v>#VALUE!</v>
      </c>
      <c r="G3672" s="13" t="e">
        <f t="shared" si="230"/>
        <v>#VALUE!</v>
      </c>
      <c r="J3672" t="str">
        <f>MAIN!A3677&amp;"B"</f>
        <v>B</v>
      </c>
      <c r="K3672" s="12" t="e">
        <f t="shared" si="231"/>
        <v>#VALUE!</v>
      </c>
      <c r="L3672" t="str">
        <f>MAIN!C3677</f>
        <v/>
      </c>
    </row>
    <row r="3673" spans="1:12" x14ac:dyDescent="0.3">
      <c r="A3673">
        <f>IF(J3673="0",0,IF(COUNTIF($J$2:J3673,J3673)=1,1,0))</f>
        <v>0</v>
      </c>
      <c r="B3673" s="12" t="e">
        <f>MID(MAIN!A3678,K3673,2)</f>
        <v>#VALUE!</v>
      </c>
      <c r="C3673" s="12" t="e">
        <f t="shared" si="228"/>
        <v>#VALUE!</v>
      </c>
      <c r="D3673" s="12" t="e">
        <f>MID(MAIN!A3678,K3673+2,2)</f>
        <v>#VALUE!</v>
      </c>
      <c r="E3673" s="12" t="e">
        <f>MID(MAIN!A3678,K3673+4,2)</f>
        <v>#VALUE!</v>
      </c>
      <c r="F3673" s="2" t="e">
        <f t="shared" si="229"/>
        <v>#VALUE!</v>
      </c>
      <c r="G3673" s="13" t="e">
        <f t="shared" si="230"/>
        <v>#VALUE!</v>
      </c>
      <c r="J3673" t="str">
        <f>MAIN!A3678&amp;"B"</f>
        <v>B</v>
      </c>
      <c r="K3673" s="12" t="e">
        <f t="shared" si="231"/>
        <v>#VALUE!</v>
      </c>
      <c r="L3673" t="str">
        <f>MAIN!C3678</f>
        <v/>
      </c>
    </row>
    <row r="3674" spans="1:12" x14ac:dyDescent="0.3">
      <c r="A3674">
        <f>IF(J3674="0",0,IF(COUNTIF($J$2:J3674,J3674)=1,1,0))</f>
        <v>0</v>
      </c>
      <c r="B3674" s="12" t="e">
        <f>MID(MAIN!A3679,K3674,2)</f>
        <v>#VALUE!</v>
      </c>
      <c r="C3674" s="12" t="e">
        <f t="shared" si="228"/>
        <v>#VALUE!</v>
      </c>
      <c r="D3674" s="12" t="e">
        <f>MID(MAIN!A3679,K3674+2,2)</f>
        <v>#VALUE!</v>
      </c>
      <c r="E3674" s="12" t="e">
        <f>MID(MAIN!A3679,K3674+4,2)</f>
        <v>#VALUE!</v>
      </c>
      <c r="F3674" s="2" t="e">
        <f t="shared" si="229"/>
        <v>#VALUE!</v>
      </c>
      <c r="G3674" s="13" t="e">
        <f t="shared" si="230"/>
        <v>#VALUE!</v>
      </c>
      <c r="J3674" t="str">
        <f>MAIN!A3679&amp;"B"</f>
        <v>B</v>
      </c>
      <c r="K3674" s="12" t="e">
        <f t="shared" si="231"/>
        <v>#VALUE!</v>
      </c>
      <c r="L3674" t="str">
        <f>MAIN!C3679</f>
        <v/>
      </c>
    </row>
    <row r="3675" spans="1:12" x14ac:dyDescent="0.3">
      <c r="A3675">
        <f>IF(J3675="0",0,IF(COUNTIF($J$2:J3675,J3675)=1,1,0))</f>
        <v>0</v>
      </c>
      <c r="B3675" s="12" t="e">
        <f>MID(MAIN!A3680,K3675,2)</f>
        <v>#VALUE!</v>
      </c>
      <c r="C3675" s="12" t="e">
        <f t="shared" si="228"/>
        <v>#VALUE!</v>
      </c>
      <c r="D3675" s="12" t="e">
        <f>MID(MAIN!A3680,K3675+2,2)</f>
        <v>#VALUE!</v>
      </c>
      <c r="E3675" s="12" t="e">
        <f>MID(MAIN!A3680,K3675+4,2)</f>
        <v>#VALUE!</v>
      </c>
      <c r="F3675" s="2" t="e">
        <f t="shared" si="229"/>
        <v>#VALUE!</v>
      </c>
      <c r="G3675" s="13" t="e">
        <f t="shared" si="230"/>
        <v>#VALUE!</v>
      </c>
      <c r="J3675" t="str">
        <f>MAIN!A3680&amp;"B"</f>
        <v>B</v>
      </c>
      <c r="K3675" s="12" t="e">
        <f t="shared" si="231"/>
        <v>#VALUE!</v>
      </c>
      <c r="L3675" t="str">
        <f>MAIN!C3680</f>
        <v/>
      </c>
    </row>
    <row r="3676" spans="1:12" x14ac:dyDescent="0.3">
      <c r="A3676">
        <f>IF(J3676="0",0,IF(COUNTIF($J$2:J3676,J3676)=1,1,0))</f>
        <v>0</v>
      </c>
      <c r="B3676" s="12" t="e">
        <f>MID(MAIN!A3681,K3676,2)</f>
        <v>#VALUE!</v>
      </c>
      <c r="C3676" s="12" t="e">
        <f t="shared" si="228"/>
        <v>#VALUE!</v>
      </c>
      <c r="D3676" s="12" t="e">
        <f>MID(MAIN!A3681,K3676+2,2)</f>
        <v>#VALUE!</v>
      </c>
      <c r="E3676" s="12" t="e">
        <f>MID(MAIN!A3681,K3676+4,2)</f>
        <v>#VALUE!</v>
      </c>
      <c r="F3676" s="2" t="e">
        <f t="shared" si="229"/>
        <v>#VALUE!</v>
      </c>
      <c r="G3676" s="13" t="e">
        <f t="shared" si="230"/>
        <v>#VALUE!</v>
      </c>
      <c r="J3676" t="str">
        <f>MAIN!A3681&amp;"B"</f>
        <v>B</v>
      </c>
      <c r="K3676" s="12" t="e">
        <f t="shared" si="231"/>
        <v>#VALUE!</v>
      </c>
      <c r="L3676" t="str">
        <f>MAIN!C3681</f>
        <v/>
      </c>
    </row>
    <row r="3677" spans="1:12" x14ac:dyDescent="0.3">
      <c r="A3677">
        <f>IF(J3677="0",0,IF(COUNTIF($J$2:J3677,J3677)=1,1,0))</f>
        <v>0</v>
      </c>
      <c r="B3677" s="12" t="e">
        <f>MID(MAIN!A3682,K3677,2)</f>
        <v>#VALUE!</v>
      </c>
      <c r="C3677" s="12" t="e">
        <f t="shared" si="228"/>
        <v>#VALUE!</v>
      </c>
      <c r="D3677" s="12" t="e">
        <f>MID(MAIN!A3682,K3677+2,2)</f>
        <v>#VALUE!</v>
      </c>
      <c r="E3677" s="12" t="e">
        <f>MID(MAIN!A3682,K3677+4,2)</f>
        <v>#VALUE!</v>
      </c>
      <c r="F3677" s="2" t="e">
        <f t="shared" si="229"/>
        <v>#VALUE!</v>
      </c>
      <c r="G3677" s="13" t="e">
        <f t="shared" si="230"/>
        <v>#VALUE!</v>
      </c>
      <c r="J3677" t="str">
        <f>MAIN!A3682&amp;"B"</f>
        <v>B</v>
      </c>
      <c r="K3677" s="12" t="e">
        <f t="shared" si="231"/>
        <v>#VALUE!</v>
      </c>
      <c r="L3677" t="str">
        <f>MAIN!C3682</f>
        <v/>
      </c>
    </row>
    <row r="3678" spans="1:12" x14ac:dyDescent="0.3">
      <c r="A3678">
        <f>IF(J3678="0",0,IF(COUNTIF($J$2:J3678,J3678)=1,1,0))</f>
        <v>0</v>
      </c>
      <c r="B3678" s="12" t="e">
        <f>MID(MAIN!A3683,K3678,2)</f>
        <v>#VALUE!</v>
      </c>
      <c r="C3678" s="12" t="e">
        <f t="shared" si="228"/>
        <v>#VALUE!</v>
      </c>
      <c r="D3678" s="12" t="e">
        <f>MID(MAIN!A3683,K3678+2,2)</f>
        <v>#VALUE!</v>
      </c>
      <c r="E3678" s="12" t="e">
        <f>MID(MAIN!A3683,K3678+4,2)</f>
        <v>#VALUE!</v>
      </c>
      <c r="F3678" s="2" t="e">
        <f t="shared" si="229"/>
        <v>#VALUE!</v>
      </c>
      <c r="G3678" s="13" t="e">
        <f t="shared" si="230"/>
        <v>#VALUE!</v>
      </c>
      <c r="J3678" t="str">
        <f>MAIN!A3683&amp;"B"</f>
        <v>B</v>
      </c>
      <c r="K3678" s="12" t="e">
        <f t="shared" si="231"/>
        <v>#VALUE!</v>
      </c>
      <c r="L3678" t="str">
        <f>MAIN!C3683</f>
        <v/>
      </c>
    </row>
    <row r="3679" spans="1:12" x14ac:dyDescent="0.3">
      <c r="A3679">
        <f>IF(J3679="0",0,IF(COUNTIF($J$2:J3679,J3679)=1,1,0))</f>
        <v>0</v>
      </c>
      <c r="B3679" s="12" t="e">
        <f>MID(MAIN!A3684,K3679,2)</f>
        <v>#VALUE!</v>
      </c>
      <c r="C3679" s="12" t="e">
        <f t="shared" si="228"/>
        <v>#VALUE!</v>
      </c>
      <c r="D3679" s="12" t="e">
        <f>MID(MAIN!A3684,K3679+2,2)</f>
        <v>#VALUE!</v>
      </c>
      <c r="E3679" s="12" t="e">
        <f>MID(MAIN!A3684,K3679+4,2)</f>
        <v>#VALUE!</v>
      </c>
      <c r="F3679" s="2" t="e">
        <f t="shared" si="229"/>
        <v>#VALUE!</v>
      </c>
      <c r="G3679" s="13" t="e">
        <f t="shared" si="230"/>
        <v>#VALUE!</v>
      </c>
      <c r="J3679" t="str">
        <f>MAIN!A3684&amp;"B"</f>
        <v>B</v>
      </c>
      <c r="K3679" s="12" t="e">
        <f t="shared" si="231"/>
        <v>#VALUE!</v>
      </c>
      <c r="L3679" t="str">
        <f>MAIN!C3684</f>
        <v/>
      </c>
    </row>
    <row r="3680" spans="1:12" x14ac:dyDescent="0.3">
      <c r="A3680">
        <f>IF(J3680="0",0,IF(COUNTIF($J$2:J3680,J3680)=1,1,0))</f>
        <v>0</v>
      </c>
      <c r="B3680" s="12" t="e">
        <f>MID(MAIN!A3685,K3680,2)</f>
        <v>#VALUE!</v>
      </c>
      <c r="C3680" s="12" t="e">
        <f t="shared" si="228"/>
        <v>#VALUE!</v>
      </c>
      <c r="D3680" s="12" t="e">
        <f>MID(MAIN!A3685,K3680+2,2)</f>
        <v>#VALUE!</v>
      </c>
      <c r="E3680" s="12" t="e">
        <f>MID(MAIN!A3685,K3680+4,2)</f>
        <v>#VALUE!</v>
      </c>
      <c r="F3680" s="2" t="e">
        <f t="shared" si="229"/>
        <v>#VALUE!</v>
      </c>
      <c r="G3680" s="13" t="e">
        <f t="shared" si="230"/>
        <v>#VALUE!</v>
      </c>
      <c r="J3680" t="str">
        <f>MAIN!A3685&amp;"B"</f>
        <v>B</v>
      </c>
      <c r="K3680" s="12" t="e">
        <f t="shared" si="231"/>
        <v>#VALUE!</v>
      </c>
      <c r="L3680" t="str">
        <f>MAIN!C3685</f>
        <v/>
      </c>
    </row>
    <row r="3681" spans="1:12" x14ac:dyDescent="0.3">
      <c r="A3681">
        <f>IF(J3681="0",0,IF(COUNTIF($J$2:J3681,J3681)=1,1,0))</f>
        <v>0</v>
      </c>
      <c r="B3681" s="12" t="e">
        <f>MID(MAIN!A3686,K3681,2)</f>
        <v>#VALUE!</v>
      </c>
      <c r="C3681" s="12" t="e">
        <f t="shared" si="228"/>
        <v>#VALUE!</v>
      </c>
      <c r="D3681" s="12" t="e">
        <f>MID(MAIN!A3686,K3681+2,2)</f>
        <v>#VALUE!</v>
      </c>
      <c r="E3681" s="12" t="e">
        <f>MID(MAIN!A3686,K3681+4,2)</f>
        <v>#VALUE!</v>
      </c>
      <c r="F3681" s="2" t="e">
        <f t="shared" si="229"/>
        <v>#VALUE!</v>
      </c>
      <c r="G3681" s="13" t="e">
        <f t="shared" si="230"/>
        <v>#VALUE!</v>
      </c>
      <c r="J3681" t="str">
        <f>MAIN!A3686&amp;"B"</f>
        <v>B</v>
      </c>
      <c r="K3681" s="12" t="e">
        <f t="shared" si="231"/>
        <v>#VALUE!</v>
      </c>
      <c r="L3681" t="str">
        <f>MAIN!C3686</f>
        <v/>
      </c>
    </row>
    <row r="3682" spans="1:12" x14ac:dyDescent="0.3">
      <c r="A3682">
        <f>IF(J3682="0",0,IF(COUNTIF($J$2:J3682,J3682)=1,1,0))</f>
        <v>0</v>
      </c>
      <c r="B3682" s="12" t="e">
        <f>MID(MAIN!A3687,K3682,2)</f>
        <v>#VALUE!</v>
      </c>
      <c r="C3682" s="12" t="e">
        <f t="shared" si="228"/>
        <v>#VALUE!</v>
      </c>
      <c r="D3682" s="12" t="e">
        <f>MID(MAIN!A3687,K3682+2,2)</f>
        <v>#VALUE!</v>
      </c>
      <c r="E3682" s="12" t="e">
        <f>MID(MAIN!A3687,K3682+4,2)</f>
        <v>#VALUE!</v>
      </c>
      <c r="F3682" s="2" t="e">
        <f t="shared" si="229"/>
        <v>#VALUE!</v>
      </c>
      <c r="G3682" s="13" t="e">
        <f t="shared" si="230"/>
        <v>#VALUE!</v>
      </c>
      <c r="J3682" t="str">
        <f>MAIN!A3687&amp;"B"</f>
        <v>B</v>
      </c>
      <c r="K3682" s="12" t="e">
        <f t="shared" si="231"/>
        <v>#VALUE!</v>
      </c>
      <c r="L3682" t="str">
        <f>MAIN!C3687</f>
        <v/>
      </c>
    </row>
    <row r="3683" spans="1:12" x14ac:dyDescent="0.3">
      <c r="A3683">
        <f>IF(J3683="0",0,IF(COUNTIF($J$2:J3683,J3683)=1,1,0))</f>
        <v>0</v>
      </c>
      <c r="B3683" s="12" t="e">
        <f>MID(MAIN!A3688,K3683,2)</f>
        <v>#VALUE!</v>
      </c>
      <c r="C3683" s="12" t="e">
        <f t="shared" si="228"/>
        <v>#VALUE!</v>
      </c>
      <c r="D3683" s="12" t="e">
        <f>MID(MAIN!A3688,K3683+2,2)</f>
        <v>#VALUE!</v>
      </c>
      <c r="E3683" s="12" t="e">
        <f>MID(MAIN!A3688,K3683+4,2)</f>
        <v>#VALUE!</v>
      </c>
      <c r="F3683" s="2" t="e">
        <f t="shared" si="229"/>
        <v>#VALUE!</v>
      </c>
      <c r="G3683" s="13" t="e">
        <f t="shared" si="230"/>
        <v>#VALUE!</v>
      </c>
      <c r="J3683" t="str">
        <f>MAIN!A3688&amp;"B"</f>
        <v>B</v>
      </c>
      <c r="K3683" s="12" t="e">
        <f t="shared" si="231"/>
        <v>#VALUE!</v>
      </c>
      <c r="L3683" t="str">
        <f>MAIN!C3688</f>
        <v/>
      </c>
    </row>
    <row r="3684" spans="1:12" x14ac:dyDescent="0.3">
      <c r="A3684">
        <f>IF(J3684="0",0,IF(COUNTIF($J$2:J3684,J3684)=1,1,0))</f>
        <v>0</v>
      </c>
      <c r="B3684" s="12" t="e">
        <f>MID(MAIN!A3689,K3684,2)</f>
        <v>#VALUE!</v>
      </c>
      <c r="C3684" s="12" t="e">
        <f t="shared" si="228"/>
        <v>#VALUE!</v>
      </c>
      <c r="D3684" s="12" t="e">
        <f>MID(MAIN!A3689,K3684+2,2)</f>
        <v>#VALUE!</v>
      </c>
      <c r="E3684" s="12" t="e">
        <f>MID(MAIN!A3689,K3684+4,2)</f>
        <v>#VALUE!</v>
      </c>
      <c r="F3684" s="2" t="e">
        <f t="shared" si="229"/>
        <v>#VALUE!</v>
      </c>
      <c r="G3684" s="13" t="e">
        <f t="shared" si="230"/>
        <v>#VALUE!</v>
      </c>
      <c r="J3684" t="str">
        <f>MAIN!A3689&amp;"B"</f>
        <v>B</v>
      </c>
      <c r="K3684" s="12" t="e">
        <f t="shared" si="231"/>
        <v>#VALUE!</v>
      </c>
      <c r="L3684" t="str">
        <f>MAIN!C3689</f>
        <v/>
      </c>
    </row>
    <row r="3685" spans="1:12" x14ac:dyDescent="0.3">
      <c r="A3685">
        <f>IF(J3685="0",0,IF(COUNTIF($J$2:J3685,J3685)=1,1,0))</f>
        <v>0</v>
      </c>
      <c r="B3685" s="12" t="e">
        <f>MID(MAIN!A3690,K3685,2)</f>
        <v>#VALUE!</v>
      </c>
      <c r="C3685" s="12" t="e">
        <f t="shared" si="228"/>
        <v>#VALUE!</v>
      </c>
      <c r="D3685" s="12" t="e">
        <f>MID(MAIN!A3690,K3685+2,2)</f>
        <v>#VALUE!</v>
      </c>
      <c r="E3685" s="12" t="e">
        <f>MID(MAIN!A3690,K3685+4,2)</f>
        <v>#VALUE!</v>
      </c>
      <c r="F3685" s="2" t="e">
        <f t="shared" si="229"/>
        <v>#VALUE!</v>
      </c>
      <c r="G3685" s="13" t="e">
        <f t="shared" si="230"/>
        <v>#VALUE!</v>
      </c>
      <c r="J3685" t="str">
        <f>MAIN!A3690&amp;"B"</f>
        <v>B</v>
      </c>
      <c r="K3685" s="12" t="e">
        <f t="shared" si="231"/>
        <v>#VALUE!</v>
      </c>
      <c r="L3685" t="str">
        <f>MAIN!C3690</f>
        <v/>
      </c>
    </row>
    <row r="3686" spans="1:12" x14ac:dyDescent="0.3">
      <c r="A3686">
        <f>IF(J3686="0",0,IF(COUNTIF($J$2:J3686,J3686)=1,1,0))</f>
        <v>0</v>
      </c>
      <c r="B3686" s="12" t="e">
        <f>MID(MAIN!A3691,K3686,2)</f>
        <v>#VALUE!</v>
      </c>
      <c r="C3686" s="12" t="e">
        <f t="shared" si="228"/>
        <v>#VALUE!</v>
      </c>
      <c r="D3686" s="12" t="e">
        <f>MID(MAIN!A3691,K3686+2,2)</f>
        <v>#VALUE!</v>
      </c>
      <c r="E3686" s="12" t="e">
        <f>MID(MAIN!A3691,K3686+4,2)</f>
        <v>#VALUE!</v>
      </c>
      <c r="F3686" s="2" t="e">
        <f t="shared" si="229"/>
        <v>#VALUE!</v>
      </c>
      <c r="G3686" s="13" t="e">
        <f t="shared" si="230"/>
        <v>#VALUE!</v>
      </c>
      <c r="J3686" t="str">
        <f>MAIN!A3691&amp;"B"</f>
        <v>B</v>
      </c>
      <c r="K3686" s="12" t="e">
        <f t="shared" si="231"/>
        <v>#VALUE!</v>
      </c>
      <c r="L3686" t="str">
        <f>MAIN!C3691</f>
        <v/>
      </c>
    </row>
    <row r="3687" spans="1:12" x14ac:dyDescent="0.3">
      <c r="A3687">
        <f>IF(J3687="0",0,IF(COUNTIF($J$2:J3687,J3687)=1,1,0))</f>
        <v>0</v>
      </c>
      <c r="B3687" s="12" t="e">
        <f>MID(MAIN!A3692,K3687,2)</f>
        <v>#VALUE!</v>
      </c>
      <c r="C3687" s="12" t="e">
        <f t="shared" si="228"/>
        <v>#VALUE!</v>
      </c>
      <c r="D3687" s="12" t="e">
        <f>MID(MAIN!A3692,K3687+2,2)</f>
        <v>#VALUE!</v>
      </c>
      <c r="E3687" s="12" t="e">
        <f>MID(MAIN!A3692,K3687+4,2)</f>
        <v>#VALUE!</v>
      </c>
      <c r="F3687" s="2" t="e">
        <f t="shared" si="229"/>
        <v>#VALUE!</v>
      </c>
      <c r="G3687" s="13" t="e">
        <f t="shared" si="230"/>
        <v>#VALUE!</v>
      </c>
      <c r="J3687" t="str">
        <f>MAIN!A3692&amp;"B"</f>
        <v>B</v>
      </c>
      <c r="K3687" s="12" t="e">
        <f t="shared" si="231"/>
        <v>#VALUE!</v>
      </c>
      <c r="L3687" t="str">
        <f>MAIN!C3692</f>
        <v/>
      </c>
    </row>
    <row r="3688" spans="1:12" x14ac:dyDescent="0.3">
      <c r="A3688">
        <f>IF(J3688="0",0,IF(COUNTIF($J$2:J3688,J3688)=1,1,0))</f>
        <v>0</v>
      </c>
      <c r="B3688" s="12" t="e">
        <f>MID(MAIN!A3693,K3688,2)</f>
        <v>#VALUE!</v>
      </c>
      <c r="C3688" s="12" t="e">
        <f t="shared" si="228"/>
        <v>#VALUE!</v>
      </c>
      <c r="D3688" s="12" t="e">
        <f>MID(MAIN!A3693,K3688+2,2)</f>
        <v>#VALUE!</v>
      </c>
      <c r="E3688" s="12" t="e">
        <f>MID(MAIN!A3693,K3688+4,2)</f>
        <v>#VALUE!</v>
      </c>
      <c r="F3688" s="2" t="e">
        <f t="shared" si="229"/>
        <v>#VALUE!</v>
      </c>
      <c r="G3688" s="13" t="e">
        <f t="shared" si="230"/>
        <v>#VALUE!</v>
      </c>
      <c r="J3688" t="str">
        <f>MAIN!A3693&amp;"B"</f>
        <v>B</v>
      </c>
      <c r="K3688" s="12" t="e">
        <f t="shared" si="231"/>
        <v>#VALUE!</v>
      </c>
      <c r="L3688" t="str">
        <f>MAIN!C3693</f>
        <v/>
      </c>
    </row>
    <row r="3689" spans="1:12" x14ac:dyDescent="0.3">
      <c r="A3689">
        <f>IF(J3689="0",0,IF(COUNTIF($J$2:J3689,J3689)=1,1,0))</f>
        <v>0</v>
      </c>
      <c r="B3689" s="12" t="e">
        <f>MID(MAIN!A3694,K3689,2)</f>
        <v>#VALUE!</v>
      </c>
      <c r="C3689" s="12" t="e">
        <f t="shared" si="228"/>
        <v>#VALUE!</v>
      </c>
      <c r="D3689" s="12" t="e">
        <f>MID(MAIN!A3694,K3689+2,2)</f>
        <v>#VALUE!</v>
      </c>
      <c r="E3689" s="12" t="e">
        <f>MID(MAIN!A3694,K3689+4,2)</f>
        <v>#VALUE!</v>
      </c>
      <c r="F3689" s="2" t="e">
        <f t="shared" si="229"/>
        <v>#VALUE!</v>
      </c>
      <c r="G3689" s="13" t="e">
        <f t="shared" si="230"/>
        <v>#VALUE!</v>
      </c>
      <c r="J3689" t="str">
        <f>MAIN!A3694&amp;"B"</f>
        <v>B</v>
      </c>
      <c r="K3689" s="12" t="e">
        <f t="shared" si="231"/>
        <v>#VALUE!</v>
      </c>
      <c r="L3689" t="str">
        <f>MAIN!C3694</f>
        <v/>
      </c>
    </row>
    <row r="3690" spans="1:12" x14ac:dyDescent="0.3">
      <c r="A3690">
        <f>IF(J3690="0",0,IF(COUNTIF($J$2:J3690,J3690)=1,1,0))</f>
        <v>0</v>
      </c>
      <c r="B3690" s="12" t="e">
        <f>MID(MAIN!A3695,K3690,2)</f>
        <v>#VALUE!</v>
      </c>
      <c r="C3690" s="12" t="e">
        <f t="shared" si="228"/>
        <v>#VALUE!</v>
      </c>
      <c r="D3690" s="12" t="e">
        <f>MID(MAIN!A3695,K3690+2,2)</f>
        <v>#VALUE!</v>
      </c>
      <c r="E3690" s="12" t="e">
        <f>MID(MAIN!A3695,K3690+4,2)</f>
        <v>#VALUE!</v>
      </c>
      <c r="F3690" s="2" t="e">
        <f t="shared" si="229"/>
        <v>#VALUE!</v>
      </c>
      <c r="G3690" s="13" t="e">
        <f t="shared" si="230"/>
        <v>#VALUE!</v>
      </c>
      <c r="J3690" t="str">
        <f>MAIN!A3695&amp;"B"</f>
        <v>B</v>
      </c>
      <c r="K3690" s="12" t="e">
        <f t="shared" si="231"/>
        <v>#VALUE!</v>
      </c>
      <c r="L3690" t="str">
        <f>MAIN!C3695</f>
        <v/>
      </c>
    </row>
    <row r="3691" spans="1:12" x14ac:dyDescent="0.3">
      <c r="A3691">
        <f>IF(J3691="0",0,IF(COUNTIF($J$2:J3691,J3691)=1,1,0))</f>
        <v>0</v>
      </c>
      <c r="B3691" s="12" t="e">
        <f>MID(MAIN!A3696,K3691,2)</f>
        <v>#VALUE!</v>
      </c>
      <c r="C3691" s="12" t="e">
        <f t="shared" si="228"/>
        <v>#VALUE!</v>
      </c>
      <c r="D3691" s="12" t="e">
        <f>MID(MAIN!A3696,K3691+2,2)</f>
        <v>#VALUE!</v>
      </c>
      <c r="E3691" s="12" t="e">
        <f>MID(MAIN!A3696,K3691+4,2)</f>
        <v>#VALUE!</v>
      </c>
      <c r="F3691" s="2" t="e">
        <f t="shared" si="229"/>
        <v>#VALUE!</v>
      </c>
      <c r="G3691" s="13" t="e">
        <f t="shared" si="230"/>
        <v>#VALUE!</v>
      </c>
      <c r="J3691" t="str">
        <f>MAIN!A3696&amp;"B"</f>
        <v>B</v>
      </c>
      <c r="K3691" s="12" t="e">
        <f t="shared" si="231"/>
        <v>#VALUE!</v>
      </c>
      <c r="L3691" t="str">
        <f>MAIN!C3696</f>
        <v/>
      </c>
    </row>
    <row r="3692" spans="1:12" x14ac:dyDescent="0.3">
      <c r="A3692">
        <f>IF(J3692="0",0,IF(COUNTIF($J$2:J3692,J3692)=1,1,0))</f>
        <v>0</v>
      </c>
      <c r="B3692" s="12" t="e">
        <f>MID(MAIN!A3697,K3692,2)</f>
        <v>#VALUE!</v>
      </c>
      <c r="C3692" s="12" t="e">
        <f t="shared" si="228"/>
        <v>#VALUE!</v>
      </c>
      <c r="D3692" s="12" t="e">
        <f>MID(MAIN!A3697,K3692+2,2)</f>
        <v>#VALUE!</v>
      </c>
      <c r="E3692" s="12" t="e">
        <f>MID(MAIN!A3697,K3692+4,2)</f>
        <v>#VALUE!</v>
      </c>
      <c r="F3692" s="2" t="e">
        <f t="shared" si="229"/>
        <v>#VALUE!</v>
      </c>
      <c r="G3692" s="13" t="e">
        <f t="shared" si="230"/>
        <v>#VALUE!</v>
      </c>
      <c r="J3692" t="str">
        <f>MAIN!A3697&amp;"B"</f>
        <v>B</v>
      </c>
      <c r="K3692" s="12" t="e">
        <f t="shared" si="231"/>
        <v>#VALUE!</v>
      </c>
      <c r="L3692" t="str">
        <f>MAIN!C3697</f>
        <v/>
      </c>
    </row>
    <row r="3693" spans="1:12" x14ac:dyDescent="0.3">
      <c r="A3693">
        <f>IF(J3693="0",0,IF(COUNTIF($J$2:J3693,J3693)=1,1,0))</f>
        <v>0</v>
      </c>
      <c r="B3693" s="12" t="e">
        <f>MID(MAIN!A3698,K3693,2)</f>
        <v>#VALUE!</v>
      </c>
      <c r="C3693" s="12" t="e">
        <f t="shared" si="228"/>
        <v>#VALUE!</v>
      </c>
      <c r="D3693" s="12" t="e">
        <f>MID(MAIN!A3698,K3693+2,2)</f>
        <v>#VALUE!</v>
      </c>
      <c r="E3693" s="12" t="e">
        <f>MID(MAIN!A3698,K3693+4,2)</f>
        <v>#VALUE!</v>
      </c>
      <c r="F3693" s="2" t="e">
        <f t="shared" si="229"/>
        <v>#VALUE!</v>
      </c>
      <c r="G3693" s="13" t="e">
        <f t="shared" si="230"/>
        <v>#VALUE!</v>
      </c>
      <c r="J3693" t="str">
        <f>MAIN!A3698&amp;"B"</f>
        <v>B</v>
      </c>
      <c r="K3693" s="12" t="e">
        <f t="shared" si="231"/>
        <v>#VALUE!</v>
      </c>
      <c r="L3693" t="str">
        <f>MAIN!C3698</f>
        <v/>
      </c>
    </row>
    <row r="3694" spans="1:12" x14ac:dyDescent="0.3">
      <c r="A3694">
        <f>IF(J3694="0",0,IF(COUNTIF($J$2:J3694,J3694)=1,1,0))</f>
        <v>0</v>
      </c>
      <c r="B3694" s="12" t="e">
        <f>MID(MAIN!A3699,K3694,2)</f>
        <v>#VALUE!</v>
      </c>
      <c r="C3694" s="12" t="e">
        <f t="shared" si="228"/>
        <v>#VALUE!</v>
      </c>
      <c r="D3694" s="12" t="e">
        <f>MID(MAIN!A3699,K3694+2,2)</f>
        <v>#VALUE!</v>
      </c>
      <c r="E3694" s="12" t="e">
        <f>MID(MAIN!A3699,K3694+4,2)</f>
        <v>#VALUE!</v>
      </c>
      <c r="F3694" s="2" t="e">
        <f t="shared" si="229"/>
        <v>#VALUE!</v>
      </c>
      <c r="G3694" s="13" t="e">
        <f t="shared" si="230"/>
        <v>#VALUE!</v>
      </c>
      <c r="J3694" t="str">
        <f>MAIN!A3699&amp;"B"</f>
        <v>B</v>
      </c>
      <c r="K3694" s="12" t="e">
        <f t="shared" si="231"/>
        <v>#VALUE!</v>
      </c>
      <c r="L3694" t="str">
        <f>MAIN!C3699</f>
        <v/>
      </c>
    </row>
    <row r="3695" spans="1:12" x14ac:dyDescent="0.3">
      <c r="A3695">
        <f>IF(J3695="0",0,IF(COUNTIF($J$2:J3695,J3695)=1,1,0))</f>
        <v>0</v>
      </c>
      <c r="B3695" s="12" t="e">
        <f>MID(MAIN!A3700,K3695,2)</f>
        <v>#VALUE!</v>
      </c>
      <c r="C3695" s="12" t="e">
        <f t="shared" si="228"/>
        <v>#VALUE!</v>
      </c>
      <c r="D3695" s="12" t="e">
        <f>MID(MAIN!A3700,K3695+2,2)</f>
        <v>#VALUE!</v>
      </c>
      <c r="E3695" s="12" t="e">
        <f>MID(MAIN!A3700,K3695+4,2)</f>
        <v>#VALUE!</v>
      </c>
      <c r="F3695" s="2" t="e">
        <f t="shared" si="229"/>
        <v>#VALUE!</v>
      </c>
      <c r="G3695" s="13" t="e">
        <f t="shared" si="230"/>
        <v>#VALUE!</v>
      </c>
      <c r="J3695" t="str">
        <f>MAIN!A3700&amp;"B"</f>
        <v>B</v>
      </c>
      <c r="K3695" s="12" t="e">
        <f t="shared" si="231"/>
        <v>#VALUE!</v>
      </c>
      <c r="L3695" t="str">
        <f>MAIN!C3700</f>
        <v/>
      </c>
    </row>
    <row r="3696" spans="1:12" x14ac:dyDescent="0.3">
      <c r="A3696">
        <f>IF(J3696="0",0,IF(COUNTIF($J$2:J3696,J3696)=1,1,0))</f>
        <v>0</v>
      </c>
      <c r="B3696" s="12" t="e">
        <f>MID(MAIN!A3701,K3696,2)</f>
        <v>#VALUE!</v>
      </c>
      <c r="C3696" s="12" t="e">
        <f t="shared" si="228"/>
        <v>#VALUE!</v>
      </c>
      <c r="D3696" s="12" t="e">
        <f>MID(MAIN!A3701,K3696+2,2)</f>
        <v>#VALUE!</v>
      </c>
      <c r="E3696" s="12" t="e">
        <f>MID(MAIN!A3701,K3696+4,2)</f>
        <v>#VALUE!</v>
      </c>
      <c r="F3696" s="2" t="e">
        <f t="shared" si="229"/>
        <v>#VALUE!</v>
      </c>
      <c r="G3696" s="13" t="e">
        <f t="shared" si="230"/>
        <v>#VALUE!</v>
      </c>
      <c r="J3696" t="str">
        <f>MAIN!A3701&amp;"B"</f>
        <v>B</v>
      </c>
      <c r="K3696" s="12" t="e">
        <f t="shared" si="231"/>
        <v>#VALUE!</v>
      </c>
      <c r="L3696" t="str">
        <f>MAIN!C3701</f>
        <v/>
      </c>
    </row>
    <row r="3697" spans="1:12" x14ac:dyDescent="0.3">
      <c r="A3697">
        <f>IF(J3697="0",0,IF(COUNTIF($J$2:J3697,J3697)=1,1,0))</f>
        <v>0</v>
      </c>
      <c r="B3697" s="12" t="e">
        <f>MID(MAIN!A3702,K3697,2)</f>
        <v>#VALUE!</v>
      </c>
      <c r="C3697" s="12" t="e">
        <f t="shared" si="228"/>
        <v>#VALUE!</v>
      </c>
      <c r="D3697" s="12" t="e">
        <f>MID(MAIN!A3702,K3697+2,2)</f>
        <v>#VALUE!</v>
      </c>
      <c r="E3697" s="12" t="e">
        <f>MID(MAIN!A3702,K3697+4,2)</f>
        <v>#VALUE!</v>
      </c>
      <c r="F3697" s="2" t="e">
        <f t="shared" si="229"/>
        <v>#VALUE!</v>
      </c>
      <c r="G3697" s="13" t="e">
        <f t="shared" si="230"/>
        <v>#VALUE!</v>
      </c>
      <c r="J3697" t="str">
        <f>MAIN!A3702&amp;"B"</f>
        <v>B</v>
      </c>
      <c r="K3697" s="12" t="e">
        <f t="shared" si="231"/>
        <v>#VALUE!</v>
      </c>
      <c r="L3697" t="str">
        <f>MAIN!C3702</f>
        <v/>
      </c>
    </row>
    <row r="3698" spans="1:12" x14ac:dyDescent="0.3">
      <c r="A3698">
        <f>IF(J3698="0",0,IF(COUNTIF($J$2:J3698,J3698)=1,1,0))</f>
        <v>0</v>
      </c>
      <c r="B3698" s="12" t="e">
        <f>MID(MAIN!A3703,K3698,2)</f>
        <v>#VALUE!</v>
      </c>
      <c r="C3698" s="12" t="e">
        <f t="shared" si="228"/>
        <v>#VALUE!</v>
      </c>
      <c r="D3698" s="12" t="e">
        <f>MID(MAIN!A3703,K3698+2,2)</f>
        <v>#VALUE!</v>
      </c>
      <c r="E3698" s="12" t="e">
        <f>MID(MAIN!A3703,K3698+4,2)</f>
        <v>#VALUE!</v>
      </c>
      <c r="F3698" s="2" t="e">
        <f t="shared" si="229"/>
        <v>#VALUE!</v>
      </c>
      <c r="G3698" s="13" t="e">
        <f t="shared" si="230"/>
        <v>#VALUE!</v>
      </c>
      <c r="J3698" t="str">
        <f>MAIN!A3703&amp;"B"</f>
        <v>B</v>
      </c>
      <c r="K3698" s="12" t="e">
        <f t="shared" si="231"/>
        <v>#VALUE!</v>
      </c>
      <c r="L3698" t="str">
        <f>MAIN!C3703</f>
        <v/>
      </c>
    </row>
    <row r="3699" spans="1:12" x14ac:dyDescent="0.3">
      <c r="A3699">
        <f>IF(J3699="0",0,IF(COUNTIF($J$2:J3699,J3699)=1,1,0))</f>
        <v>0</v>
      </c>
      <c r="B3699" s="12" t="e">
        <f>MID(MAIN!A3704,K3699,2)</f>
        <v>#VALUE!</v>
      </c>
      <c r="C3699" s="12" t="e">
        <f t="shared" si="228"/>
        <v>#VALUE!</v>
      </c>
      <c r="D3699" s="12" t="e">
        <f>MID(MAIN!A3704,K3699+2,2)</f>
        <v>#VALUE!</v>
      </c>
      <c r="E3699" s="12" t="e">
        <f>MID(MAIN!A3704,K3699+4,2)</f>
        <v>#VALUE!</v>
      </c>
      <c r="F3699" s="2" t="e">
        <f t="shared" si="229"/>
        <v>#VALUE!</v>
      </c>
      <c r="G3699" s="13" t="e">
        <f t="shared" si="230"/>
        <v>#VALUE!</v>
      </c>
      <c r="J3699" t="str">
        <f>MAIN!A3704&amp;"B"</f>
        <v>B</v>
      </c>
      <c r="K3699" s="12" t="e">
        <f t="shared" si="231"/>
        <v>#VALUE!</v>
      </c>
      <c r="L3699" t="str">
        <f>MAIN!C3704</f>
        <v/>
      </c>
    </row>
    <row r="3700" spans="1:12" x14ac:dyDescent="0.3">
      <c r="A3700">
        <f>IF(J3700="0",0,IF(COUNTIF($J$2:J3700,J3700)=1,1,0))</f>
        <v>0</v>
      </c>
      <c r="B3700" s="12" t="e">
        <f>MID(MAIN!A3705,K3700,2)</f>
        <v>#VALUE!</v>
      </c>
      <c r="C3700" s="12" t="e">
        <f t="shared" si="228"/>
        <v>#VALUE!</v>
      </c>
      <c r="D3700" s="12" t="e">
        <f>MID(MAIN!A3705,K3700+2,2)</f>
        <v>#VALUE!</v>
      </c>
      <c r="E3700" s="12" t="e">
        <f>MID(MAIN!A3705,K3700+4,2)</f>
        <v>#VALUE!</v>
      </c>
      <c r="F3700" s="2" t="e">
        <f t="shared" si="229"/>
        <v>#VALUE!</v>
      </c>
      <c r="G3700" s="13" t="e">
        <f t="shared" si="230"/>
        <v>#VALUE!</v>
      </c>
      <c r="J3700" t="str">
        <f>MAIN!A3705&amp;"B"</f>
        <v>B</v>
      </c>
      <c r="K3700" s="12" t="e">
        <f t="shared" si="231"/>
        <v>#VALUE!</v>
      </c>
      <c r="L3700" t="str">
        <f>MAIN!C3705</f>
        <v/>
      </c>
    </row>
    <row r="3701" spans="1:12" x14ac:dyDescent="0.3">
      <c r="A3701">
        <f>IF(J3701="0",0,IF(COUNTIF($J$2:J3701,J3701)=1,1,0))</f>
        <v>0</v>
      </c>
      <c r="B3701" s="12" t="e">
        <f>MID(MAIN!A3706,K3701,2)</f>
        <v>#VALUE!</v>
      </c>
      <c r="C3701" s="12" t="e">
        <f t="shared" si="228"/>
        <v>#VALUE!</v>
      </c>
      <c r="D3701" s="12" t="e">
        <f>MID(MAIN!A3706,K3701+2,2)</f>
        <v>#VALUE!</v>
      </c>
      <c r="E3701" s="12" t="e">
        <f>MID(MAIN!A3706,K3701+4,2)</f>
        <v>#VALUE!</v>
      </c>
      <c r="F3701" s="2" t="e">
        <f t="shared" si="229"/>
        <v>#VALUE!</v>
      </c>
      <c r="G3701" s="13" t="e">
        <f t="shared" si="230"/>
        <v>#VALUE!</v>
      </c>
      <c r="J3701" t="str">
        <f>MAIN!A3706&amp;"B"</f>
        <v>B</v>
      </c>
      <c r="K3701" s="12" t="e">
        <f t="shared" si="231"/>
        <v>#VALUE!</v>
      </c>
      <c r="L3701" t="str">
        <f>MAIN!C3706</f>
        <v/>
      </c>
    </row>
    <row r="3702" spans="1:12" x14ac:dyDescent="0.3">
      <c r="A3702">
        <f>IF(J3702="0",0,IF(COUNTIF($J$2:J3702,J3702)=1,1,0))</f>
        <v>0</v>
      </c>
      <c r="B3702" s="12" t="e">
        <f>MID(MAIN!A3707,K3702,2)</f>
        <v>#VALUE!</v>
      </c>
      <c r="C3702" s="12" t="e">
        <f t="shared" si="228"/>
        <v>#VALUE!</v>
      </c>
      <c r="D3702" s="12" t="e">
        <f>MID(MAIN!A3707,K3702+2,2)</f>
        <v>#VALUE!</v>
      </c>
      <c r="E3702" s="12" t="e">
        <f>MID(MAIN!A3707,K3702+4,2)</f>
        <v>#VALUE!</v>
      </c>
      <c r="F3702" s="2" t="e">
        <f t="shared" si="229"/>
        <v>#VALUE!</v>
      </c>
      <c r="G3702" s="13" t="e">
        <f t="shared" si="230"/>
        <v>#VALUE!</v>
      </c>
      <c r="J3702" t="str">
        <f>MAIN!A3707&amp;"B"</f>
        <v>B</v>
      </c>
      <c r="K3702" s="12" t="e">
        <f t="shared" si="231"/>
        <v>#VALUE!</v>
      </c>
      <c r="L3702" t="str">
        <f>MAIN!C3707</f>
        <v/>
      </c>
    </row>
    <row r="3703" spans="1:12" x14ac:dyDescent="0.3">
      <c r="A3703">
        <f>IF(J3703="0",0,IF(COUNTIF($J$2:J3703,J3703)=1,1,0))</f>
        <v>0</v>
      </c>
      <c r="B3703" s="12" t="e">
        <f>MID(MAIN!A3708,K3703,2)</f>
        <v>#VALUE!</v>
      </c>
      <c r="C3703" s="12" t="e">
        <f t="shared" si="228"/>
        <v>#VALUE!</v>
      </c>
      <c r="D3703" s="12" t="e">
        <f>MID(MAIN!A3708,K3703+2,2)</f>
        <v>#VALUE!</v>
      </c>
      <c r="E3703" s="12" t="e">
        <f>MID(MAIN!A3708,K3703+4,2)</f>
        <v>#VALUE!</v>
      </c>
      <c r="F3703" s="2" t="e">
        <f t="shared" si="229"/>
        <v>#VALUE!</v>
      </c>
      <c r="G3703" s="13" t="e">
        <f t="shared" si="230"/>
        <v>#VALUE!</v>
      </c>
      <c r="J3703" t="str">
        <f>MAIN!A3708&amp;"B"</f>
        <v>B</v>
      </c>
      <c r="K3703" s="12" t="e">
        <f t="shared" si="231"/>
        <v>#VALUE!</v>
      </c>
      <c r="L3703" t="str">
        <f>MAIN!C3708</f>
        <v/>
      </c>
    </row>
    <row r="3704" spans="1:12" x14ac:dyDescent="0.3">
      <c r="A3704">
        <f>IF(J3704="0",0,IF(COUNTIF($J$2:J3704,J3704)=1,1,0))</f>
        <v>0</v>
      </c>
      <c r="B3704" s="12" t="e">
        <f>MID(MAIN!A3709,K3704,2)</f>
        <v>#VALUE!</v>
      </c>
      <c r="C3704" s="12" t="e">
        <f t="shared" si="228"/>
        <v>#VALUE!</v>
      </c>
      <c r="D3704" s="12" t="e">
        <f>MID(MAIN!A3709,K3704+2,2)</f>
        <v>#VALUE!</v>
      </c>
      <c r="E3704" s="12" t="e">
        <f>MID(MAIN!A3709,K3704+4,2)</f>
        <v>#VALUE!</v>
      </c>
      <c r="F3704" s="2" t="e">
        <f t="shared" si="229"/>
        <v>#VALUE!</v>
      </c>
      <c r="G3704" s="13" t="e">
        <f t="shared" si="230"/>
        <v>#VALUE!</v>
      </c>
      <c r="J3704" t="str">
        <f>MAIN!A3709&amp;"B"</f>
        <v>B</v>
      </c>
      <c r="K3704" s="12" t="e">
        <f t="shared" si="231"/>
        <v>#VALUE!</v>
      </c>
      <c r="L3704" t="str">
        <f>MAIN!C3709</f>
        <v/>
      </c>
    </row>
    <row r="3705" spans="1:12" x14ac:dyDescent="0.3">
      <c r="A3705">
        <f>IF(J3705="0",0,IF(COUNTIF($J$2:J3705,J3705)=1,1,0))</f>
        <v>0</v>
      </c>
      <c r="B3705" s="12" t="e">
        <f>MID(MAIN!A3710,K3705,2)</f>
        <v>#VALUE!</v>
      </c>
      <c r="C3705" s="12" t="e">
        <f t="shared" si="228"/>
        <v>#VALUE!</v>
      </c>
      <c r="D3705" s="12" t="e">
        <f>MID(MAIN!A3710,K3705+2,2)</f>
        <v>#VALUE!</v>
      </c>
      <c r="E3705" s="12" t="e">
        <f>MID(MAIN!A3710,K3705+4,2)</f>
        <v>#VALUE!</v>
      </c>
      <c r="F3705" s="2" t="e">
        <f t="shared" si="229"/>
        <v>#VALUE!</v>
      </c>
      <c r="G3705" s="13" t="e">
        <f t="shared" si="230"/>
        <v>#VALUE!</v>
      </c>
      <c r="J3705" t="str">
        <f>MAIN!A3710&amp;"B"</f>
        <v>B</v>
      </c>
      <c r="K3705" s="12" t="e">
        <f t="shared" si="231"/>
        <v>#VALUE!</v>
      </c>
      <c r="L3705" t="str">
        <f>MAIN!C3710</f>
        <v/>
      </c>
    </row>
    <row r="3706" spans="1:12" x14ac:dyDescent="0.3">
      <c r="A3706">
        <f>IF(J3706="0",0,IF(COUNTIF($J$2:J3706,J3706)=1,1,0))</f>
        <v>0</v>
      </c>
      <c r="B3706" s="12" t="e">
        <f>MID(MAIN!A3711,K3706,2)</f>
        <v>#VALUE!</v>
      </c>
      <c r="C3706" s="12" t="e">
        <f t="shared" si="228"/>
        <v>#VALUE!</v>
      </c>
      <c r="D3706" s="12" t="e">
        <f>MID(MAIN!A3711,K3706+2,2)</f>
        <v>#VALUE!</v>
      </c>
      <c r="E3706" s="12" t="e">
        <f>MID(MAIN!A3711,K3706+4,2)</f>
        <v>#VALUE!</v>
      </c>
      <c r="F3706" s="2" t="e">
        <f t="shared" si="229"/>
        <v>#VALUE!</v>
      </c>
      <c r="G3706" s="13" t="e">
        <f t="shared" si="230"/>
        <v>#VALUE!</v>
      </c>
      <c r="J3706" t="str">
        <f>MAIN!A3711&amp;"B"</f>
        <v>B</v>
      </c>
      <c r="K3706" s="12" t="e">
        <f t="shared" si="231"/>
        <v>#VALUE!</v>
      </c>
      <c r="L3706" t="str">
        <f>MAIN!C3711</f>
        <v/>
      </c>
    </row>
    <row r="3707" spans="1:12" x14ac:dyDescent="0.3">
      <c r="A3707">
        <f>IF(J3707="0",0,IF(COUNTIF($J$2:J3707,J3707)=1,1,0))</f>
        <v>0</v>
      </c>
      <c r="B3707" s="12" t="e">
        <f>MID(MAIN!A3712,K3707,2)</f>
        <v>#VALUE!</v>
      </c>
      <c r="C3707" s="12" t="e">
        <f t="shared" si="228"/>
        <v>#VALUE!</v>
      </c>
      <c r="D3707" s="12" t="e">
        <f>MID(MAIN!A3712,K3707+2,2)</f>
        <v>#VALUE!</v>
      </c>
      <c r="E3707" s="12" t="e">
        <f>MID(MAIN!A3712,K3707+4,2)</f>
        <v>#VALUE!</v>
      </c>
      <c r="F3707" s="2" t="e">
        <f t="shared" si="229"/>
        <v>#VALUE!</v>
      </c>
      <c r="G3707" s="13" t="e">
        <f t="shared" si="230"/>
        <v>#VALUE!</v>
      </c>
      <c r="J3707" t="str">
        <f>MAIN!A3712&amp;"B"</f>
        <v>B</v>
      </c>
      <c r="K3707" s="12" t="e">
        <f t="shared" si="231"/>
        <v>#VALUE!</v>
      </c>
      <c r="L3707" t="str">
        <f>MAIN!C3712</f>
        <v/>
      </c>
    </row>
    <row r="3708" spans="1:12" x14ac:dyDescent="0.3">
      <c r="A3708">
        <f>IF(J3708="0",0,IF(COUNTIF($J$2:J3708,J3708)=1,1,0))</f>
        <v>0</v>
      </c>
      <c r="B3708" s="12" t="e">
        <f>MID(MAIN!A3713,K3708,2)</f>
        <v>#VALUE!</v>
      </c>
      <c r="C3708" s="12" t="e">
        <f t="shared" si="228"/>
        <v>#VALUE!</v>
      </c>
      <c r="D3708" s="12" t="e">
        <f>MID(MAIN!A3713,K3708+2,2)</f>
        <v>#VALUE!</v>
      </c>
      <c r="E3708" s="12" t="e">
        <f>MID(MAIN!A3713,K3708+4,2)</f>
        <v>#VALUE!</v>
      </c>
      <c r="F3708" s="2" t="e">
        <f t="shared" si="229"/>
        <v>#VALUE!</v>
      </c>
      <c r="G3708" s="13" t="e">
        <f t="shared" si="230"/>
        <v>#VALUE!</v>
      </c>
      <c r="J3708" t="str">
        <f>MAIN!A3713&amp;"B"</f>
        <v>B</v>
      </c>
      <c r="K3708" s="12" t="e">
        <f t="shared" si="231"/>
        <v>#VALUE!</v>
      </c>
      <c r="L3708" t="str">
        <f>MAIN!C3713</f>
        <v/>
      </c>
    </row>
    <row r="3709" spans="1:12" x14ac:dyDescent="0.3">
      <c r="A3709">
        <f>IF(J3709="0",0,IF(COUNTIF($J$2:J3709,J3709)=1,1,0))</f>
        <v>0</v>
      </c>
      <c r="B3709" s="12" t="e">
        <f>MID(MAIN!A3714,K3709,2)</f>
        <v>#VALUE!</v>
      </c>
      <c r="C3709" s="12" t="e">
        <f t="shared" si="228"/>
        <v>#VALUE!</v>
      </c>
      <c r="D3709" s="12" t="e">
        <f>MID(MAIN!A3714,K3709+2,2)</f>
        <v>#VALUE!</v>
      </c>
      <c r="E3709" s="12" t="e">
        <f>MID(MAIN!A3714,K3709+4,2)</f>
        <v>#VALUE!</v>
      </c>
      <c r="F3709" s="2" t="e">
        <f t="shared" si="229"/>
        <v>#VALUE!</v>
      </c>
      <c r="G3709" s="13" t="e">
        <f t="shared" si="230"/>
        <v>#VALUE!</v>
      </c>
      <c r="J3709" t="str">
        <f>MAIN!A3714&amp;"B"</f>
        <v>B</v>
      </c>
      <c r="K3709" s="12" t="e">
        <f t="shared" si="231"/>
        <v>#VALUE!</v>
      </c>
      <c r="L3709" t="str">
        <f>MAIN!C3714</f>
        <v/>
      </c>
    </row>
    <row r="3710" spans="1:12" x14ac:dyDescent="0.3">
      <c r="A3710">
        <f>IF(J3710="0",0,IF(COUNTIF($J$2:J3710,J3710)=1,1,0))</f>
        <v>0</v>
      </c>
      <c r="B3710" s="12" t="e">
        <f>MID(MAIN!A3715,K3710,2)</f>
        <v>#VALUE!</v>
      </c>
      <c r="C3710" s="12" t="e">
        <f t="shared" si="228"/>
        <v>#VALUE!</v>
      </c>
      <c r="D3710" s="12" t="e">
        <f>MID(MAIN!A3715,K3710+2,2)</f>
        <v>#VALUE!</v>
      </c>
      <c r="E3710" s="12" t="e">
        <f>MID(MAIN!A3715,K3710+4,2)</f>
        <v>#VALUE!</v>
      </c>
      <c r="F3710" s="2" t="e">
        <f t="shared" si="229"/>
        <v>#VALUE!</v>
      </c>
      <c r="G3710" s="13" t="e">
        <f t="shared" si="230"/>
        <v>#VALUE!</v>
      </c>
      <c r="J3710" t="str">
        <f>MAIN!A3715&amp;"B"</f>
        <v>B</v>
      </c>
      <c r="K3710" s="12" t="e">
        <f t="shared" si="231"/>
        <v>#VALUE!</v>
      </c>
      <c r="L3710" t="str">
        <f>MAIN!C3715</f>
        <v/>
      </c>
    </row>
    <row r="3711" spans="1:12" x14ac:dyDescent="0.3">
      <c r="A3711">
        <f>IF(J3711="0",0,IF(COUNTIF($J$2:J3711,J3711)=1,1,0))</f>
        <v>0</v>
      </c>
      <c r="B3711" s="12" t="e">
        <f>MID(MAIN!A3716,K3711,2)</f>
        <v>#VALUE!</v>
      </c>
      <c r="C3711" s="12" t="e">
        <f t="shared" si="228"/>
        <v>#VALUE!</v>
      </c>
      <c r="D3711" s="12" t="e">
        <f>MID(MAIN!A3716,K3711+2,2)</f>
        <v>#VALUE!</v>
      </c>
      <c r="E3711" s="12" t="e">
        <f>MID(MAIN!A3716,K3711+4,2)</f>
        <v>#VALUE!</v>
      </c>
      <c r="F3711" s="2" t="e">
        <f t="shared" si="229"/>
        <v>#VALUE!</v>
      </c>
      <c r="G3711" s="13" t="e">
        <f t="shared" si="230"/>
        <v>#VALUE!</v>
      </c>
      <c r="J3711" t="str">
        <f>MAIN!A3716&amp;"B"</f>
        <v>B</v>
      </c>
      <c r="K3711" s="12" t="e">
        <f t="shared" si="231"/>
        <v>#VALUE!</v>
      </c>
      <c r="L3711" t="str">
        <f>MAIN!C3716</f>
        <v/>
      </c>
    </row>
    <row r="3712" spans="1:12" x14ac:dyDescent="0.3">
      <c r="A3712">
        <f>IF(J3712="0",0,IF(COUNTIF($J$2:J3712,J3712)=1,1,0))</f>
        <v>0</v>
      </c>
      <c r="B3712" s="12" t="e">
        <f>MID(MAIN!A3717,K3712,2)</f>
        <v>#VALUE!</v>
      </c>
      <c r="C3712" s="12" t="e">
        <f t="shared" si="228"/>
        <v>#VALUE!</v>
      </c>
      <c r="D3712" s="12" t="e">
        <f>MID(MAIN!A3717,K3712+2,2)</f>
        <v>#VALUE!</v>
      </c>
      <c r="E3712" s="12" t="e">
        <f>MID(MAIN!A3717,K3712+4,2)</f>
        <v>#VALUE!</v>
      </c>
      <c r="F3712" s="2" t="e">
        <f t="shared" si="229"/>
        <v>#VALUE!</v>
      </c>
      <c r="G3712" s="13" t="e">
        <f t="shared" si="230"/>
        <v>#VALUE!</v>
      </c>
      <c r="J3712" t="str">
        <f>MAIN!A3717&amp;"B"</f>
        <v>B</v>
      </c>
      <c r="K3712" s="12" t="e">
        <f t="shared" si="231"/>
        <v>#VALUE!</v>
      </c>
      <c r="L3712" t="str">
        <f>MAIN!C3717</f>
        <v/>
      </c>
    </row>
    <row r="3713" spans="1:12" x14ac:dyDescent="0.3">
      <c r="A3713">
        <f>IF(J3713="0",0,IF(COUNTIF($J$2:J3713,J3713)=1,1,0))</f>
        <v>0</v>
      </c>
      <c r="B3713" s="12" t="e">
        <f>MID(MAIN!A3718,K3713,2)</f>
        <v>#VALUE!</v>
      </c>
      <c r="C3713" s="12" t="e">
        <f t="shared" si="228"/>
        <v>#VALUE!</v>
      </c>
      <c r="D3713" s="12" t="e">
        <f>MID(MAIN!A3718,K3713+2,2)</f>
        <v>#VALUE!</v>
      </c>
      <c r="E3713" s="12" t="e">
        <f>MID(MAIN!A3718,K3713+4,2)</f>
        <v>#VALUE!</v>
      </c>
      <c r="F3713" s="2" t="e">
        <f t="shared" si="229"/>
        <v>#VALUE!</v>
      </c>
      <c r="G3713" s="13" t="e">
        <f t="shared" si="230"/>
        <v>#VALUE!</v>
      </c>
      <c r="J3713" t="str">
        <f>MAIN!A3718&amp;"B"</f>
        <v>B</v>
      </c>
      <c r="K3713" s="12" t="e">
        <f t="shared" si="231"/>
        <v>#VALUE!</v>
      </c>
      <c r="L3713" t="str">
        <f>MAIN!C3718</f>
        <v/>
      </c>
    </row>
    <row r="3714" spans="1:12" x14ac:dyDescent="0.3">
      <c r="A3714">
        <f>IF(J3714="0",0,IF(COUNTIF($J$2:J3714,J3714)=1,1,0))</f>
        <v>0</v>
      </c>
      <c r="B3714" s="12" t="e">
        <f>MID(MAIN!A3719,K3714,2)</f>
        <v>#VALUE!</v>
      </c>
      <c r="C3714" s="12" t="e">
        <f t="shared" si="228"/>
        <v>#VALUE!</v>
      </c>
      <c r="D3714" s="12" t="e">
        <f>MID(MAIN!A3719,K3714+2,2)</f>
        <v>#VALUE!</v>
      </c>
      <c r="E3714" s="12" t="e">
        <f>MID(MAIN!A3719,K3714+4,2)</f>
        <v>#VALUE!</v>
      </c>
      <c r="F3714" s="2" t="e">
        <f t="shared" si="229"/>
        <v>#VALUE!</v>
      </c>
      <c r="G3714" s="13" t="e">
        <f t="shared" si="230"/>
        <v>#VALUE!</v>
      </c>
      <c r="J3714" t="str">
        <f>MAIN!A3719&amp;"B"</f>
        <v>B</v>
      </c>
      <c r="K3714" s="12" t="e">
        <f t="shared" si="231"/>
        <v>#VALUE!</v>
      </c>
      <c r="L3714" t="str">
        <f>MAIN!C3719</f>
        <v/>
      </c>
    </row>
    <row r="3715" spans="1:12" x14ac:dyDescent="0.3">
      <c r="A3715">
        <f>IF(J3715="0",0,IF(COUNTIF($J$2:J3715,J3715)=1,1,0))</f>
        <v>0</v>
      </c>
      <c r="B3715" s="12" t="e">
        <f>MID(MAIN!A3720,K3715,2)</f>
        <v>#VALUE!</v>
      </c>
      <c r="C3715" s="12" t="e">
        <f t="shared" ref="C3715:C3778" si="232">"20"&amp;B3715</f>
        <v>#VALUE!</v>
      </c>
      <c r="D3715" s="12" t="e">
        <f>MID(MAIN!A3720,K3715+2,2)</f>
        <v>#VALUE!</v>
      </c>
      <c r="E3715" s="12" t="e">
        <f>MID(MAIN!A3720,K3715+4,2)</f>
        <v>#VALUE!</v>
      </c>
      <c r="F3715" s="2" t="e">
        <f t="shared" ref="F3715:F3778" si="233">C3715&amp;"/"&amp;D3715&amp;"/"&amp;E3715</f>
        <v>#VALUE!</v>
      </c>
      <c r="G3715" s="13" t="e">
        <f t="shared" ref="G3715:G3778" si="234">DATEVALUE(F3715)</f>
        <v>#VALUE!</v>
      </c>
      <c r="J3715" t="str">
        <f>MAIN!A3720&amp;"B"</f>
        <v>B</v>
      </c>
      <c r="K3715" s="12" t="e">
        <f t="shared" ref="K3715:K3778" si="235">FIND("172",J3715,30)+2</f>
        <v>#VALUE!</v>
      </c>
      <c r="L3715" t="str">
        <f>MAIN!C3720</f>
        <v/>
      </c>
    </row>
    <row r="3716" spans="1:12" x14ac:dyDescent="0.3">
      <c r="A3716">
        <f>IF(J3716="0",0,IF(COUNTIF($J$2:J3716,J3716)=1,1,0))</f>
        <v>0</v>
      </c>
      <c r="B3716" s="12" t="e">
        <f>MID(MAIN!A3721,K3716,2)</f>
        <v>#VALUE!</v>
      </c>
      <c r="C3716" s="12" t="e">
        <f t="shared" si="232"/>
        <v>#VALUE!</v>
      </c>
      <c r="D3716" s="12" t="e">
        <f>MID(MAIN!A3721,K3716+2,2)</f>
        <v>#VALUE!</v>
      </c>
      <c r="E3716" s="12" t="e">
        <f>MID(MAIN!A3721,K3716+4,2)</f>
        <v>#VALUE!</v>
      </c>
      <c r="F3716" s="2" t="e">
        <f t="shared" si="233"/>
        <v>#VALUE!</v>
      </c>
      <c r="G3716" s="13" t="e">
        <f t="shared" si="234"/>
        <v>#VALUE!</v>
      </c>
      <c r="J3716" t="str">
        <f>MAIN!A3721&amp;"B"</f>
        <v>B</v>
      </c>
      <c r="K3716" s="12" t="e">
        <f t="shared" si="235"/>
        <v>#VALUE!</v>
      </c>
      <c r="L3716" t="str">
        <f>MAIN!C3721</f>
        <v/>
      </c>
    </row>
    <row r="3717" spans="1:12" x14ac:dyDescent="0.3">
      <c r="A3717">
        <f>IF(J3717="0",0,IF(COUNTIF($J$2:J3717,J3717)=1,1,0))</f>
        <v>0</v>
      </c>
      <c r="B3717" s="12" t="e">
        <f>MID(MAIN!A3722,K3717,2)</f>
        <v>#VALUE!</v>
      </c>
      <c r="C3717" s="12" t="e">
        <f t="shared" si="232"/>
        <v>#VALUE!</v>
      </c>
      <c r="D3717" s="12" t="e">
        <f>MID(MAIN!A3722,K3717+2,2)</f>
        <v>#VALUE!</v>
      </c>
      <c r="E3717" s="12" t="e">
        <f>MID(MAIN!A3722,K3717+4,2)</f>
        <v>#VALUE!</v>
      </c>
      <c r="F3717" s="2" t="e">
        <f t="shared" si="233"/>
        <v>#VALUE!</v>
      </c>
      <c r="G3717" s="13" t="e">
        <f t="shared" si="234"/>
        <v>#VALUE!</v>
      </c>
      <c r="J3717" t="str">
        <f>MAIN!A3722&amp;"B"</f>
        <v>B</v>
      </c>
      <c r="K3717" s="12" t="e">
        <f t="shared" si="235"/>
        <v>#VALUE!</v>
      </c>
      <c r="L3717" t="str">
        <f>MAIN!C3722</f>
        <v/>
      </c>
    </row>
    <row r="3718" spans="1:12" x14ac:dyDescent="0.3">
      <c r="A3718">
        <f>IF(J3718="0",0,IF(COUNTIF($J$2:J3718,J3718)=1,1,0))</f>
        <v>0</v>
      </c>
      <c r="B3718" s="12" t="e">
        <f>MID(MAIN!A3723,K3718,2)</f>
        <v>#VALUE!</v>
      </c>
      <c r="C3718" s="12" t="e">
        <f t="shared" si="232"/>
        <v>#VALUE!</v>
      </c>
      <c r="D3718" s="12" t="e">
        <f>MID(MAIN!A3723,K3718+2,2)</f>
        <v>#VALUE!</v>
      </c>
      <c r="E3718" s="12" t="e">
        <f>MID(MAIN!A3723,K3718+4,2)</f>
        <v>#VALUE!</v>
      </c>
      <c r="F3718" s="2" t="e">
        <f t="shared" si="233"/>
        <v>#VALUE!</v>
      </c>
      <c r="G3718" s="13" t="e">
        <f t="shared" si="234"/>
        <v>#VALUE!</v>
      </c>
      <c r="J3718" t="str">
        <f>MAIN!A3723&amp;"B"</f>
        <v>B</v>
      </c>
      <c r="K3718" s="12" t="e">
        <f t="shared" si="235"/>
        <v>#VALUE!</v>
      </c>
      <c r="L3718" t="str">
        <f>MAIN!C3723</f>
        <v/>
      </c>
    </row>
    <row r="3719" spans="1:12" x14ac:dyDescent="0.3">
      <c r="A3719">
        <f>IF(J3719="0",0,IF(COUNTIF($J$2:J3719,J3719)=1,1,0))</f>
        <v>0</v>
      </c>
      <c r="B3719" s="12" t="e">
        <f>MID(MAIN!A3724,K3719,2)</f>
        <v>#VALUE!</v>
      </c>
      <c r="C3719" s="12" t="e">
        <f t="shared" si="232"/>
        <v>#VALUE!</v>
      </c>
      <c r="D3719" s="12" t="e">
        <f>MID(MAIN!A3724,K3719+2,2)</f>
        <v>#VALUE!</v>
      </c>
      <c r="E3719" s="12" t="e">
        <f>MID(MAIN!A3724,K3719+4,2)</f>
        <v>#VALUE!</v>
      </c>
      <c r="F3719" s="2" t="e">
        <f t="shared" si="233"/>
        <v>#VALUE!</v>
      </c>
      <c r="G3719" s="13" t="e">
        <f t="shared" si="234"/>
        <v>#VALUE!</v>
      </c>
      <c r="J3719" t="str">
        <f>MAIN!A3724&amp;"B"</f>
        <v>B</v>
      </c>
      <c r="K3719" s="12" t="e">
        <f t="shared" si="235"/>
        <v>#VALUE!</v>
      </c>
      <c r="L3719" t="str">
        <f>MAIN!C3724</f>
        <v/>
      </c>
    </row>
    <row r="3720" spans="1:12" x14ac:dyDescent="0.3">
      <c r="A3720">
        <f>IF(J3720="0",0,IF(COUNTIF($J$2:J3720,J3720)=1,1,0))</f>
        <v>0</v>
      </c>
      <c r="B3720" s="12" t="e">
        <f>MID(MAIN!A3725,K3720,2)</f>
        <v>#VALUE!</v>
      </c>
      <c r="C3720" s="12" t="e">
        <f t="shared" si="232"/>
        <v>#VALUE!</v>
      </c>
      <c r="D3720" s="12" t="e">
        <f>MID(MAIN!A3725,K3720+2,2)</f>
        <v>#VALUE!</v>
      </c>
      <c r="E3720" s="12" t="e">
        <f>MID(MAIN!A3725,K3720+4,2)</f>
        <v>#VALUE!</v>
      </c>
      <c r="F3720" s="2" t="e">
        <f t="shared" si="233"/>
        <v>#VALUE!</v>
      </c>
      <c r="G3720" s="13" t="e">
        <f t="shared" si="234"/>
        <v>#VALUE!</v>
      </c>
      <c r="J3720" t="str">
        <f>MAIN!A3725&amp;"B"</f>
        <v>B</v>
      </c>
      <c r="K3720" s="12" t="e">
        <f t="shared" si="235"/>
        <v>#VALUE!</v>
      </c>
      <c r="L3720" t="str">
        <f>MAIN!C3725</f>
        <v/>
      </c>
    </row>
    <row r="3721" spans="1:12" x14ac:dyDescent="0.3">
      <c r="A3721">
        <f>IF(J3721="0",0,IF(COUNTIF($J$2:J3721,J3721)=1,1,0))</f>
        <v>0</v>
      </c>
      <c r="B3721" s="12" t="e">
        <f>MID(MAIN!A3726,K3721,2)</f>
        <v>#VALUE!</v>
      </c>
      <c r="C3721" s="12" t="e">
        <f t="shared" si="232"/>
        <v>#VALUE!</v>
      </c>
      <c r="D3721" s="12" t="e">
        <f>MID(MAIN!A3726,K3721+2,2)</f>
        <v>#VALUE!</v>
      </c>
      <c r="E3721" s="12" t="e">
        <f>MID(MAIN!A3726,K3721+4,2)</f>
        <v>#VALUE!</v>
      </c>
      <c r="F3721" s="2" t="e">
        <f t="shared" si="233"/>
        <v>#VALUE!</v>
      </c>
      <c r="G3721" s="13" t="e">
        <f t="shared" si="234"/>
        <v>#VALUE!</v>
      </c>
      <c r="J3721" t="str">
        <f>MAIN!A3726&amp;"B"</f>
        <v>B</v>
      </c>
      <c r="K3721" s="12" t="e">
        <f t="shared" si="235"/>
        <v>#VALUE!</v>
      </c>
      <c r="L3721" t="str">
        <f>MAIN!C3726</f>
        <v/>
      </c>
    </row>
    <row r="3722" spans="1:12" x14ac:dyDescent="0.3">
      <c r="A3722">
        <f>IF(J3722="0",0,IF(COUNTIF($J$2:J3722,J3722)=1,1,0))</f>
        <v>0</v>
      </c>
      <c r="B3722" s="12" t="e">
        <f>MID(MAIN!A3727,K3722,2)</f>
        <v>#VALUE!</v>
      </c>
      <c r="C3722" s="12" t="e">
        <f t="shared" si="232"/>
        <v>#VALUE!</v>
      </c>
      <c r="D3722" s="12" t="e">
        <f>MID(MAIN!A3727,K3722+2,2)</f>
        <v>#VALUE!</v>
      </c>
      <c r="E3722" s="12" t="e">
        <f>MID(MAIN!A3727,K3722+4,2)</f>
        <v>#VALUE!</v>
      </c>
      <c r="F3722" s="2" t="e">
        <f t="shared" si="233"/>
        <v>#VALUE!</v>
      </c>
      <c r="G3722" s="13" t="e">
        <f t="shared" si="234"/>
        <v>#VALUE!</v>
      </c>
      <c r="J3722" t="str">
        <f>MAIN!A3727&amp;"B"</f>
        <v>B</v>
      </c>
      <c r="K3722" s="12" t="e">
        <f t="shared" si="235"/>
        <v>#VALUE!</v>
      </c>
      <c r="L3722" t="str">
        <f>MAIN!C3727</f>
        <v/>
      </c>
    </row>
    <row r="3723" spans="1:12" x14ac:dyDescent="0.3">
      <c r="A3723">
        <f>IF(J3723="0",0,IF(COUNTIF($J$2:J3723,J3723)=1,1,0))</f>
        <v>0</v>
      </c>
      <c r="B3723" s="12" t="e">
        <f>MID(MAIN!A3728,K3723,2)</f>
        <v>#VALUE!</v>
      </c>
      <c r="C3723" s="12" t="e">
        <f t="shared" si="232"/>
        <v>#VALUE!</v>
      </c>
      <c r="D3723" s="12" t="e">
        <f>MID(MAIN!A3728,K3723+2,2)</f>
        <v>#VALUE!</v>
      </c>
      <c r="E3723" s="12" t="e">
        <f>MID(MAIN!A3728,K3723+4,2)</f>
        <v>#VALUE!</v>
      </c>
      <c r="F3723" s="2" t="e">
        <f t="shared" si="233"/>
        <v>#VALUE!</v>
      </c>
      <c r="G3723" s="13" t="e">
        <f t="shared" si="234"/>
        <v>#VALUE!</v>
      </c>
      <c r="J3723" t="str">
        <f>MAIN!A3728&amp;"B"</f>
        <v>B</v>
      </c>
      <c r="K3723" s="12" t="e">
        <f t="shared" si="235"/>
        <v>#VALUE!</v>
      </c>
      <c r="L3723" t="str">
        <f>MAIN!C3728</f>
        <v/>
      </c>
    </row>
    <row r="3724" spans="1:12" x14ac:dyDescent="0.3">
      <c r="A3724">
        <f>IF(J3724="0",0,IF(COUNTIF($J$2:J3724,J3724)=1,1,0))</f>
        <v>0</v>
      </c>
      <c r="B3724" s="12" t="e">
        <f>MID(MAIN!A3729,K3724,2)</f>
        <v>#VALUE!</v>
      </c>
      <c r="C3724" s="12" t="e">
        <f t="shared" si="232"/>
        <v>#VALUE!</v>
      </c>
      <c r="D3724" s="12" t="e">
        <f>MID(MAIN!A3729,K3724+2,2)</f>
        <v>#VALUE!</v>
      </c>
      <c r="E3724" s="12" t="e">
        <f>MID(MAIN!A3729,K3724+4,2)</f>
        <v>#VALUE!</v>
      </c>
      <c r="F3724" s="2" t="e">
        <f t="shared" si="233"/>
        <v>#VALUE!</v>
      </c>
      <c r="G3724" s="13" t="e">
        <f t="shared" si="234"/>
        <v>#VALUE!</v>
      </c>
      <c r="J3724" t="str">
        <f>MAIN!A3729&amp;"B"</f>
        <v>B</v>
      </c>
      <c r="K3724" s="12" t="e">
        <f t="shared" si="235"/>
        <v>#VALUE!</v>
      </c>
      <c r="L3724" t="str">
        <f>MAIN!C3729</f>
        <v/>
      </c>
    </row>
    <row r="3725" spans="1:12" x14ac:dyDescent="0.3">
      <c r="A3725">
        <f>IF(J3725="0",0,IF(COUNTIF($J$2:J3725,J3725)=1,1,0))</f>
        <v>0</v>
      </c>
      <c r="B3725" s="12" t="e">
        <f>MID(MAIN!A3730,K3725,2)</f>
        <v>#VALUE!</v>
      </c>
      <c r="C3725" s="12" t="e">
        <f t="shared" si="232"/>
        <v>#VALUE!</v>
      </c>
      <c r="D3725" s="12" t="e">
        <f>MID(MAIN!A3730,K3725+2,2)</f>
        <v>#VALUE!</v>
      </c>
      <c r="E3725" s="12" t="e">
        <f>MID(MAIN!A3730,K3725+4,2)</f>
        <v>#VALUE!</v>
      </c>
      <c r="F3725" s="2" t="e">
        <f t="shared" si="233"/>
        <v>#VALUE!</v>
      </c>
      <c r="G3725" s="13" t="e">
        <f t="shared" si="234"/>
        <v>#VALUE!</v>
      </c>
      <c r="J3725" t="str">
        <f>MAIN!A3730&amp;"B"</f>
        <v>B</v>
      </c>
      <c r="K3725" s="12" t="e">
        <f t="shared" si="235"/>
        <v>#VALUE!</v>
      </c>
      <c r="L3725" t="str">
        <f>MAIN!C3730</f>
        <v/>
      </c>
    </row>
    <row r="3726" spans="1:12" x14ac:dyDescent="0.3">
      <c r="A3726">
        <f>IF(J3726="0",0,IF(COUNTIF($J$2:J3726,J3726)=1,1,0))</f>
        <v>0</v>
      </c>
      <c r="B3726" s="12" t="e">
        <f>MID(MAIN!A3731,K3726,2)</f>
        <v>#VALUE!</v>
      </c>
      <c r="C3726" s="12" t="e">
        <f t="shared" si="232"/>
        <v>#VALUE!</v>
      </c>
      <c r="D3726" s="12" t="e">
        <f>MID(MAIN!A3731,K3726+2,2)</f>
        <v>#VALUE!</v>
      </c>
      <c r="E3726" s="12" t="e">
        <f>MID(MAIN!A3731,K3726+4,2)</f>
        <v>#VALUE!</v>
      </c>
      <c r="F3726" s="2" t="e">
        <f t="shared" si="233"/>
        <v>#VALUE!</v>
      </c>
      <c r="G3726" s="13" t="e">
        <f t="shared" si="234"/>
        <v>#VALUE!</v>
      </c>
      <c r="J3726" t="str">
        <f>MAIN!A3731&amp;"B"</f>
        <v>B</v>
      </c>
      <c r="K3726" s="12" t="e">
        <f t="shared" si="235"/>
        <v>#VALUE!</v>
      </c>
      <c r="L3726" t="str">
        <f>MAIN!C3731</f>
        <v/>
      </c>
    </row>
    <row r="3727" spans="1:12" x14ac:dyDescent="0.3">
      <c r="A3727">
        <f>IF(J3727="0",0,IF(COUNTIF($J$2:J3727,J3727)=1,1,0))</f>
        <v>0</v>
      </c>
      <c r="B3727" s="12" t="e">
        <f>MID(MAIN!A3732,K3727,2)</f>
        <v>#VALUE!</v>
      </c>
      <c r="C3727" s="12" t="e">
        <f t="shared" si="232"/>
        <v>#VALUE!</v>
      </c>
      <c r="D3727" s="12" t="e">
        <f>MID(MAIN!A3732,K3727+2,2)</f>
        <v>#VALUE!</v>
      </c>
      <c r="E3727" s="12" t="e">
        <f>MID(MAIN!A3732,K3727+4,2)</f>
        <v>#VALUE!</v>
      </c>
      <c r="F3727" s="2" t="e">
        <f t="shared" si="233"/>
        <v>#VALUE!</v>
      </c>
      <c r="G3727" s="13" t="e">
        <f t="shared" si="234"/>
        <v>#VALUE!</v>
      </c>
      <c r="J3727" t="str">
        <f>MAIN!A3732&amp;"B"</f>
        <v>B</v>
      </c>
      <c r="K3727" s="12" t="e">
        <f t="shared" si="235"/>
        <v>#VALUE!</v>
      </c>
      <c r="L3727" t="str">
        <f>MAIN!C3732</f>
        <v/>
      </c>
    </row>
    <row r="3728" spans="1:12" x14ac:dyDescent="0.3">
      <c r="A3728">
        <f>IF(J3728="0",0,IF(COUNTIF($J$2:J3728,J3728)=1,1,0))</f>
        <v>0</v>
      </c>
      <c r="B3728" s="12" t="e">
        <f>MID(MAIN!A3733,K3728,2)</f>
        <v>#VALUE!</v>
      </c>
      <c r="C3728" s="12" t="e">
        <f t="shared" si="232"/>
        <v>#VALUE!</v>
      </c>
      <c r="D3728" s="12" t="e">
        <f>MID(MAIN!A3733,K3728+2,2)</f>
        <v>#VALUE!</v>
      </c>
      <c r="E3728" s="12" t="e">
        <f>MID(MAIN!A3733,K3728+4,2)</f>
        <v>#VALUE!</v>
      </c>
      <c r="F3728" s="2" t="e">
        <f t="shared" si="233"/>
        <v>#VALUE!</v>
      </c>
      <c r="G3728" s="13" t="e">
        <f t="shared" si="234"/>
        <v>#VALUE!</v>
      </c>
      <c r="J3728" t="str">
        <f>MAIN!A3733&amp;"B"</f>
        <v>B</v>
      </c>
      <c r="K3728" s="12" t="e">
        <f t="shared" si="235"/>
        <v>#VALUE!</v>
      </c>
      <c r="L3728" t="str">
        <f>MAIN!C3733</f>
        <v/>
      </c>
    </row>
    <row r="3729" spans="1:12" x14ac:dyDescent="0.3">
      <c r="A3729">
        <f>IF(J3729="0",0,IF(COUNTIF($J$2:J3729,J3729)=1,1,0))</f>
        <v>0</v>
      </c>
      <c r="B3729" s="12" t="e">
        <f>MID(MAIN!A3734,K3729,2)</f>
        <v>#VALUE!</v>
      </c>
      <c r="C3729" s="12" t="e">
        <f t="shared" si="232"/>
        <v>#VALUE!</v>
      </c>
      <c r="D3729" s="12" t="e">
        <f>MID(MAIN!A3734,K3729+2,2)</f>
        <v>#VALUE!</v>
      </c>
      <c r="E3729" s="12" t="e">
        <f>MID(MAIN!A3734,K3729+4,2)</f>
        <v>#VALUE!</v>
      </c>
      <c r="F3729" s="2" t="e">
        <f t="shared" si="233"/>
        <v>#VALUE!</v>
      </c>
      <c r="G3729" s="13" t="e">
        <f t="shared" si="234"/>
        <v>#VALUE!</v>
      </c>
      <c r="J3729" t="str">
        <f>MAIN!A3734&amp;"B"</f>
        <v>B</v>
      </c>
      <c r="K3729" s="12" t="e">
        <f t="shared" si="235"/>
        <v>#VALUE!</v>
      </c>
      <c r="L3729" t="str">
        <f>MAIN!C3734</f>
        <v/>
      </c>
    </row>
    <row r="3730" spans="1:12" x14ac:dyDescent="0.3">
      <c r="A3730">
        <f>IF(J3730="0",0,IF(COUNTIF($J$2:J3730,J3730)=1,1,0))</f>
        <v>0</v>
      </c>
      <c r="B3730" s="12" t="e">
        <f>MID(MAIN!A3735,K3730,2)</f>
        <v>#VALUE!</v>
      </c>
      <c r="C3730" s="12" t="e">
        <f t="shared" si="232"/>
        <v>#VALUE!</v>
      </c>
      <c r="D3730" s="12" t="e">
        <f>MID(MAIN!A3735,K3730+2,2)</f>
        <v>#VALUE!</v>
      </c>
      <c r="E3730" s="12" t="e">
        <f>MID(MAIN!A3735,K3730+4,2)</f>
        <v>#VALUE!</v>
      </c>
      <c r="F3730" s="2" t="e">
        <f t="shared" si="233"/>
        <v>#VALUE!</v>
      </c>
      <c r="G3730" s="13" t="e">
        <f t="shared" si="234"/>
        <v>#VALUE!</v>
      </c>
      <c r="J3730" t="str">
        <f>MAIN!A3735&amp;"B"</f>
        <v>B</v>
      </c>
      <c r="K3730" s="12" t="e">
        <f t="shared" si="235"/>
        <v>#VALUE!</v>
      </c>
      <c r="L3730" t="str">
        <f>MAIN!C3735</f>
        <v/>
      </c>
    </row>
    <row r="3731" spans="1:12" x14ac:dyDescent="0.3">
      <c r="A3731">
        <f>IF(J3731="0",0,IF(COUNTIF($J$2:J3731,J3731)=1,1,0))</f>
        <v>0</v>
      </c>
      <c r="B3731" s="12" t="e">
        <f>MID(MAIN!A3736,K3731,2)</f>
        <v>#VALUE!</v>
      </c>
      <c r="C3731" s="12" t="e">
        <f t="shared" si="232"/>
        <v>#VALUE!</v>
      </c>
      <c r="D3731" s="12" t="e">
        <f>MID(MAIN!A3736,K3731+2,2)</f>
        <v>#VALUE!</v>
      </c>
      <c r="E3731" s="12" t="e">
        <f>MID(MAIN!A3736,K3731+4,2)</f>
        <v>#VALUE!</v>
      </c>
      <c r="F3731" s="2" t="e">
        <f t="shared" si="233"/>
        <v>#VALUE!</v>
      </c>
      <c r="G3731" s="13" t="e">
        <f t="shared" si="234"/>
        <v>#VALUE!</v>
      </c>
      <c r="J3731" t="str">
        <f>MAIN!A3736&amp;"B"</f>
        <v>B</v>
      </c>
      <c r="K3731" s="12" t="e">
        <f t="shared" si="235"/>
        <v>#VALUE!</v>
      </c>
      <c r="L3731" t="str">
        <f>MAIN!C3736</f>
        <v/>
      </c>
    </row>
    <row r="3732" spans="1:12" x14ac:dyDescent="0.3">
      <c r="A3732">
        <f>IF(J3732="0",0,IF(COUNTIF($J$2:J3732,J3732)=1,1,0))</f>
        <v>0</v>
      </c>
      <c r="B3732" s="12" t="e">
        <f>MID(MAIN!A3737,K3732,2)</f>
        <v>#VALUE!</v>
      </c>
      <c r="C3732" s="12" t="e">
        <f t="shared" si="232"/>
        <v>#VALUE!</v>
      </c>
      <c r="D3732" s="12" t="e">
        <f>MID(MAIN!A3737,K3732+2,2)</f>
        <v>#VALUE!</v>
      </c>
      <c r="E3732" s="12" t="e">
        <f>MID(MAIN!A3737,K3732+4,2)</f>
        <v>#VALUE!</v>
      </c>
      <c r="F3732" s="2" t="e">
        <f t="shared" si="233"/>
        <v>#VALUE!</v>
      </c>
      <c r="G3732" s="13" t="e">
        <f t="shared" si="234"/>
        <v>#VALUE!</v>
      </c>
      <c r="J3732" t="str">
        <f>MAIN!A3737&amp;"B"</f>
        <v>B</v>
      </c>
      <c r="K3732" s="12" t="e">
        <f t="shared" si="235"/>
        <v>#VALUE!</v>
      </c>
      <c r="L3732" t="str">
        <f>MAIN!C3737</f>
        <v/>
      </c>
    </row>
    <row r="3733" spans="1:12" x14ac:dyDescent="0.3">
      <c r="A3733">
        <f>IF(J3733="0",0,IF(COUNTIF($J$2:J3733,J3733)=1,1,0))</f>
        <v>0</v>
      </c>
      <c r="B3733" s="12" t="e">
        <f>MID(MAIN!A3738,K3733,2)</f>
        <v>#VALUE!</v>
      </c>
      <c r="C3733" s="12" t="e">
        <f t="shared" si="232"/>
        <v>#VALUE!</v>
      </c>
      <c r="D3733" s="12" t="e">
        <f>MID(MAIN!A3738,K3733+2,2)</f>
        <v>#VALUE!</v>
      </c>
      <c r="E3733" s="12" t="e">
        <f>MID(MAIN!A3738,K3733+4,2)</f>
        <v>#VALUE!</v>
      </c>
      <c r="F3733" s="2" t="e">
        <f t="shared" si="233"/>
        <v>#VALUE!</v>
      </c>
      <c r="G3733" s="13" t="e">
        <f t="shared" si="234"/>
        <v>#VALUE!</v>
      </c>
      <c r="J3733" t="str">
        <f>MAIN!A3738&amp;"B"</f>
        <v>B</v>
      </c>
      <c r="K3733" s="12" t="e">
        <f t="shared" si="235"/>
        <v>#VALUE!</v>
      </c>
      <c r="L3733" t="str">
        <f>MAIN!C3738</f>
        <v/>
      </c>
    </row>
    <row r="3734" spans="1:12" x14ac:dyDescent="0.3">
      <c r="A3734">
        <f>IF(J3734="0",0,IF(COUNTIF($J$2:J3734,J3734)=1,1,0))</f>
        <v>0</v>
      </c>
      <c r="B3734" s="12" t="e">
        <f>MID(MAIN!A3739,K3734,2)</f>
        <v>#VALUE!</v>
      </c>
      <c r="C3734" s="12" t="e">
        <f t="shared" si="232"/>
        <v>#VALUE!</v>
      </c>
      <c r="D3734" s="12" t="e">
        <f>MID(MAIN!A3739,K3734+2,2)</f>
        <v>#VALUE!</v>
      </c>
      <c r="E3734" s="12" t="e">
        <f>MID(MAIN!A3739,K3734+4,2)</f>
        <v>#VALUE!</v>
      </c>
      <c r="F3734" s="2" t="e">
        <f t="shared" si="233"/>
        <v>#VALUE!</v>
      </c>
      <c r="G3734" s="13" t="e">
        <f t="shared" si="234"/>
        <v>#VALUE!</v>
      </c>
      <c r="J3734" t="str">
        <f>MAIN!A3739&amp;"B"</f>
        <v>B</v>
      </c>
      <c r="K3734" s="12" t="e">
        <f t="shared" si="235"/>
        <v>#VALUE!</v>
      </c>
      <c r="L3734" t="str">
        <f>MAIN!C3739</f>
        <v/>
      </c>
    </row>
    <row r="3735" spans="1:12" x14ac:dyDescent="0.3">
      <c r="A3735">
        <f>IF(J3735="0",0,IF(COUNTIF($J$2:J3735,J3735)=1,1,0))</f>
        <v>0</v>
      </c>
      <c r="B3735" s="12" t="e">
        <f>MID(MAIN!A3740,K3735,2)</f>
        <v>#VALUE!</v>
      </c>
      <c r="C3735" s="12" t="e">
        <f t="shared" si="232"/>
        <v>#VALUE!</v>
      </c>
      <c r="D3735" s="12" t="e">
        <f>MID(MAIN!A3740,K3735+2,2)</f>
        <v>#VALUE!</v>
      </c>
      <c r="E3735" s="12" t="e">
        <f>MID(MAIN!A3740,K3735+4,2)</f>
        <v>#VALUE!</v>
      </c>
      <c r="F3735" s="2" t="e">
        <f t="shared" si="233"/>
        <v>#VALUE!</v>
      </c>
      <c r="G3735" s="13" t="e">
        <f t="shared" si="234"/>
        <v>#VALUE!</v>
      </c>
      <c r="J3735" t="str">
        <f>MAIN!A3740&amp;"B"</f>
        <v>B</v>
      </c>
      <c r="K3735" s="12" t="e">
        <f t="shared" si="235"/>
        <v>#VALUE!</v>
      </c>
      <c r="L3735" t="str">
        <f>MAIN!C3740</f>
        <v/>
      </c>
    </row>
    <row r="3736" spans="1:12" x14ac:dyDescent="0.3">
      <c r="A3736">
        <f>IF(J3736="0",0,IF(COUNTIF($J$2:J3736,J3736)=1,1,0))</f>
        <v>0</v>
      </c>
      <c r="B3736" s="12" t="e">
        <f>MID(MAIN!A3741,K3736,2)</f>
        <v>#VALUE!</v>
      </c>
      <c r="C3736" s="12" t="e">
        <f t="shared" si="232"/>
        <v>#VALUE!</v>
      </c>
      <c r="D3736" s="12" t="e">
        <f>MID(MAIN!A3741,K3736+2,2)</f>
        <v>#VALUE!</v>
      </c>
      <c r="E3736" s="12" t="e">
        <f>MID(MAIN!A3741,K3736+4,2)</f>
        <v>#VALUE!</v>
      </c>
      <c r="F3736" s="2" t="e">
        <f t="shared" si="233"/>
        <v>#VALUE!</v>
      </c>
      <c r="G3736" s="13" t="e">
        <f t="shared" si="234"/>
        <v>#VALUE!</v>
      </c>
      <c r="J3736" t="str">
        <f>MAIN!A3741&amp;"B"</f>
        <v>B</v>
      </c>
      <c r="K3736" s="12" t="e">
        <f t="shared" si="235"/>
        <v>#VALUE!</v>
      </c>
      <c r="L3736" t="str">
        <f>MAIN!C3741</f>
        <v/>
      </c>
    </row>
    <row r="3737" spans="1:12" x14ac:dyDescent="0.3">
      <c r="A3737">
        <f>IF(J3737="0",0,IF(COUNTIF($J$2:J3737,J3737)=1,1,0))</f>
        <v>0</v>
      </c>
      <c r="B3737" s="12" t="e">
        <f>MID(MAIN!A3742,K3737,2)</f>
        <v>#VALUE!</v>
      </c>
      <c r="C3737" s="12" t="e">
        <f t="shared" si="232"/>
        <v>#VALUE!</v>
      </c>
      <c r="D3737" s="12" t="e">
        <f>MID(MAIN!A3742,K3737+2,2)</f>
        <v>#VALUE!</v>
      </c>
      <c r="E3737" s="12" t="e">
        <f>MID(MAIN!A3742,K3737+4,2)</f>
        <v>#VALUE!</v>
      </c>
      <c r="F3737" s="2" t="e">
        <f t="shared" si="233"/>
        <v>#VALUE!</v>
      </c>
      <c r="G3737" s="13" t="e">
        <f t="shared" si="234"/>
        <v>#VALUE!</v>
      </c>
      <c r="J3737" t="str">
        <f>MAIN!A3742&amp;"B"</f>
        <v>B</v>
      </c>
      <c r="K3737" s="12" t="e">
        <f t="shared" si="235"/>
        <v>#VALUE!</v>
      </c>
      <c r="L3737" t="str">
        <f>MAIN!C3742</f>
        <v/>
      </c>
    </row>
    <row r="3738" spans="1:12" x14ac:dyDescent="0.3">
      <c r="A3738">
        <f>IF(J3738="0",0,IF(COUNTIF($J$2:J3738,J3738)=1,1,0))</f>
        <v>0</v>
      </c>
      <c r="B3738" s="12" t="e">
        <f>MID(MAIN!A3743,K3738,2)</f>
        <v>#VALUE!</v>
      </c>
      <c r="C3738" s="12" t="e">
        <f t="shared" si="232"/>
        <v>#VALUE!</v>
      </c>
      <c r="D3738" s="12" t="e">
        <f>MID(MAIN!A3743,K3738+2,2)</f>
        <v>#VALUE!</v>
      </c>
      <c r="E3738" s="12" t="e">
        <f>MID(MAIN!A3743,K3738+4,2)</f>
        <v>#VALUE!</v>
      </c>
      <c r="F3738" s="2" t="e">
        <f t="shared" si="233"/>
        <v>#VALUE!</v>
      </c>
      <c r="G3738" s="13" t="e">
        <f t="shared" si="234"/>
        <v>#VALUE!</v>
      </c>
      <c r="J3738" t="str">
        <f>MAIN!A3743&amp;"B"</f>
        <v>B</v>
      </c>
      <c r="K3738" s="12" t="e">
        <f t="shared" si="235"/>
        <v>#VALUE!</v>
      </c>
      <c r="L3738" t="str">
        <f>MAIN!C3743</f>
        <v/>
      </c>
    </row>
    <row r="3739" spans="1:12" x14ac:dyDescent="0.3">
      <c r="A3739">
        <f>IF(J3739="0",0,IF(COUNTIF($J$2:J3739,J3739)=1,1,0))</f>
        <v>0</v>
      </c>
      <c r="B3739" s="12" t="e">
        <f>MID(MAIN!A3744,K3739,2)</f>
        <v>#VALUE!</v>
      </c>
      <c r="C3739" s="12" t="e">
        <f t="shared" si="232"/>
        <v>#VALUE!</v>
      </c>
      <c r="D3739" s="12" t="e">
        <f>MID(MAIN!A3744,K3739+2,2)</f>
        <v>#VALUE!</v>
      </c>
      <c r="E3739" s="12" t="e">
        <f>MID(MAIN!A3744,K3739+4,2)</f>
        <v>#VALUE!</v>
      </c>
      <c r="F3739" s="2" t="e">
        <f t="shared" si="233"/>
        <v>#VALUE!</v>
      </c>
      <c r="G3739" s="13" t="e">
        <f t="shared" si="234"/>
        <v>#VALUE!</v>
      </c>
      <c r="J3739" t="str">
        <f>MAIN!A3744&amp;"B"</f>
        <v>B</v>
      </c>
      <c r="K3739" s="12" t="e">
        <f t="shared" si="235"/>
        <v>#VALUE!</v>
      </c>
      <c r="L3739" t="str">
        <f>MAIN!C3744</f>
        <v/>
      </c>
    </row>
    <row r="3740" spans="1:12" x14ac:dyDescent="0.3">
      <c r="A3740">
        <f>IF(J3740="0",0,IF(COUNTIF($J$2:J3740,J3740)=1,1,0))</f>
        <v>0</v>
      </c>
      <c r="B3740" s="12" t="e">
        <f>MID(MAIN!A3745,K3740,2)</f>
        <v>#VALUE!</v>
      </c>
      <c r="C3740" s="12" t="e">
        <f t="shared" si="232"/>
        <v>#VALUE!</v>
      </c>
      <c r="D3740" s="12" t="e">
        <f>MID(MAIN!A3745,K3740+2,2)</f>
        <v>#VALUE!</v>
      </c>
      <c r="E3740" s="12" t="e">
        <f>MID(MAIN!A3745,K3740+4,2)</f>
        <v>#VALUE!</v>
      </c>
      <c r="F3740" s="2" t="e">
        <f t="shared" si="233"/>
        <v>#VALUE!</v>
      </c>
      <c r="G3740" s="13" t="e">
        <f t="shared" si="234"/>
        <v>#VALUE!</v>
      </c>
      <c r="J3740" t="str">
        <f>MAIN!A3745&amp;"B"</f>
        <v>B</v>
      </c>
      <c r="K3740" s="12" t="e">
        <f t="shared" si="235"/>
        <v>#VALUE!</v>
      </c>
      <c r="L3740" t="str">
        <f>MAIN!C3745</f>
        <v/>
      </c>
    </row>
    <row r="3741" spans="1:12" x14ac:dyDescent="0.3">
      <c r="A3741">
        <f>IF(J3741="0",0,IF(COUNTIF($J$2:J3741,J3741)=1,1,0))</f>
        <v>0</v>
      </c>
      <c r="B3741" s="12" t="e">
        <f>MID(MAIN!A3746,K3741,2)</f>
        <v>#VALUE!</v>
      </c>
      <c r="C3741" s="12" t="e">
        <f t="shared" si="232"/>
        <v>#VALUE!</v>
      </c>
      <c r="D3741" s="12" t="e">
        <f>MID(MAIN!A3746,K3741+2,2)</f>
        <v>#VALUE!</v>
      </c>
      <c r="E3741" s="12" t="e">
        <f>MID(MAIN!A3746,K3741+4,2)</f>
        <v>#VALUE!</v>
      </c>
      <c r="F3741" s="2" t="e">
        <f t="shared" si="233"/>
        <v>#VALUE!</v>
      </c>
      <c r="G3741" s="13" t="e">
        <f t="shared" si="234"/>
        <v>#VALUE!</v>
      </c>
      <c r="J3741" t="str">
        <f>MAIN!A3746&amp;"B"</f>
        <v>B</v>
      </c>
      <c r="K3741" s="12" t="e">
        <f t="shared" si="235"/>
        <v>#VALUE!</v>
      </c>
      <c r="L3741" t="str">
        <f>MAIN!C3746</f>
        <v/>
      </c>
    </row>
    <row r="3742" spans="1:12" x14ac:dyDescent="0.3">
      <c r="A3742">
        <f>IF(J3742="0",0,IF(COUNTIF($J$2:J3742,J3742)=1,1,0))</f>
        <v>0</v>
      </c>
      <c r="B3742" s="12" t="e">
        <f>MID(MAIN!A3747,K3742,2)</f>
        <v>#VALUE!</v>
      </c>
      <c r="C3742" s="12" t="e">
        <f t="shared" si="232"/>
        <v>#VALUE!</v>
      </c>
      <c r="D3742" s="12" t="e">
        <f>MID(MAIN!A3747,K3742+2,2)</f>
        <v>#VALUE!</v>
      </c>
      <c r="E3742" s="12" t="e">
        <f>MID(MAIN!A3747,K3742+4,2)</f>
        <v>#VALUE!</v>
      </c>
      <c r="F3742" s="2" t="e">
        <f t="shared" si="233"/>
        <v>#VALUE!</v>
      </c>
      <c r="G3742" s="13" t="e">
        <f t="shared" si="234"/>
        <v>#VALUE!</v>
      </c>
      <c r="J3742" t="str">
        <f>MAIN!A3747&amp;"B"</f>
        <v>B</v>
      </c>
      <c r="K3742" s="12" t="e">
        <f t="shared" si="235"/>
        <v>#VALUE!</v>
      </c>
      <c r="L3742" t="str">
        <f>MAIN!C3747</f>
        <v/>
      </c>
    </row>
    <row r="3743" spans="1:12" x14ac:dyDescent="0.3">
      <c r="A3743">
        <f>IF(J3743="0",0,IF(COUNTIF($J$2:J3743,J3743)=1,1,0))</f>
        <v>0</v>
      </c>
      <c r="B3743" s="12" t="e">
        <f>MID(MAIN!A3748,K3743,2)</f>
        <v>#VALUE!</v>
      </c>
      <c r="C3743" s="12" t="e">
        <f t="shared" si="232"/>
        <v>#VALUE!</v>
      </c>
      <c r="D3743" s="12" t="e">
        <f>MID(MAIN!A3748,K3743+2,2)</f>
        <v>#VALUE!</v>
      </c>
      <c r="E3743" s="12" t="e">
        <f>MID(MAIN!A3748,K3743+4,2)</f>
        <v>#VALUE!</v>
      </c>
      <c r="F3743" s="2" t="e">
        <f t="shared" si="233"/>
        <v>#VALUE!</v>
      </c>
      <c r="G3743" s="13" t="e">
        <f t="shared" si="234"/>
        <v>#VALUE!</v>
      </c>
      <c r="J3743" t="str">
        <f>MAIN!A3748&amp;"B"</f>
        <v>B</v>
      </c>
      <c r="K3743" s="12" t="e">
        <f t="shared" si="235"/>
        <v>#VALUE!</v>
      </c>
      <c r="L3743" t="str">
        <f>MAIN!C3748</f>
        <v/>
      </c>
    </row>
    <row r="3744" spans="1:12" x14ac:dyDescent="0.3">
      <c r="A3744">
        <f>IF(J3744="0",0,IF(COUNTIF($J$2:J3744,J3744)=1,1,0))</f>
        <v>0</v>
      </c>
      <c r="B3744" s="12" t="e">
        <f>MID(MAIN!A3749,K3744,2)</f>
        <v>#VALUE!</v>
      </c>
      <c r="C3744" s="12" t="e">
        <f t="shared" si="232"/>
        <v>#VALUE!</v>
      </c>
      <c r="D3744" s="12" t="e">
        <f>MID(MAIN!A3749,K3744+2,2)</f>
        <v>#VALUE!</v>
      </c>
      <c r="E3744" s="12" t="e">
        <f>MID(MAIN!A3749,K3744+4,2)</f>
        <v>#VALUE!</v>
      </c>
      <c r="F3744" s="2" t="e">
        <f t="shared" si="233"/>
        <v>#VALUE!</v>
      </c>
      <c r="G3744" s="13" t="e">
        <f t="shared" si="234"/>
        <v>#VALUE!</v>
      </c>
      <c r="J3744" t="str">
        <f>MAIN!A3749&amp;"B"</f>
        <v>B</v>
      </c>
      <c r="K3744" s="12" t="e">
        <f t="shared" si="235"/>
        <v>#VALUE!</v>
      </c>
      <c r="L3744" t="str">
        <f>MAIN!C3749</f>
        <v/>
      </c>
    </row>
    <row r="3745" spans="1:12" x14ac:dyDescent="0.3">
      <c r="A3745">
        <f>IF(J3745="0",0,IF(COUNTIF($J$2:J3745,J3745)=1,1,0))</f>
        <v>0</v>
      </c>
      <c r="B3745" s="12" t="e">
        <f>MID(MAIN!A3750,K3745,2)</f>
        <v>#VALUE!</v>
      </c>
      <c r="C3745" s="12" t="e">
        <f t="shared" si="232"/>
        <v>#VALUE!</v>
      </c>
      <c r="D3745" s="12" t="e">
        <f>MID(MAIN!A3750,K3745+2,2)</f>
        <v>#VALUE!</v>
      </c>
      <c r="E3745" s="12" t="e">
        <f>MID(MAIN!A3750,K3745+4,2)</f>
        <v>#VALUE!</v>
      </c>
      <c r="F3745" s="2" t="e">
        <f t="shared" si="233"/>
        <v>#VALUE!</v>
      </c>
      <c r="G3745" s="13" t="e">
        <f t="shared" si="234"/>
        <v>#VALUE!</v>
      </c>
      <c r="J3745" t="str">
        <f>MAIN!A3750&amp;"B"</f>
        <v>B</v>
      </c>
      <c r="K3745" s="12" t="e">
        <f t="shared" si="235"/>
        <v>#VALUE!</v>
      </c>
      <c r="L3745" t="str">
        <f>MAIN!C3750</f>
        <v/>
      </c>
    </row>
    <row r="3746" spans="1:12" x14ac:dyDescent="0.3">
      <c r="A3746">
        <f>IF(J3746="0",0,IF(COUNTIF($J$2:J3746,J3746)=1,1,0))</f>
        <v>0</v>
      </c>
      <c r="B3746" s="12" t="e">
        <f>MID(MAIN!A3751,K3746,2)</f>
        <v>#VALUE!</v>
      </c>
      <c r="C3746" s="12" t="e">
        <f t="shared" si="232"/>
        <v>#VALUE!</v>
      </c>
      <c r="D3746" s="12" t="e">
        <f>MID(MAIN!A3751,K3746+2,2)</f>
        <v>#VALUE!</v>
      </c>
      <c r="E3746" s="12" t="e">
        <f>MID(MAIN!A3751,K3746+4,2)</f>
        <v>#VALUE!</v>
      </c>
      <c r="F3746" s="2" t="e">
        <f t="shared" si="233"/>
        <v>#VALUE!</v>
      </c>
      <c r="G3746" s="13" t="e">
        <f t="shared" si="234"/>
        <v>#VALUE!</v>
      </c>
      <c r="J3746" t="str">
        <f>MAIN!A3751&amp;"B"</f>
        <v>B</v>
      </c>
      <c r="K3746" s="12" t="e">
        <f t="shared" si="235"/>
        <v>#VALUE!</v>
      </c>
      <c r="L3746" t="str">
        <f>MAIN!C3751</f>
        <v/>
      </c>
    </row>
    <row r="3747" spans="1:12" x14ac:dyDescent="0.3">
      <c r="A3747">
        <f>IF(J3747="0",0,IF(COUNTIF($J$2:J3747,J3747)=1,1,0))</f>
        <v>0</v>
      </c>
      <c r="B3747" s="12" t="e">
        <f>MID(MAIN!A3752,K3747,2)</f>
        <v>#VALUE!</v>
      </c>
      <c r="C3747" s="12" t="e">
        <f t="shared" si="232"/>
        <v>#VALUE!</v>
      </c>
      <c r="D3747" s="12" t="e">
        <f>MID(MAIN!A3752,K3747+2,2)</f>
        <v>#VALUE!</v>
      </c>
      <c r="E3747" s="12" t="e">
        <f>MID(MAIN!A3752,K3747+4,2)</f>
        <v>#VALUE!</v>
      </c>
      <c r="F3747" s="2" t="e">
        <f t="shared" si="233"/>
        <v>#VALUE!</v>
      </c>
      <c r="G3747" s="13" t="e">
        <f t="shared" si="234"/>
        <v>#VALUE!</v>
      </c>
      <c r="J3747" t="str">
        <f>MAIN!A3752&amp;"B"</f>
        <v>B</v>
      </c>
      <c r="K3747" s="12" t="e">
        <f t="shared" si="235"/>
        <v>#VALUE!</v>
      </c>
      <c r="L3747" t="str">
        <f>MAIN!C3752</f>
        <v/>
      </c>
    </row>
    <row r="3748" spans="1:12" x14ac:dyDescent="0.3">
      <c r="A3748">
        <f>IF(J3748="0",0,IF(COUNTIF($J$2:J3748,J3748)=1,1,0))</f>
        <v>0</v>
      </c>
      <c r="B3748" s="12" t="e">
        <f>MID(MAIN!A3753,K3748,2)</f>
        <v>#VALUE!</v>
      </c>
      <c r="C3748" s="12" t="e">
        <f t="shared" si="232"/>
        <v>#VALUE!</v>
      </c>
      <c r="D3748" s="12" t="e">
        <f>MID(MAIN!A3753,K3748+2,2)</f>
        <v>#VALUE!</v>
      </c>
      <c r="E3748" s="12" t="e">
        <f>MID(MAIN!A3753,K3748+4,2)</f>
        <v>#VALUE!</v>
      </c>
      <c r="F3748" s="2" t="e">
        <f t="shared" si="233"/>
        <v>#VALUE!</v>
      </c>
      <c r="G3748" s="13" t="e">
        <f t="shared" si="234"/>
        <v>#VALUE!</v>
      </c>
      <c r="J3748" t="str">
        <f>MAIN!A3753&amp;"B"</f>
        <v>B</v>
      </c>
      <c r="K3748" s="12" t="e">
        <f t="shared" si="235"/>
        <v>#VALUE!</v>
      </c>
      <c r="L3748" t="str">
        <f>MAIN!C3753</f>
        <v/>
      </c>
    </row>
    <row r="3749" spans="1:12" x14ac:dyDescent="0.3">
      <c r="A3749">
        <f>IF(J3749="0",0,IF(COUNTIF($J$2:J3749,J3749)=1,1,0))</f>
        <v>0</v>
      </c>
      <c r="B3749" s="12" t="e">
        <f>MID(MAIN!A3754,K3749,2)</f>
        <v>#VALUE!</v>
      </c>
      <c r="C3749" s="12" t="e">
        <f t="shared" si="232"/>
        <v>#VALUE!</v>
      </c>
      <c r="D3749" s="12" t="e">
        <f>MID(MAIN!A3754,K3749+2,2)</f>
        <v>#VALUE!</v>
      </c>
      <c r="E3749" s="12" t="e">
        <f>MID(MAIN!A3754,K3749+4,2)</f>
        <v>#VALUE!</v>
      </c>
      <c r="F3749" s="2" t="e">
        <f t="shared" si="233"/>
        <v>#VALUE!</v>
      </c>
      <c r="G3749" s="13" t="e">
        <f t="shared" si="234"/>
        <v>#VALUE!</v>
      </c>
      <c r="J3749" t="str">
        <f>MAIN!A3754&amp;"B"</f>
        <v>B</v>
      </c>
      <c r="K3749" s="12" t="e">
        <f t="shared" si="235"/>
        <v>#VALUE!</v>
      </c>
      <c r="L3749" t="str">
        <f>MAIN!C3754</f>
        <v/>
      </c>
    </row>
    <row r="3750" spans="1:12" x14ac:dyDescent="0.3">
      <c r="A3750">
        <f>IF(J3750="0",0,IF(COUNTIF($J$2:J3750,J3750)=1,1,0))</f>
        <v>0</v>
      </c>
      <c r="B3750" s="12" t="e">
        <f>MID(MAIN!A3755,K3750,2)</f>
        <v>#VALUE!</v>
      </c>
      <c r="C3750" s="12" t="e">
        <f t="shared" si="232"/>
        <v>#VALUE!</v>
      </c>
      <c r="D3750" s="12" t="e">
        <f>MID(MAIN!A3755,K3750+2,2)</f>
        <v>#VALUE!</v>
      </c>
      <c r="E3750" s="12" t="e">
        <f>MID(MAIN!A3755,K3750+4,2)</f>
        <v>#VALUE!</v>
      </c>
      <c r="F3750" s="2" t="e">
        <f t="shared" si="233"/>
        <v>#VALUE!</v>
      </c>
      <c r="G3750" s="13" t="e">
        <f t="shared" si="234"/>
        <v>#VALUE!</v>
      </c>
      <c r="J3750" t="str">
        <f>MAIN!A3755&amp;"B"</f>
        <v>B</v>
      </c>
      <c r="K3750" s="12" t="e">
        <f t="shared" si="235"/>
        <v>#VALUE!</v>
      </c>
      <c r="L3750" t="str">
        <f>MAIN!C3755</f>
        <v/>
      </c>
    </row>
    <row r="3751" spans="1:12" x14ac:dyDescent="0.3">
      <c r="A3751">
        <f>IF(J3751="0",0,IF(COUNTIF($J$2:J3751,J3751)=1,1,0))</f>
        <v>0</v>
      </c>
      <c r="B3751" s="12" t="e">
        <f>MID(MAIN!A3756,K3751,2)</f>
        <v>#VALUE!</v>
      </c>
      <c r="C3751" s="12" t="e">
        <f t="shared" si="232"/>
        <v>#VALUE!</v>
      </c>
      <c r="D3751" s="12" t="e">
        <f>MID(MAIN!A3756,K3751+2,2)</f>
        <v>#VALUE!</v>
      </c>
      <c r="E3751" s="12" t="e">
        <f>MID(MAIN!A3756,K3751+4,2)</f>
        <v>#VALUE!</v>
      </c>
      <c r="F3751" s="2" t="e">
        <f t="shared" si="233"/>
        <v>#VALUE!</v>
      </c>
      <c r="G3751" s="13" t="e">
        <f t="shared" si="234"/>
        <v>#VALUE!</v>
      </c>
      <c r="J3751" t="str">
        <f>MAIN!A3756&amp;"B"</f>
        <v>B</v>
      </c>
      <c r="K3751" s="12" t="e">
        <f t="shared" si="235"/>
        <v>#VALUE!</v>
      </c>
      <c r="L3751" t="str">
        <f>MAIN!C3756</f>
        <v/>
      </c>
    </row>
    <row r="3752" spans="1:12" x14ac:dyDescent="0.3">
      <c r="A3752">
        <f>IF(J3752="0",0,IF(COUNTIF($J$2:J3752,J3752)=1,1,0))</f>
        <v>0</v>
      </c>
      <c r="B3752" s="12" t="e">
        <f>MID(MAIN!A3757,K3752,2)</f>
        <v>#VALUE!</v>
      </c>
      <c r="C3752" s="12" t="e">
        <f t="shared" si="232"/>
        <v>#VALUE!</v>
      </c>
      <c r="D3752" s="12" t="e">
        <f>MID(MAIN!A3757,K3752+2,2)</f>
        <v>#VALUE!</v>
      </c>
      <c r="E3752" s="12" t="e">
        <f>MID(MAIN!A3757,K3752+4,2)</f>
        <v>#VALUE!</v>
      </c>
      <c r="F3752" s="2" t="e">
        <f t="shared" si="233"/>
        <v>#VALUE!</v>
      </c>
      <c r="G3752" s="13" t="e">
        <f t="shared" si="234"/>
        <v>#VALUE!</v>
      </c>
      <c r="J3752" t="str">
        <f>MAIN!A3757&amp;"B"</f>
        <v>B</v>
      </c>
      <c r="K3752" s="12" t="e">
        <f t="shared" si="235"/>
        <v>#VALUE!</v>
      </c>
      <c r="L3752" t="str">
        <f>MAIN!C3757</f>
        <v/>
      </c>
    </row>
    <row r="3753" spans="1:12" x14ac:dyDescent="0.3">
      <c r="A3753">
        <f>IF(J3753="0",0,IF(COUNTIF($J$2:J3753,J3753)=1,1,0))</f>
        <v>0</v>
      </c>
      <c r="B3753" s="12" t="e">
        <f>MID(MAIN!A3758,K3753,2)</f>
        <v>#VALUE!</v>
      </c>
      <c r="C3753" s="12" t="e">
        <f t="shared" si="232"/>
        <v>#VALUE!</v>
      </c>
      <c r="D3753" s="12" t="e">
        <f>MID(MAIN!A3758,K3753+2,2)</f>
        <v>#VALUE!</v>
      </c>
      <c r="E3753" s="12" t="e">
        <f>MID(MAIN!A3758,K3753+4,2)</f>
        <v>#VALUE!</v>
      </c>
      <c r="F3753" s="2" t="e">
        <f t="shared" si="233"/>
        <v>#VALUE!</v>
      </c>
      <c r="G3753" s="13" t="e">
        <f t="shared" si="234"/>
        <v>#VALUE!</v>
      </c>
      <c r="J3753" t="str">
        <f>MAIN!A3758&amp;"B"</f>
        <v>B</v>
      </c>
      <c r="K3753" s="12" t="e">
        <f t="shared" si="235"/>
        <v>#VALUE!</v>
      </c>
      <c r="L3753" t="str">
        <f>MAIN!C3758</f>
        <v/>
      </c>
    </row>
    <row r="3754" spans="1:12" x14ac:dyDescent="0.3">
      <c r="A3754">
        <f>IF(J3754="0",0,IF(COUNTIF($J$2:J3754,J3754)=1,1,0))</f>
        <v>0</v>
      </c>
      <c r="B3754" s="12" t="e">
        <f>MID(MAIN!A3759,K3754,2)</f>
        <v>#VALUE!</v>
      </c>
      <c r="C3754" s="12" t="e">
        <f t="shared" si="232"/>
        <v>#VALUE!</v>
      </c>
      <c r="D3754" s="12" t="e">
        <f>MID(MAIN!A3759,K3754+2,2)</f>
        <v>#VALUE!</v>
      </c>
      <c r="E3754" s="12" t="e">
        <f>MID(MAIN!A3759,K3754+4,2)</f>
        <v>#VALUE!</v>
      </c>
      <c r="F3754" s="2" t="e">
        <f t="shared" si="233"/>
        <v>#VALUE!</v>
      </c>
      <c r="G3754" s="13" t="e">
        <f t="shared" si="234"/>
        <v>#VALUE!</v>
      </c>
      <c r="J3754" t="str">
        <f>MAIN!A3759&amp;"B"</f>
        <v>B</v>
      </c>
      <c r="K3754" s="12" t="e">
        <f t="shared" si="235"/>
        <v>#VALUE!</v>
      </c>
      <c r="L3754" t="str">
        <f>MAIN!C3759</f>
        <v/>
      </c>
    </row>
    <row r="3755" spans="1:12" x14ac:dyDescent="0.3">
      <c r="A3755">
        <f>IF(J3755="0",0,IF(COUNTIF($J$2:J3755,J3755)=1,1,0))</f>
        <v>0</v>
      </c>
      <c r="B3755" s="12" t="e">
        <f>MID(MAIN!A3760,K3755,2)</f>
        <v>#VALUE!</v>
      </c>
      <c r="C3755" s="12" t="e">
        <f t="shared" si="232"/>
        <v>#VALUE!</v>
      </c>
      <c r="D3755" s="12" t="e">
        <f>MID(MAIN!A3760,K3755+2,2)</f>
        <v>#VALUE!</v>
      </c>
      <c r="E3755" s="12" t="e">
        <f>MID(MAIN!A3760,K3755+4,2)</f>
        <v>#VALUE!</v>
      </c>
      <c r="F3755" s="2" t="e">
        <f t="shared" si="233"/>
        <v>#VALUE!</v>
      </c>
      <c r="G3755" s="13" t="e">
        <f t="shared" si="234"/>
        <v>#VALUE!</v>
      </c>
      <c r="J3755" t="str">
        <f>MAIN!A3760&amp;"B"</f>
        <v>B</v>
      </c>
      <c r="K3755" s="12" t="e">
        <f t="shared" si="235"/>
        <v>#VALUE!</v>
      </c>
      <c r="L3755" t="str">
        <f>MAIN!C3760</f>
        <v/>
      </c>
    </row>
    <row r="3756" spans="1:12" x14ac:dyDescent="0.3">
      <c r="A3756">
        <f>IF(J3756="0",0,IF(COUNTIF($J$2:J3756,J3756)=1,1,0))</f>
        <v>0</v>
      </c>
      <c r="B3756" s="12" t="e">
        <f>MID(MAIN!A3761,K3756,2)</f>
        <v>#VALUE!</v>
      </c>
      <c r="C3756" s="12" t="e">
        <f t="shared" si="232"/>
        <v>#VALUE!</v>
      </c>
      <c r="D3756" s="12" t="e">
        <f>MID(MAIN!A3761,K3756+2,2)</f>
        <v>#VALUE!</v>
      </c>
      <c r="E3756" s="12" t="e">
        <f>MID(MAIN!A3761,K3756+4,2)</f>
        <v>#VALUE!</v>
      </c>
      <c r="F3756" s="2" t="e">
        <f t="shared" si="233"/>
        <v>#VALUE!</v>
      </c>
      <c r="G3756" s="13" t="e">
        <f t="shared" si="234"/>
        <v>#VALUE!</v>
      </c>
      <c r="J3756" t="str">
        <f>MAIN!A3761&amp;"B"</f>
        <v>B</v>
      </c>
      <c r="K3756" s="12" t="e">
        <f t="shared" si="235"/>
        <v>#VALUE!</v>
      </c>
      <c r="L3756" t="str">
        <f>MAIN!C3761</f>
        <v/>
      </c>
    </row>
    <row r="3757" spans="1:12" x14ac:dyDescent="0.3">
      <c r="A3757">
        <f>IF(J3757="0",0,IF(COUNTIF($J$2:J3757,J3757)=1,1,0))</f>
        <v>0</v>
      </c>
      <c r="B3757" s="12" t="e">
        <f>MID(MAIN!A3762,K3757,2)</f>
        <v>#VALUE!</v>
      </c>
      <c r="C3757" s="12" t="e">
        <f t="shared" si="232"/>
        <v>#VALUE!</v>
      </c>
      <c r="D3757" s="12" t="e">
        <f>MID(MAIN!A3762,K3757+2,2)</f>
        <v>#VALUE!</v>
      </c>
      <c r="E3757" s="12" t="e">
        <f>MID(MAIN!A3762,K3757+4,2)</f>
        <v>#VALUE!</v>
      </c>
      <c r="F3757" s="2" t="e">
        <f t="shared" si="233"/>
        <v>#VALUE!</v>
      </c>
      <c r="G3757" s="13" t="e">
        <f t="shared" si="234"/>
        <v>#VALUE!</v>
      </c>
      <c r="J3757" t="str">
        <f>MAIN!A3762&amp;"B"</f>
        <v>B</v>
      </c>
      <c r="K3757" s="12" t="e">
        <f t="shared" si="235"/>
        <v>#VALUE!</v>
      </c>
      <c r="L3757" t="str">
        <f>MAIN!C3762</f>
        <v/>
      </c>
    </row>
    <row r="3758" spans="1:12" x14ac:dyDescent="0.3">
      <c r="A3758">
        <f>IF(J3758="0",0,IF(COUNTIF($J$2:J3758,J3758)=1,1,0))</f>
        <v>0</v>
      </c>
      <c r="B3758" s="12" t="e">
        <f>MID(MAIN!A3763,K3758,2)</f>
        <v>#VALUE!</v>
      </c>
      <c r="C3758" s="12" t="e">
        <f t="shared" si="232"/>
        <v>#VALUE!</v>
      </c>
      <c r="D3758" s="12" t="e">
        <f>MID(MAIN!A3763,K3758+2,2)</f>
        <v>#VALUE!</v>
      </c>
      <c r="E3758" s="12" t="e">
        <f>MID(MAIN!A3763,K3758+4,2)</f>
        <v>#VALUE!</v>
      </c>
      <c r="F3758" s="2" t="e">
        <f t="shared" si="233"/>
        <v>#VALUE!</v>
      </c>
      <c r="G3758" s="13" t="e">
        <f t="shared" si="234"/>
        <v>#VALUE!</v>
      </c>
      <c r="J3758" t="str">
        <f>MAIN!A3763&amp;"B"</f>
        <v>B</v>
      </c>
      <c r="K3758" s="12" t="e">
        <f t="shared" si="235"/>
        <v>#VALUE!</v>
      </c>
      <c r="L3758" t="str">
        <f>MAIN!C3763</f>
        <v/>
      </c>
    </row>
    <row r="3759" spans="1:12" x14ac:dyDescent="0.3">
      <c r="A3759">
        <f>IF(J3759="0",0,IF(COUNTIF($J$2:J3759,J3759)=1,1,0))</f>
        <v>0</v>
      </c>
      <c r="B3759" s="12" t="e">
        <f>MID(MAIN!A3764,K3759,2)</f>
        <v>#VALUE!</v>
      </c>
      <c r="C3759" s="12" t="e">
        <f t="shared" si="232"/>
        <v>#VALUE!</v>
      </c>
      <c r="D3759" s="12" t="e">
        <f>MID(MAIN!A3764,K3759+2,2)</f>
        <v>#VALUE!</v>
      </c>
      <c r="E3759" s="12" t="e">
        <f>MID(MAIN!A3764,K3759+4,2)</f>
        <v>#VALUE!</v>
      </c>
      <c r="F3759" s="2" t="e">
        <f t="shared" si="233"/>
        <v>#VALUE!</v>
      </c>
      <c r="G3759" s="13" t="e">
        <f t="shared" si="234"/>
        <v>#VALUE!</v>
      </c>
      <c r="J3759" t="str">
        <f>MAIN!A3764&amp;"B"</f>
        <v>B</v>
      </c>
      <c r="K3759" s="12" t="e">
        <f t="shared" si="235"/>
        <v>#VALUE!</v>
      </c>
      <c r="L3759" t="str">
        <f>MAIN!C3764</f>
        <v/>
      </c>
    </row>
    <row r="3760" spans="1:12" x14ac:dyDescent="0.3">
      <c r="A3760">
        <f>IF(J3760="0",0,IF(COUNTIF($J$2:J3760,J3760)=1,1,0))</f>
        <v>0</v>
      </c>
      <c r="B3760" s="12" t="e">
        <f>MID(MAIN!A3765,K3760,2)</f>
        <v>#VALUE!</v>
      </c>
      <c r="C3760" s="12" t="e">
        <f t="shared" si="232"/>
        <v>#VALUE!</v>
      </c>
      <c r="D3760" s="12" t="e">
        <f>MID(MAIN!A3765,K3760+2,2)</f>
        <v>#VALUE!</v>
      </c>
      <c r="E3760" s="12" t="e">
        <f>MID(MAIN!A3765,K3760+4,2)</f>
        <v>#VALUE!</v>
      </c>
      <c r="F3760" s="2" t="e">
        <f t="shared" si="233"/>
        <v>#VALUE!</v>
      </c>
      <c r="G3760" s="13" t="e">
        <f t="shared" si="234"/>
        <v>#VALUE!</v>
      </c>
      <c r="J3760" t="str">
        <f>MAIN!A3765&amp;"B"</f>
        <v>B</v>
      </c>
      <c r="K3760" s="12" t="e">
        <f t="shared" si="235"/>
        <v>#VALUE!</v>
      </c>
      <c r="L3760" t="str">
        <f>MAIN!C3765</f>
        <v/>
      </c>
    </row>
    <row r="3761" spans="1:12" x14ac:dyDescent="0.3">
      <c r="A3761">
        <f>IF(J3761="0",0,IF(COUNTIF($J$2:J3761,J3761)=1,1,0))</f>
        <v>0</v>
      </c>
      <c r="B3761" s="12" t="e">
        <f>MID(MAIN!A3766,K3761,2)</f>
        <v>#VALUE!</v>
      </c>
      <c r="C3761" s="12" t="e">
        <f t="shared" si="232"/>
        <v>#VALUE!</v>
      </c>
      <c r="D3761" s="12" t="e">
        <f>MID(MAIN!A3766,K3761+2,2)</f>
        <v>#VALUE!</v>
      </c>
      <c r="E3761" s="12" t="e">
        <f>MID(MAIN!A3766,K3761+4,2)</f>
        <v>#VALUE!</v>
      </c>
      <c r="F3761" s="2" t="e">
        <f t="shared" si="233"/>
        <v>#VALUE!</v>
      </c>
      <c r="G3761" s="13" t="e">
        <f t="shared" si="234"/>
        <v>#VALUE!</v>
      </c>
      <c r="J3761" t="str">
        <f>MAIN!A3766&amp;"B"</f>
        <v>B</v>
      </c>
      <c r="K3761" s="12" t="e">
        <f t="shared" si="235"/>
        <v>#VALUE!</v>
      </c>
      <c r="L3761" t="str">
        <f>MAIN!C3766</f>
        <v/>
      </c>
    </row>
    <row r="3762" spans="1:12" x14ac:dyDescent="0.3">
      <c r="A3762">
        <f>IF(J3762="0",0,IF(COUNTIF($J$2:J3762,J3762)=1,1,0))</f>
        <v>0</v>
      </c>
      <c r="B3762" s="12" t="e">
        <f>MID(MAIN!A3767,K3762,2)</f>
        <v>#VALUE!</v>
      </c>
      <c r="C3762" s="12" t="e">
        <f t="shared" si="232"/>
        <v>#VALUE!</v>
      </c>
      <c r="D3762" s="12" t="e">
        <f>MID(MAIN!A3767,K3762+2,2)</f>
        <v>#VALUE!</v>
      </c>
      <c r="E3762" s="12" t="e">
        <f>MID(MAIN!A3767,K3762+4,2)</f>
        <v>#VALUE!</v>
      </c>
      <c r="F3762" s="2" t="e">
        <f t="shared" si="233"/>
        <v>#VALUE!</v>
      </c>
      <c r="G3762" s="13" t="e">
        <f t="shared" si="234"/>
        <v>#VALUE!</v>
      </c>
      <c r="J3762" t="str">
        <f>MAIN!A3767&amp;"B"</f>
        <v>B</v>
      </c>
      <c r="K3762" s="12" t="e">
        <f t="shared" si="235"/>
        <v>#VALUE!</v>
      </c>
      <c r="L3762" t="str">
        <f>MAIN!C3767</f>
        <v/>
      </c>
    </row>
    <row r="3763" spans="1:12" x14ac:dyDescent="0.3">
      <c r="A3763">
        <f>IF(J3763="0",0,IF(COUNTIF($J$2:J3763,J3763)=1,1,0))</f>
        <v>0</v>
      </c>
      <c r="B3763" s="12" t="e">
        <f>MID(MAIN!A3768,K3763,2)</f>
        <v>#VALUE!</v>
      </c>
      <c r="C3763" s="12" t="e">
        <f t="shared" si="232"/>
        <v>#VALUE!</v>
      </c>
      <c r="D3763" s="12" t="e">
        <f>MID(MAIN!A3768,K3763+2,2)</f>
        <v>#VALUE!</v>
      </c>
      <c r="E3763" s="12" t="e">
        <f>MID(MAIN!A3768,K3763+4,2)</f>
        <v>#VALUE!</v>
      </c>
      <c r="F3763" s="2" t="e">
        <f t="shared" si="233"/>
        <v>#VALUE!</v>
      </c>
      <c r="G3763" s="13" t="e">
        <f t="shared" si="234"/>
        <v>#VALUE!</v>
      </c>
      <c r="J3763" t="str">
        <f>MAIN!A3768&amp;"B"</f>
        <v>B</v>
      </c>
      <c r="K3763" s="12" t="e">
        <f t="shared" si="235"/>
        <v>#VALUE!</v>
      </c>
      <c r="L3763" t="str">
        <f>MAIN!C3768</f>
        <v/>
      </c>
    </row>
    <row r="3764" spans="1:12" x14ac:dyDescent="0.3">
      <c r="A3764">
        <f>IF(J3764="0",0,IF(COUNTIF($J$2:J3764,J3764)=1,1,0))</f>
        <v>0</v>
      </c>
      <c r="B3764" s="12" t="e">
        <f>MID(MAIN!A3769,K3764,2)</f>
        <v>#VALUE!</v>
      </c>
      <c r="C3764" s="12" t="e">
        <f t="shared" si="232"/>
        <v>#VALUE!</v>
      </c>
      <c r="D3764" s="12" t="e">
        <f>MID(MAIN!A3769,K3764+2,2)</f>
        <v>#VALUE!</v>
      </c>
      <c r="E3764" s="12" t="e">
        <f>MID(MAIN!A3769,K3764+4,2)</f>
        <v>#VALUE!</v>
      </c>
      <c r="F3764" s="2" t="e">
        <f t="shared" si="233"/>
        <v>#VALUE!</v>
      </c>
      <c r="G3764" s="13" t="e">
        <f t="shared" si="234"/>
        <v>#VALUE!</v>
      </c>
      <c r="J3764" t="str">
        <f>MAIN!A3769&amp;"B"</f>
        <v>B</v>
      </c>
      <c r="K3764" s="12" t="e">
        <f t="shared" si="235"/>
        <v>#VALUE!</v>
      </c>
      <c r="L3764" t="str">
        <f>MAIN!C3769</f>
        <v/>
      </c>
    </row>
    <row r="3765" spans="1:12" x14ac:dyDescent="0.3">
      <c r="A3765">
        <f>IF(J3765="0",0,IF(COUNTIF($J$2:J3765,J3765)=1,1,0))</f>
        <v>0</v>
      </c>
      <c r="B3765" s="12" t="e">
        <f>MID(MAIN!A3770,K3765,2)</f>
        <v>#VALUE!</v>
      </c>
      <c r="C3765" s="12" t="e">
        <f t="shared" si="232"/>
        <v>#VALUE!</v>
      </c>
      <c r="D3765" s="12" t="e">
        <f>MID(MAIN!A3770,K3765+2,2)</f>
        <v>#VALUE!</v>
      </c>
      <c r="E3765" s="12" t="e">
        <f>MID(MAIN!A3770,K3765+4,2)</f>
        <v>#VALUE!</v>
      </c>
      <c r="F3765" s="2" t="e">
        <f t="shared" si="233"/>
        <v>#VALUE!</v>
      </c>
      <c r="G3765" s="13" t="e">
        <f t="shared" si="234"/>
        <v>#VALUE!</v>
      </c>
      <c r="J3765" t="str">
        <f>MAIN!A3770&amp;"B"</f>
        <v>B</v>
      </c>
      <c r="K3765" s="12" t="e">
        <f t="shared" si="235"/>
        <v>#VALUE!</v>
      </c>
      <c r="L3765" t="str">
        <f>MAIN!C3770</f>
        <v/>
      </c>
    </row>
    <row r="3766" spans="1:12" x14ac:dyDescent="0.3">
      <c r="A3766">
        <f>IF(J3766="0",0,IF(COUNTIF($J$2:J3766,J3766)=1,1,0))</f>
        <v>0</v>
      </c>
      <c r="B3766" s="12" t="e">
        <f>MID(MAIN!A3771,K3766,2)</f>
        <v>#VALUE!</v>
      </c>
      <c r="C3766" s="12" t="e">
        <f t="shared" si="232"/>
        <v>#VALUE!</v>
      </c>
      <c r="D3766" s="12" t="e">
        <f>MID(MAIN!A3771,K3766+2,2)</f>
        <v>#VALUE!</v>
      </c>
      <c r="E3766" s="12" t="e">
        <f>MID(MAIN!A3771,K3766+4,2)</f>
        <v>#VALUE!</v>
      </c>
      <c r="F3766" s="2" t="e">
        <f t="shared" si="233"/>
        <v>#VALUE!</v>
      </c>
      <c r="G3766" s="13" t="e">
        <f t="shared" si="234"/>
        <v>#VALUE!</v>
      </c>
      <c r="J3766" t="str">
        <f>MAIN!A3771&amp;"B"</f>
        <v>B</v>
      </c>
      <c r="K3766" s="12" t="e">
        <f t="shared" si="235"/>
        <v>#VALUE!</v>
      </c>
      <c r="L3766" t="str">
        <f>MAIN!C3771</f>
        <v/>
      </c>
    </row>
    <row r="3767" spans="1:12" x14ac:dyDescent="0.3">
      <c r="A3767">
        <f>IF(J3767="0",0,IF(COUNTIF($J$2:J3767,J3767)=1,1,0))</f>
        <v>0</v>
      </c>
      <c r="B3767" s="12" t="e">
        <f>MID(MAIN!A3772,K3767,2)</f>
        <v>#VALUE!</v>
      </c>
      <c r="C3767" s="12" t="e">
        <f t="shared" si="232"/>
        <v>#VALUE!</v>
      </c>
      <c r="D3767" s="12" t="e">
        <f>MID(MAIN!A3772,K3767+2,2)</f>
        <v>#VALUE!</v>
      </c>
      <c r="E3767" s="12" t="e">
        <f>MID(MAIN!A3772,K3767+4,2)</f>
        <v>#VALUE!</v>
      </c>
      <c r="F3767" s="2" t="e">
        <f t="shared" si="233"/>
        <v>#VALUE!</v>
      </c>
      <c r="G3767" s="13" t="e">
        <f t="shared" si="234"/>
        <v>#VALUE!</v>
      </c>
      <c r="J3767" t="str">
        <f>MAIN!A3772&amp;"B"</f>
        <v>B</v>
      </c>
      <c r="K3767" s="12" t="e">
        <f t="shared" si="235"/>
        <v>#VALUE!</v>
      </c>
      <c r="L3767" t="str">
        <f>MAIN!C3772</f>
        <v/>
      </c>
    </row>
    <row r="3768" spans="1:12" x14ac:dyDescent="0.3">
      <c r="A3768">
        <f>IF(J3768="0",0,IF(COUNTIF($J$2:J3768,J3768)=1,1,0))</f>
        <v>0</v>
      </c>
      <c r="B3768" s="12" t="e">
        <f>MID(MAIN!A3773,K3768,2)</f>
        <v>#VALUE!</v>
      </c>
      <c r="C3768" s="12" t="e">
        <f t="shared" si="232"/>
        <v>#VALUE!</v>
      </c>
      <c r="D3768" s="12" t="e">
        <f>MID(MAIN!A3773,K3768+2,2)</f>
        <v>#VALUE!</v>
      </c>
      <c r="E3768" s="12" t="e">
        <f>MID(MAIN!A3773,K3768+4,2)</f>
        <v>#VALUE!</v>
      </c>
      <c r="F3768" s="2" t="e">
        <f t="shared" si="233"/>
        <v>#VALUE!</v>
      </c>
      <c r="G3768" s="13" t="e">
        <f t="shared" si="234"/>
        <v>#VALUE!</v>
      </c>
      <c r="J3768" t="str">
        <f>MAIN!A3773&amp;"B"</f>
        <v>B</v>
      </c>
      <c r="K3768" s="12" t="e">
        <f t="shared" si="235"/>
        <v>#VALUE!</v>
      </c>
      <c r="L3768" t="str">
        <f>MAIN!C3773</f>
        <v/>
      </c>
    </row>
    <row r="3769" spans="1:12" x14ac:dyDescent="0.3">
      <c r="A3769">
        <f>IF(J3769="0",0,IF(COUNTIF($J$2:J3769,J3769)=1,1,0))</f>
        <v>0</v>
      </c>
      <c r="B3769" s="12" t="e">
        <f>MID(MAIN!A3774,K3769,2)</f>
        <v>#VALUE!</v>
      </c>
      <c r="C3769" s="12" t="e">
        <f t="shared" si="232"/>
        <v>#VALUE!</v>
      </c>
      <c r="D3769" s="12" t="e">
        <f>MID(MAIN!A3774,K3769+2,2)</f>
        <v>#VALUE!</v>
      </c>
      <c r="E3769" s="12" t="e">
        <f>MID(MAIN!A3774,K3769+4,2)</f>
        <v>#VALUE!</v>
      </c>
      <c r="F3769" s="2" t="e">
        <f t="shared" si="233"/>
        <v>#VALUE!</v>
      </c>
      <c r="G3769" s="13" t="e">
        <f t="shared" si="234"/>
        <v>#VALUE!</v>
      </c>
      <c r="J3769" t="str">
        <f>MAIN!A3774&amp;"B"</f>
        <v>B</v>
      </c>
      <c r="K3769" s="12" t="e">
        <f t="shared" si="235"/>
        <v>#VALUE!</v>
      </c>
      <c r="L3769" t="str">
        <f>MAIN!C3774</f>
        <v/>
      </c>
    </row>
    <row r="3770" spans="1:12" x14ac:dyDescent="0.3">
      <c r="A3770">
        <f>IF(J3770="0",0,IF(COUNTIF($J$2:J3770,J3770)=1,1,0))</f>
        <v>0</v>
      </c>
      <c r="B3770" s="12" t="e">
        <f>MID(MAIN!A3775,K3770,2)</f>
        <v>#VALUE!</v>
      </c>
      <c r="C3770" s="12" t="e">
        <f t="shared" si="232"/>
        <v>#VALUE!</v>
      </c>
      <c r="D3770" s="12" t="e">
        <f>MID(MAIN!A3775,K3770+2,2)</f>
        <v>#VALUE!</v>
      </c>
      <c r="E3770" s="12" t="e">
        <f>MID(MAIN!A3775,K3770+4,2)</f>
        <v>#VALUE!</v>
      </c>
      <c r="F3770" s="2" t="e">
        <f t="shared" si="233"/>
        <v>#VALUE!</v>
      </c>
      <c r="G3770" s="13" t="e">
        <f t="shared" si="234"/>
        <v>#VALUE!</v>
      </c>
      <c r="J3770" t="str">
        <f>MAIN!A3775&amp;"B"</f>
        <v>B</v>
      </c>
      <c r="K3770" s="12" t="e">
        <f t="shared" si="235"/>
        <v>#VALUE!</v>
      </c>
      <c r="L3770" t="str">
        <f>MAIN!C3775</f>
        <v/>
      </c>
    </row>
    <row r="3771" spans="1:12" x14ac:dyDescent="0.3">
      <c r="A3771">
        <f>IF(J3771="0",0,IF(COUNTIF($J$2:J3771,J3771)=1,1,0))</f>
        <v>0</v>
      </c>
      <c r="B3771" s="12" t="e">
        <f>MID(MAIN!A3776,K3771,2)</f>
        <v>#VALUE!</v>
      </c>
      <c r="C3771" s="12" t="e">
        <f t="shared" si="232"/>
        <v>#VALUE!</v>
      </c>
      <c r="D3771" s="12" t="e">
        <f>MID(MAIN!A3776,K3771+2,2)</f>
        <v>#VALUE!</v>
      </c>
      <c r="E3771" s="12" t="e">
        <f>MID(MAIN!A3776,K3771+4,2)</f>
        <v>#VALUE!</v>
      </c>
      <c r="F3771" s="2" t="e">
        <f t="shared" si="233"/>
        <v>#VALUE!</v>
      </c>
      <c r="G3771" s="13" t="e">
        <f t="shared" si="234"/>
        <v>#VALUE!</v>
      </c>
      <c r="J3771" t="str">
        <f>MAIN!A3776&amp;"B"</f>
        <v>B</v>
      </c>
      <c r="K3771" s="12" t="e">
        <f t="shared" si="235"/>
        <v>#VALUE!</v>
      </c>
      <c r="L3771" t="str">
        <f>MAIN!C3776</f>
        <v/>
      </c>
    </row>
    <row r="3772" spans="1:12" x14ac:dyDescent="0.3">
      <c r="A3772">
        <f>IF(J3772="0",0,IF(COUNTIF($J$2:J3772,J3772)=1,1,0))</f>
        <v>0</v>
      </c>
      <c r="B3772" s="12" t="e">
        <f>MID(MAIN!A3777,K3772,2)</f>
        <v>#VALUE!</v>
      </c>
      <c r="C3772" s="12" t="e">
        <f t="shared" si="232"/>
        <v>#VALUE!</v>
      </c>
      <c r="D3772" s="12" t="e">
        <f>MID(MAIN!A3777,K3772+2,2)</f>
        <v>#VALUE!</v>
      </c>
      <c r="E3772" s="12" t="e">
        <f>MID(MAIN!A3777,K3772+4,2)</f>
        <v>#VALUE!</v>
      </c>
      <c r="F3772" s="2" t="e">
        <f t="shared" si="233"/>
        <v>#VALUE!</v>
      </c>
      <c r="G3772" s="13" t="e">
        <f t="shared" si="234"/>
        <v>#VALUE!</v>
      </c>
      <c r="J3772" t="str">
        <f>MAIN!A3777&amp;"B"</f>
        <v>B</v>
      </c>
      <c r="K3772" s="12" t="e">
        <f t="shared" si="235"/>
        <v>#VALUE!</v>
      </c>
      <c r="L3772" t="str">
        <f>MAIN!C3777</f>
        <v/>
      </c>
    </row>
    <row r="3773" spans="1:12" x14ac:dyDescent="0.3">
      <c r="A3773">
        <f>IF(J3773="0",0,IF(COUNTIF($J$2:J3773,J3773)=1,1,0))</f>
        <v>0</v>
      </c>
      <c r="B3773" s="12" t="e">
        <f>MID(MAIN!A3778,K3773,2)</f>
        <v>#VALUE!</v>
      </c>
      <c r="C3773" s="12" t="e">
        <f t="shared" si="232"/>
        <v>#VALUE!</v>
      </c>
      <c r="D3773" s="12" t="e">
        <f>MID(MAIN!A3778,K3773+2,2)</f>
        <v>#VALUE!</v>
      </c>
      <c r="E3773" s="12" t="e">
        <f>MID(MAIN!A3778,K3773+4,2)</f>
        <v>#VALUE!</v>
      </c>
      <c r="F3773" s="2" t="e">
        <f t="shared" si="233"/>
        <v>#VALUE!</v>
      </c>
      <c r="G3773" s="13" t="e">
        <f t="shared" si="234"/>
        <v>#VALUE!</v>
      </c>
      <c r="J3773" t="str">
        <f>MAIN!A3778&amp;"B"</f>
        <v>B</v>
      </c>
      <c r="K3773" s="12" t="e">
        <f t="shared" si="235"/>
        <v>#VALUE!</v>
      </c>
      <c r="L3773" t="str">
        <f>MAIN!C3778</f>
        <v/>
      </c>
    </row>
    <row r="3774" spans="1:12" x14ac:dyDescent="0.3">
      <c r="A3774">
        <f>IF(J3774="0",0,IF(COUNTIF($J$2:J3774,J3774)=1,1,0))</f>
        <v>0</v>
      </c>
      <c r="B3774" s="12" t="e">
        <f>MID(MAIN!A3779,K3774,2)</f>
        <v>#VALUE!</v>
      </c>
      <c r="C3774" s="12" t="e">
        <f t="shared" si="232"/>
        <v>#VALUE!</v>
      </c>
      <c r="D3774" s="12" t="e">
        <f>MID(MAIN!A3779,K3774+2,2)</f>
        <v>#VALUE!</v>
      </c>
      <c r="E3774" s="12" t="e">
        <f>MID(MAIN!A3779,K3774+4,2)</f>
        <v>#VALUE!</v>
      </c>
      <c r="F3774" s="2" t="e">
        <f t="shared" si="233"/>
        <v>#VALUE!</v>
      </c>
      <c r="G3774" s="13" t="e">
        <f t="shared" si="234"/>
        <v>#VALUE!</v>
      </c>
      <c r="J3774" t="str">
        <f>MAIN!A3779&amp;"B"</f>
        <v>B</v>
      </c>
      <c r="K3774" s="12" t="e">
        <f t="shared" si="235"/>
        <v>#VALUE!</v>
      </c>
      <c r="L3774" t="str">
        <f>MAIN!C3779</f>
        <v/>
      </c>
    </row>
    <row r="3775" spans="1:12" x14ac:dyDescent="0.3">
      <c r="A3775">
        <f>IF(J3775="0",0,IF(COUNTIF($J$2:J3775,J3775)=1,1,0))</f>
        <v>0</v>
      </c>
      <c r="B3775" s="12" t="e">
        <f>MID(MAIN!A3780,K3775,2)</f>
        <v>#VALUE!</v>
      </c>
      <c r="C3775" s="12" t="e">
        <f t="shared" si="232"/>
        <v>#VALUE!</v>
      </c>
      <c r="D3775" s="12" t="e">
        <f>MID(MAIN!A3780,K3775+2,2)</f>
        <v>#VALUE!</v>
      </c>
      <c r="E3775" s="12" t="e">
        <f>MID(MAIN!A3780,K3775+4,2)</f>
        <v>#VALUE!</v>
      </c>
      <c r="F3775" s="2" t="e">
        <f t="shared" si="233"/>
        <v>#VALUE!</v>
      </c>
      <c r="G3775" s="13" t="e">
        <f t="shared" si="234"/>
        <v>#VALUE!</v>
      </c>
      <c r="J3775" t="str">
        <f>MAIN!A3780&amp;"B"</f>
        <v>B</v>
      </c>
      <c r="K3775" s="12" t="e">
        <f t="shared" si="235"/>
        <v>#VALUE!</v>
      </c>
      <c r="L3775" t="str">
        <f>MAIN!C3780</f>
        <v/>
      </c>
    </row>
    <row r="3776" spans="1:12" x14ac:dyDescent="0.3">
      <c r="A3776">
        <f>IF(J3776="0",0,IF(COUNTIF($J$2:J3776,J3776)=1,1,0))</f>
        <v>0</v>
      </c>
      <c r="B3776" s="12" t="e">
        <f>MID(MAIN!A3781,K3776,2)</f>
        <v>#VALUE!</v>
      </c>
      <c r="C3776" s="12" t="e">
        <f t="shared" si="232"/>
        <v>#VALUE!</v>
      </c>
      <c r="D3776" s="12" t="e">
        <f>MID(MAIN!A3781,K3776+2,2)</f>
        <v>#VALUE!</v>
      </c>
      <c r="E3776" s="12" t="e">
        <f>MID(MAIN!A3781,K3776+4,2)</f>
        <v>#VALUE!</v>
      </c>
      <c r="F3776" s="2" t="e">
        <f t="shared" si="233"/>
        <v>#VALUE!</v>
      </c>
      <c r="G3776" s="13" t="e">
        <f t="shared" si="234"/>
        <v>#VALUE!</v>
      </c>
      <c r="J3776" t="str">
        <f>MAIN!A3781&amp;"B"</f>
        <v>B</v>
      </c>
      <c r="K3776" s="12" t="e">
        <f t="shared" si="235"/>
        <v>#VALUE!</v>
      </c>
      <c r="L3776" t="str">
        <f>MAIN!C3781</f>
        <v/>
      </c>
    </row>
    <row r="3777" spans="1:12" x14ac:dyDescent="0.3">
      <c r="A3777">
        <f>IF(J3777="0",0,IF(COUNTIF($J$2:J3777,J3777)=1,1,0))</f>
        <v>0</v>
      </c>
      <c r="B3777" s="12" t="e">
        <f>MID(MAIN!A3782,K3777,2)</f>
        <v>#VALUE!</v>
      </c>
      <c r="C3777" s="12" t="e">
        <f t="shared" si="232"/>
        <v>#VALUE!</v>
      </c>
      <c r="D3777" s="12" t="e">
        <f>MID(MAIN!A3782,K3777+2,2)</f>
        <v>#VALUE!</v>
      </c>
      <c r="E3777" s="12" t="e">
        <f>MID(MAIN!A3782,K3777+4,2)</f>
        <v>#VALUE!</v>
      </c>
      <c r="F3777" s="2" t="e">
        <f t="shared" si="233"/>
        <v>#VALUE!</v>
      </c>
      <c r="G3777" s="13" t="e">
        <f t="shared" si="234"/>
        <v>#VALUE!</v>
      </c>
      <c r="J3777" t="str">
        <f>MAIN!A3782&amp;"B"</f>
        <v>B</v>
      </c>
      <c r="K3777" s="12" t="e">
        <f t="shared" si="235"/>
        <v>#VALUE!</v>
      </c>
      <c r="L3777" t="str">
        <f>MAIN!C3782</f>
        <v/>
      </c>
    </row>
    <row r="3778" spans="1:12" x14ac:dyDescent="0.3">
      <c r="A3778">
        <f>IF(J3778="0",0,IF(COUNTIF($J$2:J3778,J3778)=1,1,0))</f>
        <v>0</v>
      </c>
      <c r="B3778" s="12" t="e">
        <f>MID(MAIN!A3783,K3778,2)</f>
        <v>#VALUE!</v>
      </c>
      <c r="C3778" s="12" t="e">
        <f t="shared" si="232"/>
        <v>#VALUE!</v>
      </c>
      <c r="D3778" s="12" t="e">
        <f>MID(MAIN!A3783,K3778+2,2)</f>
        <v>#VALUE!</v>
      </c>
      <c r="E3778" s="12" t="e">
        <f>MID(MAIN!A3783,K3778+4,2)</f>
        <v>#VALUE!</v>
      </c>
      <c r="F3778" s="2" t="e">
        <f t="shared" si="233"/>
        <v>#VALUE!</v>
      </c>
      <c r="G3778" s="13" t="e">
        <f t="shared" si="234"/>
        <v>#VALUE!</v>
      </c>
      <c r="J3778" t="str">
        <f>MAIN!A3783&amp;"B"</f>
        <v>B</v>
      </c>
      <c r="K3778" s="12" t="e">
        <f t="shared" si="235"/>
        <v>#VALUE!</v>
      </c>
      <c r="L3778" t="str">
        <f>MAIN!C3783</f>
        <v/>
      </c>
    </row>
    <row r="3779" spans="1:12" x14ac:dyDescent="0.3">
      <c r="A3779">
        <f>IF(J3779="0",0,IF(COUNTIF($J$2:J3779,J3779)=1,1,0))</f>
        <v>0</v>
      </c>
      <c r="B3779" s="12" t="e">
        <f>MID(MAIN!A3784,K3779,2)</f>
        <v>#VALUE!</v>
      </c>
      <c r="C3779" s="12" t="e">
        <f t="shared" ref="C3779:C3842" si="236">"20"&amp;B3779</f>
        <v>#VALUE!</v>
      </c>
      <c r="D3779" s="12" t="e">
        <f>MID(MAIN!A3784,K3779+2,2)</f>
        <v>#VALUE!</v>
      </c>
      <c r="E3779" s="12" t="e">
        <f>MID(MAIN!A3784,K3779+4,2)</f>
        <v>#VALUE!</v>
      </c>
      <c r="F3779" s="2" t="e">
        <f t="shared" ref="F3779:F3842" si="237">C3779&amp;"/"&amp;D3779&amp;"/"&amp;E3779</f>
        <v>#VALUE!</v>
      </c>
      <c r="G3779" s="13" t="e">
        <f t="shared" ref="G3779:G3842" si="238">DATEVALUE(F3779)</f>
        <v>#VALUE!</v>
      </c>
      <c r="J3779" t="str">
        <f>MAIN!A3784&amp;"B"</f>
        <v>B</v>
      </c>
      <c r="K3779" s="12" t="e">
        <f t="shared" ref="K3779:K3842" si="239">FIND("172",J3779,30)+2</f>
        <v>#VALUE!</v>
      </c>
      <c r="L3779" t="str">
        <f>MAIN!C3784</f>
        <v/>
      </c>
    </row>
    <row r="3780" spans="1:12" x14ac:dyDescent="0.3">
      <c r="A3780">
        <f>IF(J3780="0",0,IF(COUNTIF($J$2:J3780,J3780)=1,1,0))</f>
        <v>0</v>
      </c>
      <c r="B3780" s="12" t="e">
        <f>MID(MAIN!A3785,K3780,2)</f>
        <v>#VALUE!</v>
      </c>
      <c r="C3780" s="12" t="e">
        <f t="shared" si="236"/>
        <v>#VALUE!</v>
      </c>
      <c r="D3780" s="12" t="e">
        <f>MID(MAIN!A3785,K3780+2,2)</f>
        <v>#VALUE!</v>
      </c>
      <c r="E3780" s="12" t="e">
        <f>MID(MAIN!A3785,K3780+4,2)</f>
        <v>#VALUE!</v>
      </c>
      <c r="F3780" s="2" t="e">
        <f t="shared" si="237"/>
        <v>#VALUE!</v>
      </c>
      <c r="G3780" s="13" t="e">
        <f t="shared" si="238"/>
        <v>#VALUE!</v>
      </c>
      <c r="J3780" t="str">
        <f>MAIN!A3785&amp;"B"</f>
        <v>B</v>
      </c>
      <c r="K3780" s="12" t="e">
        <f t="shared" si="239"/>
        <v>#VALUE!</v>
      </c>
      <c r="L3780" t="str">
        <f>MAIN!C3785</f>
        <v/>
      </c>
    </row>
    <row r="3781" spans="1:12" x14ac:dyDescent="0.3">
      <c r="A3781">
        <f>IF(J3781="0",0,IF(COUNTIF($J$2:J3781,J3781)=1,1,0))</f>
        <v>0</v>
      </c>
      <c r="B3781" s="12" t="e">
        <f>MID(MAIN!A3786,K3781,2)</f>
        <v>#VALUE!</v>
      </c>
      <c r="C3781" s="12" t="e">
        <f t="shared" si="236"/>
        <v>#VALUE!</v>
      </c>
      <c r="D3781" s="12" t="e">
        <f>MID(MAIN!A3786,K3781+2,2)</f>
        <v>#VALUE!</v>
      </c>
      <c r="E3781" s="12" t="e">
        <f>MID(MAIN!A3786,K3781+4,2)</f>
        <v>#VALUE!</v>
      </c>
      <c r="F3781" s="2" t="e">
        <f t="shared" si="237"/>
        <v>#VALUE!</v>
      </c>
      <c r="G3781" s="13" t="e">
        <f t="shared" si="238"/>
        <v>#VALUE!</v>
      </c>
      <c r="J3781" t="str">
        <f>MAIN!A3786&amp;"B"</f>
        <v>B</v>
      </c>
      <c r="K3781" s="12" t="e">
        <f t="shared" si="239"/>
        <v>#VALUE!</v>
      </c>
      <c r="L3781" t="str">
        <f>MAIN!C3786</f>
        <v/>
      </c>
    </row>
    <row r="3782" spans="1:12" x14ac:dyDescent="0.3">
      <c r="A3782">
        <f>IF(J3782="0",0,IF(COUNTIF($J$2:J3782,J3782)=1,1,0))</f>
        <v>0</v>
      </c>
      <c r="B3782" s="12" t="e">
        <f>MID(MAIN!A3787,K3782,2)</f>
        <v>#VALUE!</v>
      </c>
      <c r="C3782" s="12" t="e">
        <f t="shared" si="236"/>
        <v>#VALUE!</v>
      </c>
      <c r="D3782" s="12" t="e">
        <f>MID(MAIN!A3787,K3782+2,2)</f>
        <v>#VALUE!</v>
      </c>
      <c r="E3782" s="12" t="e">
        <f>MID(MAIN!A3787,K3782+4,2)</f>
        <v>#VALUE!</v>
      </c>
      <c r="F3782" s="2" t="e">
        <f t="shared" si="237"/>
        <v>#VALUE!</v>
      </c>
      <c r="G3782" s="13" t="e">
        <f t="shared" si="238"/>
        <v>#VALUE!</v>
      </c>
      <c r="J3782" t="str">
        <f>MAIN!A3787&amp;"B"</f>
        <v>B</v>
      </c>
      <c r="K3782" s="12" t="e">
        <f t="shared" si="239"/>
        <v>#VALUE!</v>
      </c>
      <c r="L3782" t="str">
        <f>MAIN!C3787</f>
        <v/>
      </c>
    </row>
    <row r="3783" spans="1:12" x14ac:dyDescent="0.3">
      <c r="A3783">
        <f>IF(J3783="0",0,IF(COUNTIF($J$2:J3783,J3783)=1,1,0))</f>
        <v>0</v>
      </c>
      <c r="B3783" s="12" t="e">
        <f>MID(MAIN!A3788,K3783,2)</f>
        <v>#VALUE!</v>
      </c>
      <c r="C3783" s="12" t="e">
        <f t="shared" si="236"/>
        <v>#VALUE!</v>
      </c>
      <c r="D3783" s="12" t="e">
        <f>MID(MAIN!A3788,K3783+2,2)</f>
        <v>#VALUE!</v>
      </c>
      <c r="E3783" s="12" t="e">
        <f>MID(MAIN!A3788,K3783+4,2)</f>
        <v>#VALUE!</v>
      </c>
      <c r="F3783" s="2" t="e">
        <f t="shared" si="237"/>
        <v>#VALUE!</v>
      </c>
      <c r="G3783" s="13" t="e">
        <f t="shared" si="238"/>
        <v>#VALUE!</v>
      </c>
      <c r="J3783" t="str">
        <f>MAIN!A3788&amp;"B"</f>
        <v>B</v>
      </c>
      <c r="K3783" s="12" t="e">
        <f t="shared" si="239"/>
        <v>#VALUE!</v>
      </c>
      <c r="L3783" t="str">
        <f>MAIN!C3788</f>
        <v/>
      </c>
    </row>
    <row r="3784" spans="1:12" x14ac:dyDescent="0.3">
      <c r="A3784">
        <f>IF(J3784="0",0,IF(COUNTIF($J$2:J3784,J3784)=1,1,0))</f>
        <v>0</v>
      </c>
      <c r="B3784" s="12" t="e">
        <f>MID(MAIN!A3789,K3784,2)</f>
        <v>#VALUE!</v>
      </c>
      <c r="C3784" s="12" t="e">
        <f t="shared" si="236"/>
        <v>#VALUE!</v>
      </c>
      <c r="D3784" s="12" t="e">
        <f>MID(MAIN!A3789,K3784+2,2)</f>
        <v>#VALUE!</v>
      </c>
      <c r="E3784" s="12" t="e">
        <f>MID(MAIN!A3789,K3784+4,2)</f>
        <v>#VALUE!</v>
      </c>
      <c r="F3784" s="2" t="e">
        <f t="shared" si="237"/>
        <v>#VALUE!</v>
      </c>
      <c r="G3784" s="13" t="e">
        <f t="shared" si="238"/>
        <v>#VALUE!</v>
      </c>
      <c r="J3784" t="str">
        <f>MAIN!A3789&amp;"B"</f>
        <v>B</v>
      </c>
      <c r="K3784" s="12" t="e">
        <f t="shared" si="239"/>
        <v>#VALUE!</v>
      </c>
      <c r="L3784" t="str">
        <f>MAIN!C3789</f>
        <v/>
      </c>
    </row>
    <row r="3785" spans="1:12" x14ac:dyDescent="0.3">
      <c r="A3785">
        <f>IF(J3785="0",0,IF(COUNTIF($J$2:J3785,J3785)=1,1,0))</f>
        <v>0</v>
      </c>
      <c r="B3785" s="12" t="e">
        <f>MID(MAIN!A3790,K3785,2)</f>
        <v>#VALUE!</v>
      </c>
      <c r="C3785" s="12" t="e">
        <f t="shared" si="236"/>
        <v>#VALUE!</v>
      </c>
      <c r="D3785" s="12" t="e">
        <f>MID(MAIN!A3790,K3785+2,2)</f>
        <v>#VALUE!</v>
      </c>
      <c r="E3785" s="12" t="e">
        <f>MID(MAIN!A3790,K3785+4,2)</f>
        <v>#VALUE!</v>
      </c>
      <c r="F3785" s="2" t="e">
        <f t="shared" si="237"/>
        <v>#VALUE!</v>
      </c>
      <c r="G3785" s="13" t="e">
        <f t="shared" si="238"/>
        <v>#VALUE!</v>
      </c>
      <c r="J3785" t="str">
        <f>MAIN!A3790&amp;"B"</f>
        <v>B</v>
      </c>
      <c r="K3785" s="12" t="e">
        <f t="shared" si="239"/>
        <v>#VALUE!</v>
      </c>
      <c r="L3785" t="str">
        <f>MAIN!C3790</f>
        <v/>
      </c>
    </row>
    <row r="3786" spans="1:12" x14ac:dyDescent="0.3">
      <c r="A3786">
        <f>IF(J3786="0",0,IF(COUNTIF($J$2:J3786,J3786)=1,1,0))</f>
        <v>0</v>
      </c>
      <c r="B3786" s="12" t="e">
        <f>MID(MAIN!A3791,K3786,2)</f>
        <v>#VALUE!</v>
      </c>
      <c r="C3786" s="12" t="e">
        <f t="shared" si="236"/>
        <v>#VALUE!</v>
      </c>
      <c r="D3786" s="12" t="e">
        <f>MID(MAIN!A3791,K3786+2,2)</f>
        <v>#VALUE!</v>
      </c>
      <c r="E3786" s="12" t="e">
        <f>MID(MAIN!A3791,K3786+4,2)</f>
        <v>#VALUE!</v>
      </c>
      <c r="F3786" s="2" t="e">
        <f t="shared" si="237"/>
        <v>#VALUE!</v>
      </c>
      <c r="G3786" s="13" t="e">
        <f t="shared" si="238"/>
        <v>#VALUE!</v>
      </c>
      <c r="J3786" t="str">
        <f>MAIN!A3791&amp;"B"</f>
        <v>B</v>
      </c>
      <c r="K3786" s="12" t="e">
        <f t="shared" si="239"/>
        <v>#VALUE!</v>
      </c>
      <c r="L3786" t="str">
        <f>MAIN!C3791</f>
        <v/>
      </c>
    </row>
    <row r="3787" spans="1:12" x14ac:dyDescent="0.3">
      <c r="A3787">
        <f>IF(J3787="0",0,IF(COUNTIF($J$2:J3787,J3787)=1,1,0))</f>
        <v>0</v>
      </c>
      <c r="B3787" s="12" t="e">
        <f>MID(MAIN!A3792,K3787,2)</f>
        <v>#VALUE!</v>
      </c>
      <c r="C3787" s="12" t="e">
        <f t="shared" si="236"/>
        <v>#VALUE!</v>
      </c>
      <c r="D3787" s="12" t="e">
        <f>MID(MAIN!A3792,K3787+2,2)</f>
        <v>#VALUE!</v>
      </c>
      <c r="E3787" s="12" t="e">
        <f>MID(MAIN!A3792,K3787+4,2)</f>
        <v>#VALUE!</v>
      </c>
      <c r="F3787" s="2" t="e">
        <f t="shared" si="237"/>
        <v>#VALUE!</v>
      </c>
      <c r="G3787" s="13" t="e">
        <f t="shared" si="238"/>
        <v>#VALUE!</v>
      </c>
      <c r="J3787" t="str">
        <f>MAIN!A3792&amp;"B"</f>
        <v>B</v>
      </c>
      <c r="K3787" s="12" t="e">
        <f t="shared" si="239"/>
        <v>#VALUE!</v>
      </c>
      <c r="L3787" t="str">
        <f>MAIN!C3792</f>
        <v/>
      </c>
    </row>
    <row r="3788" spans="1:12" x14ac:dyDescent="0.3">
      <c r="A3788">
        <f>IF(J3788="0",0,IF(COUNTIF($J$2:J3788,J3788)=1,1,0))</f>
        <v>0</v>
      </c>
      <c r="B3788" s="12" t="e">
        <f>MID(MAIN!A3793,K3788,2)</f>
        <v>#VALUE!</v>
      </c>
      <c r="C3788" s="12" t="e">
        <f t="shared" si="236"/>
        <v>#VALUE!</v>
      </c>
      <c r="D3788" s="12" t="e">
        <f>MID(MAIN!A3793,K3788+2,2)</f>
        <v>#VALUE!</v>
      </c>
      <c r="E3788" s="12" t="e">
        <f>MID(MAIN!A3793,K3788+4,2)</f>
        <v>#VALUE!</v>
      </c>
      <c r="F3788" s="2" t="e">
        <f t="shared" si="237"/>
        <v>#VALUE!</v>
      </c>
      <c r="G3788" s="13" t="e">
        <f t="shared" si="238"/>
        <v>#VALUE!</v>
      </c>
      <c r="J3788" t="str">
        <f>MAIN!A3793&amp;"B"</f>
        <v>B</v>
      </c>
      <c r="K3788" s="12" t="e">
        <f t="shared" si="239"/>
        <v>#VALUE!</v>
      </c>
      <c r="L3788" t="str">
        <f>MAIN!C3793</f>
        <v/>
      </c>
    </row>
    <row r="3789" spans="1:12" x14ac:dyDescent="0.3">
      <c r="A3789">
        <f>IF(J3789="0",0,IF(COUNTIF($J$2:J3789,J3789)=1,1,0))</f>
        <v>0</v>
      </c>
      <c r="B3789" s="12" t="e">
        <f>MID(MAIN!A3794,K3789,2)</f>
        <v>#VALUE!</v>
      </c>
      <c r="C3789" s="12" t="e">
        <f t="shared" si="236"/>
        <v>#VALUE!</v>
      </c>
      <c r="D3789" s="12" t="e">
        <f>MID(MAIN!A3794,K3789+2,2)</f>
        <v>#VALUE!</v>
      </c>
      <c r="E3789" s="12" t="e">
        <f>MID(MAIN!A3794,K3789+4,2)</f>
        <v>#VALUE!</v>
      </c>
      <c r="F3789" s="2" t="e">
        <f t="shared" si="237"/>
        <v>#VALUE!</v>
      </c>
      <c r="G3789" s="13" t="e">
        <f t="shared" si="238"/>
        <v>#VALUE!</v>
      </c>
      <c r="J3789" t="str">
        <f>MAIN!A3794&amp;"B"</f>
        <v>B</v>
      </c>
      <c r="K3789" s="12" t="e">
        <f t="shared" si="239"/>
        <v>#VALUE!</v>
      </c>
      <c r="L3789" t="str">
        <f>MAIN!C3794</f>
        <v/>
      </c>
    </row>
    <row r="3790" spans="1:12" x14ac:dyDescent="0.3">
      <c r="A3790">
        <f>IF(J3790="0",0,IF(COUNTIF($J$2:J3790,J3790)=1,1,0))</f>
        <v>0</v>
      </c>
      <c r="B3790" s="12" t="e">
        <f>MID(MAIN!A3795,K3790,2)</f>
        <v>#VALUE!</v>
      </c>
      <c r="C3790" s="12" t="e">
        <f t="shared" si="236"/>
        <v>#VALUE!</v>
      </c>
      <c r="D3790" s="12" t="e">
        <f>MID(MAIN!A3795,K3790+2,2)</f>
        <v>#VALUE!</v>
      </c>
      <c r="E3790" s="12" t="e">
        <f>MID(MAIN!A3795,K3790+4,2)</f>
        <v>#VALUE!</v>
      </c>
      <c r="F3790" s="2" t="e">
        <f t="shared" si="237"/>
        <v>#VALUE!</v>
      </c>
      <c r="G3790" s="13" t="e">
        <f t="shared" si="238"/>
        <v>#VALUE!</v>
      </c>
      <c r="J3790" t="str">
        <f>MAIN!A3795&amp;"B"</f>
        <v>B</v>
      </c>
      <c r="K3790" s="12" t="e">
        <f t="shared" si="239"/>
        <v>#VALUE!</v>
      </c>
      <c r="L3790" t="str">
        <f>MAIN!C3795</f>
        <v/>
      </c>
    </row>
    <row r="3791" spans="1:12" x14ac:dyDescent="0.3">
      <c r="A3791">
        <f>IF(J3791="0",0,IF(COUNTIF($J$2:J3791,J3791)=1,1,0))</f>
        <v>0</v>
      </c>
      <c r="B3791" s="12" t="e">
        <f>MID(MAIN!A3796,K3791,2)</f>
        <v>#VALUE!</v>
      </c>
      <c r="C3791" s="12" t="e">
        <f t="shared" si="236"/>
        <v>#VALUE!</v>
      </c>
      <c r="D3791" s="12" t="e">
        <f>MID(MAIN!A3796,K3791+2,2)</f>
        <v>#VALUE!</v>
      </c>
      <c r="E3791" s="12" t="e">
        <f>MID(MAIN!A3796,K3791+4,2)</f>
        <v>#VALUE!</v>
      </c>
      <c r="F3791" s="2" t="e">
        <f t="shared" si="237"/>
        <v>#VALUE!</v>
      </c>
      <c r="G3791" s="13" t="e">
        <f t="shared" si="238"/>
        <v>#VALUE!</v>
      </c>
      <c r="J3791" t="str">
        <f>MAIN!A3796&amp;"B"</f>
        <v>B</v>
      </c>
      <c r="K3791" s="12" t="e">
        <f t="shared" si="239"/>
        <v>#VALUE!</v>
      </c>
      <c r="L3791" t="str">
        <f>MAIN!C3796</f>
        <v/>
      </c>
    </row>
    <row r="3792" spans="1:12" x14ac:dyDescent="0.3">
      <c r="A3792">
        <f>IF(J3792="0",0,IF(COUNTIF($J$2:J3792,J3792)=1,1,0))</f>
        <v>0</v>
      </c>
      <c r="B3792" s="12" t="e">
        <f>MID(MAIN!A3797,K3792,2)</f>
        <v>#VALUE!</v>
      </c>
      <c r="C3792" s="12" t="e">
        <f t="shared" si="236"/>
        <v>#VALUE!</v>
      </c>
      <c r="D3792" s="12" t="e">
        <f>MID(MAIN!A3797,K3792+2,2)</f>
        <v>#VALUE!</v>
      </c>
      <c r="E3792" s="12" t="e">
        <f>MID(MAIN!A3797,K3792+4,2)</f>
        <v>#VALUE!</v>
      </c>
      <c r="F3792" s="2" t="e">
        <f t="shared" si="237"/>
        <v>#VALUE!</v>
      </c>
      <c r="G3792" s="13" t="e">
        <f t="shared" si="238"/>
        <v>#VALUE!</v>
      </c>
      <c r="J3792" t="str">
        <f>MAIN!A3797&amp;"B"</f>
        <v>B</v>
      </c>
      <c r="K3792" s="12" t="e">
        <f t="shared" si="239"/>
        <v>#VALUE!</v>
      </c>
      <c r="L3792" t="str">
        <f>MAIN!C3797</f>
        <v/>
      </c>
    </row>
    <row r="3793" spans="1:12" x14ac:dyDescent="0.3">
      <c r="A3793">
        <f>IF(J3793="0",0,IF(COUNTIF($J$2:J3793,J3793)=1,1,0))</f>
        <v>0</v>
      </c>
      <c r="B3793" s="12" t="e">
        <f>MID(MAIN!A3798,K3793,2)</f>
        <v>#VALUE!</v>
      </c>
      <c r="C3793" s="12" t="e">
        <f t="shared" si="236"/>
        <v>#VALUE!</v>
      </c>
      <c r="D3793" s="12" t="e">
        <f>MID(MAIN!A3798,K3793+2,2)</f>
        <v>#VALUE!</v>
      </c>
      <c r="E3793" s="12" t="e">
        <f>MID(MAIN!A3798,K3793+4,2)</f>
        <v>#VALUE!</v>
      </c>
      <c r="F3793" s="2" t="e">
        <f t="shared" si="237"/>
        <v>#VALUE!</v>
      </c>
      <c r="G3793" s="13" t="e">
        <f t="shared" si="238"/>
        <v>#VALUE!</v>
      </c>
      <c r="J3793" t="str">
        <f>MAIN!A3798&amp;"B"</f>
        <v>B</v>
      </c>
      <c r="K3793" s="12" t="e">
        <f t="shared" si="239"/>
        <v>#VALUE!</v>
      </c>
      <c r="L3793" t="str">
        <f>MAIN!C3798</f>
        <v/>
      </c>
    </row>
    <row r="3794" spans="1:12" x14ac:dyDescent="0.3">
      <c r="A3794">
        <f>IF(J3794="0",0,IF(COUNTIF($J$2:J3794,J3794)=1,1,0))</f>
        <v>0</v>
      </c>
      <c r="B3794" s="12" t="e">
        <f>MID(MAIN!A3799,K3794,2)</f>
        <v>#VALUE!</v>
      </c>
      <c r="C3794" s="12" t="e">
        <f t="shared" si="236"/>
        <v>#VALUE!</v>
      </c>
      <c r="D3794" s="12" t="e">
        <f>MID(MAIN!A3799,K3794+2,2)</f>
        <v>#VALUE!</v>
      </c>
      <c r="E3794" s="12" t="e">
        <f>MID(MAIN!A3799,K3794+4,2)</f>
        <v>#VALUE!</v>
      </c>
      <c r="F3794" s="2" t="e">
        <f t="shared" si="237"/>
        <v>#VALUE!</v>
      </c>
      <c r="G3794" s="13" t="e">
        <f t="shared" si="238"/>
        <v>#VALUE!</v>
      </c>
      <c r="J3794" t="str">
        <f>MAIN!A3799&amp;"B"</f>
        <v>B</v>
      </c>
      <c r="K3794" s="12" t="e">
        <f t="shared" si="239"/>
        <v>#VALUE!</v>
      </c>
      <c r="L3794" t="str">
        <f>MAIN!C3799</f>
        <v/>
      </c>
    </row>
    <row r="3795" spans="1:12" x14ac:dyDescent="0.3">
      <c r="A3795">
        <f>IF(J3795="0",0,IF(COUNTIF($J$2:J3795,J3795)=1,1,0))</f>
        <v>0</v>
      </c>
      <c r="B3795" s="12" t="e">
        <f>MID(MAIN!A3800,K3795,2)</f>
        <v>#VALUE!</v>
      </c>
      <c r="C3795" s="12" t="e">
        <f t="shared" si="236"/>
        <v>#VALUE!</v>
      </c>
      <c r="D3795" s="12" t="e">
        <f>MID(MAIN!A3800,K3795+2,2)</f>
        <v>#VALUE!</v>
      </c>
      <c r="E3795" s="12" t="e">
        <f>MID(MAIN!A3800,K3795+4,2)</f>
        <v>#VALUE!</v>
      </c>
      <c r="F3795" s="2" t="e">
        <f t="shared" si="237"/>
        <v>#VALUE!</v>
      </c>
      <c r="G3795" s="13" t="e">
        <f t="shared" si="238"/>
        <v>#VALUE!</v>
      </c>
      <c r="J3795" t="str">
        <f>MAIN!A3800&amp;"B"</f>
        <v>B</v>
      </c>
      <c r="K3795" s="12" t="e">
        <f t="shared" si="239"/>
        <v>#VALUE!</v>
      </c>
      <c r="L3795" t="str">
        <f>MAIN!C3800</f>
        <v/>
      </c>
    </row>
    <row r="3796" spans="1:12" x14ac:dyDescent="0.3">
      <c r="A3796">
        <f>IF(J3796="0",0,IF(COUNTIF($J$2:J3796,J3796)=1,1,0))</f>
        <v>0</v>
      </c>
      <c r="B3796" s="12" t="e">
        <f>MID(MAIN!A3801,K3796,2)</f>
        <v>#VALUE!</v>
      </c>
      <c r="C3796" s="12" t="e">
        <f t="shared" si="236"/>
        <v>#VALUE!</v>
      </c>
      <c r="D3796" s="12" t="e">
        <f>MID(MAIN!A3801,K3796+2,2)</f>
        <v>#VALUE!</v>
      </c>
      <c r="E3796" s="12" t="e">
        <f>MID(MAIN!A3801,K3796+4,2)</f>
        <v>#VALUE!</v>
      </c>
      <c r="F3796" s="2" t="e">
        <f t="shared" si="237"/>
        <v>#VALUE!</v>
      </c>
      <c r="G3796" s="13" t="e">
        <f t="shared" si="238"/>
        <v>#VALUE!</v>
      </c>
      <c r="J3796" t="str">
        <f>MAIN!A3801&amp;"B"</f>
        <v>B</v>
      </c>
      <c r="K3796" s="12" t="e">
        <f t="shared" si="239"/>
        <v>#VALUE!</v>
      </c>
      <c r="L3796" t="str">
        <f>MAIN!C3801</f>
        <v/>
      </c>
    </row>
    <row r="3797" spans="1:12" x14ac:dyDescent="0.3">
      <c r="A3797">
        <f>IF(J3797="0",0,IF(COUNTIF($J$2:J3797,J3797)=1,1,0))</f>
        <v>0</v>
      </c>
      <c r="B3797" s="12" t="e">
        <f>MID(MAIN!A3802,K3797,2)</f>
        <v>#VALUE!</v>
      </c>
      <c r="C3797" s="12" t="e">
        <f t="shared" si="236"/>
        <v>#VALUE!</v>
      </c>
      <c r="D3797" s="12" t="e">
        <f>MID(MAIN!A3802,K3797+2,2)</f>
        <v>#VALUE!</v>
      </c>
      <c r="E3797" s="12" t="e">
        <f>MID(MAIN!A3802,K3797+4,2)</f>
        <v>#VALUE!</v>
      </c>
      <c r="F3797" s="2" t="e">
        <f t="shared" si="237"/>
        <v>#VALUE!</v>
      </c>
      <c r="G3797" s="13" t="e">
        <f t="shared" si="238"/>
        <v>#VALUE!</v>
      </c>
      <c r="J3797" t="str">
        <f>MAIN!A3802&amp;"B"</f>
        <v>B</v>
      </c>
      <c r="K3797" s="12" t="e">
        <f t="shared" si="239"/>
        <v>#VALUE!</v>
      </c>
      <c r="L3797" t="str">
        <f>MAIN!C3802</f>
        <v/>
      </c>
    </row>
    <row r="3798" spans="1:12" x14ac:dyDescent="0.3">
      <c r="A3798">
        <f>IF(J3798="0",0,IF(COUNTIF($J$2:J3798,J3798)=1,1,0))</f>
        <v>0</v>
      </c>
      <c r="B3798" s="12" t="e">
        <f>MID(MAIN!A3803,K3798,2)</f>
        <v>#VALUE!</v>
      </c>
      <c r="C3798" s="12" t="e">
        <f t="shared" si="236"/>
        <v>#VALUE!</v>
      </c>
      <c r="D3798" s="12" t="e">
        <f>MID(MAIN!A3803,K3798+2,2)</f>
        <v>#VALUE!</v>
      </c>
      <c r="E3798" s="12" t="e">
        <f>MID(MAIN!A3803,K3798+4,2)</f>
        <v>#VALUE!</v>
      </c>
      <c r="F3798" s="2" t="e">
        <f t="shared" si="237"/>
        <v>#VALUE!</v>
      </c>
      <c r="G3798" s="13" t="e">
        <f t="shared" si="238"/>
        <v>#VALUE!</v>
      </c>
      <c r="J3798" t="str">
        <f>MAIN!A3803&amp;"B"</f>
        <v>B</v>
      </c>
      <c r="K3798" s="12" t="e">
        <f t="shared" si="239"/>
        <v>#VALUE!</v>
      </c>
      <c r="L3798" t="str">
        <f>MAIN!C3803</f>
        <v/>
      </c>
    </row>
    <row r="3799" spans="1:12" x14ac:dyDescent="0.3">
      <c r="A3799">
        <f>IF(J3799="0",0,IF(COUNTIF($J$2:J3799,J3799)=1,1,0))</f>
        <v>0</v>
      </c>
      <c r="B3799" s="12" t="e">
        <f>MID(MAIN!A3804,K3799,2)</f>
        <v>#VALUE!</v>
      </c>
      <c r="C3799" s="12" t="e">
        <f t="shared" si="236"/>
        <v>#VALUE!</v>
      </c>
      <c r="D3799" s="12" t="e">
        <f>MID(MAIN!A3804,K3799+2,2)</f>
        <v>#VALUE!</v>
      </c>
      <c r="E3799" s="12" t="e">
        <f>MID(MAIN!A3804,K3799+4,2)</f>
        <v>#VALUE!</v>
      </c>
      <c r="F3799" s="2" t="e">
        <f t="shared" si="237"/>
        <v>#VALUE!</v>
      </c>
      <c r="G3799" s="13" t="e">
        <f t="shared" si="238"/>
        <v>#VALUE!</v>
      </c>
      <c r="J3799" t="str">
        <f>MAIN!A3804&amp;"B"</f>
        <v>B</v>
      </c>
      <c r="K3799" s="12" t="e">
        <f t="shared" si="239"/>
        <v>#VALUE!</v>
      </c>
      <c r="L3799" t="str">
        <f>MAIN!C3804</f>
        <v/>
      </c>
    </row>
    <row r="3800" spans="1:12" x14ac:dyDescent="0.3">
      <c r="A3800">
        <f>IF(J3800="0",0,IF(COUNTIF($J$2:J3800,J3800)=1,1,0))</f>
        <v>0</v>
      </c>
      <c r="B3800" s="12" t="e">
        <f>MID(MAIN!A3805,K3800,2)</f>
        <v>#VALUE!</v>
      </c>
      <c r="C3800" s="12" t="e">
        <f t="shared" si="236"/>
        <v>#VALUE!</v>
      </c>
      <c r="D3800" s="12" t="e">
        <f>MID(MAIN!A3805,K3800+2,2)</f>
        <v>#VALUE!</v>
      </c>
      <c r="E3800" s="12" t="e">
        <f>MID(MAIN!A3805,K3800+4,2)</f>
        <v>#VALUE!</v>
      </c>
      <c r="F3800" s="2" t="e">
        <f t="shared" si="237"/>
        <v>#VALUE!</v>
      </c>
      <c r="G3800" s="13" t="e">
        <f t="shared" si="238"/>
        <v>#VALUE!</v>
      </c>
      <c r="J3800" t="str">
        <f>MAIN!A3805&amp;"B"</f>
        <v>B</v>
      </c>
      <c r="K3800" s="12" t="e">
        <f t="shared" si="239"/>
        <v>#VALUE!</v>
      </c>
      <c r="L3800" t="str">
        <f>MAIN!C3805</f>
        <v/>
      </c>
    </row>
    <row r="3801" spans="1:12" x14ac:dyDescent="0.3">
      <c r="A3801">
        <f>IF(J3801="0",0,IF(COUNTIF($J$2:J3801,J3801)=1,1,0))</f>
        <v>0</v>
      </c>
      <c r="B3801" s="12" t="e">
        <f>MID(MAIN!A3806,K3801,2)</f>
        <v>#VALUE!</v>
      </c>
      <c r="C3801" s="12" t="e">
        <f t="shared" si="236"/>
        <v>#VALUE!</v>
      </c>
      <c r="D3801" s="12" t="e">
        <f>MID(MAIN!A3806,K3801+2,2)</f>
        <v>#VALUE!</v>
      </c>
      <c r="E3801" s="12" t="e">
        <f>MID(MAIN!A3806,K3801+4,2)</f>
        <v>#VALUE!</v>
      </c>
      <c r="F3801" s="2" t="e">
        <f t="shared" si="237"/>
        <v>#VALUE!</v>
      </c>
      <c r="G3801" s="13" t="e">
        <f t="shared" si="238"/>
        <v>#VALUE!</v>
      </c>
      <c r="J3801" t="str">
        <f>MAIN!A3806&amp;"B"</f>
        <v>B</v>
      </c>
      <c r="K3801" s="12" t="e">
        <f t="shared" si="239"/>
        <v>#VALUE!</v>
      </c>
      <c r="L3801" t="str">
        <f>MAIN!C3806</f>
        <v/>
      </c>
    </row>
    <row r="3802" spans="1:12" x14ac:dyDescent="0.3">
      <c r="A3802">
        <f>IF(J3802="0",0,IF(COUNTIF($J$2:J3802,J3802)=1,1,0))</f>
        <v>0</v>
      </c>
      <c r="B3802" s="12" t="e">
        <f>MID(MAIN!A3807,K3802,2)</f>
        <v>#VALUE!</v>
      </c>
      <c r="C3802" s="12" t="e">
        <f t="shared" si="236"/>
        <v>#VALUE!</v>
      </c>
      <c r="D3802" s="12" t="e">
        <f>MID(MAIN!A3807,K3802+2,2)</f>
        <v>#VALUE!</v>
      </c>
      <c r="E3802" s="12" t="e">
        <f>MID(MAIN!A3807,K3802+4,2)</f>
        <v>#VALUE!</v>
      </c>
      <c r="F3802" s="2" t="e">
        <f t="shared" si="237"/>
        <v>#VALUE!</v>
      </c>
      <c r="G3802" s="13" t="e">
        <f t="shared" si="238"/>
        <v>#VALUE!</v>
      </c>
      <c r="J3802" t="str">
        <f>MAIN!A3807&amp;"B"</f>
        <v>B</v>
      </c>
      <c r="K3802" s="12" t="e">
        <f t="shared" si="239"/>
        <v>#VALUE!</v>
      </c>
      <c r="L3802" t="str">
        <f>MAIN!C3807</f>
        <v/>
      </c>
    </row>
    <row r="3803" spans="1:12" x14ac:dyDescent="0.3">
      <c r="A3803">
        <f>IF(J3803="0",0,IF(COUNTIF($J$2:J3803,J3803)=1,1,0))</f>
        <v>0</v>
      </c>
      <c r="B3803" s="12" t="e">
        <f>MID(MAIN!A3808,K3803,2)</f>
        <v>#VALUE!</v>
      </c>
      <c r="C3803" s="12" t="e">
        <f t="shared" si="236"/>
        <v>#VALUE!</v>
      </c>
      <c r="D3803" s="12" t="e">
        <f>MID(MAIN!A3808,K3803+2,2)</f>
        <v>#VALUE!</v>
      </c>
      <c r="E3803" s="12" t="e">
        <f>MID(MAIN!A3808,K3803+4,2)</f>
        <v>#VALUE!</v>
      </c>
      <c r="F3803" s="2" t="e">
        <f t="shared" si="237"/>
        <v>#VALUE!</v>
      </c>
      <c r="G3803" s="13" t="e">
        <f t="shared" si="238"/>
        <v>#VALUE!</v>
      </c>
      <c r="J3803" t="str">
        <f>MAIN!A3808&amp;"B"</f>
        <v>B</v>
      </c>
      <c r="K3803" s="12" t="e">
        <f t="shared" si="239"/>
        <v>#VALUE!</v>
      </c>
      <c r="L3803" t="str">
        <f>MAIN!C3808</f>
        <v/>
      </c>
    </row>
    <row r="3804" spans="1:12" x14ac:dyDescent="0.3">
      <c r="A3804">
        <f>IF(J3804="0",0,IF(COUNTIF($J$2:J3804,J3804)=1,1,0))</f>
        <v>0</v>
      </c>
      <c r="B3804" s="12" t="e">
        <f>MID(MAIN!A3809,K3804,2)</f>
        <v>#VALUE!</v>
      </c>
      <c r="C3804" s="12" t="e">
        <f t="shared" si="236"/>
        <v>#VALUE!</v>
      </c>
      <c r="D3804" s="12" t="e">
        <f>MID(MAIN!A3809,K3804+2,2)</f>
        <v>#VALUE!</v>
      </c>
      <c r="E3804" s="12" t="e">
        <f>MID(MAIN!A3809,K3804+4,2)</f>
        <v>#VALUE!</v>
      </c>
      <c r="F3804" s="2" t="e">
        <f t="shared" si="237"/>
        <v>#VALUE!</v>
      </c>
      <c r="G3804" s="13" t="e">
        <f t="shared" si="238"/>
        <v>#VALUE!</v>
      </c>
      <c r="J3804" t="str">
        <f>MAIN!A3809&amp;"B"</f>
        <v>B</v>
      </c>
      <c r="K3804" s="12" t="e">
        <f t="shared" si="239"/>
        <v>#VALUE!</v>
      </c>
      <c r="L3804" t="str">
        <f>MAIN!C3809</f>
        <v/>
      </c>
    </row>
    <row r="3805" spans="1:12" x14ac:dyDescent="0.3">
      <c r="A3805">
        <f>IF(J3805="0",0,IF(COUNTIF($J$2:J3805,J3805)=1,1,0))</f>
        <v>0</v>
      </c>
      <c r="B3805" s="12" t="e">
        <f>MID(MAIN!A3810,K3805,2)</f>
        <v>#VALUE!</v>
      </c>
      <c r="C3805" s="12" t="e">
        <f t="shared" si="236"/>
        <v>#VALUE!</v>
      </c>
      <c r="D3805" s="12" t="e">
        <f>MID(MAIN!A3810,K3805+2,2)</f>
        <v>#VALUE!</v>
      </c>
      <c r="E3805" s="12" t="e">
        <f>MID(MAIN!A3810,K3805+4,2)</f>
        <v>#VALUE!</v>
      </c>
      <c r="F3805" s="2" t="e">
        <f t="shared" si="237"/>
        <v>#VALUE!</v>
      </c>
      <c r="G3805" s="13" t="e">
        <f t="shared" si="238"/>
        <v>#VALUE!</v>
      </c>
      <c r="J3805" t="str">
        <f>MAIN!A3810&amp;"B"</f>
        <v>B</v>
      </c>
      <c r="K3805" s="12" t="e">
        <f t="shared" si="239"/>
        <v>#VALUE!</v>
      </c>
      <c r="L3805" t="str">
        <f>MAIN!C3810</f>
        <v/>
      </c>
    </row>
    <row r="3806" spans="1:12" x14ac:dyDescent="0.3">
      <c r="A3806">
        <f>IF(J3806="0",0,IF(COUNTIF($J$2:J3806,J3806)=1,1,0))</f>
        <v>0</v>
      </c>
      <c r="B3806" s="12" t="e">
        <f>MID(MAIN!A3811,K3806,2)</f>
        <v>#VALUE!</v>
      </c>
      <c r="C3806" s="12" t="e">
        <f t="shared" si="236"/>
        <v>#VALUE!</v>
      </c>
      <c r="D3806" s="12" t="e">
        <f>MID(MAIN!A3811,K3806+2,2)</f>
        <v>#VALUE!</v>
      </c>
      <c r="E3806" s="12" t="e">
        <f>MID(MAIN!A3811,K3806+4,2)</f>
        <v>#VALUE!</v>
      </c>
      <c r="F3806" s="2" t="e">
        <f t="shared" si="237"/>
        <v>#VALUE!</v>
      </c>
      <c r="G3806" s="13" t="e">
        <f t="shared" si="238"/>
        <v>#VALUE!</v>
      </c>
      <c r="J3806" t="str">
        <f>MAIN!A3811&amp;"B"</f>
        <v>B</v>
      </c>
      <c r="K3806" s="12" t="e">
        <f t="shared" si="239"/>
        <v>#VALUE!</v>
      </c>
      <c r="L3806" t="str">
        <f>MAIN!C3811</f>
        <v/>
      </c>
    </row>
    <row r="3807" spans="1:12" x14ac:dyDescent="0.3">
      <c r="A3807">
        <f>IF(J3807="0",0,IF(COUNTIF($J$2:J3807,J3807)=1,1,0))</f>
        <v>0</v>
      </c>
      <c r="B3807" s="12" t="e">
        <f>MID(MAIN!A3812,K3807,2)</f>
        <v>#VALUE!</v>
      </c>
      <c r="C3807" s="12" t="e">
        <f t="shared" si="236"/>
        <v>#VALUE!</v>
      </c>
      <c r="D3807" s="12" t="e">
        <f>MID(MAIN!A3812,K3807+2,2)</f>
        <v>#VALUE!</v>
      </c>
      <c r="E3807" s="12" t="e">
        <f>MID(MAIN!A3812,K3807+4,2)</f>
        <v>#VALUE!</v>
      </c>
      <c r="F3807" s="2" t="e">
        <f t="shared" si="237"/>
        <v>#VALUE!</v>
      </c>
      <c r="G3807" s="13" t="e">
        <f t="shared" si="238"/>
        <v>#VALUE!</v>
      </c>
      <c r="J3807" t="str">
        <f>MAIN!A3812&amp;"B"</f>
        <v>B</v>
      </c>
      <c r="K3807" s="12" t="e">
        <f t="shared" si="239"/>
        <v>#VALUE!</v>
      </c>
      <c r="L3807" t="str">
        <f>MAIN!C3812</f>
        <v/>
      </c>
    </row>
    <row r="3808" spans="1:12" x14ac:dyDescent="0.3">
      <c r="A3808">
        <f>IF(J3808="0",0,IF(COUNTIF($J$2:J3808,J3808)=1,1,0))</f>
        <v>0</v>
      </c>
      <c r="B3808" s="12" t="e">
        <f>MID(MAIN!A3813,K3808,2)</f>
        <v>#VALUE!</v>
      </c>
      <c r="C3808" s="12" t="e">
        <f t="shared" si="236"/>
        <v>#VALUE!</v>
      </c>
      <c r="D3808" s="12" t="e">
        <f>MID(MAIN!A3813,K3808+2,2)</f>
        <v>#VALUE!</v>
      </c>
      <c r="E3808" s="12" t="e">
        <f>MID(MAIN!A3813,K3808+4,2)</f>
        <v>#VALUE!</v>
      </c>
      <c r="F3808" s="2" t="e">
        <f t="shared" si="237"/>
        <v>#VALUE!</v>
      </c>
      <c r="G3808" s="13" t="e">
        <f t="shared" si="238"/>
        <v>#VALUE!</v>
      </c>
      <c r="J3808" t="str">
        <f>MAIN!A3813&amp;"B"</f>
        <v>B</v>
      </c>
      <c r="K3808" s="12" t="e">
        <f t="shared" si="239"/>
        <v>#VALUE!</v>
      </c>
      <c r="L3808" t="str">
        <f>MAIN!C3813</f>
        <v/>
      </c>
    </row>
    <row r="3809" spans="1:12" x14ac:dyDescent="0.3">
      <c r="A3809">
        <f>IF(J3809="0",0,IF(COUNTIF($J$2:J3809,J3809)=1,1,0))</f>
        <v>0</v>
      </c>
      <c r="B3809" s="12" t="e">
        <f>MID(MAIN!A3814,K3809,2)</f>
        <v>#VALUE!</v>
      </c>
      <c r="C3809" s="12" t="e">
        <f t="shared" si="236"/>
        <v>#VALUE!</v>
      </c>
      <c r="D3809" s="12" t="e">
        <f>MID(MAIN!A3814,K3809+2,2)</f>
        <v>#VALUE!</v>
      </c>
      <c r="E3809" s="12" t="e">
        <f>MID(MAIN!A3814,K3809+4,2)</f>
        <v>#VALUE!</v>
      </c>
      <c r="F3809" s="2" t="e">
        <f t="shared" si="237"/>
        <v>#VALUE!</v>
      </c>
      <c r="G3809" s="13" t="e">
        <f t="shared" si="238"/>
        <v>#VALUE!</v>
      </c>
      <c r="J3809" t="str">
        <f>MAIN!A3814&amp;"B"</f>
        <v>B</v>
      </c>
      <c r="K3809" s="12" t="e">
        <f t="shared" si="239"/>
        <v>#VALUE!</v>
      </c>
      <c r="L3809" t="str">
        <f>MAIN!C3814</f>
        <v/>
      </c>
    </row>
    <row r="3810" spans="1:12" x14ac:dyDescent="0.3">
      <c r="A3810">
        <f>IF(J3810="0",0,IF(COUNTIF($J$2:J3810,J3810)=1,1,0))</f>
        <v>0</v>
      </c>
      <c r="B3810" s="12" t="e">
        <f>MID(MAIN!A3815,K3810,2)</f>
        <v>#VALUE!</v>
      </c>
      <c r="C3810" s="12" t="e">
        <f t="shared" si="236"/>
        <v>#VALUE!</v>
      </c>
      <c r="D3810" s="12" t="e">
        <f>MID(MAIN!A3815,K3810+2,2)</f>
        <v>#VALUE!</v>
      </c>
      <c r="E3810" s="12" t="e">
        <f>MID(MAIN!A3815,K3810+4,2)</f>
        <v>#VALUE!</v>
      </c>
      <c r="F3810" s="2" t="e">
        <f t="shared" si="237"/>
        <v>#VALUE!</v>
      </c>
      <c r="G3810" s="13" t="e">
        <f t="shared" si="238"/>
        <v>#VALUE!</v>
      </c>
      <c r="J3810" t="str">
        <f>MAIN!A3815&amp;"B"</f>
        <v>B</v>
      </c>
      <c r="K3810" s="12" t="e">
        <f t="shared" si="239"/>
        <v>#VALUE!</v>
      </c>
      <c r="L3810" t="str">
        <f>MAIN!C3815</f>
        <v/>
      </c>
    </row>
    <row r="3811" spans="1:12" x14ac:dyDescent="0.3">
      <c r="A3811">
        <f>IF(J3811="0",0,IF(COUNTIF($J$2:J3811,J3811)=1,1,0))</f>
        <v>0</v>
      </c>
      <c r="B3811" s="12" t="e">
        <f>MID(MAIN!A3816,K3811,2)</f>
        <v>#VALUE!</v>
      </c>
      <c r="C3811" s="12" t="e">
        <f t="shared" si="236"/>
        <v>#VALUE!</v>
      </c>
      <c r="D3811" s="12" t="e">
        <f>MID(MAIN!A3816,K3811+2,2)</f>
        <v>#VALUE!</v>
      </c>
      <c r="E3811" s="12" t="e">
        <f>MID(MAIN!A3816,K3811+4,2)</f>
        <v>#VALUE!</v>
      </c>
      <c r="F3811" s="2" t="e">
        <f t="shared" si="237"/>
        <v>#VALUE!</v>
      </c>
      <c r="G3811" s="13" t="e">
        <f t="shared" si="238"/>
        <v>#VALUE!</v>
      </c>
      <c r="J3811" t="str">
        <f>MAIN!A3816&amp;"B"</f>
        <v>B</v>
      </c>
      <c r="K3811" s="12" t="e">
        <f t="shared" si="239"/>
        <v>#VALUE!</v>
      </c>
      <c r="L3811" t="str">
        <f>MAIN!C3816</f>
        <v/>
      </c>
    </row>
    <row r="3812" spans="1:12" x14ac:dyDescent="0.3">
      <c r="A3812">
        <f>IF(J3812="0",0,IF(COUNTIF($J$2:J3812,J3812)=1,1,0))</f>
        <v>0</v>
      </c>
      <c r="B3812" s="12" t="e">
        <f>MID(MAIN!A3817,K3812,2)</f>
        <v>#VALUE!</v>
      </c>
      <c r="C3812" s="12" t="e">
        <f t="shared" si="236"/>
        <v>#VALUE!</v>
      </c>
      <c r="D3812" s="12" t="e">
        <f>MID(MAIN!A3817,K3812+2,2)</f>
        <v>#VALUE!</v>
      </c>
      <c r="E3812" s="12" t="e">
        <f>MID(MAIN!A3817,K3812+4,2)</f>
        <v>#VALUE!</v>
      </c>
      <c r="F3812" s="2" t="e">
        <f t="shared" si="237"/>
        <v>#VALUE!</v>
      </c>
      <c r="G3812" s="13" t="e">
        <f t="shared" si="238"/>
        <v>#VALUE!</v>
      </c>
      <c r="J3812" t="str">
        <f>MAIN!A3817&amp;"B"</f>
        <v>B</v>
      </c>
      <c r="K3812" s="12" t="e">
        <f t="shared" si="239"/>
        <v>#VALUE!</v>
      </c>
      <c r="L3812" t="str">
        <f>MAIN!C3817</f>
        <v/>
      </c>
    </row>
    <row r="3813" spans="1:12" x14ac:dyDescent="0.3">
      <c r="A3813">
        <f>IF(J3813="0",0,IF(COUNTIF($J$2:J3813,J3813)=1,1,0))</f>
        <v>0</v>
      </c>
      <c r="B3813" s="12" t="e">
        <f>MID(MAIN!A3818,K3813,2)</f>
        <v>#VALUE!</v>
      </c>
      <c r="C3813" s="12" t="e">
        <f t="shared" si="236"/>
        <v>#VALUE!</v>
      </c>
      <c r="D3813" s="12" t="e">
        <f>MID(MAIN!A3818,K3813+2,2)</f>
        <v>#VALUE!</v>
      </c>
      <c r="E3813" s="12" t="e">
        <f>MID(MAIN!A3818,K3813+4,2)</f>
        <v>#VALUE!</v>
      </c>
      <c r="F3813" s="2" t="e">
        <f t="shared" si="237"/>
        <v>#VALUE!</v>
      </c>
      <c r="G3813" s="13" t="e">
        <f t="shared" si="238"/>
        <v>#VALUE!</v>
      </c>
      <c r="J3813" t="str">
        <f>MAIN!A3818&amp;"B"</f>
        <v>B</v>
      </c>
      <c r="K3813" s="12" t="e">
        <f t="shared" si="239"/>
        <v>#VALUE!</v>
      </c>
      <c r="L3813" t="str">
        <f>MAIN!C3818</f>
        <v/>
      </c>
    </row>
    <row r="3814" spans="1:12" x14ac:dyDescent="0.3">
      <c r="A3814">
        <f>IF(J3814="0",0,IF(COUNTIF($J$2:J3814,J3814)=1,1,0))</f>
        <v>0</v>
      </c>
      <c r="B3814" s="12" t="e">
        <f>MID(MAIN!A3819,K3814,2)</f>
        <v>#VALUE!</v>
      </c>
      <c r="C3814" s="12" t="e">
        <f t="shared" si="236"/>
        <v>#VALUE!</v>
      </c>
      <c r="D3814" s="12" t="e">
        <f>MID(MAIN!A3819,K3814+2,2)</f>
        <v>#VALUE!</v>
      </c>
      <c r="E3814" s="12" t="e">
        <f>MID(MAIN!A3819,K3814+4,2)</f>
        <v>#VALUE!</v>
      </c>
      <c r="F3814" s="2" t="e">
        <f t="shared" si="237"/>
        <v>#VALUE!</v>
      </c>
      <c r="G3814" s="13" t="e">
        <f t="shared" si="238"/>
        <v>#VALUE!</v>
      </c>
      <c r="J3814" t="str">
        <f>MAIN!A3819&amp;"B"</f>
        <v>B</v>
      </c>
      <c r="K3814" s="12" t="e">
        <f t="shared" si="239"/>
        <v>#VALUE!</v>
      </c>
      <c r="L3814" t="str">
        <f>MAIN!C3819</f>
        <v/>
      </c>
    </row>
    <row r="3815" spans="1:12" x14ac:dyDescent="0.3">
      <c r="A3815">
        <f>IF(J3815="0",0,IF(COUNTIF($J$2:J3815,J3815)=1,1,0))</f>
        <v>0</v>
      </c>
      <c r="B3815" s="12" t="e">
        <f>MID(MAIN!A3820,K3815,2)</f>
        <v>#VALUE!</v>
      </c>
      <c r="C3815" s="12" t="e">
        <f t="shared" si="236"/>
        <v>#VALUE!</v>
      </c>
      <c r="D3815" s="12" t="e">
        <f>MID(MAIN!A3820,K3815+2,2)</f>
        <v>#VALUE!</v>
      </c>
      <c r="E3815" s="12" t="e">
        <f>MID(MAIN!A3820,K3815+4,2)</f>
        <v>#VALUE!</v>
      </c>
      <c r="F3815" s="2" t="e">
        <f t="shared" si="237"/>
        <v>#VALUE!</v>
      </c>
      <c r="G3815" s="13" t="e">
        <f t="shared" si="238"/>
        <v>#VALUE!</v>
      </c>
      <c r="J3815" t="str">
        <f>MAIN!A3820&amp;"B"</f>
        <v>B</v>
      </c>
      <c r="K3815" s="12" t="e">
        <f t="shared" si="239"/>
        <v>#VALUE!</v>
      </c>
      <c r="L3815" t="str">
        <f>MAIN!C3820</f>
        <v/>
      </c>
    </row>
    <row r="3816" spans="1:12" x14ac:dyDescent="0.3">
      <c r="A3816">
        <f>IF(J3816="0",0,IF(COUNTIF($J$2:J3816,J3816)=1,1,0))</f>
        <v>0</v>
      </c>
      <c r="B3816" s="12" t="e">
        <f>MID(MAIN!A3821,K3816,2)</f>
        <v>#VALUE!</v>
      </c>
      <c r="C3816" s="12" t="e">
        <f t="shared" si="236"/>
        <v>#VALUE!</v>
      </c>
      <c r="D3816" s="12" t="e">
        <f>MID(MAIN!A3821,K3816+2,2)</f>
        <v>#VALUE!</v>
      </c>
      <c r="E3816" s="12" t="e">
        <f>MID(MAIN!A3821,K3816+4,2)</f>
        <v>#VALUE!</v>
      </c>
      <c r="F3816" s="2" t="e">
        <f t="shared" si="237"/>
        <v>#VALUE!</v>
      </c>
      <c r="G3816" s="13" t="e">
        <f t="shared" si="238"/>
        <v>#VALUE!</v>
      </c>
      <c r="J3816" t="str">
        <f>MAIN!A3821&amp;"B"</f>
        <v>B</v>
      </c>
      <c r="K3816" s="12" t="e">
        <f t="shared" si="239"/>
        <v>#VALUE!</v>
      </c>
      <c r="L3816" t="str">
        <f>MAIN!C3821</f>
        <v/>
      </c>
    </row>
    <row r="3817" spans="1:12" x14ac:dyDescent="0.3">
      <c r="A3817">
        <f>IF(J3817="0",0,IF(COUNTIF($J$2:J3817,J3817)=1,1,0))</f>
        <v>0</v>
      </c>
      <c r="B3817" s="12" t="e">
        <f>MID(MAIN!A3822,K3817,2)</f>
        <v>#VALUE!</v>
      </c>
      <c r="C3817" s="12" t="e">
        <f t="shared" si="236"/>
        <v>#VALUE!</v>
      </c>
      <c r="D3817" s="12" t="e">
        <f>MID(MAIN!A3822,K3817+2,2)</f>
        <v>#VALUE!</v>
      </c>
      <c r="E3817" s="12" t="e">
        <f>MID(MAIN!A3822,K3817+4,2)</f>
        <v>#VALUE!</v>
      </c>
      <c r="F3817" s="2" t="e">
        <f t="shared" si="237"/>
        <v>#VALUE!</v>
      </c>
      <c r="G3817" s="13" t="e">
        <f t="shared" si="238"/>
        <v>#VALUE!</v>
      </c>
      <c r="J3817" t="str">
        <f>MAIN!A3822&amp;"B"</f>
        <v>B</v>
      </c>
      <c r="K3817" s="12" t="e">
        <f t="shared" si="239"/>
        <v>#VALUE!</v>
      </c>
      <c r="L3817" t="str">
        <f>MAIN!C3822</f>
        <v/>
      </c>
    </row>
    <row r="3818" spans="1:12" x14ac:dyDescent="0.3">
      <c r="A3818">
        <f>IF(J3818="0",0,IF(COUNTIF($J$2:J3818,J3818)=1,1,0))</f>
        <v>0</v>
      </c>
      <c r="B3818" s="12" t="e">
        <f>MID(MAIN!A3823,K3818,2)</f>
        <v>#VALUE!</v>
      </c>
      <c r="C3818" s="12" t="e">
        <f t="shared" si="236"/>
        <v>#VALUE!</v>
      </c>
      <c r="D3818" s="12" t="e">
        <f>MID(MAIN!A3823,K3818+2,2)</f>
        <v>#VALUE!</v>
      </c>
      <c r="E3818" s="12" t="e">
        <f>MID(MAIN!A3823,K3818+4,2)</f>
        <v>#VALUE!</v>
      </c>
      <c r="F3818" s="2" t="e">
        <f t="shared" si="237"/>
        <v>#VALUE!</v>
      </c>
      <c r="G3818" s="13" t="e">
        <f t="shared" si="238"/>
        <v>#VALUE!</v>
      </c>
      <c r="J3818" t="str">
        <f>MAIN!A3823&amp;"B"</f>
        <v>B</v>
      </c>
      <c r="K3818" s="12" t="e">
        <f t="shared" si="239"/>
        <v>#VALUE!</v>
      </c>
      <c r="L3818" t="str">
        <f>MAIN!C3823</f>
        <v/>
      </c>
    </row>
    <row r="3819" spans="1:12" x14ac:dyDescent="0.3">
      <c r="A3819">
        <f>IF(J3819="0",0,IF(COUNTIF($J$2:J3819,J3819)=1,1,0))</f>
        <v>0</v>
      </c>
      <c r="B3819" s="12" t="e">
        <f>MID(MAIN!A3824,K3819,2)</f>
        <v>#VALUE!</v>
      </c>
      <c r="C3819" s="12" t="e">
        <f t="shared" si="236"/>
        <v>#VALUE!</v>
      </c>
      <c r="D3819" s="12" t="e">
        <f>MID(MAIN!A3824,K3819+2,2)</f>
        <v>#VALUE!</v>
      </c>
      <c r="E3819" s="12" t="e">
        <f>MID(MAIN!A3824,K3819+4,2)</f>
        <v>#VALUE!</v>
      </c>
      <c r="F3819" s="2" t="e">
        <f t="shared" si="237"/>
        <v>#VALUE!</v>
      </c>
      <c r="G3819" s="13" t="e">
        <f t="shared" si="238"/>
        <v>#VALUE!</v>
      </c>
      <c r="J3819" t="str">
        <f>MAIN!A3824&amp;"B"</f>
        <v>B</v>
      </c>
      <c r="K3819" s="12" t="e">
        <f t="shared" si="239"/>
        <v>#VALUE!</v>
      </c>
      <c r="L3819" t="str">
        <f>MAIN!C3824</f>
        <v/>
      </c>
    </row>
    <row r="3820" spans="1:12" x14ac:dyDescent="0.3">
      <c r="A3820">
        <f>IF(J3820="0",0,IF(COUNTIF($J$2:J3820,J3820)=1,1,0))</f>
        <v>0</v>
      </c>
      <c r="B3820" s="12" t="e">
        <f>MID(MAIN!A3825,K3820,2)</f>
        <v>#VALUE!</v>
      </c>
      <c r="C3820" s="12" t="e">
        <f t="shared" si="236"/>
        <v>#VALUE!</v>
      </c>
      <c r="D3820" s="12" t="e">
        <f>MID(MAIN!A3825,K3820+2,2)</f>
        <v>#VALUE!</v>
      </c>
      <c r="E3820" s="12" t="e">
        <f>MID(MAIN!A3825,K3820+4,2)</f>
        <v>#VALUE!</v>
      </c>
      <c r="F3820" s="2" t="e">
        <f t="shared" si="237"/>
        <v>#VALUE!</v>
      </c>
      <c r="G3820" s="13" t="e">
        <f t="shared" si="238"/>
        <v>#VALUE!</v>
      </c>
      <c r="J3820" t="str">
        <f>MAIN!A3825&amp;"B"</f>
        <v>B</v>
      </c>
      <c r="K3820" s="12" t="e">
        <f t="shared" si="239"/>
        <v>#VALUE!</v>
      </c>
      <c r="L3820" t="str">
        <f>MAIN!C3825</f>
        <v/>
      </c>
    </row>
    <row r="3821" spans="1:12" x14ac:dyDescent="0.3">
      <c r="A3821">
        <f>IF(J3821="0",0,IF(COUNTIF($J$2:J3821,J3821)=1,1,0))</f>
        <v>0</v>
      </c>
      <c r="B3821" s="12" t="e">
        <f>MID(MAIN!A3826,K3821,2)</f>
        <v>#VALUE!</v>
      </c>
      <c r="C3821" s="12" t="e">
        <f t="shared" si="236"/>
        <v>#VALUE!</v>
      </c>
      <c r="D3821" s="12" t="e">
        <f>MID(MAIN!A3826,K3821+2,2)</f>
        <v>#VALUE!</v>
      </c>
      <c r="E3821" s="12" t="e">
        <f>MID(MAIN!A3826,K3821+4,2)</f>
        <v>#VALUE!</v>
      </c>
      <c r="F3821" s="2" t="e">
        <f t="shared" si="237"/>
        <v>#VALUE!</v>
      </c>
      <c r="G3821" s="13" t="e">
        <f t="shared" si="238"/>
        <v>#VALUE!</v>
      </c>
      <c r="J3821" t="str">
        <f>MAIN!A3826&amp;"B"</f>
        <v>B</v>
      </c>
      <c r="K3821" s="12" t="e">
        <f t="shared" si="239"/>
        <v>#VALUE!</v>
      </c>
      <c r="L3821" t="str">
        <f>MAIN!C3826</f>
        <v/>
      </c>
    </row>
    <row r="3822" spans="1:12" x14ac:dyDescent="0.3">
      <c r="A3822">
        <f>IF(J3822="0",0,IF(COUNTIF($J$2:J3822,J3822)=1,1,0))</f>
        <v>0</v>
      </c>
      <c r="B3822" s="12" t="e">
        <f>MID(MAIN!A3827,K3822,2)</f>
        <v>#VALUE!</v>
      </c>
      <c r="C3822" s="12" t="e">
        <f t="shared" si="236"/>
        <v>#VALUE!</v>
      </c>
      <c r="D3822" s="12" t="e">
        <f>MID(MAIN!A3827,K3822+2,2)</f>
        <v>#VALUE!</v>
      </c>
      <c r="E3822" s="12" t="e">
        <f>MID(MAIN!A3827,K3822+4,2)</f>
        <v>#VALUE!</v>
      </c>
      <c r="F3822" s="2" t="e">
        <f t="shared" si="237"/>
        <v>#VALUE!</v>
      </c>
      <c r="G3822" s="13" t="e">
        <f t="shared" si="238"/>
        <v>#VALUE!</v>
      </c>
      <c r="J3822" t="str">
        <f>MAIN!A3827&amp;"B"</f>
        <v>B</v>
      </c>
      <c r="K3822" s="12" t="e">
        <f t="shared" si="239"/>
        <v>#VALUE!</v>
      </c>
      <c r="L3822" t="str">
        <f>MAIN!C3827</f>
        <v/>
      </c>
    </row>
    <row r="3823" spans="1:12" x14ac:dyDescent="0.3">
      <c r="A3823">
        <f>IF(J3823="0",0,IF(COUNTIF($J$2:J3823,J3823)=1,1,0))</f>
        <v>0</v>
      </c>
      <c r="B3823" s="12" t="e">
        <f>MID(MAIN!A3828,K3823,2)</f>
        <v>#VALUE!</v>
      </c>
      <c r="C3823" s="12" t="e">
        <f t="shared" si="236"/>
        <v>#VALUE!</v>
      </c>
      <c r="D3823" s="12" t="e">
        <f>MID(MAIN!A3828,K3823+2,2)</f>
        <v>#VALUE!</v>
      </c>
      <c r="E3823" s="12" t="e">
        <f>MID(MAIN!A3828,K3823+4,2)</f>
        <v>#VALUE!</v>
      </c>
      <c r="F3823" s="2" t="e">
        <f t="shared" si="237"/>
        <v>#VALUE!</v>
      </c>
      <c r="G3823" s="13" t="e">
        <f t="shared" si="238"/>
        <v>#VALUE!</v>
      </c>
      <c r="J3823" t="str">
        <f>MAIN!A3828&amp;"B"</f>
        <v>B</v>
      </c>
      <c r="K3823" s="12" t="e">
        <f t="shared" si="239"/>
        <v>#VALUE!</v>
      </c>
      <c r="L3823" t="str">
        <f>MAIN!C3828</f>
        <v/>
      </c>
    </row>
    <row r="3824" spans="1:12" x14ac:dyDescent="0.3">
      <c r="A3824">
        <f>IF(J3824="0",0,IF(COUNTIF($J$2:J3824,J3824)=1,1,0))</f>
        <v>0</v>
      </c>
      <c r="B3824" s="12" t="e">
        <f>MID(MAIN!A3829,K3824,2)</f>
        <v>#VALUE!</v>
      </c>
      <c r="C3824" s="12" t="e">
        <f t="shared" si="236"/>
        <v>#VALUE!</v>
      </c>
      <c r="D3824" s="12" t="e">
        <f>MID(MAIN!A3829,K3824+2,2)</f>
        <v>#VALUE!</v>
      </c>
      <c r="E3824" s="12" t="e">
        <f>MID(MAIN!A3829,K3824+4,2)</f>
        <v>#VALUE!</v>
      </c>
      <c r="F3824" s="2" t="e">
        <f t="shared" si="237"/>
        <v>#VALUE!</v>
      </c>
      <c r="G3824" s="13" t="e">
        <f t="shared" si="238"/>
        <v>#VALUE!</v>
      </c>
      <c r="J3824" t="str">
        <f>MAIN!A3829&amp;"B"</f>
        <v>B</v>
      </c>
      <c r="K3824" s="12" t="e">
        <f t="shared" si="239"/>
        <v>#VALUE!</v>
      </c>
      <c r="L3824" t="str">
        <f>MAIN!C3829</f>
        <v/>
      </c>
    </row>
    <row r="3825" spans="1:12" x14ac:dyDescent="0.3">
      <c r="A3825">
        <f>IF(J3825="0",0,IF(COUNTIF($J$2:J3825,J3825)=1,1,0))</f>
        <v>0</v>
      </c>
      <c r="B3825" s="12" t="e">
        <f>MID(MAIN!A3830,K3825,2)</f>
        <v>#VALUE!</v>
      </c>
      <c r="C3825" s="12" t="e">
        <f t="shared" si="236"/>
        <v>#VALUE!</v>
      </c>
      <c r="D3825" s="12" t="e">
        <f>MID(MAIN!A3830,K3825+2,2)</f>
        <v>#VALUE!</v>
      </c>
      <c r="E3825" s="12" t="e">
        <f>MID(MAIN!A3830,K3825+4,2)</f>
        <v>#VALUE!</v>
      </c>
      <c r="F3825" s="2" t="e">
        <f t="shared" si="237"/>
        <v>#VALUE!</v>
      </c>
      <c r="G3825" s="13" t="e">
        <f t="shared" si="238"/>
        <v>#VALUE!</v>
      </c>
      <c r="J3825" t="str">
        <f>MAIN!A3830&amp;"B"</f>
        <v>B</v>
      </c>
      <c r="K3825" s="12" t="e">
        <f t="shared" si="239"/>
        <v>#VALUE!</v>
      </c>
      <c r="L3825" t="str">
        <f>MAIN!C3830</f>
        <v/>
      </c>
    </row>
    <row r="3826" spans="1:12" x14ac:dyDescent="0.3">
      <c r="A3826">
        <f>IF(J3826="0",0,IF(COUNTIF($J$2:J3826,J3826)=1,1,0))</f>
        <v>0</v>
      </c>
      <c r="B3826" s="12" t="e">
        <f>MID(MAIN!A3831,K3826,2)</f>
        <v>#VALUE!</v>
      </c>
      <c r="C3826" s="12" t="e">
        <f t="shared" si="236"/>
        <v>#VALUE!</v>
      </c>
      <c r="D3826" s="12" t="e">
        <f>MID(MAIN!A3831,K3826+2,2)</f>
        <v>#VALUE!</v>
      </c>
      <c r="E3826" s="12" t="e">
        <f>MID(MAIN!A3831,K3826+4,2)</f>
        <v>#VALUE!</v>
      </c>
      <c r="F3826" s="2" t="e">
        <f t="shared" si="237"/>
        <v>#VALUE!</v>
      </c>
      <c r="G3826" s="13" t="e">
        <f t="shared" si="238"/>
        <v>#VALUE!</v>
      </c>
      <c r="J3826" t="str">
        <f>MAIN!A3831&amp;"B"</f>
        <v>B</v>
      </c>
      <c r="K3826" s="12" t="e">
        <f t="shared" si="239"/>
        <v>#VALUE!</v>
      </c>
      <c r="L3826" t="str">
        <f>MAIN!C3831</f>
        <v/>
      </c>
    </row>
    <row r="3827" spans="1:12" x14ac:dyDescent="0.3">
      <c r="A3827">
        <f>IF(J3827="0",0,IF(COUNTIF($J$2:J3827,J3827)=1,1,0))</f>
        <v>0</v>
      </c>
      <c r="B3827" s="12" t="e">
        <f>MID(MAIN!A3832,K3827,2)</f>
        <v>#VALUE!</v>
      </c>
      <c r="C3827" s="12" t="e">
        <f t="shared" si="236"/>
        <v>#VALUE!</v>
      </c>
      <c r="D3827" s="12" t="e">
        <f>MID(MAIN!A3832,K3827+2,2)</f>
        <v>#VALUE!</v>
      </c>
      <c r="E3827" s="12" t="e">
        <f>MID(MAIN!A3832,K3827+4,2)</f>
        <v>#VALUE!</v>
      </c>
      <c r="F3827" s="2" t="e">
        <f t="shared" si="237"/>
        <v>#VALUE!</v>
      </c>
      <c r="G3827" s="13" t="e">
        <f t="shared" si="238"/>
        <v>#VALUE!</v>
      </c>
      <c r="J3827" t="str">
        <f>MAIN!A3832&amp;"B"</f>
        <v>B</v>
      </c>
      <c r="K3827" s="12" t="e">
        <f t="shared" si="239"/>
        <v>#VALUE!</v>
      </c>
      <c r="L3827" t="str">
        <f>MAIN!C3832</f>
        <v/>
      </c>
    </row>
    <row r="3828" spans="1:12" x14ac:dyDescent="0.3">
      <c r="A3828">
        <f>IF(J3828="0",0,IF(COUNTIF($J$2:J3828,J3828)=1,1,0))</f>
        <v>0</v>
      </c>
      <c r="B3828" s="12" t="e">
        <f>MID(MAIN!A3833,K3828,2)</f>
        <v>#VALUE!</v>
      </c>
      <c r="C3828" s="12" t="e">
        <f t="shared" si="236"/>
        <v>#VALUE!</v>
      </c>
      <c r="D3828" s="12" t="e">
        <f>MID(MAIN!A3833,K3828+2,2)</f>
        <v>#VALUE!</v>
      </c>
      <c r="E3828" s="12" t="e">
        <f>MID(MAIN!A3833,K3828+4,2)</f>
        <v>#VALUE!</v>
      </c>
      <c r="F3828" s="2" t="e">
        <f t="shared" si="237"/>
        <v>#VALUE!</v>
      </c>
      <c r="G3828" s="13" t="e">
        <f t="shared" si="238"/>
        <v>#VALUE!</v>
      </c>
      <c r="J3828" t="str">
        <f>MAIN!A3833&amp;"B"</f>
        <v>B</v>
      </c>
      <c r="K3828" s="12" t="e">
        <f t="shared" si="239"/>
        <v>#VALUE!</v>
      </c>
      <c r="L3828" t="str">
        <f>MAIN!C3833</f>
        <v/>
      </c>
    </row>
    <row r="3829" spans="1:12" x14ac:dyDescent="0.3">
      <c r="A3829">
        <f>IF(J3829="0",0,IF(COUNTIF($J$2:J3829,J3829)=1,1,0))</f>
        <v>0</v>
      </c>
      <c r="B3829" s="12" t="e">
        <f>MID(MAIN!A3834,K3829,2)</f>
        <v>#VALUE!</v>
      </c>
      <c r="C3829" s="12" t="e">
        <f t="shared" si="236"/>
        <v>#VALUE!</v>
      </c>
      <c r="D3829" s="12" t="e">
        <f>MID(MAIN!A3834,K3829+2,2)</f>
        <v>#VALUE!</v>
      </c>
      <c r="E3829" s="12" t="e">
        <f>MID(MAIN!A3834,K3829+4,2)</f>
        <v>#VALUE!</v>
      </c>
      <c r="F3829" s="2" t="e">
        <f t="shared" si="237"/>
        <v>#VALUE!</v>
      </c>
      <c r="G3829" s="13" t="e">
        <f t="shared" si="238"/>
        <v>#VALUE!</v>
      </c>
      <c r="J3829" t="str">
        <f>MAIN!A3834&amp;"B"</f>
        <v>B</v>
      </c>
      <c r="K3829" s="12" t="e">
        <f t="shared" si="239"/>
        <v>#VALUE!</v>
      </c>
      <c r="L3829" t="str">
        <f>MAIN!C3834</f>
        <v/>
      </c>
    </row>
    <row r="3830" spans="1:12" x14ac:dyDescent="0.3">
      <c r="A3830">
        <f>IF(J3830="0",0,IF(COUNTIF($J$2:J3830,J3830)=1,1,0))</f>
        <v>0</v>
      </c>
      <c r="B3830" s="12" t="e">
        <f>MID(MAIN!A3835,K3830,2)</f>
        <v>#VALUE!</v>
      </c>
      <c r="C3830" s="12" t="e">
        <f t="shared" si="236"/>
        <v>#VALUE!</v>
      </c>
      <c r="D3830" s="12" t="e">
        <f>MID(MAIN!A3835,K3830+2,2)</f>
        <v>#VALUE!</v>
      </c>
      <c r="E3830" s="12" t="e">
        <f>MID(MAIN!A3835,K3830+4,2)</f>
        <v>#VALUE!</v>
      </c>
      <c r="F3830" s="2" t="e">
        <f t="shared" si="237"/>
        <v>#VALUE!</v>
      </c>
      <c r="G3830" s="13" t="e">
        <f t="shared" si="238"/>
        <v>#VALUE!</v>
      </c>
      <c r="J3830" t="str">
        <f>MAIN!A3835&amp;"B"</f>
        <v>B</v>
      </c>
      <c r="K3830" s="12" t="e">
        <f t="shared" si="239"/>
        <v>#VALUE!</v>
      </c>
      <c r="L3830" t="str">
        <f>MAIN!C3835</f>
        <v/>
      </c>
    </row>
    <row r="3831" spans="1:12" x14ac:dyDescent="0.3">
      <c r="A3831">
        <f>IF(J3831="0",0,IF(COUNTIF($J$2:J3831,J3831)=1,1,0))</f>
        <v>0</v>
      </c>
      <c r="B3831" s="12" t="e">
        <f>MID(MAIN!A3836,K3831,2)</f>
        <v>#VALUE!</v>
      </c>
      <c r="C3831" s="12" t="e">
        <f t="shared" si="236"/>
        <v>#VALUE!</v>
      </c>
      <c r="D3831" s="12" t="e">
        <f>MID(MAIN!A3836,K3831+2,2)</f>
        <v>#VALUE!</v>
      </c>
      <c r="E3831" s="12" t="e">
        <f>MID(MAIN!A3836,K3831+4,2)</f>
        <v>#VALUE!</v>
      </c>
      <c r="F3831" s="2" t="e">
        <f t="shared" si="237"/>
        <v>#VALUE!</v>
      </c>
      <c r="G3831" s="13" t="e">
        <f t="shared" si="238"/>
        <v>#VALUE!</v>
      </c>
      <c r="J3831" t="str">
        <f>MAIN!A3836&amp;"B"</f>
        <v>B</v>
      </c>
      <c r="K3831" s="12" t="e">
        <f t="shared" si="239"/>
        <v>#VALUE!</v>
      </c>
      <c r="L3831" t="str">
        <f>MAIN!C3836</f>
        <v/>
      </c>
    </row>
    <row r="3832" spans="1:12" x14ac:dyDescent="0.3">
      <c r="A3832">
        <f>IF(J3832="0",0,IF(COUNTIF($J$2:J3832,J3832)=1,1,0))</f>
        <v>0</v>
      </c>
      <c r="B3832" s="12" t="e">
        <f>MID(MAIN!A3837,K3832,2)</f>
        <v>#VALUE!</v>
      </c>
      <c r="C3832" s="12" t="e">
        <f t="shared" si="236"/>
        <v>#VALUE!</v>
      </c>
      <c r="D3832" s="12" t="e">
        <f>MID(MAIN!A3837,K3832+2,2)</f>
        <v>#VALUE!</v>
      </c>
      <c r="E3832" s="12" t="e">
        <f>MID(MAIN!A3837,K3832+4,2)</f>
        <v>#VALUE!</v>
      </c>
      <c r="F3832" s="2" t="e">
        <f t="shared" si="237"/>
        <v>#VALUE!</v>
      </c>
      <c r="G3832" s="13" t="e">
        <f t="shared" si="238"/>
        <v>#VALUE!</v>
      </c>
      <c r="J3832" t="str">
        <f>MAIN!A3837&amp;"B"</f>
        <v>B</v>
      </c>
      <c r="K3832" s="12" t="e">
        <f t="shared" si="239"/>
        <v>#VALUE!</v>
      </c>
      <c r="L3832" t="str">
        <f>MAIN!C3837</f>
        <v/>
      </c>
    </row>
    <row r="3833" spans="1:12" x14ac:dyDescent="0.3">
      <c r="A3833">
        <f>IF(J3833="0",0,IF(COUNTIF($J$2:J3833,J3833)=1,1,0))</f>
        <v>0</v>
      </c>
      <c r="B3833" s="12" t="e">
        <f>MID(MAIN!A3838,K3833,2)</f>
        <v>#VALUE!</v>
      </c>
      <c r="C3833" s="12" t="e">
        <f t="shared" si="236"/>
        <v>#VALUE!</v>
      </c>
      <c r="D3833" s="12" t="e">
        <f>MID(MAIN!A3838,K3833+2,2)</f>
        <v>#VALUE!</v>
      </c>
      <c r="E3833" s="12" t="e">
        <f>MID(MAIN!A3838,K3833+4,2)</f>
        <v>#VALUE!</v>
      </c>
      <c r="F3833" s="2" t="e">
        <f t="shared" si="237"/>
        <v>#VALUE!</v>
      </c>
      <c r="G3833" s="13" t="e">
        <f t="shared" si="238"/>
        <v>#VALUE!</v>
      </c>
      <c r="J3833" t="str">
        <f>MAIN!A3838&amp;"B"</f>
        <v>B</v>
      </c>
      <c r="K3833" s="12" t="e">
        <f t="shared" si="239"/>
        <v>#VALUE!</v>
      </c>
      <c r="L3833" t="str">
        <f>MAIN!C3838</f>
        <v/>
      </c>
    </row>
    <row r="3834" spans="1:12" x14ac:dyDescent="0.3">
      <c r="A3834">
        <f>IF(J3834="0",0,IF(COUNTIF($J$2:J3834,J3834)=1,1,0))</f>
        <v>0</v>
      </c>
      <c r="B3834" s="12" t="e">
        <f>MID(MAIN!A3839,K3834,2)</f>
        <v>#VALUE!</v>
      </c>
      <c r="C3834" s="12" t="e">
        <f t="shared" si="236"/>
        <v>#VALUE!</v>
      </c>
      <c r="D3834" s="12" t="e">
        <f>MID(MAIN!A3839,K3834+2,2)</f>
        <v>#VALUE!</v>
      </c>
      <c r="E3834" s="12" t="e">
        <f>MID(MAIN!A3839,K3834+4,2)</f>
        <v>#VALUE!</v>
      </c>
      <c r="F3834" s="2" t="e">
        <f t="shared" si="237"/>
        <v>#VALUE!</v>
      </c>
      <c r="G3834" s="13" t="e">
        <f t="shared" si="238"/>
        <v>#VALUE!</v>
      </c>
      <c r="J3834" t="str">
        <f>MAIN!A3839&amp;"B"</f>
        <v>B</v>
      </c>
      <c r="K3834" s="12" t="e">
        <f t="shared" si="239"/>
        <v>#VALUE!</v>
      </c>
      <c r="L3834" t="str">
        <f>MAIN!C3839</f>
        <v/>
      </c>
    </row>
    <row r="3835" spans="1:12" x14ac:dyDescent="0.3">
      <c r="A3835">
        <f>IF(J3835="0",0,IF(COUNTIF($J$2:J3835,J3835)=1,1,0))</f>
        <v>0</v>
      </c>
      <c r="B3835" s="12" t="e">
        <f>MID(MAIN!A3840,K3835,2)</f>
        <v>#VALUE!</v>
      </c>
      <c r="C3835" s="12" t="e">
        <f t="shared" si="236"/>
        <v>#VALUE!</v>
      </c>
      <c r="D3835" s="12" t="e">
        <f>MID(MAIN!A3840,K3835+2,2)</f>
        <v>#VALUE!</v>
      </c>
      <c r="E3835" s="12" t="e">
        <f>MID(MAIN!A3840,K3835+4,2)</f>
        <v>#VALUE!</v>
      </c>
      <c r="F3835" s="2" t="e">
        <f t="shared" si="237"/>
        <v>#VALUE!</v>
      </c>
      <c r="G3835" s="13" t="e">
        <f t="shared" si="238"/>
        <v>#VALUE!</v>
      </c>
      <c r="J3835" t="str">
        <f>MAIN!A3840&amp;"B"</f>
        <v>B</v>
      </c>
      <c r="K3835" s="12" t="e">
        <f t="shared" si="239"/>
        <v>#VALUE!</v>
      </c>
      <c r="L3835" t="str">
        <f>MAIN!C3840</f>
        <v/>
      </c>
    </row>
    <row r="3836" spans="1:12" x14ac:dyDescent="0.3">
      <c r="A3836">
        <f>IF(J3836="0",0,IF(COUNTIF($J$2:J3836,J3836)=1,1,0))</f>
        <v>0</v>
      </c>
      <c r="B3836" s="12" t="e">
        <f>MID(MAIN!A3841,K3836,2)</f>
        <v>#VALUE!</v>
      </c>
      <c r="C3836" s="12" t="e">
        <f t="shared" si="236"/>
        <v>#VALUE!</v>
      </c>
      <c r="D3836" s="12" t="e">
        <f>MID(MAIN!A3841,K3836+2,2)</f>
        <v>#VALUE!</v>
      </c>
      <c r="E3836" s="12" t="e">
        <f>MID(MAIN!A3841,K3836+4,2)</f>
        <v>#VALUE!</v>
      </c>
      <c r="F3836" s="2" t="e">
        <f t="shared" si="237"/>
        <v>#VALUE!</v>
      </c>
      <c r="G3836" s="13" t="e">
        <f t="shared" si="238"/>
        <v>#VALUE!</v>
      </c>
      <c r="J3836" t="str">
        <f>MAIN!A3841&amp;"B"</f>
        <v>B</v>
      </c>
      <c r="K3836" s="12" t="e">
        <f t="shared" si="239"/>
        <v>#VALUE!</v>
      </c>
      <c r="L3836" t="str">
        <f>MAIN!C3841</f>
        <v/>
      </c>
    </row>
    <row r="3837" spans="1:12" x14ac:dyDescent="0.3">
      <c r="A3837">
        <f>IF(J3837="0",0,IF(COUNTIF($J$2:J3837,J3837)=1,1,0))</f>
        <v>0</v>
      </c>
      <c r="B3837" s="12" t="e">
        <f>MID(MAIN!A3842,K3837,2)</f>
        <v>#VALUE!</v>
      </c>
      <c r="C3837" s="12" t="e">
        <f t="shared" si="236"/>
        <v>#VALUE!</v>
      </c>
      <c r="D3837" s="12" t="e">
        <f>MID(MAIN!A3842,K3837+2,2)</f>
        <v>#VALUE!</v>
      </c>
      <c r="E3837" s="12" t="e">
        <f>MID(MAIN!A3842,K3837+4,2)</f>
        <v>#VALUE!</v>
      </c>
      <c r="F3837" s="2" t="e">
        <f t="shared" si="237"/>
        <v>#VALUE!</v>
      </c>
      <c r="G3837" s="13" t="e">
        <f t="shared" si="238"/>
        <v>#VALUE!</v>
      </c>
      <c r="J3837" t="str">
        <f>MAIN!A3842&amp;"B"</f>
        <v>B</v>
      </c>
      <c r="K3837" s="12" t="e">
        <f t="shared" si="239"/>
        <v>#VALUE!</v>
      </c>
      <c r="L3837" t="str">
        <f>MAIN!C3842</f>
        <v/>
      </c>
    </row>
    <row r="3838" spans="1:12" x14ac:dyDescent="0.3">
      <c r="A3838">
        <f>IF(J3838="0",0,IF(COUNTIF($J$2:J3838,J3838)=1,1,0))</f>
        <v>0</v>
      </c>
      <c r="B3838" s="12" t="e">
        <f>MID(MAIN!A3843,K3838,2)</f>
        <v>#VALUE!</v>
      </c>
      <c r="C3838" s="12" t="e">
        <f t="shared" si="236"/>
        <v>#VALUE!</v>
      </c>
      <c r="D3838" s="12" t="e">
        <f>MID(MAIN!A3843,K3838+2,2)</f>
        <v>#VALUE!</v>
      </c>
      <c r="E3838" s="12" t="e">
        <f>MID(MAIN!A3843,K3838+4,2)</f>
        <v>#VALUE!</v>
      </c>
      <c r="F3838" s="2" t="e">
        <f t="shared" si="237"/>
        <v>#VALUE!</v>
      </c>
      <c r="G3838" s="13" t="e">
        <f t="shared" si="238"/>
        <v>#VALUE!</v>
      </c>
      <c r="J3838" t="str">
        <f>MAIN!A3843&amp;"B"</f>
        <v>B</v>
      </c>
      <c r="K3838" s="12" t="e">
        <f t="shared" si="239"/>
        <v>#VALUE!</v>
      </c>
      <c r="L3838" t="str">
        <f>MAIN!C3843</f>
        <v/>
      </c>
    </row>
    <row r="3839" spans="1:12" x14ac:dyDescent="0.3">
      <c r="A3839">
        <f>IF(J3839="0",0,IF(COUNTIF($J$2:J3839,J3839)=1,1,0))</f>
        <v>0</v>
      </c>
      <c r="B3839" s="12" t="e">
        <f>MID(MAIN!A3844,K3839,2)</f>
        <v>#VALUE!</v>
      </c>
      <c r="C3839" s="12" t="e">
        <f t="shared" si="236"/>
        <v>#VALUE!</v>
      </c>
      <c r="D3839" s="12" t="e">
        <f>MID(MAIN!A3844,K3839+2,2)</f>
        <v>#VALUE!</v>
      </c>
      <c r="E3839" s="12" t="e">
        <f>MID(MAIN!A3844,K3839+4,2)</f>
        <v>#VALUE!</v>
      </c>
      <c r="F3839" s="2" t="e">
        <f t="shared" si="237"/>
        <v>#VALUE!</v>
      </c>
      <c r="G3839" s="13" t="e">
        <f t="shared" si="238"/>
        <v>#VALUE!</v>
      </c>
      <c r="J3839" t="str">
        <f>MAIN!A3844&amp;"B"</f>
        <v>B</v>
      </c>
      <c r="K3839" s="12" t="e">
        <f t="shared" si="239"/>
        <v>#VALUE!</v>
      </c>
      <c r="L3839" t="str">
        <f>MAIN!C3844</f>
        <v/>
      </c>
    </row>
    <row r="3840" spans="1:12" x14ac:dyDescent="0.3">
      <c r="A3840">
        <f>IF(J3840="0",0,IF(COUNTIF($J$2:J3840,J3840)=1,1,0))</f>
        <v>0</v>
      </c>
      <c r="B3840" s="12" t="e">
        <f>MID(MAIN!A3845,K3840,2)</f>
        <v>#VALUE!</v>
      </c>
      <c r="C3840" s="12" t="e">
        <f t="shared" si="236"/>
        <v>#VALUE!</v>
      </c>
      <c r="D3840" s="12" t="e">
        <f>MID(MAIN!A3845,K3840+2,2)</f>
        <v>#VALUE!</v>
      </c>
      <c r="E3840" s="12" t="e">
        <f>MID(MAIN!A3845,K3840+4,2)</f>
        <v>#VALUE!</v>
      </c>
      <c r="F3840" s="2" t="e">
        <f t="shared" si="237"/>
        <v>#VALUE!</v>
      </c>
      <c r="G3840" s="13" t="e">
        <f t="shared" si="238"/>
        <v>#VALUE!</v>
      </c>
      <c r="J3840" t="str">
        <f>MAIN!A3845&amp;"B"</f>
        <v>B</v>
      </c>
      <c r="K3840" s="12" t="e">
        <f t="shared" si="239"/>
        <v>#VALUE!</v>
      </c>
      <c r="L3840" t="str">
        <f>MAIN!C3845</f>
        <v/>
      </c>
    </row>
    <row r="3841" spans="1:12" x14ac:dyDescent="0.3">
      <c r="A3841">
        <f>IF(J3841="0",0,IF(COUNTIF($J$2:J3841,J3841)=1,1,0))</f>
        <v>0</v>
      </c>
      <c r="B3841" s="12" t="e">
        <f>MID(MAIN!A3846,K3841,2)</f>
        <v>#VALUE!</v>
      </c>
      <c r="C3841" s="12" t="e">
        <f t="shared" si="236"/>
        <v>#VALUE!</v>
      </c>
      <c r="D3841" s="12" t="e">
        <f>MID(MAIN!A3846,K3841+2,2)</f>
        <v>#VALUE!</v>
      </c>
      <c r="E3841" s="12" t="e">
        <f>MID(MAIN!A3846,K3841+4,2)</f>
        <v>#VALUE!</v>
      </c>
      <c r="F3841" s="2" t="e">
        <f t="shared" si="237"/>
        <v>#VALUE!</v>
      </c>
      <c r="G3841" s="13" t="e">
        <f t="shared" si="238"/>
        <v>#VALUE!</v>
      </c>
      <c r="J3841" t="str">
        <f>MAIN!A3846&amp;"B"</f>
        <v>B</v>
      </c>
      <c r="K3841" s="12" t="e">
        <f t="shared" si="239"/>
        <v>#VALUE!</v>
      </c>
      <c r="L3841" t="str">
        <f>MAIN!C3846</f>
        <v/>
      </c>
    </row>
    <row r="3842" spans="1:12" x14ac:dyDescent="0.3">
      <c r="A3842">
        <f>IF(J3842="0",0,IF(COUNTIF($J$2:J3842,J3842)=1,1,0))</f>
        <v>0</v>
      </c>
      <c r="B3842" s="12" t="e">
        <f>MID(MAIN!A3847,K3842,2)</f>
        <v>#VALUE!</v>
      </c>
      <c r="C3842" s="12" t="e">
        <f t="shared" si="236"/>
        <v>#VALUE!</v>
      </c>
      <c r="D3842" s="12" t="e">
        <f>MID(MAIN!A3847,K3842+2,2)</f>
        <v>#VALUE!</v>
      </c>
      <c r="E3842" s="12" t="e">
        <f>MID(MAIN!A3847,K3842+4,2)</f>
        <v>#VALUE!</v>
      </c>
      <c r="F3842" s="2" t="e">
        <f t="shared" si="237"/>
        <v>#VALUE!</v>
      </c>
      <c r="G3842" s="13" t="e">
        <f t="shared" si="238"/>
        <v>#VALUE!</v>
      </c>
      <c r="J3842" t="str">
        <f>MAIN!A3847&amp;"B"</f>
        <v>B</v>
      </c>
      <c r="K3842" s="12" t="e">
        <f t="shared" si="239"/>
        <v>#VALUE!</v>
      </c>
      <c r="L3842" t="str">
        <f>MAIN!C3847</f>
        <v/>
      </c>
    </row>
    <row r="3843" spans="1:12" x14ac:dyDescent="0.3">
      <c r="A3843">
        <f>IF(J3843="0",0,IF(COUNTIF($J$2:J3843,J3843)=1,1,0))</f>
        <v>0</v>
      </c>
      <c r="B3843" s="12" t="e">
        <f>MID(MAIN!A3848,K3843,2)</f>
        <v>#VALUE!</v>
      </c>
      <c r="C3843" s="12" t="e">
        <f t="shared" ref="C3843:C3906" si="240">"20"&amp;B3843</f>
        <v>#VALUE!</v>
      </c>
      <c r="D3843" s="12" t="e">
        <f>MID(MAIN!A3848,K3843+2,2)</f>
        <v>#VALUE!</v>
      </c>
      <c r="E3843" s="12" t="e">
        <f>MID(MAIN!A3848,K3843+4,2)</f>
        <v>#VALUE!</v>
      </c>
      <c r="F3843" s="2" t="e">
        <f t="shared" ref="F3843:F3906" si="241">C3843&amp;"/"&amp;D3843&amp;"/"&amp;E3843</f>
        <v>#VALUE!</v>
      </c>
      <c r="G3843" s="13" t="e">
        <f t="shared" ref="G3843:G3906" si="242">DATEVALUE(F3843)</f>
        <v>#VALUE!</v>
      </c>
      <c r="J3843" t="str">
        <f>MAIN!A3848&amp;"B"</f>
        <v>B</v>
      </c>
      <c r="K3843" s="12" t="e">
        <f t="shared" ref="K3843:K3906" si="243">FIND("172",J3843,30)+2</f>
        <v>#VALUE!</v>
      </c>
      <c r="L3843" t="str">
        <f>MAIN!C3848</f>
        <v/>
      </c>
    </row>
    <row r="3844" spans="1:12" x14ac:dyDescent="0.3">
      <c r="A3844">
        <f>IF(J3844="0",0,IF(COUNTIF($J$2:J3844,J3844)=1,1,0))</f>
        <v>0</v>
      </c>
      <c r="B3844" s="12" t="e">
        <f>MID(MAIN!A3849,K3844,2)</f>
        <v>#VALUE!</v>
      </c>
      <c r="C3844" s="12" t="e">
        <f t="shared" si="240"/>
        <v>#VALUE!</v>
      </c>
      <c r="D3844" s="12" t="e">
        <f>MID(MAIN!A3849,K3844+2,2)</f>
        <v>#VALUE!</v>
      </c>
      <c r="E3844" s="12" t="e">
        <f>MID(MAIN!A3849,K3844+4,2)</f>
        <v>#VALUE!</v>
      </c>
      <c r="F3844" s="2" t="e">
        <f t="shared" si="241"/>
        <v>#VALUE!</v>
      </c>
      <c r="G3844" s="13" t="e">
        <f t="shared" si="242"/>
        <v>#VALUE!</v>
      </c>
      <c r="J3844" t="str">
        <f>MAIN!A3849&amp;"B"</f>
        <v>B</v>
      </c>
      <c r="K3844" s="12" t="e">
        <f t="shared" si="243"/>
        <v>#VALUE!</v>
      </c>
      <c r="L3844" t="str">
        <f>MAIN!C3849</f>
        <v/>
      </c>
    </row>
    <row r="3845" spans="1:12" x14ac:dyDescent="0.3">
      <c r="A3845">
        <f>IF(J3845="0",0,IF(COUNTIF($J$2:J3845,J3845)=1,1,0))</f>
        <v>0</v>
      </c>
      <c r="B3845" s="12" t="e">
        <f>MID(MAIN!A3850,K3845,2)</f>
        <v>#VALUE!</v>
      </c>
      <c r="C3845" s="12" t="e">
        <f t="shared" si="240"/>
        <v>#VALUE!</v>
      </c>
      <c r="D3845" s="12" t="e">
        <f>MID(MAIN!A3850,K3845+2,2)</f>
        <v>#VALUE!</v>
      </c>
      <c r="E3845" s="12" t="e">
        <f>MID(MAIN!A3850,K3845+4,2)</f>
        <v>#VALUE!</v>
      </c>
      <c r="F3845" s="2" t="e">
        <f t="shared" si="241"/>
        <v>#VALUE!</v>
      </c>
      <c r="G3845" s="13" t="e">
        <f t="shared" si="242"/>
        <v>#VALUE!</v>
      </c>
      <c r="J3845" t="str">
        <f>MAIN!A3850&amp;"B"</f>
        <v>B</v>
      </c>
      <c r="K3845" s="12" t="e">
        <f t="shared" si="243"/>
        <v>#VALUE!</v>
      </c>
      <c r="L3845" t="str">
        <f>MAIN!C3850</f>
        <v/>
      </c>
    </row>
    <row r="3846" spans="1:12" x14ac:dyDescent="0.3">
      <c r="A3846">
        <f>IF(J3846="0",0,IF(COUNTIF($J$2:J3846,J3846)=1,1,0))</f>
        <v>0</v>
      </c>
      <c r="B3846" s="12" t="e">
        <f>MID(MAIN!A3851,K3846,2)</f>
        <v>#VALUE!</v>
      </c>
      <c r="C3846" s="12" t="e">
        <f t="shared" si="240"/>
        <v>#VALUE!</v>
      </c>
      <c r="D3846" s="12" t="e">
        <f>MID(MAIN!A3851,K3846+2,2)</f>
        <v>#VALUE!</v>
      </c>
      <c r="E3846" s="12" t="e">
        <f>MID(MAIN!A3851,K3846+4,2)</f>
        <v>#VALUE!</v>
      </c>
      <c r="F3846" s="2" t="e">
        <f t="shared" si="241"/>
        <v>#VALUE!</v>
      </c>
      <c r="G3846" s="13" t="e">
        <f t="shared" si="242"/>
        <v>#VALUE!</v>
      </c>
      <c r="J3846" t="str">
        <f>MAIN!A3851&amp;"B"</f>
        <v>B</v>
      </c>
      <c r="K3846" s="12" t="e">
        <f t="shared" si="243"/>
        <v>#VALUE!</v>
      </c>
      <c r="L3846" t="str">
        <f>MAIN!C3851</f>
        <v/>
      </c>
    </row>
    <row r="3847" spans="1:12" x14ac:dyDescent="0.3">
      <c r="A3847">
        <f>IF(J3847="0",0,IF(COUNTIF($J$2:J3847,J3847)=1,1,0))</f>
        <v>0</v>
      </c>
      <c r="B3847" s="12" t="e">
        <f>MID(MAIN!A3852,K3847,2)</f>
        <v>#VALUE!</v>
      </c>
      <c r="C3847" s="12" t="e">
        <f t="shared" si="240"/>
        <v>#VALUE!</v>
      </c>
      <c r="D3847" s="12" t="e">
        <f>MID(MAIN!A3852,K3847+2,2)</f>
        <v>#VALUE!</v>
      </c>
      <c r="E3847" s="12" t="e">
        <f>MID(MAIN!A3852,K3847+4,2)</f>
        <v>#VALUE!</v>
      </c>
      <c r="F3847" s="2" t="e">
        <f t="shared" si="241"/>
        <v>#VALUE!</v>
      </c>
      <c r="G3847" s="13" t="e">
        <f t="shared" si="242"/>
        <v>#VALUE!</v>
      </c>
      <c r="J3847" t="str">
        <f>MAIN!A3852&amp;"B"</f>
        <v>B</v>
      </c>
      <c r="K3847" s="12" t="e">
        <f t="shared" si="243"/>
        <v>#VALUE!</v>
      </c>
      <c r="L3847" t="str">
        <f>MAIN!C3852</f>
        <v/>
      </c>
    </row>
    <row r="3848" spans="1:12" x14ac:dyDescent="0.3">
      <c r="A3848">
        <f>IF(J3848="0",0,IF(COUNTIF($J$2:J3848,J3848)=1,1,0))</f>
        <v>0</v>
      </c>
      <c r="B3848" s="12" t="e">
        <f>MID(MAIN!A3853,K3848,2)</f>
        <v>#VALUE!</v>
      </c>
      <c r="C3848" s="12" t="e">
        <f t="shared" si="240"/>
        <v>#VALUE!</v>
      </c>
      <c r="D3848" s="12" t="e">
        <f>MID(MAIN!A3853,K3848+2,2)</f>
        <v>#VALUE!</v>
      </c>
      <c r="E3848" s="12" t="e">
        <f>MID(MAIN!A3853,K3848+4,2)</f>
        <v>#VALUE!</v>
      </c>
      <c r="F3848" s="2" t="e">
        <f t="shared" si="241"/>
        <v>#VALUE!</v>
      </c>
      <c r="G3848" s="13" t="e">
        <f t="shared" si="242"/>
        <v>#VALUE!</v>
      </c>
      <c r="J3848" t="str">
        <f>MAIN!A3853&amp;"B"</f>
        <v>B</v>
      </c>
      <c r="K3848" s="12" t="e">
        <f t="shared" si="243"/>
        <v>#VALUE!</v>
      </c>
      <c r="L3848" t="str">
        <f>MAIN!C3853</f>
        <v/>
      </c>
    </row>
    <row r="3849" spans="1:12" x14ac:dyDescent="0.3">
      <c r="A3849">
        <f>IF(J3849="0",0,IF(COUNTIF($J$2:J3849,J3849)=1,1,0))</f>
        <v>0</v>
      </c>
      <c r="B3849" s="12" t="e">
        <f>MID(MAIN!A3854,K3849,2)</f>
        <v>#VALUE!</v>
      </c>
      <c r="C3849" s="12" t="e">
        <f t="shared" si="240"/>
        <v>#VALUE!</v>
      </c>
      <c r="D3849" s="12" t="e">
        <f>MID(MAIN!A3854,K3849+2,2)</f>
        <v>#VALUE!</v>
      </c>
      <c r="E3849" s="12" t="e">
        <f>MID(MAIN!A3854,K3849+4,2)</f>
        <v>#VALUE!</v>
      </c>
      <c r="F3849" s="2" t="e">
        <f t="shared" si="241"/>
        <v>#VALUE!</v>
      </c>
      <c r="G3849" s="13" t="e">
        <f t="shared" si="242"/>
        <v>#VALUE!</v>
      </c>
      <c r="J3849" t="str">
        <f>MAIN!A3854&amp;"B"</f>
        <v>B</v>
      </c>
      <c r="K3849" s="12" t="e">
        <f t="shared" si="243"/>
        <v>#VALUE!</v>
      </c>
      <c r="L3849" t="str">
        <f>MAIN!C3854</f>
        <v/>
      </c>
    </row>
    <row r="3850" spans="1:12" x14ac:dyDescent="0.3">
      <c r="A3850">
        <f>IF(J3850="0",0,IF(COUNTIF($J$2:J3850,J3850)=1,1,0))</f>
        <v>0</v>
      </c>
      <c r="B3850" s="12" t="e">
        <f>MID(MAIN!A3855,K3850,2)</f>
        <v>#VALUE!</v>
      </c>
      <c r="C3850" s="12" t="e">
        <f t="shared" si="240"/>
        <v>#VALUE!</v>
      </c>
      <c r="D3850" s="12" t="e">
        <f>MID(MAIN!A3855,K3850+2,2)</f>
        <v>#VALUE!</v>
      </c>
      <c r="E3850" s="12" t="e">
        <f>MID(MAIN!A3855,K3850+4,2)</f>
        <v>#VALUE!</v>
      </c>
      <c r="F3850" s="2" t="e">
        <f t="shared" si="241"/>
        <v>#VALUE!</v>
      </c>
      <c r="G3850" s="13" t="e">
        <f t="shared" si="242"/>
        <v>#VALUE!</v>
      </c>
      <c r="J3850" t="str">
        <f>MAIN!A3855&amp;"B"</f>
        <v>B</v>
      </c>
      <c r="K3850" s="12" t="e">
        <f t="shared" si="243"/>
        <v>#VALUE!</v>
      </c>
      <c r="L3850" t="str">
        <f>MAIN!C3855</f>
        <v/>
      </c>
    </row>
    <row r="3851" spans="1:12" x14ac:dyDescent="0.3">
      <c r="A3851">
        <f>IF(J3851="0",0,IF(COUNTIF($J$2:J3851,J3851)=1,1,0))</f>
        <v>0</v>
      </c>
      <c r="B3851" s="12" t="e">
        <f>MID(MAIN!A3856,K3851,2)</f>
        <v>#VALUE!</v>
      </c>
      <c r="C3851" s="12" t="e">
        <f t="shared" si="240"/>
        <v>#VALUE!</v>
      </c>
      <c r="D3851" s="12" t="e">
        <f>MID(MAIN!A3856,K3851+2,2)</f>
        <v>#VALUE!</v>
      </c>
      <c r="E3851" s="12" t="e">
        <f>MID(MAIN!A3856,K3851+4,2)</f>
        <v>#VALUE!</v>
      </c>
      <c r="F3851" s="2" t="e">
        <f t="shared" si="241"/>
        <v>#VALUE!</v>
      </c>
      <c r="G3851" s="13" t="e">
        <f t="shared" si="242"/>
        <v>#VALUE!</v>
      </c>
      <c r="J3851" t="str">
        <f>MAIN!A3856&amp;"B"</f>
        <v>B</v>
      </c>
      <c r="K3851" s="12" t="e">
        <f t="shared" si="243"/>
        <v>#VALUE!</v>
      </c>
      <c r="L3851" t="str">
        <f>MAIN!C3856</f>
        <v/>
      </c>
    </row>
    <row r="3852" spans="1:12" x14ac:dyDescent="0.3">
      <c r="A3852">
        <f>IF(J3852="0",0,IF(COUNTIF($J$2:J3852,J3852)=1,1,0))</f>
        <v>0</v>
      </c>
      <c r="B3852" s="12" t="e">
        <f>MID(MAIN!A3857,K3852,2)</f>
        <v>#VALUE!</v>
      </c>
      <c r="C3852" s="12" t="e">
        <f t="shared" si="240"/>
        <v>#VALUE!</v>
      </c>
      <c r="D3852" s="12" t="e">
        <f>MID(MAIN!A3857,K3852+2,2)</f>
        <v>#VALUE!</v>
      </c>
      <c r="E3852" s="12" t="e">
        <f>MID(MAIN!A3857,K3852+4,2)</f>
        <v>#VALUE!</v>
      </c>
      <c r="F3852" s="2" t="e">
        <f t="shared" si="241"/>
        <v>#VALUE!</v>
      </c>
      <c r="G3852" s="13" t="e">
        <f t="shared" si="242"/>
        <v>#VALUE!</v>
      </c>
      <c r="J3852" t="str">
        <f>MAIN!A3857&amp;"B"</f>
        <v>B</v>
      </c>
      <c r="K3852" s="12" t="e">
        <f t="shared" si="243"/>
        <v>#VALUE!</v>
      </c>
      <c r="L3852" t="str">
        <f>MAIN!C3857</f>
        <v/>
      </c>
    </row>
    <row r="3853" spans="1:12" x14ac:dyDescent="0.3">
      <c r="A3853">
        <f>IF(J3853="0",0,IF(COUNTIF($J$2:J3853,J3853)=1,1,0))</f>
        <v>0</v>
      </c>
      <c r="B3853" s="12" t="e">
        <f>MID(MAIN!A3858,K3853,2)</f>
        <v>#VALUE!</v>
      </c>
      <c r="C3853" s="12" t="e">
        <f t="shared" si="240"/>
        <v>#VALUE!</v>
      </c>
      <c r="D3853" s="12" t="e">
        <f>MID(MAIN!A3858,K3853+2,2)</f>
        <v>#VALUE!</v>
      </c>
      <c r="E3853" s="12" t="e">
        <f>MID(MAIN!A3858,K3853+4,2)</f>
        <v>#VALUE!</v>
      </c>
      <c r="F3853" s="2" t="e">
        <f t="shared" si="241"/>
        <v>#VALUE!</v>
      </c>
      <c r="G3853" s="13" t="e">
        <f t="shared" si="242"/>
        <v>#VALUE!</v>
      </c>
      <c r="J3853" t="str">
        <f>MAIN!A3858&amp;"B"</f>
        <v>B</v>
      </c>
      <c r="K3853" s="12" t="e">
        <f t="shared" si="243"/>
        <v>#VALUE!</v>
      </c>
      <c r="L3853" t="str">
        <f>MAIN!C3858</f>
        <v/>
      </c>
    </row>
    <row r="3854" spans="1:12" x14ac:dyDescent="0.3">
      <c r="A3854">
        <f>IF(J3854="0",0,IF(COUNTIF($J$2:J3854,J3854)=1,1,0))</f>
        <v>0</v>
      </c>
      <c r="B3854" s="12" t="e">
        <f>MID(MAIN!A3859,K3854,2)</f>
        <v>#VALUE!</v>
      </c>
      <c r="C3854" s="12" t="e">
        <f t="shared" si="240"/>
        <v>#VALUE!</v>
      </c>
      <c r="D3854" s="12" t="e">
        <f>MID(MAIN!A3859,K3854+2,2)</f>
        <v>#VALUE!</v>
      </c>
      <c r="E3854" s="12" t="e">
        <f>MID(MAIN!A3859,K3854+4,2)</f>
        <v>#VALUE!</v>
      </c>
      <c r="F3854" s="2" t="e">
        <f t="shared" si="241"/>
        <v>#VALUE!</v>
      </c>
      <c r="G3854" s="13" t="e">
        <f t="shared" si="242"/>
        <v>#VALUE!</v>
      </c>
      <c r="J3854" t="str">
        <f>MAIN!A3859&amp;"B"</f>
        <v>B</v>
      </c>
      <c r="K3854" s="12" t="e">
        <f t="shared" si="243"/>
        <v>#VALUE!</v>
      </c>
      <c r="L3854" t="str">
        <f>MAIN!C3859</f>
        <v/>
      </c>
    </row>
    <row r="3855" spans="1:12" x14ac:dyDescent="0.3">
      <c r="A3855">
        <f>IF(J3855="0",0,IF(COUNTIF($J$2:J3855,J3855)=1,1,0))</f>
        <v>0</v>
      </c>
      <c r="B3855" s="12" t="e">
        <f>MID(MAIN!A3860,K3855,2)</f>
        <v>#VALUE!</v>
      </c>
      <c r="C3855" s="12" t="e">
        <f t="shared" si="240"/>
        <v>#VALUE!</v>
      </c>
      <c r="D3855" s="12" t="e">
        <f>MID(MAIN!A3860,K3855+2,2)</f>
        <v>#VALUE!</v>
      </c>
      <c r="E3855" s="12" t="e">
        <f>MID(MAIN!A3860,K3855+4,2)</f>
        <v>#VALUE!</v>
      </c>
      <c r="F3855" s="2" t="e">
        <f t="shared" si="241"/>
        <v>#VALUE!</v>
      </c>
      <c r="G3855" s="13" t="e">
        <f t="shared" si="242"/>
        <v>#VALUE!</v>
      </c>
      <c r="J3855" t="str">
        <f>MAIN!A3860&amp;"B"</f>
        <v>B</v>
      </c>
      <c r="K3855" s="12" t="e">
        <f t="shared" si="243"/>
        <v>#VALUE!</v>
      </c>
      <c r="L3855" t="str">
        <f>MAIN!C3860</f>
        <v/>
      </c>
    </row>
    <row r="3856" spans="1:12" x14ac:dyDescent="0.3">
      <c r="A3856">
        <f>IF(J3856="0",0,IF(COUNTIF($J$2:J3856,J3856)=1,1,0))</f>
        <v>0</v>
      </c>
      <c r="B3856" s="12" t="e">
        <f>MID(MAIN!A3861,K3856,2)</f>
        <v>#VALUE!</v>
      </c>
      <c r="C3856" s="12" t="e">
        <f t="shared" si="240"/>
        <v>#VALUE!</v>
      </c>
      <c r="D3856" s="12" t="e">
        <f>MID(MAIN!A3861,K3856+2,2)</f>
        <v>#VALUE!</v>
      </c>
      <c r="E3856" s="12" t="e">
        <f>MID(MAIN!A3861,K3856+4,2)</f>
        <v>#VALUE!</v>
      </c>
      <c r="F3856" s="2" t="e">
        <f t="shared" si="241"/>
        <v>#VALUE!</v>
      </c>
      <c r="G3856" s="13" t="e">
        <f t="shared" si="242"/>
        <v>#VALUE!</v>
      </c>
      <c r="J3856" t="str">
        <f>MAIN!A3861&amp;"B"</f>
        <v>B</v>
      </c>
      <c r="K3856" s="12" t="e">
        <f t="shared" si="243"/>
        <v>#VALUE!</v>
      </c>
      <c r="L3856" t="str">
        <f>MAIN!C3861</f>
        <v/>
      </c>
    </row>
    <row r="3857" spans="1:12" x14ac:dyDescent="0.3">
      <c r="A3857">
        <f>IF(J3857="0",0,IF(COUNTIF($J$2:J3857,J3857)=1,1,0))</f>
        <v>0</v>
      </c>
      <c r="B3857" s="12" t="e">
        <f>MID(MAIN!A3862,K3857,2)</f>
        <v>#VALUE!</v>
      </c>
      <c r="C3857" s="12" t="e">
        <f t="shared" si="240"/>
        <v>#VALUE!</v>
      </c>
      <c r="D3857" s="12" t="e">
        <f>MID(MAIN!A3862,K3857+2,2)</f>
        <v>#VALUE!</v>
      </c>
      <c r="E3857" s="12" t="e">
        <f>MID(MAIN!A3862,K3857+4,2)</f>
        <v>#VALUE!</v>
      </c>
      <c r="F3857" s="2" t="e">
        <f t="shared" si="241"/>
        <v>#VALUE!</v>
      </c>
      <c r="G3857" s="13" t="e">
        <f t="shared" si="242"/>
        <v>#VALUE!</v>
      </c>
      <c r="J3857" t="str">
        <f>MAIN!A3862&amp;"B"</f>
        <v>B</v>
      </c>
      <c r="K3857" s="12" t="e">
        <f t="shared" si="243"/>
        <v>#VALUE!</v>
      </c>
      <c r="L3857" t="str">
        <f>MAIN!C3862</f>
        <v/>
      </c>
    </row>
    <row r="3858" spans="1:12" x14ac:dyDescent="0.3">
      <c r="A3858">
        <f>IF(J3858="0",0,IF(COUNTIF($J$2:J3858,J3858)=1,1,0))</f>
        <v>0</v>
      </c>
      <c r="B3858" s="12" t="e">
        <f>MID(MAIN!A3863,K3858,2)</f>
        <v>#VALUE!</v>
      </c>
      <c r="C3858" s="12" t="e">
        <f t="shared" si="240"/>
        <v>#VALUE!</v>
      </c>
      <c r="D3858" s="12" t="e">
        <f>MID(MAIN!A3863,K3858+2,2)</f>
        <v>#VALUE!</v>
      </c>
      <c r="E3858" s="12" t="e">
        <f>MID(MAIN!A3863,K3858+4,2)</f>
        <v>#VALUE!</v>
      </c>
      <c r="F3858" s="2" t="e">
        <f t="shared" si="241"/>
        <v>#VALUE!</v>
      </c>
      <c r="G3858" s="13" t="e">
        <f t="shared" si="242"/>
        <v>#VALUE!</v>
      </c>
      <c r="J3858" t="str">
        <f>MAIN!A3863&amp;"B"</f>
        <v>B</v>
      </c>
      <c r="K3858" s="12" t="e">
        <f t="shared" si="243"/>
        <v>#VALUE!</v>
      </c>
      <c r="L3858" t="str">
        <f>MAIN!C3863</f>
        <v/>
      </c>
    </row>
    <row r="3859" spans="1:12" x14ac:dyDescent="0.3">
      <c r="A3859">
        <f>IF(J3859="0",0,IF(COUNTIF($J$2:J3859,J3859)=1,1,0))</f>
        <v>0</v>
      </c>
      <c r="B3859" s="12" t="e">
        <f>MID(MAIN!A3864,K3859,2)</f>
        <v>#VALUE!</v>
      </c>
      <c r="C3859" s="12" t="e">
        <f t="shared" si="240"/>
        <v>#VALUE!</v>
      </c>
      <c r="D3859" s="12" t="e">
        <f>MID(MAIN!A3864,K3859+2,2)</f>
        <v>#VALUE!</v>
      </c>
      <c r="E3859" s="12" t="e">
        <f>MID(MAIN!A3864,K3859+4,2)</f>
        <v>#VALUE!</v>
      </c>
      <c r="F3859" s="2" t="e">
        <f t="shared" si="241"/>
        <v>#VALUE!</v>
      </c>
      <c r="G3859" s="13" t="e">
        <f t="shared" si="242"/>
        <v>#VALUE!</v>
      </c>
      <c r="J3859" t="str">
        <f>MAIN!A3864&amp;"B"</f>
        <v>B</v>
      </c>
      <c r="K3859" s="12" t="e">
        <f t="shared" si="243"/>
        <v>#VALUE!</v>
      </c>
      <c r="L3859" t="str">
        <f>MAIN!C3864</f>
        <v/>
      </c>
    </row>
    <row r="3860" spans="1:12" x14ac:dyDescent="0.3">
      <c r="A3860">
        <f>IF(J3860="0",0,IF(COUNTIF($J$2:J3860,J3860)=1,1,0))</f>
        <v>0</v>
      </c>
      <c r="B3860" s="12" t="e">
        <f>MID(MAIN!A3865,K3860,2)</f>
        <v>#VALUE!</v>
      </c>
      <c r="C3860" s="12" t="e">
        <f t="shared" si="240"/>
        <v>#VALUE!</v>
      </c>
      <c r="D3860" s="12" t="e">
        <f>MID(MAIN!A3865,K3860+2,2)</f>
        <v>#VALUE!</v>
      </c>
      <c r="E3860" s="12" t="e">
        <f>MID(MAIN!A3865,K3860+4,2)</f>
        <v>#VALUE!</v>
      </c>
      <c r="F3860" s="2" t="e">
        <f t="shared" si="241"/>
        <v>#VALUE!</v>
      </c>
      <c r="G3860" s="13" t="e">
        <f t="shared" si="242"/>
        <v>#VALUE!</v>
      </c>
      <c r="J3860" t="str">
        <f>MAIN!A3865&amp;"B"</f>
        <v>B</v>
      </c>
      <c r="K3860" s="12" t="e">
        <f t="shared" si="243"/>
        <v>#VALUE!</v>
      </c>
      <c r="L3860" t="str">
        <f>MAIN!C3865</f>
        <v/>
      </c>
    </row>
    <row r="3861" spans="1:12" x14ac:dyDescent="0.3">
      <c r="A3861">
        <f>IF(J3861="0",0,IF(COUNTIF($J$2:J3861,J3861)=1,1,0))</f>
        <v>0</v>
      </c>
      <c r="B3861" s="12" t="e">
        <f>MID(MAIN!A3866,K3861,2)</f>
        <v>#VALUE!</v>
      </c>
      <c r="C3861" s="12" t="e">
        <f t="shared" si="240"/>
        <v>#VALUE!</v>
      </c>
      <c r="D3861" s="12" t="e">
        <f>MID(MAIN!A3866,K3861+2,2)</f>
        <v>#VALUE!</v>
      </c>
      <c r="E3861" s="12" t="e">
        <f>MID(MAIN!A3866,K3861+4,2)</f>
        <v>#VALUE!</v>
      </c>
      <c r="F3861" s="2" t="e">
        <f t="shared" si="241"/>
        <v>#VALUE!</v>
      </c>
      <c r="G3861" s="13" t="e">
        <f t="shared" si="242"/>
        <v>#VALUE!</v>
      </c>
      <c r="J3861" t="str">
        <f>MAIN!A3866&amp;"B"</f>
        <v>B</v>
      </c>
      <c r="K3861" s="12" t="e">
        <f t="shared" si="243"/>
        <v>#VALUE!</v>
      </c>
      <c r="L3861" t="str">
        <f>MAIN!C3866</f>
        <v/>
      </c>
    </row>
    <row r="3862" spans="1:12" x14ac:dyDescent="0.3">
      <c r="A3862">
        <f>IF(J3862="0",0,IF(COUNTIF($J$2:J3862,J3862)=1,1,0))</f>
        <v>0</v>
      </c>
      <c r="B3862" s="12" t="e">
        <f>MID(MAIN!A3867,K3862,2)</f>
        <v>#VALUE!</v>
      </c>
      <c r="C3862" s="12" t="e">
        <f t="shared" si="240"/>
        <v>#VALUE!</v>
      </c>
      <c r="D3862" s="12" t="e">
        <f>MID(MAIN!A3867,K3862+2,2)</f>
        <v>#VALUE!</v>
      </c>
      <c r="E3862" s="12" t="e">
        <f>MID(MAIN!A3867,K3862+4,2)</f>
        <v>#VALUE!</v>
      </c>
      <c r="F3862" s="2" t="e">
        <f t="shared" si="241"/>
        <v>#VALUE!</v>
      </c>
      <c r="G3862" s="13" t="e">
        <f t="shared" si="242"/>
        <v>#VALUE!</v>
      </c>
      <c r="J3862" t="str">
        <f>MAIN!A3867&amp;"B"</f>
        <v>B</v>
      </c>
      <c r="K3862" s="12" t="e">
        <f t="shared" si="243"/>
        <v>#VALUE!</v>
      </c>
      <c r="L3862" t="str">
        <f>MAIN!C3867</f>
        <v/>
      </c>
    </row>
    <row r="3863" spans="1:12" x14ac:dyDescent="0.3">
      <c r="A3863">
        <f>IF(J3863="0",0,IF(COUNTIF($J$2:J3863,J3863)=1,1,0))</f>
        <v>0</v>
      </c>
      <c r="B3863" s="12" t="e">
        <f>MID(MAIN!A3868,K3863,2)</f>
        <v>#VALUE!</v>
      </c>
      <c r="C3863" s="12" t="e">
        <f t="shared" si="240"/>
        <v>#VALUE!</v>
      </c>
      <c r="D3863" s="12" t="e">
        <f>MID(MAIN!A3868,K3863+2,2)</f>
        <v>#VALUE!</v>
      </c>
      <c r="E3863" s="12" t="e">
        <f>MID(MAIN!A3868,K3863+4,2)</f>
        <v>#VALUE!</v>
      </c>
      <c r="F3863" s="2" t="e">
        <f t="shared" si="241"/>
        <v>#VALUE!</v>
      </c>
      <c r="G3863" s="13" t="e">
        <f t="shared" si="242"/>
        <v>#VALUE!</v>
      </c>
      <c r="J3863" t="str">
        <f>MAIN!A3868&amp;"B"</f>
        <v>B</v>
      </c>
      <c r="K3863" s="12" t="e">
        <f t="shared" si="243"/>
        <v>#VALUE!</v>
      </c>
      <c r="L3863" t="str">
        <f>MAIN!C3868</f>
        <v/>
      </c>
    </row>
    <row r="3864" spans="1:12" x14ac:dyDescent="0.3">
      <c r="A3864">
        <f>IF(J3864="0",0,IF(COUNTIF($J$2:J3864,J3864)=1,1,0))</f>
        <v>0</v>
      </c>
      <c r="B3864" s="12" t="e">
        <f>MID(MAIN!A3869,K3864,2)</f>
        <v>#VALUE!</v>
      </c>
      <c r="C3864" s="12" t="e">
        <f t="shared" si="240"/>
        <v>#VALUE!</v>
      </c>
      <c r="D3864" s="12" t="e">
        <f>MID(MAIN!A3869,K3864+2,2)</f>
        <v>#VALUE!</v>
      </c>
      <c r="E3864" s="12" t="e">
        <f>MID(MAIN!A3869,K3864+4,2)</f>
        <v>#VALUE!</v>
      </c>
      <c r="F3864" s="2" t="e">
        <f t="shared" si="241"/>
        <v>#VALUE!</v>
      </c>
      <c r="G3864" s="13" t="e">
        <f t="shared" si="242"/>
        <v>#VALUE!</v>
      </c>
      <c r="J3864" t="str">
        <f>MAIN!A3869&amp;"B"</f>
        <v>B</v>
      </c>
      <c r="K3864" s="12" t="e">
        <f t="shared" si="243"/>
        <v>#VALUE!</v>
      </c>
      <c r="L3864" t="str">
        <f>MAIN!C3869</f>
        <v/>
      </c>
    </row>
    <row r="3865" spans="1:12" x14ac:dyDescent="0.3">
      <c r="A3865">
        <f>IF(J3865="0",0,IF(COUNTIF($J$2:J3865,J3865)=1,1,0))</f>
        <v>0</v>
      </c>
      <c r="B3865" s="12" t="e">
        <f>MID(MAIN!A3870,K3865,2)</f>
        <v>#VALUE!</v>
      </c>
      <c r="C3865" s="12" t="e">
        <f t="shared" si="240"/>
        <v>#VALUE!</v>
      </c>
      <c r="D3865" s="12" t="e">
        <f>MID(MAIN!A3870,K3865+2,2)</f>
        <v>#VALUE!</v>
      </c>
      <c r="E3865" s="12" t="e">
        <f>MID(MAIN!A3870,K3865+4,2)</f>
        <v>#VALUE!</v>
      </c>
      <c r="F3865" s="2" t="e">
        <f t="shared" si="241"/>
        <v>#VALUE!</v>
      </c>
      <c r="G3865" s="13" t="e">
        <f t="shared" si="242"/>
        <v>#VALUE!</v>
      </c>
      <c r="J3865" t="str">
        <f>MAIN!A3870&amp;"B"</f>
        <v>B</v>
      </c>
      <c r="K3865" s="12" t="e">
        <f t="shared" si="243"/>
        <v>#VALUE!</v>
      </c>
      <c r="L3865" t="str">
        <f>MAIN!C3870</f>
        <v/>
      </c>
    </row>
    <row r="3866" spans="1:12" x14ac:dyDescent="0.3">
      <c r="A3866">
        <f>IF(J3866="0",0,IF(COUNTIF($J$2:J3866,J3866)=1,1,0))</f>
        <v>0</v>
      </c>
      <c r="B3866" s="12" t="e">
        <f>MID(MAIN!A3871,K3866,2)</f>
        <v>#VALUE!</v>
      </c>
      <c r="C3866" s="12" t="e">
        <f t="shared" si="240"/>
        <v>#VALUE!</v>
      </c>
      <c r="D3866" s="12" t="e">
        <f>MID(MAIN!A3871,K3866+2,2)</f>
        <v>#VALUE!</v>
      </c>
      <c r="E3866" s="12" t="e">
        <f>MID(MAIN!A3871,K3866+4,2)</f>
        <v>#VALUE!</v>
      </c>
      <c r="F3866" s="2" t="e">
        <f t="shared" si="241"/>
        <v>#VALUE!</v>
      </c>
      <c r="G3866" s="13" t="e">
        <f t="shared" si="242"/>
        <v>#VALUE!</v>
      </c>
      <c r="J3866" t="str">
        <f>MAIN!A3871&amp;"B"</f>
        <v>B</v>
      </c>
      <c r="K3866" s="12" t="e">
        <f t="shared" si="243"/>
        <v>#VALUE!</v>
      </c>
      <c r="L3866" t="str">
        <f>MAIN!C3871</f>
        <v/>
      </c>
    </row>
    <row r="3867" spans="1:12" x14ac:dyDescent="0.3">
      <c r="A3867">
        <f>IF(J3867="0",0,IF(COUNTIF($J$2:J3867,J3867)=1,1,0))</f>
        <v>0</v>
      </c>
      <c r="B3867" s="12" t="e">
        <f>MID(MAIN!A3872,K3867,2)</f>
        <v>#VALUE!</v>
      </c>
      <c r="C3867" s="12" t="e">
        <f t="shared" si="240"/>
        <v>#VALUE!</v>
      </c>
      <c r="D3867" s="12" t="e">
        <f>MID(MAIN!A3872,K3867+2,2)</f>
        <v>#VALUE!</v>
      </c>
      <c r="E3867" s="12" t="e">
        <f>MID(MAIN!A3872,K3867+4,2)</f>
        <v>#VALUE!</v>
      </c>
      <c r="F3867" s="2" t="e">
        <f t="shared" si="241"/>
        <v>#VALUE!</v>
      </c>
      <c r="G3867" s="13" t="e">
        <f t="shared" si="242"/>
        <v>#VALUE!</v>
      </c>
      <c r="J3867" t="str">
        <f>MAIN!A3872&amp;"B"</f>
        <v>B</v>
      </c>
      <c r="K3867" s="12" t="e">
        <f t="shared" si="243"/>
        <v>#VALUE!</v>
      </c>
      <c r="L3867" t="str">
        <f>MAIN!C3872</f>
        <v/>
      </c>
    </row>
    <row r="3868" spans="1:12" x14ac:dyDescent="0.3">
      <c r="A3868">
        <f>IF(J3868="0",0,IF(COUNTIF($J$2:J3868,J3868)=1,1,0))</f>
        <v>0</v>
      </c>
      <c r="B3868" s="12" t="e">
        <f>MID(MAIN!A3873,K3868,2)</f>
        <v>#VALUE!</v>
      </c>
      <c r="C3868" s="12" t="e">
        <f t="shared" si="240"/>
        <v>#VALUE!</v>
      </c>
      <c r="D3868" s="12" t="e">
        <f>MID(MAIN!A3873,K3868+2,2)</f>
        <v>#VALUE!</v>
      </c>
      <c r="E3868" s="12" t="e">
        <f>MID(MAIN!A3873,K3868+4,2)</f>
        <v>#VALUE!</v>
      </c>
      <c r="F3868" s="2" t="e">
        <f t="shared" si="241"/>
        <v>#VALUE!</v>
      </c>
      <c r="G3868" s="13" t="e">
        <f t="shared" si="242"/>
        <v>#VALUE!</v>
      </c>
      <c r="J3868" t="str">
        <f>MAIN!A3873&amp;"B"</f>
        <v>B</v>
      </c>
      <c r="K3868" s="12" t="e">
        <f t="shared" si="243"/>
        <v>#VALUE!</v>
      </c>
      <c r="L3868" t="str">
        <f>MAIN!C3873</f>
        <v/>
      </c>
    </row>
    <row r="3869" spans="1:12" x14ac:dyDescent="0.3">
      <c r="A3869">
        <f>IF(J3869="0",0,IF(COUNTIF($J$2:J3869,J3869)=1,1,0))</f>
        <v>0</v>
      </c>
      <c r="B3869" s="12" t="e">
        <f>MID(MAIN!A3874,K3869,2)</f>
        <v>#VALUE!</v>
      </c>
      <c r="C3869" s="12" t="e">
        <f t="shared" si="240"/>
        <v>#VALUE!</v>
      </c>
      <c r="D3869" s="12" t="e">
        <f>MID(MAIN!A3874,K3869+2,2)</f>
        <v>#VALUE!</v>
      </c>
      <c r="E3869" s="12" t="e">
        <f>MID(MAIN!A3874,K3869+4,2)</f>
        <v>#VALUE!</v>
      </c>
      <c r="F3869" s="2" t="e">
        <f t="shared" si="241"/>
        <v>#VALUE!</v>
      </c>
      <c r="G3869" s="13" t="e">
        <f t="shared" si="242"/>
        <v>#VALUE!</v>
      </c>
      <c r="J3869" t="str">
        <f>MAIN!A3874&amp;"B"</f>
        <v>B</v>
      </c>
      <c r="K3869" s="12" t="e">
        <f t="shared" si="243"/>
        <v>#VALUE!</v>
      </c>
      <c r="L3869" t="str">
        <f>MAIN!C3874</f>
        <v/>
      </c>
    </row>
    <row r="3870" spans="1:12" x14ac:dyDescent="0.3">
      <c r="A3870">
        <f>IF(J3870="0",0,IF(COUNTIF($J$2:J3870,J3870)=1,1,0))</f>
        <v>0</v>
      </c>
      <c r="B3870" s="12" t="e">
        <f>MID(MAIN!A3875,K3870,2)</f>
        <v>#VALUE!</v>
      </c>
      <c r="C3870" s="12" t="e">
        <f t="shared" si="240"/>
        <v>#VALUE!</v>
      </c>
      <c r="D3870" s="12" t="e">
        <f>MID(MAIN!A3875,K3870+2,2)</f>
        <v>#VALUE!</v>
      </c>
      <c r="E3870" s="12" t="e">
        <f>MID(MAIN!A3875,K3870+4,2)</f>
        <v>#VALUE!</v>
      </c>
      <c r="F3870" s="2" t="e">
        <f t="shared" si="241"/>
        <v>#VALUE!</v>
      </c>
      <c r="G3870" s="13" t="e">
        <f t="shared" si="242"/>
        <v>#VALUE!</v>
      </c>
      <c r="J3870" t="str">
        <f>MAIN!A3875&amp;"B"</f>
        <v>B</v>
      </c>
      <c r="K3870" s="12" t="e">
        <f t="shared" si="243"/>
        <v>#VALUE!</v>
      </c>
      <c r="L3870" t="str">
        <f>MAIN!C3875</f>
        <v/>
      </c>
    </row>
    <row r="3871" spans="1:12" x14ac:dyDescent="0.3">
      <c r="A3871">
        <f>IF(J3871="0",0,IF(COUNTIF($J$2:J3871,J3871)=1,1,0))</f>
        <v>0</v>
      </c>
      <c r="B3871" s="12" t="e">
        <f>MID(MAIN!A3876,K3871,2)</f>
        <v>#VALUE!</v>
      </c>
      <c r="C3871" s="12" t="e">
        <f t="shared" si="240"/>
        <v>#VALUE!</v>
      </c>
      <c r="D3871" s="12" t="e">
        <f>MID(MAIN!A3876,K3871+2,2)</f>
        <v>#VALUE!</v>
      </c>
      <c r="E3871" s="12" t="e">
        <f>MID(MAIN!A3876,K3871+4,2)</f>
        <v>#VALUE!</v>
      </c>
      <c r="F3871" s="2" t="e">
        <f t="shared" si="241"/>
        <v>#VALUE!</v>
      </c>
      <c r="G3871" s="13" t="e">
        <f t="shared" si="242"/>
        <v>#VALUE!</v>
      </c>
      <c r="J3871" t="str">
        <f>MAIN!A3876&amp;"B"</f>
        <v>B</v>
      </c>
      <c r="K3871" s="12" t="e">
        <f t="shared" si="243"/>
        <v>#VALUE!</v>
      </c>
      <c r="L3871" t="str">
        <f>MAIN!C3876</f>
        <v/>
      </c>
    </row>
    <row r="3872" spans="1:12" x14ac:dyDescent="0.3">
      <c r="A3872">
        <f>IF(J3872="0",0,IF(COUNTIF($J$2:J3872,J3872)=1,1,0))</f>
        <v>0</v>
      </c>
      <c r="B3872" s="12" t="e">
        <f>MID(MAIN!A3877,K3872,2)</f>
        <v>#VALUE!</v>
      </c>
      <c r="C3872" s="12" t="e">
        <f t="shared" si="240"/>
        <v>#VALUE!</v>
      </c>
      <c r="D3872" s="12" t="e">
        <f>MID(MAIN!A3877,K3872+2,2)</f>
        <v>#VALUE!</v>
      </c>
      <c r="E3872" s="12" t="e">
        <f>MID(MAIN!A3877,K3872+4,2)</f>
        <v>#VALUE!</v>
      </c>
      <c r="F3872" s="2" t="e">
        <f t="shared" si="241"/>
        <v>#VALUE!</v>
      </c>
      <c r="G3872" s="13" t="e">
        <f t="shared" si="242"/>
        <v>#VALUE!</v>
      </c>
      <c r="J3872" t="str">
        <f>MAIN!A3877&amp;"B"</f>
        <v>B</v>
      </c>
      <c r="K3872" s="12" t="e">
        <f t="shared" si="243"/>
        <v>#VALUE!</v>
      </c>
      <c r="L3872" t="str">
        <f>MAIN!C3877</f>
        <v/>
      </c>
    </row>
    <row r="3873" spans="1:12" x14ac:dyDescent="0.3">
      <c r="A3873">
        <f>IF(J3873="0",0,IF(COUNTIF($J$2:J3873,J3873)=1,1,0))</f>
        <v>0</v>
      </c>
      <c r="B3873" s="12" t="e">
        <f>MID(MAIN!A3878,K3873,2)</f>
        <v>#VALUE!</v>
      </c>
      <c r="C3873" s="12" t="e">
        <f t="shared" si="240"/>
        <v>#VALUE!</v>
      </c>
      <c r="D3873" s="12" t="e">
        <f>MID(MAIN!A3878,K3873+2,2)</f>
        <v>#VALUE!</v>
      </c>
      <c r="E3873" s="12" t="e">
        <f>MID(MAIN!A3878,K3873+4,2)</f>
        <v>#VALUE!</v>
      </c>
      <c r="F3873" s="2" t="e">
        <f t="shared" si="241"/>
        <v>#VALUE!</v>
      </c>
      <c r="G3873" s="13" t="e">
        <f t="shared" si="242"/>
        <v>#VALUE!</v>
      </c>
      <c r="J3873" t="str">
        <f>MAIN!A3878&amp;"B"</f>
        <v>B</v>
      </c>
      <c r="K3873" s="12" t="e">
        <f t="shared" si="243"/>
        <v>#VALUE!</v>
      </c>
      <c r="L3873" t="str">
        <f>MAIN!C3878</f>
        <v/>
      </c>
    </row>
    <row r="3874" spans="1:12" x14ac:dyDescent="0.3">
      <c r="A3874">
        <f>IF(J3874="0",0,IF(COUNTIF($J$2:J3874,J3874)=1,1,0))</f>
        <v>0</v>
      </c>
      <c r="B3874" s="12" t="e">
        <f>MID(MAIN!A3879,K3874,2)</f>
        <v>#VALUE!</v>
      </c>
      <c r="C3874" s="12" t="e">
        <f t="shared" si="240"/>
        <v>#VALUE!</v>
      </c>
      <c r="D3874" s="12" t="e">
        <f>MID(MAIN!A3879,K3874+2,2)</f>
        <v>#VALUE!</v>
      </c>
      <c r="E3874" s="12" t="e">
        <f>MID(MAIN!A3879,K3874+4,2)</f>
        <v>#VALUE!</v>
      </c>
      <c r="F3874" s="2" t="e">
        <f t="shared" si="241"/>
        <v>#VALUE!</v>
      </c>
      <c r="G3874" s="13" t="e">
        <f t="shared" si="242"/>
        <v>#VALUE!</v>
      </c>
      <c r="J3874" t="str">
        <f>MAIN!A3879&amp;"B"</f>
        <v>B</v>
      </c>
      <c r="K3874" s="12" t="e">
        <f t="shared" si="243"/>
        <v>#VALUE!</v>
      </c>
      <c r="L3874" t="str">
        <f>MAIN!C3879</f>
        <v/>
      </c>
    </row>
    <row r="3875" spans="1:12" x14ac:dyDescent="0.3">
      <c r="A3875">
        <f>IF(J3875="0",0,IF(COUNTIF($J$2:J3875,J3875)=1,1,0))</f>
        <v>0</v>
      </c>
      <c r="B3875" s="12" t="e">
        <f>MID(MAIN!A3880,K3875,2)</f>
        <v>#VALUE!</v>
      </c>
      <c r="C3875" s="12" t="e">
        <f t="shared" si="240"/>
        <v>#VALUE!</v>
      </c>
      <c r="D3875" s="12" t="e">
        <f>MID(MAIN!A3880,K3875+2,2)</f>
        <v>#VALUE!</v>
      </c>
      <c r="E3875" s="12" t="e">
        <f>MID(MAIN!A3880,K3875+4,2)</f>
        <v>#VALUE!</v>
      </c>
      <c r="F3875" s="2" t="e">
        <f t="shared" si="241"/>
        <v>#VALUE!</v>
      </c>
      <c r="G3875" s="13" t="e">
        <f t="shared" si="242"/>
        <v>#VALUE!</v>
      </c>
      <c r="J3875" t="str">
        <f>MAIN!A3880&amp;"B"</f>
        <v>B</v>
      </c>
      <c r="K3875" s="12" t="e">
        <f t="shared" si="243"/>
        <v>#VALUE!</v>
      </c>
      <c r="L3875" t="str">
        <f>MAIN!C3880</f>
        <v/>
      </c>
    </row>
    <row r="3876" spans="1:12" x14ac:dyDescent="0.3">
      <c r="A3876">
        <f>IF(J3876="0",0,IF(COUNTIF($J$2:J3876,J3876)=1,1,0))</f>
        <v>0</v>
      </c>
      <c r="B3876" s="12" t="e">
        <f>MID(MAIN!A3881,K3876,2)</f>
        <v>#VALUE!</v>
      </c>
      <c r="C3876" s="12" t="e">
        <f t="shared" si="240"/>
        <v>#VALUE!</v>
      </c>
      <c r="D3876" s="12" t="e">
        <f>MID(MAIN!A3881,K3876+2,2)</f>
        <v>#VALUE!</v>
      </c>
      <c r="E3876" s="12" t="e">
        <f>MID(MAIN!A3881,K3876+4,2)</f>
        <v>#VALUE!</v>
      </c>
      <c r="F3876" s="2" t="e">
        <f t="shared" si="241"/>
        <v>#VALUE!</v>
      </c>
      <c r="G3876" s="13" t="e">
        <f t="shared" si="242"/>
        <v>#VALUE!</v>
      </c>
      <c r="J3876" t="str">
        <f>MAIN!A3881&amp;"B"</f>
        <v>B</v>
      </c>
      <c r="K3876" s="12" t="e">
        <f t="shared" si="243"/>
        <v>#VALUE!</v>
      </c>
      <c r="L3876" t="str">
        <f>MAIN!C3881</f>
        <v/>
      </c>
    </row>
    <row r="3877" spans="1:12" x14ac:dyDescent="0.3">
      <c r="A3877">
        <f>IF(J3877="0",0,IF(COUNTIF($J$2:J3877,J3877)=1,1,0))</f>
        <v>0</v>
      </c>
      <c r="B3877" s="12" t="e">
        <f>MID(MAIN!A3882,K3877,2)</f>
        <v>#VALUE!</v>
      </c>
      <c r="C3877" s="12" t="e">
        <f t="shared" si="240"/>
        <v>#VALUE!</v>
      </c>
      <c r="D3877" s="12" t="e">
        <f>MID(MAIN!A3882,K3877+2,2)</f>
        <v>#VALUE!</v>
      </c>
      <c r="E3877" s="12" t="e">
        <f>MID(MAIN!A3882,K3877+4,2)</f>
        <v>#VALUE!</v>
      </c>
      <c r="F3877" s="2" t="e">
        <f t="shared" si="241"/>
        <v>#VALUE!</v>
      </c>
      <c r="G3877" s="13" t="e">
        <f t="shared" si="242"/>
        <v>#VALUE!</v>
      </c>
      <c r="J3877" t="str">
        <f>MAIN!A3882&amp;"B"</f>
        <v>B</v>
      </c>
      <c r="K3877" s="12" t="e">
        <f t="shared" si="243"/>
        <v>#VALUE!</v>
      </c>
      <c r="L3877" t="str">
        <f>MAIN!C3882</f>
        <v/>
      </c>
    </row>
    <row r="3878" spans="1:12" x14ac:dyDescent="0.3">
      <c r="A3878">
        <f>IF(J3878="0",0,IF(COUNTIF($J$2:J3878,J3878)=1,1,0))</f>
        <v>0</v>
      </c>
      <c r="B3878" s="12" t="e">
        <f>MID(MAIN!A3883,K3878,2)</f>
        <v>#VALUE!</v>
      </c>
      <c r="C3878" s="12" t="e">
        <f t="shared" si="240"/>
        <v>#VALUE!</v>
      </c>
      <c r="D3878" s="12" t="e">
        <f>MID(MAIN!A3883,K3878+2,2)</f>
        <v>#VALUE!</v>
      </c>
      <c r="E3878" s="12" t="e">
        <f>MID(MAIN!A3883,K3878+4,2)</f>
        <v>#VALUE!</v>
      </c>
      <c r="F3878" s="2" t="e">
        <f t="shared" si="241"/>
        <v>#VALUE!</v>
      </c>
      <c r="G3878" s="13" t="e">
        <f t="shared" si="242"/>
        <v>#VALUE!</v>
      </c>
      <c r="J3878" t="str">
        <f>MAIN!A3883&amp;"B"</f>
        <v>B</v>
      </c>
      <c r="K3878" s="12" t="e">
        <f t="shared" si="243"/>
        <v>#VALUE!</v>
      </c>
      <c r="L3878" t="str">
        <f>MAIN!C3883</f>
        <v/>
      </c>
    </row>
    <row r="3879" spans="1:12" x14ac:dyDescent="0.3">
      <c r="A3879">
        <f>IF(J3879="0",0,IF(COUNTIF($J$2:J3879,J3879)=1,1,0))</f>
        <v>0</v>
      </c>
      <c r="B3879" s="12" t="e">
        <f>MID(MAIN!A3884,K3879,2)</f>
        <v>#VALUE!</v>
      </c>
      <c r="C3879" s="12" t="e">
        <f t="shared" si="240"/>
        <v>#VALUE!</v>
      </c>
      <c r="D3879" s="12" t="e">
        <f>MID(MAIN!A3884,K3879+2,2)</f>
        <v>#VALUE!</v>
      </c>
      <c r="E3879" s="12" t="e">
        <f>MID(MAIN!A3884,K3879+4,2)</f>
        <v>#VALUE!</v>
      </c>
      <c r="F3879" s="2" t="e">
        <f t="shared" si="241"/>
        <v>#VALUE!</v>
      </c>
      <c r="G3879" s="13" t="e">
        <f t="shared" si="242"/>
        <v>#VALUE!</v>
      </c>
      <c r="J3879" t="str">
        <f>MAIN!A3884&amp;"B"</f>
        <v>B</v>
      </c>
      <c r="K3879" s="12" t="e">
        <f t="shared" si="243"/>
        <v>#VALUE!</v>
      </c>
      <c r="L3879" t="str">
        <f>MAIN!C3884</f>
        <v/>
      </c>
    </row>
    <row r="3880" spans="1:12" x14ac:dyDescent="0.3">
      <c r="A3880">
        <f>IF(J3880="0",0,IF(COUNTIF($J$2:J3880,J3880)=1,1,0))</f>
        <v>0</v>
      </c>
      <c r="B3880" s="12" t="e">
        <f>MID(MAIN!A3885,K3880,2)</f>
        <v>#VALUE!</v>
      </c>
      <c r="C3880" s="12" t="e">
        <f t="shared" si="240"/>
        <v>#VALUE!</v>
      </c>
      <c r="D3880" s="12" t="e">
        <f>MID(MAIN!A3885,K3880+2,2)</f>
        <v>#VALUE!</v>
      </c>
      <c r="E3880" s="12" t="e">
        <f>MID(MAIN!A3885,K3880+4,2)</f>
        <v>#VALUE!</v>
      </c>
      <c r="F3880" s="2" t="e">
        <f t="shared" si="241"/>
        <v>#VALUE!</v>
      </c>
      <c r="G3880" s="13" t="e">
        <f t="shared" si="242"/>
        <v>#VALUE!</v>
      </c>
      <c r="J3880" t="str">
        <f>MAIN!A3885&amp;"B"</f>
        <v>B</v>
      </c>
      <c r="K3880" s="12" t="e">
        <f t="shared" si="243"/>
        <v>#VALUE!</v>
      </c>
      <c r="L3880" t="str">
        <f>MAIN!C3885</f>
        <v/>
      </c>
    </row>
    <row r="3881" spans="1:12" x14ac:dyDescent="0.3">
      <c r="A3881">
        <f>IF(J3881="0",0,IF(COUNTIF($J$2:J3881,J3881)=1,1,0))</f>
        <v>0</v>
      </c>
      <c r="B3881" s="12" t="e">
        <f>MID(MAIN!A3886,K3881,2)</f>
        <v>#VALUE!</v>
      </c>
      <c r="C3881" s="12" t="e">
        <f t="shared" si="240"/>
        <v>#VALUE!</v>
      </c>
      <c r="D3881" s="12" t="e">
        <f>MID(MAIN!A3886,K3881+2,2)</f>
        <v>#VALUE!</v>
      </c>
      <c r="E3881" s="12" t="e">
        <f>MID(MAIN!A3886,K3881+4,2)</f>
        <v>#VALUE!</v>
      </c>
      <c r="F3881" s="2" t="e">
        <f t="shared" si="241"/>
        <v>#VALUE!</v>
      </c>
      <c r="G3881" s="13" t="e">
        <f t="shared" si="242"/>
        <v>#VALUE!</v>
      </c>
      <c r="J3881" t="str">
        <f>MAIN!A3886&amp;"B"</f>
        <v>B</v>
      </c>
      <c r="K3881" s="12" t="e">
        <f t="shared" si="243"/>
        <v>#VALUE!</v>
      </c>
      <c r="L3881" t="str">
        <f>MAIN!C3886</f>
        <v/>
      </c>
    </row>
    <row r="3882" spans="1:12" x14ac:dyDescent="0.3">
      <c r="A3882">
        <f>IF(J3882="0",0,IF(COUNTIF($J$2:J3882,J3882)=1,1,0))</f>
        <v>0</v>
      </c>
      <c r="B3882" s="12" t="e">
        <f>MID(MAIN!A3887,K3882,2)</f>
        <v>#VALUE!</v>
      </c>
      <c r="C3882" s="12" t="e">
        <f t="shared" si="240"/>
        <v>#VALUE!</v>
      </c>
      <c r="D3882" s="12" t="e">
        <f>MID(MAIN!A3887,K3882+2,2)</f>
        <v>#VALUE!</v>
      </c>
      <c r="E3882" s="12" t="e">
        <f>MID(MAIN!A3887,K3882+4,2)</f>
        <v>#VALUE!</v>
      </c>
      <c r="F3882" s="2" t="e">
        <f t="shared" si="241"/>
        <v>#VALUE!</v>
      </c>
      <c r="G3882" s="13" t="e">
        <f t="shared" si="242"/>
        <v>#VALUE!</v>
      </c>
      <c r="J3882" t="str">
        <f>MAIN!A3887&amp;"B"</f>
        <v>B</v>
      </c>
      <c r="K3882" s="12" t="e">
        <f t="shared" si="243"/>
        <v>#VALUE!</v>
      </c>
      <c r="L3882" t="str">
        <f>MAIN!C3887</f>
        <v/>
      </c>
    </row>
    <row r="3883" spans="1:12" x14ac:dyDescent="0.3">
      <c r="A3883">
        <f>IF(J3883="0",0,IF(COUNTIF($J$2:J3883,J3883)=1,1,0))</f>
        <v>0</v>
      </c>
      <c r="B3883" s="12" t="e">
        <f>MID(MAIN!A3888,K3883,2)</f>
        <v>#VALUE!</v>
      </c>
      <c r="C3883" s="12" t="e">
        <f t="shared" si="240"/>
        <v>#VALUE!</v>
      </c>
      <c r="D3883" s="12" t="e">
        <f>MID(MAIN!A3888,K3883+2,2)</f>
        <v>#VALUE!</v>
      </c>
      <c r="E3883" s="12" t="e">
        <f>MID(MAIN!A3888,K3883+4,2)</f>
        <v>#VALUE!</v>
      </c>
      <c r="F3883" s="2" t="e">
        <f t="shared" si="241"/>
        <v>#VALUE!</v>
      </c>
      <c r="G3883" s="13" t="e">
        <f t="shared" si="242"/>
        <v>#VALUE!</v>
      </c>
      <c r="J3883" t="str">
        <f>MAIN!A3888&amp;"B"</f>
        <v>B</v>
      </c>
      <c r="K3883" s="12" t="e">
        <f t="shared" si="243"/>
        <v>#VALUE!</v>
      </c>
      <c r="L3883" t="str">
        <f>MAIN!C3888</f>
        <v/>
      </c>
    </row>
    <row r="3884" spans="1:12" x14ac:dyDescent="0.3">
      <c r="A3884">
        <f>IF(J3884="0",0,IF(COUNTIF($J$2:J3884,J3884)=1,1,0))</f>
        <v>0</v>
      </c>
      <c r="B3884" s="12" t="e">
        <f>MID(MAIN!A3889,K3884,2)</f>
        <v>#VALUE!</v>
      </c>
      <c r="C3884" s="12" t="e">
        <f t="shared" si="240"/>
        <v>#VALUE!</v>
      </c>
      <c r="D3884" s="12" t="e">
        <f>MID(MAIN!A3889,K3884+2,2)</f>
        <v>#VALUE!</v>
      </c>
      <c r="E3884" s="12" t="e">
        <f>MID(MAIN!A3889,K3884+4,2)</f>
        <v>#VALUE!</v>
      </c>
      <c r="F3884" s="2" t="e">
        <f t="shared" si="241"/>
        <v>#VALUE!</v>
      </c>
      <c r="G3884" s="13" t="e">
        <f t="shared" si="242"/>
        <v>#VALUE!</v>
      </c>
      <c r="J3884" t="str">
        <f>MAIN!A3889&amp;"B"</f>
        <v>B</v>
      </c>
      <c r="K3884" s="12" t="e">
        <f t="shared" si="243"/>
        <v>#VALUE!</v>
      </c>
      <c r="L3884" t="str">
        <f>MAIN!C3889</f>
        <v/>
      </c>
    </row>
    <row r="3885" spans="1:12" x14ac:dyDescent="0.3">
      <c r="A3885">
        <f>IF(J3885="0",0,IF(COUNTIF($J$2:J3885,J3885)=1,1,0))</f>
        <v>0</v>
      </c>
      <c r="B3885" s="12" t="e">
        <f>MID(MAIN!A3890,K3885,2)</f>
        <v>#VALUE!</v>
      </c>
      <c r="C3885" s="12" t="e">
        <f t="shared" si="240"/>
        <v>#VALUE!</v>
      </c>
      <c r="D3885" s="12" t="e">
        <f>MID(MAIN!A3890,K3885+2,2)</f>
        <v>#VALUE!</v>
      </c>
      <c r="E3885" s="12" t="e">
        <f>MID(MAIN!A3890,K3885+4,2)</f>
        <v>#VALUE!</v>
      </c>
      <c r="F3885" s="2" t="e">
        <f t="shared" si="241"/>
        <v>#VALUE!</v>
      </c>
      <c r="G3885" s="13" t="e">
        <f t="shared" si="242"/>
        <v>#VALUE!</v>
      </c>
      <c r="J3885" t="str">
        <f>MAIN!A3890&amp;"B"</f>
        <v>B</v>
      </c>
      <c r="K3885" s="12" t="e">
        <f t="shared" si="243"/>
        <v>#VALUE!</v>
      </c>
      <c r="L3885" t="str">
        <f>MAIN!C3890</f>
        <v/>
      </c>
    </row>
    <row r="3886" spans="1:12" x14ac:dyDescent="0.3">
      <c r="A3886">
        <f>IF(J3886="0",0,IF(COUNTIF($J$2:J3886,J3886)=1,1,0))</f>
        <v>0</v>
      </c>
      <c r="B3886" s="12" t="e">
        <f>MID(MAIN!A3891,K3886,2)</f>
        <v>#VALUE!</v>
      </c>
      <c r="C3886" s="12" t="e">
        <f t="shared" si="240"/>
        <v>#VALUE!</v>
      </c>
      <c r="D3886" s="12" t="e">
        <f>MID(MAIN!A3891,K3886+2,2)</f>
        <v>#VALUE!</v>
      </c>
      <c r="E3886" s="12" t="e">
        <f>MID(MAIN!A3891,K3886+4,2)</f>
        <v>#VALUE!</v>
      </c>
      <c r="F3886" s="2" t="e">
        <f t="shared" si="241"/>
        <v>#VALUE!</v>
      </c>
      <c r="G3886" s="13" t="e">
        <f t="shared" si="242"/>
        <v>#VALUE!</v>
      </c>
      <c r="J3886" t="str">
        <f>MAIN!A3891&amp;"B"</f>
        <v>B</v>
      </c>
      <c r="K3886" s="12" t="e">
        <f t="shared" si="243"/>
        <v>#VALUE!</v>
      </c>
      <c r="L3886" t="str">
        <f>MAIN!C3891</f>
        <v/>
      </c>
    </row>
    <row r="3887" spans="1:12" x14ac:dyDescent="0.3">
      <c r="A3887">
        <f>IF(J3887="0",0,IF(COUNTIF($J$2:J3887,J3887)=1,1,0))</f>
        <v>0</v>
      </c>
      <c r="B3887" s="12" t="e">
        <f>MID(MAIN!A3892,K3887,2)</f>
        <v>#VALUE!</v>
      </c>
      <c r="C3887" s="12" t="e">
        <f t="shared" si="240"/>
        <v>#VALUE!</v>
      </c>
      <c r="D3887" s="12" t="e">
        <f>MID(MAIN!A3892,K3887+2,2)</f>
        <v>#VALUE!</v>
      </c>
      <c r="E3887" s="12" t="e">
        <f>MID(MAIN!A3892,K3887+4,2)</f>
        <v>#VALUE!</v>
      </c>
      <c r="F3887" s="2" t="e">
        <f t="shared" si="241"/>
        <v>#VALUE!</v>
      </c>
      <c r="G3887" s="13" t="e">
        <f t="shared" si="242"/>
        <v>#VALUE!</v>
      </c>
      <c r="J3887" t="str">
        <f>MAIN!A3892&amp;"B"</f>
        <v>B</v>
      </c>
      <c r="K3887" s="12" t="e">
        <f t="shared" si="243"/>
        <v>#VALUE!</v>
      </c>
      <c r="L3887" t="str">
        <f>MAIN!C3892</f>
        <v/>
      </c>
    </row>
    <row r="3888" spans="1:12" x14ac:dyDescent="0.3">
      <c r="A3888">
        <f>IF(J3888="0",0,IF(COUNTIF($J$2:J3888,J3888)=1,1,0))</f>
        <v>0</v>
      </c>
      <c r="B3888" s="12" t="e">
        <f>MID(MAIN!A3893,K3888,2)</f>
        <v>#VALUE!</v>
      </c>
      <c r="C3888" s="12" t="e">
        <f t="shared" si="240"/>
        <v>#VALUE!</v>
      </c>
      <c r="D3888" s="12" t="e">
        <f>MID(MAIN!A3893,K3888+2,2)</f>
        <v>#VALUE!</v>
      </c>
      <c r="E3888" s="12" t="e">
        <f>MID(MAIN!A3893,K3888+4,2)</f>
        <v>#VALUE!</v>
      </c>
      <c r="F3888" s="2" t="e">
        <f t="shared" si="241"/>
        <v>#VALUE!</v>
      </c>
      <c r="G3888" s="13" t="e">
        <f t="shared" si="242"/>
        <v>#VALUE!</v>
      </c>
      <c r="J3888" t="str">
        <f>MAIN!A3893&amp;"B"</f>
        <v>B</v>
      </c>
      <c r="K3888" s="12" t="e">
        <f t="shared" si="243"/>
        <v>#VALUE!</v>
      </c>
      <c r="L3888" t="str">
        <f>MAIN!C3893</f>
        <v/>
      </c>
    </row>
    <row r="3889" spans="1:12" x14ac:dyDescent="0.3">
      <c r="A3889">
        <f>IF(J3889="0",0,IF(COUNTIF($J$2:J3889,J3889)=1,1,0))</f>
        <v>0</v>
      </c>
      <c r="B3889" s="12" t="e">
        <f>MID(MAIN!A3894,K3889,2)</f>
        <v>#VALUE!</v>
      </c>
      <c r="C3889" s="12" t="e">
        <f t="shared" si="240"/>
        <v>#VALUE!</v>
      </c>
      <c r="D3889" s="12" t="e">
        <f>MID(MAIN!A3894,K3889+2,2)</f>
        <v>#VALUE!</v>
      </c>
      <c r="E3889" s="12" t="e">
        <f>MID(MAIN!A3894,K3889+4,2)</f>
        <v>#VALUE!</v>
      </c>
      <c r="F3889" s="2" t="e">
        <f t="shared" si="241"/>
        <v>#VALUE!</v>
      </c>
      <c r="G3889" s="13" t="e">
        <f t="shared" si="242"/>
        <v>#VALUE!</v>
      </c>
      <c r="J3889" t="str">
        <f>MAIN!A3894&amp;"B"</f>
        <v>B</v>
      </c>
      <c r="K3889" s="12" t="e">
        <f t="shared" si="243"/>
        <v>#VALUE!</v>
      </c>
      <c r="L3889" t="str">
        <f>MAIN!C3894</f>
        <v/>
      </c>
    </row>
    <row r="3890" spans="1:12" x14ac:dyDescent="0.3">
      <c r="A3890">
        <f>IF(J3890="0",0,IF(COUNTIF($J$2:J3890,J3890)=1,1,0))</f>
        <v>0</v>
      </c>
      <c r="B3890" s="12" t="e">
        <f>MID(MAIN!A3895,K3890,2)</f>
        <v>#VALUE!</v>
      </c>
      <c r="C3890" s="12" t="e">
        <f t="shared" si="240"/>
        <v>#VALUE!</v>
      </c>
      <c r="D3890" s="12" t="e">
        <f>MID(MAIN!A3895,K3890+2,2)</f>
        <v>#VALUE!</v>
      </c>
      <c r="E3890" s="12" t="e">
        <f>MID(MAIN!A3895,K3890+4,2)</f>
        <v>#VALUE!</v>
      </c>
      <c r="F3890" s="2" t="e">
        <f t="shared" si="241"/>
        <v>#VALUE!</v>
      </c>
      <c r="G3890" s="13" t="e">
        <f t="shared" si="242"/>
        <v>#VALUE!</v>
      </c>
      <c r="J3890" t="str">
        <f>MAIN!A3895&amp;"B"</f>
        <v>B</v>
      </c>
      <c r="K3890" s="12" t="e">
        <f t="shared" si="243"/>
        <v>#VALUE!</v>
      </c>
      <c r="L3890" t="str">
        <f>MAIN!C3895</f>
        <v/>
      </c>
    </row>
    <row r="3891" spans="1:12" x14ac:dyDescent="0.3">
      <c r="A3891">
        <f>IF(J3891="0",0,IF(COUNTIF($J$2:J3891,J3891)=1,1,0))</f>
        <v>0</v>
      </c>
      <c r="B3891" s="12" t="e">
        <f>MID(MAIN!A3896,K3891,2)</f>
        <v>#VALUE!</v>
      </c>
      <c r="C3891" s="12" t="e">
        <f t="shared" si="240"/>
        <v>#VALUE!</v>
      </c>
      <c r="D3891" s="12" t="e">
        <f>MID(MAIN!A3896,K3891+2,2)</f>
        <v>#VALUE!</v>
      </c>
      <c r="E3891" s="12" t="e">
        <f>MID(MAIN!A3896,K3891+4,2)</f>
        <v>#VALUE!</v>
      </c>
      <c r="F3891" s="2" t="e">
        <f t="shared" si="241"/>
        <v>#VALUE!</v>
      </c>
      <c r="G3891" s="13" t="e">
        <f t="shared" si="242"/>
        <v>#VALUE!</v>
      </c>
      <c r="J3891" t="str">
        <f>MAIN!A3896&amp;"B"</f>
        <v>B</v>
      </c>
      <c r="K3891" s="12" t="e">
        <f t="shared" si="243"/>
        <v>#VALUE!</v>
      </c>
      <c r="L3891" t="str">
        <f>MAIN!C3896</f>
        <v/>
      </c>
    </row>
    <row r="3892" spans="1:12" x14ac:dyDescent="0.3">
      <c r="A3892">
        <f>IF(J3892="0",0,IF(COUNTIF($J$2:J3892,J3892)=1,1,0))</f>
        <v>0</v>
      </c>
      <c r="B3892" s="12" t="e">
        <f>MID(MAIN!A3897,K3892,2)</f>
        <v>#VALUE!</v>
      </c>
      <c r="C3892" s="12" t="e">
        <f t="shared" si="240"/>
        <v>#VALUE!</v>
      </c>
      <c r="D3892" s="12" t="e">
        <f>MID(MAIN!A3897,K3892+2,2)</f>
        <v>#VALUE!</v>
      </c>
      <c r="E3892" s="12" t="e">
        <f>MID(MAIN!A3897,K3892+4,2)</f>
        <v>#VALUE!</v>
      </c>
      <c r="F3892" s="2" t="e">
        <f t="shared" si="241"/>
        <v>#VALUE!</v>
      </c>
      <c r="G3892" s="13" t="e">
        <f t="shared" si="242"/>
        <v>#VALUE!</v>
      </c>
      <c r="J3892" t="str">
        <f>MAIN!A3897&amp;"B"</f>
        <v>B</v>
      </c>
      <c r="K3892" s="12" t="e">
        <f t="shared" si="243"/>
        <v>#VALUE!</v>
      </c>
      <c r="L3892" t="str">
        <f>MAIN!C3897</f>
        <v/>
      </c>
    </row>
    <row r="3893" spans="1:12" x14ac:dyDescent="0.3">
      <c r="A3893">
        <f>IF(J3893="0",0,IF(COUNTIF($J$2:J3893,J3893)=1,1,0))</f>
        <v>0</v>
      </c>
      <c r="B3893" s="12" t="e">
        <f>MID(MAIN!A3898,K3893,2)</f>
        <v>#VALUE!</v>
      </c>
      <c r="C3893" s="12" t="e">
        <f t="shared" si="240"/>
        <v>#VALUE!</v>
      </c>
      <c r="D3893" s="12" t="e">
        <f>MID(MAIN!A3898,K3893+2,2)</f>
        <v>#VALUE!</v>
      </c>
      <c r="E3893" s="12" t="e">
        <f>MID(MAIN!A3898,K3893+4,2)</f>
        <v>#VALUE!</v>
      </c>
      <c r="F3893" s="2" t="e">
        <f t="shared" si="241"/>
        <v>#VALUE!</v>
      </c>
      <c r="G3893" s="13" t="e">
        <f t="shared" si="242"/>
        <v>#VALUE!</v>
      </c>
      <c r="J3893" t="str">
        <f>MAIN!A3898&amp;"B"</f>
        <v>B</v>
      </c>
      <c r="K3893" s="12" t="e">
        <f t="shared" si="243"/>
        <v>#VALUE!</v>
      </c>
      <c r="L3893" t="str">
        <f>MAIN!C3898</f>
        <v/>
      </c>
    </row>
    <row r="3894" spans="1:12" x14ac:dyDescent="0.3">
      <c r="A3894">
        <f>IF(J3894="0",0,IF(COUNTIF($J$2:J3894,J3894)=1,1,0))</f>
        <v>0</v>
      </c>
      <c r="B3894" s="12" t="e">
        <f>MID(MAIN!A3899,K3894,2)</f>
        <v>#VALUE!</v>
      </c>
      <c r="C3894" s="12" t="e">
        <f t="shared" si="240"/>
        <v>#VALUE!</v>
      </c>
      <c r="D3894" s="12" t="e">
        <f>MID(MAIN!A3899,K3894+2,2)</f>
        <v>#VALUE!</v>
      </c>
      <c r="E3894" s="12" t="e">
        <f>MID(MAIN!A3899,K3894+4,2)</f>
        <v>#VALUE!</v>
      </c>
      <c r="F3894" s="2" t="e">
        <f t="shared" si="241"/>
        <v>#VALUE!</v>
      </c>
      <c r="G3894" s="13" t="e">
        <f t="shared" si="242"/>
        <v>#VALUE!</v>
      </c>
      <c r="J3894" t="str">
        <f>MAIN!A3899&amp;"B"</f>
        <v>B</v>
      </c>
      <c r="K3894" s="12" t="e">
        <f t="shared" si="243"/>
        <v>#VALUE!</v>
      </c>
      <c r="L3894" t="str">
        <f>MAIN!C3899</f>
        <v/>
      </c>
    </row>
    <row r="3895" spans="1:12" x14ac:dyDescent="0.3">
      <c r="A3895">
        <f>IF(J3895="0",0,IF(COUNTIF($J$2:J3895,J3895)=1,1,0))</f>
        <v>0</v>
      </c>
      <c r="B3895" s="12" t="e">
        <f>MID(MAIN!A3900,K3895,2)</f>
        <v>#VALUE!</v>
      </c>
      <c r="C3895" s="12" t="e">
        <f t="shared" si="240"/>
        <v>#VALUE!</v>
      </c>
      <c r="D3895" s="12" t="e">
        <f>MID(MAIN!A3900,K3895+2,2)</f>
        <v>#VALUE!</v>
      </c>
      <c r="E3895" s="12" t="e">
        <f>MID(MAIN!A3900,K3895+4,2)</f>
        <v>#VALUE!</v>
      </c>
      <c r="F3895" s="2" t="e">
        <f t="shared" si="241"/>
        <v>#VALUE!</v>
      </c>
      <c r="G3895" s="13" t="e">
        <f t="shared" si="242"/>
        <v>#VALUE!</v>
      </c>
      <c r="J3895" t="str">
        <f>MAIN!A3900&amp;"B"</f>
        <v>B</v>
      </c>
      <c r="K3895" s="12" t="e">
        <f t="shared" si="243"/>
        <v>#VALUE!</v>
      </c>
      <c r="L3895" t="str">
        <f>MAIN!C3900</f>
        <v/>
      </c>
    </row>
    <row r="3896" spans="1:12" x14ac:dyDescent="0.3">
      <c r="A3896">
        <f>IF(J3896="0",0,IF(COUNTIF($J$2:J3896,J3896)=1,1,0))</f>
        <v>0</v>
      </c>
      <c r="B3896" s="12" t="e">
        <f>MID(MAIN!A3901,K3896,2)</f>
        <v>#VALUE!</v>
      </c>
      <c r="C3896" s="12" t="e">
        <f t="shared" si="240"/>
        <v>#VALUE!</v>
      </c>
      <c r="D3896" s="12" t="e">
        <f>MID(MAIN!A3901,K3896+2,2)</f>
        <v>#VALUE!</v>
      </c>
      <c r="E3896" s="12" t="e">
        <f>MID(MAIN!A3901,K3896+4,2)</f>
        <v>#VALUE!</v>
      </c>
      <c r="F3896" s="2" t="e">
        <f t="shared" si="241"/>
        <v>#VALUE!</v>
      </c>
      <c r="G3896" s="13" t="e">
        <f t="shared" si="242"/>
        <v>#VALUE!</v>
      </c>
      <c r="J3896" t="str">
        <f>MAIN!A3901&amp;"B"</f>
        <v>B</v>
      </c>
      <c r="K3896" s="12" t="e">
        <f t="shared" si="243"/>
        <v>#VALUE!</v>
      </c>
      <c r="L3896" t="str">
        <f>MAIN!C3901</f>
        <v/>
      </c>
    </row>
    <row r="3897" spans="1:12" x14ac:dyDescent="0.3">
      <c r="A3897">
        <f>IF(J3897="0",0,IF(COUNTIF($J$2:J3897,J3897)=1,1,0))</f>
        <v>0</v>
      </c>
      <c r="B3897" s="12" t="e">
        <f>MID(MAIN!A3902,K3897,2)</f>
        <v>#VALUE!</v>
      </c>
      <c r="C3897" s="12" t="e">
        <f t="shared" si="240"/>
        <v>#VALUE!</v>
      </c>
      <c r="D3897" s="12" t="e">
        <f>MID(MAIN!A3902,K3897+2,2)</f>
        <v>#VALUE!</v>
      </c>
      <c r="E3897" s="12" t="e">
        <f>MID(MAIN!A3902,K3897+4,2)</f>
        <v>#VALUE!</v>
      </c>
      <c r="F3897" s="2" t="e">
        <f t="shared" si="241"/>
        <v>#VALUE!</v>
      </c>
      <c r="G3897" s="13" t="e">
        <f t="shared" si="242"/>
        <v>#VALUE!</v>
      </c>
      <c r="J3897" t="str">
        <f>MAIN!A3902&amp;"B"</f>
        <v>B</v>
      </c>
      <c r="K3897" s="12" t="e">
        <f t="shared" si="243"/>
        <v>#VALUE!</v>
      </c>
      <c r="L3897" t="str">
        <f>MAIN!C3902</f>
        <v/>
      </c>
    </row>
    <row r="3898" spans="1:12" x14ac:dyDescent="0.3">
      <c r="A3898">
        <f>IF(J3898="0",0,IF(COUNTIF($J$2:J3898,J3898)=1,1,0))</f>
        <v>0</v>
      </c>
      <c r="B3898" s="12" t="e">
        <f>MID(MAIN!A3903,K3898,2)</f>
        <v>#VALUE!</v>
      </c>
      <c r="C3898" s="12" t="e">
        <f t="shared" si="240"/>
        <v>#VALUE!</v>
      </c>
      <c r="D3898" s="12" t="e">
        <f>MID(MAIN!A3903,K3898+2,2)</f>
        <v>#VALUE!</v>
      </c>
      <c r="E3898" s="12" t="e">
        <f>MID(MAIN!A3903,K3898+4,2)</f>
        <v>#VALUE!</v>
      </c>
      <c r="F3898" s="2" t="e">
        <f t="shared" si="241"/>
        <v>#VALUE!</v>
      </c>
      <c r="G3898" s="13" t="e">
        <f t="shared" si="242"/>
        <v>#VALUE!</v>
      </c>
      <c r="J3898" t="str">
        <f>MAIN!A3903&amp;"B"</f>
        <v>B</v>
      </c>
      <c r="K3898" s="12" t="e">
        <f t="shared" si="243"/>
        <v>#VALUE!</v>
      </c>
      <c r="L3898" t="str">
        <f>MAIN!C3903</f>
        <v/>
      </c>
    </row>
    <row r="3899" spans="1:12" x14ac:dyDescent="0.3">
      <c r="A3899">
        <f>IF(J3899="0",0,IF(COUNTIF($J$2:J3899,J3899)=1,1,0))</f>
        <v>0</v>
      </c>
      <c r="B3899" s="12" t="e">
        <f>MID(MAIN!A3904,K3899,2)</f>
        <v>#VALUE!</v>
      </c>
      <c r="C3899" s="12" t="e">
        <f t="shared" si="240"/>
        <v>#VALUE!</v>
      </c>
      <c r="D3899" s="12" t="e">
        <f>MID(MAIN!A3904,K3899+2,2)</f>
        <v>#VALUE!</v>
      </c>
      <c r="E3899" s="12" t="e">
        <f>MID(MAIN!A3904,K3899+4,2)</f>
        <v>#VALUE!</v>
      </c>
      <c r="F3899" s="2" t="e">
        <f t="shared" si="241"/>
        <v>#VALUE!</v>
      </c>
      <c r="G3899" s="13" t="e">
        <f t="shared" si="242"/>
        <v>#VALUE!</v>
      </c>
      <c r="J3899" t="str">
        <f>MAIN!A3904&amp;"B"</f>
        <v>B</v>
      </c>
      <c r="K3899" s="12" t="e">
        <f t="shared" si="243"/>
        <v>#VALUE!</v>
      </c>
      <c r="L3899" t="str">
        <f>MAIN!C3904</f>
        <v/>
      </c>
    </row>
    <row r="3900" spans="1:12" x14ac:dyDescent="0.3">
      <c r="A3900">
        <f>IF(J3900="0",0,IF(COUNTIF($J$2:J3900,J3900)=1,1,0))</f>
        <v>0</v>
      </c>
      <c r="B3900" s="12" t="e">
        <f>MID(MAIN!A3905,K3900,2)</f>
        <v>#VALUE!</v>
      </c>
      <c r="C3900" s="12" t="e">
        <f t="shared" si="240"/>
        <v>#VALUE!</v>
      </c>
      <c r="D3900" s="12" t="e">
        <f>MID(MAIN!A3905,K3900+2,2)</f>
        <v>#VALUE!</v>
      </c>
      <c r="E3900" s="12" t="e">
        <f>MID(MAIN!A3905,K3900+4,2)</f>
        <v>#VALUE!</v>
      </c>
      <c r="F3900" s="2" t="e">
        <f t="shared" si="241"/>
        <v>#VALUE!</v>
      </c>
      <c r="G3900" s="13" t="e">
        <f t="shared" si="242"/>
        <v>#VALUE!</v>
      </c>
      <c r="J3900" t="str">
        <f>MAIN!A3905&amp;"B"</f>
        <v>B</v>
      </c>
      <c r="K3900" s="12" t="e">
        <f t="shared" si="243"/>
        <v>#VALUE!</v>
      </c>
      <c r="L3900" t="str">
        <f>MAIN!C3905</f>
        <v/>
      </c>
    </row>
    <row r="3901" spans="1:12" x14ac:dyDescent="0.3">
      <c r="A3901">
        <f>IF(J3901="0",0,IF(COUNTIF($J$2:J3901,J3901)=1,1,0))</f>
        <v>0</v>
      </c>
      <c r="B3901" s="12" t="e">
        <f>MID(MAIN!A3906,K3901,2)</f>
        <v>#VALUE!</v>
      </c>
      <c r="C3901" s="12" t="e">
        <f t="shared" si="240"/>
        <v>#VALUE!</v>
      </c>
      <c r="D3901" s="12" t="e">
        <f>MID(MAIN!A3906,K3901+2,2)</f>
        <v>#VALUE!</v>
      </c>
      <c r="E3901" s="12" t="e">
        <f>MID(MAIN!A3906,K3901+4,2)</f>
        <v>#VALUE!</v>
      </c>
      <c r="F3901" s="2" t="e">
        <f t="shared" si="241"/>
        <v>#VALUE!</v>
      </c>
      <c r="G3901" s="13" t="e">
        <f t="shared" si="242"/>
        <v>#VALUE!</v>
      </c>
      <c r="J3901" t="str">
        <f>MAIN!A3906&amp;"B"</f>
        <v>B</v>
      </c>
      <c r="K3901" s="12" t="e">
        <f t="shared" si="243"/>
        <v>#VALUE!</v>
      </c>
      <c r="L3901" t="str">
        <f>MAIN!C3906</f>
        <v/>
      </c>
    </row>
    <row r="3902" spans="1:12" x14ac:dyDescent="0.3">
      <c r="A3902">
        <f>IF(J3902="0",0,IF(COUNTIF($J$2:J3902,J3902)=1,1,0))</f>
        <v>0</v>
      </c>
      <c r="B3902" s="12" t="e">
        <f>MID(MAIN!A3907,K3902,2)</f>
        <v>#VALUE!</v>
      </c>
      <c r="C3902" s="12" t="e">
        <f t="shared" si="240"/>
        <v>#VALUE!</v>
      </c>
      <c r="D3902" s="12" t="e">
        <f>MID(MAIN!A3907,K3902+2,2)</f>
        <v>#VALUE!</v>
      </c>
      <c r="E3902" s="12" t="e">
        <f>MID(MAIN!A3907,K3902+4,2)</f>
        <v>#VALUE!</v>
      </c>
      <c r="F3902" s="2" t="e">
        <f t="shared" si="241"/>
        <v>#VALUE!</v>
      </c>
      <c r="G3902" s="13" t="e">
        <f t="shared" si="242"/>
        <v>#VALUE!</v>
      </c>
      <c r="J3902" t="str">
        <f>MAIN!A3907&amp;"B"</f>
        <v>B</v>
      </c>
      <c r="K3902" s="12" t="e">
        <f t="shared" si="243"/>
        <v>#VALUE!</v>
      </c>
      <c r="L3902" t="str">
        <f>MAIN!C3907</f>
        <v/>
      </c>
    </row>
    <row r="3903" spans="1:12" x14ac:dyDescent="0.3">
      <c r="A3903">
        <f>IF(J3903="0",0,IF(COUNTIF($J$2:J3903,J3903)=1,1,0))</f>
        <v>0</v>
      </c>
      <c r="B3903" s="12" t="e">
        <f>MID(MAIN!A3908,K3903,2)</f>
        <v>#VALUE!</v>
      </c>
      <c r="C3903" s="12" t="e">
        <f t="shared" si="240"/>
        <v>#VALUE!</v>
      </c>
      <c r="D3903" s="12" t="e">
        <f>MID(MAIN!A3908,K3903+2,2)</f>
        <v>#VALUE!</v>
      </c>
      <c r="E3903" s="12" t="e">
        <f>MID(MAIN!A3908,K3903+4,2)</f>
        <v>#VALUE!</v>
      </c>
      <c r="F3903" s="2" t="e">
        <f t="shared" si="241"/>
        <v>#VALUE!</v>
      </c>
      <c r="G3903" s="13" t="e">
        <f t="shared" si="242"/>
        <v>#VALUE!</v>
      </c>
      <c r="J3903" t="str">
        <f>MAIN!A3908&amp;"B"</f>
        <v>B</v>
      </c>
      <c r="K3903" s="12" t="e">
        <f t="shared" si="243"/>
        <v>#VALUE!</v>
      </c>
      <c r="L3903" t="str">
        <f>MAIN!C3908</f>
        <v/>
      </c>
    </row>
    <row r="3904" spans="1:12" x14ac:dyDescent="0.3">
      <c r="A3904">
        <f>IF(J3904="0",0,IF(COUNTIF($J$2:J3904,J3904)=1,1,0))</f>
        <v>0</v>
      </c>
      <c r="B3904" s="12" t="e">
        <f>MID(MAIN!A3909,K3904,2)</f>
        <v>#VALUE!</v>
      </c>
      <c r="C3904" s="12" t="e">
        <f t="shared" si="240"/>
        <v>#VALUE!</v>
      </c>
      <c r="D3904" s="12" t="e">
        <f>MID(MAIN!A3909,K3904+2,2)</f>
        <v>#VALUE!</v>
      </c>
      <c r="E3904" s="12" t="e">
        <f>MID(MAIN!A3909,K3904+4,2)</f>
        <v>#VALUE!</v>
      </c>
      <c r="F3904" s="2" t="e">
        <f t="shared" si="241"/>
        <v>#VALUE!</v>
      </c>
      <c r="G3904" s="13" t="e">
        <f t="shared" si="242"/>
        <v>#VALUE!</v>
      </c>
      <c r="J3904" t="str">
        <f>MAIN!A3909&amp;"B"</f>
        <v>B</v>
      </c>
      <c r="K3904" s="12" t="e">
        <f t="shared" si="243"/>
        <v>#VALUE!</v>
      </c>
      <c r="L3904" t="str">
        <f>MAIN!C3909</f>
        <v/>
      </c>
    </row>
    <row r="3905" spans="1:12" x14ac:dyDescent="0.3">
      <c r="A3905">
        <f>IF(J3905="0",0,IF(COUNTIF($J$2:J3905,J3905)=1,1,0))</f>
        <v>0</v>
      </c>
      <c r="B3905" s="12" t="e">
        <f>MID(MAIN!A3910,K3905,2)</f>
        <v>#VALUE!</v>
      </c>
      <c r="C3905" s="12" t="e">
        <f t="shared" si="240"/>
        <v>#VALUE!</v>
      </c>
      <c r="D3905" s="12" t="e">
        <f>MID(MAIN!A3910,K3905+2,2)</f>
        <v>#VALUE!</v>
      </c>
      <c r="E3905" s="12" t="e">
        <f>MID(MAIN!A3910,K3905+4,2)</f>
        <v>#VALUE!</v>
      </c>
      <c r="F3905" s="2" t="e">
        <f t="shared" si="241"/>
        <v>#VALUE!</v>
      </c>
      <c r="G3905" s="13" t="e">
        <f t="shared" si="242"/>
        <v>#VALUE!</v>
      </c>
      <c r="J3905" t="str">
        <f>MAIN!A3910&amp;"B"</f>
        <v>B</v>
      </c>
      <c r="K3905" s="12" t="e">
        <f t="shared" si="243"/>
        <v>#VALUE!</v>
      </c>
      <c r="L3905" t="str">
        <f>MAIN!C3910</f>
        <v/>
      </c>
    </row>
    <row r="3906" spans="1:12" x14ac:dyDescent="0.3">
      <c r="A3906">
        <f>IF(J3906="0",0,IF(COUNTIF($J$2:J3906,J3906)=1,1,0))</f>
        <v>0</v>
      </c>
      <c r="B3906" s="12" t="e">
        <f>MID(MAIN!A3911,K3906,2)</f>
        <v>#VALUE!</v>
      </c>
      <c r="C3906" s="12" t="e">
        <f t="shared" si="240"/>
        <v>#VALUE!</v>
      </c>
      <c r="D3906" s="12" t="e">
        <f>MID(MAIN!A3911,K3906+2,2)</f>
        <v>#VALUE!</v>
      </c>
      <c r="E3906" s="12" t="e">
        <f>MID(MAIN!A3911,K3906+4,2)</f>
        <v>#VALUE!</v>
      </c>
      <c r="F3906" s="2" t="e">
        <f t="shared" si="241"/>
        <v>#VALUE!</v>
      </c>
      <c r="G3906" s="13" t="e">
        <f t="shared" si="242"/>
        <v>#VALUE!</v>
      </c>
      <c r="J3906" t="str">
        <f>MAIN!A3911&amp;"B"</f>
        <v>B</v>
      </c>
      <c r="K3906" s="12" t="e">
        <f t="shared" si="243"/>
        <v>#VALUE!</v>
      </c>
      <c r="L3906" t="str">
        <f>MAIN!C3911</f>
        <v/>
      </c>
    </row>
    <row r="3907" spans="1:12" x14ac:dyDescent="0.3">
      <c r="A3907">
        <f>IF(J3907="0",0,IF(COUNTIF($J$2:J3907,J3907)=1,1,0))</f>
        <v>0</v>
      </c>
      <c r="B3907" s="12" t="e">
        <f>MID(MAIN!A3912,K3907,2)</f>
        <v>#VALUE!</v>
      </c>
      <c r="C3907" s="12" t="e">
        <f t="shared" ref="C3907:C3970" si="244">"20"&amp;B3907</f>
        <v>#VALUE!</v>
      </c>
      <c r="D3907" s="12" t="e">
        <f>MID(MAIN!A3912,K3907+2,2)</f>
        <v>#VALUE!</v>
      </c>
      <c r="E3907" s="12" t="e">
        <f>MID(MAIN!A3912,K3907+4,2)</f>
        <v>#VALUE!</v>
      </c>
      <c r="F3907" s="2" t="e">
        <f t="shared" ref="F3907:F3970" si="245">C3907&amp;"/"&amp;D3907&amp;"/"&amp;E3907</f>
        <v>#VALUE!</v>
      </c>
      <c r="G3907" s="13" t="e">
        <f t="shared" ref="G3907:G3970" si="246">DATEVALUE(F3907)</f>
        <v>#VALUE!</v>
      </c>
      <c r="J3907" t="str">
        <f>MAIN!A3912&amp;"B"</f>
        <v>B</v>
      </c>
      <c r="K3907" s="12" t="e">
        <f t="shared" ref="K3907:K3970" si="247">FIND("172",J3907,30)+2</f>
        <v>#VALUE!</v>
      </c>
      <c r="L3907" t="str">
        <f>MAIN!C3912</f>
        <v/>
      </c>
    </row>
    <row r="3908" spans="1:12" x14ac:dyDescent="0.3">
      <c r="A3908">
        <f>IF(J3908="0",0,IF(COUNTIF($J$2:J3908,J3908)=1,1,0))</f>
        <v>0</v>
      </c>
      <c r="B3908" s="12" t="e">
        <f>MID(MAIN!A3913,K3908,2)</f>
        <v>#VALUE!</v>
      </c>
      <c r="C3908" s="12" t="e">
        <f t="shared" si="244"/>
        <v>#VALUE!</v>
      </c>
      <c r="D3908" s="12" t="e">
        <f>MID(MAIN!A3913,K3908+2,2)</f>
        <v>#VALUE!</v>
      </c>
      <c r="E3908" s="12" t="e">
        <f>MID(MAIN!A3913,K3908+4,2)</f>
        <v>#VALUE!</v>
      </c>
      <c r="F3908" s="2" t="e">
        <f t="shared" si="245"/>
        <v>#VALUE!</v>
      </c>
      <c r="G3908" s="13" t="e">
        <f t="shared" si="246"/>
        <v>#VALUE!</v>
      </c>
      <c r="J3908" t="str">
        <f>MAIN!A3913&amp;"B"</f>
        <v>B</v>
      </c>
      <c r="K3908" s="12" t="e">
        <f t="shared" si="247"/>
        <v>#VALUE!</v>
      </c>
      <c r="L3908" t="str">
        <f>MAIN!C3913</f>
        <v/>
      </c>
    </row>
    <row r="3909" spans="1:12" x14ac:dyDescent="0.3">
      <c r="A3909">
        <f>IF(J3909="0",0,IF(COUNTIF($J$2:J3909,J3909)=1,1,0))</f>
        <v>0</v>
      </c>
      <c r="B3909" s="12" t="e">
        <f>MID(MAIN!A3914,K3909,2)</f>
        <v>#VALUE!</v>
      </c>
      <c r="C3909" s="12" t="e">
        <f t="shared" si="244"/>
        <v>#VALUE!</v>
      </c>
      <c r="D3909" s="12" t="e">
        <f>MID(MAIN!A3914,K3909+2,2)</f>
        <v>#VALUE!</v>
      </c>
      <c r="E3909" s="12" t="e">
        <f>MID(MAIN!A3914,K3909+4,2)</f>
        <v>#VALUE!</v>
      </c>
      <c r="F3909" s="2" t="e">
        <f t="shared" si="245"/>
        <v>#VALUE!</v>
      </c>
      <c r="G3909" s="13" t="e">
        <f t="shared" si="246"/>
        <v>#VALUE!</v>
      </c>
      <c r="J3909" t="str">
        <f>MAIN!A3914&amp;"B"</f>
        <v>B</v>
      </c>
      <c r="K3909" s="12" t="e">
        <f t="shared" si="247"/>
        <v>#VALUE!</v>
      </c>
      <c r="L3909" t="str">
        <f>MAIN!C3914</f>
        <v/>
      </c>
    </row>
    <row r="3910" spans="1:12" x14ac:dyDescent="0.3">
      <c r="A3910">
        <f>IF(J3910="0",0,IF(COUNTIF($J$2:J3910,J3910)=1,1,0))</f>
        <v>0</v>
      </c>
      <c r="B3910" s="12" t="e">
        <f>MID(MAIN!A3915,K3910,2)</f>
        <v>#VALUE!</v>
      </c>
      <c r="C3910" s="12" t="e">
        <f t="shared" si="244"/>
        <v>#VALUE!</v>
      </c>
      <c r="D3910" s="12" t="e">
        <f>MID(MAIN!A3915,K3910+2,2)</f>
        <v>#VALUE!</v>
      </c>
      <c r="E3910" s="12" t="e">
        <f>MID(MAIN!A3915,K3910+4,2)</f>
        <v>#VALUE!</v>
      </c>
      <c r="F3910" s="2" t="e">
        <f t="shared" si="245"/>
        <v>#VALUE!</v>
      </c>
      <c r="G3910" s="13" t="e">
        <f t="shared" si="246"/>
        <v>#VALUE!</v>
      </c>
      <c r="J3910" t="str">
        <f>MAIN!A3915&amp;"B"</f>
        <v>B</v>
      </c>
      <c r="K3910" s="12" t="e">
        <f t="shared" si="247"/>
        <v>#VALUE!</v>
      </c>
      <c r="L3910" t="str">
        <f>MAIN!C3915</f>
        <v/>
      </c>
    </row>
    <row r="3911" spans="1:12" x14ac:dyDescent="0.3">
      <c r="A3911">
        <f>IF(J3911="0",0,IF(COUNTIF($J$2:J3911,J3911)=1,1,0))</f>
        <v>0</v>
      </c>
      <c r="B3911" s="12" t="e">
        <f>MID(MAIN!A3916,K3911,2)</f>
        <v>#VALUE!</v>
      </c>
      <c r="C3911" s="12" t="e">
        <f t="shared" si="244"/>
        <v>#VALUE!</v>
      </c>
      <c r="D3911" s="12" t="e">
        <f>MID(MAIN!A3916,K3911+2,2)</f>
        <v>#VALUE!</v>
      </c>
      <c r="E3911" s="12" t="e">
        <f>MID(MAIN!A3916,K3911+4,2)</f>
        <v>#VALUE!</v>
      </c>
      <c r="F3911" s="2" t="e">
        <f t="shared" si="245"/>
        <v>#VALUE!</v>
      </c>
      <c r="G3911" s="13" t="e">
        <f t="shared" si="246"/>
        <v>#VALUE!</v>
      </c>
      <c r="J3911" t="str">
        <f>MAIN!A3916&amp;"B"</f>
        <v>B</v>
      </c>
      <c r="K3911" s="12" t="e">
        <f t="shared" si="247"/>
        <v>#VALUE!</v>
      </c>
      <c r="L3911" t="str">
        <f>MAIN!C3916</f>
        <v/>
      </c>
    </row>
    <row r="3912" spans="1:12" x14ac:dyDescent="0.3">
      <c r="A3912">
        <f>IF(J3912="0",0,IF(COUNTIF($J$2:J3912,J3912)=1,1,0))</f>
        <v>0</v>
      </c>
      <c r="B3912" s="12" t="e">
        <f>MID(MAIN!A3917,K3912,2)</f>
        <v>#VALUE!</v>
      </c>
      <c r="C3912" s="12" t="e">
        <f t="shared" si="244"/>
        <v>#VALUE!</v>
      </c>
      <c r="D3912" s="12" t="e">
        <f>MID(MAIN!A3917,K3912+2,2)</f>
        <v>#VALUE!</v>
      </c>
      <c r="E3912" s="12" t="e">
        <f>MID(MAIN!A3917,K3912+4,2)</f>
        <v>#VALUE!</v>
      </c>
      <c r="F3912" s="2" t="e">
        <f t="shared" si="245"/>
        <v>#VALUE!</v>
      </c>
      <c r="G3912" s="13" t="e">
        <f t="shared" si="246"/>
        <v>#VALUE!</v>
      </c>
      <c r="J3912" t="str">
        <f>MAIN!A3917&amp;"B"</f>
        <v>B</v>
      </c>
      <c r="K3912" s="12" t="e">
        <f t="shared" si="247"/>
        <v>#VALUE!</v>
      </c>
      <c r="L3912" t="str">
        <f>MAIN!C3917</f>
        <v/>
      </c>
    </row>
    <row r="3913" spans="1:12" x14ac:dyDescent="0.3">
      <c r="A3913">
        <f>IF(J3913="0",0,IF(COUNTIF($J$2:J3913,J3913)=1,1,0))</f>
        <v>0</v>
      </c>
      <c r="B3913" s="12" t="e">
        <f>MID(MAIN!A3918,K3913,2)</f>
        <v>#VALUE!</v>
      </c>
      <c r="C3913" s="12" t="e">
        <f t="shared" si="244"/>
        <v>#VALUE!</v>
      </c>
      <c r="D3913" s="12" t="e">
        <f>MID(MAIN!A3918,K3913+2,2)</f>
        <v>#VALUE!</v>
      </c>
      <c r="E3913" s="12" t="e">
        <f>MID(MAIN!A3918,K3913+4,2)</f>
        <v>#VALUE!</v>
      </c>
      <c r="F3913" s="2" t="e">
        <f t="shared" si="245"/>
        <v>#VALUE!</v>
      </c>
      <c r="G3913" s="13" t="e">
        <f t="shared" si="246"/>
        <v>#VALUE!</v>
      </c>
      <c r="J3913" t="str">
        <f>MAIN!A3918&amp;"B"</f>
        <v>B</v>
      </c>
      <c r="K3913" s="12" t="e">
        <f t="shared" si="247"/>
        <v>#VALUE!</v>
      </c>
      <c r="L3913" t="str">
        <f>MAIN!C3918</f>
        <v/>
      </c>
    </row>
    <row r="3914" spans="1:12" x14ac:dyDescent="0.3">
      <c r="A3914">
        <f>IF(J3914="0",0,IF(COUNTIF($J$2:J3914,J3914)=1,1,0))</f>
        <v>0</v>
      </c>
      <c r="B3914" s="12" t="e">
        <f>MID(MAIN!A3919,K3914,2)</f>
        <v>#VALUE!</v>
      </c>
      <c r="C3914" s="12" t="e">
        <f t="shared" si="244"/>
        <v>#VALUE!</v>
      </c>
      <c r="D3914" s="12" t="e">
        <f>MID(MAIN!A3919,K3914+2,2)</f>
        <v>#VALUE!</v>
      </c>
      <c r="E3914" s="12" t="e">
        <f>MID(MAIN!A3919,K3914+4,2)</f>
        <v>#VALUE!</v>
      </c>
      <c r="F3914" s="2" t="e">
        <f t="shared" si="245"/>
        <v>#VALUE!</v>
      </c>
      <c r="G3914" s="13" t="e">
        <f t="shared" si="246"/>
        <v>#VALUE!</v>
      </c>
      <c r="J3914" t="str">
        <f>MAIN!A3919&amp;"B"</f>
        <v>B</v>
      </c>
      <c r="K3914" s="12" t="e">
        <f t="shared" si="247"/>
        <v>#VALUE!</v>
      </c>
      <c r="L3914" t="str">
        <f>MAIN!C3919</f>
        <v/>
      </c>
    </row>
    <row r="3915" spans="1:12" x14ac:dyDescent="0.3">
      <c r="A3915">
        <f>IF(J3915="0",0,IF(COUNTIF($J$2:J3915,J3915)=1,1,0))</f>
        <v>0</v>
      </c>
      <c r="B3915" s="12" t="e">
        <f>MID(MAIN!A3920,K3915,2)</f>
        <v>#VALUE!</v>
      </c>
      <c r="C3915" s="12" t="e">
        <f t="shared" si="244"/>
        <v>#VALUE!</v>
      </c>
      <c r="D3915" s="12" t="e">
        <f>MID(MAIN!A3920,K3915+2,2)</f>
        <v>#VALUE!</v>
      </c>
      <c r="E3915" s="12" t="e">
        <f>MID(MAIN!A3920,K3915+4,2)</f>
        <v>#VALUE!</v>
      </c>
      <c r="F3915" s="2" t="e">
        <f t="shared" si="245"/>
        <v>#VALUE!</v>
      </c>
      <c r="G3915" s="13" t="e">
        <f t="shared" si="246"/>
        <v>#VALUE!</v>
      </c>
      <c r="J3915" t="str">
        <f>MAIN!A3920&amp;"B"</f>
        <v>B</v>
      </c>
      <c r="K3915" s="12" t="e">
        <f t="shared" si="247"/>
        <v>#VALUE!</v>
      </c>
      <c r="L3915" t="str">
        <f>MAIN!C3920</f>
        <v/>
      </c>
    </row>
    <row r="3916" spans="1:12" x14ac:dyDescent="0.3">
      <c r="A3916">
        <f>IF(J3916="0",0,IF(COUNTIF($J$2:J3916,J3916)=1,1,0))</f>
        <v>0</v>
      </c>
      <c r="B3916" s="12" t="e">
        <f>MID(MAIN!A3921,K3916,2)</f>
        <v>#VALUE!</v>
      </c>
      <c r="C3916" s="12" t="e">
        <f t="shared" si="244"/>
        <v>#VALUE!</v>
      </c>
      <c r="D3916" s="12" t="e">
        <f>MID(MAIN!A3921,K3916+2,2)</f>
        <v>#VALUE!</v>
      </c>
      <c r="E3916" s="12" t="e">
        <f>MID(MAIN!A3921,K3916+4,2)</f>
        <v>#VALUE!</v>
      </c>
      <c r="F3916" s="2" t="e">
        <f t="shared" si="245"/>
        <v>#VALUE!</v>
      </c>
      <c r="G3916" s="13" t="e">
        <f t="shared" si="246"/>
        <v>#VALUE!</v>
      </c>
      <c r="J3916" t="str">
        <f>MAIN!A3921&amp;"B"</f>
        <v>B</v>
      </c>
      <c r="K3916" s="12" t="e">
        <f t="shared" si="247"/>
        <v>#VALUE!</v>
      </c>
      <c r="L3916" t="str">
        <f>MAIN!C3921</f>
        <v/>
      </c>
    </row>
    <row r="3917" spans="1:12" x14ac:dyDescent="0.3">
      <c r="A3917">
        <f>IF(J3917="0",0,IF(COUNTIF($J$2:J3917,J3917)=1,1,0))</f>
        <v>0</v>
      </c>
      <c r="B3917" s="12" t="e">
        <f>MID(MAIN!A3922,K3917,2)</f>
        <v>#VALUE!</v>
      </c>
      <c r="C3917" s="12" t="e">
        <f t="shared" si="244"/>
        <v>#VALUE!</v>
      </c>
      <c r="D3917" s="12" t="e">
        <f>MID(MAIN!A3922,K3917+2,2)</f>
        <v>#VALUE!</v>
      </c>
      <c r="E3917" s="12" t="e">
        <f>MID(MAIN!A3922,K3917+4,2)</f>
        <v>#VALUE!</v>
      </c>
      <c r="F3917" s="2" t="e">
        <f t="shared" si="245"/>
        <v>#VALUE!</v>
      </c>
      <c r="G3917" s="13" t="e">
        <f t="shared" si="246"/>
        <v>#VALUE!</v>
      </c>
      <c r="J3917" t="str">
        <f>MAIN!A3922&amp;"B"</f>
        <v>B</v>
      </c>
      <c r="K3917" s="12" t="e">
        <f t="shared" si="247"/>
        <v>#VALUE!</v>
      </c>
      <c r="L3917" t="str">
        <f>MAIN!C3922</f>
        <v/>
      </c>
    </row>
    <row r="3918" spans="1:12" x14ac:dyDescent="0.3">
      <c r="A3918">
        <f>IF(J3918="0",0,IF(COUNTIF($J$2:J3918,J3918)=1,1,0))</f>
        <v>0</v>
      </c>
      <c r="B3918" s="12" t="e">
        <f>MID(MAIN!A3923,K3918,2)</f>
        <v>#VALUE!</v>
      </c>
      <c r="C3918" s="12" t="e">
        <f t="shared" si="244"/>
        <v>#VALUE!</v>
      </c>
      <c r="D3918" s="12" t="e">
        <f>MID(MAIN!A3923,K3918+2,2)</f>
        <v>#VALUE!</v>
      </c>
      <c r="E3918" s="12" t="e">
        <f>MID(MAIN!A3923,K3918+4,2)</f>
        <v>#VALUE!</v>
      </c>
      <c r="F3918" s="2" t="e">
        <f t="shared" si="245"/>
        <v>#VALUE!</v>
      </c>
      <c r="G3918" s="13" t="e">
        <f t="shared" si="246"/>
        <v>#VALUE!</v>
      </c>
      <c r="J3918" t="str">
        <f>MAIN!A3923&amp;"B"</f>
        <v>B</v>
      </c>
      <c r="K3918" s="12" t="e">
        <f t="shared" si="247"/>
        <v>#VALUE!</v>
      </c>
      <c r="L3918" t="str">
        <f>MAIN!C3923</f>
        <v/>
      </c>
    </row>
    <row r="3919" spans="1:12" x14ac:dyDescent="0.3">
      <c r="A3919">
        <f>IF(J3919="0",0,IF(COUNTIF($J$2:J3919,J3919)=1,1,0))</f>
        <v>0</v>
      </c>
      <c r="B3919" s="12" t="e">
        <f>MID(MAIN!A3924,K3919,2)</f>
        <v>#VALUE!</v>
      </c>
      <c r="C3919" s="12" t="e">
        <f t="shared" si="244"/>
        <v>#VALUE!</v>
      </c>
      <c r="D3919" s="12" t="e">
        <f>MID(MAIN!A3924,K3919+2,2)</f>
        <v>#VALUE!</v>
      </c>
      <c r="E3919" s="12" t="e">
        <f>MID(MAIN!A3924,K3919+4,2)</f>
        <v>#VALUE!</v>
      </c>
      <c r="F3919" s="2" t="e">
        <f t="shared" si="245"/>
        <v>#VALUE!</v>
      </c>
      <c r="G3919" s="13" t="e">
        <f t="shared" si="246"/>
        <v>#VALUE!</v>
      </c>
      <c r="J3919" t="str">
        <f>MAIN!A3924&amp;"B"</f>
        <v>B</v>
      </c>
      <c r="K3919" s="12" t="e">
        <f t="shared" si="247"/>
        <v>#VALUE!</v>
      </c>
      <c r="L3919" t="str">
        <f>MAIN!C3924</f>
        <v/>
      </c>
    </row>
    <row r="3920" spans="1:12" x14ac:dyDescent="0.3">
      <c r="A3920">
        <f>IF(J3920="0",0,IF(COUNTIF($J$2:J3920,J3920)=1,1,0))</f>
        <v>0</v>
      </c>
      <c r="B3920" s="12" t="e">
        <f>MID(MAIN!A3925,K3920,2)</f>
        <v>#VALUE!</v>
      </c>
      <c r="C3920" s="12" t="e">
        <f t="shared" si="244"/>
        <v>#VALUE!</v>
      </c>
      <c r="D3920" s="12" t="e">
        <f>MID(MAIN!A3925,K3920+2,2)</f>
        <v>#VALUE!</v>
      </c>
      <c r="E3920" s="12" t="e">
        <f>MID(MAIN!A3925,K3920+4,2)</f>
        <v>#VALUE!</v>
      </c>
      <c r="F3920" s="2" t="e">
        <f t="shared" si="245"/>
        <v>#VALUE!</v>
      </c>
      <c r="G3920" s="13" t="e">
        <f t="shared" si="246"/>
        <v>#VALUE!</v>
      </c>
      <c r="J3920" t="str">
        <f>MAIN!A3925&amp;"B"</f>
        <v>B</v>
      </c>
      <c r="K3920" s="12" t="e">
        <f t="shared" si="247"/>
        <v>#VALUE!</v>
      </c>
      <c r="L3920" t="str">
        <f>MAIN!C3925</f>
        <v/>
      </c>
    </row>
    <row r="3921" spans="1:12" x14ac:dyDescent="0.3">
      <c r="A3921">
        <f>IF(J3921="0",0,IF(COUNTIF($J$2:J3921,J3921)=1,1,0))</f>
        <v>0</v>
      </c>
      <c r="B3921" s="12" t="e">
        <f>MID(MAIN!A3926,K3921,2)</f>
        <v>#VALUE!</v>
      </c>
      <c r="C3921" s="12" t="e">
        <f t="shared" si="244"/>
        <v>#VALUE!</v>
      </c>
      <c r="D3921" s="12" t="e">
        <f>MID(MAIN!A3926,K3921+2,2)</f>
        <v>#VALUE!</v>
      </c>
      <c r="E3921" s="12" t="e">
        <f>MID(MAIN!A3926,K3921+4,2)</f>
        <v>#VALUE!</v>
      </c>
      <c r="F3921" s="2" t="e">
        <f t="shared" si="245"/>
        <v>#VALUE!</v>
      </c>
      <c r="G3921" s="13" t="e">
        <f t="shared" si="246"/>
        <v>#VALUE!</v>
      </c>
      <c r="J3921" t="str">
        <f>MAIN!A3926&amp;"B"</f>
        <v>B</v>
      </c>
      <c r="K3921" s="12" t="e">
        <f t="shared" si="247"/>
        <v>#VALUE!</v>
      </c>
      <c r="L3921" t="str">
        <f>MAIN!C3926</f>
        <v/>
      </c>
    </row>
    <row r="3922" spans="1:12" x14ac:dyDescent="0.3">
      <c r="A3922">
        <f>IF(J3922="0",0,IF(COUNTIF($J$2:J3922,J3922)=1,1,0))</f>
        <v>0</v>
      </c>
      <c r="B3922" s="12" t="e">
        <f>MID(MAIN!A3927,K3922,2)</f>
        <v>#VALUE!</v>
      </c>
      <c r="C3922" s="12" t="e">
        <f t="shared" si="244"/>
        <v>#VALUE!</v>
      </c>
      <c r="D3922" s="12" t="e">
        <f>MID(MAIN!A3927,K3922+2,2)</f>
        <v>#VALUE!</v>
      </c>
      <c r="E3922" s="12" t="e">
        <f>MID(MAIN!A3927,K3922+4,2)</f>
        <v>#VALUE!</v>
      </c>
      <c r="F3922" s="2" t="e">
        <f t="shared" si="245"/>
        <v>#VALUE!</v>
      </c>
      <c r="G3922" s="13" t="e">
        <f t="shared" si="246"/>
        <v>#VALUE!</v>
      </c>
      <c r="J3922" t="str">
        <f>MAIN!A3927&amp;"B"</f>
        <v>B</v>
      </c>
      <c r="K3922" s="12" t="e">
        <f t="shared" si="247"/>
        <v>#VALUE!</v>
      </c>
      <c r="L3922" t="str">
        <f>MAIN!C3927</f>
        <v/>
      </c>
    </row>
    <row r="3923" spans="1:12" x14ac:dyDescent="0.3">
      <c r="A3923">
        <f>IF(J3923="0",0,IF(COUNTIF($J$2:J3923,J3923)=1,1,0))</f>
        <v>0</v>
      </c>
      <c r="B3923" s="12" t="e">
        <f>MID(MAIN!A3928,K3923,2)</f>
        <v>#VALUE!</v>
      </c>
      <c r="C3923" s="12" t="e">
        <f t="shared" si="244"/>
        <v>#VALUE!</v>
      </c>
      <c r="D3923" s="12" t="e">
        <f>MID(MAIN!A3928,K3923+2,2)</f>
        <v>#VALUE!</v>
      </c>
      <c r="E3923" s="12" t="e">
        <f>MID(MAIN!A3928,K3923+4,2)</f>
        <v>#VALUE!</v>
      </c>
      <c r="F3923" s="2" t="e">
        <f t="shared" si="245"/>
        <v>#VALUE!</v>
      </c>
      <c r="G3923" s="13" t="e">
        <f t="shared" si="246"/>
        <v>#VALUE!</v>
      </c>
      <c r="J3923" t="str">
        <f>MAIN!A3928&amp;"B"</f>
        <v>B</v>
      </c>
      <c r="K3923" s="12" t="e">
        <f t="shared" si="247"/>
        <v>#VALUE!</v>
      </c>
      <c r="L3923" t="str">
        <f>MAIN!C3928</f>
        <v/>
      </c>
    </row>
    <row r="3924" spans="1:12" x14ac:dyDescent="0.3">
      <c r="A3924">
        <f>IF(J3924="0",0,IF(COUNTIF($J$2:J3924,J3924)=1,1,0))</f>
        <v>0</v>
      </c>
      <c r="B3924" s="12" t="e">
        <f>MID(MAIN!A3929,K3924,2)</f>
        <v>#VALUE!</v>
      </c>
      <c r="C3924" s="12" t="e">
        <f t="shared" si="244"/>
        <v>#VALUE!</v>
      </c>
      <c r="D3924" s="12" t="e">
        <f>MID(MAIN!A3929,K3924+2,2)</f>
        <v>#VALUE!</v>
      </c>
      <c r="E3924" s="12" t="e">
        <f>MID(MAIN!A3929,K3924+4,2)</f>
        <v>#VALUE!</v>
      </c>
      <c r="F3924" s="2" t="e">
        <f t="shared" si="245"/>
        <v>#VALUE!</v>
      </c>
      <c r="G3924" s="13" t="e">
        <f t="shared" si="246"/>
        <v>#VALUE!</v>
      </c>
      <c r="J3924" t="str">
        <f>MAIN!A3929&amp;"B"</f>
        <v>B</v>
      </c>
      <c r="K3924" s="12" t="e">
        <f t="shared" si="247"/>
        <v>#VALUE!</v>
      </c>
      <c r="L3924" t="str">
        <f>MAIN!C3929</f>
        <v/>
      </c>
    </row>
    <row r="3925" spans="1:12" x14ac:dyDescent="0.3">
      <c r="A3925">
        <f>IF(J3925="0",0,IF(COUNTIF($J$2:J3925,J3925)=1,1,0))</f>
        <v>0</v>
      </c>
      <c r="B3925" s="12" t="e">
        <f>MID(MAIN!A3930,K3925,2)</f>
        <v>#VALUE!</v>
      </c>
      <c r="C3925" s="12" t="e">
        <f t="shared" si="244"/>
        <v>#VALUE!</v>
      </c>
      <c r="D3925" s="12" t="e">
        <f>MID(MAIN!A3930,K3925+2,2)</f>
        <v>#VALUE!</v>
      </c>
      <c r="E3925" s="12" t="e">
        <f>MID(MAIN!A3930,K3925+4,2)</f>
        <v>#VALUE!</v>
      </c>
      <c r="F3925" s="2" t="e">
        <f t="shared" si="245"/>
        <v>#VALUE!</v>
      </c>
      <c r="G3925" s="13" t="e">
        <f t="shared" si="246"/>
        <v>#VALUE!</v>
      </c>
      <c r="J3925" t="str">
        <f>MAIN!A3930&amp;"B"</f>
        <v>B</v>
      </c>
      <c r="K3925" s="12" t="e">
        <f t="shared" si="247"/>
        <v>#VALUE!</v>
      </c>
      <c r="L3925" t="str">
        <f>MAIN!C3930</f>
        <v/>
      </c>
    </row>
    <row r="3926" spans="1:12" x14ac:dyDescent="0.3">
      <c r="A3926">
        <f>IF(J3926="0",0,IF(COUNTIF($J$2:J3926,J3926)=1,1,0))</f>
        <v>0</v>
      </c>
      <c r="B3926" s="12" t="e">
        <f>MID(MAIN!A3931,K3926,2)</f>
        <v>#VALUE!</v>
      </c>
      <c r="C3926" s="12" t="e">
        <f t="shared" si="244"/>
        <v>#VALUE!</v>
      </c>
      <c r="D3926" s="12" t="e">
        <f>MID(MAIN!A3931,K3926+2,2)</f>
        <v>#VALUE!</v>
      </c>
      <c r="E3926" s="12" t="e">
        <f>MID(MAIN!A3931,K3926+4,2)</f>
        <v>#VALUE!</v>
      </c>
      <c r="F3926" s="2" t="e">
        <f t="shared" si="245"/>
        <v>#VALUE!</v>
      </c>
      <c r="G3926" s="13" t="e">
        <f t="shared" si="246"/>
        <v>#VALUE!</v>
      </c>
      <c r="J3926" t="str">
        <f>MAIN!A3931&amp;"B"</f>
        <v>B</v>
      </c>
      <c r="K3926" s="12" t="e">
        <f t="shared" si="247"/>
        <v>#VALUE!</v>
      </c>
      <c r="L3926" t="str">
        <f>MAIN!C3931</f>
        <v/>
      </c>
    </row>
    <row r="3927" spans="1:12" x14ac:dyDescent="0.3">
      <c r="A3927">
        <f>IF(J3927="0",0,IF(COUNTIF($J$2:J3927,J3927)=1,1,0))</f>
        <v>0</v>
      </c>
      <c r="B3927" s="12" t="e">
        <f>MID(MAIN!A3932,K3927,2)</f>
        <v>#VALUE!</v>
      </c>
      <c r="C3927" s="12" t="e">
        <f t="shared" si="244"/>
        <v>#VALUE!</v>
      </c>
      <c r="D3927" s="12" t="e">
        <f>MID(MAIN!A3932,K3927+2,2)</f>
        <v>#VALUE!</v>
      </c>
      <c r="E3927" s="12" t="e">
        <f>MID(MAIN!A3932,K3927+4,2)</f>
        <v>#VALUE!</v>
      </c>
      <c r="F3927" s="2" t="e">
        <f t="shared" si="245"/>
        <v>#VALUE!</v>
      </c>
      <c r="G3927" s="13" t="e">
        <f t="shared" si="246"/>
        <v>#VALUE!</v>
      </c>
      <c r="J3927" t="str">
        <f>MAIN!A3932&amp;"B"</f>
        <v>B</v>
      </c>
      <c r="K3927" s="12" t="e">
        <f t="shared" si="247"/>
        <v>#VALUE!</v>
      </c>
      <c r="L3927" t="str">
        <f>MAIN!C3932</f>
        <v/>
      </c>
    </row>
    <row r="3928" spans="1:12" x14ac:dyDescent="0.3">
      <c r="A3928">
        <f>IF(J3928="0",0,IF(COUNTIF($J$2:J3928,J3928)=1,1,0))</f>
        <v>0</v>
      </c>
      <c r="B3928" s="12" t="e">
        <f>MID(MAIN!A3933,K3928,2)</f>
        <v>#VALUE!</v>
      </c>
      <c r="C3928" s="12" t="e">
        <f t="shared" si="244"/>
        <v>#VALUE!</v>
      </c>
      <c r="D3928" s="12" t="e">
        <f>MID(MAIN!A3933,K3928+2,2)</f>
        <v>#VALUE!</v>
      </c>
      <c r="E3928" s="12" t="e">
        <f>MID(MAIN!A3933,K3928+4,2)</f>
        <v>#VALUE!</v>
      </c>
      <c r="F3928" s="2" t="e">
        <f t="shared" si="245"/>
        <v>#VALUE!</v>
      </c>
      <c r="G3928" s="13" t="e">
        <f t="shared" si="246"/>
        <v>#VALUE!</v>
      </c>
      <c r="J3928" t="str">
        <f>MAIN!A3933&amp;"B"</f>
        <v>B</v>
      </c>
      <c r="K3928" s="12" t="e">
        <f t="shared" si="247"/>
        <v>#VALUE!</v>
      </c>
      <c r="L3928" t="str">
        <f>MAIN!C3933</f>
        <v/>
      </c>
    </row>
    <row r="3929" spans="1:12" x14ac:dyDescent="0.3">
      <c r="A3929">
        <f>IF(J3929="0",0,IF(COUNTIF($J$2:J3929,J3929)=1,1,0))</f>
        <v>0</v>
      </c>
      <c r="B3929" s="12" t="e">
        <f>MID(MAIN!A3934,K3929,2)</f>
        <v>#VALUE!</v>
      </c>
      <c r="C3929" s="12" t="e">
        <f t="shared" si="244"/>
        <v>#VALUE!</v>
      </c>
      <c r="D3929" s="12" t="e">
        <f>MID(MAIN!A3934,K3929+2,2)</f>
        <v>#VALUE!</v>
      </c>
      <c r="E3929" s="12" t="e">
        <f>MID(MAIN!A3934,K3929+4,2)</f>
        <v>#VALUE!</v>
      </c>
      <c r="F3929" s="2" t="e">
        <f t="shared" si="245"/>
        <v>#VALUE!</v>
      </c>
      <c r="G3929" s="13" t="e">
        <f t="shared" si="246"/>
        <v>#VALUE!</v>
      </c>
      <c r="J3929" t="str">
        <f>MAIN!A3934&amp;"B"</f>
        <v>B</v>
      </c>
      <c r="K3929" s="12" t="e">
        <f t="shared" si="247"/>
        <v>#VALUE!</v>
      </c>
      <c r="L3929" t="str">
        <f>MAIN!C3934</f>
        <v/>
      </c>
    </row>
    <row r="3930" spans="1:12" x14ac:dyDescent="0.3">
      <c r="A3930">
        <f>IF(J3930="0",0,IF(COUNTIF($J$2:J3930,J3930)=1,1,0))</f>
        <v>0</v>
      </c>
      <c r="B3930" s="12" t="e">
        <f>MID(MAIN!A3935,K3930,2)</f>
        <v>#VALUE!</v>
      </c>
      <c r="C3930" s="12" t="e">
        <f t="shared" si="244"/>
        <v>#VALUE!</v>
      </c>
      <c r="D3930" s="12" t="e">
        <f>MID(MAIN!A3935,K3930+2,2)</f>
        <v>#VALUE!</v>
      </c>
      <c r="E3930" s="12" t="e">
        <f>MID(MAIN!A3935,K3930+4,2)</f>
        <v>#VALUE!</v>
      </c>
      <c r="F3930" s="2" t="e">
        <f t="shared" si="245"/>
        <v>#VALUE!</v>
      </c>
      <c r="G3930" s="13" t="e">
        <f t="shared" si="246"/>
        <v>#VALUE!</v>
      </c>
      <c r="J3930" t="str">
        <f>MAIN!A3935&amp;"B"</f>
        <v>B</v>
      </c>
      <c r="K3930" s="12" t="e">
        <f t="shared" si="247"/>
        <v>#VALUE!</v>
      </c>
      <c r="L3930" t="str">
        <f>MAIN!C3935</f>
        <v/>
      </c>
    </row>
    <row r="3931" spans="1:12" x14ac:dyDescent="0.3">
      <c r="A3931">
        <f>IF(J3931="0",0,IF(COUNTIF($J$2:J3931,J3931)=1,1,0))</f>
        <v>0</v>
      </c>
      <c r="B3931" s="12" t="e">
        <f>MID(MAIN!A3936,K3931,2)</f>
        <v>#VALUE!</v>
      </c>
      <c r="C3931" s="12" t="e">
        <f t="shared" si="244"/>
        <v>#VALUE!</v>
      </c>
      <c r="D3931" s="12" t="e">
        <f>MID(MAIN!A3936,K3931+2,2)</f>
        <v>#VALUE!</v>
      </c>
      <c r="E3931" s="12" t="e">
        <f>MID(MAIN!A3936,K3931+4,2)</f>
        <v>#VALUE!</v>
      </c>
      <c r="F3931" s="2" t="e">
        <f t="shared" si="245"/>
        <v>#VALUE!</v>
      </c>
      <c r="G3931" s="13" t="e">
        <f t="shared" si="246"/>
        <v>#VALUE!</v>
      </c>
      <c r="J3931" t="str">
        <f>MAIN!A3936&amp;"B"</f>
        <v>B</v>
      </c>
      <c r="K3931" s="12" t="e">
        <f t="shared" si="247"/>
        <v>#VALUE!</v>
      </c>
      <c r="L3931" t="str">
        <f>MAIN!C3936</f>
        <v/>
      </c>
    </row>
    <row r="3932" spans="1:12" x14ac:dyDescent="0.3">
      <c r="A3932">
        <f>IF(J3932="0",0,IF(COUNTIF($J$2:J3932,J3932)=1,1,0))</f>
        <v>0</v>
      </c>
      <c r="B3932" s="12" t="e">
        <f>MID(MAIN!A3937,K3932,2)</f>
        <v>#VALUE!</v>
      </c>
      <c r="C3932" s="12" t="e">
        <f t="shared" si="244"/>
        <v>#VALUE!</v>
      </c>
      <c r="D3932" s="12" t="e">
        <f>MID(MAIN!A3937,K3932+2,2)</f>
        <v>#VALUE!</v>
      </c>
      <c r="E3932" s="12" t="e">
        <f>MID(MAIN!A3937,K3932+4,2)</f>
        <v>#VALUE!</v>
      </c>
      <c r="F3932" s="2" t="e">
        <f t="shared" si="245"/>
        <v>#VALUE!</v>
      </c>
      <c r="G3932" s="13" t="e">
        <f t="shared" si="246"/>
        <v>#VALUE!</v>
      </c>
      <c r="J3932" t="str">
        <f>MAIN!A3937&amp;"B"</f>
        <v>B</v>
      </c>
      <c r="K3932" s="12" t="e">
        <f t="shared" si="247"/>
        <v>#VALUE!</v>
      </c>
      <c r="L3932" t="str">
        <f>MAIN!C3937</f>
        <v/>
      </c>
    </row>
    <row r="3933" spans="1:12" x14ac:dyDescent="0.3">
      <c r="A3933">
        <f>IF(J3933="0",0,IF(COUNTIF($J$2:J3933,J3933)=1,1,0))</f>
        <v>0</v>
      </c>
      <c r="B3933" s="12" t="e">
        <f>MID(MAIN!A3938,K3933,2)</f>
        <v>#VALUE!</v>
      </c>
      <c r="C3933" s="12" t="e">
        <f t="shared" si="244"/>
        <v>#VALUE!</v>
      </c>
      <c r="D3933" s="12" t="e">
        <f>MID(MAIN!A3938,K3933+2,2)</f>
        <v>#VALUE!</v>
      </c>
      <c r="E3933" s="12" t="e">
        <f>MID(MAIN!A3938,K3933+4,2)</f>
        <v>#VALUE!</v>
      </c>
      <c r="F3933" s="2" t="e">
        <f t="shared" si="245"/>
        <v>#VALUE!</v>
      </c>
      <c r="G3933" s="13" t="e">
        <f t="shared" si="246"/>
        <v>#VALUE!</v>
      </c>
      <c r="J3933" t="str">
        <f>MAIN!A3938&amp;"B"</f>
        <v>B</v>
      </c>
      <c r="K3933" s="12" t="e">
        <f t="shared" si="247"/>
        <v>#VALUE!</v>
      </c>
      <c r="L3933" t="str">
        <f>MAIN!C3938</f>
        <v/>
      </c>
    </row>
    <row r="3934" spans="1:12" x14ac:dyDescent="0.3">
      <c r="A3934">
        <f>IF(J3934="0",0,IF(COUNTIF($J$2:J3934,J3934)=1,1,0))</f>
        <v>0</v>
      </c>
      <c r="B3934" s="12" t="e">
        <f>MID(MAIN!A3939,K3934,2)</f>
        <v>#VALUE!</v>
      </c>
      <c r="C3934" s="12" t="e">
        <f t="shared" si="244"/>
        <v>#VALUE!</v>
      </c>
      <c r="D3934" s="12" t="e">
        <f>MID(MAIN!A3939,K3934+2,2)</f>
        <v>#VALUE!</v>
      </c>
      <c r="E3934" s="12" t="e">
        <f>MID(MAIN!A3939,K3934+4,2)</f>
        <v>#VALUE!</v>
      </c>
      <c r="F3934" s="2" t="e">
        <f t="shared" si="245"/>
        <v>#VALUE!</v>
      </c>
      <c r="G3934" s="13" t="e">
        <f t="shared" si="246"/>
        <v>#VALUE!</v>
      </c>
      <c r="J3934" t="str">
        <f>MAIN!A3939&amp;"B"</f>
        <v>B</v>
      </c>
      <c r="K3934" s="12" t="e">
        <f t="shared" si="247"/>
        <v>#VALUE!</v>
      </c>
      <c r="L3934" t="str">
        <f>MAIN!C3939</f>
        <v/>
      </c>
    </row>
    <row r="3935" spans="1:12" x14ac:dyDescent="0.3">
      <c r="A3935">
        <f>IF(J3935="0",0,IF(COUNTIF($J$2:J3935,J3935)=1,1,0))</f>
        <v>0</v>
      </c>
      <c r="B3935" s="12" t="e">
        <f>MID(MAIN!A3940,K3935,2)</f>
        <v>#VALUE!</v>
      </c>
      <c r="C3935" s="12" t="e">
        <f t="shared" si="244"/>
        <v>#VALUE!</v>
      </c>
      <c r="D3935" s="12" t="e">
        <f>MID(MAIN!A3940,K3935+2,2)</f>
        <v>#VALUE!</v>
      </c>
      <c r="E3935" s="12" t="e">
        <f>MID(MAIN!A3940,K3935+4,2)</f>
        <v>#VALUE!</v>
      </c>
      <c r="F3935" s="2" t="e">
        <f t="shared" si="245"/>
        <v>#VALUE!</v>
      </c>
      <c r="G3935" s="13" t="e">
        <f t="shared" si="246"/>
        <v>#VALUE!</v>
      </c>
      <c r="J3935" t="str">
        <f>MAIN!A3940&amp;"B"</f>
        <v>B</v>
      </c>
      <c r="K3935" s="12" t="e">
        <f t="shared" si="247"/>
        <v>#VALUE!</v>
      </c>
      <c r="L3935" t="str">
        <f>MAIN!C3940</f>
        <v/>
      </c>
    </row>
    <row r="3936" spans="1:12" x14ac:dyDescent="0.3">
      <c r="A3936">
        <f>IF(J3936="0",0,IF(COUNTIF($J$2:J3936,J3936)=1,1,0))</f>
        <v>0</v>
      </c>
      <c r="B3936" s="12" t="e">
        <f>MID(MAIN!A3941,K3936,2)</f>
        <v>#VALUE!</v>
      </c>
      <c r="C3936" s="12" t="e">
        <f t="shared" si="244"/>
        <v>#VALUE!</v>
      </c>
      <c r="D3936" s="12" t="e">
        <f>MID(MAIN!A3941,K3936+2,2)</f>
        <v>#VALUE!</v>
      </c>
      <c r="E3936" s="12" t="e">
        <f>MID(MAIN!A3941,K3936+4,2)</f>
        <v>#VALUE!</v>
      </c>
      <c r="F3936" s="2" t="e">
        <f t="shared" si="245"/>
        <v>#VALUE!</v>
      </c>
      <c r="G3936" s="13" t="e">
        <f t="shared" si="246"/>
        <v>#VALUE!</v>
      </c>
      <c r="J3936" t="str">
        <f>MAIN!A3941&amp;"B"</f>
        <v>B</v>
      </c>
      <c r="K3936" s="12" t="e">
        <f t="shared" si="247"/>
        <v>#VALUE!</v>
      </c>
      <c r="L3936" t="str">
        <f>MAIN!C3941</f>
        <v/>
      </c>
    </row>
    <row r="3937" spans="1:12" x14ac:dyDescent="0.3">
      <c r="A3937">
        <f>IF(J3937="0",0,IF(COUNTIF($J$2:J3937,J3937)=1,1,0))</f>
        <v>0</v>
      </c>
      <c r="B3937" s="12" t="e">
        <f>MID(MAIN!A3942,K3937,2)</f>
        <v>#VALUE!</v>
      </c>
      <c r="C3937" s="12" t="e">
        <f t="shared" si="244"/>
        <v>#VALUE!</v>
      </c>
      <c r="D3937" s="12" t="e">
        <f>MID(MAIN!A3942,K3937+2,2)</f>
        <v>#VALUE!</v>
      </c>
      <c r="E3937" s="12" t="e">
        <f>MID(MAIN!A3942,K3937+4,2)</f>
        <v>#VALUE!</v>
      </c>
      <c r="F3937" s="2" t="e">
        <f t="shared" si="245"/>
        <v>#VALUE!</v>
      </c>
      <c r="G3937" s="13" t="e">
        <f t="shared" si="246"/>
        <v>#VALUE!</v>
      </c>
      <c r="J3937" t="str">
        <f>MAIN!A3942&amp;"B"</f>
        <v>B</v>
      </c>
      <c r="K3937" s="12" t="e">
        <f t="shared" si="247"/>
        <v>#VALUE!</v>
      </c>
      <c r="L3937" t="str">
        <f>MAIN!C3942</f>
        <v/>
      </c>
    </row>
    <row r="3938" spans="1:12" x14ac:dyDescent="0.3">
      <c r="A3938">
        <f>IF(J3938="0",0,IF(COUNTIF($J$2:J3938,J3938)=1,1,0))</f>
        <v>0</v>
      </c>
      <c r="B3938" s="12" t="e">
        <f>MID(MAIN!A3943,K3938,2)</f>
        <v>#VALUE!</v>
      </c>
      <c r="C3938" s="12" t="e">
        <f t="shared" si="244"/>
        <v>#VALUE!</v>
      </c>
      <c r="D3938" s="12" t="e">
        <f>MID(MAIN!A3943,K3938+2,2)</f>
        <v>#VALUE!</v>
      </c>
      <c r="E3938" s="12" t="e">
        <f>MID(MAIN!A3943,K3938+4,2)</f>
        <v>#VALUE!</v>
      </c>
      <c r="F3938" s="2" t="e">
        <f t="shared" si="245"/>
        <v>#VALUE!</v>
      </c>
      <c r="G3938" s="13" t="e">
        <f t="shared" si="246"/>
        <v>#VALUE!</v>
      </c>
      <c r="J3938" t="str">
        <f>MAIN!A3943&amp;"B"</f>
        <v>B</v>
      </c>
      <c r="K3938" s="12" t="e">
        <f t="shared" si="247"/>
        <v>#VALUE!</v>
      </c>
      <c r="L3938" t="str">
        <f>MAIN!C3943</f>
        <v/>
      </c>
    </row>
    <row r="3939" spans="1:12" x14ac:dyDescent="0.3">
      <c r="A3939">
        <f>IF(J3939="0",0,IF(COUNTIF($J$2:J3939,J3939)=1,1,0))</f>
        <v>0</v>
      </c>
      <c r="B3939" s="12" t="e">
        <f>MID(MAIN!A3944,K3939,2)</f>
        <v>#VALUE!</v>
      </c>
      <c r="C3939" s="12" t="e">
        <f t="shared" si="244"/>
        <v>#VALUE!</v>
      </c>
      <c r="D3939" s="12" t="e">
        <f>MID(MAIN!A3944,K3939+2,2)</f>
        <v>#VALUE!</v>
      </c>
      <c r="E3939" s="12" t="e">
        <f>MID(MAIN!A3944,K3939+4,2)</f>
        <v>#VALUE!</v>
      </c>
      <c r="F3939" s="2" t="e">
        <f t="shared" si="245"/>
        <v>#VALUE!</v>
      </c>
      <c r="G3939" s="13" t="e">
        <f t="shared" si="246"/>
        <v>#VALUE!</v>
      </c>
      <c r="J3939" t="str">
        <f>MAIN!A3944&amp;"B"</f>
        <v>B</v>
      </c>
      <c r="K3939" s="12" t="e">
        <f t="shared" si="247"/>
        <v>#VALUE!</v>
      </c>
      <c r="L3939" t="str">
        <f>MAIN!C3944</f>
        <v/>
      </c>
    </row>
    <row r="3940" spans="1:12" x14ac:dyDescent="0.3">
      <c r="A3940">
        <f>IF(J3940="0",0,IF(COUNTIF($J$2:J3940,J3940)=1,1,0))</f>
        <v>0</v>
      </c>
      <c r="B3940" s="12" t="e">
        <f>MID(MAIN!A3945,K3940,2)</f>
        <v>#VALUE!</v>
      </c>
      <c r="C3940" s="12" t="e">
        <f t="shared" si="244"/>
        <v>#VALUE!</v>
      </c>
      <c r="D3940" s="12" t="e">
        <f>MID(MAIN!A3945,K3940+2,2)</f>
        <v>#VALUE!</v>
      </c>
      <c r="E3940" s="12" t="e">
        <f>MID(MAIN!A3945,K3940+4,2)</f>
        <v>#VALUE!</v>
      </c>
      <c r="F3940" s="2" t="e">
        <f t="shared" si="245"/>
        <v>#VALUE!</v>
      </c>
      <c r="G3940" s="13" t="e">
        <f t="shared" si="246"/>
        <v>#VALUE!</v>
      </c>
      <c r="J3940" t="str">
        <f>MAIN!A3945&amp;"B"</f>
        <v>B</v>
      </c>
      <c r="K3940" s="12" t="e">
        <f t="shared" si="247"/>
        <v>#VALUE!</v>
      </c>
      <c r="L3940" t="str">
        <f>MAIN!C3945</f>
        <v/>
      </c>
    </row>
    <row r="3941" spans="1:12" x14ac:dyDescent="0.3">
      <c r="A3941">
        <f>IF(J3941="0",0,IF(COUNTIF($J$2:J3941,J3941)=1,1,0))</f>
        <v>0</v>
      </c>
      <c r="B3941" s="12" t="e">
        <f>MID(MAIN!A3946,K3941,2)</f>
        <v>#VALUE!</v>
      </c>
      <c r="C3941" s="12" t="e">
        <f t="shared" si="244"/>
        <v>#VALUE!</v>
      </c>
      <c r="D3941" s="12" t="e">
        <f>MID(MAIN!A3946,K3941+2,2)</f>
        <v>#VALUE!</v>
      </c>
      <c r="E3941" s="12" t="e">
        <f>MID(MAIN!A3946,K3941+4,2)</f>
        <v>#VALUE!</v>
      </c>
      <c r="F3941" s="2" t="e">
        <f t="shared" si="245"/>
        <v>#VALUE!</v>
      </c>
      <c r="G3941" s="13" t="e">
        <f t="shared" si="246"/>
        <v>#VALUE!</v>
      </c>
      <c r="J3941" t="str">
        <f>MAIN!A3946&amp;"B"</f>
        <v>B</v>
      </c>
      <c r="K3941" s="12" t="e">
        <f t="shared" si="247"/>
        <v>#VALUE!</v>
      </c>
      <c r="L3941" t="str">
        <f>MAIN!C3946</f>
        <v/>
      </c>
    </row>
    <row r="3942" spans="1:12" x14ac:dyDescent="0.3">
      <c r="A3942">
        <f>IF(J3942="0",0,IF(COUNTIF($J$2:J3942,J3942)=1,1,0))</f>
        <v>0</v>
      </c>
      <c r="B3942" s="12" t="e">
        <f>MID(MAIN!A3947,K3942,2)</f>
        <v>#VALUE!</v>
      </c>
      <c r="C3942" s="12" t="e">
        <f t="shared" si="244"/>
        <v>#VALUE!</v>
      </c>
      <c r="D3942" s="12" t="e">
        <f>MID(MAIN!A3947,K3942+2,2)</f>
        <v>#VALUE!</v>
      </c>
      <c r="E3942" s="12" t="e">
        <f>MID(MAIN!A3947,K3942+4,2)</f>
        <v>#VALUE!</v>
      </c>
      <c r="F3942" s="2" t="e">
        <f t="shared" si="245"/>
        <v>#VALUE!</v>
      </c>
      <c r="G3942" s="13" t="e">
        <f t="shared" si="246"/>
        <v>#VALUE!</v>
      </c>
      <c r="J3942" t="str">
        <f>MAIN!A3947&amp;"B"</f>
        <v>B</v>
      </c>
      <c r="K3942" s="12" t="e">
        <f t="shared" si="247"/>
        <v>#VALUE!</v>
      </c>
      <c r="L3942" t="str">
        <f>MAIN!C3947</f>
        <v/>
      </c>
    </row>
    <row r="3943" spans="1:12" x14ac:dyDescent="0.3">
      <c r="A3943">
        <f>IF(J3943="0",0,IF(COUNTIF($J$2:J3943,J3943)=1,1,0))</f>
        <v>0</v>
      </c>
      <c r="B3943" s="12" t="e">
        <f>MID(MAIN!A3948,K3943,2)</f>
        <v>#VALUE!</v>
      </c>
      <c r="C3943" s="12" t="e">
        <f t="shared" si="244"/>
        <v>#VALUE!</v>
      </c>
      <c r="D3943" s="12" t="e">
        <f>MID(MAIN!A3948,K3943+2,2)</f>
        <v>#VALUE!</v>
      </c>
      <c r="E3943" s="12" t="e">
        <f>MID(MAIN!A3948,K3943+4,2)</f>
        <v>#VALUE!</v>
      </c>
      <c r="F3943" s="2" t="e">
        <f t="shared" si="245"/>
        <v>#VALUE!</v>
      </c>
      <c r="G3943" s="13" t="e">
        <f t="shared" si="246"/>
        <v>#VALUE!</v>
      </c>
      <c r="J3943" t="str">
        <f>MAIN!A3948&amp;"B"</f>
        <v>B</v>
      </c>
      <c r="K3943" s="12" t="e">
        <f t="shared" si="247"/>
        <v>#VALUE!</v>
      </c>
      <c r="L3943" t="str">
        <f>MAIN!C3948</f>
        <v/>
      </c>
    </row>
    <row r="3944" spans="1:12" x14ac:dyDescent="0.3">
      <c r="A3944">
        <f>IF(J3944="0",0,IF(COUNTIF($J$2:J3944,J3944)=1,1,0))</f>
        <v>0</v>
      </c>
      <c r="B3944" s="12" t="e">
        <f>MID(MAIN!A3949,K3944,2)</f>
        <v>#VALUE!</v>
      </c>
      <c r="C3944" s="12" t="e">
        <f t="shared" si="244"/>
        <v>#VALUE!</v>
      </c>
      <c r="D3944" s="12" t="e">
        <f>MID(MAIN!A3949,K3944+2,2)</f>
        <v>#VALUE!</v>
      </c>
      <c r="E3944" s="12" t="e">
        <f>MID(MAIN!A3949,K3944+4,2)</f>
        <v>#VALUE!</v>
      </c>
      <c r="F3944" s="2" t="e">
        <f t="shared" si="245"/>
        <v>#VALUE!</v>
      </c>
      <c r="G3944" s="13" t="e">
        <f t="shared" si="246"/>
        <v>#VALUE!</v>
      </c>
      <c r="J3944" t="str">
        <f>MAIN!A3949&amp;"B"</f>
        <v>B</v>
      </c>
      <c r="K3944" s="12" t="e">
        <f t="shared" si="247"/>
        <v>#VALUE!</v>
      </c>
      <c r="L3944" t="str">
        <f>MAIN!C3949</f>
        <v/>
      </c>
    </row>
    <row r="3945" spans="1:12" x14ac:dyDescent="0.3">
      <c r="A3945">
        <f>IF(J3945="0",0,IF(COUNTIF($J$2:J3945,J3945)=1,1,0))</f>
        <v>0</v>
      </c>
      <c r="B3945" s="12" t="e">
        <f>MID(MAIN!A3950,K3945,2)</f>
        <v>#VALUE!</v>
      </c>
      <c r="C3945" s="12" t="e">
        <f t="shared" si="244"/>
        <v>#VALUE!</v>
      </c>
      <c r="D3945" s="12" t="e">
        <f>MID(MAIN!A3950,K3945+2,2)</f>
        <v>#VALUE!</v>
      </c>
      <c r="E3945" s="12" t="e">
        <f>MID(MAIN!A3950,K3945+4,2)</f>
        <v>#VALUE!</v>
      </c>
      <c r="F3945" s="2" t="e">
        <f t="shared" si="245"/>
        <v>#VALUE!</v>
      </c>
      <c r="G3945" s="13" t="e">
        <f t="shared" si="246"/>
        <v>#VALUE!</v>
      </c>
      <c r="J3945" t="str">
        <f>MAIN!A3950&amp;"B"</f>
        <v>B</v>
      </c>
      <c r="K3945" s="12" t="e">
        <f t="shared" si="247"/>
        <v>#VALUE!</v>
      </c>
      <c r="L3945" t="str">
        <f>MAIN!C3950</f>
        <v/>
      </c>
    </row>
    <row r="3946" spans="1:12" x14ac:dyDescent="0.3">
      <c r="A3946">
        <f>IF(J3946="0",0,IF(COUNTIF($J$2:J3946,J3946)=1,1,0))</f>
        <v>0</v>
      </c>
      <c r="B3946" s="12" t="e">
        <f>MID(MAIN!A3951,K3946,2)</f>
        <v>#VALUE!</v>
      </c>
      <c r="C3946" s="12" t="e">
        <f t="shared" si="244"/>
        <v>#VALUE!</v>
      </c>
      <c r="D3946" s="12" t="e">
        <f>MID(MAIN!A3951,K3946+2,2)</f>
        <v>#VALUE!</v>
      </c>
      <c r="E3946" s="12" t="e">
        <f>MID(MAIN!A3951,K3946+4,2)</f>
        <v>#VALUE!</v>
      </c>
      <c r="F3946" s="2" t="e">
        <f t="shared" si="245"/>
        <v>#VALUE!</v>
      </c>
      <c r="G3946" s="13" t="e">
        <f t="shared" si="246"/>
        <v>#VALUE!</v>
      </c>
      <c r="J3946" t="str">
        <f>MAIN!A3951&amp;"B"</f>
        <v>B</v>
      </c>
      <c r="K3946" s="12" t="e">
        <f t="shared" si="247"/>
        <v>#VALUE!</v>
      </c>
      <c r="L3946" t="str">
        <f>MAIN!C3951</f>
        <v/>
      </c>
    </row>
    <row r="3947" spans="1:12" x14ac:dyDescent="0.3">
      <c r="A3947">
        <f>IF(J3947="0",0,IF(COUNTIF($J$2:J3947,J3947)=1,1,0))</f>
        <v>0</v>
      </c>
      <c r="B3947" s="12" t="e">
        <f>MID(MAIN!A3952,K3947,2)</f>
        <v>#VALUE!</v>
      </c>
      <c r="C3947" s="12" t="e">
        <f t="shared" si="244"/>
        <v>#VALUE!</v>
      </c>
      <c r="D3947" s="12" t="e">
        <f>MID(MAIN!A3952,K3947+2,2)</f>
        <v>#VALUE!</v>
      </c>
      <c r="E3947" s="12" t="e">
        <f>MID(MAIN!A3952,K3947+4,2)</f>
        <v>#VALUE!</v>
      </c>
      <c r="F3947" s="2" t="e">
        <f t="shared" si="245"/>
        <v>#VALUE!</v>
      </c>
      <c r="G3947" s="13" t="e">
        <f t="shared" si="246"/>
        <v>#VALUE!</v>
      </c>
      <c r="J3947" t="str">
        <f>MAIN!A3952&amp;"B"</f>
        <v>B</v>
      </c>
      <c r="K3947" s="12" t="e">
        <f t="shared" si="247"/>
        <v>#VALUE!</v>
      </c>
      <c r="L3947" t="str">
        <f>MAIN!C3952</f>
        <v/>
      </c>
    </row>
    <row r="3948" spans="1:12" x14ac:dyDescent="0.3">
      <c r="A3948">
        <f>IF(J3948="0",0,IF(COUNTIF($J$2:J3948,J3948)=1,1,0))</f>
        <v>0</v>
      </c>
      <c r="B3948" s="12" t="e">
        <f>MID(MAIN!A3953,K3948,2)</f>
        <v>#VALUE!</v>
      </c>
      <c r="C3948" s="12" t="e">
        <f t="shared" si="244"/>
        <v>#VALUE!</v>
      </c>
      <c r="D3948" s="12" t="e">
        <f>MID(MAIN!A3953,K3948+2,2)</f>
        <v>#VALUE!</v>
      </c>
      <c r="E3948" s="12" t="e">
        <f>MID(MAIN!A3953,K3948+4,2)</f>
        <v>#VALUE!</v>
      </c>
      <c r="F3948" s="2" t="e">
        <f t="shared" si="245"/>
        <v>#VALUE!</v>
      </c>
      <c r="G3948" s="13" t="e">
        <f t="shared" si="246"/>
        <v>#VALUE!</v>
      </c>
      <c r="J3948" t="str">
        <f>MAIN!A3953&amp;"B"</f>
        <v>B</v>
      </c>
      <c r="K3948" s="12" t="e">
        <f t="shared" si="247"/>
        <v>#VALUE!</v>
      </c>
      <c r="L3948" t="str">
        <f>MAIN!C3953</f>
        <v/>
      </c>
    </row>
    <row r="3949" spans="1:12" x14ac:dyDescent="0.3">
      <c r="A3949">
        <f>IF(J3949="0",0,IF(COUNTIF($J$2:J3949,J3949)=1,1,0))</f>
        <v>0</v>
      </c>
      <c r="B3949" s="12" t="e">
        <f>MID(MAIN!A3954,K3949,2)</f>
        <v>#VALUE!</v>
      </c>
      <c r="C3949" s="12" t="e">
        <f t="shared" si="244"/>
        <v>#VALUE!</v>
      </c>
      <c r="D3949" s="12" t="e">
        <f>MID(MAIN!A3954,K3949+2,2)</f>
        <v>#VALUE!</v>
      </c>
      <c r="E3949" s="12" t="e">
        <f>MID(MAIN!A3954,K3949+4,2)</f>
        <v>#VALUE!</v>
      </c>
      <c r="F3949" s="2" t="e">
        <f t="shared" si="245"/>
        <v>#VALUE!</v>
      </c>
      <c r="G3949" s="13" t="e">
        <f t="shared" si="246"/>
        <v>#VALUE!</v>
      </c>
      <c r="J3949" t="str">
        <f>MAIN!A3954&amp;"B"</f>
        <v>B</v>
      </c>
      <c r="K3949" s="12" t="e">
        <f t="shared" si="247"/>
        <v>#VALUE!</v>
      </c>
      <c r="L3949" t="str">
        <f>MAIN!C3954</f>
        <v/>
      </c>
    </row>
    <row r="3950" spans="1:12" x14ac:dyDescent="0.3">
      <c r="A3950">
        <f>IF(J3950="0",0,IF(COUNTIF($J$2:J3950,J3950)=1,1,0))</f>
        <v>0</v>
      </c>
      <c r="B3950" s="12" t="e">
        <f>MID(MAIN!A3955,K3950,2)</f>
        <v>#VALUE!</v>
      </c>
      <c r="C3950" s="12" t="e">
        <f t="shared" si="244"/>
        <v>#VALUE!</v>
      </c>
      <c r="D3950" s="12" t="e">
        <f>MID(MAIN!A3955,K3950+2,2)</f>
        <v>#VALUE!</v>
      </c>
      <c r="E3950" s="12" t="e">
        <f>MID(MAIN!A3955,K3950+4,2)</f>
        <v>#VALUE!</v>
      </c>
      <c r="F3950" s="2" t="e">
        <f t="shared" si="245"/>
        <v>#VALUE!</v>
      </c>
      <c r="G3950" s="13" t="e">
        <f t="shared" si="246"/>
        <v>#VALUE!</v>
      </c>
      <c r="J3950" t="str">
        <f>MAIN!A3955&amp;"B"</f>
        <v>B</v>
      </c>
      <c r="K3950" s="12" t="e">
        <f t="shared" si="247"/>
        <v>#VALUE!</v>
      </c>
      <c r="L3950" t="str">
        <f>MAIN!C3955</f>
        <v/>
      </c>
    </row>
    <row r="3951" spans="1:12" x14ac:dyDescent="0.3">
      <c r="A3951">
        <f>IF(J3951="0",0,IF(COUNTIF($J$2:J3951,J3951)=1,1,0))</f>
        <v>0</v>
      </c>
      <c r="B3951" s="12" t="e">
        <f>MID(MAIN!A3956,K3951,2)</f>
        <v>#VALUE!</v>
      </c>
      <c r="C3951" s="12" t="e">
        <f t="shared" si="244"/>
        <v>#VALUE!</v>
      </c>
      <c r="D3951" s="12" t="e">
        <f>MID(MAIN!A3956,K3951+2,2)</f>
        <v>#VALUE!</v>
      </c>
      <c r="E3951" s="12" t="e">
        <f>MID(MAIN!A3956,K3951+4,2)</f>
        <v>#VALUE!</v>
      </c>
      <c r="F3951" s="2" t="e">
        <f t="shared" si="245"/>
        <v>#VALUE!</v>
      </c>
      <c r="G3951" s="13" t="e">
        <f t="shared" si="246"/>
        <v>#VALUE!</v>
      </c>
      <c r="J3951" t="str">
        <f>MAIN!A3956&amp;"B"</f>
        <v>B</v>
      </c>
      <c r="K3951" s="12" t="e">
        <f t="shared" si="247"/>
        <v>#VALUE!</v>
      </c>
      <c r="L3951" t="str">
        <f>MAIN!C3956</f>
        <v/>
      </c>
    </row>
    <row r="3952" spans="1:12" x14ac:dyDescent="0.3">
      <c r="A3952">
        <f>IF(J3952="0",0,IF(COUNTIF($J$2:J3952,J3952)=1,1,0))</f>
        <v>0</v>
      </c>
      <c r="B3952" s="12" t="e">
        <f>MID(MAIN!A3957,K3952,2)</f>
        <v>#VALUE!</v>
      </c>
      <c r="C3952" s="12" t="e">
        <f t="shared" si="244"/>
        <v>#VALUE!</v>
      </c>
      <c r="D3952" s="12" t="e">
        <f>MID(MAIN!A3957,K3952+2,2)</f>
        <v>#VALUE!</v>
      </c>
      <c r="E3952" s="12" t="e">
        <f>MID(MAIN!A3957,K3952+4,2)</f>
        <v>#VALUE!</v>
      </c>
      <c r="F3952" s="2" t="e">
        <f t="shared" si="245"/>
        <v>#VALUE!</v>
      </c>
      <c r="G3952" s="13" t="e">
        <f t="shared" si="246"/>
        <v>#VALUE!</v>
      </c>
      <c r="J3952" t="str">
        <f>MAIN!A3957&amp;"B"</f>
        <v>B</v>
      </c>
      <c r="K3952" s="12" t="e">
        <f t="shared" si="247"/>
        <v>#VALUE!</v>
      </c>
      <c r="L3952" t="str">
        <f>MAIN!C3957</f>
        <v/>
      </c>
    </row>
    <row r="3953" spans="1:12" x14ac:dyDescent="0.3">
      <c r="A3953">
        <f>IF(J3953="0",0,IF(COUNTIF($J$2:J3953,J3953)=1,1,0))</f>
        <v>0</v>
      </c>
      <c r="B3953" s="12" t="e">
        <f>MID(MAIN!A3958,K3953,2)</f>
        <v>#VALUE!</v>
      </c>
      <c r="C3953" s="12" t="e">
        <f t="shared" si="244"/>
        <v>#VALUE!</v>
      </c>
      <c r="D3953" s="12" t="e">
        <f>MID(MAIN!A3958,K3953+2,2)</f>
        <v>#VALUE!</v>
      </c>
      <c r="E3953" s="12" t="e">
        <f>MID(MAIN!A3958,K3953+4,2)</f>
        <v>#VALUE!</v>
      </c>
      <c r="F3953" s="2" t="e">
        <f t="shared" si="245"/>
        <v>#VALUE!</v>
      </c>
      <c r="G3953" s="13" t="e">
        <f t="shared" si="246"/>
        <v>#VALUE!</v>
      </c>
      <c r="J3953" t="str">
        <f>MAIN!A3958&amp;"B"</f>
        <v>B</v>
      </c>
      <c r="K3953" s="12" t="e">
        <f t="shared" si="247"/>
        <v>#VALUE!</v>
      </c>
      <c r="L3953" t="str">
        <f>MAIN!C3958</f>
        <v/>
      </c>
    </row>
    <row r="3954" spans="1:12" x14ac:dyDescent="0.3">
      <c r="A3954">
        <f>IF(J3954="0",0,IF(COUNTIF($J$2:J3954,J3954)=1,1,0))</f>
        <v>0</v>
      </c>
      <c r="B3954" s="12" t="e">
        <f>MID(MAIN!A3959,K3954,2)</f>
        <v>#VALUE!</v>
      </c>
      <c r="C3954" s="12" t="e">
        <f t="shared" si="244"/>
        <v>#VALUE!</v>
      </c>
      <c r="D3954" s="12" t="e">
        <f>MID(MAIN!A3959,K3954+2,2)</f>
        <v>#VALUE!</v>
      </c>
      <c r="E3954" s="12" t="e">
        <f>MID(MAIN!A3959,K3954+4,2)</f>
        <v>#VALUE!</v>
      </c>
      <c r="F3954" s="2" t="e">
        <f t="shared" si="245"/>
        <v>#VALUE!</v>
      </c>
      <c r="G3954" s="13" t="e">
        <f t="shared" si="246"/>
        <v>#VALUE!</v>
      </c>
      <c r="J3954" t="str">
        <f>MAIN!A3959&amp;"B"</f>
        <v>B</v>
      </c>
      <c r="K3954" s="12" t="e">
        <f t="shared" si="247"/>
        <v>#VALUE!</v>
      </c>
      <c r="L3954" t="str">
        <f>MAIN!C3959</f>
        <v/>
      </c>
    </row>
    <row r="3955" spans="1:12" x14ac:dyDescent="0.3">
      <c r="A3955">
        <f>IF(J3955="0",0,IF(COUNTIF($J$2:J3955,J3955)=1,1,0))</f>
        <v>0</v>
      </c>
      <c r="B3955" s="12" t="e">
        <f>MID(MAIN!A3960,K3955,2)</f>
        <v>#VALUE!</v>
      </c>
      <c r="C3955" s="12" t="e">
        <f t="shared" si="244"/>
        <v>#VALUE!</v>
      </c>
      <c r="D3955" s="12" t="e">
        <f>MID(MAIN!A3960,K3955+2,2)</f>
        <v>#VALUE!</v>
      </c>
      <c r="E3955" s="12" t="e">
        <f>MID(MAIN!A3960,K3955+4,2)</f>
        <v>#VALUE!</v>
      </c>
      <c r="F3955" s="2" t="e">
        <f t="shared" si="245"/>
        <v>#VALUE!</v>
      </c>
      <c r="G3955" s="13" t="e">
        <f t="shared" si="246"/>
        <v>#VALUE!</v>
      </c>
      <c r="J3955" t="str">
        <f>MAIN!A3960&amp;"B"</f>
        <v>B</v>
      </c>
      <c r="K3955" s="12" t="e">
        <f t="shared" si="247"/>
        <v>#VALUE!</v>
      </c>
      <c r="L3955" t="str">
        <f>MAIN!C3960</f>
        <v/>
      </c>
    </row>
    <row r="3956" spans="1:12" x14ac:dyDescent="0.3">
      <c r="A3956">
        <f>IF(J3956="0",0,IF(COUNTIF($J$2:J3956,J3956)=1,1,0))</f>
        <v>0</v>
      </c>
      <c r="B3956" s="12" t="e">
        <f>MID(MAIN!A3961,K3956,2)</f>
        <v>#VALUE!</v>
      </c>
      <c r="C3956" s="12" t="e">
        <f t="shared" si="244"/>
        <v>#VALUE!</v>
      </c>
      <c r="D3956" s="12" t="e">
        <f>MID(MAIN!A3961,K3956+2,2)</f>
        <v>#VALUE!</v>
      </c>
      <c r="E3956" s="12" t="e">
        <f>MID(MAIN!A3961,K3956+4,2)</f>
        <v>#VALUE!</v>
      </c>
      <c r="F3956" s="2" t="e">
        <f t="shared" si="245"/>
        <v>#VALUE!</v>
      </c>
      <c r="G3956" s="13" t="e">
        <f t="shared" si="246"/>
        <v>#VALUE!</v>
      </c>
      <c r="J3956" t="str">
        <f>MAIN!A3961&amp;"B"</f>
        <v>B</v>
      </c>
      <c r="K3956" s="12" t="e">
        <f t="shared" si="247"/>
        <v>#VALUE!</v>
      </c>
      <c r="L3956" t="str">
        <f>MAIN!C3961</f>
        <v/>
      </c>
    </row>
    <row r="3957" spans="1:12" x14ac:dyDescent="0.3">
      <c r="A3957">
        <f>IF(J3957="0",0,IF(COUNTIF($J$2:J3957,J3957)=1,1,0))</f>
        <v>0</v>
      </c>
      <c r="B3957" s="12" t="e">
        <f>MID(MAIN!A3962,K3957,2)</f>
        <v>#VALUE!</v>
      </c>
      <c r="C3957" s="12" t="e">
        <f t="shared" si="244"/>
        <v>#VALUE!</v>
      </c>
      <c r="D3957" s="12" t="e">
        <f>MID(MAIN!A3962,K3957+2,2)</f>
        <v>#VALUE!</v>
      </c>
      <c r="E3957" s="12" t="e">
        <f>MID(MAIN!A3962,K3957+4,2)</f>
        <v>#VALUE!</v>
      </c>
      <c r="F3957" s="2" t="e">
        <f t="shared" si="245"/>
        <v>#VALUE!</v>
      </c>
      <c r="G3957" s="13" t="e">
        <f t="shared" si="246"/>
        <v>#VALUE!</v>
      </c>
      <c r="J3957" t="str">
        <f>MAIN!A3962&amp;"B"</f>
        <v>B</v>
      </c>
      <c r="K3957" s="12" t="e">
        <f t="shared" si="247"/>
        <v>#VALUE!</v>
      </c>
      <c r="L3957" t="str">
        <f>MAIN!C3962</f>
        <v/>
      </c>
    </row>
    <row r="3958" spans="1:12" x14ac:dyDescent="0.3">
      <c r="A3958">
        <f>IF(J3958="0",0,IF(COUNTIF($J$2:J3958,J3958)=1,1,0))</f>
        <v>0</v>
      </c>
      <c r="B3958" s="12" t="e">
        <f>MID(MAIN!A3963,K3958,2)</f>
        <v>#VALUE!</v>
      </c>
      <c r="C3958" s="12" t="e">
        <f t="shared" si="244"/>
        <v>#VALUE!</v>
      </c>
      <c r="D3958" s="12" t="e">
        <f>MID(MAIN!A3963,K3958+2,2)</f>
        <v>#VALUE!</v>
      </c>
      <c r="E3958" s="12" t="e">
        <f>MID(MAIN!A3963,K3958+4,2)</f>
        <v>#VALUE!</v>
      </c>
      <c r="F3958" s="2" t="e">
        <f t="shared" si="245"/>
        <v>#VALUE!</v>
      </c>
      <c r="G3958" s="13" t="e">
        <f t="shared" si="246"/>
        <v>#VALUE!</v>
      </c>
      <c r="J3958" t="str">
        <f>MAIN!A3963&amp;"B"</f>
        <v>B</v>
      </c>
      <c r="K3958" s="12" t="e">
        <f t="shared" si="247"/>
        <v>#VALUE!</v>
      </c>
      <c r="L3958" t="str">
        <f>MAIN!C3963</f>
        <v/>
      </c>
    </row>
    <row r="3959" spans="1:12" x14ac:dyDescent="0.3">
      <c r="A3959">
        <f>IF(J3959="0",0,IF(COUNTIF($J$2:J3959,J3959)=1,1,0))</f>
        <v>0</v>
      </c>
      <c r="B3959" s="12" t="e">
        <f>MID(MAIN!A3964,K3959,2)</f>
        <v>#VALUE!</v>
      </c>
      <c r="C3959" s="12" t="e">
        <f t="shared" si="244"/>
        <v>#VALUE!</v>
      </c>
      <c r="D3959" s="12" t="e">
        <f>MID(MAIN!A3964,K3959+2,2)</f>
        <v>#VALUE!</v>
      </c>
      <c r="E3959" s="12" t="e">
        <f>MID(MAIN!A3964,K3959+4,2)</f>
        <v>#VALUE!</v>
      </c>
      <c r="F3959" s="2" t="e">
        <f t="shared" si="245"/>
        <v>#VALUE!</v>
      </c>
      <c r="G3959" s="13" t="e">
        <f t="shared" si="246"/>
        <v>#VALUE!</v>
      </c>
      <c r="J3959" t="str">
        <f>MAIN!A3964&amp;"B"</f>
        <v>B</v>
      </c>
      <c r="K3959" s="12" t="e">
        <f t="shared" si="247"/>
        <v>#VALUE!</v>
      </c>
      <c r="L3959" t="str">
        <f>MAIN!C3964</f>
        <v/>
      </c>
    </row>
    <row r="3960" spans="1:12" x14ac:dyDescent="0.3">
      <c r="A3960">
        <f>IF(J3960="0",0,IF(COUNTIF($J$2:J3960,J3960)=1,1,0))</f>
        <v>0</v>
      </c>
      <c r="B3960" s="12" t="e">
        <f>MID(MAIN!A3965,K3960,2)</f>
        <v>#VALUE!</v>
      </c>
      <c r="C3960" s="12" t="e">
        <f t="shared" si="244"/>
        <v>#VALUE!</v>
      </c>
      <c r="D3960" s="12" t="e">
        <f>MID(MAIN!A3965,K3960+2,2)</f>
        <v>#VALUE!</v>
      </c>
      <c r="E3960" s="12" t="e">
        <f>MID(MAIN!A3965,K3960+4,2)</f>
        <v>#VALUE!</v>
      </c>
      <c r="F3960" s="2" t="e">
        <f t="shared" si="245"/>
        <v>#VALUE!</v>
      </c>
      <c r="G3960" s="13" t="e">
        <f t="shared" si="246"/>
        <v>#VALUE!</v>
      </c>
      <c r="J3960" t="str">
        <f>MAIN!A3965&amp;"B"</f>
        <v>B</v>
      </c>
      <c r="K3960" s="12" t="e">
        <f t="shared" si="247"/>
        <v>#VALUE!</v>
      </c>
      <c r="L3960" t="str">
        <f>MAIN!C3965</f>
        <v/>
      </c>
    </row>
    <row r="3961" spans="1:12" x14ac:dyDescent="0.3">
      <c r="A3961">
        <f>IF(J3961="0",0,IF(COUNTIF($J$2:J3961,J3961)=1,1,0))</f>
        <v>0</v>
      </c>
      <c r="B3961" s="12" t="e">
        <f>MID(MAIN!A3966,K3961,2)</f>
        <v>#VALUE!</v>
      </c>
      <c r="C3961" s="12" t="e">
        <f t="shared" si="244"/>
        <v>#VALUE!</v>
      </c>
      <c r="D3961" s="12" t="e">
        <f>MID(MAIN!A3966,K3961+2,2)</f>
        <v>#VALUE!</v>
      </c>
      <c r="E3961" s="12" t="e">
        <f>MID(MAIN!A3966,K3961+4,2)</f>
        <v>#VALUE!</v>
      </c>
      <c r="F3961" s="2" t="e">
        <f t="shared" si="245"/>
        <v>#VALUE!</v>
      </c>
      <c r="G3961" s="13" t="e">
        <f t="shared" si="246"/>
        <v>#VALUE!</v>
      </c>
      <c r="J3961" t="str">
        <f>MAIN!A3966&amp;"B"</f>
        <v>B</v>
      </c>
      <c r="K3961" s="12" t="e">
        <f t="shared" si="247"/>
        <v>#VALUE!</v>
      </c>
      <c r="L3961" t="str">
        <f>MAIN!C3966</f>
        <v/>
      </c>
    </row>
    <row r="3962" spans="1:12" x14ac:dyDescent="0.3">
      <c r="A3962">
        <f>IF(J3962="0",0,IF(COUNTIF($J$2:J3962,J3962)=1,1,0))</f>
        <v>0</v>
      </c>
      <c r="B3962" s="12" t="e">
        <f>MID(MAIN!A3967,K3962,2)</f>
        <v>#VALUE!</v>
      </c>
      <c r="C3962" s="12" t="e">
        <f t="shared" si="244"/>
        <v>#VALUE!</v>
      </c>
      <c r="D3962" s="12" t="e">
        <f>MID(MAIN!A3967,K3962+2,2)</f>
        <v>#VALUE!</v>
      </c>
      <c r="E3962" s="12" t="e">
        <f>MID(MAIN!A3967,K3962+4,2)</f>
        <v>#VALUE!</v>
      </c>
      <c r="F3962" s="2" t="e">
        <f t="shared" si="245"/>
        <v>#VALUE!</v>
      </c>
      <c r="G3962" s="13" t="e">
        <f t="shared" si="246"/>
        <v>#VALUE!</v>
      </c>
      <c r="J3962" t="str">
        <f>MAIN!A3967&amp;"B"</f>
        <v>B</v>
      </c>
      <c r="K3962" s="12" t="e">
        <f t="shared" si="247"/>
        <v>#VALUE!</v>
      </c>
      <c r="L3962" t="str">
        <f>MAIN!C3967</f>
        <v/>
      </c>
    </row>
    <row r="3963" spans="1:12" x14ac:dyDescent="0.3">
      <c r="A3963">
        <f>IF(J3963="0",0,IF(COUNTIF($J$2:J3963,J3963)=1,1,0))</f>
        <v>0</v>
      </c>
      <c r="B3963" s="12" t="e">
        <f>MID(MAIN!A3968,K3963,2)</f>
        <v>#VALUE!</v>
      </c>
      <c r="C3963" s="12" t="e">
        <f t="shared" si="244"/>
        <v>#VALUE!</v>
      </c>
      <c r="D3963" s="12" t="e">
        <f>MID(MAIN!A3968,K3963+2,2)</f>
        <v>#VALUE!</v>
      </c>
      <c r="E3963" s="12" t="e">
        <f>MID(MAIN!A3968,K3963+4,2)</f>
        <v>#VALUE!</v>
      </c>
      <c r="F3963" s="2" t="e">
        <f t="shared" si="245"/>
        <v>#VALUE!</v>
      </c>
      <c r="G3963" s="13" t="e">
        <f t="shared" si="246"/>
        <v>#VALUE!</v>
      </c>
      <c r="J3963" t="str">
        <f>MAIN!A3968&amp;"B"</f>
        <v>B</v>
      </c>
      <c r="K3963" s="12" t="e">
        <f t="shared" si="247"/>
        <v>#VALUE!</v>
      </c>
      <c r="L3963" t="str">
        <f>MAIN!C3968</f>
        <v/>
      </c>
    </row>
    <row r="3964" spans="1:12" x14ac:dyDescent="0.3">
      <c r="A3964">
        <f>IF(J3964="0",0,IF(COUNTIF($J$2:J3964,J3964)=1,1,0))</f>
        <v>0</v>
      </c>
      <c r="B3964" s="12" t="e">
        <f>MID(MAIN!A3969,K3964,2)</f>
        <v>#VALUE!</v>
      </c>
      <c r="C3964" s="12" t="e">
        <f t="shared" si="244"/>
        <v>#VALUE!</v>
      </c>
      <c r="D3964" s="12" t="e">
        <f>MID(MAIN!A3969,K3964+2,2)</f>
        <v>#VALUE!</v>
      </c>
      <c r="E3964" s="12" t="e">
        <f>MID(MAIN!A3969,K3964+4,2)</f>
        <v>#VALUE!</v>
      </c>
      <c r="F3964" s="2" t="e">
        <f t="shared" si="245"/>
        <v>#VALUE!</v>
      </c>
      <c r="G3964" s="13" t="e">
        <f t="shared" si="246"/>
        <v>#VALUE!</v>
      </c>
      <c r="J3964" t="str">
        <f>MAIN!A3969&amp;"B"</f>
        <v>B</v>
      </c>
      <c r="K3964" s="12" t="e">
        <f t="shared" si="247"/>
        <v>#VALUE!</v>
      </c>
      <c r="L3964" t="str">
        <f>MAIN!C3969</f>
        <v/>
      </c>
    </row>
    <row r="3965" spans="1:12" x14ac:dyDescent="0.3">
      <c r="A3965">
        <f>IF(J3965="0",0,IF(COUNTIF($J$2:J3965,J3965)=1,1,0))</f>
        <v>0</v>
      </c>
      <c r="B3965" s="12" t="e">
        <f>MID(MAIN!A3970,K3965,2)</f>
        <v>#VALUE!</v>
      </c>
      <c r="C3965" s="12" t="e">
        <f t="shared" si="244"/>
        <v>#VALUE!</v>
      </c>
      <c r="D3965" s="12" t="e">
        <f>MID(MAIN!A3970,K3965+2,2)</f>
        <v>#VALUE!</v>
      </c>
      <c r="E3965" s="12" t="e">
        <f>MID(MAIN!A3970,K3965+4,2)</f>
        <v>#VALUE!</v>
      </c>
      <c r="F3965" s="2" t="e">
        <f t="shared" si="245"/>
        <v>#VALUE!</v>
      </c>
      <c r="G3965" s="13" t="e">
        <f t="shared" si="246"/>
        <v>#VALUE!</v>
      </c>
      <c r="J3965" t="str">
        <f>MAIN!A3970&amp;"B"</f>
        <v>B</v>
      </c>
      <c r="K3965" s="12" t="e">
        <f t="shared" si="247"/>
        <v>#VALUE!</v>
      </c>
      <c r="L3965" t="str">
        <f>MAIN!C3970</f>
        <v/>
      </c>
    </row>
    <row r="3966" spans="1:12" x14ac:dyDescent="0.3">
      <c r="A3966">
        <f>IF(J3966="0",0,IF(COUNTIF($J$2:J3966,J3966)=1,1,0))</f>
        <v>0</v>
      </c>
      <c r="B3966" s="12" t="e">
        <f>MID(MAIN!A3971,K3966,2)</f>
        <v>#VALUE!</v>
      </c>
      <c r="C3966" s="12" t="e">
        <f t="shared" si="244"/>
        <v>#VALUE!</v>
      </c>
      <c r="D3966" s="12" t="e">
        <f>MID(MAIN!A3971,K3966+2,2)</f>
        <v>#VALUE!</v>
      </c>
      <c r="E3966" s="12" t="e">
        <f>MID(MAIN!A3971,K3966+4,2)</f>
        <v>#VALUE!</v>
      </c>
      <c r="F3966" s="2" t="e">
        <f t="shared" si="245"/>
        <v>#VALUE!</v>
      </c>
      <c r="G3966" s="13" t="e">
        <f t="shared" si="246"/>
        <v>#VALUE!</v>
      </c>
      <c r="J3966" t="str">
        <f>MAIN!A3971&amp;"B"</f>
        <v>B</v>
      </c>
      <c r="K3966" s="12" t="e">
        <f t="shared" si="247"/>
        <v>#VALUE!</v>
      </c>
      <c r="L3966" t="str">
        <f>MAIN!C3971</f>
        <v/>
      </c>
    </row>
    <row r="3967" spans="1:12" x14ac:dyDescent="0.3">
      <c r="A3967">
        <f>IF(J3967="0",0,IF(COUNTIF($J$2:J3967,J3967)=1,1,0))</f>
        <v>0</v>
      </c>
      <c r="B3967" s="12" t="e">
        <f>MID(MAIN!A3972,K3967,2)</f>
        <v>#VALUE!</v>
      </c>
      <c r="C3967" s="12" t="e">
        <f t="shared" si="244"/>
        <v>#VALUE!</v>
      </c>
      <c r="D3967" s="12" t="e">
        <f>MID(MAIN!A3972,K3967+2,2)</f>
        <v>#VALUE!</v>
      </c>
      <c r="E3967" s="12" t="e">
        <f>MID(MAIN!A3972,K3967+4,2)</f>
        <v>#VALUE!</v>
      </c>
      <c r="F3967" s="2" t="e">
        <f t="shared" si="245"/>
        <v>#VALUE!</v>
      </c>
      <c r="G3967" s="13" t="e">
        <f t="shared" si="246"/>
        <v>#VALUE!</v>
      </c>
      <c r="J3967" t="str">
        <f>MAIN!A3972&amp;"B"</f>
        <v>B</v>
      </c>
      <c r="K3967" s="12" t="e">
        <f t="shared" si="247"/>
        <v>#VALUE!</v>
      </c>
      <c r="L3967" t="str">
        <f>MAIN!C3972</f>
        <v/>
      </c>
    </row>
    <row r="3968" spans="1:12" x14ac:dyDescent="0.3">
      <c r="A3968">
        <f>IF(J3968="0",0,IF(COUNTIF($J$2:J3968,J3968)=1,1,0))</f>
        <v>0</v>
      </c>
      <c r="B3968" s="12" t="e">
        <f>MID(MAIN!A3973,K3968,2)</f>
        <v>#VALUE!</v>
      </c>
      <c r="C3968" s="12" t="e">
        <f t="shared" si="244"/>
        <v>#VALUE!</v>
      </c>
      <c r="D3968" s="12" t="e">
        <f>MID(MAIN!A3973,K3968+2,2)</f>
        <v>#VALUE!</v>
      </c>
      <c r="E3968" s="12" t="e">
        <f>MID(MAIN!A3973,K3968+4,2)</f>
        <v>#VALUE!</v>
      </c>
      <c r="F3968" s="2" t="e">
        <f t="shared" si="245"/>
        <v>#VALUE!</v>
      </c>
      <c r="G3968" s="13" t="e">
        <f t="shared" si="246"/>
        <v>#VALUE!</v>
      </c>
      <c r="J3968" t="str">
        <f>MAIN!A3973&amp;"B"</f>
        <v>B</v>
      </c>
      <c r="K3968" s="12" t="e">
        <f t="shared" si="247"/>
        <v>#VALUE!</v>
      </c>
      <c r="L3968" t="str">
        <f>MAIN!C3973</f>
        <v/>
      </c>
    </row>
    <row r="3969" spans="1:12" x14ac:dyDescent="0.3">
      <c r="A3969">
        <f>IF(J3969="0",0,IF(COUNTIF($J$2:J3969,J3969)=1,1,0))</f>
        <v>0</v>
      </c>
      <c r="B3969" s="12" t="e">
        <f>MID(MAIN!A3974,K3969,2)</f>
        <v>#VALUE!</v>
      </c>
      <c r="C3969" s="12" t="e">
        <f t="shared" si="244"/>
        <v>#VALUE!</v>
      </c>
      <c r="D3969" s="12" t="e">
        <f>MID(MAIN!A3974,K3969+2,2)</f>
        <v>#VALUE!</v>
      </c>
      <c r="E3969" s="12" t="e">
        <f>MID(MAIN!A3974,K3969+4,2)</f>
        <v>#VALUE!</v>
      </c>
      <c r="F3969" s="2" t="e">
        <f t="shared" si="245"/>
        <v>#VALUE!</v>
      </c>
      <c r="G3969" s="13" t="e">
        <f t="shared" si="246"/>
        <v>#VALUE!</v>
      </c>
      <c r="J3969" t="str">
        <f>MAIN!A3974&amp;"B"</f>
        <v>B</v>
      </c>
      <c r="K3969" s="12" t="e">
        <f t="shared" si="247"/>
        <v>#VALUE!</v>
      </c>
      <c r="L3969" t="str">
        <f>MAIN!C3974</f>
        <v/>
      </c>
    </row>
    <row r="3970" spans="1:12" x14ac:dyDescent="0.3">
      <c r="A3970">
        <f>IF(J3970="0",0,IF(COUNTIF($J$2:J3970,J3970)=1,1,0))</f>
        <v>0</v>
      </c>
      <c r="B3970" s="12" t="e">
        <f>MID(MAIN!A3975,K3970,2)</f>
        <v>#VALUE!</v>
      </c>
      <c r="C3970" s="12" t="e">
        <f t="shared" si="244"/>
        <v>#VALUE!</v>
      </c>
      <c r="D3970" s="12" t="e">
        <f>MID(MAIN!A3975,K3970+2,2)</f>
        <v>#VALUE!</v>
      </c>
      <c r="E3970" s="12" t="e">
        <f>MID(MAIN!A3975,K3970+4,2)</f>
        <v>#VALUE!</v>
      </c>
      <c r="F3970" s="2" t="e">
        <f t="shared" si="245"/>
        <v>#VALUE!</v>
      </c>
      <c r="G3970" s="13" t="e">
        <f t="shared" si="246"/>
        <v>#VALUE!</v>
      </c>
      <c r="J3970" t="str">
        <f>MAIN!A3975&amp;"B"</f>
        <v>B</v>
      </c>
      <c r="K3970" s="12" t="e">
        <f t="shared" si="247"/>
        <v>#VALUE!</v>
      </c>
      <c r="L3970" t="str">
        <f>MAIN!C3975</f>
        <v/>
      </c>
    </row>
    <row r="3971" spans="1:12" x14ac:dyDescent="0.3">
      <c r="A3971">
        <f>IF(J3971="0",0,IF(COUNTIF($J$2:J3971,J3971)=1,1,0))</f>
        <v>0</v>
      </c>
      <c r="B3971" s="12" t="e">
        <f>MID(MAIN!A3976,K3971,2)</f>
        <v>#VALUE!</v>
      </c>
      <c r="C3971" s="12" t="e">
        <f t="shared" ref="C3971:C4007" si="248">"20"&amp;B3971</f>
        <v>#VALUE!</v>
      </c>
      <c r="D3971" s="12" t="e">
        <f>MID(MAIN!A3976,K3971+2,2)</f>
        <v>#VALUE!</v>
      </c>
      <c r="E3971" s="12" t="e">
        <f>MID(MAIN!A3976,K3971+4,2)</f>
        <v>#VALUE!</v>
      </c>
      <c r="F3971" s="2" t="e">
        <f t="shared" ref="F3971:F4007" si="249">C3971&amp;"/"&amp;D3971&amp;"/"&amp;E3971</f>
        <v>#VALUE!</v>
      </c>
      <c r="G3971" s="13" t="e">
        <f t="shared" ref="G3971:G4007" si="250">DATEVALUE(F3971)</f>
        <v>#VALUE!</v>
      </c>
      <c r="J3971" t="str">
        <f>MAIN!A3976&amp;"B"</f>
        <v>B</v>
      </c>
      <c r="K3971" s="12" t="e">
        <f t="shared" ref="K3971:K4006" si="251">FIND("172",J3971,30)+2</f>
        <v>#VALUE!</v>
      </c>
      <c r="L3971" t="str">
        <f>MAIN!C3976</f>
        <v/>
      </c>
    </row>
    <row r="3972" spans="1:12" x14ac:dyDescent="0.3">
      <c r="A3972">
        <f>IF(J3972="0",0,IF(COUNTIF($J$2:J3972,J3972)=1,1,0))</f>
        <v>0</v>
      </c>
      <c r="B3972" s="12" t="e">
        <f>MID(MAIN!A3977,K3972,2)</f>
        <v>#VALUE!</v>
      </c>
      <c r="C3972" s="12" t="e">
        <f t="shared" si="248"/>
        <v>#VALUE!</v>
      </c>
      <c r="D3972" s="12" t="e">
        <f>MID(MAIN!A3977,K3972+2,2)</f>
        <v>#VALUE!</v>
      </c>
      <c r="E3972" s="12" t="e">
        <f>MID(MAIN!A3977,K3972+4,2)</f>
        <v>#VALUE!</v>
      </c>
      <c r="F3972" s="2" t="e">
        <f t="shared" si="249"/>
        <v>#VALUE!</v>
      </c>
      <c r="G3972" s="13" t="e">
        <f t="shared" si="250"/>
        <v>#VALUE!</v>
      </c>
      <c r="J3972" t="str">
        <f>MAIN!A3977&amp;"B"</f>
        <v>B</v>
      </c>
      <c r="K3972" s="12" t="e">
        <f t="shared" si="251"/>
        <v>#VALUE!</v>
      </c>
      <c r="L3972" t="str">
        <f>MAIN!C3977</f>
        <v/>
      </c>
    </row>
    <row r="3973" spans="1:12" x14ac:dyDescent="0.3">
      <c r="A3973">
        <f>IF(J3973="0",0,IF(COUNTIF($J$2:J3973,J3973)=1,1,0))</f>
        <v>0</v>
      </c>
      <c r="B3973" s="12" t="e">
        <f>MID(MAIN!A3978,K3973,2)</f>
        <v>#VALUE!</v>
      </c>
      <c r="C3973" s="12" t="e">
        <f t="shared" si="248"/>
        <v>#VALUE!</v>
      </c>
      <c r="D3973" s="12" t="e">
        <f>MID(MAIN!A3978,K3973+2,2)</f>
        <v>#VALUE!</v>
      </c>
      <c r="E3973" s="12" t="e">
        <f>MID(MAIN!A3978,K3973+4,2)</f>
        <v>#VALUE!</v>
      </c>
      <c r="F3973" s="2" t="e">
        <f t="shared" si="249"/>
        <v>#VALUE!</v>
      </c>
      <c r="G3973" s="13" t="e">
        <f t="shared" si="250"/>
        <v>#VALUE!</v>
      </c>
      <c r="J3973" t="str">
        <f>MAIN!A3978&amp;"B"</f>
        <v>B</v>
      </c>
      <c r="K3973" s="12" t="e">
        <f t="shared" si="251"/>
        <v>#VALUE!</v>
      </c>
      <c r="L3973" t="str">
        <f>MAIN!C3978</f>
        <v/>
      </c>
    </row>
    <row r="3974" spans="1:12" x14ac:dyDescent="0.3">
      <c r="A3974">
        <f>IF(J3974="0",0,IF(COUNTIF($J$2:J3974,J3974)=1,1,0))</f>
        <v>0</v>
      </c>
      <c r="B3974" s="12" t="e">
        <f>MID(MAIN!A3979,K3974,2)</f>
        <v>#VALUE!</v>
      </c>
      <c r="C3974" s="12" t="e">
        <f t="shared" si="248"/>
        <v>#VALUE!</v>
      </c>
      <c r="D3974" s="12" t="e">
        <f>MID(MAIN!A3979,K3974+2,2)</f>
        <v>#VALUE!</v>
      </c>
      <c r="E3974" s="12" t="e">
        <f>MID(MAIN!A3979,K3974+4,2)</f>
        <v>#VALUE!</v>
      </c>
      <c r="F3974" s="2" t="e">
        <f t="shared" si="249"/>
        <v>#VALUE!</v>
      </c>
      <c r="G3974" s="13" t="e">
        <f t="shared" si="250"/>
        <v>#VALUE!</v>
      </c>
      <c r="J3974" t="str">
        <f>MAIN!A3979&amp;"B"</f>
        <v>B</v>
      </c>
      <c r="K3974" s="12" t="e">
        <f t="shared" si="251"/>
        <v>#VALUE!</v>
      </c>
      <c r="L3974" t="str">
        <f>MAIN!C3979</f>
        <v/>
      </c>
    </row>
    <row r="3975" spans="1:12" x14ac:dyDescent="0.3">
      <c r="A3975">
        <f>IF(J3975="0",0,IF(COUNTIF($J$2:J3975,J3975)=1,1,0))</f>
        <v>0</v>
      </c>
      <c r="B3975" s="12" t="e">
        <f>MID(MAIN!A3980,K3975,2)</f>
        <v>#VALUE!</v>
      </c>
      <c r="C3975" s="12" t="e">
        <f t="shared" si="248"/>
        <v>#VALUE!</v>
      </c>
      <c r="D3975" s="12" t="e">
        <f>MID(MAIN!A3980,K3975+2,2)</f>
        <v>#VALUE!</v>
      </c>
      <c r="E3975" s="12" t="e">
        <f>MID(MAIN!A3980,K3975+4,2)</f>
        <v>#VALUE!</v>
      </c>
      <c r="F3975" s="2" t="e">
        <f t="shared" si="249"/>
        <v>#VALUE!</v>
      </c>
      <c r="G3975" s="13" t="e">
        <f t="shared" si="250"/>
        <v>#VALUE!</v>
      </c>
      <c r="J3975" t="str">
        <f>MAIN!A3980&amp;"B"</f>
        <v>B</v>
      </c>
      <c r="K3975" s="12" t="e">
        <f t="shared" si="251"/>
        <v>#VALUE!</v>
      </c>
      <c r="L3975" t="str">
        <f>MAIN!C3980</f>
        <v/>
      </c>
    </row>
    <row r="3976" spans="1:12" x14ac:dyDescent="0.3">
      <c r="A3976">
        <f>IF(J3976="0",0,IF(COUNTIF($J$2:J3976,J3976)=1,1,0))</f>
        <v>0</v>
      </c>
      <c r="B3976" s="12" t="e">
        <f>MID(MAIN!A3981,K3976,2)</f>
        <v>#VALUE!</v>
      </c>
      <c r="C3976" s="12" t="e">
        <f t="shared" si="248"/>
        <v>#VALUE!</v>
      </c>
      <c r="D3976" s="12" t="e">
        <f>MID(MAIN!A3981,K3976+2,2)</f>
        <v>#VALUE!</v>
      </c>
      <c r="E3976" s="12" t="e">
        <f>MID(MAIN!A3981,K3976+4,2)</f>
        <v>#VALUE!</v>
      </c>
      <c r="F3976" s="2" t="e">
        <f t="shared" si="249"/>
        <v>#VALUE!</v>
      </c>
      <c r="G3976" s="13" t="e">
        <f t="shared" si="250"/>
        <v>#VALUE!</v>
      </c>
      <c r="J3976" t="str">
        <f>MAIN!A3981&amp;"B"</f>
        <v>B</v>
      </c>
      <c r="K3976" s="12" t="e">
        <f t="shared" si="251"/>
        <v>#VALUE!</v>
      </c>
      <c r="L3976" t="str">
        <f>MAIN!C3981</f>
        <v/>
      </c>
    </row>
    <row r="3977" spans="1:12" x14ac:dyDescent="0.3">
      <c r="A3977">
        <f>IF(J3977="0",0,IF(COUNTIF($J$2:J3977,J3977)=1,1,0))</f>
        <v>0</v>
      </c>
      <c r="B3977" s="12" t="e">
        <f>MID(MAIN!A3982,K3977,2)</f>
        <v>#VALUE!</v>
      </c>
      <c r="C3977" s="12" t="e">
        <f t="shared" si="248"/>
        <v>#VALUE!</v>
      </c>
      <c r="D3977" s="12" t="e">
        <f>MID(MAIN!A3982,K3977+2,2)</f>
        <v>#VALUE!</v>
      </c>
      <c r="E3977" s="12" t="e">
        <f>MID(MAIN!A3982,K3977+4,2)</f>
        <v>#VALUE!</v>
      </c>
      <c r="F3977" s="2" t="e">
        <f t="shared" si="249"/>
        <v>#VALUE!</v>
      </c>
      <c r="G3977" s="13" t="e">
        <f t="shared" si="250"/>
        <v>#VALUE!</v>
      </c>
      <c r="J3977" t="str">
        <f>MAIN!A3982&amp;"B"</f>
        <v>B</v>
      </c>
      <c r="K3977" s="12" t="e">
        <f t="shared" si="251"/>
        <v>#VALUE!</v>
      </c>
      <c r="L3977" t="str">
        <f>MAIN!C3982</f>
        <v/>
      </c>
    </row>
    <row r="3978" spans="1:12" x14ac:dyDescent="0.3">
      <c r="A3978">
        <f>IF(J3978="0",0,IF(COUNTIF($J$2:J3978,J3978)=1,1,0))</f>
        <v>0</v>
      </c>
      <c r="B3978" s="12" t="e">
        <f>MID(MAIN!A3983,K3978,2)</f>
        <v>#VALUE!</v>
      </c>
      <c r="C3978" s="12" t="e">
        <f t="shared" si="248"/>
        <v>#VALUE!</v>
      </c>
      <c r="D3978" s="12" t="e">
        <f>MID(MAIN!A3983,K3978+2,2)</f>
        <v>#VALUE!</v>
      </c>
      <c r="E3978" s="12" t="e">
        <f>MID(MAIN!A3983,K3978+4,2)</f>
        <v>#VALUE!</v>
      </c>
      <c r="F3978" s="2" t="e">
        <f t="shared" si="249"/>
        <v>#VALUE!</v>
      </c>
      <c r="G3978" s="13" t="e">
        <f t="shared" si="250"/>
        <v>#VALUE!</v>
      </c>
      <c r="J3978" t="str">
        <f>MAIN!A3983&amp;"B"</f>
        <v>B</v>
      </c>
      <c r="K3978" s="12" t="e">
        <f t="shared" si="251"/>
        <v>#VALUE!</v>
      </c>
      <c r="L3978" t="str">
        <f>MAIN!C3983</f>
        <v/>
      </c>
    </row>
    <row r="3979" spans="1:12" x14ac:dyDescent="0.3">
      <c r="A3979">
        <f>IF(J3979="0",0,IF(COUNTIF($J$2:J3979,J3979)=1,1,0))</f>
        <v>0</v>
      </c>
      <c r="B3979" s="12" t="e">
        <f>MID(MAIN!A3984,K3979,2)</f>
        <v>#VALUE!</v>
      </c>
      <c r="C3979" s="12" t="e">
        <f t="shared" si="248"/>
        <v>#VALUE!</v>
      </c>
      <c r="D3979" s="12" t="e">
        <f>MID(MAIN!A3984,K3979+2,2)</f>
        <v>#VALUE!</v>
      </c>
      <c r="E3979" s="12" t="e">
        <f>MID(MAIN!A3984,K3979+4,2)</f>
        <v>#VALUE!</v>
      </c>
      <c r="F3979" s="2" t="e">
        <f t="shared" si="249"/>
        <v>#VALUE!</v>
      </c>
      <c r="G3979" s="13" t="e">
        <f t="shared" si="250"/>
        <v>#VALUE!</v>
      </c>
      <c r="J3979" t="str">
        <f>MAIN!A3984&amp;"B"</f>
        <v>B</v>
      </c>
      <c r="K3979" s="12" t="e">
        <f t="shared" si="251"/>
        <v>#VALUE!</v>
      </c>
      <c r="L3979" t="str">
        <f>MAIN!C3984</f>
        <v/>
      </c>
    </row>
    <row r="3980" spans="1:12" x14ac:dyDescent="0.3">
      <c r="A3980">
        <f>IF(J3980="0",0,IF(COUNTIF($J$2:J3980,J3980)=1,1,0))</f>
        <v>0</v>
      </c>
      <c r="B3980" s="12" t="e">
        <f>MID(MAIN!A3985,K3980,2)</f>
        <v>#VALUE!</v>
      </c>
      <c r="C3980" s="12" t="e">
        <f t="shared" si="248"/>
        <v>#VALUE!</v>
      </c>
      <c r="D3980" s="12" t="e">
        <f>MID(MAIN!A3985,K3980+2,2)</f>
        <v>#VALUE!</v>
      </c>
      <c r="E3980" s="12" t="e">
        <f>MID(MAIN!A3985,K3980+4,2)</f>
        <v>#VALUE!</v>
      </c>
      <c r="F3980" s="2" t="e">
        <f t="shared" si="249"/>
        <v>#VALUE!</v>
      </c>
      <c r="G3980" s="13" t="e">
        <f t="shared" si="250"/>
        <v>#VALUE!</v>
      </c>
      <c r="J3980" t="str">
        <f>MAIN!A3985&amp;"B"</f>
        <v>B</v>
      </c>
      <c r="K3980" s="12" t="e">
        <f t="shared" si="251"/>
        <v>#VALUE!</v>
      </c>
      <c r="L3980" t="str">
        <f>MAIN!C3985</f>
        <v/>
      </c>
    </row>
    <row r="3981" spans="1:12" x14ac:dyDescent="0.3">
      <c r="A3981">
        <f>IF(J3981="0",0,IF(COUNTIF($J$2:J3981,J3981)=1,1,0))</f>
        <v>0</v>
      </c>
      <c r="B3981" s="12" t="e">
        <f>MID(MAIN!A3986,K3981,2)</f>
        <v>#VALUE!</v>
      </c>
      <c r="C3981" s="12" t="e">
        <f t="shared" si="248"/>
        <v>#VALUE!</v>
      </c>
      <c r="D3981" s="12" t="e">
        <f>MID(MAIN!A3986,K3981+2,2)</f>
        <v>#VALUE!</v>
      </c>
      <c r="E3981" s="12" t="e">
        <f>MID(MAIN!A3986,K3981+4,2)</f>
        <v>#VALUE!</v>
      </c>
      <c r="F3981" s="2" t="e">
        <f t="shared" si="249"/>
        <v>#VALUE!</v>
      </c>
      <c r="G3981" s="13" t="e">
        <f t="shared" si="250"/>
        <v>#VALUE!</v>
      </c>
      <c r="J3981" t="str">
        <f>MAIN!A3986&amp;"B"</f>
        <v>B</v>
      </c>
      <c r="K3981" s="12" t="e">
        <f t="shared" si="251"/>
        <v>#VALUE!</v>
      </c>
      <c r="L3981" t="str">
        <f>MAIN!C3986</f>
        <v/>
      </c>
    </row>
    <row r="3982" spans="1:12" x14ac:dyDescent="0.3">
      <c r="A3982">
        <f>IF(J3982="0",0,IF(COUNTIF($J$2:J3982,J3982)=1,1,0))</f>
        <v>0</v>
      </c>
      <c r="B3982" s="12" t="e">
        <f>MID(MAIN!A3987,K3982,2)</f>
        <v>#VALUE!</v>
      </c>
      <c r="C3982" s="12" t="e">
        <f t="shared" si="248"/>
        <v>#VALUE!</v>
      </c>
      <c r="D3982" s="12" t="e">
        <f>MID(MAIN!A3987,K3982+2,2)</f>
        <v>#VALUE!</v>
      </c>
      <c r="E3982" s="12" t="e">
        <f>MID(MAIN!A3987,K3982+4,2)</f>
        <v>#VALUE!</v>
      </c>
      <c r="F3982" s="2" t="e">
        <f t="shared" si="249"/>
        <v>#VALUE!</v>
      </c>
      <c r="G3982" s="13" t="e">
        <f t="shared" si="250"/>
        <v>#VALUE!</v>
      </c>
      <c r="J3982" t="str">
        <f>MAIN!A3987&amp;"B"</f>
        <v>B</v>
      </c>
      <c r="K3982" s="12" t="e">
        <f t="shared" si="251"/>
        <v>#VALUE!</v>
      </c>
      <c r="L3982" t="str">
        <f>MAIN!C3987</f>
        <v/>
      </c>
    </row>
    <row r="3983" spans="1:12" x14ac:dyDescent="0.3">
      <c r="A3983">
        <f>IF(J3983="0",0,IF(COUNTIF($J$2:J3983,J3983)=1,1,0))</f>
        <v>0</v>
      </c>
      <c r="B3983" s="12" t="e">
        <f>MID(MAIN!A3988,K3983,2)</f>
        <v>#VALUE!</v>
      </c>
      <c r="C3983" s="12" t="e">
        <f t="shared" si="248"/>
        <v>#VALUE!</v>
      </c>
      <c r="D3983" s="12" t="e">
        <f>MID(MAIN!A3988,K3983+2,2)</f>
        <v>#VALUE!</v>
      </c>
      <c r="E3983" s="12" t="e">
        <f>MID(MAIN!A3988,K3983+4,2)</f>
        <v>#VALUE!</v>
      </c>
      <c r="F3983" s="2" t="e">
        <f t="shared" si="249"/>
        <v>#VALUE!</v>
      </c>
      <c r="G3983" s="13" t="e">
        <f t="shared" si="250"/>
        <v>#VALUE!</v>
      </c>
      <c r="J3983" t="str">
        <f>MAIN!A3988&amp;"B"</f>
        <v>B</v>
      </c>
      <c r="K3983" s="12" t="e">
        <f t="shared" si="251"/>
        <v>#VALUE!</v>
      </c>
      <c r="L3983" t="str">
        <f>MAIN!C3988</f>
        <v/>
      </c>
    </row>
    <row r="3984" spans="1:12" x14ac:dyDescent="0.3">
      <c r="A3984">
        <f>IF(J3984="0",0,IF(COUNTIF($J$2:J3984,J3984)=1,1,0))</f>
        <v>0</v>
      </c>
      <c r="B3984" s="12" t="e">
        <f>MID(MAIN!A3989,K3984,2)</f>
        <v>#VALUE!</v>
      </c>
      <c r="C3984" s="12" t="e">
        <f t="shared" si="248"/>
        <v>#VALUE!</v>
      </c>
      <c r="D3984" s="12" t="e">
        <f>MID(MAIN!A3989,K3984+2,2)</f>
        <v>#VALUE!</v>
      </c>
      <c r="E3984" s="12" t="e">
        <f>MID(MAIN!A3989,K3984+4,2)</f>
        <v>#VALUE!</v>
      </c>
      <c r="F3984" s="2" t="e">
        <f t="shared" si="249"/>
        <v>#VALUE!</v>
      </c>
      <c r="G3984" s="13" t="e">
        <f t="shared" si="250"/>
        <v>#VALUE!</v>
      </c>
      <c r="J3984" t="str">
        <f>MAIN!A3989&amp;"B"</f>
        <v>B</v>
      </c>
      <c r="K3984" s="12" t="e">
        <f t="shared" si="251"/>
        <v>#VALUE!</v>
      </c>
      <c r="L3984" t="str">
        <f>MAIN!C3989</f>
        <v/>
      </c>
    </row>
    <row r="3985" spans="1:12" x14ac:dyDescent="0.3">
      <c r="A3985">
        <f>IF(J3985="0",0,IF(COUNTIF($J$2:J3985,J3985)=1,1,0))</f>
        <v>0</v>
      </c>
      <c r="B3985" s="12" t="e">
        <f>MID(MAIN!A3990,K3985,2)</f>
        <v>#VALUE!</v>
      </c>
      <c r="C3985" s="12" t="e">
        <f t="shared" si="248"/>
        <v>#VALUE!</v>
      </c>
      <c r="D3985" s="12" t="e">
        <f>MID(MAIN!A3990,K3985+2,2)</f>
        <v>#VALUE!</v>
      </c>
      <c r="E3985" s="12" t="e">
        <f>MID(MAIN!A3990,K3985+4,2)</f>
        <v>#VALUE!</v>
      </c>
      <c r="F3985" s="2" t="e">
        <f t="shared" si="249"/>
        <v>#VALUE!</v>
      </c>
      <c r="G3985" s="13" t="e">
        <f t="shared" si="250"/>
        <v>#VALUE!</v>
      </c>
      <c r="J3985" t="str">
        <f>MAIN!A3990&amp;"B"</f>
        <v>B</v>
      </c>
      <c r="K3985" s="12" t="e">
        <f t="shared" si="251"/>
        <v>#VALUE!</v>
      </c>
      <c r="L3985" t="str">
        <f>MAIN!C3990</f>
        <v/>
      </c>
    </row>
    <row r="3986" spans="1:12" x14ac:dyDescent="0.3">
      <c r="A3986">
        <f>IF(J3986="0",0,IF(COUNTIF($J$2:J3986,J3986)=1,1,0))</f>
        <v>0</v>
      </c>
      <c r="B3986" s="12" t="e">
        <f>MID(MAIN!A3991,K3986,2)</f>
        <v>#VALUE!</v>
      </c>
      <c r="C3986" s="12" t="e">
        <f t="shared" si="248"/>
        <v>#VALUE!</v>
      </c>
      <c r="D3986" s="12" t="e">
        <f>MID(MAIN!A3991,K3986+2,2)</f>
        <v>#VALUE!</v>
      </c>
      <c r="E3986" s="12" t="e">
        <f>MID(MAIN!A3991,K3986+4,2)</f>
        <v>#VALUE!</v>
      </c>
      <c r="F3986" s="2" t="e">
        <f t="shared" si="249"/>
        <v>#VALUE!</v>
      </c>
      <c r="G3986" s="13" t="e">
        <f t="shared" si="250"/>
        <v>#VALUE!</v>
      </c>
      <c r="J3986" t="str">
        <f>MAIN!A3991&amp;"B"</f>
        <v>B</v>
      </c>
      <c r="K3986" s="12" t="e">
        <f t="shared" si="251"/>
        <v>#VALUE!</v>
      </c>
      <c r="L3986" t="str">
        <f>MAIN!C3991</f>
        <v/>
      </c>
    </row>
    <row r="3987" spans="1:12" x14ac:dyDescent="0.3">
      <c r="A3987">
        <f>IF(J3987="0",0,IF(COUNTIF($J$2:J3987,J3987)=1,1,0))</f>
        <v>0</v>
      </c>
      <c r="B3987" s="12" t="e">
        <f>MID(MAIN!A3992,K3987,2)</f>
        <v>#VALUE!</v>
      </c>
      <c r="C3987" s="12" t="e">
        <f t="shared" si="248"/>
        <v>#VALUE!</v>
      </c>
      <c r="D3987" s="12" t="e">
        <f>MID(MAIN!A3992,K3987+2,2)</f>
        <v>#VALUE!</v>
      </c>
      <c r="E3987" s="12" t="e">
        <f>MID(MAIN!A3992,K3987+4,2)</f>
        <v>#VALUE!</v>
      </c>
      <c r="F3987" s="2" t="e">
        <f t="shared" si="249"/>
        <v>#VALUE!</v>
      </c>
      <c r="G3987" s="13" t="e">
        <f t="shared" si="250"/>
        <v>#VALUE!</v>
      </c>
      <c r="J3987" t="str">
        <f>MAIN!A3992&amp;"B"</f>
        <v>B</v>
      </c>
      <c r="K3987" s="12" t="e">
        <f t="shared" si="251"/>
        <v>#VALUE!</v>
      </c>
      <c r="L3987" t="str">
        <f>MAIN!C3992</f>
        <v/>
      </c>
    </row>
    <row r="3988" spans="1:12" x14ac:dyDescent="0.3">
      <c r="A3988">
        <f>IF(J3988="0",0,IF(COUNTIF($J$2:J3988,J3988)=1,1,0))</f>
        <v>0</v>
      </c>
      <c r="B3988" s="12" t="e">
        <f>MID(MAIN!A3993,K3988,2)</f>
        <v>#VALUE!</v>
      </c>
      <c r="C3988" s="12" t="e">
        <f t="shared" si="248"/>
        <v>#VALUE!</v>
      </c>
      <c r="D3988" s="12" t="e">
        <f>MID(MAIN!A3993,K3988+2,2)</f>
        <v>#VALUE!</v>
      </c>
      <c r="E3988" s="12" t="e">
        <f>MID(MAIN!A3993,K3988+4,2)</f>
        <v>#VALUE!</v>
      </c>
      <c r="F3988" s="2" t="e">
        <f t="shared" si="249"/>
        <v>#VALUE!</v>
      </c>
      <c r="G3988" s="13" t="e">
        <f t="shared" si="250"/>
        <v>#VALUE!</v>
      </c>
      <c r="J3988" t="str">
        <f>MAIN!A3993&amp;"B"</f>
        <v>B</v>
      </c>
      <c r="K3988" s="12" t="e">
        <f t="shared" si="251"/>
        <v>#VALUE!</v>
      </c>
      <c r="L3988" t="str">
        <f>MAIN!C3993</f>
        <v/>
      </c>
    </row>
    <row r="3989" spans="1:12" x14ac:dyDescent="0.3">
      <c r="A3989">
        <f>IF(J3989="0",0,IF(COUNTIF($J$2:J3989,J3989)=1,1,0))</f>
        <v>0</v>
      </c>
      <c r="B3989" s="12" t="e">
        <f>MID(MAIN!A3994,K3989,2)</f>
        <v>#VALUE!</v>
      </c>
      <c r="C3989" s="12" t="e">
        <f t="shared" si="248"/>
        <v>#VALUE!</v>
      </c>
      <c r="D3989" s="12" t="e">
        <f>MID(MAIN!A3994,K3989+2,2)</f>
        <v>#VALUE!</v>
      </c>
      <c r="E3989" s="12" t="e">
        <f>MID(MAIN!A3994,K3989+4,2)</f>
        <v>#VALUE!</v>
      </c>
      <c r="F3989" s="2" t="e">
        <f t="shared" si="249"/>
        <v>#VALUE!</v>
      </c>
      <c r="G3989" s="13" t="e">
        <f t="shared" si="250"/>
        <v>#VALUE!</v>
      </c>
      <c r="J3989" t="str">
        <f>MAIN!A3994&amp;"B"</f>
        <v>B</v>
      </c>
      <c r="K3989" s="12" t="e">
        <f t="shared" si="251"/>
        <v>#VALUE!</v>
      </c>
      <c r="L3989" t="str">
        <f>MAIN!C3994</f>
        <v/>
      </c>
    </row>
    <row r="3990" spans="1:12" x14ac:dyDescent="0.3">
      <c r="A3990">
        <f>IF(J3990="0",0,IF(COUNTIF($J$2:J3990,J3990)=1,1,0))</f>
        <v>0</v>
      </c>
      <c r="B3990" s="12" t="e">
        <f>MID(MAIN!A3995,K3990,2)</f>
        <v>#VALUE!</v>
      </c>
      <c r="C3990" s="12" t="e">
        <f t="shared" si="248"/>
        <v>#VALUE!</v>
      </c>
      <c r="D3990" s="12" t="e">
        <f>MID(MAIN!A3995,K3990+2,2)</f>
        <v>#VALUE!</v>
      </c>
      <c r="E3990" s="12" t="e">
        <f>MID(MAIN!A3995,K3990+4,2)</f>
        <v>#VALUE!</v>
      </c>
      <c r="F3990" s="2" t="e">
        <f t="shared" si="249"/>
        <v>#VALUE!</v>
      </c>
      <c r="G3990" s="13" t="e">
        <f t="shared" si="250"/>
        <v>#VALUE!</v>
      </c>
      <c r="J3990" t="str">
        <f>MAIN!A3995&amp;"B"</f>
        <v>B</v>
      </c>
      <c r="K3990" s="12" t="e">
        <f t="shared" si="251"/>
        <v>#VALUE!</v>
      </c>
      <c r="L3990" t="str">
        <f>MAIN!C3995</f>
        <v/>
      </c>
    </row>
    <row r="3991" spans="1:12" x14ac:dyDescent="0.3">
      <c r="A3991">
        <f>IF(J3991="0",0,IF(COUNTIF($J$2:J3991,J3991)=1,1,0))</f>
        <v>0</v>
      </c>
      <c r="B3991" s="12" t="e">
        <f>MID(MAIN!A3996,K3991,2)</f>
        <v>#VALUE!</v>
      </c>
      <c r="C3991" s="12" t="e">
        <f t="shared" si="248"/>
        <v>#VALUE!</v>
      </c>
      <c r="D3991" s="12" t="e">
        <f>MID(MAIN!A3996,K3991+2,2)</f>
        <v>#VALUE!</v>
      </c>
      <c r="E3991" s="12" t="e">
        <f>MID(MAIN!A3996,K3991+4,2)</f>
        <v>#VALUE!</v>
      </c>
      <c r="F3991" s="2" t="e">
        <f t="shared" si="249"/>
        <v>#VALUE!</v>
      </c>
      <c r="G3991" s="13" t="e">
        <f t="shared" si="250"/>
        <v>#VALUE!</v>
      </c>
      <c r="J3991" t="str">
        <f>MAIN!A3996&amp;"B"</f>
        <v>B</v>
      </c>
      <c r="K3991" s="12" t="e">
        <f t="shared" si="251"/>
        <v>#VALUE!</v>
      </c>
      <c r="L3991" t="str">
        <f>MAIN!C3996</f>
        <v/>
      </c>
    </row>
    <row r="3992" spans="1:12" x14ac:dyDescent="0.3">
      <c r="A3992">
        <f>IF(J3992="0",0,IF(COUNTIF($J$2:J3992,J3992)=1,1,0))</f>
        <v>0</v>
      </c>
      <c r="B3992" s="12" t="e">
        <f>MID(MAIN!A3997,K3992,2)</f>
        <v>#VALUE!</v>
      </c>
      <c r="C3992" s="12" t="e">
        <f t="shared" si="248"/>
        <v>#VALUE!</v>
      </c>
      <c r="D3992" s="12" t="e">
        <f>MID(MAIN!A3997,K3992+2,2)</f>
        <v>#VALUE!</v>
      </c>
      <c r="E3992" s="12" t="e">
        <f>MID(MAIN!A3997,K3992+4,2)</f>
        <v>#VALUE!</v>
      </c>
      <c r="F3992" s="2" t="e">
        <f t="shared" si="249"/>
        <v>#VALUE!</v>
      </c>
      <c r="G3992" s="13" t="e">
        <f t="shared" si="250"/>
        <v>#VALUE!</v>
      </c>
      <c r="J3992" t="str">
        <f>MAIN!A3997&amp;"B"</f>
        <v>B</v>
      </c>
      <c r="K3992" s="12" t="e">
        <f t="shared" si="251"/>
        <v>#VALUE!</v>
      </c>
      <c r="L3992" t="str">
        <f>MAIN!C3997</f>
        <v/>
      </c>
    </row>
    <row r="3993" spans="1:12" x14ac:dyDescent="0.3">
      <c r="A3993">
        <f>IF(J3993="0",0,IF(COUNTIF($J$2:J3993,J3993)=1,1,0))</f>
        <v>0</v>
      </c>
      <c r="B3993" s="12" t="e">
        <f>MID(MAIN!A3998,K3993,2)</f>
        <v>#VALUE!</v>
      </c>
      <c r="C3993" s="12" t="e">
        <f t="shared" si="248"/>
        <v>#VALUE!</v>
      </c>
      <c r="D3993" s="12" t="e">
        <f>MID(MAIN!A3998,K3993+2,2)</f>
        <v>#VALUE!</v>
      </c>
      <c r="E3993" s="12" t="e">
        <f>MID(MAIN!A3998,K3993+4,2)</f>
        <v>#VALUE!</v>
      </c>
      <c r="F3993" s="2" t="e">
        <f t="shared" si="249"/>
        <v>#VALUE!</v>
      </c>
      <c r="G3993" s="13" t="e">
        <f t="shared" si="250"/>
        <v>#VALUE!</v>
      </c>
      <c r="J3993" t="str">
        <f>MAIN!A3998&amp;"B"</f>
        <v>B</v>
      </c>
      <c r="K3993" s="12" t="e">
        <f t="shared" si="251"/>
        <v>#VALUE!</v>
      </c>
      <c r="L3993" t="str">
        <f>MAIN!C3998</f>
        <v/>
      </c>
    </row>
    <row r="3994" spans="1:12" x14ac:dyDescent="0.3">
      <c r="A3994">
        <f>IF(J3994="0",0,IF(COUNTIF($J$2:J3994,J3994)=1,1,0))</f>
        <v>0</v>
      </c>
      <c r="B3994" s="12" t="e">
        <f>MID(MAIN!A3999,K3994,2)</f>
        <v>#VALUE!</v>
      </c>
      <c r="C3994" s="12" t="e">
        <f t="shared" si="248"/>
        <v>#VALUE!</v>
      </c>
      <c r="D3994" s="12" t="e">
        <f>MID(MAIN!A3999,K3994+2,2)</f>
        <v>#VALUE!</v>
      </c>
      <c r="E3994" s="12" t="e">
        <f>MID(MAIN!A3999,K3994+4,2)</f>
        <v>#VALUE!</v>
      </c>
      <c r="F3994" s="2" t="e">
        <f t="shared" si="249"/>
        <v>#VALUE!</v>
      </c>
      <c r="G3994" s="13" t="e">
        <f t="shared" si="250"/>
        <v>#VALUE!</v>
      </c>
      <c r="J3994" t="str">
        <f>MAIN!A3999&amp;"B"</f>
        <v>B</v>
      </c>
      <c r="K3994" s="12" t="e">
        <f t="shared" si="251"/>
        <v>#VALUE!</v>
      </c>
      <c r="L3994" t="str">
        <f>MAIN!C3999</f>
        <v/>
      </c>
    </row>
    <row r="3995" spans="1:12" x14ac:dyDescent="0.3">
      <c r="A3995">
        <f>IF(J3995="0",0,IF(COUNTIF($J$2:J3995,J3995)=1,1,0))</f>
        <v>0</v>
      </c>
      <c r="B3995" s="12" t="e">
        <f>MID(MAIN!A4000,K3995,2)</f>
        <v>#VALUE!</v>
      </c>
      <c r="C3995" s="12" t="e">
        <f t="shared" si="248"/>
        <v>#VALUE!</v>
      </c>
      <c r="D3995" s="12" t="e">
        <f>MID(MAIN!A4000,K3995+2,2)</f>
        <v>#VALUE!</v>
      </c>
      <c r="E3995" s="12" t="e">
        <f>MID(MAIN!A4000,K3995+4,2)</f>
        <v>#VALUE!</v>
      </c>
      <c r="F3995" s="2" t="e">
        <f t="shared" si="249"/>
        <v>#VALUE!</v>
      </c>
      <c r="G3995" s="13" t="e">
        <f t="shared" si="250"/>
        <v>#VALUE!</v>
      </c>
      <c r="J3995" t="str">
        <f>MAIN!A4000&amp;"B"</f>
        <v>B</v>
      </c>
      <c r="K3995" s="12" t="e">
        <f t="shared" si="251"/>
        <v>#VALUE!</v>
      </c>
      <c r="L3995" t="str">
        <f>MAIN!C4000</f>
        <v/>
      </c>
    </row>
    <row r="3996" spans="1:12" x14ac:dyDescent="0.3">
      <c r="A3996">
        <f>IF(J3996="0",0,IF(COUNTIF($J$2:J3996,J3996)=1,1,0))</f>
        <v>0</v>
      </c>
      <c r="B3996" s="12" t="e">
        <f>MID(MAIN!A4001,K3996,2)</f>
        <v>#VALUE!</v>
      </c>
      <c r="C3996" s="12" t="e">
        <f t="shared" si="248"/>
        <v>#VALUE!</v>
      </c>
      <c r="D3996" s="12" t="e">
        <f>MID(MAIN!A4001,K3996+2,2)</f>
        <v>#VALUE!</v>
      </c>
      <c r="E3996" s="12" t="e">
        <f>MID(MAIN!A4001,K3996+4,2)</f>
        <v>#VALUE!</v>
      </c>
      <c r="F3996" s="2" t="e">
        <f t="shared" si="249"/>
        <v>#VALUE!</v>
      </c>
      <c r="G3996" s="13" t="e">
        <f t="shared" si="250"/>
        <v>#VALUE!</v>
      </c>
      <c r="J3996" t="str">
        <f>MAIN!A4001&amp;"B"</f>
        <v>B</v>
      </c>
      <c r="K3996" s="12" t="e">
        <f t="shared" si="251"/>
        <v>#VALUE!</v>
      </c>
      <c r="L3996">
        <f>MAIN!C4001</f>
        <v>0</v>
      </c>
    </row>
    <row r="3997" spans="1:12" x14ac:dyDescent="0.3">
      <c r="A3997">
        <f>IF(J3997="0",0,IF(COUNTIF($J$2:J3997,J3997)=1,1,0))</f>
        <v>0</v>
      </c>
      <c r="B3997" s="12" t="e">
        <f>MID(MAIN!A4002,K3997,2)</f>
        <v>#VALUE!</v>
      </c>
      <c r="C3997" s="12" t="e">
        <f t="shared" si="248"/>
        <v>#VALUE!</v>
      </c>
      <c r="D3997" s="12" t="e">
        <f>MID(MAIN!A4002,K3997+2,2)</f>
        <v>#VALUE!</v>
      </c>
      <c r="E3997" s="12" t="e">
        <f>MID(MAIN!A4002,K3997+4,2)</f>
        <v>#VALUE!</v>
      </c>
      <c r="F3997" s="2" t="e">
        <f t="shared" si="249"/>
        <v>#VALUE!</v>
      </c>
      <c r="G3997" s="13" t="e">
        <f t="shared" si="250"/>
        <v>#VALUE!</v>
      </c>
      <c r="J3997" t="str">
        <f>MAIN!A4002&amp;"B"</f>
        <v>B</v>
      </c>
      <c r="K3997" s="12" t="e">
        <f t="shared" si="251"/>
        <v>#VALUE!</v>
      </c>
      <c r="L3997">
        <f>MAIN!C4002</f>
        <v>0</v>
      </c>
    </row>
    <row r="3998" spans="1:12" x14ac:dyDescent="0.3">
      <c r="A3998">
        <f>IF(J3998="0",0,IF(COUNTIF($J$2:J3998,J3998)=1,1,0))</f>
        <v>0</v>
      </c>
      <c r="B3998" s="12" t="e">
        <f>MID(MAIN!A4003,K3998,2)</f>
        <v>#VALUE!</v>
      </c>
      <c r="C3998" s="12" t="e">
        <f t="shared" si="248"/>
        <v>#VALUE!</v>
      </c>
      <c r="D3998" s="12" t="e">
        <f>MID(MAIN!A4003,K3998+2,2)</f>
        <v>#VALUE!</v>
      </c>
      <c r="E3998" s="12" t="e">
        <f>MID(MAIN!A4003,K3998+4,2)</f>
        <v>#VALUE!</v>
      </c>
      <c r="F3998" s="2" t="e">
        <f t="shared" si="249"/>
        <v>#VALUE!</v>
      </c>
      <c r="G3998" s="13" t="e">
        <f t="shared" si="250"/>
        <v>#VALUE!</v>
      </c>
      <c r="J3998" t="str">
        <f>MAIN!A4003&amp;"B"</f>
        <v>B</v>
      </c>
      <c r="K3998" s="12" t="e">
        <f t="shared" si="251"/>
        <v>#VALUE!</v>
      </c>
      <c r="L3998">
        <f>MAIN!C4003</f>
        <v>0</v>
      </c>
    </row>
    <row r="3999" spans="1:12" x14ac:dyDescent="0.3">
      <c r="A3999">
        <f>IF(J3999="0",0,IF(COUNTIF($J$2:J3999,J3999)=1,1,0))</f>
        <v>0</v>
      </c>
      <c r="B3999" s="12" t="e">
        <f>MID(MAIN!A4004,K3999,2)</f>
        <v>#VALUE!</v>
      </c>
      <c r="C3999" s="12" t="e">
        <f t="shared" si="248"/>
        <v>#VALUE!</v>
      </c>
      <c r="D3999" s="12" t="e">
        <f>MID(MAIN!A4004,K3999+2,2)</f>
        <v>#VALUE!</v>
      </c>
      <c r="E3999" s="12" t="e">
        <f>MID(MAIN!A4004,K3999+4,2)</f>
        <v>#VALUE!</v>
      </c>
      <c r="F3999" s="2" t="e">
        <f t="shared" si="249"/>
        <v>#VALUE!</v>
      </c>
      <c r="G3999" s="13" t="e">
        <f t="shared" si="250"/>
        <v>#VALUE!</v>
      </c>
      <c r="J3999" t="str">
        <f>MAIN!A4004&amp;"B"</f>
        <v>B</v>
      </c>
      <c r="K3999" s="12" t="e">
        <f t="shared" si="251"/>
        <v>#VALUE!</v>
      </c>
      <c r="L3999">
        <f>MAIN!C4004</f>
        <v>0</v>
      </c>
    </row>
    <row r="4000" spans="1:12" x14ac:dyDescent="0.3">
      <c r="A4000">
        <f>IF(J4000="0",0,IF(COUNTIF($J$2:J4000,J4000)=1,1,0))</f>
        <v>0</v>
      </c>
      <c r="B4000" s="12" t="e">
        <f>MID(MAIN!A4005,K4000,2)</f>
        <v>#VALUE!</v>
      </c>
      <c r="C4000" s="12" t="e">
        <f t="shared" si="248"/>
        <v>#VALUE!</v>
      </c>
      <c r="D4000" s="12" t="e">
        <f>MID(MAIN!A4005,K4000+2,2)</f>
        <v>#VALUE!</v>
      </c>
      <c r="E4000" s="12" t="e">
        <f>MID(MAIN!A4005,K4000+4,2)</f>
        <v>#VALUE!</v>
      </c>
      <c r="F4000" s="2" t="e">
        <f t="shared" si="249"/>
        <v>#VALUE!</v>
      </c>
      <c r="G4000" s="13" t="e">
        <f t="shared" si="250"/>
        <v>#VALUE!</v>
      </c>
      <c r="J4000" t="str">
        <f>MAIN!A4005&amp;"B"</f>
        <v>B</v>
      </c>
      <c r="K4000" s="12" t="e">
        <f t="shared" si="251"/>
        <v>#VALUE!</v>
      </c>
      <c r="L4000">
        <f>MAIN!C4005</f>
        <v>0</v>
      </c>
    </row>
    <row r="4001" spans="1:12" x14ac:dyDescent="0.3">
      <c r="A4001">
        <f>IF(J4001="0",0,IF(COUNTIF($J$2:J4001,J4001)=1,1,0))</f>
        <v>0</v>
      </c>
      <c r="B4001" s="12" t="e">
        <f>MID(MAIN!A4006,K4001,2)</f>
        <v>#VALUE!</v>
      </c>
      <c r="C4001" s="12" t="e">
        <f t="shared" si="248"/>
        <v>#VALUE!</v>
      </c>
      <c r="D4001" s="12" t="e">
        <f>MID(MAIN!A4006,K4001+2,2)</f>
        <v>#VALUE!</v>
      </c>
      <c r="E4001" s="12" t="e">
        <f>MID(MAIN!A4006,K4001+4,2)</f>
        <v>#VALUE!</v>
      </c>
      <c r="F4001" s="2" t="e">
        <f t="shared" si="249"/>
        <v>#VALUE!</v>
      </c>
      <c r="G4001" s="13" t="e">
        <f t="shared" si="250"/>
        <v>#VALUE!</v>
      </c>
      <c r="J4001" t="str">
        <f>MAIN!A4006&amp;"B"</f>
        <v>B</v>
      </c>
      <c r="K4001" s="12" t="e">
        <f t="shared" si="251"/>
        <v>#VALUE!</v>
      </c>
      <c r="L4001">
        <f>MAIN!C4006</f>
        <v>0</v>
      </c>
    </row>
    <row r="4002" spans="1:12" x14ac:dyDescent="0.3">
      <c r="A4002">
        <f>IF(J4002="0",0,IF(COUNTIF($J$2:J4002,J4002)=1,1,0))</f>
        <v>0</v>
      </c>
      <c r="B4002" s="12" t="e">
        <f>MID(MAIN!A4007,K4002,2)</f>
        <v>#VALUE!</v>
      </c>
      <c r="C4002" s="12" t="e">
        <f t="shared" si="248"/>
        <v>#VALUE!</v>
      </c>
      <c r="D4002" s="12" t="e">
        <f>MID(MAIN!A4007,K4002+2,2)</f>
        <v>#VALUE!</v>
      </c>
      <c r="E4002" s="12" t="e">
        <f>MID(MAIN!A4007,K4002+4,2)</f>
        <v>#VALUE!</v>
      </c>
      <c r="F4002" s="2" t="e">
        <f t="shared" si="249"/>
        <v>#VALUE!</v>
      </c>
      <c r="G4002" s="13" t="e">
        <f t="shared" si="250"/>
        <v>#VALUE!</v>
      </c>
      <c r="J4002" t="str">
        <f>MAIN!A4007&amp;"B"</f>
        <v>B</v>
      </c>
      <c r="K4002" s="12" t="e">
        <f t="shared" si="251"/>
        <v>#VALUE!</v>
      </c>
      <c r="L4002">
        <f>MAIN!C4007</f>
        <v>0</v>
      </c>
    </row>
    <row r="4003" spans="1:12" x14ac:dyDescent="0.3">
      <c r="A4003">
        <f>IF(J4003="0",0,IF(COUNTIF($J$2:J4003,J4003)=1,1,0))</f>
        <v>0</v>
      </c>
      <c r="B4003" s="12" t="e">
        <f>MID(MAIN!A4008,K4003,2)</f>
        <v>#VALUE!</v>
      </c>
      <c r="C4003" s="12" t="e">
        <f t="shared" si="248"/>
        <v>#VALUE!</v>
      </c>
      <c r="D4003" s="12" t="e">
        <f>MID(MAIN!A4008,K4003+2,2)</f>
        <v>#VALUE!</v>
      </c>
      <c r="E4003" s="12" t="e">
        <f>MID(MAIN!A4008,K4003+4,2)</f>
        <v>#VALUE!</v>
      </c>
      <c r="F4003" s="2" t="e">
        <f t="shared" si="249"/>
        <v>#VALUE!</v>
      </c>
      <c r="G4003" s="13" t="e">
        <f t="shared" si="250"/>
        <v>#VALUE!</v>
      </c>
      <c r="J4003" t="str">
        <f>MAIN!A4008&amp;"B"</f>
        <v>B</v>
      </c>
      <c r="K4003" s="12" t="e">
        <f t="shared" si="251"/>
        <v>#VALUE!</v>
      </c>
      <c r="L4003">
        <f>MAIN!C4008</f>
        <v>0</v>
      </c>
    </row>
    <row r="4004" spans="1:12" x14ac:dyDescent="0.3">
      <c r="A4004">
        <f>IF(J4004="0",0,IF(COUNTIF($J$2:J4004,J4004)=1,1,0))</f>
        <v>0</v>
      </c>
      <c r="B4004" s="12" t="e">
        <f>MID(MAIN!A4009,K4004,2)</f>
        <v>#VALUE!</v>
      </c>
      <c r="C4004" s="12" t="e">
        <f t="shared" si="248"/>
        <v>#VALUE!</v>
      </c>
      <c r="D4004" s="12" t="e">
        <f>MID(MAIN!A4009,K4004+2,2)</f>
        <v>#VALUE!</v>
      </c>
      <c r="E4004" s="12" t="e">
        <f>MID(MAIN!A4009,K4004+4,2)</f>
        <v>#VALUE!</v>
      </c>
      <c r="F4004" s="2" t="e">
        <f t="shared" si="249"/>
        <v>#VALUE!</v>
      </c>
      <c r="G4004" s="13" t="e">
        <f t="shared" si="250"/>
        <v>#VALUE!</v>
      </c>
      <c r="J4004" t="str">
        <f>MAIN!A4009&amp;"B"</f>
        <v>B</v>
      </c>
      <c r="K4004" s="12" t="e">
        <f t="shared" si="251"/>
        <v>#VALUE!</v>
      </c>
      <c r="L4004">
        <f>MAIN!C4009</f>
        <v>0</v>
      </c>
    </row>
    <row r="4005" spans="1:12" x14ac:dyDescent="0.3">
      <c r="A4005">
        <f>IF(J4005="0",0,IF(COUNTIF($J$2:J4005,J4005)=1,1,0))</f>
        <v>0</v>
      </c>
      <c r="B4005" s="12" t="e">
        <f>MID(MAIN!A4010,K4005,2)</f>
        <v>#VALUE!</v>
      </c>
      <c r="C4005" s="12" t="e">
        <f t="shared" si="248"/>
        <v>#VALUE!</v>
      </c>
      <c r="D4005" s="12" t="e">
        <f>MID(MAIN!A4010,K4005+2,2)</f>
        <v>#VALUE!</v>
      </c>
      <c r="E4005" s="12" t="e">
        <f>MID(MAIN!A4010,K4005+4,2)</f>
        <v>#VALUE!</v>
      </c>
      <c r="F4005" s="2" t="e">
        <f t="shared" si="249"/>
        <v>#VALUE!</v>
      </c>
      <c r="G4005" s="13" t="e">
        <f t="shared" si="250"/>
        <v>#VALUE!</v>
      </c>
      <c r="J4005" t="str">
        <f>MAIN!A4010&amp;"B"</f>
        <v>B</v>
      </c>
      <c r="K4005" s="12" t="e">
        <f t="shared" si="251"/>
        <v>#VALUE!</v>
      </c>
      <c r="L4005">
        <f>MAIN!C4010</f>
        <v>0</v>
      </c>
    </row>
    <row r="4006" spans="1:12" x14ac:dyDescent="0.3">
      <c r="A4006">
        <f>IF(J4006="0",0,IF(COUNTIF($J$2:J4006,J4006)=1,1,0))</f>
        <v>0</v>
      </c>
      <c r="B4006" s="12" t="e">
        <f>MID(MAIN!A4011,K4006,2)</f>
        <v>#VALUE!</v>
      </c>
      <c r="C4006" s="12" t="e">
        <f t="shared" si="248"/>
        <v>#VALUE!</v>
      </c>
      <c r="D4006" s="12" t="e">
        <f>MID(MAIN!A4011,K4006+2,2)</f>
        <v>#VALUE!</v>
      </c>
      <c r="E4006" s="12" t="e">
        <f>MID(MAIN!A4011,K4006+4,2)</f>
        <v>#VALUE!</v>
      </c>
      <c r="F4006" s="2" t="e">
        <f t="shared" si="249"/>
        <v>#VALUE!</v>
      </c>
      <c r="G4006" s="13" t="e">
        <f t="shared" si="250"/>
        <v>#VALUE!</v>
      </c>
      <c r="J4006" t="str">
        <f>MAIN!A4011&amp;"B"</f>
        <v>B</v>
      </c>
      <c r="K4006" s="12" t="e">
        <f t="shared" si="251"/>
        <v>#VALUE!</v>
      </c>
      <c r="L4006">
        <f>MAIN!C4011</f>
        <v>0</v>
      </c>
    </row>
    <row r="4007" spans="1:12" x14ac:dyDescent="0.3">
      <c r="A4007">
        <f>IF(J4007="0",0,IF(COUNTIF($J$2:J4007,J4007)=1,1,0))</f>
        <v>0</v>
      </c>
      <c r="B4007" s="12" t="e">
        <f>MID(MAIN!A4012,K4007,2)</f>
        <v>#VALUE!</v>
      </c>
      <c r="C4007" s="12" t="e">
        <f t="shared" si="248"/>
        <v>#VALUE!</v>
      </c>
      <c r="D4007" s="12" t="str">
        <f>MID(MAIN!A4012,K4007+2,2)</f>
        <v/>
      </c>
      <c r="E4007" s="12" t="str">
        <f>MID(MAIN!A4012,K4007+4,2)</f>
        <v/>
      </c>
      <c r="F4007" s="2" t="e">
        <f t="shared" si="249"/>
        <v>#VALUE!</v>
      </c>
      <c r="G4007" s="13" t="e">
        <f t="shared" si="250"/>
        <v>#VALUE!</v>
      </c>
    </row>
  </sheetData>
  <conditionalFormatting sqref="H1:H1048576">
    <cfRule type="cellIs" dxfId="0" priority="1" operator="lessThan">
      <formula>1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</vt:lpstr>
      <vt:lpstr>ILACLISTE</vt:lpstr>
      <vt:lpstr>GIZLI</vt:lpstr>
      <vt:lpstr>MAIN!Criteria</vt:lpstr>
      <vt:lpstr>MAIN!Extract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2021-05-31T10:42:57Z</dcterms:created>
  <dcterms:modified xsi:type="dcterms:W3CDTF">2021-08-21T08:09:03Z</dcterms:modified>
</cp:coreProperties>
</file>